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9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190" fontId="24" fillId="17" borderId="0" applyAlignment="1" pivotButton="0" quotePrefix="0" xfId="0">
      <alignment horizontal="center"/>
    </xf>
    <xf numFmtId="190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" fontId="24" fillId="17" borderId="0" applyAlignment="1" pivotButton="0" quotePrefix="0" xfId="0">
      <alignment horizontal="center"/>
    </xf>
    <xf numFmtId="2" fontId="24" fillId="0" borderId="0" applyAlignment="1" pivotButton="0" quotePrefix="0" xfId="0">
      <alignment horizontal="center"/>
    </xf>
    <xf numFmtId="175" fontId="24" fillId="17" borderId="0" applyAlignment="1" pivotButton="0" quotePrefix="0" xfId="0">
      <alignment horizontal="center"/>
    </xf>
    <xf numFmtId="175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32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(R$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R$ mil (monetário); demais unidades × 1.000</t>
        </is>
      </c>
    </row>
    <row r="4">
      <c r="A4" t="inlineStr">
        <is>
          <t>DRE - BRUTO COMO DIVULGADO (R$ mil). 1T-3T = trimestre; coluna 4T = ANO (DFP 12M). Aba 2T24 da fonte tem cabecalho "01/01 a 30/06" mas traz o trimestre (confere com o release)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de Venda de Bens e/ou Serviços (CVM 3.01) · memoria · unid. moeda</t>
        </is>
      </c>
      <c r="C5" t="inlineStr">
        <is>
          <t>[linha bruta, sem código; lançada nas linhas abaixo]</t>
        </is>
      </c>
      <c r="D5" s="265" t="n">
        <v>1226476</v>
      </c>
      <c r="E5" s="265" t="n">
        <v>1273389</v>
      </c>
      <c r="F5" s="265" t="n">
        <v>1321360</v>
      </c>
      <c r="G5" s="265" t="n">
        <v>5204412</v>
      </c>
      <c r="I5" s="265" t="n">
        <v>1406842</v>
      </c>
      <c r="J5" s="265" t="n">
        <v>1359113</v>
      </c>
      <c r="K5" s="265" t="n">
        <v>1432464</v>
      </c>
      <c r="L5" s="265" t="n">
        <v>5673647</v>
      </c>
      <c r="N5" s="265" t="n">
        <v>1453963</v>
      </c>
      <c r="O5" s="265" t="n">
        <v>1536029</v>
      </c>
      <c r="P5" s="265" t="n">
        <v>1605776</v>
      </c>
      <c r="Q5" s="265" t="n">
        <v>6292736</v>
      </c>
      <c r="S5" s="265" t="n">
        <v>1698012</v>
      </c>
      <c r="T5" s="265" t="n">
        <v>1664252</v>
      </c>
      <c r="U5" s="265" t="n">
        <v>1709748</v>
      </c>
      <c r="V5" s="265" t="n">
        <v>6848219</v>
      </c>
      <c r="X5" s="265" t="n">
        <v>1805233</v>
      </c>
      <c r="Y5" s="265" t="n">
        <v>1705371</v>
      </c>
      <c r="Z5" s="265" t="n">
        <v>1804171</v>
      </c>
      <c r="AA5" s="265" t="n">
        <v>7205727</v>
      </c>
      <c r="AC5" s="265" t="n">
        <v>1946354</v>
      </c>
      <c r="AD5" s="265" t="n">
        <v>1901160</v>
      </c>
    </row>
    <row r="6">
      <c r="A6" t="inlineStr">
        <is>
          <t>Custo dos Bens e/ou Serviços Vendidos (CVM 3.02) · memoria · unid. moeda</t>
        </is>
      </c>
      <c r="C6" t="inlineStr">
        <is>
          <t>[linha bruta, sem código; lançada nas linhas abaixo]</t>
        </is>
      </c>
      <c r="D6" s="265" t="n">
        <v>-480777</v>
      </c>
      <c r="E6" s="265" t="n">
        <v>-499378</v>
      </c>
      <c r="F6" s="265" t="n">
        <v>-517480</v>
      </c>
      <c r="G6" s="265" t="n">
        <v>-2050737</v>
      </c>
      <c r="I6" s="265" t="n">
        <v>-589834</v>
      </c>
      <c r="J6" s="265" t="n">
        <v>-650748</v>
      </c>
      <c r="K6" s="265" t="n">
        <v>-569188</v>
      </c>
      <c r="L6" s="265" t="n">
        <v>-2383355</v>
      </c>
      <c r="N6" s="265" t="n">
        <v>-588609</v>
      </c>
      <c r="O6" s="265" t="n">
        <v>-617138</v>
      </c>
      <c r="P6" s="265" t="n">
        <v>-643086</v>
      </c>
      <c r="Q6" s="265" t="n">
        <v>-2514893</v>
      </c>
      <c r="S6" s="265" t="n">
        <v>-685830</v>
      </c>
      <c r="T6" s="265" t="n">
        <v>-735623</v>
      </c>
      <c r="U6" s="265" t="n">
        <v>-735906</v>
      </c>
      <c r="V6" s="265" t="n">
        <v>-2890386</v>
      </c>
      <c r="X6" s="265" t="n">
        <v>-841486</v>
      </c>
      <c r="Y6" s="265" t="n">
        <v>-723355</v>
      </c>
      <c r="Z6" s="265" t="n">
        <v>-786147</v>
      </c>
      <c r="AA6" s="265" t="n">
        <v>-3150783</v>
      </c>
      <c r="AC6" s="265" t="n">
        <v>-789461</v>
      </c>
      <c r="AD6" s="265" t="n">
        <v>-829668</v>
      </c>
    </row>
    <row r="7">
      <c r="A7" t="inlineStr">
        <is>
          <t>Despesas com Vendas (CVM 3.04.01) · memoria · unid. moeda</t>
        </is>
      </c>
      <c r="C7" t="inlineStr">
        <is>
          <t>[linha bruta, sem código; lançada nas linhas abaixo]</t>
        </is>
      </c>
      <c r="D7" s="265" t="n">
        <v>-94252</v>
      </c>
      <c r="E7" s="265" t="n">
        <v>-105786</v>
      </c>
      <c r="F7" s="265" t="n">
        <v>-113044</v>
      </c>
      <c r="G7" s="265" t="n">
        <v>-425811</v>
      </c>
      <c r="I7" s="265" t="n">
        <v>-114856</v>
      </c>
      <c r="J7" s="265" t="n">
        <v>-128255</v>
      </c>
      <c r="K7" s="265" t="n">
        <v>-130105</v>
      </c>
      <c r="L7" s="265" t="n">
        <v>-469608</v>
      </c>
      <c r="N7" s="265" t="n">
        <v>-25965</v>
      </c>
      <c r="O7" s="265" t="n">
        <v>-74768</v>
      </c>
      <c r="P7" s="265" t="n">
        <v>-44130</v>
      </c>
      <c r="Q7" s="265" t="n">
        <v>-256362</v>
      </c>
      <c r="S7" s="265" t="n">
        <v>-118809</v>
      </c>
      <c r="T7" s="265" t="n">
        <v>-140947</v>
      </c>
      <c r="U7" s="265" t="n">
        <v>-159789</v>
      </c>
      <c r="V7" s="265" t="n">
        <v>-562354</v>
      </c>
      <c r="X7" s="265" t="n">
        <v>-225409</v>
      </c>
      <c r="Y7" s="265" t="n">
        <v>-164503</v>
      </c>
      <c r="Z7" s="265" t="n">
        <v>-129099</v>
      </c>
      <c r="AA7" s="265" t="n">
        <v>-706048</v>
      </c>
      <c r="AC7" s="265" t="n">
        <v>-138018</v>
      </c>
      <c r="AD7" s="265" t="n">
        <v>-154884</v>
      </c>
    </row>
    <row r="8">
      <c r="A8" t="inlineStr">
        <is>
          <t>Despesas Gerais e Administrativas (CVM 3.04.02) · memoria · unid. moeda</t>
        </is>
      </c>
      <c r="C8" t="inlineStr">
        <is>
          <t>[linha bruta, sem código; lançada nas linhas abaixo]</t>
        </is>
      </c>
      <c r="D8" s="265" t="n">
        <v>-142209</v>
      </c>
      <c r="E8" s="265" t="n">
        <v>-142149</v>
      </c>
      <c r="F8" s="265" t="n">
        <v>-150892</v>
      </c>
      <c r="G8" s="265" t="n">
        <v>-612189</v>
      </c>
      <c r="I8" s="265" t="n">
        <v>-158689</v>
      </c>
      <c r="J8" s="265" t="n">
        <v>-156616</v>
      </c>
      <c r="K8" s="265" t="n">
        <v>-188246</v>
      </c>
      <c r="L8" s="265" t="n">
        <v>-692613</v>
      </c>
      <c r="N8" s="265" t="n">
        <v>-186601</v>
      </c>
      <c r="O8" s="265" t="n">
        <v>-190952</v>
      </c>
      <c r="P8" s="265" t="n">
        <v>-192717</v>
      </c>
      <c r="Q8" s="265" t="n">
        <v>-805647</v>
      </c>
      <c r="S8" s="265" t="n">
        <v>-241326</v>
      </c>
      <c r="T8" s="265" t="n">
        <v>-299049</v>
      </c>
      <c r="U8" s="265" t="n">
        <v>-284426</v>
      </c>
      <c r="V8" s="265" t="n">
        <v>-1082608</v>
      </c>
      <c r="X8" s="265" t="n">
        <v>-529283</v>
      </c>
      <c r="Y8" s="265" t="n">
        <v>-249532</v>
      </c>
      <c r="Z8" s="265" t="n">
        <v>-285926</v>
      </c>
      <c r="AA8" s="265" t="n">
        <v>-1384487</v>
      </c>
      <c r="AC8" s="265" t="n">
        <v>-287230</v>
      </c>
      <c r="AD8" s="265" t="n">
        <v>-292790</v>
      </c>
    </row>
    <row r="9">
      <c r="A9" t="inlineStr">
        <is>
          <t>Perdas pela Não Recuperabilidade de Ativos (CVM 3.04.03) · memoria · unid. moeda</t>
        </is>
      </c>
      <c r="C9" t="inlineStr">
        <is>
          <t>[linha bruta, sem código; lançada nas linhas abaixo]</t>
        </is>
      </c>
      <c r="D9" s="265" t="n"/>
      <c r="E9" s="265" t="n"/>
      <c r="F9" s="265" t="n"/>
      <c r="G9" s="265" t="n">
        <v>-4119</v>
      </c>
      <c r="I9" s="265" t="n"/>
      <c r="J9" s="265" t="n"/>
      <c r="K9" s="265" t="n"/>
      <c r="L9" s="265" t="n">
        <v>-6627</v>
      </c>
      <c r="N9" s="265" t="n"/>
      <c r="O9" s="265" t="n"/>
      <c r="P9" s="265" t="n"/>
      <c r="Q9" s="265" t="n">
        <v>9807</v>
      </c>
      <c r="S9" s="265" t="n"/>
      <c r="T9" s="265" t="n"/>
      <c r="U9" s="265" t="n"/>
      <c r="V9" s="265" t="n">
        <v>-4488</v>
      </c>
      <c r="X9" s="265" t="n"/>
      <c r="Y9" s="265" t="n"/>
      <c r="Z9" s="265" t="n"/>
      <c r="AA9" s="265" t="n">
        <v>-8883</v>
      </c>
      <c r="AC9" s="265" t="n"/>
      <c r="AD9" s="265" t="n"/>
    </row>
    <row r="10">
      <c r="A10" t="inlineStr">
        <is>
          <t>Outras Receitas Operacionais (CVM 3.04.04) · memoria · unid. moeda</t>
        </is>
      </c>
      <c r="C10" t="inlineStr">
        <is>
          <t>[linha bruta, sem código; lançada nas linhas abaixo]</t>
        </is>
      </c>
      <c r="D10" s="265" t="n"/>
      <c r="E10" s="265" t="n"/>
      <c r="F10" s="265" t="n"/>
      <c r="G10" s="265" t="n"/>
      <c r="I10" s="265" t="n"/>
      <c r="J10" s="265" t="n"/>
      <c r="K10" s="265" t="n"/>
      <c r="L10" s="265" t="n"/>
      <c r="N10" s="265" t="n"/>
      <c r="O10" s="265" t="n"/>
      <c r="P10" s="265" t="n"/>
      <c r="Q10" s="265" t="n"/>
      <c r="S10" s="265" t="n"/>
      <c r="T10" s="265" t="n"/>
      <c r="U10" s="265" t="n"/>
      <c r="V10" s="265" t="n"/>
      <c r="X10" s="265" t="n">
        <v>2058450</v>
      </c>
      <c r="Y10" s="265" t="n">
        <v>507</v>
      </c>
      <c r="Z10" s="265" t="n">
        <v>1174</v>
      </c>
      <c r="AA10" s="265" t="n">
        <v>2071829</v>
      </c>
      <c r="AC10" s="265" t="n">
        <v>746</v>
      </c>
      <c r="AD10" s="265" t="n">
        <v>3331</v>
      </c>
    </row>
    <row r="11">
      <c r="A11" t="inlineStr">
        <is>
          <t>Outras Despesas Operacionais (CVM 3.04.05) · memoria · unid. moeda</t>
        </is>
      </c>
      <c r="C11" t="inlineStr">
        <is>
          <t>[linha bruta, sem código; lançada nas linhas abaixo]</t>
        </is>
      </c>
      <c r="D11" s="265" t="n">
        <v>-80431</v>
      </c>
      <c r="E11" s="265" t="n">
        <v>-41035</v>
      </c>
      <c r="F11" s="265" t="n">
        <v>-47525</v>
      </c>
      <c r="G11" s="265" t="n">
        <v>-229850</v>
      </c>
      <c r="I11" s="265" t="n">
        <v>-52373</v>
      </c>
      <c r="J11" s="265" t="n">
        <v>-86167</v>
      </c>
      <c r="K11" s="265" t="n">
        <v>-78865</v>
      </c>
      <c r="L11" s="265" t="n">
        <v>-329599</v>
      </c>
      <c r="N11" s="265" t="n">
        <v>-104765</v>
      </c>
      <c r="O11" s="265" t="n">
        <v>-107490</v>
      </c>
      <c r="P11" s="265" t="n">
        <v>-69400</v>
      </c>
      <c r="Q11" s="265" t="n">
        <v>-373088</v>
      </c>
      <c r="S11" s="265" t="n">
        <v>-11270</v>
      </c>
      <c r="T11" s="265" t="n">
        <v>18241</v>
      </c>
      <c r="U11" s="265" t="n">
        <v>86873</v>
      </c>
      <c r="V11" s="265" t="n">
        <v>68230</v>
      </c>
      <c r="X11" s="265" t="n">
        <v>-1302908</v>
      </c>
      <c r="Y11" s="265" t="n">
        <v>-186465</v>
      </c>
      <c r="Z11" s="265" t="n">
        <v>-203511</v>
      </c>
      <c r="AA11" s="265" t="n">
        <v>-1689849</v>
      </c>
      <c r="AC11" s="265" t="n">
        <v>-61349</v>
      </c>
      <c r="AD11" s="265" t="n">
        <v>-261741</v>
      </c>
    </row>
    <row r="12">
      <c r="A12" t="inlineStr">
        <is>
          <t>Provisão Passivo Regulatório (CVM 3.04.05.03) · memoria · unid. moeda</t>
        </is>
      </c>
      <c r="C12" t="inlineStr">
        <is>
          <t>[linha bruta, sem código; lançada nas linhas abaixo]</t>
        </is>
      </c>
      <c r="D12" s="265" t="n"/>
      <c r="E12" s="265" t="n"/>
      <c r="F12" s="265" t="n"/>
      <c r="G12" s="265" t="n"/>
      <c r="I12" s="265" t="n"/>
      <c r="J12" s="265" t="n">
        <v>-15916</v>
      </c>
      <c r="K12" s="265" t="n">
        <v>-18722</v>
      </c>
      <c r="L12" s="265" t="n">
        <v>-88093</v>
      </c>
      <c r="N12" s="265" t="n"/>
      <c r="O12" s="265" t="n">
        <v>-32292</v>
      </c>
      <c r="P12" s="265" t="n">
        <v>-30359</v>
      </c>
      <c r="Q12" s="265" t="n">
        <v>-115007</v>
      </c>
      <c r="S12" s="265" t="n"/>
      <c r="T12" s="265" t="n">
        <v>-28732</v>
      </c>
      <c r="U12" s="265" t="n">
        <v>-28881</v>
      </c>
      <c r="V12" s="265" t="n">
        <v>-118219</v>
      </c>
      <c r="X12" s="265" t="n">
        <v>-1354808</v>
      </c>
      <c r="Y12" s="265" t="n">
        <v>-47900</v>
      </c>
      <c r="Z12" s="265" t="n">
        <v>-139110</v>
      </c>
      <c r="AA12" s="265" t="n">
        <v>-1541818</v>
      </c>
      <c r="AC12" s="265" t="n">
        <v>0</v>
      </c>
      <c r="AD12" s="265" t="n">
        <v>-259619</v>
      </c>
    </row>
    <row r="13">
      <c r="A13" t="inlineStr">
        <is>
          <t>Resultado de Equivalência Patrimonial (CVM 3.04.06) · memoria · unid. moeda</t>
        </is>
      </c>
      <c r="C13" t="inlineStr">
        <is>
          <t>[linha bruta, sem código; lançada nas linhas abaixo]</t>
        </is>
      </c>
      <c r="D13" s="265" t="n">
        <v>-445</v>
      </c>
      <c r="E13" s="265" t="n">
        <v>-800</v>
      </c>
      <c r="F13" s="265" t="n">
        <v>-1093</v>
      </c>
      <c r="G13" s="265" t="n">
        <v>-2958</v>
      </c>
      <c r="I13" s="265" t="n">
        <v>-751</v>
      </c>
      <c r="J13" s="265" t="n">
        <v>-847</v>
      </c>
      <c r="K13" s="265" t="n">
        <v>-625</v>
      </c>
      <c r="L13" s="265" t="n">
        <v>-3300</v>
      </c>
      <c r="N13" s="265" t="n">
        <v>-417</v>
      </c>
      <c r="O13" s="265" t="n">
        <v>-171</v>
      </c>
      <c r="P13" s="265" t="n">
        <v>-361</v>
      </c>
      <c r="Q13" s="265" t="n">
        <v>-5263</v>
      </c>
      <c r="S13" s="265" t="n">
        <v>0</v>
      </c>
      <c r="T13" s="265" t="n">
        <v>0</v>
      </c>
      <c r="U13" s="265" t="n">
        <v>0</v>
      </c>
      <c r="V13" s="265" t="n">
        <v>0</v>
      </c>
      <c r="X13" s="265" t="n"/>
      <c r="Y13" s="265" t="n"/>
      <c r="Z13" s="265" t="n"/>
      <c r="AA13" s="265" t="n">
        <v>0</v>
      </c>
      <c r="AC13" s="265" t="n"/>
      <c r="AD13" s="265" t="n"/>
    </row>
    <row r="14">
      <c r="A14" t="inlineStr">
        <is>
          <t>Resultado Antes do Resultado Financeiro e dos Tributos (CVM 3.05) · memoria · unid. moeda</t>
        </is>
      </c>
      <c r="C14" t="inlineStr">
        <is>
          <t>[linha bruta, sem código; lançada nas linhas abaixo]</t>
        </is>
      </c>
      <c r="D14" s="265" t="n">
        <v>428362</v>
      </c>
      <c r="E14" s="265" t="n">
        <v>484241</v>
      </c>
      <c r="F14" s="265" t="n">
        <v>491326</v>
      </c>
      <c r="G14" s="265" t="n">
        <v>1878748</v>
      </c>
      <c r="I14" s="265" t="n">
        <v>490339</v>
      </c>
      <c r="J14" s="265" t="n">
        <v>336480</v>
      </c>
      <c r="K14" s="265" t="n">
        <v>465435</v>
      </c>
      <c r="L14" s="265" t="n">
        <v>1788545</v>
      </c>
      <c r="N14" s="265" t="n">
        <v>547606</v>
      </c>
      <c r="O14" s="265" t="n">
        <v>545510</v>
      </c>
      <c r="P14" s="265" t="n">
        <v>656082</v>
      </c>
      <c r="Q14" s="265" t="n">
        <v>2347290</v>
      </c>
      <c r="S14" s="265" t="n">
        <v>640777</v>
      </c>
      <c r="T14" s="265" t="n">
        <v>506874</v>
      </c>
      <c r="U14" s="265" t="n">
        <v>616500</v>
      </c>
      <c r="V14" s="265" t="n">
        <v>2376613</v>
      </c>
      <c r="X14" s="265" t="n">
        <v>964597</v>
      </c>
      <c r="Y14" s="265" t="n">
        <v>382023</v>
      </c>
      <c r="Z14" s="265" t="n">
        <v>400662</v>
      </c>
      <c r="AA14" s="265" t="n">
        <v>2337506</v>
      </c>
      <c r="AC14" s="265" t="n">
        <v>671042</v>
      </c>
      <c r="AD14" s="265" t="n">
        <v>365408</v>
      </c>
    </row>
    <row r="15">
      <c r="A15" t="inlineStr">
        <is>
          <t>Receitas Financeiras (CVM 3.06.01) · memoria · unid. moeda</t>
        </is>
      </c>
      <c r="C15" t="inlineStr">
        <is>
          <t>[linha bruta, sem código; lançada nas linhas abaixo]</t>
        </is>
      </c>
      <c r="D15" s="265" t="n">
        <v>15600</v>
      </c>
      <c r="E15" s="265" t="n">
        <v>25060</v>
      </c>
      <c r="F15" s="265" t="n">
        <v>25559</v>
      </c>
      <c r="G15" s="265" t="n">
        <v>105281</v>
      </c>
      <c r="I15" s="265" t="n">
        <v>58886</v>
      </c>
      <c r="J15" s="265" t="n">
        <v>76616</v>
      </c>
      <c r="K15" s="265" t="n">
        <v>67998</v>
      </c>
      <c r="L15" s="265" t="n">
        <v>264891</v>
      </c>
      <c r="N15" s="265" t="n">
        <v>68358</v>
      </c>
      <c r="O15" s="265" t="n">
        <v>81409</v>
      </c>
      <c r="P15" s="265" t="n">
        <v>70977</v>
      </c>
      <c r="Q15" s="265" t="n">
        <v>295702</v>
      </c>
      <c r="S15" s="265" t="n">
        <v>82674</v>
      </c>
      <c r="T15" s="265" t="n">
        <v>104810</v>
      </c>
      <c r="U15" s="265" t="n">
        <v>100879</v>
      </c>
      <c r="V15" s="265" t="n">
        <v>402739</v>
      </c>
      <c r="X15" s="265" t="n">
        <v>2165702</v>
      </c>
      <c r="Y15" s="265" t="n">
        <v>240017</v>
      </c>
      <c r="Z15" s="265" t="n">
        <v>379450</v>
      </c>
      <c r="AA15" s="265" t="n">
        <v>3045050</v>
      </c>
      <c r="AC15" s="265" t="n">
        <v>311274</v>
      </c>
      <c r="AD15" s="265" t="n">
        <v>272319</v>
      </c>
    </row>
    <row r="16">
      <c r="A16" t="inlineStr">
        <is>
          <t>Despesas Financeiras (CVM 3.06.02) · memoria · unid. moeda</t>
        </is>
      </c>
      <c r="C16" t="inlineStr">
        <is>
          <t>[linha bruta, sem código; lançada nas linhas abaixo]</t>
        </is>
      </c>
      <c r="D16" s="265" t="n">
        <v>-70944</v>
      </c>
      <c r="E16" s="265" t="n">
        <v>-85035</v>
      </c>
      <c r="F16" s="265" t="n">
        <v>-118819</v>
      </c>
      <c r="G16" s="265" t="n">
        <v>-380463</v>
      </c>
      <c r="I16" s="265" t="n">
        <v>-114215</v>
      </c>
      <c r="J16" s="265" t="n">
        <v>-140267</v>
      </c>
      <c r="K16" s="265" t="n">
        <v>-124866</v>
      </c>
      <c r="L16" s="265" t="n">
        <v>-507889</v>
      </c>
      <c r="N16" s="265" t="n">
        <v>-138902</v>
      </c>
      <c r="O16" s="265" t="n">
        <v>-127204</v>
      </c>
      <c r="P16" s="265" t="n">
        <v>-136009</v>
      </c>
      <c r="Q16" s="265" t="n">
        <v>-618671</v>
      </c>
      <c r="S16" s="265" t="n">
        <v>-157202</v>
      </c>
      <c r="T16" s="265" t="n">
        <v>-157906</v>
      </c>
      <c r="U16" s="265" t="n">
        <v>-149704</v>
      </c>
      <c r="V16" s="265" t="n">
        <v>-697190</v>
      </c>
      <c r="X16" s="265" t="n">
        <v>-1980949</v>
      </c>
      <c r="Y16" s="265" t="n">
        <v>-420701</v>
      </c>
      <c r="Z16" s="265" t="n">
        <v>-330612</v>
      </c>
      <c r="AA16" s="265" t="n">
        <v>-3079901</v>
      </c>
      <c r="AC16" s="265" t="n">
        <v>-383737</v>
      </c>
      <c r="AD16" s="265" t="n">
        <v>-921679</v>
      </c>
    </row>
    <row r="17">
      <c r="A17" t="inlineStr">
        <is>
          <t>Provisão Passivo Regulatório (CVM 3.06.02.02) · memoria · unid. moeda</t>
        </is>
      </c>
      <c r="C17" t="inlineStr">
        <is>
          <t>[linha bruta, sem código; lançada nas linhas abaixo]</t>
        </is>
      </c>
      <c r="D17" s="265" t="n"/>
      <c r="E17" s="265" t="n"/>
      <c r="F17" s="265" t="n"/>
      <c r="G17" s="265" t="n"/>
      <c r="I17" s="265" t="n"/>
      <c r="J17" s="265" t="n"/>
      <c r="K17" s="265" t="n"/>
      <c r="L17" s="265" t="n"/>
      <c r="N17" s="265" t="n"/>
      <c r="O17" s="265" t="n"/>
      <c r="P17" s="265" t="n"/>
      <c r="Q17" s="265" t="n"/>
      <c r="S17" s="265" t="n"/>
      <c r="T17" s="265" t="n"/>
      <c r="U17" s="265" t="n"/>
      <c r="V17" s="265" t="n"/>
      <c r="X17" s="265" t="n">
        <v>-1535934</v>
      </c>
      <c r="Y17" s="265" t="n">
        <v>-39168</v>
      </c>
      <c r="Z17" s="265" t="n">
        <v>-77823</v>
      </c>
      <c r="AA17" s="265" t="n">
        <v>-1763620</v>
      </c>
      <c r="AC17" s="265" t="n">
        <v>-149811</v>
      </c>
      <c r="AD17" s="265" t="n">
        <v>-693089</v>
      </c>
    </row>
    <row r="18">
      <c r="A18" t="inlineStr">
        <is>
          <t>Ajuste a Valor Justo - Precatórios a Receber (CVM 3.06.02.03) · memoria · unid. moeda</t>
        </is>
      </c>
      <c r="C18" t="inlineStr">
        <is>
          <t>[linha bruta, sem código; lançada nas linhas abaixo]</t>
        </is>
      </c>
      <c r="D18" s="265" t="n"/>
      <c r="E18" s="265" t="n"/>
      <c r="F18" s="265" t="n"/>
      <c r="G18" s="265" t="n"/>
      <c r="I18" s="265" t="n"/>
      <c r="J18" s="265" t="n"/>
      <c r="K18" s="265" t="n"/>
      <c r="L18" s="265" t="n"/>
      <c r="N18" s="265" t="n"/>
      <c r="O18" s="265" t="n"/>
      <c r="P18" s="265" t="n"/>
      <c r="Q18" s="265" t="n"/>
      <c r="S18" s="265" t="n"/>
      <c r="T18" s="265" t="n"/>
      <c r="U18" s="265" t="n"/>
      <c r="V18" s="265" t="n"/>
      <c r="X18" s="265" t="n">
        <v>-249348</v>
      </c>
      <c r="Y18" s="265" t="n">
        <v>0</v>
      </c>
      <c r="Z18" s="265" t="n">
        <v>0</v>
      </c>
      <c r="AA18" s="265" t="n">
        <v>-249348</v>
      </c>
      <c r="AC18" s="265" t="n">
        <v>0</v>
      </c>
      <c r="AD18" s="265" t="n">
        <v>0</v>
      </c>
    </row>
    <row r="19">
      <c r="A19" t="inlineStr">
        <is>
          <t>Resultado Antes dos Tributos sobre o Lucro (CVM 3.07) · memoria · unid. moeda</t>
        </is>
      </c>
      <c r="C19" t="inlineStr">
        <is>
          <t>[linha bruta, sem código; lançada nas linhas abaixo]</t>
        </is>
      </c>
      <c r="D19" s="265" t="n">
        <v>373018</v>
      </c>
      <c r="E19" s="265" t="n">
        <v>424266</v>
      </c>
      <c r="F19" s="265" t="n">
        <v>398066</v>
      </c>
      <c r="G19" s="265" t="n">
        <v>1603566</v>
      </c>
      <c r="I19" s="265" t="n">
        <v>435010</v>
      </c>
      <c r="J19" s="265" t="n">
        <v>272829</v>
      </c>
      <c r="K19" s="265" t="n">
        <v>408567</v>
      </c>
      <c r="L19" s="265" t="n">
        <v>1545547</v>
      </c>
      <c r="N19" s="265" t="n">
        <v>477062</v>
      </c>
      <c r="O19" s="265" t="n">
        <v>499715</v>
      </c>
      <c r="P19" s="265" t="n">
        <v>591050</v>
      </c>
      <c r="Q19" s="265" t="n">
        <v>2024321</v>
      </c>
      <c r="S19" s="265" t="n">
        <v>566249</v>
      </c>
      <c r="T19" s="265" t="n">
        <v>453778</v>
      </c>
      <c r="U19" s="265" t="n">
        <v>567675</v>
      </c>
      <c r="V19" s="265" t="n">
        <v>2082162</v>
      </c>
      <c r="X19" s="265" t="n">
        <v>1149350</v>
      </c>
      <c r="Y19" s="265" t="n">
        <v>201339</v>
      </c>
      <c r="Z19" s="265" t="n">
        <v>449500</v>
      </c>
      <c r="AA19" s="265" t="n">
        <v>2302655</v>
      </c>
      <c r="AC19" s="265" t="n">
        <v>598579</v>
      </c>
      <c r="AD19" s="265" t="n">
        <v>-283952</v>
      </c>
    </row>
    <row r="20">
      <c r="A20" t="inlineStr">
        <is>
          <t>Imposto de Renda e Contribuição Social sobre o Lucro (CVM 3.08) · memoria · unid. moeda</t>
        </is>
      </c>
      <c r="C20" t="inlineStr">
        <is>
          <t>[linha bruta, sem código; lançada nas linhas abaixo]</t>
        </is>
      </c>
      <c r="D20" s="265" t="n">
        <v>-126528</v>
      </c>
      <c r="E20" s="265" t="n">
        <v>-92449</v>
      </c>
      <c r="F20" s="265" t="n">
        <v>-130725</v>
      </c>
      <c r="G20" s="265" t="n">
        <v>-425935</v>
      </c>
      <c r="I20" s="265" t="n">
        <v>-143066</v>
      </c>
      <c r="J20" s="265" t="n">
        <v>-39122</v>
      </c>
      <c r="K20" s="265" t="n">
        <v>-133639</v>
      </c>
      <c r="L20" s="265" t="n">
        <v>-394009</v>
      </c>
      <c r="N20" s="265" t="n">
        <v>-157488</v>
      </c>
      <c r="O20" s="265" t="n">
        <v>-77607</v>
      </c>
      <c r="P20" s="265" t="n">
        <v>-194190</v>
      </c>
      <c r="Q20" s="265" t="n">
        <v>-520958</v>
      </c>
      <c r="S20" s="265" t="n">
        <v>-186897</v>
      </c>
      <c r="T20" s="265" t="n">
        <v>-78182</v>
      </c>
      <c r="U20" s="265" t="n">
        <v>-190146</v>
      </c>
      <c r="V20" s="265" t="n">
        <v>-536815</v>
      </c>
      <c r="X20" s="265" t="n">
        <v>58643</v>
      </c>
      <c r="Y20" s="265" t="n">
        <v>62509</v>
      </c>
      <c r="Z20" s="265" t="n">
        <v>-203099</v>
      </c>
      <c r="AA20" s="265" t="n">
        <v>-223087</v>
      </c>
      <c r="AC20" s="265" t="n">
        <v>-245898</v>
      </c>
      <c r="AD20" s="265" t="n">
        <v>-221205</v>
      </c>
    </row>
    <row r="21">
      <c r="A21" t="inlineStr">
        <is>
          <t>Lucro/Prejuízo do Período (CVM 3.11) · memoria · unid. moeda</t>
        </is>
      </c>
      <c r="C21" t="inlineStr">
        <is>
          <t>[linha bruta, sem código; lançada nas linhas abaixo]</t>
        </is>
      </c>
      <c r="D21" s="265" t="n">
        <v>246490</v>
      </c>
      <c r="E21" s="265" t="n">
        <v>331817</v>
      </c>
      <c r="F21" s="265" t="n">
        <v>267341</v>
      </c>
      <c r="G21" s="265" t="n">
        <v>1177631</v>
      </c>
      <c r="I21" s="265" t="n">
        <v>291944</v>
      </c>
      <c r="J21" s="265" t="n">
        <v>233707</v>
      </c>
      <c r="K21" s="265" t="n">
        <v>274928</v>
      </c>
      <c r="L21" s="265" t="n">
        <v>1151538</v>
      </c>
      <c r="N21" s="265" t="n">
        <v>319574</v>
      </c>
      <c r="O21" s="265" t="n">
        <v>422108</v>
      </c>
      <c r="P21" s="265" t="n">
        <v>396860</v>
      </c>
      <c r="Q21" s="265" t="n">
        <v>1503363</v>
      </c>
      <c r="S21" s="265" t="n">
        <v>379352</v>
      </c>
      <c r="T21" s="265" t="n">
        <v>375596</v>
      </c>
      <c r="U21" s="265" t="n">
        <v>377529</v>
      </c>
      <c r="V21" s="265" t="n">
        <v>1545347</v>
      </c>
      <c r="X21" s="265" t="n">
        <v>1207993</v>
      </c>
      <c r="Y21" s="265" t="n">
        <v>263848</v>
      </c>
      <c r="Z21" s="265" t="n">
        <v>246401</v>
      </c>
      <c r="AA21" s="265" t="n">
        <v>2079568</v>
      </c>
      <c r="AC21" s="265" t="n">
        <v>352681</v>
      </c>
      <c r="AD21" s="265" t="n">
        <v>-505157</v>
      </c>
    </row>
    <row r="22">
      <c r="A22" t="inlineStr">
        <is>
          <t>DFC - BRUTO, ACUMULADO NO ANO (R$ mil)</t>
        </is>
      </c>
      <c r="C22" t="inlineStr">
        <is>
          <t>[linha bruta, sem código; lançada nas linhas abaixo]</t>
        </is>
      </c>
      <c r="D22" s="265" t="n"/>
      <c r="E22" s="265" t="n"/>
      <c r="F22" s="265" t="n"/>
      <c r="G22" s="265" t="n"/>
      <c r="I22" s="265" t="n"/>
      <c r="J22" s="265" t="n"/>
      <c r="K22" s="265" t="n"/>
      <c r="L22" s="265" t="n"/>
      <c r="N22" s="265" t="n"/>
      <c r="O22" s="265" t="n"/>
      <c r="P22" s="265" t="n"/>
      <c r="Q22" s="265" t="n"/>
      <c r="S22" s="265" t="n"/>
      <c r="T22" s="265" t="n"/>
      <c r="U22" s="265" t="n"/>
      <c r="V22" s="265" t="n"/>
      <c r="X22" s="265" t="n"/>
      <c r="Y22" s="265" t="n"/>
      <c r="Z22" s="265" t="n"/>
      <c r="AA22" s="265" t="n"/>
      <c r="AC22" s="265" t="n"/>
      <c r="AD22" s="265" t="n"/>
    </row>
    <row r="23">
      <c r="A23" t="inlineStr">
        <is>
          <t>Depreciacoes e Amortizacoes (CVM 6.01.01.02, acum.) · memoria · unid. moeda</t>
        </is>
      </c>
      <c r="C23" t="inlineStr">
        <is>
          <t>[linha bruta, sem código; lançada nas linhas abaixo]</t>
        </is>
      </c>
      <c r="D23" s="265" t="n">
        <v>94376</v>
      </c>
      <c r="E23" s="265" t="n">
        <v>191998</v>
      </c>
      <c r="F23" s="265" t="n">
        <v>292822</v>
      </c>
      <c r="G23" s="265" t="n">
        <v>394466</v>
      </c>
      <c r="I23" s="265" t="n">
        <v>105380</v>
      </c>
      <c r="J23" s="265" t="n">
        <v>211707</v>
      </c>
      <c r="K23" s="265" t="n">
        <v>319402</v>
      </c>
      <c r="L23" s="265" t="n">
        <v>433420</v>
      </c>
      <c r="N23" s="265" t="n">
        <v>116284</v>
      </c>
      <c r="O23" s="265" t="n">
        <v>234060</v>
      </c>
      <c r="P23" s="265" t="n">
        <v>355693</v>
      </c>
      <c r="Q23" s="265" t="n">
        <v>480108</v>
      </c>
      <c r="S23" s="265" t="n">
        <v>133389</v>
      </c>
      <c r="T23" s="265" t="n">
        <v>270632</v>
      </c>
      <c r="U23" s="265" t="n">
        <v>412568</v>
      </c>
      <c r="V23" s="265" t="n">
        <v>559949</v>
      </c>
      <c r="X23" s="265" t="n">
        <v>151334</v>
      </c>
      <c r="Y23" s="265" t="n">
        <v>305255</v>
      </c>
      <c r="Z23" s="265" t="n">
        <v>460228</v>
      </c>
      <c r="AA23" s="265" t="n">
        <v>626251</v>
      </c>
      <c r="AC23" s="265" t="n">
        <v>172399</v>
      </c>
      <c r="AD23" s="265" t="n">
        <v>347253</v>
      </c>
    </row>
    <row r="24">
      <c r="A24" t="inlineStr">
        <is>
          <t>Dividendos e JCP pagos (linha "Pagamentos de Juros sobre Capital Proprio"/dividendos da DFC, acum.) · memoria · unid. moeda</t>
        </is>
      </c>
      <c r="C24" t="inlineStr">
        <is>
          <t>[linha bruta, sem código; lançada nas linhas abaixo]</t>
        </is>
      </c>
      <c r="D24" s="265" t="n"/>
      <c r="E24" s="265" t="n">
        <v>-267765</v>
      </c>
      <c r="F24" s="265" t="n">
        <v>-267471</v>
      </c>
      <c r="G24" s="265" t="n">
        <v>-267575</v>
      </c>
      <c r="I24" s="265" t="n">
        <v>-1</v>
      </c>
      <c r="J24" s="265" t="n">
        <v>-308823</v>
      </c>
      <c r="K24" s="265" t="n">
        <v>-309347</v>
      </c>
      <c r="L24" s="265" t="n">
        <v>-309347</v>
      </c>
      <c r="N24" s="265" t="n">
        <v>0</v>
      </c>
      <c r="O24" s="265" t="n">
        <v>-385616</v>
      </c>
      <c r="P24" s="265" t="n">
        <v>-385542</v>
      </c>
      <c r="Q24" s="265" t="n">
        <v>-385542</v>
      </c>
      <c r="S24" s="265" t="n"/>
      <c r="T24" s="265" t="n">
        <v>-403196</v>
      </c>
      <c r="U24" s="265" t="n">
        <v>-403072</v>
      </c>
      <c r="V24" s="265" t="n">
        <v>-403072</v>
      </c>
      <c r="X24" s="265" t="n"/>
      <c r="Y24" s="265" t="n">
        <v>-412427</v>
      </c>
      <c r="Z24" s="265" t="n">
        <v>-412735</v>
      </c>
      <c r="AA24" s="265" t="n">
        <v>-412743</v>
      </c>
      <c r="AC24" s="265" t="n"/>
      <c r="AD24" s="265" t="n">
        <v>-524206</v>
      </c>
    </row>
    <row r="25">
      <c r="A25" t="inlineStr">
        <is>
          <t>DRE / DFC TRIMESTRALIZADAS (derivadas por formula: 4T = ano - 9M; DFC = acumulado - acumulado anterior)</t>
        </is>
      </c>
      <c r="C25" t="inlineStr">
        <is>
          <t>[linha bruta, sem código; lançada nas linhas abaixo]</t>
        </is>
      </c>
      <c r="D25" s="265" t="n"/>
      <c r="E25" s="265" t="n"/>
      <c r="F25" s="265" t="n"/>
      <c r="G25" s="265" t="n"/>
      <c r="I25" s="265" t="n"/>
      <c r="J25" s="265" t="n"/>
      <c r="K25" s="265" t="n"/>
      <c r="L25" s="265" t="n"/>
      <c r="N25" s="265" t="n"/>
      <c r="O25" s="265" t="n"/>
      <c r="P25" s="265" t="n"/>
      <c r="Q25" s="265" t="n"/>
      <c r="S25" s="265" t="n"/>
      <c r="T25" s="265" t="n"/>
      <c r="U25" s="265" t="n"/>
      <c r="V25" s="265" t="n"/>
      <c r="X25" s="265" t="n"/>
      <c r="Y25" s="265" t="n"/>
      <c r="Z25" s="265" t="n"/>
      <c r="AA25" s="265" t="n"/>
      <c r="AC25" s="265" t="n"/>
      <c r="AD25" s="265" t="n"/>
    </row>
    <row r="26">
      <c r="A26" t="inlineStr">
        <is>
          <t>Receita liquida (3.01) · derivada · unid. moeda</t>
        </is>
      </c>
      <c r="B26" t="n">
        <v>1</v>
      </c>
      <c r="C26" t="inlineStr">
        <is>
          <t>Net Revenues</t>
        </is>
      </c>
      <c r="D26" s="265">
        <f>N(D5)</f>
        <v>1226476</v>
      </c>
      <c r="E26" s="265">
        <f>N(E5)</f>
        <v>1273389</v>
      </c>
      <c r="F26" s="265">
        <f>N(F5)</f>
        <v>1321360</v>
      </c>
      <c r="G26" s="265">
        <f>N(G5)-SUM(D5:F5)</f>
        <v>1383187</v>
      </c>
      <c r="I26" s="265">
        <f>N(I5)</f>
        <v>1406842</v>
      </c>
      <c r="J26" s="265">
        <f>N(J5)</f>
        <v>1359113</v>
      </c>
      <c r="K26" s="265">
        <f>N(K5)</f>
        <v>1432464</v>
      </c>
      <c r="L26" s="265">
        <f>N(L5)-SUM(I5:K5)</f>
        <v>1475228</v>
      </c>
      <c r="N26" s="265">
        <f>N(N5)</f>
        <v>1453963</v>
      </c>
      <c r="O26" s="265">
        <f>N(O5)</f>
        <v>1536029</v>
      </c>
      <c r="P26" s="265">
        <f>N(P5)</f>
        <v>1605776</v>
      </c>
      <c r="Q26" s="265">
        <f>N(Q5)-SUM(N5:P5)</f>
        <v>1696968</v>
      </c>
      <c r="S26" s="265">
        <f>N(S5)</f>
        <v>1698012</v>
      </c>
      <c r="T26" s="265">
        <f>N(T5)</f>
        <v>1664252</v>
      </c>
      <c r="U26" s="265">
        <f>N(U5)</f>
        <v>1709748</v>
      </c>
      <c r="V26" s="265">
        <f>N(V5)-SUM(S5:U5)</f>
        <v>1776207</v>
      </c>
      <c r="X26" s="265">
        <f>N(X5)</f>
        <v>1805233</v>
      </c>
      <c r="Y26" s="265">
        <f>N(Y5)</f>
        <v>1705371</v>
      </c>
      <c r="Z26" s="265">
        <f>N(Z5)</f>
        <v>1804171</v>
      </c>
      <c r="AA26" s="265">
        <f>N(AA5)-SUM(X5:Z5)</f>
        <v>1890952</v>
      </c>
      <c r="AC26" s="265">
        <f>N(AC5)</f>
        <v>1946354</v>
      </c>
      <c r="AD26" s="265">
        <f>N(AD5)</f>
        <v>1901160</v>
      </c>
    </row>
    <row r="27">
      <c r="A27" t="inlineStr">
        <is>
          <t>Custo dos servicos (3.02; inclui D&amp;A, devolvida abaixo) · derivada · unid. moeda</t>
        </is>
      </c>
      <c r="B27" t="n">
        <v>2</v>
      </c>
      <c r="C27" t="inlineStr">
        <is>
          <t>COGS (cash)</t>
        </is>
      </c>
      <c r="D27" s="265">
        <f>N(D6)</f>
        <v>-480777</v>
      </c>
      <c r="E27" s="265">
        <f>N(E6)</f>
        <v>-499378</v>
      </c>
      <c r="F27" s="265">
        <f>N(F6)</f>
        <v>-517480</v>
      </c>
      <c r="G27" s="265">
        <f>N(G6)-SUM(D6:F6)</f>
        <v>-553102</v>
      </c>
      <c r="I27" s="265">
        <f>N(I6)</f>
        <v>-589834</v>
      </c>
      <c r="J27" s="265">
        <f>N(J6)</f>
        <v>-650748</v>
      </c>
      <c r="K27" s="265">
        <f>N(K6)</f>
        <v>-569188</v>
      </c>
      <c r="L27" s="265">
        <f>N(L6)-SUM(I6:K6)</f>
        <v>-573585</v>
      </c>
      <c r="N27" s="265">
        <f>N(N6)</f>
        <v>-588609</v>
      </c>
      <c r="O27" s="265">
        <f>N(O6)</f>
        <v>-617138</v>
      </c>
      <c r="P27" s="265">
        <f>N(P6)</f>
        <v>-643086</v>
      </c>
      <c r="Q27" s="265">
        <f>N(Q6)-SUM(N6:P6)</f>
        <v>-666060</v>
      </c>
      <c r="S27" s="265">
        <f>N(S6)</f>
        <v>-685830</v>
      </c>
      <c r="T27" s="265">
        <f>N(T6)</f>
        <v>-735623</v>
      </c>
      <c r="U27" s="265">
        <f>N(U6)</f>
        <v>-735906</v>
      </c>
      <c r="V27" s="265">
        <f>N(V6)-SUM(S6:U6)</f>
        <v>-733027</v>
      </c>
      <c r="X27" s="265">
        <f>N(X6)</f>
        <v>-841486</v>
      </c>
      <c r="Y27" s="265">
        <f>N(Y6)</f>
        <v>-723355</v>
      </c>
      <c r="Z27" s="265">
        <f>N(Z6)</f>
        <v>-786147</v>
      </c>
      <c r="AA27" s="265">
        <f>N(AA6)-SUM(X6:Z6)</f>
        <v>-799795</v>
      </c>
      <c r="AC27" s="265">
        <f>N(AC6)</f>
        <v>-789461</v>
      </c>
      <c r="AD27" s="265">
        <f>N(AD6)</f>
        <v>-829668</v>
      </c>
    </row>
    <row r="28">
      <c r="A28" t="inlineStr">
        <is>
          <t>Despesas com vendas (3.04.01) · derivada · unid. moeda</t>
        </is>
      </c>
      <c r="B28" t="n">
        <v>3</v>
      </c>
      <c r="C28" t="inlineStr">
        <is>
          <t>SG&amp;A and Other (cash)</t>
        </is>
      </c>
      <c r="D28" s="265">
        <f>N(D7)</f>
        <v>-94252</v>
      </c>
      <c r="E28" s="265">
        <f>N(E7)</f>
        <v>-105786</v>
      </c>
      <c r="F28" s="265">
        <f>N(F7)</f>
        <v>-113044</v>
      </c>
      <c r="G28" s="265">
        <f>N(G7)-SUM(D7:F7)</f>
        <v>-112729</v>
      </c>
      <c r="I28" s="265">
        <f>N(I7)</f>
        <v>-114856</v>
      </c>
      <c r="J28" s="265">
        <f>N(J7)</f>
        <v>-128255</v>
      </c>
      <c r="K28" s="265">
        <f>N(K7)</f>
        <v>-130105</v>
      </c>
      <c r="L28" s="265">
        <f>N(L7)-SUM(I7:K7)</f>
        <v>-96392</v>
      </c>
      <c r="N28" s="265">
        <f>N(N7)</f>
        <v>-25965</v>
      </c>
      <c r="O28" s="265">
        <f>N(O7)</f>
        <v>-74768</v>
      </c>
      <c r="P28" s="265">
        <f>N(P7)</f>
        <v>-44130</v>
      </c>
      <c r="Q28" s="265">
        <f>N(Q7)-SUM(N7:P7)</f>
        <v>-111499</v>
      </c>
      <c r="S28" s="265">
        <f>N(S7)</f>
        <v>-118809</v>
      </c>
      <c r="T28" s="265">
        <f>N(T7)</f>
        <v>-140947</v>
      </c>
      <c r="U28" s="265">
        <f>N(U7)</f>
        <v>-159789</v>
      </c>
      <c r="V28" s="265">
        <f>N(V7)-SUM(S7:U7)</f>
        <v>-142809</v>
      </c>
      <c r="X28" s="265">
        <f>N(X7)</f>
        <v>-225409</v>
      </c>
      <c r="Y28" s="265">
        <f>N(Y7)</f>
        <v>-164503</v>
      </c>
      <c r="Z28" s="265">
        <f>N(Z7)</f>
        <v>-129099</v>
      </c>
      <c r="AA28" s="265">
        <f>N(AA7)-SUM(X7:Z7)</f>
        <v>-187037</v>
      </c>
      <c r="AC28" s="265">
        <f>N(AC7)</f>
        <v>-138018</v>
      </c>
      <c r="AD28" s="265">
        <f>N(AD7)</f>
        <v>-154884</v>
      </c>
    </row>
    <row r="29">
      <c r="A29" t="inlineStr">
        <is>
          <t>Despesas gerais e administrativas (3.04.02) · derivada · unid. moeda</t>
        </is>
      </c>
      <c r="B29" t="n">
        <v>3</v>
      </c>
      <c r="C29" t="inlineStr">
        <is>
          <t>SG&amp;A and Other (cash)</t>
        </is>
      </c>
      <c r="D29" s="265">
        <f>N(D8)</f>
        <v>-142209</v>
      </c>
      <c r="E29" s="265">
        <f>N(E8)</f>
        <v>-142149</v>
      </c>
      <c r="F29" s="265">
        <f>N(F8)</f>
        <v>-150892</v>
      </c>
      <c r="G29" s="265">
        <f>N(G8)-SUM(D8:F8)</f>
        <v>-176939</v>
      </c>
      <c r="I29" s="265">
        <f>N(I8)</f>
        <v>-158689</v>
      </c>
      <c r="J29" s="265">
        <f>N(J8)</f>
        <v>-156616</v>
      </c>
      <c r="K29" s="265">
        <f>N(K8)</f>
        <v>-188246</v>
      </c>
      <c r="L29" s="265">
        <f>N(L8)-SUM(I8:K8)</f>
        <v>-189062</v>
      </c>
      <c r="N29" s="265">
        <f>N(N8)</f>
        <v>-186601</v>
      </c>
      <c r="O29" s="265">
        <f>N(O8)</f>
        <v>-190952</v>
      </c>
      <c r="P29" s="265">
        <f>N(P8)</f>
        <v>-192717</v>
      </c>
      <c r="Q29" s="265">
        <f>N(Q8)-SUM(N8:P8)</f>
        <v>-235377</v>
      </c>
      <c r="S29" s="265">
        <f>N(S8)</f>
        <v>-241326</v>
      </c>
      <c r="T29" s="265">
        <f>N(T8)</f>
        <v>-299049</v>
      </c>
      <c r="U29" s="265">
        <f>N(U8)</f>
        <v>-284426</v>
      </c>
      <c r="V29" s="265">
        <f>N(V8)-SUM(S8:U8)</f>
        <v>-257807</v>
      </c>
      <c r="X29" s="265">
        <f>N(X8)</f>
        <v>-529283</v>
      </c>
      <c r="Y29" s="265">
        <f>N(Y8)</f>
        <v>-249532</v>
      </c>
      <c r="Z29" s="265">
        <f>N(Z8)</f>
        <v>-285926</v>
      </c>
      <c r="AA29" s="265">
        <f>N(AA8)-SUM(X8:Z8)</f>
        <v>-319746</v>
      </c>
      <c r="AC29" s="265">
        <f>N(AC8)</f>
        <v>-287230</v>
      </c>
      <c r="AD29" s="265">
        <f>N(AD8)</f>
        <v>-292790</v>
      </c>
    </row>
    <row r="30">
      <c r="A30" t="inlineStr">
        <is>
          <t>Perdas pela nao recuperabilidade de ativos (3.04.03) · derivada · unid. moeda</t>
        </is>
      </c>
      <c r="B30" t="n">
        <v>3</v>
      </c>
      <c r="C30" t="inlineStr">
        <is>
          <t>SG&amp;A and Other (cash)</t>
        </is>
      </c>
      <c r="D30" s="265">
        <f>N(D9)</f>
        <v>0</v>
      </c>
      <c r="E30" s="265">
        <f>N(E9)</f>
        <v>0</v>
      </c>
      <c r="F30" s="265">
        <f>N(F9)</f>
        <v>0</v>
      </c>
      <c r="G30" s="265">
        <f>N(G9)-SUM(D9:F9)</f>
        <v>-4119</v>
      </c>
      <c r="I30" s="265">
        <f>N(I9)</f>
        <v>0</v>
      </c>
      <c r="J30" s="265">
        <f>N(J9)</f>
        <v>0</v>
      </c>
      <c r="K30" s="265">
        <f>N(K9)</f>
        <v>0</v>
      </c>
      <c r="L30" s="265">
        <f>N(L9)-SUM(I9:K9)</f>
        <v>-6627</v>
      </c>
      <c r="N30" s="265">
        <f>N(N9)</f>
        <v>0</v>
      </c>
      <c r="O30" s="265">
        <f>N(O9)</f>
        <v>0</v>
      </c>
      <c r="P30" s="265">
        <f>N(P9)</f>
        <v>0</v>
      </c>
      <c r="Q30" s="265">
        <f>N(Q9)-SUM(N9:P9)</f>
        <v>9807</v>
      </c>
      <c r="S30" s="265">
        <f>N(S9)</f>
        <v>0</v>
      </c>
      <c r="T30" s="265">
        <f>N(T9)</f>
        <v>0</v>
      </c>
      <c r="U30" s="265">
        <f>N(U9)</f>
        <v>0</v>
      </c>
      <c r="V30" s="265">
        <f>N(V9)-SUM(S9:U9)</f>
        <v>-4488</v>
      </c>
      <c r="X30" s="265">
        <f>N(X9)</f>
        <v>0</v>
      </c>
      <c r="Y30" s="265">
        <f>N(Y9)</f>
        <v>0</v>
      </c>
      <c r="Z30" s="265">
        <f>N(Z9)</f>
        <v>0</v>
      </c>
      <c r="AA30" s="265">
        <f>N(AA9)-SUM(X9:Z9)</f>
        <v>-8883</v>
      </c>
      <c r="AC30" s="265">
        <f>N(AC9)</f>
        <v>0</v>
      </c>
      <c r="AD30" s="265">
        <f>N(AD9)</f>
        <v>0</v>
      </c>
    </row>
    <row r="31">
      <c r="A31" t="inlineStr">
        <is>
          <t>Outras receitas operacionais (3.04.04) · derivada · unid. moeda</t>
        </is>
      </c>
      <c r="B31" t="n">
        <v>3</v>
      </c>
      <c r="C31" t="inlineStr">
        <is>
          <t>SG&amp;A and Other (cash)</t>
        </is>
      </c>
      <c r="D31" s="265">
        <f>N(D10)</f>
        <v>0</v>
      </c>
      <c r="E31" s="265">
        <f>N(E10)</f>
        <v>0</v>
      </c>
      <c r="F31" s="265">
        <f>N(F10)</f>
        <v>0</v>
      </c>
      <c r="G31" s="265">
        <f>N(G10)-SUM(D10:F10)</f>
        <v>0</v>
      </c>
      <c r="I31" s="265">
        <f>N(I10)</f>
        <v>0</v>
      </c>
      <c r="J31" s="265">
        <f>N(J10)</f>
        <v>0</v>
      </c>
      <c r="K31" s="265">
        <f>N(K10)</f>
        <v>0</v>
      </c>
      <c r="L31" s="265">
        <f>N(L10)-SUM(I10:K10)</f>
        <v>0</v>
      </c>
      <c r="N31" s="265">
        <f>N(N10)</f>
        <v>0</v>
      </c>
      <c r="O31" s="265">
        <f>N(O10)</f>
        <v>0</v>
      </c>
      <c r="P31" s="265">
        <f>N(P10)</f>
        <v>0</v>
      </c>
      <c r="Q31" s="265">
        <f>N(Q10)-SUM(N10:P10)</f>
        <v>0</v>
      </c>
      <c r="S31" s="265">
        <f>N(S10)</f>
        <v>0</v>
      </c>
      <c r="T31" s="265">
        <f>N(T10)</f>
        <v>0</v>
      </c>
      <c r="U31" s="265">
        <f>N(U10)</f>
        <v>0</v>
      </c>
      <c r="V31" s="265">
        <f>N(V10)-SUM(S10:U10)</f>
        <v>0</v>
      </c>
      <c r="X31" s="265">
        <f>N(X10)</f>
        <v>2058450</v>
      </c>
      <c r="Y31" s="265">
        <f>N(Y10)</f>
        <v>507</v>
      </c>
      <c r="Z31" s="265">
        <f>N(Z10)</f>
        <v>1174</v>
      </c>
      <c r="AA31" s="265">
        <f>N(AA10)-SUM(X10:Z10)</f>
        <v>11698</v>
      </c>
      <c r="AC31" s="265">
        <f>N(AC10)</f>
        <v>746</v>
      </c>
      <c r="AD31" s="265">
        <f>N(AD10)</f>
        <v>3331</v>
      </c>
    </row>
    <row r="32">
      <c r="A32" t="inlineStr">
        <is>
          <t>Outras despesas operacionais (3.04.05; inclui provisao do passivo regulatorio operacional) · derivada · unid. moeda</t>
        </is>
      </c>
      <c r="B32" t="n">
        <v>3</v>
      </c>
      <c r="C32" t="inlineStr">
        <is>
          <t>SG&amp;A and Other (cash)</t>
        </is>
      </c>
      <c r="D32" s="265">
        <f>N(D11)</f>
        <v>-80431</v>
      </c>
      <c r="E32" s="265">
        <f>N(E11)</f>
        <v>-41035</v>
      </c>
      <c r="F32" s="265">
        <f>N(F11)</f>
        <v>-47525</v>
      </c>
      <c r="G32" s="265">
        <f>N(G11)-SUM(D11:F11)</f>
        <v>-60859</v>
      </c>
      <c r="I32" s="265">
        <f>N(I11)</f>
        <v>-52373</v>
      </c>
      <c r="J32" s="265">
        <f>N(J11)</f>
        <v>-86167</v>
      </c>
      <c r="K32" s="265">
        <f>N(K11)</f>
        <v>-78865</v>
      </c>
      <c r="L32" s="265">
        <f>N(L11)-SUM(I11:K11)</f>
        <v>-112194</v>
      </c>
      <c r="N32" s="265">
        <f>N(N11)</f>
        <v>-104765</v>
      </c>
      <c r="O32" s="265">
        <f>N(O11)</f>
        <v>-107490</v>
      </c>
      <c r="P32" s="265">
        <f>N(P11)</f>
        <v>-69400</v>
      </c>
      <c r="Q32" s="265">
        <f>N(Q11)-SUM(N11:P11)</f>
        <v>-91433</v>
      </c>
      <c r="S32" s="265">
        <f>N(S11)</f>
        <v>-11270</v>
      </c>
      <c r="T32" s="265">
        <f>N(T11)</f>
        <v>18241</v>
      </c>
      <c r="U32" s="265">
        <f>N(U11)</f>
        <v>86873</v>
      </c>
      <c r="V32" s="265">
        <f>N(V11)-SUM(S11:U11)</f>
        <v>-25614</v>
      </c>
      <c r="X32" s="265">
        <f>N(X11)</f>
        <v>-1302908</v>
      </c>
      <c r="Y32" s="265">
        <f>N(Y11)</f>
        <v>-186465</v>
      </c>
      <c r="Z32" s="265">
        <f>N(Z11)</f>
        <v>-203511</v>
      </c>
      <c r="AA32" s="265">
        <f>N(AA11)-SUM(X11:Z11)</f>
        <v>3035</v>
      </c>
      <c r="AC32" s="265">
        <f>N(AC11)</f>
        <v>-61349</v>
      </c>
      <c r="AD32" s="265">
        <f>N(AD11)</f>
        <v>-261741</v>
      </c>
    </row>
    <row r="33">
      <c r="A33" t="inlineStr">
        <is>
          <t>Resultado de equivalencia patrimonial (3.04.06) · derivada · unid. moeda</t>
        </is>
      </c>
      <c r="B33" t="n">
        <v>8</v>
      </c>
      <c r="C33" t="inlineStr">
        <is>
          <t>Equity in Income of Affiliates, after tax (enter as +)</t>
        </is>
      </c>
      <c r="D33" s="265">
        <f>N(D13)</f>
        <v>-445</v>
      </c>
      <c r="E33" s="265">
        <f>N(E13)</f>
        <v>-800</v>
      </c>
      <c r="F33" s="265">
        <f>N(F13)</f>
        <v>-1093</v>
      </c>
      <c r="G33" s="265">
        <f>N(G13)-SUM(D13:F13)</f>
        <v>-620</v>
      </c>
      <c r="I33" s="265">
        <f>N(I13)</f>
        <v>-751</v>
      </c>
      <c r="J33" s="265">
        <f>N(J13)</f>
        <v>-847</v>
      </c>
      <c r="K33" s="265">
        <f>N(K13)</f>
        <v>-625</v>
      </c>
      <c r="L33" s="265">
        <f>N(L13)-SUM(I13:K13)</f>
        <v>-1077</v>
      </c>
      <c r="N33" s="265">
        <f>N(N13)</f>
        <v>-417</v>
      </c>
      <c r="O33" s="265">
        <f>N(O13)</f>
        <v>-171</v>
      </c>
      <c r="P33" s="265">
        <f>N(P13)</f>
        <v>-361</v>
      </c>
      <c r="Q33" s="265">
        <f>N(Q13)-SUM(N13:P13)</f>
        <v>-4314</v>
      </c>
      <c r="S33" s="265">
        <f>N(S13)</f>
        <v>0</v>
      </c>
      <c r="T33" s="265">
        <f>N(T13)</f>
        <v>0</v>
      </c>
      <c r="U33" s="265">
        <f>N(U13)</f>
        <v>0</v>
      </c>
      <c r="V33" s="265">
        <f>N(V13)-SUM(S13:U13)</f>
        <v>0</v>
      </c>
      <c r="X33" s="265">
        <f>N(X13)</f>
        <v>0</v>
      </c>
      <c r="Y33" s="265">
        <f>N(Y13)</f>
        <v>0</v>
      </c>
      <c r="Z33" s="265">
        <f>N(Z13)</f>
        <v>0</v>
      </c>
      <c r="AA33" s="265">
        <f>N(AA13)-SUM(X13:Z13)</f>
        <v>0</v>
      </c>
      <c r="AC33" s="265">
        <f>N(AC13)</f>
        <v>0</v>
      </c>
      <c r="AD33" s="265">
        <f>N(AD13)</f>
        <v>0</v>
      </c>
    </row>
    <row r="34">
      <c r="A34" t="inlineStr">
        <is>
          <t>Receitas financeiras (3.06.01) · derivada · unid. moeda</t>
        </is>
      </c>
      <c r="B34" t="n">
        <v>6</v>
      </c>
      <c r="C34" t="inlineStr">
        <is>
          <t>Nonoperating Income / (Loss)</t>
        </is>
      </c>
      <c r="D34" s="265">
        <f>N(D15)</f>
        <v>15600</v>
      </c>
      <c r="E34" s="265">
        <f>N(E15)</f>
        <v>25060</v>
      </c>
      <c r="F34" s="265">
        <f>N(F15)</f>
        <v>25559</v>
      </c>
      <c r="G34" s="265">
        <f>N(G15)-SUM(D15:F15)</f>
        <v>39062</v>
      </c>
      <c r="I34" s="265">
        <f>N(I15)</f>
        <v>58886</v>
      </c>
      <c r="J34" s="265">
        <f>N(J15)</f>
        <v>76616</v>
      </c>
      <c r="K34" s="265">
        <f>N(K15)</f>
        <v>67998</v>
      </c>
      <c r="L34" s="265">
        <f>N(L15)-SUM(I15:K15)</f>
        <v>61391</v>
      </c>
      <c r="N34" s="265">
        <f>N(N15)</f>
        <v>68358</v>
      </c>
      <c r="O34" s="265">
        <f>N(O15)</f>
        <v>81409</v>
      </c>
      <c r="P34" s="265">
        <f>N(P15)</f>
        <v>70977</v>
      </c>
      <c r="Q34" s="265">
        <f>N(Q15)-SUM(N15:P15)</f>
        <v>74958</v>
      </c>
      <c r="S34" s="265">
        <f>N(S15)</f>
        <v>82674</v>
      </c>
      <c r="T34" s="265">
        <f>N(T15)</f>
        <v>104810</v>
      </c>
      <c r="U34" s="265">
        <f>N(U15)</f>
        <v>100879</v>
      </c>
      <c r="V34" s="265">
        <f>N(V15)-SUM(S15:U15)</f>
        <v>114376</v>
      </c>
      <c r="X34" s="265">
        <f>N(X15)</f>
        <v>2165702</v>
      </c>
      <c r="Y34" s="265">
        <f>N(Y15)</f>
        <v>240017</v>
      </c>
      <c r="Z34" s="265">
        <f>N(Z15)</f>
        <v>379450</v>
      </c>
      <c r="AA34" s="265">
        <f>N(AA15)-SUM(X15:Z15)</f>
        <v>259881</v>
      </c>
      <c r="AC34" s="265">
        <f>N(AC15)</f>
        <v>311274</v>
      </c>
      <c r="AD34" s="265">
        <f>N(AD15)</f>
        <v>272319</v>
      </c>
    </row>
    <row r="35">
      <c r="A35" t="inlineStr">
        <is>
          <t>Despesas financeiras (3.06.02, total) · derivada · unid. moeda</t>
        </is>
      </c>
      <c r="B35" t="n">
        <v>5</v>
      </c>
      <c r="C35" t="inlineStr">
        <is>
          <t>Interest Expense</t>
        </is>
      </c>
      <c r="D35" s="265">
        <f>N(D16)</f>
        <v>-70944</v>
      </c>
      <c r="E35" s="265">
        <f>N(E16)</f>
        <v>-85035</v>
      </c>
      <c r="F35" s="265">
        <f>N(F16)</f>
        <v>-118819</v>
      </c>
      <c r="G35" s="265">
        <f>N(G16)-SUM(D16:F16)</f>
        <v>-105665</v>
      </c>
      <c r="I35" s="265">
        <f>N(I16)</f>
        <v>-114215</v>
      </c>
      <c r="J35" s="265">
        <f>N(J16)</f>
        <v>-140267</v>
      </c>
      <c r="K35" s="265">
        <f>N(K16)</f>
        <v>-124866</v>
      </c>
      <c r="L35" s="265">
        <f>N(L16)-SUM(I16:K16)</f>
        <v>-128541</v>
      </c>
      <c r="N35" s="265">
        <f>N(N16)</f>
        <v>-138902</v>
      </c>
      <c r="O35" s="265">
        <f>N(O16)</f>
        <v>-127204</v>
      </c>
      <c r="P35" s="265">
        <f>N(P16)</f>
        <v>-136009</v>
      </c>
      <c r="Q35" s="265">
        <f>N(Q16)-SUM(N16:P16)</f>
        <v>-216556</v>
      </c>
      <c r="S35" s="265">
        <f>N(S16)</f>
        <v>-157202</v>
      </c>
      <c r="T35" s="265">
        <f>N(T16)</f>
        <v>-157906</v>
      </c>
      <c r="U35" s="265">
        <f>N(U16)</f>
        <v>-149704</v>
      </c>
      <c r="V35" s="265">
        <f>N(V16)-SUM(S16:U16)</f>
        <v>-232378</v>
      </c>
      <c r="X35" s="265">
        <f>N(X16)</f>
        <v>-1980949</v>
      </c>
      <c r="Y35" s="265">
        <f>N(Y16)</f>
        <v>-420701</v>
      </c>
      <c r="Z35" s="265">
        <f>N(Z16)</f>
        <v>-330612</v>
      </c>
      <c r="AA35" s="265">
        <f>N(AA16)-SUM(X16:Z16)</f>
        <v>-347639</v>
      </c>
      <c r="AC35" s="265">
        <f>N(AC16)</f>
        <v>-383737</v>
      </c>
      <c r="AD35" s="265">
        <f>N(AD16)</f>
        <v>-921679</v>
      </c>
    </row>
    <row r="36">
      <c r="A36" t="inlineStr">
        <is>
          <t>Provisao passivo regulatorio financeira (3.06.02.02): sai da despesa de juros (cod 5) e vai para outras (cod 6) · derivada · unid. moeda</t>
        </is>
      </c>
      <c r="C36" t="inlineStr">
        <is>
          <t>[linha bruta, sem código; lançada nas linhas abaixo]</t>
        </is>
      </c>
      <c r="D36" s="265">
        <f>N(D17)</f>
        <v>0</v>
      </c>
      <c r="E36" s="265">
        <f>N(E17)</f>
        <v>0</v>
      </c>
      <c r="F36" s="265">
        <f>N(F17)</f>
        <v>0</v>
      </c>
      <c r="G36" s="265">
        <f>N(G17)-SUM(D17:F17)</f>
        <v>0</v>
      </c>
      <c r="I36" s="265">
        <f>N(I17)</f>
        <v>0</v>
      </c>
      <c r="J36" s="265">
        <f>N(J17)</f>
        <v>0</v>
      </c>
      <c r="K36" s="265">
        <f>N(K17)</f>
        <v>0</v>
      </c>
      <c r="L36" s="265">
        <f>N(L17)-SUM(I17:K17)</f>
        <v>0</v>
      </c>
      <c r="N36" s="265">
        <f>N(N17)</f>
        <v>0</v>
      </c>
      <c r="O36" s="265">
        <f>N(O17)</f>
        <v>0</v>
      </c>
      <c r="P36" s="265">
        <f>N(P17)</f>
        <v>0</v>
      </c>
      <c r="Q36" s="265">
        <f>N(Q17)-SUM(N17:P17)</f>
        <v>0</v>
      </c>
      <c r="S36" s="265">
        <f>N(S17)</f>
        <v>0</v>
      </c>
      <c r="T36" s="265">
        <f>N(T17)</f>
        <v>0</v>
      </c>
      <c r="U36" s="265">
        <f>N(U17)</f>
        <v>0</v>
      </c>
      <c r="V36" s="265">
        <f>N(V17)-SUM(S17:U17)</f>
        <v>0</v>
      </c>
      <c r="X36" s="265">
        <f>N(X17)</f>
        <v>-1535934</v>
      </c>
      <c r="Y36" s="265">
        <f>N(Y17)</f>
        <v>-39168</v>
      </c>
      <c r="Z36" s="265">
        <f>N(Z17)</f>
        <v>-77823</v>
      </c>
      <c r="AA36" s="265">
        <f>N(AA17)-SUM(X17:Z17)</f>
        <v>-110695</v>
      </c>
      <c r="AC36" s="265">
        <f>N(AC17)</f>
        <v>-149811</v>
      </c>
      <c r="AD36" s="265">
        <f>N(AD17)</f>
        <v>-693089</v>
      </c>
    </row>
    <row r="37">
      <c r="A37" t="inlineStr">
        <is>
          <t>(lançamento) código 6, sinal +1 sobre a linha bruta 36: Provisao passivo regulatorio financeira (3.06.02.02): sai da despesa de juros (cod 5) e va</t>
        </is>
      </c>
      <c r="B37" t="n">
        <v>6</v>
      </c>
      <c r="C37" t="inlineStr">
        <is>
          <t>Nonoperating Income / (Loss)</t>
        </is>
      </c>
      <c r="D37" s="265">
        <f>IF(D36="","",D36)</f>
        <v>0</v>
      </c>
      <c r="E37" s="265">
        <f>IF(E36="","",E36)</f>
        <v>0</v>
      </c>
      <c r="F37" s="265">
        <f>IF(F36="","",F36)</f>
        <v>0</v>
      </c>
      <c r="G37" s="265">
        <f>IF(G36="","",G36)</f>
        <v>0</v>
      </c>
      <c r="I37" s="265">
        <f>IF(I36="","",I36)</f>
        <v>0</v>
      </c>
      <c r="J37" s="265">
        <f>IF(J36="","",J36)</f>
        <v>0</v>
      </c>
      <c r="K37" s="265">
        <f>IF(K36="","",K36)</f>
        <v>0</v>
      </c>
      <c r="L37" s="265">
        <f>IF(L36="","",L36)</f>
        <v>0</v>
      </c>
      <c r="N37" s="265">
        <f>IF(N36="","",N36)</f>
        <v>0</v>
      </c>
      <c r="O37" s="265">
        <f>IF(O36="","",O36)</f>
        <v>0</v>
      </c>
      <c r="P37" s="265">
        <f>IF(P36="","",P36)</f>
        <v>0</v>
      </c>
      <c r="Q37" s="265">
        <f>IF(Q36="","",Q36)</f>
        <v>0</v>
      </c>
      <c r="S37" s="265">
        <f>IF(S36="","",S36)</f>
        <v>0</v>
      </c>
      <c r="T37" s="265">
        <f>IF(T36="","",T36)</f>
        <v>0</v>
      </c>
      <c r="U37" s="265">
        <f>IF(U36="","",U36)</f>
        <v>0</v>
      </c>
      <c r="V37" s="265">
        <f>IF(V36="","",V36)</f>
        <v>0</v>
      </c>
      <c r="X37" s="265">
        <f>IF(X36="","",X36)</f>
        <v>-1535934</v>
      </c>
      <c r="Y37" s="265">
        <f>IF(Y36="","",Y36)</f>
        <v>-39168</v>
      </c>
      <c r="Z37" s="265">
        <f>IF(Z36="","",Z36)</f>
        <v>-77823</v>
      </c>
      <c r="AA37" s="265">
        <f>IF(AA36="","",AA36)</f>
        <v>-110695</v>
      </c>
      <c r="AC37" s="265">
        <f>IF(AC36="","",AC36)</f>
        <v>-149811</v>
      </c>
      <c r="AD37" s="265">
        <f>IF(AD36="","",AD36)</f>
        <v>-693089</v>
      </c>
    </row>
    <row r="38">
      <c r="A38" t="inlineStr">
        <is>
          <t>(lançamento) código 5, sinal -1 sobre a linha bruta 36: Provisao passivo regulatorio financeira (3.06.02.02): sai da despesa de juros (cod 5) e va</t>
        </is>
      </c>
      <c r="B38" t="n">
        <v>5</v>
      </c>
      <c r="C38" t="inlineStr">
        <is>
          <t>Interest Expense</t>
        </is>
      </c>
      <c r="D38" s="265">
        <f>IF(D36="","",-1*D36)</f>
        <v>0</v>
      </c>
      <c r="E38" s="265">
        <f>IF(E36="","",-1*E36)</f>
        <v>0</v>
      </c>
      <c r="F38" s="265">
        <f>IF(F36="","",-1*F36)</f>
        <v>0</v>
      </c>
      <c r="G38" s="265">
        <f>IF(G36="","",-1*G36)</f>
        <v>0</v>
      </c>
      <c r="I38" s="265">
        <f>IF(I36="","",-1*I36)</f>
        <v>0</v>
      </c>
      <c r="J38" s="265">
        <f>IF(J36="","",-1*J36)</f>
        <v>0</v>
      </c>
      <c r="K38" s="265">
        <f>IF(K36="","",-1*K36)</f>
        <v>0</v>
      </c>
      <c r="L38" s="265">
        <f>IF(L36="","",-1*L36)</f>
        <v>0</v>
      </c>
      <c r="N38" s="265">
        <f>IF(N36="","",-1*N36)</f>
        <v>0</v>
      </c>
      <c r="O38" s="265">
        <f>IF(O36="","",-1*O36)</f>
        <v>0</v>
      </c>
      <c r="P38" s="265">
        <f>IF(P36="","",-1*P36)</f>
        <v>0</v>
      </c>
      <c r="Q38" s="265">
        <f>IF(Q36="","",-1*Q36)</f>
        <v>0</v>
      </c>
      <c r="S38" s="265">
        <f>IF(S36="","",-1*S36)</f>
        <v>0</v>
      </c>
      <c r="T38" s="265">
        <f>IF(T36="","",-1*T36)</f>
        <v>0</v>
      </c>
      <c r="U38" s="265">
        <f>IF(U36="","",-1*U36)</f>
        <v>0</v>
      </c>
      <c r="V38" s="265">
        <f>IF(V36="","",-1*V36)</f>
        <v>0</v>
      </c>
      <c r="X38" s="265">
        <f>IF(X36="","",-1*X36)</f>
        <v>1535934</v>
      </c>
      <c r="Y38" s="265">
        <f>IF(Y36="","",-1*Y36)</f>
        <v>39168</v>
      </c>
      <c r="Z38" s="265">
        <f>IF(Z36="","",-1*Z36)</f>
        <v>77823</v>
      </c>
      <c r="AA38" s="265">
        <f>IF(AA36="","",-1*AA36)</f>
        <v>110695</v>
      </c>
      <c r="AC38" s="265">
        <f>IF(AC36="","",-1*AC36)</f>
        <v>149811</v>
      </c>
      <c r="AD38" s="265">
        <f>IF(AD36="","",-1*AD36)</f>
        <v>693089</v>
      </c>
    </row>
    <row r="39">
      <c r="A39" t="inlineStr">
        <is>
          <t>Ajuste a valor justo de precatorios (3.06.02.03): sai da despesa de juros e vai para outras · derivada · unid. moeda</t>
        </is>
      </c>
      <c r="C39" t="inlineStr">
        <is>
          <t>[linha bruta, sem código; lançada nas linhas abaixo]</t>
        </is>
      </c>
      <c r="D39" s="265">
        <f>N(D18)</f>
        <v>0</v>
      </c>
      <c r="E39" s="265">
        <f>N(E18)</f>
        <v>0</v>
      </c>
      <c r="F39" s="265">
        <f>N(F18)</f>
        <v>0</v>
      </c>
      <c r="G39" s="265">
        <f>N(G18)-SUM(D18:F18)</f>
        <v>0</v>
      </c>
      <c r="I39" s="265">
        <f>N(I18)</f>
        <v>0</v>
      </c>
      <c r="J39" s="265">
        <f>N(J18)</f>
        <v>0</v>
      </c>
      <c r="K39" s="265">
        <f>N(K18)</f>
        <v>0</v>
      </c>
      <c r="L39" s="265">
        <f>N(L18)-SUM(I18:K18)</f>
        <v>0</v>
      </c>
      <c r="N39" s="265">
        <f>N(N18)</f>
        <v>0</v>
      </c>
      <c r="O39" s="265">
        <f>N(O18)</f>
        <v>0</v>
      </c>
      <c r="P39" s="265">
        <f>N(P18)</f>
        <v>0</v>
      </c>
      <c r="Q39" s="265">
        <f>N(Q18)-SUM(N18:P18)</f>
        <v>0</v>
      </c>
      <c r="S39" s="265">
        <f>N(S18)</f>
        <v>0</v>
      </c>
      <c r="T39" s="265">
        <f>N(T18)</f>
        <v>0</v>
      </c>
      <c r="U39" s="265">
        <f>N(U18)</f>
        <v>0</v>
      </c>
      <c r="V39" s="265">
        <f>N(V18)-SUM(S18:U18)</f>
        <v>0</v>
      </c>
      <c r="X39" s="265">
        <f>N(X18)</f>
        <v>-249348</v>
      </c>
      <c r="Y39" s="265">
        <f>N(Y18)</f>
        <v>0</v>
      </c>
      <c r="Z39" s="265">
        <f>N(Z18)</f>
        <v>0</v>
      </c>
      <c r="AA39" s="265">
        <f>N(AA18)-SUM(X18:Z18)</f>
        <v>0</v>
      </c>
      <c r="AC39" s="265">
        <f>N(AC18)</f>
        <v>0</v>
      </c>
      <c r="AD39" s="265">
        <f>N(AD18)</f>
        <v>0</v>
      </c>
    </row>
    <row r="40">
      <c r="A40" t="inlineStr">
        <is>
          <t>(lançamento) código 6, sinal +1 sobre a linha bruta 39: Ajuste a valor justo de precatorios (3.06.02.03): sai da despesa de juros e vai para outra</t>
        </is>
      </c>
      <c r="B40" t="n">
        <v>6</v>
      </c>
      <c r="C40" t="inlineStr">
        <is>
          <t>Nonoperating Income / (Loss)</t>
        </is>
      </c>
      <c r="D40" s="265">
        <f>IF(D39="","",D39)</f>
        <v>0</v>
      </c>
      <c r="E40" s="265">
        <f>IF(E39="","",E39)</f>
        <v>0</v>
      </c>
      <c r="F40" s="265">
        <f>IF(F39="","",F39)</f>
        <v>0</v>
      </c>
      <c r="G40" s="265">
        <f>IF(G39="","",G39)</f>
        <v>0</v>
      </c>
      <c r="I40" s="265">
        <f>IF(I39="","",I39)</f>
        <v>0</v>
      </c>
      <c r="J40" s="265">
        <f>IF(J39="","",J39)</f>
        <v>0</v>
      </c>
      <c r="K40" s="265">
        <f>IF(K39="","",K39)</f>
        <v>0</v>
      </c>
      <c r="L40" s="265">
        <f>IF(L39="","",L39)</f>
        <v>0</v>
      </c>
      <c r="N40" s="265">
        <f>IF(N39="","",N39)</f>
        <v>0</v>
      </c>
      <c r="O40" s="265">
        <f>IF(O39="","",O39)</f>
        <v>0</v>
      </c>
      <c r="P40" s="265">
        <f>IF(P39="","",P39)</f>
        <v>0</v>
      </c>
      <c r="Q40" s="265">
        <f>IF(Q39="","",Q39)</f>
        <v>0</v>
      </c>
      <c r="S40" s="265">
        <f>IF(S39="","",S39)</f>
        <v>0</v>
      </c>
      <c r="T40" s="265">
        <f>IF(T39="","",T39)</f>
        <v>0</v>
      </c>
      <c r="U40" s="265">
        <f>IF(U39="","",U39)</f>
        <v>0</v>
      </c>
      <c r="V40" s="265">
        <f>IF(V39="","",V39)</f>
        <v>0</v>
      </c>
      <c r="X40" s="265">
        <f>IF(X39="","",X39)</f>
        <v>-249348</v>
      </c>
      <c r="Y40" s="265">
        <f>IF(Y39="","",Y39)</f>
        <v>0</v>
      </c>
      <c r="Z40" s="265">
        <f>IF(Z39="","",Z39)</f>
        <v>0</v>
      </c>
      <c r="AA40" s="265">
        <f>IF(AA39="","",AA39)</f>
        <v>0</v>
      </c>
      <c r="AC40" s="265">
        <f>IF(AC39="","",AC39)</f>
        <v>0</v>
      </c>
      <c r="AD40" s="265">
        <f>IF(AD39="","",AD39)</f>
        <v>0</v>
      </c>
    </row>
    <row r="41">
      <c r="A41" t="inlineStr">
        <is>
          <t>(lançamento) código 5, sinal -1 sobre a linha bruta 39: Ajuste a valor justo de precatorios (3.06.02.03): sai da despesa de juros e vai para outra</t>
        </is>
      </c>
      <c r="B41" t="n">
        <v>5</v>
      </c>
      <c r="C41" t="inlineStr">
        <is>
          <t>Interest Expense</t>
        </is>
      </c>
      <c r="D41" s="265">
        <f>IF(D39="","",-1*D39)</f>
        <v>0</v>
      </c>
      <c r="E41" s="265">
        <f>IF(E39="","",-1*E39)</f>
        <v>0</v>
      </c>
      <c r="F41" s="265">
        <f>IF(F39="","",-1*F39)</f>
        <v>0</v>
      </c>
      <c r="G41" s="265">
        <f>IF(G39="","",-1*G39)</f>
        <v>0</v>
      </c>
      <c r="I41" s="265">
        <f>IF(I39="","",-1*I39)</f>
        <v>0</v>
      </c>
      <c r="J41" s="265">
        <f>IF(J39="","",-1*J39)</f>
        <v>0</v>
      </c>
      <c r="K41" s="265">
        <f>IF(K39="","",-1*K39)</f>
        <v>0</v>
      </c>
      <c r="L41" s="265">
        <f>IF(L39="","",-1*L39)</f>
        <v>0</v>
      </c>
      <c r="N41" s="265">
        <f>IF(N39="","",-1*N39)</f>
        <v>0</v>
      </c>
      <c r="O41" s="265">
        <f>IF(O39="","",-1*O39)</f>
        <v>0</v>
      </c>
      <c r="P41" s="265">
        <f>IF(P39="","",-1*P39)</f>
        <v>0</v>
      </c>
      <c r="Q41" s="265">
        <f>IF(Q39="","",-1*Q39)</f>
        <v>0</v>
      </c>
      <c r="S41" s="265">
        <f>IF(S39="","",-1*S39)</f>
        <v>0</v>
      </c>
      <c r="T41" s="265">
        <f>IF(T39="","",-1*T39)</f>
        <v>0</v>
      </c>
      <c r="U41" s="265">
        <f>IF(U39="","",-1*U39)</f>
        <v>0</v>
      </c>
      <c r="V41" s="265">
        <f>IF(V39="","",-1*V39)</f>
        <v>0</v>
      </c>
      <c r="X41" s="265">
        <f>IF(X39="","",-1*X39)</f>
        <v>249348</v>
      </c>
      <c r="Y41" s="265">
        <f>IF(Y39="","",-1*Y39)</f>
        <v>0</v>
      </c>
      <c r="Z41" s="265">
        <f>IF(Z39="","",-1*Z39)</f>
        <v>0</v>
      </c>
      <c r="AA41" s="265">
        <f>IF(AA39="","",-1*AA39)</f>
        <v>0</v>
      </c>
      <c r="AC41" s="265">
        <f>IF(AC39="","",-1*AC39)</f>
        <v>0</v>
      </c>
      <c r="AD41" s="265">
        <f>IF(AD39="","",-1*AD39)</f>
        <v>0</v>
      </c>
    </row>
    <row r="42">
      <c r="A42" t="inlineStr">
        <is>
          <t>IR e CSLL (3.08) · derivada · unid. moeda</t>
        </is>
      </c>
      <c r="B42" t="n">
        <v>7</v>
      </c>
      <c r="C42" t="inlineStr">
        <is>
          <t>Taxes</t>
        </is>
      </c>
      <c r="D42" s="265">
        <f>N(D20)</f>
        <v>-126528</v>
      </c>
      <c r="E42" s="265">
        <f>N(E20)</f>
        <v>-92449</v>
      </c>
      <c r="F42" s="265">
        <f>N(F20)</f>
        <v>-130725</v>
      </c>
      <c r="G42" s="265">
        <f>N(G20)-SUM(D20:F20)</f>
        <v>-76233</v>
      </c>
      <c r="I42" s="265">
        <f>N(I20)</f>
        <v>-143066</v>
      </c>
      <c r="J42" s="265">
        <f>N(J20)</f>
        <v>-39122</v>
      </c>
      <c r="K42" s="265">
        <f>N(K20)</f>
        <v>-133639</v>
      </c>
      <c r="L42" s="265">
        <f>N(L20)-SUM(I20:K20)</f>
        <v>-78182</v>
      </c>
      <c r="N42" s="265">
        <f>N(N20)</f>
        <v>-157488</v>
      </c>
      <c r="O42" s="265">
        <f>N(O20)</f>
        <v>-77607</v>
      </c>
      <c r="P42" s="265">
        <f>N(P20)</f>
        <v>-194190</v>
      </c>
      <c r="Q42" s="265">
        <f>N(Q20)-SUM(N20:P20)</f>
        <v>-91673</v>
      </c>
      <c r="S42" s="265">
        <f>N(S20)</f>
        <v>-186897</v>
      </c>
      <c r="T42" s="265">
        <f>N(T20)</f>
        <v>-78182</v>
      </c>
      <c r="U42" s="265">
        <f>N(U20)</f>
        <v>-190146</v>
      </c>
      <c r="V42" s="265">
        <f>N(V20)-SUM(S20:U20)</f>
        <v>-81590</v>
      </c>
      <c r="X42" s="265">
        <f>N(X20)</f>
        <v>58643</v>
      </c>
      <c r="Y42" s="265">
        <f>N(Y20)</f>
        <v>62509</v>
      </c>
      <c r="Z42" s="265">
        <f>N(Z20)</f>
        <v>-203099</v>
      </c>
      <c r="AA42" s="265">
        <f>N(AA20)-SUM(X20:Z20)</f>
        <v>-141140</v>
      </c>
      <c r="AC42" s="265">
        <f>N(AC20)</f>
        <v>-245898</v>
      </c>
      <c r="AD42" s="265">
        <f>N(AD20)</f>
        <v>-221205</v>
      </c>
    </row>
    <row r="43">
      <c r="A43" t="inlineStr">
        <is>
          <t>D&amp;A (DFC 6.01.01.02, trimestralizada). COD1=4 lanca; COD2=2 devolve ao custo (D&amp;A esta no custo dos servicos) · derivada · unid. moeda</t>
        </is>
      </c>
      <c r="C43" t="inlineStr">
        <is>
          <t>[linha bruta, sem código; lançada nas linhas abaixo]</t>
        </is>
      </c>
      <c r="D43" s="265">
        <f>N(D23)</f>
        <v>94376</v>
      </c>
      <c r="E43" s="265">
        <f>N(E23)-N(D23)</f>
        <v>97622</v>
      </c>
      <c r="F43" s="265">
        <f>N(F23)-N(E23)</f>
        <v>100824</v>
      </c>
      <c r="G43" s="265">
        <f>N(G23)-N(F23)</f>
        <v>101644</v>
      </c>
      <c r="I43" s="265">
        <f>N(I23)</f>
        <v>105380</v>
      </c>
      <c r="J43" s="265">
        <f>N(J23)-N(I23)</f>
        <v>106327</v>
      </c>
      <c r="K43" s="265">
        <f>N(K23)-N(J23)</f>
        <v>107695</v>
      </c>
      <c r="L43" s="265">
        <f>N(L23)-N(K23)</f>
        <v>114018</v>
      </c>
      <c r="N43" s="265">
        <f>N(N23)</f>
        <v>116284</v>
      </c>
      <c r="O43" s="265">
        <f>N(O23)-N(N23)</f>
        <v>117776</v>
      </c>
      <c r="P43" s="265">
        <f>N(P23)-N(O23)</f>
        <v>121633</v>
      </c>
      <c r="Q43" s="265">
        <f>N(Q23)-N(P23)</f>
        <v>124415</v>
      </c>
      <c r="S43" s="265">
        <f>N(S23)</f>
        <v>133389</v>
      </c>
      <c r="T43" s="265">
        <f>N(T23)-N(S23)</f>
        <v>137243</v>
      </c>
      <c r="U43" s="265">
        <f>N(U23)-N(T23)</f>
        <v>141936</v>
      </c>
      <c r="V43" s="265">
        <f>N(V23)-N(U23)</f>
        <v>147381</v>
      </c>
      <c r="X43" s="265">
        <f>N(X23)</f>
        <v>151334</v>
      </c>
      <c r="Y43" s="265">
        <f>N(Y23)-N(X23)</f>
        <v>153921</v>
      </c>
      <c r="Z43" s="265">
        <f>N(Z23)-N(Y23)</f>
        <v>154973</v>
      </c>
      <c r="AA43" s="265">
        <f>N(AA23)-N(Z23)</f>
        <v>166023</v>
      </c>
      <c r="AC43" s="265">
        <f>N(AC23)</f>
        <v>172399</v>
      </c>
      <c r="AD43" s="265">
        <f>N(AD23)-N(AC23)</f>
        <v>174854</v>
      </c>
    </row>
    <row r="44">
      <c r="A44" t="inlineStr">
        <is>
          <t xml:space="preserve">(lançamento) código 4, sinal -1 sobre a linha bruta 43: D&amp;A (DFC 6.01.01.02, trimestralizada). COD1=4 lanca; COD2=2 devolve ao custo (D&amp;A esta no </t>
        </is>
      </c>
      <c r="B44" t="n">
        <v>4</v>
      </c>
      <c r="C44" t="inlineStr">
        <is>
          <t>D&amp;A</t>
        </is>
      </c>
      <c r="D44" s="265">
        <f>IF(D43="","",-1*D43)</f>
        <v>-94376</v>
      </c>
      <c r="E44" s="265">
        <f>IF(E43="","",-1*E43)</f>
        <v>-97622</v>
      </c>
      <c r="F44" s="265">
        <f>IF(F43="","",-1*F43)</f>
        <v>-100824</v>
      </c>
      <c r="G44" s="265">
        <f>IF(G43="","",-1*G43)</f>
        <v>-101644</v>
      </c>
      <c r="I44" s="265">
        <f>IF(I43="","",-1*I43)</f>
        <v>-105380</v>
      </c>
      <c r="J44" s="265">
        <f>IF(J43="","",-1*J43)</f>
        <v>-106327</v>
      </c>
      <c r="K44" s="265">
        <f>IF(K43="","",-1*K43)</f>
        <v>-107695</v>
      </c>
      <c r="L44" s="265">
        <f>IF(L43="","",-1*L43)</f>
        <v>-114018</v>
      </c>
      <c r="N44" s="265">
        <f>IF(N43="","",-1*N43)</f>
        <v>-116284</v>
      </c>
      <c r="O44" s="265">
        <f>IF(O43="","",-1*O43)</f>
        <v>-117776</v>
      </c>
      <c r="P44" s="265">
        <f>IF(P43="","",-1*P43)</f>
        <v>-121633</v>
      </c>
      <c r="Q44" s="265">
        <f>IF(Q43="","",-1*Q43)</f>
        <v>-124415</v>
      </c>
      <c r="S44" s="265">
        <f>IF(S43="","",-1*S43)</f>
        <v>-133389</v>
      </c>
      <c r="T44" s="265">
        <f>IF(T43="","",-1*T43)</f>
        <v>-137243</v>
      </c>
      <c r="U44" s="265">
        <f>IF(U43="","",-1*U43)</f>
        <v>-141936</v>
      </c>
      <c r="V44" s="265">
        <f>IF(V43="","",-1*V43)</f>
        <v>-147381</v>
      </c>
      <c r="X44" s="265">
        <f>IF(X43="","",-1*X43)</f>
        <v>-151334</v>
      </c>
      <c r="Y44" s="265">
        <f>IF(Y43="","",-1*Y43)</f>
        <v>-153921</v>
      </c>
      <c r="Z44" s="265">
        <f>IF(Z43="","",-1*Z43)</f>
        <v>-154973</v>
      </c>
      <c r="AA44" s="265">
        <f>IF(AA43="","",-1*AA43)</f>
        <v>-166023</v>
      </c>
      <c r="AC44" s="265">
        <f>IF(AC43="","",-1*AC43)</f>
        <v>-172399</v>
      </c>
      <c r="AD44" s="265">
        <f>IF(AD43="","",-1*AD43)</f>
        <v>-174854</v>
      </c>
    </row>
    <row r="45">
      <c r="A45" t="inlineStr">
        <is>
          <t xml:space="preserve">(lançamento) código 2, sinal +1 sobre a linha bruta 43: D&amp;A (DFC 6.01.01.02, trimestralizada). COD1=4 lanca; COD2=2 devolve ao custo (D&amp;A esta no </t>
        </is>
      </c>
      <c r="B45" t="n">
        <v>2</v>
      </c>
      <c r="C45" t="inlineStr">
        <is>
          <t>COGS (cash)</t>
        </is>
      </c>
      <c r="D45" s="265">
        <f>IF(D43="","",D43)</f>
        <v>94376</v>
      </c>
      <c r="E45" s="265">
        <f>IF(E43="","",E43)</f>
        <v>97622</v>
      </c>
      <c r="F45" s="265">
        <f>IF(F43="","",F43)</f>
        <v>100824</v>
      </c>
      <c r="G45" s="265">
        <f>IF(G43="","",G43)</f>
        <v>101644</v>
      </c>
      <c r="I45" s="265">
        <f>IF(I43="","",I43)</f>
        <v>105380</v>
      </c>
      <c r="J45" s="265">
        <f>IF(J43="","",J43)</f>
        <v>106327</v>
      </c>
      <c r="K45" s="265">
        <f>IF(K43="","",K43)</f>
        <v>107695</v>
      </c>
      <c r="L45" s="265">
        <f>IF(L43="","",L43)</f>
        <v>114018</v>
      </c>
      <c r="N45" s="265">
        <f>IF(N43="","",N43)</f>
        <v>116284</v>
      </c>
      <c r="O45" s="265">
        <f>IF(O43="","",O43)</f>
        <v>117776</v>
      </c>
      <c r="P45" s="265">
        <f>IF(P43="","",P43)</f>
        <v>121633</v>
      </c>
      <c r="Q45" s="265">
        <f>IF(Q43="","",Q43)</f>
        <v>124415</v>
      </c>
      <c r="S45" s="265">
        <f>IF(S43="","",S43)</f>
        <v>133389</v>
      </c>
      <c r="T45" s="265">
        <f>IF(T43="","",T43)</f>
        <v>137243</v>
      </c>
      <c r="U45" s="265">
        <f>IF(U43="","",U43)</f>
        <v>141936</v>
      </c>
      <c r="V45" s="265">
        <f>IF(V43="","",V43)</f>
        <v>147381</v>
      </c>
      <c r="X45" s="265">
        <f>IF(X43="","",X43)</f>
        <v>151334</v>
      </c>
      <c r="Y45" s="265">
        <f>IF(Y43="","",Y43)</f>
        <v>153921</v>
      </c>
      <c r="Z45" s="265">
        <f>IF(Z43="","",Z43)</f>
        <v>154973</v>
      </c>
      <c r="AA45" s="265">
        <f>IF(AA43="","",AA43)</f>
        <v>166023</v>
      </c>
      <c r="AC45" s="265">
        <f>IF(AC43="","",AC43)</f>
        <v>172399</v>
      </c>
      <c r="AD45" s="265">
        <f>IF(AD43="","",AD43)</f>
        <v>174854</v>
      </c>
    </row>
    <row r="46">
      <c r="A46" t="inlineStr">
        <is>
          <t>Dividendos e JCP pagos (DFC, trimestralizado; ja negativo na fonte) · derivada · unid. moeda</t>
        </is>
      </c>
      <c r="B46" t="n">
        <v>10</v>
      </c>
      <c r="C46" t="inlineStr">
        <is>
          <t>Common Dividends</t>
        </is>
      </c>
      <c r="D46" s="265">
        <f>N(D24)</f>
        <v>0</v>
      </c>
      <c r="E46" s="265">
        <f>N(E24)-N(D24)</f>
        <v>-267765</v>
      </c>
      <c r="F46" s="265">
        <f>N(F24)-N(E24)</f>
        <v>294</v>
      </c>
      <c r="G46" s="265">
        <f>N(G24)-N(F24)</f>
        <v>-104</v>
      </c>
      <c r="I46" s="265">
        <f>N(I24)</f>
        <v>-1</v>
      </c>
      <c r="J46" s="265">
        <f>N(J24)-N(I24)</f>
        <v>-308822</v>
      </c>
      <c r="K46" s="265">
        <f>N(K24)-N(J24)</f>
        <v>-524</v>
      </c>
      <c r="L46" s="265">
        <f>N(L24)-N(K24)</f>
        <v>0</v>
      </c>
      <c r="N46" s="265">
        <f>N(N24)</f>
        <v>0</v>
      </c>
      <c r="O46" s="265">
        <f>N(O24)-N(N24)</f>
        <v>-385616</v>
      </c>
      <c r="P46" s="265">
        <f>N(P24)-N(O24)</f>
        <v>74</v>
      </c>
      <c r="Q46" s="265">
        <f>N(Q24)-N(P24)</f>
        <v>0</v>
      </c>
      <c r="S46" s="265">
        <f>N(S24)</f>
        <v>0</v>
      </c>
      <c r="T46" s="265">
        <f>N(T24)-N(S24)</f>
        <v>-403196</v>
      </c>
      <c r="U46" s="265">
        <f>N(U24)-N(T24)</f>
        <v>124</v>
      </c>
      <c r="V46" s="265">
        <f>N(V24)-N(U24)</f>
        <v>0</v>
      </c>
      <c r="X46" s="265">
        <f>N(X24)</f>
        <v>0</v>
      </c>
      <c r="Y46" s="265">
        <f>N(Y24)-N(X24)</f>
        <v>-412427</v>
      </c>
      <c r="Z46" s="265">
        <f>N(Z24)-N(Y24)</f>
        <v>-308</v>
      </c>
      <c r="AA46" s="265">
        <f>N(AA24)-N(Z24)</f>
        <v>-8</v>
      </c>
      <c r="AC46" s="265">
        <f>N(AC24)</f>
        <v>0</v>
      </c>
      <c r="AD46" s="265">
        <f>N(AD24)-N(AC24)</f>
        <v>-524206</v>
      </c>
    </row>
    <row r="47">
      <c r="A47" t="inlineStr">
        <is>
          <t>Lucro liquido do periodo (3.11) - COD 44 alimenta o check IS do Model (linha 4) · derivada · unid. moeda</t>
        </is>
      </c>
      <c r="B47" t="n">
        <v>44</v>
      </c>
      <c r="C47" t="inlineStr">
        <is>
          <t>Lucro liquido do periodo (3.11) - COD 44 alimenta o check IS</t>
        </is>
      </c>
      <c r="D47" s="265">
        <f>N(D21)</f>
        <v>246490</v>
      </c>
      <c r="E47" s="265">
        <f>N(E21)</f>
        <v>331817</v>
      </c>
      <c r="F47" s="265">
        <f>N(F21)</f>
        <v>267341</v>
      </c>
      <c r="G47" s="265">
        <f>N(G21)-SUM(D21:F21)</f>
        <v>331983</v>
      </c>
      <c r="I47" s="265">
        <f>N(I21)</f>
        <v>291944</v>
      </c>
      <c r="J47" s="265">
        <f>N(J21)</f>
        <v>233707</v>
      </c>
      <c r="K47" s="265">
        <f>N(K21)</f>
        <v>274928</v>
      </c>
      <c r="L47" s="265">
        <f>N(L21)-SUM(I21:K21)</f>
        <v>350959</v>
      </c>
      <c r="N47" s="265">
        <f>N(N21)</f>
        <v>319574</v>
      </c>
      <c r="O47" s="265">
        <f>N(O21)</f>
        <v>422108</v>
      </c>
      <c r="P47" s="265">
        <f>N(P21)</f>
        <v>396860</v>
      </c>
      <c r="Q47" s="265">
        <f>N(Q21)-SUM(N21:P21)</f>
        <v>364821</v>
      </c>
      <c r="S47" s="265">
        <f>N(S21)</f>
        <v>379352</v>
      </c>
      <c r="T47" s="265">
        <f>N(T21)</f>
        <v>375596</v>
      </c>
      <c r="U47" s="265">
        <f>N(U21)</f>
        <v>377529</v>
      </c>
      <c r="V47" s="265">
        <f>N(V21)-SUM(S21:U21)</f>
        <v>412870</v>
      </c>
      <c r="X47" s="265">
        <f>N(X21)</f>
        <v>1207993</v>
      </c>
      <c r="Y47" s="265">
        <f>N(Y21)</f>
        <v>263848</v>
      </c>
      <c r="Z47" s="265">
        <f>N(Z21)</f>
        <v>246401</v>
      </c>
      <c r="AA47" s="265">
        <f>N(AA21)-SUM(X21:Z21)</f>
        <v>361326</v>
      </c>
      <c r="AC47" s="265">
        <f>N(AC21)</f>
        <v>352681</v>
      </c>
      <c r="AD47" s="265">
        <f>N(AD21)</f>
        <v>-505157</v>
      </c>
    </row>
    <row r="48">
      <c r="A48" t="inlineStr">
        <is>
          <t>Provisao passivo regulatorio operacional (3.04.05.03) - memoria (EBITDA ajustado do release exclui) · derivada · unid. moeda</t>
        </is>
      </c>
      <c r="C48" t="inlineStr">
        <is>
          <t>[linha bruta, sem código; lançada nas linhas abaixo]</t>
        </is>
      </c>
      <c r="D48" s="265">
        <f>N(D12)</f>
        <v>0</v>
      </c>
      <c r="E48" s="265">
        <f>N(E12)</f>
        <v>0</v>
      </c>
      <c r="F48" s="265">
        <f>N(F12)</f>
        <v>0</v>
      </c>
      <c r="G48" s="265">
        <f>N(G12)-SUM(D12:F12)</f>
        <v>0</v>
      </c>
      <c r="I48" s="265">
        <f>N(I12)</f>
        <v>0</v>
      </c>
      <c r="J48" s="265">
        <f>N(J12)</f>
        <v>-15916</v>
      </c>
      <c r="K48" s="265">
        <f>N(K12)</f>
        <v>-18722</v>
      </c>
      <c r="L48" s="265">
        <f>N(L12)-SUM(I12:K12)</f>
        <v>-53455</v>
      </c>
      <c r="N48" s="265">
        <f>N(N12)</f>
        <v>0</v>
      </c>
      <c r="O48" s="265">
        <f>N(O12)</f>
        <v>-32292</v>
      </c>
      <c r="P48" s="265">
        <f>N(P12)</f>
        <v>-30359</v>
      </c>
      <c r="Q48" s="265">
        <f>N(Q12)-SUM(N12:P12)</f>
        <v>-52356</v>
      </c>
      <c r="S48" s="265">
        <f>N(S12)</f>
        <v>0</v>
      </c>
      <c r="T48" s="265">
        <f>N(T12)</f>
        <v>-28732</v>
      </c>
      <c r="U48" s="265">
        <f>N(U12)</f>
        <v>-28881</v>
      </c>
      <c r="V48" s="265">
        <f>N(V12)-SUM(S12:U12)</f>
        <v>-60606</v>
      </c>
      <c r="X48" s="265">
        <f>N(X12)</f>
        <v>-1354808</v>
      </c>
      <c r="Y48" s="265">
        <f>N(Y12)</f>
        <v>-47900</v>
      </c>
      <c r="Z48" s="265">
        <f>N(Z12)</f>
        <v>-139110</v>
      </c>
      <c r="AA48" s="265">
        <f>N(AA12)-SUM(X12:Z12)</f>
        <v>0</v>
      </c>
      <c r="AC48" s="265">
        <f>N(AC12)</f>
        <v>0</v>
      </c>
      <c r="AD48" s="265">
        <f>N(AD12)</f>
        <v>-259619</v>
      </c>
    </row>
    <row r="49">
      <c r="A49" t="inlineStr">
        <is>
          <t>BALANCO (R$ mil, saldo de fim de trimestre; codigos CVM)</t>
        </is>
      </c>
      <c r="C49" t="inlineStr">
        <is>
          <t>[linha bruta, sem código; lançada nas linhas abaixo]</t>
        </is>
      </c>
      <c r="D49" s="265" t="n"/>
      <c r="E49" s="265" t="n"/>
      <c r="F49" s="265" t="n"/>
      <c r="G49" s="265" t="n"/>
      <c r="I49" s="265" t="n"/>
      <c r="J49" s="265" t="n"/>
      <c r="K49" s="265" t="n"/>
      <c r="L49" s="265" t="n"/>
      <c r="N49" s="265" t="n"/>
      <c r="O49" s="265" t="n"/>
      <c r="P49" s="265" t="n"/>
      <c r="Q49" s="265" t="n"/>
      <c r="S49" s="265" t="n"/>
      <c r="T49" s="265" t="n"/>
      <c r="U49" s="265" t="n"/>
      <c r="V49" s="265" t="n"/>
      <c r="X49" s="265" t="n"/>
      <c r="Y49" s="265" t="n"/>
      <c r="Z49" s="265" t="n"/>
      <c r="AA49" s="265" t="n"/>
      <c r="AC49" s="265" t="n"/>
      <c r="AD49" s="265" t="n"/>
    </row>
    <row r="50">
      <c r="A50" t="inlineStr">
        <is>
          <t>Caixa e Equivalentes de Caixa (CVM 1.01.01) · fonte · unid. moeda</t>
        </is>
      </c>
      <c r="B50" t="n">
        <v>11</v>
      </c>
      <c r="C50" t="inlineStr">
        <is>
          <t>Cash and equivalents (inc. investment securities)</t>
        </is>
      </c>
      <c r="D50" s="265" t="n">
        <v>1324367</v>
      </c>
      <c r="E50" s="265" t="n">
        <v>988297</v>
      </c>
      <c r="F50" s="265" t="n">
        <v>1070842</v>
      </c>
      <c r="G50" s="265" t="n">
        <v>983127</v>
      </c>
      <c r="I50" s="265" t="n">
        <v>1590807</v>
      </c>
      <c r="J50" s="265" t="n">
        <v>1233229</v>
      </c>
      <c r="K50" s="265" t="n">
        <v>1227491</v>
      </c>
      <c r="L50" s="265" t="n">
        <v>1207932</v>
      </c>
      <c r="N50" s="265" t="n">
        <v>1212661</v>
      </c>
      <c r="O50" s="265" t="n">
        <v>1154117</v>
      </c>
      <c r="P50" s="265" t="n">
        <v>1276092</v>
      </c>
      <c r="Q50" s="265" t="n">
        <v>1285158</v>
      </c>
      <c r="S50" s="265" t="n">
        <v>1913309</v>
      </c>
      <c r="T50" s="265" t="n">
        <v>1438986</v>
      </c>
      <c r="U50" s="265" t="n">
        <v>1674736</v>
      </c>
      <c r="V50" s="265" t="n">
        <v>1800757</v>
      </c>
      <c r="X50" s="265" t="n">
        <v>1848624</v>
      </c>
      <c r="Y50" s="265" t="n">
        <v>1396323</v>
      </c>
      <c r="Z50" s="265" t="n">
        <v>5880009</v>
      </c>
      <c r="AA50" s="265" t="n">
        <v>5608131</v>
      </c>
      <c r="AC50" s="265" t="n">
        <v>5359482</v>
      </c>
      <c r="AD50" s="265" t="n">
        <v>4662453</v>
      </c>
    </row>
    <row r="51">
      <c r="A51" t="inlineStr">
        <is>
          <t>Aplicações Financeiras (CVM 1.01.02) [0 em 23 per.: conta vazia na fonte; total divulgado confirma] · fonte · unid. moeda</t>
        </is>
      </c>
      <c r="B51" t="n">
        <v>11</v>
      </c>
      <c r="C51" t="inlineStr">
        <is>
          <t>Cash and equivalents (inc. investment securities)</t>
        </is>
      </c>
      <c r="D51" s="265" t="n">
        <v>0</v>
      </c>
      <c r="E51" s="265" t="n">
        <v>0</v>
      </c>
      <c r="F51" s="265" t="n">
        <v>0</v>
      </c>
      <c r="G51" s="265" t="n">
        <v>0</v>
      </c>
      <c r="I51" s="265" t="n">
        <v>0</v>
      </c>
      <c r="J51" s="265" t="n">
        <v>0</v>
      </c>
      <c r="K51" s="265" t="n">
        <v>0</v>
      </c>
      <c r="L51" s="265" t="n">
        <v>0</v>
      </c>
      <c r="N51" s="265" t="n">
        <v>0</v>
      </c>
      <c r="O51" s="265" t="n">
        <v>0</v>
      </c>
      <c r="P51" s="265" t="n">
        <v>0</v>
      </c>
      <c r="Q51" s="265" t="n">
        <v>0</v>
      </c>
      <c r="S51" s="265" t="n">
        <v>0</v>
      </c>
      <c r="T51" s="265" t="n">
        <v>0</v>
      </c>
      <c r="U51" s="265" t="n">
        <v>0</v>
      </c>
      <c r="V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C51" s="265" t="n">
        <v>0</v>
      </c>
      <c r="AD51" s="265" t="n">
        <v>0</v>
      </c>
    </row>
    <row r="52">
      <c r="A52" t="inlineStr">
        <is>
          <t>Contas a Receber (CVM 1.01.03) · fonte · unid. moeda</t>
        </is>
      </c>
      <c r="B52" t="n">
        <v>12</v>
      </c>
      <c r="C52" t="inlineStr">
        <is>
          <t>Accounts receivable</t>
        </is>
      </c>
      <c r="D52" s="265" t="n">
        <v>842378</v>
      </c>
      <c r="E52" s="265" t="n">
        <v>872358</v>
      </c>
      <c r="F52" s="265" t="n">
        <v>919472</v>
      </c>
      <c r="G52" s="265" t="n">
        <v>971478</v>
      </c>
      <c r="I52" s="265" t="n">
        <v>1025326</v>
      </c>
      <c r="J52" s="265" t="n">
        <v>1028188</v>
      </c>
      <c r="K52" s="265" t="n">
        <v>1040436</v>
      </c>
      <c r="L52" s="265" t="n">
        <v>1086163</v>
      </c>
      <c r="N52" s="265" t="n">
        <v>1138055</v>
      </c>
      <c r="O52" s="265" t="n">
        <v>1203134</v>
      </c>
      <c r="P52" s="265" t="n">
        <v>1250471</v>
      </c>
      <c r="Q52" s="265" t="n">
        <v>1260202</v>
      </c>
      <c r="S52" s="265" t="n">
        <v>1298407</v>
      </c>
      <c r="T52" s="265" t="n">
        <v>1264758</v>
      </c>
      <c r="U52" s="265" t="n">
        <v>1269984</v>
      </c>
      <c r="V52" s="265" t="n">
        <v>1250811</v>
      </c>
      <c r="X52" s="265" t="n">
        <v>1229524</v>
      </c>
      <c r="Y52" s="265" t="n">
        <v>1170895</v>
      </c>
      <c r="Z52" s="265" t="n">
        <v>1215760</v>
      </c>
      <c r="AA52" s="265" t="n">
        <v>1175286</v>
      </c>
      <c r="AC52" s="265" t="n">
        <v>1219931</v>
      </c>
      <c r="AD52" s="265" t="n">
        <v>1187333</v>
      </c>
    </row>
    <row r="53">
      <c r="A53" t="inlineStr">
        <is>
          <t>Estoques (CVM 1.01.04) · fonte · unid. moeda</t>
        </is>
      </c>
      <c r="B53" t="n">
        <v>13</v>
      </c>
      <c r="C53" t="inlineStr">
        <is>
          <t>Inventories</t>
        </is>
      </c>
      <c r="D53" s="265" t="n">
        <v>49937</v>
      </c>
      <c r="E53" s="265" t="n">
        <v>49043</v>
      </c>
      <c r="F53" s="265" t="n">
        <v>52461</v>
      </c>
      <c r="G53" s="265" t="n">
        <v>57680</v>
      </c>
      <c r="I53" s="265" t="n">
        <v>65272</v>
      </c>
      <c r="J53" s="265" t="n">
        <v>64490</v>
      </c>
      <c r="K53" s="265" t="n">
        <v>67996</v>
      </c>
      <c r="L53" s="265" t="n">
        <v>76943</v>
      </c>
      <c r="N53" s="265" t="n">
        <v>71437</v>
      </c>
      <c r="O53" s="265" t="n">
        <v>64932</v>
      </c>
      <c r="P53" s="265" t="n">
        <v>67351</v>
      </c>
      <c r="Q53" s="265" t="n">
        <v>69305</v>
      </c>
      <c r="S53" s="265" t="n">
        <v>64186</v>
      </c>
      <c r="T53" s="265" t="n">
        <v>75132</v>
      </c>
      <c r="U53" s="265" t="n">
        <v>70671</v>
      </c>
      <c r="V53" s="265" t="n">
        <v>73183</v>
      </c>
      <c r="X53" s="265" t="n">
        <v>74194</v>
      </c>
      <c r="Y53" s="265" t="n">
        <v>75738</v>
      </c>
      <c r="Z53" s="265" t="n">
        <v>77205</v>
      </c>
      <c r="AA53" s="265" t="n">
        <v>97003</v>
      </c>
      <c r="AC53" s="265" t="n">
        <v>79524</v>
      </c>
      <c r="AD53" s="265" t="n">
        <v>81532</v>
      </c>
    </row>
    <row r="54">
      <c r="A54" t="inlineStr">
        <is>
          <t>Ativos Biológicos (CVM 1.01.05) [0 em 23 per.: conta vazia na fonte; total divulgado confirma] · fonte · unid. moeda</t>
        </is>
      </c>
      <c r="B54" t="n">
        <v>16</v>
      </c>
      <c r="C54" t="inlineStr">
        <is>
          <t>Other current assets</t>
        </is>
      </c>
      <c r="D54" s="265" t="n">
        <v>0</v>
      </c>
      <c r="E54" s="265" t="n">
        <v>0</v>
      </c>
      <c r="F54" s="265" t="n">
        <v>0</v>
      </c>
      <c r="G54" s="265" t="n">
        <v>0</v>
      </c>
      <c r="I54" s="265" t="n">
        <v>0</v>
      </c>
      <c r="J54" s="265" t="n">
        <v>0</v>
      </c>
      <c r="K54" s="265" t="n">
        <v>0</v>
      </c>
      <c r="L54" s="265" t="n">
        <v>0</v>
      </c>
      <c r="N54" s="265" t="n">
        <v>0</v>
      </c>
      <c r="O54" s="265" t="n">
        <v>0</v>
      </c>
      <c r="P54" s="265" t="n">
        <v>0</v>
      </c>
      <c r="Q54" s="265" t="n">
        <v>0</v>
      </c>
      <c r="S54" s="265" t="n">
        <v>0</v>
      </c>
      <c r="T54" s="265" t="n">
        <v>0</v>
      </c>
      <c r="U54" s="265" t="n">
        <v>0</v>
      </c>
      <c r="V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C54" s="265" t="n">
        <v>0</v>
      </c>
      <c r="AD54" s="265" t="n">
        <v>0</v>
      </c>
    </row>
    <row r="55">
      <c r="A55" t="inlineStr">
        <is>
          <t>Tributos a Recuperar (CVM 1.01.06) · fonte · unid. moeda</t>
        </is>
      </c>
      <c r="B55" t="n">
        <v>16</v>
      </c>
      <c r="C55" t="inlineStr">
        <is>
          <t>Other current assets</t>
        </is>
      </c>
      <c r="D55" s="265" t="n">
        <v>6896</v>
      </c>
      <c r="E55" s="265" t="n">
        <v>28570</v>
      </c>
      <c r="F55" s="265" t="n">
        <v>102</v>
      </c>
      <c r="G55" s="265" t="n">
        <v>11420</v>
      </c>
      <c r="I55" s="265" t="n">
        <v>11704</v>
      </c>
      <c r="J55" s="265" t="n">
        <v>45910</v>
      </c>
      <c r="K55" s="265" t="n">
        <v>12390</v>
      </c>
      <c r="L55" s="265" t="n">
        <v>38334</v>
      </c>
      <c r="N55" s="265" t="n">
        <v>39499</v>
      </c>
      <c r="O55" s="265" t="n">
        <v>93985</v>
      </c>
      <c r="P55" s="265" t="n">
        <v>106</v>
      </c>
      <c r="Q55" s="265" t="n">
        <v>14644</v>
      </c>
      <c r="S55" s="265" t="n">
        <v>14949</v>
      </c>
      <c r="T55" s="265" t="n">
        <v>96642</v>
      </c>
      <c r="U55" s="265" t="n">
        <v>106</v>
      </c>
      <c r="V55" s="265" t="n">
        <v>26298</v>
      </c>
      <c r="X55" s="265" t="n">
        <v>100642</v>
      </c>
      <c r="Y55" s="265" t="n">
        <v>175775</v>
      </c>
      <c r="Z55" s="265" t="n">
        <v>168665</v>
      </c>
      <c r="AA55" s="265" t="n">
        <v>191378</v>
      </c>
      <c r="AC55" s="265" t="n">
        <v>223976</v>
      </c>
      <c r="AD55" s="265" t="n">
        <v>231668</v>
      </c>
    </row>
    <row r="56">
      <c r="A56" t="inlineStr">
        <is>
          <t>Despesas Antecipadas (CVM 1.01.07) [0 em 23 per.: conta vazia na fonte; total divulgado confirma] · fonte · unid. moeda</t>
        </is>
      </c>
      <c r="B56" t="n">
        <v>15</v>
      </c>
      <c r="C56" t="inlineStr">
        <is>
          <t>Prepaid expenses</t>
        </is>
      </c>
      <c r="D56" s="265" t="n">
        <v>0</v>
      </c>
      <c r="E56" s="265" t="n">
        <v>0</v>
      </c>
      <c r="F56" s="265" t="n">
        <v>0</v>
      </c>
      <c r="G56" s="265" t="n">
        <v>0</v>
      </c>
      <c r="I56" s="265" t="n">
        <v>0</v>
      </c>
      <c r="J56" s="265" t="n">
        <v>0</v>
      </c>
      <c r="K56" s="265" t="n">
        <v>0</v>
      </c>
      <c r="L56" s="265" t="n">
        <v>0</v>
      </c>
      <c r="N56" s="265" t="n">
        <v>0</v>
      </c>
      <c r="O56" s="265" t="n">
        <v>0</v>
      </c>
      <c r="P56" s="265" t="n">
        <v>0</v>
      </c>
      <c r="Q56" s="265" t="n">
        <v>0</v>
      </c>
      <c r="S56" s="265" t="n">
        <v>0</v>
      </c>
      <c r="T56" s="265" t="n">
        <v>0</v>
      </c>
      <c r="U56" s="265" t="n">
        <v>0</v>
      </c>
      <c r="V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C56" s="265" t="n">
        <v>0</v>
      </c>
      <c r="AD56" s="265" t="n">
        <v>0</v>
      </c>
    </row>
    <row r="57">
      <c r="A57" t="inlineStr">
        <is>
          <t>Outros Ativos Circulantes (CVM 1.01.08) · fonte · unid. moeda</t>
        </is>
      </c>
      <c r="B57" t="n">
        <v>16</v>
      </c>
      <c r="C57" t="inlineStr">
        <is>
          <t>Other current assets</t>
        </is>
      </c>
      <c r="D57" s="265" t="n">
        <v>50033</v>
      </c>
      <c r="E57" s="265" t="n">
        <v>50844</v>
      </c>
      <c r="F57" s="265" t="n">
        <v>63005</v>
      </c>
      <c r="G57" s="265" t="n">
        <v>47942</v>
      </c>
      <c r="I57" s="265" t="n">
        <v>46990</v>
      </c>
      <c r="J57" s="265" t="n">
        <v>54932</v>
      </c>
      <c r="K57" s="265" t="n">
        <v>68163</v>
      </c>
      <c r="L57" s="265" t="n">
        <v>60457</v>
      </c>
      <c r="N57" s="265" t="n">
        <v>76924</v>
      </c>
      <c r="O57" s="265" t="n">
        <v>87965</v>
      </c>
      <c r="P57" s="265" t="n">
        <v>102438</v>
      </c>
      <c r="Q57" s="265" t="n">
        <v>147423</v>
      </c>
      <c r="S57" s="265" t="n">
        <v>176251</v>
      </c>
      <c r="T57" s="265" t="n">
        <v>268064</v>
      </c>
      <c r="U57" s="265" t="n">
        <v>276700</v>
      </c>
      <c r="V57" s="265" t="n">
        <v>145138</v>
      </c>
      <c r="X57" s="265" t="n">
        <v>130403</v>
      </c>
      <c r="Y57" s="265" t="n">
        <v>152192</v>
      </c>
      <c r="Z57" s="265" t="n">
        <v>145804</v>
      </c>
      <c r="AA57" s="265" t="n">
        <v>150766</v>
      </c>
      <c r="AC57" s="265" t="n">
        <v>143052</v>
      </c>
      <c r="AD57" s="265" t="n">
        <v>161064</v>
      </c>
    </row>
    <row r="58">
      <c r="A58" t="inlineStr">
        <is>
          <t>Ativo Realizável a Longo Prazo (CVM 1.02.01) · fonte · unid. moeda</t>
        </is>
      </c>
      <c r="B58" t="n">
        <v>22</v>
      </c>
      <c r="C58" t="inlineStr">
        <is>
          <t>Other non-current assets</t>
        </is>
      </c>
      <c r="D58" s="265" t="n">
        <v>3356237</v>
      </c>
      <c r="E58" s="265" t="n">
        <v>3433444</v>
      </c>
      <c r="F58" s="265" t="n">
        <v>3671387</v>
      </c>
      <c r="G58" s="265" t="n">
        <v>3715372</v>
      </c>
      <c r="I58" s="265" t="n">
        <v>3956134</v>
      </c>
      <c r="J58" s="265" t="n">
        <v>4272259</v>
      </c>
      <c r="K58" s="265" t="n">
        <v>4664100</v>
      </c>
      <c r="L58" s="265" t="n">
        <v>4860198</v>
      </c>
      <c r="N58" s="265" t="n">
        <v>5165594</v>
      </c>
      <c r="O58" s="265" t="n">
        <v>5319913</v>
      </c>
      <c r="P58" s="265" t="n">
        <v>5443066</v>
      </c>
      <c r="Q58" s="265" t="n">
        <v>5303172</v>
      </c>
      <c r="S58" s="265" t="n">
        <v>5512272</v>
      </c>
      <c r="T58" s="265" t="n">
        <v>5413433</v>
      </c>
      <c r="U58" s="265" t="n">
        <v>5430081</v>
      </c>
      <c r="V58" s="265" t="n">
        <v>5271497</v>
      </c>
      <c r="X58" s="265" t="n">
        <v>9481527</v>
      </c>
      <c r="Y58" s="265" t="n">
        <v>9698617</v>
      </c>
      <c r="Z58" s="265" t="n">
        <v>5853141</v>
      </c>
      <c r="AA58" s="265" t="n">
        <v>6185739</v>
      </c>
      <c r="AC58" s="265" t="n">
        <v>6610870</v>
      </c>
      <c r="AD58" s="265" t="n">
        <v>6830244</v>
      </c>
    </row>
    <row r="59">
      <c r="A59" t="inlineStr">
        <is>
          <t>Tributos Diferidos (CVM 1.02.01.07) -&gt; COD1=14 lanca; COD2=22 estorna do total · fonte · unid. moeda</t>
        </is>
      </c>
      <c r="C59" t="inlineStr">
        <is>
          <t>[linha bruta, sem código; lançada nas linhas abaixo]</t>
        </is>
      </c>
      <c r="D59" s="265" t="n">
        <v>664652</v>
      </c>
      <c r="E59" s="265" t="n">
        <v>652760</v>
      </c>
      <c r="F59" s="265" t="n">
        <v>681863</v>
      </c>
      <c r="G59" s="265" t="n">
        <v>679462</v>
      </c>
      <c r="I59" s="265" t="n">
        <v>700344</v>
      </c>
      <c r="J59" s="265" t="n">
        <v>702266</v>
      </c>
      <c r="K59" s="265" t="n">
        <v>744877</v>
      </c>
      <c r="L59" s="265" t="n">
        <v>686874</v>
      </c>
      <c r="N59" s="265" t="n">
        <v>727738</v>
      </c>
      <c r="O59" s="265" t="n">
        <v>731638</v>
      </c>
      <c r="P59" s="265" t="n">
        <v>761053</v>
      </c>
      <c r="Q59" s="265" t="n">
        <v>828516</v>
      </c>
      <c r="S59" s="265" t="n">
        <v>834596</v>
      </c>
      <c r="T59" s="265" t="n">
        <v>789881</v>
      </c>
      <c r="U59" s="265" t="n">
        <v>760728</v>
      </c>
      <c r="V59" s="265" t="n">
        <v>787118</v>
      </c>
      <c r="X59" s="265" t="n">
        <v>925017</v>
      </c>
      <c r="Y59" s="265" t="n">
        <v>987570</v>
      </c>
      <c r="Z59" s="265" t="n">
        <v>947251</v>
      </c>
      <c r="AA59" s="265" t="n">
        <v>940662</v>
      </c>
      <c r="AC59" s="265" t="n">
        <v>928528</v>
      </c>
      <c r="AD59" s="265" t="n">
        <v>860532</v>
      </c>
    </row>
    <row r="60">
      <c r="A60" t="inlineStr">
        <is>
          <t>(lançamento) código 14, sinal +1 sobre a linha bruta 59: Tributos Diferidos (CVM 1.02.01.07) -&gt; COD1=14 lanca; COD2=22 estorna do total</t>
        </is>
      </c>
      <c r="B60" t="n">
        <v>14</v>
      </c>
      <c r="C60" t="inlineStr">
        <is>
          <t>Deferred income taxes</t>
        </is>
      </c>
      <c r="D60" s="265">
        <f>IF(D59="","",D59)</f>
        <v>664652</v>
      </c>
      <c r="E60" s="265">
        <f>IF(E59="","",E59)</f>
        <v>652760</v>
      </c>
      <c r="F60" s="265">
        <f>IF(F59="","",F59)</f>
        <v>681863</v>
      </c>
      <c r="G60" s="265">
        <f>IF(G59="","",G59)</f>
        <v>679462</v>
      </c>
      <c r="I60" s="265">
        <f>IF(I59="","",I59)</f>
        <v>700344</v>
      </c>
      <c r="J60" s="265">
        <f>IF(J59="","",J59)</f>
        <v>702266</v>
      </c>
      <c r="K60" s="265">
        <f>IF(K59="","",K59)</f>
        <v>744877</v>
      </c>
      <c r="L60" s="265">
        <f>IF(L59="","",L59)</f>
        <v>686874</v>
      </c>
      <c r="N60" s="265">
        <f>IF(N59="","",N59)</f>
        <v>727738</v>
      </c>
      <c r="O60" s="265">
        <f>IF(O59="","",O59)</f>
        <v>731638</v>
      </c>
      <c r="P60" s="265">
        <f>IF(P59="","",P59)</f>
        <v>761053</v>
      </c>
      <c r="Q60" s="265">
        <f>IF(Q59="","",Q59)</f>
        <v>828516</v>
      </c>
      <c r="S60" s="265">
        <f>IF(S59="","",S59)</f>
        <v>834596</v>
      </c>
      <c r="T60" s="265">
        <f>IF(T59="","",T59)</f>
        <v>789881</v>
      </c>
      <c r="U60" s="265">
        <f>IF(U59="","",U59)</f>
        <v>760728</v>
      </c>
      <c r="V60" s="265">
        <f>IF(V59="","",V59)</f>
        <v>787118</v>
      </c>
      <c r="X60" s="265">
        <f>IF(X59="","",X59)</f>
        <v>925017</v>
      </c>
      <c r="Y60" s="265">
        <f>IF(Y59="","",Y59)</f>
        <v>987570</v>
      </c>
      <c r="Z60" s="265">
        <f>IF(Z59="","",Z59)</f>
        <v>947251</v>
      </c>
      <c r="AA60" s="265">
        <f>IF(AA59="","",AA59)</f>
        <v>940662</v>
      </c>
      <c r="AC60" s="265">
        <f>IF(AC59="","",AC59)</f>
        <v>928528</v>
      </c>
      <c r="AD60" s="265">
        <f>IF(AD59="","",AD59)</f>
        <v>860532</v>
      </c>
    </row>
    <row r="61">
      <c r="A61" t="inlineStr">
        <is>
          <t>(lançamento) código 22, sinal -1 sobre a linha bruta 59: Tributos Diferidos (CVM 1.02.01.07) -&gt; COD1=14 lanca; COD2=22 estorna do total</t>
        </is>
      </c>
      <c r="B61" t="n">
        <v>22</v>
      </c>
      <c r="C61" t="inlineStr">
        <is>
          <t>Other non-current assets</t>
        </is>
      </c>
      <c r="D61" s="265">
        <f>IF(D59="","",-1*D59)</f>
        <v>-664652</v>
      </c>
      <c r="E61" s="265">
        <f>IF(E59="","",-1*E59)</f>
        <v>-652760</v>
      </c>
      <c r="F61" s="265">
        <f>IF(F59="","",-1*F59)</f>
        <v>-681863</v>
      </c>
      <c r="G61" s="265">
        <f>IF(G59="","",-1*G59)</f>
        <v>-679462</v>
      </c>
      <c r="I61" s="265">
        <f>IF(I59="","",-1*I59)</f>
        <v>-700344</v>
      </c>
      <c r="J61" s="265">
        <f>IF(J59="","",-1*J59)</f>
        <v>-702266</v>
      </c>
      <c r="K61" s="265">
        <f>IF(K59="","",-1*K59)</f>
        <v>-744877</v>
      </c>
      <c r="L61" s="265">
        <f>IF(L59="","",-1*L59)</f>
        <v>-686874</v>
      </c>
      <c r="N61" s="265">
        <f>IF(N59="","",-1*N59)</f>
        <v>-727738</v>
      </c>
      <c r="O61" s="265">
        <f>IF(O59="","",-1*O59)</f>
        <v>-731638</v>
      </c>
      <c r="P61" s="265">
        <f>IF(P59="","",-1*P59)</f>
        <v>-761053</v>
      </c>
      <c r="Q61" s="265">
        <f>IF(Q59="","",-1*Q59)</f>
        <v>-828516</v>
      </c>
      <c r="S61" s="265">
        <f>IF(S59="","",-1*S59)</f>
        <v>-834596</v>
      </c>
      <c r="T61" s="265">
        <f>IF(T59="","",-1*T59)</f>
        <v>-789881</v>
      </c>
      <c r="U61" s="265">
        <f>IF(U59="","",-1*U59)</f>
        <v>-760728</v>
      </c>
      <c r="V61" s="265">
        <f>IF(V59="","",-1*V59)</f>
        <v>-787118</v>
      </c>
      <c r="X61" s="265">
        <f>IF(X59="","",-1*X59)</f>
        <v>-925017</v>
      </c>
      <c r="Y61" s="265">
        <f>IF(Y59="","",-1*Y59)</f>
        <v>-987570</v>
      </c>
      <c r="Z61" s="265">
        <f>IF(Z59="","",-1*Z59)</f>
        <v>-947251</v>
      </c>
      <c r="AA61" s="265">
        <f>IF(AA59="","",-1*AA59)</f>
        <v>-940662</v>
      </c>
      <c r="AC61" s="265">
        <f>IF(AC59="","",-1*AC59)</f>
        <v>-928528</v>
      </c>
      <c r="AD61" s="265">
        <f>IF(AD59="","",-1*AD59)</f>
        <v>-860532</v>
      </c>
    </row>
    <row r="62">
      <c r="A62" t="inlineStr">
        <is>
          <t>Investimentos (CVM 1.02.02) · fonte · unid. moeda</t>
        </is>
      </c>
      <c r="B62" t="n">
        <v>17</v>
      </c>
      <c r="C62" t="inlineStr">
        <is>
          <t>Equity in affiliates</t>
        </is>
      </c>
      <c r="D62" s="265" t="n">
        <v>2018</v>
      </c>
      <c r="E62" s="265" t="n">
        <v>3047</v>
      </c>
      <c r="F62" s="265" t="n">
        <v>3031</v>
      </c>
      <c r="G62" s="265" t="n">
        <v>2030</v>
      </c>
      <c r="I62" s="265" t="n">
        <v>2103</v>
      </c>
      <c r="J62" s="265" t="n">
        <v>3406</v>
      </c>
      <c r="K62" s="265" t="n">
        <v>4677</v>
      </c>
      <c r="L62" s="265" t="n">
        <v>1988</v>
      </c>
      <c r="N62" s="265" t="n">
        <v>2454</v>
      </c>
      <c r="O62" s="265" t="n">
        <v>2989</v>
      </c>
      <c r="P62" s="265" t="n">
        <v>3073</v>
      </c>
      <c r="Q62" s="265" t="n">
        <v>2282</v>
      </c>
      <c r="S62" s="265" t="n">
        <v>2227</v>
      </c>
      <c r="T62" s="265" t="n">
        <v>2374</v>
      </c>
      <c r="U62" s="265" t="n">
        <v>2462</v>
      </c>
      <c r="V62" s="265" t="n">
        <v>2184</v>
      </c>
      <c r="X62" s="265" t="n">
        <v>2310</v>
      </c>
      <c r="Y62" s="265" t="n">
        <v>2144</v>
      </c>
      <c r="Z62" s="265" t="n">
        <v>2109</v>
      </c>
      <c r="AA62" s="265" t="n">
        <v>2049</v>
      </c>
      <c r="AC62" s="265" t="n">
        <v>2168</v>
      </c>
      <c r="AD62" s="265" t="n">
        <v>2020</v>
      </c>
    </row>
    <row r="63">
      <c r="A63" t="inlineStr">
        <is>
          <t>Imobilizado (CVM 1.02.03) · fonte · unid. moeda</t>
        </is>
      </c>
      <c r="B63" t="n">
        <v>18</v>
      </c>
      <c r="C63" t="inlineStr">
        <is>
          <t>PP&amp;E</t>
        </is>
      </c>
      <c r="D63" s="265" t="n">
        <v>276765</v>
      </c>
      <c r="E63" s="265" t="n">
        <v>293446</v>
      </c>
      <c r="F63" s="265" t="n">
        <v>290385</v>
      </c>
      <c r="G63" s="265" t="n">
        <v>312679</v>
      </c>
      <c r="I63" s="265" t="n">
        <v>315812</v>
      </c>
      <c r="J63" s="265" t="n">
        <v>303689</v>
      </c>
      <c r="K63" s="265" t="n">
        <v>302126</v>
      </c>
      <c r="L63" s="265" t="n">
        <v>370524</v>
      </c>
      <c r="N63" s="265" t="n">
        <v>352523</v>
      </c>
      <c r="O63" s="265" t="n">
        <v>378510</v>
      </c>
      <c r="P63" s="265" t="n">
        <v>369229</v>
      </c>
      <c r="Q63" s="265" t="n">
        <v>378052</v>
      </c>
      <c r="S63" s="265" t="n">
        <v>361575</v>
      </c>
      <c r="T63" s="265" t="n">
        <v>371620</v>
      </c>
      <c r="U63" s="265" t="n">
        <v>360788</v>
      </c>
      <c r="V63" s="265" t="n">
        <v>348623</v>
      </c>
      <c r="X63" s="265" t="n">
        <v>348804</v>
      </c>
      <c r="Y63" s="265" t="n">
        <v>336991</v>
      </c>
      <c r="Z63" s="265" t="n">
        <v>416412</v>
      </c>
      <c r="AA63" s="265" t="n">
        <v>453245</v>
      </c>
      <c r="AC63" s="265" t="n">
        <v>431633</v>
      </c>
      <c r="AD63" s="265" t="n">
        <v>432397</v>
      </c>
    </row>
    <row r="64">
      <c r="A64" t="inlineStr">
        <is>
          <t>Direito de Uso em Arrendamento (CVM 1.02.03.02) -&gt; COD1=19 lanca; COD2=18 estorna do total · fonte · unid. moeda</t>
        </is>
      </c>
      <c r="C64" t="inlineStr">
        <is>
          <t>[linha bruta, sem código; lançada nas linhas abaixo]</t>
        </is>
      </c>
      <c r="D64" s="265" t="n">
        <v>54933</v>
      </c>
      <c r="E64" s="265" t="n">
        <v>74281</v>
      </c>
      <c r="F64" s="265" t="n">
        <v>73842</v>
      </c>
      <c r="G64" s="265" t="n">
        <v>86952</v>
      </c>
      <c r="I64" s="265" t="n">
        <v>91404</v>
      </c>
      <c r="J64" s="265" t="n">
        <v>82593</v>
      </c>
      <c r="K64" s="265" t="n">
        <v>81983</v>
      </c>
      <c r="L64" s="265" t="n">
        <v>151023</v>
      </c>
      <c r="N64" s="265" t="n">
        <v>136626</v>
      </c>
      <c r="O64" s="265" t="n">
        <v>157573</v>
      </c>
      <c r="P64" s="265" t="n">
        <v>147881</v>
      </c>
      <c r="Q64" s="265" t="n">
        <v>159425</v>
      </c>
      <c r="S64" s="265" t="n">
        <v>142363</v>
      </c>
      <c r="T64" s="265" t="n">
        <v>153807</v>
      </c>
      <c r="U64" s="265" t="n">
        <v>144067</v>
      </c>
      <c r="V64" s="265" t="n">
        <v>132138</v>
      </c>
      <c r="X64" s="265" t="n">
        <v>124550</v>
      </c>
      <c r="Y64" s="265" t="n">
        <v>110632</v>
      </c>
      <c r="Z64" s="265" t="n">
        <v>181313</v>
      </c>
      <c r="AA64" s="265" t="n">
        <v>207415</v>
      </c>
      <c r="AC64" s="265" t="n">
        <v>186570</v>
      </c>
      <c r="AD64" s="265" t="n">
        <v>174635</v>
      </c>
    </row>
    <row r="65">
      <c r="A65" t="inlineStr">
        <is>
          <t>(lançamento) código 19, sinal +1 sobre a linha bruta 64: Direito de Uso em Arrendamento (CVM 1.02.03.02) -&gt; COD1=19 lanca; COD2=18 estorna do total</t>
        </is>
      </c>
      <c r="B65" t="n">
        <v>19</v>
      </c>
      <c r="C65" t="inlineStr">
        <is>
          <t>Right-of-use-assets</t>
        </is>
      </c>
      <c r="D65" s="265">
        <f>IF(D64="","",D64)</f>
        <v>54933</v>
      </c>
      <c r="E65" s="265">
        <f>IF(E64="","",E64)</f>
        <v>74281</v>
      </c>
      <c r="F65" s="265">
        <f>IF(F64="","",F64)</f>
        <v>73842</v>
      </c>
      <c r="G65" s="265">
        <f>IF(G64="","",G64)</f>
        <v>86952</v>
      </c>
      <c r="I65" s="265">
        <f>IF(I64="","",I64)</f>
        <v>91404</v>
      </c>
      <c r="J65" s="265">
        <f>IF(J64="","",J64)</f>
        <v>82593</v>
      </c>
      <c r="K65" s="265">
        <f>IF(K64="","",K64)</f>
        <v>81983</v>
      </c>
      <c r="L65" s="265">
        <f>IF(L64="","",L64)</f>
        <v>151023</v>
      </c>
      <c r="N65" s="265">
        <f>IF(N64="","",N64)</f>
        <v>136626</v>
      </c>
      <c r="O65" s="265">
        <f>IF(O64="","",O64)</f>
        <v>157573</v>
      </c>
      <c r="P65" s="265">
        <f>IF(P64="","",P64)</f>
        <v>147881</v>
      </c>
      <c r="Q65" s="265">
        <f>IF(Q64="","",Q64)</f>
        <v>159425</v>
      </c>
      <c r="S65" s="265">
        <f>IF(S64="","",S64)</f>
        <v>142363</v>
      </c>
      <c r="T65" s="265">
        <f>IF(T64="","",T64)</f>
        <v>153807</v>
      </c>
      <c r="U65" s="265">
        <f>IF(U64="","",U64)</f>
        <v>144067</v>
      </c>
      <c r="V65" s="265">
        <f>IF(V64="","",V64)</f>
        <v>132138</v>
      </c>
      <c r="X65" s="265">
        <f>IF(X64="","",X64)</f>
        <v>124550</v>
      </c>
      <c r="Y65" s="265">
        <f>IF(Y64="","",Y64)</f>
        <v>110632</v>
      </c>
      <c r="Z65" s="265">
        <f>IF(Z64="","",Z64)</f>
        <v>181313</v>
      </c>
      <c r="AA65" s="265">
        <f>IF(AA64="","",AA64)</f>
        <v>207415</v>
      </c>
      <c r="AC65" s="265">
        <f>IF(AC64="","",AC64)</f>
        <v>186570</v>
      </c>
      <c r="AD65" s="265">
        <f>IF(AD64="","",AD64)</f>
        <v>174635</v>
      </c>
    </row>
    <row r="66">
      <c r="A66" t="inlineStr">
        <is>
          <t>(lançamento) código 18, sinal -1 sobre a linha bruta 64: Direito de Uso em Arrendamento (CVM 1.02.03.02) -&gt; COD1=19 lanca; COD2=18 estorna do total</t>
        </is>
      </c>
      <c r="B66" t="n">
        <v>18</v>
      </c>
      <c r="C66" t="inlineStr">
        <is>
          <t>PP&amp;E</t>
        </is>
      </c>
      <c r="D66" s="265">
        <f>IF(D64="","",-1*D64)</f>
        <v>-54933</v>
      </c>
      <c r="E66" s="265">
        <f>IF(E64="","",-1*E64)</f>
        <v>-74281</v>
      </c>
      <c r="F66" s="265">
        <f>IF(F64="","",-1*F64)</f>
        <v>-73842</v>
      </c>
      <c r="G66" s="265">
        <f>IF(G64="","",-1*G64)</f>
        <v>-86952</v>
      </c>
      <c r="I66" s="265">
        <f>IF(I64="","",-1*I64)</f>
        <v>-91404</v>
      </c>
      <c r="J66" s="265">
        <f>IF(J64="","",-1*J64)</f>
        <v>-82593</v>
      </c>
      <c r="K66" s="265">
        <f>IF(K64="","",-1*K64)</f>
        <v>-81983</v>
      </c>
      <c r="L66" s="265">
        <f>IF(L64="","",-1*L64)</f>
        <v>-151023</v>
      </c>
      <c r="N66" s="265">
        <f>IF(N64="","",-1*N64)</f>
        <v>-136626</v>
      </c>
      <c r="O66" s="265">
        <f>IF(O64="","",-1*O64)</f>
        <v>-157573</v>
      </c>
      <c r="P66" s="265">
        <f>IF(P64="","",-1*P64)</f>
        <v>-147881</v>
      </c>
      <c r="Q66" s="265">
        <f>IF(Q64="","",-1*Q64)</f>
        <v>-159425</v>
      </c>
      <c r="S66" s="265">
        <f>IF(S64="","",-1*S64)</f>
        <v>-142363</v>
      </c>
      <c r="T66" s="265">
        <f>IF(T64="","",-1*T64)</f>
        <v>-153807</v>
      </c>
      <c r="U66" s="265">
        <f>IF(U64="","",-1*U64)</f>
        <v>-144067</v>
      </c>
      <c r="V66" s="265">
        <f>IF(V64="","",-1*V64)</f>
        <v>-132138</v>
      </c>
      <c r="X66" s="265">
        <f>IF(X64="","",-1*X64)</f>
        <v>-124550</v>
      </c>
      <c r="Y66" s="265">
        <f>IF(Y64="","",-1*Y64)</f>
        <v>-110632</v>
      </c>
      <c r="Z66" s="265">
        <f>IF(Z64="","",-1*Z64)</f>
        <v>-181313</v>
      </c>
      <c r="AA66" s="265">
        <f>IF(AA64="","",-1*AA64)</f>
        <v>-207415</v>
      </c>
      <c r="AC66" s="265">
        <f>IF(AC64="","",-1*AC64)</f>
        <v>-186570</v>
      </c>
      <c r="AD66" s="265">
        <f>IF(AD64="","",-1*AD64)</f>
        <v>-174635</v>
      </c>
    </row>
    <row r="67">
      <c r="A67" t="inlineStr">
        <is>
          <t>Intangível (CVM 1.02.04) · fonte · unid. moeda</t>
        </is>
      </c>
      <c r="B67" t="n">
        <v>21</v>
      </c>
      <c r="C67" t="inlineStr">
        <is>
          <t>Intangibles</t>
        </is>
      </c>
      <c r="D67" s="265" t="n">
        <v>8020397</v>
      </c>
      <c r="E67" s="265" t="n">
        <v>8149470</v>
      </c>
      <c r="F67" s="265" t="n">
        <v>8254668</v>
      </c>
      <c r="G67" s="265" t="n">
        <v>8538861</v>
      </c>
      <c r="I67" s="265" t="n">
        <v>8615400</v>
      </c>
      <c r="J67" s="265" t="n">
        <v>8652334</v>
      </c>
      <c r="K67" s="265" t="n">
        <v>8779969</v>
      </c>
      <c r="L67" s="265" t="n">
        <v>8954657</v>
      </c>
      <c r="N67" s="265" t="n">
        <v>9087834</v>
      </c>
      <c r="O67" s="265" t="n">
        <v>9400406</v>
      </c>
      <c r="P67" s="265" t="n">
        <v>9803663</v>
      </c>
      <c r="Q67" s="265" t="n">
        <v>10343667</v>
      </c>
      <c r="S67" s="265" t="n">
        <v>10484237</v>
      </c>
      <c r="T67" s="265" t="n">
        <v>10806396</v>
      </c>
      <c r="U67" s="265" t="n">
        <v>11048790</v>
      </c>
      <c r="V67" s="265" t="n">
        <v>11589509</v>
      </c>
      <c r="X67" s="265" t="n">
        <v>11661774</v>
      </c>
      <c r="Y67" s="265" t="n">
        <v>11905805</v>
      </c>
      <c r="Z67" s="265" t="n">
        <v>12243036</v>
      </c>
      <c r="AA67" s="265" t="n">
        <v>12602327</v>
      </c>
      <c r="AC67" s="265" t="n">
        <v>12757274</v>
      </c>
      <c r="AD67" s="265" t="n">
        <v>12943850</v>
      </c>
    </row>
    <row r="68">
      <c r="A68" t="inlineStr">
        <is>
          <t>Direito de Uso em Arrendamento (CVM 1.02.04.01.02) -&gt; COD1=19 lanca; COD2=21 estorna do total [0 em 2 per.: conta vazia na fonte; total divulgado confirma] · fonte · unid. moeda</t>
        </is>
      </c>
      <c r="C68" t="inlineStr">
        <is>
          <t>[linha bruta, sem código; lançada nas linhas abaixo]</t>
        </is>
      </c>
      <c r="D68" s="265" t="n">
        <v>185489</v>
      </c>
      <c r="E68" s="265" t="n">
        <v>184336</v>
      </c>
      <c r="F68" s="265" t="n">
        <v>183194</v>
      </c>
      <c r="G68" s="265" t="n">
        <v>182180</v>
      </c>
      <c r="I68" s="265" t="n">
        <v>181015</v>
      </c>
      <c r="J68" s="265" t="n">
        <v>179680</v>
      </c>
      <c r="K68" s="265" t="n">
        <v>178575</v>
      </c>
      <c r="L68" s="265" t="n">
        <v>177489</v>
      </c>
      <c r="N68" s="265" t="n">
        <v>176708</v>
      </c>
      <c r="O68" s="265" t="n">
        <v>175737</v>
      </c>
      <c r="P68" s="265" t="n">
        <v>174597</v>
      </c>
      <c r="Q68" s="265" t="n">
        <v>173643</v>
      </c>
      <c r="S68" s="265" t="n">
        <v>172505</v>
      </c>
      <c r="T68" s="265" t="n">
        <v>171367</v>
      </c>
      <c r="U68" s="265" t="n">
        <v>170229</v>
      </c>
      <c r="V68" s="265" t="n">
        <v>169355</v>
      </c>
      <c r="X68" s="265" t="n">
        <v>169455</v>
      </c>
      <c r="Y68" s="265" t="n">
        <v>168012</v>
      </c>
      <c r="Z68" s="265" t="n">
        <v>167050</v>
      </c>
      <c r="AA68" s="265" t="n">
        <v>165421</v>
      </c>
      <c r="AC68" s="265" t="n">
        <v>164155</v>
      </c>
      <c r="AD68" s="265" t="n">
        <v>163715</v>
      </c>
    </row>
    <row r="69">
      <c r="A69" t="inlineStr">
        <is>
          <t>(lançamento) código 19, sinal +1 sobre a linha bruta 68: Direito de Uso em Arrendamento (CVM 1.02.04.01.02) -&gt; COD1=19 lanca; COD2=21 estorna do to</t>
        </is>
      </c>
      <c r="B69" t="n">
        <v>19</v>
      </c>
      <c r="C69" t="inlineStr">
        <is>
          <t>Right-of-use-assets</t>
        </is>
      </c>
      <c r="D69" s="265">
        <f>IF(D68="","",D68)</f>
        <v>185489</v>
      </c>
      <c r="E69" s="265">
        <f>IF(E68="","",E68)</f>
        <v>184336</v>
      </c>
      <c r="F69" s="265">
        <f>IF(F68="","",F68)</f>
        <v>183194</v>
      </c>
      <c r="G69" s="265">
        <f>IF(G68="","",G68)</f>
        <v>182180</v>
      </c>
      <c r="I69" s="265">
        <f>IF(I68="","",I68)</f>
        <v>181015</v>
      </c>
      <c r="J69" s="265">
        <f>IF(J68="","",J68)</f>
        <v>179680</v>
      </c>
      <c r="K69" s="265">
        <f>IF(K68="","",K68)</f>
        <v>178575</v>
      </c>
      <c r="L69" s="265">
        <f>IF(L68="","",L68)</f>
        <v>177489</v>
      </c>
      <c r="N69" s="265">
        <f>IF(N68="","",N68)</f>
        <v>176708</v>
      </c>
      <c r="O69" s="265">
        <f>IF(O68="","",O68)</f>
        <v>175737</v>
      </c>
      <c r="P69" s="265">
        <f>IF(P68="","",P68)</f>
        <v>174597</v>
      </c>
      <c r="Q69" s="265">
        <f>IF(Q68="","",Q68)</f>
        <v>173643</v>
      </c>
      <c r="S69" s="265">
        <f>IF(S68="","",S68)</f>
        <v>172505</v>
      </c>
      <c r="T69" s="265">
        <f>IF(T68="","",T68)</f>
        <v>171367</v>
      </c>
      <c r="U69" s="265">
        <f>IF(U68="","",U68)</f>
        <v>170229</v>
      </c>
      <c r="V69" s="265">
        <f>IF(V68="","",V68)</f>
        <v>169355</v>
      </c>
      <c r="X69" s="265">
        <f>IF(X68="","",X68)</f>
        <v>169455</v>
      </c>
      <c r="Y69" s="265">
        <f>IF(Y68="","",Y68)</f>
        <v>168012</v>
      </c>
      <c r="Z69" s="265">
        <f>IF(Z68="","",Z68)</f>
        <v>167050</v>
      </c>
      <c r="AA69" s="265">
        <f>IF(AA68="","",AA68)</f>
        <v>165421</v>
      </c>
      <c r="AC69" s="265">
        <f>IF(AC68="","",AC68)</f>
        <v>164155</v>
      </c>
      <c r="AD69" s="265">
        <f>IF(AD68="","",AD68)</f>
        <v>163715</v>
      </c>
    </row>
    <row r="70">
      <c r="A70" t="inlineStr">
        <is>
          <t>(lançamento) código 21, sinal -1 sobre a linha bruta 68: Direito de Uso em Arrendamento (CVM 1.02.04.01.02) -&gt; COD1=19 lanca; COD2=21 estorna do to</t>
        </is>
      </c>
      <c r="B70" t="n">
        <v>21</v>
      </c>
      <c r="C70" t="inlineStr">
        <is>
          <t>Intangibles</t>
        </is>
      </c>
      <c r="D70" s="265">
        <f>IF(D68="","",-1*D68)</f>
        <v>-185489</v>
      </c>
      <c r="E70" s="265">
        <f>IF(E68="","",-1*E68)</f>
        <v>-184336</v>
      </c>
      <c r="F70" s="265">
        <f>IF(F68="","",-1*F68)</f>
        <v>-183194</v>
      </c>
      <c r="G70" s="265">
        <f>IF(G68="","",-1*G68)</f>
        <v>-182180</v>
      </c>
      <c r="I70" s="265">
        <f>IF(I68="","",-1*I68)</f>
        <v>-181015</v>
      </c>
      <c r="J70" s="265">
        <f>IF(J68="","",-1*J68)</f>
        <v>-179680</v>
      </c>
      <c r="K70" s="265">
        <f>IF(K68="","",-1*K68)</f>
        <v>-178575</v>
      </c>
      <c r="L70" s="265">
        <f>IF(L68="","",-1*L68)</f>
        <v>-177489</v>
      </c>
      <c r="N70" s="265">
        <f>IF(N68="","",-1*N68)</f>
        <v>-176708</v>
      </c>
      <c r="O70" s="265">
        <f>IF(O68="","",-1*O68)</f>
        <v>-175737</v>
      </c>
      <c r="P70" s="265">
        <f>IF(P68="","",-1*P68)</f>
        <v>-174597</v>
      </c>
      <c r="Q70" s="265">
        <f>IF(Q68="","",-1*Q68)</f>
        <v>-173643</v>
      </c>
      <c r="S70" s="265">
        <f>IF(S68="","",-1*S68)</f>
        <v>-172505</v>
      </c>
      <c r="T70" s="265">
        <f>IF(T68="","",-1*T68)</f>
        <v>-171367</v>
      </c>
      <c r="U70" s="265">
        <f>IF(U68="","",-1*U68)</f>
        <v>-170229</v>
      </c>
      <c r="V70" s="265">
        <f>IF(V68="","",-1*V68)</f>
        <v>-169355</v>
      </c>
      <c r="X70" s="265">
        <f>IF(X68="","",-1*X68)</f>
        <v>-169455</v>
      </c>
      <c r="Y70" s="265">
        <f>IF(Y68="","",-1*Y68)</f>
        <v>-168012</v>
      </c>
      <c r="Z70" s="265">
        <f>IF(Z68="","",-1*Z68)</f>
        <v>-167050</v>
      </c>
      <c r="AA70" s="265">
        <f>IF(AA68="","",-1*AA68)</f>
        <v>-165421</v>
      </c>
      <c r="AC70" s="265">
        <f>IF(AC68="","",-1*AC68)</f>
        <v>-164155</v>
      </c>
      <c r="AD70" s="265">
        <f>IF(AD68="","",-1*AD68)</f>
        <v>-163715</v>
      </c>
    </row>
    <row r="71">
      <c r="A71" t="inlineStr">
        <is>
          <t>Obrigações Sociais e Trabalhistas (CVM 2.01.01) · fonte · unid. moeda</t>
        </is>
      </c>
      <c r="B71" t="n">
        <v>24</v>
      </c>
      <c r="C71" t="inlineStr">
        <is>
          <t>Accrued expenses</t>
        </is>
      </c>
      <c r="D71" s="265" t="n">
        <v>134866</v>
      </c>
      <c r="E71" s="265" t="n">
        <v>68976</v>
      </c>
      <c r="F71" s="265" t="n">
        <v>86483</v>
      </c>
      <c r="G71" s="265" t="n">
        <v>117893</v>
      </c>
      <c r="I71" s="265" t="n">
        <v>128869</v>
      </c>
      <c r="J71" s="265" t="n">
        <v>66070</v>
      </c>
      <c r="K71" s="265" t="n">
        <v>84567</v>
      </c>
      <c r="L71" s="265" t="n">
        <v>139976</v>
      </c>
      <c r="N71" s="265" t="n">
        <v>145122</v>
      </c>
      <c r="O71" s="265" t="n">
        <v>88956</v>
      </c>
      <c r="P71" s="265" t="n">
        <v>129546</v>
      </c>
      <c r="Q71" s="265" t="n">
        <v>171086</v>
      </c>
      <c r="S71" s="265" t="n">
        <v>186806</v>
      </c>
      <c r="T71" s="265" t="n">
        <v>102836</v>
      </c>
      <c r="U71" s="265" t="n">
        <v>120231</v>
      </c>
      <c r="V71" s="265" t="n">
        <v>166802</v>
      </c>
      <c r="X71" s="265" t="n">
        <v>420907</v>
      </c>
      <c r="Y71" s="265" t="n">
        <v>303425</v>
      </c>
      <c r="Z71" s="265" t="n">
        <v>288665</v>
      </c>
      <c r="AA71" s="265" t="n">
        <v>277212</v>
      </c>
      <c r="AC71" s="265" t="n">
        <v>239379</v>
      </c>
      <c r="AD71" s="265" t="n">
        <v>37212</v>
      </c>
    </row>
    <row r="72">
      <c r="A72" t="inlineStr">
        <is>
          <t>Fornecedores (CVM 2.01.02) · fonte · unid. moeda</t>
        </is>
      </c>
      <c r="B72" t="n">
        <v>23</v>
      </c>
      <c r="C72" t="inlineStr">
        <is>
          <t>Accounts payable</t>
        </is>
      </c>
      <c r="D72" s="265" t="n">
        <v>173164</v>
      </c>
      <c r="E72" s="265" t="n">
        <v>199868</v>
      </c>
      <c r="F72" s="265" t="n">
        <v>259493</v>
      </c>
      <c r="G72" s="265" t="n">
        <v>269397</v>
      </c>
      <c r="I72" s="265" t="n">
        <v>263101</v>
      </c>
      <c r="J72" s="265" t="n">
        <v>255240</v>
      </c>
      <c r="K72" s="265" t="n">
        <v>275833</v>
      </c>
      <c r="L72" s="265" t="n">
        <v>297045</v>
      </c>
      <c r="N72" s="265" t="n">
        <v>236191</v>
      </c>
      <c r="O72" s="265" t="n">
        <v>321428</v>
      </c>
      <c r="P72" s="265" t="n">
        <v>336008</v>
      </c>
      <c r="Q72" s="265" t="n">
        <v>354897</v>
      </c>
      <c r="S72" s="265" t="n">
        <v>327528</v>
      </c>
      <c r="T72" s="265" t="n">
        <v>332791</v>
      </c>
      <c r="U72" s="265" t="n">
        <v>333134</v>
      </c>
      <c r="V72" s="265" t="n">
        <v>331691</v>
      </c>
      <c r="X72" s="265" t="n">
        <v>320066</v>
      </c>
      <c r="Y72" s="265" t="n">
        <v>339296</v>
      </c>
      <c r="Z72" s="265" t="n">
        <v>431390</v>
      </c>
      <c r="AA72" s="265" t="n">
        <v>504986</v>
      </c>
      <c r="AC72" s="265" t="n">
        <v>411122</v>
      </c>
      <c r="AD72" s="265" t="n">
        <v>368487</v>
      </c>
    </row>
    <row r="73">
      <c r="A73" t="inlineStr">
        <is>
          <t>Obrigações Fiscais (CVM 2.01.03) · fonte · unid. moeda</t>
        </is>
      </c>
      <c r="B73" t="n">
        <v>25</v>
      </c>
      <c r="C73" t="inlineStr">
        <is>
          <t>Taxes payable</t>
        </is>
      </c>
      <c r="D73" s="265" t="n">
        <v>98916</v>
      </c>
      <c r="E73" s="265" t="n">
        <v>60414</v>
      </c>
      <c r="F73" s="265" t="n">
        <v>95215</v>
      </c>
      <c r="G73" s="265" t="n">
        <v>84602</v>
      </c>
      <c r="I73" s="265" t="n">
        <v>99861</v>
      </c>
      <c r="J73" s="265" t="n">
        <v>71056</v>
      </c>
      <c r="K73" s="265" t="n">
        <v>95199</v>
      </c>
      <c r="L73" s="265" t="n">
        <v>102767</v>
      </c>
      <c r="N73" s="265" t="n">
        <v>122163</v>
      </c>
      <c r="O73" s="265" t="n">
        <v>93333</v>
      </c>
      <c r="P73" s="265" t="n">
        <v>113176</v>
      </c>
      <c r="Q73" s="265" t="n">
        <v>100087</v>
      </c>
      <c r="S73" s="265" t="n">
        <v>123200</v>
      </c>
      <c r="T73" s="265" t="n">
        <v>65690</v>
      </c>
      <c r="U73" s="265" t="n">
        <v>94452</v>
      </c>
      <c r="V73" s="265" t="n">
        <v>111687</v>
      </c>
      <c r="X73" s="265" t="n">
        <v>168117</v>
      </c>
      <c r="Y73" s="265" t="n">
        <v>117590</v>
      </c>
      <c r="Z73" s="265" t="n">
        <v>91871</v>
      </c>
      <c r="AA73" s="265" t="n">
        <v>101893</v>
      </c>
      <c r="AC73" s="265" t="n">
        <v>130799</v>
      </c>
      <c r="AD73" s="265" t="n">
        <v>98319</v>
      </c>
    </row>
    <row r="74">
      <c r="A74" t="inlineStr">
        <is>
          <t>Empréstimos e Financiamentos (CVM 2.01.04) · fonte · unid. moeda</t>
        </is>
      </c>
      <c r="B74" t="n">
        <v>27</v>
      </c>
      <c r="C74" t="inlineStr">
        <is>
          <t>Current portion of long-term debt</t>
        </is>
      </c>
      <c r="D74" s="265" t="n">
        <v>510501</v>
      </c>
      <c r="E74" s="265" t="n">
        <v>442040</v>
      </c>
      <c r="F74" s="265" t="n">
        <v>416376</v>
      </c>
      <c r="G74" s="265" t="n">
        <v>407680</v>
      </c>
      <c r="I74" s="265" t="n">
        <v>387796</v>
      </c>
      <c r="J74" s="265" t="n">
        <v>533164</v>
      </c>
      <c r="K74" s="265" t="n">
        <v>528491</v>
      </c>
      <c r="L74" s="265" t="n">
        <v>575651</v>
      </c>
      <c r="N74" s="265" t="n">
        <v>576962</v>
      </c>
      <c r="O74" s="265" t="n">
        <v>656348</v>
      </c>
      <c r="P74" s="265" t="n">
        <v>664048</v>
      </c>
      <c r="Q74" s="265" t="n">
        <v>671117</v>
      </c>
      <c r="S74" s="265" t="n">
        <v>743145</v>
      </c>
      <c r="T74" s="265" t="n">
        <v>574245</v>
      </c>
      <c r="U74" s="265" t="n">
        <v>542784</v>
      </c>
      <c r="V74" s="265" t="n">
        <v>584638</v>
      </c>
      <c r="X74" s="265" t="n">
        <v>712450</v>
      </c>
      <c r="Y74" s="265" t="n">
        <v>879451</v>
      </c>
      <c r="Z74" s="265" t="n">
        <v>944979</v>
      </c>
      <c r="AA74" s="265" t="n">
        <v>997329</v>
      </c>
      <c r="AC74" s="265" t="n">
        <v>1369898</v>
      </c>
      <c r="AD74" s="265" t="n">
        <v>1247013</v>
      </c>
    </row>
    <row r="75">
      <c r="A75" t="inlineStr">
        <is>
          <t>Financiamento por Arrendamento (CVM 2.01.04.03) -&gt; COD1=29 lanca; COD2=27 estorna do total · fonte · unid. moeda</t>
        </is>
      </c>
      <c r="C75" t="inlineStr">
        <is>
          <t>[linha bruta, sem código; lançada nas linhas abaixo]</t>
        </is>
      </c>
      <c r="D75" s="265" t="n">
        <v>52492</v>
      </c>
      <c r="E75" s="265" t="n">
        <v>66345</v>
      </c>
      <c r="F75" s="265" t="n">
        <v>74201</v>
      </c>
      <c r="G75" s="265" t="n">
        <v>70926</v>
      </c>
      <c r="I75" s="265" t="n">
        <v>74760</v>
      </c>
      <c r="J75" s="265" t="n">
        <v>69403</v>
      </c>
      <c r="K75" s="265" t="n">
        <v>70205</v>
      </c>
      <c r="L75" s="265" t="n">
        <v>95566</v>
      </c>
      <c r="N75" s="265" t="n">
        <v>99026</v>
      </c>
      <c r="O75" s="265" t="n">
        <v>95016</v>
      </c>
      <c r="P75" s="265" t="n">
        <v>96488</v>
      </c>
      <c r="Q75" s="265" t="n">
        <v>104905</v>
      </c>
      <c r="S75" s="265" t="n">
        <v>105520</v>
      </c>
      <c r="T75" s="265" t="n">
        <v>112161</v>
      </c>
      <c r="U75" s="265" t="n">
        <v>119157</v>
      </c>
      <c r="V75" s="265" t="n">
        <v>120982</v>
      </c>
      <c r="X75" s="265" t="n">
        <v>116274</v>
      </c>
      <c r="Y75" s="265" t="n">
        <v>106508</v>
      </c>
      <c r="Z75" s="265" t="n">
        <v>129990</v>
      </c>
      <c r="AA75" s="265" t="n">
        <v>138178</v>
      </c>
      <c r="AC75" s="265" t="n">
        <v>138459</v>
      </c>
      <c r="AD75" s="265" t="n">
        <v>138888</v>
      </c>
    </row>
    <row r="76">
      <c r="A76" t="inlineStr">
        <is>
          <t>(lançamento) código 29, sinal +1 sobre a linha bruta 75: Financiamento por Arrendamento (CVM 2.01.04.03) -&gt; COD1=29 lanca; COD2=27 estorna do total</t>
        </is>
      </c>
      <c r="B76" t="n">
        <v>29</v>
      </c>
      <c r="C76" t="inlineStr">
        <is>
          <t>Short term operating leases</t>
        </is>
      </c>
      <c r="D76" s="265">
        <f>IF(D75="","",D75)</f>
        <v>52492</v>
      </c>
      <c r="E76" s="265">
        <f>IF(E75="","",E75)</f>
        <v>66345</v>
      </c>
      <c r="F76" s="265">
        <f>IF(F75="","",F75)</f>
        <v>74201</v>
      </c>
      <c r="G76" s="265">
        <f>IF(G75="","",G75)</f>
        <v>70926</v>
      </c>
      <c r="I76" s="265">
        <f>IF(I75="","",I75)</f>
        <v>74760</v>
      </c>
      <c r="J76" s="265">
        <f>IF(J75="","",J75)</f>
        <v>69403</v>
      </c>
      <c r="K76" s="265">
        <f>IF(K75="","",K75)</f>
        <v>70205</v>
      </c>
      <c r="L76" s="265">
        <f>IF(L75="","",L75)</f>
        <v>95566</v>
      </c>
      <c r="N76" s="265">
        <f>IF(N75="","",N75)</f>
        <v>99026</v>
      </c>
      <c r="O76" s="265">
        <f>IF(O75="","",O75)</f>
        <v>95016</v>
      </c>
      <c r="P76" s="265">
        <f>IF(P75="","",P75)</f>
        <v>96488</v>
      </c>
      <c r="Q76" s="265">
        <f>IF(Q75="","",Q75)</f>
        <v>104905</v>
      </c>
      <c r="S76" s="265">
        <f>IF(S75="","",S75)</f>
        <v>105520</v>
      </c>
      <c r="T76" s="265">
        <f>IF(T75="","",T75)</f>
        <v>112161</v>
      </c>
      <c r="U76" s="265">
        <f>IF(U75="","",U75)</f>
        <v>119157</v>
      </c>
      <c r="V76" s="265">
        <f>IF(V75="","",V75)</f>
        <v>120982</v>
      </c>
      <c r="X76" s="265">
        <f>IF(X75="","",X75)</f>
        <v>116274</v>
      </c>
      <c r="Y76" s="265">
        <f>IF(Y75="","",Y75)</f>
        <v>106508</v>
      </c>
      <c r="Z76" s="265">
        <f>IF(Z75="","",Z75)</f>
        <v>129990</v>
      </c>
      <c r="AA76" s="265">
        <f>IF(AA75="","",AA75)</f>
        <v>138178</v>
      </c>
      <c r="AC76" s="265">
        <f>IF(AC75="","",AC75)</f>
        <v>138459</v>
      </c>
      <c r="AD76" s="265">
        <f>IF(AD75="","",AD75)</f>
        <v>138888</v>
      </c>
    </row>
    <row r="77">
      <c r="A77" t="inlineStr">
        <is>
          <t>(lançamento) código 27, sinal -1 sobre a linha bruta 75: Financiamento por Arrendamento (CVM 2.01.04.03) -&gt; COD1=29 lanca; COD2=27 estorna do total</t>
        </is>
      </c>
      <c r="B77" t="n">
        <v>27</v>
      </c>
      <c r="C77" t="inlineStr">
        <is>
          <t>Current portion of long-term debt</t>
        </is>
      </c>
      <c r="D77" s="265">
        <f>IF(D75="","",-1*D75)</f>
        <v>-52492</v>
      </c>
      <c r="E77" s="265">
        <f>IF(E75="","",-1*E75)</f>
        <v>-66345</v>
      </c>
      <c r="F77" s="265">
        <f>IF(F75="","",-1*F75)</f>
        <v>-74201</v>
      </c>
      <c r="G77" s="265">
        <f>IF(G75="","",-1*G75)</f>
        <v>-70926</v>
      </c>
      <c r="I77" s="265">
        <f>IF(I75="","",-1*I75)</f>
        <v>-74760</v>
      </c>
      <c r="J77" s="265">
        <f>IF(J75="","",-1*J75)</f>
        <v>-69403</v>
      </c>
      <c r="K77" s="265">
        <f>IF(K75="","",-1*K75)</f>
        <v>-70205</v>
      </c>
      <c r="L77" s="265">
        <f>IF(L75="","",-1*L75)</f>
        <v>-95566</v>
      </c>
      <c r="N77" s="265">
        <f>IF(N75="","",-1*N75)</f>
        <v>-99026</v>
      </c>
      <c r="O77" s="265">
        <f>IF(O75="","",-1*O75)</f>
        <v>-95016</v>
      </c>
      <c r="P77" s="265">
        <f>IF(P75="","",-1*P75)</f>
        <v>-96488</v>
      </c>
      <c r="Q77" s="265">
        <f>IF(Q75="","",-1*Q75)</f>
        <v>-104905</v>
      </c>
      <c r="S77" s="265">
        <f>IF(S75="","",-1*S75)</f>
        <v>-105520</v>
      </c>
      <c r="T77" s="265">
        <f>IF(T75="","",-1*T75)</f>
        <v>-112161</v>
      </c>
      <c r="U77" s="265">
        <f>IF(U75="","",-1*U75)</f>
        <v>-119157</v>
      </c>
      <c r="V77" s="265">
        <f>IF(V75="","",-1*V75)</f>
        <v>-120982</v>
      </c>
      <c r="X77" s="265">
        <f>IF(X75="","",-1*X75)</f>
        <v>-116274</v>
      </c>
      <c r="Y77" s="265">
        <f>IF(Y75="","",-1*Y75)</f>
        <v>-106508</v>
      </c>
      <c r="Z77" s="265">
        <f>IF(Z75="","",-1*Z75)</f>
        <v>-129990</v>
      </c>
      <c r="AA77" s="265">
        <f>IF(AA75="","",-1*AA75)</f>
        <v>-138178</v>
      </c>
      <c r="AC77" s="265">
        <f>IF(AC75="","",-1*AC75)</f>
        <v>-138459</v>
      </c>
      <c r="AD77" s="265">
        <f>IF(AD75="","",-1*AD75)</f>
        <v>-138888</v>
      </c>
    </row>
    <row r="78">
      <c r="A78" t="inlineStr">
        <is>
          <t>Outras Obrigações (CVM 2.01.05) · fonte · unid. moeda</t>
        </is>
      </c>
      <c r="B78" t="n">
        <v>26</v>
      </c>
      <c r="C78" t="inlineStr">
        <is>
          <t>Other current liabilities (non-debt)</t>
        </is>
      </c>
      <c r="D78" s="265" t="n">
        <v>314500</v>
      </c>
      <c r="E78" s="265" t="n">
        <v>237164</v>
      </c>
      <c r="F78" s="265" t="n">
        <v>244104</v>
      </c>
      <c r="G78" s="265" t="n">
        <v>343711</v>
      </c>
      <c r="I78" s="265" t="n">
        <v>341702</v>
      </c>
      <c r="J78" s="265" t="n">
        <v>255861</v>
      </c>
      <c r="K78" s="265" t="n">
        <v>255089</v>
      </c>
      <c r="L78" s="265" t="n">
        <v>340826</v>
      </c>
      <c r="N78" s="265" t="n">
        <v>357372</v>
      </c>
      <c r="O78" s="265" t="n">
        <v>378047</v>
      </c>
      <c r="P78" s="265" t="n">
        <v>387254</v>
      </c>
      <c r="Q78" s="265" t="n">
        <v>484567</v>
      </c>
      <c r="S78" s="265" t="n">
        <v>498264</v>
      </c>
      <c r="T78" s="265" t="n">
        <v>507950</v>
      </c>
      <c r="U78" s="265" t="n">
        <v>488334</v>
      </c>
      <c r="V78" s="265" t="n">
        <v>457577</v>
      </c>
      <c r="X78" s="265" t="n">
        <v>458463</v>
      </c>
      <c r="Y78" s="265" t="n">
        <v>550677</v>
      </c>
      <c r="Z78" s="265" t="n">
        <v>3809160</v>
      </c>
      <c r="AA78" s="265" t="n">
        <v>3945418</v>
      </c>
      <c r="AC78" s="265" t="n">
        <v>4120686</v>
      </c>
      <c r="AD78" s="265" t="n">
        <v>1384365</v>
      </c>
    </row>
    <row r="79">
      <c r="A79" t="inlineStr">
        <is>
          <t>Provisões (CVM 2.01.06) · fonte · unid. moeda</t>
        </is>
      </c>
      <c r="B79" t="n">
        <v>26</v>
      </c>
      <c r="C79" t="inlineStr">
        <is>
          <t>Other current liabilities (non-debt)</t>
        </is>
      </c>
      <c r="D79" s="265" t="n">
        <v>190850</v>
      </c>
      <c r="E79" s="265" t="n">
        <v>220746</v>
      </c>
      <c r="F79" s="265" t="n">
        <v>256605</v>
      </c>
      <c r="G79" s="265" t="n">
        <v>173888</v>
      </c>
      <c r="I79" s="265" t="n">
        <v>193519</v>
      </c>
      <c r="J79" s="265" t="n">
        <v>236775</v>
      </c>
      <c r="K79" s="265" t="n">
        <v>275325</v>
      </c>
      <c r="L79" s="265" t="n">
        <v>173393</v>
      </c>
      <c r="N79" s="265" t="n">
        <v>194832</v>
      </c>
      <c r="O79" s="265" t="n">
        <v>236179</v>
      </c>
      <c r="P79" s="265" t="n">
        <v>277072</v>
      </c>
      <c r="Q79" s="265" t="n">
        <v>188339</v>
      </c>
      <c r="S79" s="265" t="n">
        <v>205348</v>
      </c>
      <c r="T79" s="265" t="n">
        <v>253889</v>
      </c>
      <c r="U79" s="265" t="n">
        <v>297568</v>
      </c>
      <c r="V79" s="265" t="n">
        <v>198033</v>
      </c>
      <c r="X79" s="265" t="n">
        <v>221648</v>
      </c>
      <c r="Y79" s="265" t="n">
        <v>262526</v>
      </c>
      <c r="Z79" s="265" t="n">
        <v>303337</v>
      </c>
      <c r="AA79" s="265" t="n">
        <v>197910</v>
      </c>
      <c r="AC79" s="265" t="n">
        <v>219483</v>
      </c>
      <c r="AD79" s="265" t="n">
        <v>270682</v>
      </c>
    </row>
    <row r="80">
      <c r="A80" t="inlineStr">
        <is>
          <t>Passivos sobre Ativos Não-Correntes a Venda e Descontinuados (CVM 2.01.07) [0 em 23 per.: conta vazia na fonte; total divulgado confirma] · fonte · unid. moeda</t>
        </is>
      </c>
      <c r="B80" t="n">
        <v>26</v>
      </c>
      <c r="C80" t="inlineStr">
        <is>
          <t>Other current liabilities (non-debt)</t>
        </is>
      </c>
      <c r="D80" s="265" t="n">
        <v>0</v>
      </c>
      <c r="E80" s="265" t="n">
        <v>0</v>
      </c>
      <c r="F80" s="265" t="n">
        <v>0</v>
      </c>
      <c r="G80" s="265" t="n">
        <v>0</v>
      </c>
      <c r="I80" s="265" t="n">
        <v>0</v>
      </c>
      <c r="J80" s="265" t="n">
        <v>0</v>
      </c>
      <c r="K80" s="265" t="n">
        <v>0</v>
      </c>
      <c r="L80" s="265" t="n">
        <v>0</v>
      </c>
      <c r="N80" s="265" t="n">
        <v>0</v>
      </c>
      <c r="O80" s="265" t="n">
        <v>0</v>
      </c>
      <c r="P80" s="265" t="n">
        <v>0</v>
      </c>
      <c r="Q80" s="265" t="n">
        <v>0</v>
      </c>
      <c r="S80" s="265" t="n">
        <v>0</v>
      </c>
      <c r="T80" s="265" t="n">
        <v>0</v>
      </c>
      <c r="U80" s="265" t="n">
        <v>0</v>
      </c>
      <c r="V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C80" s="265" t="n">
        <v>0</v>
      </c>
      <c r="AD80" s="265" t="n">
        <v>0</v>
      </c>
    </row>
    <row r="81">
      <c r="A81" t="inlineStr">
        <is>
          <t>Empréstimos e Financiamentos (CVM 2.02.01) · fonte · unid. moeda</t>
        </is>
      </c>
      <c r="B81" t="n">
        <v>30</v>
      </c>
      <c r="C81" t="inlineStr">
        <is>
          <t>Long term debt</t>
        </is>
      </c>
      <c r="D81" s="265" t="n">
        <v>3591020</v>
      </c>
      <c r="E81" s="265" t="n">
        <v>3594101</v>
      </c>
      <c r="F81" s="265" t="n">
        <v>3642656</v>
      </c>
      <c r="G81" s="265" t="n">
        <v>3712885</v>
      </c>
      <c r="I81" s="265" t="n">
        <v>4348940</v>
      </c>
      <c r="J81" s="265" t="n">
        <v>4296266</v>
      </c>
      <c r="K81" s="265" t="n">
        <v>4380752</v>
      </c>
      <c r="L81" s="265" t="n">
        <v>4507593</v>
      </c>
      <c r="N81" s="265" t="n">
        <v>4601857</v>
      </c>
      <c r="O81" s="265" t="n">
        <v>4958054</v>
      </c>
      <c r="P81" s="265" t="n">
        <v>5013248</v>
      </c>
      <c r="Q81" s="265" t="n">
        <v>5106543</v>
      </c>
      <c r="S81" s="265" t="n">
        <v>5652348</v>
      </c>
      <c r="T81" s="265" t="n">
        <v>5811054</v>
      </c>
      <c r="U81" s="265" t="n">
        <v>5915965</v>
      </c>
      <c r="V81" s="265" t="n">
        <v>6046697</v>
      </c>
      <c r="X81" s="265" t="n">
        <v>5896793</v>
      </c>
      <c r="Y81" s="265" t="n">
        <v>5818621</v>
      </c>
      <c r="Z81" s="265" t="n">
        <v>6310726</v>
      </c>
      <c r="AA81" s="265" t="n">
        <v>6395335</v>
      </c>
      <c r="AC81" s="265" t="n">
        <v>5910965</v>
      </c>
      <c r="AD81" s="265" t="n">
        <v>6003015</v>
      </c>
    </row>
    <row r="82">
      <c r="A82" t="inlineStr">
        <is>
          <t>Financiamento por Arrendamento (CVM 2.02.01.03) -&gt; COD1=31 lanca; COD2=30 estorna do total · fonte · unid. moeda</t>
        </is>
      </c>
      <c r="C82" t="inlineStr">
        <is>
          <t>[linha bruta, sem código; lançada nas linhas abaixo]</t>
        </is>
      </c>
      <c r="D82" s="265" t="n">
        <v>297201</v>
      </c>
      <c r="E82" s="265" t="n">
        <v>302843</v>
      </c>
      <c r="F82" s="265" t="n">
        <v>324974</v>
      </c>
      <c r="G82" s="265" t="n">
        <v>334085</v>
      </c>
      <c r="I82" s="265" t="n">
        <v>334493</v>
      </c>
      <c r="J82" s="265" t="n">
        <v>329074</v>
      </c>
      <c r="K82" s="265" t="n">
        <v>357334</v>
      </c>
      <c r="L82" s="265" t="n">
        <v>404285</v>
      </c>
      <c r="N82" s="265" t="n">
        <v>390987</v>
      </c>
      <c r="O82" s="265" t="n">
        <v>403593</v>
      </c>
      <c r="P82" s="265" t="n">
        <v>400650</v>
      </c>
      <c r="Q82" s="265" t="n">
        <v>403271</v>
      </c>
      <c r="S82" s="265" t="n">
        <v>384401</v>
      </c>
      <c r="T82" s="265" t="n">
        <v>390529</v>
      </c>
      <c r="U82" s="265" t="n">
        <v>369266</v>
      </c>
      <c r="V82" s="265" t="n">
        <v>369056</v>
      </c>
      <c r="X82" s="265" t="n">
        <v>363151</v>
      </c>
      <c r="Y82" s="265" t="n">
        <v>353256</v>
      </c>
      <c r="Z82" s="265" t="n">
        <v>409527</v>
      </c>
      <c r="AA82" s="265" t="n">
        <v>424136</v>
      </c>
      <c r="AC82" s="265" t="n">
        <v>402609</v>
      </c>
      <c r="AD82" s="265" t="n">
        <v>386794</v>
      </c>
    </row>
    <row r="83">
      <c r="A83" t="inlineStr">
        <is>
          <t>(lançamento) código 31, sinal +1 sobre a linha bruta 82: Financiamento por Arrendamento (CVM 2.02.01.03) -&gt; COD1=31 lanca; COD2=30 estorna do total</t>
        </is>
      </c>
      <c r="B83" t="n">
        <v>31</v>
      </c>
      <c r="C83" t="inlineStr">
        <is>
          <t>Long term operating leases</t>
        </is>
      </c>
      <c r="D83" s="265">
        <f>IF(D82="","",D82)</f>
        <v>297201</v>
      </c>
      <c r="E83" s="265">
        <f>IF(E82="","",E82)</f>
        <v>302843</v>
      </c>
      <c r="F83" s="265">
        <f>IF(F82="","",F82)</f>
        <v>324974</v>
      </c>
      <c r="G83" s="265">
        <f>IF(G82="","",G82)</f>
        <v>334085</v>
      </c>
      <c r="I83" s="265">
        <f>IF(I82="","",I82)</f>
        <v>334493</v>
      </c>
      <c r="J83" s="265">
        <f>IF(J82="","",J82)</f>
        <v>329074</v>
      </c>
      <c r="K83" s="265">
        <f>IF(K82="","",K82)</f>
        <v>357334</v>
      </c>
      <c r="L83" s="265">
        <f>IF(L82="","",L82)</f>
        <v>404285</v>
      </c>
      <c r="N83" s="265">
        <f>IF(N82="","",N82)</f>
        <v>390987</v>
      </c>
      <c r="O83" s="265">
        <f>IF(O82="","",O82)</f>
        <v>403593</v>
      </c>
      <c r="P83" s="265">
        <f>IF(P82="","",P82)</f>
        <v>400650</v>
      </c>
      <c r="Q83" s="265">
        <f>IF(Q82="","",Q82)</f>
        <v>403271</v>
      </c>
      <c r="S83" s="265">
        <f>IF(S82="","",S82)</f>
        <v>384401</v>
      </c>
      <c r="T83" s="265">
        <f>IF(T82="","",T82)</f>
        <v>390529</v>
      </c>
      <c r="U83" s="265">
        <f>IF(U82="","",U82)</f>
        <v>369266</v>
      </c>
      <c r="V83" s="265">
        <f>IF(V82="","",V82)</f>
        <v>369056</v>
      </c>
      <c r="X83" s="265">
        <f>IF(X82="","",X82)</f>
        <v>363151</v>
      </c>
      <c r="Y83" s="265">
        <f>IF(Y82="","",Y82)</f>
        <v>353256</v>
      </c>
      <c r="Z83" s="265">
        <f>IF(Z82="","",Z82)</f>
        <v>409527</v>
      </c>
      <c r="AA83" s="265">
        <f>IF(AA82="","",AA82)</f>
        <v>424136</v>
      </c>
      <c r="AC83" s="265">
        <f>IF(AC82="","",AC82)</f>
        <v>402609</v>
      </c>
      <c r="AD83" s="265">
        <f>IF(AD82="","",AD82)</f>
        <v>386794</v>
      </c>
    </row>
    <row r="84">
      <c r="A84" t="inlineStr">
        <is>
          <t>(lançamento) código 30, sinal -1 sobre a linha bruta 82: Financiamento por Arrendamento (CVM 2.02.01.03) -&gt; COD1=31 lanca; COD2=30 estorna do total</t>
        </is>
      </c>
      <c r="B84" t="n">
        <v>30</v>
      </c>
      <c r="C84" t="inlineStr">
        <is>
          <t>Long term debt</t>
        </is>
      </c>
      <c r="D84" s="265">
        <f>IF(D82="","",-1*D82)</f>
        <v>-297201</v>
      </c>
      <c r="E84" s="265">
        <f>IF(E82="","",-1*E82)</f>
        <v>-302843</v>
      </c>
      <c r="F84" s="265">
        <f>IF(F82="","",-1*F82)</f>
        <v>-324974</v>
      </c>
      <c r="G84" s="265">
        <f>IF(G82="","",-1*G82)</f>
        <v>-334085</v>
      </c>
      <c r="I84" s="265">
        <f>IF(I82="","",-1*I82)</f>
        <v>-334493</v>
      </c>
      <c r="J84" s="265">
        <f>IF(J82="","",-1*J82)</f>
        <v>-329074</v>
      </c>
      <c r="K84" s="265">
        <f>IF(K82="","",-1*K82)</f>
        <v>-357334</v>
      </c>
      <c r="L84" s="265">
        <f>IF(L82="","",-1*L82)</f>
        <v>-404285</v>
      </c>
      <c r="N84" s="265">
        <f>IF(N82="","",-1*N82)</f>
        <v>-390987</v>
      </c>
      <c r="O84" s="265">
        <f>IF(O82="","",-1*O82)</f>
        <v>-403593</v>
      </c>
      <c r="P84" s="265">
        <f>IF(P82="","",-1*P82)</f>
        <v>-400650</v>
      </c>
      <c r="Q84" s="265">
        <f>IF(Q82="","",-1*Q82)</f>
        <v>-403271</v>
      </c>
      <c r="S84" s="265">
        <f>IF(S82="","",-1*S82)</f>
        <v>-384401</v>
      </c>
      <c r="T84" s="265">
        <f>IF(T82="","",-1*T82)</f>
        <v>-390529</v>
      </c>
      <c r="U84" s="265">
        <f>IF(U82="","",-1*U82)</f>
        <v>-369266</v>
      </c>
      <c r="V84" s="265">
        <f>IF(V82="","",-1*V82)</f>
        <v>-369056</v>
      </c>
      <c r="X84" s="265">
        <f>IF(X82="","",-1*X82)</f>
        <v>-363151</v>
      </c>
      <c r="Y84" s="265">
        <f>IF(Y82="","",-1*Y82)</f>
        <v>-353256</v>
      </c>
      <c r="Z84" s="265">
        <f>IF(Z82="","",-1*Z82)</f>
        <v>-409527</v>
      </c>
      <c r="AA84" s="265">
        <f>IF(AA82="","",-1*AA82)</f>
        <v>-424136</v>
      </c>
      <c r="AC84" s="265">
        <f>IF(AC82="","",-1*AC82)</f>
        <v>-402609</v>
      </c>
      <c r="AD84" s="265">
        <f>IF(AD82="","",-1*AD82)</f>
        <v>-386794</v>
      </c>
    </row>
    <row r="85">
      <c r="A85" t="inlineStr">
        <is>
          <t>Outras Obrigações (CVM 2.02.02) · fonte · unid. moeda</t>
        </is>
      </c>
      <c r="B85" t="n">
        <v>34</v>
      </c>
      <c r="C85" t="inlineStr">
        <is>
          <t>Other non-current liabilities</t>
        </is>
      </c>
      <c r="D85" s="265" t="n">
        <v>26229</v>
      </c>
      <c r="E85" s="265" t="n">
        <v>20402</v>
      </c>
      <c r="F85" s="265" t="n">
        <v>10710</v>
      </c>
      <c r="G85" s="265" t="n">
        <v>5791</v>
      </c>
      <c r="I85" s="265" t="n">
        <v>18984</v>
      </c>
      <c r="J85" s="265" t="n">
        <v>17335</v>
      </c>
      <c r="K85" s="265" t="n">
        <v>13919</v>
      </c>
      <c r="L85" s="265" t="n">
        <v>100406</v>
      </c>
      <c r="N85" s="265" t="n">
        <v>99261</v>
      </c>
      <c r="O85" s="265" t="n">
        <v>98201</v>
      </c>
      <c r="P85" s="265" t="n">
        <v>93453</v>
      </c>
      <c r="Q85" s="265" t="n">
        <v>93564</v>
      </c>
      <c r="S85" s="265" t="n">
        <v>97760</v>
      </c>
      <c r="T85" s="265" t="n">
        <v>94326</v>
      </c>
      <c r="U85" s="265" t="n">
        <v>86297</v>
      </c>
      <c r="V85" s="265" t="n">
        <v>97179</v>
      </c>
      <c r="X85" s="265" t="n">
        <v>3105615</v>
      </c>
      <c r="Y85" s="265" t="n">
        <v>3195309</v>
      </c>
      <c r="Z85" s="265" t="n">
        <v>86949</v>
      </c>
      <c r="AA85" s="265" t="n">
        <v>77374</v>
      </c>
      <c r="AC85" s="265" t="n">
        <v>75397</v>
      </c>
      <c r="AD85" s="265" t="n">
        <v>3346954</v>
      </c>
    </row>
    <row r="86">
      <c r="A86" t="inlineStr">
        <is>
          <t>Tributos Diferidos (CVM 2.02.03) [0 em 23 per.: conta vazia na fonte; total divulgado confirma] · fonte · unid. moeda</t>
        </is>
      </c>
      <c r="B86" t="n">
        <v>33</v>
      </c>
      <c r="C86" t="inlineStr">
        <is>
          <t>Deferred income taxes</t>
        </is>
      </c>
      <c r="D86" s="265" t="n">
        <v>0</v>
      </c>
      <c r="E86" s="265" t="n">
        <v>0</v>
      </c>
      <c r="F86" s="265" t="n">
        <v>0</v>
      </c>
      <c r="G86" s="265" t="n">
        <v>0</v>
      </c>
      <c r="I86" s="265" t="n">
        <v>0</v>
      </c>
      <c r="J86" s="265" t="n">
        <v>0</v>
      </c>
      <c r="K86" s="265" t="n">
        <v>0</v>
      </c>
      <c r="L86" s="265" t="n">
        <v>0</v>
      </c>
      <c r="N86" s="265" t="n">
        <v>0</v>
      </c>
      <c r="O86" s="265" t="n">
        <v>0</v>
      </c>
      <c r="P86" s="265" t="n">
        <v>0</v>
      </c>
      <c r="Q86" s="265" t="n">
        <v>0</v>
      </c>
      <c r="S86" s="265" t="n">
        <v>0</v>
      </c>
      <c r="T86" s="265" t="n">
        <v>0</v>
      </c>
      <c r="U86" s="265" t="n">
        <v>0</v>
      </c>
      <c r="V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C86" s="265" t="n">
        <v>0</v>
      </c>
      <c r="AD86" s="265" t="n">
        <v>0</v>
      </c>
    </row>
    <row r="87">
      <c r="A87" t="inlineStr">
        <is>
          <t>Provisões (CVM 2.02.04) · fonte · unid. moeda</t>
        </is>
      </c>
      <c r="B87" t="n">
        <v>34</v>
      </c>
      <c r="C87" t="inlineStr">
        <is>
          <t>Other non-current liabilities</t>
        </is>
      </c>
      <c r="D87" s="265" t="n">
        <v>1699329</v>
      </c>
      <c r="E87" s="265" t="n">
        <v>1714505</v>
      </c>
      <c r="F87" s="265" t="n">
        <v>1736067</v>
      </c>
      <c r="G87" s="265" t="n">
        <v>1698400</v>
      </c>
      <c r="I87" s="265" t="n">
        <v>1728490</v>
      </c>
      <c r="J87" s="265" t="n">
        <v>1792764</v>
      </c>
      <c r="K87" s="265" t="n">
        <v>1849339</v>
      </c>
      <c r="L87" s="265" t="n">
        <v>1632652</v>
      </c>
      <c r="N87" s="265" t="n">
        <v>1706760</v>
      </c>
      <c r="O87" s="265" t="n">
        <v>1774832</v>
      </c>
      <c r="P87" s="265" t="n">
        <v>1804251</v>
      </c>
      <c r="Q87" s="265" t="n">
        <v>1889505</v>
      </c>
      <c r="S87" s="265" t="n">
        <v>1869462</v>
      </c>
      <c r="T87" s="265" t="n">
        <v>1814822</v>
      </c>
      <c r="U87" s="265" t="n">
        <v>1698222</v>
      </c>
      <c r="V87" s="265" t="n">
        <v>1684989</v>
      </c>
      <c r="X87" s="265" t="n">
        <v>1537043</v>
      </c>
      <c r="Y87" s="265" t="n">
        <v>1663279</v>
      </c>
      <c r="Z87" s="265" t="n">
        <v>1704357</v>
      </c>
      <c r="AA87" s="265" t="n">
        <v>1620686</v>
      </c>
      <c r="AC87" s="265" t="n">
        <v>1649719</v>
      </c>
      <c r="AD87" s="265" t="n">
        <v>1672639</v>
      </c>
    </row>
    <row r="88">
      <c r="A88" t="inlineStr">
        <is>
          <t>Passivos sobre Ativos Não-Correntes a Venda e Descontinuados (CVM 2.02.05) [0 em 23 per.: conta vazia na fonte; total divulgado confirma] · fonte · unid. moeda</t>
        </is>
      </c>
      <c r="B88" t="n">
        <v>34</v>
      </c>
      <c r="C88" t="inlineStr">
        <is>
          <t>Other non-current liabilities</t>
        </is>
      </c>
      <c r="D88" s="265" t="n">
        <v>0</v>
      </c>
      <c r="E88" s="265" t="n">
        <v>0</v>
      </c>
      <c r="F88" s="265" t="n">
        <v>0</v>
      </c>
      <c r="G88" s="265" t="n">
        <v>0</v>
      </c>
      <c r="I88" s="265" t="n">
        <v>0</v>
      </c>
      <c r="J88" s="265" t="n">
        <v>0</v>
      </c>
      <c r="K88" s="265" t="n">
        <v>0</v>
      </c>
      <c r="L88" s="265" t="n">
        <v>0</v>
      </c>
      <c r="N88" s="265" t="n">
        <v>0</v>
      </c>
      <c r="O88" s="265" t="n">
        <v>0</v>
      </c>
      <c r="P88" s="265" t="n">
        <v>0</v>
      </c>
      <c r="Q88" s="265" t="n">
        <v>0</v>
      </c>
      <c r="S88" s="265" t="n">
        <v>0</v>
      </c>
      <c r="T88" s="265" t="n">
        <v>0</v>
      </c>
      <c r="U88" s="265" t="n">
        <v>0</v>
      </c>
      <c r="V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C88" s="265" t="n">
        <v>0</v>
      </c>
      <c r="AD88" s="265" t="n">
        <v>0</v>
      </c>
    </row>
    <row r="89">
      <c r="A89" t="inlineStr">
        <is>
          <t>Lucros e Receitas a Apropriar (CVM 2.02.06) [0 em 23 per.: conta vazia na fonte; total divulgado confirma] · fonte · unid. moeda</t>
        </is>
      </c>
      <c r="B89" t="n">
        <v>34</v>
      </c>
      <c r="C89" t="inlineStr">
        <is>
          <t>Other non-current liabilities</t>
        </is>
      </c>
      <c r="D89" s="265" t="n">
        <v>0</v>
      </c>
      <c r="E89" s="265" t="n">
        <v>0</v>
      </c>
      <c r="F89" s="265" t="n">
        <v>0</v>
      </c>
      <c r="G89" s="265" t="n">
        <v>0</v>
      </c>
      <c r="I89" s="265" t="n">
        <v>0</v>
      </c>
      <c r="J89" s="265" t="n">
        <v>0</v>
      </c>
      <c r="K89" s="265" t="n">
        <v>0</v>
      </c>
      <c r="L89" s="265" t="n">
        <v>0</v>
      </c>
      <c r="N89" s="265" t="n">
        <v>0</v>
      </c>
      <c r="O89" s="265" t="n">
        <v>0</v>
      </c>
      <c r="P89" s="265" t="n">
        <v>0</v>
      </c>
      <c r="Q89" s="265" t="n">
        <v>0</v>
      </c>
      <c r="S89" s="265" t="n">
        <v>0</v>
      </c>
      <c r="T89" s="265" t="n">
        <v>0</v>
      </c>
      <c r="U89" s="265" t="n">
        <v>0</v>
      </c>
      <c r="V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C89" s="265" t="n">
        <v>0</v>
      </c>
      <c r="AD89" s="265" t="n">
        <v>0</v>
      </c>
    </row>
    <row r="90">
      <c r="A90" t="inlineStr">
        <is>
          <t>Capital Social Realizado (CVM 2.03.01) · fonte · unid. moeda</t>
        </is>
      </c>
      <c r="B90" t="n">
        <v>37</v>
      </c>
      <c r="C90" t="inlineStr">
        <is>
          <t>Common Stock and APIC</t>
        </is>
      </c>
      <c r="D90" s="265" t="n">
        <v>3996137</v>
      </c>
      <c r="E90" s="265" t="n">
        <v>3996137</v>
      </c>
      <c r="F90" s="265" t="n">
        <v>3996137</v>
      </c>
      <c r="G90" s="265" t="n">
        <v>3996137</v>
      </c>
      <c r="I90" s="265" t="n">
        <v>3996137</v>
      </c>
      <c r="J90" s="265" t="n">
        <v>3996137</v>
      </c>
      <c r="K90" s="265" t="n">
        <v>3996137</v>
      </c>
      <c r="L90" s="265" t="n">
        <v>3996137</v>
      </c>
      <c r="N90" s="265" t="n">
        <v>3996137</v>
      </c>
      <c r="O90" s="265" t="n">
        <v>5996137</v>
      </c>
      <c r="P90" s="265" t="n">
        <v>5996137</v>
      </c>
      <c r="Q90" s="265" t="n">
        <v>5996137</v>
      </c>
      <c r="S90" s="265" t="n">
        <v>5996137</v>
      </c>
      <c r="T90" s="265" t="n">
        <v>5996137</v>
      </c>
      <c r="U90" s="265" t="n">
        <v>5996137</v>
      </c>
      <c r="V90" s="265" t="n">
        <v>5996137</v>
      </c>
      <c r="X90" s="265" t="n">
        <v>5996137</v>
      </c>
      <c r="Y90" s="265" t="n">
        <v>5996137</v>
      </c>
      <c r="Z90" s="265" t="n">
        <v>5996137</v>
      </c>
      <c r="AA90" s="265" t="n">
        <v>5996137</v>
      </c>
      <c r="AC90" s="265" t="n">
        <v>5996137</v>
      </c>
      <c r="AD90" s="265" t="n">
        <v>5996137</v>
      </c>
    </row>
    <row r="91">
      <c r="A91" t="inlineStr">
        <is>
          <t>Reservas de Capital (CVM 2.03.02) [0 em 23 per.: conta vazia na fonte; total divulgado confirma] · fonte · unid. moeda</t>
        </is>
      </c>
      <c r="B91" t="n">
        <v>37</v>
      </c>
      <c r="C91" t="inlineStr">
        <is>
          <t>Common Stock and APIC</t>
        </is>
      </c>
      <c r="D91" s="265" t="n">
        <v>0</v>
      </c>
      <c r="E91" s="265" t="n">
        <v>0</v>
      </c>
      <c r="F91" s="265" t="n">
        <v>0</v>
      </c>
      <c r="G91" s="265" t="n">
        <v>0</v>
      </c>
      <c r="I91" s="265" t="n">
        <v>0</v>
      </c>
      <c r="J91" s="265" t="n">
        <v>0</v>
      </c>
      <c r="K91" s="265" t="n">
        <v>0</v>
      </c>
      <c r="L91" s="265" t="n">
        <v>0</v>
      </c>
      <c r="N91" s="265" t="n">
        <v>0</v>
      </c>
      <c r="O91" s="265" t="n">
        <v>0</v>
      </c>
      <c r="P91" s="265" t="n">
        <v>0</v>
      </c>
      <c r="Q91" s="265" t="n">
        <v>0</v>
      </c>
      <c r="S91" s="265" t="n">
        <v>0</v>
      </c>
      <c r="T91" s="265" t="n">
        <v>0</v>
      </c>
      <c r="U91" s="265" t="n">
        <v>0</v>
      </c>
      <c r="V91" s="265" t="n">
        <v>0</v>
      </c>
      <c r="X91" s="265" t="n">
        <v>0</v>
      </c>
      <c r="Y91" s="265" t="n">
        <v>0</v>
      </c>
      <c r="Z91" s="265" t="n">
        <v>0</v>
      </c>
      <c r="AA91" s="265" t="n">
        <v>0</v>
      </c>
      <c r="AC91" s="265" t="n">
        <v>0</v>
      </c>
      <c r="AD91" s="265" t="n">
        <v>0</v>
      </c>
    </row>
    <row r="92">
      <c r="A92" t="inlineStr">
        <is>
          <t>Reservas de Reavaliação (CVM 2.03.03) · fonte · unid. moeda</t>
        </is>
      </c>
      <c r="B92" t="n">
        <v>40</v>
      </c>
      <c r="C92" t="inlineStr">
        <is>
          <t>Other equity account</t>
        </is>
      </c>
      <c r="D92" s="265" t="n">
        <v>63033</v>
      </c>
      <c r="E92" s="265" t="n">
        <v>61661</v>
      </c>
      <c r="F92" s="265" t="n">
        <v>60391</v>
      </c>
      <c r="G92" s="265" t="n">
        <v>59002</v>
      </c>
      <c r="I92" s="265" t="n">
        <v>57784</v>
      </c>
      <c r="J92" s="265" t="n">
        <v>56663</v>
      </c>
      <c r="K92" s="265" t="n">
        <v>55580</v>
      </c>
      <c r="L92" s="265" t="n">
        <v>54426</v>
      </c>
      <c r="N92" s="265" t="n">
        <v>53365</v>
      </c>
      <c r="O92" s="265" t="n">
        <v>52290</v>
      </c>
      <c r="P92" s="265" t="n">
        <v>51233</v>
      </c>
      <c r="Q92" s="265" t="n">
        <v>50164</v>
      </c>
      <c r="S92" s="265" t="n">
        <v>49130</v>
      </c>
      <c r="T92" s="265" t="n">
        <v>48079</v>
      </c>
      <c r="U92" s="265" t="n">
        <v>47075</v>
      </c>
      <c r="V92" s="265" t="n">
        <v>46067</v>
      </c>
      <c r="X92" s="265" t="n">
        <v>45091</v>
      </c>
      <c r="Y92" s="265" t="n">
        <v>44141</v>
      </c>
      <c r="Z92" s="265" t="n">
        <v>43187</v>
      </c>
      <c r="AA92" s="265" t="n">
        <v>42265</v>
      </c>
      <c r="AC92" s="265" t="n">
        <v>41366</v>
      </c>
      <c r="AD92" s="265" t="n">
        <v>40470</v>
      </c>
    </row>
    <row r="93">
      <c r="A93" t="inlineStr">
        <is>
          <t>Reservas de Lucros (CVM 2.03.04) · fonte · unid. moeda</t>
        </is>
      </c>
      <c r="B93" t="n">
        <v>40</v>
      </c>
      <c r="C93" t="inlineStr">
        <is>
          <t>Other equity account</t>
        </is>
      </c>
      <c r="D93" s="265" t="n">
        <v>2853580</v>
      </c>
      <c r="E93" s="265" t="n">
        <v>2793497</v>
      </c>
      <c r="F93" s="265" t="n">
        <v>2793497</v>
      </c>
      <c r="G93" s="265" t="n">
        <v>3696944</v>
      </c>
      <c r="I93" s="265" t="n">
        <v>3696944</v>
      </c>
      <c r="J93" s="265" t="n">
        <v>3633064</v>
      </c>
      <c r="K93" s="265" t="n">
        <v>3633064</v>
      </c>
      <c r="L93" s="265" t="n">
        <v>4515837</v>
      </c>
      <c r="N93" s="265" t="n">
        <v>4515837</v>
      </c>
      <c r="O93" s="265" t="n">
        <v>2356691</v>
      </c>
      <c r="P93" s="265" t="n">
        <v>2356691</v>
      </c>
      <c r="Q93" s="265" t="n">
        <v>3507386</v>
      </c>
      <c r="S93" s="265" t="n">
        <v>3507386</v>
      </c>
      <c r="T93" s="265" t="n">
        <v>3412060</v>
      </c>
      <c r="U93" s="265" t="n">
        <v>3412060</v>
      </c>
      <c r="V93" s="265" t="n">
        <v>4594712</v>
      </c>
      <c r="X93" s="265" t="n">
        <v>4594712</v>
      </c>
      <c r="Y93" s="265" t="n">
        <v>4498839</v>
      </c>
      <c r="Z93" s="265" t="n">
        <v>4498839</v>
      </c>
      <c r="AA93" s="265" t="n">
        <v>6088560</v>
      </c>
      <c r="AC93" s="265" t="n">
        <v>6088560</v>
      </c>
      <c r="AD93" s="265" t="n">
        <v>5997130</v>
      </c>
    </row>
    <row r="94">
      <c r="A94" t="inlineStr">
        <is>
          <t>Lucros/Prejuízos Acumulados (CVM 2.03.05) [0 em 6 per.: conta vazia na fonte; total divulgado confirma] · fonte · unid. moeda</t>
        </is>
      </c>
      <c r="B94" t="n">
        <v>41</v>
      </c>
      <c r="C94" t="inlineStr">
        <is>
          <t>Retained earnings</t>
        </is>
      </c>
      <c r="D94" s="265" t="n">
        <v>247788</v>
      </c>
      <c r="E94" s="265" t="n">
        <v>429955</v>
      </c>
      <c r="F94" s="265" t="n">
        <v>698619</v>
      </c>
      <c r="G94" s="265" t="n">
        <v>0</v>
      </c>
      <c r="I94" s="265" t="n">
        <v>293204</v>
      </c>
      <c r="J94" s="265" t="n">
        <v>373868</v>
      </c>
      <c r="K94" s="265" t="n">
        <v>649900</v>
      </c>
      <c r="L94" s="265" t="n">
        <v>0</v>
      </c>
      <c r="N94" s="265" t="n">
        <v>320651</v>
      </c>
      <c r="O94" s="265" t="n">
        <v>475014</v>
      </c>
      <c r="P94" s="265" t="n">
        <v>872957</v>
      </c>
      <c r="Q94" s="265" t="n">
        <v>0</v>
      </c>
      <c r="S94" s="265" t="n">
        <v>380411</v>
      </c>
      <c r="T94" s="265" t="n">
        <v>533104</v>
      </c>
      <c r="U94" s="265" t="n">
        <v>911663</v>
      </c>
      <c r="V94" s="265" t="n">
        <v>0</v>
      </c>
      <c r="X94" s="265" t="n">
        <v>1209035</v>
      </c>
      <c r="Y94" s="265" t="n">
        <v>1053486</v>
      </c>
      <c r="Z94" s="265" t="n">
        <v>1300885</v>
      </c>
      <c r="AA94" s="265" t="n">
        <v>0</v>
      </c>
      <c r="AC94" s="265" t="n">
        <v>353621</v>
      </c>
      <c r="AD94" s="265" t="n">
        <v>-150589</v>
      </c>
    </row>
    <row r="95">
      <c r="A95" t="inlineStr">
        <is>
          <t>Ajustes de Avaliação Patrimonial (CVM 2.03.06) · fonte · unid. moeda</t>
        </is>
      </c>
      <c r="B95" t="n">
        <v>39</v>
      </c>
      <c r="C95" t="inlineStr">
        <is>
          <t>Comprehensive (accumulated) loss</t>
        </is>
      </c>
      <c r="D95" s="265" t="n">
        <v>4629</v>
      </c>
      <c r="E95" s="265" t="n">
        <v>4567</v>
      </c>
      <c r="F95" s="265" t="n">
        <v>4514</v>
      </c>
      <c r="G95" s="265" t="n">
        <v>4458</v>
      </c>
      <c r="I95" s="265" t="n">
        <v>4416</v>
      </c>
      <c r="J95" s="265" t="n">
        <v>4373</v>
      </c>
      <c r="K95" s="265" t="n">
        <v>4352</v>
      </c>
      <c r="L95" s="265" t="n">
        <v>4322</v>
      </c>
      <c r="N95" s="265" t="n">
        <v>4306</v>
      </c>
      <c r="O95" s="265" t="n">
        <v>4276</v>
      </c>
      <c r="P95" s="265" t="n">
        <v>4250</v>
      </c>
      <c r="Q95" s="265" t="n">
        <v>4205</v>
      </c>
      <c r="S95" s="265" t="n">
        <v>4180</v>
      </c>
      <c r="T95" s="265" t="n">
        <v>4114</v>
      </c>
      <c r="U95" s="265" t="n">
        <v>4088</v>
      </c>
      <c r="V95" s="265" t="n">
        <v>4001</v>
      </c>
      <c r="X95" s="265" t="n">
        <v>3935</v>
      </c>
      <c r="Y95" s="265" t="n">
        <v>3913</v>
      </c>
      <c r="Z95" s="265" t="n">
        <v>3869</v>
      </c>
      <c r="AA95" s="265" t="n">
        <v>3810</v>
      </c>
      <c r="AC95" s="265" t="n">
        <v>3769</v>
      </c>
      <c r="AD95" s="265" t="n">
        <v>3718</v>
      </c>
    </row>
    <row r="96">
      <c r="A96" t="inlineStr">
        <is>
          <t>Ajustes Acumulados de Conversão (CVM 2.03.07) [0 em 23 per.: conta vazia na fonte; total divulgado confirma] · fonte · unid. moeda</t>
        </is>
      </c>
      <c r="B96" t="n">
        <v>39</v>
      </c>
      <c r="C96" t="inlineStr">
        <is>
          <t>Comprehensive (accumulated) loss</t>
        </is>
      </c>
      <c r="D96" s="265" t="n">
        <v>0</v>
      </c>
      <c r="E96" s="265" t="n">
        <v>0</v>
      </c>
      <c r="F96" s="265" t="n">
        <v>0</v>
      </c>
      <c r="G96" s="265" t="n">
        <v>0</v>
      </c>
      <c r="I96" s="265" t="n">
        <v>0</v>
      </c>
      <c r="J96" s="265" t="n">
        <v>0</v>
      </c>
      <c r="K96" s="265" t="n">
        <v>0</v>
      </c>
      <c r="L96" s="265" t="n">
        <v>0</v>
      </c>
      <c r="N96" s="265" t="n">
        <v>0</v>
      </c>
      <c r="O96" s="265" t="n">
        <v>0</v>
      </c>
      <c r="P96" s="265" t="n">
        <v>0</v>
      </c>
      <c r="Q96" s="265" t="n">
        <v>0</v>
      </c>
      <c r="S96" s="265" t="n">
        <v>0</v>
      </c>
      <c r="T96" s="265" t="n">
        <v>0</v>
      </c>
      <c r="U96" s="265" t="n">
        <v>0</v>
      </c>
      <c r="V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C96" s="265" t="n">
        <v>0</v>
      </c>
      <c r="AD96" s="265" t="n">
        <v>0</v>
      </c>
    </row>
    <row r="97">
      <c r="A97" t="inlineStr">
        <is>
          <t>Outros Resultados Abrangentes (CVM 2.03.08) · fonte · unid. moeda</t>
        </is>
      </c>
      <c r="B97" t="n">
        <v>39</v>
      </c>
      <c r="C97" t="inlineStr">
        <is>
          <t>Comprehensive (accumulated) loss</t>
        </is>
      </c>
      <c r="D97" s="265" t="n">
        <v>24486</v>
      </c>
      <c r="E97" s="265" t="n">
        <v>24486</v>
      </c>
      <c r="F97" s="265" t="n">
        <v>24486</v>
      </c>
      <c r="G97" s="265" t="n">
        <v>69801</v>
      </c>
      <c r="I97" s="265" t="n">
        <v>69801</v>
      </c>
      <c r="J97" s="265" t="n">
        <v>69801</v>
      </c>
      <c r="K97" s="265" t="n">
        <v>69801</v>
      </c>
      <c r="L97" s="265" t="n">
        <v>216165</v>
      </c>
      <c r="N97" s="265" t="n">
        <v>216165</v>
      </c>
      <c r="O97" s="265" t="n">
        <v>216165</v>
      </c>
      <c r="P97" s="265" t="n">
        <v>216165</v>
      </c>
      <c r="Q97" s="265" t="n">
        <v>186308</v>
      </c>
      <c r="S97" s="265" t="n">
        <v>186308</v>
      </c>
      <c r="T97" s="265" t="n">
        <v>186308</v>
      </c>
      <c r="U97" s="265" t="n">
        <v>186308</v>
      </c>
      <c r="V97" s="265" t="n">
        <v>187790</v>
      </c>
      <c r="X97" s="265" t="n">
        <v>187790</v>
      </c>
      <c r="Y97" s="265" t="n">
        <v>187790</v>
      </c>
      <c r="Z97" s="265" t="n">
        <v>187790</v>
      </c>
      <c r="AA97" s="265" t="n">
        <v>217009</v>
      </c>
      <c r="AC97" s="265" t="n">
        <v>217009</v>
      </c>
      <c r="AD97" s="265" t="n">
        <v>217009</v>
      </c>
    </row>
    <row r="98">
      <c r="A98" t="inlineStr">
        <is>
          <t>? (CVM 2.03.09) [0 em 26 per.: conta vazia na fonte; total divulgado confirma] · fonte · unid. moeda</t>
        </is>
      </c>
      <c r="B98" t="n">
        <v>35</v>
      </c>
      <c r="C98" t="inlineStr">
        <is>
          <t>Minority interest</t>
        </is>
      </c>
      <c r="D98" s="265" t="n">
        <v>0</v>
      </c>
      <c r="E98" s="265" t="n">
        <v>0</v>
      </c>
      <c r="F98" s="265" t="n">
        <v>0</v>
      </c>
      <c r="G98" s="265" t="n">
        <v>0</v>
      </c>
      <c r="I98" s="265" t="n">
        <v>0</v>
      </c>
      <c r="J98" s="265" t="n">
        <v>0</v>
      </c>
      <c r="K98" s="265" t="n">
        <v>0</v>
      </c>
      <c r="L98" s="265" t="n">
        <v>0</v>
      </c>
      <c r="N98" s="265" t="n">
        <v>0</v>
      </c>
      <c r="O98" s="265" t="n">
        <v>0</v>
      </c>
      <c r="P98" s="265" t="n">
        <v>0</v>
      </c>
      <c r="Q98" s="265" t="n">
        <v>0</v>
      </c>
      <c r="S98" s="265" t="n">
        <v>0</v>
      </c>
      <c r="T98" s="265" t="n">
        <v>0</v>
      </c>
      <c r="U98" s="265" t="n">
        <v>0</v>
      </c>
      <c r="V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C98" s="265" t="n">
        <v>0</v>
      </c>
      <c r="AD98" s="265" t="n">
        <v>0</v>
      </c>
    </row>
    <row r="99">
      <c r="A99" t="inlineStr">
        <is>
          <t>BALANCO - totais divulgados (memoria)</t>
        </is>
      </c>
      <c r="C99" t="inlineStr">
        <is>
          <t>[linha bruta, sem código; lançada nas linhas abaixo]</t>
        </is>
      </c>
      <c r="D99" s="265" t="n"/>
      <c r="E99" s="265" t="n"/>
      <c r="F99" s="265" t="n"/>
      <c r="G99" s="265" t="n"/>
      <c r="I99" s="265" t="n"/>
      <c r="J99" s="265" t="n"/>
      <c r="K99" s="265" t="n"/>
      <c r="L99" s="265" t="n"/>
      <c r="N99" s="265" t="n"/>
      <c r="O99" s="265" t="n"/>
      <c r="P99" s="265" t="n"/>
      <c r="Q99" s="265" t="n"/>
      <c r="S99" s="265" t="n"/>
      <c r="T99" s="265" t="n"/>
      <c r="U99" s="265" t="n"/>
      <c r="V99" s="265" t="n"/>
      <c r="X99" s="265" t="n"/>
      <c r="Y99" s="265" t="n"/>
      <c r="Z99" s="265" t="n"/>
      <c r="AA99" s="265" t="n"/>
      <c r="AC99" s="265" t="n"/>
      <c r="AD99" s="265" t="n"/>
    </row>
    <row r="100">
      <c r="A100" t="inlineStr">
        <is>
          <t>Ativo Total (CVM 1) · memoria · unid. moeda</t>
        </is>
      </c>
      <c r="C100" t="inlineStr">
        <is>
          <t>[linha bruta, sem código; lançada nas linhas abaixo]</t>
        </is>
      </c>
      <c r="D100" s="265" t="n">
        <v>13929028</v>
      </c>
      <c r="E100" s="265" t="n">
        <v>13868519</v>
      </c>
      <c r="F100" s="265" t="n">
        <v>14325353</v>
      </c>
      <c r="G100" s="265" t="n">
        <v>14640589</v>
      </c>
      <c r="I100" s="265" t="n">
        <v>15629548</v>
      </c>
      <c r="J100" s="265" t="n">
        <v>15658437</v>
      </c>
      <c r="K100" s="265" t="n">
        <v>16167348</v>
      </c>
      <c r="L100" s="265" t="n">
        <v>16657196</v>
      </c>
      <c r="N100" s="265" t="n">
        <v>17146981</v>
      </c>
      <c r="O100" s="265" t="n">
        <v>17705951</v>
      </c>
      <c r="P100" s="265" t="n">
        <v>18315489</v>
      </c>
      <c r="Q100" s="265" t="n">
        <v>18803905</v>
      </c>
      <c r="S100" s="265" t="n">
        <v>19827413</v>
      </c>
      <c r="T100" s="265" t="n">
        <v>19737405</v>
      </c>
      <c r="U100" s="265" t="n">
        <v>20134318</v>
      </c>
      <c r="V100" s="265" t="n">
        <v>20508000</v>
      </c>
      <c r="X100" s="265" t="n">
        <v>24877802</v>
      </c>
      <c r="Y100" s="265" t="n">
        <v>24914480</v>
      </c>
      <c r="Z100" s="265" t="n">
        <v>26002141</v>
      </c>
      <c r="AA100" s="265" t="n">
        <v>26465924</v>
      </c>
      <c r="AC100" s="265" t="n">
        <v>26827910</v>
      </c>
      <c r="AD100" s="265" t="n">
        <v>26532561</v>
      </c>
    </row>
    <row r="101">
      <c r="A101" t="inlineStr">
        <is>
          <t>Passivo Total (CVM 2) · memoria · unid. moeda</t>
        </is>
      </c>
      <c r="C101" t="inlineStr">
        <is>
          <t>[linha bruta, sem código; lançada nas linhas abaixo]</t>
        </is>
      </c>
      <c r="D101" s="265" t="n">
        <v>13929028</v>
      </c>
      <c r="E101" s="265" t="n">
        <v>13868519</v>
      </c>
      <c r="F101" s="265" t="n">
        <v>14325353</v>
      </c>
      <c r="G101" s="265" t="n">
        <v>14640589</v>
      </c>
      <c r="I101" s="265" t="n">
        <v>15629548</v>
      </c>
      <c r="J101" s="265" t="n">
        <v>15658437</v>
      </c>
      <c r="K101" s="265" t="n">
        <v>16167348</v>
      </c>
      <c r="L101" s="265" t="n">
        <v>16657196</v>
      </c>
      <c r="N101" s="265" t="n">
        <v>17146981</v>
      </c>
      <c r="O101" s="265" t="n">
        <v>17705951</v>
      </c>
      <c r="P101" s="265" t="n">
        <v>18315489</v>
      </c>
      <c r="Q101" s="265" t="n">
        <v>18803905</v>
      </c>
      <c r="S101" s="265" t="n">
        <v>19827413</v>
      </c>
      <c r="T101" s="265" t="n">
        <v>19737405</v>
      </c>
      <c r="U101" s="265" t="n">
        <v>20134318</v>
      </c>
      <c r="V101" s="265" t="n">
        <v>20508000</v>
      </c>
      <c r="X101" s="265" t="n">
        <v>24877802</v>
      </c>
      <c r="Y101" s="265" t="n">
        <v>24914480</v>
      </c>
      <c r="Z101" s="265" t="n">
        <v>26002141</v>
      </c>
      <c r="AA101" s="265" t="n">
        <v>26465924</v>
      </c>
      <c r="AC101" s="265" t="n">
        <v>26827910</v>
      </c>
      <c r="AD101" s="265" t="n">
        <v>26532561</v>
      </c>
    </row>
    <row r="102">
      <c r="A102" t="inlineStr">
        <is>
          <t>Patrimônio Líquido (CVM 2.03) · memoria · unid. moeda</t>
        </is>
      </c>
      <c r="C102" t="inlineStr">
        <is>
          <t>[linha bruta, sem código; lançada nas linhas abaixo]</t>
        </is>
      </c>
      <c r="D102" s="265" t="n">
        <v>7189653</v>
      </c>
      <c r="E102" s="265" t="n">
        <v>7310303</v>
      </c>
      <c r="F102" s="265" t="n">
        <v>7577644</v>
      </c>
      <c r="G102" s="265" t="n">
        <v>7826342</v>
      </c>
      <c r="I102" s="265" t="n">
        <v>8118286</v>
      </c>
      <c r="J102" s="265" t="n">
        <v>8133906</v>
      </c>
      <c r="K102" s="265" t="n">
        <v>8408834</v>
      </c>
      <c r="L102" s="265" t="n">
        <v>8786887</v>
      </c>
      <c r="N102" s="265" t="n">
        <v>9106461</v>
      </c>
      <c r="O102" s="265" t="n">
        <v>9100573</v>
      </c>
      <c r="P102" s="265" t="n">
        <v>9497433</v>
      </c>
      <c r="Q102" s="265" t="n">
        <v>9744200</v>
      </c>
      <c r="S102" s="265" t="n">
        <v>10123552</v>
      </c>
      <c r="T102" s="265" t="n">
        <v>10179802</v>
      </c>
      <c r="U102" s="265" t="n">
        <v>10557331</v>
      </c>
      <c r="V102" s="265" t="n">
        <v>10828707</v>
      </c>
      <c r="X102" s="265" t="n">
        <v>12036700</v>
      </c>
      <c r="Y102" s="265" t="n">
        <v>11784306</v>
      </c>
      <c r="Z102" s="265" t="n">
        <v>12030707</v>
      </c>
      <c r="AA102" s="265" t="n">
        <v>12347781</v>
      </c>
      <c r="AC102" s="265" t="n">
        <v>12700462</v>
      </c>
      <c r="AD102" s="265" t="n">
        <v>12103875</v>
      </c>
    </row>
    <row r="103">
      <c r="A103" t="inlineStr">
        <is>
          <t>Passivo Regulatório (CVM 2.01.05.02.09) · memoria · unid. moeda</t>
        </is>
      </c>
      <c r="C103" t="inlineStr">
        <is>
          <t>[linha bruta, sem código; lançada nas linhas abaixo]</t>
        </is>
      </c>
      <c r="D103" s="265" t="n">
        <v>90844</v>
      </c>
      <c r="E103" s="265" t="n">
        <v>87893</v>
      </c>
      <c r="F103" s="265" t="n">
        <v>93283</v>
      </c>
      <c r="G103" s="265" t="n">
        <v>85644</v>
      </c>
      <c r="I103" s="265" t="n">
        <v>77630</v>
      </c>
      <c r="J103" s="265" t="n">
        <v>96845</v>
      </c>
      <c r="K103" s="265" t="n">
        <v>94126</v>
      </c>
      <c r="L103" s="265" t="n">
        <v>91968</v>
      </c>
      <c r="N103" s="265" t="n">
        <v>107877</v>
      </c>
      <c r="O103" s="265" t="n">
        <v>108283</v>
      </c>
      <c r="P103" s="265" t="n">
        <v>113324</v>
      </c>
      <c r="Q103" s="265" t="n">
        <v>107517</v>
      </c>
      <c r="S103" s="265" t="n">
        <v>119974</v>
      </c>
      <c r="T103" s="265" t="n">
        <v>160345</v>
      </c>
      <c r="U103" s="265" t="n">
        <v>137675</v>
      </c>
      <c r="V103" s="265" t="n">
        <v>133511</v>
      </c>
      <c r="X103" s="265" t="n"/>
      <c r="Y103" s="265" t="n">
        <v>165945</v>
      </c>
      <c r="Z103" s="265" t="n">
        <v>3194744</v>
      </c>
      <c r="AA103" s="265" t="n">
        <v>3305438</v>
      </c>
      <c r="AC103" s="265" t="n">
        <v>3455249</v>
      </c>
      <c r="AD103" s="265" t="n">
        <v>1128650</v>
      </c>
    </row>
    <row r="104">
      <c r="A104" t="inlineStr">
        <is>
          <t>Passivo Regulatório (CVM 2.02.02.02.10) · memoria · unid. moeda</t>
        </is>
      </c>
      <c r="C104" t="inlineStr">
        <is>
          <t>[linha bruta, sem código; lançada nas linhas abaixo]</t>
        </is>
      </c>
      <c r="D104" s="265" t="n"/>
      <c r="E104" s="265" t="n"/>
      <c r="F104" s="265" t="n"/>
      <c r="G104" s="265" t="n">
        <v>0</v>
      </c>
      <c r="I104" s="265" t="n"/>
      <c r="J104" s="265" t="n"/>
      <c r="K104" s="265" t="n"/>
      <c r="L104" s="265" t="n"/>
      <c r="N104" s="265" t="n"/>
      <c r="O104" s="265" t="n"/>
      <c r="P104" s="265" t="n"/>
      <c r="Q104" s="265" t="n"/>
      <c r="S104" s="265" t="n"/>
      <c r="T104" s="265" t="n"/>
      <c r="U104" s="265" t="n"/>
      <c r="V104" s="265" t="n"/>
      <c r="X104" s="265" t="n"/>
      <c r="Y104" s="265" t="n"/>
      <c r="Z104" s="265" t="n"/>
      <c r="AA104" s="265" t="n"/>
      <c r="AC104" s="265" t="n"/>
      <c r="AD104" s="265" t="n">
        <v>3279307</v>
      </c>
    </row>
    <row r="105">
      <c r="A105" t="inlineStr">
        <is>
          <t>CHECKS (devem ser 0)</t>
        </is>
      </c>
      <c r="C105" t="inlineStr">
        <is>
          <t>[linha bruta, sem código; lançada nas linhas abaixo]</t>
        </is>
      </c>
      <c r="D105" s="265" t="n"/>
      <c r="E105" s="265" t="n"/>
      <c r="F105" s="265" t="n"/>
      <c r="G105" s="265" t="n"/>
      <c r="I105" s="265" t="n"/>
      <c r="J105" s="265" t="n"/>
      <c r="K105" s="265" t="n"/>
      <c r="L105" s="265" t="n"/>
      <c r="N105" s="265" t="n"/>
      <c r="O105" s="265" t="n"/>
      <c r="P105" s="265" t="n"/>
      <c r="Q105" s="265" t="n"/>
      <c r="S105" s="265" t="n"/>
      <c r="T105" s="265" t="n"/>
      <c r="U105" s="265" t="n"/>
      <c r="V105" s="265" t="n"/>
      <c r="X105" s="265" t="n"/>
      <c r="Y105" s="265" t="n"/>
      <c r="Z105" s="265" t="n"/>
      <c r="AA105" s="265" t="n"/>
      <c r="AC105" s="265" t="n"/>
      <c r="AD105" s="265" t="n"/>
    </row>
    <row r="106">
      <c r="A106" t="inlineStr">
        <is>
          <t>CHECK: receita - custo - despesas op. + equivalencia + resultado financeiro - IR - lucro liquido · derivada · unid. moeda</t>
        </is>
      </c>
      <c r="C106" t="inlineStr">
        <is>
          <t>[linha bruta, sem código; lançada nas linhas abaixo]</t>
        </is>
      </c>
      <c r="D106" s="265">
        <f>D26+D27+D28+D29+D30+D31+D32+D33+D34+D35+D42-D47</f>
        <v>0</v>
      </c>
      <c r="E106" s="265">
        <f>E26+E27+E28+E29+E30+E31+E32+E33+E34+E35+E42-E47</f>
        <v>0</v>
      </c>
      <c r="F106" s="265">
        <f>F26+F27+F28+F29+F30+F31+F32+F33+F34+F35+F42-F47</f>
        <v>0</v>
      </c>
      <c r="G106" s="265">
        <f>G26+G27+G28+G29+G30+G31+G32+G33+G34+G35+G42-G47</f>
        <v>0</v>
      </c>
      <c r="I106" s="265">
        <f>I26+I27+I28+I29+I30+I31+I32+I33+I34+I35+I42-I47</f>
        <v>0</v>
      </c>
      <c r="J106" s="265">
        <f>J26+J27+J28+J29+J30+J31+J32+J33+J34+J35+J42-J47</f>
        <v>0</v>
      </c>
      <c r="K106" s="265">
        <f>K26+K27+K28+K29+K30+K31+K32+K33+K34+K35+K42-K47</f>
        <v>0</v>
      </c>
      <c r="L106" s="265">
        <f>L26+L27+L28+L29+L30+L31+L32+L33+L34+L35+L42-L47</f>
        <v>0</v>
      </c>
      <c r="N106" s="265">
        <f>N26+N27+N28+N29+N30+N31+N32+N33+N34+N35+N42-N47</f>
        <v>0</v>
      </c>
      <c r="O106" s="265">
        <f>O26+O27+O28+O29+O30+O31+O32+O33+O34+O35+O42-O47</f>
        <v>0</v>
      </c>
      <c r="P106" s="265">
        <f>P26+P27+P28+P29+P30+P31+P32+P33+P34+P35+P42-P47</f>
        <v>0</v>
      </c>
      <c r="Q106" s="265">
        <f>Q26+Q27+Q28+Q29+Q30+Q31+Q32+Q33+Q34+Q35+Q42-Q47</f>
        <v>0</v>
      </c>
      <c r="S106" s="265">
        <f>S26+S27+S28+S29+S30+S31+S32+S33+S34+S35+S42-S47</f>
        <v>0</v>
      </c>
      <c r="T106" s="265">
        <f>T26+T27+T28+T29+T30+T31+T32+T33+T34+T35+T42-T47</f>
        <v>0</v>
      </c>
      <c r="U106" s="265">
        <f>U26+U27+U28+U29+U30+U31+U32+U33+U34+U35+U42-U47</f>
        <v>0</v>
      </c>
      <c r="V106" s="265">
        <f>V26+V27+V28+V29+V30+V31+V32+V33+V34+V35+V42-V47</f>
        <v>0</v>
      </c>
      <c r="X106" s="265">
        <f>X26+X27+X28+X29+X30+X31+X32+X33+X34+X35+X42-X47</f>
        <v>0</v>
      </c>
      <c r="Y106" s="265">
        <f>Y26+Y27+Y28+Y29+Y30+Y31+Y32+Y33+Y34+Y35+Y42-Y47</f>
        <v>0</v>
      </c>
      <c r="Z106" s="265">
        <f>Z26+Z27+Z28+Z29+Z30+Z31+Z32+Z33+Z34+Z35+Z42-Z47</f>
        <v>0</v>
      </c>
      <c r="AA106" s="265">
        <f>AA26+AA27+AA28+AA29+AA30+AA31+AA32+AA33+AA34+AA35+AA42-AA47</f>
        <v>0</v>
      </c>
      <c r="AC106" s="265">
        <f>AC26+AC27+AC28+AC29+AC30+AC31+AC32+AC33+AC34+AC35+AC42-AC47</f>
        <v>0</v>
      </c>
      <c r="AD106" s="265">
        <f>AD26+AD27+AD28+AD29+AD30+AD31+AD32+AD33+AD34+AD35+AD42-AD47</f>
        <v>0</v>
      </c>
    </row>
    <row r="107">
      <c r="A107" t="inlineStr">
        <is>
          <t>CHECK: contas de ativo (nivel 3) - ativo total · derivada · unid. moeda</t>
        </is>
      </c>
      <c r="C107" t="inlineStr">
        <is>
          <t>[linha bruta, sem código; lançada nas linhas abaixo]</t>
        </is>
      </c>
      <c r="D107" s="265">
        <f>D50+D51+D52+D53+D54+D55+D56+D57+D58+D62+D63+D67-D100</f>
        <v>0</v>
      </c>
      <c r="E107" s="265">
        <f>E50+E51+E52+E53+E54+E55+E56+E57+E58+E62+E63+E67-E100</f>
        <v>0</v>
      </c>
      <c r="F107" s="265">
        <f>F50+F51+F52+F53+F54+F55+F56+F57+F58+F62+F63+F67-F100</f>
        <v>0</v>
      </c>
      <c r="G107" s="265">
        <f>G50+G51+G52+G53+G54+G55+G56+G57+G58+G62+G63+G67-G100</f>
        <v>0</v>
      </c>
      <c r="I107" s="265">
        <f>I50+I51+I52+I53+I54+I55+I56+I57+I58+I62+I63+I67-I100</f>
        <v>0</v>
      </c>
      <c r="J107" s="265">
        <f>J50+J51+J52+J53+J54+J55+J56+J57+J58+J62+J63+J67-J100</f>
        <v>0</v>
      </c>
      <c r="K107" s="265">
        <f>K50+K51+K52+K53+K54+K55+K56+K57+K58+K62+K63+K67-K100</f>
        <v>0</v>
      </c>
      <c r="L107" s="265">
        <f>L50+L51+L52+L53+L54+L55+L56+L57+L58+L62+L63+L67-L100</f>
        <v>0</v>
      </c>
      <c r="N107" s="265">
        <f>N50+N51+N52+N53+N54+N55+N56+N57+N58+N62+N63+N67-N100</f>
        <v>0</v>
      </c>
      <c r="O107" s="265">
        <f>O50+O51+O52+O53+O54+O55+O56+O57+O58+O62+O63+O67-O100</f>
        <v>0</v>
      </c>
      <c r="P107" s="265">
        <f>P50+P51+P52+P53+P54+P55+P56+P57+P58+P62+P63+P67-P100</f>
        <v>0</v>
      </c>
      <c r="Q107" s="265">
        <f>Q50+Q51+Q52+Q53+Q54+Q55+Q56+Q57+Q58+Q62+Q63+Q67-Q100</f>
        <v>0</v>
      </c>
      <c r="S107" s="265">
        <f>S50+S51+S52+S53+S54+S55+S56+S57+S58+S62+S63+S67-S100</f>
        <v>0</v>
      </c>
      <c r="T107" s="265">
        <f>T50+T51+T52+T53+T54+T55+T56+T57+T58+T62+T63+T67-T100</f>
        <v>0</v>
      </c>
      <c r="U107" s="265">
        <f>U50+U51+U52+U53+U54+U55+U56+U57+U58+U62+U63+U67-U100</f>
        <v>0</v>
      </c>
      <c r="V107" s="265">
        <f>V50+V51+V52+V53+V54+V55+V56+V57+V58+V62+V63+V67-V100</f>
        <v>0</v>
      </c>
      <c r="X107" s="265">
        <f>X50+X51+X52+X53+X54+X55+X56+X57+X58+X62+X63+X67-X100</f>
        <v>0</v>
      </c>
      <c r="Y107" s="265">
        <f>Y50+Y51+Y52+Y53+Y54+Y55+Y56+Y57+Y58+Y62+Y63+Y67-Y100</f>
        <v>0</v>
      </c>
      <c r="Z107" s="265">
        <f>Z50+Z51+Z52+Z53+Z54+Z55+Z56+Z57+Z58+Z62+Z63+Z67-Z100</f>
        <v>0</v>
      </c>
      <c r="AA107" s="265">
        <f>AA50+AA51+AA52+AA53+AA54+AA55+AA56+AA57+AA58+AA62+AA63+AA67-AA100</f>
        <v>0</v>
      </c>
      <c r="AC107" s="265">
        <f>AC50+AC51+AC52+AC53+AC54+AC55+AC56+AC57+AC58+AC62+AC63+AC67-AC100</f>
        <v>0</v>
      </c>
      <c r="AD107" s="265">
        <f>AD50+AD51+AD52+AD53+AD54+AD55+AD56+AD57+AD58+AD62+AD63+AD67-AD100</f>
        <v>0</v>
      </c>
    </row>
    <row r="108">
      <c r="A108" t="inlineStr">
        <is>
          <t>CHECK: passivo + PL (nivel 3) - passivo total · derivada · unid. moeda</t>
        </is>
      </c>
      <c r="C108" t="inlineStr">
        <is>
          <t>[linha bruta, sem código; lançada nas linhas abaixo]</t>
        </is>
      </c>
      <c r="D108" s="265">
        <f>D71+D72+D73+D74+D78+D79+D80+D81+D85+D86+D87+D88+D89+D90+D91+D92+D93+D94+D95+D96+D97+D98-D101</f>
        <v>0</v>
      </c>
      <c r="E108" s="265">
        <f>E71+E72+E73+E74+E78+E79+E80+E81+E85+E86+E87+E88+E89+E90+E91+E92+E93+E94+E95+E96+E97+E98-E101</f>
        <v>0</v>
      </c>
      <c r="F108" s="265">
        <f>F71+F72+F73+F74+F78+F79+F80+F81+F85+F86+F87+F88+F89+F90+F91+F92+F93+F94+F95+F96+F97+F98-F101</f>
        <v>0</v>
      </c>
      <c r="G108" s="265">
        <f>G71+G72+G73+G74+G78+G79+G80+G81+G85+G86+G87+G88+G89+G90+G91+G92+G93+G94+G95+G96+G97+G98-G101</f>
        <v>0</v>
      </c>
      <c r="I108" s="265">
        <f>I71+I72+I73+I74+I78+I79+I80+I81+I85+I86+I87+I88+I89+I90+I91+I92+I93+I94+I95+I96+I97+I98-I101</f>
        <v>0</v>
      </c>
      <c r="J108" s="265">
        <f>J71+J72+J73+J74+J78+J79+J80+J81+J85+J86+J87+J88+J89+J90+J91+J92+J93+J94+J95+J96+J97+J98-J101</f>
        <v>0</v>
      </c>
      <c r="K108" s="265">
        <f>K71+K72+K73+K74+K78+K79+K80+K81+K85+K86+K87+K88+K89+K90+K91+K92+K93+K94+K95+K96+K97+K98-K101</f>
        <v>0</v>
      </c>
      <c r="L108" s="265">
        <f>L71+L72+L73+L74+L78+L79+L80+L81+L85+L86+L87+L88+L89+L90+L91+L92+L93+L94+L95+L96+L97+L98-L101</f>
        <v>0</v>
      </c>
      <c r="N108" s="265">
        <f>N71+N72+N73+N74+N78+N79+N80+N81+N85+N86+N87+N88+N89+N90+N91+N92+N93+N94+N95+N96+N97+N98-N101</f>
        <v>0</v>
      </c>
      <c r="O108" s="265">
        <f>O71+O72+O73+O74+O78+O79+O80+O81+O85+O86+O87+O88+O89+O90+O91+O92+O93+O94+O95+O96+O97+O98-O101</f>
        <v>0</v>
      </c>
      <c r="P108" s="265">
        <f>P71+P72+P73+P74+P78+P79+P80+P81+P85+P86+P87+P88+P89+P90+P91+P92+P93+P94+P95+P96+P97+P98-P101</f>
        <v>0</v>
      </c>
      <c r="Q108" s="265">
        <f>Q71+Q72+Q73+Q74+Q78+Q79+Q80+Q81+Q85+Q86+Q87+Q88+Q89+Q90+Q91+Q92+Q93+Q94+Q95+Q96+Q97+Q98-Q101</f>
        <v>0</v>
      </c>
      <c r="S108" s="265">
        <f>S71+S72+S73+S74+S78+S79+S80+S81+S85+S86+S87+S88+S89+S90+S91+S92+S93+S94+S95+S96+S97+S98-S101</f>
        <v>0</v>
      </c>
      <c r="T108" s="265">
        <f>T71+T72+T73+T74+T78+T79+T80+T81+T85+T86+T87+T88+T89+T90+T91+T92+T93+T94+T95+T96+T97+T98-T101</f>
        <v>0</v>
      </c>
      <c r="U108" s="265">
        <f>U71+U72+U73+U74+U78+U79+U80+U81+U85+U86+U87+U88+U89+U90+U91+U92+U93+U94+U95+U96+U97+U98-U101</f>
        <v>0</v>
      </c>
      <c r="V108" s="265">
        <f>V71+V72+V73+V74+V78+V79+V80+V81+V85+V86+V87+V88+V89+V90+V91+V92+V93+V94+V95+V96+V97+V98-V101</f>
        <v>0</v>
      </c>
      <c r="X108" s="265">
        <f>X71+X72+X73+X74+X78+X79+X80+X81+X85+X86+X87+X88+X89+X90+X91+X92+X93+X94+X95+X96+X97+X98-X101</f>
        <v>0</v>
      </c>
      <c r="Y108" s="265">
        <f>Y71+Y72+Y73+Y74+Y78+Y79+Y80+Y81+Y85+Y86+Y87+Y88+Y89+Y90+Y91+Y92+Y93+Y94+Y95+Y96+Y97+Y98-Y101</f>
        <v>0</v>
      </c>
      <c r="Z108" s="265">
        <f>Z71+Z72+Z73+Z74+Z78+Z79+Z80+Z81+Z85+Z86+Z87+Z88+Z89+Z90+Z91+Z92+Z93+Z94+Z95+Z96+Z97+Z98-Z101</f>
        <v>0</v>
      </c>
      <c r="AA108" s="265">
        <f>AA71+AA72+AA73+AA74+AA78+AA79+AA80+AA81+AA85+AA86+AA87+AA88+AA89+AA90+AA91+AA92+AA93+AA94+AA95+AA96+AA97+AA98-AA101</f>
        <v>0</v>
      </c>
      <c r="AC108" s="265">
        <f>AC71+AC72+AC73+AC74+AC78+AC79+AC80+AC81+AC85+AC86+AC87+AC88+AC89+AC90+AC91+AC92+AC93+AC94+AC95+AC96+AC97+AC98-AC101</f>
        <v>0</v>
      </c>
      <c r="AD108" s="265">
        <f>AD71+AD72+AD73+AD74+AD78+AD79+AD80+AD81+AD85+AD86+AD87+AD88+AD89+AD90+AD91+AD92+AD93+AD94+AD95+AD96+AD97+AD98-AD101</f>
        <v>0</v>
      </c>
    </row>
    <row r="109">
      <c r="A109" t="inlineStr">
        <is>
          <t>[vazio] cod 9 Minority interest expense: sem nao controladores</t>
        </is>
      </c>
      <c r="C109" t="inlineStr">
        <is>
          <t>[linha bruta, sem código; lançada nas linhas abaixo]</t>
        </is>
      </c>
      <c r="D109" s="265" t="n"/>
      <c r="E109" s="265" t="n"/>
      <c r="F109" s="265" t="n"/>
      <c r="G109" s="265" t="n"/>
      <c r="I109" s="265" t="n"/>
      <c r="J109" s="265" t="n"/>
      <c r="K109" s="265" t="n"/>
      <c r="L109" s="265" t="n"/>
      <c r="N109" s="265" t="n"/>
      <c r="O109" s="265" t="n"/>
      <c r="P109" s="265" t="n"/>
      <c r="Q109" s="265" t="n"/>
      <c r="S109" s="265" t="n"/>
      <c r="T109" s="265" t="n"/>
      <c r="U109" s="265" t="n"/>
      <c r="V109" s="265" t="n"/>
      <c r="X109" s="265" t="n"/>
      <c r="Y109" s="265" t="n"/>
      <c r="Z109" s="265" t="n"/>
      <c r="AA109" s="265" t="n"/>
      <c r="AC109" s="265" t="n"/>
      <c r="AD109" s="265" t="n"/>
    </row>
    <row r="110">
      <c r="A110" t="inlineStr">
        <is>
          <t>[vazio] cod 20 Goodwill: nao aberto (intangivel = contrato de concessao)</t>
        </is>
      </c>
      <c r="C110" t="inlineStr">
        <is>
          <t>[linha bruta, sem código; lançada nas linhas abaixo]</t>
        </is>
      </c>
      <c r="D110" s="265" t="n"/>
      <c r="E110" s="265" t="n"/>
      <c r="F110" s="265" t="n"/>
      <c r="G110" s="265" t="n"/>
      <c r="I110" s="265" t="n"/>
      <c r="J110" s="265" t="n"/>
      <c r="K110" s="265" t="n"/>
      <c r="L110" s="265" t="n"/>
      <c r="N110" s="265" t="n"/>
      <c r="O110" s="265" t="n"/>
      <c r="P110" s="265" t="n"/>
      <c r="Q110" s="265" t="n"/>
      <c r="S110" s="265" t="n"/>
      <c r="T110" s="265" t="n"/>
      <c r="U110" s="265" t="n"/>
      <c r="V110" s="265" t="n"/>
      <c r="X110" s="265" t="n"/>
      <c r="Y110" s="265" t="n"/>
      <c r="Z110" s="265" t="n"/>
      <c r="AA110" s="265" t="n"/>
      <c r="AC110" s="265" t="n"/>
      <c r="AD110" s="265" t="n"/>
    </row>
    <row r="111">
      <c r="A111" t="inlineStr">
        <is>
          <t>[vazio] cod 28 Short term debt (revolving): sem linha propria</t>
        </is>
      </c>
      <c r="C111" t="inlineStr">
        <is>
          <t>[linha bruta, sem código; lançada nas linhas abaixo]</t>
        </is>
      </c>
      <c r="D111" s="265" t="n"/>
      <c r="E111" s="265" t="n"/>
      <c r="F111" s="265" t="n"/>
      <c r="G111" s="265" t="n"/>
      <c r="I111" s="265" t="n"/>
      <c r="J111" s="265" t="n"/>
      <c r="K111" s="265" t="n"/>
      <c r="L111" s="265" t="n"/>
      <c r="N111" s="265" t="n"/>
      <c r="O111" s="265" t="n"/>
      <c r="P111" s="265" t="n"/>
      <c r="Q111" s="265" t="n"/>
      <c r="S111" s="265" t="n"/>
      <c r="T111" s="265" t="n"/>
      <c r="U111" s="265" t="n"/>
      <c r="V111" s="265" t="n"/>
      <c r="X111" s="265" t="n"/>
      <c r="Y111" s="265" t="n"/>
      <c r="Z111" s="265" t="n"/>
      <c r="AA111" s="265" t="n"/>
      <c r="AC111" s="265" t="n"/>
      <c r="AD111" s="265" t="n"/>
    </row>
    <row r="112">
      <c r="A112" t="inlineStr">
        <is>
          <t>[vazio] cod 32 Convertible debt: inexistente</t>
        </is>
      </c>
      <c r="C112" t="inlineStr">
        <is>
          <t>[linha bruta, sem código; lançada nas linhas abaixo]</t>
        </is>
      </c>
      <c r="D112" s="265" t="n"/>
      <c r="E112" s="265" t="n"/>
      <c r="F112" s="265" t="n"/>
      <c r="G112" s="265" t="n"/>
      <c r="I112" s="265" t="n"/>
      <c r="J112" s="265" t="n"/>
      <c r="K112" s="265" t="n"/>
      <c r="L112" s="265" t="n"/>
      <c r="N112" s="265" t="n"/>
      <c r="O112" s="265" t="n"/>
      <c r="P112" s="265" t="n"/>
      <c r="Q112" s="265" t="n"/>
      <c r="S112" s="265" t="n"/>
      <c r="T112" s="265" t="n"/>
      <c r="U112" s="265" t="n"/>
      <c r="V112" s="265" t="n"/>
      <c r="X112" s="265" t="n"/>
      <c r="Y112" s="265" t="n"/>
      <c r="Z112" s="265" t="n"/>
      <c r="AA112" s="265" t="n"/>
      <c r="AC112" s="265" t="n"/>
      <c r="AD112" s="265" t="n"/>
    </row>
    <row r="113">
      <c r="A113" t="inlineStr">
        <is>
          <t>[vazio] cod 36 Convertible Preferred Stock: inexistente</t>
        </is>
      </c>
      <c r="C113" t="inlineStr">
        <is>
          <t>[linha bruta, sem código; lançada nas linhas abaixo]</t>
        </is>
      </c>
      <c r="D113" s="265" t="n"/>
      <c r="E113" s="265" t="n"/>
      <c r="F113" s="265" t="n"/>
      <c r="G113" s="265" t="n"/>
      <c r="I113" s="265" t="n"/>
      <c r="J113" s="265" t="n"/>
      <c r="K113" s="265" t="n"/>
      <c r="L113" s="265" t="n"/>
      <c r="N113" s="265" t="n"/>
      <c r="O113" s="265" t="n"/>
      <c r="P113" s="265" t="n"/>
      <c r="Q113" s="265" t="n"/>
      <c r="S113" s="265" t="n"/>
      <c r="T113" s="265" t="n"/>
      <c r="U113" s="265" t="n"/>
      <c r="V113" s="265" t="n"/>
      <c r="X113" s="265" t="n"/>
      <c r="Y113" s="265" t="n"/>
      <c r="Z113" s="265" t="n"/>
      <c r="AA113" s="265" t="n"/>
      <c r="AC113" s="265" t="n"/>
      <c r="AD113" s="265" t="n"/>
    </row>
    <row r="114">
      <c r="A114" t="inlineStr">
        <is>
          <t>[vazio] cod 38 Treasury stock: dentro das reservas (2.03.02.05 / 2.03.04.09), sem saldo relevante</t>
        </is>
      </c>
      <c r="C114" t="inlineStr">
        <is>
          <t>[linha bruta, sem código; lançada nas linhas abaixo]</t>
        </is>
      </c>
      <c r="D114" s="265" t="n"/>
      <c r="E114" s="265" t="n"/>
      <c r="F114" s="265" t="n"/>
      <c r="G114" s="265" t="n"/>
      <c r="I114" s="265" t="n"/>
      <c r="J114" s="265" t="n"/>
      <c r="K114" s="265" t="n"/>
      <c r="L114" s="265" t="n"/>
      <c r="N114" s="265" t="n"/>
      <c r="O114" s="265" t="n"/>
      <c r="P114" s="265" t="n"/>
      <c r="Q114" s="265" t="n"/>
      <c r="S114" s="265" t="n"/>
      <c r="T114" s="265" t="n"/>
      <c r="U114" s="265" t="n"/>
      <c r="V114" s="265" t="n"/>
      <c r="X114" s="265" t="n"/>
      <c r="Y114" s="265" t="n"/>
      <c r="Z114" s="265" t="n"/>
      <c r="AA114" s="265" t="n"/>
      <c r="AC114" s="265" t="n"/>
      <c r="AD114" s="265" t="n"/>
    </row>
    <row r="115">
      <c r="A115" t="inlineStr">
        <is>
          <t>Nota: Passivo Regulatorio (CP 2.01.05.02.09 e LP 2.02.02.02.10) esta em outros passivos (26/34). Provisao de 2T26 no resultado: R$ 259,6 mi operacional (cod 3) + R$ 693,1 mi financeira (cod 6).</t>
        </is>
      </c>
      <c r="C115" t="inlineStr">
        <is>
          <t>[linha bruta, sem código; lançada nas linhas abaixo]</t>
        </is>
      </c>
      <c r="D115" s="265" t="n"/>
      <c r="E115" s="265" t="n"/>
      <c r="F115" s="265" t="n"/>
      <c r="G115" s="265" t="n"/>
      <c r="I115" s="265" t="n"/>
      <c r="J115" s="265" t="n"/>
      <c r="K115" s="265" t="n"/>
      <c r="L115" s="265" t="n"/>
      <c r="N115" s="265" t="n"/>
      <c r="O115" s="265" t="n"/>
      <c r="P115" s="265" t="n"/>
      <c r="Q115" s="265" t="n"/>
      <c r="S115" s="265" t="n"/>
      <c r="T115" s="265" t="n"/>
      <c r="U115" s="265" t="n"/>
      <c r="V115" s="265" t="n"/>
      <c r="X115" s="265" t="n"/>
      <c r="Y115" s="265" t="n"/>
      <c r="Z115" s="265" t="n"/>
      <c r="AA115" s="265" t="n"/>
      <c r="AC115" s="265" t="n"/>
      <c r="AD115" s="265" t="n"/>
    </row>
    <row r="116">
      <c r="D116" s="265" t="n"/>
      <c r="E116" s="265" t="n"/>
      <c r="F116" s="265" t="n"/>
      <c r="G116" s="265" t="n"/>
      <c r="I116" s="265" t="n"/>
      <c r="J116" s="265" t="n"/>
      <c r="K116" s="265" t="n"/>
      <c r="L116" s="265" t="n"/>
      <c r="N116" s="265" t="n"/>
      <c r="O116" s="265" t="n"/>
      <c r="P116" s="265" t="n"/>
      <c r="Q116" s="265" t="n"/>
      <c r="S116" s="265" t="n"/>
      <c r="T116" s="265" t="n"/>
      <c r="U116" s="265" t="n"/>
      <c r="V116" s="265" t="n"/>
      <c r="X116" s="265" t="n"/>
      <c r="Y116" s="265" t="n"/>
      <c r="Z116" s="265" t="n"/>
      <c r="AA116" s="265" t="n"/>
      <c r="AC116" s="265" t="n"/>
      <c r="AD116" s="265" t="n"/>
    </row>
    <row r="117">
      <c r="A117" t="inlineStr">
        <is>
          <t>DRIVERS DE RECEITA (releases trimestrais do RI; R$ milhoes, milhoes de m3 e unidades, como divulgado; UNID "un" = sem fator). Cada release traz o proprio trimestre; o 4T21 vem da coluna comparativa do release do 4T22.</t>
        </is>
      </c>
      <c r="C117" t="inlineStr">
        <is>
          <t>[linha bruta, sem código; lançada nas linhas abaixo]</t>
        </is>
      </c>
      <c r="D117" s="265" t="n"/>
      <c r="E117" s="265" t="n"/>
      <c r="F117" s="265" t="n"/>
      <c r="G117" s="265" t="n"/>
      <c r="I117" s="265" t="n"/>
      <c r="J117" s="265" t="n"/>
      <c r="K117" s="265" t="n"/>
      <c r="L117" s="265" t="n"/>
      <c r="N117" s="265" t="n"/>
      <c r="O117" s="265" t="n"/>
      <c r="P117" s="265" t="n"/>
      <c r="Q117" s="265" t="n"/>
      <c r="S117" s="265" t="n"/>
      <c r="T117" s="265" t="n"/>
      <c r="U117" s="265" t="n"/>
      <c r="V117" s="265" t="n"/>
      <c r="X117" s="265" t="n"/>
      <c r="Y117" s="265" t="n"/>
      <c r="Z117" s="265" t="n"/>
      <c r="AA117" s="265" t="n"/>
      <c r="AC117" s="265" t="n"/>
      <c r="AD117" s="265" t="n"/>
    </row>
    <row r="118">
      <c r="A118" t="inlineStr">
        <is>
          <t>Receita de agua (R$ mi) | release do trimestre (tabela "receitadeagua") · fonte · unid. un</t>
        </is>
      </c>
      <c r="B118" t="n">
        <v>45</v>
      </c>
      <c r="C118" t="inlineStr">
        <is>
          <t>Receita de agua (R$ mi) | release do trimestre (tabela "rece</t>
        </is>
      </c>
      <c r="D118" s="265" t="n">
        <v>806100</v>
      </c>
      <c r="E118" s="265" t="n">
        <v>833900</v>
      </c>
      <c r="F118" s="265" t="n">
        <v>866900</v>
      </c>
      <c r="G118" s="265" t="n">
        <v>908300</v>
      </c>
      <c r="I118" s="265" t="n">
        <v>920000</v>
      </c>
      <c r="J118" s="265" t="n">
        <v>886500</v>
      </c>
      <c r="K118" s="265" t="n">
        <v>949700</v>
      </c>
      <c r="L118" s="265" t="n">
        <v>984400</v>
      </c>
      <c r="N118" s="265" t="n">
        <v>1003100</v>
      </c>
      <c r="O118" s="265" t="n">
        <v>1013900</v>
      </c>
      <c r="P118" s="265" t="n">
        <v>1050100</v>
      </c>
      <c r="Q118" s="265" t="n">
        <v>1104800</v>
      </c>
      <c r="S118" s="265" t="n">
        <v>1095700</v>
      </c>
      <c r="T118" s="265" t="n">
        <v>1058100</v>
      </c>
      <c r="U118" s="265" t="n">
        <v>1086700</v>
      </c>
      <c r="V118" s="265" t="n">
        <v>1128200</v>
      </c>
      <c r="X118" s="265" t="n">
        <v>1155100</v>
      </c>
      <c r="Y118" s="265" t="n">
        <v>1086700</v>
      </c>
      <c r="Z118" s="265" t="n">
        <v>1147200</v>
      </c>
      <c r="AA118" s="265" t="n">
        <v>1195500</v>
      </c>
      <c r="AC118" s="265" t="n">
        <v>1237800</v>
      </c>
      <c r="AD118" s="265" t="n">
        <v>1198700</v>
      </c>
    </row>
    <row r="119">
      <c r="A119" t="inlineStr">
        <is>
          <t>Receita de esgoto (R$ mi) | release do trimestre (tabela "receitadeesgoto") · fonte · unid. un</t>
        </is>
      </c>
      <c r="B119" t="n">
        <v>46</v>
      </c>
      <c r="C119" t="inlineStr">
        <is>
          <t>Receita de esgoto (R$ mi) | release do trimestre (tabela "re</t>
        </is>
      </c>
      <c r="D119" s="265" t="n">
        <v>469000</v>
      </c>
      <c r="E119" s="265" t="n">
        <v>488800</v>
      </c>
      <c r="F119" s="265" t="n">
        <v>508500</v>
      </c>
      <c r="G119" s="265" t="n">
        <v>527500</v>
      </c>
      <c r="I119" s="265" t="n">
        <v>546600</v>
      </c>
      <c r="J119" s="265" t="n">
        <v>530100</v>
      </c>
      <c r="K119" s="265" t="n">
        <v>547000</v>
      </c>
      <c r="L119" s="265" t="n">
        <v>562700</v>
      </c>
      <c r="N119" s="265" t="n">
        <v>519600</v>
      </c>
      <c r="O119" s="265" t="n">
        <v>596300</v>
      </c>
      <c r="P119" s="265" t="n">
        <v>627900</v>
      </c>
      <c r="Q119" s="265" t="n">
        <v>667100</v>
      </c>
      <c r="S119" s="265" t="n">
        <v>677600</v>
      </c>
      <c r="T119" s="265" t="n">
        <v>675800</v>
      </c>
      <c r="U119" s="265" t="n">
        <v>696000</v>
      </c>
      <c r="V119" s="265" t="n">
        <v>722900</v>
      </c>
      <c r="X119" s="265" t="n">
        <v>725700</v>
      </c>
      <c r="Y119" s="265" t="n">
        <v>692000</v>
      </c>
      <c r="Z119" s="265" t="n">
        <v>736200</v>
      </c>
      <c r="AA119" s="265" t="n">
        <v>772100</v>
      </c>
      <c r="AC119" s="265" t="n">
        <v>795200</v>
      </c>
      <c r="AD119" s="265" t="n">
        <v>779000</v>
      </c>
    </row>
    <row r="120">
      <c r="A120" t="inlineStr">
        <is>
          <t>Receita de servicos (R$ mi) | release do trimestre (tabela "receitadeservicos") · fonte · unid. un</t>
        </is>
      </c>
      <c r="B120" t="n">
        <v>47</v>
      </c>
      <c r="C120" t="inlineStr">
        <is>
          <t>Receita de servicos (R$ mi) | release do trimestre (tabela "</t>
        </is>
      </c>
      <c r="D120" s="265" t="n">
        <v>26800</v>
      </c>
      <c r="E120" s="265" t="n">
        <v>27400</v>
      </c>
      <c r="F120" s="265" t="n">
        <v>28700</v>
      </c>
      <c r="G120" s="265" t="n">
        <v>29400</v>
      </c>
      <c r="I120" s="265" t="n">
        <v>28200</v>
      </c>
      <c r="J120" s="265" t="n">
        <v>27900</v>
      </c>
      <c r="K120" s="265" t="n">
        <v>26900</v>
      </c>
      <c r="L120" s="265" t="n">
        <v>23900</v>
      </c>
      <c r="N120" s="265" t="n">
        <v>24100</v>
      </c>
      <c r="O120" s="265" t="n">
        <v>26400</v>
      </c>
      <c r="P120" s="265" t="n">
        <v>31600</v>
      </c>
      <c r="Q120" s="265" t="n">
        <v>33700</v>
      </c>
      <c r="S120" s="265" t="n">
        <v>34000</v>
      </c>
      <c r="T120" s="265" t="n">
        <v>34800</v>
      </c>
      <c r="U120" s="265" t="n">
        <v>35200</v>
      </c>
      <c r="V120" s="265" t="n">
        <v>35600</v>
      </c>
      <c r="X120" s="265" t="n">
        <v>36700</v>
      </c>
      <c r="Y120" s="265" t="n">
        <v>32300</v>
      </c>
      <c r="Z120" s="265" t="n">
        <v>34100</v>
      </c>
      <c r="AA120" s="265" t="n">
        <v>38100</v>
      </c>
      <c r="AC120" s="265" t="n">
        <v>36200</v>
      </c>
      <c r="AD120" s="265" t="n">
        <v>40300</v>
      </c>
    </row>
    <row r="121">
      <c r="A121" t="inlineStr">
        <is>
          <t>Receita de residuos solidos (R$ mi) | release do trimestre (tabela "receitaderesiduossolidos") · fonte · unid. un</t>
        </is>
      </c>
      <c r="B121" t="n">
        <v>48</v>
      </c>
      <c r="C121" t="inlineStr">
        <is>
          <t>Receita de residuos solidos (R$ mi) | release do trimestre (</t>
        </is>
      </c>
      <c r="D121" s="265" t="n">
        <v>3000</v>
      </c>
      <c r="E121" s="265" t="n">
        <v>3000</v>
      </c>
      <c r="F121" s="265" t="n">
        <v>2800</v>
      </c>
      <c r="G121" s="265" t="n">
        <v>2900</v>
      </c>
      <c r="I121" s="265" t="n">
        <v>3100</v>
      </c>
      <c r="J121" s="265" t="n">
        <v>3300</v>
      </c>
      <c r="K121" s="265" t="n">
        <v>3100</v>
      </c>
      <c r="L121" s="265" t="n">
        <v>3000</v>
      </c>
      <c r="N121" s="265" t="n">
        <v>3300</v>
      </c>
      <c r="O121" s="265" t="n">
        <v>3300</v>
      </c>
      <c r="P121" s="265" t="n">
        <v>3300</v>
      </c>
      <c r="Q121" s="265" t="n">
        <v>3900</v>
      </c>
      <c r="S121" s="265" t="n">
        <v>3900</v>
      </c>
      <c r="T121" s="265" t="n">
        <v>3900</v>
      </c>
      <c r="U121" s="265" t="n">
        <v>3700</v>
      </c>
      <c r="V121" s="265" t="n">
        <v>4000</v>
      </c>
      <c r="X121" s="265" t="n">
        <v>4100</v>
      </c>
      <c r="Y121" s="265" t="n">
        <v>5700</v>
      </c>
      <c r="Z121" s="265" t="n">
        <v>5200</v>
      </c>
      <c r="AA121" s="265" t="n">
        <v>5100</v>
      </c>
      <c r="AC121" s="265" t="n">
        <v>5300</v>
      </c>
      <c r="AD121" s="265" t="n">
        <v>6000</v>
      </c>
    </row>
    <row r="122">
      <c r="A122" t="inlineStr">
        <is>
          <t>Servicos prestados aos municipios (R$ mi) | release do trimestre (tabela "servicosprestadosaosmunicipios") · fonte · unid. un</t>
        </is>
      </c>
      <c r="B122" t="n">
        <v>49</v>
      </c>
      <c r="C122" t="inlineStr">
        <is>
          <t>Servicos prestados aos municipios (R$ mi) | release do trime</t>
        </is>
      </c>
      <c r="D122" s="265" t="n">
        <v>5100</v>
      </c>
      <c r="E122" s="265" t="n">
        <v>5200</v>
      </c>
      <c r="F122" s="265" t="n">
        <v>5400</v>
      </c>
      <c r="G122" s="265" t="n">
        <v>5200</v>
      </c>
      <c r="I122" s="265" t="n">
        <v>5300</v>
      </c>
      <c r="J122" s="265" t="n">
        <v>5400</v>
      </c>
      <c r="K122" s="265" t="n">
        <v>5700</v>
      </c>
      <c r="L122" s="265" t="n">
        <v>5600</v>
      </c>
      <c r="N122" s="265" t="n">
        <v>5700</v>
      </c>
      <c r="O122" s="265" t="n">
        <v>6000</v>
      </c>
      <c r="P122" s="265" t="n">
        <v>6300</v>
      </c>
      <c r="Q122" s="265" t="n">
        <v>6400</v>
      </c>
      <c r="S122" s="265" t="n">
        <v>6400</v>
      </c>
      <c r="T122" s="265" t="n">
        <v>6400</v>
      </c>
      <c r="U122" s="265" t="n">
        <v>6500</v>
      </c>
      <c r="V122" s="265" t="n">
        <v>6400</v>
      </c>
      <c r="X122" s="265" t="n">
        <v>6400</v>
      </c>
      <c r="Y122" s="265" t="n">
        <v>6600</v>
      </c>
      <c r="Z122" s="265" t="n">
        <v>6600</v>
      </c>
      <c r="AA122" s="265" t="n">
        <v>6700</v>
      </c>
      <c r="AC122" s="265" t="n">
        <v>6900</v>
      </c>
      <c r="AD122" s="265" t="n">
        <v>7100</v>
      </c>
    </row>
    <row r="123">
      <c r="A123" t="inlineStr">
        <is>
          <t>Doacoes efetuadas por clientes (R$ mi) | release do trimestre (tabela "doacoesefetuadasporclientes") · fonte · unid. un</t>
        </is>
      </c>
      <c r="B123" t="n">
        <v>50</v>
      </c>
      <c r="C123" t="inlineStr">
        <is>
          <t>Doacoes efetuadas por clientes (R$ mi) | release do trimestr</t>
        </is>
      </c>
      <c r="D123" s="265" t="n">
        <v>7200</v>
      </c>
      <c r="E123" s="265" t="n">
        <v>11100</v>
      </c>
      <c r="F123" s="265" t="n">
        <v>6900</v>
      </c>
      <c r="G123" s="265" t="n">
        <v>9000</v>
      </c>
      <c r="I123" s="265" t="n">
        <v>7400</v>
      </c>
      <c r="J123" s="265" t="n">
        <v>7300</v>
      </c>
      <c r="K123" s="265" t="n">
        <v>9500</v>
      </c>
      <c r="L123" s="265" t="n">
        <v>11000</v>
      </c>
      <c r="N123" s="265" t="n">
        <v>9300</v>
      </c>
      <c r="O123" s="265" t="n">
        <v>9100</v>
      </c>
      <c r="P123" s="265" t="n">
        <v>9400</v>
      </c>
      <c r="Q123" s="265" t="n">
        <v>7200</v>
      </c>
      <c r="S123" s="265" t="n">
        <v>10500</v>
      </c>
      <c r="T123" s="265" t="n">
        <v>10100</v>
      </c>
      <c r="U123" s="265" t="n">
        <v>10400</v>
      </c>
      <c r="V123" s="265" t="n">
        <v>14000</v>
      </c>
      <c r="X123" s="265" t="n">
        <v>13100</v>
      </c>
      <c r="Y123" s="265" t="n">
        <v>6700</v>
      </c>
      <c r="Z123" s="265" t="n">
        <v>6800</v>
      </c>
      <c r="AA123" s="265" t="n">
        <v>12000</v>
      </c>
      <c r="AC123" s="265" t="n">
        <v>8700</v>
      </c>
      <c r="AD123" s="265" t="n">
        <v>6500</v>
      </c>
    </row>
    <row r="124">
      <c r="A124" t="inlineStr">
        <is>
          <t>Outras receitas (R$ mi) | release do trimestre (tabela "outrasreceitas") · fonte · unid. un</t>
        </is>
      </c>
      <c r="B124" t="n">
        <v>51</v>
      </c>
      <c r="C124" t="inlineStr">
        <is>
          <t>Outras receitas (R$ mi) | release do trimestre (tabela "outr</t>
        </is>
      </c>
      <c r="D124" s="265" t="n">
        <v>1300</v>
      </c>
      <c r="E124" s="265" t="n">
        <v>1200</v>
      </c>
      <c r="F124" s="265" t="n">
        <v>1400</v>
      </c>
      <c r="G124" s="265" t="n">
        <v>1900</v>
      </c>
      <c r="I124" s="265" t="n">
        <v>1400</v>
      </c>
      <c r="J124" s="265" t="n">
        <v>1200</v>
      </c>
      <c r="K124" s="265" t="n">
        <v>2100</v>
      </c>
      <c r="L124" s="265" t="n">
        <v>1700</v>
      </c>
      <c r="N124" s="265" t="n">
        <v>2000</v>
      </c>
      <c r="O124" s="265" t="n">
        <v>1300</v>
      </c>
      <c r="P124" s="265" t="n">
        <v>1900</v>
      </c>
      <c r="Q124" s="265" t="n">
        <v>6000</v>
      </c>
      <c r="S124" s="265" t="n">
        <v>1500</v>
      </c>
      <c r="T124" s="265" t="n">
        <v>1600</v>
      </c>
      <c r="U124" s="265" t="n">
        <v>2400</v>
      </c>
      <c r="V124" s="265" t="n">
        <v>2300</v>
      </c>
      <c r="X124" s="265" t="n">
        <v>2600</v>
      </c>
      <c r="Y124" s="265" t="n">
        <v>3200</v>
      </c>
      <c r="Z124" s="265" t="n">
        <v>1800</v>
      </c>
      <c r="AA124" s="265" t="n">
        <v>2300</v>
      </c>
      <c r="AC124" s="265" t="n">
        <v>2400</v>
      </c>
      <c r="AD124" s="265" t="n">
        <v>2400</v>
      </c>
    </row>
    <row r="125">
      <c r="A125" t="inlineStr">
        <is>
          <t>Deducoes da receita - COFINS e PASEP (R$ mi) | release do trimestre (tabela "totaisdasdeducoes") · fonte · unid. un</t>
        </is>
      </c>
      <c r="B125" t="n">
        <v>52</v>
      </c>
      <c r="C125" t="inlineStr">
        <is>
          <t>Deducoes da receita - COFINS e PASEP (R$ mi) | release do tr</t>
        </is>
      </c>
      <c r="D125" s="265" t="n">
        <v>-92000</v>
      </c>
      <c r="E125" s="265" t="n">
        <v>-97200</v>
      </c>
      <c r="F125" s="265" t="n">
        <v>-99300</v>
      </c>
      <c r="G125" s="265" t="n">
        <v>-101000</v>
      </c>
      <c r="I125" s="265" t="n">
        <v>-105200</v>
      </c>
      <c r="J125" s="265" t="n">
        <v>-102500</v>
      </c>
      <c r="K125" s="265" t="n">
        <v>-111600</v>
      </c>
      <c r="L125" s="265" t="n">
        <v>-117100</v>
      </c>
      <c r="N125" s="265" t="n">
        <v>-113100</v>
      </c>
      <c r="O125" s="265" t="n">
        <v>-120300</v>
      </c>
      <c r="P125" s="265" t="n">
        <v>-124700</v>
      </c>
      <c r="Q125" s="265" t="n">
        <v>-132200</v>
      </c>
      <c r="S125" s="265" t="n">
        <v>-131600</v>
      </c>
      <c r="T125" s="265" t="n">
        <v>-126400</v>
      </c>
      <c r="U125" s="265" t="n">
        <v>-131200</v>
      </c>
      <c r="V125" s="265" t="n">
        <v>-137200</v>
      </c>
      <c r="X125" s="265" t="n">
        <v>-138500</v>
      </c>
      <c r="Y125" s="265" t="n">
        <v>-127800</v>
      </c>
      <c r="Z125" s="265" t="n">
        <v>-133700</v>
      </c>
      <c r="AA125" s="265" t="n">
        <v>-140900</v>
      </c>
      <c r="AC125" s="265" t="n">
        <v>-146100</v>
      </c>
      <c r="AD125" s="265" t="n">
        <v>-138900</v>
      </c>
    </row>
    <row r="126">
      <c r="A126" t="inlineStr">
        <is>
          <t>Volume faturado de agua (milhoes de m3) | release do trimestre (tabela "vol_agua") · fonte · unid. un</t>
        </is>
      </c>
      <c r="B126" t="n">
        <v>53</v>
      </c>
      <c r="C126" t="inlineStr">
        <is>
          <t>Volume faturado de agua (milhoes de m3) | release do trimest</t>
        </is>
      </c>
      <c r="D126" s="265" t="n">
        <v>130400</v>
      </c>
      <c r="E126" s="265" t="n">
        <v>130000</v>
      </c>
      <c r="F126" s="265" t="n">
        <v>127900</v>
      </c>
      <c r="G126" s="265" t="n">
        <v>133200</v>
      </c>
      <c r="I126" s="265" t="n">
        <v>137000</v>
      </c>
      <c r="J126" s="265" t="n">
        <v>130000</v>
      </c>
      <c r="K126" s="265" t="n">
        <v>132000</v>
      </c>
      <c r="L126" s="265" t="n">
        <v>135600</v>
      </c>
      <c r="N126" s="265" t="n">
        <v>137400</v>
      </c>
      <c r="O126" s="265" t="n">
        <v>139500</v>
      </c>
      <c r="P126" s="265" t="n">
        <v>138000</v>
      </c>
      <c r="Q126" s="265" t="n">
        <v>144700</v>
      </c>
      <c r="S126" s="265" t="n">
        <v>148300</v>
      </c>
      <c r="T126" s="265" t="n">
        <v>144300</v>
      </c>
      <c r="U126" s="265" t="n">
        <v>142800</v>
      </c>
      <c r="V126" s="265" t="n">
        <v>147600</v>
      </c>
      <c r="X126" s="265" t="n">
        <v>152800</v>
      </c>
      <c r="Y126" s="265" t="n">
        <v>142200</v>
      </c>
      <c r="Z126" s="265" t="n">
        <v>144500</v>
      </c>
      <c r="AA126" s="265" t="n">
        <v>149200</v>
      </c>
      <c r="AC126" s="265" t="n">
        <v>154700</v>
      </c>
      <c r="AD126" s="265" t="n">
        <v>149100</v>
      </c>
    </row>
    <row r="127">
      <c r="A127" t="inlineStr">
        <is>
          <t>Volume faturado de esgoto (milhoes de m3) | release do trimestre (tabela "vol_esg") · fonte · unid. un</t>
        </is>
      </c>
      <c r="B127" t="n">
        <v>54</v>
      </c>
      <c r="C127" t="inlineStr">
        <is>
          <t>Volume faturado de esgoto (milhoes de m3) | release do trime</t>
        </is>
      </c>
      <c r="D127" s="265" t="n">
        <v>98500</v>
      </c>
      <c r="E127" s="265" t="n">
        <v>98800</v>
      </c>
      <c r="F127" s="265" t="n">
        <v>97700</v>
      </c>
      <c r="G127" s="265" t="n">
        <v>101500</v>
      </c>
      <c r="I127" s="265" t="n">
        <v>104300</v>
      </c>
      <c r="J127" s="265" t="n">
        <v>100700</v>
      </c>
      <c r="K127" s="265" t="n">
        <v>102500</v>
      </c>
      <c r="L127" s="265" t="n">
        <v>105300</v>
      </c>
      <c r="N127" s="265" t="n">
        <v>107300</v>
      </c>
      <c r="O127" s="265" t="n">
        <v>109800</v>
      </c>
      <c r="P127" s="265" t="n">
        <v>109300</v>
      </c>
      <c r="Q127" s="265" t="n">
        <v>114800</v>
      </c>
      <c r="S127" s="265" t="n">
        <v>117300</v>
      </c>
      <c r="T127" s="265" t="n">
        <v>115600</v>
      </c>
      <c r="U127" s="265" t="n">
        <v>114600</v>
      </c>
      <c r="V127" s="265" t="n">
        <v>118500</v>
      </c>
      <c r="X127" s="265" t="n">
        <v>122900</v>
      </c>
      <c r="Y127" s="265" t="n">
        <v>115700</v>
      </c>
      <c r="Z127" s="265" t="n">
        <v>118000</v>
      </c>
      <c r="AA127" s="265" t="n">
        <v>121600</v>
      </c>
      <c r="AC127" s="265" t="n">
        <v>125800</v>
      </c>
      <c r="AD127" s="265" t="n">
        <v>122400</v>
      </c>
    </row>
    <row r="128">
      <c r="A128" t="inlineStr">
        <is>
          <t>Ligacoes de agua (unidades, fim do periodo) | release do trimestre (tabela "lig_agua") · fonte · unid. un</t>
        </is>
      </c>
      <c r="B128" t="n">
        <v>55</v>
      </c>
      <c r="C128" t="inlineStr">
        <is>
          <t>Ligacoes de agua (unidades, fim do periodo) | release do tri</t>
        </is>
      </c>
      <c r="D128" s="265" t="n">
        <v>3293660000</v>
      </c>
      <c r="E128" s="265" t="n">
        <v>3312137000</v>
      </c>
      <c r="F128" s="265" t="n">
        <v>3330398000</v>
      </c>
      <c r="G128" s="265" t="n">
        <v>3348441000</v>
      </c>
      <c r="I128" s="265" t="n">
        <v>3366868000</v>
      </c>
      <c r="J128" s="265" t="n">
        <v>3381769000</v>
      </c>
      <c r="K128" s="265" t="n">
        <v>3397534000</v>
      </c>
      <c r="L128" s="265" t="n">
        <v>3410686000</v>
      </c>
      <c r="N128" s="265" t="n">
        <v>3425250000</v>
      </c>
      <c r="O128" s="265" t="n">
        <v>3436140000</v>
      </c>
      <c r="P128" s="265" t="n">
        <v>3442529000</v>
      </c>
      <c r="Q128" s="265" t="n">
        <v>3448900000</v>
      </c>
      <c r="S128" s="265" t="n">
        <v>3455943000</v>
      </c>
      <c r="T128" s="265" t="n">
        <v>3464831000</v>
      </c>
      <c r="U128" s="265" t="n">
        <v>3474005000</v>
      </c>
      <c r="V128" s="265" t="n">
        <v>3483526000</v>
      </c>
      <c r="X128" s="265" t="n">
        <v>3494686000</v>
      </c>
      <c r="Y128" s="265" t="n">
        <v>3506210000</v>
      </c>
      <c r="Z128" s="265" t="n">
        <v>3518097000</v>
      </c>
      <c r="AA128" s="265" t="n">
        <v>3530490000</v>
      </c>
      <c r="AC128" s="265" t="n">
        <v>3542988000</v>
      </c>
      <c r="AD128" s="265" t="n">
        <v>3555133000</v>
      </c>
    </row>
    <row r="129">
      <c r="A129" t="inlineStr">
        <is>
          <t>Ligacoes de esgoto (unidades, fim do periodo) | release do trimestre (tabela "lig_esg") · fonte · unid. un</t>
        </is>
      </c>
      <c r="B129" t="n">
        <v>56</v>
      </c>
      <c r="C129" t="inlineStr">
        <is>
          <t>Ligacoes de esgoto (unidades, fim do periodo) | release do t</t>
        </is>
      </c>
      <c r="D129" s="265" t="n">
        <v>2327211000</v>
      </c>
      <c r="E129" s="265" t="n">
        <v>2345221000</v>
      </c>
      <c r="F129" s="265" t="n">
        <v>2361454000</v>
      </c>
      <c r="G129" s="265" t="n">
        <v>2379696000</v>
      </c>
      <c r="I129" s="265" t="n">
        <v>2393917000</v>
      </c>
      <c r="J129" s="265" t="n">
        <v>2407566000</v>
      </c>
      <c r="K129" s="265" t="n">
        <v>2425700000</v>
      </c>
      <c r="L129" s="265" t="n">
        <v>2445588000</v>
      </c>
      <c r="N129" s="265" t="n">
        <v>2460701000</v>
      </c>
      <c r="O129" s="265" t="n">
        <v>2474886000</v>
      </c>
      <c r="P129" s="265" t="n">
        <v>2497239000</v>
      </c>
      <c r="Q129" s="265" t="n">
        <v>2517885000</v>
      </c>
      <c r="S129" s="265" t="n">
        <v>2528768000</v>
      </c>
      <c r="T129" s="265" t="n">
        <v>2540752000</v>
      </c>
      <c r="U129" s="265" t="n">
        <v>2554414000</v>
      </c>
      <c r="V129" s="265" t="n">
        <v>2585670000</v>
      </c>
      <c r="X129" s="265" t="n">
        <v>2596907000</v>
      </c>
      <c r="Y129" s="265" t="n">
        <v>2611716000</v>
      </c>
      <c r="Z129" s="265" t="n">
        <v>2627353000</v>
      </c>
      <c r="AA129" s="265" t="n">
        <v>2652624000</v>
      </c>
      <c r="AC129" s="265" t="n">
        <v>2668200000</v>
      </c>
      <c r="AD129" s="265" t="n">
        <v>2687612000</v>
      </c>
    </row>
    <row r="130">
      <c r="A130" t="inlineStr">
        <is>
          <t>Releases usados por trimestre: 1T20=Press-release-Sanepar-2020-03-31-BB7wjnFf.pdf; 2T20=Press-release-Sanepar-2020-06-30-TphhcJC9.pdf; 3T20=Press-release-Sanepar-2020-09-30-TM7PLBPf.pdf; 4T20=Sanepar-2020-12-31-L8RTBnFw.pdf; 1T21=Sanepar-2021-03-31-f8cGbLp6.pdf; 2T21=Sanepar-2021-06-30-mcpMqD8H.pdf; 3T21=Sanepar-2021-09-30-G8WpwhNr.pdf; 4T21=Sanepar-2022-12-31-tfqbKM7t.pdf (coluna 4T21); 1T22=Press-release-Sanepar-2022-03-31-RWqN6PnH.pdf; 2T22=Release-Sanepar-2022-06-30-F6zgHrLR.pdf; 3T22=Sanepar-2022-09-30-WrbJk8Fp.pdf; 4T22=Sanepar-2022-12-31-tfqbKM7t.pdf; 1T23=Release-Sanepar-2023-05-11-FWctCmwf.pdf; 2T23=Sanepar-2023-06-30-LQzzfKDd.pdf; 3T23=Sanepar-2023-09-30-zFdbfLCL.pdf; 4T23=Sanepar-2023-12-31-c8d6mTWd.pdf; 1T24=Release-Sanepar-2024-03-31-cDDTQGrM.pdf; 2T24=Sanepar-2024-06-30-fHfK9ggL.pdf; 3T24=Sanepar-2024-09-30-KPKbJCPk.pdf; 4T24=Sanepar-2024-12-31-PkzDpgjk.pdf; 1T25=Sanepar-2025-03-31-dmdTMbhb.pdf; 2T25=Sanepar-2025-06-30-jRPPhgJf.pdf; 3T25=Sanepar-2025-09-30-WdCL6Lng.pdf; 4T25=Sanepar-2025-12-31-jpGbrnb7.pdf; 1T26=Sanepar-2026-03-31-gBB9rHc7.pdf; 2T26=Sanepar-2026-06-30-LhNKMDPD.pdf</t>
        </is>
      </c>
      <c r="C130" t="inlineStr">
        <is>
          <t>[linha bruta, sem código; lançada nas linhas abaixo]</t>
        </is>
      </c>
      <c r="D130" s="265" t="n"/>
      <c r="E130" s="265" t="n"/>
      <c r="F130" s="265" t="n"/>
      <c r="G130" s="265" t="n"/>
      <c r="I130" s="265" t="n"/>
      <c r="J130" s="265" t="n"/>
      <c r="K130" s="265" t="n"/>
      <c r="L130" s="265" t="n"/>
      <c r="N130" s="265" t="n"/>
      <c r="O130" s="265" t="n"/>
      <c r="P130" s="265" t="n"/>
      <c r="Q130" s="265" t="n"/>
      <c r="S130" s="265" t="n"/>
      <c r="T130" s="265" t="n"/>
      <c r="U130" s="265" t="n"/>
      <c r="V130" s="265" t="n"/>
      <c r="X130" s="265" t="n"/>
      <c r="Y130" s="265" t="n"/>
      <c r="Z130" s="265" t="n"/>
      <c r="AA130" s="265" t="n"/>
      <c r="AC130" s="265" t="n"/>
      <c r="AD130" s="265" t="n"/>
    </row>
    <row r="132">
      <c r="A132" t="inlineStr">
        <is>
          <t>Linhas de origem: 4 a 130. A Inputs (2) varre as linhas 4 a 200; as linhas 131 a 200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4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Sanepar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R$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IF(D$3=0,"",SUMIFS(INDEX(Inputs!$D$4:$AG$200,0,MATCH(D$2,Inputs!$D$2:$AG$2,0)),Inputs!$B$4:$B$200,$B4)/1000)</f>
        <v>1226.476</v>
      </c>
      <c r="E4" s="11">
        <f>IF(E$3=0,"",SUMIFS(INDEX(Inputs!$D$4:$AG$200,0,MATCH(E$2,Inputs!$D$2:$AG$2,0)),Inputs!$B$4:$B$200,$B4)/1000)</f>
        <v>1273.389</v>
      </c>
      <c r="F4" s="11">
        <f>IF(F$3=0,"",SUMIFS(INDEX(Inputs!$D$4:$AG$200,0,MATCH(F$2,Inputs!$D$2:$AG$2,0)),Inputs!$B$4:$B$200,$B4)/1000)</f>
        <v>1321.36</v>
      </c>
      <c r="G4" s="11">
        <f>IF(G$3=0,"",SUMIFS(INDEX(Inputs!$D$4:$AG$200,0,MATCH(G$2,Inputs!$D$2:$AG$2,0)),Inputs!$B$4:$B$200,$B4)/1000)</f>
        <v>1383.187</v>
      </c>
      <c r="H4" s="12">
        <f>IF(COUNT(D4:G4)=4,SUM(D4:G4),"")</f>
        <v>5204.412</v>
      </c>
      <c r="I4" s="11">
        <f>IF(I$3=0,"",SUMIFS(INDEX(Inputs!$D$4:$AG$200,0,MATCH(I$2,Inputs!$D$2:$AG$2,0)),Inputs!$B$4:$B$200,$B4)/1000)</f>
        <v>1406.842</v>
      </c>
      <c r="J4" s="11">
        <f>IF(J$3=0,"",SUMIFS(INDEX(Inputs!$D$4:$AG$200,0,MATCH(J$2,Inputs!$D$2:$AG$2,0)),Inputs!$B$4:$B$200,$B4)/1000)</f>
        <v>1359.113</v>
      </c>
      <c r="K4" s="11">
        <f>IF(K$3=0,"",SUMIFS(INDEX(Inputs!$D$4:$AG$200,0,MATCH(K$2,Inputs!$D$2:$AG$2,0)),Inputs!$B$4:$B$200,$B4)/1000)</f>
        <v>1432.464</v>
      </c>
      <c r="L4" s="11">
        <f>IF(L$3=0,"",SUMIFS(INDEX(Inputs!$D$4:$AG$200,0,MATCH(L$2,Inputs!$D$2:$AG$2,0)),Inputs!$B$4:$B$200,$B4)/1000)</f>
        <v>1475.228</v>
      </c>
      <c r="M4" s="12">
        <f>IF(COUNT(I4:L4)=4,SUM(I4:L4),"")</f>
        <v>5673.647</v>
      </c>
      <c r="N4" s="11">
        <f>IF(N$3=0,"",SUMIFS(INDEX(Inputs!$D$4:$AG$200,0,MATCH(N$2,Inputs!$D$2:$AG$2,0)),Inputs!$B$4:$B$200,$B4)/1000)</f>
        <v>1453.963</v>
      </c>
      <c r="O4" s="11">
        <f>IF(O$3=0,"",SUMIFS(INDEX(Inputs!$D$4:$AG$200,0,MATCH(O$2,Inputs!$D$2:$AG$2,0)),Inputs!$B$4:$B$200,$B4)/1000)</f>
        <v>1536.029</v>
      </c>
      <c r="P4" s="11">
        <f>IF(P$3=0,"",SUMIFS(INDEX(Inputs!$D$4:$AG$200,0,MATCH(P$2,Inputs!$D$2:$AG$2,0)),Inputs!$B$4:$B$200,$B4)/1000)</f>
        <v>1605.776</v>
      </c>
      <c r="Q4" s="11">
        <f>IF(Q$3=0,"",SUMIFS(INDEX(Inputs!$D$4:$AG$200,0,MATCH(Q$2,Inputs!$D$2:$AG$2,0)),Inputs!$B$4:$B$200,$B4)/1000)</f>
        <v>1696.968</v>
      </c>
      <c r="R4" s="12">
        <f>IF(COUNT(N4:Q4)=4,SUM(N4:Q4),"")</f>
        <v>6292.736</v>
      </c>
      <c r="S4" s="11">
        <f>IF(S$3=0,"",SUMIFS(INDEX(Inputs!$D$4:$AG$200,0,MATCH(S$2,Inputs!$D$2:$AG$2,0)),Inputs!$B$4:$B$200,$B4)/1000)</f>
        <v>1698.012</v>
      </c>
      <c r="T4" s="11">
        <f>IF(T$3=0,"",SUMIFS(INDEX(Inputs!$D$4:$AG$200,0,MATCH(T$2,Inputs!$D$2:$AG$2,0)),Inputs!$B$4:$B$200,$B4)/1000)</f>
        <v>1664.252</v>
      </c>
      <c r="U4" s="11">
        <f>IF(U$3=0,"",SUMIFS(INDEX(Inputs!$D$4:$AG$200,0,MATCH(U$2,Inputs!$D$2:$AG$2,0)),Inputs!$B$4:$B$200,$B4)/1000)</f>
        <v>1709.748</v>
      </c>
      <c r="V4" s="11">
        <f>IF(V$3=0,"",SUMIFS(INDEX(Inputs!$D$4:$AG$200,0,MATCH(V$2,Inputs!$D$2:$AG$2,0)),Inputs!$B$4:$B$200,$B4)/1000)</f>
        <v>1776.207</v>
      </c>
      <c r="W4" s="12">
        <f>IF(COUNT(S4:V4)=4,SUM(S4:V4),"")</f>
        <v>6848.219</v>
      </c>
      <c r="X4" s="11">
        <f>IF(X$3=0,"",SUMIFS(INDEX(Inputs!$D$4:$AG$200,0,MATCH(X$2,Inputs!$D$2:$AG$2,0)),Inputs!$B$4:$B$200,$B4)/1000)</f>
        <v>1805.233</v>
      </c>
      <c r="Y4" s="11">
        <f>IF(Y$3=0,"",SUMIFS(INDEX(Inputs!$D$4:$AG$200,0,MATCH(Y$2,Inputs!$D$2:$AG$2,0)),Inputs!$B$4:$B$200,$B4)/1000)</f>
        <v>1705.371</v>
      </c>
      <c r="Z4" s="11">
        <f>IF(Z$3=0,"",SUMIFS(INDEX(Inputs!$D$4:$AG$200,0,MATCH(Z$2,Inputs!$D$2:$AG$2,0)),Inputs!$B$4:$B$200,$B4)/1000)</f>
        <v>1804.171</v>
      </c>
      <c r="AA4" s="11">
        <f>IF(AA$3=0,"",SUMIFS(INDEX(Inputs!$D$4:$AG$200,0,MATCH(AA$2,Inputs!$D$2:$AG$2,0)),Inputs!$B$4:$B$200,$B4)/1000)</f>
        <v>1890.952</v>
      </c>
      <c r="AB4" s="12">
        <f>IF(COUNT(X4:AA4)=4,SUM(X4:AA4),"")</f>
        <v>7205.727</v>
      </c>
      <c r="AC4" s="11">
        <f>IF(AC$3=0,"",SUMIFS(INDEX(Inputs!$D$4:$AG$200,0,MATCH(AC$2,Inputs!$D$2:$AG$2,0)),Inputs!$B$4:$B$200,$B4)/1000)</f>
        <v>1946.354</v>
      </c>
      <c r="AD4" s="11">
        <f>IF(AD$3=0,"",SUMIFS(INDEX(Inputs!$D$4:$AG$200,0,MATCH(AD$2,Inputs!$D$2:$AG$2,0)),Inputs!$B$4:$B$200,$B4)/1000)</f>
        <v>1901.16</v>
      </c>
      <c r="AE4" s="11" t="str">
        <f>IF(AE$3=0,"",SUMIFS(INDEX(Inputs!$D$4:$AG$200,0,MATCH(AE$2,Inputs!$D$2:$AG$2,0)),Inputs!$B$4:$B$200,$B4)/1000)</f>
        <v/>
      </c>
      <c r="AF4" s="11" t="str">
        <f>IF(AF$3=0,"",SUMIFS(INDEX(Inputs!$D$4:$AG$200,0,MATCH(AF$2,Inputs!$D$2:$AG$2,0)),Inputs!$B$4:$B$200,$B4)/1000)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IF(D$3=0,"",SUMIFS(INDEX(Inputs!$D$4:$AG$200,0,MATCH(D$2,Inputs!$D$2:$AG$2,0)),Inputs!$B$4:$B$200,$B5)/1000)</f>
        <v>-386.401</v>
      </c>
      <c r="E5" s="11">
        <f>IF(E$3=0,"",SUMIFS(INDEX(Inputs!$D$4:$AG$200,0,MATCH(E$2,Inputs!$D$2:$AG$2,0)),Inputs!$B$4:$B$200,$B5)/1000)</f>
        <v>-401.756</v>
      </c>
      <c r="F5" s="11">
        <f>IF(F$3=0,"",SUMIFS(INDEX(Inputs!$D$4:$AG$200,0,MATCH(F$2,Inputs!$D$2:$AG$2,0)),Inputs!$B$4:$B$200,$B5)/1000)</f>
        <v>-416.656</v>
      </c>
      <c r="G5" s="11">
        <f>IF(G$3=0,"",SUMIFS(INDEX(Inputs!$D$4:$AG$200,0,MATCH(G$2,Inputs!$D$2:$AG$2,0)),Inputs!$B$4:$B$200,$B5)/1000)</f>
        <v>-451.458</v>
      </c>
      <c r="H5" s="12">
        <f>IF(COUNT(D5:G5)=4,SUM(D5:G5),"")</f>
        <v>-1656.271</v>
      </c>
      <c r="I5" s="11">
        <f>IF(I$3=0,"",SUMIFS(INDEX(Inputs!$D$4:$AG$200,0,MATCH(I$2,Inputs!$D$2:$AG$2,0)),Inputs!$B$4:$B$200,$B5)/1000)</f>
        <v>-484.454</v>
      </c>
      <c r="J5" s="11">
        <f>IF(J$3=0,"",SUMIFS(INDEX(Inputs!$D$4:$AG$200,0,MATCH(J$2,Inputs!$D$2:$AG$2,0)),Inputs!$B$4:$B$200,$B5)/1000)</f>
        <v>-544.421</v>
      </c>
      <c r="K5" s="11">
        <f>IF(K$3=0,"",SUMIFS(INDEX(Inputs!$D$4:$AG$200,0,MATCH(K$2,Inputs!$D$2:$AG$2,0)),Inputs!$B$4:$B$200,$B5)/1000)</f>
        <v>-461.493</v>
      </c>
      <c r="L5" s="11">
        <f>IF(L$3=0,"",SUMIFS(INDEX(Inputs!$D$4:$AG$200,0,MATCH(L$2,Inputs!$D$2:$AG$2,0)),Inputs!$B$4:$B$200,$B5)/1000)</f>
        <v>-459.567</v>
      </c>
      <c r="M5" s="12">
        <f>IF(COUNT(I5:L5)=4,SUM(I5:L5),"")</f>
        <v>-1949.935</v>
      </c>
      <c r="N5" s="11">
        <f>IF(N$3=0,"",SUMIFS(INDEX(Inputs!$D$4:$AG$200,0,MATCH(N$2,Inputs!$D$2:$AG$2,0)),Inputs!$B$4:$B$200,$B5)/1000)</f>
        <v>-472.325</v>
      </c>
      <c r="O5" s="11">
        <f>IF(O$3=0,"",SUMIFS(INDEX(Inputs!$D$4:$AG$200,0,MATCH(O$2,Inputs!$D$2:$AG$2,0)),Inputs!$B$4:$B$200,$B5)/1000)</f>
        <v>-499.362</v>
      </c>
      <c r="P5" s="11">
        <f>IF(P$3=0,"",SUMIFS(INDEX(Inputs!$D$4:$AG$200,0,MATCH(P$2,Inputs!$D$2:$AG$2,0)),Inputs!$B$4:$B$200,$B5)/1000)</f>
        <v>-521.453</v>
      </c>
      <c r="Q5" s="11">
        <f>IF(Q$3=0,"",SUMIFS(INDEX(Inputs!$D$4:$AG$200,0,MATCH(Q$2,Inputs!$D$2:$AG$2,0)),Inputs!$B$4:$B$200,$B5)/1000)</f>
        <v>-541.645</v>
      </c>
      <c r="R5" s="12">
        <f>IF(COUNT(N5:Q5)=4,SUM(N5:Q5),"")</f>
        <v>-2034.785</v>
      </c>
      <c r="S5" s="11">
        <f>IF(S$3=0,"",SUMIFS(INDEX(Inputs!$D$4:$AG$200,0,MATCH(S$2,Inputs!$D$2:$AG$2,0)),Inputs!$B$4:$B$200,$B5)/1000)</f>
        <v>-552.441</v>
      </c>
      <c r="T5" s="11">
        <f>IF(T$3=0,"",SUMIFS(INDEX(Inputs!$D$4:$AG$200,0,MATCH(T$2,Inputs!$D$2:$AG$2,0)),Inputs!$B$4:$B$200,$B5)/1000)</f>
        <v>-598.38</v>
      </c>
      <c r="U5" s="11">
        <f>IF(U$3=0,"",SUMIFS(INDEX(Inputs!$D$4:$AG$200,0,MATCH(U$2,Inputs!$D$2:$AG$2,0)),Inputs!$B$4:$B$200,$B5)/1000)</f>
        <v>-593.97</v>
      </c>
      <c r="V5" s="11">
        <f>IF(V$3=0,"",SUMIFS(INDEX(Inputs!$D$4:$AG$200,0,MATCH(V$2,Inputs!$D$2:$AG$2,0)),Inputs!$B$4:$B$200,$B5)/1000)</f>
        <v>-585.646</v>
      </c>
      <c r="W5" s="12">
        <f>IF(COUNT(S5:V5)=4,SUM(S5:V5),"")</f>
        <v>-2330.437</v>
      </c>
      <c r="X5" s="11">
        <f>IF(X$3=0,"",SUMIFS(INDEX(Inputs!$D$4:$AG$200,0,MATCH(X$2,Inputs!$D$2:$AG$2,0)),Inputs!$B$4:$B$200,$B5)/1000)</f>
        <v>-690.152</v>
      </c>
      <c r="Y5" s="11">
        <f>IF(Y$3=0,"",SUMIFS(INDEX(Inputs!$D$4:$AG$200,0,MATCH(Y$2,Inputs!$D$2:$AG$2,0)),Inputs!$B$4:$B$200,$B5)/1000)</f>
        <v>-569.434</v>
      </c>
      <c r="Z5" s="11">
        <f>IF(Z$3=0,"",SUMIFS(INDEX(Inputs!$D$4:$AG$200,0,MATCH(Z$2,Inputs!$D$2:$AG$2,0)),Inputs!$B$4:$B$200,$B5)/1000)</f>
        <v>-631.174</v>
      </c>
      <c r="AA5" s="11">
        <f>IF(AA$3=0,"",SUMIFS(INDEX(Inputs!$D$4:$AG$200,0,MATCH(AA$2,Inputs!$D$2:$AG$2,0)),Inputs!$B$4:$B$200,$B5)/1000)</f>
        <v>-633.772</v>
      </c>
      <c r="AB5" s="12">
        <f>IF(COUNT(X5:AA5)=4,SUM(X5:AA5),"")</f>
        <v>-2524.532</v>
      </c>
      <c r="AC5" s="11">
        <f>IF(AC$3=0,"",SUMIFS(INDEX(Inputs!$D$4:$AG$200,0,MATCH(AC$2,Inputs!$D$2:$AG$2,0)),Inputs!$B$4:$B$200,$B5)/1000)</f>
        <v>-617.062</v>
      </c>
      <c r="AD5" s="11">
        <f>IF(AD$3=0,"",SUMIFS(INDEX(Inputs!$D$4:$AG$200,0,MATCH(AD$2,Inputs!$D$2:$AG$2,0)),Inputs!$B$4:$B$200,$B5)/1000)</f>
        <v>-654.814</v>
      </c>
      <c r="AE5" s="11" t="str">
        <f>IF(AE$3=0,"",SUMIFS(INDEX(Inputs!$D$4:$AG$200,0,MATCH(AE$2,Inputs!$D$2:$AG$2,0)),Inputs!$B$4:$B$200,$B5)/1000)</f>
        <v/>
      </c>
      <c r="AF5" s="11" t="str">
        <f>IF(AF$3=0,"",SUMIFS(INDEX(Inputs!$D$4:$AG$200,0,MATCH(AF$2,Inputs!$D$2:$AG$2,0)),Inputs!$B$4:$B$200,$B5)/1000)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IF(D$3=0,"",SUMIFS(INDEX(Inputs!$D$4:$AG$200,0,MATCH(D$2,Inputs!$D$2:$AG$2,0)),Inputs!$B$4:$B$200,$B6)/1000)</f>
        <v>-316.892</v>
      </c>
      <c r="E6" s="11">
        <f>IF(E$3=0,"",SUMIFS(INDEX(Inputs!$D$4:$AG$200,0,MATCH(E$2,Inputs!$D$2:$AG$2,0)),Inputs!$B$4:$B$200,$B6)/1000)</f>
        <v>-288.97</v>
      </c>
      <c r="F6" s="11">
        <f>IF(F$3=0,"",SUMIFS(INDEX(Inputs!$D$4:$AG$200,0,MATCH(F$2,Inputs!$D$2:$AG$2,0)),Inputs!$B$4:$B$200,$B6)/1000)</f>
        <v>-311.461</v>
      </c>
      <c r="G6" s="11">
        <f>IF(G$3=0,"",SUMIFS(INDEX(Inputs!$D$4:$AG$200,0,MATCH(G$2,Inputs!$D$2:$AG$2,0)),Inputs!$B$4:$B$200,$B6)/1000)</f>
        <v>-354.646</v>
      </c>
      <c r="H6" s="12">
        <f>IF(COUNT(D6:G6)=4,SUM(D6:G6),"")</f>
        <v>-1271.969</v>
      </c>
      <c r="I6" s="11">
        <f>IF(I$3=0,"",SUMIFS(INDEX(Inputs!$D$4:$AG$200,0,MATCH(I$2,Inputs!$D$2:$AG$2,0)),Inputs!$B$4:$B$200,$B6)/1000)</f>
        <v>-325.918</v>
      </c>
      <c r="J6" s="11">
        <f>IF(J$3=0,"",SUMIFS(INDEX(Inputs!$D$4:$AG$200,0,MATCH(J$2,Inputs!$D$2:$AG$2,0)),Inputs!$B$4:$B$200,$B6)/1000)</f>
        <v>-371.038</v>
      </c>
      <c r="K6" s="11">
        <f>IF(K$3=0,"",SUMIFS(INDEX(Inputs!$D$4:$AG$200,0,MATCH(K$2,Inputs!$D$2:$AG$2,0)),Inputs!$B$4:$B$200,$B6)/1000)</f>
        <v>-397.216</v>
      </c>
      <c r="L6" s="11">
        <f>IF(L$3=0,"",SUMIFS(INDEX(Inputs!$D$4:$AG$200,0,MATCH(L$2,Inputs!$D$2:$AG$2,0)),Inputs!$B$4:$B$200,$B6)/1000)</f>
        <v>-404.275</v>
      </c>
      <c r="M6" s="12">
        <f>IF(COUNT(I6:L6)=4,SUM(I6:L6),"")</f>
        <v>-1498.447</v>
      </c>
      <c r="N6" s="11">
        <f>IF(N$3=0,"",SUMIFS(INDEX(Inputs!$D$4:$AG$200,0,MATCH(N$2,Inputs!$D$2:$AG$2,0)),Inputs!$B$4:$B$200,$B6)/1000)</f>
        <v>-317.331</v>
      </c>
      <c r="O6" s="11">
        <f>IF(O$3=0,"",SUMIFS(INDEX(Inputs!$D$4:$AG$200,0,MATCH(O$2,Inputs!$D$2:$AG$2,0)),Inputs!$B$4:$B$200,$B6)/1000)</f>
        <v>-373.21</v>
      </c>
      <c r="P6" s="11">
        <f>IF(P$3=0,"",SUMIFS(INDEX(Inputs!$D$4:$AG$200,0,MATCH(P$2,Inputs!$D$2:$AG$2,0)),Inputs!$B$4:$B$200,$B6)/1000)</f>
        <v>-306.247</v>
      </c>
      <c r="Q6" s="11">
        <f>IF(Q$3=0,"",SUMIFS(INDEX(Inputs!$D$4:$AG$200,0,MATCH(Q$2,Inputs!$D$2:$AG$2,0)),Inputs!$B$4:$B$200,$B6)/1000)</f>
        <v>-428.502</v>
      </c>
      <c r="R6" s="12">
        <f>IF(COUNT(N6:Q6)=4,SUM(N6:Q6),"")</f>
        <v>-1425.29</v>
      </c>
      <c r="S6" s="11">
        <f>IF(S$3=0,"",SUMIFS(INDEX(Inputs!$D$4:$AG$200,0,MATCH(S$2,Inputs!$D$2:$AG$2,0)),Inputs!$B$4:$B$200,$B6)/1000)</f>
        <v>-371.405</v>
      </c>
      <c r="T6" s="11">
        <f>IF(T$3=0,"",SUMIFS(INDEX(Inputs!$D$4:$AG$200,0,MATCH(T$2,Inputs!$D$2:$AG$2,0)),Inputs!$B$4:$B$200,$B6)/1000)</f>
        <v>-421.755</v>
      </c>
      <c r="U6" s="11">
        <f>IF(U$3=0,"",SUMIFS(INDEX(Inputs!$D$4:$AG$200,0,MATCH(U$2,Inputs!$D$2:$AG$2,0)),Inputs!$B$4:$B$200,$B6)/1000)</f>
        <v>-357.342</v>
      </c>
      <c r="V6" s="11">
        <f>IF(V$3=0,"",SUMIFS(INDEX(Inputs!$D$4:$AG$200,0,MATCH(V$2,Inputs!$D$2:$AG$2,0)),Inputs!$B$4:$B$200,$B6)/1000)</f>
        <v>-430.718</v>
      </c>
      <c r="W6" s="12">
        <f>IF(COUNT(S6:V6)=4,SUM(S6:V6),"")</f>
        <v>-1581.22</v>
      </c>
      <c r="X6" s="11">
        <f>IF(X$3=0,"",SUMIFS(INDEX(Inputs!$D$4:$AG$200,0,MATCH(X$2,Inputs!$D$2:$AG$2,0)),Inputs!$B$4:$B$200,$B6)/1000)</f>
        <v>0.85</v>
      </c>
      <c r="Y6" s="11">
        <f>IF(Y$3=0,"",SUMIFS(INDEX(Inputs!$D$4:$AG$200,0,MATCH(Y$2,Inputs!$D$2:$AG$2,0)),Inputs!$B$4:$B$200,$B6)/1000)</f>
        <v>-599.993</v>
      </c>
      <c r="Z6" s="11">
        <f>IF(Z$3=0,"",SUMIFS(INDEX(Inputs!$D$4:$AG$200,0,MATCH(Z$2,Inputs!$D$2:$AG$2,0)),Inputs!$B$4:$B$200,$B6)/1000)</f>
        <v>-617.362</v>
      </c>
      <c r="AA6" s="11">
        <f>IF(AA$3=0,"",SUMIFS(INDEX(Inputs!$D$4:$AG$200,0,MATCH(AA$2,Inputs!$D$2:$AG$2,0)),Inputs!$B$4:$B$200,$B6)/1000)</f>
        <v>-500.933</v>
      </c>
      <c r="AB6" s="12">
        <f>IF(COUNT(X6:AA6)=4,SUM(X6:AA6),"")</f>
        <v>-1717.438</v>
      </c>
      <c r="AC6" s="11">
        <f>IF(AC$3=0,"",SUMIFS(INDEX(Inputs!$D$4:$AG$200,0,MATCH(AC$2,Inputs!$D$2:$AG$2,0)),Inputs!$B$4:$B$200,$B6)/1000)</f>
        <v>-485.851</v>
      </c>
      <c r="AD6" s="11">
        <f>IF(AD$3=0,"",SUMIFS(INDEX(Inputs!$D$4:$AG$200,0,MATCH(AD$2,Inputs!$D$2:$AG$2,0)),Inputs!$B$4:$B$200,$B6)/1000)</f>
        <v>-706.084</v>
      </c>
      <c r="AE6" s="11" t="str">
        <f>IF(AE$3=0,"",SUMIFS(INDEX(Inputs!$D$4:$AG$200,0,MATCH(AE$2,Inputs!$D$2:$AG$2,0)),Inputs!$B$4:$B$200,$B6)/1000)</f>
        <v/>
      </c>
      <c r="AF6" s="11" t="str">
        <f>IF(AF$3=0,"",SUMIFS(INDEX(Inputs!$D$4:$AG$200,0,MATCH(AF$2,Inputs!$D$2:$AG$2,0)),Inputs!$B$4:$B$200,$B6)/1000)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IF(D$3=0,"",SUMIFS(INDEX(Inputs!$D$4:$AG$200,0,MATCH(D$2,Inputs!$D$2:$AG$2,0)),Inputs!$B$4:$B$200,$B7)/1000)</f>
        <v>-94.376</v>
      </c>
      <c r="E7" s="11">
        <f>IF(E$3=0,"",SUMIFS(INDEX(Inputs!$D$4:$AG$200,0,MATCH(E$2,Inputs!$D$2:$AG$2,0)),Inputs!$B$4:$B$200,$B7)/1000)</f>
        <v>-97.622</v>
      </c>
      <c r="F7" s="11">
        <f>IF(F$3=0,"",SUMIFS(INDEX(Inputs!$D$4:$AG$200,0,MATCH(F$2,Inputs!$D$2:$AG$2,0)),Inputs!$B$4:$B$200,$B7)/1000)</f>
        <v>-100.824</v>
      </c>
      <c r="G7" s="11">
        <f>IF(G$3=0,"",SUMIFS(INDEX(Inputs!$D$4:$AG$200,0,MATCH(G$2,Inputs!$D$2:$AG$2,0)),Inputs!$B$4:$B$200,$B7)/1000)</f>
        <v>-101.644</v>
      </c>
      <c r="H7" s="12">
        <f>IF(COUNT(D7:G7)=4,SUM(D7:G7),"")</f>
        <v>-394.466</v>
      </c>
      <c r="I7" s="11">
        <f>IF(I$3=0,"",SUMIFS(INDEX(Inputs!$D$4:$AG$200,0,MATCH(I$2,Inputs!$D$2:$AG$2,0)),Inputs!$B$4:$B$200,$B7)/1000)</f>
        <v>-105.38</v>
      </c>
      <c r="J7" s="11">
        <f>IF(J$3=0,"",SUMIFS(INDEX(Inputs!$D$4:$AG$200,0,MATCH(J$2,Inputs!$D$2:$AG$2,0)),Inputs!$B$4:$B$200,$B7)/1000)</f>
        <v>-106.327</v>
      </c>
      <c r="K7" s="11">
        <f>IF(K$3=0,"",SUMIFS(INDEX(Inputs!$D$4:$AG$200,0,MATCH(K$2,Inputs!$D$2:$AG$2,0)),Inputs!$B$4:$B$200,$B7)/1000)</f>
        <v>-107.695</v>
      </c>
      <c r="L7" s="11">
        <f>IF(L$3=0,"",SUMIFS(INDEX(Inputs!$D$4:$AG$200,0,MATCH(L$2,Inputs!$D$2:$AG$2,0)),Inputs!$B$4:$B$200,$B7)/1000)</f>
        <v>-114.018</v>
      </c>
      <c r="M7" s="12">
        <f>IF(COUNT(I7:L7)=4,SUM(I7:L7),"")</f>
        <v>-433.42</v>
      </c>
      <c r="N7" s="11">
        <f>IF(N$3=0,"",SUMIFS(INDEX(Inputs!$D$4:$AG$200,0,MATCH(N$2,Inputs!$D$2:$AG$2,0)),Inputs!$B$4:$B$200,$B7)/1000)</f>
        <v>-116.284</v>
      </c>
      <c r="O7" s="11">
        <f>IF(O$3=0,"",SUMIFS(INDEX(Inputs!$D$4:$AG$200,0,MATCH(O$2,Inputs!$D$2:$AG$2,0)),Inputs!$B$4:$B$200,$B7)/1000)</f>
        <v>-117.776</v>
      </c>
      <c r="P7" s="11">
        <f>IF(P$3=0,"",SUMIFS(INDEX(Inputs!$D$4:$AG$200,0,MATCH(P$2,Inputs!$D$2:$AG$2,0)),Inputs!$B$4:$B$200,$B7)/1000)</f>
        <v>-121.633</v>
      </c>
      <c r="Q7" s="11">
        <f>IF(Q$3=0,"",SUMIFS(INDEX(Inputs!$D$4:$AG$200,0,MATCH(Q$2,Inputs!$D$2:$AG$2,0)),Inputs!$B$4:$B$200,$B7)/1000)</f>
        <v>-124.415</v>
      </c>
      <c r="R7" s="12">
        <f>IF(COUNT(N7:Q7)=4,SUM(N7:Q7),"")</f>
        <v>-480.108</v>
      </c>
      <c r="S7" s="11">
        <f>IF(S$3=0,"",SUMIFS(INDEX(Inputs!$D$4:$AG$200,0,MATCH(S$2,Inputs!$D$2:$AG$2,0)),Inputs!$B$4:$B$200,$B7)/1000)</f>
        <v>-133.389</v>
      </c>
      <c r="T7" s="11">
        <f>IF(T$3=0,"",SUMIFS(INDEX(Inputs!$D$4:$AG$200,0,MATCH(T$2,Inputs!$D$2:$AG$2,0)),Inputs!$B$4:$B$200,$B7)/1000)</f>
        <v>-137.243</v>
      </c>
      <c r="U7" s="11">
        <f>IF(U$3=0,"",SUMIFS(INDEX(Inputs!$D$4:$AG$200,0,MATCH(U$2,Inputs!$D$2:$AG$2,0)),Inputs!$B$4:$B$200,$B7)/1000)</f>
        <v>-141.936</v>
      </c>
      <c r="V7" s="11">
        <f>IF(V$3=0,"",SUMIFS(INDEX(Inputs!$D$4:$AG$200,0,MATCH(V$2,Inputs!$D$2:$AG$2,0)),Inputs!$B$4:$B$200,$B7)/1000)</f>
        <v>-147.381</v>
      </c>
      <c r="W7" s="12">
        <f>IF(COUNT(S7:V7)=4,SUM(S7:V7),"")</f>
        <v>-559.949</v>
      </c>
      <c r="X7" s="11">
        <f>IF(X$3=0,"",SUMIFS(INDEX(Inputs!$D$4:$AG$200,0,MATCH(X$2,Inputs!$D$2:$AG$2,0)),Inputs!$B$4:$B$200,$B7)/1000)</f>
        <v>-151.334</v>
      </c>
      <c r="Y7" s="11">
        <f>IF(Y$3=0,"",SUMIFS(INDEX(Inputs!$D$4:$AG$200,0,MATCH(Y$2,Inputs!$D$2:$AG$2,0)),Inputs!$B$4:$B$200,$B7)/1000)</f>
        <v>-153.921</v>
      </c>
      <c r="Z7" s="11">
        <f>IF(Z$3=0,"",SUMIFS(INDEX(Inputs!$D$4:$AG$200,0,MATCH(Z$2,Inputs!$D$2:$AG$2,0)),Inputs!$B$4:$B$200,$B7)/1000)</f>
        <v>-154.973</v>
      </c>
      <c r="AA7" s="11">
        <f>IF(AA$3=0,"",SUMIFS(INDEX(Inputs!$D$4:$AG$200,0,MATCH(AA$2,Inputs!$D$2:$AG$2,0)),Inputs!$B$4:$B$200,$B7)/1000)</f>
        <v>-166.023</v>
      </c>
      <c r="AB7" s="12">
        <f>IF(COUNT(X7:AA7)=4,SUM(X7:AA7),"")</f>
        <v>-626.251</v>
      </c>
      <c r="AC7" s="11">
        <f>IF(AC$3=0,"",SUMIFS(INDEX(Inputs!$D$4:$AG$200,0,MATCH(AC$2,Inputs!$D$2:$AG$2,0)),Inputs!$B$4:$B$200,$B7)/1000)</f>
        <v>-172.399</v>
      </c>
      <c r="AD7" s="11">
        <f>IF(AD$3=0,"",SUMIFS(INDEX(Inputs!$D$4:$AG$200,0,MATCH(AD$2,Inputs!$D$2:$AG$2,0)),Inputs!$B$4:$B$200,$B7)/1000)</f>
        <v>-174.854</v>
      </c>
      <c r="AE7" s="11" t="str">
        <f>IF(AE$3=0,"",SUMIFS(INDEX(Inputs!$D$4:$AG$200,0,MATCH(AE$2,Inputs!$D$2:$AG$2,0)),Inputs!$B$4:$B$200,$B7)/1000)</f>
        <v/>
      </c>
      <c r="AF7" s="11" t="str">
        <f>IF(AF$3=0,"",SUMIFS(INDEX(Inputs!$D$4:$AG$200,0,MATCH(AF$2,Inputs!$D$2:$AG$2,0)),Inputs!$B$4:$B$200,$B7)/1000)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IF(D$3=0,"",SUMIFS(INDEX(Inputs!$D$4:$AG$200,0,MATCH(D$2,Inputs!$D$2:$AG$2,0)),Inputs!$B$4:$B$200,$B8)/1000)</f>
        <v>-70.944</v>
      </c>
      <c r="E8" s="11">
        <f>IF(E$3=0,"",SUMIFS(INDEX(Inputs!$D$4:$AG$200,0,MATCH(E$2,Inputs!$D$2:$AG$2,0)),Inputs!$B$4:$B$200,$B8)/1000)</f>
        <v>-85.035</v>
      </c>
      <c r="F8" s="11">
        <f>IF(F$3=0,"",SUMIFS(INDEX(Inputs!$D$4:$AG$200,0,MATCH(F$2,Inputs!$D$2:$AG$2,0)),Inputs!$B$4:$B$200,$B8)/1000)</f>
        <v>-118.819</v>
      </c>
      <c r="G8" s="11">
        <f>IF(G$3=0,"",SUMIFS(INDEX(Inputs!$D$4:$AG$200,0,MATCH(G$2,Inputs!$D$2:$AG$2,0)),Inputs!$B$4:$B$200,$B8)/1000)</f>
        <v>-105.665</v>
      </c>
      <c r="H8" s="12">
        <f>IF(COUNT(D8:G8)=4,SUM(D8:G8),"")</f>
        <v>-380.463</v>
      </c>
      <c r="I8" s="11">
        <f>IF(I$3=0,"",SUMIFS(INDEX(Inputs!$D$4:$AG$200,0,MATCH(I$2,Inputs!$D$2:$AG$2,0)),Inputs!$B$4:$B$200,$B8)/1000)</f>
        <v>-114.215</v>
      </c>
      <c r="J8" s="11">
        <f>IF(J$3=0,"",SUMIFS(INDEX(Inputs!$D$4:$AG$200,0,MATCH(J$2,Inputs!$D$2:$AG$2,0)),Inputs!$B$4:$B$200,$B8)/1000)</f>
        <v>-140.267</v>
      </c>
      <c r="K8" s="11">
        <f>IF(K$3=0,"",SUMIFS(INDEX(Inputs!$D$4:$AG$200,0,MATCH(K$2,Inputs!$D$2:$AG$2,0)),Inputs!$B$4:$B$200,$B8)/1000)</f>
        <v>-124.866</v>
      </c>
      <c r="L8" s="11">
        <f>IF(L$3=0,"",SUMIFS(INDEX(Inputs!$D$4:$AG$200,0,MATCH(L$2,Inputs!$D$2:$AG$2,0)),Inputs!$B$4:$B$200,$B8)/1000)</f>
        <v>-128.541</v>
      </c>
      <c r="M8" s="12">
        <f>IF(COUNT(I8:L8)=4,SUM(I8:L8),"")</f>
        <v>-507.889</v>
      </c>
      <c r="N8" s="11">
        <f>IF(N$3=0,"",SUMIFS(INDEX(Inputs!$D$4:$AG$200,0,MATCH(N$2,Inputs!$D$2:$AG$2,0)),Inputs!$B$4:$B$200,$B8)/1000)</f>
        <v>-138.902</v>
      </c>
      <c r="O8" s="11">
        <f>IF(O$3=0,"",SUMIFS(INDEX(Inputs!$D$4:$AG$200,0,MATCH(O$2,Inputs!$D$2:$AG$2,0)),Inputs!$B$4:$B$200,$B8)/1000)</f>
        <v>-127.204</v>
      </c>
      <c r="P8" s="11">
        <f>IF(P$3=0,"",SUMIFS(INDEX(Inputs!$D$4:$AG$200,0,MATCH(P$2,Inputs!$D$2:$AG$2,0)),Inputs!$B$4:$B$200,$B8)/1000)</f>
        <v>-136.009</v>
      </c>
      <c r="Q8" s="11">
        <f>IF(Q$3=0,"",SUMIFS(INDEX(Inputs!$D$4:$AG$200,0,MATCH(Q$2,Inputs!$D$2:$AG$2,0)),Inputs!$B$4:$B$200,$B8)/1000)</f>
        <v>-216.556</v>
      </c>
      <c r="R8" s="12">
        <f>IF(COUNT(N8:Q8)=4,SUM(N8:Q8),"")</f>
        <v>-618.671</v>
      </c>
      <c r="S8" s="11">
        <f>IF(S$3=0,"",SUMIFS(INDEX(Inputs!$D$4:$AG$200,0,MATCH(S$2,Inputs!$D$2:$AG$2,0)),Inputs!$B$4:$B$200,$B8)/1000)</f>
        <v>-157.202</v>
      </c>
      <c r="T8" s="11">
        <f>IF(T$3=0,"",SUMIFS(INDEX(Inputs!$D$4:$AG$200,0,MATCH(T$2,Inputs!$D$2:$AG$2,0)),Inputs!$B$4:$B$200,$B8)/1000)</f>
        <v>-157.906</v>
      </c>
      <c r="U8" s="11">
        <f>IF(U$3=0,"",SUMIFS(INDEX(Inputs!$D$4:$AG$200,0,MATCH(U$2,Inputs!$D$2:$AG$2,0)),Inputs!$B$4:$B$200,$B8)/1000)</f>
        <v>-149.704</v>
      </c>
      <c r="V8" s="11">
        <f>IF(V$3=0,"",SUMIFS(INDEX(Inputs!$D$4:$AG$200,0,MATCH(V$2,Inputs!$D$2:$AG$2,0)),Inputs!$B$4:$B$200,$B8)/1000)</f>
        <v>-232.378</v>
      </c>
      <c r="W8" s="12">
        <f>IF(COUNT(S8:V8)=4,SUM(S8:V8),"")</f>
        <v>-697.19</v>
      </c>
      <c r="X8" s="11">
        <f>IF(X$3=0,"",SUMIFS(INDEX(Inputs!$D$4:$AG$200,0,MATCH(X$2,Inputs!$D$2:$AG$2,0)),Inputs!$B$4:$B$200,$B8)/1000)</f>
        <v>-195.667</v>
      </c>
      <c r="Y8" s="11">
        <f>IF(Y$3=0,"",SUMIFS(INDEX(Inputs!$D$4:$AG$200,0,MATCH(Y$2,Inputs!$D$2:$AG$2,0)),Inputs!$B$4:$B$200,$B8)/1000)</f>
        <v>-381.533</v>
      </c>
      <c r="Z8" s="11">
        <f>IF(Z$3=0,"",SUMIFS(INDEX(Inputs!$D$4:$AG$200,0,MATCH(Z$2,Inputs!$D$2:$AG$2,0)),Inputs!$B$4:$B$200,$B8)/1000)</f>
        <v>-252.789</v>
      </c>
      <c r="AA8" s="11">
        <f>IF(AA$3=0,"",SUMIFS(INDEX(Inputs!$D$4:$AG$200,0,MATCH(AA$2,Inputs!$D$2:$AG$2,0)),Inputs!$B$4:$B$200,$B8)/1000)</f>
        <v>-236.944</v>
      </c>
      <c r="AB8" s="12">
        <f>IF(COUNT(X8:AA8)=4,SUM(X8:AA8),"")</f>
        <v>-1066.933</v>
      </c>
      <c r="AC8" s="11">
        <f>IF(AC$3=0,"",SUMIFS(INDEX(Inputs!$D$4:$AG$200,0,MATCH(AC$2,Inputs!$D$2:$AG$2,0)),Inputs!$B$4:$B$200,$B8)/1000)</f>
        <v>-233.926</v>
      </c>
      <c r="AD8" s="11">
        <f>IF(AD$3=0,"",SUMIFS(INDEX(Inputs!$D$4:$AG$200,0,MATCH(AD$2,Inputs!$D$2:$AG$2,0)),Inputs!$B$4:$B$200,$B8)/1000)</f>
        <v>-228.59</v>
      </c>
      <c r="AE8" s="11" t="str">
        <f>IF(AE$3=0,"",SUMIFS(INDEX(Inputs!$D$4:$AG$200,0,MATCH(AE$2,Inputs!$D$2:$AG$2,0)),Inputs!$B$4:$B$200,$B8)/1000)</f>
        <v/>
      </c>
      <c r="AF8" s="11" t="str">
        <f>IF(AF$3=0,"",SUMIFS(INDEX(Inputs!$D$4:$AG$200,0,MATCH(AF$2,Inputs!$D$2:$AG$2,0)),Inputs!$B$4:$B$200,$B8)/1000)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IF(D$3=0,"",SUMIFS(INDEX(Inputs!$D$4:$AG$200,0,MATCH(D$2,Inputs!$D$2:$AG$2,0)),Inputs!$B$4:$B$200,$B9)/1000)</f>
        <v>15.6</v>
      </c>
      <c r="E9" s="11">
        <f>IF(E$3=0,"",SUMIFS(INDEX(Inputs!$D$4:$AG$200,0,MATCH(E$2,Inputs!$D$2:$AG$2,0)),Inputs!$B$4:$B$200,$B9)/1000)</f>
        <v>25.06</v>
      </c>
      <c r="F9" s="11">
        <f>IF(F$3=0,"",SUMIFS(INDEX(Inputs!$D$4:$AG$200,0,MATCH(F$2,Inputs!$D$2:$AG$2,0)),Inputs!$B$4:$B$200,$B9)/1000)</f>
        <v>25.559</v>
      </c>
      <c r="G9" s="11">
        <f>IF(G$3=0,"",SUMIFS(INDEX(Inputs!$D$4:$AG$200,0,MATCH(G$2,Inputs!$D$2:$AG$2,0)),Inputs!$B$4:$B$200,$B9)/1000)</f>
        <v>39.062</v>
      </c>
      <c r="H9" s="12">
        <f>IF(COUNT(D9:G9)=4,SUM(D9:G9),"")</f>
        <v>105.281</v>
      </c>
      <c r="I9" s="11">
        <f>IF(I$3=0,"",SUMIFS(INDEX(Inputs!$D$4:$AG$200,0,MATCH(I$2,Inputs!$D$2:$AG$2,0)),Inputs!$B$4:$B$200,$B9)/1000)</f>
        <v>58.886</v>
      </c>
      <c r="J9" s="11">
        <f>IF(J$3=0,"",SUMIFS(INDEX(Inputs!$D$4:$AG$200,0,MATCH(J$2,Inputs!$D$2:$AG$2,0)),Inputs!$B$4:$B$200,$B9)/1000)</f>
        <v>76.616</v>
      </c>
      <c r="K9" s="11">
        <f>IF(K$3=0,"",SUMIFS(INDEX(Inputs!$D$4:$AG$200,0,MATCH(K$2,Inputs!$D$2:$AG$2,0)),Inputs!$B$4:$B$200,$B9)/1000)</f>
        <v>67.998</v>
      </c>
      <c r="L9" s="11">
        <f>IF(L$3=0,"",SUMIFS(INDEX(Inputs!$D$4:$AG$200,0,MATCH(L$2,Inputs!$D$2:$AG$2,0)),Inputs!$B$4:$B$200,$B9)/1000)</f>
        <v>61.391</v>
      </c>
      <c r="M9" s="12">
        <f>IF(COUNT(I9:L9)=4,SUM(I9:L9),"")</f>
        <v>264.891</v>
      </c>
      <c r="N9" s="11">
        <f>IF(N$3=0,"",SUMIFS(INDEX(Inputs!$D$4:$AG$200,0,MATCH(N$2,Inputs!$D$2:$AG$2,0)),Inputs!$B$4:$B$200,$B9)/1000)</f>
        <v>68.358</v>
      </c>
      <c r="O9" s="11">
        <f>IF(O$3=0,"",SUMIFS(INDEX(Inputs!$D$4:$AG$200,0,MATCH(O$2,Inputs!$D$2:$AG$2,0)),Inputs!$B$4:$B$200,$B9)/1000)</f>
        <v>81.409</v>
      </c>
      <c r="P9" s="11">
        <f>IF(P$3=0,"",SUMIFS(INDEX(Inputs!$D$4:$AG$200,0,MATCH(P$2,Inputs!$D$2:$AG$2,0)),Inputs!$B$4:$B$200,$B9)/1000)</f>
        <v>70.977</v>
      </c>
      <c r="Q9" s="11">
        <f>IF(Q$3=0,"",SUMIFS(INDEX(Inputs!$D$4:$AG$200,0,MATCH(Q$2,Inputs!$D$2:$AG$2,0)),Inputs!$B$4:$B$200,$B9)/1000)</f>
        <v>74.958</v>
      </c>
      <c r="R9" s="12">
        <f>IF(COUNT(N9:Q9)=4,SUM(N9:Q9),"")</f>
        <v>295.702</v>
      </c>
      <c r="S9" s="11">
        <f>IF(S$3=0,"",SUMIFS(INDEX(Inputs!$D$4:$AG$200,0,MATCH(S$2,Inputs!$D$2:$AG$2,0)),Inputs!$B$4:$B$200,$B9)/1000)</f>
        <v>82.674</v>
      </c>
      <c r="T9" s="11">
        <f>IF(T$3=0,"",SUMIFS(INDEX(Inputs!$D$4:$AG$200,0,MATCH(T$2,Inputs!$D$2:$AG$2,0)),Inputs!$B$4:$B$200,$B9)/1000)</f>
        <v>104.81</v>
      </c>
      <c r="U9" s="11">
        <f>IF(U$3=0,"",SUMIFS(INDEX(Inputs!$D$4:$AG$200,0,MATCH(U$2,Inputs!$D$2:$AG$2,0)),Inputs!$B$4:$B$200,$B9)/1000)</f>
        <v>100.879</v>
      </c>
      <c r="V9" s="11">
        <f>IF(V$3=0,"",SUMIFS(INDEX(Inputs!$D$4:$AG$200,0,MATCH(V$2,Inputs!$D$2:$AG$2,0)),Inputs!$B$4:$B$200,$B9)/1000)</f>
        <v>114.376</v>
      </c>
      <c r="W9" s="12">
        <f>IF(COUNT(S9:V9)=4,SUM(S9:V9),"")</f>
        <v>402.739</v>
      </c>
      <c r="X9" s="11">
        <f>IF(X$3=0,"",SUMIFS(INDEX(Inputs!$D$4:$AG$200,0,MATCH(X$2,Inputs!$D$2:$AG$2,0)),Inputs!$B$4:$B$200,$B9)/1000)</f>
        <v>380.42</v>
      </c>
      <c r="Y9" s="11">
        <f>IF(Y$3=0,"",SUMIFS(INDEX(Inputs!$D$4:$AG$200,0,MATCH(Y$2,Inputs!$D$2:$AG$2,0)),Inputs!$B$4:$B$200,$B9)/1000)</f>
        <v>200.849</v>
      </c>
      <c r="Z9" s="11">
        <f>IF(Z$3=0,"",SUMIFS(INDEX(Inputs!$D$4:$AG$200,0,MATCH(Z$2,Inputs!$D$2:$AG$2,0)),Inputs!$B$4:$B$200,$B9)/1000)</f>
        <v>301.627</v>
      </c>
      <c r="AA9" s="11">
        <f>IF(AA$3=0,"",SUMIFS(INDEX(Inputs!$D$4:$AG$200,0,MATCH(AA$2,Inputs!$D$2:$AG$2,0)),Inputs!$B$4:$B$200,$B9)/1000)</f>
        <v>149.186</v>
      </c>
      <c r="AB9" s="12">
        <f>IF(COUNT(X9:AA9)=4,SUM(X9:AA9),"")</f>
        <v>1032.082</v>
      </c>
      <c r="AC9" s="11">
        <f>IF(AC$3=0,"",SUMIFS(INDEX(Inputs!$D$4:$AG$200,0,MATCH(AC$2,Inputs!$D$2:$AG$2,0)),Inputs!$B$4:$B$200,$B9)/1000)</f>
        <v>161.463</v>
      </c>
      <c r="AD9" s="11">
        <f>IF(AD$3=0,"",SUMIFS(INDEX(Inputs!$D$4:$AG$200,0,MATCH(AD$2,Inputs!$D$2:$AG$2,0)),Inputs!$B$4:$B$200,$B9)/1000)</f>
        <v>-420.77</v>
      </c>
      <c r="AE9" s="11" t="str">
        <f>IF(AE$3=0,"",SUMIFS(INDEX(Inputs!$D$4:$AG$200,0,MATCH(AE$2,Inputs!$D$2:$AG$2,0)),Inputs!$B$4:$B$200,$B9)/1000)</f>
        <v/>
      </c>
      <c r="AF9" s="11" t="str">
        <f>IF(AF$3=0,"",SUMIFS(INDEX(Inputs!$D$4:$AG$200,0,MATCH(AF$2,Inputs!$D$2:$AG$2,0)),Inputs!$B$4:$B$200,$B9)/1000)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IF(D$3=0,"",SUMIFS(INDEX(Inputs!$D$4:$AG$200,0,MATCH(D$2,Inputs!$D$2:$AG$2,0)),Inputs!$B$4:$B$200,$B10)/1000)</f>
        <v>-126.528</v>
      </c>
      <c r="E10" s="11">
        <f>IF(E$3=0,"",SUMIFS(INDEX(Inputs!$D$4:$AG$200,0,MATCH(E$2,Inputs!$D$2:$AG$2,0)),Inputs!$B$4:$B$200,$B10)/1000)</f>
        <v>-92.449</v>
      </c>
      <c r="F10" s="11">
        <f>IF(F$3=0,"",SUMIFS(INDEX(Inputs!$D$4:$AG$200,0,MATCH(F$2,Inputs!$D$2:$AG$2,0)),Inputs!$B$4:$B$200,$B10)/1000)</f>
        <v>-130.725</v>
      </c>
      <c r="G10" s="11">
        <f>IF(G$3=0,"",SUMIFS(INDEX(Inputs!$D$4:$AG$200,0,MATCH(G$2,Inputs!$D$2:$AG$2,0)),Inputs!$B$4:$B$200,$B10)/1000)</f>
        <v>-76.233</v>
      </c>
      <c r="H10" s="12">
        <f>IF(COUNT(D10:G10)=4,SUM(D10:G10),"")</f>
        <v>-425.935</v>
      </c>
      <c r="I10" s="11">
        <f>IF(I$3=0,"",SUMIFS(INDEX(Inputs!$D$4:$AG$200,0,MATCH(I$2,Inputs!$D$2:$AG$2,0)),Inputs!$B$4:$B$200,$B10)/1000)</f>
        <v>-143.066</v>
      </c>
      <c r="J10" s="11">
        <f>IF(J$3=0,"",SUMIFS(INDEX(Inputs!$D$4:$AG$200,0,MATCH(J$2,Inputs!$D$2:$AG$2,0)),Inputs!$B$4:$B$200,$B10)/1000)</f>
        <v>-39.122</v>
      </c>
      <c r="K10" s="11">
        <f>IF(K$3=0,"",SUMIFS(INDEX(Inputs!$D$4:$AG$200,0,MATCH(K$2,Inputs!$D$2:$AG$2,0)),Inputs!$B$4:$B$200,$B10)/1000)</f>
        <v>-133.639</v>
      </c>
      <c r="L10" s="11">
        <f>IF(L$3=0,"",SUMIFS(INDEX(Inputs!$D$4:$AG$200,0,MATCH(L$2,Inputs!$D$2:$AG$2,0)),Inputs!$B$4:$B$200,$B10)/1000)</f>
        <v>-78.182</v>
      </c>
      <c r="M10" s="12">
        <f>IF(COUNT(I10:L10)=4,SUM(I10:L10),"")</f>
        <v>-394.009</v>
      </c>
      <c r="N10" s="11">
        <f>IF(N$3=0,"",SUMIFS(INDEX(Inputs!$D$4:$AG$200,0,MATCH(N$2,Inputs!$D$2:$AG$2,0)),Inputs!$B$4:$B$200,$B10)/1000)</f>
        <v>-157.488</v>
      </c>
      <c r="O10" s="11">
        <f>IF(O$3=0,"",SUMIFS(INDEX(Inputs!$D$4:$AG$200,0,MATCH(O$2,Inputs!$D$2:$AG$2,0)),Inputs!$B$4:$B$200,$B10)/1000)</f>
        <v>-77.607</v>
      </c>
      <c r="P10" s="11">
        <f>IF(P$3=0,"",SUMIFS(INDEX(Inputs!$D$4:$AG$200,0,MATCH(P$2,Inputs!$D$2:$AG$2,0)),Inputs!$B$4:$B$200,$B10)/1000)</f>
        <v>-194.19</v>
      </c>
      <c r="Q10" s="11">
        <f>IF(Q$3=0,"",SUMIFS(INDEX(Inputs!$D$4:$AG$200,0,MATCH(Q$2,Inputs!$D$2:$AG$2,0)),Inputs!$B$4:$B$200,$B10)/1000)</f>
        <v>-91.673</v>
      </c>
      <c r="R10" s="12">
        <f>IF(COUNT(N10:Q10)=4,SUM(N10:Q10),"")</f>
        <v>-520.958</v>
      </c>
      <c r="S10" s="11">
        <f>IF(S$3=0,"",SUMIFS(INDEX(Inputs!$D$4:$AG$200,0,MATCH(S$2,Inputs!$D$2:$AG$2,0)),Inputs!$B$4:$B$200,$B10)/1000)</f>
        <v>-186.897</v>
      </c>
      <c r="T10" s="11">
        <f>IF(T$3=0,"",SUMIFS(INDEX(Inputs!$D$4:$AG$200,0,MATCH(T$2,Inputs!$D$2:$AG$2,0)),Inputs!$B$4:$B$200,$B10)/1000)</f>
        <v>-78.182</v>
      </c>
      <c r="U10" s="11">
        <f>IF(U$3=0,"",SUMIFS(INDEX(Inputs!$D$4:$AG$200,0,MATCH(U$2,Inputs!$D$2:$AG$2,0)),Inputs!$B$4:$B$200,$B10)/1000)</f>
        <v>-190.146</v>
      </c>
      <c r="V10" s="11">
        <f>IF(V$3=0,"",SUMIFS(INDEX(Inputs!$D$4:$AG$200,0,MATCH(V$2,Inputs!$D$2:$AG$2,0)),Inputs!$B$4:$B$200,$B10)/1000)</f>
        <v>-81.59</v>
      </c>
      <c r="W10" s="12">
        <f>IF(COUNT(S10:V10)=4,SUM(S10:V10),"")</f>
        <v>-536.815</v>
      </c>
      <c r="X10" s="11">
        <f>IF(X$3=0,"",SUMIFS(INDEX(Inputs!$D$4:$AG$200,0,MATCH(X$2,Inputs!$D$2:$AG$2,0)),Inputs!$B$4:$B$200,$B10)/1000)</f>
        <v>58.643</v>
      </c>
      <c r="Y10" s="11">
        <f>IF(Y$3=0,"",SUMIFS(INDEX(Inputs!$D$4:$AG$200,0,MATCH(Y$2,Inputs!$D$2:$AG$2,0)),Inputs!$B$4:$B$200,$B10)/1000)</f>
        <v>62.509</v>
      </c>
      <c r="Z10" s="11">
        <f>IF(Z$3=0,"",SUMIFS(INDEX(Inputs!$D$4:$AG$200,0,MATCH(Z$2,Inputs!$D$2:$AG$2,0)),Inputs!$B$4:$B$200,$B10)/1000)</f>
        <v>-203.099</v>
      </c>
      <c r="AA10" s="11">
        <f>IF(AA$3=0,"",SUMIFS(INDEX(Inputs!$D$4:$AG$200,0,MATCH(AA$2,Inputs!$D$2:$AG$2,0)),Inputs!$B$4:$B$200,$B10)/1000)</f>
        <v>-141.14</v>
      </c>
      <c r="AB10" s="12">
        <f>IF(COUNT(X10:AA10)=4,SUM(X10:AA10),"")</f>
        <v>-223.087</v>
      </c>
      <c r="AC10" s="11">
        <f>IF(AC$3=0,"",SUMIFS(INDEX(Inputs!$D$4:$AG$200,0,MATCH(AC$2,Inputs!$D$2:$AG$2,0)),Inputs!$B$4:$B$200,$B10)/1000)</f>
        <v>-245.898</v>
      </c>
      <c r="AD10" s="11">
        <f>IF(AD$3=0,"",SUMIFS(INDEX(Inputs!$D$4:$AG$200,0,MATCH(AD$2,Inputs!$D$2:$AG$2,0)),Inputs!$B$4:$B$200,$B10)/1000)</f>
        <v>-221.205</v>
      </c>
      <c r="AE10" s="11" t="str">
        <f>IF(AE$3=0,"",SUMIFS(INDEX(Inputs!$D$4:$AG$200,0,MATCH(AE$2,Inputs!$D$2:$AG$2,0)),Inputs!$B$4:$B$200,$B10)/1000)</f>
        <v/>
      </c>
      <c r="AF10" s="11" t="str">
        <f>IF(AF$3=0,"",SUMIFS(INDEX(Inputs!$D$4:$AG$200,0,MATCH(AF$2,Inputs!$D$2:$AG$2,0)),Inputs!$B$4:$B$200,$B10)/1000)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IF(D$3=0,"",SUMIFS(INDEX(Inputs!$D$4:$AG$200,0,MATCH(D$2,Inputs!$D$2:$AG$2,0)),Inputs!$B$4:$B$200,$B11)/1000)</f>
        <v>-0.445</v>
      </c>
      <c r="E11" s="11">
        <f>IF(E$3=0,"",SUMIFS(INDEX(Inputs!$D$4:$AG$200,0,MATCH(E$2,Inputs!$D$2:$AG$2,0)),Inputs!$B$4:$B$200,$B11)/1000)</f>
        <v>-0.8</v>
      </c>
      <c r="F11" s="11">
        <f>IF(F$3=0,"",SUMIFS(INDEX(Inputs!$D$4:$AG$200,0,MATCH(F$2,Inputs!$D$2:$AG$2,0)),Inputs!$B$4:$B$200,$B11)/1000)</f>
        <v>-1.093</v>
      </c>
      <c r="G11" s="11">
        <f>IF(G$3=0,"",SUMIFS(INDEX(Inputs!$D$4:$AG$200,0,MATCH(G$2,Inputs!$D$2:$AG$2,0)),Inputs!$B$4:$B$200,$B11)/1000)</f>
        <v>-0.62</v>
      </c>
      <c r="H11" s="12">
        <f>IF(COUNT(D11:G11)=4,SUM(D11:G11),"")</f>
        <v>-2.958</v>
      </c>
      <c r="I11" s="11">
        <f>IF(I$3=0,"",SUMIFS(INDEX(Inputs!$D$4:$AG$200,0,MATCH(I$2,Inputs!$D$2:$AG$2,0)),Inputs!$B$4:$B$200,$B11)/1000)</f>
        <v>-0.751</v>
      </c>
      <c r="J11" s="11">
        <f>IF(J$3=0,"",SUMIFS(INDEX(Inputs!$D$4:$AG$200,0,MATCH(J$2,Inputs!$D$2:$AG$2,0)),Inputs!$B$4:$B$200,$B11)/1000)</f>
        <v>-0.847</v>
      </c>
      <c r="K11" s="11">
        <f>IF(K$3=0,"",SUMIFS(INDEX(Inputs!$D$4:$AG$200,0,MATCH(K$2,Inputs!$D$2:$AG$2,0)),Inputs!$B$4:$B$200,$B11)/1000)</f>
        <v>-0.625</v>
      </c>
      <c r="L11" s="11">
        <f>IF(L$3=0,"",SUMIFS(INDEX(Inputs!$D$4:$AG$200,0,MATCH(L$2,Inputs!$D$2:$AG$2,0)),Inputs!$B$4:$B$200,$B11)/1000)</f>
        <v>-1.077</v>
      </c>
      <c r="M11" s="12">
        <f>IF(COUNT(I11:L11)=4,SUM(I11:L11),"")</f>
        <v>-3.3</v>
      </c>
      <c r="N11" s="11">
        <f>IF(N$3=0,"",SUMIFS(INDEX(Inputs!$D$4:$AG$200,0,MATCH(N$2,Inputs!$D$2:$AG$2,0)),Inputs!$B$4:$B$200,$B11)/1000)</f>
        <v>-0.417</v>
      </c>
      <c r="O11" s="11">
        <f>IF(O$3=0,"",SUMIFS(INDEX(Inputs!$D$4:$AG$200,0,MATCH(O$2,Inputs!$D$2:$AG$2,0)),Inputs!$B$4:$B$200,$B11)/1000)</f>
        <v>-0.171</v>
      </c>
      <c r="P11" s="11">
        <f>IF(P$3=0,"",SUMIFS(INDEX(Inputs!$D$4:$AG$200,0,MATCH(P$2,Inputs!$D$2:$AG$2,0)),Inputs!$B$4:$B$200,$B11)/1000)</f>
        <v>-0.361</v>
      </c>
      <c r="Q11" s="11">
        <f>IF(Q$3=0,"",SUMIFS(INDEX(Inputs!$D$4:$AG$200,0,MATCH(Q$2,Inputs!$D$2:$AG$2,0)),Inputs!$B$4:$B$200,$B11)/1000)</f>
        <v>-4.314</v>
      </c>
      <c r="R11" s="12">
        <f>IF(COUNT(N11:Q11)=4,SUM(N11:Q11),"")</f>
        <v>-5.263</v>
      </c>
      <c r="S11" s="11">
        <f>IF(S$3=0,"",SUMIFS(INDEX(Inputs!$D$4:$AG$200,0,MATCH(S$2,Inputs!$D$2:$AG$2,0)),Inputs!$B$4:$B$200,$B11)/1000)</f>
        <v>0</v>
      </c>
      <c r="T11" s="11">
        <f>IF(T$3=0,"",SUMIFS(INDEX(Inputs!$D$4:$AG$200,0,MATCH(T$2,Inputs!$D$2:$AG$2,0)),Inputs!$B$4:$B$200,$B11)/1000)</f>
        <v>0</v>
      </c>
      <c r="U11" s="11">
        <f>IF(U$3=0,"",SUMIFS(INDEX(Inputs!$D$4:$AG$200,0,MATCH(U$2,Inputs!$D$2:$AG$2,0)),Inputs!$B$4:$B$200,$B11)/1000)</f>
        <v>0</v>
      </c>
      <c r="V11" s="11">
        <f>IF(V$3=0,"",SUMIFS(INDEX(Inputs!$D$4:$AG$200,0,MATCH(V$2,Inputs!$D$2:$AG$2,0)),Inputs!$B$4:$B$200,$B11)/1000)</f>
        <v>0</v>
      </c>
      <c r="W11" s="12">
        <f>IF(COUNT(S11:V11)=4,SUM(S11:V11),"")</f>
        <v>0</v>
      </c>
      <c r="X11" s="11">
        <f>IF(X$3=0,"",SUMIFS(INDEX(Inputs!$D$4:$AG$200,0,MATCH(X$2,Inputs!$D$2:$AG$2,0)),Inputs!$B$4:$B$200,$B11)/1000)</f>
        <v>0</v>
      </c>
      <c r="Y11" s="11">
        <f>IF(Y$3=0,"",SUMIFS(INDEX(Inputs!$D$4:$AG$200,0,MATCH(Y$2,Inputs!$D$2:$AG$2,0)),Inputs!$B$4:$B$200,$B11)/1000)</f>
        <v>0</v>
      </c>
      <c r="Z11" s="11">
        <f>IF(Z$3=0,"",SUMIFS(INDEX(Inputs!$D$4:$AG$200,0,MATCH(Z$2,Inputs!$D$2:$AG$2,0)),Inputs!$B$4:$B$200,$B11)/1000)</f>
        <v>0</v>
      </c>
      <c r="AA11" s="11">
        <f>IF(AA$3=0,"",SUMIFS(INDEX(Inputs!$D$4:$AG$200,0,MATCH(AA$2,Inputs!$D$2:$AG$2,0)),Inputs!$B$4:$B$200,$B11)/1000)</f>
        <v>0</v>
      </c>
      <c r="AB11" s="12">
        <f>IF(COUNT(X11:AA11)=4,SUM(X11:AA11),"")</f>
        <v>0</v>
      </c>
      <c r="AC11" s="11">
        <f>IF(AC$3=0,"",SUMIFS(INDEX(Inputs!$D$4:$AG$200,0,MATCH(AC$2,Inputs!$D$2:$AG$2,0)),Inputs!$B$4:$B$200,$B11)/1000)</f>
        <v>0</v>
      </c>
      <c r="AD11" s="11">
        <f>IF(AD$3=0,"",SUMIFS(INDEX(Inputs!$D$4:$AG$200,0,MATCH(AD$2,Inputs!$D$2:$AG$2,0)),Inputs!$B$4:$B$200,$B11)/1000)</f>
        <v>0</v>
      </c>
      <c r="AE11" s="11" t="str">
        <f>IF(AE$3=0,"",SUMIFS(INDEX(Inputs!$D$4:$AG$200,0,MATCH(AE$2,Inputs!$D$2:$AG$2,0)),Inputs!$B$4:$B$200,$B11)/1000)</f>
        <v/>
      </c>
      <c r="AF11" s="11" t="str">
        <f>IF(AF$3=0,"",SUMIFS(INDEX(Inputs!$D$4:$AG$200,0,MATCH(AF$2,Inputs!$D$2:$AG$2,0)),Inputs!$B$4:$B$200,$B11)/1000)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IF(D$3=0,"",SUMIFS(INDEX(Inputs!$D$4:$AG$200,0,MATCH(D$2,Inputs!$D$2:$AG$2,0)),Inputs!$B$4:$B$200,$B12)/1000)</f>
        <v>0</v>
      </c>
      <c r="E12" s="11">
        <f>IF(E$3=0,"",SUMIFS(INDEX(Inputs!$D$4:$AG$200,0,MATCH(E$2,Inputs!$D$2:$AG$2,0)),Inputs!$B$4:$B$200,$B12)/1000)</f>
        <v>0</v>
      </c>
      <c r="F12" s="11">
        <f>IF(F$3=0,"",SUMIFS(INDEX(Inputs!$D$4:$AG$200,0,MATCH(F$2,Inputs!$D$2:$AG$2,0)),Inputs!$B$4:$B$200,$B12)/1000)</f>
        <v>0</v>
      </c>
      <c r="G12" s="11">
        <f>IF(G$3=0,"",SUMIFS(INDEX(Inputs!$D$4:$AG$200,0,MATCH(G$2,Inputs!$D$2:$AG$2,0)),Inputs!$B$4:$B$200,$B12)/1000)</f>
        <v>0</v>
      </c>
      <c r="H12" s="12">
        <f>IF(COUNT(D12:G12)=4,SUM(D12:G12),"")</f>
        <v>0</v>
      </c>
      <c r="I12" s="11">
        <f>IF(I$3=0,"",SUMIFS(INDEX(Inputs!$D$4:$AG$200,0,MATCH(I$2,Inputs!$D$2:$AG$2,0)),Inputs!$B$4:$B$200,$B12)/1000)</f>
        <v>0</v>
      </c>
      <c r="J12" s="11">
        <f>IF(J$3=0,"",SUMIFS(INDEX(Inputs!$D$4:$AG$200,0,MATCH(J$2,Inputs!$D$2:$AG$2,0)),Inputs!$B$4:$B$200,$B12)/1000)</f>
        <v>0</v>
      </c>
      <c r="K12" s="11">
        <f>IF(K$3=0,"",SUMIFS(INDEX(Inputs!$D$4:$AG$200,0,MATCH(K$2,Inputs!$D$2:$AG$2,0)),Inputs!$B$4:$B$200,$B12)/1000)</f>
        <v>0</v>
      </c>
      <c r="L12" s="11">
        <f>IF(L$3=0,"",SUMIFS(INDEX(Inputs!$D$4:$AG$200,0,MATCH(L$2,Inputs!$D$2:$AG$2,0)),Inputs!$B$4:$B$200,$B12)/1000)</f>
        <v>0</v>
      </c>
      <c r="M12" s="12">
        <f>IF(COUNT(I12:L12)=4,SUM(I12:L12),"")</f>
        <v>0</v>
      </c>
      <c r="N12" s="11">
        <f>IF(N$3=0,"",SUMIFS(INDEX(Inputs!$D$4:$AG$200,0,MATCH(N$2,Inputs!$D$2:$AG$2,0)),Inputs!$B$4:$B$200,$B12)/1000)</f>
        <v>0</v>
      </c>
      <c r="O12" s="11">
        <f>IF(O$3=0,"",SUMIFS(INDEX(Inputs!$D$4:$AG$200,0,MATCH(O$2,Inputs!$D$2:$AG$2,0)),Inputs!$B$4:$B$200,$B12)/1000)</f>
        <v>0</v>
      </c>
      <c r="P12" s="11">
        <f>IF(P$3=0,"",SUMIFS(INDEX(Inputs!$D$4:$AG$200,0,MATCH(P$2,Inputs!$D$2:$AG$2,0)),Inputs!$B$4:$B$200,$B12)/1000)</f>
        <v>0</v>
      </c>
      <c r="Q12" s="11">
        <f>IF(Q$3=0,"",SUMIFS(INDEX(Inputs!$D$4:$AG$200,0,MATCH(Q$2,Inputs!$D$2:$AG$2,0)),Inputs!$B$4:$B$200,$B12)/1000)</f>
        <v>0</v>
      </c>
      <c r="R12" s="12">
        <f>IF(COUNT(N12:Q12)=4,SUM(N12:Q12),"")</f>
        <v>0</v>
      </c>
      <c r="S12" s="11">
        <f>IF(S$3=0,"",SUMIFS(INDEX(Inputs!$D$4:$AG$200,0,MATCH(S$2,Inputs!$D$2:$AG$2,0)),Inputs!$B$4:$B$200,$B12)/1000)</f>
        <v>0</v>
      </c>
      <c r="T12" s="11">
        <f>IF(T$3=0,"",SUMIFS(INDEX(Inputs!$D$4:$AG$200,0,MATCH(T$2,Inputs!$D$2:$AG$2,0)),Inputs!$B$4:$B$200,$B12)/1000)</f>
        <v>0</v>
      </c>
      <c r="U12" s="11">
        <f>IF(U$3=0,"",SUMIFS(INDEX(Inputs!$D$4:$AG$200,0,MATCH(U$2,Inputs!$D$2:$AG$2,0)),Inputs!$B$4:$B$200,$B12)/1000)</f>
        <v>0</v>
      </c>
      <c r="V12" s="11">
        <f>IF(V$3=0,"",SUMIFS(INDEX(Inputs!$D$4:$AG$200,0,MATCH(V$2,Inputs!$D$2:$AG$2,0)),Inputs!$B$4:$B$200,$B12)/1000)</f>
        <v>0</v>
      </c>
      <c r="W12" s="12">
        <f>IF(COUNT(S12:V12)=4,SUM(S12:V12),"")</f>
        <v>0</v>
      </c>
      <c r="X12" s="11">
        <f>IF(X$3=0,"",SUMIFS(INDEX(Inputs!$D$4:$AG$200,0,MATCH(X$2,Inputs!$D$2:$AG$2,0)),Inputs!$B$4:$B$200,$B12)/1000)</f>
        <v>0</v>
      </c>
      <c r="Y12" s="11">
        <f>IF(Y$3=0,"",SUMIFS(INDEX(Inputs!$D$4:$AG$200,0,MATCH(Y$2,Inputs!$D$2:$AG$2,0)),Inputs!$B$4:$B$200,$B12)/1000)</f>
        <v>0</v>
      </c>
      <c r="Z12" s="11">
        <f>IF(Z$3=0,"",SUMIFS(INDEX(Inputs!$D$4:$AG$200,0,MATCH(Z$2,Inputs!$D$2:$AG$2,0)),Inputs!$B$4:$B$200,$B12)/1000)</f>
        <v>0</v>
      </c>
      <c r="AA12" s="11">
        <f>IF(AA$3=0,"",SUMIFS(INDEX(Inputs!$D$4:$AG$200,0,MATCH(AA$2,Inputs!$D$2:$AG$2,0)),Inputs!$B$4:$B$200,$B12)/1000)</f>
        <v>0</v>
      </c>
      <c r="AB12" s="12">
        <f>IF(COUNT(X12:AA12)=4,SUM(X12:AA12),"")</f>
        <v>0</v>
      </c>
      <c r="AC12" s="11">
        <f>IF(AC$3=0,"",SUMIFS(INDEX(Inputs!$D$4:$AG$200,0,MATCH(AC$2,Inputs!$D$2:$AG$2,0)),Inputs!$B$4:$B$200,$B12)/1000)</f>
        <v>0</v>
      </c>
      <c r="AD12" s="11">
        <f>IF(AD$3=0,"",SUMIFS(INDEX(Inputs!$D$4:$AG$200,0,MATCH(AD$2,Inputs!$D$2:$AG$2,0)),Inputs!$B$4:$B$200,$B12)/1000)</f>
        <v>0</v>
      </c>
      <c r="AE12" s="11" t="str">
        <f>IF(AE$3=0,"",SUMIFS(INDEX(Inputs!$D$4:$AG$200,0,MATCH(AE$2,Inputs!$D$2:$AG$2,0)),Inputs!$B$4:$B$200,$B12)/1000)</f>
        <v/>
      </c>
      <c r="AF12" s="11" t="str">
        <f>IF(AF$3=0,"",SUMIFS(INDEX(Inputs!$D$4:$AG$200,0,MATCH(AF$2,Inputs!$D$2:$AG$2,0)),Inputs!$B$4:$B$200,$B12)/1000)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IF(D$3=0,"",SUMIFS(INDEX(Inputs!$D$4:$AG$200,0,MATCH(D$2,Inputs!$D$2:$AG$2,0)),Inputs!$B$4:$B$200,$B13)/1000)</f>
        <v>0</v>
      </c>
      <c r="E13" s="11">
        <f>IF(E$3=0,"",SUMIFS(INDEX(Inputs!$D$4:$AG$200,0,MATCH(E$2,Inputs!$D$2:$AG$2,0)),Inputs!$B$4:$B$200,$B13)/1000)</f>
        <v>-267.765</v>
      </c>
      <c r="F13" s="11">
        <f>IF(F$3=0,"",SUMIFS(INDEX(Inputs!$D$4:$AG$200,0,MATCH(F$2,Inputs!$D$2:$AG$2,0)),Inputs!$B$4:$B$200,$B13)/1000)</f>
        <v>0.294</v>
      </c>
      <c r="G13" s="11">
        <f>IF(G$3=0,"",SUMIFS(INDEX(Inputs!$D$4:$AG$200,0,MATCH(G$2,Inputs!$D$2:$AG$2,0)),Inputs!$B$4:$B$200,$B13)/1000)</f>
        <v>-0.104</v>
      </c>
      <c r="H13" s="12">
        <f>IF(COUNT(D13:G13)=4,SUM(D13:G13),"")</f>
        <v>-267.575</v>
      </c>
      <c r="I13" s="11">
        <f>IF(I$3=0,"",SUMIFS(INDEX(Inputs!$D$4:$AG$200,0,MATCH(I$2,Inputs!$D$2:$AG$2,0)),Inputs!$B$4:$B$200,$B13)/1000)</f>
        <v>-0.001</v>
      </c>
      <c r="J13" s="11">
        <f>IF(J$3=0,"",SUMIFS(INDEX(Inputs!$D$4:$AG$200,0,MATCH(J$2,Inputs!$D$2:$AG$2,0)),Inputs!$B$4:$B$200,$B13)/1000)</f>
        <v>-308.822</v>
      </c>
      <c r="K13" s="11">
        <f>IF(K$3=0,"",SUMIFS(INDEX(Inputs!$D$4:$AG$200,0,MATCH(K$2,Inputs!$D$2:$AG$2,0)),Inputs!$B$4:$B$200,$B13)/1000)</f>
        <v>-0.524</v>
      </c>
      <c r="L13" s="11">
        <f>IF(L$3=0,"",SUMIFS(INDEX(Inputs!$D$4:$AG$200,0,MATCH(L$2,Inputs!$D$2:$AG$2,0)),Inputs!$B$4:$B$200,$B13)/1000)</f>
        <v>0</v>
      </c>
      <c r="M13" s="12">
        <f>IF(COUNT(I13:L13)=4,SUM(I13:L13),"")</f>
        <v>-309.347</v>
      </c>
      <c r="N13" s="11">
        <f>IF(N$3=0,"",SUMIFS(INDEX(Inputs!$D$4:$AG$200,0,MATCH(N$2,Inputs!$D$2:$AG$2,0)),Inputs!$B$4:$B$200,$B13)/1000)</f>
        <v>0</v>
      </c>
      <c r="O13" s="11">
        <f>IF(O$3=0,"",SUMIFS(INDEX(Inputs!$D$4:$AG$200,0,MATCH(O$2,Inputs!$D$2:$AG$2,0)),Inputs!$B$4:$B$200,$B13)/1000)</f>
        <v>-385.616</v>
      </c>
      <c r="P13" s="11">
        <f>IF(P$3=0,"",SUMIFS(INDEX(Inputs!$D$4:$AG$200,0,MATCH(P$2,Inputs!$D$2:$AG$2,0)),Inputs!$B$4:$B$200,$B13)/1000)</f>
        <v>0.074</v>
      </c>
      <c r="Q13" s="11">
        <f>IF(Q$3=0,"",SUMIFS(INDEX(Inputs!$D$4:$AG$200,0,MATCH(Q$2,Inputs!$D$2:$AG$2,0)),Inputs!$B$4:$B$200,$B13)/1000)</f>
        <v>0</v>
      </c>
      <c r="R13" s="12">
        <f>IF(COUNT(N13:Q13)=4,SUM(N13:Q13),"")</f>
        <v>-385.542</v>
      </c>
      <c r="S13" s="11">
        <f>IF(S$3=0,"",SUMIFS(INDEX(Inputs!$D$4:$AG$200,0,MATCH(S$2,Inputs!$D$2:$AG$2,0)),Inputs!$B$4:$B$200,$B13)/1000)</f>
        <v>0</v>
      </c>
      <c r="T13" s="11">
        <f>IF(T$3=0,"",SUMIFS(INDEX(Inputs!$D$4:$AG$200,0,MATCH(T$2,Inputs!$D$2:$AG$2,0)),Inputs!$B$4:$B$200,$B13)/1000)</f>
        <v>-403.196</v>
      </c>
      <c r="U13" s="11">
        <f>IF(U$3=0,"",SUMIFS(INDEX(Inputs!$D$4:$AG$200,0,MATCH(U$2,Inputs!$D$2:$AG$2,0)),Inputs!$B$4:$B$200,$B13)/1000)</f>
        <v>0.124</v>
      </c>
      <c r="V13" s="11">
        <f>IF(V$3=0,"",SUMIFS(INDEX(Inputs!$D$4:$AG$200,0,MATCH(V$2,Inputs!$D$2:$AG$2,0)),Inputs!$B$4:$B$200,$B13)/1000)</f>
        <v>0</v>
      </c>
      <c r="W13" s="12">
        <f>IF(COUNT(S13:V13)=4,SUM(S13:V13),"")</f>
        <v>-403.072</v>
      </c>
      <c r="X13" s="11">
        <f>IF(X$3=0,"",SUMIFS(INDEX(Inputs!$D$4:$AG$200,0,MATCH(X$2,Inputs!$D$2:$AG$2,0)),Inputs!$B$4:$B$200,$B13)/1000)</f>
        <v>0</v>
      </c>
      <c r="Y13" s="11">
        <f>IF(Y$3=0,"",SUMIFS(INDEX(Inputs!$D$4:$AG$200,0,MATCH(Y$2,Inputs!$D$2:$AG$2,0)),Inputs!$B$4:$B$200,$B13)/1000)</f>
        <v>-412.427</v>
      </c>
      <c r="Z13" s="11">
        <f>IF(Z$3=0,"",SUMIFS(INDEX(Inputs!$D$4:$AG$200,0,MATCH(Z$2,Inputs!$D$2:$AG$2,0)),Inputs!$B$4:$B$200,$B13)/1000)</f>
        <v>-0.308</v>
      </c>
      <c r="AA13" s="11">
        <f>IF(AA$3=0,"",SUMIFS(INDEX(Inputs!$D$4:$AG$200,0,MATCH(AA$2,Inputs!$D$2:$AG$2,0)),Inputs!$B$4:$B$200,$B13)/1000)</f>
        <v>-0.008</v>
      </c>
      <c r="AB13" s="12">
        <f>IF(COUNT(X13:AA13)=4,SUM(X13:AA13),"")</f>
        <v>-412.743</v>
      </c>
      <c r="AC13" s="11">
        <f>IF(AC$3=0,"",SUMIFS(INDEX(Inputs!$D$4:$AG$200,0,MATCH(AC$2,Inputs!$D$2:$AG$2,0)),Inputs!$B$4:$B$200,$B13)/1000)</f>
        <v>0</v>
      </c>
      <c r="AD13" s="11">
        <f>IF(AD$3=0,"",SUMIFS(INDEX(Inputs!$D$4:$AG$200,0,MATCH(AD$2,Inputs!$D$2:$AG$2,0)),Inputs!$B$4:$B$200,$B13)/1000)</f>
        <v>-524.206</v>
      </c>
      <c r="AE13" s="11" t="str">
        <f>IF(AE$3=0,"",SUMIFS(INDEX(Inputs!$D$4:$AG$200,0,MATCH(AE$2,Inputs!$D$2:$AG$2,0)),Inputs!$B$4:$B$200,$B13)/1000)</f>
        <v/>
      </c>
      <c r="AF13" s="11" t="str">
        <f>IF(AF$3=0,"",SUMIFS(INDEX(Inputs!$D$4:$AG$200,0,MATCH(AF$2,Inputs!$D$2:$AG$2,0)),Inputs!$B$4:$B$200,$B13)/1000)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IF(D$3=0,"",SUMIFS(INDEX(Inputs!$D$4:$AG$200,0,MATCH(D$2,Inputs!$D$2:$AG$2,0)),Inputs!$B$4:$B$200,$B15)/1000)</f>
        <v>1324.367</v>
      </c>
      <c r="E15" s="11">
        <f>IF(E$3=0,"",SUMIFS(INDEX(Inputs!$D$4:$AG$200,0,MATCH(E$2,Inputs!$D$2:$AG$2,0)),Inputs!$B$4:$B$200,$B15)/1000)</f>
        <v>988.297</v>
      </c>
      <c r="F15" s="11">
        <f>IF(F$3=0,"",SUMIFS(INDEX(Inputs!$D$4:$AG$200,0,MATCH(F$2,Inputs!$D$2:$AG$2,0)),Inputs!$B$4:$B$200,$B15)/1000)</f>
        <v>1070.842</v>
      </c>
      <c r="G15" s="11">
        <f>IF(G$3=0,"",SUMIFS(INDEX(Inputs!$D$4:$AG$200,0,MATCH(G$2,Inputs!$D$2:$AG$2,0)),Inputs!$B$4:$B$200,$B15)/1000)</f>
        <v>983.127</v>
      </c>
      <c r="H15" s="12">
        <f>IF(G15="","",G15)</f>
        <v>983.127</v>
      </c>
      <c r="I15" s="11">
        <f>IF(I$3=0,"",SUMIFS(INDEX(Inputs!$D$4:$AG$200,0,MATCH(I$2,Inputs!$D$2:$AG$2,0)),Inputs!$B$4:$B$200,$B15)/1000)</f>
        <v>1590.807</v>
      </c>
      <c r="J15" s="11">
        <f>IF(J$3=0,"",SUMIFS(INDEX(Inputs!$D$4:$AG$200,0,MATCH(J$2,Inputs!$D$2:$AG$2,0)),Inputs!$B$4:$B$200,$B15)/1000)</f>
        <v>1233.229</v>
      </c>
      <c r="K15" s="11">
        <f>IF(K$3=0,"",SUMIFS(INDEX(Inputs!$D$4:$AG$200,0,MATCH(K$2,Inputs!$D$2:$AG$2,0)),Inputs!$B$4:$B$200,$B15)/1000)</f>
        <v>1227.491</v>
      </c>
      <c r="L15" s="11">
        <f>IF(L$3=0,"",SUMIFS(INDEX(Inputs!$D$4:$AG$200,0,MATCH(L$2,Inputs!$D$2:$AG$2,0)),Inputs!$B$4:$B$200,$B15)/1000)</f>
        <v>1207.932</v>
      </c>
      <c r="M15" s="12">
        <f>IF(L15="","",L15)</f>
        <v>1207.932</v>
      </c>
      <c r="N15" s="11">
        <f>IF(N$3=0,"",SUMIFS(INDEX(Inputs!$D$4:$AG$200,0,MATCH(N$2,Inputs!$D$2:$AG$2,0)),Inputs!$B$4:$B$200,$B15)/1000)</f>
        <v>1212.661</v>
      </c>
      <c r="O15" s="11">
        <f>IF(O$3=0,"",SUMIFS(INDEX(Inputs!$D$4:$AG$200,0,MATCH(O$2,Inputs!$D$2:$AG$2,0)),Inputs!$B$4:$B$200,$B15)/1000)</f>
        <v>1154.117</v>
      </c>
      <c r="P15" s="11">
        <f>IF(P$3=0,"",SUMIFS(INDEX(Inputs!$D$4:$AG$200,0,MATCH(P$2,Inputs!$D$2:$AG$2,0)),Inputs!$B$4:$B$200,$B15)/1000)</f>
        <v>1276.092</v>
      </c>
      <c r="Q15" s="11">
        <f>IF(Q$3=0,"",SUMIFS(INDEX(Inputs!$D$4:$AG$200,0,MATCH(Q$2,Inputs!$D$2:$AG$2,0)),Inputs!$B$4:$B$200,$B15)/1000)</f>
        <v>1285.158</v>
      </c>
      <c r="R15" s="12">
        <f>IF(Q15="","",Q15)</f>
        <v>1285.158</v>
      </c>
      <c r="S15" s="11">
        <f>IF(S$3=0,"",SUMIFS(INDEX(Inputs!$D$4:$AG$200,0,MATCH(S$2,Inputs!$D$2:$AG$2,0)),Inputs!$B$4:$B$200,$B15)/1000)</f>
        <v>1913.309</v>
      </c>
      <c r="T15" s="11">
        <f>IF(T$3=0,"",SUMIFS(INDEX(Inputs!$D$4:$AG$200,0,MATCH(T$2,Inputs!$D$2:$AG$2,0)),Inputs!$B$4:$B$200,$B15)/1000)</f>
        <v>1438.986</v>
      </c>
      <c r="U15" s="11">
        <f>IF(U$3=0,"",SUMIFS(INDEX(Inputs!$D$4:$AG$200,0,MATCH(U$2,Inputs!$D$2:$AG$2,0)),Inputs!$B$4:$B$200,$B15)/1000)</f>
        <v>1674.736</v>
      </c>
      <c r="V15" s="11">
        <f>IF(V$3=0,"",SUMIFS(INDEX(Inputs!$D$4:$AG$200,0,MATCH(V$2,Inputs!$D$2:$AG$2,0)),Inputs!$B$4:$B$200,$B15)/1000)</f>
        <v>1800.757</v>
      </c>
      <c r="W15" s="12">
        <f>IF(V15="","",V15)</f>
        <v>1800.757</v>
      </c>
      <c r="X15" s="11">
        <f>IF(X$3=0,"",SUMIFS(INDEX(Inputs!$D$4:$AG$200,0,MATCH(X$2,Inputs!$D$2:$AG$2,0)),Inputs!$B$4:$B$200,$B15)/1000)</f>
        <v>1848.624</v>
      </c>
      <c r="Y15" s="11">
        <f>IF(Y$3=0,"",SUMIFS(INDEX(Inputs!$D$4:$AG$200,0,MATCH(Y$2,Inputs!$D$2:$AG$2,0)),Inputs!$B$4:$B$200,$B15)/1000)</f>
        <v>1396.323</v>
      </c>
      <c r="Z15" s="11">
        <f>IF(Z$3=0,"",SUMIFS(INDEX(Inputs!$D$4:$AG$200,0,MATCH(Z$2,Inputs!$D$2:$AG$2,0)),Inputs!$B$4:$B$200,$B15)/1000)</f>
        <v>5880.009</v>
      </c>
      <c r="AA15" s="11">
        <f>IF(AA$3=0,"",SUMIFS(INDEX(Inputs!$D$4:$AG$200,0,MATCH(AA$2,Inputs!$D$2:$AG$2,0)),Inputs!$B$4:$B$200,$B15)/1000)</f>
        <v>5608.131</v>
      </c>
      <c r="AB15" s="12">
        <f>IF(AA15="","",AA15)</f>
        <v>5608.131</v>
      </c>
      <c r="AC15" s="11">
        <f>IF(AC$3=0,"",SUMIFS(INDEX(Inputs!$D$4:$AG$200,0,MATCH(AC$2,Inputs!$D$2:$AG$2,0)),Inputs!$B$4:$B$200,$B15)/1000)</f>
        <v>5359.482</v>
      </c>
      <c r="AD15" s="11">
        <f>IF(AD$3=0,"",SUMIFS(INDEX(Inputs!$D$4:$AG$200,0,MATCH(AD$2,Inputs!$D$2:$AG$2,0)),Inputs!$B$4:$B$200,$B15)/1000)</f>
        <v>4662.453</v>
      </c>
      <c r="AE15" s="11" t="str">
        <f>IF(AE$3=0,"",SUMIFS(INDEX(Inputs!$D$4:$AG$200,0,MATCH(AE$2,Inputs!$D$2:$AG$2,0)),Inputs!$B$4:$B$200,$B15)/1000)</f>
        <v/>
      </c>
      <c r="AF15" s="11" t="str">
        <f>IF(AF$3=0,"",SUMIFS(INDEX(Inputs!$D$4:$AG$200,0,MATCH(AF$2,Inputs!$D$2:$AG$2,0)),Inputs!$B$4:$B$200,$B15)/1000)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IF(D$3=0,"",SUMIFS(INDEX(Inputs!$D$4:$AG$200,0,MATCH(D$2,Inputs!$D$2:$AG$2,0)),Inputs!$B$4:$B$200,$B16)/1000)</f>
        <v>842.378</v>
      </c>
      <c r="E16" s="11">
        <f>IF(E$3=0,"",SUMIFS(INDEX(Inputs!$D$4:$AG$200,0,MATCH(E$2,Inputs!$D$2:$AG$2,0)),Inputs!$B$4:$B$200,$B16)/1000)</f>
        <v>872.358</v>
      </c>
      <c r="F16" s="11">
        <f>IF(F$3=0,"",SUMIFS(INDEX(Inputs!$D$4:$AG$200,0,MATCH(F$2,Inputs!$D$2:$AG$2,0)),Inputs!$B$4:$B$200,$B16)/1000)</f>
        <v>919.472</v>
      </c>
      <c r="G16" s="11">
        <f>IF(G$3=0,"",SUMIFS(INDEX(Inputs!$D$4:$AG$200,0,MATCH(G$2,Inputs!$D$2:$AG$2,0)),Inputs!$B$4:$B$200,$B16)/1000)</f>
        <v>971.478</v>
      </c>
      <c r="H16" s="12">
        <f>IF(G16="","",G16)</f>
        <v>971.478</v>
      </c>
      <c r="I16" s="11">
        <f>IF(I$3=0,"",SUMIFS(INDEX(Inputs!$D$4:$AG$200,0,MATCH(I$2,Inputs!$D$2:$AG$2,0)),Inputs!$B$4:$B$200,$B16)/1000)</f>
        <v>1025.326</v>
      </c>
      <c r="J16" s="11">
        <f>IF(J$3=0,"",SUMIFS(INDEX(Inputs!$D$4:$AG$200,0,MATCH(J$2,Inputs!$D$2:$AG$2,0)),Inputs!$B$4:$B$200,$B16)/1000)</f>
        <v>1028.188</v>
      </c>
      <c r="K16" s="11">
        <f>IF(K$3=0,"",SUMIFS(INDEX(Inputs!$D$4:$AG$200,0,MATCH(K$2,Inputs!$D$2:$AG$2,0)),Inputs!$B$4:$B$200,$B16)/1000)</f>
        <v>1040.436</v>
      </c>
      <c r="L16" s="11">
        <f>IF(L$3=0,"",SUMIFS(INDEX(Inputs!$D$4:$AG$200,0,MATCH(L$2,Inputs!$D$2:$AG$2,0)),Inputs!$B$4:$B$200,$B16)/1000)</f>
        <v>1086.163</v>
      </c>
      <c r="M16" s="12">
        <f>IF(L16="","",L16)</f>
        <v>1086.163</v>
      </c>
      <c r="N16" s="11">
        <f>IF(N$3=0,"",SUMIFS(INDEX(Inputs!$D$4:$AG$200,0,MATCH(N$2,Inputs!$D$2:$AG$2,0)),Inputs!$B$4:$B$200,$B16)/1000)</f>
        <v>1138.055</v>
      </c>
      <c r="O16" s="11">
        <f>IF(O$3=0,"",SUMIFS(INDEX(Inputs!$D$4:$AG$200,0,MATCH(O$2,Inputs!$D$2:$AG$2,0)),Inputs!$B$4:$B$200,$B16)/1000)</f>
        <v>1203.134</v>
      </c>
      <c r="P16" s="11">
        <f>IF(P$3=0,"",SUMIFS(INDEX(Inputs!$D$4:$AG$200,0,MATCH(P$2,Inputs!$D$2:$AG$2,0)),Inputs!$B$4:$B$200,$B16)/1000)</f>
        <v>1250.471</v>
      </c>
      <c r="Q16" s="11">
        <f>IF(Q$3=0,"",SUMIFS(INDEX(Inputs!$D$4:$AG$200,0,MATCH(Q$2,Inputs!$D$2:$AG$2,0)),Inputs!$B$4:$B$200,$B16)/1000)</f>
        <v>1260.202</v>
      </c>
      <c r="R16" s="12">
        <f>IF(Q16="","",Q16)</f>
        <v>1260.202</v>
      </c>
      <c r="S16" s="11">
        <f>IF(S$3=0,"",SUMIFS(INDEX(Inputs!$D$4:$AG$200,0,MATCH(S$2,Inputs!$D$2:$AG$2,0)),Inputs!$B$4:$B$200,$B16)/1000)</f>
        <v>1298.407</v>
      </c>
      <c r="T16" s="11">
        <f>IF(T$3=0,"",SUMIFS(INDEX(Inputs!$D$4:$AG$200,0,MATCH(T$2,Inputs!$D$2:$AG$2,0)),Inputs!$B$4:$B$200,$B16)/1000)</f>
        <v>1264.758</v>
      </c>
      <c r="U16" s="11">
        <f>IF(U$3=0,"",SUMIFS(INDEX(Inputs!$D$4:$AG$200,0,MATCH(U$2,Inputs!$D$2:$AG$2,0)),Inputs!$B$4:$B$200,$B16)/1000)</f>
        <v>1269.984</v>
      </c>
      <c r="V16" s="11">
        <f>IF(V$3=0,"",SUMIFS(INDEX(Inputs!$D$4:$AG$200,0,MATCH(V$2,Inputs!$D$2:$AG$2,0)),Inputs!$B$4:$B$200,$B16)/1000)</f>
        <v>1250.811</v>
      </c>
      <c r="W16" s="12">
        <f>IF(V16="","",V16)</f>
        <v>1250.811</v>
      </c>
      <c r="X16" s="11">
        <f>IF(X$3=0,"",SUMIFS(INDEX(Inputs!$D$4:$AG$200,0,MATCH(X$2,Inputs!$D$2:$AG$2,0)),Inputs!$B$4:$B$200,$B16)/1000)</f>
        <v>1229.524</v>
      </c>
      <c r="Y16" s="11">
        <f>IF(Y$3=0,"",SUMIFS(INDEX(Inputs!$D$4:$AG$200,0,MATCH(Y$2,Inputs!$D$2:$AG$2,0)),Inputs!$B$4:$B$200,$B16)/1000)</f>
        <v>1170.895</v>
      </c>
      <c r="Z16" s="11">
        <f>IF(Z$3=0,"",SUMIFS(INDEX(Inputs!$D$4:$AG$200,0,MATCH(Z$2,Inputs!$D$2:$AG$2,0)),Inputs!$B$4:$B$200,$B16)/1000)</f>
        <v>1215.76</v>
      </c>
      <c r="AA16" s="11">
        <f>IF(AA$3=0,"",SUMIFS(INDEX(Inputs!$D$4:$AG$200,0,MATCH(AA$2,Inputs!$D$2:$AG$2,0)),Inputs!$B$4:$B$200,$B16)/1000)</f>
        <v>1175.286</v>
      </c>
      <c r="AB16" s="12">
        <f>IF(AA16="","",AA16)</f>
        <v>1175.286</v>
      </c>
      <c r="AC16" s="11">
        <f>IF(AC$3=0,"",SUMIFS(INDEX(Inputs!$D$4:$AG$200,0,MATCH(AC$2,Inputs!$D$2:$AG$2,0)),Inputs!$B$4:$B$200,$B16)/1000)</f>
        <v>1219.931</v>
      </c>
      <c r="AD16" s="11">
        <f>IF(AD$3=0,"",SUMIFS(INDEX(Inputs!$D$4:$AG$200,0,MATCH(AD$2,Inputs!$D$2:$AG$2,0)),Inputs!$B$4:$B$200,$B16)/1000)</f>
        <v>1187.333</v>
      </c>
      <c r="AE16" s="11" t="str">
        <f>IF(AE$3=0,"",SUMIFS(INDEX(Inputs!$D$4:$AG$200,0,MATCH(AE$2,Inputs!$D$2:$AG$2,0)),Inputs!$B$4:$B$200,$B16)/1000)</f>
        <v/>
      </c>
      <c r="AF16" s="11" t="str">
        <f>IF(AF$3=0,"",SUMIFS(INDEX(Inputs!$D$4:$AG$200,0,MATCH(AF$2,Inputs!$D$2:$AG$2,0)),Inputs!$B$4:$B$200,$B16)/1000)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IF(D$3=0,"",SUMIFS(INDEX(Inputs!$D$4:$AG$200,0,MATCH(D$2,Inputs!$D$2:$AG$2,0)),Inputs!$B$4:$B$200,$B17)/1000)</f>
        <v>49.937</v>
      </c>
      <c r="E17" s="11">
        <f>IF(E$3=0,"",SUMIFS(INDEX(Inputs!$D$4:$AG$200,0,MATCH(E$2,Inputs!$D$2:$AG$2,0)),Inputs!$B$4:$B$200,$B17)/1000)</f>
        <v>49.043</v>
      </c>
      <c r="F17" s="11">
        <f>IF(F$3=0,"",SUMIFS(INDEX(Inputs!$D$4:$AG$200,0,MATCH(F$2,Inputs!$D$2:$AG$2,0)),Inputs!$B$4:$B$200,$B17)/1000)</f>
        <v>52.461</v>
      </c>
      <c r="G17" s="11">
        <f>IF(G$3=0,"",SUMIFS(INDEX(Inputs!$D$4:$AG$200,0,MATCH(G$2,Inputs!$D$2:$AG$2,0)),Inputs!$B$4:$B$200,$B17)/1000)</f>
        <v>57.68</v>
      </c>
      <c r="H17" s="12">
        <f>IF(G17="","",G17)</f>
        <v>57.68</v>
      </c>
      <c r="I17" s="11">
        <f>IF(I$3=0,"",SUMIFS(INDEX(Inputs!$D$4:$AG$200,0,MATCH(I$2,Inputs!$D$2:$AG$2,0)),Inputs!$B$4:$B$200,$B17)/1000)</f>
        <v>65.272</v>
      </c>
      <c r="J17" s="11">
        <f>IF(J$3=0,"",SUMIFS(INDEX(Inputs!$D$4:$AG$200,0,MATCH(J$2,Inputs!$D$2:$AG$2,0)),Inputs!$B$4:$B$200,$B17)/1000)</f>
        <v>64.49</v>
      </c>
      <c r="K17" s="11">
        <f>IF(K$3=0,"",SUMIFS(INDEX(Inputs!$D$4:$AG$200,0,MATCH(K$2,Inputs!$D$2:$AG$2,0)),Inputs!$B$4:$B$200,$B17)/1000)</f>
        <v>67.996</v>
      </c>
      <c r="L17" s="11">
        <f>IF(L$3=0,"",SUMIFS(INDEX(Inputs!$D$4:$AG$200,0,MATCH(L$2,Inputs!$D$2:$AG$2,0)),Inputs!$B$4:$B$200,$B17)/1000)</f>
        <v>76.943</v>
      </c>
      <c r="M17" s="12">
        <f>IF(L17="","",L17)</f>
        <v>76.943</v>
      </c>
      <c r="N17" s="11">
        <f>IF(N$3=0,"",SUMIFS(INDEX(Inputs!$D$4:$AG$200,0,MATCH(N$2,Inputs!$D$2:$AG$2,0)),Inputs!$B$4:$B$200,$B17)/1000)</f>
        <v>71.437</v>
      </c>
      <c r="O17" s="11">
        <f>IF(O$3=0,"",SUMIFS(INDEX(Inputs!$D$4:$AG$200,0,MATCH(O$2,Inputs!$D$2:$AG$2,0)),Inputs!$B$4:$B$200,$B17)/1000)</f>
        <v>64.932</v>
      </c>
      <c r="P17" s="11">
        <f>IF(P$3=0,"",SUMIFS(INDEX(Inputs!$D$4:$AG$200,0,MATCH(P$2,Inputs!$D$2:$AG$2,0)),Inputs!$B$4:$B$200,$B17)/1000)</f>
        <v>67.351</v>
      </c>
      <c r="Q17" s="11">
        <f>IF(Q$3=0,"",SUMIFS(INDEX(Inputs!$D$4:$AG$200,0,MATCH(Q$2,Inputs!$D$2:$AG$2,0)),Inputs!$B$4:$B$200,$B17)/1000)</f>
        <v>69.305</v>
      </c>
      <c r="R17" s="12">
        <f>IF(Q17="","",Q17)</f>
        <v>69.305</v>
      </c>
      <c r="S17" s="11">
        <f>IF(S$3=0,"",SUMIFS(INDEX(Inputs!$D$4:$AG$200,0,MATCH(S$2,Inputs!$D$2:$AG$2,0)),Inputs!$B$4:$B$200,$B17)/1000)</f>
        <v>64.186</v>
      </c>
      <c r="T17" s="11">
        <f>IF(T$3=0,"",SUMIFS(INDEX(Inputs!$D$4:$AG$200,0,MATCH(T$2,Inputs!$D$2:$AG$2,0)),Inputs!$B$4:$B$200,$B17)/1000)</f>
        <v>75.132</v>
      </c>
      <c r="U17" s="11">
        <f>IF(U$3=0,"",SUMIFS(INDEX(Inputs!$D$4:$AG$200,0,MATCH(U$2,Inputs!$D$2:$AG$2,0)),Inputs!$B$4:$B$200,$B17)/1000)</f>
        <v>70.671</v>
      </c>
      <c r="V17" s="11">
        <f>IF(V$3=0,"",SUMIFS(INDEX(Inputs!$D$4:$AG$200,0,MATCH(V$2,Inputs!$D$2:$AG$2,0)),Inputs!$B$4:$B$200,$B17)/1000)</f>
        <v>73.183</v>
      </c>
      <c r="W17" s="12">
        <f>IF(V17="","",V17)</f>
        <v>73.183</v>
      </c>
      <c r="X17" s="11">
        <f>IF(X$3=0,"",SUMIFS(INDEX(Inputs!$D$4:$AG$200,0,MATCH(X$2,Inputs!$D$2:$AG$2,0)),Inputs!$B$4:$B$200,$B17)/1000)</f>
        <v>74.194</v>
      </c>
      <c r="Y17" s="11">
        <f>IF(Y$3=0,"",SUMIFS(INDEX(Inputs!$D$4:$AG$200,0,MATCH(Y$2,Inputs!$D$2:$AG$2,0)),Inputs!$B$4:$B$200,$B17)/1000)</f>
        <v>75.738</v>
      </c>
      <c r="Z17" s="11">
        <f>IF(Z$3=0,"",SUMIFS(INDEX(Inputs!$D$4:$AG$200,0,MATCH(Z$2,Inputs!$D$2:$AG$2,0)),Inputs!$B$4:$B$200,$B17)/1000)</f>
        <v>77.205</v>
      </c>
      <c r="AA17" s="11">
        <f>IF(AA$3=0,"",SUMIFS(INDEX(Inputs!$D$4:$AG$200,0,MATCH(AA$2,Inputs!$D$2:$AG$2,0)),Inputs!$B$4:$B$200,$B17)/1000)</f>
        <v>97.003</v>
      </c>
      <c r="AB17" s="12">
        <f>IF(AA17="","",AA17)</f>
        <v>97.003</v>
      </c>
      <c r="AC17" s="11">
        <f>IF(AC$3=0,"",SUMIFS(INDEX(Inputs!$D$4:$AG$200,0,MATCH(AC$2,Inputs!$D$2:$AG$2,0)),Inputs!$B$4:$B$200,$B17)/1000)</f>
        <v>79.524</v>
      </c>
      <c r="AD17" s="11">
        <f>IF(AD$3=0,"",SUMIFS(INDEX(Inputs!$D$4:$AG$200,0,MATCH(AD$2,Inputs!$D$2:$AG$2,0)),Inputs!$B$4:$B$200,$B17)/1000)</f>
        <v>81.532</v>
      </c>
      <c r="AE17" s="11" t="str">
        <f>IF(AE$3=0,"",SUMIFS(INDEX(Inputs!$D$4:$AG$200,0,MATCH(AE$2,Inputs!$D$2:$AG$2,0)),Inputs!$B$4:$B$200,$B17)/1000)</f>
        <v/>
      </c>
      <c r="AF17" s="11" t="str">
        <f>IF(AF$3=0,"",SUMIFS(INDEX(Inputs!$D$4:$AG$200,0,MATCH(AF$2,Inputs!$D$2:$AG$2,0)),Inputs!$B$4:$B$200,$B17)/1000)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IF(D$3=0,"",SUMIFS(INDEX(Inputs!$D$4:$AG$200,0,MATCH(D$2,Inputs!$D$2:$AG$2,0)),Inputs!$B$4:$B$200,$B18)/1000)</f>
        <v>664.652</v>
      </c>
      <c r="E18" s="11">
        <f>IF(E$3=0,"",SUMIFS(INDEX(Inputs!$D$4:$AG$200,0,MATCH(E$2,Inputs!$D$2:$AG$2,0)),Inputs!$B$4:$B$200,$B18)/1000)</f>
        <v>652.76</v>
      </c>
      <c r="F18" s="11">
        <f>IF(F$3=0,"",SUMIFS(INDEX(Inputs!$D$4:$AG$200,0,MATCH(F$2,Inputs!$D$2:$AG$2,0)),Inputs!$B$4:$B$200,$B18)/1000)</f>
        <v>681.863</v>
      </c>
      <c r="G18" s="11">
        <f>IF(G$3=0,"",SUMIFS(INDEX(Inputs!$D$4:$AG$200,0,MATCH(G$2,Inputs!$D$2:$AG$2,0)),Inputs!$B$4:$B$200,$B18)/1000)</f>
        <v>679.462</v>
      </c>
      <c r="H18" s="12">
        <f>IF(G18="","",G18)</f>
        <v>679.462</v>
      </c>
      <c r="I18" s="11">
        <f>IF(I$3=0,"",SUMIFS(INDEX(Inputs!$D$4:$AG$200,0,MATCH(I$2,Inputs!$D$2:$AG$2,0)),Inputs!$B$4:$B$200,$B18)/1000)</f>
        <v>700.344</v>
      </c>
      <c r="J18" s="11">
        <f>IF(J$3=0,"",SUMIFS(INDEX(Inputs!$D$4:$AG$200,0,MATCH(J$2,Inputs!$D$2:$AG$2,0)),Inputs!$B$4:$B$200,$B18)/1000)</f>
        <v>702.266</v>
      </c>
      <c r="K18" s="11">
        <f>IF(K$3=0,"",SUMIFS(INDEX(Inputs!$D$4:$AG$200,0,MATCH(K$2,Inputs!$D$2:$AG$2,0)),Inputs!$B$4:$B$200,$B18)/1000)</f>
        <v>744.877</v>
      </c>
      <c r="L18" s="11">
        <f>IF(L$3=0,"",SUMIFS(INDEX(Inputs!$D$4:$AG$200,0,MATCH(L$2,Inputs!$D$2:$AG$2,0)),Inputs!$B$4:$B$200,$B18)/1000)</f>
        <v>686.874</v>
      </c>
      <c r="M18" s="12">
        <f>IF(L18="","",L18)</f>
        <v>686.874</v>
      </c>
      <c r="N18" s="11">
        <f>IF(N$3=0,"",SUMIFS(INDEX(Inputs!$D$4:$AG$200,0,MATCH(N$2,Inputs!$D$2:$AG$2,0)),Inputs!$B$4:$B$200,$B18)/1000)</f>
        <v>727.738</v>
      </c>
      <c r="O18" s="11">
        <f>IF(O$3=0,"",SUMIFS(INDEX(Inputs!$D$4:$AG$200,0,MATCH(O$2,Inputs!$D$2:$AG$2,0)),Inputs!$B$4:$B$200,$B18)/1000)</f>
        <v>731.638</v>
      </c>
      <c r="P18" s="11">
        <f>IF(P$3=0,"",SUMIFS(INDEX(Inputs!$D$4:$AG$200,0,MATCH(P$2,Inputs!$D$2:$AG$2,0)),Inputs!$B$4:$B$200,$B18)/1000)</f>
        <v>761.053</v>
      </c>
      <c r="Q18" s="11">
        <f>IF(Q$3=0,"",SUMIFS(INDEX(Inputs!$D$4:$AG$200,0,MATCH(Q$2,Inputs!$D$2:$AG$2,0)),Inputs!$B$4:$B$200,$B18)/1000)</f>
        <v>828.516</v>
      </c>
      <c r="R18" s="12">
        <f>IF(Q18="","",Q18)</f>
        <v>828.516</v>
      </c>
      <c r="S18" s="11">
        <f>IF(S$3=0,"",SUMIFS(INDEX(Inputs!$D$4:$AG$200,0,MATCH(S$2,Inputs!$D$2:$AG$2,0)),Inputs!$B$4:$B$200,$B18)/1000)</f>
        <v>834.596</v>
      </c>
      <c r="T18" s="11">
        <f>IF(T$3=0,"",SUMIFS(INDEX(Inputs!$D$4:$AG$200,0,MATCH(T$2,Inputs!$D$2:$AG$2,0)),Inputs!$B$4:$B$200,$B18)/1000)</f>
        <v>789.881</v>
      </c>
      <c r="U18" s="11">
        <f>IF(U$3=0,"",SUMIFS(INDEX(Inputs!$D$4:$AG$200,0,MATCH(U$2,Inputs!$D$2:$AG$2,0)),Inputs!$B$4:$B$200,$B18)/1000)</f>
        <v>760.728</v>
      </c>
      <c r="V18" s="11">
        <f>IF(V$3=0,"",SUMIFS(INDEX(Inputs!$D$4:$AG$200,0,MATCH(V$2,Inputs!$D$2:$AG$2,0)),Inputs!$B$4:$B$200,$B18)/1000)</f>
        <v>787.118</v>
      </c>
      <c r="W18" s="12">
        <f>IF(V18="","",V18)</f>
        <v>787.118</v>
      </c>
      <c r="X18" s="11">
        <f>IF(X$3=0,"",SUMIFS(INDEX(Inputs!$D$4:$AG$200,0,MATCH(X$2,Inputs!$D$2:$AG$2,0)),Inputs!$B$4:$B$200,$B18)/1000)</f>
        <v>925.017</v>
      </c>
      <c r="Y18" s="11">
        <f>IF(Y$3=0,"",SUMIFS(INDEX(Inputs!$D$4:$AG$200,0,MATCH(Y$2,Inputs!$D$2:$AG$2,0)),Inputs!$B$4:$B$200,$B18)/1000)</f>
        <v>987.57</v>
      </c>
      <c r="Z18" s="11">
        <f>IF(Z$3=0,"",SUMIFS(INDEX(Inputs!$D$4:$AG$200,0,MATCH(Z$2,Inputs!$D$2:$AG$2,0)),Inputs!$B$4:$B$200,$B18)/1000)</f>
        <v>947.251</v>
      </c>
      <c r="AA18" s="11">
        <f>IF(AA$3=0,"",SUMIFS(INDEX(Inputs!$D$4:$AG$200,0,MATCH(AA$2,Inputs!$D$2:$AG$2,0)),Inputs!$B$4:$B$200,$B18)/1000)</f>
        <v>940.662</v>
      </c>
      <c r="AB18" s="12">
        <f>IF(AA18="","",AA18)</f>
        <v>940.662</v>
      </c>
      <c r="AC18" s="11">
        <f>IF(AC$3=0,"",SUMIFS(INDEX(Inputs!$D$4:$AG$200,0,MATCH(AC$2,Inputs!$D$2:$AG$2,0)),Inputs!$B$4:$B$200,$B18)/1000)</f>
        <v>928.528</v>
      </c>
      <c r="AD18" s="11">
        <f>IF(AD$3=0,"",SUMIFS(INDEX(Inputs!$D$4:$AG$200,0,MATCH(AD$2,Inputs!$D$2:$AG$2,0)),Inputs!$B$4:$B$200,$B18)/1000)</f>
        <v>860.532</v>
      </c>
      <c r="AE18" s="11" t="str">
        <f>IF(AE$3=0,"",SUMIFS(INDEX(Inputs!$D$4:$AG$200,0,MATCH(AE$2,Inputs!$D$2:$AG$2,0)),Inputs!$B$4:$B$200,$B18)/1000)</f>
        <v/>
      </c>
      <c r="AF18" s="11" t="str">
        <f>IF(AF$3=0,"",SUMIFS(INDEX(Inputs!$D$4:$AG$200,0,MATCH(AF$2,Inputs!$D$2:$AG$2,0)),Inputs!$B$4:$B$200,$B18)/1000)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IF(D$3=0,"",SUMIFS(INDEX(Inputs!$D$4:$AG$200,0,MATCH(D$2,Inputs!$D$2:$AG$2,0)),Inputs!$B$4:$B$200,$B19)/1000)</f>
        <v>0</v>
      </c>
      <c r="E19" s="11">
        <f>IF(E$3=0,"",SUMIFS(INDEX(Inputs!$D$4:$AG$200,0,MATCH(E$2,Inputs!$D$2:$AG$2,0)),Inputs!$B$4:$B$200,$B19)/1000)</f>
        <v>0</v>
      </c>
      <c r="F19" s="11">
        <f>IF(F$3=0,"",SUMIFS(INDEX(Inputs!$D$4:$AG$200,0,MATCH(F$2,Inputs!$D$2:$AG$2,0)),Inputs!$B$4:$B$200,$B19)/1000)</f>
        <v>0</v>
      </c>
      <c r="G19" s="11">
        <f>IF(G$3=0,"",SUMIFS(INDEX(Inputs!$D$4:$AG$200,0,MATCH(G$2,Inputs!$D$2:$AG$2,0)),Inputs!$B$4:$B$200,$B19)/1000)</f>
        <v>0</v>
      </c>
      <c r="H19" s="12">
        <f>IF(G19="","",G19)</f>
        <v>0</v>
      </c>
      <c r="I19" s="11">
        <f>IF(I$3=0,"",SUMIFS(INDEX(Inputs!$D$4:$AG$200,0,MATCH(I$2,Inputs!$D$2:$AG$2,0)),Inputs!$B$4:$B$200,$B19)/1000)</f>
        <v>0</v>
      </c>
      <c r="J19" s="11">
        <f>IF(J$3=0,"",SUMIFS(INDEX(Inputs!$D$4:$AG$200,0,MATCH(J$2,Inputs!$D$2:$AG$2,0)),Inputs!$B$4:$B$200,$B19)/1000)</f>
        <v>0</v>
      </c>
      <c r="K19" s="11">
        <f>IF(K$3=0,"",SUMIFS(INDEX(Inputs!$D$4:$AG$200,0,MATCH(K$2,Inputs!$D$2:$AG$2,0)),Inputs!$B$4:$B$200,$B19)/1000)</f>
        <v>0</v>
      </c>
      <c r="L19" s="11">
        <f>IF(L$3=0,"",SUMIFS(INDEX(Inputs!$D$4:$AG$200,0,MATCH(L$2,Inputs!$D$2:$AG$2,0)),Inputs!$B$4:$B$200,$B19)/1000)</f>
        <v>0</v>
      </c>
      <c r="M19" s="12">
        <f>IF(L19="","",L19)</f>
        <v>0</v>
      </c>
      <c r="N19" s="11">
        <f>IF(N$3=0,"",SUMIFS(INDEX(Inputs!$D$4:$AG$200,0,MATCH(N$2,Inputs!$D$2:$AG$2,0)),Inputs!$B$4:$B$200,$B19)/1000)</f>
        <v>0</v>
      </c>
      <c r="O19" s="11">
        <f>IF(O$3=0,"",SUMIFS(INDEX(Inputs!$D$4:$AG$200,0,MATCH(O$2,Inputs!$D$2:$AG$2,0)),Inputs!$B$4:$B$200,$B19)/1000)</f>
        <v>0</v>
      </c>
      <c r="P19" s="11">
        <f>IF(P$3=0,"",SUMIFS(INDEX(Inputs!$D$4:$AG$200,0,MATCH(P$2,Inputs!$D$2:$AG$2,0)),Inputs!$B$4:$B$200,$B19)/1000)</f>
        <v>0</v>
      </c>
      <c r="Q19" s="11">
        <f>IF(Q$3=0,"",SUMIFS(INDEX(Inputs!$D$4:$AG$200,0,MATCH(Q$2,Inputs!$D$2:$AG$2,0)),Inputs!$B$4:$B$200,$B19)/1000)</f>
        <v>0</v>
      </c>
      <c r="R19" s="12">
        <f>IF(Q19="","",Q19)</f>
        <v>0</v>
      </c>
      <c r="S19" s="11">
        <f>IF(S$3=0,"",SUMIFS(INDEX(Inputs!$D$4:$AG$200,0,MATCH(S$2,Inputs!$D$2:$AG$2,0)),Inputs!$B$4:$B$200,$B19)/1000)</f>
        <v>0</v>
      </c>
      <c r="T19" s="11">
        <f>IF(T$3=0,"",SUMIFS(INDEX(Inputs!$D$4:$AG$200,0,MATCH(T$2,Inputs!$D$2:$AG$2,0)),Inputs!$B$4:$B$200,$B19)/1000)</f>
        <v>0</v>
      </c>
      <c r="U19" s="11">
        <f>IF(U$3=0,"",SUMIFS(INDEX(Inputs!$D$4:$AG$200,0,MATCH(U$2,Inputs!$D$2:$AG$2,0)),Inputs!$B$4:$B$200,$B19)/1000)</f>
        <v>0</v>
      </c>
      <c r="V19" s="11">
        <f>IF(V$3=0,"",SUMIFS(INDEX(Inputs!$D$4:$AG$200,0,MATCH(V$2,Inputs!$D$2:$AG$2,0)),Inputs!$B$4:$B$200,$B19)/1000)</f>
        <v>0</v>
      </c>
      <c r="W19" s="12">
        <f>IF(V19="","",V19)</f>
        <v>0</v>
      </c>
      <c r="X19" s="11">
        <f>IF(X$3=0,"",SUMIFS(INDEX(Inputs!$D$4:$AG$200,0,MATCH(X$2,Inputs!$D$2:$AG$2,0)),Inputs!$B$4:$B$200,$B19)/1000)</f>
        <v>0</v>
      </c>
      <c r="Y19" s="11">
        <f>IF(Y$3=0,"",SUMIFS(INDEX(Inputs!$D$4:$AG$200,0,MATCH(Y$2,Inputs!$D$2:$AG$2,0)),Inputs!$B$4:$B$200,$B19)/1000)</f>
        <v>0</v>
      </c>
      <c r="Z19" s="11">
        <f>IF(Z$3=0,"",SUMIFS(INDEX(Inputs!$D$4:$AG$200,0,MATCH(Z$2,Inputs!$D$2:$AG$2,0)),Inputs!$B$4:$B$200,$B19)/1000)</f>
        <v>0</v>
      </c>
      <c r="AA19" s="11">
        <f>IF(AA$3=0,"",SUMIFS(INDEX(Inputs!$D$4:$AG$200,0,MATCH(AA$2,Inputs!$D$2:$AG$2,0)),Inputs!$B$4:$B$200,$B19)/1000)</f>
        <v>0</v>
      </c>
      <c r="AB19" s="12">
        <f>IF(AA19="","",AA19)</f>
        <v>0</v>
      </c>
      <c r="AC19" s="11">
        <f>IF(AC$3=0,"",SUMIFS(INDEX(Inputs!$D$4:$AG$200,0,MATCH(AC$2,Inputs!$D$2:$AG$2,0)),Inputs!$B$4:$B$200,$B19)/1000)</f>
        <v>0</v>
      </c>
      <c r="AD19" s="11">
        <f>IF(AD$3=0,"",SUMIFS(INDEX(Inputs!$D$4:$AG$200,0,MATCH(AD$2,Inputs!$D$2:$AG$2,0)),Inputs!$B$4:$B$200,$B19)/1000)</f>
        <v>0</v>
      </c>
      <c r="AE19" s="11" t="str">
        <f>IF(AE$3=0,"",SUMIFS(INDEX(Inputs!$D$4:$AG$200,0,MATCH(AE$2,Inputs!$D$2:$AG$2,0)),Inputs!$B$4:$B$200,$B19)/1000)</f>
        <v/>
      </c>
      <c r="AF19" s="11" t="str">
        <f>IF(AF$3=0,"",SUMIFS(INDEX(Inputs!$D$4:$AG$200,0,MATCH(AF$2,Inputs!$D$2:$AG$2,0)),Inputs!$B$4:$B$200,$B19)/1000)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IF(D$3=0,"",SUMIFS(INDEX(Inputs!$D$4:$AG$200,0,MATCH(D$2,Inputs!$D$2:$AG$2,0)),Inputs!$B$4:$B$200,$B20)/1000)</f>
        <v>56.929</v>
      </c>
      <c r="E20" s="11">
        <f>IF(E$3=0,"",SUMIFS(INDEX(Inputs!$D$4:$AG$200,0,MATCH(E$2,Inputs!$D$2:$AG$2,0)),Inputs!$B$4:$B$200,$B20)/1000)</f>
        <v>79.414</v>
      </c>
      <c r="F20" s="11">
        <f>IF(F$3=0,"",SUMIFS(INDEX(Inputs!$D$4:$AG$200,0,MATCH(F$2,Inputs!$D$2:$AG$2,0)),Inputs!$B$4:$B$200,$B20)/1000)</f>
        <v>63.107</v>
      </c>
      <c r="G20" s="11">
        <f>IF(G$3=0,"",SUMIFS(INDEX(Inputs!$D$4:$AG$200,0,MATCH(G$2,Inputs!$D$2:$AG$2,0)),Inputs!$B$4:$B$200,$B20)/1000)</f>
        <v>59.362</v>
      </c>
      <c r="H20" s="12">
        <f>IF(G20="","",G20)</f>
        <v>59.362</v>
      </c>
      <c r="I20" s="11">
        <f>IF(I$3=0,"",SUMIFS(INDEX(Inputs!$D$4:$AG$200,0,MATCH(I$2,Inputs!$D$2:$AG$2,0)),Inputs!$B$4:$B$200,$B20)/1000)</f>
        <v>58.694</v>
      </c>
      <c r="J20" s="11">
        <f>IF(J$3=0,"",SUMIFS(INDEX(Inputs!$D$4:$AG$200,0,MATCH(J$2,Inputs!$D$2:$AG$2,0)),Inputs!$B$4:$B$200,$B20)/1000)</f>
        <v>100.842</v>
      </c>
      <c r="K20" s="11">
        <f>IF(K$3=0,"",SUMIFS(INDEX(Inputs!$D$4:$AG$200,0,MATCH(K$2,Inputs!$D$2:$AG$2,0)),Inputs!$B$4:$B$200,$B20)/1000)</f>
        <v>80.553</v>
      </c>
      <c r="L20" s="11">
        <f>IF(L$3=0,"",SUMIFS(INDEX(Inputs!$D$4:$AG$200,0,MATCH(L$2,Inputs!$D$2:$AG$2,0)),Inputs!$B$4:$B$200,$B20)/1000)</f>
        <v>98.791</v>
      </c>
      <c r="M20" s="12">
        <f>IF(L20="","",L20)</f>
        <v>98.791</v>
      </c>
      <c r="N20" s="11">
        <f>IF(N$3=0,"",SUMIFS(INDEX(Inputs!$D$4:$AG$200,0,MATCH(N$2,Inputs!$D$2:$AG$2,0)),Inputs!$B$4:$B$200,$B20)/1000)</f>
        <v>116.423</v>
      </c>
      <c r="O20" s="11">
        <f>IF(O$3=0,"",SUMIFS(INDEX(Inputs!$D$4:$AG$200,0,MATCH(O$2,Inputs!$D$2:$AG$2,0)),Inputs!$B$4:$B$200,$B20)/1000)</f>
        <v>181.95</v>
      </c>
      <c r="P20" s="11">
        <f>IF(P$3=0,"",SUMIFS(INDEX(Inputs!$D$4:$AG$200,0,MATCH(P$2,Inputs!$D$2:$AG$2,0)),Inputs!$B$4:$B$200,$B20)/1000)</f>
        <v>102.544</v>
      </c>
      <c r="Q20" s="11">
        <f>IF(Q$3=0,"",SUMIFS(INDEX(Inputs!$D$4:$AG$200,0,MATCH(Q$2,Inputs!$D$2:$AG$2,0)),Inputs!$B$4:$B$200,$B20)/1000)</f>
        <v>162.067</v>
      </c>
      <c r="R20" s="12">
        <f>IF(Q20="","",Q20)</f>
        <v>162.067</v>
      </c>
      <c r="S20" s="11">
        <f>IF(S$3=0,"",SUMIFS(INDEX(Inputs!$D$4:$AG$200,0,MATCH(S$2,Inputs!$D$2:$AG$2,0)),Inputs!$B$4:$B$200,$B20)/1000)</f>
        <v>191.2</v>
      </c>
      <c r="T20" s="11">
        <f>IF(T$3=0,"",SUMIFS(INDEX(Inputs!$D$4:$AG$200,0,MATCH(T$2,Inputs!$D$2:$AG$2,0)),Inputs!$B$4:$B$200,$B20)/1000)</f>
        <v>364.706</v>
      </c>
      <c r="U20" s="11">
        <f>IF(U$3=0,"",SUMIFS(INDEX(Inputs!$D$4:$AG$200,0,MATCH(U$2,Inputs!$D$2:$AG$2,0)),Inputs!$B$4:$B$200,$B20)/1000)</f>
        <v>276.806</v>
      </c>
      <c r="V20" s="11">
        <f>IF(V$3=0,"",SUMIFS(INDEX(Inputs!$D$4:$AG$200,0,MATCH(V$2,Inputs!$D$2:$AG$2,0)),Inputs!$B$4:$B$200,$B20)/1000)</f>
        <v>171.436</v>
      </c>
      <c r="W20" s="12">
        <f>IF(V20="","",V20)</f>
        <v>171.436</v>
      </c>
      <c r="X20" s="11">
        <f>IF(X$3=0,"",SUMIFS(INDEX(Inputs!$D$4:$AG$200,0,MATCH(X$2,Inputs!$D$2:$AG$2,0)),Inputs!$B$4:$B$200,$B20)/1000)</f>
        <v>231.045</v>
      </c>
      <c r="Y20" s="11">
        <f>IF(Y$3=0,"",SUMIFS(INDEX(Inputs!$D$4:$AG$200,0,MATCH(Y$2,Inputs!$D$2:$AG$2,0)),Inputs!$B$4:$B$200,$B20)/1000)</f>
        <v>327.967</v>
      </c>
      <c r="Z20" s="11">
        <f>IF(Z$3=0,"",SUMIFS(INDEX(Inputs!$D$4:$AG$200,0,MATCH(Z$2,Inputs!$D$2:$AG$2,0)),Inputs!$B$4:$B$200,$B20)/1000)</f>
        <v>314.469</v>
      </c>
      <c r="AA20" s="11">
        <f>IF(AA$3=0,"",SUMIFS(INDEX(Inputs!$D$4:$AG$200,0,MATCH(AA$2,Inputs!$D$2:$AG$2,0)),Inputs!$B$4:$B$200,$B20)/1000)</f>
        <v>342.144</v>
      </c>
      <c r="AB20" s="12">
        <f>IF(AA20="","",AA20)</f>
        <v>342.144</v>
      </c>
      <c r="AC20" s="11">
        <f>IF(AC$3=0,"",SUMIFS(INDEX(Inputs!$D$4:$AG$200,0,MATCH(AC$2,Inputs!$D$2:$AG$2,0)),Inputs!$B$4:$B$200,$B20)/1000)</f>
        <v>367.028</v>
      </c>
      <c r="AD20" s="11">
        <f>IF(AD$3=0,"",SUMIFS(INDEX(Inputs!$D$4:$AG$200,0,MATCH(AD$2,Inputs!$D$2:$AG$2,0)),Inputs!$B$4:$B$200,$B20)/1000)</f>
        <v>392.732</v>
      </c>
      <c r="AE20" s="11" t="str">
        <f>IF(AE$3=0,"",SUMIFS(INDEX(Inputs!$D$4:$AG$200,0,MATCH(AE$2,Inputs!$D$2:$AG$2,0)),Inputs!$B$4:$B$200,$B20)/1000)</f>
        <v/>
      </c>
      <c r="AF20" s="11" t="str">
        <f>IF(AF$3=0,"",SUMIFS(INDEX(Inputs!$D$4:$AG$200,0,MATCH(AF$2,Inputs!$D$2:$AG$2,0)),Inputs!$B$4:$B$200,$B20)/1000)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IF(D$3=0,"",SUMIFS(INDEX(Inputs!$D$4:$AG$200,0,MATCH(D$2,Inputs!$D$2:$AG$2,0)),Inputs!$B$4:$B$200,$B21)/1000)</f>
        <v>2.018</v>
      </c>
      <c r="E21" s="11">
        <f>IF(E$3=0,"",SUMIFS(INDEX(Inputs!$D$4:$AG$200,0,MATCH(E$2,Inputs!$D$2:$AG$2,0)),Inputs!$B$4:$B$200,$B21)/1000)</f>
        <v>3.047</v>
      </c>
      <c r="F21" s="11">
        <f>IF(F$3=0,"",SUMIFS(INDEX(Inputs!$D$4:$AG$200,0,MATCH(F$2,Inputs!$D$2:$AG$2,0)),Inputs!$B$4:$B$200,$B21)/1000)</f>
        <v>3.031</v>
      </c>
      <c r="G21" s="11">
        <f>IF(G$3=0,"",SUMIFS(INDEX(Inputs!$D$4:$AG$200,0,MATCH(G$2,Inputs!$D$2:$AG$2,0)),Inputs!$B$4:$B$200,$B21)/1000)</f>
        <v>2.03</v>
      </c>
      <c r="H21" s="12">
        <f>IF(G21="","",G21)</f>
        <v>2.03</v>
      </c>
      <c r="I21" s="11">
        <f>IF(I$3=0,"",SUMIFS(INDEX(Inputs!$D$4:$AG$200,0,MATCH(I$2,Inputs!$D$2:$AG$2,0)),Inputs!$B$4:$B$200,$B21)/1000)</f>
        <v>2.103</v>
      </c>
      <c r="J21" s="11">
        <f>IF(J$3=0,"",SUMIFS(INDEX(Inputs!$D$4:$AG$200,0,MATCH(J$2,Inputs!$D$2:$AG$2,0)),Inputs!$B$4:$B$200,$B21)/1000)</f>
        <v>3.406</v>
      </c>
      <c r="K21" s="11">
        <f>IF(K$3=0,"",SUMIFS(INDEX(Inputs!$D$4:$AG$200,0,MATCH(K$2,Inputs!$D$2:$AG$2,0)),Inputs!$B$4:$B$200,$B21)/1000)</f>
        <v>4.677</v>
      </c>
      <c r="L21" s="11">
        <f>IF(L$3=0,"",SUMIFS(INDEX(Inputs!$D$4:$AG$200,0,MATCH(L$2,Inputs!$D$2:$AG$2,0)),Inputs!$B$4:$B$200,$B21)/1000)</f>
        <v>1.988</v>
      </c>
      <c r="M21" s="12">
        <f>IF(L21="","",L21)</f>
        <v>1.988</v>
      </c>
      <c r="N21" s="11">
        <f>IF(N$3=0,"",SUMIFS(INDEX(Inputs!$D$4:$AG$200,0,MATCH(N$2,Inputs!$D$2:$AG$2,0)),Inputs!$B$4:$B$200,$B21)/1000)</f>
        <v>2.454</v>
      </c>
      <c r="O21" s="11">
        <f>IF(O$3=0,"",SUMIFS(INDEX(Inputs!$D$4:$AG$200,0,MATCH(O$2,Inputs!$D$2:$AG$2,0)),Inputs!$B$4:$B$200,$B21)/1000)</f>
        <v>2.989</v>
      </c>
      <c r="P21" s="11">
        <f>IF(P$3=0,"",SUMIFS(INDEX(Inputs!$D$4:$AG$200,0,MATCH(P$2,Inputs!$D$2:$AG$2,0)),Inputs!$B$4:$B$200,$B21)/1000)</f>
        <v>3.073</v>
      </c>
      <c r="Q21" s="11">
        <f>IF(Q$3=0,"",SUMIFS(INDEX(Inputs!$D$4:$AG$200,0,MATCH(Q$2,Inputs!$D$2:$AG$2,0)),Inputs!$B$4:$B$200,$B21)/1000)</f>
        <v>2.282</v>
      </c>
      <c r="R21" s="12">
        <f>IF(Q21="","",Q21)</f>
        <v>2.282</v>
      </c>
      <c r="S21" s="11">
        <f>IF(S$3=0,"",SUMIFS(INDEX(Inputs!$D$4:$AG$200,0,MATCH(S$2,Inputs!$D$2:$AG$2,0)),Inputs!$B$4:$B$200,$B21)/1000)</f>
        <v>2.227</v>
      </c>
      <c r="T21" s="11">
        <f>IF(T$3=0,"",SUMIFS(INDEX(Inputs!$D$4:$AG$200,0,MATCH(T$2,Inputs!$D$2:$AG$2,0)),Inputs!$B$4:$B$200,$B21)/1000)</f>
        <v>2.374</v>
      </c>
      <c r="U21" s="11">
        <f>IF(U$3=0,"",SUMIFS(INDEX(Inputs!$D$4:$AG$200,0,MATCH(U$2,Inputs!$D$2:$AG$2,0)),Inputs!$B$4:$B$200,$B21)/1000)</f>
        <v>2.462</v>
      </c>
      <c r="V21" s="11">
        <f>IF(V$3=0,"",SUMIFS(INDEX(Inputs!$D$4:$AG$200,0,MATCH(V$2,Inputs!$D$2:$AG$2,0)),Inputs!$B$4:$B$200,$B21)/1000)</f>
        <v>2.184</v>
      </c>
      <c r="W21" s="12">
        <f>IF(V21="","",V21)</f>
        <v>2.184</v>
      </c>
      <c r="X21" s="11">
        <f>IF(X$3=0,"",SUMIFS(INDEX(Inputs!$D$4:$AG$200,0,MATCH(X$2,Inputs!$D$2:$AG$2,0)),Inputs!$B$4:$B$200,$B21)/1000)</f>
        <v>2.31</v>
      </c>
      <c r="Y21" s="11">
        <f>IF(Y$3=0,"",SUMIFS(INDEX(Inputs!$D$4:$AG$200,0,MATCH(Y$2,Inputs!$D$2:$AG$2,0)),Inputs!$B$4:$B$200,$B21)/1000)</f>
        <v>2.144</v>
      </c>
      <c r="Z21" s="11">
        <f>IF(Z$3=0,"",SUMIFS(INDEX(Inputs!$D$4:$AG$200,0,MATCH(Z$2,Inputs!$D$2:$AG$2,0)),Inputs!$B$4:$B$200,$B21)/1000)</f>
        <v>2.109</v>
      </c>
      <c r="AA21" s="11">
        <f>IF(AA$3=0,"",SUMIFS(INDEX(Inputs!$D$4:$AG$200,0,MATCH(AA$2,Inputs!$D$2:$AG$2,0)),Inputs!$B$4:$B$200,$B21)/1000)</f>
        <v>2.049</v>
      </c>
      <c r="AB21" s="12">
        <f>IF(AA21="","",AA21)</f>
        <v>2.049</v>
      </c>
      <c r="AC21" s="11">
        <f>IF(AC$3=0,"",SUMIFS(INDEX(Inputs!$D$4:$AG$200,0,MATCH(AC$2,Inputs!$D$2:$AG$2,0)),Inputs!$B$4:$B$200,$B21)/1000)</f>
        <v>2.168</v>
      </c>
      <c r="AD21" s="11">
        <f>IF(AD$3=0,"",SUMIFS(INDEX(Inputs!$D$4:$AG$200,0,MATCH(AD$2,Inputs!$D$2:$AG$2,0)),Inputs!$B$4:$B$200,$B21)/1000)</f>
        <v>2.02</v>
      </c>
      <c r="AE21" s="11" t="str">
        <f>IF(AE$3=0,"",SUMIFS(INDEX(Inputs!$D$4:$AG$200,0,MATCH(AE$2,Inputs!$D$2:$AG$2,0)),Inputs!$B$4:$B$200,$B21)/1000)</f>
        <v/>
      </c>
      <c r="AF21" s="11" t="str">
        <f>IF(AF$3=0,"",SUMIFS(INDEX(Inputs!$D$4:$AG$200,0,MATCH(AF$2,Inputs!$D$2:$AG$2,0)),Inputs!$B$4:$B$200,$B21)/1000)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IF(D$3=0,"",SUMIFS(INDEX(Inputs!$D$4:$AG$200,0,MATCH(D$2,Inputs!$D$2:$AG$2,0)),Inputs!$B$4:$B$200,$B22)/1000)</f>
        <v>221.832</v>
      </c>
      <c r="E22" s="11">
        <f>IF(E$3=0,"",SUMIFS(INDEX(Inputs!$D$4:$AG$200,0,MATCH(E$2,Inputs!$D$2:$AG$2,0)),Inputs!$B$4:$B$200,$B22)/1000)</f>
        <v>219.165</v>
      </c>
      <c r="F22" s="11">
        <f>IF(F$3=0,"",SUMIFS(INDEX(Inputs!$D$4:$AG$200,0,MATCH(F$2,Inputs!$D$2:$AG$2,0)),Inputs!$B$4:$B$200,$B22)/1000)</f>
        <v>216.543</v>
      </c>
      <c r="G22" s="11">
        <f>IF(G$3=0,"",SUMIFS(INDEX(Inputs!$D$4:$AG$200,0,MATCH(G$2,Inputs!$D$2:$AG$2,0)),Inputs!$B$4:$B$200,$B22)/1000)</f>
        <v>225.727</v>
      </c>
      <c r="H22" s="12">
        <f>IF(G22="","",G22)</f>
        <v>225.727</v>
      </c>
      <c r="I22" s="11">
        <f>IF(I$3=0,"",SUMIFS(INDEX(Inputs!$D$4:$AG$200,0,MATCH(I$2,Inputs!$D$2:$AG$2,0)),Inputs!$B$4:$B$200,$B22)/1000)</f>
        <v>224.408</v>
      </c>
      <c r="J22" s="11">
        <f>IF(J$3=0,"",SUMIFS(INDEX(Inputs!$D$4:$AG$200,0,MATCH(J$2,Inputs!$D$2:$AG$2,0)),Inputs!$B$4:$B$200,$B22)/1000)</f>
        <v>221.096</v>
      </c>
      <c r="K22" s="11">
        <f>IF(K$3=0,"",SUMIFS(INDEX(Inputs!$D$4:$AG$200,0,MATCH(K$2,Inputs!$D$2:$AG$2,0)),Inputs!$B$4:$B$200,$B22)/1000)</f>
        <v>220.143</v>
      </c>
      <c r="L22" s="11">
        <f>IF(L$3=0,"",SUMIFS(INDEX(Inputs!$D$4:$AG$200,0,MATCH(L$2,Inputs!$D$2:$AG$2,0)),Inputs!$B$4:$B$200,$B22)/1000)</f>
        <v>219.501</v>
      </c>
      <c r="M22" s="12">
        <f>IF(L22="","",L22)</f>
        <v>219.501</v>
      </c>
      <c r="N22" s="11">
        <f>IF(N$3=0,"",SUMIFS(INDEX(Inputs!$D$4:$AG$200,0,MATCH(N$2,Inputs!$D$2:$AG$2,0)),Inputs!$B$4:$B$200,$B22)/1000)</f>
        <v>215.897</v>
      </c>
      <c r="O22" s="11">
        <f>IF(O$3=0,"",SUMIFS(INDEX(Inputs!$D$4:$AG$200,0,MATCH(O$2,Inputs!$D$2:$AG$2,0)),Inputs!$B$4:$B$200,$B22)/1000)</f>
        <v>220.937</v>
      </c>
      <c r="P22" s="11">
        <f>IF(P$3=0,"",SUMIFS(INDEX(Inputs!$D$4:$AG$200,0,MATCH(P$2,Inputs!$D$2:$AG$2,0)),Inputs!$B$4:$B$200,$B22)/1000)</f>
        <v>221.348</v>
      </c>
      <c r="Q22" s="11">
        <f>IF(Q$3=0,"",SUMIFS(INDEX(Inputs!$D$4:$AG$200,0,MATCH(Q$2,Inputs!$D$2:$AG$2,0)),Inputs!$B$4:$B$200,$B22)/1000)</f>
        <v>218.627</v>
      </c>
      <c r="R22" s="12">
        <f>IF(Q22="","",Q22)</f>
        <v>218.627</v>
      </c>
      <c r="S22" s="11">
        <f>IF(S$3=0,"",SUMIFS(INDEX(Inputs!$D$4:$AG$200,0,MATCH(S$2,Inputs!$D$2:$AG$2,0)),Inputs!$B$4:$B$200,$B22)/1000)</f>
        <v>219.212</v>
      </c>
      <c r="T22" s="11">
        <f>IF(T$3=0,"",SUMIFS(INDEX(Inputs!$D$4:$AG$200,0,MATCH(T$2,Inputs!$D$2:$AG$2,0)),Inputs!$B$4:$B$200,$B22)/1000)</f>
        <v>217.813</v>
      </c>
      <c r="U22" s="11">
        <f>IF(U$3=0,"",SUMIFS(INDEX(Inputs!$D$4:$AG$200,0,MATCH(U$2,Inputs!$D$2:$AG$2,0)),Inputs!$B$4:$B$200,$B22)/1000)</f>
        <v>216.721</v>
      </c>
      <c r="V22" s="11">
        <f>IF(V$3=0,"",SUMIFS(INDEX(Inputs!$D$4:$AG$200,0,MATCH(V$2,Inputs!$D$2:$AG$2,0)),Inputs!$B$4:$B$200,$B22)/1000)</f>
        <v>216.485</v>
      </c>
      <c r="W22" s="12">
        <f>IF(V22="","",V22)</f>
        <v>216.485</v>
      </c>
      <c r="X22" s="11">
        <f>IF(X$3=0,"",SUMIFS(INDEX(Inputs!$D$4:$AG$200,0,MATCH(X$2,Inputs!$D$2:$AG$2,0)),Inputs!$B$4:$B$200,$B22)/1000)</f>
        <v>224.254</v>
      </c>
      <c r="Y22" s="11">
        <f>IF(Y$3=0,"",SUMIFS(INDEX(Inputs!$D$4:$AG$200,0,MATCH(Y$2,Inputs!$D$2:$AG$2,0)),Inputs!$B$4:$B$200,$B22)/1000)</f>
        <v>226.359</v>
      </c>
      <c r="Z22" s="11">
        <f>IF(Z$3=0,"",SUMIFS(INDEX(Inputs!$D$4:$AG$200,0,MATCH(Z$2,Inputs!$D$2:$AG$2,0)),Inputs!$B$4:$B$200,$B22)/1000)</f>
        <v>235.099</v>
      </c>
      <c r="AA22" s="11">
        <f>IF(AA$3=0,"",SUMIFS(INDEX(Inputs!$D$4:$AG$200,0,MATCH(AA$2,Inputs!$D$2:$AG$2,0)),Inputs!$B$4:$B$200,$B22)/1000)</f>
        <v>245.83</v>
      </c>
      <c r="AB22" s="12">
        <f>IF(AA22="","",AA22)</f>
        <v>245.83</v>
      </c>
      <c r="AC22" s="11">
        <f>IF(AC$3=0,"",SUMIFS(INDEX(Inputs!$D$4:$AG$200,0,MATCH(AC$2,Inputs!$D$2:$AG$2,0)),Inputs!$B$4:$B$200,$B22)/1000)</f>
        <v>245.063</v>
      </c>
      <c r="AD22" s="11">
        <f>IF(AD$3=0,"",SUMIFS(INDEX(Inputs!$D$4:$AG$200,0,MATCH(AD$2,Inputs!$D$2:$AG$2,0)),Inputs!$B$4:$B$200,$B22)/1000)</f>
        <v>257.762</v>
      </c>
      <c r="AE22" s="11" t="str">
        <f>IF(AE$3=0,"",SUMIFS(INDEX(Inputs!$D$4:$AG$200,0,MATCH(AE$2,Inputs!$D$2:$AG$2,0)),Inputs!$B$4:$B$200,$B22)/1000)</f>
        <v/>
      </c>
      <c r="AF22" s="11" t="str">
        <f>IF(AF$3=0,"",SUMIFS(INDEX(Inputs!$D$4:$AG$200,0,MATCH(AF$2,Inputs!$D$2:$AG$2,0)),Inputs!$B$4:$B$200,$B22)/1000)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IF(D$3=0,"",SUMIFS(INDEX(Inputs!$D$4:$AG$200,0,MATCH(D$2,Inputs!$D$2:$AG$2,0)),Inputs!$B$4:$B$200,$B23)/1000)</f>
        <v>240.422</v>
      </c>
      <c r="E23" s="11">
        <f>IF(E$3=0,"",SUMIFS(INDEX(Inputs!$D$4:$AG$200,0,MATCH(E$2,Inputs!$D$2:$AG$2,0)),Inputs!$B$4:$B$200,$B23)/1000)</f>
        <v>258.617</v>
      </c>
      <c r="F23" s="11">
        <f>IF(F$3=0,"",SUMIFS(INDEX(Inputs!$D$4:$AG$200,0,MATCH(F$2,Inputs!$D$2:$AG$2,0)),Inputs!$B$4:$B$200,$B23)/1000)</f>
        <v>257.036</v>
      </c>
      <c r="G23" s="11">
        <f>IF(G$3=0,"",SUMIFS(INDEX(Inputs!$D$4:$AG$200,0,MATCH(G$2,Inputs!$D$2:$AG$2,0)),Inputs!$B$4:$B$200,$B23)/1000)</f>
        <v>269.132</v>
      </c>
      <c r="H23" s="12">
        <f>IF(G23="","",G23)</f>
        <v>269.132</v>
      </c>
      <c r="I23" s="11">
        <f>IF(I$3=0,"",SUMIFS(INDEX(Inputs!$D$4:$AG$200,0,MATCH(I$2,Inputs!$D$2:$AG$2,0)),Inputs!$B$4:$B$200,$B23)/1000)</f>
        <v>272.419</v>
      </c>
      <c r="J23" s="11">
        <f>IF(J$3=0,"",SUMIFS(INDEX(Inputs!$D$4:$AG$200,0,MATCH(J$2,Inputs!$D$2:$AG$2,0)),Inputs!$B$4:$B$200,$B23)/1000)</f>
        <v>262.273</v>
      </c>
      <c r="K23" s="11">
        <f>IF(K$3=0,"",SUMIFS(INDEX(Inputs!$D$4:$AG$200,0,MATCH(K$2,Inputs!$D$2:$AG$2,0)),Inputs!$B$4:$B$200,$B23)/1000)</f>
        <v>260.558</v>
      </c>
      <c r="L23" s="11">
        <f>IF(L$3=0,"",SUMIFS(INDEX(Inputs!$D$4:$AG$200,0,MATCH(L$2,Inputs!$D$2:$AG$2,0)),Inputs!$B$4:$B$200,$B23)/1000)</f>
        <v>328.512</v>
      </c>
      <c r="M23" s="12">
        <f>IF(L23="","",L23)</f>
        <v>328.512</v>
      </c>
      <c r="N23" s="11">
        <f>IF(N$3=0,"",SUMIFS(INDEX(Inputs!$D$4:$AG$200,0,MATCH(N$2,Inputs!$D$2:$AG$2,0)),Inputs!$B$4:$B$200,$B23)/1000)</f>
        <v>313.334</v>
      </c>
      <c r="O23" s="11">
        <f>IF(O$3=0,"",SUMIFS(INDEX(Inputs!$D$4:$AG$200,0,MATCH(O$2,Inputs!$D$2:$AG$2,0)),Inputs!$B$4:$B$200,$B23)/1000)</f>
        <v>333.31</v>
      </c>
      <c r="P23" s="11">
        <f>IF(P$3=0,"",SUMIFS(INDEX(Inputs!$D$4:$AG$200,0,MATCH(P$2,Inputs!$D$2:$AG$2,0)),Inputs!$B$4:$B$200,$B23)/1000)</f>
        <v>322.478</v>
      </c>
      <c r="Q23" s="11">
        <f>IF(Q$3=0,"",SUMIFS(INDEX(Inputs!$D$4:$AG$200,0,MATCH(Q$2,Inputs!$D$2:$AG$2,0)),Inputs!$B$4:$B$200,$B23)/1000)</f>
        <v>333.068</v>
      </c>
      <c r="R23" s="12">
        <f>IF(Q23="","",Q23)</f>
        <v>333.068</v>
      </c>
      <c r="S23" s="11">
        <f>IF(S$3=0,"",SUMIFS(INDEX(Inputs!$D$4:$AG$200,0,MATCH(S$2,Inputs!$D$2:$AG$2,0)),Inputs!$B$4:$B$200,$B23)/1000)</f>
        <v>314.868</v>
      </c>
      <c r="T23" s="11">
        <f>IF(T$3=0,"",SUMIFS(INDEX(Inputs!$D$4:$AG$200,0,MATCH(T$2,Inputs!$D$2:$AG$2,0)),Inputs!$B$4:$B$200,$B23)/1000)</f>
        <v>325.174</v>
      </c>
      <c r="U23" s="11">
        <f>IF(U$3=0,"",SUMIFS(INDEX(Inputs!$D$4:$AG$200,0,MATCH(U$2,Inputs!$D$2:$AG$2,0)),Inputs!$B$4:$B$200,$B23)/1000)</f>
        <v>314.296</v>
      </c>
      <c r="V23" s="11">
        <f>IF(V$3=0,"",SUMIFS(INDEX(Inputs!$D$4:$AG$200,0,MATCH(V$2,Inputs!$D$2:$AG$2,0)),Inputs!$B$4:$B$200,$B23)/1000)</f>
        <v>301.493</v>
      </c>
      <c r="W23" s="12">
        <f>IF(V23="","",V23)</f>
        <v>301.493</v>
      </c>
      <c r="X23" s="11">
        <f>IF(X$3=0,"",SUMIFS(INDEX(Inputs!$D$4:$AG$200,0,MATCH(X$2,Inputs!$D$2:$AG$2,0)),Inputs!$B$4:$B$200,$B23)/1000)</f>
        <v>294.005</v>
      </c>
      <c r="Y23" s="11">
        <f>IF(Y$3=0,"",SUMIFS(INDEX(Inputs!$D$4:$AG$200,0,MATCH(Y$2,Inputs!$D$2:$AG$2,0)),Inputs!$B$4:$B$200,$B23)/1000)</f>
        <v>278.644</v>
      </c>
      <c r="Z23" s="11">
        <f>IF(Z$3=0,"",SUMIFS(INDEX(Inputs!$D$4:$AG$200,0,MATCH(Z$2,Inputs!$D$2:$AG$2,0)),Inputs!$B$4:$B$200,$B23)/1000)</f>
        <v>348.363</v>
      </c>
      <c r="AA23" s="11">
        <f>IF(AA$3=0,"",SUMIFS(INDEX(Inputs!$D$4:$AG$200,0,MATCH(AA$2,Inputs!$D$2:$AG$2,0)),Inputs!$B$4:$B$200,$B23)/1000)</f>
        <v>372.836</v>
      </c>
      <c r="AB23" s="12">
        <f>IF(AA23="","",AA23)</f>
        <v>372.836</v>
      </c>
      <c r="AC23" s="11">
        <f>IF(AC$3=0,"",SUMIFS(INDEX(Inputs!$D$4:$AG$200,0,MATCH(AC$2,Inputs!$D$2:$AG$2,0)),Inputs!$B$4:$B$200,$B23)/1000)</f>
        <v>350.725</v>
      </c>
      <c r="AD23" s="11">
        <f>IF(AD$3=0,"",SUMIFS(INDEX(Inputs!$D$4:$AG$200,0,MATCH(AD$2,Inputs!$D$2:$AG$2,0)),Inputs!$B$4:$B$200,$B23)/1000)</f>
        <v>338.35</v>
      </c>
      <c r="AE23" s="11" t="str">
        <f>IF(AE$3=0,"",SUMIFS(INDEX(Inputs!$D$4:$AG$200,0,MATCH(AE$2,Inputs!$D$2:$AG$2,0)),Inputs!$B$4:$B$200,$B23)/1000)</f>
        <v/>
      </c>
      <c r="AF23" s="11" t="str">
        <f>IF(AF$3=0,"",SUMIFS(INDEX(Inputs!$D$4:$AG$200,0,MATCH(AF$2,Inputs!$D$2:$AG$2,0)),Inputs!$B$4:$B$200,$B23)/1000)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IF(D$3=0,"",SUMIFS(INDEX(Inputs!$D$4:$AG$200,0,MATCH(D$2,Inputs!$D$2:$AG$2,0)),Inputs!$B$4:$B$200,$B24)/1000)</f>
        <v>0</v>
      </c>
      <c r="E24" s="11">
        <f>IF(E$3=0,"",SUMIFS(INDEX(Inputs!$D$4:$AG$200,0,MATCH(E$2,Inputs!$D$2:$AG$2,0)),Inputs!$B$4:$B$200,$B24)/1000)</f>
        <v>0</v>
      </c>
      <c r="F24" s="11">
        <f>IF(F$3=0,"",SUMIFS(INDEX(Inputs!$D$4:$AG$200,0,MATCH(F$2,Inputs!$D$2:$AG$2,0)),Inputs!$B$4:$B$200,$B24)/1000)</f>
        <v>0</v>
      </c>
      <c r="G24" s="11">
        <f>IF(G$3=0,"",SUMIFS(INDEX(Inputs!$D$4:$AG$200,0,MATCH(G$2,Inputs!$D$2:$AG$2,0)),Inputs!$B$4:$B$200,$B24)/1000)</f>
        <v>0</v>
      </c>
      <c r="H24" s="12">
        <f>IF(G24="","",G24)</f>
        <v>0</v>
      </c>
      <c r="I24" s="11">
        <f>IF(I$3=0,"",SUMIFS(INDEX(Inputs!$D$4:$AG$200,0,MATCH(I$2,Inputs!$D$2:$AG$2,0)),Inputs!$B$4:$B$200,$B24)/1000)</f>
        <v>0</v>
      </c>
      <c r="J24" s="11">
        <f>IF(J$3=0,"",SUMIFS(INDEX(Inputs!$D$4:$AG$200,0,MATCH(J$2,Inputs!$D$2:$AG$2,0)),Inputs!$B$4:$B$200,$B24)/1000)</f>
        <v>0</v>
      </c>
      <c r="K24" s="11">
        <f>IF(K$3=0,"",SUMIFS(INDEX(Inputs!$D$4:$AG$200,0,MATCH(K$2,Inputs!$D$2:$AG$2,0)),Inputs!$B$4:$B$200,$B24)/1000)</f>
        <v>0</v>
      </c>
      <c r="L24" s="11">
        <f>IF(L$3=0,"",SUMIFS(INDEX(Inputs!$D$4:$AG$200,0,MATCH(L$2,Inputs!$D$2:$AG$2,0)),Inputs!$B$4:$B$200,$B24)/1000)</f>
        <v>0</v>
      </c>
      <c r="M24" s="12">
        <f>IF(L24="","",L24)</f>
        <v>0</v>
      </c>
      <c r="N24" s="11">
        <f>IF(N$3=0,"",SUMIFS(INDEX(Inputs!$D$4:$AG$200,0,MATCH(N$2,Inputs!$D$2:$AG$2,0)),Inputs!$B$4:$B$200,$B24)/1000)</f>
        <v>0</v>
      </c>
      <c r="O24" s="11">
        <f>IF(O$3=0,"",SUMIFS(INDEX(Inputs!$D$4:$AG$200,0,MATCH(O$2,Inputs!$D$2:$AG$2,0)),Inputs!$B$4:$B$200,$B24)/1000)</f>
        <v>0</v>
      </c>
      <c r="P24" s="11">
        <f>IF(P$3=0,"",SUMIFS(INDEX(Inputs!$D$4:$AG$200,0,MATCH(P$2,Inputs!$D$2:$AG$2,0)),Inputs!$B$4:$B$200,$B24)/1000)</f>
        <v>0</v>
      </c>
      <c r="Q24" s="11">
        <f>IF(Q$3=0,"",SUMIFS(INDEX(Inputs!$D$4:$AG$200,0,MATCH(Q$2,Inputs!$D$2:$AG$2,0)),Inputs!$B$4:$B$200,$B24)/1000)</f>
        <v>0</v>
      </c>
      <c r="R24" s="12">
        <f>IF(Q24="","",Q24)</f>
        <v>0</v>
      </c>
      <c r="S24" s="11">
        <f>IF(S$3=0,"",SUMIFS(INDEX(Inputs!$D$4:$AG$200,0,MATCH(S$2,Inputs!$D$2:$AG$2,0)),Inputs!$B$4:$B$200,$B24)/1000)</f>
        <v>0</v>
      </c>
      <c r="T24" s="11">
        <f>IF(T$3=0,"",SUMIFS(INDEX(Inputs!$D$4:$AG$200,0,MATCH(T$2,Inputs!$D$2:$AG$2,0)),Inputs!$B$4:$B$200,$B24)/1000)</f>
        <v>0</v>
      </c>
      <c r="U24" s="11">
        <f>IF(U$3=0,"",SUMIFS(INDEX(Inputs!$D$4:$AG$200,0,MATCH(U$2,Inputs!$D$2:$AG$2,0)),Inputs!$B$4:$B$200,$B24)/1000)</f>
        <v>0</v>
      </c>
      <c r="V24" s="11">
        <f>IF(V$3=0,"",SUMIFS(INDEX(Inputs!$D$4:$AG$200,0,MATCH(V$2,Inputs!$D$2:$AG$2,0)),Inputs!$B$4:$B$200,$B24)/1000)</f>
        <v>0</v>
      </c>
      <c r="W24" s="12">
        <f>IF(V24="","",V24)</f>
        <v>0</v>
      </c>
      <c r="X24" s="11">
        <f>IF(X$3=0,"",SUMIFS(INDEX(Inputs!$D$4:$AG$200,0,MATCH(X$2,Inputs!$D$2:$AG$2,0)),Inputs!$B$4:$B$200,$B24)/1000)</f>
        <v>0</v>
      </c>
      <c r="Y24" s="11">
        <f>IF(Y$3=0,"",SUMIFS(INDEX(Inputs!$D$4:$AG$200,0,MATCH(Y$2,Inputs!$D$2:$AG$2,0)),Inputs!$B$4:$B$200,$B24)/1000)</f>
        <v>0</v>
      </c>
      <c r="Z24" s="11">
        <f>IF(Z$3=0,"",SUMIFS(INDEX(Inputs!$D$4:$AG$200,0,MATCH(Z$2,Inputs!$D$2:$AG$2,0)),Inputs!$B$4:$B$200,$B24)/1000)</f>
        <v>0</v>
      </c>
      <c r="AA24" s="11">
        <f>IF(AA$3=0,"",SUMIFS(INDEX(Inputs!$D$4:$AG$200,0,MATCH(AA$2,Inputs!$D$2:$AG$2,0)),Inputs!$B$4:$B$200,$B24)/1000)</f>
        <v>0</v>
      </c>
      <c r="AB24" s="12">
        <f>IF(AA24="","",AA24)</f>
        <v>0</v>
      </c>
      <c r="AC24" s="11">
        <f>IF(AC$3=0,"",SUMIFS(INDEX(Inputs!$D$4:$AG$200,0,MATCH(AC$2,Inputs!$D$2:$AG$2,0)),Inputs!$B$4:$B$200,$B24)/1000)</f>
        <v>0</v>
      </c>
      <c r="AD24" s="11">
        <f>IF(AD$3=0,"",SUMIFS(INDEX(Inputs!$D$4:$AG$200,0,MATCH(AD$2,Inputs!$D$2:$AG$2,0)),Inputs!$B$4:$B$200,$B24)/1000)</f>
        <v>0</v>
      </c>
      <c r="AE24" s="11" t="str">
        <f>IF(AE$3=0,"",SUMIFS(INDEX(Inputs!$D$4:$AG$200,0,MATCH(AE$2,Inputs!$D$2:$AG$2,0)),Inputs!$B$4:$B$200,$B24)/1000)</f>
        <v/>
      </c>
      <c r="AF24" s="11" t="str">
        <f>IF(AF$3=0,"",SUMIFS(INDEX(Inputs!$D$4:$AG$200,0,MATCH(AF$2,Inputs!$D$2:$AG$2,0)),Inputs!$B$4:$B$200,$B24)/1000)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IF(D$3=0,"",SUMIFS(INDEX(Inputs!$D$4:$AG$200,0,MATCH(D$2,Inputs!$D$2:$AG$2,0)),Inputs!$B$4:$B$200,$B25)/1000)</f>
        <v>7834.908</v>
      </c>
      <c r="E25" s="11">
        <f>IF(E$3=0,"",SUMIFS(INDEX(Inputs!$D$4:$AG$200,0,MATCH(E$2,Inputs!$D$2:$AG$2,0)),Inputs!$B$4:$B$200,$B25)/1000)</f>
        <v>7965.134</v>
      </c>
      <c r="F25" s="11">
        <f>IF(F$3=0,"",SUMIFS(INDEX(Inputs!$D$4:$AG$200,0,MATCH(F$2,Inputs!$D$2:$AG$2,0)),Inputs!$B$4:$B$200,$B25)/1000)</f>
        <v>8071.474</v>
      </c>
      <c r="G25" s="11">
        <f>IF(G$3=0,"",SUMIFS(INDEX(Inputs!$D$4:$AG$200,0,MATCH(G$2,Inputs!$D$2:$AG$2,0)),Inputs!$B$4:$B$200,$B25)/1000)</f>
        <v>8356.681</v>
      </c>
      <c r="H25" s="12">
        <f>IF(G25="","",G25)</f>
        <v>8356.681</v>
      </c>
      <c r="I25" s="11">
        <f>IF(I$3=0,"",SUMIFS(INDEX(Inputs!$D$4:$AG$200,0,MATCH(I$2,Inputs!$D$2:$AG$2,0)),Inputs!$B$4:$B$200,$B25)/1000)</f>
        <v>8434.385</v>
      </c>
      <c r="J25" s="11">
        <f>IF(J$3=0,"",SUMIFS(INDEX(Inputs!$D$4:$AG$200,0,MATCH(J$2,Inputs!$D$2:$AG$2,0)),Inputs!$B$4:$B$200,$B25)/1000)</f>
        <v>8472.654</v>
      </c>
      <c r="K25" s="11">
        <f>IF(K$3=0,"",SUMIFS(INDEX(Inputs!$D$4:$AG$200,0,MATCH(K$2,Inputs!$D$2:$AG$2,0)),Inputs!$B$4:$B$200,$B25)/1000)</f>
        <v>8601.394</v>
      </c>
      <c r="L25" s="11">
        <f>IF(L$3=0,"",SUMIFS(INDEX(Inputs!$D$4:$AG$200,0,MATCH(L$2,Inputs!$D$2:$AG$2,0)),Inputs!$B$4:$B$200,$B25)/1000)</f>
        <v>8777.168</v>
      </c>
      <c r="M25" s="12">
        <f>IF(L25="","",L25)</f>
        <v>8777.168</v>
      </c>
      <c r="N25" s="11">
        <f>IF(N$3=0,"",SUMIFS(INDEX(Inputs!$D$4:$AG$200,0,MATCH(N$2,Inputs!$D$2:$AG$2,0)),Inputs!$B$4:$B$200,$B25)/1000)</f>
        <v>8911.126</v>
      </c>
      <c r="O25" s="11">
        <f>IF(O$3=0,"",SUMIFS(INDEX(Inputs!$D$4:$AG$200,0,MATCH(O$2,Inputs!$D$2:$AG$2,0)),Inputs!$B$4:$B$200,$B25)/1000)</f>
        <v>9224.669</v>
      </c>
      <c r="P25" s="11">
        <f>IF(P$3=0,"",SUMIFS(INDEX(Inputs!$D$4:$AG$200,0,MATCH(P$2,Inputs!$D$2:$AG$2,0)),Inputs!$B$4:$B$200,$B25)/1000)</f>
        <v>9629.066</v>
      </c>
      <c r="Q25" s="11">
        <f>IF(Q$3=0,"",SUMIFS(INDEX(Inputs!$D$4:$AG$200,0,MATCH(Q$2,Inputs!$D$2:$AG$2,0)),Inputs!$B$4:$B$200,$B25)/1000)</f>
        <v>10170.024</v>
      </c>
      <c r="R25" s="12">
        <f>IF(Q25="","",Q25)</f>
        <v>10170.024</v>
      </c>
      <c r="S25" s="11">
        <f>IF(S$3=0,"",SUMIFS(INDEX(Inputs!$D$4:$AG$200,0,MATCH(S$2,Inputs!$D$2:$AG$2,0)),Inputs!$B$4:$B$200,$B25)/1000)</f>
        <v>10311.732</v>
      </c>
      <c r="T25" s="11">
        <f>IF(T$3=0,"",SUMIFS(INDEX(Inputs!$D$4:$AG$200,0,MATCH(T$2,Inputs!$D$2:$AG$2,0)),Inputs!$B$4:$B$200,$B25)/1000)</f>
        <v>10635.029</v>
      </c>
      <c r="U25" s="11">
        <f>IF(U$3=0,"",SUMIFS(INDEX(Inputs!$D$4:$AG$200,0,MATCH(U$2,Inputs!$D$2:$AG$2,0)),Inputs!$B$4:$B$200,$B25)/1000)</f>
        <v>10878.561</v>
      </c>
      <c r="V25" s="11">
        <f>IF(V$3=0,"",SUMIFS(INDEX(Inputs!$D$4:$AG$200,0,MATCH(V$2,Inputs!$D$2:$AG$2,0)),Inputs!$B$4:$B$200,$B25)/1000)</f>
        <v>11420.154</v>
      </c>
      <c r="W25" s="12">
        <f>IF(V25="","",V25)</f>
        <v>11420.154</v>
      </c>
      <c r="X25" s="11">
        <f>IF(X$3=0,"",SUMIFS(INDEX(Inputs!$D$4:$AG$200,0,MATCH(X$2,Inputs!$D$2:$AG$2,0)),Inputs!$B$4:$B$200,$B25)/1000)</f>
        <v>11492.319</v>
      </c>
      <c r="Y25" s="11">
        <f>IF(Y$3=0,"",SUMIFS(INDEX(Inputs!$D$4:$AG$200,0,MATCH(Y$2,Inputs!$D$2:$AG$2,0)),Inputs!$B$4:$B$200,$B25)/1000)</f>
        <v>11737.793</v>
      </c>
      <c r="Z25" s="11">
        <f>IF(Z$3=0,"",SUMIFS(INDEX(Inputs!$D$4:$AG$200,0,MATCH(Z$2,Inputs!$D$2:$AG$2,0)),Inputs!$B$4:$B$200,$B25)/1000)</f>
        <v>12075.986</v>
      </c>
      <c r="AA25" s="11">
        <f>IF(AA$3=0,"",SUMIFS(INDEX(Inputs!$D$4:$AG$200,0,MATCH(AA$2,Inputs!$D$2:$AG$2,0)),Inputs!$B$4:$B$200,$B25)/1000)</f>
        <v>12436.906</v>
      </c>
      <c r="AB25" s="12">
        <f>IF(AA25="","",AA25)</f>
        <v>12436.906</v>
      </c>
      <c r="AC25" s="11">
        <f>IF(AC$3=0,"",SUMIFS(INDEX(Inputs!$D$4:$AG$200,0,MATCH(AC$2,Inputs!$D$2:$AG$2,0)),Inputs!$B$4:$B$200,$B25)/1000)</f>
        <v>12593.119</v>
      </c>
      <c r="AD25" s="11">
        <f>IF(AD$3=0,"",SUMIFS(INDEX(Inputs!$D$4:$AG$200,0,MATCH(AD$2,Inputs!$D$2:$AG$2,0)),Inputs!$B$4:$B$200,$B25)/1000)</f>
        <v>12780.135</v>
      </c>
      <c r="AE25" s="11" t="str">
        <f>IF(AE$3=0,"",SUMIFS(INDEX(Inputs!$D$4:$AG$200,0,MATCH(AE$2,Inputs!$D$2:$AG$2,0)),Inputs!$B$4:$B$200,$B25)/1000)</f>
        <v/>
      </c>
      <c r="AF25" s="11" t="str">
        <f>IF(AF$3=0,"",SUMIFS(INDEX(Inputs!$D$4:$AG$200,0,MATCH(AF$2,Inputs!$D$2:$AG$2,0)),Inputs!$B$4:$B$200,$B25)/1000)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IF(D$3=0,"",SUMIFS(INDEX(Inputs!$D$4:$AG$200,0,MATCH(D$2,Inputs!$D$2:$AG$2,0)),Inputs!$B$4:$B$200,$B26)/1000)</f>
        <v>2691.585</v>
      </c>
      <c r="E26" s="11">
        <f>IF(E$3=0,"",SUMIFS(INDEX(Inputs!$D$4:$AG$200,0,MATCH(E$2,Inputs!$D$2:$AG$2,0)),Inputs!$B$4:$B$200,$B26)/1000)</f>
        <v>2780.684</v>
      </c>
      <c r="F26" s="11">
        <f>IF(F$3=0,"",SUMIFS(INDEX(Inputs!$D$4:$AG$200,0,MATCH(F$2,Inputs!$D$2:$AG$2,0)),Inputs!$B$4:$B$200,$B26)/1000)</f>
        <v>2989.524</v>
      </c>
      <c r="G26" s="11">
        <f>IF(G$3=0,"",SUMIFS(INDEX(Inputs!$D$4:$AG$200,0,MATCH(G$2,Inputs!$D$2:$AG$2,0)),Inputs!$B$4:$B$200,$B26)/1000)</f>
        <v>3035.91</v>
      </c>
      <c r="H26" s="12">
        <f>IF(G26="","",G26)</f>
        <v>3035.91</v>
      </c>
      <c r="I26" s="11">
        <f>IF(I$3=0,"",SUMIFS(INDEX(Inputs!$D$4:$AG$200,0,MATCH(I$2,Inputs!$D$2:$AG$2,0)),Inputs!$B$4:$B$200,$B26)/1000)</f>
        <v>3255.79</v>
      </c>
      <c r="J26" s="11">
        <f>IF(J$3=0,"",SUMIFS(INDEX(Inputs!$D$4:$AG$200,0,MATCH(J$2,Inputs!$D$2:$AG$2,0)),Inputs!$B$4:$B$200,$B26)/1000)</f>
        <v>3569.993</v>
      </c>
      <c r="K26" s="11">
        <f>IF(K$3=0,"",SUMIFS(INDEX(Inputs!$D$4:$AG$200,0,MATCH(K$2,Inputs!$D$2:$AG$2,0)),Inputs!$B$4:$B$200,$B26)/1000)</f>
        <v>3919.223</v>
      </c>
      <c r="L26" s="11">
        <f>IF(L$3=0,"",SUMIFS(INDEX(Inputs!$D$4:$AG$200,0,MATCH(L$2,Inputs!$D$2:$AG$2,0)),Inputs!$B$4:$B$200,$B26)/1000)</f>
        <v>4173.324</v>
      </c>
      <c r="M26" s="12">
        <f>IF(L26="","",L26)</f>
        <v>4173.324</v>
      </c>
      <c r="N26" s="11">
        <f>IF(N$3=0,"",SUMIFS(INDEX(Inputs!$D$4:$AG$200,0,MATCH(N$2,Inputs!$D$2:$AG$2,0)),Inputs!$B$4:$B$200,$B26)/1000)</f>
        <v>4437.856</v>
      </c>
      <c r="O26" s="11">
        <f>IF(O$3=0,"",SUMIFS(INDEX(Inputs!$D$4:$AG$200,0,MATCH(O$2,Inputs!$D$2:$AG$2,0)),Inputs!$B$4:$B$200,$B26)/1000)</f>
        <v>4588.275</v>
      </c>
      <c r="P26" s="11">
        <f>IF(P$3=0,"",SUMIFS(INDEX(Inputs!$D$4:$AG$200,0,MATCH(P$2,Inputs!$D$2:$AG$2,0)),Inputs!$B$4:$B$200,$B26)/1000)</f>
        <v>4682.013</v>
      </c>
      <c r="Q26" s="11">
        <f>IF(Q$3=0,"",SUMIFS(INDEX(Inputs!$D$4:$AG$200,0,MATCH(Q$2,Inputs!$D$2:$AG$2,0)),Inputs!$B$4:$B$200,$B26)/1000)</f>
        <v>4474.656</v>
      </c>
      <c r="R26" s="12">
        <f>IF(Q26="","",Q26)</f>
        <v>4474.656</v>
      </c>
      <c r="S26" s="11">
        <f>IF(S$3=0,"",SUMIFS(INDEX(Inputs!$D$4:$AG$200,0,MATCH(S$2,Inputs!$D$2:$AG$2,0)),Inputs!$B$4:$B$200,$B26)/1000)</f>
        <v>4677.676</v>
      </c>
      <c r="T26" s="11">
        <f>IF(T$3=0,"",SUMIFS(INDEX(Inputs!$D$4:$AG$200,0,MATCH(T$2,Inputs!$D$2:$AG$2,0)),Inputs!$B$4:$B$200,$B26)/1000)</f>
        <v>4623.552</v>
      </c>
      <c r="U26" s="11">
        <f>IF(U$3=0,"",SUMIFS(INDEX(Inputs!$D$4:$AG$200,0,MATCH(U$2,Inputs!$D$2:$AG$2,0)),Inputs!$B$4:$B$200,$B26)/1000)</f>
        <v>4669.353</v>
      </c>
      <c r="V26" s="11">
        <f>IF(V$3=0,"",SUMIFS(INDEX(Inputs!$D$4:$AG$200,0,MATCH(V$2,Inputs!$D$2:$AG$2,0)),Inputs!$B$4:$B$200,$B26)/1000)</f>
        <v>4484.379</v>
      </c>
      <c r="W26" s="12">
        <f>IF(V26="","",V26)</f>
        <v>4484.379</v>
      </c>
      <c r="X26" s="11">
        <f>IF(X$3=0,"",SUMIFS(INDEX(Inputs!$D$4:$AG$200,0,MATCH(X$2,Inputs!$D$2:$AG$2,0)),Inputs!$B$4:$B$200,$B26)/1000)</f>
        <v>8556.51</v>
      </c>
      <c r="Y26" s="11">
        <f>IF(Y$3=0,"",SUMIFS(INDEX(Inputs!$D$4:$AG$200,0,MATCH(Y$2,Inputs!$D$2:$AG$2,0)),Inputs!$B$4:$B$200,$B26)/1000)</f>
        <v>8711.047</v>
      </c>
      <c r="Z26" s="11">
        <f>IF(Z$3=0,"",SUMIFS(INDEX(Inputs!$D$4:$AG$200,0,MATCH(Z$2,Inputs!$D$2:$AG$2,0)),Inputs!$B$4:$B$200,$B26)/1000)</f>
        <v>4905.89</v>
      </c>
      <c r="AA26" s="11">
        <f>IF(AA$3=0,"",SUMIFS(INDEX(Inputs!$D$4:$AG$200,0,MATCH(AA$2,Inputs!$D$2:$AG$2,0)),Inputs!$B$4:$B$200,$B26)/1000)</f>
        <v>5245.077</v>
      </c>
      <c r="AB26" s="12">
        <f>IF(AA26="","",AA26)</f>
        <v>5245.077</v>
      </c>
      <c r="AC26" s="11">
        <f>IF(AC$3=0,"",SUMIFS(INDEX(Inputs!$D$4:$AG$200,0,MATCH(AC$2,Inputs!$D$2:$AG$2,0)),Inputs!$B$4:$B$200,$B26)/1000)</f>
        <v>5682.342</v>
      </c>
      <c r="AD26" s="11">
        <f>IF(AD$3=0,"",SUMIFS(INDEX(Inputs!$D$4:$AG$200,0,MATCH(AD$2,Inputs!$D$2:$AG$2,0)),Inputs!$B$4:$B$200,$B26)/1000)</f>
        <v>5969.712</v>
      </c>
      <c r="AE26" s="11" t="str">
        <f>IF(AE$3=0,"",SUMIFS(INDEX(Inputs!$D$4:$AG$200,0,MATCH(AE$2,Inputs!$D$2:$AG$2,0)),Inputs!$B$4:$B$200,$B26)/1000)</f>
        <v/>
      </c>
      <c r="AF26" s="11" t="str">
        <f>IF(AF$3=0,"",SUMIFS(INDEX(Inputs!$D$4:$AG$200,0,MATCH(AF$2,Inputs!$D$2:$AG$2,0)),Inputs!$B$4:$B$200,$B26)/1000)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IF(D$3=0,"",SUMIFS(INDEX(Inputs!$D$4:$AG$200,0,MATCH(D$2,Inputs!$D$2:$AG$2,0)),Inputs!$B$4:$B$200,$B28)/1000)</f>
        <v>173.164</v>
      </c>
      <c r="E28" s="11">
        <f>IF(E$3=0,"",SUMIFS(INDEX(Inputs!$D$4:$AG$200,0,MATCH(E$2,Inputs!$D$2:$AG$2,0)),Inputs!$B$4:$B$200,$B28)/1000)</f>
        <v>199.868</v>
      </c>
      <c r="F28" s="11">
        <f>IF(F$3=0,"",SUMIFS(INDEX(Inputs!$D$4:$AG$200,0,MATCH(F$2,Inputs!$D$2:$AG$2,0)),Inputs!$B$4:$B$200,$B28)/1000)</f>
        <v>259.493</v>
      </c>
      <c r="G28" s="11">
        <f>IF(G$3=0,"",SUMIFS(INDEX(Inputs!$D$4:$AG$200,0,MATCH(G$2,Inputs!$D$2:$AG$2,0)),Inputs!$B$4:$B$200,$B28)/1000)</f>
        <v>269.397</v>
      </c>
      <c r="H28" s="12">
        <f>IF(G28="","",G28)</f>
        <v>269.397</v>
      </c>
      <c r="I28" s="11">
        <f>IF(I$3=0,"",SUMIFS(INDEX(Inputs!$D$4:$AG$200,0,MATCH(I$2,Inputs!$D$2:$AG$2,0)),Inputs!$B$4:$B$200,$B28)/1000)</f>
        <v>263.101</v>
      </c>
      <c r="J28" s="11">
        <f>IF(J$3=0,"",SUMIFS(INDEX(Inputs!$D$4:$AG$200,0,MATCH(J$2,Inputs!$D$2:$AG$2,0)),Inputs!$B$4:$B$200,$B28)/1000)</f>
        <v>255.24</v>
      </c>
      <c r="K28" s="11">
        <f>IF(K$3=0,"",SUMIFS(INDEX(Inputs!$D$4:$AG$200,0,MATCH(K$2,Inputs!$D$2:$AG$2,0)),Inputs!$B$4:$B$200,$B28)/1000)</f>
        <v>275.833</v>
      </c>
      <c r="L28" s="11">
        <f>IF(L$3=0,"",SUMIFS(INDEX(Inputs!$D$4:$AG$200,0,MATCH(L$2,Inputs!$D$2:$AG$2,0)),Inputs!$B$4:$B$200,$B28)/1000)</f>
        <v>297.045</v>
      </c>
      <c r="M28" s="12">
        <f>IF(L28="","",L28)</f>
        <v>297.045</v>
      </c>
      <c r="N28" s="11">
        <f>IF(N$3=0,"",SUMIFS(INDEX(Inputs!$D$4:$AG$200,0,MATCH(N$2,Inputs!$D$2:$AG$2,0)),Inputs!$B$4:$B$200,$B28)/1000)</f>
        <v>236.191</v>
      </c>
      <c r="O28" s="11">
        <f>IF(O$3=0,"",SUMIFS(INDEX(Inputs!$D$4:$AG$200,0,MATCH(O$2,Inputs!$D$2:$AG$2,0)),Inputs!$B$4:$B$200,$B28)/1000)</f>
        <v>321.428</v>
      </c>
      <c r="P28" s="11">
        <f>IF(P$3=0,"",SUMIFS(INDEX(Inputs!$D$4:$AG$200,0,MATCH(P$2,Inputs!$D$2:$AG$2,0)),Inputs!$B$4:$B$200,$B28)/1000)</f>
        <v>336.008</v>
      </c>
      <c r="Q28" s="11">
        <f>IF(Q$3=0,"",SUMIFS(INDEX(Inputs!$D$4:$AG$200,0,MATCH(Q$2,Inputs!$D$2:$AG$2,0)),Inputs!$B$4:$B$200,$B28)/1000)</f>
        <v>354.897</v>
      </c>
      <c r="R28" s="12">
        <f>IF(Q28="","",Q28)</f>
        <v>354.897</v>
      </c>
      <c r="S28" s="11">
        <f>IF(S$3=0,"",SUMIFS(INDEX(Inputs!$D$4:$AG$200,0,MATCH(S$2,Inputs!$D$2:$AG$2,0)),Inputs!$B$4:$B$200,$B28)/1000)</f>
        <v>327.528</v>
      </c>
      <c r="T28" s="11">
        <f>IF(T$3=0,"",SUMIFS(INDEX(Inputs!$D$4:$AG$200,0,MATCH(T$2,Inputs!$D$2:$AG$2,0)),Inputs!$B$4:$B$200,$B28)/1000)</f>
        <v>332.791</v>
      </c>
      <c r="U28" s="11">
        <f>IF(U$3=0,"",SUMIFS(INDEX(Inputs!$D$4:$AG$200,0,MATCH(U$2,Inputs!$D$2:$AG$2,0)),Inputs!$B$4:$B$200,$B28)/1000)</f>
        <v>333.134</v>
      </c>
      <c r="V28" s="11">
        <f>IF(V$3=0,"",SUMIFS(INDEX(Inputs!$D$4:$AG$200,0,MATCH(V$2,Inputs!$D$2:$AG$2,0)),Inputs!$B$4:$B$200,$B28)/1000)</f>
        <v>331.691</v>
      </c>
      <c r="W28" s="12">
        <f>IF(V28="","",V28)</f>
        <v>331.691</v>
      </c>
      <c r="X28" s="11">
        <f>IF(X$3=0,"",SUMIFS(INDEX(Inputs!$D$4:$AG$200,0,MATCH(X$2,Inputs!$D$2:$AG$2,0)),Inputs!$B$4:$B$200,$B28)/1000)</f>
        <v>320.066</v>
      </c>
      <c r="Y28" s="11">
        <f>IF(Y$3=0,"",SUMIFS(INDEX(Inputs!$D$4:$AG$200,0,MATCH(Y$2,Inputs!$D$2:$AG$2,0)),Inputs!$B$4:$B$200,$B28)/1000)</f>
        <v>339.296</v>
      </c>
      <c r="Z28" s="11">
        <f>IF(Z$3=0,"",SUMIFS(INDEX(Inputs!$D$4:$AG$200,0,MATCH(Z$2,Inputs!$D$2:$AG$2,0)),Inputs!$B$4:$B$200,$B28)/1000)</f>
        <v>431.39</v>
      </c>
      <c r="AA28" s="11">
        <f>IF(AA$3=0,"",SUMIFS(INDEX(Inputs!$D$4:$AG$200,0,MATCH(AA$2,Inputs!$D$2:$AG$2,0)),Inputs!$B$4:$B$200,$B28)/1000)</f>
        <v>504.986</v>
      </c>
      <c r="AB28" s="12">
        <f>IF(AA28="","",AA28)</f>
        <v>504.986</v>
      </c>
      <c r="AC28" s="11">
        <f>IF(AC$3=0,"",SUMIFS(INDEX(Inputs!$D$4:$AG$200,0,MATCH(AC$2,Inputs!$D$2:$AG$2,0)),Inputs!$B$4:$B$200,$B28)/1000)</f>
        <v>411.122</v>
      </c>
      <c r="AD28" s="11">
        <f>IF(AD$3=0,"",SUMIFS(INDEX(Inputs!$D$4:$AG$200,0,MATCH(AD$2,Inputs!$D$2:$AG$2,0)),Inputs!$B$4:$B$200,$B28)/1000)</f>
        <v>368.487</v>
      </c>
      <c r="AE28" s="11" t="str">
        <f>IF(AE$3=0,"",SUMIFS(INDEX(Inputs!$D$4:$AG$200,0,MATCH(AE$2,Inputs!$D$2:$AG$2,0)),Inputs!$B$4:$B$200,$B28)/1000)</f>
        <v/>
      </c>
      <c r="AF28" s="11" t="str">
        <f>IF(AF$3=0,"",SUMIFS(INDEX(Inputs!$D$4:$AG$200,0,MATCH(AF$2,Inputs!$D$2:$AG$2,0)),Inputs!$B$4:$B$200,$B28)/1000)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IF(D$3=0,"",SUMIFS(INDEX(Inputs!$D$4:$AG$200,0,MATCH(D$2,Inputs!$D$2:$AG$2,0)),Inputs!$B$4:$B$200,$B29)/1000)</f>
        <v>134.866</v>
      </c>
      <c r="E29" s="11">
        <f>IF(E$3=0,"",SUMIFS(INDEX(Inputs!$D$4:$AG$200,0,MATCH(E$2,Inputs!$D$2:$AG$2,0)),Inputs!$B$4:$B$200,$B29)/1000)</f>
        <v>68.976</v>
      </c>
      <c r="F29" s="11">
        <f>IF(F$3=0,"",SUMIFS(INDEX(Inputs!$D$4:$AG$200,0,MATCH(F$2,Inputs!$D$2:$AG$2,0)),Inputs!$B$4:$B$200,$B29)/1000)</f>
        <v>86.483</v>
      </c>
      <c r="G29" s="11">
        <f>IF(G$3=0,"",SUMIFS(INDEX(Inputs!$D$4:$AG$200,0,MATCH(G$2,Inputs!$D$2:$AG$2,0)),Inputs!$B$4:$B$200,$B29)/1000)</f>
        <v>117.893</v>
      </c>
      <c r="H29" s="12">
        <f>IF(G29="","",G29)</f>
        <v>117.893</v>
      </c>
      <c r="I29" s="11">
        <f>IF(I$3=0,"",SUMIFS(INDEX(Inputs!$D$4:$AG$200,0,MATCH(I$2,Inputs!$D$2:$AG$2,0)),Inputs!$B$4:$B$200,$B29)/1000)</f>
        <v>128.869</v>
      </c>
      <c r="J29" s="11">
        <f>IF(J$3=0,"",SUMIFS(INDEX(Inputs!$D$4:$AG$200,0,MATCH(J$2,Inputs!$D$2:$AG$2,0)),Inputs!$B$4:$B$200,$B29)/1000)</f>
        <v>66.07</v>
      </c>
      <c r="K29" s="11">
        <f>IF(K$3=0,"",SUMIFS(INDEX(Inputs!$D$4:$AG$200,0,MATCH(K$2,Inputs!$D$2:$AG$2,0)),Inputs!$B$4:$B$200,$B29)/1000)</f>
        <v>84.567</v>
      </c>
      <c r="L29" s="11">
        <f>IF(L$3=0,"",SUMIFS(INDEX(Inputs!$D$4:$AG$200,0,MATCH(L$2,Inputs!$D$2:$AG$2,0)),Inputs!$B$4:$B$200,$B29)/1000)</f>
        <v>139.976</v>
      </c>
      <c r="M29" s="12">
        <f>IF(L29="","",L29)</f>
        <v>139.976</v>
      </c>
      <c r="N29" s="11">
        <f>IF(N$3=0,"",SUMIFS(INDEX(Inputs!$D$4:$AG$200,0,MATCH(N$2,Inputs!$D$2:$AG$2,0)),Inputs!$B$4:$B$200,$B29)/1000)</f>
        <v>145.122</v>
      </c>
      <c r="O29" s="11">
        <f>IF(O$3=0,"",SUMIFS(INDEX(Inputs!$D$4:$AG$200,0,MATCH(O$2,Inputs!$D$2:$AG$2,0)),Inputs!$B$4:$B$200,$B29)/1000)</f>
        <v>88.956</v>
      </c>
      <c r="P29" s="11">
        <f>IF(P$3=0,"",SUMIFS(INDEX(Inputs!$D$4:$AG$200,0,MATCH(P$2,Inputs!$D$2:$AG$2,0)),Inputs!$B$4:$B$200,$B29)/1000)</f>
        <v>129.546</v>
      </c>
      <c r="Q29" s="11">
        <f>IF(Q$3=0,"",SUMIFS(INDEX(Inputs!$D$4:$AG$200,0,MATCH(Q$2,Inputs!$D$2:$AG$2,0)),Inputs!$B$4:$B$200,$B29)/1000)</f>
        <v>171.086</v>
      </c>
      <c r="R29" s="12">
        <f>IF(Q29="","",Q29)</f>
        <v>171.086</v>
      </c>
      <c r="S29" s="11">
        <f>IF(S$3=0,"",SUMIFS(INDEX(Inputs!$D$4:$AG$200,0,MATCH(S$2,Inputs!$D$2:$AG$2,0)),Inputs!$B$4:$B$200,$B29)/1000)</f>
        <v>186.806</v>
      </c>
      <c r="T29" s="11">
        <f>IF(T$3=0,"",SUMIFS(INDEX(Inputs!$D$4:$AG$200,0,MATCH(T$2,Inputs!$D$2:$AG$2,0)),Inputs!$B$4:$B$200,$B29)/1000)</f>
        <v>102.836</v>
      </c>
      <c r="U29" s="11">
        <f>IF(U$3=0,"",SUMIFS(INDEX(Inputs!$D$4:$AG$200,0,MATCH(U$2,Inputs!$D$2:$AG$2,0)),Inputs!$B$4:$B$200,$B29)/1000)</f>
        <v>120.231</v>
      </c>
      <c r="V29" s="11">
        <f>IF(V$3=0,"",SUMIFS(INDEX(Inputs!$D$4:$AG$200,0,MATCH(V$2,Inputs!$D$2:$AG$2,0)),Inputs!$B$4:$B$200,$B29)/1000)</f>
        <v>166.802</v>
      </c>
      <c r="W29" s="12">
        <f>IF(V29="","",V29)</f>
        <v>166.802</v>
      </c>
      <c r="X29" s="11">
        <f>IF(X$3=0,"",SUMIFS(INDEX(Inputs!$D$4:$AG$200,0,MATCH(X$2,Inputs!$D$2:$AG$2,0)),Inputs!$B$4:$B$200,$B29)/1000)</f>
        <v>420.907</v>
      </c>
      <c r="Y29" s="11">
        <f>IF(Y$3=0,"",SUMIFS(INDEX(Inputs!$D$4:$AG$200,0,MATCH(Y$2,Inputs!$D$2:$AG$2,0)),Inputs!$B$4:$B$200,$B29)/1000)</f>
        <v>303.425</v>
      </c>
      <c r="Z29" s="11">
        <f>IF(Z$3=0,"",SUMIFS(INDEX(Inputs!$D$4:$AG$200,0,MATCH(Z$2,Inputs!$D$2:$AG$2,0)),Inputs!$B$4:$B$200,$B29)/1000)</f>
        <v>288.665</v>
      </c>
      <c r="AA29" s="11">
        <f>IF(AA$3=0,"",SUMIFS(INDEX(Inputs!$D$4:$AG$200,0,MATCH(AA$2,Inputs!$D$2:$AG$2,0)),Inputs!$B$4:$B$200,$B29)/1000)</f>
        <v>277.212</v>
      </c>
      <c r="AB29" s="12">
        <f>IF(AA29="","",AA29)</f>
        <v>277.212</v>
      </c>
      <c r="AC29" s="11">
        <f>IF(AC$3=0,"",SUMIFS(INDEX(Inputs!$D$4:$AG$200,0,MATCH(AC$2,Inputs!$D$2:$AG$2,0)),Inputs!$B$4:$B$200,$B29)/1000)</f>
        <v>239.379</v>
      </c>
      <c r="AD29" s="11">
        <f>IF(AD$3=0,"",SUMIFS(INDEX(Inputs!$D$4:$AG$200,0,MATCH(AD$2,Inputs!$D$2:$AG$2,0)),Inputs!$B$4:$B$200,$B29)/1000)</f>
        <v>37.212</v>
      </c>
      <c r="AE29" s="11" t="str">
        <f>IF(AE$3=0,"",SUMIFS(INDEX(Inputs!$D$4:$AG$200,0,MATCH(AE$2,Inputs!$D$2:$AG$2,0)),Inputs!$B$4:$B$200,$B29)/1000)</f>
        <v/>
      </c>
      <c r="AF29" s="11" t="str">
        <f>IF(AF$3=0,"",SUMIFS(INDEX(Inputs!$D$4:$AG$200,0,MATCH(AF$2,Inputs!$D$2:$AG$2,0)),Inputs!$B$4:$B$200,$B29)/1000)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IF(D$3=0,"",SUMIFS(INDEX(Inputs!$D$4:$AG$200,0,MATCH(D$2,Inputs!$D$2:$AG$2,0)),Inputs!$B$4:$B$200,$B30)/1000)</f>
        <v>98.916</v>
      </c>
      <c r="E30" s="11">
        <f>IF(E$3=0,"",SUMIFS(INDEX(Inputs!$D$4:$AG$200,0,MATCH(E$2,Inputs!$D$2:$AG$2,0)),Inputs!$B$4:$B$200,$B30)/1000)</f>
        <v>60.414</v>
      </c>
      <c r="F30" s="11">
        <f>IF(F$3=0,"",SUMIFS(INDEX(Inputs!$D$4:$AG$200,0,MATCH(F$2,Inputs!$D$2:$AG$2,0)),Inputs!$B$4:$B$200,$B30)/1000)</f>
        <v>95.215</v>
      </c>
      <c r="G30" s="11">
        <f>IF(G$3=0,"",SUMIFS(INDEX(Inputs!$D$4:$AG$200,0,MATCH(G$2,Inputs!$D$2:$AG$2,0)),Inputs!$B$4:$B$200,$B30)/1000)</f>
        <v>84.602</v>
      </c>
      <c r="H30" s="12">
        <f>IF(G30="","",G30)</f>
        <v>84.602</v>
      </c>
      <c r="I30" s="11">
        <f>IF(I$3=0,"",SUMIFS(INDEX(Inputs!$D$4:$AG$200,0,MATCH(I$2,Inputs!$D$2:$AG$2,0)),Inputs!$B$4:$B$200,$B30)/1000)</f>
        <v>99.861</v>
      </c>
      <c r="J30" s="11">
        <f>IF(J$3=0,"",SUMIFS(INDEX(Inputs!$D$4:$AG$200,0,MATCH(J$2,Inputs!$D$2:$AG$2,0)),Inputs!$B$4:$B$200,$B30)/1000)</f>
        <v>71.056</v>
      </c>
      <c r="K30" s="11">
        <f>IF(K$3=0,"",SUMIFS(INDEX(Inputs!$D$4:$AG$200,0,MATCH(K$2,Inputs!$D$2:$AG$2,0)),Inputs!$B$4:$B$200,$B30)/1000)</f>
        <v>95.199</v>
      </c>
      <c r="L30" s="11">
        <f>IF(L$3=0,"",SUMIFS(INDEX(Inputs!$D$4:$AG$200,0,MATCH(L$2,Inputs!$D$2:$AG$2,0)),Inputs!$B$4:$B$200,$B30)/1000)</f>
        <v>102.767</v>
      </c>
      <c r="M30" s="12">
        <f>IF(L30="","",L30)</f>
        <v>102.767</v>
      </c>
      <c r="N30" s="11">
        <f>IF(N$3=0,"",SUMIFS(INDEX(Inputs!$D$4:$AG$200,0,MATCH(N$2,Inputs!$D$2:$AG$2,0)),Inputs!$B$4:$B$200,$B30)/1000)</f>
        <v>122.163</v>
      </c>
      <c r="O30" s="11">
        <f>IF(O$3=0,"",SUMIFS(INDEX(Inputs!$D$4:$AG$200,0,MATCH(O$2,Inputs!$D$2:$AG$2,0)),Inputs!$B$4:$B$200,$B30)/1000)</f>
        <v>93.333</v>
      </c>
      <c r="P30" s="11">
        <f>IF(P$3=0,"",SUMIFS(INDEX(Inputs!$D$4:$AG$200,0,MATCH(P$2,Inputs!$D$2:$AG$2,0)),Inputs!$B$4:$B$200,$B30)/1000)</f>
        <v>113.176</v>
      </c>
      <c r="Q30" s="11">
        <f>IF(Q$3=0,"",SUMIFS(INDEX(Inputs!$D$4:$AG$200,0,MATCH(Q$2,Inputs!$D$2:$AG$2,0)),Inputs!$B$4:$B$200,$B30)/1000)</f>
        <v>100.087</v>
      </c>
      <c r="R30" s="12">
        <f>IF(Q30="","",Q30)</f>
        <v>100.087</v>
      </c>
      <c r="S30" s="11">
        <f>IF(S$3=0,"",SUMIFS(INDEX(Inputs!$D$4:$AG$200,0,MATCH(S$2,Inputs!$D$2:$AG$2,0)),Inputs!$B$4:$B$200,$B30)/1000)</f>
        <v>123.2</v>
      </c>
      <c r="T30" s="11">
        <f>IF(T$3=0,"",SUMIFS(INDEX(Inputs!$D$4:$AG$200,0,MATCH(T$2,Inputs!$D$2:$AG$2,0)),Inputs!$B$4:$B$200,$B30)/1000)</f>
        <v>65.69</v>
      </c>
      <c r="U30" s="11">
        <f>IF(U$3=0,"",SUMIFS(INDEX(Inputs!$D$4:$AG$200,0,MATCH(U$2,Inputs!$D$2:$AG$2,0)),Inputs!$B$4:$B$200,$B30)/1000)</f>
        <v>94.452</v>
      </c>
      <c r="V30" s="11">
        <f>IF(V$3=0,"",SUMIFS(INDEX(Inputs!$D$4:$AG$200,0,MATCH(V$2,Inputs!$D$2:$AG$2,0)),Inputs!$B$4:$B$200,$B30)/1000)</f>
        <v>111.687</v>
      </c>
      <c r="W30" s="12">
        <f>IF(V30="","",V30)</f>
        <v>111.687</v>
      </c>
      <c r="X30" s="11">
        <f>IF(X$3=0,"",SUMIFS(INDEX(Inputs!$D$4:$AG$200,0,MATCH(X$2,Inputs!$D$2:$AG$2,0)),Inputs!$B$4:$B$200,$B30)/1000)</f>
        <v>168.117</v>
      </c>
      <c r="Y30" s="11">
        <f>IF(Y$3=0,"",SUMIFS(INDEX(Inputs!$D$4:$AG$200,0,MATCH(Y$2,Inputs!$D$2:$AG$2,0)),Inputs!$B$4:$B$200,$B30)/1000)</f>
        <v>117.59</v>
      </c>
      <c r="Z30" s="11">
        <f>IF(Z$3=0,"",SUMIFS(INDEX(Inputs!$D$4:$AG$200,0,MATCH(Z$2,Inputs!$D$2:$AG$2,0)),Inputs!$B$4:$B$200,$B30)/1000)</f>
        <v>91.871</v>
      </c>
      <c r="AA30" s="11">
        <f>IF(AA$3=0,"",SUMIFS(INDEX(Inputs!$D$4:$AG$200,0,MATCH(AA$2,Inputs!$D$2:$AG$2,0)),Inputs!$B$4:$B$200,$B30)/1000)</f>
        <v>101.893</v>
      </c>
      <c r="AB30" s="12">
        <f>IF(AA30="","",AA30)</f>
        <v>101.893</v>
      </c>
      <c r="AC30" s="11">
        <f>IF(AC$3=0,"",SUMIFS(INDEX(Inputs!$D$4:$AG$200,0,MATCH(AC$2,Inputs!$D$2:$AG$2,0)),Inputs!$B$4:$B$200,$B30)/1000)</f>
        <v>130.799</v>
      </c>
      <c r="AD30" s="11">
        <f>IF(AD$3=0,"",SUMIFS(INDEX(Inputs!$D$4:$AG$200,0,MATCH(AD$2,Inputs!$D$2:$AG$2,0)),Inputs!$B$4:$B$200,$B30)/1000)</f>
        <v>98.319</v>
      </c>
      <c r="AE30" s="11" t="str">
        <f>IF(AE$3=0,"",SUMIFS(INDEX(Inputs!$D$4:$AG$200,0,MATCH(AE$2,Inputs!$D$2:$AG$2,0)),Inputs!$B$4:$B$200,$B30)/1000)</f>
        <v/>
      </c>
      <c r="AF30" s="11" t="str">
        <f>IF(AF$3=0,"",SUMIFS(INDEX(Inputs!$D$4:$AG$200,0,MATCH(AF$2,Inputs!$D$2:$AG$2,0)),Inputs!$B$4:$B$200,$B30)/1000)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IF(D$3=0,"",SUMIFS(INDEX(Inputs!$D$4:$AG$200,0,MATCH(D$2,Inputs!$D$2:$AG$2,0)),Inputs!$B$4:$B$200,$B31)/1000)</f>
        <v>505.35</v>
      </c>
      <c r="E31" s="11">
        <f>IF(E$3=0,"",SUMIFS(INDEX(Inputs!$D$4:$AG$200,0,MATCH(E$2,Inputs!$D$2:$AG$2,0)),Inputs!$B$4:$B$200,$B31)/1000)</f>
        <v>457.91</v>
      </c>
      <c r="F31" s="11">
        <f>IF(F$3=0,"",SUMIFS(INDEX(Inputs!$D$4:$AG$200,0,MATCH(F$2,Inputs!$D$2:$AG$2,0)),Inputs!$B$4:$B$200,$B31)/1000)</f>
        <v>500.709</v>
      </c>
      <c r="G31" s="11">
        <f>IF(G$3=0,"",SUMIFS(INDEX(Inputs!$D$4:$AG$200,0,MATCH(G$2,Inputs!$D$2:$AG$2,0)),Inputs!$B$4:$B$200,$B31)/1000)</f>
        <v>517.599</v>
      </c>
      <c r="H31" s="12">
        <f>IF(G31="","",G31)</f>
        <v>517.599</v>
      </c>
      <c r="I31" s="11">
        <f>IF(I$3=0,"",SUMIFS(INDEX(Inputs!$D$4:$AG$200,0,MATCH(I$2,Inputs!$D$2:$AG$2,0)),Inputs!$B$4:$B$200,$B31)/1000)</f>
        <v>535.221</v>
      </c>
      <c r="J31" s="11">
        <f>IF(J$3=0,"",SUMIFS(INDEX(Inputs!$D$4:$AG$200,0,MATCH(J$2,Inputs!$D$2:$AG$2,0)),Inputs!$B$4:$B$200,$B31)/1000)</f>
        <v>492.636</v>
      </c>
      <c r="K31" s="11">
        <f>IF(K$3=0,"",SUMIFS(INDEX(Inputs!$D$4:$AG$200,0,MATCH(K$2,Inputs!$D$2:$AG$2,0)),Inputs!$B$4:$B$200,$B31)/1000)</f>
        <v>530.414</v>
      </c>
      <c r="L31" s="11">
        <f>IF(L$3=0,"",SUMIFS(INDEX(Inputs!$D$4:$AG$200,0,MATCH(L$2,Inputs!$D$2:$AG$2,0)),Inputs!$B$4:$B$200,$B31)/1000)</f>
        <v>514.219</v>
      </c>
      <c r="M31" s="12">
        <f>IF(L31="","",L31)</f>
        <v>514.219</v>
      </c>
      <c r="N31" s="11">
        <f>IF(N$3=0,"",SUMIFS(INDEX(Inputs!$D$4:$AG$200,0,MATCH(N$2,Inputs!$D$2:$AG$2,0)),Inputs!$B$4:$B$200,$B31)/1000)</f>
        <v>552.204</v>
      </c>
      <c r="O31" s="11">
        <f>IF(O$3=0,"",SUMIFS(INDEX(Inputs!$D$4:$AG$200,0,MATCH(O$2,Inputs!$D$2:$AG$2,0)),Inputs!$B$4:$B$200,$B31)/1000)</f>
        <v>614.226</v>
      </c>
      <c r="P31" s="11">
        <f>IF(P$3=0,"",SUMIFS(INDEX(Inputs!$D$4:$AG$200,0,MATCH(P$2,Inputs!$D$2:$AG$2,0)),Inputs!$B$4:$B$200,$B31)/1000)</f>
        <v>664.326</v>
      </c>
      <c r="Q31" s="11">
        <f>IF(Q$3=0,"",SUMIFS(INDEX(Inputs!$D$4:$AG$200,0,MATCH(Q$2,Inputs!$D$2:$AG$2,0)),Inputs!$B$4:$B$200,$B31)/1000)</f>
        <v>672.906</v>
      </c>
      <c r="R31" s="12">
        <f>IF(Q31="","",Q31)</f>
        <v>672.906</v>
      </c>
      <c r="S31" s="11">
        <f>IF(S$3=0,"",SUMIFS(INDEX(Inputs!$D$4:$AG$200,0,MATCH(S$2,Inputs!$D$2:$AG$2,0)),Inputs!$B$4:$B$200,$B31)/1000)</f>
        <v>703.612</v>
      </c>
      <c r="T31" s="11">
        <f>IF(T$3=0,"",SUMIFS(INDEX(Inputs!$D$4:$AG$200,0,MATCH(T$2,Inputs!$D$2:$AG$2,0)),Inputs!$B$4:$B$200,$B31)/1000)</f>
        <v>761.839</v>
      </c>
      <c r="U31" s="11">
        <f>IF(U$3=0,"",SUMIFS(INDEX(Inputs!$D$4:$AG$200,0,MATCH(U$2,Inputs!$D$2:$AG$2,0)),Inputs!$B$4:$B$200,$B31)/1000)</f>
        <v>785.902</v>
      </c>
      <c r="V31" s="11">
        <f>IF(V$3=0,"",SUMIFS(INDEX(Inputs!$D$4:$AG$200,0,MATCH(V$2,Inputs!$D$2:$AG$2,0)),Inputs!$B$4:$B$200,$B31)/1000)</f>
        <v>655.61</v>
      </c>
      <c r="W31" s="12">
        <f>IF(V31="","",V31)</f>
        <v>655.61</v>
      </c>
      <c r="X31" s="11">
        <f>IF(X$3=0,"",SUMIFS(INDEX(Inputs!$D$4:$AG$200,0,MATCH(X$2,Inputs!$D$2:$AG$2,0)),Inputs!$B$4:$B$200,$B31)/1000)</f>
        <v>680.111</v>
      </c>
      <c r="Y31" s="11">
        <f>IF(Y$3=0,"",SUMIFS(INDEX(Inputs!$D$4:$AG$200,0,MATCH(Y$2,Inputs!$D$2:$AG$2,0)),Inputs!$B$4:$B$200,$B31)/1000)</f>
        <v>813.203</v>
      </c>
      <c r="Z31" s="11">
        <f>IF(Z$3=0,"",SUMIFS(INDEX(Inputs!$D$4:$AG$200,0,MATCH(Z$2,Inputs!$D$2:$AG$2,0)),Inputs!$B$4:$B$200,$B31)/1000)</f>
        <v>4112.497</v>
      </c>
      <c r="AA31" s="11">
        <f>IF(AA$3=0,"",SUMIFS(INDEX(Inputs!$D$4:$AG$200,0,MATCH(AA$2,Inputs!$D$2:$AG$2,0)),Inputs!$B$4:$B$200,$B31)/1000)</f>
        <v>4143.328</v>
      </c>
      <c r="AB31" s="12">
        <f>IF(AA31="","",AA31)</f>
        <v>4143.328</v>
      </c>
      <c r="AC31" s="11">
        <f>IF(AC$3=0,"",SUMIFS(INDEX(Inputs!$D$4:$AG$200,0,MATCH(AC$2,Inputs!$D$2:$AG$2,0)),Inputs!$B$4:$B$200,$B31)/1000)</f>
        <v>4340.169</v>
      </c>
      <c r="AD31" s="11">
        <f>IF(AD$3=0,"",SUMIFS(INDEX(Inputs!$D$4:$AG$200,0,MATCH(AD$2,Inputs!$D$2:$AG$2,0)),Inputs!$B$4:$B$200,$B31)/1000)</f>
        <v>1655.047</v>
      </c>
      <c r="AE31" s="11" t="str">
        <f>IF(AE$3=0,"",SUMIFS(INDEX(Inputs!$D$4:$AG$200,0,MATCH(AE$2,Inputs!$D$2:$AG$2,0)),Inputs!$B$4:$B$200,$B31)/1000)</f>
        <v/>
      </c>
      <c r="AF31" s="11" t="str">
        <f>IF(AF$3=0,"",SUMIFS(INDEX(Inputs!$D$4:$AG$200,0,MATCH(AF$2,Inputs!$D$2:$AG$2,0)),Inputs!$B$4:$B$200,$B31)/1000)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IF(D$3=0,"",SUMIFS(INDEX(Inputs!$D$4:$AG$200,0,MATCH(D$2,Inputs!$D$2:$AG$2,0)),Inputs!$B$4:$B$200,$B32)/1000)</f>
        <v>458.009</v>
      </c>
      <c r="E32" s="11">
        <f>IF(E$3=0,"",SUMIFS(INDEX(Inputs!$D$4:$AG$200,0,MATCH(E$2,Inputs!$D$2:$AG$2,0)),Inputs!$B$4:$B$200,$B32)/1000)</f>
        <v>375.695</v>
      </c>
      <c r="F32" s="11">
        <f>IF(F$3=0,"",SUMIFS(INDEX(Inputs!$D$4:$AG$200,0,MATCH(F$2,Inputs!$D$2:$AG$2,0)),Inputs!$B$4:$B$200,$B32)/1000)</f>
        <v>342.175</v>
      </c>
      <c r="G32" s="11">
        <f>IF(G$3=0,"",SUMIFS(INDEX(Inputs!$D$4:$AG$200,0,MATCH(G$2,Inputs!$D$2:$AG$2,0)),Inputs!$B$4:$B$200,$B32)/1000)</f>
        <v>336.754</v>
      </c>
      <c r="H32" s="12">
        <f>IF(G32="","",G32)</f>
        <v>336.754</v>
      </c>
      <c r="I32" s="11">
        <f>IF(I$3=0,"",SUMIFS(INDEX(Inputs!$D$4:$AG$200,0,MATCH(I$2,Inputs!$D$2:$AG$2,0)),Inputs!$B$4:$B$200,$B32)/1000)</f>
        <v>313.036</v>
      </c>
      <c r="J32" s="11">
        <f>IF(J$3=0,"",SUMIFS(INDEX(Inputs!$D$4:$AG$200,0,MATCH(J$2,Inputs!$D$2:$AG$2,0)),Inputs!$B$4:$B$200,$B32)/1000)</f>
        <v>463.761</v>
      </c>
      <c r="K32" s="11">
        <f>IF(K$3=0,"",SUMIFS(INDEX(Inputs!$D$4:$AG$200,0,MATCH(K$2,Inputs!$D$2:$AG$2,0)),Inputs!$B$4:$B$200,$B32)/1000)</f>
        <v>458.286</v>
      </c>
      <c r="L32" s="11">
        <f>IF(L$3=0,"",SUMIFS(INDEX(Inputs!$D$4:$AG$200,0,MATCH(L$2,Inputs!$D$2:$AG$2,0)),Inputs!$B$4:$B$200,$B32)/1000)</f>
        <v>480.085</v>
      </c>
      <c r="M32" s="12">
        <f>IF(L32="","",L32)</f>
        <v>480.085</v>
      </c>
      <c r="N32" s="11">
        <f>IF(N$3=0,"",SUMIFS(INDEX(Inputs!$D$4:$AG$200,0,MATCH(N$2,Inputs!$D$2:$AG$2,0)),Inputs!$B$4:$B$200,$B32)/1000)</f>
        <v>477.936</v>
      </c>
      <c r="O32" s="11">
        <f>IF(O$3=0,"",SUMIFS(INDEX(Inputs!$D$4:$AG$200,0,MATCH(O$2,Inputs!$D$2:$AG$2,0)),Inputs!$B$4:$B$200,$B32)/1000)</f>
        <v>561.332</v>
      </c>
      <c r="P32" s="11">
        <f>IF(P$3=0,"",SUMIFS(INDEX(Inputs!$D$4:$AG$200,0,MATCH(P$2,Inputs!$D$2:$AG$2,0)),Inputs!$B$4:$B$200,$B32)/1000)</f>
        <v>567.56</v>
      </c>
      <c r="Q32" s="11">
        <f>IF(Q$3=0,"",SUMIFS(INDEX(Inputs!$D$4:$AG$200,0,MATCH(Q$2,Inputs!$D$2:$AG$2,0)),Inputs!$B$4:$B$200,$B32)/1000)</f>
        <v>566.212</v>
      </c>
      <c r="R32" s="12">
        <f>IF(Q32="","",Q32)</f>
        <v>566.212</v>
      </c>
      <c r="S32" s="11">
        <f>IF(S$3=0,"",SUMIFS(INDEX(Inputs!$D$4:$AG$200,0,MATCH(S$2,Inputs!$D$2:$AG$2,0)),Inputs!$B$4:$B$200,$B32)/1000)</f>
        <v>637.625</v>
      </c>
      <c r="T32" s="11">
        <f>IF(T$3=0,"",SUMIFS(INDEX(Inputs!$D$4:$AG$200,0,MATCH(T$2,Inputs!$D$2:$AG$2,0)),Inputs!$B$4:$B$200,$B32)/1000)</f>
        <v>462.084</v>
      </c>
      <c r="U32" s="11">
        <f>IF(U$3=0,"",SUMIFS(INDEX(Inputs!$D$4:$AG$200,0,MATCH(U$2,Inputs!$D$2:$AG$2,0)),Inputs!$B$4:$B$200,$B32)/1000)</f>
        <v>423.627</v>
      </c>
      <c r="V32" s="11">
        <f>IF(V$3=0,"",SUMIFS(INDEX(Inputs!$D$4:$AG$200,0,MATCH(V$2,Inputs!$D$2:$AG$2,0)),Inputs!$B$4:$B$200,$B32)/1000)</f>
        <v>463.656</v>
      </c>
      <c r="W32" s="12">
        <f>IF(V32="","",V32)</f>
        <v>463.656</v>
      </c>
      <c r="X32" s="11">
        <f>IF(X$3=0,"",SUMIFS(INDEX(Inputs!$D$4:$AG$200,0,MATCH(X$2,Inputs!$D$2:$AG$2,0)),Inputs!$B$4:$B$200,$B32)/1000)</f>
        <v>596.176</v>
      </c>
      <c r="Y32" s="11">
        <f>IF(Y$3=0,"",SUMIFS(INDEX(Inputs!$D$4:$AG$200,0,MATCH(Y$2,Inputs!$D$2:$AG$2,0)),Inputs!$B$4:$B$200,$B32)/1000)</f>
        <v>772.943</v>
      </c>
      <c r="Z32" s="11">
        <f>IF(Z$3=0,"",SUMIFS(INDEX(Inputs!$D$4:$AG$200,0,MATCH(Z$2,Inputs!$D$2:$AG$2,0)),Inputs!$B$4:$B$200,$B32)/1000)</f>
        <v>814.989</v>
      </c>
      <c r="AA32" s="11">
        <f>IF(AA$3=0,"",SUMIFS(INDEX(Inputs!$D$4:$AG$200,0,MATCH(AA$2,Inputs!$D$2:$AG$2,0)),Inputs!$B$4:$B$200,$B32)/1000)</f>
        <v>859.151</v>
      </c>
      <c r="AB32" s="12">
        <f>IF(AA32="","",AA32)</f>
        <v>859.151</v>
      </c>
      <c r="AC32" s="11">
        <f>IF(AC$3=0,"",SUMIFS(INDEX(Inputs!$D$4:$AG$200,0,MATCH(AC$2,Inputs!$D$2:$AG$2,0)),Inputs!$B$4:$B$200,$B32)/1000)</f>
        <v>1231.439</v>
      </c>
      <c r="AD32" s="11">
        <f>IF(AD$3=0,"",SUMIFS(INDEX(Inputs!$D$4:$AG$200,0,MATCH(AD$2,Inputs!$D$2:$AG$2,0)),Inputs!$B$4:$B$200,$B32)/1000)</f>
        <v>1108.125</v>
      </c>
      <c r="AE32" s="11" t="str">
        <f>IF(AE$3=0,"",SUMIFS(INDEX(Inputs!$D$4:$AG$200,0,MATCH(AE$2,Inputs!$D$2:$AG$2,0)),Inputs!$B$4:$B$200,$B32)/1000)</f>
        <v/>
      </c>
      <c r="AF32" s="11" t="str">
        <f>IF(AF$3=0,"",SUMIFS(INDEX(Inputs!$D$4:$AG$200,0,MATCH(AF$2,Inputs!$D$2:$AG$2,0)),Inputs!$B$4:$B$200,$B32)/1000)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IF(D$3=0,"",SUMIFS(INDEX(Inputs!$D$4:$AG$200,0,MATCH(D$2,Inputs!$D$2:$AG$2,0)),Inputs!$B$4:$B$200,$B33)/1000)</f>
        <v>0</v>
      </c>
      <c r="E33" s="11">
        <f>IF(E$3=0,"",SUMIFS(INDEX(Inputs!$D$4:$AG$200,0,MATCH(E$2,Inputs!$D$2:$AG$2,0)),Inputs!$B$4:$B$200,$B33)/1000)</f>
        <v>0</v>
      </c>
      <c r="F33" s="11">
        <f>IF(F$3=0,"",SUMIFS(INDEX(Inputs!$D$4:$AG$200,0,MATCH(F$2,Inputs!$D$2:$AG$2,0)),Inputs!$B$4:$B$200,$B33)/1000)</f>
        <v>0</v>
      </c>
      <c r="G33" s="11">
        <f>IF(G$3=0,"",SUMIFS(INDEX(Inputs!$D$4:$AG$200,0,MATCH(G$2,Inputs!$D$2:$AG$2,0)),Inputs!$B$4:$B$200,$B33)/1000)</f>
        <v>0</v>
      </c>
      <c r="H33" s="12">
        <f>IF(G33="","",G33)</f>
        <v>0</v>
      </c>
      <c r="I33" s="11">
        <f>IF(I$3=0,"",SUMIFS(INDEX(Inputs!$D$4:$AG$200,0,MATCH(I$2,Inputs!$D$2:$AG$2,0)),Inputs!$B$4:$B$200,$B33)/1000)</f>
        <v>0</v>
      </c>
      <c r="J33" s="11">
        <f>IF(J$3=0,"",SUMIFS(INDEX(Inputs!$D$4:$AG$200,0,MATCH(J$2,Inputs!$D$2:$AG$2,0)),Inputs!$B$4:$B$200,$B33)/1000)</f>
        <v>0</v>
      </c>
      <c r="K33" s="11">
        <f>IF(K$3=0,"",SUMIFS(INDEX(Inputs!$D$4:$AG$200,0,MATCH(K$2,Inputs!$D$2:$AG$2,0)),Inputs!$B$4:$B$200,$B33)/1000)</f>
        <v>0</v>
      </c>
      <c r="L33" s="11">
        <f>IF(L$3=0,"",SUMIFS(INDEX(Inputs!$D$4:$AG$200,0,MATCH(L$2,Inputs!$D$2:$AG$2,0)),Inputs!$B$4:$B$200,$B33)/1000)</f>
        <v>0</v>
      </c>
      <c r="M33" s="12">
        <f>IF(L33="","",L33)</f>
        <v>0</v>
      </c>
      <c r="N33" s="11">
        <f>IF(N$3=0,"",SUMIFS(INDEX(Inputs!$D$4:$AG$200,0,MATCH(N$2,Inputs!$D$2:$AG$2,0)),Inputs!$B$4:$B$200,$B33)/1000)</f>
        <v>0</v>
      </c>
      <c r="O33" s="11">
        <f>IF(O$3=0,"",SUMIFS(INDEX(Inputs!$D$4:$AG$200,0,MATCH(O$2,Inputs!$D$2:$AG$2,0)),Inputs!$B$4:$B$200,$B33)/1000)</f>
        <v>0</v>
      </c>
      <c r="P33" s="11">
        <f>IF(P$3=0,"",SUMIFS(INDEX(Inputs!$D$4:$AG$200,0,MATCH(P$2,Inputs!$D$2:$AG$2,0)),Inputs!$B$4:$B$200,$B33)/1000)</f>
        <v>0</v>
      </c>
      <c r="Q33" s="11">
        <f>IF(Q$3=0,"",SUMIFS(INDEX(Inputs!$D$4:$AG$200,0,MATCH(Q$2,Inputs!$D$2:$AG$2,0)),Inputs!$B$4:$B$200,$B33)/1000)</f>
        <v>0</v>
      </c>
      <c r="R33" s="12">
        <f>IF(Q33="","",Q33)</f>
        <v>0</v>
      </c>
      <c r="S33" s="11">
        <f>IF(S$3=0,"",SUMIFS(INDEX(Inputs!$D$4:$AG$200,0,MATCH(S$2,Inputs!$D$2:$AG$2,0)),Inputs!$B$4:$B$200,$B33)/1000)</f>
        <v>0</v>
      </c>
      <c r="T33" s="11">
        <f>IF(T$3=0,"",SUMIFS(INDEX(Inputs!$D$4:$AG$200,0,MATCH(T$2,Inputs!$D$2:$AG$2,0)),Inputs!$B$4:$B$200,$B33)/1000)</f>
        <v>0</v>
      </c>
      <c r="U33" s="11">
        <f>IF(U$3=0,"",SUMIFS(INDEX(Inputs!$D$4:$AG$200,0,MATCH(U$2,Inputs!$D$2:$AG$2,0)),Inputs!$B$4:$B$200,$B33)/1000)</f>
        <v>0</v>
      </c>
      <c r="V33" s="11">
        <f>IF(V$3=0,"",SUMIFS(INDEX(Inputs!$D$4:$AG$200,0,MATCH(V$2,Inputs!$D$2:$AG$2,0)),Inputs!$B$4:$B$200,$B33)/1000)</f>
        <v>0</v>
      </c>
      <c r="W33" s="12">
        <f>IF(V33="","",V33)</f>
        <v>0</v>
      </c>
      <c r="X33" s="11">
        <f>IF(X$3=0,"",SUMIFS(INDEX(Inputs!$D$4:$AG$200,0,MATCH(X$2,Inputs!$D$2:$AG$2,0)),Inputs!$B$4:$B$200,$B33)/1000)</f>
        <v>0</v>
      </c>
      <c r="Y33" s="11">
        <f>IF(Y$3=0,"",SUMIFS(INDEX(Inputs!$D$4:$AG$200,0,MATCH(Y$2,Inputs!$D$2:$AG$2,0)),Inputs!$B$4:$B$200,$B33)/1000)</f>
        <v>0</v>
      </c>
      <c r="Z33" s="11">
        <f>IF(Z$3=0,"",SUMIFS(INDEX(Inputs!$D$4:$AG$200,0,MATCH(Z$2,Inputs!$D$2:$AG$2,0)),Inputs!$B$4:$B$200,$B33)/1000)</f>
        <v>0</v>
      </c>
      <c r="AA33" s="11">
        <f>IF(AA$3=0,"",SUMIFS(INDEX(Inputs!$D$4:$AG$200,0,MATCH(AA$2,Inputs!$D$2:$AG$2,0)),Inputs!$B$4:$B$200,$B33)/1000)</f>
        <v>0</v>
      </c>
      <c r="AB33" s="12">
        <f>IF(AA33="","",AA33)</f>
        <v>0</v>
      </c>
      <c r="AC33" s="11">
        <f>IF(AC$3=0,"",SUMIFS(INDEX(Inputs!$D$4:$AG$200,0,MATCH(AC$2,Inputs!$D$2:$AG$2,0)),Inputs!$B$4:$B$200,$B33)/1000)</f>
        <v>0</v>
      </c>
      <c r="AD33" s="11">
        <f>IF(AD$3=0,"",SUMIFS(INDEX(Inputs!$D$4:$AG$200,0,MATCH(AD$2,Inputs!$D$2:$AG$2,0)),Inputs!$B$4:$B$200,$B33)/1000)</f>
        <v>0</v>
      </c>
      <c r="AE33" s="11" t="str">
        <f>IF(AE$3=0,"",SUMIFS(INDEX(Inputs!$D$4:$AG$200,0,MATCH(AE$2,Inputs!$D$2:$AG$2,0)),Inputs!$B$4:$B$200,$B33)/1000)</f>
        <v/>
      </c>
      <c r="AF33" s="11" t="str">
        <f>IF(AF$3=0,"",SUMIFS(INDEX(Inputs!$D$4:$AG$200,0,MATCH(AF$2,Inputs!$D$2:$AG$2,0)),Inputs!$B$4:$B$200,$B33)/1000)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IF(D$3=0,"",SUMIFS(INDEX(Inputs!$D$4:$AG$200,0,MATCH(D$2,Inputs!$D$2:$AG$2,0)),Inputs!$B$4:$B$200,$B34)/1000)</f>
        <v>52.492</v>
      </c>
      <c r="E34" s="11">
        <f>IF(E$3=0,"",SUMIFS(INDEX(Inputs!$D$4:$AG$200,0,MATCH(E$2,Inputs!$D$2:$AG$2,0)),Inputs!$B$4:$B$200,$B34)/1000)</f>
        <v>66.345</v>
      </c>
      <c r="F34" s="11">
        <f>IF(F$3=0,"",SUMIFS(INDEX(Inputs!$D$4:$AG$200,0,MATCH(F$2,Inputs!$D$2:$AG$2,0)),Inputs!$B$4:$B$200,$B34)/1000)</f>
        <v>74.201</v>
      </c>
      <c r="G34" s="11">
        <f>IF(G$3=0,"",SUMIFS(INDEX(Inputs!$D$4:$AG$200,0,MATCH(G$2,Inputs!$D$2:$AG$2,0)),Inputs!$B$4:$B$200,$B34)/1000)</f>
        <v>70.926</v>
      </c>
      <c r="H34" s="12">
        <f>IF(G34="","",G34)</f>
        <v>70.926</v>
      </c>
      <c r="I34" s="11">
        <f>IF(I$3=0,"",SUMIFS(INDEX(Inputs!$D$4:$AG$200,0,MATCH(I$2,Inputs!$D$2:$AG$2,0)),Inputs!$B$4:$B$200,$B34)/1000)</f>
        <v>74.76</v>
      </c>
      <c r="J34" s="11">
        <f>IF(J$3=0,"",SUMIFS(INDEX(Inputs!$D$4:$AG$200,0,MATCH(J$2,Inputs!$D$2:$AG$2,0)),Inputs!$B$4:$B$200,$B34)/1000)</f>
        <v>69.403</v>
      </c>
      <c r="K34" s="11">
        <f>IF(K$3=0,"",SUMIFS(INDEX(Inputs!$D$4:$AG$200,0,MATCH(K$2,Inputs!$D$2:$AG$2,0)),Inputs!$B$4:$B$200,$B34)/1000)</f>
        <v>70.205</v>
      </c>
      <c r="L34" s="11">
        <f>IF(L$3=0,"",SUMIFS(INDEX(Inputs!$D$4:$AG$200,0,MATCH(L$2,Inputs!$D$2:$AG$2,0)),Inputs!$B$4:$B$200,$B34)/1000)</f>
        <v>95.566</v>
      </c>
      <c r="M34" s="12">
        <f>IF(L34="","",L34)</f>
        <v>95.566</v>
      </c>
      <c r="N34" s="11">
        <f>IF(N$3=0,"",SUMIFS(INDEX(Inputs!$D$4:$AG$200,0,MATCH(N$2,Inputs!$D$2:$AG$2,0)),Inputs!$B$4:$B$200,$B34)/1000)</f>
        <v>99.026</v>
      </c>
      <c r="O34" s="11">
        <f>IF(O$3=0,"",SUMIFS(INDEX(Inputs!$D$4:$AG$200,0,MATCH(O$2,Inputs!$D$2:$AG$2,0)),Inputs!$B$4:$B$200,$B34)/1000)</f>
        <v>95.016</v>
      </c>
      <c r="P34" s="11">
        <f>IF(P$3=0,"",SUMIFS(INDEX(Inputs!$D$4:$AG$200,0,MATCH(P$2,Inputs!$D$2:$AG$2,0)),Inputs!$B$4:$B$200,$B34)/1000)</f>
        <v>96.488</v>
      </c>
      <c r="Q34" s="11">
        <f>IF(Q$3=0,"",SUMIFS(INDEX(Inputs!$D$4:$AG$200,0,MATCH(Q$2,Inputs!$D$2:$AG$2,0)),Inputs!$B$4:$B$200,$B34)/1000)</f>
        <v>104.905</v>
      </c>
      <c r="R34" s="12">
        <f>IF(Q34="","",Q34)</f>
        <v>104.905</v>
      </c>
      <c r="S34" s="11">
        <f>IF(S$3=0,"",SUMIFS(INDEX(Inputs!$D$4:$AG$200,0,MATCH(S$2,Inputs!$D$2:$AG$2,0)),Inputs!$B$4:$B$200,$B34)/1000)</f>
        <v>105.52</v>
      </c>
      <c r="T34" s="11">
        <f>IF(T$3=0,"",SUMIFS(INDEX(Inputs!$D$4:$AG$200,0,MATCH(T$2,Inputs!$D$2:$AG$2,0)),Inputs!$B$4:$B$200,$B34)/1000)</f>
        <v>112.161</v>
      </c>
      <c r="U34" s="11">
        <f>IF(U$3=0,"",SUMIFS(INDEX(Inputs!$D$4:$AG$200,0,MATCH(U$2,Inputs!$D$2:$AG$2,0)),Inputs!$B$4:$B$200,$B34)/1000)</f>
        <v>119.157</v>
      </c>
      <c r="V34" s="11">
        <f>IF(V$3=0,"",SUMIFS(INDEX(Inputs!$D$4:$AG$200,0,MATCH(V$2,Inputs!$D$2:$AG$2,0)),Inputs!$B$4:$B$200,$B34)/1000)</f>
        <v>120.982</v>
      </c>
      <c r="W34" s="12">
        <f>IF(V34="","",V34)</f>
        <v>120.982</v>
      </c>
      <c r="X34" s="11">
        <f>IF(X$3=0,"",SUMIFS(INDEX(Inputs!$D$4:$AG$200,0,MATCH(X$2,Inputs!$D$2:$AG$2,0)),Inputs!$B$4:$B$200,$B34)/1000)</f>
        <v>116.274</v>
      </c>
      <c r="Y34" s="11">
        <f>IF(Y$3=0,"",SUMIFS(INDEX(Inputs!$D$4:$AG$200,0,MATCH(Y$2,Inputs!$D$2:$AG$2,0)),Inputs!$B$4:$B$200,$B34)/1000)</f>
        <v>106.508</v>
      </c>
      <c r="Z34" s="11">
        <f>IF(Z$3=0,"",SUMIFS(INDEX(Inputs!$D$4:$AG$200,0,MATCH(Z$2,Inputs!$D$2:$AG$2,0)),Inputs!$B$4:$B$200,$B34)/1000)</f>
        <v>129.99</v>
      </c>
      <c r="AA34" s="11">
        <f>IF(AA$3=0,"",SUMIFS(INDEX(Inputs!$D$4:$AG$200,0,MATCH(AA$2,Inputs!$D$2:$AG$2,0)),Inputs!$B$4:$B$200,$B34)/1000)</f>
        <v>138.178</v>
      </c>
      <c r="AB34" s="12">
        <f>IF(AA34="","",AA34)</f>
        <v>138.178</v>
      </c>
      <c r="AC34" s="11">
        <f>IF(AC$3=0,"",SUMIFS(INDEX(Inputs!$D$4:$AG$200,0,MATCH(AC$2,Inputs!$D$2:$AG$2,0)),Inputs!$B$4:$B$200,$B34)/1000)</f>
        <v>138.459</v>
      </c>
      <c r="AD34" s="11">
        <f>IF(AD$3=0,"",SUMIFS(INDEX(Inputs!$D$4:$AG$200,0,MATCH(AD$2,Inputs!$D$2:$AG$2,0)),Inputs!$B$4:$B$200,$B34)/1000)</f>
        <v>138.888</v>
      </c>
      <c r="AE34" s="11" t="str">
        <f>IF(AE$3=0,"",SUMIFS(INDEX(Inputs!$D$4:$AG$200,0,MATCH(AE$2,Inputs!$D$2:$AG$2,0)),Inputs!$B$4:$B$200,$B34)/1000)</f>
        <v/>
      </c>
      <c r="AF34" s="11" t="str">
        <f>IF(AF$3=0,"",SUMIFS(INDEX(Inputs!$D$4:$AG$200,0,MATCH(AF$2,Inputs!$D$2:$AG$2,0)),Inputs!$B$4:$B$200,$B34)/1000)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IF(D$3=0,"",SUMIFS(INDEX(Inputs!$D$4:$AG$200,0,MATCH(D$2,Inputs!$D$2:$AG$2,0)),Inputs!$B$4:$B$200,$B35)/1000)</f>
        <v>3293.819</v>
      </c>
      <c r="E35" s="11">
        <f>IF(E$3=0,"",SUMIFS(INDEX(Inputs!$D$4:$AG$200,0,MATCH(E$2,Inputs!$D$2:$AG$2,0)),Inputs!$B$4:$B$200,$B35)/1000)</f>
        <v>3291.258</v>
      </c>
      <c r="F35" s="11">
        <f>IF(F$3=0,"",SUMIFS(INDEX(Inputs!$D$4:$AG$200,0,MATCH(F$2,Inputs!$D$2:$AG$2,0)),Inputs!$B$4:$B$200,$B35)/1000)</f>
        <v>3317.682</v>
      </c>
      <c r="G35" s="11">
        <f>IF(G$3=0,"",SUMIFS(INDEX(Inputs!$D$4:$AG$200,0,MATCH(G$2,Inputs!$D$2:$AG$2,0)),Inputs!$B$4:$B$200,$B35)/1000)</f>
        <v>3378.8</v>
      </c>
      <c r="H35" s="12">
        <f>IF(G35="","",G35)</f>
        <v>3378.8</v>
      </c>
      <c r="I35" s="11">
        <f>IF(I$3=0,"",SUMIFS(INDEX(Inputs!$D$4:$AG$200,0,MATCH(I$2,Inputs!$D$2:$AG$2,0)),Inputs!$B$4:$B$200,$B35)/1000)</f>
        <v>4014.447</v>
      </c>
      <c r="J35" s="11">
        <f>IF(J$3=0,"",SUMIFS(INDEX(Inputs!$D$4:$AG$200,0,MATCH(J$2,Inputs!$D$2:$AG$2,0)),Inputs!$B$4:$B$200,$B35)/1000)</f>
        <v>3967.192</v>
      </c>
      <c r="K35" s="11">
        <f>IF(K$3=0,"",SUMIFS(INDEX(Inputs!$D$4:$AG$200,0,MATCH(K$2,Inputs!$D$2:$AG$2,0)),Inputs!$B$4:$B$200,$B35)/1000)</f>
        <v>4023.418</v>
      </c>
      <c r="L35" s="11">
        <f>IF(L$3=0,"",SUMIFS(INDEX(Inputs!$D$4:$AG$200,0,MATCH(L$2,Inputs!$D$2:$AG$2,0)),Inputs!$B$4:$B$200,$B35)/1000)</f>
        <v>4103.308</v>
      </c>
      <c r="M35" s="12">
        <f>IF(L35="","",L35)</f>
        <v>4103.308</v>
      </c>
      <c r="N35" s="11">
        <f>IF(N$3=0,"",SUMIFS(INDEX(Inputs!$D$4:$AG$200,0,MATCH(N$2,Inputs!$D$2:$AG$2,0)),Inputs!$B$4:$B$200,$B35)/1000)</f>
        <v>4210.87</v>
      </c>
      <c r="O35" s="11">
        <f>IF(O$3=0,"",SUMIFS(INDEX(Inputs!$D$4:$AG$200,0,MATCH(O$2,Inputs!$D$2:$AG$2,0)),Inputs!$B$4:$B$200,$B35)/1000)</f>
        <v>4554.461</v>
      </c>
      <c r="P35" s="11">
        <f>IF(P$3=0,"",SUMIFS(INDEX(Inputs!$D$4:$AG$200,0,MATCH(P$2,Inputs!$D$2:$AG$2,0)),Inputs!$B$4:$B$200,$B35)/1000)</f>
        <v>4612.598</v>
      </c>
      <c r="Q35" s="11">
        <f>IF(Q$3=0,"",SUMIFS(INDEX(Inputs!$D$4:$AG$200,0,MATCH(Q$2,Inputs!$D$2:$AG$2,0)),Inputs!$B$4:$B$200,$B35)/1000)</f>
        <v>4703.272</v>
      </c>
      <c r="R35" s="12">
        <f>IF(Q35="","",Q35)</f>
        <v>4703.272</v>
      </c>
      <c r="S35" s="11">
        <f>IF(S$3=0,"",SUMIFS(INDEX(Inputs!$D$4:$AG$200,0,MATCH(S$2,Inputs!$D$2:$AG$2,0)),Inputs!$B$4:$B$200,$B35)/1000)</f>
        <v>5267.947</v>
      </c>
      <c r="T35" s="11">
        <f>IF(T$3=0,"",SUMIFS(INDEX(Inputs!$D$4:$AG$200,0,MATCH(T$2,Inputs!$D$2:$AG$2,0)),Inputs!$B$4:$B$200,$B35)/1000)</f>
        <v>5420.525</v>
      </c>
      <c r="U35" s="11">
        <f>IF(U$3=0,"",SUMIFS(INDEX(Inputs!$D$4:$AG$200,0,MATCH(U$2,Inputs!$D$2:$AG$2,0)),Inputs!$B$4:$B$200,$B35)/1000)</f>
        <v>5546.699</v>
      </c>
      <c r="V35" s="11">
        <f>IF(V$3=0,"",SUMIFS(INDEX(Inputs!$D$4:$AG$200,0,MATCH(V$2,Inputs!$D$2:$AG$2,0)),Inputs!$B$4:$B$200,$B35)/1000)</f>
        <v>5677.641</v>
      </c>
      <c r="W35" s="12">
        <f>IF(V35="","",V35)</f>
        <v>5677.641</v>
      </c>
      <c r="X35" s="11">
        <f>IF(X$3=0,"",SUMIFS(INDEX(Inputs!$D$4:$AG$200,0,MATCH(X$2,Inputs!$D$2:$AG$2,0)),Inputs!$B$4:$B$200,$B35)/1000)</f>
        <v>5533.642</v>
      </c>
      <c r="Y35" s="11">
        <f>IF(Y$3=0,"",SUMIFS(INDEX(Inputs!$D$4:$AG$200,0,MATCH(Y$2,Inputs!$D$2:$AG$2,0)),Inputs!$B$4:$B$200,$B35)/1000)</f>
        <v>5465.365</v>
      </c>
      <c r="Z35" s="11">
        <f>IF(Z$3=0,"",SUMIFS(INDEX(Inputs!$D$4:$AG$200,0,MATCH(Z$2,Inputs!$D$2:$AG$2,0)),Inputs!$B$4:$B$200,$B35)/1000)</f>
        <v>5901.199</v>
      </c>
      <c r="AA35" s="11">
        <f>IF(AA$3=0,"",SUMIFS(INDEX(Inputs!$D$4:$AG$200,0,MATCH(AA$2,Inputs!$D$2:$AG$2,0)),Inputs!$B$4:$B$200,$B35)/1000)</f>
        <v>5971.199</v>
      </c>
      <c r="AB35" s="12">
        <f>IF(AA35="","",AA35)</f>
        <v>5971.199</v>
      </c>
      <c r="AC35" s="11">
        <f>IF(AC$3=0,"",SUMIFS(INDEX(Inputs!$D$4:$AG$200,0,MATCH(AC$2,Inputs!$D$2:$AG$2,0)),Inputs!$B$4:$B$200,$B35)/1000)</f>
        <v>5508.356</v>
      </c>
      <c r="AD35" s="11">
        <f>IF(AD$3=0,"",SUMIFS(INDEX(Inputs!$D$4:$AG$200,0,MATCH(AD$2,Inputs!$D$2:$AG$2,0)),Inputs!$B$4:$B$200,$B35)/1000)</f>
        <v>5616.221</v>
      </c>
      <c r="AE35" s="11" t="str">
        <f>IF(AE$3=0,"",SUMIFS(INDEX(Inputs!$D$4:$AG$200,0,MATCH(AE$2,Inputs!$D$2:$AG$2,0)),Inputs!$B$4:$B$200,$B35)/1000)</f>
        <v/>
      </c>
      <c r="AF35" s="11" t="str">
        <f>IF(AF$3=0,"",SUMIFS(INDEX(Inputs!$D$4:$AG$200,0,MATCH(AF$2,Inputs!$D$2:$AG$2,0)),Inputs!$B$4:$B$200,$B35)/1000)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IF(D$3=0,"",SUMIFS(INDEX(Inputs!$D$4:$AG$200,0,MATCH(D$2,Inputs!$D$2:$AG$2,0)),Inputs!$B$4:$B$200,$B36)/1000)</f>
        <v>297.201</v>
      </c>
      <c r="E36" s="11">
        <f>IF(E$3=0,"",SUMIFS(INDEX(Inputs!$D$4:$AG$200,0,MATCH(E$2,Inputs!$D$2:$AG$2,0)),Inputs!$B$4:$B$200,$B36)/1000)</f>
        <v>302.843</v>
      </c>
      <c r="F36" s="11">
        <f>IF(F$3=0,"",SUMIFS(INDEX(Inputs!$D$4:$AG$200,0,MATCH(F$2,Inputs!$D$2:$AG$2,0)),Inputs!$B$4:$B$200,$B36)/1000)</f>
        <v>324.974</v>
      </c>
      <c r="G36" s="11">
        <f>IF(G$3=0,"",SUMIFS(INDEX(Inputs!$D$4:$AG$200,0,MATCH(G$2,Inputs!$D$2:$AG$2,0)),Inputs!$B$4:$B$200,$B36)/1000)</f>
        <v>334.085</v>
      </c>
      <c r="H36" s="12">
        <f>IF(G36="","",G36)</f>
        <v>334.085</v>
      </c>
      <c r="I36" s="11">
        <f>IF(I$3=0,"",SUMIFS(INDEX(Inputs!$D$4:$AG$200,0,MATCH(I$2,Inputs!$D$2:$AG$2,0)),Inputs!$B$4:$B$200,$B36)/1000)</f>
        <v>334.493</v>
      </c>
      <c r="J36" s="11">
        <f>IF(J$3=0,"",SUMIFS(INDEX(Inputs!$D$4:$AG$200,0,MATCH(J$2,Inputs!$D$2:$AG$2,0)),Inputs!$B$4:$B$200,$B36)/1000)</f>
        <v>329.074</v>
      </c>
      <c r="K36" s="11">
        <f>IF(K$3=0,"",SUMIFS(INDEX(Inputs!$D$4:$AG$200,0,MATCH(K$2,Inputs!$D$2:$AG$2,0)),Inputs!$B$4:$B$200,$B36)/1000)</f>
        <v>357.334</v>
      </c>
      <c r="L36" s="11">
        <f>IF(L$3=0,"",SUMIFS(INDEX(Inputs!$D$4:$AG$200,0,MATCH(L$2,Inputs!$D$2:$AG$2,0)),Inputs!$B$4:$B$200,$B36)/1000)</f>
        <v>404.285</v>
      </c>
      <c r="M36" s="12">
        <f>IF(L36="","",L36)</f>
        <v>404.285</v>
      </c>
      <c r="N36" s="11">
        <f>IF(N$3=0,"",SUMIFS(INDEX(Inputs!$D$4:$AG$200,0,MATCH(N$2,Inputs!$D$2:$AG$2,0)),Inputs!$B$4:$B$200,$B36)/1000)</f>
        <v>390.987</v>
      </c>
      <c r="O36" s="11">
        <f>IF(O$3=0,"",SUMIFS(INDEX(Inputs!$D$4:$AG$200,0,MATCH(O$2,Inputs!$D$2:$AG$2,0)),Inputs!$B$4:$B$200,$B36)/1000)</f>
        <v>403.593</v>
      </c>
      <c r="P36" s="11">
        <f>IF(P$3=0,"",SUMIFS(INDEX(Inputs!$D$4:$AG$200,0,MATCH(P$2,Inputs!$D$2:$AG$2,0)),Inputs!$B$4:$B$200,$B36)/1000)</f>
        <v>400.65</v>
      </c>
      <c r="Q36" s="11">
        <f>IF(Q$3=0,"",SUMIFS(INDEX(Inputs!$D$4:$AG$200,0,MATCH(Q$2,Inputs!$D$2:$AG$2,0)),Inputs!$B$4:$B$200,$B36)/1000)</f>
        <v>403.271</v>
      </c>
      <c r="R36" s="12">
        <f>IF(Q36="","",Q36)</f>
        <v>403.271</v>
      </c>
      <c r="S36" s="11">
        <f>IF(S$3=0,"",SUMIFS(INDEX(Inputs!$D$4:$AG$200,0,MATCH(S$2,Inputs!$D$2:$AG$2,0)),Inputs!$B$4:$B$200,$B36)/1000)</f>
        <v>384.401</v>
      </c>
      <c r="T36" s="11">
        <f>IF(T$3=0,"",SUMIFS(INDEX(Inputs!$D$4:$AG$200,0,MATCH(T$2,Inputs!$D$2:$AG$2,0)),Inputs!$B$4:$B$200,$B36)/1000)</f>
        <v>390.529</v>
      </c>
      <c r="U36" s="11">
        <f>IF(U$3=0,"",SUMIFS(INDEX(Inputs!$D$4:$AG$200,0,MATCH(U$2,Inputs!$D$2:$AG$2,0)),Inputs!$B$4:$B$200,$B36)/1000)</f>
        <v>369.266</v>
      </c>
      <c r="V36" s="11">
        <f>IF(V$3=0,"",SUMIFS(INDEX(Inputs!$D$4:$AG$200,0,MATCH(V$2,Inputs!$D$2:$AG$2,0)),Inputs!$B$4:$B$200,$B36)/1000)</f>
        <v>369.056</v>
      </c>
      <c r="W36" s="12">
        <f>IF(V36="","",V36)</f>
        <v>369.056</v>
      </c>
      <c r="X36" s="11">
        <f>IF(X$3=0,"",SUMIFS(INDEX(Inputs!$D$4:$AG$200,0,MATCH(X$2,Inputs!$D$2:$AG$2,0)),Inputs!$B$4:$B$200,$B36)/1000)</f>
        <v>363.151</v>
      </c>
      <c r="Y36" s="11">
        <f>IF(Y$3=0,"",SUMIFS(INDEX(Inputs!$D$4:$AG$200,0,MATCH(Y$2,Inputs!$D$2:$AG$2,0)),Inputs!$B$4:$B$200,$B36)/1000)</f>
        <v>353.256</v>
      </c>
      <c r="Z36" s="11">
        <f>IF(Z$3=0,"",SUMIFS(INDEX(Inputs!$D$4:$AG$200,0,MATCH(Z$2,Inputs!$D$2:$AG$2,0)),Inputs!$B$4:$B$200,$B36)/1000)</f>
        <v>409.527</v>
      </c>
      <c r="AA36" s="11">
        <f>IF(AA$3=0,"",SUMIFS(INDEX(Inputs!$D$4:$AG$200,0,MATCH(AA$2,Inputs!$D$2:$AG$2,0)),Inputs!$B$4:$B$200,$B36)/1000)</f>
        <v>424.136</v>
      </c>
      <c r="AB36" s="12">
        <f>IF(AA36="","",AA36)</f>
        <v>424.136</v>
      </c>
      <c r="AC36" s="11">
        <f>IF(AC$3=0,"",SUMIFS(INDEX(Inputs!$D$4:$AG$200,0,MATCH(AC$2,Inputs!$D$2:$AG$2,0)),Inputs!$B$4:$B$200,$B36)/1000)</f>
        <v>402.609</v>
      </c>
      <c r="AD36" s="11">
        <f>IF(AD$3=0,"",SUMIFS(INDEX(Inputs!$D$4:$AG$200,0,MATCH(AD$2,Inputs!$D$2:$AG$2,0)),Inputs!$B$4:$B$200,$B36)/1000)</f>
        <v>386.794</v>
      </c>
      <c r="AE36" s="11" t="str">
        <f>IF(AE$3=0,"",SUMIFS(INDEX(Inputs!$D$4:$AG$200,0,MATCH(AE$2,Inputs!$D$2:$AG$2,0)),Inputs!$B$4:$B$200,$B36)/1000)</f>
        <v/>
      </c>
      <c r="AF36" s="11" t="str">
        <f>IF(AF$3=0,"",SUMIFS(INDEX(Inputs!$D$4:$AG$200,0,MATCH(AF$2,Inputs!$D$2:$AG$2,0)),Inputs!$B$4:$B$200,$B36)/1000)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IF(D$3=0,"",SUMIFS(INDEX(Inputs!$D$4:$AG$200,0,MATCH(D$2,Inputs!$D$2:$AG$2,0)),Inputs!$B$4:$B$200,$B37)/1000)</f>
        <v>0</v>
      </c>
      <c r="E37" s="11">
        <f>IF(E$3=0,"",SUMIFS(INDEX(Inputs!$D$4:$AG$200,0,MATCH(E$2,Inputs!$D$2:$AG$2,0)),Inputs!$B$4:$B$200,$B37)/1000)</f>
        <v>0</v>
      </c>
      <c r="F37" s="11">
        <f>IF(F$3=0,"",SUMIFS(INDEX(Inputs!$D$4:$AG$200,0,MATCH(F$2,Inputs!$D$2:$AG$2,0)),Inputs!$B$4:$B$200,$B37)/1000)</f>
        <v>0</v>
      </c>
      <c r="G37" s="11">
        <f>IF(G$3=0,"",SUMIFS(INDEX(Inputs!$D$4:$AG$200,0,MATCH(G$2,Inputs!$D$2:$AG$2,0)),Inputs!$B$4:$B$200,$B37)/1000)</f>
        <v>0</v>
      </c>
      <c r="H37" s="12">
        <f>IF(G37="","",G37)</f>
        <v>0</v>
      </c>
      <c r="I37" s="11">
        <f>IF(I$3=0,"",SUMIFS(INDEX(Inputs!$D$4:$AG$200,0,MATCH(I$2,Inputs!$D$2:$AG$2,0)),Inputs!$B$4:$B$200,$B37)/1000)</f>
        <v>0</v>
      </c>
      <c r="J37" s="11">
        <f>IF(J$3=0,"",SUMIFS(INDEX(Inputs!$D$4:$AG$200,0,MATCH(J$2,Inputs!$D$2:$AG$2,0)),Inputs!$B$4:$B$200,$B37)/1000)</f>
        <v>0</v>
      </c>
      <c r="K37" s="11">
        <f>IF(K$3=0,"",SUMIFS(INDEX(Inputs!$D$4:$AG$200,0,MATCH(K$2,Inputs!$D$2:$AG$2,0)),Inputs!$B$4:$B$200,$B37)/1000)</f>
        <v>0</v>
      </c>
      <c r="L37" s="11">
        <f>IF(L$3=0,"",SUMIFS(INDEX(Inputs!$D$4:$AG$200,0,MATCH(L$2,Inputs!$D$2:$AG$2,0)),Inputs!$B$4:$B$200,$B37)/1000)</f>
        <v>0</v>
      </c>
      <c r="M37" s="12">
        <f>IF(L37="","",L37)</f>
        <v>0</v>
      </c>
      <c r="N37" s="11">
        <f>IF(N$3=0,"",SUMIFS(INDEX(Inputs!$D$4:$AG$200,0,MATCH(N$2,Inputs!$D$2:$AG$2,0)),Inputs!$B$4:$B$200,$B37)/1000)</f>
        <v>0</v>
      </c>
      <c r="O37" s="11">
        <f>IF(O$3=0,"",SUMIFS(INDEX(Inputs!$D$4:$AG$200,0,MATCH(O$2,Inputs!$D$2:$AG$2,0)),Inputs!$B$4:$B$200,$B37)/1000)</f>
        <v>0</v>
      </c>
      <c r="P37" s="11">
        <f>IF(P$3=0,"",SUMIFS(INDEX(Inputs!$D$4:$AG$200,0,MATCH(P$2,Inputs!$D$2:$AG$2,0)),Inputs!$B$4:$B$200,$B37)/1000)</f>
        <v>0</v>
      </c>
      <c r="Q37" s="11">
        <f>IF(Q$3=0,"",SUMIFS(INDEX(Inputs!$D$4:$AG$200,0,MATCH(Q$2,Inputs!$D$2:$AG$2,0)),Inputs!$B$4:$B$200,$B37)/1000)</f>
        <v>0</v>
      </c>
      <c r="R37" s="12">
        <f>IF(Q37="","",Q37)</f>
        <v>0</v>
      </c>
      <c r="S37" s="11">
        <f>IF(S$3=0,"",SUMIFS(INDEX(Inputs!$D$4:$AG$200,0,MATCH(S$2,Inputs!$D$2:$AG$2,0)),Inputs!$B$4:$B$200,$B37)/1000)</f>
        <v>0</v>
      </c>
      <c r="T37" s="11">
        <f>IF(T$3=0,"",SUMIFS(INDEX(Inputs!$D$4:$AG$200,0,MATCH(T$2,Inputs!$D$2:$AG$2,0)),Inputs!$B$4:$B$200,$B37)/1000)</f>
        <v>0</v>
      </c>
      <c r="U37" s="11">
        <f>IF(U$3=0,"",SUMIFS(INDEX(Inputs!$D$4:$AG$200,0,MATCH(U$2,Inputs!$D$2:$AG$2,0)),Inputs!$B$4:$B$200,$B37)/1000)</f>
        <v>0</v>
      </c>
      <c r="V37" s="11">
        <f>IF(V$3=0,"",SUMIFS(INDEX(Inputs!$D$4:$AG$200,0,MATCH(V$2,Inputs!$D$2:$AG$2,0)),Inputs!$B$4:$B$200,$B37)/1000)</f>
        <v>0</v>
      </c>
      <c r="W37" s="12">
        <f>IF(V37="","",V37)</f>
        <v>0</v>
      </c>
      <c r="X37" s="11">
        <f>IF(X$3=0,"",SUMIFS(INDEX(Inputs!$D$4:$AG$200,0,MATCH(X$2,Inputs!$D$2:$AG$2,0)),Inputs!$B$4:$B$200,$B37)/1000)</f>
        <v>0</v>
      </c>
      <c r="Y37" s="11">
        <f>IF(Y$3=0,"",SUMIFS(INDEX(Inputs!$D$4:$AG$200,0,MATCH(Y$2,Inputs!$D$2:$AG$2,0)),Inputs!$B$4:$B$200,$B37)/1000)</f>
        <v>0</v>
      </c>
      <c r="Z37" s="11">
        <f>IF(Z$3=0,"",SUMIFS(INDEX(Inputs!$D$4:$AG$200,0,MATCH(Z$2,Inputs!$D$2:$AG$2,0)),Inputs!$B$4:$B$200,$B37)/1000)</f>
        <v>0</v>
      </c>
      <c r="AA37" s="11">
        <f>IF(AA$3=0,"",SUMIFS(INDEX(Inputs!$D$4:$AG$200,0,MATCH(AA$2,Inputs!$D$2:$AG$2,0)),Inputs!$B$4:$B$200,$B37)/1000)</f>
        <v>0</v>
      </c>
      <c r="AB37" s="12">
        <f>IF(AA37="","",AA37)</f>
        <v>0</v>
      </c>
      <c r="AC37" s="11">
        <f>IF(AC$3=0,"",SUMIFS(INDEX(Inputs!$D$4:$AG$200,0,MATCH(AC$2,Inputs!$D$2:$AG$2,0)),Inputs!$B$4:$B$200,$B37)/1000)</f>
        <v>0</v>
      </c>
      <c r="AD37" s="11">
        <f>IF(AD$3=0,"",SUMIFS(INDEX(Inputs!$D$4:$AG$200,0,MATCH(AD$2,Inputs!$D$2:$AG$2,0)),Inputs!$B$4:$B$200,$B37)/1000)</f>
        <v>0</v>
      </c>
      <c r="AE37" s="11" t="str">
        <f>IF(AE$3=0,"",SUMIFS(INDEX(Inputs!$D$4:$AG$200,0,MATCH(AE$2,Inputs!$D$2:$AG$2,0)),Inputs!$B$4:$B$200,$B37)/1000)</f>
        <v/>
      </c>
      <c r="AF37" s="11" t="str">
        <f>IF(AF$3=0,"",SUMIFS(INDEX(Inputs!$D$4:$AG$200,0,MATCH(AF$2,Inputs!$D$2:$AG$2,0)),Inputs!$B$4:$B$200,$B37)/1000)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IF(D$3=0,"",SUMIFS(INDEX(Inputs!$D$4:$AG$200,0,MATCH(D$2,Inputs!$D$2:$AG$2,0)),Inputs!$B$4:$B$200,$B38)/1000)</f>
        <v>0</v>
      </c>
      <c r="E38" s="11">
        <f>IF(E$3=0,"",SUMIFS(INDEX(Inputs!$D$4:$AG$200,0,MATCH(E$2,Inputs!$D$2:$AG$2,0)),Inputs!$B$4:$B$200,$B38)/1000)</f>
        <v>0</v>
      </c>
      <c r="F38" s="11">
        <f>IF(F$3=0,"",SUMIFS(INDEX(Inputs!$D$4:$AG$200,0,MATCH(F$2,Inputs!$D$2:$AG$2,0)),Inputs!$B$4:$B$200,$B38)/1000)</f>
        <v>0</v>
      </c>
      <c r="G38" s="11">
        <f>IF(G$3=0,"",SUMIFS(INDEX(Inputs!$D$4:$AG$200,0,MATCH(G$2,Inputs!$D$2:$AG$2,0)),Inputs!$B$4:$B$200,$B38)/1000)</f>
        <v>0</v>
      </c>
      <c r="H38" s="12">
        <f>IF(G38="","",G38)</f>
        <v>0</v>
      </c>
      <c r="I38" s="11">
        <f>IF(I$3=0,"",SUMIFS(INDEX(Inputs!$D$4:$AG$200,0,MATCH(I$2,Inputs!$D$2:$AG$2,0)),Inputs!$B$4:$B$200,$B38)/1000)</f>
        <v>0</v>
      </c>
      <c r="J38" s="11">
        <f>IF(J$3=0,"",SUMIFS(INDEX(Inputs!$D$4:$AG$200,0,MATCH(J$2,Inputs!$D$2:$AG$2,0)),Inputs!$B$4:$B$200,$B38)/1000)</f>
        <v>0</v>
      </c>
      <c r="K38" s="11">
        <f>IF(K$3=0,"",SUMIFS(INDEX(Inputs!$D$4:$AG$200,0,MATCH(K$2,Inputs!$D$2:$AG$2,0)),Inputs!$B$4:$B$200,$B38)/1000)</f>
        <v>0</v>
      </c>
      <c r="L38" s="11">
        <f>IF(L$3=0,"",SUMIFS(INDEX(Inputs!$D$4:$AG$200,0,MATCH(L$2,Inputs!$D$2:$AG$2,0)),Inputs!$B$4:$B$200,$B38)/1000)</f>
        <v>0</v>
      </c>
      <c r="M38" s="12">
        <f>IF(L38="","",L38)</f>
        <v>0</v>
      </c>
      <c r="N38" s="11">
        <f>IF(N$3=0,"",SUMIFS(INDEX(Inputs!$D$4:$AG$200,0,MATCH(N$2,Inputs!$D$2:$AG$2,0)),Inputs!$B$4:$B$200,$B38)/1000)</f>
        <v>0</v>
      </c>
      <c r="O38" s="11">
        <f>IF(O$3=0,"",SUMIFS(INDEX(Inputs!$D$4:$AG$200,0,MATCH(O$2,Inputs!$D$2:$AG$2,0)),Inputs!$B$4:$B$200,$B38)/1000)</f>
        <v>0</v>
      </c>
      <c r="P38" s="11">
        <f>IF(P$3=0,"",SUMIFS(INDEX(Inputs!$D$4:$AG$200,0,MATCH(P$2,Inputs!$D$2:$AG$2,0)),Inputs!$B$4:$B$200,$B38)/1000)</f>
        <v>0</v>
      </c>
      <c r="Q38" s="11">
        <f>IF(Q$3=0,"",SUMIFS(INDEX(Inputs!$D$4:$AG$200,0,MATCH(Q$2,Inputs!$D$2:$AG$2,0)),Inputs!$B$4:$B$200,$B38)/1000)</f>
        <v>0</v>
      </c>
      <c r="R38" s="12">
        <f>IF(Q38="","",Q38)</f>
        <v>0</v>
      </c>
      <c r="S38" s="11">
        <f>IF(S$3=0,"",SUMIFS(INDEX(Inputs!$D$4:$AG$200,0,MATCH(S$2,Inputs!$D$2:$AG$2,0)),Inputs!$B$4:$B$200,$B38)/1000)</f>
        <v>0</v>
      </c>
      <c r="T38" s="11">
        <f>IF(T$3=0,"",SUMIFS(INDEX(Inputs!$D$4:$AG$200,0,MATCH(T$2,Inputs!$D$2:$AG$2,0)),Inputs!$B$4:$B$200,$B38)/1000)</f>
        <v>0</v>
      </c>
      <c r="U38" s="11">
        <f>IF(U$3=0,"",SUMIFS(INDEX(Inputs!$D$4:$AG$200,0,MATCH(U$2,Inputs!$D$2:$AG$2,0)),Inputs!$B$4:$B$200,$B38)/1000)</f>
        <v>0</v>
      </c>
      <c r="V38" s="11">
        <f>IF(V$3=0,"",SUMIFS(INDEX(Inputs!$D$4:$AG$200,0,MATCH(V$2,Inputs!$D$2:$AG$2,0)),Inputs!$B$4:$B$200,$B38)/1000)</f>
        <v>0</v>
      </c>
      <c r="W38" s="12">
        <f>IF(V38="","",V38)</f>
        <v>0</v>
      </c>
      <c r="X38" s="11">
        <f>IF(X$3=0,"",SUMIFS(INDEX(Inputs!$D$4:$AG$200,0,MATCH(X$2,Inputs!$D$2:$AG$2,0)),Inputs!$B$4:$B$200,$B38)/1000)</f>
        <v>0</v>
      </c>
      <c r="Y38" s="11">
        <f>IF(Y$3=0,"",SUMIFS(INDEX(Inputs!$D$4:$AG$200,0,MATCH(Y$2,Inputs!$D$2:$AG$2,0)),Inputs!$B$4:$B$200,$B38)/1000)</f>
        <v>0</v>
      </c>
      <c r="Z38" s="11">
        <f>IF(Z$3=0,"",SUMIFS(INDEX(Inputs!$D$4:$AG$200,0,MATCH(Z$2,Inputs!$D$2:$AG$2,0)),Inputs!$B$4:$B$200,$B38)/1000)</f>
        <v>0</v>
      </c>
      <c r="AA38" s="11">
        <f>IF(AA$3=0,"",SUMIFS(INDEX(Inputs!$D$4:$AG$200,0,MATCH(AA$2,Inputs!$D$2:$AG$2,0)),Inputs!$B$4:$B$200,$B38)/1000)</f>
        <v>0</v>
      </c>
      <c r="AB38" s="12">
        <f>IF(AA38="","",AA38)</f>
        <v>0</v>
      </c>
      <c r="AC38" s="11">
        <f>IF(AC$3=0,"",SUMIFS(INDEX(Inputs!$D$4:$AG$200,0,MATCH(AC$2,Inputs!$D$2:$AG$2,0)),Inputs!$B$4:$B$200,$B38)/1000)</f>
        <v>0</v>
      </c>
      <c r="AD38" s="11">
        <f>IF(AD$3=0,"",SUMIFS(INDEX(Inputs!$D$4:$AG$200,0,MATCH(AD$2,Inputs!$D$2:$AG$2,0)),Inputs!$B$4:$B$200,$B38)/1000)</f>
        <v>0</v>
      </c>
      <c r="AE38" s="11" t="str">
        <f>IF(AE$3=0,"",SUMIFS(INDEX(Inputs!$D$4:$AG$200,0,MATCH(AE$2,Inputs!$D$2:$AG$2,0)),Inputs!$B$4:$B$200,$B38)/1000)</f>
        <v/>
      </c>
      <c r="AF38" s="11" t="str">
        <f>IF(AF$3=0,"",SUMIFS(INDEX(Inputs!$D$4:$AG$200,0,MATCH(AF$2,Inputs!$D$2:$AG$2,0)),Inputs!$B$4:$B$200,$B38)/1000)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IF(D$3=0,"",SUMIFS(INDEX(Inputs!$D$4:$AG$200,0,MATCH(D$2,Inputs!$D$2:$AG$2,0)),Inputs!$B$4:$B$200,$B39)/1000)</f>
        <v>1725.558</v>
      </c>
      <c r="E39" s="11">
        <f>IF(E$3=0,"",SUMIFS(INDEX(Inputs!$D$4:$AG$200,0,MATCH(E$2,Inputs!$D$2:$AG$2,0)),Inputs!$B$4:$B$200,$B39)/1000)</f>
        <v>1734.907</v>
      </c>
      <c r="F39" s="11">
        <f>IF(F$3=0,"",SUMIFS(INDEX(Inputs!$D$4:$AG$200,0,MATCH(F$2,Inputs!$D$2:$AG$2,0)),Inputs!$B$4:$B$200,$B39)/1000)</f>
        <v>1746.777</v>
      </c>
      <c r="G39" s="11">
        <f>IF(G$3=0,"",SUMIFS(INDEX(Inputs!$D$4:$AG$200,0,MATCH(G$2,Inputs!$D$2:$AG$2,0)),Inputs!$B$4:$B$200,$B39)/1000)</f>
        <v>1704.191</v>
      </c>
      <c r="H39" s="12">
        <f>IF(G39="","",G39)</f>
        <v>1704.191</v>
      </c>
      <c r="I39" s="11">
        <f>IF(I$3=0,"",SUMIFS(INDEX(Inputs!$D$4:$AG$200,0,MATCH(I$2,Inputs!$D$2:$AG$2,0)),Inputs!$B$4:$B$200,$B39)/1000)</f>
        <v>1747.474</v>
      </c>
      <c r="J39" s="11">
        <f>IF(J$3=0,"",SUMIFS(INDEX(Inputs!$D$4:$AG$200,0,MATCH(J$2,Inputs!$D$2:$AG$2,0)),Inputs!$B$4:$B$200,$B39)/1000)</f>
        <v>1810.099</v>
      </c>
      <c r="K39" s="11">
        <f>IF(K$3=0,"",SUMIFS(INDEX(Inputs!$D$4:$AG$200,0,MATCH(K$2,Inputs!$D$2:$AG$2,0)),Inputs!$B$4:$B$200,$B39)/1000)</f>
        <v>1863.258</v>
      </c>
      <c r="L39" s="11">
        <f>IF(L$3=0,"",SUMIFS(INDEX(Inputs!$D$4:$AG$200,0,MATCH(L$2,Inputs!$D$2:$AG$2,0)),Inputs!$B$4:$B$200,$B39)/1000)</f>
        <v>1733.058</v>
      </c>
      <c r="M39" s="12">
        <f>IF(L39="","",L39)</f>
        <v>1733.058</v>
      </c>
      <c r="N39" s="11">
        <f>IF(N$3=0,"",SUMIFS(INDEX(Inputs!$D$4:$AG$200,0,MATCH(N$2,Inputs!$D$2:$AG$2,0)),Inputs!$B$4:$B$200,$B39)/1000)</f>
        <v>1806.021</v>
      </c>
      <c r="O39" s="11">
        <f>IF(O$3=0,"",SUMIFS(INDEX(Inputs!$D$4:$AG$200,0,MATCH(O$2,Inputs!$D$2:$AG$2,0)),Inputs!$B$4:$B$200,$B39)/1000)</f>
        <v>1873.033</v>
      </c>
      <c r="P39" s="11">
        <f>IF(P$3=0,"",SUMIFS(INDEX(Inputs!$D$4:$AG$200,0,MATCH(P$2,Inputs!$D$2:$AG$2,0)),Inputs!$B$4:$B$200,$B39)/1000)</f>
        <v>1897.704</v>
      </c>
      <c r="Q39" s="11">
        <f>IF(Q$3=0,"",SUMIFS(INDEX(Inputs!$D$4:$AG$200,0,MATCH(Q$2,Inputs!$D$2:$AG$2,0)),Inputs!$B$4:$B$200,$B39)/1000)</f>
        <v>1983.069</v>
      </c>
      <c r="R39" s="12">
        <f>IF(Q39="","",Q39)</f>
        <v>1983.069</v>
      </c>
      <c r="S39" s="11">
        <f>IF(S$3=0,"",SUMIFS(INDEX(Inputs!$D$4:$AG$200,0,MATCH(S$2,Inputs!$D$2:$AG$2,0)),Inputs!$B$4:$B$200,$B39)/1000)</f>
        <v>1967.222</v>
      </c>
      <c r="T39" s="11">
        <f>IF(T$3=0,"",SUMIFS(INDEX(Inputs!$D$4:$AG$200,0,MATCH(T$2,Inputs!$D$2:$AG$2,0)),Inputs!$B$4:$B$200,$B39)/1000)</f>
        <v>1909.148</v>
      </c>
      <c r="U39" s="11">
        <f>IF(U$3=0,"",SUMIFS(INDEX(Inputs!$D$4:$AG$200,0,MATCH(U$2,Inputs!$D$2:$AG$2,0)),Inputs!$B$4:$B$200,$B39)/1000)</f>
        <v>1784.519</v>
      </c>
      <c r="V39" s="11">
        <f>IF(V$3=0,"",SUMIFS(INDEX(Inputs!$D$4:$AG$200,0,MATCH(V$2,Inputs!$D$2:$AG$2,0)),Inputs!$B$4:$B$200,$B39)/1000)</f>
        <v>1782.168</v>
      </c>
      <c r="W39" s="12">
        <f>IF(V39="","",V39)</f>
        <v>1782.168</v>
      </c>
      <c r="X39" s="11">
        <f>IF(X$3=0,"",SUMIFS(INDEX(Inputs!$D$4:$AG$200,0,MATCH(X$2,Inputs!$D$2:$AG$2,0)),Inputs!$B$4:$B$200,$B39)/1000)</f>
        <v>4642.658</v>
      </c>
      <c r="Y39" s="11">
        <f>IF(Y$3=0,"",SUMIFS(INDEX(Inputs!$D$4:$AG$200,0,MATCH(Y$2,Inputs!$D$2:$AG$2,0)),Inputs!$B$4:$B$200,$B39)/1000)</f>
        <v>4858.588</v>
      </c>
      <c r="Z39" s="11">
        <f>IF(Z$3=0,"",SUMIFS(INDEX(Inputs!$D$4:$AG$200,0,MATCH(Z$2,Inputs!$D$2:$AG$2,0)),Inputs!$B$4:$B$200,$B39)/1000)</f>
        <v>1791.306</v>
      </c>
      <c r="AA39" s="11">
        <f>IF(AA$3=0,"",SUMIFS(INDEX(Inputs!$D$4:$AG$200,0,MATCH(AA$2,Inputs!$D$2:$AG$2,0)),Inputs!$B$4:$B$200,$B39)/1000)</f>
        <v>1698.06</v>
      </c>
      <c r="AB39" s="12">
        <f>IF(AA39="","",AA39)</f>
        <v>1698.06</v>
      </c>
      <c r="AC39" s="11">
        <f>IF(AC$3=0,"",SUMIFS(INDEX(Inputs!$D$4:$AG$200,0,MATCH(AC$2,Inputs!$D$2:$AG$2,0)),Inputs!$B$4:$B$200,$B39)/1000)</f>
        <v>1725.116</v>
      </c>
      <c r="AD39" s="11">
        <f>IF(AD$3=0,"",SUMIFS(INDEX(Inputs!$D$4:$AG$200,0,MATCH(AD$2,Inputs!$D$2:$AG$2,0)),Inputs!$B$4:$B$200,$B39)/1000)</f>
        <v>5019.593</v>
      </c>
      <c r="AE39" s="11" t="str">
        <f>IF(AE$3=0,"",SUMIFS(INDEX(Inputs!$D$4:$AG$200,0,MATCH(AE$2,Inputs!$D$2:$AG$2,0)),Inputs!$B$4:$B$200,$B39)/1000)</f>
        <v/>
      </c>
      <c r="AF39" s="11" t="str">
        <f>IF(AF$3=0,"",SUMIFS(INDEX(Inputs!$D$4:$AG$200,0,MATCH(AF$2,Inputs!$D$2:$AG$2,0)),Inputs!$B$4:$B$200,$B39)/1000)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IF(D$3=0,"",SUMIFS(INDEX(Inputs!$D$4:$AG$200,0,MATCH(D$2,Inputs!$D$2:$AG$2,0)),Inputs!$B$4:$B$200,$B41)/1000)</f>
        <v>0</v>
      </c>
      <c r="E41" s="11">
        <f>IF(E$3=0,"",SUMIFS(INDEX(Inputs!$D$4:$AG$200,0,MATCH(E$2,Inputs!$D$2:$AG$2,0)),Inputs!$B$4:$B$200,$B41)/1000)</f>
        <v>0</v>
      </c>
      <c r="F41" s="11">
        <f>IF(F$3=0,"",SUMIFS(INDEX(Inputs!$D$4:$AG$200,0,MATCH(F$2,Inputs!$D$2:$AG$2,0)),Inputs!$B$4:$B$200,$B41)/1000)</f>
        <v>0</v>
      </c>
      <c r="G41" s="11">
        <f>IF(G$3=0,"",SUMIFS(INDEX(Inputs!$D$4:$AG$200,0,MATCH(G$2,Inputs!$D$2:$AG$2,0)),Inputs!$B$4:$B$200,$B41)/1000)</f>
        <v>0</v>
      </c>
      <c r="H41" s="12">
        <f>IF(G41="","",G41)</f>
        <v>0</v>
      </c>
      <c r="I41" s="11">
        <f>IF(I$3=0,"",SUMIFS(INDEX(Inputs!$D$4:$AG$200,0,MATCH(I$2,Inputs!$D$2:$AG$2,0)),Inputs!$B$4:$B$200,$B41)/1000)</f>
        <v>0</v>
      </c>
      <c r="J41" s="11">
        <f>IF(J$3=0,"",SUMIFS(INDEX(Inputs!$D$4:$AG$200,0,MATCH(J$2,Inputs!$D$2:$AG$2,0)),Inputs!$B$4:$B$200,$B41)/1000)</f>
        <v>0</v>
      </c>
      <c r="K41" s="11">
        <f>IF(K$3=0,"",SUMIFS(INDEX(Inputs!$D$4:$AG$200,0,MATCH(K$2,Inputs!$D$2:$AG$2,0)),Inputs!$B$4:$B$200,$B41)/1000)</f>
        <v>0</v>
      </c>
      <c r="L41" s="11">
        <f>IF(L$3=0,"",SUMIFS(INDEX(Inputs!$D$4:$AG$200,0,MATCH(L$2,Inputs!$D$2:$AG$2,0)),Inputs!$B$4:$B$200,$B41)/1000)</f>
        <v>0</v>
      </c>
      <c r="M41" s="12">
        <f>IF(L41="","",L41)</f>
        <v>0</v>
      </c>
      <c r="N41" s="11">
        <f>IF(N$3=0,"",SUMIFS(INDEX(Inputs!$D$4:$AG$200,0,MATCH(N$2,Inputs!$D$2:$AG$2,0)),Inputs!$B$4:$B$200,$B41)/1000)</f>
        <v>0</v>
      </c>
      <c r="O41" s="11">
        <f>IF(O$3=0,"",SUMIFS(INDEX(Inputs!$D$4:$AG$200,0,MATCH(O$2,Inputs!$D$2:$AG$2,0)),Inputs!$B$4:$B$200,$B41)/1000)</f>
        <v>0</v>
      </c>
      <c r="P41" s="11">
        <f>IF(P$3=0,"",SUMIFS(INDEX(Inputs!$D$4:$AG$200,0,MATCH(P$2,Inputs!$D$2:$AG$2,0)),Inputs!$B$4:$B$200,$B41)/1000)</f>
        <v>0</v>
      </c>
      <c r="Q41" s="11">
        <f>IF(Q$3=0,"",SUMIFS(INDEX(Inputs!$D$4:$AG$200,0,MATCH(Q$2,Inputs!$D$2:$AG$2,0)),Inputs!$B$4:$B$200,$B41)/1000)</f>
        <v>0</v>
      </c>
      <c r="R41" s="12">
        <f>IF(Q41="","",Q41)</f>
        <v>0</v>
      </c>
      <c r="S41" s="11">
        <f>IF(S$3=0,"",SUMIFS(INDEX(Inputs!$D$4:$AG$200,0,MATCH(S$2,Inputs!$D$2:$AG$2,0)),Inputs!$B$4:$B$200,$B41)/1000)</f>
        <v>0</v>
      </c>
      <c r="T41" s="11">
        <f>IF(T$3=0,"",SUMIFS(INDEX(Inputs!$D$4:$AG$200,0,MATCH(T$2,Inputs!$D$2:$AG$2,0)),Inputs!$B$4:$B$200,$B41)/1000)</f>
        <v>0</v>
      </c>
      <c r="U41" s="11">
        <f>IF(U$3=0,"",SUMIFS(INDEX(Inputs!$D$4:$AG$200,0,MATCH(U$2,Inputs!$D$2:$AG$2,0)),Inputs!$B$4:$B$200,$B41)/1000)</f>
        <v>0</v>
      </c>
      <c r="V41" s="11">
        <f>IF(V$3=0,"",SUMIFS(INDEX(Inputs!$D$4:$AG$200,0,MATCH(V$2,Inputs!$D$2:$AG$2,0)),Inputs!$B$4:$B$200,$B41)/1000)</f>
        <v>0</v>
      </c>
      <c r="W41" s="12">
        <f>IF(V41="","",V41)</f>
        <v>0</v>
      </c>
      <c r="X41" s="11">
        <f>IF(X$3=0,"",SUMIFS(INDEX(Inputs!$D$4:$AG$200,0,MATCH(X$2,Inputs!$D$2:$AG$2,0)),Inputs!$B$4:$B$200,$B41)/1000)</f>
        <v>0</v>
      </c>
      <c r="Y41" s="11">
        <f>IF(Y$3=0,"",SUMIFS(INDEX(Inputs!$D$4:$AG$200,0,MATCH(Y$2,Inputs!$D$2:$AG$2,0)),Inputs!$B$4:$B$200,$B41)/1000)</f>
        <v>0</v>
      </c>
      <c r="Z41" s="11">
        <f>IF(Z$3=0,"",SUMIFS(INDEX(Inputs!$D$4:$AG$200,0,MATCH(Z$2,Inputs!$D$2:$AG$2,0)),Inputs!$B$4:$B$200,$B41)/1000)</f>
        <v>0</v>
      </c>
      <c r="AA41" s="11">
        <f>IF(AA$3=0,"",SUMIFS(INDEX(Inputs!$D$4:$AG$200,0,MATCH(AA$2,Inputs!$D$2:$AG$2,0)),Inputs!$B$4:$B$200,$B41)/1000)</f>
        <v>0</v>
      </c>
      <c r="AB41" s="12">
        <f>IF(AA41="","",AA41)</f>
        <v>0</v>
      </c>
      <c r="AC41" s="11">
        <f>IF(AC$3=0,"",SUMIFS(INDEX(Inputs!$D$4:$AG$200,0,MATCH(AC$2,Inputs!$D$2:$AG$2,0)),Inputs!$B$4:$B$200,$B41)/1000)</f>
        <v>0</v>
      </c>
      <c r="AD41" s="11">
        <f>IF(AD$3=0,"",SUMIFS(INDEX(Inputs!$D$4:$AG$200,0,MATCH(AD$2,Inputs!$D$2:$AG$2,0)),Inputs!$B$4:$B$200,$B41)/1000)</f>
        <v>0</v>
      </c>
      <c r="AE41" s="11" t="str">
        <f>IF(AE$3=0,"",SUMIFS(INDEX(Inputs!$D$4:$AG$200,0,MATCH(AE$2,Inputs!$D$2:$AG$2,0)),Inputs!$B$4:$B$200,$B41)/1000)</f>
        <v/>
      </c>
      <c r="AF41" s="11" t="str">
        <f>IF(AF$3=0,"",SUMIFS(INDEX(Inputs!$D$4:$AG$200,0,MATCH(AF$2,Inputs!$D$2:$AG$2,0)),Inputs!$B$4:$B$200,$B41)/1000)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IF(D$3=0,"",SUMIFS(INDEX(Inputs!$D$4:$AG$200,0,MATCH(D$2,Inputs!$D$2:$AG$2,0)),Inputs!$B$4:$B$200,$B42)/1000)</f>
        <v>0</v>
      </c>
      <c r="E42" s="11">
        <f>IF(E$3=0,"",SUMIFS(INDEX(Inputs!$D$4:$AG$200,0,MATCH(E$2,Inputs!$D$2:$AG$2,0)),Inputs!$B$4:$B$200,$B42)/1000)</f>
        <v>0</v>
      </c>
      <c r="F42" s="11">
        <f>IF(F$3=0,"",SUMIFS(INDEX(Inputs!$D$4:$AG$200,0,MATCH(F$2,Inputs!$D$2:$AG$2,0)),Inputs!$B$4:$B$200,$B42)/1000)</f>
        <v>0</v>
      </c>
      <c r="G42" s="11">
        <f>IF(G$3=0,"",SUMIFS(INDEX(Inputs!$D$4:$AG$200,0,MATCH(G$2,Inputs!$D$2:$AG$2,0)),Inputs!$B$4:$B$200,$B42)/1000)</f>
        <v>0</v>
      </c>
      <c r="H42" s="12">
        <f>IF(G42="","",G42)</f>
        <v>0</v>
      </c>
      <c r="I42" s="11">
        <f>IF(I$3=0,"",SUMIFS(INDEX(Inputs!$D$4:$AG$200,0,MATCH(I$2,Inputs!$D$2:$AG$2,0)),Inputs!$B$4:$B$200,$B42)/1000)</f>
        <v>0</v>
      </c>
      <c r="J42" s="11">
        <f>IF(J$3=0,"",SUMIFS(INDEX(Inputs!$D$4:$AG$200,0,MATCH(J$2,Inputs!$D$2:$AG$2,0)),Inputs!$B$4:$B$200,$B42)/1000)</f>
        <v>0</v>
      </c>
      <c r="K42" s="11">
        <f>IF(K$3=0,"",SUMIFS(INDEX(Inputs!$D$4:$AG$200,0,MATCH(K$2,Inputs!$D$2:$AG$2,0)),Inputs!$B$4:$B$200,$B42)/1000)</f>
        <v>0</v>
      </c>
      <c r="L42" s="11">
        <f>IF(L$3=0,"",SUMIFS(INDEX(Inputs!$D$4:$AG$200,0,MATCH(L$2,Inputs!$D$2:$AG$2,0)),Inputs!$B$4:$B$200,$B42)/1000)</f>
        <v>0</v>
      </c>
      <c r="M42" s="12">
        <f>IF(L42="","",L42)</f>
        <v>0</v>
      </c>
      <c r="N42" s="11">
        <f>IF(N$3=0,"",SUMIFS(INDEX(Inputs!$D$4:$AG$200,0,MATCH(N$2,Inputs!$D$2:$AG$2,0)),Inputs!$B$4:$B$200,$B42)/1000)</f>
        <v>0</v>
      </c>
      <c r="O42" s="11">
        <f>IF(O$3=0,"",SUMIFS(INDEX(Inputs!$D$4:$AG$200,0,MATCH(O$2,Inputs!$D$2:$AG$2,0)),Inputs!$B$4:$B$200,$B42)/1000)</f>
        <v>0</v>
      </c>
      <c r="P42" s="11">
        <f>IF(P$3=0,"",SUMIFS(INDEX(Inputs!$D$4:$AG$200,0,MATCH(P$2,Inputs!$D$2:$AG$2,0)),Inputs!$B$4:$B$200,$B42)/1000)</f>
        <v>0</v>
      </c>
      <c r="Q42" s="11">
        <f>IF(Q$3=0,"",SUMIFS(INDEX(Inputs!$D$4:$AG$200,0,MATCH(Q$2,Inputs!$D$2:$AG$2,0)),Inputs!$B$4:$B$200,$B42)/1000)</f>
        <v>0</v>
      </c>
      <c r="R42" s="12">
        <f>IF(Q42="","",Q42)</f>
        <v>0</v>
      </c>
      <c r="S42" s="11">
        <f>IF(S$3=0,"",SUMIFS(INDEX(Inputs!$D$4:$AG$200,0,MATCH(S$2,Inputs!$D$2:$AG$2,0)),Inputs!$B$4:$B$200,$B42)/1000)</f>
        <v>0</v>
      </c>
      <c r="T42" s="11">
        <f>IF(T$3=0,"",SUMIFS(INDEX(Inputs!$D$4:$AG$200,0,MATCH(T$2,Inputs!$D$2:$AG$2,0)),Inputs!$B$4:$B$200,$B42)/1000)</f>
        <v>0</v>
      </c>
      <c r="U42" s="11">
        <f>IF(U$3=0,"",SUMIFS(INDEX(Inputs!$D$4:$AG$200,0,MATCH(U$2,Inputs!$D$2:$AG$2,0)),Inputs!$B$4:$B$200,$B42)/1000)</f>
        <v>0</v>
      </c>
      <c r="V42" s="11">
        <f>IF(V$3=0,"",SUMIFS(INDEX(Inputs!$D$4:$AG$200,0,MATCH(V$2,Inputs!$D$2:$AG$2,0)),Inputs!$B$4:$B$200,$B42)/1000)</f>
        <v>0</v>
      </c>
      <c r="W42" s="12">
        <f>IF(V42="","",V42)</f>
        <v>0</v>
      </c>
      <c r="X42" s="11">
        <f>IF(X$3=0,"",SUMIFS(INDEX(Inputs!$D$4:$AG$200,0,MATCH(X$2,Inputs!$D$2:$AG$2,0)),Inputs!$B$4:$B$200,$B42)/1000)</f>
        <v>0</v>
      </c>
      <c r="Y42" s="11">
        <f>IF(Y$3=0,"",SUMIFS(INDEX(Inputs!$D$4:$AG$200,0,MATCH(Y$2,Inputs!$D$2:$AG$2,0)),Inputs!$B$4:$B$200,$B42)/1000)</f>
        <v>0</v>
      </c>
      <c r="Z42" s="11">
        <f>IF(Z$3=0,"",SUMIFS(INDEX(Inputs!$D$4:$AG$200,0,MATCH(Z$2,Inputs!$D$2:$AG$2,0)),Inputs!$B$4:$B$200,$B42)/1000)</f>
        <v>0</v>
      </c>
      <c r="AA42" s="11">
        <f>IF(AA$3=0,"",SUMIFS(INDEX(Inputs!$D$4:$AG$200,0,MATCH(AA$2,Inputs!$D$2:$AG$2,0)),Inputs!$B$4:$B$200,$B42)/1000)</f>
        <v>0</v>
      </c>
      <c r="AB42" s="12">
        <f>IF(AA42="","",AA42)</f>
        <v>0</v>
      </c>
      <c r="AC42" s="11">
        <f>IF(AC$3=0,"",SUMIFS(INDEX(Inputs!$D$4:$AG$200,0,MATCH(AC$2,Inputs!$D$2:$AG$2,0)),Inputs!$B$4:$B$200,$B42)/1000)</f>
        <v>0</v>
      </c>
      <c r="AD42" s="11">
        <f>IF(AD$3=0,"",SUMIFS(INDEX(Inputs!$D$4:$AG$200,0,MATCH(AD$2,Inputs!$D$2:$AG$2,0)),Inputs!$B$4:$B$200,$B42)/1000)</f>
        <v>0</v>
      </c>
      <c r="AE42" s="11" t="str">
        <f>IF(AE$3=0,"",SUMIFS(INDEX(Inputs!$D$4:$AG$200,0,MATCH(AE$2,Inputs!$D$2:$AG$2,0)),Inputs!$B$4:$B$200,$B42)/1000)</f>
        <v/>
      </c>
      <c r="AF42" s="11" t="str">
        <f>IF(AF$3=0,"",SUMIFS(INDEX(Inputs!$D$4:$AG$200,0,MATCH(AF$2,Inputs!$D$2:$AG$2,0)),Inputs!$B$4:$B$200,$B42)/1000)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IF(D$3=0,"",SUMIFS(INDEX(Inputs!$D$4:$AG$200,0,MATCH(D$2,Inputs!$D$2:$AG$2,0)),Inputs!$B$4:$B$200,$B43)/1000)</f>
        <v>3996.137</v>
      </c>
      <c r="E43" s="11">
        <f>IF(E$3=0,"",SUMIFS(INDEX(Inputs!$D$4:$AG$200,0,MATCH(E$2,Inputs!$D$2:$AG$2,0)),Inputs!$B$4:$B$200,$B43)/1000)</f>
        <v>3996.137</v>
      </c>
      <c r="F43" s="11">
        <f>IF(F$3=0,"",SUMIFS(INDEX(Inputs!$D$4:$AG$200,0,MATCH(F$2,Inputs!$D$2:$AG$2,0)),Inputs!$B$4:$B$200,$B43)/1000)</f>
        <v>3996.137</v>
      </c>
      <c r="G43" s="11">
        <f>IF(G$3=0,"",SUMIFS(INDEX(Inputs!$D$4:$AG$200,0,MATCH(G$2,Inputs!$D$2:$AG$2,0)),Inputs!$B$4:$B$200,$B43)/1000)</f>
        <v>3996.137</v>
      </c>
      <c r="H43" s="12">
        <f>IF(G43="","",G43)</f>
        <v>3996.137</v>
      </c>
      <c r="I43" s="11">
        <f>IF(I$3=0,"",SUMIFS(INDEX(Inputs!$D$4:$AG$200,0,MATCH(I$2,Inputs!$D$2:$AG$2,0)),Inputs!$B$4:$B$200,$B43)/1000)</f>
        <v>3996.137</v>
      </c>
      <c r="J43" s="11">
        <f>IF(J$3=0,"",SUMIFS(INDEX(Inputs!$D$4:$AG$200,0,MATCH(J$2,Inputs!$D$2:$AG$2,0)),Inputs!$B$4:$B$200,$B43)/1000)</f>
        <v>3996.137</v>
      </c>
      <c r="K43" s="11">
        <f>IF(K$3=0,"",SUMIFS(INDEX(Inputs!$D$4:$AG$200,0,MATCH(K$2,Inputs!$D$2:$AG$2,0)),Inputs!$B$4:$B$200,$B43)/1000)</f>
        <v>3996.137</v>
      </c>
      <c r="L43" s="11">
        <f>IF(L$3=0,"",SUMIFS(INDEX(Inputs!$D$4:$AG$200,0,MATCH(L$2,Inputs!$D$2:$AG$2,0)),Inputs!$B$4:$B$200,$B43)/1000)</f>
        <v>3996.137</v>
      </c>
      <c r="M43" s="12">
        <f>IF(L43="","",L43)</f>
        <v>3996.137</v>
      </c>
      <c r="N43" s="11">
        <f>IF(N$3=0,"",SUMIFS(INDEX(Inputs!$D$4:$AG$200,0,MATCH(N$2,Inputs!$D$2:$AG$2,0)),Inputs!$B$4:$B$200,$B43)/1000)</f>
        <v>3996.137</v>
      </c>
      <c r="O43" s="11">
        <f>IF(O$3=0,"",SUMIFS(INDEX(Inputs!$D$4:$AG$200,0,MATCH(O$2,Inputs!$D$2:$AG$2,0)),Inputs!$B$4:$B$200,$B43)/1000)</f>
        <v>5996.137</v>
      </c>
      <c r="P43" s="11">
        <f>IF(P$3=0,"",SUMIFS(INDEX(Inputs!$D$4:$AG$200,0,MATCH(P$2,Inputs!$D$2:$AG$2,0)),Inputs!$B$4:$B$200,$B43)/1000)</f>
        <v>5996.137</v>
      </c>
      <c r="Q43" s="11">
        <f>IF(Q$3=0,"",SUMIFS(INDEX(Inputs!$D$4:$AG$200,0,MATCH(Q$2,Inputs!$D$2:$AG$2,0)),Inputs!$B$4:$B$200,$B43)/1000)</f>
        <v>5996.137</v>
      </c>
      <c r="R43" s="12">
        <f>IF(Q43="","",Q43)</f>
        <v>5996.137</v>
      </c>
      <c r="S43" s="11">
        <f>IF(S$3=0,"",SUMIFS(INDEX(Inputs!$D$4:$AG$200,0,MATCH(S$2,Inputs!$D$2:$AG$2,0)),Inputs!$B$4:$B$200,$B43)/1000)</f>
        <v>5996.137</v>
      </c>
      <c r="T43" s="11">
        <f>IF(T$3=0,"",SUMIFS(INDEX(Inputs!$D$4:$AG$200,0,MATCH(T$2,Inputs!$D$2:$AG$2,0)),Inputs!$B$4:$B$200,$B43)/1000)</f>
        <v>5996.137</v>
      </c>
      <c r="U43" s="11">
        <f>IF(U$3=0,"",SUMIFS(INDEX(Inputs!$D$4:$AG$200,0,MATCH(U$2,Inputs!$D$2:$AG$2,0)),Inputs!$B$4:$B$200,$B43)/1000)</f>
        <v>5996.137</v>
      </c>
      <c r="V43" s="11">
        <f>IF(V$3=0,"",SUMIFS(INDEX(Inputs!$D$4:$AG$200,0,MATCH(V$2,Inputs!$D$2:$AG$2,0)),Inputs!$B$4:$B$200,$B43)/1000)</f>
        <v>5996.137</v>
      </c>
      <c r="W43" s="12">
        <f>IF(V43="","",V43)</f>
        <v>5996.137</v>
      </c>
      <c r="X43" s="11">
        <f>IF(X$3=0,"",SUMIFS(INDEX(Inputs!$D$4:$AG$200,0,MATCH(X$2,Inputs!$D$2:$AG$2,0)),Inputs!$B$4:$B$200,$B43)/1000)</f>
        <v>5996.137</v>
      </c>
      <c r="Y43" s="11">
        <f>IF(Y$3=0,"",SUMIFS(INDEX(Inputs!$D$4:$AG$200,0,MATCH(Y$2,Inputs!$D$2:$AG$2,0)),Inputs!$B$4:$B$200,$B43)/1000)</f>
        <v>5996.137</v>
      </c>
      <c r="Z43" s="11">
        <f>IF(Z$3=0,"",SUMIFS(INDEX(Inputs!$D$4:$AG$200,0,MATCH(Z$2,Inputs!$D$2:$AG$2,0)),Inputs!$B$4:$B$200,$B43)/1000)</f>
        <v>5996.137</v>
      </c>
      <c r="AA43" s="11">
        <f>IF(AA$3=0,"",SUMIFS(INDEX(Inputs!$D$4:$AG$200,0,MATCH(AA$2,Inputs!$D$2:$AG$2,0)),Inputs!$B$4:$B$200,$B43)/1000)</f>
        <v>5996.137</v>
      </c>
      <c r="AB43" s="12">
        <f>IF(AA43="","",AA43)</f>
        <v>5996.137</v>
      </c>
      <c r="AC43" s="11">
        <f>IF(AC$3=0,"",SUMIFS(INDEX(Inputs!$D$4:$AG$200,0,MATCH(AC$2,Inputs!$D$2:$AG$2,0)),Inputs!$B$4:$B$200,$B43)/1000)</f>
        <v>5996.137</v>
      </c>
      <c r="AD43" s="11">
        <f>IF(AD$3=0,"",SUMIFS(INDEX(Inputs!$D$4:$AG$200,0,MATCH(AD$2,Inputs!$D$2:$AG$2,0)),Inputs!$B$4:$B$200,$B43)/1000)</f>
        <v>5996.137</v>
      </c>
      <c r="AE43" s="11" t="str">
        <f>IF(AE$3=0,"",SUMIFS(INDEX(Inputs!$D$4:$AG$200,0,MATCH(AE$2,Inputs!$D$2:$AG$2,0)),Inputs!$B$4:$B$200,$B43)/1000)</f>
        <v/>
      </c>
      <c r="AF43" s="11" t="str">
        <f>IF(AF$3=0,"",SUMIFS(INDEX(Inputs!$D$4:$AG$200,0,MATCH(AF$2,Inputs!$D$2:$AG$2,0)),Inputs!$B$4:$B$200,$B43)/1000)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IF(D$3=0,"",SUMIFS(INDEX(Inputs!$D$4:$AG$200,0,MATCH(D$2,Inputs!$D$2:$AG$2,0)),Inputs!$B$4:$B$200,$B44)/1000)</f>
        <v>0</v>
      </c>
      <c r="E44" s="11">
        <f>IF(E$3=0,"",SUMIFS(INDEX(Inputs!$D$4:$AG$200,0,MATCH(E$2,Inputs!$D$2:$AG$2,0)),Inputs!$B$4:$B$200,$B44)/1000)</f>
        <v>0</v>
      </c>
      <c r="F44" s="11">
        <f>IF(F$3=0,"",SUMIFS(INDEX(Inputs!$D$4:$AG$200,0,MATCH(F$2,Inputs!$D$2:$AG$2,0)),Inputs!$B$4:$B$200,$B44)/1000)</f>
        <v>0</v>
      </c>
      <c r="G44" s="11">
        <f>IF(G$3=0,"",SUMIFS(INDEX(Inputs!$D$4:$AG$200,0,MATCH(G$2,Inputs!$D$2:$AG$2,0)),Inputs!$B$4:$B$200,$B44)/1000)</f>
        <v>0</v>
      </c>
      <c r="H44" s="12">
        <f>IF(G44="","",G44)</f>
        <v>0</v>
      </c>
      <c r="I44" s="11">
        <f>IF(I$3=0,"",SUMIFS(INDEX(Inputs!$D$4:$AG$200,0,MATCH(I$2,Inputs!$D$2:$AG$2,0)),Inputs!$B$4:$B$200,$B44)/1000)</f>
        <v>0</v>
      </c>
      <c r="J44" s="11">
        <f>IF(J$3=0,"",SUMIFS(INDEX(Inputs!$D$4:$AG$200,0,MATCH(J$2,Inputs!$D$2:$AG$2,0)),Inputs!$B$4:$B$200,$B44)/1000)</f>
        <v>0</v>
      </c>
      <c r="K44" s="11">
        <f>IF(K$3=0,"",SUMIFS(INDEX(Inputs!$D$4:$AG$200,0,MATCH(K$2,Inputs!$D$2:$AG$2,0)),Inputs!$B$4:$B$200,$B44)/1000)</f>
        <v>0</v>
      </c>
      <c r="L44" s="11">
        <f>IF(L$3=0,"",SUMIFS(INDEX(Inputs!$D$4:$AG$200,0,MATCH(L$2,Inputs!$D$2:$AG$2,0)),Inputs!$B$4:$B$200,$B44)/1000)</f>
        <v>0</v>
      </c>
      <c r="M44" s="12">
        <f>IF(L44="","",L44)</f>
        <v>0</v>
      </c>
      <c r="N44" s="11">
        <f>IF(N$3=0,"",SUMIFS(INDEX(Inputs!$D$4:$AG$200,0,MATCH(N$2,Inputs!$D$2:$AG$2,0)),Inputs!$B$4:$B$200,$B44)/1000)</f>
        <v>0</v>
      </c>
      <c r="O44" s="11">
        <f>IF(O$3=0,"",SUMIFS(INDEX(Inputs!$D$4:$AG$200,0,MATCH(O$2,Inputs!$D$2:$AG$2,0)),Inputs!$B$4:$B$200,$B44)/1000)</f>
        <v>0</v>
      </c>
      <c r="P44" s="11">
        <f>IF(P$3=0,"",SUMIFS(INDEX(Inputs!$D$4:$AG$200,0,MATCH(P$2,Inputs!$D$2:$AG$2,0)),Inputs!$B$4:$B$200,$B44)/1000)</f>
        <v>0</v>
      </c>
      <c r="Q44" s="11">
        <f>IF(Q$3=0,"",SUMIFS(INDEX(Inputs!$D$4:$AG$200,0,MATCH(Q$2,Inputs!$D$2:$AG$2,0)),Inputs!$B$4:$B$200,$B44)/1000)</f>
        <v>0</v>
      </c>
      <c r="R44" s="12">
        <f>IF(Q44="","",Q44)</f>
        <v>0</v>
      </c>
      <c r="S44" s="11">
        <f>IF(S$3=0,"",SUMIFS(INDEX(Inputs!$D$4:$AG$200,0,MATCH(S$2,Inputs!$D$2:$AG$2,0)),Inputs!$B$4:$B$200,$B44)/1000)</f>
        <v>0</v>
      </c>
      <c r="T44" s="11">
        <f>IF(T$3=0,"",SUMIFS(INDEX(Inputs!$D$4:$AG$200,0,MATCH(T$2,Inputs!$D$2:$AG$2,0)),Inputs!$B$4:$B$200,$B44)/1000)</f>
        <v>0</v>
      </c>
      <c r="U44" s="11">
        <f>IF(U$3=0,"",SUMIFS(INDEX(Inputs!$D$4:$AG$200,0,MATCH(U$2,Inputs!$D$2:$AG$2,0)),Inputs!$B$4:$B$200,$B44)/1000)</f>
        <v>0</v>
      </c>
      <c r="V44" s="11">
        <f>IF(V$3=0,"",SUMIFS(INDEX(Inputs!$D$4:$AG$200,0,MATCH(V$2,Inputs!$D$2:$AG$2,0)),Inputs!$B$4:$B$200,$B44)/1000)</f>
        <v>0</v>
      </c>
      <c r="W44" s="12">
        <f>IF(V44="","",V44)</f>
        <v>0</v>
      </c>
      <c r="X44" s="11">
        <f>IF(X$3=0,"",SUMIFS(INDEX(Inputs!$D$4:$AG$200,0,MATCH(X$2,Inputs!$D$2:$AG$2,0)),Inputs!$B$4:$B$200,$B44)/1000)</f>
        <v>0</v>
      </c>
      <c r="Y44" s="11">
        <f>IF(Y$3=0,"",SUMIFS(INDEX(Inputs!$D$4:$AG$200,0,MATCH(Y$2,Inputs!$D$2:$AG$2,0)),Inputs!$B$4:$B$200,$B44)/1000)</f>
        <v>0</v>
      </c>
      <c r="Z44" s="11">
        <f>IF(Z$3=0,"",SUMIFS(INDEX(Inputs!$D$4:$AG$200,0,MATCH(Z$2,Inputs!$D$2:$AG$2,0)),Inputs!$B$4:$B$200,$B44)/1000)</f>
        <v>0</v>
      </c>
      <c r="AA44" s="11">
        <f>IF(AA$3=0,"",SUMIFS(INDEX(Inputs!$D$4:$AG$200,0,MATCH(AA$2,Inputs!$D$2:$AG$2,0)),Inputs!$B$4:$B$200,$B44)/1000)</f>
        <v>0</v>
      </c>
      <c r="AB44" s="12">
        <f>IF(AA44="","",AA44)</f>
        <v>0</v>
      </c>
      <c r="AC44" s="11">
        <f>IF(AC$3=0,"",SUMIFS(INDEX(Inputs!$D$4:$AG$200,0,MATCH(AC$2,Inputs!$D$2:$AG$2,0)),Inputs!$B$4:$B$200,$B44)/1000)</f>
        <v>0</v>
      </c>
      <c r="AD44" s="11">
        <f>IF(AD$3=0,"",SUMIFS(INDEX(Inputs!$D$4:$AG$200,0,MATCH(AD$2,Inputs!$D$2:$AG$2,0)),Inputs!$B$4:$B$200,$B44)/1000)</f>
        <v>0</v>
      </c>
      <c r="AE44" s="11" t="str">
        <f>IF(AE$3=0,"",SUMIFS(INDEX(Inputs!$D$4:$AG$200,0,MATCH(AE$2,Inputs!$D$2:$AG$2,0)),Inputs!$B$4:$B$200,$B44)/1000)</f>
        <v/>
      </c>
      <c r="AF44" s="11" t="str">
        <f>IF(AF$3=0,"",SUMIFS(INDEX(Inputs!$D$4:$AG$200,0,MATCH(AF$2,Inputs!$D$2:$AG$2,0)),Inputs!$B$4:$B$200,$B44)/1000)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IF(D$3=0,"",SUMIFS(INDEX(Inputs!$D$4:$AG$200,0,MATCH(D$2,Inputs!$D$2:$AG$2,0)),Inputs!$B$4:$B$200,$B45)/1000)</f>
        <v>29.115</v>
      </c>
      <c r="E45" s="11">
        <f>IF(E$3=0,"",SUMIFS(INDEX(Inputs!$D$4:$AG$200,0,MATCH(E$2,Inputs!$D$2:$AG$2,0)),Inputs!$B$4:$B$200,$B45)/1000)</f>
        <v>29.053</v>
      </c>
      <c r="F45" s="11">
        <f>IF(F$3=0,"",SUMIFS(INDEX(Inputs!$D$4:$AG$200,0,MATCH(F$2,Inputs!$D$2:$AG$2,0)),Inputs!$B$4:$B$200,$B45)/1000)</f>
        <v>29</v>
      </c>
      <c r="G45" s="11">
        <f>IF(G$3=0,"",SUMIFS(INDEX(Inputs!$D$4:$AG$200,0,MATCH(G$2,Inputs!$D$2:$AG$2,0)),Inputs!$B$4:$B$200,$B45)/1000)</f>
        <v>74.259</v>
      </c>
      <c r="H45" s="12">
        <f>IF(G45="","",G45)</f>
        <v>74.259</v>
      </c>
      <c r="I45" s="11">
        <f>IF(I$3=0,"",SUMIFS(INDEX(Inputs!$D$4:$AG$200,0,MATCH(I$2,Inputs!$D$2:$AG$2,0)),Inputs!$B$4:$B$200,$B45)/1000)</f>
        <v>74.217</v>
      </c>
      <c r="J45" s="11">
        <f>IF(J$3=0,"",SUMIFS(INDEX(Inputs!$D$4:$AG$200,0,MATCH(J$2,Inputs!$D$2:$AG$2,0)),Inputs!$B$4:$B$200,$B45)/1000)</f>
        <v>74.174</v>
      </c>
      <c r="K45" s="11">
        <f>IF(K$3=0,"",SUMIFS(INDEX(Inputs!$D$4:$AG$200,0,MATCH(K$2,Inputs!$D$2:$AG$2,0)),Inputs!$B$4:$B$200,$B45)/1000)</f>
        <v>74.153</v>
      </c>
      <c r="L45" s="11">
        <f>IF(L$3=0,"",SUMIFS(INDEX(Inputs!$D$4:$AG$200,0,MATCH(L$2,Inputs!$D$2:$AG$2,0)),Inputs!$B$4:$B$200,$B45)/1000)</f>
        <v>220.487</v>
      </c>
      <c r="M45" s="12">
        <f>IF(L45="","",L45)</f>
        <v>220.487</v>
      </c>
      <c r="N45" s="11">
        <f>IF(N$3=0,"",SUMIFS(INDEX(Inputs!$D$4:$AG$200,0,MATCH(N$2,Inputs!$D$2:$AG$2,0)),Inputs!$B$4:$B$200,$B45)/1000)</f>
        <v>220.471</v>
      </c>
      <c r="O45" s="11">
        <f>IF(O$3=0,"",SUMIFS(INDEX(Inputs!$D$4:$AG$200,0,MATCH(O$2,Inputs!$D$2:$AG$2,0)),Inputs!$B$4:$B$200,$B45)/1000)</f>
        <v>220.441</v>
      </c>
      <c r="P45" s="11">
        <f>IF(P$3=0,"",SUMIFS(INDEX(Inputs!$D$4:$AG$200,0,MATCH(P$2,Inputs!$D$2:$AG$2,0)),Inputs!$B$4:$B$200,$B45)/1000)</f>
        <v>220.415</v>
      </c>
      <c r="Q45" s="11">
        <f>IF(Q$3=0,"",SUMIFS(INDEX(Inputs!$D$4:$AG$200,0,MATCH(Q$2,Inputs!$D$2:$AG$2,0)),Inputs!$B$4:$B$200,$B45)/1000)</f>
        <v>190.513</v>
      </c>
      <c r="R45" s="12">
        <f>IF(Q45="","",Q45)</f>
        <v>190.513</v>
      </c>
      <c r="S45" s="11">
        <f>IF(S$3=0,"",SUMIFS(INDEX(Inputs!$D$4:$AG$200,0,MATCH(S$2,Inputs!$D$2:$AG$2,0)),Inputs!$B$4:$B$200,$B45)/1000)</f>
        <v>190.488</v>
      </c>
      <c r="T45" s="11">
        <f>IF(T$3=0,"",SUMIFS(INDEX(Inputs!$D$4:$AG$200,0,MATCH(T$2,Inputs!$D$2:$AG$2,0)),Inputs!$B$4:$B$200,$B45)/1000)</f>
        <v>190.422</v>
      </c>
      <c r="U45" s="11">
        <f>IF(U$3=0,"",SUMIFS(INDEX(Inputs!$D$4:$AG$200,0,MATCH(U$2,Inputs!$D$2:$AG$2,0)),Inputs!$B$4:$B$200,$B45)/1000)</f>
        <v>190.396</v>
      </c>
      <c r="V45" s="11">
        <f>IF(V$3=0,"",SUMIFS(INDEX(Inputs!$D$4:$AG$200,0,MATCH(V$2,Inputs!$D$2:$AG$2,0)),Inputs!$B$4:$B$200,$B45)/1000)</f>
        <v>191.791</v>
      </c>
      <c r="W45" s="12">
        <f>IF(V45="","",V45)</f>
        <v>191.791</v>
      </c>
      <c r="X45" s="11">
        <f>IF(X$3=0,"",SUMIFS(INDEX(Inputs!$D$4:$AG$200,0,MATCH(X$2,Inputs!$D$2:$AG$2,0)),Inputs!$B$4:$B$200,$B45)/1000)</f>
        <v>191.725</v>
      </c>
      <c r="Y45" s="11">
        <f>IF(Y$3=0,"",SUMIFS(INDEX(Inputs!$D$4:$AG$200,0,MATCH(Y$2,Inputs!$D$2:$AG$2,0)),Inputs!$B$4:$B$200,$B45)/1000)</f>
        <v>191.703</v>
      </c>
      <c r="Z45" s="11">
        <f>IF(Z$3=0,"",SUMIFS(INDEX(Inputs!$D$4:$AG$200,0,MATCH(Z$2,Inputs!$D$2:$AG$2,0)),Inputs!$B$4:$B$200,$B45)/1000)</f>
        <v>191.659</v>
      </c>
      <c r="AA45" s="11">
        <f>IF(AA$3=0,"",SUMIFS(INDEX(Inputs!$D$4:$AG$200,0,MATCH(AA$2,Inputs!$D$2:$AG$2,0)),Inputs!$B$4:$B$200,$B45)/1000)</f>
        <v>220.819</v>
      </c>
      <c r="AB45" s="12">
        <f>IF(AA45="","",AA45)</f>
        <v>220.819</v>
      </c>
      <c r="AC45" s="11">
        <f>IF(AC$3=0,"",SUMIFS(INDEX(Inputs!$D$4:$AG$200,0,MATCH(AC$2,Inputs!$D$2:$AG$2,0)),Inputs!$B$4:$B$200,$B45)/1000)</f>
        <v>220.778</v>
      </c>
      <c r="AD45" s="11">
        <f>IF(AD$3=0,"",SUMIFS(INDEX(Inputs!$D$4:$AG$200,0,MATCH(AD$2,Inputs!$D$2:$AG$2,0)),Inputs!$B$4:$B$200,$B45)/1000)</f>
        <v>220.727</v>
      </c>
      <c r="AE45" s="11" t="str">
        <f>IF(AE$3=0,"",SUMIFS(INDEX(Inputs!$D$4:$AG$200,0,MATCH(AE$2,Inputs!$D$2:$AG$2,0)),Inputs!$B$4:$B$200,$B45)/1000)</f>
        <v/>
      </c>
      <c r="AF45" s="11" t="str">
        <f>IF(AF$3=0,"",SUMIFS(INDEX(Inputs!$D$4:$AG$200,0,MATCH(AF$2,Inputs!$D$2:$AG$2,0)),Inputs!$B$4:$B$200,$B45)/1000)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IF(D$3=0,"",SUMIFS(INDEX(Inputs!$D$4:$AG$200,0,MATCH(D$2,Inputs!$D$2:$AG$2,0)),Inputs!$B$4:$B$200,$B46)/1000)</f>
        <v>2916.613</v>
      </c>
      <c r="E46" s="11">
        <f>IF(E$3=0,"",SUMIFS(INDEX(Inputs!$D$4:$AG$200,0,MATCH(E$2,Inputs!$D$2:$AG$2,0)),Inputs!$B$4:$B$200,$B46)/1000)</f>
        <v>2855.158</v>
      </c>
      <c r="F46" s="11">
        <f>IF(F$3=0,"",SUMIFS(INDEX(Inputs!$D$4:$AG$200,0,MATCH(F$2,Inputs!$D$2:$AG$2,0)),Inputs!$B$4:$B$200,$B46)/1000)</f>
        <v>2853.888</v>
      </c>
      <c r="G46" s="11">
        <f>IF(G$3=0,"",SUMIFS(INDEX(Inputs!$D$4:$AG$200,0,MATCH(G$2,Inputs!$D$2:$AG$2,0)),Inputs!$B$4:$B$200,$B46)/1000)</f>
        <v>3755.946</v>
      </c>
      <c r="H46" s="12">
        <f>IF(G46="","",G46)</f>
        <v>3755.946</v>
      </c>
      <c r="I46" s="11">
        <f>IF(I$3=0,"",SUMIFS(INDEX(Inputs!$D$4:$AG$200,0,MATCH(I$2,Inputs!$D$2:$AG$2,0)),Inputs!$B$4:$B$200,$B46)/1000)</f>
        <v>3754.728</v>
      </c>
      <c r="J46" s="11">
        <f>IF(J$3=0,"",SUMIFS(INDEX(Inputs!$D$4:$AG$200,0,MATCH(J$2,Inputs!$D$2:$AG$2,0)),Inputs!$B$4:$B$200,$B46)/1000)</f>
        <v>3689.727</v>
      </c>
      <c r="K46" s="11">
        <f>IF(K$3=0,"",SUMIFS(INDEX(Inputs!$D$4:$AG$200,0,MATCH(K$2,Inputs!$D$2:$AG$2,0)),Inputs!$B$4:$B$200,$B46)/1000)</f>
        <v>3688.644</v>
      </c>
      <c r="L46" s="11">
        <f>IF(L$3=0,"",SUMIFS(INDEX(Inputs!$D$4:$AG$200,0,MATCH(L$2,Inputs!$D$2:$AG$2,0)),Inputs!$B$4:$B$200,$B46)/1000)</f>
        <v>4570.263</v>
      </c>
      <c r="M46" s="12">
        <f>IF(L46="","",L46)</f>
        <v>4570.263</v>
      </c>
      <c r="N46" s="11">
        <f>IF(N$3=0,"",SUMIFS(INDEX(Inputs!$D$4:$AG$200,0,MATCH(N$2,Inputs!$D$2:$AG$2,0)),Inputs!$B$4:$B$200,$B46)/1000)</f>
        <v>4569.202</v>
      </c>
      <c r="O46" s="11">
        <f>IF(O$3=0,"",SUMIFS(INDEX(Inputs!$D$4:$AG$200,0,MATCH(O$2,Inputs!$D$2:$AG$2,0)),Inputs!$B$4:$B$200,$B46)/1000)</f>
        <v>2408.981</v>
      </c>
      <c r="P46" s="11">
        <f>IF(P$3=0,"",SUMIFS(INDEX(Inputs!$D$4:$AG$200,0,MATCH(P$2,Inputs!$D$2:$AG$2,0)),Inputs!$B$4:$B$200,$B46)/1000)</f>
        <v>2407.924</v>
      </c>
      <c r="Q46" s="11">
        <f>IF(Q$3=0,"",SUMIFS(INDEX(Inputs!$D$4:$AG$200,0,MATCH(Q$2,Inputs!$D$2:$AG$2,0)),Inputs!$B$4:$B$200,$B46)/1000)</f>
        <v>3557.55</v>
      </c>
      <c r="R46" s="12">
        <f>IF(Q46="","",Q46)</f>
        <v>3557.55</v>
      </c>
      <c r="S46" s="11">
        <f>IF(S$3=0,"",SUMIFS(INDEX(Inputs!$D$4:$AG$200,0,MATCH(S$2,Inputs!$D$2:$AG$2,0)),Inputs!$B$4:$B$200,$B46)/1000)</f>
        <v>3556.516</v>
      </c>
      <c r="T46" s="11">
        <f>IF(T$3=0,"",SUMIFS(INDEX(Inputs!$D$4:$AG$200,0,MATCH(T$2,Inputs!$D$2:$AG$2,0)),Inputs!$B$4:$B$200,$B46)/1000)</f>
        <v>3460.139</v>
      </c>
      <c r="U46" s="11">
        <f>IF(U$3=0,"",SUMIFS(INDEX(Inputs!$D$4:$AG$200,0,MATCH(U$2,Inputs!$D$2:$AG$2,0)),Inputs!$B$4:$B$200,$B46)/1000)</f>
        <v>3459.135</v>
      </c>
      <c r="V46" s="11">
        <f>IF(V$3=0,"",SUMIFS(INDEX(Inputs!$D$4:$AG$200,0,MATCH(V$2,Inputs!$D$2:$AG$2,0)),Inputs!$B$4:$B$200,$B46)/1000)</f>
        <v>4640.779</v>
      </c>
      <c r="W46" s="12">
        <f>IF(V46="","",V46)</f>
        <v>4640.779</v>
      </c>
      <c r="X46" s="11">
        <f>IF(X$3=0,"",SUMIFS(INDEX(Inputs!$D$4:$AG$200,0,MATCH(X$2,Inputs!$D$2:$AG$2,0)),Inputs!$B$4:$B$200,$B46)/1000)</f>
        <v>4639.803</v>
      </c>
      <c r="Y46" s="11">
        <f>IF(Y$3=0,"",SUMIFS(INDEX(Inputs!$D$4:$AG$200,0,MATCH(Y$2,Inputs!$D$2:$AG$2,0)),Inputs!$B$4:$B$200,$B46)/1000)</f>
        <v>4542.98</v>
      </c>
      <c r="Z46" s="11">
        <f>IF(Z$3=0,"",SUMIFS(INDEX(Inputs!$D$4:$AG$200,0,MATCH(Z$2,Inputs!$D$2:$AG$2,0)),Inputs!$B$4:$B$200,$B46)/1000)</f>
        <v>4542.026</v>
      </c>
      <c r="AA46" s="11">
        <f>IF(AA$3=0,"",SUMIFS(INDEX(Inputs!$D$4:$AG$200,0,MATCH(AA$2,Inputs!$D$2:$AG$2,0)),Inputs!$B$4:$B$200,$B46)/1000)</f>
        <v>6130.825</v>
      </c>
      <c r="AB46" s="12">
        <f>IF(AA46="","",AA46)</f>
        <v>6130.825</v>
      </c>
      <c r="AC46" s="11">
        <f>IF(AC$3=0,"",SUMIFS(INDEX(Inputs!$D$4:$AG$200,0,MATCH(AC$2,Inputs!$D$2:$AG$2,0)),Inputs!$B$4:$B$200,$B46)/1000)</f>
        <v>6129.926</v>
      </c>
      <c r="AD46" s="11">
        <f>IF(AD$3=0,"",SUMIFS(INDEX(Inputs!$D$4:$AG$200,0,MATCH(AD$2,Inputs!$D$2:$AG$2,0)),Inputs!$B$4:$B$200,$B46)/1000)</f>
        <v>6037.6</v>
      </c>
      <c r="AE46" s="11" t="str">
        <f>IF(AE$3=0,"",SUMIFS(INDEX(Inputs!$D$4:$AG$200,0,MATCH(AE$2,Inputs!$D$2:$AG$2,0)),Inputs!$B$4:$B$200,$B46)/1000)</f>
        <v/>
      </c>
      <c r="AF46" s="11" t="str">
        <f>IF(AF$3=0,"",SUMIFS(INDEX(Inputs!$D$4:$AG$200,0,MATCH(AF$2,Inputs!$D$2:$AG$2,0)),Inputs!$B$4:$B$200,$B46)/1000)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IF(D$3=0,"",SUMIFS(INDEX(Inputs!$D$4:$AG$200,0,MATCH(D$2,Inputs!$D$2:$AG$2,0)),Inputs!$B$4:$B$200,$B47)/1000)</f>
        <v>247.788</v>
      </c>
      <c r="E47" s="11">
        <f>IF(E$3=0,"",SUMIFS(INDEX(Inputs!$D$4:$AG$200,0,MATCH(E$2,Inputs!$D$2:$AG$2,0)),Inputs!$B$4:$B$200,$B47)/1000)</f>
        <v>429.955</v>
      </c>
      <c r="F47" s="11">
        <f>IF(F$3=0,"",SUMIFS(INDEX(Inputs!$D$4:$AG$200,0,MATCH(F$2,Inputs!$D$2:$AG$2,0)),Inputs!$B$4:$B$200,$B47)/1000)</f>
        <v>698.619</v>
      </c>
      <c r="G47" s="11">
        <f>IF(G$3=0,"",SUMIFS(INDEX(Inputs!$D$4:$AG$200,0,MATCH(G$2,Inputs!$D$2:$AG$2,0)),Inputs!$B$4:$B$200,$B47)/1000)</f>
        <v>0</v>
      </c>
      <c r="H47" s="12">
        <f>IF(G47="","",G47)</f>
        <v>0</v>
      </c>
      <c r="I47" s="11">
        <f>IF(I$3=0,"",SUMIFS(INDEX(Inputs!$D$4:$AG$200,0,MATCH(I$2,Inputs!$D$2:$AG$2,0)),Inputs!$B$4:$B$200,$B47)/1000)</f>
        <v>293.204</v>
      </c>
      <c r="J47" s="11">
        <f>IF(J$3=0,"",SUMIFS(INDEX(Inputs!$D$4:$AG$200,0,MATCH(J$2,Inputs!$D$2:$AG$2,0)),Inputs!$B$4:$B$200,$B47)/1000)</f>
        <v>373.868</v>
      </c>
      <c r="K47" s="11">
        <f>IF(K$3=0,"",SUMIFS(INDEX(Inputs!$D$4:$AG$200,0,MATCH(K$2,Inputs!$D$2:$AG$2,0)),Inputs!$B$4:$B$200,$B47)/1000)</f>
        <v>649.9</v>
      </c>
      <c r="L47" s="11">
        <f>IF(L$3=0,"",SUMIFS(INDEX(Inputs!$D$4:$AG$200,0,MATCH(L$2,Inputs!$D$2:$AG$2,0)),Inputs!$B$4:$B$200,$B47)/1000)</f>
        <v>0</v>
      </c>
      <c r="M47" s="12">
        <f>IF(L47="","",L47)</f>
        <v>0</v>
      </c>
      <c r="N47" s="11">
        <f>IF(N$3=0,"",SUMIFS(INDEX(Inputs!$D$4:$AG$200,0,MATCH(N$2,Inputs!$D$2:$AG$2,0)),Inputs!$B$4:$B$200,$B47)/1000)</f>
        <v>320.651</v>
      </c>
      <c r="O47" s="11">
        <f>IF(O$3=0,"",SUMIFS(INDEX(Inputs!$D$4:$AG$200,0,MATCH(O$2,Inputs!$D$2:$AG$2,0)),Inputs!$B$4:$B$200,$B47)/1000)</f>
        <v>475.014</v>
      </c>
      <c r="P47" s="11">
        <f>IF(P$3=0,"",SUMIFS(INDEX(Inputs!$D$4:$AG$200,0,MATCH(P$2,Inputs!$D$2:$AG$2,0)),Inputs!$B$4:$B$200,$B47)/1000)</f>
        <v>872.957</v>
      </c>
      <c r="Q47" s="11">
        <f>IF(Q$3=0,"",SUMIFS(INDEX(Inputs!$D$4:$AG$200,0,MATCH(Q$2,Inputs!$D$2:$AG$2,0)),Inputs!$B$4:$B$200,$B47)/1000)</f>
        <v>0</v>
      </c>
      <c r="R47" s="12">
        <f>IF(Q47="","",Q47)</f>
        <v>0</v>
      </c>
      <c r="S47" s="11">
        <f>IF(S$3=0,"",SUMIFS(INDEX(Inputs!$D$4:$AG$200,0,MATCH(S$2,Inputs!$D$2:$AG$2,0)),Inputs!$B$4:$B$200,$B47)/1000)</f>
        <v>380.411</v>
      </c>
      <c r="T47" s="11">
        <f>IF(T$3=0,"",SUMIFS(INDEX(Inputs!$D$4:$AG$200,0,MATCH(T$2,Inputs!$D$2:$AG$2,0)),Inputs!$B$4:$B$200,$B47)/1000)</f>
        <v>533.104</v>
      </c>
      <c r="U47" s="11">
        <f>IF(U$3=0,"",SUMIFS(INDEX(Inputs!$D$4:$AG$200,0,MATCH(U$2,Inputs!$D$2:$AG$2,0)),Inputs!$B$4:$B$200,$B47)/1000)</f>
        <v>911.663</v>
      </c>
      <c r="V47" s="11">
        <f>IF(V$3=0,"",SUMIFS(INDEX(Inputs!$D$4:$AG$200,0,MATCH(V$2,Inputs!$D$2:$AG$2,0)),Inputs!$B$4:$B$200,$B47)/1000)</f>
        <v>0</v>
      </c>
      <c r="W47" s="12">
        <f>IF(V47="","",V47)</f>
        <v>0</v>
      </c>
      <c r="X47" s="11">
        <f>IF(X$3=0,"",SUMIFS(INDEX(Inputs!$D$4:$AG$200,0,MATCH(X$2,Inputs!$D$2:$AG$2,0)),Inputs!$B$4:$B$200,$B47)/1000)</f>
        <v>1209.035</v>
      </c>
      <c r="Y47" s="11">
        <f>IF(Y$3=0,"",SUMIFS(INDEX(Inputs!$D$4:$AG$200,0,MATCH(Y$2,Inputs!$D$2:$AG$2,0)),Inputs!$B$4:$B$200,$B47)/1000)</f>
        <v>1053.486</v>
      </c>
      <c r="Z47" s="11">
        <f>IF(Z$3=0,"",SUMIFS(INDEX(Inputs!$D$4:$AG$200,0,MATCH(Z$2,Inputs!$D$2:$AG$2,0)),Inputs!$B$4:$B$200,$B47)/1000)</f>
        <v>1300.885</v>
      </c>
      <c r="AA47" s="11">
        <f>IF(AA$3=0,"",SUMIFS(INDEX(Inputs!$D$4:$AG$200,0,MATCH(AA$2,Inputs!$D$2:$AG$2,0)),Inputs!$B$4:$B$200,$B47)/1000)</f>
        <v>0</v>
      </c>
      <c r="AB47" s="12">
        <f>IF(AA47="","",AA47)</f>
        <v>0</v>
      </c>
      <c r="AC47" s="11">
        <f>IF(AC$3=0,"",SUMIFS(INDEX(Inputs!$D$4:$AG$200,0,MATCH(AC$2,Inputs!$D$2:$AG$2,0)),Inputs!$B$4:$B$200,$B47)/1000)</f>
        <v>353.621</v>
      </c>
      <c r="AD47" s="11">
        <f>IF(AD$3=0,"",SUMIFS(INDEX(Inputs!$D$4:$AG$200,0,MATCH(AD$2,Inputs!$D$2:$AG$2,0)),Inputs!$B$4:$B$200,$B47)/1000)</f>
        <v>-150.589</v>
      </c>
      <c r="AE47" s="11" t="str">
        <f>IF(AE$3=0,"",SUMIFS(INDEX(Inputs!$D$4:$AG$200,0,MATCH(AE$2,Inputs!$D$2:$AG$2,0)),Inputs!$B$4:$B$200,$B47)/1000)</f>
        <v/>
      </c>
      <c r="AF47" s="11" t="str">
        <f>IF(AF$3=0,"",SUMIFS(INDEX(Inputs!$D$4:$AG$200,0,MATCH(AF$2,Inputs!$D$2:$AG$2,0)),Inputs!$B$4:$B$200,$B47)/1000)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IF(SUMPRODUCT((Inputs!$B$4:$B$200=$B50)*ISNUMBER(INDEX(Inputs!$D$4:$AG$200,0,MATCH(D$2,Inputs!$D$2:$AG$2,0))))=0,"",SUMIFS(INDEX(Inputs!$D$4:$AG$200,0,MATCH(D$2,Inputs!$D$2:$AG$2,0)),Inputs!$B$4:$B$200,$B50)/1000)</f>
        <v>246.49</v>
      </c>
      <c r="E50" s="11">
        <f>IF(SUMPRODUCT((Inputs!$B$4:$B$200=$B50)*ISNUMBER(INDEX(Inputs!$D$4:$AG$200,0,MATCH(E$2,Inputs!$D$2:$AG$2,0))))=0,"",SUMIFS(INDEX(Inputs!$D$4:$AG$200,0,MATCH(E$2,Inputs!$D$2:$AG$2,0)),Inputs!$B$4:$B$200,$B50)/1000)</f>
        <v>331.817</v>
      </c>
      <c r="F50" s="11">
        <f>IF(SUMPRODUCT((Inputs!$B$4:$B$200=$B50)*ISNUMBER(INDEX(Inputs!$D$4:$AG$200,0,MATCH(F$2,Inputs!$D$2:$AG$2,0))))=0,"",SUMIFS(INDEX(Inputs!$D$4:$AG$200,0,MATCH(F$2,Inputs!$D$2:$AG$2,0)),Inputs!$B$4:$B$200,$B50)/1000)</f>
        <v>267.341</v>
      </c>
      <c r="G50" s="11">
        <f>IF(SUMPRODUCT((Inputs!$B$4:$B$200=$B50)*ISNUMBER(INDEX(Inputs!$D$4:$AG$200,0,MATCH(G$2,Inputs!$D$2:$AG$2,0))))=0,"",SUMIFS(INDEX(Inputs!$D$4:$AG$200,0,MATCH(G$2,Inputs!$D$2:$AG$2,0)),Inputs!$B$4:$B$200,$B50)/1000)</f>
        <v>331.983</v>
      </c>
      <c r="H50" s="12">
        <f>IF(COUNT(D50:G50)=4,SUM(D50:G50),"")</f>
        <v>1177.631</v>
      </c>
      <c r="I50" s="11">
        <f>IF(SUMPRODUCT((Inputs!$B$4:$B$200=$B50)*ISNUMBER(INDEX(Inputs!$D$4:$AG$200,0,MATCH(I$2,Inputs!$D$2:$AG$2,0))))=0,"",SUMIFS(INDEX(Inputs!$D$4:$AG$200,0,MATCH(I$2,Inputs!$D$2:$AG$2,0)),Inputs!$B$4:$B$200,$B50)/1000)</f>
        <v>291.944</v>
      </c>
      <c r="J50" s="11">
        <f>IF(SUMPRODUCT((Inputs!$B$4:$B$200=$B50)*ISNUMBER(INDEX(Inputs!$D$4:$AG$200,0,MATCH(J$2,Inputs!$D$2:$AG$2,0))))=0,"",SUMIFS(INDEX(Inputs!$D$4:$AG$200,0,MATCH(J$2,Inputs!$D$2:$AG$2,0)),Inputs!$B$4:$B$200,$B50)/1000)</f>
        <v>233.707</v>
      </c>
      <c r="K50" s="11">
        <f>IF(SUMPRODUCT((Inputs!$B$4:$B$200=$B50)*ISNUMBER(INDEX(Inputs!$D$4:$AG$200,0,MATCH(K$2,Inputs!$D$2:$AG$2,0))))=0,"",SUMIFS(INDEX(Inputs!$D$4:$AG$200,0,MATCH(K$2,Inputs!$D$2:$AG$2,0)),Inputs!$B$4:$B$200,$B50)/1000)</f>
        <v>274.928</v>
      </c>
      <c r="L50" s="11">
        <f>IF(SUMPRODUCT((Inputs!$B$4:$B$200=$B50)*ISNUMBER(INDEX(Inputs!$D$4:$AG$200,0,MATCH(L$2,Inputs!$D$2:$AG$2,0))))=0,"",SUMIFS(INDEX(Inputs!$D$4:$AG$200,0,MATCH(L$2,Inputs!$D$2:$AG$2,0)),Inputs!$B$4:$B$200,$B50)/1000)</f>
        <v>350.959</v>
      </c>
      <c r="M50" s="12">
        <f>IF(COUNT(I50:L50)=4,SUM(I50:L50),"")</f>
        <v>1151.538</v>
      </c>
      <c r="N50" s="11">
        <f>IF(SUMPRODUCT((Inputs!$B$4:$B$200=$B50)*ISNUMBER(INDEX(Inputs!$D$4:$AG$200,0,MATCH(N$2,Inputs!$D$2:$AG$2,0))))=0,"",SUMIFS(INDEX(Inputs!$D$4:$AG$200,0,MATCH(N$2,Inputs!$D$2:$AG$2,0)),Inputs!$B$4:$B$200,$B50)/1000)</f>
        <v>319.574</v>
      </c>
      <c r="O50" s="11">
        <f>IF(SUMPRODUCT((Inputs!$B$4:$B$200=$B50)*ISNUMBER(INDEX(Inputs!$D$4:$AG$200,0,MATCH(O$2,Inputs!$D$2:$AG$2,0))))=0,"",SUMIFS(INDEX(Inputs!$D$4:$AG$200,0,MATCH(O$2,Inputs!$D$2:$AG$2,0)),Inputs!$B$4:$B$200,$B50)/1000)</f>
        <v>422.108</v>
      </c>
      <c r="P50" s="11">
        <f>IF(SUMPRODUCT((Inputs!$B$4:$B$200=$B50)*ISNUMBER(INDEX(Inputs!$D$4:$AG$200,0,MATCH(P$2,Inputs!$D$2:$AG$2,0))))=0,"",SUMIFS(INDEX(Inputs!$D$4:$AG$200,0,MATCH(P$2,Inputs!$D$2:$AG$2,0)),Inputs!$B$4:$B$200,$B50)/1000)</f>
        <v>396.86</v>
      </c>
      <c r="Q50" s="11">
        <f>IF(SUMPRODUCT((Inputs!$B$4:$B$200=$B50)*ISNUMBER(INDEX(Inputs!$D$4:$AG$200,0,MATCH(Q$2,Inputs!$D$2:$AG$2,0))))=0,"",SUMIFS(INDEX(Inputs!$D$4:$AG$200,0,MATCH(Q$2,Inputs!$D$2:$AG$2,0)),Inputs!$B$4:$B$200,$B50)/1000)</f>
        <v>364.821</v>
      </c>
      <c r="R50" s="12">
        <f>IF(COUNT(N50:Q50)=4,SUM(N50:Q50),"")</f>
        <v>1503.363</v>
      </c>
      <c r="S50" s="11">
        <f>IF(SUMPRODUCT((Inputs!$B$4:$B$200=$B50)*ISNUMBER(INDEX(Inputs!$D$4:$AG$200,0,MATCH(S$2,Inputs!$D$2:$AG$2,0))))=0,"",SUMIFS(INDEX(Inputs!$D$4:$AG$200,0,MATCH(S$2,Inputs!$D$2:$AG$2,0)),Inputs!$B$4:$B$200,$B50)/1000)</f>
        <v>379.352</v>
      </c>
      <c r="T50" s="11">
        <f>IF(SUMPRODUCT((Inputs!$B$4:$B$200=$B50)*ISNUMBER(INDEX(Inputs!$D$4:$AG$200,0,MATCH(T$2,Inputs!$D$2:$AG$2,0))))=0,"",SUMIFS(INDEX(Inputs!$D$4:$AG$200,0,MATCH(T$2,Inputs!$D$2:$AG$2,0)),Inputs!$B$4:$B$200,$B50)/1000)</f>
        <v>375.596</v>
      </c>
      <c r="U50" s="11">
        <f>IF(SUMPRODUCT((Inputs!$B$4:$B$200=$B50)*ISNUMBER(INDEX(Inputs!$D$4:$AG$200,0,MATCH(U$2,Inputs!$D$2:$AG$2,0))))=0,"",SUMIFS(INDEX(Inputs!$D$4:$AG$200,0,MATCH(U$2,Inputs!$D$2:$AG$2,0)),Inputs!$B$4:$B$200,$B50)/1000)</f>
        <v>377.529</v>
      </c>
      <c r="V50" s="11">
        <f>IF(SUMPRODUCT((Inputs!$B$4:$B$200=$B50)*ISNUMBER(INDEX(Inputs!$D$4:$AG$200,0,MATCH(V$2,Inputs!$D$2:$AG$2,0))))=0,"",SUMIFS(INDEX(Inputs!$D$4:$AG$200,0,MATCH(V$2,Inputs!$D$2:$AG$2,0)),Inputs!$B$4:$B$200,$B50)/1000)</f>
        <v>412.87</v>
      </c>
      <c r="W50" s="12">
        <f>IF(COUNT(S50:V50)=4,SUM(S50:V50),"")</f>
        <v>1545.347</v>
      </c>
      <c r="X50" s="11">
        <f>IF(SUMPRODUCT((Inputs!$B$4:$B$200=$B50)*ISNUMBER(INDEX(Inputs!$D$4:$AG$200,0,MATCH(X$2,Inputs!$D$2:$AG$2,0))))=0,"",SUMIFS(INDEX(Inputs!$D$4:$AG$200,0,MATCH(X$2,Inputs!$D$2:$AG$2,0)),Inputs!$B$4:$B$200,$B50)/1000)</f>
        <v>1207.993</v>
      </c>
      <c r="Y50" s="11">
        <f>IF(SUMPRODUCT((Inputs!$B$4:$B$200=$B50)*ISNUMBER(INDEX(Inputs!$D$4:$AG$200,0,MATCH(Y$2,Inputs!$D$2:$AG$2,0))))=0,"",SUMIFS(INDEX(Inputs!$D$4:$AG$200,0,MATCH(Y$2,Inputs!$D$2:$AG$2,0)),Inputs!$B$4:$B$200,$B50)/1000)</f>
        <v>263.848</v>
      </c>
      <c r="Z50" s="11">
        <f>IF(SUMPRODUCT((Inputs!$B$4:$B$200=$B50)*ISNUMBER(INDEX(Inputs!$D$4:$AG$200,0,MATCH(Z$2,Inputs!$D$2:$AG$2,0))))=0,"",SUMIFS(INDEX(Inputs!$D$4:$AG$200,0,MATCH(Z$2,Inputs!$D$2:$AG$2,0)),Inputs!$B$4:$B$200,$B50)/1000)</f>
        <v>246.401</v>
      </c>
      <c r="AA50" s="11">
        <f>IF(SUMPRODUCT((Inputs!$B$4:$B$200=$B50)*ISNUMBER(INDEX(Inputs!$D$4:$AG$200,0,MATCH(AA$2,Inputs!$D$2:$AG$2,0))))=0,"",SUMIFS(INDEX(Inputs!$D$4:$AG$200,0,MATCH(AA$2,Inputs!$D$2:$AG$2,0)),Inputs!$B$4:$B$200,$B50)/1000)</f>
        <v>361.326</v>
      </c>
      <c r="AB50" s="12">
        <f>IF(COUNT(X50:AA50)=4,SUM(X50:AA50),"")</f>
        <v>2079.568</v>
      </c>
      <c r="AC50" s="11">
        <f>IF(SUMPRODUCT((Inputs!$B$4:$B$200=$B50)*ISNUMBER(INDEX(Inputs!$D$4:$AG$200,0,MATCH(AC$2,Inputs!$D$2:$AG$2,0))))=0,"",SUMIFS(INDEX(Inputs!$D$4:$AG$200,0,MATCH(AC$2,Inputs!$D$2:$AG$2,0)),Inputs!$B$4:$B$200,$B50)/1000)</f>
        <v>352.681</v>
      </c>
      <c r="AD50" s="11">
        <f>IF(SUMPRODUCT((Inputs!$B$4:$B$200=$B50)*ISNUMBER(INDEX(Inputs!$D$4:$AG$200,0,MATCH(AD$2,Inputs!$D$2:$AG$2,0))))=0,"",SUMIFS(INDEX(Inputs!$D$4:$AG$200,0,MATCH(AD$2,Inputs!$D$2:$AG$2,0)),Inputs!$B$4:$B$200,$B50)/1000)</f>
        <v>-505.157</v>
      </c>
      <c r="AE50" s="11" t="str">
        <f>IF(SUMPRODUCT((Inputs!$B$4:$B$200=$B50)*ISNUMBER(INDEX(Inputs!$D$4:$AG$200,0,MATCH(AE$2,Inputs!$D$2:$AG$2,0))))=0,"",SUMIFS(INDEX(Inputs!$D$4:$AG$200,0,MATCH(AE$2,Inputs!$D$2:$AG$2,0)),Inputs!$B$4:$B$200,$B50)/1000)</f>
        <v/>
      </c>
      <c r="AF50" s="11" t="str">
        <f>IF(SUMPRODUCT((Inputs!$B$4:$B$200=$B50)*ISNUMBER(INDEX(Inputs!$D$4:$AG$200,0,MATCH(AF$2,Inputs!$D$2:$AG$2,0))))=0,"",SUMIFS(INDEX(Inputs!$D$4:$AG$200,0,MATCH(AF$2,Inputs!$D$2:$AG$2,0)),Inputs!$B$4:$B$200,$B50)/1000)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de agua (R$ mi)</t>
        </is>
      </c>
      <c r="D53" s="11">
        <f>IF(SUMPRODUCT((Inputs!$B$4:$B$200=$B53)*ISNUMBER(INDEX(Inputs!$D$4:$AG$200,0,MATCH(D$2,Inputs!$D$2:$AG$2,0))))=0,"",SUMIFS(INDEX(Inputs!$D$4:$AG$200,0,MATCH(D$2,Inputs!$D$2:$AG$2,0)),Inputs!$B$4:$B$200,$B53)/1000)</f>
        <v>806.1</v>
      </c>
      <c r="E53" s="11">
        <f>IF(SUMPRODUCT((Inputs!$B$4:$B$200=$B53)*ISNUMBER(INDEX(Inputs!$D$4:$AG$200,0,MATCH(E$2,Inputs!$D$2:$AG$2,0))))=0,"",SUMIFS(INDEX(Inputs!$D$4:$AG$200,0,MATCH(E$2,Inputs!$D$2:$AG$2,0)),Inputs!$B$4:$B$200,$B53)/1000)</f>
        <v>833.9</v>
      </c>
      <c r="F53" s="11">
        <f>IF(SUMPRODUCT((Inputs!$B$4:$B$200=$B53)*ISNUMBER(INDEX(Inputs!$D$4:$AG$200,0,MATCH(F$2,Inputs!$D$2:$AG$2,0))))=0,"",SUMIFS(INDEX(Inputs!$D$4:$AG$200,0,MATCH(F$2,Inputs!$D$2:$AG$2,0)),Inputs!$B$4:$B$200,$B53)/1000)</f>
        <v>866.9</v>
      </c>
      <c r="G53" s="11">
        <f>IF(SUMPRODUCT((Inputs!$B$4:$B$200=$B53)*ISNUMBER(INDEX(Inputs!$D$4:$AG$200,0,MATCH(G$2,Inputs!$D$2:$AG$2,0))))=0,"",SUMIFS(INDEX(Inputs!$D$4:$AG$200,0,MATCH(G$2,Inputs!$D$2:$AG$2,0)),Inputs!$B$4:$B$200,$B53)/1000)</f>
        <v>908.3</v>
      </c>
      <c r="H53" s="12">
        <f>IF(COUNT(D53:G53)=4,SUM(D53:G53),"")</f>
        <v>3415.2</v>
      </c>
      <c r="I53" s="11">
        <f>IF(SUMPRODUCT((Inputs!$B$4:$B$200=$B53)*ISNUMBER(INDEX(Inputs!$D$4:$AG$200,0,MATCH(I$2,Inputs!$D$2:$AG$2,0))))=0,"",SUMIFS(INDEX(Inputs!$D$4:$AG$200,0,MATCH(I$2,Inputs!$D$2:$AG$2,0)),Inputs!$B$4:$B$200,$B53)/1000)</f>
        <v>920</v>
      </c>
      <c r="J53" s="11">
        <f>IF(SUMPRODUCT((Inputs!$B$4:$B$200=$B53)*ISNUMBER(INDEX(Inputs!$D$4:$AG$200,0,MATCH(J$2,Inputs!$D$2:$AG$2,0))))=0,"",SUMIFS(INDEX(Inputs!$D$4:$AG$200,0,MATCH(J$2,Inputs!$D$2:$AG$2,0)),Inputs!$B$4:$B$200,$B53)/1000)</f>
        <v>886.5</v>
      </c>
      <c r="K53" s="11">
        <f>IF(SUMPRODUCT((Inputs!$B$4:$B$200=$B53)*ISNUMBER(INDEX(Inputs!$D$4:$AG$200,0,MATCH(K$2,Inputs!$D$2:$AG$2,0))))=0,"",SUMIFS(INDEX(Inputs!$D$4:$AG$200,0,MATCH(K$2,Inputs!$D$2:$AG$2,0)),Inputs!$B$4:$B$200,$B53)/1000)</f>
        <v>949.7</v>
      </c>
      <c r="L53" s="11">
        <f>IF(SUMPRODUCT((Inputs!$B$4:$B$200=$B53)*ISNUMBER(INDEX(Inputs!$D$4:$AG$200,0,MATCH(L$2,Inputs!$D$2:$AG$2,0))))=0,"",SUMIFS(INDEX(Inputs!$D$4:$AG$200,0,MATCH(L$2,Inputs!$D$2:$AG$2,0)),Inputs!$B$4:$B$200,$B53)/1000)</f>
        <v>984.4</v>
      </c>
      <c r="M53" s="12">
        <f>IF(COUNT(I53:L53)=4,SUM(I53:L53),"")</f>
        <v>3740.6</v>
      </c>
      <c r="N53" s="11">
        <f>IF(SUMPRODUCT((Inputs!$B$4:$B$200=$B53)*ISNUMBER(INDEX(Inputs!$D$4:$AG$200,0,MATCH(N$2,Inputs!$D$2:$AG$2,0))))=0,"",SUMIFS(INDEX(Inputs!$D$4:$AG$200,0,MATCH(N$2,Inputs!$D$2:$AG$2,0)),Inputs!$B$4:$B$200,$B53)/1000)</f>
        <v>1003.1</v>
      </c>
      <c r="O53" s="11">
        <f>IF(SUMPRODUCT((Inputs!$B$4:$B$200=$B53)*ISNUMBER(INDEX(Inputs!$D$4:$AG$200,0,MATCH(O$2,Inputs!$D$2:$AG$2,0))))=0,"",SUMIFS(INDEX(Inputs!$D$4:$AG$200,0,MATCH(O$2,Inputs!$D$2:$AG$2,0)),Inputs!$B$4:$B$200,$B53)/1000)</f>
        <v>1013.9</v>
      </c>
      <c r="P53" s="11">
        <f>IF(SUMPRODUCT((Inputs!$B$4:$B$200=$B53)*ISNUMBER(INDEX(Inputs!$D$4:$AG$200,0,MATCH(P$2,Inputs!$D$2:$AG$2,0))))=0,"",SUMIFS(INDEX(Inputs!$D$4:$AG$200,0,MATCH(P$2,Inputs!$D$2:$AG$2,0)),Inputs!$B$4:$B$200,$B53)/1000)</f>
        <v>1050.1</v>
      </c>
      <c r="Q53" s="11">
        <f>IF(SUMPRODUCT((Inputs!$B$4:$B$200=$B53)*ISNUMBER(INDEX(Inputs!$D$4:$AG$200,0,MATCH(Q$2,Inputs!$D$2:$AG$2,0))))=0,"",SUMIFS(INDEX(Inputs!$D$4:$AG$200,0,MATCH(Q$2,Inputs!$D$2:$AG$2,0)),Inputs!$B$4:$B$200,$B53)/1000)</f>
        <v>1104.8</v>
      </c>
      <c r="R53" s="12">
        <f>IF(COUNT(N53:Q53)=4,SUM(N53:Q53),"")</f>
        <v>4171.9</v>
      </c>
      <c r="S53" s="11">
        <f>IF(SUMPRODUCT((Inputs!$B$4:$B$200=$B53)*ISNUMBER(INDEX(Inputs!$D$4:$AG$200,0,MATCH(S$2,Inputs!$D$2:$AG$2,0))))=0,"",SUMIFS(INDEX(Inputs!$D$4:$AG$200,0,MATCH(S$2,Inputs!$D$2:$AG$2,0)),Inputs!$B$4:$B$200,$B53)/1000)</f>
        <v>1095.7</v>
      </c>
      <c r="T53" s="11">
        <f>IF(SUMPRODUCT((Inputs!$B$4:$B$200=$B53)*ISNUMBER(INDEX(Inputs!$D$4:$AG$200,0,MATCH(T$2,Inputs!$D$2:$AG$2,0))))=0,"",SUMIFS(INDEX(Inputs!$D$4:$AG$200,0,MATCH(T$2,Inputs!$D$2:$AG$2,0)),Inputs!$B$4:$B$200,$B53)/1000)</f>
        <v>1058.1</v>
      </c>
      <c r="U53" s="11">
        <f>IF(SUMPRODUCT((Inputs!$B$4:$B$200=$B53)*ISNUMBER(INDEX(Inputs!$D$4:$AG$200,0,MATCH(U$2,Inputs!$D$2:$AG$2,0))))=0,"",SUMIFS(INDEX(Inputs!$D$4:$AG$200,0,MATCH(U$2,Inputs!$D$2:$AG$2,0)),Inputs!$B$4:$B$200,$B53)/1000)</f>
        <v>1086.7</v>
      </c>
      <c r="V53" s="11">
        <f>IF(SUMPRODUCT((Inputs!$B$4:$B$200=$B53)*ISNUMBER(INDEX(Inputs!$D$4:$AG$200,0,MATCH(V$2,Inputs!$D$2:$AG$2,0))))=0,"",SUMIFS(INDEX(Inputs!$D$4:$AG$200,0,MATCH(V$2,Inputs!$D$2:$AG$2,0)),Inputs!$B$4:$B$200,$B53)/1000)</f>
        <v>1128.2</v>
      </c>
      <c r="W53" s="12">
        <f>IF(COUNT(S53:V53)=4,SUM(S53:V53),"")</f>
        <v>4368.7</v>
      </c>
      <c r="X53" s="11">
        <f>IF(SUMPRODUCT((Inputs!$B$4:$B$200=$B53)*ISNUMBER(INDEX(Inputs!$D$4:$AG$200,0,MATCH(X$2,Inputs!$D$2:$AG$2,0))))=0,"",SUMIFS(INDEX(Inputs!$D$4:$AG$200,0,MATCH(X$2,Inputs!$D$2:$AG$2,0)),Inputs!$B$4:$B$200,$B53)/1000)</f>
        <v>1155.1</v>
      </c>
      <c r="Y53" s="11">
        <f>IF(SUMPRODUCT((Inputs!$B$4:$B$200=$B53)*ISNUMBER(INDEX(Inputs!$D$4:$AG$200,0,MATCH(Y$2,Inputs!$D$2:$AG$2,0))))=0,"",SUMIFS(INDEX(Inputs!$D$4:$AG$200,0,MATCH(Y$2,Inputs!$D$2:$AG$2,0)),Inputs!$B$4:$B$200,$B53)/1000)</f>
        <v>1086.7</v>
      </c>
      <c r="Z53" s="11">
        <f>IF(SUMPRODUCT((Inputs!$B$4:$B$200=$B53)*ISNUMBER(INDEX(Inputs!$D$4:$AG$200,0,MATCH(Z$2,Inputs!$D$2:$AG$2,0))))=0,"",SUMIFS(INDEX(Inputs!$D$4:$AG$200,0,MATCH(Z$2,Inputs!$D$2:$AG$2,0)),Inputs!$B$4:$B$200,$B53)/1000)</f>
        <v>1147.2</v>
      </c>
      <c r="AA53" s="11">
        <f>IF(SUMPRODUCT((Inputs!$B$4:$B$200=$B53)*ISNUMBER(INDEX(Inputs!$D$4:$AG$200,0,MATCH(AA$2,Inputs!$D$2:$AG$2,0))))=0,"",SUMIFS(INDEX(Inputs!$D$4:$AG$200,0,MATCH(AA$2,Inputs!$D$2:$AG$2,0)),Inputs!$B$4:$B$200,$B53)/1000)</f>
        <v>1195.5</v>
      </c>
      <c r="AB53" s="12">
        <f>IF(COUNT(X53:AA53)=4,SUM(X53:AA53),"")</f>
        <v>4584.5</v>
      </c>
      <c r="AC53" s="11">
        <f>IF(SUMPRODUCT((Inputs!$B$4:$B$200=$B53)*ISNUMBER(INDEX(Inputs!$D$4:$AG$200,0,MATCH(AC$2,Inputs!$D$2:$AG$2,0))))=0,"",SUMIFS(INDEX(Inputs!$D$4:$AG$200,0,MATCH(AC$2,Inputs!$D$2:$AG$2,0)),Inputs!$B$4:$B$200,$B53)/1000)</f>
        <v>1237.8</v>
      </c>
      <c r="AD53" s="11">
        <f>IF(SUMPRODUCT((Inputs!$B$4:$B$200=$B53)*ISNUMBER(INDEX(Inputs!$D$4:$AG$200,0,MATCH(AD$2,Inputs!$D$2:$AG$2,0))))=0,"",SUMIFS(INDEX(Inputs!$D$4:$AG$200,0,MATCH(AD$2,Inputs!$D$2:$AG$2,0)),Inputs!$B$4:$B$200,$B53)/1000)</f>
        <v>1198.7</v>
      </c>
      <c r="AE53" s="11" t="str">
        <f>IF(SUMPRODUCT((Inputs!$B$4:$B$200=$B53)*ISNUMBER(INDEX(Inputs!$D$4:$AG$200,0,MATCH(AE$2,Inputs!$D$2:$AG$2,0))))=0,"",SUMIFS(INDEX(Inputs!$D$4:$AG$200,0,MATCH(AE$2,Inputs!$D$2:$AG$2,0)),Inputs!$B$4:$B$200,$B53)/1000)</f>
        <v/>
      </c>
      <c r="AF53" s="11" t="str">
        <f>IF(SUMPRODUCT((Inputs!$B$4:$B$200=$B53)*ISNUMBER(INDEX(Inputs!$D$4:$AG$200,0,MATCH(AF$2,Inputs!$D$2:$AG$2,0))))=0,"",SUMIFS(INDEX(Inputs!$D$4:$AG$200,0,MATCH(AF$2,Inputs!$D$2:$AG$2,0)),Inputs!$B$4:$B$200,$B53)/1000)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de esgoto (R$ mi)</t>
        </is>
      </c>
      <c r="D54" s="11">
        <f>IF(SUMPRODUCT((Inputs!$B$4:$B$200=$B54)*ISNUMBER(INDEX(Inputs!$D$4:$AG$200,0,MATCH(D$2,Inputs!$D$2:$AG$2,0))))=0,"",SUMIFS(INDEX(Inputs!$D$4:$AG$200,0,MATCH(D$2,Inputs!$D$2:$AG$2,0)),Inputs!$B$4:$B$200,$B54)/1000)</f>
        <v>469</v>
      </c>
      <c r="E54" s="11">
        <f>IF(SUMPRODUCT((Inputs!$B$4:$B$200=$B54)*ISNUMBER(INDEX(Inputs!$D$4:$AG$200,0,MATCH(E$2,Inputs!$D$2:$AG$2,0))))=0,"",SUMIFS(INDEX(Inputs!$D$4:$AG$200,0,MATCH(E$2,Inputs!$D$2:$AG$2,0)),Inputs!$B$4:$B$200,$B54)/1000)</f>
        <v>488.8</v>
      </c>
      <c r="F54" s="11">
        <f>IF(SUMPRODUCT((Inputs!$B$4:$B$200=$B54)*ISNUMBER(INDEX(Inputs!$D$4:$AG$200,0,MATCH(F$2,Inputs!$D$2:$AG$2,0))))=0,"",SUMIFS(INDEX(Inputs!$D$4:$AG$200,0,MATCH(F$2,Inputs!$D$2:$AG$2,0)),Inputs!$B$4:$B$200,$B54)/1000)</f>
        <v>508.5</v>
      </c>
      <c r="G54" s="11">
        <f>IF(SUMPRODUCT((Inputs!$B$4:$B$200=$B54)*ISNUMBER(INDEX(Inputs!$D$4:$AG$200,0,MATCH(G$2,Inputs!$D$2:$AG$2,0))))=0,"",SUMIFS(INDEX(Inputs!$D$4:$AG$200,0,MATCH(G$2,Inputs!$D$2:$AG$2,0)),Inputs!$B$4:$B$200,$B54)/1000)</f>
        <v>527.5</v>
      </c>
      <c r="H54" s="12">
        <f>IF(COUNT(D54:G54)=4,SUM(D54:G54),"")</f>
        <v>1993.8</v>
      </c>
      <c r="I54" s="11">
        <f>IF(SUMPRODUCT((Inputs!$B$4:$B$200=$B54)*ISNUMBER(INDEX(Inputs!$D$4:$AG$200,0,MATCH(I$2,Inputs!$D$2:$AG$2,0))))=0,"",SUMIFS(INDEX(Inputs!$D$4:$AG$200,0,MATCH(I$2,Inputs!$D$2:$AG$2,0)),Inputs!$B$4:$B$200,$B54)/1000)</f>
        <v>546.6</v>
      </c>
      <c r="J54" s="11">
        <f>IF(SUMPRODUCT((Inputs!$B$4:$B$200=$B54)*ISNUMBER(INDEX(Inputs!$D$4:$AG$200,0,MATCH(J$2,Inputs!$D$2:$AG$2,0))))=0,"",SUMIFS(INDEX(Inputs!$D$4:$AG$200,0,MATCH(J$2,Inputs!$D$2:$AG$2,0)),Inputs!$B$4:$B$200,$B54)/1000)</f>
        <v>530.1</v>
      </c>
      <c r="K54" s="11">
        <f>IF(SUMPRODUCT((Inputs!$B$4:$B$200=$B54)*ISNUMBER(INDEX(Inputs!$D$4:$AG$200,0,MATCH(K$2,Inputs!$D$2:$AG$2,0))))=0,"",SUMIFS(INDEX(Inputs!$D$4:$AG$200,0,MATCH(K$2,Inputs!$D$2:$AG$2,0)),Inputs!$B$4:$B$200,$B54)/1000)</f>
        <v>547</v>
      </c>
      <c r="L54" s="11">
        <f>IF(SUMPRODUCT((Inputs!$B$4:$B$200=$B54)*ISNUMBER(INDEX(Inputs!$D$4:$AG$200,0,MATCH(L$2,Inputs!$D$2:$AG$2,0))))=0,"",SUMIFS(INDEX(Inputs!$D$4:$AG$200,0,MATCH(L$2,Inputs!$D$2:$AG$2,0)),Inputs!$B$4:$B$200,$B54)/1000)</f>
        <v>562.7</v>
      </c>
      <c r="M54" s="12">
        <f>IF(COUNT(I54:L54)=4,SUM(I54:L54),"")</f>
        <v>2186.4</v>
      </c>
      <c r="N54" s="11">
        <f>IF(SUMPRODUCT((Inputs!$B$4:$B$200=$B54)*ISNUMBER(INDEX(Inputs!$D$4:$AG$200,0,MATCH(N$2,Inputs!$D$2:$AG$2,0))))=0,"",SUMIFS(INDEX(Inputs!$D$4:$AG$200,0,MATCH(N$2,Inputs!$D$2:$AG$2,0)),Inputs!$B$4:$B$200,$B54)/1000)</f>
        <v>519.6</v>
      </c>
      <c r="O54" s="11">
        <f>IF(SUMPRODUCT((Inputs!$B$4:$B$200=$B54)*ISNUMBER(INDEX(Inputs!$D$4:$AG$200,0,MATCH(O$2,Inputs!$D$2:$AG$2,0))))=0,"",SUMIFS(INDEX(Inputs!$D$4:$AG$200,0,MATCH(O$2,Inputs!$D$2:$AG$2,0)),Inputs!$B$4:$B$200,$B54)/1000)</f>
        <v>596.3</v>
      </c>
      <c r="P54" s="11">
        <f>IF(SUMPRODUCT((Inputs!$B$4:$B$200=$B54)*ISNUMBER(INDEX(Inputs!$D$4:$AG$200,0,MATCH(P$2,Inputs!$D$2:$AG$2,0))))=0,"",SUMIFS(INDEX(Inputs!$D$4:$AG$200,0,MATCH(P$2,Inputs!$D$2:$AG$2,0)),Inputs!$B$4:$B$200,$B54)/1000)</f>
        <v>627.9</v>
      </c>
      <c r="Q54" s="11">
        <f>IF(SUMPRODUCT((Inputs!$B$4:$B$200=$B54)*ISNUMBER(INDEX(Inputs!$D$4:$AG$200,0,MATCH(Q$2,Inputs!$D$2:$AG$2,0))))=0,"",SUMIFS(INDEX(Inputs!$D$4:$AG$200,0,MATCH(Q$2,Inputs!$D$2:$AG$2,0)),Inputs!$B$4:$B$200,$B54)/1000)</f>
        <v>667.1</v>
      </c>
      <c r="R54" s="12">
        <f>IF(COUNT(N54:Q54)=4,SUM(N54:Q54),"")</f>
        <v>2410.9</v>
      </c>
      <c r="S54" s="11">
        <f>IF(SUMPRODUCT((Inputs!$B$4:$B$200=$B54)*ISNUMBER(INDEX(Inputs!$D$4:$AG$200,0,MATCH(S$2,Inputs!$D$2:$AG$2,0))))=0,"",SUMIFS(INDEX(Inputs!$D$4:$AG$200,0,MATCH(S$2,Inputs!$D$2:$AG$2,0)),Inputs!$B$4:$B$200,$B54)/1000)</f>
        <v>677.6</v>
      </c>
      <c r="T54" s="11">
        <f>IF(SUMPRODUCT((Inputs!$B$4:$B$200=$B54)*ISNUMBER(INDEX(Inputs!$D$4:$AG$200,0,MATCH(T$2,Inputs!$D$2:$AG$2,0))))=0,"",SUMIFS(INDEX(Inputs!$D$4:$AG$200,0,MATCH(T$2,Inputs!$D$2:$AG$2,0)),Inputs!$B$4:$B$200,$B54)/1000)</f>
        <v>675.8</v>
      </c>
      <c r="U54" s="11">
        <f>IF(SUMPRODUCT((Inputs!$B$4:$B$200=$B54)*ISNUMBER(INDEX(Inputs!$D$4:$AG$200,0,MATCH(U$2,Inputs!$D$2:$AG$2,0))))=0,"",SUMIFS(INDEX(Inputs!$D$4:$AG$200,0,MATCH(U$2,Inputs!$D$2:$AG$2,0)),Inputs!$B$4:$B$200,$B54)/1000)</f>
        <v>696</v>
      </c>
      <c r="V54" s="11">
        <f>IF(SUMPRODUCT((Inputs!$B$4:$B$200=$B54)*ISNUMBER(INDEX(Inputs!$D$4:$AG$200,0,MATCH(V$2,Inputs!$D$2:$AG$2,0))))=0,"",SUMIFS(INDEX(Inputs!$D$4:$AG$200,0,MATCH(V$2,Inputs!$D$2:$AG$2,0)),Inputs!$B$4:$B$200,$B54)/1000)</f>
        <v>722.9</v>
      </c>
      <c r="W54" s="12">
        <f>IF(COUNT(S54:V54)=4,SUM(S54:V54),"")</f>
        <v>2772.3</v>
      </c>
      <c r="X54" s="11">
        <f>IF(SUMPRODUCT((Inputs!$B$4:$B$200=$B54)*ISNUMBER(INDEX(Inputs!$D$4:$AG$200,0,MATCH(X$2,Inputs!$D$2:$AG$2,0))))=0,"",SUMIFS(INDEX(Inputs!$D$4:$AG$200,0,MATCH(X$2,Inputs!$D$2:$AG$2,0)),Inputs!$B$4:$B$200,$B54)/1000)</f>
        <v>725.7</v>
      </c>
      <c r="Y54" s="11">
        <f>IF(SUMPRODUCT((Inputs!$B$4:$B$200=$B54)*ISNUMBER(INDEX(Inputs!$D$4:$AG$200,0,MATCH(Y$2,Inputs!$D$2:$AG$2,0))))=0,"",SUMIFS(INDEX(Inputs!$D$4:$AG$200,0,MATCH(Y$2,Inputs!$D$2:$AG$2,0)),Inputs!$B$4:$B$200,$B54)/1000)</f>
        <v>692</v>
      </c>
      <c r="Z54" s="11">
        <f>IF(SUMPRODUCT((Inputs!$B$4:$B$200=$B54)*ISNUMBER(INDEX(Inputs!$D$4:$AG$200,0,MATCH(Z$2,Inputs!$D$2:$AG$2,0))))=0,"",SUMIFS(INDEX(Inputs!$D$4:$AG$200,0,MATCH(Z$2,Inputs!$D$2:$AG$2,0)),Inputs!$B$4:$B$200,$B54)/1000)</f>
        <v>736.2</v>
      </c>
      <c r="AA54" s="11">
        <f>IF(SUMPRODUCT((Inputs!$B$4:$B$200=$B54)*ISNUMBER(INDEX(Inputs!$D$4:$AG$200,0,MATCH(AA$2,Inputs!$D$2:$AG$2,0))))=0,"",SUMIFS(INDEX(Inputs!$D$4:$AG$200,0,MATCH(AA$2,Inputs!$D$2:$AG$2,0)),Inputs!$B$4:$B$200,$B54)/1000)</f>
        <v>772.1</v>
      </c>
      <c r="AB54" s="12">
        <f>IF(COUNT(X54:AA54)=4,SUM(X54:AA54),"")</f>
        <v>2926</v>
      </c>
      <c r="AC54" s="11">
        <f>IF(SUMPRODUCT((Inputs!$B$4:$B$200=$B54)*ISNUMBER(INDEX(Inputs!$D$4:$AG$200,0,MATCH(AC$2,Inputs!$D$2:$AG$2,0))))=0,"",SUMIFS(INDEX(Inputs!$D$4:$AG$200,0,MATCH(AC$2,Inputs!$D$2:$AG$2,0)),Inputs!$B$4:$B$200,$B54)/1000)</f>
        <v>795.2</v>
      </c>
      <c r="AD54" s="11">
        <f>IF(SUMPRODUCT((Inputs!$B$4:$B$200=$B54)*ISNUMBER(INDEX(Inputs!$D$4:$AG$200,0,MATCH(AD$2,Inputs!$D$2:$AG$2,0))))=0,"",SUMIFS(INDEX(Inputs!$D$4:$AG$200,0,MATCH(AD$2,Inputs!$D$2:$AG$2,0)),Inputs!$B$4:$B$200,$B54)/1000)</f>
        <v>779</v>
      </c>
      <c r="AE54" s="11" t="str">
        <f>IF(SUMPRODUCT((Inputs!$B$4:$B$200=$B54)*ISNUMBER(INDEX(Inputs!$D$4:$AG$200,0,MATCH(AE$2,Inputs!$D$2:$AG$2,0))))=0,"",SUMIFS(INDEX(Inputs!$D$4:$AG$200,0,MATCH(AE$2,Inputs!$D$2:$AG$2,0)),Inputs!$B$4:$B$200,$B54)/1000)</f>
        <v/>
      </c>
      <c r="AF54" s="11" t="str">
        <f>IF(SUMPRODUCT((Inputs!$B$4:$B$200=$B54)*ISNUMBER(INDEX(Inputs!$D$4:$AG$200,0,MATCH(AF$2,Inputs!$D$2:$AG$2,0))))=0,"",SUMIFS(INDEX(Inputs!$D$4:$AG$200,0,MATCH(AF$2,Inputs!$D$2:$AG$2,0)),Inputs!$B$4:$B$200,$B54)/1000)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de servicos (R$ mi)</t>
        </is>
      </c>
      <c r="D55" s="11">
        <f>IF(SUMPRODUCT((Inputs!$B$4:$B$200=$B55)*ISNUMBER(INDEX(Inputs!$D$4:$AG$200,0,MATCH(D$2,Inputs!$D$2:$AG$2,0))))=0,"",SUMIFS(INDEX(Inputs!$D$4:$AG$200,0,MATCH(D$2,Inputs!$D$2:$AG$2,0)),Inputs!$B$4:$B$200,$B55)/1000)</f>
        <v>26.8</v>
      </c>
      <c r="E55" s="11">
        <f>IF(SUMPRODUCT((Inputs!$B$4:$B$200=$B55)*ISNUMBER(INDEX(Inputs!$D$4:$AG$200,0,MATCH(E$2,Inputs!$D$2:$AG$2,0))))=0,"",SUMIFS(INDEX(Inputs!$D$4:$AG$200,0,MATCH(E$2,Inputs!$D$2:$AG$2,0)),Inputs!$B$4:$B$200,$B55)/1000)</f>
        <v>27.4</v>
      </c>
      <c r="F55" s="11">
        <f>IF(SUMPRODUCT((Inputs!$B$4:$B$200=$B55)*ISNUMBER(INDEX(Inputs!$D$4:$AG$200,0,MATCH(F$2,Inputs!$D$2:$AG$2,0))))=0,"",SUMIFS(INDEX(Inputs!$D$4:$AG$200,0,MATCH(F$2,Inputs!$D$2:$AG$2,0)),Inputs!$B$4:$B$200,$B55)/1000)</f>
        <v>28.7</v>
      </c>
      <c r="G55" s="11">
        <f>IF(SUMPRODUCT((Inputs!$B$4:$B$200=$B55)*ISNUMBER(INDEX(Inputs!$D$4:$AG$200,0,MATCH(G$2,Inputs!$D$2:$AG$2,0))))=0,"",SUMIFS(INDEX(Inputs!$D$4:$AG$200,0,MATCH(G$2,Inputs!$D$2:$AG$2,0)),Inputs!$B$4:$B$200,$B55)/1000)</f>
        <v>29.4</v>
      </c>
      <c r="H55" s="12">
        <f>IF(COUNT(D55:G55)=4,SUM(D55:G55),"")</f>
        <v>112.3</v>
      </c>
      <c r="I55" s="11">
        <f>IF(SUMPRODUCT((Inputs!$B$4:$B$200=$B55)*ISNUMBER(INDEX(Inputs!$D$4:$AG$200,0,MATCH(I$2,Inputs!$D$2:$AG$2,0))))=0,"",SUMIFS(INDEX(Inputs!$D$4:$AG$200,0,MATCH(I$2,Inputs!$D$2:$AG$2,0)),Inputs!$B$4:$B$200,$B55)/1000)</f>
        <v>28.2</v>
      </c>
      <c r="J55" s="11">
        <f>IF(SUMPRODUCT((Inputs!$B$4:$B$200=$B55)*ISNUMBER(INDEX(Inputs!$D$4:$AG$200,0,MATCH(J$2,Inputs!$D$2:$AG$2,0))))=0,"",SUMIFS(INDEX(Inputs!$D$4:$AG$200,0,MATCH(J$2,Inputs!$D$2:$AG$2,0)),Inputs!$B$4:$B$200,$B55)/1000)</f>
        <v>27.9</v>
      </c>
      <c r="K55" s="11">
        <f>IF(SUMPRODUCT((Inputs!$B$4:$B$200=$B55)*ISNUMBER(INDEX(Inputs!$D$4:$AG$200,0,MATCH(K$2,Inputs!$D$2:$AG$2,0))))=0,"",SUMIFS(INDEX(Inputs!$D$4:$AG$200,0,MATCH(K$2,Inputs!$D$2:$AG$2,0)),Inputs!$B$4:$B$200,$B55)/1000)</f>
        <v>26.9</v>
      </c>
      <c r="L55" s="11">
        <f>IF(SUMPRODUCT((Inputs!$B$4:$B$200=$B55)*ISNUMBER(INDEX(Inputs!$D$4:$AG$200,0,MATCH(L$2,Inputs!$D$2:$AG$2,0))))=0,"",SUMIFS(INDEX(Inputs!$D$4:$AG$200,0,MATCH(L$2,Inputs!$D$2:$AG$2,0)),Inputs!$B$4:$B$200,$B55)/1000)</f>
        <v>23.9</v>
      </c>
      <c r="M55" s="12">
        <f>IF(COUNT(I55:L55)=4,SUM(I55:L55),"")</f>
        <v>106.9</v>
      </c>
      <c r="N55" s="11">
        <f>IF(SUMPRODUCT((Inputs!$B$4:$B$200=$B55)*ISNUMBER(INDEX(Inputs!$D$4:$AG$200,0,MATCH(N$2,Inputs!$D$2:$AG$2,0))))=0,"",SUMIFS(INDEX(Inputs!$D$4:$AG$200,0,MATCH(N$2,Inputs!$D$2:$AG$2,0)),Inputs!$B$4:$B$200,$B55)/1000)</f>
        <v>24.1</v>
      </c>
      <c r="O55" s="11">
        <f>IF(SUMPRODUCT((Inputs!$B$4:$B$200=$B55)*ISNUMBER(INDEX(Inputs!$D$4:$AG$200,0,MATCH(O$2,Inputs!$D$2:$AG$2,0))))=0,"",SUMIFS(INDEX(Inputs!$D$4:$AG$200,0,MATCH(O$2,Inputs!$D$2:$AG$2,0)),Inputs!$B$4:$B$200,$B55)/1000)</f>
        <v>26.4</v>
      </c>
      <c r="P55" s="11">
        <f>IF(SUMPRODUCT((Inputs!$B$4:$B$200=$B55)*ISNUMBER(INDEX(Inputs!$D$4:$AG$200,0,MATCH(P$2,Inputs!$D$2:$AG$2,0))))=0,"",SUMIFS(INDEX(Inputs!$D$4:$AG$200,0,MATCH(P$2,Inputs!$D$2:$AG$2,0)),Inputs!$B$4:$B$200,$B55)/1000)</f>
        <v>31.6</v>
      </c>
      <c r="Q55" s="11">
        <f>IF(SUMPRODUCT((Inputs!$B$4:$B$200=$B55)*ISNUMBER(INDEX(Inputs!$D$4:$AG$200,0,MATCH(Q$2,Inputs!$D$2:$AG$2,0))))=0,"",SUMIFS(INDEX(Inputs!$D$4:$AG$200,0,MATCH(Q$2,Inputs!$D$2:$AG$2,0)),Inputs!$B$4:$B$200,$B55)/1000)</f>
        <v>33.7</v>
      </c>
      <c r="R55" s="12">
        <f>IF(COUNT(N55:Q55)=4,SUM(N55:Q55),"")</f>
        <v>115.8</v>
      </c>
      <c r="S55" s="11">
        <f>IF(SUMPRODUCT((Inputs!$B$4:$B$200=$B55)*ISNUMBER(INDEX(Inputs!$D$4:$AG$200,0,MATCH(S$2,Inputs!$D$2:$AG$2,0))))=0,"",SUMIFS(INDEX(Inputs!$D$4:$AG$200,0,MATCH(S$2,Inputs!$D$2:$AG$2,0)),Inputs!$B$4:$B$200,$B55)/1000)</f>
        <v>34</v>
      </c>
      <c r="T55" s="11">
        <f>IF(SUMPRODUCT((Inputs!$B$4:$B$200=$B55)*ISNUMBER(INDEX(Inputs!$D$4:$AG$200,0,MATCH(T$2,Inputs!$D$2:$AG$2,0))))=0,"",SUMIFS(INDEX(Inputs!$D$4:$AG$200,0,MATCH(T$2,Inputs!$D$2:$AG$2,0)),Inputs!$B$4:$B$200,$B55)/1000)</f>
        <v>34.8</v>
      </c>
      <c r="U55" s="11">
        <f>IF(SUMPRODUCT((Inputs!$B$4:$B$200=$B55)*ISNUMBER(INDEX(Inputs!$D$4:$AG$200,0,MATCH(U$2,Inputs!$D$2:$AG$2,0))))=0,"",SUMIFS(INDEX(Inputs!$D$4:$AG$200,0,MATCH(U$2,Inputs!$D$2:$AG$2,0)),Inputs!$B$4:$B$200,$B55)/1000)</f>
        <v>35.2</v>
      </c>
      <c r="V55" s="11">
        <f>IF(SUMPRODUCT((Inputs!$B$4:$B$200=$B55)*ISNUMBER(INDEX(Inputs!$D$4:$AG$200,0,MATCH(V$2,Inputs!$D$2:$AG$2,0))))=0,"",SUMIFS(INDEX(Inputs!$D$4:$AG$200,0,MATCH(V$2,Inputs!$D$2:$AG$2,0)),Inputs!$B$4:$B$200,$B55)/1000)</f>
        <v>35.6</v>
      </c>
      <c r="W55" s="12">
        <f>IF(COUNT(S55:V55)=4,SUM(S55:V55),"")</f>
        <v>139.6</v>
      </c>
      <c r="X55" s="11">
        <f>IF(SUMPRODUCT((Inputs!$B$4:$B$200=$B55)*ISNUMBER(INDEX(Inputs!$D$4:$AG$200,0,MATCH(X$2,Inputs!$D$2:$AG$2,0))))=0,"",SUMIFS(INDEX(Inputs!$D$4:$AG$200,0,MATCH(X$2,Inputs!$D$2:$AG$2,0)),Inputs!$B$4:$B$200,$B55)/1000)</f>
        <v>36.7</v>
      </c>
      <c r="Y55" s="11">
        <f>IF(SUMPRODUCT((Inputs!$B$4:$B$200=$B55)*ISNUMBER(INDEX(Inputs!$D$4:$AG$200,0,MATCH(Y$2,Inputs!$D$2:$AG$2,0))))=0,"",SUMIFS(INDEX(Inputs!$D$4:$AG$200,0,MATCH(Y$2,Inputs!$D$2:$AG$2,0)),Inputs!$B$4:$B$200,$B55)/1000)</f>
        <v>32.3</v>
      </c>
      <c r="Z55" s="11">
        <f>IF(SUMPRODUCT((Inputs!$B$4:$B$200=$B55)*ISNUMBER(INDEX(Inputs!$D$4:$AG$200,0,MATCH(Z$2,Inputs!$D$2:$AG$2,0))))=0,"",SUMIFS(INDEX(Inputs!$D$4:$AG$200,0,MATCH(Z$2,Inputs!$D$2:$AG$2,0)),Inputs!$B$4:$B$200,$B55)/1000)</f>
        <v>34.1</v>
      </c>
      <c r="AA55" s="11">
        <f>IF(SUMPRODUCT((Inputs!$B$4:$B$200=$B55)*ISNUMBER(INDEX(Inputs!$D$4:$AG$200,0,MATCH(AA$2,Inputs!$D$2:$AG$2,0))))=0,"",SUMIFS(INDEX(Inputs!$D$4:$AG$200,0,MATCH(AA$2,Inputs!$D$2:$AG$2,0)),Inputs!$B$4:$B$200,$B55)/1000)</f>
        <v>38.1</v>
      </c>
      <c r="AB55" s="12">
        <f>IF(COUNT(X55:AA55)=4,SUM(X55:AA55),"")</f>
        <v>141.2</v>
      </c>
      <c r="AC55" s="11">
        <f>IF(SUMPRODUCT((Inputs!$B$4:$B$200=$B55)*ISNUMBER(INDEX(Inputs!$D$4:$AG$200,0,MATCH(AC$2,Inputs!$D$2:$AG$2,0))))=0,"",SUMIFS(INDEX(Inputs!$D$4:$AG$200,0,MATCH(AC$2,Inputs!$D$2:$AG$2,0)),Inputs!$B$4:$B$200,$B55)/1000)</f>
        <v>36.2</v>
      </c>
      <c r="AD55" s="11">
        <f>IF(SUMPRODUCT((Inputs!$B$4:$B$200=$B55)*ISNUMBER(INDEX(Inputs!$D$4:$AG$200,0,MATCH(AD$2,Inputs!$D$2:$AG$2,0))))=0,"",SUMIFS(INDEX(Inputs!$D$4:$AG$200,0,MATCH(AD$2,Inputs!$D$2:$AG$2,0)),Inputs!$B$4:$B$200,$B55)/1000)</f>
        <v>40.3</v>
      </c>
      <c r="AE55" s="11" t="str">
        <f>IF(SUMPRODUCT((Inputs!$B$4:$B$200=$B55)*ISNUMBER(INDEX(Inputs!$D$4:$AG$200,0,MATCH(AE$2,Inputs!$D$2:$AG$2,0))))=0,"",SUMIFS(INDEX(Inputs!$D$4:$AG$200,0,MATCH(AE$2,Inputs!$D$2:$AG$2,0)),Inputs!$B$4:$B$200,$B55)/1000)</f>
        <v/>
      </c>
      <c r="AF55" s="11" t="str">
        <f>IF(SUMPRODUCT((Inputs!$B$4:$B$200=$B55)*ISNUMBER(INDEX(Inputs!$D$4:$AG$200,0,MATCH(AF$2,Inputs!$D$2:$AG$2,0))))=0,"",SUMIFS(INDEX(Inputs!$D$4:$AG$200,0,MATCH(AF$2,Inputs!$D$2:$AG$2,0)),Inputs!$B$4:$B$200,$B55)/1000)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de residuos solidos (R$ mi)</t>
        </is>
      </c>
      <c r="D56" s="11">
        <f>IF(SUMPRODUCT((Inputs!$B$4:$B$200=$B56)*ISNUMBER(INDEX(Inputs!$D$4:$AG$200,0,MATCH(D$2,Inputs!$D$2:$AG$2,0))))=0,"",SUMIFS(INDEX(Inputs!$D$4:$AG$200,0,MATCH(D$2,Inputs!$D$2:$AG$2,0)),Inputs!$B$4:$B$200,$B56)/1000)</f>
        <v>3</v>
      </c>
      <c r="E56" s="11">
        <f>IF(SUMPRODUCT((Inputs!$B$4:$B$200=$B56)*ISNUMBER(INDEX(Inputs!$D$4:$AG$200,0,MATCH(E$2,Inputs!$D$2:$AG$2,0))))=0,"",SUMIFS(INDEX(Inputs!$D$4:$AG$200,0,MATCH(E$2,Inputs!$D$2:$AG$2,0)),Inputs!$B$4:$B$200,$B56)/1000)</f>
        <v>3</v>
      </c>
      <c r="F56" s="11">
        <f>IF(SUMPRODUCT((Inputs!$B$4:$B$200=$B56)*ISNUMBER(INDEX(Inputs!$D$4:$AG$200,0,MATCH(F$2,Inputs!$D$2:$AG$2,0))))=0,"",SUMIFS(INDEX(Inputs!$D$4:$AG$200,0,MATCH(F$2,Inputs!$D$2:$AG$2,0)),Inputs!$B$4:$B$200,$B56)/1000)</f>
        <v>2.8</v>
      </c>
      <c r="G56" s="11">
        <f>IF(SUMPRODUCT((Inputs!$B$4:$B$200=$B56)*ISNUMBER(INDEX(Inputs!$D$4:$AG$200,0,MATCH(G$2,Inputs!$D$2:$AG$2,0))))=0,"",SUMIFS(INDEX(Inputs!$D$4:$AG$200,0,MATCH(G$2,Inputs!$D$2:$AG$2,0)),Inputs!$B$4:$B$200,$B56)/1000)</f>
        <v>2.9</v>
      </c>
      <c r="H56" s="12">
        <f>IF(COUNT(D56:G56)=4,SUM(D56:G56),"")</f>
        <v>11.7</v>
      </c>
      <c r="I56" s="11">
        <f>IF(SUMPRODUCT((Inputs!$B$4:$B$200=$B56)*ISNUMBER(INDEX(Inputs!$D$4:$AG$200,0,MATCH(I$2,Inputs!$D$2:$AG$2,0))))=0,"",SUMIFS(INDEX(Inputs!$D$4:$AG$200,0,MATCH(I$2,Inputs!$D$2:$AG$2,0)),Inputs!$B$4:$B$200,$B56)/1000)</f>
        <v>3.1</v>
      </c>
      <c r="J56" s="11">
        <f>IF(SUMPRODUCT((Inputs!$B$4:$B$200=$B56)*ISNUMBER(INDEX(Inputs!$D$4:$AG$200,0,MATCH(J$2,Inputs!$D$2:$AG$2,0))))=0,"",SUMIFS(INDEX(Inputs!$D$4:$AG$200,0,MATCH(J$2,Inputs!$D$2:$AG$2,0)),Inputs!$B$4:$B$200,$B56)/1000)</f>
        <v>3.3</v>
      </c>
      <c r="K56" s="11">
        <f>IF(SUMPRODUCT((Inputs!$B$4:$B$200=$B56)*ISNUMBER(INDEX(Inputs!$D$4:$AG$200,0,MATCH(K$2,Inputs!$D$2:$AG$2,0))))=0,"",SUMIFS(INDEX(Inputs!$D$4:$AG$200,0,MATCH(K$2,Inputs!$D$2:$AG$2,0)),Inputs!$B$4:$B$200,$B56)/1000)</f>
        <v>3.1</v>
      </c>
      <c r="L56" s="11">
        <f>IF(SUMPRODUCT((Inputs!$B$4:$B$200=$B56)*ISNUMBER(INDEX(Inputs!$D$4:$AG$200,0,MATCH(L$2,Inputs!$D$2:$AG$2,0))))=0,"",SUMIFS(INDEX(Inputs!$D$4:$AG$200,0,MATCH(L$2,Inputs!$D$2:$AG$2,0)),Inputs!$B$4:$B$200,$B56)/1000)</f>
        <v>3</v>
      </c>
      <c r="M56" s="12">
        <f>IF(COUNT(I56:L56)=4,SUM(I56:L56),"")</f>
        <v>12.5</v>
      </c>
      <c r="N56" s="11">
        <f>IF(SUMPRODUCT((Inputs!$B$4:$B$200=$B56)*ISNUMBER(INDEX(Inputs!$D$4:$AG$200,0,MATCH(N$2,Inputs!$D$2:$AG$2,0))))=0,"",SUMIFS(INDEX(Inputs!$D$4:$AG$200,0,MATCH(N$2,Inputs!$D$2:$AG$2,0)),Inputs!$B$4:$B$200,$B56)/1000)</f>
        <v>3.3</v>
      </c>
      <c r="O56" s="11">
        <f>IF(SUMPRODUCT((Inputs!$B$4:$B$200=$B56)*ISNUMBER(INDEX(Inputs!$D$4:$AG$200,0,MATCH(O$2,Inputs!$D$2:$AG$2,0))))=0,"",SUMIFS(INDEX(Inputs!$D$4:$AG$200,0,MATCH(O$2,Inputs!$D$2:$AG$2,0)),Inputs!$B$4:$B$200,$B56)/1000)</f>
        <v>3.3</v>
      </c>
      <c r="P56" s="11">
        <f>IF(SUMPRODUCT((Inputs!$B$4:$B$200=$B56)*ISNUMBER(INDEX(Inputs!$D$4:$AG$200,0,MATCH(P$2,Inputs!$D$2:$AG$2,0))))=0,"",SUMIFS(INDEX(Inputs!$D$4:$AG$200,0,MATCH(P$2,Inputs!$D$2:$AG$2,0)),Inputs!$B$4:$B$200,$B56)/1000)</f>
        <v>3.3</v>
      </c>
      <c r="Q56" s="11">
        <f>IF(SUMPRODUCT((Inputs!$B$4:$B$200=$B56)*ISNUMBER(INDEX(Inputs!$D$4:$AG$200,0,MATCH(Q$2,Inputs!$D$2:$AG$2,0))))=0,"",SUMIFS(INDEX(Inputs!$D$4:$AG$200,0,MATCH(Q$2,Inputs!$D$2:$AG$2,0)),Inputs!$B$4:$B$200,$B56)/1000)</f>
        <v>3.9</v>
      </c>
      <c r="R56" s="12">
        <f>IF(COUNT(N56:Q56)=4,SUM(N56:Q56),"")</f>
        <v>13.8</v>
      </c>
      <c r="S56" s="11">
        <f>IF(SUMPRODUCT((Inputs!$B$4:$B$200=$B56)*ISNUMBER(INDEX(Inputs!$D$4:$AG$200,0,MATCH(S$2,Inputs!$D$2:$AG$2,0))))=0,"",SUMIFS(INDEX(Inputs!$D$4:$AG$200,0,MATCH(S$2,Inputs!$D$2:$AG$2,0)),Inputs!$B$4:$B$200,$B56)/1000)</f>
        <v>3.9</v>
      </c>
      <c r="T56" s="11">
        <f>IF(SUMPRODUCT((Inputs!$B$4:$B$200=$B56)*ISNUMBER(INDEX(Inputs!$D$4:$AG$200,0,MATCH(T$2,Inputs!$D$2:$AG$2,0))))=0,"",SUMIFS(INDEX(Inputs!$D$4:$AG$200,0,MATCH(T$2,Inputs!$D$2:$AG$2,0)),Inputs!$B$4:$B$200,$B56)/1000)</f>
        <v>3.9</v>
      </c>
      <c r="U56" s="11">
        <f>IF(SUMPRODUCT((Inputs!$B$4:$B$200=$B56)*ISNUMBER(INDEX(Inputs!$D$4:$AG$200,0,MATCH(U$2,Inputs!$D$2:$AG$2,0))))=0,"",SUMIFS(INDEX(Inputs!$D$4:$AG$200,0,MATCH(U$2,Inputs!$D$2:$AG$2,0)),Inputs!$B$4:$B$200,$B56)/1000)</f>
        <v>3.7</v>
      </c>
      <c r="V56" s="11">
        <f>IF(SUMPRODUCT((Inputs!$B$4:$B$200=$B56)*ISNUMBER(INDEX(Inputs!$D$4:$AG$200,0,MATCH(V$2,Inputs!$D$2:$AG$2,0))))=0,"",SUMIFS(INDEX(Inputs!$D$4:$AG$200,0,MATCH(V$2,Inputs!$D$2:$AG$2,0)),Inputs!$B$4:$B$200,$B56)/1000)</f>
        <v>4</v>
      </c>
      <c r="W56" s="12">
        <f>IF(COUNT(S56:V56)=4,SUM(S56:V56),"")</f>
        <v>15.5</v>
      </c>
      <c r="X56" s="11">
        <f>IF(SUMPRODUCT((Inputs!$B$4:$B$200=$B56)*ISNUMBER(INDEX(Inputs!$D$4:$AG$200,0,MATCH(X$2,Inputs!$D$2:$AG$2,0))))=0,"",SUMIFS(INDEX(Inputs!$D$4:$AG$200,0,MATCH(X$2,Inputs!$D$2:$AG$2,0)),Inputs!$B$4:$B$200,$B56)/1000)</f>
        <v>4.1</v>
      </c>
      <c r="Y56" s="11">
        <f>IF(SUMPRODUCT((Inputs!$B$4:$B$200=$B56)*ISNUMBER(INDEX(Inputs!$D$4:$AG$200,0,MATCH(Y$2,Inputs!$D$2:$AG$2,0))))=0,"",SUMIFS(INDEX(Inputs!$D$4:$AG$200,0,MATCH(Y$2,Inputs!$D$2:$AG$2,0)),Inputs!$B$4:$B$200,$B56)/1000)</f>
        <v>5.7</v>
      </c>
      <c r="Z56" s="11">
        <f>IF(SUMPRODUCT((Inputs!$B$4:$B$200=$B56)*ISNUMBER(INDEX(Inputs!$D$4:$AG$200,0,MATCH(Z$2,Inputs!$D$2:$AG$2,0))))=0,"",SUMIFS(INDEX(Inputs!$D$4:$AG$200,0,MATCH(Z$2,Inputs!$D$2:$AG$2,0)),Inputs!$B$4:$B$200,$B56)/1000)</f>
        <v>5.2</v>
      </c>
      <c r="AA56" s="11">
        <f>IF(SUMPRODUCT((Inputs!$B$4:$B$200=$B56)*ISNUMBER(INDEX(Inputs!$D$4:$AG$200,0,MATCH(AA$2,Inputs!$D$2:$AG$2,0))))=0,"",SUMIFS(INDEX(Inputs!$D$4:$AG$200,0,MATCH(AA$2,Inputs!$D$2:$AG$2,0)),Inputs!$B$4:$B$200,$B56)/1000)</f>
        <v>5.1</v>
      </c>
      <c r="AB56" s="12">
        <f>IF(COUNT(X56:AA56)=4,SUM(X56:AA56),"")</f>
        <v>20.1</v>
      </c>
      <c r="AC56" s="11">
        <f>IF(SUMPRODUCT((Inputs!$B$4:$B$200=$B56)*ISNUMBER(INDEX(Inputs!$D$4:$AG$200,0,MATCH(AC$2,Inputs!$D$2:$AG$2,0))))=0,"",SUMIFS(INDEX(Inputs!$D$4:$AG$200,0,MATCH(AC$2,Inputs!$D$2:$AG$2,0)),Inputs!$B$4:$B$200,$B56)/1000)</f>
        <v>5.3</v>
      </c>
      <c r="AD56" s="11">
        <f>IF(SUMPRODUCT((Inputs!$B$4:$B$200=$B56)*ISNUMBER(INDEX(Inputs!$D$4:$AG$200,0,MATCH(AD$2,Inputs!$D$2:$AG$2,0))))=0,"",SUMIFS(INDEX(Inputs!$D$4:$AG$200,0,MATCH(AD$2,Inputs!$D$2:$AG$2,0)),Inputs!$B$4:$B$200,$B56)/1000)</f>
        <v>6</v>
      </c>
      <c r="AE56" s="11" t="str">
        <f>IF(SUMPRODUCT((Inputs!$B$4:$B$200=$B56)*ISNUMBER(INDEX(Inputs!$D$4:$AG$200,0,MATCH(AE$2,Inputs!$D$2:$AG$2,0))))=0,"",SUMIFS(INDEX(Inputs!$D$4:$AG$200,0,MATCH(AE$2,Inputs!$D$2:$AG$2,0)),Inputs!$B$4:$B$200,$B56)/1000)</f>
        <v/>
      </c>
      <c r="AF56" s="11" t="str">
        <f>IF(SUMPRODUCT((Inputs!$B$4:$B$200=$B56)*ISNUMBER(INDEX(Inputs!$D$4:$AG$200,0,MATCH(AF$2,Inputs!$D$2:$AG$2,0))))=0,"",SUMIFS(INDEX(Inputs!$D$4:$AG$200,0,MATCH(AF$2,Inputs!$D$2:$AG$2,0)),Inputs!$B$4:$B$200,$B56)/1000)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Servicos prestados aos municipios (R$ mi)</t>
        </is>
      </c>
      <c r="D57" s="11">
        <f>IF(SUMPRODUCT((Inputs!$B$4:$B$200=$B57)*ISNUMBER(INDEX(Inputs!$D$4:$AG$200,0,MATCH(D$2,Inputs!$D$2:$AG$2,0))))=0,"",SUMIFS(INDEX(Inputs!$D$4:$AG$200,0,MATCH(D$2,Inputs!$D$2:$AG$2,0)),Inputs!$B$4:$B$200,$B57)/1000)</f>
        <v>5.1</v>
      </c>
      <c r="E57" s="11">
        <f>IF(SUMPRODUCT((Inputs!$B$4:$B$200=$B57)*ISNUMBER(INDEX(Inputs!$D$4:$AG$200,0,MATCH(E$2,Inputs!$D$2:$AG$2,0))))=0,"",SUMIFS(INDEX(Inputs!$D$4:$AG$200,0,MATCH(E$2,Inputs!$D$2:$AG$2,0)),Inputs!$B$4:$B$200,$B57)/1000)</f>
        <v>5.2</v>
      </c>
      <c r="F57" s="11">
        <f>IF(SUMPRODUCT((Inputs!$B$4:$B$200=$B57)*ISNUMBER(INDEX(Inputs!$D$4:$AG$200,0,MATCH(F$2,Inputs!$D$2:$AG$2,0))))=0,"",SUMIFS(INDEX(Inputs!$D$4:$AG$200,0,MATCH(F$2,Inputs!$D$2:$AG$2,0)),Inputs!$B$4:$B$200,$B57)/1000)</f>
        <v>5.4</v>
      </c>
      <c r="G57" s="11">
        <f>IF(SUMPRODUCT((Inputs!$B$4:$B$200=$B57)*ISNUMBER(INDEX(Inputs!$D$4:$AG$200,0,MATCH(G$2,Inputs!$D$2:$AG$2,0))))=0,"",SUMIFS(INDEX(Inputs!$D$4:$AG$200,0,MATCH(G$2,Inputs!$D$2:$AG$2,0)),Inputs!$B$4:$B$200,$B57)/1000)</f>
        <v>5.2</v>
      </c>
      <c r="H57" s="12">
        <f>IF(COUNT(D57:G57)=4,SUM(D57:G57),"")</f>
        <v>20.9</v>
      </c>
      <c r="I57" s="11">
        <f>IF(SUMPRODUCT((Inputs!$B$4:$B$200=$B57)*ISNUMBER(INDEX(Inputs!$D$4:$AG$200,0,MATCH(I$2,Inputs!$D$2:$AG$2,0))))=0,"",SUMIFS(INDEX(Inputs!$D$4:$AG$200,0,MATCH(I$2,Inputs!$D$2:$AG$2,0)),Inputs!$B$4:$B$200,$B57)/1000)</f>
        <v>5.3</v>
      </c>
      <c r="J57" s="11">
        <f>IF(SUMPRODUCT((Inputs!$B$4:$B$200=$B57)*ISNUMBER(INDEX(Inputs!$D$4:$AG$200,0,MATCH(J$2,Inputs!$D$2:$AG$2,0))))=0,"",SUMIFS(INDEX(Inputs!$D$4:$AG$200,0,MATCH(J$2,Inputs!$D$2:$AG$2,0)),Inputs!$B$4:$B$200,$B57)/1000)</f>
        <v>5.4</v>
      </c>
      <c r="K57" s="11">
        <f>IF(SUMPRODUCT((Inputs!$B$4:$B$200=$B57)*ISNUMBER(INDEX(Inputs!$D$4:$AG$200,0,MATCH(K$2,Inputs!$D$2:$AG$2,0))))=0,"",SUMIFS(INDEX(Inputs!$D$4:$AG$200,0,MATCH(K$2,Inputs!$D$2:$AG$2,0)),Inputs!$B$4:$B$200,$B57)/1000)</f>
        <v>5.7</v>
      </c>
      <c r="L57" s="11">
        <f>IF(SUMPRODUCT((Inputs!$B$4:$B$200=$B57)*ISNUMBER(INDEX(Inputs!$D$4:$AG$200,0,MATCH(L$2,Inputs!$D$2:$AG$2,0))))=0,"",SUMIFS(INDEX(Inputs!$D$4:$AG$200,0,MATCH(L$2,Inputs!$D$2:$AG$2,0)),Inputs!$B$4:$B$200,$B57)/1000)</f>
        <v>5.6</v>
      </c>
      <c r="M57" s="12">
        <f>IF(COUNT(I57:L57)=4,SUM(I57:L57),"")</f>
        <v>22</v>
      </c>
      <c r="N57" s="11">
        <f>IF(SUMPRODUCT((Inputs!$B$4:$B$200=$B57)*ISNUMBER(INDEX(Inputs!$D$4:$AG$200,0,MATCH(N$2,Inputs!$D$2:$AG$2,0))))=0,"",SUMIFS(INDEX(Inputs!$D$4:$AG$200,0,MATCH(N$2,Inputs!$D$2:$AG$2,0)),Inputs!$B$4:$B$200,$B57)/1000)</f>
        <v>5.7</v>
      </c>
      <c r="O57" s="11">
        <f>IF(SUMPRODUCT((Inputs!$B$4:$B$200=$B57)*ISNUMBER(INDEX(Inputs!$D$4:$AG$200,0,MATCH(O$2,Inputs!$D$2:$AG$2,0))))=0,"",SUMIFS(INDEX(Inputs!$D$4:$AG$200,0,MATCH(O$2,Inputs!$D$2:$AG$2,0)),Inputs!$B$4:$B$200,$B57)/1000)</f>
        <v>6</v>
      </c>
      <c r="P57" s="11">
        <f>IF(SUMPRODUCT((Inputs!$B$4:$B$200=$B57)*ISNUMBER(INDEX(Inputs!$D$4:$AG$200,0,MATCH(P$2,Inputs!$D$2:$AG$2,0))))=0,"",SUMIFS(INDEX(Inputs!$D$4:$AG$200,0,MATCH(P$2,Inputs!$D$2:$AG$2,0)),Inputs!$B$4:$B$200,$B57)/1000)</f>
        <v>6.3</v>
      </c>
      <c r="Q57" s="11">
        <f>IF(SUMPRODUCT((Inputs!$B$4:$B$200=$B57)*ISNUMBER(INDEX(Inputs!$D$4:$AG$200,0,MATCH(Q$2,Inputs!$D$2:$AG$2,0))))=0,"",SUMIFS(INDEX(Inputs!$D$4:$AG$200,0,MATCH(Q$2,Inputs!$D$2:$AG$2,0)),Inputs!$B$4:$B$200,$B57)/1000)</f>
        <v>6.4</v>
      </c>
      <c r="R57" s="12">
        <f>IF(COUNT(N57:Q57)=4,SUM(N57:Q57),"")</f>
        <v>24.4</v>
      </c>
      <c r="S57" s="11">
        <f>IF(SUMPRODUCT((Inputs!$B$4:$B$200=$B57)*ISNUMBER(INDEX(Inputs!$D$4:$AG$200,0,MATCH(S$2,Inputs!$D$2:$AG$2,0))))=0,"",SUMIFS(INDEX(Inputs!$D$4:$AG$200,0,MATCH(S$2,Inputs!$D$2:$AG$2,0)),Inputs!$B$4:$B$200,$B57)/1000)</f>
        <v>6.4</v>
      </c>
      <c r="T57" s="11">
        <f>IF(SUMPRODUCT((Inputs!$B$4:$B$200=$B57)*ISNUMBER(INDEX(Inputs!$D$4:$AG$200,0,MATCH(T$2,Inputs!$D$2:$AG$2,0))))=0,"",SUMIFS(INDEX(Inputs!$D$4:$AG$200,0,MATCH(T$2,Inputs!$D$2:$AG$2,0)),Inputs!$B$4:$B$200,$B57)/1000)</f>
        <v>6.4</v>
      </c>
      <c r="U57" s="11">
        <f>IF(SUMPRODUCT((Inputs!$B$4:$B$200=$B57)*ISNUMBER(INDEX(Inputs!$D$4:$AG$200,0,MATCH(U$2,Inputs!$D$2:$AG$2,0))))=0,"",SUMIFS(INDEX(Inputs!$D$4:$AG$200,0,MATCH(U$2,Inputs!$D$2:$AG$2,0)),Inputs!$B$4:$B$200,$B57)/1000)</f>
        <v>6.5</v>
      </c>
      <c r="V57" s="11">
        <f>IF(SUMPRODUCT((Inputs!$B$4:$B$200=$B57)*ISNUMBER(INDEX(Inputs!$D$4:$AG$200,0,MATCH(V$2,Inputs!$D$2:$AG$2,0))))=0,"",SUMIFS(INDEX(Inputs!$D$4:$AG$200,0,MATCH(V$2,Inputs!$D$2:$AG$2,0)),Inputs!$B$4:$B$200,$B57)/1000)</f>
        <v>6.4</v>
      </c>
      <c r="W57" s="12">
        <f>IF(COUNT(S57:V57)=4,SUM(S57:V57),"")</f>
        <v>25.7</v>
      </c>
      <c r="X57" s="11">
        <f>IF(SUMPRODUCT((Inputs!$B$4:$B$200=$B57)*ISNUMBER(INDEX(Inputs!$D$4:$AG$200,0,MATCH(X$2,Inputs!$D$2:$AG$2,0))))=0,"",SUMIFS(INDEX(Inputs!$D$4:$AG$200,0,MATCH(X$2,Inputs!$D$2:$AG$2,0)),Inputs!$B$4:$B$200,$B57)/1000)</f>
        <v>6.4</v>
      </c>
      <c r="Y57" s="11">
        <f>IF(SUMPRODUCT((Inputs!$B$4:$B$200=$B57)*ISNUMBER(INDEX(Inputs!$D$4:$AG$200,0,MATCH(Y$2,Inputs!$D$2:$AG$2,0))))=0,"",SUMIFS(INDEX(Inputs!$D$4:$AG$200,0,MATCH(Y$2,Inputs!$D$2:$AG$2,0)),Inputs!$B$4:$B$200,$B57)/1000)</f>
        <v>6.6</v>
      </c>
      <c r="Z57" s="11">
        <f>IF(SUMPRODUCT((Inputs!$B$4:$B$200=$B57)*ISNUMBER(INDEX(Inputs!$D$4:$AG$200,0,MATCH(Z$2,Inputs!$D$2:$AG$2,0))))=0,"",SUMIFS(INDEX(Inputs!$D$4:$AG$200,0,MATCH(Z$2,Inputs!$D$2:$AG$2,0)),Inputs!$B$4:$B$200,$B57)/1000)</f>
        <v>6.6</v>
      </c>
      <c r="AA57" s="11">
        <f>IF(SUMPRODUCT((Inputs!$B$4:$B$200=$B57)*ISNUMBER(INDEX(Inputs!$D$4:$AG$200,0,MATCH(AA$2,Inputs!$D$2:$AG$2,0))))=0,"",SUMIFS(INDEX(Inputs!$D$4:$AG$200,0,MATCH(AA$2,Inputs!$D$2:$AG$2,0)),Inputs!$B$4:$B$200,$B57)/1000)</f>
        <v>6.7</v>
      </c>
      <c r="AB57" s="12">
        <f>IF(COUNT(X57:AA57)=4,SUM(X57:AA57),"")</f>
        <v>26.3</v>
      </c>
      <c r="AC57" s="11">
        <f>IF(SUMPRODUCT((Inputs!$B$4:$B$200=$B57)*ISNUMBER(INDEX(Inputs!$D$4:$AG$200,0,MATCH(AC$2,Inputs!$D$2:$AG$2,0))))=0,"",SUMIFS(INDEX(Inputs!$D$4:$AG$200,0,MATCH(AC$2,Inputs!$D$2:$AG$2,0)),Inputs!$B$4:$B$200,$B57)/1000)</f>
        <v>6.9</v>
      </c>
      <c r="AD57" s="11">
        <f>IF(SUMPRODUCT((Inputs!$B$4:$B$200=$B57)*ISNUMBER(INDEX(Inputs!$D$4:$AG$200,0,MATCH(AD$2,Inputs!$D$2:$AG$2,0))))=0,"",SUMIFS(INDEX(Inputs!$D$4:$AG$200,0,MATCH(AD$2,Inputs!$D$2:$AG$2,0)),Inputs!$B$4:$B$200,$B57)/1000)</f>
        <v>7.1</v>
      </c>
      <c r="AE57" s="11" t="str">
        <f>IF(SUMPRODUCT((Inputs!$B$4:$B$200=$B57)*ISNUMBER(INDEX(Inputs!$D$4:$AG$200,0,MATCH(AE$2,Inputs!$D$2:$AG$2,0))))=0,"",SUMIFS(INDEX(Inputs!$D$4:$AG$200,0,MATCH(AE$2,Inputs!$D$2:$AG$2,0)),Inputs!$B$4:$B$200,$B57)/1000)</f>
        <v/>
      </c>
      <c r="AF57" s="11" t="str">
        <f>IF(SUMPRODUCT((Inputs!$B$4:$B$200=$B57)*ISNUMBER(INDEX(Inputs!$D$4:$AG$200,0,MATCH(AF$2,Inputs!$D$2:$AG$2,0))))=0,"",SUMIFS(INDEX(Inputs!$D$4:$AG$200,0,MATCH(AF$2,Inputs!$D$2:$AG$2,0)),Inputs!$B$4:$B$200,$B57)/1000)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Doacoes efetuadas por clientes (R$ mi)</t>
        </is>
      </c>
      <c r="D58" s="11">
        <f>IF(SUMPRODUCT((Inputs!$B$4:$B$200=$B58)*ISNUMBER(INDEX(Inputs!$D$4:$AG$200,0,MATCH(D$2,Inputs!$D$2:$AG$2,0))))=0,"",SUMIFS(INDEX(Inputs!$D$4:$AG$200,0,MATCH(D$2,Inputs!$D$2:$AG$2,0)),Inputs!$B$4:$B$200,$B58)/1000)</f>
        <v>7.2</v>
      </c>
      <c r="E58" s="11">
        <f>IF(SUMPRODUCT((Inputs!$B$4:$B$200=$B58)*ISNUMBER(INDEX(Inputs!$D$4:$AG$200,0,MATCH(E$2,Inputs!$D$2:$AG$2,0))))=0,"",SUMIFS(INDEX(Inputs!$D$4:$AG$200,0,MATCH(E$2,Inputs!$D$2:$AG$2,0)),Inputs!$B$4:$B$200,$B58)/1000)</f>
        <v>11.1</v>
      </c>
      <c r="F58" s="11">
        <f>IF(SUMPRODUCT((Inputs!$B$4:$B$200=$B58)*ISNUMBER(INDEX(Inputs!$D$4:$AG$200,0,MATCH(F$2,Inputs!$D$2:$AG$2,0))))=0,"",SUMIFS(INDEX(Inputs!$D$4:$AG$200,0,MATCH(F$2,Inputs!$D$2:$AG$2,0)),Inputs!$B$4:$B$200,$B58)/1000)</f>
        <v>6.9</v>
      </c>
      <c r="G58" s="11">
        <f>IF(SUMPRODUCT((Inputs!$B$4:$B$200=$B58)*ISNUMBER(INDEX(Inputs!$D$4:$AG$200,0,MATCH(G$2,Inputs!$D$2:$AG$2,0))))=0,"",SUMIFS(INDEX(Inputs!$D$4:$AG$200,0,MATCH(G$2,Inputs!$D$2:$AG$2,0)),Inputs!$B$4:$B$200,$B58)/1000)</f>
        <v>9</v>
      </c>
      <c r="H58" s="12">
        <f>IF(COUNT(D58:G58)=4,SUM(D58:G58),"")</f>
        <v>34.2</v>
      </c>
      <c r="I58" s="11">
        <f>IF(SUMPRODUCT((Inputs!$B$4:$B$200=$B58)*ISNUMBER(INDEX(Inputs!$D$4:$AG$200,0,MATCH(I$2,Inputs!$D$2:$AG$2,0))))=0,"",SUMIFS(INDEX(Inputs!$D$4:$AG$200,0,MATCH(I$2,Inputs!$D$2:$AG$2,0)),Inputs!$B$4:$B$200,$B58)/1000)</f>
        <v>7.4</v>
      </c>
      <c r="J58" s="11">
        <f>IF(SUMPRODUCT((Inputs!$B$4:$B$200=$B58)*ISNUMBER(INDEX(Inputs!$D$4:$AG$200,0,MATCH(J$2,Inputs!$D$2:$AG$2,0))))=0,"",SUMIFS(INDEX(Inputs!$D$4:$AG$200,0,MATCH(J$2,Inputs!$D$2:$AG$2,0)),Inputs!$B$4:$B$200,$B58)/1000)</f>
        <v>7.3</v>
      </c>
      <c r="K58" s="11">
        <f>IF(SUMPRODUCT((Inputs!$B$4:$B$200=$B58)*ISNUMBER(INDEX(Inputs!$D$4:$AG$200,0,MATCH(K$2,Inputs!$D$2:$AG$2,0))))=0,"",SUMIFS(INDEX(Inputs!$D$4:$AG$200,0,MATCH(K$2,Inputs!$D$2:$AG$2,0)),Inputs!$B$4:$B$200,$B58)/1000)</f>
        <v>9.5</v>
      </c>
      <c r="L58" s="11">
        <f>IF(SUMPRODUCT((Inputs!$B$4:$B$200=$B58)*ISNUMBER(INDEX(Inputs!$D$4:$AG$200,0,MATCH(L$2,Inputs!$D$2:$AG$2,0))))=0,"",SUMIFS(INDEX(Inputs!$D$4:$AG$200,0,MATCH(L$2,Inputs!$D$2:$AG$2,0)),Inputs!$B$4:$B$200,$B58)/1000)</f>
        <v>11</v>
      </c>
      <c r="M58" s="12">
        <f>IF(COUNT(I58:L58)=4,SUM(I58:L58),"")</f>
        <v>35.2</v>
      </c>
      <c r="N58" s="11">
        <f>IF(SUMPRODUCT((Inputs!$B$4:$B$200=$B58)*ISNUMBER(INDEX(Inputs!$D$4:$AG$200,0,MATCH(N$2,Inputs!$D$2:$AG$2,0))))=0,"",SUMIFS(INDEX(Inputs!$D$4:$AG$200,0,MATCH(N$2,Inputs!$D$2:$AG$2,0)),Inputs!$B$4:$B$200,$B58)/1000)</f>
        <v>9.3</v>
      </c>
      <c r="O58" s="11">
        <f>IF(SUMPRODUCT((Inputs!$B$4:$B$200=$B58)*ISNUMBER(INDEX(Inputs!$D$4:$AG$200,0,MATCH(O$2,Inputs!$D$2:$AG$2,0))))=0,"",SUMIFS(INDEX(Inputs!$D$4:$AG$200,0,MATCH(O$2,Inputs!$D$2:$AG$2,0)),Inputs!$B$4:$B$200,$B58)/1000)</f>
        <v>9.1</v>
      </c>
      <c r="P58" s="11">
        <f>IF(SUMPRODUCT((Inputs!$B$4:$B$200=$B58)*ISNUMBER(INDEX(Inputs!$D$4:$AG$200,0,MATCH(P$2,Inputs!$D$2:$AG$2,0))))=0,"",SUMIFS(INDEX(Inputs!$D$4:$AG$200,0,MATCH(P$2,Inputs!$D$2:$AG$2,0)),Inputs!$B$4:$B$200,$B58)/1000)</f>
        <v>9.4</v>
      </c>
      <c r="Q58" s="11">
        <f>IF(SUMPRODUCT((Inputs!$B$4:$B$200=$B58)*ISNUMBER(INDEX(Inputs!$D$4:$AG$200,0,MATCH(Q$2,Inputs!$D$2:$AG$2,0))))=0,"",SUMIFS(INDEX(Inputs!$D$4:$AG$200,0,MATCH(Q$2,Inputs!$D$2:$AG$2,0)),Inputs!$B$4:$B$200,$B58)/1000)</f>
        <v>7.2</v>
      </c>
      <c r="R58" s="12">
        <f>IF(COUNT(N58:Q58)=4,SUM(N58:Q58),"")</f>
        <v>35</v>
      </c>
      <c r="S58" s="11">
        <f>IF(SUMPRODUCT((Inputs!$B$4:$B$200=$B58)*ISNUMBER(INDEX(Inputs!$D$4:$AG$200,0,MATCH(S$2,Inputs!$D$2:$AG$2,0))))=0,"",SUMIFS(INDEX(Inputs!$D$4:$AG$200,0,MATCH(S$2,Inputs!$D$2:$AG$2,0)),Inputs!$B$4:$B$200,$B58)/1000)</f>
        <v>10.5</v>
      </c>
      <c r="T58" s="11">
        <f>IF(SUMPRODUCT((Inputs!$B$4:$B$200=$B58)*ISNUMBER(INDEX(Inputs!$D$4:$AG$200,0,MATCH(T$2,Inputs!$D$2:$AG$2,0))))=0,"",SUMIFS(INDEX(Inputs!$D$4:$AG$200,0,MATCH(T$2,Inputs!$D$2:$AG$2,0)),Inputs!$B$4:$B$200,$B58)/1000)</f>
        <v>10.1</v>
      </c>
      <c r="U58" s="11">
        <f>IF(SUMPRODUCT((Inputs!$B$4:$B$200=$B58)*ISNUMBER(INDEX(Inputs!$D$4:$AG$200,0,MATCH(U$2,Inputs!$D$2:$AG$2,0))))=0,"",SUMIFS(INDEX(Inputs!$D$4:$AG$200,0,MATCH(U$2,Inputs!$D$2:$AG$2,0)),Inputs!$B$4:$B$200,$B58)/1000)</f>
        <v>10.4</v>
      </c>
      <c r="V58" s="11">
        <f>IF(SUMPRODUCT((Inputs!$B$4:$B$200=$B58)*ISNUMBER(INDEX(Inputs!$D$4:$AG$200,0,MATCH(V$2,Inputs!$D$2:$AG$2,0))))=0,"",SUMIFS(INDEX(Inputs!$D$4:$AG$200,0,MATCH(V$2,Inputs!$D$2:$AG$2,0)),Inputs!$B$4:$B$200,$B58)/1000)</f>
        <v>14</v>
      </c>
      <c r="W58" s="12">
        <f>IF(COUNT(S58:V58)=4,SUM(S58:V58),"")</f>
        <v>45</v>
      </c>
      <c r="X58" s="11">
        <f>IF(SUMPRODUCT((Inputs!$B$4:$B$200=$B58)*ISNUMBER(INDEX(Inputs!$D$4:$AG$200,0,MATCH(X$2,Inputs!$D$2:$AG$2,0))))=0,"",SUMIFS(INDEX(Inputs!$D$4:$AG$200,0,MATCH(X$2,Inputs!$D$2:$AG$2,0)),Inputs!$B$4:$B$200,$B58)/1000)</f>
        <v>13.1</v>
      </c>
      <c r="Y58" s="11">
        <f>IF(SUMPRODUCT((Inputs!$B$4:$B$200=$B58)*ISNUMBER(INDEX(Inputs!$D$4:$AG$200,0,MATCH(Y$2,Inputs!$D$2:$AG$2,0))))=0,"",SUMIFS(INDEX(Inputs!$D$4:$AG$200,0,MATCH(Y$2,Inputs!$D$2:$AG$2,0)),Inputs!$B$4:$B$200,$B58)/1000)</f>
        <v>6.7</v>
      </c>
      <c r="Z58" s="11">
        <f>IF(SUMPRODUCT((Inputs!$B$4:$B$200=$B58)*ISNUMBER(INDEX(Inputs!$D$4:$AG$200,0,MATCH(Z$2,Inputs!$D$2:$AG$2,0))))=0,"",SUMIFS(INDEX(Inputs!$D$4:$AG$200,0,MATCH(Z$2,Inputs!$D$2:$AG$2,0)),Inputs!$B$4:$B$200,$B58)/1000)</f>
        <v>6.8</v>
      </c>
      <c r="AA58" s="11">
        <f>IF(SUMPRODUCT((Inputs!$B$4:$B$200=$B58)*ISNUMBER(INDEX(Inputs!$D$4:$AG$200,0,MATCH(AA$2,Inputs!$D$2:$AG$2,0))))=0,"",SUMIFS(INDEX(Inputs!$D$4:$AG$200,0,MATCH(AA$2,Inputs!$D$2:$AG$2,0)),Inputs!$B$4:$B$200,$B58)/1000)</f>
        <v>12</v>
      </c>
      <c r="AB58" s="12">
        <f>IF(COUNT(X58:AA58)=4,SUM(X58:AA58),"")</f>
        <v>38.6</v>
      </c>
      <c r="AC58" s="11">
        <f>IF(SUMPRODUCT((Inputs!$B$4:$B$200=$B58)*ISNUMBER(INDEX(Inputs!$D$4:$AG$200,0,MATCH(AC$2,Inputs!$D$2:$AG$2,0))))=0,"",SUMIFS(INDEX(Inputs!$D$4:$AG$200,0,MATCH(AC$2,Inputs!$D$2:$AG$2,0)),Inputs!$B$4:$B$200,$B58)/1000)</f>
        <v>8.7</v>
      </c>
      <c r="AD58" s="11">
        <f>IF(SUMPRODUCT((Inputs!$B$4:$B$200=$B58)*ISNUMBER(INDEX(Inputs!$D$4:$AG$200,0,MATCH(AD$2,Inputs!$D$2:$AG$2,0))))=0,"",SUMIFS(INDEX(Inputs!$D$4:$AG$200,0,MATCH(AD$2,Inputs!$D$2:$AG$2,0)),Inputs!$B$4:$B$200,$B58)/1000)</f>
        <v>6.5</v>
      </c>
      <c r="AE58" s="11" t="str">
        <f>IF(SUMPRODUCT((Inputs!$B$4:$B$200=$B58)*ISNUMBER(INDEX(Inputs!$D$4:$AG$200,0,MATCH(AE$2,Inputs!$D$2:$AG$2,0))))=0,"",SUMIFS(INDEX(Inputs!$D$4:$AG$200,0,MATCH(AE$2,Inputs!$D$2:$AG$2,0)),Inputs!$B$4:$B$200,$B58)/1000)</f>
        <v/>
      </c>
      <c r="AF58" s="11" t="str">
        <f>IF(SUMPRODUCT((Inputs!$B$4:$B$200=$B58)*ISNUMBER(INDEX(Inputs!$D$4:$AG$200,0,MATCH(AF$2,Inputs!$D$2:$AG$2,0))))=0,"",SUMIFS(INDEX(Inputs!$D$4:$AG$200,0,MATCH(AF$2,Inputs!$D$2:$AG$2,0)),Inputs!$B$4:$B$200,$B58)/1000)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Outras receitas (R$ mi)</t>
        </is>
      </c>
      <c r="D59" s="11">
        <f>IF(SUMPRODUCT((Inputs!$B$4:$B$200=$B59)*ISNUMBER(INDEX(Inputs!$D$4:$AG$200,0,MATCH(D$2,Inputs!$D$2:$AG$2,0))))=0,"",SUMIFS(INDEX(Inputs!$D$4:$AG$200,0,MATCH(D$2,Inputs!$D$2:$AG$2,0)),Inputs!$B$4:$B$200,$B59)/1000)</f>
        <v>1.3</v>
      </c>
      <c r="E59" s="11">
        <f>IF(SUMPRODUCT((Inputs!$B$4:$B$200=$B59)*ISNUMBER(INDEX(Inputs!$D$4:$AG$200,0,MATCH(E$2,Inputs!$D$2:$AG$2,0))))=0,"",SUMIFS(INDEX(Inputs!$D$4:$AG$200,0,MATCH(E$2,Inputs!$D$2:$AG$2,0)),Inputs!$B$4:$B$200,$B59)/1000)</f>
        <v>1.2</v>
      </c>
      <c r="F59" s="11">
        <f>IF(SUMPRODUCT((Inputs!$B$4:$B$200=$B59)*ISNUMBER(INDEX(Inputs!$D$4:$AG$200,0,MATCH(F$2,Inputs!$D$2:$AG$2,0))))=0,"",SUMIFS(INDEX(Inputs!$D$4:$AG$200,0,MATCH(F$2,Inputs!$D$2:$AG$2,0)),Inputs!$B$4:$B$200,$B59)/1000)</f>
        <v>1.4</v>
      </c>
      <c r="G59" s="11">
        <f>IF(SUMPRODUCT((Inputs!$B$4:$B$200=$B59)*ISNUMBER(INDEX(Inputs!$D$4:$AG$200,0,MATCH(G$2,Inputs!$D$2:$AG$2,0))))=0,"",SUMIFS(INDEX(Inputs!$D$4:$AG$200,0,MATCH(G$2,Inputs!$D$2:$AG$2,0)),Inputs!$B$4:$B$200,$B59)/1000)</f>
        <v>1.9</v>
      </c>
      <c r="H59" s="12">
        <f>IF(COUNT(D59:G59)=4,SUM(D59:G59),"")</f>
        <v>5.8</v>
      </c>
      <c r="I59" s="11">
        <f>IF(SUMPRODUCT((Inputs!$B$4:$B$200=$B59)*ISNUMBER(INDEX(Inputs!$D$4:$AG$200,0,MATCH(I$2,Inputs!$D$2:$AG$2,0))))=0,"",SUMIFS(INDEX(Inputs!$D$4:$AG$200,0,MATCH(I$2,Inputs!$D$2:$AG$2,0)),Inputs!$B$4:$B$200,$B59)/1000)</f>
        <v>1.4</v>
      </c>
      <c r="J59" s="11">
        <f>IF(SUMPRODUCT((Inputs!$B$4:$B$200=$B59)*ISNUMBER(INDEX(Inputs!$D$4:$AG$200,0,MATCH(J$2,Inputs!$D$2:$AG$2,0))))=0,"",SUMIFS(INDEX(Inputs!$D$4:$AG$200,0,MATCH(J$2,Inputs!$D$2:$AG$2,0)),Inputs!$B$4:$B$200,$B59)/1000)</f>
        <v>1.2</v>
      </c>
      <c r="K59" s="11">
        <f>IF(SUMPRODUCT((Inputs!$B$4:$B$200=$B59)*ISNUMBER(INDEX(Inputs!$D$4:$AG$200,0,MATCH(K$2,Inputs!$D$2:$AG$2,0))))=0,"",SUMIFS(INDEX(Inputs!$D$4:$AG$200,0,MATCH(K$2,Inputs!$D$2:$AG$2,0)),Inputs!$B$4:$B$200,$B59)/1000)</f>
        <v>2.1</v>
      </c>
      <c r="L59" s="11">
        <f>IF(SUMPRODUCT((Inputs!$B$4:$B$200=$B59)*ISNUMBER(INDEX(Inputs!$D$4:$AG$200,0,MATCH(L$2,Inputs!$D$2:$AG$2,0))))=0,"",SUMIFS(INDEX(Inputs!$D$4:$AG$200,0,MATCH(L$2,Inputs!$D$2:$AG$2,0)),Inputs!$B$4:$B$200,$B59)/1000)</f>
        <v>1.7</v>
      </c>
      <c r="M59" s="12">
        <f>IF(COUNT(I59:L59)=4,SUM(I59:L59),"")</f>
        <v>6.4</v>
      </c>
      <c r="N59" s="11">
        <f>IF(SUMPRODUCT((Inputs!$B$4:$B$200=$B59)*ISNUMBER(INDEX(Inputs!$D$4:$AG$200,0,MATCH(N$2,Inputs!$D$2:$AG$2,0))))=0,"",SUMIFS(INDEX(Inputs!$D$4:$AG$200,0,MATCH(N$2,Inputs!$D$2:$AG$2,0)),Inputs!$B$4:$B$200,$B59)/1000)</f>
        <v>2</v>
      </c>
      <c r="O59" s="11">
        <f>IF(SUMPRODUCT((Inputs!$B$4:$B$200=$B59)*ISNUMBER(INDEX(Inputs!$D$4:$AG$200,0,MATCH(O$2,Inputs!$D$2:$AG$2,0))))=0,"",SUMIFS(INDEX(Inputs!$D$4:$AG$200,0,MATCH(O$2,Inputs!$D$2:$AG$2,0)),Inputs!$B$4:$B$200,$B59)/1000)</f>
        <v>1.3</v>
      </c>
      <c r="P59" s="11">
        <f>IF(SUMPRODUCT((Inputs!$B$4:$B$200=$B59)*ISNUMBER(INDEX(Inputs!$D$4:$AG$200,0,MATCH(P$2,Inputs!$D$2:$AG$2,0))))=0,"",SUMIFS(INDEX(Inputs!$D$4:$AG$200,0,MATCH(P$2,Inputs!$D$2:$AG$2,0)),Inputs!$B$4:$B$200,$B59)/1000)</f>
        <v>1.9</v>
      </c>
      <c r="Q59" s="11">
        <f>IF(SUMPRODUCT((Inputs!$B$4:$B$200=$B59)*ISNUMBER(INDEX(Inputs!$D$4:$AG$200,0,MATCH(Q$2,Inputs!$D$2:$AG$2,0))))=0,"",SUMIFS(INDEX(Inputs!$D$4:$AG$200,0,MATCH(Q$2,Inputs!$D$2:$AG$2,0)),Inputs!$B$4:$B$200,$B59)/1000)</f>
        <v>6</v>
      </c>
      <c r="R59" s="12">
        <f>IF(COUNT(N59:Q59)=4,SUM(N59:Q59),"")</f>
        <v>11.2</v>
      </c>
      <c r="S59" s="11">
        <f>IF(SUMPRODUCT((Inputs!$B$4:$B$200=$B59)*ISNUMBER(INDEX(Inputs!$D$4:$AG$200,0,MATCH(S$2,Inputs!$D$2:$AG$2,0))))=0,"",SUMIFS(INDEX(Inputs!$D$4:$AG$200,0,MATCH(S$2,Inputs!$D$2:$AG$2,0)),Inputs!$B$4:$B$200,$B59)/1000)</f>
        <v>1.5</v>
      </c>
      <c r="T59" s="11">
        <f>IF(SUMPRODUCT((Inputs!$B$4:$B$200=$B59)*ISNUMBER(INDEX(Inputs!$D$4:$AG$200,0,MATCH(T$2,Inputs!$D$2:$AG$2,0))))=0,"",SUMIFS(INDEX(Inputs!$D$4:$AG$200,0,MATCH(T$2,Inputs!$D$2:$AG$2,0)),Inputs!$B$4:$B$200,$B59)/1000)</f>
        <v>1.6</v>
      </c>
      <c r="U59" s="11">
        <f>IF(SUMPRODUCT((Inputs!$B$4:$B$200=$B59)*ISNUMBER(INDEX(Inputs!$D$4:$AG$200,0,MATCH(U$2,Inputs!$D$2:$AG$2,0))))=0,"",SUMIFS(INDEX(Inputs!$D$4:$AG$200,0,MATCH(U$2,Inputs!$D$2:$AG$2,0)),Inputs!$B$4:$B$200,$B59)/1000)</f>
        <v>2.4</v>
      </c>
      <c r="V59" s="11">
        <f>IF(SUMPRODUCT((Inputs!$B$4:$B$200=$B59)*ISNUMBER(INDEX(Inputs!$D$4:$AG$200,0,MATCH(V$2,Inputs!$D$2:$AG$2,0))))=0,"",SUMIFS(INDEX(Inputs!$D$4:$AG$200,0,MATCH(V$2,Inputs!$D$2:$AG$2,0)),Inputs!$B$4:$B$200,$B59)/1000)</f>
        <v>2.3</v>
      </c>
      <c r="W59" s="12">
        <f>IF(COUNT(S59:V59)=4,SUM(S59:V59),"")</f>
        <v>7.8</v>
      </c>
      <c r="X59" s="11">
        <f>IF(SUMPRODUCT((Inputs!$B$4:$B$200=$B59)*ISNUMBER(INDEX(Inputs!$D$4:$AG$200,0,MATCH(X$2,Inputs!$D$2:$AG$2,0))))=0,"",SUMIFS(INDEX(Inputs!$D$4:$AG$200,0,MATCH(X$2,Inputs!$D$2:$AG$2,0)),Inputs!$B$4:$B$200,$B59)/1000)</f>
        <v>2.6</v>
      </c>
      <c r="Y59" s="11">
        <f>IF(SUMPRODUCT((Inputs!$B$4:$B$200=$B59)*ISNUMBER(INDEX(Inputs!$D$4:$AG$200,0,MATCH(Y$2,Inputs!$D$2:$AG$2,0))))=0,"",SUMIFS(INDEX(Inputs!$D$4:$AG$200,0,MATCH(Y$2,Inputs!$D$2:$AG$2,0)),Inputs!$B$4:$B$200,$B59)/1000)</f>
        <v>3.2</v>
      </c>
      <c r="Z59" s="11">
        <f>IF(SUMPRODUCT((Inputs!$B$4:$B$200=$B59)*ISNUMBER(INDEX(Inputs!$D$4:$AG$200,0,MATCH(Z$2,Inputs!$D$2:$AG$2,0))))=0,"",SUMIFS(INDEX(Inputs!$D$4:$AG$200,0,MATCH(Z$2,Inputs!$D$2:$AG$2,0)),Inputs!$B$4:$B$200,$B59)/1000)</f>
        <v>1.8</v>
      </c>
      <c r="AA59" s="11">
        <f>IF(SUMPRODUCT((Inputs!$B$4:$B$200=$B59)*ISNUMBER(INDEX(Inputs!$D$4:$AG$200,0,MATCH(AA$2,Inputs!$D$2:$AG$2,0))))=0,"",SUMIFS(INDEX(Inputs!$D$4:$AG$200,0,MATCH(AA$2,Inputs!$D$2:$AG$2,0)),Inputs!$B$4:$B$200,$B59)/1000)</f>
        <v>2.3</v>
      </c>
      <c r="AB59" s="12">
        <f>IF(COUNT(X59:AA59)=4,SUM(X59:AA59),"")</f>
        <v>9.9</v>
      </c>
      <c r="AC59" s="11">
        <f>IF(SUMPRODUCT((Inputs!$B$4:$B$200=$B59)*ISNUMBER(INDEX(Inputs!$D$4:$AG$200,0,MATCH(AC$2,Inputs!$D$2:$AG$2,0))))=0,"",SUMIFS(INDEX(Inputs!$D$4:$AG$200,0,MATCH(AC$2,Inputs!$D$2:$AG$2,0)),Inputs!$B$4:$B$200,$B59)/1000)</f>
        <v>2.4</v>
      </c>
      <c r="AD59" s="11">
        <f>IF(SUMPRODUCT((Inputs!$B$4:$B$200=$B59)*ISNUMBER(INDEX(Inputs!$D$4:$AG$200,0,MATCH(AD$2,Inputs!$D$2:$AG$2,0))))=0,"",SUMIFS(INDEX(Inputs!$D$4:$AG$200,0,MATCH(AD$2,Inputs!$D$2:$AG$2,0)),Inputs!$B$4:$B$200,$B59)/1000)</f>
        <v>2.4</v>
      </c>
      <c r="AE59" s="11" t="str">
        <f>IF(SUMPRODUCT((Inputs!$B$4:$B$200=$B59)*ISNUMBER(INDEX(Inputs!$D$4:$AG$200,0,MATCH(AE$2,Inputs!$D$2:$AG$2,0))))=0,"",SUMIFS(INDEX(Inputs!$D$4:$AG$200,0,MATCH(AE$2,Inputs!$D$2:$AG$2,0)),Inputs!$B$4:$B$200,$B59)/1000)</f>
        <v/>
      </c>
      <c r="AF59" s="11" t="str">
        <f>IF(SUMPRODUCT((Inputs!$B$4:$B$200=$B59)*ISNUMBER(INDEX(Inputs!$D$4:$AG$200,0,MATCH(AF$2,Inputs!$D$2:$AG$2,0))))=0,"",SUMIFS(INDEX(Inputs!$D$4:$AG$200,0,MATCH(AF$2,Inputs!$D$2:$AG$2,0)),Inputs!$B$4:$B$200,$B59)/1000)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Deducoes da receita - COFINS e PASEP (R$ mi)</t>
        </is>
      </c>
      <c r="D60" s="11">
        <f>IF(SUMPRODUCT((Inputs!$B$4:$B$200=$B60)*ISNUMBER(INDEX(Inputs!$D$4:$AG$200,0,MATCH(D$2,Inputs!$D$2:$AG$2,0))))=0,"",SUMIFS(INDEX(Inputs!$D$4:$AG$200,0,MATCH(D$2,Inputs!$D$2:$AG$2,0)),Inputs!$B$4:$B$200,$B60)/1000)</f>
        <v>-92</v>
      </c>
      <c r="E60" s="11">
        <f>IF(SUMPRODUCT((Inputs!$B$4:$B$200=$B60)*ISNUMBER(INDEX(Inputs!$D$4:$AG$200,0,MATCH(E$2,Inputs!$D$2:$AG$2,0))))=0,"",SUMIFS(INDEX(Inputs!$D$4:$AG$200,0,MATCH(E$2,Inputs!$D$2:$AG$2,0)),Inputs!$B$4:$B$200,$B60)/1000)</f>
        <v>-97.2</v>
      </c>
      <c r="F60" s="11">
        <f>IF(SUMPRODUCT((Inputs!$B$4:$B$200=$B60)*ISNUMBER(INDEX(Inputs!$D$4:$AG$200,0,MATCH(F$2,Inputs!$D$2:$AG$2,0))))=0,"",SUMIFS(INDEX(Inputs!$D$4:$AG$200,0,MATCH(F$2,Inputs!$D$2:$AG$2,0)),Inputs!$B$4:$B$200,$B60)/1000)</f>
        <v>-99.3</v>
      </c>
      <c r="G60" s="11">
        <f>IF(SUMPRODUCT((Inputs!$B$4:$B$200=$B60)*ISNUMBER(INDEX(Inputs!$D$4:$AG$200,0,MATCH(G$2,Inputs!$D$2:$AG$2,0))))=0,"",SUMIFS(INDEX(Inputs!$D$4:$AG$200,0,MATCH(G$2,Inputs!$D$2:$AG$2,0)),Inputs!$B$4:$B$200,$B60)/1000)</f>
        <v>-101</v>
      </c>
      <c r="H60" s="12">
        <f>IF(COUNT(D60:G60)=4,SUM(D60:G60),"")</f>
        <v>-389.5</v>
      </c>
      <c r="I60" s="11">
        <f>IF(SUMPRODUCT((Inputs!$B$4:$B$200=$B60)*ISNUMBER(INDEX(Inputs!$D$4:$AG$200,0,MATCH(I$2,Inputs!$D$2:$AG$2,0))))=0,"",SUMIFS(INDEX(Inputs!$D$4:$AG$200,0,MATCH(I$2,Inputs!$D$2:$AG$2,0)),Inputs!$B$4:$B$200,$B60)/1000)</f>
        <v>-105.2</v>
      </c>
      <c r="J60" s="11">
        <f>IF(SUMPRODUCT((Inputs!$B$4:$B$200=$B60)*ISNUMBER(INDEX(Inputs!$D$4:$AG$200,0,MATCH(J$2,Inputs!$D$2:$AG$2,0))))=0,"",SUMIFS(INDEX(Inputs!$D$4:$AG$200,0,MATCH(J$2,Inputs!$D$2:$AG$2,0)),Inputs!$B$4:$B$200,$B60)/1000)</f>
        <v>-102.5</v>
      </c>
      <c r="K60" s="11">
        <f>IF(SUMPRODUCT((Inputs!$B$4:$B$200=$B60)*ISNUMBER(INDEX(Inputs!$D$4:$AG$200,0,MATCH(K$2,Inputs!$D$2:$AG$2,0))))=0,"",SUMIFS(INDEX(Inputs!$D$4:$AG$200,0,MATCH(K$2,Inputs!$D$2:$AG$2,0)),Inputs!$B$4:$B$200,$B60)/1000)</f>
        <v>-111.6</v>
      </c>
      <c r="L60" s="11">
        <f>IF(SUMPRODUCT((Inputs!$B$4:$B$200=$B60)*ISNUMBER(INDEX(Inputs!$D$4:$AG$200,0,MATCH(L$2,Inputs!$D$2:$AG$2,0))))=0,"",SUMIFS(INDEX(Inputs!$D$4:$AG$200,0,MATCH(L$2,Inputs!$D$2:$AG$2,0)),Inputs!$B$4:$B$200,$B60)/1000)</f>
        <v>-117.1</v>
      </c>
      <c r="M60" s="12">
        <f>IF(COUNT(I60:L60)=4,SUM(I60:L60),"")</f>
        <v>-436.4</v>
      </c>
      <c r="N60" s="11">
        <f>IF(SUMPRODUCT((Inputs!$B$4:$B$200=$B60)*ISNUMBER(INDEX(Inputs!$D$4:$AG$200,0,MATCH(N$2,Inputs!$D$2:$AG$2,0))))=0,"",SUMIFS(INDEX(Inputs!$D$4:$AG$200,0,MATCH(N$2,Inputs!$D$2:$AG$2,0)),Inputs!$B$4:$B$200,$B60)/1000)</f>
        <v>-113.1</v>
      </c>
      <c r="O60" s="11">
        <f>IF(SUMPRODUCT((Inputs!$B$4:$B$200=$B60)*ISNUMBER(INDEX(Inputs!$D$4:$AG$200,0,MATCH(O$2,Inputs!$D$2:$AG$2,0))))=0,"",SUMIFS(INDEX(Inputs!$D$4:$AG$200,0,MATCH(O$2,Inputs!$D$2:$AG$2,0)),Inputs!$B$4:$B$200,$B60)/1000)</f>
        <v>-120.3</v>
      </c>
      <c r="P60" s="11">
        <f>IF(SUMPRODUCT((Inputs!$B$4:$B$200=$B60)*ISNUMBER(INDEX(Inputs!$D$4:$AG$200,0,MATCH(P$2,Inputs!$D$2:$AG$2,0))))=0,"",SUMIFS(INDEX(Inputs!$D$4:$AG$200,0,MATCH(P$2,Inputs!$D$2:$AG$2,0)),Inputs!$B$4:$B$200,$B60)/1000)</f>
        <v>-124.7</v>
      </c>
      <c r="Q60" s="11">
        <f>IF(SUMPRODUCT((Inputs!$B$4:$B$200=$B60)*ISNUMBER(INDEX(Inputs!$D$4:$AG$200,0,MATCH(Q$2,Inputs!$D$2:$AG$2,0))))=0,"",SUMIFS(INDEX(Inputs!$D$4:$AG$200,0,MATCH(Q$2,Inputs!$D$2:$AG$2,0)),Inputs!$B$4:$B$200,$B60)/1000)</f>
        <v>-132.2</v>
      </c>
      <c r="R60" s="12">
        <f>IF(COUNT(N60:Q60)=4,SUM(N60:Q60),"")</f>
        <v>-490.3</v>
      </c>
      <c r="S60" s="11">
        <f>IF(SUMPRODUCT((Inputs!$B$4:$B$200=$B60)*ISNUMBER(INDEX(Inputs!$D$4:$AG$200,0,MATCH(S$2,Inputs!$D$2:$AG$2,0))))=0,"",SUMIFS(INDEX(Inputs!$D$4:$AG$200,0,MATCH(S$2,Inputs!$D$2:$AG$2,0)),Inputs!$B$4:$B$200,$B60)/1000)</f>
        <v>-131.6</v>
      </c>
      <c r="T60" s="11">
        <f>IF(SUMPRODUCT((Inputs!$B$4:$B$200=$B60)*ISNUMBER(INDEX(Inputs!$D$4:$AG$200,0,MATCH(T$2,Inputs!$D$2:$AG$2,0))))=0,"",SUMIFS(INDEX(Inputs!$D$4:$AG$200,0,MATCH(T$2,Inputs!$D$2:$AG$2,0)),Inputs!$B$4:$B$200,$B60)/1000)</f>
        <v>-126.4</v>
      </c>
      <c r="U60" s="11">
        <f>IF(SUMPRODUCT((Inputs!$B$4:$B$200=$B60)*ISNUMBER(INDEX(Inputs!$D$4:$AG$200,0,MATCH(U$2,Inputs!$D$2:$AG$2,0))))=0,"",SUMIFS(INDEX(Inputs!$D$4:$AG$200,0,MATCH(U$2,Inputs!$D$2:$AG$2,0)),Inputs!$B$4:$B$200,$B60)/1000)</f>
        <v>-131.2</v>
      </c>
      <c r="V60" s="11">
        <f>IF(SUMPRODUCT((Inputs!$B$4:$B$200=$B60)*ISNUMBER(INDEX(Inputs!$D$4:$AG$200,0,MATCH(V$2,Inputs!$D$2:$AG$2,0))))=0,"",SUMIFS(INDEX(Inputs!$D$4:$AG$200,0,MATCH(V$2,Inputs!$D$2:$AG$2,0)),Inputs!$B$4:$B$200,$B60)/1000)</f>
        <v>-137.2</v>
      </c>
      <c r="W60" s="12">
        <f>IF(COUNT(S60:V60)=4,SUM(S60:V60),"")</f>
        <v>-526.4</v>
      </c>
      <c r="X60" s="11">
        <f>IF(SUMPRODUCT((Inputs!$B$4:$B$200=$B60)*ISNUMBER(INDEX(Inputs!$D$4:$AG$200,0,MATCH(X$2,Inputs!$D$2:$AG$2,0))))=0,"",SUMIFS(INDEX(Inputs!$D$4:$AG$200,0,MATCH(X$2,Inputs!$D$2:$AG$2,0)),Inputs!$B$4:$B$200,$B60)/1000)</f>
        <v>-138.5</v>
      </c>
      <c r="Y60" s="11">
        <f>IF(SUMPRODUCT((Inputs!$B$4:$B$200=$B60)*ISNUMBER(INDEX(Inputs!$D$4:$AG$200,0,MATCH(Y$2,Inputs!$D$2:$AG$2,0))))=0,"",SUMIFS(INDEX(Inputs!$D$4:$AG$200,0,MATCH(Y$2,Inputs!$D$2:$AG$2,0)),Inputs!$B$4:$B$200,$B60)/1000)</f>
        <v>-127.8</v>
      </c>
      <c r="Z60" s="11">
        <f>IF(SUMPRODUCT((Inputs!$B$4:$B$200=$B60)*ISNUMBER(INDEX(Inputs!$D$4:$AG$200,0,MATCH(Z$2,Inputs!$D$2:$AG$2,0))))=0,"",SUMIFS(INDEX(Inputs!$D$4:$AG$200,0,MATCH(Z$2,Inputs!$D$2:$AG$2,0)),Inputs!$B$4:$B$200,$B60)/1000)</f>
        <v>-133.7</v>
      </c>
      <c r="AA60" s="11">
        <f>IF(SUMPRODUCT((Inputs!$B$4:$B$200=$B60)*ISNUMBER(INDEX(Inputs!$D$4:$AG$200,0,MATCH(AA$2,Inputs!$D$2:$AG$2,0))))=0,"",SUMIFS(INDEX(Inputs!$D$4:$AG$200,0,MATCH(AA$2,Inputs!$D$2:$AG$2,0)),Inputs!$B$4:$B$200,$B60)/1000)</f>
        <v>-140.9</v>
      </c>
      <c r="AB60" s="12">
        <f>IF(COUNT(X60:AA60)=4,SUM(X60:AA60),"")</f>
        <v>-540.9</v>
      </c>
      <c r="AC60" s="11">
        <f>IF(SUMPRODUCT((Inputs!$B$4:$B$200=$B60)*ISNUMBER(INDEX(Inputs!$D$4:$AG$200,0,MATCH(AC$2,Inputs!$D$2:$AG$2,0))))=0,"",SUMIFS(INDEX(Inputs!$D$4:$AG$200,0,MATCH(AC$2,Inputs!$D$2:$AG$2,0)),Inputs!$B$4:$B$200,$B60)/1000)</f>
        <v>-146.1</v>
      </c>
      <c r="AD60" s="11">
        <f>IF(SUMPRODUCT((Inputs!$B$4:$B$200=$B60)*ISNUMBER(INDEX(Inputs!$D$4:$AG$200,0,MATCH(AD$2,Inputs!$D$2:$AG$2,0))))=0,"",SUMIFS(INDEX(Inputs!$D$4:$AG$200,0,MATCH(AD$2,Inputs!$D$2:$AG$2,0)),Inputs!$B$4:$B$200,$B60)/1000)</f>
        <v>-138.9</v>
      </c>
      <c r="AE60" s="11" t="str">
        <f>IF(SUMPRODUCT((Inputs!$B$4:$B$200=$B60)*ISNUMBER(INDEX(Inputs!$D$4:$AG$200,0,MATCH(AE$2,Inputs!$D$2:$AG$2,0))))=0,"",SUMIFS(INDEX(Inputs!$D$4:$AG$200,0,MATCH(AE$2,Inputs!$D$2:$AG$2,0)),Inputs!$B$4:$B$200,$B60)/1000)</f>
        <v/>
      </c>
      <c r="AF60" s="11" t="str">
        <f>IF(SUMPRODUCT((Inputs!$B$4:$B$200=$B60)*ISNUMBER(INDEX(Inputs!$D$4:$AG$200,0,MATCH(AF$2,Inputs!$D$2:$AG$2,0))))=0,"",SUMIFS(INDEX(Inputs!$D$4:$AG$200,0,MATCH(AF$2,Inputs!$D$2:$AG$2,0)),Inputs!$B$4:$B$200,$B60)/1000)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Volume faturado de agua (milhoes de m3)</t>
        </is>
      </c>
      <c r="D61" s="11">
        <f>IF(SUMPRODUCT((Inputs!$B$4:$B$200=$B61)*ISNUMBER(INDEX(Inputs!$D$4:$AG$200,0,MATCH(D$2,Inputs!$D$2:$AG$2,0))))=0,"",SUMIFS(INDEX(Inputs!$D$4:$AG$200,0,MATCH(D$2,Inputs!$D$2:$AG$2,0)),Inputs!$B$4:$B$200,$B61)/1000)</f>
        <v>130.4</v>
      </c>
      <c r="E61" s="11">
        <f>IF(SUMPRODUCT((Inputs!$B$4:$B$200=$B61)*ISNUMBER(INDEX(Inputs!$D$4:$AG$200,0,MATCH(E$2,Inputs!$D$2:$AG$2,0))))=0,"",SUMIFS(INDEX(Inputs!$D$4:$AG$200,0,MATCH(E$2,Inputs!$D$2:$AG$2,0)),Inputs!$B$4:$B$200,$B61)/1000)</f>
        <v>130</v>
      </c>
      <c r="F61" s="11">
        <f>IF(SUMPRODUCT((Inputs!$B$4:$B$200=$B61)*ISNUMBER(INDEX(Inputs!$D$4:$AG$200,0,MATCH(F$2,Inputs!$D$2:$AG$2,0))))=0,"",SUMIFS(INDEX(Inputs!$D$4:$AG$200,0,MATCH(F$2,Inputs!$D$2:$AG$2,0)),Inputs!$B$4:$B$200,$B61)/1000)</f>
        <v>127.9</v>
      </c>
      <c r="G61" s="11">
        <f>IF(SUMPRODUCT((Inputs!$B$4:$B$200=$B61)*ISNUMBER(INDEX(Inputs!$D$4:$AG$200,0,MATCH(G$2,Inputs!$D$2:$AG$2,0))))=0,"",SUMIFS(INDEX(Inputs!$D$4:$AG$200,0,MATCH(G$2,Inputs!$D$2:$AG$2,0)),Inputs!$B$4:$B$200,$B61)/1000)</f>
        <v>133.2</v>
      </c>
      <c r="H61" s="12">
        <f>IF(COUNT(D61:G61)=4,SUM(D61:G61),"")</f>
        <v>521.5</v>
      </c>
      <c r="I61" s="11">
        <f>IF(SUMPRODUCT((Inputs!$B$4:$B$200=$B61)*ISNUMBER(INDEX(Inputs!$D$4:$AG$200,0,MATCH(I$2,Inputs!$D$2:$AG$2,0))))=0,"",SUMIFS(INDEX(Inputs!$D$4:$AG$200,0,MATCH(I$2,Inputs!$D$2:$AG$2,0)),Inputs!$B$4:$B$200,$B61)/1000)</f>
        <v>137</v>
      </c>
      <c r="J61" s="11">
        <f>IF(SUMPRODUCT((Inputs!$B$4:$B$200=$B61)*ISNUMBER(INDEX(Inputs!$D$4:$AG$200,0,MATCH(J$2,Inputs!$D$2:$AG$2,0))))=0,"",SUMIFS(INDEX(Inputs!$D$4:$AG$200,0,MATCH(J$2,Inputs!$D$2:$AG$2,0)),Inputs!$B$4:$B$200,$B61)/1000)</f>
        <v>130</v>
      </c>
      <c r="K61" s="11">
        <f>IF(SUMPRODUCT((Inputs!$B$4:$B$200=$B61)*ISNUMBER(INDEX(Inputs!$D$4:$AG$200,0,MATCH(K$2,Inputs!$D$2:$AG$2,0))))=0,"",SUMIFS(INDEX(Inputs!$D$4:$AG$200,0,MATCH(K$2,Inputs!$D$2:$AG$2,0)),Inputs!$B$4:$B$200,$B61)/1000)</f>
        <v>132</v>
      </c>
      <c r="L61" s="11">
        <f>IF(SUMPRODUCT((Inputs!$B$4:$B$200=$B61)*ISNUMBER(INDEX(Inputs!$D$4:$AG$200,0,MATCH(L$2,Inputs!$D$2:$AG$2,0))))=0,"",SUMIFS(INDEX(Inputs!$D$4:$AG$200,0,MATCH(L$2,Inputs!$D$2:$AG$2,0)),Inputs!$B$4:$B$200,$B61)/1000)</f>
        <v>135.6</v>
      </c>
      <c r="M61" s="12">
        <f>IF(COUNT(I61:L61)=4,SUM(I61:L61),"")</f>
        <v>534.6</v>
      </c>
      <c r="N61" s="11">
        <f>IF(SUMPRODUCT((Inputs!$B$4:$B$200=$B61)*ISNUMBER(INDEX(Inputs!$D$4:$AG$200,0,MATCH(N$2,Inputs!$D$2:$AG$2,0))))=0,"",SUMIFS(INDEX(Inputs!$D$4:$AG$200,0,MATCH(N$2,Inputs!$D$2:$AG$2,0)),Inputs!$B$4:$B$200,$B61)/1000)</f>
        <v>137.4</v>
      </c>
      <c r="O61" s="11">
        <f>IF(SUMPRODUCT((Inputs!$B$4:$B$200=$B61)*ISNUMBER(INDEX(Inputs!$D$4:$AG$200,0,MATCH(O$2,Inputs!$D$2:$AG$2,0))))=0,"",SUMIFS(INDEX(Inputs!$D$4:$AG$200,0,MATCH(O$2,Inputs!$D$2:$AG$2,0)),Inputs!$B$4:$B$200,$B61)/1000)</f>
        <v>139.5</v>
      </c>
      <c r="P61" s="11">
        <f>IF(SUMPRODUCT((Inputs!$B$4:$B$200=$B61)*ISNUMBER(INDEX(Inputs!$D$4:$AG$200,0,MATCH(P$2,Inputs!$D$2:$AG$2,0))))=0,"",SUMIFS(INDEX(Inputs!$D$4:$AG$200,0,MATCH(P$2,Inputs!$D$2:$AG$2,0)),Inputs!$B$4:$B$200,$B61)/1000)</f>
        <v>138</v>
      </c>
      <c r="Q61" s="11">
        <f>IF(SUMPRODUCT((Inputs!$B$4:$B$200=$B61)*ISNUMBER(INDEX(Inputs!$D$4:$AG$200,0,MATCH(Q$2,Inputs!$D$2:$AG$2,0))))=0,"",SUMIFS(INDEX(Inputs!$D$4:$AG$200,0,MATCH(Q$2,Inputs!$D$2:$AG$2,0)),Inputs!$B$4:$B$200,$B61)/1000)</f>
        <v>144.7</v>
      </c>
      <c r="R61" s="12">
        <f>IF(COUNT(N61:Q61)=4,SUM(N61:Q61),"")</f>
        <v>559.6</v>
      </c>
      <c r="S61" s="11">
        <f>IF(SUMPRODUCT((Inputs!$B$4:$B$200=$B61)*ISNUMBER(INDEX(Inputs!$D$4:$AG$200,0,MATCH(S$2,Inputs!$D$2:$AG$2,0))))=0,"",SUMIFS(INDEX(Inputs!$D$4:$AG$200,0,MATCH(S$2,Inputs!$D$2:$AG$2,0)),Inputs!$B$4:$B$200,$B61)/1000)</f>
        <v>148.3</v>
      </c>
      <c r="T61" s="11">
        <f>IF(SUMPRODUCT((Inputs!$B$4:$B$200=$B61)*ISNUMBER(INDEX(Inputs!$D$4:$AG$200,0,MATCH(T$2,Inputs!$D$2:$AG$2,0))))=0,"",SUMIFS(INDEX(Inputs!$D$4:$AG$200,0,MATCH(T$2,Inputs!$D$2:$AG$2,0)),Inputs!$B$4:$B$200,$B61)/1000)</f>
        <v>144.3</v>
      </c>
      <c r="U61" s="11">
        <f>IF(SUMPRODUCT((Inputs!$B$4:$B$200=$B61)*ISNUMBER(INDEX(Inputs!$D$4:$AG$200,0,MATCH(U$2,Inputs!$D$2:$AG$2,0))))=0,"",SUMIFS(INDEX(Inputs!$D$4:$AG$200,0,MATCH(U$2,Inputs!$D$2:$AG$2,0)),Inputs!$B$4:$B$200,$B61)/1000)</f>
        <v>142.8</v>
      </c>
      <c r="V61" s="11">
        <f>IF(SUMPRODUCT((Inputs!$B$4:$B$200=$B61)*ISNUMBER(INDEX(Inputs!$D$4:$AG$200,0,MATCH(V$2,Inputs!$D$2:$AG$2,0))))=0,"",SUMIFS(INDEX(Inputs!$D$4:$AG$200,0,MATCH(V$2,Inputs!$D$2:$AG$2,0)),Inputs!$B$4:$B$200,$B61)/1000)</f>
        <v>147.6</v>
      </c>
      <c r="W61" s="12">
        <f>IF(COUNT(S61:V61)=4,SUM(S61:V61),"")</f>
        <v>583</v>
      </c>
      <c r="X61" s="11">
        <f>IF(SUMPRODUCT((Inputs!$B$4:$B$200=$B61)*ISNUMBER(INDEX(Inputs!$D$4:$AG$200,0,MATCH(X$2,Inputs!$D$2:$AG$2,0))))=0,"",SUMIFS(INDEX(Inputs!$D$4:$AG$200,0,MATCH(X$2,Inputs!$D$2:$AG$2,0)),Inputs!$B$4:$B$200,$B61)/1000)</f>
        <v>152.8</v>
      </c>
      <c r="Y61" s="11">
        <f>IF(SUMPRODUCT((Inputs!$B$4:$B$200=$B61)*ISNUMBER(INDEX(Inputs!$D$4:$AG$200,0,MATCH(Y$2,Inputs!$D$2:$AG$2,0))))=0,"",SUMIFS(INDEX(Inputs!$D$4:$AG$200,0,MATCH(Y$2,Inputs!$D$2:$AG$2,0)),Inputs!$B$4:$B$200,$B61)/1000)</f>
        <v>142.2</v>
      </c>
      <c r="Z61" s="11">
        <f>IF(SUMPRODUCT((Inputs!$B$4:$B$200=$B61)*ISNUMBER(INDEX(Inputs!$D$4:$AG$200,0,MATCH(Z$2,Inputs!$D$2:$AG$2,0))))=0,"",SUMIFS(INDEX(Inputs!$D$4:$AG$200,0,MATCH(Z$2,Inputs!$D$2:$AG$2,0)),Inputs!$B$4:$B$200,$B61)/1000)</f>
        <v>144.5</v>
      </c>
      <c r="AA61" s="11">
        <f>IF(SUMPRODUCT((Inputs!$B$4:$B$200=$B61)*ISNUMBER(INDEX(Inputs!$D$4:$AG$200,0,MATCH(AA$2,Inputs!$D$2:$AG$2,0))))=0,"",SUMIFS(INDEX(Inputs!$D$4:$AG$200,0,MATCH(AA$2,Inputs!$D$2:$AG$2,0)),Inputs!$B$4:$B$200,$B61)/1000)</f>
        <v>149.2</v>
      </c>
      <c r="AB61" s="12">
        <f>IF(COUNT(X61:AA61)=4,SUM(X61:AA61),"")</f>
        <v>588.7</v>
      </c>
      <c r="AC61" s="11">
        <f>IF(SUMPRODUCT((Inputs!$B$4:$B$200=$B61)*ISNUMBER(INDEX(Inputs!$D$4:$AG$200,0,MATCH(AC$2,Inputs!$D$2:$AG$2,0))))=0,"",SUMIFS(INDEX(Inputs!$D$4:$AG$200,0,MATCH(AC$2,Inputs!$D$2:$AG$2,0)),Inputs!$B$4:$B$200,$B61)/1000)</f>
        <v>154.7</v>
      </c>
      <c r="AD61" s="11">
        <f>IF(SUMPRODUCT((Inputs!$B$4:$B$200=$B61)*ISNUMBER(INDEX(Inputs!$D$4:$AG$200,0,MATCH(AD$2,Inputs!$D$2:$AG$2,0))))=0,"",SUMIFS(INDEX(Inputs!$D$4:$AG$200,0,MATCH(AD$2,Inputs!$D$2:$AG$2,0)),Inputs!$B$4:$B$200,$B61)/1000)</f>
        <v>149.1</v>
      </c>
      <c r="AE61" s="11" t="str">
        <f>IF(SUMPRODUCT((Inputs!$B$4:$B$200=$B61)*ISNUMBER(INDEX(Inputs!$D$4:$AG$200,0,MATCH(AE$2,Inputs!$D$2:$AG$2,0))))=0,"",SUMIFS(INDEX(Inputs!$D$4:$AG$200,0,MATCH(AE$2,Inputs!$D$2:$AG$2,0)),Inputs!$B$4:$B$200,$B61)/1000)</f>
        <v/>
      </c>
      <c r="AF61" s="11" t="str">
        <f>IF(SUMPRODUCT((Inputs!$B$4:$B$200=$B61)*ISNUMBER(INDEX(Inputs!$D$4:$AG$200,0,MATCH(AF$2,Inputs!$D$2:$AG$2,0))))=0,"",SUMIFS(INDEX(Inputs!$D$4:$AG$200,0,MATCH(AF$2,Inputs!$D$2:$AG$2,0)),Inputs!$B$4:$B$200,$B61)/1000)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Volume faturado de esgoto (milhoes de m3)</t>
        </is>
      </c>
      <c r="D62" s="11">
        <f>IF(SUMPRODUCT((Inputs!$B$4:$B$200=$B62)*ISNUMBER(INDEX(Inputs!$D$4:$AG$200,0,MATCH(D$2,Inputs!$D$2:$AG$2,0))))=0,"",SUMIFS(INDEX(Inputs!$D$4:$AG$200,0,MATCH(D$2,Inputs!$D$2:$AG$2,0)),Inputs!$B$4:$B$200,$B62)/1000)</f>
        <v>98.5</v>
      </c>
      <c r="E62" s="11">
        <f>IF(SUMPRODUCT((Inputs!$B$4:$B$200=$B62)*ISNUMBER(INDEX(Inputs!$D$4:$AG$200,0,MATCH(E$2,Inputs!$D$2:$AG$2,0))))=0,"",SUMIFS(INDEX(Inputs!$D$4:$AG$200,0,MATCH(E$2,Inputs!$D$2:$AG$2,0)),Inputs!$B$4:$B$200,$B62)/1000)</f>
        <v>98.8</v>
      </c>
      <c r="F62" s="11">
        <f>IF(SUMPRODUCT((Inputs!$B$4:$B$200=$B62)*ISNUMBER(INDEX(Inputs!$D$4:$AG$200,0,MATCH(F$2,Inputs!$D$2:$AG$2,0))))=0,"",SUMIFS(INDEX(Inputs!$D$4:$AG$200,0,MATCH(F$2,Inputs!$D$2:$AG$2,0)),Inputs!$B$4:$B$200,$B62)/1000)</f>
        <v>97.7</v>
      </c>
      <c r="G62" s="11">
        <f>IF(SUMPRODUCT((Inputs!$B$4:$B$200=$B62)*ISNUMBER(INDEX(Inputs!$D$4:$AG$200,0,MATCH(G$2,Inputs!$D$2:$AG$2,0))))=0,"",SUMIFS(INDEX(Inputs!$D$4:$AG$200,0,MATCH(G$2,Inputs!$D$2:$AG$2,0)),Inputs!$B$4:$B$200,$B62)/1000)</f>
        <v>101.5</v>
      </c>
      <c r="H62" s="12">
        <f>IF(COUNT(D62:G62)=4,SUM(D62:G62),"")</f>
        <v>396.5</v>
      </c>
      <c r="I62" s="11">
        <f>IF(SUMPRODUCT((Inputs!$B$4:$B$200=$B62)*ISNUMBER(INDEX(Inputs!$D$4:$AG$200,0,MATCH(I$2,Inputs!$D$2:$AG$2,0))))=0,"",SUMIFS(INDEX(Inputs!$D$4:$AG$200,0,MATCH(I$2,Inputs!$D$2:$AG$2,0)),Inputs!$B$4:$B$200,$B62)/1000)</f>
        <v>104.3</v>
      </c>
      <c r="J62" s="11">
        <f>IF(SUMPRODUCT((Inputs!$B$4:$B$200=$B62)*ISNUMBER(INDEX(Inputs!$D$4:$AG$200,0,MATCH(J$2,Inputs!$D$2:$AG$2,0))))=0,"",SUMIFS(INDEX(Inputs!$D$4:$AG$200,0,MATCH(J$2,Inputs!$D$2:$AG$2,0)),Inputs!$B$4:$B$200,$B62)/1000)</f>
        <v>100.7</v>
      </c>
      <c r="K62" s="11">
        <f>IF(SUMPRODUCT((Inputs!$B$4:$B$200=$B62)*ISNUMBER(INDEX(Inputs!$D$4:$AG$200,0,MATCH(K$2,Inputs!$D$2:$AG$2,0))))=0,"",SUMIFS(INDEX(Inputs!$D$4:$AG$200,0,MATCH(K$2,Inputs!$D$2:$AG$2,0)),Inputs!$B$4:$B$200,$B62)/1000)</f>
        <v>102.5</v>
      </c>
      <c r="L62" s="11">
        <f>IF(SUMPRODUCT((Inputs!$B$4:$B$200=$B62)*ISNUMBER(INDEX(Inputs!$D$4:$AG$200,0,MATCH(L$2,Inputs!$D$2:$AG$2,0))))=0,"",SUMIFS(INDEX(Inputs!$D$4:$AG$200,0,MATCH(L$2,Inputs!$D$2:$AG$2,0)),Inputs!$B$4:$B$200,$B62)/1000)</f>
        <v>105.3</v>
      </c>
      <c r="M62" s="12">
        <f>IF(COUNT(I62:L62)=4,SUM(I62:L62),"")</f>
        <v>412.8</v>
      </c>
      <c r="N62" s="11">
        <f>IF(SUMPRODUCT((Inputs!$B$4:$B$200=$B62)*ISNUMBER(INDEX(Inputs!$D$4:$AG$200,0,MATCH(N$2,Inputs!$D$2:$AG$2,0))))=0,"",SUMIFS(INDEX(Inputs!$D$4:$AG$200,0,MATCH(N$2,Inputs!$D$2:$AG$2,0)),Inputs!$B$4:$B$200,$B62)/1000)</f>
        <v>107.3</v>
      </c>
      <c r="O62" s="11">
        <f>IF(SUMPRODUCT((Inputs!$B$4:$B$200=$B62)*ISNUMBER(INDEX(Inputs!$D$4:$AG$200,0,MATCH(O$2,Inputs!$D$2:$AG$2,0))))=0,"",SUMIFS(INDEX(Inputs!$D$4:$AG$200,0,MATCH(O$2,Inputs!$D$2:$AG$2,0)),Inputs!$B$4:$B$200,$B62)/1000)</f>
        <v>109.8</v>
      </c>
      <c r="P62" s="11">
        <f>IF(SUMPRODUCT((Inputs!$B$4:$B$200=$B62)*ISNUMBER(INDEX(Inputs!$D$4:$AG$200,0,MATCH(P$2,Inputs!$D$2:$AG$2,0))))=0,"",SUMIFS(INDEX(Inputs!$D$4:$AG$200,0,MATCH(P$2,Inputs!$D$2:$AG$2,0)),Inputs!$B$4:$B$200,$B62)/1000)</f>
        <v>109.3</v>
      </c>
      <c r="Q62" s="11">
        <f>IF(SUMPRODUCT((Inputs!$B$4:$B$200=$B62)*ISNUMBER(INDEX(Inputs!$D$4:$AG$200,0,MATCH(Q$2,Inputs!$D$2:$AG$2,0))))=0,"",SUMIFS(INDEX(Inputs!$D$4:$AG$200,0,MATCH(Q$2,Inputs!$D$2:$AG$2,0)),Inputs!$B$4:$B$200,$B62)/1000)</f>
        <v>114.8</v>
      </c>
      <c r="R62" s="12">
        <f>IF(COUNT(N62:Q62)=4,SUM(N62:Q62),"")</f>
        <v>441.2</v>
      </c>
      <c r="S62" s="11">
        <f>IF(SUMPRODUCT((Inputs!$B$4:$B$200=$B62)*ISNUMBER(INDEX(Inputs!$D$4:$AG$200,0,MATCH(S$2,Inputs!$D$2:$AG$2,0))))=0,"",SUMIFS(INDEX(Inputs!$D$4:$AG$200,0,MATCH(S$2,Inputs!$D$2:$AG$2,0)),Inputs!$B$4:$B$200,$B62)/1000)</f>
        <v>117.3</v>
      </c>
      <c r="T62" s="11">
        <f>IF(SUMPRODUCT((Inputs!$B$4:$B$200=$B62)*ISNUMBER(INDEX(Inputs!$D$4:$AG$200,0,MATCH(T$2,Inputs!$D$2:$AG$2,0))))=0,"",SUMIFS(INDEX(Inputs!$D$4:$AG$200,0,MATCH(T$2,Inputs!$D$2:$AG$2,0)),Inputs!$B$4:$B$200,$B62)/1000)</f>
        <v>115.6</v>
      </c>
      <c r="U62" s="11">
        <f>IF(SUMPRODUCT((Inputs!$B$4:$B$200=$B62)*ISNUMBER(INDEX(Inputs!$D$4:$AG$200,0,MATCH(U$2,Inputs!$D$2:$AG$2,0))))=0,"",SUMIFS(INDEX(Inputs!$D$4:$AG$200,0,MATCH(U$2,Inputs!$D$2:$AG$2,0)),Inputs!$B$4:$B$200,$B62)/1000)</f>
        <v>114.6</v>
      </c>
      <c r="V62" s="11">
        <f>IF(SUMPRODUCT((Inputs!$B$4:$B$200=$B62)*ISNUMBER(INDEX(Inputs!$D$4:$AG$200,0,MATCH(V$2,Inputs!$D$2:$AG$2,0))))=0,"",SUMIFS(INDEX(Inputs!$D$4:$AG$200,0,MATCH(V$2,Inputs!$D$2:$AG$2,0)),Inputs!$B$4:$B$200,$B62)/1000)</f>
        <v>118.5</v>
      </c>
      <c r="W62" s="12">
        <f>IF(COUNT(S62:V62)=4,SUM(S62:V62),"")</f>
        <v>466</v>
      </c>
      <c r="X62" s="11">
        <f>IF(SUMPRODUCT((Inputs!$B$4:$B$200=$B62)*ISNUMBER(INDEX(Inputs!$D$4:$AG$200,0,MATCH(X$2,Inputs!$D$2:$AG$2,0))))=0,"",SUMIFS(INDEX(Inputs!$D$4:$AG$200,0,MATCH(X$2,Inputs!$D$2:$AG$2,0)),Inputs!$B$4:$B$200,$B62)/1000)</f>
        <v>122.9</v>
      </c>
      <c r="Y62" s="11">
        <f>IF(SUMPRODUCT((Inputs!$B$4:$B$200=$B62)*ISNUMBER(INDEX(Inputs!$D$4:$AG$200,0,MATCH(Y$2,Inputs!$D$2:$AG$2,0))))=0,"",SUMIFS(INDEX(Inputs!$D$4:$AG$200,0,MATCH(Y$2,Inputs!$D$2:$AG$2,0)),Inputs!$B$4:$B$200,$B62)/1000)</f>
        <v>115.7</v>
      </c>
      <c r="Z62" s="11">
        <f>IF(SUMPRODUCT((Inputs!$B$4:$B$200=$B62)*ISNUMBER(INDEX(Inputs!$D$4:$AG$200,0,MATCH(Z$2,Inputs!$D$2:$AG$2,0))))=0,"",SUMIFS(INDEX(Inputs!$D$4:$AG$200,0,MATCH(Z$2,Inputs!$D$2:$AG$2,0)),Inputs!$B$4:$B$200,$B62)/1000)</f>
        <v>118</v>
      </c>
      <c r="AA62" s="11">
        <f>IF(SUMPRODUCT((Inputs!$B$4:$B$200=$B62)*ISNUMBER(INDEX(Inputs!$D$4:$AG$200,0,MATCH(AA$2,Inputs!$D$2:$AG$2,0))))=0,"",SUMIFS(INDEX(Inputs!$D$4:$AG$200,0,MATCH(AA$2,Inputs!$D$2:$AG$2,0)),Inputs!$B$4:$B$200,$B62)/1000)</f>
        <v>121.6</v>
      </c>
      <c r="AB62" s="12">
        <f>IF(COUNT(X62:AA62)=4,SUM(X62:AA62),"")</f>
        <v>478.2</v>
      </c>
      <c r="AC62" s="11">
        <f>IF(SUMPRODUCT((Inputs!$B$4:$B$200=$B62)*ISNUMBER(INDEX(Inputs!$D$4:$AG$200,0,MATCH(AC$2,Inputs!$D$2:$AG$2,0))))=0,"",SUMIFS(INDEX(Inputs!$D$4:$AG$200,0,MATCH(AC$2,Inputs!$D$2:$AG$2,0)),Inputs!$B$4:$B$200,$B62)/1000)</f>
        <v>125.8</v>
      </c>
      <c r="AD62" s="11">
        <f>IF(SUMPRODUCT((Inputs!$B$4:$B$200=$B62)*ISNUMBER(INDEX(Inputs!$D$4:$AG$200,0,MATCH(AD$2,Inputs!$D$2:$AG$2,0))))=0,"",SUMIFS(INDEX(Inputs!$D$4:$AG$200,0,MATCH(AD$2,Inputs!$D$2:$AG$2,0)),Inputs!$B$4:$B$200,$B62)/1000)</f>
        <v>122.4</v>
      </c>
      <c r="AE62" s="11" t="str">
        <f>IF(SUMPRODUCT((Inputs!$B$4:$B$200=$B62)*ISNUMBER(INDEX(Inputs!$D$4:$AG$200,0,MATCH(AE$2,Inputs!$D$2:$AG$2,0))))=0,"",SUMIFS(INDEX(Inputs!$D$4:$AG$200,0,MATCH(AE$2,Inputs!$D$2:$AG$2,0)),Inputs!$B$4:$B$200,$B62)/1000)</f>
        <v/>
      </c>
      <c r="AF62" s="11" t="str">
        <f>IF(SUMPRODUCT((Inputs!$B$4:$B$200=$B62)*ISNUMBER(INDEX(Inputs!$D$4:$AG$200,0,MATCH(AF$2,Inputs!$D$2:$AG$2,0))))=0,"",SUMIFS(INDEX(Inputs!$D$4:$AG$200,0,MATCH(AF$2,Inputs!$D$2:$AG$2,0)),Inputs!$B$4:$B$200,$B62)/1000)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Ligacoes de agua (unidades, fim do periodo)</t>
        </is>
      </c>
      <c r="D63" s="11">
        <f>IF(SUMPRODUCT((Inputs!$B$4:$B$200=$B63)*ISNUMBER(INDEX(Inputs!$D$4:$AG$200,0,MATCH(D$2,Inputs!$D$2:$AG$2,0))))=0,"",SUMIFS(INDEX(Inputs!$D$4:$AG$200,0,MATCH(D$2,Inputs!$D$2:$AG$2,0)),Inputs!$B$4:$B$200,$B63)/1000)</f>
        <v>3293660</v>
      </c>
      <c r="E63" s="11">
        <f>IF(SUMPRODUCT((Inputs!$B$4:$B$200=$B63)*ISNUMBER(INDEX(Inputs!$D$4:$AG$200,0,MATCH(E$2,Inputs!$D$2:$AG$2,0))))=0,"",SUMIFS(INDEX(Inputs!$D$4:$AG$200,0,MATCH(E$2,Inputs!$D$2:$AG$2,0)),Inputs!$B$4:$B$200,$B63)/1000)</f>
        <v>3312137</v>
      </c>
      <c r="F63" s="11">
        <f>IF(SUMPRODUCT((Inputs!$B$4:$B$200=$B63)*ISNUMBER(INDEX(Inputs!$D$4:$AG$200,0,MATCH(F$2,Inputs!$D$2:$AG$2,0))))=0,"",SUMIFS(INDEX(Inputs!$D$4:$AG$200,0,MATCH(F$2,Inputs!$D$2:$AG$2,0)),Inputs!$B$4:$B$200,$B63)/1000)</f>
        <v>3330398</v>
      </c>
      <c r="G63" s="11">
        <f>IF(SUMPRODUCT((Inputs!$B$4:$B$200=$B63)*ISNUMBER(INDEX(Inputs!$D$4:$AG$200,0,MATCH(G$2,Inputs!$D$2:$AG$2,0))))=0,"",SUMIFS(INDEX(Inputs!$D$4:$AG$200,0,MATCH(G$2,Inputs!$D$2:$AG$2,0)),Inputs!$B$4:$B$200,$B63)/1000)</f>
        <v>3348441</v>
      </c>
      <c r="H63" s="12">
        <f>IF(COUNT(D63:G63)=4,SUM(D63:G63),"")</f>
        <v>13284636</v>
      </c>
      <c r="I63" s="11">
        <f>IF(SUMPRODUCT((Inputs!$B$4:$B$200=$B63)*ISNUMBER(INDEX(Inputs!$D$4:$AG$200,0,MATCH(I$2,Inputs!$D$2:$AG$2,0))))=0,"",SUMIFS(INDEX(Inputs!$D$4:$AG$200,0,MATCH(I$2,Inputs!$D$2:$AG$2,0)),Inputs!$B$4:$B$200,$B63)/1000)</f>
        <v>3366868</v>
      </c>
      <c r="J63" s="11">
        <f>IF(SUMPRODUCT((Inputs!$B$4:$B$200=$B63)*ISNUMBER(INDEX(Inputs!$D$4:$AG$200,0,MATCH(J$2,Inputs!$D$2:$AG$2,0))))=0,"",SUMIFS(INDEX(Inputs!$D$4:$AG$200,0,MATCH(J$2,Inputs!$D$2:$AG$2,0)),Inputs!$B$4:$B$200,$B63)/1000)</f>
        <v>3381769</v>
      </c>
      <c r="K63" s="11">
        <f>IF(SUMPRODUCT((Inputs!$B$4:$B$200=$B63)*ISNUMBER(INDEX(Inputs!$D$4:$AG$200,0,MATCH(K$2,Inputs!$D$2:$AG$2,0))))=0,"",SUMIFS(INDEX(Inputs!$D$4:$AG$200,0,MATCH(K$2,Inputs!$D$2:$AG$2,0)),Inputs!$B$4:$B$200,$B63)/1000)</f>
        <v>3397534</v>
      </c>
      <c r="L63" s="11">
        <f>IF(SUMPRODUCT((Inputs!$B$4:$B$200=$B63)*ISNUMBER(INDEX(Inputs!$D$4:$AG$200,0,MATCH(L$2,Inputs!$D$2:$AG$2,0))))=0,"",SUMIFS(INDEX(Inputs!$D$4:$AG$200,0,MATCH(L$2,Inputs!$D$2:$AG$2,0)),Inputs!$B$4:$B$200,$B63)/1000)</f>
        <v>3410686</v>
      </c>
      <c r="M63" s="12">
        <f>IF(COUNT(I63:L63)=4,SUM(I63:L63),"")</f>
        <v>13556857</v>
      </c>
      <c r="N63" s="11">
        <f>IF(SUMPRODUCT((Inputs!$B$4:$B$200=$B63)*ISNUMBER(INDEX(Inputs!$D$4:$AG$200,0,MATCH(N$2,Inputs!$D$2:$AG$2,0))))=0,"",SUMIFS(INDEX(Inputs!$D$4:$AG$200,0,MATCH(N$2,Inputs!$D$2:$AG$2,0)),Inputs!$B$4:$B$200,$B63)/1000)</f>
        <v>3425250</v>
      </c>
      <c r="O63" s="11">
        <f>IF(SUMPRODUCT((Inputs!$B$4:$B$200=$B63)*ISNUMBER(INDEX(Inputs!$D$4:$AG$200,0,MATCH(O$2,Inputs!$D$2:$AG$2,0))))=0,"",SUMIFS(INDEX(Inputs!$D$4:$AG$200,0,MATCH(O$2,Inputs!$D$2:$AG$2,0)),Inputs!$B$4:$B$200,$B63)/1000)</f>
        <v>3436140</v>
      </c>
      <c r="P63" s="11">
        <f>IF(SUMPRODUCT((Inputs!$B$4:$B$200=$B63)*ISNUMBER(INDEX(Inputs!$D$4:$AG$200,0,MATCH(P$2,Inputs!$D$2:$AG$2,0))))=0,"",SUMIFS(INDEX(Inputs!$D$4:$AG$200,0,MATCH(P$2,Inputs!$D$2:$AG$2,0)),Inputs!$B$4:$B$200,$B63)/1000)</f>
        <v>3442529</v>
      </c>
      <c r="Q63" s="11">
        <f>IF(SUMPRODUCT((Inputs!$B$4:$B$200=$B63)*ISNUMBER(INDEX(Inputs!$D$4:$AG$200,0,MATCH(Q$2,Inputs!$D$2:$AG$2,0))))=0,"",SUMIFS(INDEX(Inputs!$D$4:$AG$200,0,MATCH(Q$2,Inputs!$D$2:$AG$2,0)),Inputs!$B$4:$B$200,$B63)/1000)</f>
        <v>3448900</v>
      </c>
      <c r="R63" s="12">
        <f>IF(COUNT(N63:Q63)=4,SUM(N63:Q63),"")</f>
        <v>13752819</v>
      </c>
      <c r="S63" s="11">
        <f>IF(SUMPRODUCT((Inputs!$B$4:$B$200=$B63)*ISNUMBER(INDEX(Inputs!$D$4:$AG$200,0,MATCH(S$2,Inputs!$D$2:$AG$2,0))))=0,"",SUMIFS(INDEX(Inputs!$D$4:$AG$200,0,MATCH(S$2,Inputs!$D$2:$AG$2,0)),Inputs!$B$4:$B$200,$B63)/1000)</f>
        <v>3455943</v>
      </c>
      <c r="T63" s="11">
        <f>IF(SUMPRODUCT((Inputs!$B$4:$B$200=$B63)*ISNUMBER(INDEX(Inputs!$D$4:$AG$200,0,MATCH(T$2,Inputs!$D$2:$AG$2,0))))=0,"",SUMIFS(INDEX(Inputs!$D$4:$AG$200,0,MATCH(T$2,Inputs!$D$2:$AG$2,0)),Inputs!$B$4:$B$200,$B63)/1000)</f>
        <v>3464831</v>
      </c>
      <c r="U63" s="11">
        <f>IF(SUMPRODUCT((Inputs!$B$4:$B$200=$B63)*ISNUMBER(INDEX(Inputs!$D$4:$AG$200,0,MATCH(U$2,Inputs!$D$2:$AG$2,0))))=0,"",SUMIFS(INDEX(Inputs!$D$4:$AG$200,0,MATCH(U$2,Inputs!$D$2:$AG$2,0)),Inputs!$B$4:$B$200,$B63)/1000)</f>
        <v>3474005</v>
      </c>
      <c r="V63" s="11">
        <f>IF(SUMPRODUCT((Inputs!$B$4:$B$200=$B63)*ISNUMBER(INDEX(Inputs!$D$4:$AG$200,0,MATCH(V$2,Inputs!$D$2:$AG$2,0))))=0,"",SUMIFS(INDEX(Inputs!$D$4:$AG$200,0,MATCH(V$2,Inputs!$D$2:$AG$2,0)),Inputs!$B$4:$B$200,$B63)/1000)</f>
        <v>3483526</v>
      </c>
      <c r="W63" s="12">
        <f>IF(COUNT(S63:V63)=4,SUM(S63:V63),"")</f>
        <v>13878305</v>
      </c>
      <c r="X63" s="11">
        <f>IF(SUMPRODUCT((Inputs!$B$4:$B$200=$B63)*ISNUMBER(INDEX(Inputs!$D$4:$AG$200,0,MATCH(X$2,Inputs!$D$2:$AG$2,0))))=0,"",SUMIFS(INDEX(Inputs!$D$4:$AG$200,0,MATCH(X$2,Inputs!$D$2:$AG$2,0)),Inputs!$B$4:$B$200,$B63)/1000)</f>
        <v>3494686</v>
      </c>
      <c r="Y63" s="11">
        <f>IF(SUMPRODUCT((Inputs!$B$4:$B$200=$B63)*ISNUMBER(INDEX(Inputs!$D$4:$AG$200,0,MATCH(Y$2,Inputs!$D$2:$AG$2,0))))=0,"",SUMIFS(INDEX(Inputs!$D$4:$AG$200,0,MATCH(Y$2,Inputs!$D$2:$AG$2,0)),Inputs!$B$4:$B$200,$B63)/1000)</f>
        <v>3506210</v>
      </c>
      <c r="Z63" s="11">
        <f>IF(SUMPRODUCT((Inputs!$B$4:$B$200=$B63)*ISNUMBER(INDEX(Inputs!$D$4:$AG$200,0,MATCH(Z$2,Inputs!$D$2:$AG$2,0))))=0,"",SUMIFS(INDEX(Inputs!$D$4:$AG$200,0,MATCH(Z$2,Inputs!$D$2:$AG$2,0)),Inputs!$B$4:$B$200,$B63)/1000)</f>
        <v>3518097</v>
      </c>
      <c r="AA63" s="11">
        <f>IF(SUMPRODUCT((Inputs!$B$4:$B$200=$B63)*ISNUMBER(INDEX(Inputs!$D$4:$AG$200,0,MATCH(AA$2,Inputs!$D$2:$AG$2,0))))=0,"",SUMIFS(INDEX(Inputs!$D$4:$AG$200,0,MATCH(AA$2,Inputs!$D$2:$AG$2,0)),Inputs!$B$4:$B$200,$B63)/1000)</f>
        <v>3530490</v>
      </c>
      <c r="AB63" s="12">
        <f>IF(COUNT(X63:AA63)=4,SUM(X63:AA63),"")</f>
        <v>14049483</v>
      </c>
      <c r="AC63" s="11">
        <f>IF(SUMPRODUCT((Inputs!$B$4:$B$200=$B63)*ISNUMBER(INDEX(Inputs!$D$4:$AG$200,0,MATCH(AC$2,Inputs!$D$2:$AG$2,0))))=0,"",SUMIFS(INDEX(Inputs!$D$4:$AG$200,0,MATCH(AC$2,Inputs!$D$2:$AG$2,0)),Inputs!$B$4:$B$200,$B63)/1000)</f>
        <v>3542988</v>
      </c>
      <c r="AD63" s="11">
        <f>IF(SUMPRODUCT((Inputs!$B$4:$B$200=$B63)*ISNUMBER(INDEX(Inputs!$D$4:$AG$200,0,MATCH(AD$2,Inputs!$D$2:$AG$2,0))))=0,"",SUMIFS(INDEX(Inputs!$D$4:$AG$200,0,MATCH(AD$2,Inputs!$D$2:$AG$2,0)),Inputs!$B$4:$B$200,$B63)/1000)</f>
        <v>3555133</v>
      </c>
      <c r="AE63" s="11" t="str">
        <f>IF(SUMPRODUCT((Inputs!$B$4:$B$200=$B63)*ISNUMBER(INDEX(Inputs!$D$4:$AG$200,0,MATCH(AE$2,Inputs!$D$2:$AG$2,0))))=0,"",SUMIFS(INDEX(Inputs!$D$4:$AG$200,0,MATCH(AE$2,Inputs!$D$2:$AG$2,0)),Inputs!$B$4:$B$200,$B63)/1000)</f>
        <v/>
      </c>
      <c r="AF63" s="11" t="str">
        <f>IF(SUMPRODUCT((Inputs!$B$4:$B$200=$B63)*ISNUMBER(INDEX(Inputs!$D$4:$AG$200,0,MATCH(AF$2,Inputs!$D$2:$AG$2,0))))=0,"",SUMIFS(INDEX(Inputs!$D$4:$AG$200,0,MATCH(AF$2,Inputs!$D$2:$AG$2,0)),Inputs!$B$4:$B$200,$B63)/1000)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Ligacoes de esgoto (unidades, fim do periodo)</t>
        </is>
      </c>
      <c r="D64" s="11">
        <f>IF(SUMPRODUCT((Inputs!$B$4:$B$200=$B64)*ISNUMBER(INDEX(Inputs!$D$4:$AG$200,0,MATCH(D$2,Inputs!$D$2:$AG$2,0))))=0,"",SUMIFS(INDEX(Inputs!$D$4:$AG$200,0,MATCH(D$2,Inputs!$D$2:$AG$2,0)),Inputs!$B$4:$B$200,$B64)/1000)</f>
        <v>2327211</v>
      </c>
      <c r="E64" s="11">
        <f>IF(SUMPRODUCT((Inputs!$B$4:$B$200=$B64)*ISNUMBER(INDEX(Inputs!$D$4:$AG$200,0,MATCH(E$2,Inputs!$D$2:$AG$2,0))))=0,"",SUMIFS(INDEX(Inputs!$D$4:$AG$200,0,MATCH(E$2,Inputs!$D$2:$AG$2,0)),Inputs!$B$4:$B$200,$B64)/1000)</f>
        <v>2345221</v>
      </c>
      <c r="F64" s="11">
        <f>IF(SUMPRODUCT((Inputs!$B$4:$B$200=$B64)*ISNUMBER(INDEX(Inputs!$D$4:$AG$200,0,MATCH(F$2,Inputs!$D$2:$AG$2,0))))=0,"",SUMIFS(INDEX(Inputs!$D$4:$AG$200,0,MATCH(F$2,Inputs!$D$2:$AG$2,0)),Inputs!$B$4:$B$200,$B64)/1000)</f>
        <v>2361454</v>
      </c>
      <c r="G64" s="11">
        <f>IF(SUMPRODUCT((Inputs!$B$4:$B$200=$B64)*ISNUMBER(INDEX(Inputs!$D$4:$AG$200,0,MATCH(G$2,Inputs!$D$2:$AG$2,0))))=0,"",SUMIFS(INDEX(Inputs!$D$4:$AG$200,0,MATCH(G$2,Inputs!$D$2:$AG$2,0)),Inputs!$B$4:$B$200,$B64)/1000)</f>
        <v>2379696</v>
      </c>
      <c r="H64" s="12">
        <f>IF(COUNT(D64:G64)=4,SUM(D64:G64),"")</f>
        <v>9413582</v>
      </c>
      <c r="I64" s="11">
        <f>IF(SUMPRODUCT((Inputs!$B$4:$B$200=$B64)*ISNUMBER(INDEX(Inputs!$D$4:$AG$200,0,MATCH(I$2,Inputs!$D$2:$AG$2,0))))=0,"",SUMIFS(INDEX(Inputs!$D$4:$AG$200,0,MATCH(I$2,Inputs!$D$2:$AG$2,0)),Inputs!$B$4:$B$200,$B64)/1000)</f>
        <v>2393917</v>
      </c>
      <c r="J64" s="11">
        <f>IF(SUMPRODUCT((Inputs!$B$4:$B$200=$B64)*ISNUMBER(INDEX(Inputs!$D$4:$AG$200,0,MATCH(J$2,Inputs!$D$2:$AG$2,0))))=0,"",SUMIFS(INDEX(Inputs!$D$4:$AG$200,0,MATCH(J$2,Inputs!$D$2:$AG$2,0)),Inputs!$B$4:$B$200,$B64)/1000)</f>
        <v>2407566</v>
      </c>
      <c r="K64" s="11">
        <f>IF(SUMPRODUCT((Inputs!$B$4:$B$200=$B64)*ISNUMBER(INDEX(Inputs!$D$4:$AG$200,0,MATCH(K$2,Inputs!$D$2:$AG$2,0))))=0,"",SUMIFS(INDEX(Inputs!$D$4:$AG$200,0,MATCH(K$2,Inputs!$D$2:$AG$2,0)),Inputs!$B$4:$B$200,$B64)/1000)</f>
        <v>2425700</v>
      </c>
      <c r="L64" s="11">
        <f>IF(SUMPRODUCT((Inputs!$B$4:$B$200=$B64)*ISNUMBER(INDEX(Inputs!$D$4:$AG$200,0,MATCH(L$2,Inputs!$D$2:$AG$2,0))))=0,"",SUMIFS(INDEX(Inputs!$D$4:$AG$200,0,MATCH(L$2,Inputs!$D$2:$AG$2,0)),Inputs!$B$4:$B$200,$B64)/1000)</f>
        <v>2445588</v>
      </c>
      <c r="M64" s="12">
        <f>IF(COUNT(I64:L64)=4,SUM(I64:L64),"")</f>
        <v>9672771</v>
      </c>
      <c r="N64" s="11">
        <f>IF(SUMPRODUCT((Inputs!$B$4:$B$200=$B64)*ISNUMBER(INDEX(Inputs!$D$4:$AG$200,0,MATCH(N$2,Inputs!$D$2:$AG$2,0))))=0,"",SUMIFS(INDEX(Inputs!$D$4:$AG$200,0,MATCH(N$2,Inputs!$D$2:$AG$2,0)),Inputs!$B$4:$B$200,$B64)/1000)</f>
        <v>2460701</v>
      </c>
      <c r="O64" s="11">
        <f>IF(SUMPRODUCT((Inputs!$B$4:$B$200=$B64)*ISNUMBER(INDEX(Inputs!$D$4:$AG$200,0,MATCH(O$2,Inputs!$D$2:$AG$2,0))))=0,"",SUMIFS(INDEX(Inputs!$D$4:$AG$200,0,MATCH(O$2,Inputs!$D$2:$AG$2,0)),Inputs!$B$4:$B$200,$B64)/1000)</f>
        <v>2474886</v>
      </c>
      <c r="P64" s="11">
        <f>IF(SUMPRODUCT((Inputs!$B$4:$B$200=$B64)*ISNUMBER(INDEX(Inputs!$D$4:$AG$200,0,MATCH(P$2,Inputs!$D$2:$AG$2,0))))=0,"",SUMIFS(INDEX(Inputs!$D$4:$AG$200,0,MATCH(P$2,Inputs!$D$2:$AG$2,0)),Inputs!$B$4:$B$200,$B64)/1000)</f>
        <v>2497239</v>
      </c>
      <c r="Q64" s="11">
        <f>IF(SUMPRODUCT((Inputs!$B$4:$B$200=$B64)*ISNUMBER(INDEX(Inputs!$D$4:$AG$200,0,MATCH(Q$2,Inputs!$D$2:$AG$2,0))))=0,"",SUMIFS(INDEX(Inputs!$D$4:$AG$200,0,MATCH(Q$2,Inputs!$D$2:$AG$2,0)),Inputs!$B$4:$B$200,$B64)/1000)</f>
        <v>2517885</v>
      </c>
      <c r="R64" s="12">
        <f>IF(COUNT(N64:Q64)=4,SUM(N64:Q64),"")</f>
        <v>9950711</v>
      </c>
      <c r="S64" s="11">
        <f>IF(SUMPRODUCT((Inputs!$B$4:$B$200=$B64)*ISNUMBER(INDEX(Inputs!$D$4:$AG$200,0,MATCH(S$2,Inputs!$D$2:$AG$2,0))))=0,"",SUMIFS(INDEX(Inputs!$D$4:$AG$200,0,MATCH(S$2,Inputs!$D$2:$AG$2,0)),Inputs!$B$4:$B$200,$B64)/1000)</f>
        <v>2528768</v>
      </c>
      <c r="T64" s="11">
        <f>IF(SUMPRODUCT((Inputs!$B$4:$B$200=$B64)*ISNUMBER(INDEX(Inputs!$D$4:$AG$200,0,MATCH(T$2,Inputs!$D$2:$AG$2,0))))=0,"",SUMIFS(INDEX(Inputs!$D$4:$AG$200,0,MATCH(T$2,Inputs!$D$2:$AG$2,0)),Inputs!$B$4:$B$200,$B64)/1000)</f>
        <v>2540752</v>
      </c>
      <c r="U64" s="11">
        <f>IF(SUMPRODUCT((Inputs!$B$4:$B$200=$B64)*ISNUMBER(INDEX(Inputs!$D$4:$AG$200,0,MATCH(U$2,Inputs!$D$2:$AG$2,0))))=0,"",SUMIFS(INDEX(Inputs!$D$4:$AG$200,0,MATCH(U$2,Inputs!$D$2:$AG$2,0)),Inputs!$B$4:$B$200,$B64)/1000)</f>
        <v>2554414</v>
      </c>
      <c r="V64" s="11">
        <f>IF(SUMPRODUCT((Inputs!$B$4:$B$200=$B64)*ISNUMBER(INDEX(Inputs!$D$4:$AG$200,0,MATCH(V$2,Inputs!$D$2:$AG$2,0))))=0,"",SUMIFS(INDEX(Inputs!$D$4:$AG$200,0,MATCH(V$2,Inputs!$D$2:$AG$2,0)),Inputs!$B$4:$B$200,$B64)/1000)</f>
        <v>2585670</v>
      </c>
      <c r="W64" s="12">
        <f>IF(COUNT(S64:V64)=4,SUM(S64:V64),"")</f>
        <v>10209604</v>
      </c>
      <c r="X64" s="11">
        <f>IF(SUMPRODUCT((Inputs!$B$4:$B$200=$B64)*ISNUMBER(INDEX(Inputs!$D$4:$AG$200,0,MATCH(X$2,Inputs!$D$2:$AG$2,0))))=0,"",SUMIFS(INDEX(Inputs!$D$4:$AG$200,0,MATCH(X$2,Inputs!$D$2:$AG$2,0)),Inputs!$B$4:$B$200,$B64)/1000)</f>
        <v>2596907</v>
      </c>
      <c r="Y64" s="11">
        <f>IF(SUMPRODUCT((Inputs!$B$4:$B$200=$B64)*ISNUMBER(INDEX(Inputs!$D$4:$AG$200,0,MATCH(Y$2,Inputs!$D$2:$AG$2,0))))=0,"",SUMIFS(INDEX(Inputs!$D$4:$AG$200,0,MATCH(Y$2,Inputs!$D$2:$AG$2,0)),Inputs!$B$4:$B$200,$B64)/1000)</f>
        <v>2611716</v>
      </c>
      <c r="Z64" s="11">
        <f>IF(SUMPRODUCT((Inputs!$B$4:$B$200=$B64)*ISNUMBER(INDEX(Inputs!$D$4:$AG$200,0,MATCH(Z$2,Inputs!$D$2:$AG$2,0))))=0,"",SUMIFS(INDEX(Inputs!$D$4:$AG$200,0,MATCH(Z$2,Inputs!$D$2:$AG$2,0)),Inputs!$B$4:$B$200,$B64)/1000)</f>
        <v>2627353</v>
      </c>
      <c r="AA64" s="11">
        <f>IF(SUMPRODUCT((Inputs!$B$4:$B$200=$B64)*ISNUMBER(INDEX(Inputs!$D$4:$AG$200,0,MATCH(AA$2,Inputs!$D$2:$AG$2,0))))=0,"",SUMIFS(INDEX(Inputs!$D$4:$AG$200,0,MATCH(AA$2,Inputs!$D$2:$AG$2,0)),Inputs!$B$4:$B$200,$B64)/1000)</f>
        <v>2652624</v>
      </c>
      <c r="AB64" s="12">
        <f>IF(COUNT(X64:AA64)=4,SUM(X64:AA64),"")</f>
        <v>10488600</v>
      </c>
      <c r="AC64" s="11">
        <f>IF(SUMPRODUCT((Inputs!$B$4:$B$200=$B64)*ISNUMBER(INDEX(Inputs!$D$4:$AG$200,0,MATCH(AC$2,Inputs!$D$2:$AG$2,0))))=0,"",SUMIFS(INDEX(Inputs!$D$4:$AG$200,0,MATCH(AC$2,Inputs!$D$2:$AG$2,0)),Inputs!$B$4:$B$200,$B64)/1000)</f>
        <v>2668200</v>
      </c>
      <c r="AD64" s="11">
        <f>IF(SUMPRODUCT((Inputs!$B$4:$B$200=$B64)*ISNUMBER(INDEX(Inputs!$D$4:$AG$200,0,MATCH(AD$2,Inputs!$D$2:$AG$2,0))))=0,"",SUMIFS(INDEX(Inputs!$D$4:$AG$200,0,MATCH(AD$2,Inputs!$D$2:$AG$2,0)),Inputs!$B$4:$B$200,$B64)/1000)</f>
        <v>2687612</v>
      </c>
      <c r="AE64" s="11" t="str">
        <f>IF(SUMPRODUCT((Inputs!$B$4:$B$200=$B64)*ISNUMBER(INDEX(Inputs!$D$4:$AG$200,0,MATCH(AE$2,Inputs!$D$2:$AG$2,0))))=0,"",SUMIFS(INDEX(Inputs!$D$4:$AG$200,0,MATCH(AE$2,Inputs!$D$2:$AG$2,0)),Inputs!$B$4:$B$200,$B64)/1000)</f>
        <v/>
      </c>
      <c r="AF64" s="11" t="str">
        <f>IF(SUMPRODUCT((Inputs!$B$4:$B$200=$B64)*ISNUMBER(INDEX(Inputs!$D$4:$AG$200,0,MATCH(AF$2,Inputs!$D$2:$AG$2,0))))=0,"",SUMIFS(INDEX(Inputs!$D$4:$AG$200,0,MATCH(AF$2,Inputs!$D$2:$AG$2,0)),Inputs!$B$4:$B$200,$B64)/1000)</f>
        <v/>
      </c>
      <c r="AG64" s="12" t="str">
        <f>IF(COUNT(AC64:AF64)=4,SUM(AC64:AF64),"")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4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721.06104741789</v>
      </c>
      <c r="AK1" s="12">
        <f>IF(AK2="","",SUM(AK2,AK3))</f>
        <v>755.744233632485</v>
      </c>
      <c r="AL1" s="12">
        <f>IF(AL2="","",SUM(AL2,AL3))</f>
        <v>1324.32928105038</v>
      </c>
      <c r="AM1" s="12">
        <f>IF(AM2="","",SUM(AM2,AM3))</f>
        <v>777.886383212013</v>
      </c>
      <c r="AN1" s="12">
        <f>IF(AN2="","",SUM(AN2,AN3))</f>
        <v>759.823997231413</v>
      </c>
      <c r="AO1" s="12">
        <f>IF(AO2="","",SUM(AO2,AO3))</f>
        <v>769.211123301036</v>
      </c>
      <c r="AP1" s="12">
        <f>IF(AP2="","",SUM(AP2,AP3))</f>
        <v>806.210338171016</v>
      </c>
      <c r="AQ1" s="12">
        <f>IF(AQ2="","",SUM(AQ2,AQ3))</f>
        <v>3113.13184191548</v>
      </c>
      <c r="AR1" s="12">
        <f>IF(AR2="","",SUM(AR2,AR3))</f>
        <v>825.941635472488</v>
      </c>
      <c r="AS1" s="12">
        <f>IF(AS2="","",SUM(AS2,AS3))</f>
        <v>806.763414925998</v>
      </c>
      <c r="AT1" s="12">
        <f>IF(AT2="","",SUM(AT2,AT3))</f>
        <v>816.730446648955</v>
      </c>
      <c r="AU1" s="12">
        <f>IF(AU2="","",SUM(AU2,AU3))</f>
        <v>856.015350846308</v>
      </c>
      <c r="AV1" s="12">
        <f>IF(AV2="","",SUM(AV2,AV3))</f>
        <v>3305.45084789375</v>
      </c>
      <c r="AW1" s="12">
        <f>IF(AW2="","",SUM(AW2,AW3))</f>
        <v>872.835874367152</v>
      </c>
      <c r="AX1" s="12">
        <f>IF(AX2="","",SUM(AX2,AX3))</f>
        <v>852.568777782385</v>
      </c>
      <c r="AY1" s="12">
        <f>IF(AY2="","",SUM(AY2,AY3))</f>
        <v>863.101704656541</v>
      </c>
      <c r="AZ1" s="12">
        <f>IF(AZ2="","",SUM(AZ2,AZ3))</f>
        <v>904.617075999833</v>
      </c>
      <c r="BA1" s="12">
        <f>IF(BA2="","",SUM(BA2,BA3))</f>
        <v>3493.12343280591</v>
      </c>
      <c r="BB1" s="12">
        <f>IF(BB2="","",SUM(BB2,BB3))</f>
        <v>918.028433934856</v>
      </c>
      <c r="BC1" s="12">
        <f>IF(BC2="","",SUM(BC2,BC3))</f>
        <v>896.711974008629</v>
      </c>
      <c r="BD1" s="12">
        <f>IF(BD2="","",SUM(BD2,BD3))</f>
        <v>907.790261057775</v>
      </c>
      <c r="BE1" s="12">
        <f>IF(BE2="","",SUM(BE2,BE3))</f>
        <v>951.455161250082</v>
      </c>
      <c r="BF1" s="12">
        <f>IF(BF2="","",SUM(BF2,BF3))</f>
        <v>3673.98583025134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IF(COUNT(I199,I275)&lt;2,"",ABS(I199-I275))</f>
        <v>0</v>
      </c>
      <c r="J2" s="12">
        <f>IF(COUNT(J199,J275)&lt;2,"",ABS(J199-J275))</f>
        <v>0</v>
      </c>
      <c r="K2" s="12">
        <f>IF(COUNT(K199,K275)&lt;2,"",ABS(K199-K275))</f>
        <v>0</v>
      </c>
      <c r="L2" s="12">
        <f>IF(COUNT(L199,L275)&lt;2,"",ABS(L199-L275))</f>
        <v>0</v>
      </c>
      <c r="M2" s="12">
        <f>IF(COUNT(M199,M275)&lt;2,"",ABS(M199-M275))</f>
        <v>0</v>
      </c>
      <c r="N2" s="12">
        <f>IF(COUNT(N199,N275)&lt;2,"",ABS(N199-N275))</f>
        <v>0</v>
      </c>
      <c r="O2" s="12">
        <f>IF(COUNT(O199,O275)&lt;2,"",ABS(O199-O275))</f>
        <v>0</v>
      </c>
      <c r="P2" s="12">
        <f>IF(COUNT(P199,P275)&lt;2,"",ABS(P199-P275))</f>
        <v>0</v>
      </c>
      <c r="Q2" s="12">
        <f>IF(COUNT(Q199,Q275)&lt;2,"",ABS(Q199-Q275))</f>
        <v>0</v>
      </c>
      <c r="R2" s="12">
        <f>IF(COUNT(R199,R275)&lt;2,"",ABS(R199-R275))</f>
        <v>0</v>
      </c>
      <c r="S2" s="12">
        <f>IF(COUNT(S199,S275)&lt;2,"",ABS(S199-S275))</f>
        <v>0</v>
      </c>
      <c r="T2" s="12">
        <f>IF(COUNT(T199,T275)&lt;2,"",ABS(T199-T275))</f>
        <v>0</v>
      </c>
      <c r="U2" s="12">
        <f>IF(COUNT(U199,U275)&lt;2,"",ABS(U199-U275))</f>
        <v>0</v>
      </c>
      <c r="V2" s="12">
        <f>IF(COUNT(V199,V275)&lt;2,"",ABS(V199-V275))</f>
        <v>0</v>
      </c>
      <c r="W2" s="12">
        <f>IF(COUNT(W199,W275)&lt;2,"",ABS(W199-W275))</f>
        <v>0</v>
      </c>
      <c r="X2" s="12">
        <f>IF(COUNT(X199,X275)&lt;2,"",ABS(X199-X275))</f>
        <v>0</v>
      </c>
      <c r="Y2" s="12">
        <f>IF(COUNT(Y199,Y275)&lt;2,"",ABS(Y199-Y275))</f>
        <v>0</v>
      </c>
      <c r="Z2" s="12">
        <f>IF(COUNT(Z199,Z275)&lt;2,"",ABS(Z199-Z275))</f>
        <v>0</v>
      </c>
      <c r="AA2" s="12">
        <f>IF(COUNT(AA199,AA275)&lt;2,"",ABS(AA199-AA275))</f>
        <v>0</v>
      </c>
      <c r="AB2" s="12">
        <f>IF(COUNT(AB199,AB275)&lt;2,"",ABS(AB199-AB275))</f>
        <v>0</v>
      </c>
      <c r="AC2" s="12">
        <f>IF(COUNT(AC199,AC275)&lt;2,"",ABS(AC199-AC275))</f>
        <v>0</v>
      </c>
      <c r="AD2" s="12">
        <f>IF(COUNT(AD199,AD275)&lt;2,"",ABS(AD199-AD275))</f>
        <v>0</v>
      </c>
      <c r="AE2" s="12">
        <f>IF(COUNT(AE199,AE275)&lt;2,"",ABS(AE199-AE275))</f>
        <v>0</v>
      </c>
      <c r="AF2" s="12">
        <f>IF(COUNT(AF199,AF275)&lt;2,"",ABS(AF199-AF275))</f>
        <v>0</v>
      </c>
      <c r="AG2" s="12">
        <f>IF(COUNT(AG199,AG275)&lt;2,"",ABS(AG199-AG275))</f>
        <v>0</v>
      </c>
      <c r="AH2" s="12">
        <f>IF(COUNT(AH199,AH275)&lt;2,"",ABS(AH199-AH275))</f>
        <v>0</v>
      </c>
      <c r="AI2" s="12">
        <f>IF(COUNT(AI199,AI275)&lt;2,"",ABS(AI199-AI275))</f>
        <v>0</v>
      </c>
      <c r="AJ2" s="12">
        <f>IF(COUNT(AJ199,AJ275)&lt;2,"",ABS(AJ199-AJ275))</f>
        <v>0</v>
      </c>
      <c r="AK2" s="12">
        <f>IF(COUNT(AK199,AK275)&lt;2,"",ABS(AK199-AK275))</f>
        <v>0</v>
      </c>
      <c r="AL2" s="12">
        <f>IF(COUNT(AL199,AL275)&lt;2,"",ABS(AL199-AL275))</f>
        <v>0</v>
      </c>
      <c r="AM2" s="12">
        <f>IF(COUNT(AM199,AM275)&lt;2,"",ABS(AM199-AM275))</f>
        <v>0</v>
      </c>
      <c r="AN2" s="12">
        <f>IF(COUNT(AN199,AN275)&lt;2,"",ABS(AN199-AN275))</f>
        <v>0</v>
      </c>
      <c r="AO2" s="12">
        <f>IF(COUNT(AO199,AO275)&lt;2,"",ABS(AO199-AO275))</f>
        <v>0</v>
      </c>
      <c r="AP2" s="12">
        <f>IF(COUNT(AP199,AP275)&lt;2,"",ABS(AP199-AP275))</f>
        <v>0</v>
      </c>
      <c r="AQ2" s="12">
        <f>IF(COUNT(AQ199,AQ275)&lt;2,"",ABS(AQ199-AQ275))</f>
        <v>0</v>
      </c>
      <c r="AR2" s="12">
        <f>IF(COUNT(AR199,AR275)&lt;2,"",ABS(AR199-AR275))</f>
        <v>0</v>
      </c>
      <c r="AS2" s="12">
        <f>IF(COUNT(AS199,AS275)&lt;2,"",ABS(AS199-AS275))</f>
        <v>0</v>
      </c>
      <c r="AT2" s="12">
        <f>IF(COUNT(AT199,AT275)&lt;2,"",ABS(AT199-AT275))</f>
        <v>0</v>
      </c>
      <c r="AU2" s="12">
        <f>IF(COUNT(AU199,AU275)&lt;2,"",ABS(AU199-AU275))</f>
        <v>0</v>
      </c>
      <c r="AV2" s="12">
        <f>IF(COUNT(AV199,AV275)&lt;2,"",ABS(AV199-AV275))</f>
        <v>0</v>
      </c>
      <c r="AW2" s="12">
        <f>IF(COUNT(AW199,AW275)&lt;2,"",ABS(AW199-AW275))</f>
        <v>0</v>
      </c>
      <c r="AX2" s="12">
        <f>IF(COUNT(AX199,AX275)&lt;2,"",ABS(AX199-AX275))</f>
        <v>0</v>
      </c>
      <c r="AY2" s="12">
        <f>IF(COUNT(AY199,AY275)&lt;2,"",ABS(AY199-AY275))</f>
        <v>0</v>
      </c>
      <c r="AZ2" s="12">
        <f>IF(COUNT(AZ199,AZ275)&lt;2,"",ABS(AZ199-AZ275))</f>
        <v>0</v>
      </c>
      <c r="BA2" s="12">
        <f>IF(COUNT(BA199,BA275)&lt;2,"",ABS(BA199-BA275))</f>
        <v>0</v>
      </c>
      <c r="BB2" s="12">
        <f>IF(COUNT(BB199,BB275)&lt;2,"",ABS(BB199-BB275))</f>
        <v>0</v>
      </c>
      <c r="BC2" s="12">
        <f>IF(COUNT(BC199,BC275)&lt;2,"",ABS(BC199-BC275))</f>
        <v>0</v>
      </c>
      <c r="BD2" s="12">
        <f>IF(COUNT(BD199,BD275)&lt;2,"",ABS(BD199-BD275))</f>
        <v>0</v>
      </c>
      <c r="BE2" s="12">
        <f>IF(COUNT(BE199,BE275)&lt;2,"",ABS(BE199-BE275))</f>
        <v>0</v>
      </c>
      <c r="BF2" s="12">
        <f>IF(COUNT(BF199,BF275)&lt;2,"",ABS(BF199-BF275))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IF(COUNT(I139,I4)&lt;2,"",ABS(I139-I4))</f>
        <v>0</v>
      </c>
      <c r="J3" s="12">
        <f>IF(COUNT(J139,J4)&lt;2,"",ABS(J139-J4))</f>
        <v>0</v>
      </c>
      <c r="K3" s="12">
        <f>IF(COUNT(K139,K4)&lt;2,"",ABS(K139-K4))</f>
        <v>0</v>
      </c>
      <c r="L3" s="12">
        <f>IF(COUNT(L139,L4)&lt;2,"",ABS(L139-L4))</f>
        <v>0</v>
      </c>
      <c r="M3" s="12">
        <f>IF(COUNT(M139,M4)&lt;2,"",ABS(M139-M4))</f>
        <v>0</v>
      </c>
      <c r="N3" s="12">
        <f>IF(COUNT(N139,N4)&lt;2,"",ABS(N139-N4))</f>
        <v>0</v>
      </c>
      <c r="O3" s="12">
        <f>IF(COUNT(O139,O4)&lt;2,"",ABS(O139-O4))</f>
        <v>0</v>
      </c>
      <c r="P3" s="12">
        <f>IF(COUNT(P139,P4)&lt;2,"",ABS(P139-P4))</f>
        <v>0</v>
      </c>
      <c r="Q3" s="12">
        <f>IF(COUNT(Q139,Q4)&lt;2,"",ABS(Q139-Q4))</f>
        <v>0</v>
      </c>
      <c r="R3" s="12">
        <f>IF(COUNT(R139,R4)&lt;2,"",ABS(R139-R4))</f>
        <v>0</v>
      </c>
      <c r="S3" s="12">
        <f>IF(COUNT(S139,S4)&lt;2,"",ABS(S139-S4))</f>
        <v>0</v>
      </c>
      <c r="T3" s="12">
        <f>IF(COUNT(T139,T4)&lt;2,"",ABS(T139-T4))</f>
        <v>0</v>
      </c>
      <c r="U3" s="12">
        <f>IF(COUNT(U139,U4)&lt;2,"",ABS(U139-U4))</f>
        <v>0</v>
      </c>
      <c r="V3" s="12">
        <f>IF(COUNT(V139,V4)&lt;2,"",ABS(V139-V4))</f>
        <v>0</v>
      </c>
      <c r="W3" s="12">
        <f>IF(COUNT(W139,W4)&lt;2,"",ABS(W139-W4))</f>
        <v>0</v>
      </c>
      <c r="X3" s="12">
        <f>IF(COUNT(X139,X4)&lt;2,"",ABS(X139-X4))</f>
        <v>0</v>
      </c>
      <c r="Y3" s="12">
        <f>IF(COUNT(Y139,Y4)&lt;2,"",ABS(Y139-Y4))</f>
        <v>0</v>
      </c>
      <c r="Z3" s="12">
        <f>IF(COUNT(Z139,Z4)&lt;2,"",ABS(Z139-Z4))</f>
        <v>0</v>
      </c>
      <c r="AA3" s="12">
        <f>IF(COUNT(AA139,AA4)&lt;2,"",ABS(AA139-AA4))</f>
        <v>0</v>
      </c>
      <c r="AB3" s="12">
        <f>IF(COUNT(AB139,AB4)&lt;2,"",ABS(AB139-AB4))</f>
        <v>0</v>
      </c>
      <c r="AC3" s="12">
        <f>IF(COUNT(AC139,AC4)&lt;2,"",ABS(AC139-AC4))</f>
        <v>0</v>
      </c>
      <c r="AD3" s="12">
        <f>IF(COUNT(AD139,AD4)&lt;2,"",ABS(AD139-AD4))</f>
        <v>0</v>
      </c>
      <c r="AE3" s="12">
        <f>IF(COUNT(AE139,AE4)&lt;2,"",ABS(AE139-AE4))</f>
        <v>0</v>
      </c>
      <c r="AF3" s="12">
        <f>IF(COUNT(AF139,AF4)&lt;2,"",ABS(AF139-AF4))</f>
        <v>0</v>
      </c>
      <c r="AG3" s="12">
        <f>IF(COUNT(AG139,AG4)&lt;2,"",ABS(AG139-AG4))</f>
        <v>0</v>
      </c>
      <c r="AH3" s="12">
        <f>IF(COUNT(AH139,AH4)&lt;2,"",ABS(AH139-AH4))</f>
        <v>0</v>
      </c>
      <c r="AI3" s="12">
        <f>IF(COUNT(AI139,AI4)&lt;2,"",ABS(AI139-AI4))</f>
        <v>0</v>
      </c>
      <c r="AJ3" s="12">
        <f>ABS(AJ139-AJ4)</f>
        <v>721.06104741789</v>
      </c>
      <c r="AK3" s="12">
        <f>ABS(AK139-AK4)</f>
        <v>755.744233632485</v>
      </c>
      <c r="AL3" s="12">
        <f>ABS(AL139-AL4)</f>
        <v>1324.32928105038</v>
      </c>
      <c r="AM3" s="12">
        <f>ABS(AM139-AM4)</f>
        <v>777.886383212013</v>
      </c>
      <c r="AN3" s="12">
        <f>ABS(AN139-AN4)</f>
        <v>759.823997231413</v>
      </c>
      <c r="AO3" s="12">
        <f>ABS(AO139-AO4)</f>
        <v>769.211123301036</v>
      </c>
      <c r="AP3" s="12">
        <f>ABS(AP139-AP4)</f>
        <v>806.210338171016</v>
      </c>
      <c r="AQ3" s="12">
        <f>ABS(AQ139-AQ4)</f>
        <v>3113.13184191548</v>
      </c>
      <c r="AR3" s="12">
        <f>ABS(AR139-AR4)</f>
        <v>825.941635472488</v>
      </c>
      <c r="AS3" s="12">
        <f>ABS(AS139-AS4)</f>
        <v>806.763414925998</v>
      </c>
      <c r="AT3" s="12">
        <f>ABS(AT139-AT4)</f>
        <v>816.730446648955</v>
      </c>
      <c r="AU3" s="12">
        <f>ABS(AU139-AU4)</f>
        <v>856.015350846308</v>
      </c>
      <c r="AV3" s="12">
        <f>ABS(AV139-AV4)</f>
        <v>3305.45084789375</v>
      </c>
      <c r="AW3" s="12">
        <f>ABS(AW139-AW4)</f>
        <v>872.835874367152</v>
      </c>
      <c r="AX3" s="12">
        <f>ABS(AX139-AX4)</f>
        <v>852.568777782385</v>
      </c>
      <c r="AY3" s="12">
        <f>ABS(AY139-AY4)</f>
        <v>863.101704656541</v>
      </c>
      <c r="AZ3" s="12">
        <f>ABS(AZ139-AZ4)</f>
        <v>904.617075999833</v>
      </c>
      <c r="BA3" s="12">
        <f>ABS(BA139-BA4)</f>
        <v>3493.12343280591</v>
      </c>
      <c r="BB3" s="12">
        <f>ABS(BB139-BB4)</f>
        <v>918.028433934856</v>
      </c>
      <c r="BC3" s="12">
        <f>ABS(BC139-BC4)</f>
        <v>896.711974008629</v>
      </c>
      <c r="BD3" s="12">
        <f>ABS(BD139-BD4)</f>
        <v>907.790261057775</v>
      </c>
      <c r="BE3" s="12">
        <f>ABS(BE139-BE4)</f>
        <v>951.455161250082</v>
      </c>
      <c r="BF3" s="12">
        <f>ABS(BF139-BF4)</f>
        <v>3673.98583025134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246.49</v>
      </c>
      <c r="J4">
        <f>IF(ISNUMBER('Inputs (2)'!E50),'Inputs (2)'!E50,"")</f>
        <v>331.817</v>
      </c>
      <c r="K4">
        <f>IF(ISNUMBER('Inputs (2)'!F50),'Inputs (2)'!F50,"")</f>
        <v>267.341</v>
      </c>
      <c r="L4">
        <f>IF(ISNUMBER('Inputs (2)'!G50),'Inputs (2)'!G50,"")</f>
        <v>331.983</v>
      </c>
      <c r="M4" s="11">
        <f>IF(COUNT(I4:L4)=4,SUM(I4:L4),"")</f>
        <v>1177.631</v>
      </c>
      <c r="N4">
        <f>IF(ISNUMBER('Inputs (2)'!I50),'Inputs (2)'!I50,"")</f>
        <v>291.944</v>
      </c>
      <c r="O4">
        <f>IF(ISNUMBER('Inputs (2)'!J50),'Inputs (2)'!J50,"")</f>
        <v>233.707</v>
      </c>
      <c r="P4">
        <f>IF(ISNUMBER('Inputs (2)'!K50),'Inputs (2)'!K50,"")</f>
        <v>274.928</v>
      </c>
      <c r="Q4">
        <f>IF(ISNUMBER('Inputs (2)'!L50),'Inputs (2)'!L50,"")</f>
        <v>350.959</v>
      </c>
      <c r="R4" s="11">
        <f>IF(COUNT(N4:Q4)=4,SUM(N4:Q4),"")</f>
        <v>1151.538</v>
      </c>
      <c r="S4">
        <f>IF(ISNUMBER('Inputs (2)'!N50),'Inputs (2)'!N50,"")</f>
        <v>319.574</v>
      </c>
      <c r="T4">
        <f>IF(ISNUMBER('Inputs (2)'!O50),'Inputs (2)'!O50,"")</f>
        <v>422.108</v>
      </c>
      <c r="U4">
        <f>IF(ISNUMBER('Inputs (2)'!P50),'Inputs (2)'!P50,"")</f>
        <v>396.86</v>
      </c>
      <c r="V4">
        <f>IF(ISNUMBER('Inputs (2)'!Q50),'Inputs (2)'!Q50,"")</f>
        <v>364.821</v>
      </c>
      <c r="W4" s="11">
        <f>IF(COUNT(S4:V4)=4,SUM(S4:V4),"")</f>
        <v>1503.363</v>
      </c>
      <c r="X4">
        <f>IF(ISNUMBER('Inputs (2)'!S50),'Inputs (2)'!S50,"")</f>
        <v>379.352</v>
      </c>
      <c r="Y4">
        <f>IF(ISNUMBER('Inputs (2)'!T50),'Inputs (2)'!T50,"")</f>
        <v>375.596</v>
      </c>
      <c r="Z4">
        <f>IF(ISNUMBER('Inputs (2)'!U50),'Inputs (2)'!U50,"")</f>
        <v>377.529</v>
      </c>
      <c r="AA4">
        <f>IF(ISNUMBER('Inputs (2)'!V50),'Inputs (2)'!V50,"")</f>
        <v>412.87</v>
      </c>
      <c r="AB4" s="11">
        <f>IF(COUNT(X4:AA4)=4,SUM(X4:AA4),"")</f>
        <v>1545.347</v>
      </c>
      <c r="AC4">
        <f>IF(ISNUMBER('Inputs (2)'!X50),'Inputs (2)'!X50,"")</f>
        <v>1207.993</v>
      </c>
      <c r="AD4">
        <f>IF(ISNUMBER('Inputs (2)'!Y50),'Inputs (2)'!Y50,"")</f>
        <v>263.848</v>
      </c>
      <c r="AE4">
        <f>IF(ISNUMBER('Inputs (2)'!Z50),'Inputs (2)'!Z50,"")</f>
        <v>246.401</v>
      </c>
      <c r="AF4">
        <f>IF(ISNUMBER('Inputs (2)'!AA50),'Inputs (2)'!AA50,"")</f>
        <v>361.326</v>
      </c>
      <c r="AG4" s="11">
        <f>IF(COUNT(AC4:AF4)=4,SUM(AC4:AF4),"")</f>
        <v>2079.568</v>
      </c>
      <c r="AH4" s="11">
        <f>IF(ISNUMBER('Inputs (2)'!AC50),'Inputs (2)'!AC50,"")</f>
        <v>352.681</v>
      </c>
      <c r="AI4" s="11">
        <f>IF(ISNUMBER('Inputs (2)'!AD50),'Inputs (2)'!AD50,"")</f>
        <v>-505.157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1226.476</v>
      </c>
      <c r="J15" s="34">
        <f>'Inputs (2)'!E4</f>
        <v>1273.389</v>
      </c>
      <c r="K15" s="34">
        <f>'Inputs (2)'!F4</f>
        <v>1321.36</v>
      </c>
      <c r="L15" s="34">
        <f>'Inputs (2)'!G4</f>
        <v>1383.187</v>
      </c>
      <c r="M15" s="35">
        <f>'Inputs (2)'!H4</f>
        <v>5204.412</v>
      </c>
      <c r="N15" s="34">
        <f>'Inputs (2)'!I4</f>
        <v>1406.842</v>
      </c>
      <c r="O15" s="34">
        <f>'Inputs (2)'!J4</f>
        <v>1359.113</v>
      </c>
      <c r="P15" s="34">
        <f>'Inputs (2)'!K4</f>
        <v>1432.464</v>
      </c>
      <c r="Q15" s="34">
        <f>'Inputs (2)'!L4</f>
        <v>1475.228</v>
      </c>
      <c r="R15" s="35">
        <f>'Inputs (2)'!M4</f>
        <v>5673.647</v>
      </c>
      <c r="S15" s="34">
        <f>'Inputs (2)'!N4</f>
        <v>1453.963</v>
      </c>
      <c r="T15" s="34">
        <f>'Inputs (2)'!O4</f>
        <v>1536.029</v>
      </c>
      <c r="U15" s="34">
        <f>'Inputs (2)'!P4</f>
        <v>1605.776</v>
      </c>
      <c r="V15" s="34">
        <f>'Inputs (2)'!Q4</f>
        <v>1696.968</v>
      </c>
      <c r="W15" s="35">
        <f>'Inputs (2)'!R4</f>
        <v>6292.736</v>
      </c>
      <c r="X15" s="34">
        <f>'Inputs (2)'!S4</f>
        <v>1698.012</v>
      </c>
      <c r="Y15" s="34">
        <f>'Inputs (2)'!T4</f>
        <v>1664.252</v>
      </c>
      <c r="Z15" s="34">
        <f>'Inputs (2)'!U4</f>
        <v>1709.748</v>
      </c>
      <c r="AA15" s="34">
        <f>'Inputs (2)'!V4</f>
        <v>1776.207</v>
      </c>
      <c r="AB15" s="35">
        <f>'Inputs (2)'!W4</f>
        <v>6848.219</v>
      </c>
      <c r="AC15" s="34">
        <f>'Inputs (2)'!X4</f>
        <v>1805.233</v>
      </c>
      <c r="AD15" s="34">
        <f>'Inputs (2)'!Y4</f>
        <v>1705.371</v>
      </c>
      <c r="AE15" s="34">
        <f>'Inputs (2)'!Z4</f>
        <v>1804.171</v>
      </c>
      <c r="AF15" s="34">
        <f>'Inputs (2)'!AA4</f>
        <v>1890.952</v>
      </c>
      <c r="AG15" s="35">
        <f>'Inputs (2)'!AB4</f>
        <v>7205.727</v>
      </c>
      <c r="AH15" s="35">
        <f>'Inputs (2)'!AC4</f>
        <v>1946.354</v>
      </c>
      <c r="AI15" s="35">
        <f>'Inputs (2)'!AD4</f>
        <v>1901.16</v>
      </c>
      <c r="AJ15" s="35">
        <f>AE15*(1+AJ16)</f>
        <v>1924.64758220792</v>
      </c>
      <c r="AK15" s="35">
        <f>AF15*(1+AK16)</f>
        <v>2017.22353084671</v>
      </c>
      <c r="AL15" s="35">
        <f>SUM(AH15:AK15)</f>
        <v>7789.38511305463</v>
      </c>
      <c r="AM15" s="35">
        <f>AH15*(1+AM16)</f>
        <v>2076.32509347546</v>
      </c>
      <c r="AN15" s="35">
        <f>AI15*(1+AN16)</f>
        <v>2028.11318738102</v>
      </c>
      <c r="AO15" s="35">
        <f>AJ15*(1+AO16)</f>
        <v>2053.16919277541</v>
      </c>
      <c r="AP15" s="35">
        <f>AK15*(1+AP16)</f>
        <v>2151.9270575888</v>
      </c>
      <c r="AQ15" s="35">
        <f>SUM(AM15:AP15)</f>
        <v>8309.53453122069</v>
      </c>
      <c r="AR15" s="35">
        <f>AM15*(1+AR16)</f>
        <v>2204.59360195573</v>
      </c>
      <c r="AS15" s="35">
        <f>AN15*(1+AS16)</f>
        <v>2153.40332349314</v>
      </c>
      <c r="AT15" s="35">
        <f>AO15*(1+AT16)</f>
        <v>2180.00720616864</v>
      </c>
      <c r="AU15" s="35">
        <f>AP15*(1+AU16)</f>
        <v>2284.86600578271</v>
      </c>
      <c r="AV15" s="35">
        <f>SUM(AR15:AU15)</f>
        <v>8822.87013740022</v>
      </c>
      <c r="AW15" s="35">
        <f>AR15*(1+AW16)</f>
        <v>2329.76314735178</v>
      </c>
      <c r="AX15" s="35">
        <f>AS15*(1+AX16)</f>
        <v>2275.66645390269</v>
      </c>
      <c r="AY15" s="35">
        <f>AT15*(1+AY16)</f>
        <v>2303.78081719344</v>
      </c>
      <c r="AZ15" s="35">
        <f>AU15*(1+AZ16)</f>
        <v>2414.5931532175</v>
      </c>
      <c r="BA15" s="35">
        <f>SUM(AW15:AZ15)</f>
        <v>9323.80357166541</v>
      </c>
      <c r="BB15" s="35">
        <f>AW15*(1+BB16)</f>
        <v>2450.39059050274</v>
      </c>
      <c r="BC15" s="35">
        <f>AX15*(1+BC16)</f>
        <v>2393.49294888812</v>
      </c>
      <c r="BD15" s="35">
        <f>AY15*(1+BD16)</f>
        <v>2423.06298107956</v>
      </c>
      <c r="BE15" s="35">
        <f>AZ15*(1+BE16)</f>
        <v>2539.61281397293</v>
      </c>
      <c r="BF15" s="35">
        <f>SUM(BB15:BE15)</f>
        <v>9806.55933444335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0.147060358294822</v>
      </c>
      <c r="O16" s="40">
        <f>IFERROR(O15/J15-1,"")</f>
        <v>0.0673195700606808</v>
      </c>
      <c r="P16" s="40">
        <f>IFERROR(P15/K15-1,"")</f>
        <v>0.0840830659320699</v>
      </c>
      <c r="Q16" s="40">
        <f>IFERROR(Q15/L15-1,"")</f>
        <v>0.0665427017460403</v>
      </c>
      <c r="R16" s="40">
        <f>IFERROR(R15/M15-1,"")</f>
        <v>0.0901610018576546</v>
      </c>
      <c r="S16" s="40">
        <f>IFERROR(S15/N15-1,"")</f>
        <v>0.0334941663669408</v>
      </c>
      <c r="T16" s="40">
        <f>IFERROR(T15/O15-1,"")</f>
        <v>0.1301701918825</v>
      </c>
      <c r="U16" s="40">
        <f>IFERROR(U15/P15-1,"")</f>
        <v>0.120988729908745</v>
      </c>
      <c r="V16" s="40">
        <f>IFERROR(V15/Q15-1,"")</f>
        <v>0.150308969189847</v>
      </c>
      <c r="W16" s="40">
        <f>IFERROR(W15/R15-1,"")</f>
        <v>0.109116587619921</v>
      </c>
      <c r="X16" s="40">
        <f>IFERROR(X15/S15-1,"")</f>
        <v>0.167850901295287</v>
      </c>
      <c r="Y16" s="40">
        <f>IFERROR(Y15/T15-1,"")</f>
        <v>0.08347693956299</v>
      </c>
      <c r="Z16" s="40">
        <f>IFERROR(Z15/U15-1,"")</f>
        <v>0.064748756987276</v>
      </c>
      <c r="AA16" s="40">
        <f>IFERROR(AA15/V15-1,"")</f>
        <v>0.0466944574087431</v>
      </c>
      <c r="AB16" s="40">
        <f>IFERROR(AB15/W15-1,"")</f>
        <v>0.0882736857227127</v>
      </c>
      <c r="AC16" s="40">
        <f>IFERROR(AC15/X15-1,"")</f>
        <v>0.063145018998688</v>
      </c>
      <c r="AD16" s="40">
        <f>IFERROR(AD15/Y15-1,"")</f>
        <v>0.0247071957852538</v>
      </c>
      <c r="AE16" s="40">
        <f>IFERROR(AE15/Z15-1,"")</f>
        <v>0.0552262672627779</v>
      </c>
      <c r="AF16" s="41">
        <f>IFERROR(AF15/AA15-1,"")</f>
        <v>0.0646011416462158</v>
      </c>
      <c r="AG16" s="40">
        <f>IFERROR(AG15/AB15-1,"")</f>
        <v>0.0522045220808505</v>
      </c>
      <c r="AH16" s="41">
        <f>IFERROR(AH15/AC15-1,"")</f>
        <v>0.0781732884342354</v>
      </c>
      <c r="AI16" s="41">
        <f>IFERROR(AI15/AD15-1,"")</f>
        <v>0.114807276539826</v>
      </c>
      <c r="AJ16" s="41">
        <f>Control!$B$18</f>
        <v>0.0667766981111662</v>
      </c>
      <c r="AK16" s="41">
        <f>Control!$B$18</f>
        <v>0.0667766981111662</v>
      </c>
      <c r="AL16" s="42">
        <f>IFERROR(AL15/AG15-1,"")</f>
        <v>0.0809991987005096</v>
      </c>
      <c r="AM16" s="41">
        <f>Control!$C$18</f>
        <v>0.0667766981111662</v>
      </c>
      <c r="AN16" s="41">
        <f>Control!$C$18</f>
        <v>0.0667766981111662</v>
      </c>
      <c r="AO16" s="41">
        <f>Control!$C$18</f>
        <v>0.0667766981111662</v>
      </c>
      <c r="AP16" s="41">
        <f>Control!$C$18</f>
        <v>0.0667766981111662</v>
      </c>
      <c r="AQ16" s="42">
        <f>IFERROR(AQ15/AL15-1,"")</f>
        <v>0.0667766981111662</v>
      </c>
      <c r="AR16" s="41">
        <f>Control!$D$18</f>
        <v>0.0617766981111662</v>
      </c>
      <c r="AS16" s="41">
        <f>Control!$D$18</f>
        <v>0.0617766981111662</v>
      </c>
      <c r="AT16" s="41">
        <f>Control!$D$18</f>
        <v>0.0617766981111662</v>
      </c>
      <c r="AU16" s="41">
        <f>Control!$D$18</f>
        <v>0.0617766981111662</v>
      </c>
      <c r="AV16" s="42">
        <f>IFERROR(AV15/AQ15-1,"")</f>
        <v>0.0617766981111663</v>
      </c>
      <c r="AW16" s="41">
        <f>Control!$E$18</f>
        <v>0.0567766981111662</v>
      </c>
      <c r="AX16" s="41">
        <f>Control!$E$18</f>
        <v>0.0567766981111662</v>
      </c>
      <c r="AY16" s="41">
        <f>Control!$E$18</f>
        <v>0.0567766981111662</v>
      </c>
      <c r="AZ16" s="41">
        <f>Control!$E$18</f>
        <v>0.0567766981111662</v>
      </c>
      <c r="BA16" s="42">
        <f>IFERROR(BA15/AV15-1,"")</f>
        <v>0.0567766981111661</v>
      </c>
      <c r="BB16" s="41">
        <f>Control!$F$18</f>
        <v>0.0517766981111662</v>
      </c>
      <c r="BC16" s="41">
        <f>Control!$F$18</f>
        <v>0.0517766981111662</v>
      </c>
      <c r="BD16" s="41">
        <f>Control!$F$18</f>
        <v>0.0517766981111662</v>
      </c>
      <c r="BE16" s="41">
        <f>Control!$F$18</f>
        <v>0.0517766981111662</v>
      </c>
      <c r="BF16" s="42">
        <f>IFERROR(BF15/BA15-1,"")</f>
        <v>0.0517766981111665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>
        <f>IF(ISNUMBER(I29),I29,"")</f>
        <v>-0.0239999999998872</v>
      </c>
      <c r="J17" s="40">
        <f>IF(ISNUMBER(J29),J29,"")</f>
        <v>-0.0110000000001946</v>
      </c>
      <c r="K17" s="40">
        <f>IF(ISNUMBER(K29),K29,"")</f>
        <v>0.0599999999997181</v>
      </c>
      <c r="L17" s="40">
        <f>IF(ISNUMBER(L29),L29,"")</f>
        <v>-0.0130000000001473</v>
      </c>
      <c r="M17" s="39">
        <f>IF(ISNUMBER(M29),M29,"")</f>
        <v>0.0120000000006257</v>
      </c>
      <c r="N17" s="40">
        <f>IF(ISNUMBER(N29),N29,"")</f>
        <v>0.0420000000001437</v>
      </c>
      <c r="O17" s="40">
        <f>IF(ISNUMBER(O29),O29,"")</f>
        <v>-0.0869999999999891</v>
      </c>
      <c r="P17" s="40">
        <f>IF(ISNUMBER(P29),P29,"")</f>
        <v>0.0639999999998508</v>
      </c>
      <c r="Q17" s="40">
        <f>IF(ISNUMBER(Q29),Q29,"")</f>
        <v>0.02800000000002</v>
      </c>
      <c r="R17" s="40">
        <f>IF(ISNUMBER(R29),R29,"")</f>
        <v>0.0469999999995707</v>
      </c>
      <c r="S17" s="40">
        <f>IF(ISNUMBER(S29),S29,"")</f>
        <v>-0.0370000000002619</v>
      </c>
      <c r="T17" s="40">
        <f>IF(ISNUMBER(T29),T29,"")</f>
        <v>0.0289999999999964</v>
      </c>
      <c r="U17" s="40">
        <f>IF(ISNUMBER(U29),U29,"")</f>
        <v>-0.0239999999998872</v>
      </c>
      <c r="V17" s="40">
        <f>IF(ISNUMBER(V29),V29,"")</f>
        <v>0.068000000000211</v>
      </c>
      <c r="W17" s="40">
        <f>IF(ISNUMBER(W29),W29,"")</f>
        <v>0.0360000000009677</v>
      </c>
      <c r="X17" s="40">
        <f>IF(ISNUMBER(X29),X29,"")</f>
        <v>0.0119999999997162</v>
      </c>
      <c r="Y17" s="40">
        <f>IF(ISNUMBER(Y29),Y29,"")</f>
        <v>-0.0479999999997744</v>
      </c>
      <c r="Z17" s="40">
        <f>IF(ISNUMBER(Z29),Z29,"")</f>
        <v>0.0480000000000018</v>
      </c>
      <c r="AA17" s="40">
        <f>IF(ISNUMBER(AA29),AA29,"")</f>
        <v>0.00700000000006185</v>
      </c>
      <c r="AB17" s="40">
        <f>IF(ISNUMBER(AB29),AB29,"")</f>
        <v>0.0189999999993233</v>
      </c>
      <c r="AC17" s="40">
        <f>IF(ISNUMBER(AC29),AC29,"")</f>
        <v>0.0330000000001292</v>
      </c>
      <c r="AD17" s="40">
        <f>IF(ISNUMBER(AD29),AD29,"")</f>
        <v>-0.0289999999999964</v>
      </c>
      <c r="AE17" s="40">
        <f>IF(ISNUMBER(AE29),AE29,"")</f>
        <v>-0.0289999999999964</v>
      </c>
      <c r="AF17" s="40">
        <f>IF(ISNUMBER(AF29),AF29,"")</f>
        <v>0.0520000000001346</v>
      </c>
      <c r="AG17" s="40">
        <f>IF(ISNUMBER(AG29),AG29,"")</f>
        <v>0.0270000000000437</v>
      </c>
      <c r="AH17" s="41">
        <f>IF(ISNUMBER(AH29),AH29,"")</f>
        <v>-0.0460000000000491</v>
      </c>
      <c r="AI17" s="41">
        <f>IF(ISNUMBER(AI29),AI29,"")</f>
        <v>0.0599999999999454</v>
      </c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operacional bruta por tipo - releases (R$ milhoes)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Agua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806.1</v>
      </c>
      <c r="J19" s="269">
        <f>IFERROR(INDEX('Inputs (2)'!$D$53:$AL$53,MATCH(J$7&amp;"",'Inputs (2)'!$D$2:$AL$2,0)),"")</f>
        <v>833.9</v>
      </c>
      <c r="K19" s="269">
        <f>IFERROR(INDEX('Inputs (2)'!$D$53:$AL$53,MATCH(K$7&amp;"",'Inputs (2)'!$D$2:$AL$2,0)),"")</f>
        <v>866.9</v>
      </c>
      <c r="L19" s="269">
        <f>IFERROR(INDEX('Inputs (2)'!$D$53:$AL$53,MATCH(L$7&amp;"",'Inputs (2)'!$D$2:$AL$2,0)),"")</f>
        <v>908.3</v>
      </c>
      <c r="M19" s="270">
        <f>IF(COUNT(I19:L19)=4,SUM(I19:L19),"")</f>
        <v>3415.2</v>
      </c>
      <c r="N19" s="269">
        <f>IFERROR(INDEX('Inputs (2)'!$D$53:$AL$53,MATCH(N$7&amp;"",'Inputs (2)'!$D$2:$AL$2,0)),"")</f>
        <v>920</v>
      </c>
      <c r="O19" s="269">
        <f>IFERROR(INDEX('Inputs (2)'!$D$53:$AL$53,MATCH(O$7&amp;"",'Inputs (2)'!$D$2:$AL$2,0)),"")</f>
        <v>886.5</v>
      </c>
      <c r="P19" s="269">
        <f>IFERROR(INDEX('Inputs (2)'!$D$53:$AL$53,MATCH(P$7&amp;"",'Inputs (2)'!$D$2:$AL$2,0)),"")</f>
        <v>949.7</v>
      </c>
      <c r="Q19" s="269">
        <f>IFERROR(INDEX('Inputs (2)'!$D$53:$AL$53,MATCH(Q$7&amp;"",'Inputs (2)'!$D$2:$AL$2,0)),"")</f>
        <v>984.4</v>
      </c>
      <c r="R19" s="270">
        <f>IF(COUNT(N19:Q19)=4,SUM(N19:Q19),"")</f>
        <v>3740.6</v>
      </c>
      <c r="S19" s="269">
        <f>IFERROR(INDEX('Inputs (2)'!$D$53:$AL$53,MATCH(S$7&amp;"",'Inputs (2)'!$D$2:$AL$2,0)),"")</f>
        <v>1003.1</v>
      </c>
      <c r="T19" s="269">
        <f>IFERROR(INDEX('Inputs (2)'!$D$53:$AL$53,MATCH(T$7&amp;"",'Inputs (2)'!$D$2:$AL$2,0)),"")</f>
        <v>1013.9</v>
      </c>
      <c r="U19" s="269">
        <f>IFERROR(INDEX('Inputs (2)'!$D$53:$AL$53,MATCH(U$7&amp;"",'Inputs (2)'!$D$2:$AL$2,0)),"")</f>
        <v>1050.1</v>
      </c>
      <c r="V19" s="269">
        <f>IFERROR(INDEX('Inputs (2)'!$D$53:$AL$53,MATCH(V$7&amp;"",'Inputs (2)'!$D$2:$AL$2,0)),"")</f>
        <v>1104.8</v>
      </c>
      <c r="W19" s="270">
        <f>IF(COUNT(S19:V19)=4,SUM(S19:V19),"")</f>
        <v>4171.9</v>
      </c>
      <c r="X19" s="269">
        <f>IFERROR(INDEX('Inputs (2)'!$D$53:$AL$53,MATCH(X$7&amp;"",'Inputs (2)'!$D$2:$AL$2,0)),"")</f>
        <v>1095.7</v>
      </c>
      <c r="Y19" s="269">
        <f>IFERROR(INDEX('Inputs (2)'!$D$53:$AL$53,MATCH(Y$7&amp;"",'Inputs (2)'!$D$2:$AL$2,0)),"")</f>
        <v>1058.1</v>
      </c>
      <c r="Z19" s="269">
        <f>IFERROR(INDEX('Inputs (2)'!$D$53:$AL$53,MATCH(Z$7&amp;"",'Inputs (2)'!$D$2:$AL$2,0)),"")</f>
        <v>1086.7</v>
      </c>
      <c r="AA19" s="269">
        <f>IFERROR(INDEX('Inputs (2)'!$D$53:$AL$53,MATCH(AA$7&amp;"",'Inputs (2)'!$D$2:$AL$2,0)),"")</f>
        <v>1128.2</v>
      </c>
      <c r="AB19" s="270">
        <f>IF(COUNT(X19:AA19)=4,SUM(X19:AA19),"")</f>
        <v>4368.7</v>
      </c>
      <c r="AC19" s="269">
        <f>IFERROR(INDEX('Inputs (2)'!$D$53:$AL$53,MATCH(AC$7&amp;"",'Inputs (2)'!$D$2:$AL$2,0)),"")</f>
        <v>1155.1</v>
      </c>
      <c r="AD19" s="269">
        <f>IFERROR(INDEX('Inputs (2)'!$D$53:$AL$53,MATCH(AD$7&amp;"",'Inputs (2)'!$D$2:$AL$2,0)),"")</f>
        <v>1086.7</v>
      </c>
      <c r="AE19" s="269">
        <f>IFERROR(INDEX('Inputs (2)'!$D$53:$AL$53,MATCH(AE$7&amp;"",'Inputs (2)'!$D$2:$AL$2,0)),"")</f>
        <v>1147.2</v>
      </c>
      <c r="AF19" s="269">
        <f>IFERROR(INDEX('Inputs (2)'!$D$53:$AL$53,MATCH(AF$7&amp;"",'Inputs (2)'!$D$2:$AL$2,0)),"")</f>
        <v>1195.5</v>
      </c>
      <c r="AG19" s="270">
        <f>IF(COUNT(AC19:AF19)=4,SUM(AC19:AF19),"")</f>
        <v>4584.5</v>
      </c>
      <c r="AH19" s="270">
        <f>IFERROR(INDEX('Inputs (2)'!$D$53:$AL$53,MATCH(AH$7&amp;"",'Inputs (2)'!$D$2:$AL$2,0)),"")</f>
        <v>1237.8</v>
      </c>
      <c r="AI19" s="270">
        <f>IFERROR(INDEX('Inputs (2)'!$D$53:$AL$53,MATCH(AI$7&amp;"",'Inputs (2)'!$D$2:$AL$2,0)),"")</f>
        <v>1198.7</v>
      </c>
    </row>
    <row r="20">
      <c r="C20" s="268" t="inlineStr">
        <is>
          <t xml:space="preserve">   Esgoto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469</v>
      </c>
      <c r="J20" s="269">
        <f>IFERROR(INDEX('Inputs (2)'!$D$54:$AL$54,MATCH(J$7&amp;"",'Inputs (2)'!$D$2:$AL$2,0)),"")</f>
        <v>488.8</v>
      </c>
      <c r="K20" s="269">
        <f>IFERROR(INDEX('Inputs (2)'!$D$54:$AL$54,MATCH(K$7&amp;"",'Inputs (2)'!$D$2:$AL$2,0)),"")</f>
        <v>508.5</v>
      </c>
      <c r="L20" s="269">
        <f>IFERROR(INDEX('Inputs (2)'!$D$54:$AL$54,MATCH(L$7&amp;"",'Inputs (2)'!$D$2:$AL$2,0)),"")</f>
        <v>527.5</v>
      </c>
      <c r="M20" s="270">
        <f>IF(COUNT(I20:L20)=4,SUM(I20:L20),"")</f>
        <v>1993.8</v>
      </c>
      <c r="N20" s="269">
        <f>IFERROR(INDEX('Inputs (2)'!$D$54:$AL$54,MATCH(N$7&amp;"",'Inputs (2)'!$D$2:$AL$2,0)),"")</f>
        <v>546.6</v>
      </c>
      <c r="O20" s="269">
        <f>IFERROR(INDEX('Inputs (2)'!$D$54:$AL$54,MATCH(O$7&amp;"",'Inputs (2)'!$D$2:$AL$2,0)),"")</f>
        <v>530.1</v>
      </c>
      <c r="P20" s="269">
        <f>IFERROR(INDEX('Inputs (2)'!$D$54:$AL$54,MATCH(P$7&amp;"",'Inputs (2)'!$D$2:$AL$2,0)),"")</f>
        <v>547</v>
      </c>
      <c r="Q20" s="269">
        <f>IFERROR(INDEX('Inputs (2)'!$D$54:$AL$54,MATCH(Q$7&amp;"",'Inputs (2)'!$D$2:$AL$2,0)),"")</f>
        <v>562.7</v>
      </c>
      <c r="R20" s="270">
        <f>IF(COUNT(N20:Q20)=4,SUM(N20:Q20),"")</f>
        <v>2186.4</v>
      </c>
      <c r="S20" s="269">
        <f>IFERROR(INDEX('Inputs (2)'!$D$54:$AL$54,MATCH(S$7&amp;"",'Inputs (2)'!$D$2:$AL$2,0)),"")</f>
        <v>519.6</v>
      </c>
      <c r="T20" s="269">
        <f>IFERROR(INDEX('Inputs (2)'!$D$54:$AL$54,MATCH(T$7&amp;"",'Inputs (2)'!$D$2:$AL$2,0)),"")</f>
        <v>596.3</v>
      </c>
      <c r="U20" s="269">
        <f>IFERROR(INDEX('Inputs (2)'!$D$54:$AL$54,MATCH(U$7&amp;"",'Inputs (2)'!$D$2:$AL$2,0)),"")</f>
        <v>627.9</v>
      </c>
      <c r="V20" s="269">
        <f>IFERROR(INDEX('Inputs (2)'!$D$54:$AL$54,MATCH(V$7&amp;"",'Inputs (2)'!$D$2:$AL$2,0)),"")</f>
        <v>667.1</v>
      </c>
      <c r="W20" s="270">
        <f>IF(COUNT(S20:V20)=4,SUM(S20:V20),"")</f>
        <v>2410.9</v>
      </c>
      <c r="X20" s="269">
        <f>IFERROR(INDEX('Inputs (2)'!$D$54:$AL$54,MATCH(X$7&amp;"",'Inputs (2)'!$D$2:$AL$2,0)),"")</f>
        <v>677.6</v>
      </c>
      <c r="Y20" s="269">
        <f>IFERROR(INDEX('Inputs (2)'!$D$54:$AL$54,MATCH(Y$7&amp;"",'Inputs (2)'!$D$2:$AL$2,0)),"")</f>
        <v>675.8</v>
      </c>
      <c r="Z20" s="269">
        <f>IFERROR(INDEX('Inputs (2)'!$D$54:$AL$54,MATCH(Z$7&amp;"",'Inputs (2)'!$D$2:$AL$2,0)),"")</f>
        <v>696</v>
      </c>
      <c r="AA20" s="269">
        <f>IFERROR(INDEX('Inputs (2)'!$D$54:$AL$54,MATCH(AA$7&amp;"",'Inputs (2)'!$D$2:$AL$2,0)),"")</f>
        <v>722.9</v>
      </c>
      <c r="AB20" s="270">
        <f>IF(COUNT(X20:AA20)=4,SUM(X20:AA20),"")</f>
        <v>2772.3</v>
      </c>
      <c r="AC20" s="269">
        <f>IFERROR(INDEX('Inputs (2)'!$D$54:$AL$54,MATCH(AC$7&amp;"",'Inputs (2)'!$D$2:$AL$2,0)),"")</f>
        <v>725.7</v>
      </c>
      <c r="AD20" s="269">
        <f>IFERROR(INDEX('Inputs (2)'!$D$54:$AL$54,MATCH(AD$7&amp;"",'Inputs (2)'!$D$2:$AL$2,0)),"")</f>
        <v>692</v>
      </c>
      <c r="AE20" s="269">
        <f>IFERROR(INDEX('Inputs (2)'!$D$54:$AL$54,MATCH(AE$7&amp;"",'Inputs (2)'!$D$2:$AL$2,0)),"")</f>
        <v>736.2</v>
      </c>
      <c r="AF20" s="269">
        <f>IFERROR(INDEX('Inputs (2)'!$D$54:$AL$54,MATCH(AF$7&amp;"",'Inputs (2)'!$D$2:$AL$2,0)),"")</f>
        <v>772.1</v>
      </c>
      <c r="AG20" s="270">
        <f>IF(COUNT(AC20:AF20)=4,SUM(AC20:AF20),"")</f>
        <v>2926</v>
      </c>
      <c r="AH20" s="270">
        <f>IFERROR(INDEX('Inputs (2)'!$D$54:$AL$54,MATCH(AH$7&amp;"",'Inputs (2)'!$D$2:$AL$2,0)),"")</f>
        <v>795.2</v>
      </c>
      <c r="AI20" s="270">
        <f>IFERROR(INDEX('Inputs (2)'!$D$54:$AL$54,MATCH(AI$7&amp;"",'Inputs (2)'!$D$2:$AL$2,0)),"")</f>
        <v>779</v>
      </c>
    </row>
    <row r="21">
      <c r="C21" s="268" t="inlineStr">
        <is>
          <t xml:space="preserve">   Servicos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26.8</v>
      </c>
      <c r="J21" s="269">
        <f>IFERROR(INDEX('Inputs (2)'!$D$55:$AL$55,MATCH(J$7&amp;"",'Inputs (2)'!$D$2:$AL$2,0)),"")</f>
        <v>27.4</v>
      </c>
      <c r="K21" s="269">
        <f>IFERROR(INDEX('Inputs (2)'!$D$55:$AL$55,MATCH(K$7&amp;"",'Inputs (2)'!$D$2:$AL$2,0)),"")</f>
        <v>28.7</v>
      </c>
      <c r="L21" s="269">
        <f>IFERROR(INDEX('Inputs (2)'!$D$55:$AL$55,MATCH(L$7&amp;"",'Inputs (2)'!$D$2:$AL$2,0)),"")</f>
        <v>29.4</v>
      </c>
      <c r="M21" s="270">
        <f>IF(COUNT(I21:L21)=4,SUM(I21:L21),"")</f>
        <v>112.3</v>
      </c>
      <c r="N21" s="269">
        <f>IFERROR(INDEX('Inputs (2)'!$D$55:$AL$55,MATCH(N$7&amp;"",'Inputs (2)'!$D$2:$AL$2,0)),"")</f>
        <v>28.2</v>
      </c>
      <c r="O21" s="269">
        <f>IFERROR(INDEX('Inputs (2)'!$D$55:$AL$55,MATCH(O$7&amp;"",'Inputs (2)'!$D$2:$AL$2,0)),"")</f>
        <v>27.9</v>
      </c>
      <c r="P21" s="269">
        <f>IFERROR(INDEX('Inputs (2)'!$D$55:$AL$55,MATCH(P$7&amp;"",'Inputs (2)'!$D$2:$AL$2,0)),"")</f>
        <v>26.9</v>
      </c>
      <c r="Q21" s="269">
        <f>IFERROR(INDEX('Inputs (2)'!$D$55:$AL$55,MATCH(Q$7&amp;"",'Inputs (2)'!$D$2:$AL$2,0)),"")</f>
        <v>23.9</v>
      </c>
      <c r="R21" s="270">
        <f>IF(COUNT(N21:Q21)=4,SUM(N21:Q21),"")</f>
        <v>106.9</v>
      </c>
      <c r="S21" s="269">
        <f>IFERROR(INDEX('Inputs (2)'!$D$55:$AL$55,MATCH(S$7&amp;"",'Inputs (2)'!$D$2:$AL$2,0)),"")</f>
        <v>24.1</v>
      </c>
      <c r="T21" s="269">
        <f>IFERROR(INDEX('Inputs (2)'!$D$55:$AL$55,MATCH(T$7&amp;"",'Inputs (2)'!$D$2:$AL$2,0)),"")</f>
        <v>26.4</v>
      </c>
      <c r="U21" s="269">
        <f>IFERROR(INDEX('Inputs (2)'!$D$55:$AL$55,MATCH(U$7&amp;"",'Inputs (2)'!$D$2:$AL$2,0)),"")</f>
        <v>31.6</v>
      </c>
      <c r="V21" s="269">
        <f>IFERROR(INDEX('Inputs (2)'!$D$55:$AL$55,MATCH(V$7&amp;"",'Inputs (2)'!$D$2:$AL$2,0)),"")</f>
        <v>33.7</v>
      </c>
      <c r="W21" s="270">
        <f>IF(COUNT(S21:V21)=4,SUM(S21:V21),"")</f>
        <v>115.8</v>
      </c>
      <c r="X21" s="269">
        <f>IFERROR(INDEX('Inputs (2)'!$D$55:$AL$55,MATCH(X$7&amp;"",'Inputs (2)'!$D$2:$AL$2,0)),"")</f>
        <v>34</v>
      </c>
      <c r="Y21" s="269">
        <f>IFERROR(INDEX('Inputs (2)'!$D$55:$AL$55,MATCH(Y$7&amp;"",'Inputs (2)'!$D$2:$AL$2,0)),"")</f>
        <v>34.8</v>
      </c>
      <c r="Z21" s="269">
        <f>IFERROR(INDEX('Inputs (2)'!$D$55:$AL$55,MATCH(Z$7&amp;"",'Inputs (2)'!$D$2:$AL$2,0)),"")</f>
        <v>35.2</v>
      </c>
      <c r="AA21" s="269">
        <f>IFERROR(INDEX('Inputs (2)'!$D$55:$AL$55,MATCH(AA$7&amp;"",'Inputs (2)'!$D$2:$AL$2,0)),"")</f>
        <v>35.6</v>
      </c>
      <c r="AB21" s="270">
        <f>IF(COUNT(X21:AA21)=4,SUM(X21:AA21),"")</f>
        <v>139.6</v>
      </c>
      <c r="AC21" s="269">
        <f>IFERROR(INDEX('Inputs (2)'!$D$55:$AL$55,MATCH(AC$7&amp;"",'Inputs (2)'!$D$2:$AL$2,0)),"")</f>
        <v>36.7</v>
      </c>
      <c r="AD21" s="269">
        <f>IFERROR(INDEX('Inputs (2)'!$D$55:$AL$55,MATCH(AD$7&amp;"",'Inputs (2)'!$D$2:$AL$2,0)),"")</f>
        <v>32.3</v>
      </c>
      <c r="AE21" s="269">
        <f>IFERROR(INDEX('Inputs (2)'!$D$55:$AL$55,MATCH(AE$7&amp;"",'Inputs (2)'!$D$2:$AL$2,0)),"")</f>
        <v>34.1</v>
      </c>
      <c r="AF21" s="269">
        <f>IFERROR(INDEX('Inputs (2)'!$D$55:$AL$55,MATCH(AF$7&amp;"",'Inputs (2)'!$D$2:$AL$2,0)),"")</f>
        <v>38.1</v>
      </c>
      <c r="AG21" s="270">
        <f>IF(COUNT(AC21:AF21)=4,SUM(AC21:AF21),"")</f>
        <v>141.2</v>
      </c>
      <c r="AH21" s="270">
        <f>IFERROR(INDEX('Inputs (2)'!$D$55:$AL$55,MATCH(AH$7&amp;"",'Inputs (2)'!$D$2:$AL$2,0)),"")</f>
        <v>36.2</v>
      </c>
      <c r="AI21" s="270">
        <f>IFERROR(INDEX('Inputs (2)'!$D$55:$AL$55,MATCH(AI$7&amp;"",'Inputs (2)'!$D$2:$AL$2,0)),"")</f>
        <v>40.3</v>
      </c>
    </row>
    <row r="22">
      <c r="C22" s="268" t="inlineStr">
        <is>
          <t xml:space="preserve">   Residuos solidos</t>
        </is>
      </c>
      <c r="D22" s="269" t="str">
        <f>IFERROR(INDEX('Inputs (2)'!$D$56:$AL$56,MATCH(D$7&amp;"",'Inputs (2)'!$D$2:$AL$2,0)),"")</f>
        <v/>
      </c>
      <c r="E22" s="269" t="str">
        <f>IFERROR(INDEX('Inputs (2)'!$D$56:$AL$56,MATCH(E$7&amp;"",'Inputs (2)'!$D$2:$AL$2,0)),"")</f>
        <v/>
      </c>
      <c r="F22" s="269" t="str">
        <f>IFERROR(INDEX('Inputs (2)'!$D$56:$AL$56,MATCH(F$7&amp;"",'Inputs (2)'!$D$2:$AL$2,0)),"")</f>
        <v/>
      </c>
      <c r="G22" s="269" t="str">
        <f>IFERROR(INDEX('Inputs (2)'!$D$56:$AL$56,MATCH(G$7&amp;"",'Inputs (2)'!$D$2:$AL$2,0)),"")</f>
        <v/>
      </c>
      <c r="H22" s="270" t="str">
        <f>IF(COUNT(D22:G22)=4,SUM(D22:G22),"")</f>
        <v/>
      </c>
      <c r="I22" s="269">
        <f>IFERROR(INDEX('Inputs (2)'!$D$56:$AL$56,MATCH(I$7&amp;"",'Inputs (2)'!$D$2:$AL$2,0)),"")</f>
        <v>3</v>
      </c>
      <c r="J22" s="269">
        <f>IFERROR(INDEX('Inputs (2)'!$D$56:$AL$56,MATCH(J$7&amp;"",'Inputs (2)'!$D$2:$AL$2,0)),"")</f>
        <v>3</v>
      </c>
      <c r="K22" s="269">
        <f>IFERROR(INDEX('Inputs (2)'!$D$56:$AL$56,MATCH(K$7&amp;"",'Inputs (2)'!$D$2:$AL$2,0)),"")</f>
        <v>2.8</v>
      </c>
      <c r="L22" s="269">
        <f>IFERROR(INDEX('Inputs (2)'!$D$56:$AL$56,MATCH(L$7&amp;"",'Inputs (2)'!$D$2:$AL$2,0)),"")</f>
        <v>2.9</v>
      </c>
      <c r="M22" s="270">
        <f>IF(COUNT(I22:L22)=4,SUM(I22:L22),"")</f>
        <v>11.7</v>
      </c>
      <c r="N22" s="269">
        <f>IFERROR(INDEX('Inputs (2)'!$D$56:$AL$56,MATCH(N$7&amp;"",'Inputs (2)'!$D$2:$AL$2,0)),"")</f>
        <v>3.1</v>
      </c>
      <c r="O22" s="269">
        <f>IFERROR(INDEX('Inputs (2)'!$D$56:$AL$56,MATCH(O$7&amp;"",'Inputs (2)'!$D$2:$AL$2,0)),"")</f>
        <v>3.3</v>
      </c>
      <c r="P22" s="269">
        <f>IFERROR(INDEX('Inputs (2)'!$D$56:$AL$56,MATCH(P$7&amp;"",'Inputs (2)'!$D$2:$AL$2,0)),"")</f>
        <v>3.1</v>
      </c>
      <c r="Q22" s="269">
        <f>IFERROR(INDEX('Inputs (2)'!$D$56:$AL$56,MATCH(Q$7&amp;"",'Inputs (2)'!$D$2:$AL$2,0)),"")</f>
        <v>3</v>
      </c>
      <c r="R22" s="270">
        <f>IF(COUNT(N22:Q22)=4,SUM(N22:Q22),"")</f>
        <v>12.5</v>
      </c>
      <c r="S22" s="269">
        <f>IFERROR(INDEX('Inputs (2)'!$D$56:$AL$56,MATCH(S$7&amp;"",'Inputs (2)'!$D$2:$AL$2,0)),"")</f>
        <v>3.3</v>
      </c>
      <c r="T22" s="269">
        <f>IFERROR(INDEX('Inputs (2)'!$D$56:$AL$56,MATCH(T$7&amp;"",'Inputs (2)'!$D$2:$AL$2,0)),"")</f>
        <v>3.3</v>
      </c>
      <c r="U22" s="269">
        <f>IFERROR(INDEX('Inputs (2)'!$D$56:$AL$56,MATCH(U$7&amp;"",'Inputs (2)'!$D$2:$AL$2,0)),"")</f>
        <v>3.3</v>
      </c>
      <c r="V22" s="269">
        <f>IFERROR(INDEX('Inputs (2)'!$D$56:$AL$56,MATCH(V$7&amp;"",'Inputs (2)'!$D$2:$AL$2,0)),"")</f>
        <v>3.9</v>
      </c>
      <c r="W22" s="270">
        <f>IF(COUNT(S22:V22)=4,SUM(S22:V22),"")</f>
        <v>13.8</v>
      </c>
      <c r="X22" s="269">
        <f>IFERROR(INDEX('Inputs (2)'!$D$56:$AL$56,MATCH(X$7&amp;"",'Inputs (2)'!$D$2:$AL$2,0)),"")</f>
        <v>3.9</v>
      </c>
      <c r="Y22" s="269">
        <f>IFERROR(INDEX('Inputs (2)'!$D$56:$AL$56,MATCH(Y$7&amp;"",'Inputs (2)'!$D$2:$AL$2,0)),"")</f>
        <v>3.9</v>
      </c>
      <c r="Z22" s="269">
        <f>IFERROR(INDEX('Inputs (2)'!$D$56:$AL$56,MATCH(Z$7&amp;"",'Inputs (2)'!$D$2:$AL$2,0)),"")</f>
        <v>3.7</v>
      </c>
      <c r="AA22" s="269">
        <f>IFERROR(INDEX('Inputs (2)'!$D$56:$AL$56,MATCH(AA$7&amp;"",'Inputs (2)'!$D$2:$AL$2,0)),"")</f>
        <v>4</v>
      </c>
      <c r="AB22" s="270">
        <f>IF(COUNT(X22:AA22)=4,SUM(X22:AA22),"")</f>
        <v>15.5</v>
      </c>
      <c r="AC22" s="269">
        <f>IFERROR(INDEX('Inputs (2)'!$D$56:$AL$56,MATCH(AC$7&amp;"",'Inputs (2)'!$D$2:$AL$2,0)),"")</f>
        <v>4.1</v>
      </c>
      <c r="AD22" s="269">
        <f>IFERROR(INDEX('Inputs (2)'!$D$56:$AL$56,MATCH(AD$7&amp;"",'Inputs (2)'!$D$2:$AL$2,0)),"")</f>
        <v>5.7</v>
      </c>
      <c r="AE22" s="269">
        <f>IFERROR(INDEX('Inputs (2)'!$D$56:$AL$56,MATCH(AE$7&amp;"",'Inputs (2)'!$D$2:$AL$2,0)),"")</f>
        <v>5.2</v>
      </c>
      <c r="AF22" s="269">
        <f>IFERROR(INDEX('Inputs (2)'!$D$56:$AL$56,MATCH(AF$7&amp;"",'Inputs (2)'!$D$2:$AL$2,0)),"")</f>
        <v>5.1</v>
      </c>
      <c r="AG22" s="270">
        <f>IF(COUNT(AC22:AF22)=4,SUM(AC22:AF22),"")</f>
        <v>20.1</v>
      </c>
      <c r="AH22" s="270">
        <f>IFERROR(INDEX('Inputs (2)'!$D$56:$AL$56,MATCH(AH$7&amp;"",'Inputs (2)'!$D$2:$AL$2,0)),"")</f>
        <v>5.3</v>
      </c>
      <c r="AI22" s="270">
        <f>IFERROR(INDEX('Inputs (2)'!$D$56:$AL$56,MATCH(AI$7&amp;"",'Inputs (2)'!$D$2:$AL$2,0)),"")</f>
        <v>6</v>
      </c>
    </row>
    <row r="23">
      <c r="C23" s="268" t="inlineStr">
        <is>
          <t xml:space="preserve">   Servicos prestados aos municipios</t>
        </is>
      </c>
      <c r="D23" s="269" t="str">
        <f>IFERROR(INDEX('Inputs (2)'!$D$57:$AL$57,MATCH(D$7&amp;"",'Inputs (2)'!$D$2:$AL$2,0)),"")</f>
        <v/>
      </c>
      <c r="E23" s="269" t="str">
        <f>IFERROR(INDEX('Inputs (2)'!$D$57:$AL$57,MATCH(E$7&amp;"",'Inputs (2)'!$D$2:$AL$2,0)),"")</f>
        <v/>
      </c>
      <c r="F23" s="269" t="str">
        <f>IFERROR(INDEX('Inputs (2)'!$D$57:$AL$57,MATCH(F$7&amp;"",'Inputs (2)'!$D$2:$AL$2,0)),"")</f>
        <v/>
      </c>
      <c r="G23" s="269" t="str">
        <f>IFERROR(INDEX('Inputs (2)'!$D$57:$AL$57,MATCH(G$7&amp;"",'Inputs (2)'!$D$2:$AL$2,0)),"")</f>
        <v/>
      </c>
      <c r="H23" s="270" t="str">
        <f>IF(COUNT(D23:G23)=4,SUM(D23:G23),"")</f>
        <v/>
      </c>
      <c r="I23" s="269">
        <f>IFERROR(INDEX('Inputs (2)'!$D$57:$AL$57,MATCH(I$7&amp;"",'Inputs (2)'!$D$2:$AL$2,0)),"")</f>
        <v>5.1</v>
      </c>
      <c r="J23" s="269">
        <f>IFERROR(INDEX('Inputs (2)'!$D$57:$AL$57,MATCH(J$7&amp;"",'Inputs (2)'!$D$2:$AL$2,0)),"")</f>
        <v>5.2</v>
      </c>
      <c r="K23" s="269">
        <f>IFERROR(INDEX('Inputs (2)'!$D$57:$AL$57,MATCH(K$7&amp;"",'Inputs (2)'!$D$2:$AL$2,0)),"")</f>
        <v>5.4</v>
      </c>
      <c r="L23" s="269">
        <f>IFERROR(INDEX('Inputs (2)'!$D$57:$AL$57,MATCH(L$7&amp;"",'Inputs (2)'!$D$2:$AL$2,0)),"")</f>
        <v>5.2</v>
      </c>
      <c r="M23" s="270">
        <f>IF(COUNT(I23:L23)=4,SUM(I23:L23),"")</f>
        <v>20.9</v>
      </c>
      <c r="N23" s="269">
        <f>IFERROR(INDEX('Inputs (2)'!$D$57:$AL$57,MATCH(N$7&amp;"",'Inputs (2)'!$D$2:$AL$2,0)),"")</f>
        <v>5.3</v>
      </c>
      <c r="O23" s="269">
        <f>IFERROR(INDEX('Inputs (2)'!$D$57:$AL$57,MATCH(O$7&amp;"",'Inputs (2)'!$D$2:$AL$2,0)),"")</f>
        <v>5.4</v>
      </c>
      <c r="P23" s="269">
        <f>IFERROR(INDEX('Inputs (2)'!$D$57:$AL$57,MATCH(P$7&amp;"",'Inputs (2)'!$D$2:$AL$2,0)),"")</f>
        <v>5.7</v>
      </c>
      <c r="Q23" s="269">
        <f>IFERROR(INDEX('Inputs (2)'!$D$57:$AL$57,MATCH(Q$7&amp;"",'Inputs (2)'!$D$2:$AL$2,0)),"")</f>
        <v>5.6</v>
      </c>
      <c r="R23" s="270">
        <f>IF(COUNT(N23:Q23)=4,SUM(N23:Q23),"")</f>
        <v>22</v>
      </c>
      <c r="S23" s="269">
        <f>IFERROR(INDEX('Inputs (2)'!$D$57:$AL$57,MATCH(S$7&amp;"",'Inputs (2)'!$D$2:$AL$2,0)),"")</f>
        <v>5.7</v>
      </c>
      <c r="T23" s="269">
        <f>IFERROR(INDEX('Inputs (2)'!$D$57:$AL$57,MATCH(T$7&amp;"",'Inputs (2)'!$D$2:$AL$2,0)),"")</f>
        <v>6</v>
      </c>
      <c r="U23" s="269">
        <f>IFERROR(INDEX('Inputs (2)'!$D$57:$AL$57,MATCH(U$7&amp;"",'Inputs (2)'!$D$2:$AL$2,0)),"")</f>
        <v>6.3</v>
      </c>
      <c r="V23" s="269">
        <f>IFERROR(INDEX('Inputs (2)'!$D$57:$AL$57,MATCH(V$7&amp;"",'Inputs (2)'!$D$2:$AL$2,0)),"")</f>
        <v>6.4</v>
      </c>
      <c r="W23" s="270">
        <f>IF(COUNT(S23:V23)=4,SUM(S23:V23),"")</f>
        <v>24.4</v>
      </c>
      <c r="X23" s="269">
        <f>IFERROR(INDEX('Inputs (2)'!$D$57:$AL$57,MATCH(X$7&amp;"",'Inputs (2)'!$D$2:$AL$2,0)),"")</f>
        <v>6.4</v>
      </c>
      <c r="Y23" s="269">
        <f>IFERROR(INDEX('Inputs (2)'!$D$57:$AL$57,MATCH(Y$7&amp;"",'Inputs (2)'!$D$2:$AL$2,0)),"")</f>
        <v>6.4</v>
      </c>
      <c r="Z23" s="269">
        <f>IFERROR(INDEX('Inputs (2)'!$D$57:$AL$57,MATCH(Z$7&amp;"",'Inputs (2)'!$D$2:$AL$2,0)),"")</f>
        <v>6.5</v>
      </c>
      <c r="AA23" s="269">
        <f>IFERROR(INDEX('Inputs (2)'!$D$57:$AL$57,MATCH(AA$7&amp;"",'Inputs (2)'!$D$2:$AL$2,0)),"")</f>
        <v>6.4</v>
      </c>
      <c r="AB23" s="270">
        <f>IF(COUNT(X23:AA23)=4,SUM(X23:AA23),"")</f>
        <v>25.7</v>
      </c>
      <c r="AC23" s="269">
        <f>IFERROR(INDEX('Inputs (2)'!$D$57:$AL$57,MATCH(AC$7&amp;"",'Inputs (2)'!$D$2:$AL$2,0)),"")</f>
        <v>6.4</v>
      </c>
      <c r="AD23" s="269">
        <f>IFERROR(INDEX('Inputs (2)'!$D$57:$AL$57,MATCH(AD$7&amp;"",'Inputs (2)'!$D$2:$AL$2,0)),"")</f>
        <v>6.6</v>
      </c>
      <c r="AE23" s="269">
        <f>IFERROR(INDEX('Inputs (2)'!$D$57:$AL$57,MATCH(AE$7&amp;"",'Inputs (2)'!$D$2:$AL$2,0)),"")</f>
        <v>6.6</v>
      </c>
      <c r="AF23" s="269">
        <f>IFERROR(INDEX('Inputs (2)'!$D$57:$AL$57,MATCH(AF$7&amp;"",'Inputs (2)'!$D$2:$AL$2,0)),"")</f>
        <v>6.7</v>
      </c>
      <c r="AG23" s="270">
        <f>IF(COUNT(AC23:AF23)=4,SUM(AC23:AF23),"")</f>
        <v>26.3</v>
      </c>
      <c r="AH23" s="270">
        <f>IFERROR(INDEX('Inputs (2)'!$D$57:$AL$57,MATCH(AH$7&amp;"",'Inputs (2)'!$D$2:$AL$2,0)),"")</f>
        <v>6.9</v>
      </c>
      <c r="AI23" s="270">
        <f>IFERROR(INDEX('Inputs (2)'!$D$57:$AL$57,MATCH(AI$7&amp;"",'Inputs (2)'!$D$2:$AL$2,0)),"")</f>
        <v>7.1</v>
      </c>
    </row>
    <row r="24">
      <c r="C24" s="268" t="inlineStr">
        <is>
          <t xml:space="preserve">   Doacoes efetuadas por clientes</t>
        </is>
      </c>
      <c r="D24" s="269" t="str">
        <f>IFERROR(INDEX('Inputs (2)'!$D$58:$AL$58,MATCH(D$7&amp;"",'Inputs (2)'!$D$2:$AL$2,0)),"")</f>
        <v/>
      </c>
      <c r="E24" s="269" t="str">
        <f>IFERROR(INDEX('Inputs (2)'!$D$58:$AL$58,MATCH(E$7&amp;"",'Inputs (2)'!$D$2:$AL$2,0)),"")</f>
        <v/>
      </c>
      <c r="F24" s="269" t="str">
        <f>IFERROR(INDEX('Inputs (2)'!$D$58:$AL$58,MATCH(F$7&amp;"",'Inputs (2)'!$D$2:$AL$2,0)),"")</f>
        <v/>
      </c>
      <c r="G24" s="269" t="str">
        <f>IFERROR(INDEX('Inputs (2)'!$D$58:$AL$58,MATCH(G$7&amp;"",'Inputs (2)'!$D$2:$AL$2,0)),"")</f>
        <v/>
      </c>
      <c r="H24" s="270" t="str">
        <f>IF(COUNT(D24:G24)=4,SUM(D24:G24),"")</f>
        <v/>
      </c>
      <c r="I24" s="269">
        <f>IFERROR(INDEX('Inputs (2)'!$D$58:$AL$58,MATCH(I$7&amp;"",'Inputs (2)'!$D$2:$AL$2,0)),"")</f>
        <v>7.2</v>
      </c>
      <c r="J24" s="269">
        <f>IFERROR(INDEX('Inputs (2)'!$D$58:$AL$58,MATCH(J$7&amp;"",'Inputs (2)'!$D$2:$AL$2,0)),"")</f>
        <v>11.1</v>
      </c>
      <c r="K24" s="269">
        <f>IFERROR(INDEX('Inputs (2)'!$D$58:$AL$58,MATCH(K$7&amp;"",'Inputs (2)'!$D$2:$AL$2,0)),"")</f>
        <v>6.9</v>
      </c>
      <c r="L24" s="269">
        <f>IFERROR(INDEX('Inputs (2)'!$D$58:$AL$58,MATCH(L$7&amp;"",'Inputs (2)'!$D$2:$AL$2,0)),"")</f>
        <v>9</v>
      </c>
      <c r="M24" s="270">
        <f>IF(COUNT(I24:L24)=4,SUM(I24:L24),"")</f>
        <v>34.2</v>
      </c>
      <c r="N24" s="269">
        <f>IFERROR(INDEX('Inputs (2)'!$D$58:$AL$58,MATCH(N$7&amp;"",'Inputs (2)'!$D$2:$AL$2,0)),"")</f>
        <v>7.4</v>
      </c>
      <c r="O24" s="269">
        <f>IFERROR(INDEX('Inputs (2)'!$D$58:$AL$58,MATCH(O$7&amp;"",'Inputs (2)'!$D$2:$AL$2,0)),"")</f>
        <v>7.3</v>
      </c>
      <c r="P24" s="269">
        <f>IFERROR(INDEX('Inputs (2)'!$D$58:$AL$58,MATCH(P$7&amp;"",'Inputs (2)'!$D$2:$AL$2,0)),"")</f>
        <v>9.5</v>
      </c>
      <c r="Q24" s="269">
        <f>IFERROR(INDEX('Inputs (2)'!$D$58:$AL$58,MATCH(Q$7&amp;"",'Inputs (2)'!$D$2:$AL$2,0)),"")</f>
        <v>11</v>
      </c>
      <c r="R24" s="270">
        <f>IF(COUNT(N24:Q24)=4,SUM(N24:Q24),"")</f>
        <v>35.2</v>
      </c>
      <c r="S24" s="269">
        <f>IFERROR(INDEX('Inputs (2)'!$D$58:$AL$58,MATCH(S$7&amp;"",'Inputs (2)'!$D$2:$AL$2,0)),"")</f>
        <v>9.3</v>
      </c>
      <c r="T24" s="269">
        <f>IFERROR(INDEX('Inputs (2)'!$D$58:$AL$58,MATCH(T$7&amp;"",'Inputs (2)'!$D$2:$AL$2,0)),"")</f>
        <v>9.1</v>
      </c>
      <c r="U24" s="269">
        <f>IFERROR(INDEX('Inputs (2)'!$D$58:$AL$58,MATCH(U$7&amp;"",'Inputs (2)'!$D$2:$AL$2,0)),"")</f>
        <v>9.4</v>
      </c>
      <c r="V24" s="269">
        <f>IFERROR(INDEX('Inputs (2)'!$D$58:$AL$58,MATCH(V$7&amp;"",'Inputs (2)'!$D$2:$AL$2,0)),"")</f>
        <v>7.2</v>
      </c>
      <c r="W24" s="270">
        <f>IF(COUNT(S24:V24)=4,SUM(S24:V24),"")</f>
        <v>35</v>
      </c>
      <c r="X24" s="269">
        <f>IFERROR(INDEX('Inputs (2)'!$D$58:$AL$58,MATCH(X$7&amp;"",'Inputs (2)'!$D$2:$AL$2,0)),"")</f>
        <v>10.5</v>
      </c>
      <c r="Y24" s="269">
        <f>IFERROR(INDEX('Inputs (2)'!$D$58:$AL$58,MATCH(Y$7&amp;"",'Inputs (2)'!$D$2:$AL$2,0)),"")</f>
        <v>10.1</v>
      </c>
      <c r="Z24" s="269">
        <f>IFERROR(INDEX('Inputs (2)'!$D$58:$AL$58,MATCH(Z$7&amp;"",'Inputs (2)'!$D$2:$AL$2,0)),"")</f>
        <v>10.4</v>
      </c>
      <c r="AA24" s="269">
        <f>IFERROR(INDEX('Inputs (2)'!$D$58:$AL$58,MATCH(AA$7&amp;"",'Inputs (2)'!$D$2:$AL$2,0)),"")</f>
        <v>14</v>
      </c>
      <c r="AB24" s="270">
        <f>IF(COUNT(X24:AA24)=4,SUM(X24:AA24),"")</f>
        <v>45</v>
      </c>
      <c r="AC24" s="269">
        <f>IFERROR(INDEX('Inputs (2)'!$D$58:$AL$58,MATCH(AC$7&amp;"",'Inputs (2)'!$D$2:$AL$2,0)),"")</f>
        <v>13.1</v>
      </c>
      <c r="AD24" s="269">
        <f>IFERROR(INDEX('Inputs (2)'!$D$58:$AL$58,MATCH(AD$7&amp;"",'Inputs (2)'!$D$2:$AL$2,0)),"")</f>
        <v>6.7</v>
      </c>
      <c r="AE24" s="269">
        <f>IFERROR(INDEX('Inputs (2)'!$D$58:$AL$58,MATCH(AE$7&amp;"",'Inputs (2)'!$D$2:$AL$2,0)),"")</f>
        <v>6.8</v>
      </c>
      <c r="AF24" s="269">
        <f>IFERROR(INDEX('Inputs (2)'!$D$58:$AL$58,MATCH(AF$7&amp;"",'Inputs (2)'!$D$2:$AL$2,0)),"")</f>
        <v>12</v>
      </c>
      <c r="AG24" s="270">
        <f>IF(COUNT(AC24:AF24)=4,SUM(AC24:AF24),"")</f>
        <v>38.6</v>
      </c>
      <c r="AH24" s="270">
        <f>IFERROR(INDEX('Inputs (2)'!$D$58:$AL$58,MATCH(AH$7&amp;"",'Inputs (2)'!$D$2:$AL$2,0)),"")</f>
        <v>8.7</v>
      </c>
      <c r="AI24" s="270">
        <f>IFERROR(INDEX('Inputs (2)'!$D$58:$AL$58,MATCH(AI$7&amp;"",'Inputs (2)'!$D$2:$AL$2,0)),"")</f>
        <v>6.5</v>
      </c>
    </row>
    <row r="25">
      <c r="C25" s="268" t="inlineStr">
        <is>
          <t xml:space="preserve">   Outras receitas</t>
        </is>
      </c>
      <c r="D25" s="269" t="str">
        <f>IFERROR(INDEX('Inputs (2)'!$D$59:$AL$59,MATCH(D$7&amp;"",'Inputs (2)'!$D$2:$AL$2,0)),"")</f>
        <v/>
      </c>
      <c r="E25" s="269" t="str">
        <f>IFERROR(INDEX('Inputs (2)'!$D$59:$AL$59,MATCH(E$7&amp;"",'Inputs (2)'!$D$2:$AL$2,0)),"")</f>
        <v/>
      </c>
      <c r="F25" s="269" t="str">
        <f>IFERROR(INDEX('Inputs (2)'!$D$59:$AL$59,MATCH(F$7&amp;"",'Inputs (2)'!$D$2:$AL$2,0)),"")</f>
        <v/>
      </c>
      <c r="G25" s="269" t="str">
        <f>IFERROR(INDEX('Inputs (2)'!$D$59:$AL$59,MATCH(G$7&amp;"",'Inputs (2)'!$D$2:$AL$2,0)),"")</f>
        <v/>
      </c>
      <c r="H25" s="270" t="str">
        <f>IF(COUNT(D25:G25)=4,SUM(D25:G25),"")</f>
        <v/>
      </c>
      <c r="I25" s="269">
        <f>IFERROR(INDEX('Inputs (2)'!$D$59:$AL$59,MATCH(I$7&amp;"",'Inputs (2)'!$D$2:$AL$2,0)),"")</f>
        <v>1.3</v>
      </c>
      <c r="J25" s="269">
        <f>IFERROR(INDEX('Inputs (2)'!$D$59:$AL$59,MATCH(J$7&amp;"",'Inputs (2)'!$D$2:$AL$2,0)),"")</f>
        <v>1.2</v>
      </c>
      <c r="K25" s="269">
        <f>IFERROR(INDEX('Inputs (2)'!$D$59:$AL$59,MATCH(K$7&amp;"",'Inputs (2)'!$D$2:$AL$2,0)),"")</f>
        <v>1.4</v>
      </c>
      <c r="L25" s="269">
        <f>IFERROR(INDEX('Inputs (2)'!$D$59:$AL$59,MATCH(L$7&amp;"",'Inputs (2)'!$D$2:$AL$2,0)),"")</f>
        <v>1.9</v>
      </c>
      <c r="M25" s="270">
        <f>IF(COUNT(I25:L25)=4,SUM(I25:L25),"")</f>
        <v>5.8</v>
      </c>
      <c r="N25" s="269">
        <f>IFERROR(INDEX('Inputs (2)'!$D$59:$AL$59,MATCH(N$7&amp;"",'Inputs (2)'!$D$2:$AL$2,0)),"")</f>
        <v>1.4</v>
      </c>
      <c r="O25" s="269">
        <f>IFERROR(INDEX('Inputs (2)'!$D$59:$AL$59,MATCH(O$7&amp;"",'Inputs (2)'!$D$2:$AL$2,0)),"")</f>
        <v>1.2</v>
      </c>
      <c r="P25" s="269">
        <f>IFERROR(INDEX('Inputs (2)'!$D$59:$AL$59,MATCH(P$7&amp;"",'Inputs (2)'!$D$2:$AL$2,0)),"")</f>
        <v>2.1</v>
      </c>
      <c r="Q25" s="269">
        <f>IFERROR(INDEX('Inputs (2)'!$D$59:$AL$59,MATCH(Q$7&amp;"",'Inputs (2)'!$D$2:$AL$2,0)),"")</f>
        <v>1.7</v>
      </c>
      <c r="R25" s="270">
        <f>IF(COUNT(N25:Q25)=4,SUM(N25:Q25),"")</f>
        <v>6.4</v>
      </c>
      <c r="S25" s="269">
        <f>IFERROR(INDEX('Inputs (2)'!$D$59:$AL$59,MATCH(S$7&amp;"",'Inputs (2)'!$D$2:$AL$2,0)),"")</f>
        <v>2</v>
      </c>
      <c r="T25" s="269">
        <f>IFERROR(INDEX('Inputs (2)'!$D$59:$AL$59,MATCH(T$7&amp;"",'Inputs (2)'!$D$2:$AL$2,0)),"")</f>
        <v>1.3</v>
      </c>
      <c r="U25" s="269">
        <f>IFERROR(INDEX('Inputs (2)'!$D$59:$AL$59,MATCH(U$7&amp;"",'Inputs (2)'!$D$2:$AL$2,0)),"")</f>
        <v>1.9</v>
      </c>
      <c r="V25" s="269">
        <f>IFERROR(INDEX('Inputs (2)'!$D$59:$AL$59,MATCH(V$7&amp;"",'Inputs (2)'!$D$2:$AL$2,0)),"")</f>
        <v>6</v>
      </c>
      <c r="W25" s="270">
        <f>IF(COUNT(S25:V25)=4,SUM(S25:V25),"")</f>
        <v>11.2</v>
      </c>
      <c r="X25" s="269">
        <f>IFERROR(INDEX('Inputs (2)'!$D$59:$AL$59,MATCH(X$7&amp;"",'Inputs (2)'!$D$2:$AL$2,0)),"")</f>
        <v>1.5</v>
      </c>
      <c r="Y25" s="269">
        <f>IFERROR(INDEX('Inputs (2)'!$D$59:$AL$59,MATCH(Y$7&amp;"",'Inputs (2)'!$D$2:$AL$2,0)),"")</f>
        <v>1.6</v>
      </c>
      <c r="Z25" s="269">
        <f>IFERROR(INDEX('Inputs (2)'!$D$59:$AL$59,MATCH(Z$7&amp;"",'Inputs (2)'!$D$2:$AL$2,0)),"")</f>
        <v>2.4</v>
      </c>
      <c r="AA25" s="269">
        <f>IFERROR(INDEX('Inputs (2)'!$D$59:$AL$59,MATCH(AA$7&amp;"",'Inputs (2)'!$D$2:$AL$2,0)),"")</f>
        <v>2.3</v>
      </c>
      <c r="AB25" s="270">
        <f>IF(COUNT(X25:AA25)=4,SUM(X25:AA25),"")</f>
        <v>7.8</v>
      </c>
      <c r="AC25" s="269">
        <f>IFERROR(INDEX('Inputs (2)'!$D$59:$AL$59,MATCH(AC$7&amp;"",'Inputs (2)'!$D$2:$AL$2,0)),"")</f>
        <v>2.6</v>
      </c>
      <c r="AD25" s="269">
        <f>IFERROR(INDEX('Inputs (2)'!$D$59:$AL$59,MATCH(AD$7&amp;"",'Inputs (2)'!$D$2:$AL$2,0)),"")</f>
        <v>3.2</v>
      </c>
      <c r="AE25" s="269">
        <f>IFERROR(INDEX('Inputs (2)'!$D$59:$AL$59,MATCH(AE$7&amp;"",'Inputs (2)'!$D$2:$AL$2,0)),"")</f>
        <v>1.8</v>
      </c>
      <c r="AF25" s="269">
        <f>IFERROR(INDEX('Inputs (2)'!$D$59:$AL$59,MATCH(AF$7&amp;"",'Inputs (2)'!$D$2:$AL$2,0)),"")</f>
        <v>2.3</v>
      </c>
      <c r="AG25" s="270">
        <f>IF(COUNT(AC25:AF25)=4,SUM(AC25:AF25),"")</f>
        <v>9.9</v>
      </c>
      <c r="AH25" s="270">
        <f>IFERROR(INDEX('Inputs (2)'!$D$59:$AL$59,MATCH(AH$7&amp;"",'Inputs (2)'!$D$2:$AL$2,0)),"")</f>
        <v>2.4</v>
      </c>
      <c r="AI25" s="270">
        <f>IFERROR(INDEX('Inputs (2)'!$D$59:$AL$59,MATCH(AI$7&amp;"",'Inputs (2)'!$D$2:$AL$2,0)),"")</f>
        <v>2.4</v>
      </c>
    </row>
    <row r="26">
      <c r="C26" s="271" t="inlineStr">
        <is>
          <t>Receita operacional bruta (soma)</t>
        </is>
      </c>
      <c r="D26" s="269" t="str">
        <f>IF(COUNT(D19:D25)=0,"",SUM(D19:D25))</f>
        <v/>
      </c>
      <c r="E26" s="269" t="str">
        <f>IF(COUNT(E19:E25)=0,"",SUM(E19:E25))</f>
        <v/>
      </c>
      <c r="F26" s="269" t="str">
        <f>IF(COUNT(F19:F25)=0,"",SUM(F19:F25))</f>
        <v/>
      </c>
      <c r="G26" s="269" t="str">
        <f>IF(COUNT(G19:G25)=0,"",SUM(G19:G25))</f>
        <v/>
      </c>
      <c r="H26" s="270" t="str">
        <f>IF(COUNT(H19:H25)=0,"",SUM(H19:H25))</f>
        <v/>
      </c>
      <c r="I26" s="269">
        <f>IF(COUNT(I19:I25)=0,"",SUM(I19:I25))</f>
        <v>1318.5</v>
      </c>
      <c r="J26" s="269">
        <f>IF(COUNT(J19:J25)=0,"",SUM(J19:J25))</f>
        <v>1370.6</v>
      </c>
      <c r="K26" s="269">
        <f>IF(COUNT(K19:K25)=0,"",SUM(K19:K25))</f>
        <v>1420.6</v>
      </c>
      <c r="L26" s="269">
        <f>IF(COUNT(L19:L25)=0,"",SUM(L19:L25))</f>
        <v>1484.2</v>
      </c>
      <c r="M26" s="270">
        <f>IF(COUNT(M19:M25)=0,"",SUM(M19:M25))</f>
        <v>5593.9</v>
      </c>
      <c r="N26" s="269">
        <f>IF(COUNT(N19:N25)=0,"",SUM(N19:N25))</f>
        <v>1512</v>
      </c>
      <c r="O26" s="269">
        <f>IF(COUNT(O19:O25)=0,"",SUM(O19:O25))</f>
        <v>1461.7</v>
      </c>
      <c r="P26" s="269">
        <f>IF(COUNT(P19:P25)=0,"",SUM(P19:P25))</f>
        <v>1544</v>
      </c>
      <c r="Q26" s="269">
        <f>IF(COUNT(Q19:Q25)=0,"",SUM(Q19:Q25))</f>
        <v>1592.3</v>
      </c>
      <c r="R26" s="270">
        <f>IF(COUNT(R19:R25)=0,"",SUM(R19:R25))</f>
        <v>6110</v>
      </c>
      <c r="S26" s="269">
        <f>IF(COUNT(S19:S25)=0,"",SUM(S19:S25))</f>
        <v>1567.1</v>
      </c>
      <c r="T26" s="269">
        <f>IF(COUNT(T19:T25)=0,"",SUM(T19:T25))</f>
        <v>1656.3</v>
      </c>
      <c r="U26" s="269">
        <f>IF(COUNT(U19:U25)=0,"",SUM(U19:U25))</f>
        <v>1730.5</v>
      </c>
      <c r="V26" s="269">
        <f>IF(COUNT(V19:V25)=0,"",SUM(V19:V25))</f>
        <v>1829.1</v>
      </c>
      <c r="W26" s="270">
        <f>IF(COUNT(W19:W25)=0,"",SUM(W19:W25))</f>
        <v>6783</v>
      </c>
      <c r="X26" s="269">
        <f>IF(COUNT(X19:X25)=0,"",SUM(X19:X25))</f>
        <v>1829.6</v>
      </c>
      <c r="Y26" s="269">
        <f>IF(COUNT(Y19:Y25)=0,"",SUM(Y19:Y25))</f>
        <v>1790.7</v>
      </c>
      <c r="Z26" s="269">
        <f>IF(COUNT(Z19:Z25)=0,"",SUM(Z19:Z25))</f>
        <v>1840.9</v>
      </c>
      <c r="AA26" s="269">
        <f>IF(COUNT(AA19:AA25)=0,"",SUM(AA19:AA25))</f>
        <v>1913.4</v>
      </c>
      <c r="AB26" s="270">
        <f>IF(COUNT(AB19:AB25)=0,"",SUM(AB19:AB25))</f>
        <v>7374.6</v>
      </c>
      <c r="AC26" s="269">
        <f>IF(COUNT(AC19:AC25)=0,"",SUM(AC19:AC25))</f>
        <v>1943.7</v>
      </c>
      <c r="AD26" s="269">
        <f>IF(COUNT(AD19:AD25)=0,"",SUM(AD19:AD25))</f>
        <v>1833.2</v>
      </c>
      <c r="AE26" s="269">
        <f>IF(COUNT(AE19:AE25)=0,"",SUM(AE19:AE25))</f>
        <v>1937.9</v>
      </c>
      <c r="AF26" s="269">
        <f>IF(COUNT(AF19:AF25)=0,"",SUM(AF19:AF25))</f>
        <v>2031.8</v>
      </c>
      <c r="AG26" s="270">
        <f>IF(COUNT(AG19:AG25)=0,"",SUM(AG19:AG25))</f>
        <v>7746.6</v>
      </c>
      <c r="AH26" s="270">
        <f>IF(COUNT(AH19:AH25)=0,"",SUM(AH19:AH25))</f>
        <v>2092.5</v>
      </c>
      <c r="AI26" s="270">
        <f>IF(COUNT(AI19:AI25)=0,"",SUM(AI19:AI25))</f>
        <v>2040</v>
      </c>
    </row>
    <row r="27">
      <c r="C27" s="268" t="inlineStr">
        <is>
          <t>(-) Deducoes (COFINS e PASEP)</t>
        </is>
      </c>
      <c r="D27" s="269" t="str">
        <f>IFERROR(INDEX('Inputs (2)'!$D$60:$AL$60,MATCH(D$7&amp;"",'Inputs (2)'!$D$2:$AL$2,0)),"")</f>
        <v/>
      </c>
      <c r="E27" s="269" t="str">
        <f>IFERROR(INDEX('Inputs (2)'!$D$60:$AL$60,MATCH(E$7&amp;"",'Inputs (2)'!$D$2:$AL$2,0)),"")</f>
        <v/>
      </c>
      <c r="F27" s="269" t="str">
        <f>IFERROR(INDEX('Inputs (2)'!$D$60:$AL$60,MATCH(F$7&amp;"",'Inputs (2)'!$D$2:$AL$2,0)),"")</f>
        <v/>
      </c>
      <c r="G27" s="269" t="str">
        <f>IFERROR(INDEX('Inputs (2)'!$D$60:$AL$60,MATCH(G$7&amp;"",'Inputs (2)'!$D$2:$AL$2,0)),"")</f>
        <v/>
      </c>
      <c r="H27" s="270" t="str">
        <f>IF(COUNT(D27:G27)=4,SUM(D27:G27),"")</f>
        <v/>
      </c>
      <c r="I27" s="269">
        <f>IFERROR(INDEX('Inputs (2)'!$D$60:$AL$60,MATCH(I$7&amp;"",'Inputs (2)'!$D$2:$AL$2,0)),"")</f>
        <v>-92</v>
      </c>
      <c r="J27" s="269">
        <f>IFERROR(INDEX('Inputs (2)'!$D$60:$AL$60,MATCH(J$7&amp;"",'Inputs (2)'!$D$2:$AL$2,0)),"")</f>
        <v>-97.2</v>
      </c>
      <c r="K27" s="269">
        <f>IFERROR(INDEX('Inputs (2)'!$D$60:$AL$60,MATCH(K$7&amp;"",'Inputs (2)'!$D$2:$AL$2,0)),"")</f>
        <v>-99.3</v>
      </c>
      <c r="L27" s="269">
        <f>IFERROR(INDEX('Inputs (2)'!$D$60:$AL$60,MATCH(L$7&amp;"",'Inputs (2)'!$D$2:$AL$2,0)),"")</f>
        <v>-101</v>
      </c>
      <c r="M27" s="270">
        <f>IF(COUNT(I27:L27)=4,SUM(I27:L27),"")</f>
        <v>-389.5</v>
      </c>
      <c r="N27" s="269">
        <f>IFERROR(INDEX('Inputs (2)'!$D$60:$AL$60,MATCH(N$7&amp;"",'Inputs (2)'!$D$2:$AL$2,0)),"")</f>
        <v>-105.2</v>
      </c>
      <c r="O27" s="269">
        <f>IFERROR(INDEX('Inputs (2)'!$D$60:$AL$60,MATCH(O$7&amp;"",'Inputs (2)'!$D$2:$AL$2,0)),"")</f>
        <v>-102.5</v>
      </c>
      <c r="P27" s="269">
        <f>IFERROR(INDEX('Inputs (2)'!$D$60:$AL$60,MATCH(P$7&amp;"",'Inputs (2)'!$D$2:$AL$2,0)),"")</f>
        <v>-111.6</v>
      </c>
      <c r="Q27" s="269">
        <f>IFERROR(INDEX('Inputs (2)'!$D$60:$AL$60,MATCH(Q$7&amp;"",'Inputs (2)'!$D$2:$AL$2,0)),"")</f>
        <v>-117.1</v>
      </c>
      <c r="R27" s="270">
        <f>IF(COUNT(N27:Q27)=4,SUM(N27:Q27),"")</f>
        <v>-436.4</v>
      </c>
      <c r="S27" s="269">
        <f>IFERROR(INDEX('Inputs (2)'!$D$60:$AL$60,MATCH(S$7&amp;"",'Inputs (2)'!$D$2:$AL$2,0)),"")</f>
        <v>-113.1</v>
      </c>
      <c r="T27" s="269">
        <f>IFERROR(INDEX('Inputs (2)'!$D$60:$AL$60,MATCH(T$7&amp;"",'Inputs (2)'!$D$2:$AL$2,0)),"")</f>
        <v>-120.3</v>
      </c>
      <c r="U27" s="269">
        <f>IFERROR(INDEX('Inputs (2)'!$D$60:$AL$60,MATCH(U$7&amp;"",'Inputs (2)'!$D$2:$AL$2,0)),"")</f>
        <v>-124.7</v>
      </c>
      <c r="V27" s="269">
        <f>IFERROR(INDEX('Inputs (2)'!$D$60:$AL$60,MATCH(V$7&amp;"",'Inputs (2)'!$D$2:$AL$2,0)),"")</f>
        <v>-132.2</v>
      </c>
      <c r="W27" s="270">
        <f>IF(COUNT(S27:V27)=4,SUM(S27:V27),"")</f>
        <v>-490.3</v>
      </c>
      <c r="X27" s="269">
        <f>IFERROR(INDEX('Inputs (2)'!$D$60:$AL$60,MATCH(X$7&amp;"",'Inputs (2)'!$D$2:$AL$2,0)),"")</f>
        <v>-131.6</v>
      </c>
      <c r="Y27" s="269">
        <f>IFERROR(INDEX('Inputs (2)'!$D$60:$AL$60,MATCH(Y$7&amp;"",'Inputs (2)'!$D$2:$AL$2,0)),"")</f>
        <v>-126.4</v>
      </c>
      <c r="Z27" s="269">
        <f>IFERROR(INDEX('Inputs (2)'!$D$60:$AL$60,MATCH(Z$7&amp;"",'Inputs (2)'!$D$2:$AL$2,0)),"")</f>
        <v>-131.2</v>
      </c>
      <c r="AA27" s="269">
        <f>IFERROR(INDEX('Inputs (2)'!$D$60:$AL$60,MATCH(AA$7&amp;"",'Inputs (2)'!$D$2:$AL$2,0)),"")</f>
        <v>-137.2</v>
      </c>
      <c r="AB27" s="270">
        <f>IF(COUNT(X27:AA27)=4,SUM(X27:AA27),"")</f>
        <v>-526.4</v>
      </c>
      <c r="AC27" s="269">
        <f>IFERROR(INDEX('Inputs (2)'!$D$60:$AL$60,MATCH(AC$7&amp;"",'Inputs (2)'!$D$2:$AL$2,0)),"")</f>
        <v>-138.5</v>
      </c>
      <c r="AD27" s="269">
        <f>IFERROR(INDEX('Inputs (2)'!$D$60:$AL$60,MATCH(AD$7&amp;"",'Inputs (2)'!$D$2:$AL$2,0)),"")</f>
        <v>-127.8</v>
      </c>
      <c r="AE27" s="269">
        <f>IFERROR(INDEX('Inputs (2)'!$D$60:$AL$60,MATCH(AE$7&amp;"",'Inputs (2)'!$D$2:$AL$2,0)),"")</f>
        <v>-133.7</v>
      </c>
      <c r="AF27" s="269">
        <f>IFERROR(INDEX('Inputs (2)'!$D$60:$AL$60,MATCH(AF$7&amp;"",'Inputs (2)'!$D$2:$AL$2,0)),"")</f>
        <v>-140.9</v>
      </c>
      <c r="AG27" s="270">
        <f>IF(COUNT(AC27:AF27)=4,SUM(AC27:AF27),"")</f>
        <v>-540.9</v>
      </c>
      <c r="AH27" s="270">
        <f>IFERROR(INDEX('Inputs (2)'!$D$60:$AL$60,MATCH(AH$7&amp;"",'Inputs (2)'!$D$2:$AL$2,0)),"")</f>
        <v>-146.1</v>
      </c>
      <c r="AI27" s="270">
        <f>IFERROR(INDEX('Inputs (2)'!$D$60:$AL$60,MATCH(AI$7&amp;"",'Inputs (2)'!$D$2:$AL$2,0)),"")</f>
        <v>-138.9</v>
      </c>
    </row>
    <row r="28">
      <c r="C28" s="271" t="inlineStr">
        <is>
          <t>Receita liquida (bruta - deducoes)</t>
        </is>
      </c>
      <c r="D28" s="269" t="str">
        <f>IF(COUNT(D26,D27)&lt;2,"",D26+D27)</f>
        <v/>
      </c>
      <c r="E28" s="269" t="str">
        <f>IF(COUNT(E26,E27)&lt;2,"",E26+E27)</f>
        <v/>
      </c>
      <c r="F28" s="269" t="str">
        <f>IF(COUNT(F26,F27)&lt;2,"",F26+F27)</f>
        <v/>
      </c>
      <c r="G28" s="269" t="str">
        <f>IF(COUNT(G26,G27)&lt;2,"",G26+G27)</f>
        <v/>
      </c>
      <c r="H28" s="270" t="str">
        <f>IF(COUNT(H26,H27)&lt;2,"",H26+H27)</f>
        <v/>
      </c>
      <c r="I28" s="269">
        <f>IF(COUNT(I26,I27)&lt;2,"",I26+I27)</f>
        <v>1226.5</v>
      </c>
      <c r="J28" s="269">
        <f>IF(COUNT(J26,J27)&lt;2,"",J26+J27)</f>
        <v>1273.4</v>
      </c>
      <c r="K28" s="269">
        <f>IF(COUNT(K26,K27)&lt;2,"",K26+K27)</f>
        <v>1321.3</v>
      </c>
      <c r="L28" s="269">
        <f>IF(COUNT(L26,L27)&lt;2,"",L26+L27)</f>
        <v>1383.2</v>
      </c>
      <c r="M28" s="270">
        <f>IF(COUNT(M26,M27)&lt;2,"",M26+M27)</f>
        <v>5204.4</v>
      </c>
      <c r="N28" s="269">
        <f>IF(COUNT(N26,N27)&lt;2,"",N26+N27)</f>
        <v>1406.8</v>
      </c>
      <c r="O28" s="269">
        <f>IF(COUNT(O26,O27)&lt;2,"",O26+O27)</f>
        <v>1359.2</v>
      </c>
      <c r="P28" s="269">
        <f>IF(COUNT(P26,P27)&lt;2,"",P26+P27)</f>
        <v>1432.4</v>
      </c>
      <c r="Q28" s="269">
        <f>IF(COUNT(Q26,Q27)&lt;2,"",Q26+Q27)</f>
        <v>1475.2</v>
      </c>
      <c r="R28" s="270">
        <f>IF(COUNT(R26,R27)&lt;2,"",R26+R27)</f>
        <v>5673.6</v>
      </c>
      <c r="S28" s="269">
        <f>IF(COUNT(S26,S27)&lt;2,"",S26+S27)</f>
        <v>1454</v>
      </c>
      <c r="T28" s="269">
        <f>IF(COUNT(T26,T27)&lt;2,"",T26+T27)</f>
        <v>1536</v>
      </c>
      <c r="U28" s="269">
        <f>IF(COUNT(U26,U27)&lt;2,"",U26+U27)</f>
        <v>1605.8</v>
      </c>
      <c r="V28" s="269">
        <f>IF(COUNT(V26,V27)&lt;2,"",V26+V27)</f>
        <v>1696.9</v>
      </c>
      <c r="W28" s="270">
        <f>IF(COUNT(W26,W27)&lt;2,"",W26+W27)</f>
        <v>6292.7</v>
      </c>
      <c r="X28" s="269">
        <f>IF(COUNT(X26,X27)&lt;2,"",X26+X27)</f>
        <v>1698</v>
      </c>
      <c r="Y28" s="269">
        <f>IF(COUNT(Y26,Y27)&lt;2,"",Y26+Y27)</f>
        <v>1664.3</v>
      </c>
      <c r="Z28" s="269">
        <f>IF(COUNT(Z26,Z27)&lt;2,"",Z26+Z27)</f>
        <v>1709.7</v>
      </c>
      <c r="AA28" s="269">
        <f>IF(COUNT(AA26,AA27)&lt;2,"",AA26+AA27)</f>
        <v>1776.2</v>
      </c>
      <c r="AB28" s="270">
        <f>IF(COUNT(AB26,AB27)&lt;2,"",AB26+AB27)</f>
        <v>6848.2</v>
      </c>
      <c r="AC28" s="269">
        <f>IF(COUNT(AC26,AC27)&lt;2,"",AC26+AC27)</f>
        <v>1805.2</v>
      </c>
      <c r="AD28" s="269">
        <f>IF(COUNT(AD26,AD27)&lt;2,"",AD26+AD27)</f>
        <v>1705.4</v>
      </c>
      <c r="AE28" s="269">
        <f>IF(COUNT(AE26,AE27)&lt;2,"",AE26+AE27)</f>
        <v>1804.2</v>
      </c>
      <c r="AF28" s="269">
        <f>IF(COUNT(AF26,AF27)&lt;2,"",AF26+AF27)</f>
        <v>1890.9</v>
      </c>
      <c r="AG28" s="270">
        <f>IF(COUNT(AG26,AG27)&lt;2,"",AG26+AG27)</f>
        <v>7205.7</v>
      </c>
      <c r="AH28" s="270">
        <f>IF(COUNT(AH26,AH27)&lt;2,"",AH26+AH27)</f>
        <v>1946.4</v>
      </c>
      <c r="AI28" s="270">
        <f>IF(COUNT(AI26,AI27)&lt;2,"",AI26+AI27)</f>
        <v>1901.1</v>
      </c>
    </row>
    <row r="29">
      <c r="C29" s="268" t="inlineStr">
        <is>
          <t>Check vs Net Revenues (linha 15)</t>
        </is>
      </c>
      <c r="D29" s="269" t="str">
        <f>IF(COUNT(D28)=0,"",D15-D28)</f>
        <v/>
      </c>
      <c r="E29" s="269" t="str">
        <f>IF(COUNT(E28)=0,"",E15-E28)</f>
        <v/>
      </c>
      <c r="F29" s="269" t="str">
        <f>IF(COUNT(F28)=0,"",F15-F28)</f>
        <v/>
      </c>
      <c r="G29" s="269" t="str">
        <f>IF(COUNT(G28)=0,"",G15-G28)</f>
        <v/>
      </c>
      <c r="H29" s="270" t="str">
        <f>IF(COUNT(H28)=0,"",H15-H28)</f>
        <v/>
      </c>
      <c r="I29" s="269">
        <f>IF(COUNT(I28)=0,"",I15-I28)</f>
        <v>-0.0239999999998872</v>
      </c>
      <c r="J29" s="269">
        <f>IF(COUNT(J28)=0,"",J15-J28)</f>
        <v>-0.0110000000001946</v>
      </c>
      <c r="K29" s="269">
        <f>IF(COUNT(K28)=0,"",K15-K28)</f>
        <v>0.0599999999997181</v>
      </c>
      <c r="L29" s="269">
        <f>IF(COUNT(L28)=0,"",L15-L28)</f>
        <v>-0.0130000000001473</v>
      </c>
      <c r="M29" s="270">
        <f>IF(COUNT(M28)=0,"",M15-M28)</f>
        <v>0.0120000000006257</v>
      </c>
      <c r="N29" s="269">
        <f>IF(COUNT(N28)=0,"",N15-N28)</f>
        <v>0.0420000000001437</v>
      </c>
      <c r="O29" s="269">
        <f>IF(COUNT(O28)=0,"",O15-O28)</f>
        <v>-0.0869999999999891</v>
      </c>
      <c r="P29" s="269">
        <f>IF(COUNT(P28)=0,"",P15-P28)</f>
        <v>0.0639999999998508</v>
      </c>
      <c r="Q29" s="269">
        <f>IF(COUNT(Q28)=0,"",Q15-Q28)</f>
        <v>0.02800000000002</v>
      </c>
      <c r="R29" s="270">
        <f>IF(COUNT(R28)=0,"",R15-R28)</f>
        <v>0.0469999999995707</v>
      </c>
      <c r="S29" s="269">
        <f>IF(COUNT(S28)=0,"",S15-S28)</f>
        <v>-0.0370000000002619</v>
      </c>
      <c r="T29" s="269">
        <f>IF(COUNT(T28)=0,"",T15-T28)</f>
        <v>0.0289999999999964</v>
      </c>
      <c r="U29" s="269">
        <f>IF(COUNT(U28)=0,"",U15-U28)</f>
        <v>-0.0239999999998872</v>
      </c>
      <c r="V29" s="269">
        <f>IF(COUNT(V28)=0,"",V15-V28)</f>
        <v>0.068000000000211</v>
      </c>
      <c r="W29" s="270">
        <f>IF(COUNT(W28)=0,"",W15-W28)</f>
        <v>0.0360000000009677</v>
      </c>
      <c r="X29" s="269">
        <f>IF(COUNT(X28)=0,"",X15-X28)</f>
        <v>0.0119999999997162</v>
      </c>
      <c r="Y29" s="269">
        <f>IF(COUNT(Y28)=0,"",Y15-Y28)</f>
        <v>-0.0479999999997744</v>
      </c>
      <c r="Z29" s="269">
        <f>IF(COUNT(Z28)=0,"",Z15-Z28)</f>
        <v>0.0480000000000018</v>
      </c>
      <c r="AA29" s="269">
        <f>IF(COUNT(AA28)=0,"",AA15-AA28)</f>
        <v>0.00700000000006185</v>
      </c>
      <c r="AB29" s="270">
        <f>IF(COUNT(AB28)=0,"",AB15-AB28)</f>
        <v>0.0189999999993233</v>
      </c>
      <c r="AC29" s="269">
        <f>IF(COUNT(AC28)=0,"",AC15-AC28)</f>
        <v>0.0330000000001292</v>
      </c>
      <c r="AD29" s="269">
        <f>IF(COUNT(AD28)=0,"",AD15-AD28)</f>
        <v>-0.0289999999999964</v>
      </c>
      <c r="AE29" s="269">
        <f>IF(COUNT(AE28)=0,"",AE15-AE28)</f>
        <v>-0.0289999999999964</v>
      </c>
      <c r="AF29" s="269">
        <f>IF(COUNT(AF28)=0,"",AF15-AF28)</f>
        <v>0.0520000000001346</v>
      </c>
      <c r="AG29" s="270">
        <f>IF(COUNT(AG28)=0,"",AG15-AG28)</f>
        <v>0.0270000000000437</v>
      </c>
      <c r="AH29" s="270">
        <f>IF(COUNT(AH28)=0,"",AH15-AH28)</f>
        <v>-0.0460000000000491</v>
      </c>
      <c r="AI29" s="270">
        <f>IF(COUNT(AI28)=0,"",AI15-AI28)</f>
        <v>0.0599999999999454</v>
      </c>
    </row>
    <row r="30"/>
    <row r="31">
      <c r="C31" s="267" t="inlineStr">
        <is>
          <t>Drivers - volume x tarifa (releases)</t>
        </is>
      </c>
      <c r="D31" s="267">
        <f>D7</f>
        <v>0</v>
      </c>
      <c r="E31" s="267">
        <f>E7</f>
        <v>0</v>
      </c>
      <c r="F31" s="267">
        <f>F7</f>
        <v>0</v>
      </c>
      <c r="G31" s="267">
        <f>G7</f>
        <v>0</v>
      </c>
      <c r="H31" s="267">
        <f>H7</f>
        <v>2020</v>
      </c>
      <c r="I31" s="267" t="str">
        <f>I7</f>
        <v>1Q21</v>
      </c>
      <c r="J31" s="267" t="str">
        <f>J7</f>
        <v>2Q21</v>
      </c>
      <c r="K31" s="267" t="str">
        <f>K7</f>
        <v>3Q21</v>
      </c>
      <c r="L31" s="267" t="str">
        <f>L7</f>
        <v>4Q21</v>
      </c>
      <c r="M31" s="267">
        <f>M7</f>
        <v>2021</v>
      </c>
      <c r="N31" s="267" t="str">
        <f>N7</f>
        <v>1Q22</v>
      </c>
      <c r="O31" s="267" t="str">
        <f>O7</f>
        <v>2Q22</v>
      </c>
      <c r="P31" s="267" t="str">
        <f>P7</f>
        <v>3Q22</v>
      </c>
      <c r="Q31" s="267" t="str">
        <f>Q7</f>
        <v>4Q22</v>
      </c>
      <c r="R31" s="267">
        <f>R7</f>
        <v>2022</v>
      </c>
      <c r="S31" s="267" t="str">
        <f>S7</f>
        <v>1Q23</v>
      </c>
      <c r="T31" s="267" t="str">
        <f>T7</f>
        <v>2Q23</v>
      </c>
      <c r="U31" s="267" t="str">
        <f>U7</f>
        <v>3Q23</v>
      </c>
      <c r="V31" s="267" t="str">
        <f>V7</f>
        <v>4Q23</v>
      </c>
      <c r="W31" s="267">
        <f>W7</f>
        <v>2023</v>
      </c>
      <c r="X31" s="267" t="str">
        <f>X7</f>
        <v>1Q24</v>
      </c>
      <c r="Y31" s="267" t="str">
        <f>Y7</f>
        <v>2Q24</v>
      </c>
      <c r="Z31" s="267" t="str">
        <f>Z7</f>
        <v>3Q24</v>
      </c>
      <c r="AA31" s="267" t="str">
        <f>AA7</f>
        <v>4Q24</v>
      </c>
      <c r="AB31" s="267">
        <f>AB7</f>
        <v>2024</v>
      </c>
      <c r="AC31" s="267" t="str">
        <f>AC7</f>
        <v>1Q25</v>
      </c>
      <c r="AD31" s="267" t="str">
        <f>AD7</f>
        <v>2Q25</v>
      </c>
      <c r="AE31" s="267" t="str">
        <f>AE7</f>
        <v>3Q25</v>
      </c>
      <c r="AF31" s="267" t="str">
        <f>AF7</f>
        <v>4Q25</v>
      </c>
      <c r="AG31" s="267">
        <f>AG7</f>
        <v>2025</v>
      </c>
      <c r="AH31" s="267" t="str">
        <f>AH7</f>
        <v>1Q26</v>
      </c>
      <c r="AI31" s="267" t="str">
        <f>AI7</f>
        <v>2Q26</v>
      </c>
    </row>
    <row r="32">
      <c r="C32" s="268" t="inlineStr">
        <is>
          <t>Volume faturado de agua (milhoes de m3)</t>
        </is>
      </c>
      <c r="D32" s="269" t="str">
        <f>IFERROR(INDEX('Inputs (2)'!$D$61:$AL$61,MATCH(D$7&amp;"",'Inputs (2)'!$D$2:$AL$2,0)),"")</f>
        <v/>
      </c>
      <c r="E32" s="269" t="str">
        <f>IFERROR(INDEX('Inputs (2)'!$D$61:$AL$61,MATCH(E$7&amp;"",'Inputs (2)'!$D$2:$AL$2,0)),"")</f>
        <v/>
      </c>
      <c r="F32" s="269" t="str">
        <f>IFERROR(INDEX('Inputs (2)'!$D$61:$AL$61,MATCH(F$7&amp;"",'Inputs (2)'!$D$2:$AL$2,0)),"")</f>
        <v/>
      </c>
      <c r="G32" s="269" t="str">
        <f>IFERROR(INDEX('Inputs (2)'!$D$61:$AL$61,MATCH(G$7&amp;"",'Inputs (2)'!$D$2:$AL$2,0)),"")</f>
        <v/>
      </c>
      <c r="H32" s="270" t="str">
        <f>IF(COUNT(D32:G32)=4,SUM(D32:G32),"")</f>
        <v/>
      </c>
      <c r="I32" s="269">
        <f>IFERROR(INDEX('Inputs (2)'!$D$61:$AL$61,MATCH(I$7&amp;"",'Inputs (2)'!$D$2:$AL$2,0)),"")</f>
        <v>130.4</v>
      </c>
      <c r="J32" s="269">
        <f>IFERROR(INDEX('Inputs (2)'!$D$61:$AL$61,MATCH(J$7&amp;"",'Inputs (2)'!$D$2:$AL$2,0)),"")</f>
        <v>130</v>
      </c>
      <c r="K32" s="269">
        <f>IFERROR(INDEX('Inputs (2)'!$D$61:$AL$61,MATCH(K$7&amp;"",'Inputs (2)'!$D$2:$AL$2,0)),"")</f>
        <v>127.9</v>
      </c>
      <c r="L32" s="269">
        <f>IFERROR(INDEX('Inputs (2)'!$D$61:$AL$61,MATCH(L$7&amp;"",'Inputs (2)'!$D$2:$AL$2,0)),"")</f>
        <v>133.2</v>
      </c>
      <c r="M32" s="270">
        <f>IF(COUNT(I32:L32)=4,SUM(I32:L32),"")</f>
        <v>521.5</v>
      </c>
      <c r="N32" s="269">
        <f>IFERROR(INDEX('Inputs (2)'!$D$61:$AL$61,MATCH(N$7&amp;"",'Inputs (2)'!$D$2:$AL$2,0)),"")</f>
        <v>137</v>
      </c>
      <c r="O32" s="269">
        <f>IFERROR(INDEX('Inputs (2)'!$D$61:$AL$61,MATCH(O$7&amp;"",'Inputs (2)'!$D$2:$AL$2,0)),"")</f>
        <v>130</v>
      </c>
      <c r="P32" s="269">
        <f>IFERROR(INDEX('Inputs (2)'!$D$61:$AL$61,MATCH(P$7&amp;"",'Inputs (2)'!$D$2:$AL$2,0)),"")</f>
        <v>132</v>
      </c>
      <c r="Q32" s="269">
        <f>IFERROR(INDEX('Inputs (2)'!$D$61:$AL$61,MATCH(Q$7&amp;"",'Inputs (2)'!$D$2:$AL$2,0)),"")</f>
        <v>135.6</v>
      </c>
      <c r="R32" s="270">
        <f>IF(COUNT(N32:Q32)=4,SUM(N32:Q32),"")</f>
        <v>534.6</v>
      </c>
      <c r="S32" s="269">
        <f>IFERROR(INDEX('Inputs (2)'!$D$61:$AL$61,MATCH(S$7&amp;"",'Inputs (2)'!$D$2:$AL$2,0)),"")</f>
        <v>137.4</v>
      </c>
      <c r="T32" s="269">
        <f>IFERROR(INDEX('Inputs (2)'!$D$61:$AL$61,MATCH(T$7&amp;"",'Inputs (2)'!$D$2:$AL$2,0)),"")</f>
        <v>139.5</v>
      </c>
      <c r="U32" s="269">
        <f>IFERROR(INDEX('Inputs (2)'!$D$61:$AL$61,MATCH(U$7&amp;"",'Inputs (2)'!$D$2:$AL$2,0)),"")</f>
        <v>138</v>
      </c>
      <c r="V32" s="269">
        <f>IFERROR(INDEX('Inputs (2)'!$D$61:$AL$61,MATCH(V$7&amp;"",'Inputs (2)'!$D$2:$AL$2,0)),"")</f>
        <v>144.7</v>
      </c>
      <c r="W32" s="270">
        <f>IF(COUNT(S32:V32)=4,SUM(S32:V32),"")</f>
        <v>559.6</v>
      </c>
      <c r="X32" s="269">
        <f>IFERROR(INDEX('Inputs (2)'!$D$61:$AL$61,MATCH(X$7&amp;"",'Inputs (2)'!$D$2:$AL$2,0)),"")</f>
        <v>148.3</v>
      </c>
      <c r="Y32" s="269">
        <f>IFERROR(INDEX('Inputs (2)'!$D$61:$AL$61,MATCH(Y$7&amp;"",'Inputs (2)'!$D$2:$AL$2,0)),"")</f>
        <v>144.3</v>
      </c>
      <c r="Z32" s="269">
        <f>IFERROR(INDEX('Inputs (2)'!$D$61:$AL$61,MATCH(Z$7&amp;"",'Inputs (2)'!$D$2:$AL$2,0)),"")</f>
        <v>142.8</v>
      </c>
      <c r="AA32" s="269">
        <f>IFERROR(INDEX('Inputs (2)'!$D$61:$AL$61,MATCH(AA$7&amp;"",'Inputs (2)'!$D$2:$AL$2,0)),"")</f>
        <v>147.6</v>
      </c>
      <c r="AB32" s="270">
        <f>IF(COUNT(X32:AA32)=4,SUM(X32:AA32),"")</f>
        <v>583</v>
      </c>
      <c r="AC32" s="269">
        <f>IFERROR(INDEX('Inputs (2)'!$D$61:$AL$61,MATCH(AC$7&amp;"",'Inputs (2)'!$D$2:$AL$2,0)),"")</f>
        <v>152.8</v>
      </c>
      <c r="AD32" s="269">
        <f>IFERROR(INDEX('Inputs (2)'!$D$61:$AL$61,MATCH(AD$7&amp;"",'Inputs (2)'!$D$2:$AL$2,0)),"")</f>
        <v>142.2</v>
      </c>
      <c r="AE32" s="269">
        <f>IFERROR(INDEX('Inputs (2)'!$D$61:$AL$61,MATCH(AE$7&amp;"",'Inputs (2)'!$D$2:$AL$2,0)),"")</f>
        <v>144.5</v>
      </c>
      <c r="AF32" s="269">
        <f>IFERROR(INDEX('Inputs (2)'!$D$61:$AL$61,MATCH(AF$7&amp;"",'Inputs (2)'!$D$2:$AL$2,0)),"")</f>
        <v>149.2</v>
      </c>
      <c r="AG32" s="270">
        <f>IF(COUNT(AC32:AF32)=4,SUM(AC32:AF32),"")</f>
        <v>588.7</v>
      </c>
      <c r="AH32" s="270">
        <f>IFERROR(INDEX('Inputs (2)'!$D$61:$AL$61,MATCH(AH$7&amp;"",'Inputs (2)'!$D$2:$AL$2,0)),"")</f>
        <v>154.7</v>
      </c>
      <c r="AI32" s="270">
        <f>IFERROR(INDEX('Inputs (2)'!$D$61:$AL$61,MATCH(AI$7&amp;"",'Inputs (2)'!$D$2:$AL$2,0)),"")</f>
        <v>149.1</v>
      </c>
    </row>
    <row r="33">
      <c r="C33" s="268" t="inlineStr">
        <is>
          <t xml:space="preserve">   % YoY</t>
        </is>
      </c>
      <c r="D33" s="272" t="str">
        <f>""</f>
        <v/>
      </c>
      <c r="E33" s="272" t="str">
        <f>""</f>
        <v/>
      </c>
      <c r="F33" s="272" t="str">
        <f>""</f>
        <v/>
      </c>
      <c r="G33" s="272" t="str">
        <f>""</f>
        <v/>
      </c>
      <c r="H33" s="273" t="str">
        <f>""</f>
        <v/>
      </c>
      <c r="I33" s="272" t="str">
        <f>IFERROR(I32/D32-1,"")</f>
        <v/>
      </c>
      <c r="J33" s="272" t="str">
        <f>IFERROR(J32/E32-1,"")</f>
        <v/>
      </c>
      <c r="K33" s="272" t="str">
        <f>IFERROR(K32/F32-1,"")</f>
        <v/>
      </c>
      <c r="L33" s="272" t="str">
        <f>IFERROR(L32/G32-1,"")</f>
        <v/>
      </c>
      <c r="M33" s="273" t="str">
        <f>IFERROR(M32/H32-1,"")</f>
        <v/>
      </c>
      <c r="N33" s="272">
        <f>IFERROR(N32/I32-1,"")</f>
        <v>0.0506134969325154</v>
      </c>
      <c r="O33" s="272">
        <f>IFERROR(O32/J32-1,"")</f>
        <v>0</v>
      </c>
      <c r="P33" s="272">
        <f>IFERROR(P32/K32-1,"")</f>
        <v>0.0320562939796716</v>
      </c>
      <c r="Q33" s="272">
        <f>IFERROR(Q32/L32-1,"")</f>
        <v>0.0180180180180181</v>
      </c>
      <c r="R33" s="273">
        <f>IFERROR(R32/M32-1,"")</f>
        <v>0.0251198465963567</v>
      </c>
      <c r="S33" s="272">
        <f>IFERROR(S32/N32-1,"")</f>
        <v>0.00291970802919717</v>
      </c>
      <c r="T33" s="272">
        <f>IFERROR(T32/O32-1,"")</f>
        <v>0.073076923076923</v>
      </c>
      <c r="U33" s="272">
        <f>IFERROR(U32/P32-1,"")</f>
        <v>0.0454545454545454</v>
      </c>
      <c r="V33" s="272">
        <f>IFERROR(V32/Q32-1,"")</f>
        <v>0.0671091445427727</v>
      </c>
      <c r="W33" s="273">
        <f>IFERROR(W32/R32-1,"")</f>
        <v>0.0467639356528242</v>
      </c>
      <c r="X33" s="272">
        <f>IFERROR(X32/S32-1,"")</f>
        <v>0.079330422125182</v>
      </c>
      <c r="Y33" s="272">
        <f>IFERROR(Y32/T32-1,"")</f>
        <v>0.0344086021505377</v>
      </c>
      <c r="Z33" s="272">
        <f>IFERROR(Z32/U32-1,"")</f>
        <v>0.0347826086956522</v>
      </c>
      <c r="AA33" s="272">
        <f>IFERROR(AA32/V32-1,"")</f>
        <v>0.0200414651002074</v>
      </c>
      <c r="AB33" s="273">
        <f>IFERROR(AB32/W32-1,"")</f>
        <v>0.0418155825589708</v>
      </c>
      <c r="AC33" s="272">
        <f>IFERROR(AC32/X32-1,"")</f>
        <v>0.0303438975050574</v>
      </c>
      <c r="AD33" s="272">
        <f>IFERROR(AD32/Y32-1,"")</f>
        <v>-0.0145530145530147</v>
      </c>
      <c r="AE33" s="272">
        <f>IFERROR(AE32/Z32-1,"")</f>
        <v>0.0119047619047619</v>
      </c>
      <c r="AF33" s="272">
        <f>IFERROR(AF32/AA32-1,"")</f>
        <v>0.0108401084010841</v>
      </c>
      <c r="AG33" s="273">
        <f>IFERROR(AG32/AB32-1,"")</f>
        <v>0.00977701543739284</v>
      </c>
      <c r="AH33" s="273">
        <f>IFERROR(AH32/AC32-1,"")</f>
        <v>0.0124345549738218</v>
      </c>
      <c r="AI33" s="273">
        <f>IFERROR(AI32/AD32-1,"")</f>
        <v>0.0485232067510548</v>
      </c>
    </row>
    <row r="34">
      <c r="C34" s="268" t="inlineStr">
        <is>
          <t>Tarifa media de agua (R$/m3 = receita / volume)</t>
        </is>
      </c>
      <c r="D34" s="274" t="str">
        <f>IFERROR(D19/D32,"")</f>
        <v/>
      </c>
      <c r="E34" s="274" t="str">
        <f>IFERROR(E19/E32,"")</f>
        <v/>
      </c>
      <c r="F34" s="274" t="str">
        <f>IFERROR(F19/F32,"")</f>
        <v/>
      </c>
      <c r="G34" s="274" t="str">
        <f>IFERROR(G19/G32,"")</f>
        <v/>
      </c>
      <c r="H34" s="275" t="str">
        <f>IFERROR(H19/H32,"")</f>
        <v/>
      </c>
      <c r="I34" s="274">
        <f>IFERROR(I19/I32,"")</f>
        <v>6.18174846625767</v>
      </c>
      <c r="J34" s="274">
        <f>IFERROR(J19/J32,"")</f>
        <v>6.41461538461538</v>
      </c>
      <c r="K34" s="274">
        <f>IFERROR(K19/K32,"")</f>
        <v>6.77795152462862</v>
      </c>
      <c r="L34" s="274">
        <f>IFERROR(L19/L32,"")</f>
        <v>6.81906906906907</v>
      </c>
      <c r="M34" s="275">
        <f>IFERROR(M19/M32,"")</f>
        <v>6.54880153403643</v>
      </c>
      <c r="N34" s="274">
        <f>IFERROR(N19/N32,"")</f>
        <v>6.71532846715328</v>
      </c>
      <c r="O34" s="274">
        <f>IFERROR(O19/O32,"")</f>
        <v>6.81923076923077</v>
      </c>
      <c r="P34" s="274">
        <f>IFERROR(P19/P32,"")</f>
        <v>7.19469696969697</v>
      </c>
      <c r="Q34" s="274">
        <f>IFERROR(Q19/Q32,"")</f>
        <v>7.25958702064897</v>
      </c>
      <c r="R34" s="275">
        <f>IFERROR(R19/R32,"")</f>
        <v>6.99700710811822</v>
      </c>
      <c r="S34" s="274">
        <f>IFERROR(S19/S32,"")</f>
        <v>7.30058224163028</v>
      </c>
      <c r="T34" s="274">
        <f>IFERROR(T19/T32,"")</f>
        <v>7.26810035842294</v>
      </c>
      <c r="U34" s="274">
        <f>IFERROR(U19/U32,"")</f>
        <v>7.60942028985507</v>
      </c>
      <c r="V34" s="274">
        <f>IFERROR(V19/V32,"")</f>
        <v>7.63510711817554</v>
      </c>
      <c r="W34" s="275">
        <f>IFERROR(W19/W32,"")</f>
        <v>7.45514653323803</v>
      </c>
      <c r="X34" s="274">
        <f>IFERROR(X19/X32,"")</f>
        <v>7.38840188806473</v>
      </c>
      <c r="Y34" s="274">
        <f>IFERROR(Y19/Y32,"")</f>
        <v>7.33264033264033</v>
      </c>
      <c r="Z34" s="274">
        <f>IFERROR(Z19/Z32,"")</f>
        <v>7.60994397759104</v>
      </c>
      <c r="AA34" s="274">
        <f>IFERROR(AA19/AA32,"")</f>
        <v>7.64363143631436</v>
      </c>
      <c r="AB34" s="275">
        <f>IFERROR(AB19/AB32,"")</f>
        <v>7.4934819897084</v>
      </c>
      <c r="AC34" s="274">
        <f>IFERROR(AC19/AC32,"")</f>
        <v>7.55955497382199</v>
      </c>
      <c r="AD34" s="274">
        <f>IFERROR(AD19/AD32,"")</f>
        <v>7.64205344585092</v>
      </c>
      <c r="AE34" s="274">
        <f>IFERROR(AE19/AE32,"")</f>
        <v>7.93910034602076</v>
      </c>
      <c r="AF34" s="274">
        <f>IFERROR(AF19/AF32,"")</f>
        <v>8.0127345844504</v>
      </c>
      <c r="AG34" s="275">
        <f>IFERROR(AG19/AG32,"")</f>
        <v>7.78749787667742</v>
      </c>
      <c r="AH34" s="275">
        <f>IFERROR(AH19/AH32,"")</f>
        <v>8.00129282482224</v>
      </c>
      <c r="AI34" s="275">
        <f>IFERROR(AI19/AI32,"")</f>
        <v>8.03957075788062</v>
      </c>
    </row>
    <row r="35">
      <c r="C35" s="268" t="inlineStr">
        <is>
          <t xml:space="preserve">   % YoY</t>
        </is>
      </c>
      <c r="D35" s="272" t="str">
        <f>""</f>
        <v/>
      </c>
      <c r="E35" s="272" t="str">
        <f>""</f>
        <v/>
      </c>
      <c r="F35" s="272" t="str">
        <f>""</f>
        <v/>
      </c>
      <c r="G35" s="272" t="str">
        <f>""</f>
        <v/>
      </c>
      <c r="H35" s="273" t="str">
        <f>""</f>
        <v/>
      </c>
      <c r="I35" s="272" t="str">
        <f>IFERROR(I34/D34-1,"")</f>
        <v/>
      </c>
      <c r="J35" s="272" t="str">
        <f>IFERROR(J34/E34-1,"")</f>
        <v/>
      </c>
      <c r="K35" s="272" t="str">
        <f>IFERROR(K34/F34-1,"")</f>
        <v/>
      </c>
      <c r="L35" s="272" t="str">
        <f>IFERROR(L34/G34-1,"")</f>
        <v/>
      </c>
      <c r="M35" s="273" t="str">
        <f>IFERROR(M34/H34-1,"")</f>
        <v/>
      </c>
      <c r="N35" s="272">
        <f>IFERROR(N34/I34-1,"")</f>
        <v>0.0863153853328227</v>
      </c>
      <c r="O35" s="272">
        <f>IFERROR(O34/J34-1,"")</f>
        <v>0.0630771075668546</v>
      </c>
      <c r="P35" s="272">
        <f>IFERROR(P34/K34-1,"")</f>
        <v>0.0614854567127032</v>
      </c>
      <c r="Q35" s="272">
        <f>IFERROR(Q34/L34-1,"")</f>
        <v>0.0646008930424336</v>
      </c>
      <c r="R35" s="273">
        <f>IFERROR(R34/M34-1,"")</f>
        <v>0.0684408546742947</v>
      </c>
      <c r="S35" s="272">
        <f>IFERROR(S34/N34-1,"")</f>
        <v>0.0871519207645086</v>
      </c>
      <c r="T35" s="272">
        <f>IFERROR(T34/O34-1,"")</f>
        <v>0.0658240796333696</v>
      </c>
      <c r="U35" s="272">
        <f>IFERROR(U34/P34-1,"")</f>
        <v>0.0576429169852262</v>
      </c>
      <c r="V35" s="272">
        <f>IFERROR(V34/Q34-1,"")</f>
        <v>0.0517274738161344</v>
      </c>
      <c r="W35" s="273">
        <f>IFERROR(W34/R34-1,"")</f>
        <v>0.0654764841653879</v>
      </c>
      <c r="X35" s="272">
        <f>IFERROR(X34/S34-1,"")</f>
        <v>0.0120291291198231</v>
      </c>
      <c r="Y35" s="272">
        <f>IFERROR(Y34/T34-1,"")</f>
        <v>0.00887989585099747</v>
      </c>
      <c r="Z35" s="272">
        <f>IFERROR(Z34/U34-1,"")</f>
        <v>6.88209766337433e-05</v>
      </c>
      <c r="AA35" s="272">
        <f>IFERROR(AA34/V34-1,"")</f>
        <v>0.00111646346369332</v>
      </c>
      <c r="AB35" s="273">
        <f>IFERROR(AB34/W34-1,"")</f>
        <v>0.00514214660965573</v>
      </c>
      <c r="AC35" s="272">
        <f>IFERROR(AC34/X34-1,"")</f>
        <v>0.0231651023252724</v>
      </c>
      <c r="AD35" s="272">
        <f>IFERROR(AD34/Y34-1,"")</f>
        <v>0.0421966848466941</v>
      </c>
      <c r="AE35" s="272">
        <f>IFERROR(AE34/Z34-1,"")</f>
        <v>0.0432534548741739</v>
      </c>
      <c r="AF35" s="272">
        <f>IFERROR(AF34/AA34-1,"")</f>
        <v>0.0482889777210418</v>
      </c>
      <c r="AG35" s="273">
        <f>IFERROR(AG34/AB34-1,"")</f>
        <v>0.0392362172048752</v>
      </c>
      <c r="AH35" s="273">
        <f>IFERROR(AH34/AC34-1,"")</f>
        <v>0.0584343724637155</v>
      </c>
      <c r="AI35" s="273">
        <f>IFERROR(AI34/AD34-1,"")</f>
        <v>0.0520170808600569</v>
      </c>
    </row>
    <row r="36">
      <c r="C36" s="268" t="inlineStr">
        <is>
          <t>Ligacoes de agua (mil, fim do periodo)</t>
        </is>
      </c>
      <c r="D36" s="269" t="str">
        <f>IFERROR(IFERROR(INDEX('Inputs (2)'!$D$63:$AL$63,MATCH(D$7&amp;"",'Inputs (2)'!$D$2:$AL$2,0)),"")/1000,"")</f>
        <v/>
      </c>
      <c r="E36" s="269" t="str">
        <f>IFERROR(IFERROR(INDEX('Inputs (2)'!$D$63:$AL$63,MATCH(E$7&amp;"",'Inputs (2)'!$D$2:$AL$2,0)),"")/1000,"")</f>
        <v/>
      </c>
      <c r="F36" s="269" t="str">
        <f>IFERROR(IFERROR(INDEX('Inputs (2)'!$D$63:$AL$63,MATCH(F$7&amp;"",'Inputs (2)'!$D$2:$AL$2,0)),"")/1000,"")</f>
        <v/>
      </c>
      <c r="G36" s="269" t="str">
        <f>IFERROR(IFERROR(INDEX('Inputs (2)'!$D$63:$AL$63,MATCH(G$7&amp;"",'Inputs (2)'!$D$2:$AL$2,0)),"")/1000,"")</f>
        <v/>
      </c>
      <c r="H36" s="270" t="str">
        <f>IF(COUNT(G36)=0,"",G36)</f>
        <v/>
      </c>
      <c r="I36" s="269">
        <f>IFERROR(IFERROR(INDEX('Inputs (2)'!$D$63:$AL$63,MATCH(I$7&amp;"",'Inputs (2)'!$D$2:$AL$2,0)),"")/1000,"")</f>
        <v>3293.66</v>
      </c>
      <c r="J36" s="269">
        <f>IFERROR(IFERROR(INDEX('Inputs (2)'!$D$63:$AL$63,MATCH(J$7&amp;"",'Inputs (2)'!$D$2:$AL$2,0)),"")/1000,"")</f>
        <v>3312.137</v>
      </c>
      <c r="K36" s="269">
        <f>IFERROR(IFERROR(INDEX('Inputs (2)'!$D$63:$AL$63,MATCH(K$7&amp;"",'Inputs (2)'!$D$2:$AL$2,0)),"")/1000,"")</f>
        <v>3330.398</v>
      </c>
      <c r="L36" s="269">
        <f>IFERROR(IFERROR(INDEX('Inputs (2)'!$D$63:$AL$63,MATCH(L$7&amp;"",'Inputs (2)'!$D$2:$AL$2,0)),"")/1000,"")</f>
        <v>3348.441</v>
      </c>
      <c r="M36" s="270">
        <f>IF(COUNT(L36)=0,"",L36)</f>
        <v>3348.441</v>
      </c>
      <c r="N36" s="269">
        <f>IFERROR(IFERROR(INDEX('Inputs (2)'!$D$63:$AL$63,MATCH(N$7&amp;"",'Inputs (2)'!$D$2:$AL$2,0)),"")/1000,"")</f>
        <v>3366.868</v>
      </c>
      <c r="O36" s="269">
        <f>IFERROR(IFERROR(INDEX('Inputs (2)'!$D$63:$AL$63,MATCH(O$7&amp;"",'Inputs (2)'!$D$2:$AL$2,0)),"")/1000,"")</f>
        <v>3381.769</v>
      </c>
      <c r="P36" s="269">
        <f>IFERROR(IFERROR(INDEX('Inputs (2)'!$D$63:$AL$63,MATCH(P$7&amp;"",'Inputs (2)'!$D$2:$AL$2,0)),"")/1000,"")</f>
        <v>3397.534</v>
      </c>
      <c r="Q36" s="269">
        <f>IFERROR(IFERROR(INDEX('Inputs (2)'!$D$63:$AL$63,MATCH(Q$7&amp;"",'Inputs (2)'!$D$2:$AL$2,0)),"")/1000,"")</f>
        <v>3410.686</v>
      </c>
      <c r="R36" s="270">
        <f>IF(COUNT(Q36)=0,"",Q36)</f>
        <v>3410.686</v>
      </c>
      <c r="S36" s="269">
        <f>IFERROR(IFERROR(INDEX('Inputs (2)'!$D$63:$AL$63,MATCH(S$7&amp;"",'Inputs (2)'!$D$2:$AL$2,0)),"")/1000,"")</f>
        <v>3425.25</v>
      </c>
      <c r="T36" s="269">
        <f>IFERROR(IFERROR(INDEX('Inputs (2)'!$D$63:$AL$63,MATCH(T$7&amp;"",'Inputs (2)'!$D$2:$AL$2,0)),"")/1000,"")</f>
        <v>3436.14</v>
      </c>
      <c r="U36" s="269">
        <f>IFERROR(IFERROR(INDEX('Inputs (2)'!$D$63:$AL$63,MATCH(U$7&amp;"",'Inputs (2)'!$D$2:$AL$2,0)),"")/1000,"")</f>
        <v>3442.529</v>
      </c>
      <c r="V36" s="269">
        <f>IFERROR(IFERROR(INDEX('Inputs (2)'!$D$63:$AL$63,MATCH(V$7&amp;"",'Inputs (2)'!$D$2:$AL$2,0)),"")/1000,"")</f>
        <v>3448.9</v>
      </c>
      <c r="W36" s="270">
        <f>IF(COUNT(V36)=0,"",V36)</f>
        <v>3448.9</v>
      </c>
      <c r="X36" s="269">
        <f>IFERROR(IFERROR(INDEX('Inputs (2)'!$D$63:$AL$63,MATCH(X$7&amp;"",'Inputs (2)'!$D$2:$AL$2,0)),"")/1000,"")</f>
        <v>3455.943</v>
      </c>
      <c r="Y36" s="269">
        <f>IFERROR(IFERROR(INDEX('Inputs (2)'!$D$63:$AL$63,MATCH(Y$7&amp;"",'Inputs (2)'!$D$2:$AL$2,0)),"")/1000,"")</f>
        <v>3464.831</v>
      </c>
      <c r="Z36" s="269">
        <f>IFERROR(IFERROR(INDEX('Inputs (2)'!$D$63:$AL$63,MATCH(Z$7&amp;"",'Inputs (2)'!$D$2:$AL$2,0)),"")/1000,"")</f>
        <v>3474.005</v>
      </c>
      <c r="AA36" s="269">
        <f>IFERROR(IFERROR(INDEX('Inputs (2)'!$D$63:$AL$63,MATCH(AA$7&amp;"",'Inputs (2)'!$D$2:$AL$2,0)),"")/1000,"")</f>
        <v>3483.526</v>
      </c>
      <c r="AB36" s="270">
        <f>IF(COUNT(AA36)=0,"",AA36)</f>
        <v>3483.526</v>
      </c>
      <c r="AC36" s="269">
        <f>IFERROR(IFERROR(INDEX('Inputs (2)'!$D$63:$AL$63,MATCH(AC$7&amp;"",'Inputs (2)'!$D$2:$AL$2,0)),"")/1000,"")</f>
        <v>3494.686</v>
      </c>
      <c r="AD36" s="269">
        <f>IFERROR(IFERROR(INDEX('Inputs (2)'!$D$63:$AL$63,MATCH(AD$7&amp;"",'Inputs (2)'!$D$2:$AL$2,0)),"")/1000,"")</f>
        <v>3506.21</v>
      </c>
      <c r="AE36" s="269">
        <f>IFERROR(IFERROR(INDEX('Inputs (2)'!$D$63:$AL$63,MATCH(AE$7&amp;"",'Inputs (2)'!$D$2:$AL$2,0)),"")/1000,"")</f>
        <v>3518.097</v>
      </c>
      <c r="AF36" s="269">
        <f>IFERROR(IFERROR(INDEX('Inputs (2)'!$D$63:$AL$63,MATCH(AF$7&amp;"",'Inputs (2)'!$D$2:$AL$2,0)),"")/1000,"")</f>
        <v>3530.49</v>
      </c>
      <c r="AG36" s="270">
        <f>IF(COUNT(AF36)=0,"",AF36)</f>
        <v>3530.49</v>
      </c>
      <c r="AH36" s="270">
        <f>IFERROR(IFERROR(INDEX('Inputs (2)'!$D$63:$AL$63,MATCH(AH$7&amp;"",'Inputs (2)'!$D$2:$AL$2,0)),"")/1000,"")</f>
        <v>3542.988</v>
      </c>
      <c r="AI36" s="270">
        <f>IFERROR(IFERROR(INDEX('Inputs (2)'!$D$63:$AL$63,MATCH(AI$7&amp;"",'Inputs (2)'!$D$2:$AL$2,0)),"")/1000,"")</f>
        <v>3555.133</v>
      </c>
    </row>
    <row r="37">
      <c r="C37" s="268" t="inlineStr">
        <is>
          <t>Volume de agua por ligacao (m3/mes)</t>
        </is>
      </c>
      <c r="D37" s="276" t="str">
        <f>IFERROR(D32/D36*1000/3,"")</f>
        <v/>
      </c>
      <c r="E37" s="276" t="str">
        <f>IFERROR(E32/E36*1000/3,"")</f>
        <v/>
      </c>
      <c r="F37" s="276" t="str">
        <f>IFERROR(F32/F36*1000/3,"")</f>
        <v/>
      </c>
      <c r="G37" s="276" t="str">
        <f>IFERROR(G32/G36*1000/3,"")</f>
        <v/>
      </c>
      <c r="H37" s="277" t="str">
        <f>IFERROR(H32/H36*1000/12,"")</f>
        <v/>
      </c>
      <c r="I37" s="276">
        <f>IFERROR(I32/I36*1000/3,"")</f>
        <v>13.197071545535</v>
      </c>
      <c r="J37" s="276">
        <f>IFERROR(J32/J36*1000/3,"")</f>
        <v>13.0831947269492</v>
      </c>
      <c r="K37" s="276">
        <f>IFERROR(K32/K36*1000/3,"")</f>
        <v>12.8012728008284</v>
      </c>
      <c r="L37" s="276">
        <f>IFERROR(L32/L36*1000/3,"")</f>
        <v>13.2599021455059</v>
      </c>
      <c r="M37" s="277">
        <f>IFERROR(M32/M36*1000/12,"")</f>
        <v>12.9786767433959</v>
      </c>
      <c r="N37" s="276">
        <f>IFERROR(N32/N36*1000/3,"")</f>
        <v>13.5635453087756</v>
      </c>
      <c r="O37" s="276">
        <f>IFERROR(O32/O36*1000/3,"")</f>
        <v>12.8138064230092</v>
      </c>
      <c r="P37" s="276">
        <f>IFERROR(P32/P36*1000/3,"")</f>
        <v>12.950569442425</v>
      </c>
      <c r="Q37" s="276">
        <f>IFERROR(Q32/Q36*1000/3,"")</f>
        <v>13.2524659262096</v>
      </c>
      <c r="R37" s="277">
        <f>IFERROR(R32/R36*1000/12,"")</f>
        <v>13.0618884294831</v>
      </c>
      <c r="S37" s="276">
        <f>IFERROR(S32/S36*1000/3,"")</f>
        <v>13.3712867673892</v>
      </c>
      <c r="T37" s="276">
        <f>IFERROR(T32/T36*1000/3,"")</f>
        <v>13.5326267265012</v>
      </c>
      <c r="U37" s="276">
        <f>IFERROR(U32/U36*1000/3,"")</f>
        <v>13.3622694246003</v>
      </c>
      <c r="V37" s="276">
        <f>IFERROR(V32/V36*1000/3,"")</f>
        <v>13.985135357167</v>
      </c>
      <c r="W37" s="277">
        <f>IFERROR(W32/W36*1000/12,"")</f>
        <v>13.5212193259687</v>
      </c>
      <c r="X37" s="276">
        <f>IFERROR(X32/X36*1000/3,"")</f>
        <v>14.3038624576081</v>
      </c>
      <c r="Y37" s="276">
        <f>IFERROR(Y32/Y36*1000/3,"")</f>
        <v>13.8823509718079</v>
      </c>
      <c r="Z37" s="276">
        <f>IFERROR(Z32/Z36*1000/3,"")</f>
        <v>13.701764965796</v>
      </c>
      <c r="AA37" s="276">
        <f>IFERROR(AA32/AA36*1000/3,"")</f>
        <v>14.1236207222223</v>
      </c>
      <c r="AB37" s="277">
        <f>IFERROR(AB32/AB36*1000/12,"")</f>
        <v>13.9465970207581</v>
      </c>
      <c r="AC37" s="276">
        <f>IFERROR(AC32/AC36*1000/3,"")</f>
        <v>14.5745092215247</v>
      </c>
      <c r="AD37" s="276">
        <f>IFERROR(AD32/AD36*1000/3,"")</f>
        <v>13.5188708035172</v>
      </c>
      <c r="AE37" s="276">
        <f>IFERROR(AE32/AE36*1000/3,"")</f>
        <v>13.6911138796533</v>
      </c>
      <c r="AF37" s="276">
        <f>IFERROR(AF32/AF36*1000/3,"")</f>
        <v>14.0868075913919</v>
      </c>
      <c r="AG37" s="277">
        <f>IFERROR(AG32/AG36*1000/12,"")</f>
        <v>13.895616000423</v>
      </c>
      <c r="AH37" s="277">
        <f>IFERROR(AH32/AH36*1000/3,"")</f>
        <v>14.5545699467982</v>
      </c>
      <c r="AI37" s="277">
        <f>IFERROR(AI32/AI36*1000/3,"")</f>
        <v>13.9797864102412</v>
      </c>
    </row>
    <row r="38">
      <c r="C38" s="268" t="inlineStr">
        <is>
          <t>Volume faturado de esgoto (milhoes de m3)</t>
        </is>
      </c>
      <c r="D38" s="269" t="str">
        <f>IFERROR(INDEX('Inputs (2)'!$D$62:$AL$62,MATCH(D$7&amp;"",'Inputs (2)'!$D$2:$AL$2,0)),"")</f>
        <v/>
      </c>
      <c r="E38" s="269" t="str">
        <f>IFERROR(INDEX('Inputs (2)'!$D$62:$AL$62,MATCH(E$7&amp;"",'Inputs (2)'!$D$2:$AL$2,0)),"")</f>
        <v/>
      </c>
      <c r="F38" s="269" t="str">
        <f>IFERROR(INDEX('Inputs (2)'!$D$62:$AL$62,MATCH(F$7&amp;"",'Inputs (2)'!$D$2:$AL$2,0)),"")</f>
        <v/>
      </c>
      <c r="G38" s="269" t="str">
        <f>IFERROR(INDEX('Inputs (2)'!$D$62:$AL$62,MATCH(G$7&amp;"",'Inputs (2)'!$D$2:$AL$2,0)),"")</f>
        <v/>
      </c>
      <c r="H38" s="270" t="str">
        <f>IF(COUNT(D38:G38)=4,SUM(D38:G38),"")</f>
        <v/>
      </c>
      <c r="I38" s="269">
        <f>IFERROR(INDEX('Inputs (2)'!$D$62:$AL$62,MATCH(I$7&amp;"",'Inputs (2)'!$D$2:$AL$2,0)),"")</f>
        <v>98.5</v>
      </c>
      <c r="J38" s="269">
        <f>IFERROR(INDEX('Inputs (2)'!$D$62:$AL$62,MATCH(J$7&amp;"",'Inputs (2)'!$D$2:$AL$2,0)),"")</f>
        <v>98.8</v>
      </c>
      <c r="K38" s="269">
        <f>IFERROR(INDEX('Inputs (2)'!$D$62:$AL$62,MATCH(K$7&amp;"",'Inputs (2)'!$D$2:$AL$2,0)),"")</f>
        <v>97.7</v>
      </c>
      <c r="L38" s="269">
        <f>IFERROR(INDEX('Inputs (2)'!$D$62:$AL$62,MATCH(L$7&amp;"",'Inputs (2)'!$D$2:$AL$2,0)),"")</f>
        <v>101.5</v>
      </c>
      <c r="M38" s="270">
        <f>IF(COUNT(I38:L38)=4,SUM(I38:L38),"")</f>
        <v>396.5</v>
      </c>
      <c r="N38" s="269">
        <f>IFERROR(INDEX('Inputs (2)'!$D$62:$AL$62,MATCH(N$7&amp;"",'Inputs (2)'!$D$2:$AL$2,0)),"")</f>
        <v>104.3</v>
      </c>
      <c r="O38" s="269">
        <f>IFERROR(INDEX('Inputs (2)'!$D$62:$AL$62,MATCH(O$7&amp;"",'Inputs (2)'!$D$2:$AL$2,0)),"")</f>
        <v>100.7</v>
      </c>
      <c r="P38" s="269">
        <f>IFERROR(INDEX('Inputs (2)'!$D$62:$AL$62,MATCH(P$7&amp;"",'Inputs (2)'!$D$2:$AL$2,0)),"")</f>
        <v>102.5</v>
      </c>
      <c r="Q38" s="269">
        <f>IFERROR(INDEX('Inputs (2)'!$D$62:$AL$62,MATCH(Q$7&amp;"",'Inputs (2)'!$D$2:$AL$2,0)),"")</f>
        <v>105.3</v>
      </c>
      <c r="R38" s="270">
        <f>IF(COUNT(N38:Q38)=4,SUM(N38:Q38),"")</f>
        <v>412.8</v>
      </c>
      <c r="S38" s="269">
        <f>IFERROR(INDEX('Inputs (2)'!$D$62:$AL$62,MATCH(S$7&amp;"",'Inputs (2)'!$D$2:$AL$2,0)),"")</f>
        <v>107.3</v>
      </c>
      <c r="T38" s="269">
        <f>IFERROR(INDEX('Inputs (2)'!$D$62:$AL$62,MATCH(T$7&amp;"",'Inputs (2)'!$D$2:$AL$2,0)),"")</f>
        <v>109.8</v>
      </c>
      <c r="U38" s="269">
        <f>IFERROR(INDEX('Inputs (2)'!$D$62:$AL$62,MATCH(U$7&amp;"",'Inputs (2)'!$D$2:$AL$2,0)),"")</f>
        <v>109.3</v>
      </c>
      <c r="V38" s="269">
        <f>IFERROR(INDEX('Inputs (2)'!$D$62:$AL$62,MATCH(V$7&amp;"",'Inputs (2)'!$D$2:$AL$2,0)),"")</f>
        <v>114.8</v>
      </c>
      <c r="W38" s="270">
        <f>IF(COUNT(S38:V38)=4,SUM(S38:V38),"")</f>
        <v>441.2</v>
      </c>
      <c r="X38" s="269">
        <f>IFERROR(INDEX('Inputs (2)'!$D$62:$AL$62,MATCH(X$7&amp;"",'Inputs (2)'!$D$2:$AL$2,0)),"")</f>
        <v>117.3</v>
      </c>
      <c r="Y38" s="269">
        <f>IFERROR(INDEX('Inputs (2)'!$D$62:$AL$62,MATCH(Y$7&amp;"",'Inputs (2)'!$D$2:$AL$2,0)),"")</f>
        <v>115.6</v>
      </c>
      <c r="Z38" s="269">
        <f>IFERROR(INDEX('Inputs (2)'!$D$62:$AL$62,MATCH(Z$7&amp;"",'Inputs (2)'!$D$2:$AL$2,0)),"")</f>
        <v>114.6</v>
      </c>
      <c r="AA38" s="269">
        <f>IFERROR(INDEX('Inputs (2)'!$D$62:$AL$62,MATCH(AA$7&amp;"",'Inputs (2)'!$D$2:$AL$2,0)),"")</f>
        <v>118.5</v>
      </c>
      <c r="AB38" s="270">
        <f>IF(COUNT(X38:AA38)=4,SUM(X38:AA38),"")</f>
        <v>466</v>
      </c>
      <c r="AC38" s="269">
        <f>IFERROR(INDEX('Inputs (2)'!$D$62:$AL$62,MATCH(AC$7&amp;"",'Inputs (2)'!$D$2:$AL$2,0)),"")</f>
        <v>122.9</v>
      </c>
      <c r="AD38" s="269">
        <f>IFERROR(INDEX('Inputs (2)'!$D$62:$AL$62,MATCH(AD$7&amp;"",'Inputs (2)'!$D$2:$AL$2,0)),"")</f>
        <v>115.7</v>
      </c>
      <c r="AE38" s="269">
        <f>IFERROR(INDEX('Inputs (2)'!$D$62:$AL$62,MATCH(AE$7&amp;"",'Inputs (2)'!$D$2:$AL$2,0)),"")</f>
        <v>118</v>
      </c>
      <c r="AF38" s="269">
        <f>IFERROR(INDEX('Inputs (2)'!$D$62:$AL$62,MATCH(AF$7&amp;"",'Inputs (2)'!$D$2:$AL$2,0)),"")</f>
        <v>121.6</v>
      </c>
      <c r="AG38" s="270">
        <f>IF(COUNT(AC38:AF38)=4,SUM(AC38:AF38),"")</f>
        <v>478.2</v>
      </c>
      <c r="AH38" s="270">
        <f>IFERROR(INDEX('Inputs (2)'!$D$62:$AL$62,MATCH(AH$7&amp;"",'Inputs (2)'!$D$2:$AL$2,0)),"")</f>
        <v>125.8</v>
      </c>
      <c r="AI38" s="270">
        <f>IFERROR(INDEX('Inputs (2)'!$D$62:$AL$62,MATCH(AI$7&amp;"",'Inputs (2)'!$D$2:$AL$2,0)),"")</f>
        <v>122.4</v>
      </c>
    </row>
    <row r="39">
      <c r="C39" s="268" t="inlineStr">
        <is>
          <t xml:space="preserve">   % YoY</t>
        </is>
      </c>
      <c r="D39" s="272" t="str">
        <f>""</f>
        <v/>
      </c>
      <c r="E39" s="272" t="str">
        <f>""</f>
        <v/>
      </c>
      <c r="F39" s="272" t="str">
        <f>""</f>
        <v/>
      </c>
      <c r="G39" s="272" t="str">
        <f>""</f>
        <v/>
      </c>
      <c r="H39" s="273" t="str">
        <f>""</f>
        <v/>
      </c>
      <c r="I39" s="272" t="str">
        <f>IFERROR(I38/D38-1,"")</f>
        <v/>
      </c>
      <c r="J39" s="272" t="str">
        <f>IFERROR(J38/E38-1,"")</f>
        <v/>
      </c>
      <c r="K39" s="272" t="str">
        <f>IFERROR(K38/F38-1,"")</f>
        <v/>
      </c>
      <c r="L39" s="272" t="str">
        <f>IFERROR(L38/G38-1,"")</f>
        <v/>
      </c>
      <c r="M39" s="273" t="str">
        <f>IFERROR(M38/H38-1,"")</f>
        <v/>
      </c>
      <c r="N39" s="272">
        <f>IFERROR(N38/I38-1,"")</f>
        <v>0.0588832487309645</v>
      </c>
      <c r="O39" s="272">
        <f>IFERROR(O38/J38-1,"")</f>
        <v>0.0192307692307694</v>
      </c>
      <c r="P39" s="272">
        <f>IFERROR(P38/K38-1,"")</f>
        <v>0.0491299897645854</v>
      </c>
      <c r="Q39" s="272">
        <f>IFERROR(Q38/L38-1,"")</f>
        <v>0.0374384236453202</v>
      </c>
      <c r="R39" s="273">
        <f>IFERROR(R38/M38-1,"")</f>
        <v>0.0411097099621691</v>
      </c>
      <c r="S39" s="272">
        <f>IFERROR(S38/N38-1,"")</f>
        <v>0.0287631831255992</v>
      </c>
      <c r="T39" s="272">
        <f>IFERROR(T38/O38-1,"")</f>
        <v>0.0903674280039721</v>
      </c>
      <c r="U39" s="272">
        <f>IFERROR(U38/P38-1,"")</f>
        <v>0.0663414634146342</v>
      </c>
      <c r="V39" s="272">
        <f>IFERROR(V38/Q38-1,"")</f>
        <v>0.0902184235517569</v>
      </c>
      <c r="W39" s="273">
        <f>IFERROR(W38/R38-1,"")</f>
        <v>0.068798449612403</v>
      </c>
      <c r="X39" s="272">
        <f>IFERROR(X38/S38-1,"")</f>
        <v>0.0931966449207828</v>
      </c>
      <c r="Y39" s="272">
        <f>IFERROR(Y38/T38-1,"")</f>
        <v>0.052823315118397</v>
      </c>
      <c r="Z39" s="272">
        <f>IFERROR(Z38/U38-1,"")</f>
        <v>0.0484903934126257</v>
      </c>
      <c r="AA39" s="272">
        <f>IFERROR(AA38/V38-1,"")</f>
        <v>0.0322299651567946</v>
      </c>
      <c r="AB39" s="273">
        <f>IFERROR(AB38/W38-1,"")</f>
        <v>0.0562103354487762</v>
      </c>
      <c r="AC39" s="272">
        <f>IFERROR(AC38/X38-1,"")</f>
        <v>0.0477408354646207</v>
      </c>
      <c r="AD39" s="272">
        <f>IFERROR(AD38/Y38-1,"")</f>
        <v>0.000865051903114367</v>
      </c>
      <c r="AE39" s="272">
        <f>IFERROR(AE38/Z38-1,"")</f>
        <v>0.0296684118673649</v>
      </c>
      <c r="AF39" s="272">
        <f>IFERROR(AF38/AA38-1,"")</f>
        <v>0.0261603375527426</v>
      </c>
      <c r="AG39" s="273">
        <f>IFERROR(AG38/AB38-1,"")</f>
        <v>0.0261802575107297</v>
      </c>
      <c r="AH39" s="273">
        <f>IFERROR(AH38/AC38-1,"")</f>
        <v>0.0235964198535394</v>
      </c>
      <c r="AI39" s="273">
        <f>IFERROR(AI38/AD38-1,"")</f>
        <v>0.0579083837510803</v>
      </c>
    </row>
    <row r="40">
      <c r="C40" s="268" t="inlineStr">
        <is>
          <t>Tarifa media de esgoto (R$/m3 = receita / volume)</t>
        </is>
      </c>
      <c r="D40" s="274" t="str">
        <f>IFERROR(D20/D38,"")</f>
        <v/>
      </c>
      <c r="E40" s="274" t="str">
        <f>IFERROR(E20/E38,"")</f>
        <v/>
      </c>
      <c r="F40" s="274" t="str">
        <f>IFERROR(F20/F38,"")</f>
        <v/>
      </c>
      <c r="G40" s="274" t="str">
        <f>IFERROR(G20/G38,"")</f>
        <v/>
      </c>
      <c r="H40" s="275" t="str">
        <f>IFERROR(H20/H38,"")</f>
        <v/>
      </c>
      <c r="I40" s="274">
        <f>IFERROR(I20/I38,"")</f>
        <v>4.76142131979696</v>
      </c>
      <c r="J40" s="274">
        <f>IFERROR(J20/J38,"")</f>
        <v>4.94736842105263</v>
      </c>
      <c r="K40" s="274">
        <f>IFERROR(K20/K38,"")</f>
        <v>5.20470829068577</v>
      </c>
      <c r="L40" s="274">
        <f>IFERROR(L20/L38,"")</f>
        <v>5.19704433497537</v>
      </c>
      <c r="M40" s="275">
        <f>IFERROR(M20/M38,"")</f>
        <v>5.02849936948298</v>
      </c>
      <c r="N40" s="274">
        <f>IFERROR(N20/N38,"")</f>
        <v>5.24065196548418</v>
      </c>
      <c r="O40" s="274">
        <f>IFERROR(O20/O38,"")</f>
        <v>5.26415094339623</v>
      </c>
      <c r="P40" s="274">
        <f>IFERROR(P20/P38,"")</f>
        <v>5.33658536585366</v>
      </c>
      <c r="Q40" s="274">
        <f>IFERROR(Q20/Q38,"")</f>
        <v>5.34377967711301</v>
      </c>
      <c r="R40" s="275">
        <f>IFERROR(R20/R38,"")</f>
        <v>5.29651162790698</v>
      </c>
      <c r="S40" s="274">
        <f>IFERROR(S20/S38,"")</f>
        <v>4.84249767008388</v>
      </c>
      <c r="T40" s="274">
        <f>IFERROR(T20/T38,"")</f>
        <v>5.43078324225865</v>
      </c>
      <c r="U40" s="274">
        <f>IFERROR(U20/U38,"")</f>
        <v>5.74473924977127</v>
      </c>
      <c r="V40" s="274">
        <f>IFERROR(V20/V38,"")</f>
        <v>5.8109756097561</v>
      </c>
      <c r="W40" s="275">
        <f>IFERROR(W20/W38,"")</f>
        <v>5.46441523118767</v>
      </c>
      <c r="X40" s="274">
        <f>IFERROR(X20/X38,"")</f>
        <v>5.7766410912191</v>
      </c>
      <c r="Y40" s="274">
        <f>IFERROR(Y20/Y38,"")</f>
        <v>5.84602076124568</v>
      </c>
      <c r="Z40" s="274">
        <f>IFERROR(Z20/Z38,"")</f>
        <v>6.07329842931937</v>
      </c>
      <c r="AA40" s="274">
        <f>IFERROR(AA20/AA38,"")</f>
        <v>6.10042194092827</v>
      </c>
      <c r="AB40" s="275">
        <f>IFERROR(AB20/AB38,"")</f>
        <v>5.94914163090129</v>
      </c>
      <c r="AC40" s="274">
        <f>IFERROR(AC20/AC38,"")</f>
        <v>5.90480065093572</v>
      </c>
      <c r="AD40" s="274">
        <f>IFERROR(AD20/AD38,"")</f>
        <v>5.980985306828</v>
      </c>
      <c r="AE40" s="274">
        <f>IFERROR(AE20/AE38,"")</f>
        <v>6.23898305084746</v>
      </c>
      <c r="AF40" s="274">
        <f>IFERROR(AF20/AF38,"")</f>
        <v>6.34950657894737</v>
      </c>
      <c r="AG40" s="275">
        <f>IFERROR(AG20/AG38,"")</f>
        <v>6.11877875365956</v>
      </c>
      <c r="AH40" s="275">
        <f>IFERROR(AH20/AH38,"")</f>
        <v>6.32114467408585</v>
      </c>
      <c r="AI40" s="275">
        <f>IFERROR(AI20/AI38,"")</f>
        <v>6.36437908496732</v>
      </c>
    </row>
    <row r="41">
      <c r="C41" s="268" t="inlineStr">
        <is>
          <t xml:space="preserve">   % YoY</t>
        </is>
      </c>
      <c r="D41" s="272" t="str">
        <f>""</f>
        <v/>
      </c>
      <c r="E41" s="272" t="str">
        <f>""</f>
        <v/>
      </c>
      <c r="F41" s="272" t="str">
        <f>""</f>
        <v/>
      </c>
      <c r="G41" s="272" t="str">
        <f>""</f>
        <v/>
      </c>
      <c r="H41" s="273" t="str">
        <f>""</f>
        <v/>
      </c>
      <c r="I41" s="272" t="str">
        <f>IFERROR(I40/D40-1,"")</f>
        <v/>
      </c>
      <c r="J41" s="272" t="str">
        <f>IFERROR(J40/E40-1,"")</f>
        <v/>
      </c>
      <c r="K41" s="272" t="str">
        <f>IFERROR(K40/F40-1,"")</f>
        <v/>
      </c>
      <c r="L41" s="272" t="str">
        <f>IFERROR(L40/G40-1,"")</f>
        <v/>
      </c>
      <c r="M41" s="273" t="str">
        <f>IFERROR(M40/H40-1,"")</f>
        <v/>
      </c>
      <c r="N41" s="272">
        <f>IFERROR(N40/I40-1,"")</f>
        <v>0.100648653731752</v>
      </c>
      <c r="O41" s="272">
        <f>IFERROR(O40/J40-1,"")</f>
        <v>0.0640305098354075</v>
      </c>
      <c r="P41" s="272">
        <f>IFERROR(P40/K40-1,"")</f>
        <v>0.0253380339113127</v>
      </c>
      <c r="Q41" s="272">
        <f>IFERROR(Q40/L40-1,"")</f>
        <v>0.0282343833686647</v>
      </c>
      <c r="R41" s="273">
        <f>IFERROR(R40/M40-1,"")</f>
        <v>0.053298656066364</v>
      </c>
      <c r="S41" s="272">
        <f>IFERROR(S40/N40-1,"")</f>
        <v>-0.0759741913835559</v>
      </c>
      <c r="T41" s="272">
        <f>IFERROR(T40/O40-1,"")</f>
        <v>0.0316541643000305</v>
      </c>
      <c r="U41" s="272">
        <f>IFERROR(U40/P40-1,"")</f>
        <v>0.0764822177359328</v>
      </c>
      <c r="V41" s="272">
        <f>IFERROR(V40/Q40-1,"")</f>
        <v>0.0874279930821345</v>
      </c>
      <c r="W41" s="273">
        <f>IFERROR(W40/R40-1,"")</f>
        <v>0.031700790081536</v>
      </c>
      <c r="X41" s="272">
        <f>IFERROR(X40/S40-1,"")</f>
        <v>0.192905290777154</v>
      </c>
      <c r="Y41" s="272">
        <f>IFERROR(Y40/T40-1,"")</f>
        <v>0.0764599691175165</v>
      </c>
      <c r="Z41" s="272">
        <f>IFERROR(Z40/U40-1,"")</f>
        <v>0.0571930535508958</v>
      </c>
      <c r="AA41" s="272">
        <f>IFERROR(AA40/V40-1,"")</f>
        <v>0.0498102815448438</v>
      </c>
      <c r="AB41" s="273">
        <f>IFERROR(AB40/W40-1,"")</f>
        <v>0.0887059967454675</v>
      </c>
      <c r="AC41" s="272">
        <f>IFERROR(AC40/X40-1,"")</f>
        <v>0.0221858269698345</v>
      </c>
      <c r="AD41" s="272">
        <f>IFERROR(AD40/Y40-1,"")</f>
        <v>0.0230865662464002</v>
      </c>
      <c r="AE41" s="272">
        <f>IFERROR(AE40/Z40-1,"")</f>
        <v>0.027280829924021</v>
      </c>
      <c r="AF41" s="272">
        <f>IFERROR(AF40/AA40-1,"")</f>
        <v>0.0408307229288465</v>
      </c>
      <c r="AG41" s="273">
        <f>IFERROR(AG40/AB40-1,"")</f>
        <v>0.0285145544152339</v>
      </c>
      <c r="AH41" s="273">
        <f>IFERROR(AH40/AC40-1,"")</f>
        <v>0.0705094122159999</v>
      </c>
      <c r="AI41" s="273">
        <f>IFERROR(AI40/AD40-1,"")</f>
        <v>0.0641021100154897</v>
      </c>
    </row>
    <row r="42">
      <c r="C42" s="268" t="inlineStr">
        <is>
          <t>Ligacoes de esgoto (mil, fim do periodo)</t>
        </is>
      </c>
      <c r="D42" s="269" t="str">
        <f>IFERROR(IFERROR(INDEX('Inputs (2)'!$D$64:$AL$64,MATCH(D$7&amp;"",'Inputs (2)'!$D$2:$AL$2,0)),"")/1000,"")</f>
        <v/>
      </c>
      <c r="E42" s="269" t="str">
        <f>IFERROR(IFERROR(INDEX('Inputs (2)'!$D$64:$AL$64,MATCH(E$7&amp;"",'Inputs (2)'!$D$2:$AL$2,0)),"")/1000,"")</f>
        <v/>
      </c>
      <c r="F42" s="269" t="str">
        <f>IFERROR(IFERROR(INDEX('Inputs (2)'!$D$64:$AL$64,MATCH(F$7&amp;"",'Inputs (2)'!$D$2:$AL$2,0)),"")/1000,"")</f>
        <v/>
      </c>
      <c r="G42" s="269" t="str">
        <f>IFERROR(IFERROR(INDEX('Inputs (2)'!$D$64:$AL$64,MATCH(G$7&amp;"",'Inputs (2)'!$D$2:$AL$2,0)),"")/1000,"")</f>
        <v/>
      </c>
      <c r="H42" s="270" t="str">
        <f>IF(COUNT(G42)=0,"",G42)</f>
        <v/>
      </c>
      <c r="I42" s="269">
        <f>IFERROR(IFERROR(INDEX('Inputs (2)'!$D$64:$AL$64,MATCH(I$7&amp;"",'Inputs (2)'!$D$2:$AL$2,0)),"")/1000,"")</f>
        <v>2327.211</v>
      </c>
      <c r="J42" s="269">
        <f>IFERROR(IFERROR(INDEX('Inputs (2)'!$D$64:$AL$64,MATCH(J$7&amp;"",'Inputs (2)'!$D$2:$AL$2,0)),"")/1000,"")</f>
        <v>2345.221</v>
      </c>
      <c r="K42" s="269">
        <f>IFERROR(IFERROR(INDEX('Inputs (2)'!$D$64:$AL$64,MATCH(K$7&amp;"",'Inputs (2)'!$D$2:$AL$2,0)),"")/1000,"")</f>
        <v>2361.454</v>
      </c>
      <c r="L42" s="269">
        <f>IFERROR(IFERROR(INDEX('Inputs (2)'!$D$64:$AL$64,MATCH(L$7&amp;"",'Inputs (2)'!$D$2:$AL$2,0)),"")/1000,"")</f>
        <v>2379.696</v>
      </c>
      <c r="M42" s="270">
        <f>IF(COUNT(L42)=0,"",L42)</f>
        <v>2379.696</v>
      </c>
      <c r="N42" s="269">
        <f>IFERROR(IFERROR(INDEX('Inputs (2)'!$D$64:$AL$64,MATCH(N$7&amp;"",'Inputs (2)'!$D$2:$AL$2,0)),"")/1000,"")</f>
        <v>2393.917</v>
      </c>
      <c r="O42" s="269">
        <f>IFERROR(IFERROR(INDEX('Inputs (2)'!$D$64:$AL$64,MATCH(O$7&amp;"",'Inputs (2)'!$D$2:$AL$2,0)),"")/1000,"")</f>
        <v>2407.566</v>
      </c>
      <c r="P42" s="269">
        <f>IFERROR(IFERROR(INDEX('Inputs (2)'!$D$64:$AL$64,MATCH(P$7&amp;"",'Inputs (2)'!$D$2:$AL$2,0)),"")/1000,"")</f>
        <v>2425.7</v>
      </c>
      <c r="Q42" s="269">
        <f>IFERROR(IFERROR(INDEX('Inputs (2)'!$D$64:$AL$64,MATCH(Q$7&amp;"",'Inputs (2)'!$D$2:$AL$2,0)),"")/1000,"")</f>
        <v>2445.588</v>
      </c>
      <c r="R42" s="270">
        <f>IF(COUNT(Q42)=0,"",Q42)</f>
        <v>2445.588</v>
      </c>
      <c r="S42" s="269">
        <f>IFERROR(IFERROR(INDEX('Inputs (2)'!$D$64:$AL$64,MATCH(S$7&amp;"",'Inputs (2)'!$D$2:$AL$2,0)),"")/1000,"")</f>
        <v>2460.701</v>
      </c>
      <c r="T42" s="269">
        <f>IFERROR(IFERROR(INDEX('Inputs (2)'!$D$64:$AL$64,MATCH(T$7&amp;"",'Inputs (2)'!$D$2:$AL$2,0)),"")/1000,"")</f>
        <v>2474.886</v>
      </c>
      <c r="U42" s="269">
        <f>IFERROR(IFERROR(INDEX('Inputs (2)'!$D$64:$AL$64,MATCH(U$7&amp;"",'Inputs (2)'!$D$2:$AL$2,0)),"")/1000,"")</f>
        <v>2497.239</v>
      </c>
      <c r="V42" s="269">
        <f>IFERROR(IFERROR(INDEX('Inputs (2)'!$D$64:$AL$64,MATCH(V$7&amp;"",'Inputs (2)'!$D$2:$AL$2,0)),"")/1000,"")</f>
        <v>2517.885</v>
      </c>
      <c r="W42" s="270">
        <f>IF(COUNT(V42)=0,"",V42)</f>
        <v>2517.885</v>
      </c>
      <c r="X42" s="269">
        <f>IFERROR(IFERROR(INDEX('Inputs (2)'!$D$64:$AL$64,MATCH(X$7&amp;"",'Inputs (2)'!$D$2:$AL$2,0)),"")/1000,"")</f>
        <v>2528.768</v>
      </c>
      <c r="Y42" s="269">
        <f>IFERROR(IFERROR(INDEX('Inputs (2)'!$D$64:$AL$64,MATCH(Y$7&amp;"",'Inputs (2)'!$D$2:$AL$2,0)),"")/1000,"")</f>
        <v>2540.752</v>
      </c>
      <c r="Z42" s="269">
        <f>IFERROR(IFERROR(INDEX('Inputs (2)'!$D$64:$AL$64,MATCH(Z$7&amp;"",'Inputs (2)'!$D$2:$AL$2,0)),"")/1000,"")</f>
        <v>2554.414</v>
      </c>
      <c r="AA42" s="269">
        <f>IFERROR(IFERROR(INDEX('Inputs (2)'!$D$64:$AL$64,MATCH(AA$7&amp;"",'Inputs (2)'!$D$2:$AL$2,0)),"")/1000,"")</f>
        <v>2585.67</v>
      </c>
      <c r="AB42" s="270">
        <f>IF(COUNT(AA42)=0,"",AA42)</f>
        <v>2585.67</v>
      </c>
      <c r="AC42" s="269">
        <f>IFERROR(IFERROR(INDEX('Inputs (2)'!$D$64:$AL$64,MATCH(AC$7&amp;"",'Inputs (2)'!$D$2:$AL$2,0)),"")/1000,"")</f>
        <v>2596.907</v>
      </c>
      <c r="AD42" s="269">
        <f>IFERROR(IFERROR(INDEX('Inputs (2)'!$D$64:$AL$64,MATCH(AD$7&amp;"",'Inputs (2)'!$D$2:$AL$2,0)),"")/1000,"")</f>
        <v>2611.716</v>
      </c>
      <c r="AE42" s="269">
        <f>IFERROR(IFERROR(INDEX('Inputs (2)'!$D$64:$AL$64,MATCH(AE$7&amp;"",'Inputs (2)'!$D$2:$AL$2,0)),"")/1000,"")</f>
        <v>2627.353</v>
      </c>
      <c r="AF42" s="269">
        <f>IFERROR(IFERROR(INDEX('Inputs (2)'!$D$64:$AL$64,MATCH(AF$7&amp;"",'Inputs (2)'!$D$2:$AL$2,0)),"")/1000,"")</f>
        <v>2652.624</v>
      </c>
      <c r="AG42" s="270">
        <f>IF(COUNT(AF42)=0,"",AF42)</f>
        <v>2652.624</v>
      </c>
      <c r="AH42" s="270">
        <f>IFERROR(IFERROR(INDEX('Inputs (2)'!$D$64:$AL$64,MATCH(AH$7&amp;"",'Inputs (2)'!$D$2:$AL$2,0)),"")/1000,"")</f>
        <v>2668.2</v>
      </c>
      <c r="AI42" s="270">
        <f>IFERROR(IFERROR(INDEX('Inputs (2)'!$D$64:$AL$64,MATCH(AI$7&amp;"",'Inputs (2)'!$D$2:$AL$2,0)),"")/1000,"")</f>
        <v>2687.612</v>
      </c>
    </row>
    <row r="43">
      <c r="C43" s="268" t="inlineStr">
        <is>
          <t>Volume de esgoto por ligacao (m3/mes)</t>
        </is>
      </c>
      <c r="D43" s="276" t="str">
        <f>IFERROR(D38/D42*1000/3,"")</f>
        <v/>
      </c>
      <c r="E43" s="276" t="str">
        <f>IFERROR(E38/E42*1000/3,"")</f>
        <v/>
      </c>
      <c r="F43" s="276" t="str">
        <f>IFERROR(F38/F42*1000/3,"")</f>
        <v/>
      </c>
      <c r="G43" s="276" t="str">
        <f>IFERROR(G38/G42*1000/3,"")</f>
        <v/>
      </c>
      <c r="H43" s="277" t="str">
        <f>IFERROR(H38/H42*1000/12,"")</f>
        <v/>
      </c>
      <c r="I43" s="276">
        <f>IFERROR(I38/I42*1000/3,"")</f>
        <v>14.1084471211821</v>
      </c>
      <c r="J43" s="276">
        <f>IFERROR(J38/J42*1000/3,"")</f>
        <v>14.0427419562307</v>
      </c>
      <c r="K43" s="276">
        <f>IFERROR(K38/K42*1000/3,"")</f>
        <v>13.7909384077211</v>
      </c>
      <c r="L43" s="276">
        <f>IFERROR(L38/L42*1000/3,"")</f>
        <v>14.2175022916092</v>
      </c>
      <c r="M43" s="277">
        <f>IFERROR(M38/M42*1000/12,"")</f>
        <v>13.884826745377</v>
      </c>
      <c r="N43" s="276">
        <f>IFERROR(N38/N42*1000/3,"")</f>
        <v>14.5229206637768</v>
      </c>
      <c r="O43" s="276">
        <f>IFERROR(O38/O42*1000/3,"")</f>
        <v>13.9421584565768</v>
      </c>
      <c r="P43" s="276">
        <f>IFERROR(P38/P42*1000/3,"")</f>
        <v>14.0852812246637</v>
      </c>
      <c r="Q43" s="276">
        <f>IFERROR(Q38/Q42*1000/3,"")</f>
        <v>14.3523766063622</v>
      </c>
      <c r="R43" s="277">
        <f>IFERROR(R38/R42*1000/12,"")</f>
        <v>14.0661468734717</v>
      </c>
      <c r="S43" s="276">
        <f>IFERROR(S38/S42*1000/3,"")</f>
        <v>14.5351534650763</v>
      </c>
      <c r="T43" s="276">
        <f>IFERROR(T38/T42*1000/3,"")</f>
        <v>14.7885599579132</v>
      </c>
      <c r="U43" s="276">
        <f>IFERROR(U38/U42*1000/3,"")</f>
        <v>14.5894459174045</v>
      </c>
      <c r="V43" s="276">
        <f>IFERROR(V38/V42*1000/3,"")</f>
        <v>15.197940599617</v>
      </c>
      <c r="W43" s="277">
        <f>IFERROR(W38/W42*1000/12,"")</f>
        <v>14.6022025099108</v>
      </c>
      <c r="X43" s="276">
        <f>IFERROR(X38/X42*1000/3,"")</f>
        <v>15.4620748127151</v>
      </c>
      <c r="Y43" s="276">
        <f>IFERROR(Y38/Y42*1000/3,"")</f>
        <v>15.1661135495843</v>
      </c>
      <c r="Z43" s="276">
        <f>IFERROR(Z38/Z42*1000/3,"")</f>
        <v>14.9545061998564</v>
      </c>
      <c r="AA43" s="276">
        <f>IFERROR(AA38/AA42*1000/3,"")</f>
        <v>15.2765047357165</v>
      </c>
      <c r="AB43" s="277">
        <f>IFERROR(AB38/AB42*1000/12,"")</f>
        <v>15.0186734321601</v>
      </c>
      <c r="AC43" s="276">
        <f>IFERROR(AC38/AC42*1000/3,"")</f>
        <v>15.7751766492472</v>
      </c>
      <c r="AD43" s="276">
        <f>IFERROR(AD38/AD42*1000/3,"")</f>
        <v>14.7667918972303</v>
      </c>
      <c r="AE43" s="276">
        <f>IFERROR(AE38/AE42*1000/3,"")</f>
        <v>14.9707075270561</v>
      </c>
      <c r="AF43" s="276">
        <f>IFERROR(AF38/AF42*1000/3,"")</f>
        <v>15.2804669389002</v>
      </c>
      <c r="AG43" s="277">
        <f>IFERROR(AG38/AG42*1000/12,"")</f>
        <v>15.0228603827757</v>
      </c>
      <c r="AH43" s="277">
        <f>IFERROR(AH38/AH42*1000/3,"")</f>
        <v>15.7159633210904</v>
      </c>
      <c r="AI43" s="277">
        <f>IFERROR(AI38/AI42*1000/3,"")</f>
        <v>15.1807626993777</v>
      </c>
    </row>
    <row r="44">
      <c r="C44" s="268" t="inlineStr">
        <is>
          <t>Ligacoes de esgoto / ligacoes de agua</t>
        </is>
      </c>
      <c r="D44" s="272" t="str">
        <f>IFERROR(D42/D36,"")</f>
        <v/>
      </c>
      <c r="E44" s="272" t="str">
        <f>IFERROR(E42/E36,"")</f>
        <v/>
      </c>
      <c r="F44" s="272" t="str">
        <f>IFERROR(F42/F36,"")</f>
        <v/>
      </c>
      <c r="G44" s="272" t="str">
        <f>IFERROR(G42/G36,"")</f>
        <v/>
      </c>
      <c r="H44" s="273" t="str">
        <f>IF(COUNT(G44)=0,"",G44)</f>
        <v/>
      </c>
      <c r="I44" s="272">
        <f>IFERROR(I42/I36,"")</f>
        <v>0.70657293102506</v>
      </c>
      <c r="J44" s="272">
        <f>IFERROR(J42/J36,"")</f>
        <v>0.708068838939935</v>
      </c>
      <c r="K44" s="272">
        <f>IFERROR(K42/K36,"")</f>
        <v>0.709060598763271</v>
      </c>
      <c r="L44" s="272">
        <f>IFERROR(L42/L36,"")</f>
        <v>0.710687749911078</v>
      </c>
      <c r="M44" s="273">
        <f>IF(COUNT(L44)=0,"",L44)</f>
        <v>0.710687749911078</v>
      </c>
      <c r="N44" s="272">
        <f>IFERROR(N42/N36,"")</f>
        <v>0.711021934925872</v>
      </c>
      <c r="O44" s="272">
        <f>IFERROR(O42/O36,"")</f>
        <v>0.711925030952735</v>
      </c>
      <c r="P44" s="272">
        <f>IFERROR(P42/P36,"")</f>
        <v>0.713959006738417</v>
      </c>
      <c r="Q44" s="272">
        <f>IFERROR(Q42/Q36,"")</f>
        <v>0.717036983175819</v>
      </c>
      <c r="R44" s="273">
        <f>IF(COUNT(Q44)=0,"",Q44)</f>
        <v>0.717036983175819</v>
      </c>
      <c r="S44" s="272">
        <f>IFERROR(S42/S36,"")</f>
        <v>0.71840040872929</v>
      </c>
      <c r="T44" s="272">
        <f>IFERROR(T42/T36,"")</f>
        <v>0.720251794164382</v>
      </c>
      <c r="U44" s="272">
        <f>IFERROR(U42/U36,"")</f>
        <v>0.725408268165642</v>
      </c>
      <c r="V44" s="272">
        <f>IFERROR(V42/V36,"")</f>
        <v>0.730054510133666</v>
      </c>
      <c r="W44" s="273">
        <f>IF(COUNT(V44)=0,"",V44)</f>
        <v>0.730054510133666</v>
      </c>
      <c r="X44" s="272">
        <f>IFERROR(X42/X36,"")</f>
        <v>0.731715771932581</v>
      </c>
      <c r="Y44" s="272">
        <f>IFERROR(Y42/Y36,"")</f>
        <v>0.733297525911076</v>
      </c>
      <c r="Z44" s="272">
        <f>IFERROR(Z42/Z36,"")</f>
        <v>0.735293702801234</v>
      </c>
      <c r="AA44" s="272">
        <f>IFERROR(AA42/AA36,"")</f>
        <v>0.742256552699765</v>
      </c>
      <c r="AB44" s="273">
        <f>IF(COUNT(AA44)=0,"",AA44)</f>
        <v>0.742256552699765</v>
      </c>
      <c r="AC44" s="272">
        <f>IFERROR(AC42/AC36,"")</f>
        <v>0.743101669220067</v>
      </c>
      <c r="AD44" s="272">
        <f>IFERROR(AD42/AD36,"")</f>
        <v>0.744882936275922</v>
      </c>
      <c r="AE44" s="272">
        <f>IFERROR(AE42/AE36,"")</f>
        <v>0.746810846886825</v>
      </c>
      <c r="AF44" s="272">
        <f>IFERROR(AF42/AF36,"")</f>
        <v>0.751347263411028</v>
      </c>
      <c r="AG44" s="273">
        <f>IF(COUNT(AF44)=0,"",AF44)</f>
        <v>0.751347263411028</v>
      </c>
      <c r="AH44" s="273">
        <f>IFERROR(AH42/AH36,"")</f>
        <v>0.753093151881971</v>
      </c>
      <c r="AI44" s="273">
        <f>IFERROR(AI42/AI36,"")</f>
        <v>0.755980718583524</v>
      </c>
    </row>
    <row r="45"/>
    <row r="46"/>
    <row r="47"/>
    <row r="48"/>
    <row r="49"/>
    <row r="50"/>
    <row r="51"/>
    <row r="52"/>
    <row r="53"/>
    <row r="54" hidden="1" outlineLevel="1" customFormat="1" s="43">
      <c r="A54" s="36" t="n"/>
      <c r="B54" s="37" t="n"/>
      <c r="C54" s="45" t="n"/>
      <c r="D54" s="39" t="n"/>
      <c r="E54" s="39" t="n"/>
      <c r="F54" s="39" t="n"/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  <c r="BC54" s="39" t="n"/>
      <c r="BD54" s="39" t="n"/>
      <c r="BE54" s="39" t="n"/>
      <c r="BF54" s="39" t="n"/>
      <c r="BG54" s="39" t="n"/>
      <c r="BH54" s="39" t="n"/>
      <c r="BI54" s="39" t="n"/>
      <c r="BJ54" s="39" t="n"/>
      <c r="BK54" s="39" t="n"/>
      <c r="BL54" s="39" t="n"/>
      <c r="BM54" s="39" t="n"/>
      <c r="BN54" s="39" t="n"/>
      <c r="BO54" s="39" t="n"/>
      <c r="BP54" s="39" t="n"/>
      <c r="BQ54" s="39" t="n"/>
      <c r="BR54" s="39" t="n"/>
      <c r="BS54" s="39" t="n"/>
      <c r="BT54" s="39" t="n"/>
      <c r="BU54" s="39" t="n"/>
      <c r="BV54" s="39" t="n"/>
      <c r="BW54" s="39" t="n"/>
      <c r="BX54" s="39" t="n"/>
      <c r="BY54" s="39" t="n"/>
      <c r="BZ54" s="39" t="n"/>
      <c r="CA54" s="39" t="n"/>
      <c r="CB54" s="39" t="n"/>
      <c r="CC54" s="39" t="n"/>
      <c r="CD54" s="39" t="n"/>
      <c r="CE54" s="39" t="n"/>
      <c r="CF54" s="39" t="n"/>
      <c r="CG54" s="39" t="n"/>
      <c r="CH54" s="39" t="n"/>
      <c r="CI54" s="39" t="n"/>
      <c r="CJ54" s="39" t="n"/>
      <c r="CK54" s="39" t="n"/>
      <c r="CL54" s="39" t="n"/>
      <c r="CM54" s="39" t="n"/>
      <c r="CN54" s="39" t="n"/>
      <c r="CO54" s="39" t="n"/>
      <c r="CP54" s="39" t="n"/>
      <c r="CQ54" s="39" t="n"/>
      <c r="CR54" s="39" t="n"/>
      <c r="CS54" s="39" t="n"/>
      <c r="CT54" s="39" t="n"/>
      <c r="CU54" s="39" t="n"/>
      <c r="CV54" s="39" t="n"/>
      <c r="CW54" s="39" t="n"/>
      <c r="CX54" s="39" t="n"/>
      <c r="CY54" s="39" t="n"/>
    </row>
    <row r="55" hidden="1" outlineLevel="1" customFormat="1" s="43">
      <c r="A55" s="36" t="n"/>
      <c r="B55" s="37" t="n"/>
      <c r="C55" s="45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  <c r="BC55" s="39" t="n"/>
      <c r="BD55" s="39" t="n"/>
      <c r="BE55" s="39" t="n"/>
      <c r="BF55" s="39" t="n"/>
      <c r="BG55" s="39" t="n"/>
      <c r="BH55" s="39" t="n"/>
      <c r="BI55" s="39" t="n"/>
      <c r="BJ55" s="39" t="n"/>
      <c r="BK55" s="39" t="n"/>
      <c r="BL55" s="39" t="n"/>
      <c r="BM55" s="39" t="n"/>
      <c r="BN55" s="39" t="n"/>
      <c r="BO55" s="39" t="n"/>
      <c r="BP55" s="39" t="n"/>
      <c r="BQ55" s="39" t="n"/>
      <c r="BR55" s="39" t="n"/>
      <c r="BS55" s="39" t="n"/>
      <c r="BT55" s="39" t="n"/>
      <c r="BU55" s="39" t="n"/>
      <c r="BV55" s="39" t="n"/>
      <c r="BW55" s="39" t="n"/>
      <c r="BX55" s="39" t="n"/>
      <c r="BY55" s="39" t="n"/>
      <c r="BZ55" s="39" t="n"/>
      <c r="CA55" s="39" t="n"/>
      <c r="CB55" s="39" t="n"/>
      <c r="CC55" s="39" t="n"/>
      <c r="CD55" s="39" t="n"/>
      <c r="CE55" s="39" t="n"/>
      <c r="CF55" s="39" t="n"/>
      <c r="CG55" s="39" t="n"/>
      <c r="CH55" s="39" t="n"/>
      <c r="CI55" s="39" t="n"/>
      <c r="CJ55" s="39" t="n"/>
      <c r="CK55" s="39" t="n"/>
      <c r="CL55" s="39" t="n"/>
      <c r="CM55" s="39" t="n"/>
      <c r="CN55" s="39" t="n"/>
      <c r="CO55" s="39" t="n"/>
      <c r="CP55" s="39" t="n"/>
      <c r="CQ55" s="39" t="n"/>
      <c r="CR55" s="39" t="n"/>
      <c r="CS55" s="39" t="n"/>
      <c r="CT55" s="39" t="n"/>
      <c r="CU55" s="39" t="n"/>
      <c r="CV55" s="39" t="n"/>
      <c r="CW55" s="39" t="n"/>
      <c r="CX55" s="39" t="n"/>
      <c r="CY55" s="39" t="n"/>
    </row>
    <row r="56" collapsed="1">
      <c r="C56" s="13" t="inlineStr">
        <is>
          <t>COGS (cash)</t>
        </is>
      </c>
      <c r="D56" s="46" t="n"/>
      <c r="E56" s="46" t="n"/>
      <c r="F56" s="46" t="n"/>
      <c r="G56" s="46" t="n"/>
      <c r="H56" s="12" t="n"/>
      <c r="I56" s="46">
        <f>'Inputs (2)'!D5</f>
        <v>-386.401</v>
      </c>
      <c r="J56" s="46">
        <f>'Inputs (2)'!E5</f>
        <v>-401.756</v>
      </c>
      <c r="K56" s="46">
        <f>'Inputs (2)'!F5</f>
        <v>-416.656</v>
      </c>
      <c r="L56" s="46">
        <f>'Inputs (2)'!G5</f>
        <v>-451.458</v>
      </c>
      <c r="M56" s="12">
        <f>'Inputs (2)'!H5</f>
        <v>-1656.271</v>
      </c>
      <c r="N56" s="46">
        <f>'Inputs (2)'!I5</f>
        <v>-484.454</v>
      </c>
      <c r="O56" s="46">
        <f>'Inputs (2)'!J5</f>
        <v>-544.421</v>
      </c>
      <c r="P56" s="46">
        <f>'Inputs (2)'!K5</f>
        <v>-461.493</v>
      </c>
      <c r="Q56" s="46">
        <f>'Inputs (2)'!L5</f>
        <v>-459.567</v>
      </c>
      <c r="R56" s="12">
        <f>'Inputs (2)'!M5</f>
        <v>-1949.935</v>
      </c>
      <c r="S56" s="46">
        <f>'Inputs (2)'!N5</f>
        <v>-472.325</v>
      </c>
      <c r="T56" s="46">
        <f>'Inputs (2)'!O5</f>
        <v>-499.362</v>
      </c>
      <c r="U56" s="46">
        <f>'Inputs (2)'!P5</f>
        <v>-521.453</v>
      </c>
      <c r="V56" s="46">
        <f>'Inputs (2)'!Q5</f>
        <v>-541.645</v>
      </c>
      <c r="W56" s="12">
        <f>'Inputs (2)'!R5</f>
        <v>-2034.785</v>
      </c>
      <c r="X56" s="46">
        <f>'Inputs (2)'!S5</f>
        <v>-552.441</v>
      </c>
      <c r="Y56" s="46">
        <f>'Inputs (2)'!T5</f>
        <v>-598.38</v>
      </c>
      <c r="Z56" s="46">
        <f>'Inputs (2)'!U5</f>
        <v>-593.97</v>
      </c>
      <c r="AA56" s="46">
        <f>'Inputs (2)'!V5</f>
        <v>-585.646</v>
      </c>
      <c r="AB56" s="12">
        <f>'Inputs (2)'!W5</f>
        <v>-2330.437</v>
      </c>
      <c r="AC56" s="46">
        <f>'Inputs (2)'!X5</f>
        <v>-690.152</v>
      </c>
      <c r="AD56" s="46">
        <f>'Inputs (2)'!Y5</f>
        <v>-569.434</v>
      </c>
      <c r="AE56" s="46">
        <f>'Inputs (2)'!Z5</f>
        <v>-631.174</v>
      </c>
      <c r="AF56" s="46">
        <f>'Inputs (2)'!AA5</f>
        <v>-633.772</v>
      </c>
      <c r="AG56" s="12">
        <f>'Inputs (2)'!AB5</f>
        <v>-2524.532</v>
      </c>
      <c r="AH56" s="12">
        <f>'Inputs (2)'!AC5</f>
        <v>-617.062</v>
      </c>
      <c r="AI56" s="12">
        <f>'Inputs (2)'!AD5</f>
        <v>-654.814</v>
      </c>
      <c r="AJ56" s="12">
        <f>-(1-AJ57)*AJ15</f>
        <v>-661.654668297508</v>
      </c>
      <c r="AK56" s="12">
        <f>-(1-AK57)*AK15</f>
        <v>-693.480395331989</v>
      </c>
      <c r="AL56" s="12">
        <f>SUM(AH56:AK56)</f>
        <v>-2627.0110636295</v>
      </c>
      <c r="AM56" s="12">
        <f>-(1-AM57)*AM15</f>
        <v>-713.798309727586</v>
      </c>
      <c r="AN56" s="12">
        <f>-(1-AN57)*AN15</f>
        <v>-697.224037621983</v>
      </c>
      <c r="AO56" s="12">
        <f>-(1-AO57)*AO15</f>
        <v>-705.837782336255</v>
      </c>
      <c r="AP56" s="12">
        <f>-(1-AP57)*AP15</f>
        <v>-739.788726337085</v>
      </c>
      <c r="AQ56" s="12">
        <f>SUM(AM56:AP56)</f>
        <v>-2856.64885602291</v>
      </c>
      <c r="AR56" s="12">
        <f>-(1-AR57)*AR15</f>
        <v>-757.894412419887</v>
      </c>
      <c r="AS56" s="12">
        <f>-(1-AS57)*AS15</f>
        <v>-740.296236510005</v>
      </c>
      <c r="AT56" s="12">
        <f>-(1-AT57)*AT15</f>
        <v>-749.442109931097</v>
      </c>
      <c r="AU56" s="12">
        <f>-(1-AU57)*AU15</f>
        <v>-785.490431150056</v>
      </c>
      <c r="AV56" s="12">
        <f>SUM(AR56:AU56)</f>
        <v>-3033.12319001104</v>
      </c>
      <c r="AW56" s="12">
        <f>-(1-AW57)*AW15</f>
        <v>-800.925154673991</v>
      </c>
      <c r="AX56" s="12">
        <f>-(1-AX57)*AX15</f>
        <v>-782.327812443166</v>
      </c>
      <c r="AY56" s="12">
        <f>-(1-AY57)*AY15</f>
        <v>-791.99295835845</v>
      </c>
      <c r="AZ56" s="12">
        <f>-(1-AZ57)*AZ15</f>
        <v>-830.087984228672</v>
      </c>
      <c r="BA56" s="12">
        <f>SUM(AW56:AZ56)</f>
        <v>-3205.33390970428</v>
      </c>
      <c r="BB56" s="12">
        <f>-(1-BB57)*BB15</f>
        <v>-842.394414617186</v>
      </c>
      <c r="BC56" s="12">
        <f>-(1-BC57)*BC15</f>
        <v>-822.834163412005</v>
      </c>
      <c r="BD56" s="12">
        <f>-(1-BD57)*BD15</f>
        <v>-832.999738669545</v>
      </c>
      <c r="BE56" s="12">
        <f>-(1-BE57)*BE15</f>
        <v>-873.067199193787</v>
      </c>
      <c r="BF56" s="12">
        <f>SUM(BB56:BE56)</f>
        <v>-3371.29551589252</v>
      </c>
      <c r="BG56" s="12" t="n"/>
      <c r="BH56" s="12" t="n"/>
      <c r="BI56" s="12" t="n"/>
      <c r="BJ56" s="12" t="n"/>
      <c r="BK56" s="12" t="n"/>
      <c r="BL56" s="12" t="n"/>
      <c r="BM56" s="12" t="n"/>
      <c r="BN56" s="12" t="n"/>
      <c r="BO56" s="12" t="n"/>
      <c r="BP56" s="12" t="n"/>
      <c r="BQ56" s="12" t="n"/>
      <c r="BR56" s="12" t="n"/>
      <c r="BS56" s="12" t="n"/>
      <c r="BT56" s="12" t="n"/>
      <c r="BU56" s="12" t="n"/>
      <c r="BV56" s="12" t="n"/>
      <c r="BW56" s="12" t="n"/>
      <c r="BX56" s="12" t="n"/>
      <c r="BY56" s="12" t="n"/>
      <c r="BZ56" s="12" t="n"/>
      <c r="CA56" s="12" t="n"/>
      <c r="CB56" s="12" t="n"/>
      <c r="CC56" s="12" t="n"/>
      <c r="CD56" s="12" t="n"/>
      <c r="CE56" s="12" t="n"/>
      <c r="CF56" s="12" t="n"/>
      <c r="CG56" s="12" t="n"/>
      <c r="CH56" s="12" t="n"/>
      <c r="CI56" s="12" t="n"/>
      <c r="CJ56" s="12" t="n"/>
      <c r="CK56" s="12" t="n"/>
      <c r="CL56" s="12" t="n"/>
      <c r="CM56" s="12" t="n"/>
      <c r="CN56" s="12" t="n"/>
      <c r="CO56" s="12" t="n"/>
      <c r="CP56" s="12" t="n"/>
      <c r="CQ56" s="12" t="n"/>
      <c r="CR56" s="12" t="n"/>
      <c r="CS56" s="12" t="n"/>
      <c r="CT56" s="12" t="n"/>
      <c r="CU56" s="12" t="n"/>
      <c r="CV56" s="12" t="n"/>
      <c r="CW56" s="12" t="n"/>
      <c r="CX56" s="12" t="n"/>
      <c r="CY56" s="12" t="n"/>
    </row>
    <row r="57" hidden="1" outlineLevel="1" customFormat="1" s="3">
      <c r="C57" s="47" t="inlineStr">
        <is>
          <t>% Gross Margin</t>
        </is>
      </c>
      <c r="D57" s="48" t="n"/>
      <c r="E57" s="48" t="n"/>
      <c r="F57" s="48" t="n"/>
      <c r="G57" s="48" t="n"/>
      <c r="H57" s="48" t="n"/>
      <c r="I57" s="48">
        <f>IFERROR((I15+I56)/I$15,"")</f>
        <v>0.68495021508778</v>
      </c>
      <c r="J57" s="48">
        <f>IFERROR((J15+J56)/J$15,"")</f>
        <v>0.684498609615758</v>
      </c>
      <c r="K57" s="48">
        <f>IFERROR((K15+K56)/K$15,"")</f>
        <v>0.684676394018284</v>
      </c>
      <c r="L57" s="48">
        <f>IFERROR((L15+L56)/L$15,"")</f>
        <v>0.67361029275145</v>
      </c>
      <c r="M57" s="48">
        <f>IFERROR((M15+M56)/M$15,"")</f>
        <v>0.681756363639159</v>
      </c>
      <c r="N57" s="48">
        <f>IFERROR((N15+N56)/N$15,"")</f>
        <v>0.655644343856666</v>
      </c>
      <c r="O57" s="48">
        <f>IFERROR((O15+O56)/O$15,"")</f>
        <v>0.59942918653563</v>
      </c>
      <c r="P57" s="48">
        <f>IFERROR((P15+P56)/P$15,"")</f>
        <v>0.677832741346379</v>
      </c>
      <c r="Q57" s="48">
        <f>IFERROR((Q15+Q56)/Q$15,"")</f>
        <v>0.688477306558715</v>
      </c>
      <c r="R57" s="48">
        <f>IFERROR((R15+R56)/R$15,"")</f>
        <v>0.656317180113602</v>
      </c>
      <c r="S57" s="48">
        <f>IFERROR((S15+S56)/S$15,"")</f>
        <v>0.675146478968172</v>
      </c>
      <c r="T57" s="48">
        <f>IFERROR((T15+T56)/T$15,"")</f>
        <v>0.674900669193095</v>
      </c>
      <c r="U57" s="48">
        <f>IFERROR((U15+U56)/U$15,"")</f>
        <v>0.675264171341457</v>
      </c>
      <c r="V57" s="48">
        <f>IFERROR((V15+V56)/V$15,"")</f>
        <v>0.680816020101734</v>
      </c>
      <c r="W57" s="48">
        <f>IFERROR((W15+W56)/W$15,"")</f>
        <v>0.676645421006062</v>
      </c>
      <c r="X57" s="48">
        <f>IFERROR((X15+X56)/X$15,"")</f>
        <v>0.6746542427262</v>
      </c>
      <c r="Y57" s="48">
        <f>IFERROR((Y15+Y56)/Y$15,"")</f>
        <v>0.64045108553272</v>
      </c>
      <c r="Z57" s="48">
        <f>IFERROR((Z15+Z56)/Z$15,"")</f>
        <v>0.652597926712007</v>
      </c>
      <c r="AA57" s="48">
        <f>IFERROR((AA15+AA56)/AA$15,"")</f>
        <v>0.670282799245809</v>
      </c>
      <c r="AB57" s="48">
        <f>IFERROR((AB15+AB56)/AB$15,"")</f>
        <v>0.659701741430874</v>
      </c>
      <c r="AC57" s="48">
        <f>IFERROR((AC15+AC56)/AC$15,"")</f>
        <v>0.617693671675623</v>
      </c>
      <c r="AD57" s="48">
        <f>IFERROR((AD15+AD56)/AD$15,"")</f>
        <v>0.66609377079826</v>
      </c>
      <c r="AE57" s="48">
        <f>IFERROR((AE15+AE56)/AE$15,"")</f>
        <v>0.650158438418531</v>
      </c>
      <c r="AF57" s="41">
        <f>IFERROR((AF15+AF56)/AF$15,"")</f>
        <v>0.664839720944794</v>
      </c>
      <c r="AG57" s="48">
        <f>IFERROR((AG15+AG56)/AG$15,"")</f>
        <v>0.649649230396877</v>
      </c>
      <c r="AH57" s="49">
        <f>IFERROR((AH15+AH56)/AH$15,"")</f>
        <v>0.682965174885966</v>
      </c>
      <c r="AI57" s="49">
        <f>IFERROR((AI15+AI56)/AI$15,"")</f>
        <v>0.655571335395232</v>
      </c>
      <c r="AJ57" s="49">
        <f>Control!$B$19</f>
        <v>0.656220352019735</v>
      </c>
      <c r="AK57" s="49">
        <f>Control!$B$19</f>
        <v>0.656220352019735</v>
      </c>
      <c r="AL57" s="48">
        <f>IFERROR((AL15+AL56)/AL$15,"")</f>
        <v>0.662744744867377</v>
      </c>
      <c r="AM57" s="49">
        <f>Control!$C$19</f>
        <v>0.656220352019735</v>
      </c>
      <c r="AN57" s="49">
        <f>Control!$C$19</f>
        <v>0.656220352019735</v>
      </c>
      <c r="AO57" s="49">
        <f>Control!$C$19</f>
        <v>0.656220352019735</v>
      </c>
      <c r="AP57" s="49">
        <f>Control!$C$19</f>
        <v>0.656220352019735</v>
      </c>
      <c r="AQ57" s="48">
        <f>IFERROR((AQ15+AQ56)/AQ$15,"")</f>
        <v>0.656220352019735</v>
      </c>
      <c r="AR57" s="49">
        <f>Control!$D$19</f>
        <v>0.656220352019735</v>
      </c>
      <c r="AS57" s="49">
        <f>Control!$D$19</f>
        <v>0.656220352019735</v>
      </c>
      <c r="AT57" s="49">
        <f>Control!$D$19</f>
        <v>0.656220352019735</v>
      </c>
      <c r="AU57" s="49">
        <f>Control!$D$19</f>
        <v>0.656220352019735</v>
      </c>
      <c r="AV57" s="48">
        <f>IFERROR((AV15+AV56)/AV$15,"")</f>
        <v>0.656220352019735</v>
      </c>
      <c r="AW57" s="49">
        <f>Control!$E$19</f>
        <v>0.656220352019735</v>
      </c>
      <c r="AX57" s="49">
        <f>Control!$E$19</f>
        <v>0.656220352019735</v>
      </c>
      <c r="AY57" s="49">
        <f>Control!$E$19</f>
        <v>0.656220352019735</v>
      </c>
      <c r="AZ57" s="49">
        <f>Control!$E$19</f>
        <v>0.656220352019735</v>
      </c>
      <c r="BA57" s="48">
        <f>IFERROR((BA15+BA56)/BA$15,"")</f>
        <v>0.656220352019735</v>
      </c>
      <c r="BB57" s="49">
        <f>Control!$F$19</f>
        <v>0.656220352019735</v>
      </c>
      <c r="BC57" s="49">
        <f>Control!$F$19</f>
        <v>0.656220352019735</v>
      </c>
      <c r="BD57" s="49">
        <f>Control!$F$19</f>
        <v>0.656220352019735</v>
      </c>
      <c r="BE57" s="49">
        <f>Control!$F$19</f>
        <v>0.656220352019735</v>
      </c>
      <c r="BF57" s="48">
        <f>IFERROR((BF15+BF56)/BF$15,"")</f>
        <v>0.656220352019735</v>
      </c>
      <c r="BG57" s="49" t="n"/>
      <c r="BH57" s="49" t="n"/>
      <c r="BI57" s="49" t="n"/>
      <c r="BJ57" s="49" t="n"/>
      <c r="BK57" s="48" t="n"/>
      <c r="BL57" s="49" t="n"/>
      <c r="BM57" s="49" t="n"/>
      <c r="BN57" s="49" t="n"/>
      <c r="BO57" s="49" t="n"/>
      <c r="BP57" s="48" t="n"/>
      <c r="BQ57" s="49" t="n"/>
      <c r="BR57" s="49" t="n"/>
      <c r="BS57" s="49" t="n"/>
      <c r="BT57" s="49" t="n"/>
      <c r="BU57" s="48" t="n"/>
      <c r="BV57" s="49" t="n"/>
      <c r="BW57" s="49" t="n"/>
      <c r="BX57" s="49" t="n"/>
      <c r="BY57" s="49" t="n"/>
      <c r="BZ57" s="48" t="n"/>
      <c r="CA57" s="49" t="n"/>
      <c r="CB57" s="49" t="n"/>
      <c r="CC57" s="49" t="n"/>
      <c r="CD57" s="49" t="n"/>
      <c r="CE57" s="48" t="n"/>
      <c r="CF57" s="49" t="n"/>
      <c r="CG57" s="49" t="n"/>
      <c r="CH57" s="49" t="n"/>
      <c r="CI57" s="49" t="n"/>
      <c r="CJ57" s="48" t="n"/>
      <c r="CK57" s="49" t="n"/>
      <c r="CL57" s="49" t="n"/>
      <c r="CM57" s="49" t="n"/>
      <c r="CN57" s="49" t="n"/>
      <c r="CO57" s="48" t="n"/>
      <c r="CP57" s="49" t="n"/>
      <c r="CQ57" s="49" t="n"/>
      <c r="CR57" s="49" t="n"/>
      <c r="CS57" s="49" t="n"/>
      <c r="CT57" s="48" t="n"/>
      <c r="CU57" s="49" t="n"/>
      <c r="CV57" s="49" t="n"/>
      <c r="CW57" s="49" t="n"/>
      <c r="CX57" s="49" t="n"/>
      <c r="CY57" s="48" t="n"/>
    </row>
    <row r="58" hidden="1" outlineLevel="1">
      <c r="C58" s="50" t="n"/>
      <c r="D58" s="50" t="n"/>
      <c r="E58" s="50" t="n"/>
      <c r="F58" s="50" t="n"/>
      <c r="G58" s="50" t="n"/>
      <c r="H58" s="50" t="n"/>
      <c r="I58" s="50" t="n"/>
      <c r="J58" s="50" t="n"/>
      <c r="K58" s="50" t="n"/>
      <c r="L58" s="50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  <c r="X58" s="50" t="n"/>
      <c r="Y58" s="50" t="n"/>
      <c r="Z58" s="50" t="n"/>
      <c r="AA58" s="50" t="n"/>
      <c r="AB58" s="50" t="n"/>
      <c r="AC58" s="50" t="n"/>
      <c r="AD58" s="50" t="n"/>
      <c r="AE58" s="50" t="n"/>
      <c r="AF58" s="50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n"/>
      <c r="D59" s="50" t="n"/>
      <c r="E59" s="50" t="n"/>
      <c r="F59" s="50" t="n"/>
      <c r="G59" s="50" t="n"/>
      <c r="H59" s="50" t="n"/>
      <c r="I59" s="50" t="n"/>
      <c r="J59" s="50" t="n"/>
      <c r="K59" s="50" t="n"/>
      <c r="L59" s="50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  <c r="X59" s="50" t="n"/>
      <c r="Y59" s="50" t="n"/>
      <c r="Z59" s="50" t="n"/>
      <c r="AA59" s="50" t="n"/>
      <c r="AB59" s="50" t="n"/>
      <c r="AC59" s="50" t="n"/>
      <c r="AD59" s="50" t="n"/>
      <c r="AE59" s="50" t="n"/>
      <c r="AF59" s="50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collapsed="1">
      <c r="C60" s="13" t="inlineStr">
        <is>
          <t>SG&amp;A and Other (cash)</t>
        </is>
      </c>
      <c r="D60" s="46" t="n"/>
      <c r="E60" s="46" t="n"/>
      <c r="F60" s="46" t="n"/>
      <c r="G60" s="46" t="n"/>
      <c r="H60" s="12" t="n"/>
      <c r="I60" s="46">
        <f>'Inputs (2)'!D6</f>
        <v>-316.892</v>
      </c>
      <c r="J60" s="46">
        <f>'Inputs (2)'!E6</f>
        <v>-288.97</v>
      </c>
      <c r="K60" s="46">
        <f>'Inputs (2)'!F6</f>
        <v>-311.461</v>
      </c>
      <c r="L60" s="46">
        <f>'Inputs (2)'!G6</f>
        <v>-354.646</v>
      </c>
      <c r="M60" s="12">
        <f>'Inputs (2)'!H6</f>
        <v>-1271.969</v>
      </c>
      <c r="N60" s="46">
        <f>'Inputs (2)'!I6</f>
        <v>-325.918</v>
      </c>
      <c r="O60" s="46">
        <f>'Inputs (2)'!J6</f>
        <v>-371.038</v>
      </c>
      <c r="P60" s="46">
        <f>'Inputs (2)'!K6</f>
        <v>-397.216</v>
      </c>
      <c r="Q60" s="46">
        <f>'Inputs (2)'!L6</f>
        <v>-404.275</v>
      </c>
      <c r="R60" s="12">
        <f>'Inputs (2)'!M6</f>
        <v>-1498.447</v>
      </c>
      <c r="S60" s="46">
        <f>'Inputs (2)'!N6</f>
        <v>-317.331</v>
      </c>
      <c r="T60" s="46">
        <f>'Inputs (2)'!O6</f>
        <v>-373.21</v>
      </c>
      <c r="U60" s="46">
        <f>'Inputs (2)'!P6</f>
        <v>-306.247</v>
      </c>
      <c r="V60" s="46">
        <f>'Inputs (2)'!Q6</f>
        <v>-428.502</v>
      </c>
      <c r="W60" s="12">
        <f>'Inputs (2)'!R6</f>
        <v>-1425.29</v>
      </c>
      <c r="X60" s="46">
        <f>'Inputs (2)'!S6</f>
        <v>-371.405</v>
      </c>
      <c r="Y60" s="46">
        <f>'Inputs (2)'!T6</f>
        <v>-421.755</v>
      </c>
      <c r="Z60" s="46">
        <f>'Inputs (2)'!U6</f>
        <v>-357.342</v>
      </c>
      <c r="AA60" s="46">
        <f>'Inputs (2)'!V6</f>
        <v>-430.718</v>
      </c>
      <c r="AB60" s="12">
        <f>'Inputs (2)'!W6</f>
        <v>-1581.22</v>
      </c>
      <c r="AC60" s="46">
        <f>'Inputs (2)'!X6</f>
        <v>0.85</v>
      </c>
      <c r="AD60" s="46">
        <f>'Inputs (2)'!Y6</f>
        <v>-599.993</v>
      </c>
      <c r="AE60" s="46">
        <f>'Inputs (2)'!Z6</f>
        <v>-617.362</v>
      </c>
      <c r="AF60" s="46">
        <f>'Inputs (2)'!AA6</f>
        <v>-500.933</v>
      </c>
      <c r="AG60" s="12">
        <f>'Inputs (2)'!AB6</f>
        <v>-1717.438</v>
      </c>
      <c r="AH60" s="12">
        <f>'Inputs (2)'!AC6</f>
        <v>-485.851</v>
      </c>
      <c r="AI60" s="12">
        <f>'Inputs (2)'!AD6</f>
        <v>-706.084</v>
      </c>
      <c r="AJ60" s="12">
        <f>-AJ15*AJ61</f>
        <v>-506.653399776885</v>
      </c>
      <c r="AK60" s="12">
        <f>-AK15*AK61</f>
        <v>-531.023533586838</v>
      </c>
      <c r="AL60" s="12">
        <f>SUM(AH60:AK60)</f>
        <v>-2229.61193336372</v>
      </c>
      <c r="AM60" s="12">
        <f>-AM15*AM61</f>
        <v>-546.581710530398</v>
      </c>
      <c r="AN60" s="12">
        <f>-AN15*AN61</f>
        <v>-533.890178658133</v>
      </c>
      <c r="AO60" s="12">
        <f>-AO15*AO61</f>
        <v>-540.486040900782</v>
      </c>
      <c r="AP60" s="12">
        <f>-AP15*AP61</f>
        <v>-566.483531779091</v>
      </c>
      <c r="AQ60" s="12">
        <f>SUM(AM60:AP60)</f>
        <v>-2187.4414618684</v>
      </c>
      <c r="AR60" s="12">
        <f>-AR15*AR61</f>
        <v>-580.347723854919</v>
      </c>
      <c r="AS60" s="12">
        <f>-AS15*AS61</f>
        <v>-566.872151049613</v>
      </c>
      <c r="AT60" s="12">
        <f>-AT15*AT61</f>
        <v>-573.875483882809</v>
      </c>
      <c r="AU60" s="12">
        <f>-AU15*AU61</f>
        <v>-601.479013906755</v>
      </c>
      <c r="AV60" s="12">
        <f>SUM(AR60:AU60)</f>
        <v>-2322.5743726941</v>
      </c>
      <c r="AW60" s="12">
        <f>-AW15*AW61</f>
        <v>-613.297951371732</v>
      </c>
      <c r="AX60" s="12">
        <f>-AX15*AX61</f>
        <v>-599.057280037384</v>
      </c>
      <c r="AY60" s="12">
        <f>-AY15*AY61</f>
        <v>-606.458238984622</v>
      </c>
      <c r="AZ60" s="12">
        <f>-AZ15*AZ61</f>
        <v>-635.629006299541</v>
      </c>
      <c r="BA60" s="12">
        <f>SUM(AW60:AZ60)</f>
        <v>-2454.44247669328</v>
      </c>
      <c r="BB60" s="12">
        <f>-BB15*BB61</f>
        <v>-645.052494252103</v>
      </c>
      <c r="BC60" s="12">
        <f>-BC15*BC61</f>
        <v>-630.074487977176</v>
      </c>
      <c r="BD60" s="12">
        <f>-BD15*BD61</f>
        <v>-637.858644141558</v>
      </c>
      <c r="BE60" s="12">
        <f>-BE15*BE61</f>
        <v>-668.539777469413</v>
      </c>
      <c r="BF60" s="12">
        <f>SUM(BB60:BE60)</f>
        <v>-2581.52540384025</v>
      </c>
      <c r="BG60" s="12" t="n"/>
      <c r="BH60" s="12" t="n"/>
      <c r="BI60" s="12" t="n"/>
      <c r="BJ60" s="12" t="n"/>
      <c r="BK60" s="12" t="n"/>
      <c r="BL60" s="12" t="n"/>
      <c r="BM60" s="12" t="n"/>
      <c r="BN60" s="12" t="n"/>
      <c r="BO60" s="12" t="n"/>
      <c r="BP60" s="12" t="n"/>
      <c r="BQ60" s="12" t="n"/>
      <c r="BR60" s="12" t="n"/>
      <c r="BS60" s="12" t="n"/>
      <c r="BT60" s="12" t="n"/>
      <c r="BU60" s="12" t="n"/>
      <c r="BV60" s="12" t="n"/>
      <c r="BW60" s="12" t="n"/>
      <c r="BX60" s="12" t="n"/>
      <c r="BY60" s="12" t="n"/>
      <c r="BZ60" s="12" t="n"/>
      <c r="CA60" s="12" t="n"/>
      <c r="CB60" s="12" t="n"/>
      <c r="CC60" s="12" t="n"/>
      <c r="CD60" s="12" t="n"/>
      <c r="CE60" s="12" t="n"/>
      <c r="CF60" s="12" t="n"/>
      <c r="CG60" s="12" t="n"/>
      <c r="CH60" s="12" t="n"/>
      <c r="CI60" s="12" t="n"/>
      <c r="CJ60" s="12" t="n"/>
      <c r="CK60" s="12" t="n"/>
      <c r="CL60" s="12" t="n"/>
      <c r="CM60" s="12" t="n"/>
      <c r="CN60" s="12" t="n"/>
      <c r="CO60" s="12" t="n"/>
      <c r="CP60" s="12" t="n"/>
      <c r="CQ60" s="12" t="n"/>
      <c r="CR60" s="12" t="n"/>
      <c r="CS60" s="12" t="n"/>
      <c r="CT60" s="12" t="n"/>
      <c r="CU60" s="12" t="n"/>
      <c r="CV60" s="12" t="n"/>
      <c r="CW60" s="12" t="n"/>
      <c r="CX60" s="12" t="n"/>
      <c r="CY60" s="12" t="n"/>
    </row>
    <row r="61" hidden="1" outlineLevel="1">
      <c r="C61" s="38" t="inlineStr">
        <is>
          <t>% SG&amp;A and Other Margin</t>
        </is>
      </c>
      <c r="D61" s="51" t="n"/>
      <c r="E61" s="51" t="n"/>
      <c r="F61" s="51" t="n"/>
      <c r="G61" s="51" t="n"/>
      <c r="H61" s="51" t="n"/>
      <c r="I61" s="51">
        <f>IFERROR(-(I60/I$15),"")</f>
        <v>0.258376030187301</v>
      </c>
      <c r="J61" s="51">
        <f>IFERROR(-(J60/J$15),"")</f>
        <v>0.226929869819827</v>
      </c>
      <c r="K61" s="51">
        <f>IFERROR(-(K60/K$15),"")</f>
        <v>0.235712447781074</v>
      </c>
      <c r="L61" s="51">
        <f>IFERROR(-(L60/L$15),"")</f>
        <v>0.256397724964159</v>
      </c>
      <c r="M61" s="51">
        <f>IFERROR(-(M60/M$15),"")</f>
        <v>0.244402057331357</v>
      </c>
      <c r="N61" s="51">
        <f>IFERROR(-(N60/N$15),"")</f>
        <v>0.23166638471129</v>
      </c>
      <c r="O61" s="51">
        <f>IFERROR(-(O60/O$15),"")</f>
        <v>0.273000111101873</v>
      </c>
      <c r="P61" s="51">
        <f>IFERROR(-(P60/P$15),"")</f>
        <v>0.277295624881323</v>
      </c>
      <c r="Q61" s="51">
        <f>IFERROR(-(Q60/Q$15),"")</f>
        <v>0.274042385312643</v>
      </c>
      <c r="R61" s="51">
        <f>IFERROR(-(R60/R$15),"")</f>
        <v>0.264106490939602</v>
      </c>
      <c r="S61" s="51">
        <f>IFERROR(-(S60/S$15),"")</f>
        <v>0.218252458969038</v>
      </c>
      <c r="T61" s="51">
        <f>IFERROR(-(T60/T$15),"")</f>
        <v>0.24297067307974</v>
      </c>
      <c r="U61" s="51">
        <f>IFERROR(-(U60/U$15),"")</f>
        <v>0.190715890634808</v>
      </c>
      <c r="V61" s="51">
        <f>IFERROR(-(V60/V$15),"")</f>
        <v>0.252510359653217</v>
      </c>
      <c r="W61" s="51">
        <f>IFERROR(-(W60/W$15),"")</f>
        <v>0.226497663337537</v>
      </c>
      <c r="X61" s="51">
        <f>IFERROR(-(X60/X$15),"")</f>
        <v>0.218729314044895</v>
      </c>
      <c r="Y61" s="51">
        <f>IFERROR(-(Y60/Y$15),"")</f>
        <v>0.253420155120739</v>
      </c>
      <c r="Z61" s="51">
        <f>IFERROR(-(Z60/Z$15),"")</f>
        <v>0.209002730226911</v>
      </c>
      <c r="AA61" s="51">
        <f>IFERROR(-(AA60/AA$15),"")</f>
        <v>0.242493132838684</v>
      </c>
      <c r="AB61" s="51">
        <f>IFERROR(-(AB60/AB$15),"")</f>
        <v>0.230895069214346</v>
      </c>
      <c r="AC61" s="51">
        <f>IFERROR(-(AC60/AC$15),"")</f>
        <v>-0.000470853346908682</v>
      </c>
      <c r="AD61" s="51">
        <f>IFERROR(-(AD60/AD$15),"")</f>
        <v>0.351825497208525</v>
      </c>
      <c r="AE61" s="51">
        <f>IFERROR(-(AE60/AE$15),"")</f>
        <v>0.3421859679598</v>
      </c>
      <c r="AF61" s="41">
        <f>IFERROR(-(AF60/AF$15),"")</f>
        <v>0.264910478954516</v>
      </c>
      <c r="AG61" s="51">
        <f>IFERROR(-(AG60/AG$15),"")</f>
        <v>0.238343473184593</v>
      </c>
      <c r="AH61" s="52">
        <f>IFERROR(-(AH60/AH$15),"")</f>
        <v>0.249621086400521</v>
      </c>
      <c r="AI61" s="52">
        <f>IFERROR(-(AI60/AI$15),"")</f>
        <v>0.371396410612468</v>
      </c>
      <c r="AJ61" s="52">
        <f>Control!$B$20</f>
        <v>0.263244764631487</v>
      </c>
      <c r="AK61" s="52">
        <f>Control!$B$20</f>
        <v>0.263244764631487</v>
      </c>
      <c r="AL61" s="51">
        <f>IFERROR(-(AL60/AL$15),"")</f>
        <v>0.286237219113355</v>
      </c>
      <c r="AM61" s="52">
        <f>Control!$C$20</f>
        <v>0.263244764631487</v>
      </c>
      <c r="AN61" s="52">
        <f>Control!$C$20</f>
        <v>0.263244764631487</v>
      </c>
      <c r="AO61" s="52">
        <f>Control!$C$20</f>
        <v>0.263244764631487</v>
      </c>
      <c r="AP61" s="52">
        <f>Control!$C$20</f>
        <v>0.263244764631487</v>
      </c>
      <c r="AQ61" s="51">
        <f>IFERROR(-(AQ60/AQ$15),"")</f>
        <v>0.263244764631487</v>
      </c>
      <c r="AR61" s="52">
        <f>Control!$D$20</f>
        <v>0.263244764631487</v>
      </c>
      <c r="AS61" s="52">
        <f>Control!$D$20</f>
        <v>0.263244764631487</v>
      </c>
      <c r="AT61" s="52">
        <f>Control!$D$20</f>
        <v>0.263244764631487</v>
      </c>
      <c r="AU61" s="52">
        <f>Control!$D$20</f>
        <v>0.263244764631487</v>
      </c>
      <c r="AV61" s="51">
        <f>IFERROR(-(AV60/AV$15),"")</f>
        <v>0.263244764631487</v>
      </c>
      <c r="AW61" s="52">
        <f>Control!$E$20</f>
        <v>0.263244764631487</v>
      </c>
      <c r="AX61" s="52">
        <f>Control!$E$20</f>
        <v>0.263244764631487</v>
      </c>
      <c r="AY61" s="52">
        <f>Control!$E$20</f>
        <v>0.263244764631487</v>
      </c>
      <c r="AZ61" s="52">
        <f>Control!$E$20</f>
        <v>0.263244764631487</v>
      </c>
      <c r="BA61" s="51">
        <f>IFERROR(-(BA60/BA$15),"")</f>
        <v>0.263244764631487</v>
      </c>
      <c r="BB61" s="52">
        <f>Control!$F$20</f>
        <v>0.263244764631487</v>
      </c>
      <c r="BC61" s="52">
        <f>Control!$F$20</f>
        <v>0.263244764631487</v>
      </c>
      <c r="BD61" s="52">
        <f>Control!$F$20</f>
        <v>0.263244764631487</v>
      </c>
      <c r="BE61" s="52">
        <f>Control!$F$20</f>
        <v>0.263244764631487</v>
      </c>
      <c r="BF61" s="51">
        <f>IFERROR(-(BF60/BF$15),"")</f>
        <v>0.263244764631487</v>
      </c>
      <c r="BG61" s="52" t="n"/>
      <c r="BH61" s="52" t="n"/>
      <c r="BI61" s="52" t="n"/>
      <c r="BJ61" s="52" t="n"/>
      <c r="BK61" s="51" t="n"/>
      <c r="BL61" s="52" t="n"/>
      <c r="BM61" s="52" t="n"/>
      <c r="BN61" s="52" t="n"/>
      <c r="BO61" s="52" t="n"/>
      <c r="BP61" s="51" t="n"/>
      <c r="BQ61" s="52" t="n"/>
      <c r="BR61" s="52" t="n"/>
      <c r="BS61" s="52" t="n"/>
      <c r="BT61" s="52" t="n"/>
      <c r="BU61" s="51" t="n"/>
      <c r="BV61" s="52" t="n"/>
      <c r="BW61" s="52" t="n"/>
      <c r="BX61" s="52" t="n"/>
      <c r="BY61" s="52" t="n"/>
      <c r="BZ61" s="51" t="n"/>
      <c r="CA61" s="52" t="n"/>
      <c r="CB61" s="52" t="n"/>
      <c r="CC61" s="52" t="n"/>
      <c r="CD61" s="52" t="n"/>
      <c r="CE61" s="51" t="n"/>
      <c r="CF61" s="52" t="n"/>
      <c r="CG61" s="52" t="n"/>
      <c r="CH61" s="52" t="n"/>
      <c r="CI61" s="52" t="n"/>
      <c r="CJ61" s="51" t="n"/>
      <c r="CK61" s="52" t="n"/>
      <c r="CL61" s="52" t="n"/>
      <c r="CM61" s="52" t="n"/>
      <c r="CN61" s="52" t="n"/>
      <c r="CO61" s="51" t="n"/>
      <c r="CP61" s="52" t="n"/>
      <c r="CQ61" s="52" t="n"/>
      <c r="CR61" s="52" t="n"/>
      <c r="CS61" s="52" t="n"/>
      <c r="CT61" s="51" t="n"/>
      <c r="CU61" s="52" t="n"/>
      <c r="CV61" s="52" t="n"/>
      <c r="CW61" s="52" t="n"/>
      <c r="CX61" s="52" t="n"/>
      <c r="CY61" s="51" t="n"/>
    </row>
    <row r="62" hidden="1" outlineLevel="1"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inlineStr">
        <is>
          <t>Com Vendas</t>
        </is>
      </c>
      <c r="D63" s="11" t="n"/>
      <c r="E63" s="11" t="n"/>
      <c r="F63" s="11" t="n"/>
      <c r="G63" s="11" t="n"/>
      <c r="H63" s="50" t="n"/>
      <c r="I63" s="11" t="n"/>
      <c r="J63" s="11" t="n"/>
      <c r="K63" s="11" t="n"/>
      <c r="L63" s="11" t="n"/>
      <c r="M63" s="50" t="n"/>
      <c r="N63" s="11" t="n"/>
      <c r="O63" s="11" t="n"/>
      <c r="P63" s="11" t="n"/>
      <c r="Q63" s="11" t="n"/>
      <c r="R63" s="50" t="n"/>
      <c r="S63" s="11" t="n"/>
      <c r="T63" s="11" t="n"/>
      <c r="U63" s="11" t="n"/>
      <c r="V63" s="11" t="n"/>
      <c r="W63" s="50" t="n"/>
      <c r="X63" s="11" t="n"/>
      <c r="Y63" s="11" t="n"/>
      <c r="Z63" s="11" t="n"/>
      <c r="AA63" s="11" t="n"/>
      <c r="AB63" s="50" t="n"/>
      <c r="AC63" s="11" t="n"/>
      <c r="AD63" s="11" t="n"/>
      <c r="AE63" s="11" t="n"/>
      <c r="AF63" s="11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inlineStr">
        <is>
          <t>Gerais &amp; Administrativas</t>
        </is>
      </c>
      <c r="D64" s="11" t="n"/>
      <c r="E64" s="11" t="n"/>
      <c r="F64" s="11" t="n"/>
      <c r="G64" s="11" t="n"/>
      <c r="H64" s="50" t="n"/>
      <c r="I64" s="11" t="n"/>
      <c r="J64" s="11" t="n"/>
      <c r="K64" s="11" t="n"/>
      <c r="L64" s="11" t="n"/>
      <c r="M64" s="50" t="n"/>
      <c r="N64" s="11" t="n"/>
      <c r="O64" s="11" t="n"/>
      <c r="P64" s="11" t="n"/>
      <c r="Q64" s="11" t="n"/>
      <c r="R64" s="50" t="n"/>
      <c r="S64" s="11" t="n"/>
      <c r="T64" s="11" t="n"/>
      <c r="U64" s="11" t="n"/>
      <c r="V64" s="11" t="n"/>
      <c r="W64" s="50" t="n"/>
      <c r="X64" s="11" t="n"/>
      <c r="Y64" s="11" t="n"/>
      <c r="Z64" s="11" t="n"/>
      <c r="AA64" s="11" t="n"/>
      <c r="AB64" s="50" t="n"/>
      <c r="AC64" s="11" t="n"/>
      <c r="AD64" s="11" t="n"/>
      <c r="AE64" s="11" t="n"/>
      <c r="AF64" s="11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hidden="1" outlineLevel="1">
      <c r="C65" s="50" t="inlineStr">
        <is>
          <t>Outras Receitas (Despesas) Operacionais, Líquidas</t>
        </is>
      </c>
      <c r="D65" s="11" t="n"/>
      <c r="E65" s="11" t="n"/>
      <c r="F65" s="11" t="n"/>
      <c r="G65" s="11" t="n"/>
      <c r="H65" s="50" t="n"/>
      <c r="I65" s="11" t="n"/>
      <c r="J65" s="11" t="n"/>
      <c r="K65" s="11" t="n"/>
      <c r="L65" s="11" t="n"/>
      <c r="M65" s="50" t="n"/>
      <c r="N65" s="11" t="n"/>
      <c r="O65" s="11" t="n"/>
      <c r="P65" s="11" t="n"/>
      <c r="Q65" s="11" t="n"/>
      <c r="R65" s="50" t="n"/>
      <c r="S65" s="11" t="n"/>
      <c r="T65" s="11" t="n"/>
      <c r="U65" s="11" t="n"/>
      <c r="V65" s="11" t="n"/>
      <c r="W65" s="50" t="n"/>
      <c r="X65" s="11" t="n"/>
      <c r="Y65" s="11" t="n"/>
      <c r="Z65" s="11" t="n"/>
      <c r="AA65" s="11" t="n"/>
      <c r="AB65" s="50" t="n"/>
      <c r="AC65" s="11" t="n"/>
      <c r="AD65" s="11" t="n"/>
      <c r="AE65" s="11" t="n"/>
      <c r="AF65" s="11" t="n"/>
      <c r="AG65" s="50" t="n"/>
      <c r="AH65" s="50" t="n"/>
      <c r="AI65" s="50" t="n"/>
      <c r="AJ65" s="50" t="n"/>
      <c r="AK65" s="50" t="n"/>
      <c r="AL65" s="50" t="n"/>
      <c r="AM65" s="50" t="n"/>
      <c r="AN65" s="50" t="n"/>
      <c r="AO65" s="50" t="n"/>
      <c r="AP65" s="50" t="n"/>
      <c r="AQ65" s="50" t="n"/>
      <c r="AR65" s="50" t="n"/>
      <c r="AS65" s="50" t="n"/>
      <c r="AT65" s="50" t="n"/>
      <c r="AU65" s="50" t="n"/>
      <c r="AV65" s="50" t="n"/>
      <c r="AW65" s="50" t="n"/>
      <c r="AX65" s="50" t="n"/>
      <c r="AY65" s="50" t="n"/>
      <c r="AZ65" s="50" t="n"/>
      <c r="BA65" s="50" t="n"/>
      <c r="BB65" s="50" t="n"/>
      <c r="BC65" s="50" t="n"/>
      <c r="BD65" s="50" t="n"/>
      <c r="BE65" s="50" t="n"/>
      <c r="BF65" s="50" t="n"/>
      <c r="BG65" s="50" t="n"/>
      <c r="BH65" s="50" t="n"/>
      <c r="BI65" s="50" t="n"/>
      <c r="BJ65" s="50" t="n"/>
      <c r="BK65" s="50" t="n"/>
      <c r="BL65" s="50" t="n"/>
      <c r="BM65" s="50" t="n"/>
      <c r="BN65" s="50" t="n"/>
      <c r="BO65" s="50" t="n"/>
      <c r="BP65" s="50" t="n"/>
      <c r="BQ65" s="50" t="n"/>
      <c r="BR65" s="50" t="n"/>
      <c r="BS65" s="50" t="n"/>
      <c r="BT65" s="50" t="n"/>
      <c r="BU65" s="50" t="n"/>
      <c r="BV65" s="50" t="n"/>
      <c r="BW65" s="50" t="n"/>
      <c r="BX65" s="50" t="n"/>
      <c r="BY65" s="50" t="n"/>
      <c r="BZ65" s="50" t="n"/>
      <c r="CA65" s="50" t="n"/>
      <c r="CB65" s="50" t="n"/>
      <c r="CC65" s="50" t="n"/>
      <c r="CD65" s="50" t="n"/>
      <c r="CE65" s="50" t="n"/>
      <c r="CF65" s="50" t="n"/>
      <c r="CG65" s="50" t="n"/>
      <c r="CH65" s="50" t="n"/>
      <c r="CI65" s="50" t="n"/>
      <c r="CJ65" s="50" t="n"/>
      <c r="CK65" s="50" t="n"/>
      <c r="CL65" s="50" t="n"/>
      <c r="CM65" s="50" t="n"/>
      <c r="CN65" s="50" t="n"/>
      <c r="CO65" s="50" t="n"/>
      <c r="CP65" s="50" t="n"/>
      <c r="CQ65" s="50" t="n"/>
      <c r="CR65" s="50" t="n"/>
      <c r="CS65" s="50" t="n"/>
      <c r="CT65" s="50" t="n"/>
      <c r="CU65" s="50" t="n"/>
      <c r="CV65" s="50" t="n"/>
      <c r="CW65" s="50" t="n"/>
      <c r="CX65" s="50" t="n"/>
      <c r="CY65" s="50" t="n"/>
    </row>
    <row r="66" hidden="1" outlineLevel="1">
      <c r="C66" s="50" t="n"/>
      <c r="D66" s="50" t="n"/>
      <c r="E66" s="50" t="n"/>
      <c r="F66" s="50" t="n"/>
      <c r="G66" s="50" t="n"/>
      <c r="H66" s="50" t="n"/>
      <c r="I66" s="50" t="n"/>
      <c r="J66" s="50" t="n"/>
      <c r="K66" s="50" t="n"/>
      <c r="L66" s="50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  <c r="X66" s="50" t="n"/>
      <c r="Y66" s="50" t="n"/>
      <c r="Z66" s="50" t="n"/>
      <c r="AA66" s="50" t="n"/>
      <c r="AB66" s="50" t="n"/>
      <c r="AC66" s="50" t="n"/>
      <c r="AD66" s="50" t="n"/>
      <c r="AE66" s="50" t="n"/>
      <c r="AF66" s="50" t="n"/>
      <c r="AG66" s="50" t="n"/>
      <c r="AH66" s="50" t="n"/>
      <c r="AI66" s="50" t="n"/>
      <c r="AJ66" s="50" t="n"/>
      <c r="AK66" s="50" t="n"/>
      <c r="AL66" s="50" t="n"/>
      <c r="AM66" s="50" t="n"/>
      <c r="AN66" s="50" t="n"/>
      <c r="AO66" s="50" t="n"/>
      <c r="AP66" s="50" t="n"/>
      <c r="AQ66" s="50" t="n"/>
      <c r="AR66" s="50" t="n"/>
      <c r="AS66" s="50" t="n"/>
      <c r="AT66" s="50" t="n"/>
      <c r="AU66" s="50" t="n"/>
      <c r="AV66" s="50" t="n"/>
      <c r="AW66" s="50" t="n"/>
      <c r="AX66" s="50" t="n"/>
      <c r="AY66" s="50" t="n"/>
      <c r="AZ66" s="50" t="n"/>
      <c r="BA66" s="50" t="n"/>
      <c r="BB66" s="50" t="n"/>
      <c r="BC66" s="50" t="n"/>
      <c r="BD66" s="50" t="n"/>
      <c r="BE66" s="50" t="n"/>
      <c r="BF66" s="50" t="n"/>
      <c r="BG66" s="50" t="n"/>
      <c r="BH66" s="50" t="n"/>
      <c r="BI66" s="50" t="n"/>
      <c r="BJ66" s="50" t="n"/>
      <c r="BK66" s="50" t="n"/>
      <c r="BL66" s="50" t="n"/>
      <c r="BM66" s="50" t="n"/>
      <c r="BN66" s="50" t="n"/>
      <c r="BO66" s="50" t="n"/>
      <c r="BP66" s="50" t="n"/>
      <c r="BQ66" s="50" t="n"/>
      <c r="BR66" s="50" t="n"/>
      <c r="BS66" s="50" t="n"/>
      <c r="BT66" s="50" t="n"/>
      <c r="BU66" s="50" t="n"/>
      <c r="BV66" s="50" t="n"/>
      <c r="BW66" s="50" t="n"/>
      <c r="BX66" s="50" t="n"/>
      <c r="BY66" s="50" t="n"/>
      <c r="BZ66" s="50" t="n"/>
      <c r="CA66" s="50" t="n"/>
      <c r="CB66" s="50" t="n"/>
      <c r="CC66" s="50" t="n"/>
      <c r="CD66" s="50" t="n"/>
      <c r="CE66" s="50" t="n"/>
      <c r="CF66" s="50" t="n"/>
      <c r="CG66" s="50" t="n"/>
      <c r="CH66" s="50" t="n"/>
      <c r="CI66" s="50" t="n"/>
      <c r="CJ66" s="50" t="n"/>
      <c r="CK66" s="50" t="n"/>
      <c r="CL66" s="50" t="n"/>
      <c r="CM66" s="50" t="n"/>
      <c r="CN66" s="50" t="n"/>
      <c r="CO66" s="50" t="n"/>
      <c r="CP66" s="50" t="n"/>
      <c r="CQ66" s="50" t="n"/>
      <c r="CR66" s="50" t="n"/>
      <c r="CS66" s="50" t="n"/>
      <c r="CT66" s="50" t="n"/>
      <c r="CU66" s="50" t="n"/>
      <c r="CV66" s="50" t="n"/>
      <c r="CW66" s="50" t="n"/>
      <c r="CX66" s="50" t="n"/>
      <c r="CY66" s="50" t="n"/>
    </row>
    <row r="67" hidden="1" outlineLevel="1">
      <c r="C67" s="50" t="inlineStr">
        <is>
          <t>Com Vendas (%)</t>
        </is>
      </c>
      <c r="D67" s="50" t="n"/>
      <c r="E67" s="50" t="n"/>
      <c r="F67" s="50" t="n"/>
      <c r="G67" s="50" t="n"/>
      <c r="H67" s="50" t="n"/>
      <c r="I67" s="50" t="n"/>
      <c r="J67" s="50" t="n"/>
      <c r="K67" s="50" t="n"/>
      <c r="L67" s="50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  <c r="X67" s="50" t="n"/>
      <c r="Y67" s="50" t="n"/>
      <c r="Z67" s="50" t="n"/>
      <c r="AA67" s="50" t="n"/>
      <c r="AB67" s="50" t="n"/>
      <c r="AC67" s="50" t="n"/>
      <c r="AD67" s="50" t="n"/>
      <c r="AE67" s="50" t="n"/>
      <c r="AF67" s="50" t="n"/>
      <c r="AG67" s="50" t="n"/>
      <c r="AH67" s="50" t="n"/>
      <c r="AI67" s="50" t="n"/>
      <c r="AJ67" s="50" t="n"/>
      <c r="AK67" s="50" t="n"/>
      <c r="AL67" s="50" t="n"/>
      <c r="AM67" s="50" t="n"/>
      <c r="AN67" s="50" t="n"/>
      <c r="AO67" s="50" t="n"/>
      <c r="AP67" s="50" t="n"/>
      <c r="AQ67" s="50" t="n"/>
      <c r="AR67" s="50" t="n"/>
      <c r="AS67" s="50" t="n"/>
      <c r="AT67" s="50" t="n"/>
      <c r="AU67" s="50" t="n"/>
      <c r="AV67" s="50" t="n"/>
      <c r="AW67" s="50" t="n"/>
      <c r="AX67" s="50" t="n"/>
      <c r="AY67" s="50" t="n"/>
      <c r="AZ67" s="50" t="n"/>
      <c r="BA67" s="50" t="n"/>
      <c r="BB67" s="50" t="n"/>
      <c r="BC67" s="50" t="n"/>
      <c r="BD67" s="50" t="n"/>
      <c r="BE67" s="50" t="n"/>
      <c r="BF67" s="50" t="n"/>
      <c r="BG67" s="50" t="n"/>
      <c r="BH67" s="50" t="n"/>
      <c r="BI67" s="50" t="n"/>
      <c r="BJ67" s="50" t="n"/>
      <c r="BK67" s="50" t="n"/>
      <c r="BL67" s="50" t="n"/>
      <c r="BM67" s="50" t="n"/>
      <c r="BN67" s="50" t="n"/>
      <c r="BO67" s="50" t="n"/>
      <c r="BP67" s="50" t="n"/>
      <c r="BQ67" s="50" t="n"/>
      <c r="BR67" s="50" t="n"/>
      <c r="BS67" s="50" t="n"/>
      <c r="BT67" s="50" t="n"/>
      <c r="BU67" s="50" t="n"/>
      <c r="BV67" s="50" t="n"/>
      <c r="BW67" s="50" t="n"/>
      <c r="BX67" s="50" t="n"/>
      <c r="BY67" s="50" t="n"/>
      <c r="BZ67" s="50" t="n"/>
      <c r="CA67" s="50" t="n"/>
      <c r="CB67" s="50" t="n"/>
      <c r="CC67" s="50" t="n"/>
      <c r="CD67" s="50" t="n"/>
      <c r="CE67" s="50" t="n"/>
      <c r="CF67" s="50" t="n"/>
      <c r="CG67" s="50" t="n"/>
      <c r="CH67" s="50" t="n"/>
      <c r="CI67" s="50" t="n"/>
      <c r="CJ67" s="50" t="n"/>
      <c r="CK67" s="50" t="n"/>
      <c r="CL67" s="50" t="n"/>
      <c r="CM67" s="50" t="n"/>
      <c r="CN67" s="50" t="n"/>
      <c r="CO67" s="50" t="n"/>
      <c r="CP67" s="50" t="n"/>
      <c r="CQ67" s="50" t="n"/>
      <c r="CR67" s="50" t="n"/>
      <c r="CS67" s="50" t="n"/>
      <c r="CT67" s="50" t="n"/>
      <c r="CU67" s="50" t="n"/>
      <c r="CV67" s="50" t="n"/>
      <c r="CW67" s="50" t="n"/>
      <c r="CX67" s="50" t="n"/>
      <c r="CY67" s="50" t="n"/>
    </row>
    <row r="68" hidden="1" outlineLevel="1">
      <c r="C68" s="50" t="inlineStr">
        <is>
          <t>Gerais &amp; Administrativas (%)</t>
        </is>
      </c>
      <c r="D68" s="50" t="n"/>
      <c r="E68" s="50" t="n"/>
      <c r="F68" s="50" t="n"/>
      <c r="G68" s="50" t="n"/>
      <c r="H68" s="50" t="n"/>
      <c r="I68" s="50" t="n"/>
      <c r="J68" s="50" t="n"/>
      <c r="K68" s="50" t="n"/>
      <c r="L68" s="50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  <c r="X68" s="50" t="n"/>
      <c r="Y68" s="50" t="n"/>
      <c r="Z68" s="50" t="n"/>
      <c r="AA68" s="50" t="n"/>
      <c r="AB68" s="50" t="n"/>
      <c r="AC68" s="50" t="n"/>
      <c r="AD68" s="50" t="n"/>
      <c r="AE68" s="50" t="n"/>
      <c r="AF68" s="50" t="n"/>
      <c r="AG68" s="50" t="n"/>
      <c r="AH68" s="50" t="n"/>
      <c r="AI68" s="50" t="n"/>
      <c r="AJ68" s="50" t="n"/>
      <c r="AK68" s="50" t="n"/>
      <c r="AL68" s="50" t="n"/>
      <c r="AM68" s="50" t="n"/>
      <c r="AN68" s="50" t="n"/>
      <c r="AO68" s="50" t="n"/>
      <c r="AP68" s="50" t="n"/>
      <c r="AQ68" s="50" t="n"/>
      <c r="AR68" s="50" t="n"/>
      <c r="AS68" s="50" t="n"/>
      <c r="AT68" s="50" t="n"/>
      <c r="AU68" s="50" t="n"/>
      <c r="AV68" s="50" t="n"/>
      <c r="AW68" s="50" t="n"/>
      <c r="AX68" s="50" t="n"/>
      <c r="AY68" s="50" t="n"/>
      <c r="AZ68" s="50" t="n"/>
      <c r="BA68" s="50" t="n"/>
      <c r="BB68" s="50" t="n"/>
      <c r="BC68" s="50" t="n"/>
      <c r="BD68" s="50" t="n"/>
      <c r="BE68" s="50" t="n"/>
      <c r="BF68" s="50" t="n"/>
      <c r="BG68" s="50" t="n"/>
      <c r="BH68" s="50" t="n"/>
      <c r="BI68" s="50" t="n"/>
      <c r="BJ68" s="50" t="n"/>
      <c r="BK68" s="50" t="n"/>
      <c r="BL68" s="50" t="n"/>
      <c r="BM68" s="50" t="n"/>
      <c r="BN68" s="50" t="n"/>
      <c r="BO68" s="50" t="n"/>
      <c r="BP68" s="50" t="n"/>
      <c r="BQ68" s="50" t="n"/>
      <c r="BR68" s="50" t="n"/>
      <c r="BS68" s="50" t="n"/>
      <c r="BT68" s="50" t="n"/>
      <c r="BU68" s="50" t="n"/>
      <c r="BV68" s="50" t="n"/>
      <c r="BW68" s="50" t="n"/>
      <c r="BX68" s="50" t="n"/>
      <c r="BY68" s="50" t="n"/>
      <c r="BZ68" s="50" t="n"/>
      <c r="CA68" s="50" t="n"/>
      <c r="CB68" s="50" t="n"/>
      <c r="CC68" s="50" t="n"/>
      <c r="CD68" s="50" t="n"/>
      <c r="CE68" s="50" t="n"/>
      <c r="CF68" s="50" t="n"/>
      <c r="CG68" s="50" t="n"/>
      <c r="CH68" s="50" t="n"/>
      <c r="CI68" s="50" t="n"/>
      <c r="CJ68" s="50" t="n"/>
      <c r="CK68" s="50" t="n"/>
      <c r="CL68" s="50" t="n"/>
      <c r="CM68" s="50" t="n"/>
      <c r="CN68" s="50" t="n"/>
      <c r="CO68" s="50" t="n"/>
      <c r="CP68" s="50" t="n"/>
      <c r="CQ68" s="50" t="n"/>
      <c r="CR68" s="50" t="n"/>
      <c r="CS68" s="50" t="n"/>
      <c r="CT68" s="50" t="n"/>
      <c r="CU68" s="50" t="n"/>
      <c r="CV68" s="50" t="n"/>
      <c r="CW68" s="50" t="n"/>
      <c r="CX68" s="50" t="n"/>
      <c r="CY68" s="50" t="n"/>
    </row>
    <row r="69" hidden="1" outlineLevel="1">
      <c r="C69" s="50" t="inlineStr">
        <is>
          <t>Outras Receitas (Despesas) Operacionais, Líquidas (%)</t>
        </is>
      </c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  <c r="X69" s="50" t="n"/>
      <c r="Y69" s="50" t="n"/>
      <c r="Z69" s="50" t="n"/>
      <c r="AA69" s="50" t="n"/>
      <c r="AB69" s="50" t="n"/>
      <c r="AC69" s="50" t="n"/>
      <c r="AD69" s="50" t="n"/>
      <c r="AE69" s="50" t="n"/>
      <c r="AF69" s="50" t="n"/>
      <c r="AG69" s="50" t="n"/>
      <c r="AH69" s="50" t="n"/>
      <c r="AI69" s="50" t="n"/>
      <c r="AJ69" s="50" t="n"/>
      <c r="AK69" s="50" t="n"/>
      <c r="AL69" s="50" t="n"/>
      <c r="AM69" s="50" t="n"/>
      <c r="AN69" s="50" t="n"/>
      <c r="AO69" s="50" t="n"/>
      <c r="AP69" s="50" t="n"/>
      <c r="AQ69" s="50" t="n"/>
      <c r="AR69" s="50" t="n"/>
      <c r="AS69" s="50" t="n"/>
      <c r="AT69" s="50" t="n"/>
      <c r="AU69" s="50" t="n"/>
      <c r="AV69" s="50" t="n"/>
      <c r="AW69" s="50" t="n"/>
      <c r="AX69" s="50" t="n"/>
      <c r="AY69" s="50" t="n"/>
      <c r="AZ69" s="50" t="n"/>
      <c r="BA69" s="50" t="n"/>
      <c r="BB69" s="50" t="n"/>
      <c r="BC69" s="50" t="n"/>
      <c r="BD69" s="50" t="n"/>
      <c r="BE69" s="50" t="n"/>
      <c r="BF69" s="50" t="n"/>
      <c r="BG69" s="50" t="n"/>
      <c r="BH69" s="50" t="n"/>
      <c r="BI69" s="50" t="n"/>
      <c r="BJ69" s="50" t="n"/>
      <c r="BK69" s="50" t="n"/>
      <c r="BL69" s="50" t="n"/>
      <c r="BM69" s="50" t="n"/>
      <c r="BN69" s="50" t="n"/>
      <c r="BO69" s="50" t="n"/>
      <c r="BP69" s="50" t="n"/>
      <c r="BQ69" s="50" t="n"/>
      <c r="BR69" s="50" t="n"/>
      <c r="BS69" s="50" t="n"/>
      <c r="BT69" s="50" t="n"/>
      <c r="BU69" s="50" t="n"/>
      <c r="BV69" s="50" t="n"/>
      <c r="BW69" s="50" t="n"/>
      <c r="BX69" s="50" t="n"/>
      <c r="BY69" s="50" t="n"/>
      <c r="BZ69" s="50" t="n"/>
      <c r="CA69" s="50" t="n"/>
      <c r="CB69" s="50" t="n"/>
      <c r="CC69" s="50" t="n"/>
      <c r="CD69" s="50" t="n"/>
      <c r="CE69" s="50" t="n"/>
      <c r="CF69" s="50" t="n"/>
      <c r="CG69" s="50" t="n"/>
      <c r="CH69" s="50" t="n"/>
      <c r="CI69" s="50" t="n"/>
      <c r="CJ69" s="50" t="n"/>
      <c r="CK69" s="50" t="n"/>
      <c r="CL69" s="50" t="n"/>
      <c r="CM69" s="50" t="n"/>
      <c r="CN69" s="50" t="n"/>
      <c r="CO69" s="50" t="n"/>
      <c r="CP69" s="50" t="n"/>
      <c r="CQ69" s="50" t="n"/>
      <c r="CR69" s="50" t="n"/>
      <c r="CS69" s="50" t="n"/>
      <c r="CT69" s="50" t="n"/>
      <c r="CU69" s="50" t="n"/>
      <c r="CV69" s="50" t="n"/>
      <c r="CW69" s="50" t="n"/>
      <c r="CX69" s="50" t="n"/>
      <c r="CY69" s="50" t="n"/>
    </row>
    <row r="70" hidden="1" outlineLevel="1"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  <c r="P70" s="50" t="n"/>
      <c r="Q70" s="50" t="n"/>
      <c r="R70" s="50" t="n"/>
      <c r="S70" s="50" t="n"/>
      <c r="T70" s="50" t="n"/>
      <c r="U70" s="50" t="n"/>
      <c r="V70" s="50" t="n"/>
      <c r="W70" s="50" t="n"/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50" t="n"/>
      <c r="AH70" s="50" t="n"/>
      <c r="AI70" s="50" t="n"/>
      <c r="AJ70" s="50" t="n"/>
      <c r="AK70" s="50" t="n"/>
      <c r="AL70" s="50" t="n"/>
      <c r="AM70" s="50" t="n"/>
      <c r="AN70" s="50" t="n"/>
      <c r="AO70" s="50" t="n"/>
      <c r="AP70" s="50" t="n"/>
      <c r="AQ70" s="50" t="n"/>
      <c r="AR70" s="50" t="n"/>
      <c r="AS70" s="50" t="n"/>
      <c r="AT70" s="50" t="n"/>
      <c r="AU70" s="50" t="n"/>
      <c r="AV70" s="50" t="n"/>
      <c r="AW70" s="50" t="n"/>
      <c r="AX70" s="50" t="n"/>
      <c r="AY70" s="50" t="n"/>
      <c r="AZ70" s="50" t="n"/>
      <c r="BA70" s="50" t="n"/>
      <c r="BB70" s="50" t="n"/>
      <c r="BC70" s="50" t="n"/>
      <c r="BD70" s="50" t="n"/>
      <c r="BE70" s="50" t="n"/>
      <c r="BF70" s="50" t="n"/>
      <c r="BG70" s="50" t="n"/>
      <c r="BH70" s="50" t="n"/>
      <c r="BI70" s="50" t="n"/>
      <c r="BJ70" s="50" t="n"/>
      <c r="BK70" s="50" t="n"/>
      <c r="BL70" s="50" t="n"/>
      <c r="BM70" s="50" t="n"/>
      <c r="BN70" s="50" t="n"/>
      <c r="BO70" s="50" t="n"/>
      <c r="BP70" s="50" t="n"/>
      <c r="BQ70" s="50" t="n"/>
      <c r="BR70" s="50" t="n"/>
      <c r="BS70" s="50" t="n"/>
      <c r="BT70" s="50" t="n"/>
      <c r="BU70" s="50" t="n"/>
      <c r="BV70" s="50" t="n"/>
      <c r="BW70" s="50" t="n"/>
      <c r="BX70" s="50" t="n"/>
      <c r="BY70" s="50" t="n"/>
      <c r="BZ70" s="50" t="n"/>
      <c r="CA70" s="50" t="n"/>
      <c r="CB70" s="50" t="n"/>
      <c r="CC70" s="50" t="n"/>
      <c r="CD70" s="50" t="n"/>
      <c r="CE70" s="50" t="n"/>
      <c r="CF70" s="50" t="n"/>
      <c r="CG70" s="50" t="n"/>
      <c r="CH70" s="50" t="n"/>
      <c r="CI70" s="50" t="n"/>
      <c r="CJ70" s="50" t="n"/>
      <c r="CK70" s="50" t="n"/>
      <c r="CL70" s="50" t="n"/>
      <c r="CM70" s="50" t="n"/>
      <c r="CN70" s="50" t="n"/>
      <c r="CO70" s="50" t="n"/>
      <c r="CP70" s="50" t="n"/>
      <c r="CQ70" s="50" t="n"/>
      <c r="CR70" s="50" t="n"/>
      <c r="CS70" s="50" t="n"/>
      <c r="CT70" s="50" t="n"/>
      <c r="CU70" s="50" t="n"/>
      <c r="CV70" s="50" t="n"/>
      <c r="CW70" s="50" t="n"/>
      <c r="CX70" s="50" t="n"/>
      <c r="CY70" s="50" t="n"/>
    </row>
    <row r="71" collapsed="1" customFormat="1" s="32">
      <c r="A71" s="30" t="n"/>
      <c r="B71" s="3" t="n"/>
      <c r="C71" s="33" t="inlineStr">
        <is>
          <t>EBITDA</t>
        </is>
      </c>
      <c r="D71" s="35" t="n"/>
      <c r="E71" s="35" t="n"/>
      <c r="F71" s="35" t="n"/>
      <c r="G71" s="35" t="n"/>
      <c r="H71" s="35" t="n"/>
      <c r="I71" s="35">
        <f>SUM(I15,I56,I60)</f>
        <v>523.183</v>
      </c>
      <c r="J71" s="35">
        <f>SUM(J15,J56,J60)</f>
        <v>582.663</v>
      </c>
      <c r="K71" s="35">
        <f>SUM(K15,K56,K60)</f>
        <v>593.243</v>
      </c>
      <c r="L71" s="35">
        <f>SUM(L15,L56,L60)</f>
        <v>577.083</v>
      </c>
      <c r="M71" s="35">
        <f>SUM(I71:L71)</f>
        <v>2276.172</v>
      </c>
      <c r="N71" s="35">
        <f>SUM(N15,N56,N60)</f>
        <v>596.47</v>
      </c>
      <c r="O71" s="35">
        <f>SUM(O15,O56,O60)</f>
        <v>443.654</v>
      </c>
      <c r="P71" s="35">
        <f>SUM(P15,P56,P60)</f>
        <v>573.755</v>
      </c>
      <c r="Q71" s="35">
        <f>SUM(Q15,Q56,Q60)</f>
        <v>611.386</v>
      </c>
      <c r="R71" s="35">
        <f>SUM(N71:Q71)</f>
        <v>2225.265</v>
      </c>
      <c r="S71" s="35">
        <f>SUM(S15,S56,S60)</f>
        <v>664.307</v>
      </c>
      <c r="T71" s="35">
        <f>SUM(T15,T56,T60)</f>
        <v>663.457</v>
      </c>
      <c r="U71" s="35">
        <f>SUM(U15,U56,U60)</f>
        <v>778.076</v>
      </c>
      <c r="V71" s="35">
        <f>SUM(V15,V56,V60)</f>
        <v>726.821</v>
      </c>
      <c r="W71" s="35">
        <f>SUM(S71:V71)</f>
        <v>2832.661</v>
      </c>
      <c r="X71" s="35">
        <f>SUM(X15,X56,X60)</f>
        <v>774.166</v>
      </c>
      <c r="Y71" s="35">
        <f>SUM(Y15,Y56,Y60)</f>
        <v>644.117</v>
      </c>
      <c r="Z71" s="35">
        <f>SUM(Z15,Z56,Z60)</f>
        <v>758.436</v>
      </c>
      <c r="AA71" s="35">
        <f>SUM(AA15,AA56,AA60)</f>
        <v>759.843</v>
      </c>
      <c r="AB71" s="35">
        <f>SUM(X71:AA71)</f>
        <v>2936.562</v>
      </c>
      <c r="AC71" s="35">
        <f>SUM(AC15,AC56,AC60)</f>
        <v>1115.931</v>
      </c>
      <c r="AD71" s="35">
        <f>SUM(AD15,AD56,AD60)</f>
        <v>535.944</v>
      </c>
      <c r="AE71" s="35">
        <f>SUM(AE15,AE56,AE60)</f>
        <v>555.635</v>
      </c>
      <c r="AF71" s="35">
        <f>SUM(AF15,AF56,AF60)</f>
        <v>756.247</v>
      </c>
      <c r="AG71" s="35">
        <f>SUM(AC71:AF71)</f>
        <v>2963.757</v>
      </c>
      <c r="AH71" s="35">
        <f>SUM(AH15,AH56,AH60)</f>
        <v>843.441</v>
      </c>
      <c r="AI71" s="35">
        <f>SUM(AI15,AI56,AI60)</f>
        <v>540.262</v>
      </c>
      <c r="AJ71" s="35">
        <f>SUM(AJ15,AJ56,AJ60)</f>
        <v>756.339514133528</v>
      </c>
      <c r="AK71" s="35">
        <f>SUM(AK15,AK56,AK60)</f>
        <v>792.719601927879</v>
      </c>
      <c r="AL71" s="35">
        <f>SUM(AH71:AK71)</f>
        <v>2932.76211606141</v>
      </c>
      <c r="AM71" s="35">
        <f>SUM(AM15,AM56,AM60)</f>
        <v>815.945073217477</v>
      </c>
      <c r="AN71" s="35">
        <f>SUM(AN15,AN56,AN60)</f>
        <v>796.998971100909</v>
      </c>
      <c r="AO71" s="35">
        <f>SUM(AO15,AO56,AO60)</f>
        <v>806.845369538369</v>
      </c>
      <c r="AP71" s="35">
        <f>SUM(AP15,AP56,AP60)</f>
        <v>845.654799472621</v>
      </c>
      <c r="AQ71" s="35">
        <f>SUM(AM71:AP71)</f>
        <v>3265.44421332938</v>
      </c>
      <c r="AR71" s="35">
        <f>SUM(AR15,AR56,AR60)</f>
        <v>866.351465680927</v>
      </c>
      <c r="AS71" s="35">
        <f>SUM(AS15,AS56,AS60)</f>
        <v>846.23493593352</v>
      </c>
      <c r="AT71" s="35">
        <f>SUM(AT15,AT56,AT60)</f>
        <v>856.689612354733</v>
      </c>
      <c r="AU71" s="35">
        <f>SUM(AU15,AU56,AU60)</f>
        <v>897.8965607259</v>
      </c>
      <c r="AV71" s="35">
        <f>SUM(AR71:AU71)</f>
        <v>3467.17257469508</v>
      </c>
      <c r="AW71" s="35">
        <f>SUM(AW15,AW56,AW60)</f>
        <v>915.540041306059</v>
      </c>
      <c r="AX71" s="35">
        <f>SUM(AX15,AX56,AX60)</f>
        <v>894.28136142214</v>
      </c>
      <c r="AY71" s="35">
        <f>SUM(AY15,AY56,AY60)</f>
        <v>905.32961985037</v>
      </c>
      <c r="AZ71" s="35">
        <f>SUM(AZ15,AZ56,AZ60)</f>
        <v>948.876162689288</v>
      </c>
      <c r="BA71" s="35">
        <f>SUM(AW71:AZ71)</f>
        <v>3664.02718526786</v>
      </c>
      <c r="BB71" s="35">
        <f>SUM(BB15,BB56,BB60)</f>
        <v>962.943681633448</v>
      </c>
      <c r="BC71" s="35">
        <f>SUM(BC15,BC56,BC60)</f>
        <v>940.584297498937</v>
      </c>
      <c r="BD71" s="35">
        <f>SUM(BD15,BD56,BD60)</f>
        <v>952.204598268459</v>
      </c>
      <c r="BE71" s="35">
        <f>SUM(BE15,BE56,BE60)</f>
        <v>998.005837309734</v>
      </c>
      <c r="BF71" s="35">
        <f>SUM(BB71:BE71)</f>
        <v>3853.73841471058</v>
      </c>
      <c r="BG71" s="35" t="n"/>
      <c r="BH71" s="35" t="n"/>
      <c r="BI71" s="35" t="n"/>
      <c r="BJ71" s="35" t="n"/>
      <c r="BK71" s="35" t="n"/>
      <c r="BL71" s="35" t="n"/>
      <c r="BM71" s="35" t="n"/>
      <c r="BN71" s="35" t="n"/>
      <c r="BO71" s="35" t="n"/>
      <c r="BP71" s="35" t="n"/>
      <c r="BQ71" s="35" t="n"/>
      <c r="BR71" s="35" t="n"/>
      <c r="BS71" s="35" t="n"/>
      <c r="BT71" s="35" t="n"/>
      <c r="BU71" s="35" t="n"/>
      <c r="BV71" s="35" t="n"/>
      <c r="BW71" s="35" t="n"/>
      <c r="BX71" s="35" t="n"/>
      <c r="BY71" s="35" t="n"/>
      <c r="BZ71" s="35" t="n"/>
      <c r="CA71" s="35" t="n"/>
      <c r="CB71" s="35" t="n"/>
      <c r="CC71" s="35" t="n"/>
      <c r="CD71" s="35" t="n"/>
      <c r="CE71" s="35" t="n"/>
      <c r="CF71" s="35" t="n"/>
      <c r="CG71" s="35" t="n"/>
      <c r="CH71" s="35" t="n"/>
      <c r="CI71" s="35" t="n"/>
      <c r="CJ71" s="35" t="n"/>
      <c r="CK71" s="35" t="n"/>
      <c r="CL71" s="35" t="n"/>
      <c r="CM71" s="35" t="n"/>
      <c r="CN71" s="35" t="n"/>
      <c r="CO71" s="35" t="n"/>
      <c r="CP71" s="35" t="n"/>
      <c r="CQ71" s="35" t="n"/>
      <c r="CR71" s="35" t="n"/>
      <c r="CS71" s="35" t="n"/>
      <c r="CT71" s="35" t="n"/>
      <c r="CU71" s="35" t="n"/>
      <c r="CV71" s="35" t="n"/>
      <c r="CW71" s="35" t="n"/>
      <c r="CX71" s="35" t="n"/>
      <c r="CY71" s="35" t="n"/>
    </row>
    <row r="72" ht="13.5" customHeight="1">
      <c r="C72" s="13" t="inlineStr">
        <is>
          <t>D&amp;A</t>
        </is>
      </c>
      <c r="D72" s="46" t="n"/>
      <c r="E72" s="46" t="n"/>
      <c r="F72" s="46" t="n"/>
      <c r="G72" s="46" t="n"/>
      <c r="H72" s="12" t="n"/>
      <c r="I72" s="46">
        <f>'Inputs (2)'!D7</f>
        <v>-94.376</v>
      </c>
      <c r="J72" s="46">
        <f>'Inputs (2)'!E7</f>
        <v>-97.622</v>
      </c>
      <c r="K72" s="46">
        <f>'Inputs (2)'!F7</f>
        <v>-100.824</v>
      </c>
      <c r="L72" s="46">
        <f>'Inputs (2)'!G7</f>
        <v>-101.644</v>
      </c>
      <c r="M72" s="12">
        <f>'Inputs (2)'!H7</f>
        <v>-394.466</v>
      </c>
      <c r="N72" s="46">
        <f>'Inputs (2)'!I7</f>
        <v>-105.38</v>
      </c>
      <c r="O72" s="46">
        <f>'Inputs (2)'!J7</f>
        <v>-106.327</v>
      </c>
      <c r="P72" s="46">
        <f>'Inputs (2)'!K7</f>
        <v>-107.695</v>
      </c>
      <c r="Q72" s="46">
        <f>'Inputs (2)'!L7</f>
        <v>-114.018</v>
      </c>
      <c r="R72" s="12">
        <f>'Inputs (2)'!M7</f>
        <v>-433.42</v>
      </c>
      <c r="S72" s="46">
        <f>'Inputs (2)'!N7</f>
        <v>-116.284</v>
      </c>
      <c r="T72" s="46">
        <f>'Inputs (2)'!O7</f>
        <v>-117.776</v>
      </c>
      <c r="U72" s="46">
        <f>'Inputs (2)'!P7</f>
        <v>-121.633</v>
      </c>
      <c r="V72" s="46">
        <f>'Inputs (2)'!Q7</f>
        <v>-124.415</v>
      </c>
      <c r="W72" s="12">
        <f>'Inputs (2)'!R7</f>
        <v>-480.108</v>
      </c>
      <c r="X72" s="46">
        <f>'Inputs (2)'!S7</f>
        <v>-133.389</v>
      </c>
      <c r="Y72" s="46">
        <f>'Inputs (2)'!T7</f>
        <v>-137.243</v>
      </c>
      <c r="Z72" s="46">
        <f>'Inputs (2)'!U7</f>
        <v>-141.936</v>
      </c>
      <c r="AA72" s="46">
        <f>'Inputs (2)'!V7</f>
        <v>-147.381</v>
      </c>
      <c r="AB72" s="12">
        <f>'Inputs (2)'!W7</f>
        <v>-559.949</v>
      </c>
      <c r="AC72" s="46">
        <f>'Inputs (2)'!X7</f>
        <v>-151.334</v>
      </c>
      <c r="AD72" s="46">
        <f>'Inputs (2)'!Y7</f>
        <v>-153.921</v>
      </c>
      <c r="AE72" s="46">
        <f>'Inputs (2)'!Z7</f>
        <v>-154.973</v>
      </c>
      <c r="AF72" s="46">
        <f>'Inputs (2)'!AA7</f>
        <v>-166.023</v>
      </c>
      <c r="AG72" s="12">
        <f>'Inputs (2)'!AB7</f>
        <v>-626.251</v>
      </c>
      <c r="AH72" s="12">
        <f>'Inputs (2)'!AC7</f>
        <v>-172.399</v>
      </c>
      <c r="AI72" s="12">
        <f>'Inputs (2)'!AD7</f>
        <v>-174.854</v>
      </c>
      <c r="AJ72" s="12">
        <f>-AJ73*AJ15</f>
        <v>-169.475055949055</v>
      </c>
      <c r="AK72" s="12">
        <f>-AK73*AK15</f>
        <v>-177.626841356489</v>
      </c>
      <c r="AL72" s="12">
        <f>SUM(AH72:AK72)</f>
        <v>-694.354897305544</v>
      </c>
      <c r="AM72" s="12">
        <f>-AM73*AM15</f>
        <v>-182.831035997512</v>
      </c>
      <c r="AN72" s="12">
        <f>-AN73*AN15</f>
        <v>-178.585731268325</v>
      </c>
      <c r="AO72" s="12">
        <f>-AO73*AO15</f>
        <v>-180.792040597538</v>
      </c>
      <c r="AP72" s="12">
        <f>-AP73*AP15</f>
        <v>-189.488175318191</v>
      </c>
      <c r="AQ72" s="12">
        <f>SUM(AM72:AP72)</f>
        <v>-731.696983181566</v>
      </c>
      <c r="AR72" s="12">
        <f>-AR73*AR15</f>
        <v>-194.125733713682</v>
      </c>
      <c r="AS72" s="12">
        <f>-AS73*AS15</f>
        <v>-189.61816807585</v>
      </c>
      <c r="AT72" s="12">
        <f>-AT73*AT15</f>
        <v>-191.960775910434</v>
      </c>
      <c r="AU72" s="12">
        <f>-AU73*AU15</f>
        <v>-201.194129120458</v>
      </c>
      <c r="AV72" s="12">
        <f>SUM(AR72:AU72)</f>
        <v>-776.898806820425</v>
      </c>
      <c r="AW72" s="12">
        <f>-AW73*AW15</f>
        <v>-205.147551892352</v>
      </c>
      <c r="AX72" s="12">
        <f>-AX73*AX15</f>
        <v>-200.384061561085</v>
      </c>
      <c r="AY72" s="12">
        <f>-AY73*AY15</f>
        <v>-202.859674933486</v>
      </c>
      <c r="AZ72" s="12">
        <f>-AZ73*AZ15</f>
        <v>-212.61726745127</v>
      </c>
      <c r="BA72" s="12">
        <f>SUM(AW72:AZ72)</f>
        <v>-821.008555838193</v>
      </c>
      <c r="BB72" s="12">
        <f>-BB73*BB15</f>
        <v>-215.769414754927</v>
      </c>
      <c r="BC72" s="12">
        <f>-BC73*BC15</f>
        <v>-210.759286622823</v>
      </c>
      <c r="BD72" s="12">
        <f>-BD73*BD15</f>
        <v>-213.363079081446</v>
      </c>
      <c r="BE72" s="12">
        <f>-BE73*BE15</f>
        <v>-223.625887521315</v>
      </c>
      <c r="BF72" s="12">
        <f>SUM(BB72:BE72)</f>
        <v>-863.517667980512</v>
      </c>
      <c r="BG72" s="12" t="n"/>
      <c r="BH72" s="12" t="n"/>
      <c r="BI72" s="12" t="n"/>
      <c r="BJ72" s="12" t="n"/>
      <c r="BK72" s="12" t="n"/>
      <c r="BL72" s="12" t="n"/>
      <c r="BM72" s="12" t="n"/>
      <c r="BN72" s="12" t="n"/>
      <c r="BO72" s="12" t="n"/>
      <c r="BP72" s="12" t="n"/>
      <c r="BQ72" s="12" t="n"/>
      <c r="BR72" s="12" t="n"/>
      <c r="BS72" s="12" t="n"/>
      <c r="BT72" s="12" t="n"/>
      <c r="BU72" s="12" t="n"/>
      <c r="BV72" s="12" t="n"/>
      <c r="BW72" s="12" t="n"/>
      <c r="BX72" s="12" t="n"/>
      <c r="BY72" s="12" t="n"/>
      <c r="BZ72" s="12" t="n"/>
      <c r="CA72" s="12" t="n"/>
      <c r="CB72" s="12" t="n"/>
      <c r="CC72" s="12" t="n"/>
      <c r="CD72" s="12" t="n"/>
      <c r="CE72" s="12" t="n"/>
      <c r="CF72" s="12" t="n"/>
      <c r="CG72" s="12" t="n"/>
      <c r="CH72" s="12" t="n"/>
      <c r="CI72" s="12" t="n"/>
      <c r="CJ72" s="12" t="n"/>
      <c r="CK72" s="12" t="n"/>
      <c r="CL72" s="12" t="n"/>
      <c r="CM72" s="12" t="n"/>
      <c r="CN72" s="12" t="n"/>
      <c r="CO72" s="12" t="n"/>
      <c r="CP72" s="12" t="n"/>
      <c r="CQ72" s="12" t="n"/>
      <c r="CR72" s="12" t="n"/>
      <c r="CS72" s="12" t="n"/>
      <c r="CT72" s="12" t="n"/>
      <c r="CU72" s="12" t="n"/>
      <c r="CV72" s="12" t="n"/>
      <c r="CW72" s="12" t="n"/>
      <c r="CX72" s="12" t="n"/>
      <c r="CY72" s="12" t="n"/>
    </row>
    <row r="73" hidden="1" outlineLevel="1" customFormat="1" s="56">
      <c r="A73" s="53" t="n"/>
      <c r="B73" s="53" t="n"/>
      <c r="C73" s="54" t="inlineStr">
        <is>
          <t>% of Revenue</t>
        </is>
      </c>
      <c r="D73" s="53" t="n"/>
      <c r="E73" s="53" t="n"/>
      <c r="F73" s="53" t="n"/>
      <c r="G73" s="53" t="n"/>
      <c r="H73" s="53" t="n"/>
      <c r="I73" s="53">
        <f>IFERROR(-I72/I15,"")</f>
        <v>0.0769489170599343</v>
      </c>
      <c r="J73" s="53">
        <f>IFERROR(-J72/J15,"")</f>
        <v>0.0766631406428044</v>
      </c>
      <c r="K73" s="53">
        <f>IFERROR(-K72/K15,"")</f>
        <v>0.0763032027607919</v>
      </c>
      <c r="L73" s="53">
        <f>IFERROR(-L72/L15,"")</f>
        <v>0.0734853638734314</v>
      </c>
      <c r="M73" s="53" t="n"/>
      <c r="N73" s="53">
        <f>IFERROR(-N72/N15,"")</f>
        <v>0.0749053553988294</v>
      </c>
      <c r="O73" s="53">
        <f>IFERROR(-O72/O15,"")</f>
        <v>0.0782326414359954</v>
      </c>
      <c r="P73" s="53">
        <f>IFERROR(-P72/P15,"")</f>
        <v>0.0751816450535581</v>
      </c>
      <c r="Q73" s="53">
        <f>IFERROR(-Q72/Q15,"")</f>
        <v>0.0772883920316046</v>
      </c>
      <c r="R73" s="53" t="n"/>
      <c r="S73" s="53">
        <f>IFERROR(-S72/S15,"")</f>
        <v>0.0799772759004184</v>
      </c>
      <c r="T73" s="53">
        <f>IFERROR(-T72/T15,"")</f>
        <v>0.0766756356813576</v>
      </c>
      <c r="U73" s="53">
        <f>IFERROR(-U72/U15,"")</f>
        <v>0.0757471776885444</v>
      </c>
      <c r="V73" s="53">
        <f>IFERROR(-V72/V15,"")</f>
        <v>0.0733160554589126</v>
      </c>
      <c r="W73" s="53" t="n"/>
      <c r="X73" s="53">
        <f>IFERROR(-X72/X15,"")</f>
        <v>0.0785559819365234</v>
      </c>
      <c r="Y73" s="53">
        <f>IFERROR(-Y72/Y15,"")</f>
        <v>0.0824652756914217</v>
      </c>
      <c r="Z73" s="53">
        <f>IFERROR(-Z72/Z15,"")</f>
        <v>0.0830157426708497</v>
      </c>
      <c r="AA73" s="53">
        <f>IFERROR(-AA72/AA15,"")</f>
        <v>0.0829751262099519</v>
      </c>
      <c r="AB73" s="53" t="n"/>
      <c r="AC73" s="53">
        <f>IFERROR(-AC72/AC15,"")</f>
        <v>0.0838307298836217</v>
      </c>
      <c r="AD73" s="53">
        <f>IFERROR(-AD72/AD15,"")</f>
        <v>0.0902566069201364</v>
      </c>
      <c r="AE73" s="53">
        <f>IFERROR(-AE72/AE15,"")</f>
        <v>0.0858970685151241</v>
      </c>
      <c r="AF73" s="55">
        <f>IFERROR(-AF72/AF15,"")</f>
        <v>0.087798632646413</v>
      </c>
      <c r="AG73" s="53" t="n"/>
      <c r="AH73" s="55">
        <f>IFERROR(-AH72/AH15,"")</f>
        <v>0.0885753567953209</v>
      </c>
      <c r="AI73" s="55">
        <f>IFERROR(-AI72/AI15,"")</f>
        <v>0.0919722695617413</v>
      </c>
      <c r="AJ73" s="55">
        <f>Control!$B$21</f>
        <v>0.0880551107203929</v>
      </c>
      <c r="AK73" s="55">
        <f>Control!$B$21</f>
        <v>0.0880551107203929</v>
      </c>
      <c r="AL73" s="53" t="n"/>
      <c r="AM73" s="55">
        <f>Control!$C$21</f>
        <v>0.0880551107203929</v>
      </c>
      <c r="AN73" s="55">
        <f>Control!$C$21</f>
        <v>0.0880551107203929</v>
      </c>
      <c r="AO73" s="55">
        <f>Control!$C$21</f>
        <v>0.0880551107203929</v>
      </c>
      <c r="AP73" s="55">
        <f>Control!$C$21</f>
        <v>0.0880551107203929</v>
      </c>
      <c r="AQ73" s="53" t="n"/>
      <c r="AR73" s="55">
        <f>Control!$D$21</f>
        <v>0.0880551107203929</v>
      </c>
      <c r="AS73" s="55">
        <f>Control!$D$21</f>
        <v>0.0880551107203929</v>
      </c>
      <c r="AT73" s="55">
        <f>Control!$D$21</f>
        <v>0.0880551107203929</v>
      </c>
      <c r="AU73" s="55">
        <f>Control!$D$21</f>
        <v>0.0880551107203929</v>
      </c>
      <c r="AV73" s="53" t="n"/>
      <c r="AW73" s="55">
        <f>Control!$E$21</f>
        <v>0.0880551107203929</v>
      </c>
      <c r="AX73" s="55">
        <f>Control!$E$21</f>
        <v>0.0880551107203929</v>
      </c>
      <c r="AY73" s="55">
        <f>Control!$E$21</f>
        <v>0.0880551107203929</v>
      </c>
      <c r="AZ73" s="55">
        <f>Control!$E$21</f>
        <v>0.0880551107203929</v>
      </c>
      <c r="BA73" s="53" t="n"/>
      <c r="BB73" s="55">
        <f>Control!$F$21</f>
        <v>0.0880551107203929</v>
      </c>
      <c r="BC73" s="55">
        <f>Control!$F$21</f>
        <v>0.0880551107203929</v>
      </c>
      <c r="BD73" s="55">
        <f>Control!$F$21</f>
        <v>0.0880551107203929</v>
      </c>
      <c r="BE73" s="55">
        <f>Control!$F$21</f>
        <v>0.0880551107203929</v>
      </c>
      <c r="BF73" s="53" t="n"/>
      <c r="BG73" s="55" t="n"/>
      <c r="BH73" s="55" t="n"/>
      <c r="BI73" s="55" t="n"/>
      <c r="BJ73" s="55" t="n"/>
      <c r="BK73" s="53" t="n"/>
      <c r="BL73" s="55" t="n"/>
      <c r="BM73" s="55" t="n"/>
      <c r="BN73" s="55" t="n"/>
      <c r="BO73" s="55" t="n"/>
      <c r="BP73" s="53" t="n"/>
      <c r="BQ73" s="55" t="n"/>
      <c r="BR73" s="55" t="n"/>
      <c r="BS73" s="55" t="n"/>
      <c r="BT73" s="55" t="n"/>
      <c r="BU73" s="53" t="n"/>
      <c r="BV73" s="55" t="n"/>
      <c r="BW73" s="55" t="n"/>
      <c r="BX73" s="55" t="n"/>
      <c r="BY73" s="55" t="n"/>
      <c r="BZ73" s="53" t="n"/>
      <c r="CA73" s="55" t="n"/>
      <c r="CB73" s="55" t="n"/>
      <c r="CC73" s="55" t="n"/>
      <c r="CD73" s="55" t="n"/>
      <c r="CE73" s="53" t="n"/>
      <c r="CF73" s="55" t="n"/>
      <c r="CG73" s="55" t="n"/>
      <c r="CH73" s="55" t="n"/>
      <c r="CI73" s="55" t="n"/>
      <c r="CJ73" s="53" t="n"/>
      <c r="CK73" s="55" t="n"/>
      <c r="CL73" s="55" t="n"/>
      <c r="CM73" s="55" t="n"/>
      <c r="CN73" s="55" t="n"/>
      <c r="CO73" s="53" t="n"/>
      <c r="CP73" s="55" t="n"/>
      <c r="CQ73" s="55" t="n"/>
      <c r="CR73" s="55" t="n"/>
      <c r="CS73" s="55" t="n"/>
      <c r="CT73" s="53" t="n"/>
      <c r="CU73" s="55" t="n"/>
      <c r="CV73" s="55" t="n"/>
      <c r="CW73" s="55" t="n"/>
      <c r="CX73" s="55" t="n"/>
      <c r="CY73" s="53" t="n"/>
    </row>
    <row r="74" hidden="1" outlineLevel="1">
      <c r="C74" s="50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collapsed="1" customFormat="1" s="32">
      <c r="A75" s="30" t="n"/>
      <c r="B75" s="3" t="n"/>
      <c r="C75" s="33" t="inlineStr">
        <is>
          <t>Operating Profit - EBIT</t>
        </is>
      </c>
      <c r="D75" s="35" t="n"/>
      <c r="E75" s="35" t="n"/>
      <c r="F75" s="35" t="n"/>
      <c r="G75" s="35" t="n"/>
      <c r="H75" s="35" t="n"/>
      <c r="I75" s="35">
        <f>SUM(I71,I72)</f>
        <v>428.807</v>
      </c>
      <c r="J75" s="35">
        <f>SUM(J71,J72)</f>
        <v>485.041</v>
      </c>
      <c r="K75" s="35">
        <f>SUM(K71,K72)</f>
        <v>492.419</v>
      </c>
      <c r="L75" s="35">
        <f>SUM(L71,L72)</f>
        <v>475.439</v>
      </c>
      <c r="M75" s="35">
        <f>SUM(I75:L75)</f>
        <v>1881.706</v>
      </c>
      <c r="N75" s="35">
        <f>SUM(N71,N72)</f>
        <v>491.09</v>
      </c>
      <c r="O75" s="35">
        <f>SUM(O71,O72)</f>
        <v>337.327</v>
      </c>
      <c r="P75" s="35">
        <f>SUM(P71,P72)</f>
        <v>466.06</v>
      </c>
      <c r="Q75" s="35">
        <f>SUM(Q71,Q72)</f>
        <v>497.368</v>
      </c>
      <c r="R75" s="35">
        <f>SUM(N75:Q75)</f>
        <v>1791.845</v>
      </c>
      <c r="S75" s="35">
        <f>SUM(S71,S72)</f>
        <v>548.023</v>
      </c>
      <c r="T75" s="35">
        <f>SUM(T71,T72)</f>
        <v>545.681</v>
      </c>
      <c r="U75" s="35">
        <f>SUM(U71,U72)</f>
        <v>656.443</v>
      </c>
      <c r="V75" s="35">
        <f>SUM(V71,V72)</f>
        <v>602.406</v>
      </c>
      <c r="W75" s="35">
        <f>SUM(S75:V75)</f>
        <v>2352.553</v>
      </c>
      <c r="X75" s="35">
        <f>SUM(X71,X72)</f>
        <v>640.777</v>
      </c>
      <c r="Y75" s="35">
        <f>SUM(Y71,Y72)</f>
        <v>506.874</v>
      </c>
      <c r="Z75" s="35">
        <f>SUM(Z71,Z72)</f>
        <v>616.5</v>
      </c>
      <c r="AA75" s="35">
        <f>SUM(AA71,AA72)</f>
        <v>612.462</v>
      </c>
      <c r="AB75" s="35">
        <f>SUM(X75:AA75)</f>
        <v>2376.613</v>
      </c>
      <c r="AC75" s="35">
        <f>SUM(AC71,AC72)</f>
        <v>964.597</v>
      </c>
      <c r="AD75" s="35">
        <f>SUM(AD71,AD72)</f>
        <v>382.023</v>
      </c>
      <c r="AE75" s="35">
        <f>SUM(AE71,AE72)</f>
        <v>400.662</v>
      </c>
      <c r="AF75" s="35">
        <f>SUM(AF71,AF72)</f>
        <v>590.224</v>
      </c>
      <c r="AG75" s="35">
        <f>SUM(AC75:AF75)</f>
        <v>2337.506</v>
      </c>
      <c r="AH75" s="35">
        <f>SUM(AH71,AH72)</f>
        <v>671.042</v>
      </c>
      <c r="AI75" s="35">
        <f>SUM(AI71,AI72)</f>
        <v>365.408</v>
      </c>
      <c r="AJ75" s="35">
        <f>SUM(AJ71,AJ72)</f>
        <v>586.864458184473</v>
      </c>
      <c r="AK75" s="35">
        <f>SUM(AK71,AK72)</f>
        <v>615.09276057139</v>
      </c>
      <c r="AL75" s="35">
        <f>SUM(AL71,AL72)</f>
        <v>2238.40721875586</v>
      </c>
      <c r="AM75" s="35">
        <f>SUM(AM71,AM72)</f>
        <v>633.114037219965</v>
      </c>
      <c r="AN75" s="35">
        <f>SUM(AN71,AN72)</f>
        <v>618.413239832584</v>
      </c>
      <c r="AO75" s="35">
        <f>SUM(AO71,AO72)</f>
        <v>626.053328940831</v>
      </c>
      <c r="AP75" s="35">
        <f>SUM(AP71,AP72)</f>
        <v>656.16662415443</v>
      </c>
      <c r="AQ75" s="35">
        <f>SUM(AQ71,AQ72)</f>
        <v>2533.74723014781</v>
      </c>
      <c r="AR75" s="35">
        <f>SUM(AR71,AR72)</f>
        <v>672.225731967245</v>
      </c>
      <c r="AS75" s="35">
        <f>SUM(AS71,AS72)</f>
        <v>656.61676785767</v>
      </c>
      <c r="AT75" s="35">
        <f>SUM(AT71,AT72)</f>
        <v>664.728836444299</v>
      </c>
      <c r="AU75" s="35">
        <f>SUM(AU71,AU72)</f>
        <v>696.702431605441</v>
      </c>
      <c r="AV75" s="35">
        <f>SUM(AV71,AV72)</f>
        <v>2690.27376787466</v>
      </c>
      <c r="AW75" s="35">
        <f>SUM(AW71,AW72)</f>
        <v>710.392489413707</v>
      </c>
      <c r="AX75" s="35">
        <f>SUM(AX71,AX72)</f>
        <v>693.897299861054</v>
      </c>
      <c r="AY75" s="35">
        <f>SUM(AY71,AY72)</f>
        <v>702.469944916884</v>
      </c>
      <c r="AZ75" s="35">
        <f>SUM(AZ71,AZ72)</f>
        <v>736.258895238019</v>
      </c>
      <c r="BA75" s="35">
        <f>SUM(BA71,BA72)</f>
        <v>2843.01862942966</v>
      </c>
      <c r="BB75" s="35">
        <f>SUM(BB71,BB72)</f>
        <v>747.17426687852</v>
      </c>
      <c r="BC75" s="35">
        <f>SUM(BC71,BC72)</f>
        <v>729.825010876114</v>
      </c>
      <c r="BD75" s="35">
        <f>SUM(BD71,BD72)</f>
        <v>738.841519187013</v>
      </c>
      <c r="BE75" s="35">
        <f>SUM(BE71,BE72)</f>
        <v>774.379949788418</v>
      </c>
      <c r="BF75" s="35">
        <f>SUM(BF71,BF72)</f>
        <v>2990.22074673007</v>
      </c>
      <c r="BG75" s="35" t="n"/>
      <c r="BH75" s="35" t="n"/>
      <c r="BI75" s="35" t="n"/>
      <c r="BJ75" s="35" t="n"/>
      <c r="BK75" s="35" t="n"/>
      <c r="BL75" s="35" t="n"/>
      <c r="BM75" s="35" t="n"/>
      <c r="BN75" s="35" t="n"/>
      <c r="BO75" s="35" t="n"/>
      <c r="BP75" s="35" t="n"/>
      <c r="BQ75" s="35" t="n"/>
      <c r="BR75" s="35" t="n"/>
      <c r="BS75" s="35" t="n"/>
      <c r="BT75" s="35" t="n"/>
      <c r="BU75" s="35" t="n"/>
      <c r="BV75" s="35" t="n"/>
      <c r="BW75" s="35" t="n"/>
      <c r="BX75" s="35" t="n"/>
      <c r="BY75" s="35" t="n"/>
      <c r="BZ75" s="35" t="n"/>
      <c r="CA75" s="35" t="n"/>
      <c r="CB75" s="35" t="n"/>
      <c r="CC75" s="35" t="n"/>
      <c r="CD75" s="35" t="n"/>
      <c r="CE75" s="35" t="n"/>
      <c r="CF75" s="35" t="n"/>
      <c r="CG75" s="35" t="n"/>
      <c r="CH75" s="35" t="n"/>
      <c r="CI75" s="35" t="n"/>
      <c r="CJ75" s="35" t="n"/>
      <c r="CK75" s="35" t="n"/>
      <c r="CL75" s="35" t="n"/>
      <c r="CM75" s="35" t="n"/>
      <c r="CN75" s="35" t="n"/>
      <c r="CO75" s="35" t="n"/>
      <c r="CP75" s="35" t="n"/>
      <c r="CQ75" s="35" t="n"/>
      <c r="CR75" s="35" t="n"/>
      <c r="CS75" s="35" t="n"/>
      <c r="CT75" s="35" t="n"/>
      <c r="CU75" s="35" t="n"/>
      <c r="CV75" s="35" t="n"/>
      <c r="CW75" s="35" t="n"/>
      <c r="CX75" s="35" t="n"/>
      <c r="CY75" s="35" t="n"/>
    </row>
    <row r="76">
      <c r="C76" s="14" t="inlineStr">
        <is>
          <t>Interest Expense</t>
        </is>
      </c>
      <c r="D76" s="46" t="n"/>
      <c r="E76" s="46" t="n"/>
      <c r="F76" s="46" t="n"/>
      <c r="G76" s="46" t="n"/>
      <c r="H76" s="12" t="n"/>
      <c r="I76" s="46">
        <f>'Inputs (2)'!D8</f>
        <v>-70.944</v>
      </c>
      <c r="J76" s="46">
        <f>'Inputs (2)'!E8</f>
        <v>-85.035</v>
      </c>
      <c r="K76" s="46">
        <f>'Inputs (2)'!F8</f>
        <v>-118.819</v>
      </c>
      <c r="L76" s="46">
        <f>'Inputs (2)'!G8</f>
        <v>-105.665</v>
      </c>
      <c r="M76" s="12">
        <f>'Inputs (2)'!H8</f>
        <v>-380.463</v>
      </c>
      <c r="N76" s="46">
        <f>'Inputs (2)'!I8</f>
        <v>-114.215</v>
      </c>
      <c r="O76" s="46">
        <f>'Inputs (2)'!J8</f>
        <v>-140.267</v>
      </c>
      <c r="P76" s="46">
        <f>'Inputs (2)'!K8</f>
        <v>-124.866</v>
      </c>
      <c r="Q76" s="46">
        <f>'Inputs (2)'!L8</f>
        <v>-128.541</v>
      </c>
      <c r="R76" s="12">
        <f>'Inputs (2)'!M8</f>
        <v>-507.889</v>
      </c>
      <c r="S76" s="46">
        <f>'Inputs (2)'!N8</f>
        <v>-138.902</v>
      </c>
      <c r="T76" s="46">
        <f>'Inputs (2)'!O8</f>
        <v>-127.204</v>
      </c>
      <c r="U76" s="46">
        <f>'Inputs (2)'!P8</f>
        <v>-136.009</v>
      </c>
      <c r="V76" s="46">
        <f>'Inputs (2)'!Q8</f>
        <v>-216.556</v>
      </c>
      <c r="W76" s="12">
        <f>'Inputs (2)'!R8</f>
        <v>-618.671</v>
      </c>
      <c r="X76" s="46">
        <f>'Inputs (2)'!S8</f>
        <v>-157.202</v>
      </c>
      <c r="Y76" s="46">
        <f>'Inputs (2)'!T8</f>
        <v>-157.906</v>
      </c>
      <c r="Z76" s="46">
        <f>'Inputs (2)'!U8</f>
        <v>-149.704</v>
      </c>
      <c r="AA76" s="46">
        <f>'Inputs (2)'!V8</f>
        <v>-232.378</v>
      </c>
      <c r="AB76" s="12">
        <f>'Inputs (2)'!W8</f>
        <v>-697.19</v>
      </c>
      <c r="AC76" s="46">
        <f>'Inputs (2)'!X8</f>
        <v>-195.667</v>
      </c>
      <c r="AD76" s="46">
        <f>'Inputs (2)'!Y8</f>
        <v>-381.533</v>
      </c>
      <c r="AE76" s="46">
        <f>'Inputs (2)'!Z8</f>
        <v>-252.789</v>
      </c>
      <c r="AF76" s="46">
        <f>'Inputs (2)'!AA8</f>
        <v>-236.944</v>
      </c>
      <c r="AG76" s="12">
        <f>'Inputs (2)'!AB8</f>
        <v>-1066.933</v>
      </c>
      <c r="AH76" s="12">
        <f>'Inputs (2)'!AC8</f>
        <v>-233.926</v>
      </c>
      <c r="AI76" s="12">
        <f>'Inputs (2)'!AD8</f>
        <v>-228.59</v>
      </c>
      <c r="AJ76" s="12" t="str">
        <f>IF(Control!$E$9="","",-AI94*Control!$E$9/4)</f>
        <v/>
      </c>
      <c r="AK76" s="12" t="str">
        <f>IF(Control!$E$9="","",-AJ94*Control!$E$9/4)</f>
        <v/>
      </c>
      <c r="AL76" s="12">
        <f>SUM(AH76:AK76)</f>
        <v>-462.516</v>
      </c>
      <c r="AM76" s="12" t="str">
        <f>IF(Control!$E$9="","",-AL94*Control!$E$9/4)</f>
        <v/>
      </c>
      <c r="AN76" s="12" t="str">
        <f>IF(Control!$E$9="","",-AM94*Control!$E$9/4)</f>
        <v/>
      </c>
      <c r="AO76" s="12" t="str">
        <f>IF(Control!$E$9="","",-AN94*Control!$E$9/4)</f>
        <v/>
      </c>
      <c r="AP76" s="12" t="str">
        <f>IF(Control!$E$9="","",-AO94*Control!$E$9/4)</f>
        <v/>
      </c>
      <c r="AQ76" s="12">
        <f>SUM(AM76:AP76)</f>
        <v>0</v>
      </c>
      <c r="AR76" s="12" t="str">
        <f>IF(Control!$E$9="","",-AQ94*Control!$E$9/4)</f>
        <v/>
      </c>
      <c r="AS76" s="12" t="str">
        <f>IF(Control!$E$9="","",-AR94*Control!$E$9/4)</f>
        <v/>
      </c>
      <c r="AT76" s="12" t="str">
        <f>IF(Control!$E$9="","",-AS94*Control!$E$9/4)</f>
        <v/>
      </c>
      <c r="AU76" s="12" t="str">
        <f>IF(Control!$E$9="","",-AT94*Control!$E$9/4)</f>
        <v/>
      </c>
      <c r="AV76" s="12">
        <f>SUM(AR76:AU76)</f>
        <v>0</v>
      </c>
      <c r="AW76" s="12" t="str">
        <f>IF(Control!$E$9="","",-AV94*Control!$E$9/4)</f>
        <v/>
      </c>
      <c r="AX76" s="12" t="str">
        <f>IF(Control!$E$9="","",-AW94*Control!$E$9/4)</f>
        <v/>
      </c>
      <c r="AY76" s="12" t="str">
        <f>IF(Control!$E$9="","",-AX94*Control!$E$9/4)</f>
        <v/>
      </c>
      <c r="AZ76" s="12" t="str">
        <f>IF(Control!$E$9="","",-AY94*Control!$E$9/4)</f>
        <v/>
      </c>
      <c r="BA76" s="12">
        <f>SUM(AW76:AZ76)</f>
        <v>0</v>
      </c>
      <c r="BB76" s="12" t="str">
        <f>IF(Control!$E$9="","",-BA94*Control!$E$9/4)</f>
        <v/>
      </c>
      <c r="BC76" s="12" t="str">
        <f>IF(Control!$E$9="","",-BB94*Control!$E$9/4)</f>
        <v/>
      </c>
      <c r="BD76" s="12" t="str">
        <f>IF(Control!$E$9="","",-BC94*Control!$E$9/4)</f>
        <v/>
      </c>
      <c r="BE76" s="12" t="str">
        <f>IF(Control!$E$9="","",-BD94*Control!$E$9/4)</f>
        <v/>
      </c>
      <c r="BF76" s="12">
        <f>SUM(BB76:BE76)</f>
        <v>0</v>
      </c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0" t="inlineStr">
        <is>
          <t>% of Debt</t>
        </is>
      </c>
      <c r="D77" s="53" t="n"/>
      <c r="E77" s="53" t="n"/>
      <c r="F77" s="53" t="n"/>
      <c r="G77" s="53" t="n"/>
      <c r="H77" s="12" t="n"/>
      <c r="I77" s="53">
        <f>IFERROR(-I76/SUM(I214+I219),"")</f>
        <v>0.0189091824038842</v>
      </c>
      <c r="J77" s="53">
        <f>IFERROR(-J76/SUM(J214+J219),"")</f>
        <v>0.0231895527431085</v>
      </c>
      <c r="K77" s="53">
        <f>IFERROR(-K76/SUM(K214+K219),"")</f>
        <v>0.0324654761101322</v>
      </c>
      <c r="L77" s="53">
        <f>IFERROR(-L76/SUM(L214+L219),"")</f>
        <v>0.0284385585568128</v>
      </c>
      <c r="M77" s="12" t="n"/>
      <c r="N77" s="53">
        <f>IFERROR(-N76/SUM(N214+N219),"")</f>
        <v>0.0263929401917928</v>
      </c>
      <c r="O77" s="53">
        <f>IFERROR(-O76/SUM(O214+O219),"")</f>
        <v>0.0316561696772681</v>
      </c>
      <c r="P77" s="53">
        <f>IFERROR(-P76/SUM(P214+P219),"")</f>
        <v>0.0278612777639933</v>
      </c>
      <c r="Q77" s="53">
        <f>IFERROR(-Q76/SUM(Q214+Q219),"")</f>
        <v>0.0280449439967291</v>
      </c>
      <c r="R77" s="12" t="n"/>
      <c r="S77" s="53">
        <f>IFERROR(-S76/SUM(S214+S219),"")</f>
        <v>0.0296241729770863</v>
      </c>
      <c r="T77" s="53">
        <f>IFERROR(-T76/SUM(T214+T219),"")</f>
        <v>0.0248649622844396</v>
      </c>
      <c r="U77" s="53">
        <f>IFERROR(-U76/SUM(U214+U219),"")</f>
        <v>0.0262557628551098</v>
      </c>
      <c r="V77" s="53">
        <f>IFERROR(-V76/SUM(V214+V219),"")</f>
        <v>0.0410962439586115</v>
      </c>
      <c r="W77" s="12" t="n"/>
      <c r="X77" s="53">
        <f>IFERROR(-X76/SUM(X214+X219),"")</f>
        <v>0.0266192673630937</v>
      </c>
      <c r="Y77" s="53">
        <f>IFERROR(-Y76/SUM(Y214+Y219),"")</f>
        <v>0.0268428515306729</v>
      </c>
      <c r="Z77" s="53">
        <f>IFERROR(-Z76/SUM(Z214+Z219),"")</f>
        <v>0.0250746776641678</v>
      </c>
      <c r="AA77" s="53">
        <f>IFERROR(-AA76/SUM(AA214+AA219),"")</f>
        <v>0.0378385868652827</v>
      </c>
      <c r="AB77" s="12" t="n"/>
      <c r="AC77" s="53">
        <f>IFERROR(-AC76/SUM(AC214+AC219),"")</f>
        <v>0.0319205235783509</v>
      </c>
      <c r="AD77" s="53">
        <f>IFERROR(-AD76/SUM(AD214+AD219),"")</f>
        <v>0.0611596926602534</v>
      </c>
      <c r="AE77" s="53">
        <f>IFERROR(-AE76/SUM(AE214+AE219),"")</f>
        <v>0.0376387617499689</v>
      </c>
      <c r="AF77" s="55">
        <f>IFERROR(-AF76/SUM(AF214+AF219),"")</f>
        <v>0.0346898767998712</v>
      </c>
      <c r="AG77" s="12" t="n"/>
      <c r="AH77" s="11">
        <f>IFERROR(-AH76/SUM(AH214+AH219),"")</f>
        <v>0.0347081773258682</v>
      </c>
      <c r="AI77" s="11">
        <f>IFERROR(-AI76/SUM(AI214+AI219),"")</f>
        <v>0.0339943839891642</v>
      </c>
      <c r="AJ77" s="11" t="str">
        <f>IFERROR(Control!$E$9,0)</f>
        <v/>
      </c>
      <c r="AK77" s="11" t="str">
        <f>IFERROR(Control!$E$9,0)</f>
        <v/>
      </c>
      <c r="AL77" s="12" t="n"/>
      <c r="AM77" s="11" t="str">
        <f>IFERROR(Control!$E$9,0)</f>
        <v/>
      </c>
      <c r="AN77" s="11" t="str">
        <f>IFERROR(Control!$E$9,0)</f>
        <v/>
      </c>
      <c r="AO77" s="11" t="str">
        <f>IFERROR(Control!$E$9,0)</f>
        <v/>
      </c>
      <c r="AP77" s="11" t="str">
        <f>IFERROR(Control!$E$9,0)</f>
        <v/>
      </c>
      <c r="AQ77" s="12" t="n"/>
      <c r="AR77" s="11" t="str">
        <f>IFERROR(Control!$E$9,0)</f>
        <v/>
      </c>
      <c r="AS77" s="11" t="str">
        <f>IFERROR(Control!$E$9,0)</f>
        <v/>
      </c>
      <c r="AT77" s="11" t="str">
        <f>IFERROR(Control!$E$9,0)</f>
        <v/>
      </c>
      <c r="AU77" s="11" t="str">
        <f>IFERROR(Control!$E$9,0)</f>
        <v/>
      </c>
      <c r="AV77" s="12" t="n"/>
      <c r="AW77" s="11" t="str">
        <f>IFERROR(Control!$E$9,0)</f>
        <v/>
      </c>
      <c r="AX77" s="11" t="str">
        <f>IFERROR(Control!$E$9,0)</f>
        <v/>
      </c>
      <c r="AY77" s="11" t="str">
        <f>IFERROR(Control!$E$9,0)</f>
        <v/>
      </c>
      <c r="AZ77" s="11" t="str">
        <f>IFERROR(Control!$E$9,0)</f>
        <v/>
      </c>
      <c r="BA77" s="12" t="n"/>
      <c r="BB77" s="11" t="str">
        <f>IFERROR(Control!$E$9,0)</f>
        <v/>
      </c>
      <c r="BC77" s="11" t="str">
        <f>IFERROR(Control!$E$9,0)</f>
        <v/>
      </c>
      <c r="BD77" s="11" t="str">
        <f>IFERROR(Control!$E$9,0)</f>
        <v/>
      </c>
      <c r="BE77" s="11" t="str">
        <f>IFERROR(Control!$E$9,0)</f>
        <v/>
      </c>
      <c r="BF77" s="12" t="n"/>
      <c r="BG77" s="11" t="n"/>
      <c r="BH77" s="11" t="n"/>
      <c r="BI77" s="11" t="n"/>
      <c r="BJ77" s="11" t="n"/>
      <c r="BK77" s="12" t="n"/>
      <c r="BL77" s="11" t="n"/>
      <c r="BM77" s="11" t="n"/>
      <c r="BN77" s="11" t="n"/>
      <c r="BO77" s="11" t="n"/>
      <c r="BP77" s="12" t="n"/>
      <c r="BQ77" s="11" t="n"/>
      <c r="BR77" s="11" t="n"/>
      <c r="BS77" s="11" t="n"/>
      <c r="BT77" s="11" t="n"/>
      <c r="BU77" s="12" t="n"/>
      <c r="BV77" s="11" t="n"/>
      <c r="BW77" s="11" t="n"/>
      <c r="BX77" s="11" t="n"/>
      <c r="BY77" s="11" t="n"/>
      <c r="BZ77" s="12" t="n"/>
      <c r="CA77" s="11" t="n"/>
      <c r="CB77" s="11" t="n"/>
      <c r="CC77" s="11" t="n"/>
      <c r="CD77" s="11" t="n"/>
      <c r="CE77" s="12" t="n"/>
      <c r="CF77" s="11" t="n"/>
      <c r="CG77" s="11" t="n"/>
      <c r="CH77" s="11" t="n"/>
      <c r="CI77" s="11" t="n"/>
      <c r="CJ77" s="12" t="n"/>
      <c r="CK77" s="11" t="n"/>
      <c r="CL77" s="11" t="n"/>
      <c r="CM77" s="11" t="n"/>
      <c r="CN77" s="11" t="n"/>
      <c r="CO77" s="12" t="n"/>
      <c r="CP77" s="11" t="n"/>
      <c r="CQ77" s="11" t="n"/>
      <c r="CR77" s="11" t="n"/>
      <c r="CS77" s="11" t="n"/>
      <c r="CT77" s="12" t="n"/>
      <c r="CU77" s="11" t="n"/>
      <c r="CV77" s="11" t="n"/>
      <c r="CW77" s="11" t="n"/>
      <c r="CX77" s="11" t="n"/>
      <c r="CY77" s="12" t="n"/>
    </row>
    <row r="78" hidden="1" outlineLevel="1">
      <c r="C78" s="50" t="inlineStr">
        <is>
          <t>%CDI</t>
        </is>
      </c>
      <c r="D78" s="11" t="n"/>
      <c r="E78" s="11" t="n"/>
      <c r="F78" s="11" t="n"/>
      <c r="G78" s="11" t="n"/>
      <c r="H78" s="12" t="n"/>
      <c r="I78" s="11" t="n"/>
      <c r="J78" s="11" t="n"/>
      <c r="K78" s="11" t="n"/>
      <c r="L78" s="11" t="n"/>
      <c r="M78" s="12" t="n"/>
      <c r="N78" s="11" t="n"/>
      <c r="O78" s="11" t="n"/>
      <c r="P78" s="11" t="n"/>
      <c r="Q78" s="11" t="n"/>
      <c r="R78" s="12" t="n"/>
      <c r="S78" s="11" t="n"/>
      <c r="T78" s="11" t="n"/>
      <c r="U78" s="11" t="n"/>
      <c r="V78" s="11" t="n"/>
      <c r="W78" s="12" t="n"/>
      <c r="X78" s="11" t="n"/>
      <c r="Y78" s="11" t="n"/>
      <c r="Z78" s="11" t="n"/>
      <c r="AA78" s="11" t="n"/>
      <c r="AB78" s="12" t="n"/>
      <c r="AC78" s="11" t="n"/>
      <c r="AD78" s="11" t="n"/>
      <c r="AE78" s="11" t="n"/>
      <c r="AF78" s="11" t="n"/>
      <c r="AG78" s="12" t="n"/>
      <c r="AH78" s="11" t="n"/>
      <c r="AI78" s="11" t="n"/>
      <c r="AJ78" s="11" t="n"/>
      <c r="AK78" s="11" t="n"/>
      <c r="AL78" s="12" t="n"/>
      <c r="AM78" s="11" t="n"/>
      <c r="AN78" s="11" t="n"/>
      <c r="AO78" s="11" t="n"/>
      <c r="AP78" s="11" t="n"/>
      <c r="AQ78" s="12" t="n"/>
      <c r="AR78" s="11" t="n"/>
      <c r="AS78" s="11" t="n"/>
      <c r="AT78" s="11" t="n"/>
      <c r="AU78" s="11" t="n"/>
      <c r="AV78" s="12" t="n"/>
      <c r="AW78" s="11" t="n"/>
      <c r="AX78" s="11" t="n"/>
      <c r="AY78" s="11" t="n"/>
      <c r="AZ78" s="11" t="n"/>
      <c r="BA78" s="12" t="n"/>
      <c r="BB78" s="11" t="n"/>
      <c r="BC78" s="11" t="n"/>
      <c r="BD78" s="11" t="n"/>
      <c r="BE78" s="11" t="n"/>
      <c r="BF78" s="12" t="n"/>
      <c r="BG78" s="11" t="n"/>
      <c r="BH78" s="11" t="n"/>
      <c r="BI78" s="11" t="n"/>
      <c r="BJ78" s="11" t="n"/>
      <c r="BK78" s="12" t="n"/>
      <c r="BL78" s="11" t="n"/>
      <c r="BM78" s="11" t="n"/>
      <c r="BN78" s="11" t="n"/>
      <c r="BO78" s="11" t="n"/>
      <c r="BP78" s="12" t="n"/>
      <c r="BQ78" s="11" t="n"/>
      <c r="BR78" s="11" t="n"/>
      <c r="BS78" s="11" t="n"/>
      <c r="BT78" s="11" t="n"/>
      <c r="BU78" s="12" t="n"/>
      <c r="BV78" s="11" t="n"/>
      <c r="BW78" s="11" t="n"/>
      <c r="BX78" s="11" t="n"/>
      <c r="BY78" s="11" t="n"/>
      <c r="BZ78" s="12" t="n"/>
      <c r="CA78" s="11" t="n"/>
      <c r="CB78" s="11" t="n"/>
      <c r="CC78" s="11" t="n"/>
      <c r="CD78" s="11" t="n"/>
      <c r="CE78" s="12" t="n"/>
      <c r="CF78" s="11" t="n"/>
      <c r="CG78" s="11" t="n"/>
      <c r="CH78" s="11" t="n"/>
      <c r="CI78" s="11" t="n"/>
      <c r="CJ78" s="12" t="n"/>
      <c r="CK78" s="11" t="n"/>
      <c r="CL78" s="11" t="n"/>
      <c r="CM78" s="11" t="n"/>
      <c r="CN78" s="11" t="n"/>
      <c r="CO78" s="12" t="n"/>
      <c r="CP78" s="11" t="n"/>
      <c r="CQ78" s="11" t="n"/>
      <c r="CR78" s="11" t="n"/>
      <c r="CS78" s="11" t="n"/>
      <c r="CT78" s="12" t="n"/>
      <c r="CU78" s="11" t="n"/>
      <c r="CV78" s="11" t="n"/>
      <c r="CW78" s="11" t="n"/>
      <c r="CX78" s="11" t="n"/>
      <c r="CY78" s="12" t="n"/>
    </row>
    <row r="79" hidden="1" outlineLevel="1">
      <c r="C79" s="57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RECEITA FINANCEIRA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DESPESA FINANCEIRA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inlineStr">
        <is>
          <t>OUTROS</t>
        </is>
      </c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Cash and equivalents (inc. investment securities)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Interest on cash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Average interest rate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% CDI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Current portion of long-term debt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inlineStr">
        <is>
          <t>Short term debt (Revolving credit facility)</t>
        </is>
      </c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Long term debt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Convertible debt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Total debt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inlineStr">
        <is>
          <t>Interest expense</t>
        </is>
      </c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Average interest rate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Stake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inlineStr">
        <is>
          <t>PRE</t>
        </is>
      </c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CDI+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Spread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PRE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CDI+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Rendimentos de aplicações financeiras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inlineStr">
        <is>
          <t>RECEITAS FINANCEIRAS - Variação cambial ativa</t>
        </is>
      </c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RECEITAS FINANCEIRAS - Atualização de contas a pagar por aquisição de empresas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RECEITAS FINANCEIRAS - Resultado positivo com instrumentos derivativos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RECEITAS FINANCEIRAS - Descontos obtidos de fornecedores por antecipação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RECEITAS FINANCEIRAS - Atualização monetária sobre Exclusão ICMS da base de PIS/COFINS (nota explicativa nº 7)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RECEITAS FINANCEIRAS - Outras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Encargos sobre empréstimos, financiamentos e debêntures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Variação cambial passiva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inlineStr">
        <is>
          <t>DESPESAS FINANCEIRAS - Resultado negativo com instrumentos derivativos</t>
        </is>
      </c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DESPESAS FINANCEIRAS - Juros sobre arrendamento - IFRS16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inlineStr">
        <is>
          <t>DESPESAS FINANCEIRAS - Despesas bancárias</t>
        </is>
      </c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hidden="1" outlineLevel="1">
      <c r="C119" s="57" t="inlineStr">
        <is>
          <t>DESPESAS FINANCEIRAS - Despesas com obtenção de empréstimos e financiamentos</t>
        </is>
      </c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inlineStr">
        <is>
          <t>DESPESAS FINANCEIRAS - Atualização de contas a pagar por aquisição de empresas</t>
        </is>
      </c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7" t="inlineStr">
        <is>
          <t>DESPESAS FINANCEIRAS - Outras</t>
        </is>
      </c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7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7" t="inlineStr">
        <is>
          <t>CHECK [EX IFRS-16]</t>
        </is>
      </c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collapsed="1">
      <c r="C125" s="14" t="inlineStr">
        <is>
          <t>Nonoperating Income / (Loss)</t>
        </is>
      </c>
      <c r="D125" s="46" t="n"/>
      <c r="E125" s="46" t="n"/>
      <c r="F125" s="46" t="n"/>
      <c r="G125" s="46" t="n"/>
      <c r="H125" s="12" t="n"/>
      <c r="I125" s="46">
        <f>'Inputs (2)'!D9</f>
        <v>15.6</v>
      </c>
      <c r="J125" s="46">
        <f>'Inputs (2)'!E9</f>
        <v>25.06</v>
      </c>
      <c r="K125" s="46">
        <f>'Inputs (2)'!F9</f>
        <v>25.559</v>
      </c>
      <c r="L125" s="46">
        <f>'Inputs (2)'!G9</f>
        <v>39.062</v>
      </c>
      <c r="M125" s="12">
        <f>'Inputs (2)'!H9</f>
        <v>105.281</v>
      </c>
      <c r="N125" s="46">
        <f>'Inputs (2)'!I9</f>
        <v>58.886</v>
      </c>
      <c r="O125" s="46">
        <f>'Inputs (2)'!J9</f>
        <v>76.616</v>
      </c>
      <c r="P125" s="46">
        <f>'Inputs (2)'!K9</f>
        <v>67.998</v>
      </c>
      <c r="Q125" s="46">
        <f>'Inputs (2)'!L9</f>
        <v>61.391</v>
      </c>
      <c r="R125" s="12">
        <f>'Inputs (2)'!M9</f>
        <v>264.891</v>
      </c>
      <c r="S125" s="46">
        <f>'Inputs (2)'!N9</f>
        <v>68.358</v>
      </c>
      <c r="T125" s="46">
        <f>'Inputs (2)'!O9</f>
        <v>81.409</v>
      </c>
      <c r="U125" s="46">
        <f>'Inputs (2)'!P9</f>
        <v>70.977</v>
      </c>
      <c r="V125" s="46">
        <f>'Inputs (2)'!Q9</f>
        <v>74.958</v>
      </c>
      <c r="W125" s="12">
        <f>'Inputs (2)'!R9</f>
        <v>295.702</v>
      </c>
      <c r="X125" s="46">
        <f>'Inputs (2)'!S9</f>
        <v>82.674</v>
      </c>
      <c r="Y125" s="46">
        <f>'Inputs (2)'!T9</f>
        <v>104.81</v>
      </c>
      <c r="Z125" s="46">
        <f>'Inputs (2)'!U9</f>
        <v>100.879</v>
      </c>
      <c r="AA125" s="46">
        <f>'Inputs (2)'!V9</f>
        <v>114.376</v>
      </c>
      <c r="AB125" s="12">
        <f>'Inputs (2)'!W9</f>
        <v>402.739</v>
      </c>
      <c r="AC125" s="46">
        <f>'Inputs (2)'!X9</f>
        <v>380.42</v>
      </c>
      <c r="AD125" s="46">
        <f>'Inputs (2)'!Y9</f>
        <v>200.849</v>
      </c>
      <c r="AE125" s="46">
        <f>'Inputs (2)'!Z9</f>
        <v>301.627</v>
      </c>
      <c r="AF125" s="46">
        <f>'Inputs (2)'!AA9</f>
        <v>149.186</v>
      </c>
      <c r="AG125" s="12">
        <f>'Inputs (2)'!AB9</f>
        <v>1032.082</v>
      </c>
      <c r="AH125" s="12">
        <f>'Inputs (2)'!AC9</f>
        <v>161.463</v>
      </c>
      <c r="AI125" s="12">
        <f>'Inputs (2)'!AD9</f>
        <v>-420.77</v>
      </c>
      <c r="AJ125" s="12">
        <f>AJ15*Control!$B$23</f>
        <v>134.559586219167</v>
      </c>
      <c r="AK125" s="12">
        <f>AK15*Control!$B$23</f>
        <v>141.031930277288</v>
      </c>
      <c r="AL125" s="12">
        <f>SUM(AH125:AK125)</f>
        <v>16.2845164964547</v>
      </c>
      <c r="AM125" s="12">
        <f>AM15*Control!$C$23</f>
        <v>145.163950022487</v>
      </c>
      <c r="AN125" s="12">
        <f>AN15*Control!$C$23</f>
        <v>141.793268452065</v>
      </c>
      <c r="AO125" s="12">
        <f>AO15*Control!$C$23</f>
        <v>143.545031086087</v>
      </c>
      <c r="AP125" s="12">
        <f>AP15*Control!$C$23</f>
        <v>150.44957690945</v>
      </c>
      <c r="AQ125" s="12">
        <f>SUM(AM125:AP125)</f>
        <v>580.951826470089</v>
      </c>
      <c r="AR125" s="12">
        <f>AR15*Control!$D$23</f>
        <v>154.13169953965</v>
      </c>
      <c r="AS125" s="12">
        <f>AS15*Control!$D$23</f>
        <v>150.552788391424</v>
      </c>
      <c r="AT125" s="12">
        <f>AT15*Control!$D$23</f>
        <v>152.41276913685</v>
      </c>
      <c r="AU125" s="12">
        <f>AU15*Control!$D$23</f>
        <v>159.743855003137</v>
      </c>
      <c r="AV125" s="12">
        <f>SUM(AR125:AU125)</f>
        <v>616.841112071062</v>
      </c>
      <c r="AW125" s="12">
        <f>AW15*Control!$E$23</f>
        <v>162.882788513774</v>
      </c>
      <c r="AX125" s="12">
        <f>AX15*Control!$E$23</f>
        <v>159.100678607718</v>
      </c>
      <c r="AY125" s="12">
        <f>AY15*Control!$E$23</f>
        <v>161.06626291842</v>
      </c>
      <c r="AZ125" s="12">
        <f>AZ15*Control!$E$23</f>
        <v>168.813583633765</v>
      </c>
      <c r="BA125" s="12">
        <f>SUM(AW125:AZ125)</f>
        <v>651.863313673676</v>
      </c>
      <c r="BB125" s="12">
        <f>BB15*Control!$F$23</f>
        <v>171.316321482156</v>
      </c>
      <c r="BC125" s="12">
        <f>BC15*Control!$F$23</f>
        <v>167.338386413271</v>
      </c>
      <c r="BD125" s="12">
        <f>BD15*Control!$F$23</f>
        <v>169.405742189441</v>
      </c>
      <c r="BE125" s="12">
        <f>BE15*Control!$F$23</f>
        <v>177.554193590634</v>
      </c>
      <c r="BF125" s="12">
        <f>SUM(BB125:BE125)</f>
        <v>685.614643675503</v>
      </c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hidden="1" outlineLevel="1">
      <c r="C126" s="57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  <c r="BN126" s="12" t="n"/>
      <c r="BO126" s="12" t="n"/>
      <c r="BP126" s="12" t="n"/>
      <c r="BQ126" s="12" t="n"/>
      <c r="BR126" s="12" t="n"/>
      <c r="BS126" s="12" t="n"/>
      <c r="BT126" s="12" t="n"/>
      <c r="BU126" s="12" t="n"/>
      <c r="BV126" s="12" t="n"/>
      <c r="BW126" s="12" t="n"/>
      <c r="BX126" s="12" t="n"/>
      <c r="BY126" s="12" t="n"/>
      <c r="BZ126" s="12" t="n"/>
      <c r="CA126" s="12" t="n"/>
      <c r="CB126" s="12" t="n"/>
      <c r="CC126" s="12" t="n"/>
      <c r="CD126" s="12" t="n"/>
      <c r="CE126" s="12" t="n"/>
      <c r="CF126" s="12" t="n"/>
      <c r="CG126" s="12" t="n"/>
      <c r="CH126" s="12" t="n"/>
      <c r="CI126" s="12" t="n"/>
      <c r="CJ126" s="12" t="n"/>
      <c r="CK126" s="12" t="n"/>
      <c r="CL126" s="12" t="n"/>
      <c r="CM126" s="12" t="n"/>
      <c r="CN126" s="12" t="n"/>
      <c r="CO126" s="12" t="n"/>
      <c r="CP126" s="12" t="n"/>
      <c r="CQ126" s="12" t="n"/>
      <c r="CR126" s="12" t="n"/>
      <c r="CS126" s="12" t="n"/>
      <c r="CT126" s="12" t="n"/>
      <c r="CU126" s="12" t="n"/>
      <c r="CV126" s="12" t="n"/>
      <c r="CW126" s="12" t="n"/>
      <c r="CX126" s="12" t="n"/>
      <c r="CY126" s="12" t="n"/>
    </row>
    <row r="127" hidden="1" outlineLevel="1">
      <c r="C127" s="50" t="inlineStr">
        <is>
          <t>Resultado Não Recorrente</t>
        </is>
      </c>
      <c r="D127" s="11" t="n"/>
      <c r="E127" s="11" t="n"/>
      <c r="F127" s="11" t="n"/>
      <c r="G127" s="11" t="n"/>
      <c r="H127" s="12" t="n"/>
      <c r="I127" s="11" t="n"/>
      <c r="J127" s="11" t="n"/>
      <c r="K127" s="11" t="n"/>
      <c r="L127" s="11" t="n"/>
      <c r="M127" s="12" t="n"/>
      <c r="N127" s="11" t="n"/>
      <c r="O127" s="11" t="n"/>
      <c r="P127" s="11" t="n"/>
      <c r="Q127" s="11" t="n"/>
      <c r="R127" s="12" t="n"/>
      <c r="S127" s="11" t="n"/>
      <c r="T127" s="11" t="n"/>
      <c r="U127" s="11" t="n"/>
      <c r="V127" s="11" t="n"/>
      <c r="W127" s="12" t="n"/>
      <c r="X127" s="11" t="n"/>
      <c r="Y127" s="11" t="n"/>
      <c r="Z127" s="11" t="n"/>
      <c r="AA127" s="11" t="n"/>
      <c r="AB127" s="12" t="n"/>
      <c r="AC127" s="11" t="n"/>
      <c r="AD127" s="11" t="n"/>
      <c r="AE127" s="11" t="n"/>
      <c r="AF127" s="11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0" t="inlineStr">
        <is>
          <t>Plano de Opção de Compra de Ações</t>
        </is>
      </c>
      <c r="D128" s="11" t="n"/>
      <c r="E128" s="11" t="n"/>
      <c r="F128" s="11" t="n"/>
      <c r="G128" s="11" t="n"/>
      <c r="H128" s="12" t="n"/>
      <c r="I128" s="11" t="n"/>
      <c r="J128" s="11" t="n"/>
      <c r="K128" s="11" t="n"/>
      <c r="L128" s="11" t="n"/>
      <c r="M128" s="12" t="n"/>
      <c r="N128" s="11" t="n"/>
      <c r="O128" s="11" t="n"/>
      <c r="P128" s="11" t="n"/>
      <c r="Q128" s="11" t="n"/>
      <c r="R128" s="12" t="n"/>
      <c r="S128" s="11" t="n"/>
      <c r="T128" s="11" t="n"/>
      <c r="U128" s="11" t="n"/>
      <c r="V128" s="11" t="n"/>
      <c r="W128" s="12" t="n"/>
      <c r="X128" s="11" t="n"/>
      <c r="Y128" s="11" t="n"/>
      <c r="Z128" s="11" t="n"/>
      <c r="AA128" s="11" t="n"/>
      <c r="AB128" s="12" t="n"/>
      <c r="AC128" s="11" t="n"/>
      <c r="AD128" s="11" t="n"/>
      <c r="AE128" s="11" t="n"/>
      <c r="AF128" s="11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  <c r="BN128" s="12" t="n"/>
      <c r="BO128" s="12" t="n"/>
      <c r="BP128" s="12" t="n"/>
      <c r="BQ128" s="12" t="n"/>
      <c r="BR128" s="12" t="n"/>
      <c r="BS128" s="12" t="n"/>
      <c r="BT128" s="12" t="n"/>
      <c r="BU128" s="12" t="n"/>
      <c r="BV128" s="12" t="n"/>
      <c r="BW128" s="12" t="n"/>
      <c r="BX128" s="12" t="n"/>
      <c r="BY128" s="12" t="n"/>
      <c r="BZ128" s="12" t="n"/>
      <c r="CA128" s="12" t="n"/>
      <c r="CB128" s="12" t="n"/>
      <c r="CC128" s="12" t="n"/>
      <c r="CD128" s="12" t="n"/>
      <c r="CE128" s="12" t="n"/>
      <c r="CF128" s="12" t="n"/>
      <c r="CG128" s="12" t="n"/>
      <c r="CH128" s="12" t="n"/>
      <c r="CI128" s="12" t="n"/>
      <c r="CJ128" s="12" t="n"/>
      <c r="CK128" s="12" t="n"/>
      <c r="CL128" s="12" t="n"/>
      <c r="CM128" s="12" t="n"/>
      <c r="CN128" s="12" t="n"/>
      <c r="CO128" s="12" t="n"/>
      <c r="CP128" s="12" t="n"/>
      <c r="CQ128" s="12" t="n"/>
      <c r="CR128" s="12" t="n"/>
      <c r="CS128" s="12" t="n"/>
      <c r="CT128" s="12" t="n"/>
      <c r="CU128" s="12" t="n"/>
      <c r="CV128" s="12" t="n"/>
      <c r="CW128" s="12" t="n"/>
      <c r="CX128" s="12" t="n"/>
      <c r="CY128" s="12" t="n"/>
    </row>
    <row r="129" hidden="1" outlineLevel="1">
      <c r="C129" s="50" t="inlineStr">
        <is>
          <t>Baixa Imobilizado</t>
        </is>
      </c>
      <c r="D129" s="11" t="n"/>
      <c r="E129" s="11" t="n"/>
      <c r="F129" s="11" t="n"/>
      <c r="G129" s="11" t="n"/>
      <c r="H129" s="12" t="n"/>
      <c r="I129" s="11" t="n"/>
      <c r="J129" s="11" t="n"/>
      <c r="K129" s="11" t="n"/>
      <c r="L129" s="11" t="n"/>
      <c r="M129" s="12" t="n"/>
      <c r="N129" s="11" t="n"/>
      <c r="O129" s="11" t="n"/>
      <c r="P129" s="11" t="n"/>
      <c r="Q129" s="11" t="n"/>
      <c r="R129" s="12" t="n"/>
      <c r="S129" s="11" t="n"/>
      <c r="T129" s="11" t="n"/>
      <c r="U129" s="11" t="n"/>
      <c r="V129" s="11" t="n"/>
      <c r="W129" s="12" t="n"/>
      <c r="X129" s="11" t="n"/>
      <c r="Y129" s="11" t="n"/>
      <c r="Z129" s="11" t="n"/>
      <c r="AA129" s="11" t="n"/>
      <c r="AB129" s="12" t="n"/>
      <c r="AC129" s="11" t="n"/>
      <c r="AD129" s="11" t="n"/>
      <c r="AE129" s="11" t="n"/>
      <c r="AF129" s="11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hidden="1" outlineLevel="1">
      <c r="C131" s="57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 collapsed="1" customFormat="1" s="32">
      <c r="A132" s="30" t="n"/>
      <c r="B132" s="3" t="n"/>
      <c r="C132" s="33" t="inlineStr">
        <is>
          <t>Pretax Income - EBT</t>
        </is>
      </c>
      <c r="D132" s="35" t="n"/>
      <c r="E132" s="35" t="n"/>
      <c r="F132" s="35" t="n"/>
      <c r="G132" s="35" t="n"/>
      <c r="H132" s="35" t="n"/>
      <c r="I132" s="35">
        <f>SUM(I75,I76,I125)</f>
        <v>373.463</v>
      </c>
      <c r="J132" s="35">
        <f>SUM(J75,J76,J125)</f>
        <v>425.066</v>
      </c>
      <c r="K132" s="35">
        <f>SUM(K75,K76,K125)</f>
        <v>399.159</v>
      </c>
      <c r="L132" s="35">
        <f>SUM(L75,L76,L125)</f>
        <v>408.836</v>
      </c>
      <c r="M132" s="35">
        <f>SUM(I132:L132)</f>
        <v>1606.524</v>
      </c>
      <c r="N132" s="35">
        <f>SUM(N75,N76,N125)</f>
        <v>435.761</v>
      </c>
      <c r="O132" s="35">
        <f>SUM(O75,O76,O125)</f>
        <v>273.676</v>
      </c>
      <c r="P132" s="35">
        <f>SUM(P75,P76,P125)</f>
        <v>409.192</v>
      </c>
      <c r="Q132" s="35">
        <f>SUM(Q75,Q76,Q125)</f>
        <v>430.218</v>
      </c>
      <c r="R132" s="35">
        <f>SUM(N132:Q132)</f>
        <v>1548.847</v>
      </c>
      <c r="S132" s="35">
        <f>SUM(S75,S76,S125)</f>
        <v>477.479</v>
      </c>
      <c r="T132" s="35">
        <f>SUM(T75,T76,T125)</f>
        <v>499.886</v>
      </c>
      <c r="U132" s="35">
        <f>SUM(U75,U76,U125)</f>
        <v>591.411</v>
      </c>
      <c r="V132" s="35">
        <f>SUM(V75,V76,V125)</f>
        <v>460.808</v>
      </c>
      <c r="W132" s="35">
        <f>SUM(S132:V132)</f>
        <v>2029.584</v>
      </c>
      <c r="X132" s="35">
        <f>SUM(X75,X76,X125)</f>
        <v>566.249</v>
      </c>
      <c r="Y132" s="35">
        <f>SUM(Y75,Y76,Y125)</f>
        <v>453.778</v>
      </c>
      <c r="Z132" s="35">
        <f>SUM(Z75,Z76,Z125)</f>
        <v>567.675</v>
      </c>
      <c r="AA132" s="35">
        <f>SUM(AA75,AA76,AA125)</f>
        <v>494.46</v>
      </c>
      <c r="AB132" s="35">
        <f>SUM(X132:AA132)</f>
        <v>2082.162</v>
      </c>
      <c r="AC132" s="35">
        <f>SUM(AC75,AC76,AC125)</f>
        <v>1149.35</v>
      </c>
      <c r="AD132" s="35">
        <f>SUM(AD75,AD76,AD125)</f>
        <v>201.339</v>
      </c>
      <c r="AE132" s="35">
        <f>SUM(AE75,AE76,AE125)</f>
        <v>449.5</v>
      </c>
      <c r="AF132" s="35">
        <f>SUM(AF75,AF76,AF125)</f>
        <v>502.466</v>
      </c>
      <c r="AG132" s="35">
        <f>SUM(AC132:AF132)</f>
        <v>2302.655</v>
      </c>
      <c r="AH132" s="35">
        <f>SUM(AH75,AH76,AH125)</f>
        <v>598.579</v>
      </c>
      <c r="AI132" s="35">
        <f>SUM(AI75,AI76,AI125)</f>
        <v>-283.952</v>
      </c>
      <c r="AJ132" s="35">
        <f>SUM(AJ75,AJ76,AJ125:AJ130)</f>
        <v>721.42404440364</v>
      </c>
      <c r="AK132" s="35">
        <f>SUM(AK75,AK76,AK125:AK130)</f>
        <v>756.124690848679</v>
      </c>
      <c r="AL132" s="35">
        <f>SUM(AH132:AK132)</f>
        <v>1792.17573525232</v>
      </c>
      <c r="AM132" s="35">
        <f>SUM(AM75,AM76,AM125:AM130)</f>
        <v>778.277987242452</v>
      </c>
      <c r="AN132" s="35">
        <f>SUM(AN75,AN76,AN125:AN130)</f>
        <v>760.206508284649</v>
      </c>
      <c r="AO132" s="35">
        <f>SUM(AO75,AO76,AO125:AO130)</f>
        <v>769.598360026918</v>
      </c>
      <c r="AP132" s="35">
        <f>SUM(AP75,AP76,AP125:AP130)</f>
        <v>806.61620106388</v>
      </c>
      <c r="AQ132" s="35">
        <f>SUM(AM132:AP132)</f>
        <v>3114.6990566179</v>
      </c>
      <c r="AR132" s="35">
        <f>SUM(AR75,AR76,AR125:AR130)</f>
        <v>826.357431506895</v>
      </c>
      <c r="AS132" s="35">
        <f>SUM(AS75,AS76,AS125:AS130)</f>
        <v>807.169556249094</v>
      </c>
      <c r="AT132" s="35">
        <f>SUM(AT75,AT76,AT125:AT130)</f>
        <v>817.14160558115</v>
      </c>
      <c r="AU132" s="35">
        <f>SUM(AU75,AU76,AU125:AU130)</f>
        <v>856.446286608579</v>
      </c>
      <c r="AV132" s="35">
        <f>SUM(AR132:AU132)</f>
        <v>3307.11487994572</v>
      </c>
      <c r="AW132" s="35">
        <f>SUM(AW75,AW76,AW125:AW130)</f>
        <v>873.275277927481</v>
      </c>
      <c r="AX132" s="35">
        <f>SUM(AX75,AX76,AX125:AX130)</f>
        <v>852.997978468772</v>
      </c>
      <c r="AY132" s="35">
        <f>SUM(AY75,AY76,AY125:AY130)</f>
        <v>863.536207835304</v>
      </c>
      <c r="AZ132" s="35">
        <f>SUM(AZ75,AZ76,AZ125:AZ130)</f>
        <v>905.072478871783</v>
      </c>
      <c r="BA132" s="35">
        <f>SUM(AW132:AZ132)</f>
        <v>3494.88194310334</v>
      </c>
      <c r="BB132" s="35">
        <f>SUM(BB75,BB76,BB125:BB130)</f>
        <v>918.490588360676</v>
      </c>
      <c r="BC132" s="35">
        <f>SUM(BC75,BC76,BC125:BC130)</f>
        <v>897.163397289385</v>
      </c>
      <c r="BD132" s="35">
        <f>SUM(BD75,BD76,BD125:BD130)</f>
        <v>908.247261376454</v>
      </c>
      <c r="BE132" s="35">
        <f>SUM(BE75,BE76,BE125:BE130)</f>
        <v>951.934143379052</v>
      </c>
      <c r="BF132" s="35">
        <f>SUM(BB132:BE132)</f>
        <v>3675.83539040557</v>
      </c>
      <c r="BG132" s="35" t="n"/>
      <c r="BH132" s="35" t="n"/>
      <c r="BI132" s="35" t="n"/>
      <c r="BJ132" s="35" t="n"/>
      <c r="BK132" s="35" t="n"/>
      <c r="BL132" s="35" t="n"/>
      <c r="BM132" s="35" t="n"/>
      <c r="BN132" s="35" t="n"/>
      <c r="BO132" s="35" t="n"/>
      <c r="BP132" s="35" t="n"/>
      <c r="BQ132" s="35" t="n"/>
      <c r="BR132" s="35" t="n"/>
      <c r="BS132" s="35" t="n"/>
      <c r="BT132" s="35" t="n"/>
      <c r="BU132" s="35" t="n"/>
      <c r="BV132" s="35" t="n"/>
      <c r="BW132" s="35" t="n"/>
      <c r="BX132" s="35" t="n"/>
      <c r="BY132" s="35" t="n"/>
      <c r="BZ132" s="35" t="n"/>
      <c r="CA132" s="35" t="n"/>
      <c r="CB132" s="35" t="n"/>
      <c r="CC132" s="35" t="n"/>
      <c r="CD132" s="35" t="n"/>
      <c r="CE132" s="35" t="n"/>
      <c r="CF132" s="35" t="n"/>
      <c r="CG132" s="35" t="n"/>
      <c r="CH132" s="35" t="n"/>
      <c r="CI132" s="35" t="n"/>
      <c r="CJ132" s="35" t="n"/>
      <c r="CK132" s="35" t="n"/>
      <c r="CL132" s="35" t="n"/>
      <c r="CM132" s="35" t="n"/>
      <c r="CN132" s="35" t="n"/>
      <c r="CO132" s="35" t="n"/>
      <c r="CP132" s="35" t="n"/>
      <c r="CQ132" s="35" t="n"/>
      <c r="CR132" s="35" t="n"/>
      <c r="CS132" s="35" t="n"/>
      <c r="CT132" s="35" t="n"/>
      <c r="CU132" s="35" t="n"/>
      <c r="CV132" s="35" t="n"/>
      <c r="CW132" s="35" t="n"/>
      <c r="CX132" s="35" t="n"/>
      <c r="CY132" s="35" t="n"/>
    </row>
    <row r="133">
      <c r="C133" s="14" t="inlineStr">
        <is>
          <t>Taxes</t>
        </is>
      </c>
      <c r="D133" s="46" t="n"/>
      <c r="E133" s="46" t="n"/>
      <c r="F133" s="46" t="n"/>
      <c r="G133" s="46" t="n"/>
      <c r="H133" s="12" t="n"/>
      <c r="I133" s="46">
        <f>'Inputs (2)'!D10</f>
        <v>-126.528</v>
      </c>
      <c r="J133" s="46">
        <f>'Inputs (2)'!E10</f>
        <v>-92.449</v>
      </c>
      <c r="K133" s="46">
        <f>'Inputs (2)'!F10</f>
        <v>-130.725</v>
      </c>
      <c r="L133" s="46">
        <f>'Inputs (2)'!G10</f>
        <v>-76.233</v>
      </c>
      <c r="M133" s="12">
        <f>'Inputs (2)'!H10</f>
        <v>-425.935</v>
      </c>
      <c r="N133" s="46">
        <f>'Inputs (2)'!I10</f>
        <v>-143.066</v>
      </c>
      <c r="O133" s="46">
        <f>'Inputs (2)'!J10</f>
        <v>-39.122</v>
      </c>
      <c r="P133" s="46">
        <f>'Inputs (2)'!K10</f>
        <v>-133.639</v>
      </c>
      <c r="Q133" s="46">
        <f>'Inputs (2)'!L10</f>
        <v>-78.182</v>
      </c>
      <c r="R133" s="12">
        <f>'Inputs (2)'!M10</f>
        <v>-394.009</v>
      </c>
      <c r="S133" s="46">
        <f>'Inputs (2)'!N10</f>
        <v>-157.488</v>
      </c>
      <c r="T133" s="46">
        <f>'Inputs (2)'!O10</f>
        <v>-77.607</v>
      </c>
      <c r="U133" s="46">
        <f>'Inputs (2)'!P10</f>
        <v>-194.19</v>
      </c>
      <c r="V133" s="46">
        <f>'Inputs (2)'!Q10</f>
        <v>-91.673</v>
      </c>
      <c r="W133" s="12">
        <f>'Inputs (2)'!R10</f>
        <v>-520.958</v>
      </c>
      <c r="X133" s="46">
        <f>'Inputs (2)'!S10</f>
        <v>-186.897</v>
      </c>
      <c r="Y133" s="46">
        <f>'Inputs (2)'!T10</f>
        <v>-78.182</v>
      </c>
      <c r="Z133" s="46">
        <f>'Inputs (2)'!U10</f>
        <v>-190.146</v>
      </c>
      <c r="AA133" s="46">
        <f>'Inputs (2)'!V10</f>
        <v>-81.59</v>
      </c>
      <c r="AB133" s="12">
        <f>'Inputs (2)'!W10</f>
        <v>-536.815</v>
      </c>
      <c r="AC133" s="46">
        <f>'Inputs (2)'!X10</f>
        <v>58.643</v>
      </c>
      <c r="AD133" s="46">
        <f>'Inputs (2)'!Y10</f>
        <v>62.509</v>
      </c>
      <c r="AE133" s="46">
        <f>'Inputs (2)'!Z10</f>
        <v>-203.099</v>
      </c>
      <c r="AF133" s="46">
        <f>'Inputs (2)'!AA10</f>
        <v>-141.14</v>
      </c>
      <c r="AG133" s="12">
        <f>'Inputs (2)'!AB10</f>
        <v>-223.087</v>
      </c>
      <c r="AH133" s="12">
        <f>'Inputs (2)'!AC10</f>
        <v>-245.898</v>
      </c>
      <c r="AI133" s="12">
        <f>'Inputs (2)'!AD10</f>
        <v>-221.205</v>
      </c>
      <c r="AJ133" s="12">
        <f>-AJ132*AJ134</f>
        <v>-0.362996985749569</v>
      </c>
      <c r="AK133" s="12">
        <f>-AK132*AK134</f>
        <v>-0.380457216193542</v>
      </c>
      <c r="AL133" s="12">
        <f>SUM(AH133:AK133)</f>
        <v>-467.846454201943</v>
      </c>
      <c r="AM133" s="12">
        <f>-AM132*AM134</f>
        <v>-0.391604030439253</v>
      </c>
      <c r="AN133" s="12">
        <f>-AN132*AN134</f>
        <v>-0.382511053235891</v>
      </c>
      <c r="AO133" s="12">
        <f>-AO132*AO134</f>
        <v>-0.387236725882232</v>
      </c>
      <c r="AP133" s="12">
        <f>-AP132*AP134</f>
        <v>-0.405862892863513</v>
      </c>
      <c r="AQ133" s="12">
        <f>SUM(AM133:AP133)</f>
        <v>-1.56721470242089</v>
      </c>
      <c r="AR133" s="12">
        <f>-AR132*AR134</f>
        <v>-0.415796034406814</v>
      </c>
      <c r="AS133" s="12">
        <f>-AS132*AS134</f>
        <v>-0.406141323095829</v>
      </c>
      <c r="AT133" s="12">
        <f>-AT132*AT134</f>
        <v>-0.411158932194615</v>
      </c>
      <c r="AU133" s="12">
        <f>-AU132*AU134</f>
        <v>-0.430935762270467</v>
      </c>
      <c r="AV133" s="12">
        <f>SUM(AR133:AU133)</f>
        <v>-1.66403205196773</v>
      </c>
      <c r="AW133" s="12">
        <f>-AW132*AW134</f>
        <v>-0.43940356032815</v>
      </c>
      <c r="AX133" s="12">
        <f>-AX132*AX134</f>
        <v>-0.429200686387711</v>
      </c>
      <c r="AY133" s="12">
        <f>-AY132*AY134</f>
        <v>-0.434503178763538</v>
      </c>
      <c r="AZ133" s="12">
        <f>-AZ132*AZ134</f>
        <v>-0.455402871950203</v>
      </c>
      <c r="BA133" s="12">
        <f>SUM(AW133:AZ133)</f>
        <v>-1.7585102974296</v>
      </c>
      <c r="BB133" s="12">
        <f>-BB132*BB134</f>
        <v>-0.462154425820233</v>
      </c>
      <c r="BC133" s="12">
        <f>-BC132*BC134</f>
        <v>-0.451423280755913</v>
      </c>
      <c r="BD133" s="12">
        <f>-BD132*BD134</f>
        <v>-0.45700031867872</v>
      </c>
      <c r="BE133" s="12">
        <f>-BE132*BE134</f>
        <v>-0.478982128970126</v>
      </c>
      <c r="BF133" s="12">
        <f>SUM(BB133:BE133)</f>
        <v>-1.84956015422499</v>
      </c>
      <c r="BG133" s="12" t="n"/>
      <c r="BH133" s="12" t="n"/>
      <c r="BI133" s="12" t="n"/>
      <c r="BJ133" s="12" t="n"/>
      <c r="BK133" s="12" t="n"/>
      <c r="BL133" s="12" t="n"/>
      <c r="BM133" s="12" t="n"/>
      <c r="BN133" s="12" t="n"/>
      <c r="BO133" s="12" t="n"/>
      <c r="BP133" s="12" t="n"/>
      <c r="BQ133" s="12" t="n"/>
      <c r="BR133" s="12" t="n"/>
      <c r="BS133" s="12" t="n"/>
      <c r="BT133" s="12" t="n"/>
      <c r="BU133" s="12" t="n"/>
      <c r="BV133" s="12" t="n"/>
      <c r="BW133" s="12" t="n"/>
      <c r="BX133" s="12" t="n"/>
      <c r="BY133" s="12" t="n"/>
      <c r="BZ133" s="12" t="n"/>
      <c r="CA133" s="12" t="n"/>
      <c r="CB133" s="12" t="n"/>
      <c r="CC133" s="12" t="n"/>
      <c r="CD133" s="12" t="n"/>
      <c r="CE133" s="12" t="n"/>
      <c r="CF133" s="12" t="n"/>
      <c r="CG133" s="12" t="n"/>
      <c r="CH133" s="12" t="n"/>
      <c r="CI133" s="12" t="n"/>
      <c r="CJ133" s="12" t="n"/>
      <c r="CK133" s="12" t="n"/>
      <c r="CL133" s="12" t="n"/>
      <c r="CM133" s="12" t="n"/>
      <c r="CN133" s="12" t="n"/>
      <c r="CO133" s="12" t="n"/>
      <c r="CP133" s="12" t="n"/>
      <c r="CQ133" s="12" t="n"/>
      <c r="CR133" s="12" t="n"/>
      <c r="CS133" s="12" t="n"/>
      <c r="CT133" s="12" t="n"/>
      <c r="CU133" s="12" t="n"/>
      <c r="CV133" s="12" t="n"/>
      <c r="CW133" s="12" t="n"/>
      <c r="CX133" s="12" t="n"/>
      <c r="CY133" s="12" t="n"/>
    </row>
    <row r="134" hidden="1" outlineLevel="1">
      <c r="C134" s="57" t="inlineStr">
        <is>
          <t>% ETR</t>
        </is>
      </c>
      <c r="D134" s="53" t="n"/>
      <c r="E134" s="53" t="n"/>
      <c r="F134" s="53" t="n"/>
      <c r="G134" s="53" t="n"/>
      <c r="H134" s="53" t="n"/>
      <c r="I134" s="53">
        <f>IFERROR(-I133/I132,"")</f>
        <v>0.33879661439018</v>
      </c>
      <c r="J134" s="53">
        <f>IFERROR(-J133/J132,"")</f>
        <v>0.21749328339599</v>
      </c>
      <c r="K134" s="53">
        <f>IFERROR(-K133/K132,"")</f>
        <v>0.327501071001781</v>
      </c>
      <c r="L134" s="53">
        <f>IFERROR(-L133/L132,"")</f>
        <v>0.186463520824976</v>
      </c>
      <c r="M134" s="53">
        <f>IFERROR(-M133/M132,"")</f>
        <v>0.265128314298448</v>
      </c>
      <c r="N134" s="53">
        <f>IFERROR(-N133/N132,"")</f>
        <v>0.328312997262261</v>
      </c>
      <c r="O134" s="53">
        <f>IFERROR(-O133/O132,"")</f>
        <v>0.142950057732501</v>
      </c>
      <c r="P134" s="53">
        <f>IFERROR(-P133/P132,"")</f>
        <v>0.326592406498661</v>
      </c>
      <c r="Q134" s="53">
        <f>IFERROR(-Q133/Q132,"")</f>
        <v>0.181726473555267</v>
      </c>
      <c r="R134" s="53">
        <f>IFERROR(-R133/R132,"")</f>
        <v>0.254388587123196</v>
      </c>
      <c r="S134" s="53">
        <f>IFERROR(-S133/S132,"")</f>
        <v>0.329832306761135</v>
      </c>
      <c r="T134" s="53">
        <f>IFERROR(-T133/T132,"")</f>
        <v>0.155249396862485</v>
      </c>
      <c r="U134" s="53">
        <f>IFERROR(-U133/U132,"")</f>
        <v>0.328350335046186</v>
      </c>
      <c r="V134" s="53">
        <f>IFERROR(-V133/V132,"")</f>
        <v>0.198939688547074</v>
      </c>
      <c r="W134" s="53">
        <f>IFERROR(-W133/W132,"")</f>
        <v>0.256682157525877</v>
      </c>
      <c r="X134" s="53">
        <f>IFERROR(-X133/X132,"")</f>
        <v>0.330061510042402</v>
      </c>
      <c r="Y134" s="53">
        <f>IFERROR(-Y133/Y132,"")</f>
        <v>0.172291296625222</v>
      </c>
      <c r="Z134" s="53">
        <f>IFERROR(-Z133/Z132,"")</f>
        <v>0.334955740520544</v>
      </c>
      <c r="AA134" s="53">
        <f>IFERROR(-AA133/AA132,"")</f>
        <v>0.165008291873964</v>
      </c>
      <c r="AB134" s="53">
        <f>IFERROR(-AB133/AB132,"")</f>
        <v>0.257816154554737</v>
      </c>
      <c r="AC134" s="53">
        <f>IFERROR(-AC133/AC132,"")</f>
        <v>-0.0510227519902554</v>
      </c>
      <c r="AD134" s="53">
        <f>IFERROR(-AD133/AD132,"")</f>
        <v>-0.310466427269431</v>
      </c>
      <c r="AE134" s="53">
        <f>IFERROR(-AE133/AE132,"")</f>
        <v>0.451833147942158</v>
      </c>
      <c r="AF134" s="41">
        <f>IFERROR(-AF133/AF132,"")</f>
        <v>0.280894627696202</v>
      </c>
      <c r="AG134" s="53">
        <f>IFERROR(-AG133/AG132,"")</f>
        <v>0.0968825117093095</v>
      </c>
      <c r="AH134" s="41">
        <f>IFERROR(-AH133/AH132,"")</f>
        <v>0.41080291824471</v>
      </c>
      <c r="AI134" s="41">
        <f>IFERROR(-AI133/AI132,"")</f>
        <v>-0.779022510846904</v>
      </c>
      <c r="AJ134" s="41">
        <f>Control!$B$22</f>
        <v>0.00050316729607985</v>
      </c>
      <c r="AK134" s="41">
        <f>Control!$B$22</f>
        <v>0.00050316729607985</v>
      </c>
      <c r="AL134" s="53">
        <f>IFERROR(-AL133/AL132,"")</f>
        <v>0.261049430030407</v>
      </c>
      <c r="AM134" s="41">
        <f>Control!$C$22</f>
        <v>0.00050316729607985</v>
      </c>
      <c r="AN134" s="41">
        <f>Control!$C$22</f>
        <v>0.00050316729607985</v>
      </c>
      <c r="AO134" s="41">
        <f>Control!$C$22</f>
        <v>0.00050316729607985</v>
      </c>
      <c r="AP134" s="41">
        <f>Control!$C$22</f>
        <v>0.00050316729607985</v>
      </c>
      <c r="AQ134" s="53">
        <f>IFERROR(-AQ133/AQ132,"")</f>
        <v>0.00050316729607985</v>
      </c>
      <c r="AR134" s="41">
        <f>Control!$D$22</f>
        <v>0.00050316729607985</v>
      </c>
      <c r="AS134" s="41">
        <f>Control!$D$22</f>
        <v>0.00050316729607985</v>
      </c>
      <c r="AT134" s="41">
        <f>Control!$D$22</f>
        <v>0.00050316729607985</v>
      </c>
      <c r="AU134" s="41">
        <f>Control!$D$22</f>
        <v>0.00050316729607985</v>
      </c>
      <c r="AV134" s="53">
        <f>IFERROR(-AV133/AV132,"")</f>
        <v>0.00050316729607985</v>
      </c>
      <c r="AW134" s="41">
        <f>Control!$E$22</f>
        <v>0.00050316729607985</v>
      </c>
      <c r="AX134" s="41">
        <f>Control!$E$22</f>
        <v>0.00050316729607985</v>
      </c>
      <c r="AY134" s="41">
        <f>Control!$E$22</f>
        <v>0.00050316729607985</v>
      </c>
      <c r="AZ134" s="41">
        <f>Control!$E$22</f>
        <v>0.00050316729607985</v>
      </c>
      <c r="BA134" s="53">
        <f>IFERROR(-BA133/BA132,"")</f>
        <v>0.00050316729607985</v>
      </c>
      <c r="BB134" s="41">
        <f>Control!$F$22</f>
        <v>0.00050316729607985</v>
      </c>
      <c r="BC134" s="41">
        <f>Control!$F$22</f>
        <v>0.00050316729607985</v>
      </c>
      <c r="BD134" s="41">
        <f>Control!$F$22</f>
        <v>0.00050316729607985</v>
      </c>
      <c r="BE134" s="41">
        <f>Control!$F$22</f>
        <v>0.00050316729607985</v>
      </c>
      <c r="BF134" s="53">
        <f>IFERROR(-BF133/BF132,"")</f>
        <v>0.00050316729607985</v>
      </c>
      <c r="BG134" s="41" t="n"/>
      <c r="BH134" s="41" t="n"/>
      <c r="BI134" s="41" t="n"/>
      <c r="BJ134" s="41" t="n"/>
      <c r="BK134" s="53" t="n"/>
      <c r="BL134" s="41" t="n"/>
      <c r="BM134" s="41" t="n"/>
      <c r="BN134" s="41" t="n"/>
      <c r="BO134" s="41" t="n"/>
      <c r="BP134" s="53" t="n"/>
      <c r="BQ134" s="41" t="n"/>
      <c r="BR134" s="41" t="n"/>
      <c r="BS134" s="41" t="n"/>
      <c r="BT134" s="41" t="n"/>
      <c r="BU134" s="53" t="n"/>
      <c r="BV134" s="41" t="n"/>
      <c r="BW134" s="41" t="n"/>
      <c r="BX134" s="41" t="n"/>
      <c r="BY134" s="41" t="n"/>
      <c r="BZ134" s="53" t="n"/>
      <c r="CA134" s="41" t="n"/>
      <c r="CB134" s="41" t="n"/>
      <c r="CC134" s="41" t="n"/>
      <c r="CD134" s="41" t="n"/>
      <c r="CE134" s="53" t="n"/>
      <c r="CF134" s="41" t="n"/>
      <c r="CG134" s="41" t="n"/>
      <c r="CH134" s="41" t="n"/>
      <c r="CI134" s="41" t="n"/>
      <c r="CJ134" s="53" t="n"/>
      <c r="CK134" s="41" t="n"/>
      <c r="CL134" s="41" t="n"/>
      <c r="CM134" s="41" t="n"/>
      <c r="CN134" s="41" t="n"/>
      <c r="CO134" s="53" t="n"/>
      <c r="CP134" s="41" t="n"/>
      <c r="CQ134" s="41" t="n"/>
      <c r="CR134" s="41" t="n"/>
      <c r="CS134" s="41" t="n"/>
      <c r="CT134" s="53" t="n"/>
      <c r="CU134" s="41" t="n"/>
      <c r="CV134" s="41" t="n"/>
      <c r="CW134" s="41" t="n"/>
      <c r="CX134" s="41" t="n"/>
      <c r="CY134" s="53" t="n"/>
    </row>
    <row r="135" hidden="1" outlineLevel="1">
      <c r="C135" s="57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  <c r="BN135" s="12" t="n"/>
      <c r="BO135" s="12" t="n"/>
      <c r="BP135" s="12" t="n"/>
      <c r="BQ135" s="12" t="n"/>
      <c r="BR135" s="12" t="n"/>
      <c r="BS135" s="12" t="n"/>
      <c r="BT135" s="12" t="n"/>
      <c r="BU135" s="12" t="n"/>
      <c r="BV135" s="12" t="n"/>
      <c r="BW135" s="12" t="n"/>
      <c r="BX135" s="12" t="n"/>
      <c r="BY135" s="12" t="n"/>
      <c r="BZ135" s="12" t="n"/>
      <c r="CA135" s="12" t="n"/>
      <c r="CB135" s="12" t="n"/>
      <c r="CC135" s="12" t="n"/>
      <c r="CD135" s="12" t="n"/>
      <c r="CE135" s="12" t="n"/>
      <c r="CF135" s="12" t="n"/>
      <c r="CG135" s="12" t="n"/>
      <c r="CH135" s="12" t="n"/>
      <c r="CI135" s="12" t="n"/>
      <c r="CJ135" s="12" t="n"/>
      <c r="CK135" s="12" t="n"/>
      <c r="CL135" s="12" t="n"/>
      <c r="CM135" s="12" t="n"/>
      <c r="CN135" s="12" t="n"/>
      <c r="CO135" s="12" t="n"/>
      <c r="CP135" s="12" t="n"/>
      <c r="CQ135" s="12" t="n"/>
      <c r="CR135" s="12" t="n"/>
      <c r="CS135" s="12" t="n"/>
      <c r="CT135" s="12" t="n"/>
      <c r="CU135" s="12" t="n"/>
      <c r="CV135" s="12" t="n"/>
      <c r="CW135" s="12" t="n"/>
      <c r="CX135" s="12" t="n"/>
      <c r="CY135" s="12" t="n"/>
    </row>
    <row r="136" hidden="1" outlineLevel="1">
      <c r="C136" s="57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  <c r="BN136" s="12" t="n"/>
      <c r="BO136" s="12" t="n"/>
      <c r="BP136" s="12" t="n"/>
      <c r="BQ136" s="12" t="n"/>
      <c r="BR136" s="12" t="n"/>
      <c r="BS136" s="12" t="n"/>
      <c r="BT136" s="12" t="n"/>
      <c r="BU136" s="12" t="n"/>
      <c r="BV136" s="12" t="n"/>
      <c r="BW136" s="12" t="n"/>
      <c r="BX136" s="12" t="n"/>
      <c r="BY136" s="12" t="n"/>
      <c r="BZ136" s="12" t="n"/>
      <c r="CA136" s="12" t="n"/>
      <c r="CB136" s="12" t="n"/>
      <c r="CC136" s="12" t="n"/>
      <c r="CD136" s="12" t="n"/>
      <c r="CE136" s="12" t="n"/>
      <c r="CF136" s="12" t="n"/>
      <c r="CG136" s="12" t="n"/>
      <c r="CH136" s="12" t="n"/>
      <c r="CI136" s="12" t="n"/>
      <c r="CJ136" s="12" t="n"/>
      <c r="CK136" s="12" t="n"/>
      <c r="CL136" s="12" t="n"/>
      <c r="CM136" s="12" t="n"/>
      <c r="CN136" s="12" t="n"/>
      <c r="CO136" s="12" t="n"/>
      <c r="CP136" s="12" t="n"/>
      <c r="CQ136" s="12" t="n"/>
      <c r="CR136" s="12" t="n"/>
      <c r="CS136" s="12" t="n"/>
      <c r="CT136" s="12" t="n"/>
      <c r="CU136" s="12" t="n"/>
      <c r="CV136" s="12" t="n"/>
      <c r="CW136" s="12" t="n"/>
      <c r="CX136" s="12" t="n"/>
      <c r="CY136" s="12" t="n"/>
    </row>
    <row r="137" collapsed="1">
      <c r="C137" s="14" t="inlineStr">
        <is>
          <t>Equity in Income of Affiliates, after tax (enter as +)</t>
        </is>
      </c>
      <c r="D137" s="46" t="n"/>
      <c r="E137" s="46" t="n"/>
      <c r="F137" s="46" t="n"/>
      <c r="G137" s="46" t="n"/>
      <c r="H137" s="12" t="n"/>
      <c r="I137" s="46">
        <f>'Inputs (2)'!D11</f>
        <v>-0.445</v>
      </c>
      <c r="J137" s="46">
        <f>'Inputs (2)'!E11</f>
        <v>-0.8</v>
      </c>
      <c r="K137" s="46">
        <f>'Inputs (2)'!F11</f>
        <v>-1.093</v>
      </c>
      <c r="L137" s="46">
        <f>'Inputs (2)'!G11</f>
        <v>-0.62</v>
      </c>
      <c r="M137" s="12">
        <f>'Inputs (2)'!H11</f>
        <v>-2.958</v>
      </c>
      <c r="N137" s="46">
        <f>'Inputs (2)'!I11</f>
        <v>-0.751</v>
      </c>
      <c r="O137" s="46">
        <f>'Inputs (2)'!J11</f>
        <v>-0.847</v>
      </c>
      <c r="P137" s="46">
        <f>'Inputs (2)'!K11</f>
        <v>-0.625</v>
      </c>
      <c r="Q137" s="46">
        <f>'Inputs (2)'!L11</f>
        <v>-1.077</v>
      </c>
      <c r="R137" s="12">
        <f>'Inputs (2)'!M11</f>
        <v>-3.3</v>
      </c>
      <c r="S137" s="46">
        <f>'Inputs (2)'!N11</f>
        <v>-0.417</v>
      </c>
      <c r="T137" s="46">
        <f>'Inputs (2)'!O11</f>
        <v>-0.171</v>
      </c>
      <c r="U137" s="46">
        <f>'Inputs (2)'!P11</f>
        <v>-0.361</v>
      </c>
      <c r="V137" s="46">
        <f>'Inputs (2)'!Q11</f>
        <v>-4.314</v>
      </c>
      <c r="W137" s="12">
        <f>'Inputs (2)'!R11</f>
        <v>-5.263</v>
      </c>
      <c r="X137" s="46">
        <f>'Inputs (2)'!S11</f>
        <v>0</v>
      </c>
      <c r="Y137" s="46">
        <f>'Inputs (2)'!T11</f>
        <v>0</v>
      </c>
      <c r="Z137" s="46">
        <f>'Inputs (2)'!U11</f>
        <v>0</v>
      </c>
      <c r="AA137" s="46">
        <f>'Inputs (2)'!V11</f>
        <v>0</v>
      </c>
      <c r="AB137" s="12">
        <f>'Inputs (2)'!W11</f>
        <v>0</v>
      </c>
      <c r="AC137" s="46">
        <f>'Inputs (2)'!X11</f>
        <v>0</v>
      </c>
      <c r="AD137" s="46">
        <f>'Inputs (2)'!Y11</f>
        <v>0</v>
      </c>
      <c r="AE137" s="46">
        <f>'Inputs (2)'!Z11</f>
        <v>0</v>
      </c>
      <c r="AF137" s="46">
        <f>'Inputs (2)'!AA11</f>
        <v>0</v>
      </c>
      <c r="AG137" s="12">
        <f>'Inputs (2)'!AB11</f>
        <v>0</v>
      </c>
      <c r="AH137" s="12">
        <f>'Inputs (2)'!AC11</f>
        <v>0</v>
      </c>
      <c r="AI137" s="12">
        <f>'Inputs (2)'!AD11</f>
        <v>0</v>
      </c>
      <c r="AJ137" s="12">
        <f>0</f>
        <v>0</v>
      </c>
      <c r="AK137" s="12">
        <f>0</f>
        <v>0</v>
      </c>
      <c r="AL137" s="12">
        <f>SUM(AH137:AK137)</f>
        <v>0</v>
      </c>
      <c r="AM137" s="12">
        <f>0</f>
        <v>0</v>
      </c>
      <c r="AN137" s="12">
        <f>0</f>
        <v>0</v>
      </c>
      <c r="AO137" s="12">
        <f>0</f>
        <v>0</v>
      </c>
      <c r="AP137" s="12">
        <f>0</f>
        <v>0</v>
      </c>
      <c r="AQ137" s="12">
        <f>SUM(AM137:AP137)</f>
        <v>0</v>
      </c>
      <c r="AR137" s="12">
        <f>0</f>
        <v>0</v>
      </c>
      <c r="AS137" s="12">
        <f>0</f>
        <v>0</v>
      </c>
      <c r="AT137" s="12">
        <f>0</f>
        <v>0</v>
      </c>
      <c r="AU137" s="12">
        <f>0</f>
        <v>0</v>
      </c>
      <c r="AV137" s="12">
        <f>SUM(AR137:AU137)</f>
        <v>0</v>
      </c>
      <c r="AW137" s="12">
        <f>0</f>
        <v>0</v>
      </c>
      <c r="AX137" s="12">
        <f>0</f>
        <v>0</v>
      </c>
      <c r="AY137" s="12">
        <f>0</f>
        <v>0</v>
      </c>
      <c r="AZ137" s="12">
        <f>0</f>
        <v>0</v>
      </c>
      <c r="BA137" s="12">
        <f>SUM(AW137:AZ137)</f>
        <v>0</v>
      </c>
      <c r="BB137" s="12">
        <f>0</f>
        <v>0</v>
      </c>
      <c r="BC137" s="12">
        <f>0</f>
        <v>0</v>
      </c>
      <c r="BD137" s="12">
        <f>0</f>
        <v>0</v>
      </c>
      <c r="BE137" s="12">
        <f>0</f>
        <v>0</v>
      </c>
      <c r="BF137" s="12">
        <f>SUM(BB137:BE137)</f>
        <v>0</v>
      </c>
      <c r="BG137" s="12" t="n"/>
      <c r="BH137" s="12" t="n"/>
      <c r="BI137" s="12" t="n"/>
      <c r="BJ137" s="12" t="n"/>
      <c r="BK137" s="12" t="n"/>
      <c r="BL137" s="12" t="n"/>
      <c r="BM137" s="12" t="n"/>
      <c r="BN137" s="12" t="n"/>
      <c r="BO137" s="12" t="n"/>
      <c r="BP137" s="12" t="n"/>
      <c r="BQ137" s="12" t="n"/>
      <c r="BR137" s="12" t="n"/>
      <c r="BS137" s="12" t="n"/>
      <c r="BT137" s="12" t="n"/>
      <c r="BU137" s="12" t="n"/>
      <c r="BV137" s="12" t="n"/>
      <c r="BW137" s="12" t="n"/>
      <c r="BX137" s="12" t="n"/>
      <c r="BY137" s="12" t="n"/>
      <c r="BZ137" s="12" t="n"/>
      <c r="CA137" s="12" t="n"/>
      <c r="CB137" s="12" t="n"/>
      <c r="CC137" s="12" t="n"/>
      <c r="CD137" s="12" t="n"/>
      <c r="CE137" s="12" t="n"/>
      <c r="CF137" s="12" t="n"/>
      <c r="CG137" s="12" t="n"/>
      <c r="CH137" s="12" t="n"/>
      <c r="CI137" s="12" t="n"/>
      <c r="CJ137" s="12" t="n"/>
      <c r="CK137" s="12" t="n"/>
      <c r="CL137" s="12" t="n"/>
      <c r="CM137" s="12" t="n"/>
      <c r="CN137" s="12" t="n"/>
      <c r="CO137" s="12" t="n"/>
      <c r="CP137" s="12" t="n"/>
      <c r="CQ137" s="12" t="n"/>
      <c r="CR137" s="12" t="n"/>
      <c r="CS137" s="12" t="n"/>
      <c r="CT137" s="12" t="n"/>
      <c r="CU137" s="12" t="n"/>
      <c r="CV137" s="12" t="n"/>
      <c r="CW137" s="12" t="n"/>
      <c r="CX137" s="12" t="n"/>
      <c r="CY137" s="12" t="n"/>
    </row>
    <row r="138">
      <c r="C138" s="14" t="inlineStr">
        <is>
          <t>Minority Interest Expense, after tax (enter as - )</t>
        </is>
      </c>
      <c r="D138" s="46" t="n"/>
      <c r="E138" s="46" t="n"/>
      <c r="F138" s="46" t="n"/>
      <c r="G138" s="46" t="n"/>
      <c r="H138" s="12" t="n"/>
      <c r="I138" s="46">
        <f>'Inputs (2)'!D12</f>
        <v>0</v>
      </c>
      <c r="J138" s="46">
        <f>'Inputs (2)'!E12</f>
        <v>0</v>
      </c>
      <c r="K138" s="46">
        <f>'Inputs (2)'!F12</f>
        <v>0</v>
      </c>
      <c r="L138" s="46">
        <f>'Inputs (2)'!G12</f>
        <v>0</v>
      </c>
      <c r="M138" s="12">
        <f>'Inputs (2)'!H12</f>
        <v>0</v>
      </c>
      <c r="N138" s="46">
        <f>'Inputs (2)'!I12</f>
        <v>0</v>
      </c>
      <c r="O138" s="46">
        <f>'Inputs (2)'!J12</f>
        <v>0</v>
      </c>
      <c r="P138" s="46">
        <f>'Inputs (2)'!K12</f>
        <v>0</v>
      </c>
      <c r="Q138" s="46">
        <f>'Inputs (2)'!L12</f>
        <v>0</v>
      </c>
      <c r="R138" s="12">
        <f>'Inputs (2)'!M12</f>
        <v>0</v>
      </c>
      <c r="S138" s="46">
        <f>'Inputs (2)'!N12</f>
        <v>0</v>
      </c>
      <c r="T138" s="46">
        <f>'Inputs (2)'!O12</f>
        <v>0</v>
      </c>
      <c r="U138" s="46">
        <f>'Inputs (2)'!P12</f>
        <v>0</v>
      </c>
      <c r="V138" s="46">
        <f>'Inputs (2)'!Q12</f>
        <v>0</v>
      </c>
      <c r="W138" s="12">
        <f>'Inputs (2)'!R12</f>
        <v>0</v>
      </c>
      <c r="X138" s="46">
        <f>'Inputs (2)'!S12</f>
        <v>0</v>
      </c>
      <c r="Y138" s="46">
        <f>'Inputs (2)'!T12</f>
        <v>0</v>
      </c>
      <c r="Z138" s="46">
        <f>'Inputs (2)'!U12</f>
        <v>0</v>
      </c>
      <c r="AA138" s="46">
        <f>'Inputs (2)'!V12</f>
        <v>0</v>
      </c>
      <c r="AB138" s="12">
        <f>'Inputs (2)'!W12</f>
        <v>0</v>
      </c>
      <c r="AC138" s="46">
        <f>'Inputs (2)'!X12</f>
        <v>0</v>
      </c>
      <c r="AD138" s="46">
        <f>'Inputs (2)'!Y12</f>
        <v>0</v>
      </c>
      <c r="AE138" s="46">
        <f>'Inputs (2)'!Z12</f>
        <v>0</v>
      </c>
      <c r="AF138" s="46">
        <f>'Inputs (2)'!AA12</f>
        <v>0</v>
      </c>
      <c r="AG138" s="12">
        <f>'Inputs (2)'!AB12</f>
        <v>0</v>
      </c>
      <c r="AH138" s="12">
        <f>'Inputs (2)'!AC12</f>
        <v>0</v>
      </c>
      <c r="AI138" s="12">
        <f>'Inputs (2)'!AD12</f>
        <v>0</v>
      </c>
      <c r="AJ138" s="12">
        <f>0</f>
        <v>0</v>
      </c>
      <c r="AK138" s="12">
        <f>0</f>
        <v>0</v>
      </c>
      <c r="AL138" s="12">
        <f>SUM(AH138:AK138)</f>
        <v>0</v>
      </c>
      <c r="AM138" s="12">
        <f>0</f>
        <v>0</v>
      </c>
      <c r="AN138" s="12">
        <f>0</f>
        <v>0</v>
      </c>
      <c r="AO138" s="12">
        <f>0</f>
        <v>0</v>
      </c>
      <c r="AP138" s="12">
        <f>0</f>
        <v>0</v>
      </c>
      <c r="AQ138" s="12">
        <f>SUM(AM138:AP138)</f>
        <v>0</v>
      </c>
      <c r="AR138" s="12">
        <f>0</f>
        <v>0</v>
      </c>
      <c r="AS138" s="12">
        <f>0</f>
        <v>0</v>
      </c>
      <c r="AT138" s="12">
        <f>0</f>
        <v>0</v>
      </c>
      <c r="AU138" s="12">
        <f>0</f>
        <v>0</v>
      </c>
      <c r="AV138" s="12">
        <f>SUM(AR138:AU138)</f>
        <v>0</v>
      </c>
      <c r="AW138" s="12">
        <f>0</f>
        <v>0</v>
      </c>
      <c r="AX138" s="12">
        <f>0</f>
        <v>0</v>
      </c>
      <c r="AY138" s="12">
        <f>0</f>
        <v>0</v>
      </c>
      <c r="AZ138" s="12">
        <f>0</f>
        <v>0</v>
      </c>
      <c r="BA138" s="12">
        <f>SUM(AW138:AZ138)</f>
        <v>0</v>
      </c>
      <c r="BB138" s="12">
        <f>0</f>
        <v>0</v>
      </c>
      <c r="BC138" s="12">
        <f>0</f>
        <v>0</v>
      </c>
      <c r="BD138" s="12">
        <f>0</f>
        <v>0</v>
      </c>
      <c r="BE138" s="12">
        <f>0</f>
        <v>0</v>
      </c>
      <c r="BF138" s="12">
        <f>SUM(BB138:BE138)</f>
        <v>0</v>
      </c>
      <c r="BG138" s="12" t="n"/>
      <c r="BH138" s="12" t="n"/>
      <c r="BI138" s="12" t="n"/>
      <c r="BJ138" s="12" t="n"/>
      <c r="BK138" s="12" t="n"/>
      <c r="BL138" s="12" t="n"/>
      <c r="BM138" s="12" t="n"/>
      <c r="BN138" s="12" t="n"/>
      <c r="BO138" s="12" t="n"/>
      <c r="BP138" s="12" t="n"/>
      <c r="BQ138" s="12" t="n"/>
      <c r="BR138" s="12" t="n"/>
      <c r="BS138" s="12" t="n"/>
      <c r="BT138" s="12" t="n"/>
      <c r="BU138" s="12" t="n"/>
      <c r="BV138" s="12" t="n"/>
      <c r="BW138" s="12" t="n"/>
      <c r="BX138" s="12" t="n"/>
      <c r="BY138" s="12" t="n"/>
      <c r="BZ138" s="12" t="n"/>
      <c r="CA138" s="12" t="n"/>
      <c r="CB138" s="12" t="n"/>
      <c r="CC138" s="12" t="n"/>
      <c r="CD138" s="12" t="n"/>
      <c r="CE138" s="12" t="n"/>
      <c r="CF138" s="12" t="n"/>
      <c r="CG138" s="12" t="n"/>
      <c r="CH138" s="12" t="n"/>
      <c r="CI138" s="12" t="n"/>
      <c r="CJ138" s="12" t="n"/>
      <c r="CK138" s="12" t="n"/>
      <c r="CL138" s="12" t="n"/>
      <c r="CM138" s="12" t="n"/>
      <c r="CN138" s="12" t="n"/>
      <c r="CO138" s="12" t="n"/>
      <c r="CP138" s="12" t="n"/>
      <c r="CQ138" s="12" t="n"/>
      <c r="CR138" s="12" t="n"/>
      <c r="CS138" s="12" t="n"/>
      <c r="CT138" s="12" t="n"/>
      <c r="CU138" s="12" t="n"/>
      <c r="CV138" s="12" t="n"/>
      <c r="CW138" s="12" t="n"/>
      <c r="CX138" s="12" t="n"/>
      <c r="CY138" s="12" t="n"/>
    </row>
    <row r="139" customFormat="1" s="32">
      <c r="A139" s="30" t="n"/>
      <c r="B139" s="3" t="n"/>
      <c r="C139" s="33" t="inlineStr">
        <is>
          <t>Net Income</t>
        </is>
      </c>
      <c r="D139" s="35" t="n"/>
      <c r="E139" s="35" t="n"/>
      <c r="F139" s="35" t="n"/>
      <c r="G139" s="35" t="n"/>
      <c r="H139" s="35" t="n"/>
      <c r="I139" s="35">
        <f>SUM(I132,I133,I137,I138)</f>
        <v>246.49</v>
      </c>
      <c r="J139" s="35">
        <f>SUM(J132,J133,J137,J138)</f>
        <v>331.817</v>
      </c>
      <c r="K139" s="35">
        <f>SUM(K132,K133,K137,K138)</f>
        <v>267.341</v>
      </c>
      <c r="L139" s="35">
        <f>SUM(L132,L133,L137,L138)</f>
        <v>331.983</v>
      </c>
      <c r="M139" s="35">
        <f>SUM(I139:L139)</f>
        <v>1177.631</v>
      </c>
      <c r="N139" s="35">
        <f>SUM(N132,N133,N137,N138)</f>
        <v>291.944</v>
      </c>
      <c r="O139" s="35">
        <f>SUM(O132,O133,O137,O138)</f>
        <v>233.707</v>
      </c>
      <c r="P139" s="35">
        <f>SUM(P132,P133,P137,P138)</f>
        <v>274.928</v>
      </c>
      <c r="Q139" s="35">
        <f>SUM(Q132,Q133,Q137,Q138)</f>
        <v>350.959</v>
      </c>
      <c r="R139" s="35">
        <f>SUM(N139:Q139)</f>
        <v>1151.538</v>
      </c>
      <c r="S139" s="35">
        <f>SUM(S132,S133,S137,S138)</f>
        <v>319.574</v>
      </c>
      <c r="T139" s="35">
        <f>SUM(T132,T133,T137,T138)</f>
        <v>422.108</v>
      </c>
      <c r="U139" s="35">
        <f>SUM(U132,U133,U137,U138)</f>
        <v>396.86</v>
      </c>
      <c r="V139" s="35">
        <f>SUM(V132,V133,V137,V138)</f>
        <v>364.821</v>
      </c>
      <c r="W139" s="35">
        <f>SUM(S139:V139)</f>
        <v>1503.363</v>
      </c>
      <c r="X139" s="35">
        <f>SUM(X132,X133,X137,X138)</f>
        <v>379.352</v>
      </c>
      <c r="Y139" s="35">
        <f>SUM(Y132,Y133,Y137,Y138)</f>
        <v>375.596</v>
      </c>
      <c r="Z139" s="35">
        <f>SUM(Z132,Z133,Z137,Z138)</f>
        <v>377.529</v>
      </c>
      <c r="AA139" s="35">
        <f>SUM(AA132,AA133,AA137,AA138)</f>
        <v>412.87</v>
      </c>
      <c r="AB139" s="35">
        <f>SUM(X139:AA139)</f>
        <v>1545.347</v>
      </c>
      <c r="AC139" s="35">
        <f>SUM(AC132,AC133,AC137,AC138)</f>
        <v>1207.993</v>
      </c>
      <c r="AD139" s="35">
        <f>SUM(AD132,AD133,AD137,AD138)</f>
        <v>263.848</v>
      </c>
      <c r="AE139" s="35">
        <f>SUM(AE132,AE133,AE137,AE138)</f>
        <v>246.401</v>
      </c>
      <c r="AF139" s="35">
        <f>SUM(AF132,AF133,AF137,AF138)</f>
        <v>361.326</v>
      </c>
      <c r="AG139" s="35">
        <f>SUM(AC139:AF139)</f>
        <v>2079.568</v>
      </c>
      <c r="AH139" s="35">
        <f>SUM(AH132,AH133,AH137,AH138)</f>
        <v>352.681</v>
      </c>
      <c r="AI139" s="35">
        <f>SUM(AI132,AI133,AI137,AI138)</f>
        <v>-505.157</v>
      </c>
      <c r="AJ139" s="35">
        <f>SUM(AJ132,AJ133,AJ137,AJ138)</f>
        <v>721.06104741789</v>
      </c>
      <c r="AK139" s="35">
        <f>SUM(AK132,AK133,AK137,AK138)</f>
        <v>755.744233632485</v>
      </c>
      <c r="AL139" s="35">
        <f>SUM(AH139:AK139)</f>
        <v>1324.32928105038</v>
      </c>
      <c r="AM139" s="35">
        <f>SUM(AM132,AM133,AM137,AM138)</f>
        <v>777.886383212013</v>
      </c>
      <c r="AN139" s="35">
        <f>SUM(AN132,AN133,AN137,AN138)</f>
        <v>759.823997231413</v>
      </c>
      <c r="AO139" s="35">
        <f>SUM(AO132,AO133,AO137,AO138)</f>
        <v>769.211123301036</v>
      </c>
      <c r="AP139" s="35">
        <f>SUM(AP132,AP133,AP137,AP138)</f>
        <v>806.210338171016</v>
      </c>
      <c r="AQ139" s="35">
        <f>SUM(AM139:AP139)</f>
        <v>3113.13184191548</v>
      </c>
      <c r="AR139" s="35">
        <f>SUM(AR132,AR133,AR137,AR138)</f>
        <v>825.941635472488</v>
      </c>
      <c r="AS139" s="35">
        <f>SUM(AS132,AS133,AS137,AS138)</f>
        <v>806.763414925998</v>
      </c>
      <c r="AT139" s="35">
        <f>SUM(AT132,AT133,AT137,AT138)</f>
        <v>816.730446648955</v>
      </c>
      <c r="AU139" s="35">
        <f>SUM(AU132,AU133,AU137,AU138)</f>
        <v>856.015350846308</v>
      </c>
      <c r="AV139" s="35">
        <f>SUM(AR139:AU139)</f>
        <v>3305.45084789375</v>
      </c>
      <c r="AW139" s="35">
        <f>SUM(AW132,AW133,AW137,AW138)</f>
        <v>872.835874367152</v>
      </c>
      <c r="AX139" s="35">
        <f>SUM(AX132,AX133,AX137,AX138)</f>
        <v>852.568777782385</v>
      </c>
      <c r="AY139" s="35">
        <f>SUM(AY132,AY133,AY137,AY138)</f>
        <v>863.101704656541</v>
      </c>
      <c r="AZ139" s="35">
        <f>SUM(AZ132,AZ133,AZ137,AZ138)</f>
        <v>904.617075999833</v>
      </c>
      <c r="BA139" s="35">
        <f>SUM(AW139:AZ139)</f>
        <v>3493.12343280591</v>
      </c>
      <c r="BB139" s="35">
        <f>SUM(BB132,BB133,BB137,BB138)</f>
        <v>918.028433934856</v>
      </c>
      <c r="BC139" s="35">
        <f>SUM(BC132,BC133,BC137,BC138)</f>
        <v>896.711974008629</v>
      </c>
      <c r="BD139" s="35">
        <f>SUM(BD132,BD133,BD137,BD138)</f>
        <v>907.790261057775</v>
      </c>
      <c r="BE139" s="35">
        <f>SUM(BE132,BE133,BE137,BE138)</f>
        <v>951.455161250082</v>
      </c>
      <c r="BF139" s="35">
        <f>SUM(BB139:BE139)</f>
        <v>3673.98583025134</v>
      </c>
      <c r="BG139" s="35" t="n"/>
      <c r="BH139" s="35" t="n"/>
      <c r="BI139" s="35" t="n"/>
      <c r="BJ139" s="35" t="n"/>
      <c r="BK139" s="35" t="n"/>
      <c r="BL139" s="35" t="n"/>
      <c r="BM139" s="35" t="n"/>
      <c r="BN139" s="35" t="n"/>
      <c r="BO139" s="35" t="n"/>
      <c r="BP139" s="35" t="n"/>
      <c r="BQ139" s="35" t="n"/>
      <c r="BR139" s="35" t="n"/>
      <c r="BS139" s="35" t="n"/>
      <c r="BT139" s="35" t="n"/>
      <c r="BU139" s="35" t="n"/>
      <c r="BV139" s="35" t="n"/>
      <c r="BW139" s="35" t="n"/>
      <c r="BX139" s="35" t="n"/>
      <c r="BY139" s="35" t="n"/>
      <c r="BZ139" s="35" t="n"/>
      <c r="CA139" s="35" t="n"/>
      <c r="CB139" s="35" t="n"/>
      <c r="CC139" s="35" t="n"/>
      <c r="CD139" s="35" t="n"/>
      <c r="CE139" s="35" t="n"/>
      <c r="CF139" s="35" t="n"/>
      <c r="CG139" s="35" t="n"/>
      <c r="CH139" s="35" t="n"/>
      <c r="CI139" s="35" t="n"/>
      <c r="CJ139" s="35" t="n"/>
      <c r="CK139" s="35" t="n"/>
      <c r="CL139" s="35" t="n"/>
      <c r="CM139" s="35" t="n"/>
      <c r="CN139" s="35" t="n"/>
      <c r="CO139" s="35" t="n"/>
      <c r="CP139" s="35" t="n"/>
      <c r="CQ139" s="35" t="n"/>
      <c r="CR139" s="35" t="n"/>
      <c r="CS139" s="35" t="n"/>
      <c r="CT139" s="35" t="n"/>
      <c r="CU139" s="35" t="n"/>
      <c r="CV139" s="35" t="n"/>
      <c r="CW139" s="35" t="n"/>
      <c r="CX139" s="35" t="n"/>
      <c r="CY139" s="35" t="n"/>
    </row>
    <row r="140">
      <c r="C140" s="13" t="inlineStr">
        <is>
          <t>Common Dividends</t>
        </is>
      </c>
      <c r="D140" s="46" t="n"/>
      <c r="E140" s="46" t="n"/>
      <c r="F140" s="46" t="n"/>
      <c r="G140" s="46" t="n"/>
      <c r="H140" s="12" t="n"/>
      <c r="I140" s="46">
        <f>'Inputs (2)'!D13</f>
        <v>0</v>
      </c>
      <c r="J140" s="46">
        <f>'Inputs (2)'!E13</f>
        <v>-267.765</v>
      </c>
      <c r="K140" s="46">
        <f>'Inputs (2)'!F13</f>
        <v>0.294</v>
      </c>
      <c r="L140" s="46">
        <f>'Inputs (2)'!G13</f>
        <v>-0.104</v>
      </c>
      <c r="M140" s="12">
        <f>'Inputs (2)'!H13</f>
        <v>-267.575</v>
      </c>
      <c r="N140" s="46">
        <f>'Inputs (2)'!I13</f>
        <v>-0.001</v>
      </c>
      <c r="O140" s="46">
        <f>'Inputs (2)'!J13</f>
        <v>-308.822</v>
      </c>
      <c r="P140" s="46">
        <f>'Inputs (2)'!K13</f>
        <v>-0.524</v>
      </c>
      <c r="Q140" s="46">
        <f>'Inputs (2)'!L13</f>
        <v>0</v>
      </c>
      <c r="R140" s="12">
        <f>'Inputs (2)'!M13</f>
        <v>-309.347</v>
      </c>
      <c r="S140" s="46">
        <f>'Inputs (2)'!N13</f>
        <v>0</v>
      </c>
      <c r="T140" s="46">
        <f>'Inputs (2)'!O13</f>
        <v>-385.616</v>
      </c>
      <c r="U140" s="46">
        <f>'Inputs (2)'!P13</f>
        <v>0.074</v>
      </c>
      <c r="V140" s="46">
        <f>'Inputs (2)'!Q13</f>
        <v>0</v>
      </c>
      <c r="W140" s="12">
        <f>'Inputs (2)'!R13</f>
        <v>-385.542</v>
      </c>
      <c r="X140" s="46">
        <f>'Inputs (2)'!S13</f>
        <v>0</v>
      </c>
      <c r="Y140" s="46">
        <f>'Inputs (2)'!T13</f>
        <v>-403.196</v>
      </c>
      <c r="Z140" s="46">
        <f>'Inputs (2)'!U13</f>
        <v>0.124</v>
      </c>
      <c r="AA140" s="46">
        <f>'Inputs (2)'!V13</f>
        <v>0</v>
      </c>
      <c r="AB140" s="12">
        <f>'Inputs (2)'!W13</f>
        <v>-403.072</v>
      </c>
      <c r="AC140" s="46">
        <f>'Inputs (2)'!X13</f>
        <v>0</v>
      </c>
      <c r="AD140" s="46">
        <f>'Inputs (2)'!Y13</f>
        <v>-412.427</v>
      </c>
      <c r="AE140" s="46">
        <f>'Inputs (2)'!Z13</f>
        <v>-0.308</v>
      </c>
      <c r="AF140" s="46">
        <f>'Inputs (2)'!AA13</f>
        <v>-0.008</v>
      </c>
      <c r="AG140" s="12">
        <f>'Inputs (2)'!AB13</f>
        <v>-412.743</v>
      </c>
      <c r="AH140" s="12">
        <f>'Inputs (2)'!AC13</f>
        <v>0</v>
      </c>
      <c r="AI140" s="12">
        <f>'Inputs (2)'!AD13</f>
        <v>-524.206</v>
      </c>
      <c r="AJ140" s="12">
        <f>-MAX(0,AJ139)*Control!$E$15</f>
        <v>0</v>
      </c>
      <c r="AK140" s="12">
        <f>-MAX(0,AK139)*Control!$E$15</f>
        <v>0</v>
      </c>
      <c r="AL140" s="12">
        <f>SUM(AH140:AK140)</f>
        <v>-524.206</v>
      </c>
      <c r="AM140" s="12">
        <f>-MAX(0,AM139)*Control!$E$15</f>
        <v>0</v>
      </c>
      <c r="AN140" s="12">
        <f>-MAX(0,AN139)*Control!$E$15</f>
        <v>0</v>
      </c>
      <c r="AO140" s="12">
        <f>-MAX(0,AO139)*Control!$E$15</f>
        <v>0</v>
      </c>
      <c r="AP140" s="12">
        <f>-MAX(0,AP139)*Control!$E$15</f>
        <v>0</v>
      </c>
      <c r="AQ140" s="12">
        <f>SUM(AM140:AP140)</f>
        <v>0</v>
      </c>
      <c r="AR140" s="12">
        <f>-MAX(0,AR139)*Control!$E$15</f>
        <v>0</v>
      </c>
      <c r="AS140" s="12">
        <f>-MAX(0,AS139)*Control!$E$15</f>
        <v>0</v>
      </c>
      <c r="AT140" s="12">
        <f>-MAX(0,AT139)*Control!$E$15</f>
        <v>0</v>
      </c>
      <c r="AU140" s="12">
        <f>-MAX(0,AU139)*Control!$E$15</f>
        <v>0</v>
      </c>
      <c r="AV140" s="12">
        <f>SUM(AR140:AU140)</f>
        <v>0</v>
      </c>
      <c r="AW140" s="12">
        <f>-MAX(0,AW139)*Control!$E$15</f>
        <v>0</v>
      </c>
      <c r="AX140" s="12">
        <f>-MAX(0,AX139)*Control!$E$15</f>
        <v>0</v>
      </c>
      <c r="AY140" s="12">
        <f>-MAX(0,AY139)*Control!$E$15</f>
        <v>0</v>
      </c>
      <c r="AZ140" s="12">
        <f>-MAX(0,AZ139)*Control!$E$15</f>
        <v>0</v>
      </c>
      <c r="BA140" s="12">
        <f>SUM(AW140:AZ140)</f>
        <v>0</v>
      </c>
      <c r="BB140" s="12">
        <f>-MAX(0,BB139)*Control!$E$15</f>
        <v>0</v>
      </c>
      <c r="BC140" s="12">
        <f>-MAX(0,BC139)*Control!$E$15</f>
        <v>0</v>
      </c>
      <c r="BD140" s="12">
        <f>-MAX(0,BD139)*Control!$E$15</f>
        <v>0</v>
      </c>
      <c r="BE140" s="12">
        <f>-MAX(0,BE139)*Control!$E$15</f>
        <v>0</v>
      </c>
      <c r="BF140" s="12">
        <f>SUM(BB140:BE140)</f>
        <v>0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 hidden="1" outlineLevel="1">
      <c r="C141" s="50" t="inlineStr">
        <is>
          <t>% DVD Payout</t>
        </is>
      </c>
      <c r="D141" s="58" t="n"/>
      <c r="E141" s="58" t="n"/>
      <c r="F141" s="58" t="n"/>
      <c r="G141" s="58" t="n"/>
      <c r="H141" s="58" t="n"/>
      <c r="I141" s="58">
        <f>IF(I139=0,"",-I140/I139)</f>
        <v>0</v>
      </c>
      <c r="J141" s="58">
        <f>IF(J139=0,"",-J140/J139)</f>
        <v>0.80696588782371</v>
      </c>
      <c r="K141" s="58">
        <f>IF(K139=0,"",-K140/K139)</f>
        <v>-0.00109971908536289</v>
      </c>
      <c r="L141" s="58">
        <f>IF(L139=0,"",-L140/L139)</f>
        <v>0.000313269052933434</v>
      </c>
      <c r="M141" s="58">
        <f>IF(M139=0,"",-M140/M139)</f>
        <v>0.22721463684295</v>
      </c>
      <c r="N141" s="58">
        <f>IF(N139=0,"",-N140/N139)</f>
        <v>3.42531444386595e-06</v>
      </c>
      <c r="O141" s="58">
        <f>IF(O139=0,"",-O140/O139)</f>
        <v>1.3214067186691</v>
      </c>
      <c r="P141" s="58">
        <f>IF(P139=0,"",-P140/P139)</f>
        <v>0.00190595355874993</v>
      </c>
      <c r="Q141" s="58">
        <f>IF(Q139=0,"",-Q140/Q139)</f>
        <v>0</v>
      </c>
      <c r="R141" s="58">
        <f>IF(R139=0,"",-R140/R139)</f>
        <v>0.268638117022625</v>
      </c>
      <c r="S141" s="58">
        <f>IF(S139=0,"",-S140/S139)</f>
        <v>0</v>
      </c>
      <c r="T141" s="58">
        <f>IF(T139=0,"",-T140/T139)</f>
        <v>0.91354819145811</v>
      </c>
      <c r="U141" s="58">
        <f>IF(U139=0,"",-U140/U139)</f>
        <v>-0.00018646374036184</v>
      </c>
      <c r="V141" s="58">
        <f>IF(V139=0,"",-V140/V139)</f>
        <v>0</v>
      </c>
      <c r="W141" s="58">
        <f>IF(W139=0,"",-W140/W139)</f>
        <v>0.25645303230158</v>
      </c>
      <c r="X141" s="58">
        <f>IF(X139=0,"",-X140/X139)</f>
        <v>0</v>
      </c>
      <c r="Y141" s="58">
        <f>IF(Y139=0,"",-Y140/Y139)</f>
        <v>1.07348321068382</v>
      </c>
      <c r="Z141" s="58">
        <f>IF(Z139=0,"",-Z140/Z139)</f>
        <v>-0.000328451589149443</v>
      </c>
      <c r="AA141" s="58">
        <f>IF(AA139=0,"",-AA140/AA139)</f>
        <v>0</v>
      </c>
      <c r="AB141" s="58">
        <f>IF(AB139=0,"",-AB140/AB139)</f>
        <v>0.260829444778422</v>
      </c>
      <c r="AC141" s="58">
        <f>IF(AC139=0,"",-AC140/AC139)</f>
        <v>0</v>
      </c>
      <c r="AD141" s="58">
        <f>IF(AD139=0,"",-AD140/AD139)</f>
        <v>1.56312346502532</v>
      </c>
      <c r="AE141" s="58">
        <f>IF(AE139=0,"",-AE140/AE139)</f>
        <v>0.00124999492696864</v>
      </c>
      <c r="AF141" s="41">
        <f>IF(AF139=0,"",-AF140/AF139)</f>
        <v>2.21406707516204e-05</v>
      </c>
      <c r="AG141" s="12">
        <f>IF(AG139=0,"",-AG140/AG139)</f>
        <v>0.19847535642018</v>
      </c>
      <c r="AH141" s="41">
        <f>IF(AH139=0,"",-AH140/AH139)</f>
        <v>0</v>
      </c>
      <c r="AI141" s="41">
        <f>IF(AI139=0,"",-AI140/AI139)</f>
        <v>-1.03770906866578</v>
      </c>
      <c r="AJ141" s="41">
        <f>IF(AJ139=0,"",-AJ140/AJ139)</f>
        <v>0</v>
      </c>
      <c r="AK141" s="41">
        <f>IF(AK139=0,"",-AK140/AK139)</f>
        <v>0</v>
      </c>
      <c r="AL141" s="12">
        <f>IF(AL139=0,"",-AL140/AL139)</f>
        <v>0.39582753889141</v>
      </c>
      <c r="AM141" s="41">
        <f>IF(AM139=0,"",-AM140/AM139)</f>
        <v>0</v>
      </c>
      <c r="AN141" s="41">
        <f>IF(AN139=0,"",-AN140/AN139)</f>
        <v>0</v>
      </c>
      <c r="AO141" s="41">
        <f>IF(AO139=0,"",-AO140/AO139)</f>
        <v>0</v>
      </c>
      <c r="AP141" s="41">
        <f>IF(AP139=0,"",-AP140/AP139)</f>
        <v>0</v>
      </c>
      <c r="AQ141" s="12">
        <f>IF(AQ139=0,"",-AQ140/AQ139)</f>
        <v>0</v>
      </c>
      <c r="AR141" s="41">
        <f>IF(AR139=0,"",-AR140/AR139)</f>
        <v>0</v>
      </c>
      <c r="AS141" s="41">
        <f>IF(AS139=0,"",-AS140/AS139)</f>
        <v>0</v>
      </c>
      <c r="AT141" s="41">
        <f>IF(AT139=0,"",-AT140/AT139)</f>
        <v>0</v>
      </c>
      <c r="AU141" s="41">
        <f>IF(AU139=0,"",-AU140/AU139)</f>
        <v>0</v>
      </c>
      <c r="AV141" s="12">
        <f>IF(AV139=0,"",-AV140/AV139)</f>
        <v>0</v>
      </c>
      <c r="AW141" s="41">
        <f>IF(AW139=0,"",-AW140/AW139)</f>
        <v>0</v>
      </c>
      <c r="AX141" s="41">
        <f>IF(AX139=0,"",-AX140/AX139)</f>
        <v>0</v>
      </c>
      <c r="AY141" s="41">
        <f>IF(AY139=0,"",-AY140/AY139)</f>
        <v>0</v>
      </c>
      <c r="AZ141" s="41">
        <f>IF(AZ139=0,"",-AZ140/AZ139)</f>
        <v>0</v>
      </c>
      <c r="BA141" s="12">
        <f>IF(BA139=0,"",-BA140/BA139)</f>
        <v>0</v>
      </c>
      <c r="BB141" s="41">
        <f>IF(BB139=0,"",-BB140/BB139)</f>
        <v>0</v>
      </c>
      <c r="BC141" s="41">
        <f>IF(BC139=0,"",-BC140/BC139)</f>
        <v>0</v>
      </c>
      <c r="BD141" s="41">
        <f>IF(BD139=0,"",-BD140/BD139)</f>
        <v>0</v>
      </c>
      <c r="BE141" s="41">
        <f>IF(BE139=0,"",-BE140/BE139)</f>
        <v>0</v>
      </c>
      <c r="BF141" s="12">
        <f>IF(BF139=0,"",-BF140/BF139)</f>
        <v>0</v>
      </c>
      <c r="BG141" s="41" t="n"/>
      <c r="BH141" s="41" t="n"/>
      <c r="BI141" s="41" t="n"/>
      <c r="BJ141" s="41" t="n"/>
      <c r="BK141" s="12" t="n"/>
      <c r="BL141" s="41" t="n"/>
      <c r="BM141" s="41" t="n"/>
      <c r="BN141" s="41" t="n"/>
      <c r="BO141" s="41" t="n"/>
      <c r="BP141" s="12" t="n"/>
      <c r="BQ141" s="41" t="n"/>
      <c r="BR141" s="41" t="n"/>
      <c r="BS141" s="41" t="n"/>
      <c r="BT141" s="41" t="n"/>
      <c r="BU141" s="12" t="n"/>
      <c r="BV141" s="41" t="n"/>
      <c r="BW141" s="41" t="n"/>
      <c r="BX141" s="41" t="n"/>
      <c r="BY141" s="41" t="n"/>
      <c r="BZ141" s="12" t="n"/>
      <c r="CA141" s="41" t="n"/>
      <c r="CB141" s="41" t="n"/>
      <c r="CC141" s="41" t="n"/>
      <c r="CD141" s="41" t="n"/>
      <c r="CE141" s="12" t="n"/>
      <c r="CF141" s="41" t="n"/>
      <c r="CG141" s="41" t="n"/>
      <c r="CH141" s="41" t="n"/>
      <c r="CI141" s="41" t="n"/>
      <c r="CJ141" s="12" t="n"/>
      <c r="CK141" s="41" t="n"/>
      <c r="CL141" s="41" t="n"/>
      <c r="CM141" s="41" t="n"/>
      <c r="CN141" s="41" t="n"/>
      <c r="CO141" s="12" t="n"/>
      <c r="CP141" s="41" t="n"/>
      <c r="CQ141" s="41" t="n"/>
      <c r="CR141" s="41" t="n"/>
      <c r="CS141" s="41" t="n"/>
      <c r="CT141" s="12" t="n"/>
      <c r="CU141" s="41" t="n"/>
      <c r="CV141" s="41" t="n"/>
      <c r="CW141" s="41" t="n"/>
      <c r="CX141" s="41" t="n"/>
      <c r="CY141" s="12" t="n"/>
    </row>
    <row r="142" hidden="1" outlineLevel="1">
      <c r="C142" s="18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3" t="n"/>
      <c r="AD142" s="3" t="n"/>
      <c r="AE142" s="3" t="n"/>
      <c r="AF142" s="3" t="n"/>
      <c r="AG142" s="3" t="n"/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3" t="n"/>
      <c r="AV142" s="3" t="n"/>
      <c r="AW142" s="3" t="n"/>
      <c r="AX142" s="3" t="n"/>
      <c r="AY142" s="3" t="n"/>
      <c r="AZ142" s="3" t="n"/>
      <c r="BA142" s="3" t="n"/>
      <c r="BB142" s="3" t="n"/>
      <c r="BC142" s="3" t="n"/>
      <c r="BD142" s="3" t="n"/>
      <c r="BE142" s="3" t="n"/>
      <c r="BF142" s="3" t="n"/>
      <c r="BG142" s="3" t="n"/>
      <c r="BH142" s="3" t="n"/>
      <c r="BI142" s="3" t="n"/>
      <c r="BJ142" s="3" t="n"/>
      <c r="BK142" s="3" t="n"/>
      <c r="BL142" s="3" t="n"/>
      <c r="BM142" s="3" t="n"/>
      <c r="BN142" s="3" t="n"/>
      <c r="BO142" s="3" t="n"/>
      <c r="BP142" s="3" t="n"/>
      <c r="BQ142" s="3" t="n"/>
      <c r="BR142" s="3" t="n"/>
      <c r="BS142" s="3" t="n"/>
      <c r="BT142" s="3" t="n"/>
      <c r="BU142" s="3" t="n"/>
      <c r="BV142" s="3" t="n"/>
      <c r="BW142" s="3" t="n"/>
      <c r="BX142" s="3" t="n"/>
      <c r="BY142" s="3" t="n"/>
      <c r="BZ142" s="3" t="n"/>
      <c r="CA142" s="3" t="n"/>
      <c r="CB142" s="3" t="n"/>
      <c r="CC142" s="3" t="n"/>
      <c r="CD142" s="3" t="n"/>
      <c r="CE142" s="3" t="n"/>
      <c r="CF142" s="3" t="n"/>
      <c r="CG142" s="3" t="n"/>
      <c r="CH142" s="3" t="n"/>
      <c r="CI142" s="3" t="n"/>
      <c r="CJ142" s="3" t="n"/>
      <c r="CK142" s="3" t="n"/>
      <c r="CL142" s="3" t="n"/>
      <c r="CM142" s="3" t="n"/>
      <c r="CN142" s="3" t="n"/>
      <c r="CO142" s="3" t="n"/>
      <c r="CP142" s="3" t="n"/>
      <c r="CQ142" s="3" t="n"/>
      <c r="CR142" s="3" t="n"/>
      <c r="CS142" s="3" t="n"/>
      <c r="CT142" s="3" t="n"/>
      <c r="CU142" s="3" t="n"/>
      <c r="CV142" s="3" t="n"/>
      <c r="CW142" s="3" t="n"/>
      <c r="CX142" s="3" t="n"/>
      <c r="CY142" s="3" t="n"/>
    </row>
    <row r="143" hidden="1" outlineLevel="1">
      <c r="C143" s="18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3" t="n"/>
      <c r="AD143" s="3" t="n"/>
      <c r="AE143" s="3" t="n"/>
      <c r="AF143" s="3" t="n"/>
      <c r="AG143" s="3" t="n"/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3" t="n"/>
      <c r="AV143" s="3" t="n"/>
      <c r="AW143" s="3" t="n"/>
      <c r="AX143" s="3" t="n"/>
      <c r="AY143" s="3" t="n"/>
      <c r="AZ143" s="3" t="n"/>
      <c r="BA143" s="3" t="n"/>
      <c r="BB143" s="3" t="n"/>
      <c r="BC143" s="3" t="n"/>
      <c r="BD143" s="3" t="n"/>
      <c r="BE143" s="3" t="n"/>
      <c r="BF143" s="3" t="n"/>
      <c r="BG143" s="3" t="n"/>
      <c r="BH143" s="3" t="n"/>
      <c r="BI143" s="3" t="n"/>
      <c r="BJ143" s="3" t="n"/>
      <c r="BK143" s="3" t="n"/>
      <c r="BL143" s="3" t="n"/>
      <c r="BM143" s="3" t="n"/>
      <c r="BN143" s="3" t="n"/>
      <c r="BO143" s="3" t="n"/>
      <c r="BP143" s="3" t="n"/>
      <c r="BQ143" s="3" t="n"/>
      <c r="BR143" s="3" t="n"/>
      <c r="BS143" s="3" t="n"/>
      <c r="BT143" s="3" t="n"/>
      <c r="BU143" s="3" t="n"/>
      <c r="BV143" s="3" t="n"/>
      <c r="BW143" s="3" t="n"/>
      <c r="BX143" s="3" t="n"/>
      <c r="BY143" s="3" t="n"/>
      <c r="BZ143" s="3" t="n"/>
      <c r="CA143" s="3" t="n"/>
      <c r="CB143" s="3" t="n"/>
      <c r="CC143" s="3" t="n"/>
      <c r="CD143" s="3" t="n"/>
      <c r="CE143" s="3" t="n"/>
      <c r="CF143" s="3" t="n"/>
      <c r="CG143" s="3" t="n"/>
      <c r="CH143" s="3" t="n"/>
      <c r="CI143" s="3" t="n"/>
      <c r="CJ143" s="3" t="n"/>
      <c r="CK143" s="3" t="n"/>
      <c r="CL143" s="3" t="n"/>
      <c r="CM143" s="3" t="n"/>
      <c r="CN143" s="3" t="n"/>
      <c r="CO143" s="3" t="n"/>
      <c r="CP143" s="3" t="n"/>
      <c r="CQ143" s="3" t="n"/>
      <c r="CR143" s="3" t="n"/>
      <c r="CS143" s="3" t="n"/>
      <c r="CT143" s="3" t="n"/>
      <c r="CU143" s="3" t="n"/>
      <c r="CV143" s="3" t="n"/>
      <c r="CW143" s="3" t="n"/>
      <c r="CX143" s="3" t="n"/>
      <c r="CY143" s="3" t="n"/>
    </row>
    <row r="144" collapsed="1" ht="11.25" customHeight="1">
      <c r="C144" s="31" t="inlineStr">
        <is>
          <t>Balance Sheet</t>
        </is>
      </c>
      <c r="D144" s="31" t="n"/>
      <c r="E144" s="31" t="n"/>
      <c r="F144" s="31" t="n"/>
      <c r="G144" s="31" t="n"/>
      <c r="H144" s="31" t="n"/>
      <c r="I144" s="31" t="str">
        <f>I13</f>
        <v>1Q21</v>
      </c>
      <c r="J144" s="31" t="str">
        <f>J13</f>
        <v>2Q21</v>
      </c>
      <c r="K144" s="31" t="str">
        <f>K13</f>
        <v>3Q21</v>
      </c>
      <c r="L144" s="31" t="str">
        <f>L13</f>
        <v>4Q21</v>
      </c>
      <c r="M144" s="31">
        <f>M13</f>
        <v>2021</v>
      </c>
      <c r="N144" s="31" t="str">
        <f>N13</f>
        <v>1Q22</v>
      </c>
      <c r="O144" s="31" t="str">
        <f>O13</f>
        <v>2Q22</v>
      </c>
      <c r="P144" s="31" t="str">
        <f>P13</f>
        <v>3Q22</v>
      </c>
      <c r="Q144" s="31" t="str">
        <f>Q13</f>
        <v>4Q22</v>
      </c>
      <c r="R144" s="31">
        <f>R13</f>
        <v>2022</v>
      </c>
      <c r="S144" s="31" t="str">
        <f>S13</f>
        <v>1Q23</v>
      </c>
      <c r="T144" s="31" t="str">
        <f>T13</f>
        <v>2Q23</v>
      </c>
      <c r="U144" s="31" t="str">
        <f>U13</f>
        <v>3Q23</v>
      </c>
      <c r="V144" s="31" t="str">
        <f>V13</f>
        <v>4Q23</v>
      </c>
      <c r="W144" s="31">
        <f>W13</f>
        <v>2023</v>
      </c>
      <c r="X144" s="31" t="str">
        <f>X13</f>
        <v>1Q24</v>
      </c>
      <c r="Y144" s="31" t="str">
        <f>Y13</f>
        <v>2Q24</v>
      </c>
      <c r="Z144" s="31" t="str">
        <f>Z13</f>
        <v>3Q24</v>
      </c>
      <c r="AA144" s="31" t="str">
        <f>AA13</f>
        <v>4Q24</v>
      </c>
      <c r="AB144" s="31">
        <f>AB13</f>
        <v>2024</v>
      </c>
      <c r="AC144" s="31" t="str">
        <f>AC13</f>
        <v>1Q25</v>
      </c>
      <c r="AD144" s="31" t="str">
        <f>AD13</f>
        <v>2Q25</v>
      </c>
      <c r="AE144" s="31" t="str">
        <f>AE13</f>
        <v>3Q25</v>
      </c>
      <c r="AF144" s="31" t="str">
        <f>AF13</f>
        <v>4Q25</v>
      </c>
      <c r="AG144" s="31">
        <f>AG13</f>
        <v>2025</v>
      </c>
      <c r="AH144" s="31" t="str">
        <f>AH13</f>
        <v>1Q26</v>
      </c>
      <c r="AI144" s="31" t="str">
        <f>AI13</f>
        <v>2Q26</v>
      </c>
      <c r="AJ144" s="31" t="str">
        <f>AJ13</f>
        <v>3Q26</v>
      </c>
      <c r="AK144" s="31" t="str">
        <f>AK13</f>
        <v>4Q26</v>
      </c>
      <c r="AL144" s="31">
        <f>AL13</f>
        <v>2026</v>
      </c>
      <c r="AM144" s="31" t="str">
        <f>AM13</f>
        <v>1Q27</v>
      </c>
      <c r="AN144" s="31" t="str">
        <f>AN13</f>
        <v>2Q27</v>
      </c>
      <c r="AO144" s="31" t="str">
        <f>AO13</f>
        <v>3Q27</v>
      </c>
      <c r="AP144" s="31" t="str">
        <f>AP13</f>
        <v>4Q27</v>
      </c>
      <c r="AQ144" s="31">
        <f>AQ13</f>
        <v>2027</v>
      </c>
      <c r="AR144" s="31" t="str">
        <f>AR13</f>
        <v>1Q28</v>
      </c>
      <c r="AS144" s="31" t="str">
        <f>AS13</f>
        <v>2Q28</v>
      </c>
      <c r="AT144" s="31" t="str">
        <f>AT13</f>
        <v>3Q28</v>
      </c>
      <c r="AU144" s="31" t="str">
        <f>AU13</f>
        <v>4Q28</v>
      </c>
      <c r="AV144" s="31">
        <f>AV13</f>
        <v>2028</v>
      </c>
      <c r="AW144" s="31" t="str">
        <f>AW13</f>
        <v>1Q29</v>
      </c>
      <c r="AX144" s="31" t="str">
        <f>AX13</f>
        <v>2Q29</v>
      </c>
      <c r="AY144" s="31" t="str">
        <f>AY13</f>
        <v>3Q29</v>
      </c>
      <c r="AZ144" s="31" t="str">
        <f>AZ13</f>
        <v>4Q29</v>
      </c>
      <c r="BA144" s="31">
        <f>BA13</f>
        <v>2029</v>
      </c>
      <c r="BB144" s="31" t="str">
        <f>BB13</f>
        <v>1Q30</v>
      </c>
      <c r="BC144" s="31" t="str">
        <f>BC13</f>
        <v>2Q30</v>
      </c>
      <c r="BD144" s="31" t="str">
        <f>BD13</f>
        <v>3Q30</v>
      </c>
      <c r="BE144" s="31" t="str">
        <f>BE13</f>
        <v>4Q30</v>
      </c>
      <c r="BF144" s="31">
        <f>BF13</f>
        <v>2030</v>
      </c>
      <c r="BG144" s="31" t="n"/>
      <c r="BH144" s="31" t="n"/>
      <c r="BI144" s="31" t="n"/>
      <c r="BJ144" s="31" t="n"/>
      <c r="BK144" s="31" t="n"/>
      <c r="BL144" s="31" t="n"/>
      <c r="BM144" s="31" t="n"/>
      <c r="BN144" s="31" t="n"/>
      <c r="BO144" s="31" t="n"/>
      <c r="BP144" s="31" t="n"/>
      <c r="BQ144" s="31" t="n"/>
      <c r="BR144" s="31" t="n"/>
      <c r="BS144" s="31" t="n"/>
      <c r="BT144" s="31" t="n"/>
      <c r="BU144" s="31" t="n"/>
      <c r="BV144" s="31" t="n"/>
      <c r="BW144" s="31" t="n"/>
      <c r="BX144" s="31" t="n"/>
      <c r="BY144" s="31" t="n"/>
      <c r="BZ144" s="31" t="n"/>
      <c r="CA144" s="31" t="n"/>
      <c r="CB144" s="31" t="n"/>
      <c r="CC144" s="31" t="n"/>
      <c r="CD144" s="31" t="n"/>
      <c r="CE144" s="31" t="n"/>
      <c r="CF144" s="31" t="n"/>
      <c r="CG144" s="31" t="n"/>
      <c r="CH144" s="31" t="n"/>
      <c r="CI144" s="31" t="n"/>
      <c r="CJ144" s="31" t="n"/>
      <c r="CK144" s="31" t="n"/>
      <c r="CL144" s="31" t="n"/>
      <c r="CM144" s="31" t="n"/>
      <c r="CN144" s="31" t="n"/>
      <c r="CO144" s="31" t="n"/>
      <c r="CP144" s="31" t="n"/>
      <c r="CQ144" s="31" t="n"/>
      <c r="CR144" s="31" t="n"/>
      <c r="CS144" s="31" t="n"/>
      <c r="CT144" s="31" t="n"/>
      <c r="CU144" s="31" t="n"/>
      <c r="CV144" s="31" t="n"/>
      <c r="CW144" s="31" t="n"/>
      <c r="CX144" s="31" t="n"/>
      <c r="CY144" s="31" t="n"/>
    </row>
    <row r="145">
      <c r="C145" s="18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3" t="n"/>
      <c r="AD145" s="3" t="n"/>
      <c r="AE145" s="3" t="n"/>
      <c r="AF145" s="3" t="n"/>
      <c r="AG145" s="3" t="n"/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3" t="n"/>
      <c r="AV145" s="3" t="n"/>
      <c r="AW145" s="3" t="n"/>
      <c r="AX145" s="3" t="n"/>
      <c r="AY145" s="3" t="n"/>
      <c r="AZ145" s="3" t="n"/>
      <c r="BA145" s="3" t="n"/>
      <c r="BB145" s="3" t="n"/>
      <c r="BC145" s="3" t="n"/>
      <c r="BD145" s="3" t="n"/>
      <c r="BE145" s="3" t="n"/>
      <c r="BF145" s="3" t="n"/>
      <c r="BG145" s="3" t="n"/>
      <c r="BH145" s="3" t="n"/>
      <c r="BI145" s="3" t="n"/>
      <c r="BJ145" s="3" t="n"/>
      <c r="BK145" s="3" t="n"/>
      <c r="BL145" s="3" t="n"/>
      <c r="BM145" s="3" t="n"/>
      <c r="BN145" s="3" t="n"/>
      <c r="BO145" s="3" t="n"/>
      <c r="BP145" s="3" t="n"/>
      <c r="BQ145" s="3" t="n"/>
      <c r="BR145" s="3" t="n"/>
      <c r="BS145" s="3" t="n"/>
      <c r="BT145" s="3" t="n"/>
      <c r="BU145" s="3" t="n"/>
      <c r="BV145" s="3" t="n"/>
      <c r="BW145" s="3" t="n"/>
      <c r="BX145" s="3" t="n"/>
      <c r="BY145" s="3" t="n"/>
      <c r="BZ145" s="3" t="n"/>
      <c r="CA145" s="3" t="n"/>
      <c r="CB145" s="3" t="n"/>
      <c r="CC145" s="3" t="n"/>
      <c r="CD145" s="3" t="n"/>
      <c r="CE145" s="3" t="n"/>
      <c r="CF145" s="3" t="n"/>
      <c r="CG145" s="3" t="n"/>
      <c r="CH145" s="3" t="n"/>
      <c r="CI145" s="3" t="n"/>
      <c r="CJ145" s="3" t="n"/>
      <c r="CK145" s="3" t="n"/>
      <c r="CL145" s="3" t="n"/>
      <c r="CM145" s="3" t="n"/>
      <c r="CN145" s="3" t="n"/>
      <c r="CO145" s="3" t="n"/>
      <c r="CP145" s="3" t="n"/>
      <c r="CQ145" s="3" t="n"/>
      <c r="CR145" s="3" t="n"/>
      <c r="CS145" s="3" t="n"/>
      <c r="CT145" s="3" t="n"/>
      <c r="CU145" s="3" t="n"/>
      <c r="CV145" s="3" t="n"/>
      <c r="CW145" s="3" t="n"/>
      <c r="CX145" s="3" t="n"/>
      <c r="CY145" s="3" t="n"/>
    </row>
    <row r="146">
      <c r="C146" s="13" t="inlineStr">
        <is>
          <t>Cash and equivalents (inc. investment securities)</t>
        </is>
      </c>
      <c r="D146" s="46" t="n"/>
      <c r="E146" s="46" t="n"/>
      <c r="F146" s="46" t="n"/>
      <c r="G146" s="46" t="n"/>
      <c r="H146" s="12" t="n"/>
      <c r="I146" s="46">
        <f>'Inputs (2)'!D15</f>
        <v>1324.367</v>
      </c>
      <c r="J146" s="46">
        <f>'Inputs (2)'!E15</f>
        <v>988.297</v>
      </c>
      <c r="K146" s="46">
        <f>'Inputs (2)'!F15</f>
        <v>1070.842</v>
      </c>
      <c r="L146" s="46">
        <f>'Inputs (2)'!G15</f>
        <v>983.127</v>
      </c>
      <c r="M146" s="12">
        <f>'Inputs (2)'!H15</f>
        <v>983.127</v>
      </c>
      <c r="N146" s="46">
        <f>'Inputs (2)'!I15</f>
        <v>1590.807</v>
      </c>
      <c r="O146" s="46">
        <f>'Inputs (2)'!J15</f>
        <v>1233.229</v>
      </c>
      <c r="P146" s="46">
        <f>'Inputs (2)'!K15</f>
        <v>1227.491</v>
      </c>
      <c r="Q146" s="46">
        <f>'Inputs (2)'!L15</f>
        <v>1207.932</v>
      </c>
      <c r="R146" s="12">
        <f>'Inputs (2)'!M15</f>
        <v>1207.932</v>
      </c>
      <c r="S146" s="46">
        <f>'Inputs (2)'!N15</f>
        <v>1212.661</v>
      </c>
      <c r="T146" s="46">
        <f>'Inputs (2)'!O15</f>
        <v>1154.117</v>
      </c>
      <c r="U146" s="46">
        <f>'Inputs (2)'!P15</f>
        <v>1276.092</v>
      </c>
      <c r="V146" s="46">
        <f>'Inputs (2)'!Q15</f>
        <v>1285.158</v>
      </c>
      <c r="W146" s="12">
        <f>'Inputs (2)'!R15</f>
        <v>1285.158</v>
      </c>
      <c r="X146" s="46">
        <f>'Inputs (2)'!S15</f>
        <v>1913.309</v>
      </c>
      <c r="Y146" s="46">
        <f>'Inputs (2)'!T15</f>
        <v>1438.986</v>
      </c>
      <c r="Z146" s="46">
        <f>'Inputs (2)'!U15</f>
        <v>1674.736</v>
      </c>
      <c r="AA146" s="46">
        <f>'Inputs (2)'!V15</f>
        <v>1800.757</v>
      </c>
      <c r="AB146" s="12">
        <f>'Inputs (2)'!W15</f>
        <v>1800.757</v>
      </c>
      <c r="AC146" s="46">
        <f>'Inputs (2)'!X15</f>
        <v>1848.624</v>
      </c>
      <c r="AD146" s="46">
        <f>'Inputs (2)'!Y15</f>
        <v>1396.323</v>
      </c>
      <c r="AE146" s="46">
        <f>'Inputs (2)'!Z15</f>
        <v>5880.009</v>
      </c>
      <c r="AF146" s="46">
        <f>'Inputs (2)'!AA15</f>
        <v>5608.131</v>
      </c>
      <c r="AG146" s="12">
        <f>'Inputs (2)'!AB15</f>
        <v>5608.131</v>
      </c>
      <c r="AH146" s="12">
        <f>'Inputs (2)'!AC15</f>
        <v>5359.482</v>
      </c>
      <c r="AI146" s="12">
        <f>'Inputs (2)'!AD15</f>
        <v>4662.453</v>
      </c>
      <c r="AJ146" s="12">
        <f>AJ275-SUM(AJ147,AJ151,AJ155,AJ156,AJ157,AJ163,AJ168,AJ178,AJ181,AJ182,AJ191)</f>
        <v>5371.33632599092</v>
      </c>
      <c r="AK146" s="12">
        <f>AK275-SUM(AK147,AK151,AK155,AK156,AK157,AK163,AK168,AK178,AK181,AK182,AK191)</f>
        <v>6085.18191188795</v>
      </c>
      <c r="AL146" s="12">
        <f>AK146</f>
        <v>6085.18191188795</v>
      </c>
      <c r="AM146" s="12">
        <f>AM275-SUM(AM147,AM151,AM155,AM156,AM157,AM163,AM168,AM178,AM181,AM182,AM191)</f>
        <v>6815.5749449026</v>
      </c>
      <c r="AN146" s="12">
        <f>AN275-SUM(AN147,AN151,AN155,AN156,AN157,AN163,AN168,AN178,AN181,AN182,AN191)</f>
        <v>7613.01150972169</v>
      </c>
      <c r="AO146" s="12">
        <f>AO275-SUM(AO147,AO151,AO155,AO156,AO157,AO163,AO168,AO178,AO181,AO182,AO191)</f>
        <v>8384.92164074801</v>
      </c>
      <c r="AP146" s="12">
        <f>AP275-SUM(AP147,AP151,AP155,AP156,AP157,AP163,AP168,AP178,AP181,AP182,AP191)</f>
        <v>9148.6395968265</v>
      </c>
      <c r="AQ146" s="12">
        <f>AP146</f>
        <v>9148.6395968265</v>
      </c>
      <c r="AR146" s="12">
        <f>AR275-SUM(AR147,AR151,AR155,AR156,AR157,AR163,AR168,AR178,AR181,AR182,AR191)</f>
        <v>9942.11524850755</v>
      </c>
      <c r="AS146" s="12">
        <f>AS275-SUM(AS147,AS151,AS155,AS156,AS157,AS163,AS168,AS178,AS181,AS182,AS191)</f>
        <v>10778.4854751247</v>
      </c>
      <c r="AT146" s="12">
        <f>AT275-SUM(AT147,AT151,AT155,AT156,AT157,AT163,AT168,AT178,AT181,AT182,AT191)</f>
        <v>11599.5481812112</v>
      </c>
      <c r="AU146" s="12">
        <f>AU275-SUM(AU147,AU151,AU155,AU156,AU157,AU163,AU168,AU178,AU181,AU182,AU191)</f>
        <v>12411.9409989224</v>
      </c>
      <c r="AV146" s="12">
        <f>AU146</f>
        <v>12411.9409989224</v>
      </c>
      <c r="AW146" s="12">
        <f>AW275-SUM(AW147,AW151,AW155,AW156,AW157,AW163,AW168,AW178,AW181,AW182,AW191)</f>
        <v>13244.5195495586</v>
      </c>
      <c r="AX146" s="12">
        <f>AX275-SUM(AX147,AX151,AX155,AX156,AX157,AX163,AX168,AX178,AX181,AX182,AX191)</f>
        <v>14142.1960065686</v>
      </c>
      <c r="AY146" s="12">
        <f>AY275-SUM(AY147,AY151,AY155,AY156,AY157,AY163,AY168,AY178,AY181,AY182,AY191)</f>
        <v>15011.271853308</v>
      </c>
      <c r="AZ146" s="12">
        <f>AZ275-SUM(AZ147,AZ151,AZ155,AZ156,AZ157,AZ163,AZ168,AZ178,AZ181,AZ182,AZ191)</f>
        <v>15871.1913130524</v>
      </c>
      <c r="BA146" s="12">
        <f>AZ146</f>
        <v>15871.1913130524</v>
      </c>
      <c r="BB146" s="12">
        <f>BB275-SUM(BB147,BB151,BB155,BB156,BB157,BB163,BB168,BB178,BB181,BB182,BB191)</f>
        <v>16753.5391864856</v>
      </c>
      <c r="BC146" s="12">
        <f>BC275-SUM(BC147,BC151,BC155,BC156,BC157,BC163,BC168,BC178,BC181,BC182,BC191)</f>
        <v>17698.9159965215</v>
      </c>
      <c r="BD146" s="12">
        <f>BD275-SUM(BD147,BD151,BD155,BD156,BD157,BD163,BD168,BD178,BD181,BD182,BD191)</f>
        <v>18614.194498131</v>
      </c>
      <c r="BE146" s="12">
        <f>BE275-SUM(BE147,BE151,BE155,BE156,BE157,BE163,BE168,BE178,BE181,BE182,BE191)</f>
        <v>19519.8202515806</v>
      </c>
      <c r="BF146" s="12">
        <f>BE146</f>
        <v>19519.8202515806</v>
      </c>
      <c r="BG146" s="12" t="n"/>
      <c r="BH146" s="12" t="n"/>
      <c r="BI146" s="12" t="n"/>
      <c r="BJ146" s="12" t="n"/>
      <c r="BK146" s="12" t="n"/>
      <c r="BL146" s="12" t="n"/>
      <c r="BM146" s="12" t="n"/>
      <c r="BN146" s="12" t="n"/>
      <c r="BO146" s="12" t="n"/>
      <c r="BP146" s="12" t="n"/>
      <c r="BQ146" s="12" t="n"/>
      <c r="BR146" s="12" t="n"/>
      <c r="BS146" s="12" t="n"/>
      <c r="BT146" s="12" t="n"/>
      <c r="BU146" s="12" t="n"/>
      <c r="BV146" s="12" t="n"/>
      <c r="BW146" s="12" t="n"/>
      <c r="BX146" s="12" t="n"/>
      <c r="BY146" s="12" t="n"/>
      <c r="BZ146" s="12" t="n"/>
      <c r="CA146" s="12" t="n"/>
      <c r="CB146" s="12" t="n"/>
      <c r="CC146" s="12" t="n"/>
      <c r="CD146" s="12" t="n"/>
      <c r="CE146" s="12" t="n"/>
      <c r="CF146" s="12" t="n"/>
      <c r="CG146" s="12" t="n"/>
      <c r="CH146" s="12" t="n"/>
      <c r="CI146" s="12" t="n"/>
      <c r="CJ146" s="12" t="n"/>
      <c r="CK146" s="12" t="n"/>
      <c r="CL146" s="12" t="n"/>
      <c r="CM146" s="12" t="n"/>
      <c r="CN146" s="12" t="n"/>
      <c r="CO146" s="12" t="n"/>
      <c r="CP146" s="12" t="n"/>
      <c r="CQ146" s="12" t="n"/>
      <c r="CR146" s="12" t="n"/>
      <c r="CS146" s="12" t="n"/>
      <c r="CT146" s="12" t="n"/>
      <c r="CU146" s="12" t="n"/>
      <c r="CV146" s="12" t="n"/>
      <c r="CW146" s="12" t="n"/>
      <c r="CX146" s="12" t="n"/>
      <c r="CY146" s="12" t="n"/>
    </row>
    <row r="147">
      <c r="C147" s="14" t="inlineStr">
        <is>
          <t>Accounts receivable</t>
        </is>
      </c>
      <c r="D147" s="46" t="n"/>
      <c r="E147" s="46" t="n"/>
      <c r="F147" s="46" t="n"/>
      <c r="G147" s="46" t="n"/>
      <c r="H147" s="12" t="n"/>
      <c r="I147" s="46">
        <f>'Inputs (2)'!D16</f>
        <v>842.378</v>
      </c>
      <c r="J147" s="46">
        <f>'Inputs (2)'!E16</f>
        <v>872.358</v>
      </c>
      <c r="K147" s="46">
        <f>'Inputs (2)'!F16</f>
        <v>919.472</v>
      </c>
      <c r="L147" s="46">
        <f>'Inputs (2)'!G16</f>
        <v>971.478</v>
      </c>
      <c r="M147" s="12">
        <f>'Inputs (2)'!H16</f>
        <v>971.478</v>
      </c>
      <c r="N147" s="46">
        <f>'Inputs (2)'!I16</f>
        <v>1025.326</v>
      </c>
      <c r="O147" s="46">
        <f>'Inputs (2)'!J16</f>
        <v>1028.188</v>
      </c>
      <c r="P147" s="46">
        <f>'Inputs (2)'!K16</f>
        <v>1040.436</v>
      </c>
      <c r="Q147" s="46">
        <f>'Inputs (2)'!L16</f>
        <v>1086.163</v>
      </c>
      <c r="R147" s="12">
        <f>'Inputs (2)'!M16</f>
        <v>1086.163</v>
      </c>
      <c r="S147" s="46">
        <f>'Inputs (2)'!N16</f>
        <v>1138.055</v>
      </c>
      <c r="T147" s="46">
        <f>'Inputs (2)'!O16</f>
        <v>1203.134</v>
      </c>
      <c r="U147" s="46">
        <f>'Inputs (2)'!P16</f>
        <v>1250.471</v>
      </c>
      <c r="V147" s="46">
        <f>'Inputs (2)'!Q16</f>
        <v>1260.202</v>
      </c>
      <c r="W147" s="12">
        <f>'Inputs (2)'!R16</f>
        <v>1260.202</v>
      </c>
      <c r="X147" s="46">
        <f>'Inputs (2)'!S16</f>
        <v>1298.407</v>
      </c>
      <c r="Y147" s="46">
        <f>'Inputs (2)'!T16</f>
        <v>1264.758</v>
      </c>
      <c r="Z147" s="46">
        <f>'Inputs (2)'!U16</f>
        <v>1269.984</v>
      </c>
      <c r="AA147" s="46">
        <f>'Inputs (2)'!V16</f>
        <v>1250.811</v>
      </c>
      <c r="AB147" s="12">
        <f>'Inputs (2)'!W16</f>
        <v>1250.811</v>
      </c>
      <c r="AC147" s="46">
        <f>'Inputs (2)'!X16</f>
        <v>1229.524</v>
      </c>
      <c r="AD147" s="46">
        <f>'Inputs (2)'!Y16</f>
        <v>1170.895</v>
      </c>
      <c r="AE147" s="46">
        <f>'Inputs (2)'!Z16</f>
        <v>1215.76</v>
      </c>
      <c r="AF147" s="46">
        <f>'Inputs (2)'!AA16</f>
        <v>1175.286</v>
      </c>
      <c r="AG147" s="12">
        <f>'Inputs (2)'!AB16</f>
        <v>1175.286</v>
      </c>
      <c r="AH147" s="12">
        <f>'Inputs (2)'!AC16</f>
        <v>1219.931</v>
      </c>
      <c r="AI147" s="12">
        <f>'Inputs (2)'!AD16</f>
        <v>1187.333</v>
      </c>
      <c r="AJ147" s="12">
        <f>(AJ148/(AJ$5-AI$5))*AJ$15</f>
        <v>1241.94256187426</v>
      </c>
      <c r="AK147" s="12">
        <f>(AK148/(AK$5-AJ$5))*AK$15</f>
        <v>1301.68025717144</v>
      </c>
      <c r="AL147" s="12">
        <f>AK147</f>
        <v>1301.68025717144</v>
      </c>
      <c r="AM147" s="12">
        <f>(AM148/(AM$5-AL$5))*AM$15</f>
        <v>1369.59121898231</v>
      </c>
      <c r="AN147" s="12">
        <f>(AN148/(AN$5-AM$5))*AN$15</f>
        <v>1323.08856597457</v>
      </c>
      <c r="AO147" s="12">
        <f>(AO148/(AO$5-AN$5))*AO$15</f>
        <v>1324.87538539995</v>
      </c>
      <c r="AP147" s="12">
        <f>(AP148/(AP$5-AO$5))*AP$15</f>
        <v>1388.60216674185</v>
      </c>
      <c r="AQ147" s="12">
        <f>AP147</f>
        <v>1388.60216674185</v>
      </c>
      <c r="AR147" s="12">
        <f>(AR148/(AR$5-AQ$5))*AR$15</f>
        <v>1438.21982200854</v>
      </c>
      <c r="AS147" s="12">
        <f>(AS148/(AS$5-AR$5))*AS$15</f>
        <v>1404.82460888911</v>
      </c>
      <c r="AT147" s="12">
        <f>(AT148/(AT$5-AS$5))*AT$15</f>
        <v>1406.72181211872</v>
      </c>
      <c r="AU147" s="12">
        <f>(AU148/(AU$5-AT$5))*AU$15</f>
        <v>1474.38542359317</v>
      </c>
      <c r="AV147" s="12">
        <f>AU147</f>
        <v>1474.38542359317</v>
      </c>
      <c r="AW147" s="12">
        <f>(AW148/(AW$5-AV$5))*AW$15</f>
        <v>1536.76471904533</v>
      </c>
      <c r="AX147" s="12">
        <f>(AX148/(AX$5-AW$5))*AX$15</f>
        <v>1484.58591160715</v>
      </c>
      <c r="AY147" s="12">
        <f>(AY148/(AY$5-AX$5))*AY$15</f>
        <v>1486.59083177177</v>
      </c>
      <c r="AZ147" s="12">
        <f>(AZ148/(AZ$5-AY$5))*AZ$15</f>
        <v>1558.09615968802</v>
      </c>
      <c r="BA147" s="12">
        <f>AZ147</f>
        <v>1558.09615968802</v>
      </c>
      <c r="BB147" s="12">
        <f>(BB148/(BB$5-BA$5))*BB$15</f>
        <v>1616.33332197123</v>
      </c>
      <c r="BC147" s="12">
        <f>(BC148/(BC$5-BB$5))*BC$15</f>
        <v>1561.45286817252</v>
      </c>
      <c r="BD147" s="12">
        <f>(BD148/(BD$5-BC$5))*BD$15</f>
        <v>1563.56159648325</v>
      </c>
      <c r="BE147" s="12">
        <f>(BE148/(BE$5-BD$5))*BE$15</f>
        <v>1638.76923417635</v>
      </c>
      <c r="BF147" s="12">
        <f>BE147</f>
        <v>1638.76923417635</v>
      </c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inlineStr">
        <is>
          <t>DSO</t>
        </is>
      </c>
      <c r="D148" s="12" t="n"/>
      <c r="E148" s="12" t="n"/>
      <c r="F148" s="12" t="n"/>
      <c r="G148" s="12" t="n"/>
      <c r="H148" s="12" t="n"/>
      <c r="I148" s="12">
        <f>IFERROR((I147/I$15)*(I$5-H$5),"")</f>
        <v>61.8145157345109</v>
      </c>
      <c r="J148" s="12">
        <f>IFERROR((J147/J$15)*(J$5-I$5),"")</f>
        <v>62.3411840372424</v>
      </c>
      <c r="K148" s="12">
        <f>IFERROR((K147/K$15)*(K$5-J$5),"")</f>
        <v>64.0184537143549</v>
      </c>
      <c r="L148" s="12">
        <f>IFERROR((L147/L$15)*(L$5-K$5),"")</f>
        <v>64.6159745573086</v>
      </c>
      <c r="M148" s="12" t="n"/>
      <c r="N148" s="12">
        <f>IFERROR((N147/N$15)*(N$5-M$5),"")</f>
        <v>65.5932506990835</v>
      </c>
      <c r="O148" s="12">
        <f>IFERROR((O147/O$15)*(O$5-N$5),"")</f>
        <v>68.8427731910445</v>
      </c>
      <c r="P148" s="12">
        <f>IFERROR((P147/P$15)*(P$5-O$5),"")</f>
        <v>66.8220018094696</v>
      </c>
      <c r="Q148" s="12">
        <f>IFERROR((Q147/Q$15)*(Q$5-P$5),"")</f>
        <v>67.7366454541264</v>
      </c>
      <c r="R148" s="12" t="n"/>
      <c r="S148" s="12">
        <f>IFERROR((S147/S$15)*(S$5-R$5),"")</f>
        <v>70.4453620896818</v>
      </c>
      <c r="T148" s="12">
        <f>IFERROR((T147/T$15)*(T$5-S$5),"")</f>
        <v>71.2780774321318</v>
      </c>
      <c r="U148" s="12">
        <f>IFERROR((U147/U$15)*(U$5-T$5),"")</f>
        <v>71.6434496467751</v>
      </c>
      <c r="V148" s="12">
        <f>IFERROR((V147/V$15)*(V$5-U$5),"")</f>
        <v>68.3210196067339</v>
      </c>
      <c r="W148" s="12" t="n"/>
      <c r="X148" s="12">
        <f>IFERROR((X147/X$15)*(X$5-W$5),"")</f>
        <v>69.5843356819622</v>
      </c>
      <c r="Y148" s="12">
        <f>IFERROR((Y147/Y$15)*(Y$5-X$5),"")</f>
        <v>69.1559799838005</v>
      </c>
      <c r="Z148" s="12">
        <f>IFERROR((Z147/Z$15)*(Z$5-Y$5),"")</f>
        <v>68.3366952322798</v>
      </c>
      <c r="AA148" s="12">
        <f>IFERROR((AA147/AA$15)*(AA$5-Z$5),"")</f>
        <v>64.7867123595392</v>
      </c>
      <c r="AB148" s="12" t="n"/>
      <c r="AC148" s="12">
        <f>IFERROR((AC147/AC$15)*(AC$5-AB$5),"")</f>
        <v>61.2979931122465</v>
      </c>
      <c r="AD148" s="12">
        <f>IFERROR((AD147/AD$15)*(AD$5-AC$5),"")</f>
        <v>62.479920791429</v>
      </c>
      <c r="AE148" s="12">
        <f>IFERROR((AE147/AE$15)*(AE$5-AD$5),"")</f>
        <v>61.9951878175627</v>
      </c>
      <c r="AF148" s="11">
        <f>IFERROR((AF147/AF$15)*(AF$5-AE$5),"")</f>
        <v>57.1808866644949</v>
      </c>
      <c r="AG148" s="12" t="n"/>
      <c r="AH148" s="11">
        <f>IFERROR((AH147/AH$15)*(AH$5-AG$5),"")</f>
        <v>56.4099798906057</v>
      </c>
      <c r="AI148" s="11">
        <f>IFERROR((AI147/AI$15)*(AI$5-AH$5),"")</f>
        <v>56.8323039617918</v>
      </c>
      <c r="AJ148" s="11">
        <f>Control!$B$25</f>
        <v>59.3660453730218</v>
      </c>
      <c r="AK148" s="11">
        <f>Control!$B$25</f>
        <v>59.3660453730218</v>
      </c>
      <c r="AL148" s="12" t="n"/>
      <c r="AM148" s="11">
        <f>Control!$C$25</f>
        <v>59.3660453730218</v>
      </c>
      <c r="AN148" s="11">
        <f>Control!$C$25</f>
        <v>59.3660453730218</v>
      </c>
      <c r="AO148" s="11">
        <f>Control!$C$25</f>
        <v>59.3660453730218</v>
      </c>
      <c r="AP148" s="11">
        <f>Control!$C$25</f>
        <v>59.3660453730218</v>
      </c>
      <c r="AQ148" s="12" t="n"/>
      <c r="AR148" s="11">
        <f>Control!$D$25</f>
        <v>59.3660453730218</v>
      </c>
      <c r="AS148" s="11">
        <f>Control!$D$25</f>
        <v>59.3660453730218</v>
      </c>
      <c r="AT148" s="11">
        <f>Control!$D$25</f>
        <v>59.3660453730218</v>
      </c>
      <c r="AU148" s="11">
        <f>Control!$D$25</f>
        <v>59.3660453730218</v>
      </c>
      <c r="AV148" s="12" t="n"/>
      <c r="AW148" s="11">
        <f>Control!$E$25</f>
        <v>59.3660453730218</v>
      </c>
      <c r="AX148" s="11">
        <f>Control!$E$25</f>
        <v>59.3660453730218</v>
      </c>
      <c r="AY148" s="11">
        <f>Control!$E$25</f>
        <v>59.3660453730218</v>
      </c>
      <c r="AZ148" s="11">
        <f>Control!$E$25</f>
        <v>59.3660453730218</v>
      </c>
      <c r="BA148" s="12" t="n"/>
      <c r="BB148" s="11">
        <f>Control!$F$25</f>
        <v>59.3660453730218</v>
      </c>
      <c r="BC148" s="11">
        <f>Control!$F$25</f>
        <v>59.3660453730218</v>
      </c>
      <c r="BD148" s="11">
        <f>Control!$F$25</f>
        <v>59.3660453730218</v>
      </c>
      <c r="BE148" s="11">
        <f>Control!$F$25</f>
        <v>59.3660453730218</v>
      </c>
      <c r="BF148" s="12" t="n"/>
      <c r="BG148" s="11" t="n"/>
      <c r="BH148" s="11" t="n"/>
      <c r="BI148" s="11" t="n"/>
      <c r="BJ148" s="11" t="n"/>
      <c r="BK148" s="12" t="n"/>
      <c r="BL148" s="11" t="n"/>
      <c r="BM148" s="11" t="n"/>
      <c r="BN148" s="11" t="n"/>
      <c r="BO148" s="11" t="n"/>
      <c r="BP148" s="12" t="n"/>
      <c r="BQ148" s="11" t="n"/>
      <c r="BR148" s="11" t="n"/>
      <c r="BS148" s="11" t="n"/>
      <c r="BT148" s="11" t="n"/>
      <c r="BU148" s="12" t="n"/>
      <c r="BV148" s="11" t="n"/>
      <c r="BW148" s="11" t="n"/>
      <c r="BX148" s="11" t="n"/>
      <c r="BY148" s="11" t="n"/>
      <c r="BZ148" s="12" t="n"/>
      <c r="CA148" s="11" t="n"/>
      <c r="CB148" s="11" t="n"/>
      <c r="CC148" s="11" t="n"/>
      <c r="CD148" s="11" t="n"/>
      <c r="CE148" s="12" t="n"/>
      <c r="CF148" s="11" t="n"/>
      <c r="CG148" s="11" t="n"/>
      <c r="CH148" s="11" t="n"/>
      <c r="CI148" s="11" t="n"/>
      <c r="CJ148" s="12" t="n"/>
      <c r="CK148" s="11" t="n"/>
      <c r="CL148" s="11" t="n"/>
      <c r="CM148" s="11" t="n"/>
      <c r="CN148" s="11" t="n"/>
      <c r="CO148" s="12" t="n"/>
      <c r="CP148" s="11" t="n"/>
      <c r="CQ148" s="11" t="n"/>
      <c r="CR148" s="11" t="n"/>
      <c r="CS148" s="11" t="n"/>
      <c r="CT148" s="12" t="n"/>
      <c r="CU148" s="11" t="n"/>
      <c r="CV148" s="11" t="n"/>
      <c r="CW148" s="11" t="n"/>
      <c r="CX148" s="11" t="n"/>
      <c r="CY148" s="12" t="n"/>
    </row>
    <row r="149" hidden="1" outlineLevel="1">
      <c r="C149" s="57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 hidden="1" outlineLevel="1">
      <c r="C150" s="57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 collapsed="1">
      <c r="C151" s="14" t="inlineStr">
        <is>
          <t>Inventories</t>
        </is>
      </c>
      <c r="D151" s="46" t="n"/>
      <c r="E151" s="46" t="n"/>
      <c r="F151" s="46" t="n"/>
      <c r="G151" s="46" t="n"/>
      <c r="H151" s="12" t="n"/>
      <c r="I151" s="46">
        <f>'Inputs (2)'!D17</f>
        <v>49.937</v>
      </c>
      <c r="J151" s="46">
        <f>'Inputs (2)'!E17</f>
        <v>49.043</v>
      </c>
      <c r="K151" s="46">
        <f>'Inputs (2)'!F17</f>
        <v>52.461</v>
      </c>
      <c r="L151" s="46">
        <f>'Inputs (2)'!G17</f>
        <v>57.68</v>
      </c>
      <c r="M151" s="12">
        <f>'Inputs (2)'!H17</f>
        <v>57.68</v>
      </c>
      <c r="N151" s="46">
        <f>'Inputs (2)'!I17</f>
        <v>65.272</v>
      </c>
      <c r="O151" s="46">
        <f>'Inputs (2)'!J17</f>
        <v>64.49</v>
      </c>
      <c r="P151" s="46">
        <f>'Inputs (2)'!K17</f>
        <v>67.996</v>
      </c>
      <c r="Q151" s="46">
        <f>'Inputs (2)'!L17</f>
        <v>76.943</v>
      </c>
      <c r="R151" s="12">
        <f>'Inputs (2)'!M17</f>
        <v>76.943</v>
      </c>
      <c r="S151" s="46">
        <f>'Inputs (2)'!N17</f>
        <v>71.437</v>
      </c>
      <c r="T151" s="46">
        <f>'Inputs (2)'!O17</f>
        <v>64.932</v>
      </c>
      <c r="U151" s="46">
        <f>'Inputs (2)'!P17</f>
        <v>67.351</v>
      </c>
      <c r="V151" s="46">
        <f>'Inputs (2)'!Q17</f>
        <v>69.305</v>
      </c>
      <c r="W151" s="12">
        <f>'Inputs (2)'!R17</f>
        <v>69.305</v>
      </c>
      <c r="X151" s="46">
        <f>'Inputs (2)'!S17</f>
        <v>64.186</v>
      </c>
      <c r="Y151" s="46">
        <f>'Inputs (2)'!T17</f>
        <v>75.132</v>
      </c>
      <c r="Z151" s="46">
        <f>'Inputs (2)'!U17</f>
        <v>70.671</v>
      </c>
      <c r="AA151" s="46">
        <f>'Inputs (2)'!V17</f>
        <v>73.183</v>
      </c>
      <c r="AB151" s="12">
        <f>'Inputs (2)'!W17</f>
        <v>73.183</v>
      </c>
      <c r="AC151" s="46">
        <f>'Inputs (2)'!X17</f>
        <v>74.194</v>
      </c>
      <c r="AD151" s="46">
        <f>'Inputs (2)'!Y17</f>
        <v>75.738</v>
      </c>
      <c r="AE151" s="46">
        <f>'Inputs (2)'!Z17</f>
        <v>77.205</v>
      </c>
      <c r="AF151" s="46">
        <f>'Inputs (2)'!AA17</f>
        <v>97.003</v>
      </c>
      <c r="AG151" s="12">
        <f>'Inputs (2)'!AB17</f>
        <v>97.003</v>
      </c>
      <c r="AH151" s="12">
        <f>'Inputs (2)'!AC17</f>
        <v>79.524</v>
      </c>
      <c r="AI151" s="12">
        <f>'Inputs (2)'!AD17</f>
        <v>81.532</v>
      </c>
      <c r="AJ151" s="12">
        <f>(AJ152/(AJ$5-AI$5))*-AJ$56</f>
        <v>83.9568140478147</v>
      </c>
      <c r="AK151" s="12">
        <f>(AK152/(AK$5-AJ$5))*-AK$56</f>
        <v>87.9951542494272</v>
      </c>
      <c r="AL151" s="12">
        <f>AK151</f>
        <v>87.9951542494272</v>
      </c>
      <c r="AM151" s="12">
        <f>(AM152/(AM$5-AL$5))*-AM$56</f>
        <v>92.5860171182854</v>
      </c>
      <c r="AN151" s="12">
        <f>(AN152/(AN$5-AM$5))*-AN$56</f>
        <v>89.4423817271213</v>
      </c>
      <c r="AO151" s="12">
        <f>(AO152/(AO$5-AN$5))*-AO$56</f>
        <v>89.563172873861</v>
      </c>
      <c r="AP151" s="12">
        <f>(AP152/(AP$5-AO$5))*-AP$56</f>
        <v>93.8711800999867</v>
      </c>
      <c r="AQ151" s="12">
        <f>AP151</f>
        <v>93.8711800999867</v>
      </c>
      <c r="AR151" s="12">
        <f>(AR152/(AR$5-AQ$5))*-AR$56</f>
        <v>97.2253933982476</v>
      </c>
      <c r="AS151" s="12">
        <f>(AS152/(AS$5-AR$5))*-AS$56</f>
        <v>94.9678367414214</v>
      </c>
      <c r="AT151" s="12">
        <f>(AT152/(AT$5-AS$5))*-AT$56</f>
        <v>95.0960899663677</v>
      </c>
      <c r="AU151" s="12">
        <f>(AU152/(AU$5-AT$5))*-AU$56</f>
        <v>99.6702316543625</v>
      </c>
      <c r="AV151" s="12">
        <f>AU151</f>
        <v>99.6702316543625</v>
      </c>
      <c r="AW151" s="12">
        <f>(AW152/(AW$5-AV$5))*-AW$56</f>
        <v>103.88714721027</v>
      </c>
      <c r="AX151" s="12">
        <f>(AX152/(AX$5-AW$5))*-AX$56</f>
        <v>100.35979693836</v>
      </c>
      <c r="AY151" s="12">
        <f>(AY152/(AY$5-AX$5))*-AY$56</f>
        <v>100.49533195794</v>
      </c>
      <c r="AZ151" s="12">
        <f>(AZ152/(AZ$5-AY$5))*-AZ$56</f>
        <v>105.329178307672</v>
      </c>
      <c r="BA151" s="12">
        <f>AZ151</f>
        <v>105.329178307672</v>
      </c>
      <c r="BB151" s="12">
        <f>(BB152/(BB$5-BA$5))*-BB$56</f>
        <v>109.266080669006</v>
      </c>
      <c r="BC151" s="12">
        <f>(BC152/(BC$5-BB$5))*-BC$56</f>
        <v>105.556095846935</v>
      </c>
      <c r="BD151" s="12">
        <f>(BD152/(BD$5-BC$5))*-BD$56</f>
        <v>105.698648422308</v>
      </c>
      <c r="BE151" s="12">
        <f>(BE152/(BE$5-BD$5))*-BE$56</f>
        <v>110.782775375206</v>
      </c>
      <c r="BF151" s="12">
        <f>BE151</f>
        <v>110.782775375206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7" t="inlineStr">
        <is>
          <t>DIO</t>
        </is>
      </c>
      <c r="D152" s="12" t="n"/>
      <c r="E152" s="12" t="n"/>
      <c r="F152" s="12" t="n"/>
      <c r="G152" s="12" t="n"/>
      <c r="H152" s="12" t="n"/>
      <c r="I152" s="12">
        <f>IFERROR(((I151/I$56)*(I$5-H$5))*-1,"")</f>
        <v>11.6312587182745</v>
      </c>
      <c r="J152" s="12">
        <f>IFERROR(((J151/J$56)*(J$5-I$5))*-1,"")</f>
        <v>11.1085161142584</v>
      </c>
      <c r="K152" s="12">
        <f>IFERROR(((K151/K$56)*(K$5-J$5))*-1,"")</f>
        <v>11.5836853423448</v>
      </c>
      <c r="L152" s="12">
        <f>IFERROR(((L151/L$56)*(L$5-K$5))*-1,"")</f>
        <v>11.7542717151983</v>
      </c>
      <c r="M152" s="12" t="n"/>
      <c r="N152" s="12">
        <f>IFERROR(((N151/N$56)*(N$5-M$5))*-1,"")</f>
        <v>12.1259810012922</v>
      </c>
      <c r="O152" s="12">
        <f>IFERROR(((O151/O$56)*(O$5-N$5))*-1,"")</f>
        <v>10.7795070359152</v>
      </c>
      <c r="P152" s="12">
        <f>IFERROR(((P151/P$56)*(P$5-O$5))*-1,"")</f>
        <v>13.5552045209786</v>
      </c>
      <c r="Q152" s="12">
        <f>IFERROR(((Q151/Q$56)*(Q$5-P$5))*-1,"")</f>
        <v>15.4030990040625</v>
      </c>
      <c r="R152" s="12" t="n"/>
      <c r="S152" s="12">
        <f>IFERROR(((S151/S$56)*(S$5-R$5))*-1,"")</f>
        <v>13.6120891335415</v>
      </c>
      <c r="T152" s="12">
        <f>IFERROR(((T151/T$56)*(T$5-S$5))*-1,"")</f>
        <v>11.8327225539789</v>
      </c>
      <c r="U152" s="12">
        <f>IFERROR(((U151/U$56)*(U$5-T$5))*-1,"")</f>
        <v>11.8827430276554</v>
      </c>
      <c r="V152" s="12">
        <f>IFERROR(((V151/V$56)*(V$5-U$5))*-1,"")</f>
        <v>11.77165855865</v>
      </c>
      <c r="W152" s="12" t="n"/>
      <c r="X152" s="12">
        <f>IFERROR(((X151/X$56)*(X$5-W$5))*-1,"")</f>
        <v>10.5729408208297</v>
      </c>
      <c r="Y152" s="12">
        <f>IFERROR(((Y151/Y$56)*(Y$5-X$5))*-1,"")</f>
        <v>11.4258698485912</v>
      </c>
      <c r="Z152" s="12">
        <f>IFERROR(((Z151/Z$56)*(Z$5-Y$5))*-1,"")</f>
        <v>10.9462296075559</v>
      </c>
      <c r="AA152" s="12">
        <f>IFERROR(((AA151/AA$56)*(AA$5-Z$5))*-1,"")</f>
        <v>11.4964261687094</v>
      </c>
      <c r="AB152" s="12" t="n"/>
      <c r="AC152" s="12">
        <f>IFERROR(((AC151/AC$56)*(AC$5-AB$5))*-1,"")</f>
        <v>9.67534688010757</v>
      </c>
      <c r="AD152" s="12">
        <f>IFERROR(((AD151/AD$56)*(AD$5-AC$5))*-1,"")</f>
        <v>12.1035238499984</v>
      </c>
      <c r="AE152" s="12">
        <f>IFERROR(((AE151/AE$56)*(AE$5-AD$5))*-1,"")</f>
        <v>11.2534103115781</v>
      </c>
      <c r="AF152" s="11">
        <f>IFERROR(((AF151/AF$56)*(AF$5-AE$5))*-1,"")</f>
        <v>14.0812090152295</v>
      </c>
      <c r="AG152" s="12" t="n"/>
      <c r="AH152" s="11">
        <f>IFERROR(((AH151/AH$56)*(AH$5-AG$5))*-1,"")</f>
        <v>11.5987696536167</v>
      </c>
      <c r="AI152" s="11">
        <f>IFERROR(((AI151/AI$56)*(AI$5-AH$5))*-1,"")</f>
        <v>11.3305640991182</v>
      </c>
      <c r="AJ152" s="11">
        <f>Control!$B$26</f>
        <v>11.6738039682747</v>
      </c>
      <c r="AK152" s="11">
        <f>Control!$B$26</f>
        <v>11.6738039682747</v>
      </c>
      <c r="AL152" s="12" t="n"/>
      <c r="AM152" s="11">
        <f>Control!$C$26</f>
        <v>11.6738039682747</v>
      </c>
      <c r="AN152" s="11">
        <f>Control!$C$26</f>
        <v>11.6738039682747</v>
      </c>
      <c r="AO152" s="11">
        <f>Control!$C$26</f>
        <v>11.6738039682747</v>
      </c>
      <c r="AP152" s="11">
        <f>Control!$C$26</f>
        <v>11.6738039682747</v>
      </c>
      <c r="AQ152" s="12" t="n"/>
      <c r="AR152" s="11">
        <f>Control!$D$26</f>
        <v>11.6738039682747</v>
      </c>
      <c r="AS152" s="11">
        <f>Control!$D$26</f>
        <v>11.6738039682747</v>
      </c>
      <c r="AT152" s="11">
        <f>Control!$D$26</f>
        <v>11.6738039682747</v>
      </c>
      <c r="AU152" s="11">
        <f>Control!$D$26</f>
        <v>11.6738039682747</v>
      </c>
      <c r="AV152" s="12" t="n"/>
      <c r="AW152" s="11">
        <f>Control!$E$26</f>
        <v>11.6738039682747</v>
      </c>
      <c r="AX152" s="11">
        <f>Control!$E$26</f>
        <v>11.6738039682747</v>
      </c>
      <c r="AY152" s="11">
        <f>Control!$E$26</f>
        <v>11.6738039682747</v>
      </c>
      <c r="AZ152" s="11">
        <f>Control!$E$26</f>
        <v>11.6738039682747</v>
      </c>
      <c r="BA152" s="12" t="n"/>
      <c r="BB152" s="11">
        <f>Control!$F$26</f>
        <v>11.6738039682747</v>
      </c>
      <c r="BC152" s="11">
        <f>Control!$F$26</f>
        <v>11.6738039682747</v>
      </c>
      <c r="BD152" s="11">
        <f>Control!$F$26</f>
        <v>11.6738039682747</v>
      </c>
      <c r="BE152" s="11">
        <f>Control!$F$26</f>
        <v>11.6738039682747</v>
      </c>
      <c r="BF152" s="12" t="n"/>
      <c r="BG152" s="11" t="n"/>
      <c r="BH152" s="11" t="n"/>
      <c r="BI152" s="11" t="n"/>
      <c r="BJ152" s="11" t="n"/>
      <c r="BK152" s="12" t="n"/>
      <c r="BL152" s="11" t="n"/>
      <c r="BM152" s="11" t="n"/>
      <c r="BN152" s="11" t="n"/>
      <c r="BO152" s="11" t="n"/>
      <c r="BP152" s="12" t="n"/>
      <c r="BQ152" s="11" t="n"/>
      <c r="BR152" s="11" t="n"/>
      <c r="BS152" s="11" t="n"/>
      <c r="BT152" s="11" t="n"/>
      <c r="BU152" s="12" t="n"/>
      <c r="BV152" s="11" t="n"/>
      <c r="BW152" s="11" t="n"/>
      <c r="BX152" s="11" t="n"/>
      <c r="BY152" s="11" t="n"/>
      <c r="BZ152" s="12" t="n"/>
      <c r="CA152" s="11" t="n"/>
      <c r="CB152" s="11" t="n"/>
      <c r="CC152" s="11" t="n"/>
      <c r="CD152" s="11" t="n"/>
      <c r="CE152" s="12" t="n"/>
      <c r="CF152" s="11" t="n"/>
      <c r="CG152" s="11" t="n"/>
      <c r="CH152" s="11" t="n"/>
      <c r="CI152" s="11" t="n"/>
      <c r="CJ152" s="12" t="n"/>
      <c r="CK152" s="11" t="n"/>
      <c r="CL152" s="11" t="n"/>
      <c r="CM152" s="11" t="n"/>
      <c r="CN152" s="11" t="n"/>
      <c r="CO152" s="12" t="n"/>
      <c r="CP152" s="11" t="n"/>
      <c r="CQ152" s="11" t="n"/>
      <c r="CR152" s="11" t="n"/>
      <c r="CS152" s="11" t="n"/>
      <c r="CT152" s="12" t="n"/>
      <c r="CU152" s="11" t="n"/>
      <c r="CV152" s="11" t="n"/>
      <c r="CW152" s="11" t="n"/>
      <c r="CX152" s="11" t="n"/>
      <c r="CY152" s="12" t="n"/>
    </row>
    <row r="153" hidden="1" outlineLevel="1">
      <c r="C153" s="57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57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collapsed="1">
      <c r="C155" s="14" t="inlineStr">
        <is>
          <t>Deferred income taxes</t>
        </is>
      </c>
      <c r="D155" s="46" t="n"/>
      <c r="E155" s="46" t="n"/>
      <c r="F155" s="46" t="n"/>
      <c r="G155" s="46" t="n"/>
      <c r="H155" s="12" t="n"/>
      <c r="I155" s="46">
        <f>'Inputs (2)'!D18</f>
        <v>664.652</v>
      </c>
      <c r="J155" s="46">
        <f>'Inputs (2)'!E18</f>
        <v>652.76</v>
      </c>
      <c r="K155" s="46">
        <f>'Inputs (2)'!F18</f>
        <v>681.863</v>
      </c>
      <c r="L155" s="46">
        <f>'Inputs (2)'!G18</f>
        <v>679.462</v>
      </c>
      <c r="M155" s="12">
        <f>'Inputs (2)'!H18</f>
        <v>679.462</v>
      </c>
      <c r="N155" s="46">
        <f>'Inputs (2)'!I18</f>
        <v>700.344</v>
      </c>
      <c r="O155" s="46">
        <f>'Inputs (2)'!J18</f>
        <v>702.266</v>
      </c>
      <c r="P155" s="46">
        <f>'Inputs (2)'!K18</f>
        <v>744.877</v>
      </c>
      <c r="Q155" s="46">
        <f>'Inputs (2)'!L18</f>
        <v>686.874</v>
      </c>
      <c r="R155" s="12">
        <f>'Inputs (2)'!M18</f>
        <v>686.874</v>
      </c>
      <c r="S155" s="46">
        <f>'Inputs (2)'!N18</f>
        <v>727.738</v>
      </c>
      <c r="T155" s="46">
        <f>'Inputs (2)'!O18</f>
        <v>731.638</v>
      </c>
      <c r="U155" s="46">
        <f>'Inputs (2)'!P18</f>
        <v>761.053</v>
      </c>
      <c r="V155" s="46">
        <f>'Inputs (2)'!Q18</f>
        <v>828.516</v>
      </c>
      <c r="W155" s="12">
        <f>'Inputs (2)'!R18</f>
        <v>828.516</v>
      </c>
      <c r="X155" s="46">
        <f>'Inputs (2)'!S18</f>
        <v>834.596</v>
      </c>
      <c r="Y155" s="46">
        <f>'Inputs (2)'!T18</f>
        <v>789.881</v>
      </c>
      <c r="Z155" s="46">
        <f>'Inputs (2)'!U18</f>
        <v>760.728</v>
      </c>
      <c r="AA155" s="46">
        <f>'Inputs (2)'!V18</f>
        <v>787.118</v>
      </c>
      <c r="AB155" s="12">
        <f>'Inputs (2)'!W18</f>
        <v>787.118</v>
      </c>
      <c r="AC155" s="46">
        <f>'Inputs (2)'!X18</f>
        <v>925.017</v>
      </c>
      <c r="AD155" s="46">
        <f>'Inputs (2)'!Y18</f>
        <v>987.57</v>
      </c>
      <c r="AE155" s="46">
        <f>'Inputs (2)'!Z18</f>
        <v>947.251</v>
      </c>
      <c r="AF155" s="46">
        <f>'Inputs (2)'!AA18</f>
        <v>940.662</v>
      </c>
      <c r="AG155" s="12">
        <f>'Inputs (2)'!AB18</f>
        <v>940.662</v>
      </c>
      <c r="AH155" s="12">
        <f>'Inputs (2)'!AC18</f>
        <v>928.528</v>
      </c>
      <c r="AI155" s="12">
        <f>'Inputs (2)'!AD18</f>
        <v>860.532</v>
      </c>
      <c r="AJ155" s="12">
        <f>AI155</f>
        <v>860.532</v>
      </c>
      <c r="AK155" s="12">
        <f>AJ155</f>
        <v>860.532</v>
      </c>
      <c r="AL155" s="12">
        <f>AK155</f>
        <v>860.532</v>
      </c>
      <c r="AM155" s="12">
        <f>AL155</f>
        <v>860.532</v>
      </c>
      <c r="AN155" s="12">
        <f>AM155</f>
        <v>860.532</v>
      </c>
      <c r="AO155" s="12">
        <f>AN155</f>
        <v>860.532</v>
      </c>
      <c r="AP155" s="12">
        <f>AO155</f>
        <v>860.532</v>
      </c>
      <c r="AQ155" s="12">
        <f>AP155</f>
        <v>860.532</v>
      </c>
      <c r="AR155" s="12">
        <f>AQ155</f>
        <v>860.532</v>
      </c>
      <c r="AS155" s="12">
        <f>AR155</f>
        <v>860.532</v>
      </c>
      <c r="AT155" s="12">
        <f>AS155</f>
        <v>860.532</v>
      </c>
      <c r="AU155" s="12">
        <f>AT155</f>
        <v>860.532</v>
      </c>
      <c r="AV155" s="12">
        <f>AU155</f>
        <v>860.532</v>
      </c>
      <c r="AW155" s="12">
        <f>AV155</f>
        <v>860.532</v>
      </c>
      <c r="AX155" s="12">
        <f>AW155</f>
        <v>860.532</v>
      </c>
      <c r="AY155" s="12">
        <f>AX155</f>
        <v>860.532</v>
      </c>
      <c r="AZ155" s="12">
        <f>AY155</f>
        <v>860.532</v>
      </c>
      <c r="BA155" s="12">
        <f>AZ155</f>
        <v>860.532</v>
      </c>
      <c r="BB155" s="12">
        <f>BA155</f>
        <v>860.532</v>
      </c>
      <c r="BC155" s="12">
        <f>BB155</f>
        <v>860.532</v>
      </c>
      <c r="BD155" s="12">
        <f>BC155</f>
        <v>860.532</v>
      </c>
      <c r="BE155" s="12">
        <f>BD155</f>
        <v>860.532</v>
      </c>
      <c r="BF155" s="12">
        <f>BE155</f>
        <v>860.532</v>
      </c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>
      <c r="C156" s="14" t="inlineStr">
        <is>
          <t>Prepaid expenses</t>
        </is>
      </c>
      <c r="D156" s="46" t="n"/>
      <c r="E156" s="46" t="n"/>
      <c r="F156" s="46" t="n"/>
      <c r="G156" s="46" t="n"/>
      <c r="H156" s="12" t="n"/>
      <c r="I156" s="46">
        <f>'Inputs (2)'!D19</f>
        <v>0</v>
      </c>
      <c r="J156" s="46">
        <f>'Inputs (2)'!E19</f>
        <v>0</v>
      </c>
      <c r="K156" s="46">
        <f>'Inputs (2)'!F19</f>
        <v>0</v>
      </c>
      <c r="L156" s="46">
        <f>'Inputs (2)'!G19</f>
        <v>0</v>
      </c>
      <c r="M156" s="12">
        <f>'Inputs (2)'!H19</f>
        <v>0</v>
      </c>
      <c r="N156" s="46">
        <f>'Inputs (2)'!I19</f>
        <v>0</v>
      </c>
      <c r="O156" s="46">
        <f>'Inputs (2)'!J19</f>
        <v>0</v>
      </c>
      <c r="P156" s="46">
        <f>'Inputs (2)'!K19</f>
        <v>0</v>
      </c>
      <c r="Q156" s="46">
        <f>'Inputs (2)'!L19</f>
        <v>0</v>
      </c>
      <c r="R156" s="12">
        <f>'Inputs (2)'!M19</f>
        <v>0</v>
      </c>
      <c r="S156" s="46">
        <f>'Inputs (2)'!N19</f>
        <v>0</v>
      </c>
      <c r="T156" s="46">
        <f>'Inputs (2)'!O19</f>
        <v>0</v>
      </c>
      <c r="U156" s="46">
        <f>'Inputs (2)'!P19</f>
        <v>0</v>
      </c>
      <c r="V156" s="46">
        <f>'Inputs (2)'!Q19</f>
        <v>0</v>
      </c>
      <c r="W156" s="12">
        <f>'Inputs (2)'!R19</f>
        <v>0</v>
      </c>
      <c r="X156" s="46">
        <f>'Inputs (2)'!S19</f>
        <v>0</v>
      </c>
      <c r="Y156" s="46">
        <f>'Inputs (2)'!T19</f>
        <v>0</v>
      </c>
      <c r="Z156" s="46">
        <f>'Inputs (2)'!U19</f>
        <v>0</v>
      </c>
      <c r="AA156" s="46">
        <f>'Inputs (2)'!V19</f>
        <v>0</v>
      </c>
      <c r="AB156" s="12">
        <f>'Inputs (2)'!W19</f>
        <v>0</v>
      </c>
      <c r="AC156" s="46">
        <f>'Inputs (2)'!X19</f>
        <v>0</v>
      </c>
      <c r="AD156" s="46">
        <f>'Inputs (2)'!Y19</f>
        <v>0</v>
      </c>
      <c r="AE156" s="46">
        <f>'Inputs (2)'!Z19</f>
        <v>0</v>
      </c>
      <c r="AF156" s="46">
        <f>'Inputs (2)'!AA19</f>
        <v>0</v>
      </c>
      <c r="AG156" s="12">
        <f>'Inputs (2)'!AB19</f>
        <v>0</v>
      </c>
      <c r="AH156" s="12">
        <f>'Inputs (2)'!AC19</f>
        <v>0</v>
      </c>
      <c r="AI156" s="12">
        <f>'Inputs (2)'!AD19</f>
        <v>0</v>
      </c>
      <c r="AJ156" s="12">
        <f>AI156</f>
        <v>0</v>
      </c>
      <c r="AK156" s="12">
        <f>AJ156</f>
        <v>0</v>
      </c>
      <c r="AL156" s="12">
        <f>AK156</f>
        <v>0</v>
      </c>
      <c r="AM156" s="12">
        <f>AL156</f>
        <v>0</v>
      </c>
      <c r="AN156" s="12">
        <f>AM156</f>
        <v>0</v>
      </c>
      <c r="AO156" s="12">
        <f>AN156</f>
        <v>0</v>
      </c>
      <c r="AP156" s="12">
        <f>AO156</f>
        <v>0</v>
      </c>
      <c r="AQ156" s="12">
        <f>AP156</f>
        <v>0</v>
      </c>
      <c r="AR156" s="12">
        <f>AQ156</f>
        <v>0</v>
      </c>
      <c r="AS156" s="12">
        <f>AR156</f>
        <v>0</v>
      </c>
      <c r="AT156" s="12">
        <f>AS156</f>
        <v>0</v>
      </c>
      <c r="AU156" s="12">
        <f>AT156</f>
        <v>0</v>
      </c>
      <c r="AV156" s="12">
        <f>AU156</f>
        <v>0</v>
      </c>
      <c r="AW156" s="12">
        <f>AV156</f>
        <v>0</v>
      </c>
      <c r="AX156" s="12">
        <f>AW156</f>
        <v>0</v>
      </c>
      <c r="AY156" s="12">
        <f>AX156</f>
        <v>0</v>
      </c>
      <c r="AZ156" s="12">
        <f>AY156</f>
        <v>0</v>
      </c>
      <c r="BA156" s="12">
        <f>AZ156</f>
        <v>0</v>
      </c>
      <c r="BB156" s="12">
        <f>BA156</f>
        <v>0</v>
      </c>
      <c r="BC156" s="12">
        <f>BB156</f>
        <v>0</v>
      </c>
      <c r="BD156" s="12">
        <f>BC156</f>
        <v>0</v>
      </c>
      <c r="BE156" s="12">
        <f>BD156</f>
        <v>0</v>
      </c>
      <c r="BF156" s="12">
        <f>BE156</f>
        <v>0</v>
      </c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>
      <c r="C157" s="14" t="inlineStr">
        <is>
          <t>Other current assets</t>
        </is>
      </c>
      <c r="D157" s="46" t="n"/>
      <c r="E157" s="46" t="n"/>
      <c r="F157" s="46" t="n"/>
      <c r="G157" s="46" t="n"/>
      <c r="H157" s="12" t="n"/>
      <c r="I157" s="46">
        <f>'Inputs (2)'!D20</f>
        <v>56.929</v>
      </c>
      <c r="J157" s="46">
        <f>'Inputs (2)'!E20</f>
        <v>79.414</v>
      </c>
      <c r="K157" s="46">
        <f>'Inputs (2)'!F20</f>
        <v>63.107</v>
      </c>
      <c r="L157" s="46">
        <f>'Inputs (2)'!G20</f>
        <v>59.362</v>
      </c>
      <c r="M157" s="12">
        <f>'Inputs (2)'!H20</f>
        <v>59.362</v>
      </c>
      <c r="N157" s="46">
        <f>'Inputs (2)'!I20</f>
        <v>58.694</v>
      </c>
      <c r="O157" s="46">
        <f>'Inputs (2)'!J20</f>
        <v>100.842</v>
      </c>
      <c r="P157" s="46">
        <f>'Inputs (2)'!K20</f>
        <v>80.553</v>
      </c>
      <c r="Q157" s="46">
        <f>'Inputs (2)'!L20</f>
        <v>98.791</v>
      </c>
      <c r="R157" s="12">
        <f>'Inputs (2)'!M20</f>
        <v>98.791</v>
      </c>
      <c r="S157" s="46">
        <f>'Inputs (2)'!N20</f>
        <v>116.423</v>
      </c>
      <c r="T157" s="46">
        <f>'Inputs (2)'!O20</f>
        <v>181.95</v>
      </c>
      <c r="U157" s="46">
        <f>'Inputs (2)'!P20</f>
        <v>102.544</v>
      </c>
      <c r="V157" s="46">
        <f>'Inputs (2)'!Q20</f>
        <v>162.067</v>
      </c>
      <c r="W157" s="12">
        <f>'Inputs (2)'!R20</f>
        <v>162.067</v>
      </c>
      <c r="X157" s="46">
        <f>'Inputs (2)'!S20</f>
        <v>191.2</v>
      </c>
      <c r="Y157" s="46">
        <f>'Inputs (2)'!T20</f>
        <v>364.706</v>
      </c>
      <c r="Z157" s="46">
        <f>'Inputs (2)'!U20</f>
        <v>276.806</v>
      </c>
      <c r="AA157" s="46">
        <f>'Inputs (2)'!V20</f>
        <v>171.436</v>
      </c>
      <c r="AB157" s="12">
        <f>'Inputs (2)'!W20</f>
        <v>171.436</v>
      </c>
      <c r="AC157" s="46">
        <f>'Inputs (2)'!X20</f>
        <v>231.045</v>
      </c>
      <c r="AD157" s="46">
        <f>'Inputs (2)'!Y20</f>
        <v>327.967</v>
      </c>
      <c r="AE157" s="46">
        <f>'Inputs (2)'!Z20</f>
        <v>314.469</v>
      </c>
      <c r="AF157" s="46">
        <f>'Inputs (2)'!AA20</f>
        <v>342.144</v>
      </c>
      <c r="AG157" s="12">
        <f>'Inputs (2)'!AB20</f>
        <v>342.144</v>
      </c>
      <c r="AH157" s="12">
        <f>'Inputs (2)'!AC20</f>
        <v>367.028</v>
      </c>
      <c r="AI157" s="12">
        <f>'Inputs (2)'!AD20</f>
        <v>392.732</v>
      </c>
      <c r="AJ157" s="12">
        <f>AI157</f>
        <v>392.732</v>
      </c>
      <c r="AK157" s="12">
        <f>AJ157</f>
        <v>392.732</v>
      </c>
      <c r="AL157" s="12">
        <f>AK157</f>
        <v>392.732</v>
      </c>
      <c r="AM157" s="12">
        <f>AL157</f>
        <v>392.732</v>
      </c>
      <c r="AN157" s="12">
        <f>AM157</f>
        <v>392.732</v>
      </c>
      <c r="AO157" s="12">
        <f>AN157</f>
        <v>392.732</v>
      </c>
      <c r="AP157" s="12">
        <f>AO157</f>
        <v>392.732</v>
      </c>
      <c r="AQ157" s="12">
        <f>AP157</f>
        <v>392.732</v>
      </c>
      <c r="AR157" s="12">
        <f>AQ157</f>
        <v>392.732</v>
      </c>
      <c r="AS157" s="12">
        <f>AR157</f>
        <v>392.732</v>
      </c>
      <c r="AT157" s="12">
        <f>AS157</f>
        <v>392.732</v>
      </c>
      <c r="AU157" s="12">
        <f>AT157</f>
        <v>392.732</v>
      </c>
      <c r="AV157" s="12">
        <f>AU157</f>
        <v>392.732</v>
      </c>
      <c r="AW157" s="12">
        <f>AV157</f>
        <v>392.732</v>
      </c>
      <c r="AX157" s="12">
        <f>AW157</f>
        <v>392.732</v>
      </c>
      <c r="AY157" s="12">
        <f>AX157</f>
        <v>392.732</v>
      </c>
      <c r="AZ157" s="12">
        <f>AY157</f>
        <v>392.732</v>
      </c>
      <c r="BA157" s="12">
        <f>AZ157</f>
        <v>392.732</v>
      </c>
      <c r="BB157" s="12">
        <f>BA157</f>
        <v>392.732</v>
      </c>
      <c r="BC157" s="12">
        <f>BB157</f>
        <v>392.732</v>
      </c>
      <c r="BD157" s="12">
        <f>BC157</f>
        <v>392.732</v>
      </c>
      <c r="BE157" s="12">
        <f>BD157</f>
        <v>392.732</v>
      </c>
      <c r="BF157" s="12">
        <f>BE157</f>
        <v>392.732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9" t="inlineStr">
        <is>
          <t>%(Var.)</t>
        </is>
      </c>
      <c r="D158" s="12" t="n"/>
      <c r="E158" s="40" t="n"/>
      <c r="F158" s="40" t="n"/>
      <c r="G158" s="40" t="n"/>
      <c r="H158" s="12" t="n"/>
      <c r="I158" s="40" t="str">
        <f>""</f>
        <v/>
      </c>
      <c r="J158" s="40">
        <f>IFERROR(IF(I157=0,"",J157/I157-1),"")</f>
        <v>0.394965658978728</v>
      </c>
      <c r="K158" s="40">
        <f>IFERROR(IF(J157=0,"",K157/J157-1),"")</f>
        <v>-0.205341627420858</v>
      </c>
      <c r="L158" s="40">
        <f>IFERROR(IF(K157=0,"",L157/K157-1),"")</f>
        <v>-0.0593436544281933</v>
      </c>
      <c r="M158" s="12">
        <f>IFERROR(IF(L157=0,"",M157/L157-1),"")</f>
        <v>0</v>
      </c>
      <c r="N158" s="40">
        <f>IFERROR(IF(M157=0,"",N157/M157-1),"")</f>
        <v>-0.0112529901283649</v>
      </c>
      <c r="O158" s="40">
        <f>IFERROR(IF(N157=0,"",O157/N157-1),"")</f>
        <v>0.718097250144819</v>
      </c>
      <c r="P158" s="40">
        <f>IFERROR(IF(O157=0,"",P157/O157-1),"")</f>
        <v>-0.201195930267151</v>
      </c>
      <c r="Q158" s="40">
        <f>IFERROR(IF(P157=0,"",Q157/P157-1),"")</f>
        <v>0.226409941280896</v>
      </c>
      <c r="R158" s="12">
        <f>IFERROR(IF(Q157=0,"",R157/Q157-1),"")</f>
        <v>0</v>
      </c>
      <c r="S158" s="40">
        <f>IFERROR(IF(R157=0,"",S157/R157-1),"")</f>
        <v>0.178477796560415</v>
      </c>
      <c r="T158" s="40">
        <f>IFERROR(IF(S157=0,"",T157/S157-1),"")</f>
        <v>0.562835522190632</v>
      </c>
      <c r="U158" s="40">
        <f>IFERROR(IF(T157=0,"",U157/T157-1),"")</f>
        <v>-0.436416597966474</v>
      </c>
      <c r="V158" s="40">
        <f>IFERROR(IF(U157=0,"",V157/U157-1),"")</f>
        <v>0.580463020752068</v>
      </c>
      <c r="W158" s="12">
        <f>IFERROR(IF(V157=0,"",W157/V157-1),"")</f>
        <v>0</v>
      </c>
      <c r="X158" s="40">
        <f>IFERROR(IF(W157=0,"",X157/W157-1),"")</f>
        <v>0.179758988566457</v>
      </c>
      <c r="Y158" s="40">
        <f>IFERROR(IF(X157=0,"",Y157/X157-1),"")</f>
        <v>0.907458158995816</v>
      </c>
      <c r="Z158" s="40">
        <f>IFERROR(IF(Y157=0,"",Z157/Y157-1),"")</f>
        <v>-0.241016051285145</v>
      </c>
      <c r="AA158" s="40">
        <f>IFERROR(IF(Z157=0,"",AA157/Z157-1),"")</f>
        <v>-0.380663713936837</v>
      </c>
      <c r="AB158" s="12">
        <f>IFERROR(IF(AA157=0,"",AB157/AA157-1),"")</f>
        <v>0</v>
      </c>
      <c r="AC158" s="40">
        <f>IFERROR(IF(AB157=0,"",AC157/AB157-1),"")</f>
        <v>0.347704099489022</v>
      </c>
      <c r="AD158" s="40">
        <f>IFERROR(IF(AC157=0,"",AD157/AC157-1),"")</f>
        <v>0.419494037957973</v>
      </c>
      <c r="AE158" s="40">
        <f>IFERROR(IF(AD157=0,"",AE157/AD157-1),"")</f>
        <v>-0.0411565797778435</v>
      </c>
      <c r="AF158" s="55">
        <f>IFERROR(IF(AE157=0,"",AF157/AE157-1),"")</f>
        <v>0.0880054949772473</v>
      </c>
      <c r="AG158" s="12">
        <f>IFERROR(IF(AF157=0,"",AG157/AF157-1),"")</f>
        <v>0</v>
      </c>
      <c r="AH158" s="12">
        <f>IFERROR(IF(AG157=0,"",AH157/AG157-1),"")</f>
        <v>0.0727296109240554</v>
      </c>
      <c r="AI158" s="12">
        <f>IFERROR(IF(AH157=0,"",AI157/AH157-1),"")</f>
        <v>0.0700328040367493</v>
      </c>
      <c r="AJ158" s="12">
        <f>IFERROR(IF(AI157=0,"",AJ157/AI157-1),"")</f>
        <v>0</v>
      </c>
      <c r="AK158" s="12">
        <f>IFERROR(IF(AJ157=0,"",AK157/AJ157-1),"")</f>
        <v>0</v>
      </c>
      <c r="AL158" s="12">
        <f>IFERROR(IF(AK157=0,"",AL157/AK157-1),"")</f>
        <v>0</v>
      </c>
      <c r="AM158" s="12">
        <f>IFERROR(IF(AL157=0,"",AM157/AL157-1),"")</f>
        <v>0</v>
      </c>
      <c r="AN158" s="12">
        <f>IFERROR(IF(AM157=0,"",AN157/AM157-1),"")</f>
        <v>0</v>
      </c>
      <c r="AO158" s="12">
        <f>IFERROR(IF(AN157=0,"",AO157/AN157-1),"")</f>
        <v>0</v>
      </c>
      <c r="AP158" s="12">
        <f>IFERROR(IF(AO157=0,"",AP157/AO157-1),"")</f>
        <v>0</v>
      </c>
      <c r="AQ158" s="12">
        <f>IFERROR(IF(AP157=0,"",AQ157/AP157-1),"")</f>
        <v>0</v>
      </c>
      <c r="AR158" s="12">
        <f>IFERROR(IF(AQ157=0,"",AR157/AQ157-1),"")</f>
        <v>0</v>
      </c>
      <c r="AS158" s="12">
        <f>IFERROR(IF(AR157=0,"",AS157/AR157-1),"")</f>
        <v>0</v>
      </c>
      <c r="AT158" s="12">
        <f>IFERROR(IF(AS157=0,"",AT157/AS157-1),"")</f>
        <v>0</v>
      </c>
      <c r="AU158" s="12">
        <f>IFERROR(IF(AT157=0,"",AU157/AT157-1),"")</f>
        <v>0</v>
      </c>
      <c r="AV158" s="12">
        <f>IFERROR(IF(AU157=0,"",AV157/AU157-1),"")</f>
        <v>0</v>
      </c>
      <c r="AW158" s="12">
        <f>IFERROR(IF(AV157=0,"",AW157/AV157-1),"")</f>
        <v>0</v>
      </c>
      <c r="AX158" s="12">
        <f>IFERROR(IF(AW157=0,"",AX157/AW157-1),"")</f>
        <v>0</v>
      </c>
      <c r="AY158" s="12">
        <f>IFERROR(IF(AX157=0,"",AY157/AX157-1),"")</f>
        <v>0</v>
      </c>
      <c r="AZ158" s="12">
        <f>IFERROR(IF(AY157=0,"",AZ157/AY157-1),"")</f>
        <v>0</v>
      </c>
      <c r="BA158" s="12">
        <f>IFERROR(IF(AZ157=0,"",BA157/AZ157-1),"")</f>
        <v>0</v>
      </c>
      <c r="BB158" s="12">
        <f>IFERROR(IF(BA157=0,"",BB157/BA157-1),"")</f>
        <v>0</v>
      </c>
      <c r="BC158" s="12">
        <f>IFERROR(IF(BB157=0,"",BC157/BB157-1),"")</f>
        <v>0</v>
      </c>
      <c r="BD158" s="12">
        <f>IFERROR(IF(BC157=0,"",BD157/BC157-1),"")</f>
        <v>0</v>
      </c>
      <c r="BE158" s="12">
        <f>IFERROR(IF(BD157=0,"",BE157/BD157-1),"")</f>
        <v>0</v>
      </c>
      <c r="BF158" s="12">
        <f>IFERROR(IF(BE157=0,"",BF157/BE157-1),"")</f>
        <v>0</v>
      </c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n"/>
      <c r="D159" s="12" t="n"/>
      <c r="E159" s="40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  <c r="BN159" s="12" t="n"/>
      <c r="BO159" s="12" t="n"/>
      <c r="BP159" s="12" t="n"/>
      <c r="BQ159" s="12" t="n"/>
      <c r="BR159" s="12" t="n"/>
      <c r="BS159" s="12" t="n"/>
      <c r="BT159" s="12" t="n"/>
      <c r="BU159" s="12" t="n"/>
      <c r="BV159" s="12" t="n"/>
      <c r="BW159" s="12" t="n"/>
      <c r="BX159" s="12" t="n"/>
      <c r="BY159" s="12" t="n"/>
      <c r="BZ159" s="12" t="n"/>
      <c r="CA159" s="12" t="n"/>
      <c r="CB159" s="12" t="n"/>
      <c r="CC159" s="12" t="n"/>
      <c r="CD159" s="12" t="n"/>
      <c r="CE159" s="12" t="n"/>
      <c r="CF159" s="12" t="n"/>
      <c r="CG159" s="12" t="n"/>
      <c r="CH159" s="12" t="n"/>
      <c r="CI159" s="12" t="n"/>
      <c r="CJ159" s="12" t="n"/>
      <c r="CK159" s="12" t="n"/>
      <c r="CL159" s="12" t="n"/>
      <c r="CM159" s="12" t="n"/>
      <c r="CN159" s="12" t="n"/>
      <c r="CO159" s="12" t="n"/>
      <c r="CP159" s="12" t="n"/>
      <c r="CQ159" s="12" t="n"/>
      <c r="CR159" s="12" t="n"/>
      <c r="CS159" s="12" t="n"/>
      <c r="CT159" s="12" t="n"/>
      <c r="CU159" s="12" t="n"/>
      <c r="CV159" s="12" t="n"/>
      <c r="CW159" s="12" t="n"/>
      <c r="CX159" s="12" t="n"/>
      <c r="CY159" s="12" t="n"/>
    </row>
    <row r="160" hidden="1" outlineLevel="1">
      <c r="C160" s="60" t="inlineStr">
        <is>
          <t xml:space="preserve">Impostos e Contribuições a Recuperar </t>
        </is>
      </c>
      <c r="D160" s="11" t="n"/>
      <c r="E160" s="11" t="n"/>
      <c r="F160" s="11" t="n"/>
      <c r="G160" s="11" t="n"/>
      <c r="H160" s="12" t="n"/>
      <c r="I160" s="11" t="n"/>
      <c r="J160" s="11" t="n"/>
      <c r="K160" s="11" t="n"/>
      <c r="L160" s="11" t="n"/>
      <c r="M160" s="12" t="n"/>
      <c r="N160" s="11" t="n"/>
      <c r="O160" s="11" t="n"/>
      <c r="P160" s="11" t="n"/>
      <c r="Q160" s="11" t="n"/>
      <c r="R160" s="12" t="n"/>
      <c r="S160" s="11" t="n"/>
      <c r="T160" s="11" t="n"/>
      <c r="U160" s="11" t="n"/>
      <c r="V160" s="11" t="n"/>
      <c r="W160" s="12" t="n"/>
      <c r="X160" s="11" t="n"/>
      <c r="Y160" s="11" t="n"/>
      <c r="Z160" s="11" t="n"/>
      <c r="AA160" s="11" t="n"/>
      <c r="AB160" s="12" t="n"/>
      <c r="AC160" s="11" t="n"/>
      <c r="AD160" s="11" t="n"/>
      <c r="AE160" s="11" t="n"/>
      <c r="AF160" s="11" t="n"/>
      <c r="AG160" s="12">
        <f>AF160</f>
        <v>0</v>
      </c>
      <c r="AH160" s="61">
        <f>IFERROR(AG160*AH15/AG15,"")</f>
        <v>0</v>
      </c>
      <c r="AI160" s="61">
        <f>IFERROR(AH160*AI15/AH15,"")</f>
        <v>0</v>
      </c>
      <c r="AJ160" s="61">
        <f>IFERROR(AI160*AJ15/AI15,"")</f>
        <v>0</v>
      </c>
      <c r="AK160" s="61">
        <f>IFERROR(AJ160*AK15/AJ15,"")</f>
        <v>0</v>
      </c>
      <c r="AL160" s="12">
        <f>IFERROR(AK160,"")</f>
        <v>0</v>
      </c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  <c r="BN160" s="12" t="n"/>
      <c r="BO160" s="12" t="n"/>
      <c r="BP160" s="12" t="n"/>
      <c r="BQ160" s="12" t="n"/>
      <c r="BR160" s="12" t="n"/>
      <c r="BS160" s="12" t="n"/>
      <c r="BT160" s="12" t="n"/>
      <c r="BU160" s="12" t="n"/>
      <c r="BV160" s="12" t="n"/>
      <c r="BW160" s="12" t="n"/>
      <c r="BX160" s="12" t="n"/>
      <c r="BY160" s="12" t="n"/>
      <c r="BZ160" s="12" t="n"/>
      <c r="CA160" s="12" t="n"/>
      <c r="CB160" s="12" t="n"/>
      <c r="CC160" s="12" t="n"/>
      <c r="CD160" s="12" t="n"/>
      <c r="CE160" s="12" t="n"/>
      <c r="CF160" s="12" t="n"/>
      <c r="CG160" s="12" t="n"/>
      <c r="CH160" s="12" t="n"/>
      <c r="CI160" s="12" t="n"/>
      <c r="CJ160" s="12" t="n"/>
      <c r="CK160" s="12" t="n"/>
      <c r="CL160" s="12" t="n"/>
      <c r="CM160" s="12" t="n"/>
      <c r="CN160" s="12" t="n"/>
      <c r="CO160" s="12" t="n"/>
      <c r="CP160" s="12" t="n"/>
      <c r="CQ160" s="12" t="n"/>
      <c r="CR160" s="12" t="n"/>
      <c r="CS160" s="12" t="n"/>
      <c r="CT160" s="12" t="n"/>
      <c r="CU160" s="12" t="n"/>
      <c r="CV160" s="12" t="n"/>
      <c r="CW160" s="12" t="n"/>
      <c r="CX160" s="12" t="n"/>
      <c r="CY160" s="12" t="n"/>
    </row>
    <row r="161" hidden="1" outlineLevel="1">
      <c r="C161" s="60" t="inlineStr">
        <is>
          <t>Outros Créditos</t>
        </is>
      </c>
      <c r="D161" s="11" t="n"/>
      <c r="E161" s="11" t="n"/>
      <c r="F161" s="11" t="n"/>
      <c r="G161" s="11" t="n"/>
      <c r="H161" s="12" t="n"/>
      <c r="I161" s="11" t="n"/>
      <c r="J161" s="11" t="n"/>
      <c r="K161" s="11" t="n"/>
      <c r="L161" s="11" t="n"/>
      <c r="M161" s="12" t="n"/>
      <c r="N161" s="11" t="n"/>
      <c r="O161" s="11" t="n"/>
      <c r="P161" s="11" t="n"/>
      <c r="Q161" s="11" t="n"/>
      <c r="R161" s="12" t="n"/>
      <c r="S161" s="11" t="n"/>
      <c r="T161" s="11" t="n"/>
      <c r="U161" s="11" t="n"/>
      <c r="V161" s="11" t="n"/>
      <c r="W161" s="12" t="n"/>
      <c r="X161" s="11" t="n"/>
      <c r="Y161" s="11" t="n"/>
      <c r="Z161" s="11" t="n"/>
      <c r="AA161" s="11" t="n"/>
      <c r="AB161" s="12" t="n"/>
      <c r="AC161" s="11" t="n"/>
      <c r="AD161" s="11" t="n"/>
      <c r="AE161" s="11" t="n"/>
      <c r="AF161" s="11" t="n"/>
      <c r="AG161" s="12">
        <f>AF161</f>
        <v>0</v>
      </c>
      <c r="AH161" s="12">
        <f>AG161</f>
        <v>0</v>
      </c>
      <c r="AI161" s="12">
        <f>AH161</f>
        <v>0</v>
      </c>
      <c r="AJ161" s="12">
        <f>AI161</f>
        <v>0</v>
      </c>
      <c r="AK161" s="12">
        <f>AJ161</f>
        <v>0</v>
      </c>
      <c r="AL161" s="12">
        <f>AK161</f>
        <v>0</v>
      </c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hidden="1" outlineLevel="1">
      <c r="C162" s="57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collapsed="1">
      <c r="C163" s="14" t="inlineStr">
        <is>
          <t>Equity in affiliates</t>
        </is>
      </c>
      <c r="D163" s="46" t="n"/>
      <c r="E163" s="46" t="n"/>
      <c r="F163" s="46" t="n"/>
      <c r="G163" s="46" t="n"/>
      <c r="H163" s="12" t="n"/>
      <c r="I163" s="46">
        <f>'Inputs (2)'!D21</f>
        <v>2.018</v>
      </c>
      <c r="J163" s="46">
        <f>'Inputs (2)'!E21</f>
        <v>3.047</v>
      </c>
      <c r="K163" s="46">
        <f>'Inputs (2)'!F21</f>
        <v>3.031</v>
      </c>
      <c r="L163" s="46">
        <f>'Inputs (2)'!G21</f>
        <v>2.03</v>
      </c>
      <c r="M163" s="12">
        <f>'Inputs (2)'!H21</f>
        <v>2.03</v>
      </c>
      <c r="N163" s="46">
        <f>'Inputs (2)'!I21</f>
        <v>2.103</v>
      </c>
      <c r="O163" s="46">
        <f>'Inputs (2)'!J21</f>
        <v>3.406</v>
      </c>
      <c r="P163" s="46">
        <f>'Inputs (2)'!K21</f>
        <v>4.677</v>
      </c>
      <c r="Q163" s="46">
        <f>'Inputs (2)'!L21</f>
        <v>1.988</v>
      </c>
      <c r="R163" s="12">
        <f>'Inputs (2)'!M21</f>
        <v>1.988</v>
      </c>
      <c r="S163" s="46">
        <f>'Inputs (2)'!N21</f>
        <v>2.454</v>
      </c>
      <c r="T163" s="46">
        <f>'Inputs (2)'!O21</f>
        <v>2.989</v>
      </c>
      <c r="U163" s="46">
        <f>'Inputs (2)'!P21</f>
        <v>3.073</v>
      </c>
      <c r="V163" s="46">
        <f>'Inputs (2)'!Q21</f>
        <v>2.282</v>
      </c>
      <c r="W163" s="12">
        <f>'Inputs (2)'!R21</f>
        <v>2.282</v>
      </c>
      <c r="X163" s="46">
        <f>'Inputs (2)'!S21</f>
        <v>2.227</v>
      </c>
      <c r="Y163" s="46">
        <f>'Inputs (2)'!T21</f>
        <v>2.374</v>
      </c>
      <c r="Z163" s="46">
        <f>'Inputs (2)'!U21</f>
        <v>2.462</v>
      </c>
      <c r="AA163" s="46">
        <f>'Inputs (2)'!V21</f>
        <v>2.184</v>
      </c>
      <c r="AB163" s="12">
        <f>'Inputs (2)'!W21</f>
        <v>2.184</v>
      </c>
      <c r="AC163" s="46">
        <f>'Inputs (2)'!X21</f>
        <v>2.31</v>
      </c>
      <c r="AD163" s="46">
        <f>'Inputs (2)'!Y21</f>
        <v>2.144</v>
      </c>
      <c r="AE163" s="46">
        <f>'Inputs (2)'!Z21</f>
        <v>2.109</v>
      </c>
      <c r="AF163" s="46">
        <f>'Inputs (2)'!AA21</f>
        <v>2.049</v>
      </c>
      <c r="AG163" s="12">
        <f>'Inputs (2)'!AB21</f>
        <v>2.049</v>
      </c>
      <c r="AH163" s="12">
        <f>'Inputs (2)'!AC21</f>
        <v>2.168</v>
      </c>
      <c r="AI163" s="12">
        <f>'Inputs (2)'!AD21</f>
        <v>2.02</v>
      </c>
      <c r="AJ163" s="12">
        <f>AI163+AJ137</f>
        <v>2.02</v>
      </c>
      <c r="AK163" s="12">
        <f>AJ163+AK137</f>
        <v>2.02</v>
      </c>
      <c r="AL163" s="12">
        <f>AK163</f>
        <v>2.02</v>
      </c>
      <c r="AM163" s="12">
        <f>AL163+AM137</f>
        <v>2.02</v>
      </c>
      <c r="AN163" s="12">
        <f>AM163+AN137</f>
        <v>2.02</v>
      </c>
      <c r="AO163" s="12">
        <f>AN163+AO137</f>
        <v>2.02</v>
      </c>
      <c r="AP163" s="12">
        <f>AO163+AP137</f>
        <v>2.02</v>
      </c>
      <c r="AQ163" s="12">
        <f>AP163</f>
        <v>2.02</v>
      </c>
      <c r="AR163" s="12">
        <f>AQ163+AR137</f>
        <v>2.02</v>
      </c>
      <c r="AS163" s="12">
        <f>AR163+AS137</f>
        <v>2.02</v>
      </c>
      <c r="AT163" s="12">
        <f>AS163+AT137</f>
        <v>2.02</v>
      </c>
      <c r="AU163" s="12">
        <f>AT163+AU137</f>
        <v>2.02</v>
      </c>
      <c r="AV163" s="12">
        <f>AU163</f>
        <v>2.02</v>
      </c>
      <c r="AW163" s="12">
        <f>AV163+AW137</f>
        <v>2.02</v>
      </c>
      <c r="AX163" s="12">
        <f>AW163+AX137</f>
        <v>2.02</v>
      </c>
      <c r="AY163" s="12">
        <f>AX163+AY137</f>
        <v>2.02</v>
      </c>
      <c r="AZ163" s="12">
        <f>AY163+AZ137</f>
        <v>2.02</v>
      </c>
      <c r="BA163" s="12">
        <f>AZ163</f>
        <v>2.02</v>
      </c>
      <c r="BB163" s="12">
        <f>BA163+BB137</f>
        <v>2.02</v>
      </c>
      <c r="BC163" s="12">
        <f>BB163+BC137</f>
        <v>2.02</v>
      </c>
      <c r="BD163" s="12">
        <f>BC163+BD137</f>
        <v>2.02</v>
      </c>
      <c r="BE163" s="12">
        <f>BD163+BE137</f>
        <v>2.02</v>
      </c>
      <c r="BF163" s="12">
        <f>BE163</f>
        <v>2.02</v>
      </c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  <c r="BN164" s="12" t="n"/>
      <c r="BO164" s="12" t="n"/>
      <c r="BP164" s="12" t="n"/>
      <c r="BQ164" s="12" t="n"/>
      <c r="BR164" s="12" t="n"/>
      <c r="BS164" s="12" t="n"/>
      <c r="BT164" s="12" t="n"/>
      <c r="BU164" s="12" t="n"/>
      <c r="BV164" s="12" t="n"/>
      <c r="BW164" s="12" t="n"/>
      <c r="BX164" s="12" t="n"/>
      <c r="BY164" s="12" t="n"/>
      <c r="BZ164" s="12" t="n"/>
      <c r="CA164" s="12" t="n"/>
      <c r="CB164" s="12" t="n"/>
      <c r="CC164" s="12" t="n"/>
      <c r="CD164" s="12" t="n"/>
      <c r="CE164" s="12" t="n"/>
      <c r="CF164" s="12" t="n"/>
      <c r="CG164" s="12" t="n"/>
      <c r="CH164" s="12" t="n"/>
      <c r="CI164" s="12" t="n"/>
      <c r="CJ164" s="12" t="n"/>
      <c r="CK164" s="12" t="n"/>
      <c r="CL164" s="12" t="n"/>
      <c r="CM164" s="12" t="n"/>
      <c r="CN164" s="12" t="n"/>
      <c r="CO164" s="12" t="n"/>
      <c r="CP164" s="12" t="n"/>
      <c r="CQ164" s="12" t="n"/>
      <c r="CR164" s="12" t="n"/>
      <c r="CS164" s="12" t="n"/>
      <c r="CT164" s="12" t="n"/>
      <c r="CU164" s="12" t="n"/>
      <c r="CV164" s="12" t="n"/>
      <c r="CW164" s="12" t="n"/>
      <c r="CX164" s="12" t="n"/>
      <c r="CY164" s="12" t="n"/>
    </row>
    <row r="165" hidden="1" outlineLevel="1">
      <c r="C165" s="57" t="inlineStr">
        <is>
          <t>Equity in Income - % YoY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>
        <f>IF(I137=0,0,N137/I137-1)</f>
        <v>0.687640449438202</v>
      </c>
      <c r="O165" s="12">
        <f>IF(J137=0,0,O137/J137-1)</f>
        <v>0.0587499999999999</v>
      </c>
      <c r="P165" s="12">
        <f>IF(K137=0,0,P137/K137-1)</f>
        <v>-0.428179322964318</v>
      </c>
      <c r="Q165" s="12">
        <f>IF(L137=0,0,Q137/L137-1)</f>
        <v>0.737096774193548</v>
      </c>
      <c r="R165" s="12" t="n"/>
      <c r="S165" s="12">
        <f>IF(N137=0,0,S137/N137-1)</f>
        <v>-0.44474034620506</v>
      </c>
      <c r="T165" s="12">
        <f>IF(O137=0,0,T137/O137-1)</f>
        <v>-0.798110979929162</v>
      </c>
      <c r="U165" s="12">
        <f>IF(P137=0,0,U137/P137-1)</f>
        <v>-0.4224</v>
      </c>
      <c r="V165" s="12">
        <f>IF(Q137=0,0,V137/Q137-1)</f>
        <v>3.00557103064067</v>
      </c>
      <c r="W165" s="12" t="n"/>
      <c r="X165" s="12">
        <f>IF(S137=0,0,X137/S137-1)</f>
        <v>-1</v>
      </c>
      <c r="Y165" s="12">
        <f>IF(T137=0,0,Y137/T137-1)</f>
        <v>-1</v>
      </c>
      <c r="Z165" s="12">
        <f>IF(U137=0,0,Z137/U137-1)</f>
        <v>-1</v>
      </c>
      <c r="AA165" s="12">
        <f>IF(V137=0,0,AA137/V137-1)</f>
        <v>-1</v>
      </c>
      <c r="AB165" s="12" t="n"/>
      <c r="AC165" s="12">
        <f>IF(X137=0,0,AC137/X137-1)</f>
        <v>0</v>
      </c>
      <c r="AD165" s="12">
        <f>IF(Y137=0,0,AD137/Y137-1)</f>
        <v>0</v>
      </c>
      <c r="AE165" s="12">
        <f>IF(Z137=0,0,AE137/Z137-1)</f>
        <v>0</v>
      </c>
      <c r="AF165" s="12">
        <f>IF(AA137=0,0,AF137/AA137-1)</f>
        <v>0</v>
      </c>
      <c r="AG165" s="12" t="n"/>
      <c r="AH165" s="11">
        <f>IF(AC137=0,0,AH137/AC137-1)</f>
        <v>0</v>
      </c>
      <c r="AI165" s="11">
        <f>IF(AD137=0,0,AI137/AD137-1)</f>
        <v>0</v>
      </c>
      <c r="AJ165" s="11" t="n"/>
      <c r="AK165" s="11" t="n"/>
      <c r="AL165" s="12" t="n"/>
      <c r="AM165" s="11" t="n"/>
      <c r="AN165" s="11" t="n"/>
      <c r="AO165" s="11" t="n"/>
      <c r="AP165" s="11" t="n"/>
      <c r="AQ165" s="12" t="n"/>
      <c r="AR165" s="11" t="n"/>
      <c r="AS165" s="11" t="n"/>
      <c r="AT165" s="11" t="n"/>
      <c r="AU165" s="11" t="n"/>
      <c r="AV165" s="12" t="n"/>
      <c r="AW165" s="11" t="n"/>
      <c r="AX165" s="11" t="n"/>
      <c r="AY165" s="11" t="n"/>
      <c r="AZ165" s="11" t="n"/>
      <c r="BA165" s="12" t="n"/>
      <c r="BB165" s="11" t="n"/>
      <c r="BC165" s="11" t="n"/>
      <c r="BD165" s="11" t="n"/>
      <c r="BE165" s="11" t="n"/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Dividends (enter as -)</t>
        </is>
      </c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1" t="n"/>
      <c r="AI166" s="11" t="n"/>
      <c r="AJ166" s="11" t="n"/>
      <c r="AK166" s="11" t="n"/>
      <c r="AL166" s="12" t="n"/>
      <c r="AM166" s="11" t="n"/>
      <c r="AN166" s="11" t="n"/>
      <c r="AO166" s="11" t="n"/>
      <c r="AP166" s="11" t="n"/>
      <c r="AQ166" s="12" t="n"/>
      <c r="AR166" s="11" t="n"/>
      <c r="AS166" s="11" t="n"/>
      <c r="AT166" s="11" t="n"/>
      <c r="AU166" s="11" t="n"/>
      <c r="AV166" s="12" t="n"/>
      <c r="AW166" s="11" t="n"/>
      <c r="AX166" s="11" t="n"/>
      <c r="AY166" s="11" t="n"/>
      <c r="AZ166" s="11" t="n"/>
      <c r="BA166" s="12" t="n"/>
      <c r="BB166" s="11" t="n"/>
      <c r="BC166" s="11" t="n"/>
      <c r="BD166" s="11" t="n"/>
      <c r="BE166" s="11" t="n"/>
      <c r="BF166" s="12" t="n"/>
      <c r="BG166" s="11" t="n"/>
      <c r="BH166" s="11" t="n"/>
      <c r="BI166" s="11" t="n"/>
      <c r="BJ166" s="11" t="n"/>
      <c r="BK166" s="12" t="n"/>
      <c r="BL166" s="11" t="n"/>
      <c r="BM166" s="11" t="n"/>
      <c r="BN166" s="11" t="n"/>
      <c r="BO166" s="11" t="n"/>
      <c r="BP166" s="12" t="n"/>
      <c r="BQ166" s="11" t="n"/>
      <c r="BR166" s="11" t="n"/>
      <c r="BS166" s="11" t="n"/>
      <c r="BT166" s="11" t="n"/>
      <c r="BU166" s="12" t="n"/>
      <c r="BV166" s="11" t="n"/>
      <c r="BW166" s="11" t="n"/>
      <c r="BX166" s="11" t="n"/>
      <c r="BY166" s="11" t="n"/>
      <c r="BZ166" s="12" t="n"/>
      <c r="CA166" s="11" t="n"/>
      <c r="CB166" s="11" t="n"/>
      <c r="CC166" s="11" t="n"/>
      <c r="CD166" s="11" t="n"/>
      <c r="CE166" s="12" t="n"/>
      <c r="CF166" s="11" t="n"/>
      <c r="CG166" s="11" t="n"/>
      <c r="CH166" s="11" t="n"/>
      <c r="CI166" s="11" t="n"/>
      <c r="CJ166" s="12" t="n"/>
      <c r="CK166" s="11" t="n"/>
      <c r="CL166" s="11" t="n"/>
      <c r="CM166" s="11" t="n"/>
      <c r="CN166" s="11" t="n"/>
      <c r="CO166" s="12" t="n"/>
      <c r="CP166" s="11" t="n"/>
      <c r="CQ166" s="11" t="n"/>
      <c r="CR166" s="11" t="n"/>
      <c r="CS166" s="11" t="n"/>
      <c r="CT166" s="12" t="n"/>
      <c r="CU166" s="11" t="n"/>
      <c r="CV166" s="11" t="n"/>
      <c r="CW166" s="11" t="n"/>
      <c r="CX166" s="11" t="n"/>
      <c r="CY166" s="12" t="n"/>
    </row>
    <row r="167" hidden="1" outlineLevel="1">
      <c r="C167" s="57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collapsed="1">
      <c r="C168" s="14" t="inlineStr">
        <is>
          <t>PP&amp;E</t>
        </is>
      </c>
      <c r="D168" s="46" t="n"/>
      <c r="E168" s="46" t="n"/>
      <c r="F168" s="46" t="n"/>
      <c r="G168" s="46" t="n"/>
      <c r="H168" s="12" t="n"/>
      <c r="I168" s="46">
        <f>'Inputs (2)'!D22</f>
        <v>221.832</v>
      </c>
      <c r="J168" s="46">
        <f>'Inputs (2)'!E22</f>
        <v>219.165</v>
      </c>
      <c r="K168" s="46">
        <f>'Inputs (2)'!F22</f>
        <v>216.543</v>
      </c>
      <c r="L168" s="46">
        <f>'Inputs (2)'!G22</f>
        <v>225.727</v>
      </c>
      <c r="M168" s="12">
        <f>'Inputs (2)'!H22</f>
        <v>225.727</v>
      </c>
      <c r="N168" s="46">
        <f>'Inputs (2)'!I22</f>
        <v>224.408</v>
      </c>
      <c r="O168" s="46">
        <f>'Inputs (2)'!J22</f>
        <v>221.096</v>
      </c>
      <c r="P168" s="46">
        <f>'Inputs (2)'!K22</f>
        <v>220.143</v>
      </c>
      <c r="Q168" s="46">
        <f>'Inputs (2)'!L22</f>
        <v>219.501</v>
      </c>
      <c r="R168" s="12">
        <f>'Inputs (2)'!M22</f>
        <v>219.501</v>
      </c>
      <c r="S168" s="46">
        <f>'Inputs (2)'!N22</f>
        <v>215.897</v>
      </c>
      <c r="T168" s="46">
        <f>'Inputs (2)'!O22</f>
        <v>220.937</v>
      </c>
      <c r="U168" s="46">
        <f>'Inputs (2)'!P22</f>
        <v>221.348</v>
      </c>
      <c r="V168" s="46">
        <f>'Inputs (2)'!Q22</f>
        <v>218.627</v>
      </c>
      <c r="W168" s="12">
        <f>'Inputs (2)'!R22</f>
        <v>218.627</v>
      </c>
      <c r="X168" s="46">
        <f>'Inputs (2)'!S22</f>
        <v>219.212</v>
      </c>
      <c r="Y168" s="46">
        <f>'Inputs (2)'!T22</f>
        <v>217.813</v>
      </c>
      <c r="Z168" s="46">
        <f>'Inputs (2)'!U22</f>
        <v>216.721</v>
      </c>
      <c r="AA168" s="46">
        <f>'Inputs (2)'!V22</f>
        <v>216.485</v>
      </c>
      <c r="AB168" s="12">
        <f>'Inputs (2)'!W22</f>
        <v>216.485</v>
      </c>
      <c r="AC168" s="46">
        <f>'Inputs (2)'!X22</f>
        <v>224.254</v>
      </c>
      <c r="AD168" s="46">
        <f>'Inputs (2)'!Y22</f>
        <v>226.359</v>
      </c>
      <c r="AE168" s="46">
        <f>'Inputs (2)'!Z22</f>
        <v>235.099</v>
      </c>
      <c r="AF168" s="46">
        <f>'Inputs (2)'!AA22</f>
        <v>245.83</v>
      </c>
      <c r="AG168" s="12">
        <f>'Inputs (2)'!AB22</f>
        <v>245.83</v>
      </c>
      <c r="AH168" s="12">
        <f>'Inputs (2)'!AC22</f>
        <v>245.063</v>
      </c>
      <c r="AI168" s="12">
        <f>'Inputs (2)'!AD22</f>
        <v>257.762</v>
      </c>
      <c r="AJ168" s="12">
        <f>AJ173</f>
        <v>264.985868657813</v>
      </c>
      <c r="AK168" s="12">
        <f>AK173</f>
        <v>272.557206899159</v>
      </c>
      <c r="AL168" s="12">
        <f>AK168</f>
        <v>272.557206899159</v>
      </c>
      <c r="AM168" s="12">
        <f>AM173</f>
        <v>280.350373765053</v>
      </c>
      <c r="AN168" s="12">
        <f>AN173</f>
        <v>287.962584657195</v>
      </c>
      <c r="AO168" s="12">
        <f>AO173</f>
        <v>295.668839411565</v>
      </c>
      <c r="AP168" s="12">
        <f>AP173</f>
        <v>303.745766620951</v>
      </c>
      <c r="AQ168" s="12">
        <f>AP168</f>
        <v>303.745766620951</v>
      </c>
      <c r="AR168" s="12">
        <f>AR173</f>
        <v>312.02036960365</v>
      </c>
      <c r="AS168" s="12">
        <f>AS173</f>
        <v>320.102837750035</v>
      </c>
      <c r="AT168" s="12">
        <f>AT173</f>
        <v>328.285159477933</v>
      </c>
      <c r="AU168" s="12">
        <f>AU173</f>
        <v>336.861052581199</v>
      </c>
      <c r="AV168" s="12">
        <f>AU168</f>
        <v>336.861052581199</v>
      </c>
      <c r="AW168" s="12">
        <f>AW173</f>
        <v>345.605460199437</v>
      </c>
      <c r="AX168" s="12">
        <f>AX173</f>
        <v>354.146824199762</v>
      </c>
      <c r="AY168" s="12">
        <f>AY173</f>
        <v>362.793711138253</v>
      </c>
      <c r="AZ168" s="12">
        <f>AZ173</f>
        <v>371.856515135277</v>
      </c>
      <c r="BA168" s="12">
        <f>AZ168</f>
        <v>371.856515135277</v>
      </c>
      <c r="BB168" s="12">
        <f>BB173</f>
        <v>381.053679306925</v>
      </c>
      <c r="BC168" s="12">
        <f>BC173</f>
        <v>390.037286932552</v>
      </c>
      <c r="BD168" s="12">
        <f>BD173</f>
        <v>399.13188112566</v>
      </c>
      <c r="BE168" s="12">
        <f>BE173</f>
        <v>408.663927189278</v>
      </c>
      <c r="BF168" s="12">
        <f>BE168</f>
        <v>408.663927189278</v>
      </c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  <c r="BN169" s="12" t="n"/>
      <c r="BO169" s="12" t="n"/>
      <c r="BP169" s="12" t="n"/>
      <c r="BQ169" s="12" t="n"/>
      <c r="BR169" s="12" t="n"/>
      <c r="BS169" s="12" t="n"/>
      <c r="BT169" s="12" t="n"/>
      <c r="BU169" s="12" t="n"/>
      <c r="BV169" s="12" t="n"/>
      <c r="BW169" s="12" t="n"/>
      <c r="BX169" s="12" t="n"/>
      <c r="BY169" s="12" t="n"/>
      <c r="BZ169" s="12" t="n"/>
      <c r="CA169" s="12" t="n"/>
      <c r="CB169" s="12" t="n"/>
      <c r="CC169" s="12" t="n"/>
      <c r="CD169" s="12" t="n"/>
      <c r="CE169" s="12" t="n"/>
      <c r="CF169" s="12" t="n"/>
      <c r="CG169" s="12" t="n"/>
      <c r="CH169" s="12" t="n"/>
      <c r="CI169" s="12" t="n"/>
      <c r="CJ169" s="12" t="n"/>
      <c r="CK169" s="12" t="n"/>
      <c r="CL169" s="12" t="n"/>
      <c r="CM169" s="12" t="n"/>
      <c r="CN169" s="12" t="n"/>
      <c r="CO169" s="12" t="n"/>
      <c r="CP169" s="12" t="n"/>
      <c r="CQ169" s="12" t="n"/>
      <c r="CR169" s="12" t="n"/>
      <c r="CS169" s="12" t="n"/>
      <c r="CT169" s="12" t="n"/>
      <c r="CU169" s="12" t="n"/>
      <c r="CV169" s="12" t="n"/>
      <c r="CW169" s="12" t="n"/>
      <c r="CX169" s="12" t="n"/>
      <c r="CY169" s="12" t="n"/>
    </row>
    <row r="170" hidden="1" outlineLevel="1">
      <c r="C170" s="57" t="inlineStr">
        <is>
          <t>Capital expenditures</t>
        </is>
      </c>
      <c r="D170" s="12" t="n"/>
      <c r="E170" s="12" t="n"/>
      <c r="F170" s="12" t="n"/>
      <c r="G170" s="12" t="n"/>
      <c r="H170" s="12" t="n"/>
      <c r="I170" s="12" t="n"/>
      <c r="J170" s="12">
        <f>J168-I168-J72</f>
        <v>94.955</v>
      </c>
      <c r="K170" s="12">
        <f>K168-J168-K72</f>
        <v>98.202</v>
      </c>
      <c r="L170" s="12">
        <f>L168-K168-L72</f>
        <v>110.828</v>
      </c>
      <c r="M170" s="12" t="n"/>
      <c r="N170" s="12">
        <f>N168-M168-N72</f>
        <v>104.061</v>
      </c>
      <c r="O170" s="12">
        <f>O168-N168-O72</f>
        <v>103.015</v>
      </c>
      <c r="P170" s="12">
        <f>P168-O168-P72</f>
        <v>106.742</v>
      </c>
      <c r="Q170" s="12">
        <f>Q168-P168-Q72</f>
        <v>113.376</v>
      </c>
      <c r="R170" s="12" t="n"/>
      <c r="S170" s="12">
        <f>S168-R168-S72</f>
        <v>112.68</v>
      </c>
      <c r="T170" s="12">
        <f>T168-S168-T72</f>
        <v>122.816</v>
      </c>
      <c r="U170" s="12">
        <f>U168-T168-U72</f>
        <v>122.044</v>
      </c>
      <c r="V170" s="12">
        <f>V168-U168-V72</f>
        <v>121.694</v>
      </c>
      <c r="W170" s="12" t="n"/>
      <c r="X170" s="12">
        <f>X168-W168-X72</f>
        <v>133.974</v>
      </c>
      <c r="Y170" s="12">
        <f>Y168-X168-Y72</f>
        <v>135.844</v>
      </c>
      <c r="Z170" s="12">
        <f>Z168-Y168-Z72</f>
        <v>140.844</v>
      </c>
      <c r="AA170" s="12">
        <f>AA168-Z168-AA72</f>
        <v>147.145</v>
      </c>
      <c r="AB170" s="12" t="n"/>
      <c r="AC170" s="12">
        <f>AC168-AB168-AC72</f>
        <v>159.103</v>
      </c>
      <c r="AD170" s="12">
        <f>AD168-AC168-AD72</f>
        <v>156.026</v>
      </c>
      <c r="AE170" s="12">
        <f>AE168-AD168-AE72</f>
        <v>163.713</v>
      </c>
      <c r="AF170" s="11">
        <f>AF168-AE168-AF72</f>
        <v>176.754</v>
      </c>
      <c r="AG170" s="12">
        <f>SUM(AC170:AF170)</f>
        <v>655.596</v>
      </c>
      <c r="AH170" s="11">
        <f>AH168-AG168-AH72</f>
        <v>171.632</v>
      </c>
      <c r="AI170" s="11">
        <f>AI168-AH168-AI72</f>
        <v>187.553</v>
      </c>
      <c r="AJ170" s="11">
        <f>AJ15*Control!$B$24</f>
        <v>176.698924606867</v>
      </c>
      <c r="AK170" s="11">
        <f>AK15*Control!$B$24</f>
        <v>185.198179597835</v>
      </c>
      <c r="AL170" s="12" t="n"/>
      <c r="AM170" s="11">
        <f>AM15*Control!$C$24</f>
        <v>190.624202863406</v>
      </c>
      <c r="AN170" s="11">
        <f>AN15*Control!$C$24</f>
        <v>186.197942160467</v>
      </c>
      <c r="AO170" s="11">
        <f>AO15*Control!$C$24</f>
        <v>188.498295351908</v>
      </c>
      <c r="AP170" s="11">
        <f>AP15*Control!$C$24</f>
        <v>197.565102527577</v>
      </c>
      <c r="AQ170" s="12" t="n"/>
      <c r="AR170" s="11">
        <f>AR15*Control!$D$24</f>
        <v>202.400336696381</v>
      </c>
      <c r="AS170" s="11">
        <f>AS15*Control!$D$24</f>
        <v>197.700636222235</v>
      </c>
      <c r="AT170" s="11">
        <f>AT15*Control!$D$24</f>
        <v>200.143097638332</v>
      </c>
      <c r="AU170" s="11">
        <f>AU15*Control!$D$24</f>
        <v>209.770022223725</v>
      </c>
      <c r="AV170" s="12" t="n"/>
      <c r="AW170" s="11">
        <f>AW15*Control!$E$24</f>
        <v>213.89195951059</v>
      </c>
      <c r="AX170" s="11">
        <f>AX15*Control!$E$24</f>
        <v>208.92542556141</v>
      </c>
      <c r="AY170" s="11">
        <f>AY15*Control!$E$24</f>
        <v>211.506561871977</v>
      </c>
      <c r="AZ170" s="11">
        <f>AZ15*Control!$E$24</f>
        <v>221.680071448294</v>
      </c>
      <c r="BA170" s="12" t="n"/>
      <c r="BB170" s="11">
        <f>BB15*Control!$F$24</f>
        <v>224.966578926575</v>
      </c>
      <c r="BC170" s="11">
        <f>BC15*Control!$F$24</f>
        <v>219.74289424845</v>
      </c>
      <c r="BD170" s="11">
        <f>BD15*Control!$F$24</f>
        <v>222.457673274554</v>
      </c>
      <c r="BE170" s="11">
        <f>BE15*Control!$F$24</f>
        <v>233.157933584934</v>
      </c>
      <c r="BF170" s="12" t="n"/>
      <c r="BG170" s="11" t="n"/>
      <c r="BH170" s="11" t="n"/>
      <c r="BI170" s="11" t="n"/>
      <c r="BJ170" s="11" t="n"/>
      <c r="BK170" s="12" t="n"/>
      <c r="BL170" s="11" t="n"/>
      <c r="BM170" s="11" t="n"/>
      <c r="BN170" s="11" t="n"/>
      <c r="BO170" s="11" t="n"/>
      <c r="BP170" s="12" t="n"/>
      <c r="BQ170" s="11" t="n"/>
      <c r="BR170" s="11" t="n"/>
      <c r="BS170" s="11" t="n"/>
      <c r="BT170" s="11" t="n"/>
      <c r="BU170" s="12" t="n"/>
      <c r="BV170" s="11" t="n"/>
      <c r="BW170" s="11" t="n"/>
      <c r="BX170" s="11" t="n"/>
      <c r="BY170" s="11" t="n"/>
      <c r="BZ170" s="12" t="n"/>
      <c r="CA170" s="11" t="n"/>
      <c r="CB170" s="11" t="n"/>
      <c r="CC170" s="11" t="n"/>
      <c r="CD170" s="11" t="n"/>
      <c r="CE170" s="12" t="n"/>
      <c r="CF170" s="11" t="n"/>
      <c r="CG170" s="11" t="n"/>
      <c r="CH170" s="11" t="n"/>
      <c r="CI170" s="11" t="n"/>
      <c r="CJ170" s="12" t="n"/>
      <c r="CK170" s="11" t="n"/>
      <c r="CL170" s="11" t="n"/>
      <c r="CM170" s="11" t="n"/>
      <c r="CN170" s="11" t="n"/>
      <c r="CO170" s="12" t="n"/>
      <c r="CP170" s="11" t="n"/>
      <c r="CQ170" s="11" t="n"/>
      <c r="CR170" s="11" t="n"/>
      <c r="CS170" s="11" t="n"/>
      <c r="CT170" s="12" t="n"/>
      <c r="CU170" s="11" t="n"/>
      <c r="CV170" s="11" t="n"/>
      <c r="CW170" s="11" t="n"/>
      <c r="CX170" s="11" t="n"/>
      <c r="CY170" s="12" t="n"/>
    </row>
    <row r="171" hidden="1" outlineLevel="1">
      <c r="C171" s="57" t="inlineStr">
        <is>
          <t>Recurring asset sales (enter as -)</t>
        </is>
      </c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>
        <f>SUM(I171:L171)</f>
        <v>0</v>
      </c>
      <c r="N171" s="12" t="n"/>
      <c r="O171" s="12" t="n"/>
      <c r="P171" s="12" t="n"/>
      <c r="Q171" s="12" t="n"/>
      <c r="R171" s="12">
        <f>SUM(N171:Q171)</f>
        <v>0</v>
      </c>
      <c r="S171" s="12" t="n"/>
      <c r="T171" s="12" t="n"/>
      <c r="U171" s="12" t="n"/>
      <c r="V171" s="12" t="n"/>
      <c r="W171" s="12">
        <f>SUM(S171:V171)</f>
        <v>0</v>
      </c>
      <c r="X171" s="12" t="n"/>
      <c r="Y171" s="12" t="n"/>
      <c r="Z171" s="12" t="n"/>
      <c r="AA171" s="12" t="n"/>
      <c r="AB171" s="12">
        <f>SUM(X171:AA171)</f>
        <v>0</v>
      </c>
      <c r="AC171" s="12" t="n"/>
      <c r="AD171" s="12" t="n"/>
      <c r="AE171" s="12" t="n"/>
      <c r="AF171" s="11" t="n"/>
      <c r="AG171" s="12">
        <f>SUM(AC171:AF171)</f>
        <v>0</v>
      </c>
      <c r="AH171" s="11" t="n"/>
      <c r="AI171" s="11" t="n"/>
      <c r="AJ171" s="11">
        <f>0</f>
        <v>0</v>
      </c>
      <c r="AK171" s="11">
        <f>0</f>
        <v>0</v>
      </c>
      <c r="AL171" s="12" t="n"/>
      <c r="AM171" s="11">
        <f>0</f>
        <v>0</v>
      </c>
      <c r="AN171" s="11">
        <f>0</f>
        <v>0</v>
      </c>
      <c r="AO171" s="11">
        <f>0</f>
        <v>0</v>
      </c>
      <c r="AP171" s="11">
        <f>0</f>
        <v>0</v>
      </c>
      <c r="AQ171" s="12" t="n"/>
      <c r="AR171" s="11">
        <f>0</f>
        <v>0</v>
      </c>
      <c r="AS171" s="11">
        <f>0</f>
        <v>0</v>
      </c>
      <c r="AT171" s="11">
        <f>0</f>
        <v>0</v>
      </c>
      <c r="AU171" s="11">
        <f>0</f>
        <v>0</v>
      </c>
      <c r="AV171" s="12" t="n"/>
      <c r="AW171" s="11">
        <f>0</f>
        <v>0</v>
      </c>
      <c r="AX171" s="11">
        <f>0</f>
        <v>0</v>
      </c>
      <c r="AY171" s="11">
        <f>0</f>
        <v>0</v>
      </c>
      <c r="AZ171" s="11">
        <f>0</f>
        <v>0</v>
      </c>
      <c r="BA171" s="12" t="n"/>
      <c r="BB171" s="11">
        <f>0</f>
        <v>0</v>
      </c>
      <c r="BC171" s="11">
        <f>0</f>
        <v>0</v>
      </c>
      <c r="BD171" s="11">
        <f>0</f>
        <v>0</v>
      </c>
      <c r="BE171" s="11">
        <f>0</f>
        <v>0</v>
      </c>
      <c r="BF171" s="12" t="n"/>
      <c r="BG171" s="11" t="n"/>
      <c r="BH171" s="11" t="n"/>
      <c r="BI171" s="11" t="n"/>
      <c r="BJ171" s="11" t="n"/>
      <c r="BK171" s="12" t="n"/>
      <c r="BL171" s="11" t="n"/>
      <c r="BM171" s="11" t="n"/>
      <c r="BN171" s="11" t="n"/>
      <c r="BO171" s="11" t="n"/>
      <c r="BP171" s="12" t="n"/>
      <c r="BQ171" s="11" t="n"/>
      <c r="BR171" s="11" t="n"/>
      <c r="BS171" s="11" t="n"/>
      <c r="BT171" s="11" t="n"/>
      <c r="BU171" s="12" t="n"/>
      <c r="BV171" s="11" t="n"/>
      <c r="BW171" s="11" t="n"/>
      <c r="BX171" s="11" t="n"/>
      <c r="BY171" s="11" t="n"/>
      <c r="BZ171" s="12" t="n"/>
      <c r="CA171" s="11" t="n"/>
      <c r="CB171" s="11" t="n"/>
      <c r="CC171" s="11" t="n"/>
      <c r="CD171" s="11" t="n"/>
      <c r="CE171" s="12" t="n"/>
      <c r="CF171" s="11" t="n"/>
      <c r="CG171" s="11" t="n"/>
      <c r="CH171" s="11" t="n"/>
      <c r="CI171" s="11" t="n"/>
      <c r="CJ171" s="12" t="n"/>
      <c r="CK171" s="11" t="n"/>
      <c r="CL171" s="11" t="n"/>
      <c r="CM171" s="11" t="n"/>
      <c r="CN171" s="11" t="n"/>
      <c r="CO171" s="12" t="n"/>
      <c r="CP171" s="11" t="n"/>
      <c r="CQ171" s="11" t="n"/>
      <c r="CR171" s="11" t="n"/>
      <c r="CS171" s="11" t="n"/>
      <c r="CT171" s="12" t="n"/>
      <c r="CU171" s="11" t="n"/>
      <c r="CV171" s="11" t="n"/>
      <c r="CW171" s="11" t="n"/>
      <c r="CX171" s="11" t="n"/>
      <c r="CY171" s="12" t="n"/>
    </row>
    <row r="172" hidden="1" outlineLevel="1">
      <c r="C172" s="57" t="inlineStr">
        <is>
          <t>Depreciation</t>
        </is>
      </c>
      <c r="D172" s="12" t="n"/>
      <c r="E172" s="12" t="n"/>
      <c r="F172" s="12" t="n"/>
      <c r="G172" s="12" t="n"/>
      <c r="H172" s="12" t="n"/>
      <c r="I172" s="12">
        <f>I72</f>
        <v>-94.376</v>
      </c>
      <c r="J172" s="12">
        <f>J72</f>
        <v>-97.622</v>
      </c>
      <c r="K172" s="12">
        <f>K72</f>
        <v>-100.824</v>
      </c>
      <c r="L172" s="12">
        <f>L72</f>
        <v>-101.644</v>
      </c>
      <c r="M172" s="12" t="n"/>
      <c r="N172" s="12">
        <f>N72</f>
        <v>-105.38</v>
      </c>
      <c r="O172" s="12">
        <f>O72</f>
        <v>-106.327</v>
      </c>
      <c r="P172" s="12">
        <f>P72</f>
        <v>-107.695</v>
      </c>
      <c r="Q172" s="12">
        <f>Q72</f>
        <v>-114.018</v>
      </c>
      <c r="R172" s="12" t="n"/>
      <c r="S172" s="12">
        <f>S72</f>
        <v>-116.284</v>
      </c>
      <c r="T172" s="12">
        <f>T72</f>
        <v>-117.776</v>
      </c>
      <c r="U172" s="12">
        <f>U72</f>
        <v>-121.633</v>
      </c>
      <c r="V172" s="12">
        <f>V72</f>
        <v>-124.415</v>
      </c>
      <c r="W172" s="12" t="n"/>
      <c r="X172" s="12">
        <f>X72</f>
        <v>-133.389</v>
      </c>
      <c r="Y172" s="12">
        <f>Y72</f>
        <v>-137.243</v>
      </c>
      <c r="Z172" s="12">
        <f>Z72</f>
        <v>-141.936</v>
      </c>
      <c r="AA172" s="12">
        <f>AA72</f>
        <v>-147.381</v>
      </c>
      <c r="AB172" s="12" t="n"/>
      <c r="AC172" s="12">
        <f>AC72</f>
        <v>-151.334</v>
      </c>
      <c r="AD172" s="12">
        <f>AD72</f>
        <v>-153.921</v>
      </c>
      <c r="AE172" s="12">
        <f>AE72</f>
        <v>-154.973</v>
      </c>
      <c r="AF172" s="12">
        <f>AF72</f>
        <v>-166.023</v>
      </c>
      <c r="AG172" s="12" t="n"/>
      <c r="AH172" s="12">
        <f>AH72</f>
        <v>-172.399</v>
      </c>
      <c r="AI172" s="12">
        <f>AI72</f>
        <v>-174.854</v>
      </c>
      <c r="AJ172" s="12">
        <f>AJ72</f>
        <v>-169.475055949055</v>
      </c>
      <c r="AK172" s="12">
        <f>AK72</f>
        <v>-177.626841356489</v>
      </c>
      <c r="AL172" s="12" t="n"/>
      <c r="AM172" s="12">
        <f>AM72</f>
        <v>-182.831035997512</v>
      </c>
      <c r="AN172" s="12">
        <f>AN72</f>
        <v>-178.585731268325</v>
      </c>
      <c r="AO172" s="12">
        <f>AO72</f>
        <v>-180.792040597538</v>
      </c>
      <c r="AP172" s="12">
        <f>AP72</f>
        <v>-189.488175318191</v>
      </c>
      <c r="AQ172" s="12" t="n"/>
      <c r="AR172" s="12">
        <f>AR72</f>
        <v>-194.125733713682</v>
      </c>
      <c r="AS172" s="12">
        <f>AS72</f>
        <v>-189.61816807585</v>
      </c>
      <c r="AT172" s="12">
        <f>AT72</f>
        <v>-191.960775910434</v>
      </c>
      <c r="AU172" s="12">
        <f>AU72</f>
        <v>-201.194129120458</v>
      </c>
      <c r="AV172" s="12" t="n"/>
      <c r="AW172" s="12">
        <f>AW72</f>
        <v>-205.147551892352</v>
      </c>
      <c r="AX172" s="12">
        <f>AX72</f>
        <v>-200.384061561085</v>
      </c>
      <c r="AY172" s="12">
        <f>AY72</f>
        <v>-202.859674933486</v>
      </c>
      <c r="AZ172" s="12">
        <f>AZ72</f>
        <v>-212.61726745127</v>
      </c>
      <c r="BA172" s="12" t="n"/>
      <c r="BB172" s="12">
        <f>BB72</f>
        <v>-215.769414754927</v>
      </c>
      <c r="BC172" s="12">
        <f>BC72</f>
        <v>-210.759286622823</v>
      </c>
      <c r="BD172" s="12">
        <f>BD72</f>
        <v>-213.363079081446</v>
      </c>
      <c r="BE172" s="12">
        <f>BE72</f>
        <v>-223.625887521315</v>
      </c>
      <c r="BF172" s="12" t="n"/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7" t="inlineStr">
        <is>
          <t>PP&amp;E</t>
        </is>
      </c>
      <c r="D173" s="12" t="n"/>
      <c r="E173" s="12" t="n"/>
      <c r="F173" s="12" t="n"/>
      <c r="G173" s="12" t="n"/>
      <c r="H173" s="12" t="n"/>
      <c r="I173" s="12">
        <f>I168</f>
        <v>221.832</v>
      </c>
      <c r="J173" s="12">
        <f>J168</f>
        <v>219.165</v>
      </c>
      <c r="K173" s="12">
        <f>K168</f>
        <v>216.543</v>
      </c>
      <c r="L173" s="12">
        <f>L168</f>
        <v>225.727</v>
      </c>
      <c r="M173" s="12" t="n"/>
      <c r="N173" s="12">
        <f>N168</f>
        <v>224.408</v>
      </c>
      <c r="O173" s="12">
        <f>O168</f>
        <v>221.096</v>
      </c>
      <c r="P173" s="12">
        <f>P168</f>
        <v>220.143</v>
      </c>
      <c r="Q173" s="12">
        <f>Q168</f>
        <v>219.501</v>
      </c>
      <c r="R173" s="12" t="n"/>
      <c r="S173" s="12">
        <f>S168</f>
        <v>215.897</v>
      </c>
      <c r="T173" s="12">
        <f>T168</f>
        <v>220.937</v>
      </c>
      <c r="U173" s="12">
        <f>U168</f>
        <v>221.348</v>
      </c>
      <c r="V173" s="12">
        <f>V168</f>
        <v>218.627</v>
      </c>
      <c r="W173" s="12" t="n"/>
      <c r="X173" s="12">
        <f>X168</f>
        <v>219.212</v>
      </c>
      <c r="Y173" s="12">
        <f>Y168</f>
        <v>217.813</v>
      </c>
      <c r="Z173" s="12">
        <f>Z168</f>
        <v>216.721</v>
      </c>
      <c r="AA173" s="12">
        <f>Y173+SUM(AA170:AA172)</f>
        <v>217.577</v>
      </c>
      <c r="AB173" s="12" t="n"/>
      <c r="AC173" s="12">
        <f>AC168</f>
        <v>224.254</v>
      </c>
      <c r="AD173" s="12">
        <f>AD168</f>
        <v>226.359</v>
      </c>
      <c r="AE173" s="12">
        <f>AE168</f>
        <v>235.099</v>
      </c>
      <c r="AF173" s="12">
        <f>AF168</f>
        <v>245.83</v>
      </c>
      <c r="AG173" s="12" t="n"/>
      <c r="AH173" s="12">
        <f>AH168</f>
        <v>245.063</v>
      </c>
      <c r="AI173" s="12">
        <f>AI168</f>
        <v>257.762</v>
      </c>
      <c r="AJ173" s="12">
        <f>AI173+SUM(AJ170:AJ172)</f>
        <v>264.985868657813</v>
      </c>
      <c r="AK173" s="12">
        <f>AJ173+SUM(AK170:AK172)</f>
        <v>272.557206899159</v>
      </c>
      <c r="AL173" s="12" t="n"/>
      <c r="AM173" s="12">
        <f>AK173+SUM(AM170:AM172)</f>
        <v>280.350373765053</v>
      </c>
      <c r="AN173" s="12">
        <f>AM173+SUM(AN170:AN172)</f>
        <v>287.962584657195</v>
      </c>
      <c r="AO173" s="12">
        <f>AN173+SUM(AO170:AO172)</f>
        <v>295.668839411565</v>
      </c>
      <c r="AP173" s="12">
        <f>AO173+SUM(AP170:AP172)</f>
        <v>303.745766620951</v>
      </c>
      <c r="AQ173" s="12" t="n"/>
      <c r="AR173" s="12">
        <f>AP173+SUM(AR170:AR172)</f>
        <v>312.02036960365</v>
      </c>
      <c r="AS173" s="12">
        <f>AR173+SUM(AS170:AS172)</f>
        <v>320.102837750035</v>
      </c>
      <c r="AT173" s="12">
        <f>AS173+SUM(AT170:AT172)</f>
        <v>328.285159477933</v>
      </c>
      <c r="AU173" s="12">
        <f>AT173+SUM(AU170:AU172)</f>
        <v>336.861052581199</v>
      </c>
      <c r="AV173" s="12" t="n"/>
      <c r="AW173" s="12">
        <f>AU173+SUM(AW170:AW172)</f>
        <v>345.605460199437</v>
      </c>
      <c r="AX173" s="12">
        <f>AW173+SUM(AX170:AX172)</f>
        <v>354.146824199762</v>
      </c>
      <c r="AY173" s="12">
        <f>AX173+SUM(AY170:AY172)</f>
        <v>362.793711138253</v>
      </c>
      <c r="AZ173" s="12">
        <f>AY173+SUM(AZ170:AZ172)</f>
        <v>371.856515135277</v>
      </c>
      <c r="BA173" s="12" t="n"/>
      <c r="BB173" s="12">
        <f>AZ173+SUM(BB170:BB172)</f>
        <v>381.053679306925</v>
      </c>
      <c r="BC173" s="12">
        <f>BB173+SUM(BC170:BC172)</f>
        <v>390.037286932552</v>
      </c>
      <c r="BD173" s="12">
        <f>BC173+SUM(BD170:BD172)</f>
        <v>399.13188112566</v>
      </c>
      <c r="BE173" s="12">
        <f>BD173+SUM(BE170:BE172)</f>
        <v>408.663927189278</v>
      </c>
      <c r="BF173" s="12" t="n"/>
      <c r="BG173" s="12" t="n"/>
      <c r="BH173" s="12" t="n"/>
      <c r="BI173" s="12" t="n"/>
      <c r="BJ173" s="12" t="n"/>
      <c r="BK173" s="12" t="n"/>
      <c r="BL173" s="12" t="n"/>
      <c r="BM173" s="12" t="n"/>
      <c r="BN173" s="12" t="n"/>
      <c r="BO173" s="12" t="n"/>
      <c r="BP173" s="12" t="n"/>
      <c r="BQ173" s="12" t="n"/>
      <c r="BR173" s="12" t="n"/>
      <c r="BS173" s="12" t="n"/>
      <c r="BT173" s="12" t="n"/>
      <c r="BU173" s="12" t="n"/>
      <c r="BV173" s="12" t="n"/>
      <c r="BW173" s="12" t="n"/>
      <c r="BX173" s="12" t="n"/>
      <c r="BY173" s="12" t="n"/>
      <c r="BZ173" s="12" t="n"/>
      <c r="CA173" s="12" t="n"/>
      <c r="CB173" s="12" t="n"/>
      <c r="CC173" s="12" t="n"/>
      <c r="CD173" s="12" t="n"/>
      <c r="CE173" s="12" t="n"/>
      <c r="CF173" s="12" t="n"/>
      <c r="CG173" s="12" t="n"/>
      <c r="CH173" s="12" t="n"/>
      <c r="CI173" s="12" t="n"/>
      <c r="CJ173" s="12" t="n"/>
      <c r="CK173" s="12" t="n"/>
      <c r="CL173" s="12" t="n"/>
      <c r="CM173" s="12" t="n"/>
      <c r="CN173" s="12" t="n"/>
      <c r="CO173" s="12" t="n"/>
      <c r="CP173" s="12" t="n"/>
      <c r="CQ173" s="12" t="n"/>
      <c r="CR173" s="12" t="n"/>
      <c r="CS173" s="12" t="n"/>
      <c r="CT173" s="12" t="n"/>
      <c r="CU173" s="12" t="n"/>
      <c r="CV173" s="12" t="n"/>
      <c r="CW173" s="12" t="n"/>
      <c r="CX173" s="12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>
        <f>IF(AJ15=0,"",AJ170/AJ15)</f>
        <v>0.0918084569041786</v>
      </c>
      <c r="AK174" s="12">
        <f>IF(AK15=0,"",AK170/AK15)</f>
        <v>0.0918084569041786</v>
      </c>
      <c r="AL174" s="12" t="n"/>
      <c r="AM174" s="12">
        <f>IF(AM15=0,"",AM170/AM15)</f>
        <v>0.0918084569041786</v>
      </c>
      <c r="AN174" s="12">
        <f>IF(AN15=0,"",AN170/AN15)</f>
        <v>0.0918084569041786</v>
      </c>
      <c r="AO174" s="12">
        <f>IF(AO15=0,"",AO170/AO15)</f>
        <v>0.0918084569041786</v>
      </c>
      <c r="AP174" s="12">
        <f>IF(AP15=0,"",AP170/AP15)</f>
        <v>0.0918084569041786</v>
      </c>
      <c r="AQ174" s="12" t="n"/>
      <c r="AR174" s="12">
        <f>IF(AR15=0,"",AR170/AR15)</f>
        <v>0.0918084569041786</v>
      </c>
      <c r="AS174" s="12">
        <f>IF(AS15=0,"",AS170/AS15)</f>
        <v>0.0918084569041786</v>
      </c>
      <c r="AT174" s="12">
        <f>IF(AT15=0,"",AT170/AT15)</f>
        <v>0.0918084569041786</v>
      </c>
      <c r="AU174" s="12">
        <f>IF(AU15=0,"",AU170/AU15)</f>
        <v>0.0918084569041786</v>
      </c>
      <c r="AV174" s="12" t="n"/>
      <c r="AW174" s="12">
        <f>IF(AW15=0,"",AW170/AW15)</f>
        <v>0.0918084569041786</v>
      </c>
      <c r="AX174" s="12">
        <f>IF(AX15=0,"",AX170/AX15)</f>
        <v>0.0918084569041786</v>
      </c>
      <c r="AY174" s="12">
        <f>IF(AY15=0,"",AY170/AY15)</f>
        <v>0.0918084569041786</v>
      </c>
      <c r="AZ174" s="12">
        <f>IF(AZ15=0,"",AZ170/AZ15)</f>
        <v>0.0918084569041786</v>
      </c>
      <c r="BA174" s="12" t="n"/>
      <c r="BB174" s="12">
        <f>IF(BB15=0,"",BB170/BB15)</f>
        <v>0.0918084569041786</v>
      </c>
      <c r="BC174" s="12">
        <f>IF(BC15=0,"",BC170/BC15)</f>
        <v>0.0918084569041786</v>
      </c>
      <c r="BD174" s="12">
        <f>IF(BD15=0,"",BD170/BD15)</f>
        <v>0.0918084569041786</v>
      </c>
      <c r="BE174" s="12">
        <f>IF(BE15=0,"",BE170/BE15)</f>
        <v>0.0918084569041786</v>
      </c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hidden="1" outlineLevel="1">
      <c r="C175" s="57" t="inlineStr">
        <is>
          <t>Capital expenditures (% Net Revenues)</t>
        </is>
      </c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58">
        <f>IFERROR(AF170/AF15,"")</f>
        <v>0.0934735519463212</v>
      </c>
      <c r="AG175" s="58">
        <f>IFERROR(AG170/AG15,"")</f>
        <v>0.0909826308990058</v>
      </c>
      <c r="AH175" s="58">
        <f>IFERROR(AH170/AH15,"")</f>
        <v>0.0881812866518629</v>
      </c>
      <c r="AI175" s="58">
        <f>IFERROR(AI170/AI15,"")</f>
        <v>0.0986518756969429</v>
      </c>
      <c r="AJ175" s="58">
        <f>IFERROR(AJ170/AJ15,"")</f>
        <v>0.0918084569041786</v>
      </c>
      <c r="AK175" s="58">
        <f>IFERROR(AK170/AK15,"")</f>
        <v>0.0918084569041786</v>
      </c>
      <c r="AL175" s="58">
        <f>IFERROR(AL170/AL15,"")</f>
        <v>0</v>
      </c>
      <c r="AM175" s="58">
        <f>IFERROR(AM170/AM15,"")</f>
        <v>0.0918084569041786</v>
      </c>
      <c r="AN175" s="58">
        <f>IFERROR(AN170/AN15,"")</f>
        <v>0.0918084569041786</v>
      </c>
      <c r="AO175" s="58">
        <f>IFERROR(AO170/AO15,"")</f>
        <v>0.0918084569041786</v>
      </c>
      <c r="AP175" s="58">
        <f>IFERROR(AP170/AP15,"")</f>
        <v>0.0918084569041786</v>
      </c>
      <c r="AQ175" s="58">
        <f>IFERROR(AQ170/AQ15,"")</f>
        <v>0</v>
      </c>
      <c r="AR175" s="58">
        <f>IFERROR(AR170/AR15,"")</f>
        <v>0.0918084569041786</v>
      </c>
      <c r="AS175" s="58">
        <f>IFERROR(AS170/AS15,"")</f>
        <v>0.0918084569041786</v>
      </c>
      <c r="AT175" s="58">
        <f>IFERROR(AT170/AT15,"")</f>
        <v>0.0918084569041786</v>
      </c>
      <c r="AU175" s="58">
        <f>IFERROR(AU170/AU15,"")</f>
        <v>0.0918084569041786</v>
      </c>
      <c r="AV175" s="58">
        <f>IFERROR(AV170/AV15,"")</f>
        <v>0</v>
      </c>
      <c r="AW175" s="58">
        <f>IFERROR(AW170/AW15,"")</f>
        <v>0.0918084569041786</v>
      </c>
      <c r="AX175" s="58">
        <f>IFERROR(AX170/AX15,"")</f>
        <v>0.0918084569041786</v>
      </c>
      <c r="AY175" s="58">
        <f>IFERROR(AY170/AY15,"")</f>
        <v>0.0918084569041786</v>
      </c>
      <c r="AZ175" s="58">
        <f>IFERROR(AZ170/AZ15,"")</f>
        <v>0.0918084569041786</v>
      </c>
      <c r="BA175" s="58">
        <f>IFERROR(BA170/BA15,"")</f>
        <v>0</v>
      </c>
      <c r="BB175" s="58">
        <f>IFERROR(BB170/BB15,"")</f>
        <v>0.0918084569041786</v>
      </c>
      <c r="BC175" s="58">
        <f>IFERROR(BC170/BC15,"")</f>
        <v>0.0918084569041786</v>
      </c>
      <c r="BD175" s="58">
        <f>IFERROR(BD170/BD15,"")</f>
        <v>0.0918084569041786</v>
      </c>
      <c r="BE175" s="58">
        <f>IFERROR(BE170/BE15,"")</f>
        <v>0.0918084569041786</v>
      </c>
      <c r="BF175" s="58">
        <f>IFERROR(BF170/BF15,"")</f>
        <v>0</v>
      </c>
      <c r="BG175" s="58" t="n"/>
      <c r="BH175" s="58" t="n"/>
      <c r="BI175" s="58" t="n"/>
      <c r="BJ175" s="58" t="n"/>
      <c r="BK175" s="58" t="n"/>
      <c r="BL175" s="58" t="n"/>
      <c r="BM175" s="58" t="n"/>
      <c r="BN175" s="58" t="n"/>
      <c r="BO175" s="58" t="n"/>
      <c r="BP175" s="58" t="n"/>
      <c r="BQ175" s="58" t="n"/>
      <c r="BR175" s="58" t="n"/>
      <c r="BS175" s="58" t="n"/>
      <c r="BT175" s="58" t="n"/>
      <c r="BU175" s="58" t="n"/>
      <c r="BV175" s="58" t="n"/>
      <c r="BW175" s="58" t="n"/>
      <c r="BX175" s="58" t="n"/>
      <c r="BY175" s="58" t="n"/>
      <c r="BZ175" s="58" t="n"/>
      <c r="CA175" s="58" t="n"/>
      <c r="CB175" s="58" t="n"/>
      <c r="CC175" s="58" t="n"/>
      <c r="CD175" s="58" t="n"/>
      <c r="CE175" s="58" t="n"/>
      <c r="CF175" s="58" t="n"/>
      <c r="CG175" s="58" t="n"/>
      <c r="CH175" s="58" t="n"/>
      <c r="CI175" s="58" t="n"/>
      <c r="CJ175" s="58" t="n"/>
      <c r="CK175" s="58" t="n"/>
      <c r="CL175" s="58" t="n"/>
      <c r="CM175" s="58" t="n"/>
      <c r="CN175" s="58" t="n"/>
      <c r="CO175" s="58" t="n"/>
      <c r="CP175" s="58" t="n"/>
      <c r="CQ175" s="58" t="n"/>
      <c r="CR175" s="58" t="n"/>
      <c r="CS175" s="58" t="n"/>
      <c r="CT175" s="58" t="n"/>
      <c r="CU175" s="58" t="n"/>
      <c r="CV175" s="58" t="n"/>
      <c r="CW175" s="58" t="n"/>
      <c r="CX175" s="58" t="n"/>
      <c r="CY175" s="58" t="n"/>
    </row>
    <row r="176" hidden="1" outlineLevel="1">
      <c r="C176" s="57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  <c r="BN176" s="12" t="n"/>
      <c r="BO176" s="12" t="n"/>
      <c r="BP176" s="12" t="n"/>
      <c r="BQ176" s="12" t="n"/>
      <c r="BR176" s="12" t="n"/>
      <c r="BS176" s="12" t="n"/>
      <c r="BT176" s="12" t="n"/>
      <c r="BU176" s="12" t="n"/>
      <c r="BV176" s="12" t="n"/>
      <c r="BW176" s="12" t="n"/>
      <c r="BX176" s="12" t="n"/>
      <c r="BY176" s="12" t="n"/>
      <c r="BZ176" s="12" t="n"/>
      <c r="CA176" s="12" t="n"/>
      <c r="CB176" s="12" t="n"/>
      <c r="CC176" s="12" t="n"/>
      <c r="CD176" s="12" t="n"/>
      <c r="CE176" s="12" t="n"/>
      <c r="CF176" s="12" t="n"/>
      <c r="CG176" s="12" t="n"/>
      <c r="CH176" s="12" t="n"/>
      <c r="CI176" s="12" t="n"/>
      <c r="CJ176" s="12" t="n"/>
      <c r="CK176" s="12" t="n"/>
      <c r="CL176" s="12" t="n"/>
      <c r="CM176" s="12" t="n"/>
      <c r="CN176" s="12" t="n"/>
      <c r="CO176" s="12" t="n"/>
      <c r="CP176" s="12" t="n"/>
      <c r="CQ176" s="12" t="n"/>
      <c r="CR176" s="12" t="n"/>
      <c r="CS176" s="12" t="n"/>
      <c r="CT176" s="12" t="n"/>
      <c r="CU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collapsed="1">
      <c r="C178" s="14" t="inlineStr">
        <is>
          <t>Right-of-use-assets</t>
        </is>
      </c>
      <c r="D178" s="46" t="n"/>
      <c r="E178" s="46" t="n"/>
      <c r="F178" s="46" t="n"/>
      <c r="G178" s="46" t="n"/>
      <c r="H178" s="12" t="n"/>
      <c r="I178" s="46">
        <f>'Inputs (2)'!D23</f>
        <v>240.422</v>
      </c>
      <c r="J178" s="46">
        <f>'Inputs (2)'!E23</f>
        <v>258.617</v>
      </c>
      <c r="K178" s="46">
        <f>'Inputs (2)'!F23</f>
        <v>257.036</v>
      </c>
      <c r="L178" s="46">
        <f>'Inputs (2)'!G23</f>
        <v>269.132</v>
      </c>
      <c r="M178" s="12">
        <f>'Inputs (2)'!H23</f>
        <v>269.132</v>
      </c>
      <c r="N178" s="46">
        <f>'Inputs (2)'!I23</f>
        <v>272.419</v>
      </c>
      <c r="O178" s="46">
        <f>'Inputs (2)'!J23</f>
        <v>262.273</v>
      </c>
      <c r="P178" s="46">
        <f>'Inputs (2)'!K23</f>
        <v>260.558</v>
      </c>
      <c r="Q178" s="46">
        <f>'Inputs (2)'!L23</f>
        <v>328.512</v>
      </c>
      <c r="R178" s="12">
        <f>'Inputs (2)'!M23</f>
        <v>328.512</v>
      </c>
      <c r="S178" s="46">
        <f>'Inputs (2)'!N23</f>
        <v>313.334</v>
      </c>
      <c r="T178" s="46">
        <f>'Inputs (2)'!O23</f>
        <v>333.31</v>
      </c>
      <c r="U178" s="46">
        <f>'Inputs (2)'!P23</f>
        <v>322.478</v>
      </c>
      <c r="V178" s="46">
        <f>'Inputs (2)'!Q23</f>
        <v>333.068</v>
      </c>
      <c r="W178" s="12">
        <f>'Inputs (2)'!R23</f>
        <v>333.068</v>
      </c>
      <c r="X178" s="46">
        <f>'Inputs (2)'!S23</f>
        <v>314.868</v>
      </c>
      <c r="Y178" s="46">
        <f>'Inputs (2)'!T23</f>
        <v>325.174</v>
      </c>
      <c r="Z178" s="46">
        <f>'Inputs (2)'!U23</f>
        <v>314.296</v>
      </c>
      <c r="AA178" s="46">
        <f>'Inputs (2)'!V23</f>
        <v>301.493</v>
      </c>
      <c r="AB178" s="12">
        <f>'Inputs (2)'!W23</f>
        <v>301.493</v>
      </c>
      <c r="AC178" s="46">
        <f>'Inputs (2)'!X23</f>
        <v>294.005</v>
      </c>
      <c r="AD178" s="46">
        <f>'Inputs (2)'!Y23</f>
        <v>278.644</v>
      </c>
      <c r="AE178" s="46">
        <f>'Inputs (2)'!Z23</f>
        <v>348.363</v>
      </c>
      <c r="AF178" s="46">
        <f>'Inputs (2)'!AA23</f>
        <v>372.836</v>
      </c>
      <c r="AG178" s="12">
        <f>'Inputs (2)'!AB23</f>
        <v>372.836</v>
      </c>
      <c r="AH178" s="12">
        <f>'Inputs (2)'!AC23</f>
        <v>350.725</v>
      </c>
      <c r="AI178" s="12">
        <f>'Inputs (2)'!AD23</f>
        <v>338.35</v>
      </c>
      <c r="AJ178" s="12">
        <f>AI178</f>
        <v>338.35</v>
      </c>
      <c r="AK178" s="12">
        <f>AJ178</f>
        <v>338.35</v>
      </c>
      <c r="AL178" s="12">
        <f>AK178</f>
        <v>338.35</v>
      </c>
      <c r="AM178" s="12">
        <f>AL178</f>
        <v>338.35</v>
      </c>
      <c r="AN178" s="12">
        <f>AM178</f>
        <v>338.35</v>
      </c>
      <c r="AO178" s="12">
        <f>AN178</f>
        <v>338.35</v>
      </c>
      <c r="AP178" s="12">
        <f>AO178</f>
        <v>338.35</v>
      </c>
      <c r="AQ178" s="12">
        <f>AP178</f>
        <v>338.35</v>
      </c>
      <c r="AR178" s="12">
        <f>AQ178</f>
        <v>338.35</v>
      </c>
      <c r="AS178" s="12">
        <f>AR178</f>
        <v>338.35</v>
      </c>
      <c r="AT178" s="12">
        <f>AS178</f>
        <v>338.35</v>
      </c>
      <c r="AU178" s="12">
        <f>AT178</f>
        <v>338.35</v>
      </c>
      <c r="AV178" s="12">
        <f>AU178</f>
        <v>338.35</v>
      </c>
      <c r="AW178" s="12">
        <f>AV178</f>
        <v>338.35</v>
      </c>
      <c r="AX178" s="12">
        <f>AW178</f>
        <v>338.35</v>
      </c>
      <c r="AY178" s="12">
        <f>AX178</f>
        <v>338.35</v>
      </c>
      <c r="AZ178" s="12">
        <f>AY178</f>
        <v>338.35</v>
      </c>
      <c r="BA178" s="12">
        <f>AZ178</f>
        <v>338.35</v>
      </c>
      <c r="BB178" s="12">
        <f>BA178</f>
        <v>338.35</v>
      </c>
      <c r="BC178" s="12">
        <f>BB178</f>
        <v>338.35</v>
      </c>
      <c r="BD178" s="12">
        <f>BC178</f>
        <v>338.35</v>
      </c>
      <c r="BE178" s="12">
        <f>BD178</f>
        <v>338.35</v>
      </c>
      <c r="BF178" s="12">
        <f>BE178</f>
        <v>338.35</v>
      </c>
      <c r="BG178" s="12" t="n"/>
      <c r="BH178" s="12" t="n"/>
      <c r="BI178" s="12" t="n"/>
      <c r="BJ178" s="12" t="n"/>
      <c r="BK178" s="12" t="n"/>
      <c r="BL178" s="12" t="n"/>
      <c r="BM178" s="12" t="n"/>
      <c r="BN178" s="12" t="n"/>
      <c r="BO178" s="12" t="n"/>
      <c r="BP178" s="12" t="n"/>
      <c r="BQ178" s="12" t="n"/>
      <c r="BR178" s="12" t="n"/>
      <c r="BS178" s="12" t="n"/>
      <c r="BT178" s="12" t="n"/>
      <c r="BU178" s="12" t="n"/>
      <c r="BV178" s="12" t="n"/>
      <c r="BW178" s="12" t="n"/>
      <c r="BX178" s="12" t="n"/>
      <c r="BY178" s="12" t="n"/>
      <c r="BZ178" s="12" t="n"/>
      <c r="CA178" s="12" t="n"/>
      <c r="CB178" s="12" t="n"/>
      <c r="CC178" s="12" t="n"/>
      <c r="CD178" s="12" t="n"/>
      <c r="CE178" s="12" t="n"/>
      <c r="CF178" s="12" t="n"/>
      <c r="CG178" s="12" t="n"/>
      <c r="CH178" s="12" t="n"/>
      <c r="CI178" s="12" t="n"/>
      <c r="CJ178" s="12" t="n"/>
      <c r="CK178" s="12" t="n"/>
      <c r="CL178" s="12" t="n"/>
      <c r="CM178" s="12" t="n"/>
      <c r="CN178" s="12" t="n"/>
      <c r="CO178" s="12" t="n"/>
      <c r="CP178" s="12" t="n"/>
      <c r="CQ178" s="12" t="n"/>
      <c r="CR178" s="12" t="n"/>
      <c r="CS178" s="12" t="n"/>
      <c r="CT178" s="12" t="n"/>
      <c r="CU178" s="12" t="n"/>
      <c r="CV178" s="12" t="n"/>
      <c r="CW178" s="12" t="n"/>
      <c r="CX178" s="12" t="n"/>
      <c r="CY178" s="12" t="n"/>
    </row>
    <row r="179" hidden="1" outlineLevel="1">
      <c r="C179" s="59" t="inlineStr">
        <is>
          <t>%(Var.)</t>
        </is>
      </c>
      <c r="D179" s="12" t="n"/>
      <c r="E179" s="40" t="n"/>
      <c r="F179" s="40" t="n"/>
      <c r="G179" s="40" t="n"/>
      <c r="H179" s="12" t="n"/>
      <c r="I179" s="40" t="str">
        <f>""</f>
        <v/>
      </c>
      <c r="J179" s="40">
        <f>IFERROR(IF(I178=0,"",J178/I178-1),"")</f>
        <v>0.0756794303349944</v>
      </c>
      <c r="K179" s="40">
        <f>IFERROR(IF(J178=0,"",K178/J178-1),"")</f>
        <v>-0.00611328721623106</v>
      </c>
      <c r="L179" s="40">
        <f>IFERROR(IF(K178=0,"",L178/K178-1),"")</f>
        <v>0.0470595558598796</v>
      </c>
      <c r="M179" s="12">
        <f>IFERROR(IF(L178=0,"",M178/L178-1),"")</f>
        <v>0</v>
      </c>
      <c r="N179" s="40">
        <f>IFERROR(IF(M178=0,"",N178/M178-1),"")</f>
        <v>0.0122133376930278</v>
      </c>
      <c r="O179" s="40">
        <f>IFERROR(IF(N178=0,"",O178/N178-1),"")</f>
        <v>-0.037244098245717</v>
      </c>
      <c r="P179" s="40">
        <f>IFERROR(IF(O178=0,"",P178/O178-1),"")</f>
        <v>-0.00653898800105246</v>
      </c>
      <c r="Q179" s="40">
        <f>IFERROR(IF(P178=0,"",Q178/P178-1),"")</f>
        <v>0.260801817637532</v>
      </c>
      <c r="R179" s="12">
        <f>IFERROR(IF(Q178=0,"",R178/Q178-1),"")</f>
        <v>0</v>
      </c>
      <c r="S179" s="40">
        <f>IFERROR(IF(R178=0,"",S178/R178-1),"")</f>
        <v>-0.0462022696278979</v>
      </c>
      <c r="T179" s="40">
        <f>IFERROR(IF(S178=0,"",T178/S178-1),"")</f>
        <v>0.063753055844562</v>
      </c>
      <c r="U179" s="40">
        <f>IFERROR(IF(T178=0,"",U178/T178-1),"")</f>
        <v>-0.0324982748792415</v>
      </c>
      <c r="V179" s="40">
        <f>IFERROR(IF(U178=0,"",V178/U178-1),"")</f>
        <v>0.0328394495128348</v>
      </c>
      <c r="W179" s="12">
        <f>IFERROR(IF(V178=0,"",W178/V178-1),"")</f>
        <v>0</v>
      </c>
      <c r="X179" s="40">
        <f>IFERROR(IF(W178=0,"",X178/W178-1),"")</f>
        <v>-0.0546434962229935</v>
      </c>
      <c r="Y179" s="40">
        <f>IFERROR(IF(X178=0,"",Y178/X178-1),"")</f>
        <v>0.0327311762389317</v>
      </c>
      <c r="Z179" s="40">
        <f>IFERROR(IF(Y178=0,"",Z178/Y178-1),"")</f>
        <v>-0.0334528590846747</v>
      </c>
      <c r="AA179" s="40">
        <f>IFERROR(IF(Z178=0,"",AA178/Z178-1),"")</f>
        <v>-0.0407354850204902</v>
      </c>
      <c r="AB179" s="12">
        <f>IFERROR(IF(AA178=0,"",AB178/AA178-1),"")</f>
        <v>0</v>
      </c>
      <c r="AC179" s="40">
        <f>IFERROR(IF(AB178=0,"",AC178/AB178-1),"")</f>
        <v>-0.0248363975283008</v>
      </c>
      <c r="AD179" s="40">
        <f>IFERROR(IF(AC178=0,"",AD178/AC178-1),"")</f>
        <v>-0.0522474107583204</v>
      </c>
      <c r="AE179" s="40">
        <f>IFERROR(IF(AD178=0,"",AE178/AD178-1),"")</f>
        <v>0.250208150902227</v>
      </c>
      <c r="AF179" s="55">
        <f>IFERROR(IF(AE178=0,"",AF178/AE178-1),"")</f>
        <v>0.0702514331315325</v>
      </c>
      <c r="AG179" s="12">
        <f>IFERROR(IF(AF178=0,"",AG178/AF178-1),"")</f>
        <v>0</v>
      </c>
      <c r="AH179" s="55">
        <f>IFERROR(IF(AG178=0,"",AH178/AG178-1),"")</f>
        <v>-0.0593048954500102</v>
      </c>
      <c r="AI179" s="55">
        <f>IFERROR(IF(AH178=0,"",AI178/AH178-1),"")</f>
        <v>-0.0352840544586214</v>
      </c>
      <c r="AJ179" s="55">
        <f>IFERROR(IF(AI178=0,"",AJ178/AI178-1),"")</f>
        <v>0</v>
      </c>
      <c r="AK179" s="55">
        <f>IFERROR(IF(AJ178=0,"",AK178/AJ178-1),"")</f>
        <v>0</v>
      </c>
      <c r="AL179" s="12">
        <f>IFERROR(IF(AK178=0,"",AL178/AK178-1),"")</f>
        <v>0</v>
      </c>
      <c r="AM179" s="55">
        <f>IFERROR(IF(AL178=0,"",AM178/AL178-1),"")</f>
        <v>0</v>
      </c>
      <c r="AN179" s="55">
        <f>IFERROR(IF(AM178=0,"",AN178/AM178-1),"")</f>
        <v>0</v>
      </c>
      <c r="AO179" s="55">
        <f>IFERROR(IF(AN178=0,"",AO178/AN178-1),"")</f>
        <v>0</v>
      </c>
      <c r="AP179" s="55">
        <f>IFERROR(IF(AO178=0,"",AP178/AO178-1),"")</f>
        <v>0</v>
      </c>
      <c r="AQ179" s="12">
        <f>IFERROR(IF(AP178=0,"",AQ178/AP178-1),"")</f>
        <v>0</v>
      </c>
      <c r="AR179" s="55">
        <f>IFERROR(IF(AQ178=0,"",AR178/AQ178-1),"")</f>
        <v>0</v>
      </c>
      <c r="AS179" s="55">
        <f>IFERROR(IF(AR178=0,"",AS178/AR178-1),"")</f>
        <v>0</v>
      </c>
      <c r="AT179" s="55">
        <f>IFERROR(IF(AS178=0,"",AT178/AS178-1),"")</f>
        <v>0</v>
      </c>
      <c r="AU179" s="55">
        <f>IFERROR(IF(AT178=0,"",AU178/AT178-1),"")</f>
        <v>0</v>
      </c>
      <c r="AV179" s="12">
        <f>IFERROR(IF(AU178=0,"",AV178/AU178-1),"")</f>
        <v>0</v>
      </c>
      <c r="AW179" s="55">
        <f>IFERROR(IF(AV178=0,"",AW178/AV178-1),"")</f>
        <v>0</v>
      </c>
      <c r="AX179" s="55">
        <f>IFERROR(IF(AW178=0,"",AX178/AW178-1),"")</f>
        <v>0</v>
      </c>
      <c r="AY179" s="55">
        <f>IFERROR(IF(AX178=0,"",AY178/AX178-1),"")</f>
        <v>0</v>
      </c>
      <c r="AZ179" s="55">
        <f>IFERROR(IF(AY178=0,"",AZ178/AY178-1),"")</f>
        <v>0</v>
      </c>
      <c r="BA179" s="12">
        <f>IFERROR(IF(AZ178=0,"",BA178/AZ178-1),"")</f>
        <v>0</v>
      </c>
      <c r="BB179" s="55">
        <f>IFERROR(IF(BA178=0,"",BB178/BA178-1),"")</f>
        <v>0</v>
      </c>
      <c r="BC179" s="55">
        <f>IFERROR(IF(BB178=0,"",BC178/BB178-1),"")</f>
        <v>0</v>
      </c>
      <c r="BD179" s="55">
        <f>IFERROR(IF(BC178=0,"",BD178/BC178-1),"")</f>
        <v>0</v>
      </c>
      <c r="BE179" s="55">
        <f>IFERROR(IF(BD178=0,"",BE178/BD178-1),"")</f>
        <v>0</v>
      </c>
      <c r="BF179" s="12">
        <f>IFERROR(IF(BE178=0,"",BF178/BE178-1),"")</f>
        <v>0</v>
      </c>
      <c r="BG179" s="55" t="n"/>
      <c r="BH179" s="55" t="n"/>
      <c r="BI179" s="55" t="n"/>
      <c r="BJ179" s="55" t="n"/>
      <c r="BK179" s="12" t="n"/>
      <c r="BL179" s="55" t="n"/>
      <c r="BM179" s="55" t="n"/>
      <c r="BN179" s="55" t="n"/>
      <c r="BO179" s="55" t="n"/>
      <c r="BP179" s="12" t="n"/>
      <c r="BQ179" s="55" t="n"/>
      <c r="BR179" s="55" t="n"/>
      <c r="BS179" s="55" t="n"/>
      <c r="BT179" s="55" t="n"/>
      <c r="BU179" s="12" t="n"/>
      <c r="BV179" s="55" t="n"/>
      <c r="BW179" s="55" t="n"/>
      <c r="BX179" s="55" t="n"/>
      <c r="BY179" s="55" t="n"/>
      <c r="BZ179" s="12" t="n"/>
      <c r="CA179" s="55" t="n"/>
      <c r="CB179" s="55" t="n"/>
      <c r="CC179" s="55" t="n"/>
      <c r="CD179" s="55" t="n"/>
      <c r="CE179" s="12" t="n"/>
      <c r="CF179" s="55" t="n"/>
      <c r="CG179" s="55" t="n"/>
      <c r="CH179" s="55" t="n"/>
      <c r="CI179" s="55" t="n"/>
      <c r="CJ179" s="12" t="n"/>
      <c r="CK179" s="55" t="n"/>
      <c r="CL179" s="55" t="n"/>
      <c r="CM179" s="55" t="n"/>
      <c r="CN179" s="55" t="n"/>
      <c r="CO179" s="12" t="n"/>
      <c r="CP179" s="55" t="n"/>
      <c r="CQ179" s="55" t="n"/>
      <c r="CR179" s="55" t="n"/>
      <c r="CS179" s="55" t="n"/>
      <c r="CT179" s="12" t="n"/>
      <c r="CU179" s="55" t="n"/>
      <c r="CV179" s="55" t="n"/>
      <c r="CW179" s="55" t="n"/>
      <c r="CX179" s="55" t="n"/>
      <c r="CY179" s="12" t="n"/>
    </row>
    <row r="180" hidden="1" outlineLevel="1">
      <c r="C180" s="57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collapsed="1">
      <c r="C181" s="14" t="inlineStr">
        <is>
          <t>Goodwill</t>
        </is>
      </c>
      <c r="D181" s="46" t="n"/>
      <c r="E181" s="46" t="n"/>
      <c r="F181" s="46" t="n"/>
      <c r="G181" s="46" t="n"/>
      <c r="H181" s="12" t="n"/>
      <c r="I181" s="46">
        <f>'Inputs (2)'!D24</f>
        <v>0</v>
      </c>
      <c r="J181" s="46">
        <f>'Inputs (2)'!E24</f>
        <v>0</v>
      </c>
      <c r="K181" s="46">
        <f>'Inputs (2)'!F24</f>
        <v>0</v>
      </c>
      <c r="L181" s="46">
        <f>'Inputs (2)'!G24</f>
        <v>0</v>
      </c>
      <c r="M181" s="12">
        <f>'Inputs (2)'!H24</f>
        <v>0</v>
      </c>
      <c r="N181" s="46">
        <f>'Inputs (2)'!I24</f>
        <v>0</v>
      </c>
      <c r="O181" s="46">
        <f>'Inputs (2)'!J24</f>
        <v>0</v>
      </c>
      <c r="P181" s="46">
        <f>'Inputs (2)'!K24</f>
        <v>0</v>
      </c>
      <c r="Q181" s="46">
        <f>'Inputs (2)'!L24</f>
        <v>0</v>
      </c>
      <c r="R181" s="12">
        <f>'Inputs (2)'!M24</f>
        <v>0</v>
      </c>
      <c r="S181" s="46">
        <f>'Inputs (2)'!N24</f>
        <v>0</v>
      </c>
      <c r="T181" s="46">
        <f>'Inputs (2)'!O24</f>
        <v>0</v>
      </c>
      <c r="U181" s="46">
        <f>'Inputs (2)'!P24</f>
        <v>0</v>
      </c>
      <c r="V181" s="46">
        <f>'Inputs (2)'!Q24</f>
        <v>0</v>
      </c>
      <c r="W181" s="12">
        <f>'Inputs (2)'!R24</f>
        <v>0</v>
      </c>
      <c r="X181" s="46">
        <f>'Inputs (2)'!S24</f>
        <v>0</v>
      </c>
      <c r="Y181" s="46">
        <f>'Inputs (2)'!T24</f>
        <v>0</v>
      </c>
      <c r="Z181" s="46">
        <f>'Inputs (2)'!U24</f>
        <v>0</v>
      </c>
      <c r="AA181" s="46">
        <f>'Inputs (2)'!V24</f>
        <v>0</v>
      </c>
      <c r="AB181" s="12">
        <f>'Inputs (2)'!W24</f>
        <v>0</v>
      </c>
      <c r="AC181" s="46">
        <f>'Inputs (2)'!X24</f>
        <v>0</v>
      </c>
      <c r="AD181" s="46">
        <f>'Inputs (2)'!Y24</f>
        <v>0</v>
      </c>
      <c r="AE181" s="46">
        <f>'Inputs (2)'!Z24</f>
        <v>0</v>
      </c>
      <c r="AF181" s="46">
        <f>'Inputs (2)'!AA24</f>
        <v>0</v>
      </c>
      <c r="AG181" s="12">
        <f>'Inputs (2)'!AB24</f>
        <v>0</v>
      </c>
      <c r="AH181" s="12">
        <f>'Inputs (2)'!AC24</f>
        <v>0</v>
      </c>
      <c r="AI181" s="12">
        <f>'Inputs (2)'!AD24</f>
        <v>0</v>
      </c>
      <c r="AJ181" s="12">
        <f>AI181</f>
        <v>0</v>
      </c>
      <c r="AK181" s="12">
        <f>AJ181</f>
        <v>0</v>
      </c>
      <c r="AL181" s="12">
        <f>AK181</f>
        <v>0</v>
      </c>
      <c r="AM181" s="12">
        <f>AL181</f>
        <v>0</v>
      </c>
      <c r="AN181" s="12">
        <f>AM181</f>
        <v>0</v>
      </c>
      <c r="AO181" s="12">
        <f>AN181</f>
        <v>0</v>
      </c>
      <c r="AP181" s="12">
        <f>AO181</f>
        <v>0</v>
      </c>
      <c r="AQ181" s="12">
        <f>AP181</f>
        <v>0</v>
      </c>
      <c r="AR181" s="12">
        <f>AQ181</f>
        <v>0</v>
      </c>
      <c r="AS181" s="12">
        <f>AR181</f>
        <v>0</v>
      </c>
      <c r="AT181" s="12">
        <f>AS181</f>
        <v>0</v>
      </c>
      <c r="AU181" s="12">
        <f>AT181</f>
        <v>0</v>
      </c>
      <c r="AV181" s="12">
        <f>AU181</f>
        <v>0</v>
      </c>
      <c r="AW181" s="12">
        <f>AV181</f>
        <v>0</v>
      </c>
      <c r="AX181" s="12">
        <f>AW181</f>
        <v>0</v>
      </c>
      <c r="AY181" s="12">
        <f>AX181</f>
        <v>0</v>
      </c>
      <c r="AZ181" s="12">
        <f>AY181</f>
        <v>0</v>
      </c>
      <c r="BA181" s="12">
        <f>AZ181</f>
        <v>0</v>
      </c>
      <c r="BB181" s="12">
        <f>BA181</f>
        <v>0</v>
      </c>
      <c r="BC181" s="12">
        <f>BB181</f>
        <v>0</v>
      </c>
      <c r="BD181" s="12">
        <f>BC181</f>
        <v>0</v>
      </c>
      <c r="BE181" s="12">
        <f>BD181</f>
        <v>0</v>
      </c>
      <c r="BF181" s="12">
        <f>BE181</f>
        <v>0</v>
      </c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>
      <c r="C182" s="14" t="inlineStr">
        <is>
          <t>Intangibles</t>
        </is>
      </c>
      <c r="D182" s="46" t="n"/>
      <c r="E182" s="46" t="n"/>
      <c r="F182" s="46" t="n"/>
      <c r="G182" s="46" t="n"/>
      <c r="H182" s="12" t="n"/>
      <c r="I182" s="46">
        <f>'Inputs (2)'!D25</f>
        <v>7834.908</v>
      </c>
      <c r="J182" s="46">
        <f>'Inputs (2)'!E25</f>
        <v>7965.134</v>
      </c>
      <c r="K182" s="46">
        <f>'Inputs (2)'!F25</f>
        <v>8071.474</v>
      </c>
      <c r="L182" s="46">
        <f>'Inputs (2)'!G25</f>
        <v>8356.681</v>
      </c>
      <c r="M182" s="12">
        <f>'Inputs (2)'!H25</f>
        <v>8356.681</v>
      </c>
      <c r="N182" s="46">
        <f>'Inputs (2)'!I25</f>
        <v>8434.385</v>
      </c>
      <c r="O182" s="46">
        <f>'Inputs (2)'!J25</f>
        <v>8472.654</v>
      </c>
      <c r="P182" s="46">
        <f>'Inputs (2)'!K25</f>
        <v>8601.394</v>
      </c>
      <c r="Q182" s="46">
        <f>'Inputs (2)'!L25</f>
        <v>8777.168</v>
      </c>
      <c r="R182" s="12">
        <f>'Inputs (2)'!M25</f>
        <v>8777.168</v>
      </c>
      <c r="S182" s="46">
        <f>'Inputs (2)'!N25</f>
        <v>8911.126</v>
      </c>
      <c r="T182" s="46">
        <f>'Inputs (2)'!O25</f>
        <v>9224.669</v>
      </c>
      <c r="U182" s="46">
        <f>'Inputs (2)'!P25</f>
        <v>9629.066</v>
      </c>
      <c r="V182" s="46">
        <f>'Inputs (2)'!Q25</f>
        <v>10170.024</v>
      </c>
      <c r="W182" s="12">
        <f>'Inputs (2)'!R25</f>
        <v>10170.024</v>
      </c>
      <c r="X182" s="46">
        <f>'Inputs (2)'!S25</f>
        <v>10311.732</v>
      </c>
      <c r="Y182" s="46">
        <f>'Inputs (2)'!T25</f>
        <v>10635.029</v>
      </c>
      <c r="Z182" s="46">
        <f>'Inputs (2)'!U25</f>
        <v>10878.561</v>
      </c>
      <c r="AA182" s="46">
        <f>'Inputs (2)'!V25</f>
        <v>11420.154</v>
      </c>
      <c r="AB182" s="12">
        <f>'Inputs (2)'!W25</f>
        <v>11420.154</v>
      </c>
      <c r="AC182" s="46">
        <f>'Inputs (2)'!X25</f>
        <v>11492.319</v>
      </c>
      <c r="AD182" s="46">
        <f>'Inputs (2)'!Y25</f>
        <v>11737.793</v>
      </c>
      <c r="AE182" s="46">
        <f>'Inputs (2)'!Z25</f>
        <v>12075.986</v>
      </c>
      <c r="AF182" s="46">
        <f>'Inputs (2)'!AA25</f>
        <v>12436.906</v>
      </c>
      <c r="AG182" s="12">
        <f>'Inputs (2)'!AB25</f>
        <v>12436.906</v>
      </c>
      <c r="AH182" s="12">
        <f>'Inputs (2)'!AC25</f>
        <v>12593.119</v>
      </c>
      <c r="AI182" s="12">
        <f>'Inputs (2)'!AD25</f>
        <v>12780.135</v>
      </c>
      <c r="AJ182" s="12">
        <f>AI182</f>
        <v>12780.135</v>
      </c>
      <c r="AK182" s="12">
        <f>AJ182</f>
        <v>12780.135</v>
      </c>
      <c r="AL182" s="12">
        <f>AK182</f>
        <v>12780.135</v>
      </c>
      <c r="AM182" s="16">
        <f>AL182</f>
        <v>12780.135</v>
      </c>
      <c r="AN182" s="12">
        <f>AM182</f>
        <v>12780.135</v>
      </c>
      <c r="AO182" s="12">
        <f>AN182</f>
        <v>12780.135</v>
      </c>
      <c r="AP182" s="12">
        <f>AO182</f>
        <v>12780.135</v>
      </c>
      <c r="AQ182" s="12">
        <f>AP182</f>
        <v>12780.135</v>
      </c>
      <c r="AR182" s="16">
        <f>AQ182</f>
        <v>12780.135</v>
      </c>
      <c r="AS182" s="12">
        <f>AR182</f>
        <v>12780.135</v>
      </c>
      <c r="AT182" s="12">
        <f>AS182</f>
        <v>12780.135</v>
      </c>
      <c r="AU182" s="12">
        <f>AT182</f>
        <v>12780.135</v>
      </c>
      <c r="AV182" s="12">
        <f>AU182</f>
        <v>12780.135</v>
      </c>
      <c r="AW182" s="16">
        <f>AV182</f>
        <v>12780.135</v>
      </c>
      <c r="AX182" s="12">
        <f>AW182</f>
        <v>12780.135</v>
      </c>
      <c r="AY182" s="12">
        <f>AX182</f>
        <v>12780.135</v>
      </c>
      <c r="AZ182" s="12">
        <f>AY182</f>
        <v>12780.135</v>
      </c>
      <c r="BA182" s="12">
        <f>AZ182</f>
        <v>12780.135</v>
      </c>
      <c r="BB182" s="16">
        <f>BA182</f>
        <v>12780.135</v>
      </c>
      <c r="BC182" s="12">
        <f>BB182</f>
        <v>12780.135</v>
      </c>
      <c r="BD182" s="12">
        <f>BC182</f>
        <v>12780.135</v>
      </c>
      <c r="BE182" s="12">
        <f>BD182</f>
        <v>12780.135</v>
      </c>
      <c r="BF182" s="12">
        <f>BE182</f>
        <v>12780.135</v>
      </c>
      <c r="BH182" s="12" t="n"/>
      <c r="BI182" s="12" t="n"/>
      <c r="BJ182" s="12" t="n"/>
      <c r="BK182" s="12" t="n"/>
      <c r="BM182" s="12" t="n"/>
      <c r="BN182" s="12" t="n"/>
      <c r="BO182" s="12" t="n"/>
      <c r="BP182" s="12" t="n"/>
      <c r="BR182" s="12" t="n"/>
      <c r="BS182" s="12" t="n"/>
      <c r="BT182" s="12" t="n"/>
      <c r="BU182" s="12" t="n"/>
      <c r="BW182" s="12" t="n"/>
      <c r="BX182" s="12" t="n"/>
      <c r="BY182" s="12" t="n"/>
      <c r="BZ182" s="12" t="n"/>
      <c r="CB182" s="12" t="n"/>
      <c r="CC182" s="12" t="n"/>
      <c r="CD182" s="12" t="n"/>
      <c r="CE182" s="12" t="n"/>
      <c r="CG182" s="12" t="n"/>
      <c r="CH182" s="12" t="n"/>
      <c r="CI182" s="12" t="n"/>
      <c r="CJ182" s="12" t="n"/>
      <c r="CL182" s="12" t="n"/>
      <c r="CM182" s="12" t="n"/>
      <c r="CN182" s="12" t="n"/>
      <c r="CO182" s="12" t="n"/>
      <c r="CQ182" s="12" t="n"/>
      <c r="CR182" s="12" t="n"/>
      <c r="CS182" s="12" t="n"/>
      <c r="CT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inlineStr">
        <is>
          <t>Purchase of intangible assets</t>
        </is>
      </c>
      <c r="D184" s="12" t="n"/>
      <c r="E184" s="12" t="n"/>
      <c r="F184" s="12" t="n"/>
      <c r="G184" s="12" t="n"/>
      <c r="H184" s="12" t="n"/>
      <c r="I184" s="12" t="str">
        <f>IF(COUNT(H182)=0,"",I182-H182-I86)</f>
        <v/>
      </c>
      <c r="J184" s="12">
        <f>J182-I182-J86</f>
        <v>130.226</v>
      </c>
      <c r="K184" s="12">
        <f>K182-J182-K86</f>
        <v>106.34</v>
      </c>
      <c r="L184" s="12">
        <f>L182-K182-L86</f>
        <v>285.207</v>
      </c>
      <c r="M184" s="12" t="n"/>
      <c r="N184" s="12">
        <f>N182-M182-N86</f>
        <v>77.7039999999997</v>
      </c>
      <c r="O184" s="12">
        <f>O182-N182-O86</f>
        <v>38.2690000000002</v>
      </c>
      <c r="P184" s="12">
        <f>P182-O182-P86</f>
        <v>128.74</v>
      </c>
      <c r="Q184" s="12">
        <f>Q182-P182-Q86</f>
        <v>175.773999999999</v>
      </c>
      <c r="R184" s="12" t="n"/>
      <c r="S184" s="12">
        <f>S182-R182-S86</f>
        <v>133.958000000001</v>
      </c>
      <c r="T184" s="12">
        <f>T182-S182-T86</f>
        <v>313.543</v>
      </c>
      <c r="U184" s="12">
        <f>U182-T182-U86</f>
        <v>404.397000000001</v>
      </c>
      <c r="V184" s="12">
        <f>V182-U182-V86</f>
        <v>540.957999999999</v>
      </c>
      <c r="W184" s="12" t="n"/>
      <c r="X184" s="12">
        <f>X182-W182-X86</f>
        <v>141.708000000001</v>
      </c>
      <c r="Y184" s="12">
        <f>Y182-X182-Y86</f>
        <v>323.297000000001</v>
      </c>
      <c r="Z184" s="12">
        <f>Z182-Y182-Z86</f>
        <v>243.531999999999</v>
      </c>
      <c r="AA184" s="12">
        <f>AA182-Z182-AA86</f>
        <v>541.593000000001</v>
      </c>
      <c r="AB184" s="12" t="n"/>
      <c r="AC184" s="12">
        <f>AC182-AB182-AC86</f>
        <v>72.1649999999991</v>
      </c>
      <c r="AD184" s="12">
        <f>AD182-AC182-AD86</f>
        <v>245.474</v>
      </c>
      <c r="AE184" s="12">
        <f>AE182-AD182-AE86</f>
        <v>338.193000000001</v>
      </c>
      <c r="AF184" s="12">
        <f>AF182-AE182-AF86</f>
        <v>360.92</v>
      </c>
      <c r="AG184" s="12" t="n"/>
      <c r="AH184" s="11">
        <f>AH182-AG182-AH86</f>
        <v>156.213</v>
      </c>
      <c r="AI184" s="11">
        <f>AI182-AH182-AI86</f>
        <v>187.016</v>
      </c>
      <c r="AJ184" s="11" t="n"/>
      <c r="AK184" s="11" t="n"/>
      <c r="AL184" s="12" t="n"/>
      <c r="AM184" s="11" t="n"/>
      <c r="AN184" s="11" t="n"/>
      <c r="AO184" s="11" t="n"/>
      <c r="AP184" s="11" t="n"/>
      <c r="AQ184" s="12" t="n"/>
      <c r="AR184" s="11" t="n"/>
      <c r="AS184" s="11" t="n"/>
      <c r="AT184" s="11" t="n"/>
      <c r="AU184" s="11" t="n"/>
      <c r="AV184" s="12" t="n"/>
      <c r="AW184" s="11" t="n"/>
      <c r="AX184" s="11" t="n"/>
      <c r="AY184" s="11" t="n"/>
      <c r="AZ184" s="11" t="n"/>
      <c r="BA184" s="12" t="n"/>
      <c r="BB184" s="11" t="n"/>
      <c r="BC184" s="11" t="n"/>
      <c r="BD184" s="11" t="n"/>
      <c r="BE184" s="11" t="n"/>
      <c r="BF184" s="12" t="n"/>
      <c r="BG184" s="11" t="n"/>
      <c r="BH184" s="11" t="n"/>
      <c r="BI184" s="11" t="n"/>
      <c r="BJ184" s="11" t="n"/>
      <c r="BK184" s="12" t="n"/>
      <c r="BL184" s="11" t="n"/>
      <c r="BM184" s="11" t="n"/>
      <c r="BN184" s="11" t="n"/>
      <c r="BO184" s="11" t="n"/>
      <c r="BP184" s="12" t="n"/>
      <c r="BQ184" s="11" t="n"/>
      <c r="BR184" s="11" t="n"/>
      <c r="BS184" s="11" t="n"/>
      <c r="BT184" s="11" t="n"/>
      <c r="BU184" s="12" t="n"/>
      <c r="BV184" s="11" t="n"/>
      <c r="BW184" s="11" t="n"/>
      <c r="BX184" s="11" t="n"/>
      <c r="BY184" s="11" t="n"/>
      <c r="BZ184" s="12" t="n"/>
      <c r="CA184" s="11" t="n"/>
      <c r="CB184" s="11" t="n"/>
      <c r="CC184" s="11" t="n"/>
      <c r="CD184" s="11" t="n"/>
      <c r="CE184" s="12" t="n"/>
      <c r="CF184" s="11" t="n"/>
      <c r="CG184" s="11" t="n"/>
      <c r="CH184" s="11" t="n"/>
      <c r="CI184" s="11" t="n"/>
      <c r="CJ184" s="12" t="n"/>
      <c r="CK184" s="11" t="n"/>
      <c r="CL184" s="11" t="n"/>
      <c r="CM184" s="11" t="n"/>
      <c r="CN184" s="11" t="n"/>
      <c r="CO184" s="12" t="n"/>
      <c r="CP184" s="11" t="n"/>
      <c r="CQ184" s="11" t="n"/>
      <c r="CR184" s="11" t="n"/>
      <c r="CS184" s="11" t="n"/>
      <c r="CT184" s="12" t="n"/>
      <c r="CU184" s="11" t="n"/>
      <c r="CV184" s="11" t="n"/>
      <c r="CW184" s="11" t="n"/>
      <c r="CX184" s="11" t="n"/>
      <c r="CY184" s="12" t="n"/>
    </row>
    <row r="185" hidden="1" outlineLevel="1">
      <c r="C185" s="57" t="inlineStr">
        <is>
          <t>Amortization (enter as -)</t>
        </is>
      </c>
      <c r="D185" s="12" t="n"/>
      <c r="E185" s="12" t="n"/>
      <c r="F185" s="12" t="n"/>
      <c r="G185" s="12" t="n"/>
      <c r="H185" s="12" t="n"/>
      <c r="I185" s="12">
        <f>I85</f>
        <v>0</v>
      </c>
      <c r="J185" s="12">
        <f>J85</f>
        <v>0</v>
      </c>
      <c r="K185" s="12">
        <f>K85</f>
        <v>0</v>
      </c>
      <c r="L185" s="12">
        <f>L85</f>
        <v>0</v>
      </c>
      <c r="M185" s="12" t="n"/>
      <c r="N185" s="12">
        <f>N85</f>
        <v>0</v>
      </c>
      <c r="O185" s="12">
        <f>O85</f>
        <v>0</v>
      </c>
      <c r="P185" s="12">
        <f>P85</f>
        <v>0</v>
      </c>
      <c r="Q185" s="12">
        <f>Q85</f>
        <v>0</v>
      </c>
      <c r="R185" s="12" t="n"/>
      <c r="S185" s="12">
        <f>S85</f>
        <v>0</v>
      </c>
      <c r="T185" s="12">
        <f>T85</f>
        <v>0</v>
      </c>
      <c r="U185" s="12">
        <f>U85</f>
        <v>0</v>
      </c>
      <c r="V185" s="12">
        <f>V85</f>
        <v>0</v>
      </c>
      <c r="W185" s="12" t="n"/>
      <c r="X185" s="12">
        <f>X85</f>
        <v>0</v>
      </c>
      <c r="Y185" s="12">
        <f>Y85</f>
        <v>0</v>
      </c>
      <c r="Z185" s="12">
        <f>Z85</f>
        <v>0</v>
      </c>
      <c r="AA185" s="12">
        <f>AA85</f>
        <v>0</v>
      </c>
      <c r="AB185" s="12" t="n"/>
      <c r="AC185" s="12">
        <f>AC85</f>
        <v>0</v>
      </c>
      <c r="AD185" s="12">
        <f>AD85</f>
        <v>0</v>
      </c>
      <c r="AE185" s="12">
        <f>AE85</f>
        <v>0</v>
      </c>
      <c r="AF185" s="12">
        <f>AF85</f>
        <v>0</v>
      </c>
      <c r="AG185" s="12" t="n"/>
      <c r="AH185" s="12">
        <f>AH85</f>
        <v>0</v>
      </c>
      <c r="AI185" s="11">
        <f>AI85</f>
        <v>0</v>
      </c>
      <c r="AJ185" s="11" t="n"/>
      <c r="AK185" s="11" t="n"/>
      <c r="AL185" s="12" t="n"/>
      <c r="AM185" s="11" t="n"/>
      <c r="AN185" s="11" t="n"/>
      <c r="AO185" s="11" t="n"/>
      <c r="AP185" s="11" t="n"/>
      <c r="AQ185" s="12" t="n"/>
      <c r="AR185" s="11" t="n"/>
      <c r="AS185" s="11" t="n"/>
      <c r="AT185" s="11" t="n"/>
      <c r="AU185" s="11" t="n"/>
      <c r="AV185" s="12" t="n"/>
      <c r="AW185" s="11" t="n"/>
      <c r="AX185" s="11" t="n"/>
      <c r="AY185" s="11" t="n"/>
      <c r="AZ185" s="11" t="n"/>
      <c r="BA185" s="12" t="n"/>
      <c r="BB185" s="11" t="n"/>
      <c r="BC185" s="11" t="n"/>
      <c r="BD185" s="11" t="n"/>
      <c r="BE185" s="11" t="n"/>
      <c r="BF185" s="12" t="n"/>
      <c r="BG185" s="11" t="n"/>
      <c r="BH185" s="11" t="n"/>
      <c r="BI185" s="11" t="n"/>
      <c r="BJ185" s="11" t="n"/>
      <c r="BK185" s="12" t="n"/>
      <c r="BL185" s="11" t="n"/>
      <c r="BM185" s="11" t="n"/>
      <c r="BN185" s="11" t="n"/>
      <c r="BO185" s="11" t="n"/>
      <c r="BP185" s="12" t="n"/>
      <c r="BQ185" s="11" t="n"/>
      <c r="BR185" s="11" t="n"/>
      <c r="BS185" s="11" t="n"/>
      <c r="BT185" s="11" t="n"/>
      <c r="BU185" s="12" t="n"/>
      <c r="BV185" s="11" t="n"/>
      <c r="BW185" s="11" t="n"/>
      <c r="BX185" s="11" t="n"/>
      <c r="BY185" s="11" t="n"/>
      <c r="BZ185" s="12" t="n"/>
      <c r="CA185" s="11" t="n"/>
      <c r="CB185" s="11" t="n"/>
      <c r="CC185" s="11" t="n"/>
      <c r="CD185" s="11" t="n"/>
      <c r="CE185" s="12" t="n"/>
      <c r="CF185" s="11" t="n"/>
      <c r="CG185" s="11" t="n"/>
      <c r="CH185" s="11" t="n"/>
      <c r="CI185" s="11" t="n"/>
      <c r="CJ185" s="12" t="n"/>
      <c r="CK185" s="11" t="n"/>
      <c r="CL185" s="11" t="n"/>
      <c r="CM185" s="11" t="n"/>
      <c r="CN185" s="11" t="n"/>
      <c r="CO185" s="12" t="n"/>
      <c r="CP185" s="11" t="n"/>
      <c r="CQ185" s="11" t="n"/>
      <c r="CR185" s="11" t="n"/>
      <c r="CS185" s="11" t="n"/>
      <c r="CT185" s="12" t="n"/>
      <c r="CU185" s="11" t="n"/>
      <c r="CV185" s="11" t="n"/>
      <c r="CW185" s="11" t="n"/>
      <c r="CX185" s="11" t="n"/>
      <c r="CY185" s="12" t="n"/>
    </row>
    <row r="186" hidden="1" outlineLevel="1">
      <c r="C186" s="57" t="inlineStr">
        <is>
          <t>Intangibles</t>
        </is>
      </c>
      <c r="D186" s="12" t="n"/>
      <c r="E186" s="12" t="n"/>
      <c r="F186" s="12" t="n"/>
      <c r="G186" s="12" t="n"/>
      <c r="H186" s="12" t="n"/>
      <c r="I186" s="12">
        <f>I182</f>
        <v>7834.908</v>
      </c>
      <c r="J186" s="12">
        <f>J182</f>
        <v>7965.134</v>
      </c>
      <c r="K186" s="12">
        <f>K182</f>
        <v>8071.474</v>
      </c>
      <c r="L186" s="12">
        <f>L182</f>
        <v>8356.681</v>
      </c>
      <c r="M186" s="12">
        <f>M182</f>
        <v>8356.681</v>
      </c>
      <c r="N186" s="12">
        <f>N182</f>
        <v>8434.385</v>
      </c>
      <c r="O186" s="12">
        <f>O182</f>
        <v>8472.654</v>
      </c>
      <c r="P186" s="12">
        <f>P182</f>
        <v>8601.394</v>
      </c>
      <c r="Q186" s="12">
        <f>Q182</f>
        <v>8777.168</v>
      </c>
      <c r="R186" s="12">
        <f>R182</f>
        <v>8777.168</v>
      </c>
      <c r="S186" s="12">
        <f>S182</f>
        <v>8911.126</v>
      </c>
      <c r="T186" s="12">
        <f>T182</f>
        <v>9224.669</v>
      </c>
      <c r="U186" s="12">
        <f>U182</f>
        <v>9629.066</v>
      </c>
      <c r="V186" s="12">
        <f>V182</f>
        <v>10170.024</v>
      </c>
      <c r="W186" s="12">
        <f>W182</f>
        <v>10170.024</v>
      </c>
      <c r="X186" s="12">
        <f>X182</f>
        <v>10311.732</v>
      </c>
      <c r="Y186" s="12">
        <f>Y182</f>
        <v>10635.029</v>
      </c>
      <c r="Z186" s="12">
        <f>Z182</f>
        <v>10878.561</v>
      </c>
      <c r="AA186" s="12">
        <f>AA182</f>
        <v>11420.154</v>
      </c>
      <c r="AB186" s="12">
        <f>AB182</f>
        <v>11420.154</v>
      </c>
      <c r="AC186" s="12">
        <f>AC182</f>
        <v>11492.319</v>
      </c>
      <c r="AD186" s="12">
        <f>AD182</f>
        <v>11737.793</v>
      </c>
      <c r="AE186" s="12">
        <f>AE182</f>
        <v>12075.986</v>
      </c>
      <c r="AF186" s="12">
        <f>AF182</f>
        <v>12436.906</v>
      </c>
      <c r="AG186" s="12">
        <f>AG182</f>
        <v>12436.906</v>
      </c>
      <c r="AH186" s="12">
        <f>AH182</f>
        <v>12593.119</v>
      </c>
      <c r="AI186" s="12">
        <f>AI182</f>
        <v>12780.135</v>
      </c>
      <c r="AJ186" s="12">
        <f>AJ182</f>
        <v>12780.135</v>
      </c>
      <c r="AK186" s="12">
        <f>AK182</f>
        <v>12780.135</v>
      </c>
      <c r="AL186" s="12" t="n"/>
      <c r="AM186" s="12">
        <f>AM182</f>
        <v>12780.135</v>
      </c>
      <c r="AN186" s="12">
        <f>AN182</f>
        <v>12780.135</v>
      </c>
      <c r="AO186" s="12">
        <f>AO182</f>
        <v>12780.135</v>
      </c>
      <c r="AP186" s="12">
        <f>AP182</f>
        <v>12780.135</v>
      </c>
      <c r="AQ186" s="12" t="n"/>
      <c r="AR186" s="12">
        <f>AR182</f>
        <v>12780.135</v>
      </c>
      <c r="AS186" s="12">
        <f>AS182</f>
        <v>12780.135</v>
      </c>
      <c r="AT186" s="12">
        <f>AT182</f>
        <v>12780.135</v>
      </c>
      <c r="AU186" s="12">
        <f>AU182</f>
        <v>12780.135</v>
      </c>
      <c r="AV186" s="12" t="n"/>
      <c r="AW186" s="12">
        <f>AW182</f>
        <v>12780.135</v>
      </c>
      <c r="AX186" s="12">
        <f>AX182</f>
        <v>12780.135</v>
      </c>
      <c r="AY186" s="12">
        <f>AY182</f>
        <v>12780.135</v>
      </c>
      <c r="AZ186" s="12">
        <f>AZ182</f>
        <v>12780.135</v>
      </c>
      <c r="BA186" s="12" t="n"/>
      <c r="BB186" s="12">
        <f>BB182</f>
        <v>12780.135</v>
      </c>
      <c r="BC186" s="12">
        <f>BC182</f>
        <v>12780.135</v>
      </c>
      <c r="BD186" s="12">
        <f>BD182</f>
        <v>12780.135</v>
      </c>
      <c r="BE186" s="12">
        <f>BE182</f>
        <v>12780.135</v>
      </c>
      <c r="BF186" s="12" t="n"/>
      <c r="BG186" s="12" t="n"/>
      <c r="BH186" s="12" t="n"/>
      <c r="BI186" s="12" t="n"/>
      <c r="BJ186" s="12" t="n"/>
      <c r="BK186" s="12" t="n"/>
      <c r="BL186" s="12" t="n"/>
      <c r="BM186" s="12" t="n"/>
      <c r="BN186" s="12" t="n"/>
      <c r="BO186" s="12" t="n"/>
      <c r="BP186" s="12" t="n"/>
      <c r="BQ186" s="12" t="n"/>
      <c r="BR186" s="12" t="n"/>
      <c r="BS186" s="12" t="n"/>
      <c r="BT186" s="12" t="n"/>
      <c r="BU186" s="12" t="n"/>
      <c r="BV186" s="12" t="n"/>
      <c r="BW186" s="12" t="n"/>
      <c r="BX186" s="12" t="n"/>
      <c r="BY186" s="12" t="n"/>
      <c r="BZ186" s="12" t="n"/>
      <c r="CA186" s="12" t="n"/>
      <c r="CB186" s="12" t="n"/>
      <c r="CC186" s="12" t="n"/>
      <c r="CD186" s="12" t="n"/>
      <c r="CE186" s="12" t="n"/>
      <c r="CF186" s="12" t="n"/>
      <c r="CG186" s="12" t="n"/>
      <c r="CH186" s="12" t="n"/>
      <c r="CI186" s="12" t="n"/>
      <c r="CJ186" s="12" t="n"/>
      <c r="CK186" s="12" t="n"/>
      <c r="CL186" s="12" t="n"/>
      <c r="CM186" s="12" t="n"/>
      <c r="CN186" s="12" t="n"/>
      <c r="CO186" s="12" t="n"/>
      <c r="CP186" s="12" t="n"/>
      <c r="CQ186" s="12" t="n"/>
      <c r="CR186" s="12" t="n"/>
      <c r="CS186" s="12" t="n"/>
      <c r="CT186" s="12" t="n"/>
      <c r="CU186" s="12" t="n"/>
      <c r="CV186" s="12" t="n"/>
      <c r="CW186" s="12" t="n"/>
      <c r="CX186" s="12" t="n"/>
      <c r="CY186" s="12" t="n"/>
    </row>
    <row r="187" hidden="1" outlineLevel="1">
      <c r="C187" s="57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  <c r="BN187" s="12" t="n"/>
      <c r="BO187" s="12" t="n"/>
      <c r="BP187" s="12" t="n"/>
      <c r="BQ187" s="12" t="n"/>
      <c r="BR187" s="12" t="n"/>
      <c r="BS187" s="12" t="n"/>
      <c r="BT187" s="12" t="n"/>
      <c r="BU187" s="12" t="n"/>
      <c r="BV187" s="12" t="n"/>
      <c r="BW187" s="12" t="n"/>
      <c r="BX187" s="12" t="n"/>
      <c r="BY187" s="12" t="n"/>
      <c r="BZ187" s="12" t="n"/>
      <c r="CA187" s="12" t="n"/>
      <c r="CB187" s="12" t="n"/>
      <c r="CC187" s="12" t="n"/>
      <c r="CD187" s="12" t="n"/>
      <c r="CE187" s="12" t="n"/>
      <c r="CF187" s="12" t="n"/>
      <c r="CG187" s="12" t="n"/>
      <c r="CH187" s="12" t="n"/>
      <c r="CI187" s="12" t="n"/>
      <c r="CJ187" s="12" t="n"/>
      <c r="CK187" s="12" t="n"/>
      <c r="CL187" s="12" t="n"/>
      <c r="CM187" s="12" t="n"/>
      <c r="CN187" s="12" t="n"/>
      <c r="CO187" s="12" t="n"/>
      <c r="CP187" s="12" t="n"/>
      <c r="CQ187" s="12" t="n"/>
      <c r="CR187" s="12" t="n"/>
      <c r="CS187" s="12" t="n"/>
      <c r="CT187" s="12" t="n"/>
      <c r="CU187" s="12" t="n"/>
      <c r="CV187" s="12" t="n"/>
      <c r="CW187" s="12" t="n"/>
      <c r="CX187" s="12" t="n"/>
      <c r="CY187" s="12" t="n"/>
    </row>
    <row r="188" hidden="1" outlineLevel="1">
      <c r="C188" s="57" t="inlineStr">
        <is>
          <t>Definir % do D&amp;A No PPE and Intagibles</t>
        </is>
      </c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57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57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collapsed="1">
      <c r="C191" s="14" t="inlineStr">
        <is>
          <t>Other non-current assets</t>
        </is>
      </c>
      <c r="D191" s="46" t="n"/>
      <c r="E191" s="46" t="n"/>
      <c r="F191" s="46" t="n"/>
      <c r="G191" s="46" t="n"/>
      <c r="H191" s="12" t="n"/>
      <c r="I191" s="46">
        <f>'Inputs (2)'!D26</f>
        <v>2691.585</v>
      </c>
      <c r="J191" s="46">
        <f>'Inputs (2)'!E26</f>
        <v>2780.684</v>
      </c>
      <c r="K191" s="46">
        <f>'Inputs (2)'!F26</f>
        <v>2989.524</v>
      </c>
      <c r="L191" s="46">
        <f>'Inputs (2)'!G26</f>
        <v>3035.91</v>
      </c>
      <c r="M191" s="12">
        <f>'Inputs (2)'!H26</f>
        <v>3035.91</v>
      </c>
      <c r="N191" s="46">
        <f>'Inputs (2)'!I26</f>
        <v>3255.79</v>
      </c>
      <c r="O191" s="46">
        <f>'Inputs (2)'!J26</f>
        <v>3569.993</v>
      </c>
      <c r="P191" s="46">
        <f>'Inputs (2)'!K26</f>
        <v>3919.223</v>
      </c>
      <c r="Q191" s="46">
        <f>'Inputs (2)'!L26</f>
        <v>4173.324</v>
      </c>
      <c r="R191" s="12">
        <f>'Inputs (2)'!M26</f>
        <v>4173.324</v>
      </c>
      <c r="S191" s="46">
        <f>'Inputs (2)'!N26</f>
        <v>4437.856</v>
      </c>
      <c r="T191" s="46">
        <f>'Inputs (2)'!O26</f>
        <v>4588.275</v>
      </c>
      <c r="U191" s="46">
        <f>'Inputs (2)'!P26</f>
        <v>4682.013</v>
      </c>
      <c r="V191" s="46">
        <f>'Inputs (2)'!Q26</f>
        <v>4474.656</v>
      </c>
      <c r="W191" s="12">
        <f>'Inputs (2)'!R26</f>
        <v>4474.656</v>
      </c>
      <c r="X191" s="46">
        <f>'Inputs (2)'!S26</f>
        <v>4677.676</v>
      </c>
      <c r="Y191" s="46">
        <f>'Inputs (2)'!T26</f>
        <v>4623.552</v>
      </c>
      <c r="Z191" s="46">
        <f>'Inputs (2)'!U26</f>
        <v>4669.353</v>
      </c>
      <c r="AA191" s="46">
        <f>'Inputs (2)'!V26</f>
        <v>4484.379</v>
      </c>
      <c r="AB191" s="12">
        <f>'Inputs (2)'!W26</f>
        <v>4484.379</v>
      </c>
      <c r="AC191" s="46">
        <f>'Inputs (2)'!X26</f>
        <v>8556.51</v>
      </c>
      <c r="AD191" s="46">
        <f>'Inputs (2)'!Y26</f>
        <v>8711.047</v>
      </c>
      <c r="AE191" s="46">
        <f>'Inputs (2)'!Z26</f>
        <v>4905.89</v>
      </c>
      <c r="AF191" s="46">
        <f>'Inputs (2)'!AA26</f>
        <v>5245.077</v>
      </c>
      <c r="AG191" s="12">
        <f>'Inputs (2)'!AB26</f>
        <v>5245.077</v>
      </c>
      <c r="AH191" s="12">
        <f>'Inputs (2)'!AC26</f>
        <v>5682.342</v>
      </c>
      <c r="AI191" s="12">
        <f>'Inputs (2)'!AD26</f>
        <v>5969.712</v>
      </c>
      <c r="AJ191" s="12">
        <f>AI191</f>
        <v>5969.712</v>
      </c>
      <c r="AK191" s="12">
        <f>AJ191</f>
        <v>5969.712</v>
      </c>
      <c r="AL191" s="12">
        <f>AK191</f>
        <v>5969.712</v>
      </c>
      <c r="AM191" s="12">
        <f>AL191</f>
        <v>5969.712</v>
      </c>
      <c r="AN191" s="12">
        <f>AM191</f>
        <v>5969.712</v>
      </c>
      <c r="AO191" s="12">
        <f>AN191</f>
        <v>5969.712</v>
      </c>
      <c r="AP191" s="12">
        <f>AO191</f>
        <v>5969.712</v>
      </c>
      <c r="AQ191" s="12">
        <f>AP191</f>
        <v>5969.712</v>
      </c>
      <c r="AR191" s="12">
        <f>AQ191</f>
        <v>5969.712</v>
      </c>
      <c r="AS191" s="12">
        <f>AR191</f>
        <v>5969.712</v>
      </c>
      <c r="AT191" s="12">
        <f>AS191</f>
        <v>5969.712</v>
      </c>
      <c r="AU191" s="12">
        <f>AT191</f>
        <v>5969.712</v>
      </c>
      <c r="AV191" s="12">
        <f>AU191</f>
        <v>5969.712</v>
      </c>
      <c r="AW191" s="12">
        <f>AV191</f>
        <v>5969.712</v>
      </c>
      <c r="AX191" s="12">
        <f>AW191</f>
        <v>5969.712</v>
      </c>
      <c r="AY191" s="12">
        <f>AX191</f>
        <v>5969.712</v>
      </c>
      <c r="AZ191" s="12">
        <f>AY191</f>
        <v>5969.712</v>
      </c>
      <c r="BA191" s="12">
        <f>AZ191</f>
        <v>5969.712</v>
      </c>
      <c r="BB191" s="12">
        <f>BA191</f>
        <v>5969.712</v>
      </c>
      <c r="BC191" s="12">
        <f>BB191</f>
        <v>5969.712</v>
      </c>
      <c r="BD191" s="12">
        <f>BC191</f>
        <v>5969.712</v>
      </c>
      <c r="BE191" s="12">
        <f>BD191</f>
        <v>5969.712</v>
      </c>
      <c r="BF191" s="12">
        <f>BE191</f>
        <v>5969.712</v>
      </c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9" t="inlineStr">
        <is>
          <t>%(Var.)</t>
        </is>
      </c>
      <c r="D192" s="12" t="n"/>
      <c r="E192" s="40" t="n"/>
      <c r="F192" s="40" t="n"/>
      <c r="G192" s="40" t="n"/>
      <c r="H192" s="12" t="n"/>
      <c r="I192" s="40" t="str">
        <f>""</f>
        <v/>
      </c>
      <c r="J192" s="40">
        <f>IF(I191=0,"",J191/I191-1)</f>
        <v>0.0331028000230349</v>
      </c>
      <c r="K192" s="40">
        <f>IF(J191=0,"",K191/J191-1)</f>
        <v>0.0751038233758312</v>
      </c>
      <c r="L192" s="40">
        <f>IF(K191=0,"",L191/K191-1)</f>
        <v>0.0155161825093226</v>
      </c>
      <c r="M192" s="12">
        <f>IF(L191=0,"",M191/L191-1)</f>
        <v>0</v>
      </c>
      <c r="N192" s="40">
        <f>IF(M191=0,"",N191/M191-1)</f>
        <v>0.0724263894515977</v>
      </c>
      <c r="O192" s="40">
        <f>IF(N191=0,"",O191/N191-1)</f>
        <v>0.0965059171506761</v>
      </c>
      <c r="P192" s="40">
        <f>IF(O191=0,"",P191/O191-1)</f>
        <v>0.0978237212229829</v>
      </c>
      <c r="Q192" s="40">
        <f>IF(P191=0,"",Q191/P191-1)</f>
        <v>0.0648345348044752</v>
      </c>
      <c r="R192" s="12">
        <f>IF(Q191=0,"",R191/Q191-1)</f>
        <v>0</v>
      </c>
      <c r="S192" s="40">
        <f>IF(R191=0,"",S191/R191-1)</f>
        <v>0.0633864037395611</v>
      </c>
      <c r="T192" s="40">
        <f>IF(S191=0,"",T191/S191-1)</f>
        <v>0.0338945202367991</v>
      </c>
      <c r="U192" s="40">
        <f>IF(T191=0,"",U191/T191-1)</f>
        <v>0.0204299001258643</v>
      </c>
      <c r="V192" s="40">
        <f>IF(U191=0,"",V191/U191-1)</f>
        <v>-0.0442880017633441</v>
      </c>
      <c r="W192" s="12">
        <f>IF(V191=0,"",W191/V191-1)</f>
        <v>0</v>
      </c>
      <c r="X192" s="40">
        <f>IF(W191=0,"",X191/W191-1)</f>
        <v>0.0453710855091432</v>
      </c>
      <c r="Y192" s="40">
        <f>IF(X191=0,"",Y191/X191-1)</f>
        <v>-0.0115707030585275</v>
      </c>
      <c r="Z192" s="40">
        <f>IF(Y191=0,"",Z191/Y191-1)</f>
        <v>0.00990602030646581</v>
      </c>
      <c r="AA192" s="40">
        <f>IF(Z191=0,"",AA191/Z191-1)</f>
        <v>-0.0396144819207287</v>
      </c>
      <c r="AB192" s="12">
        <f>IF(AA191=0,"",AB191/AA191-1)</f>
        <v>0</v>
      </c>
      <c r="AC192" s="40">
        <f>IF(AB191=0,"",AC191/AB191-1)</f>
        <v>0.908070214404269</v>
      </c>
      <c r="AD192" s="40">
        <f>IF(AC191=0,"",AD191/AC191-1)</f>
        <v>0.0180607514044862</v>
      </c>
      <c r="AE192" s="40">
        <f>IF(AD191=0,"",AE191/AD191-1)</f>
        <v>-0.436819707206264</v>
      </c>
      <c r="AF192" s="55">
        <f>IF(AE191=0,"",AF191/AE191-1)</f>
        <v>0.0691387291602543</v>
      </c>
      <c r="AG192" s="12">
        <f>IF(AF191=0,"",AG191/AF191-1)</f>
        <v>0</v>
      </c>
      <c r="AH192" s="55">
        <f>IF(AG191=0,"",AH191/AG191-1)</f>
        <v>0.0833667456168898</v>
      </c>
      <c r="AI192" s="55">
        <f>IF(AH191=0,"",AI191/AH191-1)</f>
        <v>0.0505724576239868</v>
      </c>
      <c r="AJ192" s="55">
        <f>IF(AI191=0,"",AJ191/AI191-1)</f>
        <v>0</v>
      </c>
      <c r="AK192" s="55">
        <f>IF(AJ191=0,"",AK191/AJ191-1)</f>
        <v>0</v>
      </c>
      <c r="AL192" s="12">
        <f>IF(AK191=0,"",AL191/AK191-1)</f>
        <v>0</v>
      </c>
      <c r="AM192" s="55">
        <f>IF(AL191=0,"",AM191/AL191-1)</f>
        <v>0</v>
      </c>
      <c r="AN192" s="55">
        <f>IF(AM191=0,"",AN191/AM191-1)</f>
        <v>0</v>
      </c>
      <c r="AO192" s="55">
        <f>IF(AN191=0,"",AO191/AN191-1)</f>
        <v>0</v>
      </c>
      <c r="AP192" s="55">
        <f>IF(AO191=0,"",AP191/AO191-1)</f>
        <v>0</v>
      </c>
      <c r="AQ192" s="12">
        <f>IF(AP191=0,"",AQ191/AP191-1)</f>
        <v>0</v>
      </c>
      <c r="AR192" s="55">
        <f>IF(AQ191=0,"",AR191/AQ191-1)</f>
        <v>0</v>
      </c>
      <c r="AS192" s="55">
        <f>IF(AR191=0,"",AS191/AR191-1)</f>
        <v>0</v>
      </c>
      <c r="AT192" s="55">
        <f>IF(AS191=0,"",AT191/AS191-1)</f>
        <v>0</v>
      </c>
      <c r="AU192" s="55">
        <f>IF(AT191=0,"",AU191/AT191-1)</f>
        <v>0</v>
      </c>
      <c r="AV192" s="12">
        <f>IF(AU191=0,"",AV191/AU191-1)</f>
        <v>0</v>
      </c>
      <c r="AW192" s="55">
        <f>IF(AV191=0,"",AW191/AV191-1)</f>
        <v>0</v>
      </c>
      <c r="AX192" s="55">
        <f>IF(AW191=0,"",AX191/AW191-1)</f>
        <v>0</v>
      </c>
      <c r="AY192" s="55">
        <f>IF(AX191=0,"",AY191/AX191-1)</f>
        <v>0</v>
      </c>
      <c r="AZ192" s="55">
        <f>IF(AY191=0,"",AZ191/AY191-1)</f>
        <v>0</v>
      </c>
      <c r="BA192" s="12">
        <f>IF(AZ191=0,"",BA191/AZ191-1)</f>
        <v>0</v>
      </c>
      <c r="BB192" s="55">
        <f>IF(BA191=0,"",BB191/BA191-1)</f>
        <v>0</v>
      </c>
      <c r="BC192" s="55">
        <f>IF(BB191=0,"",BC191/BB191-1)</f>
        <v>0</v>
      </c>
      <c r="BD192" s="55">
        <f>IF(BC191=0,"",BD191/BC191-1)</f>
        <v>0</v>
      </c>
      <c r="BE192" s="55">
        <f>IF(BD191=0,"",BE191/BD191-1)</f>
        <v>0</v>
      </c>
      <c r="BF192" s="12">
        <f>IF(BE191=0,"",BF191/BE191-1)</f>
        <v>0</v>
      </c>
      <c r="BG192" s="55" t="n"/>
      <c r="BH192" s="55" t="n"/>
      <c r="BI192" s="55" t="n"/>
      <c r="BJ192" s="55" t="n"/>
      <c r="BK192" s="12" t="n"/>
      <c r="BL192" s="55" t="n"/>
      <c r="BM192" s="55" t="n"/>
      <c r="BN192" s="55" t="n"/>
      <c r="BO192" s="55" t="n"/>
      <c r="BP192" s="12" t="n"/>
      <c r="BQ192" s="55" t="n"/>
      <c r="BR192" s="55" t="n"/>
      <c r="BS192" s="55" t="n"/>
      <c r="BT192" s="55" t="n"/>
      <c r="BU192" s="12" t="n"/>
      <c r="BV192" s="55" t="n"/>
      <c r="BW192" s="55" t="n"/>
      <c r="BX192" s="55" t="n"/>
      <c r="BY192" s="55" t="n"/>
      <c r="BZ192" s="12" t="n"/>
      <c r="CA192" s="55" t="n"/>
      <c r="CB192" s="55" t="n"/>
      <c r="CC192" s="55" t="n"/>
      <c r="CD192" s="55" t="n"/>
      <c r="CE192" s="12" t="n"/>
      <c r="CF192" s="55" t="n"/>
      <c r="CG192" s="55" t="n"/>
      <c r="CH192" s="55" t="n"/>
      <c r="CI192" s="55" t="n"/>
      <c r="CJ192" s="12" t="n"/>
      <c r="CK192" s="55" t="n"/>
      <c r="CL192" s="55" t="n"/>
      <c r="CM192" s="55" t="n"/>
      <c r="CN192" s="55" t="n"/>
      <c r="CO192" s="12" t="n"/>
      <c r="CP192" s="55" t="n"/>
      <c r="CQ192" s="55" t="n"/>
      <c r="CR192" s="55" t="n"/>
      <c r="CS192" s="55" t="n"/>
      <c r="CT192" s="12" t="n"/>
      <c r="CU192" s="55" t="n"/>
      <c r="CV192" s="55" t="n"/>
      <c r="CW192" s="55" t="n"/>
      <c r="CX192" s="55" t="n"/>
      <c r="CY192" s="12" t="n"/>
    </row>
    <row r="193" hidden="1" outlineLevel="1">
      <c r="C193" s="57" t="n"/>
      <c r="D193" s="12" t="n"/>
      <c r="E193" s="40" t="n"/>
      <c r="F193" s="40" t="n"/>
      <c r="G193" s="40" t="n"/>
      <c r="H193" s="12" t="n"/>
      <c r="I193" s="40" t="n"/>
      <c r="J193" s="40" t="n"/>
      <c r="K193" s="40" t="n"/>
      <c r="L193" s="40" t="n"/>
      <c r="M193" s="12" t="n"/>
      <c r="N193" s="40" t="n"/>
      <c r="O193" s="40" t="n"/>
      <c r="P193" s="40" t="n"/>
      <c r="Q193" s="40" t="n"/>
      <c r="R193" s="12" t="n"/>
      <c r="S193" s="40" t="n"/>
      <c r="T193" s="40" t="n"/>
      <c r="U193" s="40" t="n"/>
      <c r="V193" s="40" t="n"/>
      <c r="W193" s="12" t="n"/>
      <c r="X193" s="40" t="n"/>
      <c r="Y193" s="40" t="n"/>
      <c r="Z193" s="40" t="n"/>
      <c r="AA193" s="40" t="n"/>
      <c r="AB193" s="12" t="n"/>
      <c r="AC193" s="40" t="n"/>
      <c r="AD193" s="40" t="n"/>
      <c r="AE193" s="40" t="n"/>
      <c r="AF193" s="55" t="n"/>
      <c r="AG193" s="12" t="n"/>
      <c r="AH193" s="55" t="n"/>
      <c r="AI193" s="55" t="n"/>
      <c r="AJ193" s="55" t="n"/>
      <c r="AK193" s="55" t="n"/>
      <c r="AL193" s="12" t="n"/>
      <c r="AM193" s="55" t="n"/>
      <c r="AN193" s="55" t="n"/>
      <c r="AO193" s="55" t="n"/>
      <c r="AP193" s="55" t="n"/>
      <c r="AQ193" s="12" t="n"/>
      <c r="AR193" s="55" t="n"/>
      <c r="AS193" s="55" t="n"/>
      <c r="AT193" s="55" t="n"/>
      <c r="AU193" s="55" t="n"/>
      <c r="AV193" s="12" t="n"/>
      <c r="AW193" s="55" t="n"/>
      <c r="AX193" s="55" t="n"/>
      <c r="AY193" s="55" t="n"/>
      <c r="AZ193" s="55" t="n"/>
      <c r="BA193" s="12" t="n"/>
      <c r="BB193" s="55" t="n"/>
      <c r="BC193" s="55" t="n"/>
      <c r="BD193" s="55" t="n"/>
      <c r="BE193" s="55" t="n"/>
      <c r="BF193" s="12" t="n"/>
      <c r="BG193" s="55" t="n"/>
      <c r="BH193" s="55" t="n"/>
      <c r="BI193" s="55" t="n"/>
      <c r="BJ193" s="55" t="n"/>
      <c r="BK193" s="12" t="n"/>
      <c r="BL193" s="55" t="n"/>
      <c r="BM193" s="55" t="n"/>
      <c r="BN193" s="55" t="n"/>
      <c r="BO193" s="55" t="n"/>
      <c r="BP193" s="12" t="n"/>
      <c r="BQ193" s="55" t="n"/>
      <c r="BR193" s="55" t="n"/>
      <c r="BS193" s="55" t="n"/>
      <c r="BT193" s="55" t="n"/>
      <c r="BU193" s="12" t="n"/>
      <c r="BV193" s="55" t="n"/>
      <c r="BW193" s="55" t="n"/>
      <c r="BX193" s="55" t="n"/>
      <c r="BY193" s="55" t="n"/>
      <c r="BZ193" s="12" t="n"/>
      <c r="CA193" s="55" t="n"/>
      <c r="CB193" s="55" t="n"/>
      <c r="CC193" s="55" t="n"/>
      <c r="CD193" s="55" t="n"/>
      <c r="CE193" s="12" t="n"/>
      <c r="CF193" s="55" t="n"/>
      <c r="CG193" s="55" t="n"/>
      <c r="CH193" s="55" t="n"/>
      <c r="CI193" s="55" t="n"/>
      <c r="CJ193" s="12" t="n"/>
      <c r="CK193" s="55" t="n"/>
      <c r="CL193" s="55" t="n"/>
      <c r="CM193" s="55" t="n"/>
      <c r="CN193" s="55" t="n"/>
      <c r="CO193" s="12" t="n"/>
      <c r="CP193" s="55" t="n"/>
      <c r="CQ193" s="55" t="n"/>
      <c r="CR193" s="55" t="n"/>
      <c r="CS193" s="55" t="n"/>
      <c r="CT193" s="12" t="n"/>
      <c r="CU193" s="55" t="n"/>
      <c r="CV193" s="55" t="n"/>
      <c r="CW193" s="55" t="n"/>
      <c r="CX193" s="55" t="n"/>
      <c r="CY193" s="12" t="n"/>
    </row>
    <row r="194" hidden="1" outlineLevel="1">
      <c r="C194" s="60" t="inlineStr">
        <is>
          <t>Outros Créditos - LP</t>
        </is>
      </c>
      <c r="D194" s="11" t="n"/>
      <c r="E194" s="11" t="n"/>
      <c r="F194" s="11" t="n"/>
      <c r="G194" s="11" t="n"/>
      <c r="H194" s="12" t="n"/>
      <c r="I194" s="11" t="n"/>
      <c r="J194" s="11" t="n"/>
      <c r="K194" s="11" t="n"/>
      <c r="L194" s="11" t="n"/>
      <c r="M194" s="12" t="n"/>
      <c r="N194" s="11" t="n"/>
      <c r="O194" s="11" t="n"/>
      <c r="P194" s="11" t="n"/>
      <c r="Q194" s="11" t="n"/>
      <c r="R194" s="12" t="n"/>
      <c r="S194" s="11" t="n"/>
      <c r="T194" s="11" t="n"/>
      <c r="U194" s="11" t="n"/>
      <c r="V194" s="11" t="n"/>
      <c r="W194" s="12" t="n"/>
      <c r="X194" s="11" t="n"/>
      <c r="Y194" s="11" t="n"/>
      <c r="Z194" s="11" t="n"/>
      <c r="AA194" s="11" t="n"/>
      <c r="AB194" s="12" t="n"/>
      <c r="AC194" s="11" t="n"/>
      <c r="AD194" s="11" t="n"/>
      <c r="AE194" s="11" t="n"/>
      <c r="AF194" s="11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60" t="inlineStr">
        <is>
          <t xml:space="preserve">Impostos e Contribuições a Recuperar </t>
        </is>
      </c>
      <c r="D195" s="11" t="n"/>
      <c r="E195" s="11" t="n"/>
      <c r="F195" s="11" t="n"/>
      <c r="G195" s="11" t="n"/>
      <c r="H195" s="12" t="n"/>
      <c r="I195" s="11" t="n"/>
      <c r="J195" s="11" t="n"/>
      <c r="K195" s="11" t="n"/>
      <c r="L195" s="11" t="n"/>
      <c r="M195" s="12" t="n"/>
      <c r="N195" s="11" t="n"/>
      <c r="O195" s="11" t="n"/>
      <c r="P195" s="11" t="n"/>
      <c r="Q195" s="11" t="n"/>
      <c r="R195" s="12" t="n"/>
      <c r="S195" s="11" t="n"/>
      <c r="T195" s="11" t="n"/>
      <c r="U195" s="11" t="n"/>
      <c r="V195" s="11" t="n"/>
      <c r="W195" s="12" t="n"/>
      <c r="X195" s="11" t="n"/>
      <c r="Y195" s="11" t="n"/>
      <c r="Z195" s="11" t="n"/>
      <c r="AA195" s="11" t="n"/>
      <c r="AB195" s="12" t="n"/>
      <c r="AC195" s="11" t="n"/>
      <c r="AD195" s="11" t="n"/>
      <c r="AE195" s="11" t="n"/>
      <c r="AF195" s="11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  <c r="BN195" s="12" t="n"/>
      <c r="BO195" s="12" t="n"/>
      <c r="BP195" s="12" t="n"/>
      <c r="BQ195" s="12" t="n"/>
      <c r="BR195" s="12" t="n"/>
      <c r="BS195" s="12" t="n"/>
      <c r="BT195" s="12" t="n"/>
      <c r="BU195" s="12" t="n"/>
      <c r="BV195" s="12" t="n"/>
      <c r="BW195" s="12" t="n"/>
      <c r="BX195" s="12" t="n"/>
      <c r="BY195" s="12" t="n"/>
      <c r="BZ195" s="12" t="n"/>
      <c r="CA195" s="12" t="n"/>
      <c r="CB195" s="12" t="n"/>
      <c r="CC195" s="12" t="n"/>
      <c r="CD195" s="12" t="n"/>
      <c r="CE195" s="12" t="n"/>
      <c r="CF195" s="12" t="n"/>
      <c r="CG195" s="12" t="n"/>
      <c r="CH195" s="12" t="n"/>
      <c r="CI195" s="12" t="n"/>
      <c r="CJ195" s="12" t="n"/>
      <c r="CK195" s="12" t="n"/>
      <c r="CL195" s="12" t="n"/>
      <c r="CM195" s="12" t="n"/>
      <c r="CN195" s="12" t="n"/>
      <c r="CO195" s="12" t="n"/>
      <c r="CP195" s="12" t="n"/>
      <c r="CQ195" s="12" t="n"/>
      <c r="CR195" s="12" t="n"/>
      <c r="CS195" s="12" t="n"/>
      <c r="CT195" s="12" t="n"/>
      <c r="CU195" s="12" t="n"/>
      <c r="CV195" s="12" t="n"/>
      <c r="CW195" s="12" t="n"/>
      <c r="CX195" s="12" t="n"/>
      <c r="CY195" s="12" t="n"/>
    </row>
    <row r="196" hidden="1" outlineLevel="1">
      <c r="C196" s="60" t="inlineStr">
        <is>
          <t xml:space="preserve">Imposto de Renda e Contribuição Social Diferidos </t>
        </is>
      </c>
      <c r="D196" s="11" t="n"/>
      <c r="E196" s="11" t="n"/>
      <c r="F196" s="11" t="n"/>
      <c r="G196" s="11" t="n"/>
      <c r="H196" s="12" t="n"/>
      <c r="I196" s="11" t="n"/>
      <c r="J196" s="11" t="n"/>
      <c r="K196" s="11" t="n"/>
      <c r="L196" s="11" t="n"/>
      <c r="M196" s="12" t="n"/>
      <c r="N196" s="11" t="n"/>
      <c r="O196" s="11" t="n"/>
      <c r="P196" s="11" t="n"/>
      <c r="Q196" s="11" t="n"/>
      <c r="R196" s="12" t="n"/>
      <c r="S196" s="11" t="n"/>
      <c r="T196" s="11" t="n"/>
      <c r="U196" s="11" t="n"/>
      <c r="V196" s="11" t="n"/>
      <c r="W196" s="12" t="n"/>
      <c r="X196" s="11" t="n"/>
      <c r="Y196" s="11" t="n"/>
      <c r="Z196" s="11" t="n"/>
      <c r="AA196" s="11" t="n"/>
      <c r="AB196" s="12" t="n"/>
      <c r="AC196" s="11" t="n"/>
      <c r="AD196" s="11" t="n"/>
      <c r="AE196" s="11" t="n"/>
      <c r="AF196" s="11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60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hidden="1" outlineLevel="1">
      <c r="C198" s="57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collapsed="1" customFormat="1" s="32">
      <c r="A199" s="30" t="n"/>
      <c r="B199" s="3" t="n"/>
      <c r="C199" s="33" t="inlineStr">
        <is>
          <t>Total Assets</t>
        </is>
      </c>
      <c r="D199" s="35" t="n"/>
      <c r="E199" s="35" t="n"/>
      <c r="F199" s="35" t="n"/>
      <c r="G199" s="35" t="n"/>
      <c r="H199" s="35" t="n"/>
      <c r="I199" s="35">
        <f>SUM(I146,I147,I151,I155,I156,I157,I163,I168,I178,I181,I182,I191)</f>
        <v>13929.028</v>
      </c>
      <c r="J199" s="35">
        <f>SUM(J146,J147,J151,J155,J156,J157,J163,J168,J178,J181,J182,J191)</f>
        <v>13868.519</v>
      </c>
      <c r="K199" s="35">
        <f>SUM(K146,K147,K151,K155,K156,K157,K163,K168,K178,K181,K182,K191)</f>
        <v>14325.353</v>
      </c>
      <c r="L199" s="35">
        <f>SUM(L146,L147,L151,L155,L156,L157,L163,L168,L178,L181,L182,L191)</f>
        <v>14640.589</v>
      </c>
      <c r="M199" s="35">
        <f>SUM(M146,M147,M151,M155,M156,M157,M163,M168,M178,M181,M182,M191)</f>
        <v>14640.589</v>
      </c>
      <c r="N199" s="35">
        <f>SUM(N146,N147,N151,N155,N156,N157,N163,N168,N178,N181,N182,N191)</f>
        <v>15629.548</v>
      </c>
      <c r="O199" s="35">
        <f>SUM(O146,O147,O151,O155,O156,O157,O163,O168,O178,O181,O182,O191)</f>
        <v>15658.437</v>
      </c>
      <c r="P199" s="35">
        <f>SUM(P146,P147,P151,P155,P156,P157,P163,P168,P178,P181,P182,P191)</f>
        <v>16167.348</v>
      </c>
      <c r="Q199" s="35">
        <f>SUM(Q146,Q147,Q151,Q155,Q156,Q157,Q163,Q168,Q178,Q181,Q182,Q191)</f>
        <v>16657.196</v>
      </c>
      <c r="R199" s="35">
        <f>SUM(R146,R147,R151,R155,R156,R157,R163,R168,R178,R181,R182,R191)</f>
        <v>16657.196</v>
      </c>
      <c r="S199" s="35">
        <f>SUM(S146,S147,S151,S155,S156,S157,S163,S168,S178,S181,S182,S191)</f>
        <v>17146.981</v>
      </c>
      <c r="T199" s="35">
        <f>SUM(T146,T147,T151,T155,T156,T157,T163,T168,T178,T181,T182,T191)</f>
        <v>17705.951</v>
      </c>
      <c r="U199" s="35">
        <f>SUM(U146,U147,U151,U155,U156,U157,U163,U168,U178,U181,U182,U191)</f>
        <v>18315.489</v>
      </c>
      <c r="V199" s="35">
        <f>SUM(V146,V147,V151,V155,V156,V157,V163,V168,V178,V181,V182,V191)</f>
        <v>18803.905</v>
      </c>
      <c r="W199" s="35">
        <f>SUM(W146,W147,W151,W155,W156,W157,W163,W168,W178,W181,W182,W191)</f>
        <v>18803.905</v>
      </c>
      <c r="X199" s="35">
        <f>SUM(X146,X147,X151,X155,X156,X157,X163,X168,X178,X181,X182,X191)</f>
        <v>19827.413</v>
      </c>
      <c r="Y199" s="35">
        <f>SUM(Y146,Y147,Y151,Y155,Y156,Y157,Y163,Y168,Y178,Y181,Y182,Y191)</f>
        <v>19737.405</v>
      </c>
      <c r="Z199" s="35">
        <f>SUM(Z146,Z147,Z151,Z155,Z156,Z157,Z163,Z168,Z178,Z181,Z182,Z191)</f>
        <v>20134.318</v>
      </c>
      <c r="AA199" s="35">
        <f>SUM(AA146,AA147,AA151,AA155,AA156,AA157,AA163,AA168,AA178,AA181,AA182,AA191)</f>
        <v>20508</v>
      </c>
      <c r="AB199" s="35">
        <f>SUM(AB146,AB147,AB151,AB155,AB156,AB157,AB163,AB168,AB178,AB181,AB182,AB191)</f>
        <v>20508</v>
      </c>
      <c r="AC199" s="35">
        <f>SUM(AC146,AC147,AC151,AC155,AC156,AC157,AC163,AC168,AC178,AC181,AC182,AC191)</f>
        <v>24877.802</v>
      </c>
      <c r="AD199" s="35">
        <f>SUM(AD146,AD147,AD151,AD155,AD156,AD157,AD163,AD168,AD178,AD181,AD182,AD191)</f>
        <v>24914.48</v>
      </c>
      <c r="AE199" s="35">
        <f>SUM(AE146,AE147,AE151,AE155,AE156,AE157,AE163,AE168,AE178,AE181,AE182,AE191)</f>
        <v>26002.141</v>
      </c>
      <c r="AF199" s="35">
        <f>SUM(AF146,AF147,AF151,AF155,AF156,AF157,AF163,AF168,AF178,AF181,AF182,AF191)</f>
        <v>26465.924</v>
      </c>
      <c r="AG199" s="35">
        <f>SUM(AG146,AG147,AG151,AG155,AG156,AG157,AG163,AG168,AG178,AG181,AG182,AG191)</f>
        <v>26465.924</v>
      </c>
      <c r="AH199" s="35">
        <f>SUM(AH146,AH147,AH151,AH155,AH156,AH157,AH163,AH168,AH178,AH181,AH182,AH191)</f>
        <v>26827.91</v>
      </c>
      <c r="AI199" s="35">
        <f>SUM(AI146,AI147,AI151,AI155,AI156,AI157,AI163,AI168,AI178,AI181,AI182,AI191)</f>
        <v>26532.561</v>
      </c>
      <c r="AJ199" s="35">
        <f>SUM(AJ146,AJ147,AJ151,AJ155,AJ156,AJ157,AJ163,AJ168,AJ178,AJ181,AJ182,AJ191)</f>
        <v>27305.7025705708</v>
      </c>
      <c r="AK199" s="35">
        <f>SUM(AK146,AK147,AK151,AK155,AK156,AK157,AK163,AK168,AK178,AK181,AK182,AK191)</f>
        <v>28090.895530208</v>
      </c>
      <c r="AL199" s="35">
        <f>SUM(AL146,AL147,AL151,AL155,AL156,AL157,AL163,AL168,AL178,AL181,AL182,AL191)</f>
        <v>28090.895530208</v>
      </c>
      <c r="AM199" s="35">
        <f>SUM(AM146,AM147,AM151,AM155,AM156,AM157,AM163,AM168,AM178,AM181,AM182,AM191)</f>
        <v>28901.5835547682</v>
      </c>
      <c r="AN199" s="35">
        <f>SUM(AN146,AN147,AN151,AN155,AN156,AN157,AN163,AN168,AN178,AN181,AN182,AN191)</f>
        <v>29656.9860420806</v>
      </c>
      <c r="AO199" s="35">
        <f>SUM(AO146,AO147,AO151,AO155,AO156,AO157,AO163,AO168,AO178,AO181,AO182,AO191)</f>
        <v>30438.5100384334</v>
      </c>
      <c r="AP199" s="35">
        <f>SUM(AP146,AP147,AP151,AP155,AP156,AP157,AP163,AP168,AP178,AP181,AP182,AP191)</f>
        <v>31278.3397102893</v>
      </c>
      <c r="AQ199" s="35">
        <f>SUM(AQ146,AQ147,AQ151,AQ155,AQ156,AQ157,AQ163,AQ168,AQ178,AQ181,AQ182,AQ191)</f>
        <v>31278.3397102893</v>
      </c>
      <c r="AR199" s="35">
        <f>SUM(AR146,AR147,AR151,AR155,AR156,AR157,AR163,AR168,AR178,AR181,AR182,AR191)</f>
        <v>32133.061833518</v>
      </c>
      <c r="AS199" s="35">
        <f>SUM(AS146,AS147,AS151,AS155,AS156,AS157,AS163,AS168,AS178,AS181,AS182,AS191)</f>
        <v>32941.8617585053</v>
      </c>
      <c r="AT199" s="35">
        <f>SUM(AT146,AT147,AT151,AT155,AT156,AT157,AT163,AT168,AT178,AT181,AT182,AT191)</f>
        <v>33773.1322427742</v>
      </c>
      <c r="AU199" s="35">
        <f>SUM(AU146,AU147,AU151,AU155,AU156,AU157,AU163,AU168,AU178,AU181,AU182,AU191)</f>
        <v>34666.3387067511</v>
      </c>
      <c r="AV199" s="35">
        <f>SUM(AV146,AV147,AV151,AV155,AV156,AV157,AV163,AV168,AV178,AV181,AV182,AV191)</f>
        <v>34666.3387067511</v>
      </c>
      <c r="AW199" s="35">
        <f>SUM(AW146,AW147,AW151,AW155,AW156,AW157,AW163,AW168,AW178,AW181,AW182,AW191)</f>
        <v>35574.2578760136</v>
      </c>
      <c r="AX199" s="35">
        <f>SUM(AX146,AX147,AX151,AX155,AX156,AX157,AX163,AX168,AX178,AX181,AX182,AX191)</f>
        <v>36424.7695393139</v>
      </c>
      <c r="AY199" s="35">
        <f>SUM(AY146,AY147,AY151,AY155,AY156,AY157,AY163,AY168,AY178,AY181,AY182,AY191)</f>
        <v>37304.632728176</v>
      </c>
      <c r="AZ199" s="35">
        <f>SUM(AZ146,AZ147,AZ151,AZ155,AZ156,AZ157,AZ163,AZ168,AZ178,AZ181,AZ182,AZ191)</f>
        <v>38249.9541661834</v>
      </c>
      <c r="BA199" s="35">
        <f>SUM(BA146,BA147,BA151,BA155,BA156,BA157,BA163,BA168,BA178,BA181,BA182,BA191)</f>
        <v>38249.9541661834</v>
      </c>
      <c r="BB199" s="35">
        <f>SUM(BB146,BB147,BB151,BB155,BB156,BB157,BB163,BB168,BB178,BB181,BB182,BB191)</f>
        <v>39203.6732684327</v>
      </c>
      <c r="BC199" s="35">
        <f>SUM(BC146,BC147,BC151,BC155,BC156,BC157,BC163,BC168,BC178,BC181,BC182,BC191)</f>
        <v>40099.4432474735</v>
      </c>
      <c r="BD199" s="35">
        <f>SUM(BD146,BD147,BD151,BD155,BD156,BD157,BD163,BD168,BD178,BD181,BD182,BD191)</f>
        <v>41026.0676241622</v>
      </c>
      <c r="BE199" s="35">
        <f>SUM(BE146,BE147,BE151,BE155,BE156,BE157,BE163,BE168,BE178,BE181,BE182,BE191)</f>
        <v>42021.5171883214</v>
      </c>
      <c r="BF199" s="35">
        <f>SUM(BF146,BF147,BF151,BF155,BF156,BF157,BF163,BF168,BF178,BF181,BF182,BF191)</f>
        <v>42021.5171883214</v>
      </c>
      <c r="BG199" s="35" t="n"/>
      <c r="BH199" s="35" t="n"/>
      <c r="BI199" s="35" t="n"/>
      <c r="BJ199" s="35" t="n"/>
      <c r="BK199" s="35" t="n"/>
      <c r="BL199" s="35" t="n"/>
      <c r="BM199" s="35" t="n"/>
      <c r="BN199" s="35" t="n"/>
      <c r="BO199" s="35" t="n"/>
      <c r="BP199" s="35" t="n"/>
      <c r="BQ199" s="35" t="n"/>
      <c r="BR199" s="35" t="n"/>
      <c r="BS199" s="35" t="n"/>
      <c r="BT199" s="35" t="n"/>
      <c r="BU199" s="35" t="n"/>
      <c r="BV199" s="35" t="n"/>
      <c r="BW199" s="35" t="n"/>
      <c r="BX199" s="35" t="n"/>
      <c r="BY199" s="35" t="n"/>
      <c r="BZ199" s="35" t="n"/>
      <c r="CA199" s="35" t="n"/>
      <c r="CB199" s="35" t="n"/>
      <c r="CC199" s="35" t="n"/>
      <c r="CD199" s="35" t="n"/>
      <c r="CE199" s="35" t="n"/>
      <c r="CF199" s="35" t="n"/>
      <c r="CG199" s="35" t="n"/>
      <c r="CH199" s="35" t="n"/>
      <c r="CI199" s="35" t="n"/>
      <c r="CJ199" s="35" t="n"/>
      <c r="CK199" s="35" t="n"/>
      <c r="CL199" s="35" t="n"/>
      <c r="CM199" s="35" t="n"/>
      <c r="CN199" s="35" t="n"/>
      <c r="CO199" s="35" t="n"/>
      <c r="CP199" s="35" t="n"/>
      <c r="CQ199" s="35" t="n"/>
      <c r="CR199" s="35" t="n"/>
      <c r="CS199" s="35" t="n"/>
      <c r="CT199" s="35" t="n"/>
      <c r="CU199" s="35" t="n"/>
      <c r="CV199" s="35" t="n"/>
      <c r="CW199" s="35" t="n"/>
      <c r="CX199" s="35" t="n"/>
      <c r="CY199" s="35" t="n"/>
    </row>
    <row r="200">
      <c r="C200" s="14" t="inlineStr">
        <is>
          <t>Accounts payable</t>
        </is>
      </c>
      <c r="D200" s="46" t="n"/>
      <c r="E200" s="46" t="n"/>
      <c r="F200" s="46" t="n"/>
      <c r="G200" s="46" t="n"/>
      <c r="H200" s="12" t="n"/>
      <c r="I200" s="46">
        <f>'Inputs (2)'!D28</f>
        <v>173.164</v>
      </c>
      <c r="J200" s="46">
        <f>'Inputs (2)'!E28</f>
        <v>199.868</v>
      </c>
      <c r="K200" s="46">
        <f>'Inputs (2)'!F28</f>
        <v>259.493</v>
      </c>
      <c r="L200" s="46">
        <f>'Inputs (2)'!G28</f>
        <v>269.397</v>
      </c>
      <c r="M200" s="12">
        <f>'Inputs (2)'!H28</f>
        <v>269.397</v>
      </c>
      <c r="N200" s="46">
        <f>'Inputs (2)'!I28</f>
        <v>263.101</v>
      </c>
      <c r="O200" s="46">
        <f>'Inputs (2)'!J28</f>
        <v>255.24</v>
      </c>
      <c r="P200" s="46">
        <f>'Inputs (2)'!K28</f>
        <v>275.833</v>
      </c>
      <c r="Q200" s="46">
        <f>'Inputs (2)'!L28</f>
        <v>297.045</v>
      </c>
      <c r="R200" s="12">
        <f>'Inputs (2)'!M28</f>
        <v>297.045</v>
      </c>
      <c r="S200" s="46">
        <f>'Inputs (2)'!N28</f>
        <v>236.191</v>
      </c>
      <c r="T200" s="46">
        <f>'Inputs (2)'!O28</f>
        <v>321.428</v>
      </c>
      <c r="U200" s="46">
        <f>'Inputs (2)'!P28</f>
        <v>336.008</v>
      </c>
      <c r="V200" s="46">
        <f>'Inputs (2)'!Q28</f>
        <v>354.897</v>
      </c>
      <c r="W200" s="12">
        <f>'Inputs (2)'!R28</f>
        <v>354.897</v>
      </c>
      <c r="X200" s="46">
        <f>'Inputs (2)'!S28</f>
        <v>327.528</v>
      </c>
      <c r="Y200" s="46">
        <f>'Inputs (2)'!T28</f>
        <v>332.791</v>
      </c>
      <c r="Z200" s="46">
        <f>'Inputs (2)'!U28</f>
        <v>333.134</v>
      </c>
      <c r="AA200" s="46">
        <f>'Inputs (2)'!V28</f>
        <v>331.691</v>
      </c>
      <c r="AB200" s="12">
        <f>'Inputs (2)'!W28</f>
        <v>331.691</v>
      </c>
      <c r="AC200" s="46">
        <f>'Inputs (2)'!X28</f>
        <v>320.066</v>
      </c>
      <c r="AD200" s="46">
        <f>'Inputs (2)'!Y28</f>
        <v>339.296</v>
      </c>
      <c r="AE200" s="46">
        <f>'Inputs (2)'!Z28</f>
        <v>431.39</v>
      </c>
      <c r="AF200" s="46">
        <f>'Inputs (2)'!AA28</f>
        <v>504.986</v>
      </c>
      <c r="AG200" s="12">
        <f>'Inputs (2)'!AB28</f>
        <v>504.986</v>
      </c>
      <c r="AH200" s="12">
        <f>'Inputs (2)'!AC28</f>
        <v>411.122</v>
      </c>
      <c r="AI200" s="12">
        <f>'Inputs (2)'!AD28</f>
        <v>368.487</v>
      </c>
      <c r="AJ200" s="12">
        <f>(AJ201/(AJ$5-AI$5))*-AJ$56</f>
        <v>411.517210481221</v>
      </c>
      <c r="AK200" s="12">
        <f>(AK201/(AK$5-AJ$5))*-AK$56</f>
        <v>431.311273817108</v>
      </c>
      <c r="AL200" s="12">
        <f>AK200</f>
        <v>431.311273817108</v>
      </c>
      <c r="AM200" s="12">
        <f>(AM201/(AM$5-AL$5))*-AM$56</f>
        <v>453.813546002168</v>
      </c>
      <c r="AN200" s="12">
        <f>(AN201/(AN$5-AM$5))*-AN$56</f>
        <v>438.404909054544</v>
      </c>
      <c r="AO200" s="12">
        <f>(AO201/(AO$5-AN$5))*-AO$56</f>
        <v>438.996971013075</v>
      </c>
      <c r="AP200" s="12">
        <f>(AP201/(AP$5-AO$5))*-AP$56</f>
        <v>460.112816540736</v>
      </c>
      <c r="AQ200" s="12">
        <f>AP200</f>
        <v>460.112816540736</v>
      </c>
      <c r="AR200" s="12">
        <f>(AR201/(AR$5-AQ$5))*-AR$56</f>
        <v>476.553608339639</v>
      </c>
      <c r="AS200" s="12">
        <f>(AS201/(AS$5-AR$5))*-AS$56</f>
        <v>465.48811677166</v>
      </c>
      <c r="AT200" s="12">
        <f>(AT201/(AT$5-AS$5))*-AT$56</f>
        <v>466.116754363066</v>
      </c>
      <c r="AU200" s="12">
        <f>(AU201/(AU$5-AT$5))*-AU$56</f>
        <v>488.537067105251</v>
      </c>
      <c r="AV200" s="12">
        <f>AU200</f>
        <v>488.537067105251</v>
      </c>
      <c r="AW200" s="12">
        <f>(AW201/(AW$5-AV$5))*-AW$56</f>
        <v>509.206423679616</v>
      </c>
      <c r="AX200" s="12">
        <f>(AX201/(AX$5-AW$5))*-AX$56</f>
        <v>491.91699505194</v>
      </c>
      <c r="AY200" s="12">
        <f>(AY201/(AY$5-AX$5))*-AY$56</f>
        <v>492.581324610094</v>
      </c>
      <c r="AZ200" s="12">
        <f>(AZ201/(AZ$5-AY$5))*-AZ$56</f>
        <v>516.274588680401</v>
      </c>
      <c r="BA200" s="12">
        <f>AZ200</f>
        <v>516.274588680401</v>
      </c>
      <c r="BB200" s="12">
        <f>(BB201/(BB$5-BA$5))*-BB$56</f>
        <v>535.571450954742</v>
      </c>
      <c r="BC200" s="12">
        <f>(BC201/(BC$5-BB$5))*-BC$56</f>
        <v>517.386832800496</v>
      </c>
      <c r="BD200" s="12">
        <f>(BD201/(BD$5-BC$5))*-BD$56</f>
        <v>518.085559149629</v>
      </c>
      <c r="BE200" s="12">
        <f>(BE201/(BE$5-BD$5))*-BE$56</f>
        <v>543.005582200972</v>
      </c>
      <c r="BF200" s="12">
        <f>BE200</f>
        <v>543.005582200972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 hidden="1" outlineLevel="1">
      <c r="C201" s="57" t="inlineStr">
        <is>
          <t>DPO</t>
        </is>
      </c>
      <c r="D201" s="12" t="n"/>
      <c r="E201" s="12" t="n"/>
      <c r="F201" s="12" t="n"/>
      <c r="G201" s="12" t="n"/>
      <c r="H201" s="12" t="n"/>
      <c r="I201" s="12">
        <f>IFERROR(-(I200/I$56)*(I$5-H$5),"")</f>
        <v>40.33312543187</v>
      </c>
      <c r="J201" s="12">
        <f>IFERROR(-(J200/J$56)*(J$5-I$5),"")</f>
        <v>45.2712293033583</v>
      </c>
      <c r="K201" s="12">
        <f>IFERROR(-(K200/K$56)*(K$5-J$5),"")</f>
        <v>57.2975212165431</v>
      </c>
      <c r="L201" s="12">
        <f>IFERROR(-(L200/L$56)*(L$5-K$5),"")</f>
        <v>54.898847733344</v>
      </c>
      <c r="M201" s="12" t="n"/>
      <c r="N201" s="12">
        <f>IFERROR(-(N200/N$56)*(N$5-M$5),"")</f>
        <v>48.8778913993898</v>
      </c>
      <c r="O201" s="12">
        <f>IFERROR(-(O200/O$56)*(O$5-N$5),"")</f>
        <v>42.6633799945263</v>
      </c>
      <c r="P201" s="12">
        <f>IFERROR(-(P200/P$56)*(P$5-O$5),"")</f>
        <v>54.9881276639082</v>
      </c>
      <c r="Q201" s="12">
        <f>IFERROR(-(Q200/Q$56)*(Q$5-P$5),"")</f>
        <v>59.4649746391712</v>
      </c>
      <c r="R201" s="12" t="n"/>
      <c r="S201" s="12">
        <f>IFERROR(-(S200/S$56)*(S$5-R$5),"")</f>
        <v>45.0054305827555</v>
      </c>
      <c r="T201" s="12">
        <f>IFERROR(-(T200/T$56)*(T$5-S$5),"")</f>
        <v>58.5746372371146</v>
      </c>
      <c r="U201" s="12">
        <f>IFERROR(-(U200/U$56)*(U$5-T$5),"")</f>
        <v>59.2819218606471</v>
      </c>
      <c r="V201" s="12">
        <f>IFERROR(-(V200/V$56)*(V$5-U$5),"")</f>
        <v>60.2803016736054</v>
      </c>
      <c r="W201" s="12" t="n"/>
      <c r="X201" s="12">
        <f>IFERROR(-(X200/X$56)*(X$5-W$5),"")</f>
        <v>53.9515495772399</v>
      </c>
      <c r="Y201" s="12">
        <f>IFERROR(-(Y200/Y$56)*(Y$5-X$5),"")</f>
        <v>50.6099485276914</v>
      </c>
      <c r="Z201" s="12">
        <f>IFERROR(-(Z200/Z$56)*(Z$5-Y$5),"")</f>
        <v>51.5991178005623</v>
      </c>
      <c r="AA201" s="12">
        <f>IFERROR(-(AA200/AA$56)*(AA$5-Z$5),"")</f>
        <v>52.1058318506402</v>
      </c>
      <c r="AB201" s="12" t="n"/>
      <c r="AC201" s="12">
        <f>IFERROR(-(AC200/AC$56)*(AC$5-AB$5),"")</f>
        <v>41.7385445525044</v>
      </c>
      <c r="AD201" s="12">
        <f>IFERROR(-(AD200/AD$56)*(AD$5-AC$5),"")</f>
        <v>54.2221504160272</v>
      </c>
      <c r="AE201" s="12">
        <f>IFERROR(-(AE200/AE$56)*(AE$5-AD$5),"")</f>
        <v>62.8794595468128</v>
      </c>
      <c r="AF201" s="11">
        <f>IFERROR(-(AF200/AF$56)*(AF$5-AE$5),"")</f>
        <v>73.3050876340387</v>
      </c>
      <c r="AG201" s="12" t="n"/>
      <c r="AH201" s="11">
        <f>IFERROR(-(AH200/AH$56)*(AH$5-AG$5),"")</f>
        <v>59.9631479494767</v>
      </c>
      <c r="AI201" s="11">
        <f>IFERROR(-(AI200/AI$56)*(AI$5-AH$5),"")</f>
        <v>51.2089188685642</v>
      </c>
      <c r="AJ201" s="11">
        <f>Control!$B$27</f>
        <v>57.2195514945707</v>
      </c>
      <c r="AK201" s="11">
        <f>Control!$B$27</f>
        <v>57.2195514945707</v>
      </c>
      <c r="AL201" s="12" t="n"/>
      <c r="AM201" s="11">
        <f>Control!$C$27</f>
        <v>57.2195514945707</v>
      </c>
      <c r="AN201" s="11">
        <f>Control!$C$27</f>
        <v>57.2195514945707</v>
      </c>
      <c r="AO201" s="11">
        <f>Control!$C$27</f>
        <v>57.2195514945707</v>
      </c>
      <c r="AP201" s="11">
        <f>Control!$C$27</f>
        <v>57.2195514945707</v>
      </c>
      <c r="AQ201" s="12" t="n"/>
      <c r="AR201" s="11">
        <f>Control!$D$27</f>
        <v>57.2195514945707</v>
      </c>
      <c r="AS201" s="11">
        <f>Control!$D$27</f>
        <v>57.2195514945707</v>
      </c>
      <c r="AT201" s="11">
        <f>Control!$D$27</f>
        <v>57.2195514945707</v>
      </c>
      <c r="AU201" s="11">
        <f>Control!$D$27</f>
        <v>57.2195514945707</v>
      </c>
      <c r="AV201" s="12" t="n"/>
      <c r="AW201" s="11">
        <f>Control!$E$27</f>
        <v>57.2195514945707</v>
      </c>
      <c r="AX201" s="11">
        <f>Control!$E$27</f>
        <v>57.2195514945707</v>
      </c>
      <c r="AY201" s="11">
        <f>Control!$E$27</f>
        <v>57.2195514945707</v>
      </c>
      <c r="AZ201" s="11">
        <f>Control!$E$27</f>
        <v>57.2195514945707</v>
      </c>
      <c r="BA201" s="12" t="n"/>
      <c r="BB201" s="11">
        <f>Control!$F$27</f>
        <v>57.2195514945707</v>
      </c>
      <c r="BC201" s="11">
        <f>Control!$F$27</f>
        <v>57.2195514945707</v>
      </c>
      <c r="BD201" s="11">
        <f>Control!$F$27</f>
        <v>57.2195514945707</v>
      </c>
      <c r="BE201" s="11">
        <f>Control!$F$27</f>
        <v>57.2195514945707</v>
      </c>
      <c r="BF201" s="12" t="n"/>
      <c r="BG201" s="11" t="n"/>
      <c r="BH201" s="11" t="n"/>
      <c r="BI201" s="11" t="n"/>
      <c r="BJ201" s="11" t="n"/>
      <c r="BK201" s="12" t="n"/>
      <c r="BL201" s="11" t="n"/>
      <c r="BM201" s="11" t="n"/>
      <c r="BN201" s="11" t="n"/>
      <c r="BO201" s="11" t="n"/>
      <c r="BP201" s="12" t="n"/>
      <c r="BQ201" s="11" t="n"/>
      <c r="BR201" s="11" t="n"/>
      <c r="BS201" s="11" t="n"/>
      <c r="BT201" s="11" t="n"/>
      <c r="BU201" s="12" t="n"/>
      <c r="BV201" s="11" t="n"/>
      <c r="BW201" s="11" t="n"/>
      <c r="BX201" s="11" t="n"/>
      <c r="BY201" s="11" t="n"/>
      <c r="BZ201" s="12" t="n"/>
      <c r="CA201" s="11" t="n"/>
      <c r="CB201" s="11" t="n"/>
      <c r="CC201" s="11" t="n"/>
      <c r="CD201" s="11" t="n"/>
      <c r="CE201" s="12" t="n"/>
      <c r="CF201" s="11" t="n"/>
      <c r="CG201" s="11" t="n"/>
      <c r="CH201" s="11" t="n"/>
      <c r="CI201" s="11" t="n"/>
      <c r="CJ201" s="12" t="n"/>
      <c r="CK201" s="11" t="n"/>
      <c r="CL201" s="11" t="n"/>
      <c r="CM201" s="11" t="n"/>
      <c r="CN201" s="11" t="n"/>
      <c r="CO201" s="12" t="n"/>
      <c r="CP201" s="11" t="n"/>
      <c r="CQ201" s="11" t="n"/>
      <c r="CR201" s="11" t="n"/>
      <c r="CS201" s="11" t="n"/>
      <c r="CT201" s="12" t="n"/>
      <c r="CU201" s="11" t="n"/>
      <c r="CV201" s="11" t="n"/>
      <c r="CW201" s="11" t="n"/>
      <c r="CX201" s="11" t="n"/>
      <c r="CY201" s="12" t="n"/>
    </row>
    <row r="202" hidden="1" outlineLevel="1">
      <c r="C202" s="57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  <c r="BN202" s="12" t="n"/>
      <c r="BO202" s="12" t="n"/>
      <c r="BP202" s="12" t="n"/>
      <c r="BQ202" s="12" t="n"/>
      <c r="BR202" s="12" t="n"/>
      <c r="BS202" s="12" t="n"/>
      <c r="BT202" s="12" t="n"/>
      <c r="BU202" s="12" t="n"/>
      <c r="BV202" s="12" t="n"/>
      <c r="BW202" s="12" t="n"/>
      <c r="BX202" s="12" t="n"/>
      <c r="BY202" s="12" t="n"/>
      <c r="BZ202" s="12" t="n"/>
      <c r="CA202" s="12" t="n"/>
      <c r="CB202" s="12" t="n"/>
      <c r="CC202" s="12" t="n"/>
      <c r="CD202" s="12" t="n"/>
      <c r="CE202" s="12" t="n"/>
      <c r="CF202" s="12" t="n"/>
      <c r="CG202" s="12" t="n"/>
      <c r="CH202" s="12" t="n"/>
      <c r="CI202" s="12" t="n"/>
      <c r="CJ202" s="12" t="n"/>
      <c r="CK202" s="12" t="n"/>
      <c r="CL202" s="12" t="n"/>
      <c r="CM202" s="12" t="n"/>
      <c r="CN202" s="12" t="n"/>
      <c r="CO202" s="12" t="n"/>
      <c r="CP202" s="12" t="n"/>
      <c r="CQ202" s="12" t="n"/>
      <c r="CR202" s="12" t="n"/>
      <c r="CS202" s="12" t="n"/>
      <c r="CT202" s="12" t="n"/>
      <c r="CU202" s="12" t="n"/>
      <c r="CV202" s="12" t="n"/>
      <c r="CW202" s="12" t="n"/>
      <c r="CX202" s="12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collapsed="1">
      <c r="C204" s="14" t="inlineStr">
        <is>
          <t>Accrued expenses</t>
        </is>
      </c>
      <c r="D204" s="46" t="n"/>
      <c r="E204" s="46" t="n"/>
      <c r="F204" s="46" t="n"/>
      <c r="G204" s="46" t="n"/>
      <c r="H204" s="12" t="n"/>
      <c r="I204" s="46">
        <f>'Inputs (2)'!D29</f>
        <v>134.866</v>
      </c>
      <c r="J204" s="46">
        <f>'Inputs (2)'!E29</f>
        <v>68.976</v>
      </c>
      <c r="K204" s="46">
        <f>'Inputs (2)'!F29</f>
        <v>86.483</v>
      </c>
      <c r="L204" s="46">
        <f>'Inputs (2)'!G29</f>
        <v>117.893</v>
      </c>
      <c r="M204" s="12">
        <f>'Inputs (2)'!H29</f>
        <v>117.893</v>
      </c>
      <c r="N204" s="46">
        <f>'Inputs (2)'!I29</f>
        <v>128.869</v>
      </c>
      <c r="O204" s="46">
        <f>'Inputs (2)'!J29</f>
        <v>66.07</v>
      </c>
      <c r="P204" s="46">
        <f>'Inputs (2)'!K29</f>
        <v>84.567</v>
      </c>
      <c r="Q204" s="46">
        <f>'Inputs (2)'!L29</f>
        <v>139.976</v>
      </c>
      <c r="R204" s="12">
        <f>'Inputs (2)'!M29</f>
        <v>139.976</v>
      </c>
      <c r="S204" s="46">
        <f>'Inputs (2)'!N29</f>
        <v>145.122</v>
      </c>
      <c r="T204" s="46">
        <f>'Inputs (2)'!O29</f>
        <v>88.956</v>
      </c>
      <c r="U204" s="46">
        <f>'Inputs (2)'!P29</f>
        <v>129.546</v>
      </c>
      <c r="V204" s="46">
        <f>'Inputs (2)'!Q29</f>
        <v>171.086</v>
      </c>
      <c r="W204" s="12">
        <f>'Inputs (2)'!R29</f>
        <v>171.086</v>
      </c>
      <c r="X204" s="46">
        <f>'Inputs (2)'!S29</f>
        <v>186.806</v>
      </c>
      <c r="Y204" s="46">
        <f>'Inputs (2)'!T29</f>
        <v>102.836</v>
      </c>
      <c r="Z204" s="46">
        <f>'Inputs (2)'!U29</f>
        <v>120.231</v>
      </c>
      <c r="AA204" s="46">
        <f>'Inputs (2)'!V29</f>
        <v>166.802</v>
      </c>
      <c r="AB204" s="12">
        <f>'Inputs (2)'!W29</f>
        <v>166.802</v>
      </c>
      <c r="AC204" s="46">
        <f>'Inputs (2)'!X29</f>
        <v>420.907</v>
      </c>
      <c r="AD204" s="46">
        <f>'Inputs (2)'!Y29</f>
        <v>303.425</v>
      </c>
      <c r="AE204" s="46">
        <f>'Inputs (2)'!Z29</f>
        <v>288.665</v>
      </c>
      <c r="AF204" s="46">
        <f>'Inputs (2)'!AA29</f>
        <v>277.212</v>
      </c>
      <c r="AG204" s="12">
        <f>'Inputs (2)'!AB29</f>
        <v>277.212</v>
      </c>
      <c r="AH204" s="12">
        <f>'Inputs (2)'!AC29</f>
        <v>239.379</v>
      </c>
      <c r="AI204" s="12">
        <f>'Inputs (2)'!AD29</f>
        <v>37.212</v>
      </c>
      <c r="AJ204" s="12">
        <f>AI204*(1+AJ16)</f>
        <v>39.6968944901127</v>
      </c>
      <c r="AK204" s="12">
        <f>AJ204*(1+AK16)</f>
        <v>42.3477220294298</v>
      </c>
      <c r="AL204" s="12">
        <f>AK204</f>
        <v>42.3477220294298</v>
      </c>
      <c r="AM204" s="12">
        <f>AL204*(1+AM16)</f>
        <v>45.1755630790846</v>
      </c>
      <c r="AN204" s="12">
        <f>AM204*(1+AN16)</f>
        <v>48.1922380168186</v>
      </c>
      <c r="AO204" s="12">
        <f>AN204*(1+AO16)</f>
        <v>51.4103565461691</v>
      </c>
      <c r="AP204" s="12">
        <f>AO204*(1+AP16)</f>
        <v>54.8433704050401</v>
      </c>
      <c r="AQ204" s="12">
        <f>AP204</f>
        <v>54.8433704050401</v>
      </c>
      <c r="AR204" s="12">
        <f>AQ204*(1+AR16)</f>
        <v>58.2314127419511</v>
      </c>
      <c r="AS204" s="12">
        <f>AR204*(1+AS16)</f>
        <v>61.8287571474974</v>
      </c>
      <c r="AT204" s="12">
        <f>AS204*(1+AT16)</f>
        <v>65.6483336123869</v>
      </c>
      <c r="AU204" s="12">
        <f>AT204*(1+AU16)</f>
        <v>69.7038708994605</v>
      </c>
      <c r="AV204" s="12">
        <f>AU204</f>
        <v>69.7038708994605</v>
      </c>
      <c r="AW204" s="12">
        <f>AV204*(1+AW16)</f>
        <v>73.6614265346989</v>
      </c>
      <c r="AX204" s="12">
        <f>AW204*(1+AX16)</f>
        <v>77.8436791114973</v>
      </c>
      <c r="AY204" s="12">
        <f>AX204*(1+AY16)</f>
        <v>82.2633861802733</v>
      </c>
      <c r="AZ204" s="12">
        <f>AY204*(1+AZ16)</f>
        <v>86.9340296230329</v>
      </c>
      <c r="BA204" s="12">
        <f>AZ204</f>
        <v>86.9340296230329</v>
      </c>
      <c r="BB204" s="12">
        <f>BA204*(1+BB16)</f>
        <v>91.4351866304119</v>
      </c>
      <c r="BC204" s="12">
        <f>BB204*(1+BC16)</f>
        <v>96.1693986853129</v>
      </c>
      <c r="BD204" s="12">
        <f>BC204*(1+BD16)</f>
        <v>101.148732608575</v>
      </c>
      <c r="BE204" s="12">
        <f>BD204*(1+BE16)</f>
        <v>106.385880001176</v>
      </c>
      <c r="BF204" s="12">
        <f>BE204</f>
        <v>106.385880001176</v>
      </c>
      <c r="BG204" s="12" t="n"/>
      <c r="BH204" s="12" t="n"/>
      <c r="BI204" s="12" t="n"/>
      <c r="BJ204" s="12" t="n"/>
      <c r="BK204" s="12" t="n"/>
      <c r="BL204" s="12" t="n"/>
      <c r="BM204" s="12" t="n"/>
      <c r="BN204" s="12" t="n"/>
      <c r="BO204" s="12" t="n"/>
      <c r="BP204" s="12" t="n"/>
      <c r="BQ204" s="12" t="n"/>
      <c r="BR204" s="12" t="n"/>
      <c r="BS204" s="12" t="n"/>
      <c r="BT204" s="12" t="n"/>
      <c r="BU204" s="12" t="n"/>
      <c r="BV204" s="12" t="n"/>
      <c r="BW204" s="12" t="n"/>
      <c r="BX204" s="12" t="n"/>
      <c r="BY204" s="12" t="n"/>
      <c r="BZ204" s="12" t="n"/>
      <c r="CA204" s="12" t="n"/>
      <c r="CB204" s="12" t="n"/>
      <c r="CC204" s="12" t="n"/>
      <c r="CD204" s="12" t="n"/>
      <c r="CE204" s="12" t="n"/>
      <c r="CF204" s="12" t="n"/>
      <c r="CG204" s="12" t="n"/>
      <c r="CH204" s="12" t="n"/>
      <c r="CI204" s="12" t="n"/>
      <c r="CJ204" s="12" t="n"/>
      <c r="CK204" s="12" t="n"/>
      <c r="CL204" s="12" t="n"/>
      <c r="CM204" s="12" t="n"/>
      <c r="CN204" s="12" t="n"/>
      <c r="CO204" s="12" t="n"/>
      <c r="CP204" s="12" t="n"/>
      <c r="CQ204" s="12" t="n"/>
      <c r="CR204" s="12" t="n"/>
      <c r="CS204" s="12" t="n"/>
      <c r="CT204" s="12" t="n"/>
      <c r="CU204" s="12" t="n"/>
      <c r="CV204" s="12" t="n"/>
      <c r="CW204" s="12" t="n"/>
      <c r="CX204" s="12" t="n"/>
      <c r="CY204" s="12" t="n"/>
    </row>
    <row r="205" hidden="1" outlineLevel="1">
      <c r="C205" s="59" t="inlineStr">
        <is>
          <t>%(Var.)</t>
        </is>
      </c>
      <c r="D205" s="12" t="n"/>
      <c r="E205" s="40" t="n"/>
      <c r="F205" s="40" t="n"/>
      <c r="G205" s="40" t="n"/>
      <c r="H205" s="12" t="n"/>
      <c r="I205" s="40" t="str">
        <f>""</f>
        <v/>
      </c>
      <c r="J205" s="40">
        <f>IFERROR(IF(I204=0,"",J204/I204-1),"")</f>
        <v>-0.488559014132546</v>
      </c>
      <c r="K205" s="40">
        <f>IFERROR(IF(J204=0,"",K204/J204-1),"")</f>
        <v>0.253812920436094</v>
      </c>
      <c r="L205" s="40">
        <f>IFERROR(IF(K204=0,"",L204/K204-1),"")</f>
        <v>0.363192766208388</v>
      </c>
      <c r="M205" s="12">
        <f>IF(L204=0,"",M204/L204-1)</f>
        <v>0</v>
      </c>
      <c r="N205" s="40">
        <f>IFERROR(IF(M204=0,"",N204/M204-1),"")</f>
        <v>0.0931013715827063</v>
      </c>
      <c r="O205" s="40">
        <f>IFERROR(IF(N204=0,"",O204/N204-1),"")</f>
        <v>-0.487308817481318</v>
      </c>
      <c r="P205" s="40">
        <f>IFERROR(IF(O204=0,"",P204/O204-1),"")</f>
        <v>0.27996064779779</v>
      </c>
      <c r="Q205" s="40">
        <f>IFERROR(IF(P204=0,"",Q204/P204-1),"")</f>
        <v>0.655208296380385</v>
      </c>
      <c r="R205" s="12">
        <f>IF(Q204=0,"",R204/Q204-1)</f>
        <v>0</v>
      </c>
      <c r="S205" s="40">
        <f>IFERROR(IF(R204=0,"",S204/R204-1),"")</f>
        <v>0.0367634451620278</v>
      </c>
      <c r="T205" s="40">
        <f>IFERROR(IF(S204=0,"",T204/S204-1),"")</f>
        <v>-0.387026088394592</v>
      </c>
      <c r="U205" s="40">
        <f>IFERROR(IF(T204=0,"",U204/T204-1),"")</f>
        <v>0.456292998785917</v>
      </c>
      <c r="V205" s="40">
        <f>IFERROR(IF(U204=0,"",V204/U204-1),"")</f>
        <v>0.320658298982601</v>
      </c>
      <c r="W205" s="12">
        <f>IF(V204=0,"",W204/V204-1)</f>
        <v>0</v>
      </c>
      <c r="X205" s="40">
        <f>IFERROR(IF(W204=0,"",X204/W204-1),"")</f>
        <v>0.0918836140888208</v>
      </c>
      <c r="Y205" s="40">
        <f>IFERROR(IF(X204=0,"",Y204/X204-1),"")</f>
        <v>-0.449503763262422</v>
      </c>
      <c r="Z205" s="40">
        <f>IFERROR(IF(Y204=0,"",Z204/Y204-1),"")</f>
        <v>0.169152825858649</v>
      </c>
      <c r="AA205" s="40">
        <f>IFERROR(IF(Z204=0,"",AA204/Z204-1),"")</f>
        <v>0.387346025567449</v>
      </c>
      <c r="AB205" s="12">
        <f>IF(AA204=0,"",AB204/AA204-1)</f>
        <v>0</v>
      </c>
      <c r="AC205" s="40">
        <f>IFERROR(IF(AB204=0,"",AC204/AB204-1),"")</f>
        <v>1.52339300488004</v>
      </c>
      <c r="AD205" s="40">
        <f>IFERROR(IF(AC204=0,"",AD204/AC204-1),"")</f>
        <v>-0.279116289346578</v>
      </c>
      <c r="AE205" s="40">
        <f>IFERROR(IF(AD204=0,"",AE204/AD204-1),"")</f>
        <v>-0.0486446403559364</v>
      </c>
      <c r="AF205" s="55">
        <f>IFERROR(IF(AE204=0,"",AF204/AE204-1),"")</f>
        <v>-0.0396757487052467</v>
      </c>
      <c r="AG205" s="12">
        <f>IF(AF204=0,"",AG204/AF204-1)</f>
        <v>0</v>
      </c>
      <c r="AH205" s="55">
        <f>IFERROR(IF(AG204=0,"",AH204/AG204-1),"")</f>
        <v>-0.136476775897147</v>
      </c>
      <c r="AI205" s="55">
        <f>IFERROR(IF(AH204=0,"",AI204/AH204-1),"")</f>
        <v>-0.844547767348013</v>
      </c>
      <c r="AJ205" s="55">
        <f>IFERROR(IF(AI204=0,"",AJ204/AI204-1),"")</f>
        <v>0.0667766981111662</v>
      </c>
      <c r="AK205" s="55">
        <f>IF(AJ204=0,"",AK204/AJ204-1)</f>
        <v>0.0667766981111662</v>
      </c>
      <c r="AL205" s="12">
        <f>IF(AK204=0,"",AL204/AK204-1)</f>
        <v>0</v>
      </c>
      <c r="AM205" s="55">
        <f>IF(AL204=0,"",AM204/AL204-1)</f>
        <v>0.0667766981111662</v>
      </c>
      <c r="AN205" s="55">
        <f>IF(AM204=0,"",AN204/AM204-1)</f>
        <v>0.0667766981111662</v>
      </c>
      <c r="AO205" s="55">
        <f>IF(AN204=0,"",AO204/AN204-1)</f>
        <v>0.0667766981111662</v>
      </c>
      <c r="AP205" s="55">
        <f>IF(AO204=0,"",AP204/AO204-1)</f>
        <v>0.0667766981111662</v>
      </c>
      <c r="AQ205" s="12">
        <f>IF(AP204=0,"",AQ204/AP204-1)</f>
        <v>0</v>
      </c>
      <c r="AR205" s="55">
        <f>IF(AQ204=0,"",AR204/AQ204-1)</f>
        <v>0.0617766981111663</v>
      </c>
      <c r="AS205" s="55">
        <f>IF(AR204=0,"",AS204/AR204-1)</f>
        <v>0.0617766981111663</v>
      </c>
      <c r="AT205" s="55">
        <f>IF(AS204=0,"",AT204/AS204-1)</f>
        <v>0.0617766981111663</v>
      </c>
      <c r="AU205" s="55">
        <f>IF(AT204=0,"",AU204/AT204-1)</f>
        <v>0.0617766981111663</v>
      </c>
      <c r="AV205" s="12">
        <f>IF(AU204=0,"",AV204/AU204-1)</f>
        <v>0</v>
      </c>
      <c r="AW205" s="55">
        <f>IF(AV204=0,"",AW204/AV204-1)</f>
        <v>0.0567766981111661</v>
      </c>
      <c r="AX205" s="55">
        <f>IF(AW204=0,"",AX204/AW204-1)</f>
        <v>0.0567766981111661</v>
      </c>
      <c r="AY205" s="55">
        <f>IF(AX204=0,"",AY204/AX204-1)</f>
        <v>0.0567766981111661</v>
      </c>
      <c r="AZ205" s="55">
        <f>IF(AY204=0,"",AZ204/AY204-1)</f>
        <v>0.0567766981111661</v>
      </c>
      <c r="BA205" s="12">
        <f>IF(AZ204=0,"",BA204/AZ204-1)</f>
        <v>0</v>
      </c>
      <c r="BB205" s="55">
        <f>IF(BA204=0,"",BB204/BA204-1)</f>
        <v>0.0517766981111663</v>
      </c>
      <c r="BC205" s="55">
        <f>IF(BB204=0,"",BC204/BB204-1)</f>
        <v>0.0517766981111663</v>
      </c>
      <c r="BD205" s="55">
        <f>IF(BC204=0,"",BD204/BC204-1)</f>
        <v>0.0517766981111663</v>
      </c>
      <c r="BE205" s="55">
        <f>IF(BD204=0,"",BE204/BD204-1)</f>
        <v>0.0517766981111663</v>
      </c>
      <c r="BF205" s="12">
        <f>IF(BE204=0,"",BF204/BE204-1)</f>
        <v>0</v>
      </c>
      <c r="BG205" s="55" t="n"/>
      <c r="BH205" s="55" t="n"/>
      <c r="BI205" s="55" t="n"/>
      <c r="BJ205" s="55" t="n"/>
      <c r="BK205" s="12" t="n"/>
      <c r="BL205" s="55" t="n"/>
      <c r="BM205" s="55" t="n"/>
      <c r="BN205" s="55" t="n"/>
      <c r="BO205" s="55" t="n"/>
      <c r="BP205" s="12" t="n"/>
      <c r="BQ205" s="55" t="n"/>
      <c r="BR205" s="55" t="n"/>
      <c r="BS205" s="55" t="n"/>
      <c r="BT205" s="55" t="n"/>
      <c r="BU205" s="12" t="n"/>
      <c r="BV205" s="55" t="n"/>
      <c r="BW205" s="55" t="n"/>
      <c r="BX205" s="55" t="n"/>
      <c r="BY205" s="55" t="n"/>
      <c r="BZ205" s="12" t="n"/>
      <c r="CA205" s="55" t="n"/>
      <c r="CB205" s="55" t="n"/>
      <c r="CC205" s="55" t="n"/>
      <c r="CD205" s="55" t="n"/>
      <c r="CE205" s="12" t="n"/>
      <c r="CF205" s="55" t="n"/>
      <c r="CG205" s="55" t="n"/>
      <c r="CH205" s="55" t="n"/>
      <c r="CI205" s="55" t="n"/>
      <c r="CJ205" s="12" t="n"/>
      <c r="CK205" s="55" t="n"/>
      <c r="CL205" s="55" t="n"/>
      <c r="CM205" s="55" t="n"/>
      <c r="CN205" s="55" t="n"/>
      <c r="CO205" s="12" t="n"/>
      <c r="CP205" s="55" t="n"/>
      <c r="CQ205" s="55" t="n"/>
      <c r="CR205" s="55" t="n"/>
      <c r="CS205" s="55" t="n"/>
      <c r="CT205" s="12" t="n"/>
      <c r="CU205" s="55" t="n"/>
      <c r="CV205" s="55" t="n"/>
      <c r="CW205" s="55" t="n"/>
      <c r="CX205" s="55" t="n"/>
      <c r="CY205" s="12" t="n"/>
    </row>
    <row r="206" collapsed="1">
      <c r="C206" s="14" t="inlineStr">
        <is>
          <t>Taxes payable</t>
        </is>
      </c>
      <c r="D206" s="46" t="n"/>
      <c r="E206" s="46" t="n"/>
      <c r="F206" s="46" t="n"/>
      <c r="G206" s="46" t="n"/>
      <c r="H206" s="12" t="n"/>
      <c r="I206" s="46">
        <f>'Inputs (2)'!D30</f>
        <v>98.916</v>
      </c>
      <c r="J206" s="46">
        <f>'Inputs (2)'!E30</f>
        <v>60.414</v>
      </c>
      <c r="K206" s="46">
        <f>'Inputs (2)'!F30</f>
        <v>95.215</v>
      </c>
      <c r="L206" s="46">
        <f>'Inputs (2)'!G30</f>
        <v>84.602</v>
      </c>
      <c r="M206" s="12">
        <f>'Inputs (2)'!H30</f>
        <v>84.602</v>
      </c>
      <c r="N206" s="46">
        <f>'Inputs (2)'!I30</f>
        <v>99.861</v>
      </c>
      <c r="O206" s="46">
        <f>'Inputs (2)'!J30</f>
        <v>71.056</v>
      </c>
      <c r="P206" s="46">
        <f>'Inputs (2)'!K30</f>
        <v>95.199</v>
      </c>
      <c r="Q206" s="46">
        <f>'Inputs (2)'!L30</f>
        <v>102.767</v>
      </c>
      <c r="R206" s="12">
        <f>'Inputs (2)'!M30</f>
        <v>102.767</v>
      </c>
      <c r="S206" s="46">
        <f>'Inputs (2)'!N30</f>
        <v>122.163</v>
      </c>
      <c r="T206" s="46">
        <f>'Inputs (2)'!O30</f>
        <v>93.333</v>
      </c>
      <c r="U206" s="46">
        <f>'Inputs (2)'!P30</f>
        <v>113.176</v>
      </c>
      <c r="V206" s="46">
        <f>'Inputs (2)'!Q30</f>
        <v>100.087</v>
      </c>
      <c r="W206" s="12">
        <f>'Inputs (2)'!R30</f>
        <v>100.087</v>
      </c>
      <c r="X206" s="46">
        <f>'Inputs (2)'!S30</f>
        <v>123.2</v>
      </c>
      <c r="Y206" s="46">
        <f>'Inputs (2)'!T30</f>
        <v>65.69</v>
      </c>
      <c r="Z206" s="46">
        <f>'Inputs (2)'!U30</f>
        <v>94.452</v>
      </c>
      <c r="AA206" s="46">
        <f>'Inputs (2)'!V30</f>
        <v>111.687</v>
      </c>
      <c r="AB206" s="12">
        <f>'Inputs (2)'!W30</f>
        <v>111.687</v>
      </c>
      <c r="AC206" s="46">
        <f>'Inputs (2)'!X30</f>
        <v>168.117</v>
      </c>
      <c r="AD206" s="46">
        <f>'Inputs (2)'!Y30</f>
        <v>117.59</v>
      </c>
      <c r="AE206" s="46">
        <f>'Inputs (2)'!Z30</f>
        <v>91.871</v>
      </c>
      <c r="AF206" s="46">
        <f>'Inputs (2)'!AA30</f>
        <v>101.893</v>
      </c>
      <c r="AG206" s="12">
        <f>'Inputs (2)'!AB30</f>
        <v>101.893</v>
      </c>
      <c r="AH206" s="12">
        <f>'Inputs (2)'!AC30</f>
        <v>130.799</v>
      </c>
      <c r="AI206" s="12">
        <f>'Inputs (2)'!AD30</f>
        <v>98.319</v>
      </c>
      <c r="AJ206" s="12">
        <f>AI206*(1+AJ16)</f>
        <v>104.884418181592</v>
      </c>
      <c r="AK206" s="12">
        <f>AJ206*(1+AK16)</f>
        <v>111.888253311069</v>
      </c>
      <c r="AL206" s="12">
        <f>AK206</f>
        <v>111.888253311069</v>
      </c>
      <c r="AM206" s="12">
        <f>AL206*(1+AM16)</f>
        <v>119.359781424608</v>
      </c>
      <c r="AN206" s="12">
        <f>AM206*(1+AN16)</f>
        <v>127.330233515414</v>
      </c>
      <c r="AO206" s="12">
        <f>AN206*(1+AO16)</f>
        <v>135.832926079297</v>
      </c>
      <c r="AP206" s="12">
        <f>AO206*(1+AP16)</f>
        <v>144.903400377651</v>
      </c>
      <c r="AQ206" s="12">
        <f>AP206</f>
        <v>144.903400377651</v>
      </c>
      <c r="AR206" s="12">
        <f>AQ206*(1+AR16)</f>
        <v>153.855053998062</v>
      </c>
      <c r="AS206" s="12">
        <f>AR206*(1+AS16)</f>
        <v>163.359711221778</v>
      </c>
      <c r="AT206" s="12">
        <f>AS206*(1+AT16)</f>
        <v>173.451534785453</v>
      </c>
      <c r="AU206" s="12">
        <f>AT206*(1+AU16)</f>
        <v>184.166797886812</v>
      </c>
      <c r="AV206" s="12">
        <f>AU206</f>
        <v>184.166797886812</v>
      </c>
      <c r="AW206" s="12">
        <f>AV206*(1+AW16)</f>
        <v>194.623180572532</v>
      </c>
      <c r="AX206" s="12">
        <f>AW206*(1+AX16)</f>
        <v>205.673242141333</v>
      </c>
      <c r="AY206" s="12">
        <f>AX206*(1+AY16)</f>
        <v>217.350689719937</v>
      </c>
      <c r="AZ206" s="12">
        <f>AY206*(1+AZ16)</f>
        <v>229.691144214419</v>
      </c>
      <c r="BA206" s="12">
        <f>AZ206</f>
        <v>229.691144214419</v>
      </c>
      <c r="BB206" s="12">
        <f>BA206*(1+BB16)</f>
        <v>241.583793247218</v>
      </c>
      <c r="BC206" s="12">
        <f>BB206*(1+BC16)</f>
        <v>254.092204378729</v>
      </c>
      <c r="BD206" s="12">
        <f>BC206*(1+BD16)</f>
        <v>267.248259737247</v>
      </c>
      <c r="BE206" s="12">
        <f>BD206*(1+BE16)</f>
        <v>281.085492202397</v>
      </c>
      <c r="BF206" s="12">
        <f>BE206</f>
        <v>281.085492202397</v>
      </c>
      <c r="BG206" s="12" t="n"/>
      <c r="BH206" s="12" t="n"/>
      <c r="BI206" s="12" t="n"/>
      <c r="BJ206" s="12" t="n"/>
      <c r="BK206" s="12" t="n"/>
      <c r="BL206" s="12" t="n"/>
      <c r="BM206" s="12" t="n"/>
      <c r="BN206" s="12" t="n"/>
      <c r="BO206" s="12" t="n"/>
      <c r="BP206" s="12" t="n"/>
      <c r="BQ206" s="12" t="n"/>
      <c r="BR206" s="12" t="n"/>
      <c r="BS206" s="12" t="n"/>
      <c r="BT206" s="12" t="n"/>
      <c r="BU206" s="12" t="n"/>
      <c r="BV206" s="12" t="n"/>
      <c r="BW206" s="12" t="n"/>
      <c r="BX206" s="12" t="n"/>
      <c r="BY206" s="12" t="n"/>
      <c r="BZ206" s="12" t="n"/>
      <c r="CA206" s="12" t="n"/>
      <c r="CB206" s="12" t="n"/>
      <c r="CC206" s="12" t="n"/>
      <c r="CD206" s="12" t="n"/>
      <c r="CE206" s="12" t="n"/>
      <c r="CF206" s="12" t="n"/>
      <c r="CG206" s="12" t="n"/>
      <c r="CH206" s="12" t="n"/>
      <c r="CI206" s="12" t="n"/>
      <c r="CJ206" s="12" t="n"/>
      <c r="CK206" s="12" t="n"/>
      <c r="CL206" s="12" t="n"/>
      <c r="CM206" s="12" t="n"/>
      <c r="CN206" s="12" t="n"/>
      <c r="CO206" s="12" t="n"/>
      <c r="CP206" s="12" t="n"/>
      <c r="CQ206" s="12" t="n"/>
      <c r="CR206" s="12" t="n"/>
      <c r="CS206" s="12" t="n"/>
      <c r="CT206" s="12" t="n"/>
      <c r="CU206" s="12" t="n"/>
      <c r="CV206" s="12" t="n"/>
      <c r="CW206" s="12" t="n"/>
      <c r="CX206" s="12" t="n"/>
      <c r="CY206" s="12" t="n"/>
    </row>
    <row r="207">
      <c r="C207" s="14" t="inlineStr">
        <is>
          <t>Other current liabilities (non-debt)</t>
        </is>
      </c>
      <c r="D207" s="46" t="n"/>
      <c r="E207" s="46" t="n"/>
      <c r="F207" s="46" t="n"/>
      <c r="G207" s="46" t="n"/>
      <c r="H207" s="12" t="n"/>
      <c r="I207" s="46">
        <f>'Inputs (2)'!D31</f>
        <v>505.35</v>
      </c>
      <c r="J207" s="46">
        <f>'Inputs (2)'!E31</f>
        <v>457.91</v>
      </c>
      <c r="K207" s="46">
        <f>'Inputs (2)'!F31</f>
        <v>500.709</v>
      </c>
      <c r="L207" s="46">
        <f>'Inputs (2)'!G31</f>
        <v>517.599</v>
      </c>
      <c r="M207" s="12">
        <f>'Inputs (2)'!H31</f>
        <v>517.599</v>
      </c>
      <c r="N207" s="46">
        <f>'Inputs (2)'!I31</f>
        <v>535.221</v>
      </c>
      <c r="O207" s="46">
        <f>'Inputs (2)'!J31</f>
        <v>492.636</v>
      </c>
      <c r="P207" s="46">
        <f>'Inputs (2)'!K31</f>
        <v>530.414</v>
      </c>
      <c r="Q207" s="46">
        <f>'Inputs (2)'!L31</f>
        <v>514.219</v>
      </c>
      <c r="R207" s="12">
        <f>'Inputs (2)'!M31</f>
        <v>514.219</v>
      </c>
      <c r="S207" s="46">
        <f>'Inputs (2)'!N31</f>
        <v>552.204</v>
      </c>
      <c r="T207" s="46">
        <f>'Inputs (2)'!O31</f>
        <v>614.226</v>
      </c>
      <c r="U207" s="46">
        <f>'Inputs (2)'!P31</f>
        <v>664.326</v>
      </c>
      <c r="V207" s="46">
        <f>'Inputs (2)'!Q31</f>
        <v>672.906</v>
      </c>
      <c r="W207" s="12">
        <f>'Inputs (2)'!R31</f>
        <v>672.906</v>
      </c>
      <c r="X207" s="46">
        <f>'Inputs (2)'!S31</f>
        <v>703.612</v>
      </c>
      <c r="Y207" s="46">
        <f>'Inputs (2)'!T31</f>
        <v>761.839</v>
      </c>
      <c r="Z207" s="46">
        <f>'Inputs (2)'!U31</f>
        <v>785.902</v>
      </c>
      <c r="AA207" s="46">
        <f>'Inputs (2)'!V31</f>
        <v>655.61</v>
      </c>
      <c r="AB207" s="12">
        <f>'Inputs (2)'!W31</f>
        <v>655.61</v>
      </c>
      <c r="AC207" s="46">
        <f>'Inputs (2)'!X31</f>
        <v>680.111</v>
      </c>
      <c r="AD207" s="46">
        <f>'Inputs (2)'!Y31</f>
        <v>813.203</v>
      </c>
      <c r="AE207" s="46">
        <f>'Inputs (2)'!Z31</f>
        <v>4112.497</v>
      </c>
      <c r="AF207" s="46">
        <f>'Inputs (2)'!AA31</f>
        <v>4143.328</v>
      </c>
      <c r="AG207" s="12">
        <f>'Inputs (2)'!AB31</f>
        <v>4143.328</v>
      </c>
      <c r="AH207" s="12">
        <f>'Inputs (2)'!AC31</f>
        <v>4340.169</v>
      </c>
      <c r="AI207" s="12">
        <f>'Inputs (2)'!AD31</f>
        <v>1655.047</v>
      </c>
      <c r="AJ207" s="12">
        <f>AI207</f>
        <v>1655.047</v>
      </c>
      <c r="AK207" s="12">
        <f>AJ207</f>
        <v>1655.047</v>
      </c>
      <c r="AL207" s="12">
        <f>AK207</f>
        <v>1655.047</v>
      </c>
      <c r="AM207" s="12">
        <f>AL207</f>
        <v>1655.047</v>
      </c>
      <c r="AN207" s="12">
        <f>AM207</f>
        <v>1655.047</v>
      </c>
      <c r="AO207" s="12">
        <f>AN207</f>
        <v>1655.047</v>
      </c>
      <c r="AP207" s="12">
        <f>AO207</f>
        <v>1655.047</v>
      </c>
      <c r="AQ207" s="12">
        <f>AP207</f>
        <v>1655.047</v>
      </c>
      <c r="AR207" s="12">
        <f>AQ207</f>
        <v>1655.047</v>
      </c>
      <c r="AS207" s="12">
        <f>AR207</f>
        <v>1655.047</v>
      </c>
      <c r="AT207" s="12">
        <f>AS207</f>
        <v>1655.047</v>
      </c>
      <c r="AU207" s="12">
        <f>AT207</f>
        <v>1655.047</v>
      </c>
      <c r="AV207" s="12">
        <f>AU207</f>
        <v>1655.047</v>
      </c>
      <c r="AW207" s="12">
        <f>AV207</f>
        <v>1655.047</v>
      </c>
      <c r="AX207" s="12">
        <f>AW207</f>
        <v>1655.047</v>
      </c>
      <c r="AY207" s="12">
        <f>AX207</f>
        <v>1655.047</v>
      </c>
      <c r="AZ207" s="12">
        <f>AY207</f>
        <v>1655.047</v>
      </c>
      <c r="BA207" s="12">
        <f>AZ207</f>
        <v>1655.047</v>
      </c>
      <c r="BB207" s="12">
        <f>BA207</f>
        <v>1655.047</v>
      </c>
      <c r="BC207" s="12">
        <f>BB207</f>
        <v>1655.047</v>
      </c>
      <c r="BD207" s="12">
        <f>BC207</f>
        <v>1655.047</v>
      </c>
      <c r="BE207" s="12">
        <f>BD207</f>
        <v>1655.047</v>
      </c>
      <c r="BF207" s="12">
        <f>BE207</f>
        <v>1655.047</v>
      </c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hidden="1" outlineLevel="1">
      <c r="C208" s="59" t="inlineStr">
        <is>
          <t>%(Var.)</t>
        </is>
      </c>
      <c r="D208" s="12" t="n"/>
      <c r="E208" s="40" t="n"/>
      <c r="F208" s="40" t="n"/>
      <c r="G208" s="40" t="n"/>
      <c r="H208" s="12" t="n"/>
      <c r="I208" s="40" t="str">
        <f>""</f>
        <v/>
      </c>
      <c r="J208" s="40">
        <f>IFERROR(IF(I207=0,"",J207/I207-1),"")</f>
        <v>-0.0938755318096369</v>
      </c>
      <c r="K208" s="40">
        <f>IFERROR(IF(J207=0,"",K207/J207-1),"")</f>
        <v>0.0934659649276057</v>
      </c>
      <c r="L208" s="40">
        <f>IFERROR(IF(K207=0,"",L207/K207-1),"")</f>
        <v>0.0337321677860794</v>
      </c>
      <c r="M208" s="12">
        <f>IF(L207=0,"",M207/L207-1)</f>
        <v>0</v>
      </c>
      <c r="N208" s="40">
        <f>IFERROR(IF(M207=0,"",N207/M207-1),"")</f>
        <v>0.0340456608301021</v>
      </c>
      <c r="O208" s="40">
        <f>IFERROR(IF(N207=0,"",O207/N207-1),"")</f>
        <v>-0.0795652636948101</v>
      </c>
      <c r="P208" s="40">
        <f>IFERROR(IF(O207=0,"",P207/O207-1),"")</f>
        <v>0.0766854229085978</v>
      </c>
      <c r="Q208" s="40">
        <f>IFERROR(IF(P207=0,"",Q207/P207-1),"")</f>
        <v>-0.0305327536603482</v>
      </c>
      <c r="R208" s="12">
        <f>IF(Q207=0,"",R207/Q207-1)</f>
        <v>0</v>
      </c>
      <c r="S208" s="40">
        <f>IFERROR(IF(R207=0,"",S207/R207-1),"")</f>
        <v>0.0738693047125834</v>
      </c>
      <c r="T208" s="40">
        <f>IFERROR(IF(S207=0,"",T207/S207-1),"")</f>
        <v>0.112317187126497</v>
      </c>
      <c r="U208" s="40">
        <f>IFERROR(IF(T207=0,"",U207/T207-1),"")</f>
        <v>0.0815660685154975</v>
      </c>
      <c r="V208" s="40">
        <f>IFERROR(IF(U207=0,"",V207/U207-1),"")</f>
        <v>0.0129153457790301</v>
      </c>
      <c r="W208" s="12">
        <f>IF(V207=0,"",W207/V207-1)</f>
        <v>0</v>
      </c>
      <c r="X208" s="40">
        <f>IFERROR(IF(W207=0,"",X207/W207-1),"")</f>
        <v>0.045631930760017</v>
      </c>
      <c r="Y208" s="40">
        <f>IFERROR(IF(X207=0,"",Y207/X207-1),"")</f>
        <v>0.082754415785973</v>
      </c>
      <c r="Z208" s="40">
        <f>IFERROR(IF(Y207=0,"",Z207/Y207-1),"")</f>
        <v>0.0315854137160214</v>
      </c>
      <c r="AA208" s="40">
        <f>IFERROR(IF(Z207=0,"",AA207/Z207-1),"")</f>
        <v>-0.165786573898527</v>
      </c>
      <c r="AB208" s="12">
        <f>IF(AA207=0,"",AB207/AA207-1)</f>
        <v>0</v>
      </c>
      <c r="AC208" s="40">
        <f>IFERROR(IF(AB207=0,"",AC207/AB207-1),"")</f>
        <v>0.0373713030612712</v>
      </c>
      <c r="AD208" s="40">
        <f>IFERROR(IF(AC207=0,"",AD207/AC207-1),"")</f>
        <v>0.195691585638227</v>
      </c>
      <c r="AE208" s="40">
        <f>IFERROR(IF(AD207=0,"",AE207/AD207-1),"")</f>
        <v>4.05715915952105</v>
      </c>
      <c r="AF208" s="55">
        <f>IFERROR(IF(AE207=0,"",AF207/AE207-1),"")</f>
        <v>0.00749690516491564</v>
      </c>
      <c r="AG208" s="12">
        <f>IF(AF207=0,"",AG207/AF207-1)</f>
        <v>0</v>
      </c>
      <c r="AH208" s="55">
        <f>IFERROR(IF(AG207=0,"",AH207/AG207-1),"")</f>
        <v>0.0475079453038716</v>
      </c>
      <c r="AI208" s="55">
        <f>IFERROR(IF(AH207=0,"",AI207/AH207-1),"")</f>
        <v>-0.618667614095211</v>
      </c>
      <c r="AJ208" s="55">
        <f>IFERROR(IF(AI207=0,"",AJ207/AI207-1),"")</f>
        <v>0</v>
      </c>
      <c r="AK208" s="55">
        <f>IFERROR(IF(AJ207=0,"",AK207/AJ207-1),"")</f>
        <v>0</v>
      </c>
      <c r="AL208" s="12">
        <f>IFERROR(IF(AK207=0,"",AL207/AK207-1),"")</f>
        <v>0</v>
      </c>
      <c r="AM208" s="55">
        <f>IFERROR(IF(AL207=0,"",AM207/AL207-1),"")</f>
        <v>0</v>
      </c>
      <c r="AN208" s="55">
        <f>IFERROR(IF(AM207=0,"",AN207/AM207-1),"")</f>
        <v>0</v>
      </c>
      <c r="AO208" s="55">
        <f>IFERROR(IF(AN207=0,"",AO207/AN207-1),"")</f>
        <v>0</v>
      </c>
      <c r="AP208" s="55">
        <f>IFERROR(IF(AO207=0,"",AP207/AO207-1),"")</f>
        <v>0</v>
      </c>
      <c r="AQ208" s="12">
        <f>IFERROR(IF(AP207=0,"",AQ207/AP207-1),"")</f>
        <v>0</v>
      </c>
      <c r="AR208" s="55">
        <f>IFERROR(IF(AQ207=0,"",AR207/AQ207-1),"")</f>
        <v>0</v>
      </c>
      <c r="AS208" s="55">
        <f>IFERROR(IF(AR207=0,"",AS207/AR207-1),"")</f>
        <v>0</v>
      </c>
      <c r="AT208" s="55">
        <f>IFERROR(IF(AS207=0,"",AT207/AS207-1),"")</f>
        <v>0</v>
      </c>
      <c r="AU208" s="55">
        <f>IFERROR(IF(AT207=0,"",AU207/AT207-1),"")</f>
        <v>0</v>
      </c>
      <c r="AV208" s="12">
        <f>IFERROR(IF(AU207=0,"",AV207/AU207-1),"")</f>
        <v>0</v>
      </c>
      <c r="AW208" s="55">
        <f>IFERROR(IF(AV207=0,"",AW207/AV207-1),"")</f>
        <v>0</v>
      </c>
      <c r="AX208" s="55">
        <f>IFERROR(IF(AW207=0,"",AX207/AW207-1),"")</f>
        <v>0</v>
      </c>
      <c r="AY208" s="55">
        <f>IFERROR(IF(AX207=0,"",AY207/AX207-1),"")</f>
        <v>0</v>
      </c>
      <c r="AZ208" s="55">
        <f>IFERROR(IF(AY207=0,"",AZ207/AY207-1),"")</f>
        <v>0</v>
      </c>
      <c r="BA208" s="12">
        <f>IFERROR(IF(AZ207=0,"",BA207/AZ207-1),"")</f>
        <v>0</v>
      </c>
      <c r="BB208" s="55">
        <f>IFERROR(IF(BA207=0,"",BB207/BA207-1),"")</f>
        <v>0</v>
      </c>
      <c r="BC208" s="55">
        <f>IFERROR(IF(BB207=0,"",BC207/BB207-1),"")</f>
        <v>0</v>
      </c>
      <c r="BD208" s="55">
        <f>IFERROR(IF(BC207=0,"",BD207/BC207-1),"")</f>
        <v>0</v>
      </c>
      <c r="BE208" s="55">
        <f>IFERROR(IF(BD207=0,"",BE207/BD207-1),"")</f>
        <v>0</v>
      </c>
      <c r="BF208" s="12">
        <f>IFERROR(IF(BE207=0,"",BF207/BE207-1),"")</f>
        <v>0</v>
      </c>
      <c r="BG208" s="55" t="n"/>
      <c r="BH208" s="55" t="n"/>
      <c r="BI208" s="55" t="n"/>
      <c r="BJ208" s="55" t="n"/>
      <c r="BK208" s="12" t="n"/>
      <c r="BL208" s="55" t="n"/>
      <c r="BM208" s="55" t="n"/>
      <c r="BN208" s="55" t="n"/>
      <c r="BO208" s="55" t="n"/>
      <c r="BP208" s="12" t="n"/>
      <c r="BQ208" s="55" t="n"/>
      <c r="BR208" s="55" t="n"/>
      <c r="BS208" s="55" t="n"/>
      <c r="BT208" s="55" t="n"/>
      <c r="BU208" s="12" t="n"/>
      <c r="BV208" s="55" t="n"/>
      <c r="BW208" s="55" t="n"/>
      <c r="BX208" s="55" t="n"/>
      <c r="BY208" s="55" t="n"/>
      <c r="BZ208" s="12" t="n"/>
      <c r="CA208" s="55" t="n"/>
      <c r="CB208" s="55" t="n"/>
      <c r="CC208" s="55" t="n"/>
      <c r="CD208" s="55" t="n"/>
      <c r="CE208" s="12" t="n"/>
      <c r="CF208" s="55" t="n"/>
      <c r="CG208" s="55" t="n"/>
      <c r="CH208" s="55" t="n"/>
      <c r="CI208" s="55" t="n"/>
      <c r="CJ208" s="12" t="n"/>
      <c r="CK208" s="55" t="n"/>
      <c r="CL208" s="55" t="n"/>
      <c r="CM208" s="55" t="n"/>
      <c r="CN208" s="55" t="n"/>
      <c r="CO208" s="12" t="n"/>
      <c r="CP208" s="55" t="n"/>
      <c r="CQ208" s="55" t="n"/>
      <c r="CR208" s="55" t="n"/>
      <c r="CS208" s="55" t="n"/>
      <c r="CT208" s="12" t="n"/>
      <c r="CU208" s="55" t="n"/>
      <c r="CV208" s="55" t="n"/>
      <c r="CW208" s="55" t="n"/>
      <c r="CX208" s="55" t="n"/>
      <c r="CY208" s="12" t="n"/>
    </row>
    <row r="209" hidden="1" outlineLevel="1">
      <c r="C209" s="57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 hidden="1" outlineLevel="1">
      <c r="C210" s="57" t="inlineStr">
        <is>
          <t xml:space="preserve">Dividendos a Pagar </t>
        </is>
      </c>
      <c r="D210" s="11" t="n"/>
      <c r="E210" s="11" t="n"/>
      <c r="F210" s="11" t="n"/>
      <c r="G210" s="11" t="n"/>
      <c r="H210" s="12" t="n"/>
      <c r="I210" s="11" t="n"/>
      <c r="J210" s="11" t="n"/>
      <c r="K210" s="11" t="n"/>
      <c r="L210" s="11" t="n"/>
      <c r="M210" s="12" t="n"/>
      <c r="N210" s="11" t="n"/>
      <c r="O210" s="11" t="n"/>
      <c r="P210" s="11" t="n"/>
      <c r="Q210" s="11" t="n"/>
      <c r="R210" s="12" t="n"/>
      <c r="S210" s="11" t="n"/>
      <c r="T210" s="11" t="n"/>
      <c r="U210" s="11" t="n"/>
      <c r="V210" s="11" t="n"/>
      <c r="W210" s="12" t="n"/>
      <c r="X210" s="11" t="n"/>
      <c r="Y210" s="11" t="n"/>
      <c r="Z210" s="11" t="n"/>
      <c r="AA210" s="11" t="n"/>
      <c r="AB210" s="12" t="n"/>
      <c r="AC210" s="11" t="n"/>
      <c r="AD210" s="11" t="n"/>
      <c r="AE210" s="11" t="n"/>
      <c r="AF210" s="11" t="n"/>
      <c r="AG210" s="12" t="n"/>
      <c r="AH210" s="11" t="n"/>
      <c r="AI210" s="11" t="n"/>
      <c r="AJ210" s="11" t="n"/>
      <c r="AK210" s="11" t="n"/>
      <c r="AL210" s="12" t="n"/>
      <c r="AM210" s="11" t="n"/>
      <c r="AN210" s="11" t="n"/>
      <c r="AO210" s="11" t="n"/>
      <c r="AP210" s="11" t="n"/>
      <c r="AQ210" s="12" t="n"/>
      <c r="AR210" s="11" t="n"/>
      <c r="AS210" s="11" t="n"/>
      <c r="AT210" s="11" t="n"/>
      <c r="AU210" s="11" t="n"/>
      <c r="AV210" s="12" t="n"/>
      <c r="AW210" s="11" t="n"/>
      <c r="AX210" s="11" t="n"/>
      <c r="AY210" s="11" t="n"/>
      <c r="AZ210" s="11" t="n"/>
      <c r="BA210" s="12" t="n"/>
      <c r="BB210" s="11" t="n"/>
      <c r="BC210" s="11" t="n"/>
      <c r="BD210" s="11" t="n"/>
      <c r="BE210" s="11" t="n"/>
      <c r="BF210" s="12" t="n"/>
      <c r="BG210" s="11" t="n"/>
      <c r="BH210" s="11" t="n"/>
      <c r="BI210" s="11" t="n"/>
      <c r="BJ210" s="11" t="n"/>
      <c r="BK210" s="12" t="n"/>
      <c r="BL210" s="11" t="n"/>
      <c r="BM210" s="11" t="n"/>
      <c r="BN210" s="11" t="n"/>
      <c r="BO210" s="11" t="n"/>
      <c r="BP210" s="12" t="n"/>
      <c r="BQ210" s="11" t="n"/>
      <c r="BR210" s="11" t="n"/>
      <c r="BS210" s="11" t="n"/>
      <c r="BT210" s="11" t="n"/>
      <c r="BU210" s="12" t="n"/>
      <c r="BV210" s="11" t="n"/>
      <c r="BW210" s="11" t="n"/>
      <c r="BX210" s="11" t="n"/>
      <c r="BY210" s="11" t="n"/>
      <c r="BZ210" s="12" t="n"/>
      <c r="CA210" s="11" t="n"/>
      <c r="CB210" s="11" t="n"/>
      <c r="CC210" s="11" t="n"/>
      <c r="CD210" s="11" t="n"/>
      <c r="CE210" s="12" t="n"/>
      <c r="CF210" s="11" t="n"/>
      <c r="CG210" s="11" t="n"/>
      <c r="CH210" s="11" t="n"/>
      <c r="CI210" s="11" t="n"/>
      <c r="CJ210" s="12" t="n"/>
      <c r="CK210" s="11" t="n"/>
      <c r="CL210" s="11" t="n"/>
      <c r="CM210" s="11" t="n"/>
      <c r="CN210" s="11" t="n"/>
      <c r="CO210" s="12" t="n"/>
      <c r="CP210" s="11" t="n"/>
      <c r="CQ210" s="11" t="n"/>
      <c r="CR210" s="11" t="n"/>
      <c r="CS210" s="11" t="n"/>
      <c r="CT210" s="12" t="n"/>
      <c r="CU210" s="11" t="n"/>
      <c r="CV210" s="11" t="n"/>
      <c r="CW210" s="11" t="n"/>
      <c r="CX210" s="11" t="n"/>
      <c r="CY210" s="12" t="n"/>
    </row>
    <row r="211" hidden="1" outlineLevel="1">
      <c r="C211" s="57" t="inlineStr">
        <is>
          <t>Contas a pagar pela aquisição de controladas</t>
        </is>
      </c>
      <c r="D211" s="11" t="n"/>
      <c r="E211" s="11" t="n"/>
      <c r="F211" s="11" t="n"/>
      <c r="G211" s="11" t="n"/>
      <c r="H211" s="12" t="n"/>
      <c r="I211" s="11" t="n"/>
      <c r="J211" s="11" t="n"/>
      <c r="K211" s="11" t="n"/>
      <c r="L211" s="11" t="n"/>
      <c r="M211" s="12" t="n"/>
      <c r="N211" s="11" t="n"/>
      <c r="O211" s="11" t="n"/>
      <c r="P211" s="11" t="n"/>
      <c r="Q211" s="11" t="n"/>
      <c r="R211" s="12" t="n"/>
      <c r="S211" s="11" t="n"/>
      <c r="T211" s="11" t="n"/>
      <c r="U211" s="11" t="n"/>
      <c r="V211" s="11" t="n"/>
      <c r="W211" s="12" t="n"/>
      <c r="X211" s="11" t="n"/>
      <c r="Y211" s="11" t="n"/>
      <c r="Z211" s="11" t="n"/>
      <c r="AA211" s="11" t="n"/>
      <c r="AB211" s="12" t="n"/>
      <c r="AC211" s="11" t="n"/>
      <c r="AD211" s="11" t="n"/>
      <c r="AE211" s="11" t="n"/>
      <c r="AF211" s="11" t="n"/>
      <c r="AG211" s="12" t="n"/>
      <c r="AH211" s="11" t="n"/>
      <c r="AI211" s="11" t="n"/>
      <c r="AJ211" s="11" t="n"/>
      <c r="AK211" s="11" t="n"/>
      <c r="AL211" s="12" t="n"/>
      <c r="AM211" s="11" t="n"/>
      <c r="AN211" s="11" t="n"/>
      <c r="AO211" s="11" t="n"/>
      <c r="AP211" s="11" t="n"/>
      <c r="AQ211" s="12" t="n"/>
      <c r="AR211" s="11" t="n"/>
      <c r="AS211" s="11" t="n"/>
      <c r="AT211" s="11" t="n"/>
      <c r="AU211" s="11" t="n"/>
      <c r="AV211" s="12" t="n"/>
      <c r="AW211" s="11" t="n"/>
      <c r="AX211" s="11" t="n"/>
      <c r="AY211" s="11" t="n"/>
      <c r="AZ211" s="11" t="n"/>
      <c r="BA211" s="12" t="n"/>
      <c r="BB211" s="11" t="n"/>
      <c r="BC211" s="11" t="n"/>
      <c r="BD211" s="11" t="n"/>
      <c r="BE211" s="11" t="n"/>
      <c r="BF211" s="12" t="n"/>
      <c r="BG211" s="11" t="n"/>
      <c r="BH211" s="11" t="n"/>
      <c r="BI211" s="11" t="n"/>
      <c r="BJ211" s="11" t="n"/>
      <c r="BK211" s="12" t="n"/>
      <c r="BL211" s="11" t="n"/>
      <c r="BM211" s="11" t="n"/>
      <c r="BN211" s="11" t="n"/>
      <c r="BO211" s="11" t="n"/>
      <c r="BP211" s="12" t="n"/>
      <c r="BQ211" s="11" t="n"/>
      <c r="BR211" s="11" t="n"/>
      <c r="BS211" s="11" t="n"/>
      <c r="BT211" s="11" t="n"/>
      <c r="BU211" s="12" t="n"/>
      <c r="BV211" s="11" t="n"/>
      <c r="BW211" s="11" t="n"/>
      <c r="BX211" s="11" t="n"/>
      <c r="BY211" s="11" t="n"/>
      <c r="BZ211" s="12" t="n"/>
      <c r="CA211" s="11" t="n"/>
      <c r="CB211" s="11" t="n"/>
      <c r="CC211" s="11" t="n"/>
      <c r="CD211" s="11" t="n"/>
      <c r="CE211" s="12" t="n"/>
      <c r="CF211" s="11" t="n"/>
      <c r="CG211" s="11" t="n"/>
      <c r="CH211" s="11" t="n"/>
      <c r="CI211" s="11" t="n"/>
      <c r="CJ211" s="12" t="n"/>
      <c r="CK211" s="11" t="n"/>
      <c r="CL211" s="11" t="n"/>
      <c r="CM211" s="11" t="n"/>
      <c r="CN211" s="11" t="n"/>
      <c r="CO211" s="12" t="n"/>
      <c r="CP211" s="11" t="n"/>
      <c r="CQ211" s="11" t="n"/>
      <c r="CR211" s="11" t="n"/>
      <c r="CS211" s="11" t="n"/>
      <c r="CT211" s="12" t="n"/>
      <c r="CU211" s="11" t="n"/>
      <c r="CV211" s="11" t="n"/>
      <c r="CW211" s="11" t="n"/>
      <c r="CX211" s="11" t="n"/>
      <c r="CY211" s="12" t="n"/>
    </row>
    <row r="212" hidden="1" outlineLevel="1">
      <c r="C212" s="57" t="inlineStr">
        <is>
          <t>Outros</t>
        </is>
      </c>
      <c r="D212" s="11" t="n"/>
      <c r="E212" s="11" t="n"/>
      <c r="F212" s="11" t="n"/>
      <c r="G212" s="11" t="n"/>
      <c r="H212" s="12" t="n"/>
      <c r="I212" s="11" t="n"/>
      <c r="J212" s="11" t="n"/>
      <c r="K212" s="11" t="n"/>
      <c r="L212" s="11" t="n"/>
      <c r="M212" s="12" t="n"/>
      <c r="N212" s="11" t="n"/>
      <c r="O212" s="11" t="n"/>
      <c r="P212" s="11" t="n"/>
      <c r="Q212" s="11" t="n"/>
      <c r="R212" s="12" t="n"/>
      <c r="S212" s="11" t="n"/>
      <c r="T212" s="11" t="n"/>
      <c r="U212" s="11" t="n"/>
      <c r="V212" s="11" t="n"/>
      <c r="W212" s="12" t="n"/>
      <c r="X212" s="11" t="n"/>
      <c r="Y212" s="11" t="n"/>
      <c r="Z212" s="11" t="n"/>
      <c r="AA212" s="11" t="n"/>
      <c r="AB212" s="12" t="n"/>
      <c r="AC212" s="11" t="n"/>
      <c r="AD212" s="11" t="n"/>
      <c r="AE212" s="11" t="n"/>
      <c r="AF212" s="11" t="n"/>
      <c r="AG212" s="12" t="n"/>
      <c r="AH212" s="11" t="n"/>
      <c r="AI212" s="11" t="n"/>
      <c r="AJ212" s="11" t="n"/>
      <c r="AK212" s="11" t="n"/>
      <c r="AL212" s="12" t="n"/>
      <c r="AM212" s="11" t="n"/>
      <c r="AN212" s="11" t="n"/>
      <c r="AO212" s="11" t="n"/>
      <c r="AP212" s="11" t="n"/>
      <c r="AQ212" s="12" t="n"/>
      <c r="AR212" s="11" t="n"/>
      <c r="AS212" s="11" t="n"/>
      <c r="AT212" s="11" t="n"/>
      <c r="AU212" s="11" t="n"/>
      <c r="AV212" s="12" t="n"/>
      <c r="AW212" s="11" t="n"/>
      <c r="AX212" s="11" t="n"/>
      <c r="AY212" s="11" t="n"/>
      <c r="AZ212" s="11" t="n"/>
      <c r="BA212" s="12" t="n"/>
      <c r="BB212" s="11" t="n"/>
      <c r="BC212" s="11" t="n"/>
      <c r="BD212" s="11" t="n"/>
      <c r="BE212" s="11" t="n"/>
      <c r="BF212" s="12" t="n"/>
      <c r="BG212" s="11" t="n"/>
      <c r="BH212" s="11" t="n"/>
      <c r="BI212" s="11" t="n"/>
      <c r="BJ212" s="11" t="n"/>
      <c r="BK212" s="12" t="n"/>
      <c r="BL212" s="11" t="n"/>
      <c r="BM212" s="11" t="n"/>
      <c r="BN212" s="11" t="n"/>
      <c r="BO212" s="11" t="n"/>
      <c r="BP212" s="12" t="n"/>
      <c r="BQ212" s="11" t="n"/>
      <c r="BR212" s="11" t="n"/>
      <c r="BS212" s="11" t="n"/>
      <c r="BT212" s="11" t="n"/>
      <c r="BU212" s="12" t="n"/>
      <c r="BV212" s="11" t="n"/>
      <c r="BW212" s="11" t="n"/>
      <c r="BX212" s="11" t="n"/>
      <c r="BY212" s="11" t="n"/>
      <c r="BZ212" s="12" t="n"/>
      <c r="CA212" s="11" t="n"/>
      <c r="CB212" s="11" t="n"/>
      <c r="CC212" s="11" t="n"/>
      <c r="CD212" s="11" t="n"/>
      <c r="CE212" s="12" t="n"/>
      <c r="CF212" s="11" t="n"/>
      <c r="CG212" s="11" t="n"/>
      <c r="CH212" s="11" t="n"/>
      <c r="CI212" s="11" t="n"/>
      <c r="CJ212" s="12" t="n"/>
      <c r="CK212" s="11" t="n"/>
      <c r="CL212" s="11" t="n"/>
      <c r="CM212" s="11" t="n"/>
      <c r="CN212" s="11" t="n"/>
      <c r="CO212" s="12" t="n"/>
      <c r="CP212" s="11" t="n"/>
      <c r="CQ212" s="11" t="n"/>
      <c r="CR212" s="11" t="n"/>
      <c r="CS212" s="11" t="n"/>
      <c r="CT212" s="12" t="n"/>
      <c r="CU212" s="11" t="n"/>
      <c r="CV212" s="11" t="n"/>
      <c r="CW212" s="11" t="n"/>
      <c r="CX212" s="11" t="n"/>
      <c r="CY212" s="12" t="n"/>
    </row>
    <row r="213" hidden="1" outlineLevel="1">
      <c r="C213" s="57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collapsed="1">
      <c r="C214" s="14" t="inlineStr">
        <is>
          <t>Current portion of long-term debt</t>
        </is>
      </c>
      <c r="D214" s="46" t="n"/>
      <c r="E214" s="46" t="n"/>
      <c r="F214" s="46" t="n"/>
      <c r="G214" s="46" t="n"/>
      <c r="H214" s="12" t="n"/>
      <c r="I214" s="46">
        <f>'Inputs (2)'!D32</f>
        <v>458.009</v>
      </c>
      <c r="J214" s="46">
        <f>'Inputs (2)'!E32</f>
        <v>375.695</v>
      </c>
      <c r="K214" s="46">
        <f>'Inputs (2)'!F32</f>
        <v>342.175</v>
      </c>
      <c r="L214" s="46">
        <f>'Inputs (2)'!G32</f>
        <v>336.754</v>
      </c>
      <c r="M214" s="12">
        <f>'Inputs (2)'!H32</f>
        <v>336.754</v>
      </c>
      <c r="N214" s="46">
        <f>'Inputs (2)'!I32</f>
        <v>313.036</v>
      </c>
      <c r="O214" s="46">
        <f>'Inputs (2)'!J32</f>
        <v>463.761</v>
      </c>
      <c r="P214" s="46">
        <f>'Inputs (2)'!K32</f>
        <v>458.286</v>
      </c>
      <c r="Q214" s="46">
        <f>'Inputs (2)'!L32</f>
        <v>480.085</v>
      </c>
      <c r="R214" s="12">
        <f>'Inputs (2)'!M32</f>
        <v>480.085</v>
      </c>
      <c r="S214" s="46">
        <f>'Inputs (2)'!N32</f>
        <v>477.936</v>
      </c>
      <c r="T214" s="46">
        <f>'Inputs (2)'!O32</f>
        <v>561.332</v>
      </c>
      <c r="U214" s="46">
        <f>'Inputs (2)'!P32</f>
        <v>567.56</v>
      </c>
      <c r="V214" s="46">
        <f>'Inputs (2)'!Q32</f>
        <v>566.212</v>
      </c>
      <c r="W214" s="12">
        <f>'Inputs (2)'!R32</f>
        <v>566.212</v>
      </c>
      <c r="X214" s="46">
        <f>'Inputs (2)'!S32</f>
        <v>637.625</v>
      </c>
      <c r="Y214" s="46">
        <f>'Inputs (2)'!T32</f>
        <v>462.084</v>
      </c>
      <c r="Z214" s="46">
        <f>'Inputs (2)'!U32</f>
        <v>423.627</v>
      </c>
      <c r="AA214" s="46">
        <f>'Inputs (2)'!V32</f>
        <v>463.656</v>
      </c>
      <c r="AB214" s="12">
        <f>'Inputs (2)'!W32</f>
        <v>463.656</v>
      </c>
      <c r="AC214" s="46">
        <f>'Inputs (2)'!X32</f>
        <v>596.176</v>
      </c>
      <c r="AD214" s="46">
        <f>'Inputs (2)'!Y32</f>
        <v>772.943</v>
      </c>
      <c r="AE214" s="46">
        <f>'Inputs (2)'!Z32</f>
        <v>814.989</v>
      </c>
      <c r="AF214" s="46">
        <f>'Inputs (2)'!AA32</f>
        <v>859.151</v>
      </c>
      <c r="AG214" s="12">
        <f>'Inputs (2)'!AB32</f>
        <v>859.151</v>
      </c>
      <c r="AH214" s="12">
        <f>'Inputs (2)'!AC32</f>
        <v>1231.439</v>
      </c>
      <c r="AI214" s="12">
        <f>'Inputs (2)'!AD32</f>
        <v>1108.125</v>
      </c>
      <c r="AJ214" s="12">
        <f>AI214</f>
        <v>1108.125</v>
      </c>
      <c r="AK214" s="12">
        <f>AJ214</f>
        <v>1108.125</v>
      </c>
      <c r="AL214" s="12">
        <f>AK214</f>
        <v>1108.125</v>
      </c>
      <c r="AM214" s="12">
        <f>AL214</f>
        <v>1108.125</v>
      </c>
      <c r="AN214" s="12">
        <f>AM214</f>
        <v>1108.125</v>
      </c>
      <c r="AO214" s="12">
        <f>AN214</f>
        <v>1108.125</v>
      </c>
      <c r="AP214" s="12">
        <f>AO214</f>
        <v>1108.125</v>
      </c>
      <c r="AQ214" s="12">
        <f>AP214</f>
        <v>1108.125</v>
      </c>
      <c r="AR214" s="12">
        <f>AQ214</f>
        <v>1108.125</v>
      </c>
      <c r="AS214" s="12">
        <f>AR214</f>
        <v>1108.125</v>
      </c>
      <c r="AT214" s="12">
        <f>AS214</f>
        <v>1108.125</v>
      </c>
      <c r="AU214" s="12">
        <f>AT214</f>
        <v>1108.125</v>
      </c>
      <c r="AV214" s="12">
        <f>AU214</f>
        <v>1108.125</v>
      </c>
      <c r="AW214" s="12">
        <f>AV214</f>
        <v>1108.125</v>
      </c>
      <c r="AX214" s="12">
        <f>AW214</f>
        <v>1108.125</v>
      </c>
      <c r="AY214" s="12">
        <f>AX214</f>
        <v>1108.125</v>
      </c>
      <c r="AZ214" s="12">
        <f>AY214</f>
        <v>1108.125</v>
      </c>
      <c r="BA214" s="12">
        <f>AZ214</f>
        <v>1108.125</v>
      </c>
      <c r="BB214" s="12">
        <f>BA214</f>
        <v>1108.125</v>
      </c>
      <c r="BC214" s="12">
        <f>BB214</f>
        <v>1108.125</v>
      </c>
      <c r="BD214" s="12">
        <f>BC214</f>
        <v>1108.125</v>
      </c>
      <c r="BE214" s="12">
        <f>BD214</f>
        <v>1108.125</v>
      </c>
      <c r="BF214" s="12">
        <f>BE214</f>
        <v>1108.125</v>
      </c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>
      <c r="C215" s="14" t="inlineStr">
        <is>
          <t>Short term debt (Revolving credit facility)</t>
        </is>
      </c>
      <c r="D215" s="46" t="n"/>
      <c r="E215" s="46" t="n"/>
      <c r="F215" s="46" t="n"/>
      <c r="G215" s="46" t="n"/>
      <c r="H215" s="12" t="n"/>
      <c r="I215" s="46">
        <f>'Inputs (2)'!D33</f>
        <v>0</v>
      </c>
      <c r="J215" s="46">
        <f>'Inputs (2)'!E33</f>
        <v>0</v>
      </c>
      <c r="K215" s="46">
        <f>'Inputs (2)'!F33</f>
        <v>0</v>
      </c>
      <c r="L215" s="46">
        <f>'Inputs (2)'!G33</f>
        <v>0</v>
      </c>
      <c r="M215" s="12">
        <f>'Inputs (2)'!H33</f>
        <v>0</v>
      </c>
      <c r="N215" s="46">
        <f>'Inputs (2)'!I33</f>
        <v>0</v>
      </c>
      <c r="O215" s="46">
        <f>'Inputs (2)'!J33</f>
        <v>0</v>
      </c>
      <c r="P215" s="46">
        <f>'Inputs (2)'!K33</f>
        <v>0</v>
      </c>
      <c r="Q215" s="46">
        <f>'Inputs (2)'!L33</f>
        <v>0</v>
      </c>
      <c r="R215" s="12">
        <f>'Inputs (2)'!M33</f>
        <v>0</v>
      </c>
      <c r="S215" s="46">
        <f>'Inputs (2)'!N33</f>
        <v>0</v>
      </c>
      <c r="T215" s="46">
        <f>'Inputs (2)'!O33</f>
        <v>0</v>
      </c>
      <c r="U215" s="46">
        <f>'Inputs (2)'!P33</f>
        <v>0</v>
      </c>
      <c r="V215" s="46">
        <f>'Inputs (2)'!Q33</f>
        <v>0</v>
      </c>
      <c r="W215" s="12">
        <f>'Inputs (2)'!R33</f>
        <v>0</v>
      </c>
      <c r="X215" s="46">
        <f>'Inputs (2)'!S33</f>
        <v>0</v>
      </c>
      <c r="Y215" s="46">
        <f>'Inputs (2)'!T33</f>
        <v>0</v>
      </c>
      <c r="Z215" s="46">
        <f>'Inputs (2)'!U33</f>
        <v>0</v>
      </c>
      <c r="AA215" s="46">
        <f>'Inputs (2)'!V33</f>
        <v>0</v>
      </c>
      <c r="AB215" s="12">
        <f>'Inputs (2)'!W33</f>
        <v>0</v>
      </c>
      <c r="AC215" s="46">
        <f>'Inputs (2)'!X33</f>
        <v>0</v>
      </c>
      <c r="AD215" s="46">
        <f>'Inputs (2)'!Y33</f>
        <v>0</v>
      </c>
      <c r="AE215" s="46">
        <f>'Inputs (2)'!Z33</f>
        <v>0</v>
      </c>
      <c r="AF215" s="46">
        <f>'Inputs (2)'!AA33</f>
        <v>0</v>
      </c>
      <c r="AG215" s="12">
        <f>'Inputs (2)'!AB33</f>
        <v>0</v>
      </c>
      <c r="AH215" s="12">
        <f>'Inputs (2)'!AC33</f>
        <v>0</v>
      </c>
      <c r="AI215" s="12">
        <f>'Inputs (2)'!AD33</f>
        <v>0</v>
      </c>
      <c r="AJ215" s="12">
        <f>AI215</f>
        <v>0</v>
      </c>
      <c r="AK215" s="12">
        <f>AJ215</f>
        <v>0</v>
      </c>
      <c r="AL215" s="12">
        <f>AK215</f>
        <v>0</v>
      </c>
      <c r="AM215" s="12">
        <f>AL215</f>
        <v>0</v>
      </c>
      <c r="AN215" s="12">
        <f>AM215</f>
        <v>0</v>
      </c>
      <c r="AO215" s="12">
        <f>AN215</f>
        <v>0</v>
      </c>
      <c r="AP215" s="12">
        <f>AO215</f>
        <v>0</v>
      </c>
      <c r="AQ215" s="12">
        <f>AP215</f>
        <v>0</v>
      </c>
      <c r="AR215" s="12">
        <f>AQ215</f>
        <v>0</v>
      </c>
      <c r="AS215" s="12">
        <f>AR215</f>
        <v>0</v>
      </c>
      <c r="AT215" s="12">
        <f>AS215</f>
        <v>0</v>
      </c>
      <c r="AU215" s="12">
        <f>AT215</f>
        <v>0</v>
      </c>
      <c r="AV215" s="12">
        <f>AU215</f>
        <v>0</v>
      </c>
      <c r="AW215" s="12">
        <f>AV215</f>
        <v>0</v>
      </c>
      <c r="AX215" s="12">
        <f>AW215</f>
        <v>0</v>
      </c>
      <c r="AY215" s="12">
        <f>AX215</f>
        <v>0</v>
      </c>
      <c r="AZ215" s="12">
        <f>AY215</f>
        <v>0</v>
      </c>
      <c r="BA215" s="12">
        <f>AZ215</f>
        <v>0</v>
      </c>
      <c r="BB215" s="12">
        <f>BA215</f>
        <v>0</v>
      </c>
      <c r="BC215" s="12">
        <f>BB215</f>
        <v>0</v>
      </c>
      <c r="BD215" s="12">
        <f>BC215</f>
        <v>0</v>
      </c>
      <c r="BE215" s="12">
        <f>BD215</f>
        <v>0</v>
      </c>
      <c r="BF215" s="12">
        <f>BE215</f>
        <v>0</v>
      </c>
      <c r="BG215" s="12" t="n"/>
      <c r="BH215" s="12" t="n"/>
      <c r="BI215" s="12" t="n"/>
      <c r="BJ215" s="12" t="n"/>
      <c r="BK215" s="12" t="n"/>
      <c r="BL215" s="12" t="n"/>
      <c r="BM215" s="12" t="n"/>
      <c r="BN215" s="12" t="n"/>
      <c r="BO215" s="12" t="n"/>
      <c r="BP215" s="12" t="n"/>
      <c r="BQ215" s="12" t="n"/>
      <c r="BR215" s="12" t="n"/>
      <c r="BS215" s="12" t="n"/>
      <c r="BT215" s="12" t="n"/>
      <c r="BU215" s="12" t="n"/>
      <c r="BV215" s="12" t="n"/>
      <c r="BW215" s="12" t="n"/>
      <c r="BX215" s="12" t="n"/>
      <c r="BY215" s="12" t="n"/>
      <c r="BZ215" s="12" t="n"/>
      <c r="CA215" s="12" t="n"/>
      <c r="CB215" s="12" t="n"/>
      <c r="CC215" s="12" t="n"/>
      <c r="CD215" s="12" t="n"/>
      <c r="CE215" s="12" t="n"/>
      <c r="CF215" s="12" t="n"/>
      <c r="CG215" s="12" t="n"/>
      <c r="CH215" s="12" t="n"/>
      <c r="CI215" s="12" t="n"/>
      <c r="CJ215" s="12" t="n"/>
      <c r="CK215" s="12" t="n"/>
      <c r="CL215" s="12" t="n"/>
      <c r="CM215" s="12" t="n"/>
      <c r="CN215" s="12" t="n"/>
      <c r="CO215" s="12" t="n"/>
      <c r="CP215" s="12" t="n"/>
      <c r="CQ215" s="12" t="n"/>
      <c r="CR215" s="12" t="n"/>
      <c r="CS215" s="12" t="n"/>
      <c r="CT215" s="12" t="n"/>
      <c r="CU215" s="12" t="n"/>
      <c r="CV215" s="12" t="n"/>
      <c r="CW215" s="12" t="n"/>
      <c r="CX215" s="12" t="n"/>
      <c r="CY215" s="12" t="n"/>
    </row>
    <row r="216">
      <c r="C216" s="14" t="inlineStr">
        <is>
          <t>Short term operating leases</t>
        </is>
      </c>
      <c r="D216" s="46" t="n"/>
      <c r="E216" s="46" t="n"/>
      <c r="F216" s="46" t="n"/>
      <c r="G216" s="46" t="n"/>
      <c r="H216" s="12" t="n"/>
      <c r="I216" s="46">
        <f>'Inputs (2)'!D34</f>
        <v>52.492</v>
      </c>
      <c r="J216" s="46">
        <f>'Inputs (2)'!E34</f>
        <v>66.345</v>
      </c>
      <c r="K216" s="46">
        <f>'Inputs (2)'!F34</f>
        <v>74.201</v>
      </c>
      <c r="L216" s="46">
        <f>'Inputs (2)'!G34</f>
        <v>70.926</v>
      </c>
      <c r="M216" s="12">
        <f>'Inputs (2)'!H34</f>
        <v>70.926</v>
      </c>
      <c r="N216" s="46">
        <f>'Inputs (2)'!I34</f>
        <v>74.76</v>
      </c>
      <c r="O216" s="46">
        <f>'Inputs (2)'!J34</f>
        <v>69.403</v>
      </c>
      <c r="P216" s="46">
        <f>'Inputs (2)'!K34</f>
        <v>70.205</v>
      </c>
      <c r="Q216" s="46">
        <f>'Inputs (2)'!L34</f>
        <v>95.566</v>
      </c>
      <c r="R216" s="12">
        <f>'Inputs (2)'!M34</f>
        <v>95.566</v>
      </c>
      <c r="S216" s="46">
        <f>'Inputs (2)'!N34</f>
        <v>99.026</v>
      </c>
      <c r="T216" s="46">
        <f>'Inputs (2)'!O34</f>
        <v>95.016</v>
      </c>
      <c r="U216" s="46">
        <f>'Inputs (2)'!P34</f>
        <v>96.488</v>
      </c>
      <c r="V216" s="46">
        <f>'Inputs (2)'!Q34</f>
        <v>104.905</v>
      </c>
      <c r="W216" s="12">
        <f>'Inputs (2)'!R34</f>
        <v>104.905</v>
      </c>
      <c r="X216" s="46">
        <f>'Inputs (2)'!S34</f>
        <v>105.52</v>
      </c>
      <c r="Y216" s="46">
        <f>'Inputs (2)'!T34</f>
        <v>112.161</v>
      </c>
      <c r="Z216" s="46">
        <f>'Inputs (2)'!U34</f>
        <v>119.157</v>
      </c>
      <c r="AA216" s="46">
        <f>'Inputs (2)'!V34</f>
        <v>120.982</v>
      </c>
      <c r="AB216" s="12">
        <f>'Inputs (2)'!W34</f>
        <v>120.982</v>
      </c>
      <c r="AC216" s="46">
        <f>'Inputs (2)'!X34</f>
        <v>116.274</v>
      </c>
      <c r="AD216" s="46">
        <f>'Inputs (2)'!Y34</f>
        <v>106.508</v>
      </c>
      <c r="AE216" s="46">
        <f>'Inputs (2)'!Z34</f>
        <v>129.99</v>
      </c>
      <c r="AF216" s="46">
        <f>'Inputs (2)'!AA34</f>
        <v>138.178</v>
      </c>
      <c r="AG216" s="12">
        <f>'Inputs (2)'!AB34</f>
        <v>138.178</v>
      </c>
      <c r="AH216" s="12">
        <f>'Inputs (2)'!AC34</f>
        <v>138.459</v>
      </c>
      <c r="AI216" s="12">
        <f>'Inputs (2)'!AD34</f>
        <v>138.888</v>
      </c>
      <c r="AJ216" s="12">
        <f>AI216</f>
        <v>138.888</v>
      </c>
      <c r="AK216" s="12">
        <f>AJ216</f>
        <v>138.888</v>
      </c>
      <c r="AL216" s="12">
        <f>AK216</f>
        <v>138.888</v>
      </c>
      <c r="AM216" s="12">
        <f>AL216</f>
        <v>138.888</v>
      </c>
      <c r="AN216" s="12">
        <f>AM216</f>
        <v>138.888</v>
      </c>
      <c r="AO216" s="12">
        <f>AN216</f>
        <v>138.888</v>
      </c>
      <c r="AP216" s="12">
        <f>AO216</f>
        <v>138.888</v>
      </c>
      <c r="AQ216" s="12">
        <f>AP216</f>
        <v>138.888</v>
      </c>
      <c r="AR216" s="12">
        <f>AQ216</f>
        <v>138.888</v>
      </c>
      <c r="AS216" s="12">
        <f>AR216</f>
        <v>138.888</v>
      </c>
      <c r="AT216" s="12">
        <f>AS216</f>
        <v>138.888</v>
      </c>
      <c r="AU216" s="12">
        <f>AT216</f>
        <v>138.888</v>
      </c>
      <c r="AV216" s="12">
        <f>AU216</f>
        <v>138.888</v>
      </c>
      <c r="AW216" s="12">
        <f>AV216</f>
        <v>138.888</v>
      </c>
      <c r="AX216" s="12">
        <f>AW216</f>
        <v>138.888</v>
      </c>
      <c r="AY216" s="12">
        <f>AX216</f>
        <v>138.888</v>
      </c>
      <c r="AZ216" s="12">
        <f>AY216</f>
        <v>138.888</v>
      </c>
      <c r="BA216" s="12">
        <f>AZ216</f>
        <v>138.888</v>
      </c>
      <c r="BB216" s="12">
        <f>BA216</f>
        <v>138.888</v>
      </c>
      <c r="BC216" s="12">
        <f>BB216</f>
        <v>138.888</v>
      </c>
      <c r="BD216" s="12">
        <f>BC216</f>
        <v>138.888</v>
      </c>
      <c r="BE216" s="12">
        <f>BD216</f>
        <v>138.888</v>
      </c>
      <c r="BF216" s="12">
        <f>BE216</f>
        <v>138.888</v>
      </c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9" t="inlineStr">
        <is>
          <t>%(Var.)</t>
        </is>
      </c>
      <c r="D217" s="12" t="n"/>
      <c r="E217" s="40" t="n"/>
      <c r="F217" s="40" t="n"/>
      <c r="G217" s="40" t="n"/>
      <c r="H217" s="12" t="n"/>
      <c r="I217" s="40" t="str">
        <f>""</f>
        <v/>
      </c>
      <c r="J217" s="40">
        <f>IFERROR(IF(I216=0,"",J216/I216-1),"")</f>
        <v>0.263906881048541</v>
      </c>
      <c r="K217" s="40">
        <f>IFERROR(IF(J216=0,"",K216/J216-1),"")</f>
        <v>0.118411334689879</v>
      </c>
      <c r="L217" s="40">
        <f>IFERROR(IF(K216=0,"",L216/K216-1),"")</f>
        <v>-0.0441368714707348</v>
      </c>
      <c r="M217" s="12">
        <f>IF(L216=0,"",M216/L216-1)</f>
        <v>0</v>
      </c>
      <c r="N217" s="40">
        <f>IFERROR(IF(M216=0,"",N216/M216-1),"")</f>
        <v>0.0540563404111327</v>
      </c>
      <c r="O217" s="40">
        <f>IFERROR(IF(N216=0,"",O216/N216-1),"")</f>
        <v>-0.0716559657570893</v>
      </c>
      <c r="P217" s="40">
        <f>IFERROR(IF(O216=0,"",P216/O216-1),"")</f>
        <v>0.0115556964396351</v>
      </c>
      <c r="Q217" s="40">
        <f>IFERROR(IF(P216=0,"",Q216/P216-1),"")</f>
        <v>0.361242076775159</v>
      </c>
      <c r="R217" s="12">
        <f>IF(Q216=0,"",R216/Q216-1)</f>
        <v>0</v>
      </c>
      <c r="S217" s="40">
        <f>IFERROR(IF(R216=0,"",S216/R216-1),"")</f>
        <v>0.0362053449971747</v>
      </c>
      <c r="T217" s="40">
        <f>IFERROR(IF(S216=0,"",T216/S216-1),"")</f>
        <v>-0.040494415608022</v>
      </c>
      <c r="U217" s="40">
        <f>IFERROR(IF(T216=0,"",U216/T216-1),"")</f>
        <v>0.0154921276416602</v>
      </c>
      <c r="V217" s="40">
        <f>IFERROR(IF(U216=0,"",V216/U216-1),"")</f>
        <v>0.0872336456346903</v>
      </c>
      <c r="W217" s="12">
        <f>IF(V216=0,"",W216/V216-1)</f>
        <v>0</v>
      </c>
      <c r="X217" s="40">
        <f>IFERROR(IF(W216=0,"",X216/W216-1),"")</f>
        <v>0.00586244697583527</v>
      </c>
      <c r="Y217" s="40">
        <f>IFERROR(IF(X216=0,"",Y216/X216-1),"")</f>
        <v>0.0629359363153905</v>
      </c>
      <c r="Z217" s="40">
        <f>IFERROR(IF(Y216=0,"",Z216/Y216-1),"")</f>
        <v>0.0623746221948804</v>
      </c>
      <c r="AA217" s="40">
        <f>IFERROR(IF(Z216=0,"",AA216/Z216-1),"")</f>
        <v>0.0153159277256056</v>
      </c>
      <c r="AB217" s="12">
        <f>IF(AA216=0,"",AB216/AA216-1)</f>
        <v>0</v>
      </c>
      <c r="AC217" s="40">
        <f>IFERROR(IF(AB216=0,"",AC216/AB216-1),"")</f>
        <v>-0.0389148798994892</v>
      </c>
      <c r="AD217" s="40">
        <f>IFERROR(IF(AC216=0,"",AD216/AC216-1),"")</f>
        <v>-0.0839912620190241</v>
      </c>
      <c r="AE217" s="40">
        <f>IFERROR(IF(AD216=0,"",AE216/AD216-1),"")</f>
        <v>0.220471701656214</v>
      </c>
      <c r="AF217" s="11">
        <f>IFERROR(IF(AE216=0,"",AF216/AE216-1),"")</f>
        <v>0.0629894607277481</v>
      </c>
      <c r="AG217" s="12">
        <f>IF(AF216=0,"",AG216/AF216-1)</f>
        <v>0</v>
      </c>
      <c r="AH217" s="11">
        <f>IFERROR(IF(AG216=0,"",AH216/AG216-1),"")</f>
        <v>0.00203360882340164</v>
      </c>
      <c r="AI217" s="11">
        <f>IFERROR(IF(AH216=0,"",AI216/AH216-1),"")</f>
        <v>0.00309839013715263</v>
      </c>
      <c r="AJ217" s="11">
        <f>IFERROR(IF(AI216=0,"",AJ216/AI216-1),"")</f>
        <v>0</v>
      </c>
      <c r="AK217" s="11">
        <f>IFERROR(IF(AJ216=0,"",AK216/AJ216-1),"")</f>
        <v>0</v>
      </c>
      <c r="AL217" s="12">
        <f>IFERROR(IF(AK216=0,"",AL216/AK216-1),"")</f>
        <v>0</v>
      </c>
      <c r="AM217" s="11">
        <f>IFERROR(IF(AL216=0,"",AM216/AL216-1),"")</f>
        <v>0</v>
      </c>
      <c r="AN217" s="11">
        <f>IFERROR(IF(AM216=0,"",AN216/AM216-1),"")</f>
        <v>0</v>
      </c>
      <c r="AO217" s="11">
        <f>IFERROR(IF(AN216=0,"",AO216/AN216-1),"")</f>
        <v>0</v>
      </c>
      <c r="AP217" s="11">
        <f>IFERROR(IF(AO216=0,"",AP216/AO216-1),"")</f>
        <v>0</v>
      </c>
      <c r="AQ217" s="12">
        <f>IFERROR(IF(AP216=0,"",AQ216/AP216-1),"")</f>
        <v>0</v>
      </c>
      <c r="AR217" s="11">
        <f>IFERROR(IF(AQ216=0,"",AR216/AQ216-1),"")</f>
        <v>0</v>
      </c>
      <c r="AS217" s="11">
        <f>IFERROR(IF(AR216=0,"",AS216/AR216-1),"")</f>
        <v>0</v>
      </c>
      <c r="AT217" s="11">
        <f>IFERROR(IF(AS216=0,"",AT216/AS216-1),"")</f>
        <v>0</v>
      </c>
      <c r="AU217" s="11">
        <f>IFERROR(IF(AT216=0,"",AU216/AT216-1),"")</f>
        <v>0</v>
      </c>
      <c r="AV217" s="12">
        <f>IFERROR(IF(AU216=0,"",AV216/AU216-1),"")</f>
        <v>0</v>
      </c>
      <c r="AW217" s="11">
        <f>IFERROR(IF(AV216=0,"",AW216/AV216-1),"")</f>
        <v>0</v>
      </c>
      <c r="AX217" s="11">
        <f>IFERROR(IF(AW216=0,"",AX216/AW216-1),"")</f>
        <v>0</v>
      </c>
      <c r="AY217" s="11">
        <f>IFERROR(IF(AX216=0,"",AY216/AX216-1),"")</f>
        <v>0</v>
      </c>
      <c r="AZ217" s="11">
        <f>IFERROR(IF(AY216=0,"",AZ216/AY216-1),"")</f>
        <v>0</v>
      </c>
      <c r="BA217" s="12">
        <f>IFERROR(IF(AZ216=0,"",BA216/AZ216-1),"")</f>
        <v>0</v>
      </c>
      <c r="BB217" s="11">
        <f>IFERROR(IF(BA216=0,"",BB216/BA216-1),"")</f>
        <v>0</v>
      </c>
      <c r="BC217" s="11">
        <f>IFERROR(IF(BB216=0,"",BC216/BB216-1),"")</f>
        <v>0</v>
      </c>
      <c r="BD217" s="11">
        <f>IFERROR(IF(BC216=0,"",BD216/BC216-1),"")</f>
        <v>0</v>
      </c>
      <c r="BE217" s="11">
        <f>IFERROR(IF(BD216=0,"",BE216/BD216-1),"")</f>
        <v>0</v>
      </c>
      <c r="BF217" s="12">
        <f>IFERROR(IF(BE216=0,"",BF216/BE216-1),"")</f>
        <v>0</v>
      </c>
      <c r="BG217" s="11" t="n"/>
      <c r="BH217" s="11" t="n"/>
      <c r="BI217" s="11" t="n"/>
      <c r="BJ217" s="11" t="n"/>
      <c r="BK217" s="12" t="n"/>
      <c r="BL217" s="11" t="n"/>
      <c r="BM217" s="11" t="n"/>
      <c r="BN217" s="11" t="n"/>
      <c r="BO217" s="11" t="n"/>
      <c r="BP217" s="12" t="n"/>
      <c r="BQ217" s="11" t="n"/>
      <c r="BR217" s="11" t="n"/>
      <c r="BS217" s="11" t="n"/>
      <c r="BT217" s="11" t="n"/>
      <c r="BU217" s="12" t="n"/>
      <c r="BV217" s="11" t="n"/>
      <c r="BW217" s="11" t="n"/>
      <c r="BX217" s="11" t="n"/>
      <c r="BY217" s="11" t="n"/>
      <c r="BZ217" s="12" t="n"/>
      <c r="CA217" s="11" t="n"/>
      <c r="CB217" s="11" t="n"/>
      <c r="CC217" s="11" t="n"/>
      <c r="CD217" s="11" t="n"/>
      <c r="CE217" s="12" t="n"/>
      <c r="CF217" s="11" t="n"/>
      <c r="CG217" s="11" t="n"/>
      <c r="CH217" s="11" t="n"/>
      <c r="CI217" s="11" t="n"/>
      <c r="CJ217" s="12" t="n"/>
      <c r="CK217" s="11" t="n"/>
      <c r="CL217" s="11" t="n"/>
      <c r="CM217" s="11" t="n"/>
      <c r="CN217" s="11" t="n"/>
      <c r="CO217" s="12" t="n"/>
      <c r="CP217" s="11" t="n"/>
      <c r="CQ217" s="11" t="n"/>
      <c r="CR217" s="11" t="n"/>
      <c r="CS217" s="11" t="n"/>
      <c r="CT217" s="12" t="n"/>
      <c r="CU217" s="11" t="n"/>
      <c r="CV217" s="11" t="n"/>
      <c r="CW217" s="11" t="n"/>
      <c r="CX217" s="11" t="n"/>
      <c r="CY217" s="12" t="n"/>
    </row>
    <row r="218" hidden="1" outlineLevel="1">
      <c r="C218" s="57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  <c r="BN218" s="12" t="n"/>
      <c r="BO218" s="12" t="n"/>
      <c r="BP218" s="12" t="n"/>
      <c r="BQ218" s="12" t="n"/>
      <c r="BR218" s="12" t="n"/>
      <c r="BS218" s="12" t="n"/>
      <c r="BT218" s="12" t="n"/>
      <c r="BU218" s="12" t="n"/>
      <c r="BV218" s="12" t="n"/>
      <c r="BW218" s="12" t="n"/>
      <c r="BX218" s="12" t="n"/>
      <c r="BY218" s="12" t="n"/>
      <c r="BZ218" s="12" t="n"/>
      <c r="CA218" s="12" t="n"/>
      <c r="CB218" s="12" t="n"/>
      <c r="CC218" s="12" t="n"/>
      <c r="CD218" s="12" t="n"/>
      <c r="CE218" s="12" t="n"/>
      <c r="CF218" s="12" t="n"/>
      <c r="CG218" s="12" t="n"/>
      <c r="CH218" s="12" t="n"/>
      <c r="CI218" s="12" t="n"/>
      <c r="CJ218" s="12" t="n"/>
      <c r="CK218" s="12" t="n"/>
      <c r="CL218" s="12" t="n"/>
      <c r="CM218" s="12" t="n"/>
      <c r="CN218" s="12" t="n"/>
      <c r="CO218" s="12" t="n"/>
      <c r="CP218" s="12" t="n"/>
      <c r="CQ218" s="12" t="n"/>
      <c r="CR218" s="12" t="n"/>
      <c r="CS218" s="12" t="n"/>
      <c r="CT218" s="12" t="n"/>
      <c r="CU218" s="12" t="n"/>
      <c r="CV218" s="12" t="n"/>
      <c r="CW218" s="12" t="n"/>
      <c r="CX218" s="12" t="n"/>
      <c r="CY218" s="12" t="n"/>
    </row>
    <row r="219" collapsed="1">
      <c r="C219" s="14" t="inlineStr">
        <is>
          <t>Long term debt</t>
        </is>
      </c>
      <c r="D219" s="46" t="n"/>
      <c r="E219" s="46" t="n"/>
      <c r="F219" s="46" t="n"/>
      <c r="G219" s="46" t="n"/>
      <c r="H219" s="12" t="n"/>
      <c r="I219" s="46">
        <f>'Inputs (2)'!D35</f>
        <v>3293.819</v>
      </c>
      <c r="J219" s="46">
        <f>'Inputs (2)'!E35</f>
        <v>3291.258</v>
      </c>
      <c r="K219" s="46">
        <f>'Inputs (2)'!F35</f>
        <v>3317.682</v>
      </c>
      <c r="L219" s="46">
        <f>'Inputs (2)'!G35</f>
        <v>3378.8</v>
      </c>
      <c r="M219" s="12">
        <f>'Inputs (2)'!H35</f>
        <v>3378.8</v>
      </c>
      <c r="N219" s="46">
        <f>'Inputs (2)'!I35</f>
        <v>4014.447</v>
      </c>
      <c r="O219" s="46">
        <f>'Inputs (2)'!J35</f>
        <v>3967.192</v>
      </c>
      <c r="P219" s="46">
        <f>'Inputs (2)'!K35</f>
        <v>4023.418</v>
      </c>
      <c r="Q219" s="46">
        <f>'Inputs (2)'!L35</f>
        <v>4103.308</v>
      </c>
      <c r="R219" s="12">
        <f>'Inputs (2)'!M35</f>
        <v>4103.308</v>
      </c>
      <c r="S219" s="46">
        <f>'Inputs (2)'!N35</f>
        <v>4210.87</v>
      </c>
      <c r="T219" s="46">
        <f>'Inputs (2)'!O35</f>
        <v>4554.461</v>
      </c>
      <c r="U219" s="46">
        <f>'Inputs (2)'!P35</f>
        <v>4612.598</v>
      </c>
      <c r="V219" s="46">
        <f>'Inputs (2)'!Q35</f>
        <v>4703.272</v>
      </c>
      <c r="W219" s="12">
        <f>'Inputs (2)'!R35</f>
        <v>4703.272</v>
      </c>
      <c r="X219" s="46">
        <f>'Inputs (2)'!S35</f>
        <v>5267.947</v>
      </c>
      <c r="Y219" s="46">
        <f>'Inputs (2)'!T35</f>
        <v>5420.525</v>
      </c>
      <c r="Z219" s="46">
        <f>'Inputs (2)'!U35</f>
        <v>5546.699</v>
      </c>
      <c r="AA219" s="46">
        <f>'Inputs (2)'!V35</f>
        <v>5677.641</v>
      </c>
      <c r="AB219" s="12">
        <f>'Inputs (2)'!W35</f>
        <v>5677.641</v>
      </c>
      <c r="AC219" s="46">
        <f>'Inputs (2)'!X35</f>
        <v>5533.642</v>
      </c>
      <c r="AD219" s="46">
        <f>'Inputs (2)'!Y35</f>
        <v>5465.365</v>
      </c>
      <c r="AE219" s="46">
        <f>'Inputs (2)'!Z35</f>
        <v>5901.199</v>
      </c>
      <c r="AF219" s="46">
        <f>'Inputs (2)'!AA35</f>
        <v>5971.199</v>
      </c>
      <c r="AG219" s="12">
        <f>'Inputs (2)'!AB35</f>
        <v>5971.199</v>
      </c>
      <c r="AH219" s="12">
        <f>'Inputs (2)'!AC35</f>
        <v>5508.356</v>
      </c>
      <c r="AI219" s="12">
        <f>'Inputs (2)'!AD35</f>
        <v>5616.221</v>
      </c>
      <c r="AJ219" s="12">
        <f>AJ225</f>
        <v>5616.221</v>
      </c>
      <c r="AK219" s="12">
        <f>AK225</f>
        <v>5616.221</v>
      </c>
      <c r="AL219" s="12">
        <f>AK219</f>
        <v>5616.221</v>
      </c>
      <c r="AM219" s="12">
        <f>AM225</f>
        <v>5616.221</v>
      </c>
      <c r="AN219" s="12">
        <f>AN225</f>
        <v>5616.221</v>
      </c>
      <c r="AO219" s="12">
        <f>AO225</f>
        <v>5616.221</v>
      </c>
      <c r="AP219" s="12">
        <f>AP225</f>
        <v>5616.221</v>
      </c>
      <c r="AQ219" s="12">
        <f>AP219</f>
        <v>5616.221</v>
      </c>
      <c r="AR219" s="12">
        <f>AR225</f>
        <v>5616.221</v>
      </c>
      <c r="AS219" s="12">
        <f>AS225</f>
        <v>5616.221</v>
      </c>
      <c r="AT219" s="12">
        <f>AT225</f>
        <v>5616.221</v>
      </c>
      <c r="AU219" s="12">
        <f>AU225</f>
        <v>5616.221</v>
      </c>
      <c r="AV219" s="12">
        <f>AU219</f>
        <v>5616.221</v>
      </c>
      <c r="AW219" s="12">
        <f>AW225</f>
        <v>5616.221</v>
      </c>
      <c r="AX219" s="12">
        <f>AX225</f>
        <v>5616.221</v>
      </c>
      <c r="AY219" s="12">
        <f>AY225</f>
        <v>5616.221</v>
      </c>
      <c r="AZ219" s="12">
        <f>AZ225</f>
        <v>5616.221</v>
      </c>
      <c r="BA219" s="12">
        <f>AZ219</f>
        <v>5616.221</v>
      </c>
      <c r="BB219" s="12">
        <f>BB225</f>
        <v>5616.221</v>
      </c>
      <c r="BC219" s="12">
        <f>BC225</f>
        <v>5616.221</v>
      </c>
      <c r="BD219" s="12">
        <f>BD225</f>
        <v>5616.221</v>
      </c>
      <c r="BE219" s="12">
        <f>BE225</f>
        <v>5616.221</v>
      </c>
      <c r="BF219" s="12">
        <f>BE219</f>
        <v>5616.221</v>
      </c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Current portion of LTD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>
        <f>AF214</f>
        <v>859.151</v>
      </c>
      <c r="AI221" s="62" t="n"/>
      <c r="AJ221" s="62" t="n"/>
      <c r="AK221" s="62" t="n"/>
      <c r="AL221" s="12" t="n"/>
      <c r="AM221" s="12">
        <f>AK214</f>
        <v>1108.125</v>
      </c>
      <c r="AN221" s="62" t="n"/>
      <c r="AO221" s="62" t="n"/>
      <c r="AP221" s="62" t="n"/>
      <c r="AQ221" s="12" t="n"/>
      <c r="AR221" s="12">
        <f>AP214</f>
        <v>1108.125</v>
      </c>
      <c r="AS221" s="62" t="n"/>
      <c r="AT221" s="62" t="n"/>
      <c r="AU221" s="62" t="n"/>
      <c r="AV221" s="12" t="n"/>
      <c r="AW221" s="12">
        <f>AU214</f>
        <v>1108.125</v>
      </c>
      <c r="AX221" s="62" t="n"/>
      <c r="AY221" s="62" t="n"/>
      <c r="AZ221" s="62" t="n"/>
      <c r="BA221" s="12" t="n"/>
      <c r="BB221" s="12">
        <f>AZ214</f>
        <v>1108.125</v>
      </c>
      <c r="BC221" s="62" t="n"/>
      <c r="BD221" s="62" t="n"/>
      <c r="BE221" s="62" t="n"/>
      <c r="BF221" s="12" t="n"/>
      <c r="BG221" s="12" t="n"/>
      <c r="BH221" s="62" t="n"/>
      <c r="BI221" s="62" t="n"/>
      <c r="BJ221" s="62" t="n"/>
      <c r="BK221" s="12" t="n"/>
      <c r="BL221" s="12" t="n"/>
      <c r="BM221" s="62" t="n"/>
      <c r="BN221" s="62" t="n"/>
      <c r="BO221" s="62" t="n"/>
      <c r="BP221" s="12" t="n"/>
      <c r="BQ221" s="12" t="n"/>
      <c r="BR221" s="62" t="n"/>
      <c r="BS221" s="62" t="n"/>
      <c r="BT221" s="62" t="n"/>
      <c r="BU221" s="12" t="n"/>
      <c r="BV221" s="12" t="n"/>
      <c r="BW221" s="62" t="n"/>
      <c r="BX221" s="62" t="n"/>
      <c r="BY221" s="62" t="n"/>
      <c r="BZ221" s="12" t="n"/>
      <c r="CA221" s="12" t="n"/>
      <c r="CB221" s="62" t="n"/>
      <c r="CC221" s="62" t="n"/>
      <c r="CD221" s="62" t="n"/>
      <c r="CE221" s="12" t="n"/>
      <c r="CF221" s="12" t="n"/>
      <c r="CG221" s="62" t="n"/>
      <c r="CH221" s="62" t="n"/>
      <c r="CI221" s="62" t="n"/>
      <c r="CJ221" s="12" t="n"/>
      <c r="CK221" s="12" t="n"/>
      <c r="CL221" s="62" t="n"/>
      <c r="CM221" s="62" t="n"/>
      <c r="CN221" s="62" t="n"/>
      <c r="CO221" s="12" t="n"/>
      <c r="CP221" s="12" t="n"/>
      <c r="CQ221" s="62" t="n"/>
      <c r="CR221" s="62" t="n"/>
      <c r="CS221" s="62" t="n"/>
      <c r="CT221" s="12" t="n"/>
      <c r="CU221" s="12" t="n"/>
      <c r="CV221" s="62" t="n"/>
      <c r="CW221" s="62" t="n"/>
      <c r="CX221" s="62" t="n"/>
      <c r="CY221" s="12" t="n"/>
    </row>
    <row r="222" hidden="1" outlineLevel="1">
      <c r="C222" s="57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inlineStr">
        <is>
          <t>Reclassification of LTD to CP of LTD</t>
        </is>
      </c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>
        <f>-AI221</f>
        <v>0</v>
      </c>
      <c r="AJ223" s="12">
        <f>-AJ221</f>
        <v>0</v>
      </c>
      <c r="AK223" s="12">
        <f>-AK221</f>
        <v>0</v>
      </c>
      <c r="AL223" s="12" t="n"/>
      <c r="AM223" s="12" t="n"/>
      <c r="AN223" s="12">
        <f>-AN221</f>
        <v>0</v>
      </c>
      <c r="AO223" s="12">
        <f>-AO221</f>
        <v>0</v>
      </c>
      <c r="AP223" s="12">
        <f>-AP221</f>
        <v>0</v>
      </c>
      <c r="AQ223" s="12" t="n"/>
      <c r="AR223" s="12" t="n"/>
      <c r="AS223" s="12">
        <f>-AS221</f>
        <v>0</v>
      </c>
      <c r="AT223" s="12">
        <f>-AT221</f>
        <v>0</v>
      </c>
      <c r="AU223" s="12">
        <f>-AU221</f>
        <v>0</v>
      </c>
      <c r="AV223" s="12" t="n"/>
      <c r="AW223" s="12" t="n"/>
      <c r="AX223" s="12">
        <f>-AX221</f>
        <v>0</v>
      </c>
      <c r="AY223" s="12">
        <f>-AY221</f>
        <v>0</v>
      </c>
      <c r="AZ223" s="12">
        <f>-AZ221</f>
        <v>0</v>
      </c>
      <c r="BA223" s="12" t="n"/>
      <c r="BB223" s="12" t="n"/>
      <c r="BC223" s="12">
        <f>-BC221</f>
        <v>0</v>
      </c>
      <c r="BD223" s="12">
        <f>-BD221</f>
        <v>0</v>
      </c>
      <c r="BE223" s="12">
        <f>-BE221</f>
        <v>0</v>
      </c>
      <c r="BF223" s="12" t="n"/>
      <c r="BG223" s="12" t="n"/>
      <c r="BH223" s="12" t="n"/>
      <c r="BI223" s="12" t="n"/>
      <c r="BJ223" s="12" t="n"/>
      <c r="BK223" s="12" t="n"/>
      <c r="BL223" s="12" t="n"/>
      <c r="BM223" s="12" t="n"/>
      <c r="BN223" s="12" t="n"/>
      <c r="BO223" s="12" t="n"/>
      <c r="BP223" s="12" t="n"/>
      <c r="BQ223" s="12" t="n"/>
      <c r="BR223" s="12" t="n"/>
      <c r="BS223" s="12" t="n"/>
      <c r="BT223" s="12" t="n"/>
      <c r="BU223" s="12" t="n"/>
      <c r="BV223" s="12" t="n"/>
      <c r="BW223" s="12" t="n"/>
      <c r="BX223" s="12" t="n"/>
      <c r="BY223" s="12" t="n"/>
      <c r="BZ223" s="12" t="n"/>
      <c r="CA223" s="12" t="n"/>
      <c r="CB223" s="12" t="n"/>
      <c r="CC223" s="12" t="n"/>
      <c r="CD223" s="12" t="n"/>
      <c r="CE223" s="12" t="n"/>
      <c r="CF223" s="12" t="n"/>
      <c r="CG223" s="12" t="n"/>
      <c r="CH223" s="12" t="n"/>
      <c r="CI223" s="12" t="n"/>
      <c r="CJ223" s="12" t="n"/>
      <c r="CK223" s="12" t="n"/>
      <c r="CL223" s="12" t="n"/>
      <c r="CM223" s="12" t="n"/>
      <c r="CN223" s="12" t="n"/>
      <c r="CO223" s="12" t="n"/>
      <c r="CP223" s="12" t="n"/>
      <c r="CQ223" s="12" t="n"/>
      <c r="CR223" s="12" t="n"/>
      <c r="CS223" s="12" t="n"/>
      <c r="CT223" s="12" t="n"/>
      <c r="CU223" s="12" t="n"/>
      <c r="CV223" s="12" t="n"/>
      <c r="CW223" s="12" t="n"/>
      <c r="CX223" s="12" t="n"/>
      <c r="CY223" s="12" t="n"/>
    </row>
    <row r="224" hidden="1" outlineLevel="1">
      <c r="C224" s="57" t="inlineStr">
        <is>
          <t>Discretionary (paydown)/borrowing of long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62" t="n"/>
      <c r="AI224" s="62" t="n"/>
      <c r="AJ224" s="62" t="n"/>
      <c r="AK224" s="62" t="n"/>
      <c r="AL224" s="12" t="n"/>
      <c r="AM224" s="62" t="n"/>
      <c r="AN224" s="62" t="n"/>
      <c r="AO224" s="62" t="n"/>
      <c r="AP224" s="62" t="n"/>
      <c r="AQ224" s="12" t="n"/>
      <c r="AR224" s="62" t="n"/>
      <c r="AS224" s="62" t="n"/>
      <c r="AT224" s="62" t="n"/>
      <c r="AU224" s="62" t="n"/>
      <c r="AV224" s="12" t="n"/>
      <c r="AW224" s="62" t="n"/>
      <c r="AX224" s="62" t="n"/>
      <c r="AY224" s="62" t="n"/>
      <c r="AZ224" s="62" t="n"/>
      <c r="BA224" s="12" t="n"/>
      <c r="BB224" s="62" t="n"/>
      <c r="BC224" s="62" t="n"/>
      <c r="BD224" s="62" t="n"/>
      <c r="BE224" s="62" t="n"/>
      <c r="BF224" s="12" t="n"/>
      <c r="BG224" s="62" t="n"/>
      <c r="BH224" s="62" t="n"/>
      <c r="BI224" s="62" t="n"/>
      <c r="BJ224" s="62" t="n"/>
      <c r="BK224" s="12" t="n"/>
      <c r="BL224" s="62" t="n"/>
      <c r="BM224" s="62" t="n"/>
      <c r="BN224" s="62" t="n"/>
      <c r="BO224" s="62" t="n"/>
      <c r="BP224" s="12" t="n"/>
      <c r="BQ224" s="62" t="n"/>
      <c r="BR224" s="62" t="n"/>
      <c r="BS224" s="62" t="n"/>
      <c r="BT224" s="62" t="n"/>
      <c r="BU224" s="12" t="n"/>
      <c r="BV224" s="62" t="n"/>
      <c r="BW224" s="62" t="n"/>
      <c r="BX224" s="62" t="n"/>
      <c r="BY224" s="62" t="n"/>
      <c r="BZ224" s="12" t="n"/>
      <c r="CA224" s="62" t="n"/>
      <c r="CB224" s="62" t="n"/>
      <c r="CC224" s="62" t="n"/>
      <c r="CD224" s="62" t="n"/>
      <c r="CE224" s="12" t="n"/>
      <c r="CF224" s="62" t="n"/>
      <c r="CG224" s="62" t="n"/>
      <c r="CH224" s="62" t="n"/>
      <c r="CI224" s="62" t="n"/>
      <c r="CJ224" s="12" t="n"/>
      <c r="CK224" s="62" t="n"/>
      <c r="CL224" s="62" t="n"/>
      <c r="CM224" s="62" t="n"/>
      <c r="CN224" s="62" t="n"/>
      <c r="CO224" s="12" t="n"/>
      <c r="CP224" s="62" t="n"/>
      <c r="CQ224" s="62" t="n"/>
      <c r="CR224" s="62" t="n"/>
      <c r="CS224" s="62" t="n"/>
      <c r="CT224" s="12" t="n"/>
      <c r="CU224" s="62" t="n"/>
      <c r="CV224" s="62" t="n"/>
      <c r="CW224" s="62" t="n"/>
      <c r="CX224" s="62" t="n"/>
      <c r="CY224" s="12" t="n"/>
    </row>
    <row r="225" hidden="1" outlineLevel="1">
      <c r="C225" s="57" t="inlineStr">
        <is>
          <t>Long term debt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>
        <f>AH219</f>
        <v>5508.356</v>
      </c>
      <c r="AI225" s="12">
        <f>AI219</f>
        <v>5616.221</v>
      </c>
      <c r="AJ225" s="12">
        <f>AI225+SUM(AJ223:AJ224)</f>
        <v>5616.221</v>
      </c>
      <c r="AK225" s="12">
        <f>AJ225+SUM(AK223:AK224)</f>
        <v>5616.221</v>
      </c>
      <c r="AL225" s="12" t="n"/>
      <c r="AM225" s="12">
        <f>AK225+SUM(AM223:AM224)</f>
        <v>5616.221</v>
      </c>
      <c r="AN225" s="12">
        <f>AM225+SUM(AN223:AN224)</f>
        <v>5616.221</v>
      </c>
      <c r="AO225" s="12">
        <f>AN225+SUM(AO223:AO224)</f>
        <v>5616.221</v>
      </c>
      <c r="AP225" s="12">
        <f>AO225+SUM(AP223:AP224)</f>
        <v>5616.221</v>
      </c>
      <c r="AQ225" s="12" t="n"/>
      <c r="AR225" s="12">
        <f>AP225+SUM(AR223:AR224)</f>
        <v>5616.221</v>
      </c>
      <c r="AS225" s="12">
        <f>AR225+SUM(AS223:AS224)</f>
        <v>5616.221</v>
      </c>
      <c r="AT225" s="12">
        <f>AS225+SUM(AT223:AT224)</f>
        <v>5616.221</v>
      </c>
      <c r="AU225" s="12">
        <f>AT225+SUM(AU223:AU224)</f>
        <v>5616.221</v>
      </c>
      <c r="AV225" s="12" t="n"/>
      <c r="AW225" s="12">
        <f>AU225+SUM(AW223:AW224)</f>
        <v>5616.221</v>
      </c>
      <c r="AX225" s="12">
        <f>AW225+SUM(AX223:AX224)</f>
        <v>5616.221</v>
      </c>
      <c r="AY225" s="12">
        <f>AX225+SUM(AY223:AY224)</f>
        <v>5616.221</v>
      </c>
      <c r="AZ225" s="12">
        <f>AY225+SUM(AZ223:AZ224)</f>
        <v>5616.221</v>
      </c>
      <c r="BA225" s="12" t="n"/>
      <c r="BB225" s="12">
        <f>AZ225+SUM(BB223:BB224)</f>
        <v>5616.221</v>
      </c>
      <c r="BC225" s="12">
        <f>BB225+SUM(BC223:BC224)</f>
        <v>5616.221</v>
      </c>
      <c r="BD225" s="12">
        <f>BC225+SUM(BD223:BD224)</f>
        <v>5616.221</v>
      </c>
      <c r="BE225" s="12">
        <f>BD225+SUM(BE223:BE224)</f>
        <v>5616.221</v>
      </c>
      <c r="BF225" s="12" t="n"/>
      <c r="BG225" s="12" t="n"/>
      <c r="BH225" s="12" t="n"/>
      <c r="BI225" s="12" t="n"/>
      <c r="BJ225" s="12" t="n"/>
      <c r="BK225" s="12" t="n"/>
      <c r="BL225" s="12" t="n"/>
      <c r="BM225" s="12" t="n"/>
      <c r="BN225" s="12" t="n"/>
      <c r="BO225" s="12" t="n"/>
      <c r="BP225" s="12" t="n"/>
      <c r="BQ225" s="12" t="n"/>
      <c r="BR225" s="12" t="n"/>
      <c r="BS225" s="12" t="n"/>
      <c r="BT225" s="12" t="n"/>
      <c r="BU225" s="12" t="n"/>
      <c r="BV225" s="12" t="n"/>
      <c r="BW225" s="12" t="n"/>
      <c r="BX225" s="12" t="n"/>
      <c r="BY225" s="12" t="n"/>
      <c r="BZ225" s="12" t="n"/>
      <c r="CA225" s="12" t="n"/>
      <c r="CB225" s="12" t="n"/>
      <c r="CC225" s="12" t="n"/>
      <c r="CD225" s="12" t="n"/>
      <c r="CE225" s="12" t="n"/>
      <c r="CF225" s="12" t="n"/>
      <c r="CG225" s="12" t="n"/>
      <c r="CH225" s="12" t="n"/>
      <c r="CI225" s="12" t="n"/>
      <c r="CJ225" s="12" t="n"/>
      <c r="CK225" s="12" t="n"/>
      <c r="CL225" s="12" t="n"/>
      <c r="CM225" s="12" t="n"/>
      <c r="CN225" s="12" t="n"/>
      <c r="CO225" s="12" t="n"/>
      <c r="CP225" s="12" t="n"/>
      <c r="CQ225" s="12" t="n"/>
      <c r="CR225" s="12" t="n"/>
      <c r="CS225" s="12" t="n"/>
      <c r="CT225" s="12" t="n"/>
      <c r="CU225" s="12" t="n"/>
      <c r="CV225" s="12" t="n"/>
      <c r="CW225" s="12" t="n"/>
      <c r="CX225" s="12" t="n"/>
      <c r="CY225" s="12" t="n"/>
    </row>
    <row r="226" hidden="1" outlineLevel="1">
      <c r="C226" s="57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  <c r="BN226" s="12" t="n"/>
      <c r="BO226" s="12" t="n"/>
      <c r="BP226" s="12" t="n"/>
      <c r="BQ226" s="12" t="n"/>
      <c r="BR226" s="12" t="n"/>
      <c r="BS226" s="12" t="n"/>
      <c r="BT226" s="12" t="n"/>
      <c r="BU226" s="12" t="n"/>
      <c r="BV226" s="12" t="n"/>
      <c r="BW226" s="12" t="n"/>
      <c r="BX226" s="12" t="n"/>
      <c r="BY226" s="12" t="n"/>
      <c r="BZ226" s="12" t="n"/>
      <c r="CA226" s="12" t="n"/>
      <c r="CB226" s="12" t="n"/>
      <c r="CC226" s="12" t="n"/>
      <c r="CD226" s="12" t="n"/>
      <c r="CE226" s="12" t="n"/>
      <c r="CF226" s="12" t="n"/>
      <c r="CG226" s="12" t="n"/>
      <c r="CH226" s="12" t="n"/>
      <c r="CI226" s="12" t="n"/>
      <c r="CJ226" s="12" t="n"/>
      <c r="CK226" s="12" t="n"/>
      <c r="CL226" s="12" t="n"/>
      <c r="CM226" s="12" t="n"/>
      <c r="CN226" s="12" t="n"/>
      <c r="CO226" s="12" t="n"/>
      <c r="CP226" s="12" t="n"/>
      <c r="CQ226" s="12" t="n"/>
      <c r="CR226" s="12" t="n"/>
      <c r="CS226" s="12" t="n"/>
      <c r="CT226" s="12" t="n"/>
      <c r="CU226" s="12" t="n"/>
      <c r="CV226" s="12" t="n"/>
      <c r="CW226" s="12" t="n"/>
      <c r="CX226" s="12" t="n"/>
      <c r="CY226" s="12" t="n"/>
    </row>
    <row r="227" hidden="1" outlineLevel="1">
      <c r="C227" s="57" t="inlineStr">
        <is>
          <t>Discretionary (paydown)/borrowing of convertible debt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62" t="n"/>
      <c r="AI227" s="62" t="n"/>
      <c r="AJ227" s="62" t="n"/>
      <c r="AK227" s="62" t="n"/>
      <c r="AL227" s="12" t="n"/>
      <c r="AM227" s="62" t="n"/>
      <c r="AN227" s="62" t="n"/>
      <c r="AO227" s="62" t="n"/>
      <c r="AP227" s="62" t="n"/>
      <c r="AQ227" s="12" t="n"/>
      <c r="AR227" s="62" t="n"/>
      <c r="AS227" s="62" t="n"/>
      <c r="AT227" s="62" t="n"/>
      <c r="AU227" s="62" t="n"/>
      <c r="AV227" s="12" t="n"/>
      <c r="AW227" s="62" t="n"/>
      <c r="AX227" s="62" t="n"/>
      <c r="AY227" s="62" t="n"/>
      <c r="AZ227" s="62" t="n"/>
      <c r="BA227" s="12" t="n"/>
      <c r="BB227" s="62" t="n"/>
      <c r="BC227" s="62" t="n"/>
      <c r="BD227" s="62" t="n"/>
      <c r="BE227" s="62" t="n"/>
      <c r="BF227" s="12" t="n"/>
      <c r="BG227" s="62" t="n"/>
      <c r="BH227" s="62" t="n"/>
      <c r="BI227" s="62" t="n"/>
      <c r="BJ227" s="62" t="n"/>
      <c r="BK227" s="12" t="n"/>
      <c r="BL227" s="62" t="n"/>
      <c r="BM227" s="62" t="n"/>
      <c r="BN227" s="62" t="n"/>
      <c r="BO227" s="62" t="n"/>
      <c r="BP227" s="12" t="n"/>
      <c r="BQ227" s="62" t="n"/>
      <c r="BR227" s="62" t="n"/>
      <c r="BS227" s="62" t="n"/>
      <c r="BT227" s="62" t="n"/>
      <c r="BU227" s="12" t="n"/>
      <c r="BV227" s="62" t="n"/>
      <c r="BW227" s="62" t="n"/>
      <c r="BX227" s="62" t="n"/>
      <c r="BY227" s="62" t="n"/>
      <c r="BZ227" s="12" t="n"/>
      <c r="CA227" s="62" t="n"/>
      <c r="CB227" s="62" t="n"/>
      <c r="CC227" s="62" t="n"/>
      <c r="CD227" s="62" t="n"/>
      <c r="CE227" s="12" t="n"/>
      <c r="CF227" s="62" t="n"/>
      <c r="CG227" s="62" t="n"/>
      <c r="CH227" s="62" t="n"/>
      <c r="CI227" s="62" t="n"/>
      <c r="CJ227" s="12" t="n"/>
      <c r="CK227" s="62" t="n"/>
      <c r="CL227" s="62" t="n"/>
      <c r="CM227" s="62" t="n"/>
      <c r="CN227" s="62" t="n"/>
      <c r="CO227" s="12" t="n"/>
      <c r="CP227" s="62" t="n"/>
      <c r="CQ227" s="62" t="n"/>
      <c r="CR227" s="62" t="n"/>
      <c r="CS227" s="62" t="n"/>
      <c r="CT227" s="12" t="n"/>
      <c r="CU227" s="62" t="n"/>
      <c r="CV227" s="62" t="n"/>
      <c r="CW227" s="62" t="n"/>
      <c r="CX227" s="62" t="n"/>
      <c r="CY227" s="12" t="n"/>
    </row>
    <row r="228" hidden="1" outlineLevel="1">
      <c r="C228" s="57" t="inlineStr">
        <is>
          <t>Convertible debt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>
        <f>AH240</f>
        <v>0</v>
      </c>
      <c r="AI228" s="12">
        <f>AH228+SUM(AI227)</f>
        <v>0</v>
      </c>
      <c r="AJ228" s="12">
        <f>AI228+SUM(AJ227)</f>
        <v>0</v>
      </c>
      <c r="AK228" s="12">
        <f>AJ228+SUM(AK227)</f>
        <v>0</v>
      </c>
      <c r="AL228" s="12" t="n"/>
      <c r="AM228" s="12">
        <f>AM240</f>
        <v>0</v>
      </c>
      <c r="AN228" s="12">
        <f>AM228+SUM(AN227)</f>
        <v>0</v>
      </c>
      <c r="AO228" s="12">
        <f>AN228+SUM(AO227)</f>
        <v>0</v>
      </c>
      <c r="AP228" s="12">
        <f>AO228+SUM(AP227)</f>
        <v>0</v>
      </c>
      <c r="AQ228" s="12" t="n"/>
      <c r="AR228" s="12">
        <f>AR240</f>
        <v>0</v>
      </c>
      <c r="AS228" s="12">
        <f>AR228+SUM(AS227)</f>
        <v>0</v>
      </c>
      <c r="AT228" s="12">
        <f>AS228+SUM(AT227)</f>
        <v>0</v>
      </c>
      <c r="AU228" s="12">
        <f>AT228+SUM(AU227)</f>
        <v>0</v>
      </c>
      <c r="AV228" s="12" t="n"/>
      <c r="AW228" s="12">
        <f>AW240</f>
        <v>0</v>
      </c>
      <c r="AX228" s="12">
        <f>AW228+SUM(AX227)</f>
        <v>0</v>
      </c>
      <c r="AY228" s="12">
        <f>AX228+SUM(AY227)</f>
        <v>0</v>
      </c>
      <c r="AZ228" s="12">
        <f>AY228+SUM(AZ227)</f>
        <v>0</v>
      </c>
      <c r="BA228" s="12" t="n"/>
      <c r="BB228" s="12">
        <f>BB240</f>
        <v>0</v>
      </c>
      <c r="BC228" s="12">
        <f>BB228+SUM(BC227)</f>
        <v>0</v>
      </c>
      <c r="BD228" s="12">
        <f>BC228+SUM(BD227)</f>
        <v>0</v>
      </c>
      <c r="BE228" s="12">
        <f>BD228+SUM(BE227)</f>
        <v>0</v>
      </c>
      <c r="BF228" s="12" t="n"/>
      <c r="BG228" s="12" t="n"/>
      <c r="BH228" s="12" t="n"/>
      <c r="BI228" s="12" t="n"/>
      <c r="BJ228" s="12" t="n"/>
      <c r="BK228" s="12" t="n"/>
      <c r="BL228" s="12" t="n"/>
      <c r="BM228" s="12" t="n"/>
      <c r="BN228" s="12" t="n"/>
      <c r="BO228" s="12" t="n"/>
      <c r="BP228" s="12" t="n"/>
      <c r="BQ228" s="12" t="n"/>
      <c r="BR228" s="12" t="n"/>
      <c r="BS228" s="12" t="n"/>
      <c r="BT228" s="12" t="n"/>
      <c r="BU228" s="12" t="n"/>
      <c r="BV228" s="12" t="n"/>
      <c r="BW228" s="12" t="n"/>
      <c r="BX228" s="12" t="n"/>
      <c r="BY228" s="12" t="n"/>
      <c r="BZ228" s="12" t="n"/>
      <c r="CA228" s="12" t="n"/>
      <c r="CB228" s="12" t="n"/>
      <c r="CC228" s="12" t="n"/>
      <c r="CD228" s="12" t="n"/>
      <c r="CE228" s="12" t="n"/>
      <c r="CF228" s="12" t="n"/>
      <c r="CG228" s="12" t="n"/>
      <c r="CH228" s="12" t="n"/>
      <c r="CI228" s="12" t="n"/>
      <c r="CJ228" s="12" t="n"/>
      <c r="CK228" s="12" t="n"/>
      <c r="CL228" s="12" t="n"/>
      <c r="CM228" s="12" t="n"/>
      <c r="CN228" s="12" t="n"/>
      <c r="CO228" s="12" t="n"/>
      <c r="CP228" s="12" t="n"/>
      <c r="CQ228" s="12" t="n"/>
      <c r="CR228" s="12" t="n"/>
      <c r="CS228" s="12" t="n"/>
      <c r="CT228" s="12" t="n"/>
      <c r="CU228" s="12" t="n"/>
      <c r="CV228" s="12" t="n"/>
      <c r="CW228" s="12" t="n"/>
      <c r="CX228" s="12" t="n"/>
      <c r="CY228" s="12" t="n"/>
    </row>
    <row r="229" hidden="1" outlineLevel="1">
      <c r="C229" s="57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I229" s="12" t="n"/>
      <c r="AJ229" s="12" t="n"/>
      <c r="AK229" s="12" t="n"/>
      <c r="AL229" s="12" t="n"/>
      <c r="AN229" s="12" t="n"/>
      <c r="AO229" s="12" t="n"/>
      <c r="AP229" s="12" t="n"/>
      <c r="AQ229" s="12" t="n"/>
      <c r="AS229" s="12" t="n"/>
      <c r="AT229" s="12" t="n"/>
      <c r="AU229" s="12" t="n"/>
      <c r="AV229" s="12" t="n"/>
      <c r="AX229" s="12" t="n"/>
      <c r="AY229" s="12" t="n"/>
      <c r="AZ229" s="12" t="n"/>
      <c r="BA229" s="12" t="n"/>
      <c r="BC229" s="12" t="n"/>
      <c r="BD229" s="12" t="n"/>
      <c r="BE229" s="12" t="n"/>
      <c r="BF229" s="12" t="n"/>
      <c r="BH229" s="12" t="n"/>
      <c r="BI229" s="12" t="n"/>
      <c r="BJ229" s="12" t="n"/>
      <c r="BK229" s="12" t="n"/>
      <c r="BM229" s="12" t="n"/>
      <c r="BN229" s="12" t="n"/>
      <c r="BO229" s="12" t="n"/>
      <c r="BP229" s="12" t="n"/>
      <c r="BR229" s="12" t="n"/>
      <c r="BS229" s="12" t="n"/>
      <c r="BT229" s="12" t="n"/>
      <c r="BU229" s="12" t="n"/>
      <c r="BW229" s="12" t="n"/>
      <c r="BX229" s="12" t="n"/>
      <c r="BY229" s="12" t="n"/>
      <c r="BZ229" s="12" t="n"/>
      <c r="CB229" s="12" t="n"/>
      <c r="CC229" s="12" t="n"/>
      <c r="CD229" s="12" t="n"/>
      <c r="CE229" s="12" t="n"/>
      <c r="CG229" s="12" t="n"/>
      <c r="CH229" s="12" t="n"/>
      <c r="CI229" s="12" t="n"/>
      <c r="CJ229" s="12" t="n"/>
      <c r="CL229" s="12" t="n"/>
      <c r="CM229" s="12" t="n"/>
      <c r="CN229" s="12" t="n"/>
      <c r="CO229" s="12" t="n"/>
      <c r="CQ229" s="12" t="n"/>
      <c r="CR229" s="12" t="n"/>
      <c r="CS229" s="12" t="n"/>
      <c r="CT229" s="12" t="n"/>
      <c r="CV229" s="12" t="n"/>
      <c r="CW229" s="12" t="n"/>
      <c r="CX229" s="12" t="n"/>
      <c r="CY229" s="12" t="n"/>
    </row>
    <row r="230" hidden="1" outlineLevel="1">
      <c r="C230" s="57" t="inlineStr">
        <is>
          <t>Calculation of short term debt</t>
        </is>
      </c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hidden="1" outlineLevel="1">
      <c r="C231" s="57" t="inlineStr">
        <is>
          <t>Cash @ beginning of the period (end of last period)</t>
        </is>
      </c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63">
        <f>AG146</f>
        <v>5608.131</v>
      </c>
      <c r="AI231" s="12" t="n"/>
      <c r="AJ231" s="12" t="n"/>
      <c r="AK231" s="12" t="n"/>
      <c r="AL231" s="12" t="n"/>
      <c r="AM231" s="63">
        <f>AL146</f>
        <v>6085.18191188795</v>
      </c>
      <c r="AN231" s="12" t="n"/>
      <c r="AO231" s="12" t="n"/>
      <c r="AP231" s="12" t="n"/>
      <c r="AQ231" s="12" t="n"/>
      <c r="AR231" s="63">
        <f>AQ146</f>
        <v>9148.6395968265</v>
      </c>
      <c r="AS231" s="12" t="n"/>
      <c r="AT231" s="12" t="n"/>
      <c r="AU231" s="12" t="n"/>
      <c r="AV231" s="12" t="n"/>
      <c r="AW231" s="63">
        <f>AV146</f>
        <v>12411.9409989224</v>
      </c>
      <c r="AX231" s="12" t="n"/>
      <c r="AY231" s="12" t="n"/>
      <c r="AZ231" s="12" t="n"/>
      <c r="BA231" s="12" t="n"/>
      <c r="BB231" s="63">
        <f>BA146</f>
        <v>15871.1913130524</v>
      </c>
      <c r="BC231" s="12" t="n"/>
      <c r="BD231" s="12" t="n"/>
      <c r="BE231" s="12" t="n"/>
      <c r="BF231" s="12" t="n"/>
      <c r="BG231" s="63" t="n"/>
      <c r="BH231" s="12" t="n"/>
      <c r="BI231" s="12" t="n"/>
      <c r="BJ231" s="12" t="n"/>
      <c r="BK231" s="12" t="n"/>
      <c r="BL231" s="63" t="n"/>
      <c r="BM231" s="12" t="n"/>
      <c r="BN231" s="12" t="n"/>
      <c r="BO231" s="12" t="n"/>
      <c r="BP231" s="12" t="n"/>
      <c r="BQ231" s="63" t="n"/>
      <c r="BR231" s="12" t="n"/>
      <c r="BS231" s="12" t="n"/>
      <c r="BT231" s="12" t="n"/>
      <c r="BU231" s="12" t="n"/>
      <c r="BV231" s="63" t="n"/>
      <c r="BW231" s="12" t="n"/>
      <c r="BX231" s="12" t="n"/>
      <c r="BY231" s="12" t="n"/>
      <c r="BZ231" s="12" t="n"/>
      <c r="CA231" s="63" t="n"/>
      <c r="CB231" s="12" t="n"/>
      <c r="CC231" s="12" t="n"/>
      <c r="CD231" s="12" t="n"/>
      <c r="CE231" s="12" t="n"/>
      <c r="CF231" s="63" t="n"/>
      <c r="CG231" s="12" t="n"/>
      <c r="CH231" s="12" t="n"/>
      <c r="CI231" s="12" t="n"/>
      <c r="CJ231" s="12" t="n"/>
      <c r="CK231" s="63" t="n"/>
      <c r="CL231" s="12" t="n"/>
      <c r="CM231" s="12" t="n"/>
      <c r="CN231" s="12" t="n"/>
      <c r="CO231" s="12" t="n"/>
      <c r="CP231" s="63" t="n"/>
      <c r="CQ231" s="12" t="n"/>
      <c r="CR231" s="12" t="n"/>
      <c r="CS231" s="12" t="n"/>
      <c r="CT231" s="12" t="n"/>
      <c r="CU231" s="63" t="n"/>
      <c r="CV231" s="12" t="n"/>
      <c r="CW231" s="12" t="n"/>
      <c r="CX231" s="12" t="n"/>
      <c r="CY231" s="12" t="n"/>
    </row>
    <row r="232" hidden="1" outlineLevel="1">
      <c r="C232" s="57" t="inlineStr">
        <is>
          <t>Plus: Free cash flows prior to debt during period</t>
        </is>
      </c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inlineStr">
        <is>
          <t>% of sales</t>
        </is>
      </c>
      <c r="AH232" s="64">
        <f>(AH294+AH301)+SUM(AH304:AH310)</f>
        <v>-410.208999999999</v>
      </c>
      <c r="AI232" s="64">
        <f>(AI294+AI301)+SUM(AI304:AI310)</f>
        <v>2915.677</v>
      </c>
      <c r="AJ232" s="64">
        <f>(AJ294+AJ301)+SUM(AJ304:AJ310)</f>
        <v>0</v>
      </c>
      <c r="AK232" s="64">
        <f>(AK294+AK301)+SUM(AK304:AK310)</f>
        <v>0</v>
      </c>
      <c r="AL232" s="12" t="n"/>
      <c r="AM232" s="64">
        <f>(AM294+AM301)+SUM(AM304:AM310)</f>
        <v>0</v>
      </c>
      <c r="AN232" s="64">
        <f>(AN294+AN301)+SUM(AN304:AN310)</f>
        <v>0</v>
      </c>
      <c r="AO232" s="64">
        <f>(AO294+AO301)+SUM(AO304:AO310)</f>
        <v>0</v>
      </c>
      <c r="AP232" s="64">
        <f>(AP294+AP301)+SUM(AP304:AP310)</f>
        <v>0</v>
      </c>
      <c r="AQ232" s="12" t="n"/>
      <c r="AR232" s="64">
        <f>(AR294+AR301)+SUM(AR304:AR310)</f>
        <v>0</v>
      </c>
      <c r="AS232" s="64">
        <f>(AS294+AS301)+SUM(AS304:AS310)</f>
        <v>0</v>
      </c>
      <c r="AT232" s="64">
        <f>(AT294+AT301)+SUM(AT304:AT310)</f>
        <v>0</v>
      </c>
      <c r="AU232" s="64">
        <f>(AU294+AU301)+SUM(AU304:AU310)</f>
        <v>0</v>
      </c>
      <c r="AV232" s="12" t="n"/>
      <c r="AW232" s="64">
        <f>(AW294+AW301)+SUM(AW304:AW310)</f>
        <v>0</v>
      </c>
      <c r="AX232" s="64">
        <f>(AX294+AX301)+SUM(AX304:AX310)</f>
        <v>0</v>
      </c>
      <c r="AY232" s="64">
        <f>(AY294+AY301)+SUM(AY304:AY310)</f>
        <v>0</v>
      </c>
      <c r="AZ232" s="64">
        <f>(AZ294+AZ301)+SUM(AZ304:AZ310)</f>
        <v>0</v>
      </c>
      <c r="BA232" s="12" t="n"/>
      <c r="BB232" s="64">
        <f>(BB294+BB301)+SUM(BB304:BB310)</f>
        <v>0</v>
      </c>
      <c r="BC232" s="64">
        <f>(BC294+BC301)+SUM(BC304:BC310)</f>
        <v>0</v>
      </c>
      <c r="BD232" s="64">
        <f>(BD294+BD301)+SUM(BD304:BD310)</f>
        <v>0</v>
      </c>
      <c r="BE232" s="64">
        <f>(BE294+BE301)+SUM(BE304:BE310)</f>
        <v>0</v>
      </c>
      <c r="BF232" s="12" t="n"/>
      <c r="BG232" s="64" t="n"/>
      <c r="BH232" s="64" t="n"/>
      <c r="BI232" s="64" t="n"/>
      <c r="BJ232" s="64" t="n"/>
      <c r="BK232" s="12" t="n"/>
      <c r="BL232" s="64" t="n"/>
      <c r="BM232" s="64" t="n"/>
      <c r="BN232" s="64" t="n"/>
      <c r="BO232" s="64" t="n"/>
      <c r="BP232" s="12" t="n"/>
      <c r="BQ232" s="64" t="n"/>
      <c r="BR232" s="64" t="n"/>
      <c r="BS232" s="64" t="n"/>
      <c r="BT232" s="64" t="n"/>
      <c r="BU232" s="12" t="n"/>
      <c r="BV232" s="64" t="n"/>
      <c r="BW232" s="64" t="n"/>
      <c r="BX232" s="64" t="n"/>
      <c r="BY232" s="64" t="n"/>
      <c r="BZ232" s="12" t="n"/>
      <c r="CA232" s="64" t="n"/>
      <c r="CB232" s="64" t="n"/>
      <c r="CC232" s="64" t="n"/>
      <c r="CD232" s="64" t="n"/>
      <c r="CE232" s="12" t="n"/>
      <c r="CF232" s="64" t="n"/>
      <c r="CG232" s="64" t="n"/>
      <c r="CH232" s="64" t="n"/>
      <c r="CI232" s="64" t="n"/>
      <c r="CJ232" s="12" t="n"/>
      <c r="CK232" s="64" t="n"/>
      <c r="CL232" s="64" t="n"/>
      <c r="CM232" s="64" t="n"/>
      <c r="CN232" s="64" t="n"/>
      <c r="CO232" s="12" t="n"/>
      <c r="CP232" s="64" t="n"/>
      <c r="CQ232" s="64" t="n"/>
      <c r="CR232" s="64" t="n"/>
      <c r="CS232" s="64" t="n"/>
      <c r="CT232" s="12" t="n"/>
      <c r="CU232" s="64" t="n"/>
      <c r="CV232" s="64" t="n"/>
      <c r="CW232" s="64" t="n"/>
      <c r="CX232" s="64" t="n"/>
      <c r="CY232" s="12" t="n"/>
    </row>
    <row r="233" hidden="1" outlineLevel="1">
      <c r="C233" s="57" t="inlineStr">
        <is>
          <t>Less: Minimum cash balance</t>
        </is>
      </c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52" t="n"/>
      <c r="AH233" s="12">
        <f>($AG$233*AH15)</f>
        <v>0</v>
      </c>
      <c r="AI233" s="12">
        <f>($AG$233*AI15)</f>
        <v>0</v>
      </c>
      <c r="AJ233" s="12">
        <f>($AG$233*AJ15)</f>
        <v>0</v>
      </c>
      <c r="AK233" s="12">
        <f>($AG$233*AK15)</f>
        <v>0</v>
      </c>
      <c r="AL233" s="12" t="n"/>
      <c r="AM233" s="12">
        <f>($AG$233*AM15)</f>
        <v>0</v>
      </c>
      <c r="AN233" s="12">
        <f>($AG$233*AN15)</f>
        <v>0</v>
      </c>
      <c r="AO233" s="12">
        <f>($AG$233*AO15)</f>
        <v>0</v>
      </c>
      <c r="AP233" s="12">
        <f>($AG$233*AP15)</f>
        <v>0</v>
      </c>
      <c r="AQ233" s="12" t="n"/>
      <c r="AR233" s="12">
        <f>($AG$233*AR15)</f>
        <v>0</v>
      </c>
      <c r="AS233" s="12">
        <f>($AG$233*AS15)</f>
        <v>0</v>
      </c>
      <c r="AT233" s="12">
        <f>($AG$233*AT15)</f>
        <v>0</v>
      </c>
      <c r="AU233" s="12">
        <f>($AG$233*AU15)</f>
        <v>0</v>
      </c>
      <c r="AV233" s="12" t="n"/>
      <c r="AW233" s="12">
        <f>($AG$233*AW15)</f>
        <v>0</v>
      </c>
      <c r="AX233" s="12">
        <f>($AG$233*AX15)</f>
        <v>0</v>
      </c>
      <c r="AY233" s="12">
        <f>($AG$233*AY15)</f>
        <v>0</v>
      </c>
      <c r="AZ233" s="12">
        <f>($AG$233*AZ15)</f>
        <v>0</v>
      </c>
      <c r="BA233" s="12" t="n"/>
      <c r="BB233" s="12">
        <f>($AG$233*BB15)</f>
        <v>0</v>
      </c>
      <c r="BC233" s="12">
        <f>($AG$233*BC15)</f>
        <v>0</v>
      </c>
      <c r="BD233" s="12">
        <f>($AG$233*BD15)</f>
        <v>0</v>
      </c>
      <c r="BE233" s="12">
        <f>($AG$233*BE15)</f>
        <v>0</v>
      </c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hidden="1" outlineLevel="1">
      <c r="C234" s="57" t="inlineStr">
        <is>
          <t>Total cash available / (debt required) for short term debt paydown</t>
        </is>
      </c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3">
        <f>AH231+AH232-AH233-AF221+AH223+AH227</f>
        <v>5197.922</v>
      </c>
      <c r="AI234" s="3">
        <f>AI231+AI232-AI233-AG221+AI223+AI227</f>
        <v>2915.677</v>
      </c>
      <c r="AJ234" s="3">
        <f>AJ231+AJ232-AJ233-AH221+AJ223+AJ227</f>
        <v>-859.151</v>
      </c>
      <c r="AK234" s="3">
        <f>AK231+AK232-AK233-AI221+AK223+AK227</f>
        <v>0</v>
      </c>
      <c r="AL234" s="12" t="n"/>
      <c r="AM234" s="3">
        <f>AM231+AM232-AM233-AK221+AM223+AM227</f>
        <v>6085.18191188795</v>
      </c>
      <c r="AN234" s="3">
        <f>AN231+AN232-AN233-AL221+AN223+AN227</f>
        <v>0</v>
      </c>
      <c r="AO234" s="3">
        <f>AO231+AO232-AO233-AM221+AO223+AO227</f>
        <v>-1108.125</v>
      </c>
      <c r="AP234" s="3">
        <f>AP231+AP232-AP233-AN221+AP223+AP227</f>
        <v>0</v>
      </c>
      <c r="AQ234" s="12" t="n"/>
      <c r="AR234" s="3">
        <f>AR231+AR232-AR233-AP221+AR223+AR227</f>
        <v>9148.6395968265</v>
      </c>
      <c r="AS234" s="3">
        <f>AS231+AS232-AS233-AQ221+AS223+AS227</f>
        <v>0</v>
      </c>
      <c r="AT234" s="3">
        <f>AT231+AT232-AT233-AR221+AT223+AT227</f>
        <v>-1108.125</v>
      </c>
      <c r="AU234" s="3">
        <f>AU231+AU232-AU233-AS221+AU223+AU227</f>
        <v>0</v>
      </c>
      <c r="AV234" s="12" t="n"/>
      <c r="AW234" s="3">
        <f>AW231+AW232-AW233-AU221+AW223+AW227</f>
        <v>12411.9409989224</v>
      </c>
      <c r="AX234" s="3">
        <f>AX231+AX232-AX233-AV221+AX223+AX227</f>
        <v>0</v>
      </c>
      <c r="AY234" s="3">
        <f>AY231+AY232-AY233-AW221+AY223+AY227</f>
        <v>-1108.125</v>
      </c>
      <c r="AZ234" s="3">
        <f>AZ231+AZ232-AZ233-AX221+AZ223+AZ227</f>
        <v>0</v>
      </c>
      <c r="BA234" s="12" t="n"/>
      <c r="BB234" s="3">
        <f>BB231+BB232-BB233-AZ221+BB223+BB227</f>
        <v>15871.1913130524</v>
      </c>
      <c r="BC234" s="3">
        <f>BC231+BC232-BC233-BA221+BC223+BC227</f>
        <v>0</v>
      </c>
      <c r="BD234" s="3">
        <f>BD231+BD232-BD233-BB221+BD223+BD227</f>
        <v>-1108.125</v>
      </c>
      <c r="BE234" s="3">
        <f>BE231+BE232-BE233-BC221+BE223+BE227</f>
        <v>0</v>
      </c>
      <c r="BF234" s="12" t="n"/>
      <c r="BG234" s="3" t="n"/>
      <c r="BH234" s="3" t="n"/>
      <c r="BI234" s="3" t="n"/>
      <c r="BJ234" s="3" t="n"/>
      <c r="BK234" s="12" t="n"/>
      <c r="BL234" s="3" t="n"/>
      <c r="BM234" s="3" t="n"/>
      <c r="BN234" s="3" t="n"/>
      <c r="BO234" s="3" t="n"/>
      <c r="BP234" s="12" t="n"/>
      <c r="BQ234" s="3" t="n"/>
      <c r="BR234" s="3" t="n"/>
      <c r="BS234" s="3" t="n"/>
      <c r="BT234" s="3" t="n"/>
      <c r="BU234" s="12" t="n"/>
      <c r="BV234" s="3" t="n"/>
      <c r="BW234" s="3" t="n"/>
      <c r="BX234" s="3" t="n"/>
      <c r="BY234" s="3" t="n"/>
      <c r="BZ234" s="12" t="n"/>
      <c r="CA234" s="3" t="n"/>
      <c r="CB234" s="3" t="n"/>
      <c r="CC234" s="3" t="n"/>
      <c r="CD234" s="3" t="n"/>
      <c r="CE234" s="12" t="n"/>
      <c r="CF234" s="3" t="n"/>
      <c r="CG234" s="3" t="n"/>
      <c r="CH234" s="3" t="n"/>
      <c r="CI234" s="3" t="n"/>
      <c r="CJ234" s="12" t="n"/>
      <c r="CK234" s="3" t="n"/>
      <c r="CL234" s="3" t="n"/>
      <c r="CM234" s="3" t="n"/>
      <c r="CN234" s="3" t="n"/>
      <c r="CO234" s="12" t="n"/>
      <c r="CP234" s="3" t="n"/>
      <c r="CQ234" s="3" t="n"/>
      <c r="CR234" s="3" t="n"/>
      <c r="CS234" s="3" t="n"/>
      <c r="CT234" s="12" t="n"/>
      <c r="CU234" s="3" t="n"/>
      <c r="CV234" s="3" t="n"/>
      <c r="CW234" s="3" t="n"/>
      <c r="CX234" s="3" t="n"/>
      <c r="CY234" s="12" t="n"/>
    </row>
    <row r="235" hidden="1" outlineLevel="1">
      <c r="C235" s="57" t="inlineStr">
        <is>
          <t>Short term debt</t>
        </is>
      </c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>
        <f>AH215</f>
        <v>0</v>
      </c>
      <c r="AI235" s="12">
        <f>MAX(0,AH235-AI234)</f>
        <v>0</v>
      </c>
      <c r="AJ235" s="12">
        <f>MAX(0,AI235-AJ234)</f>
        <v>859.151</v>
      </c>
      <c r="AK235" s="12">
        <f>MAX(0,AJ235-AK234)</f>
        <v>859.151</v>
      </c>
      <c r="AL235" s="12" t="n"/>
      <c r="AM235" s="12">
        <f>AM215</f>
        <v>0</v>
      </c>
      <c r="AN235" s="12">
        <f>MAX(0,AM235-AN234)</f>
        <v>0</v>
      </c>
      <c r="AO235" s="12">
        <f>MAX(0,AN235-AO234)</f>
        <v>1108.125</v>
      </c>
      <c r="AP235" s="12">
        <f>MAX(0,AO235-AP234)</f>
        <v>1108.125</v>
      </c>
      <c r="AQ235" s="12" t="n"/>
      <c r="AR235" s="12">
        <f>AR215</f>
        <v>0</v>
      </c>
      <c r="AS235" s="12">
        <f>MAX(0,AR235-AS234)</f>
        <v>0</v>
      </c>
      <c r="AT235" s="12">
        <f>MAX(0,AS235-AT234)</f>
        <v>1108.125</v>
      </c>
      <c r="AU235" s="12">
        <f>MAX(0,AT235-AU234)</f>
        <v>1108.125</v>
      </c>
      <c r="AV235" s="12" t="n"/>
      <c r="AW235" s="12">
        <f>AW215</f>
        <v>0</v>
      </c>
      <c r="AX235" s="12">
        <f>MAX(0,AW235-AX234)</f>
        <v>0</v>
      </c>
      <c r="AY235" s="12">
        <f>MAX(0,AX235-AY234)</f>
        <v>1108.125</v>
      </c>
      <c r="AZ235" s="12">
        <f>MAX(0,AY235-AZ234)</f>
        <v>1108.125</v>
      </c>
      <c r="BA235" s="12" t="n"/>
      <c r="BB235" s="12">
        <f>BB215</f>
        <v>0</v>
      </c>
      <c r="BC235" s="12">
        <f>MAX(0,BB235-BC234)</f>
        <v>0</v>
      </c>
      <c r="BD235" s="12">
        <f>MAX(0,BC235-BD234)</f>
        <v>1108.125</v>
      </c>
      <c r="BE235" s="12">
        <f>MAX(0,BD235-BE234)</f>
        <v>1108.125</v>
      </c>
      <c r="BF235" s="12" t="n"/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 hidden="1" outlineLevel="1">
      <c r="C236" s="57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collapsed="1">
      <c r="C237" s="14" t="inlineStr">
        <is>
          <t>Long term operating leases</t>
        </is>
      </c>
      <c r="D237" s="46" t="n"/>
      <c r="E237" s="46" t="n"/>
      <c r="F237" s="46" t="n"/>
      <c r="G237" s="46" t="n"/>
      <c r="H237" s="12" t="n"/>
      <c r="I237" s="46">
        <f>'Inputs (2)'!D36</f>
        <v>297.201</v>
      </c>
      <c r="J237" s="46">
        <f>'Inputs (2)'!E36</f>
        <v>302.843</v>
      </c>
      <c r="K237" s="46">
        <f>'Inputs (2)'!F36</f>
        <v>324.974</v>
      </c>
      <c r="L237" s="46">
        <f>'Inputs (2)'!G36</f>
        <v>334.085</v>
      </c>
      <c r="M237" s="12">
        <f>'Inputs (2)'!H36</f>
        <v>334.085</v>
      </c>
      <c r="N237" s="46">
        <f>'Inputs (2)'!I36</f>
        <v>334.493</v>
      </c>
      <c r="O237" s="46">
        <f>'Inputs (2)'!J36</f>
        <v>329.074</v>
      </c>
      <c r="P237" s="46">
        <f>'Inputs (2)'!K36</f>
        <v>357.334</v>
      </c>
      <c r="Q237" s="46">
        <f>'Inputs (2)'!L36</f>
        <v>404.285</v>
      </c>
      <c r="R237" s="12">
        <f>'Inputs (2)'!M36</f>
        <v>404.285</v>
      </c>
      <c r="S237" s="46">
        <f>'Inputs (2)'!N36</f>
        <v>390.987</v>
      </c>
      <c r="T237" s="46">
        <f>'Inputs (2)'!O36</f>
        <v>403.593</v>
      </c>
      <c r="U237" s="46">
        <f>'Inputs (2)'!P36</f>
        <v>400.65</v>
      </c>
      <c r="V237" s="46">
        <f>'Inputs (2)'!Q36</f>
        <v>403.271</v>
      </c>
      <c r="W237" s="12">
        <f>'Inputs (2)'!R36</f>
        <v>403.271</v>
      </c>
      <c r="X237" s="46">
        <f>'Inputs (2)'!S36</f>
        <v>384.401</v>
      </c>
      <c r="Y237" s="46">
        <f>'Inputs (2)'!T36</f>
        <v>390.529</v>
      </c>
      <c r="Z237" s="46">
        <f>'Inputs (2)'!U36</f>
        <v>369.266</v>
      </c>
      <c r="AA237" s="46">
        <f>'Inputs (2)'!V36</f>
        <v>369.056</v>
      </c>
      <c r="AB237" s="12">
        <f>'Inputs (2)'!W36</f>
        <v>369.056</v>
      </c>
      <c r="AC237" s="46">
        <f>'Inputs (2)'!X36</f>
        <v>363.151</v>
      </c>
      <c r="AD237" s="46">
        <f>'Inputs (2)'!Y36</f>
        <v>353.256</v>
      </c>
      <c r="AE237" s="46">
        <f>'Inputs (2)'!Z36</f>
        <v>409.527</v>
      </c>
      <c r="AF237" s="46">
        <f>'Inputs (2)'!AA36</f>
        <v>424.136</v>
      </c>
      <c r="AG237" s="12">
        <f>'Inputs (2)'!AB36</f>
        <v>424.136</v>
      </c>
      <c r="AH237" s="12">
        <f>'Inputs (2)'!AC36</f>
        <v>402.609</v>
      </c>
      <c r="AI237" s="12">
        <f>'Inputs (2)'!AD36</f>
        <v>386.794</v>
      </c>
      <c r="AJ237" s="12">
        <f>AI237</f>
        <v>386.794</v>
      </c>
      <c r="AK237" s="12">
        <f>AJ237</f>
        <v>386.794</v>
      </c>
      <c r="AL237" s="12">
        <f>AK237</f>
        <v>386.794</v>
      </c>
      <c r="AM237" s="12">
        <f>AL237</f>
        <v>386.794</v>
      </c>
      <c r="AN237" s="12">
        <f>AM237</f>
        <v>386.794</v>
      </c>
      <c r="AO237" s="12">
        <f>AN237</f>
        <v>386.794</v>
      </c>
      <c r="AP237" s="12">
        <f>AO237</f>
        <v>386.794</v>
      </c>
      <c r="AQ237" s="12">
        <f>AP237</f>
        <v>386.794</v>
      </c>
      <c r="AR237" s="12">
        <f>AQ237</f>
        <v>386.794</v>
      </c>
      <c r="AS237" s="12">
        <f>AR237</f>
        <v>386.794</v>
      </c>
      <c r="AT237" s="12">
        <f>AS237</f>
        <v>386.794</v>
      </c>
      <c r="AU237" s="12">
        <f>AT237</f>
        <v>386.794</v>
      </c>
      <c r="AV237" s="12">
        <f>AU237</f>
        <v>386.794</v>
      </c>
      <c r="AW237" s="12">
        <f>AV237</f>
        <v>386.794</v>
      </c>
      <c r="AX237" s="12">
        <f>AW237</f>
        <v>386.794</v>
      </c>
      <c r="AY237" s="12">
        <f>AX237</f>
        <v>386.794</v>
      </c>
      <c r="AZ237" s="12">
        <f>AY237</f>
        <v>386.794</v>
      </c>
      <c r="BA237" s="12">
        <f>AZ237</f>
        <v>386.794</v>
      </c>
      <c r="BB237" s="12">
        <f>BA237</f>
        <v>386.794</v>
      </c>
      <c r="BC237" s="12">
        <f>BB237</f>
        <v>386.794</v>
      </c>
      <c r="BD237" s="12">
        <f>BC237</f>
        <v>386.794</v>
      </c>
      <c r="BE237" s="12">
        <f>BD237</f>
        <v>386.794</v>
      </c>
      <c r="BF237" s="12">
        <f>BE237</f>
        <v>386.794</v>
      </c>
      <c r="BG237" s="12" t="n"/>
      <c r="BH237" s="12" t="n"/>
      <c r="BI237" s="12" t="n"/>
      <c r="BJ237" s="12" t="n"/>
      <c r="BK237" s="12" t="n"/>
      <c r="BL237" s="12" t="n"/>
      <c r="BM237" s="12" t="n"/>
      <c r="BN237" s="12" t="n"/>
      <c r="BO237" s="12" t="n"/>
      <c r="BP237" s="12" t="n"/>
      <c r="BQ237" s="12" t="n"/>
      <c r="BR237" s="12" t="n"/>
      <c r="BS237" s="12" t="n"/>
      <c r="BT237" s="12" t="n"/>
      <c r="BU237" s="12" t="n"/>
      <c r="BV237" s="12" t="n"/>
      <c r="BW237" s="12" t="n"/>
      <c r="BX237" s="12" t="n"/>
      <c r="BY237" s="12" t="n"/>
      <c r="BZ237" s="12" t="n"/>
      <c r="CA237" s="12" t="n"/>
      <c r="CB237" s="12" t="n"/>
      <c r="CC237" s="12" t="n"/>
      <c r="CD237" s="12" t="n"/>
      <c r="CE237" s="12" t="n"/>
      <c r="CF237" s="12" t="n"/>
      <c r="CG237" s="12" t="n"/>
      <c r="CH237" s="12" t="n"/>
      <c r="CI237" s="12" t="n"/>
      <c r="CJ237" s="12" t="n"/>
      <c r="CK237" s="12" t="n"/>
      <c r="CL237" s="12" t="n"/>
      <c r="CM237" s="12" t="n"/>
      <c r="CN237" s="12" t="n"/>
      <c r="CO237" s="12" t="n"/>
      <c r="CP237" s="12" t="n"/>
      <c r="CQ237" s="12" t="n"/>
      <c r="CR237" s="12" t="n"/>
      <c r="CS237" s="12" t="n"/>
      <c r="CT237" s="12" t="n"/>
      <c r="CU237" s="12" t="n"/>
      <c r="CV237" s="12" t="n"/>
      <c r="CW237" s="12" t="n"/>
      <c r="CX237" s="12" t="n"/>
      <c r="CY237" s="12" t="n"/>
    </row>
    <row r="238" hidden="1" outlineLevel="1">
      <c r="C238" s="59" t="inlineStr">
        <is>
          <t>%(Var.)</t>
        </is>
      </c>
      <c r="D238" s="12" t="n"/>
      <c r="E238" s="40" t="n"/>
      <c r="F238" s="40" t="n"/>
      <c r="G238" s="40" t="n"/>
      <c r="H238" s="12" t="n"/>
      <c r="I238" s="40" t="str">
        <f>""</f>
        <v/>
      </c>
      <c r="J238" s="40">
        <f>IFERROR(IF(I237=0,"",J237/I237-1),"")</f>
        <v>0.0189837853843022</v>
      </c>
      <c r="K238" s="40">
        <f>IFERROR(IF(J237=0,"",K237/J237-1),"")</f>
        <v>0.0730774691837024</v>
      </c>
      <c r="L238" s="40">
        <f>IFERROR(IF(K237=0,"",L237/K237-1),"")</f>
        <v>0.0280360890409694</v>
      </c>
      <c r="M238" s="12">
        <f>IF(L237=0,"",M237/L237-1)</f>
        <v>0</v>
      </c>
      <c r="N238" s="40">
        <f>IFERROR(IF(M237=0,"",N237/M237-1),"")</f>
        <v>0.00122124609006691</v>
      </c>
      <c r="O238" s="40">
        <f>IFERROR(IF(N237=0,"",O237/N237-1),"")</f>
        <v>-0.0162006379804659</v>
      </c>
      <c r="P238" s="40">
        <f>IFERROR(IF(O237=0,"",P237/O237-1),"")</f>
        <v>0.0858773406589399</v>
      </c>
      <c r="Q238" s="40">
        <f>IFERROR(IF(P237=0,"",Q237/P237-1),"")</f>
        <v>0.131392478745376</v>
      </c>
      <c r="R238" s="12">
        <f>IF(Q237=0,"",R237/Q237-1)</f>
        <v>0</v>
      </c>
      <c r="S238" s="40">
        <f>IFERROR(IF(R237=0,"",S237/R237-1),"")</f>
        <v>-0.0328926376195011</v>
      </c>
      <c r="T238" s="40">
        <f>IFERROR(IF(S237=0,"",T237/S237-1),"")</f>
        <v>0.0322414811745659</v>
      </c>
      <c r="U238" s="40">
        <f>IFERROR(IF(T237=0,"",U237/T237-1),"")</f>
        <v>-0.00729199961347204</v>
      </c>
      <c r="V238" s="40">
        <f>IFERROR(IF(U237=0,"",V237/U237-1),"")</f>
        <v>0.00654186946212421</v>
      </c>
      <c r="W238" s="12">
        <f>IF(V237=0,"",W237/V237-1)</f>
        <v>0</v>
      </c>
      <c r="X238" s="40">
        <f>IFERROR(IF(W237=0,"",X237/W237-1),"")</f>
        <v>-0.0467923555127942</v>
      </c>
      <c r="Y238" s="40">
        <f>IFERROR(IF(X237=0,"",Y237/X237-1),"")</f>
        <v>0.0159416858957182</v>
      </c>
      <c r="Z238" s="40">
        <f>IFERROR(IF(Y237=0,"",Z237/Y237-1),"")</f>
        <v>-0.054446660811361</v>
      </c>
      <c r="AA238" s="40">
        <f>IFERROR(IF(Z237=0,"",AA237/Z237-1),"")</f>
        <v>-0.00056869573694851</v>
      </c>
      <c r="AB238" s="12">
        <f>IF(AA237=0,"",AB237/AA237-1)</f>
        <v>0</v>
      </c>
      <c r="AC238" s="40">
        <f>IFERROR(IF(AB237=0,"",AC237/AB237-1),"")</f>
        <v>-0.016000281800052</v>
      </c>
      <c r="AD238" s="40">
        <f>IFERROR(IF(AC237=0,"",AD237/AC237-1),"")</f>
        <v>-0.0272476187591388</v>
      </c>
      <c r="AE238" s="40">
        <f>IFERROR(IF(AD237=0,"",AE237/AD237-1),"")</f>
        <v>0.159292411169237</v>
      </c>
      <c r="AF238" s="41">
        <f>IFERROR(IF(AE237=0,"",AF237/AE237-1),"")</f>
        <v>0.0356728616184037</v>
      </c>
      <c r="AG238" s="12">
        <f>IF(AF237=0,"",AG237/AF237-1)</f>
        <v>0</v>
      </c>
      <c r="AH238" s="11">
        <f>IFERROR(IF(AG237=0,"",AH237/AG237-1),"")</f>
        <v>-0.050754946526586</v>
      </c>
      <c r="AI238" s="11">
        <f>IFERROR(IF(AH237=0,"",AI237/AH237-1),"")</f>
        <v>-0.0392812878003224</v>
      </c>
      <c r="AJ238" s="11">
        <f>IFERROR(IF(AI237=0,"",AJ237/AI237-1),"")</f>
        <v>0</v>
      </c>
      <c r="AK238" s="11">
        <f>IFERROR(IF(AJ237=0,"",AK237/AJ237-1),"")</f>
        <v>0</v>
      </c>
      <c r="AL238" s="12">
        <f>IFERROR(IF(AK237=0,"",AL237/AK237-1),"")</f>
        <v>0</v>
      </c>
      <c r="AM238" s="11">
        <f>IFERROR(IF(AL237=0,"",AM237/AL237-1),"")</f>
        <v>0</v>
      </c>
      <c r="AN238" s="11">
        <f>IFERROR(IF(AM237=0,"",AN237/AM237-1),"")</f>
        <v>0</v>
      </c>
      <c r="AO238" s="11">
        <f>IFERROR(IF(AN237=0,"",AO237/AN237-1),"")</f>
        <v>0</v>
      </c>
      <c r="AP238" s="11">
        <f>IFERROR(IF(AO237=0,"",AP237/AO237-1),"")</f>
        <v>0</v>
      </c>
      <c r="AQ238" s="12">
        <f>IFERROR(IF(AP237=0,"",AQ237/AP237-1),"")</f>
        <v>0</v>
      </c>
      <c r="AR238" s="11">
        <f>IFERROR(IF(AQ237=0,"",AR237/AQ237-1),"")</f>
        <v>0</v>
      </c>
      <c r="AS238" s="11">
        <f>IFERROR(IF(AR237=0,"",AS237/AR237-1),"")</f>
        <v>0</v>
      </c>
      <c r="AT238" s="11">
        <f>IFERROR(IF(AS237=0,"",AT237/AS237-1),"")</f>
        <v>0</v>
      </c>
      <c r="AU238" s="11">
        <f>IFERROR(IF(AT237=0,"",AU237/AT237-1),"")</f>
        <v>0</v>
      </c>
      <c r="AV238" s="12">
        <f>IFERROR(IF(AU237=0,"",AV237/AU237-1),"")</f>
        <v>0</v>
      </c>
      <c r="AW238" s="11">
        <f>IFERROR(IF(AV237=0,"",AW237/AV237-1),"")</f>
        <v>0</v>
      </c>
      <c r="AX238" s="11">
        <f>IFERROR(IF(AW237=0,"",AX237/AW237-1),"")</f>
        <v>0</v>
      </c>
      <c r="AY238" s="11">
        <f>IFERROR(IF(AX237=0,"",AY237/AX237-1),"")</f>
        <v>0</v>
      </c>
      <c r="AZ238" s="11">
        <f>IFERROR(IF(AY237=0,"",AZ237/AY237-1),"")</f>
        <v>0</v>
      </c>
      <c r="BA238" s="12">
        <f>IFERROR(IF(AZ237=0,"",BA237/AZ237-1),"")</f>
        <v>0</v>
      </c>
      <c r="BB238" s="11">
        <f>IFERROR(IF(BA237=0,"",BB237/BA237-1),"")</f>
        <v>0</v>
      </c>
      <c r="BC238" s="11">
        <f>IFERROR(IF(BB237=0,"",BC237/BB237-1),"")</f>
        <v>0</v>
      </c>
      <c r="BD238" s="11">
        <f>IFERROR(IF(BC237=0,"",BD237/BC237-1),"")</f>
        <v>0</v>
      </c>
      <c r="BE238" s="11">
        <f>IFERROR(IF(BD237=0,"",BE237/BD237-1),"")</f>
        <v>0</v>
      </c>
      <c r="BF238" s="12">
        <f>IFERROR(IF(BE237=0,"",BF237/BE237-1),"")</f>
        <v>0</v>
      </c>
      <c r="BG238" s="11" t="n"/>
      <c r="BH238" s="11" t="n"/>
      <c r="BI238" s="11" t="n"/>
      <c r="BJ238" s="11" t="n"/>
      <c r="BK238" s="12" t="n"/>
      <c r="BL238" s="11" t="n"/>
      <c r="BM238" s="11" t="n"/>
      <c r="BN238" s="11" t="n"/>
      <c r="BO238" s="11" t="n"/>
      <c r="BP238" s="12" t="n"/>
      <c r="BQ238" s="11" t="n"/>
      <c r="BR238" s="11" t="n"/>
      <c r="BS238" s="11" t="n"/>
      <c r="BT238" s="11" t="n"/>
      <c r="BU238" s="12" t="n"/>
      <c r="BV238" s="11" t="n"/>
      <c r="BW238" s="11" t="n"/>
      <c r="BX238" s="11" t="n"/>
      <c r="BY238" s="11" t="n"/>
      <c r="BZ238" s="12" t="n"/>
      <c r="CA238" s="11" t="n"/>
      <c r="CB238" s="11" t="n"/>
      <c r="CC238" s="11" t="n"/>
      <c r="CD238" s="11" t="n"/>
      <c r="CE238" s="12" t="n"/>
      <c r="CF238" s="11" t="n"/>
      <c r="CG238" s="11" t="n"/>
      <c r="CH238" s="11" t="n"/>
      <c r="CI238" s="11" t="n"/>
      <c r="CJ238" s="12" t="n"/>
      <c r="CK238" s="11" t="n"/>
      <c r="CL238" s="11" t="n"/>
      <c r="CM238" s="11" t="n"/>
      <c r="CN238" s="11" t="n"/>
      <c r="CO238" s="12" t="n"/>
      <c r="CP238" s="11" t="n"/>
      <c r="CQ238" s="11" t="n"/>
      <c r="CR238" s="11" t="n"/>
      <c r="CS238" s="11" t="n"/>
      <c r="CT238" s="12" t="n"/>
      <c r="CU238" s="11" t="n"/>
      <c r="CV238" s="11" t="n"/>
      <c r="CW238" s="11" t="n"/>
      <c r="CX238" s="11" t="n"/>
      <c r="CY238" s="12" t="n"/>
    </row>
    <row r="239" hidden="1" outlineLevel="1">
      <c r="C239" s="57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collapsed="1">
      <c r="C240" s="14" t="inlineStr">
        <is>
          <t>Convertible debt</t>
        </is>
      </c>
      <c r="D240" s="46" t="n"/>
      <c r="E240" s="46" t="n"/>
      <c r="F240" s="46" t="n"/>
      <c r="G240" s="46" t="n"/>
      <c r="H240" s="12" t="n"/>
      <c r="I240" s="46">
        <f>'Inputs (2)'!D37</f>
        <v>0</v>
      </c>
      <c r="J240" s="46">
        <f>'Inputs (2)'!E37</f>
        <v>0</v>
      </c>
      <c r="K240" s="46">
        <f>'Inputs (2)'!F37</f>
        <v>0</v>
      </c>
      <c r="L240" s="46">
        <f>'Inputs (2)'!G37</f>
        <v>0</v>
      </c>
      <c r="M240" s="12">
        <f>'Inputs (2)'!H37</f>
        <v>0</v>
      </c>
      <c r="N240" s="46">
        <f>'Inputs (2)'!I37</f>
        <v>0</v>
      </c>
      <c r="O240" s="46">
        <f>'Inputs (2)'!J37</f>
        <v>0</v>
      </c>
      <c r="P240" s="46">
        <f>'Inputs (2)'!K37</f>
        <v>0</v>
      </c>
      <c r="Q240" s="46">
        <f>'Inputs (2)'!L37</f>
        <v>0</v>
      </c>
      <c r="R240" s="12">
        <f>'Inputs (2)'!M37</f>
        <v>0</v>
      </c>
      <c r="S240" s="46">
        <f>'Inputs (2)'!N37</f>
        <v>0</v>
      </c>
      <c r="T240" s="46">
        <f>'Inputs (2)'!O37</f>
        <v>0</v>
      </c>
      <c r="U240" s="46">
        <f>'Inputs (2)'!P37</f>
        <v>0</v>
      </c>
      <c r="V240" s="46">
        <f>'Inputs (2)'!Q37</f>
        <v>0</v>
      </c>
      <c r="W240" s="12">
        <f>'Inputs (2)'!R37</f>
        <v>0</v>
      </c>
      <c r="X240" s="46">
        <f>'Inputs (2)'!S37</f>
        <v>0</v>
      </c>
      <c r="Y240" s="46">
        <f>'Inputs (2)'!T37</f>
        <v>0</v>
      </c>
      <c r="Z240" s="46">
        <f>'Inputs (2)'!U37</f>
        <v>0</v>
      </c>
      <c r="AA240" s="46">
        <f>'Inputs (2)'!V37</f>
        <v>0</v>
      </c>
      <c r="AB240" s="12">
        <f>'Inputs (2)'!W37</f>
        <v>0</v>
      </c>
      <c r="AC240" s="46">
        <f>'Inputs (2)'!X37</f>
        <v>0</v>
      </c>
      <c r="AD240" s="46">
        <f>'Inputs (2)'!Y37</f>
        <v>0</v>
      </c>
      <c r="AE240" s="46">
        <f>'Inputs (2)'!Z37</f>
        <v>0</v>
      </c>
      <c r="AF240" s="46">
        <f>'Inputs (2)'!AA37</f>
        <v>0</v>
      </c>
      <c r="AG240" s="12">
        <f>'Inputs (2)'!AB37</f>
        <v>0</v>
      </c>
      <c r="AH240" s="12">
        <f>'Inputs (2)'!AC37</f>
        <v>0</v>
      </c>
      <c r="AI240" s="12">
        <f>'Inputs (2)'!AD37</f>
        <v>0</v>
      </c>
      <c r="AJ240" s="12">
        <f>AI240</f>
        <v>0</v>
      </c>
      <c r="AK240" s="12">
        <f>AJ240</f>
        <v>0</v>
      </c>
      <c r="AL240" s="12">
        <f>AK240</f>
        <v>0</v>
      </c>
      <c r="AM240" s="12">
        <f>AL240</f>
        <v>0</v>
      </c>
      <c r="AN240" s="12">
        <f>AM240</f>
        <v>0</v>
      </c>
      <c r="AO240" s="12">
        <f>AN240</f>
        <v>0</v>
      </c>
      <c r="AP240" s="12">
        <f>AO240</f>
        <v>0</v>
      </c>
      <c r="AQ240" s="12">
        <f>AP240</f>
        <v>0</v>
      </c>
      <c r="AR240" s="12">
        <f>AQ240</f>
        <v>0</v>
      </c>
      <c r="AS240" s="12">
        <f>AR240</f>
        <v>0</v>
      </c>
      <c r="AT240" s="12">
        <f>AS240</f>
        <v>0</v>
      </c>
      <c r="AU240" s="12">
        <f>AT240</f>
        <v>0</v>
      </c>
      <c r="AV240" s="12">
        <f>AU240</f>
        <v>0</v>
      </c>
      <c r="AW240" s="12">
        <f>AV240</f>
        <v>0</v>
      </c>
      <c r="AX240" s="12">
        <f>AW240</f>
        <v>0</v>
      </c>
      <c r="AY240" s="12">
        <f>AX240</f>
        <v>0</v>
      </c>
      <c r="AZ240" s="12">
        <f>AY240</f>
        <v>0</v>
      </c>
      <c r="BA240" s="12">
        <f>AZ240</f>
        <v>0</v>
      </c>
      <c r="BB240" s="12">
        <f>BA240</f>
        <v>0</v>
      </c>
      <c r="BC240" s="12">
        <f>BB240</f>
        <v>0</v>
      </c>
      <c r="BD240" s="12">
        <f>BC240</f>
        <v>0</v>
      </c>
      <c r="BE240" s="12">
        <f>BD240</f>
        <v>0</v>
      </c>
      <c r="BF240" s="12">
        <f>BE240</f>
        <v>0</v>
      </c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>
      <c r="C241" s="14" t="inlineStr">
        <is>
          <t>Deferred income taxes</t>
        </is>
      </c>
      <c r="D241" s="46" t="n"/>
      <c r="E241" s="46" t="n"/>
      <c r="F241" s="46" t="n"/>
      <c r="G241" s="46" t="n"/>
      <c r="H241" s="12" t="n"/>
      <c r="I241" s="46">
        <f>'Inputs (2)'!D38</f>
        <v>0</v>
      </c>
      <c r="J241" s="46">
        <f>'Inputs (2)'!E38</f>
        <v>0</v>
      </c>
      <c r="K241" s="46">
        <f>'Inputs (2)'!F38</f>
        <v>0</v>
      </c>
      <c r="L241" s="46">
        <f>'Inputs (2)'!G38</f>
        <v>0</v>
      </c>
      <c r="M241" s="12">
        <f>'Inputs (2)'!H38</f>
        <v>0</v>
      </c>
      <c r="N241" s="46">
        <f>'Inputs (2)'!I38</f>
        <v>0</v>
      </c>
      <c r="O241" s="46">
        <f>'Inputs (2)'!J38</f>
        <v>0</v>
      </c>
      <c r="P241" s="46">
        <f>'Inputs (2)'!K38</f>
        <v>0</v>
      </c>
      <c r="Q241" s="46">
        <f>'Inputs (2)'!L38</f>
        <v>0</v>
      </c>
      <c r="R241" s="12">
        <f>'Inputs (2)'!M38</f>
        <v>0</v>
      </c>
      <c r="S241" s="46">
        <f>'Inputs (2)'!N38</f>
        <v>0</v>
      </c>
      <c r="T241" s="46">
        <f>'Inputs (2)'!O38</f>
        <v>0</v>
      </c>
      <c r="U241" s="46">
        <f>'Inputs (2)'!P38</f>
        <v>0</v>
      </c>
      <c r="V241" s="46">
        <f>'Inputs (2)'!Q38</f>
        <v>0</v>
      </c>
      <c r="W241" s="12">
        <f>'Inputs (2)'!R38</f>
        <v>0</v>
      </c>
      <c r="X241" s="46">
        <f>'Inputs (2)'!S38</f>
        <v>0</v>
      </c>
      <c r="Y241" s="46">
        <f>'Inputs (2)'!T38</f>
        <v>0</v>
      </c>
      <c r="Z241" s="46">
        <f>'Inputs (2)'!U38</f>
        <v>0</v>
      </c>
      <c r="AA241" s="46">
        <f>'Inputs (2)'!V38</f>
        <v>0</v>
      </c>
      <c r="AB241" s="12">
        <f>'Inputs (2)'!W38</f>
        <v>0</v>
      </c>
      <c r="AC241" s="46">
        <f>'Inputs (2)'!X38</f>
        <v>0</v>
      </c>
      <c r="AD241" s="46">
        <f>'Inputs (2)'!Y38</f>
        <v>0</v>
      </c>
      <c r="AE241" s="46">
        <f>'Inputs (2)'!Z38</f>
        <v>0</v>
      </c>
      <c r="AF241" s="46">
        <f>'Inputs (2)'!AA38</f>
        <v>0</v>
      </c>
      <c r="AG241" s="12">
        <f>'Inputs (2)'!AB38</f>
        <v>0</v>
      </c>
      <c r="AH241" s="12">
        <f>'Inputs (2)'!AC38</f>
        <v>0</v>
      </c>
      <c r="AI241" s="12">
        <f>'Inputs (2)'!AD38</f>
        <v>0</v>
      </c>
      <c r="AJ241" s="12">
        <f>AI241</f>
        <v>0</v>
      </c>
      <c r="AK241" s="12">
        <f>AJ241</f>
        <v>0</v>
      </c>
      <c r="AL241" s="12">
        <f>AK241</f>
        <v>0</v>
      </c>
      <c r="AM241" s="12">
        <f>AL241</f>
        <v>0</v>
      </c>
      <c r="AN241" s="12">
        <f>AM241</f>
        <v>0</v>
      </c>
      <c r="AO241" s="12">
        <f>AN241</f>
        <v>0</v>
      </c>
      <c r="AP241" s="12">
        <f>AO241</f>
        <v>0</v>
      </c>
      <c r="AQ241" s="12">
        <f>AP241</f>
        <v>0</v>
      </c>
      <c r="AR241" s="12">
        <f>AQ241</f>
        <v>0</v>
      </c>
      <c r="AS241" s="12">
        <f>AR241</f>
        <v>0</v>
      </c>
      <c r="AT241" s="12">
        <f>AS241</f>
        <v>0</v>
      </c>
      <c r="AU241" s="12">
        <f>AT241</f>
        <v>0</v>
      </c>
      <c r="AV241" s="12">
        <f>AU241</f>
        <v>0</v>
      </c>
      <c r="AW241" s="12">
        <f>AV241</f>
        <v>0</v>
      </c>
      <c r="AX241" s="12">
        <f>AW241</f>
        <v>0</v>
      </c>
      <c r="AY241" s="12">
        <f>AX241</f>
        <v>0</v>
      </c>
      <c r="AZ241" s="12">
        <f>AY241</f>
        <v>0</v>
      </c>
      <c r="BA241" s="12">
        <f>AZ241</f>
        <v>0</v>
      </c>
      <c r="BB241" s="12">
        <f>BA241</f>
        <v>0</v>
      </c>
      <c r="BC241" s="12">
        <f>BB241</f>
        <v>0</v>
      </c>
      <c r="BD241" s="12">
        <f>BC241</f>
        <v>0</v>
      </c>
      <c r="BE241" s="12">
        <f>BD241</f>
        <v>0</v>
      </c>
      <c r="BF241" s="12">
        <f>BE241</f>
        <v>0</v>
      </c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>
      <c r="C242" s="14" t="inlineStr">
        <is>
          <t>Other non-current liabilities</t>
        </is>
      </c>
      <c r="D242" s="46" t="n"/>
      <c r="E242" s="46" t="n"/>
      <c r="F242" s="46" t="n"/>
      <c r="G242" s="46" t="n"/>
      <c r="H242" s="12" t="n"/>
      <c r="I242" s="46">
        <f>'Inputs (2)'!D39</f>
        <v>1725.558</v>
      </c>
      <c r="J242" s="46">
        <f>'Inputs (2)'!E39</f>
        <v>1734.907</v>
      </c>
      <c r="K242" s="46">
        <f>'Inputs (2)'!F39</f>
        <v>1746.777</v>
      </c>
      <c r="L242" s="46">
        <f>'Inputs (2)'!G39</f>
        <v>1704.191</v>
      </c>
      <c r="M242" s="12">
        <f>'Inputs (2)'!H39</f>
        <v>1704.191</v>
      </c>
      <c r="N242" s="46">
        <f>'Inputs (2)'!I39</f>
        <v>1747.474</v>
      </c>
      <c r="O242" s="46">
        <f>'Inputs (2)'!J39</f>
        <v>1810.099</v>
      </c>
      <c r="P242" s="46">
        <f>'Inputs (2)'!K39</f>
        <v>1863.258</v>
      </c>
      <c r="Q242" s="46">
        <f>'Inputs (2)'!L39</f>
        <v>1733.058</v>
      </c>
      <c r="R242" s="12">
        <f>'Inputs (2)'!M39</f>
        <v>1733.058</v>
      </c>
      <c r="S242" s="46">
        <f>'Inputs (2)'!N39</f>
        <v>1806.021</v>
      </c>
      <c r="T242" s="46">
        <f>'Inputs (2)'!O39</f>
        <v>1873.033</v>
      </c>
      <c r="U242" s="46">
        <f>'Inputs (2)'!P39</f>
        <v>1897.704</v>
      </c>
      <c r="V242" s="46">
        <f>'Inputs (2)'!Q39</f>
        <v>1983.069</v>
      </c>
      <c r="W242" s="12">
        <f>'Inputs (2)'!R39</f>
        <v>1983.069</v>
      </c>
      <c r="X242" s="46">
        <f>'Inputs (2)'!S39</f>
        <v>1967.222</v>
      </c>
      <c r="Y242" s="46">
        <f>'Inputs (2)'!T39</f>
        <v>1909.148</v>
      </c>
      <c r="Z242" s="46">
        <f>'Inputs (2)'!U39</f>
        <v>1784.519</v>
      </c>
      <c r="AA242" s="46">
        <f>'Inputs (2)'!V39</f>
        <v>1782.168</v>
      </c>
      <c r="AB242" s="12">
        <f>'Inputs (2)'!W39</f>
        <v>1782.168</v>
      </c>
      <c r="AC242" s="46">
        <f>'Inputs (2)'!X39</f>
        <v>4642.658</v>
      </c>
      <c r="AD242" s="46">
        <f>'Inputs (2)'!Y39</f>
        <v>4858.588</v>
      </c>
      <c r="AE242" s="46">
        <f>'Inputs (2)'!Z39</f>
        <v>1791.306</v>
      </c>
      <c r="AF242" s="46">
        <f>'Inputs (2)'!AA39</f>
        <v>1698.06</v>
      </c>
      <c r="AG242" s="12">
        <f>'Inputs (2)'!AB39</f>
        <v>1698.06</v>
      </c>
      <c r="AH242" s="12">
        <f>'Inputs (2)'!AC39</f>
        <v>1725.116</v>
      </c>
      <c r="AI242" s="12">
        <f>'Inputs (2)'!AD39</f>
        <v>5019.593</v>
      </c>
      <c r="AJ242" s="12">
        <f>AI242</f>
        <v>5019.593</v>
      </c>
      <c r="AK242" s="12">
        <f>AJ242</f>
        <v>5019.593</v>
      </c>
      <c r="AL242" s="12">
        <f>AK242</f>
        <v>5019.593</v>
      </c>
      <c r="AM242" s="12">
        <f>AL242</f>
        <v>5019.593</v>
      </c>
      <c r="AN242" s="12">
        <f>AM242</f>
        <v>5019.593</v>
      </c>
      <c r="AO242" s="12">
        <f>AN242</f>
        <v>5019.593</v>
      </c>
      <c r="AP242" s="12">
        <f>AO242</f>
        <v>5019.593</v>
      </c>
      <c r="AQ242" s="12">
        <f>AP242</f>
        <v>5019.593</v>
      </c>
      <c r="AR242" s="12">
        <f>AQ242</f>
        <v>5019.593</v>
      </c>
      <c r="AS242" s="12">
        <f>AR242</f>
        <v>5019.593</v>
      </c>
      <c r="AT242" s="12">
        <f>AS242</f>
        <v>5019.593</v>
      </c>
      <c r="AU242" s="12">
        <f>AT242</f>
        <v>5019.593</v>
      </c>
      <c r="AV242" s="12">
        <f>AU242</f>
        <v>5019.593</v>
      </c>
      <c r="AW242" s="12">
        <f>AV242</f>
        <v>5019.593</v>
      </c>
      <c r="AX242" s="12">
        <f>AW242</f>
        <v>5019.593</v>
      </c>
      <c r="AY242" s="12">
        <f>AX242</f>
        <v>5019.593</v>
      </c>
      <c r="AZ242" s="12">
        <f>AY242</f>
        <v>5019.593</v>
      </c>
      <c r="BA242" s="12">
        <f>AZ242</f>
        <v>5019.593</v>
      </c>
      <c r="BB242" s="12">
        <f>BA242</f>
        <v>5019.593</v>
      </c>
      <c r="BC242" s="12">
        <f>BB242</f>
        <v>5019.593</v>
      </c>
      <c r="BD242" s="12">
        <f>BC242</f>
        <v>5019.593</v>
      </c>
      <c r="BE242" s="12">
        <f>BD242</f>
        <v>5019.593</v>
      </c>
      <c r="BF242" s="12">
        <f>BE242</f>
        <v>5019.593</v>
      </c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hidden="1" outlineLevel="1" ht="12" customHeight="1">
      <c r="C243" s="59" t="inlineStr">
        <is>
          <t>%(Var.)</t>
        </is>
      </c>
      <c r="D243" s="12" t="n"/>
      <c r="E243" s="40" t="n"/>
      <c r="F243" s="40" t="n"/>
      <c r="G243" s="40" t="n"/>
      <c r="H243" s="12" t="n"/>
      <c r="I243" s="40" t="str">
        <f>""</f>
        <v/>
      </c>
      <c r="J243" s="40">
        <f>IF(I242=0,"",J242/I242-1)</f>
        <v>0.00541795755344054</v>
      </c>
      <c r="K243" s="40">
        <f>IF(J242=0,"",K242/J242-1)</f>
        <v>0.00684186529883157</v>
      </c>
      <c r="L243" s="40">
        <f>IF(K242=0,"",L242/K242-1)</f>
        <v>-0.0243797576908787</v>
      </c>
      <c r="M243" s="12">
        <f>IF(L242=0,"",M242/L242-1)</f>
        <v>0</v>
      </c>
      <c r="N243" s="40">
        <f>IF(M242=0,"",N242/M242-1)</f>
        <v>0.0253979747575241</v>
      </c>
      <c r="O243" s="40">
        <f>IF(N242=0,"",O242/N242-1)</f>
        <v>0.0358374430749757</v>
      </c>
      <c r="P243" s="40">
        <f>IF(O242=0,"",P242/O242-1)</f>
        <v>0.0293680069432667</v>
      </c>
      <c r="Q243" s="40">
        <f>IF(P242=0,"",Q242/P242-1)</f>
        <v>-0.069877601491581</v>
      </c>
      <c r="R243" s="12">
        <f>IF(Q242=0,"",R242/Q242-1)</f>
        <v>0</v>
      </c>
      <c r="S243" s="40">
        <f>IF(R242=0,"",S242/R242-1)</f>
        <v>0.0421007259999378</v>
      </c>
      <c r="T243" s="40">
        <f>IF(S242=0,"",T242/S242-1)</f>
        <v>0.0371047734217929</v>
      </c>
      <c r="U243" s="40">
        <f>IF(T242=0,"",U242/T242-1)</f>
        <v>0.0131716846419685</v>
      </c>
      <c r="V243" s="40">
        <f>IF(U242=0,"",V242/U242-1)</f>
        <v>0.0449833061425806</v>
      </c>
      <c r="W243" s="12">
        <f>IF(V242=0,"",W242/V242-1)</f>
        <v>0</v>
      </c>
      <c r="X243" s="40">
        <f>IF(W242=0,"",X242/W242-1)</f>
        <v>-0.007991149072473</v>
      </c>
      <c r="Y243" s="40">
        <f>IF(X242=0,"",Y242/X242-1)</f>
        <v>-0.0295208166643114</v>
      </c>
      <c r="Z243" s="40">
        <f>IF(Y242=0,"",Z242/Y242-1)</f>
        <v>-0.065279904962842</v>
      </c>
      <c r="AA243" s="40">
        <f>IF(Z242=0,"",AA242/Z242-1)</f>
        <v>-0.00131744184287197</v>
      </c>
      <c r="AB243" s="12">
        <f>IF(AA242=0,"",AB242/AA242-1)</f>
        <v>0</v>
      </c>
      <c r="AC243" s="40">
        <f>IF(AB242=0,"",AC242/AB242-1)</f>
        <v>1.60506192457726</v>
      </c>
      <c r="AD243" s="40">
        <f>IF(AC242=0,"",AD242/AC242-1)</f>
        <v>0.0465099949210128</v>
      </c>
      <c r="AE243" s="40">
        <f>IF(AD242=0,"",AE242/AD242-1)</f>
        <v>-0.631311401584164</v>
      </c>
      <c r="AF243" s="41">
        <f>IF(AE242=0,"",AF242/AE242-1)</f>
        <v>-0.0520547578135729</v>
      </c>
      <c r="AG243" s="12">
        <f>IF(AF242=0,"",AG242/AF242-1)</f>
        <v>0</v>
      </c>
      <c r="AH243" s="41">
        <f>IF(AG242=0,"",AH242/AG242-1)</f>
        <v>0.0159334770267245</v>
      </c>
      <c r="AI243" s="41">
        <f>IF(AH242=0,"",AI242/AH242-1)</f>
        <v>1.90971331782906</v>
      </c>
      <c r="AJ243" s="41">
        <f>IF(AI242=0,"",AJ242/AI242-1)</f>
        <v>0</v>
      </c>
      <c r="AK243" s="41">
        <f>IF(AJ242=0,"",AK242/AJ242-1)</f>
        <v>0</v>
      </c>
      <c r="AL243" s="12">
        <f>IF(AK242=0,"",AL242/AK242-1)</f>
        <v>0</v>
      </c>
      <c r="AM243" s="41">
        <f>IF(AL242=0,"",AM242/AL242-1)</f>
        <v>0</v>
      </c>
      <c r="AN243" s="41">
        <f>IF(AM242=0,"",AN242/AM242-1)</f>
        <v>0</v>
      </c>
      <c r="AO243" s="41">
        <f>IF(AN242=0,"",AO242/AN242-1)</f>
        <v>0</v>
      </c>
      <c r="AP243" s="41">
        <f>IF(AO242=0,"",AP242/AO242-1)</f>
        <v>0</v>
      </c>
      <c r="AQ243" s="12">
        <f>IF(AP242=0,"",AQ242/AP242-1)</f>
        <v>0</v>
      </c>
      <c r="AR243" s="41">
        <f>IF(AQ242=0,"",AR242/AQ242-1)</f>
        <v>0</v>
      </c>
      <c r="AS243" s="41">
        <f>IF(AR242=0,"",AS242/AR242-1)</f>
        <v>0</v>
      </c>
      <c r="AT243" s="41">
        <f>IF(AS242=0,"",AT242/AS242-1)</f>
        <v>0</v>
      </c>
      <c r="AU243" s="41">
        <f>IF(AT242=0,"",AU242/AT242-1)</f>
        <v>0</v>
      </c>
      <c r="AV243" s="12">
        <f>IF(AU242=0,"",AV242/AU242-1)</f>
        <v>0</v>
      </c>
      <c r="AW243" s="41">
        <f>IF(AV242=0,"",AW242/AV242-1)</f>
        <v>0</v>
      </c>
      <c r="AX243" s="41">
        <f>IF(AW242=0,"",AX242/AW242-1)</f>
        <v>0</v>
      </c>
      <c r="AY243" s="41">
        <f>IF(AX242=0,"",AY242/AX242-1)</f>
        <v>0</v>
      </c>
      <c r="AZ243" s="41">
        <f>IF(AY242=0,"",AZ242/AY242-1)</f>
        <v>0</v>
      </c>
      <c r="BA243" s="12">
        <f>IF(AZ242=0,"",BA242/AZ242-1)</f>
        <v>0</v>
      </c>
      <c r="BB243" s="41">
        <f>IF(BA242=0,"",BB242/BA242-1)</f>
        <v>0</v>
      </c>
      <c r="BC243" s="41">
        <f>IF(BB242=0,"",BC242/BB242-1)</f>
        <v>0</v>
      </c>
      <c r="BD243" s="41">
        <f>IF(BC242=0,"",BD242/BC242-1)</f>
        <v>0</v>
      </c>
      <c r="BE243" s="41">
        <f>IF(BD242=0,"",BE242/BD242-1)</f>
        <v>0</v>
      </c>
      <c r="BF243" s="12">
        <f>IF(BE242=0,"",BF242/BE242-1)</f>
        <v>0</v>
      </c>
      <c r="BG243" s="41" t="n"/>
      <c r="BH243" s="41" t="n"/>
      <c r="BI243" s="41" t="n"/>
      <c r="BJ243" s="41" t="n"/>
      <c r="BK243" s="12" t="n"/>
      <c r="BL243" s="41" t="n"/>
      <c r="BM243" s="41" t="n"/>
      <c r="BN243" s="41" t="n"/>
      <c r="BO243" s="41" t="n"/>
      <c r="BP243" s="12" t="n"/>
      <c r="BQ243" s="41" t="n"/>
      <c r="BR243" s="41" t="n"/>
      <c r="BS243" s="41" t="n"/>
      <c r="BT243" s="41" t="n"/>
      <c r="BU243" s="12" t="n"/>
      <c r="BV243" s="41" t="n"/>
      <c r="BW243" s="41" t="n"/>
      <c r="BX243" s="41" t="n"/>
      <c r="BY243" s="41" t="n"/>
      <c r="BZ243" s="12" t="n"/>
      <c r="CA243" s="41" t="n"/>
      <c r="CB243" s="41" t="n"/>
      <c r="CC243" s="41" t="n"/>
      <c r="CD243" s="41" t="n"/>
      <c r="CE243" s="12" t="n"/>
      <c r="CF243" s="41" t="n"/>
      <c r="CG243" s="41" t="n"/>
      <c r="CH243" s="41" t="n"/>
      <c r="CI243" s="41" t="n"/>
      <c r="CJ243" s="12" t="n"/>
      <c r="CK243" s="41" t="n"/>
      <c r="CL243" s="41" t="n"/>
      <c r="CM243" s="41" t="n"/>
      <c r="CN243" s="41" t="n"/>
      <c r="CO243" s="12" t="n"/>
      <c r="CP243" s="41" t="n"/>
      <c r="CQ243" s="41" t="n"/>
      <c r="CR243" s="41" t="n"/>
      <c r="CS243" s="41" t="n"/>
      <c r="CT243" s="12" t="n"/>
      <c r="CU243" s="41" t="n"/>
      <c r="CV243" s="41" t="n"/>
      <c r="CW243" s="41" t="n"/>
      <c r="CX243" s="41" t="n"/>
      <c r="CY243" s="12" t="n"/>
    </row>
    <row r="244" hidden="1" outlineLevel="1" ht="12" customHeight="1">
      <c r="C244" s="59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>
      <c r="C245" s="57" t="inlineStr">
        <is>
          <t>Contas a pagar pela aquisição de controladas</t>
        </is>
      </c>
      <c r="D245" s="11" t="n"/>
      <c r="E245" s="11" t="n"/>
      <c r="F245" s="11" t="n"/>
      <c r="G245" s="11" t="n"/>
      <c r="H245" s="12" t="n"/>
      <c r="I245" s="11" t="n"/>
      <c r="J245" s="11" t="n"/>
      <c r="K245" s="11" t="n"/>
      <c r="L245" s="11" t="n"/>
      <c r="M245" s="12" t="n"/>
      <c r="N245" s="11" t="n"/>
      <c r="O245" s="11" t="n"/>
      <c r="P245" s="11" t="n"/>
      <c r="Q245" s="11" t="n"/>
      <c r="R245" s="12" t="n"/>
      <c r="S245" s="11" t="n"/>
      <c r="T245" s="11" t="n"/>
      <c r="U245" s="11" t="n"/>
      <c r="V245" s="11" t="n"/>
      <c r="W245" s="12" t="n"/>
      <c r="X245" s="11" t="n"/>
      <c r="Y245" s="11" t="n"/>
      <c r="Z245" s="11" t="n"/>
      <c r="AA245" s="11" t="n"/>
      <c r="AB245" s="12" t="n"/>
      <c r="AC245" s="11" t="n"/>
      <c r="AD245" s="11" t="n"/>
      <c r="AE245" s="11" t="n"/>
      <c r="AF245" s="11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  <c r="BN245" s="12" t="n"/>
      <c r="BO245" s="12" t="n"/>
      <c r="BP245" s="12" t="n"/>
      <c r="BQ245" s="12" t="n"/>
      <c r="BR245" s="12" t="n"/>
      <c r="BS245" s="12" t="n"/>
      <c r="BT245" s="12" t="n"/>
      <c r="BU245" s="12" t="n"/>
      <c r="BV245" s="12" t="n"/>
      <c r="BW245" s="12" t="n"/>
      <c r="BX245" s="12" t="n"/>
      <c r="BY245" s="12" t="n"/>
      <c r="BZ245" s="12" t="n"/>
      <c r="CA245" s="12" t="n"/>
      <c r="CB245" s="12" t="n"/>
      <c r="CC245" s="12" t="n"/>
      <c r="CD245" s="12" t="n"/>
      <c r="CE245" s="12" t="n"/>
      <c r="CF245" s="12" t="n"/>
      <c r="CG245" s="12" t="n"/>
      <c r="CH245" s="12" t="n"/>
      <c r="CI245" s="12" t="n"/>
      <c r="CJ245" s="12" t="n"/>
      <c r="CK245" s="12" t="n"/>
      <c r="CL245" s="12" t="n"/>
      <c r="CM245" s="12" t="n"/>
      <c r="CN245" s="12" t="n"/>
      <c r="CO245" s="12" t="n"/>
      <c r="CP245" s="12" t="n"/>
      <c r="CQ245" s="12" t="n"/>
      <c r="CR245" s="12" t="n"/>
      <c r="CS245" s="12" t="n"/>
      <c r="CT245" s="12" t="n"/>
      <c r="CU245" s="12" t="n"/>
      <c r="CV245" s="12" t="n"/>
      <c r="CW245" s="12" t="n"/>
      <c r="CX245" s="12" t="n"/>
      <c r="CY245" s="12" t="n"/>
    </row>
    <row r="246" hidden="1" outlineLevel="1">
      <c r="C246" s="57" t="inlineStr">
        <is>
          <t xml:space="preserve">Outras Obrigações </t>
        </is>
      </c>
      <c r="D246" s="11" t="n"/>
      <c r="E246" s="11" t="n"/>
      <c r="F246" s="11" t="n"/>
      <c r="G246" s="11" t="n"/>
      <c r="H246" s="12" t="n"/>
      <c r="I246" s="11" t="n"/>
      <c r="J246" s="11" t="n"/>
      <c r="K246" s="11" t="n"/>
      <c r="L246" s="11" t="n"/>
      <c r="M246" s="12" t="n"/>
      <c r="N246" s="11" t="n"/>
      <c r="O246" s="11" t="n"/>
      <c r="P246" s="11" t="n"/>
      <c r="Q246" s="11" t="n"/>
      <c r="R246" s="12" t="n"/>
      <c r="S246" s="11" t="n"/>
      <c r="T246" s="11" t="n"/>
      <c r="U246" s="11" t="n"/>
      <c r="V246" s="11" t="n"/>
      <c r="W246" s="12" t="n"/>
      <c r="X246" s="11" t="n"/>
      <c r="Y246" s="11" t="n"/>
      <c r="Z246" s="11" t="n"/>
      <c r="AA246" s="11" t="n"/>
      <c r="AB246" s="12" t="n"/>
      <c r="AC246" s="11" t="n"/>
      <c r="AD246" s="11" t="n"/>
      <c r="AE246" s="11" t="n"/>
      <c r="AF246" s="11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  <c r="BJ246" s="12" t="n"/>
      <c r="BK246" s="12" t="n"/>
      <c r="BL246" s="12" t="n"/>
      <c r="BM246" s="12" t="n"/>
      <c r="BN246" s="12" t="n"/>
      <c r="BO246" s="12" t="n"/>
      <c r="BP246" s="12" t="n"/>
      <c r="BQ246" s="12" t="n"/>
      <c r="BR246" s="12" t="n"/>
      <c r="BS246" s="12" t="n"/>
      <c r="BT246" s="12" t="n"/>
      <c r="BU246" s="12" t="n"/>
      <c r="BV246" s="12" t="n"/>
      <c r="BW246" s="12" t="n"/>
      <c r="BX246" s="12" t="n"/>
      <c r="BY246" s="12" t="n"/>
      <c r="BZ246" s="12" t="n"/>
      <c r="CA246" s="12" t="n"/>
      <c r="CB246" s="12" t="n"/>
      <c r="CC246" s="12" t="n"/>
      <c r="CD246" s="12" t="n"/>
      <c r="CE246" s="12" t="n"/>
      <c r="CF246" s="12" t="n"/>
      <c r="CG246" s="12" t="n"/>
      <c r="CH246" s="12" t="n"/>
      <c r="CI246" s="12" t="n"/>
      <c r="CJ246" s="12" t="n"/>
      <c r="CK246" s="12" t="n"/>
      <c r="CL246" s="12" t="n"/>
      <c r="CM246" s="12" t="n"/>
      <c r="CN246" s="12" t="n"/>
      <c r="CO246" s="12" t="n"/>
      <c r="CP246" s="12" t="n"/>
      <c r="CQ246" s="12" t="n"/>
      <c r="CR246" s="12" t="n"/>
      <c r="CS246" s="12" t="n"/>
      <c r="CT246" s="12" t="n"/>
      <c r="CU246" s="12" t="n"/>
      <c r="CV246" s="12" t="n"/>
      <c r="CW246" s="12" t="n"/>
      <c r="CX246" s="12" t="n"/>
      <c r="CY246" s="12" t="n"/>
    </row>
    <row r="247" hidden="1" outlineLevel="1">
      <c r="C247" s="57" t="inlineStr">
        <is>
          <t xml:space="preserve">Provisão de Risco Cíveis, Trabalhistas e Tributários </t>
        </is>
      </c>
      <c r="D247" s="11" t="n"/>
      <c r="E247" s="11" t="n"/>
      <c r="F247" s="11" t="n"/>
      <c r="G247" s="11" t="n"/>
      <c r="H247" s="12" t="n"/>
      <c r="I247" s="11" t="n"/>
      <c r="J247" s="11" t="n"/>
      <c r="K247" s="11" t="n"/>
      <c r="L247" s="11" t="n"/>
      <c r="M247" s="12" t="n"/>
      <c r="N247" s="11" t="n"/>
      <c r="O247" s="11" t="n"/>
      <c r="P247" s="11" t="n"/>
      <c r="Q247" s="11" t="n"/>
      <c r="R247" s="12" t="n"/>
      <c r="S247" s="11" t="n"/>
      <c r="T247" s="11" t="n"/>
      <c r="U247" s="11" t="n"/>
      <c r="V247" s="11" t="n"/>
      <c r="W247" s="12" t="n"/>
      <c r="X247" s="11" t="n"/>
      <c r="Y247" s="11" t="n"/>
      <c r="Z247" s="11" t="n"/>
      <c r="AA247" s="11" t="n"/>
      <c r="AB247" s="12" t="n"/>
      <c r="AC247" s="11" t="n"/>
      <c r="AD247" s="11" t="n"/>
      <c r="AE247" s="11" t="n"/>
      <c r="AF247" s="11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  <c r="BJ247" s="12" t="n"/>
      <c r="BK247" s="12" t="n"/>
      <c r="BL247" s="12" t="n"/>
      <c r="BM247" s="12" t="n"/>
      <c r="BN247" s="12" t="n"/>
      <c r="BO247" s="12" t="n"/>
      <c r="BP247" s="12" t="n"/>
      <c r="BQ247" s="12" t="n"/>
      <c r="BR247" s="12" t="n"/>
      <c r="BS247" s="12" t="n"/>
      <c r="BT247" s="12" t="n"/>
      <c r="BU247" s="12" t="n"/>
      <c r="BV247" s="12" t="n"/>
      <c r="BW247" s="12" t="n"/>
      <c r="BX247" s="12" t="n"/>
      <c r="BY247" s="12" t="n"/>
      <c r="BZ247" s="12" t="n"/>
      <c r="CA247" s="12" t="n"/>
      <c r="CB247" s="12" t="n"/>
      <c r="CC247" s="12" t="n"/>
      <c r="CD247" s="12" t="n"/>
      <c r="CE247" s="12" t="n"/>
      <c r="CF247" s="12" t="n"/>
      <c r="CG247" s="12" t="n"/>
      <c r="CH247" s="12" t="n"/>
      <c r="CI247" s="12" t="n"/>
      <c r="CJ247" s="12" t="n"/>
      <c r="CK247" s="12" t="n"/>
      <c r="CL247" s="12" t="n"/>
      <c r="CM247" s="12" t="n"/>
      <c r="CN247" s="12" t="n"/>
      <c r="CO247" s="12" t="n"/>
      <c r="CP247" s="12" t="n"/>
      <c r="CQ247" s="12" t="n"/>
      <c r="CR247" s="12" t="n"/>
      <c r="CS247" s="12" t="n"/>
      <c r="CT247" s="12" t="n"/>
      <c r="CU247" s="12" t="n"/>
      <c r="CV247" s="12" t="n"/>
      <c r="CW247" s="12" t="n"/>
      <c r="CX247" s="12" t="n"/>
      <c r="CY247" s="12" t="n"/>
    </row>
    <row r="248" hidden="1" outlineLevel="1">
      <c r="C248" s="57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  <c r="BN248" s="12" t="n"/>
      <c r="BO248" s="12" t="n"/>
      <c r="BP248" s="12" t="n"/>
      <c r="BQ248" s="12" t="n"/>
      <c r="BR248" s="12" t="n"/>
      <c r="BS248" s="12" t="n"/>
      <c r="BT248" s="12" t="n"/>
      <c r="BU248" s="12" t="n"/>
      <c r="BV248" s="12" t="n"/>
      <c r="BW248" s="12" t="n"/>
      <c r="BX248" s="12" t="n"/>
      <c r="BY248" s="12" t="n"/>
      <c r="BZ248" s="12" t="n"/>
      <c r="CA248" s="12" t="n"/>
      <c r="CB248" s="12" t="n"/>
      <c r="CC248" s="12" t="n"/>
      <c r="CD248" s="12" t="n"/>
      <c r="CE248" s="12" t="n"/>
      <c r="CF248" s="12" t="n"/>
      <c r="CG248" s="12" t="n"/>
      <c r="CH248" s="12" t="n"/>
      <c r="CI248" s="12" t="n"/>
      <c r="CJ248" s="12" t="n"/>
      <c r="CK248" s="12" t="n"/>
      <c r="CL248" s="12" t="n"/>
      <c r="CM248" s="12" t="n"/>
      <c r="CN248" s="12" t="n"/>
      <c r="CO248" s="12" t="n"/>
      <c r="CP248" s="12" t="n"/>
      <c r="CQ248" s="12" t="n"/>
      <c r="CR248" s="12" t="n"/>
      <c r="CS248" s="12" t="n"/>
      <c r="CT248" s="12" t="n"/>
      <c r="CU248" s="12" t="n"/>
      <c r="CV248" s="12" t="n"/>
      <c r="CW248" s="12" t="n"/>
      <c r="CX248" s="12" t="n"/>
      <c r="CY248" s="12" t="n"/>
    </row>
    <row r="249" collapsed="1" customFormat="1" s="32">
      <c r="A249" s="30" t="n"/>
      <c r="B249" s="30" t="n"/>
      <c r="C249" s="65" t="inlineStr">
        <is>
          <t>Total Liabilities</t>
        </is>
      </c>
      <c r="D249" s="35" t="n"/>
      <c r="E249" s="35" t="n"/>
      <c r="F249" s="35" t="n"/>
      <c r="G249" s="35" t="n"/>
      <c r="H249" s="35" t="n"/>
      <c r="I249" s="35">
        <f>SUM(I200+I204+I206+I207+I214+I215+I216+I219+I237+I240+I241+I242)</f>
        <v>6739.375</v>
      </c>
      <c r="J249" s="35">
        <f>SUM(J200+J204+J206+J207+J214+J215+J216+J219+J237+J240+J241+J242)</f>
        <v>6558.216</v>
      </c>
      <c r="K249" s="35">
        <f>SUM(K200+K204+K206+K207+K214+K215+K216+K219+K237+K240+K241+K242)</f>
        <v>6747.709</v>
      </c>
      <c r="L249" s="35">
        <f>SUM(L200+L204+L206+L207+L214+L215+L216+L219+L237+L240+L241+L242)</f>
        <v>6814.247</v>
      </c>
      <c r="M249" s="35">
        <f>SUM(M200,M204,M206,M207,M214,M215,M219,M216,M237,M240,M241,M242)</f>
        <v>6814.247</v>
      </c>
      <c r="N249" s="35">
        <f>SUM(N200+N204+N206+N207+N214+N215+N216+N219+N237+N240+N241+N242)</f>
        <v>7511.262</v>
      </c>
      <c r="O249" s="35">
        <f>SUM(O200+O204+O206+O207+O214+O215+O216+O219+O237+O240+O241+O242)</f>
        <v>7524.531</v>
      </c>
      <c r="P249" s="35">
        <f>SUM(P200+P204+P206+P207+P214+P215+P216+P219+P237+P240+P241+P242)</f>
        <v>7758.514</v>
      </c>
      <c r="Q249" s="35">
        <f>SUM(Q200+Q204+Q206+Q207+Q214+Q215+Q216+Q219+Q237+Q240+Q241+Q242)</f>
        <v>7870.309</v>
      </c>
      <c r="R249" s="35">
        <f>SUM(R200,R204,R206,R207,R214,R215,R219,R216,R237,R240,R241,R242)</f>
        <v>7870.309</v>
      </c>
      <c r="S249" s="35">
        <f>SUM(S200+S204+S206+S207+S214+S215+S216+S219+S237+S240+S241+S242)</f>
        <v>8040.52</v>
      </c>
      <c r="T249" s="35">
        <f>SUM(T200+T204+T206+T207+T214+T215+T216+T219+T237+T240+T241+T242)</f>
        <v>8605.378</v>
      </c>
      <c r="U249" s="35">
        <f>SUM(U200+U204+U206+U207+U214+U215+U216+U219+U237+U240+U241+U242)</f>
        <v>8818.056</v>
      </c>
      <c r="V249" s="35">
        <f>SUM(V200+V204+V206+V207+V214+V215+V216+V219+V237+V240+V241+V242)</f>
        <v>9059.705</v>
      </c>
      <c r="W249" s="35">
        <f>SUM(W200,W204,W206,W207,W214,W215,W219,W216,W237,W240,W241,W242)</f>
        <v>9059.705</v>
      </c>
      <c r="X249" s="35">
        <f>SUM(X200+X204+X206+X207+X214+X215+X216+X219+X237+X240+X241+X242)</f>
        <v>9703.861</v>
      </c>
      <c r="Y249" s="35">
        <f>SUM(Y200+Y204+Y206+Y207+Y214+Y215+Y216+Y219+Y237+Y240+Y241+Y242)</f>
        <v>9557.603</v>
      </c>
      <c r="Z249" s="35">
        <f>SUM(Z200+Z204+Z206+Z207+Z214+Z215+Z216+Z219+Z237+Z240+Z241+Z242)</f>
        <v>9576.987</v>
      </c>
      <c r="AA249" s="35">
        <f>SUM(AA200+AA204+AA206+AA207+AA214+AA215+AA216+AA219+AA237+AA240+AA241+AA242)</f>
        <v>9679.293</v>
      </c>
      <c r="AB249" s="35">
        <f>SUM(AB200,AB204,AB206,AB207,AB214,AB215,AB219,AB216,AB237,AB240,AB241,AB242)</f>
        <v>9679.293</v>
      </c>
      <c r="AC249" s="35">
        <f>SUM(AC200+AC204+AC206+AC207+AC214+AC215+AC216+AC219+AC237+AC240+AC241+AC242)</f>
        <v>12841.102</v>
      </c>
      <c r="AD249" s="35">
        <f>SUM(AD200+AD204+AD206+AD207+AD214+AD215+AD216+AD219+AD237+AD240+AD241+AD242)</f>
        <v>13130.174</v>
      </c>
      <c r="AE249" s="35">
        <f>SUM(AE200+AE204+AE206+AE207+AE214+AE215+AE216+AE219+AE237+AE240+AE241+AE242)</f>
        <v>13971.434</v>
      </c>
      <c r="AF249" s="35">
        <f>SUM(AF200+AF204+AF206+AF207+AF214+AF215+AF216+AF219+AF237+AF240+AF241+AF242)</f>
        <v>14118.143</v>
      </c>
      <c r="AG249" s="35">
        <f>SUM(AG200,AG204,AG206,AG207,AG214,AG215,AG219,AG216,AG237,AG240,AG241,AG242)</f>
        <v>14118.143</v>
      </c>
      <c r="AH249" s="35">
        <f>SUM(AH200+AH204+AH206+AH207+AH214+AH215+AH216+AH219+AH237+AH240+AH241+AH242)</f>
        <v>14127.448</v>
      </c>
      <c r="AI249" s="35">
        <f>SUM(AI200+AI204+AI206+AI207+AI214+AI215+AI216+AI219+AI237+AI240+AI241+AI242)</f>
        <v>14428.686</v>
      </c>
      <c r="AJ249" s="35">
        <f>SUM(AJ200+AJ204+AJ206+AJ207+AJ214+AJ215+AJ216+AJ219+AJ237+AJ240+AJ241+AJ242)</f>
        <v>14480.7665231529</v>
      </c>
      <c r="AK249" s="35">
        <f>SUM(AK200+AK204+AK206+AK207+AK214+AK215+AK216+AK219+AK237+AK240+AK241+AK242)</f>
        <v>14510.2152491576</v>
      </c>
      <c r="AL249" s="35">
        <f>SUM(AL200,AL204,AL206,AL207,AL214,AL215,AL219,AL216,AL237,AL240,AL241,AL242)</f>
        <v>14510.2152491576</v>
      </c>
      <c r="AM249" s="35">
        <f>SUM(AM200+AM204+AM206+AM207+AM214+AM215+AM216+AM219+AM237+AM240+AM241+AM242)</f>
        <v>14543.0168905059</v>
      </c>
      <c r="AN249" s="35">
        <f>SUM(AN200+AN204+AN206+AN207+AN214+AN215+AN216+AN219+AN237+AN240+AN241+AN242)</f>
        <v>14538.5953805868</v>
      </c>
      <c r="AO249" s="35">
        <f>SUM(AO200+AO204+AO206+AO207+AO214+AO215+AO216+AO219+AO237+AO240+AO241+AO242)</f>
        <v>14550.9082536385</v>
      </c>
      <c r="AP249" s="35">
        <f>SUM(AP200+AP204+AP206+AP207+AP214+AP215+AP216+AP219+AP237+AP240+AP241+AP242)</f>
        <v>14584.5275873234</v>
      </c>
      <c r="AQ249" s="35">
        <f>SUM(AQ200,AQ204,AQ206,AQ207,AQ214,AQ215,AQ219,AQ216,AQ237,AQ240,AQ241,AQ242)</f>
        <v>14584.5275873234</v>
      </c>
      <c r="AR249" s="35">
        <f>SUM(AR200+AR204+AR206+AR207+AR214+AR215+AR216+AR219+AR237+AR240+AR241+AR242)</f>
        <v>14613.3080750797</v>
      </c>
      <c r="AS249" s="35">
        <f>SUM(AS200+AS204+AS206+AS207+AS214+AS215+AS216+AS219+AS237+AS240+AS241+AS242)</f>
        <v>14615.3445851409</v>
      </c>
      <c r="AT249" s="35">
        <f>SUM(AT200+AT204+AT206+AT207+AT214+AT215+AT216+AT219+AT237+AT240+AT241+AT242)</f>
        <v>14629.8846227609</v>
      </c>
      <c r="AU249" s="35">
        <f>SUM(AU200+AU204+AU206+AU207+AU214+AU215+AU216+AU219+AU237+AU240+AU241+AU242)</f>
        <v>14667.0757358915</v>
      </c>
      <c r="AV249" s="35">
        <f>SUM(AV200,AV204,AV206,AV207,AV214,AV215,AV219,AV216,AV237,AV240,AV241,AV242)</f>
        <v>14667.0757358915</v>
      </c>
      <c r="AW249" s="35">
        <f>SUM(AW200+AW204+AW206+AW207+AW214+AW215+AW216+AW219+AW237+AW240+AW241+AW242)</f>
        <v>14702.1590307868</v>
      </c>
      <c r="AX249" s="35">
        <f>SUM(AX200+AX204+AX206+AX207+AX214+AX215+AX216+AX219+AX237+AX240+AX241+AX242)</f>
        <v>14700.1019163048</v>
      </c>
      <c r="AY249" s="35">
        <f>SUM(AY200+AY204+AY206+AY207+AY214+AY215+AY216+AY219+AY237+AY240+AY241+AY242)</f>
        <v>14716.8634005103</v>
      </c>
      <c r="AZ249" s="35">
        <f>SUM(AZ200+AZ204+AZ206+AZ207+AZ214+AZ215+AZ216+AZ219+AZ237+AZ240+AZ241+AZ242)</f>
        <v>14757.5677625179</v>
      </c>
      <c r="BA249" s="35">
        <f>SUM(BA200,BA204,BA206,BA207,BA214,BA215,BA219,BA216,BA237,BA240,BA241,BA242)</f>
        <v>14757.5677625179</v>
      </c>
      <c r="BB249" s="35">
        <f>SUM(BB200+BB204+BB206+BB207+BB214+BB215+BB216+BB219+BB237+BB240+BB241+BB242)</f>
        <v>14793.2584308324</v>
      </c>
      <c r="BC249" s="35">
        <f>SUM(BC200+BC204+BC206+BC207+BC214+BC215+BC216+BC219+BC237+BC240+BC241+BC242)</f>
        <v>14792.3164358645</v>
      </c>
      <c r="BD249" s="35">
        <f>SUM(BD200+BD204+BD206+BD207+BD214+BD215+BD216+BD219+BD237+BD240+BD241+BD242)</f>
        <v>14811.1505514955</v>
      </c>
      <c r="BE249" s="35">
        <f>SUM(BE200+BE204+BE206+BE207+BE214+BE215+BE216+BE219+BE237+BE240+BE241+BE242)</f>
        <v>14855.1449544045</v>
      </c>
      <c r="BF249" s="35">
        <f>SUM(BF200,BF204,BF206,BF207,BF214,BF215,BF219,BF216,BF237,BF240,BF241,BF242)</f>
        <v>14855.1449544045</v>
      </c>
      <c r="BG249" s="35" t="n"/>
      <c r="BH249" s="35" t="n"/>
      <c r="BI249" s="35" t="n"/>
      <c r="BJ249" s="35" t="n"/>
      <c r="BK249" s="35" t="n"/>
      <c r="BL249" s="35" t="n"/>
      <c r="BM249" s="35" t="n"/>
      <c r="BN249" s="35" t="n"/>
      <c r="BO249" s="35" t="n"/>
      <c r="BP249" s="35" t="n"/>
      <c r="BQ249" s="35" t="n"/>
      <c r="BR249" s="35" t="n"/>
      <c r="BS249" s="35" t="n"/>
      <c r="BT249" s="35" t="n"/>
      <c r="BU249" s="35" t="n"/>
      <c r="BV249" s="35" t="n"/>
      <c r="BW249" s="35" t="n"/>
      <c r="BX249" s="35" t="n"/>
      <c r="BY249" s="35" t="n"/>
      <c r="BZ249" s="35" t="n"/>
      <c r="CA249" s="35" t="n"/>
      <c r="CB249" s="35" t="n"/>
      <c r="CC249" s="35" t="n"/>
      <c r="CD249" s="35" t="n"/>
      <c r="CE249" s="35" t="n"/>
      <c r="CF249" s="35" t="n"/>
      <c r="CG249" s="35" t="n"/>
      <c r="CH249" s="35" t="n"/>
      <c r="CI249" s="35" t="n"/>
      <c r="CJ249" s="35" t="n"/>
      <c r="CK249" s="35" t="n"/>
      <c r="CL249" s="35" t="n"/>
      <c r="CM249" s="35" t="n"/>
      <c r="CN249" s="35" t="n"/>
      <c r="CO249" s="35" t="n"/>
      <c r="CP249" s="35" t="n"/>
      <c r="CQ249" s="35" t="n"/>
      <c r="CR249" s="35" t="n"/>
      <c r="CS249" s="35" t="n"/>
      <c r="CT249" s="35" t="n"/>
      <c r="CU249" s="35" t="n"/>
      <c r="CV249" s="35" t="n"/>
      <c r="CW249" s="35" t="n"/>
      <c r="CX249" s="35" t="n"/>
      <c r="CY249" s="35" t="n"/>
    </row>
    <row r="250">
      <c r="C250" s="14" t="inlineStr">
        <is>
          <t>Minority interest</t>
        </is>
      </c>
      <c r="D250" s="46" t="n"/>
      <c r="E250" s="46" t="n"/>
      <c r="F250" s="46" t="n"/>
      <c r="G250" s="46" t="n"/>
      <c r="H250" s="12" t="n"/>
      <c r="I250" s="46">
        <f>'Inputs (2)'!D41</f>
        <v>0</v>
      </c>
      <c r="J250" s="46">
        <f>'Inputs (2)'!E41</f>
        <v>0</v>
      </c>
      <c r="K250" s="46">
        <f>'Inputs (2)'!F41</f>
        <v>0</v>
      </c>
      <c r="L250" s="46">
        <f>'Inputs (2)'!G41</f>
        <v>0</v>
      </c>
      <c r="M250" s="12">
        <f>'Inputs (2)'!H41</f>
        <v>0</v>
      </c>
      <c r="N250" s="46">
        <f>'Inputs (2)'!I41</f>
        <v>0</v>
      </c>
      <c r="O250" s="46">
        <f>'Inputs (2)'!J41</f>
        <v>0</v>
      </c>
      <c r="P250" s="46">
        <f>'Inputs (2)'!K41</f>
        <v>0</v>
      </c>
      <c r="Q250" s="46">
        <f>'Inputs (2)'!L41</f>
        <v>0</v>
      </c>
      <c r="R250" s="12">
        <f>'Inputs (2)'!M41</f>
        <v>0</v>
      </c>
      <c r="S250" s="46">
        <f>'Inputs (2)'!N41</f>
        <v>0</v>
      </c>
      <c r="T250" s="46">
        <f>'Inputs (2)'!O41</f>
        <v>0</v>
      </c>
      <c r="U250" s="46">
        <f>'Inputs (2)'!P41</f>
        <v>0</v>
      </c>
      <c r="V250" s="46">
        <f>'Inputs (2)'!Q41</f>
        <v>0</v>
      </c>
      <c r="W250" s="12">
        <f>'Inputs (2)'!R41</f>
        <v>0</v>
      </c>
      <c r="X250" s="46">
        <f>'Inputs (2)'!S41</f>
        <v>0</v>
      </c>
      <c r="Y250" s="46">
        <f>'Inputs (2)'!T41</f>
        <v>0</v>
      </c>
      <c r="Z250" s="46">
        <f>'Inputs (2)'!U41</f>
        <v>0</v>
      </c>
      <c r="AA250" s="46">
        <f>'Inputs (2)'!V41</f>
        <v>0</v>
      </c>
      <c r="AB250" s="12">
        <f>'Inputs (2)'!W41</f>
        <v>0</v>
      </c>
      <c r="AC250" s="46">
        <f>'Inputs (2)'!X41</f>
        <v>0</v>
      </c>
      <c r="AD250" s="46">
        <f>'Inputs (2)'!Y41</f>
        <v>0</v>
      </c>
      <c r="AE250" s="46">
        <f>'Inputs (2)'!Z41</f>
        <v>0</v>
      </c>
      <c r="AF250" s="46">
        <f>'Inputs (2)'!AA41</f>
        <v>0</v>
      </c>
      <c r="AG250" s="12">
        <f>'Inputs (2)'!AB41</f>
        <v>0</v>
      </c>
      <c r="AH250" s="12">
        <f>'Inputs (2)'!AC41</f>
        <v>0</v>
      </c>
      <c r="AI250" s="12">
        <f>'Inputs (2)'!AD41</f>
        <v>0</v>
      </c>
      <c r="AJ250" s="12">
        <f>AI250</f>
        <v>0</v>
      </c>
      <c r="AK250" s="12">
        <f>AJ250</f>
        <v>0</v>
      </c>
      <c r="AL250" s="12">
        <f>AK250</f>
        <v>0</v>
      </c>
      <c r="AM250" s="12">
        <f>AL250</f>
        <v>0</v>
      </c>
      <c r="AN250" s="12">
        <f>AM250</f>
        <v>0</v>
      </c>
      <c r="AO250" s="12">
        <f>AN250</f>
        <v>0</v>
      </c>
      <c r="AP250" s="12">
        <f>AO250</f>
        <v>0</v>
      </c>
      <c r="AQ250" s="12">
        <f>AP250</f>
        <v>0</v>
      </c>
      <c r="AR250" s="12">
        <f>AQ250</f>
        <v>0</v>
      </c>
      <c r="AS250" s="12">
        <f>AR250</f>
        <v>0</v>
      </c>
      <c r="AT250" s="12">
        <f>AS250</f>
        <v>0</v>
      </c>
      <c r="AU250" s="12">
        <f>AT250</f>
        <v>0</v>
      </c>
      <c r="AV250" s="12">
        <f>AU250</f>
        <v>0</v>
      </c>
      <c r="AW250" s="12">
        <f>AV250</f>
        <v>0</v>
      </c>
      <c r="AX250" s="12">
        <f>AW250</f>
        <v>0</v>
      </c>
      <c r="AY250" s="12">
        <f>AX250</f>
        <v>0</v>
      </c>
      <c r="AZ250" s="12">
        <f>AY250</f>
        <v>0</v>
      </c>
      <c r="BA250" s="12">
        <f>AZ250</f>
        <v>0</v>
      </c>
      <c r="BB250" s="12">
        <f>BA250</f>
        <v>0</v>
      </c>
      <c r="BC250" s="12">
        <f>BB250</f>
        <v>0</v>
      </c>
      <c r="BD250" s="12">
        <f>BC250</f>
        <v>0</v>
      </c>
      <c r="BE250" s="12">
        <f>BD250</f>
        <v>0</v>
      </c>
      <c r="BF250" s="12">
        <f>BE250</f>
        <v>0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 customFormat="1" s="66">
      <c r="A251" s="37" t="n"/>
      <c r="B251" s="37" t="n"/>
      <c r="C251" s="59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hidden="1" outlineLevel="1" customFormat="1" s="66">
      <c r="A252" s="37" t="n"/>
      <c r="B252" s="37" t="n"/>
      <c r="C252" s="57" t="inlineStr">
        <is>
          <t>Minority Interest Expense - % YoY</t>
        </is>
      </c>
      <c r="D252" s="42" t="n"/>
      <c r="E252" s="58" t="n"/>
      <c r="F252" s="42" t="n"/>
      <c r="G252" s="42" t="n"/>
      <c r="H252" s="58" t="n"/>
      <c r="I252" s="42" t="n"/>
      <c r="J252" s="58">
        <f>IF(I137=0,0,J137/I137-1)</f>
        <v>0.797752808988764</v>
      </c>
      <c r="K252" s="42" t="n"/>
      <c r="L252" s="42" t="n"/>
      <c r="M252" s="58" t="n"/>
      <c r="N252" s="58">
        <f>IF(I137=0,0,N137/I137-1)</f>
        <v>0.687640449438202</v>
      </c>
      <c r="O252" s="58">
        <f>IF(J137=0,0,O137/J137-1)</f>
        <v>0.0587499999999999</v>
      </c>
      <c r="P252" s="58">
        <f>IF(K137=0,0,P137/K137-1)</f>
        <v>-0.428179322964318</v>
      </c>
      <c r="Q252" s="58">
        <f>IF(L137=0,0,Q137/L137-1)</f>
        <v>0.737096774193548</v>
      </c>
      <c r="R252" s="58" t="n"/>
      <c r="S252" s="58">
        <f>IF(N137=0,0,S137/N137-1)</f>
        <v>-0.44474034620506</v>
      </c>
      <c r="T252" s="58">
        <f>IF(O137=0,0,T137/O137-1)</f>
        <v>-0.798110979929162</v>
      </c>
      <c r="U252" s="58">
        <f>IF(P137=0,0,U137/P137-1)</f>
        <v>-0.4224</v>
      </c>
      <c r="V252" s="58">
        <f>IF(Q137=0,0,V137/Q137-1)</f>
        <v>3.00557103064067</v>
      </c>
      <c r="W252" s="58">
        <f>IF(R138=0,0,W138/R138-1)</f>
        <v>0</v>
      </c>
      <c r="X252" s="58">
        <f>IF(S137=0,0,X137/S137-1)</f>
        <v>-1</v>
      </c>
      <c r="Y252" s="58">
        <f>IF(T137=0,0,Y137/T137-1)</f>
        <v>-1</v>
      </c>
      <c r="Z252" s="58">
        <f>IF(U137=0,0,Z137/U137-1)</f>
        <v>-1</v>
      </c>
      <c r="AA252" s="58">
        <f>IF(V137=0,0,AA137/V137-1)</f>
        <v>-1</v>
      </c>
      <c r="AB252" s="58">
        <f>IF(W138=0,0,AB138/W138-1)</f>
        <v>0</v>
      </c>
      <c r="AC252" s="58">
        <f>IF(X137=0,0,AC137/X137-1)</f>
        <v>0</v>
      </c>
      <c r="AD252" s="58">
        <f>IF(Y137=0,0,AD137/Y137-1)</f>
        <v>0</v>
      </c>
      <c r="AE252" s="58">
        <f>IF(Z137=0,0,AE137/Z137-1)</f>
        <v>0</v>
      </c>
      <c r="AF252" s="58">
        <f>IF(AA137=0,0,AF137/AA137-1)</f>
        <v>0</v>
      </c>
      <c r="AG252" s="58">
        <f>IF(AB138=0,0,AG138/AB138-1)</f>
        <v>0</v>
      </c>
      <c r="AH252" s="62">
        <f>IF(AC137=0,0,AH137/AC137-1)</f>
        <v>0</v>
      </c>
      <c r="AI252" s="62">
        <f>IF(AD137=0,0,AI137/AD137-1)</f>
        <v>0</v>
      </c>
      <c r="AJ252" s="62" t="n"/>
      <c r="AK252" s="62" t="n"/>
      <c r="AL252" s="58">
        <f>IF(AG138=0,0,AL138/AG138-1)</f>
        <v>0</v>
      </c>
      <c r="AM252" s="62" t="n"/>
      <c r="AN252" s="62" t="n"/>
      <c r="AO252" s="62" t="n"/>
      <c r="AP252" s="62" t="n"/>
      <c r="AQ252" s="58">
        <f>IF(AL138=0,0,AQ138/AL138-1)</f>
        <v>0</v>
      </c>
      <c r="AR252" s="62" t="n"/>
      <c r="AS252" s="62" t="n"/>
      <c r="AT252" s="62" t="n"/>
      <c r="AU252" s="62" t="n"/>
      <c r="AV252" s="58">
        <f>IF(AQ138=0,0,AV138/AQ138-1)</f>
        <v>0</v>
      </c>
      <c r="AW252" s="62" t="n"/>
      <c r="AX252" s="62" t="n"/>
      <c r="AY252" s="62" t="n"/>
      <c r="AZ252" s="62" t="n"/>
      <c r="BA252" s="58">
        <f>IF(AV138=0,0,BA138/AV138-1)</f>
        <v>0</v>
      </c>
      <c r="BB252" s="62" t="n"/>
      <c r="BC252" s="62" t="n"/>
      <c r="BD252" s="62" t="n"/>
      <c r="BE252" s="62" t="n"/>
      <c r="BF252" s="58">
        <f>IF(BA138=0,0,BF138/BA138-1)</f>
        <v>0</v>
      </c>
      <c r="BG252" s="62" t="n"/>
      <c r="BH252" s="62" t="n"/>
      <c r="BI252" s="62" t="n"/>
      <c r="BJ252" s="62" t="n"/>
      <c r="BK252" s="58" t="n"/>
      <c r="BL252" s="62" t="n"/>
      <c r="BM252" s="62" t="n"/>
      <c r="BN252" s="62" t="n"/>
      <c r="BO252" s="62" t="n"/>
      <c r="BP252" s="58" t="n"/>
      <c r="BQ252" s="62" t="n"/>
      <c r="BR252" s="62" t="n"/>
      <c r="BS252" s="62" t="n"/>
      <c r="BT252" s="62" t="n"/>
      <c r="BU252" s="58" t="n"/>
      <c r="BV252" s="62" t="n"/>
      <c r="BW252" s="62" t="n"/>
      <c r="BX252" s="62" t="n"/>
      <c r="BY252" s="62" t="n"/>
      <c r="BZ252" s="58" t="n"/>
      <c r="CA252" s="62" t="n"/>
      <c r="CB252" s="62" t="n"/>
      <c r="CC252" s="62" t="n"/>
      <c r="CD252" s="62" t="n"/>
      <c r="CE252" s="58" t="n"/>
      <c r="CF252" s="62" t="n"/>
      <c r="CG252" s="62" t="n"/>
      <c r="CH252" s="62" t="n"/>
      <c r="CI252" s="62" t="n"/>
      <c r="CJ252" s="58" t="n"/>
      <c r="CK252" s="62" t="n"/>
      <c r="CL252" s="62" t="n"/>
      <c r="CM252" s="62" t="n"/>
      <c r="CN252" s="62" t="n"/>
      <c r="CO252" s="58" t="n"/>
      <c r="CP252" s="62" t="n"/>
      <c r="CQ252" s="62" t="n"/>
      <c r="CR252" s="62" t="n"/>
      <c r="CS252" s="62" t="n"/>
      <c r="CT252" s="58" t="n"/>
      <c r="CU252" s="62" t="n"/>
      <c r="CV252" s="62" t="n"/>
      <c r="CW252" s="62" t="n"/>
      <c r="CX252" s="62" t="n"/>
      <c r="CY252" s="58" t="n"/>
    </row>
    <row r="253" hidden="1" outlineLevel="1" customFormat="1" s="66">
      <c r="A253" s="37" t="n"/>
      <c r="B253" s="37" t="n"/>
      <c r="C253" s="57" t="inlineStr">
        <is>
          <t>Dividends (enter as -)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62" t="n"/>
      <c r="AI253" s="62" t="n"/>
      <c r="AJ253" s="62" t="n"/>
      <c r="AK253" s="62" t="n"/>
      <c r="AL253" s="42" t="n"/>
      <c r="AM253" s="62" t="n"/>
      <c r="AN253" s="62" t="n"/>
      <c r="AO253" s="62" t="n"/>
      <c r="AP253" s="62" t="n"/>
      <c r="AQ253" s="42" t="n"/>
      <c r="AR253" s="62" t="n"/>
      <c r="AS253" s="62" t="n"/>
      <c r="AT253" s="62" t="n"/>
      <c r="AU253" s="62" t="n"/>
      <c r="AV253" s="42" t="n"/>
      <c r="AW253" s="62" t="n"/>
      <c r="AX253" s="62" t="n"/>
      <c r="AY253" s="62" t="n"/>
      <c r="AZ253" s="62" t="n"/>
      <c r="BA253" s="42" t="n"/>
      <c r="BB253" s="62" t="n"/>
      <c r="BC253" s="62" t="n"/>
      <c r="BD253" s="62" t="n"/>
      <c r="BE253" s="62" t="n"/>
      <c r="BF253" s="42" t="n"/>
      <c r="BG253" s="62" t="n"/>
      <c r="BH253" s="62" t="n"/>
      <c r="BI253" s="62" t="n"/>
      <c r="BJ253" s="62" t="n"/>
      <c r="BK253" s="42" t="n"/>
      <c r="BL253" s="62" t="n"/>
      <c r="BM253" s="62" t="n"/>
      <c r="BN253" s="62" t="n"/>
      <c r="BO253" s="62" t="n"/>
      <c r="BP253" s="42" t="n"/>
      <c r="BQ253" s="62" t="n"/>
      <c r="BR253" s="62" t="n"/>
      <c r="BS253" s="62" t="n"/>
      <c r="BT253" s="62" t="n"/>
      <c r="BU253" s="42" t="n"/>
      <c r="BV253" s="62" t="n"/>
      <c r="BW253" s="62" t="n"/>
      <c r="BX253" s="62" t="n"/>
      <c r="BY253" s="62" t="n"/>
      <c r="BZ253" s="42" t="n"/>
      <c r="CA253" s="62" t="n"/>
      <c r="CB253" s="62" t="n"/>
      <c r="CC253" s="62" t="n"/>
      <c r="CD253" s="62" t="n"/>
      <c r="CE253" s="42" t="n"/>
      <c r="CF253" s="62" t="n"/>
      <c r="CG253" s="62" t="n"/>
      <c r="CH253" s="62" t="n"/>
      <c r="CI253" s="62" t="n"/>
      <c r="CJ253" s="42" t="n"/>
      <c r="CK253" s="62" t="n"/>
      <c r="CL253" s="62" t="n"/>
      <c r="CM253" s="62" t="n"/>
      <c r="CN253" s="62" t="n"/>
      <c r="CO253" s="42" t="n"/>
      <c r="CP253" s="62" t="n"/>
      <c r="CQ253" s="62" t="n"/>
      <c r="CR253" s="62" t="n"/>
      <c r="CS253" s="62" t="n"/>
      <c r="CT253" s="42" t="n"/>
      <c r="CU253" s="62" t="n"/>
      <c r="CV253" s="62" t="n"/>
      <c r="CW253" s="62" t="n"/>
      <c r="CX253" s="62" t="n"/>
      <c r="CY253" s="42" t="n"/>
    </row>
    <row r="254" hidden="1" outlineLevel="1" customFormat="1" s="66">
      <c r="A254" s="37" t="n"/>
      <c r="B254" s="37" t="n"/>
      <c r="C254" s="59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42" t="n"/>
      <c r="AI254" s="42" t="n"/>
      <c r="AJ254" s="42" t="n"/>
      <c r="AK254" s="42" t="n"/>
      <c r="AL254" s="42" t="n"/>
      <c r="AM254" s="42" t="n"/>
      <c r="AN254" s="42" t="n"/>
      <c r="AO254" s="42" t="n"/>
      <c r="AP254" s="42" t="n"/>
      <c r="AQ254" s="42" t="n"/>
      <c r="AR254" s="42" t="n"/>
      <c r="AS254" s="42" t="n"/>
      <c r="AT254" s="42" t="n"/>
      <c r="AU254" s="42" t="n"/>
      <c r="AV254" s="42" t="n"/>
      <c r="AW254" s="42" t="n"/>
      <c r="AX254" s="42" t="n"/>
      <c r="AY254" s="42" t="n"/>
      <c r="AZ254" s="42" t="n"/>
      <c r="BA254" s="42" t="n"/>
      <c r="BB254" s="42" t="n"/>
      <c r="BC254" s="42" t="n"/>
      <c r="BD254" s="42" t="n"/>
      <c r="BE254" s="42" t="n"/>
      <c r="BF254" s="42" t="n"/>
      <c r="BG254" s="42" t="n"/>
      <c r="BH254" s="42" t="n"/>
      <c r="BI254" s="42" t="n"/>
      <c r="BJ254" s="42" t="n"/>
      <c r="BK254" s="42" t="n"/>
      <c r="BL254" s="42" t="n"/>
      <c r="BM254" s="42" t="n"/>
      <c r="BN254" s="42" t="n"/>
      <c r="BO254" s="42" t="n"/>
      <c r="BP254" s="42" t="n"/>
      <c r="BQ254" s="42" t="n"/>
      <c r="BR254" s="42" t="n"/>
      <c r="BS254" s="42" t="n"/>
      <c r="BT254" s="42" t="n"/>
      <c r="BU254" s="42" t="n"/>
      <c r="BV254" s="42" t="n"/>
      <c r="BW254" s="42" t="n"/>
      <c r="BX254" s="42" t="n"/>
      <c r="BY254" s="42" t="n"/>
      <c r="BZ254" s="42" t="n"/>
      <c r="CA254" s="42" t="n"/>
      <c r="CB254" s="42" t="n"/>
      <c r="CC254" s="42" t="n"/>
      <c r="CD254" s="42" t="n"/>
      <c r="CE254" s="42" t="n"/>
      <c r="CF254" s="42" t="n"/>
      <c r="CG254" s="42" t="n"/>
      <c r="CH254" s="42" t="n"/>
      <c r="CI254" s="42" t="n"/>
      <c r="CJ254" s="42" t="n"/>
      <c r="CK254" s="42" t="n"/>
      <c r="CL254" s="42" t="n"/>
      <c r="CM254" s="42" t="n"/>
      <c r="CN254" s="42" t="n"/>
      <c r="CO254" s="42" t="n"/>
      <c r="CP254" s="42" t="n"/>
      <c r="CQ254" s="42" t="n"/>
      <c r="CR254" s="42" t="n"/>
      <c r="CS254" s="42" t="n"/>
      <c r="CT254" s="42" t="n"/>
      <c r="CU254" s="42" t="n"/>
      <c r="CV254" s="42" t="n"/>
      <c r="CW254" s="42" t="n"/>
      <c r="CX254" s="42" t="n"/>
      <c r="CY254" s="42" t="n"/>
    </row>
    <row r="255" collapsed="1">
      <c r="C255" s="14" t="inlineStr">
        <is>
          <t>Convertible Preferred Stock</t>
        </is>
      </c>
      <c r="D255" s="46" t="n"/>
      <c r="E255" s="46" t="n"/>
      <c r="F255" s="46" t="n"/>
      <c r="G255" s="46" t="n"/>
      <c r="H255" s="12" t="n"/>
      <c r="I255" s="46">
        <f>'Inputs (2)'!D42</f>
        <v>0</v>
      </c>
      <c r="J255" s="46">
        <f>'Inputs (2)'!E42</f>
        <v>0</v>
      </c>
      <c r="K255" s="46">
        <f>'Inputs (2)'!F42</f>
        <v>0</v>
      </c>
      <c r="L255" s="46">
        <f>'Inputs (2)'!G42</f>
        <v>0</v>
      </c>
      <c r="M255" s="12">
        <f>'Inputs (2)'!H42</f>
        <v>0</v>
      </c>
      <c r="N255" s="46">
        <f>'Inputs (2)'!I42</f>
        <v>0</v>
      </c>
      <c r="O255" s="46">
        <f>'Inputs (2)'!J42</f>
        <v>0</v>
      </c>
      <c r="P255" s="46">
        <f>'Inputs (2)'!K42</f>
        <v>0</v>
      </c>
      <c r="Q255" s="46">
        <f>'Inputs (2)'!L42</f>
        <v>0</v>
      </c>
      <c r="R255" s="12">
        <f>'Inputs (2)'!M42</f>
        <v>0</v>
      </c>
      <c r="S255" s="46">
        <f>'Inputs (2)'!N42</f>
        <v>0</v>
      </c>
      <c r="T255" s="46">
        <f>'Inputs (2)'!O42</f>
        <v>0</v>
      </c>
      <c r="U255" s="46">
        <f>'Inputs (2)'!P42</f>
        <v>0</v>
      </c>
      <c r="V255" s="46">
        <f>'Inputs (2)'!Q42</f>
        <v>0</v>
      </c>
      <c r="W255" s="12">
        <f>'Inputs (2)'!R42</f>
        <v>0</v>
      </c>
      <c r="X255" s="46">
        <f>'Inputs (2)'!S42</f>
        <v>0</v>
      </c>
      <c r="Y255" s="46">
        <f>'Inputs (2)'!T42</f>
        <v>0</v>
      </c>
      <c r="Z255" s="46">
        <f>'Inputs (2)'!U42</f>
        <v>0</v>
      </c>
      <c r="AA255" s="46">
        <f>'Inputs (2)'!V42</f>
        <v>0</v>
      </c>
      <c r="AB255" s="12">
        <f>'Inputs (2)'!W42</f>
        <v>0</v>
      </c>
      <c r="AC255" s="46">
        <f>'Inputs (2)'!X42</f>
        <v>0</v>
      </c>
      <c r="AD255" s="46">
        <f>'Inputs (2)'!Y42</f>
        <v>0</v>
      </c>
      <c r="AE255" s="46">
        <f>'Inputs (2)'!Z42</f>
        <v>0</v>
      </c>
      <c r="AF255" s="46">
        <f>'Inputs (2)'!AA42</f>
        <v>0</v>
      </c>
      <c r="AG255" s="12">
        <f>'Inputs (2)'!AB42</f>
        <v>0</v>
      </c>
      <c r="AH255" s="12">
        <f>'Inputs (2)'!AC42</f>
        <v>0</v>
      </c>
      <c r="AI255" s="12">
        <f>'Inputs (2)'!AD42</f>
        <v>0</v>
      </c>
      <c r="AJ255" s="12">
        <f>AI255</f>
        <v>0</v>
      </c>
      <c r="AK255" s="12">
        <f>AJ255</f>
        <v>0</v>
      </c>
      <c r="AL255" s="12">
        <f>AK255</f>
        <v>0</v>
      </c>
      <c r="AM255" s="12">
        <f>AL255</f>
        <v>0</v>
      </c>
      <c r="AN255" s="12">
        <f>AM255</f>
        <v>0</v>
      </c>
      <c r="AO255" s="12">
        <f>AN255</f>
        <v>0</v>
      </c>
      <c r="AP255" s="12">
        <f>AO255</f>
        <v>0</v>
      </c>
      <c r="AQ255" s="12">
        <f>AP255</f>
        <v>0</v>
      </c>
      <c r="AR255" s="12">
        <f>AQ255</f>
        <v>0</v>
      </c>
      <c r="AS255" s="12">
        <f>AR255</f>
        <v>0</v>
      </c>
      <c r="AT255" s="12">
        <f>AS255</f>
        <v>0</v>
      </c>
      <c r="AU255" s="12">
        <f>AT255</f>
        <v>0</v>
      </c>
      <c r="AV255" s="12">
        <f>AU255</f>
        <v>0</v>
      </c>
      <c r="AW255" s="12">
        <f>AV255</f>
        <v>0</v>
      </c>
      <c r="AX255" s="12">
        <f>AW255</f>
        <v>0</v>
      </c>
      <c r="AY255" s="12">
        <f>AX255</f>
        <v>0</v>
      </c>
      <c r="AZ255" s="12">
        <f>AY255</f>
        <v>0</v>
      </c>
      <c r="BA255" s="12">
        <f>AZ255</f>
        <v>0</v>
      </c>
      <c r="BB255" s="12">
        <f>BA255</f>
        <v>0</v>
      </c>
      <c r="BC255" s="12">
        <f>BB255</f>
        <v>0</v>
      </c>
      <c r="BD255" s="12">
        <f>BC255</f>
        <v>0</v>
      </c>
      <c r="BE255" s="12">
        <f>BD255</f>
        <v>0</v>
      </c>
      <c r="BF255" s="12">
        <f>BE255</f>
        <v>0</v>
      </c>
      <c r="BG255" s="12" t="n"/>
      <c r="BH255" s="12" t="n"/>
      <c r="BI255" s="12" t="n"/>
      <c r="BJ255" s="12" t="n"/>
      <c r="BK255" s="12" t="n"/>
      <c r="BL255" s="12" t="n"/>
      <c r="BM255" s="12" t="n"/>
      <c r="BN255" s="12" t="n"/>
      <c r="BO255" s="12" t="n"/>
      <c r="BP255" s="12" t="n"/>
      <c r="BQ255" s="12" t="n"/>
      <c r="BR255" s="12" t="n"/>
      <c r="BS255" s="12" t="n"/>
      <c r="BT255" s="12" t="n"/>
      <c r="BU255" s="12" t="n"/>
      <c r="BV255" s="12" t="n"/>
      <c r="BW255" s="12" t="n"/>
      <c r="BX255" s="12" t="n"/>
      <c r="BY255" s="12" t="n"/>
      <c r="BZ255" s="12" t="n"/>
      <c r="CA255" s="12" t="n"/>
      <c r="CB255" s="12" t="n"/>
      <c r="CC255" s="12" t="n"/>
      <c r="CD255" s="12" t="n"/>
      <c r="CE255" s="12" t="n"/>
      <c r="CF255" s="12" t="n"/>
      <c r="CG255" s="12" t="n"/>
      <c r="CH255" s="12" t="n"/>
      <c r="CI255" s="12" t="n"/>
      <c r="CJ255" s="12" t="n"/>
      <c r="CK255" s="12" t="n"/>
      <c r="CL255" s="12" t="n"/>
      <c r="CM255" s="12" t="n"/>
      <c r="CN255" s="12" t="n"/>
      <c r="CO255" s="12" t="n"/>
      <c r="CP255" s="12" t="n"/>
      <c r="CQ255" s="12" t="n"/>
      <c r="CR255" s="12" t="n"/>
      <c r="CS255" s="12" t="n"/>
      <c r="CT255" s="12" t="n"/>
      <c r="CU255" s="12" t="n"/>
      <c r="CV255" s="12" t="n"/>
      <c r="CW255" s="12" t="n"/>
      <c r="CX255" s="12" t="n"/>
      <c r="CY255" s="12" t="n"/>
    </row>
    <row r="256">
      <c r="C256" s="13" t="inlineStr">
        <is>
          <t>Common Stock and APIC</t>
        </is>
      </c>
      <c r="D256" s="46" t="n"/>
      <c r="E256" s="46" t="n"/>
      <c r="F256" s="46" t="n"/>
      <c r="G256" s="46" t="n"/>
      <c r="H256" s="12" t="n"/>
      <c r="I256" s="46">
        <f>'Inputs (2)'!D43</f>
        <v>3996.137</v>
      </c>
      <c r="J256" s="46">
        <f>'Inputs (2)'!E43</f>
        <v>3996.137</v>
      </c>
      <c r="K256" s="46">
        <f>'Inputs (2)'!F43</f>
        <v>3996.137</v>
      </c>
      <c r="L256" s="46">
        <f>'Inputs (2)'!G43</f>
        <v>3996.137</v>
      </c>
      <c r="M256" s="12">
        <f>'Inputs (2)'!H43</f>
        <v>3996.137</v>
      </c>
      <c r="N256" s="46">
        <f>'Inputs (2)'!I43</f>
        <v>3996.137</v>
      </c>
      <c r="O256" s="46">
        <f>'Inputs (2)'!J43</f>
        <v>3996.137</v>
      </c>
      <c r="P256" s="46">
        <f>'Inputs (2)'!K43</f>
        <v>3996.137</v>
      </c>
      <c r="Q256" s="46">
        <f>'Inputs (2)'!L43</f>
        <v>3996.137</v>
      </c>
      <c r="R256" s="12">
        <f>'Inputs (2)'!M43</f>
        <v>3996.137</v>
      </c>
      <c r="S256" s="46">
        <f>'Inputs (2)'!N43</f>
        <v>3996.137</v>
      </c>
      <c r="T256" s="46">
        <f>'Inputs (2)'!O43</f>
        <v>5996.137</v>
      </c>
      <c r="U256" s="46">
        <f>'Inputs (2)'!P43</f>
        <v>5996.137</v>
      </c>
      <c r="V256" s="46">
        <f>'Inputs (2)'!Q43</f>
        <v>5996.137</v>
      </c>
      <c r="W256" s="12">
        <f>'Inputs (2)'!R43</f>
        <v>5996.137</v>
      </c>
      <c r="X256" s="46">
        <f>'Inputs (2)'!S43</f>
        <v>5996.137</v>
      </c>
      <c r="Y256" s="46">
        <f>'Inputs (2)'!T43</f>
        <v>5996.137</v>
      </c>
      <c r="Z256" s="46">
        <f>'Inputs (2)'!U43</f>
        <v>5996.137</v>
      </c>
      <c r="AA256" s="46">
        <f>'Inputs (2)'!V43</f>
        <v>5996.137</v>
      </c>
      <c r="AB256" s="12">
        <f>'Inputs (2)'!W43</f>
        <v>5996.137</v>
      </c>
      <c r="AC256" s="46">
        <f>'Inputs (2)'!X43</f>
        <v>5996.137</v>
      </c>
      <c r="AD256" s="46">
        <f>'Inputs (2)'!Y43</f>
        <v>5996.137</v>
      </c>
      <c r="AE256" s="46">
        <f>'Inputs (2)'!Z43</f>
        <v>5996.137</v>
      </c>
      <c r="AF256" s="46">
        <f>'Inputs (2)'!AA43</f>
        <v>5996.137</v>
      </c>
      <c r="AG256" s="12">
        <f>'Inputs (2)'!AB43</f>
        <v>5996.137</v>
      </c>
      <c r="AH256" s="12">
        <f>'Inputs (2)'!AC43</f>
        <v>5996.137</v>
      </c>
      <c r="AI256" s="12">
        <f>'Inputs (2)'!AD43</f>
        <v>5996.137</v>
      </c>
      <c r="AJ256" s="12">
        <f>AI256+AJ260</f>
        <v>5996.137</v>
      </c>
      <c r="AK256" s="12">
        <f>AJ256+AK260</f>
        <v>5996.137</v>
      </c>
      <c r="AL256" s="12">
        <f>AK256</f>
        <v>5996.137</v>
      </c>
      <c r="AM256" s="12">
        <f>AL256+AM260</f>
        <v>5996.137</v>
      </c>
      <c r="AN256" s="12">
        <f>AM256+AN260</f>
        <v>5996.137</v>
      </c>
      <c r="AO256" s="12">
        <f>AN256+AO260</f>
        <v>5996.137</v>
      </c>
      <c r="AP256" s="12">
        <f>AO256+AP260</f>
        <v>5996.137</v>
      </c>
      <c r="AQ256" s="12">
        <f>AP256</f>
        <v>5996.137</v>
      </c>
      <c r="AR256" s="12">
        <f>AQ256+AR260</f>
        <v>5996.137</v>
      </c>
      <c r="AS256" s="12">
        <f>AR256+AS260</f>
        <v>5996.137</v>
      </c>
      <c r="AT256" s="12">
        <f>AS256+AT260</f>
        <v>5996.137</v>
      </c>
      <c r="AU256" s="12">
        <f>AT256+AU260</f>
        <v>5996.137</v>
      </c>
      <c r="AV256" s="12">
        <f>AU256</f>
        <v>5996.137</v>
      </c>
      <c r="AW256" s="12">
        <f>AV256+AW260</f>
        <v>5996.137</v>
      </c>
      <c r="AX256" s="12">
        <f>AW256+AX260</f>
        <v>5996.137</v>
      </c>
      <c r="AY256" s="12">
        <f>AX256+AY260</f>
        <v>5996.137</v>
      </c>
      <c r="AZ256" s="12">
        <f>AY256+AZ260</f>
        <v>5996.137</v>
      </c>
      <c r="BA256" s="12">
        <f>AZ256</f>
        <v>5996.137</v>
      </c>
      <c r="BB256" s="12">
        <f>BA256+BB260</f>
        <v>5996.137</v>
      </c>
      <c r="BC256" s="12">
        <f>BB256+BC260</f>
        <v>5996.137</v>
      </c>
      <c r="BD256" s="12">
        <f>BC256+BD260</f>
        <v>5996.137</v>
      </c>
      <c r="BE256" s="12">
        <f>BD256+BE260</f>
        <v>5996.137</v>
      </c>
      <c r="BF256" s="12">
        <f>BE256</f>
        <v>5996.137</v>
      </c>
      <c r="BG256" s="12" t="n"/>
      <c r="BH256" s="12" t="n"/>
      <c r="BI256" s="12" t="n"/>
      <c r="BJ256" s="12" t="n"/>
      <c r="BK256" s="12" t="n"/>
      <c r="BL256" s="12" t="n"/>
      <c r="BM256" s="12" t="n"/>
      <c r="BN256" s="12" t="n"/>
      <c r="BO256" s="12" t="n"/>
      <c r="BP256" s="12" t="n"/>
      <c r="BQ256" s="12" t="n"/>
      <c r="BR256" s="12" t="n"/>
      <c r="BS256" s="12" t="n"/>
      <c r="BT256" s="12" t="n"/>
      <c r="BU256" s="12" t="n"/>
      <c r="BV256" s="12" t="n"/>
      <c r="BW256" s="12" t="n"/>
      <c r="BX256" s="12" t="n"/>
      <c r="BY256" s="12" t="n"/>
      <c r="BZ256" s="12" t="n"/>
      <c r="CA256" s="12" t="n"/>
      <c r="CB256" s="12" t="n"/>
      <c r="CC256" s="12" t="n"/>
      <c r="CD256" s="12" t="n"/>
      <c r="CE256" s="12" t="n"/>
      <c r="CF256" s="12" t="n"/>
      <c r="CG256" s="12" t="n"/>
      <c r="CH256" s="12" t="n"/>
      <c r="CI256" s="12" t="n"/>
      <c r="CJ256" s="12" t="n"/>
      <c r="CK256" s="12" t="n"/>
      <c r="CL256" s="12" t="n"/>
      <c r="CM256" s="12" t="n"/>
      <c r="CN256" s="12" t="n"/>
      <c r="CO256" s="12" t="n"/>
      <c r="CP256" s="12" t="n"/>
      <c r="CQ256" s="12" t="n"/>
      <c r="CR256" s="12" t="n"/>
      <c r="CS256" s="12" t="n"/>
      <c r="CT256" s="12" t="n"/>
      <c r="CU256" s="12" t="n"/>
      <c r="CV256" s="12" t="n"/>
      <c r="CW256" s="12" t="n"/>
      <c r="CX256" s="12" t="n"/>
      <c r="CY256" s="1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42" t="n"/>
      <c r="AI257" s="42" t="n"/>
      <c r="AJ257" s="42" t="n"/>
      <c r="AK257" s="42" t="n"/>
      <c r="AL257" s="42" t="n"/>
      <c r="AM257" s="42" t="n"/>
      <c r="AN257" s="42" t="n"/>
      <c r="AO257" s="42" t="n"/>
      <c r="AP257" s="42" t="n"/>
      <c r="AQ257" s="42" t="n"/>
      <c r="AR257" s="42" t="n"/>
      <c r="AS257" s="42" t="n"/>
      <c r="AT257" s="42" t="n"/>
      <c r="AU257" s="42" t="n"/>
      <c r="AV257" s="42" t="n"/>
      <c r="AW257" s="42" t="n"/>
      <c r="AX257" s="42" t="n"/>
      <c r="AY257" s="42" t="n"/>
      <c r="AZ257" s="42" t="n"/>
      <c r="BA257" s="42" t="n"/>
      <c r="BB257" s="42" t="n"/>
      <c r="BC257" s="42" t="n"/>
      <c r="BD257" s="42" t="n"/>
      <c r="BE257" s="42" t="n"/>
      <c r="BF257" s="42" t="n"/>
      <c r="BG257" s="42" t="n"/>
      <c r="BH257" s="42" t="n"/>
      <c r="BI257" s="42" t="n"/>
      <c r="BJ257" s="42" t="n"/>
      <c r="BK257" s="42" t="n"/>
      <c r="BL257" s="42" t="n"/>
      <c r="BM257" s="42" t="n"/>
      <c r="BN257" s="42" t="n"/>
      <c r="BO257" s="42" t="n"/>
      <c r="BP257" s="42" t="n"/>
      <c r="BQ257" s="42" t="n"/>
      <c r="BR257" s="42" t="n"/>
      <c r="BS257" s="42" t="n"/>
      <c r="BT257" s="42" t="n"/>
      <c r="BU257" s="42" t="n"/>
      <c r="BV257" s="42" t="n"/>
      <c r="BW257" s="42" t="n"/>
      <c r="BX257" s="42" t="n"/>
      <c r="BY257" s="42" t="n"/>
      <c r="BZ257" s="42" t="n"/>
      <c r="CA257" s="42" t="n"/>
      <c r="CB257" s="42" t="n"/>
      <c r="CC257" s="42" t="n"/>
      <c r="CD257" s="42" t="n"/>
      <c r="CE257" s="42" t="n"/>
      <c r="CF257" s="42" t="n"/>
      <c r="CG257" s="42" t="n"/>
      <c r="CH257" s="42" t="n"/>
      <c r="CI257" s="42" t="n"/>
      <c r="CJ257" s="42" t="n"/>
      <c r="CK257" s="42" t="n"/>
      <c r="CL257" s="42" t="n"/>
      <c r="CM257" s="42" t="n"/>
      <c r="CN257" s="42" t="n"/>
      <c r="CO257" s="42" t="n"/>
      <c r="CP257" s="42" t="n"/>
      <c r="CQ257" s="42" t="n"/>
      <c r="CR257" s="42" t="n"/>
      <c r="CS257" s="42" t="n"/>
      <c r="CT257" s="42" t="n"/>
      <c r="CU257" s="42" t="n"/>
      <c r="CV257" s="42" t="n"/>
      <c r="CW257" s="42" t="n"/>
      <c r="CX257" s="42" t="n"/>
      <c r="CY257" s="42" t="n"/>
    </row>
    <row r="258" hidden="1" outlineLevel="1" customFormat="1" s="66">
      <c r="A258" s="37" t="n"/>
      <c r="B258" s="37" t="n"/>
      <c r="C258" s="67" t="inlineStr">
        <is>
          <t>Diluted Shares outstanding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42" t="n"/>
      <c r="AI258" s="42" t="n"/>
      <c r="AJ258" s="42" t="n"/>
      <c r="AK258" s="42" t="n"/>
      <c r="AL258" s="42" t="n"/>
      <c r="AM258" s="42" t="n"/>
      <c r="AN258" s="42" t="n"/>
      <c r="AO258" s="42" t="n"/>
      <c r="AP258" s="42" t="n"/>
      <c r="AQ258" s="42" t="n"/>
      <c r="AR258" s="42" t="n"/>
      <c r="AS258" s="42" t="n"/>
      <c r="AT258" s="42" t="n"/>
      <c r="AU258" s="42" t="n"/>
      <c r="AV258" s="42" t="n"/>
      <c r="AW258" s="42" t="n"/>
      <c r="AX258" s="42" t="n"/>
      <c r="AY258" s="42" t="n"/>
      <c r="AZ258" s="42" t="n"/>
      <c r="BA258" s="42" t="n"/>
      <c r="BB258" s="42" t="n"/>
      <c r="BC258" s="42" t="n"/>
      <c r="BD258" s="42" t="n"/>
      <c r="BE258" s="42" t="n"/>
      <c r="BF258" s="42" t="n"/>
      <c r="BG258" s="42" t="n"/>
      <c r="BH258" s="42" t="n"/>
      <c r="BI258" s="42" t="n"/>
      <c r="BJ258" s="42" t="n"/>
      <c r="BK258" s="42" t="n"/>
      <c r="BL258" s="42" t="n"/>
      <c r="BM258" s="42" t="n"/>
      <c r="BN258" s="42" t="n"/>
      <c r="BO258" s="42" t="n"/>
      <c r="BP258" s="42" t="n"/>
      <c r="BQ258" s="42" t="n"/>
      <c r="BR258" s="42" t="n"/>
      <c r="BS258" s="42" t="n"/>
      <c r="BT258" s="42" t="n"/>
      <c r="BU258" s="42" t="n"/>
      <c r="BV258" s="42" t="n"/>
      <c r="BW258" s="42" t="n"/>
      <c r="BX258" s="42" t="n"/>
      <c r="BY258" s="42" t="n"/>
      <c r="BZ258" s="42" t="n"/>
      <c r="CA258" s="42" t="n"/>
      <c r="CB258" s="42" t="n"/>
      <c r="CC258" s="42" t="n"/>
      <c r="CD258" s="42" t="n"/>
      <c r="CE258" s="42" t="n"/>
      <c r="CF258" s="42" t="n"/>
      <c r="CG258" s="42" t="n"/>
      <c r="CH258" s="42" t="n"/>
      <c r="CI258" s="42" t="n"/>
      <c r="CJ258" s="42" t="n"/>
      <c r="CK258" s="42" t="n"/>
      <c r="CL258" s="42" t="n"/>
      <c r="CM258" s="42" t="n"/>
      <c r="CN258" s="42" t="n"/>
      <c r="CO258" s="42" t="n"/>
      <c r="CP258" s="42" t="n"/>
      <c r="CQ258" s="42" t="n"/>
      <c r="CR258" s="42" t="n"/>
      <c r="CS258" s="42" t="n"/>
      <c r="CT258" s="42" t="n"/>
      <c r="CU258" s="42" t="n"/>
      <c r="CV258" s="42" t="n"/>
      <c r="CW258" s="42" t="n"/>
      <c r="CX258" s="42" t="n"/>
      <c r="CY258" s="42" t="n"/>
    </row>
    <row r="259" hidden="1" outlineLevel="1" customFormat="1" s="66">
      <c r="A259" s="37" t="n"/>
      <c r="B259" s="37" t="n"/>
      <c r="C259" s="67" t="inlineStr">
        <is>
          <t>Treasury share $ repurchases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42" t="n"/>
      <c r="AG259" s="42" t="n"/>
      <c r="AH259" s="11" t="n"/>
      <c r="AI259" s="11" t="n"/>
      <c r="AJ259" s="11" t="n"/>
      <c r="AK259" s="11" t="n"/>
      <c r="AL259" s="42" t="n"/>
      <c r="AM259" s="11" t="n"/>
      <c r="AN259" s="11" t="n"/>
      <c r="AO259" s="11" t="n"/>
      <c r="AP259" s="11" t="n"/>
      <c r="AQ259" s="42" t="n"/>
      <c r="AR259" s="11" t="n"/>
      <c r="AS259" s="11" t="n"/>
      <c r="AT259" s="11" t="n"/>
      <c r="AU259" s="11" t="n"/>
      <c r="AV259" s="42" t="n"/>
      <c r="AW259" s="11" t="n"/>
      <c r="AX259" s="11" t="n"/>
      <c r="AY259" s="11" t="n"/>
      <c r="AZ259" s="11" t="n"/>
      <c r="BA259" s="42" t="n"/>
      <c r="BB259" s="11" t="n"/>
      <c r="BC259" s="11" t="n"/>
      <c r="BD259" s="11" t="n"/>
      <c r="BE259" s="11" t="n"/>
      <c r="BF259" s="42" t="n"/>
      <c r="BG259" s="11" t="n"/>
      <c r="BH259" s="11" t="n"/>
      <c r="BI259" s="11" t="n"/>
      <c r="BJ259" s="11" t="n"/>
      <c r="BK259" s="42" t="n"/>
      <c r="BL259" s="11" t="n"/>
      <c r="BM259" s="11" t="n"/>
      <c r="BN259" s="11" t="n"/>
      <c r="BO259" s="11" t="n"/>
      <c r="BP259" s="42" t="n"/>
      <c r="BQ259" s="11" t="n"/>
      <c r="BR259" s="11" t="n"/>
      <c r="BS259" s="11" t="n"/>
      <c r="BT259" s="11" t="n"/>
      <c r="BU259" s="42" t="n"/>
      <c r="BV259" s="11" t="n"/>
      <c r="BW259" s="11" t="n"/>
      <c r="BX259" s="11" t="n"/>
      <c r="BY259" s="11" t="n"/>
      <c r="BZ259" s="42" t="n"/>
      <c r="CA259" s="11" t="n"/>
      <c r="CB259" s="11" t="n"/>
      <c r="CC259" s="11" t="n"/>
      <c r="CD259" s="11" t="n"/>
      <c r="CE259" s="42" t="n"/>
      <c r="CF259" s="11" t="n"/>
      <c r="CG259" s="11" t="n"/>
      <c r="CH259" s="11" t="n"/>
      <c r="CI259" s="11" t="n"/>
      <c r="CJ259" s="42" t="n"/>
      <c r="CK259" s="11" t="n"/>
      <c r="CL259" s="11" t="n"/>
      <c r="CM259" s="11" t="n"/>
      <c r="CN259" s="11" t="n"/>
      <c r="CO259" s="42" t="n"/>
      <c r="CP259" s="11" t="n"/>
      <c r="CQ259" s="11" t="n"/>
      <c r="CR259" s="11" t="n"/>
      <c r="CS259" s="11" t="n"/>
      <c r="CT259" s="42" t="n"/>
      <c r="CU259" s="11" t="n"/>
      <c r="CV259" s="11" t="n"/>
      <c r="CW259" s="11" t="n"/>
      <c r="CX259" s="11" t="n"/>
      <c r="CY259" s="42" t="n"/>
    </row>
    <row r="260" hidden="1" outlineLevel="1" customFormat="1" s="66">
      <c r="A260" s="37" t="n"/>
      <c r="B260" s="37" t="n"/>
      <c r="C260" s="67" t="inlineStr">
        <is>
          <t>Value of shares issued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11" t="n"/>
      <c r="AI260" s="11" t="n"/>
      <c r="AJ260" s="11" t="n"/>
      <c r="AK260" s="11" t="n"/>
      <c r="AL260" s="42" t="n"/>
      <c r="AM260" s="11" t="n"/>
      <c r="AN260" s="11" t="n"/>
      <c r="AO260" s="11" t="n"/>
      <c r="AP260" s="11" t="n"/>
      <c r="AQ260" s="42" t="n"/>
      <c r="AR260" s="11" t="n"/>
      <c r="AS260" s="11" t="n"/>
      <c r="AT260" s="11" t="n"/>
      <c r="AU260" s="11" t="n"/>
      <c r="AV260" s="42" t="n"/>
      <c r="AW260" s="11" t="n"/>
      <c r="AX260" s="11" t="n"/>
      <c r="AY260" s="11" t="n"/>
      <c r="AZ260" s="11" t="n"/>
      <c r="BA260" s="42" t="n"/>
      <c r="BB260" s="11" t="n"/>
      <c r="BC260" s="11" t="n"/>
      <c r="BD260" s="11" t="n"/>
      <c r="BE260" s="11" t="n"/>
      <c r="BF260" s="42" t="n"/>
      <c r="BG260" s="11" t="n"/>
      <c r="BH260" s="11" t="n"/>
      <c r="BI260" s="11" t="n"/>
      <c r="BJ260" s="11" t="n"/>
      <c r="BK260" s="42" t="n"/>
      <c r="BL260" s="11" t="n"/>
      <c r="BM260" s="11" t="n"/>
      <c r="BN260" s="11" t="n"/>
      <c r="BO260" s="11" t="n"/>
      <c r="BP260" s="42" t="n"/>
      <c r="BQ260" s="11" t="n"/>
      <c r="BR260" s="11" t="n"/>
      <c r="BS260" s="11" t="n"/>
      <c r="BT260" s="11" t="n"/>
      <c r="BU260" s="42" t="n"/>
      <c r="BV260" s="11" t="n"/>
      <c r="BW260" s="11" t="n"/>
      <c r="BX260" s="11" t="n"/>
      <c r="BY260" s="11" t="n"/>
      <c r="BZ260" s="42" t="n"/>
      <c r="CA260" s="11" t="n"/>
      <c r="CB260" s="11" t="n"/>
      <c r="CC260" s="11" t="n"/>
      <c r="CD260" s="11" t="n"/>
      <c r="CE260" s="42" t="n"/>
      <c r="CF260" s="11" t="n"/>
      <c r="CG260" s="11" t="n"/>
      <c r="CH260" s="11" t="n"/>
      <c r="CI260" s="11" t="n"/>
      <c r="CJ260" s="42" t="n"/>
      <c r="CK260" s="11" t="n"/>
      <c r="CL260" s="11" t="n"/>
      <c r="CM260" s="11" t="n"/>
      <c r="CN260" s="11" t="n"/>
      <c r="CO260" s="42" t="n"/>
      <c r="CP260" s="11" t="n"/>
      <c r="CQ260" s="11" t="n"/>
      <c r="CR260" s="11" t="n"/>
      <c r="CS260" s="11" t="n"/>
      <c r="CT260" s="42" t="n"/>
      <c r="CU260" s="11" t="n"/>
      <c r="CV260" s="11" t="n"/>
      <c r="CW260" s="11" t="n"/>
      <c r="CX260" s="11" t="n"/>
      <c r="CY260" s="42" t="n"/>
    </row>
    <row r="261" hidden="1" outlineLevel="1" customFormat="1" s="66">
      <c r="A261" s="37" t="n"/>
      <c r="B261" s="37" t="n"/>
      <c r="C261" s="67" t="inlineStr">
        <is>
          <t>Expected average share price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8">
        <f>AF261*(1+AH262)</f>
        <v>0</v>
      </c>
      <c r="AI261" s="68">
        <f>AH261*(1+AI262)</f>
        <v>0</v>
      </c>
      <c r="AJ261" s="68">
        <f>AH261*(1+AJ262)</f>
        <v>0</v>
      </c>
      <c r="AK261" s="68">
        <f>AJ261*(1+AK262)</f>
        <v>0</v>
      </c>
      <c r="AL261" s="42" t="n"/>
      <c r="AM261" s="68">
        <f>AK261*(1+AM262)</f>
        <v>0</v>
      </c>
      <c r="AN261" s="68">
        <f>AM261*(1+AN262)</f>
        <v>0</v>
      </c>
      <c r="AO261" s="68">
        <f>AM261*(1+AO262)</f>
        <v>0</v>
      </c>
      <c r="AP261" s="68">
        <f>AO261*(1+AP262)</f>
        <v>0</v>
      </c>
      <c r="AQ261" s="42" t="n"/>
      <c r="AR261" s="68">
        <f>AP261*(1+AR262)</f>
        <v>0</v>
      </c>
      <c r="AS261" s="68">
        <f>AR261*(1+AS262)</f>
        <v>0</v>
      </c>
      <c r="AT261" s="68">
        <f>AR261*(1+AT262)</f>
        <v>0</v>
      </c>
      <c r="AU261" s="68">
        <f>AT261*(1+AU262)</f>
        <v>0</v>
      </c>
      <c r="AV261" s="42" t="n"/>
      <c r="AW261" s="68">
        <f>AU261*(1+AW262)</f>
        <v>0</v>
      </c>
      <c r="AX261" s="68">
        <f>AW261*(1+AX262)</f>
        <v>0</v>
      </c>
      <c r="AY261" s="68">
        <f>AW261*(1+AY262)</f>
        <v>0</v>
      </c>
      <c r="AZ261" s="68">
        <f>AY261*(1+AZ262)</f>
        <v>0</v>
      </c>
      <c r="BA261" s="42" t="n"/>
      <c r="BB261" s="68">
        <f>AZ261*(1+BB262)</f>
        <v>0</v>
      </c>
      <c r="BC261" s="68">
        <f>BB261*(1+BC262)</f>
        <v>0</v>
      </c>
      <c r="BD261" s="68">
        <f>BB261*(1+BD262)</f>
        <v>0</v>
      </c>
      <c r="BE261" s="68">
        <f>BD261*(1+BE262)</f>
        <v>0</v>
      </c>
      <c r="BF261" s="42" t="n"/>
      <c r="BG261" s="68" t="n"/>
      <c r="BH261" s="68" t="n"/>
      <c r="BI261" s="68" t="n"/>
      <c r="BJ261" s="68" t="n"/>
      <c r="BK261" s="42" t="n"/>
      <c r="BL261" s="68" t="n"/>
      <c r="BM261" s="68" t="n"/>
      <c r="BN261" s="68" t="n"/>
      <c r="BO261" s="68" t="n"/>
      <c r="BP261" s="42" t="n"/>
      <c r="BQ261" s="68" t="n"/>
      <c r="BR261" s="68" t="n"/>
      <c r="BS261" s="68" t="n"/>
      <c r="BT261" s="68" t="n"/>
      <c r="BU261" s="42" t="n"/>
      <c r="BV261" s="68" t="n"/>
      <c r="BW261" s="68" t="n"/>
      <c r="BX261" s="68" t="n"/>
      <c r="BY261" s="68" t="n"/>
      <c r="BZ261" s="42" t="n"/>
      <c r="CA261" s="68" t="n"/>
      <c r="CB261" s="68" t="n"/>
      <c r="CC261" s="68" t="n"/>
      <c r="CD261" s="68" t="n"/>
      <c r="CE261" s="42" t="n"/>
      <c r="CF261" s="68" t="n"/>
      <c r="CG261" s="68" t="n"/>
      <c r="CH261" s="68" t="n"/>
      <c r="CI261" s="68" t="n"/>
      <c r="CJ261" s="42" t="n"/>
      <c r="CK261" s="68" t="n"/>
      <c r="CL261" s="68" t="n"/>
      <c r="CM261" s="68" t="n"/>
      <c r="CN261" s="68" t="n"/>
      <c r="CO261" s="42" t="n"/>
      <c r="CP261" s="68" t="n"/>
      <c r="CQ261" s="68" t="n"/>
      <c r="CR261" s="68" t="n"/>
      <c r="CS261" s="68" t="n"/>
      <c r="CT261" s="42" t="n"/>
      <c r="CU261" s="68" t="n"/>
      <c r="CV261" s="68" t="n"/>
      <c r="CW261" s="68" t="n"/>
      <c r="CX261" s="68" t="n"/>
      <c r="CY261" s="42" t="n"/>
    </row>
    <row r="262" hidden="1" outlineLevel="1" customFormat="1" s="66">
      <c r="A262" s="37" t="n"/>
      <c r="B262" s="37" t="n"/>
      <c r="C262" s="67" t="inlineStr">
        <is>
          <t>Consensus EPS growth</t>
        </is>
      </c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  <c r="AA262" s="42" t="n"/>
      <c r="AB262" s="42" t="n"/>
      <c r="AC262" s="42" t="n"/>
      <c r="AD262" s="42" t="n"/>
      <c r="AE262" s="42" t="n"/>
      <c r="AF262" s="42" t="n"/>
      <c r="AG262" s="42" t="n"/>
      <c r="AH262" s="58">
        <f>$AL$267</f>
        <v>0</v>
      </c>
      <c r="AI262" s="58">
        <f>$AL$267</f>
        <v>0</v>
      </c>
      <c r="AJ262" s="58">
        <f>$AL$267</f>
        <v>0</v>
      </c>
      <c r="AK262" s="58">
        <f>$AL$267</f>
        <v>0</v>
      </c>
      <c r="AL262" s="42" t="n"/>
      <c r="AM262" s="58">
        <f>$AL$267</f>
        <v>0</v>
      </c>
      <c r="AN262" s="58">
        <f>$AL$267</f>
        <v>0</v>
      </c>
      <c r="AO262" s="58">
        <f>$AL$267</f>
        <v>0</v>
      </c>
      <c r="AP262" s="58">
        <f>$AL$267</f>
        <v>0</v>
      </c>
      <c r="AQ262" s="42" t="n"/>
      <c r="AR262" s="58">
        <f>$AL$267</f>
        <v>0</v>
      </c>
      <c r="AS262" s="58">
        <f>$AL$267</f>
        <v>0</v>
      </c>
      <c r="AT262" s="58">
        <f>$AL$267</f>
        <v>0</v>
      </c>
      <c r="AU262" s="58">
        <f>$AL$267</f>
        <v>0</v>
      </c>
      <c r="AV262" s="42" t="n"/>
      <c r="AW262" s="58">
        <f>$AL$267</f>
        <v>0</v>
      </c>
      <c r="AX262" s="58">
        <f>$AL$267</f>
        <v>0</v>
      </c>
      <c r="AY262" s="58">
        <f>$AL$267</f>
        <v>0</v>
      </c>
      <c r="AZ262" s="58">
        <f>$AL$267</f>
        <v>0</v>
      </c>
      <c r="BA262" s="42" t="n"/>
      <c r="BB262" s="58">
        <f>$AL$267</f>
        <v>0</v>
      </c>
      <c r="BC262" s="58">
        <f>$AL$267</f>
        <v>0</v>
      </c>
      <c r="BD262" s="58">
        <f>$AL$267</f>
        <v>0</v>
      </c>
      <c r="BE262" s="58">
        <f>$AL$267</f>
        <v>0</v>
      </c>
      <c r="BF262" s="42" t="n"/>
      <c r="BG262" s="58" t="n"/>
      <c r="BH262" s="58" t="n"/>
      <c r="BI262" s="58" t="n"/>
      <c r="BJ262" s="58" t="n"/>
      <c r="BK262" s="42" t="n"/>
      <c r="BL262" s="58" t="n"/>
      <c r="BM262" s="58" t="n"/>
      <c r="BN262" s="58" t="n"/>
      <c r="BO262" s="58" t="n"/>
      <c r="BP262" s="42" t="n"/>
      <c r="BQ262" s="58" t="n"/>
      <c r="BR262" s="58" t="n"/>
      <c r="BS262" s="58" t="n"/>
      <c r="BT262" s="58" t="n"/>
      <c r="BU262" s="42" t="n"/>
      <c r="BV262" s="58" t="n"/>
      <c r="BW262" s="58" t="n"/>
      <c r="BX262" s="58" t="n"/>
      <c r="BY262" s="58" t="n"/>
      <c r="BZ262" s="42" t="n"/>
      <c r="CA262" s="58" t="n"/>
      <c r="CB262" s="58" t="n"/>
      <c r="CC262" s="58" t="n"/>
      <c r="CD262" s="58" t="n"/>
      <c r="CE262" s="42" t="n"/>
      <c r="CF262" s="58" t="n"/>
      <c r="CG262" s="58" t="n"/>
      <c r="CH262" s="58" t="n"/>
      <c r="CI262" s="58" t="n"/>
      <c r="CJ262" s="42" t="n"/>
      <c r="CK262" s="58" t="n"/>
      <c r="CL262" s="58" t="n"/>
      <c r="CM262" s="58" t="n"/>
      <c r="CN262" s="58" t="n"/>
      <c r="CO262" s="42" t="n"/>
      <c r="CP262" s="58" t="n"/>
      <c r="CQ262" s="58" t="n"/>
      <c r="CR262" s="58" t="n"/>
      <c r="CS262" s="58" t="n"/>
      <c r="CT262" s="42" t="n"/>
      <c r="CU262" s="58" t="n"/>
      <c r="CV262" s="58" t="n"/>
      <c r="CW262" s="58" t="n"/>
      <c r="CX262" s="58" t="n"/>
      <c r="CY262" s="42" t="n"/>
    </row>
    <row r="263" hidden="1" outlineLevel="1" customFormat="1" s="66">
      <c r="A263" s="37" t="n"/>
      <c r="B263" s="37" t="n"/>
      <c r="C263" s="67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  <c r="AA263" s="42" t="n"/>
      <c r="AB263" s="42" t="n"/>
      <c r="AC263" s="42" t="n"/>
      <c r="AD263" s="42" t="n"/>
      <c r="AE263" s="42" t="n"/>
      <c r="AF263" s="42" t="n"/>
      <c r="AG263" s="42" t="n"/>
      <c r="AH263" s="12" t="n"/>
      <c r="AI263" s="12" t="n"/>
      <c r="AJ263" s="12" t="n"/>
      <c r="AK263" s="12" t="n"/>
      <c r="AL263" s="42" t="n"/>
      <c r="AM263" s="12" t="n"/>
      <c r="AN263" s="12" t="n"/>
      <c r="AO263" s="12" t="n"/>
      <c r="AP263" s="12" t="n"/>
      <c r="AQ263" s="42" t="n"/>
      <c r="AR263" s="12" t="n"/>
      <c r="AS263" s="12" t="n"/>
      <c r="AT263" s="12" t="n"/>
      <c r="AU263" s="12" t="n"/>
      <c r="AV263" s="42" t="n"/>
      <c r="AW263" s="12" t="n"/>
      <c r="AX263" s="12" t="n"/>
      <c r="AY263" s="12" t="n"/>
      <c r="AZ263" s="12" t="n"/>
      <c r="BA263" s="42" t="n"/>
      <c r="BB263" s="12" t="n"/>
      <c r="BC263" s="12" t="n"/>
      <c r="BD263" s="12" t="n"/>
      <c r="BE263" s="12" t="n"/>
      <c r="BF263" s="42" t="n"/>
      <c r="BG263" s="12" t="n"/>
      <c r="BH263" s="12" t="n"/>
      <c r="BI263" s="12" t="n"/>
      <c r="BJ263" s="12" t="n"/>
      <c r="BK263" s="42" t="n"/>
      <c r="BL263" s="12" t="n"/>
      <c r="BM263" s="12" t="n"/>
      <c r="BN263" s="12" t="n"/>
      <c r="BO263" s="12" t="n"/>
      <c r="BP263" s="42" t="n"/>
      <c r="BQ263" s="12" t="n"/>
      <c r="BR263" s="12" t="n"/>
      <c r="BS263" s="12" t="n"/>
      <c r="BT263" s="12" t="n"/>
      <c r="BU263" s="42" t="n"/>
      <c r="BV263" s="12" t="n"/>
      <c r="BW263" s="12" t="n"/>
      <c r="BX263" s="12" t="n"/>
      <c r="BY263" s="12" t="n"/>
      <c r="BZ263" s="42" t="n"/>
      <c r="CA263" s="12" t="n"/>
      <c r="CB263" s="12" t="n"/>
      <c r="CC263" s="12" t="n"/>
      <c r="CD263" s="12" t="n"/>
      <c r="CE263" s="42" t="n"/>
      <c r="CF263" s="12" t="n"/>
      <c r="CG263" s="12" t="n"/>
      <c r="CH263" s="12" t="n"/>
      <c r="CI263" s="12" t="n"/>
      <c r="CJ263" s="42" t="n"/>
      <c r="CK263" s="12" t="n"/>
      <c r="CL263" s="12" t="n"/>
      <c r="CM263" s="12" t="n"/>
      <c r="CN263" s="12" t="n"/>
      <c r="CO263" s="42" t="n"/>
      <c r="CP263" s="12" t="n"/>
      <c r="CQ263" s="12" t="n"/>
      <c r="CR263" s="12" t="n"/>
      <c r="CS263" s="12" t="n"/>
      <c r="CT263" s="42" t="n"/>
      <c r="CU263" s="12" t="n"/>
      <c r="CV263" s="12" t="n"/>
      <c r="CW263" s="12" t="n"/>
      <c r="CX263" s="12" t="n"/>
      <c r="CY263" s="42" t="n"/>
    </row>
    <row r="264" hidden="1" outlineLevel="1" customFormat="1" s="66">
      <c r="A264" s="37" t="n"/>
      <c r="B264" s="37" t="n"/>
      <c r="C264" s="67" t="inlineStr">
        <is>
          <t>Shares repurchased</t>
        </is>
      </c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  <c r="AA264" s="42" t="n"/>
      <c r="AB264" s="42" t="n"/>
      <c r="AC264" s="42" t="n"/>
      <c r="AD264" s="42" t="n"/>
      <c r="AE264" s="42" t="n"/>
      <c r="AF264" s="42" t="n"/>
      <c r="AG264" s="42" t="n"/>
      <c r="AH264" s="69" t="str">
        <f>IFERROR(-AH259/AH261,"")</f>
        <v/>
      </c>
      <c r="AI264" s="69" t="str">
        <f>IFERROR(-AI259/AI261,"")</f>
        <v/>
      </c>
      <c r="AJ264" s="69" t="str">
        <f>IFERROR(-AJ259/AJ261,"")</f>
        <v/>
      </c>
      <c r="AK264" s="69" t="str">
        <f>IFERROR(-AK259/AK261,"")</f>
        <v/>
      </c>
      <c r="AL264" s="42" t="n"/>
      <c r="AM264" s="69" t="str">
        <f>IFERROR(-AM259/AM261,"")</f>
        <v/>
      </c>
      <c r="AN264" s="69" t="str">
        <f>IFERROR(-AN259/AN261,"")</f>
        <v/>
      </c>
      <c r="AO264" s="69" t="str">
        <f>IFERROR(-AO259/AO261,"")</f>
        <v/>
      </c>
      <c r="AP264" s="69" t="str">
        <f>IFERROR(-AP259/AP261,"")</f>
        <v/>
      </c>
      <c r="AQ264" s="42" t="n"/>
      <c r="AR264" s="69" t="str">
        <f>IFERROR(-AR259/AR261,"")</f>
        <v/>
      </c>
      <c r="AS264" s="69" t="str">
        <f>IFERROR(-AS259/AS261,"")</f>
        <v/>
      </c>
      <c r="AT264" s="69" t="str">
        <f>IFERROR(-AT259/AT261,"")</f>
        <v/>
      </c>
      <c r="AU264" s="69" t="str">
        <f>IFERROR(-AU259/AU261,"")</f>
        <v/>
      </c>
      <c r="AV264" s="42" t="n"/>
      <c r="AW264" s="69" t="str">
        <f>IFERROR(-AW259/AW261,"")</f>
        <v/>
      </c>
      <c r="AX264" s="69" t="str">
        <f>IFERROR(-AX259/AX261,"")</f>
        <v/>
      </c>
      <c r="AY264" s="69" t="str">
        <f>IFERROR(-AY259/AY261,"")</f>
        <v/>
      </c>
      <c r="AZ264" s="69" t="str">
        <f>IFERROR(-AZ259/AZ261,"")</f>
        <v/>
      </c>
      <c r="BA264" s="42" t="n"/>
      <c r="BB264" s="69" t="str">
        <f>IFERROR(-BB259/BB261,"")</f>
        <v/>
      </c>
      <c r="BC264" s="69" t="str">
        <f>IFERROR(-BC259/BC261,"")</f>
        <v/>
      </c>
      <c r="BD264" s="69" t="str">
        <f>IFERROR(-BD259/BD261,"")</f>
        <v/>
      </c>
      <c r="BE264" s="69" t="str">
        <f>IFERROR(-BE259/BE261,"")</f>
        <v/>
      </c>
      <c r="BF264" s="42" t="n"/>
      <c r="BG264" s="69" t="n"/>
      <c r="BH264" s="69" t="n"/>
      <c r="BI264" s="69" t="n"/>
      <c r="BJ264" s="69" t="n"/>
      <c r="BK264" s="42" t="n"/>
      <c r="BL264" s="69" t="n"/>
      <c r="BM264" s="69" t="n"/>
      <c r="BN264" s="69" t="n"/>
      <c r="BO264" s="69" t="n"/>
      <c r="BP264" s="42" t="n"/>
      <c r="BQ264" s="69" t="n"/>
      <c r="BR264" s="69" t="n"/>
      <c r="BS264" s="69" t="n"/>
      <c r="BT264" s="69" t="n"/>
      <c r="BU264" s="42" t="n"/>
      <c r="BV264" s="69" t="n"/>
      <c r="BW264" s="69" t="n"/>
      <c r="BX264" s="69" t="n"/>
      <c r="BY264" s="69" t="n"/>
      <c r="BZ264" s="42" t="n"/>
      <c r="CA264" s="69" t="n"/>
      <c r="CB264" s="69" t="n"/>
      <c r="CC264" s="69" t="n"/>
      <c r="CD264" s="69" t="n"/>
      <c r="CE264" s="42" t="n"/>
      <c r="CF264" s="69" t="n"/>
      <c r="CG264" s="69" t="n"/>
      <c r="CH264" s="69" t="n"/>
      <c r="CI264" s="69" t="n"/>
      <c r="CJ264" s="42" t="n"/>
      <c r="CK264" s="69" t="n"/>
      <c r="CL264" s="69" t="n"/>
      <c r="CM264" s="69" t="n"/>
      <c r="CN264" s="69" t="n"/>
      <c r="CO264" s="42" t="n"/>
      <c r="CP264" s="69" t="n"/>
      <c r="CQ264" s="69" t="n"/>
      <c r="CR264" s="69" t="n"/>
      <c r="CS264" s="69" t="n"/>
      <c r="CT264" s="42" t="n"/>
      <c r="CU264" s="69" t="n"/>
      <c r="CV264" s="69" t="n"/>
      <c r="CW264" s="69" t="n"/>
      <c r="CX264" s="69" t="n"/>
      <c r="CY264" s="42" t="n"/>
    </row>
    <row r="265" hidden="1" outlineLevel="1" customFormat="1" s="66">
      <c r="A265" s="37" t="n"/>
      <c r="B265" s="37" t="n"/>
      <c r="C265" s="67" t="inlineStr">
        <is>
          <t>Shares issued</t>
        </is>
      </c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  <c r="AA265" s="42" t="n"/>
      <c r="AB265" s="42" t="n"/>
      <c r="AC265" s="42" t="n"/>
      <c r="AD265" s="42" t="n"/>
      <c r="AE265" s="42" t="n"/>
      <c r="AF265" s="9" t="n"/>
      <c r="AG265" s="42" t="n"/>
      <c r="AH265" s="69" t="str">
        <f>IFERROR(AH260/AH261,"")</f>
        <v/>
      </c>
      <c r="AI265" s="69" t="str">
        <f>IFERROR(AI260/AI261,"")</f>
        <v/>
      </c>
      <c r="AJ265" s="69" t="str">
        <f>IFERROR(AJ260/AJ261,"")</f>
        <v/>
      </c>
      <c r="AK265" s="69" t="str">
        <f>IFERROR(AK260/AK261,"")</f>
        <v/>
      </c>
      <c r="AL265" s="42" t="n"/>
      <c r="AM265" s="69" t="str">
        <f>IFERROR(AM260/AM261,"")</f>
        <v/>
      </c>
      <c r="AN265" s="69" t="str">
        <f>IFERROR(AN260/AN261,"")</f>
        <v/>
      </c>
      <c r="AO265" s="69" t="str">
        <f>IFERROR(AO260/AO261,"")</f>
        <v/>
      </c>
      <c r="AP265" s="69" t="str">
        <f>IFERROR(AP260/AP261,"")</f>
        <v/>
      </c>
      <c r="AQ265" s="42" t="n"/>
      <c r="AR265" s="69" t="str">
        <f>IFERROR(AR260/AR261,"")</f>
        <v/>
      </c>
      <c r="AS265" s="69" t="str">
        <f>IFERROR(AS260/AS261,"")</f>
        <v/>
      </c>
      <c r="AT265" s="69" t="str">
        <f>IFERROR(AT260/AT261,"")</f>
        <v/>
      </c>
      <c r="AU265" s="69" t="str">
        <f>IFERROR(AU260/AU261,"")</f>
        <v/>
      </c>
      <c r="AV265" s="42" t="n"/>
      <c r="AW265" s="69" t="str">
        <f>IFERROR(AW260/AW261,"")</f>
        <v/>
      </c>
      <c r="AX265" s="69" t="str">
        <f>IFERROR(AX260/AX261,"")</f>
        <v/>
      </c>
      <c r="AY265" s="69" t="str">
        <f>IFERROR(AY260/AY261,"")</f>
        <v/>
      </c>
      <c r="AZ265" s="69" t="str">
        <f>IFERROR(AZ260/AZ261,"")</f>
        <v/>
      </c>
      <c r="BA265" s="42" t="n"/>
      <c r="BB265" s="69" t="str">
        <f>IFERROR(BB260/BB261,"")</f>
        <v/>
      </c>
      <c r="BC265" s="69" t="str">
        <f>IFERROR(BC260/BC261,"")</f>
        <v/>
      </c>
      <c r="BD265" s="69" t="str">
        <f>IFERROR(BD260/BD261,"")</f>
        <v/>
      </c>
      <c r="BE265" s="69" t="str">
        <f>IFERROR(BE260/BE261,"")</f>
        <v/>
      </c>
      <c r="BF265" s="42" t="n"/>
      <c r="BG265" s="69" t="n"/>
      <c r="BH265" s="69" t="n"/>
      <c r="BI265" s="69" t="n"/>
      <c r="BJ265" s="69" t="n"/>
      <c r="BK265" s="42" t="n"/>
      <c r="BL265" s="69" t="n"/>
      <c r="BM265" s="69" t="n"/>
      <c r="BN265" s="69" t="n"/>
      <c r="BO265" s="69" t="n"/>
      <c r="BP265" s="42" t="n"/>
      <c r="BQ265" s="69" t="n"/>
      <c r="BR265" s="69" t="n"/>
      <c r="BS265" s="69" t="n"/>
      <c r="BT265" s="69" t="n"/>
      <c r="BU265" s="42" t="n"/>
      <c r="BV265" s="69" t="n"/>
      <c r="BW265" s="69" t="n"/>
      <c r="BX265" s="69" t="n"/>
      <c r="BY265" s="69" t="n"/>
      <c r="BZ265" s="42" t="n"/>
      <c r="CA265" s="69" t="n"/>
      <c r="CB265" s="69" t="n"/>
      <c r="CC265" s="69" t="n"/>
      <c r="CD265" s="69" t="n"/>
      <c r="CE265" s="42" t="n"/>
      <c r="CF265" s="69" t="n"/>
      <c r="CG265" s="69" t="n"/>
      <c r="CH265" s="69" t="n"/>
      <c r="CI265" s="69" t="n"/>
      <c r="CJ265" s="42" t="n"/>
      <c r="CK265" s="69" t="n"/>
      <c r="CL265" s="69" t="n"/>
      <c r="CM265" s="69" t="n"/>
      <c r="CN265" s="69" t="n"/>
      <c r="CO265" s="42" t="n"/>
      <c r="CP265" s="69" t="n"/>
      <c r="CQ265" s="69" t="n"/>
      <c r="CR265" s="69" t="n"/>
      <c r="CS265" s="69" t="n"/>
      <c r="CT265" s="42" t="n"/>
      <c r="CU265" s="69" t="n"/>
      <c r="CV265" s="69" t="n"/>
      <c r="CW265" s="69" t="n"/>
      <c r="CX265" s="69" t="n"/>
      <c r="CY265" s="42" t="n"/>
    </row>
    <row r="266" hidden="1" outlineLevel="1" customFormat="1" s="66">
      <c r="A266" s="37" t="n"/>
      <c r="B266" s="37" t="n"/>
      <c r="C266" s="67" t="inlineStr">
        <is>
          <t>End of period basic shares outstanding</t>
        </is>
      </c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  <c r="AA266" s="42" t="n"/>
      <c r="AB266" s="42" t="n"/>
      <c r="AC266" s="42" t="n"/>
      <c r="AD266" s="42" t="n"/>
      <c r="AE266" s="42" t="n"/>
      <c r="AF266" s="42" t="n"/>
      <c r="AG266" s="42" t="n"/>
      <c r="AH266" s="3" t="str">
        <f>IFERROR(AG266+AH265-AH264,"")</f>
        <v/>
      </c>
      <c r="AI266" s="3" t="str">
        <f>IFERROR(AH266+AI265-AI264,"")</f>
        <v/>
      </c>
      <c r="AJ266" s="69" t="str">
        <f>IFERROR(AH266+AJ265-AJ264,"")</f>
        <v/>
      </c>
      <c r="AK266" s="69" t="str">
        <f>IFERROR(AJ266+AK265-AK264,"")</f>
        <v/>
      </c>
      <c r="AL266" s="42" t="n"/>
      <c r="AM266" s="3" t="str">
        <f>IFERROR(AK266+AM265-AM264,"")</f>
        <v/>
      </c>
      <c r="AN266" s="3" t="str">
        <f>IFERROR(AM266+AN265-AN264,"")</f>
        <v/>
      </c>
      <c r="AO266" s="69" t="str">
        <f>IFERROR(AM266+AO265-AO264,"")</f>
        <v/>
      </c>
      <c r="AP266" s="69" t="str">
        <f>IFERROR(AO266+AP265-AP264,"")</f>
        <v/>
      </c>
      <c r="AQ266" s="42" t="n"/>
      <c r="AR266" s="3" t="str">
        <f>IFERROR(AP266+AR265-AR264,"")</f>
        <v/>
      </c>
      <c r="AS266" s="3" t="str">
        <f>IFERROR(AR266+AS265-AS264,"")</f>
        <v/>
      </c>
      <c r="AT266" s="69" t="str">
        <f>IFERROR(AR266+AT265-AT264,"")</f>
        <v/>
      </c>
      <c r="AU266" s="69" t="str">
        <f>IFERROR(AT266+AU265-AU264,"")</f>
        <v/>
      </c>
      <c r="AV266" s="42" t="n"/>
      <c r="AW266" s="3" t="str">
        <f>IFERROR(AU266+AW265-AW264,"")</f>
        <v/>
      </c>
      <c r="AX266" s="3" t="str">
        <f>IFERROR(AW266+AX265-AX264,"")</f>
        <v/>
      </c>
      <c r="AY266" s="69" t="str">
        <f>IFERROR(AW266+AY265-AY264,"")</f>
        <v/>
      </c>
      <c r="AZ266" s="69" t="str">
        <f>IFERROR(AY266+AZ265-AZ264,"")</f>
        <v/>
      </c>
      <c r="BA266" s="42" t="n"/>
      <c r="BB266" s="3" t="str">
        <f>IFERROR(AZ266+BB265-BB264,"")</f>
        <v/>
      </c>
      <c r="BC266" s="3" t="str">
        <f>IFERROR(BB266+BC265-BC264,"")</f>
        <v/>
      </c>
      <c r="BD266" s="69" t="str">
        <f>IFERROR(BB266+BD265-BD264,"")</f>
        <v/>
      </c>
      <c r="BE266" s="69" t="str">
        <f>IFERROR(BD266+BE265-BE264,"")</f>
        <v/>
      </c>
      <c r="BF266" s="42" t="n"/>
      <c r="BG266" s="3" t="n"/>
      <c r="BH266" s="3" t="n"/>
      <c r="BI266" s="69" t="n"/>
      <c r="BJ266" s="69" t="n"/>
      <c r="BK266" s="42" t="n"/>
      <c r="BL266" s="3" t="n"/>
      <c r="BM266" s="3" t="n"/>
      <c r="BN266" s="69" t="n"/>
      <c r="BO266" s="69" t="n"/>
      <c r="BP266" s="42" t="n"/>
      <c r="BQ266" s="3" t="n"/>
      <c r="BR266" s="3" t="n"/>
      <c r="BS266" s="69" t="n"/>
      <c r="BT266" s="69" t="n"/>
      <c r="BU266" s="42" t="n"/>
      <c r="BV266" s="3" t="n"/>
      <c r="BW266" s="3" t="n"/>
      <c r="BX266" s="69" t="n"/>
      <c r="BY266" s="69" t="n"/>
      <c r="BZ266" s="42" t="n"/>
      <c r="CA266" s="3" t="n"/>
      <c r="CB266" s="3" t="n"/>
      <c r="CC266" s="69" t="n"/>
      <c r="CD266" s="69" t="n"/>
      <c r="CE266" s="42" t="n"/>
      <c r="CF266" s="3" t="n"/>
      <c r="CG266" s="3" t="n"/>
      <c r="CH266" s="69" t="n"/>
      <c r="CI266" s="69" t="n"/>
      <c r="CJ266" s="42" t="n"/>
      <c r="CK266" s="3" t="n"/>
      <c r="CL266" s="3" t="n"/>
      <c r="CM266" s="69" t="n"/>
      <c r="CN266" s="69" t="n"/>
      <c r="CO266" s="42" t="n"/>
      <c r="CP266" s="3" t="n"/>
      <c r="CQ266" s="3" t="n"/>
      <c r="CR266" s="69" t="n"/>
      <c r="CS266" s="69" t="n"/>
      <c r="CT266" s="42" t="n"/>
      <c r="CU266" s="3" t="n"/>
      <c r="CV266" s="3" t="n"/>
      <c r="CW266" s="69" t="n"/>
      <c r="CX266" s="69" t="n"/>
      <c r="CY266" s="42" t="n"/>
    </row>
    <row r="267" hidden="1" outlineLevel="1" customFormat="1" s="66">
      <c r="A267" s="37" t="n"/>
      <c r="B267" s="37" t="n"/>
      <c r="C267" s="67" t="inlineStr">
        <is>
          <t>Weighted average basic shares outstanding</t>
        </is>
      </c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  <c r="AA267" s="42" t="n"/>
      <c r="AB267" s="42" t="n"/>
      <c r="AC267" s="42" t="n"/>
      <c r="AD267" s="42" t="n"/>
      <c r="AE267" s="42" t="n"/>
      <c r="AF267" s="42" t="n"/>
      <c r="AG267" s="42" t="n"/>
      <c r="AH267" s="69" t="str">
        <f>IFERROR(AVERAGE(AG266,AH266),"")</f>
        <v/>
      </c>
      <c r="AI267" s="69" t="str">
        <f>IFERROR(AVERAGE(AH266,AI266),"")</f>
        <v/>
      </c>
      <c r="AJ267" s="69" t="str">
        <f>IFERROR(AVERAGE(AH266,AJ266),"")</f>
        <v/>
      </c>
      <c r="AK267" s="69" t="str">
        <f>IFERROR(AVERAGE(AJ266,AK266),"")</f>
        <v/>
      </c>
      <c r="AL267" s="42" t="n"/>
      <c r="AM267" s="69" t="str">
        <f>IFERROR(AVERAGE(AL266,AM266),"")</f>
        <v/>
      </c>
      <c r="AN267" s="69" t="str">
        <f>IFERROR(AVERAGE(AM266,AN266),"")</f>
        <v/>
      </c>
      <c r="AO267" s="69" t="str">
        <f>IFERROR(AVERAGE(AM266,AO266),"")</f>
        <v/>
      </c>
      <c r="AP267" s="69" t="str">
        <f>IFERROR(AVERAGE(AO266,AP266),"")</f>
        <v/>
      </c>
      <c r="AQ267" s="42" t="n"/>
      <c r="AR267" s="69" t="str">
        <f>IFERROR(AVERAGE(AQ266,AR266),"")</f>
        <v/>
      </c>
      <c r="AS267" s="69" t="str">
        <f>IFERROR(AVERAGE(AR266,AS266),"")</f>
        <v/>
      </c>
      <c r="AT267" s="69" t="str">
        <f>IFERROR(AVERAGE(AR266,AT266),"")</f>
        <v/>
      </c>
      <c r="AU267" s="69" t="str">
        <f>IFERROR(AVERAGE(AT266,AU266),"")</f>
        <v/>
      </c>
      <c r="AV267" s="42" t="n"/>
      <c r="AW267" s="69" t="str">
        <f>IFERROR(AVERAGE(AV266,AW266),"")</f>
        <v/>
      </c>
      <c r="AX267" s="69" t="str">
        <f>IFERROR(AVERAGE(AW266,AX266),"")</f>
        <v/>
      </c>
      <c r="AY267" s="69" t="str">
        <f>IFERROR(AVERAGE(AW266,AY266),"")</f>
        <v/>
      </c>
      <c r="AZ267" s="69" t="str">
        <f>IFERROR(AVERAGE(AY266,AZ266),"")</f>
        <v/>
      </c>
      <c r="BA267" s="42" t="n"/>
      <c r="BB267" s="69" t="str">
        <f>IFERROR(AVERAGE(BA266,BB266),"")</f>
        <v/>
      </c>
      <c r="BC267" s="69" t="str">
        <f>IFERROR(AVERAGE(BB266,BC266),"")</f>
        <v/>
      </c>
      <c r="BD267" s="69" t="str">
        <f>IFERROR(AVERAGE(BB266,BD266),"")</f>
        <v/>
      </c>
      <c r="BE267" s="69" t="str">
        <f>IFERROR(AVERAGE(BD266,BE266),"")</f>
        <v/>
      </c>
      <c r="BF267" s="42" t="n"/>
      <c r="BG267" s="69" t="n"/>
      <c r="BH267" s="69" t="n"/>
      <c r="BI267" s="69" t="n"/>
      <c r="BJ267" s="69" t="n"/>
      <c r="BK267" s="42" t="n"/>
      <c r="BL267" s="69" t="n"/>
      <c r="BM267" s="69" t="n"/>
      <c r="BN267" s="69" t="n"/>
      <c r="BO267" s="69" t="n"/>
      <c r="BP267" s="42" t="n"/>
      <c r="BQ267" s="69" t="n"/>
      <c r="BR267" s="69" t="n"/>
      <c r="BS267" s="69" t="n"/>
      <c r="BT267" s="69" t="n"/>
      <c r="BU267" s="42" t="n"/>
      <c r="BV267" s="69" t="n"/>
      <c r="BW267" s="69" t="n"/>
      <c r="BX267" s="69" t="n"/>
      <c r="BY267" s="69" t="n"/>
      <c r="BZ267" s="42" t="n"/>
      <c r="CA267" s="69" t="n"/>
      <c r="CB267" s="69" t="n"/>
      <c r="CC267" s="69" t="n"/>
      <c r="CD267" s="69" t="n"/>
      <c r="CE267" s="42" t="n"/>
      <c r="CF267" s="69" t="n"/>
      <c r="CG267" s="69" t="n"/>
      <c r="CH267" s="69" t="n"/>
      <c r="CI267" s="69" t="n"/>
      <c r="CJ267" s="42" t="n"/>
      <c r="CK267" s="69" t="n"/>
      <c r="CL267" s="69" t="n"/>
      <c r="CM267" s="69" t="n"/>
      <c r="CN267" s="69" t="n"/>
      <c r="CO267" s="42" t="n"/>
      <c r="CP267" s="69" t="n"/>
      <c r="CQ267" s="69" t="n"/>
      <c r="CR267" s="69" t="n"/>
      <c r="CS267" s="69" t="n"/>
      <c r="CT267" s="42" t="n"/>
      <c r="CU267" s="69" t="n"/>
      <c r="CV267" s="69" t="n"/>
      <c r="CW267" s="69" t="n"/>
      <c r="CX267" s="69" t="n"/>
      <c r="CY267" s="42" t="n"/>
    </row>
    <row r="268" hidden="1" outlineLevel="1" customFormat="1" s="66">
      <c r="A268" s="37" t="n"/>
      <c r="B268" s="37" t="n"/>
      <c r="C268" s="67" t="n"/>
      <c r="D268" s="42" t="n"/>
      <c r="E268" s="42" t="n"/>
      <c r="F268" s="42" t="n"/>
      <c r="G268" s="42" t="n"/>
      <c r="H268" s="12" t="n"/>
      <c r="I268" s="42" t="n"/>
      <c r="J268" s="42" t="n"/>
      <c r="K268" s="42" t="n"/>
      <c r="L268" s="42" t="n"/>
      <c r="M268" s="12" t="n"/>
      <c r="N268" s="42" t="n"/>
      <c r="O268" s="42" t="n"/>
      <c r="P268" s="42" t="n"/>
      <c r="Q268" s="42" t="n"/>
      <c r="R268" s="12" t="n"/>
      <c r="S268" s="42" t="n"/>
      <c r="T268" s="42" t="n"/>
      <c r="U268" s="42" t="n"/>
      <c r="V268" s="42" t="n"/>
      <c r="W268" s="12" t="n"/>
      <c r="X268" s="42" t="n"/>
      <c r="Y268" s="42" t="n"/>
      <c r="Z268" s="42" t="n"/>
      <c r="AA268" s="42" t="n"/>
      <c r="AB268" s="12" t="n"/>
      <c r="AC268" s="42" t="n"/>
      <c r="AD268" s="42" t="n"/>
      <c r="AE268" s="42" t="n"/>
      <c r="AF268" s="42" t="n"/>
      <c r="AG268" s="12" t="n"/>
      <c r="AH268" s="42" t="n"/>
      <c r="AI268" s="42" t="n"/>
      <c r="AJ268" s="42" t="n"/>
      <c r="AK268" s="42" t="n"/>
      <c r="AL268" s="12" t="n"/>
      <c r="AM268" s="42" t="n"/>
      <c r="AN268" s="42" t="n"/>
      <c r="AO268" s="42" t="n"/>
      <c r="AP268" s="42" t="n"/>
      <c r="AQ268" s="12" t="n"/>
      <c r="AR268" s="42" t="n"/>
      <c r="AS268" s="42" t="n"/>
      <c r="AT268" s="42" t="n"/>
      <c r="AU268" s="42" t="n"/>
      <c r="AV268" s="12" t="n"/>
      <c r="AW268" s="42" t="n"/>
      <c r="AX268" s="42" t="n"/>
      <c r="AY268" s="42" t="n"/>
      <c r="AZ268" s="42" t="n"/>
      <c r="BA268" s="12" t="n"/>
      <c r="BB268" s="42" t="n"/>
      <c r="BC268" s="42" t="n"/>
      <c r="BD268" s="42" t="n"/>
      <c r="BE268" s="42" t="n"/>
      <c r="BF268" s="12" t="n"/>
      <c r="BG268" s="42" t="n"/>
      <c r="BH268" s="42" t="n"/>
      <c r="BI268" s="42" t="n"/>
      <c r="BJ268" s="42" t="n"/>
      <c r="BK268" s="12" t="n"/>
      <c r="BL268" s="42" t="n"/>
      <c r="BM268" s="42" t="n"/>
      <c r="BN268" s="42" t="n"/>
      <c r="BO268" s="42" t="n"/>
      <c r="BP268" s="12" t="n"/>
      <c r="BQ268" s="42" t="n"/>
      <c r="BR268" s="42" t="n"/>
      <c r="BS268" s="42" t="n"/>
      <c r="BT268" s="42" t="n"/>
      <c r="BU268" s="12" t="n"/>
      <c r="BV268" s="42" t="n"/>
      <c r="BW268" s="42" t="n"/>
      <c r="BX268" s="42" t="n"/>
      <c r="BY268" s="42" t="n"/>
      <c r="BZ268" s="12" t="n"/>
      <c r="CA268" s="42" t="n"/>
      <c r="CB268" s="42" t="n"/>
      <c r="CC268" s="42" t="n"/>
      <c r="CD268" s="42" t="n"/>
      <c r="CE268" s="12" t="n"/>
      <c r="CF268" s="42" t="n"/>
      <c r="CG268" s="42" t="n"/>
      <c r="CH268" s="42" t="n"/>
      <c r="CI268" s="42" t="n"/>
      <c r="CJ268" s="12" t="n"/>
      <c r="CK268" s="42" t="n"/>
      <c r="CL268" s="42" t="n"/>
      <c r="CM268" s="42" t="n"/>
      <c r="CN268" s="42" t="n"/>
      <c r="CO268" s="12" t="n"/>
      <c r="CP268" s="42" t="n"/>
      <c r="CQ268" s="42" t="n"/>
      <c r="CR268" s="42" t="n"/>
      <c r="CS268" s="42" t="n"/>
      <c r="CT268" s="12" t="n"/>
      <c r="CU268" s="42" t="n"/>
      <c r="CV268" s="42" t="n"/>
      <c r="CW268" s="42" t="n"/>
      <c r="CX268" s="42" t="n"/>
      <c r="CY268" s="12" t="n"/>
    </row>
    <row r="269" collapsed="1">
      <c r="C269" s="14" t="inlineStr">
        <is>
          <t>Treasury stock (contra account)</t>
        </is>
      </c>
      <c r="D269" s="46" t="n"/>
      <c r="E269" s="46" t="n"/>
      <c r="F269" s="46" t="n"/>
      <c r="G269" s="46" t="n"/>
      <c r="H269" s="12" t="n"/>
      <c r="I269" s="46">
        <f>'Inputs (2)'!D44</f>
        <v>0</v>
      </c>
      <c r="J269" s="46">
        <f>'Inputs (2)'!E44</f>
        <v>0</v>
      </c>
      <c r="K269" s="46">
        <f>'Inputs (2)'!F44</f>
        <v>0</v>
      </c>
      <c r="L269" s="46">
        <f>'Inputs (2)'!G44</f>
        <v>0</v>
      </c>
      <c r="M269" s="12">
        <f>'Inputs (2)'!H44</f>
        <v>0</v>
      </c>
      <c r="N269" s="46">
        <f>'Inputs (2)'!I44</f>
        <v>0</v>
      </c>
      <c r="O269" s="46">
        <f>'Inputs (2)'!J44</f>
        <v>0</v>
      </c>
      <c r="P269" s="46">
        <f>'Inputs (2)'!K44</f>
        <v>0</v>
      </c>
      <c r="Q269" s="46">
        <f>'Inputs (2)'!L44</f>
        <v>0</v>
      </c>
      <c r="R269" s="12">
        <f>'Inputs (2)'!M44</f>
        <v>0</v>
      </c>
      <c r="S269" s="46">
        <f>'Inputs (2)'!N44</f>
        <v>0</v>
      </c>
      <c r="T269" s="46">
        <f>'Inputs (2)'!O44</f>
        <v>0</v>
      </c>
      <c r="U269" s="46">
        <f>'Inputs (2)'!P44</f>
        <v>0</v>
      </c>
      <c r="V269" s="46">
        <f>'Inputs (2)'!Q44</f>
        <v>0</v>
      </c>
      <c r="W269" s="12">
        <f>'Inputs (2)'!R44</f>
        <v>0</v>
      </c>
      <c r="X269" s="46">
        <f>'Inputs (2)'!S44</f>
        <v>0</v>
      </c>
      <c r="Y269" s="46">
        <f>'Inputs (2)'!T44</f>
        <v>0</v>
      </c>
      <c r="Z269" s="46">
        <f>'Inputs (2)'!U44</f>
        <v>0</v>
      </c>
      <c r="AA269" s="46">
        <f>'Inputs (2)'!V44</f>
        <v>0</v>
      </c>
      <c r="AB269" s="12">
        <f>'Inputs (2)'!W44</f>
        <v>0</v>
      </c>
      <c r="AC269" s="46">
        <f>'Inputs (2)'!X44</f>
        <v>0</v>
      </c>
      <c r="AD269" s="46">
        <f>'Inputs (2)'!Y44</f>
        <v>0</v>
      </c>
      <c r="AE269" s="46">
        <f>'Inputs (2)'!Z44</f>
        <v>0</v>
      </c>
      <c r="AF269" s="46">
        <f>'Inputs (2)'!AA44</f>
        <v>0</v>
      </c>
      <c r="AG269" s="12">
        <f>'Inputs (2)'!AB44</f>
        <v>0</v>
      </c>
      <c r="AH269" s="12">
        <f>'Inputs (2)'!AC44</f>
        <v>0</v>
      </c>
      <c r="AI269" s="12">
        <f>'Inputs (2)'!AD44</f>
        <v>0</v>
      </c>
      <c r="AJ269" s="12">
        <f>AI269</f>
        <v>0</v>
      </c>
      <c r="AK269" s="12">
        <f>AJ269</f>
        <v>0</v>
      </c>
      <c r="AL269" s="12">
        <f>AK269</f>
        <v>0</v>
      </c>
      <c r="AM269" s="12">
        <f>AL269</f>
        <v>0</v>
      </c>
      <c r="AN269" s="12">
        <f>AM269</f>
        <v>0</v>
      </c>
      <c r="AO269" s="12">
        <f>AN269</f>
        <v>0</v>
      </c>
      <c r="AP269" s="12">
        <f>AO269</f>
        <v>0</v>
      </c>
      <c r="AQ269" s="12">
        <f>AP269</f>
        <v>0</v>
      </c>
      <c r="AR269" s="12">
        <f>AQ269</f>
        <v>0</v>
      </c>
      <c r="AS269" s="12">
        <f>AR269</f>
        <v>0</v>
      </c>
      <c r="AT269" s="12">
        <f>AS269</f>
        <v>0</v>
      </c>
      <c r="AU269" s="12">
        <f>AT269</f>
        <v>0</v>
      </c>
      <c r="AV269" s="12">
        <f>AU269</f>
        <v>0</v>
      </c>
      <c r="AW269" s="12">
        <f>AV269</f>
        <v>0</v>
      </c>
      <c r="AX269" s="12">
        <f>AW269</f>
        <v>0</v>
      </c>
      <c r="AY269" s="12">
        <f>AX269</f>
        <v>0</v>
      </c>
      <c r="AZ269" s="12">
        <f>AY269</f>
        <v>0</v>
      </c>
      <c r="BA269" s="12">
        <f>AZ269</f>
        <v>0</v>
      </c>
      <c r="BB269" s="12">
        <f>BA269</f>
        <v>0</v>
      </c>
      <c r="BC269" s="12">
        <f>BB269</f>
        <v>0</v>
      </c>
      <c r="BD269" s="12">
        <f>BC269</f>
        <v>0</v>
      </c>
      <c r="BE269" s="12">
        <f>BD269</f>
        <v>0</v>
      </c>
      <c r="BF269" s="12">
        <f>BE269</f>
        <v>0</v>
      </c>
      <c r="BG269" s="12" t="n"/>
      <c r="BH269" s="12" t="n"/>
      <c r="BI269" s="12" t="n"/>
      <c r="BJ269" s="12" t="n"/>
      <c r="BK269" s="12" t="n"/>
      <c r="BL269" s="12" t="n"/>
      <c r="BM269" s="12" t="n"/>
      <c r="BN269" s="12" t="n"/>
      <c r="BO269" s="12" t="n"/>
      <c r="BP269" s="12" t="n"/>
      <c r="BQ269" s="12" t="n"/>
      <c r="BR269" s="12" t="n"/>
      <c r="BS269" s="12" t="n"/>
      <c r="BT269" s="12" t="n"/>
      <c r="BU269" s="12" t="n"/>
      <c r="BV269" s="12" t="n"/>
      <c r="BW269" s="12" t="n"/>
      <c r="BX269" s="12" t="n"/>
      <c r="BY269" s="12" t="n"/>
      <c r="BZ269" s="12" t="n"/>
      <c r="CA269" s="12" t="n"/>
      <c r="CB269" s="12" t="n"/>
      <c r="CC269" s="12" t="n"/>
      <c r="CD269" s="12" t="n"/>
      <c r="CE269" s="12" t="n"/>
      <c r="CF269" s="12" t="n"/>
      <c r="CG269" s="12" t="n"/>
      <c r="CH269" s="12" t="n"/>
      <c r="CI269" s="12" t="n"/>
      <c r="CJ269" s="12" t="n"/>
      <c r="CK269" s="12" t="n"/>
      <c r="CL269" s="12" t="n"/>
      <c r="CM269" s="12" t="n"/>
      <c r="CN269" s="12" t="n"/>
      <c r="CO269" s="12" t="n"/>
      <c r="CP269" s="12" t="n"/>
      <c r="CQ269" s="12" t="n"/>
      <c r="CR269" s="12" t="n"/>
      <c r="CS269" s="12" t="n"/>
      <c r="CT269" s="12" t="n"/>
      <c r="CU269" s="12" t="n"/>
      <c r="CV269" s="12" t="n"/>
      <c r="CW269" s="12" t="n"/>
      <c r="CX269" s="12" t="n"/>
      <c r="CY269" s="12" t="n"/>
    </row>
    <row r="270">
      <c r="C270" s="14" t="inlineStr">
        <is>
          <t>Comprehensive (accumulated) loss</t>
        </is>
      </c>
      <c r="D270" s="46" t="n"/>
      <c r="E270" s="46" t="n"/>
      <c r="F270" s="46" t="n"/>
      <c r="G270" s="46" t="n"/>
      <c r="H270" s="12" t="n"/>
      <c r="I270" s="46">
        <f>'Inputs (2)'!D45</f>
        <v>29.115</v>
      </c>
      <c r="J270" s="46">
        <f>'Inputs (2)'!E45</f>
        <v>29.053</v>
      </c>
      <c r="K270" s="46">
        <f>'Inputs (2)'!F45</f>
        <v>29</v>
      </c>
      <c r="L270" s="46">
        <f>'Inputs (2)'!G45</f>
        <v>74.259</v>
      </c>
      <c r="M270" s="12">
        <f>'Inputs (2)'!H45</f>
        <v>74.259</v>
      </c>
      <c r="N270" s="46">
        <f>'Inputs (2)'!I45</f>
        <v>74.217</v>
      </c>
      <c r="O270" s="46">
        <f>'Inputs (2)'!J45</f>
        <v>74.174</v>
      </c>
      <c r="P270" s="46">
        <f>'Inputs (2)'!K45</f>
        <v>74.153</v>
      </c>
      <c r="Q270" s="46">
        <f>'Inputs (2)'!L45</f>
        <v>220.487</v>
      </c>
      <c r="R270" s="12">
        <f>'Inputs (2)'!M45</f>
        <v>220.487</v>
      </c>
      <c r="S270" s="46">
        <f>'Inputs (2)'!N45</f>
        <v>220.471</v>
      </c>
      <c r="T270" s="46">
        <f>'Inputs (2)'!O45</f>
        <v>220.441</v>
      </c>
      <c r="U270" s="46">
        <f>'Inputs (2)'!P45</f>
        <v>220.415</v>
      </c>
      <c r="V270" s="46">
        <f>'Inputs (2)'!Q45</f>
        <v>190.513</v>
      </c>
      <c r="W270" s="12">
        <f>'Inputs (2)'!R45</f>
        <v>190.513</v>
      </c>
      <c r="X270" s="46">
        <f>'Inputs (2)'!S45</f>
        <v>190.488</v>
      </c>
      <c r="Y270" s="46">
        <f>'Inputs (2)'!T45</f>
        <v>190.422</v>
      </c>
      <c r="Z270" s="46">
        <f>'Inputs (2)'!U45</f>
        <v>190.396</v>
      </c>
      <c r="AA270" s="46">
        <f>'Inputs (2)'!V45</f>
        <v>191.791</v>
      </c>
      <c r="AB270" s="12">
        <f>'Inputs (2)'!W45</f>
        <v>191.791</v>
      </c>
      <c r="AC270" s="46">
        <f>'Inputs (2)'!X45</f>
        <v>191.725</v>
      </c>
      <c r="AD270" s="46">
        <f>'Inputs (2)'!Y45</f>
        <v>191.703</v>
      </c>
      <c r="AE270" s="46">
        <f>'Inputs (2)'!Z45</f>
        <v>191.659</v>
      </c>
      <c r="AF270" s="46">
        <f>'Inputs (2)'!AA45</f>
        <v>220.819</v>
      </c>
      <c r="AG270" s="12">
        <f>'Inputs (2)'!AB45</f>
        <v>220.819</v>
      </c>
      <c r="AH270" s="12">
        <f>'Inputs (2)'!AC45</f>
        <v>220.778</v>
      </c>
      <c r="AI270" s="12">
        <f>'Inputs (2)'!AD45</f>
        <v>220.727</v>
      </c>
      <c r="AJ270" s="12">
        <f>AI270</f>
        <v>220.727</v>
      </c>
      <c r="AK270" s="12">
        <f>AJ270</f>
        <v>220.727</v>
      </c>
      <c r="AL270" s="12">
        <f>AK270</f>
        <v>220.727</v>
      </c>
      <c r="AM270" s="12">
        <f>AL270</f>
        <v>220.727</v>
      </c>
      <c r="AN270" s="12">
        <f>AM270</f>
        <v>220.727</v>
      </c>
      <c r="AO270" s="12">
        <f>AN270</f>
        <v>220.727</v>
      </c>
      <c r="AP270" s="12">
        <f>AO270</f>
        <v>220.727</v>
      </c>
      <c r="AQ270" s="12">
        <f>AP270</f>
        <v>220.727</v>
      </c>
      <c r="AR270" s="12">
        <f>AQ270</f>
        <v>220.727</v>
      </c>
      <c r="AS270" s="12">
        <f>AR270</f>
        <v>220.727</v>
      </c>
      <c r="AT270" s="12">
        <f>AS270</f>
        <v>220.727</v>
      </c>
      <c r="AU270" s="12">
        <f>AT270</f>
        <v>220.727</v>
      </c>
      <c r="AV270" s="12">
        <f>AU270</f>
        <v>220.727</v>
      </c>
      <c r="AW270" s="12">
        <f>AV270</f>
        <v>220.727</v>
      </c>
      <c r="AX270" s="12">
        <f>AW270</f>
        <v>220.727</v>
      </c>
      <c r="AY270" s="12">
        <f>AX270</f>
        <v>220.727</v>
      </c>
      <c r="AZ270" s="12">
        <f>AY270</f>
        <v>220.727</v>
      </c>
      <c r="BA270" s="12">
        <f>AZ270</f>
        <v>220.727</v>
      </c>
      <c r="BB270" s="12">
        <f>BA270</f>
        <v>220.727</v>
      </c>
      <c r="BC270" s="12">
        <f>BB270</f>
        <v>220.727</v>
      </c>
      <c r="BD270" s="12">
        <f>BC270</f>
        <v>220.727</v>
      </c>
      <c r="BE270" s="12">
        <f>BD270</f>
        <v>220.727</v>
      </c>
      <c r="BF270" s="12">
        <f>BE270</f>
        <v>220.727</v>
      </c>
      <c r="BG270" s="12" t="n"/>
      <c r="BH270" s="12" t="n"/>
      <c r="BI270" s="12" t="n"/>
      <c r="BJ270" s="12" t="n"/>
      <c r="BK270" s="12" t="n"/>
      <c r="BL270" s="12" t="n"/>
      <c r="BM270" s="12" t="n"/>
      <c r="BN270" s="12" t="n"/>
      <c r="BO270" s="12" t="n"/>
      <c r="BP270" s="12" t="n"/>
      <c r="BQ270" s="12" t="n"/>
      <c r="BR270" s="12" t="n"/>
      <c r="BS270" s="12" t="n"/>
      <c r="BT270" s="12" t="n"/>
      <c r="BU270" s="12" t="n"/>
      <c r="BV270" s="12" t="n"/>
      <c r="BW270" s="12" t="n"/>
      <c r="BX270" s="12" t="n"/>
      <c r="BY270" s="12" t="n"/>
      <c r="BZ270" s="12" t="n"/>
      <c r="CA270" s="12" t="n"/>
      <c r="CB270" s="12" t="n"/>
      <c r="CC270" s="12" t="n"/>
      <c r="CD270" s="12" t="n"/>
      <c r="CE270" s="12" t="n"/>
      <c r="CF270" s="12" t="n"/>
      <c r="CG270" s="12" t="n"/>
      <c r="CH270" s="12" t="n"/>
      <c r="CI270" s="12" t="n"/>
      <c r="CJ270" s="12" t="n"/>
      <c r="CK270" s="12" t="n"/>
      <c r="CL270" s="12" t="n"/>
      <c r="CM270" s="12" t="n"/>
      <c r="CN270" s="12" t="n"/>
      <c r="CO270" s="12" t="n"/>
      <c r="CP270" s="12" t="n"/>
      <c r="CQ270" s="12" t="n"/>
      <c r="CR270" s="12" t="n"/>
      <c r="CS270" s="12" t="n"/>
      <c r="CT270" s="12" t="n"/>
      <c r="CU270" s="12" t="n"/>
      <c r="CV270" s="12" t="n"/>
      <c r="CW270" s="12" t="n"/>
      <c r="CX270" s="12" t="n"/>
      <c r="CY270" s="12" t="n"/>
    </row>
    <row r="271">
      <c r="C271" s="14" t="inlineStr">
        <is>
          <t>Other equity account</t>
        </is>
      </c>
      <c r="D271" s="46" t="n"/>
      <c r="E271" s="46" t="n"/>
      <c r="F271" s="46" t="n"/>
      <c r="G271" s="46" t="n"/>
      <c r="H271" s="12" t="n"/>
      <c r="I271" s="46">
        <f>'Inputs (2)'!D46</f>
        <v>2916.613</v>
      </c>
      <c r="J271" s="46">
        <f>'Inputs (2)'!E46</f>
        <v>2855.158</v>
      </c>
      <c r="K271" s="46">
        <f>'Inputs (2)'!F46</f>
        <v>2853.888</v>
      </c>
      <c r="L271" s="46">
        <f>'Inputs (2)'!G46</f>
        <v>3755.946</v>
      </c>
      <c r="M271" s="12">
        <f>'Inputs (2)'!H46</f>
        <v>3755.946</v>
      </c>
      <c r="N271" s="46">
        <f>'Inputs (2)'!I46</f>
        <v>3754.728</v>
      </c>
      <c r="O271" s="46">
        <f>'Inputs (2)'!J46</f>
        <v>3689.727</v>
      </c>
      <c r="P271" s="46">
        <f>'Inputs (2)'!K46</f>
        <v>3688.644</v>
      </c>
      <c r="Q271" s="46">
        <f>'Inputs (2)'!L46</f>
        <v>4570.263</v>
      </c>
      <c r="R271" s="12">
        <f>'Inputs (2)'!M46</f>
        <v>4570.263</v>
      </c>
      <c r="S271" s="46">
        <f>'Inputs (2)'!N46</f>
        <v>4569.202</v>
      </c>
      <c r="T271" s="46">
        <f>'Inputs (2)'!O46</f>
        <v>2408.981</v>
      </c>
      <c r="U271" s="46">
        <f>'Inputs (2)'!P46</f>
        <v>2407.924</v>
      </c>
      <c r="V271" s="46">
        <f>'Inputs (2)'!Q46</f>
        <v>3557.55</v>
      </c>
      <c r="W271" s="12">
        <f>'Inputs (2)'!R46</f>
        <v>3557.55</v>
      </c>
      <c r="X271" s="46">
        <f>'Inputs (2)'!S46</f>
        <v>3556.516</v>
      </c>
      <c r="Y271" s="46">
        <f>'Inputs (2)'!T46</f>
        <v>3460.139</v>
      </c>
      <c r="Z271" s="46">
        <f>'Inputs (2)'!U46</f>
        <v>3459.135</v>
      </c>
      <c r="AA271" s="46">
        <f>'Inputs (2)'!V46</f>
        <v>4640.779</v>
      </c>
      <c r="AB271" s="12">
        <f>'Inputs (2)'!W46</f>
        <v>4640.779</v>
      </c>
      <c r="AC271" s="46">
        <f>'Inputs (2)'!X46</f>
        <v>4639.803</v>
      </c>
      <c r="AD271" s="46">
        <f>'Inputs (2)'!Y46</f>
        <v>4542.98</v>
      </c>
      <c r="AE271" s="46">
        <f>'Inputs (2)'!Z46</f>
        <v>4542.026</v>
      </c>
      <c r="AF271" s="46">
        <f>'Inputs (2)'!AA46</f>
        <v>6130.825</v>
      </c>
      <c r="AG271" s="12">
        <f>'Inputs (2)'!AB46</f>
        <v>6130.825</v>
      </c>
      <c r="AH271" s="12">
        <f>'Inputs (2)'!AC46</f>
        <v>6129.926</v>
      </c>
      <c r="AI271" s="12">
        <f>'Inputs (2)'!AD46</f>
        <v>6037.6</v>
      </c>
      <c r="AJ271" s="12">
        <f>AI271</f>
        <v>6037.6</v>
      </c>
      <c r="AK271" s="12">
        <f>AJ271</f>
        <v>6037.6</v>
      </c>
      <c r="AL271" s="12">
        <f>AK271</f>
        <v>6037.6</v>
      </c>
      <c r="AM271" s="12">
        <f>AL271</f>
        <v>6037.6</v>
      </c>
      <c r="AN271" s="12">
        <f>AM271</f>
        <v>6037.6</v>
      </c>
      <c r="AO271" s="12">
        <f>AN271</f>
        <v>6037.6</v>
      </c>
      <c r="AP271" s="12">
        <f>AO271</f>
        <v>6037.6</v>
      </c>
      <c r="AQ271" s="12">
        <f>AP271</f>
        <v>6037.6</v>
      </c>
      <c r="AR271" s="12">
        <f>AQ271</f>
        <v>6037.6</v>
      </c>
      <c r="AS271" s="12">
        <f>AR271</f>
        <v>6037.6</v>
      </c>
      <c r="AT271" s="12">
        <f>AS271</f>
        <v>6037.6</v>
      </c>
      <c r="AU271" s="12">
        <f>AT271</f>
        <v>6037.6</v>
      </c>
      <c r="AV271" s="12">
        <f>AU271</f>
        <v>6037.6</v>
      </c>
      <c r="AW271" s="12">
        <f>AV271</f>
        <v>6037.6</v>
      </c>
      <c r="AX271" s="12">
        <f>AW271</f>
        <v>6037.6</v>
      </c>
      <c r="AY271" s="12">
        <f>AX271</f>
        <v>6037.6</v>
      </c>
      <c r="AZ271" s="12">
        <f>AY271</f>
        <v>6037.6</v>
      </c>
      <c r="BA271" s="12">
        <f>AZ271</f>
        <v>6037.6</v>
      </c>
      <c r="BB271" s="12">
        <f>BA271</f>
        <v>6037.6</v>
      </c>
      <c r="BC271" s="12">
        <f>BB271</f>
        <v>6037.6</v>
      </c>
      <c r="BD271" s="12">
        <f>BC271</f>
        <v>6037.6</v>
      </c>
      <c r="BE271" s="12">
        <f>BD271</f>
        <v>6037.6</v>
      </c>
      <c r="BF271" s="12">
        <f>BE271</f>
        <v>6037.6</v>
      </c>
      <c r="BG271" s="12" t="n"/>
      <c r="BH271" s="12" t="n"/>
      <c r="BI271" s="12" t="n"/>
      <c r="BJ271" s="12" t="n"/>
      <c r="BK271" s="12" t="n"/>
      <c r="BL271" s="12" t="n"/>
      <c r="BM271" s="12" t="n"/>
      <c r="BN271" s="12" t="n"/>
      <c r="BO271" s="12" t="n"/>
      <c r="BP271" s="12" t="n"/>
      <c r="BQ271" s="12" t="n"/>
      <c r="BR271" s="12" t="n"/>
      <c r="BS271" s="12" t="n"/>
      <c r="BT271" s="12" t="n"/>
      <c r="BU271" s="12" t="n"/>
      <c r="BV271" s="12" t="n"/>
      <c r="BW271" s="12" t="n"/>
      <c r="BX271" s="12" t="n"/>
      <c r="BY271" s="12" t="n"/>
      <c r="BZ271" s="12" t="n"/>
      <c r="CA271" s="12" t="n"/>
      <c r="CB271" s="12" t="n"/>
      <c r="CC271" s="12" t="n"/>
      <c r="CD271" s="12" t="n"/>
      <c r="CE271" s="12" t="n"/>
      <c r="CF271" s="12" t="n"/>
      <c r="CG271" s="12" t="n"/>
      <c r="CH271" s="12" t="n"/>
      <c r="CI271" s="12" t="n"/>
      <c r="CJ271" s="12" t="n"/>
      <c r="CK271" s="12" t="n"/>
      <c r="CL271" s="12" t="n"/>
      <c r="CM271" s="12" t="n"/>
      <c r="CN271" s="12" t="n"/>
      <c r="CO271" s="12" t="n"/>
      <c r="CP271" s="12" t="n"/>
      <c r="CQ271" s="12" t="n"/>
      <c r="CR271" s="12" t="n"/>
      <c r="CS271" s="12" t="n"/>
      <c r="CT271" s="12" t="n"/>
      <c r="CU271" s="12" t="n"/>
      <c r="CV271" s="12" t="n"/>
      <c r="CW271" s="12" t="n"/>
      <c r="CX271" s="12" t="n"/>
      <c r="CY271" s="12" t="n"/>
    </row>
    <row r="272">
      <c r="C272" s="15" t="inlineStr">
        <is>
          <t>Retained earnings</t>
        </is>
      </c>
      <c r="D272" s="46" t="n"/>
      <c r="E272" s="46" t="n"/>
      <c r="F272" s="46" t="n"/>
      <c r="G272" s="46" t="n"/>
      <c r="H272" s="12" t="n"/>
      <c r="I272" s="46">
        <f>'Inputs (2)'!D47</f>
        <v>247.788</v>
      </c>
      <c r="J272" s="46">
        <f>'Inputs (2)'!E47</f>
        <v>429.955</v>
      </c>
      <c r="K272" s="46">
        <f>'Inputs (2)'!F47</f>
        <v>698.619</v>
      </c>
      <c r="L272" s="46">
        <f>'Inputs (2)'!G47</f>
        <v>0</v>
      </c>
      <c r="M272" s="12">
        <f>'Inputs (2)'!H47</f>
        <v>0</v>
      </c>
      <c r="N272" s="46">
        <f>'Inputs (2)'!I47</f>
        <v>293.204</v>
      </c>
      <c r="O272" s="46">
        <f>'Inputs (2)'!J47</f>
        <v>373.868</v>
      </c>
      <c r="P272" s="46">
        <f>'Inputs (2)'!K47</f>
        <v>649.9</v>
      </c>
      <c r="Q272" s="46">
        <f>'Inputs (2)'!L47</f>
        <v>0</v>
      </c>
      <c r="R272" s="12">
        <f>'Inputs (2)'!M47</f>
        <v>0</v>
      </c>
      <c r="S272" s="46">
        <f>'Inputs (2)'!N47</f>
        <v>320.651</v>
      </c>
      <c r="T272" s="46">
        <f>'Inputs (2)'!O47</f>
        <v>475.014</v>
      </c>
      <c r="U272" s="46">
        <f>'Inputs (2)'!P47</f>
        <v>872.957</v>
      </c>
      <c r="V272" s="46">
        <f>'Inputs (2)'!Q47</f>
        <v>0</v>
      </c>
      <c r="W272" s="12">
        <f>'Inputs (2)'!R47</f>
        <v>0</v>
      </c>
      <c r="X272" s="46">
        <f>'Inputs (2)'!S47</f>
        <v>380.411</v>
      </c>
      <c r="Y272" s="46">
        <f>'Inputs (2)'!T47</f>
        <v>533.104</v>
      </c>
      <c r="Z272" s="46">
        <f>'Inputs (2)'!U47</f>
        <v>911.663</v>
      </c>
      <c r="AA272" s="46">
        <f>'Inputs (2)'!V47</f>
        <v>0</v>
      </c>
      <c r="AB272" s="12">
        <f>'Inputs (2)'!W47</f>
        <v>0</v>
      </c>
      <c r="AC272" s="46">
        <f>'Inputs (2)'!X47</f>
        <v>1209.035</v>
      </c>
      <c r="AD272" s="46">
        <f>'Inputs (2)'!Y47</f>
        <v>1053.486</v>
      </c>
      <c r="AE272" s="46">
        <f>'Inputs (2)'!Z47</f>
        <v>1300.885</v>
      </c>
      <c r="AF272" s="46">
        <f>'Inputs (2)'!AA47</f>
        <v>0</v>
      </c>
      <c r="AG272" s="12">
        <f>'Inputs (2)'!AB47</f>
        <v>0</v>
      </c>
      <c r="AH272" s="12">
        <f>'Inputs (2)'!AC47</f>
        <v>353.621</v>
      </c>
      <c r="AI272" s="12">
        <f>'Inputs (2)'!AD47</f>
        <v>-150.589</v>
      </c>
      <c r="AJ272" s="12">
        <f>AI272+AJ139+AJ140</f>
        <v>570.47204741789</v>
      </c>
      <c r="AK272" s="12">
        <f>AJ272+AK139+AK140</f>
        <v>1326.21628105038</v>
      </c>
      <c r="AL272" s="12">
        <f>AK272</f>
        <v>1326.21628105038</v>
      </c>
      <c r="AM272" s="12">
        <f>AL272+AM139+AM140</f>
        <v>2104.10266426239</v>
      </c>
      <c r="AN272" s="12">
        <f>AM272+AN139+AN140</f>
        <v>2863.9266614938</v>
      </c>
      <c r="AO272" s="12">
        <f>AN272+AO139+AO140</f>
        <v>3633.13778479484</v>
      </c>
      <c r="AP272" s="12">
        <f>AO272+AP139+AP140</f>
        <v>4439.34812296585</v>
      </c>
      <c r="AQ272" s="12">
        <f>AP272</f>
        <v>4439.34812296585</v>
      </c>
      <c r="AR272" s="12">
        <f>AQ272+AR139+AR140</f>
        <v>5265.28975843834</v>
      </c>
      <c r="AS272" s="12">
        <f>AR272+AS139+AS140</f>
        <v>6072.05317336434</v>
      </c>
      <c r="AT272" s="12">
        <f>AS272+AT139+AT140</f>
        <v>6888.78362001329</v>
      </c>
      <c r="AU272" s="12">
        <f>AT272+AU139+AU140</f>
        <v>7744.7989708596</v>
      </c>
      <c r="AV272" s="12">
        <f>AU272</f>
        <v>7744.7989708596</v>
      </c>
      <c r="AW272" s="12">
        <f>AV272+AW139+AW140</f>
        <v>8617.63484522675</v>
      </c>
      <c r="AX272" s="12">
        <f>AW272+AX139+AX140</f>
        <v>9470.20362300914</v>
      </c>
      <c r="AY272" s="12">
        <f>AX272+AY139+AY140</f>
        <v>10333.3053276657</v>
      </c>
      <c r="AZ272" s="12">
        <f>AY272+AZ139+AZ140</f>
        <v>11237.9224036655</v>
      </c>
      <c r="BA272" s="12">
        <f>AZ272</f>
        <v>11237.9224036655</v>
      </c>
      <c r="BB272" s="12">
        <f>BA272+BB139+BB140</f>
        <v>12155.9508376004</v>
      </c>
      <c r="BC272" s="12">
        <f>BB272+BC139+BC140</f>
        <v>13052.662811609</v>
      </c>
      <c r="BD272" s="12">
        <f>BC272+BD139+BD140</f>
        <v>13960.4530726668</v>
      </c>
      <c r="BE272" s="12">
        <f>BD272+BE139+BE140</f>
        <v>14911.9082339169</v>
      </c>
      <c r="BF272" s="12">
        <f>BE272</f>
        <v>14911.9082339169</v>
      </c>
      <c r="BG272" s="12" t="n"/>
      <c r="BH272" s="12" t="n"/>
      <c r="BI272" s="12" t="n"/>
      <c r="BJ272" s="12" t="n"/>
      <c r="BK272" s="12" t="n"/>
      <c r="BL272" s="12" t="n"/>
      <c r="BM272" s="12" t="n"/>
      <c r="BN272" s="12" t="n"/>
      <c r="BO272" s="12" t="n"/>
      <c r="BP272" s="12" t="n"/>
      <c r="BQ272" s="12" t="n"/>
      <c r="BR272" s="12" t="n"/>
      <c r="BS272" s="12" t="n"/>
      <c r="BT272" s="12" t="n"/>
      <c r="BU272" s="12" t="n"/>
      <c r="BV272" s="12" t="n"/>
      <c r="BW272" s="12" t="n"/>
      <c r="BX272" s="12" t="n"/>
      <c r="BY272" s="12" t="n"/>
      <c r="BZ272" s="12" t="n"/>
      <c r="CA272" s="12" t="n"/>
      <c r="CB272" s="12" t="n"/>
      <c r="CC272" s="12" t="n"/>
      <c r="CD272" s="12" t="n"/>
      <c r="CE272" s="12" t="n"/>
      <c r="CF272" s="12" t="n"/>
      <c r="CG272" s="12" t="n"/>
      <c r="CH272" s="12" t="n"/>
      <c r="CI272" s="12" t="n"/>
      <c r="CJ272" s="12" t="n"/>
      <c r="CK272" s="12" t="n"/>
      <c r="CL272" s="12" t="n"/>
      <c r="CM272" s="12" t="n"/>
      <c r="CN272" s="12" t="n"/>
      <c r="CO272" s="12" t="n"/>
      <c r="CP272" s="12" t="n"/>
      <c r="CQ272" s="12" t="n"/>
      <c r="CR272" s="12" t="n"/>
      <c r="CS272" s="12" t="n"/>
      <c r="CT272" s="12" t="n"/>
      <c r="CU272" s="12" t="n"/>
      <c r="CV272" s="12" t="n"/>
      <c r="CW272" s="12" t="n"/>
      <c r="CX272" s="12" t="n"/>
      <c r="CY272" s="12" t="n"/>
    </row>
    <row r="273" customFormat="1" s="32">
      <c r="A273" s="30" t="inlineStr">
        <is>
          <t xml:space="preserve"> </t>
        </is>
      </c>
      <c r="B273" s="30" t="n"/>
      <c r="C273" s="65" t="inlineStr">
        <is>
          <t>Total Shareholders' Equity</t>
        </is>
      </c>
      <c r="D273" s="35" t="n"/>
      <c r="E273" s="35" t="n"/>
      <c r="F273" s="35" t="n"/>
      <c r="G273" s="35" t="n"/>
      <c r="H273" s="35" t="n"/>
      <c r="I273" s="35">
        <f>SUM(I250+I255+I256+I269+I270+I271+I272)</f>
        <v>7189.653</v>
      </c>
      <c r="J273" s="35">
        <f>SUM(J250+J255+J256+J269+J270+J271+J272)</f>
        <v>7310.303</v>
      </c>
      <c r="K273" s="35">
        <f>SUM(K250+K255+K256+K269+K270+K271+K272)</f>
        <v>7577.644</v>
      </c>
      <c r="L273" s="35">
        <f>SUM(L250+L255+L256+L269+L270+L271+L272)</f>
        <v>7826.342</v>
      </c>
      <c r="M273" s="35">
        <f>SUM(M250,M255,M256,M269,M270,M271,M272)</f>
        <v>7826.342</v>
      </c>
      <c r="N273" s="35">
        <f>SUM(N250+N255+N256+N269+N270+N271+N272)</f>
        <v>8118.286</v>
      </c>
      <c r="O273" s="35">
        <f>SUM(O250+O255+O256+O269+O270+O271+O272)</f>
        <v>8133.906</v>
      </c>
      <c r="P273" s="35">
        <f>SUM(P250+P255+P256+P269+P270+P271+P272)</f>
        <v>8408.834</v>
      </c>
      <c r="Q273" s="35">
        <f>SUM(Q250+Q255+Q256+Q269+Q270+Q271+Q272)</f>
        <v>8786.887</v>
      </c>
      <c r="R273" s="35">
        <f>SUM(R250,R255,R256,R269,R270,R271,R272)</f>
        <v>8786.887</v>
      </c>
      <c r="S273" s="35">
        <f>SUM(S250+S255+S256+S269+S270+S271+S272)</f>
        <v>9106.461</v>
      </c>
      <c r="T273" s="35">
        <f>SUM(T250+T255+T256+T269+T270+T271+T272)</f>
        <v>9100.573</v>
      </c>
      <c r="U273" s="35">
        <f>SUM(U250+U255+U256+U269+U270+U271+U272)</f>
        <v>9497.433</v>
      </c>
      <c r="V273" s="35">
        <f>SUM(V250+V255+V256+V269+V270+V271+V272)</f>
        <v>9744.2</v>
      </c>
      <c r="W273" s="35">
        <f>SUM(W250,W255,W256,W269,W270,W271,W272)</f>
        <v>9744.2</v>
      </c>
      <c r="X273" s="35">
        <f>SUM(X250+X255+X256+X269+X270+X271+X272)</f>
        <v>10123.552</v>
      </c>
      <c r="Y273" s="35">
        <f>SUM(Y250+Y255+Y256+Y269+Y270+Y271+Y272)</f>
        <v>10179.802</v>
      </c>
      <c r="Z273" s="35">
        <f>SUM(Z250+Z255+Z256+Z269+Z270+Z271+Z272)</f>
        <v>10557.331</v>
      </c>
      <c r="AA273" s="35">
        <f>SUM(AA250+AA255+AA256+AA269+AA270+AA271+AA272)</f>
        <v>10828.707</v>
      </c>
      <c r="AB273" s="35">
        <f>SUM(AB250,AB255,AB256,AB269,AB270,AB271,AB272)</f>
        <v>10828.707</v>
      </c>
      <c r="AC273" s="35">
        <f>SUM(AC250+AC255+AC256+AC269+AC270+AC271+AC272)</f>
        <v>12036.7</v>
      </c>
      <c r="AD273" s="35">
        <f>SUM(AD250+AD255+AD256+AD269+AD270+AD271+AD272)</f>
        <v>11784.306</v>
      </c>
      <c r="AE273" s="35">
        <f>SUM(AE250+AE255+AE256+AE269+AE270+AE271+AE272)</f>
        <v>12030.707</v>
      </c>
      <c r="AF273" s="35">
        <f>SUM(AF250+AF255+AF256+AF269+AF270+AF271+AF272)</f>
        <v>12347.781</v>
      </c>
      <c r="AG273" s="35">
        <f>SUM(AG250,AG255,AG256,AG269,AG270,AG271,AG272)</f>
        <v>12347.781</v>
      </c>
      <c r="AH273" s="35">
        <f>SUM(AH250+AH255+AH256+AH269+AH270+AH271+AH272)</f>
        <v>12700.462</v>
      </c>
      <c r="AI273" s="35">
        <f>SUM(AI250+AI255+AI256+AI269+AI270+AI271+AI272)</f>
        <v>12103.875</v>
      </c>
      <c r="AJ273" s="35">
        <f>SUM(AJ250+AJ255+AJ256+AJ269+AJ270+AJ271+AJ272)</f>
        <v>12824.9360474179</v>
      </c>
      <c r="AK273" s="35">
        <f>SUM(AK250+AK255+AK256+AK269+AK270+AK271+AK272)</f>
        <v>13580.6802810504</v>
      </c>
      <c r="AL273" s="35">
        <f>SUM(AL250,AL255,AL256,AL269,AL270,AL271,AL272)</f>
        <v>13580.6802810504</v>
      </c>
      <c r="AM273" s="35">
        <f>SUM(AM250+AM255+AM256+AM269+AM270+AM271+AM272)</f>
        <v>14358.5666642624</v>
      </c>
      <c r="AN273" s="35">
        <f>SUM(AN250+AN255+AN256+AN269+AN270+AN271+AN272)</f>
        <v>15118.3906614938</v>
      </c>
      <c r="AO273" s="35">
        <f>SUM(AO250+AO255+AO256+AO269+AO270+AO271+AO272)</f>
        <v>15887.6017847948</v>
      </c>
      <c r="AP273" s="35">
        <f>SUM(AP250+AP255+AP256+AP269+AP270+AP271+AP272)</f>
        <v>16693.8121229659</v>
      </c>
      <c r="AQ273" s="35">
        <f>SUM(AQ250,AQ255,AQ256,AQ269,AQ270,AQ271,AQ272)</f>
        <v>16693.8121229659</v>
      </c>
      <c r="AR273" s="35">
        <f>SUM(AR250+AR255+AR256+AR269+AR270+AR271+AR272)</f>
        <v>17519.7537584383</v>
      </c>
      <c r="AS273" s="35">
        <f>SUM(AS250+AS255+AS256+AS269+AS270+AS271+AS272)</f>
        <v>18326.5171733643</v>
      </c>
      <c r="AT273" s="35">
        <f>SUM(AT250+AT255+AT256+AT269+AT270+AT271+AT272)</f>
        <v>19143.2476200133</v>
      </c>
      <c r="AU273" s="35">
        <f>SUM(AU250+AU255+AU256+AU269+AU270+AU271+AU272)</f>
        <v>19999.2629708596</v>
      </c>
      <c r="AV273" s="35">
        <f>SUM(AV250,AV255,AV256,AV269,AV270,AV271,AV272)</f>
        <v>19999.2629708596</v>
      </c>
      <c r="AW273" s="35">
        <f>SUM(AW250+AW255+AW256+AW269+AW270+AW271+AW272)</f>
        <v>20872.0988452268</v>
      </c>
      <c r="AX273" s="35">
        <f>SUM(AX250+AX255+AX256+AX269+AX270+AX271+AX272)</f>
        <v>21724.6676230091</v>
      </c>
      <c r="AY273" s="35">
        <f>SUM(AY250+AY255+AY256+AY269+AY270+AY271+AY272)</f>
        <v>22587.7693276657</v>
      </c>
      <c r="AZ273" s="35">
        <f>SUM(AZ250+AZ255+AZ256+AZ269+AZ270+AZ271+AZ272)</f>
        <v>23492.3864036655</v>
      </c>
      <c r="BA273" s="35">
        <f>SUM(BA250,BA255,BA256,BA269,BA270,BA271,BA272)</f>
        <v>23492.3864036655</v>
      </c>
      <c r="BB273" s="35">
        <f>SUM(BB250+BB255+BB256+BB269+BB270+BB271+BB272)</f>
        <v>24410.4148376004</v>
      </c>
      <c r="BC273" s="35">
        <f>SUM(BC250+BC255+BC256+BC269+BC270+BC271+BC272)</f>
        <v>25307.126811609</v>
      </c>
      <c r="BD273" s="35">
        <f>SUM(BD250+BD255+BD256+BD269+BD270+BD271+BD272)</f>
        <v>26214.9170726668</v>
      </c>
      <c r="BE273" s="35">
        <f>SUM(BE250+BE255+BE256+BE269+BE270+BE271+BE272)</f>
        <v>27166.3722339169</v>
      </c>
      <c r="BF273" s="35">
        <f>SUM(BF250,BF255,BF256,BF269,BF270,BF271,BF272)</f>
        <v>27166.3722339169</v>
      </c>
      <c r="BG273" s="35" t="n"/>
      <c r="BH273" s="35" t="n"/>
      <c r="BI273" s="35" t="n"/>
      <c r="BJ273" s="35" t="n"/>
      <c r="BK273" s="35" t="n"/>
      <c r="BL273" s="35" t="n"/>
      <c r="BM273" s="35" t="n"/>
      <c r="BN273" s="35" t="n"/>
      <c r="BO273" s="35" t="n"/>
      <c r="BP273" s="35" t="n"/>
      <c r="BQ273" s="35" t="n"/>
      <c r="BR273" s="35" t="n"/>
      <c r="BS273" s="35" t="n"/>
      <c r="BT273" s="35" t="n"/>
      <c r="BU273" s="35" t="n"/>
      <c r="BV273" s="35" t="n"/>
      <c r="BW273" s="35" t="n"/>
      <c r="BX273" s="35" t="n"/>
      <c r="BY273" s="35" t="n"/>
      <c r="BZ273" s="35" t="n"/>
      <c r="CA273" s="35" t="n"/>
      <c r="CB273" s="35" t="n"/>
      <c r="CC273" s="35" t="n"/>
      <c r="CD273" s="35" t="n"/>
      <c r="CE273" s="35" t="n"/>
      <c r="CF273" s="35" t="n"/>
      <c r="CG273" s="35" t="n"/>
      <c r="CH273" s="35" t="n"/>
      <c r="CI273" s="35" t="n"/>
      <c r="CJ273" s="35" t="n"/>
      <c r="CK273" s="35" t="n"/>
      <c r="CL273" s="35" t="n"/>
      <c r="CM273" s="35" t="n"/>
      <c r="CN273" s="35" t="n"/>
      <c r="CO273" s="35" t="n"/>
      <c r="CP273" s="35" t="n"/>
      <c r="CQ273" s="35" t="n"/>
      <c r="CR273" s="35" t="n"/>
      <c r="CS273" s="35" t="n"/>
      <c r="CT273" s="35" t="n"/>
      <c r="CU273" s="35" t="n"/>
      <c r="CV273" s="35" t="n"/>
      <c r="CW273" s="35" t="n"/>
      <c r="CX273" s="35" t="n"/>
      <c r="CY273" s="35" t="n"/>
    </row>
    <row r="274">
      <c r="C274" s="10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 customFormat="1" s="32">
      <c r="A275" s="30" t="n"/>
      <c r="B275" s="3" t="n"/>
      <c r="C275" s="33" t="inlineStr">
        <is>
          <t>Total Liabilities + Shareholders' Equity</t>
        </is>
      </c>
      <c r="D275" s="35" t="n"/>
      <c r="E275" s="35" t="n"/>
      <c r="F275" s="35" t="n"/>
      <c r="G275" s="35" t="n"/>
      <c r="H275" s="35" t="n"/>
      <c r="I275" s="35">
        <f>I273+I249</f>
        <v>13929.028</v>
      </c>
      <c r="J275" s="35">
        <f>J273+J249</f>
        <v>13868.519</v>
      </c>
      <c r="K275" s="35">
        <f>K273+K249</f>
        <v>14325.353</v>
      </c>
      <c r="L275" s="35">
        <f>L273+L249</f>
        <v>14640.589</v>
      </c>
      <c r="M275" s="35">
        <f>M273+M249</f>
        <v>14640.589</v>
      </c>
      <c r="N275" s="35">
        <f>N273+N249</f>
        <v>15629.548</v>
      </c>
      <c r="O275" s="35">
        <f>O273+O249</f>
        <v>15658.437</v>
      </c>
      <c r="P275" s="35">
        <f>P273+P249</f>
        <v>16167.348</v>
      </c>
      <c r="Q275" s="35">
        <f>Q273+Q249</f>
        <v>16657.196</v>
      </c>
      <c r="R275" s="35">
        <f>R273+R249</f>
        <v>16657.196</v>
      </c>
      <c r="S275" s="35">
        <f>S273+S249</f>
        <v>17146.981</v>
      </c>
      <c r="T275" s="35">
        <f>T273+T249</f>
        <v>17705.951</v>
      </c>
      <c r="U275" s="35">
        <f>U273+U249</f>
        <v>18315.489</v>
      </c>
      <c r="V275" s="35">
        <f>V273+V249</f>
        <v>18803.905</v>
      </c>
      <c r="W275" s="35">
        <f>W273+W249</f>
        <v>18803.905</v>
      </c>
      <c r="X275" s="35">
        <f>X273+X249</f>
        <v>19827.413</v>
      </c>
      <c r="Y275" s="35">
        <f>Y273+Y249</f>
        <v>19737.405</v>
      </c>
      <c r="Z275" s="35">
        <f>Z273+Z249</f>
        <v>20134.318</v>
      </c>
      <c r="AA275" s="35">
        <f>AA273+AA249</f>
        <v>20508</v>
      </c>
      <c r="AB275" s="35">
        <f>AB273+AB249</f>
        <v>20508</v>
      </c>
      <c r="AC275" s="35">
        <f>AC273+AC249</f>
        <v>24877.802</v>
      </c>
      <c r="AD275" s="35">
        <f>AD273+AD249</f>
        <v>24914.48</v>
      </c>
      <c r="AE275" s="35">
        <f>AE273+AE249</f>
        <v>26002.141</v>
      </c>
      <c r="AF275" s="35">
        <f>AF273+AF249</f>
        <v>26465.924</v>
      </c>
      <c r="AG275" s="35">
        <f>AG273+AG249</f>
        <v>26465.924</v>
      </c>
      <c r="AH275" s="35">
        <f>AH273+AH249</f>
        <v>26827.91</v>
      </c>
      <c r="AI275" s="35">
        <f>AI273+AI249</f>
        <v>26532.561</v>
      </c>
      <c r="AJ275" s="35">
        <f>AJ273+AJ249</f>
        <v>27305.7025705708</v>
      </c>
      <c r="AK275" s="35">
        <f>AK273+AK249</f>
        <v>28090.895530208</v>
      </c>
      <c r="AL275" s="35">
        <f>AL273+AL249</f>
        <v>28090.895530208</v>
      </c>
      <c r="AM275" s="35">
        <f>AM273+AM249</f>
        <v>28901.5835547682</v>
      </c>
      <c r="AN275" s="35">
        <f>AN273+AN249</f>
        <v>29656.9860420806</v>
      </c>
      <c r="AO275" s="35">
        <f>AO273+AO249</f>
        <v>30438.5100384334</v>
      </c>
      <c r="AP275" s="35">
        <f>AP273+AP249</f>
        <v>31278.3397102893</v>
      </c>
      <c r="AQ275" s="35">
        <f>AQ273+AQ249</f>
        <v>31278.3397102893</v>
      </c>
      <c r="AR275" s="35">
        <f>AR273+AR249</f>
        <v>32133.061833518</v>
      </c>
      <c r="AS275" s="35">
        <f>AS273+AS249</f>
        <v>32941.8617585053</v>
      </c>
      <c r="AT275" s="35">
        <f>AT273+AT249</f>
        <v>33773.1322427742</v>
      </c>
      <c r="AU275" s="35">
        <f>AU273+AU249</f>
        <v>34666.3387067511</v>
      </c>
      <c r="AV275" s="35">
        <f>AV273+AV249</f>
        <v>34666.3387067511</v>
      </c>
      <c r="AW275" s="35">
        <f>AW273+AW249</f>
        <v>35574.2578760136</v>
      </c>
      <c r="AX275" s="35">
        <f>AX273+AX249</f>
        <v>36424.7695393139</v>
      </c>
      <c r="AY275" s="35">
        <f>AY273+AY249</f>
        <v>37304.632728176</v>
      </c>
      <c r="AZ275" s="35">
        <f>AZ273+AZ249</f>
        <v>38249.9541661834</v>
      </c>
      <c r="BA275" s="35">
        <f>BA273+BA249</f>
        <v>38249.9541661834</v>
      </c>
      <c r="BB275" s="35">
        <f>BB273+BB249</f>
        <v>39203.6732684327</v>
      </c>
      <c r="BC275" s="35">
        <f>BC273+BC249</f>
        <v>40099.4432474735</v>
      </c>
      <c r="BD275" s="35">
        <f>BD273+BD249</f>
        <v>41026.0676241622</v>
      </c>
      <c r="BE275" s="35">
        <f>BE273+BE249</f>
        <v>42021.5171883214</v>
      </c>
      <c r="BF275" s="35">
        <f>BF273+BF249</f>
        <v>42021.5171883214</v>
      </c>
      <c r="BG275" s="35" t="n"/>
      <c r="BH275" s="35" t="n"/>
      <c r="BI275" s="35" t="n"/>
      <c r="BJ275" s="35" t="n"/>
      <c r="BK275" s="35" t="n"/>
      <c r="BL275" s="35" t="n"/>
      <c r="BM275" s="35" t="n"/>
      <c r="BN275" s="35" t="n"/>
      <c r="BO275" s="35" t="n"/>
      <c r="BP275" s="35" t="n"/>
      <c r="BQ275" s="35" t="n"/>
      <c r="BR275" s="35" t="n"/>
      <c r="BS275" s="35" t="n"/>
      <c r="BT275" s="35" t="n"/>
      <c r="BU275" s="35" t="n"/>
      <c r="BV275" s="35" t="n"/>
      <c r="BW275" s="35" t="n"/>
      <c r="BX275" s="35" t="n"/>
      <c r="BY275" s="35" t="n"/>
      <c r="BZ275" s="35" t="n"/>
      <c r="CA275" s="35" t="n"/>
      <c r="CB275" s="35" t="n"/>
      <c r="CC275" s="35" t="n"/>
      <c r="CD275" s="35" t="n"/>
      <c r="CE275" s="35" t="n"/>
      <c r="CF275" s="35" t="n"/>
      <c r="CG275" s="35" t="n"/>
      <c r="CH275" s="35" t="n"/>
      <c r="CI275" s="35" t="n"/>
      <c r="CJ275" s="35" t="n"/>
      <c r="CK275" s="35" t="n"/>
      <c r="CL275" s="35" t="n"/>
      <c r="CM275" s="35" t="n"/>
      <c r="CN275" s="35" t="n"/>
      <c r="CO275" s="35" t="n"/>
      <c r="CP275" s="35" t="n"/>
      <c r="CQ275" s="35" t="n"/>
      <c r="CR275" s="35" t="n"/>
      <c r="CS275" s="35" t="n"/>
      <c r="CT275" s="35" t="n"/>
      <c r="CU275" s="35" t="n"/>
      <c r="CV275" s="35" t="n"/>
      <c r="CW275" s="35" t="n"/>
      <c r="CX275" s="35" t="n"/>
      <c r="CY275" s="35" t="n"/>
    </row>
    <row r="276">
      <c r="C276" s="18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3" t="n"/>
      <c r="AD276" s="3" t="n"/>
      <c r="AE276" s="3" t="n"/>
      <c r="AF276" s="3" t="n"/>
      <c r="AG276" s="3" t="n"/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3" t="n"/>
      <c r="AV276" s="3" t="n"/>
      <c r="AW276" s="3" t="n"/>
      <c r="AX276" s="3" t="n"/>
      <c r="AY276" s="3" t="n"/>
      <c r="AZ276" s="3" t="n"/>
      <c r="BA276" s="3" t="n"/>
      <c r="BB276" s="3" t="n"/>
      <c r="BC276" s="3" t="n"/>
      <c r="BD276" s="3" t="n"/>
      <c r="BE276" s="3" t="n"/>
      <c r="BF276" s="3" t="n"/>
      <c r="BG276" s="3" t="n"/>
      <c r="BH276" s="3" t="n"/>
      <c r="BI276" s="3" t="n"/>
      <c r="BJ276" s="3" t="n"/>
      <c r="BK276" s="3" t="n"/>
      <c r="BL276" s="3" t="n"/>
      <c r="BM276" s="3" t="n"/>
      <c r="BN276" s="3" t="n"/>
      <c r="BO276" s="3" t="n"/>
      <c r="BP276" s="3" t="n"/>
      <c r="BQ276" s="3" t="n"/>
      <c r="BR276" s="3" t="n"/>
      <c r="BS276" s="3" t="n"/>
      <c r="BT276" s="3" t="n"/>
      <c r="BU276" s="3" t="n"/>
      <c r="BV276" s="3" t="n"/>
      <c r="BW276" s="3" t="n"/>
      <c r="BX276" s="3" t="n"/>
      <c r="BY276" s="3" t="n"/>
      <c r="BZ276" s="3" t="n"/>
      <c r="CA276" s="3" t="n"/>
      <c r="CB276" s="3" t="n"/>
      <c r="CC276" s="3" t="n"/>
      <c r="CD276" s="3" t="n"/>
      <c r="CE276" s="3" t="n"/>
      <c r="CF276" s="3" t="n"/>
      <c r="CG276" s="3" t="n"/>
      <c r="CH276" s="3" t="n"/>
      <c r="CI276" s="3" t="n"/>
      <c r="CJ276" s="3" t="n"/>
      <c r="CK276" s="3" t="n"/>
      <c r="CL276" s="3" t="n"/>
      <c r="CM276" s="3" t="n"/>
      <c r="CN276" s="3" t="n"/>
      <c r="CO276" s="3" t="n"/>
      <c r="CP276" s="3" t="n"/>
      <c r="CQ276" s="3" t="n"/>
      <c r="CR276" s="3" t="n"/>
      <c r="CS276" s="3" t="n"/>
      <c r="CT276" s="3" t="n"/>
      <c r="CU276" s="3" t="n"/>
      <c r="CV276" s="3" t="n"/>
      <c r="CW276" s="3" t="n"/>
      <c r="CX276" s="3" t="n"/>
      <c r="CY276" s="3" t="n"/>
    </row>
    <row r="277" customFormat="1" s="32">
      <c r="A277" s="30" t="n"/>
      <c r="B277" s="30" t="n"/>
      <c r="C277" s="31" t="inlineStr">
        <is>
          <t>Cash Flow Statement</t>
        </is>
      </c>
      <c r="D277" s="70" t="n"/>
      <c r="E277" s="70" t="n"/>
      <c r="F277" s="70" t="n"/>
      <c r="G277" s="70" t="n"/>
      <c r="H277" s="70" t="n"/>
      <c r="I277" s="70" t="str">
        <f>I144</f>
        <v>1Q21</v>
      </c>
      <c r="J277" s="70" t="str">
        <f>J144</f>
        <v>2Q21</v>
      </c>
      <c r="K277" s="70" t="str">
        <f>K144</f>
        <v>3Q21</v>
      </c>
      <c r="L277" s="70" t="str">
        <f>L144</f>
        <v>4Q21</v>
      </c>
      <c r="M277" s="70">
        <f>M144</f>
        <v>2021</v>
      </c>
      <c r="N277" s="70" t="str">
        <f>N144</f>
        <v>1Q22</v>
      </c>
      <c r="O277" s="70" t="str">
        <f>O144</f>
        <v>2Q22</v>
      </c>
      <c r="P277" s="70" t="str">
        <f>P144</f>
        <v>3Q22</v>
      </c>
      <c r="Q277" s="70" t="str">
        <f>Q144</f>
        <v>4Q22</v>
      </c>
      <c r="R277" s="70">
        <f>R144</f>
        <v>2022</v>
      </c>
      <c r="S277" s="70" t="str">
        <f>S144</f>
        <v>1Q23</v>
      </c>
      <c r="T277" s="70" t="str">
        <f>T144</f>
        <v>2Q23</v>
      </c>
      <c r="U277" s="70" t="str">
        <f>U144</f>
        <v>3Q23</v>
      </c>
      <c r="V277" s="70" t="str">
        <f>V144</f>
        <v>4Q23</v>
      </c>
      <c r="W277" s="70">
        <f>W144</f>
        <v>2023</v>
      </c>
      <c r="X277" s="70" t="str">
        <f>X144</f>
        <v>1Q24</v>
      </c>
      <c r="Y277" s="70" t="str">
        <f>Y144</f>
        <v>2Q24</v>
      </c>
      <c r="Z277" s="70" t="str">
        <f>Z144</f>
        <v>3Q24</v>
      </c>
      <c r="AA277" s="70" t="str">
        <f>AA144</f>
        <v>4Q24</v>
      </c>
      <c r="AB277" s="70">
        <f>AB144</f>
        <v>2024</v>
      </c>
      <c r="AC277" s="70" t="str">
        <f>AC144</f>
        <v>1Q25</v>
      </c>
      <c r="AD277" s="70" t="str">
        <f>AD144</f>
        <v>2Q25</v>
      </c>
      <c r="AE277" s="70" t="str">
        <f>AE144</f>
        <v>3Q25</v>
      </c>
      <c r="AF277" s="70" t="str">
        <f>AF144</f>
        <v>4Q25</v>
      </c>
      <c r="AG277" s="70">
        <f>AG144</f>
        <v>2025</v>
      </c>
      <c r="AH277" s="70" t="str">
        <f>AH144</f>
        <v>1Q26</v>
      </c>
      <c r="AI277" s="70" t="str">
        <f>AI144</f>
        <v>2Q26</v>
      </c>
      <c r="AJ277" s="70" t="str">
        <f>AJ144</f>
        <v>3Q26</v>
      </c>
      <c r="AK277" s="70" t="str">
        <f>AK144</f>
        <v>4Q26</v>
      </c>
      <c r="AL277" s="70">
        <f>AL144</f>
        <v>2026</v>
      </c>
      <c r="AM277" s="70" t="str">
        <f>AM144</f>
        <v>1Q27</v>
      </c>
      <c r="AN277" s="70" t="str">
        <f>AN144</f>
        <v>2Q27</v>
      </c>
      <c r="AO277" s="70" t="str">
        <f>AO144</f>
        <v>3Q27</v>
      </c>
      <c r="AP277" s="70" t="str">
        <f>AP144</f>
        <v>4Q27</v>
      </c>
      <c r="AQ277" s="70">
        <f>AQ144</f>
        <v>2027</v>
      </c>
      <c r="AR277" s="70" t="str">
        <f>AR144</f>
        <v>1Q28</v>
      </c>
      <c r="AS277" s="70" t="str">
        <f>AS144</f>
        <v>2Q28</v>
      </c>
      <c r="AT277" s="70" t="str">
        <f>AT144</f>
        <v>3Q28</v>
      </c>
      <c r="AU277" s="70" t="str">
        <f>AU144</f>
        <v>4Q28</v>
      </c>
      <c r="AV277" s="70">
        <f>AV144</f>
        <v>2028</v>
      </c>
      <c r="AW277" s="70" t="str">
        <f>AW144</f>
        <v>1Q29</v>
      </c>
      <c r="AX277" s="70" t="str">
        <f>AX144</f>
        <v>2Q29</v>
      </c>
      <c r="AY277" s="70" t="str">
        <f>AY144</f>
        <v>3Q29</v>
      </c>
      <c r="AZ277" s="70" t="str">
        <f>AZ144</f>
        <v>4Q29</v>
      </c>
      <c r="BA277" s="70">
        <f>BA144</f>
        <v>2029</v>
      </c>
      <c r="BB277" s="70" t="str">
        <f>BB144</f>
        <v>1Q30</v>
      </c>
      <c r="BC277" s="70" t="str">
        <f>BC144</f>
        <v>2Q30</v>
      </c>
      <c r="BD277" s="70" t="str">
        <f>BD144</f>
        <v>3Q30</v>
      </c>
      <c r="BE277" s="70" t="str">
        <f>BE144</f>
        <v>4Q30</v>
      </c>
      <c r="BF277" s="70">
        <f>BF144</f>
        <v>2030</v>
      </c>
      <c r="BG277" s="70" t="n"/>
      <c r="BH277" s="70" t="n"/>
      <c r="BI277" s="70" t="n"/>
      <c r="BJ277" s="70" t="n"/>
      <c r="BK277" s="70" t="n"/>
      <c r="BL277" s="70" t="n"/>
      <c r="BM277" s="70" t="n"/>
      <c r="BN277" s="70" t="n"/>
      <c r="BO277" s="70" t="n"/>
      <c r="BP277" s="70" t="n"/>
      <c r="BQ277" s="70" t="n"/>
      <c r="BR277" s="70" t="n"/>
      <c r="BS277" s="70" t="n"/>
      <c r="BT277" s="70" t="n"/>
      <c r="BU277" s="70" t="n"/>
      <c r="BV277" s="70" t="n"/>
      <c r="BW277" s="70" t="n"/>
      <c r="BX277" s="70" t="n"/>
      <c r="BY277" s="70" t="n"/>
      <c r="BZ277" s="70" t="n"/>
      <c r="CA277" s="70" t="n"/>
      <c r="CB277" s="70" t="n"/>
      <c r="CC277" s="70" t="n"/>
      <c r="CD277" s="70" t="n"/>
      <c r="CE277" s="70" t="n"/>
      <c r="CF277" s="70" t="n"/>
      <c r="CG277" s="70" t="n"/>
      <c r="CH277" s="70" t="n"/>
      <c r="CI277" s="70" t="n"/>
      <c r="CJ277" s="70" t="n"/>
      <c r="CK277" s="70" t="n"/>
      <c r="CL277" s="70" t="n"/>
      <c r="CM277" s="70" t="n"/>
      <c r="CN277" s="70" t="n"/>
      <c r="CO277" s="70" t="n"/>
      <c r="CP277" s="70" t="n"/>
      <c r="CQ277" s="70" t="n"/>
      <c r="CR277" s="70" t="n"/>
      <c r="CS277" s="70" t="n"/>
      <c r="CT277" s="70" t="n"/>
      <c r="CU277" s="70" t="n"/>
      <c r="CV277" s="70" t="n"/>
      <c r="CW277" s="70" t="n"/>
      <c r="CX277" s="70" t="n"/>
      <c r="CY277" s="70" t="n"/>
    </row>
    <row r="278">
      <c r="C278" s="18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3" t="n"/>
      <c r="AD278" s="3" t="n"/>
      <c r="AE278" s="3" t="n"/>
      <c r="AF278" s="3" t="n"/>
      <c r="AG278" s="3" t="n"/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3" t="n"/>
      <c r="AV278" s="3" t="n"/>
      <c r="AW278" s="3" t="n"/>
      <c r="AX278" s="3" t="n"/>
      <c r="AY278" s="3" t="n"/>
      <c r="AZ278" s="3" t="n"/>
      <c r="BA278" s="3" t="n"/>
      <c r="BB278" s="3" t="n"/>
      <c r="BC278" s="3" t="n"/>
      <c r="BD278" s="3" t="n"/>
      <c r="BE278" s="3" t="n"/>
      <c r="BF278" s="3" t="n"/>
      <c r="BG278" s="3" t="n"/>
      <c r="BH278" s="3" t="n"/>
      <c r="BI278" s="3" t="n"/>
      <c r="BJ278" s="3" t="n"/>
      <c r="BK278" s="3" t="n"/>
      <c r="BL278" s="3" t="n"/>
      <c r="BM278" s="3" t="n"/>
      <c r="BN278" s="3" t="n"/>
      <c r="BO278" s="3" t="n"/>
      <c r="BP278" s="3" t="n"/>
      <c r="BQ278" s="3" t="n"/>
      <c r="BR278" s="3" t="n"/>
      <c r="BS278" s="3" t="n"/>
      <c r="BT278" s="3" t="n"/>
      <c r="BU278" s="3" t="n"/>
      <c r="BV278" s="3" t="n"/>
      <c r="BW278" s="3" t="n"/>
      <c r="BX278" s="3" t="n"/>
      <c r="BY278" s="3" t="n"/>
      <c r="BZ278" s="3" t="n"/>
      <c r="CA278" s="3" t="n"/>
      <c r="CB278" s="3" t="n"/>
      <c r="CC278" s="3" t="n"/>
      <c r="CD278" s="3" t="n"/>
      <c r="CE278" s="3" t="n"/>
      <c r="CF278" s="3" t="n"/>
      <c r="CG278" s="3" t="n"/>
      <c r="CH278" s="3" t="n"/>
      <c r="CI278" s="3" t="n"/>
      <c r="CJ278" s="3" t="n"/>
      <c r="CK278" s="3" t="n"/>
      <c r="CL278" s="3" t="n"/>
      <c r="CM278" s="3" t="n"/>
      <c r="CN278" s="3" t="n"/>
      <c r="CO278" s="3" t="n"/>
      <c r="CP278" s="3" t="n"/>
      <c r="CQ278" s="3" t="n"/>
      <c r="CR278" s="3" t="n"/>
      <c r="CS278" s="3" t="n"/>
      <c r="CT278" s="3" t="n"/>
      <c r="CU278" s="3" t="n"/>
      <c r="CV278" s="3" t="n"/>
      <c r="CW278" s="3" t="n"/>
      <c r="CX278" s="3" t="n"/>
      <c r="CY278" s="3" t="n"/>
    </row>
    <row r="279">
      <c r="C279" s="10" t="inlineStr">
        <is>
          <t>Net Income</t>
        </is>
      </c>
      <c r="D279" s="12" t="n"/>
      <c r="E279" s="12" t="n"/>
      <c r="F279" s="12" t="n"/>
      <c r="G279" s="12" t="n"/>
      <c r="H279" s="12" t="n"/>
      <c r="I279" s="12" t="n"/>
      <c r="J279" s="12">
        <f>J139</f>
        <v>331.817</v>
      </c>
      <c r="K279" s="12">
        <f>K139</f>
        <v>267.341</v>
      </c>
      <c r="L279" s="12">
        <f>L139</f>
        <v>331.983</v>
      </c>
      <c r="M279" s="12" t="n"/>
      <c r="N279" s="12">
        <f>N139</f>
        <v>291.944</v>
      </c>
      <c r="O279" s="12">
        <f>O139</f>
        <v>233.707</v>
      </c>
      <c r="P279" s="12">
        <f>P139</f>
        <v>274.928</v>
      </c>
      <c r="Q279" s="12">
        <f>Q139</f>
        <v>350.959</v>
      </c>
      <c r="R279" s="12">
        <f>SUM(N279:Q279)</f>
        <v>1151.538</v>
      </c>
      <c r="S279" s="12">
        <f>S139</f>
        <v>319.574</v>
      </c>
      <c r="T279" s="12">
        <f>T139</f>
        <v>422.108</v>
      </c>
      <c r="U279" s="12">
        <f>U139</f>
        <v>396.86</v>
      </c>
      <c r="V279" s="12">
        <f>V139</f>
        <v>364.821</v>
      </c>
      <c r="W279" s="12">
        <f>SUM(S279:V279)</f>
        <v>1503.363</v>
      </c>
      <c r="X279" s="12">
        <f>X139</f>
        <v>379.352</v>
      </c>
      <c r="Y279" s="12">
        <f>Y139</f>
        <v>375.596</v>
      </c>
      <c r="Z279" s="12">
        <f>Z139</f>
        <v>377.529</v>
      </c>
      <c r="AA279" s="12">
        <f>AA139</f>
        <v>412.87</v>
      </c>
      <c r="AB279" s="12">
        <f>SUM(X279:AA279)</f>
        <v>1545.347</v>
      </c>
      <c r="AC279" s="12">
        <f>AC139</f>
        <v>1207.993</v>
      </c>
      <c r="AD279" s="12">
        <f>AD139</f>
        <v>263.848</v>
      </c>
      <c r="AE279" s="12">
        <f>AE139</f>
        <v>246.401</v>
      </c>
      <c r="AF279" s="12">
        <f>AF139</f>
        <v>361.326</v>
      </c>
      <c r="AG279" s="12">
        <f>SUM(AC279:AF279)</f>
        <v>2079.568</v>
      </c>
      <c r="AH279" s="12">
        <f>AH139</f>
        <v>352.681</v>
      </c>
      <c r="AI279" s="12">
        <f>AI139</f>
        <v>-505.157</v>
      </c>
      <c r="AJ279" s="12">
        <f>AJ139</f>
        <v>721.06104741789</v>
      </c>
      <c r="AK279" s="12">
        <f>AK139</f>
        <v>755.744233632485</v>
      </c>
      <c r="AL279" s="12">
        <f>SUM(AH279:AK279)</f>
        <v>1324.32928105038</v>
      </c>
      <c r="AM279" s="12">
        <f>AM139</f>
        <v>777.886383212013</v>
      </c>
      <c r="AN279" s="12">
        <f>AN139</f>
        <v>759.823997231413</v>
      </c>
      <c r="AO279" s="12">
        <f>AO139</f>
        <v>769.211123301036</v>
      </c>
      <c r="AP279" s="12">
        <f>AP139</f>
        <v>806.210338171016</v>
      </c>
      <c r="AQ279" s="12">
        <f>SUM(AM279:AP279)</f>
        <v>3113.13184191548</v>
      </c>
      <c r="AR279" s="12">
        <f>AR139</f>
        <v>825.941635472488</v>
      </c>
      <c r="AS279" s="12">
        <f>AS139</f>
        <v>806.763414925998</v>
      </c>
      <c r="AT279" s="12">
        <f>AT139</f>
        <v>816.730446648955</v>
      </c>
      <c r="AU279" s="12">
        <f>AU139</f>
        <v>856.015350846308</v>
      </c>
      <c r="AV279" s="12">
        <f>SUM(AR279:AU279)</f>
        <v>3305.45084789375</v>
      </c>
      <c r="AW279" s="12">
        <f>AW139</f>
        <v>872.835874367152</v>
      </c>
      <c r="AX279" s="12">
        <f>AX139</f>
        <v>852.568777782385</v>
      </c>
      <c r="AY279" s="12">
        <f>AY139</f>
        <v>863.101704656541</v>
      </c>
      <c r="AZ279" s="12">
        <f>AZ139</f>
        <v>904.617075999833</v>
      </c>
      <c r="BA279" s="12">
        <f>SUM(AW279:AZ279)</f>
        <v>3493.12343280591</v>
      </c>
      <c r="BB279" s="12">
        <f>BB139</f>
        <v>918.028433934856</v>
      </c>
      <c r="BC279" s="12">
        <f>BC139</f>
        <v>896.711974008629</v>
      </c>
      <c r="BD279" s="12">
        <f>BD139</f>
        <v>907.790261057775</v>
      </c>
      <c r="BE279" s="12">
        <f>BE139</f>
        <v>951.455161250082</v>
      </c>
      <c r="BF279" s="12">
        <f>SUM(BB279:BE279)</f>
        <v>3673.98583025134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>
      <c r="C280" s="10" t="inlineStr">
        <is>
          <t>Depreciation &amp; amortization</t>
        </is>
      </c>
      <c r="D280" s="12" t="n"/>
      <c r="E280" s="12" t="n"/>
      <c r="F280" s="12" t="n"/>
      <c r="G280" s="12" t="n"/>
      <c r="H280" s="12" t="n"/>
      <c r="I280" s="12" t="n"/>
      <c r="J280" s="12">
        <f>-J72</f>
        <v>97.622</v>
      </c>
      <c r="K280" s="12">
        <f>-K72</f>
        <v>100.824</v>
      </c>
      <c r="L280" s="12">
        <f>-L72</f>
        <v>101.644</v>
      </c>
      <c r="M280" s="12" t="n"/>
      <c r="N280" s="12">
        <f>-N72</f>
        <v>105.38</v>
      </c>
      <c r="O280" s="12">
        <f>-O72</f>
        <v>106.327</v>
      </c>
      <c r="P280" s="12">
        <f>-P72</f>
        <v>107.695</v>
      </c>
      <c r="Q280" s="12">
        <f>-Q72</f>
        <v>114.018</v>
      </c>
      <c r="R280" s="12">
        <f>SUM(N280:Q280)</f>
        <v>433.42</v>
      </c>
      <c r="S280" s="12">
        <f>-S72</f>
        <v>116.284</v>
      </c>
      <c r="T280" s="12">
        <f>-T72</f>
        <v>117.776</v>
      </c>
      <c r="U280" s="12">
        <f>-U72</f>
        <v>121.633</v>
      </c>
      <c r="V280" s="12">
        <f>-V72</f>
        <v>124.415</v>
      </c>
      <c r="W280" s="12">
        <f>SUM(S280:V280)</f>
        <v>480.108</v>
      </c>
      <c r="X280" s="12">
        <f>-X72</f>
        <v>133.389</v>
      </c>
      <c r="Y280" s="12">
        <f>-Y72</f>
        <v>137.243</v>
      </c>
      <c r="Z280" s="12">
        <f>-Z72</f>
        <v>141.936</v>
      </c>
      <c r="AA280" s="12">
        <f>-AA72</f>
        <v>147.381</v>
      </c>
      <c r="AB280" s="12">
        <f>SUM(X280:AA280)</f>
        <v>559.949</v>
      </c>
      <c r="AC280" s="12">
        <f>-AC72</f>
        <v>151.334</v>
      </c>
      <c r="AD280" s="12">
        <f>-AD72</f>
        <v>153.921</v>
      </c>
      <c r="AE280" s="12">
        <f>-AE72</f>
        <v>154.973</v>
      </c>
      <c r="AF280" s="12">
        <f>-AF72</f>
        <v>166.023</v>
      </c>
      <c r="AG280" s="12">
        <f>SUM(AC280:AF280)</f>
        <v>626.251</v>
      </c>
      <c r="AH280" s="12">
        <f>-AH72</f>
        <v>172.399</v>
      </c>
      <c r="AI280" s="12">
        <f>-AI72</f>
        <v>174.854</v>
      </c>
      <c r="AJ280" s="12">
        <f>-AJ72</f>
        <v>169.475055949055</v>
      </c>
      <c r="AK280" s="12">
        <f>-AK72</f>
        <v>177.626841356489</v>
      </c>
      <c r="AL280" s="12">
        <f>SUM(AH280:AK280)</f>
        <v>694.354897305544</v>
      </c>
      <c r="AM280" s="12">
        <f>-AM72</f>
        <v>182.831035997512</v>
      </c>
      <c r="AN280" s="12">
        <f>-AN72</f>
        <v>178.585731268325</v>
      </c>
      <c r="AO280" s="12">
        <f>-AO72</f>
        <v>180.792040597538</v>
      </c>
      <c r="AP280" s="12">
        <f>-AP72</f>
        <v>189.488175318191</v>
      </c>
      <c r="AQ280" s="12">
        <f>SUM(AM280:AP280)</f>
        <v>731.696983181566</v>
      </c>
      <c r="AR280" s="12">
        <f>-AR72</f>
        <v>194.125733713682</v>
      </c>
      <c r="AS280" s="12">
        <f>-AS72</f>
        <v>189.61816807585</v>
      </c>
      <c r="AT280" s="12">
        <f>-AT72</f>
        <v>191.960775910434</v>
      </c>
      <c r="AU280" s="12">
        <f>-AU72</f>
        <v>201.194129120458</v>
      </c>
      <c r="AV280" s="12">
        <f>SUM(AR280:AU280)</f>
        <v>776.898806820425</v>
      </c>
      <c r="AW280" s="12">
        <f>-AW72</f>
        <v>205.147551892352</v>
      </c>
      <c r="AX280" s="12">
        <f>-AX72</f>
        <v>200.384061561085</v>
      </c>
      <c r="AY280" s="12">
        <f>-AY72</f>
        <v>202.859674933486</v>
      </c>
      <c r="AZ280" s="12">
        <f>-AZ72</f>
        <v>212.61726745127</v>
      </c>
      <c r="BA280" s="12">
        <f>SUM(AW280:AZ280)</f>
        <v>821.008555838193</v>
      </c>
      <c r="BB280" s="12">
        <f>-BB72</f>
        <v>215.769414754927</v>
      </c>
      <c r="BC280" s="12">
        <f>-BC72</f>
        <v>210.759286622823</v>
      </c>
      <c r="BD280" s="12">
        <f>-BD72</f>
        <v>213.363079081446</v>
      </c>
      <c r="BE280" s="12">
        <f>-BE72</f>
        <v>223.625887521315</v>
      </c>
      <c r="BF280" s="12">
        <f>SUM(BB280:BE280)</f>
        <v>863.517667980512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>
      <c r="C281" s="10" t="inlineStr">
        <is>
          <t xml:space="preserve">Changes in working capital </t>
        </is>
      </c>
      <c r="D281" s="12" t="n"/>
      <c r="E281" s="12" t="n"/>
      <c r="F281" s="12" t="n"/>
      <c r="G281" s="12" t="n"/>
      <c r="H281" s="12" t="n"/>
      <c r="I281" s="12" t="n"/>
      <c r="J281" s="12">
        <f>SUM(J282:J291)</f>
        <v>-164.807</v>
      </c>
      <c r="K281" s="12">
        <f>SUM(K282:K291)</f>
        <v>91.4039999999999</v>
      </c>
      <c r="L281" s="12">
        <f>SUM(L282:L291)</f>
        <v>-3.48799999999987</v>
      </c>
      <c r="M281" s="12" t="n"/>
      <c r="N281" s="12">
        <f>SUM(N282:N291)</f>
        <v>-44.0930000000002</v>
      </c>
      <c r="O281" s="12">
        <f>SUM(O282:O291)</f>
        <v>-188.2</v>
      </c>
      <c r="P281" s="12">
        <f>SUM(P282:P291)</f>
        <v>62.9350000000002</v>
      </c>
      <c r="Q281" s="12">
        <f>SUM(Q282:Q291)</f>
        <v>53.0849999999999</v>
      </c>
      <c r="R281" s="12">
        <f>SUM(N281:Q281)</f>
        <v>-116.273</v>
      </c>
      <c r="S281" s="12">
        <f>SUM(S282:S291)</f>
        <v>-103.209</v>
      </c>
      <c r="T281" s="12">
        <f>SUM(T282:T291)</f>
        <v>-65.7379999999999</v>
      </c>
      <c r="U281" s="12">
        <f>SUM(U282:U291)</f>
        <v>125.348</v>
      </c>
      <c r="V281" s="12">
        <f>SUM(V282:V291)</f>
        <v>-82.751</v>
      </c>
      <c r="W281" s="12">
        <f>SUM(S281:V281)</f>
        <v>-126.35</v>
      </c>
      <c r="X281" s="12">
        <f>SUM(X282:X291)</f>
        <v>-26.1289999999999</v>
      </c>
      <c r="Y281" s="12">
        <f>SUM(Y282:Y291)</f>
        <v>-184.078</v>
      </c>
      <c r="Z281" s="12">
        <f>SUM(Z282:Z291)</f>
        <v>186.851</v>
      </c>
      <c r="AA281" s="12">
        <f>SUM(AA282:AA291)</f>
        <v>27.7119999999998</v>
      </c>
      <c r="AB281" s="12">
        <f>SUM(X281:AA281)</f>
        <v>4.35600000000002</v>
      </c>
      <c r="AC281" s="12">
        <f>SUM(AC282:AC291)</f>
        <v>146.179</v>
      </c>
      <c r="AD281" s="12">
        <f>SUM(AD282:AD291)</f>
        <v>-118.077</v>
      </c>
      <c r="AE281" s="12">
        <f>SUM(AE282:AE291)</f>
        <v>3358.394</v>
      </c>
      <c r="AF281" s="12">
        <f>SUM(AF282:AF291)</f>
        <v>102.586</v>
      </c>
      <c r="AG281" s="12">
        <f>SUM(AC281:AF281)</f>
        <v>3489.082</v>
      </c>
      <c r="AH281" s="12">
        <f>SUM(AH282:AH291)</f>
        <v>54.1339999999995</v>
      </c>
      <c r="AI281" s="12">
        <f>SUM(AI282:AI291)</f>
        <v>-2889.522</v>
      </c>
      <c r="AJ281" s="12">
        <f>SUM(AJ282:AJ291)</f>
        <v>-4.95385276915061</v>
      </c>
      <c r="AK281" s="12">
        <f>SUM(AK282:AK291)</f>
        <v>-34.3273094941119</v>
      </c>
      <c r="AL281" s="12">
        <f>SUM(AH281:AK281)</f>
        <v>-2874.66916226326</v>
      </c>
      <c r="AM281" s="12">
        <f>SUM(AM282:AM291)</f>
        <v>-39.7001833314718</v>
      </c>
      <c r="AN281" s="12">
        <f>SUM(AN282:AN291)</f>
        <v>45.2247784798217</v>
      </c>
      <c r="AO281" s="12">
        <f>SUM(AO282:AO291)</f>
        <v>10.4052624796452</v>
      </c>
      <c r="AP281" s="12">
        <f>SUM(AP282:AP291)</f>
        <v>-34.4154548831378</v>
      </c>
      <c r="AQ281" s="12">
        <f>SUM(AM281:AP281)</f>
        <v>-18.4855972551427</v>
      </c>
      <c r="AR281" s="12">
        <f>SUM(AR282:AR291)</f>
        <v>-24.1913808087343</v>
      </c>
      <c r="AS281" s="12">
        <f>SUM(AS282:AS291)</f>
        <v>37.6892798375385</v>
      </c>
      <c r="AT281" s="12">
        <f>SUM(AT282:AT291)</f>
        <v>12.5145811654239</v>
      </c>
      <c r="AU281" s="12">
        <f>SUM(AU282:AU291)</f>
        <v>-35.0466400318288</v>
      </c>
      <c r="AV281" s="12">
        <f>SUM(AR281:AU281)</f>
        <v>-9.03415983760067</v>
      </c>
      <c r="AW281" s="12">
        <f>SUM(AW282:AW291)</f>
        <v>-31.5129161127497</v>
      </c>
      <c r="AX281" s="12">
        <f>SUM(AX282:AX291)</f>
        <v>53.6490432280174</v>
      </c>
      <c r="AY281" s="12">
        <f>SUM(AY282:AY291)</f>
        <v>14.6210290213302</v>
      </c>
      <c r="AZ281" s="12">
        <f>SUM(AZ282:AZ291)</f>
        <v>-35.6348122584318</v>
      </c>
      <c r="BA281" s="12">
        <f>SUM(AW281:AZ281)</f>
        <v>1.12234387816615</v>
      </c>
      <c r="BB281" s="12">
        <f>SUM(BB282:BB291)</f>
        <v>-26.4833963300287</v>
      </c>
      <c r="BC281" s="12">
        <f>SUM(BC282:BC291)</f>
        <v>57.6484436529486</v>
      </c>
      <c r="BD281" s="12">
        <f>SUM(BD282:BD291)</f>
        <v>16.5828347448171</v>
      </c>
      <c r="BE281" s="12">
        <f>SUM(BE282:BE291)</f>
        <v>-36.297361736912</v>
      </c>
      <c r="BF281" s="12">
        <f>SUM(BB281:BE281)</f>
        <v>11.450520330825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Accounts receivable</t>
        </is>
      </c>
      <c r="D282" s="12" t="n"/>
      <c r="E282" s="12" t="n"/>
      <c r="F282" s="12" t="n"/>
      <c r="G282" s="12" t="n"/>
      <c r="H282" s="12" t="n"/>
      <c r="I282" s="12" t="n"/>
      <c r="J282" s="12">
        <f>(J147-I147)*-1</f>
        <v>-29.9799999999999</v>
      </c>
      <c r="K282" s="12">
        <f>(K147-J147)*-1</f>
        <v>-47.114</v>
      </c>
      <c r="L282" s="12">
        <f>(L147-K147)*-1</f>
        <v>-52.006</v>
      </c>
      <c r="M282" s="12" t="n"/>
      <c r="N282" s="12">
        <f>(N147-M147)*-1</f>
        <v>-53.8480000000001</v>
      </c>
      <c r="O282" s="12">
        <f>(O147-N147)*-1</f>
        <v>-2.86200000000008</v>
      </c>
      <c r="P282" s="12">
        <f>(P147-O147)*-1</f>
        <v>-12.2479999999998</v>
      </c>
      <c r="Q282" s="12">
        <f>(Q147-P147)*-1</f>
        <v>-45.7270000000001</v>
      </c>
      <c r="R282" s="12">
        <f>SUM(N282:Q282)</f>
        <v>-114.685</v>
      </c>
      <c r="S282" s="12">
        <f>(S147-R147)*-1</f>
        <v>-51.8920000000001</v>
      </c>
      <c r="T282" s="12">
        <f>(T147-S147)*-1</f>
        <v>-65.079</v>
      </c>
      <c r="U282" s="12">
        <f>(U147-T147)*-1</f>
        <v>-47.337</v>
      </c>
      <c r="V282" s="12">
        <f>(V147-U147)*-1</f>
        <v>-9.731</v>
      </c>
      <c r="W282" s="12">
        <f>SUM(S282:V282)</f>
        <v>-174.039</v>
      </c>
      <c r="X282" s="12">
        <f>(X147-W147)*-1</f>
        <v>-38.2049999999999</v>
      </c>
      <c r="Y282" s="12">
        <f>(Y147-X147)*-1</f>
        <v>33.6489999999999</v>
      </c>
      <c r="Z282" s="12">
        <f>(Z147-Y147)*-1</f>
        <v>-5.22599999999989</v>
      </c>
      <c r="AA282" s="12">
        <f>(AA147-Z147)*-1</f>
        <v>19.173</v>
      </c>
      <c r="AB282" s="12">
        <f>SUM(X282:AA282)</f>
        <v>9.39100000000008</v>
      </c>
      <c r="AC282" s="12">
        <f>(AC147-AB147)*-1</f>
        <v>21.287</v>
      </c>
      <c r="AD282" s="12">
        <f>(AD147-AC147)*-1</f>
        <v>58.6289999999999</v>
      </c>
      <c r="AE282" s="12">
        <f>(AE147-AD147)*-1</f>
        <v>-44.865</v>
      </c>
      <c r="AF282" s="12">
        <f>(AF147-AE147)*-1</f>
        <v>40.4739999999999</v>
      </c>
      <c r="AG282" s="12">
        <f>SUM(AC282:AF282)</f>
        <v>75.5249999999999</v>
      </c>
      <c r="AH282" s="12">
        <f>(AH147-AG147)*-1</f>
        <v>-44.645</v>
      </c>
      <c r="AI282" s="12">
        <f>(AI147-AH147)*-1</f>
        <v>32.598</v>
      </c>
      <c r="AJ282" s="12">
        <f>(AJ147-AI147)*-1</f>
        <v>-54.6095618742613</v>
      </c>
      <c r="AK282" s="12">
        <f>(AK147-AJ147)*-1</f>
        <v>-59.7376952971811</v>
      </c>
      <c r="AL282" s="12">
        <f>SUM(AH282:AK282)</f>
        <v>-126.394257171442</v>
      </c>
      <c r="AM282" s="12">
        <f>(AM147-AL147)*-1</f>
        <v>-67.9109618108669</v>
      </c>
      <c r="AN282" s="12">
        <f>(AN147-AM147)*-1</f>
        <v>46.5026530077412</v>
      </c>
      <c r="AO282" s="12">
        <f>(AO147-AN147)*-1</f>
        <v>-1.78681942537924</v>
      </c>
      <c r="AP282" s="12">
        <f>(AP147-AO147)*-1</f>
        <v>-63.7267813418976</v>
      </c>
      <c r="AQ282" s="12">
        <f>SUM(AM282:AP282)</f>
        <v>-86.9219095704025</v>
      </c>
      <c r="AR282" s="12">
        <f>(AR147-AQ147)*-1</f>
        <v>-49.6176552666991</v>
      </c>
      <c r="AS282" s="12">
        <f>(AS147-AR147)*-1</f>
        <v>33.3952131194292</v>
      </c>
      <c r="AT282" s="12">
        <f>(AT147-AS147)*-1</f>
        <v>-1.89720322960011</v>
      </c>
      <c r="AU282" s="12">
        <f>(AU147-AT147)*-1</f>
        <v>-67.6636114744522</v>
      </c>
      <c r="AV282" s="12">
        <f>SUM(AR282:AU282)</f>
        <v>-85.7832568513222</v>
      </c>
      <c r="AW282" s="12">
        <f>(AW147-AV147)*-1</f>
        <v>-62.3792954521648</v>
      </c>
      <c r="AX282" s="12">
        <f>(AX147-AW147)*-1</f>
        <v>52.1788074381827</v>
      </c>
      <c r="AY282" s="12">
        <f>(AY147-AX147)*-1</f>
        <v>-2.00492016462249</v>
      </c>
      <c r="AZ282" s="12">
        <f>(AZ147-AY147)*-1</f>
        <v>-71.5053279162485</v>
      </c>
      <c r="BA282" s="12">
        <f>SUM(AW282:AZ282)</f>
        <v>-83.710736094853</v>
      </c>
      <c r="BB282" s="12">
        <f>(BB147-BA147)*-1</f>
        <v>-58.2371622832131</v>
      </c>
      <c r="BC282" s="12">
        <f>(BC147-BB147)*-1</f>
        <v>54.8804537987101</v>
      </c>
      <c r="BD282" s="12">
        <f>(BD147-BC147)*-1</f>
        <v>-2.10872831072288</v>
      </c>
      <c r="BE282" s="12">
        <f>(BE147-BD147)*-1</f>
        <v>-75.2076376931084</v>
      </c>
      <c r="BF282" s="12">
        <f>SUM(BB282:BE282)</f>
        <v>-80.6730744883344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Inventories</t>
        </is>
      </c>
      <c r="D283" s="12" t="n"/>
      <c r="E283" s="12" t="n"/>
      <c r="F283" s="12" t="n"/>
      <c r="G283" s="12" t="n"/>
      <c r="H283" s="12" t="n"/>
      <c r="I283" s="12" t="n"/>
      <c r="J283" s="12">
        <f>(J151-I151)*-1</f>
        <v>0.893999999999998</v>
      </c>
      <c r="K283" s="12">
        <f>(K151-J151)*-1</f>
        <v>-3.418</v>
      </c>
      <c r="L283" s="12">
        <f>(L151-K151)*-1</f>
        <v>-5.219</v>
      </c>
      <c r="M283" s="12" t="n"/>
      <c r="N283" s="12">
        <f>(N151-M151)*-1</f>
        <v>-7.59200000000001</v>
      </c>
      <c r="O283" s="12">
        <f>(O151-N151)*-1</f>
        <v>0.782000000000011</v>
      </c>
      <c r="P283" s="12">
        <f>(P151-O151)*-1</f>
        <v>-3.506</v>
      </c>
      <c r="Q283" s="12">
        <f>(Q151-P151)*-1</f>
        <v>-8.947</v>
      </c>
      <c r="R283" s="12">
        <f>SUM(N283:Q283)</f>
        <v>-19.263</v>
      </c>
      <c r="S283" s="12">
        <f>(S151-R151)*-1</f>
        <v>5.506</v>
      </c>
      <c r="T283" s="12">
        <f>(T151-S151)*-1</f>
        <v>6.505</v>
      </c>
      <c r="U283" s="12">
        <f>(U151-T151)*-1</f>
        <v>-2.419</v>
      </c>
      <c r="V283" s="12">
        <f>(V151-U151)*-1</f>
        <v>-1.95400000000001</v>
      </c>
      <c r="W283" s="12">
        <f>SUM(S283:V283)</f>
        <v>7.63799999999999</v>
      </c>
      <c r="X283" s="12">
        <f>(X151-W151)*-1</f>
        <v>5.119</v>
      </c>
      <c r="Y283" s="12">
        <f>(Y151-X151)*-1</f>
        <v>-10.946</v>
      </c>
      <c r="Z283" s="12">
        <f>(Z151-Y151)*-1</f>
        <v>4.461</v>
      </c>
      <c r="AA283" s="12">
        <f>(AA151-Z151)*-1</f>
        <v>-2.512</v>
      </c>
      <c r="AB283" s="12">
        <f>SUM(X283:AA283)</f>
        <v>-3.878</v>
      </c>
      <c r="AC283" s="12">
        <f>(AC151-AB151)*-1</f>
        <v>-1.011</v>
      </c>
      <c r="AD283" s="12">
        <f>(AD151-AC151)*-1</f>
        <v>-1.544</v>
      </c>
      <c r="AE283" s="12">
        <f>(AE151-AD151)*-1</f>
        <v>-1.467</v>
      </c>
      <c r="AF283" s="12">
        <f>(AF151-AE151)*-1</f>
        <v>-19.798</v>
      </c>
      <c r="AG283" s="12">
        <f>SUM(AC283:AF283)</f>
        <v>-23.82</v>
      </c>
      <c r="AH283" s="12">
        <f>(AH151-AG151)*-1</f>
        <v>17.479</v>
      </c>
      <c r="AI283" s="12">
        <f>(AI151-AH151)*-1</f>
        <v>-2.008</v>
      </c>
      <c r="AJ283" s="12">
        <f>(AJ151-AI151)*-1</f>
        <v>-2.42481404781474</v>
      </c>
      <c r="AK283" s="12">
        <f>(AK151-AJ151)*-1</f>
        <v>-4.0383402016125</v>
      </c>
      <c r="AL283" s="12">
        <f>SUM(AH283:AK283)</f>
        <v>9.00784575057277</v>
      </c>
      <c r="AM283" s="12">
        <f>(AM151-AL151)*-1</f>
        <v>-4.59086286885821</v>
      </c>
      <c r="AN283" s="12">
        <f>(AN151-AM151)*-1</f>
        <v>3.14363539116413</v>
      </c>
      <c r="AO283" s="12">
        <f>(AO151-AN151)*-1</f>
        <v>-0.120791146739663</v>
      </c>
      <c r="AP283" s="12">
        <f>(AP151-AO151)*-1</f>
        <v>-4.30800722612575</v>
      </c>
      <c r="AQ283" s="12">
        <f>SUM(AM283:AP283)</f>
        <v>-5.8760258505595</v>
      </c>
      <c r="AR283" s="12">
        <f>(AR151-AQ151)*-1</f>
        <v>-3.35421329826089</v>
      </c>
      <c r="AS283" s="12">
        <f>(AS151-AR151)*-1</f>
        <v>2.25755665682622</v>
      </c>
      <c r="AT283" s="12">
        <f>(AT151-AS151)*-1</f>
        <v>-0.128253224946292</v>
      </c>
      <c r="AU283" s="12">
        <f>(AU151-AT151)*-1</f>
        <v>-4.57414168799485</v>
      </c>
      <c r="AV283" s="12">
        <f>SUM(AR283:AU283)</f>
        <v>-5.79905155437581</v>
      </c>
      <c r="AW283" s="12">
        <f>(AW151-AV151)*-1</f>
        <v>-4.21691555590741</v>
      </c>
      <c r="AX283" s="12">
        <f>(AX151-AW151)*-1</f>
        <v>3.52735027191035</v>
      </c>
      <c r="AY283" s="12">
        <f>(AY151-AX151)*-1</f>
        <v>-0.135535019580843</v>
      </c>
      <c r="AZ283" s="12">
        <f>(AZ151-AY151)*-1</f>
        <v>-4.83384634973181</v>
      </c>
      <c r="BA283" s="12">
        <f>SUM(AW283:AZ283)</f>
        <v>-5.65894665330971</v>
      </c>
      <c r="BB283" s="12">
        <f>(BB151-BA151)*-1</f>
        <v>-3.93690236133413</v>
      </c>
      <c r="BC283" s="12">
        <f>(BC151-BB151)*-1</f>
        <v>3.70998482207141</v>
      </c>
      <c r="BD283" s="12">
        <f>(BD151-BC151)*-1</f>
        <v>-0.142552575373173</v>
      </c>
      <c r="BE283" s="12">
        <f>(BE151-BD151)*-1</f>
        <v>-5.08412695289766</v>
      </c>
      <c r="BF283" s="12">
        <f>SUM(BB283:BE283)</f>
        <v>-5.45359706753357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Deferred income taxes</t>
        </is>
      </c>
      <c r="D284" s="12" t="n"/>
      <c r="E284" s="12" t="n"/>
      <c r="F284" s="12" t="n"/>
      <c r="G284" s="12" t="n"/>
      <c r="H284" s="12" t="n"/>
      <c r="I284" s="12" t="n"/>
      <c r="J284" s="12">
        <f>(J155-I155)*-1</f>
        <v>11.8920000000001</v>
      </c>
      <c r="K284" s="12">
        <f>(K155-J155)*-1</f>
        <v>-29.1030000000001</v>
      </c>
      <c r="L284" s="12">
        <f>(L155-K155)*-1</f>
        <v>2.40100000000007</v>
      </c>
      <c r="M284" s="12" t="n"/>
      <c r="N284" s="12">
        <f>(N155-M155)*-1</f>
        <v>-20.8820000000001</v>
      </c>
      <c r="O284" s="12">
        <f>(O155-N155)*-1</f>
        <v>-1.92199999999991</v>
      </c>
      <c r="P284" s="12">
        <f>(P155-O155)*-1</f>
        <v>-42.611</v>
      </c>
      <c r="Q284" s="12">
        <f>(Q155-P155)*-1</f>
        <v>58.0029999999999</v>
      </c>
      <c r="R284" s="12">
        <f>SUM(N284:Q284)</f>
        <v>-7.41200000000004</v>
      </c>
      <c r="S284" s="12">
        <f>(S155-R155)*-1</f>
        <v>-40.864</v>
      </c>
      <c r="T284" s="12">
        <f>(T155-S155)*-1</f>
        <v>-3.89999999999998</v>
      </c>
      <c r="U284" s="12">
        <f>(U155-T155)*-1</f>
        <v>-29.415</v>
      </c>
      <c r="V284" s="12">
        <f>(V155-U155)*-1</f>
        <v>-67.463</v>
      </c>
      <c r="W284" s="12">
        <f>SUM(S284:V284)</f>
        <v>-141.642</v>
      </c>
      <c r="X284" s="12">
        <f>(X155-W155)*-1</f>
        <v>-6.08000000000004</v>
      </c>
      <c r="Y284" s="12">
        <f>(Y155-X155)*-1</f>
        <v>44.715</v>
      </c>
      <c r="Z284" s="12">
        <f>(Z155-Y155)*-1</f>
        <v>29.153</v>
      </c>
      <c r="AA284" s="12">
        <f>(AA155-Z155)*-1</f>
        <v>-26.3900000000001</v>
      </c>
      <c r="AB284" s="12">
        <f>SUM(X284:AA284)</f>
        <v>41.3979999999999</v>
      </c>
      <c r="AC284" s="12">
        <f>(AC155-AB155)*-1</f>
        <v>-137.899</v>
      </c>
      <c r="AD284" s="12">
        <f>(AD155-AC155)*-1</f>
        <v>-62.553</v>
      </c>
      <c r="AE284" s="12">
        <f>(AE155-AD155)*-1</f>
        <v>40.3190000000001</v>
      </c>
      <c r="AF284" s="12">
        <f>(AF155-AE155)*-1</f>
        <v>6.58899999999994</v>
      </c>
      <c r="AG284" s="12">
        <f>SUM(AC284:AF284)</f>
        <v>-153.544</v>
      </c>
      <c r="AH284" s="12">
        <f>(AH155-AG155)*-1</f>
        <v>12.134</v>
      </c>
      <c r="AI284" s="12">
        <f>(AI155-AH155)*-1</f>
        <v>67.996</v>
      </c>
      <c r="AJ284" s="12">
        <f>(AJ155-AI155)*-1</f>
        <v>0</v>
      </c>
      <c r="AK284" s="12">
        <f>(AK155-AJ155)*-1</f>
        <v>0</v>
      </c>
      <c r="AL284" s="12">
        <f>SUM(AH284:AK284)</f>
        <v>80.13</v>
      </c>
      <c r="AM284" s="12">
        <f>(AM155-AL155)*-1</f>
        <v>0</v>
      </c>
      <c r="AN284" s="12">
        <f>(AN155-AM155)*-1</f>
        <v>0</v>
      </c>
      <c r="AO284" s="12">
        <f>(AO155-AN155)*-1</f>
        <v>0</v>
      </c>
      <c r="AP284" s="12">
        <f>(AP155-AO155)*-1</f>
        <v>0</v>
      </c>
      <c r="AQ284" s="12">
        <f>SUM(AM284:AP284)</f>
        <v>0</v>
      </c>
      <c r="AR284" s="12">
        <f>(AR155-AQ155)*-1</f>
        <v>0</v>
      </c>
      <c r="AS284" s="12">
        <f>(AS155-AR155)*-1</f>
        <v>0</v>
      </c>
      <c r="AT284" s="12">
        <f>(AT155-AS155)*-1</f>
        <v>0</v>
      </c>
      <c r="AU284" s="12">
        <f>(AU155-AT155)*-1</f>
        <v>0</v>
      </c>
      <c r="AV284" s="12">
        <f>SUM(AR284:AU284)</f>
        <v>0</v>
      </c>
      <c r="AW284" s="12">
        <f>(AW155-AV155)*-1</f>
        <v>0</v>
      </c>
      <c r="AX284" s="12">
        <f>(AX155-AW155)*-1</f>
        <v>0</v>
      </c>
      <c r="AY284" s="12">
        <f>(AY155-AX155)*-1</f>
        <v>0</v>
      </c>
      <c r="AZ284" s="12">
        <f>(AZ155-AY155)*-1</f>
        <v>0</v>
      </c>
      <c r="BA284" s="12">
        <f>SUM(AW284:AZ284)</f>
        <v>0</v>
      </c>
      <c r="BB284" s="12">
        <f>(BB155-BA155)*-1</f>
        <v>0</v>
      </c>
      <c r="BC284" s="12">
        <f>(BC155-BB155)*-1</f>
        <v>0</v>
      </c>
      <c r="BD284" s="12">
        <f>(BD155-BC155)*-1</f>
        <v>0</v>
      </c>
      <c r="BE284" s="12">
        <f>(BE155-BD155)*-1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Prepaid expenses</t>
        </is>
      </c>
      <c r="D285" s="12" t="n"/>
      <c r="E285" s="12" t="n"/>
      <c r="F285" s="12" t="n"/>
      <c r="G285" s="12" t="n"/>
      <c r="H285" s="12" t="n"/>
      <c r="I285" s="12" t="n"/>
      <c r="J285" s="12">
        <f>(J156-I156)*-1</f>
        <v>0</v>
      </c>
      <c r="K285" s="12">
        <f>(K156-J156)*-1</f>
        <v>0</v>
      </c>
      <c r="L285" s="12">
        <f>(L156-K156)*-1</f>
        <v>0</v>
      </c>
      <c r="M285" s="12" t="n"/>
      <c r="N285" s="12">
        <f>(N156-M156)*-1</f>
        <v>0</v>
      </c>
      <c r="O285" s="12">
        <f>(O156-N156)*-1</f>
        <v>0</v>
      </c>
      <c r="P285" s="12">
        <f>(P156-O156)*-1</f>
        <v>0</v>
      </c>
      <c r="Q285" s="12">
        <f>(Q156-P156)*-1</f>
        <v>0</v>
      </c>
      <c r="R285" s="12">
        <f>SUM(N285:Q285)</f>
        <v>0</v>
      </c>
      <c r="S285" s="12">
        <f>(S156-R156)*-1</f>
        <v>0</v>
      </c>
      <c r="T285" s="12">
        <f>(T156-S156)*-1</f>
        <v>0</v>
      </c>
      <c r="U285" s="12">
        <f>(U156-T156)*-1</f>
        <v>0</v>
      </c>
      <c r="V285" s="12">
        <f>(V156-U156)*-1</f>
        <v>0</v>
      </c>
      <c r="W285" s="12">
        <f>SUM(S285:V285)</f>
        <v>0</v>
      </c>
      <c r="X285" s="12">
        <f>(X156-W156)*-1</f>
        <v>0</v>
      </c>
      <c r="Y285" s="12">
        <f>(Y156-X156)*-1</f>
        <v>0</v>
      </c>
      <c r="Z285" s="12">
        <f>(Z156-Y156)*-1</f>
        <v>0</v>
      </c>
      <c r="AA285" s="12">
        <f>(AA156-Z156)*-1</f>
        <v>0</v>
      </c>
      <c r="AB285" s="12">
        <f>SUM(X285:AA285)</f>
        <v>0</v>
      </c>
      <c r="AC285" s="12">
        <f>(AC156-AB156)*-1</f>
        <v>0</v>
      </c>
      <c r="AD285" s="12">
        <f>(AD156-AC156)*-1</f>
        <v>0</v>
      </c>
      <c r="AE285" s="12">
        <f>(AE156-AD156)*-1</f>
        <v>0</v>
      </c>
      <c r="AF285" s="12">
        <f>(AF156-AE156)*-1</f>
        <v>0</v>
      </c>
      <c r="AG285" s="12">
        <f>SUM(AC285:AF285)</f>
        <v>0</v>
      </c>
      <c r="AH285" s="12">
        <f>(AH156-AG156)*-1</f>
        <v>0</v>
      </c>
      <c r="AI285" s="12">
        <f>(AI156-AH156)*-1</f>
        <v>0</v>
      </c>
      <c r="AJ285" s="12">
        <f>(AJ156-AI156)*-1</f>
        <v>0</v>
      </c>
      <c r="AK285" s="12">
        <f>(AK156-AJ156)*-1</f>
        <v>0</v>
      </c>
      <c r="AL285" s="12">
        <f>SUM(AH285:AK285)</f>
        <v>0</v>
      </c>
      <c r="AM285" s="12">
        <f>(AM156-AL156)*-1</f>
        <v>0</v>
      </c>
      <c r="AN285" s="12">
        <f>(AN156-AM156)*-1</f>
        <v>0</v>
      </c>
      <c r="AO285" s="12">
        <f>(AO156-AN156)*-1</f>
        <v>0</v>
      </c>
      <c r="AP285" s="12">
        <f>(AP156-AO156)*-1</f>
        <v>0</v>
      </c>
      <c r="AQ285" s="12">
        <f>SUM(AM285:AP285)</f>
        <v>0</v>
      </c>
      <c r="AR285" s="12">
        <f>(AR156-AQ156)*-1</f>
        <v>0</v>
      </c>
      <c r="AS285" s="12">
        <f>(AS156-AR156)*-1</f>
        <v>0</v>
      </c>
      <c r="AT285" s="12">
        <f>(AT156-AS156)*-1</f>
        <v>0</v>
      </c>
      <c r="AU285" s="12">
        <f>(AU156-AT156)*-1</f>
        <v>0</v>
      </c>
      <c r="AV285" s="12">
        <f>SUM(AR285:AU285)</f>
        <v>0</v>
      </c>
      <c r="AW285" s="12">
        <f>(AW156-AV156)*-1</f>
        <v>0</v>
      </c>
      <c r="AX285" s="12">
        <f>(AX156-AW156)*-1</f>
        <v>0</v>
      </c>
      <c r="AY285" s="12">
        <f>(AY156-AX156)*-1</f>
        <v>0</v>
      </c>
      <c r="AZ285" s="12">
        <f>(AZ156-AY156)*-1</f>
        <v>0</v>
      </c>
      <c r="BA285" s="12">
        <f>SUM(AW285:AZ285)</f>
        <v>0</v>
      </c>
      <c r="BB285" s="12">
        <f>(BB156-BA156)*-1</f>
        <v>0</v>
      </c>
      <c r="BC285" s="12">
        <f>(BC156-BB156)*-1</f>
        <v>0</v>
      </c>
      <c r="BD285" s="12">
        <f>(BD156-BC156)*-1</f>
        <v>0</v>
      </c>
      <c r="BE285" s="12">
        <f>(BE156-BD156)*-1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hidden="1" outlineLevel="1">
      <c r="C286" s="10" t="inlineStr">
        <is>
          <t>Other current assets</t>
        </is>
      </c>
      <c r="D286" s="12" t="n"/>
      <c r="E286" s="12" t="n"/>
      <c r="F286" s="12" t="n"/>
      <c r="G286" s="12" t="n"/>
      <c r="H286" s="12" t="n"/>
      <c r="I286" s="12" t="n"/>
      <c r="J286" s="12">
        <f>(J157-I157)*-1</f>
        <v>-22.485</v>
      </c>
      <c r="K286" s="12">
        <f>(K157-J157)*-1</f>
        <v>16.307</v>
      </c>
      <c r="L286" s="12">
        <f>(L157-K157)*-1</f>
        <v>3.745</v>
      </c>
      <c r="M286" s="12" t="n"/>
      <c r="N286" s="12">
        <f>(N157-M157)*-1</f>
        <v>0.667999999999999</v>
      </c>
      <c r="O286" s="12">
        <f>(O157-N157)*-1</f>
        <v>-42.148</v>
      </c>
      <c r="P286" s="12">
        <f>(P157-O157)*-1</f>
        <v>20.289</v>
      </c>
      <c r="Q286" s="12">
        <f>(Q157-P157)*-1</f>
        <v>-18.238</v>
      </c>
      <c r="R286" s="12">
        <f>SUM(N286:Q286)</f>
        <v>-39.429</v>
      </c>
      <c r="S286" s="12">
        <f>(S157-R157)*-1</f>
        <v>-17.632</v>
      </c>
      <c r="T286" s="12">
        <f>(T157-S157)*-1</f>
        <v>-65.527</v>
      </c>
      <c r="U286" s="12">
        <f>(U157-T157)*-1</f>
        <v>79.406</v>
      </c>
      <c r="V286" s="12">
        <f>(V157-U157)*-1</f>
        <v>-59.523</v>
      </c>
      <c r="W286" s="12">
        <f>SUM(S286:V286)</f>
        <v>-63.276</v>
      </c>
      <c r="X286" s="12">
        <f>(X157-W157)*-1</f>
        <v>-29.133</v>
      </c>
      <c r="Y286" s="12">
        <f>(Y157-X157)*-1</f>
        <v>-173.506</v>
      </c>
      <c r="Z286" s="12">
        <f>(Z157-Y157)*-1</f>
        <v>87.9</v>
      </c>
      <c r="AA286" s="12">
        <f>(AA157-Z157)*-1</f>
        <v>105.37</v>
      </c>
      <c r="AB286" s="12">
        <f>SUM(X286:AA286)</f>
        <v>-9.369</v>
      </c>
      <c r="AC286" s="12">
        <f>(AC157-AB157)*-1</f>
        <v>-59.609</v>
      </c>
      <c r="AD286" s="12">
        <f>(AD157-AC157)*-1</f>
        <v>-96.922</v>
      </c>
      <c r="AE286" s="12">
        <f>(AE157-AD157)*-1</f>
        <v>13.498</v>
      </c>
      <c r="AF286" s="12">
        <f>(AF157-AE157)*-1</f>
        <v>-27.675</v>
      </c>
      <c r="AG286" s="12">
        <f>SUM(AC286:AF286)</f>
        <v>-170.708</v>
      </c>
      <c r="AH286" s="12">
        <f>(AH157-AG157)*-1</f>
        <v>-24.884</v>
      </c>
      <c r="AI286" s="12">
        <f>(AI157-AH157)*-1</f>
        <v>-25.704</v>
      </c>
      <c r="AJ286" s="12">
        <f>(AJ157-AI157)*-1</f>
        <v>0</v>
      </c>
      <c r="AK286" s="12">
        <f>(AK157-AJ157)*-1</f>
        <v>0</v>
      </c>
      <c r="AL286" s="12">
        <f>SUM(AH286:AK286)</f>
        <v>-50.588</v>
      </c>
      <c r="AM286" s="12">
        <f>(AM157-AL157)*-1</f>
        <v>0</v>
      </c>
      <c r="AN286" s="12">
        <f>(AN157-AM157)*-1</f>
        <v>0</v>
      </c>
      <c r="AO286" s="12">
        <f>(AO157-AN157)*-1</f>
        <v>0</v>
      </c>
      <c r="AP286" s="12">
        <f>(AP157-AO157)*-1</f>
        <v>0</v>
      </c>
      <c r="AQ286" s="12">
        <f>SUM(AM286:AP286)</f>
        <v>0</v>
      </c>
      <c r="AR286" s="12">
        <f>(AR157-AQ157)*-1</f>
        <v>0</v>
      </c>
      <c r="AS286" s="12">
        <f>(AS157-AR157)*-1</f>
        <v>0</v>
      </c>
      <c r="AT286" s="12">
        <f>(AT157-AS157)*-1</f>
        <v>0</v>
      </c>
      <c r="AU286" s="12">
        <f>(AU157-AT157)*-1</f>
        <v>0</v>
      </c>
      <c r="AV286" s="12">
        <f>SUM(AR286:AU286)</f>
        <v>0</v>
      </c>
      <c r="AW286" s="12">
        <f>(AW157-AV157)*-1</f>
        <v>0</v>
      </c>
      <c r="AX286" s="12">
        <f>(AX157-AW157)*-1</f>
        <v>0</v>
      </c>
      <c r="AY286" s="12">
        <f>(AY157-AX157)*-1</f>
        <v>0</v>
      </c>
      <c r="AZ286" s="12">
        <f>(AZ157-AY157)*-1</f>
        <v>0</v>
      </c>
      <c r="BA286" s="12">
        <f>SUM(AW286:AZ286)</f>
        <v>0</v>
      </c>
      <c r="BB286" s="12">
        <f>(BB157-BA157)*-1</f>
        <v>0</v>
      </c>
      <c r="BC286" s="12">
        <f>(BC157-BB157)*-1</f>
        <v>0</v>
      </c>
      <c r="BD286" s="12">
        <f>(BD157-BC157)*-1</f>
        <v>0</v>
      </c>
      <c r="BE286" s="12">
        <f>(BE157-BD157)*-1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 hidden="1" outlineLevel="1">
      <c r="C287" s="10" t="inlineStr">
        <is>
          <t>Accounts payable</t>
        </is>
      </c>
      <c r="D287" s="12" t="n"/>
      <c r="E287" s="12" t="n"/>
      <c r="F287" s="12" t="n"/>
      <c r="G287" s="12" t="n"/>
      <c r="H287" s="12" t="n"/>
      <c r="I287" s="12" t="n"/>
      <c r="J287" s="12">
        <f>J200-I200</f>
        <v>26.704</v>
      </c>
      <c r="K287" s="12">
        <f>K200-J200</f>
        <v>59.625</v>
      </c>
      <c r="L287" s="12">
        <f>L200-K200</f>
        <v>9.904</v>
      </c>
      <c r="M287" s="12" t="n"/>
      <c r="N287" s="12">
        <f>N200-M200</f>
        <v>-6.29599999999999</v>
      </c>
      <c r="O287" s="12">
        <f>O200-N200</f>
        <v>-7.86099999999999</v>
      </c>
      <c r="P287" s="12">
        <f>P200-O200</f>
        <v>20.593</v>
      </c>
      <c r="Q287" s="12">
        <f>Q200-P200</f>
        <v>21.212</v>
      </c>
      <c r="R287" s="12">
        <f>SUM(N287:Q287)</f>
        <v>27.648</v>
      </c>
      <c r="S287" s="12">
        <f>S200-R200</f>
        <v>-60.854</v>
      </c>
      <c r="T287" s="12">
        <f>T200-S200</f>
        <v>85.237</v>
      </c>
      <c r="U287" s="12">
        <f>U200-T200</f>
        <v>14.58</v>
      </c>
      <c r="V287" s="12">
        <f>V200-U200</f>
        <v>18.889</v>
      </c>
      <c r="W287" s="12">
        <f>SUM(S287:V287)</f>
        <v>57.852</v>
      </c>
      <c r="X287" s="12">
        <f>X200-W200</f>
        <v>-27.369</v>
      </c>
      <c r="Y287" s="12">
        <f>Y200-X200</f>
        <v>5.26299999999998</v>
      </c>
      <c r="Z287" s="12">
        <f>Z200-Y200</f>
        <v>0.343000000000018</v>
      </c>
      <c r="AA287" s="12">
        <f>AA200-Z200</f>
        <v>-1.44300000000004</v>
      </c>
      <c r="AB287" s="12">
        <f>SUM(X287:AA287)</f>
        <v>-23.206</v>
      </c>
      <c r="AC287" s="12">
        <f>AC200-AB200</f>
        <v>-11.625</v>
      </c>
      <c r="AD287" s="12">
        <f>AD200-AC200</f>
        <v>19.23</v>
      </c>
      <c r="AE287" s="12">
        <f>AE200-AD200</f>
        <v>92.094</v>
      </c>
      <c r="AF287" s="12">
        <f>AF200-AE200</f>
        <v>73.596</v>
      </c>
      <c r="AG287" s="12">
        <f>SUM(AC287:AF287)</f>
        <v>173.295</v>
      </c>
      <c r="AH287" s="12">
        <f>AH200-AG200</f>
        <v>-93.864</v>
      </c>
      <c r="AI287" s="12">
        <f>AI200-AH200</f>
        <v>-42.635</v>
      </c>
      <c r="AJ287" s="12">
        <f>AJ200-AI200</f>
        <v>43.030210481221</v>
      </c>
      <c r="AK287" s="12">
        <f>AK200-AJ200</f>
        <v>19.7940633358871</v>
      </c>
      <c r="AL287" s="12">
        <f>SUM(AH287:AK287)</f>
        <v>-73.6747261828919</v>
      </c>
      <c r="AM287" s="12">
        <f>AM200-AL200</f>
        <v>22.5022721850595</v>
      </c>
      <c r="AN287" s="12">
        <f>AN200-AM200</f>
        <v>-15.4086369476234</v>
      </c>
      <c r="AO287" s="12">
        <f>AO200-AN200</f>
        <v>0.592061958530451</v>
      </c>
      <c r="AP287" s="12">
        <f>AP200-AO200</f>
        <v>21.115845527661</v>
      </c>
      <c r="AQ287" s="12">
        <f>SUM(AM287:AP287)</f>
        <v>28.8015427236276</v>
      </c>
      <c r="AR287" s="12">
        <f>AR200-AQ200</f>
        <v>16.440791798903</v>
      </c>
      <c r="AS287" s="12">
        <f>AS200-AR200</f>
        <v>-11.0654915679786</v>
      </c>
      <c r="AT287" s="12">
        <f>AT200-AS200</f>
        <v>0.62863759140572</v>
      </c>
      <c r="AU287" s="12">
        <f>AU200-AT200</f>
        <v>22.4203127421853</v>
      </c>
      <c r="AV287" s="12">
        <f>SUM(AR287:AU287)</f>
        <v>28.4242505645155</v>
      </c>
      <c r="AW287" s="12">
        <f>AW200-AV200</f>
        <v>20.6693565743644</v>
      </c>
      <c r="AX287" s="12">
        <f>AX200-AW200</f>
        <v>-17.2894286276757</v>
      </c>
      <c r="AY287" s="12">
        <f>AY200-AX200</f>
        <v>0.664329558154293</v>
      </c>
      <c r="AZ287" s="12">
        <f>AZ200-AY200</f>
        <v>23.6932640703063</v>
      </c>
      <c r="BA287" s="12">
        <f>SUM(AW287:AZ287)</f>
        <v>27.7375215751493</v>
      </c>
      <c r="BB287" s="12">
        <f>BB200-BA200</f>
        <v>19.2968622743413</v>
      </c>
      <c r="BC287" s="12">
        <f>BC200-BB200</f>
        <v>-18.1846181542454</v>
      </c>
      <c r="BD287" s="12">
        <f>BD200-BC200</f>
        <v>0.69872634913304</v>
      </c>
      <c r="BE287" s="12">
        <f>BE200-BD200</f>
        <v>24.9200230513428</v>
      </c>
      <c r="BF287" s="12">
        <f>SUM(BB287:BE287)</f>
        <v>26.7309935205717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 hidden="1" outlineLevel="1">
      <c r="C288" s="10" t="inlineStr">
        <is>
          <t>Accrued expenses</t>
        </is>
      </c>
      <c r="D288" s="12" t="n"/>
      <c r="E288" s="12" t="n"/>
      <c r="F288" s="12" t="n"/>
      <c r="G288" s="12" t="n"/>
      <c r="H288" s="12" t="n"/>
      <c r="I288" s="12" t="n"/>
      <c r="J288" s="12">
        <f>J204-I204</f>
        <v>-65.89</v>
      </c>
      <c r="K288" s="12">
        <f>K204-J204</f>
        <v>17.507</v>
      </c>
      <c r="L288" s="12">
        <f>L204-K204</f>
        <v>31.41</v>
      </c>
      <c r="M288" s="12" t="n"/>
      <c r="N288" s="12">
        <f>N204-M204</f>
        <v>10.976</v>
      </c>
      <c r="O288" s="12">
        <f>O204-N204</f>
        <v>-62.799</v>
      </c>
      <c r="P288" s="12">
        <f>P204-O204</f>
        <v>18.497</v>
      </c>
      <c r="Q288" s="12">
        <f>Q204-P204</f>
        <v>55.409</v>
      </c>
      <c r="R288" s="12">
        <f>SUM(N288:Q288)</f>
        <v>22.083</v>
      </c>
      <c r="S288" s="12">
        <f>S204-R204</f>
        <v>5.14600000000002</v>
      </c>
      <c r="T288" s="12">
        <f>T204-S204</f>
        <v>-56.166</v>
      </c>
      <c r="U288" s="12">
        <f>U204-T204</f>
        <v>40.59</v>
      </c>
      <c r="V288" s="12">
        <f>V204-U204</f>
        <v>41.54</v>
      </c>
      <c r="W288" s="12">
        <f>SUM(S288:V288)</f>
        <v>31.11</v>
      </c>
      <c r="X288" s="12">
        <f>X204-W204</f>
        <v>15.72</v>
      </c>
      <c r="Y288" s="12">
        <f>Y204-X204</f>
        <v>-83.97</v>
      </c>
      <c r="Z288" s="12">
        <f>Z204-Y204</f>
        <v>17.395</v>
      </c>
      <c r="AA288" s="12">
        <f>AA204-Z204</f>
        <v>46.571</v>
      </c>
      <c r="AB288" s="12">
        <f>SUM(X288:AA288)</f>
        <v>-4.28400000000002</v>
      </c>
      <c r="AC288" s="12">
        <f>AC204-AB204</f>
        <v>254.105</v>
      </c>
      <c r="AD288" s="12">
        <f>AD204-AC204</f>
        <v>-117.482</v>
      </c>
      <c r="AE288" s="12">
        <f>AE204-AD204</f>
        <v>-14.76</v>
      </c>
      <c r="AF288" s="12">
        <f>AF204-AE204</f>
        <v>-11.453</v>
      </c>
      <c r="AG288" s="12">
        <f>SUM(AC288:AF288)</f>
        <v>110.41</v>
      </c>
      <c r="AH288" s="12">
        <f>AH204-AG204</f>
        <v>-37.833</v>
      </c>
      <c r="AI288" s="12">
        <f>AI204-AH204</f>
        <v>-202.167</v>
      </c>
      <c r="AJ288" s="12">
        <f>AJ204-AI204</f>
        <v>2.48489449011272</v>
      </c>
      <c r="AK288" s="12">
        <f>AK204-AJ204</f>
        <v>2.65082753931707</v>
      </c>
      <c r="AL288" s="12">
        <f>SUM(AH288:AK288)</f>
        <v>-234.86427797057</v>
      </c>
      <c r="AM288" s="12">
        <f>AM204-AL204</f>
        <v>2.82784104965481</v>
      </c>
      <c r="AN288" s="12">
        <f>AN204-AM204</f>
        <v>3.01667493773397</v>
      </c>
      <c r="AO288" s="12">
        <f>AO204-AN204</f>
        <v>3.21811852935056</v>
      </c>
      <c r="AP288" s="12">
        <f>AP204-AO204</f>
        <v>3.43301385887095</v>
      </c>
      <c r="AQ288" s="12">
        <f>SUM(AM288:AP288)</f>
        <v>12.4956483756103</v>
      </c>
      <c r="AR288" s="12">
        <f>AR204-AQ204</f>
        <v>3.38804233691103</v>
      </c>
      <c r="AS288" s="12">
        <f>AS204-AR204</f>
        <v>3.59734440554624</v>
      </c>
      <c r="AT288" s="12">
        <f>AT204-AS204</f>
        <v>3.81957646488956</v>
      </c>
      <c r="AU288" s="12">
        <f>AU204-AT204</f>
        <v>4.05553728707356</v>
      </c>
      <c r="AV288" s="12">
        <f>SUM(AR288:AU288)</f>
        <v>14.8605004944204</v>
      </c>
      <c r="AW288" s="12">
        <f>AW204-AV204</f>
        <v>3.95755563523836</v>
      </c>
      <c r="AX288" s="12">
        <f>AX204-AW204</f>
        <v>4.18225257679843</v>
      </c>
      <c r="AY288" s="12">
        <f>AY204-AX204</f>
        <v>4.41970706877598</v>
      </c>
      <c r="AZ288" s="12">
        <f>AZ204-AY204</f>
        <v>4.67064344275966</v>
      </c>
      <c r="BA288" s="12">
        <f>SUM(AW288:AZ288)</f>
        <v>17.2301587235724</v>
      </c>
      <c r="BB288" s="12">
        <f>BB204-BA204</f>
        <v>4.50115700737896</v>
      </c>
      <c r="BC288" s="12">
        <f>BC204-BB204</f>
        <v>4.73421205490098</v>
      </c>
      <c r="BD288" s="12">
        <f>BD204-BC204</f>
        <v>4.97933392326183</v>
      </c>
      <c r="BE288" s="12">
        <f>BE204-BD204</f>
        <v>5.23714739260124</v>
      </c>
      <c r="BF288" s="12">
        <f>SUM(BB288:BE288)</f>
        <v>19.451850378143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 hidden="1" outlineLevel="1">
      <c r="C289" s="10" t="inlineStr">
        <is>
          <t>Taxes payable</t>
        </is>
      </c>
      <c r="D289" s="12" t="n"/>
      <c r="E289" s="12" t="n"/>
      <c r="F289" s="12" t="n"/>
      <c r="G289" s="12" t="n"/>
      <c r="H289" s="12" t="n"/>
      <c r="I289" s="12" t="n"/>
      <c r="J289" s="12">
        <f>J206-I206</f>
        <v>-38.502</v>
      </c>
      <c r="K289" s="12">
        <f>K206-J206</f>
        <v>34.801</v>
      </c>
      <c r="L289" s="12">
        <f>L206-K206</f>
        <v>-10.613</v>
      </c>
      <c r="M289" s="12" t="n"/>
      <c r="N289" s="12">
        <f>N206-M206</f>
        <v>15.259</v>
      </c>
      <c r="O289" s="12">
        <f>O206-N206</f>
        <v>-28.805</v>
      </c>
      <c r="P289" s="12">
        <f>P206-O206</f>
        <v>24.143</v>
      </c>
      <c r="Q289" s="12">
        <f>Q206-P206</f>
        <v>7.568</v>
      </c>
      <c r="R289" s="12">
        <f>SUM(N289:Q289)</f>
        <v>18.165</v>
      </c>
      <c r="S289" s="12">
        <f>S206-R206</f>
        <v>19.396</v>
      </c>
      <c r="T289" s="12">
        <f>T206-S206</f>
        <v>-28.83</v>
      </c>
      <c r="U289" s="12">
        <f>U206-T206</f>
        <v>19.843</v>
      </c>
      <c r="V289" s="12">
        <f>V206-U206</f>
        <v>-13.089</v>
      </c>
      <c r="W289" s="12">
        <f>SUM(S289:V289)</f>
        <v>-2.67999999999999</v>
      </c>
      <c r="X289" s="12">
        <f>X206-W206</f>
        <v>23.113</v>
      </c>
      <c r="Y289" s="12">
        <f>Y206-X206</f>
        <v>-57.51</v>
      </c>
      <c r="Z289" s="12">
        <f>Z206-Y206</f>
        <v>28.762</v>
      </c>
      <c r="AA289" s="12">
        <f>AA206-Z206</f>
        <v>17.235</v>
      </c>
      <c r="AB289" s="12">
        <f>SUM(X289:AA289)</f>
        <v>11.6</v>
      </c>
      <c r="AC289" s="12">
        <f>AC206-AB206</f>
        <v>56.43</v>
      </c>
      <c r="AD289" s="12">
        <f>AD206-AC206</f>
        <v>-50.527</v>
      </c>
      <c r="AE289" s="12">
        <f>AE206-AD206</f>
        <v>-25.719</v>
      </c>
      <c r="AF289" s="12">
        <f>AF206-AE206</f>
        <v>10.022</v>
      </c>
      <c r="AG289" s="12">
        <f>SUM(AC289:AF289)</f>
        <v>-9.794</v>
      </c>
      <c r="AH289" s="12">
        <f>AH206-AG206</f>
        <v>28.906</v>
      </c>
      <c r="AI289" s="12">
        <f>AI206-AH206</f>
        <v>-32.48</v>
      </c>
      <c r="AJ289" s="12">
        <f>AJ206-AI206</f>
        <v>6.56541818159174</v>
      </c>
      <c r="AK289" s="12">
        <f>AK206-AJ206</f>
        <v>7.00383512947745</v>
      </c>
      <c r="AL289" s="12">
        <f>SUM(AH289:AK289)</f>
        <v>9.99525331106919</v>
      </c>
      <c r="AM289" s="12">
        <f>AM206-AL206</f>
        <v>7.47152811353895</v>
      </c>
      <c r="AN289" s="12">
        <f>AN206-AM206</f>
        <v>7.97045209080584</v>
      </c>
      <c r="AO289" s="12">
        <f>AO206-AN206</f>
        <v>8.50269256388309</v>
      </c>
      <c r="AP289" s="12">
        <f>AP206-AO206</f>
        <v>9.07047429835356</v>
      </c>
      <c r="AQ289" s="12">
        <f>SUM(AM289:AP289)</f>
        <v>33.0151470665814</v>
      </c>
      <c r="AR289" s="12">
        <f>AR206-AQ206</f>
        <v>8.95165362041158</v>
      </c>
      <c r="AS289" s="12">
        <f>AS206-AR206</f>
        <v>9.50465722371547</v>
      </c>
      <c r="AT289" s="12">
        <f>AT206-AS206</f>
        <v>10.0918235636751</v>
      </c>
      <c r="AU289" s="12">
        <f>AU206-AT206</f>
        <v>10.7152631013594</v>
      </c>
      <c r="AV289" s="12">
        <f>SUM(AR289:AU289)</f>
        <v>39.2633975091615</v>
      </c>
      <c r="AW289" s="12">
        <f>AW206-AV206</f>
        <v>10.4563826857197</v>
      </c>
      <c r="AX289" s="12">
        <f>AX206-AW206</f>
        <v>11.0500615688016</v>
      </c>
      <c r="AY289" s="12">
        <f>AY206-AX206</f>
        <v>11.6774475786033</v>
      </c>
      <c r="AZ289" s="12">
        <f>AZ206-AY206</f>
        <v>12.3404544944826</v>
      </c>
      <c r="BA289" s="12">
        <f>SUM(AW289:AZ289)</f>
        <v>45.5243463276072</v>
      </c>
      <c r="BB289" s="12">
        <f>BB206-BA206</f>
        <v>11.8926490327983</v>
      </c>
      <c r="BC289" s="12">
        <f>BC206-BB206</f>
        <v>12.5084111315116</v>
      </c>
      <c r="BD289" s="12">
        <f>BD206-BC206</f>
        <v>13.1560553585182</v>
      </c>
      <c r="BE289" s="12">
        <f>BE206-BD206</f>
        <v>13.83723246515</v>
      </c>
      <c r="BF289" s="12">
        <f>SUM(BB289:BE289)</f>
        <v>51.3943479879782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 hidden="1" outlineLevel="1">
      <c r="C290" s="10" t="inlineStr">
        <is>
          <t>Other current liabilities (non-debt)</t>
        </is>
      </c>
      <c r="D290" s="12" t="n"/>
      <c r="E290" s="12" t="n"/>
      <c r="F290" s="12" t="n"/>
      <c r="G290" s="12" t="n"/>
      <c r="H290" s="12" t="n"/>
      <c r="I290" s="12" t="n"/>
      <c r="J290" s="12">
        <f>J207-I207</f>
        <v>-47.44</v>
      </c>
      <c r="K290" s="12">
        <f>K207-J207</f>
        <v>42.799</v>
      </c>
      <c r="L290" s="12">
        <f>L207-K207</f>
        <v>16.89</v>
      </c>
      <c r="M290" s="12" t="n"/>
      <c r="N290" s="12">
        <f>N207-M207</f>
        <v>17.622</v>
      </c>
      <c r="O290" s="12">
        <f>O207-N207</f>
        <v>-42.585</v>
      </c>
      <c r="P290" s="12">
        <f>P207-O207</f>
        <v>37.778</v>
      </c>
      <c r="Q290" s="12">
        <f>Q207-P207</f>
        <v>-16.1949999999999</v>
      </c>
      <c r="R290" s="12">
        <f>SUM(N290:Q290)</f>
        <v>-3.38</v>
      </c>
      <c r="S290" s="12">
        <f>S207-R207</f>
        <v>37.9849999999999</v>
      </c>
      <c r="T290" s="12">
        <f>T207-S207</f>
        <v>62.0220000000001</v>
      </c>
      <c r="U290" s="12">
        <f>U207-T207</f>
        <v>50.1</v>
      </c>
      <c r="V290" s="12">
        <f>V207-U207</f>
        <v>8.57999999999993</v>
      </c>
      <c r="W290" s="12">
        <f>SUM(S290:V290)</f>
        <v>158.687</v>
      </c>
      <c r="X290" s="12">
        <f>X207-W207</f>
        <v>30.706</v>
      </c>
      <c r="Y290" s="12">
        <f>Y207-X207</f>
        <v>58.2270000000001</v>
      </c>
      <c r="Z290" s="12">
        <f>Z207-Y207</f>
        <v>24.063</v>
      </c>
      <c r="AA290" s="12">
        <f>AA207-Z207</f>
        <v>-130.292</v>
      </c>
      <c r="AB290" s="12">
        <f>SUM(X290:AA290)</f>
        <v>-17.2959999999999</v>
      </c>
      <c r="AC290" s="12">
        <f>AC207-AB207</f>
        <v>24.501</v>
      </c>
      <c r="AD290" s="12">
        <f>AD207-AC207</f>
        <v>133.092</v>
      </c>
      <c r="AE290" s="12">
        <f>AE207-AD207</f>
        <v>3299.294</v>
      </c>
      <c r="AF290" s="12">
        <f>AF207-AE207</f>
        <v>30.8310000000001</v>
      </c>
      <c r="AG290" s="12">
        <f>SUM(AC290:AF290)</f>
        <v>3487.718</v>
      </c>
      <c r="AH290" s="12">
        <f>AH207-AG207</f>
        <v>196.840999999999</v>
      </c>
      <c r="AI290" s="12">
        <f>AI207-AH207</f>
        <v>-2685.122</v>
      </c>
      <c r="AJ290" s="12">
        <f>AJ207-AI207</f>
        <v>0</v>
      </c>
      <c r="AK290" s="12">
        <f>AK207-AJ207</f>
        <v>0</v>
      </c>
      <c r="AL290" s="12">
        <f>SUM(AH290:AK290)</f>
        <v>-2488.281</v>
      </c>
      <c r="AM290" s="12">
        <f>AM207-AL207</f>
        <v>0</v>
      </c>
      <c r="AN290" s="12">
        <f>AN207-AM207</f>
        <v>0</v>
      </c>
      <c r="AO290" s="12">
        <f>AO207-AN207</f>
        <v>0</v>
      </c>
      <c r="AP290" s="12">
        <f>AP207-AO207</f>
        <v>0</v>
      </c>
      <c r="AQ290" s="12">
        <f>SUM(AM290:AP290)</f>
        <v>0</v>
      </c>
      <c r="AR290" s="12">
        <f>AR207-AQ207</f>
        <v>0</v>
      </c>
      <c r="AS290" s="12">
        <f>AS207-AR207</f>
        <v>0</v>
      </c>
      <c r="AT290" s="12">
        <f>AT207-AS207</f>
        <v>0</v>
      </c>
      <c r="AU290" s="12">
        <f>AU207-AT207</f>
        <v>0</v>
      </c>
      <c r="AV290" s="12">
        <f>SUM(AR290:AU290)</f>
        <v>0</v>
      </c>
      <c r="AW290" s="12">
        <f>AW207-AV207</f>
        <v>0</v>
      </c>
      <c r="AX290" s="12">
        <f>AX207-AW207</f>
        <v>0</v>
      </c>
      <c r="AY290" s="12">
        <f>AY207-AX207</f>
        <v>0</v>
      </c>
      <c r="AZ290" s="12">
        <f>AZ207-AY207</f>
        <v>0</v>
      </c>
      <c r="BA290" s="12">
        <f>SUM(AW290:AZ290)</f>
        <v>0</v>
      </c>
      <c r="BB290" s="12">
        <f>BB207-BA207</f>
        <v>0</v>
      </c>
      <c r="BC290" s="12">
        <f>BC207-BB207</f>
        <v>0</v>
      </c>
      <c r="BD290" s="12">
        <f>BD207-BC207</f>
        <v>0</v>
      </c>
      <c r="BE290" s="12">
        <f>BE207-BD207</f>
        <v>0</v>
      </c>
      <c r="BF290" s="12">
        <f>SUM(BB290:BE290)</f>
        <v>0</v>
      </c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 hidden="1" outlineLevel="1">
      <c r="C291" s="10" t="inlineStr">
        <is>
          <t>Deferred income taxes</t>
        </is>
      </c>
      <c r="D291" s="12" t="n"/>
      <c r="E291" s="12" t="n"/>
      <c r="F291" s="12" t="n"/>
      <c r="G291" s="12" t="n"/>
      <c r="H291" s="12" t="n"/>
      <c r="I291" s="12" t="n"/>
      <c r="J291" s="12">
        <f>J241-I241</f>
        <v>0</v>
      </c>
      <c r="K291" s="12">
        <f>K241-J241</f>
        <v>0</v>
      </c>
      <c r="L291" s="12">
        <f>L241-K241</f>
        <v>0</v>
      </c>
      <c r="M291" s="12" t="n"/>
      <c r="N291" s="12">
        <f>N241-M241</f>
        <v>0</v>
      </c>
      <c r="O291" s="12">
        <f>O241-N241</f>
        <v>0</v>
      </c>
      <c r="P291" s="12">
        <f>P241-O241</f>
        <v>0</v>
      </c>
      <c r="Q291" s="12">
        <f>Q241-P241</f>
        <v>0</v>
      </c>
      <c r="R291" s="12">
        <f>SUM(N291:Q291)</f>
        <v>0</v>
      </c>
      <c r="S291" s="12">
        <f>S241-R241</f>
        <v>0</v>
      </c>
      <c r="T291" s="12">
        <f>T241-S241</f>
        <v>0</v>
      </c>
      <c r="U291" s="12">
        <f>U241-T241</f>
        <v>0</v>
      </c>
      <c r="V291" s="12">
        <f>V241-U241</f>
        <v>0</v>
      </c>
      <c r="W291" s="12">
        <f>SUM(S291:V291)</f>
        <v>0</v>
      </c>
      <c r="X291" s="12">
        <f>X241-W241</f>
        <v>0</v>
      </c>
      <c r="Y291" s="12">
        <f>Y241-X241</f>
        <v>0</v>
      </c>
      <c r="Z291" s="12">
        <f>Z241-Y241</f>
        <v>0</v>
      </c>
      <c r="AA291" s="12">
        <f>AA241-Z241</f>
        <v>0</v>
      </c>
      <c r="AB291" s="12">
        <f>SUM(X291:AA291)</f>
        <v>0</v>
      </c>
      <c r="AC291" s="12">
        <f>AC241-AB241</f>
        <v>0</v>
      </c>
      <c r="AD291" s="12">
        <f>AD241-AC241</f>
        <v>0</v>
      </c>
      <c r="AE291" s="12">
        <f>AE241-AD241</f>
        <v>0</v>
      </c>
      <c r="AF291" s="12">
        <f>AF241-AE241</f>
        <v>0</v>
      </c>
      <c r="AG291" s="12">
        <f>SUM(AC291:AF291)</f>
        <v>0</v>
      </c>
      <c r="AH291" s="12">
        <f>AH241-AG241</f>
        <v>0</v>
      </c>
      <c r="AI291" s="12">
        <f>AI241-AH241</f>
        <v>0</v>
      </c>
      <c r="AJ291" s="12">
        <f>AJ241-AI241</f>
        <v>0</v>
      </c>
      <c r="AK291" s="12">
        <f>AK241-AJ241</f>
        <v>0</v>
      </c>
      <c r="AL291" s="12">
        <f>SUM(AH291:AK291)</f>
        <v>0</v>
      </c>
      <c r="AM291" s="12">
        <f>AM241-AL241</f>
        <v>0</v>
      </c>
      <c r="AN291" s="12">
        <f>AN241-AM241</f>
        <v>0</v>
      </c>
      <c r="AO291" s="12">
        <f>AO241-AN241</f>
        <v>0</v>
      </c>
      <c r="AP291" s="12">
        <f>AP241-AO241</f>
        <v>0</v>
      </c>
      <c r="AQ291" s="12">
        <f>SUM(AM291:AP291)</f>
        <v>0</v>
      </c>
      <c r="AR291" s="12">
        <f>AR241-AQ241</f>
        <v>0</v>
      </c>
      <c r="AS291" s="12">
        <f>AS241-AR241</f>
        <v>0</v>
      </c>
      <c r="AT291" s="12">
        <f>AT241-AS241</f>
        <v>0</v>
      </c>
      <c r="AU291" s="12">
        <f>AU241-AT241</f>
        <v>0</v>
      </c>
      <c r="AV291" s="12">
        <f>SUM(AR291:AU291)</f>
        <v>0</v>
      </c>
      <c r="AW291" s="12">
        <f>AW241-AV241</f>
        <v>0</v>
      </c>
      <c r="AX291" s="12">
        <f>AX241-AW241</f>
        <v>0</v>
      </c>
      <c r="AY291" s="12">
        <f>AY241-AX241</f>
        <v>0</v>
      </c>
      <c r="AZ291" s="12">
        <f>AZ241-AY241</f>
        <v>0</v>
      </c>
      <c r="BA291" s="12">
        <f>SUM(AW291:AZ291)</f>
        <v>0</v>
      </c>
      <c r="BB291" s="12">
        <f>BB241-BA241</f>
        <v>0</v>
      </c>
      <c r="BC291" s="12">
        <f>BC241-BB241</f>
        <v>0</v>
      </c>
      <c r="BD291" s="12">
        <f>BD241-BC241</f>
        <v>0</v>
      </c>
      <c r="BE291" s="12">
        <f>BE241-BD241</f>
        <v>0</v>
      </c>
      <c r="BF291" s="12">
        <f>SUM(BB291:BE291)</f>
        <v>0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 collapsed="1">
      <c r="C292" s="10" t="inlineStr">
        <is>
          <t>Equity income in affiliates</t>
        </is>
      </c>
      <c r="D292" s="12" t="n"/>
      <c r="E292" s="12" t="n"/>
      <c r="F292" s="12" t="n"/>
      <c r="G292" s="12" t="n"/>
      <c r="H292" s="12" t="n"/>
      <c r="I292" s="12" t="n"/>
      <c r="J292" s="12">
        <f>(J163-I163)*-1</f>
        <v>-1.029</v>
      </c>
      <c r="K292" s="12">
        <f>(K163-J163)*-1</f>
        <v>0.016</v>
      </c>
      <c r="L292" s="12">
        <f>(L163-K163)*-1</f>
        <v>1.001</v>
      </c>
      <c r="M292" s="12" t="n"/>
      <c r="N292" s="12">
        <f>(N163-M163)*-1</f>
        <v>-0.0730000000000004</v>
      </c>
      <c r="O292" s="12">
        <f>(O163-N163)*-1</f>
        <v>-1.303</v>
      </c>
      <c r="P292" s="12">
        <f>(P163-O163)*-1</f>
        <v>-1.271</v>
      </c>
      <c r="Q292" s="12">
        <f>(Q163-P163)*-1</f>
        <v>2.689</v>
      </c>
      <c r="R292" s="12">
        <f>SUM(N292:Q292)</f>
        <v>0.0419999999999998</v>
      </c>
      <c r="S292" s="12">
        <f>(S163-R163)*-1</f>
        <v>-0.466</v>
      </c>
      <c r="T292" s="12">
        <f>(T163-S163)*-1</f>
        <v>-0.535</v>
      </c>
      <c r="U292" s="12">
        <f>(U163-T163)*-1</f>
        <v>-0.0840000000000001</v>
      </c>
      <c r="V292" s="12">
        <f>(V163-U163)*-1</f>
        <v>0.791</v>
      </c>
      <c r="W292" s="12">
        <f>SUM(S292:V292)</f>
        <v>-0.294</v>
      </c>
      <c r="X292" s="12">
        <f>(X163-W163)*-1</f>
        <v>0.0550000000000002</v>
      </c>
      <c r="Y292" s="12">
        <f>(Y163-X163)*-1</f>
        <v>-0.147</v>
      </c>
      <c r="Z292" s="12">
        <f>(Z163-Y163)*-1</f>
        <v>-0.0880000000000001</v>
      </c>
      <c r="AA292" s="12">
        <f>(AA163-Z163)*-1</f>
        <v>0.278</v>
      </c>
      <c r="AB292" s="12">
        <f>SUM(X292:AA292)</f>
        <v>0.0979999999999999</v>
      </c>
      <c r="AC292" s="12">
        <f>(AC163-AB163)*-1</f>
        <v>-0.126</v>
      </c>
      <c r="AD292" s="12">
        <f>(AD163-AC163)*-1</f>
        <v>0.166</v>
      </c>
      <c r="AE292" s="12">
        <f>(AE163-AD163)*-1</f>
        <v>0.0350000000000001</v>
      </c>
      <c r="AF292" s="12">
        <f>(AF163-AE163)*-1</f>
        <v>0.0600000000000001</v>
      </c>
      <c r="AG292" s="12">
        <f>SUM(AC292:AF292)</f>
        <v>0.135</v>
      </c>
      <c r="AH292" s="12">
        <f>(AH163-AG163)*-1</f>
        <v>-0.119</v>
      </c>
      <c r="AI292" s="12">
        <f>(AI163-AH163)*-1</f>
        <v>0.148</v>
      </c>
      <c r="AJ292" s="12">
        <f>(AJ163-AI163)*-1</f>
        <v>0</v>
      </c>
      <c r="AK292" s="12">
        <f>(AK163-AJ163)*-1</f>
        <v>0</v>
      </c>
      <c r="AL292" s="12">
        <f>SUM(AH292:AK292)</f>
        <v>0.0289999999999999</v>
      </c>
      <c r="AM292" s="12">
        <f>(AM163-AL163)*-1</f>
        <v>0</v>
      </c>
      <c r="AN292" s="12">
        <f>(AN163-AM163)*-1</f>
        <v>0</v>
      </c>
      <c r="AO292" s="12">
        <f>(AO163-AN163)*-1</f>
        <v>0</v>
      </c>
      <c r="AP292" s="12">
        <f>(AP163-AO163)*-1</f>
        <v>0</v>
      </c>
      <c r="AQ292" s="12">
        <f>SUM(AM292:AP292)</f>
        <v>0</v>
      </c>
      <c r="AR292" s="12">
        <f>(AR163-AQ163)*-1</f>
        <v>0</v>
      </c>
      <c r="AS292" s="12">
        <f>(AS163-AR163)*-1</f>
        <v>0</v>
      </c>
      <c r="AT292" s="12">
        <f>(AT163-AS163)*-1</f>
        <v>0</v>
      </c>
      <c r="AU292" s="12">
        <f>(AU163-AT163)*-1</f>
        <v>0</v>
      </c>
      <c r="AV292" s="12">
        <f>SUM(AR292:AU292)</f>
        <v>0</v>
      </c>
      <c r="AW292" s="12">
        <f>(AW163-AV163)*-1</f>
        <v>0</v>
      </c>
      <c r="AX292" s="12">
        <f>(AX163-AW163)*-1</f>
        <v>0</v>
      </c>
      <c r="AY292" s="12">
        <f>(AY163-AX163)*-1</f>
        <v>0</v>
      </c>
      <c r="AZ292" s="12">
        <f>(AZ163-AY163)*-1</f>
        <v>0</v>
      </c>
      <c r="BA292" s="12">
        <f>SUM(AW292:AZ292)</f>
        <v>0</v>
      </c>
      <c r="BB292" s="12">
        <f>(BB163-BA163)*-1</f>
        <v>0</v>
      </c>
      <c r="BC292" s="12">
        <f>(BC163-BB163)*-1</f>
        <v>0</v>
      </c>
      <c r="BD292" s="12">
        <f>(BD163-BC163)*-1</f>
        <v>0</v>
      </c>
      <c r="BE292" s="12">
        <f>(BE163-BD163)*-1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>Dividends received from affiliates</t>
        </is>
      </c>
      <c r="D293" s="12" t="n"/>
      <c r="E293" s="12" t="n"/>
      <c r="F293" s="12" t="n"/>
      <c r="G293" s="12" t="n"/>
      <c r="H293" s="12" t="n"/>
      <c r="I293" s="12" t="n"/>
      <c r="J293" s="12">
        <f>-J166</f>
        <v>0</v>
      </c>
      <c r="K293" s="12">
        <f>-K166</f>
        <v>0</v>
      </c>
      <c r="L293" s="12">
        <f>-L166</f>
        <v>0</v>
      </c>
      <c r="M293" s="12" t="n"/>
      <c r="N293" s="12">
        <f>-N166</f>
        <v>0</v>
      </c>
      <c r="O293" s="12">
        <f>-O166</f>
        <v>0</v>
      </c>
      <c r="P293" s="12">
        <f>-P166</f>
        <v>0</v>
      </c>
      <c r="Q293" s="12">
        <f>-Q166</f>
        <v>0</v>
      </c>
      <c r="R293" s="12">
        <f>SUM(N293:Q293)</f>
        <v>0</v>
      </c>
      <c r="S293" s="12">
        <f>-S166</f>
        <v>0</v>
      </c>
      <c r="T293" s="12">
        <f>-T166</f>
        <v>0</v>
      </c>
      <c r="U293" s="12">
        <f>-U166</f>
        <v>0</v>
      </c>
      <c r="V293" s="12">
        <f>-V166</f>
        <v>0</v>
      </c>
      <c r="W293" s="12">
        <f>SUM(S293:V293)</f>
        <v>0</v>
      </c>
      <c r="X293" s="12">
        <f>-X166</f>
        <v>0</v>
      </c>
      <c r="Y293" s="12">
        <f>-Y166</f>
        <v>0</v>
      </c>
      <c r="Z293" s="12">
        <f>-Z166</f>
        <v>0</v>
      </c>
      <c r="AA293" s="12">
        <f>-AA166</f>
        <v>0</v>
      </c>
      <c r="AB293" s="12">
        <f>SUM(X293:AA293)</f>
        <v>0</v>
      </c>
      <c r="AC293" s="12">
        <f>-AC166</f>
        <v>0</v>
      </c>
      <c r="AD293" s="12">
        <f>-AD166</f>
        <v>0</v>
      </c>
      <c r="AE293" s="12">
        <f>-AE166</f>
        <v>0</v>
      </c>
      <c r="AF293" s="12">
        <f>-AF166</f>
        <v>0</v>
      </c>
      <c r="AG293" s="12">
        <f>SUM(AC293:AF293)</f>
        <v>0</v>
      </c>
      <c r="AH293" s="12">
        <f>-AH166</f>
        <v>0</v>
      </c>
      <c r="AI293" s="12">
        <f>-AI166</f>
        <v>0</v>
      </c>
      <c r="AJ293" s="12">
        <f>-AJ166</f>
        <v>0</v>
      </c>
      <c r="AK293" s="12">
        <f>-AK166</f>
        <v>0</v>
      </c>
      <c r="AL293" s="12">
        <f>SUM(AH293:AK293)</f>
        <v>0</v>
      </c>
      <c r="AM293" s="12">
        <f>-AM166</f>
        <v>0</v>
      </c>
      <c r="AN293" s="12">
        <f>-AN166</f>
        <v>0</v>
      </c>
      <c r="AO293" s="12">
        <f>-AO166</f>
        <v>0</v>
      </c>
      <c r="AP293" s="12">
        <f>-AP166</f>
        <v>0</v>
      </c>
      <c r="AQ293" s="12">
        <f>SUM(AM293:AP293)</f>
        <v>0</v>
      </c>
      <c r="AR293" s="12">
        <f>-AR166</f>
        <v>0</v>
      </c>
      <c r="AS293" s="12">
        <f>-AS166</f>
        <v>0</v>
      </c>
      <c r="AT293" s="12">
        <f>-AT166</f>
        <v>0</v>
      </c>
      <c r="AU293" s="12">
        <f>-AU166</f>
        <v>0</v>
      </c>
      <c r="AV293" s="12">
        <f>SUM(AR293:AU293)</f>
        <v>0</v>
      </c>
      <c r="AW293" s="12">
        <f>-AW166</f>
        <v>0</v>
      </c>
      <c r="AX293" s="12">
        <f>-AX166</f>
        <v>0</v>
      </c>
      <c r="AY293" s="12">
        <f>-AY166</f>
        <v>0</v>
      </c>
      <c r="AZ293" s="12">
        <f>-AZ166</f>
        <v>0</v>
      </c>
      <c r="BA293" s="12">
        <f>SUM(AW293:AZ293)</f>
        <v>0</v>
      </c>
      <c r="BB293" s="12">
        <f>-BB166</f>
        <v>0</v>
      </c>
      <c r="BC293" s="12">
        <f>-BC166</f>
        <v>0</v>
      </c>
      <c r="BD293" s="12">
        <f>-BD166</f>
        <v>0</v>
      </c>
      <c r="BE293" s="12">
        <f>-BE166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</row>
    <row r="294">
      <c r="C294" s="71" t="inlineStr">
        <is>
          <t>Minority interest expense</t>
        </is>
      </c>
      <c r="D294" s="12" t="n"/>
      <c r="E294" s="12" t="n"/>
      <c r="F294" s="12" t="n"/>
      <c r="G294" s="12" t="n"/>
      <c r="H294" s="12" t="n"/>
      <c r="I294" s="12" t="n"/>
      <c r="J294" s="12">
        <f>-J138</f>
        <v>0</v>
      </c>
      <c r="K294" s="12">
        <f>-K138</f>
        <v>0</v>
      </c>
      <c r="L294" s="12">
        <f>-L138</f>
        <v>0</v>
      </c>
      <c r="M294" s="12" t="n"/>
      <c r="N294" s="12">
        <f>-N138</f>
        <v>0</v>
      </c>
      <c r="O294" s="12">
        <f>-O138</f>
        <v>0</v>
      </c>
      <c r="P294" s="12">
        <f>-P138</f>
        <v>0</v>
      </c>
      <c r="Q294" s="12">
        <f>-Q138</f>
        <v>0</v>
      </c>
      <c r="R294" s="12">
        <f>SUM(N294:Q294)</f>
        <v>0</v>
      </c>
      <c r="S294" s="12">
        <f>-S138</f>
        <v>0</v>
      </c>
      <c r="T294" s="12">
        <f>-T138</f>
        <v>0</v>
      </c>
      <c r="U294" s="12">
        <f>-U138</f>
        <v>0</v>
      </c>
      <c r="V294" s="12">
        <f>-V138</f>
        <v>0</v>
      </c>
      <c r="W294" s="12">
        <f>SUM(S294:V294)</f>
        <v>0</v>
      </c>
      <c r="X294" s="12">
        <f>-X138</f>
        <v>0</v>
      </c>
      <c r="Y294" s="12">
        <f>-Y138</f>
        <v>0</v>
      </c>
      <c r="Z294" s="12">
        <f>-Z138</f>
        <v>0</v>
      </c>
      <c r="AA294" s="12">
        <f>-AA138</f>
        <v>0</v>
      </c>
      <c r="AB294" s="12">
        <f>SUM(X294:AA294)</f>
        <v>0</v>
      </c>
      <c r="AC294" s="12">
        <f>-AC138</f>
        <v>0</v>
      </c>
      <c r="AD294" s="12">
        <f>-AD138</f>
        <v>0</v>
      </c>
      <c r="AE294" s="12">
        <f>-AE138</f>
        <v>0</v>
      </c>
      <c r="AF294" s="12">
        <f>-AF138</f>
        <v>0</v>
      </c>
      <c r="AG294" s="12">
        <f>SUM(AC294:AF294)</f>
        <v>0</v>
      </c>
      <c r="AH294" s="12">
        <f>-AH138</f>
        <v>0</v>
      </c>
      <c r="AI294" s="12">
        <f>-AI138</f>
        <v>0</v>
      </c>
      <c r="AJ294" s="12">
        <f>-AJ138</f>
        <v>0</v>
      </c>
      <c r="AK294" s="12">
        <f>-AK138</f>
        <v>0</v>
      </c>
      <c r="AL294" s="12">
        <f>SUM(AH294:AK294)</f>
        <v>0</v>
      </c>
      <c r="AM294" s="12">
        <f>-AM138</f>
        <v>0</v>
      </c>
      <c r="AN294" s="12">
        <f>-AN138</f>
        <v>0</v>
      </c>
      <c r="AO294" s="12">
        <f>-AO138</f>
        <v>0</v>
      </c>
      <c r="AP294" s="12">
        <f>-AP138</f>
        <v>0</v>
      </c>
      <c r="AQ294" s="12">
        <f>SUM(AM294:AP294)</f>
        <v>0</v>
      </c>
      <c r="AR294" s="12">
        <f>-AR138</f>
        <v>0</v>
      </c>
      <c r="AS294" s="12">
        <f>-AS138</f>
        <v>0</v>
      </c>
      <c r="AT294" s="12">
        <f>-AT138</f>
        <v>0</v>
      </c>
      <c r="AU294" s="12">
        <f>-AU138</f>
        <v>0</v>
      </c>
      <c r="AV294" s="12">
        <f>SUM(AR294:AU294)</f>
        <v>0</v>
      </c>
      <c r="AW294" s="12">
        <f>-AW138</f>
        <v>0</v>
      </c>
      <c r="AX294" s="12">
        <f>-AX138</f>
        <v>0</v>
      </c>
      <c r="AY294" s="12">
        <f>-AY138</f>
        <v>0</v>
      </c>
      <c r="AZ294" s="12">
        <f>-AZ138</f>
        <v>0</v>
      </c>
      <c r="BA294" s="12">
        <f>SUM(AW294:AZ294)</f>
        <v>0</v>
      </c>
      <c r="BB294" s="12">
        <f>-BB138</f>
        <v>0</v>
      </c>
      <c r="BC294" s="12">
        <f>-BC138</f>
        <v>0</v>
      </c>
      <c r="BD294" s="12">
        <f>-BD138</f>
        <v>0</v>
      </c>
      <c r="BE294" s="12">
        <f>-BE138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</row>
    <row r="295">
      <c r="C295" s="14" t="inlineStr">
        <is>
          <t>Cash from operations</t>
        </is>
      </c>
      <c r="D295" s="12" t="n"/>
      <c r="E295" s="12" t="n"/>
      <c r="F295" s="12" t="n"/>
      <c r="G295" s="12" t="n"/>
      <c r="H295" s="12" t="n"/>
      <c r="I295" s="12" t="n"/>
      <c r="J295" s="12">
        <f>SUM(J279,J280,J281,J292,J293,J294)</f>
        <v>263.603</v>
      </c>
      <c r="K295" s="12">
        <f>SUM(K279,K280,K281,K292,K293,K294)</f>
        <v>459.585</v>
      </c>
      <c r="L295" s="12">
        <f>SUM(L279,L280,L281,L292,L293,L294)</f>
        <v>431.14</v>
      </c>
      <c r="M295" s="12" t="n"/>
      <c r="N295" s="12">
        <f>SUM(N279,N280,N281,N292,N293,N294)</f>
        <v>353.158</v>
      </c>
      <c r="O295" s="12">
        <f>SUM(O279,O280,O281,O292,O293,O294)</f>
        <v>150.531</v>
      </c>
      <c r="P295" s="12">
        <f>SUM(P279,P280,P281,P292,P293,P294)</f>
        <v>444.287</v>
      </c>
      <c r="Q295" s="12">
        <f>SUM(Q279,Q280,Q281,Q292,Q293,Q294)</f>
        <v>520.751</v>
      </c>
      <c r="R295" s="12">
        <f>SUM(R279,R280,R281,R292,R293,R294)</f>
        <v>1468.727</v>
      </c>
      <c r="S295" s="12">
        <f>SUM(S279,S280,S281,S292,S293,S294)</f>
        <v>332.183</v>
      </c>
      <c r="T295" s="12">
        <f>SUM(T279,T280,T281,T292,T293,T294)</f>
        <v>473.611</v>
      </c>
      <c r="U295" s="12">
        <f>SUM(U279,U280,U281,U292,U293,U294)</f>
        <v>643.757</v>
      </c>
      <c r="V295" s="12">
        <f>SUM(V279,V280,V281,V292,V293,V294)</f>
        <v>407.276</v>
      </c>
      <c r="W295" s="12">
        <f>SUM(W279,W280,W281,W292,W293,W294)</f>
        <v>1856.827</v>
      </c>
      <c r="X295" s="12">
        <f>SUM(X279,X280,X281,X292,X293,X294)</f>
        <v>486.667</v>
      </c>
      <c r="Y295" s="12">
        <f>SUM(Y279,Y280,Y281,Y292,Y293,Y294)</f>
        <v>328.614</v>
      </c>
      <c r="Z295" s="12">
        <f>SUM(Z279,Z280,Z281,Z292,Z293,Z294)</f>
        <v>706.228</v>
      </c>
      <c r="AA295" s="12">
        <f>SUM(AA279,AA280,AA281,AA292,AA293,AA294)</f>
        <v>588.241</v>
      </c>
      <c r="AB295" s="12">
        <f>SUM(AB279,AB280,AB281,AB292,AB293,AB294)</f>
        <v>2109.75</v>
      </c>
      <c r="AC295" s="12">
        <f>SUM(AC279,AC280,AC281,AC292,AC293,AC294)</f>
        <v>1505.38</v>
      </c>
      <c r="AD295" s="12">
        <f>SUM(AD279,AD280,AD281,AD292,AD293,AD294)</f>
        <v>299.858</v>
      </c>
      <c r="AE295" s="12">
        <f>SUM(AE279,AE280,AE281,AE292,AE293,AE294)</f>
        <v>3759.803</v>
      </c>
      <c r="AF295" s="12">
        <f>SUM(AF279,AF280,AF281,AF292,AF293,AF294)</f>
        <v>629.995</v>
      </c>
      <c r="AG295" s="12">
        <f>SUM(AG279,AG280,AG281,AG292,AG293,AG294)</f>
        <v>6195.036</v>
      </c>
      <c r="AH295" s="12">
        <f>SUM(AH279,AH280,AH281,AH292,AH293,AH294)</f>
        <v>579.095</v>
      </c>
      <c r="AI295" s="12">
        <f>SUM(AI279,AI280,AI281,AI292,AI293,AI294)</f>
        <v>-3219.677</v>
      </c>
      <c r="AJ295" s="12">
        <f>SUM(AJ279,AJ280,AJ281,AJ292,AJ293,AJ294)</f>
        <v>885.582250597794</v>
      </c>
      <c r="AK295" s="12">
        <f>SUM(AK279,AK280,AK281,AK292,AK293,AK294)</f>
        <v>899.043765494862</v>
      </c>
      <c r="AL295" s="12">
        <f>SUM(AL279,AL280,AL281,AL292,AL293,AL294)</f>
        <v>-855.955983907344</v>
      </c>
      <c r="AM295" s="12">
        <f>SUM(AM279,AM280,AM281,AM292,AM293,AM294)</f>
        <v>921.017235878053</v>
      </c>
      <c r="AN295" s="12">
        <f>SUM(AN279,AN280,AN281,AN292,AN293,AN294)</f>
        <v>983.63450697956</v>
      </c>
      <c r="AO295" s="12">
        <f>SUM(AO279,AO280,AO281,AO292,AO293,AO294)</f>
        <v>960.408426378219</v>
      </c>
      <c r="AP295" s="12">
        <f>SUM(AP279,AP280,AP281,AP292,AP293,AP294)</f>
        <v>961.283058606069</v>
      </c>
      <c r="AQ295" s="12">
        <f>SUM(AQ279,AQ280,AQ281,AQ292,AQ293,AQ294)</f>
        <v>3826.3432278419</v>
      </c>
      <c r="AR295" s="12">
        <f>SUM(AR279,AR280,AR281,AR292,AR293,AR294)</f>
        <v>995.875988377435</v>
      </c>
      <c r="AS295" s="12">
        <f>SUM(AS279,AS280,AS281,AS292,AS293,AS294)</f>
        <v>1034.07086283939</v>
      </c>
      <c r="AT295" s="12">
        <f>SUM(AT279,AT280,AT281,AT292,AT293,AT294)</f>
        <v>1021.20580372481</v>
      </c>
      <c r="AU295" s="12">
        <f>SUM(AU279,AU280,AU281,AU292,AU293,AU294)</f>
        <v>1022.16283993494</v>
      </c>
      <c r="AV295" s="12">
        <f>SUM(AV279,AV280,AV281,AV292,AV293,AV294)</f>
        <v>4073.31549487657</v>
      </c>
      <c r="AW295" s="12">
        <f>SUM(AW279,AW280,AW281,AW292,AW293,AW294)</f>
        <v>1046.47051014676</v>
      </c>
      <c r="AX295" s="12">
        <f>SUM(AX279,AX280,AX281,AX292,AX293,AX294)</f>
        <v>1106.60188257149</v>
      </c>
      <c r="AY295" s="12">
        <f>SUM(AY279,AY280,AY281,AY292,AY293,AY294)</f>
        <v>1080.58240861136</v>
      </c>
      <c r="AZ295" s="12">
        <f>SUM(AZ279,AZ280,AZ281,AZ292,AZ293,AZ294)</f>
        <v>1081.59953119267</v>
      </c>
      <c r="BA295" s="12">
        <f>SUM(BA279,BA280,BA281,BA292,BA293,BA294)</f>
        <v>4315.25433252227</v>
      </c>
      <c r="BB295" s="12">
        <f>SUM(BB279,BB280,BB281,BB292,BB293,BB294)</f>
        <v>1107.31445235975</v>
      </c>
      <c r="BC295" s="12">
        <f>SUM(BC279,BC280,BC281,BC292,BC293,BC294)</f>
        <v>1165.1197042844</v>
      </c>
      <c r="BD295" s="12">
        <f>SUM(BD279,BD280,BD281,BD292,BD293,BD294)</f>
        <v>1137.73617488404</v>
      </c>
      <c r="BE295" s="12">
        <f>SUM(BE279,BE280,BE281,BE292,BE293,BE294)</f>
        <v>1138.78368703449</v>
      </c>
      <c r="BF295" s="12">
        <f>SUM(BF279,BF280,BF281,BF292,BF293,BF294)</f>
        <v>4548.95401856268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0" t="inlineStr">
        <is>
          <t>Purchase of fixed assets (capital expenditures)</t>
        </is>
      </c>
      <c r="D297" s="12" t="n"/>
      <c r="E297" s="12" t="n"/>
      <c r="F297" s="12" t="n"/>
      <c r="G297" s="12" t="n"/>
      <c r="H297" s="12" t="n"/>
      <c r="I297" s="12" t="n"/>
      <c r="J297" s="12">
        <f>-J170</f>
        <v>-94.955</v>
      </c>
      <c r="K297" s="12">
        <f>-K170</f>
        <v>-98.202</v>
      </c>
      <c r="L297" s="12">
        <f>-L170</f>
        <v>-110.828</v>
      </c>
      <c r="M297" s="12" t="n"/>
      <c r="N297" s="12">
        <f>-N170</f>
        <v>-104.061</v>
      </c>
      <c r="O297" s="12">
        <f>-O170</f>
        <v>-103.015</v>
      </c>
      <c r="P297" s="12">
        <f>-P170</f>
        <v>-106.742</v>
      </c>
      <c r="Q297" s="12">
        <f>-Q170</f>
        <v>-113.376</v>
      </c>
      <c r="R297" s="12">
        <f>SUM(N297:Q297)</f>
        <v>-427.194</v>
      </c>
      <c r="S297" s="12">
        <f>-S170</f>
        <v>-112.68</v>
      </c>
      <c r="T297" s="12">
        <f>-T170</f>
        <v>-122.816</v>
      </c>
      <c r="U297" s="12">
        <f>-U170</f>
        <v>-122.044</v>
      </c>
      <c r="V297" s="12">
        <f>-V170</f>
        <v>-121.694</v>
      </c>
      <c r="W297" s="12">
        <f>SUM(S297:V297)</f>
        <v>-479.234</v>
      </c>
      <c r="X297" s="12">
        <f>-X170</f>
        <v>-133.974</v>
      </c>
      <c r="Y297" s="12">
        <f>-Y170</f>
        <v>-135.844</v>
      </c>
      <c r="Z297" s="12">
        <f>-Z170</f>
        <v>-140.844</v>
      </c>
      <c r="AA297" s="12">
        <f>-AA170</f>
        <v>-147.145</v>
      </c>
      <c r="AB297" s="12">
        <f>SUM(X297:AA297)</f>
        <v>-557.807</v>
      </c>
      <c r="AC297" s="12">
        <f>-AC170</f>
        <v>-159.103</v>
      </c>
      <c r="AD297" s="12">
        <f>-AD170</f>
        <v>-156.026</v>
      </c>
      <c r="AE297" s="12">
        <f>-AE170</f>
        <v>-163.713</v>
      </c>
      <c r="AF297" s="12">
        <f>-AF170</f>
        <v>-176.754</v>
      </c>
      <c r="AG297" s="12">
        <f>SUM(AC297:AF297)</f>
        <v>-655.596</v>
      </c>
      <c r="AH297" s="12">
        <f>-AH170</f>
        <v>-171.632</v>
      </c>
      <c r="AI297" s="12">
        <f>-AI170</f>
        <v>-187.553</v>
      </c>
      <c r="AJ297" s="12">
        <f>-AJ170</f>
        <v>-176.698924606867</v>
      </c>
      <c r="AK297" s="12">
        <f>-AK170</f>
        <v>-185.198179597835</v>
      </c>
      <c r="AL297" s="12">
        <f>SUM(AH297:AK297)</f>
        <v>-721.082104204702</v>
      </c>
      <c r="AM297" s="12">
        <f>-AM170</f>
        <v>-190.624202863406</v>
      </c>
      <c r="AN297" s="12">
        <f>-AN170</f>
        <v>-186.197942160467</v>
      </c>
      <c r="AO297" s="12">
        <f>-AO170</f>
        <v>-188.498295351908</v>
      </c>
      <c r="AP297" s="12">
        <f>-AP170</f>
        <v>-197.565102527577</v>
      </c>
      <c r="AQ297" s="12">
        <f>SUM(AM297:AP297)</f>
        <v>-762.885542903358</v>
      </c>
      <c r="AR297" s="12">
        <f>-AR170</f>
        <v>-202.400336696381</v>
      </c>
      <c r="AS297" s="12">
        <f>-AS170</f>
        <v>-197.700636222235</v>
      </c>
      <c r="AT297" s="12">
        <f>-AT170</f>
        <v>-200.143097638332</v>
      </c>
      <c r="AU297" s="12">
        <f>-AU170</f>
        <v>-209.770022223725</v>
      </c>
      <c r="AV297" s="12">
        <f>SUM(AR297:AU297)</f>
        <v>-810.014092780672</v>
      </c>
      <c r="AW297" s="12">
        <f>-AW170</f>
        <v>-213.89195951059</v>
      </c>
      <c r="AX297" s="12">
        <f>-AX170</f>
        <v>-208.92542556141</v>
      </c>
      <c r="AY297" s="12">
        <f>-AY170</f>
        <v>-211.506561871977</v>
      </c>
      <c r="AZ297" s="12">
        <f>-AZ170</f>
        <v>-221.680071448294</v>
      </c>
      <c r="BA297" s="12">
        <f>SUM(AW297:AZ297)</f>
        <v>-856.004018392271</v>
      </c>
      <c r="BB297" s="12">
        <f>-BB170</f>
        <v>-224.966578926575</v>
      </c>
      <c r="BC297" s="12">
        <f>-BC170</f>
        <v>-219.74289424845</v>
      </c>
      <c r="BD297" s="12">
        <f>-BD170</f>
        <v>-222.457673274554</v>
      </c>
      <c r="BE297" s="12">
        <f>-BE170</f>
        <v>-233.157933584934</v>
      </c>
      <c r="BF297" s="12">
        <f>SUM(BB297:BE297)</f>
        <v>-900.325080034512</v>
      </c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0" t="inlineStr">
        <is>
          <t>Proceeds from sale of fixed assets</t>
        </is>
      </c>
      <c r="D298" s="12" t="n"/>
      <c r="E298" s="12" t="n"/>
      <c r="F298" s="12" t="n"/>
      <c r="G298" s="12" t="n"/>
      <c r="H298" s="12" t="n"/>
      <c r="I298" s="12" t="n"/>
      <c r="J298" s="12">
        <f>-J171</f>
        <v>0</v>
      </c>
      <c r="K298" s="12">
        <f>-K171</f>
        <v>0</v>
      </c>
      <c r="L298" s="12">
        <f>-L171</f>
        <v>0</v>
      </c>
      <c r="M298" s="12" t="n"/>
      <c r="N298" s="12">
        <f>-N171</f>
        <v>0</v>
      </c>
      <c r="O298" s="12">
        <f>-O171</f>
        <v>0</v>
      </c>
      <c r="P298" s="12">
        <f>-P171</f>
        <v>0</v>
      </c>
      <c r="Q298" s="12">
        <f>-Q171</f>
        <v>0</v>
      </c>
      <c r="R298" s="12">
        <f>SUM(N298:Q298)</f>
        <v>0</v>
      </c>
      <c r="S298" s="12">
        <f>-S171</f>
        <v>0</v>
      </c>
      <c r="T298" s="12">
        <f>-T171</f>
        <v>0</v>
      </c>
      <c r="U298" s="12">
        <f>-U171</f>
        <v>0</v>
      </c>
      <c r="V298" s="12">
        <f>-V171</f>
        <v>0</v>
      </c>
      <c r="W298" s="12">
        <f>SUM(S298:V298)</f>
        <v>0</v>
      </c>
      <c r="X298" s="12">
        <f>-X171</f>
        <v>0</v>
      </c>
      <c r="Y298" s="12">
        <f>-Y171</f>
        <v>0</v>
      </c>
      <c r="Z298" s="12">
        <f>-Z171</f>
        <v>0</v>
      </c>
      <c r="AA298" s="12">
        <f>-AA171</f>
        <v>0</v>
      </c>
      <c r="AB298" s="12">
        <f>SUM(X298:AA298)</f>
        <v>0</v>
      </c>
      <c r="AC298" s="12">
        <f>-AC171</f>
        <v>0</v>
      </c>
      <c r="AD298" s="12">
        <f>-AD171</f>
        <v>0</v>
      </c>
      <c r="AE298" s="12">
        <f>-AE171</f>
        <v>0</v>
      </c>
      <c r="AF298" s="12">
        <f>-AF171</f>
        <v>0</v>
      </c>
      <c r="AG298" s="12">
        <f>SUM(AC298:AF298)</f>
        <v>0</v>
      </c>
      <c r="AH298" s="12">
        <f>-AH171</f>
        <v>0</v>
      </c>
      <c r="AI298" s="12">
        <f>-AI171</f>
        <v>0</v>
      </c>
      <c r="AJ298" s="12">
        <f>-AJ171</f>
        <v>0</v>
      </c>
      <c r="AK298" s="12">
        <f>-AK171</f>
        <v>0</v>
      </c>
      <c r="AL298" s="12">
        <f>SUM(AH298:AK298)</f>
        <v>0</v>
      </c>
      <c r="AM298" s="12">
        <f>-AM171</f>
        <v>0</v>
      </c>
      <c r="AN298" s="12">
        <f>-AN171</f>
        <v>0</v>
      </c>
      <c r="AO298" s="12">
        <f>-AO171</f>
        <v>0</v>
      </c>
      <c r="AP298" s="12">
        <f>-AP171</f>
        <v>0</v>
      </c>
      <c r="AQ298" s="12">
        <f>SUM(AM298:AP298)</f>
        <v>0</v>
      </c>
      <c r="AR298" s="12">
        <f>-AR171</f>
        <v>0</v>
      </c>
      <c r="AS298" s="12">
        <f>-AS171</f>
        <v>0</v>
      </c>
      <c r="AT298" s="12">
        <f>-AT171</f>
        <v>0</v>
      </c>
      <c r="AU298" s="12">
        <f>-AU171</f>
        <v>0</v>
      </c>
      <c r="AV298" s="12">
        <f>SUM(AR298:AU298)</f>
        <v>0</v>
      </c>
      <c r="AW298" s="12">
        <f>-AW171</f>
        <v>0</v>
      </c>
      <c r="AX298" s="12">
        <f>-AX171</f>
        <v>0</v>
      </c>
      <c r="AY298" s="12">
        <f>-AY171</f>
        <v>0</v>
      </c>
      <c r="AZ298" s="12">
        <f>-AZ171</f>
        <v>0</v>
      </c>
      <c r="BA298" s="12">
        <f>SUM(AW298:AZ298)</f>
        <v>0</v>
      </c>
      <c r="BB298" s="12">
        <f>-BB171</f>
        <v>0</v>
      </c>
      <c r="BC298" s="12">
        <f>-BC171</f>
        <v>0</v>
      </c>
      <c r="BD298" s="12">
        <f>-BD171</f>
        <v>0</v>
      </c>
      <c r="BE298" s="12">
        <f>-BE171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0" t="inlineStr">
        <is>
          <t>Var.Right-of-use-assets</t>
        </is>
      </c>
      <c r="D299" s="12" t="n"/>
      <c r="E299" s="12" t="n"/>
      <c r="F299" s="12" t="n"/>
      <c r="G299" s="12" t="n"/>
      <c r="H299" s="12" t="n"/>
      <c r="I299" s="12" t="n"/>
      <c r="J299" s="12">
        <f>(J178-I178)*-1</f>
        <v>-18.195</v>
      </c>
      <c r="K299" s="12">
        <f>(K178-J178)*-1</f>
        <v>1.58100000000002</v>
      </c>
      <c r="L299" s="12">
        <f>(L178-K178)*-1</f>
        <v>-12.096</v>
      </c>
      <c r="M299" s="12" t="n"/>
      <c r="N299" s="12">
        <f>(N178-M178)*-1</f>
        <v>-3.28699999999998</v>
      </c>
      <c r="O299" s="12">
        <f>(O178-N178)*-1</f>
        <v>10.146</v>
      </c>
      <c r="P299" s="12">
        <f>(P178-O178)*-1</f>
        <v>1.71500000000003</v>
      </c>
      <c r="Q299" s="12">
        <f>(Q178-P178)*-1</f>
        <v>-67.954</v>
      </c>
      <c r="R299" s="12">
        <f>SUM(N299:Q299)</f>
        <v>-59.38</v>
      </c>
      <c r="S299" s="12">
        <f>(S178-R178)*-1</f>
        <v>15.178</v>
      </c>
      <c r="T299" s="12">
        <f>(T178-S178)*-1</f>
        <v>-19.976</v>
      </c>
      <c r="U299" s="12">
        <f>(U178-T178)*-1</f>
        <v>10.832</v>
      </c>
      <c r="V299" s="12">
        <f>(V178-U178)*-1</f>
        <v>-10.59</v>
      </c>
      <c r="W299" s="12">
        <f>SUM(S299:V299)</f>
        <v>-4.55599999999998</v>
      </c>
      <c r="X299" s="12">
        <f>(X178-W178)*-1</f>
        <v>18.2</v>
      </c>
      <c r="Y299" s="12">
        <f>(Y178-X178)*-1</f>
        <v>-10.306</v>
      </c>
      <c r="Z299" s="12">
        <f>(Z178-Y178)*-1</f>
        <v>10.878</v>
      </c>
      <c r="AA299" s="12">
        <f>(AA178-Z178)*-1</f>
        <v>12.803</v>
      </c>
      <c r="AB299" s="12">
        <f>SUM(X299:AA299)</f>
        <v>31.575</v>
      </c>
      <c r="AC299" s="12">
        <f>(AC178-AB178)*-1</f>
        <v>7.488</v>
      </c>
      <c r="AD299" s="12">
        <f>(AD178-AC178)*-1</f>
        <v>15.361</v>
      </c>
      <c r="AE299" s="12">
        <f>(AE178-AD178)*-1</f>
        <v>-69.719</v>
      </c>
      <c r="AF299" s="12">
        <f>(AF178-AE178)*-1</f>
        <v>-24.473</v>
      </c>
      <c r="AG299" s="12">
        <f>SUM(AC299:AF299)</f>
        <v>-71.343</v>
      </c>
      <c r="AH299" s="12">
        <f>(AH178-AG178)*-1</f>
        <v>22.111</v>
      </c>
      <c r="AI299" s="12">
        <f>(AI178-AH178)*-1</f>
        <v>12.375</v>
      </c>
      <c r="AJ299" s="12">
        <f>(AJ178-AI178)*-1</f>
        <v>0</v>
      </c>
      <c r="AK299" s="12">
        <f>(AK178-AJ178)*-1</f>
        <v>0</v>
      </c>
      <c r="AL299" s="12">
        <f>SUM(AH299:AK299)</f>
        <v>34.486</v>
      </c>
      <c r="AM299" s="12">
        <f>(AM178-AL178)*-1</f>
        <v>0</v>
      </c>
      <c r="AN299" s="12">
        <f>(AN178-AM178)*-1</f>
        <v>0</v>
      </c>
      <c r="AO299" s="12">
        <f>(AO178-AN178)*-1</f>
        <v>0</v>
      </c>
      <c r="AP299" s="12">
        <f>(AP178-AO178)*-1</f>
        <v>0</v>
      </c>
      <c r="AQ299" s="12">
        <f>SUM(AM299:AP299)</f>
        <v>0</v>
      </c>
      <c r="AR299" s="12">
        <f>(AR178-AQ178)*-1</f>
        <v>0</v>
      </c>
      <c r="AS299" s="12">
        <f>(AS178-AR178)*-1</f>
        <v>0</v>
      </c>
      <c r="AT299" s="12">
        <f>(AT178-AS178)*-1</f>
        <v>0</v>
      </c>
      <c r="AU299" s="12">
        <f>(AU178-AT178)*-1</f>
        <v>0</v>
      </c>
      <c r="AV299" s="12">
        <f>SUM(AR299:AU299)</f>
        <v>0</v>
      </c>
      <c r="AW299" s="12">
        <f>(AW178-AV178)*-1</f>
        <v>0</v>
      </c>
      <c r="AX299" s="12">
        <f>(AX178-AW178)*-1</f>
        <v>0</v>
      </c>
      <c r="AY299" s="12">
        <f>(AY178-AX178)*-1</f>
        <v>0</v>
      </c>
      <c r="AZ299" s="12">
        <f>(AZ178-AY178)*-1</f>
        <v>0</v>
      </c>
      <c r="BA299" s="12">
        <f>SUM(AW299:AZ299)</f>
        <v>0</v>
      </c>
      <c r="BB299" s="12">
        <f>(BB178-BA178)*-1</f>
        <v>0</v>
      </c>
      <c r="BC299" s="12">
        <f>(BC178-BB178)*-1</f>
        <v>0</v>
      </c>
      <c r="BD299" s="12">
        <f>(BD178-BC178)*-1</f>
        <v>0</v>
      </c>
      <c r="BE299" s="12">
        <f>(BE178-BD178)*-1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  <c r="CZ299" s="12" t="n"/>
      <c r="DA299" s="12" t="n"/>
      <c r="DB299" s="12" t="n"/>
      <c r="DC299" s="12" t="n"/>
    </row>
    <row r="300">
      <c r="C300" s="10" t="inlineStr">
        <is>
          <t>Purchases of intangible assets</t>
        </is>
      </c>
      <c r="D300" s="12" t="n"/>
      <c r="E300" s="12" t="n"/>
      <c r="F300" s="12" t="n"/>
      <c r="G300" s="12" t="n"/>
      <c r="H300" s="12" t="n"/>
      <c r="I300" s="12" t="n"/>
      <c r="J300" s="12">
        <f>((J182-I182)*-1)+((J181-I181)*-1)</f>
        <v>-130.226</v>
      </c>
      <c r="K300" s="12">
        <f>((K182-J182)*-1)+((K181-J181)*-1)</f>
        <v>-106.34</v>
      </c>
      <c r="L300" s="12">
        <f>((L182-K182)*-1)+((L181-K181)*-1)</f>
        <v>-285.207</v>
      </c>
      <c r="M300" s="12" t="n"/>
      <c r="N300" s="12">
        <f>((N182-M182)*-1)+((N181-M181)*-1)</f>
        <v>-77.7039999999997</v>
      </c>
      <c r="O300" s="12">
        <f>((O182-N182)*-1)+((O181-N181)*-1)</f>
        <v>-38.2690000000002</v>
      </c>
      <c r="P300" s="12">
        <f>((P182-O182)*-1)+((P181-O181)*-1)</f>
        <v>-128.74</v>
      </c>
      <c r="Q300" s="12">
        <f>((Q182-P182)*-1)+((Q181-P181)*-1)</f>
        <v>-175.773999999999</v>
      </c>
      <c r="R300" s="12">
        <f>SUM(N300:Q300)</f>
        <v>-420.486999999999</v>
      </c>
      <c r="S300" s="12">
        <f>((S182-R182)*-1)+((S181-R181)*-1)</f>
        <v>-133.958000000001</v>
      </c>
      <c r="T300" s="12">
        <f>((T182-S182)*-1)+((T181-S181)*-1)</f>
        <v>-313.543</v>
      </c>
      <c r="U300" s="12">
        <f>((U182-T182)*-1)+((U181-T181)*-1)</f>
        <v>-404.397000000001</v>
      </c>
      <c r="V300" s="12">
        <f>((V182-U182)*-1)+((V181-U181)*-1)</f>
        <v>-540.957999999999</v>
      </c>
      <c r="W300" s="12">
        <f>SUM(S300:V300)</f>
        <v>-1392.856</v>
      </c>
      <c r="X300" s="12">
        <f>((X182-W182)*-1)+((X181-W181)*-1)</f>
        <v>-141.708000000001</v>
      </c>
      <c r="Y300" s="12">
        <f>((Y182-X182)*-1)+((Y181-X181)*-1)</f>
        <v>-323.297000000001</v>
      </c>
      <c r="Z300" s="12">
        <f>((Z182-Y182)*-1)+((Z181-Y181)*-1)</f>
        <v>-243.531999999999</v>
      </c>
      <c r="AA300" s="12">
        <f>((AA182-Z182)*-1)+((AA181-Z181)*-1)</f>
        <v>-541.593000000001</v>
      </c>
      <c r="AB300" s="12">
        <f>SUM(X300:AA300)</f>
        <v>-1250.13</v>
      </c>
      <c r="AC300" s="12">
        <f>((AC182-AB182)*-1)+((AC181-AB181)*-1)</f>
        <v>-72.1649999999991</v>
      </c>
      <c r="AD300" s="12">
        <f>((AD182-AC182)*-1)+((AD181-AC181)*-1)</f>
        <v>-245.474</v>
      </c>
      <c r="AE300" s="12">
        <f>((AE182-AD182)*-1)+((AE181-AD181)*-1)</f>
        <v>-338.193000000001</v>
      </c>
      <c r="AF300" s="12">
        <f>((AF182-AE182)*-1)+((AF181-AE181)*-1)</f>
        <v>-360.92</v>
      </c>
      <c r="AG300" s="12">
        <f>SUM(AC300:AF300)</f>
        <v>-1016.752</v>
      </c>
      <c r="AH300" s="12">
        <f>((AH182-AG182)*-1)+((AH181-AG181)*-1)</f>
        <v>-156.213</v>
      </c>
      <c r="AI300" s="12">
        <f>((AI182-AH182)*-1)+((AI181-AH181)*-1)</f>
        <v>-187.016</v>
      </c>
      <c r="AJ300" s="12">
        <f>((AJ182-AI182)*-1)+((AJ181-AI181)*-1)</f>
        <v>0</v>
      </c>
      <c r="AK300" s="12">
        <f>((AK182-AJ182)*-1)+((AK181-AJ181)*-1)</f>
        <v>0</v>
      </c>
      <c r="AL300" s="12">
        <f>SUM(AH300:AK300)</f>
        <v>-343.228999999999</v>
      </c>
      <c r="AM300" s="12">
        <f>((AM182-AL182)*-1)+((AM181-AL181)*-1)</f>
        <v>0</v>
      </c>
      <c r="AN300" s="12">
        <f>((AN182-AM182)*-1)+((AN181-AM181)*-1)</f>
        <v>0</v>
      </c>
      <c r="AO300" s="12">
        <f>((AO182-AN182)*-1)+((AO181-AN181)*-1)</f>
        <v>0</v>
      </c>
      <c r="AP300" s="12">
        <f>((AP182-AO182)*-1)+((AP181-AO181)*-1)</f>
        <v>0</v>
      </c>
      <c r="AQ300" s="12">
        <f>SUM(AM300:AP300)</f>
        <v>0</v>
      </c>
      <c r="AR300" s="12">
        <f>((AR182-AQ182)*-1)+((AR181-AQ181)*-1)</f>
        <v>0</v>
      </c>
      <c r="AS300" s="12">
        <f>((AS182-AR182)*-1)+((AS181-AR181)*-1)</f>
        <v>0</v>
      </c>
      <c r="AT300" s="12">
        <f>((AT182-AS182)*-1)+((AT181-AS181)*-1)</f>
        <v>0</v>
      </c>
      <c r="AU300" s="12">
        <f>((AU182-AT182)*-1)+((AU181-AT181)*-1)</f>
        <v>0</v>
      </c>
      <c r="AV300" s="12">
        <f>SUM(AR300:AU300)</f>
        <v>0</v>
      </c>
      <c r="AW300" s="12">
        <f>((AW182-AV182)*-1)+((AW181-AV181)*-1)</f>
        <v>0</v>
      </c>
      <c r="AX300" s="12">
        <f>((AX182-AW182)*-1)+((AX181-AW181)*-1)</f>
        <v>0</v>
      </c>
      <c r="AY300" s="12">
        <f>((AY182-AX182)*-1)+((AY181-AX181)*-1)</f>
        <v>0</v>
      </c>
      <c r="AZ300" s="12">
        <f>((AZ182-AY182)*-1)+((AZ181-AY181)*-1)</f>
        <v>0</v>
      </c>
      <c r="BA300" s="12">
        <f>SUM(AW300:AZ300)</f>
        <v>0</v>
      </c>
      <c r="BB300" s="12">
        <f>((BB182-BA182)*-1)+((BB181-BA181)*-1)</f>
        <v>0</v>
      </c>
      <c r="BC300" s="12">
        <f>((BC182-BB182)*-1)+((BC181-BB181)*-1)</f>
        <v>0</v>
      </c>
      <c r="BD300" s="12">
        <f>((BD182-BC182)*-1)+((BD181-BC181)*-1)</f>
        <v>0</v>
      </c>
      <c r="BE300" s="12">
        <f>((BE182-BD182)*-1)+((BE181-BD181)*-1)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  <c r="CZ300" s="12" t="n"/>
      <c r="DA300" s="12" t="n"/>
      <c r="DB300" s="12" t="n"/>
      <c r="DC300" s="12" t="n"/>
    </row>
    <row r="301">
      <c r="C301" s="71" t="inlineStr">
        <is>
          <t>Purchases/Proceeds from other long-term assets</t>
        </is>
      </c>
      <c r="D301" s="12" t="n"/>
      <c r="E301" s="12" t="n"/>
      <c r="F301" s="12" t="n"/>
      <c r="G301" s="12" t="n"/>
      <c r="H301" s="12" t="n"/>
      <c r="I301" s="12" t="n"/>
      <c r="J301" s="12">
        <f>((J191-I191)*-1)+(J242-I242)</f>
        <v>-79.7500000000002</v>
      </c>
      <c r="K301" s="12">
        <f>((K191-J191)*-1)+(K242-J242)</f>
        <v>-196.97</v>
      </c>
      <c r="L301" s="12">
        <f>((L191-K191)*-1)+(L242-K242)</f>
        <v>-88.972</v>
      </c>
      <c r="M301" s="12" t="n"/>
      <c r="N301" s="12">
        <f>((N191-M191)*-1)+(N242-M242)</f>
        <v>-176.597</v>
      </c>
      <c r="O301" s="12">
        <f>((O191-N191)*-1)+(O242-N242)</f>
        <v>-251.578</v>
      </c>
      <c r="P301" s="12">
        <f>((P191-O191)*-1)+(P242-O242)</f>
        <v>-296.071</v>
      </c>
      <c r="Q301" s="12">
        <f>((Q191-P191)*-1)+(Q242-P242)</f>
        <v>-384.301</v>
      </c>
      <c r="R301" s="12">
        <f>SUM(N301:Q301)</f>
        <v>-1108.547</v>
      </c>
      <c r="S301" s="12">
        <f>((S191-R191)*-1)+(S242-R242)</f>
        <v>-191.569</v>
      </c>
      <c r="T301" s="12">
        <f>((T191-S191)*-1)+(T242-S242)</f>
        <v>-83.4069999999999</v>
      </c>
      <c r="U301" s="12">
        <f>((U191-T191)*-1)+(U242-T242)</f>
        <v>-69.0670000000002</v>
      </c>
      <c r="V301" s="12">
        <f>((V191-U191)*-1)+(V242-U242)</f>
        <v>292.722</v>
      </c>
      <c r="W301" s="12">
        <f>SUM(S301:V301)</f>
        <v>-51.3210000000004</v>
      </c>
      <c r="X301" s="12">
        <f>((X191-W191)*-1)+(X242-W242)</f>
        <v>-218.867</v>
      </c>
      <c r="Y301" s="12">
        <f>((Y191-X191)*-1)+(Y242-X242)</f>
        <v>-3.94999999999936</v>
      </c>
      <c r="Z301" s="12">
        <f>((Z191-Y191)*-1)+(Z242-Y242)</f>
        <v>-170.43</v>
      </c>
      <c r="AA301" s="12">
        <f>((AA191-Z191)*-1)+(AA242-Z242)</f>
        <v>182.623</v>
      </c>
      <c r="AB301" s="12">
        <f>SUM(X301:AA301)</f>
        <v>-210.624</v>
      </c>
      <c r="AC301" s="12">
        <f>((AC191-AB191)*-1)+(AC242-AB242)</f>
        <v>-1211.641</v>
      </c>
      <c r="AD301" s="12">
        <f>((AD191-AC191)*-1)+(AD242-AC242)</f>
        <v>61.3929999999991</v>
      </c>
      <c r="AE301" s="12">
        <f>((AE191-AD191)*-1)+(AE242-AD242)</f>
        <v>737.875000000001</v>
      </c>
      <c r="AF301" s="12">
        <f>((AF191-AE191)*-1)+(AF242-AE242)</f>
        <v>-432.433</v>
      </c>
      <c r="AG301" s="12">
        <f>SUM(AC301:AF301)</f>
        <v>-844.806</v>
      </c>
      <c r="AH301" s="12">
        <f>((AH191-AG191)*-1)+(AH242-AG242)</f>
        <v>-410.208999999999</v>
      </c>
      <c r="AI301" s="12">
        <f>((AI191-AH191)*-1)+(AI242-AH242)</f>
        <v>3007.107</v>
      </c>
      <c r="AJ301" s="12">
        <f>((AJ191-AI191)*-1)+(AJ242-AI242)</f>
        <v>0</v>
      </c>
      <c r="AK301" s="12">
        <f>((AK191-AJ191)*-1)+(AK242-AJ242)</f>
        <v>0</v>
      </c>
      <c r="AL301" s="12">
        <f>SUM(AH301:AK301)</f>
        <v>2596.898</v>
      </c>
      <c r="AM301" s="12">
        <f>((AM191-AL191)*-1)+(AM242-AL242)</f>
        <v>0</v>
      </c>
      <c r="AN301" s="12">
        <f>((AN191-AM191)*-1)+(AN242-AM242)</f>
        <v>0</v>
      </c>
      <c r="AO301" s="12">
        <f>((AO191-AN191)*-1)+(AO242-AN242)</f>
        <v>0</v>
      </c>
      <c r="AP301" s="12">
        <f>((AP191-AO191)*-1)+(AP242-AO242)</f>
        <v>0</v>
      </c>
      <c r="AQ301" s="12">
        <f>SUM(AM301:AP301)</f>
        <v>0</v>
      </c>
      <c r="AR301" s="12">
        <f>((AR191-AQ191)*-1)+(AR242-AQ242)</f>
        <v>0</v>
      </c>
      <c r="AS301" s="12">
        <f>((AS191-AR191)*-1)+(AS242-AR242)</f>
        <v>0</v>
      </c>
      <c r="AT301" s="12">
        <f>((AT191-AS191)*-1)+(AT242-AS242)</f>
        <v>0</v>
      </c>
      <c r="AU301" s="12">
        <f>((AU191-AT191)*-1)+(AU242-AT242)</f>
        <v>0</v>
      </c>
      <c r="AV301" s="12">
        <f>SUM(AR301:AU301)</f>
        <v>0</v>
      </c>
      <c r="AW301" s="12">
        <f>((AW191-AV191)*-1)+(AW242-AV242)</f>
        <v>0</v>
      </c>
      <c r="AX301" s="12">
        <f>((AX191-AW191)*-1)+(AX242-AW242)</f>
        <v>0</v>
      </c>
      <c r="AY301" s="12">
        <f>((AY191-AX191)*-1)+(AY242-AX242)</f>
        <v>0</v>
      </c>
      <c r="AZ301" s="12">
        <f>((AZ191-AY191)*-1)+(AZ242-AY242)</f>
        <v>0</v>
      </c>
      <c r="BA301" s="12">
        <f>SUM(AW301:AZ301)</f>
        <v>0</v>
      </c>
      <c r="BB301" s="12">
        <f>((BB191-BA191)*-1)+(BB242-BA242)</f>
        <v>0</v>
      </c>
      <c r="BC301" s="12">
        <f>((BC191-BB191)*-1)+(BC242-BB242)</f>
        <v>0</v>
      </c>
      <c r="BD301" s="12">
        <f>((BD191-BC191)*-1)+(BD242-BC242)</f>
        <v>0</v>
      </c>
      <c r="BE301" s="12">
        <f>((BE191-BD191)*-1)+(BE242-BD242)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Cash from investing</t>
        </is>
      </c>
      <c r="D302" s="12" t="n"/>
      <c r="E302" s="12" t="n"/>
      <c r="F302" s="12" t="n"/>
      <c r="G302" s="12" t="n"/>
      <c r="H302" s="12" t="n"/>
      <c r="I302" s="12" t="n"/>
      <c r="J302" s="12">
        <f>SUM(J297,J298,J300,J301,J299)</f>
        <v>-323.126</v>
      </c>
      <c r="K302" s="12">
        <f>SUM(K297,K298,K300,K301,K299)</f>
        <v>-399.931</v>
      </c>
      <c r="L302" s="12">
        <f>SUM(L297,L298,L300,L301,L299)</f>
        <v>-497.103</v>
      </c>
      <c r="M302" s="12" t="n"/>
      <c r="N302" s="12">
        <f>SUM(N297,N298,N300,N301,N299)</f>
        <v>-361.649</v>
      </c>
      <c r="O302" s="12">
        <f>SUM(O297,O298,O300,O301,O299)</f>
        <v>-382.716</v>
      </c>
      <c r="P302" s="12">
        <f>SUM(P297,P298,P300,P301,P299)</f>
        <v>-529.838</v>
      </c>
      <c r="Q302" s="12">
        <f>SUM(Q297,Q298,Q300,Q301,Q299)</f>
        <v>-741.404999999999</v>
      </c>
      <c r="R302" s="12">
        <f>SUM(R297,R298,R300,R301)</f>
        <v>-1956.228</v>
      </c>
      <c r="S302" s="12">
        <f>SUM(S297,S298,S300,S301,S299)</f>
        <v>-423.029000000001</v>
      </c>
      <c r="T302" s="12">
        <f>SUM(T297,T298,T300,T301,T299)</f>
        <v>-539.742</v>
      </c>
      <c r="U302" s="12">
        <f>SUM(U297,U298,U300,U301,U299)</f>
        <v>-584.676000000001</v>
      </c>
      <c r="V302" s="12">
        <f>SUM(V297,V298,V300,V301,V299)</f>
        <v>-380.519999999999</v>
      </c>
      <c r="W302" s="12">
        <f>SUM(W297,W298,W300,W301)</f>
        <v>-1923.411</v>
      </c>
      <c r="X302" s="12">
        <f>SUM(X297,X298,X300,X301,X299)</f>
        <v>-476.349000000001</v>
      </c>
      <c r="Y302" s="12">
        <f>SUM(Y297,Y298,Y300,Y301,Y299)</f>
        <v>-473.397</v>
      </c>
      <c r="Z302" s="12">
        <f>SUM(Z297,Z298,Z300,Z301,Z299)</f>
        <v>-543.928</v>
      </c>
      <c r="AA302" s="12">
        <f>SUM(AA297,AA298,AA300,AA301,AA299)</f>
        <v>-493.312000000001</v>
      </c>
      <c r="AB302" s="12">
        <f>SUM(AB297,AB298,AB300,AB301)</f>
        <v>-2018.561</v>
      </c>
      <c r="AC302" s="12">
        <f>SUM(AC297,AC298,AC300,AC301,AC299)</f>
        <v>-1435.421</v>
      </c>
      <c r="AD302" s="12">
        <f>SUM(AD297,AD298,AD300,AD301,AD299)</f>
        <v>-324.746000000001</v>
      </c>
      <c r="AE302" s="12">
        <f>SUM(AE297,AE298,AE300,AE301,AE299)</f>
        <v>166.249999999999</v>
      </c>
      <c r="AF302" s="12">
        <f>SUM(AF297,AF298,AF300,AF301,AF299)</f>
        <v>-994.58</v>
      </c>
      <c r="AG302" s="12">
        <f>SUM(AG297,AG298,AG300,AG301)</f>
        <v>-2517.154</v>
      </c>
      <c r="AH302" s="12">
        <f>SUM(AH297,AH298,AH300,AH301,AH299)</f>
        <v>-715.942999999999</v>
      </c>
      <c r="AI302" s="12">
        <f>SUM(AI297,AI298,AI300,AI301,AI299)</f>
        <v>2644.913</v>
      </c>
      <c r="AJ302" s="12">
        <f>SUM(AJ297,AJ298,AJ300,AJ301,AJ299)</f>
        <v>-176.698924606867</v>
      </c>
      <c r="AK302" s="12">
        <f>SUM(AK297,AK298,AK300,AK301,AK299)</f>
        <v>-185.198179597835</v>
      </c>
      <c r="AL302" s="12">
        <f>SUM(AL297,AL298,AL300,AL301)</f>
        <v>1532.5868957953</v>
      </c>
      <c r="AM302" s="12">
        <f>SUM(AM297,AM298,AM300,AM301,AM299)</f>
        <v>-190.624202863406</v>
      </c>
      <c r="AN302" s="12">
        <f>SUM(AN297,AN298,AN300,AN301,AN299)</f>
        <v>-186.197942160467</v>
      </c>
      <c r="AO302" s="12">
        <f>SUM(AO297,AO298,AO300,AO301,AO299)</f>
        <v>-188.498295351908</v>
      </c>
      <c r="AP302" s="12">
        <f>SUM(AP297,AP298,AP300,AP301,AP299)</f>
        <v>-197.565102527577</v>
      </c>
      <c r="AQ302" s="12">
        <f>SUM(AQ297,AQ298,AQ300,AQ301)</f>
        <v>-762.885542903358</v>
      </c>
      <c r="AR302" s="12">
        <f>SUM(AR297,AR298,AR300,AR301,AR299)</f>
        <v>-202.400336696381</v>
      </c>
      <c r="AS302" s="12">
        <f>SUM(AS297,AS298,AS300,AS301,AS299)</f>
        <v>-197.700636222235</v>
      </c>
      <c r="AT302" s="12">
        <f>SUM(AT297,AT298,AT300,AT301,AT299)</f>
        <v>-200.143097638332</v>
      </c>
      <c r="AU302" s="12">
        <f>SUM(AU297,AU298,AU300,AU301,AU299)</f>
        <v>-209.770022223725</v>
      </c>
      <c r="AV302" s="12">
        <f>SUM(AV297,AV298,AV300,AV301)</f>
        <v>-810.014092780672</v>
      </c>
      <c r="AW302" s="12">
        <f>SUM(AW297,AW298,AW300,AW301,AW299)</f>
        <v>-213.89195951059</v>
      </c>
      <c r="AX302" s="12">
        <f>SUM(AX297,AX298,AX300,AX301,AX299)</f>
        <v>-208.92542556141</v>
      </c>
      <c r="AY302" s="12">
        <f>SUM(AY297,AY298,AY300,AY301,AY299)</f>
        <v>-211.506561871977</v>
      </c>
      <c r="AZ302" s="12">
        <f>SUM(AZ297,AZ298,AZ300,AZ301,AZ299)</f>
        <v>-221.680071448294</v>
      </c>
      <c r="BA302" s="12">
        <f>SUM(BA297,BA298,BA300,BA301)</f>
        <v>-856.004018392271</v>
      </c>
      <c r="BB302" s="12">
        <f>SUM(BB297,BB298,BB300,BB301,BB299)</f>
        <v>-224.966578926575</v>
      </c>
      <c r="BC302" s="12">
        <f>SUM(BC297,BC298,BC300,BC301,BC299)</f>
        <v>-219.74289424845</v>
      </c>
      <c r="BD302" s="12">
        <f>SUM(BD297,BD298,BD300,BD301,BD299)</f>
        <v>-222.457673274554</v>
      </c>
      <c r="BE302" s="12">
        <f>SUM(BE297,BE298,BE300,BE301,BE299)</f>
        <v>-233.157933584934</v>
      </c>
      <c r="BF302" s="12">
        <f>SUM(BF297,BF298,BF300,BF301)</f>
        <v>-900.325080034512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4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Convertible preferred stock</t>
        </is>
      </c>
      <c r="D304" s="12" t="n"/>
      <c r="E304" s="12" t="n"/>
      <c r="F304" s="12" t="n"/>
      <c r="G304" s="12" t="n"/>
      <c r="H304" s="12" t="n"/>
      <c r="I304" s="12" t="n"/>
      <c r="J304" s="12">
        <f>J255-I255</f>
        <v>0</v>
      </c>
      <c r="K304" s="12">
        <f>K255-J255</f>
        <v>0</v>
      </c>
      <c r="L304" s="12">
        <f>L255-K255</f>
        <v>0</v>
      </c>
      <c r="M304" s="12" t="n"/>
      <c r="N304" s="12">
        <f>N255-M255</f>
        <v>0</v>
      </c>
      <c r="O304" s="12">
        <f>O255-N255</f>
        <v>0</v>
      </c>
      <c r="P304" s="12">
        <f>P255-O255</f>
        <v>0</v>
      </c>
      <c r="Q304" s="12">
        <f>Q255-P255</f>
        <v>0</v>
      </c>
      <c r="R304" s="12">
        <f>SUM(N304:Q304)</f>
        <v>0</v>
      </c>
      <c r="S304" s="12">
        <f>S255-R255</f>
        <v>0</v>
      </c>
      <c r="T304" s="12">
        <f>T255-S255</f>
        <v>0</v>
      </c>
      <c r="U304" s="12">
        <f>U255-T255</f>
        <v>0</v>
      </c>
      <c r="V304" s="12">
        <f>V255-U255</f>
        <v>0</v>
      </c>
      <c r="W304" s="12">
        <f>SUM(S304:V304)</f>
        <v>0</v>
      </c>
      <c r="X304" s="12">
        <f>X255-W255</f>
        <v>0</v>
      </c>
      <c r="Y304" s="12">
        <f>Y255-X255</f>
        <v>0</v>
      </c>
      <c r="Z304" s="12">
        <f>Z255-Y255</f>
        <v>0</v>
      </c>
      <c r="AA304" s="12">
        <f>AA255-Z255</f>
        <v>0</v>
      </c>
      <c r="AB304" s="12">
        <f>SUM(X304:AA304)</f>
        <v>0</v>
      </c>
      <c r="AC304" s="12">
        <f>AC255-AB255</f>
        <v>0</v>
      </c>
      <c r="AD304" s="12">
        <f>AD255-AC255</f>
        <v>0</v>
      </c>
      <c r="AE304" s="12">
        <f>AE255-AD255</f>
        <v>0</v>
      </c>
      <c r="AF304" s="12">
        <f>AF255-AE255</f>
        <v>0</v>
      </c>
      <c r="AG304" s="12">
        <f>SUM(AC304:AF304)</f>
        <v>0</v>
      </c>
      <c r="AH304" s="12">
        <f>AH255-AG255</f>
        <v>0</v>
      </c>
      <c r="AI304" s="12">
        <f>AI255-AH255</f>
        <v>0</v>
      </c>
      <c r="AJ304" s="12">
        <f>AJ255-AI255</f>
        <v>0</v>
      </c>
      <c r="AK304" s="12">
        <f>AK255-AJ255</f>
        <v>0</v>
      </c>
      <c r="AL304" s="12">
        <f>SUM(AH304:AK304)</f>
        <v>0</v>
      </c>
      <c r="AM304" s="12">
        <f>AM255-AL255</f>
        <v>0</v>
      </c>
      <c r="AN304" s="12">
        <f>AN255-AM255</f>
        <v>0</v>
      </c>
      <c r="AO304" s="12">
        <f>AO255-AN255</f>
        <v>0</v>
      </c>
      <c r="AP304" s="12">
        <f>AP255-AO255</f>
        <v>0</v>
      </c>
      <c r="AQ304" s="12">
        <f>SUM(AM304:AP304)</f>
        <v>0</v>
      </c>
      <c r="AR304" s="12">
        <f>AR255-AQ255</f>
        <v>0</v>
      </c>
      <c r="AS304" s="12">
        <f>AS255-AR255</f>
        <v>0</v>
      </c>
      <c r="AT304" s="12">
        <f>AT255-AS255</f>
        <v>0</v>
      </c>
      <c r="AU304" s="12">
        <f>AU255-AT255</f>
        <v>0</v>
      </c>
      <c r="AV304" s="12">
        <f>SUM(AR304:AU304)</f>
        <v>0</v>
      </c>
      <c r="AW304" s="12">
        <f>AW255-AV255</f>
        <v>0</v>
      </c>
      <c r="AX304" s="12">
        <f>AX255-AW255</f>
        <v>0</v>
      </c>
      <c r="AY304" s="12">
        <f>AY255-AX255</f>
        <v>0</v>
      </c>
      <c r="AZ304" s="12">
        <f>AZ255-AY255</f>
        <v>0</v>
      </c>
      <c r="BA304" s="12">
        <f>SUM(AW304:AZ304)</f>
        <v>0</v>
      </c>
      <c r="BB304" s="12">
        <f>BB255-BA255</f>
        <v>0</v>
      </c>
      <c r="BC304" s="12">
        <f>BC255-BB255</f>
        <v>0</v>
      </c>
      <c r="BD304" s="12">
        <f>BD255-BC255</f>
        <v>0</v>
      </c>
      <c r="BE304" s="12">
        <f>BE255-BD255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4" t="inlineStr">
        <is>
          <t>Common stock and APIC</t>
        </is>
      </c>
      <c r="D305" s="12" t="n"/>
      <c r="E305" s="12" t="n"/>
      <c r="F305" s="12" t="n"/>
      <c r="G305" s="12" t="n"/>
      <c r="H305" s="12" t="n"/>
      <c r="I305" s="12" t="n"/>
      <c r="J305" s="12">
        <f>J256-I256</f>
        <v>0</v>
      </c>
      <c r="K305" s="12">
        <f>K256-J256</f>
        <v>0</v>
      </c>
      <c r="L305" s="12">
        <f>L256-K256</f>
        <v>0</v>
      </c>
      <c r="M305" s="12" t="n"/>
      <c r="N305" s="12">
        <f>N256-M256</f>
        <v>0</v>
      </c>
      <c r="O305" s="12">
        <f>O256-N256</f>
        <v>0</v>
      </c>
      <c r="P305" s="12">
        <f>P256-O256</f>
        <v>0</v>
      </c>
      <c r="Q305" s="12">
        <f>Q256-P256</f>
        <v>0</v>
      </c>
      <c r="R305" s="12">
        <f>SUM(N305:Q305)</f>
        <v>0</v>
      </c>
      <c r="S305" s="12">
        <f>S256-R256</f>
        <v>0</v>
      </c>
      <c r="T305" s="12">
        <f>T256-S256</f>
        <v>2000</v>
      </c>
      <c r="U305" s="12">
        <f>U256-T256</f>
        <v>0</v>
      </c>
      <c r="V305" s="12">
        <f>V256-U256</f>
        <v>0</v>
      </c>
      <c r="W305" s="12">
        <f>SUM(S305:V305)</f>
        <v>2000</v>
      </c>
      <c r="X305" s="12">
        <f>X256-W256</f>
        <v>0</v>
      </c>
      <c r="Y305" s="12">
        <f>Y256-X256</f>
        <v>0</v>
      </c>
      <c r="Z305" s="12">
        <f>Z256-Y256</f>
        <v>0</v>
      </c>
      <c r="AA305" s="12">
        <f>AA256-Z256</f>
        <v>0</v>
      </c>
      <c r="AB305" s="12">
        <f>SUM(X305:AA305)</f>
        <v>0</v>
      </c>
      <c r="AC305" s="12">
        <f>AC256-AB256</f>
        <v>0</v>
      </c>
      <c r="AD305" s="12">
        <f>AD256-AC256</f>
        <v>0</v>
      </c>
      <c r="AE305" s="12">
        <f>AE256-AD256</f>
        <v>0</v>
      </c>
      <c r="AF305" s="12">
        <f>AF256-AE256</f>
        <v>0</v>
      </c>
      <c r="AG305" s="12">
        <f>SUM(AC305:AF305)</f>
        <v>0</v>
      </c>
      <c r="AH305" s="12">
        <f>AH256-AG256</f>
        <v>0</v>
      </c>
      <c r="AI305" s="12">
        <f>AI256-AH256</f>
        <v>0</v>
      </c>
      <c r="AJ305" s="12">
        <f>AJ256-AI256</f>
        <v>0</v>
      </c>
      <c r="AK305" s="12">
        <f>AK256-AJ256</f>
        <v>0</v>
      </c>
      <c r="AL305" s="12">
        <f>SUM(AH305:AK305)</f>
        <v>0</v>
      </c>
      <c r="AM305" s="12">
        <f>AM256-AL256</f>
        <v>0</v>
      </c>
      <c r="AN305" s="12">
        <f>AN256-AM256</f>
        <v>0</v>
      </c>
      <c r="AO305" s="12">
        <f>AO256-AN256</f>
        <v>0</v>
      </c>
      <c r="AP305" s="12">
        <f>AP256-AO256</f>
        <v>0</v>
      </c>
      <c r="AQ305" s="12">
        <f>SUM(AM305:AP305)</f>
        <v>0</v>
      </c>
      <c r="AR305" s="12">
        <f>AR256-AQ256</f>
        <v>0</v>
      </c>
      <c r="AS305" s="12">
        <f>AS256-AR256</f>
        <v>0</v>
      </c>
      <c r="AT305" s="12">
        <f>AT256-AS256</f>
        <v>0</v>
      </c>
      <c r="AU305" s="12">
        <f>AU256-AT256</f>
        <v>0</v>
      </c>
      <c r="AV305" s="12">
        <f>SUM(AR305:AU305)</f>
        <v>0</v>
      </c>
      <c r="AW305" s="12">
        <f>AW256-AV256</f>
        <v>0</v>
      </c>
      <c r="AX305" s="12">
        <f>AX256-AW256</f>
        <v>0</v>
      </c>
      <c r="AY305" s="12">
        <f>AY256-AX256</f>
        <v>0</v>
      </c>
      <c r="AZ305" s="12">
        <f>AZ256-AY256</f>
        <v>0</v>
      </c>
      <c r="BA305" s="12">
        <f>SUM(AW305:AZ305)</f>
        <v>0</v>
      </c>
      <c r="BB305" s="12">
        <f>BB256-BA256</f>
        <v>0</v>
      </c>
      <c r="BC305" s="12">
        <f>BC256-BB256</f>
        <v>0</v>
      </c>
      <c r="BD305" s="12">
        <f>BD256-BC256</f>
        <v>0</v>
      </c>
      <c r="BE305" s="12">
        <f>BE256-BD256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</row>
    <row r="306">
      <c r="C306" s="14" t="inlineStr">
        <is>
          <t>Treasury stock repurchases</t>
        </is>
      </c>
      <c r="D306" s="12" t="n"/>
      <c r="E306" s="12" t="n"/>
      <c r="F306" s="12" t="n"/>
      <c r="G306" s="12" t="n"/>
      <c r="H306" s="12" t="n"/>
      <c r="I306" s="12" t="n"/>
      <c r="J306" s="12">
        <f>J269-I269</f>
        <v>0</v>
      </c>
      <c r="K306" s="12">
        <f>K269-J269</f>
        <v>0</v>
      </c>
      <c r="L306" s="12">
        <f>L269-K269</f>
        <v>0</v>
      </c>
      <c r="M306" s="12" t="n"/>
      <c r="N306" s="12">
        <f>N269-M269</f>
        <v>0</v>
      </c>
      <c r="O306" s="12">
        <f>O269-N269</f>
        <v>0</v>
      </c>
      <c r="P306" s="12">
        <f>P269-O269</f>
        <v>0</v>
      </c>
      <c r="Q306" s="12">
        <f>Q269-P269</f>
        <v>0</v>
      </c>
      <c r="R306" s="12">
        <f>SUM(N306:Q306)</f>
        <v>0</v>
      </c>
      <c r="S306" s="12">
        <f>S269-R269</f>
        <v>0</v>
      </c>
      <c r="T306" s="12">
        <f>T269-S269</f>
        <v>0</v>
      </c>
      <c r="U306" s="12">
        <f>U269-T269</f>
        <v>0</v>
      </c>
      <c r="V306" s="12">
        <f>V269-U269</f>
        <v>0</v>
      </c>
      <c r="W306" s="12">
        <f>SUM(S306:V306)</f>
        <v>0</v>
      </c>
      <c r="X306" s="12">
        <f>X269-W269</f>
        <v>0</v>
      </c>
      <c r="Y306" s="12">
        <f>Y269-X269</f>
        <v>0</v>
      </c>
      <c r="Z306" s="12">
        <f>Z269-Y269</f>
        <v>0</v>
      </c>
      <c r="AA306" s="12">
        <f>AA269-Z269</f>
        <v>0</v>
      </c>
      <c r="AB306" s="12">
        <f>SUM(X306:AA306)</f>
        <v>0</v>
      </c>
      <c r="AC306" s="12">
        <f>AC269-AB269</f>
        <v>0</v>
      </c>
      <c r="AD306" s="12">
        <f>AD269-AC269</f>
        <v>0</v>
      </c>
      <c r="AE306" s="12">
        <f>AE269-AD269</f>
        <v>0</v>
      </c>
      <c r="AF306" s="12">
        <f>AF269-AE269</f>
        <v>0</v>
      </c>
      <c r="AG306" s="12">
        <f>SUM(AC306:AF306)</f>
        <v>0</v>
      </c>
      <c r="AH306" s="12">
        <f>AH269-AG269</f>
        <v>0</v>
      </c>
      <c r="AI306" s="12">
        <f>AI269-AH269</f>
        <v>0</v>
      </c>
      <c r="AJ306" s="12">
        <f>AJ269-AI269</f>
        <v>0</v>
      </c>
      <c r="AK306" s="12">
        <f>AK269-AJ269</f>
        <v>0</v>
      </c>
      <c r="AL306" s="12">
        <f>SUM(AH306:AK306)</f>
        <v>0</v>
      </c>
      <c r="AM306" s="12">
        <f>AM269-AL269</f>
        <v>0</v>
      </c>
      <c r="AN306" s="12">
        <f>AN269-AM269</f>
        <v>0</v>
      </c>
      <c r="AO306" s="12">
        <f>AO269-AN269</f>
        <v>0</v>
      </c>
      <c r="AP306" s="12">
        <f>AP269-AO269</f>
        <v>0</v>
      </c>
      <c r="AQ306" s="12">
        <f>SUM(AM306:AP306)</f>
        <v>0</v>
      </c>
      <c r="AR306" s="12">
        <f>AR269-AQ269</f>
        <v>0</v>
      </c>
      <c r="AS306" s="12">
        <f>AS269-AR269</f>
        <v>0</v>
      </c>
      <c r="AT306" s="12">
        <f>AT269-AS269</f>
        <v>0</v>
      </c>
      <c r="AU306" s="12">
        <f>AU269-AT269</f>
        <v>0</v>
      </c>
      <c r="AV306" s="12">
        <f>SUM(AR306:AU306)</f>
        <v>0</v>
      </c>
      <c r="AW306" s="12">
        <f>AW269-AV269</f>
        <v>0</v>
      </c>
      <c r="AX306" s="12">
        <f>AX269-AW269</f>
        <v>0</v>
      </c>
      <c r="AY306" s="12">
        <f>AY269-AX269</f>
        <v>0</v>
      </c>
      <c r="AZ306" s="12">
        <f>AZ269-AY269</f>
        <v>0</v>
      </c>
      <c r="BA306" s="12">
        <f>SUM(AW306:AZ306)</f>
        <v>0</v>
      </c>
      <c r="BB306" s="12">
        <f>BB269-BA269</f>
        <v>0</v>
      </c>
      <c r="BC306" s="12">
        <f>BC269-BB269</f>
        <v>0</v>
      </c>
      <c r="BD306" s="12">
        <f>BD269-BC269</f>
        <v>0</v>
      </c>
      <c r="BE306" s="12">
        <f>BE269-BD269</f>
        <v>0</v>
      </c>
      <c r="BF306" s="12">
        <f>SUM(BB306:BE306)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inlineStr">
        <is>
          <t>Comprehensive accumulated loss</t>
        </is>
      </c>
      <c r="D307" s="12" t="n"/>
      <c r="E307" s="12" t="n"/>
      <c r="F307" s="12" t="n"/>
      <c r="G307" s="12" t="n"/>
      <c r="H307" s="12" t="n"/>
      <c r="I307" s="12" t="n"/>
      <c r="J307" s="12">
        <f>J270-I270</f>
        <v>-0.0619999999999976</v>
      </c>
      <c r="K307" s="12">
        <f>K270-J270</f>
        <v>-0.0530000000000008</v>
      </c>
      <c r="L307" s="12">
        <f>L270-K270</f>
        <v>45.259</v>
      </c>
      <c r="M307" s="12" t="n"/>
      <c r="N307" s="12">
        <f>N270-M270</f>
        <v>-0.0420000000000016</v>
      </c>
      <c r="O307" s="12">
        <f>O270-N270</f>
        <v>-0.0429999999999922</v>
      </c>
      <c r="P307" s="12">
        <f>P270-O270</f>
        <v>-0.0210000000000008</v>
      </c>
      <c r="Q307" s="12">
        <f>Q270-P270</f>
        <v>146.334</v>
      </c>
      <c r="R307" s="12">
        <f>SUM(N307:Q307)</f>
        <v>146.228</v>
      </c>
      <c r="S307" s="12">
        <f>S270-R270</f>
        <v>-0.0159999999999911</v>
      </c>
      <c r="T307" s="12">
        <f>T270-S270</f>
        <v>-0.0300000000000011</v>
      </c>
      <c r="U307" s="12">
        <f>U270-T270</f>
        <v>-0.0260000000000105</v>
      </c>
      <c r="V307" s="12">
        <f>V270-U270</f>
        <v>-29.902</v>
      </c>
      <c r="W307" s="12">
        <f>SUM(S307:V307)</f>
        <v>-29.974</v>
      </c>
      <c r="X307" s="12">
        <f>X270-W270</f>
        <v>-0.0250000000000057</v>
      </c>
      <c r="Y307" s="12">
        <f>Y270-X270</f>
        <v>-0.0660000000000025</v>
      </c>
      <c r="Z307" s="12">
        <f>Z270-Y270</f>
        <v>-0.0260000000000105</v>
      </c>
      <c r="AA307" s="12">
        <f>AA270-Z270</f>
        <v>1.39500000000001</v>
      </c>
      <c r="AB307" s="12">
        <f>SUM(X307:AA307)</f>
        <v>1.27799999999999</v>
      </c>
      <c r="AC307" s="12">
        <f>AC270-AB270</f>
        <v>-0.0660000000000025</v>
      </c>
      <c r="AD307" s="12">
        <f>AD270-AC270</f>
        <v>-0.0219999999999914</v>
      </c>
      <c r="AE307" s="12">
        <f>AE270-AD270</f>
        <v>-0.0440000000000111</v>
      </c>
      <c r="AF307" s="12">
        <f>AF270-AE270</f>
        <v>29.16</v>
      </c>
      <c r="AG307" s="12">
        <f>SUM(AC307:AF307)</f>
        <v>29.028</v>
      </c>
      <c r="AH307" s="12">
        <f>AH270-AG270</f>
        <v>-0.0409999999999968</v>
      </c>
      <c r="AI307" s="12">
        <f>AI270-AH270</f>
        <v>-0.0509999999999877</v>
      </c>
      <c r="AJ307" s="12">
        <f>AJ270-AI270</f>
        <v>0</v>
      </c>
      <c r="AK307" s="12">
        <f>AK270-AJ270</f>
        <v>0</v>
      </c>
      <c r="AL307" s="12">
        <f>SUM(AH307:AK307)</f>
        <v>-0.0919999999999845</v>
      </c>
      <c r="AM307" s="12">
        <f>AM270-AL270</f>
        <v>0</v>
      </c>
      <c r="AN307" s="12">
        <f>AN270-AM270</f>
        <v>0</v>
      </c>
      <c r="AO307" s="12">
        <f>AO270-AN270</f>
        <v>0</v>
      </c>
      <c r="AP307" s="12">
        <f>AP270-AO270</f>
        <v>0</v>
      </c>
      <c r="AQ307" s="12">
        <f>SUM(AM307:AP307)</f>
        <v>0</v>
      </c>
      <c r="AR307" s="12">
        <f>AR270-AQ270</f>
        <v>0</v>
      </c>
      <c r="AS307" s="12">
        <f>AS270-AR270</f>
        <v>0</v>
      </c>
      <c r="AT307" s="12">
        <f>AT270-AS270</f>
        <v>0</v>
      </c>
      <c r="AU307" s="12">
        <f>AU270-AT270</f>
        <v>0</v>
      </c>
      <c r="AV307" s="12">
        <f>SUM(AR307:AU307)</f>
        <v>0</v>
      </c>
      <c r="AW307" s="12">
        <f>AW270-AV270</f>
        <v>0</v>
      </c>
      <c r="AX307" s="12">
        <f>AX270-AW270</f>
        <v>0</v>
      </c>
      <c r="AY307" s="12">
        <f>AY270-AX270</f>
        <v>0</v>
      </c>
      <c r="AZ307" s="12">
        <f>AZ270-AY270</f>
        <v>0</v>
      </c>
      <c r="BA307" s="12">
        <f>SUM(AW307:AZ307)</f>
        <v>0</v>
      </c>
      <c r="BB307" s="12">
        <f>BB270-BA270</f>
        <v>0</v>
      </c>
      <c r="BC307" s="12">
        <f>BC270-BB270</f>
        <v>0</v>
      </c>
      <c r="BD307" s="12">
        <f>BD270-BC270</f>
        <v>0</v>
      </c>
      <c r="BE307" s="12">
        <f>BE270-BD270</f>
        <v>0</v>
      </c>
      <c r="BF307" s="12">
        <f>SUM(BB307:BE307)</f>
        <v>0</v>
      </c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Other equity account</t>
        </is>
      </c>
      <c r="D308" s="12" t="n"/>
      <c r="E308" s="12" t="n"/>
      <c r="F308" s="12" t="n"/>
      <c r="G308" s="12" t="n"/>
      <c r="H308" s="12" t="n"/>
      <c r="I308" s="12" t="n"/>
      <c r="J308" s="12">
        <f>J271-I271</f>
        <v>-61.4549999999999</v>
      </c>
      <c r="K308" s="12">
        <f>K271-J271</f>
        <v>-1.26999999999998</v>
      </c>
      <c r="L308" s="12">
        <f>L271-K271</f>
        <v>902.058</v>
      </c>
      <c r="M308" s="12" t="n"/>
      <c r="N308" s="12">
        <f>N271-M271</f>
        <v>-1.21799999999985</v>
      </c>
      <c r="O308" s="12">
        <f>O271-N271</f>
        <v>-65.0010000000002</v>
      </c>
      <c r="P308" s="12">
        <f>P271-O271</f>
        <v>-1.08300000000008</v>
      </c>
      <c r="Q308" s="12">
        <f>Q271-P271</f>
        <v>881.619</v>
      </c>
      <c r="R308" s="12">
        <f>SUM(N308:Q308)</f>
        <v>814.317</v>
      </c>
      <c r="S308" s="12">
        <f>S271-R271</f>
        <v>-1.06099999999969</v>
      </c>
      <c r="T308" s="12">
        <f>T271-S271</f>
        <v>-2160.221</v>
      </c>
      <c r="U308" s="12">
        <f>U271-T271</f>
        <v>-1.05700000000024</v>
      </c>
      <c r="V308" s="12">
        <f>V271-U271</f>
        <v>1149.626</v>
      </c>
      <c r="W308" s="12">
        <f>SUM(S308:V308)</f>
        <v>-1012.713</v>
      </c>
      <c r="X308" s="12">
        <f>X271-W271</f>
        <v>-1.03400000000011</v>
      </c>
      <c r="Y308" s="12">
        <f>Y271-X271</f>
        <v>-96.377</v>
      </c>
      <c r="Z308" s="12">
        <f>Z271-Y271</f>
        <v>-1.00399999999991</v>
      </c>
      <c r="AA308" s="12">
        <f>AA271-Z271</f>
        <v>1181.644</v>
      </c>
      <c r="AB308" s="12">
        <f>SUM(X308:AA308)</f>
        <v>1083.229</v>
      </c>
      <c r="AC308" s="12">
        <f>AC271-AB271</f>
        <v>-0.976000000000568</v>
      </c>
      <c r="AD308" s="12">
        <f>AD271-AC271</f>
        <v>-96.8230000000003</v>
      </c>
      <c r="AE308" s="12">
        <f>AE271-AD271</f>
        <v>-0.953999999999724</v>
      </c>
      <c r="AF308" s="12">
        <f>AF271-AE271</f>
        <v>1588.799</v>
      </c>
      <c r="AG308" s="12">
        <f>SUM(AC308:AF308)</f>
        <v>1490.046</v>
      </c>
      <c r="AH308" s="12">
        <f>AH271-AG271</f>
        <v>-0.898999999999433</v>
      </c>
      <c r="AI308" s="12">
        <f>AI271-AH271</f>
        <v>-92.326</v>
      </c>
      <c r="AJ308" s="12">
        <f>AJ271-AI271</f>
        <v>0</v>
      </c>
      <c r="AK308" s="12">
        <f>AK271-AJ271</f>
        <v>0</v>
      </c>
      <c r="AL308" s="12">
        <f>SUM(AH308:AK308)</f>
        <v>-93.2249999999995</v>
      </c>
      <c r="AM308" s="12">
        <f>AM271-AL271</f>
        <v>0</v>
      </c>
      <c r="AN308" s="12">
        <f>AN271-AM271</f>
        <v>0</v>
      </c>
      <c r="AO308" s="12">
        <f>AO271-AN271</f>
        <v>0</v>
      </c>
      <c r="AP308" s="12">
        <f>AP271-AO271</f>
        <v>0</v>
      </c>
      <c r="AQ308" s="12">
        <f>SUM(AM308:AP308)</f>
        <v>0</v>
      </c>
      <c r="AR308" s="12">
        <f>AR271-AQ271</f>
        <v>0</v>
      </c>
      <c r="AS308" s="12">
        <f>AS271-AR271</f>
        <v>0</v>
      </c>
      <c r="AT308" s="12">
        <f>AT271-AS271</f>
        <v>0</v>
      </c>
      <c r="AU308" s="12">
        <f>AU271-AT271</f>
        <v>0</v>
      </c>
      <c r="AV308" s="12">
        <f>SUM(AR308:AU308)</f>
        <v>0</v>
      </c>
      <c r="AW308" s="12">
        <f>AW271-AV271</f>
        <v>0</v>
      </c>
      <c r="AX308" s="12">
        <f>AX271-AW271</f>
        <v>0</v>
      </c>
      <c r="AY308" s="12">
        <f>AY271-AX271</f>
        <v>0</v>
      </c>
      <c r="AZ308" s="12">
        <f>AZ271-AY271</f>
        <v>0</v>
      </c>
      <c r="BA308" s="12">
        <f>SUM(AW308:AZ308)</f>
        <v>0</v>
      </c>
      <c r="BB308" s="12">
        <f>BB271-BA271</f>
        <v>0</v>
      </c>
      <c r="BC308" s="12">
        <f>BC271-BB271</f>
        <v>0</v>
      </c>
      <c r="BD308" s="12">
        <f>BD271-BC271</f>
        <v>0</v>
      </c>
      <c r="BE308" s="12">
        <f>BE271-BD271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0" t="inlineStr">
        <is>
          <t>Common and preferred dividends</t>
        </is>
      </c>
      <c r="D309" s="12" t="n"/>
      <c r="E309" s="12" t="n"/>
      <c r="F309" s="12" t="n"/>
      <c r="G309" s="12" t="n"/>
      <c r="H309" s="12" t="n"/>
      <c r="I309" s="12" t="n"/>
      <c r="J309" s="12">
        <f>(J272-I272)-J279</f>
        <v>-149.65</v>
      </c>
      <c r="K309" s="12">
        <f>(K272-J272)-K279</f>
        <v>1.32300000000009</v>
      </c>
      <c r="L309" s="12">
        <f>(L272-K272)-L279</f>
        <v>-1030.602</v>
      </c>
      <c r="M309" s="12" t="n"/>
      <c r="N309" s="12">
        <f>(N272-M272)-N279</f>
        <v>1.25999999999999</v>
      </c>
      <c r="O309" s="12">
        <f>(O272-N272)-O279</f>
        <v>-153.043</v>
      </c>
      <c r="P309" s="12">
        <f>(P272-O272)-P279</f>
        <v>1.1040000000001</v>
      </c>
      <c r="Q309" s="12">
        <f>(Q272-P272)-Q279</f>
        <v>-1000.859</v>
      </c>
      <c r="R309" s="12">
        <f>SUM(N309:Q309)</f>
        <v>-1151.538</v>
      </c>
      <c r="S309" s="12">
        <f>(S272-R272)-S279</f>
        <v>1.07699999999994</v>
      </c>
      <c r="T309" s="12">
        <f>(T272-S272)-T279</f>
        <v>-267.745</v>
      </c>
      <c r="U309" s="12">
        <f>(U272-T272)-U279</f>
        <v>1.08299999999991</v>
      </c>
      <c r="V309" s="12">
        <f>(V272-U272)-V279</f>
        <v>-1237.778</v>
      </c>
      <c r="W309" s="12">
        <f>SUM(S309:V309)</f>
        <v>-1503.363</v>
      </c>
      <c r="X309" s="12">
        <f>(X272-W272)-X279</f>
        <v>1.05900000000008</v>
      </c>
      <c r="Y309" s="12">
        <f>(Y272-X272)-Y279</f>
        <v>-222.903</v>
      </c>
      <c r="Z309" s="12">
        <f>(Z272-Y272)-Z279</f>
        <v>1.02999999999997</v>
      </c>
      <c r="AA309" s="12">
        <f>(AA272-Z272)-AA279</f>
        <v>-1324.533</v>
      </c>
      <c r="AB309" s="12">
        <f>SUM(X309:AA309)</f>
        <v>-1545.347</v>
      </c>
      <c r="AC309" s="12">
        <f>(AC272-AB272)-AC279</f>
        <v>1.04200000000037</v>
      </c>
      <c r="AD309" s="12">
        <f>(AD272-AC272)-AD279</f>
        <v>-419.397</v>
      </c>
      <c r="AE309" s="12">
        <f>(AE272-AD272)-AE279</f>
        <v>0.997999999999763</v>
      </c>
      <c r="AF309" s="12">
        <f>(AF272-AE272)-AF279</f>
        <v>-1662.211</v>
      </c>
      <c r="AG309" s="12">
        <f>SUM(AC309:AF309)</f>
        <v>-2079.568</v>
      </c>
      <c r="AH309" s="12">
        <f>(AH272-AG272)-AH279</f>
        <v>0.939999999999941</v>
      </c>
      <c r="AI309" s="12">
        <f>(AI272-AH272)-AI279</f>
        <v>0.946999999999946</v>
      </c>
      <c r="AJ309" s="12">
        <f>(AJ272-AI272)-AJ279</f>
        <v>0</v>
      </c>
      <c r="AK309" s="12">
        <f>(AK272-AJ272)-AK279</f>
        <v>0</v>
      </c>
      <c r="AL309" s="12">
        <f>SUM(AH309:AK309)</f>
        <v>1.88699999999989</v>
      </c>
      <c r="AM309" s="12">
        <f>(AM272-AL272)-AM279</f>
        <v>0</v>
      </c>
      <c r="AN309" s="12">
        <f>(AN272-AM272)-AN279</f>
        <v>0</v>
      </c>
      <c r="AO309" s="12">
        <f>(AO272-AN272)-AO279</f>
        <v>0</v>
      </c>
      <c r="AP309" s="12">
        <f>(AP272-AO272)-AP279</f>
        <v>0</v>
      </c>
      <c r="AQ309" s="12">
        <f>SUM(AM309:AP309)</f>
        <v>0</v>
      </c>
      <c r="AR309" s="12">
        <f>(AR272-AQ272)-AR279</f>
        <v>0</v>
      </c>
      <c r="AS309" s="12">
        <f>(AS272-AR272)-AS279</f>
        <v>0</v>
      </c>
      <c r="AT309" s="12">
        <f>(AT272-AS272)-AT279</f>
        <v>0</v>
      </c>
      <c r="AU309" s="12">
        <f>(AU272-AT272)-AU279</f>
        <v>0</v>
      </c>
      <c r="AV309" s="12">
        <f>SUM(AR309:AU309)</f>
        <v>0</v>
      </c>
      <c r="AW309" s="12">
        <f>(AW272-AV272)-AW279</f>
        <v>0</v>
      </c>
      <c r="AX309" s="12">
        <f>(AX272-AW272)-AX279</f>
        <v>0</v>
      </c>
      <c r="AY309" s="12">
        <f>(AY272-AX272)-AY279</f>
        <v>0</v>
      </c>
      <c r="AZ309" s="12">
        <f>(AZ272-AY272)-AZ279</f>
        <v>0</v>
      </c>
      <c r="BA309" s="12">
        <f>SUM(AW309:AZ309)</f>
        <v>0</v>
      </c>
      <c r="BB309" s="12">
        <f>(BB272-BA272)-BB279</f>
        <v>0</v>
      </c>
      <c r="BC309" s="12">
        <f>(BC272-BB272)-BC279</f>
        <v>0</v>
      </c>
      <c r="BD309" s="12">
        <f>(BD272-BC272)-BD279</f>
        <v>0</v>
      </c>
      <c r="BE309" s="12">
        <f>(BE272-BD272)-BE279</f>
        <v>0</v>
      </c>
      <c r="BF309" s="12">
        <f>SUM(BB309:BE309)</f>
        <v>0</v>
      </c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Dividends to minority interests</t>
        </is>
      </c>
      <c r="D310" s="12" t="n"/>
      <c r="E310" s="12" t="n"/>
      <c r="F310" s="12" t="n"/>
      <c r="G310" s="12" t="n"/>
      <c r="H310" s="12" t="n"/>
      <c r="I310" s="12" t="n"/>
      <c r="J310" s="12">
        <f>(J250-I250)+J138</f>
        <v>0</v>
      </c>
      <c r="K310" s="12">
        <f>(K250-J250)+K138</f>
        <v>0</v>
      </c>
      <c r="L310" s="12">
        <f>(L250-K250)+L138</f>
        <v>0</v>
      </c>
      <c r="M310" s="12" t="n"/>
      <c r="N310" s="12">
        <f>(N250-M250)+N138</f>
        <v>0</v>
      </c>
      <c r="O310" s="12">
        <f>(O250-N250)+O138</f>
        <v>0</v>
      </c>
      <c r="P310" s="12">
        <f>(P250-O250)+P138</f>
        <v>0</v>
      </c>
      <c r="Q310" s="12">
        <f>(Q250-P250)+Q138</f>
        <v>0</v>
      </c>
      <c r="R310" s="12">
        <f>SUM(N310:Q310)</f>
        <v>0</v>
      </c>
      <c r="S310" s="12">
        <f>(S250-R250)+S138</f>
        <v>0</v>
      </c>
      <c r="T310" s="12">
        <f>(T250-S250)+T138</f>
        <v>0</v>
      </c>
      <c r="U310" s="12">
        <f>(U250-T250)+U138</f>
        <v>0</v>
      </c>
      <c r="V310" s="12">
        <f>(V250-U250)+V138</f>
        <v>0</v>
      </c>
      <c r="W310" s="12">
        <f>SUM(S310:V310)</f>
        <v>0</v>
      </c>
      <c r="X310" s="12">
        <f>(X250-W250)+X138</f>
        <v>0</v>
      </c>
      <c r="Y310" s="12">
        <f>(Y250-X250)+Y138</f>
        <v>0</v>
      </c>
      <c r="Z310" s="12">
        <f>(Z250-Y250)+Z138</f>
        <v>0</v>
      </c>
      <c r="AA310" s="12">
        <f>(AA250-Z250)+AA138</f>
        <v>0</v>
      </c>
      <c r="AB310" s="12">
        <f>SUM(X310:AA310)</f>
        <v>0</v>
      </c>
      <c r="AC310" s="12">
        <f>(AC250-AB250)+AC138</f>
        <v>0</v>
      </c>
      <c r="AD310" s="12">
        <f>(AD250-AC250)+AD138</f>
        <v>0</v>
      </c>
      <c r="AE310" s="12">
        <f>(AE250-AD250)+AE138</f>
        <v>0</v>
      </c>
      <c r="AF310" s="12">
        <f>(AF250-AE250)+AF138</f>
        <v>0</v>
      </c>
      <c r="AG310" s="12">
        <f>SUM(AC310:AF310)</f>
        <v>0</v>
      </c>
      <c r="AH310" s="12">
        <f>(AH250-AG250)+AH138</f>
        <v>0</v>
      </c>
      <c r="AI310" s="12">
        <f>(AI250-AH250)+AI138</f>
        <v>0</v>
      </c>
      <c r="AJ310" s="12">
        <f>(AJ250-AI250)+AJ138</f>
        <v>0</v>
      </c>
      <c r="AK310" s="12">
        <f>(AK250-AJ250)+AK138</f>
        <v>0</v>
      </c>
      <c r="AL310" s="12">
        <f>SUM(AH310:AK310)</f>
        <v>0</v>
      </c>
      <c r="AM310" s="12">
        <f>(AM250-AL250)+AM138</f>
        <v>0</v>
      </c>
      <c r="AN310" s="12">
        <f>(AN250-AM250)+AN138</f>
        <v>0</v>
      </c>
      <c r="AO310" s="12">
        <f>(AO250-AN250)+AO138</f>
        <v>0</v>
      </c>
      <c r="AP310" s="12">
        <f>(AP250-AO250)+AP138</f>
        <v>0</v>
      </c>
      <c r="AQ310" s="12">
        <f>SUM(AM310:AP310)</f>
        <v>0</v>
      </c>
      <c r="AR310" s="12">
        <f>(AR250-AQ250)+AR138</f>
        <v>0</v>
      </c>
      <c r="AS310" s="12">
        <f>(AS250-AR250)+AS138</f>
        <v>0</v>
      </c>
      <c r="AT310" s="12">
        <f>(AT250-AS250)+AT138</f>
        <v>0</v>
      </c>
      <c r="AU310" s="12">
        <f>(AU250-AT250)+AU138</f>
        <v>0</v>
      </c>
      <c r="AV310" s="12">
        <f>SUM(AR310:AU310)</f>
        <v>0</v>
      </c>
      <c r="AW310" s="12">
        <f>(AW250-AV250)+AW138</f>
        <v>0</v>
      </c>
      <c r="AX310" s="12">
        <f>(AX250-AW250)+AX138</f>
        <v>0</v>
      </c>
      <c r="AY310" s="12">
        <f>(AY250-AX250)+AY138</f>
        <v>0</v>
      </c>
      <c r="AZ310" s="12">
        <f>(AZ250-AY250)+AZ138</f>
        <v>0</v>
      </c>
      <c r="BA310" s="12">
        <f>SUM(AW310:AZ310)</f>
        <v>0</v>
      </c>
      <c r="BB310" s="12">
        <f>(BB250-BA250)+BB138</f>
        <v>0</v>
      </c>
      <c r="BC310" s="12">
        <f>(BC250-BB250)+BC138</f>
        <v>0</v>
      </c>
      <c r="BD310" s="12">
        <f>(BD250-BC250)+BD138</f>
        <v>0</v>
      </c>
      <c r="BE310" s="12">
        <f>(BE250-BD250)+BE138</f>
        <v>0</v>
      </c>
      <c r="BF310" s="12">
        <f>SUM(BB310:BE310)</f>
        <v>0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15" t="inlineStr">
        <is>
          <t>Increases / (decreases) in debt</t>
        </is>
      </c>
      <c r="D311" s="12" t="n"/>
      <c r="E311" s="12" t="n"/>
      <c r="F311" s="12" t="n"/>
      <c r="G311" s="12" t="n"/>
      <c r="H311" s="12" t="n"/>
      <c r="I311" s="12" t="n"/>
      <c r="J311" s="12">
        <f>SUM(J214:J216,J219,J240,J237)-SUM(I214:I216,I219,I240,I237)</f>
        <v>-65.3800000000001</v>
      </c>
      <c r="K311" s="12">
        <f>SUM(K214:K216,K219,K240,K237)-SUM(J214:J216,J219,J240,J237)</f>
        <v>22.8910000000001</v>
      </c>
      <c r="L311" s="12">
        <f>SUM(L214:L216,L219,L240,L237)-SUM(K214:K216,K219,K240,K237)</f>
        <v>61.5330000000008</v>
      </c>
      <c r="M311" s="12" t="n"/>
      <c r="N311" s="12">
        <f>SUM(N214:N216,N219,N240,N237)-SUM(M214:M216,M219,M240,M237)</f>
        <v>616.170999999999</v>
      </c>
      <c r="O311" s="12">
        <f>SUM(O214:O216,O219,O240,O237)-SUM(N214:N216,N219,N240,N237)</f>
        <v>92.6940000000004</v>
      </c>
      <c r="P311" s="12">
        <f>SUM(P214:P216,P219,P240,P237)-SUM(O214:O216,O219,O240,O237)</f>
        <v>79.8130000000001</v>
      </c>
      <c r="Q311" s="12">
        <f>SUM(Q214:Q216,Q219,Q240,Q237)-SUM(P214:P216,P219,P240,P237)</f>
        <v>174.000999999999</v>
      </c>
      <c r="R311" s="12">
        <f>SUM(N311:Q311)</f>
        <v>962.678999999999</v>
      </c>
      <c r="S311" s="12">
        <f>SUM(S214:S216,S219,S240,S237)-SUM(R214:R216,R219,R240,R237)</f>
        <v>95.5749999999998</v>
      </c>
      <c r="T311" s="12">
        <f>SUM(T214:T216,T219,T240,T237)-SUM(S214:S216,S219,S240,S237)</f>
        <v>435.583000000001</v>
      </c>
      <c r="U311" s="12">
        <f>SUM(U214:U216,U219,U240,U237)-SUM(T214:T216,T219,T240,T237)</f>
        <v>62.8940000000002</v>
      </c>
      <c r="V311" s="12">
        <f>SUM(V214:V216,V219,V240,V237)-SUM(U214:U216,U219,U240,U237)</f>
        <v>100.364</v>
      </c>
      <c r="W311" s="12">
        <f>SUM(S311:V311)</f>
        <v>694.416</v>
      </c>
      <c r="X311" s="12">
        <f>SUM(X214:X216,X219,X240,X237)-SUM(W214:W216,W219,W240,W237)</f>
        <v>617.833000000001</v>
      </c>
      <c r="Y311" s="12">
        <f>SUM(Y214:Y216,Y219,Y240,Y237)-SUM(X214:X216,X219,X240,X237)</f>
        <v>-10.1940000000004</v>
      </c>
      <c r="Z311" s="12">
        <f>SUM(Z214:Z216,Z219,Z240,Z237)-SUM(Y214:Y216,Y219,Y240,Y237)</f>
        <v>73.4499999999998</v>
      </c>
      <c r="AA311" s="12">
        <f>SUM(AA214:AA216,AA219,AA240,AA237)-SUM(Z214:Z216,Z219,Z240,Z237)</f>
        <v>172.586</v>
      </c>
      <c r="AB311" s="12">
        <f>SUM(X311:AA311)</f>
        <v>853.675</v>
      </c>
      <c r="AC311" s="12">
        <f>SUM(AC214:AC216,AC219,AC240,AC237)-SUM(AB214:AB216,AB219,AB240,AB237)</f>
        <v>-22.0920000000006</v>
      </c>
      <c r="AD311" s="12">
        <f>SUM(AD214:AD216,AD219,AD240,AD237)-SUM(AC214:AC216,AC219,AC240,AC237)</f>
        <v>88.8290000000006</v>
      </c>
      <c r="AE311" s="12">
        <f>SUM(AE214:AE216,AE219,AE240,AE237)-SUM(AD214:AD216,AD219,AD240,AD237)</f>
        <v>557.633</v>
      </c>
      <c r="AF311" s="12">
        <f>SUM(AF214:AF216,AF219,AF240,AF237)-SUM(AE214:AE216,AE219,AE240,AE237)</f>
        <v>136.959</v>
      </c>
      <c r="AG311" s="12">
        <f>SUM(AC311:AF311)</f>
        <v>761.329</v>
      </c>
      <c r="AH311" s="12">
        <f>SUM(AH214:AH216,AH219,AH240,AH237)-SUM(AG214:AG216,AG219,AG240,AG237)</f>
        <v>-111.801</v>
      </c>
      <c r="AI311" s="12">
        <f>SUM(AI214:AI216,AI219,AI240,AI237)-SUM(AH214:AH216,AH219,AH240,AH237)</f>
        <v>-30.835</v>
      </c>
      <c r="AJ311" s="12">
        <f>SUM(AJ214:AJ216,AJ219,AJ240,AJ237)-SUM(AI214:AI216,AI219,AI240,AI237)</f>
        <v>0</v>
      </c>
      <c r="AK311" s="12">
        <f>SUM(AK214:AK216,AK219,AK240,AK237)-SUM(AJ214:AJ216,AJ219,AJ240,AJ237)</f>
        <v>0</v>
      </c>
      <c r="AL311" s="12">
        <f>SUM(AH311:AK311)</f>
        <v>-142.636</v>
      </c>
      <c r="AM311" s="12">
        <f>SUM(AM214:AM216,AM219,AM240,AM237)-SUM(AL214:AL216,AL219,AL240,AL237)</f>
        <v>0</v>
      </c>
      <c r="AN311" s="12">
        <f>SUM(AN214:AN216,AN219,AN240,AN237)-SUM(AM214:AM216,AM219,AM240,AM237)</f>
        <v>0</v>
      </c>
      <c r="AO311" s="12">
        <f>SUM(AO214:AO216,AO219,AO240,AO237)-SUM(AN214:AN216,AN219,AN240,AN237)</f>
        <v>0</v>
      </c>
      <c r="AP311" s="12">
        <f>SUM(AP214:AP216,AP219,AP240,AP237)-SUM(AO214:AO216,AO219,AO240,AO237)</f>
        <v>0</v>
      </c>
      <c r="AQ311" s="12">
        <f>SUM(AM311:AP311)</f>
        <v>0</v>
      </c>
      <c r="AR311" s="12">
        <f>SUM(AR214:AR216,AR219,AR240,AR237)-SUM(AQ214:AQ216,AQ219,AQ240,AQ237)</f>
        <v>0</v>
      </c>
      <c r="AS311" s="12">
        <f>SUM(AS214:AS216,AS219,AS240,AS237)-SUM(AR214:AR216,AR219,AR240,AR237)</f>
        <v>0</v>
      </c>
      <c r="AT311" s="12">
        <f>SUM(AT214:AT216,AT219,AT240,AT237)-SUM(AS214:AS216,AS219,AS240,AS237)</f>
        <v>0</v>
      </c>
      <c r="AU311" s="12">
        <f>SUM(AU214:AU216,AU219,AU240,AU237)-SUM(AT214:AT216,AT219,AT240,AT237)</f>
        <v>0</v>
      </c>
      <c r="AV311" s="12">
        <f>SUM(AR311:AU311)</f>
        <v>0</v>
      </c>
      <c r="AW311" s="12">
        <f>SUM(AW214:AW216,AW219,AW240,AW237)-SUM(AV214:AV216,AV219,AV240,AV237)</f>
        <v>0</v>
      </c>
      <c r="AX311" s="12">
        <f>SUM(AX214:AX216,AX219,AX240,AX237)-SUM(AW214:AW216,AW219,AW240,AW237)</f>
        <v>0</v>
      </c>
      <c r="AY311" s="12">
        <f>SUM(AY214:AY216,AY219,AY240,AY237)-SUM(AX214:AX216,AX219,AX240,AX237)</f>
        <v>0</v>
      </c>
      <c r="AZ311" s="12">
        <f>SUM(AZ214:AZ216,AZ219,AZ240,AZ237)-SUM(AY214:AY216,AY219,AY240,AY237)</f>
        <v>0</v>
      </c>
      <c r="BA311" s="12">
        <f>SUM(AW311:AZ311)</f>
        <v>0</v>
      </c>
      <c r="BB311" s="12">
        <f>SUM(BB214:BB216,BB219,BB240,BB237)-SUM(BA214:BA216,BA219,BA240,BA237)</f>
        <v>0</v>
      </c>
      <c r="BC311" s="12">
        <f>SUM(BC214:BC216,BC219,BC240,BC237)-SUM(BB214:BB216,BB219,BB240,BB237)</f>
        <v>0</v>
      </c>
      <c r="BD311" s="12">
        <f>SUM(BD214:BD216,BD219,BD240,BD237)-SUM(BC214:BC216,BC219,BC240,BC237)</f>
        <v>0</v>
      </c>
      <c r="BE311" s="12">
        <f>SUM(BE214:BE216,BE219,BE240,BE237)-SUM(BD214:BD216,BD219,BD240,BD237)</f>
        <v>0</v>
      </c>
      <c r="BF311" s="12">
        <f>SUM(BB311:BE311)</f>
        <v>0</v>
      </c>
      <c r="BG311" s="12" t="n"/>
      <c r="BH311" s="12" t="n"/>
      <c r="BI311" s="12" t="n"/>
      <c r="BJ311" s="12" t="n"/>
      <c r="BK311" s="12" t="n"/>
      <c r="BL311" s="12" t="n"/>
      <c r="BM311" s="12" t="n"/>
      <c r="BN311" s="12" t="n"/>
      <c r="BO311" s="12" t="n"/>
      <c r="BP311" s="12" t="n"/>
      <c r="BQ311" s="12" t="n"/>
      <c r="BR311" s="12" t="n"/>
      <c r="BS311" s="12" t="n"/>
      <c r="BT311" s="12" t="n"/>
      <c r="BU311" s="12" t="n"/>
      <c r="BV311" s="12" t="n"/>
      <c r="BW311" s="12" t="n"/>
      <c r="BX311" s="12" t="n"/>
      <c r="BY311" s="12" t="n"/>
      <c r="BZ311" s="12" t="n"/>
      <c r="CA311" s="12" t="n"/>
      <c r="CB311" s="12" t="n"/>
      <c r="CC311" s="12" t="n"/>
      <c r="CD311" s="12" t="n"/>
      <c r="CE311" s="12" t="n"/>
      <c r="CF311" s="12" t="n"/>
      <c r="CG311" s="12" t="n"/>
      <c r="CH311" s="12" t="n"/>
      <c r="CI311" s="12" t="n"/>
      <c r="CJ311" s="12" t="n"/>
      <c r="CK311" s="12" t="n"/>
      <c r="CL311" s="12" t="n"/>
      <c r="CM311" s="12" t="n"/>
      <c r="CN311" s="12" t="n"/>
      <c r="CO311" s="12" t="n"/>
      <c r="CP311" s="12" t="n"/>
      <c r="CQ311" s="12" t="n"/>
      <c r="CR311" s="12" t="n"/>
      <c r="CS311" s="12" t="n"/>
      <c r="CT311" s="12" t="n"/>
      <c r="CU311" s="12" t="n"/>
      <c r="CV311" s="12" t="n"/>
      <c r="CW311" s="12" t="n"/>
      <c r="CX311" s="12" t="n"/>
      <c r="CY311" s="12" t="n"/>
      <c r="CZ311" s="12" t="n"/>
      <c r="DA311" s="12" t="n"/>
      <c r="DB311" s="12" t="n"/>
      <c r="DC311" s="12" t="n"/>
    </row>
    <row r="312">
      <c r="C312" s="14" t="inlineStr">
        <is>
          <t>Cash from financing</t>
        </is>
      </c>
      <c r="D312" s="12" t="n"/>
      <c r="E312" s="12" t="n"/>
      <c r="F312" s="12" t="n"/>
      <c r="G312" s="12" t="n"/>
      <c r="H312" s="12" t="n"/>
      <c r="I312" s="12" t="n"/>
      <c r="J312" s="12">
        <f>SUM(J304,J305,J306,J307,J308,J309,J310,J311)</f>
        <v>-276.547</v>
      </c>
      <c r="K312" s="12">
        <f>SUM(K304,K305,K306,K307,K308,K309,K310,K311)</f>
        <v>22.8910000000002</v>
      </c>
      <c r="L312" s="12">
        <f>SUM(L304,L305,L306,L307,L308,L309,L310,L311)</f>
        <v>-21.7519999999991</v>
      </c>
      <c r="M312" s="12" t="n"/>
      <c r="N312" s="12">
        <f>SUM(N304,N305,N306,N307,N308,N309,N310,N311)</f>
        <v>616.171</v>
      </c>
      <c r="O312" s="12">
        <f>SUM(O304,O305,O306,O307,O308,O309,O310,O311)</f>
        <v>-125.393</v>
      </c>
      <c r="P312" s="12">
        <f>SUM(P304,P305,P306,P307,P308,P309,P310,P311)</f>
        <v>79.8130000000001</v>
      </c>
      <c r="Q312" s="12">
        <f>SUM(Q304,Q305,Q306,Q307,Q308,Q309,Q310,Q311)</f>
        <v>201.094999999999</v>
      </c>
      <c r="R312" s="12">
        <f>SUM(R304,R305,R306,R307,R308,R309,R310,R311)</f>
        <v>771.685999999999</v>
      </c>
      <c r="S312" s="12">
        <f>SUM(S304,S305,S306,S307,S308,S309,S310,S311)</f>
        <v>95.5750000000001</v>
      </c>
      <c r="T312" s="12">
        <f>SUM(T304,T305,T306,T307,T308,T309,T310,T311)</f>
        <v>7.58700000000002</v>
      </c>
      <c r="U312" s="12">
        <f>SUM(U304,U305,U306,U307,U308,U309,U310,U311)</f>
        <v>62.8939999999999</v>
      </c>
      <c r="V312" s="12">
        <f>SUM(V304,V305,V306,V307,V308,V309,V310,V311)</f>
        <v>-17.6900000000005</v>
      </c>
      <c r="W312" s="12">
        <f>SUM(W304,W305,W306,W307,W308,W309,W310,W311)</f>
        <v>148.365999999999</v>
      </c>
      <c r="X312" s="12">
        <f>SUM(X304,X305,X306,X307,X308,X309,X310,X311)</f>
        <v>617.833000000001</v>
      </c>
      <c r="Y312" s="12">
        <f>SUM(Y304,Y305,Y306,Y307,Y308,Y309,Y310,Y311)</f>
        <v>-329.54</v>
      </c>
      <c r="Z312" s="12">
        <f>SUM(Z304,Z305,Z306,Z307,Z308,Z309,Z310,Z311)</f>
        <v>73.4499999999999</v>
      </c>
      <c r="AA312" s="12">
        <f>SUM(AA304,AA305,AA306,AA307,AA308,AA309,AA310,AA311)</f>
        <v>31.0920000000004</v>
      </c>
      <c r="AB312" s="12">
        <f>SUM(AB304,AB305,AB306,AB307,AB308,AB309,AB310,AB311)</f>
        <v>392.835000000001</v>
      </c>
      <c r="AC312" s="12">
        <f>SUM(AC304,AC305,AC306,AC307,AC308,AC309,AC310,AC311)</f>
        <v>-22.0920000000008</v>
      </c>
      <c r="AD312" s="12">
        <f>SUM(AD304,AD305,AD306,AD307,AD308,AD309,AD310,AD311)</f>
        <v>-427.413</v>
      </c>
      <c r="AE312" s="12">
        <f>SUM(AE304,AE305,AE306,AE307,AE308,AE309,AE310,AE311)</f>
        <v>557.633</v>
      </c>
      <c r="AF312" s="12">
        <f>SUM(AF304,AF305,AF306,AF307,AF308,AF309,AF310,AF311)</f>
        <v>92.7069999999998</v>
      </c>
      <c r="AG312" s="12">
        <f>SUM(AG304,AG305,AG306,AG307,AG308,AG309,AG310,AG311)</f>
        <v>200.834999999999</v>
      </c>
      <c r="AH312" s="12">
        <f>SUM(AH304,AH305,AH306,AH307,AH308,AH309,AH310,AH311)</f>
        <v>-111.801</v>
      </c>
      <c r="AI312" s="12">
        <f>SUM(AI304,AI305,AI306,AI307,AI308,AI309,AI310,AI311)</f>
        <v>-122.265</v>
      </c>
      <c r="AJ312" s="12">
        <f>SUM(AJ304,AJ305,AJ306,AJ307,AJ308,AJ309,AJ310,AJ311)</f>
        <v>0</v>
      </c>
      <c r="AK312" s="12">
        <f>SUM(AK304,AK305,AK306,AK307,AK308,AK309,AK310,AK311)</f>
        <v>0</v>
      </c>
      <c r="AL312" s="12">
        <f>SUM(AL304,AL305,AL306,AL307,AL308,AL309,AL310,AL311)</f>
        <v>-234.066</v>
      </c>
      <c r="AM312" s="12">
        <f>SUM(AM304,AM305,AM306,AM307,AM308,AM309,AM310,AM311)</f>
        <v>0</v>
      </c>
      <c r="AN312" s="12">
        <f>SUM(AN304,AN305,AN306,AN307,AN308,AN309,AN310,AN311)</f>
        <v>0</v>
      </c>
      <c r="AO312" s="12">
        <f>SUM(AO304,AO305,AO306,AO307,AO308,AO309,AO310,AO311)</f>
        <v>0</v>
      </c>
      <c r="AP312" s="12">
        <f>SUM(AP304,AP305,AP306,AP307,AP308,AP309,AP310,AP311)</f>
        <v>0</v>
      </c>
      <c r="AQ312" s="12">
        <f>SUM(AQ304,AQ305,AQ306,AQ307,AQ308,AQ309,AQ310,AQ311)</f>
        <v>0</v>
      </c>
      <c r="AR312" s="12">
        <f>SUM(AR304,AR305,AR306,AR307,AR308,AR309,AR310,AR311)</f>
        <v>0</v>
      </c>
      <c r="AS312" s="12">
        <f>SUM(AS304,AS305,AS306,AS307,AS308,AS309,AS310,AS311)</f>
        <v>0</v>
      </c>
      <c r="AT312" s="12">
        <f>SUM(AT304,AT305,AT306,AT307,AT308,AT309,AT310,AT311)</f>
        <v>0</v>
      </c>
      <c r="AU312" s="12">
        <f>SUM(AU304,AU305,AU306,AU307,AU308,AU309,AU310,AU311)</f>
        <v>0</v>
      </c>
      <c r="AV312" s="12">
        <f>SUM(AV304,AV305,AV306,AV307,AV308,AV309,AV310,AV311)</f>
        <v>0</v>
      </c>
      <c r="AW312" s="12">
        <f>SUM(AW304,AW305,AW306,AW307,AW308,AW309,AW310,AW311)</f>
        <v>0</v>
      </c>
      <c r="AX312" s="12">
        <f>SUM(AX304,AX305,AX306,AX307,AX308,AX309,AX310,AX311)</f>
        <v>0</v>
      </c>
      <c r="AY312" s="12">
        <f>SUM(AY304,AY305,AY306,AY307,AY308,AY309,AY310,AY311)</f>
        <v>0</v>
      </c>
      <c r="AZ312" s="12">
        <f>SUM(AZ304,AZ305,AZ306,AZ307,AZ308,AZ309,AZ310,AZ311)</f>
        <v>0</v>
      </c>
      <c r="BA312" s="12">
        <f>SUM(BA304,BA305,BA306,BA307,BA308,BA309,BA310,BA311)</f>
        <v>0</v>
      </c>
      <c r="BB312" s="12">
        <f>SUM(BB304,BB305,BB306,BB307,BB308,BB309,BB310,BB311)</f>
        <v>0</v>
      </c>
      <c r="BC312" s="12">
        <f>SUM(BC304,BC305,BC306,BC307,BC308,BC309,BC310,BC311)</f>
        <v>0</v>
      </c>
      <c r="BD312" s="12">
        <f>SUM(BD304,BD305,BD306,BD307,BD308,BD309,BD310,BD311)</f>
        <v>0</v>
      </c>
      <c r="BE312" s="12">
        <f>SUM(BE304,BE305,BE306,BE307,BE308,BE309,BE310,BE311)</f>
        <v>0</v>
      </c>
      <c r="BF312" s="12">
        <f>SUM(BF304,BF305,BF306,BF307,BF308,BF309,BF310,BF311)</f>
        <v>0</v>
      </c>
      <c r="BG312" s="12" t="n"/>
      <c r="BH312" s="12" t="n"/>
      <c r="BI312" s="12" t="n"/>
      <c r="BJ312" s="12" t="n"/>
      <c r="BK312" s="12" t="n"/>
      <c r="BL312" s="12" t="n"/>
      <c r="BM312" s="12" t="n"/>
      <c r="BN312" s="12" t="n"/>
      <c r="BO312" s="12" t="n"/>
      <c r="BP312" s="12" t="n"/>
      <c r="BQ312" s="12" t="n"/>
      <c r="BR312" s="12" t="n"/>
      <c r="BS312" s="12" t="n"/>
      <c r="BT312" s="12" t="n"/>
      <c r="BU312" s="12" t="n"/>
      <c r="BV312" s="12" t="n"/>
      <c r="BW312" s="12" t="n"/>
      <c r="BX312" s="12" t="n"/>
      <c r="BY312" s="12" t="n"/>
      <c r="BZ312" s="12" t="n"/>
      <c r="CA312" s="12" t="n"/>
      <c r="CB312" s="12" t="n"/>
      <c r="CC312" s="12" t="n"/>
      <c r="CD312" s="12" t="n"/>
      <c r="CE312" s="12" t="n"/>
      <c r="CF312" s="12" t="n"/>
      <c r="CG312" s="12" t="n"/>
      <c r="CH312" s="12" t="n"/>
      <c r="CI312" s="12" t="n"/>
      <c r="CJ312" s="12" t="n"/>
      <c r="CK312" s="12" t="n"/>
      <c r="CL312" s="12" t="n"/>
      <c r="CM312" s="12" t="n"/>
      <c r="CN312" s="12" t="n"/>
      <c r="CO312" s="12" t="n"/>
      <c r="CP312" s="12" t="n"/>
      <c r="CQ312" s="12" t="n"/>
      <c r="CR312" s="12" t="n"/>
      <c r="CS312" s="12" t="n"/>
      <c r="CT312" s="12" t="n"/>
      <c r="CU312" s="12" t="n"/>
      <c r="CV312" s="12" t="n"/>
      <c r="CW312" s="12" t="n"/>
      <c r="CX312" s="12" t="n"/>
      <c r="CY312" s="12" t="n"/>
    </row>
    <row r="313">
      <c r="C313" s="14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  <c r="BN313" s="12" t="n"/>
      <c r="BO313" s="12" t="n"/>
      <c r="BP313" s="12" t="n"/>
      <c r="BQ313" s="12" t="n"/>
      <c r="BR313" s="12" t="n"/>
      <c r="BS313" s="12" t="n"/>
      <c r="BT313" s="12" t="n"/>
      <c r="BU313" s="12" t="n"/>
      <c r="BV313" s="12" t="n"/>
      <c r="BW313" s="12" t="n"/>
      <c r="BX313" s="12" t="n"/>
      <c r="BY313" s="12" t="n"/>
      <c r="BZ313" s="12" t="n"/>
      <c r="CA313" s="12" t="n"/>
      <c r="CB313" s="12" t="n"/>
      <c r="CC313" s="12" t="n"/>
      <c r="CD313" s="12" t="n"/>
      <c r="CE313" s="12" t="n"/>
      <c r="CF313" s="12" t="n"/>
      <c r="CG313" s="12" t="n"/>
      <c r="CH313" s="12" t="n"/>
      <c r="CI313" s="12" t="n"/>
      <c r="CJ313" s="12" t="n"/>
      <c r="CK313" s="12" t="n"/>
      <c r="CL313" s="12" t="n"/>
      <c r="CM313" s="12" t="n"/>
      <c r="CN313" s="12" t="n"/>
      <c r="CO313" s="12" t="n"/>
      <c r="CP313" s="12" t="n"/>
      <c r="CQ313" s="12" t="n"/>
      <c r="CR313" s="12" t="n"/>
      <c r="CS313" s="12" t="n"/>
      <c r="CT313" s="12" t="n"/>
      <c r="CU313" s="12" t="n"/>
      <c r="CV313" s="12" t="n"/>
      <c r="CW313" s="12" t="n"/>
      <c r="CX313" s="12" t="n"/>
      <c r="CY313" s="12" t="n"/>
    </row>
    <row r="314">
      <c r="C314" s="14" t="inlineStr">
        <is>
          <t>Others / cash reconciliation plug</t>
        </is>
      </c>
      <c r="D314" s="12" t="n"/>
      <c r="E314" s="12" t="n"/>
      <c r="F314" s="12" t="n"/>
      <c r="G314" s="12" t="n"/>
      <c r="H314" s="12" t="n"/>
      <c r="I314" s="12" t="n"/>
      <c r="J314" s="12">
        <f>J146-I146-SUM(J295,J302,J312)</f>
        <v>0</v>
      </c>
      <c r="K314" s="12">
        <f>K146-J146-SUM(K295,K302,K312)</f>
        <v>0</v>
      </c>
      <c r="L314" s="12">
        <f>L146-K146-SUM(L295,L302,L312)</f>
        <v>-7.8159700933611e-13</v>
      </c>
      <c r="M314" s="12" t="n"/>
      <c r="N314" s="12">
        <f>N146-M146-SUM(N295,N302,N312)</f>
        <v>0</v>
      </c>
      <c r="O314" s="12">
        <f>O146-N146-SUM(O295,O302,O312)</f>
        <v>0</v>
      </c>
      <c r="P314" s="12">
        <f>P146-O146-SUM(P295,P302,P312)</f>
        <v>-5.82645043323282e-13</v>
      </c>
      <c r="Q314" s="12">
        <f>Q146-P146-SUM(Q295,Q302,Q312)</f>
        <v>-1.70530256582424e-13</v>
      </c>
      <c r="R314" s="12">
        <f>SUM(N314:Q314)</f>
        <v>-7.53175299905706e-13</v>
      </c>
      <c r="S314" s="12">
        <f>S146-R146-SUM(S295,S302,S312)</f>
        <v>8.24229573481716e-13</v>
      </c>
      <c r="T314" s="12">
        <f>T146-S146-SUM(T295,T302,T312)</f>
        <v>-6.53699316899292e-13</v>
      </c>
      <c r="U314" s="12">
        <f>U146-T146-SUM(U295,U302,U312)</f>
        <v>1.25055521493778e-12</v>
      </c>
      <c r="V314" s="12">
        <f>V146-U146-SUM(V295,V302,V312)</f>
        <v>-1.13686837721616e-12</v>
      </c>
      <c r="W314" s="12">
        <f>SUM(S314:V314)</f>
        <v>2.8421709430404e-13</v>
      </c>
      <c r="X314" s="12">
        <f>X146-W146-SUM(X295,X302,X312)</f>
        <v>0</v>
      </c>
      <c r="Y314" s="12">
        <f>Y146-X146-SUM(Y295,Y302,Y312)</f>
        <v>0</v>
      </c>
      <c r="Z314" s="12">
        <f>Z146-Y146-SUM(Z295,Z302,Z312)</f>
        <v>0</v>
      </c>
      <c r="AA314" s="12">
        <f>AA146-Z146-SUM(AA295,AA302,AA312)</f>
        <v>0</v>
      </c>
      <c r="AB314" s="12">
        <f>SUM(X314:AA314)</f>
        <v>0</v>
      </c>
      <c r="AC314" s="12">
        <f>AC146-AB146-SUM(AC295,AC302,AC312)</f>
        <v>-2.55795384873636e-13</v>
      </c>
      <c r="AD314" s="12">
        <f>AD146-AC146-SUM(AD295,AD302,AD312)</f>
        <v>0</v>
      </c>
      <c r="AE314" s="12">
        <f>AE146-AD146-SUM(AE295,AE302,AE312)</f>
        <v>0</v>
      </c>
      <c r="AF314" s="12">
        <f>AF146-AE146-SUM(AF295,AF302,AF312)</f>
        <v>0</v>
      </c>
      <c r="AG314" s="12">
        <f>SUM(AC314:AF314)</f>
        <v>-2.55795384873636e-13</v>
      </c>
      <c r="AH314" s="12">
        <f>AH146-AG146-SUM(AH295,AH302,AH312)</f>
        <v>-9.66338120633736e-13</v>
      </c>
      <c r="AI314" s="12">
        <f>AI146-AH146-SUM(AI295,AI302,AI312)</f>
        <v>0</v>
      </c>
      <c r="AJ314" s="12">
        <f>AJ146-AI146-SUM(AJ295,AJ302,AJ312)</f>
        <v>-3.63797880709171e-12</v>
      </c>
      <c r="AK314" s="12">
        <f>AK146-AJ146-SUM(AK295,AK302,AK312)</f>
        <v>0</v>
      </c>
      <c r="AL314" s="12">
        <f>SUM(AH314:AK314)</f>
        <v>-4.60431692772545e-12</v>
      </c>
      <c r="AM314" s="12">
        <f>AM146-AL146-SUM(AM295,AM302,AM312)</f>
        <v>0</v>
      </c>
      <c r="AN314" s="12">
        <f>AN146-AM146-SUM(AN295,AN302,AN312)</f>
        <v>0</v>
      </c>
      <c r="AO314" s="12">
        <f>AO146-AN146-SUM(AO295,AO302,AO312)</f>
        <v>2.95585778076202e-12</v>
      </c>
      <c r="AP314" s="12">
        <f>AP146-AO146-SUM(AP295,AP302,AP312)</f>
        <v>0</v>
      </c>
      <c r="AQ314" s="12">
        <f>SUM(AM314:AP314)</f>
        <v>2.95585778076202e-12</v>
      </c>
      <c r="AR314" s="12">
        <f>AR146-AQ146-SUM(AR295,AR302,AR312)</f>
        <v>0</v>
      </c>
      <c r="AS314" s="12">
        <f>AS146-AR146-SUM(AS295,AS302,AS312)</f>
        <v>0</v>
      </c>
      <c r="AT314" s="12">
        <f>AT146-AS146-SUM(AT295,AT302,AT312)</f>
        <v>0</v>
      </c>
      <c r="AU314" s="12">
        <f>AU146-AT146-SUM(AU295,AU302,AU312)</f>
        <v>-3.06954461848363e-12</v>
      </c>
      <c r="AV314" s="12">
        <f>SUM(AR314:AU314)</f>
        <v>-3.06954461848363e-12</v>
      </c>
      <c r="AW314" s="12">
        <f>AW146-AV146-SUM(AW295,AW302,AW312)</f>
        <v>0</v>
      </c>
      <c r="AX314" s="12">
        <f>AX146-AW146-SUM(AX295,AX302,AX312)</f>
        <v>4.88853402202949e-12</v>
      </c>
      <c r="AY314" s="12">
        <f>AY146-AX146-SUM(AY295,AY302,AY312)</f>
        <v>-7.50333128962666e-12</v>
      </c>
      <c r="AZ314" s="12">
        <f>AZ146-AY146-SUM(AZ295,AZ302,AZ312)</f>
        <v>0</v>
      </c>
      <c r="BA314" s="12">
        <f>SUM(AW314:AZ314)</f>
        <v>-2.61479726759717e-12</v>
      </c>
      <c r="BB314" s="12">
        <f>BB146-BA146-SUM(BB295,BB302,BB312)</f>
        <v>4.20641299569979e-12</v>
      </c>
      <c r="BC314" s="12">
        <f>BC146-BB146-SUM(BC295,BC302,BC312)</f>
        <v>0</v>
      </c>
      <c r="BD314" s="12">
        <f>BD146-BC146-SUM(BD295,BD302,BD312)</f>
        <v>0</v>
      </c>
      <c r="BE314" s="12">
        <f>BE146-BD146-SUM(BE295,BE302,BE312)</f>
        <v>-1.00044417195022e-11</v>
      </c>
      <c r="BF314" s="12">
        <f>SUM(BB314:BE314)</f>
        <v>-5.79802872380242e-12</v>
      </c>
      <c r="BG314" s="12" t="n"/>
      <c r="BH314" s="12" t="n"/>
      <c r="BI314" s="12" t="n"/>
      <c r="BJ314" s="12" t="n"/>
      <c r="BK314" s="12" t="n"/>
      <c r="BL314" s="12" t="n"/>
      <c r="BM314" s="12" t="n"/>
      <c r="BN314" s="12" t="n"/>
      <c r="BO314" s="12" t="n"/>
      <c r="BP314" s="12" t="n"/>
      <c r="BQ314" s="12" t="n"/>
      <c r="BR314" s="12" t="n"/>
      <c r="BS314" s="12" t="n"/>
      <c r="BT314" s="12" t="n"/>
      <c r="BU314" s="12" t="n"/>
      <c r="BV314" s="12" t="n"/>
      <c r="BW314" s="12" t="n"/>
      <c r="BX314" s="12" t="n"/>
      <c r="BY314" s="12" t="n"/>
      <c r="BZ314" s="12" t="n"/>
      <c r="CA314" s="12" t="n"/>
      <c r="CB314" s="12" t="n"/>
      <c r="CC314" s="12" t="n"/>
      <c r="CD314" s="12" t="n"/>
      <c r="CE314" s="12" t="n"/>
      <c r="CF314" s="12" t="n"/>
      <c r="CG314" s="12" t="n"/>
      <c r="CH314" s="12" t="n"/>
      <c r="CI314" s="12" t="n"/>
      <c r="CJ314" s="12" t="n"/>
      <c r="CK314" s="12" t="n"/>
      <c r="CL314" s="12" t="n"/>
      <c r="CM314" s="12" t="n"/>
      <c r="CN314" s="12" t="n"/>
      <c r="CO314" s="12" t="n"/>
      <c r="CP314" s="12" t="n"/>
      <c r="CQ314" s="12" t="n"/>
      <c r="CR314" s="12" t="n"/>
      <c r="CS314" s="12" t="n"/>
      <c r="CT314" s="12" t="n"/>
      <c r="CU314" s="12" t="n"/>
      <c r="CV314" s="12" t="n"/>
      <c r="CW314" s="12" t="n"/>
      <c r="CX314" s="12" t="n"/>
      <c r="CY314" s="12" t="n"/>
    </row>
    <row r="315">
      <c r="C315" s="14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  <c r="BN315" s="12" t="n"/>
      <c r="BO315" s="12" t="n"/>
      <c r="BP315" s="12" t="n"/>
      <c r="BQ315" s="12" t="n"/>
      <c r="BR315" s="12" t="n"/>
      <c r="BS315" s="12" t="n"/>
      <c r="BT315" s="12" t="n"/>
      <c r="BU315" s="12" t="n"/>
      <c r="BV315" s="12" t="n"/>
      <c r="BW315" s="12" t="n"/>
      <c r="BX315" s="12" t="n"/>
      <c r="BY315" s="12" t="n"/>
      <c r="BZ315" s="12" t="n"/>
      <c r="CA315" s="12" t="n"/>
      <c r="CB315" s="12" t="n"/>
      <c r="CC315" s="12" t="n"/>
      <c r="CD315" s="12" t="n"/>
      <c r="CE315" s="12" t="n"/>
      <c r="CF315" s="12" t="n"/>
      <c r="CG315" s="12" t="n"/>
      <c r="CH315" s="12" t="n"/>
      <c r="CI315" s="12" t="n"/>
      <c r="CJ315" s="12" t="n"/>
      <c r="CK315" s="12" t="n"/>
      <c r="CL315" s="12" t="n"/>
      <c r="CM315" s="12" t="n"/>
      <c r="CN315" s="12" t="n"/>
      <c r="CO315" s="12" t="n"/>
      <c r="CP315" s="12" t="n"/>
      <c r="CQ315" s="12" t="n"/>
      <c r="CR315" s="12" t="n"/>
      <c r="CS315" s="12" t="n"/>
      <c r="CT315" s="12" t="n"/>
      <c r="CU315" s="12" t="n"/>
      <c r="CV315" s="12" t="n"/>
      <c r="CW315" s="12" t="n"/>
      <c r="CX315" s="12" t="n"/>
      <c r="CY315" s="12" t="n"/>
    </row>
    <row r="316">
      <c r="C316" s="14" t="inlineStr">
        <is>
          <t>Total increase/decrease of cash</t>
        </is>
      </c>
      <c r="D316" s="12" t="n"/>
      <c r="E316" s="12" t="n"/>
      <c r="F316" s="12" t="n"/>
      <c r="G316" s="12" t="n"/>
      <c r="H316" s="12" t="n"/>
      <c r="I316" s="12" t="n"/>
      <c r="J316" s="12">
        <f>SUM(J295,J302,J312,J314)</f>
        <v>-336.07</v>
      </c>
      <c r="K316" s="12">
        <f>SUM(K295,K302,K312,K314)</f>
        <v>82.5450000000003</v>
      </c>
      <c r="L316" s="12">
        <f>SUM(L295,L302,L312,L314)</f>
        <v>-87.7150000000002</v>
      </c>
      <c r="M316" s="12" t="n"/>
      <c r="N316" s="12">
        <f>SUM(N295,N302,N312,N314)</f>
        <v>607.679999999999</v>
      </c>
      <c r="O316" s="12">
        <f>SUM(O295,O302,O312,O314)</f>
        <v>-357.578</v>
      </c>
      <c r="P316" s="12">
        <f>SUM(P295,P302,P312,P314)</f>
        <v>-5.73800000000006</v>
      </c>
      <c r="Q316" s="12">
        <f>SUM(Q295,Q302,Q312,Q314)</f>
        <v>-19.559</v>
      </c>
      <c r="R316" s="12">
        <f>SUM(N316:Q316)</f>
        <v>224.804999999999</v>
      </c>
      <c r="S316" s="12">
        <f>SUM(S295,S302,S312,S314)</f>
        <v>4.72900000000004</v>
      </c>
      <c r="T316" s="12">
        <f>SUM(T295,T302,T312,T314)</f>
        <v>-58.5440000000001</v>
      </c>
      <c r="U316" s="12">
        <f>SUM(U295,U302,U312,U314)</f>
        <v>121.975</v>
      </c>
      <c r="V316" s="12">
        <f>SUM(V295,V302,V312,V314)</f>
        <v>9.0659999999998</v>
      </c>
      <c r="W316" s="12">
        <f>SUM(S316:V316)</f>
        <v>77.2259999999999</v>
      </c>
      <c r="X316" s="12">
        <f>SUM(X295,X302,X312,X314)</f>
        <v>628.151</v>
      </c>
      <c r="Y316" s="12">
        <f>SUM(Y295,Y302,Y312,Y314)</f>
        <v>-474.323</v>
      </c>
      <c r="Z316" s="12">
        <f>SUM(Z295,Z302,Z312,Z314)</f>
        <v>235.750000000001</v>
      </c>
      <c r="AA316" s="12">
        <f>SUM(AA295,AA302,AA312,AA314)</f>
        <v>126.021</v>
      </c>
      <c r="AB316" s="12">
        <f>SUM(X316:AA316)</f>
        <v>515.599</v>
      </c>
      <c r="AC316" s="12">
        <f>SUM(AC295,AC302,AC312,AC314)</f>
        <v>47.867</v>
      </c>
      <c r="AD316" s="12">
        <f>SUM(AD295,AD302,AD312,AD314)</f>
        <v>-452.301000000001</v>
      </c>
      <c r="AE316" s="12">
        <f>SUM(AE295,AE302,AE312,AE314)</f>
        <v>4483.686</v>
      </c>
      <c r="AF316" s="12">
        <f>SUM(AF295,AF302,AF312,AF314)</f>
        <v>-271.878000000001</v>
      </c>
      <c r="AG316" s="12">
        <f>SUM(AC316:AF316)</f>
        <v>3807.374</v>
      </c>
      <c r="AH316" s="12">
        <f>SUM(AH295,AH302,AH312,AH314)</f>
        <v>-248.649</v>
      </c>
      <c r="AI316" s="12">
        <f>SUM(AI295,AI302,AI312,AI314)</f>
        <v>-697.029</v>
      </c>
      <c r="AJ316" s="12">
        <f>SUM(AJ295,AJ302,AJ312,AJ314)</f>
        <v>708.883325990923</v>
      </c>
      <c r="AK316" s="12">
        <f>SUM(AK295,AK302,AK312,AK314)</f>
        <v>713.845585897027</v>
      </c>
      <c r="AL316" s="12">
        <f>SUM(AH316:AK316)</f>
        <v>477.05091188795</v>
      </c>
      <c r="AM316" s="12">
        <f>SUM(AM295,AM302,AM312,AM314)</f>
        <v>730.393033014646</v>
      </c>
      <c r="AN316" s="12">
        <f>SUM(AN295,AN302,AN312,AN314)</f>
        <v>797.436564819093</v>
      </c>
      <c r="AO316" s="12">
        <f>SUM(AO295,AO302,AO312,AO314)</f>
        <v>771.910131026314</v>
      </c>
      <c r="AP316" s="12">
        <f>SUM(AP295,AP302,AP312,AP314)</f>
        <v>763.717956078492</v>
      </c>
      <c r="AQ316" s="12">
        <f>SUM(AM316:AP316)</f>
        <v>3063.45768493855</v>
      </c>
      <c r="AR316" s="12">
        <f>SUM(AR295,AR302,AR312,AR314)</f>
        <v>793.475651681055</v>
      </c>
      <c r="AS316" s="12">
        <f>SUM(AS295,AS302,AS312,AS314)</f>
        <v>836.370226617152</v>
      </c>
      <c r="AT316" s="12">
        <f>SUM(AT295,AT302,AT312,AT314)</f>
        <v>821.062706086481</v>
      </c>
      <c r="AU316" s="12">
        <f>SUM(AU295,AU302,AU312,AU314)</f>
        <v>812.39281771121</v>
      </c>
      <c r="AV316" s="12">
        <f>SUM(AR316:AU316)</f>
        <v>3263.3014020959</v>
      </c>
      <c r="AW316" s="12">
        <f>SUM(AW295,AW302,AW312,AW314)</f>
        <v>832.578550636166</v>
      </c>
      <c r="AX316" s="12">
        <f>SUM(AX295,AX302,AX312,AX314)</f>
        <v>897.676457010082</v>
      </c>
      <c r="AY316" s="12">
        <f>SUM(AY295,AY302,AY312,AY314)</f>
        <v>869.075846739372</v>
      </c>
      <c r="AZ316" s="12">
        <f>SUM(AZ295,AZ302,AZ312,AZ314)</f>
        <v>859.919459744377</v>
      </c>
      <c r="BA316" s="12">
        <f>SUM(AW316:AZ316)</f>
        <v>3459.25031413</v>
      </c>
      <c r="BB316" s="12">
        <f>SUM(BB295,BB302,BB312,BB314)</f>
        <v>882.347873433184</v>
      </c>
      <c r="BC316" s="12">
        <f>SUM(BC295,BC302,BC312,BC314)</f>
        <v>945.376810035951</v>
      </c>
      <c r="BD316" s="12">
        <f>SUM(BD295,BD302,BD312,BD314)</f>
        <v>915.278501609485</v>
      </c>
      <c r="BE316" s="12">
        <f>SUM(BE295,BE302,BE312,BE314)</f>
        <v>905.625753449542</v>
      </c>
      <c r="BF316" s="12">
        <f>SUM(BB316:BE316)</f>
        <v>3648.62893852816</v>
      </c>
      <c r="BG316" s="12" t="n"/>
      <c r="BH316" s="12" t="n"/>
      <c r="BI316" s="12" t="n"/>
      <c r="BJ316" s="12" t="n"/>
      <c r="BK316" s="12" t="n"/>
      <c r="BL316" s="12" t="n"/>
      <c r="BM316" s="12" t="n"/>
      <c r="BN316" s="12" t="n"/>
      <c r="BO316" s="12" t="n"/>
      <c r="BP316" s="12" t="n"/>
      <c r="BQ316" s="12" t="n"/>
      <c r="BR316" s="12" t="n"/>
      <c r="BS316" s="12" t="n"/>
      <c r="BT316" s="12" t="n"/>
      <c r="BU316" s="12" t="n"/>
      <c r="BV316" s="12" t="n"/>
      <c r="BW316" s="12" t="n"/>
      <c r="BX316" s="12" t="n"/>
      <c r="BY316" s="12" t="n"/>
      <c r="BZ316" s="12" t="n"/>
      <c r="CA316" s="12" t="n"/>
      <c r="CB316" s="12" t="n"/>
      <c r="CC316" s="12" t="n"/>
      <c r="CD316" s="12" t="n"/>
      <c r="CE316" s="12" t="n"/>
      <c r="CF316" s="12" t="n"/>
      <c r="CG316" s="12" t="n"/>
      <c r="CH316" s="12" t="n"/>
      <c r="CI316" s="12" t="n"/>
      <c r="CJ316" s="12" t="n"/>
      <c r="CK316" s="12" t="n"/>
      <c r="CL316" s="12" t="n"/>
      <c r="CM316" s="12" t="n"/>
      <c r="CN316" s="12" t="n"/>
      <c r="CO316" s="12" t="n"/>
      <c r="CP316" s="12" t="n"/>
      <c r="CQ316" s="12" t="n"/>
      <c r="CR316" s="12" t="n"/>
      <c r="CS316" s="12" t="n"/>
      <c r="CT316" s="12" t="n"/>
      <c r="CU316" s="12" t="n"/>
      <c r="CV316" s="12" t="n"/>
      <c r="CW316" s="12" t="n"/>
      <c r="CX316" s="12" t="n"/>
      <c r="CY316" s="12" t="n"/>
    </row>
    <row r="317">
      <c r="C317" s="4" t="inlineStr">
        <is>
          <t>Check</t>
        </is>
      </c>
      <c r="E317" s="72" t="n"/>
      <c r="F317" s="72" t="n"/>
      <c r="G317" s="72" t="n"/>
      <c r="I317" s="72" t="str">
        <f>""</f>
        <v/>
      </c>
      <c r="J317" s="72">
        <f>J146-I146-J316</f>
        <v>0</v>
      </c>
      <c r="K317" s="72">
        <f>K146-J146-K316</f>
        <v>0</v>
      </c>
      <c r="L317" s="72">
        <f>L146-K146-L316</f>
        <v>0</v>
      </c>
      <c r="M317" s="4" t="str">
        <f>""</f>
        <v/>
      </c>
      <c r="N317" s="72">
        <f>N146-M146-N316</f>
        <v>0</v>
      </c>
      <c r="O317" s="72">
        <f>O146-N146-O316</f>
        <v>0</v>
      </c>
      <c r="P317" s="72">
        <f>P146-O146-P316</f>
        <v>0</v>
      </c>
      <c r="Q317" s="72">
        <f>Q146-P146-Q316</f>
        <v>0</v>
      </c>
      <c r="R317" s="4">
        <f>R146-M146-R316</f>
        <v>0</v>
      </c>
      <c r="S317" s="72">
        <f>S146-R146-S316</f>
        <v>0</v>
      </c>
      <c r="T317" s="72">
        <f>T146-S146-T316</f>
        <v>0</v>
      </c>
      <c r="U317" s="72">
        <f>U146-T146-U316</f>
        <v>0</v>
      </c>
      <c r="V317" s="72">
        <f>V146-U146-V316</f>
        <v>0</v>
      </c>
      <c r="W317" s="4">
        <f>W146-R146-W316</f>
        <v>0</v>
      </c>
      <c r="X317" s="72">
        <f>X146-W146-X316</f>
        <v>0</v>
      </c>
      <c r="Y317" s="72">
        <f>Y146-X146-Y316</f>
        <v>0</v>
      </c>
      <c r="Z317" s="72">
        <f>Z146-Y146-Z316</f>
        <v>0</v>
      </c>
      <c r="AA317" s="72">
        <f>AA146-Z146-AA316</f>
        <v>0</v>
      </c>
      <c r="AB317" s="4">
        <f>AB146-W146-AB316</f>
        <v>0</v>
      </c>
      <c r="AC317" s="72">
        <f>AC146-AB146-AC316</f>
        <v>0</v>
      </c>
      <c r="AD317" s="72">
        <f>AD146-AC146-AD316</f>
        <v>0</v>
      </c>
      <c r="AE317" s="72">
        <f>AE146-AD146-AE316</f>
        <v>0</v>
      </c>
      <c r="AF317" s="72">
        <f>AF146-AE146-AF316</f>
        <v>0</v>
      </c>
      <c r="AG317" s="4">
        <f>AG146-AB146-AG316</f>
        <v>0</v>
      </c>
      <c r="AH317" s="72">
        <f>AH146-AG146-AH316</f>
        <v>0</v>
      </c>
      <c r="AI317" s="72">
        <f>AI146-AH146-AI316</f>
        <v>0</v>
      </c>
      <c r="AJ317" s="72">
        <f>AJ146-AI146-AJ316</f>
        <v>0</v>
      </c>
      <c r="AK317" s="72">
        <f>AK146-AJ146-AK316</f>
        <v>0</v>
      </c>
      <c r="AL317" s="4">
        <f>AL146-AG146-AL316</f>
        <v>0</v>
      </c>
      <c r="AM317" s="72">
        <f>AM146-AL146-AM316</f>
        <v>0</v>
      </c>
      <c r="AN317" s="72">
        <f>AN146-AM146-AN316</f>
        <v>0</v>
      </c>
      <c r="AO317" s="72">
        <f>AO146-AN146-AO316</f>
        <v>0</v>
      </c>
      <c r="AP317" s="72">
        <f>AP146-AO146-AP316</f>
        <v>0</v>
      </c>
      <c r="AQ317" s="4">
        <f>AQ146-AL146-AQ316</f>
        <v>0</v>
      </c>
      <c r="AR317" s="72">
        <f>AR146-AQ146-AR316</f>
        <v>0</v>
      </c>
      <c r="AS317" s="72">
        <f>AS146-AR146-AS316</f>
        <v>0</v>
      </c>
      <c r="AT317" s="72">
        <f>AT146-AS146-AT316</f>
        <v>0</v>
      </c>
      <c r="AU317" s="72">
        <f>AU146-AT146-AU316</f>
        <v>0</v>
      </c>
      <c r="AV317" s="4">
        <f>AV146-AQ146-AV316</f>
        <v>0</v>
      </c>
      <c r="AW317" s="72">
        <f>AW146-AV146-AW316</f>
        <v>0</v>
      </c>
      <c r="AX317" s="72">
        <f>AX146-AW146-AX316</f>
        <v>0</v>
      </c>
      <c r="AY317" s="72">
        <f>AY146-AX146-AY316</f>
        <v>0</v>
      </c>
      <c r="AZ317" s="72">
        <f>AZ146-AY146-AZ316</f>
        <v>0</v>
      </c>
      <c r="BA317" s="4">
        <f>BA146-AV146-BA316</f>
        <v>0</v>
      </c>
      <c r="BB317" s="72">
        <f>BB146-BA146-BB316</f>
        <v>0</v>
      </c>
      <c r="BC317" s="72">
        <f>BC146-BB146-BC316</f>
        <v>0</v>
      </c>
      <c r="BD317" s="72">
        <f>BD146-BC146-BD316</f>
        <v>0</v>
      </c>
      <c r="BE317" s="72">
        <f>BE146-BD146-BE316</f>
        <v>0</v>
      </c>
      <c r="BF317" s="4">
        <f>BF146-BA146-BF316</f>
        <v>0</v>
      </c>
      <c r="BG317" s="72" t="n"/>
      <c r="BH317" s="72" t="n"/>
      <c r="BI317" s="72" t="n"/>
      <c r="BJ317" s="72" t="n"/>
      <c r="BL317" s="72" t="n"/>
      <c r="BM317" s="72" t="n"/>
      <c r="BN317" s="72" t="n"/>
      <c r="BO317" s="72" t="n"/>
      <c r="BQ317" s="72" t="n"/>
      <c r="BR317" s="72" t="n"/>
      <c r="BS317" s="72" t="n"/>
      <c r="BT317" s="72" t="n"/>
      <c r="BV317" s="72" t="n"/>
      <c r="BW317" s="72" t="n"/>
      <c r="BX317" s="72" t="n"/>
      <c r="BY317" s="72" t="n"/>
      <c r="CA317" s="72" t="n"/>
      <c r="CB317" s="72" t="n"/>
      <c r="CC317" s="72" t="n"/>
      <c r="CD317" s="72" t="n"/>
      <c r="CF317" s="72" t="n"/>
      <c r="CG317" s="72" t="n"/>
      <c r="CH317" s="72" t="n"/>
      <c r="CI317" s="72" t="n"/>
      <c r="CK317" s="72" t="n"/>
      <c r="CL317" s="72" t="n"/>
      <c r="CM317" s="72" t="n"/>
      <c r="CN317" s="72" t="n"/>
      <c r="CP317" s="72" t="n"/>
      <c r="CQ317" s="72" t="n"/>
      <c r="CR317" s="72" t="n"/>
      <c r="CS317" s="72" t="n"/>
      <c r="CU317" s="72" t="n"/>
      <c r="CV317" s="72" t="n"/>
      <c r="CW317" s="72" t="n"/>
      <c r="CX317" s="72" t="n"/>
    </row>
    <row r="318"/>
    <row r="319">
      <c r="C319" s="73" t="inlineStr">
        <is>
          <t>Ratio Analysis</t>
        </is>
      </c>
      <c r="D319" s="73" t="n"/>
      <c r="E319" s="73" t="n"/>
      <c r="F319" s="73" t="n"/>
      <c r="G319" s="73" t="n"/>
      <c r="H319" s="73" t="n"/>
      <c r="I319" s="73" t="n"/>
      <c r="J319" s="73" t="n"/>
      <c r="K319" s="73" t="n"/>
      <c r="L319" s="73" t="n"/>
      <c r="M319" s="73" t="n"/>
      <c r="N319" s="73" t="n"/>
      <c r="O319" s="73" t="n"/>
      <c r="P319" s="73" t="n"/>
      <c r="Q319" s="73" t="n"/>
      <c r="R319" s="73" t="n"/>
      <c r="S319" s="73" t="n"/>
      <c r="T319" s="73" t="n"/>
      <c r="U319" s="73" t="n"/>
      <c r="V319" s="73" t="n"/>
      <c r="W319" s="73" t="n"/>
      <c r="X319" s="73" t="n"/>
      <c r="Y319" s="73" t="n"/>
      <c r="Z319" s="73" t="n"/>
      <c r="AA319" s="73" t="n"/>
      <c r="AB319" s="73" t="n"/>
      <c r="AC319" s="73" t="n"/>
      <c r="AD319" s="73" t="n"/>
      <c r="AE319" s="73" t="n"/>
      <c r="AF319" s="73" t="n"/>
      <c r="AG319" s="73" t="n"/>
      <c r="AH319" s="73" t="n"/>
      <c r="AI319" s="73" t="n"/>
      <c r="AJ319" s="73" t="n"/>
      <c r="AK319" s="73" t="n"/>
      <c r="AL319" s="73" t="n"/>
      <c r="AM319" s="73" t="n"/>
      <c r="AN319" s="73" t="n"/>
      <c r="AO319" s="73" t="n"/>
      <c r="AP319" s="73" t="n"/>
      <c r="AQ319" s="73" t="n"/>
      <c r="AR319" s="73" t="n"/>
      <c r="AS319" s="73" t="n"/>
      <c r="AT319" s="73" t="n"/>
      <c r="AU319" s="73" t="n"/>
      <c r="AV319" s="73" t="n"/>
      <c r="AW319" s="73" t="n"/>
      <c r="AX319" s="73" t="n"/>
      <c r="AY319" s="73" t="n"/>
      <c r="AZ319" s="73" t="n"/>
      <c r="BA319" s="73" t="n"/>
      <c r="BB319" s="73" t="n"/>
      <c r="BC319" s="73" t="n"/>
      <c r="BD319" s="73" t="n"/>
      <c r="BE319" s="73" t="n"/>
      <c r="BF319" s="73" t="n"/>
      <c r="BG319" s="73" t="n"/>
      <c r="BH319" s="73" t="n"/>
      <c r="BI319" s="73" t="n"/>
      <c r="BJ319" s="73" t="n"/>
      <c r="BK319" s="73" t="n"/>
      <c r="BL319" s="73" t="n"/>
      <c r="BM319" s="73" t="n"/>
      <c r="BN319" s="73" t="n"/>
      <c r="BO319" s="73" t="n"/>
      <c r="BP319" s="73" t="n"/>
      <c r="BQ319" s="73" t="n"/>
      <c r="BR319" s="73" t="n"/>
      <c r="BS319" s="73" t="n"/>
      <c r="BT319" s="73" t="n"/>
      <c r="BU319" s="73" t="n"/>
      <c r="BV319" s="73" t="n"/>
      <c r="BW319" s="73" t="n"/>
      <c r="BX319" s="73" t="n"/>
      <c r="BY319" s="73" t="n"/>
      <c r="BZ319" s="73" t="n"/>
      <c r="CA319" s="73" t="n"/>
      <c r="CB319" s="73" t="n"/>
      <c r="CC319" s="73" t="n"/>
      <c r="CD319" s="73" t="n"/>
      <c r="CE319" s="73" t="n"/>
      <c r="CF319" s="73" t="n"/>
      <c r="CG319" s="73" t="n"/>
      <c r="CH319" s="73" t="n"/>
      <c r="CI319" s="73" t="n"/>
      <c r="CJ319" s="73" t="n"/>
      <c r="CK319" s="73" t="n"/>
      <c r="CL319" s="73" t="n"/>
      <c r="CM319" s="73" t="n"/>
      <c r="CN319" s="73" t="n"/>
      <c r="CO319" s="73" t="n"/>
      <c r="CP319" s="73" t="n"/>
      <c r="CQ319" s="73" t="n"/>
      <c r="CR319" s="73" t="n"/>
      <c r="CS319" s="73" t="n"/>
      <c r="CT319" s="73" t="n"/>
      <c r="CU319" s="73" t="n"/>
      <c r="CV319" s="73" t="n"/>
      <c r="CW319" s="73" t="n"/>
      <c r="CX319" s="73" t="n"/>
      <c r="CY319" s="73" t="n"/>
    </row>
    <row r="320"/>
    <row r="321" customFormat="1" s="74">
      <c r="C321" s="74" t="inlineStr">
        <is>
          <t>YEAR</t>
        </is>
      </c>
      <c r="D321">
        <f>IFERROR(D277,"")</f>
        <v>0</v>
      </c>
      <c r="E321" s="75">
        <f>IFERROR(E277,"")</f>
        <v>0</v>
      </c>
      <c r="F321" s="75">
        <f>IFERROR(F277,"")</f>
        <v>0</v>
      </c>
      <c r="G321" s="75">
        <f>IFERROR(G277,"")</f>
        <v>0</v>
      </c>
      <c r="H321" s="75">
        <f>IFERROR(H277,"")</f>
        <v>0</v>
      </c>
      <c r="I321" s="75" t="str">
        <f>IFERROR(I277,"")</f>
        <v>1Q21</v>
      </c>
      <c r="J321" s="75" t="str">
        <f>IFERROR(J277,"")</f>
        <v>2Q21</v>
      </c>
      <c r="K321" s="75" t="str">
        <f>IFERROR(K277,"")</f>
        <v>3Q21</v>
      </c>
      <c r="L321" s="75" t="str">
        <f>IFERROR(L277,"")</f>
        <v>4Q21</v>
      </c>
      <c r="M321" s="75">
        <f>IFERROR(M277,"")</f>
        <v>2021</v>
      </c>
      <c r="N321" s="75" t="str">
        <f>IFERROR(N277,"")</f>
        <v>1Q22</v>
      </c>
      <c r="O321" s="75" t="str">
        <f>IFERROR(O277,"")</f>
        <v>2Q22</v>
      </c>
      <c r="P321" s="75" t="str">
        <f>IFERROR(P277,"")</f>
        <v>3Q22</v>
      </c>
      <c r="Q321" s="75" t="str">
        <f>IFERROR(Q277,"")</f>
        <v>4Q22</v>
      </c>
      <c r="R321" s="75">
        <f>IFERROR(R277,"")</f>
        <v>2022</v>
      </c>
      <c r="S321" s="75" t="str">
        <f>IFERROR(S277,"")</f>
        <v>1Q23</v>
      </c>
      <c r="T321" s="75" t="str">
        <f>IFERROR(T277,"")</f>
        <v>2Q23</v>
      </c>
      <c r="U321" s="75" t="str">
        <f>IFERROR(U277,"")</f>
        <v>3Q23</v>
      </c>
      <c r="V321" s="75" t="str">
        <f>IFERROR(V277,"")</f>
        <v>4Q23</v>
      </c>
      <c r="W321" s="75">
        <f>IFERROR(W277,"")</f>
        <v>2023</v>
      </c>
      <c r="X321" s="75" t="str">
        <f>IFERROR(X277,"")</f>
        <v>1Q24</v>
      </c>
      <c r="Y321" s="75" t="str">
        <f>IFERROR(Y277,"")</f>
        <v>2Q24</v>
      </c>
      <c r="Z321" s="75" t="str">
        <f>IFERROR(Z277,"")</f>
        <v>3Q24</v>
      </c>
      <c r="AA321" s="75" t="str">
        <f>IFERROR(AA277,"")</f>
        <v>4Q24</v>
      </c>
      <c r="AB321" s="75">
        <f>IFERROR(AB277,"")</f>
        <v>2024</v>
      </c>
      <c r="AC321" s="75" t="str">
        <f>IFERROR(AC277,"")</f>
        <v>1Q25</v>
      </c>
      <c r="AD321" s="75" t="str">
        <f>IFERROR(AD277,"")</f>
        <v>2Q25</v>
      </c>
      <c r="AE321" s="75" t="str">
        <f>IFERROR(AE277,"")</f>
        <v>3Q25</v>
      </c>
      <c r="AF321" s="75" t="str">
        <f>IFERROR(AF277,"")</f>
        <v>4Q25</v>
      </c>
      <c r="AG321" s="75">
        <f>IFERROR(AG277,"")</f>
        <v>2025</v>
      </c>
      <c r="AH321" s="75" t="str">
        <f>IFERROR(AH277,"")</f>
        <v>1Q26</v>
      </c>
      <c r="AI321" s="75" t="str">
        <f>IFERROR(AI277,"")</f>
        <v>2Q26</v>
      </c>
      <c r="AJ321" s="75" t="str">
        <f>IFERROR(AJ277,"")</f>
        <v>3Q26</v>
      </c>
      <c r="AK321" s="75" t="str">
        <f>IFERROR(AK277,"")</f>
        <v>4Q26</v>
      </c>
      <c r="AL321" s="75">
        <f>IFERROR(AL277,"")</f>
        <v>2026</v>
      </c>
      <c r="AM321" s="75" t="str">
        <f>IFERROR(AM277,"")</f>
        <v>1Q27</v>
      </c>
      <c r="AN321" s="75" t="str">
        <f>IFERROR(AN277,"")</f>
        <v>2Q27</v>
      </c>
      <c r="AO321" s="75" t="str">
        <f>IFERROR(AO277,"")</f>
        <v>3Q27</v>
      </c>
      <c r="AP321" s="75" t="str">
        <f>IFERROR(AP277,"")</f>
        <v>4Q27</v>
      </c>
      <c r="AQ321" s="75">
        <f>IFERROR(AQ277,"")</f>
        <v>2027</v>
      </c>
      <c r="AR321" s="75" t="str">
        <f>IFERROR(AR277,"")</f>
        <v>1Q28</v>
      </c>
      <c r="AS321" s="75" t="str">
        <f>IFERROR(AS277,"")</f>
        <v>2Q28</v>
      </c>
      <c r="AT321" s="75" t="str">
        <f>IFERROR(AT277,"")</f>
        <v>3Q28</v>
      </c>
      <c r="AU321" s="75" t="str">
        <f>IFERROR(AU277,"")</f>
        <v>4Q28</v>
      </c>
      <c r="AV321" s="75">
        <f>IFERROR(AV277,"")</f>
        <v>2028</v>
      </c>
      <c r="AW321" s="75" t="str">
        <f>IFERROR(AW277,"")</f>
        <v>1Q29</v>
      </c>
      <c r="AX321" s="75" t="str">
        <f>IFERROR(AX277,"")</f>
        <v>2Q29</v>
      </c>
      <c r="AY321" s="75" t="str">
        <f>IFERROR(AY277,"")</f>
        <v>3Q29</v>
      </c>
      <c r="AZ321" s="75" t="str">
        <f>IFERROR(AZ277,"")</f>
        <v>4Q29</v>
      </c>
      <c r="BA321" s="75">
        <f>IFERROR(BA277,"")</f>
        <v>2029</v>
      </c>
      <c r="BB321" s="75" t="str">
        <f>IFERROR(BB277,"")</f>
        <v>1Q30</v>
      </c>
      <c r="BC321" s="75" t="str">
        <f>IFERROR(BC277,"")</f>
        <v>2Q30</v>
      </c>
      <c r="BD321" s="75" t="str">
        <f>IFERROR(BD277,"")</f>
        <v>3Q30</v>
      </c>
      <c r="BE321" s="75" t="str">
        <f>IFERROR(BE277,"")</f>
        <v>4Q30</v>
      </c>
      <c r="BF321" s="75">
        <f>IFERROR(BF277,"")</f>
        <v>2030</v>
      </c>
      <c r="BG321" s="75" t="n"/>
      <c r="BH321" s="75" t="n"/>
      <c r="BI321" s="75" t="n"/>
      <c r="BJ321" s="75" t="n"/>
      <c r="BK321" s="75" t="n"/>
      <c r="BL321" s="75" t="n"/>
      <c r="BM321" s="75" t="n"/>
      <c r="BN321" s="75" t="n"/>
      <c r="BO321" s="75" t="n"/>
      <c r="BP321" s="75" t="n"/>
      <c r="BQ321" s="75" t="n"/>
      <c r="BR321" s="75" t="n"/>
      <c r="BS321" s="75" t="n"/>
      <c r="BT321" s="75" t="n"/>
      <c r="BU321" s="75" t="n"/>
      <c r="BV321" s="75" t="n"/>
      <c r="BW321" s="75" t="n"/>
      <c r="BX321" s="75" t="n"/>
      <c r="BY321" s="75" t="n"/>
      <c r="BZ321" s="75" t="n"/>
      <c r="CA321" s="75" t="n"/>
      <c r="CB321" s="75" t="n"/>
      <c r="CC321" s="75" t="n"/>
      <c r="CD321" s="75" t="n"/>
      <c r="CE321" s="75" t="n"/>
      <c r="CF321" s="75" t="n"/>
      <c r="CG321" s="75" t="n"/>
      <c r="CH321" s="75" t="n"/>
      <c r="CI321" s="75" t="n"/>
      <c r="CJ321" s="75" t="n"/>
      <c r="CK321" s="75" t="n"/>
      <c r="CL321" s="75" t="n"/>
      <c r="CM321" s="75" t="n"/>
      <c r="CN321" s="75" t="n"/>
      <c r="CO321" s="75" t="n"/>
      <c r="CP321" s="75" t="n"/>
      <c r="CQ321" s="75" t="n"/>
      <c r="CR321" s="75" t="n"/>
      <c r="CS321" s="75" t="n"/>
      <c r="CT321" s="75" t="n"/>
      <c r="CU321" s="75" t="n"/>
      <c r="CV321" s="75" t="n"/>
      <c r="CW321" s="75" t="n"/>
      <c r="CX321" s="75" t="n"/>
      <c r="CY321" s="75" t="n"/>
    </row>
    <row r="322" customFormat="1" s="77">
      <c r="A322" s="76" t="n"/>
      <c r="B322" s="76" t="n"/>
      <c r="C322" s="74" t="inlineStr">
        <is>
          <t>GROWTH &amp; MARGINS</t>
        </is>
      </c>
    </row>
    <row r="323" customFormat="1" s="77">
      <c r="A323" s="76" t="n"/>
      <c r="B323" s="76" t="n"/>
      <c r="C323" s="77" t="inlineStr">
        <is>
          <t>NET REVENUE GROWTH (YoY)</t>
        </is>
      </c>
      <c r="E323" s="78" t="str">
        <f>IFERROR(E15/D15-1,"")</f>
        <v/>
      </c>
      <c r="F323" s="78" t="str">
        <f>IFERROR(F15/E15-1,"")</f>
        <v/>
      </c>
      <c r="G323" s="78" t="str">
        <f>IFERROR(G15/F15-1,"")</f>
        <v/>
      </c>
      <c r="H323" s="257" t="str">
        <f>""</f>
        <v/>
      </c>
      <c r="I323" s="257" t="str">
        <f>""</f>
        <v/>
      </c>
      <c r="J323" s="257" t="str">
        <f>""</f>
        <v/>
      </c>
      <c r="K323" s="257" t="str">
        <f>""</f>
        <v/>
      </c>
      <c r="L323" s="257" t="str">
        <f>""</f>
        <v/>
      </c>
      <c r="M323" s="257" t="str">
        <f>IFERROR(IF(AND(ISNUMBER(M15),ISNUMBER(H15),H15&lt;&gt;0),M15/H15-1,""),"")</f>
        <v/>
      </c>
      <c r="N323" s="257">
        <f>IFERROR(IF(AND(ISNUMBER(N15),ISNUMBER(I15),I15&lt;&gt;0),N15/I15-1,""),"")</f>
        <v>0.147060358294822</v>
      </c>
      <c r="O323" s="257">
        <f>IFERROR(IF(AND(ISNUMBER(O15),ISNUMBER(J15),J15&lt;&gt;0),O15/J15-1,""),"")</f>
        <v>0.0673195700606808</v>
      </c>
      <c r="P323" s="257">
        <f>IFERROR(IF(AND(ISNUMBER(P15),ISNUMBER(K15),K15&lt;&gt;0),P15/K15-1,""),"")</f>
        <v>0.0840830659320699</v>
      </c>
      <c r="Q323" s="257">
        <f>IFERROR(IF(AND(ISNUMBER(Q15),ISNUMBER(L15),L15&lt;&gt;0),Q15/L15-1,""),"")</f>
        <v>0.0665427017460403</v>
      </c>
      <c r="R323" s="257">
        <f>IFERROR(IF(AND(ISNUMBER(R15),ISNUMBER(M15),M15&lt;&gt;0),R15/M15-1,""),"")</f>
        <v>0.0901610018576546</v>
      </c>
      <c r="S323" s="257">
        <f>IFERROR(IF(AND(ISNUMBER(S15),ISNUMBER(N15),N15&lt;&gt;0),S15/N15-1,""),"")</f>
        <v>0.0334941663669408</v>
      </c>
      <c r="T323" s="257">
        <f>IFERROR(IF(AND(ISNUMBER(T15),ISNUMBER(O15),O15&lt;&gt;0),T15/O15-1,""),"")</f>
        <v>0.1301701918825</v>
      </c>
      <c r="U323" s="257">
        <f>IFERROR(IF(AND(ISNUMBER(U15),ISNUMBER(P15),P15&lt;&gt;0),U15/P15-1,""),"")</f>
        <v>0.120988729908745</v>
      </c>
      <c r="V323" s="257">
        <f>IFERROR(IF(AND(ISNUMBER(V15),ISNUMBER(Q15),Q15&lt;&gt;0),V15/Q15-1,""),"")</f>
        <v>0.150308969189847</v>
      </c>
      <c r="W323" s="257">
        <f>IFERROR(IF(AND(ISNUMBER(W15),ISNUMBER(R15),R15&lt;&gt;0),W15/R15-1,""),"")</f>
        <v>0.109116587619921</v>
      </c>
      <c r="X323" s="257">
        <f>IFERROR(IF(AND(ISNUMBER(X15),ISNUMBER(S15),S15&lt;&gt;0),X15/S15-1,""),"")</f>
        <v>0.167850901295287</v>
      </c>
      <c r="Y323" s="257">
        <f>IFERROR(IF(AND(ISNUMBER(Y15),ISNUMBER(T15),T15&lt;&gt;0),Y15/T15-1,""),"")</f>
        <v>0.08347693956299</v>
      </c>
      <c r="Z323" s="257">
        <f>IFERROR(IF(AND(ISNUMBER(Z15),ISNUMBER(U15),U15&lt;&gt;0),Z15/U15-1,""),"")</f>
        <v>0.064748756987276</v>
      </c>
      <c r="AA323" s="257">
        <f>IFERROR(IF(AND(ISNUMBER(AA15),ISNUMBER(V15),V15&lt;&gt;0),AA15/V15-1,""),"")</f>
        <v>0.0466944574087431</v>
      </c>
      <c r="AB323" s="257">
        <f>IFERROR(IF(AND(ISNUMBER(AB15),ISNUMBER(W15),W15&lt;&gt;0),AB15/W15-1,""),"")</f>
        <v>0.0882736857227127</v>
      </c>
      <c r="AC323" s="257">
        <f>IFERROR(IF(AND(ISNUMBER(AC15),ISNUMBER(X15),X15&lt;&gt;0),AC15/X15-1,""),"")</f>
        <v>0.063145018998688</v>
      </c>
      <c r="AD323" s="257">
        <f>IFERROR(IF(AND(ISNUMBER(AD15),ISNUMBER(Y15),Y15&lt;&gt;0),AD15/Y15-1,""),"")</f>
        <v>0.0247071957852538</v>
      </c>
      <c r="AE323" s="257">
        <f>IFERROR(IF(AND(ISNUMBER(AE15),ISNUMBER(Z15),Z15&lt;&gt;0),AE15/Z15-1,""),"")</f>
        <v>0.0552262672627779</v>
      </c>
      <c r="AF323" s="257">
        <f>IFERROR(IF(AND(ISNUMBER(AF15),ISNUMBER(AA15),AA15&lt;&gt;0),AF15/AA15-1,""),"")</f>
        <v>0.0646011416462158</v>
      </c>
      <c r="AG323" s="257">
        <f>IFERROR(IF(AND(ISNUMBER(AG15),ISNUMBER(AB15),AB15&lt;&gt;0),AG15/AB15-1,""),"")</f>
        <v>0.0522045220808505</v>
      </c>
      <c r="AH323" s="257">
        <f>IFERROR(IF(AND(ISNUMBER(AH15),ISNUMBER(AC15),AC15&lt;&gt;0),AH15/AC15-1,""),"")</f>
        <v>0.0781732884342354</v>
      </c>
      <c r="AI323" s="257">
        <f>IFERROR(IF(AND(ISNUMBER(AI15),ISNUMBER(AD15),AD15&lt;&gt;0),AI15/AD15-1,""),"")</f>
        <v>0.114807276539826</v>
      </c>
      <c r="AJ323" s="257">
        <f>IFERROR(IF(AND(ISNUMBER(AJ15),ISNUMBER(AE15),AE15&lt;&gt;0),AJ15/AE15-1,""),"")</f>
        <v>0.0667766981111662</v>
      </c>
      <c r="AK323" s="257">
        <f>IFERROR(IF(AND(ISNUMBER(AK15),ISNUMBER(AF15),AF15&lt;&gt;0),AK15/AF15-1,""),"")</f>
        <v>0.0667766981111662</v>
      </c>
      <c r="AL323" s="257">
        <f>IFERROR(IF(AND(ISNUMBER(AL15),ISNUMBER(AG15),AG15&lt;&gt;0),AL15/AG15-1,""),"")</f>
        <v>0.0809991987005096</v>
      </c>
      <c r="AM323" s="257">
        <f>IFERROR(IF(AND(ISNUMBER(AM15),ISNUMBER(AH15),AH15&lt;&gt;0),AM15/AH15-1,""),"")</f>
        <v>0.0667766981111662</v>
      </c>
      <c r="AN323" s="257">
        <f>IFERROR(IF(AND(ISNUMBER(AN15),ISNUMBER(AI15),AI15&lt;&gt;0),AN15/AI15-1,""),"")</f>
        <v>0.0667766981111662</v>
      </c>
      <c r="AO323" s="257">
        <f>IFERROR(IF(AND(ISNUMBER(AO15),ISNUMBER(AJ15),AJ15&lt;&gt;0),AO15/AJ15-1,""),"")</f>
        <v>0.0667766981111662</v>
      </c>
      <c r="AP323" s="257">
        <f>IFERROR(IF(AND(ISNUMBER(AP15),ISNUMBER(AK15),AK15&lt;&gt;0),AP15/AK15-1,""),"")</f>
        <v>0.0667766981111662</v>
      </c>
      <c r="AQ323" s="257">
        <f>IFERROR(IF(AND(ISNUMBER(AQ15),ISNUMBER(AL15),AL15&lt;&gt;0),AQ15/AL15-1,""),"")</f>
        <v>0.0667766981111662</v>
      </c>
      <c r="AR323" s="257">
        <f>IFERROR(IF(AND(ISNUMBER(AR15),ISNUMBER(AM15),AM15&lt;&gt;0),AR15/AM15-1,""),"")</f>
        <v>0.0617766981111663</v>
      </c>
      <c r="AS323" s="257">
        <f>IFERROR(IF(AND(ISNUMBER(AS15),ISNUMBER(AN15),AN15&lt;&gt;0),AS15/AN15-1,""),"")</f>
        <v>0.0617766981111663</v>
      </c>
      <c r="AT323" s="257">
        <f>IFERROR(IF(AND(ISNUMBER(AT15),ISNUMBER(AO15),AO15&lt;&gt;0),AT15/AO15-1,""),"")</f>
        <v>0.0617766981111663</v>
      </c>
      <c r="AU323" s="257">
        <f>IFERROR(IF(AND(ISNUMBER(AU15),ISNUMBER(AP15),AP15&lt;&gt;0),AU15/AP15-1,""),"")</f>
        <v>0.0617766981111663</v>
      </c>
      <c r="AV323" s="257">
        <f>IFERROR(IF(AND(ISNUMBER(AV15),ISNUMBER(AQ15),AQ15&lt;&gt;0),AV15/AQ15-1,""),"")</f>
        <v>0.0617766981111663</v>
      </c>
      <c r="AW323" s="257">
        <f>IFERROR(IF(AND(ISNUMBER(AW15),ISNUMBER(AR15),AR15&lt;&gt;0),AW15/AR15-1,""),"")</f>
        <v>0.0567766981111661</v>
      </c>
      <c r="AX323" s="257">
        <f>IFERROR(IF(AND(ISNUMBER(AX15),ISNUMBER(AS15),AS15&lt;&gt;0),AX15/AS15-1,""),"")</f>
        <v>0.0567766981111661</v>
      </c>
      <c r="AY323" s="257">
        <f>IFERROR(IF(AND(ISNUMBER(AY15),ISNUMBER(AT15),AT15&lt;&gt;0),AY15/AT15-1,""),"")</f>
        <v>0.0567766981111661</v>
      </c>
      <c r="AZ323" s="257">
        <f>IFERROR(IF(AND(ISNUMBER(AZ15),ISNUMBER(AU15),AU15&lt;&gt;0),AZ15/AU15-1,""),"")</f>
        <v>0.0567766981111661</v>
      </c>
      <c r="BA323" s="257">
        <f>IFERROR(IF(AND(ISNUMBER(BA15),ISNUMBER(AV15),AV15&lt;&gt;0),BA15/AV15-1,""),"")</f>
        <v>0.0567766981111661</v>
      </c>
      <c r="BB323" s="257">
        <f>IFERROR(IF(AND(ISNUMBER(BB15),ISNUMBER(AW15),AW15&lt;&gt;0),BB15/AW15-1,""),"")</f>
        <v>0.0517766981111663</v>
      </c>
      <c r="BC323" s="257">
        <f>IFERROR(IF(AND(ISNUMBER(BC15),ISNUMBER(AX15),AX15&lt;&gt;0),BC15/AX15-1,""),"")</f>
        <v>0.0517766981111663</v>
      </c>
      <c r="BD323" s="257">
        <f>IFERROR(IF(AND(ISNUMBER(BD15),ISNUMBER(AY15),AY15&lt;&gt;0),BD15/AY15-1,""),"")</f>
        <v>0.0517766981111663</v>
      </c>
      <c r="BE323" s="257">
        <f>IFERROR(IF(AND(ISNUMBER(BE15),ISNUMBER(AZ15),AZ15&lt;&gt;0),BE15/AZ15-1,""),"")</f>
        <v>0.0517766981111663</v>
      </c>
      <c r="BF323" s="257">
        <f>IFERROR(IF(AND(ISNUMBER(BF15),ISNUMBER(BA15),BA15&lt;&gt;0),BF15/BA15-1,""),"")</f>
        <v>0.0517766981111665</v>
      </c>
      <c r="BG323" s="79" t="n"/>
      <c r="BH323" s="79" t="n"/>
      <c r="BI323" s="79" t="n"/>
      <c r="BJ323" s="79" t="n"/>
      <c r="BK323" s="78" t="n"/>
      <c r="BL323" s="79" t="n"/>
      <c r="BM323" s="79" t="n"/>
      <c r="BN323" s="79" t="n"/>
      <c r="BO323" s="79" t="n"/>
      <c r="BP323" s="78" t="n"/>
      <c r="BQ323" s="79" t="n"/>
      <c r="BR323" s="79" t="n"/>
      <c r="BS323" s="79" t="n"/>
      <c r="BT323" s="79" t="n"/>
      <c r="BU323" s="78" t="n"/>
      <c r="BV323" s="79" t="n"/>
      <c r="BW323" s="79" t="n"/>
      <c r="BX323" s="79" t="n"/>
      <c r="BY323" s="79" t="n"/>
      <c r="BZ323" s="78" t="n"/>
      <c r="CA323" s="79" t="n"/>
      <c r="CB323" s="79" t="n"/>
      <c r="CC323" s="79" t="n"/>
      <c r="CD323" s="79" t="n"/>
      <c r="CE323" s="78" t="n"/>
      <c r="CF323" s="79" t="n"/>
      <c r="CG323" s="79" t="n"/>
      <c r="CH323" s="79" t="n"/>
      <c r="CI323" s="79" t="n"/>
      <c r="CJ323" s="78" t="n"/>
      <c r="CK323" s="79" t="n"/>
      <c r="CL323" s="79" t="n"/>
      <c r="CM323" s="79" t="n"/>
      <c r="CN323" s="79" t="n"/>
      <c r="CO323" s="78" t="n"/>
      <c r="CP323" s="79" t="n"/>
      <c r="CQ323" s="79" t="n"/>
      <c r="CR323" s="79" t="n"/>
      <c r="CS323" s="79" t="n"/>
      <c r="CT323" s="78" t="n"/>
      <c r="CU323" s="79" t="n"/>
      <c r="CV323" s="79" t="n"/>
      <c r="CW323" s="79" t="n"/>
      <c r="CX323" s="79" t="n"/>
      <c r="CY323" s="78" t="n"/>
    </row>
    <row r="324" customFormat="1" s="77">
      <c r="A324" s="76" t="n"/>
      <c r="B324" s="76" t="n"/>
      <c r="C324" s="77" t="inlineStr">
        <is>
          <t>GROSS MARGIN</t>
        </is>
      </c>
      <c r="D324" s="79" t="str">
        <f>IFERROR(SUM(D15,D56)/D15,"")</f>
        <v/>
      </c>
      <c r="E324" s="79" t="str">
        <f>IFERROR(SUM(E15,E56)/E15,"")</f>
        <v/>
      </c>
      <c r="F324" s="79" t="str">
        <f>IFERROR(SUM(F15,F56)/F15,"")</f>
        <v/>
      </c>
      <c r="G324" s="79" t="str">
        <f>IFERROR(SUM(G15,G56)/G15,"")</f>
        <v/>
      </c>
      <c r="H324" s="258" t="str">
        <f>IFERROR(IF(N(H15)&lt;&gt;0,(H15+H56)/H15,""),"")</f>
        <v/>
      </c>
      <c r="I324" s="258">
        <f>IFERROR(IF(N(I15)&lt;&gt;0,(I15+I56)/I15,""),"")</f>
        <v>0.68495021508778</v>
      </c>
      <c r="J324" s="258">
        <f>IFERROR(IF(N(J15)&lt;&gt;0,(J15+J56)/J15,""),"")</f>
        <v>0.684498609615758</v>
      </c>
      <c r="K324" s="258">
        <f>IFERROR(IF(N(K15)&lt;&gt;0,(K15+K56)/K15,""),"")</f>
        <v>0.684676394018284</v>
      </c>
      <c r="L324" s="258">
        <f>IFERROR(IF(N(L15)&lt;&gt;0,(L15+L56)/L15,""),"")</f>
        <v>0.67361029275145</v>
      </c>
      <c r="M324" s="258">
        <f>IFERROR(IF(N(M15)&lt;&gt;0,(M15+M56)/M15,""),"")</f>
        <v>0.681756363639159</v>
      </c>
      <c r="N324" s="258">
        <f>IFERROR(IF(N(N15)&lt;&gt;0,(N15+N56)/N15,""),"")</f>
        <v>0.655644343856666</v>
      </c>
      <c r="O324" s="258">
        <f>IFERROR(IF(N(O15)&lt;&gt;0,(O15+O56)/O15,""),"")</f>
        <v>0.59942918653563</v>
      </c>
      <c r="P324" s="258">
        <f>IFERROR(IF(N(P15)&lt;&gt;0,(P15+P56)/P15,""),"")</f>
        <v>0.677832741346379</v>
      </c>
      <c r="Q324" s="258">
        <f>IFERROR(IF(N(Q15)&lt;&gt;0,(Q15+Q56)/Q15,""),"")</f>
        <v>0.688477306558715</v>
      </c>
      <c r="R324" s="258">
        <f>IFERROR(IF(N(R15)&lt;&gt;0,(R15+R56)/R15,""),"")</f>
        <v>0.656317180113602</v>
      </c>
      <c r="S324" s="258">
        <f>IFERROR(IF(N(S15)&lt;&gt;0,(S15+S56)/S15,""),"")</f>
        <v>0.675146478968172</v>
      </c>
      <c r="T324" s="258">
        <f>IFERROR(IF(N(T15)&lt;&gt;0,(T15+T56)/T15,""),"")</f>
        <v>0.674900669193095</v>
      </c>
      <c r="U324" s="258">
        <f>IFERROR(IF(N(U15)&lt;&gt;0,(U15+U56)/U15,""),"")</f>
        <v>0.675264171341457</v>
      </c>
      <c r="V324" s="258">
        <f>IFERROR(IF(N(V15)&lt;&gt;0,(V15+V56)/V15,""),"")</f>
        <v>0.680816020101734</v>
      </c>
      <c r="W324" s="258">
        <f>IFERROR(IF(N(W15)&lt;&gt;0,(W15+W56)/W15,""),"")</f>
        <v>0.676645421006062</v>
      </c>
      <c r="X324" s="258">
        <f>IFERROR(IF(N(X15)&lt;&gt;0,(X15+X56)/X15,""),"")</f>
        <v>0.6746542427262</v>
      </c>
      <c r="Y324" s="258">
        <f>IFERROR(IF(N(Y15)&lt;&gt;0,(Y15+Y56)/Y15,""),"")</f>
        <v>0.64045108553272</v>
      </c>
      <c r="Z324" s="258">
        <f>IFERROR(IF(N(Z15)&lt;&gt;0,(Z15+Z56)/Z15,""),"")</f>
        <v>0.652597926712007</v>
      </c>
      <c r="AA324" s="258">
        <f>IFERROR(IF(N(AA15)&lt;&gt;0,(AA15+AA56)/AA15,""),"")</f>
        <v>0.670282799245809</v>
      </c>
      <c r="AB324" s="258">
        <f>IFERROR(IF(N(AB15)&lt;&gt;0,(AB15+AB56)/AB15,""),"")</f>
        <v>0.659701741430874</v>
      </c>
      <c r="AC324" s="258">
        <f>IFERROR(IF(N(AC15)&lt;&gt;0,(AC15+AC56)/AC15,""),"")</f>
        <v>0.617693671675623</v>
      </c>
      <c r="AD324" s="258">
        <f>IFERROR(IF(N(AD15)&lt;&gt;0,(AD15+AD56)/AD15,""),"")</f>
        <v>0.66609377079826</v>
      </c>
      <c r="AE324" s="258">
        <f>IFERROR(IF(N(AE15)&lt;&gt;0,(AE15+AE56)/AE15,""),"")</f>
        <v>0.650158438418531</v>
      </c>
      <c r="AF324" s="258">
        <f>IFERROR(IF(N(AF15)&lt;&gt;0,(AF15+AF56)/AF15,""),"")</f>
        <v>0.664839720944794</v>
      </c>
      <c r="AG324" s="258">
        <f>IFERROR(IF(N(AG15)&lt;&gt;0,(AG15+AG56)/AG15,""),"")</f>
        <v>0.649649230396877</v>
      </c>
      <c r="AH324" s="258">
        <f>IFERROR(IF(N(AH15)&lt;&gt;0,(AH15+AH56)/AH15,""),"")</f>
        <v>0.682965174885966</v>
      </c>
      <c r="AI324" s="258">
        <f>IFERROR(IF(N(AI15)&lt;&gt;0,(AI15+AI56)/AI15,""),"")</f>
        <v>0.655571335395232</v>
      </c>
      <c r="AJ324" s="258">
        <f>IFERROR(IF(N(AJ15)&lt;&gt;0,(AJ15+AJ56)/AJ15,""),"")</f>
        <v>0.656220352019735</v>
      </c>
      <c r="AK324" s="258">
        <f>IFERROR(IF(N(AK15)&lt;&gt;0,(AK15+AK56)/AK15,""),"")</f>
        <v>0.656220352019735</v>
      </c>
      <c r="AL324" s="258">
        <f>IFERROR(IF(N(AL15)&lt;&gt;0,(AL15+AL56)/AL15,""),"")</f>
        <v>0.662744744867377</v>
      </c>
      <c r="AM324" s="258">
        <f>IFERROR(IF(N(AM15)&lt;&gt;0,(AM15+AM56)/AM15,""),"")</f>
        <v>0.656220352019735</v>
      </c>
      <c r="AN324" s="258">
        <f>IFERROR(IF(N(AN15)&lt;&gt;0,(AN15+AN56)/AN15,""),"")</f>
        <v>0.656220352019735</v>
      </c>
      <c r="AO324" s="258">
        <f>IFERROR(IF(N(AO15)&lt;&gt;0,(AO15+AO56)/AO15,""),"")</f>
        <v>0.656220352019735</v>
      </c>
      <c r="AP324" s="258">
        <f>IFERROR(IF(N(AP15)&lt;&gt;0,(AP15+AP56)/AP15,""),"")</f>
        <v>0.656220352019735</v>
      </c>
      <c r="AQ324" s="258">
        <f>IFERROR(IF(N(AQ15)&lt;&gt;0,(AQ15+AQ56)/AQ15,""),"")</f>
        <v>0.656220352019735</v>
      </c>
      <c r="AR324" s="258">
        <f>IFERROR(IF(N(AR15)&lt;&gt;0,(AR15+AR56)/AR15,""),"")</f>
        <v>0.656220352019735</v>
      </c>
      <c r="AS324" s="258">
        <f>IFERROR(IF(N(AS15)&lt;&gt;0,(AS15+AS56)/AS15,""),"")</f>
        <v>0.656220352019735</v>
      </c>
      <c r="AT324" s="258">
        <f>IFERROR(IF(N(AT15)&lt;&gt;0,(AT15+AT56)/AT15,""),"")</f>
        <v>0.656220352019735</v>
      </c>
      <c r="AU324" s="258">
        <f>IFERROR(IF(N(AU15)&lt;&gt;0,(AU15+AU56)/AU15,""),"")</f>
        <v>0.656220352019735</v>
      </c>
      <c r="AV324" s="258">
        <f>IFERROR(IF(N(AV15)&lt;&gt;0,(AV15+AV56)/AV15,""),"")</f>
        <v>0.656220352019735</v>
      </c>
      <c r="AW324" s="258">
        <f>IFERROR(IF(N(AW15)&lt;&gt;0,(AW15+AW56)/AW15,""),"")</f>
        <v>0.656220352019735</v>
      </c>
      <c r="AX324" s="258">
        <f>IFERROR(IF(N(AX15)&lt;&gt;0,(AX15+AX56)/AX15,""),"")</f>
        <v>0.656220352019735</v>
      </c>
      <c r="AY324" s="258">
        <f>IFERROR(IF(N(AY15)&lt;&gt;0,(AY15+AY56)/AY15,""),"")</f>
        <v>0.656220352019735</v>
      </c>
      <c r="AZ324" s="258">
        <f>IFERROR(IF(N(AZ15)&lt;&gt;0,(AZ15+AZ56)/AZ15,""),"")</f>
        <v>0.656220352019735</v>
      </c>
      <c r="BA324" s="258">
        <f>IFERROR(IF(N(BA15)&lt;&gt;0,(BA15+BA56)/BA15,""),"")</f>
        <v>0.656220352019735</v>
      </c>
      <c r="BB324" s="258">
        <f>IFERROR(IF(N(BB15)&lt;&gt;0,(BB15+BB56)/BB15,""),"")</f>
        <v>0.656220352019735</v>
      </c>
      <c r="BC324" s="258">
        <f>IFERROR(IF(N(BC15)&lt;&gt;0,(BC15+BC56)/BC15,""),"")</f>
        <v>0.656220352019735</v>
      </c>
      <c r="BD324" s="258">
        <f>IFERROR(IF(N(BD15)&lt;&gt;0,(BD15+BD56)/BD15,""),"")</f>
        <v>0.656220352019735</v>
      </c>
      <c r="BE324" s="258">
        <f>IFERROR(IF(N(BE15)&lt;&gt;0,(BE15+BE56)/BE15,""),"")</f>
        <v>0.656220352019734</v>
      </c>
      <c r="BF324" s="258">
        <f>IFERROR(IF(N(BF15)&lt;&gt;0,(BF15+BF56)/BF15,""),"")</f>
        <v>0.656220352019735</v>
      </c>
      <c r="BG324" s="80" t="n"/>
      <c r="BH324" s="80" t="n"/>
      <c r="BI324" s="80" t="n"/>
      <c r="BJ324" s="80" t="n"/>
      <c r="BL324" s="80" t="n"/>
      <c r="BM324" s="80" t="n"/>
      <c r="BN324" s="80" t="n"/>
      <c r="BO324" s="80" t="n"/>
      <c r="BQ324" s="80" t="n"/>
      <c r="BR324" s="80" t="n"/>
      <c r="BS324" s="80" t="n"/>
      <c r="BT324" s="80" t="n"/>
      <c r="BV324" s="80" t="n"/>
      <c r="BW324" s="80" t="n"/>
      <c r="BX324" s="80" t="n"/>
      <c r="BY324" s="80" t="n"/>
      <c r="CA324" s="80" t="n"/>
      <c r="CB324" s="80" t="n"/>
      <c r="CC324" s="80" t="n"/>
      <c r="CD324" s="80" t="n"/>
      <c r="CF324" s="80" t="n"/>
      <c r="CG324" s="80" t="n"/>
      <c r="CH324" s="80" t="n"/>
      <c r="CI324" s="80" t="n"/>
      <c r="CK324" s="80" t="n"/>
      <c r="CL324" s="80" t="n"/>
      <c r="CM324" s="80" t="n"/>
      <c r="CN324" s="80" t="n"/>
      <c r="CP324" s="80" t="n"/>
      <c r="CQ324" s="80" t="n"/>
      <c r="CR324" s="80" t="n"/>
      <c r="CS324" s="80" t="n"/>
      <c r="CU324" s="80" t="n"/>
      <c r="CV324" s="80" t="n"/>
      <c r="CW324" s="80" t="n"/>
      <c r="CX324" s="80" t="n"/>
    </row>
    <row r="325" customFormat="1" s="77">
      <c r="A325" s="76" t="n"/>
      <c r="B325" s="76" t="n"/>
      <c r="C325" s="77" t="inlineStr">
        <is>
          <t>EBIT MARGIN</t>
        </is>
      </c>
      <c r="D325" s="78" t="str">
        <f>IFERROR((D75/D15),"")</f>
        <v/>
      </c>
      <c r="E325" s="78" t="str">
        <f>IFERROR((E75/E15),"")</f>
        <v/>
      </c>
      <c r="F325" s="78" t="str">
        <f>IFERROR((F75/F15),"")</f>
        <v/>
      </c>
      <c r="G325" s="78" t="str">
        <f>IFERROR((G75/G15),"")</f>
        <v/>
      </c>
      <c r="H325" s="258" t="str">
        <f>IFERROR(IF(N(H15)&lt;&gt;0,H75/H15,""),"")</f>
        <v/>
      </c>
      <c r="I325" s="257">
        <f>IFERROR(IF(N(I15)&lt;&gt;0,I75/I15,""),"")</f>
        <v>0.349625267840545</v>
      </c>
      <c r="J325" s="257">
        <f>IFERROR(IF(N(J15)&lt;&gt;0,J75/J15,""),"")</f>
        <v>0.380905599153126</v>
      </c>
      <c r="K325" s="257">
        <f>IFERROR(IF(N(K15)&lt;&gt;0,K75/K15,""),"")</f>
        <v>0.372660743476418</v>
      </c>
      <c r="L325" s="257">
        <f>IFERROR(IF(N(L15)&lt;&gt;0,L75/L15,""),"")</f>
        <v>0.34372720391386</v>
      </c>
      <c r="M325" s="258">
        <f>IFERROR(IF(N(M15)&lt;&gt;0,M75/M15,""),"")</f>
        <v>0.361559768903769</v>
      </c>
      <c r="N325" s="257">
        <f>IFERROR(IF(N(N15)&lt;&gt;0,N75/N15,""),"")</f>
        <v>0.349072603746547</v>
      </c>
      <c r="O325" s="257">
        <f>IFERROR(IF(N(O15)&lt;&gt;0,O75/O15,""),"")</f>
        <v>0.248196433997762</v>
      </c>
      <c r="P325" s="257">
        <f>IFERROR(IF(N(P15)&lt;&gt;0,P75/P15,""),"")</f>
        <v>0.325355471411498</v>
      </c>
      <c r="Q325" s="257">
        <f>IFERROR(IF(N(Q15)&lt;&gt;0,Q75/Q15,""),"")</f>
        <v>0.337146529214467</v>
      </c>
      <c r="R325" s="258">
        <f>IFERROR(IF(N(R15)&lt;&gt;0,R75/R15,""),"")</f>
        <v>0.315818908014545</v>
      </c>
      <c r="S325" s="257">
        <f>IFERROR(IF(N(S15)&lt;&gt;0,S75/S15,""),"")</f>
        <v>0.376916744098715</v>
      </c>
      <c r="T325" s="257">
        <f>IFERROR(IF(N(T15)&lt;&gt;0,T75/T15,""),"")</f>
        <v>0.355254360431997</v>
      </c>
      <c r="U325" s="257">
        <f>IFERROR(IF(N(U15)&lt;&gt;0,U75/U15,""),"")</f>
        <v>0.408801103018105</v>
      </c>
      <c r="V325" s="257">
        <f>IFERROR(IF(N(V15)&lt;&gt;0,V75/V15,""),"")</f>
        <v>0.354989604989605</v>
      </c>
      <c r="W325" s="258">
        <f>IFERROR(IF(N(W15)&lt;&gt;0,W75/W15,""),"")</f>
        <v>0.373852168595663</v>
      </c>
      <c r="X325" s="257">
        <f>IFERROR(IF(N(X15)&lt;&gt;0,X75/X15,""),"")</f>
        <v>0.377368946744782</v>
      </c>
      <c r="Y325" s="257">
        <f>IFERROR(IF(N(Y15)&lt;&gt;0,Y75/Y15,""),"")</f>
        <v>0.304565654720559</v>
      </c>
      <c r="Z325" s="257">
        <f>IFERROR(IF(N(Z15)&lt;&gt;0,Z75/Z15,""),"")</f>
        <v>0.360579453814246</v>
      </c>
      <c r="AA325" s="257">
        <f>IFERROR(IF(N(AA15)&lt;&gt;0,AA75/AA15,""),"")</f>
        <v>0.344814540197173</v>
      </c>
      <c r="AB325" s="258">
        <f>IFERROR(IF(N(AB15)&lt;&gt;0,AB75/AB15,""),"")</f>
        <v>0.347041033588441</v>
      </c>
      <c r="AC325" s="257">
        <f>IFERROR(IF(N(AC15)&lt;&gt;0,AC75/AC15,""),"")</f>
        <v>0.53433379513891</v>
      </c>
      <c r="AD325" s="257">
        <f>IFERROR(IF(N(AD15)&lt;&gt;0,AD75/AD15,""),"")</f>
        <v>0.224011666669599</v>
      </c>
      <c r="AE325" s="257">
        <f>IFERROR(IF(N(AE15)&lt;&gt;0,AE75/AE15,""),"")</f>
        <v>0.222075401943607</v>
      </c>
      <c r="AF325" s="257">
        <f>IFERROR(IF(N(AF15)&lt;&gt;0,AF75/AF15,""),"")</f>
        <v>0.312130609343865</v>
      </c>
      <c r="AG325" s="258">
        <f>IFERROR(IF(N(AG15)&lt;&gt;0,AG75/AG15,""),"")</f>
        <v>0.324395581459026</v>
      </c>
      <c r="AH325" s="257">
        <f>IFERROR(IF(N(AH15)&lt;&gt;0,AH75/AH15,""),"")</f>
        <v>0.344768731690124</v>
      </c>
      <c r="AI325" s="257">
        <f>IFERROR(IF(N(AI15)&lt;&gt;0,AI75/AI15,""),"")</f>
        <v>0.192202655221023</v>
      </c>
      <c r="AJ325" s="257">
        <f>IFERROR(IF(N(AJ15)&lt;&gt;0,AJ75/AJ15,""),"")</f>
        <v>0.304920476667855</v>
      </c>
      <c r="AK325" s="257">
        <f>IFERROR(IF(N(AK15)&lt;&gt;0,AK75/AK15,""),"")</f>
        <v>0.304920476667855</v>
      </c>
      <c r="AL325" s="258">
        <f>IFERROR(IF(N(AL15)&lt;&gt;0,AL75/AL15,""),"")</f>
        <v>0.287366356428366</v>
      </c>
      <c r="AM325" s="257">
        <f>IFERROR(IF(N(AM15)&lt;&gt;0,AM75/AM15,""),"")</f>
        <v>0.304920476667855</v>
      </c>
      <c r="AN325" s="257">
        <f>IFERROR(IF(N(AN15)&lt;&gt;0,AN75/AN15,""),"")</f>
        <v>0.304920476667855</v>
      </c>
      <c r="AO325" s="257">
        <f>IFERROR(IF(N(AO15)&lt;&gt;0,AO75/AO15,""),"")</f>
        <v>0.304920476667855</v>
      </c>
      <c r="AP325" s="257">
        <f>IFERROR(IF(N(AP15)&lt;&gt;0,AP75/AP15,""),"")</f>
        <v>0.304920476667855</v>
      </c>
      <c r="AQ325" s="258">
        <f>IFERROR(IF(N(AQ15)&lt;&gt;0,AQ75/AQ15,""),"")</f>
        <v>0.304920476667855</v>
      </c>
      <c r="AR325" s="257">
        <f>IFERROR(IF(N(AR15)&lt;&gt;0,AR75/AR15,""),"")</f>
        <v>0.304920476667855</v>
      </c>
      <c r="AS325" s="257">
        <f>IFERROR(IF(N(AS15)&lt;&gt;0,AS75/AS15,""),"")</f>
        <v>0.304920476667855</v>
      </c>
      <c r="AT325" s="257">
        <f>IFERROR(IF(N(AT15)&lt;&gt;0,AT75/AT15,""),"")</f>
        <v>0.304920476667855</v>
      </c>
      <c r="AU325" s="257">
        <f>IFERROR(IF(N(AU15)&lt;&gt;0,AU75/AU15,""),"")</f>
        <v>0.304920476667855</v>
      </c>
      <c r="AV325" s="258">
        <f>IFERROR(IF(N(AV15)&lt;&gt;0,AV75/AV15,""),"")</f>
        <v>0.304920476667855</v>
      </c>
      <c r="AW325" s="257">
        <f>IFERROR(IF(N(AW15)&lt;&gt;0,AW75/AW15,""),"")</f>
        <v>0.304920476667855</v>
      </c>
      <c r="AX325" s="257">
        <f>IFERROR(IF(N(AX15)&lt;&gt;0,AX75/AX15,""),"")</f>
        <v>0.304920476667855</v>
      </c>
      <c r="AY325" s="257">
        <f>IFERROR(IF(N(AY15)&lt;&gt;0,AY75/AY15,""),"")</f>
        <v>0.304920476667855</v>
      </c>
      <c r="AZ325" s="257">
        <f>IFERROR(IF(N(AZ15)&lt;&gt;0,AZ75/AZ15,""),"")</f>
        <v>0.304920476667855</v>
      </c>
      <c r="BA325" s="258">
        <f>IFERROR(IF(N(BA15)&lt;&gt;0,BA75/BA15,""),"")</f>
        <v>0.304920476667855</v>
      </c>
      <c r="BB325" s="257">
        <f>IFERROR(IF(N(BB15)&lt;&gt;0,BB75/BB15,""),"")</f>
        <v>0.304920476667855</v>
      </c>
      <c r="BC325" s="257">
        <f>IFERROR(IF(N(BC15)&lt;&gt;0,BC75/BC15,""),"")</f>
        <v>0.304920476667855</v>
      </c>
      <c r="BD325" s="257">
        <f>IFERROR(IF(N(BD15)&lt;&gt;0,BD75/BD15,""),"")</f>
        <v>0.304920476667855</v>
      </c>
      <c r="BE325" s="257">
        <f>IFERROR(IF(N(BE15)&lt;&gt;0,BE75/BE15,""),"")</f>
        <v>0.304920476667855</v>
      </c>
      <c r="BF325" s="258">
        <f>IFERROR(IF(N(BF15)&lt;&gt;0,BF75/BF15,""),"")</f>
        <v>0.304920476667855</v>
      </c>
      <c r="BG325" s="81" t="n"/>
      <c r="BH325" s="81" t="n"/>
      <c r="BI325" s="81" t="n"/>
      <c r="BJ325" s="81" t="n"/>
      <c r="BL325" s="81" t="n"/>
      <c r="BM325" s="81" t="n"/>
      <c r="BN325" s="81" t="n"/>
      <c r="BO325" s="81" t="n"/>
      <c r="BQ325" s="81" t="n"/>
      <c r="BR325" s="81" t="n"/>
      <c r="BS325" s="81" t="n"/>
      <c r="BT325" s="81" t="n"/>
      <c r="BV325" s="81" t="n"/>
      <c r="BW325" s="81" t="n"/>
      <c r="BX325" s="81" t="n"/>
      <c r="BY325" s="81" t="n"/>
      <c r="CA325" s="81" t="n"/>
      <c r="CB325" s="81" t="n"/>
      <c r="CC325" s="81" t="n"/>
      <c r="CD325" s="81" t="n"/>
      <c r="CF325" s="81" t="n"/>
      <c r="CG325" s="81" t="n"/>
      <c r="CH325" s="81" t="n"/>
      <c r="CI325" s="81" t="n"/>
      <c r="CK325" s="81" t="n"/>
      <c r="CL325" s="81" t="n"/>
      <c r="CM325" s="81" t="n"/>
      <c r="CN325" s="81" t="n"/>
      <c r="CP325" s="81" t="n"/>
      <c r="CQ325" s="81" t="n"/>
      <c r="CR325" s="81" t="n"/>
      <c r="CS325" s="81" t="n"/>
      <c r="CU325" s="81" t="n"/>
      <c r="CV325" s="81" t="n"/>
      <c r="CW325" s="81" t="n"/>
      <c r="CX325" s="81" t="n"/>
    </row>
    <row r="326" customFormat="1" s="77">
      <c r="A326" s="76" t="n"/>
      <c r="B326" s="76" t="n"/>
      <c r="C326" s="77" t="inlineStr">
        <is>
          <t>EBITDA MARGIN</t>
        </is>
      </c>
      <c r="D326" s="78" t="str">
        <f>IFERROR(D71/D15,"")</f>
        <v/>
      </c>
      <c r="E326" s="78" t="str">
        <f>IFERROR(E71/E15,"")</f>
        <v/>
      </c>
      <c r="F326" s="78" t="str">
        <f>IFERROR(F71/F15,"")</f>
        <v/>
      </c>
      <c r="G326" s="78" t="str">
        <f>IFERROR(G71/G15,"")</f>
        <v/>
      </c>
      <c r="H326" s="258" t="str">
        <f>IFERROR(IF(N(H15)&lt;&gt;0,H71/H15,""),"")</f>
        <v/>
      </c>
      <c r="I326" s="257">
        <f>IFERROR(IF(N(I15)&lt;&gt;0,I71/I15,""),"")</f>
        <v>0.426574184900479</v>
      </c>
      <c r="J326" s="257">
        <f>IFERROR(IF(N(J15)&lt;&gt;0,J71/J15,""),"")</f>
        <v>0.45756873979593</v>
      </c>
      <c r="K326" s="257">
        <f>IFERROR(IF(N(K15)&lt;&gt;0,K71/K15,""),"")</f>
        <v>0.44896394623721</v>
      </c>
      <c r="L326" s="257">
        <f>IFERROR(IF(N(L15)&lt;&gt;0,L71/L15,""),"")</f>
        <v>0.417212567787291</v>
      </c>
      <c r="M326" s="258">
        <f>IFERROR(IF(N(M15)&lt;&gt;0,M71/M15,""),"")</f>
        <v>0.437354306307802</v>
      </c>
      <c r="N326" s="257">
        <f>IFERROR(IF(N(N15)&lt;&gt;0,N71/N15,""),"")</f>
        <v>0.423977959145377</v>
      </c>
      <c r="O326" s="257">
        <f>IFERROR(IF(N(O15)&lt;&gt;0,O71/O15,""),"")</f>
        <v>0.326429075433757</v>
      </c>
      <c r="P326" s="257">
        <f>IFERROR(IF(N(P15)&lt;&gt;0,P71/P15,""),"")</f>
        <v>0.400537116465056</v>
      </c>
      <c r="Q326" s="257">
        <f>IFERROR(IF(N(Q15)&lt;&gt;0,Q71/Q15,""),"")</f>
        <v>0.414434921246072</v>
      </c>
      <c r="R326" s="258">
        <f>IFERROR(IF(N(R15)&lt;&gt;0,R71/R15,""),"")</f>
        <v>0.392210689174</v>
      </c>
      <c r="S326" s="257">
        <f>IFERROR(IF(N(S15)&lt;&gt;0,S71/S15,""),"")</f>
        <v>0.456894019999133</v>
      </c>
      <c r="T326" s="257">
        <f>IFERROR(IF(N(T15)&lt;&gt;0,T71/T15,""),"")</f>
        <v>0.431929996113355</v>
      </c>
      <c r="U326" s="257">
        <f>IFERROR(IF(N(U15)&lt;&gt;0,U71/U15,""),"")</f>
        <v>0.484548280706649</v>
      </c>
      <c r="V326" s="257">
        <f>IFERROR(IF(N(V15)&lt;&gt;0,V71/V15,""),"")</f>
        <v>0.428305660448518</v>
      </c>
      <c r="W326" s="258">
        <f>IFERROR(IF(N(W15)&lt;&gt;0,W71/W15,""),"")</f>
        <v>0.450147757668525</v>
      </c>
      <c r="X326" s="257">
        <f>IFERROR(IF(N(X15)&lt;&gt;0,X71/X15,""),"")</f>
        <v>0.455924928681305</v>
      </c>
      <c r="Y326" s="257">
        <f>IFERROR(IF(N(Y15)&lt;&gt;0,Y71/Y15,""),"")</f>
        <v>0.387030930411981</v>
      </c>
      <c r="Z326" s="257">
        <f>IFERROR(IF(N(Z15)&lt;&gt;0,Z71/Z15,""),"")</f>
        <v>0.443595196485096</v>
      </c>
      <c r="AA326" s="257">
        <f>IFERROR(IF(N(AA15)&lt;&gt;0,AA71/AA15,""),"")</f>
        <v>0.427789666407125</v>
      </c>
      <c r="AB326" s="258">
        <f>IFERROR(IF(N(AB15)&lt;&gt;0,AB71/AB15,""),"")</f>
        <v>0.428806672216528</v>
      </c>
      <c r="AC326" s="257">
        <f>IFERROR(IF(N(AC15)&lt;&gt;0,AC71/AC15,""),"")</f>
        <v>0.618164525022532</v>
      </c>
      <c r="AD326" s="257">
        <f>IFERROR(IF(N(AD15)&lt;&gt;0,AD71/AD15,""),"")</f>
        <v>0.314268273589735</v>
      </c>
      <c r="AE326" s="257">
        <f>IFERROR(IF(N(AE15)&lt;&gt;0,AE71/AE15,""),"")</f>
        <v>0.307972470458732</v>
      </c>
      <c r="AF326" s="257">
        <f>IFERROR(IF(N(AF15)&lt;&gt;0,AF71/AF15,""),"")</f>
        <v>0.399929241990278</v>
      </c>
      <c r="AG326" s="258">
        <f>IFERROR(IF(N(AG15)&lt;&gt;0,AG71/AG15,""),"")</f>
        <v>0.411305757212284</v>
      </c>
      <c r="AH326" s="257">
        <f>IFERROR(IF(N(AH15)&lt;&gt;0,AH71/AH15,""),"")</f>
        <v>0.433344088485445</v>
      </c>
      <c r="AI326" s="257">
        <f>IFERROR(IF(N(AI15)&lt;&gt;0,AI71/AI15,""),"")</f>
        <v>0.284174924782764</v>
      </c>
      <c r="AJ326" s="257">
        <f>IFERROR(IF(N(AJ15)&lt;&gt;0,AJ71/AJ15,""),"")</f>
        <v>0.392975587388248</v>
      </c>
      <c r="AK326" s="257">
        <f>IFERROR(IF(N(AK15)&lt;&gt;0,AK71/AK15,""),"")</f>
        <v>0.392975587388248</v>
      </c>
      <c r="AL326" s="258">
        <f>IFERROR(IF(N(AL15)&lt;&gt;0,AL71/AL15,""),"")</f>
        <v>0.376507525754022</v>
      </c>
      <c r="AM326" s="257">
        <f>IFERROR(IF(N(AM15)&lt;&gt;0,AM71/AM15,""),"")</f>
        <v>0.392975587388248</v>
      </c>
      <c r="AN326" s="257">
        <f>IFERROR(IF(N(AN15)&lt;&gt;0,AN71/AN15,""),"")</f>
        <v>0.392975587388248</v>
      </c>
      <c r="AO326" s="257">
        <f>IFERROR(IF(N(AO15)&lt;&gt;0,AO71/AO15,""),"")</f>
        <v>0.392975587388248</v>
      </c>
      <c r="AP326" s="257">
        <f>IFERROR(IF(N(AP15)&lt;&gt;0,AP71/AP15,""),"")</f>
        <v>0.392975587388248</v>
      </c>
      <c r="AQ326" s="258">
        <f>IFERROR(IF(N(AQ15)&lt;&gt;0,AQ71/AQ15,""),"")</f>
        <v>0.392975587388248</v>
      </c>
      <c r="AR326" s="257">
        <f>IFERROR(IF(N(AR15)&lt;&gt;0,AR71/AR15,""),"")</f>
        <v>0.392975587388248</v>
      </c>
      <c r="AS326" s="257">
        <f>IFERROR(IF(N(AS15)&lt;&gt;0,AS71/AS15,""),"")</f>
        <v>0.392975587388248</v>
      </c>
      <c r="AT326" s="257">
        <f>IFERROR(IF(N(AT15)&lt;&gt;0,AT71/AT15,""),"")</f>
        <v>0.392975587388248</v>
      </c>
      <c r="AU326" s="257">
        <f>IFERROR(IF(N(AU15)&lt;&gt;0,AU71/AU15,""),"")</f>
        <v>0.392975587388248</v>
      </c>
      <c r="AV326" s="258">
        <f>IFERROR(IF(N(AV15)&lt;&gt;0,AV71/AV15,""),"")</f>
        <v>0.392975587388248</v>
      </c>
      <c r="AW326" s="257">
        <f>IFERROR(IF(N(AW15)&lt;&gt;0,AW71/AW15,""),"")</f>
        <v>0.392975587388248</v>
      </c>
      <c r="AX326" s="257">
        <f>IFERROR(IF(N(AX15)&lt;&gt;0,AX71/AX15,""),"")</f>
        <v>0.392975587388248</v>
      </c>
      <c r="AY326" s="257">
        <f>IFERROR(IF(N(AY15)&lt;&gt;0,AY71/AY15,""),"")</f>
        <v>0.392975587388248</v>
      </c>
      <c r="AZ326" s="257">
        <f>IFERROR(IF(N(AZ15)&lt;&gt;0,AZ71/AZ15,""),"")</f>
        <v>0.392975587388248</v>
      </c>
      <c r="BA326" s="258">
        <f>IFERROR(IF(N(BA15)&lt;&gt;0,BA71/BA15,""),"")</f>
        <v>0.392975587388248</v>
      </c>
      <c r="BB326" s="257">
        <f>IFERROR(IF(N(BB15)&lt;&gt;0,BB71/BB15,""),"")</f>
        <v>0.392975587388248</v>
      </c>
      <c r="BC326" s="257">
        <f>IFERROR(IF(N(BC15)&lt;&gt;0,BC71/BC15,""),"")</f>
        <v>0.392975587388248</v>
      </c>
      <c r="BD326" s="257">
        <f>IFERROR(IF(N(BD15)&lt;&gt;0,BD71/BD15,""),"")</f>
        <v>0.392975587388248</v>
      </c>
      <c r="BE326" s="257">
        <f>IFERROR(IF(N(BE15)&lt;&gt;0,BE71/BE15,""),"")</f>
        <v>0.392975587388248</v>
      </c>
      <c r="BF326" s="258">
        <f>IFERROR(IF(N(BF15)&lt;&gt;0,BF71/BF15,""),"")</f>
        <v>0.392975587388248</v>
      </c>
      <c r="BG326" s="81" t="n"/>
      <c r="BH326" s="81" t="n"/>
      <c r="BI326" s="81" t="n"/>
      <c r="BJ326" s="81" t="n"/>
      <c r="BL326" s="81" t="n"/>
      <c r="BM326" s="81" t="n"/>
      <c r="BN326" s="81" t="n"/>
      <c r="BO326" s="81" t="n"/>
      <c r="BQ326" s="81" t="n"/>
      <c r="BR326" s="81" t="n"/>
      <c r="BS326" s="81" t="n"/>
      <c r="BT326" s="81" t="n"/>
      <c r="BV326" s="81" t="n"/>
      <c r="BW326" s="81" t="n"/>
      <c r="BX326" s="81" t="n"/>
      <c r="BY326" s="81" t="n"/>
      <c r="CA326" s="81" t="n"/>
      <c r="CB326" s="81" t="n"/>
      <c r="CC326" s="81" t="n"/>
      <c r="CD326" s="81" t="n"/>
      <c r="CF326" s="81" t="n"/>
      <c r="CG326" s="81" t="n"/>
      <c r="CH326" s="81" t="n"/>
      <c r="CI326" s="81" t="n"/>
      <c r="CK326" s="81" t="n"/>
      <c r="CL326" s="81" t="n"/>
      <c r="CM326" s="81" t="n"/>
      <c r="CN326" s="81" t="n"/>
      <c r="CP326" s="81" t="n"/>
      <c r="CQ326" s="81" t="n"/>
      <c r="CR326" s="81" t="n"/>
      <c r="CS326" s="81" t="n"/>
      <c r="CU326" s="81" t="n"/>
      <c r="CV326" s="81" t="n"/>
      <c r="CW326" s="81" t="n"/>
      <c r="CX326" s="81" t="n"/>
    </row>
    <row r="327" customFormat="1" s="77">
      <c r="A327" s="76" t="n"/>
      <c r="B327" s="76" t="n"/>
      <c r="C327" s="77" t="inlineStr">
        <is>
          <t>ETR</t>
        </is>
      </c>
      <c r="D327" s="78" t="str">
        <f>IFERROR(-D133/D132,"")</f>
        <v/>
      </c>
      <c r="E327" s="78" t="str">
        <f>IFERROR(-E133/E132,"")</f>
        <v/>
      </c>
      <c r="F327" s="78" t="str">
        <f>IFERROR(-F133/F132,"")</f>
        <v/>
      </c>
      <c r="G327" s="78" t="str">
        <f>IFERROR(-G133/G132,"")</f>
        <v/>
      </c>
      <c r="H327" s="258" t="str">
        <f>IFERROR(IF(N(H132)&lt;&gt;0,-H133/H132,""),"")</f>
        <v/>
      </c>
      <c r="I327" s="257">
        <f>IFERROR(IF(N(I132)&lt;&gt;0,-I133/I132,""),"")</f>
        <v>0.33879661439018</v>
      </c>
      <c r="J327" s="257">
        <f>IFERROR(IF(N(J132)&lt;&gt;0,-J133/J132,""),"")</f>
        <v>0.21749328339599</v>
      </c>
      <c r="K327" s="257">
        <f>IFERROR(IF(N(K132)&lt;&gt;0,-K133/K132,""),"")</f>
        <v>0.327501071001781</v>
      </c>
      <c r="L327" s="257">
        <f>IFERROR(IF(N(L132)&lt;&gt;0,-L133/L132,""),"")</f>
        <v>0.186463520824976</v>
      </c>
      <c r="M327" s="258">
        <f>IFERROR(IF(N(M132)&lt;&gt;0,-M133/M132,""),"")</f>
        <v>0.265128314298448</v>
      </c>
      <c r="N327" s="257">
        <f>IFERROR(IF(N(N132)&lt;&gt;0,-N133/N132,""),"")</f>
        <v>0.328312997262261</v>
      </c>
      <c r="O327" s="257">
        <f>IFERROR(IF(N(O132)&lt;&gt;0,-O133/O132,""),"")</f>
        <v>0.142950057732501</v>
      </c>
      <c r="P327" s="257">
        <f>IFERROR(IF(N(P132)&lt;&gt;0,-P133/P132,""),"")</f>
        <v>0.326592406498661</v>
      </c>
      <c r="Q327" s="257">
        <f>IFERROR(IF(N(Q132)&lt;&gt;0,-Q133/Q132,""),"")</f>
        <v>0.181726473555267</v>
      </c>
      <c r="R327" s="258">
        <f>IFERROR(IF(N(R132)&lt;&gt;0,-R133/R132,""),"")</f>
        <v>0.254388587123196</v>
      </c>
      <c r="S327" s="257">
        <f>IFERROR(IF(N(S132)&lt;&gt;0,-S133/S132,""),"")</f>
        <v>0.329832306761135</v>
      </c>
      <c r="T327" s="257">
        <f>IFERROR(IF(N(T132)&lt;&gt;0,-T133/T132,""),"")</f>
        <v>0.155249396862485</v>
      </c>
      <c r="U327" s="257">
        <f>IFERROR(IF(N(U132)&lt;&gt;0,-U133/U132,""),"")</f>
        <v>0.328350335046186</v>
      </c>
      <c r="V327" s="257">
        <f>IFERROR(IF(N(V132)&lt;&gt;0,-V133/V132,""),"")</f>
        <v>0.198939688547074</v>
      </c>
      <c r="W327" s="258">
        <f>IFERROR(IF(N(W132)&lt;&gt;0,-W133/W132,""),"")</f>
        <v>0.256682157525877</v>
      </c>
      <c r="X327" s="257">
        <f>IFERROR(IF(N(X132)&lt;&gt;0,-X133/X132,""),"")</f>
        <v>0.330061510042402</v>
      </c>
      <c r="Y327" s="257">
        <f>IFERROR(IF(N(Y132)&lt;&gt;0,-Y133/Y132,""),"")</f>
        <v>0.172291296625222</v>
      </c>
      <c r="Z327" s="257">
        <f>IFERROR(IF(N(Z132)&lt;&gt;0,-Z133/Z132,""),"")</f>
        <v>0.334955740520544</v>
      </c>
      <c r="AA327" s="257">
        <f>IFERROR(IF(N(AA132)&lt;&gt;0,-AA133/AA132,""),"")</f>
        <v>0.165008291873964</v>
      </c>
      <c r="AB327" s="258">
        <f>IFERROR(IF(N(AB132)&lt;&gt;0,-AB133/AB132,""),"")</f>
        <v>0.257816154554737</v>
      </c>
      <c r="AC327" s="257">
        <f>IFERROR(IF(N(AC132)&lt;&gt;0,-AC133/AC132,""),"")</f>
        <v>-0.0510227519902554</v>
      </c>
      <c r="AD327" s="257">
        <f>IFERROR(IF(N(AD132)&lt;&gt;0,-AD133/AD132,""),"")</f>
        <v>-0.310466427269431</v>
      </c>
      <c r="AE327" s="257">
        <f>IFERROR(IF(N(AE132)&lt;&gt;0,-AE133/AE132,""),"")</f>
        <v>0.451833147942158</v>
      </c>
      <c r="AF327" s="257">
        <f>IFERROR(IF(N(AF132)&lt;&gt;0,-AF133/AF132,""),"")</f>
        <v>0.280894627696202</v>
      </c>
      <c r="AG327" s="258">
        <f>IFERROR(IF(N(AG132)&lt;&gt;0,-AG133/AG132,""),"")</f>
        <v>0.0968825117093095</v>
      </c>
      <c r="AH327" s="257">
        <f>IFERROR(IF(N(AH132)&lt;&gt;0,-AH133/AH132,""),"")</f>
        <v>0.41080291824471</v>
      </c>
      <c r="AI327" s="257">
        <f>IFERROR(IF(N(AI132)&lt;&gt;0,-AI133/AI132,""),"")</f>
        <v>-0.779022510846904</v>
      </c>
      <c r="AJ327" s="257">
        <f>IFERROR(IF(N(AJ132)&lt;&gt;0,-AJ133/AJ132,""),"")</f>
        <v>0.00050316729607985</v>
      </c>
      <c r="AK327" s="257">
        <f>IFERROR(IF(N(AK132)&lt;&gt;0,-AK133/AK132,""),"")</f>
        <v>0.00050316729607985</v>
      </c>
      <c r="AL327" s="258">
        <f>IFERROR(IF(N(AL132)&lt;&gt;0,-AL133/AL132,""),"")</f>
        <v>0.261049430030407</v>
      </c>
      <c r="AM327" s="257">
        <f>IFERROR(IF(N(AM132)&lt;&gt;0,-AM133/AM132,""),"")</f>
        <v>0.00050316729607985</v>
      </c>
      <c r="AN327" s="257">
        <f>IFERROR(IF(N(AN132)&lt;&gt;0,-AN133/AN132,""),"")</f>
        <v>0.00050316729607985</v>
      </c>
      <c r="AO327" s="257">
        <f>IFERROR(IF(N(AO132)&lt;&gt;0,-AO133/AO132,""),"")</f>
        <v>0.00050316729607985</v>
      </c>
      <c r="AP327" s="257">
        <f>IFERROR(IF(N(AP132)&lt;&gt;0,-AP133/AP132,""),"")</f>
        <v>0.00050316729607985</v>
      </c>
      <c r="AQ327" s="258">
        <f>IFERROR(IF(N(AQ132)&lt;&gt;0,-AQ133/AQ132,""),"")</f>
        <v>0.00050316729607985</v>
      </c>
      <c r="AR327" s="257">
        <f>IFERROR(IF(N(AR132)&lt;&gt;0,-AR133/AR132,""),"")</f>
        <v>0.00050316729607985</v>
      </c>
      <c r="AS327" s="257">
        <f>IFERROR(IF(N(AS132)&lt;&gt;0,-AS133/AS132,""),"")</f>
        <v>0.00050316729607985</v>
      </c>
      <c r="AT327" s="257">
        <f>IFERROR(IF(N(AT132)&lt;&gt;0,-AT133/AT132,""),"")</f>
        <v>0.00050316729607985</v>
      </c>
      <c r="AU327" s="257">
        <f>IFERROR(IF(N(AU132)&lt;&gt;0,-AU133/AU132,""),"")</f>
        <v>0.00050316729607985</v>
      </c>
      <c r="AV327" s="258">
        <f>IFERROR(IF(N(AV132)&lt;&gt;0,-AV133/AV132,""),"")</f>
        <v>0.00050316729607985</v>
      </c>
      <c r="AW327" s="257">
        <f>IFERROR(IF(N(AW132)&lt;&gt;0,-AW133/AW132,""),"")</f>
        <v>0.00050316729607985</v>
      </c>
      <c r="AX327" s="257">
        <f>IFERROR(IF(N(AX132)&lt;&gt;0,-AX133/AX132,""),"")</f>
        <v>0.00050316729607985</v>
      </c>
      <c r="AY327" s="257">
        <f>IFERROR(IF(N(AY132)&lt;&gt;0,-AY133/AY132,""),"")</f>
        <v>0.00050316729607985</v>
      </c>
      <c r="AZ327" s="257">
        <f>IFERROR(IF(N(AZ132)&lt;&gt;0,-AZ133/AZ132,""),"")</f>
        <v>0.00050316729607985</v>
      </c>
      <c r="BA327" s="258">
        <f>IFERROR(IF(N(BA132)&lt;&gt;0,-BA133/BA132,""),"")</f>
        <v>0.00050316729607985</v>
      </c>
      <c r="BB327" s="257">
        <f>IFERROR(IF(N(BB132)&lt;&gt;0,-BB133/BB132,""),"")</f>
        <v>0.00050316729607985</v>
      </c>
      <c r="BC327" s="257">
        <f>IFERROR(IF(N(BC132)&lt;&gt;0,-BC133/BC132,""),"")</f>
        <v>0.00050316729607985</v>
      </c>
      <c r="BD327" s="257">
        <f>IFERROR(IF(N(BD132)&lt;&gt;0,-BD133/BD132,""),"")</f>
        <v>0.00050316729607985</v>
      </c>
      <c r="BE327" s="257">
        <f>IFERROR(IF(N(BE132)&lt;&gt;0,-BE133/BE132,""),"")</f>
        <v>0.00050316729607985</v>
      </c>
      <c r="BF327" s="258">
        <f>IFERROR(IF(N(BF132)&lt;&gt;0,-BF133/BF132,""),"")</f>
        <v>0.00050316729607985</v>
      </c>
      <c r="BG327" s="81" t="n"/>
      <c r="BH327" s="81" t="n"/>
      <c r="BI327" s="81" t="n"/>
      <c r="BJ327" s="81" t="n"/>
      <c r="BL327" s="81" t="n"/>
      <c r="BM327" s="81" t="n"/>
      <c r="BN327" s="81" t="n"/>
      <c r="BO327" s="81" t="n"/>
      <c r="BQ327" s="81" t="n"/>
      <c r="BR327" s="81" t="n"/>
      <c r="BS327" s="81" t="n"/>
      <c r="BT327" s="81" t="n"/>
      <c r="BV327" s="81" t="n"/>
      <c r="BW327" s="81" t="n"/>
      <c r="BX327" s="81" t="n"/>
      <c r="BY327" s="81" t="n"/>
      <c r="CA327" s="81" t="n"/>
      <c r="CB327" s="81" t="n"/>
      <c r="CC327" s="81" t="n"/>
      <c r="CD327" s="81" t="n"/>
      <c r="CF327" s="81" t="n"/>
      <c r="CG327" s="81" t="n"/>
      <c r="CH327" s="81" t="n"/>
      <c r="CI327" s="81" t="n"/>
      <c r="CK327" s="81" t="n"/>
      <c r="CL327" s="81" t="n"/>
      <c r="CM327" s="81" t="n"/>
      <c r="CN327" s="81" t="n"/>
      <c r="CP327" s="81" t="n"/>
      <c r="CQ327" s="81" t="n"/>
      <c r="CR327" s="81" t="n"/>
      <c r="CS327" s="81" t="n"/>
      <c r="CU327" s="81" t="n"/>
      <c r="CV327" s="81" t="n"/>
      <c r="CW327" s="81" t="n"/>
      <c r="CX327" s="81" t="n"/>
    </row>
    <row r="328" customFormat="1" s="77">
      <c r="A328" s="76" t="n"/>
      <c r="B328" s="76" t="n"/>
    </row>
    <row r="329" customFormat="1" s="77">
      <c r="A329" s="76" t="n"/>
      <c r="B329" s="76" t="n"/>
      <c r="C329" s="74" t="inlineStr">
        <is>
          <t>CAPITAL STRUCTURE</t>
        </is>
      </c>
    </row>
    <row r="330" customFormat="1" s="77">
      <c r="A330" s="76" t="n"/>
      <c r="B330" s="76" t="n"/>
      <c r="C330" s="77" t="inlineStr">
        <is>
          <t>TOTAL DEBT / EQUITY (BOOK VALUE)</t>
        </is>
      </c>
      <c r="H330" s="262" t="str">
        <f>IFERROR(IF(N(H273)&lt;&gt;0,(N(H214)+N(H215)+N(H216)+N(H219)+N(H237)+N(H240))/H273,""),"")</f>
        <v/>
      </c>
      <c r="I330" s="262">
        <f>IFERROR(IF(N(I273)&lt;&gt;0,(N(I214)+N(I215)+N(I216)+N(I219)+N(I237)+N(I240))/I273,""),"")</f>
        <v>0.570475515299556</v>
      </c>
      <c r="J330" s="262">
        <f>IFERROR(IF(N(J273)&lt;&gt;0,(N(J214)+N(J215)+N(J216)+N(J219)+N(J237)+N(J240))/J273,""),"")</f>
        <v>0.552116786404066</v>
      </c>
      <c r="K330" s="262">
        <f>IFERROR(IF(N(K273)&lt;&gt;0,(N(K214)+N(K215)+N(K216)+N(K219)+N(K237)+N(K240))/K273,""),"")</f>
        <v>0.535658840663404</v>
      </c>
      <c r="L330" s="262">
        <f>IFERROR(IF(N(L273)&lt;&gt;0,(N(L214)+N(L215)+N(L216)+N(L219)+N(L237)+N(L240))/L273,""),"")</f>
        <v>0.526499480855807</v>
      </c>
      <c r="M330" s="262">
        <f>IFERROR(IF(N(M273)&lt;&gt;0,(N(M214)+N(M215)+N(M216)+N(M219)+N(M237)+N(M240))/M273,""),"")</f>
        <v>0.526499480855807</v>
      </c>
      <c r="N330" s="262">
        <f>IFERROR(IF(N(N273)&lt;&gt;0,(N(N214)+N(N215)+N(N216)+N(N219)+N(N237)+N(N240))/N273,""),"")</f>
        <v>0.583465031904518</v>
      </c>
      <c r="O330" s="262">
        <f>IFERROR(IF(N(O273)&lt;&gt;0,(N(O214)+N(O215)+N(O216)+N(O219)+N(O237)+N(O240))/O273,""),"")</f>
        <v>0.593740571872849</v>
      </c>
      <c r="P330" s="262">
        <f>IFERROR(IF(N(P273)&lt;&gt;0,(N(P214)+N(P215)+N(P216)+N(P219)+N(P237)+N(P240))/P273,""),"")</f>
        <v>0.583819706751257</v>
      </c>
      <c r="Q330" s="262">
        <f>IFERROR(IF(N(Q273)&lt;&gt;0,(N(Q214)+N(Q215)+N(Q216)+N(Q219)+N(Q237)+N(Q240))/Q273,""),"")</f>
        <v>0.578503399440553</v>
      </c>
      <c r="R330" s="262">
        <f>IFERROR(IF(N(R273)&lt;&gt;0,(N(R214)+N(R215)+N(R216)+N(R219)+N(R237)+N(R240))/R273,""),"")</f>
        <v>0.578503399440553</v>
      </c>
      <c r="S330" s="262">
        <f>IFERROR(IF(N(S273)&lt;&gt;0,(N(S214)+N(S215)+N(S216)+N(S219)+N(S237)+N(S240))/S273,""),"")</f>
        <v>0.568697213989057</v>
      </c>
      <c r="T330" s="262">
        <f>IFERROR(IF(N(T273)&lt;&gt;0,(N(T214)+N(T215)+N(T216)+N(T219)+N(T237)+N(T240))/T273,""),"")</f>
        <v>0.616928406595936</v>
      </c>
      <c r="U330" s="262">
        <f>IFERROR(IF(N(U273)&lt;&gt;0,(N(U214)+N(U215)+N(U216)+N(U219)+N(U237)+N(U240))/U273,""),"")</f>
        <v>0.597771629449768</v>
      </c>
      <c r="V330" s="262">
        <f>IFERROR(IF(N(V273)&lt;&gt;0,(N(V214)+N(V215)+N(V216)+N(V219)+N(V237)+N(V240))/V273,""),"")</f>
        <v>0.592933232076517</v>
      </c>
      <c r="W330" s="262">
        <f>IFERROR(IF(N(W273)&lt;&gt;0,(N(W214)+N(W215)+N(W216)+N(W219)+N(W237)+N(W240))/W273,""),"")</f>
        <v>0.592933232076517</v>
      </c>
      <c r="X330" s="262">
        <f>IFERROR(IF(N(X273)&lt;&gt;0,(N(X214)+N(X215)+N(X216)+N(X219)+N(X237)+N(X240))/X273,""),"")</f>
        <v>0.631743976817623</v>
      </c>
      <c r="Y330" s="262">
        <f>IFERROR(IF(N(Y273)&lt;&gt;0,(N(Y214)+N(Y215)+N(Y216)+N(Y219)+N(Y237)+N(Y240))/Y273,""),"")</f>
        <v>0.627251787411975</v>
      </c>
      <c r="Z330" s="262">
        <f>IFERROR(IF(N(Z273)&lt;&gt;0,(N(Z214)+N(Z215)+N(Z216)+N(Z219)+N(Z237)+N(Z240))/Z273,""),"")</f>
        <v>0.611778583052857</v>
      </c>
      <c r="AA330" s="262">
        <f>IFERROR(IF(N(AA273)&lt;&gt;0,(N(AA214)+N(AA215)+N(AA216)+N(AA219)+N(AA237)+N(AA240))/AA273,""),"")</f>
        <v>0.612384747320248</v>
      </c>
      <c r="AB330" s="262">
        <f>IFERROR(IF(N(AB273)&lt;&gt;0,(N(AB214)+N(AB215)+N(AB216)+N(AB219)+N(AB237)+N(AB240))/AB273,""),"")</f>
        <v>0.612384747320248</v>
      </c>
      <c r="AC330" s="262">
        <f>IFERROR(IF(N(AC273)&lt;&gt;0,(N(AC214)+N(AC215)+N(AC216)+N(AC219)+N(AC237)+N(AC240))/AC273,""),"")</f>
        <v>0.549090946854204</v>
      </c>
      <c r="AD330" s="262">
        <f>IFERROR(IF(N(AD273)&lt;&gt;0,(N(AD214)+N(AD215)+N(AD216)+N(AD219)+N(AD237)+N(AD240))/AD273,""),"")</f>
        <v>0.568389177945651</v>
      </c>
      <c r="AE330" s="262">
        <f>IFERROR(IF(N(AE273)&lt;&gt;0,(N(AE214)+N(AE215)+N(AE216)+N(AE219)+N(AE237)+N(AE240))/AE273,""),"")</f>
        <v>0.603098803752764</v>
      </c>
      <c r="AF330" s="262">
        <f>IFERROR(IF(N(AF273)&lt;&gt;0,(N(AF214)+N(AF215)+N(AF216)+N(AF219)+N(AF237)+N(AF240))/AF273,""),"")</f>
        <v>0.598703848084121</v>
      </c>
      <c r="AG330" s="262">
        <f>IFERROR(IF(N(AG273)&lt;&gt;0,(N(AG214)+N(AG215)+N(AG216)+N(AG219)+N(AG237)+N(AG240))/AG273,""),"")</f>
        <v>0.598703848084121</v>
      </c>
      <c r="AH330" s="262">
        <f>IFERROR(IF(N(AH273)&lt;&gt;0,(N(AH214)+N(AH215)+N(AH216)+N(AH219)+N(AH237)+N(AH240))/AH273,""),"")</f>
        <v>0.573275444625558</v>
      </c>
      <c r="AI330" s="262">
        <f>IFERROR(IF(N(AI273)&lt;&gt;0,(N(AI214)+N(AI215)+N(AI216)+N(AI219)+N(AI237)+N(AI240))/AI273,""),"")</f>
        <v>0.598984044365957</v>
      </c>
      <c r="AJ330" s="262">
        <f>IFERROR(IF(N(AJ273)&lt;&gt;0,(N(AJ214)+N(AJ215)+N(AJ216)+N(AJ219)+N(AJ237)+N(AJ240))/AJ273,""),"")</f>
        <v>0.565307146421185</v>
      </c>
      <c r="AK330" s="262">
        <f>IFERROR(IF(N(AK273)&lt;&gt;0,(N(AK214)+N(AK215)+N(AK216)+N(AK219)+N(AK237)+N(AK240))/AK273,""),"")</f>
        <v>0.533848662214383</v>
      </c>
      <c r="AL330" s="262">
        <f>IFERROR(IF(N(AL273)&lt;&gt;0,(N(AL214)+N(AL215)+N(AL216)+N(AL219)+N(AL237)+N(AL240))/AL273,""),"")</f>
        <v>0.533848662214383</v>
      </c>
      <c r="AM330" s="262">
        <f>IFERROR(IF(N(AM273)&lt;&gt;0,(N(AM214)+N(AM215)+N(AM216)+N(AM219)+N(AM237)+N(AM240))/AM273,""),"")</f>
        <v>0.504927000690458</v>
      </c>
      <c r="AN330" s="262">
        <f>IFERROR(IF(N(AN273)&lt;&gt;0,(N(AN214)+N(AN215)+N(AN216)+N(AN219)+N(AN237)+N(AN240))/AN273,""),"")</f>
        <v>0.479550248589994</v>
      </c>
      <c r="AO330" s="262">
        <f>IFERROR(IF(N(AO273)&lt;&gt;0,(N(AO214)+N(AO215)+N(AO216)+N(AO219)+N(AO237)+N(AO240))/AO273,""),"")</f>
        <v>0.456332434448263</v>
      </c>
      <c r="AP330" s="262">
        <f>IFERROR(IF(N(AP273)&lt;&gt;0,(N(AP214)+N(AP215)+N(AP216)+N(AP219)+N(AP237)+N(AP240))/AP273,""),"")</f>
        <v>0.434294332929868</v>
      </c>
      <c r="AQ330" s="262">
        <f>IFERROR(IF(N(AQ273)&lt;&gt;0,(N(AQ214)+N(AQ215)+N(AQ216)+N(AQ219)+N(AQ237)+N(AQ240))/AQ273,""),"")</f>
        <v>0.434294332929868</v>
      </c>
      <c r="AR330" s="262">
        <f>IFERROR(IF(N(AR273)&lt;&gt;0,(N(AR214)+N(AR215)+N(AR216)+N(AR219)+N(AR237)+N(AR240))/AR273,""),"")</f>
        <v>0.413820199756406</v>
      </c>
      <c r="AS330" s="262">
        <f>IFERROR(IF(N(AS273)&lt;&gt;0,(N(AS214)+N(AS215)+N(AS216)+N(AS219)+N(AS237)+N(AS240))/AS273,""),"")</f>
        <v>0.395603154239102</v>
      </c>
      <c r="AT330" s="262">
        <f>IFERROR(IF(N(AT273)&lt;&gt;0,(N(AT214)+N(AT215)+N(AT216)+N(AT219)+N(AT237)+N(AT240))/AT273,""),"")</f>
        <v>0.378725080713079</v>
      </c>
      <c r="AU330" s="262">
        <f>IFERROR(IF(N(AU273)&lt;&gt;0,(N(AU214)+N(AU215)+N(AU216)+N(AU219)+N(AU237)+N(AU240))/AU273,""),"")</f>
        <v>0.362514759197068</v>
      </c>
      <c r="AV330" s="262">
        <f>IFERROR(IF(N(AV273)&lt;&gt;0,(N(AV214)+N(AV215)+N(AV216)+N(AV219)+N(AV237)+N(AV240))/AV273,""),"")</f>
        <v>0.362514759197068</v>
      </c>
      <c r="AW330" s="262">
        <f>IFERROR(IF(N(AW273)&lt;&gt;0,(N(AW214)+N(AW215)+N(AW216)+N(AW219)+N(AW237)+N(AW240))/AW273,""),"")</f>
        <v>0.347355005060165</v>
      </c>
      <c r="AX330" s="262">
        <f>IFERROR(IF(N(AX273)&lt;&gt;0,(N(AX214)+N(AX215)+N(AX216)+N(AX219)+N(AX237)+N(AX240))/AX273,""),"")</f>
        <v>0.333723310561553</v>
      </c>
      <c r="AY330" s="262">
        <f>IFERROR(IF(N(AY273)&lt;&gt;0,(N(AY214)+N(AY215)+N(AY216)+N(AY219)+N(AY237)+N(AY240))/AY273,""),"")</f>
        <v>0.320971402480196</v>
      </c>
      <c r="AZ330" s="262">
        <f>IFERROR(IF(N(AZ273)&lt;&gt;0,(N(AZ214)+N(AZ215)+N(AZ216)+N(AZ219)+N(AZ237)+N(AZ240))/AZ273,""),"")</f>
        <v>0.308611814714097</v>
      </c>
      <c r="BA330" s="262">
        <f>IFERROR(IF(N(BA273)&lt;&gt;0,(N(BA214)+N(BA215)+N(BA216)+N(BA219)+N(BA237)+N(BA240))/BA273,""),"")</f>
        <v>0.308611814714097</v>
      </c>
      <c r="BB330" s="262">
        <f>IFERROR(IF(N(BB273)&lt;&gt;0,(N(BB214)+N(BB215)+N(BB216)+N(BB219)+N(BB237)+N(BB240))/BB273,""),"")</f>
        <v>0.297005521955837</v>
      </c>
      <c r="BC330" s="262">
        <f>IFERROR(IF(N(BC273)&lt;&gt;0,(N(BC214)+N(BC215)+N(BC216)+N(BC219)+N(BC237)+N(BC240))/BC273,""),"")</f>
        <v>0.286481671900985</v>
      </c>
      <c r="BD330" s="262">
        <f>IFERROR(IF(N(BD273)&lt;&gt;0,(N(BD214)+N(BD215)+N(BD216)+N(BD219)+N(BD237)+N(BD240))/BD273,""),"")</f>
        <v>0.276561164771309</v>
      </c>
      <c r="BE330" s="262">
        <f>IFERROR(IF(N(BE273)&lt;&gt;0,(N(BE214)+N(BE215)+N(BE216)+N(BE219)+N(BE237)+N(BE240))/BE273,""),"")</f>
        <v>0.266875088715321</v>
      </c>
      <c r="BF330" s="262">
        <f>IFERROR(IF(N(BF273)&lt;&gt;0,(N(BF214)+N(BF215)+N(BF216)+N(BF219)+N(BF237)+N(BF240))/BF273,""),"")</f>
        <v>0.266875088715321</v>
      </c>
    </row>
    <row r="331" customFormat="1" s="77">
      <c r="A331" s="76" t="n"/>
      <c r="B331" s="76" t="n"/>
      <c r="C331" s="77" t="inlineStr">
        <is>
          <t>NET DEBT / (NET DEBT + EQUITY) (BOOK VALUE)</t>
        </is>
      </c>
      <c r="H331" s="258" t="str">
        <f>IFERROR(IF(((N(H214)+N(H215)+N(H216)+N(H219)+N(H237)+N(H240))-N(H146)+N(H273))&lt;&gt;0,((N(H214)+N(H215)+N(H216)+N(H219)+N(H237)+N(H240))-N(H146))/((N(H214)+N(H215)+N(H216)+N(H219)+N(H237)+N(H240))-N(H146)+H273),""),"")</f>
        <v/>
      </c>
      <c r="I331" s="258">
        <f>IFERROR(IF(((N(I214)+N(I215)+N(I216)+N(I219)+N(I237)+N(I240))-N(I146)+N(I273))&lt;&gt;0,((N(I214)+N(I215)+N(I216)+N(I219)+N(I237)+N(I240))-N(I146))/((N(I214)+N(I215)+N(I216)+N(I219)+N(I237)+N(I240))-N(I146)+I273),""),"")</f>
        <v>0.278640290716977</v>
      </c>
      <c r="J331" s="258">
        <f>IFERROR(IF(((N(J214)+N(J215)+N(J216)+N(J219)+N(J237)+N(J240))-N(J146)+N(J273))&lt;&gt;0,((N(J214)+N(J215)+N(J216)+N(J219)+N(J237)+N(J240))-N(J146))/((N(J214)+N(J215)+N(J216)+N(J219)+N(J237)+N(J240))-N(J146)+J273),""),"")</f>
        <v>0.294246065440083</v>
      </c>
      <c r="K331" s="258">
        <f>IFERROR(IF(((N(K214)+N(K215)+N(K216)+N(K219)+N(K237)+N(K240))-N(K146)+N(K273))&lt;&gt;0,((N(K214)+N(K215)+N(K216)+N(K219)+N(K237)+N(K240))-N(K146))/((N(K214)+N(K215)+N(K216)+N(K219)+N(K237)+N(K240))-N(K146)+K273),""),"")</f>
        <v>0.28281629258987</v>
      </c>
      <c r="L331" s="258">
        <f>IFERROR(IF(((N(L214)+N(L215)+N(L216)+N(L219)+N(L237)+N(L240))-N(L146)+N(L273))&lt;&gt;0,((N(L214)+N(L215)+N(L216)+N(L219)+N(L237)+N(L240))-N(L146))/((N(L214)+N(L215)+N(L216)+N(L219)+N(L237)+N(L240))-N(L146)+L273),""),"")</f>
        <v>0.286163896028559</v>
      </c>
      <c r="M331" s="258">
        <f>IFERROR(IF(((N(M214)+N(M215)+N(M216)+N(M219)+N(M237)+N(M240))-N(M146)+N(M273))&lt;&gt;0,((N(M214)+N(M215)+N(M216)+N(M219)+N(M237)+N(M240))-N(M146))/((N(M214)+N(M215)+N(M216)+N(M219)+N(M237)+N(M240))-N(M146)+M273),""),"")</f>
        <v>0.28616389602856</v>
      </c>
      <c r="N331" s="258">
        <f>IFERROR(IF(((N(N214)+N(N215)+N(N216)+N(N219)+N(N237)+N(N240))-N(N146)+N(N273))&lt;&gt;0,((N(N214)+N(N215)+N(N216)+N(N219)+N(N237)+N(N240))-N(N146))/((N(N214)+N(N215)+N(N216)+N(N219)+N(N237)+N(N240))-N(N146)+N273),""),"")</f>
        <v>0.27928524091559</v>
      </c>
      <c r="O331" s="258">
        <f>IFERROR(IF(((N(O214)+N(O215)+N(O216)+N(O219)+N(O237)+N(O240))-N(O146)+N(O273))&lt;&gt;0,((N(O214)+N(O215)+N(O216)+N(O219)+N(O237)+N(O240))-N(O146))/((N(O214)+N(O215)+N(O216)+N(O219)+N(O237)+N(O240))-N(O146)+O273),""),"")</f>
        <v>0.306578703843025</v>
      </c>
      <c r="P331" s="258">
        <f>IFERROR(IF(((N(P214)+N(P215)+N(P216)+N(P219)+N(P237)+N(P240))-N(P146)+N(P273))&lt;&gt;0,((N(P214)+N(P215)+N(P216)+N(P219)+N(P237)+N(P240))-N(P146))/((N(P214)+N(P215)+N(P216)+N(P219)+N(P237)+N(P240))-N(P146)+P273),""),"")</f>
        <v>0.304513941673299</v>
      </c>
      <c r="Q331" s="258">
        <f>IFERROR(IF(((N(Q214)+N(Q215)+N(Q216)+N(Q219)+N(Q237)+N(Q240))-N(Q146)+N(Q273))&lt;&gt;0,((N(Q214)+N(Q215)+N(Q216)+N(Q219)+N(Q237)+N(Q240))-N(Q146))/((N(Q214)+N(Q215)+N(Q216)+N(Q219)+N(Q237)+N(Q240))-N(Q146)+Q273),""),"")</f>
        <v>0.306053632548343</v>
      </c>
      <c r="R331" s="258">
        <f>IFERROR(IF(((N(R214)+N(R215)+N(R216)+N(R219)+N(R237)+N(R240))-N(R146)+N(R273))&lt;&gt;0,((N(R214)+N(R215)+N(R216)+N(R219)+N(R237)+N(R240))-N(R146))/((N(R214)+N(R215)+N(R216)+N(R219)+N(R237)+N(R240))-N(R146)+R273),""),"")</f>
        <v>0.306053632548343</v>
      </c>
      <c r="S331" s="258">
        <f>IFERROR(IF(((N(S214)+N(S215)+N(S216)+N(S219)+N(S237)+N(S240))-N(S146)+N(S273))&lt;&gt;0,((N(S214)+N(S215)+N(S216)+N(S219)+N(S237)+N(S240))-N(S146))/((N(S214)+N(S215)+N(S216)+N(S219)+N(S237)+N(S240))-N(S146)+S273),""),"")</f>
        <v>0.303394293063999</v>
      </c>
      <c r="T331" s="258">
        <f>IFERROR(IF(((N(T214)+N(T215)+N(T216)+N(T219)+N(T237)+N(T240))-N(T146)+N(T273))&lt;&gt;0,((N(T214)+N(T215)+N(T216)+N(T219)+N(T237)+N(T240))-N(T146))/((N(T214)+N(T215)+N(T216)+N(T219)+N(T237)+N(T240))-N(T146)+T273),""),"")</f>
        <v>0.32890876078785</v>
      </c>
      <c r="U331" s="258">
        <f>IFERROR(IF(((N(U214)+N(U215)+N(U216)+N(U219)+N(U237)+N(U240))-N(U146)+N(U273))&lt;&gt;0,((N(U214)+N(U215)+N(U216)+N(U219)+N(U237)+N(U240))-N(U146))/((N(U214)+N(U215)+N(U216)+N(U219)+N(U237)+N(U240))-N(U146)+U273),""),"")</f>
        <v>0.316664432634653</v>
      </c>
      <c r="V331" s="258">
        <f>IFERROR(IF(((N(V214)+N(V215)+N(V216)+N(V219)+N(V237)+N(V240))-N(V146)+N(V273))&lt;&gt;0,((N(V214)+N(V215)+N(V216)+N(V219)+N(V237)+N(V240))-N(V146))/((N(V214)+N(V215)+N(V216)+N(V219)+N(V237)+N(V240))-N(V146)+V273),""),"")</f>
        <v>0.31555777454638</v>
      </c>
      <c r="W331" s="258">
        <f>IFERROR(IF(((N(W214)+N(W215)+N(W216)+N(W219)+N(W237)+N(W240))-N(W146)+N(W273))&lt;&gt;0,((N(W214)+N(W215)+N(W216)+N(W219)+N(W237)+N(W240))-N(W146))/((N(W214)+N(W215)+N(W216)+N(W219)+N(W237)+N(W240))-N(W146)+W273),""),"")</f>
        <v>0.31555777454638</v>
      </c>
      <c r="X331" s="258">
        <f>IFERROR(IF(((N(X214)+N(X215)+N(X216)+N(X219)+N(X237)+N(X240))-N(X146)+N(X273))&lt;&gt;0,((N(X214)+N(X215)+N(X216)+N(X219)+N(X237)+N(X240))-N(X146))/((N(X214)+N(X215)+N(X216)+N(X219)+N(X237)+N(X240))-N(X146)+X273),""),"")</f>
        <v>0.306878338756773</v>
      </c>
      <c r="Y331" s="258">
        <f>IFERROR(IF(((N(Y214)+N(Y215)+N(Y216)+N(Y219)+N(Y237)+N(Y240))-N(Y146)+N(Y273))&lt;&gt;0,((N(Y214)+N(Y215)+N(Y216)+N(Y219)+N(Y237)+N(Y240))-N(Y146))/((N(Y214)+N(Y215)+N(Y216)+N(Y219)+N(Y237)+N(Y240))-N(Y146)+Y273),""),"")</f>
        <v>0.327004852204284</v>
      </c>
      <c r="Z331" s="258">
        <f>IFERROR(IF(((N(Z214)+N(Z215)+N(Z216)+N(Z219)+N(Z237)+N(Z240))-N(Z146)+N(Z273))&lt;&gt;0,((N(Z214)+N(Z215)+N(Z216)+N(Z219)+N(Z237)+N(Z240))-N(Z146))/((N(Z214)+N(Z215)+N(Z216)+N(Z219)+N(Z237)+N(Z240))-N(Z146)+Z273),""),"")</f>
        <v>0.311837932843433</v>
      </c>
      <c r="AA331" s="258">
        <f>IFERROR(IF(((N(AA214)+N(AA215)+N(AA216)+N(AA219)+N(AA237)+N(AA240))-N(AA146)+N(AA273))&lt;&gt;0,((N(AA214)+N(AA215)+N(AA216)+N(AA219)+N(AA237)+N(AA240))-N(AA146))/((N(AA214)+N(AA215)+N(AA216)+N(AA219)+N(AA237)+N(AA240))-N(AA146)+AA273),""),"")</f>
        <v>0.308480112597734</v>
      </c>
      <c r="AB331" s="258">
        <f>IFERROR(IF(((N(AB214)+N(AB215)+N(AB216)+N(AB219)+N(AB237)+N(AB240))-N(AB146)+N(AB273))&lt;&gt;0,((N(AB214)+N(AB215)+N(AB216)+N(AB219)+N(AB237)+N(AB240))-N(AB146))/((N(AB214)+N(AB215)+N(AB216)+N(AB219)+N(AB237)+N(AB240))-N(AB146)+AB273),""),"")</f>
        <v>0.308480112597734</v>
      </c>
      <c r="AC331" s="258">
        <f>IFERROR(IF(((N(AC214)+N(AC215)+N(AC216)+N(AC219)+N(AC237)+N(AC240))-N(AC146)+N(AC273))&lt;&gt;0,((N(AC214)+N(AC215)+N(AC216)+N(AC219)+N(AC237)+N(AC240))-N(AC146))/((N(AC214)+N(AC215)+N(AC216)+N(AC219)+N(AC237)+N(AC240))-N(AC146)+AC273),""),"")</f>
        <v>0.283415406946787</v>
      </c>
      <c r="AD331" s="258">
        <f>IFERROR(IF(((N(AD214)+N(AD215)+N(AD216)+N(AD219)+N(AD237)+N(AD240))-N(AD146)+N(AD273))&lt;&gt;0,((N(AD214)+N(AD215)+N(AD216)+N(AD219)+N(AD237)+N(AD240))-N(AD146))/((N(AD214)+N(AD215)+N(AD216)+N(AD219)+N(AD237)+N(AD240))-N(AD146)+AD273),""),"")</f>
        <v>0.310296847341297</v>
      </c>
      <c r="AE331" s="258">
        <f>IFERROR(IF(((N(AE214)+N(AE215)+N(AE216)+N(AE219)+N(AE237)+N(AE240))-N(AE146)+N(AE273))&lt;&gt;0,((N(AE214)+N(AE215)+N(AE216)+N(AE219)+N(AE237)+N(AE240))-N(AE146))/((N(AE214)+N(AE215)+N(AE216)+N(AE219)+N(AE237)+N(AE240))-N(AE146)+AE273),""),"")</f>
        <v>0.102614847547101</v>
      </c>
      <c r="AF331" s="258">
        <f>IFERROR(IF(((N(AF214)+N(AF215)+N(AF216)+N(AF219)+N(AF237)+N(AF240))-N(AF146)+N(AF273))&lt;&gt;0,((N(AF214)+N(AF215)+N(AF216)+N(AF219)+N(AF237)+N(AF240))-N(AF146))/((N(AF214)+N(AF215)+N(AF216)+N(AF219)+N(AF237)+N(AF240))-N(AF146)+AF273),""),"")</f>
        <v>0.126273234517716</v>
      </c>
      <c r="AG331" s="258">
        <f>IFERROR(IF(((N(AG214)+N(AG215)+N(AG216)+N(AG219)+N(AG237)+N(AG240))-N(AG146)+N(AG273))&lt;&gt;0,((N(AG214)+N(AG215)+N(AG216)+N(AG219)+N(AG237)+N(AG240))-N(AG146))/((N(AG214)+N(AG215)+N(AG216)+N(AG219)+N(AG237)+N(AG240))-N(AG146)+AG273),""),"")</f>
        <v>0.126273234517716</v>
      </c>
      <c r="AH331" s="258">
        <f>IFERROR(IF(((N(AH214)+N(AH215)+N(AH216)+N(AH219)+N(AH237)+N(AH240))-N(AH146)+N(AH273))&lt;&gt;0,((N(AH214)+N(AH215)+N(AH216)+N(AH219)+N(AH237)+N(AH240))-N(AH146))/((N(AH214)+N(AH215)+N(AH216)+N(AH219)+N(AH237)+N(AH240))-N(AH146)+AH273),""),"")</f>
        <v>0.131404844108913</v>
      </c>
      <c r="AI331" s="258">
        <f>IFERROR(IF(((N(AI214)+N(AI215)+N(AI216)+N(AI219)+N(AI237)+N(AI240))-N(AI146)+N(AI273))&lt;&gt;0,((N(AI214)+N(AI215)+N(AI216)+N(AI219)+N(AI237)+N(AI240))-N(AI146))/((N(AI214)+N(AI215)+N(AI216)+N(AI219)+N(AI237)+N(AI240))-N(AI146)+AI273),""),"")</f>
        <v>0.176127951972065</v>
      </c>
      <c r="AJ331" s="258">
        <f>IFERROR(IF(((N(AJ214)+N(AJ215)+N(AJ216)+N(AJ219)+N(AJ237)+N(AJ240))-N(AJ146)+N(AJ273))&lt;&gt;0,((N(AJ214)+N(AJ215)+N(AJ216)+N(AJ219)+N(AJ237)+N(AJ240))-N(AJ146))/((N(AJ214)+N(AJ215)+N(AJ216)+N(AJ219)+N(AJ237)+N(AJ240))-N(AJ146)+AJ273),""),"")</f>
        <v>0.127770622978392</v>
      </c>
      <c r="AK331" s="258">
        <f>IFERROR(IF(((N(AK214)+N(AK215)+N(AK216)+N(AK219)+N(AK237)+N(AK240))-N(AK146)+N(AK273))&lt;&gt;0,((N(AK214)+N(AK215)+N(AK216)+N(AK219)+N(AK237)+N(AK240))-N(AK146))/((N(AK214)+N(AK215)+N(AK216)+N(AK219)+N(AK237)+N(AK240))-N(AK146)+AK273),""),"")</f>
        <v>0.0789965755680389</v>
      </c>
      <c r="AL331" s="258">
        <f>IFERROR(IF(((N(AL214)+N(AL215)+N(AL216)+N(AL219)+N(AL237)+N(AL240))-N(AL146)+N(AL273))&lt;&gt;0,((N(AL214)+N(AL215)+N(AL216)+N(AL219)+N(AL237)+N(AL240))-N(AL146))/((N(AL214)+N(AL215)+N(AL216)+N(AL219)+N(AL237)+N(AL240))-N(AL146)+AL273),""),"")</f>
        <v>0.0789965755680389</v>
      </c>
      <c r="AM331" s="258">
        <f>IFERROR(IF(((N(AM214)+N(AM215)+N(AM216)+N(AM219)+N(AM237)+N(AM240))-N(AM146)+N(AM273))&lt;&gt;0,((N(AM214)+N(AM215)+N(AM216)+N(AM219)+N(AM237)+N(AM240))-N(AM146))/((N(AM214)+N(AM215)+N(AM216)+N(AM219)+N(AM237)+N(AM240))-N(AM146)+AM273),""),"")</f>
        <v>0.0293687876673908</v>
      </c>
      <c r="AN331" s="258">
        <f>IFERROR(IF(((N(AN214)+N(AN215)+N(AN216)+N(AN219)+N(AN237)+N(AN240))-N(AN146)+N(AN273))&lt;&gt;0,((N(AN214)+N(AN215)+N(AN216)+N(AN219)+N(AN237)+N(AN240))-N(AN146))/((N(AN214)+N(AN215)+N(AN216)+N(AN219)+N(AN237)+N(AN240))-N(AN146)+AN273),""),"")</f>
        <v>-0.0246000334648914</v>
      </c>
      <c r="AO331" s="258">
        <f>IFERROR(IF(((N(AO214)+N(AO215)+N(AO216)+N(AO219)+N(AO237)+N(AO240))-N(AO146)+N(AO273))&lt;&gt;0,((N(AO214)+N(AO215)+N(AO216)+N(AO219)+N(AO237)+N(AO240))-N(AO146))/((N(AO214)+N(AO215)+N(AO216)+N(AO219)+N(AO237)+N(AO240))-N(AO146)+AO273),""),"")</f>
        <v>-0.0769278175685981</v>
      </c>
      <c r="AP331" s="258">
        <f>IFERROR(IF(((N(AP214)+N(AP215)+N(AP216)+N(AP219)+N(AP237)+N(AP240))-N(AP146)+N(AP273))&lt;&gt;0,((N(AP214)+N(AP215)+N(AP216)+N(AP219)+N(AP237)+N(AP240))-N(AP146))/((N(AP214)+N(AP215)+N(AP216)+N(AP219)+N(AP237)+N(AP240))-N(AP146)+AP273),""),"")</f>
        <v>-0.128326182093452</v>
      </c>
      <c r="AQ331" s="258">
        <f>IFERROR(IF(((N(AQ214)+N(AQ215)+N(AQ216)+N(AQ219)+N(AQ237)+N(AQ240))-N(AQ146)+N(AQ273))&lt;&gt;0,((N(AQ214)+N(AQ215)+N(AQ216)+N(AQ219)+N(AQ237)+N(AQ240))-N(AQ146))/((N(AQ214)+N(AQ215)+N(AQ216)+N(AQ219)+N(AQ237)+N(AQ240))-N(AQ146)+AQ273),""),"")</f>
        <v>-0.128326182093452</v>
      </c>
      <c r="AR331" s="258">
        <f>IFERROR(IF(((N(AR214)+N(AR215)+N(AR216)+N(AR219)+N(AR237)+N(AR240))-N(AR146)+N(AR273))&lt;&gt;0,((N(AR214)+N(AR215)+N(AR216)+N(AR219)+N(AR237)+N(AR240))-N(AR146))/((N(AR214)+N(AR215)+N(AR216)+N(AR219)+N(AR237)+N(AR240))-N(AR146)+AR273),""),"")</f>
        <v>-0.181558389292377</v>
      </c>
      <c r="AS331" s="258">
        <f>IFERROR(IF(((N(AS214)+N(AS215)+N(AS216)+N(AS219)+N(AS237)+N(AS240))-N(AS146)+N(AS273))&lt;&gt;0,((N(AS214)+N(AS215)+N(AS216)+N(AS219)+N(AS237)+N(AS240))-N(AS146))/((N(AS214)+N(AS215)+N(AS216)+N(AS219)+N(AS237)+N(AS240))-N(AS146)+AS273),""),"")</f>
        <v>-0.238440548766298</v>
      </c>
      <c r="AT331" s="258">
        <f>IFERROR(IF(((N(AT214)+N(AT215)+N(AT216)+N(AT219)+N(AT237)+N(AT240))-N(AT146)+N(AT273))&lt;&gt;0,((N(AT214)+N(AT215)+N(AT216)+N(AT219)+N(AT237)+N(AT240))-N(AT146))/((N(AT214)+N(AT215)+N(AT216)+N(AT219)+N(AT237)+N(AT240))-N(AT146)+AT273),""),"")</f>
        <v>-0.294011107018434</v>
      </c>
      <c r="AU331" s="258">
        <f>IFERROR(IF(((N(AU214)+N(AU215)+N(AU216)+N(AU219)+N(AU237)+N(AU240))-N(AU146)+N(AU273))&lt;&gt;0,((N(AU214)+N(AU215)+N(AU216)+N(AU219)+N(AU237)+N(AU240))-N(AU146))/((N(AU214)+N(AU215)+N(AU216)+N(AU219)+N(AU237)+N(AU240))-N(AU146)+AU273),""),"")</f>
        <v>-0.34789992880706</v>
      </c>
      <c r="AV331" s="258">
        <f>IFERROR(IF(((N(AV214)+N(AV215)+N(AV216)+N(AV219)+N(AV237)+N(AV240))-N(AV146)+N(AV273))&lt;&gt;0,((N(AV214)+N(AV215)+N(AV216)+N(AV219)+N(AV237)+N(AV240))-N(AV146))/((N(AV214)+N(AV215)+N(AV216)+N(AV219)+N(AV237)+N(AV240))-N(AV146)+AV273),""),"")</f>
        <v>-0.34789992880706</v>
      </c>
      <c r="AW331" s="258">
        <f>IFERROR(IF(((N(AW214)+N(AW215)+N(AW216)+N(AW219)+N(AW237)+N(AW240))-N(AW146)+N(AW273))&lt;&gt;0,((N(AW214)+N(AW215)+N(AW216)+N(AW219)+N(AW237)+N(AW240))-N(AW146))/((N(AW214)+N(AW215)+N(AW216)+N(AW219)+N(AW237)+N(AW240))-N(AW146)+AW273),""),"")</f>
        <v>-0.402920404499717</v>
      </c>
      <c r="AX331" s="258">
        <f>IFERROR(IF(((N(AX214)+N(AX215)+N(AX216)+N(AX219)+N(AX237)+N(AX240))-N(AX146)+N(AX273))&lt;&gt;0,((N(AX214)+N(AX215)+N(AX216)+N(AX219)+N(AX237)+N(AX240))-N(AX146))/((N(AX214)+N(AX215)+N(AX216)+N(AX219)+N(AX237)+N(AX240))-N(AX146)+AX273),""),"")</f>
        <v>-0.464666656652348</v>
      </c>
      <c r="AY331" s="258">
        <f>IFERROR(IF(((N(AY214)+N(AY215)+N(AY216)+N(AY219)+N(AY237)+N(AY240))-N(AY146)+N(AY273))&lt;&gt;0,((N(AY214)+N(AY215)+N(AY216)+N(AY219)+N(AY237)+N(AY240))-N(AY146))/((N(AY214)+N(AY215)+N(AY216)+N(AY219)+N(AY237)+N(AY240))-N(AY146)+AY273),""),"")</f>
        <v>-0.523470172882447</v>
      </c>
      <c r="AZ331" s="258">
        <f>IFERROR(IF(((N(AZ214)+N(AZ215)+N(AZ216)+N(AZ219)+N(AZ237)+N(AZ240))-N(AZ146)+N(AZ273))&lt;&gt;0,((N(AZ214)+N(AZ215)+N(AZ216)+N(AZ219)+N(AZ237)+N(AZ240))-N(AZ146))/((N(AZ214)+N(AZ215)+N(AZ216)+N(AZ219)+N(AZ237)+N(AZ240))-N(AZ146)+AZ273),""),"")</f>
        <v>-0.579721201176396</v>
      </c>
      <c r="BA331" s="258">
        <f>IFERROR(IF(((N(BA214)+N(BA215)+N(BA216)+N(BA219)+N(BA237)+N(BA240))-N(BA146)+N(BA273))&lt;&gt;0,((N(BA214)+N(BA215)+N(BA216)+N(BA219)+N(BA237)+N(BA240))-N(BA146))/((N(BA214)+N(BA215)+N(BA216)+N(BA219)+N(BA237)+N(BA240))-N(BA146)+BA273),""),"")</f>
        <v>-0.579721201176396</v>
      </c>
      <c r="BB331" s="258">
        <f>IFERROR(IF(((N(BB214)+N(BB215)+N(BB216)+N(BB219)+N(BB237)+N(BB240))-N(BB146)+N(BB273))&lt;&gt;0,((N(BB214)+N(BB215)+N(BB216)+N(BB219)+N(BB237)+N(BB240))-N(BB146))/((N(BB214)+N(BB215)+N(BB216)+N(BB219)+N(BB237)+N(BB240))-N(BB146)+BB273),""),"")</f>
        <v>-0.637524157189738</v>
      </c>
      <c r="BC331" s="258">
        <f>IFERROR(IF(((N(BC214)+N(BC215)+N(BC216)+N(BC219)+N(BC237)+N(BC240))-N(BC146)+N(BC273))&lt;&gt;0,((N(BC214)+N(BC215)+N(BC216)+N(BC219)+N(BC237)+N(BC240))-N(BC146))/((N(BC214)+N(BC215)+N(BC216)+N(BC219)+N(BC237)+N(BC240))-N(BC146)+BC273),""),"")</f>
        <v>-0.703238662842829</v>
      </c>
      <c r="BD331" s="258">
        <f>IFERROR(IF(((N(BD214)+N(BD215)+N(BD216)+N(BD219)+N(BD237)+N(BD240))-N(BD146)+N(BD273))&lt;&gt;0,((N(BD214)+N(BD215)+N(BD216)+N(BD219)+N(BD237)+N(BD240))-N(BD146))/((N(BD214)+N(BD215)+N(BD216)+N(BD219)+N(BD237)+N(BD240))-N(BD146)+BD273),""),"")</f>
        <v>-0.765225059911577</v>
      </c>
      <c r="BE331" s="258">
        <f>IFERROR(IF(((N(BE214)+N(BE215)+N(BE216)+N(BE219)+N(BE237)+N(BE240))-N(BE146)+N(BE273))&lt;&gt;0,((N(BE214)+N(BE215)+N(BE216)+N(BE219)+N(BE237)+N(BE240))-N(BE146))/((N(BE214)+N(BE215)+N(BE216)+N(BE219)+N(BE237)+N(BE240))-N(BE146)+BE273),""),"")</f>
        <v>-0.823665047019486</v>
      </c>
      <c r="BF331" s="258">
        <f>IFERROR(IF(((N(BF214)+N(BF215)+N(BF216)+N(BF219)+N(BF237)+N(BF240))-N(BF146)+N(BF273))&lt;&gt;0,((N(BF214)+N(BF215)+N(BF216)+N(BF219)+N(BF237)+N(BF240))-N(BF146))/((N(BF214)+N(BF215)+N(BF216)+N(BF219)+N(BF237)+N(BF240))-N(BF146)+BF273),""),"")</f>
        <v>-0.823665047019485</v>
      </c>
    </row>
    <row r="332" customFormat="1" s="77">
      <c r="A332" s="76" t="n"/>
      <c r="B332" s="76" t="n"/>
    </row>
    <row r="333" customFormat="1" s="77">
      <c r="A333" s="76" t="n"/>
      <c r="B333" s="76" t="n"/>
      <c r="C333" s="74" t="inlineStr">
        <is>
          <t>FINANCIAL RISK RATIOS</t>
        </is>
      </c>
    </row>
    <row r="334" customFormat="1" s="77">
      <c r="A334" s="76" t="n"/>
      <c r="B334" s="76" t="n"/>
      <c r="C334" s="77" t="inlineStr">
        <is>
          <t>EBITDA / TOTAL INTEREST (LTM)</t>
        </is>
      </c>
      <c r="D334" s="82" t="str">
        <f>IFERROR(D71/-D76,"")</f>
        <v/>
      </c>
      <c r="E334" s="82" t="str">
        <f>IFERROR(E71/-E76,"")</f>
        <v/>
      </c>
      <c r="F334" s="82" t="str">
        <f>IFERROR(F71/-F76,"")</f>
        <v/>
      </c>
      <c r="G334" s="82" t="str">
        <f>IFERROR(G71/-G76,"")</f>
        <v/>
      </c>
      <c r="H334" s="262" t="str">
        <f>IFERROR(IF(AND(COUNT(H71)=1,(H76)&lt;&gt;0),(H71)/-(H76),""),"")</f>
        <v/>
      </c>
      <c r="I334" s="262" t="str">
        <f>""</f>
        <v/>
      </c>
      <c r="J334" s="262" t="str">
        <f>""</f>
        <v/>
      </c>
      <c r="K334" s="262" t="str">
        <f>""</f>
        <v/>
      </c>
      <c r="L334" s="262">
        <f>IFERROR(IF(AND(COUNT(I71,J71,K71,L71)=4,(I76+J76+K76+L76)&lt;&gt;0),(I71+J71+K71+L71)/-(I76+J76+K76+L76),""),"")</f>
        <v>5.98263694498545</v>
      </c>
      <c r="M334" s="262">
        <f>IFERROR(IF(AND(COUNT(I71,J71,K71,L71)=4,(I76+J76+K76+L76)&lt;&gt;0),(I71+J71+K71+L71)/-(I76+J76+K76+L76),""),"")</f>
        <v>5.98263694498545</v>
      </c>
      <c r="N334" s="262">
        <f>IFERROR(IF(AND(COUNT(J71,K71,L71,N71)=4,(J76+K76+L76+N76)&lt;&gt;0),(J71+K71+L71+N71)/-(J76+K76+L76+N76),""),"")</f>
        <v>5.54465537341823</v>
      </c>
      <c r="O334" s="262">
        <f>IFERROR(IF(AND(COUNT(K71,L71,N71,O71)=4,(K76+L76+N76+O76)&lt;&gt;0),(K71+L71+N71+O71)/-(K76+L76+N76+O76),""),"")</f>
        <v>4.61504574437434</v>
      </c>
      <c r="P334" s="262">
        <f>IFERROR(IF(AND(COUNT(L71,N71,O71,P71)=4,(L76+N76+O76+P76)&lt;&gt;0),(L71+N71+O71+P71)/-(L76+N76+O76+P76),""),"")</f>
        <v>4.51732633970636</v>
      </c>
      <c r="Q334" s="262">
        <f>IFERROR(IF(AND(COUNT(N71,O71,P71,Q71)=4,(N76+O76+P76+Q76)&lt;&gt;0),(N71+O71+P71+Q71)/-(N76+O76+P76+Q76),""),"")</f>
        <v>4.38140026659368</v>
      </c>
      <c r="R334" s="262">
        <f>IFERROR(IF(AND(COUNT(N71,O71,P71,Q71)=4,(N76+O76+P76+Q76)&lt;&gt;0),(N71+O71+P71+Q71)/-(N76+O76+P76+Q76),""),"")</f>
        <v>4.38140026659368</v>
      </c>
      <c r="S334" s="262">
        <f>IFERROR(IF(AND(COUNT(O71,P71,Q71,S71)=4,(O76+P76+Q76+S76)&lt;&gt;0),(O71+P71+Q71+S71)/-(O76+P76+Q76+S76),""),"")</f>
        <v>4.30568031604879</v>
      </c>
      <c r="T334" s="262">
        <f>IFERROR(IF(AND(COUNT(P71,Q71,S71,T71)=4,(P76+Q76+S76+T76)&lt;&gt;0),(P71+Q71+S71+T71)/-(P76+Q76+S76+T76),""),"")</f>
        <v>4.83703968909344</v>
      </c>
      <c r="U334" s="262">
        <f>IFERROR(IF(AND(COUNT(Q71,S71,T71,U71)=4,(Q76+S76+T76+U76)&lt;&gt;0),(Q71+S71+T71+U71)/-(Q76+S76+T76+U76),""),"")</f>
        <v>5.1205036784659</v>
      </c>
      <c r="V334" s="262">
        <f>IFERROR(IF(AND(COUNT(S71,T71,U71,V71)=4,(S76+T76+U76+V76)&lt;&gt;0),(S71+T71+U71+V71)/-(S76+T76+U76+V76),""),"")</f>
        <v>4.5786225635273</v>
      </c>
      <c r="W334" s="262">
        <f>IFERROR(IF(AND(COUNT(S71,T71,U71,V71)=4,(S76+T76+U76+V76)&lt;&gt;0),(S71+T71+U71+V71)/-(S76+T76+U76+V76),""),"")</f>
        <v>4.5786225635273</v>
      </c>
      <c r="X334" s="262">
        <f>IFERROR(IF(AND(COUNT(T71,U71,V71,X71)=4,(T76+U76+V76+X76)&lt;&gt;0),(T71+U71+V71+X71)/-(T76+U76+V76+X76),""),"")</f>
        <v>4.61955096856843</v>
      </c>
      <c r="Y334" s="262">
        <f>IFERROR(IF(AND(COUNT(U71,V71,X71,Y71)=4,(U76+V76+X76+Y76)&lt;&gt;0),(U71+V71+X71+Y71)/-(U76+V76+X76+Y76),""),"")</f>
        <v>4.37816116572035</v>
      </c>
      <c r="Z334" s="262">
        <f>IFERROR(IF(AND(COUNT(V71,X71,Y71,Z71)=4,(V76+X76+Y76+Z76)&lt;&gt;0),(V71+X71+Y71+Z71)/-(V76+X76+Y76+Z76),""),"")</f>
        <v>4.26133895339963</v>
      </c>
      <c r="AA334" s="262">
        <f>IFERROR(IF(AND(COUNT(X71,Y71,Z71,AA71)=4,(X76+Y76+Z76+AA76)&lt;&gt;0),(X71+Y71+Z71+AA71)/-(X76+Y76+Z76+AA76),""),"")</f>
        <v>4.21199672972934</v>
      </c>
      <c r="AB334" s="262">
        <f>IFERROR(IF(AND(COUNT(X71,Y71,Z71,AA71)=4,(X76+Y76+Z76+AA76)&lt;&gt;0),(X71+Y71+Z71+AA71)/-(X76+Y76+Z76+AA76),""),"")</f>
        <v>4.21199672972934</v>
      </c>
      <c r="AC334" s="262">
        <f>IFERROR(IF(AND(COUNT(Y71,Z71,AA71,AC71)=4,(Y76+Z76+AA76+AC76)&lt;&gt;0),(Y71+Z71+AA71+AC71)/-(Y76+Z76+AA76+AC76),""),"")</f>
        <v>4.45633754953069</v>
      </c>
      <c r="AD334" s="262">
        <f>IFERROR(IF(AND(COUNT(Z71,AA71,AC71,AD71)=4,(Z76+AA76+AC76+AD76)&lt;&gt;0),(Z71+AA71+AC71+AD71)/-(Z76+AA76+AC76+AD76),""),"")</f>
        <v>3.30471540172754</v>
      </c>
      <c r="AE334" s="262">
        <f>IFERROR(IF(AND(COUNT(AA71,AC71,AD71,AE71)=4,(AA76+AC76+AD76+AE76)&lt;&gt;0),(AA71+AC71+AD71+AE71)/-(AA76+AC76+AD76+AE76),""),"")</f>
        <v>2.79315246049623</v>
      </c>
      <c r="AF334" s="262">
        <f>IFERROR(IF(AND(COUNT(AB71,AD71,AE71,AF71)=4,(AB76+AD76+AE76+AF76)&lt;&gt;0),(AB71+AD71+AE71+AF71)/-(AB76+AD76+AE76+AF76),""),"")</f>
        <v>3.0503807566167</v>
      </c>
      <c r="AG334" s="262">
        <f>IFERROR(IF(AND(COUNT(AC71,AD71,AE71,AF71)=4,(AC76+AD76+AE76+AF76)&lt;&gt;0),(AC71+AD71+AE71+AF71)/-(AC76+AD76+AE76+AF76),""),"")</f>
        <v>2.77782859842183</v>
      </c>
      <c r="AH334" s="262">
        <f>IFERROR(IF(AND(COUNT(AD71,AF71,AG71,AH71)=4,(AD76+AF76+AG76+AH76)&lt;&gt;0),(AD71+AF71+AG71+AH71)/-(AD76+AF76+AG76+AH76),""),"")</f>
        <v>2.65685059833192</v>
      </c>
      <c r="AI334" s="262">
        <f>IFERROR(IF(AND(COUNT(AE71,AG71,AH71,AI71)=4,(AE76+AG76+AH76+AI76)&lt;&gt;0),(AE71+AG71+AH71+AI71)/-(AE76+AG76+AH76+AI76),""),"")</f>
        <v>2.75108879958793</v>
      </c>
      <c r="AJ334" s="262" t="str">
        <f>IFERROR(IF(AND(COUNT(AF71,AH71,AI71,AJ71)=4,(AF76+AH76+AI76+AJ76)&lt;&gt;0),(AF71+AH71+AI71+AJ71)/-(AF76+AH76+AI76+AJ76),""),"")</f>
        <v/>
      </c>
      <c r="AK334" s="262" t="str">
        <f>IFERROR(IF(AND(COUNT(AH71,AI71,AJ71,AK71)=4,(AH76+AI76+AJ76+AK76)&lt;&gt;0),(AH71+AI71+AJ71+AK71)/-(AH76+AI76+AJ76+AK76),""),"")</f>
        <v/>
      </c>
      <c r="AL334" s="262" t="str">
        <f>IFERROR(IF(AND(COUNT(AH71,AI71,AJ71,AK71)=4,(AH76+AI76+AJ76+AK76)&lt;&gt;0),(AH71+AI71+AJ71+AK71)/-(AH76+AI76+AJ76+AK76),""),"")</f>
        <v/>
      </c>
      <c r="AM334" s="262" t="str">
        <f>IFERROR(IF(AND(COUNT(AI71,AJ71,AK71,AM71)=4,(AI76+AJ76+AK76+AM76)&lt;&gt;0),(AI71+AJ71+AK71+AM71)/-(AI76+AJ76+AK76+AM76),""),"")</f>
        <v/>
      </c>
      <c r="AN334" s="262" t="str">
        <f>IFERROR(IF(AND(COUNT(AJ71,AK71,AM71,AN71)=4,(AJ76+AK76+AM76+AN76)&lt;&gt;0),(AJ71+AK71+AM71+AN71)/-(AJ76+AK76+AM76+AN76),""),"")</f>
        <v/>
      </c>
      <c r="AO334" s="262" t="str">
        <f>IFERROR(IF(AND(COUNT(AK71,AM71,AN71,AO71)=4,(AK76+AM76+AN76+AO76)&lt;&gt;0),(AK71+AM71+AN71+AO71)/-(AK76+AM76+AN76+AO76),""),"")</f>
        <v/>
      </c>
      <c r="AP334" s="262" t="str">
        <f>IFERROR(IF(AND(COUNT(AM71,AN71,AO71,AP71)=4,(AM76+AN76+AO76+AP76)&lt;&gt;0),(AM71+AN71+AO71+AP71)/-(AM76+AN76+AO76+AP76),""),"")</f>
        <v/>
      </c>
      <c r="AQ334" s="262" t="str">
        <f>IFERROR(IF(AND(COUNT(AM71,AN71,AO71,AP71)=4,(AM76+AN76+AO76+AP76)&lt;&gt;0),(AM71+AN71+AO71+AP71)/-(AM76+AN76+AO76+AP76),""),"")</f>
        <v/>
      </c>
      <c r="AR334" s="262" t="str">
        <f>IFERROR(IF(AND(COUNT(AN71,AO71,AP71,AR71)=4,(AN76+AO76+AP76+AR76)&lt;&gt;0),(AN71+AO71+AP71+AR71)/-(AN76+AO76+AP76+AR76),""),"")</f>
        <v/>
      </c>
      <c r="AS334" s="262" t="str">
        <f>IFERROR(IF(AND(COUNT(AO71,AP71,AR71,AS71)=4,(AO76+AP76+AR76+AS76)&lt;&gt;0),(AO71+AP71+AR71+AS71)/-(AO76+AP76+AR76+AS76),""),"")</f>
        <v/>
      </c>
      <c r="AT334" s="262" t="str">
        <f>IFERROR(IF(AND(COUNT(AP71,AR71,AS71,AT71)=4,(AP76+AR76+AS76+AT76)&lt;&gt;0),(AP71+AR71+AS71+AT71)/-(AP76+AR76+AS76+AT76),""),"")</f>
        <v/>
      </c>
      <c r="AU334" s="262" t="str">
        <f>IFERROR(IF(AND(COUNT(AR71,AS71,AT71,AU71)=4,(AR76+AS76+AT76+AU76)&lt;&gt;0),(AR71+AS71+AT71+AU71)/-(AR76+AS76+AT76+AU76),""),"")</f>
        <v/>
      </c>
      <c r="AV334" s="262" t="str">
        <f>IFERROR(IF(AND(COUNT(AR71,AS71,AT71,AU71)=4,(AR76+AS76+AT76+AU76)&lt;&gt;0),(AR71+AS71+AT71+AU71)/-(AR76+AS76+AT76+AU76),""),"")</f>
        <v/>
      </c>
      <c r="AW334" s="262" t="str">
        <f>IFERROR(IF(AND(COUNT(AS71,AT71,AU71,AW71)=4,(AS76+AT76+AU76+AW76)&lt;&gt;0),(AS71+AT71+AU71+AW71)/-(AS76+AT76+AU76+AW76),""),"")</f>
        <v/>
      </c>
      <c r="AX334" s="262" t="str">
        <f>IFERROR(IF(AND(COUNT(AT71,AU71,AW71,AX71)=4,(AT76+AU76+AW76+AX76)&lt;&gt;0),(AT71+AU71+AW71+AX71)/-(AT76+AU76+AW76+AX76),""),"")</f>
        <v/>
      </c>
      <c r="AY334" s="262" t="str">
        <f>IFERROR(IF(AND(COUNT(AU71,AW71,AX71,AY71)=4,(AU76+AW76+AX76+AY76)&lt;&gt;0),(AU71+AW71+AX71+AY71)/-(AU76+AW76+AX76+AY76),""),"")</f>
        <v/>
      </c>
      <c r="AZ334" s="262" t="str">
        <f>IFERROR(IF(AND(COUNT(AW71,AX71,AY71,AZ71)=4,(AW76+AX76+AY76+AZ76)&lt;&gt;0),(AW71+AX71+AY71+AZ71)/-(AW76+AX76+AY76+AZ76),""),"")</f>
        <v/>
      </c>
      <c r="BA334" s="262" t="str">
        <f>IFERROR(IF(AND(COUNT(AW71,AX71,AY71,AZ71)=4,(AW76+AX76+AY76+AZ76)&lt;&gt;0),(AW71+AX71+AY71+AZ71)/-(AW76+AX76+AY76+AZ76),""),"")</f>
        <v/>
      </c>
      <c r="BB334" s="262" t="str">
        <f>IFERROR(IF(AND(COUNT(AX71,AY71,AZ71,BB71)=4,(AX76+AY76+AZ76+BB76)&lt;&gt;0),(AX71+AY71+AZ71+BB71)/-(AX76+AY76+AZ76+BB76),""),"")</f>
        <v/>
      </c>
      <c r="BC334" s="262" t="str">
        <f>IFERROR(IF(AND(COUNT(AY71,AZ71,BB71,BC71)=4,(AY76+AZ76+BB76+BC76)&lt;&gt;0),(AY71+AZ71+BB71+BC71)/-(AY76+AZ76+BB76+BC76),""),"")</f>
        <v/>
      </c>
      <c r="BD334" s="262" t="str">
        <f>IFERROR(IF(AND(COUNT(AZ71,BB71,BC71,BD71)=4,(AZ76+BB76+BC76+BD76)&lt;&gt;0),(AZ71+BB71+BC71+BD71)/-(AZ76+BB76+BC76+BD76),""),"")</f>
        <v/>
      </c>
      <c r="BE334" s="262" t="str">
        <f>IFERROR(IF(AND(COUNT(BB71,BC71,BD71,BE71)=4,(BB76+BC76+BD76+BE76)&lt;&gt;0),(BB71+BC71+BD71+BE71)/-(BB76+BC76+BD76+BE76),""),"")</f>
        <v/>
      </c>
      <c r="BF334" s="262" t="str">
        <f>IFERROR(IF(AND(COUNT(BB71,BC71,BD71,BE71)=4,(BB76+BC76+BD76+BE76)&lt;&gt;0),(BB71+BC71+BD71+BE71)/-(BB76+BC76+BD76+BE76),""),"")</f>
        <v/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  <c r="C335" s="77" t="inlineStr">
        <is>
          <t>(EBITDA - CAPEX) / TOTAL INTEREST (LTM)</t>
        </is>
      </c>
      <c r="D335" s="82" t="str">
        <f>IFERROR((D71-D170)/-D76,"")</f>
        <v/>
      </c>
      <c r="E335" s="82" t="str">
        <f>IFERROR((E71-E170)/-E76,"")</f>
        <v/>
      </c>
      <c r="F335" s="82" t="str">
        <f>IFERROR((F71-F170)/-F76,"")</f>
        <v/>
      </c>
      <c r="G335" s="82" t="str">
        <f>IFERROR((G71-G170)/-G76,"")</f>
        <v/>
      </c>
      <c r="H335" s="262" t="str">
        <f>IFERROR(IF(AND(COUNT(H71)=1,(H76)&lt;&gt;0),((H71)-(H170))/-(H76),""),"")</f>
        <v/>
      </c>
      <c r="I335" s="262" t="str">
        <f>""</f>
        <v/>
      </c>
      <c r="J335" s="262" t="str">
        <f>""</f>
        <v/>
      </c>
      <c r="K335" s="262" t="str">
        <f>""</f>
        <v/>
      </c>
      <c r="L335" s="262">
        <f>IFERROR(IF(AND(COUNT(I71,J71,K71,L71)=4,(I76+J76+K76+L76)&lt;&gt;0),((I71+J71+K71+L71)-(I170+J170+K170+L170))/-(I76+J76+K76+L76),""),"")</f>
        <v>5.18364992128012</v>
      </c>
      <c r="M335" s="262">
        <f>IFERROR(IF(AND(COUNT(I71,J71,K71,L71)=4,(I76+J76+K76+L76)&lt;&gt;0),((I71+J71+K71+L71)-(I170+J170+K170+L170))/-(I76+J76+K76+L76),""),"")</f>
        <v>5.18364992128012</v>
      </c>
      <c r="N335" s="262">
        <f>IFERROR(IF(AND(COUNT(J71,K71,L71,N71)=4,(J76+K76+L76+N76)&lt;&gt;0),((J71+K71+L71+N71)-(J170+K170+L170+N170))/-(J76+K76+L76+N76),""),"")</f>
        <v>4.58167860025393</v>
      </c>
      <c r="O335" s="262">
        <f>IFERROR(IF(AND(COUNT(K71,L71,N71,O71)=4,(K76+L76+N76+O76)&lt;&gt;0),((K71+L71+N71+O71)-(K170+L170+N170+O170))/-(K76+L76+N76+O76),""),"")</f>
        <v>3.74628679279949</v>
      </c>
      <c r="P335" s="262">
        <f>IFERROR(IF(AND(COUNT(L71,N71,O71,P71)=4,(L76+N76+O76+P76)&lt;&gt;0),((L71+N71+O71+P71)-(L170+N170+O170+P170))/-(L76+N76+O76+P76),""),"")</f>
        <v>3.64179104477612</v>
      </c>
      <c r="Q335" s="262">
        <f>IFERROR(IF(AND(COUNT(N71,O71,P71,Q71)=4,(N76+O76+P76+Q76)&lt;&gt;0),((N71+O71+P71+Q71)-(N170+O170+P170+Q170))/-(N76+O76+P76+Q76),""),"")</f>
        <v>3.54028340838254</v>
      </c>
      <c r="R335" s="262">
        <f>IFERROR(IF(AND(COUNT(N71,O71,P71,Q71)=4,(N76+O76+P76+Q76)&lt;&gt;0),((N71+O71+P71+Q71)-(N170+O170+P170+Q170))/-(N76+O76+P76+Q76),""),"")</f>
        <v>3.54028340838254</v>
      </c>
      <c r="S335" s="262">
        <f>IFERROR(IF(AND(COUNT(O71,P71,Q71,S71)=4,(O76+P76+Q76+S76)&lt;&gt;0),((O71+P71+Q71+S71)-(O170+P170+Q170+S170))/-(O76+P76+Q76+S76),""),"")</f>
        <v>3.48736893889323</v>
      </c>
      <c r="T335" s="262">
        <f>IFERROR(IF(AND(COUNT(P71,Q71,S71,T71)=4,(P76+Q76+S76+T76)&lt;&gt;0),((P71+Q71+S71+T71)-(P170+Q170+S170+T170))/-(P76+Q76+S76+T76),""),"")</f>
        <v>3.96003757365071</v>
      </c>
      <c r="U335" s="262">
        <f>IFERROR(IF(AND(COUNT(Q71,S71,T71,U71)=4,(Q76+S76+T76+U76)&lt;&gt;0),((Q71+S71+T71+U71)-(Q170+S170+T170+U170))/-(Q76+S76+T76+U76),""),"")</f>
        <v>4.23308131821745</v>
      </c>
      <c r="V335" s="262">
        <f>IFERROR(IF(AND(COUNT(S71,T71,U71,V71)=4,(S76+T76+U76+V76)&lt;&gt;0),((S71+T71+U71+V71)-(S170+T170+U170+V170))/-(S76+T76+U76+V76),""),"")</f>
        <v>3.80400406678186</v>
      </c>
      <c r="W335" s="262">
        <f>IFERROR(IF(AND(COUNT(S71,T71,U71,V71)=4,(S76+T76+U76+V76)&lt;&gt;0),((S71+T71+U71+V71)-(S170+T170+U170+V170))/-(S76+T76+U76+V76),""),"")</f>
        <v>3.80400406678186</v>
      </c>
      <c r="X335" s="262">
        <f>IFERROR(IF(AND(COUNT(T71,U71,V71,X71)=4,(T76+U76+V76+X76)&lt;&gt;0),((T71+U71+V71+X71)-(T170+U170+V170+X170))/-(T76+U76+V76+X76),""),"")</f>
        <v>3.83375695282831</v>
      </c>
      <c r="Y335" s="262">
        <f>IFERROR(IF(AND(COUNT(U71,V71,X71,Y71)=4,(U76+V76+X76+Y76)&lt;&gt;0),((U71+V71+X71+Y71)-(U170+V170+X170+Y170))/-(U76+V76+X76+Y76),""),"")</f>
        <v>3.6089882322634</v>
      </c>
      <c r="Z335" s="262">
        <f>IFERROR(IF(AND(COUNT(V71,X71,Y71,Z71)=4,(V76+X76+Y76+Z76)&lt;&gt;0),((V71+X71+Y71+Z71)-(V170+X170+Y170+Z170))/-(V76+X76+Y76+Z76),""),"")</f>
        <v>3.4800342839699</v>
      </c>
      <c r="AA335" s="262">
        <f>IFERROR(IF(AND(COUNT(X71,Y71,Z71,AA71)=4,(X76+Y76+Z76+AA76)&lt;&gt;0),((X71+Y71+Z71+AA71)-(X170+Y170+Z170+AA170))/-(X76+Y76+Z76+AA76),""),"")</f>
        <v>3.41191784162137</v>
      </c>
      <c r="AB335" s="262">
        <f>IFERROR(IF(AND(COUNT(X71,Y71,Z71,AA71)=4,(X76+Y76+Z76+AA76)&lt;&gt;0),((X71+Y71+Z71+AA71)-(X170+Y170+Z170+AA170))/-(X76+Y76+Z76+AA76),""),"")</f>
        <v>3.41191784162137</v>
      </c>
      <c r="AC335" s="262">
        <f>IFERROR(IF(AND(COUNT(Y71,Z71,AA71,AC71)=4,(Y76+Z76+AA76+AC76)&lt;&gt;0),((Y71+Z71+AA71+AC71)-(Y170+Z170+AA170+AC170))/-(Y76+Z76+AA76+AC76),""),"")</f>
        <v>3.66393350143749</v>
      </c>
      <c r="AD335" s="262">
        <f>IFERROR(IF(AND(COUNT(Z71,AA71,AC71,AD71)=4,(Z76+AA76+AC76+AD76)&lt;&gt;0),((Z71+AA71+AC71+AD71)-(Z170+AA170+AC170+AD170))/-(Z76+AA76+AC76+AD76),""),"")</f>
        <v>2.67599725628126</v>
      </c>
      <c r="AE335" s="262">
        <f>IFERROR(IF(AND(COUNT(AA71,AC71,AD71,AE71)=4,(AA76+AC76+AD76+AE76)&lt;&gt;0),((AA71+AC71+AD71+AE71)-(AA170+AC170+AD170+AE170))/-(AA76+AC76+AD76+AE76),""),"")</f>
        <v>2.20391446646969</v>
      </c>
      <c r="AF335" s="262">
        <f>IFERROR(IF(AND(COUNT(AB71,AD71,AE71,AF71)=4,(AB76+AD76+AE76+AF76)&lt;&gt;0),((AB71+AD71+AE71+AF71)-(AB170+AD170+AE170+AF170))/-(AB76+AD76+AE76+AF76),""),"")</f>
        <v>2.73383187032343</v>
      </c>
      <c r="AG335" s="262">
        <f>IFERROR(IF(AND(COUNT(AC71,AD71,AE71,AF71)=4,(AC76+AD76+AE76+AF76)&lt;&gt;0),((AC71+AD71+AE71+AF71)-(AC170+AD170+AE170+AF170))/-(AC76+AD76+AE76+AF76),""),"")</f>
        <v>2.1633607733569</v>
      </c>
      <c r="AH335" s="262">
        <f>IFERROR(IF(AND(COUNT(AD71,AF71,AG71,AH71)=4,(AD76+AF76+AG76+AH76)&lt;&gt;0),((AD71+AF71+AG71+AH71)-(AD170+AF170+AG170+AH170))/-(AD76+AF76+AG76+AH76),""),"")</f>
        <v>2.05247075030115</v>
      </c>
      <c r="AI335" s="262">
        <f>IFERROR(IF(AND(COUNT(AE71,AG71,AH71,AI71)=4,(AE76+AG76+AH76+AI76)&lt;&gt;0),((AE71+AG71+AH71+AI71)-(AE170+AG170+AH170+AI170))/-(AE76+AG76+AH76+AI76),""),"")</f>
        <v>2.08984490286931</v>
      </c>
      <c r="AJ335" s="262" t="str">
        <f>IFERROR(IF(AND(COUNT(AF71,AH71,AI71,AJ71)=4,(AF76+AH76+AI76+AJ76)&lt;&gt;0),((AF71+AH71+AI71+AJ71)-(AF170+AH170+AI170+AJ170))/-(AF76+AH76+AI76+AJ76),""),"")</f>
        <v/>
      </c>
      <c r="AK335" s="262" t="str">
        <f>IFERROR(IF(AND(COUNT(AH71,AI71,AJ71,AK71)=4,(AH76+AI76+AJ76+AK76)&lt;&gt;0),((AH71+AI71+AJ71+AK71)-(AH170+AI170+AJ170+AK170))/-(AH76+AI76+AJ76+AK76),""),"")</f>
        <v/>
      </c>
      <c r="AL335" s="262" t="str">
        <f>IFERROR(IF(AND(COUNT(AH71,AI71,AJ71,AK71)=4,(AH76+AI76+AJ76+AK76)&lt;&gt;0),((AH71+AI71+AJ71+AK71)-(AH170+AI170+AJ170+AK170))/-(AH76+AI76+AJ76+AK76),""),"")</f>
        <v/>
      </c>
      <c r="AM335" s="262" t="str">
        <f>IFERROR(IF(AND(COUNT(AI71,AJ71,AK71,AM71)=4,(AI76+AJ76+AK76+AM76)&lt;&gt;0),((AI71+AJ71+AK71+AM71)-(AI170+AJ170+AK170+AM170))/-(AI76+AJ76+AK76+AM76),""),"")</f>
        <v/>
      </c>
      <c r="AN335" s="262" t="str">
        <f>IFERROR(IF(AND(COUNT(AJ71,AK71,AM71,AN71)=4,(AJ76+AK76+AM76+AN76)&lt;&gt;0),((AJ71+AK71+AM71+AN71)-(AJ170+AK170+AM170+AN170))/-(AJ76+AK76+AM76+AN76),""),"")</f>
        <v/>
      </c>
      <c r="AO335" s="262" t="str">
        <f>IFERROR(IF(AND(COUNT(AK71,AM71,AN71,AO71)=4,(AK76+AM76+AN76+AO76)&lt;&gt;0),((AK71+AM71+AN71+AO71)-(AK170+AM170+AN170+AO170))/-(AK76+AM76+AN76+AO76),""),"")</f>
        <v/>
      </c>
      <c r="AP335" s="262" t="str">
        <f>IFERROR(IF(AND(COUNT(AM71,AN71,AO71,AP71)=4,(AM76+AN76+AO76+AP76)&lt;&gt;0),((AM71+AN71+AO71+AP71)-(AM170+AN170+AO170+AP170))/-(AM76+AN76+AO76+AP76),""),"")</f>
        <v/>
      </c>
      <c r="AQ335" s="262" t="str">
        <f>IFERROR(IF(AND(COUNT(AM71,AN71,AO71,AP71)=4,(AM76+AN76+AO76+AP76)&lt;&gt;0),((AM71+AN71+AO71+AP71)-(AM170+AN170+AO170+AP170))/-(AM76+AN76+AO76+AP76),""),"")</f>
        <v/>
      </c>
      <c r="AR335" s="262" t="str">
        <f>IFERROR(IF(AND(COUNT(AN71,AO71,AP71,AR71)=4,(AN76+AO76+AP76+AR76)&lt;&gt;0),((AN71+AO71+AP71+AR71)-(AN170+AO170+AP170+AR170))/-(AN76+AO76+AP76+AR76),""),"")</f>
        <v/>
      </c>
      <c r="AS335" s="262" t="str">
        <f>IFERROR(IF(AND(COUNT(AO71,AP71,AR71,AS71)=4,(AO76+AP76+AR76+AS76)&lt;&gt;0),((AO71+AP71+AR71+AS71)-(AO170+AP170+AR170+AS170))/-(AO76+AP76+AR76+AS76),""),"")</f>
        <v/>
      </c>
      <c r="AT335" s="262" t="str">
        <f>IFERROR(IF(AND(COUNT(AP71,AR71,AS71,AT71)=4,(AP76+AR76+AS76+AT76)&lt;&gt;0),((AP71+AR71+AS71+AT71)-(AP170+AR170+AS170+AT170))/-(AP76+AR76+AS76+AT76),""),"")</f>
        <v/>
      </c>
      <c r="AU335" s="262" t="str">
        <f>IFERROR(IF(AND(COUNT(AR71,AS71,AT71,AU71)=4,(AR76+AS76+AT76+AU76)&lt;&gt;0),((AR71+AS71+AT71+AU71)-(AR170+AS170+AT170+AU170))/-(AR76+AS76+AT76+AU76),""),"")</f>
        <v/>
      </c>
      <c r="AV335" s="262" t="str">
        <f>IFERROR(IF(AND(COUNT(AR71,AS71,AT71,AU71)=4,(AR76+AS76+AT76+AU76)&lt;&gt;0),((AR71+AS71+AT71+AU71)-(AR170+AS170+AT170+AU170))/-(AR76+AS76+AT76+AU76),""),"")</f>
        <v/>
      </c>
      <c r="AW335" s="262" t="str">
        <f>IFERROR(IF(AND(COUNT(AS71,AT71,AU71,AW71)=4,(AS76+AT76+AU76+AW76)&lt;&gt;0),((AS71+AT71+AU71+AW71)-(AS170+AT170+AU170+AW170))/-(AS76+AT76+AU76+AW76),""),"")</f>
        <v/>
      </c>
      <c r="AX335" s="262" t="str">
        <f>IFERROR(IF(AND(COUNT(AT71,AU71,AW71,AX71)=4,(AT76+AU76+AW76+AX76)&lt;&gt;0),((AT71+AU71+AW71+AX71)-(AT170+AU170+AW170+AX170))/-(AT76+AU76+AW76+AX76),""),"")</f>
        <v/>
      </c>
      <c r="AY335" s="262" t="str">
        <f>IFERROR(IF(AND(COUNT(AU71,AW71,AX71,AY71)=4,(AU76+AW76+AX76+AY76)&lt;&gt;0),((AU71+AW71+AX71+AY71)-(AU170+AW170+AX170+AY170))/-(AU76+AW76+AX76+AY76),""),"")</f>
        <v/>
      </c>
      <c r="AZ335" s="262" t="str">
        <f>IFERROR(IF(AND(COUNT(AW71,AX71,AY71,AZ71)=4,(AW76+AX76+AY76+AZ76)&lt;&gt;0),((AW71+AX71+AY71+AZ71)-(AW170+AX170+AY170+AZ170))/-(AW76+AX76+AY76+AZ76),""),"")</f>
        <v/>
      </c>
      <c r="BA335" s="262" t="str">
        <f>IFERROR(IF(AND(COUNT(AW71,AX71,AY71,AZ71)=4,(AW76+AX76+AY76+AZ76)&lt;&gt;0),((AW71+AX71+AY71+AZ71)-(AW170+AX170+AY170+AZ170))/-(AW76+AX76+AY76+AZ76),""),"")</f>
        <v/>
      </c>
      <c r="BB335" s="262" t="str">
        <f>IFERROR(IF(AND(COUNT(AX71,AY71,AZ71,BB71)=4,(AX76+AY76+AZ76+BB76)&lt;&gt;0),((AX71+AY71+AZ71+BB71)-(AX170+AY170+AZ170+BB170))/-(AX76+AY76+AZ76+BB76),""),"")</f>
        <v/>
      </c>
      <c r="BC335" s="262" t="str">
        <f>IFERROR(IF(AND(COUNT(AY71,AZ71,BB71,BC71)=4,(AY76+AZ76+BB76+BC76)&lt;&gt;0),((AY71+AZ71+BB71+BC71)-(AY170+AZ170+BB170+BC170))/-(AY76+AZ76+BB76+BC76),""),"")</f>
        <v/>
      </c>
      <c r="BD335" s="262" t="str">
        <f>IFERROR(IF(AND(COUNT(AZ71,BB71,BC71,BD71)=4,(AZ76+BB76+BC76+BD76)&lt;&gt;0),((AZ71+BB71+BC71+BD71)-(AZ170+BB170+BC170+BD170))/-(AZ76+BB76+BC76+BD76),""),"")</f>
        <v/>
      </c>
      <c r="BE335" s="262" t="str">
        <f>IFERROR(IF(AND(COUNT(BB71,BC71,BD71,BE71)=4,(BB76+BC76+BD76+BE76)&lt;&gt;0),((BB71+BC71+BD71+BE71)-(BB170+BC170+BD170+BE170))/-(BB76+BC76+BD76+BE76),""),"")</f>
        <v/>
      </c>
      <c r="BF335" s="262" t="str">
        <f>IFERROR(IF(AND(COUNT(BB71,BC71,BD71,BE71)=4,(BB76+BC76+BD76+BE76)&lt;&gt;0),((BB71+BC71+BD71+BE71)-(BB170+BC170+BD170+BE170))/-(BB76+BC76+BD76+BE76),""),"")</f>
        <v/>
      </c>
      <c r="BG335" s="82" t="n"/>
      <c r="BH335" s="82" t="n"/>
      <c r="BI335" s="82" t="n"/>
      <c r="BJ335" s="82" t="n"/>
      <c r="BL335" s="82" t="n"/>
      <c r="BM335" s="82" t="n"/>
      <c r="BN335" s="82" t="n"/>
      <c r="BO335" s="82" t="n"/>
      <c r="BQ335" s="82" t="n"/>
      <c r="BR335" s="82" t="n"/>
      <c r="BS335" s="82" t="n"/>
      <c r="BT335" s="82" t="n"/>
      <c r="BV335" s="82" t="n"/>
      <c r="BW335" s="82" t="n"/>
      <c r="BX335" s="82" t="n"/>
      <c r="BY335" s="82" t="n"/>
      <c r="CA335" s="82" t="n"/>
      <c r="CB335" s="82" t="n"/>
      <c r="CC335" s="82" t="n"/>
      <c r="CD335" s="82" t="n"/>
      <c r="CF335" s="82" t="n"/>
      <c r="CG335" s="82" t="n"/>
      <c r="CH335" s="82" t="n"/>
      <c r="CI335" s="82" t="n"/>
      <c r="CK335" s="82" t="n"/>
      <c r="CL335" s="82" t="n"/>
      <c r="CM335" s="82" t="n"/>
      <c r="CN335" s="82" t="n"/>
      <c r="CP335" s="82" t="n"/>
      <c r="CQ335" s="82" t="n"/>
      <c r="CR335" s="82" t="n"/>
      <c r="CS335" s="82" t="n"/>
      <c r="CU335" s="82" t="n"/>
      <c r="CV335" s="82" t="n"/>
      <c r="CW335" s="82" t="n"/>
      <c r="CX335" s="82" t="n"/>
    </row>
    <row r="336" customFormat="1" s="77">
      <c r="A336" s="76" t="n"/>
      <c r="B336" s="76" t="n"/>
      <c r="C336" s="77" t="inlineStr">
        <is>
          <t>TOTAL DEBT / EBITDA (LTM)</t>
        </is>
      </c>
      <c r="D336" s="82" t="str">
        <f>IFERROR(SUM(D214,D215,D216,D219,D237,D240)/D71,"")</f>
        <v/>
      </c>
      <c r="E336" s="82" t="str">
        <f>IFERROR(SUM(E214,E215,E216,E219,E237,E240)/E71,"")</f>
        <v/>
      </c>
      <c r="F336" s="82" t="str">
        <f>IFERROR(SUM(F214,F215,F216,F219,F237,F240)/F71,"")</f>
        <v/>
      </c>
      <c r="G336" s="82" t="str">
        <f>IFERROR(SUM(G214,G215,G216,G219,G237,G240)/G71,"")</f>
        <v/>
      </c>
      <c r="H336" s="262" t="str">
        <f>IFERROR(IF(AND(COUNT(H71)=1,(H71)&lt;&gt;0),(N(H214)+N(H215)+N(H216)+N(H219)+N(H237)+N(H240))/(H71),""),"")</f>
        <v/>
      </c>
      <c r="I336" s="262" t="str">
        <f>""</f>
        <v/>
      </c>
      <c r="J336" s="262" t="str">
        <f>""</f>
        <v/>
      </c>
      <c r="K336" s="262" t="str">
        <f>""</f>
        <v/>
      </c>
      <c r="L336" s="262">
        <f>IFERROR(IF(AND(COUNT(I71,J71,K71,L71)=4,(I71+J71+K71+L71)&lt;&gt;0),(N(L214)+N(L215)+N(L216)+N(L219)+N(L237)+N(L240))/(I71+J71+K71+L71),""),"")</f>
        <v>1.81030475728548</v>
      </c>
      <c r="M336" s="262">
        <f>IFERROR(IF(AND(COUNT(I71,J71,K71,L71)=4,(I71+J71+K71+L71)&lt;&gt;0),(N(M214)+N(M215)+N(M216)+N(M219)+N(M237)+N(M240))/(I71+J71+K71+L71),""),"")</f>
        <v>1.81030475728548</v>
      </c>
      <c r="N336" s="262">
        <f>IFERROR(IF(AND(COUNT(J71,K71,L71,N71)=4,(J71+K71+L71+N71)&lt;&gt;0),(N(N214)+N(N215)+N(N216)+N(N219)+N(N237)+N(N240))/(J71+K71+L71+N71),""),"")</f>
        <v>2.01609647157069</v>
      </c>
      <c r="O336" s="262">
        <f>IFERROR(IF(AND(COUNT(K71,L71,N71,O71)=4,(K71+L71+N71+O71)&lt;&gt;0),(N(O214)+N(O215)+N(O216)+N(O219)+N(O237)+N(O240))/(K71+L71+N71+O71),""),"")</f>
        <v>2.18481757108281</v>
      </c>
      <c r="P336" s="262">
        <f>IFERROR(IF(AND(COUNT(L71,N71,O71,P71)=4,(L71+N71+O71+P71)&lt;&gt;0),(N(P214)+N(P215)+N(P216)+N(P219)+N(P237)+N(P240))/(L71+N71+O71+P71),""),"")</f>
        <v>2.2406792084938</v>
      </c>
      <c r="Q336" s="262">
        <f>IFERROR(IF(AND(COUNT(N71,O71,P71,Q71)=4,(N71+O71+P71+Q71)&lt;&gt;0),(N(Q214)+N(Q215)+N(Q216)+N(Q219)+N(Q237)+N(Q240))/(N71+O71+P71+Q71),""),"")</f>
        <v>2.28433197843852</v>
      </c>
      <c r="R336" s="262">
        <f>IFERROR(IF(AND(COUNT(N71,O71,P71,Q71)=4,(N71+O71+P71+Q71)&lt;&gt;0),(N(R214)+N(R215)+N(R216)+N(R219)+N(R237)+N(R240))/(N71+O71+P71+Q71),""),"")</f>
        <v>2.28433197843852</v>
      </c>
      <c r="S336" s="262">
        <f>IFERROR(IF(AND(COUNT(O71,P71,Q71,S71)=4,(O71+P71+Q71+S71)&lt;&gt;0),(N(S214)+N(S215)+N(S216)+N(S219)+N(S237)+N(S240))/(O71+P71+Q71+S71),""),"")</f>
        <v>2.25843377224389</v>
      </c>
      <c r="T336" s="262">
        <f>IFERROR(IF(AND(COUNT(P71,Q71,S71,T71)=4,(P71+Q71+S71+T71)&lt;&gt;0),(N(T214)+N(T215)+N(T216)+N(T219)+N(T237)+N(T240))/(P71+Q71+S71+T71),""),"")</f>
        <v>2.23422771652729</v>
      </c>
      <c r="U336" s="262">
        <f>IFERROR(IF(AND(COUNT(Q71,S71,T71,U71)=4,(Q71+S71+T71+U71)&lt;&gt;0),(N(U214)+N(U215)+N(U216)+N(U219)+N(U237)+N(U240))/(Q71+S71+T71+U71),""),"")</f>
        <v>2.08937202867925</v>
      </c>
      <c r="V336" s="262">
        <f>IFERROR(IF(AND(COUNT(S71,T71,U71,V71)=4,(S71+T71+U71+V71)&lt;&gt;0),(N(V214)+N(V215)+N(V216)+N(V219)+N(V237)+N(V240))/(S71+T71+U71+V71),""),"")</f>
        <v>2.03965811652012</v>
      </c>
      <c r="W336" s="262">
        <f>IFERROR(IF(AND(COUNT(S71,T71,U71,V71)=4,(S71+T71+U71+V71)&lt;&gt;0),(N(W214)+N(W215)+N(W216)+N(W219)+N(W237)+N(W240))/(S71+T71+U71+V71),""),"")</f>
        <v>2.03965811652012</v>
      </c>
      <c r="X336" s="262">
        <f>IFERROR(IF(AND(COUNT(T71,U71,V71,X71)=4,(T71+U71+V71+X71)&lt;&gt;0),(N(X214)+N(X215)+N(X216)+N(X219)+N(X237)+N(X240))/(T71+U71+V71+X71),""),"")</f>
        <v>2.17347477672199</v>
      </c>
      <c r="Y336" s="262">
        <f>IFERROR(IF(AND(COUNT(U71,V71,X71,Y71)=4,(U71+V71+X71+Y71)&lt;&gt;0),(N(Y214)+N(Y215)+N(Y216)+N(Y219)+N(Y237)+N(Y240))/(U71+V71+X71+Y71),""),"")</f>
        <v>2.18436736704548</v>
      </c>
      <c r="Z336" s="262">
        <f>IFERROR(IF(AND(COUNT(V71,X71,Y71,Z71)=4,(V71+X71+Y71+Z71)&lt;&gt;0),(N(Z214)+N(Z215)+N(Z216)+N(Z219)+N(Z237)+N(Z240))/(V71+X71+Y71+Z71),""),"")</f>
        <v>2.22443947732768</v>
      </c>
      <c r="AA336" s="262">
        <f>IFERROR(IF(AND(COUNT(X71,Y71,Z71,AA71)=4,(X71+Y71+Z71+AA71)&lt;&gt;0),(N(AA214)+N(AA215)+N(AA216)+N(AA219)+N(AA237)+N(AA240))/(X71+Y71+Z71+AA71),""),"")</f>
        <v>2.25819683017079</v>
      </c>
      <c r="AB336" s="262">
        <f>IFERROR(IF(AND(COUNT(X71,Y71,Z71,AA71)=4,(X71+Y71+Z71+AA71)&lt;&gt;0),(N(AB214)+N(AB215)+N(AB216)+N(AB219)+N(AB237)+N(AB240))/(X71+Y71+Z71+AA71),""),"")</f>
        <v>2.25819683017079</v>
      </c>
      <c r="AC336" s="262">
        <f>IFERROR(IF(AND(COUNT(Y71,Z71,AA71,AC71)=4,(Y71+Z71+AA71+AC71)&lt;&gt;0),(N(AC214)+N(AC215)+N(AC216)+N(AC219)+N(AC237)+N(AC240))/(Y71+Z71+AA71+AC71),""),"")</f>
        <v>2.01604141380649</v>
      </c>
      <c r="AD336" s="262">
        <f>IFERROR(IF(AND(COUNT(Z71,AA71,AC71,AD71)=4,(Z71+AA71+AC71+AD71)&lt;&gt;0),(N(AD214)+N(AD215)+N(AD216)+N(AD219)+N(AD237)+N(AD240))/(Z71+AA71+AC71+AD71),""),"")</f>
        <v>2.1128538235051</v>
      </c>
      <c r="AE336" s="262">
        <f>IFERROR(IF(AND(COUNT(AA71,AC71,AD71,AE71)=4,(AA71+AC71+AD71+AE71)&lt;&gt;0),(N(AE214)+N(AE215)+N(AE216)+N(AE219)+N(AE237)+N(AE240))/(AA71+AC71+AD71+AE71),""),"")</f>
        <v>2.44517757071707</v>
      </c>
      <c r="AF336" s="262">
        <f>IFERROR(IF(AND(COUNT(AB71,AD71,AE71,AF71)=4,(AB71+AD71+AE71+AF71)&lt;&gt;0),(N(AF214)+N(AF215)+N(AF216)+N(AF219)+N(AF237)+N(AF240))/(AB71+AD71+AE71+AF71),""),"")</f>
        <v>1.5451639791756</v>
      </c>
      <c r="AG336" s="262">
        <f>IFERROR(IF(AND(COUNT(AC71,AD71,AE71,AF71)=4,(AC71+AD71+AE71+AF71)&lt;&gt;0),(N(AG214)+N(AG215)+N(AG216)+N(AG219)+N(AG237)+N(AG240))/(AC71+AD71+AE71+AF71),""),"")</f>
        <v>2.49435564386689</v>
      </c>
      <c r="AH336" s="262">
        <f>IFERROR(IF(AND(COUNT(AD71,AF71,AG71,AH71)=4,(AD71+AF71+AG71+AH71)&lt;&gt;0),(N(AH214)+N(AH215)+N(AH216)+N(AH219)+N(AH237)+N(AH240))/(AD71+AF71+AG71+AH71),""),"")</f>
        <v>1.42779125106949</v>
      </c>
      <c r="AI336" s="262">
        <f>IFERROR(IF(AND(COUNT(AE71,AG71,AH71,AI71)=4,(AE71+AG71+AH71+AI71)&lt;&gt;0),(N(AI214)+N(AI215)+N(AI216)+N(AI219)+N(AI237)+N(AI240))/(AE71+AG71+AH71+AI71),""),"")</f>
        <v>1.47866357882113</v>
      </c>
      <c r="AJ336" s="262">
        <f>IFERROR(IF(AND(COUNT(AF71,AH71,AI71,AJ71)=4,(AF71+AH71+AI71+AJ71)&lt;&gt;0),(N(AJ214)+N(AJ215)+N(AJ216)+N(AJ219)+N(AJ237)+N(AJ240))/(AF71+AH71+AI71+AJ71),""),"")</f>
        <v>2.50321246015662</v>
      </c>
      <c r="AK336" s="262">
        <f>IFERROR(IF(AND(COUNT(AH71,AI71,AJ71,AK71)=4,(AH71+AI71+AJ71+AK71)&lt;&gt;0),(N(AK214)+N(AK215)+N(AK216)+N(AK219)+N(AK237)+N(AK240))/(AH71+AI71+AJ71+AK71),""),"")</f>
        <v>2.47208185085824</v>
      </c>
      <c r="AL336" s="262">
        <f>IFERROR(IF(AND(COUNT(AH71,AI71,AJ71,AK71)=4,(AH71+AI71+AJ71+AK71)&lt;&gt;0),(N(AL214)+N(AL215)+N(AL216)+N(AL219)+N(AL237)+N(AL240))/(AH71+AI71+AJ71+AK71),""),"")</f>
        <v>2.47208185085824</v>
      </c>
      <c r="AM336" s="262">
        <f>IFERROR(IF(AND(COUNT(AI71,AJ71,AK71,AM71)=4,(AI71+AJ71+AK71+AM71)&lt;&gt;0),(N(AM214)+N(AM215)+N(AM216)+N(AM219)+N(AM237)+N(AM240))/(AI71+AJ71+AK71+AM71),""),"")</f>
        <v>2.49547804836414</v>
      </c>
      <c r="AN336" s="262">
        <f>IFERROR(IF(AND(COUNT(AJ71,AK71,AM71,AN71)=4,(AJ71+AK71+AM71+AN71)&lt;&gt;0),(N(AN214)+N(AN215)+N(AN216)+N(AN219)+N(AN237)+N(AN240))/(AJ71+AK71+AM71+AN71),""),"")</f>
        <v>2.29285918839157</v>
      </c>
      <c r="AO336" s="262">
        <f>IFERROR(IF(AND(COUNT(AK71,AM71,AN71,AO71)=4,(AK71+AM71+AN71+AO71)&lt;&gt;0),(N(AO214)+N(AO215)+N(AO216)+N(AO219)+N(AO237)+N(AO240))/(AK71+AM71+AN71+AO71),""),"")</f>
        <v>2.25681172080049</v>
      </c>
      <c r="AP336" s="262">
        <f>IFERROR(IF(AND(COUNT(AM71,AN71,AO71,AP71)=4,(AM71+AN71+AO71+AP71)&lt;&gt;0),(N(AP214)+N(AP215)+N(AP216)+N(AP219)+N(AP237)+N(AP240))/(AM71+AN71+AO71+AP71),""),"")</f>
        <v>2.22022718085514</v>
      </c>
      <c r="AQ336" s="262">
        <f>IFERROR(IF(AND(COUNT(AM71,AN71,AO71,AP71)=4,(AM71+AN71+AO71+AP71)&lt;&gt;0),(N(AQ214)+N(AQ215)+N(AQ216)+N(AQ219)+N(AQ237)+N(AQ240))/(AM71+AN71+AO71+AP71),""),"")</f>
        <v>2.22022718085514</v>
      </c>
      <c r="AR336" s="262">
        <f>IFERROR(IF(AND(COUNT(AN71,AO71,AP71,AR71)=4,(AN71+AO71+AP71+AR71)&lt;&gt;0),(N(AR214)+N(AR215)+N(AR216)+N(AR219)+N(AR237)+N(AR240))/(AN71+AO71+AP71+AR71),""),"")</f>
        <v>2.1864760696197</v>
      </c>
      <c r="AS336" s="262">
        <f>IFERROR(IF(AND(COUNT(AO71,AP71,AR71,AS71)=4,(AO71+AP71+AR71+AS71)&lt;&gt;0),(N(AS214)+N(AS215)+N(AS216)+N(AS219)+N(AS237)+N(AS240))/(AO71+AP71+AR71+AS71),""),"")</f>
        <v>2.15448483949479</v>
      </c>
      <c r="AT336" s="262">
        <f>IFERROR(IF(AND(COUNT(AP71,AR71,AS71,AT71)=4,(AP71+AR71+AS71+AT71)&lt;&gt;0),(N(AT214)+N(AT215)+N(AT216)+N(AT219)+N(AT237)+N(AT240))/(AP71+AR71+AS71+AT71),""),"")</f>
        <v>2.12303803387833</v>
      </c>
      <c r="AU336" s="262">
        <f>IFERROR(IF(AND(COUNT(AR71,AS71,AT71,AU71)=4,(AR71+AS71+AT71+AU71)&lt;&gt;0),(N(AU214)+N(AU215)+N(AU216)+N(AU219)+N(AU237)+N(AU240))/(AR71+AS71+AT71+AU71),""),"")</f>
        <v>2.09104907350555</v>
      </c>
      <c r="AV336" s="262">
        <f>IFERROR(IF(AND(COUNT(AR71,AS71,AT71,AU71)=4,(AR71+AS71+AT71+AU71)&lt;&gt;0),(N(AV214)+N(AV215)+N(AV216)+N(AV219)+N(AV237)+N(AV240))/(AR71+AS71+AT71+AU71),""),"")</f>
        <v>2.09104907350555</v>
      </c>
      <c r="AW336" s="262">
        <f>IFERROR(IF(AND(COUNT(AS71,AT71,AU71,AW71)=4,(AS71+AT71+AU71+AW71)&lt;&gt;0),(N(AW214)+N(AW215)+N(AW216)+N(AW219)+N(AW237)+N(AW240))/(AS71+AT71+AU71+AW71),""),"")</f>
        <v>2.06179845871059</v>
      </c>
      <c r="AX336" s="262">
        <f>IFERROR(IF(AND(COUNT(AT71,AU71,AW71,AX71)=4,(AT71+AU71+AW71+AX71)&lt;&gt;0),(N(AX214)+N(AX215)+N(AX216)+N(AX219)+N(AX237)+N(AX240))/(AT71+AU71+AW71+AX71),""),"")</f>
        <v>2.03400645010548</v>
      </c>
      <c r="AY336" s="262">
        <f>IFERROR(IF(AND(COUNT(AU71,AW71,AX71,AY71)=4,(AU71+AW71+AX71+AY71)&lt;&gt;0),(N(AY214)+N(AY215)+N(AY216)+N(AY219)+N(AY237)+N(AY240))/(AU71+AW71+AX71+AY71),""),"")</f>
        <v>2.0066240017158</v>
      </c>
      <c r="AZ336" s="262">
        <f>IFERROR(IF(AND(COUNT(AW71,AX71,AY71,AZ71)=4,(AW71+AX71+AY71+AZ71)&lt;&gt;0),(N(AZ214)+N(AZ215)+N(AZ216)+N(AZ219)+N(AZ237)+N(AZ240))/(AW71+AX71+AY71+AZ71),""),"")</f>
        <v>1.97870475119578</v>
      </c>
      <c r="BA336" s="262">
        <f>IFERROR(IF(AND(COUNT(AW71,AX71,AY71,AZ71)=4,(AW71+AX71+AY71+AZ71)&lt;&gt;0),(N(BA214)+N(BA215)+N(BA216)+N(BA219)+N(BA237)+N(BA240))/(AW71+AX71+AY71+AZ71),""),"")</f>
        <v>1.97870475119578</v>
      </c>
      <c r="BB336" s="262">
        <f>IFERROR(IF(AND(COUNT(AX71,AY71,AZ71,BB71)=4,(AX71+AY71+AZ71+BB71)&lt;&gt;0),(N(BB214)+N(BB215)+N(BB216)+N(BB219)+N(BB237)+N(BB240))/(AX71+AY71+AZ71+BB71),""),"")</f>
        <v>1.953432069918</v>
      </c>
      <c r="BC336" s="262">
        <f>IFERROR(IF(AND(COUNT(AY71,AZ71,BB71,BC71)=4,(AY71+AZ71+BB71+BC71)&lt;&gt;0),(N(BC214)+N(BC215)+N(BC216)+N(BC219)+N(BC237)+N(BC240))/(AY71+AZ71+BB71+BC71),""),"")</f>
        <v>1.92936180682849</v>
      </c>
      <c r="BD336" s="262">
        <f>IFERROR(IF(AND(COUNT(AZ71,BB71,BC71,BD71)=4,(AZ71+BB71+BC71+BD71)&lt;&gt;0),(N(BD214)+N(BD215)+N(BD216)+N(BD219)+N(BD237)+N(BD240))/(AZ71+BB71+BC71+BD71),""),"")</f>
        <v>1.90559095436138</v>
      </c>
      <c r="BE336" s="262">
        <f>IFERROR(IF(AND(COUNT(BB71,BC71,BD71,BE71)=4,(BB71+BC71+BD71+BE71)&lt;&gt;0),(N(BE214)+N(BE215)+N(BE216)+N(BE219)+N(BE237)+N(BE240))/(BB71+BC71+BD71+BE71),""),"")</f>
        <v>1.8812973844631</v>
      </c>
      <c r="BF336" s="262">
        <f>IFERROR(IF(AND(COUNT(BB71,BC71,BD71,BE71)=4,(BB71+BC71+BD71+BE71)&lt;&gt;0),(N(BF214)+N(BF215)+N(BF216)+N(BF219)+N(BF237)+N(BF240))/(BB71+BC71+BD71+BE71),""),"")</f>
        <v>1.8812973844631</v>
      </c>
      <c r="BG336" s="82" t="n"/>
      <c r="BH336" s="82" t="n"/>
      <c r="BI336" s="82" t="n"/>
      <c r="BJ336" s="82" t="n"/>
      <c r="BL336" s="82" t="n"/>
      <c r="BM336" s="82" t="n"/>
      <c r="BN336" s="82" t="n"/>
      <c r="BO336" s="82" t="n"/>
      <c r="BQ336" s="82" t="n"/>
      <c r="BR336" s="82" t="n"/>
      <c r="BS336" s="82" t="n"/>
      <c r="BT336" s="82" t="n"/>
      <c r="BV336" s="82" t="n"/>
      <c r="BW336" s="82" t="n"/>
      <c r="BX336" s="82" t="n"/>
      <c r="BY336" s="82" t="n"/>
      <c r="CA336" s="82" t="n"/>
      <c r="CB336" s="82" t="n"/>
      <c r="CC336" s="82" t="n"/>
      <c r="CD336" s="82" t="n"/>
      <c r="CF336" s="82" t="n"/>
      <c r="CG336" s="82" t="n"/>
      <c r="CH336" s="82" t="n"/>
      <c r="CI336" s="82" t="n"/>
      <c r="CK336" s="82" t="n"/>
      <c r="CL336" s="82" t="n"/>
      <c r="CM336" s="82" t="n"/>
      <c r="CN336" s="82" t="n"/>
      <c r="CP336" s="82" t="n"/>
      <c r="CQ336" s="82" t="n"/>
      <c r="CR336" s="82" t="n"/>
      <c r="CS336" s="82" t="n"/>
      <c r="CU336" s="82" t="n"/>
      <c r="CV336" s="82" t="n"/>
      <c r="CW336" s="82" t="n"/>
      <c r="CX336" s="82" t="n"/>
    </row>
    <row r="337" customFormat="1" s="77">
      <c r="A337" s="76" t="n"/>
      <c r="B337" s="76" t="n"/>
      <c r="C337" s="77" t="inlineStr">
        <is>
          <t>TOTAL DEBT / TOTAL CAPITALIZATION</t>
        </is>
      </c>
      <c r="D337" s="80" t="str">
        <f>IFERROR(SUM(D214+D215+D216+D219+D237+D240)/(SUM(D214+D215+D216+D219+D237+D240)+D273),"")</f>
        <v/>
      </c>
      <c r="E337" s="80" t="str">
        <f>IFERROR(SUM(E214+E215+E216+E219+E237+E240)/(SUM(E214+E215+E216+E219+E237+E240)+E273),"")</f>
        <v/>
      </c>
      <c r="F337" s="80" t="str">
        <f>IFERROR(SUM(F214+F215+F216+F219+F237+F240)/(SUM(F214+F215+F216+F219+F237+F240)+F273),"")</f>
        <v/>
      </c>
      <c r="G337" s="80" t="str">
        <f>IFERROR(SUM(G214+G215+G216+G219+G237+G240)/(SUM(G214+G215+G216+G219+G237+G240)+G273),"")</f>
        <v/>
      </c>
      <c r="H337" s="258" t="str">
        <f>IFERROR(IF(((N(H214)+N(H215)+N(H216)+N(H219)+N(H237)+N(H240))+N(H273))&lt;&gt;0,(N(H214)+N(H215)+N(H216)+N(H219)+N(H237)+N(H240))/((N(H214)+N(H215)+N(H216)+N(H219)+N(H237)+N(H240))+H273),""),"")</f>
        <v/>
      </c>
      <c r="I337" s="258">
        <f>IFERROR(IF(((N(I214)+N(I215)+N(I216)+N(I219)+N(I237)+N(I240))+N(I273))&lt;&gt;0,(N(I214)+N(I215)+N(I216)+N(I219)+N(I237)+N(I240))/((N(I214)+N(I215)+N(I216)+N(I219)+N(I237)+N(I240))+I273),""),"")</f>
        <v>0.363250181070631</v>
      </c>
      <c r="J337" s="258">
        <f>IFERROR(IF(((N(J214)+N(J215)+N(J216)+N(J219)+N(J237)+N(J240))+N(J273))&lt;&gt;0,(N(J214)+N(J215)+N(J216)+N(J219)+N(J237)+N(J240))/((N(J214)+N(J215)+N(J216)+N(J219)+N(J237)+N(J240))+J273),""),"")</f>
        <v>0.355718584606772</v>
      </c>
      <c r="K337" s="258">
        <f>IFERROR(IF(((N(K214)+N(K215)+N(K216)+N(K219)+N(K237)+N(K240))+N(K273))&lt;&gt;0,(N(K214)+N(K215)+N(K216)+N(K219)+N(K237)+N(K240))/((N(K214)+N(K215)+N(K216)+N(K219)+N(K237)+N(K240))+K273),""),"")</f>
        <v>0.348813699032267</v>
      </c>
      <c r="L337" s="258">
        <f>IFERROR(IF(((N(L214)+N(L215)+N(L216)+N(L219)+N(L237)+N(L240))+N(L273))&lt;&gt;0,(N(L214)+N(L215)+N(L216)+N(L219)+N(L237)+N(L240))/((N(L214)+N(L215)+N(L216)+N(L219)+N(L237)+N(L240))+L273),""),"")</f>
        <v>0.344906426408107</v>
      </c>
      <c r="M337" s="258">
        <f>IFERROR(IF(((N(M214)+N(M215)+N(M216)+N(M219)+N(M237)+N(M240))+N(M273))&lt;&gt;0,(N(M214)+N(M215)+N(M216)+N(M219)+N(M237)+N(M240))/((N(M214)+N(M215)+N(M216)+N(M219)+N(M237)+N(M240))+M273),""),"")</f>
        <v>0.344906426408107</v>
      </c>
      <c r="N337" s="258">
        <f>IFERROR(IF(((N(N214)+N(N215)+N(N216)+N(N219)+N(N237)+N(N240))+N(N273))&lt;&gt;0,(N(N214)+N(N215)+N(N216)+N(N219)+N(N237)+N(N240))/((N(N214)+N(N215)+N(N216)+N(N219)+N(N237)+N(N240))+N273),""),"")</f>
        <v>0.368473581764388</v>
      </c>
      <c r="O337" s="258">
        <f>IFERROR(IF(((N(O214)+N(O215)+N(O216)+N(O219)+N(O237)+N(O240))+N(O273))&lt;&gt;0,(N(O214)+N(O215)+N(O216)+N(O219)+N(O237)+N(O240))/((N(O214)+N(O215)+N(O216)+N(O219)+N(O237)+N(O240))+O273),""),"")</f>
        <v>0.372545307781886</v>
      </c>
      <c r="P337" s="258">
        <f>IFERROR(IF(((N(P214)+N(P215)+N(P216)+N(P219)+N(P237)+N(P240))+N(P273))&lt;&gt;0,(N(P214)+N(P215)+N(P216)+N(P219)+N(P237)+N(P240))/((N(P214)+N(P215)+N(P216)+N(P219)+N(P237)+N(P240))+P273),""),"")</f>
        <v>0.368615003502383</v>
      </c>
      <c r="Q337" s="258">
        <f>IFERROR(IF(((N(Q214)+N(Q215)+N(Q216)+N(Q219)+N(Q237)+N(Q240))+N(Q273))&lt;&gt;0,(N(Q214)+N(Q215)+N(Q216)+N(Q219)+N(Q237)+N(Q240))/((N(Q214)+N(Q215)+N(Q216)+N(Q219)+N(Q237)+N(Q240))+Q273),""),"")</f>
        <v>0.366488535688668</v>
      </c>
      <c r="R337" s="258">
        <f>IFERROR(IF(((N(R214)+N(R215)+N(R216)+N(R219)+N(R237)+N(R240))+N(R273))&lt;&gt;0,(N(R214)+N(R215)+N(R216)+N(R219)+N(R237)+N(R240))/((N(R214)+N(R215)+N(R216)+N(R219)+N(R237)+N(R240))+R273),""),"")</f>
        <v>0.366488535688668</v>
      </c>
      <c r="S337" s="258">
        <f>IFERROR(IF(((N(S214)+N(S215)+N(S216)+N(S219)+N(S237)+N(S240))+N(S273))&lt;&gt;0,(N(S214)+N(S215)+N(S216)+N(S219)+N(S237)+N(S240))/((N(S214)+N(S215)+N(S216)+N(S219)+N(S237)+N(S240))+S273),""),"")</f>
        <v>0.362528350861866</v>
      </c>
      <c r="T337" s="258">
        <f>IFERROR(IF(((N(T214)+N(T215)+N(T216)+N(T219)+N(T237)+N(T240))+N(T273))&lt;&gt;0,(N(T214)+N(T215)+N(T216)+N(T219)+N(T237)+N(T240))/((N(T214)+N(T215)+N(T216)+N(T219)+N(T237)+N(T240))+T273),""),"")</f>
        <v>0.381543427698654</v>
      </c>
      <c r="U337" s="258">
        <f>IFERROR(IF(((N(U214)+N(U215)+N(U216)+N(U219)+N(U237)+N(U240))+N(U273))&lt;&gt;0,(N(U214)+N(U215)+N(U216)+N(U219)+N(U237)+N(U240))/((N(U214)+N(U215)+N(U216)+N(U219)+N(U237)+N(U240))+U273),""),"")</f>
        <v>0.374128328749726</v>
      </c>
      <c r="V337" s="258">
        <f>IFERROR(IF(((N(V214)+N(V215)+N(V216)+N(V219)+N(V237)+N(V240))+N(V273))&lt;&gt;0,(N(V214)+N(V215)+N(V216)+N(V219)+N(V237)+N(V240))/((N(V214)+N(V215)+N(V216)+N(V219)+N(V237)+N(V240))+V273),""),"")</f>
        <v>0.372227297501717</v>
      </c>
      <c r="W337" s="258">
        <f>IFERROR(IF(((N(W214)+N(W215)+N(W216)+N(W219)+N(W237)+N(W240))+N(W273))&lt;&gt;0,(N(W214)+N(W215)+N(W216)+N(W219)+N(W237)+N(W240))/((N(W214)+N(W215)+N(W216)+N(W219)+N(W237)+N(W240))+W273),""),"")</f>
        <v>0.372227297501717</v>
      </c>
      <c r="X337" s="258">
        <f>IFERROR(IF(((N(X214)+N(X215)+N(X216)+N(X219)+N(X237)+N(X240))+N(X273))&lt;&gt;0,(N(X214)+N(X215)+N(X216)+N(X219)+N(X237)+N(X240))/((N(X214)+N(X215)+N(X216)+N(X219)+N(X237)+N(X240))+X273),""),"")</f>
        <v>0.387158761296431</v>
      </c>
      <c r="Y337" s="258">
        <f>IFERROR(IF(((N(Y214)+N(Y215)+N(Y216)+N(Y219)+N(Y237)+N(Y240))+N(Y273))&lt;&gt;0,(N(Y214)+N(Y215)+N(Y216)+N(Y219)+N(Y237)+N(Y240))/((N(Y214)+N(Y215)+N(Y216)+N(Y219)+N(Y237)+N(Y240))+Y273),""),"")</f>
        <v>0.385466952480398</v>
      </c>
      <c r="Z337" s="258">
        <f>IFERROR(IF(((N(Z214)+N(Z215)+N(Z216)+N(Z219)+N(Z237)+N(Z240))+N(Z273))&lt;&gt;0,(N(Z214)+N(Z215)+N(Z216)+N(Z219)+N(Z237)+N(Z240))/((N(Z214)+N(Z215)+N(Z216)+N(Z219)+N(Z237)+N(Z240))+Z273),""),"")</f>
        <v>0.379567385672846</v>
      </c>
      <c r="AA337" s="258">
        <f>IFERROR(IF(((N(AA214)+N(AA215)+N(AA216)+N(AA219)+N(AA237)+N(AA240))+N(AA273))&lt;&gt;0,(N(AA214)+N(AA215)+N(AA216)+N(AA219)+N(AA237)+N(AA240))/((N(AA214)+N(AA215)+N(AA216)+N(AA219)+N(AA237)+N(AA240))+AA273),""),"")</f>
        <v>0.379800632781983</v>
      </c>
      <c r="AB337" s="258">
        <f>IFERROR(IF(((N(AB214)+N(AB215)+N(AB216)+N(AB219)+N(AB237)+N(AB240))+N(AB273))&lt;&gt;0,(N(AB214)+N(AB215)+N(AB216)+N(AB219)+N(AB237)+N(AB240))/((N(AB214)+N(AB215)+N(AB216)+N(AB219)+N(AB237)+N(AB240))+AB273),""),"")</f>
        <v>0.379800632781983</v>
      </c>
      <c r="AC337" s="258">
        <f>IFERROR(IF(((N(AC214)+N(AC215)+N(AC216)+N(AC219)+N(AC237)+N(AC240))+N(AC273))&lt;&gt;0,(N(AC214)+N(AC215)+N(AC216)+N(AC219)+N(AC237)+N(AC240))/((N(AC214)+N(AC215)+N(AC216)+N(AC219)+N(AC237)+N(AC240))+AC273),""),"")</f>
        <v>0.3544601096335</v>
      </c>
      <c r="AD337" s="258">
        <f>IFERROR(IF(((N(AD214)+N(AD215)+N(AD216)+N(AD219)+N(AD237)+N(AD240))+N(AD273))&lt;&gt;0,(N(AD214)+N(AD215)+N(AD216)+N(AD219)+N(AD237)+N(AD240))/((N(AD214)+N(AD215)+N(AD216)+N(AD219)+N(AD237)+N(AD240))+AD273),""),"")</f>
        <v>0.362403149637996</v>
      </c>
      <c r="AE337" s="258">
        <f>IFERROR(IF(((N(AE214)+N(AE215)+N(AE216)+N(AE219)+N(AE237)+N(AE240))+N(AE273))&lt;&gt;0,(N(AE214)+N(AE215)+N(AE216)+N(AE219)+N(AE237)+N(AE240))/((N(AE214)+N(AE215)+N(AE216)+N(AE219)+N(AE237)+N(AE240))+AE273),""),"")</f>
        <v>0.376208130366602</v>
      </c>
      <c r="AF337" s="258">
        <f>IFERROR(IF(((N(AF214)+N(AF215)+N(AF216)+N(AF219)+N(AF237)+N(AF240))+N(AF273))&lt;&gt;0,(N(AF214)+N(AF215)+N(AF216)+N(AF219)+N(AF237)+N(AF240))/((N(AF214)+N(AF215)+N(AF216)+N(AF219)+N(AF237)+N(AF240))+AF273),""),"")</f>
        <v>0.374493280166683</v>
      </c>
      <c r="AG337" s="258">
        <f>IFERROR(IF(((N(AG214)+N(AG215)+N(AG216)+N(AG219)+N(AG237)+N(AG240))+N(AG273))&lt;&gt;0,(N(AG214)+N(AG215)+N(AG216)+N(AG219)+N(AG237)+N(AG240))/((N(AG214)+N(AG215)+N(AG216)+N(AG219)+N(AG237)+N(AG240))+AG273),""),"")</f>
        <v>0.374493280166683</v>
      </c>
      <c r="AH337" s="258">
        <f>IFERROR(IF(((N(AH214)+N(AH215)+N(AH216)+N(AH219)+N(AH237)+N(AH240))+N(AH273))&lt;&gt;0,(N(AH214)+N(AH215)+N(AH216)+N(AH219)+N(AH237)+N(AH240))/((N(AH214)+N(AH215)+N(AH216)+N(AH219)+N(AH237)+N(AH240))+AH273),""),"")</f>
        <v>0.364383392993207</v>
      </c>
      <c r="AI337" s="258">
        <f>IFERROR(IF(((N(AI214)+N(AI215)+N(AI216)+N(AI219)+N(AI237)+N(AI240))+N(AI273))&lt;&gt;0,(N(AI214)+N(AI215)+N(AI216)+N(AI219)+N(AI237)+N(AI240))/((N(AI214)+N(AI215)+N(AI216)+N(AI219)+N(AI237)+N(AI240))+AI273),""),"")</f>
        <v>0.374602890176726</v>
      </c>
      <c r="AJ337" s="258">
        <f>IFERROR(IF(((N(AJ214)+N(AJ215)+N(AJ216)+N(AJ219)+N(AJ237)+N(AJ240))+N(AJ273))&lt;&gt;0,(N(AJ214)+N(AJ215)+N(AJ216)+N(AJ219)+N(AJ237)+N(AJ240))/((N(AJ214)+N(AJ215)+N(AJ216)+N(AJ219)+N(AJ237)+N(AJ240))+AJ273),""),"")</f>
        <v>0.361147745165328</v>
      </c>
      <c r="AK337" s="258">
        <f>IFERROR(IF(((N(AK214)+N(AK215)+N(AK216)+N(AK219)+N(AK237)+N(AK240))+N(AK273))&lt;&gt;0,(N(AK214)+N(AK215)+N(AK216)+N(AK219)+N(AK237)+N(AK240))/((N(AK214)+N(AK215)+N(AK216)+N(AK219)+N(AK237)+N(AK240))+AK273),""),"")</f>
        <v>0.348045198568468</v>
      </c>
      <c r="AL337" s="258">
        <f>IFERROR(IF(((N(AL214)+N(AL215)+N(AL216)+N(AL219)+N(AL237)+N(AL240))+N(AL273))&lt;&gt;0,(N(AL214)+N(AL215)+N(AL216)+N(AL219)+N(AL237)+N(AL240))/((N(AL214)+N(AL215)+N(AL216)+N(AL219)+N(AL237)+N(AL240))+AL273),""),"")</f>
        <v>0.348045198568468</v>
      </c>
      <c r="AM337" s="258">
        <f>IFERROR(IF(((N(AM214)+N(AM215)+N(AM216)+N(AM219)+N(AM237)+N(AM240))+N(AM273))&lt;&gt;0,(N(AM214)+N(AM215)+N(AM216)+N(AM219)+N(AM237)+N(AM240))/((N(AM214)+N(AM215)+N(AM216)+N(AM219)+N(AM237)+N(AM240))+AM273),""),"")</f>
        <v>0.335515942274142</v>
      </c>
      <c r="AN337" s="258">
        <f>IFERROR(IF(((N(AN214)+N(AN215)+N(AN216)+N(AN219)+N(AN237)+N(AN240))+N(AN273))&lt;&gt;0,(N(AN214)+N(AN215)+N(AN216)+N(AN219)+N(AN237)+N(AN240))/((N(AN214)+N(AN215)+N(AN216)+N(AN219)+N(AN237)+N(AN240))+AN273),""),"")</f>
        <v>0.324118933471171</v>
      </c>
      <c r="AO337" s="258">
        <f>IFERROR(IF(((N(AO214)+N(AO215)+N(AO216)+N(AO219)+N(AO237)+N(AO240))+N(AO273))&lt;&gt;0,(N(AO214)+N(AO215)+N(AO216)+N(AO219)+N(AO237)+N(AO240))/((N(AO214)+N(AO215)+N(AO216)+N(AO219)+N(AO237)+N(AO240))+AO273),""),"")</f>
        <v>0.313343590827287</v>
      </c>
      <c r="AP337" s="258">
        <f>IFERROR(IF(((N(AP214)+N(AP215)+N(AP216)+N(AP219)+N(AP237)+N(AP240))+N(AP273))&lt;&gt;0,(N(AP214)+N(AP215)+N(AP216)+N(AP219)+N(AP237)+N(AP240))/((N(AP214)+N(AP215)+N(AP216)+N(AP219)+N(AP237)+N(AP240))+AP273),""),"")</f>
        <v>0.302793034148524</v>
      </c>
      <c r="AQ337" s="258">
        <f>IFERROR(IF(((N(AQ214)+N(AQ215)+N(AQ216)+N(AQ219)+N(AQ237)+N(AQ240))+N(AQ273))&lt;&gt;0,(N(AQ214)+N(AQ215)+N(AQ216)+N(AQ219)+N(AQ237)+N(AQ240))/((N(AQ214)+N(AQ215)+N(AQ216)+N(AQ219)+N(AQ237)+N(AQ240))+AQ273),""),"")</f>
        <v>0.302793034148524</v>
      </c>
      <c r="AR337" s="258">
        <f>IFERROR(IF(((N(AR214)+N(AR215)+N(AR216)+N(AR219)+N(AR237)+N(AR240))+N(AR273))&lt;&gt;0,(N(AR214)+N(AR215)+N(AR216)+N(AR219)+N(AR237)+N(AR240))/((N(AR214)+N(AR215)+N(AR216)+N(AR219)+N(AR237)+N(AR240))+AR273),""),"")</f>
        <v>0.292696482783104</v>
      </c>
      <c r="AS337" s="258">
        <f>IFERROR(IF(((N(AS214)+N(AS215)+N(AS216)+N(AS219)+N(AS237)+N(AS240))+N(AS273))&lt;&gt;0,(N(AS214)+N(AS215)+N(AS216)+N(AS219)+N(AS237)+N(AS240))/((N(AS214)+N(AS215)+N(AS216)+N(AS219)+N(AS237)+N(AS240))+AS273),""),"")</f>
        <v>0.28346392958304</v>
      </c>
      <c r="AT337" s="258">
        <f>IFERROR(IF(((N(AT214)+N(AT215)+N(AT216)+N(AT219)+N(AT237)+N(AT240))+N(AT273))&lt;&gt;0,(N(AT214)+N(AT215)+N(AT216)+N(AT219)+N(AT237)+N(AT240))/((N(AT214)+N(AT215)+N(AT216)+N(AT219)+N(AT237)+N(AT240))+AT273),""),"")</f>
        <v>0.274692239962155</v>
      </c>
      <c r="AU337" s="258">
        <f>IFERROR(IF(((N(AU214)+N(AU215)+N(AU216)+N(AU219)+N(AU237)+N(AU240))+N(AU273))&lt;&gt;0,(N(AU214)+N(AU215)+N(AU216)+N(AU219)+N(AU237)+N(AU240))/((N(AU214)+N(AU215)+N(AU216)+N(AU219)+N(AU237)+N(AU240))+AU273),""),"")</f>
        <v>0.266062996198807</v>
      </c>
      <c r="AV337" s="258">
        <f>IFERROR(IF(((N(AV214)+N(AV215)+N(AV216)+N(AV219)+N(AV237)+N(AV240))+N(AV273))&lt;&gt;0,(N(AV214)+N(AV215)+N(AV216)+N(AV219)+N(AV237)+N(AV240))/((N(AV214)+N(AV215)+N(AV216)+N(AV219)+N(AV237)+N(AV240))+AV273),""),"")</f>
        <v>0.266062996198807</v>
      </c>
      <c r="AW337" s="258">
        <f>IFERROR(IF(((N(AW214)+N(AW215)+N(AW216)+N(AW219)+N(AW237)+N(AW240))+N(AW273))&lt;&gt;0,(N(AW214)+N(AW215)+N(AW216)+N(AW219)+N(AW237)+N(AW240))/((N(AW214)+N(AW215)+N(AW216)+N(AW219)+N(AW237)+N(AW240))+AW273),""),"")</f>
        <v>0.257805109830467</v>
      </c>
      <c r="AX337" s="258">
        <f>IFERROR(IF(((N(AX214)+N(AX215)+N(AX216)+N(AX219)+N(AX237)+N(AX240))+N(AX273))&lt;&gt;0,(N(AX214)+N(AX215)+N(AX216)+N(AX219)+N(AX237)+N(AX240))/((N(AX214)+N(AX215)+N(AX216)+N(AX219)+N(AX237)+N(AX240))+AX273),""),"")</f>
        <v>0.250219298049939</v>
      </c>
      <c r="AY337" s="258">
        <f>IFERROR(IF(((N(AY214)+N(AY215)+N(AY216)+N(AY219)+N(AY237)+N(AY240))+N(AY273))&lt;&gt;0,(N(AY214)+N(AY215)+N(AY216)+N(AY219)+N(AY237)+N(AY240))/((N(AY214)+N(AY215)+N(AY216)+N(AY219)+N(AY237)+N(AY240))+AY273),""),"")</f>
        <v>0.242981340759955</v>
      </c>
      <c r="AZ337" s="258">
        <f>IFERROR(IF(((N(AZ214)+N(AZ215)+N(AZ216)+N(AZ219)+N(AZ237)+N(AZ240))+N(AZ273))&lt;&gt;0,(N(AZ214)+N(AZ215)+N(AZ216)+N(AZ219)+N(AZ237)+N(AZ240))/((N(AZ214)+N(AZ215)+N(AZ216)+N(AZ219)+N(AZ237)+N(AZ240))+AZ273),""),"")</f>
        <v>0.2358314446225</v>
      </c>
      <c r="BA337" s="258">
        <f>IFERROR(IF(((N(BA214)+N(BA215)+N(BA216)+N(BA219)+N(BA237)+N(BA240))+N(BA273))&lt;&gt;0,(N(BA214)+N(BA215)+N(BA216)+N(BA219)+N(BA237)+N(BA240))/((N(BA214)+N(BA215)+N(BA216)+N(BA219)+N(BA237)+N(BA240))+BA273),""),"")</f>
        <v>0.2358314446225</v>
      </c>
      <c r="BB337" s="258">
        <f>IFERROR(IF(((N(BB214)+N(BB215)+N(BB216)+N(BB219)+N(BB237)+N(BB240))+N(BB273))&lt;&gt;0,(N(BB214)+N(BB215)+N(BB216)+N(BB219)+N(BB237)+N(BB240))/((N(BB214)+N(BB215)+N(BB216)+N(BB219)+N(BB237)+N(BB240))+BB273),""),"")</f>
        <v>0.22899325941802</v>
      </c>
      <c r="BC337" s="258">
        <f>IFERROR(IF(((N(BC214)+N(BC215)+N(BC216)+N(BC219)+N(BC237)+N(BC240))+N(BC273))&lt;&gt;0,(N(BC214)+N(BC215)+N(BC216)+N(BC219)+N(BC237)+N(BC240))/((N(BC214)+N(BC215)+N(BC216)+N(BC219)+N(BC237)+N(BC240))+BC273),""),"")</f>
        <v>0.222686166587715</v>
      </c>
      <c r="BD337" s="258">
        <f>IFERROR(IF(((N(BD214)+N(BD215)+N(BD216)+N(BD219)+N(BD237)+N(BD240))+N(BD273))&lt;&gt;0,(N(BD214)+N(BD215)+N(BD216)+N(BD219)+N(BD237)+N(BD240))/((N(BD214)+N(BD215)+N(BD216)+N(BD219)+N(BD237)+N(BD240))+BD273),""),"")</f>
        <v>0.216645447475174</v>
      </c>
      <c r="BE337" s="258">
        <f>IFERROR(IF(((N(BE214)+N(BE215)+N(BE216)+N(BE219)+N(BE237)+N(BE240))+N(BE273))&lt;&gt;0,(N(BE214)+N(BE215)+N(BE216)+N(BE219)+N(BE237)+N(BE240))/((N(BE214)+N(BE215)+N(BE216)+N(BE219)+N(BE237)+N(BE240))+BE273),""),"")</f>
        <v>0.210656197357189</v>
      </c>
      <c r="BF337" s="258">
        <f>IFERROR(IF(((N(BF214)+N(BF215)+N(BF216)+N(BF219)+N(BF237)+N(BF240))+N(BF273))&lt;&gt;0,(N(BF214)+N(BF215)+N(BF216)+N(BF219)+N(BF237)+N(BF240))/((N(BF214)+N(BF215)+N(BF216)+N(BF219)+N(BF237)+N(BF240))+BF273),""),"")</f>
        <v>0.210656197357189</v>
      </c>
      <c r="BG337" s="80" t="n"/>
      <c r="BH337" s="80" t="n"/>
      <c r="BI337" s="80" t="n"/>
      <c r="BJ337" s="80" t="n"/>
      <c r="BL337" s="80" t="n"/>
      <c r="BM337" s="80" t="n"/>
      <c r="BN337" s="80" t="n"/>
      <c r="BO337" s="80" t="n"/>
      <c r="BQ337" s="80" t="n"/>
      <c r="BR337" s="80" t="n"/>
      <c r="BS337" s="80" t="n"/>
      <c r="BT337" s="80" t="n"/>
      <c r="BV337" s="80" t="n"/>
      <c r="BW337" s="80" t="n"/>
      <c r="BX337" s="80" t="n"/>
      <c r="BY337" s="80" t="n"/>
      <c r="CA337" s="80" t="n"/>
      <c r="CB337" s="80" t="n"/>
      <c r="CC337" s="80" t="n"/>
      <c r="CD337" s="80" t="n"/>
      <c r="CF337" s="80" t="n"/>
      <c r="CG337" s="80" t="n"/>
      <c r="CH337" s="80" t="n"/>
      <c r="CI337" s="80" t="n"/>
      <c r="CK337" s="80" t="n"/>
      <c r="CL337" s="80" t="n"/>
      <c r="CM337" s="80" t="n"/>
      <c r="CN337" s="80" t="n"/>
      <c r="CP337" s="80" t="n"/>
      <c r="CQ337" s="80" t="n"/>
      <c r="CR337" s="80" t="n"/>
      <c r="CS337" s="80" t="n"/>
      <c r="CU337" s="80" t="n"/>
      <c r="CV337" s="80" t="n"/>
      <c r="CW337" s="80" t="n"/>
      <c r="CX337" s="80" t="n"/>
    </row>
    <row r="338" customFormat="1" s="77">
      <c r="A338" s="76" t="n"/>
      <c r="B338" s="76" t="n"/>
      <c r="C338" s="77" t="inlineStr">
        <is>
          <t>NET DEBT / EBITDA (LTM)</t>
        </is>
      </c>
      <c r="D338" s="82" t="str">
        <f>IFERROR(SUM((D214+D215+D216+D219+D237)-D146)/(D71*4),"")</f>
        <v/>
      </c>
      <c r="E338" s="82" t="str">
        <f>IFERROR(SUM((E214+E215+E216+E219+E237)-E146)/(E71*4),"")</f>
        <v/>
      </c>
      <c r="F338" s="82" t="str">
        <f>IFERROR(SUM((F214+F215+F216+F219+F237)-F146)/(F71*4),"")</f>
        <v/>
      </c>
      <c r="G338" s="82" t="str">
        <f>IFERROR(SUM((G214+G215+G216+G219+G237)-G146)/(G71*4),"")</f>
        <v/>
      </c>
      <c r="H338" s="262" t="str">
        <f>IFERROR(IF(AND(COUNT(H71)=1,(H71)&lt;&gt;0),((N(H214)+N(H215)+N(H216)+N(H219)+N(H237)+N(H240))-N(H146))/(H71),""),"")</f>
        <v/>
      </c>
      <c r="I338" s="262" t="str">
        <f>""</f>
        <v/>
      </c>
      <c r="J338" s="262" t="str">
        <f>""</f>
        <v/>
      </c>
      <c r="K338" s="262" t="str">
        <f>""</f>
        <v/>
      </c>
      <c r="L338" s="262">
        <f>IFERROR(IF(AND(COUNT(I71,J71,K71,L71)=4,(I71+J71+K71+L71)&lt;&gt;0),((N(L214)+N(L215)+N(L216)+N(L219)+N(L237)+N(L240))-N(L146))/(I71+J71+K71+L71),""),"")</f>
        <v>1.37838353164875</v>
      </c>
      <c r="M338" s="262">
        <f>IFERROR(IF(AND(COUNT(I71,J71,K71,L71)=4,(I71+J71+K71+L71)&lt;&gt;0),((N(M214)+N(M215)+N(M216)+N(M219)+N(M237)+N(M240))-N(M146))/(I71+J71+K71+L71),""),"")</f>
        <v>1.37838353164875</v>
      </c>
      <c r="N338" s="262">
        <f>IFERROR(IF(AND(COUNT(J71,K71,L71,N71)=4,(J71+K71+L71+N71)&lt;&gt;0),((N(N214)+N(N215)+N(N216)+N(N219)+N(N237)+N(N240))-N(N146))/(J71+K71+L71+N71),""),"")</f>
        <v>1.33900144671603</v>
      </c>
      <c r="O338" s="262">
        <f>IFERROR(IF(AND(COUNT(K71,L71,N71,O71)=4,(K71+L71+N71+O71)&lt;&gt;0),((N(O214)+N(O215)+N(O216)+N(O219)+N(O237)+N(O240))-N(O146))/(K71+L71+N71+O71),""),"")</f>
        <v>1.62690900042978</v>
      </c>
      <c r="P338" s="262">
        <f>IFERROR(IF(AND(COUNT(L71,N71,O71,P71)=4,(L71+N71+O71+P71)&lt;&gt;0),((N(P214)+N(P215)+N(P216)+N(P219)+N(P237)+N(P240))-N(P146))/(L71+N71+O71+P71),""),"")</f>
        <v>1.68042713657288</v>
      </c>
      <c r="Q338" s="262">
        <f>IFERROR(IF(AND(COUNT(N71,O71,P71,Q71)=4,(N71+O71+P71+Q71)&lt;&gt;0),((N(Q214)+N(Q215)+N(Q216)+N(Q219)+N(Q237)+N(Q240))-N(Q146))/(N71+O71+P71+Q71),""),"")</f>
        <v>1.7415058431243</v>
      </c>
      <c r="R338" s="262">
        <f>IFERROR(IF(AND(COUNT(N71,O71,P71,Q71)=4,(N71+O71+P71+Q71)&lt;&gt;0),((N(R214)+N(R215)+N(R216)+N(R219)+N(R237)+N(R240))-N(R146))/(N71+O71+P71+Q71),""),"")</f>
        <v>1.7415058431243</v>
      </c>
      <c r="S338" s="262">
        <f>IFERROR(IF(AND(COUNT(O71,P71,Q71,S71)=4,(O71+P71+Q71+S71)&lt;&gt;0),((N(S214)+N(S215)+N(S216)+N(S219)+N(S237)+N(S240))-N(S146))/(O71+P71+Q71+S71),""),"")</f>
        <v>1.72960382922347</v>
      </c>
      <c r="T338" s="262">
        <f>IFERROR(IF(AND(COUNT(P71,Q71,S71,T71)=4,(P71+Q71+S71+T71)&lt;&gt;0),((N(T214)+N(T215)+N(T216)+N(T219)+N(T237)+N(T240))-N(T146))/(P71+Q71+S71+T71),""),"")</f>
        <v>1.77495169932807</v>
      </c>
      <c r="U338" s="262">
        <f>IFERROR(IF(AND(COUNT(Q71,S71,T71,U71)=4,(Q71+S71+T71+U71)&lt;&gt;0),((N(U214)+N(U215)+N(U216)+N(U219)+N(U237)+N(U240))-N(U146))/(Q71+S71+T71+U71),""),"")</f>
        <v>1.61974160412126</v>
      </c>
      <c r="V338" s="262">
        <f>IFERROR(IF(AND(COUNT(S71,T71,U71,V71)=4,(S71+T71+U71+V71)&lt;&gt;0),((N(V214)+N(V215)+N(V216)+N(V219)+N(V237)+N(V240))-N(V146))/(S71+T71+U71+V71),""),"")</f>
        <v>1.58596528140854</v>
      </c>
      <c r="W338" s="262">
        <f>IFERROR(IF(AND(COUNT(S71,T71,U71,V71)=4,(S71+T71+U71+V71)&lt;&gt;0),((N(W214)+N(W215)+N(W216)+N(W219)+N(W237)+N(W240))-N(W146))/(S71+T71+U71+V71),""),"")</f>
        <v>1.58596528140854</v>
      </c>
      <c r="X338" s="262">
        <f>IFERROR(IF(AND(COUNT(T71,U71,V71,X71)=4,(T71+U71+V71+X71)&lt;&gt;0),((N(X214)+N(X215)+N(X216)+N(X219)+N(X237)+N(X240))-N(X146))/(T71+U71+V71+X71),""),"")</f>
        <v>1.52324674088876</v>
      </c>
      <c r="Y338" s="262">
        <f>IFERROR(IF(AND(COUNT(U71,V71,X71,Y71)=4,(U71+V71+X71+Y71)&lt;&gt;0),((N(Y214)+N(Y215)+N(Y216)+N(Y219)+N(Y237)+N(Y240))-N(Y146))/(U71+V71+X71+Y71),""),"")</f>
        <v>1.69210004173537</v>
      </c>
      <c r="Z338" s="262">
        <f>IFERROR(IF(AND(COUNT(V71,X71,Y71,Z71)=4,(V71+X71+Y71+Z71)&lt;&gt;0),((N(Z214)+N(Z215)+N(Z216)+N(Z219)+N(Z237)+N(Z240))-N(Z146))/(V71+X71+Y71+Z71),""),"")</f>
        <v>1.64764838783003</v>
      </c>
      <c r="AA338" s="262">
        <f>IFERROR(IF(AND(COUNT(X71,Y71,Z71,AA71)=4,(X71+Y71+Z71+AA71)&lt;&gt;0),((N(AA214)+N(AA215)+N(AA216)+N(AA219)+N(AA237)+N(AA240))-N(AA146))/(X71+Y71+Z71+AA71),""),"")</f>
        <v>1.64497735787632</v>
      </c>
      <c r="AB338" s="262">
        <f>IFERROR(IF(AND(COUNT(X71,Y71,Z71,AA71)=4,(X71+Y71+Z71+AA71)&lt;&gt;0),((N(AB214)+N(AB215)+N(AB216)+N(AB219)+N(AB237)+N(AB240))-N(AB146))/(X71+Y71+Z71+AA71),""),"")</f>
        <v>1.64497735787632</v>
      </c>
      <c r="AC338" s="262">
        <f>IFERROR(IF(AND(COUNT(Y71,Z71,AA71,AC71)=4,(Y71+Z71+AA71+AC71)&lt;&gt;0),((N(AC214)+N(AC215)+N(AC216)+N(AC219)+N(AC237)+N(AC240))-N(AC146))/(Y71+Z71+AA71+AC71),""),"")</f>
        <v>1.45214891620025</v>
      </c>
      <c r="AD338" s="262">
        <f>IFERROR(IF(AND(COUNT(Z71,AA71,AC71,AD71)=4,(Z71+AA71+AC71+AD71)&lt;&gt;0),((N(AD214)+N(AD215)+N(AD216)+N(AD219)+N(AD237)+N(AD240))-N(AD146))/(Z71+AA71+AC71+AD71),""),"")</f>
        <v>1.67239477955961</v>
      </c>
      <c r="AE338" s="262">
        <f>IFERROR(IF(AND(COUNT(AA71,AC71,AD71,AE71)=4,(AA71+AC71+AD71+AE71)&lt;&gt;0),((N(AE214)+N(AE215)+N(AE216)+N(AE219)+N(AE237)+N(AE240))-N(AE146))/(AA71+AC71+AD71+AE71),""),"")</f>
        <v>0.463610497301804</v>
      </c>
      <c r="AF338" s="262">
        <f>IFERROR(IF(AND(COUNT(AB71,AD71,AE71,AF71)=4,(AB71+AD71+AE71+AF71)&lt;&gt;0),((N(AF214)+N(AF215)+N(AF216)+N(AF219)+N(AF237)+N(AF240))-N(AF146))/(AB71+AD71+AE71+AF71),""),"")</f>
        <v>0.372990861109091</v>
      </c>
      <c r="AG338" s="262">
        <f>IFERROR(IF(AND(COUNT(AC71,AD71,AE71,AF71)=4,(AC71+AD71+AE71+AF71)&lt;&gt;0),((N(AG214)+N(AG215)+N(AG216)+N(AG219)+N(AG237)+N(AG240))-N(AG146))/(AC71+AD71+AE71+AF71),""),"")</f>
        <v>0.602118527261175</v>
      </c>
      <c r="AH338" s="262">
        <f>IFERROR(IF(AND(COUNT(AD71,AF71,AG71,AH71)=4,(AD71+AF71+AG71+AH71)&lt;&gt;0),((N(AH214)+N(AH215)+N(AH216)+N(AH219)+N(AH237)+N(AH240))-N(AH146))/(AD71+AF71+AG71+AH71),""),"")</f>
        <v>0.376786513050877</v>
      </c>
      <c r="AI338" s="262">
        <f>IFERROR(IF(AND(COUNT(AE71,AG71,AH71,AI71)=4,(AE71+AG71+AH71+AI71)&lt;&gt;0),((N(AI214)+N(AI215)+N(AI216)+N(AI219)+N(AI237)+N(AI240))-N(AI146))/(AE71+AG71+AH71+AI71),""),"")</f>
        <v>0.527743190780517</v>
      </c>
      <c r="AJ338" s="262">
        <f>IFERROR(IF(AND(COUNT(AF71,AH71,AI71,AJ71)=4,(AF71+AH71+AI71+AJ71)&lt;&gt;0),((N(AJ214)+N(AJ215)+N(AJ216)+N(AJ219)+N(AJ237)+N(AJ240))-N(AJ146))/(AF71+AH71+AI71+AJ71),""),"")</f>
        <v>0.648654654460922</v>
      </c>
      <c r="AK338" s="262">
        <f>IFERROR(IF(AND(COUNT(AH71,AI71,AJ71,AK71)=4,(AH71+AI71+AJ71+AK71)&lt;&gt;0),((N(AK214)+N(AK215)+N(AK216)+N(AK219)+N(AK237)+N(AK240))-N(AK146))/(AH71+AI71+AJ71+AK71),""),"")</f>
        <v>0.397183965836409</v>
      </c>
      <c r="AL338" s="262">
        <f>IFERROR(IF(AND(COUNT(AH71,AI71,AJ71,AK71)=4,(AH71+AI71+AJ71+AK71)&lt;&gt;0),((N(AL214)+N(AL215)+N(AL216)+N(AL219)+N(AL237)+N(AL240))-N(AL146))/(AH71+AI71+AJ71+AK71),""),"")</f>
        <v>0.397183965836409</v>
      </c>
      <c r="AM338" s="262">
        <f>IFERROR(IF(AND(COUNT(AI71,AJ71,AK71,AM71)=4,(AI71+AJ71+AK71+AM71)&lt;&gt;0),((N(AM214)+N(AM215)+N(AM216)+N(AM219)+N(AM237)+N(AM240))-N(AM146))/(AI71+AJ71+AK71+AM71),""),"")</f>
        <v>0.149539844817193</v>
      </c>
      <c r="AN338" s="262">
        <f>IFERROR(IF(AND(COUNT(AJ71,AK71,AM71,AN71)=4,(AJ71+AK71+AM71+AN71)&lt;&gt;0),((N(AN214)+N(AN215)+N(AN216)+N(AN219)+N(AN237)+N(AN240))-N(AN146))/(AJ71+AK71+AM71+AN71),""),"")</f>
        <v>-0.114795429134895</v>
      </c>
      <c r="AO338" s="262">
        <f>IFERROR(IF(AND(COUNT(AK71,AM71,AN71,AO71)=4,(AK71+AM71+AN71+AO71)&lt;&gt;0),((N(AO214)+N(AO215)+N(AO216)+N(AO219)+N(AO237)+N(AO240))-N(AO146))/(AK71+AM71+AN71+AO71),""),"")</f>
        <v>-0.353273293606871</v>
      </c>
      <c r="AP338" s="262">
        <f>IFERROR(IF(AND(COUNT(AM71,AN71,AO71,AP71)=4,(AM71+AN71+AO71+AP71)&lt;&gt;0),((N(AP214)+N(AP215)+N(AP216)+N(AP219)+N(AP237)+N(AP240))-N(AP146))/(AM71+AN71+AO71+AP71),""),"")</f>
        <v>-0.581425212862759</v>
      </c>
      <c r="AQ338" s="262">
        <f>IFERROR(IF(AND(COUNT(AM71,AN71,AO71,AP71)=4,(AM71+AN71+AO71+AP71)&lt;&gt;0),((N(AQ214)+N(AQ215)+N(AQ216)+N(AQ219)+N(AQ237)+N(AQ240))-N(AQ146))/(AM71+AN71+AO71+AP71),""),"")</f>
        <v>-0.581425212862759</v>
      </c>
      <c r="AR338" s="262">
        <f>IFERROR(IF(AND(COUNT(AN71,AO71,AP71,AR71)=4,(AN71+AO71+AP71+AR71)&lt;&gt;0),((N(AR214)+N(AR215)+N(AR216)+N(AR219)+N(AR237)+N(AR240))-N(AR146))/(AN71+AO71+AP71+AR71),""),"")</f>
        <v>-0.811884360472828</v>
      </c>
      <c r="AS338" s="262">
        <f>IFERROR(IF(AND(COUNT(AO71,AP71,AR71,AS71)=4,(AO71+AP71+AR71+AS71)&lt;&gt;0),((N(AS214)+N(AS215)+N(AS216)+N(AS219)+N(AS237)+N(AS240))-N(AS146))/(AO71+AP71+AR71+AS71),""),"")</f>
        <v>-1.04854879690923</v>
      </c>
      <c r="AT338" s="262">
        <f>IFERROR(IF(AND(COUNT(AP71,AR71,AS71,AT71)=4,(AP71+AR71+AS71+AT71)&lt;&gt;0),((N(AT214)+N(AT215)+N(AT216)+N(AT219)+N(AT237)+N(AT240))-N(AT146))/(AP71+AR71+AS71+AT71),""),"")</f>
        <v>-1.27367739460216</v>
      </c>
      <c r="AU338" s="262">
        <f>IFERROR(IF(AND(COUNT(AR71,AS71,AT71,AU71)=4,(AR71+AS71+AT71+AU71)&lt;&gt;0),((N(AU214)+N(AU215)+N(AU216)+N(AU219)+N(AU237)+N(AU240))-N(AU146))/(AR71+AS71+AT71+AU71),""),"")</f>
        <v>-1.48879609760306</v>
      </c>
      <c r="AV338" s="262">
        <f>IFERROR(IF(AND(COUNT(AR71,AS71,AT71,AU71)=4,(AR71+AS71+AT71+AU71)&lt;&gt;0),((N(AV214)+N(AV215)+N(AV216)+N(AV219)+N(AV237)+N(AV240))-N(AV146))/(AR71+AS71+AT71+AU71),""),"")</f>
        <v>-1.48879609760306</v>
      </c>
      <c r="AW338" s="262">
        <f>IFERROR(IF(AND(COUNT(AS71,AT71,AU71,AW71)=4,(AS71+AT71+AU71+AW71)&lt;&gt;0),((N(AW214)+N(AW215)+N(AW216)+N(AW219)+N(AW237)+N(AW240))-N(AW146))/(AS71+AT71+AU71+AW71),""),"")</f>
        <v>-1.70474285583911</v>
      </c>
      <c r="AX338" s="262">
        <f>IFERROR(IF(AND(COUNT(AT71,AU71,AW71,AX71)=4,(AT71+AU71+AW71+AX71)&lt;&gt;0),((N(AX214)+N(AX215)+N(AX216)+N(AX219)+N(AX237)+N(AX240))-N(AX146))/(AT71+AU71+AW71+AX71),""),"")</f>
        <v>-1.93360828131578</v>
      </c>
      <c r="AY338" s="262">
        <f>IFERROR(IF(AND(COUNT(AU71,AW71,AX71,AY71)=4,(AU71+AW71+AX71+AY71)&lt;&gt;0),((N(AY214)+N(AY215)+N(AY216)+N(AY219)+N(AY237)+N(AY240))-N(AY146))/(AU71+AW71+AX71+AY71),""),"")</f>
        <v>-2.14811559337661</v>
      </c>
      <c r="AZ338" s="262">
        <f>IFERROR(IF(AND(COUNT(AW71,AX71,AY71,AZ71)=4,(AW71+AX71+AY71+AZ71)&lt;&gt;0),((N(AZ214)+N(AZ215)+N(AZ216)+N(AZ219)+N(AZ237)+N(AZ240))-N(AZ146))/(AW71+AX71+AY71+AZ71),""),"")</f>
        <v>-2.35292012780799</v>
      </c>
      <c r="BA338" s="262">
        <f>IFERROR(IF(AND(COUNT(AW71,AX71,AY71,AZ71)=4,(AW71+AX71+AY71+AZ71)&lt;&gt;0),((N(BA214)+N(BA215)+N(BA216)+N(BA219)+N(BA237)+N(BA240))-N(BA146))/(AW71+AX71+AY71+AZ71),""),"")</f>
        <v>-2.35292012780799</v>
      </c>
      <c r="BB338" s="262">
        <f>IFERROR(IF(AND(COUNT(AX71,AY71,AZ71,BB71)=4,(AX71+AY71+AZ71+BB71)&lt;&gt;0),((N(BB214)+N(BB215)+N(BB216)+N(BB219)+N(BB237)+N(BB240))-N(BB146))/(AX71+AY71+AZ71+BB71),""),"")</f>
        <v>-2.56060576986812</v>
      </c>
      <c r="BC338" s="262">
        <f>IFERROR(IF(AND(COUNT(AY71,AZ71,BB71,BC71)=4,(AY71+AZ71+BB71+BC71)&lt;&gt;0),((N(BC214)+N(BC215)+N(BC216)+N(BC219)+N(BC237)+N(BC240))-N(BC146))/(AY71+AZ71+BB71+BC71),""),"")</f>
        <v>-2.78063552641691</v>
      </c>
      <c r="BD338" s="262">
        <f>IFERROR(IF(AND(COUNT(AZ71,BB71,BC71,BD71)=4,(AZ71+BB71+BC71+BD71)&lt;&gt;0),((N(BD214)+N(BD215)+N(BD216)+N(BD219)+N(BD237)+N(BD240))-N(BD146))/(AZ71+BB71+BC71+BD71),""),"")</f>
        <v>-2.9869474825056</v>
      </c>
      <c r="BE338" s="262">
        <f>IFERROR(IF(AND(COUNT(BB71,BC71,BD71,BE71)=4,(BB71+BC71+BD71+BE71)&lt;&gt;0),((N(BE214)+N(BE215)+N(BE216)+N(BE219)+N(BE237)+N(BE240))-N(BE146))/(BB71+BC71+BD71+BE71),""),"")</f>
        <v>-3.1838674375884</v>
      </c>
      <c r="BF338" s="262">
        <f>IFERROR(IF(AND(COUNT(BB71,BC71,BD71,BE71)=4,(BB71+BC71+BD71+BE71)&lt;&gt;0),((N(BF214)+N(BF215)+N(BF216)+N(BF219)+N(BF237)+N(BF240))-N(BF146))/(BB71+BC71+BD71+BE71),""),"")</f>
        <v>-3.1838674375884</v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  <c r="C339" s="83" t="inlineStr">
        <is>
          <t>NET DEBT (EX IFRS 16.) / EBITDA (LTM)</t>
        </is>
      </c>
      <c r="D339" s="82" t="str">
        <f>IFERROR(SUM((D214+D215+D219)-D146)/(D71*4),"")</f>
        <v/>
      </c>
      <c r="E339" s="82" t="str">
        <f>IFERROR(SUM((E214+E215+E219)-E146)/(E71*4),"")</f>
        <v/>
      </c>
      <c r="F339" s="82" t="str">
        <f>IFERROR(SUM((F214+F215+F219)-F146)/(F71*4),"")</f>
        <v/>
      </c>
      <c r="G339" s="82" t="str">
        <f>IFERROR(SUM((G214+G215+G219)-G146)/(G71*4),"")</f>
        <v/>
      </c>
      <c r="H339" s="262" t="str">
        <f>IFERROR(IF(AND(COUNT(H71)=1,(H71)&lt;&gt;0),((N(H214)+N(H215)+N(H219)+N(H240))-N(H146))/(H71),""),"")</f>
        <v/>
      </c>
      <c r="I339" s="262" t="str">
        <f>""</f>
        <v/>
      </c>
      <c r="J339" s="262" t="str">
        <f>""</f>
        <v/>
      </c>
      <c r="K339" s="262" t="str">
        <f>""</f>
        <v/>
      </c>
      <c r="L339" s="262">
        <f>IFERROR(IF(AND(COUNT(I71,J71,K71,L71)=4,(I71+J71+K71+L71)&lt;&gt;0),((N(L214)+N(L215)+N(L219)+N(L240))-N(L146))/(I71+J71+K71+L71),""),"")</f>
        <v>1.20044838439274</v>
      </c>
      <c r="M339" s="262">
        <f>IFERROR(IF(AND(COUNT(I71,J71,K71,L71)=4,(I71+J71+K71+L71)&lt;&gt;0),((N(M214)+N(M215)+N(M219)+N(M240))-N(M146))/(I71+J71+K71+L71),""),"")</f>
        <v>1.20044838439274</v>
      </c>
      <c r="N339" s="262">
        <f>IFERROR(IF(AND(COUNT(J71,K71,L71,N71)=4,(J71+K71+L71+N71)&lt;&gt;0),((N(N214)+N(N215)+N(N219)+N(N240))-N(N146))/(J71+K71+L71+N71),""),"")</f>
        <v>1.16481113311618</v>
      </c>
      <c r="O339" s="262">
        <f>IFERROR(IF(AND(COUNT(K71,L71,N71,O71)=4,(K71+L71+N71+O71)&lt;&gt;0),((N(O214)+N(O215)+N(O219)+N(O240))-N(O146))/(K71+L71+N71+O71),""),"")</f>
        <v>1.44663937207356</v>
      </c>
      <c r="P339" s="262">
        <f>IFERROR(IF(AND(COUNT(L71,N71,O71,P71)=4,(L71+N71+O71+P71)&lt;&gt;0),((N(P214)+N(P215)+N(P219)+N(P240))-N(P146))/(L71+N71+O71+P71),""),"")</f>
        <v>1.48528956686606</v>
      </c>
      <c r="Q339" s="262">
        <f>IFERROR(IF(AND(COUNT(N71,O71,P71,Q71)=4,(N71+O71+P71+Q71)&lt;&gt;0),((N(Q214)+N(Q215)+N(Q219)+N(Q240))-N(Q146))/(N71+O71+P71+Q71),""),"")</f>
        <v>1.51688046142819</v>
      </c>
      <c r="R339" s="262">
        <f>IFERROR(IF(AND(COUNT(N71,O71,P71,Q71)=4,(N71+O71+P71+Q71)&lt;&gt;0),((N(R214)+N(R215)+N(R219)+N(R240))-N(R146))/(N71+O71+P71+Q71),""),"")</f>
        <v>1.51688046142819</v>
      </c>
      <c r="S339" s="262">
        <f>IFERROR(IF(AND(COUNT(O71,P71,Q71,S71)=4,(O71+P71+Q71+S71)&lt;&gt;0),((N(S214)+N(S215)+N(S219)+N(S240))-N(S146))/(O71+P71+Q71+S71),""),"")</f>
        <v>1.51591381456211</v>
      </c>
      <c r="T339" s="262">
        <f>IFERROR(IF(AND(COUNT(P71,Q71,S71,T71)=4,(P71+Q71+S71+T71)&lt;&gt;0),((N(T214)+N(T215)+N(T219)+N(T240))-N(T146))/(P71+Q71+S71+T71),""),"")</f>
        <v>1.57653234006061</v>
      </c>
      <c r="U339" s="262">
        <f>IFERROR(IF(AND(COUNT(Q71,S71,T71,U71)=4,(Q71+S71+T71+U71)&lt;&gt;0),((N(U214)+N(U215)+N(U219)+N(U240))-N(U146))/(Q71+S71+T71+U71),""),"")</f>
        <v>1.43678369042546</v>
      </c>
      <c r="V339" s="262">
        <f>IFERROR(IF(AND(COUNT(S71,T71,U71,V71)=4,(S71+T71+U71+V71)&lt;&gt;0),((N(V214)+N(V215)+N(V219)+N(V240))-N(V146))/(S71+T71+U71+V71),""),"")</f>
        <v>1.40656647583315</v>
      </c>
      <c r="W339" s="262">
        <f>IFERROR(IF(AND(COUNT(S71,T71,U71,V71)=4,(S71+T71+U71+V71)&lt;&gt;0),((N(W214)+N(W215)+N(W219)+N(W240))-N(W146))/(S71+T71+U71+V71),""),"")</f>
        <v>1.40656647583315</v>
      </c>
      <c r="X339" s="262">
        <f>IFERROR(IF(AND(COUNT(T71,U71,V71,X71)=4,(T71+U71+V71+X71)&lt;&gt;0),((N(X214)+N(X215)+N(X219)+N(X240))-N(X146))/(T71+U71+V71+X71),""),"")</f>
        <v>1.35674965675679</v>
      </c>
      <c r="Y339" s="262">
        <f>IFERROR(IF(AND(COUNT(U71,V71,X71,Y71)=4,(U71+V71+X71+Y71)&lt;&gt;0),((N(Y214)+N(Y215)+N(Y219)+N(Y240))-N(Y146))/(U71+V71+X71+Y71),""),"")</f>
        <v>1.52013321109203</v>
      </c>
      <c r="Z339" s="262">
        <f>IFERROR(IF(AND(COUNT(V71,X71,Y71,Z71)=4,(V71+X71+Y71+Z71)&lt;&gt;0),((N(Z214)+N(Z215)+N(Z219)+N(Z240))-N(Z146))/(V71+X71+Y71+Z71),""),"")</f>
        <v>1.47943200369204</v>
      </c>
      <c r="AA339" s="262">
        <f>IFERROR(IF(AND(COUNT(X71,Y71,Z71,AA71)=4,(X71+Y71+Z71+AA71)&lt;&gt;0),((N(AA214)+N(AA215)+N(AA219)+N(AA240))-N(AA146))/(X71+Y71+Z71+AA71),""),"")</f>
        <v>1.47810262477005</v>
      </c>
      <c r="AB339" s="262">
        <f>IFERROR(IF(AND(COUNT(X71,Y71,Z71,AA71)=4,(X71+Y71+Z71+AA71)&lt;&gt;0),((N(AB214)+N(AB215)+N(AB219)+N(AB240))-N(AB146))/(X71+Y71+Z71+AA71),""),"")</f>
        <v>1.47810262477005</v>
      </c>
      <c r="AC339" s="262">
        <f>IFERROR(IF(AND(COUNT(Y71,Z71,AA71,AC71)=4,(Y71+Z71+AA71+AC71)&lt;&gt;0),((N(AC214)+N(AC215)+N(AC219)+N(AC240))-N(AC146))/(Y71+Z71+AA71+AC71),""),"")</f>
        <v>1.30590816596392</v>
      </c>
      <c r="AD339" s="262">
        <f>IFERROR(IF(AND(COUNT(Z71,AA71,AC71,AD71)=4,(Z71+AA71+AC71+AD71)&lt;&gt;0),((N(AD214)+N(AD215)+N(AD219)+N(AD240))-N(AD146))/(Z71+AA71+AC71+AD71),""),"")</f>
        <v>1.52736586298331</v>
      </c>
      <c r="AE339" s="262">
        <f>IFERROR(IF(AND(COUNT(AA71,AC71,AD71,AE71)=4,(AA71+AC71+AD71+AE71)&lt;&gt;0),((N(AE214)+N(AE215)+N(AE219)+N(AE240))-N(AE146))/(AA71+AC71+AD71+AE71),""),"")</f>
        <v>0.281792897575718</v>
      </c>
      <c r="AF339" s="262">
        <f>IFERROR(IF(AND(COUNT(AB71,AD71,AE71,AF71)=4,(AB71+AD71+AE71+AF71)&lt;&gt;0),((N(AF214)+N(AF215)+N(AF219)+N(AF240))-N(AF146))/(AB71+AD71+AE71+AF71),""),"")</f>
        <v>0.255459841467707</v>
      </c>
      <c r="AG339" s="262">
        <f>IFERROR(IF(AND(COUNT(AC71,AD71,AE71,AF71)=4,(AC71+AD71+AE71+AF71)&lt;&gt;0),((N(AG214)+N(AG215)+N(AG219)+N(AG240))-N(AG146))/(AC71+AD71+AE71+AF71),""),"")</f>
        <v>0.412388397564307</v>
      </c>
      <c r="AH339" s="262">
        <f>IFERROR(IF(AND(COUNT(AD71,AF71,AG71,AH71)=4,(AD71+AF71+AG71+AH71)&lt;&gt;0),((N(AH214)+N(AH215)+N(AH219)+N(AH240))-N(AH146))/(AD71+AF71+AG71+AH71),""),"")</f>
        <v>0.270682036612622</v>
      </c>
      <c r="AI339" s="262">
        <f>IFERROR(IF(AND(COUNT(AE71,AG71,AH71,AI71)=4,(AE71+AG71+AH71+AI71)&lt;&gt;0),((N(AI214)+N(AI215)+N(AI219)+N(AI240))-N(AI146))/(AE71+AG71+AH71+AI71),""),"")</f>
        <v>0.420528870030052</v>
      </c>
      <c r="AJ339" s="262">
        <f>IFERROR(IF(AND(COUNT(AF71,AH71,AI71,AJ71)=4,(AF71+AH71+AI71+AJ71)&lt;&gt;0),((N(AJ214)+N(AJ215)+N(AJ219)+N(AJ240))-N(AJ146))/(AF71+AH71+AI71+AJ71),""),"")</f>
        <v>0.467152771643359</v>
      </c>
      <c r="AK339" s="262">
        <f>IFERROR(IF(AND(COUNT(AH71,AI71,AJ71,AK71)=4,(AH71+AI71+AJ71+AK71)&lt;&gt;0),((N(AK214)+N(AK215)+N(AK219)+N(AK240))-N(AK146))/(AH71+AI71+AJ71+AK71),""),"")</f>
        <v>0.217939288226494</v>
      </c>
      <c r="AL339" s="262">
        <f>IFERROR(IF(AND(COUNT(AH71,AI71,AJ71,AK71)=4,(AH71+AI71+AJ71+AK71)&lt;&gt;0),((N(AL214)+N(AL215)+N(AL219)+N(AL240))-N(AL146))/(AH71+AI71+AJ71+AK71),""),"")</f>
        <v>0.217939288226494</v>
      </c>
      <c r="AM339" s="262">
        <f>IFERROR(IF(AND(COUNT(AI71,AJ71,AK71,AM71)=4,(AI71+AJ71+AK71+AM71)&lt;&gt;0),((N(AM214)+N(AM215)+N(AM219)+N(AM240))-N(AM146))/(AI71+AJ71+AK71+AM71),""),"")</f>
        <v>-0.0314012345027983</v>
      </c>
      <c r="AN339" s="262">
        <f>IFERROR(IF(AND(COUNT(AJ71,AK71,AM71,AN71)=4,(AJ71+AK71+AM71+AN71)&lt;&gt;0),((N(AN214)+N(AN215)+N(AN219)+N(AN240))-N(AN146))/(AJ71+AK71+AM71+AN71),""),"")</f>
        <v>-0.281045104842638</v>
      </c>
      <c r="AO339" s="262">
        <f>IFERROR(IF(AND(COUNT(AK71,AM71,AN71,AO71)=4,(AK71+AM71+AN71+AO71)&lt;&gt;0),((N(AO214)+N(AO215)+N(AO219)+N(AO240))-N(AO146))/(AK71+AM71+AN71+AO71),""),"")</f>
        <v>-0.516909254600931</v>
      </c>
      <c r="AP339" s="262">
        <f>IFERROR(IF(AND(COUNT(AM71,AN71,AO71,AP71)=4,(AM71+AN71+AO71+AP71)&lt;&gt;0),((N(AP214)+N(AP215)+N(AP219)+N(AP240))-N(AP146))/(AM71+AN71+AO71+AP71),""),"")</f>
        <v>-0.742408517325347</v>
      </c>
      <c r="AQ339" s="262">
        <f>IFERROR(IF(AND(COUNT(AM71,AN71,AO71,AP71)=4,(AM71+AN71+AO71+AP71)&lt;&gt;0),((N(AQ214)+N(AQ215)+N(AQ219)+N(AQ240))-N(AQ146))/(AM71+AN71+AO71+AP71),""),"")</f>
        <v>-0.742408517325347</v>
      </c>
      <c r="AR339" s="262">
        <f>IFERROR(IF(AND(COUNT(AN71,AO71,AP71,AR71)=4,(AN71+AO71+AP71+AR71)&lt;&gt;0),((N(AR214)+N(AR215)+N(AR219)+N(AR240))-N(AR146))/(AN71+AO71+AP71+AR71),""),"")</f>
        <v>-0.970420453468583</v>
      </c>
      <c r="AS339" s="262">
        <f>IFERROR(IF(AND(COUNT(AO71,AP71,AR71,AS71)=4,(AO71+AP71+AR71+AS71)&lt;&gt;0),((N(AS214)+N(AS215)+N(AS219)+N(AS240))-N(AS146))/(AO71+AP71+AR71+AS71),""),"")</f>
        <v>-1.20476528316215</v>
      </c>
      <c r="AT339" s="262">
        <f>IFERROR(IF(AND(COUNT(AP71,AR71,AS71,AT71)=4,(AP71+AR71+AS71+AT71)&lt;&gt;0),((N(AT214)+N(AT215)+N(AT219)+N(AT240))-N(AT146))/(AP71+AR71+AS71+AT71),""),"")</f>
        <v>-1.42761374901696</v>
      </c>
      <c r="AU339" s="262">
        <f>IFERROR(IF(AND(COUNT(AR71,AS71,AT71,AU71)=4,(AR71+AS71+AT71+AU71)&lt;&gt;0),((N(AU214)+N(AU215)+N(AU219)+N(AU240))-N(AU146))/(AR71+AS71+AT71+AU71),""),"")</f>
        <v>-1.64041300984927</v>
      </c>
      <c r="AV339" s="262">
        <f>IFERROR(IF(AND(COUNT(AR71,AS71,AT71,AU71)=4,(AR71+AS71+AT71+AU71)&lt;&gt;0),((N(AV214)+N(AV215)+N(AV219)+N(AV240))-N(AV146))/(AR71+AS71+AT71+AU71),""),"")</f>
        <v>-1.64041300984927</v>
      </c>
      <c r="AW339" s="262">
        <f>IFERROR(IF(AND(COUNT(AS71,AT71,AU71,AW71)=4,(AS71+AT71+AU71+AW71)&lt;&gt;0),((N(AW214)+N(AW215)+N(AW219)+N(AW240))-N(AW146))/(AS71+AT71+AU71+AW71),""),"")</f>
        <v>-1.85423887673336</v>
      </c>
      <c r="AX339" s="262">
        <f>IFERROR(IF(AND(COUNT(AT71,AU71,AW71,AX71)=4,(AT71+AU71+AW71+AX71)&lt;&gt;0),((N(AX214)+N(AX215)+N(AX219)+N(AX240))-N(AX146))/(AT71+AU71+AW71+AX71),""),"")</f>
        <v>-2.08108917086604</v>
      </c>
      <c r="AY339" s="262">
        <f>IFERROR(IF(AND(COUNT(AU71,AW71,AX71,AY71)=4,(AU71+AW71+AX71+AY71)&lt;&gt;0),((N(AY214)+N(AY215)+N(AY219)+N(AY240))-N(AY146))/(AU71+AW71+AX71+AY71),""),"")</f>
        <v>-2.29361104780382</v>
      </c>
      <c r="AZ339" s="262">
        <f>IFERROR(IF(AND(COUNT(AW71,AX71,AY71,AZ71)=4,(AW71+AX71+AY71+AZ71)&lt;&gt;0),((N(AZ214)+N(AZ215)+N(AZ219)+N(AZ240))-N(AZ146))/(AW71+AX71+AY71+AZ71),""),"")</f>
        <v>-2.49639122488763</v>
      </c>
      <c r="BA339" s="262">
        <f>IFERROR(IF(AND(COUNT(AW71,AX71,AY71,AZ71)=4,(AW71+AX71+AY71+AZ71)&lt;&gt;0),((N(BA214)+N(BA215)+N(BA219)+N(BA240))-N(BA146))/(AW71+AX71+AY71+AZ71),""),"")</f>
        <v>-2.49639122488763</v>
      </c>
      <c r="BB339" s="262">
        <f>IFERROR(IF(AND(COUNT(AX71,AY71,AZ71,BB71)=4,(AX71+AY71+AZ71+BB71)&lt;&gt;0),((N(BB214)+N(BB215)+N(BB219)+N(BB240))-N(BB146))/(AX71+AY71+AZ71+BB71),""),"")</f>
        <v>-2.70224440593665</v>
      </c>
      <c r="BC339" s="262">
        <f>IFERROR(IF(AND(COUNT(AY71,AZ71,BB71,BC71)=4,(AY71+AZ71+BB71+BC71)&lt;&gt;0),((N(BC214)+N(BC215)+N(BC219)+N(BC240))-N(BC146))/(AY71+AZ71+BB71+BC71),""),"")</f>
        <v>-2.92052888590976</v>
      </c>
      <c r="BD339" s="262">
        <f>IFERROR(IF(AND(COUNT(AZ71,BB71,BC71,BD71)=4,(AZ71+BB71+BC71+BD71)&lt;&gt;0),((N(BD214)+N(BD215)+N(BD219)+N(BD240))-N(BD146))/(AZ71+BB71+BC71+BD71),""),"")</f>
        <v>-3.12511727496303</v>
      </c>
      <c r="BE339" s="262">
        <f>IFERROR(IF(AND(COUNT(BB71,BC71,BD71,BE71)=4,(BB71+BC71+BD71+BE71)&lt;&gt;0),((N(BE214)+N(BE215)+N(BE219)+N(BE240))-N(BE146))/(BB71+BC71+BD71+BE71),""),"")</f>
        <v>-3.3202757620334</v>
      </c>
      <c r="BF339" s="262">
        <f>IFERROR(IF(AND(COUNT(BB71,BC71,BD71,BE71)=4,(BB71+BC71+BD71+BE71)&lt;&gt;0),((N(BF214)+N(BF215)+N(BF219)+N(BF240))-N(BF146))/(BB71+BC71+BD71+BE71),""),"")</f>
        <v>-3.3202757620334</v>
      </c>
      <c r="BG339" s="82" t="n"/>
      <c r="BH339" s="82" t="n"/>
      <c r="BI339" s="82" t="n"/>
      <c r="BJ339" s="82" t="n"/>
      <c r="BL339" s="82" t="n"/>
      <c r="BM339" s="82" t="n"/>
      <c r="BN339" s="82" t="n"/>
      <c r="BO339" s="82" t="n"/>
      <c r="BQ339" s="82" t="n"/>
      <c r="BR339" s="82" t="n"/>
      <c r="BS339" s="82" t="n"/>
      <c r="BT339" s="82" t="n"/>
      <c r="BV339" s="82" t="n"/>
      <c r="BW339" s="82" t="n"/>
      <c r="BX339" s="82" t="n"/>
      <c r="BY339" s="82" t="n"/>
      <c r="CA339" s="82" t="n"/>
      <c r="CB339" s="82" t="n"/>
      <c r="CC339" s="82" t="n"/>
      <c r="CD339" s="82" t="n"/>
      <c r="CF339" s="82" t="n"/>
      <c r="CG339" s="82" t="n"/>
      <c r="CH339" s="82" t="n"/>
      <c r="CI339" s="82" t="n"/>
      <c r="CK339" s="82" t="n"/>
      <c r="CL339" s="82" t="n"/>
      <c r="CM339" s="82" t="n"/>
      <c r="CN339" s="82" t="n"/>
      <c r="CP339" s="82" t="n"/>
      <c r="CQ339" s="82" t="n"/>
      <c r="CR339" s="82" t="n"/>
      <c r="CS339" s="82" t="n"/>
      <c r="CU339" s="82" t="n"/>
      <c r="CV339" s="82" t="n"/>
      <c r="CW339" s="82" t="n"/>
      <c r="CX339" s="82" t="n"/>
    </row>
    <row r="340" customFormat="1" s="77">
      <c r="A340" s="76" t="n"/>
      <c r="B340" s="76" t="n"/>
      <c r="C340" s="77" t="inlineStr">
        <is>
          <t>INTEREST COVERAGE (EBIT / INTEREST, LTM)</t>
        </is>
      </c>
      <c r="D340" s="82" t="str">
        <f>IFERROR(D75/-D76,"")</f>
        <v/>
      </c>
      <c r="E340" s="82" t="str">
        <f>IFERROR(E75/-E76,"")</f>
        <v/>
      </c>
      <c r="F340" s="82" t="str">
        <f>IFERROR(F75/-F76,"")</f>
        <v/>
      </c>
      <c r="G340" s="82" t="str">
        <f>IFERROR(G75/-G76,"")</f>
        <v/>
      </c>
      <c r="H340" s="262" t="str">
        <f>IFERROR(IF(AND(COUNT(H75)=1,(H76)&lt;&gt;0),(H75)/-(H76),""),"")</f>
        <v/>
      </c>
      <c r="I340" s="262" t="str">
        <f>""</f>
        <v/>
      </c>
      <c r="J340" s="262" t="str">
        <f>""</f>
        <v/>
      </c>
      <c r="K340" s="262" t="str">
        <f>""</f>
        <v/>
      </c>
      <c r="L340" s="262">
        <f>IFERROR(IF(AND(COUNT(I75,J75,K75,L75)=4,(I76+J76+K76+L76)&lt;&gt;0),(I75+J75+K75+L75)/-(I76+J76+K76+L76),""),"")</f>
        <v>4.94583178916215</v>
      </c>
      <c r="M340" s="262">
        <f>IFERROR(IF(AND(COUNT(I75,J75,K75,L75)=4,(I76+J76+K76+L76)&lt;&gt;0),(I75+J75+K75+L75)/-(I76+J76+K76+L76),""),"")</f>
        <v>4.94583178916215</v>
      </c>
      <c r="N340" s="262">
        <f>IFERROR(IF(AND(COUNT(J75,K75,L75,N75)=4,(J76+K76+L76+N76)&lt;&gt;0),(J75+K75+L75+N75)/-(J76+K76+L76+N76),""),"")</f>
        <v>4.58775788584348</v>
      </c>
      <c r="O340" s="262">
        <f>IFERROR(IF(AND(COUNT(K75,L75,N75,O75)=4,(K76+L76+N76+O76)&lt;&gt;0),(K75+L75+N75+O75)/-(K76+L76+N76+O76),""),"")</f>
        <v>3.75031839420752</v>
      </c>
      <c r="P340" s="262">
        <f>IFERROR(IF(AND(COUNT(L75,N75,O75,P75)=4,(L76+N76+O76+P76)&lt;&gt;0),(L75+N75+O75+P75)/-(L76+N76+O76+P76),""),"")</f>
        <v>3.64921352623538</v>
      </c>
      <c r="Q340" s="262">
        <f>IFERROR(IF(AND(COUNT(N75,O75,P75,Q75)=4,(N76+O76+P76+Q76)&lt;&gt;0),(N75+O75+P75+Q75)/-(N76+O76+P76+Q76),""),"")</f>
        <v>3.52802482432185</v>
      </c>
      <c r="R340" s="262">
        <f>IFERROR(IF(AND(COUNT(N75,O75,P75,Q75)=4,(N76+O76+P76+Q76)&lt;&gt;0),(N75+O75+P75+Q75)/-(N76+O76+P76+Q76),""),"")</f>
        <v>3.52802482432185</v>
      </c>
      <c r="S340" s="262">
        <f>IFERROR(IF(AND(COUNT(O75,P75,Q75,S75)=4,(O76+P76+Q76+S76)&lt;&gt;0),(O75+P75+Q75+S75)/-(O76+P76+Q76+S76),""),"")</f>
        <v>3.47138812113201</v>
      </c>
      <c r="T340" s="262">
        <f>IFERROR(IF(AND(COUNT(P75,Q75,S75,T75)=4,(P76+Q76+S76+T76)&lt;&gt;0),(P75+Q75+S75+T75)/-(P76+Q76+S76+T76),""),"")</f>
        <v>3.95973151778685</v>
      </c>
      <c r="U340" s="262">
        <f>IFERROR(IF(AND(COUNT(Q75,S75,T75,U75)=4,(Q76+S76+T76+U76)&lt;&gt;0),(Q75+S75+T75+U75)/-(Q76+S76+T76+U76),""),"")</f>
        <v>4.23535209250437</v>
      </c>
      <c r="V340" s="262">
        <f>IFERROR(IF(AND(COUNT(S75,T75,U75,V75)=4,(S76+T76+U76+V76)&lt;&gt;0),(S75+T75+U75+V75)/-(S76+T76+U76+V76),""),"")</f>
        <v>3.80259136115965</v>
      </c>
      <c r="W340" s="262">
        <f>IFERROR(IF(AND(COUNT(S75,T75,U75,V75)=4,(S76+T76+U76+V76)&lt;&gt;0),(S75+T75+U75+V75)/-(S76+T76+U76+V76),""),"")</f>
        <v>3.80259136115965</v>
      </c>
      <c r="X340" s="262">
        <f>IFERROR(IF(AND(COUNT(T75,U75,V75,X75)=4,(T76+U76+V76+X76)&lt;&gt;0),(T75+U75+V75+X75)/-(T76+U76+V76+X76),""),"")</f>
        <v>3.83896127139226</v>
      </c>
      <c r="Y340" s="262">
        <f>IFERROR(IF(AND(COUNT(U75,V75,X75,Y75)=4,(U76+V76+X76+Y76)&lt;&gt;0),(U75+V75+X75+Y75)/-(U76+V76+X76+Y76),""),"")</f>
        <v>3.60430929511902</v>
      </c>
      <c r="Z340" s="262">
        <f>IFERROR(IF(AND(COUNT(V75,X75,Y75,Z75)=4,(V76+X76+Y76+Z76)&lt;&gt;0),(V75+X75+Y75+Z75)/-(V76+X76+Y76+Z76),""),"")</f>
        <v>3.47324353359712</v>
      </c>
      <c r="AA340" s="262">
        <f>IFERROR(IF(AND(COUNT(X75,Y75,Z75,AA75)=4,(X76+Y76+Z76+AA76)&lt;&gt;0),(X75+Y75+Z75+AA75)/-(X76+Y76+Z76+AA76),""),"")</f>
        <v>3.408845508398</v>
      </c>
      <c r="AB340" s="262">
        <f>IFERROR(IF(AND(COUNT(X75,Y75,Z75,AA75)=4,(X76+Y76+Z76+AA76)&lt;&gt;0),(X75+Y75+Z75+AA75)/-(X76+Y76+Z76+AA76),""),"")</f>
        <v>3.408845508398</v>
      </c>
      <c r="AC340" s="262">
        <f>IFERROR(IF(AND(COUNT(Y75,Z75,AA75,AC75)=4,(Y76+Z76+AA76+AC76)&lt;&gt;0),(Y75+Z75+AA75+AC75)/-(Y76+Z76+AA76+AC76),""),"")</f>
        <v>3.67078725761396</v>
      </c>
      <c r="AD340" s="262">
        <f>IFERROR(IF(AND(COUNT(Z75,AA75,AC75,AD75)=4,(Z76+AA76+AC76+AD76)&lt;&gt;0),(Z75+AA75+AC75+AD75)/-(Z76+AA76+AC76+AD76),""),"")</f>
        <v>2.68490600261446</v>
      </c>
      <c r="AE340" s="262">
        <f>IFERROR(IF(AND(COUNT(AA75,AC75,AD75,AE75)=4,(AA76+AC76+AD76+AE76)&lt;&gt;0),(AA75+AC75+AD75+AE75)/-(AA76+AC76+AD76+AE76),""),"")</f>
        <v>2.22121357308727</v>
      </c>
      <c r="AF340" s="262">
        <f>IFERROR(IF(AND(COUNT(AB75,AD75,AE75,AF75)=4,(AB76+AD76+AE76+AF76)&lt;&gt;0),(AB75+AD75+AE75+AF75)/-(AB76+AD76+AE76+AF76),""),"")</f>
        <v>2.39058156556512</v>
      </c>
      <c r="AG340" s="262">
        <f>IFERROR(IF(AND(COUNT(AC75,AD75,AE75,AF75)=4,(AC76+AD76+AE76+AF76)&lt;&gt;0),(AC75+AD75+AE75+AF75)/-(AC76+AD76+AE76+AF76),""),"")</f>
        <v>2.19086484343441</v>
      </c>
      <c r="AH340" s="262">
        <f>IFERROR(IF(AND(COUNT(AD75,AF75,AG75,AH75)=4,(AD76+AF76+AG76+AH76)&lt;&gt;0),(AD75+AF75+AG75+AH75)/-(AD76+AF76+AG76+AH76),""),"")</f>
        <v>2.07404800410142</v>
      </c>
      <c r="AI340" s="262">
        <f>IFERROR(IF(AND(COUNT(AE75,AG75,AH75,AI75)=4,(AE76+AG76+AH76+AI76)&lt;&gt;0),(AE75+AG75+AH75+AI75)/-(AE76+AG76+AH76+AI76),""),"")</f>
        <v>2.11790905591734</v>
      </c>
      <c r="AJ340" s="262" t="str">
        <f>IFERROR(IF(AND(COUNT(AF75,AH75,AI75,AJ75)=4,(AF76+AH76+AI76+AJ76)&lt;&gt;0),(AF75+AH75+AI75+AJ75)/-(AF76+AH76+AI76+AJ76),""),"")</f>
        <v/>
      </c>
      <c r="AK340" s="262" t="str">
        <f>IFERROR(IF(AND(COUNT(AH75,AI75,AJ75,AK75)=4,(AH76+AI76+AJ76+AK76)&lt;&gt;0),(AH75+AI75+AJ75+AK75)/-(AH76+AI76+AJ76+AK76),""),"")</f>
        <v/>
      </c>
      <c r="AL340" s="262" t="str">
        <f>IFERROR(IF(AND(COUNT(AH75,AI75,AJ75,AK75)=4,(AH76+AI76+AJ76+AK76)&lt;&gt;0),(AH75+AI75+AJ75+AK75)/-(AH76+AI76+AJ76+AK76),""),"")</f>
        <v/>
      </c>
      <c r="AM340" s="262" t="str">
        <f>IFERROR(IF(AND(COUNT(AI75,AJ75,AK75,AM75)=4,(AI76+AJ76+AK76+AM76)&lt;&gt;0),(AI75+AJ75+AK75+AM75)/-(AI76+AJ76+AK76+AM76),""),"")</f>
        <v/>
      </c>
      <c r="AN340" s="262" t="str">
        <f>IFERROR(IF(AND(COUNT(AJ75,AK75,AM75,AN75)=4,(AJ76+AK76+AM76+AN76)&lt;&gt;0),(AJ75+AK75+AM75+AN75)/-(AJ76+AK76+AM76+AN76),""),"")</f>
        <v/>
      </c>
      <c r="AO340" s="262" t="str">
        <f>IFERROR(IF(AND(COUNT(AK75,AM75,AN75,AO75)=4,(AK76+AM76+AN76+AO76)&lt;&gt;0),(AK75+AM75+AN75+AO75)/-(AK76+AM76+AN76+AO76),""),"")</f>
        <v/>
      </c>
      <c r="AP340" s="262" t="str">
        <f>IFERROR(IF(AND(COUNT(AM75,AN75,AO75,AP75)=4,(AM76+AN76+AO76+AP76)&lt;&gt;0),(AM75+AN75+AO75+AP75)/-(AM76+AN76+AO76+AP76),""),"")</f>
        <v/>
      </c>
      <c r="AQ340" s="262" t="str">
        <f>IFERROR(IF(AND(COUNT(AM75,AN75,AO75,AP75)=4,(AM76+AN76+AO76+AP76)&lt;&gt;0),(AM75+AN75+AO75+AP75)/-(AM76+AN76+AO76+AP76),""),"")</f>
        <v/>
      </c>
      <c r="AR340" s="262" t="str">
        <f>IFERROR(IF(AND(COUNT(AN75,AO75,AP75,AR75)=4,(AN76+AO76+AP76+AR76)&lt;&gt;0),(AN75+AO75+AP75+AR75)/-(AN76+AO76+AP76+AR76),""),"")</f>
        <v/>
      </c>
      <c r="AS340" s="262" t="str">
        <f>IFERROR(IF(AND(COUNT(AO75,AP75,AR75,AS75)=4,(AO76+AP76+AR76+AS76)&lt;&gt;0),(AO75+AP75+AR75+AS75)/-(AO76+AP76+AR76+AS76),""),"")</f>
        <v/>
      </c>
      <c r="AT340" s="262" t="str">
        <f>IFERROR(IF(AND(COUNT(AP75,AR75,AS75,AT75)=4,(AP76+AR76+AS76+AT76)&lt;&gt;0),(AP75+AR75+AS75+AT75)/-(AP76+AR76+AS76+AT76),""),"")</f>
        <v/>
      </c>
      <c r="AU340" s="262" t="str">
        <f>IFERROR(IF(AND(COUNT(AR75,AS75,AT75,AU75)=4,(AR76+AS76+AT76+AU76)&lt;&gt;0),(AR75+AS75+AT75+AU75)/-(AR76+AS76+AT76+AU76),""),"")</f>
        <v/>
      </c>
      <c r="AV340" s="262" t="str">
        <f>IFERROR(IF(AND(COUNT(AR75,AS75,AT75,AU75)=4,(AR76+AS76+AT76+AU76)&lt;&gt;0),(AR75+AS75+AT75+AU75)/-(AR76+AS76+AT76+AU76),""),"")</f>
        <v/>
      </c>
      <c r="AW340" s="262" t="str">
        <f>IFERROR(IF(AND(COUNT(AS75,AT75,AU75,AW75)=4,(AS76+AT76+AU76+AW76)&lt;&gt;0),(AS75+AT75+AU75+AW75)/-(AS76+AT76+AU76+AW76),""),"")</f>
        <v/>
      </c>
      <c r="AX340" s="262" t="str">
        <f>IFERROR(IF(AND(COUNT(AT75,AU75,AW75,AX75)=4,(AT76+AU76+AW76+AX76)&lt;&gt;0),(AT75+AU75+AW75+AX75)/-(AT76+AU76+AW76+AX76),""),"")</f>
        <v/>
      </c>
      <c r="AY340" s="262" t="str">
        <f>IFERROR(IF(AND(COUNT(AU75,AW75,AX75,AY75)=4,(AU76+AW76+AX76+AY76)&lt;&gt;0),(AU75+AW75+AX75+AY75)/-(AU76+AW76+AX76+AY76),""),"")</f>
        <v/>
      </c>
      <c r="AZ340" s="262" t="str">
        <f>IFERROR(IF(AND(COUNT(AW75,AX75,AY75,AZ75)=4,(AW76+AX76+AY76+AZ76)&lt;&gt;0),(AW75+AX75+AY75+AZ75)/-(AW76+AX76+AY76+AZ76),""),"")</f>
        <v/>
      </c>
      <c r="BA340" s="262" t="str">
        <f>IFERROR(IF(AND(COUNT(AW75,AX75,AY75,AZ75)=4,(AW76+AX76+AY76+AZ76)&lt;&gt;0),(AW75+AX75+AY75+AZ75)/-(AW76+AX76+AY76+AZ76),""),"")</f>
        <v/>
      </c>
      <c r="BB340" s="262" t="str">
        <f>IFERROR(IF(AND(COUNT(AX75,AY75,AZ75,BB75)=4,(AX76+AY76+AZ76+BB76)&lt;&gt;0),(AX75+AY75+AZ75+BB75)/-(AX76+AY76+AZ76+BB76),""),"")</f>
        <v/>
      </c>
      <c r="BC340" s="262" t="str">
        <f>IFERROR(IF(AND(COUNT(AY75,AZ75,BB75,BC75)=4,(AY76+AZ76+BB76+BC76)&lt;&gt;0),(AY75+AZ75+BB75+BC75)/-(AY76+AZ76+BB76+BC76),""),"")</f>
        <v/>
      </c>
      <c r="BD340" s="262" t="str">
        <f>IFERROR(IF(AND(COUNT(AZ75,BB75,BC75,BD75)=4,(AZ76+BB76+BC76+BD76)&lt;&gt;0),(AZ75+BB75+BC75+BD75)/-(AZ76+BB76+BC76+BD76),""),"")</f>
        <v/>
      </c>
      <c r="BE340" s="262" t="str">
        <f>IFERROR(IF(AND(COUNT(BB75,BC75,BD75,BE75)=4,(BB76+BC76+BD76+BE76)&lt;&gt;0),(BB75+BC75+BD75+BE75)/-(BB76+BC76+BD76+BE76),""),"")</f>
        <v/>
      </c>
      <c r="BF340" s="262" t="str">
        <f>IFERROR(IF(AND(COUNT(BB75,BC75,BD75,BE75)=4,(BB76+BC76+BD76+BE76)&lt;&gt;0),(BB75+BC75+BD75+BE75)/-(BB76+BC76+BD76+BE76),""),"")</f>
        <v/>
      </c>
      <c r="BG340" s="82" t="n"/>
      <c r="BH340" s="82" t="n"/>
      <c r="BI340" s="82" t="n"/>
      <c r="BJ340" s="82" t="n"/>
      <c r="BL340" s="82" t="n"/>
      <c r="BM340" s="82" t="n"/>
      <c r="BN340" s="82" t="n"/>
      <c r="BO340" s="82" t="n"/>
      <c r="BQ340" s="82" t="n"/>
      <c r="BR340" s="82" t="n"/>
      <c r="BS340" s="82" t="n"/>
      <c r="BT340" s="82" t="n"/>
      <c r="BV340" s="82" t="n"/>
      <c r="BW340" s="82" t="n"/>
      <c r="BX340" s="82" t="n"/>
      <c r="BY340" s="82" t="n"/>
      <c r="CA340" s="82" t="n"/>
      <c r="CB340" s="82" t="n"/>
      <c r="CC340" s="82" t="n"/>
      <c r="CD340" s="82" t="n"/>
      <c r="CF340" s="82" t="n"/>
      <c r="CG340" s="82" t="n"/>
      <c r="CH340" s="82" t="n"/>
      <c r="CI340" s="82" t="n"/>
      <c r="CK340" s="82" t="n"/>
      <c r="CL340" s="82" t="n"/>
      <c r="CM340" s="82" t="n"/>
      <c r="CN340" s="82" t="n"/>
      <c r="CP340" s="82" t="n"/>
      <c r="CQ340" s="82" t="n"/>
      <c r="CR340" s="82" t="n"/>
      <c r="CS340" s="82" t="n"/>
      <c r="CU340" s="82" t="n"/>
      <c r="CV340" s="82" t="n"/>
      <c r="CW340" s="82" t="n"/>
      <c r="CX340" s="82" t="n"/>
    </row>
    <row r="341" customFormat="1" s="77">
      <c r="A341" s="76" t="n"/>
      <c r="B341" s="76" t="n"/>
    </row>
    <row r="342" customFormat="1" s="77">
      <c r="A342" s="76" t="n"/>
      <c r="B342" s="76" t="n"/>
      <c r="C342" s="74" t="inlineStr">
        <is>
          <t>INTERNAL LIQUIDITY</t>
        </is>
      </c>
    </row>
    <row r="343" customFormat="1" s="77">
      <c r="A343" s="76" t="n"/>
      <c r="B343" s="76" t="n"/>
      <c r="C343" s="77" t="inlineStr">
        <is>
          <t>CURRENT RATIO</t>
        </is>
      </c>
      <c r="D343" s="82" t="str">
        <f>IFERROR(SUM(D146,D147,D151,D155,D156,D157)/SUM(D200,D204,D206,D207),"")</f>
        <v/>
      </c>
      <c r="E343" s="82" t="str">
        <f>IFERROR(SUM(E146,E147,E151,E155,E156,E157)/SUM(E200,E204,E206,E207),"")</f>
        <v/>
      </c>
      <c r="F343" s="82" t="str">
        <f>IFERROR(SUM(F146,F147,F151,F155,F156,F157)/SUM(F200,F204,F206,F207),"")</f>
        <v/>
      </c>
      <c r="G343" s="82" t="str">
        <f>IFERROR(SUM(G146,G147,G151,G155,G156,G157)/SUM(G200,G204,G206,G207),"")</f>
        <v/>
      </c>
      <c r="H343" s="262" t="str">
        <f>IFERROR(IF((N(H200)+N(H204)+N(H206)+N(H207)+N(H214)+N(H215)+N(H216))&lt;&gt;0,(N(H146)+(N(H147)+N(H151)+N(H155)+N(H156)+N(H157)))/(N(H200)+N(H204)+N(H206)+N(H207)+N(H214)+N(H215)+N(H216)),""),"")</f>
        <v/>
      </c>
      <c r="I343" s="262">
        <f>IFERROR(IF((N(I200)+N(I204)+N(I206)+N(I207)+N(I214)+N(I215)+N(I216))&lt;&gt;0,(N(I146)+(N(I147)+N(I151)+N(I155)+N(I156)+N(I157)))/(N(I200)+N(I204)+N(I206)+N(I207)+N(I214)+N(I215)+N(I216)),""),"")</f>
        <v>2.06513156831228</v>
      </c>
      <c r="J343" s="262">
        <f>IFERROR(IF((N(J200)+N(J204)+N(J206)+N(J207)+N(J214)+N(J215)+N(J216))&lt;&gt;0,(N(J146)+(N(J147)+N(J151)+N(J155)+N(J156)+N(J157)))/(N(J200)+N(J204)+N(J206)+N(J207)+N(J214)+N(J215)+N(J216)),""),"")</f>
        <v>2.14924732022571</v>
      </c>
      <c r="K343" s="262">
        <f>IFERROR(IF((N(K200)+N(K204)+N(K206)+N(K207)+N(K214)+N(K215)+N(K216))&lt;&gt;0,(N(K146)+(N(K147)+N(K151)+N(K155)+N(K156)+N(K157)))/(N(K200)+N(K204)+N(K206)+N(K207)+N(K214)+N(K215)+N(K216)),""),"")</f>
        <v>2.05241423687086</v>
      </c>
      <c r="L343" s="262">
        <f>IFERROR(IF((N(L200)+N(L204)+N(L206)+N(L207)+N(L214)+N(L215)+N(L216))&lt;&gt;0,(N(L146)+(N(L147)+N(L151)+N(L155)+N(L156)+N(L157)))/(N(L200)+N(L204)+N(L206)+N(L207)+N(L214)+N(L215)+N(L216)),""),"")</f>
        <v>1.96905675826366</v>
      </c>
      <c r="M343" s="262">
        <f>IFERROR(IF((N(M200)+N(M204)+N(M206)+N(M207)+N(M214)+N(M215)+N(M216))&lt;&gt;0,(N(M146)+(N(M147)+N(M151)+N(M155)+N(M156)+N(M157)))/(N(M200)+N(M204)+N(M206)+N(M207)+N(M214)+N(M215)+N(M216)),""),"")</f>
        <v>1.96905675826366</v>
      </c>
      <c r="N343" s="262">
        <f>IFERROR(IF((N(N200)+N(N204)+N(N206)+N(N207)+N(N214)+N(N215)+N(N216))&lt;&gt;0,(N(N146)+(N(N147)+N(N151)+N(N155)+N(N156)+N(N157)))/(N(N200)+N(N204)+N(N206)+N(N207)+N(N214)+N(N215)+N(N216)),""),"")</f>
        <v>2.4316696917266</v>
      </c>
      <c r="O343" s="262">
        <f>IFERROR(IF((N(O200)+N(O204)+N(O206)+N(O207)+N(O214)+N(O215)+N(O216))&lt;&gt;0,(N(O146)+(N(O147)+N(O151)+N(O155)+N(O156)+N(O157)))/(N(O200)+N(O204)+N(O206)+N(O207)+N(O214)+N(O215)+N(O216)),""),"")</f>
        <v>2.20638134040726</v>
      </c>
      <c r="P343" s="262">
        <f>IFERROR(IF((N(P200)+N(P204)+N(P206)+N(P207)+N(P214)+N(P215)+N(P216))&lt;&gt;0,(N(P146)+(N(P147)+N(P151)+N(P155)+N(P156)+N(P157)))/(N(P200)+N(P204)+N(P206)+N(P207)+N(P214)+N(P215)+N(P216)),""),"")</f>
        <v>2.08738504487278</v>
      </c>
      <c r="Q343" s="262">
        <f>IFERROR(IF((N(Q200)+N(Q204)+N(Q206)+N(Q207)+N(Q214)+N(Q215)+N(Q216))&lt;&gt;0,(N(Q146)+(N(Q147)+N(Q151)+N(Q155)+N(Q156)+N(Q157)))/(N(Q200)+N(Q204)+N(Q206)+N(Q207)+N(Q214)+N(Q215)+N(Q216)),""),"")</f>
        <v>1.93703402799851</v>
      </c>
      <c r="R343" s="262">
        <f>IFERROR(IF((N(R200)+N(R204)+N(R206)+N(R207)+N(R214)+N(R215)+N(R216))&lt;&gt;0,(N(R146)+(N(R147)+N(R151)+N(R155)+N(R156)+N(R157)))/(N(R200)+N(R204)+N(R206)+N(R207)+N(R214)+N(R215)+N(R216)),""),"")</f>
        <v>1.93703402799851</v>
      </c>
      <c r="S343" s="262">
        <f>IFERROR(IF((N(S200)+N(S204)+N(S206)+N(S207)+N(S214)+N(S215)+N(S216))&lt;&gt;0,(N(S146)+(N(S147)+N(S151)+N(S155)+N(S156)+N(S157)))/(N(S200)+N(S204)+N(S206)+N(S207)+N(S214)+N(S215)+N(S216)),""),"")</f>
        <v>2.00063087927421</v>
      </c>
      <c r="T343" s="262">
        <f>IFERROR(IF((N(T200)+N(T204)+N(T206)+N(T207)+N(T214)+N(T215)+N(T216))&lt;&gt;0,(N(T146)+(N(T147)+N(T151)+N(T155)+N(T156)+N(T157)))/(N(T200)+N(T204)+N(T206)+N(T207)+N(T214)+N(T215)+N(T216)),""),"")</f>
        <v>1.88005856987383</v>
      </c>
      <c r="U343" s="262">
        <f>IFERROR(IF((N(U200)+N(U204)+N(U206)+N(U207)+N(U214)+N(U215)+N(U216))&lt;&gt;0,(N(U146)+(N(U147)+N(U151)+N(U155)+N(U156)+N(U157)))/(N(U200)+N(U204)+N(U206)+N(U207)+N(U214)+N(U215)+N(U216)),""),"")</f>
        <v>1.81296405439871</v>
      </c>
      <c r="V343" s="262">
        <f>IFERROR(IF((N(V200)+N(V204)+N(V206)+N(V207)+N(V214)+N(V215)+N(V216))&lt;&gt;0,(N(V146)+(N(V147)+N(V151)+N(V155)+N(V156)+N(V157)))/(N(V200)+N(V204)+N(V206)+N(V207)+N(V214)+N(V215)+N(V216)),""),"")</f>
        <v>1.82998873657233</v>
      </c>
      <c r="W343" s="262">
        <f>IFERROR(IF((N(W200)+N(W204)+N(W206)+N(W207)+N(W214)+N(W215)+N(W216))&lt;&gt;0,(N(W146)+(N(W147)+N(W151)+N(W155)+N(W156)+N(W157)))/(N(W200)+N(W204)+N(W206)+N(W207)+N(W214)+N(W215)+N(W216)),""),"")</f>
        <v>1.82998873657233</v>
      </c>
      <c r="X343" s="262">
        <f>IFERROR(IF((N(X200)+N(X204)+N(X206)+N(X207)+N(X214)+N(X215)+N(X216))&lt;&gt;0,(N(X146)+(N(X147)+N(X151)+N(X155)+N(X156)+N(X157)))/(N(X200)+N(X204)+N(X206)+N(X207)+N(X214)+N(X215)+N(X216)),""),"")</f>
        <v>2.06386632192914</v>
      </c>
      <c r="Y343" s="262">
        <f>IFERROR(IF((N(Y200)+N(Y204)+N(Y206)+N(Y207)+N(Y214)+N(Y215)+N(Y216))&lt;&gt;0,(N(Y146)+(N(Y147)+N(Y151)+N(Y155)+N(Y156)+N(Y157)))/(N(Y200)+N(Y204)+N(Y206)+N(Y207)+N(Y214)+N(Y215)+N(Y216)),""),"")</f>
        <v>2.14077547579434</v>
      </c>
      <c r="Z343" s="262">
        <f>IFERROR(IF((N(Z200)+N(Z204)+N(Z206)+N(Z207)+N(Z214)+N(Z215)+N(Z216))&lt;&gt;0,(N(Z146)+(N(Z147)+N(Z151)+N(Z155)+N(Z156)+N(Z157)))/(N(Z200)+N(Z204)+N(Z206)+N(Z207)+N(Z214)+N(Z215)+N(Z216)),""),"")</f>
        <v>2.15982868132905</v>
      </c>
      <c r="AA343" s="262">
        <f>IFERROR(IF((N(AA200)+N(AA204)+N(AA206)+N(AA207)+N(AA214)+N(AA215)+N(AA216))&lt;&gt;0,(N(AA146)+(N(AA147)+N(AA151)+N(AA155)+N(AA156)+N(AA157)))/(N(AA200)+N(AA204)+N(AA206)+N(AA207)+N(AA214)+N(AA215)+N(AA216)),""),"")</f>
        <v>2.20668137317421</v>
      </c>
      <c r="AB343" s="262">
        <f>IFERROR(IF((N(AB200)+N(AB204)+N(AB206)+N(AB207)+N(AB214)+N(AB215)+N(AB216))&lt;&gt;0,(N(AB146)+(N(AB147)+N(AB151)+N(AB155)+N(AB156)+N(AB157)))/(N(AB200)+N(AB204)+N(AB206)+N(AB207)+N(AB214)+N(AB215)+N(AB216)),""),"")</f>
        <v>2.20668137317421</v>
      </c>
      <c r="AC343" s="262">
        <f>IFERROR(IF((N(AC200)+N(AC204)+N(AC206)+N(AC207)+N(AC214)+N(AC215)+N(AC216))&lt;&gt;0,(N(AC146)+(N(AC147)+N(AC151)+N(AC155)+N(AC156)+N(AC157)))/(N(AC200)+N(AC204)+N(AC206)+N(AC207)+N(AC214)+N(AC215)+N(AC216)),""),"")</f>
        <v>1.87187544940567</v>
      </c>
      <c r="AD343" s="262">
        <f>IFERROR(IF((N(AD200)+N(AD204)+N(AD206)+N(AD207)+N(AD214)+N(AD215)+N(AD216))&lt;&gt;0,(N(AD146)+(N(AD147)+N(AD151)+N(AD155)+N(AD156)+N(AD157)))/(N(AD200)+N(AD204)+N(AD206)+N(AD207)+N(AD214)+N(AD215)+N(AD216)),""),"")</f>
        <v>1.61375845150665</v>
      </c>
      <c r="AE343" s="262">
        <f>IFERROR(IF((N(AE200)+N(AE204)+N(AE206)+N(AE207)+N(AE214)+N(AE215)+N(AE216))&lt;&gt;0,(N(AE146)+(N(AE147)+N(AE151)+N(AE155)+N(AE156)+N(AE157)))/(N(AE200)+N(AE204)+N(AE206)+N(AE207)+N(AE214)+N(AE215)+N(AE216)),""),"")</f>
        <v>1.43706190170651</v>
      </c>
      <c r="AF343" s="262">
        <f>IFERROR(IF((N(AF200)+N(AF204)+N(AF206)+N(AF207)+N(AF214)+N(AF215)+N(AF216))&lt;&gt;0,(N(AF146)+(N(AF147)+N(AF151)+N(AF155)+N(AF156)+N(AF157)))/(N(AF200)+N(AF204)+N(AF206)+N(AF207)+N(AF214)+N(AF215)+N(AF216)),""),"")</f>
        <v>1.35494895388156</v>
      </c>
      <c r="AG343" s="262">
        <f>IFERROR(IF((N(AG200)+N(AG204)+N(AG206)+N(AG207)+N(AG214)+N(AG215)+N(AG216))&lt;&gt;0,(N(AG146)+(N(AG147)+N(AG151)+N(AG155)+N(AG156)+N(AG157)))/(N(AG200)+N(AG204)+N(AG206)+N(AG207)+N(AG214)+N(AG215)+N(AG216)),""),"")</f>
        <v>1.35494895388156</v>
      </c>
      <c r="AH343" s="262">
        <f>IFERROR(IF((N(AH200)+N(AH204)+N(AH206)+N(AH207)+N(AH214)+N(AH215)+N(AH216))&lt;&gt;0,(N(AH146)+(N(AH147)+N(AH151)+N(AH155)+N(AH156)+N(AH157)))/(N(AH200)+N(AH204)+N(AH206)+N(AH207)+N(AH214)+N(AH215)+N(AH216)),""),"")</f>
        <v>1.22539566781542</v>
      </c>
      <c r="AI343" s="262">
        <f>IFERROR(IF((N(AI200)+N(AI204)+N(AI206)+N(AI207)+N(AI214)+N(AI215)+N(AI216))&lt;&gt;0,(N(AI146)+(N(AI147)+N(AI151)+N(AI155)+N(AI156)+N(AI157)))/(N(AI200)+N(AI204)+N(AI206)+N(AI207)+N(AI214)+N(AI215)+N(AI216)),""),"")</f>
        <v>2.10934159464346</v>
      </c>
      <c r="AJ343" s="262">
        <f>IFERROR(IF((N(AJ200)+N(AJ204)+N(AJ206)+N(AJ207)+N(AJ214)+N(AJ215)+N(AJ216))&lt;&gt;0,(N(AJ146)+(N(AJ147)+N(AJ151)+N(AJ155)+N(AJ156)+N(AJ157)))/(N(AJ200)+N(AJ204)+N(AJ206)+N(AJ207)+N(AJ214)+N(AJ215)+N(AJ216)),""),"")</f>
        <v>2.29905588442032</v>
      </c>
      <c r="AK343" s="262">
        <f>IFERROR(IF((N(AK200)+N(AK204)+N(AK206)+N(AK207)+N(AK214)+N(AK215)+N(AK216))&lt;&gt;0,(N(AK146)+(N(AK147)+N(AK151)+N(AK155)+N(AK156)+N(AK157)))/(N(AK200)+N(AK204)+N(AK206)+N(AK207)+N(AK214)+N(AK215)+N(AK216)),""),"")</f>
        <v>2.50261015640938</v>
      </c>
      <c r="AL343" s="262">
        <f>IFERROR(IF((N(AL200)+N(AL204)+N(AL206)+N(AL207)+N(AL214)+N(AL215)+N(AL216))&lt;&gt;0,(N(AL146)+(N(AL147)+N(AL151)+N(AL155)+N(AL156)+N(AL157)))/(N(AL200)+N(AL204)+N(AL206)+N(AL207)+N(AL214)+N(AL215)+N(AL216)),""),"")</f>
        <v>2.50261015640938</v>
      </c>
      <c r="AM343" s="262">
        <f>IFERROR(IF((N(AM200)+N(AM204)+N(AM206)+N(AM207)+N(AM214)+N(AM215)+N(AM216))&lt;&gt;0,(N(AM146)+(N(AM147)+N(AM151)+N(AM155)+N(AM156)+N(AM157)))/(N(AM200)+N(AM204)+N(AM206)+N(AM207)+N(AM214)+N(AM215)+N(AM216)),""),"")</f>
        <v>2.70736055879965</v>
      </c>
      <c r="AN343" s="262">
        <f>IFERROR(IF((N(AN200)+N(AN204)+N(AN206)+N(AN207)+N(AN214)+N(AN215)+N(AN216))&lt;&gt;0,(N(AN146)+(N(AN147)+N(AN151)+N(AN155)+N(AN156)+N(AN157)))/(N(AN200)+N(AN204)+N(AN206)+N(AN207)+N(AN214)+N(AN215)+N(AN216)),""),"")</f>
        <v>2.92344805165597</v>
      </c>
      <c r="AO343" s="262">
        <f>IFERROR(IF((N(AO200)+N(AO204)+N(AO206)+N(AO207)+N(AO214)+N(AO215)+N(AO216))&lt;&gt;0,(N(AO146)+(N(AO147)+N(AO151)+N(AO155)+N(AO156)+N(AO157)))/(N(AO200)+N(AO204)+N(AO206)+N(AO207)+N(AO214)+N(AO215)+N(AO216)),""),"")</f>
        <v>3.13256338873764</v>
      </c>
      <c r="AP343" s="262">
        <f>IFERROR(IF((N(AP200)+N(AP204)+N(AP206)+N(AP207)+N(AP214)+N(AP215)+N(AP216))&lt;&gt;0,(N(AP146)+(N(AP147)+N(AP151)+N(AP155)+N(AP156)+N(AP157)))/(N(AP200)+N(AP204)+N(AP206)+N(AP207)+N(AP214)+N(AP215)+N(AP216)),""),"")</f>
        <v>3.33650905145749</v>
      </c>
      <c r="AQ343" s="262">
        <f>IFERROR(IF((N(AQ200)+N(AQ204)+N(AQ206)+N(AQ207)+N(AQ214)+N(AQ215)+N(AQ216))&lt;&gt;0,(N(AQ146)+(N(AQ147)+N(AQ151)+N(AQ155)+N(AQ156)+N(AQ157)))/(N(AQ200)+N(AQ204)+N(AQ206)+N(AQ207)+N(AQ214)+N(AQ215)+N(AQ216)),""),"")</f>
        <v>3.33650905145749</v>
      </c>
      <c r="AR343" s="262">
        <f>IFERROR(IF((N(AR200)+N(AR204)+N(AR206)+N(AR207)+N(AR214)+N(AR215)+N(AR216))&lt;&gt;0,(N(AR146)+(N(AR147)+N(AR151)+N(AR155)+N(AR156)+N(AR157)))/(N(AR200)+N(AR204)+N(AR206)+N(AR207)+N(AR214)+N(AR215)+N(AR216)),""),"")</f>
        <v>3.54549926134723</v>
      </c>
      <c r="AS343" s="262">
        <f>IFERROR(IF((N(AS200)+N(AS204)+N(AS206)+N(AS207)+N(AS214)+N(AS215)+N(AS216))&lt;&gt;0,(N(AS146)+(N(AS147)+N(AS151)+N(AS155)+N(AS156)+N(AS157)))/(N(AS200)+N(AS204)+N(AS206)+N(AS207)+N(AS214)+N(AS215)+N(AS216)),""),"")</f>
        <v>3.76636071141977</v>
      </c>
      <c r="AT343" s="262">
        <f>IFERROR(IF((N(AT200)+N(AT204)+N(AT206)+N(AT207)+N(AT214)+N(AT215)+N(AT216))&lt;&gt;0,(N(AT146)+(N(AT147)+N(AT151)+N(AT155)+N(AT156)+N(AT157)))/(N(AT200)+N(AT204)+N(AT206)+N(AT207)+N(AT214)+N(AT215)+N(AT216)),""),"")</f>
        <v>3.97935384071257</v>
      </c>
      <c r="AU343" s="262">
        <f>IFERROR(IF((N(AU200)+N(AU204)+N(AU206)+N(AU207)+N(AU214)+N(AU215)+N(AU216))&lt;&gt;0,(N(AU146)+(N(AU147)+N(AU151)+N(AU155)+N(AU156)+N(AU157)))/(N(AU200)+N(AU204)+N(AU206)+N(AU207)+N(AU214)+N(AU215)+N(AU216)),""),"")</f>
        <v>4.18147772419284</v>
      </c>
      <c r="AV343" s="262">
        <f>IFERROR(IF((N(AV200)+N(AV204)+N(AV206)+N(AV207)+N(AV214)+N(AV215)+N(AV216))&lt;&gt;0,(N(AV146)+(N(AV147)+N(AV151)+N(AV155)+N(AV156)+N(AV157)))/(N(AV200)+N(AV204)+N(AV206)+N(AV207)+N(AV214)+N(AV215)+N(AV216)),""),"")</f>
        <v>4.18147772419284</v>
      </c>
      <c r="AW343" s="262">
        <f>IFERROR(IF((N(AW200)+N(AW204)+N(AW206)+N(AW207)+N(AW214)+N(AW215)+N(AW216))&lt;&gt;0,(N(AW146)+(N(AW147)+N(AW151)+N(AW155)+N(AW156)+N(AW157)))/(N(AW200)+N(AW204)+N(AW206)+N(AW207)+N(AW214)+N(AW215)+N(AW216)),""),"")</f>
        <v>4.38597950695171</v>
      </c>
      <c r="AX343" s="262">
        <f>IFERROR(IF((N(AX200)+N(AX204)+N(AX206)+N(AX207)+N(AX214)+N(AX215)+N(AX216))&lt;&gt;0,(N(AX146)+(N(AX147)+N(AX151)+N(AX155)+N(AX156)+N(AX157)))/(N(AX200)+N(AX204)+N(AX206)+N(AX207)+N(AX214)+N(AX215)+N(AX216)),""),"")</f>
        <v>4.61738512736316</v>
      </c>
      <c r="AY343" s="262">
        <f>IFERROR(IF((N(AY200)+N(AY204)+N(AY206)+N(AY207)+N(AY214)+N(AY215)+N(AY216))&lt;&gt;0,(N(AY146)+(N(AY147)+N(AY151)+N(AY155)+N(AY156)+N(AY157)))/(N(AY200)+N(AY204)+N(AY206)+N(AY207)+N(AY214)+N(AY215)+N(AY216)),""),"")</f>
        <v>4.83226525555645</v>
      </c>
      <c r="AZ343" s="262">
        <f>IFERROR(IF((N(AZ200)+N(AZ204)+N(AZ206)+N(AZ207)+N(AZ214)+N(AZ215)+N(AZ216))&lt;&gt;0,(N(AZ146)+(N(AZ147)+N(AZ151)+N(AZ155)+N(AZ156)+N(AZ157)))/(N(AZ200)+N(AZ204)+N(AZ206)+N(AZ207)+N(AZ214)+N(AZ215)+N(AZ216)),""),"")</f>
        <v>5.03027658814257</v>
      </c>
      <c r="BA343" s="262">
        <f>IFERROR(IF((N(BA200)+N(BA204)+N(BA206)+N(BA207)+N(BA214)+N(BA215)+N(BA216))&lt;&gt;0,(N(BA146)+(N(BA147)+N(BA151)+N(BA155)+N(BA156)+N(BA157)))/(N(BA200)+N(BA204)+N(BA206)+N(BA207)+N(BA214)+N(BA215)+N(BA216)),""),"")</f>
        <v>5.03027658814257</v>
      </c>
      <c r="BB343" s="262">
        <f>IFERROR(IF((N(BB200)+N(BB204)+N(BB206)+N(BB207)+N(BB214)+N(BB215)+N(BB216))&lt;&gt;0,(N(BB146)+(N(BB147)+N(BB151)+N(BB155)+N(BB156)+N(BB157)))/(N(BB200)+N(BB204)+N(BB206)+N(BB207)+N(BB214)+N(BB215)+N(BB216)),""),"")</f>
        <v>5.23315617586165</v>
      </c>
      <c r="BC343" s="262">
        <f>IFERROR(IF((N(BC200)+N(BC204)+N(BC206)+N(BC207)+N(BC214)+N(BC215)+N(BC216))&lt;&gt;0,(N(BC146)+(N(BC147)+N(BC151)+N(BC155)+N(BC156)+N(BC157)))/(N(BC200)+N(BC204)+N(BC206)+N(BC207)+N(BC214)+N(BC215)+N(BC216)),""),"")</f>
        <v>5.46970390717027</v>
      </c>
      <c r="BD343" s="262">
        <f>IFERROR(IF((N(BD200)+N(BD204)+N(BD206)+N(BD207)+N(BD214)+N(BD215)+N(BD216))&lt;&gt;0,(N(BD146)+(N(BD147)+N(BD151)+N(BD155)+N(BD156)+N(BD157)))/(N(BD200)+N(BD204)+N(BD206)+N(BD207)+N(BD214)+N(BD215)+N(BD216)),""),"")</f>
        <v>5.68469759816618</v>
      </c>
      <c r="BE343" s="262">
        <f>IFERROR(IF((N(BE200)+N(BE204)+N(BE206)+N(BE207)+N(BE214)+N(BE215)+N(BE216))&lt;&gt;0,(N(BE146)+(N(BE147)+N(BE151)+N(BE155)+N(BE156)+N(BE157)))/(N(BE200)+N(BE204)+N(BE206)+N(BE207)+N(BE214)+N(BE215)+N(BE216)),""),"")</f>
        <v>5.87669121761447</v>
      </c>
      <c r="BF343" s="262">
        <f>IFERROR(IF((N(BF200)+N(BF204)+N(BF206)+N(BF207)+N(BF214)+N(BF215)+N(BF216))&lt;&gt;0,(N(BF146)+(N(BF147)+N(BF151)+N(BF155)+N(BF156)+N(BF157)))/(N(BF200)+N(BF204)+N(BF206)+N(BF207)+N(BF214)+N(BF215)+N(BF216)),""),"")</f>
        <v>5.87669121761447</v>
      </c>
      <c r="BG343" s="82" t="n"/>
      <c r="BH343" s="82" t="n"/>
      <c r="BI343" s="82" t="n"/>
      <c r="BJ343" s="82" t="n"/>
      <c r="BL343" s="82" t="n"/>
      <c r="BM343" s="82" t="n"/>
      <c r="BN343" s="82" t="n"/>
      <c r="BO343" s="82" t="n"/>
      <c r="BQ343" s="82" t="n"/>
      <c r="BR343" s="82" t="n"/>
      <c r="BS343" s="82" t="n"/>
      <c r="BT343" s="82" t="n"/>
      <c r="BV343" s="82" t="n"/>
      <c r="BW343" s="82" t="n"/>
      <c r="BX343" s="82" t="n"/>
      <c r="BY343" s="82" t="n"/>
      <c r="CA343" s="82" t="n"/>
      <c r="CB343" s="82" t="n"/>
      <c r="CC343" s="82" t="n"/>
      <c r="CD343" s="82" t="n"/>
      <c r="CF343" s="82" t="n"/>
      <c r="CG343" s="82" t="n"/>
      <c r="CH343" s="82" t="n"/>
      <c r="CI343" s="82" t="n"/>
      <c r="CK343" s="82" t="n"/>
      <c r="CL343" s="82" t="n"/>
      <c r="CM343" s="82" t="n"/>
      <c r="CN343" s="82" t="n"/>
      <c r="CP343" s="82" t="n"/>
      <c r="CQ343" s="82" t="n"/>
      <c r="CR343" s="82" t="n"/>
      <c r="CS343" s="82" t="n"/>
      <c r="CU343" s="82" t="n"/>
      <c r="CV343" s="82" t="n"/>
      <c r="CW343" s="82" t="n"/>
      <c r="CX343" s="82" t="n"/>
    </row>
    <row r="344" customFormat="1" s="77">
      <c r="A344" s="76" t="n"/>
      <c r="B344" s="76" t="n"/>
      <c r="C344" s="77" t="inlineStr">
        <is>
          <t>CASH RATIO</t>
        </is>
      </c>
      <c r="D344" s="82" t="str">
        <f>IFERROR(SUM(D146)/SUM(D200,D204,D206,D207),"")</f>
        <v/>
      </c>
      <c r="E344" s="82" t="str">
        <f>IFERROR(SUM(E146)/SUM(E200,E204,E206,E207),"")</f>
        <v/>
      </c>
      <c r="F344" s="82" t="str">
        <f>IFERROR(SUM(F146)/SUM(F200,F204,F206,F207),"")</f>
        <v/>
      </c>
      <c r="G344" s="82" t="str">
        <f>IFERROR(SUM(G146)/SUM(G200,G204,G206,G207),"")</f>
        <v/>
      </c>
      <c r="H344" s="262" t="str">
        <f>IFERROR(IF((N(H200)+N(H204)+N(H206)+N(H207)+N(H214)+N(H215)+N(H216))&lt;&gt;0,N(H146)/(N(H200)+N(H204)+N(H206)+N(H207)+N(H214)+N(H215)+N(H216)),""),"")</f>
        <v/>
      </c>
      <c r="I344" s="262">
        <f>IFERROR(IF((N(I200)+N(I204)+N(I206)+N(I207)+N(I214)+N(I215)+N(I216))&lt;&gt;0,N(I146)/(N(I200)+N(I204)+N(I206)+N(I207)+N(I214)+N(I215)+N(I216)),""),"")</f>
        <v>0.930819364955085</v>
      </c>
      <c r="J344" s="262">
        <f>IFERROR(IF((N(J200)+N(J204)+N(J206)+N(J207)+N(J214)+N(J215)+N(J216))&lt;&gt;0,N(J146)/(N(J200)+N(J204)+N(J206)+N(J207)+N(J214)+N(J215)+N(J216)),""),"")</f>
        <v>0.804011200708098</v>
      </c>
      <c r="K344" s="262">
        <f>IFERROR(IF((N(K200)+N(K204)+N(K206)+N(K207)+N(K214)+N(K215)+N(K216))&lt;&gt;0,N(K146)/(N(K200)+N(K204)+N(K206)+N(K207)+N(K214)+N(K215)+N(K216)),""),"")</f>
        <v>0.788383215193378</v>
      </c>
      <c r="L344" s="262">
        <f>IFERROR(IF((N(L200)+N(L204)+N(L206)+N(L207)+N(L214)+N(L215)+N(L216))&lt;&gt;0,N(L146)/(N(L200)+N(L204)+N(L206)+N(L207)+N(L214)+N(L215)+N(L216)),""),"")</f>
        <v>0.703655458064904</v>
      </c>
      <c r="M344" s="262">
        <f>IFERROR(IF((N(M200)+N(M204)+N(M206)+N(M207)+N(M214)+N(M215)+N(M216))&lt;&gt;0,N(M146)/(N(M200)+N(M204)+N(M206)+N(M207)+N(M214)+N(M215)+N(M216)),""),"")</f>
        <v>0.703655458064904</v>
      </c>
      <c r="N344" s="262">
        <f>IFERROR(IF((N(N200)+N(N204)+N(N206)+N(N207)+N(N214)+N(N215)+N(N216))&lt;&gt;0,N(N146)/(N(N200)+N(N204)+N(N206)+N(N207)+N(N214)+N(N215)+N(N216)),""),"")</f>
        <v>1.12436600963496</v>
      </c>
      <c r="O344" s="262">
        <f>IFERROR(IF((N(O200)+N(O204)+N(O206)+N(O207)+N(O214)+N(O215)+N(O216))&lt;&gt;0,N(O146)/(N(O200)+N(O204)+N(O206)+N(O207)+N(O214)+N(O215)+N(O216)),""),"")</f>
        <v>0.869594250602539</v>
      </c>
      <c r="P344" s="262">
        <f>IFERROR(IF((N(P200)+N(P204)+N(P206)+N(P207)+N(P214)+N(P215)+N(P216))&lt;&gt;0,N(P146)/(N(P200)+N(P204)+N(P206)+N(P207)+N(P214)+N(P215)+N(P216)),""),"")</f>
        <v>0.810490431190674</v>
      </c>
      <c r="Q344" s="262">
        <f>IFERROR(IF((N(Q200)+N(Q204)+N(Q206)+N(Q207)+N(Q214)+N(Q215)+N(Q216))&lt;&gt;0,N(Q146)/(N(Q200)+N(Q204)+N(Q206)+N(Q207)+N(Q214)+N(Q215)+N(Q216)),""),"")</f>
        <v>0.741218096066782</v>
      </c>
      <c r="R344" s="262">
        <f>IFERROR(IF((N(R200)+N(R204)+N(R206)+N(R207)+N(R214)+N(R215)+N(R216))&lt;&gt;0,N(R146)/(N(R200)+N(R204)+N(R206)+N(R207)+N(R214)+N(R215)+N(R216)),""),"")</f>
        <v>0.741218096066782</v>
      </c>
      <c r="S344" s="262">
        <f>IFERROR(IF((N(S200)+N(S204)+N(S206)+N(S207)+N(S214)+N(S215)+N(S216))&lt;&gt;0,N(S146)/(N(S200)+N(S204)+N(S206)+N(S207)+N(S214)+N(S215)+N(S216)),""),"")</f>
        <v>0.742759894698287</v>
      </c>
      <c r="T344" s="262">
        <f>IFERROR(IF((N(T200)+N(T204)+N(T206)+N(T207)+N(T214)+N(T215)+N(T216))&lt;&gt;0,N(T146)/(N(T200)+N(T204)+N(T206)+N(T207)+N(T214)+N(T215)+N(T216)),""),"")</f>
        <v>0.650466580735629</v>
      </c>
      <c r="U344" s="262">
        <f>IFERROR(IF((N(U200)+N(U204)+N(U206)+N(U207)+N(U214)+N(U215)+N(U216))&lt;&gt;0,N(U146)/(N(U200)+N(U204)+N(U206)+N(U207)+N(U214)+N(U215)+N(U216)),""),"")</f>
        <v>0.669125543232042</v>
      </c>
      <c r="V344" s="262">
        <f>IFERROR(IF((N(V200)+N(V204)+N(V206)+N(V207)+N(V214)+N(V215)+N(V216))&lt;&gt;0,N(V146)/(N(V200)+N(V204)+N(V206)+N(V207)+N(V214)+N(V215)+N(V216)),""),"")</f>
        <v>0.652333671557637</v>
      </c>
      <c r="W344" s="262">
        <f>IFERROR(IF((N(W200)+N(W204)+N(W206)+N(W207)+N(W214)+N(W215)+N(W216))&lt;&gt;0,N(W146)/(N(W200)+N(W204)+N(W206)+N(W207)+N(W214)+N(W215)+N(W216)),""),"")</f>
        <v>0.652333671557637</v>
      </c>
      <c r="X344" s="262">
        <f>IFERROR(IF((N(X200)+N(X204)+N(X206)+N(X207)+N(X214)+N(X215)+N(X216))&lt;&gt;0,N(X146)/(N(X200)+N(X204)+N(X206)+N(X207)+N(X214)+N(X215)+N(X216)),""),"")</f>
        <v>0.917966349228587</v>
      </c>
      <c r="Y344" s="262">
        <f>IFERROR(IF((N(Y200)+N(Y204)+N(Y206)+N(Y207)+N(Y214)+N(Y215)+N(Y216))&lt;&gt;0,N(Y146)/(N(Y200)+N(Y204)+N(Y206)+N(Y207)+N(Y214)+N(Y215)+N(Y216)),""),"")</f>
        <v>0.78316382760214</v>
      </c>
      <c r="Z344" s="262">
        <f>IFERROR(IF((N(Z200)+N(Z204)+N(Z206)+N(Z207)+N(Z214)+N(Z215)+N(Z216))&lt;&gt;0,N(Z146)/(N(Z200)+N(Z204)+N(Z206)+N(Z207)+N(Z214)+N(Z215)+N(Z216)),""),"")</f>
        <v>0.892477123670999</v>
      </c>
      <c r="AA344" s="262">
        <f>IFERROR(IF((N(AA200)+N(AA204)+N(AA206)+N(AA207)+N(AA214)+N(AA215)+N(AA216))&lt;&gt;0,N(AA146)/(N(AA200)+N(AA204)+N(AA206)+N(AA207)+N(AA214)+N(AA215)+N(AA216)),""),"")</f>
        <v>0.973157020970284</v>
      </c>
      <c r="AB344" s="262">
        <f>IFERROR(IF((N(AB200)+N(AB204)+N(AB206)+N(AB207)+N(AB214)+N(AB215)+N(AB216))&lt;&gt;0,N(AB146)/(N(AB200)+N(AB204)+N(AB206)+N(AB207)+N(AB214)+N(AB215)+N(AB216)),""),"")</f>
        <v>0.973157020970284</v>
      </c>
      <c r="AC344" s="262">
        <f>IFERROR(IF((N(AC200)+N(AC204)+N(AC206)+N(AC207)+N(AC214)+N(AC215)+N(AC216))&lt;&gt;0,N(AC146)/(N(AC200)+N(AC204)+N(AC206)+N(AC207)+N(AC214)+N(AC215)+N(AC216)),""),"")</f>
        <v>0.80317302666651</v>
      </c>
      <c r="AD344" s="262">
        <f>IFERROR(IF((N(AD200)+N(AD204)+N(AD206)+N(AD207)+N(AD214)+N(AD215)+N(AD216))&lt;&gt;0,N(AD146)/(N(AD200)+N(AD204)+N(AD206)+N(AD207)+N(AD214)+N(AD215)+N(AD216)),""),"")</f>
        <v>0.569238859910353</v>
      </c>
      <c r="AE344" s="262">
        <f>IFERROR(IF((N(AE200)+N(AE204)+N(AE206)+N(AE207)+N(AE214)+N(AE215)+N(AE216))&lt;&gt;0,N(AE146)/(N(AE200)+N(AE204)+N(AE206)+N(AE207)+N(AE214)+N(AE215)+N(AE216)),""),"")</f>
        <v>1.0018071687712</v>
      </c>
      <c r="AF344" s="262">
        <f>IFERROR(IF((N(AF200)+N(AF204)+N(AF206)+N(AF207)+N(AF214)+N(AF215)+N(AF216))&lt;&gt;0,N(AF146)/(N(AF200)+N(AF204)+N(AF206)+N(AF207)+N(AF214)+N(AF215)+N(AF216)),""),"")</f>
        <v>0.930849057919103</v>
      </c>
      <c r="AG344" s="262">
        <f>IFERROR(IF((N(AG200)+N(AG204)+N(AG206)+N(AG207)+N(AG214)+N(AG215)+N(AG216))&lt;&gt;0,N(AG146)/(N(AG200)+N(AG204)+N(AG206)+N(AG207)+N(AG214)+N(AG215)+N(AG216)),""),"")</f>
        <v>0.930849057919103</v>
      </c>
      <c r="AH344" s="262">
        <f>IFERROR(IF((N(AH200)+N(AH204)+N(AH206)+N(AH207)+N(AH214)+N(AH215)+N(AH216))&lt;&gt;0,N(AH146)/(N(AH200)+N(AH204)+N(AH206)+N(AH207)+N(AH214)+N(AH215)+N(AH216)),""),"")</f>
        <v>0.825632258967949</v>
      </c>
      <c r="AI344" s="262">
        <f>IFERROR(IF((N(AI200)+N(AI204)+N(AI206)+N(AI207)+N(AI214)+N(AI215)+N(AI216))&lt;&gt;0,N(AI146)/(N(AI200)+N(AI204)+N(AI206)+N(AI207)+N(AI214)+N(AI215)+N(AI216)),""),"")</f>
        <v>1.36886266256968</v>
      </c>
      <c r="AJ344" s="262">
        <f>IFERROR(IF((N(AJ200)+N(AJ204)+N(AJ206)+N(AJ207)+N(AJ214)+N(AJ215)+N(AJ216))&lt;&gt;0,N(AJ146)/(N(AJ200)+N(AJ204)+N(AJ206)+N(AJ207)+N(AJ214)+N(AJ215)+N(AJ216)),""),"")</f>
        <v>1.55323600408396</v>
      </c>
      <c r="AK344" s="262">
        <f>IFERROR(IF((N(AK200)+N(AK204)+N(AK206)+N(AK207)+N(AK214)+N(AK215)+N(AK216))&lt;&gt;0,N(AK146)/(N(AK200)+N(AK204)+N(AK206)+N(AK207)+N(AK214)+N(AK215)+N(AK216)),""),"")</f>
        <v>1.74480137158729</v>
      </c>
      <c r="AL344" s="262">
        <f>IFERROR(IF((N(AL200)+N(AL204)+N(AL206)+N(AL207)+N(AL214)+N(AL215)+N(AL216))&lt;&gt;0,N(AL146)/(N(AL200)+N(AL204)+N(AL206)+N(AL207)+N(AL214)+N(AL215)+N(AL216)),""),"")</f>
        <v>1.74480137158729</v>
      </c>
      <c r="AM344" s="262">
        <f>IFERROR(IF((N(AM200)+N(AM204)+N(AM206)+N(AM207)+N(AM214)+N(AM215)+N(AM216))&lt;&gt;0,N(AM146)/(N(AM200)+N(AM204)+N(AM206)+N(AM207)+N(AM214)+N(AM215)+N(AM216)),""),"")</f>
        <v>1.9360179902066</v>
      </c>
      <c r="AN344" s="262">
        <f>IFERROR(IF((N(AN200)+N(AN204)+N(AN206)+N(AN207)+N(AN214)+N(AN215)+N(AN216))&lt;&gt;0,N(AN146)/(N(AN200)+N(AN204)+N(AN206)+N(AN207)+N(AN214)+N(AN215)+N(AN216)),""),"")</f>
        <v>2.16525564106296</v>
      </c>
      <c r="AO344" s="262">
        <f>IFERROR(IF((N(AO200)+N(AO204)+N(AO206)+N(AO207)+N(AO214)+N(AO215)+N(AO216))&lt;&gt;0,N(AO146)/(N(AO200)+N(AO204)+N(AO206)+N(AO207)+N(AO214)+N(AO215)+N(AO216)),""),"")</f>
        <v>2.37647621743674</v>
      </c>
      <c r="AP344" s="262">
        <f>IFERROR(IF((N(AP200)+N(AP204)+N(AP206)+N(AP207)+N(AP214)+N(AP215)+N(AP216))&lt;&gt;0,N(AP146)/(N(AP200)+N(AP204)+N(AP206)+N(AP207)+N(AP214)+N(AP215)+N(AP216)),""),"")</f>
        <v>2.56845764553072</v>
      </c>
      <c r="AQ344" s="262">
        <f>IFERROR(IF((N(AQ200)+N(AQ204)+N(AQ206)+N(AQ207)+N(AQ214)+N(AQ215)+N(AQ216))&lt;&gt;0,N(AQ146)/(N(AQ200)+N(AQ204)+N(AQ206)+N(AQ207)+N(AQ214)+N(AQ215)+N(AQ216)),""),"")</f>
        <v>2.56845764553072</v>
      </c>
      <c r="AR344" s="262">
        <f>IFERROR(IF((N(AR200)+N(AR204)+N(AR206)+N(AR207)+N(AR214)+N(AR215)+N(AR216))&lt;&gt;0,N(AR146)/(N(AR200)+N(AR204)+N(AR206)+N(AR207)+N(AR214)+N(AR215)+N(AR216)),""),"")</f>
        <v>2.76885148874123</v>
      </c>
      <c r="AS344" s="262">
        <f>IFERROR(IF((N(AS200)+N(AS204)+N(AS206)+N(AS207)+N(AS214)+N(AS215)+N(AS216))&lt;&gt;0,N(AS146)/(N(AS200)+N(AS204)+N(AS206)+N(AS207)+N(AS214)+N(AS215)+N(AS216)),""),"")</f>
        <v>3.00007674364523</v>
      </c>
      <c r="AT344" s="262">
        <f>IFERROR(IF((N(AT200)+N(AT204)+N(AT206)+N(AT207)+N(AT214)+N(AT215)+N(AT216))&lt;&gt;0,N(AT146)/(N(AT200)+N(AT204)+N(AT206)+N(AT207)+N(AT214)+N(AT215)+N(AT216)),""),"")</f>
        <v>3.21559708174895</v>
      </c>
      <c r="AU344" s="262">
        <f>IFERROR(IF((N(AU200)+N(AU204)+N(AU206)+N(AU207)+N(AU214)+N(AU215)+N(AU216))&lt;&gt;0,N(AU146)/(N(AU200)+N(AU204)+N(AU206)+N(AU207)+N(AU214)+N(AU215)+N(AU216)),""),"")</f>
        <v>3.40569375239266</v>
      </c>
      <c r="AV344" s="262">
        <f>IFERROR(IF((N(AV200)+N(AV204)+N(AV206)+N(AV207)+N(AV214)+N(AV215)+N(AV216))&lt;&gt;0,N(AV146)/(N(AV200)+N(AV204)+N(AV206)+N(AV207)+N(AV214)+N(AV215)+N(AV216)),""),"")</f>
        <v>3.40569375239266</v>
      </c>
      <c r="AW344" s="262">
        <f>IFERROR(IF((N(AW200)+N(AW204)+N(AW206)+N(AW207)+N(AW214)+N(AW215)+N(AW216))&lt;&gt;0,N(AW146)/(N(AW200)+N(AW204)+N(AW206)+N(AW207)+N(AW214)+N(AW215)+N(AW216)),""),"")</f>
        <v>3.59949337262658</v>
      </c>
      <c r="AX344" s="262">
        <f>IFERROR(IF((N(AX200)+N(AX204)+N(AX206)+N(AX207)+N(AX214)+N(AX215)+N(AX216))&lt;&gt;0,N(AX146)/(N(AX200)+N(AX204)+N(AX206)+N(AX207)+N(AX214)+N(AX215)+N(AX216)),""),"")</f>
        <v>3.8456069074287</v>
      </c>
      <c r="AY344" s="262">
        <f>IFERROR(IF((N(AY200)+N(AY204)+N(AY206)+N(AY207)+N(AY214)+N(AY215)+N(AY216))&lt;&gt;0,N(AY146)/(N(AY200)+N(AY204)+N(AY206)+N(AY207)+N(AY214)+N(AY215)+N(AY216)),""),"")</f>
        <v>4.06340932769143</v>
      </c>
      <c r="AZ344" s="262">
        <f>IFERROR(IF((N(AZ200)+N(AZ204)+N(AZ206)+N(AZ207)+N(AZ214)+N(AZ215)+N(AZ216))&lt;&gt;0,N(AZ146)/(N(AZ200)+N(AZ204)+N(AZ206)+N(AZ207)+N(AZ214)+N(AZ215)+N(AZ216)),""),"")</f>
        <v>4.24936072198891</v>
      </c>
      <c r="BA344" s="262">
        <f>IFERROR(IF((N(BA200)+N(BA204)+N(BA206)+N(BA207)+N(BA214)+N(BA215)+N(BA216))&lt;&gt;0,N(BA146)/(N(BA200)+N(BA204)+N(BA206)+N(BA207)+N(BA214)+N(BA215)+N(BA216)),""),"")</f>
        <v>4.24936072198891</v>
      </c>
      <c r="BB344" s="262">
        <f>IFERROR(IF((N(BB200)+N(BB204)+N(BB206)+N(BB207)+N(BB214)+N(BB215)+N(BB216))&lt;&gt;0,N(BB146)/(N(BB200)+N(BB204)+N(BB206)+N(BB207)+N(BB214)+N(BB215)+N(BB216)),""),"")</f>
        <v>4.44314303163532</v>
      </c>
      <c r="BC344" s="262">
        <f>IFERROR(IF((N(BC200)+N(BC204)+N(BC206)+N(BC207)+N(BC214)+N(BC215)+N(BC216))&lt;&gt;0,N(BC146)/(N(BC200)+N(BC204)+N(BC206)+N(BC207)+N(BC214)+N(BC215)+N(BC216)),""),"")</f>
        <v>4.69503578264468</v>
      </c>
      <c r="BD344" s="262">
        <f>IFERROR(IF((N(BD200)+N(BD204)+N(BD206)+N(BD207)+N(BD214)+N(BD215)+N(BD216))&lt;&gt;0,N(BD146)/(N(BD200)+N(BD204)+N(BD206)+N(BD207)+N(BD214)+N(BD215)+N(BD216)),""),"")</f>
        <v>4.91328637467288</v>
      </c>
      <c r="BE344" s="262">
        <f>IFERROR(IF((N(BE200)+N(BE204)+N(BE206)+N(BE207)+N(BE214)+N(BE215)+N(BE216))&lt;&gt;0,N(BE146)/(N(BE200)+N(BE204)+N(BE206)+N(BE207)+N(BE214)+N(BE215)+N(BE216)),""),"")</f>
        <v>5.09318513658359</v>
      </c>
      <c r="BF344" s="262">
        <f>IFERROR(IF((N(BF200)+N(BF204)+N(BF206)+N(BF207)+N(BF214)+N(BF215)+N(BF216))&lt;&gt;0,N(BF146)/(N(BF200)+N(BF204)+N(BF206)+N(BF207)+N(BF214)+N(BF215)+N(BF216)),""),"")</f>
        <v>5.09318513658359</v>
      </c>
      <c r="BG344" s="82" t="n"/>
      <c r="BH344" s="82" t="n"/>
      <c r="BI344" s="82" t="n"/>
      <c r="BJ344" s="82" t="n"/>
      <c r="BL344" s="82" t="n"/>
      <c r="BM344" s="82" t="n"/>
      <c r="BN344" s="82" t="n"/>
      <c r="BO344" s="82" t="n"/>
      <c r="BQ344" s="82" t="n"/>
      <c r="BR344" s="82" t="n"/>
      <c r="BS344" s="82" t="n"/>
      <c r="BT344" s="82" t="n"/>
      <c r="BV344" s="82" t="n"/>
      <c r="BW344" s="82" t="n"/>
      <c r="BX344" s="82" t="n"/>
      <c r="BY344" s="82" t="n"/>
      <c r="CA344" s="82" t="n"/>
      <c r="CB344" s="82" t="n"/>
      <c r="CC344" s="82" t="n"/>
      <c r="CD344" s="82" t="n"/>
      <c r="CF344" s="82" t="n"/>
      <c r="CG344" s="82" t="n"/>
      <c r="CH344" s="82" t="n"/>
      <c r="CI344" s="82" t="n"/>
      <c r="CK344" s="82" t="n"/>
      <c r="CL344" s="82" t="n"/>
      <c r="CM344" s="82" t="n"/>
      <c r="CN344" s="82" t="n"/>
      <c r="CP344" s="82" t="n"/>
      <c r="CQ344" s="82" t="n"/>
      <c r="CR344" s="82" t="n"/>
      <c r="CS344" s="82" t="n"/>
      <c r="CU344" s="82" t="n"/>
      <c r="CV344" s="82" t="n"/>
      <c r="CW344" s="82" t="n"/>
      <c r="CX344" s="82" t="n"/>
    </row>
    <row r="345" customFormat="1" s="77">
      <c r="A345" s="76" t="n"/>
      <c r="B345" s="76" t="n"/>
    </row>
    <row r="346" customFormat="1" s="77">
      <c r="A346" s="76" t="n"/>
      <c r="B346" s="76" t="n"/>
      <c r="C346" s="74" t="inlineStr">
        <is>
          <t>OPERATING EFFICIENCY</t>
        </is>
      </c>
    </row>
    <row r="347" customFormat="1" s="84">
      <c r="A347" s="81" t="n"/>
      <c r="B347" s="81" t="n"/>
      <c r="C347" s="84" t="inlineStr">
        <is>
          <t>RETURN ON CAPITAL (ROIC) - LTM</t>
        </is>
      </c>
      <c r="D347" t="str">
        <f>IFERROR(D349/D352,"")</f>
        <v/>
      </c>
      <c r="E347" t="str">
        <f>IFERROR(E349/E352,"")</f>
        <v/>
      </c>
      <c r="F347" t="str">
        <f>IFERROR(F349/F352,"")</f>
        <v/>
      </c>
      <c r="G347" t="str">
        <f>IFERROR(G349/G352,"")</f>
        <v/>
      </c>
      <c r="H347" s="257" t="str">
        <f>IFERROR(IF(AND(COUNT(H349)=1,N(H352)&lt;&gt;0),(H349)/H352,""),"")</f>
        <v/>
      </c>
      <c r="I347" s="257" t="str">
        <f>""</f>
        <v/>
      </c>
      <c r="J347" s="257" t="str">
        <f>""</f>
        <v/>
      </c>
      <c r="K347" s="257" t="str">
        <f>""</f>
        <v/>
      </c>
      <c r="L347" s="257">
        <f>IFERROR(IF(AND(COUNT(I349,J349,K349,L349)=4,N(L352)&lt;&gt;0),(I349+J349+K349+L349)/L352,""),"")</f>
        <v>0.125984874745582</v>
      </c>
      <c r="M347" s="257">
        <f>IFERROR(IF(AND(COUNT(I349,J349,K349,L349)=4,N(M352)&lt;&gt;0),(I349+J349+K349+L349)/M352,""),"")</f>
        <v>0.125984874745582</v>
      </c>
      <c r="N347" s="257">
        <f>IFERROR(IF(AND(COUNT(J349,K349,L349,N349)=4,N(N352)&lt;&gt;0),(J349+K349+L349+N349)/N352,""),"")</f>
        <v>0.126738646422951</v>
      </c>
      <c r="O347" s="257">
        <f>IFERROR(IF(AND(COUNT(K349,L349,N349,O349)=4,N(O352)&lt;&gt;0),(K349+L349+N349+O349)/O352,""),"")</f>
        <v>0.114005045092444</v>
      </c>
      <c r="P347" s="257">
        <f>IFERROR(IF(AND(COUNT(L349,N349,O349,P349)=4,N(P352)&lt;&gt;0),(L349+N349+O349+P349)/P352,""),"")</f>
        <v>0.109185016137344</v>
      </c>
      <c r="Q347" s="257">
        <f>IFERROR(IF(AND(COUNT(N349,O349,P349,Q349)=4,N(Q352)&lt;&gt;0),(N349+O349+P349+Q349)/Q352,""),"")</f>
        <v>0.105827325182633</v>
      </c>
      <c r="R347" s="257">
        <f>IFERROR(IF(AND(COUNT(N349,O349,P349,Q349)=4,N(R352)&lt;&gt;0),(N349+O349+P349+Q349)/R352,""),"")</f>
        <v>0.105827325182633</v>
      </c>
      <c r="S347" s="257">
        <f>IFERROR(IF(AND(COUNT(O349,P349,Q349,S349)=4,N(S352)&lt;&gt;0),(O349+P349+Q349+S349)/S352,""),"")</f>
        <v>0.105370116288135</v>
      </c>
      <c r="T347" s="257">
        <f>IFERROR(IF(AND(COUNT(P349,Q349,S349,T349)=4,N(T352)&lt;&gt;0),(P349+Q349+S349+T349)/T352,""),"")</f>
        <v>0.11425564548164</v>
      </c>
      <c r="U347" s="257">
        <f>IFERROR(IF(AND(COUNT(Q349,S349,T349,U349)=4,N(U352)&lt;&gt;0),(Q349+S349+T349+U349)/U352,""),"")</f>
        <v>0.120622268512064</v>
      </c>
      <c r="V347" s="257">
        <f>IFERROR(IF(AND(COUNT(S349,T349,U349,V349)=4,N(V352)&lt;&gt;0),(S349+T349+U349+V349)/V352,""),"")</f>
        <v>0.123060505634575</v>
      </c>
      <c r="W347" s="257">
        <f>IFERROR(IF(AND(COUNT(S349,T349,U349,V349)=4,N(W352)&lt;&gt;0),(S349+T349+U349+V349)/W352,""),"")</f>
        <v>0.123060505634575</v>
      </c>
      <c r="X347" s="257">
        <f>IFERROR(IF(AND(COUNT(T349,U349,V349,X349)=4,N(X352)&lt;&gt;0),(T349+U349+V349+X349)/X352,""),"")</f>
        <v>0.124196779598837</v>
      </c>
      <c r="Y347" s="257">
        <f>IFERROR(IF(AND(COUNT(U349,V349,X349,Y349)=4,N(Y352)&lt;&gt;0),(U349+V349+X349+Y349)/Y352,""),"")</f>
        <v>0.117185850781651</v>
      </c>
      <c r="Z347" s="257">
        <f>IFERROR(IF(AND(COUNT(V349,X349,Y349,Z349)=4,N(Z352)&lt;&gt;0),(V349+X349+Y349+Z349)/Z352,""),"")</f>
        <v>0.113527734357963</v>
      </c>
      <c r="AA347" s="257">
        <f>IFERROR(IF(AND(COUNT(X349,Y349,Z349,AA349)=4,N(AA352)&lt;&gt;0),(X349+Y349+Z349+AA349)/AA352,""),"")</f>
        <v>0.113062161035132</v>
      </c>
      <c r="AB347" s="257">
        <f>IFERROR(IF(AND(COUNT(X349,Y349,Z349,AA349)=4,N(AB352)&lt;&gt;0),(X349+Y349+Z349+AA349)/AB352,""),"")</f>
        <v>0.113062161035132</v>
      </c>
      <c r="AC347" s="257">
        <f>IFERROR(IF(AND(COUNT(Y349,Z349,AA349,AC349)=4,N(AC352)&lt;&gt;0),(Y349+Z349+AA349+AC349)/AC352,""),"")</f>
        <v>0.137275395257351</v>
      </c>
      <c r="AD347" s="257">
        <f>IFERROR(IF(AND(COUNT(Z349,AA349,AC349,AD349)=4,N(AD352)&lt;&gt;0),(Z349+AA349+AC349+AD349)/AD352,""),"")</f>
        <v>0.132757685140796</v>
      </c>
      <c r="AE347" s="257">
        <f>IFERROR(IF(AND(COUNT(AA349,AC349,AD349,AE349)=4,N(AE352)&lt;&gt;0),(AA349+AC349+AD349+AE349)/AE352,""),"")</f>
        <v>0.15499886221695</v>
      </c>
      <c r="AF347" s="257">
        <f>IFERROR(IF(AND(COUNT(AB349,AD349,AE349,AF349)=4,N(AF352)&lt;&gt;0),(AB349+AD349+AE349+AF349)/AF352,""),"")</f>
        <v>0.197446378536923</v>
      </c>
      <c r="AG347" s="257">
        <f>IFERROR(IF(AND(COUNT(AC349,AD349,AE349,AF349)=4,N(AG352)&lt;&gt;0),(AC349+AD349+AE349+AF349)/AG352,""),"")</f>
        <v>0.140880788615205</v>
      </c>
      <c r="AH347" s="257">
        <f>IFERROR(IF(AND(COUNT(AD349,AF349,AG349,AH349)=4,N(AH352)&lt;&gt;0),(AD349+AF349+AG349+AH349)/AH352,""),"")</f>
        <v>0.226603859865714</v>
      </c>
      <c r="AI347" s="257">
        <f>IFERROR(IF(AND(COUNT(AE349,AG349,AH349,AI349)=4,N(AI352)&lt;&gt;0),(AE349+AG349+AH349+AI349)/AI352,""),"")</f>
        <v>0.210454467123561</v>
      </c>
      <c r="AJ347" s="257">
        <f>IFERROR(IF(AND(COUNT(AF349,AH349,AI349,AJ349)=4,N(AJ352)&lt;&gt;0),(AF349+AH349+AI349+AJ349)/AJ352,""),"")</f>
        <v>0.120516506640117</v>
      </c>
      <c r="AK347" s="257">
        <f>IFERROR(IF(AND(COUNT(AH349,AI349,AJ349,AK349)=4,N(AK352)&lt;&gt;0),(AH349+AI349+AJ349+AK349)/AK352,""),"")</f>
        <v>0.133084788122814</v>
      </c>
      <c r="AL347" s="257">
        <f>IFERROR(IF(AND(COUNT(AH349,AI349,AJ349,AK349)=4,N(AL352)&lt;&gt;0),(AH349+AI349+AJ349+AK349)/AL352,""),"")</f>
        <v>0.133084788122814</v>
      </c>
      <c r="AM347" s="257">
        <f>IFERROR(IF(AND(COUNT(AI349,AJ349,AK349,AM349)=4,N(AM352)&lt;&gt;0),(AI349+AJ349+AK349+AM349)/AM352,""),"")</f>
        <v>0.148709076456466</v>
      </c>
      <c r="AN347" s="257">
        <f>IFERROR(IF(AND(COUNT(AJ349,AK349,AM349,AN349)=4,N(AN352)&lt;&gt;0),(AJ349+AK349+AM349+AN349)/AN352,""),"")</f>
        <v>0.166216066685007</v>
      </c>
      <c r="AO347" s="257">
        <f>IFERROR(IF(AND(COUNT(AK349,AM349,AN349,AO349)=4,N(AO352)&lt;&gt;0),(AK349+AM349+AN349+AO349)/AO352,""),"")</f>
        <v>0.168901891933252</v>
      </c>
      <c r="AP347" s="257">
        <f>IFERROR(IF(AND(COUNT(AM349,AN349,AO349,AP349)=4,N(AP352)&lt;&gt;0),(AM349+AN349+AO349+AP349)/AP352,""),"")</f>
        <v>0.171191876346687</v>
      </c>
      <c r="AQ347" s="257">
        <f>IFERROR(IF(AND(COUNT(AM349,AN349,AO349,AP349)=4,N(AQ352)&lt;&gt;0),(AM349+AN349+AO349+AP349)/AQ352,""),"")</f>
        <v>0.171191876346687</v>
      </c>
      <c r="AR347" s="257">
        <f>IFERROR(IF(AND(COUNT(AN349,AO349,AP349,AR349)=4,N(AR352)&lt;&gt;0),(AN349+AO349+AP349+AR349)/AR352,""),"")</f>
        <v>0.173453774491664</v>
      </c>
      <c r="AS347" s="257">
        <f>IFERROR(IF(AND(COUNT(AO349,AP349,AR349,AS349)=4,N(AS352)&lt;&gt;0),(AO349+AP349+AR349+AS349)/AS352,""),"")</f>
        <v>0.176381565939995</v>
      </c>
      <c r="AT347" s="257">
        <f>IFERROR(IF(AND(COUNT(AP349,AR349,AS349,AT349)=4,N(AT352)&lt;&gt;0),(AP349+AR349+AS349+AT349)/AT352,""),"")</f>
        <v>0.179046584709443</v>
      </c>
      <c r="AU347" s="257">
        <f>IFERROR(IF(AND(COUNT(AR349,AS349,AT349,AU349)=4,N(AU352)&lt;&gt;0),(AR349+AS349+AT349+AU349)/AU352,""),"")</f>
        <v>0.181251115761063</v>
      </c>
      <c r="AV347" s="257">
        <f>IFERROR(IF(AND(COUNT(AR349,AS349,AT349,AU349)=4,N(AV352)&lt;&gt;0),(AR349+AS349+AT349+AU349)/AV352,""),"")</f>
        <v>0.181251115761063</v>
      </c>
      <c r="AW347" s="257">
        <f>IFERROR(IF(AND(COUNT(AS349,AT349,AU349,AW349)=4,N(AW352)&lt;&gt;0),(AS349+AT349+AU349+AW349)/AW352,""),"")</f>
        <v>0.183325041833717</v>
      </c>
      <c r="AX347" s="257">
        <f>IFERROR(IF(AND(COUNT(AT349,AU349,AW349,AX349)=4,N(AX352)&lt;&gt;0),(AT349+AU349+AW349+AX349)/AX352,""),"")</f>
        <v>0.186395147590099</v>
      </c>
      <c r="AY347" s="257">
        <f>IFERROR(IF(AND(COUNT(AU349,AW349,AX349,AY349)=4,N(AY352)&lt;&gt;0),(AU349+AW349+AX349+AY349)/AY352,""),"")</f>
        <v>0.189014841686709</v>
      </c>
      <c r="AZ347" s="257">
        <f>IFERROR(IF(AND(COUNT(AW349,AX349,AY349,AZ349)=4,N(AZ352)&lt;&gt;0),(AW349+AX349+AY349+AZ349)/AZ352,""),"")</f>
        <v>0.191105609232486</v>
      </c>
      <c r="BA347" s="257">
        <f>IFERROR(IF(AND(COUNT(AW349,AX349,AY349,AZ349)=4,N(BA352)&lt;&gt;0),(AW349+AX349+AY349+AZ349)/BA352,""),"")</f>
        <v>0.191105609232486</v>
      </c>
      <c r="BB347" s="257">
        <f>IFERROR(IF(AND(COUNT(AX349,AY349,AZ349,BB349)=4,N(BB352)&lt;&gt;0),(AX349+AY349+AZ349+BB349)/BB352,""),"")</f>
        <v>0.193114649727253</v>
      </c>
      <c r="BC347" s="257">
        <f>IFERROR(IF(AND(COUNT(AY349,AZ349,BB349,BC349)=4,N(BC352)&lt;&gt;0),(AY349+AZ349+BB349+BC349)/BC352,""),"")</f>
        <v>0.196164384433859</v>
      </c>
      <c r="BD347" s="257">
        <f>IFERROR(IF(AND(COUNT(AZ349,BB349,BC349,BD349)=4,N(BD352)&lt;&gt;0),(AZ349+BB349+BC349+BD349)/BD352,""),"")</f>
        <v>0.19871155162717</v>
      </c>
      <c r="BE347" s="257">
        <f>IFERROR(IF(AND(COUNT(BB349,BC349,BD349,BE349)=4,N(BE352)&lt;&gt;0),(BB349+BC349+BD349+BE349)/BE352,""),"")</f>
        <v>0.200658238241789</v>
      </c>
      <c r="BF347" s="257">
        <f>IFERROR(IF(AND(COUNT(BB349,BC349,BD349,BE349)=4,N(BF352)&lt;&gt;0),(BB349+BC349+BD349+BE349)/BF352,""),"")</f>
        <v>0.200658238241789</v>
      </c>
      <c r="BG347" s="81" t="n"/>
      <c r="BH347" s="81" t="n"/>
      <c r="BI347" s="81" t="n"/>
      <c r="BJ347" s="81" t="n"/>
      <c r="BL347" s="81" t="n"/>
      <c r="BM347" s="81" t="n"/>
      <c r="BN347" s="81" t="n"/>
      <c r="BO347" s="81" t="n"/>
      <c r="BQ347" s="81" t="n"/>
      <c r="BR347" s="81" t="n"/>
      <c r="BS347" s="81" t="n"/>
      <c r="BT347" s="81" t="n"/>
      <c r="BV347" s="81" t="n"/>
      <c r="BW347" s="81" t="n"/>
      <c r="BX347" s="81" t="n"/>
      <c r="BY347" s="81" t="n"/>
      <c r="CA347" s="81" t="n"/>
      <c r="CB347" s="81" t="n"/>
      <c r="CC347" s="81" t="n"/>
      <c r="CD347" s="81" t="n"/>
      <c r="CF347" s="81" t="n"/>
      <c r="CG347" s="81" t="n"/>
      <c r="CH347" s="81" t="n"/>
      <c r="CI347" s="81" t="n"/>
      <c r="CK347" s="81" t="n"/>
      <c r="CL347" s="81" t="n"/>
      <c r="CM347" s="81" t="n"/>
      <c r="CN347" s="81" t="n"/>
      <c r="CP347" s="81" t="n"/>
      <c r="CQ347" s="81" t="n"/>
      <c r="CR347" s="81" t="n"/>
      <c r="CS347" s="81" t="n"/>
      <c r="CU347" s="81" t="n"/>
      <c r="CV347" s="81" t="n"/>
      <c r="CW347" s="81" t="n"/>
      <c r="CX347" s="81" t="n"/>
    </row>
    <row r="348" customFormat="1" s="84">
      <c r="A348" s="81" t="n"/>
      <c r="B348" s="81" t="n"/>
      <c r="C348" s="84" t="inlineStr">
        <is>
          <t>RETURN ON CAPITAL (ROIC) - EX GOODWILL - LTM</t>
        </is>
      </c>
      <c r="D348" t="str">
        <f>IFERROR(D349/D353,"")</f>
        <v/>
      </c>
      <c r="E348" t="str">
        <f>IFERROR(E349/E353,"")</f>
        <v/>
      </c>
      <c r="F348" t="str">
        <f>IFERROR(F349/F353,"")</f>
        <v/>
      </c>
      <c r="G348" t="str">
        <f>IFERROR(G349/G353,"")</f>
        <v/>
      </c>
      <c r="H348" s="257" t="str">
        <f>IFERROR(IF(AND(COUNT(H349)=1,N(H353)&lt;&gt;0),(H349)/H353,""),"")</f>
        <v/>
      </c>
      <c r="I348" s="257" t="str">
        <f>""</f>
        <v/>
      </c>
      <c r="J348" s="257" t="str">
        <f>""</f>
        <v/>
      </c>
      <c r="K348" s="257" t="str">
        <f>""</f>
        <v/>
      </c>
      <c r="L348" s="257">
        <f>IFERROR(IF(AND(COUNT(I349,J349,K349,L349)=4,N(L353)&lt;&gt;0),(I349+J349+K349+L349)/L353,""),"")</f>
        <v>0.125984874745582</v>
      </c>
      <c r="M348" s="257">
        <f>IFERROR(IF(AND(COUNT(I349,J349,K349,L349)=4,N(M353)&lt;&gt;0),(I349+J349+K349+L349)/M353,""),"")</f>
        <v>0.125984874745582</v>
      </c>
      <c r="N348" s="257">
        <f>IFERROR(IF(AND(COUNT(J349,K349,L349,N349)=4,N(N353)&lt;&gt;0),(J349+K349+L349+N349)/N353,""),"")</f>
        <v>0.126738646422951</v>
      </c>
      <c r="O348" s="257">
        <f>IFERROR(IF(AND(COUNT(K349,L349,N349,O349)=4,N(O353)&lt;&gt;0),(K349+L349+N349+O349)/O353,""),"")</f>
        <v>0.114005045092444</v>
      </c>
      <c r="P348" s="257">
        <f>IFERROR(IF(AND(COUNT(L349,N349,O349,P349)=4,N(P353)&lt;&gt;0),(L349+N349+O349+P349)/P353,""),"")</f>
        <v>0.109185016137344</v>
      </c>
      <c r="Q348" s="257">
        <f>IFERROR(IF(AND(COUNT(N349,O349,P349,Q349)=4,N(Q353)&lt;&gt;0),(N349+O349+P349+Q349)/Q353,""),"")</f>
        <v>0.105827325182633</v>
      </c>
      <c r="R348" s="257">
        <f>IFERROR(IF(AND(COUNT(N349,O349,P349,Q349)=4,N(R353)&lt;&gt;0),(N349+O349+P349+Q349)/R353,""),"")</f>
        <v>0.105827325182633</v>
      </c>
      <c r="S348" s="257">
        <f>IFERROR(IF(AND(COUNT(O349,P349,Q349,S349)=4,N(S353)&lt;&gt;0),(O349+P349+Q349+S349)/S353,""),"")</f>
        <v>0.105370116288135</v>
      </c>
      <c r="T348" s="257">
        <f>IFERROR(IF(AND(COUNT(P349,Q349,S349,T349)=4,N(T353)&lt;&gt;0),(P349+Q349+S349+T349)/T353,""),"")</f>
        <v>0.11425564548164</v>
      </c>
      <c r="U348" s="257">
        <f>IFERROR(IF(AND(COUNT(Q349,S349,T349,U349)=4,N(U353)&lt;&gt;0),(Q349+S349+T349+U349)/U353,""),"")</f>
        <v>0.120622268512064</v>
      </c>
      <c r="V348" s="257">
        <f>IFERROR(IF(AND(COUNT(S349,T349,U349,V349)=4,N(V353)&lt;&gt;0),(S349+T349+U349+V349)/V353,""),"")</f>
        <v>0.123060505634575</v>
      </c>
      <c r="W348" s="257">
        <f>IFERROR(IF(AND(COUNT(S349,T349,U349,V349)=4,N(W353)&lt;&gt;0),(S349+T349+U349+V349)/W353,""),"")</f>
        <v>0.123060505634575</v>
      </c>
      <c r="X348" s="257">
        <f>IFERROR(IF(AND(COUNT(T349,U349,V349,X349)=4,N(X353)&lt;&gt;0),(T349+U349+V349+X349)/X353,""),"")</f>
        <v>0.124196779598837</v>
      </c>
      <c r="Y348" s="257">
        <f>IFERROR(IF(AND(COUNT(U349,V349,X349,Y349)=4,N(Y353)&lt;&gt;0),(U349+V349+X349+Y349)/Y353,""),"")</f>
        <v>0.117185850781651</v>
      </c>
      <c r="Z348" s="257">
        <f>IFERROR(IF(AND(COUNT(V349,X349,Y349,Z349)=4,N(Z353)&lt;&gt;0),(V349+X349+Y349+Z349)/Z353,""),"")</f>
        <v>0.113527734357963</v>
      </c>
      <c r="AA348" s="257">
        <f>IFERROR(IF(AND(COUNT(X349,Y349,Z349,AA349)=4,N(AA353)&lt;&gt;0),(X349+Y349+Z349+AA349)/AA353,""),"")</f>
        <v>0.113062161035132</v>
      </c>
      <c r="AB348" s="257">
        <f>IFERROR(IF(AND(COUNT(X349,Y349,Z349,AA349)=4,N(AB353)&lt;&gt;0),(X349+Y349+Z349+AA349)/AB353,""),"")</f>
        <v>0.113062161035132</v>
      </c>
      <c r="AC348" s="257">
        <f>IFERROR(IF(AND(COUNT(Y349,Z349,AA349,AC349)=4,N(AC353)&lt;&gt;0),(Y349+Z349+AA349+AC349)/AC353,""),"")</f>
        <v>0.137275395257351</v>
      </c>
      <c r="AD348" s="257">
        <f>IFERROR(IF(AND(COUNT(Z349,AA349,AC349,AD349)=4,N(AD353)&lt;&gt;0),(Z349+AA349+AC349+AD349)/AD353,""),"")</f>
        <v>0.132757685140796</v>
      </c>
      <c r="AE348" s="257">
        <f>IFERROR(IF(AND(COUNT(AA349,AC349,AD349,AE349)=4,N(AE353)&lt;&gt;0),(AA349+AC349+AD349+AE349)/AE353,""),"")</f>
        <v>0.15499886221695</v>
      </c>
      <c r="AF348" s="257">
        <f>IFERROR(IF(AND(COUNT(AB349,AD349,AE349,AF349)=4,N(AF353)&lt;&gt;0),(AB349+AD349+AE349+AF349)/AF353,""),"")</f>
        <v>0.197446378536923</v>
      </c>
      <c r="AG348" s="257">
        <f>IFERROR(IF(AND(COUNT(AC349,AD349,AE349,AF349)=4,N(AG353)&lt;&gt;0),(AC349+AD349+AE349+AF349)/AG353,""),"")</f>
        <v>0.140880788615205</v>
      </c>
      <c r="AH348" s="257">
        <f>IFERROR(IF(AND(COUNT(AD349,AF349,AG349,AH349)=4,N(AH353)&lt;&gt;0),(AD349+AF349+AG349+AH349)/AH353,""),"")</f>
        <v>0.226603859865714</v>
      </c>
      <c r="AI348" s="257">
        <f>IFERROR(IF(AND(COUNT(AE349,AG349,AH349,AI349)=4,N(AI353)&lt;&gt;0),(AE349+AG349+AH349+AI349)/AI353,""),"")</f>
        <v>0.210454467123561</v>
      </c>
      <c r="AJ348" s="257">
        <f>IFERROR(IF(AND(COUNT(AF349,AH349,AI349,AJ349)=4,N(AJ353)&lt;&gt;0),(AF349+AH349+AI349+AJ349)/AJ353,""),"")</f>
        <v>0.120516506640117</v>
      </c>
      <c r="AK348" s="257">
        <f>IFERROR(IF(AND(COUNT(AH349,AI349,AJ349,AK349)=4,N(AK353)&lt;&gt;0),(AH349+AI349+AJ349+AK349)/AK353,""),"")</f>
        <v>0.133084788122814</v>
      </c>
      <c r="AL348" s="257">
        <f>IFERROR(IF(AND(COUNT(AH349,AI349,AJ349,AK349)=4,N(AL353)&lt;&gt;0),(AH349+AI349+AJ349+AK349)/AL353,""),"")</f>
        <v>0.133084788122814</v>
      </c>
      <c r="AM348" s="257">
        <f>IFERROR(IF(AND(COUNT(AI349,AJ349,AK349,AM349)=4,N(AM353)&lt;&gt;0),(AI349+AJ349+AK349+AM349)/AM353,""),"")</f>
        <v>0.148709076456466</v>
      </c>
      <c r="AN348" s="257">
        <f>IFERROR(IF(AND(COUNT(AJ349,AK349,AM349,AN349)=4,N(AN353)&lt;&gt;0),(AJ349+AK349+AM349+AN349)/AN353,""),"")</f>
        <v>0.166216066685007</v>
      </c>
      <c r="AO348" s="257">
        <f>IFERROR(IF(AND(COUNT(AK349,AM349,AN349,AO349)=4,N(AO353)&lt;&gt;0),(AK349+AM349+AN349+AO349)/AO353,""),"")</f>
        <v>0.168901891933252</v>
      </c>
      <c r="AP348" s="257">
        <f>IFERROR(IF(AND(COUNT(AM349,AN349,AO349,AP349)=4,N(AP353)&lt;&gt;0),(AM349+AN349+AO349+AP349)/AP353,""),"")</f>
        <v>0.171191876346687</v>
      </c>
      <c r="AQ348" s="257">
        <f>IFERROR(IF(AND(COUNT(AM349,AN349,AO349,AP349)=4,N(AQ353)&lt;&gt;0),(AM349+AN349+AO349+AP349)/AQ353,""),"")</f>
        <v>0.171191876346687</v>
      </c>
      <c r="AR348" s="257">
        <f>IFERROR(IF(AND(COUNT(AN349,AO349,AP349,AR349)=4,N(AR353)&lt;&gt;0),(AN349+AO349+AP349+AR349)/AR353,""),"")</f>
        <v>0.173453774491664</v>
      </c>
      <c r="AS348" s="257">
        <f>IFERROR(IF(AND(COUNT(AO349,AP349,AR349,AS349)=4,N(AS353)&lt;&gt;0),(AO349+AP349+AR349+AS349)/AS353,""),"")</f>
        <v>0.176381565939995</v>
      </c>
      <c r="AT348" s="257">
        <f>IFERROR(IF(AND(COUNT(AP349,AR349,AS349,AT349)=4,N(AT353)&lt;&gt;0),(AP349+AR349+AS349+AT349)/AT353,""),"")</f>
        <v>0.179046584709443</v>
      </c>
      <c r="AU348" s="257">
        <f>IFERROR(IF(AND(COUNT(AR349,AS349,AT349,AU349)=4,N(AU353)&lt;&gt;0),(AR349+AS349+AT349+AU349)/AU353,""),"")</f>
        <v>0.181251115761063</v>
      </c>
      <c r="AV348" s="257">
        <f>IFERROR(IF(AND(COUNT(AR349,AS349,AT349,AU349)=4,N(AV353)&lt;&gt;0),(AR349+AS349+AT349+AU349)/AV353,""),"")</f>
        <v>0.181251115761063</v>
      </c>
      <c r="AW348" s="257">
        <f>IFERROR(IF(AND(COUNT(AS349,AT349,AU349,AW349)=4,N(AW353)&lt;&gt;0),(AS349+AT349+AU349+AW349)/AW353,""),"")</f>
        <v>0.183325041833717</v>
      </c>
      <c r="AX348" s="257">
        <f>IFERROR(IF(AND(COUNT(AT349,AU349,AW349,AX349)=4,N(AX353)&lt;&gt;0),(AT349+AU349+AW349+AX349)/AX353,""),"")</f>
        <v>0.186395147590099</v>
      </c>
      <c r="AY348" s="257">
        <f>IFERROR(IF(AND(COUNT(AU349,AW349,AX349,AY349)=4,N(AY353)&lt;&gt;0),(AU349+AW349+AX349+AY349)/AY353,""),"")</f>
        <v>0.189014841686709</v>
      </c>
      <c r="AZ348" s="257">
        <f>IFERROR(IF(AND(COUNT(AW349,AX349,AY349,AZ349)=4,N(AZ353)&lt;&gt;0),(AW349+AX349+AY349+AZ349)/AZ353,""),"")</f>
        <v>0.191105609232486</v>
      </c>
      <c r="BA348" s="257">
        <f>IFERROR(IF(AND(COUNT(AW349,AX349,AY349,AZ349)=4,N(BA353)&lt;&gt;0),(AW349+AX349+AY349+AZ349)/BA353,""),"")</f>
        <v>0.191105609232486</v>
      </c>
      <c r="BB348" s="257">
        <f>IFERROR(IF(AND(COUNT(AX349,AY349,AZ349,BB349)=4,N(BB353)&lt;&gt;0),(AX349+AY349+AZ349+BB349)/BB353,""),"")</f>
        <v>0.193114649727253</v>
      </c>
      <c r="BC348" s="257">
        <f>IFERROR(IF(AND(COUNT(AY349,AZ349,BB349,BC349)=4,N(BC353)&lt;&gt;0),(AY349+AZ349+BB349+BC349)/BC353,""),"")</f>
        <v>0.196164384433859</v>
      </c>
      <c r="BD348" s="257">
        <f>IFERROR(IF(AND(COUNT(AZ349,BB349,BC349,BD349)=4,N(BD353)&lt;&gt;0),(AZ349+BB349+BC349+BD349)/BD353,""),"")</f>
        <v>0.19871155162717</v>
      </c>
      <c r="BE348" s="257">
        <f>IFERROR(IF(AND(COUNT(BB349,BC349,BD349,BE349)=4,N(BE353)&lt;&gt;0),(BB349+BC349+BD349+BE349)/BE353,""),"")</f>
        <v>0.200658238241789</v>
      </c>
      <c r="BF348" s="257">
        <f>IFERROR(IF(AND(COUNT(BB349,BC349,BD349,BE349)=4,N(BF353)&lt;&gt;0),(BB349+BC349+BD349+BE349)/BF353,""),"")</f>
        <v>0.200658238241789</v>
      </c>
      <c r="BG348" s="81" t="n"/>
      <c r="BH348" s="81" t="n"/>
      <c r="BI348" s="81" t="n"/>
      <c r="BJ348" s="81" t="n"/>
      <c r="BL348" s="81" t="n"/>
      <c r="BM348" s="81" t="n"/>
      <c r="BN348" s="81" t="n"/>
      <c r="BO348" s="81" t="n"/>
      <c r="BQ348" s="81" t="n"/>
      <c r="BR348" s="81" t="n"/>
      <c r="BS348" s="81" t="n"/>
      <c r="BT348" s="81" t="n"/>
      <c r="BV348" s="81" t="n"/>
      <c r="BW348" s="81" t="n"/>
      <c r="BX348" s="81" t="n"/>
      <c r="BY348" s="81" t="n"/>
      <c r="CA348" s="81" t="n"/>
      <c r="CB348" s="81" t="n"/>
      <c r="CC348" s="81" t="n"/>
      <c r="CD348" s="81" t="n"/>
      <c r="CF348" s="81" t="n"/>
      <c r="CG348" s="81" t="n"/>
      <c r="CH348" s="81" t="n"/>
      <c r="CI348" s="81" t="n"/>
      <c r="CK348" s="81" t="n"/>
      <c r="CL348" s="81" t="n"/>
      <c r="CM348" s="81" t="n"/>
      <c r="CN348" s="81" t="n"/>
      <c r="CP348" s="81" t="n"/>
      <c r="CQ348" s="81" t="n"/>
      <c r="CR348" s="81" t="n"/>
      <c r="CS348" s="81" t="n"/>
      <c r="CU348" s="81" t="n"/>
      <c r="CV348" s="81" t="n"/>
      <c r="CW348" s="81" t="n"/>
      <c r="CX348" s="81" t="n"/>
    </row>
    <row r="349" customFormat="1" s="77">
      <c r="A349" s="76" t="n"/>
      <c r="B349" s="76" t="n"/>
      <c r="C349" s="77" t="inlineStr">
        <is>
          <t>NOPLAT</t>
        </is>
      </c>
      <c r="D349">
        <f>IFERROR(D350*(1-D351),"")</f>
        <v>0</v>
      </c>
      <c r="E349">
        <f>IFERROR(E350*(1-E351),"")</f>
        <v>0</v>
      </c>
      <c r="F349">
        <f>IFERROR(F350*(1-F351),"")</f>
        <v>0</v>
      </c>
      <c r="G349">
        <f>IFERROR(G350*(1-G351),"")</f>
        <v>0</v>
      </c>
      <c r="H349" s="263">
        <f>IFERROR(H350*(1-N(H351)),0)</f>
        <v>0</v>
      </c>
      <c r="I349" s="263">
        <f>IFERROR(I350*(1-N(I351)),0)</f>
        <v>283.52864017319</v>
      </c>
      <c r="J349" s="263">
        <f>IFERROR(J350*(1-N(J351)),0)</f>
        <v>379.547840328325</v>
      </c>
      <c r="K349" s="263">
        <f>IFERROR(K350*(1-N(K351)),0)</f>
        <v>331.151250118374</v>
      </c>
      <c r="L349" s="263">
        <f>IFERROR(L350*(1-N(L351)),0)</f>
        <v>386.786970122494</v>
      </c>
      <c r="M349" s="263">
        <f>IFERROR(M350*(1-N(M351)),0)</f>
        <v>1382.81246021472</v>
      </c>
      <c r="N349" s="263">
        <f>IFERROR(N350*(1-N(N351)),0)</f>
        <v>329.858770174476</v>
      </c>
      <c r="O349" s="263">
        <f>IFERROR(O350*(1-N(O351)),0)</f>
        <v>289.106085875269</v>
      </c>
      <c r="P349" s="263">
        <f>IFERROR(P350*(1-N(P351)),0)</f>
        <v>313.848343027234</v>
      </c>
      <c r="Q349" s="263">
        <f>IFERROR(Q350*(1-N(Q351)),0)</f>
        <v>406.983067300764</v>
      </c>
      <c r="R349" s="263">
        <f>IFERROR(R350*(1-N(R351)),0)</f>
        <v>1336.02008210624</v>
      </c>
      <c r="S349" s="263">
        <f>IFERROR(S350*(1-N(S351)),0)</f>
        <v>367.267309751843</v>
      </c>
      <c r="T349" s="263">
        <f>IFERROR(T350*(1-N(T351)),0)</f>
        <v>460.964353870683</v>
      </c>
      <c r="U349" s="263">
        <f>IFERROR(U350*(1-N(U351)),0)</f>
        <v>440.899721011277</v>
      </c>
      <c r="V349" s="263">
        <f>IFERROR(V350*(1-N(V351)),0)</f>
        <v>482.563537981112</v>
      </c>
      <c r="W349" s="263">
        <f>IFERROR(W350*(1-N(W351)),0)</f>
        <v>1748.69462026603</v>
      </c>
      <c r="X349" s="263">
        <f>IFERROR(X350*(1-N(X351)),0)</f>
        <v>429.28117577956</v>
      </c>
      <c r="Y349" s="263">
        <f>IFERROR(Y350*(1-N(Y351)),0)</f>
        <v>419.544021314387</v>
      </c>
      <c r="Z349" s="263">
        <f>IFERROR(Z350*(1-N(Z351)),0)</f>
        <v>409.999785969084</v>
      </c>
      <c r="AA349" s="263">
        <f>IFERROR(AA350*(1-N(AA351)),0)</f>
        <v>511.400691542289</v>
      </c>
      <c r="AB349" s="263">
        <f>IFERROR(AB350*(1-N(AB351)),0)</f>
        <v>1763.8837754752</v>
      </c>
      <c r="AC349" s="263">
        <f>IFERROR(AC350*(1-N(AC351)),0)</f>
        <v>964.597</v>
      </c>
      <c r="AD349" s="263">
        <f>IFERROR(AD350*(1-N(AD351)),0)</f>
        <v>382.023</v>
      </c>
      <c r="AE349" s="263">
        <f>IFERROR(AE350*(1-N(AE351)),0)</f>
        <v>219.629627279199</v>
      </c>
      <c r="AF349" s="263">
        <f>IFERROR(AF350*(1-N(AF351)),0)</f>
        <v>424.433249262637</v>
      </c>
      <c r="AG349" s="263">
        <f>IFERROR(AG350*(1-N(AG351)),0)</f>
        <v>2111.04254758442</v>
      </c>
      <c r="AH349" s="263">
        <f>IFERROR(AH350*(1-N(AH351)),0)</f>
        <v>395.375988135234</v>
      </c>
      <c r="AI349" s="263">
        <f>IFERROR(AI350*(1-N(AI351)),0)</f>
        <v>365.408</v>
      </c>
      <c r="AJ349" s="263">
        <f>IFERROR(AJ350*(1-N(AJ351)),0)</f>
        <v>586.569167181883</v>
      </c>
      <c r="AK349" s="263">
        <f>IFERROR(AK350*(1-N(AK351)),0)</f>
        <v>614.783266010216</v>
      </c>
      <c r="AL349" s="263">
        <f>IFERROR(AL350*(1-N(AL351)),0)</f>
        <v>1654.0722901237</v>
      </c>
      <c r="AM349" s="263">
        <f>IFERROR(AM350*(1-N(AM351)),0)</f>
        <v>632.795474941747</v>
      </c>
      <c r="AN349" s="263">
        <f>IFERROR(AN350*(1-N(AN351)),0)</f>
        <v>618.102074514838</v>
      </c>
      <c r="AO349" s="263">
        <f>IFERROR(AO350*(1-N(AO351)),0)</f>
        <v>625.738319380106</v>
      </c>
      <c r="AP349" s="263">
        <f>IFERROR(AP350*(1-N(AP351)),0)</f>
        <v>655.836462568376</v>
      </c>
      <c r="AQ349" s="263">
        <f>IFERROR(AQ350*(1-N(AQ351)),0)</f>
        <v>2532.47233140507</v>
      </c>
      <c r="AR349" s="263">
        <f>IFERROR(AR350*(1-N(AR351)),0)</f>
        <v>671.887489963335</v>
      </c>
      <c r="AS349" s="263">
        <f>IFERROR(AS350*(1-N(AS351)),0)</f>
        <v>656.286379774026</v>
      </c>
      <c r="AT349" s="263">
        <f>IFERROR(AT350*(1-N(AT351)),0)</f>
        <v>664.394366633039</v>
      </c>
      <c r="AU349" s="263">
        <f>IFERROR(AU350*(1-N(AU351)),0)</f>
        <v>696.351873726758</v>
      </c>
      <c r="AV349" s="263">
        <f>IFERROR(AV350*(1-N(AV351)),0)</f>
        <v>2688.92011009716</v>
      </c>
      <c r="AW349" s="263">
        <f>IFERROR(AW350*(1-N(AW351)),0)</f>
        <v>710.035043145653</v>
      </c>
      <c r="AX349" s="263">
        <f>IFERROR(AX350*(1-N(AX351)),0)</f>
        <v>693.548153432926</v>
      </c>
      <c r="AY349" s="263">
        <f>IFERROR(AY350*(1-N(AY351)),0)</f>
        <v>702.116485014123</v>
      </c>
      <c r="AZ349" s="263">
        <f>IFERROR(AZ350*(1-N(AZ351)),0)</f>
        <v>735.888433840487</v>
      </c>
      <c r="BA349" s="263">
        <f>IFERROR(BA350*(1-N(BA351)),0)</f>
        <v>2841.58811543319</v>
      </c>
      <c r="BB349" s="263">
        <f>IFERROR(BB350*(1-N(BB351)),0)</f>
        <v>746.798313222954</v>
      </c>
      <c r="BC349" s="263">
        <f>IFERROR(BC350*(1-N(BC351)),0)</f>
        <v>729.45778679878</v>
      </c>
      <c r="BD349" s="263">
        <f>IFERROR(BD350*(1-N(BD351)),0)</f>
        <v>738.469758297572</v>
      </c>
      <c r="BE349" s="263">
        <f>IFERROR(BE350*(1-N(BE351)),0)</f>
        <v>773.990307122945</v>
      </c>
      <c r="BF349" s="263">
        <f>IFERROR(BF350*(1-N(BF351)),0)</f>
        <v>2988.71616544225</v>
      </c>
      <c r="BG349" s="85" t="n"/>
      <c r="BH349" s="76" t="n"/>
      <c r="BI349" s="76" t="n"/>
      <c r="BJ349" s="76" t="n"/>
      <c r="BL349" s="85" t="n"/>
      <c r="BM349" s="76" t="n"/>
      <c r="BN349" s="76" t="n"/>
      <c r="BO349" s="76" t="n"/>
      <c r="BQ349" s="85" t="n"/>
      <c r="BR349" s="76" t="n"/>
      <c r="BS349" s="76" t="n"/>
      <c r="BT349" s="76" t="n"/>
      <c r="BV349" s="85" t="n"/>
      <c r="BW349" s="76" t="n"/>
      <c r="BX349" s="76" t="n"/>
      <c r="BY349" s="76" t="n"/>
      <c r="CA349" s="85" t="n"/>
      <c r="CB349" s="76" t="n"/>
      <c r="CC349" s="76" t="n"/>
      <c r="CD349" s="76" t="n"/>
      <c r="CF349" s="85" t="n"/>
      <c r="CG349" s="76" t="n"/>
      <c r="CH349" s="76" t="n"/>
      <c r="CI349" s="76" t="n"/>
      <c r="CK349" s="85" t="n"/>
      <c r="CL349" s="76" t="n"/>
      <c r="CM349" s="76" t="n"/>
      <c r="CN349" s="76" t="n"/>
      <c r="CP349" s="85" t="n"/>
      <c r="CQ349" s="76" t="n"/>
      <c r="CR349" s="76" t="n"/>
      <c r="CS349" s="76" t="n"/>
      <c r="CU349" s="85" t="n"/>
      <c r="CV349" s="76" t="n"/>
      <c r="CW349" s="76" t="n"/>
      <c r="CX349" s="76" t="n"/>
    </row>
    <row r="350" customFormat="1" s="77">
      <c r="A350" s="76" t="n"/>
      <c r="B350" s="76" t="n"/>
      <c r="C350" s="77" t="inlineStr">
        <is>
          <t>EBIT</t>
        </is>
      </c>
      <c r="D350" s="86">
        <f>IFERROR(D132,"")</f>
        <v>0</v>
      </c>
      <c r="E350" s="86">
        <f>IFERROR(E132,"")</f>
        <v>0</v>
      </c>
      <c r="F350" s="86">
        <f>IFERROR(F132,"")</f>
        <v>0</v>
      </c>
      <c r="G350" s="86">
        <f>IFERROR(G132,"")</f>
        <v>0</v>
      </c>
      <c r="H350" s="263">
        <f>IFERROR(H75,0)</f>
        <v>0</v>
      </c>
      <c r="I350" s="263">
        <f>IFERROR(I75,0)</f>
        <v>428.807</v>
      </c>
      <c r="J350" s="263">
        <f>IFERROR(J75,0)</f>
        <v>485.041</v>
      </c>
      <c r="K350" s="263">
        <f>IFERROR(K75,0)</f>
        <v>492.419</v>
      </c>
      <c r="L350" s="263">
        <f>IFERROR(L75,0)</f>
        <v>475.439</v>
      </c>
      <c r="M350" s="263">
        <f>IFERROR(M75,0)</f>
        <v>1881.706</v>
      </c>
      <c r="N350" s="263">
        <f>IFERROR(N75,0)</f>
        <v>491.09</v>
      </c>
      <c r="O350" s="263">
        <f>IFERROR(O75,0)</f>
        <v>337.327</v>
      </c>
      <c r="P350" s="263">
        <f>IFERROR(P75,0)</f>
        <v>466.06</v>
      </c>
      <c r="Q350" s="263">
        <f>IFERROR(Q75,0)</f>
        <v>497.368</v>
      </c>
      <c r="R350" s="263">
        <f>IFERROR(R75,0)</f>
        <v>1791.845</v>
      </c>
      <c r="S350" s="263">
        <f>IFERROR(S75,0)</f>
        <v>548.023</v>
      </c>
      <c r="T350" s="263">
        <f>IFERROR(T75,0)</f>
        <v>545.681</v>
      </c>
      <c r="U350" s="263">
        <f>IFERROR(U75,0)</f>
        <v>656.443</v>
      </c>
      <c r="V350" s="263">
        <f>IFERROR(V75,0)</f>
        <v>602.406</v>
      </c>
      <c r="W350" s="263">
        <f>IFERROR(W75,0)</f>
        <v>2352.553</v>
      </c>
      <c r="X350" s="263">
        <f>IFERROR(X75,0)</f>
        <v>640.777</v>
      </c>
      <c r="Y350" s="263">
        <f>IFERROR(Y75,0)</f>
        <v>506.874</v>
      </c>
      <c r="Z350" s="263">
        <f>IFERROR(Z75,0)</f>
        <v>616.5</v>
      </c>
      <c r="AA350" s="263">
        <f>IFERROR(AA75,0)</f>
        <v>612.462</v>
      </c>
      <c r="AB350" s="263">
        <f>IFERROR(AB75,0)</f>
        <v>2376.613</v>
      </c>
      <c r="AC350" s="263">
        <f>IFERROR(AC75,0)</f>
        <v>964.597</v>
      </c>
      <c r="AD350" s="263">
        <f>IFERROR(AD75,0)</f>
        <v>382.023</v>
      </c>
      <c r="AE350" s="263">
        <f>IFERROR(AE75,0)</f>
        <v>400.662</v>
      </c>
      <c r="AF350" s="263">
        <f>IFERROR(AF75,0)</f>
        <v>590.224</v>
      </c>
      <c r="AG350" s="263">
        <f>IFERROR(AG75,0)</f>
        <v>2337.506</v>
      </c>
      <c r="AH350" s="263">
        <f>IFERROR(AH75,0)</f>
        <v>671.042</v>
      </c>
      <c r="AI350" s="263">
        <f>IFERROR(AI75,0)</f>
        <v>365.408</v>
      </c>
      <c r="AJ350" s="263">
        <f>IFERROR(AJ75,0)</f>
        <v>586.864458184473</v>
      </c>
      <c r="AK350" s="263">
        <f>IFERROR(AK75,0)</f>
        <v>615.09276057139</v>
      </c>
      <c r="AL350" s="263">
        <f>IFERROR(AL75,0)</f>
        <v>2238.40721875586</v>
      </c>
      <c r="AM350" s="263">
        <f>IFERROR(AM75,0)</f>
        <v>633.114037219965</v>
      </c>
      <c r="AN350" s="263">
        <f>IFERROR(AN75,0)</f>
        <v>618.413239832584</v>
      </c>
      <c r="AO350" s="263">
        <f>IFERROR(AO75,0)</f>
        <v>626.053328940831</v>
      </c>
      <c r="AP350" s="263">
        <f>IFERROR(AP75,0)</f>
        <v>656.16662415443</v>
      </c>
      <c r="AQ350" s="263">
        <f>IFERROR(AQ75,0)</f>
        <v>2533.74723014781</v>
      </c>
      <c r="AR350" s="263">
        <f>IFERROR(AR75,0)</f>
        <v>672.225731967245</v>
      </c>
      <c r="AS350" s="263">
        <f>IFERROR(AS75,0)</f>
        <v>656.61676785767</v>
      </c>
      <c r="AT350" s="263">
        <f>IFERROR(AT75,0)</f>
        <v>664.728836444299</v>
      </c>
      <c r="AU350" s="263">
        <f>IFERROR(AU75,0)</f>
        <v>696.702431605441</v>
      </c>
      <c r="AV350" s="263">
        <f>IFERROR(AV75,0)</f>
        <v>2690.27376787466</v>
      </c>
      <c r="AW350" s="263">
        <f>IFERROR(AW75,0)</f>
        <v>710.392489413707</v>
      </c>
      <c r="AX350" s="263">
        <f>IFERROR(AX75,0)</f>
        <v>693.897299861054</v>
      </c>
      <c r="AY350" s="263">
        <f>IFERROR(AY75,0)</f>
        <v>702.469944916884</v>
      </c>
      <c r="AZ350" s="263">
        <f>IFERROR(AZ75,0)</f>
        <v>736.258895238019</v>
      </c>
      <c r="BA350" s="263">
        <f>IFERROR(BA75,0)</f>
        <v>2843.01862942966</v>
      </c>
      <c r="BB350" s="263">
        <f>IFERROR(BB75,0)</f>
        <v>747.17426687852</v>
      </c>
      <c r="BC350" s="263">
        <f>IFERROR(BC75,0)</f>
        <v>729.825010876114</v>
      </c>
      <c r="BD350" s="263">
        <f>IFERROR(BD75,0)</f>
        <v>738.841519187013</v>
      </c>
      <c r="BE350" s="263">
        <f>IFERROR(BE75,0)</f>
        <v>774.379949788418</v>
      </c>
      <c r="BF350" s="263">
        <f>IFERROR(BF75,0)</f>
        <v>2990.22074673007</v>
      </c>
      <c r="BG350" s="63" t="n"/>
      <c r="BH350" s="63" t="n"/>
      <c r="BI350" s="63" t="n"/>
      <c r="BJ350" s="63" t="n"/>
      <c r="BL350" s="63" t="n"/>
      <c r="BM350" s="63" t="n"/>
      <c r="BN350" s="63" t="n"/>
      <c r="BO350" s="63" t="n"/>
      <c r="BQ350" s="63" t="n"/>
      <c r="BR350" s="63" t="n"/>
      <c r="BS350" s="63" t="n"/>
      <c r="BT350" s="63" t="n"/>
      <c r="BV350" s="63" t="n"/>
      <c r="BW350" s="63" t="n"/>
      <c r="BX350" s="63" t="n"/>
      <c r="BY350" s="63" t="n"/>
      <c r="CA350" s="63" t="n"/>
      <c r="CB350" s="63" t="n"/>
      <c r="CC350" s="63" t="n"/>
      <c r="CD350" s="63" t="n"/>
      <c r="CF350" s="63" t="n"/>
      <c r="CG350" s="63" t="n"/>
      <c r="CH350" s="63" t="n"/>
      <c r="CI350" s="63" t="n"/>
      <c r="CK350" s="63" t="n"/>
      <c r="CL350" s="63" t="n"/>
      <c r="CM350" s="63" t="n"/>
      <c r="CN350" s="63" t="n"/>
      <c r="CP350" s="63" t="n"/>
      <c r="CQ350" s="63" t="n"/>
      <c r="CR350" s="63" t="n"/>
      <c r="CS350" s="63" t="n"/>
      <c r="CU350" s="63" t="n"/>
      <c r="CV350" s="63" t="n"/>
      <c r="CW350" s="63" t="n"/>
      <c r="CX350" s="63" t="n"/>
    </row>
    <row r="351" customFormat="1" s="77">
      <c r="A351" s="76" t="n"/>
      <c r="B351" s="76" t="n"/>
      <c r="C351" s="77" t="inlineStr">
        <is>
          <t>ETR (LIMITED TO 0%-100%)</t>
        </is>
      </c>
      <c r="D351" s="87">
        <f>IFERROR(D134,"")</f>
        <v>0</v>
      </c>
      <c r="E351" s="87">
        <f>IFERROR(E134,"")</f>
        <v>0</v>
      </c>
      <c r="F351" s="87">
        <f>IFERROR(F134,"")</f>
        <v>0</v>
      </c>
      <c r="G351" s="87">
        <f>IFERROR(G134,"")</f>
        <v>0</v>
      </c>
      <c r="H351" s="258" t="str">
        <f>IFERROR(IF(N(H132)&lt;&gt;0,MAX(0,MIN(1,-H133/H132)),""),"")</f>
        <v/>
      </c>
      <c r="I351" s="258">
        <f>IFERROR(IF(N(I132)&lt;&gt;0,MAX(0,MIN(1,-I133/I132)),""),"")</f>
        <v>0.33879661439018</v>
      </c>
      <c r="J351" s="258">
        <f>IFERROR(IF(N(J132)&lt;&gt;0,MAX(0,MIN(1,-J133/J132)),""),"")</f>
        <v>0.21749328339599</v>
      </c>
      <c r="K351" s="258">
        <f>IFERROR(IF(N(K132)&lt;&gt;0,MAX(0,MIN(1,-K133/K132)),""),"")</f>
        <v>0.327501071001781</v>
      </c>
      <c r="L351" s="258">
        <f>IFERROR(IF(N(L132)&lt;&gt;0,MAX(0,MIN(1,-L133/L132)),""),"")</f>
        <v>0.186463520824976</v>
      </c>
      <c r="M351" s="258">
        <f>IFERROR(IF(N(M132)&lt;&gt;0,MAX(0,MIN(1,-M133/M132)),""),"")</f>
        <v>0.265128314298448</v>
      </c>
      <c r="N351" s="258">
        <f>IFERROR(IF(N(N132)&lt;&gt;0,MAX(0,MIN(1,-N133/N132)),""),"")</f>
        <v>0.328312997262261</v>
      </c>
      <c r="O351" s="258">
        <f>IFERROR(IF(N(O132)&lt;&gt;0,MAX(0,MIN(1,-O133/O132)),""),"")</f>
        <v>0.142950057732501</v>
      </c>
      <c r="P351" s="258">
        <f>IFERROR(IF(N(P132)&lt;&gt;0,MAX(0,MIN(1,-P133/P132)),""),"")</f>
        <v>0.326592406498661</v>
      </c>
      <c r="Q351" s="258">
        <f>IFERROR(IF(N(Q132)&lt;&gt;0,MAX(0,MIN(1,-Q133/Q132)),""),"")</f>
        <v>0.181726473555267</v>
      </c>
      <c r="R351" s="258">
        <f>IFERROR(IF(N(R132)&lt;&gt;0,MAX(0,MIN(1,-R133/R132)),""),"")</f>
        <v>0.254388587123196</v>
      </c>
      <c r="S351" s="258">
        <f>IFERROR(IF(N(S132)&lt;&gt;0,MAX(0,MIN(1,-S133/S132)),""),"")</f>
        <v>0.329832306761135</v>
      </c>
      <c r="T351" s="258">
        <f>IFERROR(IF(N(T132)&lt;&gt;0,MAX(0,MIN(1,-T133/T132)),""),"")</f>
        <v>0.155249396862485</v>
      </c>
      <c r="U351" s="258">
        <f>IFERROR(IF(N(U132)&lt;&gt;0,MAX(0,MIN(1,-U133/U132)),""),"")</f>
        <v>0.328350335046186</v>
      </c>
      <c r="V351" s="258">
        <f>IFERROR(IF(N(V132)&lt;&gt;0,MAX(0,MIN(1,-V133/V132)),""),"")</f>
        <v>0.198939688547074</v>
      </c>
      <c r="W351" s="258">
        <f>IFERROR(IF(N(W132)&lt;&gt;0,MAX(0,MIN(1,-W133/W132)),""),"")</f>
        <v>0.256682157525877</v>
      </c>
      <c r="X351" s="258">
        <f>IFERROR(IF(N(X132)&lt;&gt;0,MAX(0,MIN(1,-X133/X132)),""),"")</f>
        <v>0.330061510042402</v>
      </c>
      <c r="Y351" s="258">
        <f>IFERROR(IF(N(Y132)&lt;&gt;0,MAX(0,MIN(1,-Y133/Y132)),""),"")</f>
        <v>0.172291296625222</v>
      </c>
      <c r="Z351" s="258">
        <f>IFERROR(IF(N(Z132)&lt;&gt;0,MAX(0,MIN(1,-Z133/Z132)),""),"")</f>
        <v>0.334955740520544</v>
      </c>
      <c r="AA351" s="258">
        <f>IFERROR(IF(N(AA132)&lt;&gt;0,MAX(0,MIN(1,-AA133/AA132)),""),"")</f>
        <v>0.165008291873964</v>
      </c>
      <c r="AB351" s="258">
        <f>IFERROR(IF(N(AB132)&lt;&gt;0,MAX(0,MIN(1,-AB133/AB132)),""),"")</f>
        <v>0.257816154554737</v>
      </c>
      <c r="AC351" s="258">
        <f>IFERROR(IF(N(AC132)&lt;&gt;0,MAX(0,MIN(1,-AC133/AC132)),""),"")</f>
        <v>0</v>
      </c>
      <c r="AD351" s="258">
        <f>IFERROR(IF(N(AD132)&lt;&gt;0,MAX(0,MIN(1,-AD133/AD132)),""),"")</f>
        <v>0</v>
      </c>
      <c r="AE351" s="258">
        <f>IFERROR(IF(N(AE132)&lt;&gt;0,MAX(0,MIN(1,-AE133/AE132)),""),"")</f>
        <v>0.451833147942158</v>
      </c>
      <c r="AF351" s="258">
        <f>IFERROR(IF(N(AF132)&lt;&gt;0,MAX(0,MIN(1,-AF133/AF132)),""),"")</f>
        <v>0.280894627696202</v>
      </c>
      <c r="AG351" s="258">
        <f>IFERROR(IF(N(AG132)&lt;&gt;0,MAX(0,MIN(1,-AG133/AG132)),""),"")</f>
        <v>0.0968825117093095</v>
      </c>
      <c r="AH351" s="258">
        <f>IFERROR(IF(N(AH132)&lt;&gt;0,MAX(0,MIN(1,-AH133/AH132)),""),"")</f>
        <v>0.41080291824471</v>
      </c>
      <c r="AI351" s="258">
        <f>IFERROR(IF(N(AI132)&lt;&gt;0,MAX(0,MIN(1,-AI133/AI132)),""),"")</f>
        <v>0</v>
      </c>
      <c r="AJ351" s="258">
        <f>IFERROR(IF(N(AJ132)&lt;&gt;0,MAX(0,MIN(1,-AJ133/AJ132)),""),"")</f>
        <v>0.00050316729607985</v>
      </c>
      <c r="AK351" s="258">
        <f>IFERROR(IF(N(AK132)&lt;&gt;0,MAX(0,MIN(1,-AK133/AK132)),""),"")</f>
        <v>0.00050316729607985</v>
      </c>
      <c r="AL351" s="258">
        <f>IFERROR(IF(N(AL132)&lt;&gt;0,MAX(0,MIN(1,-AL133/AL132)),""),"")</f>
        <v>0.261049430030407</v>
      </c>
      <c r="AM351" s="258">
        <f>IFERROR(IF(N(AM132)&lt;&gt;0,MAX(0,MIN(1,-AM133/AM132)),""),"")</f>
        <v>0.00050316729607985</v>
      </c>
      <c r="AN351" s="258">
        <f>IFERROR(IF(N(AN132)&lt;&gt;0,MAX(0,MIN(1,-AN133/AN132)),""),"")</f>
        <v>0.00050316729607985</v>
      </c>
      <c r="AO351" s="258">
        <f>IFERROR(IF(N(AO132)&lt;&gt;0,MAX(0,MIN(1,-AO133/AO132)),""),"")</f>
        <v>0.00050316729607985</v>
      </c>
      <c r="AP351" s="258">
        <f>IFERROR(IF(N(AP132)&lt;&gt;0,MAX(0,MIN(1,-AP133/AP132)),""),"")</f>
        <v>0.00050316729607985</v>
      </c>
      <c r="AQ351" s="258">
        <f>IFERROR(IF(N(AQ132)&lt;&gt;0,MAX(0,MIN(1,-AQ133/AQ132)),""),"")</f>
        <v>0.00050316729607985</v>
      </c>
      <c r="AR351" s="258">
        <f>IFERROR(IF(N(AR132)&lt;&gt;0,MAX(0,MIN(1,-AR133/AR132)),""),"")</f>
        <v>0.00050316729607985</v>
      </c>
      <c r="AS351" s="258">
        <f>IFERROR(IF(N(AS132)&lt;&gt;0,MAX(0,MIN(1,-AS133/AS132)),""),"")</f>
        <v>0.00050316729607985</v>
      </c>
      <c r="AT351" s="258">
        <f>IFERROR(IF(N(AT132)&lt;&gt;0,MAX(0,MIN(1,-AT133/AT132)),""),"")</f>
        <v>0.00050316729607985</v>
      </c>
      <c r="AU351" s="258">
        <f>IFERROR(IF(N(AU132)&lt;&gt;0,MAX(0,MIN(1,-AU133/AU132)),""),"")</f>
        <v>0.00050316729607985</v>
      </c>
      <c r="AV351" s="258">
        <f>IFERROR(IF(N(AV132)&lt;&gt;0,MAX(0,MIN(1,-AV133/AV132)),""),"")</f>
        <v>0.00050316729607985</v>
      </c>
      <c r="AW351" s="258">
        <f>IFERROR(IF(N(AW132)&lt;&gt;0,MAX(0,MIN(1,-AW133/AW132)),""),"")</f>
        <v>0.00050316729607985</v>
      </c>
      <c r="AX351" s="258">
        <f>IFERROR(IF(N(AX132)&lt;&gt;0,MAX(0,MIN(1,-AX133/AX132)),""),"")</f>
        <v>0.00050316729607985</v>
      </c>
      <c r="AY351" s="258">
        <f>IFERROR(IF(N(AY132)&lt;&gt;0,MAX(0,MIN(1,-AY133/AY132)),""),"")</f>
        <v>0.00050316729607985</v>
      </c>
      <c r="AZ351" s="258">
        <f>IFERROR(IF(N(AZ132)&lt;&gt;0,MAX(0,MIN(1,-AZ133/AZ132)),""),"")</f>
        <v>0.00050316729607985</v>
      </c>
      <c r="BA351" s="258">
        <f>IFERROR(IF(N(BA132)&lt;&gt;0,MAX(0,MIN(1,-BA133/BA132)),""),"")</f>
        <v>0.00050316729607985</v>
      </c>
      <c r="BB351" s="258">
        <f>IFERROR(IF(N(BB132)&lt;&gt;0,MAX(0,MIN(1,-BB133/BB132)),""),"")</f>
        <v>0.00050316729607985</v>
      </c>
      <c r="BC351" s="258">
        <f>IFERROR(IF(N(BC132)&lt;&gt;0,MAX(0,MIN(1,-BC133/BC132)),""),"")</f>
        <v>0.00050316729607985</v>
      </c>
      <c r="BD351" s="258">
        <f>IFERROR(IF(N(BD132)&lt;&gt;0,MAX(0,MIN(1,-BD133/BD132)),""),"")</f>
        <v>0.00050316729607985</v>
      </c>
      <c r="BE351" s="258">
        <f>IFERROR(IF(N(BE132)&lt;&gt;0,MAX(0,MIN(1,-BE133/BE132)),""),"")</f>
        <v>0.00050316729607985</v>
      </c>
      <c r="BF351" s="258">
        <f>IFERROR(IF(N(BF132)&lt;&gt;0,MAX(0,MIN(1,-BF133/BF132)),""),"")</f>
        <v>0.00050316729607985</v>
      </c>
      <c r="BG351" s="88" t="n"/>
      <c r="BH351" s="88" t="n"/>
      <c r="BI351" s="88" t="n"/>
      <c r="BJ351" s="88" t="n"/>
      <c r="BL351" s="88" t="n"/>
      <c r="BM351" s="88" t="n"/>
      <c r="BN351" s="88" t="n"/>
      <c r="BO351" s="88" t="n"/>
      <c r="BQ351" s="88" t="n"/>
      <c r="BR351" s="88" t="n"/>
      <c r="BS351" s="88" t="n"/>
      <c r="BT351" s="88" t="n"/>
      <c r="BV351" s="88" t="n"/>
      <c r="BW351" s="88" t="n"/>
      <c r="BX351" s="88" t="n"/>
      <c r="BY351" s="88" t="n"/>
      <c r="CA351" s="88" t="n"/>
      <c r="CB351" s="88" t="n"/>
      <c r="CC351" s="88" t="n"/>
      <c r="CD351" s="88" t="n"/>
      <c r="CF351" s="88" t="n"/>
      <c r="CG351" s="88" t="n"/>
      <c r="CH351" s="88" t="n"/>
      <c r="CI351" s="88" t="n"/>
      <c r="CK351" s="88" t="n"/>
      <c r="CL351" s="88" t="n"/>
      <c r="CM351" s="88" t="n"/>
      <c r="CN351" s="88" t="n"/>
      <c r="CP351" s="88" t="n"/>
      <c r="CQ351" s="88" t="n"/>
      <c r="CR351" s="88" t="n"/>
      <c r="CS351" s="88" t="n"/>
      <c r="CU351" s="88" t="n"/>
      <c r="CV351" s="88" t="n"/>
      <c r="CW351" s="88" t="n"/>
      <c r="CX351" s="88" t="n"/>
    </row>
    <row r="352" customFormat="1" s="77">
      <c r="A352" s="76" t="n"/>
      <c r="B352" s="76" t="n"/>
      <c r="C352" s="77" t="inlineStr">
        <is>
          <t>INVESTED CAPITAL</t>
        </is>
      </c>
      <c r="D352" s="86">
        <f>IFERROR(D355-D356+D357,"")</f>
        <v>0</v>
      </c>
      <c r="E352" s="86">
        <f>IFERROR(E355-E356+E357,"")</f>
        <v>0</v>
      </c>
      <c r="F352" s="86">
        <f>IFERROR(F355-F356+F357,"")</f>
        <v>0</v>
      </c>
      <c r="G352" s="86">
        <f>IFERROR(G355-G356+G357,"")</f>
        <v>0</v>
      </c>
      <c r="H352" s="263">
        <f>IFERROR(H354+H357,0)</f>
        <v>0</v>
      </c>
      <c r="I352" s="263">
        <f>IFERROR(I354+I357,0)</f>
        <v>9964.789</v>
      </c>
      <c r="J352" s="263">
        <f>IFERROR(J354+J357,0)</f>
        <v>10355.1</v>
      </c>
      <c r="K352" s="263">
        <f>IFERROR(K354+K357,0)</f>
        <v>10562.803</v>
      </c>
      <c r="L352" s="263">
        <f>IFERROR(L354+L357,0)</f>
        <v>10961.75</v>
      </c>
      <c r="M352" s="263">
        <f>IFERROR(M354+M357,0)</f>
        <v>10961.75</v>
      </c>
      <c r="N352" s="263">
        <f>IFERROR(N354+N357,0)</f>
        <v>11262.112</v>
      </c>
      <c r="O352" s="263">
        <f>IFERROR(O354+O357,0)</f>
        <v>11726.701</v>
      </c>
      <c r="P352" s="263">
        <f>IFERROR(P354+P357,0)</f>
        <v>12085.909</v>
      </c>
      <c r="Q352" s="263">
        <f>IFERROR(Q354+Q357,0)</f>
        <v>12660.211</v>
      </c>
      <c r="R352" s="263">
        <f>IFERROR(R354+R357,0)</f>
        <v>12660.211</v>
      </c>
      <c r="S352" s="263">
        <f>IFERROR(S354+S357,0)</f>
        <v>13070.165</v>
      </c>
      <c r="T352" s="263">
        <f>IFERROR(T354+T357,0)</f>
        <v>13557.869</v>
      </c>
      <c r="U352" s="263">
        <f>IFERROR(U354+U357,0)</f>
        <v>13895.564</v>
      </c>
      <c r="V352" s="263">
        <f>IFERROR(V354+V357,0)</f>
        <v>14234.42</v>
      </c>
      <c r="W352" s="263">
        <f>IFERROR(W354+W357,0)</f>
        <v>14234.42</v>
      </c>
      <c r="X352" s="263">
        <f>IFERROR(X354+X357,0)</f>
        <v>14603.509</v>
      </c>
      <c r="Y352" s="263">
        <f>IFERROR(Y354+Y357,0)</f>
        <v>15123.741</v>
      </c>
      <c r="Z352" s="263">
        <f>IFERROR(Z354+Z357,0)</f>
        <v>15338.882</v>
      </c>
      <c r="AA352" s="263">
        <f>IFERROR(AA354+AA357,0)</f>
        <v>15657.101</v>
      </c>
      <c r="AB352" s="263">
        <f>IFERROR(AB354+AB357,0)</f>
        <v>15657.101</v>
      </c>
      <c r="AC352" s="263">
        <f>IFERROR(AC354+AC357,0)</f>
        <v>16795.009</v>
      </c>
      <c r="AD352" s="263">
        <f>IFERROR(AD354+AD357,0)</f>
        <v>17083.911</v>
      </c>
      <c r="AE352" s="263">
        <f>IFERROR(AE354+AE357,0)</f>
        <v>13404.294</v>
      </c>
      <c r="AF352" s="263">
        <f>IFERROR(AF354+AF357,0)</f>
        <v>14130.265</v>
      </c>
      <c r="AG352" s="263">
        <f>IFERROR(AG354+AG357,0)</f>
        <v>14130.265</v>
      </c>
      <c r="AH352" s="263">
        <f>IFERROR(AH354+AH357,0)</f>
        <v>14619.675</v>
      </c>
      <c r="AI352" s="263">
        <f>IFERROR(AI354+AI357,0)</f>
        <v>14689.43</v>
      </c>
      <c r="AJ352" s="263">
        <f>IFERROR(AJ354+AJ357,0)</f>
        <v>14701.607721427</v>
      </c>
      <c r="AK352" s="263">
        <f>IFERROR(AK354+AK357,0)</f>
        <v>14743.5063691624</v>
      </c>
      <c r="AL352" s="263">
        <f>IFERROR(AL354+AL357,0)</f>
        <v>14743.5063691624</v>
      </c>
      <c r="AM352" s="263">
        <f>IFERROR(AM354+AM357,0)</f>
        <v>14790.9997193598</v>
      </c>
      <c r="AN352" s="263">
        <f>IFERROR(AN354+AN357,0)</f>
        <v>14753.3871517721</v>
      </c>
      <c r="AO352" s="263">
        <f>IFERROR(AO354+AO357,0)</f>
        <v>14750.6881440468</v>
      </c>
      <c r="AP352" s="263">
        <f>IFERROR(AP354+AP357,0)</f>
        <v>14793.1805261394</v>
      </c>
      <c r="AQ352" s="263">
        <f>IFERROR(AQ354+AQ357,0)</f>
        <v>14793.1805261394</v>
      </c>
      <c r="AR352" s="263">
        <f>IFERROR(AR354+AR357,0)</f>
        <v>14825.6465099308</v>
      </c>
      <c r="AS352" s="263">
        <f>IFERROR(AS354+AS357,0)</f>
        <v>14796.0396982396</v>
      </c>
      <c r="AT352" s="263">
        <f>IFERROR(AT354+AT357,0)</f>
        <v>14791.7074388021</v>
      </c>
      <c r="AU352" s="263">
        <f>IFERROR(AU354+AU357,0)</f>
        <v>14835.3299719372</v>
      </c>
      <c r="AV352" s="263">
        <f>IFERROR(AV354+AV357,0)</f>
        <v>14835.3299719372</v>
      </c>
      <c r="AW352" s="263">
        <f>IFERROR(AW354+AW357,0)</f>
        <v>14875.5872956682</v>
      </c>
      <c r="AX352" s="263">
        <f>IFERROR(AX354+AX357,0)</f>
        <v>14830.4796164405</v>
      </c>
      <c r="AY352" s="263">
        <f>IFERROR(AY354+AY357,0)</f>
        <v>14824.5054743577</v>
      </c>
      <c r="AZ352" s="263">
        <f>IFERROR(AZ354+AZ357,0)</f>
        <v>14869.2030906131</v>
      </c>
      <c r="BA352" s="263">
        <f>IFERROR(BA354+BA357,0)</f>
        <v>14869.2030906131</v>
      </c>
      <c r="BB352" s="263">
        <f>IFERROR(BB354+BB357,0)</f>
        <v>14904.8836511148</v>
      </c>
      <c r="BC352" s="263">
        <f>IFERROR(BC354+BC357,0)</f>
        <v>14856.2188150875</v>
      </c>
      <c r="BD352" s="263">
        <f>IFERROR(BD354+BD357,0)</f>
        <v>14848.7305745358</v>
      </c>
      <c r="BE352" s="263">
        <f>IFERROR(BE354+BE357,0)</f>
        <v>14894.5599823363</v>
      </c>
      <c r="BF352" s="263">
        <f>IFERROR(BF354+BF357,0)</f>
        <v>14894.5599823363</v>
      </c>
      <c r="BG352" s="63" t="n"/>
      <c r="BH352" s="63" t="n"/>
      <c r="BI352" s="63" t="n"/>
      <c r="BJ352" s="63" t="n"/>
      <c r="BL352" s="63" t="n"/>
      <c r="BM352" s="63" t="n"/>
      <c r="BN352" s="63" t="n"/>
      <c r="BO352" s="63" t="n"/>
      <c r="BQ352" s="63" t="n"/>
      <c r="BR352" s="63" t="n"/>
      <c r="BS352" s="63" t="n"/>
      <c r="BT352" s="63" t="n"/>
      <c r="BV352" s="63" t="n"/>
      <c r="BW352" s="63" t="n"/>
      <c r="BX352" s="63" t="n"/>
      <c r="BY352" s="63" t="n"/>
      <c r="CA352" s="63" t="n"/>
      <c r="CB352" s="63" t="n"/>
      <c r="CC352" s="63" t="n"/>
      <c r="CD352" s="63" t="n"/>
      <c r="CF352" s="63" t="n"/>
      <c r="CG352" s="63" t="n"/>
      <c r="CH352" s="63" t="n"/>
      <c r="CI352" s="63" t="n"/>
      <c r="CK352" s="63" t="n"/>
      <c r="CL352" s="63" t="n"/>
      <c r="CM352" s="63" t="n"/>
      <c r="CN352" s="63" t="n"/>
      <c r="CP352" s="63" t="n"/>
      <c r="CQ352" s="63" t="n"/>
      <c r="CR352" s="63" t="n"/>
      <c r="CS352" s="63" t="n"/>
      <c r="CU352" s="63" t="n"/>
      <c r="CV352" s="63" t="n"/>
      <c r="CW352" s="63" t="n"/>
      <c r="CX352" s="63" t="n"/>
    </row>
    <row r="353" customFormat="1" s="77">
      <c r="A353" s="76" t="n"/>
      <c r="B353" s="76" t="n"/>
      <c r="C353" s="77" t="inlineStr">
        <is>
          <t>INVESTED CAPITAL - EX GOODWILL</t>
        </is>
      </c>
      <c r="D353" s="89">
        <f>IFERROR(D352-D181,"")</f>
        <v>0</v>
      </c>
      <c r="E353" s="89">
        <f>IFERROR(E352-E181,"")</f>
        <v>0</v>
      </c>
      <c r="F353" s="89">
        <f>IFERROR(F352-F181,"")</f>
        <v>0</v>
      </c>
      <c r="G353" s="89">
        <f>IFERROR(G352-G181,"")</f>
        <v>0</v>
      </c>
      <c r="H353" s="263">
        <f>IFERROR(H352-N(H181),0)</f>
        <v>0</v>
      </c>
      <c r="I353" s="263">
        <f>IFERROR(I352-N(I181),0)</f>
        <v>9964.789</v>
      </c>
      <c r="J353" s="263">
        <f>IFERROR(J352-N(J181),0)</f>
        <v>10355.1</v>
      </c>
      <c r="K353" s="263">
        <f>IFERROR(K352-N(K181),0)</f>
        <v>10562.803</v>
      </c>
      <c r="L353" s="263">
        <f>IFERROR(L352-N(L181),0)</f>
        <v>10961.75</v>
      </c>
      <c r="M353" s="263">
        <f>IFERROR(M352-N(M181),0)</f>
        <v>10961.75</v>
      </c>
      <c r="N353" s="263">
        <f>IFERROR(N352-N(N181),0)</f>
        <v>11262.112</v>
      </c>
      <c r="O353" s="263">
        <f>IFERROR(O352-N(O181),0)</f>
        <v>11726.701</v>
      </c>
      <c r="P353" s="263">
        <f>IFERROR(P352-N(P181),0)</f>
        <v>12085.909</v>
      </c>
      <c r="Q353" s="263">
        <f>IFERROR(Q352-N(Q181),0)</f>
        <v>12660.211</v>
      </c>
      <c r="R353" s="263">
        <f>IFERROR(R352-N(R181),0)</f>
        <v>12660.211</v>
      </c>
      <c r="S353" s="263">
        <f>IFERROR(S352-N(S181),0)</f>
        <v>13070.165</v>
      </c>
      <c r="T353" s="263">
        <f>IFERROR(T352-N(T181),0)</f>
        <v>13557.869</v>
      </c>
      <c r="U353" s="263">
        <f>IFERROR(U352-N(U181),0)</f>
        <v>13895.564</v>
      </c>
      <c r="V353" s="263">
        <f>IFERROR(V352-N(V181),0)</f>
        <v>14234.42</v>
      </c>
      <c r="W353" s="263">
        <f>IFERROR(W352-N(W181),0)</f>
        <v>14234.42</v>
      </c>
      <c r="X353" s="263">
        <f>IFERROR(X352-N(X181),0)</f>
        <v>14603.509</v>
      </c>
      <c r="Y353" s="263">
        <f>IFERROR(Y352-N(Y181),0)</f>
        <v>15123.741</v>
      </c>
      <c r="Z353" s="263">
        <f>IFERROR(Z352-N(Z181),0)</f>
        <v>15338.882</v>
      </c>
      <c r="AA353" s="263">
        <f>IFERROR(AA352-N(AA181),0)</f>
        <v>15657.101</v>
      </c>
      <c r="AB353" s="263">
        <f>IFERROR(AB352-N(AB181),0)</f>
        <v>15657.101</v>
      </c>
      <c r="AC353" s="263">
        <f>IFERROR(AC352-N(AC181),0)</f>
        <v>16795.009</v>
      </c>
      <c r="AD353" s="263">
        <f>IFERROR(AD352-N(AD181),0)</f>
        <v>17083.911</v>
      </c>
      <c r="AE353" s="263">
        <f>IFERROR(AE352-N(AE181),0)</f>
        <v>13404.294</v>
      </c>
      <c r="AF353" s="263">
        <f>IFERROR(AF352-N(AF181),0)</f>
        <v>14130.265</v>
      </c>
      <c r="AG353" s="263">
        <f>IFERROR(AG352-N(AG181),0)</f>
        <v>14130.265</v>
      </c>
      <c r="AH353" s="263">
        <f>IFERROR(AH352-N(AH181),0)</f>
        <v>14619.675</v>
      </c>
      <c r="AI353" s="263">
        <f>IFERROR(AI352-N(AI181),0)</f>
        <v>14689.43</v>
      </c>
      <c r="AJ353" s="263">
        <f>IFERROR(AJ352-N(AJ181),0)</f>
        <v>14701.607721427</v>
      </c>
      <c r="AK353" s="263">
        <f>IFERROR(AK352-N(AK181),0)</f>
        <v>14743.5063691624</v>
      </c>
      <c r="AL353" s="263">
        <f>IFERROR(AL352-N(AL181),0)</f>
        <v>14743.5063691624</v>
      </c>
      <c r="AM353" s="263">
        <f>IFERROR(AM352-N(AM181),0)</f>
        <v>14790.9997193598</v>
      </c>
      <c r="AN353" s="263">
        <f>IFERROR(AN352-N(AN181),0)</f>
        <v>14753.3871517721</v>
      </c>
      <c r="AO353" s="263">
        <f>IFERROR(AO352-N(AO181),0)</f>
        <v>14750.6881440468</v>
      </c>
      <c r="AP353" s="263">
        <f>IFERROR(AP352-N(AP181),0)</f>
        <v>14793.1805261394</v>
      </c>
      <c r="AQ353" s="263">
        <f>IFERROR(AQ352-N(AQ181),0)</f>
        <v>14793.1805261394</v>
      </c>
      <c r="AR353" s="263">
        <f>IFERROR(AR352-N(AR181),0)</f>
        <v>14825.6465099308</v>
      </c>
      <c r="AS353" s="263">
        <f>IFERROR(AS352-N(AS181),0)</f>
        <v>14796.0396982396</v>
      </c>
      <c r="AT353" s="263">
        <f>IFERROR(AT352-N(AT181),0)</f>
        <v>14791.7074388021</v>
      </c>
      <c r="AU353" s="263">
        <f>IFERROR(AU352-N(AU181),0)</f>
        <v>14835.3299719372</v>
      </c>
      <c r="AV353" s="263">
        <f>IFERROR(AV352-N(AV181),0)</f>
        <v>14835.3299719372</v>
      </c>
      <c r="AW353" s="263">
        <f>IFERROR(AW352-N(AW181),0)</f>
        <v>14875.5872956682</v>
      </c>
      <c r="AX353" s="263">
        <f>IFERROR(AX352-N(AX181),0)</f>
        <v>14830.4796164405</v>
      </c>
      <c r="AY353" s="263">
        <f>IFERROR(AY352-N(AY181),0)</f>
        <v>14824.5054743577</v>
      </c>
      <c r="AZ353" s="263">
        <f>IFERROR(AZ352-N(AZ181),0)</f>
        <v>14869.2030906131</v>
      </c>
      <c r="BA353" s="263">
        <f>IFERROR(BA352-N(BA181),0)</f>
        <v>14869.2030906131</v>
      </c>
      <c r="BB353" s="263">
        <f>IFERROR(BB352-N(BB181),0)</f>
        <v>14904.8836511148</v>
      </c>
      <c r="BC353" s="263">
        <f>IFERROR(BC352-N(BC181),0)</f>
        <v>14856.2188150875</v>
      </c>
      <c r="BD353" s="263">
        <f>IFERROR(BD352-N(BD181),0)</f>
        <v>14848.7305745358</v>
      </c>
      <c r="BE353" s="263">
        <f>IFERROR(BE352-N(BE181),0)</f>
        <v>14894.5599823363</v>
      </c>
      <c r="BF353" s="263">
        <f>IFERROR(BF352-N(BF181),0)</f>
        <v>14894.5599823363</v>
      </c>
      <c r="BG353" s="90" t="n"/>
      <c r="BH353" s="90" t="n"/>
      <c r="BI353" s="90" t="n"/>
      <c r="BJ353" s="90" t="n"/>
      <c r="BL353" s="90" t="n"/>
      <c r="BM353" s="90" t="n"/>
      <c r="BN353" s="90" t="n"/>
      <c r="BO353" s="90" t="n"/>
      <c r="BQ353" s="90" t="n"/>
      <c r="BR353" s="90" t="n"/>
      <c r="BS353" s="90" t="n"/>
      <c r="BT353" s="90" t="n"/>
      <c r="BV353" s="90" t="n"/>
      <c r="BW353" s="90" t="n"/>
      <c r="BX353" s="90" t="n"/>
      <c r="BY353" s="90" t="n"/>
      <c r="CA353" s="90" t="n"/>
      <c r="CB353" s="90" t="n"/>
      <c r="CC353" s="90" t="n"/>
      <c r="CD353" s="90" t="n"/>
      <c r="CF353" s="90" t="n"/>
      <c r="CG353" s="90" t="n"/>
      <c r="CH353" s="90" t="n"/>
      <c r="CI353" s="90" t="n"/>
      <c r="CK353" s="90" t="n"/>
      <c r="CL353" s="90" t="n"/>
      <c r="CM353" s="90" t="n"/>
      <c r="CN353" s="90" t="n"/>
      <c r="CP353" s="90" t="n"/>
      <c r="CQ353" s="90" t="n"/>
      <c r="CR353" s="90" t="n"/>
      <c r="CS353" s="90" t="n"/>
      <c r="CU353" s="90" t="n"/>
      <c r="CV353" s="90" t="n"/>
      <c r="CW353" s="90" t="n"/>
      <c r="CX353" s="90" t="n"/>
    </row>
    <row r="354" customFormat="1" s="77">
      <c r="A354" s="76" t="n"/>
      <c r="B354" s="76" t="n"/>
      <c r="C354" s="77" t="inlineStr">
        <is>
          <t>OPERATING WORKING CAPITAL</t>
        </is>
      </c>
      <c r="D354" s="91">
        <f>IFERROR(D355-D356,"")</f>
        <v>0</v>
      </c>
      <c r="E354" s="91">
        <f>IFERROR(E355-E356,"")</f>
        <v>0</v>
      </c>
      <c r="F354" s="91">
        <f>IFERROR(F355-F356,"")</f>
        <v>0</v>
      </c>
      <c r="G354" s="91">
        <f>IFERROR(G355-G356,"")</f>
        <v>0</v>
      </c>
      <c r="H354" s="263">
        <f>IFERROR(H355-H356,0)</f>
        <v>0</v>
      </c>
      <c r="I354" s="263">
        <f>IFERROR(I355-I356,0)</f>
        <v>701.6</v>
      </c>
      <c r="J354" s="263">
        <f>IFERROR(J355-J356,0)</f>
        <v>866.407</v>
      </c>
      <c r="K354" s="263">
        <f>IFERROR(K355-K356,0)</f>
        <v>775.003</v>
      </c>
      <c r="L354" s="263">
        <f>IFERROR(L355-L356,0)</f>
        <v>778.491</v>
      </c>
      <c r="M354" s="263">
        <f>IFERROR(M355-M356,0)</f>
        <v>778.491</v>
      </c>
      <c r="N354" s="263">
        <f>IFERROR(N355-N356,0)</f>
        <v>822.584</v>
      </c>
      <c r="O354" s="263">
        <f>IFERROR(O355-O356,0)</f>
        <v>1010.784</v>
      </c>
      <c r="P354" s="263">
        <f>IFERROR(P355-P356,0)</f>
        <v>947.849</v>
      </c>
      <c r="Q354" s="263">
        <f>IFERROR(Q355-Q356,0)</f>
        <v>894.764</v>
      </c>
      <c r="R354" s="263">
        <f>IFERROR(R355-R356,0)</f>
        <v>894.764</v>
      </c>
      <c r="S354" s="263">
        <f>IFERROR(S355-S356,0)</f>
        <v>997.973</v>
      </c>
      <c r="T354" s="263">
        <f>IFERROR(T355-T356,0)</f>
        <v>1063.711</v>
      </c>
      <c r="U354" s="263">
        <f>IFERROR(U355-U356,0)</f>
        <v>938.363</v>
      </c>
      <c r="V354" s="263">
        <f>IFERROR(V355-V356,0)</f>
        <v>1021.114</v>
      </c>
      <c r="W354" s="263">
        <f>IFERROR(W355-W356,0)</f>
        <v>1021.114</v>
      </c>
      <c r="X354" s="263">
        <f>IFERROR(X355-X356,0)</f>
        <v>1047.243</v>
      </c>
      <c r="Y354" s="263">
        <f>IFERROR(Y355-Y356,0)</f>
        <v>1231.321</v>
      </c>
      <c r="Z354" s="263">
        <f>IFERROR(Z355-Z356,0)</f>
        <v>1044.47</v>
      </c>
      <c r="AA354" s="263">
        <f>IFERROR(AA355-AA356,0)</f>
        <v>1016.758</v>
      </c>
      <c r="AB354" s="263">
        <f>IFERROR(AB355-AB356,0)</f>
        <v>1016.758</v>
      </c>
      <c r="AC354" s="263">
        <f>IFERROR(AC355-AC356,0)</f>
        <v>870.579</v>
      </c>
      <c r="AD354" s="263">
        <f>IFERROR(AD355-AD356,0)</f>
        <v>988.656</v>
      </c>
      <c r="AE354" s="263">
        <f>IFERROR(AE355-AE356,0)</f>
        <v>-2369.738</v>
      </c>
      <c r="AF354" s="263">
        <f>IFERROR(AF355-AF356,0)</f>
        <v>-2472.324</v>
      </c>
      <c r="AG354" s="263">
        <f>IFERROR(AG355-AG356,0)</f>
        <v>-2472.324</v>
      </c>
      <c r="AH354" s="263">
        <f>IFERROR(AH355-AH356,0)</f>
        <v>-2526.458</v>
      </c>
      <c r="AI354" s="263">
        <f>IFERROR(AI355-AI356,0)</f>
        <v>363.064</v>
      </c>
      <c r="AJ354" s="263">
        <f>IFERROR(AJ355-AJ356,0)</f>
        <v>368.017852769151</v>
      </c>
      <c r="AK354" s="263">
        <f>IFERROR(AK355-AK356,0)</f>
        <v>402.345162263263</v>
      </c>
      <c r="AL354" s="263">
        <f>IFERROR(AL355-AL356,0)</f>
        <v>402.345162263263</v>
      </c>
      <c r="AM354" s="263">
        <f>IFERROR(AM355-AM356,0)</f>
        <v>442.045345594735</v>
      </c>
      <c r="AN354" s="263">
        <f>IFERROR(AN355-AN356,0)</f>
        <v>396.820567114913</v>
      </c>
      <c r="AO354" s="263">
        <f>IFERROR(AO355-AO356,0)</f>
        <v>386.415304635267</v>
      </c>
      <c r="AP354" s="263">
        <f>IFERROR(AP355-AP356,0)</f>
        <v>420.830759518405</v>
      </c>
      <c r="AQ354" s="263">
        <f>IFERROR(AQ355-AQ356,0)</f>
        <v>420.830759518405</v>
      </c>
      <c r="AR354" s="263">
        <f>IFERROR(AR355-AR356,0)</f>
        <v>445.02214032714</v>
      </c>
      <c r="AS354" s="263">
        <f>IFERROR(AS355-AS356,0)</f>
        <v>407.332860489601</v>
      </c>
      <c r="AT354" s="263">
        <f>IFERROR(AT355-AT356,0)</f>
        <v>394.818279324177</v>
      </c>
      <c r="AU354" s="263">
        <f>IFERROR(AU355-AU356,0)</f>
        <v>429.864919356006</v>
      </c>
      <c r="AV354" s="263">
        <f>IFERROR(AV355-AV356,0)</f>
        <v>429.864919356006</v>
      </c>
      <c r="AW354" s="263">
        <f>IFERROR(AW355-AW356,0)</f>
        <v>461.377835468756</v>
      </c>
      <c r="AX354" s="263">
        <f>IFERROR(AX355-AX356,0)</f>
        <v>407.728792240738</v>
      </c>
      <c r="AY354" s="263">
        <f>IFERROR(AY355-AY356,0)</f>
        <v>393.107763219408</v>
      </c>
      <c r="AZ354" s="263">
        <f>IFERROR(AZ355-AZ356,0)</f>
        <v>428.74257547784</v>
      </c>
      <c r="BA354" s="263">
        <f>IFERROR(BA355-BA356,0)</f>
        <v>428.74257547784</v>
      </c>
      <c r="BB354" s="263">
        <f>IFERROR(BB355-BB356,0)</f>
        <v>455.225971807869</v>
      </c>
      <c r="BC354" s="263">
        <f>IFERROR(BC355-BC356,0)</f>
        <v>397.57752815492</v>
      </c>
      <c r="BD354" s="263">
        <f>IFERROR(BD355-BD356,0)</f>
        <v>380.994693410103</v>
      </c>
      <c r="BE354" s="263">
        <f>IFERROR(BE355-BE356,0)</f>
        <v>417.292055147015</v>
      </c>
      <c r="BF354" s="263">
        <f>IFERROR(BF355-BF356,0)</f>
        <v>417.292055147015</v>
      </c>
      <c r="BG354" s="63" t="n"/>
      <c r="BH354" s="63" t="n"/>
      <c r="BI354" s="63" t="n"/>
      <c r="BJ354" s="63" t="n"/>
      <c r="BL354" s="63" t="n"/>
      <c r="BM354" s="63" t="n"/>
      <c r="BN354" s="63" t="n"/>
      <c r="BO354" s="63" t="n"/>
      <c r="BQ354" s="63" t="n"/>
      <c r="BR354" s="63" t="n"/>
      <c r="BS354" s="63" t="n"/>
      <c r="BT354" s="63" t="n"/>
      <c r="BV354" s="63" t="n"/>
      <c r="BW354" s="63" t="n"/>
      <c r="BX354" s="63" t="n"/>
      <c r="BY354" s="63" t="n"/>
      <c r="CA354" s="63" t="n"/>
      <c r="CB354" s="63" t="n"/>
      <c r="CC354" s="63" t="n"/>
      <c r="CD354" s="63" t="n"/>
      <c r="CF354" s="63" t="n"/>
      <c r="CG354" s="63" t="n"/>
      <c r="CH354" s="63" t="n"/>
      <c r="CI354" s="63" t="n"/>
      <c r="CK354" s="63" t="n"/>
      <c r="CL354" s="63" t="n"/>
      <c r="CM354" s="63" t="n"/>
      <c r="CN354" s="63" t="n"/>
      <c r="CP354" s="63" t="n"/>
      <c r="CQ354" s="63" t="n"/>
      <c r="CR354" s="63" t="n"/>
      <c r="CS354" s="63" t="n"/>
      <c r="CU354" s="63" t="n"/>
      <c r="CV354" s="63" t="n"/>
      <c r="CW354" s="63" t="n"/>
      <c r="CX354" s="63" t="n"/>
    </row>
    <row r="355" customFormat="1" s="77">
      <c r="A355" s="76" t="n"/>
      <c r="B355" s="76" t="n"/>
      <c r="C355" s="77" t="inlineStr">
        <is>
          <t>CURRENT ASSETS (OPERATING, EX CASH)</t>
        </is>
      </c>
      <c r="D355" s="89">
        <f>IFERROR(D147+D151+D155+D156+D157,"")</f>
        <v>0</v>
      </c>
      <c r="E355" s="89">
        <f>IFERROR(E147+E151+E155+E156+E157,"")</f>
        <v>0</v>
      </c>
      <c r="F355" s="89">
        <f>IFERROR(F147+F151+F155+F156+F157,"")</f>
        <v>0</v>
      </c>
      <c r="G355" s="89">
        <f>IFERROR(G147+G151+G155+G156+G157,"")</f>
        <v>0</v>
      </c>
      <c r="H355" s="263">
        <f>IFERROR((N(H147)+N(H151)+N(H155)+N(H156)+N(H157)),0)</f>
        <v>0</v>
      </c>
      <c r="I355" s="263">
        <f>IFERROR((N(I147)+N(I151)+N(I155)+N(I156)+N(I157)),0)</f>
        <v>1613.896</v>
      </c>
      <c r="J355" s="263">
        <f>IFERROR((N(J147)+N(J151)+N(J155)+N(J156)+N(J157)),0)</f>
        <v>1653.575</v>
      </c>
      <c r="K355" s="263">
        <f>IFERROR((N(K147)+N(K151)+N(K155)+N(K156)+N(K157)),0)</f>
        <v>1716.903</v>
      </c>
      <c r="L355" s="263">
        <f>IFERROR((N(L147)+N(L151)+N(L155)+N(L156)+N(L157)),0)</f>
        <v>1767.982</v>
      </c>
      <c r="M355" s="263">
        <f>IFERROR((N(M147)+N(M151)+N(M155)+N(M156)+N(M157)),0)</f>
        <v>1767.982</v>
      </c>
      <c r="N355" s="263">
        <f>IFERROR((N(N147)+N(N151)+N(N155)+N(N156)+N(N157)),0)</f>
        <v>1849.636</v>
      </c>
      <c r="O355" s="263">
        <f>IFERROR((N(O147)+N(O151)+N(O155)+N(O156)+N(O157)),0)</f>
        <v>1895.786</v>
      </c>
      <c r="P355" s="263">
        <f>IFERROR((N(P147)+N(P151)+N(P155)+N(P156)+N(P157)),0)</f>
        <v>1933.862</v>
      </c>
      <c r="Q355" s="263">
        <f>IFERROR((N(Q147)+N(Q151)+N(Q155)+N(Q156)+N(Q157)),0)</f>
        <v>1948.771</v>
      </c>
      <c r="R355" s="263">
        <f>IFERROR((N(R147)+N(R151)+N(R155)+N(R156)+N(R157)),0)</f>
        <v>1948.771</v>
      </c>
      <c r="S355" s="263">
        <f>IFERROR((N(S147)+N(S151)+N(S155)+N(S156)+N(S157)),0)</f>
        <v>2053.653</v>
      </c>
      <c r="T355" s="263">
        <f>IFERROR((N(T147)+N(T151)+N(T155)+N(T156)+N(T157)),0)</f>
        <v>2181.654</v>
      </c>
      <c r="U355" s="263">
        <f>IFERROR((N(U147)+N(U151)+N(U155)+N(U156)+N(U157)),0)</f>
        <v>2181.419</v>
      </c>
      <c r="V355" s="263">
        <f>IFERROR((N(V147)+N(V151)+N(V155)+N(V156)+N(V157)),0)</f>
        <v>2320.09</v>
      </c>
      <c r="W355" s="263">
        <f>IFERROR((N(W147)+N(W151)+N(W155)+N(W156)+N(W157)),0)</f>
        <v>2320.09</v>
      </c>
      <c r="X355" s="263">
        <f>IFERROR((N(X147)+N(X151)+N(X155)+N(X156)+N(X157)),0)</f>
        <v>2388.389</v>
      </c>
      <c r="Y355" s="263">
        <f>IFERROR((N(Y147)+N(Y151)+N(Y155)+N(Y156)+N(Y157)),0)</f>
        <v>2494.477</v>
      </c>
      <c r="Z355" s="263">
        <f>IFERROR((N(Z147)+N(Z151)+N(Z155)+N(Z156)+N(Z157)),0)</f>
        <v>2378.189</v>
      </c>
      <c r="AA355" s="263">
        <f>IFERROR((N(AA147)+N(AA151)+N(AA155)+N(AA156)+N(AA157)),0)</f>
        <v>2282.548</v>
      </c>
      <c r="AB355" s="263">
        <f>IFERROR((N(AB147)+N(AB151)+N(AB155)+N(AB156)+N(AB157)),0)</f>
        <v>2282.548</v>
      </c>
      <c r="AC355" s="263">
        <f>IFERROR((N(AC147)+N(AC151)+N(AC155)+N(AC156)+N(AC157)),0)</f>
        <v>2459.78</v>
      </c>
      <c r="AD355" s="263">
        <f>IFERROR((N(AD147)+N(AD151)+N(AD155)+N(AD156)+N(AD157)),0)</f>
        <v>2562.17</v>
      </c>
      <c r="AE355" s="263">
        <f>IFERROR((N(AE147)+N(AE151)+N(AE155)+N(AE156)+N(AE157)),0)</f>
        <v>2554.685</v>
      </c>
      <c r="AF355" s="263">
        <f>IFERROR((N(AF147)+N(AF151)+N(AF155)+N(AF156)+N(AF157)),0)</f>
        <v>2555.095</v>
      </c>
      <c r="AG355" s="263">
        <f>IFERROR((N(AG147)+N(AG151)+N(AG155)+N(AG156)+N(AG157)),0)</f>
        <v>2555.095</v>
      </c>
      <c r="AH355" s="263">
        <f>IFERROR((N(AH147)+N(AH151)+N(AH155)+N(AH156)+N(AH157)),0)</f>
        <v>2595.011</v>
      </c>
      <c r="AI355" s="263">
        <f>IFERROR((N(AI147)+N(AI151)+N(AI155)+N(AI156)+N(AI157)),0)</f>
        <v>2522.129</v>
      </c>
      <c r="AJ355" s="263">
        <f>IFERROR((N(AJ147)+N(AJ151)+N(AJ155)+N(AJ156)+N(AJ157)),0)</f>
        <v>2579.16337592208</v>
      </c>
      <c r="AK355" s="263">
        <f>IFERROR((N(AK147)+N(AK151)+N(AK155)+N(AK156)+N(AK157)),0)</f>
        <v>2642.93941142087</v>
      </c>
      <c r="AL355" s="263">
        <f>IFERROR((N(AL147)+N(AL151)+N(AL155)+N(AL156)+N(AL157)),0)</f>
        <v>2642.93941142087</v>
      </c>
      <c r="AM355" s="263">
        <f>IFERROR((N(AM147)+N(AM151)+N(AM155)+N(AM156)+N(AM157)),0)</f>
        <v>2715.4412361006</v>
      </c>
      <c r="AN355" s="263">
        <f>IFERROR((N(AN147)+N(AN151)+N(AN155)+N(AN156)+N(AN157)),0)</f>
        <v>2665.79494770169</v>
      </c>
      <c r="AO355" s="263">
        <f>IFERROR((N(AO147)+N(AO151)+N(AO155)+N(AO156)+N(AO157)),0)</f>
        <v>2667.70255827381</v>
      </c>
      <c r="AP355" s="263">
        <f>IFERROR((N(AP147)+N(AP151)+N(AP155)+N(AP156)+N(AP157)),0)</f>
        <v>2735.73734684183</v>
      </c>
      <c r="AQ355" s="263">
        <f>IFERROR((N(AQ147)+N(AQ151)+N(AQ155)+N(AQ156)+N(AQ157)),0)</f>
        <v>2735.73734684183</v>
      </c>
      <c r="AR355" s="263">
        <f>IFERROR((N(AR147)+N(AR151)+N(AR155)+N(AR156)+N(AR157)),0)</f>
        <v>2788.70921540679</v>
      </c>
      <c r="AS355" s="263">
        <f>IFERROR((N(AS147)+N(AS151)+N(AS155)+N(AS156)+N(AS157)),0)</f>
        <v>2753.05644563054</v>
      </c>
      <c r="AT355" s="263">
        <f>IFERROR((N(AT147)+N(AT151)+N(AT155)+N(AT156)+N(AT157)),0)</f>
        <v>2755.08190208508</v>
      </c>
      <c r="AU355" s="263">
        <f>IFERROR((N(AU147)+N(AU151)+N(AU155)+N(AU156)+N(AU157)),0)</f>
        <v>2827.31965524753</v>
      </c>
      <c r="AV355" s="263">
        <f>IFERROR((N(AV147)+N(AV151)+N(AV155)+N(AV156)+N(AV157)),0)</f>
        <v>2827.31965524753</v>
      </c>
      <c r="AW355" s="263">
        <f>IFERROR((N(AW147)+N(AW151)+N(AW155)+N(AW156)+N(AW157)),0)</f>
        <v>2893.9158662556</v>
      </c>
      <c r="AX355" s="263">
        <f>IFERROR((N(AX147)+N(AX151)+N(AX155)+N(AX156)+N(AX157)),0)</f>
        <v>2838.20970854551</v>
      </c>
      <c r="AY355" s="263">
        <f>IFERROR((N(AY147)+N(AY151)+N(AY155)+N(AY156)+N(AY157)),0)</f>
        <v>2840.35016372971</v>
      </c>
      <c r="AZ355" s="263">
        <f>IFERROR((N(AZ147)+N(AZ151)+N(AZ155)+N(AZ156)+N(AZ157)),0)</f>
        <v>2916.68933799569</v>
      </c>
      <c r="BA355" s="263">
        <f>IFERROR((N(BA147)+N(BA151)+N(BA155)+N(BA156)+N(BA157)),0)</f>
        <v>2916.68933799569</v>
      </c>
      <c r="BB355" s="263">
        <f>IFERROR((N(BB147)+N(BB151)+N(BB155)+N(BB156)+N(BB157)),0)</f>
        <v>2978.86340264024</v>
      </c>
      <c r="BC355" s="263">
        <f>IFERROR((N(BC147)+N(BC151)+N(BC155)+N(BC156)+N(BC157)),0)</f>
        <v>2920.27296401946</v>
      </c>
      <c r="BD355" s="263">
        <f>IFERROR((N(BD147)+N(BD151)+N(BD155)+N(BD156)+N(BD157)),0)</f>
        <v>2922.52424490555</v>
      </c>
      <c r="BE355" s="263">
        <f>IFERROR((N(BE147)+N(BE151)+N(BE155)+N(BE156)+N(BE157)),0)</f>
        <v>3002.81600955156</v>
      </c>
      <c r="BF355" s="263">
        <f>IFERROR((N(BF147)+N(BF151)+N(BF155)+N(BF156)+N(BF157)),0)</f>
        <v>3002.81600955156</v>
      </c>
      <c r="BG355" s="90" t="n"/>
      <c r="BH355" s="90" t="n"/>
      <c r="BI355" s="90" t="n"/>
      <c r="BJ355" s="90" t="n"/>
      <c r="BL355" s="90" t="n"/>
      <c r="BM355" s="90" t="n"/>
      <c r="BN355" s="90" t="n"/>
      <c r="BO355" s="90" t="n"/>
      <c r="BQ355" s="90" t="n"/>
      <c r="BR355" s="90" t="n"/>
      <c r="BS355" s="90" t="n"/>
      <c r="BT355" s="90" t="n"/>
      <c r="BV355" s="90" t="n"/>
      <c r="BW355" s="90" t="n"/>
      <c r="BX355" s="90" t="n"/>
      <c r="BY355" s="90" t="n"/>
      <c r="CA355" s="90" t="n"/>
      <c r="CB355" s="90" t="n"/>
      <c r="CC355" s="90" t="n"/>
      <c r="CD355" s="90" t="n"/>
      <c r="CF355" s="90" t="n"/>
      <c r="CG355" s="90" t="n"/>
      <c r="CH355" s="90" t="n"/>
      <c r="CI355" s="90" t="n"/>
      <c r="CK355" s="90" t="n"/>
      <c r="CL355" s="90" t="n"/>
      <c r="CM355" s="90" t="n"/>
      <c r="CN355" s="90" t="n"/>
      <c r="CP355" s="90" t="n"/>
      <c r="CQ355" s="90" t="n"/>
      <c r="CR355" s="90" t="n"/>
      <c r="CS355" s="90" t="n"/>
      <c r="CU355" s="90" t="n"/>
      <c r="CV355" s="90" t="n"/>
      <c r="CW355" s="90" t="n"/>
      <c r="CX355" s="90" t="n"/>
    </row>
    <row r="356" customFormat="1" s="77">
      <c r="A356" s="76" t="n"/>
      <c r="B356" s="76" t="n"/>
      <c r="C356" s="77" t="inlineStr">
        <is>
          <t>CURRENT LIABILITIES (OPERATING, EX DEBT)</t>
        </is>
      </c>
      <c r="D356" s="89">
        <f>IFERROR(D200+D204+D206+D207,"")</f>
        <v>0</v>
      </c>
      <c r="E356" s="89">
        <f>IFERROR(E200+E204+E206+E207,"")</f>
        <v>0</v>
      </c>
      <c r="F356" s="89">
        <f>IFERROR(F200+F204+F206+F207,"")</f>
        <v>0</v>
      </c>
      <c r="G356" s="89">
        <f>IFERROR(G200+G204+G206+G207,"")</f>
        <v>0</v>
      </c>
      <c r="H356" s="263">
        <f>IFERROR((N(H200)+N(H204)+N(H206)+N(H207)),0)</f>
        <v>0</v>
      </c>
      <c r="I356" s="263">
        <f>IFERROR((N(I200)+N(I204)+N(I206)+N(I207)),0)</f>
        <v>912.296</v>
      </c>
      <c r="J356" s="263">
        <f>IFERROR((N(J200)+N(J204)+N(J206)+N(J207)),0)</f>
        <v>787.168</v>
      </c>
      <c r="K356" s="263">
        <f>IFERROR((N(K200)+N(K204)+N(K206)+N(K207)),0)</f>
        <v>941.9</v>
      </c>
      <c r="L356" s="263">
        <f>IFERROR((N(L200)+N(L204)+N(L206)+N(L207)),0)</f>
        <v>989.491</v>
      </c>
      <c r="M356" s="263">
        <f>IFERROR((N(M200)+N(M204)+N(M206)+N(M207)),0)</f>
        <v>989.491</v>
      </c>
      <c r="N356" s="263">
        <f>IFERROR((N(N200)+N(N204)+N(N206)+N(N207)),0)</f>
        <v>1027.052</v>
      </c>
      <c r="O356" s="263">
        <f>IFERROR((N(O200)+N(O204)+N(O206)+N(O207)),0)</f>
        <v>885.002</v>
      </c>
      <c r="P356" s="263">
        <f>IFERROR((N(P200)+N(P204)+N(P206)+N(P207)),0)</f>
        <v>986.013</v>
      </c>
      <c r="Q356" s="263">
        <f>IFERROR((N(Q200)+N(Q204)+N(Q206)+N(Q207)),0)</f>
        <v>1054.007</v>
      </c>
      <c r="R356" s="263">
        <f>IFERROR((N(R200)+N(R204)+N(R206)+N(R207)),0)</f>
        <v>1054.007</v>
      </c>
      <c r="S356" s="263">
        <f>IFERROR((N(S200)+N(S204)+N(S206)+N(S207)),0)</f>
        <v>1055.68</v>
      </c>
      <c r="T356" s="263">
        <f>IFERROR((N(T200)+N(T204)+N(T206)+N(T207)),0)</f>
        <v>1117.943</v>
      </c>
      <c r="U356" s="263">
        <f>IFERROR((N(U200)+N(U204)+N(U206)+N(U207)),0)</f>
        <v>1243.056</v>
      </c>
      <c r="V356" s="263">
        <f>IFERROR((N(V200)+N(V204)+N(V206)+N(V207)),0)</f>
        <v>1298.976</v>
      </c>
      <c r="W356" s="263">
        <f>IFERROR((N(W200)+N(W204)+N(W206)+N(W207)),0)</f>
        <v>1298.976</v>
      </c>
      <c r="X356" s="263">
        <f>IFERROR((N(X200)+N(X204)+N(X206)+N(X207)),0)</f>
        <v>1341.146</v>
      </c>
      <c r="Y356" s="263">
        <f>IFERROR((N(Y200)+N(Y204)+N(Y206)+N(Y207)),0)</f>
        <v>1263.156</v>
      </c>
      <c r="Z356" s="263">
        <f>IFERROR((N(Z200)+N(Z204)+N(Z206)+N(Z207)),0)</f>
        <v>1333.719</v>
      </c>
      <c r="AA356" s="263">
        <f>IFERROR((N(AA200)+N(AA204)+N(AA206)+N(AA207)),0)</f>
        <v>1265.79</v>
      </c>
      <c r="AB356" s="263">
        <f>IFERROR((N(AB200)+N(AB204)+N(AB206)+N(AB207)),0)</f>
        <v>1265.79</v>
      </c>
      <c r="AC356" s="263">
        <f>IFERROR((N(AC200)+N(AC204)+N(AC206)+N(AC207)),0)</f>
        <v>1589.201</v>
      </c>
      <c r="AD356" s="263">
        <f>IFERROR((N(AD200)+N(AD204)+N(AD206)+N(AD207)),0)</f>
        <v>1573.514</v>
      </c>
      <c r="AE356" s="263">
        <f>IFERROR((N(AE200)+N(AE204)+N(AE206)+N(AE207)),0)</f>
        <v>4924.423</v>
      </c>
      <c r="AF356" s="263">
        <f>IFERROR((N(AF200)+N(AF204)+N(AF206)+N(AF207)),0)</f>
        <v>5027.419</v>
      </c>
      <c r="AG356" s="263">
        <f>IFERROR((N(AG200)+N(AG204)+N(AG206)+N(AG207)),0)</f>
        <v>5027.419</v>
      </c>
      <c r="AH356" s="263">
        <f>IFERROR((N(AH200)+N(AH204)+N(AH206)+N(AH207)),0)</f>
        <v>5121.469</v>
      </c>
      <c r="AI356" s="263">
        <f>IFERROR((N(AI200)+N(AI204)+N(AI206)+N(AI207)),0)</f>
        <v>2159.065</v>
      </c>
      <c r="AJ356" s="263">
        <f>IFERROR((N(AJ200)+N(AJ204)+N(AJ206)+N(AJ207)),0)</f>
        <v>2211.14552315293</v>
      </c>
      <c r="AK356" s="263">
        <f>IFERROR((N(AK200)+N(AK204)+N(AK206)+N(AK207)),0)</f>
        <v>2240.59424915761</v>
      </c>
      <c r="AL356" s="263">
        <f>IFERROR((N(AL200)+N(AL204)+N(AL206)+N(AL207)),0)</f>
        <v>2240.59424915761</v>
      </c>
      <c r="AM356" s="263">
        <f>IFERROR((N(AM200)+N(AM204)+N(AM206)+N(AM207)),0)</f>
        <v>2273.39589050586</v>
      </c>
      <c r="AN356" s="263">
        <f>IFERROR((N(AN200)+N(AN204)+N(AN206)+N(AN207)),0)</f>
        <v>2268.97438058678</v>
      </c>
      <c r="AO356" s="263">
        <f>IFERROR((N(AO200)+N(AO204)+N(AO206)+N(AO207)),0)</f>
        <v>2281.28725363854</v>
      </c>
      <c r="AP356" s="263">
        <f>IFERROR((N(AP200)+N(AP204)+N(AP206)+N(AP207)),0)</f>
        <v>2314.90658732343</v>
      </c>
      <c r="AQ356" s="263">
        <f>IFERROR((N(AQ200)+N(AQ204)+N(AQ206)+N(AQ207)),0)</f>
        <v>2314.90658732343</v>
      </c>
      <c r="AR356" s="263">
        <f>IFERROR((N(AR200)+N(AR204)+N(AR206)+N(AR207)),0)</f>
        <v>2343.68707507965</v>
      </c>
      <c r="AS356" s="263">
        <f>IFERROR((N(AS200)+N(AS204)+N(AS206)+N(AS207)),0)</f>
        <v>2345.72358514094</v>
      </c>
      <c r="AT356" s="263">
        <f>IFERROR((N(AT200)+N(AT204)+N(AT206)+N(AT207)),0)</f>
        <v>2360.26362276091</v>
      </c>
      <c r="AU356" s="263">
        <f>IFERROR((N(AU200)+N(AU204)+N(AU206)+N(AU207)),0)</f>
        <v>2397.45473589152</v>
      </c>
      <c r="AV356" s="263">
        <f>IFERROR((N(AV200)+N(AV204)+N(AV206)+N(AV207)),0)</f>
        <v>2397.45473589152</v>
      </c>
      <c r="AW356" s="263">
        <f>IFERROR((N(AW200)+N(AW204)+N(AW206)+N(AW207)),0)</f>
        <v>2432.53803078685</v>
      </c>
      <c r="AX356" s="263">
        <f>IFERROR((N(AX200)+N(AX204)+N(AX206)+N(AX207)),0)</f>
        <v>2430.48091630477</v>
      </c>
      <c r="AY356" s="263">
        <f>IFERROR((N(AY200)+N(AY204)+N(AY206)+N(AY207)),0)</f>
        <v>2447.2424005103</v>
      </c>
      <c r="AZ356" s="263">
        <f>IFERROR((N(AZ200)+N(AZ204)+N(AZ206)+N(AZ207)),0)</f>
        <v>2487.94676251785</v>
      </c>
      <c r="BA356" s="263">
        <f>IFERROR((N(BA200)+N(BA204)+N(BA206)+N(BA207)),0)</f>
        <v>2487.94676251785</v>
      </c>
      <c r="BB356" s="263">
        <f>IFERROR((N(BB200)+N(BB204)+N(BB206)+N(BB207)),0)</f>
        <v>2523.63743083237</v>
      </c>
      <c r="BC356" s="263">
        <f>IFERROR((N(BC200)+N(BC204)+N(BC206)+N(BC207)),0)</f>
        <v>2522.69543586454</v>
      </c>
      <c r="BD356" s="263">
        <f>IFERROR((N(BD200)+N(BD204)+N(BD206)+N(BD207)),0)</f>
        <v>2541.52955149545</v>
      </c>
      <c r="BE356" s="263">
        <f>IFERROR((N(BE200)+N(BE204)+N(BE206)+N(BE207)),0)</f>
        <v>2585.52395440455</v>
      </c>
      <c r="BF356" s="263">
        <f>IFERROR((N(BF200)+N(BF204)+N(BF206)+N(BF207)),0)</f>
        <v>2585.52395440455</v>
      </c>
      <c r="BG356" s="90" t="n"/>
      <c r="BH356" s="90" t="n"/>
      <c r="BI356" s="90" t="n"/>
      <c r="BJ356" s="90" t="n"/>
      <c r="BL356" s="90" t="n"/>
      <c r="BM356" s="90" t="n"/>
      <c r="BN356" s="90" t="n"/>
      <c r="BO356" s="90" t="n"/>
      <c r="BQ356" s="90" t="n"/>
      <c r="BR356" s="90" t="n"/>
      <c r="BS356" s="90" t="n"/>
      <c r="BT356" s="90" t="n"/>
      <c r="BV356" s="90" t="n"/>
      <c r="BW356" s="90" t="n"/>
      <c r="BX356" s="90" t="n"/>
      <c r="BY356" s="90" t="n"/>
      <c r="CA356" s="90" t="n"/>
      <c r="CB356" s="90" t="n"/>
      <c r="CC356" s="90" t="n"/>
      <c r="CD356" s="90" t="n"/>
      <c r="CF356" s="90" t="n"/>
      <c r="CG356" s="90" t="n"/>
      <c r="CH356" s="90" t="n"/>
      <c r="CI356" s="90" t="n"/>
      <c r="CK356" s="90" t="n"/>
      <c r="CL356" s="90" t="n"/>
      <c r="CM356" s="90" t="n"/>
      <c r="CN356" s="90" t="n"/>
      <c r="CP356" s="90" t="n"/>
      <c r="CQ356" s="90" t="n"/>
      <c r="CR356" s="90" t="n"/>
      <c r="CS356" s="90" t="n"/>
      <c r="CU356" s="90" t="n"/>
      <c r="CV356" s="90" t="n"/>
      <c r="CW356" s="90" t="n"/>
      <c r="CX356" s="90" t="n"/>
    </row>
    <row r="357" customFormat="1" s="77">
      <c r="A357" s="76" t="n"/>
      <c r="B357" s="76" t="n"/>
      <c r="C357" s="77" t="inlineStr">
        <is>
          <t>FIXED ASSETS</t>
        </is>
      </c>
      <c r="D357" s="89">
        <f>IFERROR(D168+D178+D181+D182+D191-D242,"")</f>
        <v>0</v>
      </c>
      <c r="E357" s="89">
        <f>IFERROR(E168+E178+E181+E182+E191-E242,"")</f>
        <v>0</v>
      </c>
      <c r="F357" s="89">
        <f>IFERROR(F168+F178+F181+F182+F191-F242,"")</f>
        <v>0</v>
      </c>
      <c r="G357" s="89">
        <f>IFERROR(G168+G178+G181+G182+G191-G242,"")</f>
        <v>0</v>
      </c>
      <c r="H357" s="263">
        <f>IFERROR((N(H168)+N(H178)+N(H181)+N(H182)+N(H191))-N(H242),0)</f>
        <v>0</v>
      </c>
      <c r="I357" s="263">
        <f>IFERROR((N(I168)+N(I178)+N(I181)+N(I182)+N(I191))-N(I242),0)</f>
        <v>9263.189</v>
      </c>
      <c r="J357" s="263">
        <f>IFERROR((N(J168)+N(J178)+N(J181)+N(J182)+N(J191))-N(J242),0)</f>
        <v>9488.693</v>
      </c>
      <c r="K357" s="263">
        <f>IFERROR((N(K168)+N(K178)+N(K181)+N(K182)+N(K191))-N(K242),0)</f>
        <v>9787.8</v>
      </c>
      <c r="L357" s="263">
        <f>IFERROR((N(L168)+N(L178)+N(L181)+N(L182)+N(L191))-N(L242),0)</f>
        <v>10183.259</v>
      </c>
      <c r="M357" s="263">
        <f>IFERROR((N(M168)+N(M178)+N(M181)+N(M182)+N(M191))-N(M242),0)</f>
        <v>10183.259</v>
      </c>
      <c r="N357" s="263">
        <f>IFERROR((N(N168)+N(N178)+N(N181)+N(N182)+N(N191))-N(N242),0)</f>
        <v>10439.528</v>
      </c>
      <c r="O357" s="263">
        <f>IFERROR((N(O168)+N(O178)+N(O181)+N(O182)+N(O191))-N(O242),0)</f>
        <v>10715.917</v>
      </c>
      <c r="P357" s="263">
        <f>IFERROR((N(P168)+N(P178)+N(P181)+N(P182)+N(P191))-N(P242),0)</f>
        <v>11138.06</v>
      </c>
      <c r="Q357" s="263">
        <f>IFERROR((N(Q168)+N(Q178)+N(Q181)+N(Q182)+N(Q191))-N(Q242),0)</f>
        <v>11765.447</v>
      </c>
      <c r="R357" s="263">
        <f>IFERROR((N(R168)+N(R178)+N(R181)+N(R182)+N(R191))-N(R242),0)</f>
        <v>11765.447</v>
      </c>
      <c r="S357" s="263">
        <f>IFERROR((N(S168)+N(S178)+N(S181)+N(S182)+N(S191))-N(S242),0)</f>
        <v>12072.192</v>
      </c>
      <c r="T357" s="263">
        <f>IFERROR((N(T168)+N(T178)+N(T181)+N(T182)+N(T191))-N(T242),0)</f>
        <v>12494.158</v>
      </c>
      <c r="U357" s="263">
        <f>IFERROR((N(U168)+N(U178)+N(U181)+N(U182)+N(U191))-N(U242),0)</f>
        <v>12957.201</v>
      </c>
      <c r="V357" s="263">
        <f>IFERROR((N(V168)+N(V178)+N(V181)+N(V182)+N(V191))-N(V242),0)</f>
        <v>13213.306</v>
      </c>
      <c r="W357" s="263">
        <f>IFERROR((N(W168)+N(W178)+N(W181)+N(W182)+N(W191))-N(W242),0)</f>
        <v>13213.306</v>
      </c>
      <c r="X357" s="263">
        <f>IFERROR((N(X168)+N(X178)+N(X181)+N(X182)+N(X191))-N(X242),0)</f>
        <v>13556.266</v>
      </c>
      <c r="Y357" s="263">
        <f>IFERROR((N(Y168)+N(Y178)+N(Y181)+N(Y182)+N(Y191))-N(Y242),0)</f>
        <v>13892.42</v>
      </c>
      <c r="Z357" s="263">
        <f>IFERROR((N(Z168)+N(Z178)+N(Z181)+N(Z182)+N(Z191))-N(Z242),0)</f>
        <v>14294.412</v>
      </c>
      <c r="AA357" s="263">
        <f>IFERROR((N(AA168)+N(AA178)+N(AA181)+N(AA182)+N(AA191))-N(AA242),0)</f>
        <v>14640.343</v>
      </c>
      <c r="AB357" s="263">
        <f>IFERROR((N(AB168)+N(AB178)+N(AB181)+N(AB182)+N(AB191))-N(AB242),0)</f>
        <v>14640.343</v>
      </c>
      <c r="AC357" s="263">
        <f>IFERROR((N(AC168)+N(AC178)+N(AC181)+N(AC182)+N(AC191))-N(AC242),0)</f>
        <v>15924.43</v>
      </c>
      <c r="AD357" s="263">
        <f>IFERROR((N(AD168)+N(AD178)+N(AD181)+N(AD182)+N(AD191))-N(AD242),0)</f>
        <v>16095.255</v>
      </c>
      <c r="AE357" s="263">
        <f>IFERROR((N(AE168)+N(AE178)+N(AE181)+N(AE182)+N(AE191))-N(AE242),0)</f>
        <v>15774.032</v>
      </c>
      <c r="AF357" s="263">
        <f>IFERROR((N(AF168)+N(AF178)+N(AF181)+N(AF182)+N(AF191))-N(AF242),0)</f>
        <v>16602.589</v>
      </c>
      <c r="AG357" s="263">
        <f>IFERROR((N(AG168)+N(AG178)+N(AG181)+N(AG182)+N(AG191))-N(AG242),0)</f>
        <v>16602.589</v>
      </c>
      <c r="AH357" s="263">
        <f>IFERROR((N(AH168)+N(AH178)+N(AH181)+N(AH182)+N(AH191))-N(AH242),0)</f>
        <v>17146.133</v>
      </c>
      <c r="AI357" s="263">
        <f>IFERROR((N(AI168)+N(AI178)+N(AI181)+N(AI182)+N(AI191))-N(AI242),0)</f>
        <v>14326.366</v>
      </c>
      <c r="AJ357" s="263">
        <f>IFERROR((N(AJ168)+N(AJ178)+N(AJ181)+N(AJ182)+N(AJ191))-N(AJ242),0)</f>
        <v>14333.5898686578</v>
      </c>
      <c r="AK357" s="263">
        <f>IFERROR((N(AK168)+N(AK178)+N(AK181)+N(AK182)+N(AK191))-N(AK242),0)</f>
        <v>14341.1612068992</v>
      </c>
      <c r="AL357" s="263">
        <f>IFERROR((N(AL168)+N(AL178)+N(AL181)+N(AL182)+N(AL191))-N(AL242),0)</f>
        <v>14341.1612068992</v>
      </c>
      <c r="AM357" s="263">
        <f>IFERROR((N(AM168)+N(AM178)+N(AM181)+N(AM182)+N(AM191))-N(AM242),0)</f>
        <v>14348.9543737651</v>
      </c>
      <c r="AN357" s="263">
        <f>IFERROR((N(AN168)+N(AN178)+N(AN181)+N(AN182)+N(AN191))-N(AN242),0)</f>
        <v>14356.5665846572</v>
      </c>
      <c r="AO357" s="263">
        <f>IFERROR((N(AO168)+N(AO178)+N(AO181)+N(AO182)+N(AO191))-N(AO242),0)</f>
        <v>14364.2728394116</v>
      </c>
      <c r="AP357" s="263">
        <f>IFERROR((N(AP168)+N(AP178)+N(AP181)+N(AP182)+N(AP191))-N(AP242),0)</f>
        <v>14372.349766621</v>
      </c>
      <c r="AQ357" s="263">
        <f>IFERROR((N(AQ168)+N(AQ178)+N(AQ181)+N(AQ182)+N(AQ191))-N(AQ242),0)</f>
        <v>14372.349766621</v>
      </c>
      <c r="AR357" s="263">
        <f>IFERROR((N(AR168)+N(AR178)+N(AR181)+N(AR182)+N(AR191))-N(AR242),0)</f>
        <v>14380.6243696037</v>
      </c>
      <c r="AS357" s="263">
        <f>IFERROR((N(AS168)+N(AS178)+N(AS181)+N(AS182)+N(AS191))-N(AS242),0)</f>
        <v>14388.70683775</v>
      </c>
      <c r="AT357" s="263">
        <f>IFERROR((N(AT168)+N(AT178)+N(AT181)+N(AT182)+N(AT191))-N(AT242),0)</f>
        <v>14396.8891594779</v>
      </c>
      <c r="AU357" s="263">
        <f>IFERROR((N(AU168)+N(AU178)+N(AU181)+N(AU182)+N(AU191))-N(AU242),0)</f>
        <v>14405.4650525812</v>
      </c>
      <c r="AV357" s="263">
        <f>IFERROR((N(AV168)+N(AV178)+N(AV181)+N(AV182)+N(AV191))-N(AV242),0)</f>
        <v>14405.4650525812</v>
      </c>
      <c r="AW357" s="263">
        <f>IFERROR((N(AW168)+N(AW178)+N(AW181)+N(AW182)+N(AW191))-N(AW242),0)</f>
        <v>14414.2094601994</v>
      </c>
      <c r="AX357" s="263">
        <f>IFERROR((N(AX168)+N(AX178)+N(AX181)+N(AX182)+N(AX191))-N(AX242),0)</f>
        <v>14422.7508241998</v>
      </c>
      <c r="AY357" s="263">
        <f>IFERROR((N(AY168)+N(AY178)+N(AY181)+N(AY182)+N(AY191))-N(AY242),0)</f>
        <v>14431.3977111383</v>
      </c>
      <c r="AZ357" s="263">
        <f>IFERROR((N(AZ168)+N(AZ178)+N(AZ181)+N(AZ182)+N(AZ191))-N(AZ242),0)</f>
        <v>14440.4605151353</v>
      </c>
      <c r="BA357" s="263">
        <f>IFERROR((N(BA168)+N(BA178)+N(BA181)+N(BA182)+N(BA191))-N(BA242),0)</f>
        <v>14440.4605151353</v>
      </c>
      <c r="BB357" s="263">
        <f>IFERROR((N(BB168)+N(BB178)+N(BB181)+N(BB182)+N(BB191))-N(BB242),0)</f>
        <v>14449.6576793069</v>
      </c>
      <c r="BC357" s="263">
        <f>IFERROR((N(BC168)+N(BC178)+N(BC181)+N(BC182)+N(BC191))-N(BC242),0)</f>
        <v>14458.6412869326</v>
      </c>
      <c r="BD357" s="263">
        <f>IFERROR((N(BD168)+N(BD178)+N(BD181)+N(BD182)+N(BD191))-N(BD242),0)</f>
        <v>14467.7358811257</v>
      </c>
      <c r="BE357" s="263">
        <f>IFERROR((N(BE168)+N(BE178)+N(BE181)+N(BE182)+N(BE191))-N(BE242),0)</f>
        <v>14477.2679271893</v>
      </c>
      <c r="BF357" s="263">
        <f>IFERROR((N(BF168)+N(BF178)+N(BF181)+N(BF182)+N(BF191))-N(BF242),0)</f>
        <v>14477.2679271893</v>
      </c>
      <c r="BG357" s="90" t="n"/>
      <c r="BH357" s="90" t="n"/>
      <c r="BI357" s="90" t="n"/>
      <c r="BJ357" s="90" t="n"/>
      <c r="BL357" s="90" t="n"/>
      <c r="BM357" s="90" t="n"/>
      <c r="BN357" s="90" t="n"/>
      <c r="BO357" s="90" t="n"/>
      <c r="BQ357" s="90" t="n"/>
      <c r="BR357" s="90" t="n"/>
      <c r="BS357" s="90" t="n"/>
      <c r="BT357" s="90" t="n"/>
      <c r="BV357" s="90" t="n"/>
      <c r="BW357" s="90" t="n"/>
      <c r="BX357" s="90" t="n"/>
      <c r="BY357" s="90" t="n"/>
      <c r="CA357" s="90" t="n"/>
      <c r="CB357" s="90" t="n"/>
      <c r="CC357" s="90" t="n"/>
      <c r="CD357" s="90" t="n"/>
      <c r="CF357" s="90" t="n"/>
      <c r="CG357" s="90" t="n"/>
      <c r="CH357" s="90" t="n"/>
      <c r="CI357" s="90" t="n"/>
      <c r="CK357" s="90" t="n"/>
      <c r="CL357" s="90" t="n"/>
      <c r="CM357" s="90" t="n"/>
      <c r="CN357" s="90" t="n"/>
      <c r="CP357" s="90" t="n"/>
      <c r="CQ357" s="90" t="n"/>
      <c r="CR357" s="90" t="n"/>
      <c r="CS357" s="90" t="n"/>
      <c r="CU357" s="90" t="n"/>
      <c r="CV357" s="90" t="n"/>
      <c r="CW357" s="90" t="n"/>
      <c r="CX357" s="90" t="n"/>
    </row>
    <row r="358" customFormat="1" s="77">
      <c r="A358" s="76" t="n"/>
      <c r="B358" s="76" t="n"/>
    </row>
    <row r="359" customFormat="1" s="77">
      <c r="A359" s="76" t="n"/>
      <c r="B359" s="76" t="n"/>
    </row>
    <row r="360" customFormat="1" s="77">
      <c r="A360" s="76" t="n"/>
      <c r="B360" s="76" t="n"/>
    </row>
    <row r="361" customFormat="1" s="77">
      <c r="A361" s="76" t="n"/>
      <c r="B361" s="76" t="n"/>
    </row>
    <row r="362" customFormat="1" s="77">
      <c r="A362" s="76" t="n"/>
      <c r="B362" s="76" t="n"/>
    </row>
    <row r="363" customFormat="1" s="77">
      <c r="A363" s="76" t="n"/>
      <c r="B363" s="76" t="n"/>
    </row>
    <row r="364" customFormat="1" s="77">
      <c r="A364" s="76" t="n"/>
      <c r="B364" s="76" t="n"/>
    </row>
    <row r="365" customFormat="1" s="77">
      <c r="A365" s="76" t="n"/>
      <c r="B365" s="76" t="n"/>
      <c r="C365" s="74" t="inlineStr">
        <is>
          <t>DUPONT ANALYSIS</t>
        </is>
      </c>
    </row>
    <row r="366" customFormat="1" s="77">
      <c r="A366" s="76" t="n"/>
      <c r="B366" s="76" t="n"/>
      <c r="C366" s="77" t="inlineStr">
        <is>
          <t>NET PROFIT MARGIN (LTM)</t>
        </is>
      </c>
      <c r="D366" s="84" t="str">
        <f>IFERROR(D139/D15,"")</f>
        <v/>
      </c>
      <c r="E366" s="84" t="str">
        <f>IFERROR(E139/E15,"")</f>
        <v/>
      </c>
      <c r="F366" s="84" t="str">
        <f>IFERROR(F139/F15,"")</f>
        <v/>
      </c>
      <c r="G366" s="84" t="str">
        <f>IFERROR(G139/G15,"")</f>
        <v/>
      </c>
      <c r="H366" s="258" t="str">
        <f>IFERROR(IF(AND(COUNT(H139)=1,(H15)&lt;&gt;0),(H139)/(H15),""),"")</f>
        <v/>
      </c>
      <c r="I366" s="257" t="str">
        <f>""</f>
        <v/>
      </c>
      <c r="J366" s="257" t="str">
        <f>""</f>
        <v/>
      </c>
      <c r="K366" s="257" t="str">
        <f>""</f>
        <v/>
      </c>
      <c r="L366" s="257">
        <f>IFERROR(IF(AND(COUNT(I139,J139,K139,L139)=4,(I15+J15+K15+L15)&lt;&gt;0),(I139+J139+K139+L139)/(I15+J15+K15+L15),""),"")</f>
        <v>0.226275513929335</v>
      </c>
      <c r="M366" s="258">
        <f>IFERROR(IF(AND(COUNT(I139,J139,K139,L139)=4,(I15+J15+K15+L15)&lt;&gt;0),(I139+J139+K139+L139)/(I15+J15+K15+L15),""),"")</f>
        <v>0.226275513929335</v>
      </c>
      <c r="N366" s="257">
        <f>IFERROR(IF(AND(COUNT(J139,K139,L139,N139)=4,(J15+K15+L15+N15)&lt;&gt;0),(J139+K139+L139+N139)/(J15+K15+L15+N15),""),"")</f>
        <v>0.22713749759043</v>
      </c>
      <c r="O366" s="257">
        <f>IFERROR(IF(AND(COUNT(K139,L139,N139,O139)=4,(K15+L15+N15+O15)&lt;&gt;0),(K139+L139+N139+O139)/(K15+L15+N15+O15),""),"")</f>
        <v>0.20564383305225</v>
      </c>
      <c r="P366" s="257">
        <f>IFERROR(IF(AND(COUNT(L139,N139,O139,P139)=4,(L15+N15+O15+P15)&lt;&gt;0),(L139+N139+O139+P139)/(L15+N15+O15+P15),""),"")</f>
        <v>0.202909700183066</v>
      </c>
      <c r="Q366" s="257">
        <f>IFERROR(IF(AND(COUNT(N139,O139,P139,Q139)=4,(N15+O15+P15+Q15)&lt;&gt;0),(N139+O139+P139+Q139)/(N15+O15+P15+Q15),""),"")</f>
        <v>0.202962574160853</v>
      </c>
      <c r="R366" s="258">
        <f>IFERROR(IF(AND(COUNT(N139,O139,P139,Q139)=4,(N15+O15+P15+Q15)&lt;&gt;0),(N139+O139+P139+Q139)/(N15+O15+P15+Q15),""),"")</f>
        <v>0.202962574160853</v>
      </c>
      <c r="S366" s="257">
        <f>IFERROR(IF(AND(COUNT(O139,P139,Q139,S139)=4,(O15+P15+Q15+S15)&lt;&gt;0),(O139+P139+Q139+S139)/(O15+P15+Q15+S15),""),"")</f>
        <v>0.206120576817658</v>
      </c>
      <c r="T366" s="257">
        <f>IFERROR(IF(AND(COUNT(P139,Q139,S139,T139)=4,(P15+Q15+S15+T15)&lt;&gt;0),(P139+Q139+S139+T139)/(P15+Q15+S15+T15),""),"")</f>
        <v>0.231882379591718</v>
      </c>
      <c r="U366" s="257">
        <f>IFERROR(IF(AND(COUNT(Q139,S139,T139,U139)=4,(Q15+S15+T15+U15)&lt;&gt;0),(Q139+S139+T139+U139)/(Q15+S15+T15+U15),""),"")</f>
        <v>0.245347056726771</v>
      </c>
      <c r="V366" s="257">
        <f>IFERROR(IF(AND(COUNT(S139,T139,U139,V139)=4,(S15+T15+U15+V15)&lt;&gt;0),(S139+T139+U139+V139)/(S15+T15+U15+V15),""),"")</f>
        <v>0.238904508309263</v>
      </c>
      <c r="W366" s="258">
        <f>IFERROR(IF(AND(COUNT(S139,T139,U139,V139)=4,(S15+T15+U15+V15)&lt;&gt;0),(S139+T139+U139+V139)/(S15+T15+U15+V15),""),"")</f>
        <v>0.238904508309263</v>
      </c>
      <c r="X366" s="257">
        <f>IFERROR(IF(AND(COUNT(T139,U139,V139,X139)=4,(T15+U15+V15+X15)&lt;&gt;0),(T139+U139+V139+X139)/(T15+U15+V15+X15),""),"")</f>
        <v>0.239129939259131</v>
      </c>
      <c r="Y366" s="257">
        <f>IFERROR(IF(AND(COUNT(U139,V139,X139,Y139)=4,(U15+V15+X15+Y15)&lt;&gt;0),(U139+V139+X139+Y139)/(U15+V15+X15+Y15),""),"")</f>
        <v>0.227550964680012</v>
      </c>
      <c r="Z366" s="257">
        <f>IFERROR(IF(AND(COUNT(V139,X139,Y139,Z139)=4,(V15+X15+Y15+Z15)&lt;&gt;0),(V139+X139+Y139+Z139)/(V15+X15+Y15+Z15),""),"")</f>
        <v>0.221199944452488</v>
      </c>
      <c r="AA366" s="257">
        <f>IFERROR(IF(AND(COUNT(X139,Y139,Z139,AA139)=4,(X15+Y15+Z15+AA15)&lt;&gt;0),(X139+Y139+Z139+AA139)/(X15+Y15+Z15+AA15),""),"")</f>
        <v>0.225656772950748</v>
      </c>
      <c r="AB366" s="258">
        <f>IFERROR(IF(AND(COUNT(X139,Y139,Z139,AA139)=4,(X15+Y15+Z15+AA15)&lt;&gt;0),(X139+Y139+Z139+AA139)/(X15+Y15+Z15+AA15),""),"")</f>
        <v>0.225656772950748</v>
      </c>
      <c r="AC366" s="257">
        <f>IFERROR(IF(AND(COUNT(Y139,Z139,AA139,AC139)=4,(Y15+Z15+AA15+AC15)&lt;&gt;0),(Y139+Z139+AA139+AC139)/(Y15+Z15+AA15+AC15),""),"")</f>
        <v>0.341313849303567</v>
      </c>
      <c r="AD366" s="257">
        <f>IFERROR(IF(AND(COUNT(Z139,AA139,AC139,AD139)=4,(Z15+AA15+AC15+AD15)&lt;&gt;0),(Z139+AA139+AC139+AD139)/(Z15+AA15+AC15+AD15),""),"")</f>
        <v>0.323336085638669</v>
      </c>
      <c r="AE366" s="257">
        <f>IFERROR(IF(AND(COUNT(AA139,AC139,AD139,AE139)=4,(AA15+AC15+AD15+AE15)&lt;&gt;0),(AA139+AC139+AD139+AE139)/(AA15+AC15+AD15+AE15),""),"")</f>
        <v>0.300538345746753</v>
      </c>
      <c r="AF366" s="257">
        <f>IFERROR(IF(AND(COUNT(AB139,AD139,AE139,AF139)=4,(AB15+AD15+AE15+AF15)&lt;&gt;0),(AB139+AD139+AE139+AF139)/(AB15+AD15+AE15+AF15),""),"")</f>
        <v>0.1973204858339</v>
      </c>
      <c r="AG366" s="258">
        <f>IFERROR(IF(AND(COUNT(AC139,AD139,AE139,AF139)=4,(AC15+AD15+AE15+AF15)&lt;&gt;0),(AC139+AD139+AE139+AF139)/(AC15+AD15+AE15+AF15),""),"")</f>
        <v>0.288599332170092</v>
      </c>
      <c r="AH366" s="257">
        <f>IFERROR(IF(AND(COUNT(AD139,AF139,AG139,AH139)=4,(AD15+AF15+AG15+AH15)&lt;&gt;0),(AD139+AF139+AG139+AH139)/(AD15+AF15+AG15+AH15),""),"")</f>
        <v>0.239827903163408</v>
      </c>
      <c r="AI366" s="257">
        <f>IFERROR(IF(AND(COUNT(AE139,AG139,AH139,AI139)=4,(AE15+AG15+AH15+AI15)&lt;&gt;0),(AE139+AG139+AH139+AI139)/(AE15+AG15+AH15+AI15),""),"")</f>
        <v>0.169045916861029</v>
      </c>
      <c r="AJ366" s="257">
        <f>IFERROR(IF(AND(COUNT(AF139,AH139,AI139,AJ139)=4,(AF15+AH15+AI15+AJ15)&lt;&gt;0),(AF139+AH139+AI139+AJ139)/(AF15+AH15+AI15+AJ15),""),"")</f>
        <v>0.121348983992217</v>
      </c>
      <c r="AK366" s="257">
        <f>IFERROR(IF(AND(COUNT(AH139,AI139,AJ139,AK139)=4,(AH15+AI15+AJ15+AK15)&lt;&gt;0),(AH139+AI139+AJ139+AK139)/(AH15+AI15+AJ15+AK15),""),"")</f>
        <v>0.170017178741216</v>
      </c>
      <c r="AL366" s="258">
        <f>IFERROR(IF(AND(COUNT(AH139,AI139,AJ139,AK139)=4,(AH15+AI15+AJ15+AK15)&lt;&gt;0),(AH139+AI139+AJ139+AK139)/(AH15+AI15+AJ15+AK15),""),"")</f>
        <v>0.170017178741216</v>
      </c>
      <c r="AM366" s="257">
        <f>IFERROR(IF(AND(COUNT(AI139,AJ139,AK139,AM139)=4,(AI15+AJ15+AK15+AM15)&lt;&gt;0),(AI139+AJ139+AK139+AM139)/(AI15+AJ15+AK15+AM15),""),"")</f>
        <v>0.220918799285701</v>
      </c>
      <c r="AN366" s="257">
        <f>IFERROR(IF(AND(COUNT(AJ139,AK139,AM139,AN139)=4,(AJ15+AK15+AM15+AN15)&lt;&gt;0),(AJ139+AK139+AM139+AN139)/(AJ15+AK15+AM15+AN15),""),"")</f>
        <v>0.374645755453423</v>
      </c>
      <c r="AO366" s="257">
        <f>IFERROR(IF(AND(COUNT(AK139,AM139,AN139,AO139)=4,(AK15+AM15+AN15+AO15)&lt;&gt;0),(AK139+AM139+AN139+AO139)/(AK15+AM15+AN15+AO15),""),"")</f>
        <v>0.374645755453423</v>
      </c>
      <c r="AP366" s="257">
        <f>IFERROR(IF(AND(COUNT(AM139,AN139,AO139,AP139)=4,(AM15+AN15+AO15+AP15)&lt;&gt;0),(AM139+AN139+AO139+AP139)/(AM15+AN15+AO15+AP15),""),"")</f>
        <v>0.374645755453423</v>
      </c>
      <c r="AQ366" s="258">
        <f>IFERROR(IF(AND(COUNT(AM139,AN139,AO139,AP139)=4,(AM15+AN15+AO15+AP15)&lt;&gt;0),(AM139+AN139+AO139+AP139)/(AM15+AN15+AO15+AP15),""),"")</f>
        <v>0.374645755453423</v>
      </c>
      <c r="AR366" s="257">
        <f>IFERROR(IF(AND(COUNT(AN139,AO139,AP139,AR139)=4,(AN15+AO15+AP15+AR15)&lt;&gt;0),(AN139+AO139+AP139+AR139)/(AN15+AO15+AP15+AR15),""),"")</f>
        <v>0.374645755453423</v>
      </c>
      <c r="AS366" s="257">
        <f>IFERROR(IF(AND(COUNT(AO139,AP139,AR139,AS139)=4,(AO15+AP15+AR15+AS15)&lt;&gt;0),(AO139+AP139+AR139+AS139)/(AO15+AP15+AR15+AS15),""),"")</f>
        <v>0.374645755453423</v>
      </c>
      <c r="AT366" s="257">
        <f>IFERROR(IF(AND(COUNT(AP139,AR139,AS139,AT139)=4,(AP15+AR15+AS15+AT15)&lt;&gt;0),(AP139+AR139+AS139+AT139)/(AP15+AR15+AS15+AT15),""),"")</f>
        <v>0.374645755453423</v>
      </c>
      <c r="AU366" s="257">
        <f>IFERROR(IF(AND(COUNT(AR139,AS139,AT139,AU139)=4,(AR15+AS15+AT15+AU15)&lt;&gt;0),(AR139+AS139+AT139+AU139)/(AR15+AS15+AT15+AU15),""),"")</f>
        <v>0.374645755453423</v>
      </c>
      <c r="AV366" s="258">
        <f>IFERROR(IF(AND(COUNT(AR139,AS139,AT139,AU139)=4,(AR15+AS15+AT15+AU15)&lt;&gt;0),(AR139+AS139+AT139+AU139)/(AR15+AS15+AT15+AU15),""),"")</f>
        <v>0.374645755453423</v>
      </c>
      <c r="AW366" s="257">
        <f>IFERROR(IF(AND(COUNT(AS139,AT139,AU139,AW139)=4,(AS15+AT15+AU15+AW15)&lt;&gt;0),(AS139+AT139+AU139+AW139)/(AS15+AT15+AU15+AW15),""),"")</f>
        <v>0.374645755453423</v>
      </c>
      <c r="AX366" s="257">
        <f>IFERROR(IF(AND(COUNT(AT139,AU139,AW139,AX139)=4,(AT15+AU15+AW15+AX15)&lt;&gt;0),(AT139+AU139+AW139+AX139)/(AT15+AU15+AW15+AX15),""),"")</f>
        <v>0.374645755453423</v>
      </c>
      <c r="AY366" s="257">
        <f>IFERROR(IF(AND(COUNT(AU139,AW139,AX139,AY139)=4,(AU15+AW15+AX15+AY15)&lt;&gt;0),(AU139+AW139+AX139+AY139)/(AU15+AW15+AX15+AY15),""),"")</f>
        <v>0.374645755453423</v>
      </c>
      <c r="AZ366" s="257">
        <f>IFERROR(IF(AND(COUNT(AW139,AX139,AY139,AZ139)=4,(AW15+AX15+AY15+AZ15)&lt;&gt;0),(AW139+AX139+AY139+AZ139)/(AW15+AX15+AY15+AZ15),""),"")</f>
        <v>0.374645755453423</v>
      </c>
      <c r="BA366" s="258">
        <f>IFERROR(IF(AND(COUNT(AW139,AX139,AY139,AZ139)=4,(AW15+AX15+AY15+AZ15)&lt;&gt;0),(AW139+AX139+AY139+AZ139)/(AW15+AX15+AY15+AZ15),""),"")</f>
        <v>0.374645755453423</v>
      </c>
      <c r="BB366" s="257">
        <f>IFERROR(IF(AND(COUNT(AX139,AY139,AZ139,BB139)=4,(AX15+AY15+AZ15+BB15)&lt;&gt;0),(AX139+AY139+AZ139+BB139)/(AX15+AY15+AZ15+BB15),""),"")</f>
        <v>0.374645755453423</v>
      </c>
      <c r="BC366" s="257">
        <f>IFERROR(IF(AND(COUNT(AY139,AZ139,BB139,BC139)=4,(AY15+AZ15+BB15+BC15)&lt;&gt;0),(AY139+AZ139+BB139+BC139)/(AY15+AZ15+BB15+BC15),""),"")</f>
        <v>0.374645755453423</v>
      </c>
      <c r="BD366" s="257">
        <f>IFERROR(IF(AND(COUNT(AZ139,BB139,BC139,BD139)=4,(AZ15+BB15+BC15+BD15)&lt;&gt;0),(AZ139+BB139+BC139+BD139)/(AZ15+BB15+BC15+BD15),""),"")</f>
        <v>0.374645755453423</v>
      </c>
      <c r="BE366" s="257">
        <f>IFERROR(IF(AND(COUNT(BB139,BC139,BD139,BE139)=4,(BB15+BC15+BD15+BE15)&lt;&gt;0),(BB139+BC139+BD139+BE139)/(BB15+BC15+BD15+BE15),""),"")</f>
        <v>0.374645755453423</v>
      </c>
      <c r="BF366" s="258">
        <f>IFERROR(IF(AND(COUNT(BB139,BC139,BD139,BE139)=4,(BB15+BC15+BD15+BE15)&lt;&gt;0),(BB139+BC139+BD139+BE139)/(BB15+BC15+BD15+BE15),""),"")</f>
        <v>0.374645755453423</v>
      </c>
      <c r="BG366" s="81" t="n"/>
      <c r="BH366" s="81" t="n"/>
      <c r="BI366" s="81" t="n"/>
      <c r="BJ366" s="81" t="n"/>
      <c r="BL366" s="81" t="n"/>
      <c r="BM366" s="81" t="n"/>
      <c r="BN366" s="81" t="n"/>
      <c r="BO366" s="81" t="n"/>
      <c r="BQ366" s="81" t="n"/>
      <c r="BR366" s="81" t="n"/>
      <c r="BS366" s="81" t="n"/>
      <c r="BT366" s="81" t="n"/>
      <c r="BV366" s="81" t="n"/>
      <c r="BW366" s="81" t="n"/>
      <c r="BX366" s="81" t="n"/>
      <c r="BY366" s="81" t="n"/>
      <c r="CA366" s="81" t="n"/>
      <c r="CB366" s="81" t="n"/>
      <c r="CC366" s="81" t="n"/>
      <c r="CD366" s="81" t="n"/>
      <c r="CF366" s="81" t="n"/>
      <c r="CG366" s="81" t="n"/>
      <c r="CH366" s="81" t="n"/>
      <c r="CI366" s="81" t="n"/>
      <c r="CK366" s="81" t="n"/>
      <c r="CL366" s="81" t="n"/>
      <c r="CM366" s="81" t="n"/>
      <c r="CN366" s="81" t="n"/>
      <c r="CP366" s="81" t="n"/>
      <c r="CQ366" s="81" t="n"/>
      <c r="CR366" s="81" t="n"/>
      <c r="CS366" s="81" t="n"/>
      <c r="CU366" s="81" t="n"/>
      <c r="CV366" s="81" t="n"/>
      <c r="CW366" s="81" t="n"/>
      <c r="CX366" s="81" t="n"/>
    </row>
    <row r="367" customFormat="1" s="77">
      <c r="A367" s="76" t="n"/>
      <c r="B367" s="76" t="n"/>
      <c r="C367" s="77" t="inlineStr">
        <is>
          <t>ASSET TURNOVER (LTM REVENUE / ASSETS)</t>
        </is>
      </c>
      <c r="D367" s="84" t="str">
        <f>IFERROR(D15/D199,"")</f>
        <v/>
      </c>
      <c r="E367" s="84" t="str">
        <f>IFERROR(E15/E199,"")</f>
        <v/>
      </c>
      <c r="F367" s="84" t="str">
        <f>IFERROR(F15/F199,"")</f>
        <v/>
      </c>
      <c r="G367" s="84" t="str">
        <f>IFERROR(G15/G199,"")</f>
        <v/>
      </c>
      <c r="H367" s="262" t="str">
        <f>IFERROR(IF(AND(COUNT(H15)=1,N(H199)&lt;&gt;0),(H15)/H199,""),"")</f>
        <v/>
      </c>
      <c r="I367" s="264" t="str">
        <f>""</f>
        <v/>
      </c>
      <c r="J367" s="264" t="str">
        <f>""</f>
        <v/>
      </c>
      <c r="K367" s="264" t="str">
        <f>""</f>
        <v/>
      </c>
      <c r="L367" s="264">
        <f>IFERROR(IF(AND(COUNT(I15,J15,K15,L15)=4,N(L199)&lt;&gt;0),(I15+J15+K15+L15)/L199,""),"")</f>
        <v>0.355478321261528</v>
      </c>
      <c r="M367" s="262">
        <f>IFERROR(IF(AND(COUNT(I15,J15,K15,L15)=4,N(M199)&lt;&gt;0),(I15+J15+K15+L15)/M199,""),"")</f>
        <v>0.355478321261528</v>
      </c>
      <c r="N367" s="264">
        <f>IFERROR(IF(AND(COUNT(J15,K15,L15,N15)=4,N(N199)&lt;&gt;0),(J15+K15+L15+N15)/N199,""),"")</f>
        <v>0.344525510270675</v>
      </c>
      <c r="O367" s="264">
        <f>IFERROR(IF(AND(COUNT(K15,L15,N15,O15)=4,N(O199)&lt;&gt;0),(K15+L15+N15+O15)/O199,""),"")</f>
        <v>0.34936449915148</v>
      </c>
      <c r="P367" s="264">
        <f>IFERROR(IF(AND(COUNT(L15,N15,O15,P15)=4,N(P199)&lt;&gt;0),(L15+N15+O15+P15)/P199,""),"")</f>
        <v>0.345239429497033</v>
      </c>
      <c r="Q367" s="264">
        <f>IFERROR(IF(AND(COUNT(N15,O15,P15,Q15)=4,N(Q199)&lt;&gt;0),(N15+O15+P15+Q15)/Q199,""),"")</f>
        <v>0.340612369572886</v>
      </c>
      <c r="R367" s="262">
        <f>IFERROR(IF(AND(COUNT(N15,O15,P15,Q15)=4,N(R199)&lt;&gt;0),(N15+O15+P15+Q15)/R199,""),"")</f>
        <v>0.340612369572886</v>
      </c>
      <c r="S367" s="264">
        <f>IFERROR(IF(AND(COUNT(O15,P15,Q15,S15)=4,N(S199)&lt;&gt;0),(O15+P15+Q15+S15)/S199,""),"")</f>
        <v>0.333631208899106</v>
      </c>
      <c r="T367" s="264">
        <f>IFERROR(IF(AND(COUNT(P15,Q15,S15,T15)=4,N(T199)&lt;&gt;0),(P15+Q15+S15+T15)/T199,""),"")</f>
        <v>0.33309049595811</v>
      </c>
      <c r="U367" s="264">
        <f>IFERROR(IF(AND(COUNT(Q15,S15,T15,U15)=4,N(U199)&lt;&gt;0),(Q15+S15+T15+U15)/U199,""),"")</f>
        <v>0.3314678630748</v>
      </c>
      <c r="V367" s="264">
        <f>IFERROR(IF(AND(COUNT(S15,T15,U15,V15)=4,N(V199)&lt;&gt;0),(S15+T15+U15+V15)/V199,""),"")</f>
        <v>0.334650488821338</v>
      </c>
      <c r="W367" s="262">
        <f>IFERROR(IF(AND(COUNT(S15,T15,U15,V15)=4,N(W199)&lt;&gt;0),(S15+T15+U15+V15)/W199,""),"")</f>
        <v>0.334650488821338</v>
      </c>
      <c r="X367" s="264">
        <f>IFERROR(IF(AND(COUNT(T15,U15,V15,X15)=4,N(X199)&lt;&gt;0),(T15+U15+V15+X15)/X199,""),"")</f>
        <v>0.329684210441372</v>
      </c>
      <c r="Y367" s="264">
        <f>IFERROR(IF(AND(COUNT(U15,V15,X15,Y15)=4,N(Y199)&lt;&gt;0),(U15+V15+X15+Y15)/Y199,""),"")</f>
        <v>0.337684107915909</v>
      </c>
      <c r="Z367" s="264">
        <f>IFERROR(IF(AND(COUNT(V15,X15,Y15,Z15)=4,N(Z199)&lt;&gt;0),(V15+X15+Y15+Z15)/Z199,""),"")</f>
        <v>0.336191173696571</v>
      </c>
      <c r="AA367" s="264">
        <f>IFERROR(IF(AND(COUNT(X15,Y15,Z15,AA15)=4,N(AA199)&lt;&gt;0),(X15+Y15+Z15+AA15)/AA199,""),"")</f>
        <v>0.333929149600156</v>
      </c>
      <c r="AB367" s="262">
        <f>IFERROR(IF(AND(COUNT(X15,Y15,Z15,AA15)=4,N(AB199)&lt;&gt;0),(X15+Y15+Z15+AA15)/AB199,""),"")</f>
        <v>0.333929149600156</v>
      </c>
      <c r="AC367" s="264">
        <f>IFERROR(IF(AND(COUNT(Y15,Z15,AA15,AC15)=4,N(AC199)&lt;&gt;0),(Y15+Z15+AA15+AC15)/AC199,""),"")</f>
        <v>0.279584185130182</v>
      </c>
      <c r="AD367" s="264">
        <f>IFERROR(IF(AND(COUNT(Z15,AA15,AC15,AD15)=4,N(AD199)&lt;&gt;0),(Z15+AA15+AC15+AD15)/AD199,""),"")</f>
        <v>0.28082299931606</v>
      </c>
      <c r="AE367" s="264">
        <f>IFERROR(IF(AND(COUNT(AA15,AC15,AD15,AE15)=4,N(AE199)&lt;&gt;0),(AA15+AC15+AD15+AE15)/AE199,""),"")</f>
        <v>0.272707620499404</v>
      </c>
      <c r="AF367" s="264">
        <f>IFERROR(IF(AND(COUNT(AB15,AD15,AE15,AF15)=4,N(AF199)&lt;&gt;0),(AB15+AD15+AE15+AF15)/AF199,""),"")</f>
        <v>0.462810707081302</v>
      </c>
      <c r="AG367" s="262">
        <f>IFERROR(IF(AND(COUNT(AC15,AD15,AE15,AF15)=4,N(AG199)&lt;&gt;0),(AC15+AD15+AE15+AF15)/AG199,""),"")</f>
        <v>0.272264327517906</v>
      </c>
      <c r="AH367" s="264">
        <f>IFERROR(IF(AND(COUNT(AD15,AF15,AG15,AH15)=4,N(AH199)&lt;&gt;0),(AD15+AF15+AG15+AH15)/AH199,""),"")</f>
        <v>0.475191843121585</v>
      </c>
      <c r="AI367" s="264">
        <f>IFERROR(IF(AND(COUNT(AE15,AG15,AH15,AI15)=4,N(AI199)&lt;&gt;0),(AE15+AG15+AH15+AI15)/AI199,""),"")</f>
        <v>0.484589934609026</v>
      </c>
      <c r="AJ367" s="264">
        <f>IFERROR(IF(AND(COUNT(AF15,AH15,AI15,AJ15)=4,N(AJ199)&lt;&gt;0),(AF15+AH15+AI15+AJ15)/AJ199,""),"")</f>
        <v>0.280641509311208</v>
      </c>
      <c r="AK367" s="264">
        <f>IFERROR(IF(AND(COUNT(AH15,AI15,AJ15,AK15)=4,N(AK199)&lt;&gt;0),(AH15+AI15+AJ15+AK15)/AK199,""),"")</f>
        <v>0.277292160539282</v>
      </c>
      <c r="AL367" s="262">
        <f>IFERROR(IF(AND(COUNT(AH15,AI15,AJ15,AK15)=4,N(AL199)&lt;&gt;0),(AH15+AI15+AJ15+AK15)/AL199,""),"")</f>
        <v>0.277292160539282</v>
      </c>
      <c r="AM367" s="264">
        <f>IFERROR(IF(AND(COUNT(AI15,AJ15,AK15,AM15)=4,N(AM199)&lt;&gt;0),(AI15+AJ15+AK15+AM15)/AM199,""),"")</f>
        <v>0.274011152071407</v>
      </c>
      <c r="AN367" s="264">
        <f>IFERROR(IF(AND(COUNT(AJ15,AK15,AM15,AN15)=4,N(AN199)&lt;&gt;0),(AJ15+AK15+AM15+AN15)/AN199,""),"")</f>
        <v>0.271312444983254</v>
      </c>
      <c r="AO367" s="264">
        <f>IFERROR(IF(AND(COUNT(AK15,AM15,AN15,AO15)=4,N(AO199)&lt;&gt;0),(AK15+AM15+AN15+AO15)/AO199,""),"")</f>
        <v>0.268568697815911</v>
      </c>
      <c r="AP367" s="264">
        <f>IFERROR(IF(AND(COUNT(AM15,AN15,AO15,AP15)=4,N(AP199)&lt;&gt;0),(AM15+AN15+AO15+AP15)/AP199,""),"")</f>
        <v>0.265664181928659</v>
      </c>
      <c r="AQ367" s="262">
        <f>IFERROR(IF(AND(COUNT(AM15,AN15,AO15,AP15)=4,N(AQ199)&lt;&gt;0),(AM15+AN15+AO15+AP15)/AQ199,""),"")</f>
        <v>0.265664181928659</v>
      </c>
      <c r="AR367" s="264">
        <f>IFERROR(IF(AND(COUNT(AN15,AO15,AP15,AR15)=4,N(AR199)&lt;&gt;0),(AN15+AO15+AP15+AR15)/AR199,""),"")</f>
        <v>0.262589450187392</v>
      </c>
      <c r="AS367" s="264">
        <f>IFERROR(IF(AND(COUNT(AO15,AP15,AR15,AS15)=4,N(AS199)&lt;&gt;0),(AO15+AP15+AR15+AS15)/AS199,""),"")</f>
        <v>0.259945635088526</v>
      </c>
      <c r="AT367" s="264">
        <f>IFERROR(IF(AND(COUNT(AP15,AR15,AS15,AT15)=4,N(AT199)&lt;&gt;0),(AP15+AR15+AS15+AT15)/AT199,""),"")</f>
        <v>0.257303087162297</v>
      </c>
      <c r="AU367" s="264">
        <f>IFERROR(IF(AND(COUNT(AR15,AS15,AT15,AU15)=4,N(AU199)&lt;&gt;0),(AR15+AS15+AT15+AU15)/AU199,""),"")</f>
        <v>0.254508277093652</v>
      </c>
      <c r="AV367" s="262">
        <f>IFERROR(IF(AND(COUNT(AR15,AS15,AT15,AU15)=4,N(AV199)&lt;&gt;0),(AR15+AS15+AT15+AU15)/AV199,""),"")</f>
        <v>0.254508277093652</v>
      </c>
      <c r="AW367" s="264">
        <f>IFERROR(IF(AND(COUNT(AS15,AT15,AU15,AW15)=4,N(AW199)&lt;&gt;0),(AS15+AT15+AU15+AW15)/AW199,""),"")</f>
        <v>0.251531309914679</v>
      </c>
      <c r="AX367" s="264">
        <f>IFERROR(IF(AND(COUNT(AT15,AU15,AW15,AX15)=4,N(AX199)&lt;&gt;0),(AT15+AU15+AW15+AX15)/AX199,""),"")</f>
        <v>0.249014693240985</v>
      </c>
      <c r="AY367" s="264">
        <f>IFERROR(IF(AND(COUNT(AU15,AW15,AX15,AY15)=4,N(AY199)&lt;&gt;0),(AU15+AW15+AX15+AY15)/AY199,""),"")</f>
        <v>0.246459373859118</v>
      </c>
      <c r="AZ367" s="264">
        <f>IFERROR(IF(AND(COUNT(AW15,AX15,AY15,AZ15)=4,N(AZ199)&lt;&gt;0),(AW15+AX15+AY15+AZ15)/AZ199,""),"")</f>
        <v>0.243759862591118</v>
      </c>
      <c r="BA367" s="262">
        <f>IFERROR(IF(AND(COUNT(AW15,AX15,AY15,AZ15)=4,N(BA199)&lt;&gt;0),(AW15+AX15+AY15+AZ15)/BA199,""),"")</f>
        <v>0.243759862591118</v>
      </c>
      <c r="BB367" s="264">
        <f>IFERROR(IF(AND(COUNT(AX15,AY15,AZ15,BB15)=4,N(BB199)&lt;&gt;0),(AX15+AY15+AZ15+BB15)/BB199,""),"")</f>
        <v>0.240906788252955</v>
      </c>
      <c r="BC367" s="264">
        <f>IFERROR(IF(AND(COUNT(AY15,AZ15,BB15,BC15)=4,N(BC199)&lt;&gt;0),(AY15+AZ15+BB15+BC15)/BC199,""),"")</f>
        <v>0.238463597880608</v>
      </c>
      <c r="BD367" s="264">
        <f>IFERROR(IF(AND(COUNT(AZ15,BB15,BC15,BD15)=4,N(BD199)&lt;&gt;0),(AZ15+BB15+BC15+BD15)/BD199,""),"")</f>
        <v>0.235985075693338</v>
      </c>
      <c r="BE367" s="264">
        <f>IFERROR(IF(AND(COUNT(BB15,BC15,BD15,BE15)=4,N(BE199)&lt;&gt;0),(BB15+BC15+BD15+BE15)/BE199,""),"")</f>
        <v>0.233369949268961</v>
      </c>
      <c r="BF367" s="262">
        <f>IFERROR(IF(AND(COUNT(BB15,BC15,BD15,BE15)=4,N(BF199)&lt;&gt;0),(BB15+BC15+BD15+BE15)/BF199,""),"")</f>
        <v>0.233369949268961</v>
      </c>
      <c r="BG367" s="81" t="n"/>
      <c r="BH367" s="81" t="n"/>
      <c r="BI367" s="81" t="n"/>
      <c r="BJ367" s="81" t="n"/>
      <c r="BL367" s="81" t="n"/>
      <c r="BM367" s="81" t="n"/>
      <c r="BN367" s="81" t="n"/>
      <c r="BO367" s="81" t="n"/>
      <c r="BQ367" s="81" t="n"/>
      <c r="BR367" s="81" t="n"/>
      <c r="BS367" s="81" t="n"/>
      <c r="BT367" s="81" t="n"/>
      <c r="BV367" s="81" t="n"/>
      <c r="BW367" s="81" t="n"/>
      <c r="BX367" s="81" t="n"/>
      <c r="BY367" s="81" t="n"/>
      <c r="CA367" s="81" t="n"/>
      <c r="CB367" s="81" t="n"/>
      <c r="CC367" s="81" t="n"/>
      <c r="CD367" s="81" t="n"/>
      <c r="CF367" s="81" t="n"/>
      <c r="CG367" s="81" t="n"/>
      <c r="CH367" s="81" t="n"/>
      <c r="CI367" s="81" t="n"/>
      <c r="CK367" s="81" t="n"/>
      <c r="CL367" s="81" t="n"/>
      <c r="CM367" s="81" t="n"/>
      <c r="CN367" s="81" t="n"/>
      <c r="CP367" s="81" t="n"/>
      <c r="CQ367" s="81" t="n"/>
      <c r="CR367" s="81" t="n"/>
      <c r="CS367" s="81" t="n"/>
      <c r="CU367" s="81" t="n"/>
      <c r="CV367" s="81" t="n"/>
      <c r="CW367" s="81" t="n"/>
      <c r="CX367" s="81" t="n"/>
    </row>
    <row r="368" customFormat="1" s="77">
      <c r="A368" s="76" t="n"/>
      <c r="B368" s="76" t="n"/>
      <c r="C368" s="77" t="inlineStr">
        <is>
          <t>EQUITY MULTIPLIER (ASSETS / EQUITY)</t>
        </is>
      </c>
      <c r="D368" s="84" t="str">
        <f>IFERROR(D199/D273,"")</f>
        <v/>
      </c>
      <c r="E368" s="84" t="str">
        <f>IFERROR(E199/E273,"")</f>
        <v/>
      </c>
      <c r="F368" s="84" t="str">
        <f>IFERROR(F199/F273,"")</f>
        <v/>
      </c>
      <c r="G368" s="84" t="str">
        <f>IFERROR(G199/G273,"")</f>
        <v/>
      </c>
      <c r="H368" s="262" t="str">
        <f>IFERROR(IF(N(H273)&lt;&gt;0,H199/H273,""),"")</f>
        <v/>
      </c>
      <c r="I368" s="264">
        <f>IFERROR(IF(N(I273)&lt;&gt;0,I199/I273,""),"")</f>
        <v>1.93737138635203</v>
      </c>
      <c r="J368" s="264">
        <f>IFERROR(IF(N(J273)&lt;&gt;0,J199/J273,""),"")</f>
        <v>1.89711958587763</v>
      </c>
      <c r="K368" s="264">
        <f>IFERROR(IF(N(K273)&lt;&gt;0,K199/K273,""),"")</f>
        <v>1.89047585238895</v>
      </c>
      <c r="L368" s="264">
        <f>IFERROR(IF(N(L273)&lt;&gt;0,L199/L273,""),"")</f>
        <v>1.87068096436368</v>
      </c>
      <c r="M368" s="262">
        <f>IFERROR(IF(N(M273)&lt;&gt;0,M199/M273,""),"")</f>
        <v>1.87068096436368</v>
      </c>
      <c r="N368" s="264">
        <f>IFERROR(IF(N(N273)&lt;&gt;0,N199/N273,""),"")</f>
        <v>1.9252275665085</v>
      </c>
      <c r="O368" s="264">
        <f>IFERROR(IF(N(O273)&lt;&gt;0,O199/O273,""),"")</f>
        <v>1.925082119218</v>
      </c>
      <c r="P368" s="264">
        <f>IFERROR(IF(N(P273)&lt;&gt;0,P199/P273,""),"")</f>
        <v>1.92266228587697</v>
      </c>
      <c r="Q368" s="264">
        <f>IFERROR(IF(N(Q273)&lt;&gt;0,Q199/Q273,""),"")</f>
        <v>1.89568797231602</v>
      </c>
      <c r="R368" s="262">
        <f>IFERROR(IF(N(R273)&lt;&gt;0,R199/R273,""),"")</f>
        <v>1.89568797231602</v>
      </c>
      <c r="S368" s="264">
        <f>IFERROR(IF(N(S273)&lt;&gt;0,S199/S273,""),"")</f>
        <v>1.88294673419235</v>
      </c>
      <c r="T368" s="264">
        <f>IFERROR(IF(N(T273)&lt;&gt;0,T199/T273,""),"")</f>
        <v>1.94558639329633</v>
      </c>
      <c r="U368" s="264">
        <f>IFERROR(IF(N(U273)&lt;&gt;0,U199/U273,""),"")</f>
        <v>1.92846730269116</v>
      </c>
      <c r="V368" s="264">
        <f>IFERROR(IF(N(V273)&lt;&gt;0,V199/V273,""),"")</f>
        <v>1.92975359701156</v>
      </c>
      <c r="W368" s="262">
        <f>IFERROR(IF(N(W273)&lt;&gt;0,W199/W273,""),"")</f>
        <v>1.92975359701156</v>
      </c>
      <c r="X368" s="264">
        <f>IFERROR(IF(N(X273)&lt;&gt;0,X199/X273,""),"")</f>
        <v>1.95854310818969</v>
      </c>
      <c r="Y368" s="264">
        <f>IFERROR(IF(N(Y273)&lt;&gt;0,Y199/Y273,""),"")</f>
        <v>1.9388790666066</v>
      </c>
      <c r="Z368" s="264">
        <f>IFERROR(IF(N(Z273)&lt;&gt;0,Z199/Z273,""),"")</f>
        <v>1.90714092415971</v>
      </c>
      <c r="AA368" s="264">
        <f>IFERROR(IF(N(AA273)&lt;&gt;0,AA199/AA273,""),"")</f>
        <v>1.89385491730453</v>
      </c>
      <c r="AB368" s="262">
        <f>IFERROR(IF(N(AB273)&lt;&gt;0,AB199/AB273,""),"")</f>
        <v>1.89385491730453</v>
      </c>
      <c r="AC368" s="264">
        <f>IFERROR(IF(N(AC273)&lt;&gt;0,AC199/AC273,""),"")</f>
        <v>2.06682911429212</v>
      </c>
      <c r="AD368" s="264">
        <f>IFERROR(IF(N(AD273)&lt;&gt;0,AD199/AD273,""),"")</f>
        <v>2.11420850748445</v>
      </c>
      <c r="AE368" s="264">
        <f>IFERROR(IF(N(AE273)&lt;&gt;0,AE199/AE273,""),"")</f>
        <v>2.1613144597404</v>
      </c>
      <c r="AF368" s="264">
        <f>IFERROR(IF(N(AF273)&lt;&gt;0,AF199/AF273,""),"")</f>
        <v>2.14337491084431</v>
      </c>
      <c r="AG368" s="262">
        <f>IFERROR(IF(N(AG273)&lt;&gt;0,AG199/AG273,""),"")</f>
        <v>2.14337491084431</v>
      </c>
      <c r="AH368" s="264">
        <f>IFERROR(IF(N(AH273)&lt;&gt;0,AH199/AH273,""),"")</f>
        <v>2.11235701504402</v>
      </c>
      <c r="AI368" s="264">
        <f>IFERROR(IF(N(AI273)&lt;&gt;0,AI199/AI273,""),"")</f>
        <v>2.19207162995322</v>
      </c>
      <c r="AJ368" s="264">
        <f>IFERROR(IF(N(AJ273)&lt;&gt;0,AJ199/AJ273,""),"")</f>
        <v>2.12911023256669</v>
      </c>
      <c r="AK368" s="264">
        <f>IFERROR(IF(N(AK273)&lt;&gt;0,AK199/AK273,""),"")</f>
        <v>2.06844539072201</v>
      </c>
      <c r="AL368" s="262">
        <f>IFERROR(IF(N(AL273)&lt;&gt;0,AL199/AL273,""),"")</f>
        <v>2.06844539072201</v>
      </c>
      <c r="AM368" s="264">
        <f>IFERROR(IF(N(AM273)&lt;&gt;0,AM199/AM273,""),"")</f>
        <v>2.01284600549319</v>
      </c>
      <c r="AN368" s="264">
        <f>IFERROR(IF(N(AN273)&lt;&gt;0,AN199/AN273,""),"")</f>
        <v>1.96164966934055</v>
      </c>
      <c r="AO368" s="264">
        <f>IFERROR(IF(N(AO273)&lt;&gt;0,AO199/AO273,""),"")</f>
        <v>1.91586561966605</v>
      </c>
      <c r="AP368" s="264">
        <f>IFERROR(IF(N(AP273)&lt;&gt;0,AP199/AP273,""),"")</f>
        <v>1.873648719651</v>
      </c>
      <c r="AQ368" s="262">
        <f>IFERROR(IF(N(AQ273)&lt;&gt;0,AQ199/AQ273,""),"")</f>
        <v>1.873648719651</v>
      </c>
      <c r="AR368" s="264">
        <f>IFERROR(IF(N(AR273)&lt;&gt;0,AR199/AR273,""),"")</f>
        <v>1.83410464990361</v>
      </c>
      <c r="AS368" s="264">
        <f>IFERROR(IF(N(AS273)&lt;&gt;0,AS199/AS273,""),"")</f>
        <v>1.79749711562123</v>
      </c>
      <c r="AT368" s="264">
        <f>IFERROR(IF(N(AT273)&lt;&gt;0,AT199/AT273,""),"")</f>
        <v>1.76423211532123</v>
      </c>
      <c r="AU368" s="264">
        <f>IFERROR(IF(N(AU273)&lt;&gt;0,AU199/AU273,""),"")</f>
        <v>1.73338081294608</v>
      </c>
      <c r="AV368" s="262">
        <f>IFERROR(IF(N(AV273)&lt;&gt;0,AV199/AV273,""),"")</f>
        <v>1.73338081294608</v>
      </c>
      <c r="AW368" s="264">
        <f>IFERROR(IF(N(AW273)&lt;&gt;0,AW199/AW273,""),"")</f>
        <v>1.70439293814235</v>
      </c>
      <c r="AX368" s="264">
        <f>IFERROR(IF(N(AX273)&lt;&gt;0,AX199/AX273,""),"")</f>
        <v>1.67665485941592</v>
      </c>
      <c r="AY368" s="264">
        <f>IFERROR(IF(N(AY273)&lt;&gt;0,AY199/AY273,""),"")</f>
        <v>1.65154124725743</v>
      </c>
      <c r="AZ368" s="264">
        <f>IFERROR(IF(N(AZ273)&lt;&gt;0,AZ199/AZ273,""),"")</f>
        <v>1.62818512810666</v>
      </c>
      <c r="BA368" s="262">
        <f>IFERROR(IF(N(BA273)&lt;&gt;0,BA199/BA273,""),"")</f>
        <v>1.62818512810666</v>
      </c>
      <c r="BB368" s="264">
        <f>IFERROR(IF(N(BB273)&lt;&gt;0,BB199/BB273,""),"")</f>
        <v>1.60602241007579</v>
      </c>
      <c r="BC368" s="264">
        <f>IFERROR(IF(N(BC273)&lt;&gt;0,BC199/BC273,""),"")</f>
        <v>1.58451188655201</v>
      </c>
      <c r="BD368" s="264">
        <f>IFERROR(IF(N(BD273)&lt;&gt;0,BD199/BD273,""),"")</f>
        <v>1.56498941081673</v>
      </c>
      <c r="BE368" s="264">
        <f>IFERROR(IF(N(BE273)&lt;&gt;0,BE199/BE273,""),"")</f>
        <v>1.5468210781511</v>
      </c>
      <c r="BF368" s="262">
        <f>IFERROR(IF(N(BF273)&lt;&gt;0,BF199/BF273,""),"")</f>
        <v>1.5468210781511</v>
      </c>
      <c r="BG368" s="81" t="n"/>
      <c r="BH368" s="81" t="n"/>
      <c r="BI368" s="81" t="n"/>
      <c r="BJ368" s="81" t="n"/>
      <c r="BL368" s="81" t="n"/>
      <c r="BM368" s="81" t="n"/>
      <c r="BN368" s="81" t="n"/>
      <c r="BO368" s="81" t="n"/>
      <c r="BQ368" s="81" t="n"/>
      <c r="BR368" s="81" t="n"/>
      <c r="BS368" s="81" t="n"/>
      <c r="BT368" s="81" t="n"/>
      <c r="BV368" s="81" t="n"/>
      <c r="BW368" s="81" t="n"/>
      <c r="BX368" s="81" t="n"/>
      <c r="BY368" s="81" t="n"/>
      <c r="CA368" s="81" t="n"/>
      <c r="CB368" s="81" t="n"/>
      <c r="CC368" s="81" t="n"/>
      <c r="CD368" s="81" t="n"/>
      <c r="CF368" s="81" t="n"/>
      <c r="CG368" s="81" t="n"/>
      <c r="CH368" s="81" t="n"/>
      <c r="CI368" s="81" t="n"/>
      <c r="CK368" s="81" t="n"/>
      <c r="CL368" s="81" t="n"/>
      <c r="CM368" s="81" t="n"/>
      <c r="CN368" s="81" t="n"/>
      <c r="CP368" s="81" t="n"/>
      <c r="CQ368" s="81" t="n"/>
      <c r="CR368" s="81" t="n"/>
      <c r="CS368" s="81" t="n"/>
      <c r="CU368" s="81" t="n"/>
      <c r="CV368" s="81" t="n"/>
      <c r="CW368" s="81" t="n"/>
      <c r="CX368" s="81" t="n"/>
    </row>
    <row r="369" customFormat="1" s="77">
      <c r="A369" s="76" t="n"/>
      <c r="B369" s="76" t="n"/>
      <c r="C369" s="77" t="inlineStr">
        <is>
          <t>ROE - DUPONT</t>
        </is>
      </c>
      <c r="D369" s="84">
        <f>IFERROR(PRODUCT(D366:D368),"")</f>
        <v>0</v>
      </c>
      <c r="E369" s="84">
        <f>IFERROR(PRODUCT(E366:E368),"")</f>
        <v>0</v>
      </c>
      <c r="F369" s="84">
        <f>IFERROR(PRODUCT(F366:F368),"")</f>
        <v>0</v>
      </c>
      <c r="G369" s="84">
        <f>IFERROR(PRODUCT(G366:G368),"")</f>
        <v>0</v>
      </c>
      <c r="H369" s="258" t="str">
        <f>IFERROR(IF(COUNT(H366,H367,H368)=3,H366*H367*H368,""),"")</f>
        <v/>
      </c>
      <c r="I369" s="257" t="str">
        <f>IFERROR(IF(COUNT(I366,I367,I368)=3,I366*I367*I368,""),"")</f>
        <v/>
      </c>
      <c r="J369" s="257" t="str">
        <f>IFERROR(IF(COUNT(J366,J367,J368)=3,J366*J367*J368,""),"")</f>
        <v/>
      </c>
      <c r="K369" s="257" t="str">
        <f>IFERROR(IF(COUNT(K366,K367,K368)=3,K366*K367*K368,""),"")</f>
        <v/>
      </c>
      <c r="L369" s="257">
        <f>IFERROR(IF(COUNT(L366,L367,L368)=3,L366*L367*L368,""),"")</f>
        <v>0.150470168566618</v>
      </c>
      <c r="M369" s="258">
        <f>IFERROR(IF(COUNT(M366,M367,M368)=3,M366*M367*M368,""),"")</f>
        <v>0.150470168566618</v>
      </c>
      <c r="N369" s="257">
        <f>IFERROR(IF(COUNT(N366,N367,N368)=3,N366*N367*N368,""),"")</f>
        <v>0.150658032988737</v>
      </c>
      <c r="O369" s="257">
        <f>IFERROR(IF(COUNT(O366,O367,O368)=3,O366*O367*O368,""),"")</f>
        <v>0.138306860197302</v>
      </c>
      <c r="P369" s="257">
        <f>IFERROR(IF(COUNT(P366,P367,P368)=3,P366*P367*P368,""),"")</f>
        <v>0.134687163523504</v>
      </c>
      <c r="Q369" s="257">
        <f>IFERROR(IF(COUNT(Q366,Q367,Q368)=3,Q366*Q367*Q368,""),"")</f>
        <v>0.131051873092257</v>
      </c>
      <c r="R369" s="258">
        <f>IFERROR(IF(COUNT(R366,R367,R368)=3,R366*R367*R368,""),"")</f>
        <v>0.131051873092257</v>
      </c>
      <c r="S369" s="257">
        <f>IFERROR(IF(COUNT(S366,S367,S368)=3,S366*S367*S368,""),"")</f>
        <v>0.1294869653535</v>
      </c>
      <c r="T369" s="257">
        <f>IFERROR(IF(COUNT(T366,T367,T368)=3,T366*T367*T368,""),"")</f>
        <v>0.150272845457094</v>
      </c>
      <c r="U369" s="257">
        <f>IFERROR(IF(COUNT(U366,U367,U368)=3,U366*U367*U368,""),"")</f>
        <v>0.156831956592903</v>
      </c>
      <c r="V369" s="257">
        <f>IFERROR(IF(COUNT(V366,V367,V368)=3,V366*V367*V368,""),"")</f>
        <v>0.154282855442212</v>
      </c>
      <c r="W369" s="258">
        <f>IFERROR(IF(COUNT(W366,W367,W368)=3,W366*W367*W368,""),"")</f>
        <v>0.154282855442212</v>
      </c>
      <c r="X369" s="257">
        <f>IFERROR(IF(COUNT(X366,X367,X368)=3,X366*X367*X368,""),"")</f>
        <v>0.154406378314647</v>
      </c>
      <c r="Y369" s="257">
        <f>IFERROR(IF(COUNT(Y366,Y367,Y368)=3,Y366*Y367*Y368,""),"")</f>
        <v>0.148984135447821</v>
      </c>
      <c r="Z369" s="257">
        <f>IFERROR(IF(COUNT(Z366,Z367,Z368)=3,Z366*Z367*Z368,""),"")</f>
        <v>0.141825429173339</v>
      </c>
      <c r="AA369" s="257">
        <f>IFERROR(IF(COUNT(AA366,AA367,AA368)=3,AA366*AA367*AA368,""),"")</f>
        <v>0.142708358440209</v>
      </c>
      <c r="AB369" s="258">
        <f>IFERROR(IF(COUNT(AB366,AB367,AB368)=3,AB366*AB367*AB368,""),"")</f>
        <v>0.142708358440209</v>
      </c>
      <c r="AC369" s="257">
        <f>IFERROR(IF(COUNT(AC366,AC367,AC368)=3,AC366*AC367*AC368,""),"")</f>
        <v>0.197229140877483</v>
      </c>
      <c r="AD369" s="257">
        <f>IFERROR(IF(COUNT(AD366,AD367,AD368)=3,AD366*AD367*AD368,""),"")</f>
        <v>0.191970575102174</v>
      </c>
      <c r="AE369" s="257">
        <f>IFERROR(IF(COUNT(AE366,AE367,AE368)=3,AE366*AE367*AE368,""),"")</f>
        <v>0.177139381750383</v>
      </c>
      <c r="AF369" s="257">
        <f>IFERROR(IF(COUNT(AF366,AF367,AF368)=3,AF366*AF367*AF368,""),"")</f>
        <v>0.195737355562105</v>
      </c>
      <c r="AG369" s="258">
        <f>IFERROR(IF(COUNT(AG366,AG367,AG368)=3,AG366*AG367*AG368,""),"")</f>
        <v>0.168416333266682</v>
      </c>
      <c r="AH369" s="257">
        <f>IFERROR(IF(COUNT(AH366,AH367,AH368)=3,AH366*AH367*AH368,""),"")</f>
        <v>0.240733211122556</v>
      </c>
      <c r="AI369" s="257">
        <f>IFERROR(IF(COUNT(AI366,AI367,AI368)=3,AI366*AI367*AI368,""),"")</f>
        <v>0.179570013735271</v>
      </c>
      <c r="AJ369" s="257">
        <f>IFERROR(IF(COUNT(AJ366,AJ367,AJ368)=3,AJ366*AJ367*AJ368,""),"")</f>
        <v>0.0725080455746299</v>
      </c>
      <c r="AK369" s="257">
        <f>IFERROR(IF(COUNT(AK366,AK367,AK368)=3,AK366*AK367*AK368,""),"")</f>
        <v>0.097515680631865</v>
      </c>
      <c r="AL369" s="258">
        <f>IFERROR(IF(COUNT(AL366,AL367,AL368)=3,AL366*AL367*AL368,""),"")</f>
        <v>0.097515680631865</v>
      </c>
      <c r="AM369" s="257">
        <f>IFERROR(IF(COUNT(AM366,AM367,AM368)=3,AM366*AM367*AM368,""),"")</f>
        <v>0.12184605226766</v>
      </c>
      <c r="AN369" s="257">
        <f>IFERROR(IF(COUNT(AN366,AN367,AN368)=3,AN366*AN367*AN368,""),"")</f>
        <v>0.199393951974776</v>
      </c>
      <c r="AO369" s="257">
        <f>IFERROR(IF(COUNT(AO366,AO367,AO368)=3,AO366*AO367*AO368,""),"")</f>
        <v>0.192770801966352</v>
      </c>
      <c r="AP369" s="257">
        <f>IFERROR(IF(COUNT(AP366,AP367,AP368)=3,AP366*AP367*AP368,""),"")</f>
        <v>0.186484178627643</v>
      </c>
      <c r="AQ369" s="258">
        <f>IFERROR(IF(COUNT(AQ366,AQ367,AQ368)=3,AQ366*AQ367*AQ368,""),"")</f>
        <v>0.186484178627643</v>
      </c>
      <c r="AR369" s="257">
        <f>IFERROR(IF(COUNT(AR366,AR367,AR368)=3,AR366*AR367*AR368,""),"")</f>
        <v>0.180435589321761</v>
      </c>
      <c r="AS369" s="257">
        <f>IFERROR(IF(COUNT(AS366,AS367,AS368)=3,AS366*AS367*AS368,""),"")</f>
        <v>0.175053802177602</v>
      </c>
      <c r="AT369" s="257">
        <f>IFERROR(IF(COUNT(AT366,AT367,AT368)=3,AT366*AT367*AT368,""),"")</f>
        <v>0.170067582044692</v>
      </c>
      <c r="AU369" s="257">
        <f>IFERROR(IF(COUNT(AU366,AU367,AU368)=3,AU366*AU367*AU368,""),"")</f>
        <v>0.165278633153133</v>
      </c>
      <c r="AV369" s="258">
        <f>IFERROR(IF(COUNT(AV366,AV367,AV368)=3,AV366*AV367*AV368,""),"")</f>
        <v>0.165278633153133</v>
      </c>
      <c r="AW369" s="257">
        <f>IFERROR(IF(COUNT(AW366,AW367,AW368)=3,AW366*AW367*AW368,""),"")</f>
        <v>0.16061370308981</v>
      </c>
      <c r="AX369" s="257">
        <f>IFERROR(IF(COUNT(AX366,AX367,AX368)=3,AX366*AX367*AX368,""),"")</f>
        <v>0.156418984566914</v>
      </c>
      <c r="AY369" s="257">
        <f>IFERROR(IF(COUNT(AY366,AY367,AY368)=3,AY366*AY367*AY368,""),"")</f>
        <v>0.152494992209501</v>
      </c>
      <c r="AZ369" s="257">
        <f>IFERROR(IF(COUNT(AZ366,AZ367,AZ368)=3,AZ366*AZ367*AZ368,""),"")</f>
        <v>0.148691723896593</v>
      </c>
      <c r="BA369" s="258">
        <f>IFERROR(IF(COUNT(BA366,BA367,BA368)=3,BA366*BA367*BA368,""),"")</f>
        <v>0.148691723896593</v>
      </c>
      <c r="BB369" s="257">
        <f>IFERROR(IF(COUNT(BB366,BB367,BB368)=3,BB366*BB367*BB368,""),"")</f>
        <v>0.144951079935086</v>
      </c>
      <c r="BC369" s="257">
        <f>IFERROR(IF(COUNT(BC366,BC367,BC368)=3,BC366*BC367*BC368,""),"")</f>
        <v>0.14155930126989</v>
      </c>
      <c r="BD369" s="257">
        <f>IFERROR(IF(COUNT(BD366,BD367,BD368)=3,BD366*BD367*BD368,""),"")</f>
        <v>0.138361976692384</v>
      </c>
      <c r="BE369" s="257">
        <f>IFERROR(IF(COUNT(BE366,BE367,BE368)=3,BE366*BE367*BE368,""),"")</f>
        <v>0.135240207953288</v>
      </c>
      <c r="BF369" s="258">
        <f>IFERROR(IF(COUNT(BF366,BF367,BF368)=3,BF366*BF367*BF368,""),"")</f>
        <v>0.135240207953288</v>
      </c>
      <c r="BG369" s="81" t="n"/>
      <c r="BH369" s="81" t="n"/>
      <c r="BI369" s="81" t="n"/>
      <c r="BJ369" s="81" t="n"/>
      <c r="BL369" s="81" t="n"/>
      <c r="BM369" s="81" t="n"/>
      <c r="BN369" s="81" t="n"/>
      <c r="BO369" s="81" t="n"/>
      <c r="BQ369" s="81" t="n"/>
      <c r="BR369" s="81" t="n"/>
      <c r="BS369" s="81" t="n"/>
      <c r="BT369" s="81" t="n"/>
      <c r="BV369" s="81" t="n"/>
      <c r="BW369" s="81" t="n"/>
      <c r="BX369" s="81" t="n"/>
      <c r="BY369" s="81" t="n"/>
      <c r="CA369" s="81" t="n"/>
      <c r="CB369" s="81" t="n"/>
      <c r="CC369" s="81" t="n"/>
      <c r="CD369" s="81" t="n"/>
      <c r="CF369" s="81" t="n"/>
      <c r="CG369" s="81" t="n"/>
      <c r="CH369" s="81" t="n"/>
      <c r="CI369" s="81" t="n"/>
      <c r="CK369" s="81" t="n"/>
      <c r="CL369" s="81" t="n"/>
      <c r="CM369" s="81" t="n"/>
      <c r="CN369" s="81" t="n"/>
      <c r="CP369" s="81" t="n"/>
      <c r="CQ369" s="81" t="n"/>
      <c r="CR369" s="81" t="n"/>
      <c r="CS369" s="81" t="n"/>
      <c r="CU369" s="81" t="n"/>
      <c r="CV369" s="81" t="n"/>
      <c r="CW369" s="81" t="n"/>
      <c r="CX369" s="81" t="n"/>
    </row>
    <row r="370" customFormat="1" s="77">
      <c r="A370" s="76" t="n"/>
      <c r="B370" s="76" t="n"/>
      <c r="C370" s="77" t="inlineStr">
        <is>
          <t>ROE (LTM)</t>
        </is>
      </c>
      <c r="D370" s="84" t="str">
        <f>IFERROR(D139/D273,"")</f>
        <v/>
      </c>
      <c r="E370" s="84" t="str">
        <f>IFERROR(E139/E273,"")</f>
        <v/>
      </c>
      <c r="F370" s="84" t="str">
        <f>IFERROR(F139/F273,"")</f>
        <v/>
      </c>
      <c r="G370" s="84" t="str">
        <f>IFERROR(G139/G273,"")</f>
        <v/>
      </c>
      <c r="H370" s="258" t="str">
        <f>IFERROR(IF(AND(COUNT(H139)=1,N(H273)&lt;&gt;0),(H139)/H273,""),"")</f>
        <v/>
      </c>
      <c r="I370" s="257" t="str">
        <f>""</f>
        <v/>
      </c>
      <c r="J370" s="257" t="str">
        <f>""</f>
        <v/>
      </c>
      <c r="K370" s="257" t="str">
        <f>""</f>
        <v/>
      </c>
      <c r="L370" s="257">
        <f>IFERROR(IF(AND(COUNT(I139,J139,K139,L139)=4,N(L273)&lt;&gt;0),(I139+J139+K139+L139)/L273,""),"")</f>
        <v>0.150470168566618</v>
      </c>
      <c r="M370" s="258">
        <f>IFERROR(IF(AND(COUNT(I139,J139,K139,L139)=4,N(M273)&lt;&gt;0),(I139+J139+K139+L139)/M273,""),"")</f>
        <v>0.150470168566618</v>
      </c>
      <c r="N370" s="257">
        <f>IFERROR(IF(AND(COUNT(J139,K139,L139,N139)=4,N(N273)&lt;&gt;0),(J139+K139+L139+N139)/N273,""),"")</f>
        <v>0.150658032988737</v>
      </c>
      <c r="O370" s="257">
        <f>IFERROR(IF(AND(COUNT(K139,L139,N139,O139)=4,N(O273)&lt;&gt;0),(K139+L139+N139+O139)/O273,""),"")</f>
        <v>0.138306860197302</v>
      </c>
      <c r="P370" s="257">
        <f>IFERROR(IF(AND(COUNT(L139,N139,O139,P139)=4,N(P273)&lt;&gt;0),(L139+N139+O139+P139)/P273,""),"")</f>
        <v>0.134687163523504</v>
      </c>
      <c r="Q370" s="257">
        <f>IFERROR(IF(AND(COUNT(N139,O139,P139,Q139)=4,N(Q273)&lt;&gt;0),(N139+O139+P139+Q139)/Q273,""),"")</f>
        <v>0.131051873092257</v>
      </c>
      <c r="R370" s="258">
        <f>IFERROR(IF(AND(COUNT(N139,O139,P139,Q139)=4,N(R273)&lt;&gt;0),(N139+O139+P139+Q139)/R273,""),"")</f>
        <v>0.131051873092257</v>
      </c>
      <c r="S370" s="257">
        <f>IFERROR(IF(AND(COUNT(O139,P139,Q139,S139)=4,N(S273)&lt;&gt;0),(O139+P139+Q139+S139)/S273,""),"")</f>
        <v>0.1294869653535</v>
      </c>
      <c r="T370" s="257">
        <f>IFERROR(IF(AND(COUNT(P139,Q139,S139,T139)=4,N(T273)&lt;&gt;0),(P139+Q139+S139+T139)/T273,""),"")</f>
        <v>0.150272845457094</v>
      </c>
      <c r="U370" s="257">
        <f>IFERROR(IF(AND(COUNT(Q139,S139,T139,U139)=4,N(U273)&lt;&gt;0),(Q139+S139+T139+U139)/U273,""),"")</f>
        <v>0.156831956592903</v>
      </c>
      <c r="V370" s="257">
        <f>IFERROR(IF(AND(COUNT(S139,T139,U139,V139)=4,N(V273)&lt;&gt;0),(S139+T139+U139+V139)/V273,""),"")</f>
        <v>0.154282855442212</v>
      </c>
      <c r="W370" s="258">
        <f>IFERROR(IF(AND(COUNT(S139,T139,U139,V139)=4,N(W273)&lt;&gt;0),(S139+T139+U139+V139)/W273,""),"")</f>
        <v>0.154282855442212</v>
      </c>
      <c r="X370" s="257">
        <f>IFERROR(IF(AND(COUNT(T139,U139,V139,X139)=4,N(X273)&lt;&gt;0),(T139+U139+V139+X139)/X273,""),"")</f>
        <v>0.154406378314647</v>
      </c>
      <c r="Y370" s="257">
        <f>IFERROR(IF(AND(COUNT(U139,V139,X139,Y139)=4,N(Y273)&lt;&gt;0),(U139+V139+X139+Y139)/Y273,""),"")</f>
        <v>0.148984135447821</v>
      </c>
      <c r="Z370" s="257">
        <f>IFERROR(IF(AND(COUNT(V139,X139,Y139,Z139)=4,N(Z273)&lt;&gt;0),(V139+X139+Y139+Z139)/Z273,""),"")</f>
        <v>0.141825429173339</v>
      </c>
      <c r="AA370" s="257">
        <f>IFERROR(IF(AND(COUNT(X139,Y139,Z139,AA139)=4,N(AA273)&lt;&gt;0),(X139+Y139+Z139+AA139)/AA273,""),"")</f>
        <v>0.142708358440209</v>
      </c>
      <c r="AB370" s="258">
        <f>IFERROR(IF(AND(COUNT(X139,Y139,Z139,AA139)=4,N(AB273)&lt;&gt;0),(X139+Y139+Z139+AA139)/AB273,""),"")</f>
        <v>0.142708358440209</v>
      </c>
      <c r="AC370" s="257">
        <f>IFERROR(IF(AND(COUNT(Y139,Z139,AA139,AC139)=4,N(AC273)&lt;&gt;0),(Y139+Z139+AA139+AC139)/AC273,""),"")</f>
        <v>0.197229140877483</v>
      </c>
      <c r="AD370" s="257">
        <f>IFERROR(IF(AND(COUNT(Z139,AA139,AC139,AD139)=4,N(AD273)&lt;&gt;0),(Z139+AA139+AC139+AD139)/AD273,""),"")</f>
        <v>0.191970575102174</v>
      </c>
      <c r="AE370" s="257">
        <f>IFERROR(IF(AND(COUNT(AA139,AC139,AD139,AE139)=4,N(AE273)&lt;&gt;0),(AA139+AC139+AD139+AE139)/AE273,""),"")</f>
        <v>0.177139381750383</v>
      </c>
      <c r="AF370" s="257">
        <f>IFERROR(IF(AND(COUNT(AB139,AD139,AE139,AF139)=4,N(AF273)&lt;&gt;0),(AB139+AD139+AE139+AF139)/AF273,""),"")</f>
        <v>0.195737355562105</v>
      </c>
      <c r="AG370" s="258">
        <f>IFERROR(IF(AND(COUNT(AC139,AD139,AE139,AF139)=4,N(AG273)&lt;&gt;0),(AC139+AD139+AE139+AF139)/AG273,""),"")</f>
        <v>0.168416333266682</v>
      </c>
      <c r="AH370" s="257">
        <f>IFERROR(IF(AND(COUNT(AD139,AF139,AG139,AH139)=4,N(AH273)&lt;&gt;0),(AD139+AF139+AG139+AH139)/AH273,""),"")</f>
        <v>0.240733211122556</v>
      </c>
      <c r="AI370" s="257">
        <f>IFERROR(IF(AND(COUNT(AE139,AG139,AH139,AI139)=4,N(AI273)&lt;&gt;0),(AE139+AG139+AH139+AI139)/AI273,""),"")</f>
        <v>0.179570013735271</v>
      </c>
      <c r="AJ370" s="257">
        <f>IFERROR(IF(AND(COUNT(AF139,AH139,AI139,AJ139)=4,N(AJ273)&lt;&gt;0),(AF139+AH139+AI139+AJ139)/AJ273,""),"")</f>
        <v>0.0725080455746299</v>
      </c>
      <c r="AK370" s="257">
        <f>IFERROR(IF(AND(COUNT(AH139,AI139,AJ139,AK139)=4,N(AK273)&lt;&gt;0),(AH139+AI139+AJ139+AK139)/AK273,""),"")</f>
        <v>0.097515680631865</v>
      </c>
      <c r="AL370" s="258">
        <f>IFERROR(IF(AND(COUNT(AH139,AI139,AJ139,AK139)=4,N(AL273)&lt;&gt;0),(AH139+AI139+AJ139+AK139)/AL273,""),"")</f>
        <v>0.097515680631865</v>
      </c>
      <c r="AM370" s="257">
        <f>IFERROR(IF(AND(COUNT(AI139,AJ139,AK139,AM139)=4,N(AM273)&lt;&gt;0),(AI139+AJ139+AK139+AM139)/AM273,""),"")</f>
        <v>0.12184605226766</v>
      </c>
      <c r="AN370" s="257">
        <f>IFERROR(IF(AND(COUNT(AJ139,AK139,AM139,AN139)=4,N(AN273)&lt;&gt;0),(AJ139+AK139+AM139+AN139)/AN273,""),"")</f>
        <v>0.199393951974776</v>
      </c>
      <c r="AO370" s="257">
        <f>IFERROR(IF(AND(COUNT(AK139,AM139,AN139,AO139)=4,N(AO273)&lt;&gt;0),(AK139+AM139+AN139+AO139)/AO273,""),"")</f>
        <v>0.192770801966352</v>
      </c>
      <c r="AP370" s="257">
        <f>IFERROR(IF(AND(COUNT(AM139,AN139,AO139,AP139)=4,N(AP273)&lt;&gt;0),(AM139+AN139+AO139+AP139)/AP273,""),"")</f>
        <v>0.186484178627643</v>
      </c>
      <c r="AQ370" s="258">
        <f>IFERROR(IF(AND(COUNT(AM139,AN139,AO139,AP139)=4,N(AQ273)&lt;&gt;0),(AM139+AN139+AO139+AP139)/AQ273,""),"")</f>
        <v>0.186484178627643</v>
      </c>
      <c r="AR370" s="257">
        <f>IFERROR(IF(AND(COUNT(AN139,AO139,AP139,AR139)=4,N(AR273)&lt;&gt;0),(AN139+AO139+AP139+AR139)/AR273,""),"")</f>
        <v>0.180435589321761</v>
      </c>
      <c r="AS370" s="257">
        <f>IFERROR(IF(AND(COUNT(AO139,AP139,AR139,AS139)=4,N(AS273)&lt;&gt;0),(AO139+AP139+AR139+AS139)/AS273,""),"")</f>
        <v>0.175053802177602</v>
      </c>
      <c r="AT370" s="257">
        <f>IFERROR(IF(AND(COUNT(AP139,AR139,AS139,AT139)=4,N(AT273)&lt;&gt;0),(AP139+AR139+AS139+AT139)/AT273,""),"")</f>
        <v>0.170067582044692</v>
      </c>
      <c r="AU370" s="257">
        <f>IFERROR(IF(AND(COUNT(AR139,AS139,AT139,AU139)=4,N(AU273)&lt;&gt;0),(AR139+AS139+AT139+AU139)/AU273,""),"")</f>
        <v>0.165278633153133</v>
      </c>
      <c r="AV370" s="258">
        <f>IFERROR(IF(AND(COUNT(AR139,AS139,AT139,AU139)=4,N(AV273)&lt;&gt;0),(AR139+AS139+AT139+AU139)/AV273,""),"")</f>
        <v>0.165278633153133</v>
      </c>
      <c r="AW370" s="257">
        <f>IFERROR(IF(AND(COUNT(AS139,AT139,AU139,AW139)=4,N(AW273)&lt;&gt;0),(AS139+AT139+AU139+AW139)/AW273,""),"")</f>
        <v>0.16061370308981</v>
      </c>
      <c r="AX370" s="257">
        <f>IFERROR(IF(AND(COUNT(AT139,AU139,AW139,AX139)=4,N(AX273)&lt;&gt;0),(AT139+AU139+AW139+AX139)/AX273,""),"")</f>
        <v>0.156418984566914</v>
      </c>
      <c r="AY370" s="257">
        <f>IFERROR(IF(AND(COUNT(AU139,AW139,AX139,AY139)=4,N(AY273)&lt;&gt;0),(AU139+AW139+AX139+AY139)/AY273,""),"")</f>
        <v>0.152494992209501</v>
      </c>
      <c r="AZ370" s="257">
        <f>IFERROR(IF(AND(COUNT(AW139,AX139,AY139,AZ139)=4,N(AZ273)&lt;&gt;0),(AW139+AX139+AY139+AZ139)/AZ273,""),"")</f>
        <v>0.148691723896593</v>
      </c>
      <c r="BA370" s="258">
        <f>IFERROR(IF(AND(COUNT(AW139,AX139,AY139,AZ139)=4,N(BA273)&lt;&gt;0),(AW139+AX139+AY139+AZ139)/BA273,""),"")</f>
        <v>0.148691723896593</v>
      </c>
      <c r="BB370" s="257">
        <f>IFERROR(IF(AND(COUNT(AX139,AY139,AZ139,BB139)=4,N(BB273)&lt;&gt;0),(AX139+AY139+AZ139+BB139)/BB273,""),"")</f>
        <v>0.144951079935086</v>
      </c>
      <c r="BC370" s="257">
        <f>IFERROR(IF(AND(COUNT(AY139,AZ139,BB139,BC139)=4,N(BC273)&lt;&gt;0),(AY139+AZ139+BB139+BC139)/BC273,""),"")</f>
        <v>0.14155930126989</v>
      </c>
      <c r="BD370" s="257">
        <f>IFERROR(IF(AND(COUNT(AZ139,BB139,BC139,BD139)=4,N(BD273)&lt;&gt;0),(AZ139+BB139+BC139+BD139)/BD273,""),"")</f>
        <v>0.138361976692384</v>
      </c>
      <c r="BE370" s="257">
        <f>IFERROR(IF(AND(COUNT(BB139,BC139,BD139,BE139)=4,N(BE273)&lt;&gt;0),(BB139+BC139+BD139+BE139)/BE273,""),"")</f>
        <v>0.135240207953288</v>
      </c>
      <c r="BF370" s="258">
        <f>IFERROR(IF(AND(COUNT(BB139,BC139,BD139,BE139)=4,N(BF273)&lt;&gt;0),(BB139+BC139+BD139+BE139)/BF273,""),"")</f>
        <v>0.135240207953288</v>
      </c>
      <c r="BG370" s="81" t="n"/>
      <c r="BH370" s="81" t="n"/>
      <c r="BI370" s="81" t="n"/>
      <c r="BJ370" s="81" t="n"/>
      <c r="BL370" s="81" t="n"/>
      <c r="BM370" s="81" t="n"/>
      <c r="BN370" s="81" t="n"/>
      <c r="BO370" s="81" t="n"/>
      <c r="BQ370" s="81" t="n"/>
      <c r="BR370" s="81" t="n"/>
      <c r="BS370" s="81" t="n"/>
      <c r="BT370" s="81" t="n"/>
      <c r="BV370" s="81" t="n"/>
      <c r="BW370" s="81" t="n"/>
      <c r="BX370" s="81" t="n"/>
      <c r="BY370" s="81" t="n"/>
      <c r="CA370" s="81" t="n"/>
      <c r="CB370" s="81" t="n"/>
      <c r="CC370" s="81" t="n"/>
      <c r="CD370" s="81" t="n"/>
      <c r="CF370" s="81" t="n"/>
      <c r="CG370" s="81" t="n"/>
      <c r="CH370" s="81" t="n"/>
      <c r="CI370" s="81" t="n"/>
      <c r="CK370" s="81" t="n"/>
      <c r="CL370" s="81" t="n"/>
      <c r="CM370" s="81" t="n"/>
      <c r="CN370" s="81" t="n"/>
      <c r="CP370" s="81" t="n"/>
      <c r="CQ370" s="81" t="n"/>
      <c r="CR370" s="81" t="n"/>
      <c r="CS370" s="81" t="n"/>
      <c r="CU370" s="81" t="n"/>
      <c r="CV370" s="81" t="n"/>
      <c r="CW370" s="81" t="n"/>
      <c r="CX370" s="81" t="n"/>
    </row>
    <row r="371"/>
    <row r="372">
      <c r="C372" s="73" t="inlineStr">
        <is>
          <t>Scenario Analysis</t>
        </is>
      </c>
      <c r="D372" s="73" t="n"/>
      <c r="E372" s="73" t="n"/>
      <c r="F372" s="73" t="n"/>
      <c r="G372" s="73" t="n"/>
      <c r="H372" s="73" t="n"/>
      <c r="I372" s="73" t="n"/>
      <c r="J372" s="73" t="n"/>
      <c r="K372" s="73" t="n"/>
      <c r="L372" s="73" t="n"/>
      <c r="M372" s="73" t="n"/>
      <c r="N372" s="73" t="n"/>
      <c r="O372" s="73" t="n"/>
      <c r="P372" s="73" t="n"/>
      <c r="Q372" s="73" t="n"/>
      <c r="R372" s="73" t="n"/>
      <c r="S372" s="73" t="n"/>
      <c r="T372" s="73" t="n"/>
      <c r="U372" s="73" t="n"/>
      <c r="V372" s="73" t="n"/>
      <c r="W372" s="73" t="n"/>
      <c r="X372" s="73" t="n"/>
      <c r="Y372" s="73" t="n"/>
      <c r="Z372" s="73" t="n"/>
      <c r="AA372" s="73" t="n"/>
      <c r="AB372" s="73" t="n"/>
      <c r="AC372" s="73" t="n"/>
      <c r="AD372" s="73" t="n"/>
      <c r="AE372" s="73" t="n"/>
      <c r="AF372" s="73" t="n"/>
      <c r="AG372" s="73" t="n"/>
      <c r="AH372" s="73" t="n"/>
      <c r="AI372" s="73" t="n"/>
      <c r="AJ372" s="73" t="n"/>
      <c r="AK372" s="73" t="n"/>
      <c r="AL372" s="73" t="n"/>
      <c r="AM372" s="73" t="n"/>
      <c r="AN372" s="73" t="n"/>
      <c r="AO372" s="73" t="n"/>
      <c r="AP372" s="73" t="n"/>
      <c r="AQ372" s="73" t="n"/>
      <c r="AR372" s="73" t="n"/>
      <c r="AS372" s="73" t="n"/>
      <c r="AT372" s="73" t="n"/>
      <c r="AU372" s="73" t="n"/>
      <c r="AV372" s="73" t="n"/>
      <c r="AW372" s="73" t="n"/>
      <c r="AX372" s="73" t="n"/>
      <c r="AY372" s="73" t="n"/>
      <c r="AZ372" s="73" t="n"/>
      <c r="BA372" s="73" t="n"/>
      <c r="BB372" s="73" t="n"/>
      <c r="BC372" s="73" t="n"/>
      <c r="BD372" s="73" t="n"/>
      <c r="BE372" s="73" t="n"/>
      <c r="BF372" s="73" t="n"/>
      <c r="BG372" s="73" t="n"/>
      <c r="BH372" s="73" t="n"/>
      <c r="BI372" s="73" t="n"/>
      <c r="BJ372" s="73" t="n"/>
      <c r="BK372" s="73" t="n"/>
      <c r="BL372" s="73" t="n"/>
      <c r="BM372" s="73" t="n"/>
      <c r="BN372" s="73" t="n"/>
      <c r="BO372" s="73" t="n"/>
      <c r="BP372" s="73" t="n"/>
      <c r="BQ372" s="73" t="n"/>
      <c r="BR372" s="73" t="n"/>
      <c r="BS372" s="73" t="n"/>
      <c r="BT372" s="73" t="n"/>
      <c r="BU372" s="73" t="n"/>
      <c r="BV372" s="73" t="n"/>
      <c r="BW372" s="73" t="n"/>
      <c r="BX372" s="73" t="n"/>
      <c r="BY372" s="73" t="n"/>
      <c r="BZ372" s="73" t="n"/>
      <c r="CA372" s="73" t="n"/>
      <c r="CB372" s="73" t="n"/>
      <c r="CC372" s="73" t="n"/>
      <c r="CD372" s="73" t="n"/>
      <c r="CE372" s="73" t="n"/>
      <c r="CF372" s="73" t="n"/>
      <c r="CG372" s="73" t="n"/>
      <c r="CH372" s="73" t="n"/>
      <c r="CI372" s="73" t="n"/>
      <c r="CJ372" s="73" t="n"/>
      <c r="CK372" s="73" t="n"/>
      <c r="CL372" s="73" t="n"/>
      <c r="CM372" s="73" t="n"/>
      <c r="CN372" s="73" t="n"/>
      <c r="CO372" s="73" t="n"/>
      <c r="CP372" s="73" t="n"/>
      <c r="CQ372" s="73" t="n"/>
      <c r="CR372" s="73" t="n"/>
      <c r="CS372" s="73" t="n"/>
      <c r="CT372" s="73" t="n"/>
      <c r="CU372" s="73" t="n"/>
      <c r="CV372" s="73" t="n"/>
      <c r="CW372" s="73" t="n"/>
      <c r="CX372" s="73" t="n"/>
      <c r="CY372" s="73" t="n"/>
    </row>
    <row r="373"/>
    <row r="374"/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78"/>
    <row r="379"/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3"/>
    <row r="384"/>
    <row r="385">
      <c r="C385" s="4" t="inlineStr">
        <is>
          <t>% Gross Margin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  <row r="389"/>
    <row r="390"/>
    <row r="391">
      <c r="C391" s="4" t="inlineStr">
        <is>
          <t>Capital expenditures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7:G317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7:L317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7:Q317">
    <cfRule type="cellIs" priority="22" operator="notEqual" dxfId="0">
      <formula>0</formula>
    </cfRule>
  </conditionalFormatting>
  <conditionalFormatting sqref="S317:V317">
    <cfRule type="cellIs" priority="21" operator="notEqual" dxfId="0">
      <formula>0</formula>
    </cfRule>
  </conditionalFormatting>
  <conditionalFormatting sqref="X317:AA317">
    <cfRule type="cellIs" priority="20" operator="notEqual" dxfId="0">
      <formula>0</formula>
    </cfRule>
  </conditionalFormatting>
  <conditionalFormatting sqref="AC317:AF317">
    <cfRule type="cellIs" priority="19" operator="notEqual" dxfId="0">
      <formula>0</formula>
    </cfRule>
  </conditionalFormatting>
  <conditionalFormatting sqref="AH317:AK317">
    <cfRule type="cellIs" priority="15" operator="notEqual" dxfId="0">
      <formula>0</formula>
    </cfRule>
  </conditionalFormatting>
  <conditionalFormatting sqref="AM317:AP317">
    <cfRule type="cellIs" priority="14" operator="notEqual" dxfId="0">
      <formula>0</formula>
    </cfRule>
  </conditionalFormatting>
  <conditionalFormatting sqref="AR317:AU317">
    <cfRule type="cellIs" priority="13" operator="notEqual" dxfId="0">
      <formula>0</formula>
    </cfRule>
  </conditionalFormatting>
  <conditionalFormatting sqref="AW317:AZ317">
    <cfRule type="cellIs" priority="12" operator="notEqual" dxfId="0">
      <formula>0</formula>
    </cfRule>
  </conditionalFormatting>
  <conditionalFormatting sqref="BB317:BE317">
    <cfRule type="cellIs" priority="11" operator="notEqual" dxfId="0">
      <formula>0</formula>
    </cfRule>
  </conditionalFormatting>
  <conditionalFormatting sqref="BG317:BJ317">
    <cfRule type="cellIs" priority="10" operator="notEqual" dxfId="0">
      <formula>0</formula>
    </cfRule>
  </conditionalFormatting>
  <conditionalFormatting sqref="BL317:BO317">
    <cfRule type="cellIs" priority="9" operator="notEqual" dxfId="0">
      <formula>0</formula>
    </cfRule>
  </conditionalFormatting>
  <conditionalFormatting sqref="BQ317:BT317">
    <cfRule type="cellIs" priority="8" operator="notEqual" dxfId="0">
      <formula>0</formula>
    </cfRule>
  </conditionalFormatting>
  <conditionalFormatting sqref="BV317:BY317">
    <cfRule type="cellIs" priority="7" operator="notEqual" dxfId="0">
      <formula>0</formula>
    </cfRule>
  </conditionalFormatting>
  <conditionalFormatting sqref="CA317:CD317">
    <cfRule type="cellIs" priority="6" operator="notEqual" dxfId="0">
      <formula>0</formula>
    </cfRule>
  </conditionalFormatting>
  <conditionalFormatting sqref="CF317:CI317">
    <cfRule type="cellIs" priority="5" operator="notEqual" dxfId="0">
      <formula>0</formula>
    </cfRule>
  </conditionalFormatting>
  <conditionalFormatting sqref="CK317:CN317">
    <cfRule type="cellIs" priority="4" operator="notEqual" dxfId="0">
      <formula>0</formula>
    </cfRule>
  </conditionalFormatting>
  <conditionalFormatting sqref="CP317:CS317">
    <cfRule type="cellIs" priority="3" operator="notEqual" dxfId="0">
      <formula>0</formula>
    </cfRule>
  </conditionalFormatting>
  <conditionalFormatting sqref="CU317:CX317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SAPR11) - fonte: planilhas de resultados do RI (formato CVM ITR/DFP: DRE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6292.736</v>
      </c>
      <c r="E18" s="113">
        <f>IFERROR(Model!AB15,"")</f>
        <v>6848.219</v>
      </c>
      <c r="F18" s="113">
        <f>IFERROR(Model!AG15,"")</f>
        <v>7205.727</v>
      </c>
      <c r="G18" s="113">
        <f>IFERROR(Model!AL15,"")</f>
        <v>7789.38511305463</v>
      </c>
      <c r="H18" s="113">
        <f>IFERROR(Model!AQ15,"")</f>
        <v>8309.53453122069</v>
      </c>
      <c r="I18" s="113">
        <f>IFERROR(Model!AV15,"")</f>
        <v>8822.87013740022</v>
      </c>
      <c r="J18" s="113">
        <f>IFERROR(Model!BA15,"")</f>
        <v>9323.80357166541</v>
      </c>
      <c r="K18" s="113">
        <f>IFERROR(Model!BF15,"")</f>
        <v>9806.55933444335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0.0882736857227127</v>
      </c>
      <c r="F19" s="117">
        <f>IFERROR(IF(E18=0,"",F18/E18-1),"")</f>
        <v>0.0522045220808505</v>
      </c>
      <c r="G19" s="117">
        <f>IFERROR(IF(F18=0,"",G18/F18-1),"")</f>
        <v>0.0809991987005096</v>
      </c>
      <c r="H19" s="117">
        <f>IFERROR(IF(G18=0,"",H18/G18-1),"")</f>
        <v>0.0667766981111662</v>
      </c>
      <c r="I19" s="117">
        <f>IFERROR(IF(H18=0,"",I18/H18-1),"")</f>
        <v>0.0617766981111663</v>
      </c>
      <c r="J19" s="117">
        <f>IFERROR(IF(I18=0,"",J18/I18-1),"")</f>
        <v>0.0567766981111661</v>
      </c>
      <c r="K19" s="117">
        <f>IFERROR(IF(J18=0,"",K18/J18-1),"")</f>
        <v>0.0517766981111665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IFERROR(Model!W71,"")</f>
        <v>2832.661</v>
      </c>
      <c r="E20" s="113">
        <f>IFERROR(Model!AB71,"")</f>
        <v>2936.562</v>
      </c>
      <c r="F20" s="113">
        <f>IFERROR(Model!AG71,"")</f>
        <v>2963.757</v>
      </c>
      <c r="G20" s="113">
        <f>IFERROR(Model!AL71,"")</f>
        <v>2932.76211606141</v>
      </c>
      <c r="H20" s="113">
        <f>IFERROR(Model!AQ71,"")</f>
        <v>3265.44421332938</v>
      </c>
      <c r="I20" s="113">
        <f>IFERROR(Model!AV71,"")</f>
        <v>3467.17257469508</v>
      </c>
      <c r="J20" s="113">
        <f>IFERROR(Model!BA71,"")</f>
        <v>3664.02718526786</v>
      </c>
      <c r="K20" s="113">
        <f>IFERROR(Model!BF71,"")</f>
        <v>3853.73841471058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0.450147757668525</v>
      </c>
      <c r="E21" s="122">
        <f>IFERROR(IF(E18=0,"",E20/E18),"")</f>
        <v>0.428806672216528</v>
      </c>
      <c r="F21" s="122">
        <f>IFERROR(IF(F18=0,"",F20/F18),"")</f>
        <v>0.411305757212284</v>
      </c>
      <c r="G21" s="122">
        <f>IFERROR(IF(G18=0,"",G20/G18),"")</f>
        <v>0.376507525754022</v>
      </c>
      <c r="H21" s="122">
        <f>IFERROR(IF(H18=0,"",H20/H18),"")</f>
        <v>0.392975587388248</v>
      </c>
      <c r="I21" s="122">
        <f>IFERROR(IF(I18=0,"",I20/I18),"")</f>
        <v>0.392975587388248</v>
      </c>
      <c r="J21" s="122">
        <f>IFERROR(IF(J18=0,"",J20/J18),"")</f>
        <v>0.392975587388248</v>
      </c>
      <c r="K21" s="122">
        <f>IFERROR(IF(K18=0,"",K20/K18),"")</f>
        <v>0.392975587388248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IFERROR(Model!W75,"")</f>
        <v>2352.553</v>
      </c>
      <c r="E22" s="113">
        <f>IFERROR(Model!AB75,"")</f>
        <v>2376.613</v>
      </c>
      <c r="F22" s="113">
        <f>IFERROR(Model!AG75,"")</f>
        <v>2337.506</v>
      </c>
      <c r="G22" s="113">
        <f>IFERROR(Model!AL75,"")</f>
        <v>2238.40721875586</v>
      </c>
      <c r="H22" s="113">
        <f>IFERROR(Model!AQ75,"")</f>
        <v>2533.74723014781</v>
      </c>
      <c r="I22" s="113">
        <f>IFERROR(Model!AV75,"")</f>
        <v>2690.27376787466</v>
      </c>
      <c r="J22" s="113">
        <f>IFERROR(Model!BA75,"")</f>
        <v>2843.01862942966</v>
      </c>
      <c r="K22" s="113">
        <f>IFERROR(Model!BF75,"")</f>
        <v>2990.22074673007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0.373852168595663</v>
      </c>
      <c r="E23" s="122">
        <f>IFERROR(IF(E18=0,"",E22/E18),"")</f>
        <v>0.347041033588441</v>
      </c>
      <c r="F23" s="122">
        <f>IFERROR(IF(F18=0,"",F22/F18),"")</f>
        <v>0.324395581459026</v>
      </c>
      <c r="G23" s="122">
        <f>IFERROR(IF(G18=0,"",G22/G18),"")</f>
        <v>0.287366356428366</v>
      </c>
      <c r="H23" s="122">
        <f>IFERROR(IF(H18=0,"",H22/H18),"")</f>
        <v>0.304920476667855</v>
      </c>
      <c r="I23" s="122">
        <f>IFERROR(IF(I18=0,"",I22/I18),"")</f>
        <v>0.304920476667855</v>
      </c>
      <c r="J23" s="122">
        <f>IFERROR(IF(J18=0,"",J22/J18),"")</f>
        <v>0.304920476667855</v>
      </c>
      <c r="K23" s="122">
        <f>IFERROR(IF(K18=0,"",K22/K18),"")</f>
        <v>0.304920476667855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IFERROR(Model!W134,"")</f>
        <v>0.256682157525877</v>
      </c>
      <c r="E24" s="125">
        <f>IFERROR(Model!AB134,"")</f>
        <v>0.257816154554737</v>
      </c>
      <c r="F24" s="125">
        <f>IFERROR(Model!AG134,"")</f>
        <v>0.0968825117093095</v>
      </c>
      <c r="G24" s="125">
        <f>IFERROR(Model!AL134,"")</f>
        <v>0.261049430030407</v>
      </c>
      <c r="H24" s="125">
        <f>IFERROR(Model!AQ134,"")</f>
        <v>0.00050316729607985</v>
      </c>
      <c r="I24" s="125">
        <f>IFERROR(Model!AV134,"")</f>
        <v>0.00050316729607985</v>
      </c>
      <c r="J24" s="125">
        <f>IFERROR(Model!BA134,"")</f>
        <v>0.00050316729607985</v>
      </c>
      <c r="K24" s="125">
        <f>IFERROR(Model!BF134,"")</f>
        <v>0.00050316729607985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1748.69462026603</v>
      </c>
      <c r="E25" s="127">
        <f>IFERROR(E22*(1-E24),"")</f>
        <v>1763.8837754752</v>
      </c>
      <c r="F25" s="127">
        <f>IFERROR(F22*(1-F24),"")</f>
        <v>2111.04254758442</v>
      </c>
      <c r="G25" s="127">
        <f>IFERROR(G22*(1-G24),"")</f>
        <v>1654.0722901237</v>
      </c>
      <c r="H25" s="127">
        <f>IFERROR(H22*(1-H24),"")</f>
        <v>2532.47233140507</v>
      </c>
      <c r="I25" s="127">
        <f>IFERROR(I22*(1-I24),"")</f>
        <v>2688.92011009716</v>
      </c>
      <c r="J25" s="127">
        <f>IFERROR(J22*(1-J24),"")</f>
        <v>2841.58811543319</v>
      </c>
      <c r="K25" s="127">
        <f>IFERROR(K22*(1-K24),"")</f>
        <v>2988.71616544225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IFERROR(-Model!W72,"")</f>
        <v>480.108</v>
      </c>
      <c r="E26" s="130">
        <f>IFERROR(-Model!AB72,"")</f>
        <v>559.949</v>
      </c>
      <c r="F26" s="130">
        <f>IFERROR(-Model!AG72,"")</f>
        <v>626.251</v>
      </c>
      <c r="G26" s="130">
        <f>IFERROR(-Model!AL72,"")</f>
        <v>694.354897305544</v>
      </c>
      <c r="H26" s="130">
        <f>IFERROR(-Model!AQ72,"")</f>
        <v>731.696983181566</v>
      </c>
      <c r="I26" s="130">
        <f>IFERROR(-Model!AV72,"")</f>
        <v>776.898806820425</v>
      </c>
      <c r="J26" s="130">
        <f>IFERROR(-Model!BA72,"")</f>
        <v>821.008555838193</v>
      </c>
      <c r="K26" s="130">
        <f>IFERROR(-Model!BF72,"")</f>
        <v>863.517667980512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IFERROR(Model!W281,"")</f>
        <v>-126.35</v>
      </c>
      <c r="E27" s="133">
        <f>IFERROR(Model!AB281,"")</f>
        <v>4.35600000000002</v>
      </c>
      <c r="F27" s="133">
        <f>IFERROR(Model!AG281,"")</f>
        <v>3489.082</v>
      </c>
      <c r="G27" s="133">
        <f>IFERROR(Model!AL281,"")</f>
        <v>-2874.66916226326</v>
      </c>
      <c r="H27" s="133">
        <f>IFERROR(Model!AQ281,"")</f>
        <v>-18.4855972551427</v>
      </c>
      <c r="I27" s="133">
        <f>IFERROR(Model!AV281,"")</f>
        <v>-9.03415983760067</v>
      </c>
      <c r="J27" s="133">
        <f>IFERROR(Model!BA281,"")</f>
        <v>1.12234387816615</v>
      </c>
      <c r="K27" s="133">
        <f>IFERROR(Model!BF281,"")</f>
        <v>11.450520330825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IFERROR(Model!W282,"")</f>
        <v>-174.039</v>
      </c>
      <c r="E28" s="136">
        <f>IFERROR(Model!AB282,"")</f>
        <v>9.39100000000008</v>
      </c>
      <c r="F28" s="136">
        <f>IFERROR(Model!AG282,"")</f>
        <v>75.5249999999999</v>
      </c>
      <c r="G28" s="136">
        <f>IFERROR(Model!AL282,"")</f>
        <v>-126.394257171442</v>
      </c>
      <c r="H28" s="136">
        <f>IFERROR(Model!AQ282,"")</f>
        <v>-86.9219095704025</v>
      </c>
      <c r="I28" s="136">
        <f>IFERROR(Model!AV282,"")</f>
        <v>-85.7832568513222</v>
      </c>
      <c r="J28" s="136">
        <f>IFERROR(Model!BA282,"")</f>
        <v>-83.710736094853</v>
      </c>
      <c r="K28" s="136">
        <f>IFERROR(Model!BF282,"")</f>
        <v>-80.6730744883344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IFERROR(Model!W283,"")</f>
        <v>7.63799999999999</v>
      </c>
      <c r="E29" s="136">
        <f>IFERROR(Model!AB283,"")</f>
        <v>-3.878</v>
      </c>
      <c r="F29" s="136">
        <f>IFERROR(Model!AG283,"")</f>
        <v>-23.82</v>
      </c>
      <c r="G29" s="136">
        <f>IFERROR(Model!AL283,"")</f>
        <v>9.00784575057277</v>
      </c>
      <c r="H29" s="136">
        <f>IFERROR(Model!AQ283,"")</f>
        <v>-5.8760258505595</v>
      </c>
      <c r="I29" s="136">
        <f>IFERROR(Model!AV283,"")</f>
        <v>-5.79905155437581</v>
      </c>
      <c r="J29" s="136">
        <f>IFERROR(Model!BA283,"")</f>
        <v>-5.65894665330971</v>
      </c>
      <c r="K29" s="136">
        <f>IFERROR(Model!BF283,"")</f>
        <v>-5.45359706753357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IFERROR(Model!W284,"")</f>
        <v>-141.642</v>
      </c>
      <c r="E30" s="136">
        <f>IFERROR(Model!AB284,"")</f>
        <v>41.3979999999999</v>
      </c>
      <c r="F30" s="136">
        <f>IFERROR(Model!AG284,"")</f>
        <v>-153.544</v>
      </c>
      <c r="G30" s="136">
        <f>IFERROR(Model!AL284,"")</f>
        <v>80.13</v>
      </c>
      <c r="H30" s="136">
        <f>IFERROR(Model!AQ284,"")</f>
        <v>0</v>
      </c>
      <c r="I30" s="136">
        <f>IFERROR(Model!AV284,"")</f>
        <v>0</v>
      </c>
      <c r="J30" s="136">
        <f>IFERROR(Model!BA284,"")</f>
        <v>0</v>
      </c>
      <c r="K30" s="136">
        <f>IFERROR(Model!BF284,"")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IFERROR(Model!W285,"")</f>
        <v>0</v>
      </c>
      <c r="E31" s="136">
        <f>IFERROR(Model!AB285,"")</f>
        <v>0</v>
      </c>
      <c r="F31" s="136">
        <f>IFERROR(Model!AG285,"")</f>
        <v>0</v>
      </c>
      <c r="G31" s="136">
        <f>IFERROR(Model!AL285,"")</f>
        <v>0</v>
      </c>
      <c r="H31" s="136">
        <f>IFERROR(Model!AQ285,"")</f>
        <v>0</v>
      </c>
      <c r="I31" s="136">
        <f>IFERROR(Model!AV285,"")</f>
        <v>0</v>
      </c>
      <c r="J31" s="136">
        <f>IFERROR(Model!BA285,"")</f>
        <v>0</v>
      </c>
      <c r="K31" s="136">
        <f>IFERROR(Model!BF285,"")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IFERROR(Model!W286,"")</f>
        <v>-63.276</v>
      </c>
      <c r="E32" s="136">
        <f>IFERROR(Model!AB286,"")</f>
        <v>-9.369</v>
      </c>
      <c r="F32" s="136">
        <f>IFERROR(Model!AG286,"")</f>
        <v>-170.708</v>
      </c>
      <c r="G32" s="136">
        <f>IFERROR(Model!AL286,"")</f>
        <v>-50.588</v>
      </c>
      <c r="H32" s="136">
        <f>IFERROR(Model!AQ286,"")</f>
        <v>0</v>
      </c>
      <c r="I32" s="136">
        <f>IFERROR(Model!AV286,"")</f>
        <v>0</v>
      </c>
      <c r="J32" s="136">
        <f>IFERROR(Model!BA286,"")</f>
        <v>0</v>
      </c>
      <c r="K32" s="136">
        <f>IFERROR(Model!BF286,"")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IFERROR(Model!W287,"")</f>
        <v>57.852</v>
      </c>
      <c r="E33" s="136">
        <f>IFERROR(Model!AB287,"")</f>
        <v>-23.206</v>
      </c>
      <c r="F33" s="136">
        <f>IFERROR(Model!AG287,"")</f>
        <v>173.295</v>
      </c>
      <c r="G33" s="136">
        <f>IFERROR(Model!AL287,"")</f>
        <v>-73.6747261828919</v>
      </c>
      <c r="H33" s="136">
        <f>IFERROR(Model!AQ287,"")</f>
        <v>28.8015427236276</v>
      </c>
      <c r="I33" s="136">
        <f>IFERROR(Model!AV287,"")</f>
        <v>28.4242505645155</v>
      </c>
      <c r="J33" s="136">
        <f>IFERROR(Model!BA287,"")</f>
        <v>27.7375215751493</v>
      </c>
      <c r="K33" s="136">
        <f>IFERROR(Model!BF287,"")</f>
        <v>26.7309935205717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IFERROR(Model!W288,"")</f>
        <v>31.11</v>
      </c>
      <c r="E34" s="136">
        <f>IFERROR(Model!AB288,"")</f>
        <v>-4.28400000000002</v>
      </c>
      <c r="F34" s="136">
        <f>IFERROR(Model!AG288,"")</f>
        <v>110.41</v>
      </c>
      <c r="G34" s="136">
        <f>IFERROR(Model!AL288,"")</f>
        <v>-234.86427797057</v>
      </c>
      <c r="H34" s="136">
        <f>IFERROR(Model!AQ288,"")</f>
        <v>12.4956483756103</v>
      </c>
      <c r="I34" s="136">
        <f>IFERROR(Model!AV288,"")</f>
        <v>14.8605004944204</v>
      </c>
      <c r="J34" s="136">
        <f>IFERROR(Model!BA288,"")</f>
        <v>17.2301587235724</v>
      </c>
      <c r="K34" s="136">
        <f>IFERROR(Model!BF288,"")</f>
        <v>19.451850378143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IFERROR(Model!W289,"")</f>
        <v>-2.67999999999999</v>
      </c>
      <c r="E35" s="136">
        <f>IFERROR(Model!AB289,"")</f>
        <v>11.6</v>
      </c>
      <c r="F35" s="136">
        <f>IFERROR(Model!AG289,"")</f>
        <v>-9.794</v>
      </c>
      <c r="G35" s="136">
        <f>IFERROR(Model!AL289,"")</f>
        <v>9.99525331106919</v>
      </c>
      <c r="H35" s="136">
        <f>IFERROR(Model!AQ289,"")</f>
        <v>33.0151470665814</v>
      </c>
      <c r="I35" s="136">
        <f>IFERROR(Model!AV289,"")</f>
        <v>39.2633975091615</v>
      </c>
      <c r="J35" s="136">
        <f>IFERROR(Model!BA289,"")</f>
        <v>45.5243463276072</v>
      </c>
      <c r="K35" s="136">
        <f>IFERROR(Model!BF289,"")</f>
        <v>51.3943479879782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IFERROR(Model!W290,"")</f>
        <v>158.687</v>
      </c>
      <c r="E36" s="136">
        <f>IFERROR(Model!AB290,"")</f>
        <v>-17.2959999999999</v>
      </c>
      <c r="F36" s="136">
        <f>IFERROR(Model!AG290,"")</f>
        <v>3487.718</v>
      </c>
      <c r="G36" s="136">
        <f>IFERROR(Model!AL290,"")</f>
        <v>-2488.281</v>
      </c>
      <c r="H36" s="136">
        <f>IFERROR(Model!AQ290,"")</f>
        <v>0</v>
      </c>
      <c r="I36" s="136">
        <f>IFERROR(Model!AV290,"")</f>
        <v>0</v>
      </c>
      <c r="J36" s="136">
        <f>IFERROR(Model!BA290,"")</f>
        <v>0</v>
      </c>
      <c r="K36" s="136">
        <f>IFERROR(Model!BF290,"")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IFERROR(Model!W291,"")</f>
        <v>0</v>
      </c>
      <c r="E37" s="136">
        <f>IFERROR(Model!AB291,"")</f>
        <v>0</v>
      </c>
      <c r="F37" s="136">
        <f>IFERROR(Model!AG291,"")</f>
        <v>0</v>
      </c>
      <c r="G37" s="136">
        <f>IFERROR(Model!AL291,"")</f>
        <v>0</v>
      </c>
      <c r="H37" s="136">
        <f>IFERROR(Model!AQ291,"")</f>
        <v>0</v>
      </c>
      <c r="I37" s="136">
        <f>IFERROR(Model!AV291,"")</f>
        <v>0</v>
      </c>
      <c r="J37" s="136">
        <f>IFERROR(Model!BA291,"")</f>
        <v>0</v>
      </c>
      <c r="K37" s="136">
        <f>IFERROR(Model!BF291,"")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IFERROR((Model!W191-Model!R191)*-1,"")</f>
        <v>-301.332</v>
      </c>
      <c r="E38" s="136">
        <f>IFERROR((Model!AB191-Model!W191)*-1,"")</f>
        <v>-9.72299999999996</v>
      </c>
      <c r="F38" s="136">
        <f>IFERROR((Model!AG191-Model!AB191)*-1,"")</f>
        <v>-760.698</v>
      </c>
      <c r="G38" s="136">
        <f>IFERROR((Model!AL191-Model!AG191)*-1,"")</f>
        <v>-724.635</v>
      </c>
      <c r="H38" s="136">
        <f>IFERROR((Model!AQ191-Model!AL191)*-1,"")</f>
        <v>0</v>
      </c>
      <c r="I38" s="136">
        <f>IFERROR((Model!AV191-Model!AQ191)*-1,"")</f>
        <v>0</v>
      </c>
      <c r="J38" s="136">
        <f>IFERROR((Model!BA191-Model!AV191)*-1,"")</f>
        <v>0</v>
      </c>
      <c r="K38" s="136">
        <f>IFERROR((Model!BF191-Model!BA191)*-1,"")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IFERROR(Model!W242-Model!R242,"")</f>
        <v>250.011</v>
      </c>
      <c r="E39" s="136">
        <f>IFERROR(Model!AB242-Model!W242,"")</f>
        <v>-200.901</v>
      </c>
      <c r="F39" s="136">
        <f>IFERROR(Model!AG242-Model!AB242,"")</f>
        <v>-84.108</v>
      </c>
      <c r="G39" s="136">
        <f>IFERROR(Model!AL242-Model!AG242,"")</f>
        <v>3321.533</v>
      </c>
      <c r="H39" s="136">
        <f>IFERROR(Model!AQ242-Model!AL242,"")</f>
        <v>0</v>
      </c>
      <c r="I39" s="136">
        <f>IFERROR(Model!AV242-Model!AQ242,"")</f>
        <v>0</v>
      </c>
      <c r="J39" s="136">
        <f>IFERROR(Model!BA242-Model!AV242,"")</f>
        <v>0</v>
      </c>
      <c r="K39" s="136">
        <f>IFERROR(Model!BF242-Model!BA242,"")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IFERROR(Model!W297,"")</f>
        <v>-479.234</v>
      </c>
      <c r="E40" s="136">
        <f>IFERROR(Model!AB297,"")</f>
        <v>-557.807</v>
      </c>
      <c r="F40" s="136">
        <f>IFERROR(Model!AG297,"")</f>
        <v>-655.596</v>
      </c>
      <c r="G40" s="136">
        <f>IFERROR(Model!AL297,"")</f>
        <v>-721.082104204702</v>
      </c>
      <c r="H40" s="136">
        <f>IFERROR(Model!AQ297,"")</f>
        <v>-762.885542903358</v>
      </c>
      <c r="I40" s="136">
        <f>IFERROR(Model!AV297,"")</f>
        <v>-810.014092780672</v>
      </c>
      <c r="J40" s="136">
        <f>IFERROR(Model!BA297,"")</f>
        <v>-856.004018392271</v>
      </c>
      <c r="K40" s="136">
        <f>IFERROR(Model!BF297,"")</f>
        <v>-900.325080034512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-125.476</v>
      </c>
      <c r="E44" s="133">
        <f>IFERROR(SUM(E27,E40:E42,E26),"")</f>
        <v>6.49799999999996</v>
      </c>
      <c r="F44" s="133">
        <f>IFERROR(SUM(F27,F40:F42,F26),"")</f>
        <v>3459.737</v>
      </c>
      <c r="G44" s="133">
        <f>IFERROR(SUM(G27,G40:G42,G26),"")</f>
        <v>-2901.39636916242</v>
      </c>
      <c r="H44" s="133">
        <f>IFERROR(SUM(H27,H40:H42,H26),"")</f>
        <v>-49.6741569769354</v>
      </c>
      <c r="I44" s="133">
        <f>IFERROR(SUM(I27,I40:I42,I26),"")</f>
        <v>-42.1494457978486</v>
      </c>
      <c r="J44" s="133">
        <f>IFERROR(SUM(J27,J40:J42,J26),"")</f>
        <v>-33.8731186759116</v>
      </c>
      <c r="K44" s="133">
        <f>IFERROR(SUM(K27,K40:K42,K26),"")</f>
        <v>-25.3568917231759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IFERROR(Model!W352,"")</f>
        <v>14234.42</v>
      </c>
      <c r="E46" s="136">
        <f>IFERROR(Model!AB352,"")</f>
        <v>15657.101</v>
      </c>
      <c r="F46" s="136">
        <f>IFERROR(Model!AG352,"")</f>
        <v>14130.265</v>
      </c>
      <c r="G46" s="136">
        <f>IFERROR(Model!AL352,"")</f>
        <v>14743.5063691624</v>
      </c>
      <c r="H46" s="136">
        <f>IFERROR(Model!AQ352,"")</f>
        <v>14793.1805261394</v>
      </c>
      <c r="I46" s="136">
        <f>IFERROR(Model!AV352,"")</f>
        <v>14835.3299719372</v>
      </c>
      <c r="J46" s="136">
        <f>IFERROR(Model!BA352,"")</f>
        <v>14869.2030906131</v>
      </c>
      <c r="K46" s="136">
        <f>IFERROR(Model!BF352,"")</f>
        <v>14894.5599823363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IFERROR(Model!W353,"")</f>
        <v>14234.42</v>
      </c>
      <c r="E47" s="136">
        <f>IFERROR(Model!AB353,"")</f>
        <v>15657.101</v>
      </c>
      <c r="F47" s="136">
        <f>IFERROR(Model!AG353,"")</f>
        <v>14130.265</v>
      </c>
      <c r="G47" s="136">
        <f>IFERROR(Model!AL353,"")</f>
        <v>14743.5063691624</v>
      </c>
      <c r="H47" s="136">
        <f>IFERROR(Model!AQ353,"")</f>
        <v>14793.1805261394</v>
      </c>
      <c r="I47" s="136">
        <f>IFERROR(Model!AV353,"")</f>
        <v>14835.3299719372</v>
      </c>
      <c r="J47" s="136">
        <f>IFERROR(Model!BA353,"")</f>
        <v>14869.2030906131</v>
      </c>
      <c r="K47" s="136">
        <f>IFERROR(Model!BF353,"")</f>
        <v>14894.5599823363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2.26203991395794</v>
      </c>
      <c r="E48" s="122">
        <f>IFERROR(IF(E18=0,"",E46/E18),"")</f>
        <v>2.28630261386209</v>
      </c>
      <c r="F48" s="122">
        <f>IFERROR(IF(F18=0,"",F46/F18),"")</f>
        <v>1.96097701175745</v>
      </c>
      <c r="G48" s="122">
        <f>IFERROR(IF(G18=0,"",G46/G18),"")</f>
        <v>1.89276896124356</v>
      </c>
      <c r="H48" s="122">
        <f>IFERROR(IF(H18=0,"",H46/H18),"")</f>
        <v>1.78026584648734</v>
      </c>
      <c r="I48" s="122">
        <f>IFERROR(IF(I18=0,"",I46/I18),"")</f>
        <v>1.68146303197302</v>
      </c>
      <c r="J48" s="122">
        <f>IFERROR(IF(J18=0,"",J46/J18),"")</f>
        <v>1.59475722287843</v>
      </c>
      <c r="K48" s="122">
        <f>IFERROR(IF(K18=0,"",K46/K18),"")</f>
        <v>1.51883647203586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0.122849727650724</v>
      </c>
      <c r="E50" s="150">
        <f>IFERROR(IF(E46=0,"",E25/E46),"")</f>
        <v>0.112657111650184</v>
      </c>
      <c r="F50" s="150">
        <f>IFERROR(IF(F46=0,"",F25/F46),"")</f>
        <v>0.149398652295935</v>
      </c>
      <c r="G50" s="150">
        <f>IFERROR(IF(G46=0,"",G25/G46),"")</f>
        <v>0.112189885411747</v>
      </c>
      <c r="H50" s="150">
        <f>IFERROR(IF(H46=0,"",H25/H46),"")</f>
        <v>0.171191876346687</v>
      </c>
      <c r="I50" s="150">
        <f>IFERROR(IF(I46=0,"",I25/I46),"")</f>
        <v>0.181251115761063</v>
      </c>
      <c r="J50" s="150">
        <f>IFERROR(IF(J46=0,"",J25/J46),"")</f>
        <v>0.191105609232486</v>
      </c>
      <c r="K50" s="150">
        <f>IFERROR(IF(K46=0,"",K25/K46),"")</f>
        <v>0.200658238241789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0.442078848312752</v>
      </c>
      <c r="E51" s="154">
        <f>IFERROR(IF(E46=0,"",E18/E46),"")</f>
        <v>0.43738741929301</v>
      </c>
      <c r="F51" s="154">
        <f>IFERROR(IF(F46=0,"",F18/F46),"")</f>
        <v>0.50994988416707</v>
      </c>
      <c r="G51" s="154">
        <f>IFERROR(IF(G46=0,"",G18/G46),"")</f>
        <v>0.528326499681713</v>
      </c>
      <c r="H51" s="154">
        <f>IFERROR(IF(H46=0,"",H18/H46),"")</f>
        <v>0.561713859743539</v>
      </c>
      <c r="I51" s="154">
        <f>IFERROR(IF(I46=0,"",I18/I46),"")</f>
        <v>0.594720181761358</v>
      </c>
      <c r="J51" s="154">
        <f>IFERROR(IF(J46=0,"",J18/J46),"")</f>
        <v>0.627054692497374</v>
      </c>
      <c r="K51" s="154">
        <f>IFERROR(IF(K46=0,"",K18/K46),"")</f>
        <v>0.65839872719121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1623.21862026603</v>
      </c>
      <c r="E53" s="155">
        <f>IFERROR(E25+E44,"")</f>
        <v>1770.3817754752</v>
      </c>
      <c r="F53" s="155">
        <f>IFERROR(F25+F44,"")</f>
        <v>5570.77954758442</v>
      </c>
      <c r="G53" s="156">
        <f>IFERROR(G25+G44,"")</f>
        <v>-1247.32407903872</v>
      </c>
      <c r="H53" s="155">
        <f>IFERROR(H25+H44,"")</f>
        <v>2482.79817442813</v>
      </c>
      <c r="I53" s="155">
        <f>IFERROR(I25+I44,"")</f>
        <v>2646.77066429931</v>
      </c>
      <c r="J53" s="155">
        <f>IFERROR(J25+J44,"")</f>
        <v>2807.71499675728</v>
      </c>
      <c r="K53" s="155">
        <f>IFERROR(K25+K44,"")</f>
        <v>2963.35927371908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0.200658238241789</v>
      </c>
      <c r="E64" s="157" t="inlineStr">
        <is>
          <t>Current portion of long-term debt</t>
        </is>
      </c>
      <c r="H64" s="137">
        <f>IFERROR(INDEX(Model!$I$214:$BF$214,1,MATCH(Control!$B$7,Model!$I$5:$BF$5,0)),"")</f>
        <v>1108.125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IFERROR(INDEX(Model!$I$215:$BF$215,1,MATCH(Control!$B$7,Model!$I$5:$BF$5,0)),"")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IFERROR(INDEX(Model!$I$219:$BF$219,1,MATCH(Control!$B$7,Model!$I$5:$BF$5,0)),"")</f>
        <v>5616.221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IFERROR(INDEX(Model!$I$240:$BF$240,1,MATCH(Control!$B$7,Model!$I$5:$BF$5,0)),"")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IFERROR(INDEX(Model!$I$250:$BF$250,1,MATCH(Control!$B$7,Model!$I$5:$BF$5,0)),"")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IFERROR(INDEX(Model!$I$255:$BF$255,1,MATCH(Control!$B$7,Model!$I$5:$BF$5,0)),"")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IFERROR(INDEX(Model!$I$216:$BF$216,1,MATCH(Control!$B$7,Model!$I$5:$BF$5,0)),"")</f>
        <v>138.888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IFERROR(INDEX(Model!$I$237:$BF$237,1,MATCH(Control!$B$7,Model!$I$5:$BF$5,0)),"")</f>
        <v>386.794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IFERROR(-INDEX(Model!$I$146:$BF$146,1,MATCH(Control!$B$7,Model!$I$5:$BF$5,0)),"")</f>
        <v>-4662.453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3853.73841471058</v>
      </c>
      <c r="E73" s="157" t="inlineStr">
        <is>
          <t>Less: Equity investments</t>
        </is>
      </c>
      <c r="H73" s="137">
        <f>IFERROR(-INDEX(Model!$I$163:$BF$163,1,MATCH(Control!$B$7,Model!$I$5:$BF$5,0)),"")</f>
        <v>-2.02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2585.555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2585.555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2585.555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SAPR11) - fonte: planilhas de resultados do RI (formato CVM ITR/DFP: DRE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Sanepar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SAPR11) - fonte: planilhas de resultados do RI (formato CVM ITR/DFP: DRE</t>
        </is>
      </c>
      <c r="D4" t="inlineStr">
        <is>
          <t>Last close (R$/share)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BRL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R$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8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IFERROR(-Model!AG76/AVERAGE(Model!AB94,Model!AG94),"")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0.0667766981111662</v>
      </c>
      <c r="C18" s="247">
        <f>IF(B18="","",B18)</f>
        <v>0.0667766981111662</v>
      </c>
      <c r="D18" s="247">
        <f>IF(C18="","",MAX(0,C18-0.5%))</f>
        <v>0.0617766981111662</v>
      </c>
      <c r="E18" s="247">
        <f>IF(D18="","",MAX(0,D18-0.5%))</f>
        <v>0.0567766981111662</v>
      </c>
      <c r="F18" s="247">
        <f>IF(E18="","",MAX(0,E18-0.5%))</f>
        <v>0.0517766981111662</v>
      </c>
    </row>
    <row r="19" ht="15" customHeight="1">
      <c r="A19" t="inlineStr">
        <is>
          <t>Gross margin</t>
        </is>
      </c>
      <c r="B19" s="247">
        <f>IFERROR(AVERAGE(Model!AC57:AF57,Model!AH57:AI57),"")</f>
        <v>0.656220352019735</v>
      </c>
      <c r="C19" s="247">
        <f>IF(B19="","",B19)</f>
        <v>0.656220352019735</v>
      </c>
      <c r="D19" s="247">
        <f>IF(C19="","",C19)</f>
        <v>0.656220352019735</v>
      </c>
      <c r="E19" s="247">
        <f>IF(D19="","",D19)</f>
        <v>0.656220352019735</v>
      </c>
      <c r="F19" s="247">
        <f>IF(E19="","",E19)</f>
        <v>0.656220352019735</v>
      </c>
    </row>
    <row r="20" ht="15" customHeight="1">
      <c r="A20" t="inlineStr">
        <is>
          <t>SG&amp;A / Revenue</t>
        </is>
      </c>
      <c r="B20" s="247">
        <f>IFERROR(AVERAGE(Model!AC61:AF61,Model!AH61:AI61),"")</f>
        <v>0.263244764631487</v>
      </c>
      <c r="C20" s="247">
        <f>IF(B20="","",B20)</f>
        <v>0.263244764631487</v>
      </c>
      <c r="D20" s="247">
        <f>IF(C20="","",C20)</f>
        <v>0.263244764631487</v>
      </c>
      <c r="E20" s="247">
        <f>IF(D20="","",D20)</f>
        <v>0.263244764631487</v>
      </c>
      <c r="F20" s="247">
        <f>IF(E20="","",E20)</f>
        <v>0.263244764631487</v>
      </c>
    </row>
    <row r="21" ht="15" customHeight="1">
      <c r="A21" t="inlineStr">
        <is>
          <t>D&amp;A / Revenue</t>
        </is>
      </c>
      <c r="B21" s="247">
        <f>IFERROR(AVERAGE(Model!AC73:AF73,Model!AH73:AI73),"")</f>
        <v>0.0880551107203929</v>
      </c>
      <c r="C21" s="247">
        <f>IF(B21="","",B21)</f>
        <v>0.0880551107203929</v>
      </c>
      <c r="D21" s="247">
        <f>IF(C21="","",C21)</f>
        <v>0.0880551107203929</v>
      </c>
      <c r="E21" s="247">
        <f>IF(D21="","",D21)</f>
        <v>0.0880551107203929</v>
      </c>
      <c r="F21" s="247">
        <f>IF(E21="","",E21)</f>
        <v>0.0880551107203929</v>
      </c>
    </row>
    <row r="22" ht="15" customHeight="1">
      <c r="A22" t="inlineStr">
        <is>
          <t>Effective tax rate</t>
        </is>
      </c>
      <c r="B22" s="247">
        <f>IFERROR(AVERAGE(Model!AC134:AF134,Model!AH134:AI134),"")</f>
        <v>0.00050316729607985</v>
      </c>
      <c r="C22" s="247">
        <f>IF(B22="","",B22)</f>
        <v>0.00050316729607985</v>
      </c>
      <c r="D22" s="247">
        <f>IF(C22="","",C22)</f>
        <v>0.00050316729607985</v>
      </c>
      <c r="E22" s="247">
        <f>IF(D22="","",D22)</f>
        <v>0.00050316729607985</v>
      </c>
      <c r="F22" s="247">
        <f>IF(E22="","",E22)</f>
        <v>0.00050316729607985</v>
      </c>
    </row>
    <row r="23" ht="15" customHeight="1">
      <c r="A23" t="inlineStr">
        <is>
          <t>Financial income / Revenue</t>
        </is>
      </c>
      <c r="B23" s="247">
        <f>IFERROR(AVERAGE(Model!AC125:AF125,Model!AH125:AI125)/AVERAGE(Model!AC15:AF15,Model!AH15:AI15),"")</f>
        <v>0.069913883176889</v>
      </c>
      <c r="C23" s="247">
        <f>IF(B23="","",B23)</f>
        <v>0.069913883176889</v>
      </c>
      <c r="D23" s="247">
        <f>IF(C23="","",C23)</f>
        <v>0.069913883176889</v>
      </c>
      <c r="E23" s="247">
        <f>IF(D23="","",D23)</f>
        <v>0.069913883176889</v>
      </c>
      <c r="F23" s="247">
        <f>IF(E23="","",E23)</f>
        <v>0.069913883176889</v>
      </c>
    </row>
    <row r="24" ht="15" customHeight="1">
      <c r="A24" t="inlineStr">
        <is>
          <t>Capex / Revenue</t>
        </is>
      </c>
      <c r="B24" s="247">
        <f>IFERROR(-AVERAGE(Model!AC297:AF297,Model!AH297:AI297)/AVERAGE(Model!AC15:AF15,Model!AH15:AI15),"")</f>
        <v>0.0918084569041786</v>
      </c>
      <c r="C24" s="247">
        <f>IF(B24="","",B24)</f>
        <v>0.0918084569041786</v>
      </c>
      <c r="D24" s="247">
        <f>IF(C24="","",C24)</f>
        <v>0.0918084569041786</v>
      </c>
      <c r="E24" s="247">
        <f>IF(D24="","",D24)</f>
        <v>0.0918084569041786</v>
      </c>
      <c r="F24" s="247">
        <f>IF(E24="","",E24)</f>
        <v>0.0918084569041786</v>
      </c>
    </row>
    <row r="25" ht="15" customHeight="1">
      <c r="A25" t="inlineStr">
        <is>
          <t>DSO</t>
        </is>
      </c>
      <c r="B25" s="249">
        <f>IFERROR(AVERAGE(Model!AC148:AF148,Model!AH148:AI148),0)</f>
        <v>59.3660453730218</v>
      </c>
      <c r="C25" s="249">
        <f>IF(B25="","",B25)</f>
        <v>59.3660453730218</v>
      </c>
      <c r="D25" s="249">
        <f>IF(C25="","",C25)</f>
        <v>59.3660453730218</v>
      </c>
      <c r="E25" s="249">
        <f>IF(D25="","",D25)</f>
        <v>59.3660453730218</v>
      </c>
      <c r="F25" s="249">
        <f>IF(E25="","",E25)</f>
        <v>59.3660453730218</v>
      </c>
    </row>
    <row r="26" ht="15" customHeight="1">
      <c r="A26" t="inlineStr">
        <is>
          <t>DIO</t>
        </is>
      </c>
      <c r="B26" s="249">
        <f>IFERROR(AVERAGE(Model!AC152:AF152,Model!AH152:AI152),0)</f>
        <v>11.6738039682747</v>
      </c>
      <c r="C26" s="249">
        <f>IF(B26="","",B26)</f>
        <v>11.6738039682747</v>
      </c>
      <c r="D26" s="249">
        <f>IF(C26="","",C26)</f>
        <v>11.6738039682747</v>
      </c>
      <c r="E26" s="249">
        <f>IF(D26="","",D26)</f>
        <v>11.6738039682747</v>
      </c>
      <c r="F26" s="249">
        <f>IF(E26="","",E26)</f>
        <v>11.6738039682747</v>
      </c>
    </row>
    <row r="27" ht="15" customHeight="1">
      <c r="A27" t="inlineStr">
        <is>
          <t>DPO</t>
        </is>
      </c>
      <c r="B27" s="249">
        <f>IFERROR(AVERAGE(Model!AC201:AF201,Model!AH201:AI201),0)</f>
        <v>57.2195514945707</v>
      </c>
      <c r="C27" s="249">
        <f>IF(B27="","",B27)</f>
        <v>57.2195514945707</v>
      </c>
      <c r="D27" s="249">
        <f>IF(C27="","",C27)</f>
        <v>57.2195514945707</v>
      </c>
      <c r="E27" s="249">
        <f>IF(D27="","",D27)</f>
        <v>57.2195514945707</v>
      </c>
      <c r="F27" s="249">
        <f>IF(E27="","",E27)</f>
        <v>57.2195514945707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Sanepar (SAPR11) - fonte: planilhas de resultados do RI (formato CVM ITR/DFP: DRE, BP ativo e passivo, DFC), uma aba por trimestre, baixadas de ri.sanepar.com.br/informacoes-financeiras/planilha-de-resultados. Moeda: BRL. Unidade dos brutos: R$ mil.</t>
        </is>
      </c>
    </row>
    <row r="31">
      <c r="A31" t="inlineStr">
        <is>
          <t>Unit flow</t>
        </is>
      </c>
      <c r="B31" t="inlineStr">
        <is>
          <t>R$ mil na Inputs → R$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2026-10-16T15:40:59Z</dcterms:modified>
  <cp:lastModifiedBy>Lucas Nascimento</cp:lastModifiedBy>
  <cp:revision>0</cp:revision>
</cp:coreProperties>
</file>