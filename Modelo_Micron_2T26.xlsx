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4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6236000</v>
      </c>
      <c r="E5" s="265" t="n">
        <v>7422000</v>
      </c>
      <c r="F5" s="265" t="n">
        <v>8274000</v>
      </c>
      <c r="G5" s="265" t="n">
        <v>7687000</v>
      </c>
      <c r="I5" s="265" t="n">
        <v>7786000</v>
      </c>
      <c r="J5" s="265" t="n">
        <v>8642000</v>
      </c>
      <c r="K5" s="265" t="n">
        <v>6643000</v>
      </c>
      <c r="L5" s="265" t="n">
        <v>4085000</v>
      </c>
      <c r="N5" s="265" t="n">
        <v>3693000</v>
      </c>
      <c r="O5" s="265" t="n">
        <v>3752000</v>
      </c>
      <c r="P5" s="265" t="n">
        <v>4010000</v>
      </c>
      <c r="Q5" s="265" t="n">
        <v>4726000</v>
      </c>
      <c r="S5" s="265" t="n">
        <v>5824000</v>
      </c>
      <c r="T5" s="265" t="n">
        <v>6811000</v>
      </c>
      <c r="U5" s="265" t="n">
        <v>7750000</v>
      </c>
      <c r="V5" s="265" t="n">
        <v>8709000</v>
      </c>
      <c r="X5" s="265" t="n">
        <v>8053000</v>
      </c>
      <c r="Y5" s="265" t="n">
        <v>9301000</v>
      </c>
      <c r="Z5" s="265" t="n">
        <v>11315000</v>
      </c>
      <c r="AA5" s="265" t="n">
        <v>13643000</v>
      </c>
      <c r="AC5" s="265" t="n">
        <v>23860000</v>
      </c>
      <c r="AD5" s="265" t="n">
        <v>41456000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4587000</v>
      </c>
      <c r="E6" s="265" t="n">
        <v>4296000</v>
      </c>
      <c r="F6" s="265" t="n">
        <v>4362000</v>
      </c>
      <c r="G6" s="265" t="n">
        <v>4122000</v>
      </c>
      <c r="I6" s="265" t="n">
        <v>4110000</v>
      </c>
      <c r="J6" s="265" t="n">
        <v>4607000</v>
      </c>
      <c r="K6" s="265" t="n">
        <v>4021000</v>
      </c>
      <c r="L6" s="265" t="n">
        <v>3192000</v>
      </c>
      <c r="N6" s="265" t="n">
        <v>4899000</v>
      </c>
      <c r="O6" s="265" t="n">
        <v>4420000</v>
      </c>
      <c r="P6" s="265" t="n">
        <v>4445000</v>
      </c>
      <c r="Q6" s="265" t="n">
        <v>4761000</v>
      </c>
      <c r="S6" s="265" t="n">
        <v>4745000</v>
      </c>
      <c r="T6" s="265" t="n">
        <v>4979000</v>
      </c>
      <c r="U6" s="265" t="n">
        <v>5013000</v>
      </c>
      <c r="V6" s="265" t="n">
        <v>5361000</v>
      </c>
      <c r="X6" s="265" t="n">
        <v>5090000</v>
      </c>
      <c r="Y6" s="265" t="n">
        <v>5793000</v>
      </c>
      <c r="Z6" s="265" t="n">
        <v>6261000</v>
      </c>
      <c r="AA6" s="265" t="n">
        <v>5997000</v>
      </c>
      <c r="AC6" s="265" t="n">
        <v>6105000</v>
      </c>
      <c r="AD6" s="265" t="n">
        <v>6400000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-4587000</v>
      </c>
      <c r="E7" s="265">
        <f>IF(E6="","",-1*E6)</f>
        <v>-4296000</v>
      </c>
      <c r="F7" s="265">
        <f>IF(F6="","",-1*F6)</f>
        <v>-4362000</v>
      </c>
      <c r="G7" s="265">
        <f>IF(G6="","",-1*G6)</f>
        <v>-4122000</v>
      </c>
      <c r="I7" s="265">
        <f>IF(I6="","",-1*I6)</f>
        <v>-4110000</v>
      </c>
      <c r="J7" s="265">
        <f>IF(J6="","",-1*J6)</f>
        <v>-4607000</v>
      </c>
      <c r="K7" s="265">
        <f>IF(K6="","",-1*K6)</f>
        <v>-4021000</v>
      </c>
      <c r="L7" s="265">
        <f>IF(L6="","",-1*L6)</f>
        <v>-3192000</v>
      </c>
      <c r="N7" s="265">
        <f>IF(N6="","",-1*N6)</f>
        <v>-4899000</v>
      </c>
      <c r="O7" s="265">
        <f>IF(O6="","",-1*O6)</f>
        <v>-4420000</v>
      </c>
      <c r="P7" s="265">
        <f>IF(P6="","",-1*P6)</f>
        <v>-4445000</v>
      </c>
      <c r="Q7" s="265">
        <f>IF(Q6="","",-1*Q6)</f>
        <v>-4761000</v>
      </c>
      <c r="S7" s="265">
        <f>IF(S6="","",-1*S6)</f>
        <v>-4745000</v>
      </c>
      <c r="T7" s="265">
        <f>IF(T6="","",-1*T6)</f>
        <v>-4979000</v>
      </c>
      <c r="U7" s="265">
        <f>IF(U6="","",-1*U6)</f>
        <v>-5013000</v>
      </c>
      <c r="V7" s="265">
        <f>IF(V6="","",-1*V6)</f>
        <v>-5361000</v>
      </c>
      <c r="X7" s="265">
        <f>IF(X6="","",-1*X6)</f>
        <v>-5090000</v>
      </c>
      <c r="Y7" s="265">
        <f>IF(Y6="","",-1*Y6)</f>
        <v>-5793000</v>
      </c>
      <c r="Z7" s="265">
        <f>IF(Z6="","",-1*Z6)</f>
        <v>-6261000</v>
      </c>
      <c r="AA7" s="265">
        <f>IF(AA6="","",-1*AA6)</f>
        <v>-5997000</v>
      </c>
      <c r="AC7" s="265">
        <f>IF(AC6="","",-1*AC6)</f>
        <v>-6105000</v>
      </c>
      <c r="AD7" s="265">
        <f>IF(AD6="","",-1*AD6)</f>
        <v>-6400000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663000</v>
      </c>
      <c r="E8" s="265" t="n">
        <v>1799000</v>
      </c>
      <c r="F8" s="265" t="n">
        <v>2955000</v>
      </c>
      <c r="G8" s="265" t="n">
        <v>2631000</v>
      </c>
      <c r="I8" s="265" t="n">
        <v>2546000</v>
      </c>
      <c r="J8" s="265" t="n">
        <v>3004000</v>
      </c>
      <c r="K8" s="265" t="n">
        <v>1521000</v>
      </c>
      <c r="L8" s="265" t="n">
        <v>-209000</v>
      </c>
      <c r="N8" s="265" t="n">
        <v>-2303000</v>
      </c>
      <c r="O8" s="265" t="n">
        <v>-1761000</v>
      </c>
      <c r="P8" s="265" t="n">
        <v>-1472000</v>
      </c>
      <c r="Q8" s="265" t="n">
        <v>-1128000</v>
      </c>
      <c r="S8" s="265" t="n">
        <v>191000</v>
      </c>
      <c r="T8" s="265" t="n">
        <v>719000</v>
      </c>
      <c r="U8" s="265" t="n">
        <v>1522000</v>
      </c>
      <c r="V8" s="265" t="n">
        <v>2174000</v>
      </c>
      <c r="X8" s="265" t="n">
        <v>1773000</v>
      </c>
      <c r="Y8" s="265" t="n">
        <v>2169000</v>
      </c>
      <c r="Z8" s="265" t="n">
        <v>3654000</v>
      </c>
      <c r="AA8" s="265" t="n">
        <v>6136000</v>
      </c>
      <c r="AC8" s="265" t="n">
        <v>16135000</v>
      </c>
      <c r="AD8" s="265" t="n">
        <v>33318000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986000</v>
      </c>
      <c r="E9" s="265">
        <f>N(E5)-N(E6)-N(E8)</f>
        <v>1327000</v>
      </c>
      <c r="F9" s="265">
        <f>N(F5)-N(F6)-N(F8)</f>
        <v>957000</v>
      </c>
      <c r="G9" s="265">
        <f>N(G5)-N(G6)-N(G8)</f>
        <v>934000</v>
      </c>
      <c r="I9" s="265">
        <f>N(I5)-N(I6)-N(I8)</f>
        <v>1130000</v>
      </c>
      <c r="J9" s="265">
        <f>N(J5)-N(J6)-N(J8)</f>
        <v>1031000</v>
      </c>
      <c r="K9" s="265">
        <f>N(K5)-N(K6)-N(K8)</f>
        <v>1101000</v>
      </c>
      <c r="L9" s="265">
        <f>N(L5)-N(L6)-N(L8)</f>
        <v>1102000</v>
      </c>
      <c r="N9" s="265">
        <f>N(N5)-N(N6)-N(N8)</f>
        <v>1097000</v>
      </c>
      <c r="O9" s="265">
        <f>N(O5)-N(O6)-N(O8)</f>
        <v>1093000</v>
      </c>
      <c r="P9" s="265">
        <f>N(P5)-N(P6)-N(P8)</f>
        <v>1037000</v>
      </c>
      <c r="Q9" s="265">
        <f>N(Q5)-N(Q6)-N(Q8)</f>
        <v>1093000</v>
      </c>
      <c r="S9" s="265">
        <f>N(S5)-N(S6)-N(S8)</f>
        <v>888000</v>
      </c>
      <c r="T9" s="265">
        <f>N(T5)-N(T6)-N(T8)</f>
        <v>1113000</v>
      </c>
      <c r="U9" s="265">
        <f>N(U5)-N(U6)-N(U8)</f>
        <v>1215000</v>
      </c>
      <c r="V9" s="265">
        <f>N(V5)-N(V6)-N(V8)</f>
        <v>1174000</v>
      </c>
      <c r="X9" s="265">
        <f>N(X5)-N(X6)-N(X8)</f>
        <v>1190000</v>
      </c>
      <c r="Y9" s="265">
        <f>N(Y5)-N(Y6)-N(Y8)</f>
        <v>1339000</v>
      </c>
      <c r="Z9" s="265">
        <f>N(Z5)-N(Z6)-N(Z8)</f>
        <v>1400000</v>
      </c>
      <c r="AA9" s="265">
        <f>N(AA5)-N(AA6)-N(AA8)</f>
        <v>1510000</v>
      </c>
      <c r="AC9" s="265">
        <f>N(AC5)-N(AC6)-N(AC8)</f>
        <v>1620000</v>
      </c>
      <c r="AD9" s="265">
        <f>N(AD5)-N(AD6)-N(AD8)</f>
        <v>1738000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-986000</v>
      </c>
      <c r="E10" s="265">
        <f>IF(E9="","",-1*E9)</f>
        <v>-1327000</v>
      </c>
      <c r="F10" s="265">
        <f>IF(F9="","",-1*F9)</f>
        <v>-957000</v>
      </c>
      <c r="G10" s="265">
        <f>IF(G9="","",-1*G9)</f>
        <v>-934000</v>
      </c>
      <c r="I10" s="265">
        <f>IF(I9="","",-1*I9)</f>
        <v>-1130000</v>
      </c>
      <c r="J10" s="265">
        <f>IF(J9="","",-1*J9)</f>
        <v>-1031000</v>
      </c>
      <c r="K10" s="265">
        <f>IF(K9="","",-1*K9)</f>
        <v>-1101000</v>
      </c>
      <c r="L10" s="265">
        <f>IF(L9="","",-1*L9)</f>
        <v>-1102000</v>
      </c>
      <c r="N10" s="265">
        <f>IF(N9="","",-1*N9)</f>
        <v>-1097000</v>
      </c>
      <c r="O10" s="265">
        <f>IF(O9="","",-1*O9)</f>
        <v>-1093000</v>
      </c>
      <c r="P10" s="265">
        <f>IF(P9="","",-1*P9)</f>
        <v>-1037000</v>
      </c>
      <c r="Q10" s="265">
        <f>IF(Q9="","",-1*Q9)</f>
        <v>-1093000</v>
      </c>
      <c r="S10" s="265">
        <f>IF(S9="","",-1*S9)</f>
        <v>-888000</v>
      </c>
      <c r="T10" s="265">
        <f>IF(T9="","",-1*T9)</f>
        <v>-1113000</v>
      </c>
      <c r="U10" s="265">
        <f>IF(U9="","",-1*U9)</f>
        <v>-1215000</v>
      </c>
      <c r="V10" s="265">
        <f>IF(V9="","",-1*V9)</f>
        <v>-1174000</v>
      </c>
      <c r="X10" s="265">
        <f>IF(X9="","",-1*X9)</f>
        <v>-1190000</v>
      </c>
      <c r="Y10" s="265">
        <f>IF(Y9="","",-1*Y9)</f>
        <v>-1339000</v>
      </c>
      <c r="Z10" s="265">
        <f>IF(Z9="","",-1*Z9)</f>
        <v>-1400000</v>
      </c>
      <c r="AA10" s="265">
        <f>IF(AA9="","",-1*AA9)</f>
        <v>-1510000</v>
      </c>
      <c r="AC10" s="265">
        <f>IF(AC9="","",-1*AC9)</f>
        <v>-1620000</v>
      </c>
      <c r="AD10" s="265">
        <f>IF(AD9="","",-1*AD9)</f>
        <v>-1738000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635000</v>
      </c>
      <c r="E11" s="265" t="n">
        <v>1806000</v>
      </c>
      <c r="F11" s="265" t="n">
        <v>2936000</v>
      </c>
      <c r="G11" s="265" t="n">
        <v>2521000</v>
      </c>
      <c r="I11" s="265" t="n">
        <v>2509000</v>
      </c>
      <c r="J11" s="265" t="n">
        <v>2988000</v>
      </c>
      <c r="K11" s="265" t="n">
        <v>1553000</v>
      </c>
      <c r="L11" s="265" t="n">
        <v>-176000</v>
      </c>
      <c r="N11" s="265" t="n">
        <v>-2271000</v>
      </c>
      <c r="O11" s="265" t="n">
        <v>-1753000</v>
      </c>
      <c r="P11" s="265" t="n">
        <v>-1458000</v>
      </c>
      <c r="Q11" s="265" t="n">
        <v>-1155000</v>
      </c>
      <c r="S11" s="265" t="n">
        <v>170000</v>
      </c>
      <c r="T11" s="265" t="n">
        <v>715000</v>
      </c>
      <c r="U11" s="265" t="n">
        <v>1510000</v>
      </c>
      <c r="V11" s="265" t="n">
        <v>2152000</v>
      </c>
      <c r="X11" s="265" t="n">
        <v>1758000</v>
      </c>
      <c r="Y11" s="265" t="n">
        <v>2113000</v>
      </c>
      <c r="Z11" s="265" t="n">
        <v>3631000</v>
      </c>
      <c r="AA11" s="265" t="n">
        <v>6061000</v>
      </c>
      <c r="AC11" s="265" t="n">
        <v>16160000</v>
      </c>
      <c r="AD11" s="265" t="n">
        <v>33212000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-28000</v>
      </c>
      <c r="E12" s="265">
        <f>N(E11)-N(E8)</f>
        <v>7000</v>
      </c>
      <c r="F12" s="265">
        <f>N(F11)-N(F8)</f>
        <v>-19000</v>
      </c>
      <c r="G12" s="265">
        <f>N(G11)-N(G8)</f>
        <v>-110000</v>
      </c>
      <c r="I12" s="265">
        <f>N(I11)-N(I8)</f>
        <v>-37000</v>
      </c>
      <c r="J12" s="265">
        <f>N(J11)-N(J8)</f>
        <v>-16000</v>
      </c>
      <c r="K12" s="265">
        <f>N(K11)-N(K8)</f>
        <v>32000</v>
      </c>
      <c r="L12" s="265">
        <f>N(L11)-N(L8)</f>
        <v>33000</v>
      </c>
      <c r="N12" s="265">
        <f>N(N11)-N(N8)</f>
        <v>32000</v>
      </c>
      <c r="O12" s="265">
        <f>N(O11)-N(O8)</f>
        <v>8000</v>
      </c>
      <c r="P12" s="265">
        <f>N(P11)-N(P8)</f>
        <v>14000</v>
      </c>
      <c r="Q12" s="265">
        <f>N(Q11)-N(Q8)</f>
        <v>-27000</v>
      </c>
      <c r="S12" s="265">
        <f>N(S11)-N(S8)</f>
        <v>-21000</v>
      </c>
      <c r="T12" s="265">
        <f>N(T11)-N(T8)</f>
        <v>-4000</v>
      </c>
      <c r="U12" s="265">
        <f>N(U11)-N(U8)</f>
        <v>-12000</v>
      </c>
      <c r="V12" s="265">
        <f>N(V11)-N(V8)</f>
        <v>-22000</v>
      </c>
      <c r="X12" s="265">
        <f>N(X11)-N(X8)</f>
        <v>-15000</v>
      </c>
      <c r="Y12" s="265">
        <f>N(Y11)-N(Y8)</f>
        <v>-56000</v>
      </c>
      <c r="Z12" s="265">
        <f>N(Z11)-N(Z8)</f>
        <v>-23000</v>
      </c>
      <c r="AA12" s="265">
        <f>N(AA11)-N(AA8)</f>
        <v>-75000</v>
      </c>
      <c r="AC12" s="265">
        <f>N(AC11)-N(AC8)</f>
        <v>25000</v>
      </c>
      <c r="AD12" s="265">
        <f>N(AD11)-N(AD8)</f>
        <v>-106000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42000</v>
      </c>
      <c r="E13" s="265" t="n">
        <v>46000</v>
      </c>
      <c r="F13" s="265" t="n">
        <v>47000</v>
      </c>
      <c r="G13" s="265" t="n">
        <v>45000</v>
      </c>
      <c r="I13" s="265" t="n">
        <v>55000</v>
      </c>
      <c r="J13" s="265" t="n">
        <v>44000</v>
      </c>
      <c r="K13" s="265" t="n">
        <v>45000</v>
      </c>
      <c r="L13" s="265" t="n">
        <v>51000</v>
      </c>
      <c r="N13" s="265" t="n">
        <v>89000</v>
      </c>
      <c r="O13" s="265" t="n">
        <v>119000</v>
      </c>
      <c r="P13" s="265" t="n">
        <v>129000</v>
      </c>
      <c r="Q13" s="265" t="n">
        <v>132000</v>
      </c>
      <c r="S13" s="265" t="n">
        <v>144000</v>
      </c>
      <c r="T13" s="265" t="n">
        <v>150000</v>
      </c>
      <c r="U13" s="265" t="n">
        <v>136000</v>
      </c>
      <c r="V13" s="265" t="n">
        <v>118000</v>
      </c>
      <c r="X13" s="265" t="n">
        <v>112000</v>
      </c>
      <c r="Y13" s="265" t="n">
        <v>123000</v>
      </c>
      <c r="Z13" s="265" t="n">
        <v>124000</v>
      </c>
      <c r="AA13" s="265" t="n">
        <v>74000</v>
      </c>
      <c r="AC13" s="265" t="n">
        <v>32000</v>
      </c>
      <c r="AD13" s="265" t="n">
        <v>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-42000</v>
      </c>
      <c r="E14" s="265">
        <f>IF(E13="","",-1*E13)</f>
        <v>-46000</v>
      </c>
      <c r="F14" s="265">
        <f>IF(F13="","",-1*F13)</f>
        <v>-47000</v>
      </c>
      <c r="G14" s="265">
        <f>IF(G13="","",-1*G13)</f>
        <v>-45000</v>
      </c>
      <c r="I14" s="265">
        <f>IF(I13="","",-1*I13)</f>
        <v>-55000</v>
      </c>
      <c r="J14" s="265">
        <f>IF(J13="","",-1*J13)</f>
        <v>-44000</v>
      </c>
      <c r="K14" s="265">
        <f>IF(K13="","",-1*K13)</f>
        <v>-45000</v>
      </c>
      <c r="L14" s="265">
        <f>IF(L13="","",-1*L13)</f>
        <v>-51000</v>
      </c>
      <c r="N14" s="265">
        <f>IF(N13="","",-1*N13)</f>
        <v>-89000</v>
      </c>
      <c r="O14" s="265">
        <f>IF(O13="","",-1*O13)</f>
        <v>-119000</v>
      </c>
      <c r="P14" s="265">
        <f>IF(P13="","",-1*P13)</f>
        <v>-129000</v>
      </c>
      <c r="Q14" s="265">
        <f>IF(Q13="","",-1*Q13)</f>
        <v>-132000</v>
      </c>
      <c r="S14" s="265">
        <f>IF(S13="","",-1*S13)</f>
        <v>-144000</v>
      </c>
      <c r="T14" s="265">
        <f>IF(T13="","",-1*T13)</f>
        <v>-150000</v>
      </c>
      <c r="U14" s="265">
        <f>IF(U13="","",-1*U13)</f>
        <v>-136000</v>
      </c>
      <c r="V14" s="265">
        <f>IF(V13="","",-1*V13)</f>
        <v>-118000</v>
      </c>
      <c r="X14" s="265">
        <f>IF(X13="","",-1*X13)</f>
        <v>-112000</v>
      </c>
      <c r="Y14" s="265">
        <f>IF(Y13="","",-1*Y13)</f>
        <v>-123000</v>
      </c>
      <c r="Z14" s="265">
        <f>IF(Z13="","",-1*Z13)</f>
        <v>-124000</v>
      </c>
      <c r="AA14" s="265">
        <f>IF(AA13="","",-1*AA13)</f>
        <v>-74000</v>
      </c>
      <c r="AC14" s="265">
        <f>IF(AC13="","",-1*AC13)</f>
        <v>-32000</v>
      </c>
      <c r="AD14" s="265">
        <f>IF(AD13="","",-1*AD13)</f>
        <v>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42000</v>
      </c>
      <c r="E15" s="265">
        <f>IF(E13="","",E13)</f>
        <v>46000</v>
      </c>
      <c r="F15" s="265">
        <f>IF(F13="","",F13)</f>
        <v>47000</v>
      </c>
      <c r="G15" s="265">
        <f>IF(G13="","",G13)</f>
        <v>45000</v>
      </c>
      <c r="I15" s="265">
        <f>IF(I13="","",I13)</f>
        <v>55000</v>
      </c>
      <c r="J15" s="265">
        <f>IF(J13="","",J13)</f>
        <v>44000</v>
      </c>
      <c r="K15" s="265">
        <f>IF(K13="","",K13)</f>
        <v>45000</v>
      </c>
      <c r="L15" s="265">
        <f>IF(L13="","",L13)</f>
        <v>51000</v>
      </c>
      <c r="N15" s="265">
        <f>IF(N13="","",N13)</f>
        <v>89000</v>
      </c>
      <c r="O15" s="265">
        <f>IF(O13="","",O13)</f>
        <v>119000</v>
      </c>
      <c r="P15" s="265">
        <f>IF(P13="","",P13)</f>
        <v>129000</v>
      </c>
      <c r="Q15" s="265">
        <f>IF(Q13="","",Q13)</f>
        <v>132000</v>
      </c>
      <c r="S15" s="265">
        <f>IF(S13="","",S13)</f>
        <v>144000</v>
      </c>
      <c r="T15" s="265">
        <f>IF(T13="","",T13)</f>
        <v>150000</v>
      </c>
      <c r="U15" s="265">
        <f>IF(U13="","",U13)</f>
        <v>136000</v>
      </c>
      <c r="V15" s="265">
        <f>IF(V13="","",V13)</f>
        <v>118000</v>
      </c>
      <c r="X15" s="265">
        <f>IF(X13="","",X13)</f>
        <v>112000</v>
      </c>
      <c r="Y15" s="265">
        <f>IF(Y13="","",Y13)</f>
        <v>123000</v>
      </c>
      <c r="Z15" s="265">
        <f>IF(Z13="","",Z13)</f>
        <v>124000</v>
      </c>
      <c r="AA15" s="265">
        <f>IF(AA13="","",AA13)</f>
        <v>74000</v>
      </c>
      <c r="AC15" s="265">
        <f>IF(AC13="","",AC13)</f>
        <v>32000</v>
      </c>
      <c r="AD15" s="265">
        <f>IF(AD13="","",AD13)</f>
        <v>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48000</v>
      </c>
      <c r="E16" s="265" t="n">
        <v>65000</v>
      </c>
      <c r="F16" s="265" t="n">
        <v>230000</v>
      </c>
      <c r="G16" s="265" t="n">
        <v>219000</v>
      </c>
      <c r="I16" s="265" t="n">
        <v>255000</v>
      </c>
      <c r="J16" s="265" t="n">
        <v>358000</v>
      </c>
      <c r="K16" s="265" t="n">
        <v>56000</v>
      </c>
      <c r="L16" s="265" t="n">
        <v>8000</v>
      </c>
      <c r="N16" s="265" t="n">
        <v>54000</v>
      </c>
      <c r="O16" s="265" t="n">
        <v>139000</v>
      </c>
      <c r="P16" s="265" t="n">
        <v>-24000</v>
      </c>
      <c r="Q16" s="265" t="n">
        <v>73000</v>
      </c>
      <c r="S16" s="265" t="n">
        <v>-622000</v>
      </c>
      <c r="T16" s="265" t="n">
        <v>377000</v>
      </c>
      <c r="U16" s="265" t="n">
        <v>623000</v>
      </c>
      <c r="V16" s="265" t="n">
        <v>283000</v>
      </c>
      <c r="X16" s="265" t="n">
        <v>177000</v>
      </c>
      <c r="Y16" s="265" t="n">
        <v>235000</v>
      </c>
      <c r="Z16" s="265" t="n">
        <v>429000</v>
      </c>
      <c r="AA16" s="265" t="n">
        <v>829000</v>
      </c>
      <c r="AC16" s="265" t="n">
        <v>2371000</v>
      </c>
      <c r="AD16" s="265" t="n">
        <v>4978000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-48000</v>
      </c>
      <c r="E17" s="265">
        <f>IF(E16="","",-1*E16)</f>
        <v>-65000</v>
      </c>
      <c r="F17" s="265">
        <f>IF(F16="","",-1*F16)</f>
        <v>-230000</v>
      </c>
      <c r="G17" s="265">
        <f>IF(G16="","",-1*G16)</f>
        <v>-219000</v>
      </c>
      <c r="I17" s="265">
        <f>IF(I16="","",-1*I16)</f>
        <v>-255000</v>
      </c>
      <c r="J17" s="265">
        <f>IF(J16="","",-1*J16)</f>
        <v>-358000</v>
      </c>
      <c r="K17" s="265">
        <f>IF(K16="","",-1*K16)</f>
        <v>-56000</v>
      </c>
      <c r="L17" s="265">
        <f>IF(L16="","",-1*L16)</f>
        <v>-8000</v>
      </c>
      <c r="N17" s="265">
        <f>IF(N16="","",-1*N16)</f>
        <v>-54000</v>
      </c>
      <c r="O17" s="265">
        <f>IF(O16="","",-1*O16)</f>
        <v>-139000</v>
      </c>
      <c r="P17" s="265">
        <f>IF(P16="","",-1*P16)</f>
        <v>24000</v>
      </c>
      <c r="Q17" s="265">
        <f>IF(Q16="","",-1*Q16)</f>
        <v>-73000</v>
      </c>
      <c r="S17" s="265">
        <f>IF(S16="","",-1*S16)</f>
        <v>622000</v>
      </c>
      <c r="T17" s="265">
        <f>IF(T16="","",-1*T16)</f>
        <v>-377000</v>
      </c>
      <c r="U17" s="265">
        <f>IF(U16="","",-1*U16)</f>
        <v>-623000</v>
      </c>
      <c r="V17" s="265">
        <f>IF(V16="","",-1*V16)</f>
        <v>-283000</v>
      </c>
      <c r="X17" s="265">
        <f>IF(X16="","",-1*X16)</f>
        <v>-177000</v>
      </c>
      <c r="Y17" s="265">
        <f>IF(Y16="","",-1*Y16)</f>
        <v>-235000</v>
      </c>
      <c r="Z17" s="265">
        <f>IF(Z16="","",-1*Z16)</f>
        <v>-429000</v>
      </c>
      <c r="AA17" s="265">
        <f>IF(AA16="","",-1*AA16)</f>
        <v>-829000</v>
      </c>
      <c r="AC17" s="265">
        <f>IF(AC16="","",-1*AC16)</f>
        <v>-2371000</v>
      </c>
      <c r="AD17" s="265">
        <f>IF(AD16="","",-1*AD16)</f>
        <v>-4978000</v>
      </c>
    </row>
    <row r="18">
      <c r="A18" t="inlineStr">
        <is>
          <t>Lucro atribuído a não controladores (divulgado positivo) [us-gaap:NetIncomeLossAttributableToNoncontrollingInterest] · fonte · unid. moeda</t>
        </is>
      </c>
      <c r="C18" t="inlineStr">
        <is>
          <t>[linha bruta, sem código; lançada nas linhas abaixo]</t>
        </is>
      </c>
      <c r="D18" s="265" t="n">
        <v>0</v>
      </c>
      <c r="E18" s="265" t="n">
        <v>0</v>
      </c>
      <c r="F18" s="265" t="n">
        <v>0</v>
      </c>
      <c r="G18" s="265" t="n">
        <v>0</v>
      </c>
      <c r="I18" s="265" t="n">
        <v>0</v>
      </c>
      <c r="J18" s="265" t="n">
        <v>0</v>
      </c>
      <c r="K18" s="265" t="n">
        <v>0</v>
      </c>
      <c r="L18" s="265" t="n">
        <v>0</v>
      </c>
      <c r="N18" s="265" t="n">
        <v>0</v>
      </c>
      <c r="O18" s="265" t="n">
        <v>0</v>
      </c>
      <c r="P18" s="265" t="n">
        <v>0</v>
      </c>
      <c r="Q18" s="265" t="n">
        <v>0</v>
      </c>
      <c r="S18" s="265" t="n">
        <v>0</v>
      </c>
      <c r="T18" s="265" t="n">
        <v>0</v>
      </c>
      <c r="U18" s="265" t="n">
        <v>0</v>
      </c>
      <c r="V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C18" s="265" t="n">
        <v>0</v>
      </c>
      <c r="AD18" s="265" t="n">
        <v>0</v>
      </c>
    </row>
    <row r="19">
      <c r="A19" t="inlineStr">
        <is>
          <t>(lançamento) código 9, sinal -1 sobre a linha bruta 18: Lucro atribuído a não controladores (divulgado positivo) [us-gaap:NetIncomeLossAttributabl</t>
        </is>
      </c>
      <c r="B19" t="n">
        <v>9</v>
      </c>
      <c r="C19" t="inlineStr">
        <is>
          <t>Minority Interest Expense, after tax (enter as - )</t>
        </is>
      </c>
      <c r="D19" s="265">
        <f>IF(D18="","",-1*D18)</f>
        <v>0</v>
      </c>
      <c r="E19" s="265">
        <f>IF(E18="","",-1*E18)</f>
        <v>0</v>
      </c>
      <c r="F19" s="265">
        <f>IF(F18="","",-1*F18)</f>
        <v>0</v>
      </c>
      <c r="G19" s="265">
        <f>IF(G18="","",-1*G18)</f>
        <v>0</v>
      </c>
      <c r="I19" s="265">
        <f>IF(I18="","",-1*I18)</f>
        <v>0</v>
      </c>
      <c r="J19" s="265">
        <f>IF(J18="","",-1*J18)</f>
        <v>0</v>
      </c>
      <c r="K19" s="265">
        <f>IF(K18="","",-1*K18)</f>
        <v>0</v>
      </c>
      <c r="L19" s="265">
        <f>IF(L18="","",-1*L18)</f>
        <v>0</v>
      </c>
      <c r="N19" s="265">
        <f>IF(N18="","",-1*N18)</f>
        <v>0</v>
      </c>
      <c r="O19" s="265">
        <f>IF(O18="","",-1*O18)</f>
        <v>0</v>
      </c>
      <c r="P19" s="265">
        <f>IF(P18="","",-1*P18)</f>
        <v>0</v>
      </c>
      <c r="Q19" s="265">
        <f>IF(Q18="","",-1*Q18)</f>
        <v>0</v>
      </c>
      <c r="S19" s="265">
        <f>IF(S18="","",-1*S18)</f>
        <v>0</v>
      </c>
      <c r="T19" s="265">
        <f>IF(T18="","",-1*T18)</f>
        <v>0</v>
      </c>
      <c r="U19" s="265">
        <f>IF(U18="","",-1*U18)</f>
        <v>0</v>
      </c>
      <c r="V19" s="265">
        <f>IF(V18="","",-1*V18)</f>
        <v>0</v>
      </c>
      <c r="X19" s="265">
        <f>IF(X18="","",-1*X18)</f>
        <v>0</v>
      </c>
      <c r="Y19" s="265">
        <f>IF(Y18="","",-1*Y18)</f>
        <v>0</v>
      </c>
      <c r="Z19" s="265">
        <f>IF(Z18="","",-1*Z18)</f>
        <v>0</v>
      </c>
      <c r="AA19" s="265">
        <f>IF(AA18="","",-1*AA18)</f>
        <v>0</v>
      </c>
      <c r="AC19" s="265">
        <f>IF(AC18="","",-1*AC18)</f>
        <v>0</v>
      </c>
      <c r="AD19" s="265">
        <f>IF(AD18="","",-1*AD18)</f>
        <v>0</v>
      </c>
    </row>
    <row r="20">
      <c r="A20" t="inlineStr">
        <is>
          <t>Lucro líquido atribuído à companhia [us-gaap:NetIncomeLoss] · memoria · unid. moeda</t>
        </is>
      </c>
      <c r="C20" t="inlineStr">
        <is>
          <t>[linha bruta, sem código; lançada nas linhas abaixo]</t>
        </is>
      </c>
      <c r="D20" s="265" t="n">
        <v>603000</v>
      </c>
      <c r="E20" s="265" t="n">
        <v>1735000</v>
      </c>
      <c r="F20" s="265" t="n">
        <v>2720000</v>
      </c>
      <c r="G20" s="265" t="n">
        <v>2306000</v>
      </c>
      <c r="I20" s="265" t="n">
        <v>2263000</v>
      </c>
      <c r="J20" s="265" t="n">
        <v>2626000</v>
      </c>
      <c r="K20" s="265" t="n">
        <v>1492000</v>
      </c>
      <c r="L20" s="265" t="n">
        <v>-195000</v>
      </c>
      <c r="N20" s="265" t="n">
        <v>-2312000</v>
      </c>
      <c r="O20" s="265" t="n">
        <v>-1896000</v>
      </c>
      <c r="P20" s="265" t="n">
        <v>-1430000</v>
      </c>
      <c r="Q20" s="265" t="n">
        <v>-1234000</v>
      </c>
      <c r="S20" s="265" t="n">
        <v>793000</v>
      </c>
      <c r="T20" s="265" t="n">
        <v>332000</v>
      </c>
      <c r="U20" s="265" t="n">
        <v>887000</v>
      </c>
      <c r="V20" s="265" t="n">
        <v>1870000</v>
      </c>
      <c r="X20" s="265" t="n">
        <v>1583000</v>
      </c>
      <c r="Y20" s="265" t="n">
        <v>1885000</v>
      </c>
      <c r="Z20" s="265" t="n">
        <v>3201000</v>
      </c>
      <c r="AA20" s="265" t="n">
        <v>5240000</v>
      </c>
      <c r="AC20" s="265" t="n">
        <v>13785000</v>
      </c>
      <c r="AD20" s="265" t="n">
        <v>28243000</v>
      </c>
    </row>
    <row r="21">
      <c r="A21" t="inlineStr">
        <is>
          <t>Resultado após IR não classificado acima (equivalência patrimonial, operações descontinuadas): lucro - (LAIR - IR - minoritários); zero quando não há · derivada · unid. moeda</t>
        </is>
      </c>
      <c r="B21" t="n">
        <v>8</v>
      </c>
      <c r="C21" t="inlineStr">
        <is>
          <t>Equity in Income of Affiliates, after tax (enter as +)</t>
        </is>
      </c>
      <c r="D21" s="265">
        <f>N(D20)-(N(D11)-N(D16)-N(D18))</f>
        <v>16000</v>
      </c>
      <c r="E21" s="265">
        <f>N(E20)-(N(E11)-N(E16)-N(E18))</f>
        <v>-6000</v>
      </c>
      <c r="F21" s="265">
        <f>N(F20)-(N(F11)-N(F16)-N(F18))</f>
        <v>14000</v>
      </c>
      <c r="G21" s="265">
        <f>N(G20)-(N(G11)-N(G16)-N(G18))</f>
        <v>4000</v>
      </c>
      <c r="I21" s="265">
        <f>N(I20)-(N(I11)-N(I16)-N(I18))</f>
        <v>9000</v>
      </c>
      <c r="J21" s="265">
        <f>N(J20)-(N(J11)-N(J16)-N(J18))</f>
        <v>-4000</v>
      </c>
      <c r="K21" s="265">
        <f>N(K20)-(N(K11)-N(K16)-N(K18))</f>
        <v>-5000</v>
      </c>
      <c r="L21" s="265">
        <f>N(L20)-(N(L11)-N(L16)-N(L18))</f>
        <v>-11000</v>
      </c>
      <c r="N21" s="265">
        <f>N(N20)-(N(N11)-N(N16)-N(N18))</f>
        <v>13000</v>
      </c>
      <c r="O21" s="265">
        <f>N(O20)-(N(O11)-N(O16)-N(O18))</f>
        <v>-4000</v>
      </c>
      <c r="P21" s="265">
        <f>N(P20)-(N(P11)-N(P16)-N(P18))</f>
        <v>4000</v>
      </c>
      <c r="Q21" s="265">
        <f>N(Q20)-(N(Q11)-N(Q16)-N(Q18))</f>
        <v>-6000</v>
      </c>
      <c r="S21" s="265">
        <f>N(S20)-(N(S11)-N(S16)-N(S18))</f>
        <v>1000</v>
      </c>
      <c r="T21" s="265">
        <f>N(T20)-(N(T11)-N(T16)-N(T18))</f>
        <v>-6000</v>
      </c>
      <c r="U21" s="265">
        <f>N(U20)-(N(U11)-N(U16)-N(U18))</f>
        <v>0</v>
      </c>
      <c r="V21" s="265">
        <f>N(V20)-(N(V11)-N(V16)-N(V18))</f>
        <v>1000</v>
      </c>
      <c r="X21" s="265">
        <f>N(X20)-(N(X11)-N(X16)-N(X18))</f>
        <v>2000</v>
      </c>
      <c r="Y21" s="265">
        <f>N(Y20)-(N(Y11)-N(Y16)-N(Y18))</f>
        <v>7000</v>
      </c>
      <c r="Z21" s="265">
        <f>N(Z20)-(N(Z11)-N(Z16)-N(Z18))</f>
        <v>-1000</v>
      </c>
      <c r="AA21" s="265">
        <f>N(AA20)-(N(AA11)-N(AA16)-N(AA18))</f>
        <v>8000</v>
      </c>
      <c r="AC21" s="265">
        <f>N(AC20)-(N(AC11)-N(AC16)-N(AC18))</f>
        <v>-4000</v>
      </c>
      <c r="AD21" s="265">
        <f>N(AD20)-(N(AD11)-N(AD16)-N(AD18))</f>
        <v>9000</v>
      </c>
    </row>
    <row r="22">
      <c r="A22" t="inlineStr">
        <is>
          <t>Lucro líquido (check IS, código 44) · derivada · unid. moeda</t>
        </is>
      </c>
      <c r="B22" t="n">
        <v>44</v>
      </c>
      <c r="C22" t="inlineStr">
        <is>
          <t>Lucro líquido (check IS, código 44)</t>
        </is>
      </c>
      <c r="D22" s="265">
        <f>N(D20)</f>
        <v>603000</v>
      </c>
      <c r="E22" s="265">
        <f>N(E20)</f>
        <v>1735000</v>
      </c>
      <c r="F22" s="265">
        <f>N(F20)</f>
        <v>2720000</v>
      </c>
      <c r="G22" s="265">
        <f>N(G20)</f>
        <v>2306000</v>
      </c>
      <c r="I22" s="265">
        <f>N(I20)</f>
        <v>2263000</v>
      </c>
      <c r="J22" s="265">
        <f>N(J20)</f>
        <v>2626000</v>
      </c>
      <c r="K22" s="265">
        <f>N(K20)</f>
        <v>1492000</v>
      </c>
      <c r="L22" s="265">
        <f>N(L20)</f>
        <v>-195000</v>
      </c>
      <c r="N22" s="265">
        <f>N(N20)</f>
        <v>-2312000</v>
      </c>
      <c r="O22" s="265">
        <f>N(O20)</f>
        <v>-1896000</v>
      </c>
      <c r="P22" s="265">
        <f>N(P20)</f>
        <v>-1430000</v>
      </c>
      <c r="Q22" s="265">
        <f>N(Q20)</f>
        <v>-1234000</v>
      </c>
      <c r="S22" s="265">
        <f>N(S20)</f>
        <v>793000</v>
      </c>
      <c r="T22" s="265">
        <f>N(T20)</f>
        <v>332000</v>
      </c>
      <c r="U22" s="265">
        <f>N(U20)</f>
        <v>887000</v>
      </c>
      <c r="V22" s="265">
        <f>N(V20)</f>
        <v>1870000</v>
      </c>
      <c r="X22" s="265">
        <f>N(X20)</f>
        <v>1583000</v>
      </c>
      <c r="Y22" s="265">
        <f>N(Y20)</f>
        <v>1885000</v>
      </c>
      <c r="Z22" s="265">
        <f>N(Z20)</f>
        <v>3201000</v>
      </c>
      <c r="AA22" s="265">
        <f>N(AA20)</f>
        <v>5240000</v>
      </c>
      <c r="AC22" s="265">
        <f>N(AC20)</f>
        <v>13785000</v>
      </c>
      <c r="AD22" s="265">
        <f>N(AD20)</f>
        <v>28243000</v>
      </c>
    </row>
    <row r="23">
      <c r="A23" t="inlineStr">
        <is>
          <t>DFC - trimestre isolado (desacumulado na extração)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4" t="inlineStr">
        <is>
          <t>[linha bruta, sem código; lançada nas linhas abaixo]</t>
        </is>
      </c>
      <c r="D24" s="265" t="n">
        <v>1549000</v>
      </c>
      <c r="E24" s="265" t="n">
        <v>1557000</v>
      </c>
      <c r="F24" s="265" t="n">
        <v>1621000</v>
      </c>
      <c r="G24" s="265" t="n">
        <v>1671000</v>
      </c>
      <c r="I24" s="265" t="n">
        <v>1742000</v>
      </c>
      <c r="J24" s="265" t="n">
        <v>1821000</v>
      </c>
      <c r="K24" s="265" t="n">
        <v>1882000</v>
      </c>
      <c r="L24" s="265" t="n">
        <v>1921000</v>
      </c>
      <c r="N24" s="265" t="n">
        <v>1942000</v>
      </c>
      <c r="O24" s="265" t="n">
        <v>1956000</v>
      </c>
      <c r="P24" s="265" t="n">
        <v>1937000</v>
      </c>
      <c r="Q24" s="265" t="n">
        <v>1915000</v>
      </c>
      <c r="S24" s="265" t="n">
        <v>1924000</v>
      </c>
      <c r="T24" s="265" t="n">
        <v>1955000</v>
      </c>
      <c r="U24" s="265" t="n">
        <v>1986000</v>
      </c>
      <c r="V24" s="265" t="n">
        <v>2030000</v>
      </c>
      <c r="X24" s="265" t="n">
        <v>2079000</v>
      </c>
      <c r="Y24" s="265" t="n">
        <v>2094000</v>
      </c>
      <c r="Z24" s="265" t="n">
        <v>2149000</v>
      </c>
      <c r="AA24" s="265" t="n">
        <v>2212000</v>
      </c>
      <c r="AC24" s="265" t="n">
        <v>2286000</v>
      </c>
      <c r="AD24" s="265" t="n">
        <v>2364000</v>
      </c>
    </row>
    <row r="25">
      <c r="A25" t="inlineStr">
        <is>
          <t>(lançamento) código 4, sinal -1 sobre a linha bruta 24: D&amp;A (fluxo de caixa). COD1=4 lança (positivo -&gt; -1); COD2=3 devolve às despesas operaciona</t>
        </is>
      </c>
      <c r="B25" t="n">
        <v>4</v>
      </c>
      <c r="C25" t="inlineStr">
        <is>
          <t>D&amp;A</t>
        </is>
      </c>
      <c r="D25" s="265">
        <f>IF(D24="","",-1*D24)</f>
        <v>-1549000</v>
      </c>
      <c r="E25" s="265">
        <f>IF(E24="","",-1*E24)</f>
        <v>-1557000</v>
      </c>
      <c r="F25" s="265">
        <f>IF(F24="","",-1*F24)</f>
        <v>-1621000</v>
      </c>
      <c r="G25" s="265">
        <f>IF(G24="","",-1*G24)</f>
        <v>-1671000</v>
      </c>
      <c r="I25" s="265">
        <f>IF(I24="","",-1*I24)</f>
        <v>-1742000</v>
      </c>
      <c r="J25" s="265">
        <f>IF(J24="","",-1*J24)</f>
        <v>-1821000</v>
      </c>
      <c r="K25" s="265">
        <f>IF(K24="","",-1*K24)</f>
        <v>-1882000</v>
      </c>
      <c r="L25" s="265">
        <f>IF(L24="","",-1*L24)</f>
        <v>-1921000</v>
      </c>
      <c r="N25" s="265">
        <f>IF(N24="","",-1*N24)</f>
        <v>-1942000</v>
      </c>
      <c r="O25" s="265">
        <f>IF(O24="","",-1*O24)</f>
        <v>-1956000</v>
      </c>
      <c r="P25" s="265">
        <f>IF(P24="","",-1*P24)</f>
        <v>-1937000</v>
      </c>
      <c r="Q25" s="265">
        <f>IF(Q24="","",-1*Q24)</f>
        <v>-1915000</v>
      </c>
      <c r="S25" s="265">
        <f>IF(S24="","",-1*S24)</f>
        <v>-1924000</v>
      </c>
      <c r="T25" s="265">
        <f>IF(T24="","",-1*T24)</f>
        <v>-1955000</v>
      </c>
      <c r="U25" s="265">
        <f>IF(U24="","",-1*U24)</f>
        <v>-1986000</v>
      </c>
      <c r="V25" s="265">
        <f>IF(V24="","",-1*V24)</f>
        <v>-2030000</v>
      </c>
      <c r="X25" s="265">
        <f>IF(X24="","",-1*X24)</f>
        <v>-2079000</v>
      </c>
      <c r="Y25" s="265">
        <f>IF(Y24="","",-1*Y24)</f>
        <v>-2094000</v>
      </c>
      <c r="Z25" s="265">
        <f>IF(Z24="","",-1*Z24)</f>
        <v>-2149000</v>
      </c>
      <c r="AA25" s="265">
        <f>IF(AA24="","",-1*AA24)</f>
        <v>-2212000</v>
      </c>
      <c r="AC25" s="265">
        <f>IF(AC24="","",-1*AC24)</f>
        <v>-2286000</v>
      </c>
      <c r="AD25" s="265">
        <f>IF(AD24="","",-1*AD24)</f>
        <v>-2364000</v>
      </c>
    </row>
    <row r="26">
      <c r="A26" t="inlineStr">
        <is>
          <t>(lançamento) código 3, sinal +1 sobre a linha bruta 24: D&amp;A (fluxo de caixa). COD1=4 lança (positivo -&gt; -1); COD2=3 devolve às despesas operaciona</t>
        </is>
      </c>
      <c r="B26" t="n">
        <v>3</v>
      </c>
      <c r="C26" t="inlineStr">
        <is>
          <t>SG&amp;A and Other (cash)</t>
        </is>
      </c>
      <c r="D26" s="265">
        <f>IF(D24="","",D24)</f>
        <v>1549000</v>
      </c>
      <c r="E26" s="265">
        <f>IF(E24="","",E24)</f>
        <v>1557000</v>
      </c>
      <c r="F26" s="265">
        <f>IF(F24="","",F24)</f>
        <v>1621000</v>
      </c>
      <c r="G26" s="265">
        <f>IF(G24="","",G24)</f>
        <v>1671000</v>
      </c>
      <c r="I26" s="265">
        <f>IF(I24="","",I24)</f>
        <v>1742000</v>
      </c>
      <c r="J26" s="265">
        <f>IF(J24="","",J24)</f>
        <v>1821000</v>
      </c>
      <c r="K26" s="265">
        <f>IF(K24="","",K24)</f>
        <v>1882000</v>
      </c>
      <c r="L26" s="265">
        <f>IF(L24="","",L24)</f>
        <v>1921000</v>
      </c>
      <c r="N26" s="265">
        <f>IF(N24="","",N24)</f>
        <v>1942000</v>
      </c>
      <c r="O26" s="265">
        <f>IF(O24="","",O24)</f>
        <v>1956000</v>
      </c>
      <c r="P26" s="265">
        <f>IF(P24="","",P24)</f>
        <v>1937000</v>
      </c>
      <c r="Q26" s="265">
        <f>IF(Q24="","",Q24)</f>
        <v>1915000</v>
      </c>
      <c r="S26" s="265">
        <f>IF(S24="","",S24)</f>
        <v>1924000</v>
      </c>
      <c r="T26" s="265">
        <f>IF(T24="","",T24)</f>
        <v>1955000</v>
      </c>
      <c r="U26" s="265">
        <f>IF(U24="","",U24)</f>
        <v>1986000</v>
      </c>
      <c r="V26" s="265">
        <f>IF(V24="","",V24)</f>
        <v>2030000</v>
      </c>
      <c r="X26" s="265">
        <f>IF(X24="","",X24)</f>
        <v>2079000</v>
      </c>
      <c r="Y26" s="265">
        <f>IF(Y24="","",Y24)</f>
        <v>2094000</v>
      </c>
      <c r="Z26" s="265">
        <f>IF(Z24="","",Z24)</f>
        <v>2149000</v>
      </c>
      <c r="AA26" s="265">
        <f>IF(AA24="","",AA24)</f>
        <v>2212000</v>
      </c>
      <c r="AC26" s="265">
        <f>IF(AC24="","",AC24)</f>
        <v>2286000</v>
      </c>
      <c r="AD26" s="265">
        <f>IF(AD24="","",AD24)</f>
        <v>2364000</v>
      </c>
    </row>
    <row r="27">
      <c r="A27" t="inlineStr">
        <is>
          <t>Dividendos pagos [us-gaap:PaymentsOfDividends] · fonte · unid. moeda</t>
        </is>
      </c>
      <c r="C27" t="inlineStr">
        <is>
          <t>[linha bruta, sem código; lançada nas linhas abaixo]</t>
        </is>
      </c>
      <c r="D27" s="265" t="n">
        <v>0</v>
      </c>
      <c r="E27" s="265" t="n">
        <v>0</v>
      </c>
      <c r="F27" s="265" t="n">
        <v>0</v>
      </c>
      <c r="G27" s="265" t="n">
        <v>112000</v>
      </c>
      <c r="I27" s="265" t="n">
        <v>112000</v>
      </c>
      <c r="J27" s="265" t="n">
        <v>111000</v>
      </c>
      <c r="K27" s="265" t="n">
        <v>126000</v>
      </c>
      <c r="L27" s="265" t="n">
        <v>126000</v>
      </c>
      <c r="N27" s="265" t="n">
        <v>126000</v>
      </c>
      <c r="O27" s="265" t="n">
        <v>126000</v>
      </c>
      <c r="P27" s="265" t="n">
        <v>126000</v>
      </c>
      <c r="Q27" s="265" t="n">
        <v>129000</v>
      </c>
      <c r="S27" s="265" t="n">
        <v>127000</v>
      </c>
      <c r="T27" s="265" t="n">
        <v>128000</v>
      </c>
      <c r="U27" s="265" t="n">
        <v>129000</v>
      </c>
      <c r="V27" s="265" t="n">
        <v>131000</v>
      </c>
      <c r="X27" s="265" t="n">
        <v>130000</v>
      </c>
      <c r="Y27" s="265" t="n">
        <v>131000</v>
      </c>
      <c r="Z27" s="265" t="n">
        <v>130000</v>
      </c>
      <c r="AA27" s="265" t="n">
        <v>134000</v>
      </c>
      <c r="AC27" s="265" t="n">
        <v>132000</v>
      </c>
      <c r="AD27" s="265" t="n">
        <v>171000</v>
      </c>
    </row>
    <row r="28">
      <c r="A28" t="inlineStr">
        <is>
          <t>(lançamento) código 10, sinal -1 sobre a linha bruta 27: Dividendos pagos [us-gaap:PaymentsOfDividends]</t>
        </is>
      </c>
      <c r="B28" t="n">
        <v>10</v>
      </c>
      <c r="C28" t="inlineStr">
        <is>
          <t>Common Dividends</t>
        </is>
      </c>
      <c r="D28" s="265">
        <f>IF(D27="","",-1*D27)</f>
        <v>0</v>
      </c>
      <c r="E28" s="265">
        <f>IF(E27="","",-1*E27)</f>
        <v>0</v>
      </c>
      <c r="F28" s="265">
        <f>IF(F27="","",-1*F27)</f>
        <v>0</v>
      </c>
      <c r="G28" s="265">
        <f>IF(G27="","",-1*G27)</f>
        <v>-112000</v>
      </c>
      <c r="I28" s="265">
        <f>IF(I27="","",-1*I27)</f>
        <v>-112000</v>
      </c>
      <c r="J28" s="265">
        <f>IF(J27="","",-1*J27)</f>
        <v>-111000</v>
      </c>
      <c r="K28" s="265">
        <f>IF(K27="","",-1*K27)</f>
        <v>-126000</v>
      </c>
      <c r="L28" s="265">
        <f>IF(L27="","",-1*L27)</f>
        <v>-126000</v>
      </c>
      <c r="N28" s="265">
        <f>IF(N27="","",-1*N27)</f>
        <v>-126000</v>
      </c>
      <c r="O28" s="265">
        <f>IF(O27="","",-1*O27)</f>
        <v>-126000</v>
      </c>
      <c r="P28" s="265">
        <f>IF(P27="","",-1*P27)</f>
        <v>-126000</v>
      </c>
      <c r="Q28" s="265">
        <f>IF(Q27="","",-1*Q27)</f>
        <v>-129000</v>
      </c>
      <c r="S28" s="265">
        <f>IF(S27="","",-1*S27)</f>
        <v>-127000</v>
      </c>
      <c r="T28" s="265">
        <f>IF(T27="","",-1*T27)</f>
        <v>-128000</v>
      </c>
      <c r="U28" s="265">
        <f>IF(U27="","",-1*U27)</f>
        <v>-129000</v>
      </c>
      <c r="V28" s="265">
        <f>IF(V27="","",-1*V27)</f>
        <v>-131000</v>
      </c>
      <c r="X28" s="265">
        <f>IF(X27="","",-1*X27)</f>
        <v>-130000</v>
      </c>
      <c r="Y28" s="265">
        <f>IF(Y27="","",-1*Y27)</f>
        <v>-131000</v>
      </c>
      <c r="Z28" s="265">
        <f>IF(Z27="","",-1*Z27)</f>
        <v>-130000</v>
      </c>
      <c r="AA28" s="265">
        <f>IF(AA27="","",-1*AA27)</f>
        <v>-134000</v>
      </c>
      <c r="AC28" s="265">
        <f>IF(AC27="","",-1*AC27)</f>
        <v>-132000</v>
      </c>
      <c r="AD28" s="265">
        <f>IF(AD27="","",-1*AD27)</f>
        <v>-171000</v>
      </c>
    </row>
    <row r="29">
      <c r="A29" t="inlineStr">
        <is>
          <t>BALANÇO DE FACE (USD, saldo no fim do trimestre; cada trimestre lido da instância do próprio 10-Q/10-K)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CashAndCashEquivalentsAtCarryingValue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6507000</v>
      </c>
      <c r="E30" s="265" t="n">
        <v>7759000</v>
      </c>
      <c r="F30" s="265" t="n">
        <v>7763000</v>
      </c>
      <c r="G30" s="265" t="n">
        <v>8680000</v>
      </c>
      <c r="I30" s="265" t="n">
        <v>9116000</v>
      </c>
      <c r="J30" s="265" t="n">
        <v>9157000</v>
      </c>
      <c r="K30" s="265" t="n">
        <v>8262000</v>
      </c>
      <c r="L30" s="265" t="n">
        <v>9574000</v>
      </c>
      <c r="N30" s="265" t="n">
        <v>9798000</v>
      </c>
      <c r="O30" s="265" t="n">
        <v>9298000</v>
      </c>
      <c r="P30" s="265" t="n">
        <v>8577000</v>
      </c>
      <c r="Q30" s="265" t="n">
        <v>8075000</v>
      </c>
      <c r="S30" s="265" t="n">
        <v>8016000</v>
      </c>
      <c r="T30" s="265" t="n">
        <v>7594000</v>
      </c>
      <c r="U30" s="265" t="n">
        <v>7041000</v>
      </c>
      <c r="V30" s="265" t="n">
        <v>6693000</v>
      </c>
      <c r="X30" s="265" t="n">
        <v>7552000</v>
      </c>
      <c r="Y30" s="265" t="n">
        <v>10163000</v>
      </c>
      <c r="Z30" s="265" t="n">
        <v>9642000</v>
      </c>
      <c r="AA30" s="265" t="n">
        <v>9731000</v>
      </c>
      <c r="AC30" s="265" t="n">
        <v>13908000</v>
      </c>
      <c r="AD30" s="265" t="n">
        <v>24995000</v>
      </c>
    </row>
    <row r="31">
      <c r="A31" t="inlineStr">
        <is>
          <t>AvailableForSaleSecuritiesDebtSecuritiesCurrent · fonte · unid. moeda</t>
        </is>
      </c>
      <c r="B31" t="n">
        <v>11</v>
      </c>
      <c r="C31" t="inlineStr">
        <is>
          <t>Cash and equivalents (inc. investment securities)</t>
        </is>
      </c>
      <c r="D31" s="265" t="n">
        <v>677000</v>
      </c>
      <c r="E31" s="265" t="n">
        <v>590000</v>
      </c>
      <c r="F31" s="265" t="n">
        <v>870000</v>
      </c>
      <c r="G31" s="265" t="n">
        <v>900000</v>
      </c>
      <c r="I31" s="265" t="n">
        <v>1006000</v>
      </c>
      <c r="J31" s="265" t="n">
        <v>1070000</v>
      </c>
      <c r="K31" s="265" t="n">
        <v>1069000</v>
      </c>
      <c r="L31" s="265" t="n">
        <v>1007000</v>
      </c>
      <c r="N31" s="265" t="n">
        <v>1020000</v>
      </c>
      <c r="O31" s="265" t="n">
        <v>1054000</v>
      </c>
      <c r="P31" s="265" t="n">
        <v>1017000</v>
      </c>
      <c r="Q31" s="265" t="n">
        <v>973000</v>
      </c>
      <c r="S31" s="265" t="n">
        <v>990000</v>
      </c>
      <c r="T31" s="265" t="n">
        <v>785000</v>
      </c>
      <c r="U31" s="265" t="n">
        <v>1065000</v>
      </c>
      <c r="V31" s="265" t="n">
        <v>895000</v>
      </c>
      <c r="X31" s="265" t="n">
        <v>663000</v>
      </c>
      <c r="Y31" s="265" t="n">
        <v>648000</v>
      </c>
      <c r="Z31" s="265" t="n">
        <v>665000</v>
      </c>
      <c r="AA31" s="265" t="n">
        <v>587000</v>
      </c>
      <c r="AC31" s="265" t="n">
        <v>681000</v>
      </c>
      <c r="AD31" s="265" t="n">
        <v>1027000</v>
      </c>
    </row>
    <row r="32">
      <c r="A32" t="inlineStr">
        <is>
          <t>ReceivablesNetCurrent · fonte · unid. moeda</t>
        </is>
      </c>
      <c r="B32" t="n">
        <v>12</v>
      </c>
      <c r="C32" t="inlineStr">
        <is>
          <t>Accounts receivable</t>
        </is>
      </c>
      <c r="D32" s="265" t="n">
        <v>3353000</v>
      </c>
      <c r="E32" s="265" t="n">
        <v>4231000</v>
      </c>
      <c r="F32" s="265" t="n">
        <v>5311000</v>
      </c>
      <c r="G32" s="265" t="n">
        <v>5250000</v>
      </c>
      <c r="I32" s="265" t="n">
        <v>5384000</v>
      </c>
      <c r="J32" s="265" t="n">
        <v>6229000</v>
      </c>
      <c r="K32" s="265" t="n">
        <v>5130000</v>
      </c>
      <c r="L32" s="265" t="n">
        <v>3318000</v>
      </c>
      <c r="N32" s="265" t="n">
        <v>2278000</v>
      </c>
      <c r="O32" s="265" t="n">
        <v>2429000</v>
      </c>
      <c r="P32" s="265" t="n">
        <v>2443000</v>
      </c>
      <c r="Q32" s="265" t="n">
        <v>2943000</v>
      </c>
      <c r="S32" s="265" t="n">
        <v>4296000</v>
      </c>
      <c r="T32" s="265" t="n">
        <v>5131000</v>
      </c>
      <c r="U32" s="265" t="n">
        <v>6615000</v>
      </c>
      <c r="V32" s="265" t="n">
        <v>7423000</v>
      </c>
      <c r="X32" s="265" t="n">
        <v>6504000</v>
      </c>
      <c r="Y32" s="265" t="n">
        <v>7436000</v>
      </c>
      <c r="Z32" s="265" t="n">
        <v>9265000</v>
      </c>
      <c r="AA32" s="265" t="n">
        <v>10184000</v>
      </c>
      <c r="AC32" s="265" t="n">
        <v>17314000</v>
      </c>
      <c r="AD32" s="265" t="n">
        <v>31025000</v>
      </c>
    </row>
    <row r="33">
      <c r="A33" t="inlineStr">
        <is>
          <t>InventoryNet · fonte · unid. moeda</t>
        </is>
      </c>
      <c r="B33" t="n">
        <v>13</v>
      </c>
      <c r="C33" t="inlineStr">
        <is>
          <t>Inventories</t>
        </is>
      </c>
      <c r="D33" s="265" t="n">
        <v>4743000</v>
      </c>
      <c r="E33" s="265" t="n">
        <v>4537000</v>
      </c>
      <c r="F33" s="265" t="n">
        <v>4487000</v>
      </c>
      <c r="G33" s="265" t="n">
        <v>4827000</v>
      </c>
      <c r="I33" s="265" t="n">
        <v>5383000</v>
      </c>
      <c r="J33" s="265" t="n">
        <v>5629000</v>
      </c>
      <c r="K33" s="265" t="n">
        <v>6663000</v>
      </c>
      <c r="L33" s="265" t="n">
        <v>8359000</v>
      </c>
      <c r="N33" s="265" t="n">
        <v>8129000</v>
      </c>
      <c r="O33" s="265" t="n">
        <v>8238000</v>
      </c>
      <c r="P33" s="265" t="n">
        <v>8387000</v>
      </c>
      <c r="Q33" s="265" t="n">
        <v>8276000</v>
      </c>
      <c r="S33" s="265" t="n">
        <v>8443000</v>
      </c>
      <c r="T33" s="265" t="n">
        <v>8512000</v>
      </c>
      <c r="U33" s="265" t="n">
        <v>8875000</v>
      </c>
      <c r="V33" s="265" t="n">
        <v>8705000</v>
      </c>
      <c r="X33" s="265" t="n">
        <v>9007000</v>
      </c>
      <c r="Y33" s="265" t="n">
        <v>8727000</v>
      </c>
      <c r="Z33" s="265" t="n">
        <v>8355000</v>
      </c>
      <c r="AA33" s="265" t="n">
        <v>8205000</v>
      </c>
      <c r="AC33" s="265" t="n">
        <v>8267000</v>
      </c>
      <c r="AD33" s="265" t="n">
        <v>8567000</v>
      </c>
    </row>
    <row r="34">
      <c r="A34" t="inlineStr">
        <is>
          <t>DeferredIncomeTaxAssetsNet · fonte · unid. moeda</t>
        </is>
      </c>
      <c r="B34" t="n">
        <v>14</v>
      </c>
      <c r="C34" t="inlineStr">
        <is>
          <t>Deferred income taxes</t>
        </is>
      </c>
      <c r="D34" s="265" t="n">
        <v>726000</v>
      </c>
      <c r="E34" s="265" t="n">
        <v>822000</v>
      </c>
      <c r="F34" s="265" t="n">
        <v>782000</v>
      </c>
      <c r="G34" s="265" t="n">
        <v>746000</v>
      </c>
      <c r="I34" s="265" t="n">
        <v>762000</v>
      </c>
      <c r="J34" s="265" t="n">
        <v>682000</v>
      </c>
      <c r="K34" s="265" t="n">
        <v>702000</v>
      </c>
      <c r="L34" s="265" t="n">
        <v>672000</v>
      </c>
      <c r="N34" s="265" t="n">
        <v>697000</v>
      </c>
      <c r="O34" s="265" t="n">
        <v>708000</v>
      </c>
      <c r="P34" s="265" t="n">
        <v>756000</v>
      </c>
      <c r="Q34" s="265" t="n">
        <v>781000</v>
      </c>
      <c r="S34" s="265" t="n">
        <v>664000</v>
      </c>
      <c r="T34" s="265" t="n">
        <v>597000</v>
      </c>
      <c r="U34" s="265" t="n">
        <v>520000</v>
      </c>
      <c r="V34" s="265" t="n">
        <v>474000</v>
      </c>
      <c r="X34" s="265" t="n">
        <v>552000</v>
      </c>
      <c r="Y34" s="265" t="n">
        <v>483000</v>
      </c>
      <c r="Z34" s="265" t="n">
        <v>616000</v>
      </c>
      <c r="AA34" s="265" t="n">
        <v>641000</v>
      </c>
      <c r="AC34" s="265" t="n">
        <v>680000</v>
      </c>
      <c r="AD34" s="265" t="n">
        <v>700000</v>
      </c>
    </row>
    <row r="35">
      <c r="A35" t="inlineStr">
        <is>
          <t>OtherAssetsCurrent · fonte · unid. moeda</t>
        </is>
      </c>
      <c r="B35" t="n">
        <v>16</v>
      </c>
      <c r="C35" t="inlineStr">
        <is>
          <t>Other current assets</t>
        </is>
      </c>
      <c r="D35" s="265" t="n">
        <v>538000</v>
      </c>
      <c r="E35" s="265" t="n">
        <v>478000</v>
      </c>
      <c r="F35" s="265" t="n">
        <v>502000</v>
      </c>
      <c r="G35" s="265" t="n">
        <v>521000</v>
      </c>
      <c r="I35" s="265" t="n">
        <v>600000</v>
      </c>
      <c r="J35" s="265" t="n">
        <v>608000</v>
      </c>
      <c r="K35" s="265" t="n">
        <v>644000</v>
      </c>
      <c r="L35" s="265" t="n">
        <v>663000</v>
      </c>
      <c r="N35" s="265" t="n">
        <v>673000</v>
      </c>
      <c r="O35" s="265" t="n">
        <v>715000</v>
      </c>
      <c r="P35" s="265" t="n">
        <v>820000</v>
      </c>
      <c r="Q35" s="265" t="n">
        <v>791000</v>
      </c>
      <c r="S35" s="265" t="n">
        <v>1690000</v>
      </c>
      <c r="T35" s="265" t="n">
        <v>1297000</v>
      </c>
      <c r="U35" s="265" t="n">
        <v>776000</v>
      </c>
      <c r="V35" s="265" t="n">
        <v>777000</v>
      </c>
      <c r="X35" s="265" t="n">
        <v>963000</v>
      </c>
      <c r="Y35" s="265" t="n">
        <v>945000</v>
      </c>
      <c r="Z35" s="265" t="n">
        <v>914000</v>
      </c>
      <c r="AA35" s="265" t="n">
        <v>958000</v>
      </c>
      <c r="AC35" s="265" t="n">
        <v>1243000</v>
      </c>
      <c r="AD35" s="265" t="n">
        <v>1123000</v>
      </c>
    </row>
    <row r="36">
      <c r="A36" t="inlineStr">
        <is>
          <t>AssetsHeldForSaleCurrent · fonte · unid. moeda</t>
        </is>
      </c>
      <c r="B36" t="n">
        <v>16</v>
      </c>
      <c r="C36" t="inlineStr">
        <is>
          <t>Other current assets</t>
        </is>
      </c>
      <c r="D36" s="265" t="n">
        <v>1461000</v>
      </c>
      <c r="E36" s="265" t="n">
        <v>966000</v>
      </c>
      <c r="F36" s="265" t="n">
        <v>974000</v>
      </c>
      <c r="G36" s="265" t="n">
        <v>13000</v>
      </c>
      <c r="I36" s="265" t="n">
        <v>13000</v>
      </c>
      <c r="J36" s="265" t="n">
        <v>15000</v>
      </c>
      <c r="K36" s="265" t="n">
        <v>13000</v>
      </c>
      <c r="L36" s="265" t="n">
        <v>0</v>
      </c>
      <c r="N36" s="265" t="n">
        <v>0</v>
      </c>
      <c r="O36" s="265" t="n">
        <v>0</v>
      </c>
      <c r="P36" s="265" t="n">
        <v>0</v>
      </c>
      <c r="Q36" s="265" t="n">
        <v>0</v>
      </c>
      <c r="S36" s="265" t="n">
        <v>0</v>
      </c>
      <c r="T36" s="265" t="n">
        <v>0</v>
      </c>
      <c r="U36" s="265" t="n">
        <v>0</v>
      </c>
      <c r="V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C36" s="265" t="n">
        <v>0</v>
      </c>
      <c r="AD36" s="265" t="n">
        <v>0</v>
      </c>
    </row>
    <row r="37">
      <c r="A37" t="inlineStr">
        <is>
          <t>PropertyPlantAndEquipmentNet · fonte · unid. moeda</t>
        </is>
      </c>
      <c r="B37" t="n">
        <v>18</v>
      </c>
      <c r="C37" t="inlineStr">
        <is>
          <t>PP&amp;E</t>
        </is>
      </c>
      <c r="D37" s="265" t="n">
        <v>0</v>
      </c>
      <c r="E37" s="265" t="n">
        <v>0</v>
      </c>
      <c r="F37" s="265" t="n">
        <v>0</v>
      </c>
      <c r="G37" s="265" t="n">
        <v>0</v>
      </c>
      <c r="I37" s="265" t="n">
        <v>0</v>
      </c>
      <c r="J37" s="265" t="n">
        <v>0</v>
      </c>
      <c r="K37" s="265" t="n">
        <v>0</v>
      </c>
      <c r="L37" s="265" t="n">
        <v>0</v>
      </c>
      <c r="N37" s="265" t="n">
        <v>0</v>
      </c>
      <c r="O37" s="265" t="n">
        <v>0</v>
      </c>
      <c r="P37" s="265" t="n">
        <v>0</v>
      </c>
      <c r="Q37" s="265" t="n">
        <v>0</v>
      </c>
      <c r="S37" s="265" t="n">
        <v>0</v>
      </c>
      <c r="T37" s="265" t="n">
        <v>0</v>
      </c>
      <c r="U37" s="265" t="n">
        <v>0</v>
      </c>
      <c r="V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C37" s="265" t="n">
        <v>0</v>
      </c>
      <c r="AD37" s="265" t="n">
        <v>0</v>
      </c>
    </row>
    <row r="38">
      <c r="A38" t="inlineStr">
        <is>
          <t>PropertyPlantAndEquipmentAndFinanceLeaseRightOfUseAssetAfterAccumulatedDepreciationAndAmortization · fonte · unid. moeda</t>
        </is>
      </c>
      <c r="B38" t="n">
        <v>18</v>
      </c>
      <c r="C38" t="inlineStr">
        <is>
          <t>PP&amp;E</t>
        </is>
      </c>
      <c r="D38" s="265" t="n">
        <v>31848000</v>
      </c>
      <c r="E38" s="265" t="n">
        <v>32209000</v>
      </c>
      <c r="F38" s="265" t="n">
        <v>33213000</v>
      </c>
      <c r="G38" s="265" t="n">
        <v>35155000</v>
      </c>
      <c r="I38" s="265" t="n">
        <v>36171000</v>
      </c>
      <c r="J38" s="265" t="n">
        <v>36665000</v>
      </c>
      <c r="K38" s="265" t="n">
        <v>38549000</v>
      </c>
      <c r="L38" s="265" t="n">
        <v>39335000</v>
      </c>
      <c r="N38" s="265" t="n">
        <v>39085000</v>
      </c>
      <c r="O38" s="265" t="n">
        <v>38727000</v>
      </c>
      <c r="P38" s="265" t="n">
        <v>37928000</v>
      </c>
      <c r="Q38" s="265" t="n">
        <v>37677000</v>
      </c>
      <c r="S38" s="265" t="n">
        <v>37587000</v>
      </c>
      <c r="T38" s="265" t="n">
        <v>37926000</v>
      </c>
      <c r="U38" s="265" t="n">
        <v>39749000</v>
      </c>
      <c r="V38" s="265" t="n">
        <v>41476000</v>
      </c>
      <c r="X38" s="265" t="n">
        <v>42528000</v>
      </c>
      <c r="Y38" s="265" t="n">
        <v>44773000</v>
      </c>
      <c r="Z38" s="265" t="n">
        <v>46590000</v>
      </c>
      <c r="AA38" s="265" t="n">
        <v>48477000</v>
      </c>
      <c r="AC38" s="265" t="n">
        <v>51408000</v>
      </c>
      <c r="AD38" s="265" t="n">
        <v>56426000</v>
      </c>
    </row>
    <row r="39">
      <c r="A39" t="inlineStr">
        <is>
          <t>OperatingLeaseRightOfUseAsset · fonte · unid. moeda</t>
        </is>
      </c>
      <c r="B39" t="n">
        <v>19</v>
      </c>
      <c r="C39" t="inlineStr">
        <is>
          <t>Right-of-use-assets</t>
        </is>
      </c>
      <c r="D39" s="265" t="n">
        <v>575000</v>
      </c>
      <c r="E39" s="265" t="n">
        <v>558000</v>
      </c>
      <c r="F39" s="265" t="n">
        <v>551000</v>
      </c>
      <c r="G39" s="265" t="n">
        <v>574000</v>
      </c>
      <c r="I39" s="265" t="n">
        <v>587000</v>
      </c>
      <c r="J39" s="265" t="n">
        <v>690000</v>
      </c>
      <c r="K39" s="265" t="n">
        <v>678000</v>
      </c>
      <c r="L39" s="265" t="n">
        <v>693000</v>
      </c>
      <c r="N39" s="265" t="n">
        <v>673000</v>
      </c>
      <c r="O39" s="265" t="n">
        <v>655000</v>
      </c>
      <c r="P39" s="265" t="n">
        <v>666000</v>
      </c>
      <c r="Q39" s="265" t="n">
        <v>648000</v>
      </c>
      <c r="S39" s="265" t="n">
        <v>642000</v>
      </c>
      <c r="T39" s="265" t="n">
        <v>660000</v>
      </c>
      <c r="U39" s="265" t="n">
        <v>645000</v>
      </c>
      <c r="V39" s="265" t="n">
        <v>622000</v>
      </c>
      <c r="X39" s="265" t="n">
        <v>637000</v>
      </c>
      <c r="Y39" s="265" t="n">
        <v>628000</v>
      </c>
      <c r="Z39" s="265" t="n">
        <v>736000</v>
      </c>
      <c r="AA39" s="265" t="n">
        <v>700000</v>
      </c>
      <c r="AC39" s="265" t="n">
        <v>684000</v>
      </c>
      <c r="AD39" s="265" t="n">
        <v>683000</v>
      </c>
    </row>
    <row r="40">
      <c r="A40" t="inlineStr">
        <is>
          <t>Goodwill · fonte · unid. moeda</t>
        </is>
      </c>
      <c r="B40" t="n">
        <v>20</v>
      </c>
      <c r="C40" t="inlineStr">
        <is>
          <t>Goodwill</t>
        </is>
      </c>
      <c r="D40" s="265" t="n">
        <v>1228000</v>
      </c>
      <c r="E40" s="265" t="n">
        <v>1228000</v>
      </c>
      <c r="F40" s="265" t="n">
        <v>1228000</v>
      </c>
      <c r="G40" s="265" t="n">
        <v>1228000</v>
      </c>
      <c r="I40" s="265" t="n">
        <v>1228000</v>
      </c>
      <c r="J40" s="265" t="n">
        <v>1228000</v>
      </c>
      <c r="K40" s="265" t="n">
        <v>1228000</v>
      </c>
      <c r="L40" s="265" t="n">
        <v>1228000</v>
      </c>
      <c r="N40" s="265" t="n">
        <v>1228000</v>
      </c>
      <c r="O40" s="265" t="n">
        <v>1252000</v>
      </c>
      <c r="P40" s="265" t="n">
        <v>1150000</v>
      </c>
      <c r="Q40" s="265" t="n">
        <v>1150000</v>
      </c>
      <c r="S40" s="265" t="n">
        <v>1150000</v>
      </c>
      <c r="T40" s="265" t="n">
        <v>1150000</v>
      </c>
      <c r="U40" s="265" t="n">
        <v>1150000</v>
      </c>
      <c r="V40" s="265" t="n">
        <v>1150000</v>
      </c>
      <c r="X40" s="265" t="n">
        <v>1150000</v>
      </c>
      <c r="Y40" s="265" t="n">
        <v>1150000</v>
      </c>
      <c r="Z40" s="265" t="n">
        <v>1150000</v>
      </c>
      <c r="AA40" s="265" t="n">
        <v>1150000</v>
      </c>
      <c r="AC40" s="265" t="n">
        <v>1150000</v>
      </c>
      <c r="AD40" s="265" t="n">
        <v>1150000</v>
      </c>
    </row>
    <row r="41">
      <c r="A41" t="inlineStr">
        <is>
          <t>IntangibleAssetsNetExcludingGoodwill · fonte · unid. moeda</t>
        </is>
      </c>
      <c r="B41" t="n">
        <v>21</v>
      </c>
      <c r="C41" t="inlineStr">
        <is>
          <t>Intangibles</t>
        </is>
      </c>
      <c r="D41" s="265" t="n">
        <v>342000</v>
      </c>
      <c r="E41" s="265" t="n">
        <v>350000</v>
      </c>
      <c r="F41" s="265" t="n">
        <v>349000</v>
      </c>
      <c r="G41" s="265" t="n">
        <v>347000</v>
      </c>
      <c r="I41" s="265" t="n">
        <v>414000</v>
      </c>
      <c r="J41" s="265" t="n">
        <v>415000</v>
      </c>
      <c r="K41" s="265" t="n">
        <v>421000</v>
      </c>
      <c r="L41" s="265" t="n">
        <v>428000</v>
      </c>
      <c r="N41" s="265" t="n">
        <v>410000</v>
      </c>
      <c r="O41" s="265" t="n">
        <v>410000</v>
      </c>
      <c r="P41" s="265" t="n">
        <v>404000</v>
      </c>
      <c r="Q41" s="265" t="n">
        <v>416000</v>
      </c>
      <c r="S41" s="265" t="n">
        <v>414000</v>
      </c>
      <c r="T41" s="265" t="n">
        <v>413000</v>
      </c>
      <c r="U41" s="265" t="n">
        <v>416000</v>
      </c>
      <c r="V41" s="265" t="n">
        <v>419000</v>
      </c>
      <c r="X41" s="265" t="n">
        <v>423000</v>
      </c>
      <c r="Y41" s="265" t="n">
        <v>426000</v>
      </c>
      <c r="Z41" s="265" t="n">
        <v>453000</v>
      </c>
      <c r="AA41" s="265" t="n">
        <v>465000</v>
      </c>
      <c r="AC41" s="265" t="n">
        <v>468000</v>
      </c>
      <c r="AD41" s="265" t="n">
        <v>473000</v>
      </c>
    </row>
    <row r="42">
      <c r="A42" t="inlineStr">
        <is>
          <t>AvailableForSaleSecuritiesDebtSecuritiesNoncurrent · fonte · unid. moeda</t>
        </is>
      </c>
      <c r="B42" t="n">
        <v>22</v>
      </c>
      <c r="C42" t="inlineStr">
        <is>
          <t>Other non-current assets</t>
        </is>
      </c>
      <c r="D42" s="265" t="n">
        <v>1316000</v>
      </c>
      <c r="E42" s="265" t="n">
        <v>1399000</v>
      </c>
      <c r="F42" s="265" t="n">
        <v>1765000</v>
      </c>
      <c r="G42" s="265" t="n">
        <v>1817000</v>
      </c>
      <c r="I42" s="265" t="n">
        <v>1717000</v>
      </c>
      <c r="J42" s="265" t="n">
        <v>1646000</v>
      </c>
      <c r="K42" s="265" t="n">
        <v>1647000</v>
      </c>
      <c r="L42" s="265" t="n">
        <v>1426000</v>
      </c>
      <c r="N42" s="265" t="n">
        <v>1212000</v>
      </c>
      <c r="O42" s="265" t="n">
        <v>973000</v>
      </c>
      <c r="P42" s="265" t="n">
        <v>844000</v>
      </c>
      <c r="Q42" s="265" t="n">
        <v>720000</v>
      </c>
      <c r="S42" s="265" t="n">
        <v>627000</v>
      </c>
      <c r="T42" s="265" t="n">
        <v>775000</v>
      </c>
      <c r="U42" s="265" t="n">
        <v>1046000</v>
      </c>
      <c r="V42" s="265" t="n">
        <v>1156000</v>
      </c>
      <c r="X42" s="265" t="n">
        <v>1375000</v>
      </c>
      <c r="Y42" s="265" t="n">
        <v>1402000</v>
      </c>
      <c r="Z42" s="265" t="n">
        <v>1629000</v>
      </c>
      <c r="AA42" s="265" t="n">
        <v>1697000</v>
      </c>
      <c r="AC42" s="265" t="n">
        <v>2038000</v>
      </c>
      <c r="AD42" s="265" t="n">
        <v>4106000</v>
      </c>
    </row>
    <row r="43">
      <c r="A43" t="inlineStr">
        <is>
          <t>OtherAssetsNoncurrent · fonte · unid. moeda</t>
        </is>
      </c>
      <c r="B43" t="n">
        <v>22</v>
      </c>
      <c r="C43" t="inlineStr">
        <is>
          <t>Other non-current assets</t>
        </is>
      </c>
      <c r="D43" s="265" t="n">
        <v>821000</v>
      </c>
      <c r="E43" s="265" t="n">
        <v>816000</v>
      </c>
      <c r="F43" s="265" t="n">
        <v>1054000</v>
      </c>
      <c r="G43" s="265" t="n">
        <v>1188000</v>
      </c>
      <c r="I43" s="265" t="n">
        <v>1315000</v>
      </c>
      <c r="J43" s="265" t="n">
        <v>1262000</v>
      </c>
      <c r="K43" s="265" t="n">
        <v>1277000</v>
      </c>
      <c r="L43" s="265" t="n">
        <v>1171000</v>
      </c>
      <c r="N43" s="265" t="n">
        <v>1317000</v>
      </c>
      <c r="O43" s="265" t="n">
        <v>1221000</v>
      </c>
      <c r="P43" s="265" t="n">
        <v>1262000</v>
      </c>
      <c r="Q43" s="265" t="n">
        <v>1326000</v>
      </c>
      <c r="S43" s="265" t="n">
        <v>1199000</v>
      </c>
      <c r="T43" s="265" t="n">
        <v>1415000</v>
      </c>
      <c r="U43" s="265" t="n">
        <v>1518000</v>
      </c>
      <c r="V43" s="265" t="n">
        <v>1671000</v>
      </c>
      <c r="X43" s="265" t="n">
        <v>1699000</v>
      </c>
      <c r="Y43" s="265" t="n">
        <v>1616000</v>
      </c>
      <c r="Z43" s="265" t="n">
        <v>2783000</v>
      </c>
      <c r="AA43" s="265" t="n">
        <v>3176000</v>
      </c>
      <c r="AC43" s="265" t="n">
        <v>3668000</v>
      </c>
      <c r="AD43" s="265" t="n">
        <v>3837000</v>
      </c>
    </row>
    <row r="44">
      <c r="A44" t="inlineStr">
        <is>
          <t>AccountsPayableAndAccruedLiabilitiesCurrent · fonte · unid. moeda</t>
        </is>
      </c>
      <c r="B44" t="n">
        <v>23</v>
      </c>
      <c r="C44" t="inlineStr">
        <is>
          <t>Accounts payable</t>
        </is>
      </c>
      <c r="D44" s="265" t="n">
        <v>4550000</v>
      </c>
      <c r="E44" s="265" t="n">
        <v>4427000</v>
      </c>
      <c r="F44" s="265" t="n">
        <v>5325000</v>
      </c>
      <c r="G44" s="265" t="n">
        <v>5470000</v>
      </c>
      <c r="I44" s="265" t="n">
        <v>5650000</v>
      </c>
      <c r="J44" s="265" t="n">
        <v>5788000</v>
      </c>
      <c r="K44" s="265" t="n">
        <v>6090000</v>
      </c>
      <c r="L44" s="265" t="n">
        <v>5438000</v>
      </c>
      <c r="N44" s="265" t="n">
        <v>4310000</v>
      </c>
      <c r="O44" s="265" t="n">
        <v>4177000</v>
      </c>
      <c r="P44" s="265" t="n">
        <v>3958000</v>
      </c>
      <c r="Q44" s="265" t="n">
        <v>3946000</v>
      </c>
      <c r="S44" s="265" t="n">
        <v>4680000</v>
      </c>
      <c r="T44" s="265" t="n">
        <v>5145000</v>
      </c>
      <c r="U44" s="265" t="n">
        <v>7299000</v>
      </c>
      <c r="V44" s="265" t="n">
        <v>7126000</v>
      </c>
      <c r="X44" s="265" t="n">
        <v>6176000</v>
      </c>
      <c r="Y44" s="265" t="n">
        <v>8761000</v>
      </c>
      <c r="Z44" s="265" t="n">
        <v>9649000</v>
      </c>
      <c r="AA44" s="265" t="n">
        <v>9796000</v>
      </c>
      <c r="AC44" s="265" t="n">
        <v>10997000</v>
      </c>
      <c r="AD44" s="265" t="n">
        <v>15521000</v>
      </c>
    </row>
    <row r="45">
      <c r="A45" t="inlineStr">
        <is>
          <t>OtherLiabilitiesCurrent · fonte · unid. moeda</t>
        </is>
      </c>
      <c r="B45" t="n">
        <v>26</v>
      </c>
      <c r="C45" t="inlineStr">
        <is>
          <t>Other current liabilities (non-debt)</t>
        </is>
      </c>
      <c r="D45" s="265" t="n">
        <v>560000</v>
      </c>
      <c r="E45" s="265" t="n">
        <v>738000</v>
      </c>
      <c r="F45" s="265" t="n">
        <v>944000</v>
      </c>
      <c r="G45" s="265" t="n">
        <v>924000</v>
      </c>
      <c r="I45" s="265" t="n">
        <v>1145000</v>
      </c>
      <c r="J45" s="265" t="n">
        <v>1114000</v>
      </c>
      <c r="K45" s="265" t="n">
        <v>1346000</v>
      </c>
      <c r="L45" s="265" t="n">
        <v>916000</v>
      </c>
      <c r="N45" s="265" t="n">
        <v>708000</v>
      </c>
      <c r="O45" s="265" t="n">
        <v>668000</v>
      </c>
      <c r="P45" s="265" t="n">
        <v>529000</v>
      </c>
      <c r="Q45" s="265" t="n">
        <v>1108000</v>
      </c>
      <c r="S45" s="265" t="n">
        <v>1235000</v>
      </c>
      <c r="T45" s="265" t="n">
        <v>1297000</v>
      </c>
      <c r="U45" s="265" t="n">
        <v>1518000</v>
      </c>
      <c r="V45" s="265" t="n">
        <v>1356000</v>
      </c>
      <c r="X45" s="265" t="n">
        <v>1197000</v>
      </c>
      <c r="Y45" s="265" t="n">
        <v>836000</v>
      </c>
      <c r="Z45" s="265" t="n">
        <v>1245000</v>
      </c>
      <c r="AA45" s="265" t="n">
        <v>1695000</v>
      </c>
      <c r="AC45" s="265" t="n">
        <v>2714000</v>
      </c>
      <c r="AD45" s="265" t="n">
        <v>3385000</v>
      </c>
    </row>
    <row r="46">
      <c r="A46" t="inlineStr">
        <is>
          <t>DebtCurrent · fonte · unid. moeda</t>
        </is>
      </c>
      <c r="B46" t="n">
        <v>27</v>
      </c>
      <c r="C46" t="inlineStr">
        <is>
          <t>Current portion of long-term debt</t>
        </is>
      </c>
      <c r="D46" s="265" t="n">
        <v>323000</v>
      </c>
      <c r="E46" s="265" t="n">
        <v>297000</v>
      </c>
      <c r="F46" s="265" t="n">
        <v>155000</v>
      </c>
      <c r="G46" s="265" t="n">
        <v>118000</v>
      </c>
      <c r="I46" s="265" t="n">
        <v>123000</v>
      </c>
      <c r="J46" s="265" t="n">
        <v>107000</v>
      </c>
      <c r="K46" s="265" t="n">
        <v>103000</v>
      </c>
      <c r="L46" s="265" t="n">
        <v>171000</v>
      </c>
      <c r="N46" s="265" t="n">
        <v>237000</v>
      </c>
      <c r="O46" s="265" t="n">
        <v>259000</v>
      </c>
      <c r="P46" s="265" t="n">
        <v>278000</v>
      </c>
      <c r="Q46" s="265" t="n">
        <v>908000</v>
      </c>
      <c r="S46" s="265" t="n">
        <v>344000</v>
      </c>
      <c r="T46" s="265" t="n">
        <v>398000</v>
      </c>
      <c r="U46" s="265" t="n">
        <v>431000</v>
      </c>
      <c r="V46" s="265" t="n">
        <v>533000</v>
      </c>
      <c r="X46" s="265" t="n">
        <v>504000</v>
      </c>
      <c r="Y46" s="265" t="n">
        <v>538000</v>
      </c>
      <c r="Z46" s="265" t="n">
        <v>560000</v>
      </c>
      <c r="AA46" s="265" t="n">
        <v>569000</v>
      </c>
      <c r="AC46" s="265" t="n">
        <v>585000</v>
      </c>
      <c r="AD46" s="265" t="n">
        <v>582000</v>
      </c>
    </row>
    <row r="47">
      <c r="A47" t="inlineStr">
        <is>
          <t>LongTermDebtAndCapitalLeaseObligations · fonte · unid. moeda</t>
        </is>
      </c>
      <c r="B47" t="n">
        <v>30</v>
      </c>
      <c r="C47" t="inlineStr">
        <is>
          <t>Long term debt</t>
        </is>
      </c>
      <c r="D47" s="265" t="n">
        <v>6298000</v>
      </c>
      <c r="E47" s="265" t="n">
        <v>6418000</v>
      </c>
      <c r="F47" s="265" t="n">
        <v>6621000</v>
      </c>
      <c r="G47" s="265" t="n">
        <v>6904000</v>
      </c>
      <c r="I47" s="265" t="n">
        <v>6953000</v>
      </c>
      <c r="J47" s="265" t="n">
        <v>6856000</v>
      </c>
      <c r="K47" s="265" t="n">
        <v>6803000</v>
      </c>
      <c r="L47" s="265" t="n">
        <v>10094000</v>
      </c>
      <c r="N47" s="265" t="n">
        <v>12037000</v>
      </c>
      <c r="O47" s="265" t="n">
        <v>12986000</v>
      </c>
      <c r="P47" s="265" t="n">
        <v>13052000</v>
      </c>
      <c r="Q47" s="265" t="n">
        <v>12597000</v>
      </c>
      <c r="S47" s="265" t="n">
        <v>13378000</v>
      </c>
      <c r="T47" s="265" t="n">
        <v>12860000</v>
      </c>
      <c r="U47" s="265" t="n">
        <v>12966000</v>
      </c>
      <c r="V47" s="265" t="n">
        <v>13252000</v>
      </c>
      <c r="X47" s="265" t="n">
        <v>13851000</v>
      </c>
      <c r="Y47" s="265" t="n">
        <v>15003000</v>
      </c>
      <c r="Z47" s="265" t="n">
        <v>14017000</v>
      </c>
      <c r="AA47" s="265" t="n">
        <v>11187000</v>
      </c>
      <c r="AC47" s="265" t="n">
        <v>9557000</v>
      </c>
      <c r="AD47" s="265" t="n">
        <v>5140000</v>
      </c>
    </row>
    <row r="48">
      <c r="A48" t="inlineStr">
        <is>
          <t>OperatingLeaseLiabilityNoncurrent · fonte · unid. moeda</t>
        </is>
      </c>
      <c r="B48" t="n">
        <v>31</v>
      </c>
      <c r="C48" t="inlineStr">
        <is>
          <t>Long term operating leases</t>
        </is>
      </c>
      <c r="D48" s="265" t="n">
        <v>528000</v>
      </c>
      <c r="E48" s="265" t="n">
        <v>513000</v>
      </c>
      <c r="F48" s="265" t="n">
        <v>504000</v>
      </c>
      <c r="G48" s="265" t="n">
        <v>523000</v>
      </c>
      <c r="I48" s="265" t="n">
        <v>535000</v>
      </c>
      <c r="J48" s="265" t="n">
        <v>629000</v>
      </c>
      <c r="K48" s="265" t="n">
        <v>610000</v>
      </c>
      <c r="L48" s="265" t="n">
        <v>625000</v>
      </c>
      <c r="N48" s="265" t="n">
        <v>610000</v>
      </c>
      <c r="O48" s="265" t="n">
        <v>603000</v>
      </c>
      <c r="P48" s="265" t="n">
        <v>603000</v>
      </c>
      <c r="Q48" s="265" t="n">
        <v>601000</v>
      </c>
      <c r="S48" s="265" t="n">
        <v>593000</v>
      </c>
      <c r="T48" s="265" t="n">
        <v>609000</v>
      </c>
      <c r="U48" s="265" t="n">
        <v>610000</v>
      </c>
      <c r="V48" s="265" t="n">
        <v>588000</v>
      </c>
      <c r="X48" s="265" t="n">
        <v>599000</v>
      </c>
      <c r="Y48" s="265" t="n">
        <v>600000</v>
      </c>
      <c r="Z48" s="265" t="n">
        <v>701000</v>
      </c>
      <c r="AA48" s="265" t="n">
        <v>669000</v>
      </c>
      <c r="AC48" s="265" t="n">
        <v>656000</v>
      </c>
      <c r="AD48" s="265" t="n">
        <v>654000</v>
      </c>
    </row>
    <row r="49">
      <c r="A49" t="inlineStr">
        <is>
          <t>UnearnedGovernmentIncentivesNoncurrent · fonte · unid. moeda</t>
        </is>
      </c>
      <c r="B49" t="n">
        <v>34</v>
      </c>
      <c r="C49" t="inlineStr">
        <is>
          <t>Other non-current liabilities</t>
        </is>
      </c>
      <c r="D49" s="265" t="n">
        <v>661000</v>
      </c>
      <c r="E49" s="265" t="n">
        <v>722000</v>
      </c>
      <c r="F49" s="265" t="n">
        <v>808000</v>
      </c>
      <c r="G49" s="265" t="n">
        <v>767000</v>
      </c>
      <c r="I49" s="265" t="n">
        <v>704000</v>
      </c>
      <c r="J49" s="265" t="n">
        <v>663000</v>
      </c>
      <c r="K49" s="265" t="n">
        <v>589000</v>
      </c>
      <c r="L49" s="265" t="n">
        <v>516000</v>
      </c>
      <c r="N49" s="265" t="n">
        <v>529000</v>
      </c>
      <c r="O49" s="265" t="n">
        <v>632000</v>
      </c>
      <c r="P49" s="265" t="n">
        <v>0</v>
      </c>
      <c r="Q49" s="265" t="n">
        <v>0</v>
      </c>
      <c r="S49" s="265" t="n">
        <v>0</v>
      </c>
      <c r="T49" s="265" t="n">
        <v>0</v>
      </c>
      <c r="U49" s="265" t="n">
        <v>0</v>
      </c>
      <c r="V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C49" s="265" t="n">
        <v>0</v>
      </c>
      <c r="AD49" s="265" t="n">
        <v>0</v>
      </c>
    </row>
    <row r="50">
      <c r="A50" t="inlineStr">
        <is>
          <t>OtherLiabilitiesNoncurrent · fonte · unid. moeda</t>
        </is>
      </c>
      <c r="B50" t="n">
        <v>34</v>
      </c>
      <c r="C50" t="inlineStr">
        <is>
          <t>Other non-current liabilities</t>
        </is>
      </c>
      <c r="D50" s="265" t="n">
        <v>552000</v>
      </c>
      <c r="E50" s="265" t="n">
        <v>569000</v>
      </c>
      <c r="F50" s="265" t="n">
        <v>559000</v>
      </c>
      <c r="G50" s="265" t="n">
        <v>632000</v>
      </c>
      <c r="I50" s="265" t="n">
        <v>741000</v>
      </c>
      <c r="J50" s="265" t="n">
        <v>858000</v>
      </c>
      <c r="K50" s="265" t="n">
        <v>835000</v>
      </c>
      <c r="L50" s="265" t="n">
        <v>808000</v>
      </c>
      <c r="N50" s="265" t="n">
        <v>832000</v>
      </c>
      <c r="O50" s="265" t="n">
        <v>950000</v>
      </c>
      <c r="P50" s="265" t="n">
        <v>987000</v>
      </c>
      <c r="Q50" s="265" t="n">
        <v>1026000</v>
      </c>
      <c r="S50" s="265" t="n">
        <v>956000</v>
      </c>
      <c r="T50" s="265" t="n">
        <v>1049000</v>
      </c>
      <c r="U50" s="265" t="n">
        <v>911000</v>
      </c>
      <c r="V50" s="265" t="n">
        <v>1239000</v>
      </c>
      <c r="X50" s="265" t="n">
        <v>1257000</v>
      </c>
      <c r="Y50" s="265" t="n">
        <v>1308000</v>
      </c>
      <c r="Z50" s="265" t="n">
        <v>1443000</v>
      </c>
      <c r="AA50" s="265" t="n">
        <v>2101000</v>
      </c>
      <c r="AC50" s="265" t="n">
        <v>3539000</v>
      </c>
      <c r="AD50" s="265" t="n">
        <v>7086000</v>
      </c>
    </row>
    <row r="51">
      <c r="A51" t="inlineStr">
        <is>
          <t>UnearnedGovernmentAssistanceNoncurrent · fonte · unid. moeda</t>
        </is>
      </c>
      <c r="B51" t="n">
        <v>34</v>
      </c>
      <c r="C51" t="inlineStr">
        <is>
          <t>Other non-current liabilities</t>
        </is>
      </c>
      <c r="D51" s="265" t="n">
        <v>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727000</v>
      </c>
      <c r="Q51" s="265" t="n">
        <v>705000</v>
      </c>
      <c r="S51" s="265" t="n">
        <v>662000</v>
      </c>
      <c r="T51" s="265" t="n">
        <v>672000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GovernmentAssistanceLiabilityNoncurrent · fonte · unid. moeda</t>
        </is>
      </c>
      <c r="B52" t="n">
        <v>34</v>
      </c>
      <c r="C52" t="inlineStr">
        <is>
          <t>Other non-current liabilities</t>
        </is>
      </c>
      <c r="D52" s="265" t="n">
        <v>0</v>
      </c>
      <c r="E52" s="265" t="n">
        <v>0</v>
      </c>
      <c r="F52" s="265" t="n">
        <v>0</v>
      </c>
      <c r="G52" s="265" t="n">
        <v>0</v>
      </c>
      <c r="I52" s="265" t="n">
        <v>0</v>
      </c>
      <c r="J52" s="265" t="n">
        <v>0</v>
      </c>
      <c r="K52" s="265" t="n">
        <v>0</v>
      </c>
      <c r="L52" s="265" t="n">
        <v>0</v>
      </c>
      <c r="N52" s="265" t="n">
        <v>0</v>
      </c>
      <c r="O52" s="265" t="n">
        <v>0</v>
      </c>
      <c r="P52" s="265" t="n">
        <v>0</v>
      </c>
      <c r="Q52" s="265" t="n">
        <v>0</v>
      </c>
      <c r="S52" s="265" t="n">
        <v>0</v>
      </c>
      <c r="T52" s="265" t="n">
        <v>0</v>
      </c>
      <c r="U52" s="265" t="n">
        <v>550000</v>
      </c>
      <c r="V52" s="265" t="n">
        <v>570000</v>
      </c>
      <c r="X52" s="265" t="n">
        <v>836000</v>
      </c>
      <c r="Y52" s="265" t="n">
        <v>603000</v>
      </c>
      <c r="Z52" s="265" t="n">
        <v>1018000</v>
      </c>
      <c r="AA52" s="265" t="n">
        <v>1148000</v>
      </c>
      <c r="AC52" s="265" t="n">
        <v>1002000</v>
      </c>
      <c r="AD52" s="265" t="n">
        <v>1020000</v>
      </c>
    </row>
    <row r="53">
      <c r="A53" t="inlineStr">
        <is>
          <t>MinorityInterest · fonte · unid. moeda</t>
        </is>
      </c>
      <c r="B53" t="n">
        <v>35</v>
      </c>
      <c r="C53" t="inlineStr">
        <is>
          <t>Minority interest</t>
        </is>
      </c>
      <c r="D53" s="265" t="n">
        <v>0</v>
      </c>
      <c r="E53" s="265" t="n">
        <v>0</v>
      </c>
      <c r="F53" s="265" t="n">
        <v>0</v>
      </c>
      <c r="G53" s="265" t="n">
        <v>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CommonStockValue · fonte · unid. moeda</t>
        </is>
      </c>
      <c r="B54" t="n">
        <v>37</v>
      </c>
      <c r="C54" t="inlineStr">
        <is>
          <t>Common Stock and APIC</t>
        </is>
      </c>
      <c r="D54" s="265" t="n">
        <v>120000</v>
      </c>
      <c r="E54" s="265" t="n">
        <v>120000</v>
      </c>
      <c r="F54" s="265" t="n">
        <v>122000</v>
      </c>
      <c r="G54" s="265" t="n">
        <v>122000</v>
      </c>
      <c r="I54" s="265" t="n">
        <v>122000</v>
      </c>
      <c r="J54" s="265" t="n">
        <v>122000</v>
      </c>
      <c r="K54" s="265" t="n">
        <v>123000</v>
      </c>
      <c r="L54" s="265" t="n">
        <v>123000</v>
      </c>
      <c r="N54" s="265" t="n">
        <v>123000</v>
      </c>
      <c r="O54" s="265" t="n">
        <v>124000</v>
      </c>
      <c r="P54" s="265" t="n">
        <v>124000</v>
      </c>
      <c r="Q54" s="265" t="n">
        <v>124000</v>
      </c>
      <c r="S54" s="265" t="n">
        <v>125000</v>
      </c>
      <c r="T54" s="265" t="n">
        <v>125000</v>
      </c>
      <c r="U54" s="265" t="n">
        <v>125000</v>
      </c>
      <c r="V54" s="265" t="n">
        <v>126000</v>
      </c>
      <c r="X54" s="265" t="n">
        <v>126000</v>
      </c>
      <c r="Y54" s="265" t="n">
        <v>126000</v>
      </c>
      <c r="Z54" s="265" t="n">
        <v>127000</v>
      </c>
      <c r="AA54" s="265" t="n">
        <v>127000</v>
      </c>
      <c r="AC54" s="265" t="n">
        <v>127000</v>
      </c>
      <c r="AD54" s="265" t="n">
        <v>128000</v>
      </c>
    </row>
    <row r="55">
      <c r="A55" t="inlineStr">
        <is>
          <t>AdditionalPaidInCapitalCommonStock · fonte · unid. moeda</t>
        </is>
      </c>
      <c r="B55" t="n">
        <v>37</v>
      </c>
      <c r="C55" t="inlineStr">
        <is>
          <t>Common Stock and APIC</t>
        </is>
      </c>
      <c r="D55" s="265" t="n">
        <v>9234000</v>
      </c>
      <c r="E55" s="265" t="n">
        <v>9285000</v>
      </c>
      <c r="F55" s="265" t="n">
        <v>9453000</v>
      </c>
      <c r="G55" s="265" t="n">
        <v>9564000</v>
      </c>
      <c r="I55" s="265" t="n">
        <v>9816000</v>
      </c>
      <c r="J55" s="265" t="n">
        <v>9950000</v>
      </c>
      <c r="K55" s="265" t="n">
        <v>10197000</v>
      </c>
      <c r="L55" s="265" t="n">
        <v>10335000</v>
      </c>
      <c r="N55" s="265" t="n">
        <v>10633000</v>
      </c>
      <c r="O55" s="265" t="n">
        <v>10782000</v>
      </c>
      <c r="P55" s="265" t="n">
        <v>11036000</v>
      </c>
      <c r="Q55" s="265" t="n">
        <v>11217000</v>
      </c>
      <c r="S55" s="265" t="n">
        <v>11564000</v>
      </c>
      <c r="T55" s="265" t="n">
        <v>11794000</v>
      </c>
      <c r="U55" s="265" t="n">
        <v>12115000</v>
      </c>
      <c r="V55" s="265" t="n">
        <v>12317000</v>
      </c>
      <c r="X55" s="265" t="n">
        <v>12711000</v>
      </c>
      <c r="Y55" s="265" t="n">
        <v>12960000</v>
      </c>
      <c r="Z55" s="265" t="n">
        <v>13339000</v>
      </c>
      <c r="AA55" s="265" t="n">
        <v>13610000</v>
      </c>
      <c r="AC55" s="265" t="n">
        <v>14092000</v>
      </c>
      <c r="AD55" s="265" t="n">
        <v>14442000</v>
      </c>
    </row>
    <row r="56">
      <c r="A56" t="inlineStr">
        <is>
          <t>TreasuryStockCommonValue (divulgado positivo, lançado negativo) · fonte · unid. moeda</t>
        </is>
      </c>
      <c r="B56" t="n">
        <v>38</v>
      </c>
      <c r="C56" t="inlineStr">
        <is>
          <t>Treasury stock (contra account)</t>
        </is>
      </c>
      <c r="D56" s="265" t="n">
        <v>-3495000</v>
      </c>
      <c r="E56" s="265" t="n">
        <v>-3645000</v>
      </c>
      <c r="F56" s="265" t="n">
        <v>-4695000</v>
      </c>
      <c r="G56" s="265" t="n">
        <v>-4954000</v>
      </c>
      <c r="I56" s="265" t="n">
        <v>-5362000</v>
      </c>
      <c r="J56" s="265" t="n">
        <v>-6343000</v>
      </c>
      <c r="K56" s="265" t="n">
        <v>-7127000</v>
      </c>
      <c r="L56" s="265" t="n">
        <v>-7552000</v>
      </c>
      <c r="N56" s="265" t="n">
        <v>-7552000</v>
      </c>
      <c r="O56" s="265" t="n">
        <v>-7552000</v>
      </c>
      <c r="P56" s="265" t="n">
        <v>-7552000</v>
      </c>
      <c r="Q56" s="265" t="n">
        <v>-7552000</v>
      </c>
      <c r="S56" s="265" t="n">
        <v>-7552000</v>
      </c>
      <c r="T56" s="265" t="n">
        <v>-7552000</v>
      </c>
      <c r="U56" s="265" t="n">
        <v>-7852000</v>
      </c>
      <c r="V56" s="265" t="n">
        <v>-7852000</v>
      </c>
      <c r="X56" s="265" t="n">
        <v>-7852000</v>
      </c>
      <c r="Y56" s="265" t="n">
        <v>-7852000</v>
      </c>
      <c r="Z56" s="265" t="n">
        <v>-7852000</v>
      </c>
      <c r="AA56" s="265" t="n">
        <v>-8152000</v>
      </c>
      <c r="AC56" s="265" t="n">
        <v>-8502000</v>
      </c>
      <c r="AD56" s="265" t="n">
        <v>-8502000</v>
      </c>
    </row>
    <row r="57">
      <c r="A57" t="inlineStr">
        <is>
          <t>AccumulatedOtherComprehensiveIncomeLossNetOfTax · fonte · unid. moeda</t>
        </is>
      </c>
      <c r="B57" t="n">
        <v>39</v>
      </c>
      <c r="C57" t="inlineStr">
        <is>
          <t>Comprehensive (accumulated) loss</t>
        </is>
      </c>
      <c r="D57" s="265" t="n">
        <v>81000</v>
      </c>
      <c r="E57" s="265" t="n">
        <v>47000</v>
      </c>
      <c r="F57" s="265" t="n">
        <v>2000</v>
      </c>
      <c r="G57" s="265" t="n">
        <v>-91000</v>
      </c>
      <c r="I57" s="265" t="n">
        <v>-138000</v>
      </c>
      <c r="J57" s="265" t="n">
        <v>-364000</v>
      </c>
      <c r="K57" s="265" t="n">
        <v>-560000</v>
      </c>
      <c r="L57" s="265" t="n">
        <v>-473000</v>
      </c>
      <c r="N57" s="265" t="n">
        <v>-373000</v>
      </c>
      <c r="O57" s="265" t="n">
        <v>-340000</v>
      </c>
      <c r="P57" s="265" t="n">
        <v>-312000</v>
      </c>
      <c r="Q57" s="265" t="n">
        <v>-260000</v>
      </c>
      <c r="S57" s="265" t="n">
        <v>-264000</v>
      </c>
      <c r="T57" s="265" t="n">
        <v>-311000</v>
      </c>
      <c r="U57" s="265" t="n">
        <v>-134000</v>
      </c>
      <c r="V57" s="265" t="n">
        <v>-221000</v>
      </c>
      <c r="X57" s="265" t="n">
        <v>-191000</v>
      </c>
      <c r="Y57" s="265" t="n">
        <v>-45000</v>
      </c>
      <c r="Z57" s="265" t="n">
        <v>-32000</v>
      </c>
      <c r="AA57" s="265" t="n">
        <v>-123000</v>
      </c>
      <c r="AC57" s="265" t="n">
        <v>-82000</v>
      </c>
      <c r="AD57" s="265" t="n">
        <v>-26000</v>
      </c>
    </row>
    <row r="58">
      <c r="A58" t="inlineStr">
        <is>
          <t>RedeemableNoncontrollingInterestEquityPreferredCarryingAmount · fonte · unid. moeda</t>
        </is>
      </c>
      <c r="B58" t="n">
        <v>40</v>
      </c>
      <c r="C58" t="inlineStr">
        <is>
          <t>Other equity account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RetainedEarningsAccumulatedDeficit · fonte · unid. moeda</t>
        </is>
      </c>
      <c r="B59" t="n">
        <v>41</v>
      </c>
      <c r="C59" t="inlineStr">
        <is>
          <t>Retained earnings</t>
        </is>
      </c>
      <c r="D59" s="265" t="n">
        <v>34723000</v>
      </c>
      <c r="E59" s="265" t="n">
        <v>36452000</v>
      </c>
      <c r="F59" s="265" t="n">
        <v>39051000</v>
      </c>
      <c r="G59" s="265" t="n">
        <v>41267000</v>
      </c>
      <c r="I59" s="265" t="n">
        <v>43407000</v>
      </c>
      <c r="J59" s="265" t="n">
        <v>45916000</v>
      </c>
      <c r="K59" s="265" t="n">
        <v>47274000</v>
      </c>
      <c r="L59" s="265" t="n">
        <v>46873000</v>
      </c>
      <c r="N59" s="265" t="n">
        <v>44426000</v>
      </c>
      <c r="O59" s="265" t="n">
        <v>42391000</v>
      </c>
      <c r="P59" s="265" t="n">
        <v>40824000</v>
      </c>
      <c r="Q59" s="265" t="n">
        <v>39356000</v>
      </c>
      <c r="S59" s="265" t="n">
        <v>39997000</v>
      </c>
      <c r="T59" s="265" t="n">
        <v>40169000</v>
      </c>
      <c r="U59" s="265" t="n">
        <v>40877000</v>
      </c>
      <c r="V59" s="265" t="n">
        <v>42427000</v>
      </c>
      <c r="X59" s="265" t="n">
        <v>43839000</v>
      </c>
      <c r="Y59" s="265" t="n">
        <v>45559000</v>
      </c>
      <c r="Z59" s="265" t="n">
        <v>48583000</v>
      </c>
      <c r="AA59" s="265" t="n">
        <v>53344000</v>
      </c>
      <c r="AC59" s="265" t="n">
        <v>66824000</v>
      </c>
      <c r="AD59" s="265" t="n">
        <v>94682000</v>
      </c>
    </row>
    <row r="60">
      <c r="A60" t="inlineStr">
        <is>
          <t>[vazio] Despesas antecipadas: não aparece como linha própria nas demonstrações (zero) · derivada · unid. moeda</t>
        </is>
      </c>
      <c r="B60" t="n">
        <v>15</v>
      </c>
      <c r="C60" t="inlineStr">
        <is>
          <t>Prepaid expenses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[vazio] Investimentos em coligadas: não aparece como linha própria nas demonstrações (zero) · derivada · unid. moeda</t>
        </is>
      </c>
      <c r="B61" t="n">
        <v>17</v>
      </c>
      <c r="C61" t="inlineStr">
        <is>
          <t>Equity in affiliates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[vazio] Despesas provisionadas: não aparece como linha própria nas demonstrações (zero) · derivada · unid. moeda</t>
        </is>
      </c>
      <c r="B62" t="n">
        <v>24</v>
      </c>
      <c r="C62" t="inlineStr">
        <is>
          <t>Accrued expenses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Impostos a pagar: não aparece como linha própria nas demonstrações (zero) · derivada · unid. moeda</t>
        </is>
      </c>
      <c r="B63" t="n">
        <v>25</v>
      </c>
      <c r="C63" t="inlineStr">
        <is>
          <t>Taxes payable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Revolving: não aparece como linha própria nas demonstrações (zero) · derivada · unid. moeda</t>
        </is>
      </c>
      <c r="B64" t="n">
        <v>28</v>
      </c>
      <c r="C64" t="inlineStr">
        <is>
          <t>Short term debt (Revolving credit facility)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Arrendamento CP: não aparece como linha própria nas demonstrações (zero) · derivada · unid. moeda</t>
        </is>
      </c>
      <c r="B65" t="n">
        <v>29</v>
      </c>
      <c r="C65" t="inlineStr">
        <is>
          <t>Short term operating leases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[vazio] Dívida conversível: não aparece como linha própria nas demonstrações (zero) · derivada · unid. moeda</t>
        </is>
      </c>
      <c r="B66" t="n">
        <v>32</v>
      </c>
      <c r="C66" t="inlineStr">
        <is>
          <t>Convertible debt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IR diferido passivo: não aparece como linha própria nas demonstrações (zero) · derivada · unid. moeda</t>
        </is>
      </c>
      <c r="B67" t="n">
        <v>33</v>
      </c>
      <c r="C67" t="inlineStr">
        <is>
          <t>Deferred income taxes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BALANÇO - totais divulgados (memória)</t>
        </is>
      </c>
      <c r="C68" t="inlineStr">
        <is>
          <t>[linha bruta, sem código; lançada nas linhas abaixo]</t>
        </is>
      </c>
      <c r="D68" s="265" t="n"/>
      <c r="E68" s="265" t="n"/>
      <c r="F68" s="265" t="n"/>
      <c r="G68" s="265" t="n"/>
      <c r="I68" s="265" t="n"/>
      <c r="J68" s="265" t="n"/>
      <c r="K68" s="265" t="n"/>
      <c r="L68" s="265" t="n"/>
      <c r="N68" s="265" t="n"/>
      <c r="O68" s="265" t="n"/>
      <c r="P68" s="265" t="n"/>
      <c r="Q68" s="265" t="n"/>
      <c r="S68" s="265" t="n"/>
      <c r="T68" s="265" t="n"/>
      <c r="U68" s="265" t="n"/>
      <c r="V68" s="265" t="n"/>
      <c r="X68" s="265" t="n"/>
      <c r="Y68" s="265" t="n"/>
      <c r="Z68" s="265" t="n"/>
      <c r="AA68" s="265" t="n"/>
      <c r="AC68" s="265" t="n"/>
      <c r="AD68" s="265" t="n"/>
    </row>
    <row r="69">
      <c r="A69" t="inlineStr">
        <is>
          <t>Total do ativo [us-gaap:Assets] · memoria · unid. moeda</t>
        </is>
      </c>
      <c r="C69" t="inlineStr">
        <is>
          <t>[linha bruta, sem código; lançada nas linhas abaixo]</t>
        </is>
      </c>
      <c r="D69" s="265" t="n">
        <v>54135000</v>
      </c>
      <c r="E69" s="265" t="n">
        <v>55943000</v>
      </c>
      <c r="F69" s="265" t="n">
        <v>58849000</v>
      </c>
      <c r="G69" s="265" t="n">
        <v>61246000</v>
      </c>
      <c r="I69" s="265" t="n">
        <v>63696000</v>
      </c>
      <c r="J69" s="265" t="n">
        <v>65296000</v>
      </c>
      <c r="K69" s="265" t="n">
        <v>66283000</v>
      </c>
      <c r="L69" s="265" t="n">
        <v>67874000</v>
      </c>
      <c r="N69" s="265" t="n">
        <v>66520000</v>
      </c>
      <c r="O69" s="265" t="n">
        <v>65680000</v>
      </c>
      <c r="P69" s="265" t="n">
        <v>64254000</v>
      </c>
      <c r="Q69" s="265" t="n">
        <v>63776000</v>
      </c>
      <c r="S69" s="265" t="n">
        <v>65718000</v>
      </c>
      <c r="T69" s="265" t="n">
        <v>66255000</v>
      </c>
      <c r="U69" s="265" t="n">
        <v>69416000</v>
      </c>
      <c r="V69" s="265" t="n">
        <v>71461000</v>
      </c>
      <c r="X69" s="265" t="n">
        <v>73053000</v>
      </c>
      <c r="Y69" s="265" t="n">
        <v>78397000</v>
      </c>
      <c r="Z69" s="265" t="n">
        <v>82798000</v>
      </c>
      <c r="AA69" s="265" t="n">
        <v>85971000</v>
      </c>
      <c r="AC69" s="265" t="n">
        <v>101509000</v>
      </c>
      <c r="AD69" s="265" t="n">
        <v>134112000</v>
      </c>
    </row>
    <row r="70">
      <c r="A70" t="inlineStr">
        <is>
          <t>Total do passivo + PL [us-gaap:LiabilitiesAndStockholdersEquity] · memoria · unid. moeda</t>
        </is>
      </c>
      <c r="C70" t="inlineStr">
        <is>
          <t>[linha bruta, sem código; lançada nas linhas abaixo]</t>
        </is>
      </c>
      <c r="D70" s="265" t="n">
        <v>54135000</v>
      </c>
      <c r="E70" s="265" t="n">
        <v>55943000</v>
      </c>
      <c r="F70" s="265" t="n">
        <v>58849000</v>
      </c>
      <c r="G70" s="265" t="n">
        <v>61246000</v>
      </c>
      <c r="I70" s="265" t="n">
        <v>63696000</v>
      </c>
      <c r="J70" s="265" t="n">
        <v>65296000</v>
      </c>
      <c r="K70" s="265" t="n">
        <v>66283000</v>
      </c>
      <c r="L70" s="265" t="n">
        <v>67874000</v>
      </c>
      <c r="N70" s="265" t="n">
        <v>66520000</v>
      </c>
      <c r="O70" s="265" t="n">
        <v>65680000</v>
      </c>
      <c r="P70" s="265" t="n">
        <v>64254000</v>
      </c>
      <c r="Q70" s="265" t="n">
        <v>63776000</v>
      </c>
      <c r="S70" s="265" t="n">
        <v>65718000</v>
      </c>
      <c r="T70" s="265" t="n">
        <v>66255000</v>
      </c>
      <c r="U70" s="265" t="n">
        <v>69416000</v>
      </c>
      <c r="V70" s="265" t="n">
        <v>71461000</v>
      </c>
      <c r="X70" s="265" t="n">
        <v>73053000</v>
      </c>
      <c r="Y70" s="265" t="n">
        <v>78397000</v>
      </c>
      <c r="Z70" s="265" t="n">
        <v>82798000</v>
      </c>
      <c r="AA70" s="265" t="n">
        <v>85971000</v>
      </c>
      <c r="AC70" s="265" t="n">
        <v>101509000</v>
      </c>
      <c r="AD70" s="265" t="n">
        <v>134112000</v>
      </c>
    </row>
    <row r="71">
      <c r="A71" t="inlineStr">
        <is>
          <t>CHECKS (devem ser 0)</t>
        </is>
      </c>
      <c r="C71" t="inlineStr">
        <is>
          <t>[linha bruta, sem código; lançada nas linhas abaixo]</t>
        </is>
      </c>
      <c r="D71" s="265" t="n"/>
      <c r="E71" s="265" t="n"/>
      <c r="F71" s="265" t="n"/>
      <c r="G71" s="265" t="n"/>
      <c r="I71" s="265" t="n"/>
      <c r="J71" s="265" t="n"/>
      <c r="K71" s="265" t="n"/>
      <c r="L71" s="265" t="n"/>
      <c r="N71" s="265" t="n"/>
      <c r="O71" s="265" t="n"/>
      <c r="P71" s="265" t="n"/>
      <c r="Q71" s="265" t="n"/>
      <c r="S71" s="265" t="n"/>
      <c r="T71" s="265" t="n"/>
      <c r="U71" s="265" t="n"/>
      <c r="V71" s="265" t="n"/>
      <c r="X71" s="265" t="n"/>
      <c r="Y71" s="265" t="n"/>
      <c r="Z71" s="265" t="n"/>
      <c r="AA71" s="265" t="n"/>
      <c r="AC71" s="265" t="n"/>
      <c r="AD71" s="265" t="n"/>
    </row>
    <row r="72">
      <c r="A72" t="inlineStr">
        <is>
          <t>CHECK: contas de ativo - ativo total (USD, arredondado a 100 mil) · derivada · unid. moeda</t>
        </is>
      </c>
      <c r="C72" t="inlineStr">
        <is>
          <t>[linha bruta, sem código; lançada nas linhas abaixo]</t>
        </is>
      </c>
      <c r="D72" s="265">
        <f>ROUND(N(D30)+N(D31)+N(D32)+N(D33)+N(D34)+N(D35)+N(D36)+N(D37)+N(D38)+N(D39)+N(D40)+N(D41)+N(D42)+N(D43)-N(D69),-2)</f>
        <v>0</v>
      </c>
      <c r="E72" s="265">
        <f>ROUND(N(E30)+N(E31)+N(E32)+N(E33)+N(E34)+N(E35)+N(E36)+N(E37)+N(E38)+N(E39)+N(E40)+N(E41)+N(E42)+N(E43)-N(E69),-2)</f>
        <v>0</v>
      </c>
      <c r="F72" s="265">
        <f>ROUND(N(F30)+N(F31)+N(F32)+N(F33)+N(F34)+N(F35)+N(F36)+N(F37)+N(F38)+N(F39)+N(F40)+N(F41)+N(F42)+N(F43)-N(F69),-2)</f>
        <v>0</v>
      </c>
      <c r="G72" s="265">
        <f>ROUND(N(G30)+N(G31)+N(G32)+N(G33)+N(G34)+N(G35)+N(G36)+N(G37)+N(G38)+N(G39)+N(G40)+N(G41)+N(G42)+N(G43)-N(G69),-2)</f>
        <v>0</v>
      </c>
      <c r="I72" s="265">
        <f>ROUND(N(I30)+N(I31)+N(I32)+N(I33)+N(I34)+N(I35)+N(I36)+N(I37)+N(I38)+N(I39)+N(I40)+N(I41)+N(I42)+N(I43)-N(I69),-2)</f>
        <v>0</v>
      </c>
      <c r="J72" s="265">
        <f>ROUND(N(J30)+N(J31)+N(J32)+N(J33)+N(J34)+N(J35)+N(J36)+N(J37)+N(J38)+N(J39)+N(J40)+N(J41)+N(J42)+N(J43)-N(J69),-2)</f>
        <v>0</v>
      </c>
      <c r="K72" s="265">
        <f>ROUND(N(K30)+N(K31)+N(K32)+N(K33)+N(K34)+N(K35)+N(K36)+N(K37)+N(K38)+N(K39)+N(K40)+N(K41)+N(K42)+N(K43)-N(K69),-2)</f>
        <v>0</v>
      </c>
      <c r="L72" s="265">
        <f>ROUND(N(L30)+N(L31)+N(L32)+N(L33)+N(L34)+N(L35)+N(L36)+N(L37)+N(L38)+N(L39)+N(L40)+N(L41)+N(L42)+N(L43)-N(L69),-2)</f>
        <v>0</v>
      </c>
      <c r="N72" s="265">
        <f>ROUND(N(N30)+N(N31)+N(N32)+N(N33)+N(N34)+N(N35)+N(N36)+N(N37)+N(N38)+N(N39)+N(N40)+N(N41)+N(N42)+N(N43)-N(N69),-2)</f>
        <v>0</v>
      </c>
      <c r="O72" s="265">
        <f>ROUND(N(O30)+N(O31)+N(O32)+N(O33)+N(O34)+N(O35)+N(O36)+N(O37)+N(O38)+N(O39)+N(O40)+N(O41)+N(O42)+N(O43)-N(O69),-2)</f>
        <v>0</v>
      </c>
      <c r="P72" s="265">
        <f>ROUND(N(P30)+N(P31)+N(P32)+N(P33)+N(P34)+N(P35)+N(P36)+N(P37)+N(P38)+N(P39)+N(P40)+N(P41)+N(P42)+N(P43)-N(P69),-2)</f>
        <v>0</v>
      </c>
      <c r="Q72" s="265">
        <f>ROUND(N(Q30)+N(Q31)+N(Q32)+N(Q33)+N(Q34)+N(Q35)+N(Q36)+N(Q37)+N(Q38)+N(Q39)+N(Q40)+N(Q41)+N(Q42)+N(Q43)-N(Q69),-2)</f>
        <v>0</v>
      </c>
      <c r="S72" s="265">
        <f>ROUND(N(S30)+N(S31)+N(S32)+N(S33)+N(S34)+N(S35)+N(S36)+N(S37)+N(S38)+N(S39)+N(S40)+N(S41)+N(S42)+N(S43)-N(S69),-2)</f>
        <v>0</v>
      </c>
      <c r="T72" s="265">
        <f>ROUND(N(T30)+N(T31)+N(T32)+N(T33)+N(T34)+N(T35)+N(T36)+N(T37)+N(T38)+N(T39)+N(T40)+N(T41)+N(T42)+N(T43)-N(T69),-2)</f>
        <v>0</v>
      </c>
      <c r="U72" s="265">
        <f>ROUND(N(U30)+N(U31)+N(U32)+N(U33)+N(U34)+N(U35)+N(U36)+N(U37)+N(U38)+N(U39)+N(U40)+N(U41)+N(U42)+N(U43)-N(U69),-2)</f>
        <v>0</v>
      </c>
      <c r="V72" s="265">
        <f>ROUND(N(V30)+N(V31)+N(V32)+N(V33)+N(V34)+N(V35)+N(V36)+N(V37)+N(V38)+N(V39)+N(V40)+N(V41)+N(V42)+N(V43)-N(V69),-2)</f>
        <v>0</v>
      </c>
      <c r="X72" s="265">
        <f>ROUND(N(X30)+N(X31)+N(X32)+N(X33)+N(X34)+N(X35)+N(X36)+N(X37)+N(X38)+N(X39)+N(X40)+N(X41)+N(X42)+N(X43)-N(X69),-2)</f>
        <v>0</v>
      </c>
      <c r="Y72" s="265">
        <f>ROUND(N(Y30)+N(Y31)+N(Y32)+N(Y33)+N(Y34)+N(Y35)+N(Y36)+N(Y37)+N(Y38)+N(Y39)+N(Y40)+N(Y41)+N(Y42)+N(Y43)-N(Y69),-2)</f>
        <v>0</v>
      </c>
      <c r="Z72" s="265">
        <f>ROUND(N(Z30)+N(Z31)+N(Z32)+N(Z33)+N(Z34)+N(Z35)+N(Z36)+N(Z37)+N(Z38)+N(Z39)+N(Z40)+N(Z41)+N(Z42)+N(Z43)-N(Z69),-2)</f>
        <v>0</v>
      </c>
      <c r="AA72" s="265">
        <f>ROUND(N(AA30)+N(AA31)+N(AA32)+N(AA33)+N(AA34)+N(AA35)+N(AA36)+N(AA37)+N(AA38)+N(AA39)+N(AA40)+N(AA41)+N(AA42)+N(AA43)-N(AA69),-2)</f>
        <v>0</v>
      </c>
      <c r="AC72" s="265">
        <f>ROUND(N(AC30)+N(AC31)+N(AC32)+N(AC33)+N(AC34)+N(AC35)+N(AC36)+N(AC37)+N(AC38)+N(AC39)+N(AC40)+N(AC41)+N(AC42)+N(AC43)-N(AC69),-2)</f>
        <v>0</v>
      </c>
      <c r="AD72" s="265">
        <f>ROUND(N(AD30)+N(AD31)+N(AD32)+N(AD33)+N(AD34)+N(AD35)+N(AD36)+N(AD37)+N(AD38)+N(AD39)+N(AD40)+N(AD41)+N(AD42)+N(AD43)-N(AD69),-2)</f>
        <v>0</v>
      </c>
    </row>
    <row r="73">
      <c r="A73" t="inlineStr">
        <is>
          <t>CHECK: passivo + PL (contas) - passivo + PL total · derivada · unid. moeda</t>
        </is>
      </c>
      <c r="C73" t="inlineStr">
        <is>
          <t>[linha bruta, sem código; lançada nas linhas abaixo]</t>
        </is>
      </c>
      <c r="D73" s="265">
        <f>ROUND(N(D44)+N(D45)+N(D46)+N(D47)+N(D48)+N(D49)+N(D50)+N(D51)+N(D52)+N(D53)+N(D54)+N(D55)+N(D56)+N(D57)+N(D58)+N(D59)-N(D70),-2)</f>
        <v>0</v>
      </c>
      <c r="E73" s="265">
        <f>ROUND(N(E44)+N(E45)+N(E46)+N(E47)+N(E48)+N(E49)+N(E50)+N(E51)+N(E52)+N(E53)+N(E54)+N(E55)+N(E56)+N(E57)+N(E58)+N(E59)-N(E70),-2)</f>
        <v>0</v>
      </c>
      <c r="F73" s="265">
        <f>ROUND(N(F44)+N(F45)+N(F46)+N(F47)+N(F48)+N(F49)+N(F50)+N(F51)+N(F52)+N(F53)+N(F54)+N(F55)+N(F56)+N(F57)+N(F58)+N(F59)-N(F70),-2)</f>
        <v>0</v>
      </c>
      <c r="G73" s="265">
        <f>ROUND(N(G44)+N(G45)+N(G46)+N(G47)+N(G48)+N(G49)+N(G50)+N(G51)+N(G52)+N(G53)+N(G54)+N(G55)+N(G56)+N(G57)+N(G58)+N(G59)-N(G70),-2)</f>
        <v>0</v>
      </c>
      <c r="I73" s="265">
        <f>ROUND(N(I44)+N(I45)+N(I46)+N(I47)+N(I48)+N(I49)+N(I50)+N(I51)+N(I52)+N(I53)+N(I54)+N(I55)+N(I56)+N(I57)+N(I58)+N(I59)-N(I70),-2)</f>
        <v>0</v>
      </c>
      <c r="J73" s="265">
        <f>ROUND(N(J44)+N(J45)+N(J46)+N(J47)+N(J48)+N(J49)+N(J50)+N(J51)+N(J52)+N(J53)+N(J54)+N(J55)+N(J56)+N(J57)+N(J58)+N(J59)-N(J70),-2)</f>
        <v>0</v>
      </c>
      <c r="K73" s="265">
        <f>ROUND(N(K44)+N(K45)+N(K46)+N(K47)+N(K48)+N(K49)+N(K50)+N(K51)+N(K52)+N(K53)+N(K54)+N(K55)+N(K56)+N(K57)+N(K58)+N(K59)-N(K70),-2)</f>
        <v>0</v>
      </c>
      <c r="L73" s="265">
        <f>ROUND(N(L44)+N(L45)+N(L46)+N(L47)+N(L48)+N(L49)+N(L50)+N(L51)+N(L52)+N(L53)+N(L54)+N(L55)+N(L56)+N(L57)+N(L58)+N(L59)-N(L70),-2)</f>
        <v>0</v>
      </c>
      <c r="N73" s="265">
        <f>ROUND(N(N44)+N(N45)+N(N46)+N(N47)+N(N48)+N(N49)+N(N50)+N(N51)+N(N52)+N(N53)+N(N54)+N(N55)+N(N56)+N(N57)+N(N58)+N(N59)-N(N70),-2)</f>
        <v>0</v>
      </c>
      <c r="O73" s="265">
        <f>ROUND(N(O44)+N(O45)+N(O46)+N(O47)+N(O48)+N(O49)+N(O50)+N(O51)+N(O52)+N(O53)+N(O54)+N(O55)+N(O56)+N(O57)+N(O58)+N(O59)-N(O70),-2)</f>
        <v>0</v>
      </c>
      <c r="P73" s="265">
        <f>ROUND(N(P44)+N(P45)+N(P46)+N(P47)+N(P48)+N(P49)+N(P50)+N(P51)+N(P52)+N(P53)+N(P54)+N(P55)+N(P56)+N(P57)+N(P58)+N(P59)-N(P70),-2)</f>
        <v>0</v>
      </c>
      <c r="Q73" s="265">
        <f>ROUND(N(Q44)+N(Q45)+N(Q46)+N(Q47)+N(Q48)+N(Q49)+N(Q50)+N(Q51)+N(Q52)+N(Q53)+N(Q54)+N(Q55)+N(Q56)+N(Q57)+N(Q58)+N(Q59)-N(Q70),-2)</f>
        <v>0</v>
      </c>
      <c r="S73" s="265">
        <f>ROUND(N(S44)+N(S45)+N(S46)+N(S47)+N(S48)+N(S49)+N(S50)+N(S51)+N(S52)+N(S53)+N(S54)+N(S55)+N(S56)+N(S57)+N(S58)+N(S59)-N(S70),-2)</f>
        <v>0</v>
      </c>
      <c r="T73" s="265">
        <f>ROUND(N(T44)+N(T45)+N(T46)+N(T47)+N(T48)+N(T49)+N(T50)+N(T51)+N(T52)+N(T53)+N(T54)+N(T55)+N(T56)+N(T57)+N(T58)+N(T59)-N(T70),-2)</f>
        <v>0</v>
      </c>
      <c r="U73" s="265">
        <f>ROUND(N(U44)+N(U45)+N(U46)+N(U47)+N(U48)+N(U49)+N(U50)+N(U51)+N(U52)+N(U53)+N(U54)+N(U55)+N(U56)+N(U57)+N(U58)+N(U59)-N(U70),-2)</f>
        <v>0</v>
      </c>
      <c r="V73" s="265">
        <f>ROUND(N(V44)+N(V45)+N(V46)+N(V47)+N(V48)+N(V49)+N(V50)+N(V51)+N(V52)+N(V53)+N(V54)+N(V55)+N(V56)+N(V57)+N(V58)+N(V59)-N(V70),-2)</f>
        <v>0</v>
      </c>
      <c r="X73" s="265">
        <f>ROUND(N(X44)+N(X45)+N(X46)+N(X47)+N(X48)+N(X49)+N(X50)+N(X51)+N(X52)+N(X53)+N(X54)+N(X55)+N(X56)+N(X57)+N(X58)+N(X59)-N(X70),-2)</f>
        <v>0</v>
      </c>
      <c r="Y73" s="265">
        <f>ROUND(N(Y44)+N(Y45)+N(Y46)+N(Y47)+N(Y48)+N(Y49)+N(Y50)+N(Y51)+N(Y52)+N(Y53)+N(Y54)+N(Y55)+N(Y56)+N(Y57)+N(Y58)+N(Y59)-N(Y70),-2)</f>
        <v>0</v>
      </c>
      <c r="Z73" s="265">
        <f>ROUND(N(Z44)+N(Z45)+N(Z46)+N(Z47)+N(Z48)+N(Z49)+N(Z50)+N(Z51)+N(Z52)+N(Z53)+N(Z54)+N(Z55)+N(Z56)+N(Z57)+N(Z58)+N(Z59)-N(Z70),-2)</f>
        <v>0</v>
      </c>
      <c r="AA73" s="265">
        <f>ROUND(N(AA44)+N(AA45)+N(AA46)+N(AA47)+N(AA48)+N(AA49)+N(AA50)+N(AA51)+N(AA52)+N(AA53)+N(AA54)+N(AA55)+N(AA56)+N(AA57)+N(AA58)+N(AA59)-N(AA70),-2)</f>
        <v>0</v>
      </c>
      <c r="AC73" s="265">
        <f>ROUND(N(AC44)+N(AC45)+N(AC46)+N(AC47)+N(AC48)+N(AC49)+N(AC50)+N(AC51)+N(AC52)+N(AC53)+N(AC54)+N(AC55)+N(AC56)+N(AC57)+N(AC58)+N(AC59)-N(AC70),-2)</f>
        <v>0</v>
      </c>
      <c r="AD73" s="265">
        <f>ROUND(N(AD44)+N(AD45)+N(AD46)+N(AD47)+N(AD48)+N(AD49)+N(AD50)+N(AD51)+N(AD52)+N(AD53)+N(AD54)+N(AD55)+N(AD56)+N(AD57)+N(AD58)+N(AD59)-N(AD70),-2)</f>
        <v>0</v>
      </c>
    </row>
    <row r="74">
      <c r="A74" t="inlineStr">
        <is>
          <t>CHECK: receita - custo - despesas + não operacional - IR - minoritários + outros após IR - lucro (deve ser 0) · derivada</t>
        </is>
      </c>
      <c r="C74" t="inlineStr">
        <is>
          <t>[linha bruta, sem código; lançada nas linhas abaixo]</t>
        </is>
      </c>
      <c r="D74" s="265">
        <f>ROUND(N(D5)-N(D6)-N(D9)+N(D12)-N(D16)-N(D18)+N(D21)-N(D22),-2)</f>
        <v>0</v>
      </c>
      <c r="E74" s="265">
        <f>ROUND(N(E5)-N(E6)-N(E9)+N(E12)-N(E16)-N(E18)+N(E21)-N(E22),-2)</f>
        <v>0</v>
      </c>
      <c r="F74" s="265">
        <f>ROUND(N(F5)-N(F6)-N(F9)+N(F12)-N(F16)-N(F18)+N(F21)-N(F22),-2)</f>
        <v>0</v>
      </c>
      <c r="G74" s="265">
        <f>ROUND(N(G5)-N(G6)-N(G9)+N(G12)-N(G16)-N(G18)+N(G21)-N(G22),-2)</f>
        <v>0</v>
      </c>
      <c r="I74" s="265">
        <f>ROUND(N(I5)-N(I6)-N(I9)+N(I12)-N(I16)-N(I18)+N(I21)-N(I22),-2)</f>
        <v>0</v>
      </c>
      <c r="J74" s="265">
        <f>ROUND(N(J5)-N(J6)-N(J9)+N(J12)-N(J16)-N(J18)+N(J21)-N(J22),-2)</f>
        <v>0</v>
      </c>
      <c r="K74" s="265">
        <f>ROUND(N(K5)-N(K6)-N(K9)+N(K12)-N(K16)-N(K18)+N(K21)-N(K22),-2)</f>
        <v>0</v>
      </c>
      <c r="L74" s="265">
        <f>ROUND(N(L5)-N(L6)-N(L9)+N(L12)-N(L16)-N(L18)+N(L21)-N(L22),-2)</f>
        <v>0</v>
      </c>
      <c r="N74" s="265">
        <f>ROUND(N(N5)-N(N6)-N(N9)+N(N12)-N(N16)-N(N18)+N(N21)-N(N22),-2)</f>
        <v>0</v>
      </c>
      <c r="O74" s="265">
        <f>ROUND(N(O5)-N(O6)-N(O9)+N(O12)-N(O16)-N(O18)+N(O21)-N(O22),-2)</f>
        <v>0</v>
      </c>
      <c r="P74" s="265">
        <f>ROUND(N(P5)-N(P6)-N(P9)+N(P12)-N(P16)-N(P18)+N(P21)-N(P22),-2)</f>
        <v>0</v>
      </c>
      <c r="Q74" s="265">
        <f>ROUND(N(Q5)-N(Q6)-N(Q9)+N(Q12)-N(Q16)-N(Q18)+N(Q21)-N(Q22),-2)</f>
        <v>0</v>
      </c>
      <c r="S74" s="265">
        <f>ROUND(N(S5)-N(S6)-N(S9)+N(S12)-N(S16)-N(S18)+N(S21)-N(S22),-2)</f>
        <v>0</v>
      </c>
      <c r="T74" s="265">
        <f>ROUND(N(T5)-N(T6)-N(T9)+N(T12)-N(T16)-N(T18)+N(T21)-N(T22),-2)</f>
        <v>0</v>
      </c>
      <c r="U74" s="265">
        <f>ROUND(N(U5)-N(U6)-N(U9)+N(U12)-N(U16)-N(U18)+N(U21)-N(U22),-2)</f>
        <v>0</v>
      </c>
      <c r="V74" s="265">
        <f>ROUND(N(V5)-N(V6)-N(V9)+N(V12)-N(V16)-N(V18)+N(V21)-N(V22),-2)</f>
        <v>0</v>
      </c>
      <c r="X74" s="265">
        <f>ROUND(N(X5)-N(X6)-N(X9)+N(X12)-N(X16)-N(X18)+N(X21)-N(X22),-2)</f>
        <v>0</v>
      </c>
      <c r="Y74" s="265">
        <f>ROUND(N(Y5)-N(Y6)-N(Y9)+N(Y12)-N(Y16)-N(Y18)+N(Y21)-N(Y22),-2)</f>
        <v>0</v>
      </c>
      <c r="Z74" s="265">
        <f>ROUND(N(Z5)-N(Z6)-N(Z9)+N(Z12)-N(Z16)-N(Z18)+N(Z21)-N(Z22),-2)</f>
        <v>0</v>
      </c>
      <c r="AA74" s="265">
        <f>ROUND(N(AA5)-N(AA6)-N(AA9)+N(AA12)-N(AA16)-N(AA18)+N(AA21)-N(AA22),-2)</f>
        <v>0</v>
      </c>
      <c r="AC74" s="265">
        <f>ROUND(N(AC5)-N(AC6)-N(AC9)+N(AC12)-N(AC16)-N(AC18)+N(AC21)-N(AC22),-2)</f>
        <v>0</v>
      </c>
      <c r="AD74" s="265">
        <f>ROUND(N(AD5)-N(AD6)-N(AD9)+N(AD12)-N(AD16)-N(AD18)+N(AD21)-N(AD22),-2)</f>
        <v>0</v>
      </c>
    </row>
    <row r="75">
      <c r="D75" s="265" t="n"/>
      <c r="E75" s="265" t="n"/>
      <c r="F75" s="265" t="n"/>
      <c r="G75" s="265" t="n"/>
      <c r="I75" s="265" t="n"/>
      <c r="J75" s="265" t="n"/>
      <c r="K75" s="265" t="n"/>
      <c r="L75" s="265" t="n"/>
      <c r="N75" s="265" t="n"/>
      <c r="O75" s="265" t="n"/>
      <c r="P75" s="265" t="n"/>
      <c r="Q75" s="265" t="n"/>
      <c r="S75" s="265" t="n"/>
      <c r="T75" s="265" t="n"/>
      <c r="U75" s="265" t="n"/>
      <c r="V75" s="265" t="n"/>
      <c r="X75" s="265" t="n"/>
      <c r="Y75" s="265" t="n"/>
      <c r="Z75" s="265" t="n"/>
      <c r="AA75" s="265" t="n"/>
      <c r="AC75" s="265" t="n"/>
      <c r="AD75" s="265" t="n"/>
    </row>
    <row r="76">
      <c r="A76" t="inlineStr">
        <is>
          <t>DRIVERS DE RECEITA (codigos 45+): receita por tecnologia (DRAM, NAND, outros) e por unidade de negócio (antigas até 2T25 e novas desde 3T23) - SEC XBRL (USD, fator 0,000001).</t>
        </is>
      </c>
      <c r="C76" t="inlineStr">
        <is>
          <t>[linha bruta, sem código; lançada nas linhas abaixo]</t>
        </is>
      </c>
      <c r="D76" s="265" t="n"/>
      <c r="E76" s="265" t="n"/>
      <c r="F76" s="265" t="n"/>
      <c r="G76" s="265" t="n"/>
      <c r="I76" s="265" t="n"/>
      <c r="J76" s="265" t="n"/>
      <c r="K76" s="265" t="n"/>
      <c r="L76" s="265" t="n"/>
      <c r="N76" s="265" t="n"/>
      <c r="O76" s="265" t="n"/>
      <c r="P76" s="265" t="n"/>
      <c r="Q76" s="265" t="n"/>
      <c r="S76" s="265" t="n"/>
      <c r="T76" s="265" t="n"/>
      <c r="U76" s="265" t="n"/>
      <c r="V76" s="265" t="n"/>
      <c r="X76" s="265" t="n"/>
      <c r="Y76" s="265" t="n"/>
      <c r="Z76" s="265" t="n"/>
      <c r="AA76" s="265" t="n"/>
      <c r="AC76" s="265" t="n"/>
      <c r="AD76" s="265" t="n"/>
    </row>
    <row r="77">
      <c r="A77" t="inlineStr">
        <is>
          <t>Receita DRAM (USD) · fonte · unid. moeda</t>
        </is>
      </c>
      <c r="B77" t="n">
        <v>45</v>
      </c>
      <c r="C77" t="inlineStr">
        <is>
          <t>Receita DRAM (USD)</t>
        </is>
      </c>
      <c r="D77" s="265" t="n">
        <v>4444000</v>
      </c>
      <c r="E77" s="265" t="n">
        <v>5448000</v>
      </c>
      <c r="F77" s="265" t="n">
        <v>6091000</v>
      </c>
      <c r="G77" s="265" t="n">
        <v>5587000</v>
      </c>
      <c r="I77" s="265" t="n">
        <v>5719000</v>
      </c>
      <c r="J77" s="265" t="n">
        <v>6271000</v>
      </c>
      <c r="K77" s="265" t="n">
        <v>4809000</v>
      </c>
      <c r="L77" s="265" t="n">
        <v>2829000</v>
      </c>
      <c r="N77" s="265" t="n">
        <v>2722000</v>
      </c>
      <c r="O77" s="265" t="n">
        <v>2672000</v>
      </c>
      <c r="P77" s="265" t="n">
        <v>2755000</v>
      </c>
      <c r="Q77" s="265" t="n">
        <v>3427000</v>
      </c>
      <c r="S77" s="265" t="n">
        <v>4158000</v>
      </c>
      <c r="T77" s="265" t="n">
        <v>4692000</v>
      </c>
      <c r="U77" s="265" t="n">
        <v>5326000</v>
      </c>
      <c r="V77" s="265" t="n">
        <v>6400000</v>
      </c>
      <c r="X77" s="265" t="n">
        <v>6123000</v>
      </c>
      <c r="Y77" s="265" t="n">
        <v>7071000</v>
      </c>
      <c r="Z77" s="265" t="n">
        <v>8984000</v>
      </c>
      <c r="AA77" s="265" t="n">
        <v>10812000</v>
      </c>
      <c r="AC77" s="265" t="n">
        <v>18768000</v>
      </c>
      <c r="AD77" s="265" t="n">
        <v>31328000</v>
      </c>
    </row>
    <row r="78">
      <c r="A78" t="inlineStr">
        <is>
          <t>Receita NAND (USD) · fonte · unid. moeda</t>
        </is>
      </c>
      <c r="B78" t="n">
        <v>46</v>
      </c>
      <c r="C78" t="inlineStr">
        <is>
          <t>Receita NAND (USD)</t>
        </is>
      </c>
      <c r="D78" s="265" t="n">
        <v>1650000</v>
      </c>
      <c r="E78" s="265" t="n">
        <v>1812000</v>
      </c>
      <c r="F78" s="265" t="n">
        <v>1971000</v>
      </c>
      <c r="G78" s="265" t="n">
        <v>1878000</v>
      </c>
      <c r="I78" s="265" t="n">
        <v>1957000</v>
      </c>
      <c r="J78" s="265" t="n">
        <v>2288000</v>
      </c>
      <c r="K78" s="265" t="n">
        <v>1688000</v>
      </c>
      <c r="L78" s="265" t="n">
        <v>1103000</v>
      </c>
      <c r="N78" s="265" t="n">
        <v>885000</v>
      </c>
      <c r="O78" s="265" t="n">
        <v>1013000</v>
      </c>
      <c r="P78" s="265" t="n">
        <v>1205000</v>
      </c>
      <c r="Q78" s="265" t="n">
        <v>1230000</v>
      </c>
      <c r="S78" s="265" t="n">
        <v>1567000</v>
      </c>
      <c r="T78" s="265" t="n">
        <v>2065000</v>
      </c>
      <c r="U78" s="265" t="n">
        <v>2365000</v>
      </c>
      <c r="V78" s="265" t="n">
        <v>2241000</v>
      </c>
      <c r="X78" s="265" t="n">
        <v>1855000</v>
      </c>
      <c r="Y78" s="265" t="n">
        <v>2155000</v>
      </c>
      <c r="Z78" s="265" t="n">
        <v>2252000</v>
      </c>
      <c r="AA78" s="265" t="n">
        <v>2743000</v>
      </c>
      <c r="AC78" s="265" t="n">
        <v>4997000</v>
      </c>
      <c r="AD78" s="265" t="n">
        <v>9943000</v>
      </c>
    </row>
    <row r="79">
      <c r="A79" t="inlineStr">
        <is>
          <t>Receita outros produtos (USD) · fonte · unid. moeda</t>
        </is>
      </c>
      <c r="B79" t="n">
        <v>47</v>
      </c>
      <c r="C79" t="inlineStr">
        <is>
          <t>Receita outros produtos (USD)</t>
        </is>
      </c>
      <c r="D79" s="265" t="n">
        <v>142000</v>
      </c>
      <c r="E79" s="265" t="n">
        <v>162000</v>
      </c>
      <c r="F79" s="265" t="n">
        <v>212000</v>
      </c>
      <c r="G79" s="265" t="n">
        <v>222000</v>
      </c>
      <c r="I79" s="265" t="n">
        <v>110000</v>
      </c>
      <c r="J79" s="265" t="n">
        <v>83000</v>
      </c>
      <c r="K79" s="265" t="n">
        <v>146000</v>
      </c>
      <c r="L79" s="265" t="n">
        <v>153000</v>
      </c>
      <c r="N79" s="265" t="n">
        <v>86000</v>
      </c>
      <c r="O79" s="265" t="n">
        <v>67000</v>
      </c>
      <c r="P79" s="265" t="n">
        <v>50000</v>
      </c>
      <c r="Q79" s="265" t="n">
        <v>69000</v>
      </c>
      <c r="S79" s="265" t="n">
        <v>99000</v>
      </c>
      <c r="T79" s="265" t="n">
        <v>54000</v>
      </c>
      <c r="U79" s="265" t="n">
        <v>59000</v>
      </c>
      <c r="V79" s="265" t="n">
        <v>68000</v>
      </c>
      <c r="X79" s="265" t="n">
        <v>75000</v>
      </c>
      <c r="Y79" s="265" t="n">
        <v>75000</v>
      </c>
      <c r="Z79" s="265" t="n">
        <v>79000</v>
      </c>
      <c r="AA79" s="265" t="n">
        <v>88000</v>
      </c>
      <c r="AC79" s="265" t="n">
        <v>95000</v>
      </c>
      <c r="AD79" s="265" t="n">
        <v>185000</v>
      </c>
    </row>
    <row r="80">
      <c r="A80" t="inlineStr">
        <is>
          <t>Receita CNBU (compute &amp; networking, antiga) (USD) · fonte · unid. moeda</t>
        </is>
      </c>
      <c r="B80" t="n">
        <v>48</v>
      </c>
      <c r="C80" t="inlineStr">
        <is>
          <t>Receita CNBU (compute &amp; networking, antiga) (USD)</t>
        </is>
      </c>
      <c r="D80" s="265" t="n">
        <v>2636000</v>
      </c>
      <c r="E80" s="265" t="n">
        <v>3304000</v>
      </c>
      <c r="F80" s="265" t="n">
        <v>3794000</v>
      </c>
      <c r="G80" s="265" t="n">
        <v>3406000</v>
      </c>
      <c r="I80" s="265" t="n">
        <v>3461000</v>
      </c>
      <c r="J80" s="265" t="n">
        <v>3895000</v>
      </c>
      <c r="K80" s="265" t="n">
        <v>2931000</v>
      </c>
      <c r="L80" s="265" t="n">
        <v>1746000</v>
      </c>
      <c r="N80" s="265" t="n">
        <v>1375000</v>
      </c>
      <c r="O80" s="265" t="n">
        <v>1389000</v>
      </c>
      <c r="P80" s="265" t="n">
        <v>1200000</v>
      </c>
      <c r="Q80" s="265" t="n">
        <v>1737000</v>
      </c>
      <c r="S80" s="265" t="n">
        <v>2185000</v>
      </c>
      <c r="T80" s="265" t="n">
        <v>2573000</v>
      </c>
      <c r="U80" s="265" t="n">
        <v>3018000</v>
      </c>
      <c r="V80" s="265" t="n">
        <v>4395000</v>
      </c>
      <c r="X80" s="265" t="n">
        <v>4564000</v>
      </c>
      <c r="Y80" s="265" t="n">
        <v>5069000</v>
      </c>
      <c r="Z80" s="265" t="n"/>
      <c r="AA80" s="265" t="n"/>
      <c r="AC80" s="265" t="n"/>
      <c r="AD80" s="265" t="n"/>
    </row>
    <row r="81">
      <c r="A81" t="inlineStr">
        <is>
          <t>Lucro operacional CNBU (compute &amp; networking, antiga) (USD) · fonte · unid. moeda</t>
        </is>
      </c>
      <c r="B81" t="n">
        <v>49</v>
      </c>
      <c r="C81" t="inlineStr">
        <is>
          <t>Lucro operacional CNBU (compute &amp; networking, antiga) (USD)</t>
        </is>
      </c>
      <c r="D81" s="265" t="n">
        <v>709000</v>
      </c>
      <c r="E81" s="265" t="n">
        <v>1342000</v>
      </c>
      <c r="F81" s="265" t="n">
        <v>1761000</v>
      </c>
      <c r="G81" s="265" t="n">
        <v>1524000</v>
      </c>
      <c r="I81" s="265" t="n">
        <v>1562000</v>
      </c>
      <c r="J81" s="265" t="n">
        <v>1778000</v>
      </c>
      <c r="K81" s="265" t="n">
        <v>980000</v>
      </c>
      <c r="L81" s="265" t="n">
        <v>190000</v>
      </c>
      <c r="N81" s="265" t="n">
        <v>-35000</v>
      </c>
      <c r="O81" s="265" t="n">
        <v>-337000</v>
      </c>
      <c r="P81" s="265" t="n">
        <v>-403000</v>
      </c>
      <c r="Q81" s="265" t="n">
        <v>-397000</v>
      </c>
      <c r="S81" s="265" t="n">
        <v>28000</v>
      </c>
      <c r="T81" s="265" t="n">
        <v>442000</v>
      </c>
      <c r="U81" s="265" t="n">
        <v>907000</v>
      </c>
      <c r="V81" s="265" t="n">
        <v>1711000</v>
      </c>
      <c r="X81" s="265" t="n">
        <v>1919000</v>
      </c>
      <c r="Y81" s="265" t="n">
        <v>2182000</v>
      </c>
      <c r="Z81" s="265" t="n"/>
      <c r="AA81" s="265" t="n"/>
      <c r="AC81" s="265" t="n"/>
      <c r="AD81" s="265" t="n"/>
    </row>
    <row r="82">
      <c r="A82" t="inlineStr">
        <is>
          <t>Receita MBU (mobile, antiga) (USD) · fonte · unid. moeda</t>
        </is>
      </c>
      <c r="B82" t="n">
        <v>50</v>
      </c>
      <c r="C82" t="inlineStr">
        <is>
          <t>Receita MBU (mobile, antiga) (USD)</t>
        </is>
      </c>
      <c r="D82" s="265" t="n">
        <v>1811000</v>
      </c>
      <c r="E82" s="265" t="n">
        <v>1999000</v>
      </c>
      <c r="F82" s="265" t="n">
        <v>1892000</v>
      </c>
      <c r="G82" s="265" t="n">
        <v>1907000</v>
      </c>
      <c r="I82" s="265" t="n">
        <v>1875000</v>
      </c>
      <c r="J82" s="265" t="n">
        <v>1967000</v>
      </c>
      <c r="K82" s="265" t="n">
        <v>1511000</v>
      </c>
      <c r="L82" s="265" t="n">
        <v>655000</v>
      </c>
      <c r="N82" s="265" t="n">
        <v>945000</v>
      </c>
      <c r="O82" s="265" t="n">
        <v>819000</v>
      </c>
      <c r="P82" s="265" t="n">
        <v>1211000</v>
      </c>
      <c r="Q82" s="265" t="n">
        <v>1293000</v>
      </c>
      <c r="S82" s="265" t="n">
        <v>1598000</v>
      </c>
      <c r="T82" s="265" t="n">
        <v>1588000</v>
      </c>
      <c r="U82" s="265" t="n">
        <v>1875000</v>
      </c>
      <c r="V82" s="265" t="n">
        <v>1527000</v>
      </c>
      <c r="X82" s="265" t="n">
        <v>1068000</v>
      </c>
      <c r="Y82" s="265" t="n">
        <v>1551000</v>
      </c>
      <c r="Z82" s="265" t="n"/>
      <c r="AA82" s="265" t="n"/>
      <c r="AC82" s="265" t="n"/>
      <c r="AD82" s="265" t="n"/>
    </row>
    <row r="83">
      <c r="A83" t="inlineStr">
        <is>
          <t>Lucro operacional MBU (mobile, antiga) (USD) · fonte · unid. moeda</t>
        </is>
      </c>
      <c r="B83" t="n">
        <v>51</v>
      </c>
      <c r="C83" t="inlineStr">
        <is>
          <t>Lucro operacional MBU (mobile, antiga) (USD)</t>
        </is>
      </c>
      <c r="D83" s="265" t="n">
        <v>464000</v>
      </c>
      <c r="E83" s="265" t="n">
        <v>683000</v>
      </c>
      <c r="F83" s="265" t="n">
        <v>656000</v>
      </c>
      <c r="G83" s="265" t="n">
        <v>624000</v>
      </c>
      <c r="I83" s="265" t="n">
        <v>588000</v>
      </c>
      <c r="J83" s="265" t="n">
        <v>640000</v>
      </c>
      <c r="K83" s="265" t="n">
        <v>308000</v>
      </c>
      <c r="L83" s="265" t="n">
        <v>-195000</v>
      </c>
      <c r="N83" s="265" t="n">
        <v>-344000</v>
      </c>
      <c r="O83" s="265" t="n">
        <v>-478000</v>
      </c>
      <c r="P83" s="265" t="n">
        <v>-733000</v>
      </c>
      <c r="Q83" s="265" t="n">
        <v>-687000</v>
      </c>
      <c r="S83" s="265" t="n">
        <v>-9000</v>
      </c>
      <c r="T83" s="265" t="n">
        <v>301000</v>
      </c>
      <c r="U83" s="265" t="n">
        <v>509000</v>
      </c>
      <c r="V83" s="265" t="n">
        <v>327000</v>
      </c>
      <c r="X83" s="265" t="n">
        <v>60000</v>
      </c>
      <c r="Y83" s="265" t="n">
        <v>217000</v>
      </c>
      <c r="Z83" s="265" t="n"/>
      <c r="AA83" s="265" t="n"/>
      <c r="AC83" s="265" t="n"/>
      <c r="AD83" s="265" t="n"/>
    </row>
    <row r="84">
      <c r="A84" t="inlineStr">
        <is>
          <t>Receita SBU (storage, antiga) (USD) · fonte · unid. moeda</t>
        </is>
      </c>
      <c r="B84" t="n">
        <v>52</v>
      </c>
      <c r="C84" t="inlineStr">
        <is>
          <t>Receita SBU (storage, antiga) (USD)</t>
        </is>
      </c>
      <c r="D84" s="265" t="n">
        <v>850000</v>
      </c>
      <c r="E84" s="265" t="n">
        <v>1009000</v>
      </c>
      <c r="F84" s="265" t="n">
        <v>1203000</v>
      </c>
      <c r="G84" s="265" t="n">
        <v>1150000</v>
      </c>
      <c r="I84" s="265" t="n">
        <v>1171000</v>
      </c>
      <c r="J84" s="265" t="n">
        <v>1341000</v>
      </c>
      <c r="K84" s="265" t="n">
        <v>891000</v>
      </c>
      <c r="L84" s="265" t="n">
        <v>680000</v>
      </c>
      <c r="N84" s="265" t="n">
        <v>507000</v>
      </c>
      <c r="O84" s="265" t="n">
        <v>627000</v>
      </c>
      <c r="P84" s="265" t="n">
        <v>739000</v>
      </c>
      <c r="Q84" s="265" t="n">
        <v>653000</v>
      </c>
      <c r="S84" s="265" t="n">
        <v>905000</v>
      </c>
      <c r="T84" s="265" t="n">
        <v>1353000</v>
      </c>
      <c r="U84" s="265" t="n">
        <v>1681000</v>
      </c>
      <c r="V84" s="265" t="n">
        <v>1731000</v>
      </c>
      <c r="X84" s="265" t="n">
        <v>1392000</v>
      </c>
      <c r="Y84" s="265" t="n">
        <v>1451000</v>
      </c>
      <c r="Z84" s="265" t="n"/>
      <c r="AA84" s="265" t="n"/>
      <c r="AC84" s="265" t="n"/>
      <c r="AD84" s="265" t="n"/>
    </row>
    <row r="85">
      <c r="A85" t="inlineStr">
        <is>
          <t>Lucro operacional SBU (storage, antiga) (USD) · fonte · unid. moeda</t>
        </is>
      </c>
      <c r="B85" t="n">
        <v>53</v>
      </c>
      <c r="C85" t="inlineStr">
        <is>
          <t>Lucro operacional SBU (storage, antiga) (USD)</t>
        </is>
      </c>
      <c r="D85" s="265" t="n">
        <v>-59000</v>
      </c>
      <c r="E85" s="265" t="n">
        <v>53000</v>
      </c>
      <c r="F85" s="265" t="n">
        <v>175000</v>
      </c>
      <c r="G85" s="265" t="n">
        <v>152000</v>
      </c>
      <c r="I85" s="265" t="n">
        <v>178000</v>
      </c>
      <c r="J85" s="265" t="n">
        <v>221000</v>
      </c>
      <c r="K85" s="265" t="n">
        <v>-38000</v>
      </c>
      <c r="L85" s="265" t="n">
        <v>-257000</v>
      </c>
      <c r="N85" s="265" t="n">
        <v>-357000</v>
      </c>
      <c r="O85" s="265" t="n">
        <v>-601000</v>
      </c>
      <c r="P85" s="265" t="n">
        <v>-672000</v>
      </c>
      <c r="Q85" s="265" t="n">
        <v>-490000</v>
      </c>
      <c r="S85" s="265" t="n">
        <v>-217000</v>
      </c>
      <c r="T85" s="265" t="n">
        <v>76000</v>
      </c>
      <c r="U85" s="265" t="n">
        <v>269000</v>
      </c>
      <c r="V85" s="265" t="n">
        <v>347000</v>
      </c>
      <c r="X85" s="265" t="n">
        <v>24000</v>
      </c>
      <c r="Y85" s="265" t="n">
        <v>-9000</v>
      </c>
      <c r="Z85" s="265" t="n"/>
      <c r="AA85" s="265" t="n"/>
      <c r="AC85" s="265" t="n"/>
      <c r="AD85" s="265" t="n"/>
    </row>
    <row r="86">
      <c r="A86" t="inlineStr">
        <is>
          <t>Receita EBU (embedded, antiga) (USD) · fonte · unid. moeda</t>
        </is>
      </c>
      <c r="B86" t="n">
        <v>54</v>
      </c>
      <c r="C86" t="inlineStr">
        <is>
          <t>Receita EBU (embedded, antiga) (USD)</t>
        </is>
      </c>
      <c r="D86" s="265" t="n">
        <v>935000</v>
      </c>
      <c r="E86" s="265" t="n">
        <v>1105000</v>
      </c>
      <c r="F86" s="265" t="n">
        <v>1360000</v>
      </c>
      <c r="G86" s="265" t="n">
        <v>1220000</v>
      </c>
      <c r="I86" s="265" t="n">
        <v>1277000</v>
      </c>
      <c r="J86" s="265" t="n">
        <v>1435000</v>
      </c>
      <c r="K86" s="265" t="n">
        <v>1303000</v>
      </c>
      <c r="L86" s="265" t="n">
        <v>1000000</v>
      </c>
      <c r="N86" s="265" t="n">
        <v>865000</v>
      </c>
      <c r="O86" s="265" t="n">
        <v>912000</v>
      </c>
      <c r="P86" s="265" t="n">
        <v>860000</v>
      </c>
      <c r="Q86" s="265" t="n">
        <v>1037000</v>
      </c>
      <c r="S86" s="265" t="n">
        <v>1111000</v>
      </c>
      <c r="T86" s="265" t="n">
        <v>1294000</v>
      </c>
      <c r="U86" s="265" t="n">
        <v>1172000</v>
      </c>
      <c r="V86" s="265" t="n">
        <v>1052000</v>
      </c>
      <c r="X86" s="265" t="n">
        <v>1025000</v>
      </c>
      <c r="Y86" s="265" t="n">
        <v>1227000</v>
      </c>
      <c r="Z86" s="265" t="n"/>
      <c r="AA86" s="265" t="n"/>
      <c r="AC86" s="265" t="n"/>
      <c r="AD86" s="265" t="n"/>
    </row>
    <row r="87">
      <c r="A87" t="inlineStr">
        <is>
          <t>Lucro operacional EBU (embedded, antiga) (USD) · fonte · unid. moeda</t>
        </is>
      </c>
      <c r="B87" t="n">
        <v>55</v>
      </c>
      <c r="C87" t="inlineStr">
        <is>
          <t>Lucro operacional EBU (embedded, antiga) (USD)</t>
        </is>
      </c>
      <c r="D87" s="265" t="n">
        <v>141000</v>
      </c>
      <c r="E87" s="265" t="n">
        <v>282000</v>
      </c>
      <c r="F87" s="265" t="n">
        <v>467000</v>
      </c>
      <c r="G87" s="265" t="n">
        <v>422000</v>
      </c>
      <c r="I87" s="265" t="n">
        <v>421000</v>
      </c>
      <c r="J87" s="265" t="n">
        <v>504000</v>
      </c>
      <c r="K87" s="265" t="n">
        <v>405000</v>
      </c>
      <c r="L87" s="265" t="n">
        <v>194000</v>
      </c>
      <c r="N87" s="265" t="n">
        <v>88000</v>
      </c>
      <c r="O87" s="265" t="n">
        <v>65000</v>
      </c>
      <c r="P87" s="265" t="n">
        <v>35000</v>
      </c>
      <c r="Q87" s="265" t="n">
        <v>10000</v>
      </c>
      <c r="S87" s="265" t="n">
        <v>-1000</v>
      </c>
      <c r="T87" s="265" t="n">
        <v>124000</v>
      </c>
      <c r="U87" s="265" t="n">
        <v>66000</v>
      </c>
      <c r="V87" s="265" t="n">
        <v>11000</v>
      </c>
      <c r="X87" s="265" t="n">
        <v>3000</v>
      </c>
      <c r="Y87" s="265" t="n">
        <v>98000</v>
      </c>
      <c r="Z87" s="265" t="n"/>
      <c r="AA87" s="265" t="n"/>
      <c r="AC87" s="265" t="n"/>
      <c r="AD87" s="265" t="n"/>
    </row>
    <row r="88">
      <c r="A88" t="inlineStr">
        <is>
          <t>Receita CMBU (cloud memory) (USD) · fonte · unid. moeda</t>
        </is>
      </c>
      <c r="B88" t="n">
        <v>56</v>
      </c>
      <c r="C88" t="inlineStr">
        <is>
          <t>Receita CMBU (cloud memory) (USD)</t>
        </is>
      </c>
      <c r="D88" s="265" t="n"/>
      <c r="E88" s="265" t="n"/>
      <c r="F88" s="265" t="n"/>
      <c r="G88" s="265" t="n"/>
      <c r="I88" s="265" t="n"/>
      <c r="J88" s="265" t="n"/>
      <c r="K88" s="265" t="n"/>
      <c r="L88" s="265" t="n"/>
      <c r="N88" s="265" t="n"/>
      <c r="O88" s="265" t="n"/>
      <c r="P88" s="265" t="n"/>
      <c r="Q88" s="265" t="n"/>
      <c r="S88" s="265" t="n"/>
      <c r="T88" s="265" t="n"/>
      <c r="U88" s="265" t="n"/>
      <c r="V88" s="265" t="n">
        <v>2648000</v>
      </c>
      <c r="X88" s="265" t="n">
        <v>2947000</v>
      </c>
      <c r="Y88" s="265" t="n">
        <v>3386000</v>
      </c>
      <c r="Z88" s="265" t="n">
        <v>4543000</v>
      </c>
      <c r="AA88" s="265" t="n">
        <v>5284000</v>
      </c>
      <c r="AC88" s="265" t="n">
        <v>7749000</v>
      </c>
      <c r="AD88" s="265" t="n">
        <v>13769000</v>
      </c>
    </row>
    <row r="89">
      <c r="A89" t="inlineStr">
        <is>
          <t>Receita CDBU (core data center) (USD) · fonte · unid. moeda</t>
        </is>
      </c>
      <c r="B89" t="n">
        <v>57</v>
      </c>
      <c r="C89" t="inlineStr">
        <is>
          <t>Receita CDBU (core data center) (USD)</t>
        </is>
      </c>
      <c r="D89" s="265" t="n"/>
      <c r="E89" s="265" t="n"/>
      <c r="F89" s="265" t="n"/>
      <c r="G89" s="265" t="n"/>
      <c r="I89" s="265" t="n"/>
      <c r="J89" s="265" t="n"/>
      <c r="K89" s="265" t="n"/>
      <c r="L89" s="265" t="n"/>
      <c r="N89" s="265" t="n"/>
      <c r="O89" s="265" t="n"/>
      <c r="P89" s="265" t="n"/>
      <c r="Q89" s="265" t="n"/>
      <c r="S89" s="265" t="n"/>
      <c r="T89" s="265" t="n"/>
      <c r="U89" s="265" t="n"/>
      <c r="V89" s="265" t="n">
        <v>2292000</v>
      </c>
      <c r="X89" s="265" t="n">
        <v>1830000</v>
      </c>
      <c r="Y89" s="265" t="n">
        <v>1530000</v>
      </c>
      <c r="Z89" s="265" t="n">
        <v>1577000</v>
      </c>
      <c r="AA89" s="265" t="n">
        <v>2379000</v>
      </c>
      <c r="AC89" s="265" t="n">
        <v>5687000</v>
      </c>
      <c r="AD89" s="265" t="n">
        <v>11524000</v>
      </c>
    </row>
    <row r="90">
      <c r="A90" t="inlineStr">
        <is>
          <t>Receita MCBU (mobile &amp; client) (USD) · fonte · unid. moeda</t>
        </is>
      </c>
      <c r="B90" t="n">
        <v>58</v>
      </c>
      <c r="C90" t="inlineStr">
        <is>
          <t>Receita MCBU (mobile &amp; client) (USD)</t>
        </is>
      </c>
      <c r="D90" s="265" t="n"/>
      <c r="E90" s="265" t="n"/>
      <c r="F90" s="265" t="n"/>
      <c r="G90" s="265" t="n"/>
      <c r="I90" s="265" t="n"/>
      <c r="J90" s="265" t="n"/>
      <c r="K90" s="265" t="n"/>
      <c r="L90" s="265" t="n"/>
      <c r="N90" s="265" t="n"/>
      <c r="O90" s="265" t="n"/>
      <c r="P90" s="265" t="n"/>
      <c r="Q90" s="265" t="n"/>
      <c r="S90" s="265" t="n"/>
      <c r="T90" s="265" t="n"/>
      <c r="U90" s="265" t="n"/>
      <c r="V90" s="265" t="n">
        <v>2608000</v>
      </c>
      <c r="X90" s="265" t="n">
        <v>2236000</v>
      </c>
      <c r="Y90" s="265" t="n">
        <v>3255000</v>
      </c>
      <c r="Z90" s="265" t="n">
        <v>3760000</v>
      </c>
      <c r="AA90" s="265" t="n">
        <v>4255000</v>
      </c>
      <c r="AC90" s="265" t="n">
        <v>7711000</v>
      </c>
      <c r="AD90" s="265" t="n">
        <v>11521000</v>
      </c>
    </row>
    <row r="91">
      <c r="A91" t="inlineStr">
        <is>
          <t>Receita AEBU (automotive &amp; embedded) (USD) · fonte · unid. moeda</t>
        </is>
      </c>
      <c r="B91" t="n">
        <v>59</v>
      </c>
      <c r="C91" t="inlineStr">
        <is>
          <t>Receita AEBU (automotive &amp; embedded) (USD)</t>
        </is>
      </c>
      <c r="D91" s="265" t="n"/>
      <c r="E91" s="265" t="n"/>
      <c r="F91" s="265" t="n"/>
      <c r="G91" s="265" t="n"/>
      <c r="I91" s="265" t="n"/>
      <c r="J91" s="265" t="n"/>
      <c r="K91" s="265" t="n"/>
      <c r="L91" s="265" t="n"/>
      <c r="N91" s="265" t="n"/>
      <c r="O91" s="265" t="n"/>
      <c r="P91" s="265" t="n"/>
      <c r="Q91" s="265" t="n"/>
      <c r="S91" s="265" t="n"/>
      <c r="T91" s="265" t="n"/>
      <c r="U91" s="265" t="n"/>
      <c r="V91" s="265" t="n">
        <v>1158000</v>
      </c>
      <c r="X91" s="265" t="n">
        <v>1034000</v>
      </c>
      <c r="Y91" s="265" t="n">
        <v>1127000</v>
      </c>
      <c r="Z91" s="265" t="n">
        <v>1434000</v>
      </c>
      <c r="AA91" s="265" t="n">
        <v>1720000</v>
      </c>
      <c r="AC91" s="265" t="n">
        <v>2708000</v>
      </c>
      <c r="AD91" s="265" t="n">
        <v>4634000</v>
      </c>
    </row>
    <row r="92">
      <c r="A92" t="inlineStr">
        <is>
          <t>Notas: valores dimensionais das instâncias XBRL; ano fiscal termina no fim de agosto/início de setembro (cada trimestre vai para o fim de trimestre-calendário mais próximo). Em 2025 a Micron trocou as unidades de negócio (CNBU/MBU/SBU/EBU -&gt; CMBU/CDBU/MCBU/AEBU, reapresentadas desde 3T23).</t>
        </is>
      </c>
      <c r="C92" t="inlineStr">
        <is>
          <t>[linha bruta, sem código; lançada nas linhas abaixo]</t>
        </is>
      </c>
      <c r="D92" s="265" t="n"/>
      <c r="E92" s="265" t="n"/>
      <c r="F92" s="265" t="n"/>
      <c r="G92" s="265" t="n"/>
      <c r="I92" s="265" t="n"/>
      <c r="J92" s="265" t="n"/>
      <c r="K92" s="265" t="n"/>
      <c r="L92" s="265" t="n"/>
      <c r="N92" s="265" t="n"/>
      <c r="O92" s="265" t="n"/>
      <c r="P92" s="265" t="n"/>
      <c r="Q92" s="265" t="n"/>
      <c r="S92" s="265" t="n"/>
      <c r="T92" s="265" t="n"/>
      <c r="U92" s="265" t="n"/>
      <c r="V92" s="265" t="n"/>
      <c r="X92" s="265" t="n"/>
      <c r="Y92" s="265" t="n"/>
      <c r="Z92" s="265" t="n"/>
      <c r="AA92" s="265" t="n"/>
      <c r="AC92" s="265" t="n"/>
      <c r="AD92" s="265" t="n"/>
    </row>
    <row r="94">
      <c r="A94" t="inlineStr">
        <is>
          <t>Linhas de origem: 4 a 92. A Inputs (2) varre as linhas 4 a 150; as linhas 93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7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Micron Technology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6236</v>
      </c>
      <c r="E4" s="11">
        <f>IF(E$3=0,"",SUMIFS(INDEX(Inputs!$D$4:$AG$150,0,MATCH(E$2,Inputs!$D$2:$AG$2,0)),Inputs!$B$4:$B$150,$B4)/1000)</f>
        <v>7422</v>
      </c>
      <c r="F4" s="11">
        <f>IF(F$3=0,"",SUMIFS(INDEX(Inputs!$D$4:$AG$150,0,MATCH(F$2,Inputs!$D$2:$AG$2,0)),Inputs!$B$4:$B$150,$B4)/1000)</f>
        <v>8274</v>
      </c>
      <c r="G4" s="11">
        <f>IF(G$3=0,"",SUMIFS(INDEX(Inputs!$D$4:$AG$150,0,MATCH(G$2,Inputs!$D$2:$AG$2,0)),Inputs!$B$4:$B$150,$B4)/1000)</f>
        <v>7687</v>
      </c>
      <c r="H4" s="12">
        <f>IF(COUNT(D4:G4)=4,SUM(D4:G4),"")</f>
        <v>29619</v>
      </c>
      <c r="I4" s="11">
        <f>IF(I$3=0,"",SUMIFS(INDEX(Inputs!$D$4:$AG$150,0,MATCH(I$2,Inputs!$D$2:$AG$2,0)),Inputs!$B$4:$B$150,$B4)/1000)</f>
        <v>7786</v>
      </c>
      <c r="J4" s="11">
        <f>IF(J$3=0,"",SUMIFS(INDEX(Inputs!$D$4:$AG$150,0,MATCH(J$2,Inputs!$D$2:$AG$2,0)),Inputs!$B$4:$B$150,$B4)/1000)</f>
        <v>8642</v>
      </c>
      <c r="K4" s="11">
        <f>IF(K$3=0,"",SUMIFS(INDEX(Inputs!$D$4:$AG$150,0,MATCH(K$2,Inputs!$D$2:$AG$2,0)),Inputs!$B$4:$B$150,$B4)/1000)</f>
        <v>6643</v>
      </c>
      <c r="L4" s="11">
        <f>IF(L$3=0,"",SUMIFS(INDEX(Inputs!$D$4:$AG$150,0,MATCH(L$2,Inputs!$D$2:$AG$2,0)),Inputs!$B$4:$B$150,$B4)/1000)</f>
        <v>4085</v>
      </c>
      <c r="M4" s="12">
        <f>IF(COUNT(I4:L4)=4,SUM(I4:L4),"")</f>
        <v>27156</v>
      </c>
      <c r="N4" s="11">
        <f>IF(N$3=0,"",SUMIFS(INDEX(Inputs!$D$4:$AG$150,0,MATCH(N$2,Inputs!$D$2:$AG$2,0)),Inputs!$B$4:$B$150,$B4)/1000)</f>
        <v>3693</v>
      </c>
      <c r="O4" s="11">
        <f>IF(O$3=0,"",SUMIFS(INDEX(Inputs!$D$4:$AG$150,0,MATCH(O$2,Inputs!$D$2:$AG$2,0)),Inputs!$B$4:$B$150,$B4)/1000)</f>
        <v>3752</v>
      </c>
      <c r="P4" s="11">
        <f>IF(P$3=0,"",SUMIFS(INDEX(Inputs!$D$4:$AG$150,0,MATCH(P$2,Inputs!$D$2:$AG$2,0)),Inputs!$B$4:$B$150,$B4)/1000)</f>
        <v>4010</v>
      </c>
      <c r="Q4" s="11">
        <f>IF(Q$3=0,"",SUMIFS(INDEX(Inputs!$D$4:$AG$150,0,MATCH(Q$2,Inputs!$D$2:$AG$2,0)),Inputs!$B$4:$B$150,$B4)/1000)</f>
        <v>4726</v>
      </c>
      <c r="R4" s="12">
        <f>IF(COUNT(N4:Q4)=4,SUM(N4:Q4),"")</f>
        <v>16181</v>
      </c>
      <c r="S4" s="11">
        <f>IF(S$3=0,"",SUMIFS(INDEX(Inputs!$D$4:$AG$150,0,MATCH(S$2,Inputs!$D$2:$AG$2,0)),Inputs!$B$4:$B$150,$B4)/1000)</f>
        <v>5824</v>
      </c>
      <c r="T4" s="11">
        <f>IF(T$3=0,"",SUMIFS(INDEX(Inputs!$D$4:$AG$150,0,MATCH(T$2,Inputs!$D$2:$AG$2,0)),Inputs!$B$4:$B$150,$B4)/1000)</f>
        <v>6811</v>
      </c>
      <c r="U4" s="11">
        <f>IF(U$3=0,"",SUMIFS(INDEX(Inputs!$D$4:$AG$150,0,MATCH(U$2,Inputs!$D$2:$AG$2,0)),Inputs!$B$4:$B$150,$B4)/1000)</f>
        <v>7750</v>
      </c>
      <c r="V4" s="11">
        <f>IF(V$3=0,"",SUMIFS(INDEX(Inputs!$D$4:$AG$150,0,MATCH(V$2,Inputs!$D$2:$AG$2,0)),Inputs!$B$4:$B$150,$B4)/1000)</f>
        <v>8709</v>
      </c>
      <c r="W4" s="12">
        <f>IF(COUNT(S4:V4)=4,SUM(S4:V4),"")</f>
        <v>29094</v>
      </c>
      <c r="X4" s="11">
        <f>IF(X$3=0,"",SUMIFS(INDEX(Inputs!$D$4:$AG$150,0,MATCH(X$2,Inputs!$D$2:$AG$2,0)),Inputs!$B$4:$B$150,$B4)/1000)</f>
        <v>8053</v>
      </c>
      <c r="Y4" s="11">
        <f>IF(Y$3=0,"",SUMIFS(INDEX(Inputs!$D$4:$AG$150,0,MATCH(Y$2,Inputs!$D$2:$AG$2,0)),Inputs!$B$4:$B$150,$B4)/1000)</f>
        <v>9301</v>
      </c>
      <c r="Z4" s="11">
        <f>IF(Z$3=0,"",SUMIFS(INDEX(Inputs!$D$4:$AG$150,0,MATCH(Z$2,Inputs!$D$2:$AG$2,0)),Inputs!$B$4:$B$150,$B4)/1000)</f>
        <v>11315</v>
      </c>
      <c r="AA4" s="11">
        <f>IF(AA$3=0,"",SUMIFS(INDEX(Inputs!$D$4:$AG$150,0,MATCH(AA$2,Inputs!$D$2:$AG$2,0)),Inputs!$B$4:$B$150,$B4)/1000)</f>
        <v>13643</v>
      </c>
      <c r="AB4" s="12">
        <f>IF(COUNT(X4:AA4)=4,SUM(X4:AA4),"")</f>
        <v>42312</v>
      </c>
      <c r="AC4" s="11">
        <f>IF(AC$3=0,"",SUMIFS(INDEX(Inputs!$D$4:$AG$150,0,MATCH(AC$2,Inputs!$D$2:$AG$2,0)),Inputs!$B$4:$B$150,$B4)/1000)</f>
        <v>23860</v>
      </c>
      <c r="AD4" s="11">
        <f>IF(AD$3=0,"",SUMIFS(INDEX(Inputs!$D$4:$AG$150,0,MATCH(AD$2,Inputs!$D$2:$AG$2,0)),Inputs!$B$4:$B$150,$B4)/1000)</f>
        <v>41456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-4587</v>
      </c>
      <c r="E5" s="11">
        <f>IF(E$3=0,"",SUMIFS(INDEX(Inputs!$D$4:$AG$150,0,MATCH(E$2,Inputs!$D$2:$AG$2,0)),Inputs!$B$4:$B$150,$B5)/1000)</f>
        <v>-4296</v>
      </c>
      <c r="F5" s="11">
        <f>IF(F$3=0,"",SUMIFS(INDEX(Inputs!$D$4:$AG$150,0,MATCH(F$2,Inputs!$D$2:$AG$2,0)),Inputs!$B$4:$B$150,$B5)/1000)</f>
        <v>-4362</v>
      </c>
      <c r="G5" s="11">
        <f>IF(G$3=0,"",SUMIFS(INDEX(Inputs!$D$4:$AG$150,0,MATCH(G$2,Inputs!$D$2:$AG$2,0)),Inputs!$B$4:$B$150,$B5)/1000)</f>
        <v>-4122</v>
      </c>
      <c r="H5" s="12">
        <f>IF(COUNT(D5:G5)=4,SUM(D5:G5),"")</f>
        <v>-17367</v>
      </c>
      <c r="I5" s="11">
        <f>IF(I$3=0,"",SUMIFS(INDEX(Inputs!$D$4:$AG$150,0,MATCH(I$2,Inputs!$D$2:$AG$2,0)),Inputs!$B$4:$B$150,$B5)/1000)</f>
        <v>-4110</v>
      </c>
      <c r="J5" s="11">
        <f>IF(J$3=0,"",SUMIFS(INDEX(Inputs!$D$4:$AG$150,0,MATCH(J$2,Inputs!$D$2:$AG$2,0)),Inputs!$B$4:$B$150,$B5)/1000)</f>
        <v>-4607</v>
      </c>
      <c r="K5" s="11">
        <f>IF(K$3=0,"",SUMIFS(INDEX(Inputs!$D$4:$AG$150,0,MATCH(K$2,Inputs!$D$2:$AG$2,0)),Inputs!$B$4:$B$150,$B5)/1000)</f>
        <v>-4021</v>
      </c>
      <c r="L5" s="11">
        <f>IF(L$3=0,"",SUMIFS(INDEX(Inputs!$D$4:$AG$150,0,MATCH(L$2,Inputs!$D$2:$AG$2,0)),Inputs!$B$4:$B$150,$B5)/1000)</f>
        <v>-3192</v>
      </c>
      <c r="M5" s="12">
        <f>IF(COUNT(I5:L5)=4,SUM(I5:L5),"")</f>
        <v>-15930</v>
      </c>
      <c r="N5" s="11">
        <f>IF(N$3=0,"",SUMIFS(INDEX(Inputs!$D$4:$AG$150,0,MATCH(N$2,Inputs!$D$2:$AG$2,0)),Inputs!$B$4:$B$150,$B5)/1000)</f>
        <v>-4899</v>
      </c>
      <c r="O5" s="11">
        <f>IF(O$3=0,"",SUMIFS(INDEX(Inputs!$D$4:$AG$150,0,MATCH(O$2,Inputs!$D$2:$AG$2,0)),Inputs!$B$4:$B$150,$B5)/1000)</f>
        <v>-4420</v>
      </c>
      <c r="P5" s="11">
        <f>IF(P$3=0,"",SUMIFS(INDEX(Inputs!$D$4:$AG$150,0,MATCH(P$2,Inputs!$D$2:$AG$2,0)),Inputs!$B$4:$B$150,$B5)/1000)</f>
        <v>-4445</v>
      </c>
      <c r="Q5" s="11">
        <f>IF(Q$3=0,"",SUMIFS(INDEX(Inputs!$D$4:$AG$150,0,MATCH(Q$2,Inputs!$D$2:$AG$2,0)),Inputs!$B$4:$B$150,$B5)/1000)</f>
        <v>-4761</v>
      </c>
      <c r="R5" s="12">
        <f>IF(COUNT(N5:Q5)=4,SUM(N5:Q5),"")</f>
        <v>-18525</v>
      </c>
      <c r="S5" s="11">
        <f>IF(S$3=0,"",SUMIFS(INDEX(Inputs!$D$4:$AG$150,0,MATCH(S$2,Inputs!$D$2:$AG$2,0)),Inputs!$B$4:$B$150,$B5)/1000)</f>
        <v>-4745</v>
      </c>
      <c r="T5" s="11">
        <f>IF(T$3=0,"",SUMIFS(INDEX(Inputs!$D$4:$AG$150,0,MATCH(T$2,Inputs!$D$2:$AG$2,0)),Inputs!$B$4:$B$150,$B5)/1000)</f>
        <v>-4979</v>
      </c>
      <c r="U5" s="11">
        <f>IF(U$3=0,"",SUMIFS(INDEX(Inputs!$D$4:$AG$150,0,MATCH(U$2,Inputs!$D$2:$AG$2,0)),Inputs!$B$4:$B$150,$B5)/1000)</f>
        <v>-5013</v>
      </c>
      <c r="V5" s="11">
        <f>IF(V$3=0,"",SUMIFS(INDEX(Inputs!$D$4:$AG$150,0,MATCH(V$2,Inputs!$D$2:$AG$2,0)),Inputs!$B$4:$B$150,$B5)/1000)</f>
        <v>-5361</v>
      </c>
      <c r="W5" s="12">
        <f>IF(COUNT(S5:V5)=4,SUM(S5:V5),"")</f>
        <v>-20098</v>
      </c>
      <c r="X5" s="11">
        <f>IF(X$3=0,"",SUMIFS(INDEX(Inputs!$D$4:$AG$150,0,MATCH(X$2,Inputs!$D$2:$AG$2,0)),Inputs!$B$4:$B$150,$B5)/1000)</f>
        <v>-5090</v>
      </c>
      <c r="Y5" s="11">
        <f>IF(Y$3=0,"",SUMIFS(INDEX(Inputs!$D$4:$AG$150,0,MATCH(Y$2,Inputs!$D$2:$AG$2,0)),Inputs!$B$4:$B$150,$B5)/1000)</f>
        <v>-5793</v>
      </c>
      <c r="Z5" s="11">
        <f>IF(Z$3=0,"",SUMIFS(INDEX(Inputs!$D$4:$AG$150,0,MATCH(Z$2,Inputs!$D$2:$AG$2,0)),Inputs!$B$4:$B$150,$B5)/1000)</f>
        <v>-6261</v>
      </c>
      <c r="AA5" s="11">
        <f>IF(AA$3=0,"",SUMIFS(INDEX(Inputs!$D$4:$AG$150,0,MATCH(AA$2,Inputs!$D$2:$AG$2,0)),Inputs!$B$4:$B$150,$B5)/1000)</f>
        <v>-5997</v>
      </c>
      <c r="AB5" s="12">
        <f>IF(COUNT(X5:AA5)=4,SUM(X5:AA5),"")</f>
        <v>-23141</v>
      </c>
      <c r="AC5" s="11">
        <f>IF(AC$3=0,"",SUMIFS(INDEX(Inputs!$D$4:$AG$150,0,MATCH(AC$2,Inputs!$D$2:$AG$2,0)),Inputs!$B$4:$B$150,$B5)/1000)</f>
        <v>-6105</v>
      </c>
      <c r="AD5" s="11">
        <f>IF(AD$3=0,"",SUMIFS(INDEX(Inputs!$D$4:$AG$150,0,MATCH(AD$2,Inputs!$D$2:$AG$2,0)),Inputs!$B$4:$B$150,$B5)/1000)</f>
        <v>-6400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563</v>
      </c>
      <c r="E6" s="11">
        <f>IF(E$3=0,"",SUMIFS(INDEX(Inputs!$D$4:$AG$150,0,MATCH(E$2,Inputs!$D$2:$AG$2,0)),Inputs!$B$4:$B$150,$B6)/1000)</f>
        <v>230</v>
      </c>
      <c r="F6" s="11">
        <f>IF(F$3=0,"",SUMIFS(INDEX(Inputs!$D$4:$AG$150,0,MATCH(F$2,Inputs!$D$2:$AG$2,0)),Inputs!$B$4:$B$150,$B6)/1000)</f>
        <v>664</v>
      </c>
      <c r="G6" s="11">
        <f>IF(G$3=0,"",SUMIFS(INDEX(Inputs!$D$4:$AG$150,0,MATCH(G$2,Inputs!$D$2:$AG$2,0)),Inputs!$B$4:$B$150,$B6)/1000)</f>
        <v>737</v>
      </c>
      <c r="H6" s="12">
        <f>IF(COUNT(D6:G6)=4,SUM(D6:G6),"")</f>
        <v>2194</v>
      </c>
      <c r="I6" s="11">
        <f>IF(I$3=0,"",SUMIFS(INDEX(Inputs!$D$4:$AG$150,0,MATCH(I$2,Inputs!$D$2:$AG$2,0)),Inputs!$B$4:$B$150,$B6)/1000)</f>
        <v>612</v>
      </c>
      <c r="J6" s="11">
        <f>IF(J$3=0,"",SUMIFS(INDEX(Inputs!$D$4:$AG$150,0,MATCH(J$2,Inputs!$D$2:$AG$2,0)),Inputs!$B$4:$B$150,$B6)/1000)</f>
        <v>790</v>
      </c>
      <c r="K6" s="11">
        <f>IF(K$3=0,"",SUMIFS(INDEX(Inputs!$D$4:$AG$150,0,MATCH(K$2,Inputs!$D$2:$AG$2,0)),Inputs!$B$4:$B$150,$B6)/1000)</f>
        <v>781</v>
      </c>
      <c r="L6" s="11">
        <f>IF(L$3=0,"",SUMIFS(INDEX(Inputs!$D$4:$AG$150,0,MATCH(L$2,Inputs!$D$2:$AG$2,0)),Inputs!$B$4:$B$150,$B6)/1000)</f>
        <v>819</v>
      </c>
      <c r="M6" s="12">
        <f>IF(COUNT(I6:L6)=4,SUM(I6:L6),"")</f>
        <v>3002</v>
      </c>
      <c r="N6" s="11">
        <f>IF(N$3=0,"",SUMIFS(INDEX(Inputs!$D$4:$AG$150,0,MATCH(N$2,Inputs!$D$2:$AG$2,0)),Inputs!$B$4:$B$150,$B6)/1000)</f>
        <v>845</v>
      </c>
      <c r="O6" s="11">
        <f>IF(O$3=0,"",SUMIFS(INDEX(Inputs!$D$4:$AG$150,0,MATCH(O$2,Inputs!$D$2:$AG$2,0)),Inputs!$B$4:$B$150,$B6)/1000)</f>
        <v>863</v>
      </c>
      <c r="P6" s="11">
        <f>IF(P$3=0,"",SUMIFS(INDEX(Inputs!$D$4:$AG$150,0,MATCH(P$2,Inputs!$D$2:$AG$2,0)),Inputs!$B$4:$B$150,$B6)/1000)</f>
        <v>900</v>
      </c>
      <c r="Q6" s="11">
        <f>IF(Q$3=0,"",SUMIFS(INDEX(Inputs!$D$4:$AG$150,0,MATCH(Q$2,Inputs!$D$2:$AG$2,0)),Inputs!$B$4:$B$150,$B6)/1000)</f>
        <v>822</v>
      </c>
      <c r="R6" s="12">
        <f>IF(COUNT(N6:Q6)=4,SUM(N6:Q6),"")</f>
        <v>3430</v>
      </c>
      <c r="S6" s="11">
        <f>IF(S$3=0,"",SUMIFS(INDEX(Inputs!$D$4:$AG$150,0,MATCH(S$2,Inputs!$D$2:$AG$2,0)),Inputs!$B$4:$B$150,$B6)/1000)</f>
        <v>1036</v>
      </c>
      <c r="T6" s="11">
        <f>IF(T$3=0,"",SUMIFS(INDEX(Inputs!$D$4:$AG$150,0,MATCH(T$2,Inputs!$D$2:$AG$2,0)),Inputs!$B$4:$B$150,$B6)/1000)</f>
        <v>842</v>
      </c>
      <c r="U6" s="11">
        <f>IF(U$3=0,"",SUMIFS(INDEX(Inputs!$D$4:$AG$150,0,MATCH(U$2,Inputs!$D$2:$AG$2,0)),Inputs!$B$4:$B$150,$B6)/1000)</f>
        <v>771</v>
      </c>
      <c r="V6" s="11">
        <f>IF(V$3=0,"",SUMIFS(INDEX(Inputs!$D$4:$AG$150,0,MATCH(V$2,Inputs!$D$2:$AG$2,0)),Inputs!$B$4:$B$150,$B6)/1000)</f>
        <v>856</v>
      </c>
      <c r="W6" s="12">
        <f>IF(COUNT(S6:V6)=4,SUM(S6:V6),"")</f>
        <v>3505</v>
      </c>
      <c r="X6" s="11">
        <f>IF(X$3=0,"",SUMIFS(INDEX(Inputs!$D$4:$AG$150,0,MATCH(X$2,Inputs!$D$2:$AG$2,0)),Inputs!$B$4:$B$150,$B6)/1000)</f>
        <v>889</v>
      </c>
      <c r="Y6" s="11">
        <f>IF(Y$3=0,"",SUMIFS(INDEX(Inputs!$D$4:$AG$150,0,MATCH(Y$2,Inputs!$D$2:$AG$2,0)),Inputs!$B$4:$B$150,$B6)/1000)</f>
        <v>755</v>
      </c>
      <c r="Z6" s="11">
        <f>IF(Z$3=0,"",SUMIFS(INDEX(Inputs!$D$4:$AG$150,0,MATCH(Z$2,Inputs!$D$2:$AG$2,0)),Inputs!$B$4:$B$150,$B6)/1000)</f>
        <v>749</v>
      </c>
      <c r="AA6" s="11">
        <f>IF(AA$3=0,"",SUMIFS(INDEX(Inputs!$D$4:$AG$150,0,MATCH(AA$2,Inputs!$D$2:$AG$2,0)),Inputs!$B$4:$B$150,$B6)/1000)</f>
        <v>702</v>
      </c>
      <c r="AB6" s="12">
        <f>IF(COUNT(X6:AA6)=4,SUM(X6:AA6),"")</f>
        <v>3095</v>
      </c>
      <c r="AC6" s="11">
        <f>IF(AC$3=0,"",SUMIFS(INDEX(Inputs!$D$4:$AG$150,0,MATCH(AC$2,Inputs!$D$2:$AG$2,0)),Inputs!$B$4:$B$150,$B6)/1000)</f>
        <v>666</v>
      </c>
      <c r="AD6" s="11">
        <f>IF(AD$3=0,"",SUMIFS(INDEX(Inputs!$D$4:$AG$150,0,MATCH(AD$2,Inputs!$D$2:$AG$2,0)),Inputs!$B$4:$B$150,$B6)/1000)</f>
        <v>626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-1549</v>
      </c>
      <c r="E7" s="11">
        <f>IF(E$3=0,"",SUMIFS(INDEX(Inputs!$D$4:$AG$150,0,MATCH(E$2,Inputs!$D$2:$AG$2,0)),Inputs!$B$4:$B$150,$B7)/1000)</f>
        <v>-1557</v>
      </c>
      <c r="F7" s="11">
        <f>IF(F$3=0,"",SUMIFS(INDEX(Inputs!$D$4:$AG$150,0,MATCH(F$2,Inputs!$D$2:$AG$2,0)),Inputs!$B$4:$B$150,$B7)/1000)</f>
        <v>-1621</v>
      </c>
      <c r="G7" s="11">
        <f>IF(G$3=0,"",SUMIFS(INDEX(Inputs!$D$4:$AG$150,0,MATCH(G$2,Inputs!$D$2:$AG$2,0)),Inputs!$B$4:$B$150,$B7)/1000)</f>
        <v>-1671</v>
      </c>
      <c r="H7" s="12">
        <f>IF(COUNT(D7:G7)=4,SUM(D7:G7),"")</f>
        <v>-6398</v>
      </c>
      <c r="I7" s="11">
        <f>IF(I$3=0,"",SUMIFS(INDEX(Inputs!$D$4:$AG$150,0,MATCH(I$2,Inputs!$D$2:$AG$2,0)),Inputs!$B$4:$B$150,$B7)/1000)</f>
        <v>-1742</v>
      </c>
      <c r="J7" s="11">
        <f>IF(J$3=0,"",SUMIFS(INDEX(Inputs!$D$4:$AG$150,0,MATCH(J$2,Inputs!$D$2:$AG$2,0)),Inputs!$B$4:$B$150,$B7)/1000)</f>
        <v>-1821</v>
      </c>
      <c r="K7" s="11">
        <f>IF(K$3=0,"",SUMIFS(INDEX(Inputs!$D$4:$AG$150,0,MATCH(K$2,Inputs!$D$2:$AG$2,0)),Inputs!$B$4:$B$150,$B7)/1000)</f>
        <v>-1882</v>
      </c>
      <c r="L7" s="11">
        <f>IF(L$3=0,"",SUMIFS(INDEX(Inputs!$D$4:$AG$150,0,MATCH(L$2,Inputs!$D$2:$AG$2,0)),Inputs!$B$4:$B$150,$B7)/1000)</f>
        <v>-1921</v>
      </c>
      <c r="M7" s="12">
        <f>IF(COUNT(I7:L7)=4,SUM(I7:L7),"")</f>
        <v>-7366</v>
      </c>
      <c r="N7" s="11">
        <f>IF(N$3=0,"",SUMIFS(INDEX(Inputs!$D$4:$AG$150,0,MATCH(N$2,Inputs!$D$2:$AG$2,0)),Inputs!$B$4:$B$150,$B7)/1000)</f>
        <v>-1942</v>
      </c>
      <c r="O7" s="11">
        <f>IF(O$3=0,"",SUMIFS(INDEX(Inputs!$D$4:$AG$150,0,MATCH(O$2,Inputs!$D$2:$AG$2,0)),Inputs!$B$4:$B$150,$B7)/1000)</f>
        <v>-1956</v>
      </c>
      <c r="P7" s="11">
        <f>IF(P$3=0,"",SUMIFS(INDEX(Inputs!$D$4:$AG$150,0,MATCH(P$2,Inputs!$D$2:$AG$2,0)),Inputs!$B$4:$B$150,$B7)/1000)</f>
        <v>-1937</v>
      </c>
      <c r="Q7" s="11">
        <f>IF(Q$3=0,"",SUMIFS(INDEX(Inputs!$D$4:$AG$150,0,MATCH(Q$2,Inputs!$D$2:$AG$2,0)),Inputs!$B$4:$B$150,$B7)/1000)</f>
        <v>-1915</v>
      </c>
      <c r="R7" s="12">
        <f>IF(COUNT(N7:Q7)=4,SUM(N7:Q7),"")</f>
        <v>-7750</v>
      </c>
      <c r="S7" s="11">
        <f>IF(S$3=0,"",SUMIFS(INDEX(Inputs!$D$4:$AG$150,0,MATCH(S$2,Inputs!$D$2:$AG$2,0)),Inputs!$B$4:$B$150,$B7)/1000)</f>
        <v>-1924</v>
      </c>
      <c r="T7" s="11">
        <f>IF(T$3=0,"",SUMIFS(INDEX(Inputs!$D$4:$AG$150,0,MATCH(T$2,Inputs!$D$2:$AG$2,0)),Inputs!$B$4:$B$150,$B7)/1000)</f>
        <v>-1955</v>
      </c>
      <c r="U7" s="11">
        <f>IF(U$3=0,"",SUMIFS(INDEX(Inputs!$D$4:$AG$150,0,MATCH(U$2,Inputs!$D$2:$AG$2,0)),Inputs!$B$4:$B$150,$B7)/1000)</f>
        <v>-1986</v>
      </c>
      <c r="V7" s="11">
        <f>IF(V$3=0,"",SUMIFS(INDEX(Inputs!$D$4:$AG$150,0,MATCH(V$2,Inputs!$D$2:$AG$2,0)),Inputs!$B$4:$B$150,$B7)/1000)</f>
        <v>-2030</v>
      </c>
      <c r="W7" s="12">
        <f>IF(COUNT(S7:V7)=4,SUM(S7:V7),"")</f>
        <v>-7895</v>
      </c>
      <c r="X7" s="11">
        <f>IF(X$3=0,"",SUMIFS(INDEX(Inputs!$D$4:$AG$150,0,MATCH(X$2,Inputs!$D$2:$AG$2,0)),Inputs!$B$4:$B$150,$B7)/1000)</f>
        <v>-2079</v>
      </c>
      <c r="Y7" s="11">
        <f>IF(Y$3=0,"",SUMIFS(INDEX(Inputs!$D$4:$AG$150,0,MATCH(Y$2,Inputs!$D$2:$AG$2,0)),Inputs!$B$4:$B$150,$B7)/1000)</f>
        <v>-2094</v>
      </c>
      <c r="Z7" s="11">
        <f>IF(Z$3=0,"",SUMIFS(INDEX(Inputs!$D$4:$AG$150,0,MATCH(Z$2,Inputs!$D$2:$AG$2,0)),Inputs!$B$4:$B$150,$B7)/1000)</f>
        <v>-2149</v>
      </c>
      <c r="AA7" s="11">
        <f>IF(AA$3=0,"",SUMIFS(INDEX(Inputs!$D$4:$AG$150,0,MATCH(AA$2,Inputs!$D$2:$AG$2,0)),Inputs!$B$4:$B$150,$B7)/1000)</f>
        <v>-2212</v>
      </c>
      <c r="AB7" s="12">
        <f>IF(COUNT(X7:AA7)=4,SUM(X7:AA7),"")</f>
        <v>-8534</v>
      </c>
      <c r="AC7" s="11">
        <f>IF(AC$3=0,"",SUMIFS(INDEX(Inputs!$D$4:$AG$150,0,MATCH(AC$2,Inputs!$D$2:$AG$2,0)),Inputs!$B$4:$B$150,$B7)/1000)</f>
        <v>-2286</v>
      </c>
      <c r="AD7" s="11">
        <f>IF(AD$3=0,"",SUMIFS(INDEX(Inputs!$D$4:$AG$150,0,MATCH(AD$2,Inputs!$D$2:$AG$2,0)),Inputs!$B$4:$B$150,$B7)/1000)</f>
        <v>-2364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-42</v>
      </c>
      <c r="E8" s="11">
        <f>IF(E$3=0,"",SUMIFS(INDEX(Inputs!$D$4:$AG$150,0,MATCH(E$2,Inputs!$D$2:$AG$2,0)),Inputs!$B$4:$B$150,$B8)/1000)</f>
        <v>-46</v>
      </c>
      <c r="F8" s="11">
        <f>IF(F$3=0,"",SUMIFS(INDEX(Inputs!$D$4:$AG$150,0,MATCH(F$2,Inputs!$D$2:$AG$2,0)),Inputs!$B$4:$B$150,$B8)/1000)</f>
        <v>-47</v>
      </c>
      <c r="G8" s="11">
        <f>IF(G$3=0,"",SUMIFS(INDEX(Inputs!$D$4:$AG$150,0,MATCH(G$2,Inputs!$D$2:$AG$2,0)),Inputs!$B$4:$B$150,$B8)/1000)</f>
        <v>-45</v>
      </c>
      <c r="H8" s="12">
        <f>IF(COUNT(D8:G8)=4,SUM(D8:G8),"")</f>
        <v>-180</v>
      </c>
      <c r="I8" s="11">
        <f>IF(I$3=0,"",SUMIFS(INDEX(Inputs!$D$4:$AG$150,0,MATCH(I$2,Inputs!$D$2:$AG$2,0)),Inputs!$B$4:$B$150,$B8)/1000)</f>
        <v>-55</v>
      </c>
      <c r="J8" s="11">
        <f>IF(J$3=0,"",SUMIFS(INDEX(Inputs!$D$4:$AG$150,0,MATCH(J$2,Inputs!$D$2:$AG$2,0)),Inputs!$B$4:$B$150,$B8)/1000)</f>
        <v>-44</v>
      </c>
      <c r="K8" s="11">
        <f>IF(K$3=0,"",SUMIFS(INDEX(Inputs!$D$4:$AG$150,0,MATCH(K$2,Inputs!$D$2:$AG$2,0)),Inputs!$B$4:$B$150,$B8)/1000)</f>
        <v>-45</v>
      </c>
      <c r="L8" s="11">
        <f>IF(L$3=0,"",SUMIFS(INDEX(Inputs!$D$4:$AG$150,0,MATCH(L$2,Inputs!$D$2:$AG$2,0)),Inputs!$B$4:$B$150,$B8)/1000)</f>
        <v>-51</v>
      </c>
      <c r="M8" s="12">
        <f>IF(COUNT(I8:L8)=4,SUM(I8:L8),"")</f>
        <v>-195</v>
      </c>
      <c r="N8" s="11">
        <f>IF(N$3=0,"",SUMIFS(INDEX(Inputs!$D$4:$AG$150,0,MATCH(N$2,Inputs!$D$2:$AG$2,0)),Inputs!$B$4:$B$150,$B8)/1000)</f>
        <v>-89</v>
      </c>
      <c r="O8" s="11">
        <f>IF(O$3=0,"",SUMIFS(INDEX(Inputs!$D$4:$AG$150,0,MATCH(O$2,Inputs!$D$2:$AG$2,0)),Inputs!$B$4:$B$150,$B8)/1000)</f>
        <v>-119</v>
      </c>
      <c r="P8" s="11">
        <f>IF(P$3=0,"",SUMIFS(INDEX(Inputs!$D$4:$AG$150,0,MATCH(P$2,Inputs!$D$2:$AG$2,0)),Inputs!$B$4:$B$150,$B8)/1000)</f>
        <v>-129</v>
      </c>
      <c r="Q8" s="11">
        <f>IF(Q$3=0,"",SUMIFS(INDEX(Inputs!$D$4:$AG$150,0,MATCH(Q$2,Inputs!$D$2:$AG$2,0)),Inputs!$B$4:$B$150,$B8)/1000)</f>
        <v>-132</v>
      </c>
      <c r="R8" s="12">
        <f>IF(COUNT(N8:Q8)=4,SUM(N8:Q8),"")</f>
        <v>-469</v>
      </c>
      <c r="S8" s="11">
        <f>IF(S$3=0,"",SUMIFS(INDEX(Inputs!$D$4:$AG$150,0,MATCH(S$2,Inputs!$D$2:$AG$2,0)),Inputs!$B$4:$B$150,$B8)/1000)</f>
        <v>-144</v>
      </c>
      <c r="T8" s="11">
        <f>IF(T$3=0,"",SUMIFS(INDEX(Inputs!$D$4:$AG$150,0,MATCH(T$2,Inputs!$D$2:$AG$2,0)),Inputs!$B$4:$B$150,$B8)/1000)</f>
        <v>-150</v>
      </c>
      <c r="U8" s="11">
        <f>IF(U$3=0,"",SUMIFS(INDEX(Inputs!$D$4:$AG$150,0,MATCH(U$2,Inputs!$D$2:$AG$2,0)),Inputs!$B$4:$B$150,$B8)/1000)</f>
        <v>-136</v>
      </c>
      <c r="V8" s="11">
        <f>IF(V$3=0,"",SUMIFS(INDEX(Inputs!$D$4:$AG$150,0,MATCH(V$2,Inputs!$D$2:$AG$2,0)),Inputs!$B$4:$B$150,$B8)/1000)</f>
        <v>-118</v>
      </c>
      <c r="W8" s="12">
        <f>IF(COUNT(S8:V8)=4,SUM(S8:V8),"")</f>
        <v>-548</v>
      </c>
      <c r="X8" s="11">
        <f>IF(X$3=0,"",SUMIFS(INDEX(Inputs!$D$4:$AG$150,0,MATCH(X$2,Inputs!$D$2:$AG$2,0)),Inputs!$B$4:$B$150,$B8)/1000)</f>
        <v>-112</v>
      </c>
      <c r="Y8" s="11">
        <f>IF(Y$3=0,"",SUMIFS(INDEX(Inputs!$D$4:$AG$150,0,MATCH(Y$2,Inputs!$D$2:$AG$2,0)),Inputs!$B$4:$B$150,$B8)/1000)</f>
        <v>-123</v>
      </c>
      <c r="Z8" s="11">
        <f>IF(Z$3=0,"",SUMIFS(INDEX(Inputs!$D$4:$AG$150,0,MATCH(Z$2,Inputs!$D$2:$AG$2,0)),Inputs!$B$4:$B$150,$B8)/1000)</f>
        <v>-124</v>
      </c>
      <c r="AA8" s="11">
        <f>IF(AA$3=0,"",SUMIFS(INDEX(Inputs!$D$4:$AG$150,0,MATCH(AA$2,Inputs!$D$2:$AG$2,0)),Inputs!$B$4:$B$150,$B8)/1000)</f>
        <v>-74</v>
      </c>
      <c r="AB8" s="12">
        <f>IF(COUNT(X8:AA8)=4,SUM(X8:AA8),"")</f>
        <v>-433</v>
      </c>
      <c r="AC8" s="11">
        <f>IF(AC$3=0,"",SUMIFS(INDEX(Inputs!$D$4:$AG$150,0,MATCH(AC$2,Inputs!$D$2:$AG$2,0)),Inputs!$B$4:$B$150,$B8)/1000)</f>
        <v>-32</v>
      </c>
      <c r="AD8" s="11">
        <f>IF(AD$3=0,"",SUMIFS(INDEX(Inputs!$D$4:$AG$150,0,MATCH(AD$2,Inputs!$D$2:$AG$2,0)),Inputs!$B$4:$B$150,$B8)/1000)</f>
        <v>0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14</v>
      </c>
      <c r="E9" s="11">
        <f>IF(E$3=0,"",SUMIFS(INDEX(Inputs!$D$4:$AG$150,0,MATCH(E$2,Inputs!$D$2:$AG$2,0)),Inputs!$B$4:$B$150,$B9)/1000)</f>
        <v>53</v>
      </c>
      <c r="F9" s="11">
        <f>IF(F$3=0,"",SUMIFS(INDEX(Inputs!$D$4:$AG$150,0,MATCH(F$2,Inputs!$D$2:$AG$2,0)),Inputs!$B$4:$B$150,$B9)/1000)</f>
        <v>28</v>
      </c>
      <c r="G9" s="11">
        <f>IF(G$3=0,"",SUMIFS(INDEX(Inputs!$D$4:$AG$150,0,MATCH(G$2,Inputs!$D$2:$AG$2,0)),Inputs!$B$4:$B$150,$B9)/1000)</f>
        <v>-65</v>
      </c>
      <c r="H9" s="12">
        <f>IF(COUNT(D9:G9)=4,SUM(D9:G9),"")</f>
        <v>30</v>
      </c>
      <c r="I9" s="11">
        <f>IF(I$3=0,"",SUMIFS(INDEX(Inputs!$D$4:$AG$150,0,MATCH(I$2,Inputs!$D$2:$AG$2,0)),Inputs!$B$4:$B$150,$B9)/1000)</f>
        <v>18</v>
      </c>
      <c r="J9" s="11">
        <f>IF(J$3=0,"",SUMIFS(INDEX(Inputs!$D$4:$AG$150,0,MATCH(J$2,Inputs!$D$2:$AG$2,0)),Inputs!$B$4:$B$150,$B9)/1000)</f>
        <v>28</v>
      </c>
      <c r="K9" s="11">
        <f>IF(K$3=0,"",SUMIFS(INDEX(Inputs!$D$4:$AG$150,0,MATCH(K$2,Inputs!$D$2:$AG$2,0)),Inputs!$B$4:$B$150,$B9)/1000)</f>
        <v>77</v>
      </c>
      <c r="L9" s="11">
        <f>IF(L$3=0,"",SUMIFS(INDEX(Inputs!$D$4:$AG$150,0,MATCH(L$2,Inputs!$D$2:$AG$2,0)),Inputs!$B$4:$B$150,$B9)/1000)</f>
        <v>84</v>
      </c>
      <c r="M9" s="12">
        <f>IF(COUNT(I9:L9)=4,SUM(I9:L9),"")</f>
        <v>207</v>
      </c>
      <c r="N9" s="11">
        <f>IF(N$3=0,"",SUMIFS(INDEX(Inputs!$D$4:$AG$150,0,MATCH(N$2,Inputs!$D$2:$AG$2,0)),Inputs!$B$4:$B$150,$B9)/1000)</f>
        <v>121</v>
      </c>
      <c r="O9" s="11">
        <f>IF(O$3=0,"",SUMIFS(INDEX(Inputs!$D$4:$AG$150,0,MATCH(O$2,Inputs!$D$2:$AG$2,0)),Inputs!$B$4:$B$150,$B9)/1000)</f>
        <v>127</v>
      </c>
      <c r="P9" s="11">
        <f>IF(P$3=0,"",SUMIFS(INDEX(Inputs!$D$4:$AG$150,0,MATCH(P$2,Inputs!$D$2:$AG$2,0)),Inputs!$B$4:$B$150,$B9)/1000)</f>
        <v>143</v>
      </c>
      <c r="Q9" s="11">
        <f>IF(Q$3=0,"",SUMIFS(INDEX(Inputs!$D$4:$AG$150,0,MATCH(Q$2,Inputs!$D$2:$AG$2,0)),Inputs!$B$4:$B$150,$B9)/1000)</f>
        <v>105</v>
      </c>
      <c r="R9" s="12">
        <f>IF(COUNT(N9:Q9)=4,SUM(N9:Q9),"")</f>
        <v>496</v>
      </c>
      <c r="S9" s="11">
        <f>IF(S$3=0,"",SUMIFS(INDEX(Inputs!$D$4:$AG$150,0,MATCH(S$2,Inputs!$D$2:$AG$2,0)),Inputs!$B$4:$B$150,$B9)/1000)</f>
        <v>123</v>
      </c>
      <c r="T9" s="11">
        <f>IF(T$3=0,"",SUMIFS(INDEX(Inputs!$D$4:$AG$150,0,MATCH(T$2,Inputs!$D$2:$AG$2,0)),Inputs!$B$4:$B$150,$B9)/1000)</f>
        <v>146</v>
      </c>
      <c r="U9" s="11">
        <f>IF(U$3=0,"",SUMIFS(INDEX(Inputs!$D$4:$AG$150,0,MATCH(U$2,Inputs!$D$2:$AG$2,0)),Inputs!$B$4:$B$150,$B9)/1000)</f>
        <v>124</v>
      </c>
      <c r="V9" s="11">
        <f>IF(V$3=0,"",SUMIFS(INDEX(Inputs!$D$4:$AG$150,0,MATCH(V$2,Inputs!$D$2:$AG$2,0)),Inputs!$B$4:$B$150,$B9)/1000)</f>
        <v>96</v>
      </c>
      <c r="W9" s="12">
        <f>IF(COUNT(S9:V9)=4,SUM(S9:V9),"")</f>
        <v>489</v>
      </c>
      <c r="X9" s="11">
        <f>IF(X$3=0,"",SUMIFS(INDEX(Inputs!$D$4:$AG$150,0,MATCH(X$2,Inputs!$D$2:$AG$2,0)),Inputs!$B$4:$B$150,$B9)/1000)</f>
        <v>97</v>
      </c>
      <c r="Y9" s="11">
        <f>IF(Y$3=0,"",SUMIFS(INDEX(Inputs!$D$4:$AG$150,0,MATCH(Y$2,Inputs!$D$2:$AG$2,0)),Inputs!$B$4:$B$150,$B9)/1000)</f>
        <v>67</v>
      </c>
      <c r="Z9" s="11">
        <f>IF(Z$3=0,"",SUMIFS(INDEX(Inputs!$D$4:$AG$150,0,MATCH(Z$2,Inputs!$D$2:$AG$2,0)),Inputs!$B$4:$B$150,$B9)/1000)</f>
        <v>101</v>
      </c>
      <c r="AA9" s="11">
        <f>IF(AA$3=0,"",SUMIFS(INDEX(Inputs!$D$4:$AG$150,0,MATCH(AA$2,Inputs!$D$2:$AG$2,0)),Inputs!$B$4:$B$150,$B9)/1000)</f>
        <v>-1</v>
      </c>
      <c r="AB9" s="12">
        <f>IF(COUNT(X9:AA9)=4,SUM(X9:AA9),"")</f>
        <v>264</v>
      </c>
      <c r="AC9" s="11">
        <f>IF(AC$3=0,"",SUMIFS(INDEX(Inputs!$D$4:$AG$150,0,MATCH(AC$2,Inputs!$D$2:$AG$2,0)),Inputs!$B$4:$B$150,$B9)/1000)</f>
        <v>57</v>
      </c>
      <c r="AD9" s="11">
        <f>IF(AD$3=0,"",SUMIFS(INDEX(Inputs!$D$4:$AG$150,0,MATCH(AD$2,Inputs!$D$2:$AG$2,0)),Inputs!$B$4:$B$150,$B9)/1000)</f>
        <v>-106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-48</v>
      </c>
      <c r="E10" s="11">
        <f>IF(E$3=0,"",SUMIFS(INDEX(Inputs!$D$4:$AG$150,0,MATCH(E$2,Inputs!$D$2:$AG$2,0)),Inputs!$B$4:$B$150,$B10)/1000)</f>
        <v>-65</v>
      </c>
      <c r="F10" s="11">
        <f>IF(F$3=0,"",SUMIFS(INDEX(Inputs!$D$4:$AG$150,0,MATCH(F$2,Inputs!$D$2:$AG$2,0)),Inputs!$B$4:$B$150,$B10)/1000)</f>
        <v>-230</v>
      </c>
      <c r="G10" s="11">
        <f>IF(G$3=0,"",SUMIFS(INDEX(Inputs!$D$4:$AG$150,0,MATCH(G$2,Inputs!$D$2:$AG$2,0)),Inputs!$B$4:$B$150,$B10)/1000)</f>
        <v>-219</v>
      </c>
      <c r="H10" s="12">
        <f>IF(COUNT(D10:G10)=4,SUM(D10:G10),"")</f>
        <v>-562</v>
      </c>
      <c r="I10" s="11">
        <f>IF(I$3=0,"",SUMIFS(INDEX(Inputs!$D$4:$AG$150,0,MATCH(I$2,Inputs!$D$2:$AG$2,0)),Inputs!$B$4:$B$150,$B10)/1000)</f>
        <v>-255</v>
      </c>
      <c r="J10" s="11">
        <f>IF(J$3=0,"",SUMIFS(INDEX(Inputs!$D$4:$AG$150,0,MATCH(J$2,Inputs!$D$2:$AG$2,0)),Inputs!$B$4:$B$150,$B10)/1000)</f>
        <v>-358</v>
      </c>
      <c r="K10" s="11">
        <f>IF(K$3=0,"",SUMIFS(INDEX(Inputs!$D$4:$AG$150,0,MATCH(K$2,Inputs!$D$2:$AG$2,0)),Inputs!$B$4:$B$150,$B10)/1000)</f>
        <v>-56</v>
      </c>
      <c r="L10" s="11">
        <f>IF(L$3=0,"",SUMIFS(INDEX(Inputs!$D$4:$AG$150,0,MATCH(L$2,Inputs!$D$2:$AG$2,0)),Inputs!$B$4:$B$150,$B10)/1000)</f>
        <v>-8</v>
      </c>
      <c r="M10" s="12">
        <f>IF(COUNT(I10:L10)=4,SUM(I10:L10),"")</f>
        <v>-677</v>
      </c>
      <c r="N10" s="11">
        <f>IF(N$3=0,"",SUMIFS(INDEX(Inputs!$D$4:$AG$150,0,MATCH(N$2,Inputs!$D$2:$AG$2,0)),Inputs!$B$4:$B$150,$B10)/1000)</f>
        <v>-54</v>
      </c>
      <c r="O10" s="11">
        <f>IF(O$3=0,"",SUMIFS(INDEX(Inputs!$D$4:$AG$150,0,MATCH(O$2,Inputs!$D$2:$AG$2,0)),Inputs!$B$4:$B$150,$B10)/1000)</f>
        <v>-139</v>
      </c>
      <c r="P10" s="11">
        <f>IF(P$3=0,"",SUMIFS(INDEX(Inputs!$D$4:$AG$150,0,MATCH(P$2,Inputs!$D$2:$AG$2,0)),Inputs!$B$4:$B$150,$B10)/1000)</f>
        <v>24</v>
      </c>
      <c r="Q10" s="11">
        <f>IF(Q$3=0,"",SUMIFS(INDEX(Inputs!$D$4:$AG$150,0,MATCH(Q$2,Inputs!$D$2:$AG$2,0)),Inputs!$B$4:$B$150,$B10)/1000)</f>
        <v>-73</v>
      </c>
      <c r="R10" s="12">
        <f>IF(COUNT(N10:Q10)=4,SUM(N10:Q10),"")</f>
        <v>-242</v>
      </c>
      <c r="S10" s="11">
        <f>IF(S$3=0,"",SUMIFS(INDEX(Inputs!$D$4:$AG$150,0,MATCH(S$2,Inputs!$D$2:$AG$2,0)),Inputs!$B$4:$B$150,$B10)/1000)</f>
        <v>622</v>
      </c>
      <c r="T10" s="11">
        <f>IF(T$3=0,"",SUMIFS(INDEX(Inputs!$D$4:$AG$150,0,MATCH(T$2,Inputs!$D$2:$AG$2,0)),Inputs!$B$4:$B$150,$B10)/1000)</f>
        <v>-377</v>
      </c>
      <c r="U10" s="11">
        <f>IF(U$3=0,"",SUMIFS(INDEX(Inputs!$D$4:$AG$150,0,MATCH(U$2,Inputs!$D$2:$AG$2,0)),Inputs!$B$4:$B$150,$B10)/1000)</f>
        <v>-623</v>
      </c>
      <c r="V10" s="11">
        <f>IF(V$3=0,"",SUMIFS(INDEX(Inputs!$D$4:$AG$150,0,MATCH(V$2,Inputs!$D$2:$AG$2,0)),Inputs!$B$4:$B$150,$B10)/1000)</f>
        <v>-283</v>
      </c>
      <c r="W10" s="12">
        <f>IF(COUNT(S10:V10)=4,SUM(S10:V10),"")</f>
        <v>-661</v>
      </c>
      <c r="X10" s="11">
        <f>IF(X$3=0,"",SUMIFS(INDEX(Inputs!$D$4:$AG$150,0,MATCH(X$2,Inputs!$D$2:$AG$2,0)),Inputs!$B$4:$B$150,$B10)/1000)</f>
        <v>-177</v>
      </c>
      <c r="Y10" s="11">
        <f>IF(Y$3=0,"",SUMIFS(INDEX(Inputs!$D$4:$AG$150,0,MATCH(Y$2,Inputs!$D$2:$AG$2,0)),Inputs!$B$4:$B$150,$B10)/1000)</f>
        <v>-235</v>
      </c>
      <c r="Z10" s="11">
        <f>IF(Z$3=0,"",SUMIFS(INDEX(Inputs!$D$4:$AG$150,0,MATCH(Z$2,Inputs!$D$2:$AG$2,0)),Inputs!$B$4:$B$150,$B10)/1000)</f>
        <v>-429</v>
      </c>
      <c r="AA10" s="11">
        <f>IF(AA$3=0,"",SUMIFS(INDEX(Inputs!$D$4:$AG$150,0,MATCH(AA$2,Inputs!$D$2:$AG$2,0)),Inputs!$B$4:$B$150,$B10)/1000)</f>
        <v>-829</v>
      </c>
      <c r="AB10" s="12">
        <f>IF(COUNT(X10:AA10)=4,SUM(X10:AA10),"")</f>
        <v>-1670</v>
      </c>
      <c r="AC10" s="11">
        <f>IF(AC$3=0,"",SUMIFS(INDEX(Inputs!$D$4:$AG$150,0,MATCH(AC$2,Inputs!$D$2:$AG$2,0)),Inputs!$B$4:$B$150,$B10)/1000)</f>
        <v>-2371</v>
      </c>
      <c r="AD10" s="11">
        <f>IF(AD$3=0,"",SUMIFS(INDEX(Inputs!$D$4:$AG$150,0,MATCH(AD$2,Inputs!$D$2:$AG$2,0)),Inputs!$B$4:$B$150,$B10)/1000)</f>
        <v>-4978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16</v>
      </c>
      <c r="E11" s="11">
        <f>IF(E$3=0,"",SUMIFS(INDEX(Inputs!$D$4:$AG$150,0,MATCH(E$2,Inputs!$D$2:$AG$2,0)),Inputs!$B$4:$B$150,$B11)/1000)</f>
        <v>-6</v>
      </c>
      <c r="F11" s="11">
        <f>IF(F$3=0,"",SUMIFS(INDEX(Inputs!$D$4:$AG$150,0,MATCH(F$2,Inputs!$D$2:$AG$2,0)),Inputs!$B$4:$B$150,$B11)/1000)</f>
        <v>14</v>
      </c>
      <c r="G11" s="11">
        <f>IF(G$3=0,"",SUMIFS(INDEX(Inputs!$D$4:$AG$150,0,MATCH(G$2,Inputs!$D$2:$AG$2,0)),Inputs!$B$4:$B$150,$B11)/1000)</f>
        <v>4</v>
      </c>
      <c r="H11" s="12">
        <f>IF(COUNT(D11:G11)=4,SUM(D11:G11),"")</f>
        <v>28</v>
      </c>
      <c r="I11" s="11">
        <f>IF(I$3=0,"",SUMIFS(INDEX(Inputs!$D$4:$AG$150,0,MATCH(I$2,Inputs!$D$2:$AG$2,0)),Inputs!$B$4:$B$150,$B11)/1000)</f>
        <v>9</v>
      </c>
      <c r="J11" s="11">
        <f>IF(J$3=0,"",SUMIFS(INDEX(Inputs!$D$4:$AG$150,0,MATCH(J$2,Inputs!$D$2:$AG$2,0)),Inputs!$B$4:$B$150,$B11)/1000)</f>
        <v>-4</v>
      </c>
      <c r="K11" s="11">
        <f>IF(K$3=0,"",SUMIFS(INDEX(Inputs!$D$4:$AG$150,0,MATCH(K$2,Inputs!$D$2:$AG$2,0)),Inputs!$B$4:$B$150,$B11)/1000)</f>
        <v>-5</v>
      </c>
      <c r="L11" s="11">
        <f>IF(L$3=0,"",SUMIFS(INDEX(Inputs!$D$4:$AG$150,0,MATCH(L$2,Inputs!$D$2:$AG$2,0)),Inputs!$B$4:$B$150,$B11)/1000)</f>
        <v>-11</v>
      </c>
      <c r="M11" s="12">
        <f>IF(COUNT(I11:L11)=4,SUM(I11:L11),"")</f>
        <v>-11</v>
      </c>
      <c r="N11" s="11">
        <f>IF(N$3=0,"",SUMIFS(INDEX(Inputs!$D$4:$AG$150,0,MATCH(N$2,Inputs!$D$2:$AG$2,0)),Inputs!$B$4:$B$150,$B11)/1000)</f>
        <v>13</v>
      </c>
      <c r="O11" s="11">
        <f>IF(O$3=0,"",SUMIFS(INDEX(Inputs!$D$4:$AG$150,0,MATCH(O$2,Inputs!$D$2:$AG$2,0)),Inputs!$B$4:$B$150,$B11)/1000)</f>
        <v>-4</v>
      </c>
      <c r="P11" s="11">
        <f>IF(P$3=0,"",SUMIFS(INDEX(Inputs!$D$4:$AG$150,0,MATCH(P$2,Inputs!$D$2:$AG$2,0)),Inputs!$B$4:$B$150,$B11)/1000)</f>
        <v>4</v>
      </c>
      <c r="Q11" s="11">
        <f>IF(Q$3=0,"",SUMIFS(INDEX(Inputs!$D$4:$AG$150,0,MATCH(Q$2,Inputs!$D$2:$AG$2,0)),Inputs!$B$4:$B$150,$B11)/1000)</f>
        <v>-6</v>
      </c>
      <c r="R11" s="12">
        <f>IF(COUNT(N11:Q11)=4,SUM(N11:Q11),"")</f>
        <v>7</v>
      </c>
      <c r="S11" s="11">
        <f>IF(S$3=0,"",SUMIFS(INDEX(Inputs!$D$4:$AG$150,0,MATCH(S$2,Inputs!$D$2:$AG$2,0)),Inputs!$B$4:$B$150,$B11)/1000)</f>
        <v>1</v>
      </c>
      <c r="T11" s="11">
        <f>IF(T$3=0,"",SUMIFS(INDEX(Inputs!$D$4:$AG$150,0,MATCH(T$2,Inputs!$D$2:$AG$2,0)),Inputs!$B$4:$B$150,$B11)/1000)</f>
        <v>-6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1</v>
      </c>
      <c r="W11" s="12">
        <f>IF(COUNT(S11:V11)=4,SUM(S11:V11),"")</f>
        <v>-4</v>
      </c>
      <c r="X11" s="11">
        <f>IF(X$3=0,"",SUMIFS(INDEX(Inputs!$D$4:$AG$150,0,MATCH(X$2,Inputs!$D$2:$AG$2,0)),Inputs!$B$4:$B$150,$B11)/1000)</f>
        <v>2</v>
      </c>
      <c r="Y11" s="11">
        <f>IF(Y$3=0,"",SUMIFS(INDEX(Inputs!$D$4:$AG$150,0,MATCH(Y$2,Inputs!$D$2:$AG$2,0)),Inputs!$B$4:$B$150,$B11)/1000)</f>
        <v>7</v>
      </c>
      <c r="Z11" s="11">
        <f>IF(Z$3=0,"",SUMIFS(INDEX(Inputs!$D$4:$AG$150,0,MATCH(Z$2,Inputs!$D$2:$AG$2,0)),Inputs!$B$4:$B$150,$B11)/1000)</f>
        <v>-1</v>
      </c>
      <c r="AA11" s="11">
        <f>IF(AA$3=0,"",SUMIFS(INDEX(Inputs!$D$4:$AG$150,0,MATCH(AA$2,Inputs!$D$2:$AG$2,0)),Inputs!$B$4:$B$150,$B11)/1000)</f>
        <v>8</v>
      </c>
      <c r="AB11" s="12">
        <f>IF(COUNT(X11:AA11)=4,SUM(X11:AA11),"")</f>
        <v>16</v>
      </c>
      <c r="AC11" s="11">
        <f>IF(AC$3=0,"",SUMIFS(INDEX(Inputs!$D$4:$AG$150,0,MATCH(AC$2,Inputs!$D$2:$AG$2,0)),Inputs!$B$4:$B$150,$B11)/1000)</f>
        <v>-4</v>
      </c>
      <c r="AD11" s="11">
        <f>IF(AD$3=0,"",SUMIFS(INDEX(Inputs!$D$4:$AG$150,0,MATCH(AD$2,Inputs!$D$2:$AG$2,0)),Inputs!$B$4:$B$150,$B11)/1000)</f>
        <v>9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-112</v>
      </c>
      <c r="H13" s="12">
        <f>IF(COUNT(D13:G13)=4,SUM(D13:G13),"")</f>
        <v>-112</v>
      </c>
      <c r="I13" s="11">
        <f>IF(I$3=0,"",SUMIFS(INDEX(Inputs!$D$4:$AG$150,0,MATCH(I$2,Inputs!$D$2:$AG$2,0)),Inputs!$B$4:$B$150,$B13)/1000)</f>
        <v>-112</v>
      </c>
      <c r="J13" s="11">
        <f>IF(J$3=0,"",SUMIFS(INDEX(Inputs!$D$4:$AG$150,0,MATCH(J$2,Inputs!$D$2:$AG$2,0)),Inputs!$B$4:$B$150,$B13)/1000)</f>
        <v>-111</v>
      </c>
      <c r="K13" s="11">
        <f>IF(K$3=0,"",SUMIFS(INDEX(Inputs!$D$4:$AG$150,0,MATCH(K$2,Inputs!$D$2:$AG$2,0)),Inputs!$B$4:$B$150,$B13)/1000)</f>
        <v>-126</v>
      </c>
      <c r="L13" s="11">
        <f>IF(L$3=0,"",SUMIFS(INDEX(Inputs!$D$4:$AG$150,0,MATCH(L$2,Inputs!$D$2:$AG$2,0)),Inputs!$B$4:$B$150,$B13)/1000)</f>
        <v>-126</v>
      </c>
      <c r="M13" s="12">
        <f>IF(COUNT(I13:L13)=4,SUM(I13:L13),"")</f>
        <v>-475</v>
      </c>
      <c r="N13" s="11">
        <f>IF(N$3=0,"",SUMIFS(INDEX(Inputs!$D$4:$AG$150,0,MATCH(N$2,Inputs!$D$2:$AG$2,0)),Inputs!$B$4:$B$150,$B13)/1000)</f>
        <v>-126</v>
      </c>
      <c r="O13" s="11">
        <f>IF(O$3=0,"",SUMIFS(INDEX(Inputs!$D$4:$AG$150,0,MATCH(O$2,Inputs!$D$2:$AG$2,0)),Inputs!$B$4:$B$150,$B13)/1000)</f>
        <v>-126</v>
      </c>
      <c r="P13" s="11">
        <f>IF(P$3=0,"",SUMIFS(INDEX(Inputs!$D$4:$AG$150,0,MATCH(P$2,Inputs!$D$2:$AG$2,0)),Inputs!$B$4:$B$150,$B13)/1000)</f>
        <v>-126</v>
      </c>
      <c r="Q13" s="11">
        <f>IF(Q$3=0,"",SUMIFS(INDEX(Inputs!$D$4:$AG$150,0,MATCH(Q$2,Inputs!$D$2:$AG$2,0)),Inputs!$B$4:$B$150,$B13)/1000)</f>
        <v>-129</v>
      </c>
      <c r="R13" s="12">
        <f>IF(COUNT(N13:Q13)=4,SUM(N13:Q13),"")</f>
        <v>-507</v>
      </c>
      <c r="S13" s="11">
        <f>IF(S$3=0,"",SUMIFS(INDEX(Inputs!$D$4:$AG$150,0,MATCH(S$2,Inputs!$D$2:$AG$2,0)),Inputs!$B$4:$B$150,$B13)/1000)</f>
        <v>-127</v>
      </c>
      <c r="T13" s="11">
        <f>IF(T$3=0,"",SUMIFS(INDEX(Inputs!$D$4:$AG$150,0,MATCH(T$2,Inputs!$D$2:$AG$2,0)),Inputs!$B$4:$B$150,$B13)/1000)</f>
        <v>-128</v>
      </c>
      <c r="U13" s="11">
        <f>IF(U$3=0,"",SUMIFS(INDEX(Inputs!$D$4:$AG$150,0,MATCH(U$2,Inputs!$D$2:$AG$2,0)),Inputs!$B$4:$B$150,$B13)/1000)</f>
        <v>-129</v>
      </c>
      <c r="V13" s="11">
        <f>IF(V$3=0,"",SUMIFS(INDEX(Inputs!$D$4:$AG$150,0,MATCH(V$2,Inputs!$D$2:$AG$2,0)),Inputs!$B$4:$B$150,$B13)/1000)</f>
        <v>-131</v>
      </c>
      <c r="W13" s="12">
        <f>IF(COUNT(S13:V13)=4,SUM(S13:V13),"")</f>
        <v>-515</v>
      </c>
      <c r="X13" s="11">
        <f>IF(X$3=0,"",SUMIFS(INDEX(Inputs!$D$4:$AG$150,0,MATCH(X$2,Inputs!$D$2:$AG$2,0)),Inputs!$B$4:$B$150,$B13)/1000)</f>
        <v>-130</v>
      </c>
      <c r="Y13" s="11">
        <f>IF(Y$3=0,"",SUMIFS(INDEX(Inputs!$D$4:$AG$150,0,MATCH(Y$2,Inputs!$D$2:$AG$2,0)),Inputs!$B$4:$B$150,$B13)/1000)</f>
        <v>-131</v>
      </c>
      <c r="Z13" s="11">
        <f>IF(Z$3=0,"",SUMIFS(INDEX(Inputs!$D$4:$AG$150,0,MATCH(Z$2,Inputs!$D$2:$AG$2,0)),Inputs!$B$4:$B$150,$B13)/1000)</f>
        <v>-130</v>
      </c>
      <c r="AA13" s="11">
        <f>IF(AA$3=0,"",SUMIFS(INDEX(Inputs!$D$4:$AG$150,0,MATCH(AA$2,Inputs!$D$2:$AG$2,0)),Inputs!$B$4:$B$150,$B13)/1000)</f>
        <v>-134</v>
      </c>
      <c r="AB13" s="12">
        <f>IF(COUNT(X13:AA13)=4,SUM(X13:AA13),"")</f>
        <v>-525</v>
      </c>
      <c r="AC13" s="11">
        <f>IF(AC$3=0,"",SUMIFS(INDEX(Inputs!$D$4:$AG$150,0,MATCH(AC$2,Inputs!$D$2:$AG$2,0)),Inputs!$B$4:$B$150,$B13)/1000)</f>
        <v>-132</v>
      </c>
      <c r="AD13" s="11">
        <f>IF(AD$3=0,"",SUMIFS(INDEX(Inputs!$D$4:$AG$150,0,MATCH(AD$2,Inputs!$D$2:$AG$2,0)),Inputs!$B$4:$B$150,$B13)/1000)</f>
        <v>-171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7184</v>
      </c>
      <c r="E15" s="11">
        <f>IF(E$3=0,"",SUMIFS(INDEX(Inputs!$D$4:$AG$150,0,MATCH(E$2,Inputs!$D$2:$AG$2,0)),Inputs!$B$4:$B$150,$B15)/1000)</f>
        <v>8349</v>
      </c>
      <c r="F15" s="11">
        <f>IF(F$3=0,"",SUMIFS(INDEX(Inputs!$D$4:$AG$150,0,MATCH(F$2,Inputs!$D$2:$AG$2,0)),Inputs!$B$4:$B$150,$B15)/1000)</f>
        <v>8633</v>
      </c>
      <c r="G15" s="11">
        <f>IF(G$3=0,"",SUMIFS(INDEX(Inputs!$D$4:$AG$150,0,MATCH(G$2,Inputs!$D$2:$AG$2,0)),Inputs!$B$4:$B$150,$B15)/1000)</f>
        <v>9580</v>
      </c>
      <c r="H15" s="12">
        <f>IF(G15="","",G15)</f>
        <v>9580</v>
      </c>
      <c r="I15" s="11">
        <f>IF(I$3=0,"",SUMIFS(INDEX(Inputs!$D$4:$AG$150,0,MATCH(I$2,Inputs!$D$2:$AG$2,0)),Inputs!$B$4:$B$150,$B15)/1000)</f>
        <v>10122</v>
      </c>
      <c r="J15" s="11">
        <f>IF(J$3=0,"",SUMIFS(INDEX(Inputs!$D$4:$AG$150,0,MATCH(J$2,Inputs!$D$2:$AG$2,0)),Inputs!$B$4:$B$150,$B15)/1000)</f>
        <v>10227</v>
      </c>
      <c r="K15" s="11">
        <f>IF(K$3=0,"",SUMIFS(INDEX(Inputs!$D$4:$AG$150,0,MATCH(K$2,Inputs!$D$2:$AG$2,0)),Inputs!$B$4:$B$150,$B15)/1000)</f>
        <v>9331</v>
      </c>
      <c r="L15" s="11">
        <f>IF(L$3=0,"",SUMIFS(INDEX(Inputs!$D$4:$AG$150,0,MATCH(L$2,Inputs!$D$2:$AG$2,0)),Inputs!$B$4:$B$150,$B15)/1000)</f>
        <v>10581</v>
      </c>
      <c r="M15" s="12">
        <f>IF(L15="","",L15)</f>
        <v>10581</v>
      </c>
      <c r="N15" s="11">
        <f>IF(N$3=0,"",SUMIFS(INDEX(Inputs!$D$4:$AG$150,0,MATCH(N$2,Inputs!$D$2:$AG$2,0)),Inputs!$B$4:$B$150,$B15)/1000)</f>
        <v>10818</v>
      </c>
      <c r="O15" s="11">
        <f>IF(O$3=0,"",SUMIFS(INDEX(Inputs!$D$4:$AG$150,0,MATCH(O$2,Inputs!$D$2:$AG$2,0)),Inputs!$B$4:$B$150,$B15)/1000)</f>
        <v>10352</v>
      </c>
      <c r="P15" s="11">
        <f>IF(P$3=0,"",SUMIFS(INDEX(Inputs!$D$4:$AG$150,0,MATCH(P$2,Inputs!$D$2:$AG$2,0)),Inputs!$B$4:$B$150,$B15)/1000)</f>
        <v>9594</v>
      </c>
      <c r="Q15" s="11">
        <f>IF(Q$3=0,"",SUMIFS(INDEX(Inputs!$D$4:$AG$150,0,MATCH(Q$2,Inputs!$D$2:$AG$2,0)),Inputs!$B$4:$B$150,$B15)/1000)</f>
        <v>9048</v>
      </c>
      <c r="R15" s="12">
        <f>IF(Q15="","",Q15)</f>
        <v>9048</v>
      </c>
      <c r="S15" s="11">
        <f>IF(S$3=0,"",SUMIFS(INDEX(Inputs!$D$4:$AG$150,0,MATCH(S$2,Inputs!$D$2:$AG$2,0)),Inputs!$B$4:$B$150,$B15)/1000)</f>
        <v>9006</v>
      </c>
      <c r="T15" s="11">
        <f>IF(T$3=0,"",SUMIFS(INDEX(Inputs!$D$4:$AG$150,0,MATCH(T$2,Inputs!$D$2:$AG$2,0)),Inputs!$B$4:$B$150,$B15)/1000)</f>
        <v>8379</v>
      </c>
      <c r="U15" s="11">
        <f>IF(U$3=0,"",SUMIFS(INDEX(Inputs!$D$4:$AG$150,0,MATCH(U$2,Inputs!$D$2:$AG$2,0)),Inputs!$B$4:$B$150,$B15)/1000)</f>
        <v>8106</v>
      </c>
      <c r="V15" s="11">
        <f>IF(V$3=0,"",SUMIFS(INDEX(Inputs!$D$4:$AG$150,0,MATCH(V$2,Inputs!$D$2:$AG$2,0)),Inputs!$B$4:$B$150,$B15)/1000)</f>
        <v>7588</v>
      </c>
      <c r="W15" s="12">
        <f>IF(V15="","",V15)</f>
        <v>7588</v>
      </c>
      <c r="X15" s="11">
        <f>IF(X$3=0,"",SUMIFS(INDEX(Inputs!$D$4:$AG$150,0,MATCH(X$2,Inputs!$D$2:$AG$2,0)),Inputs!$B$4:$B$150,$B15)/1000)</f>
        <v>8215</v>
      </c>
      <c r="Y15" s="11">
        <f>IF(Y$3=0,"",SUMIFS(INDEX(Inputs!$D$4:$AG$150,0,MATCH(Y$2,Inputs!$D$2:$AG$2,0)),Inputs!$B$4:$B$150,$B15)/1000)</f>
        <v>10811</v>
      </c>
      <c r="Z15" s="11">
        <f>IF(Z$3=0,"",SUMIFS(INDEX(Inputs!$D$4:$AG$150,0,MATCH(Z$2,Inputs!$D$2:$AG$2,0)),Inputs!$B$4:$B$150,$B15)/1000)</f>
        <v>10307</v>
      </c>
      <c r="AA15" s="11">
        <f>IF(AA$3=0,"",SUMIFS(INDEX(Inputs!$D$4:$AG$150,0,MATCH(AA$2,Inputs!$D$2:$AG$2,0)),Inputs!$B$4:$B$150,$B15)/1000)</f>
        <v>10318</v>
      </c>
      <c r="AB15" s="12">
        <f>IF(AA15="","",AA15)</f>
        <v>10318</v>
      </c>
      <c r="AC15" s="11">
        <f>IF(AC$3=0,"",SUMIFS(INDEX(Inputs!$D$4:$AG$150,0,MATCH(AC$2,Inputs!$D$2:$AG$2,0)),Inputs!$B$4:$B$150,$B15)/1000)</f>
        <v>14589</v>
      </c>
      <c r="AD15" s="11">
        <f>IF(AD$3=0,"",SUMIFS(INDEX(Inputs!$D$4:$AG$150,0,MATCH(AD$2,Inputs!$D$2:$AG$2,0)),Inputs!$B$4:$B$150,$B15)/1000)</f>
        <v>26022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3353</v>
      </c>
      <c r="E16" s="11">
        <f>IF(E$3=0,"",SUMIFS(INDEX(Inputs!$D$4:$AG$150,0,MATCH(E$2,Inputs!$D$2:$AG$2,0)),Inputs!$B$4:$B$150,$B16)/1000)</f>
        <v>4231</v>
      </c>
      <c r="F16" s="11">
        <f>IF(F$3=0,"",SUMIFS(INDEX(Inputs!$D$4:$AG$150,0,MATCH(F$2,Inputs!$D$2:$AG$2,0)),Inputs!$B$4:$B$150,$B16)/1000)</f>
        <v>5311</v>
      </c>
      <c r="G16" s="11">
        <f>IF(G$3=0,"",SUMIFS(INDEX(Inputs!$D$4:$AG$150,0,MATCH(G$2,Inputs!$D$2:$AG$2,0)),Inputs!$B$4:$B$150,$B16)/1000)</f>
        <v>5250</v>
      </c>
      <c r="H16" s="12">
        <f>IF(G16="","",G16)</f>
        <v>5250</v>
      </c>
      <c r="I16" s="11">
        <f>IF(I$3=0,"",SUMIFS(INDEX(Inputs!$D$4:$AG$150,0,MATCH(I$2,Inputs!$D$2:$AG$2,0)),Inputs!$B$4:$B$150,$B16)/1000)</f>
        <v>5384</v>
      </c>
      <c r="J16" s="11">
        <f>IF(J$3=0,"",SUMIFS(INDEX(Inputs!$D$4:$AG$150,0,MATCH(J$2,Inputs!$D$2:$AG$2,0)),Inputs!$B$4:$B$150,$B16)/1000)</f>
        <v>6229</v>
      </c>
      <c r="K16" s="11">
        <f>IF(K$3=0,"",SUMIFS(INDEX(Inputs!$D$4:$AG$150,0,MATCH(K$2,Inputs!$D$2:$AG$2,0)),Inputs!$B$4:$B$150,$B16)/1000)</f>
        <v>5130</v>
      </c>
      <c r="L16" s="11">
        <f>IF(L$3=0,"",SUMIFS(INDEX(Inputs!$D$4:$AG$150,0,MATCH(L$2,Inputs!$D$2:$AG$2,0)),Inputs!$B$4:$B$150,$B16)/1000)</f>
        <v>3318</v>
      </c>
      <c r="M16" s="12">
        <f>IF(L16="","",L16)</f>
        <v>3318</v>
      </c>
      <c r="N16" s="11">
        <f>IF(N$3=0,"",SUMIFS(INDEX(Inputs!$D$4:$AG$150,0,MATCH(N$2,Inputs!$D$2:$AG$2,0)),Inputs!$B$4:$B$150,$B16)/1000)</f>
        <v>2278</v>
      </c>
      <c r="O16" s="11">
        <f>IF(O$3=0,"",SUMIFS(INDEX(Inputs!$D$4:$AG$150,0,MATCH(O$2,Inputs!$D$2:$AG$2,0)),Inputs!$B$4:$B$150,$B16)/1000)</f>
        <v>2429</v>
      </c>
      <c r="P16" s="11">
        <f>IF(P$3=0,"",SUMIFS(INDEX(Inputs!$D$4:$AG$150,0,MATCH(P$2,Inputs!$D$2:$AG$2,0)),Inputs!$B$4:$B$150,$B16)/1000)</f>
        <v>2443</v>
      </c>
      <c r="Q16" s="11">
        <f>IF(Q$3=0,"",SUMIFS(INDEX(Inputs!$D$4:$AG$150,0,MATCH(Q$2,Inputs!$D$2:$AG$2,0)),Inputs!$B$4:$B$150,$B16)/1000)</f>
        <v>2943</v>
      </c>
      <c r="R16" s="12">
        <f>IF(Q16="","",Q16)</f>
        <v>2943</v>
      </c>
      <c r="S16" s="11">
        <f>IF(S$3=0,"",SUMIFS(INDEX(Inputs!$D$4:$AG$150,0,MATCH(S$2,Inputs!$D$2:$AG$2,0)),Inputs!$B$4:$B$150,$B16)/1000)</f>
        <v>4296</v>
      </c>
      <c r="T16" s="11">
        <f>IF(T$3=0,"",SUMIFS(INDEX(Inputs!$D$4:$AG$150,0,MATCH(T$2,Inputs!$D$2:$AG$2,0)),Inputs!$B$4:$B$150,$B16)/1000)</f>
        <v>5131</v>
      </c>
      <c r="U16" s="11">
        <f>IF(U$3=0,"",SUMIFS(INDEX(Inputs!$D$4:$AG$150,0,MATCH(U$2,Inputs!$D$2:$AG$2,0)),Inputs!$B$4:$B$150,$B16)/1000)</f>
        <v>6615</v>
      </c>
      <c r="V16" s="11">
        <f>IF(V$3=0,"",SUMIFS(INDEX(Inputs!$D$4:$AG$150,0,MATCH(V$2,Inputs!$D$2:$AG$2,0)),Inputs!$B$4:$B$150,$B16)/1000)</f>
        <v>7423</v>
      </c>
      <c r="W16" s="12">
        <f>IF(V16="","",V16)</f>
        <v>7423</v>
      </c>
      <c r="X16" s="11">
        <f>IF(X$3=0,"",SUMIFS(INDEX(Inputs!$D$4:$AG$150,0,MATCH(X$2,Inputs!$D$2:$AG$2,0)),Inputs!$B$4:$B$150,$B16)/1000)</f>
        <v>6504</v>
      </c>
      <c r="Y16" s="11">
        <f>IF(Y$3=0,"",SUMIFS(INDEX(Inputs!$D$4:$AG$150,0,MATCH(Y$2,Inputs!$D$2:$AG$2,0)),Inputs!$B$4:$B$150,$B16)/1000)</f>
        <v>7436</v>
      </c>
      <c r="Z16" s="11">
        <f>IF(Z$3=0,"",SUMIFS(INDEX(Inputs!$D$4:$AG$150,0,MATCH(Z$2,Inputs!$D$2:$AG$2,0)),Inputs!$B$4:$B$150,$B16)/1000)</f>
        <v>9265</v>
      </c>
      <c r="AA16" s="11">
        <f>IF(AA$3=0,"",SUMIFS(INDEX(Inputs!$D$4:$AG$150,0,MATCH(AA$2,Inputs!$D$2:$AG$2,0)),Inputs!$B$4:$B$150,$B16)/1000)</f>
        <v>10184</v>
      </c>
      <c r="AB16" s="12">
        <f>IF(AA16="","",AA16)</f>
        <v>10184</v>
      </c>
      <c r="AC16" s="11">
        <f>IF(AC$3=0,"",SUMIFS(INDEX(Inputs!$D$4:$AG$150,0,MATCH(AC$2,Inputs!$D$2:$AG$2,0)),Inputs!$B$4:$B$150,$B16)/1000)</f>
        <v>17314</v>
      </c>
      <c r="AD16" s="11">
        <f>IF(AD$3=0,"",SUMIFS(INDEX(Inputs!$D$4:$AG$150,0,MATCH(AD$2,Inputs!$D$2:$AG$2,0)),Inputs!$B$4:$B$150,$B16)/1000)</f>
        <v>31025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4743</v>
      </c>
      <c r="E17" s="11">
        <f>IF(E$3=0,"",SUMIFS(INDEX(Inputs!$D$4:$AG$150,0,MATCH(E$2,Inputs!$D$2:$AG$2,0)),Inputs!$B$4:$B$150,$B17)/1000)</f>
        <v>4537</v>
      </c>
      <c r="F17" s="11">
        <f>IF(F$3=0,"",SUMIFS(INDEX(Inputs!$D$4:$AG$150,0,MATCH(F$2,Inputs!$D$2:$AG$2,0)),Inputs!$B$4:$B$150,$B17)/1000)</f>
        <v>4487</v>
      </c>
      <c r="G17" s="11">
        <f>IF(G$3=0,"",SUMIFS(INDEX(Inputs!$D$4:$AG$150,0,MATCH(G$2,Inputs!$D$2:$AG$2,0)),Inputs!$B$4:$B$150,$B17)/1000)</f>
        <v>4827</v>
      </c>
      <c r="H17" s="12">
        <f>IF(G17="","",G17)</f>
        <v>4827</v>
      </c>
      <c r="I17" s="11">
        <f>IF(I$3=0,"",SUMIFS(INDEX(Inputs!$D$4:$AG$150,0,MATCH(I$2,Inputs!$D$2:$AG$2,0)),Inputs!$B$4:$B$150,$B17)/1000)</f>
        <v>5383</v>
      </c>
      <c r="J17" s="11">
        <f>IF(J$3=0,"",SUMIFS(INDEX(Inputs!$D$4:$AG$150,0,MATCH(J$2,Inputs!$D$2:$AG$2,0)),Inputs!$B$4:$B$150,$B17)/1000)</f>
        <v>5629</v>
      </c>
      <c r="K17" s="11">
        <f>IF(K$3=0,"",SUMIFS(INDEX(Inputs!$D$4:$AG$150,0,MATCH(K$2,Inputs!$D$2:$AG$2,0)),Inputs!$B$4:$B$150,$B17)/1000)</f>
        <v>6663</v>
      </c>
      <c r="L17" s="11">
        <f>IF(L$3=0,"",SUMIFS(INDEX(Inputs!$D$4:$AG$150,0,MATCH(L$2,Inputs!$D$2:$AG$2,0)),Inputs!$B$4:$B$150,$B17)/1000)</f>
        <v>8359</v>
      </c>
      <c r="M17" s="12">
        <f>IF(L17="","",L17)</f>
        <v>8359</v>
      </c>
      <c r="N17" s="11">
        <f>IF(N$3=0,"",SUMIFS(INDEX(Inputs!$D$4:$AG$150,0,MATCH(N$2,Inputs!$D$2:$AG$2,0)),Inputs!$B$4:$B$150,$B17)/1000)</f>
        <v>8129</v>
      </c>
      <c r="O17" s="11">
        <f>IF(O$3=0,"",SUMIFS(INDEX(Inputs!$D$4:$AG$150,0,MATCH(O$2,Inputs!$D$2:$AG$2,0)),Inputs!$B$4:$B$150,$B17)/1000)</f>
        <v>8238</v>
      </c>
      <c r="P17" s="11">
        <f>IF(P$3=0,"",SUMIFS(INDEX(Inputs!$D$4:$AG$150,0,MATCH(P$2,Inputs!$D$2:$AG$2,0)),Inputs!$B$4:$B$150,$B17)/1000)</f>
        <v>8387</v>
      </c>
      <c r="Q17" s="11">
        <f>IF(Q$3=0,"",SUMIFS(INDEX(Inputs!$D$4:$AG$150,0,MATCH(Q$2,Inputs!$D$2:$AG$2,0)),Inputs!$B$4:$B$150,$B17)/1000)</f>
        <v>8276</v>
      </c>
      <c r="R17" s="12">
        <f>IF(Q17="","",Q17)</f>
        <v>8276</v>
      </c>
      <c r="S17" s="11">
        <f>IF(S$3=0,"",SUMIFS(INDEX(Inputs!$D$4:$AG$150,0,MATCH(S$2,Inputs!$D$2:$AG$2,0)),Inputs!$B$4:$B$150,$B17)/1000)</f>
        <v>8443</v>
      </c>
      <c r="T17" s="11">
        <f>IF(T$3=0,"",SUMIFS(INDEX(Inputs!$D$4:$AG$150,0,MATCH(T$2,Inputs!$D$2:$AG$2,0)),Inputs!$B$4:$B$150,$B17)/1000)</f>
        <v>8512</v>
      </c>
      <c r="U17" s="11">
        <f>IF(U$3=0,"",SUMIFS(INDEX(Inputs!$D$4:$AG$150,0,MATCH(U$2,Inputs!$D$2:$AG$2,0)),Inputs!$B$4:$B$150,$B17)/1000)</f>
        <v>8875</v>
      </c>
      <c r="V17" s="11">
        <f>IF(V$3=0,"",SUMIFS(INDEX(Inputs!$D$4:$AG$150,0,MATCH(V$2,Inputs!$D$2:$AG$2,0)),Inputs!$B$4:$B$150,$B17)/1000)</f>
        <v>8705</v>
      </c>
      <c r="W17" s="12">
        <f>IF(V17="","",V17)</f>
        <v>8705</v>
      </c>
      <c r="X17" s="11">
        <f>IF(X$3=0,"",SUMIFS(INDEX(Inputs!$D$4:$AG$150,0,MATCH(X$2,Inputs!$D$2:$AG$2,0)),Inputs!$B$4:$B$150,$B17)/1000)</f>
        <v>9007</v>
      </c>
      <c r="Y17" s="11">
        <f>IF(Y$3=0,"",SUMIFS(INDEX(Inputs!$D$4:$AG$150,0,MATCH(Y$2,Inputs!$D$2:$AG$2,0)),Inputs!$B$4:$B$150,$B17)/1000)</f>
        <v>8727</v>
      </c>
      <c r="Z17" s="11">
        <f>IF(Z$3=0,"",SUMIFS(INDEX(Inputs!$D$4:$AG$150,0,MATCH(Z$2,Inputs!$D$2:$AG$2,0)),Inputs!$B$4:$B$150,$B17)/1000)</f>
        <v>8355</v>
      </c>
      <c r="AA17" s="11">
        <f>IF(AA$3=0,"",SUMIFS(INDEX(Inputs!$D$4:$AG$150,0,MATCH(AA$2,Inputs!$D$2:$AG$2,0)),Inputs!$B$4:$B$150,$B17)/1000)</f>
        <v>8205</v>
      </c>
      <c r="AB17" s="12">
        <f>IF(AA17="","",AA17)</f>
        <v>8205</v>
      </c>
      <c r="AC17" s="11">
        <f>IF(AC$3=0,"",SUMIFS(INDEX(Inputs!$D$4:$AG$150,0,MATCH(AC$2,Inputs!$D$2:$AG$2,0)),Inputs!$B$4:$B$150,$B17)/1000)</f>
        <v>8267</v>
      </c>
      <c r="AD17" s="11">
        <f>IF(AD$3=0,"",SUMIFS(INDEX(Inputs!$D$4:$AG$150,0,MATCH(AD$2,Inputs!$D$2:$AG$2,0)),Inputs!$B$4:$B$150,$B17)/1000)</f>
        <v>8567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726</v>
      </c>
      <c r="E18" s="11">
        <f>IF(E$3=0,"",SUMIFS(INDEX(Inputs!$D$4:$AG$150,0,MATCH(E$2,Inputs!$D$2:$AG$2,0)),Inputs!$B$4:$B$150,$B18)/1000)</f>
        <v>822</v>
      </c>
      <c r="F18" s="11">
        <f>IF(F$3=0,"",SUMIFS(INDEX(Inputs!$D$4:$AG$150,0,MATCH(F$2,Inputs!$D$2:$AG$2,0)),Inputs!$B$4:$B$150,$B18)/1000)</f>
        <v>782</v>
      </c>
      <c r="G18" s="11">
        <f>IF(G$3=0,"",SUMIFS(INDEX(Inputs!$D$4:$AG$150,0,MATCH(G$2,Inputs!$D$2:$AG$2,0)),Inputs!$B$4:$B$150,$B18)/1000)</f>
        <v>746</v>
      </c>
      <c r="H18" s="12">
        <f>IF(G18="","",G18)</f>
        <v>746</v>
      </c>
      <c r="I18" s="11">
        <f>IF(I$3=0,"",SUMIFS(INDEX(Inputs!$D$4:$AG$150,0,MATCH(I$2,Inputs!$D$2:$AG$2,0)),Inputs!$B$4:$B$150,$B18)/1000)</f>
        <v>762</v>
      </c>
      <c r="J18" s="11">
        <f>IF(J$3=0,"",SUMIFS(INDEX(Inputs!$D$4:$AG$150,0,MATCH(J$2,Inputs!$D$2:$AG$2,0)),Inputs!$B$4:$B$150,$B18)/1000)</f>
        <v>682</v>
      </c>
      <c r="K18" s="11">
        <f>IF(K$3=0,"",SUMIFS(INDEX(Inputs!$D$4:$AG$150,0,MATCH(K$2,Inputs!$D$2:$AG$2,0)),Inputs!$B$4:$B$150,$B18)/1000)</f>
        <v>702</v>
      </c>
      <c r="L18" s="11">
        <f>IF(L$3=0,"",SUMIFS(INDEX(Inputs!$D$4:$AG$150,0,MATCH(L$2,Inputs!$D$2:$AG$2,0)),Inputs!$B$4:$B$150,$B18)/1000)</f>
        <v>672</v>
      </c>
      <c r="M18" s="12">
        <f>IF(L18="","",L18)</f>
        <v>672</v>
      </c>
      <c r="N18" s="11">
        <f>IF(N$3=0,"",SUMIFS(INDEX(Inputs!$D$4:$AG$150,0,MATCH(N$2,Inputs!$D$2:$AG$2,0)),Inputs!$B$4:$B$150,$B18)/1000)</f>
        <v>697</v>
      </c>
      <c r="O18" s="11">
        <f>IF(O$3=0,"",SUMIFS(INDEX(Inputs!$D$4:$AG$150,0,MATCH(O$2,Inputs!$D$2:$AG$2,0)),Inputs!$B$4:$B$150,$B18)/1000)</f>
        <v>708</v>
      </c>
      <c r="P18" s="11">
        <f>IF(P$3=0,"",SUMIFS(INDEX(Inputs!$D$4:$AG$150,0,MATCH(P$2,Inputs!$D$2:$AG$2,0)),Inputs!$B$4:$B$150,$B18)/1000)</f>
        <v>756</v>
      </c>
      <c r="Q18" s="11">
        <f>IF(Q$3=0,"",SUMIFS(INDEX(Inputs!$D$4:$AG$150,0,MATCH(Q$2,Inputs!$D$2:$AG$2,0)),Inputs!$B$4:$B$150,$B18)/1000)</f>
        <v>781</v>
      </c>
      <c r="R18" s="12">
        <f>IF(Q18="","",Q18)</f>
        <v>781</v>
      </c>
      <c r="S18" s="11">
        <f>IF(S$3=0,"",SUMIFS(INDEX(Inputs!$D$4:$AG$150,0,MATCH(S$2,Inputs!$D$2:$AG$2,0)),Inputs!$B$4:$B$150,$B18)/1000)</f>
        <v>664</v>
      </c>
      <c r="T18" s="11">
        <f>IF(T$3=0,"",SUMIFS(INDEX(Inputs!$D$4:$AG$150,0,MATCH(T$2,Inputs!$D$2:$AG$2,0)),Inputs!$B$4:$B$150,$B18)/1000)</f>
        <v>597</v>
      </c>
      <c r="U18" s="11">
        <f>IF(U$3=0,"",SUMIFS(INDEX(Inputs!$D$4:$AG$150,0,MATCH(U$2,Inputs!$D$2:$AG$2,0)),Inputs!$B$4:$B$150,$B18)/1000)</f>
        <v>520</v>
      </c>
      <c r="V18" s="11">
        <f>IF(V$3=0,"",SUMIFS(INDEX(Inputs!$D$4:$AG$150,0,MATCH(V$2,Inputs!$D$2:$AG$2,0)),Inputs!$B$4:$B$150,$B18)/1000)</f>
        <v>474</v>
      </c>
      <c r="W18" s="12">
        <f>IF(V18="","",V18)</f>
        <v>474</v>
      </c>
      <c r="X18" s="11">
        <f>IF(X$3=0,"",SUMIFS(INDEX(Inputs!$D$4:$AG$150,0,MATCH(X$2,Inputs!$D$2:$AG$2,0)),Inputs!$B$4:$B$150,$B18)/1000)</f>
        <v>552</v>
      </c>
      <c r="Y18" s="11">
        <f>IF(Y$3=0,"",SUMIFS(INDEX(Inputs!$D$4:$AG$150,0,MATCH(Y$2,Inputs!$D$2:$AG$2,0)),Inputs!$B$4:$B$150,$B18)/1000)</f>
        <v>483</v>
      </c>
      <c r="Z18" s="11">
        <f>IF(Z$3=0,"",SUMIFS(INDEX(Inputs!$D$4:$AG$150,0,MATCH(Z$2,Inputs!$D$2:$AG$2,0)),Inputs!$B$4:$B$150,$B18)/1000)</f>
        <v>616</v>
      </c>
      <c r="AA18" s="11">
        <f>IF(AA$3=0,"",SUMIFS(INDEX(Inputs!$D$4:$AG$150,0,MATCH(AA$2,Inputs!$D$2:$AG$2,0)),Inputs!$B$4:$B$150,$B18)/1000)</f>
        <v>641</v>
      </c>
      <c r="AB18" s="12">
        <f>IF(AA18="","",AA18)</f>
        <v>641</v>
      </c>
      <c r="AC18" s="11">
        <f>IF(AC$3=0,"",SUMIFS(INDEX(Inputs!$D$4:$AG$150,0,MATCH(AC$2,Inputs!$D$2:$AG$2,0)),Inputs!$B$4:$B$150,$B18)/1000)</f>
        <v>680</v>
      </c>
      <c r="AD18" s="11">
        <f>IF(AD$3=0,"",SUMIFS(INDEX(Inputs!$D$4:$AG$150,0,MATCH(AD$2,Inputs!$D$2:$AG$2,0)),Inputs!$B$4:$B$150,$B18)/1000)</f>
        <v>700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1999</v>
      </c>
      <c r="E20" s="11">
        <f>IF(E$3=0,"",SUMIFS(INDEX(Inputs!$D$4:$AG$150,0,MATCH(E$2,Inputs!$D$2:$AG$2,0)),Inputs!$B$4:$B$150,$B20)/1000)</f>
        <v>1444</v>
      </c>
      <c r="F20" s="11">
        <f>IF(F$3=0,"",SUMIFS(INDEX(Inputs!$D$4:$AG$150,0,MATCH(F$2,Inputs!$D$2:$AG$2,0)),Inputs!$B$4:$B$150,$B20)/1000)</f>
        <v>1476</v>
      </c>
      <c r="G20" s="11">
        <f>IF(G$3=0,"",SUMIFS(INDEX(Inputs!$D$4:$AG$150,0,MATCH(G$2,Inputs!$D$2:$AG$2,0)),Inputs!$B$4:$B$150,$B20)/1000)</f>
        <v>534</v>
      </c>
      <c r="H20" s="12">
        <f>IF(G20="","",G20)</f>
        <v>534</v>
      </c>
      <c r="I20" s="11">
        <f>IF(I$3=0,"",SUMIFS(INDEX(Inputs!$D$4:$AG$150,0,MATCH(I$2,Inputs!$D$2:$AG$2,0)),Inputs!$B$4:$B$150,$B20)/1000)</f>
        <v>613</v>
      </c>
      <c r="J20" s="11">
        <f>IF(J$3=0,"",SUMIFS(INDEX(Inputs!$D$4:$AG$150,0,MATCH(J$2,Inputs!$D$2:$AG$2,0)),Inputs!$B$4:$B$150,$B20)/1000)</f>
        <v>623</v>
      </c>
      <c r="K20" s="11">
        <f>IF(K$3=0,"",SUMIFS(INDEX(Inputs!$D$4:$AG$150,0,MATCH(K$2,Inputs!$D$2:$AG$2,0)),Inputs!$B$4:$B$150,$B20)/1000)</f>
        <v>657</v>
      </c>
      <c r="L20" s="11">
        <f>IF(L$3=0,"",SUMIFS(INDEX(Inputs!$D$4:$AG$150,0,MATCH(L$2,Inputs!$D$2:$AG$2,0)),Inputs!$B$4:$B$150,$B20)/1000)</f>
        <v>663</v>
      </c>
      <c r="M20" s="12">
        <f>IF(L20="","",L20)</f>
        <v>663</v>
      </c>
      <c r="N20" s="11">
        <f>IF(N$3=0,"",SUMIFS(INDEX(Inputs!$D$4:$AG$150,0,MATCH(N$2,Inputs!$D$2:$AG$2,0)),Inputs!$B$4:$B$150,$B20)/1000)</f>
        <v>673</v>
      </c>
      <c r="O20" s="11">
        <f>IF(O$3=0,"",SUMIFS(INDEX(Inputs!$D$4:$AG$150,0,MATCH(O$2,Inputs!$D$2:$AG$2,0)),Inputs!$B$4:$B$150,$B20)/1000)</f>
        <v>715</v>
      </c>
      <c r="P20" s="11">
        <f>IF(P$3=0,"",SUMIFS(INDEX(Inputs!$D$4:$AG$150,0,MATCH(P$2,Inputs!$D$2:$AG$2,0)),Inputs!$B$4:$B$150,$B20)/1000)</f>
        <v>820</v>
      </c>
      <c r="Q20" s="11">
        <f>IF(Q$3=0,"",SUMIFS(INDEX(Inputs!$D$4:$AG$150,0,MATCH(Q$2,Inputs!$D$2:$AG$2,0)),Inputs!$B$4:$B$150,$B20)/1000)</f>
        <v>791</v>
      </c>
      <c r="R20" s="12">
        <f>IF(Q20="","",Q20)</f>
        <v>791</v>
      </c>
      <c r="S20" s="11">
        <f>IF(S$3=0,"",SUMIFS(INDEX(Inputs!$D$4:$AG$150,0,MATCH(S$2,Inputs!$D$2:$AG$2,0)),Inputs!$B$4:$B$150,$B20)/1000)</f>
        <v>1690</v>
      </c>
      <c r="T20" s="11">
        <f>IF(T$3=0,"",SUMIFS(INDEX(Inputs!$D$4:$AG$150,0,MATCH(T$2,Inputs!$D$2:$AG$2,0)),Inputs!$B$4:$B$150,$B20)/1000)</f>
        <v>1297</v>
      </c>
      <c r="U20" s="11">
        <f>IF(U$3=0,"",SUMIFS(INDEX(Inputs!$D$4:$AG$150,0,MATCH(U$2,Inputs!$D$2:$AG$2,0)),Inputs!$B$4:$B$150,$B20)/1000)</f>
        <v>776</v>
      </c>
      <c r="V20" s="11">
        <f>IF(V$3=0,"",SUMIFS(INDEX(Inputs!$D$4:$AG$150,0,MATCH(V$2,Inputs!$D$2:$AG$2,0)),Inputs!$B$4:$B$150,$B20)/1000)</f>
        <v>777</v>
      </c>
      <c r="W20" s="12">
        <f>IF(V20="","",V20)</f>
        <v>777</v>
      </c>
      <c r="X20" s="11">
        <f>IF(X$3=0,"",SUMIFS(INDEX(Inputs!$D$4:$AG$150,0,MATCH(X$2,Inputs!$D$2:$AG$2,0)),Inputs!$B$4:$B$150,$B20)/1000)</f>
        <v>963</v>
      </c>
      <c r="Y20" s="11">
        <f>IF(Y$3=0,"",SUMIFS(INDEX(Inputs!$D$4:$AG$150,0,MATCH(Y$2,Inputs!$D$2:$AG$2,0)),Inputs!$B$4:$B$150,$B20)/1000)</f>
        <v>945</v>
      </c>
      <c r="Z20" s="11">
        <f>IF(Z$3=0,"",SUMIFS(INDEX(Inputs!$D$4:$AG$150,0,MATCH(Z$2,Inputs!$D$2:$AG$2,0)),Inputs!$B$4:$B$150,$B20)/1000)</f>
        <v>914</v>
      </c>
      <c r="AA20" s="11">
        <f>IF(AA$3=0,"",SUMIFS(INDEX(Inputs!$D$4:$AG$150,0,MATCH(AA$2,Inputs!$D$2:$AG$2,0)),Inputs!$B$4:$B$150,$B20)/1000)</f>
        <v>958</v>
      </c>
      <c r="AB20" s="12">
        <f>IF(AA20="","",AA20)</f>
        <v>958</v>
      </c>
      <c r="AC20" s="11">
        <f>IF(AC$3=0,"",SUMIFS(INDEX(Inputs!$D$4:$AG$150,0,MATCH(AC$2,Inputs!$D$2:$AG$2,0)),Inputs!$B$4:$B$150,$B20)/1000)</f>
        <v>1243</v>
      </c>
      <c r="AD20" s="11">
        <f>IF(AD$3=0,"",SUMIFS(INDEX(Inputs!$D$4:$AG$150,0,MATCH(AD$2,Inputs!$D$2:$AG$2,0)),Inputs!$B$4:$B$150,$B20)/1000)</f>
        <v>1123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31848</v>
      </c>
      <c r="E22" s="11">
        <f>IF(E$3=0,"",SUMIFS(INDEX(Inputs!$D$4:$AG$150,0,MATCH(E$2,Inputs!$D$2:$AG$2,0)),Inputs!$B$4:$B$150,$B22)/1000)</f>
        <v>32209</v>
      </c>
      <c r="F22" s="11">
        <f>IF(F$3=0,"",SUMIFS(INDEX(Inputs!$D$4:$AG$150,0,MATCH(F$2,Inputs!$D$2:$AG$2,0)),Inputs!$B$4:$B$150,$B22)/1000)</f>
        <v>33213</v>
      </c>
      <c r="G22" s="11">
        <f>IF(G$3=0,"",SUMIFS(INDEX(Inputs!$D$4:$AG$150,0,MATCH(G$2,Inputs!$D$2:$AG$2,0)),Inputs!$B$4:$B$150,$B22)/1000)</f>
        <v>35155</v>
      </c>
      <c r="H22" s="12">
        <f>IF(G22="","",G22)</f>
        <v>35155</v>
      </c>
      <c r="I22" s="11">
        <f>IF(I$3=0,"",SUMIFS(INDEX(Inputs!$D$4:$AG$150,0,MATCH(I$2,Inputs!$D$2:$AG$2,0)),Inputs!$B$4:$B$150,$B22)/1000)</f>
        <v>36171</v>
      </c>
      <c r="J22" s="11">
        <f>IF(J$3=0,"",SUMIFS(INDEX(Inputs!$D$4:$AG$150,0,MATCH(J$2,Inputs!$D$2:$AG$2,0)),Inputs!$B$4:$B$150,$B22)/1000)</f>
        <v>36665</v>
      </c>
      <c r="K22" s="11">
        <f>IF(K$3=0,"",SUMIFS(INDEX(Inputs!$D$4:$AG$150,0,MATCH(K$2,Inputs!$D$2:$AG$2,0)),Inputs!$B$4:$B$150,$B22)/1000)</f>
        <v>38549</v>
      </c>
      <c r="L22" s="11">
        <f>IF(L$3=0,"",SUMIFS(INDEX(Inputs!$D$4:$AG$150,0,MATCH(L$2,Inputs!$D$2:$AG$2,0)),Inputs!$B$4:$B$150,$B22)/1000)</f>
        <v>39335</v>
      </c>
      <c r="M22" s="12">
        <f>IF(L22="","",L22)</f>
        <v>39335</v>
      </c>
      <c r="N22" s="11">
        <f>IF(N$3=0,"",SUMIFS(INDEX(Inputs!$D$4:$AG$150,0,MATCH(N$2,Inputs!$D$2:$AG$2,0)),Inputs!$B$4:$B$150,$B22)/1000)</f>
        <v>39085</v>
      </c>
      <c r="O22" s="11">
        <f>IF(O$3=0,"",SUMIFS(INDEX(Inputs!$D$4:$AG$150,0,MATCH(O$2,Inputs!$D$2:$AG$2,0)),Inputs!$B$4:$B$150,$B22)/1000)</f>
        <v>38727</v>
      </c>
      <c r="P22" s="11">
        <f>IF(P$3=0,"",SUMIFS(INDEX(Inputs!$D$4:$AG$150,0,MATCH(P$2,Inputs!$D$2:$AG$2,0)),Inputs!$B$4:$B$150,$B22)/1000)</f>
        <v>37928</v>
      </c>
      <c r="Q22" s="11">
        <f>IF(Q$3=0,"",SUMIFS(INDEX(Inputs!$D$4:$AG$150,0,MATCH(Q$2,Inputs!$D$2:$AG$2,0)),Inputs!$B$4:$B$150,$B22)/1000)</f>
        <v>37677</v>
      </c>
      <c r="R22" s="12">
        <f>IF(Q22="","",Q22)</f>
        <v>37677</v>
      </c>
      <c r="S22" s="11">
        <f>IF(S$3=0,"",SUMIFS(INDEX(Inputs!$D$4:$AG$150,0,MATCH(S$2,Inputs!$D$2:$AG$2,0)),Inputs!$B$4:$B$150,$B22)/1000)</f>
        <v>37587</v>
      </c>
      <c r="T22" s="11">
        <f>IF(T$3=0,"",SUMIFS(INDEX(Inputs!$D$4:$AG$150,0,MATCH(T$2,Inputs!$D$2:$AG$2,0)),Inputs!$B$4:$B$150,$B22)/1000)</f>
        <v>37926</v>
      </c>
      <c r="U22" s="11">
        <f>IF(U$3=0,"",SUMIFS(INDEX(Inputs!$D$4:$AG$150,0,MATCH(U$2,Inputs!$D$2:$AG$2,0)),Inputs!$B$4:$B$150,$B22)/1000)</f>
        <v>39749</v>
      </c>
      <c r="V22" s="11">
        <f>IF(V$3=0,"",SUMIFS(INDEX(Inputs!$D$4:$AG$150,0,MATCH(V$2,Inputs!$D$2:$AG$2,0)),Inputs!$B$4:$B$150,$B22)/1000)</f>
        <v>41476</v>
      </c>
      <c r="W22" s="12">
        <f>IF(V22="","",V22)</f>
        <v>41476</v>
      </c>
      <c r="X22" s="11">
        <f>IF(X$3=0,"",SUMIFS(INDEX(Inputs!$D$4:$AG$150,0,MATCH(X$2,Inputs!$D$2:$AG$2,0)),Inputs!$B$4:$B$150,$B22)/1000)</f>
        <v>42528</v>
      </c>
      <c r="Y22" s="11">
        <f>IF(Y$3=0,"",SUMIFS(INDEX(Inputs!$D$4:$AG$150,0,MATCH(Y$2,Inputs!$D$2:$AG$2,0)),Inputs!$B$4:$B$150,$B22)/1000)</f>
        <v>44773</v>
      </c>
      <c r="Z22" s="11">
        <f>IF(Z$3=0,"",SUMIFS(INDEX(Inputs!$D$4:$AG$150,0,MATCH(Z$2,Inputs!$D$2:$AG$2,0)),Inputs!$B$4:$B$150,$B22)/1000)</f>
        <v>46590</v>
      </c>
      <c r="AA22" s="11">
        <f>IF(AA$3=0,"",SUMIFS(INDEX(Inputs!$D$4:$AG$150,0,MATCH(AA$2,Inputs!$D$2:$AG$2,0)),Inputs!$B$4:$B$150,$B22)/1000)</f>
        <v>48477</v>
      </c>
      <c r="AB22" s="12">
        <f>IF(AA22="","",AA22)</f>
        <v>48477</v>
      </c>
      <c r="AC22" s="11">
        <f>IF(AC$3=0,"",SUMIFS(INDEX(Inputs!$D$4:$AG$150,0,MATCH(AC$2,Inputs!$D$2:$AG$2,0)),Inputs!$B$4:$B$150,$B22)/1000)</f>
        <v>51408</v>
      </c>
      <c r="AD22" s="11">
        <f>IF(AD$3=0,"",SUMIFS(INDEX(Inputs!$D$4:$AG$150,0,MATCH(AD$2,Inputs!$D$2:$AG$2,0)),Inputs!$B$4:$B$150,$B22)/1000)</f>
        <v>56426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575</v>
      </c>
      <c r="E23" s="11">
        <f>IF(E$3=0,"",SUMIFS(INDEX(Inputs!$D$4:$AG$150,0,MATCH(E$2,Inputs!$D$2:$AG$2,0)),Inputs!$B$4:$B$150,$B23)/1000)</f>
        <v>558</v>
      </c>
      <c r="F23" s="11">
        <f>IF(F$3=0,"",SUMIFS(INDEX(Inputs!$D$4:$AG$150,0,MATCH(F$2,Inputs!$D$2:$AG$2,0)),Inputs!$B$4:$B$150,$B23)/1000)</f>
        <v>551</v>
      </c>
      <c r="G23" s="11">
        <f>IF(G$3=0,"",SUMIFS(INDEX(Inputs!$D$4:$AG$150,0,MATCH(G$2,Inputs!$D$2:$AG$2,0)),Inputs!$B$4:$B$150,$B23)/1000)</f>
        <v>574</v>
      </c>
      <c r="H23" s="12">
        <f>IF(G23="","",G23)</f>
        <v>574</v>
      </c>
      <c r="I23" s="11">
        <f>IF(I$3=0,"",SUMIFS(INDEX(Inputs!$D$4:$AG$150,0,MATCH(I$2,Inputs!$D$2:$AG$2,0)),Inputs!$B$4:$B$150,$B23)/1000)</f>
        <v>587</v>
      </c>
      <c r="J23" s="11">
        <f>IF(J$3=0,"",SUMIFS(INDEX(Inputs!$D$4:$AG$150,0,MATCH(J$2,Inputs!$D$2:$AG$2,0)),Inputs!$B$4:$B$150,$B23)/1000)</f>
        <v>690</v>
      </c>
      <c r="K23" s="11">
        <f>IF(K$3=0,"",SUMIFS(INDEX(Inputs!$D$4:$AG$150,0,MATCH(K$2,Inputs!$D$2:$AG$2,0)),Inputs!$B$4:$B$150,$B23)/1000)</f>
        <v>678</v>
      </c>
      <c r="L23" s="11">
        <f>IF(L$3=0,"",SUMIFS(INDEX(Inputs!$D$4:$AG$150,0,MATCH(L$2,Inputs!$D$2:$AG$2,0)),Inputs!$B$4:$B$150,$B23)/1000)</f>
        <v>693</v>
      </c>
      <c r="M23" s="12">
        <f>IF(L23="","",L23)</f>
        <v>693</v>
      </c>
      <c r="N23" s="11">
        <f>IF(N$3=0,"",SUMIFS(INDEX(Inputs!$D$4:$AG$150,0,MATCH(N$2,Inputs!$D$2:$AG$2,0)),Inputs!$B$4:$B$150,$B23)/1000)</f>
        <v>673</v>
      </c>
      <c r="O23" s="11">
        <f>IF(O$3=0,"",SUMIFS(INDEX(Inputs!$D$4:$AG$150,0,MATCH(O$2,Inputs!$D$2:$AG$2,0)),Inputs!$B$4:$B$150,$B23)/1000)</f>
        <v>655</v>
      </c>
      <c r="P23" s="11">
        <f>IF(P$3=0,"",SUMIFS(INDEX(Inputs!$D$4:$AG$150,0,MATCH(P$2,Inputs!$D$2:$AG$2,0)),Inputs!$B$4:$B$150,$B23)/1000)</f>
        <v>666</v>
      </c>
      <c r="Q23" s="11">
        <f>IF(Q$3=0,"",SUMIFS(INDEX(Inputs!$D$4:$AG$150,0,MATCH(Q$2,Inputs!$D$2:$AG$2,0)),Inputs!$B$4:$B$150,$B23)/1000)</f>
        <v>648</v>
      </c>
      <c r="R23" s="12">
        <f>IF(Q23="","",Q23)</f>
        <v>648</v>
      </c>
      <c r="S23" s="11">
        <f>IF(S$3=0,"",SUMIFS(INDEX(Inputs!$D$4:$AG$150,0,MATCH(S$2,Inputs!$D$2:$AG$2,0)),Inputs!$B$4:$B$150,$B23)/1000)</f>
        <v>642</v>
      </c>
      <c r="T23" s="11">
        <f>IF(T$3=0,"",SUMIFS(INDEX(Inputs!$D$4:$AG$150,0,MATCH(T$2,Inputs!$D$2:$AG$2,0)),Inputs!$B$4:$B$150,$B23)/1000)</f>
        <v>660</v>
      </c>
      <c r="U23" s="11">
        <f>IF(U$3=0,"",SUMIFS(INDEX(Inputs!$D$4:$AG$150,0,MATCH(U$2,Inputs!$D$2:$AG$2,0)),Inputs!$B$4:$B$150,$B23)/1000)</f>
        <v>645</v>
      </c>
      <c r="V23" s="11">
        <f>IF(V$3=0,"",SUMIFS(INDEX(Inputs!$D$4:$AG$150,0,MATCH(V$2,Inputs!$D$2:$AG$2,0)),Inputs!$B$4:$B$150,$B23)/1000)</f>
        <v>622</v>
      </c>
      <c r="W23" s="12">
        <f>IF(V23="","",V23)</f>
        <v>622</v>
      </c>
      <c r="X23" s="11">
        <f>IF(X$3=0,"",SUMIFS(INDEX(Inputs!$D$4:$AG$150,0,MATCH(X$2,Inputs!$D$2:$AG$2,0)),Inputs!$B$4:$B$150,$B23)/1000)</f>
        <v>637</v>
      </c>
      <c r="Y23" s="11">
        <f>IF(Y$3=0,"",SUMIFS(INDEX(Inputs!$D$4:$AG$150,0,MATCH(Y$2,Inputs!$D$2:$AG$2,0)),Inputs!$B$4:$B$150,$B23)/1000)</f>
        <v>628</v>
      </c>
      <c r="Z23" s="11">
        <f>IF(Z$3=0,"",SUMIFS(INDEX(Inputs!$D$4:$AG$150,0,MATCH(Z$2,Inputs!$D$2:$AG$2,0)),Inputs!$B$4:$B$150,$B23)/1000)</f>
        <v>736</v>
      </c>
      <c r="AA23" s="11">
        <f>IF(AA$3=0,"",SUMIFS(INDEX(Inputs!$D$4:$AG$150,0,MATCH(AA$2,Inputs!$D$2:$AG$2,0)),Inputs!$B$4:$B$150,$B23)/1000)</f>
        <v>700</v>
      </c>
      <c r="AB23" s="12">
        <f>IF(AA23="","",AA23)</f>
        <v>700</v>
      </c>
      <c r="AC23" s="11">
        <f>IF(AC$3=0,"",SUMIFS(INDEX(Inputs!$D$4:$AG$150,0,MATCH(AC$2,Inputs!$D$2:$AG$2,0)),Inputs!$B$4:$B$150,$B23)/1000)</f>
        <v>684</v>
      </c>
      <c r="AD23" s="11">
        <f>IF(AD$3=0,"",SUMIFS(INDEX(Inputs!$D$4:$AG$150,0,MATCH(AD$2,Inputs!$D$2:$AG$2,0)),Inputs!$B$4:$B$150,$B23)/1000)</f>
        <v>683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1228</v>
      </c>
      <c r="E24" s="11">
        <f>IF(E$3=0,"",SUMIFS(INDEX(Inputs!$D$4:$AG$150,0,MATCH(E$2,Inputs!$D$2:$AG$2,0)),Inputs!$B$4:$B$150,$B24)/1000)</f>
        <v>1228</v>
      </c>
      <c r="F24" s="11">
        <f>IF(F$3=0,"",SUMIFS(INDEX(Inputs!$D$4:$AG$150,0,MATCH(F$2,Inputs!$D$2:$AG$2,0)),Inputs!$B$4:$B$150,$B24)/1000)</f>
        <v>1228</v>
      </c>
      <c r="G24" s="11">
        <f>IF(G$3=0,"",SUMIFS(INDEX(Inputs!$D$4:$AG$150,0,MATCH(G$2,Inputs!$D$2:$AG$2,0)),Inputs!$B$4:$B$150,$B24)/1000)</f>
        <v>1228</v>
      </c>
      <c r="H24" s="12">
        <f>IF(G24="","",G24)</f>
        <v>1228</v>
      </c>
      <c r="I24" s="11">
        <f>IF(I$3=0,"",SUMIFS(INDEX(Inputs!$D$4:$AG$150,0,MATCH(I$2,Inputs!$D$2:$AG$2,0)),Inputs!$B$4:$B$150,$B24)/1000)</f>
        <v>1228</v>
      </c>
      <c r="J24" s="11">
        <f>IF(J$3=0,"",SUMIFS(INDEX(Inputs!$D$4:$AG$150,0,MATCH(J$2,Inputs!$D$2:$AG$2,0)),Inputs!$B$4:$B$150,$B24)/1000)</f>
        <v>1228</v>
      </c>
      <c r="K24" s="11">
        <f>IF(K$3=0,"",SUMIFS(INDEX(Inputs!$D$4:$AG$150,0,MATCH(K$2,Inputs!$D$2:$AG$2,0)),Inputs!$B$4:$B$150,$B24)/1000)</f>
        <v>1228</v>
      </c>
      <c r="L24" s="11">
        <f>IF(L$3=0,"",SUMIFS(INDEX(Inputs!$D$4:$AG$150,0,MATCH(L$2,Inputs!$D$2:$AG$2,0)),Inputs!$B$4:$B$150,$B24)/1000)</f>
        <v>1228</v>
      </c>
      <c r="M24" s="12">
        <f>IF(L24="","",L24)</f>
        <v>1228</v>
      </c>
      <c r="N24" s="11">
        <f>IF(N$3=0,"",SUMIFS(INDEX(Inputs!$D$4:$AG$150,0,MATCH(N$2,Inputs!$D$2:$AG$2,0)),Inputs!$B$4:$B$150,$B24)/1000)</f>
        <v>1228</v>
      </c>
      <c r="O24" s="11">
        <f>IF(O$3=0,"",SUMIFS(INDEX(Inputs!$D$4:$AG$150,0,MATCH(O$2,Inputs!$D$2:$AG$2,0)),Inputs!$B$4:$B$150,$B24)/1000)</f>
        <v>1252</v>
      </c>
      <c r="P24" s="11">
        <f>IF(P$3=0,"",SUMIFS(INDEX(Inputs!$D$4:$AG$150,0,MATCH(P$2,Inputs!$D$2:$AG$2,0)),Inputs!$B$4:$B$150,$B24)/1000)</f>
        <v>1150</v>
      </c>
      <c r="Q24" s="11">
        <f>IF(Q$3=0,"",SUMIFS(INDEX(Inputs!$D$4:$AG$150,0,MATCH(Q$2,Inputs!$D$2:$AG$2,0)),Inputs!$B$4:$B$150,$B24)/1000)</f>
        <v>1150</v>
      </c>
      <c r="R24" s="12">
        <f>IF(Q24="","",Q24)</f>
        <v>1150</v>
      </c>
      <c r="S24" s="11">
        <f>IF(S$3=0,"",SUMIFS(INDEX(Inputs!$D$4:$AG$150,0,MATCH(S$2,Inputs!$D$2:$AG$2,0)),Inputs!$B$4:$B$150,$B24)/1000)</f>
        <v>1150</v>
      </c>
      <c r="T24" s="11">
        <f>IF(T$3=0,"",SUMIFS(INDEX(Inputs!$D$4:$AG$150,0,MATCH(T$2,Inputs!$D$2:$AG$2,0)),Inputs!$B$4:$B$150,$B24)/1000)</f>
        <v>1150</v>
      </c>
      <c r="U24" s="11">
        <f>IF(U$3=0,"",SUMIFS(INDEX(Inputs!$D$4:$AG$150,0,MATCH(U$2,Inputs!$D$2:$AG$2,0)),Inputs!$B$4:$B$150,$B24)/1000)</f>
        <v>1150</v>
      </c>
      <c r="V24" s="11">
        <f>IF(V$3=0,"",SUMIFS(INDEX(Inputs!$D$4:$AG$150,0,MATCH(V$2,Inputs!$D$2:$AG$2,0)),Inputs!$B$4:$B$150,$B24)/1000)</f>
        <v>1150</v>
      </c>
      <c r="W24" s="12">
        <f>IF(V24="","",V24)</f>
        <v>1150</v>
      </c>
      <c r="X24" s="11">
        <f>IF(X$3=0,"",SUMIFS(INDEX(Inputs!$D$4:$AG$150,0,MATCH(X$2,Inputs!$D$2:$AG$2,0)),Inputs!$B$4:$B$150,$B24)/1000)</f>
        <v>1150</v>
      </c>
      <c r="Y24" s="11">
        <f>IF(Y$3=0,"",SUMIFS(INDEX(Inputs!$D$4:$AG$150,0,MATCH(Y$2,Inputs!$D$2:$AG$2,0)),Inputs!$B$4:$B$150,$B24)/1000)</f>
        <v>1150</v>
      </c>
      <c r="Z24" s="11">
        <f>IF(Z$3=0,"",SUMIFS(INDEX(Inputs!$D$4:$AG$150,0,MATCH(Z$2,Inputs!$D$2:$AG$2,0)),Inputs!$B$4:$B$150,$B24)/1000)</f>
        <v>1150</v>
      </c>
      <c r="AA24" s="11">
        <f>IF(AA$3=0,"",SUMIFS(INDEX(Inputs!$D$4:$AG$150,0,MATCH(AA$2,Inputs!$D$2:$AG$2,0)),Inputs!$B$4:$B$150,$B24)/1000)</f>
        <v>1150</v>
      </c>
      <c r="AB24" s="12">
        <f>IF(AA24="","",AA24)</f>
        <v>1150</v>
      </c>
      <c r="AC24" s="11">
        <f>IF(AC$3=0,"",SUMIFS(INDEX(Inputs!$D$4:$AG$150,0,MATCH(AC$2,Inputs!$D$2:$AG$2,0)),Inputs!$B$4:$B$150,$B24)/1000)</f>
        <v>1150</v>
      </c>
      <c r="AD24" s="11">
        <f>IF(AD$3=0,"",SUMIFS(INDEX(Inputs!$D$4:$AG$150,0,MATCH(AD$2,Inputs!$D$2:$AG$2,0)),Inputs!$B$4:$B$150,$B24)/1000)</f>
        <v>1150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342</v>
      </c>
      <c r="E25" s="11">
        <f>IF(E$3=0,"",SUMIFS(INDEX(Inputs!$D$4:$AG$150,0,MATCH(E$2,Inputs!$D$2:$AG$2,0)),Inputs!$B$4:$B$150,$B25)/1000)</f>
        <v>350</v>
      </c>
      <c r="F25" s="11">
        <f>IF(F$3=0,"",SUMIFS(INDEX(Inputs!$D$4:$AG$150,0,MATCH(F$2,Inputs!$D$2:$AG$2,0)),Inputs!$B$4:$B$150,$B25)/1000)</f>
        <v>349</v>
      </c>
      <c r="G25" s="11">
        <f>IF(G$3=0,"",SUMIFS(INDEX(Inputs!$D$4:$AG$150,0,MATCH(G$2,Inputs!$D$2:$AG$2,0)),Inputs!$B$4:$B$150,$B25)/1000)</f>
        <v>347</v>
      </c>
      <c r="H25" s="12">
        <f>IF(G25="","",G25)</f>
        <v>347</v>
      </c>
      <c r="I25" s="11">
        <f>IF(I$3=0,"",SUMIFS(INDEX(Inputs!$D$4:$AG$150,0,MATCH(I$2,Inputs!$D$2:$AG$2,0)),Inputs!$B$4:$B$150,$B25)/1000)</f>
        <v>414</v>
      </c>
      <c r="J25" s="11">
        <f>IF(J$3=0,"",SUMIFS(INDEX(Inputs!$D$4:$AG$150,0,MATCH(J$2,Inputs!$D$2:$AG$2,0)),Inputs!$B$4:$B$150,$B25)/1000)</f>
        <v>415</v>
      </c>
      <c r="K25" s="11">
        <f>IF(K$3=0,"",SUMIFS(INDEX(Inputs!$D$4:$AG$150,0,MATCH(K$2,Inputs!$D$2:$AG$2,0)),Inputs!$B$4:$B$150,$B25)/1000)</f>
        <v>421</v>
      </c>
      <c r="L25" s="11">
        <f>IF(L$3=0,"",SUMIFS(INDEX(Inputs!$D$4:$AG$150,0,MATCH(L$2,Inputs!$D$2:$AG$2,0)),Inputs!$B$4:$B$150,$B25)/1000)</f>
        <v>428</v>
      </c>
      <c r="M25" s="12">
        <f>IF(L25="","",L25)</f>
        <v>428</v>
      </c>
      <c r="N25" s="11">
        <f>IF(N$3=0,"",SUMIFS(INDEX(Inputs!$D$4:$AG$150,0,MATCH(N$2,Inputs!$D$2:$AG$2,0)),Inputs!$B$4:$B$150,$B25)/1000)</f>
        <v>410</v>
      </c>
      <c r="O25" s="11">
        <f>IF(O$3=0,"",SUMIFS(INDEX(Inputs!$D$4:$AG$150,0,MATCH(O$2,Inputs!$D$2:$AG$2,0)),Inputs!$B$4:$B$150,$B25)/1000)</f>
        <v>410</v>
      </c>
      <c r="P25" s="11">
        <f>IF(P$3=0,"",SUMIFS(INDEX(Inputs!$D$4:$AG$150,0,MATCH(P$2,Inputs!$D$2:$AG$2,0)),Inputs!$B$4:$B$150,$B25)/1000)</f>
        <v>404</v>
      </c>
      <c r="Q25" s="11">
        <f>IF(Q$3=0,"",SUMIFS(INDEX(Inputs!$D$4:$AG$150,0,MATCH(Q$2,Inputs!$D$2:$AG$2,0)),Inputs!$B$4:$B$150,$B25)/1000)</f>
        <v>416</v>
      </c>
      <c r="R25" s="12">
        <f>IF(Q25="","",Q25)</f>
        <v>416</v>
      </c>
      <c r="S25" s="11">
        <f>IF(S$3=0,"",SUMIFS(INDEX(Inputs!$D$4:$AG$150,0,MATCH(S$2,Inputs!$D$2:$AG$2,0)),Inputs!$B$4:$B$150,$B25)/1000)</f>
        <v>414</v>
      </c>
      <c r="T25" s="11">
        <f>IF(T$3=0,"",SUMIFS(INDEX(Inputs!$D$4:$AG$150,0,MATCH(T$2,Inputs!$D$2:$AG$2,0)),Inputs!$B$4:$B$150,$B25)/1000)</f>
        <v>413</v>
      </c>
      <c r="U25" s="11">
        <f>IF(U$3=0,"",SUMIFS(INDEX(Inputs!$D$4:$AG$150,0,MATCH(U$2,Inputs!$D$2:$AG$2,0)),Inputs!$B$4:$B$150,$B25)/1000)</f>
        <v>416</v>
      </c>
      <c r="V25" s="11">
        <f>IF(V$3=0,"",SUMIFS(INDEX(Inputs!$D$4:$AG$150,0,MATCH(V$2,Inputs!$D$2:$AG$2,0)),Inputs!$B$4:$B$150,$B25)/1000)</f>
        <v>419</v>
      </c>
      <c r="W25" s="12">
        <f>IF(V25="","",V25)</f>
        <v>419</v>
      </c>
      <c r="X25" s="11">
        <f>IF(X$3=0,"",SUMIFS(INDEX(Inputs!$D$4:$AG$150,0,MATCH(X$2,Inputs!$D$2:$AG$2,0)),Inputs!$B$4:$B$150,$B25)/1000)</f>
        <v>423</v>
      </c>
      <c r="Y25" s="11">
        <f>IF(Y$3=0,"",SUMIFS(INDEX(Inputs!$D$4:$AG$150,0,MATCH(Y$2,Inputs!$D$2:$AG$2,0)),Inputs!$B$4:$B$150,$B25)/1000)</f>
        <v>426</v>
      </c>
      <c r="Z25" s="11">
        <f>IF(Z$3=0,"",SUMIFS(INDEX(Inputs!$D$4:$AG$150,0,MATCH(Z$2,Inputs!$D$2:$AG$2,0)),Inputs!$B$4:$B$150,$B25)/1000)</f>
        <v>453</v>
      </c>
      <c r="AA25" s="11">
        <f>IF(AA$3=0,"",SUMIFS(INDEX(Inputs!$D$4:$AG$150,0,MATCH(AA$2,Inputs!$D$2:$AG$2,0)),Inputs!$B$4:$B$150,$B25)/1000)</f>
        <v>465</v>
      </c>
      <c r="AB25" s="12">
        <f>IF(AA25="","",AA25)</f>
        <v>465</v>
      </c>
      <c r="AC25" s="11">
        <f>IF(AC$3=0,"",SUMIFS(INDEX(Inputs!$D$4:$AG$150,0,MATCH(AC$2,Inputs!$D$2:$AG$2,0)),Inputs!$B$4:$B$150,$B25)/1000)</f>
        <v>468</v>
      </c>
      <c r="AD25" s="11">
        <f>IF(AD$3=0,"",SUMIFS(INDEX(Inputs!$D$4:$AG$150,0,MATCH(AD$2,Inputs!$D$2:$AG$2,0)),Inputs!$B$4:$B$150,$B25)/1000)</f>
        <v>473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2137</v>
      </c>
      <c r="E26" s="11">
        <f>IF(E$3=0,"",SUMIFS(INDEX(Inputs!$D$4:$AG$150,0,MATCH(E$2,Inputs!$D$2:$AG$2,0)),Inputs!$B$4:$B$150,$B26)/1000)</f>
        <v>2215</v>
      </c>
      <c r="F26" s="11">
        <f>IF(F$3=0,"",SUMIFS(INDEX(Inputs!$D$4:$AG$150,0,MATCH(F$2,Inputs!$D$2:$AG$2,0)),Inputs!$B$4:$B$150,$B26)/1000)</f>
        <v>2819</v>
      </c>
      <c r="G26" s="11">
        <f>IF(G$3=0,"",SUMIFS(INDEX(Inputs!$D$4:$AG$150,0,MATCH(G$2,Inputs!$D$2:$AG$2,0)),Inputs!$B$4:$B$150,$B26)/1000)</f>
        <v>3005</v>
      </c>
      <c r="H26" s="12">
        <f>IF(G26="","",G26)</f>
        <v>3005</v>
      </c>
      <c r="I26" s="11">
        <f>IF(I$3=0,"",SUMIFS(INDEX(Inputs!$D$4:$AG$150,0,MATCH(I$2,Inputs!$D$2:$AG$2,0)),Inputs!$B$4:$B$150,$B26)/1000)</f>
        <v>3032</v>
      </c>
      <c r="J26" s="11">
        <f>IF(J$3=0,"",SUMIFS(INDEX(Inputs!$D$4:$AG$150,0,MATCH(J$2,Inputs!$D$2:$AG$2,0)),Inputs!$B$4:$B$150,$B26)/1000)</f>
        <v>2908</v>
      </c>
      <c r="K26" s="11">
        <f>IF(K$3=0,"",SUMIFS(INDEX(Inputs!$D$4:$AG$150,0,MATCH(K$2,Inputs!$D$2:$AG$2,0)),Inputs!$B$4:$B$150,$B26)/1000)</f>
        <v>2924</v>
      </c>
      <c r="L26" s="11">
        <f>IF(L$3=0,"",SUMIFS(INDEX(Inputs!$D$4:$AG$150,0,MATCH(L$2,Inputs!$D$2:$AG$2,0)),Inputs!$B$4:$B$150,$B26)/1000)</f>
        <v>2597</v>
      </c>
      <c r="M26" s="12">
        <f>IF(L26="","",L26)</f>
        <v>2597</v>
      </c>
      <c r="N26" s="11">
        <f>IF(N$3=0,"",SUMIFS(INDEX(Inputs!$D$4:$AG$150,0,MATCH(N$2,Inputs!$D$2:$AG$2,0)),Inputs!$B$4:$B$150,$B26)/1000)</f>
        <v>2529</v>
      </c>
      <c r="O26" s="11">
        <f>IF(O$3=0,"",SUMIFS(INDEX(Inputs!$D$4:$AG$150,0,MATCH(O$2,Inputs!$D$2:$AG$2,0)),Inputs!$B$4:$B$150,$B26)/1000)</f>
        <v>2194</v>
      </c>
      <c r="P26" s="11">
        <f>IF(P$3=0,"",SUMIFS(INDEX(Inputs!$D$4:$AG$150,0,MATCH(P$2,Inputs!$D$2:$AG$2,0)),Inputs!$B$4:$B$150,$B26)/1000)</f>
        <v>2106</v>
      </c>
      <c r="Q26" s="11">
        <f>IF(Q$3=0,"",SUMIFS(INDEX(Inputs!$D$4:$AG$150,0,MATCH(Q$2,Inputs!$D$2:$AG$2,0)),Inputs!$B$4:$B$150,$B26)/1000)</f>
        <v>2046</v>
      </c>
      <c r="R26" s="12">
        <f>IF(Q26="","",Q26)</f>
        <v>2046</v>
      </c>
      <c r="S26" s="11">
        <f>IF(S$3=0,"",SUMIFS(INDEX(Inputs!$D$4:$AG$150,0,MATCH(S$2,Inputs!$D$2:$AG$2,0)),Inputs!$B$4:$B$150,$B26)/1000)</f>
        <v>1826</v>
      </c>
      <c r="T26" s="11">
        <f>IF(T$3=0,"",SUMIFS(INDEX(Inputs!$D$4:$AG$150,0,MATCH(T$2,Inputs!$D$2:$AG$2,0)),Inputs!$B$4:$B$150,$B26)/1000)</f>
        <v>2190</v>
      </c>
      <c r="U26" s="11">
        <f>IF(U$3=0,"",SUMIFS(INDEX(Inputs!$D$4:$AG$150,0,MATCH(U$2,Inputs!$D$2:$AG$2,0)),Inputs!$B$4:$B$150,$B26)/1000)</f>
        <v>2564</v>
      </c>
      <c r="V26" s="11">
        <f>IF(V$3=0,"",SUMIFS(INDEX(Inputs!$D$4:$AG$150,0,MATCH(V$2,Inputs!$D$2:$AG$2,0)),Inputs!$B$4:$B$150,$B26)/1000)</f>
        <v>2827</v>
      </c>
      <c r="W26" s="12">
        <f>IF(V26="","",V26)</f>
        <v>2827</v>
      </c>
      <c r="X26" s="11">
        <f>IF(X$3=0,"",SUMIFS(INDEX(Inputs!$D$4:$AG$150,0,MATCH(X$2,Inputs!$D$2:$AG$2,0)),Inputs!$B$4:$B$150,$B26)/1000)</f>
        <v>3074</v>
      </c>
      <c r="Y26" s="11">
        <f>IF(Y$3=0,"",SUMIFS(INDEX(Inputs!$D$4:$AG$150,0,MATCH(Y$2,Inputs!$D$2:$AG$2,0)),Inputs!$B$4:$B$150,$B26)/1000)</f>
        <v>3018</v>
      </c>
      <c r="Z26" s="11">
        <f>IF(Z$3=0,"",SUMIFS(INDEX(Inputs!$D$4:$AG$150,0,MATCH(Z$2,Inputs!$D$2:$AG$2,0)),Inputs!$B$4:$B$150,$B26)/1000)</f>
        <v>4412</v>
      </c>
      <c r="AA26" s="11">
        <f>IF(AA$3=0,"",SUMIFS(INDEX(Inputs!$D$4:$AG$150,0,MATCH(AA$2,Inputs!$D$2:$AG$2,0)),Inputs!$B$4:$B$150,$B26)/1000)</f>
        <v>4873</v>
      </c>
      <c r="AB26" s="12">
        <f>IF(AA26="","",AA26)</f>
        <v>4873</v>
      </c>
      <c r="AC26" s="11">
        <f>IF(AC$3=0,"",SUMIFS(INDEX(Inputs!$D$4:$AG$150,0,MATCH(AC$2,Inputs!$D$2:$AG$2,0)),Inputs!$B$4:$B$150,$B26)/1000)</f>
        <v>5706</v>
      </c>
      <c r="AD26" s="11">
        <f>IF(AD$3=0,"",SUMIFS(INDEX(Inputs!$D$4:$AG$150,0,MATCH(AD$2,Inputs!$D$2:$AG$2,0)),Inputs!$B$4:$B$150,$B26)/1000)</f>
        <v>7943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4550</v>
      </c>
      <c r="E28" s="11">
        <f>IF(E$3=0,"",SUMIFS(INDEX(Inputs!$D$4:$AG$150,0,MATCH(E$2,Inputs!$D$2:$AG$2,0)),Inputs!$B$4:$B$150,$B28)/1000)</f>
        <v>4427</v>
      </c>
      <c r="F28" s="11">
        <f>IF(F$3=0,"",SUMIFS(INDEX(Inputs!$D$4:$AG$150,0,MATCH(F$2,Inputs!$D$2:$AG$2,0)),Inputs!$B$4:$B$150,$B28)/1000)</f>
        <v>5325</v>
      </c>
      <c r="G28" s="11">
        <f>IF(G$3=0,"",SUMIFS(INDEX(Inputs!$D$4:$AG$150,0,MATCH(G$2,Inputs!$D$2:$AG$2,0)),Inputs!$B$4:$B$150,$B28)/1000)</f>
        <v>5470</v>
      </c>
      <c r="H28" s="12">
        <f>IF(G28="","",G28)</f>
        <v>5470</v>
      </c>
      <c r="I28" s="11">
        <f>IF(I$3=0,"",SUMIFS(INDEX(Inputs!$D$4:$AG$150,0,MATCH(I$2,Inputs!$D$2:$AG$2,0)),Inputs!$B$4:$B$150,$B28)/1000)</f>
        <v>5650</v>
      </c>
      <c r="J28" s="11">
        <f>IF(J$3=0,"",SUMIFS(INDEX(Inputs!$D$4:$AG$150,0,MATCH(J$2,Inputs!$D$2:$AG$2,0)),Inputs!$B$4:$B$150,$B28)/1000)</f>
        <v>5788</v>
      </c>
      <c r="K28" s="11">
        <f>IF(K$3=0,"",SUMIFS(INDEX(Inputs!$D$4:$AG$150,0,MATCH(K$2,Inputs!$D$2:$AG$2,0)),Inputs!$B$4:$B$150,$B28)/1000)</f>
        <v>6090</v>
      </c>
      <c r="L28" s="11">
        <f>IF(L$3=0,"",SUMIFS(INDEX(Inputs!$D$4:$AG$150,0,MATCH(L$2,Inputs!$D$2:$AG$2,0)),Inputs!$B$4:$B$150,$B28)/1000)</f>
        <v>5438</v>
      </c>
      <c r="M28" s="12">
        <f>IF(L28="","",L28)</f>
        <v>5438</v>
      </c>
      <c r="N28" s="11">
        <f>IF(N$3=0,"",SUMIFS(INDEX(Inputs!$D$4:$AG$150,0,MATCH(N$2,Inputs!$D$2:$AG$2,0)),Inputs!$B$4:$B$150,$B28)/1000)</f>
        <v>4310</v>
      </c>
      <c r="O28" s="11">
        <f>IF(O$3=0,"",SUMIFS(INDEX(Inputs!$D$4:$AG$150,0,MATCH(O$2,Inputs!$D$2:$AG$2,0)),Inputs!$B$4:$B$150,$B28)/1000)</f>
        <v>4177</v>
      </c>
      <c r="P28" s="11">
        <f>IF(P$3=0,"",SUMIFS(INDEX(Inputs!$D$4:$AG$150,0,MATCH(P$2,Inputs!$D$2:$AG$2,0)),Inputs!$B$4:$B$150,$B28)/1000)</f>
        <v>3958</v>
      </c>
      <c r="Q28" s="11">
        <f>IF(Q$3=0,"",SUMIFS(INDEX(Inputs!$D$4:$AG$150,0,MATCH(Q$2,Inputs!$D$2:$AG$2,0)),Inputs!$B$4:$B$150,$B28)/1000)</f>
        <v>3946</v>
      </c>
      <c r="R28" s="12">
        <f>IF(Q28="","",Q28)</f>
        <v>3946</v>
      </c>
      <c r="S28" s="11">
        <f>IF(S$3=0,"",SUMIFS(INDEX(Inputs!$D$4:$AG$150,0,MATCH(S$2,Inputs!$D$2:$AG$2,0)),Inputs!$B$4:$B$150,$B28)/1000)</f>
        <v>4680</v>
      </c>
      <c r="T28" s="11">
        <f>IF(T$3=0,"",SUMIFS(INDEX(Inputs!$D$4:$AG$150,0,MATCH(T$2,Inputs!$D$2:$AG$2,0)),Inputs!$B$4:$B$150,$B28)/1000)</f>
        <v>5145</v>
      </c>
      <c r="U28" s="11">
        <f>IF(U$3=0,"",SUMIFS(INDEX(Inputs!$D$4:$AG$150,0,MATCH(U$2,Inputs!$D$2:$AG$2,0)),Inputs!$B$4:$B$150,$B28)/1000)</f>
        <v>7299</v>
      </c>
      <c r="V28" s="11">
        <f>IF(V$3=0,"",SUMIFS(INDEX(Inputs!$D$4:$AG$150,0,MATCH(V$2,Inputs!$D$2:$AG$2,0)),Inputs!$B$4:$B$150,$B28)/1000)</f>
        <v>7126</v>
      </c>
      <c r="W28" s="12">
        <f>IF(V28="","",V28)</f>
        <v>7126</v>
      </c>
      <c r="X28" s="11">
        <f>IF(X$3=0,"",SUMIFS(INDEX(Inputs!$D$4:$AG$150,0,MATCH(X$2,Inputs!$D$2:$AG$2,0)),Inputs!$B$4:$B$150,$B28)/1000)</f>
        <v>6176</v>
      </c>
      <c r="Y28" s="11">
        <f>IF(Y$3=0,"",SUMIFS(INDEX(Inputs!$D$4:$AG$150,0,MATCH(Y$2,Inputs!$D$2:$AG$2,0)),Inputs!$B$4:$B$150,$B28)/1000)</f>
        <v>8761</v>
      </c>
      <c r="Z28" s="11">
        <f>IF(Z$3=0,"",SUMIFS(INDEX(Inputs!$D$4:$AG$150,0,MATCH(Z$2,Inputs!$D$2:$AG$2,0)),Inputs!$B$4:$B$150,$B28)/1000)</f>
        <v>9649</v>
      </c>
      <c r="AA28" s="11">
        <f>IF(AA$3=0,"",SUMIFS(INDEX(Inputs!$D$4:$AG$150,0,MATCH(AA$2,Inputs!$D$2:$AG$2,0)),Inputs!$B$4:$B$150,$B28)/1000)</f>
        <v>9796</v>
      </c>
      <c r="AB28" s="12">
        <f>IF(AA28="","",AA28)</f>
        <v>9796</v>
      </c>
      <c r="AC28" s="11">
        <f>IF(AC$3=0,"",SUMIFS(INDEX(Inputs!$D$4:$AG$150,0,MATCH(AC$2,Inputs!$D$2:$AG$2,0)),Inputs!$B$4:$B$150,$B28)/1000)</f>
        <v>10997</v>
      </c>
      <c r="AD28" s="11">
        <f>IF(AD$3=0,"",SUMIFS(INDEX(Inputs!$D$4:$AG$150,0,MATCH(AD$2,Inputs!$D$2:$AG$2,0)),Inputs!$B$4:$B$150,$B28)/1000)</f>
        <v>15521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0</v>
      </c>
      <c r="E29" s="11">
        <f>IF(E$3=0,"",SUMIFS(INDEX(Inputs!$D$4:$AG$150,0,MATCH(E$2,Inputs!$D$2:$AG$2,0)),Inputs!$B$4:$B$150,$B29)/1000)</f>
        <v>0</v>
      </c>
      <c r="F29" s="11">
        <f>IF(F$3=0,"",SUMIFS(INDEX(Inputs!$D$4:$AG$150,0,MATCH(F$2,Inputs!$D$2:$AG$2,0)),Inputs!$B$4:$B$150,$B29)/1000)</f>
        <v>0</v>
      </c>
      <c r="G29" s="11">
        <f>IF(G$3=0,"",SUMIFS(INDEX(Inputs!$D$4:$AG$150,0,MATCH(G$2,Inputs!$D$2:$AG$2,0)),Inputs!$B$4:$B$150,$B29)/1000)</f>
        <v>0</v>
      </c>
      <c r="H29" s="12">
        <f>IF(G29="","",G29)</f>
        <v>0</v>
      </c>
      <c r="I29" s="11">
        <f>IF(I$3=0,"",SUMIFS(INDEX(Inputs!$D$4:$AG$150,0,MATCH(I$2,Inputs!$D$2:$AG$2,0)),Inputs!$B$4:$B$150,$B29)/1000)</f>
        <v>0</v>
      </c>
      <c r="J29" s="11">
        <f>IF(J$3=0,"",SUMIFS(INDEX(Inputs!$D$4:$AG$150,0,MATCH(J$2,Inputs!$D$2:$AG$2,0)),Inputs!$B$4:$B$150,$B29)/1000)</f>
        <v>0</v>
      </c>
      <c r="K29" s="11">
        <f>IF(K$3=0,"",SUMIFS(INDEX(Inputs!$D$4:$AG$150,0,MATCH(K$2,Inputs!$D$2:$AG$2,0)),Inputs!$B$4:$B$150,$B29)/1000)</f>
        <v>0</v>
      </c>
      <c r="L29" s="11">
        <f>IF(L$3=0,"",SUMIFS(INDEX(Inputs!$D$4:$AG$150,0,MATCH(L$2,Inputs!$D$2:$AG$2,0)),Inputs!$B$4:$B$150,$B29)/1000)</f>
        <v>0</v>
      </c>
      <c r="M29" s="12">
        <f>IF(L29="","",L29)</f>
        <v>0</v>
      </c>
      <c r="N29" s="11">
        <f>IF(N$3=0,"",SUMIFS(INDEX(Inputs!$D$4:$AG$150,0,MATCH(N$2,Inputs!$D$2:$AG$2,0)),Inputs!$B$4:$B$150,$B29)/1000)</f>
        <v>0</v>
      </c>
      <c r="O29" s="11">
        <f>IF(O$3=0,"",SUMIFS(INDEX(Inputs!$D$4:$AG$150,0,MATCH(O$2,Inputs!$D$2:$AG$2,0)),Inputs!$B$4:$B$150,$B29)/1000)</f>
        <v>0</v>
      </c>
      <c r="P29" s="11">
        <f>IF(P$3=0,"",SUMIFS(INDEX(Inputs!$D$4:$AG$150,0,MATCH(P$2,Inputs!$D$2:$AG$2,0)),Inputs!$B$4:$B$150,$B29)/1000)</f>
        <v>0</v>
      </c>
      <c r="Q29" s="11">
        <f>IF(Q$3=0,"",SUMIFS(INDEX(Inputs!$D$4:$AG$150,0,MATCH(Q$2,Inputs!$D$2:$AG$2,0)),Inputs!$B$4:$B$150,$B29)/1000)</f>
        <v>0</v>
      </c>
      <c r="R29" s="12">
        <f>IF(Q29="","",Q29)</f>
        <v>0</v>
      </c>
      <c r="S29" s="11">
        <f>IF(S$3=0,"",SUMIFS(INDEX(Inputs!$D$4:$AG$150,0,MATCH(S$2,Inputs!$D$2:$AG$2,0)),Inputs!$B$4:$B$150,$B29)/1000)</f>
        <v>0</v>
      </c>
      <c r="T29" s="11">
        <f>IF(T$3=0,"",SUMIFS(INDEX(Inputs!$D$4:$AG$150,0,MATCH(T$2,Inputs!$D$2:$AG$2,0)),Inputs!$B$4:$B$150,$B29)/1000)</f>
        <v>0</v>
      </c>
      <c r="U29" s="11">
        <f>IF(U$3=0,"",SUMIFS(INDEX(Inputs!$D$4:$AG$150,0,MATCH(U$2,Inputs!$D$2:$AG$2,0)),Inputs!$B$4:$B$150,$B29)/1000)</f>
        <v>0</v>
      </c>
      <c r="V29" s="11">
        <f>IF(V$3=0,"",SUMIFS(INDEX(Inputs!$D$4:$AG$150,0,MATCH(V$2,Inputs!$D$2:$AG$2,0)),Inputs!$B$4:$B$150,$B29)/1000)</f>
        <v>0</v>
      </c>
      <c r="W29" s="12">
        <f>IF(V29="","",V29)</f>
        <v>0</v>
      </c>
      <c r="X29" s="11">
        <f>IF(X$3=0,"",SUMIFS(INDEX(Inputs!$D$4:$AG$150,0,MATCH(X$2,Inputs!$D$2:$AG$2,0)),Inputs!$B$4:$B$150,$B29)/1000)</f>
        <v>0</v>
      </c>
      <c r="Y29" s="11">
        <f>IF(Y$3=0,"",SUMIFS(INDEX(Inputs!$D$4:$AG$150,0,MATCH(Y$2,Inputs!$D$2:$AG$2,0)),Inputs!$B$4:$B$150,$B29)/1000)</f>
        <v>0</v>
      </c>
      <c r="Z29" s="11">
        <f>IF(Z$3=0,"",SUMIFS(INDEX(Inputs!$D$4:$AG$150,0,MATCH(Z$2,Inputs!$D$2:$AG$2,0)),Inputs!$B$4:$B$150,$B29)/1000)</f>
        <v>0</v>
      </c>
      <c r="AA29" s="11">
        <f>IF(AA$3=0,"",SUMIFS(INDEX(Inputs!$D$4:$AG$150,0,MATCH(AA$2,Inputs!$D$2:$AG$2,0)),Inputs!$B$4:$B$150,$B29)/1000)</f>
        <v>0</v>
      </c>
      <c r="AB29" s="12">
        <f>IF(AA29="","",AA29)</f>
        <v>0</v>
      </c>
      <c r="AC29" s="11">
        <f>IF(AC$3=0,"",SUMIFS(INDEX(Inputs!$D$4:$AG$150,0,MATCH(AC$2,Inputs!$D$2:$AG$2,0)),Inputs!$B$4:$B$150,$B29)/1000)</f>
        <v>0</v>
      </c>
      <c r="AD29" s="11">
        <f>IF(AD$3=0,"",SUMIFS(INDEX(Inputs!$D$4:$AG$150,0,MATCH(AD$2,Inputs!$D$2:$AG$2,0)),Inputs!$B$4:$B$150,$B29)/1000)</f>
        <v>0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560</v>
      </c>
      <c r="E31" s="11">
        <f>IF(E$3=0,"",SUMIFS(INDEX(Inputs!$D$4:$AG$150,0,MATCH(E$2,Inputs!$D$2:$AG$2,0)),Inputs!$B$4:$B$150,$B31)/1000)</f>
        <v>738</v>
      </c>
      <c r="F31" s="11">
        <f>IF(F$3=0,"",SUMIFS(INDEX(Inputs!$D$4:$AG$150,0,MATCH(F$2,Inputs!$D$2:$AG$2,0)),Inputs!$B$4:$B$150,$B31)/1000)</f>
        <v>944</v>
      </c>
      <c r="G31" s="11">
        <f>IF(G$3=0,"",SUMIFS(INDEX(Inputs!$D$4:$AG$150,0,MATCH(G$2,Inputs!$D$2:$AG$2,0)),Inputs!$B$4:$B$150,$B31)/1000)</f>
        <v>924</v>
      </c>
      <c r="H31" s="12">
        <f>IF(G31="","",G31)</f>
        <v>924</v>
      </c>
      <c r="I31" s="11">
        <f>IF(I$3=0,"",SUMIFS(INDEX(Inputs!$D$4:$AG$150,0,MATCH(I$2,Inputs!$D$2:$AG$2,0)),Inputs!$B$4:$B$150,$B31)/1000)</f>
        <v>1145</v>
      </c>
      <c r="J31" s="11">
        <f>IF(J$3=0,"",SUMIFS(INDEX(Inputs!$D$4:$AG$150,0,MATCH(J$2,Inputs!$D$2:$AG$2,0)),Inputs!$B$4:$B$150,$B31)/1000)</f>
        <v>1114</v>
      </c>
      <c r="K31" s="11">
        <f>IF(K$3=0,"",SUMIFS(INDEX(Inputs!$D$4:$AG$150,0,MATCH(K$2,Inputs!$D$2:$AG$2,0)),Inputs!$B$4:$B$150,$B31)/1000)</f>
        <v>1346</v>
      </c>
      <c r="L31" s="11">
        <f>IF(L$3=0,"",SUMIFS(INDEX(Inputs!$D$4:$AG$150,0,MATCH(L$2,Inputs!$D$2:$AG$2,0)),Inputs!$B$4:$B$150,$B31)/1000)</f>
        <v>916</v>
      </c>
      <c r="M31" s="12">
        <f>IF(L31="","",L31)</f>
        <v>916</v>
      </c>
      <c r="N31" s="11">
        <f>IF(N$3=0,"",SUMIFS(INDEX(Inputs!$D$4:$AG$150,0,MATCH(N$2,Inputs!$D$2:$AG$2,0)),Inputs!$B$4:$B$150,$B31)/1000)</f>
        <v>708</v>
      </c>
      <c r="O31" s="11">
        <f>IF(O$3=0,"",SUMIFS(INDEX(Inputs!$D$4:$AG$150,0,MATCH(O$2,Inputs!$D$2:$AG$2,0)),Inputs!$B$4:$B$150,$B31)/1000)</f>
        <v>668</v>
      </c>
      <c r="P31" s="11">
        <f>IF(P$3=0,"",SUMIFS(INDEX(Inputs!$D$4:$AG$150,0,MATCH(P$2,Inputs!$D$2:$AG$2,0)),Inputs!$B$4:$B$150,$B31)/1000)</f>
        <v>529</v>
      </c>
      <c r="Q31" s="11">
        <f>IF(Q$3=0,"",SUMIFS(INDEX(Inputs!$D$4:$AG$150,0,MATCH(Q$2,Inputs!$D$2:$AG$2,0)),Inputs!$B$4:$B$150,$B31)/1000)</f>
        <v>1108</v>
      </c>
      <c r="R31" s="12">
        <f>IF(Q31="","",Q31)</f>
        <v>1108</v>
      </c>
      <c r="S31" s="11">
        <f>IF(S$3=0,"",SUMIFS(INDEX(Inputs!$D$4:$AG$150,0,MATCH(S$2,Inputs!$D$2:$AG$2,0)),Inputs!$B$4:$B$150,$B31)/1000)</f>
        <v>1235</v>
      </c>
      <c r="T31" s="11">
        <f>IF(T$3=0,"",SUMIFS(INDEX(Inputs!$D$4:$AG$150,0,MATCH(T$2,Inputs!$D$2:$AG$2,0)),Inputs!$B$4:$B$150,$B31)/1000)</f>
        <v>1297</v>
      </c>
      <c r="U31" s="11">
        <f>IF(U$3=0,"",SUMIFS(INDEX(Inputs!$D$4:$AG$150,0,MATCH(U$2,Inputs!$D$2:$AG$2,0)),Inputs!$B$4:$B$150,$B31)/1000)</f>
        <v>1518</v>
      </c>
      <c r="V31" s="11">
        <f>IF(V$3=0,"",SUMIFS(INDEX(Inputs!$D$4:$AG$150,0,MATCH(V$2,Inputs!$D$2:$AG$2,0)),Inputs!$B$4:$B$150,$B31)/1000)</f>
        <v>1356</v>
      </c>
      <c r="W31" s="12">
        <f>IF(V31="","",V31)</f>
        <v>1356</v>
      </c>
      <c r="X31" s="11">
        <f>IF(X$3=0,"",SUMIFS(INDEX(Inputs!$D$4:$AG$150,0,MATCH(X$2,Inputs!$D$2:$AG$2,0)),Inputs!$B$4:$B$150,$B31)/1000)</f>
        <v>1197</v>
      </c>
      <c r="Y31" s="11">
        <f>IF(Y$3=0,"",SUMIFS(INDEX(Inputs!$D$4:$AG$150,0,MATCH(Y$2,Inputs!$D$2:$AG$2,0)),Inputs!$B$4:$B$150,$B31)/1000)</f>
        <v>836</v>
      </c>
      <c r="Z31" s="11">
        <f>IF(Z$3=0,"",SUMIFS(INDEX(Inputs!$D$4:$AG$150,0,MATCH(Z$2,Inputs!$D$2:$AG$2,0)),Inputs!$B$4:$B$150,$B31)/1000)</f>
        <v>1245</v>
      </c>
      <c r="AA31" s="11">
        <f>IF(AA$3=0,"",SUMIFS(INDEX(Inputs!$D$4:$AG$150,0,MATCH(AA$2,Inputs!$D$2:$AG$2,0)),Inputs!$B$4:$B$150,$B31)/1000)</f>
        <v>1695</v>
      </c>
      <c r="AB31" s="12">
        <f>IF(AA31="","",AA31)</f>
        <v>1695</v>
      </c>
      <c r="AC31" s="11">
        <f>IF(AC$3=0,"",SUMIFS(INDEX(Inputs!$D$4:$AG$150,0,MATCH(AC$2,Inputs!$D$2:$AG$2,0)),Inputs!$B$4:$B$150,$B31)/1000)</f>
        <v>2714</v>
      </c>
      <c r="AD31" s="11">
        <f>IF(AD$3=0,"",SUMIFS(INDEX(Inputs!$D$4:$AG$150,0,MATCH(AD$2,Inputs!$D$2:$AG$2,0)),Inputs!$B$4:$B$150,$B31)/1000)</f>
        <v>3385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323</v>
      </c>
      <c r="E32" s="11">
        <f>IF(E$3=0,"",SUMIFS(INDEX(Inputs!$D$4:$AG$150,0,MATCH(E$2,Inputs!$D$2:$AG$2,0)),Inputs!$B$4:$B$150,$B32)/1000)</f>
        <v>297</v>
      </c>
      <c r="F32" s="11">
        <f>IF(F$3=0,"",SUMIFS(INDEX(Inputs!$D$4:$AG$150,0,MATCH(F$2,Inputs!$D$2:$AG$2,0)),Inputs!$B$4:$B$150,$B32)/1000)</f>
        <v>155</v>
      </c>
      <c r="G32" s="11">
        <f>IF(G$3=0,"",SUMIFS(INDEX(Inputs!$D$4:$AG$150,0,MATCH(G$2,Inputs!$D$2:$AG$2,0)),Inputs!$B$4:$B$150,$B32)/1000)</f>
        <v>118</v>
      </c>
      <c r="H32" s="12">
        <f>IF(G32="","",G32)</f>
        <v>118</v>
      </c>
      <c r="I32" s="11">
        <f>IF(I$3=0,"",SUMIFS(INDEX(Inputs!$D$4:$AG$150,0,MATCH(I$2,Inputs!$D$2:$AG$2,0)),Inputs!$B$4:$B$150,$B32)/1000)</f>
        <v>123</v>
      </c>
      <c r="J32" s="11">
        <f>IF(J$3=0,"",SUMIFS(INDEX(Inputs!$D$4:$AG$150,0,MATCH(J$2,Inputs!$D$2:$AG$2,0)),Inputs!$B$4:$B$150,$B32)/1000)</f>
        <v>107</v>
      </c>
      <c r="K32" s="11">
        <f>IF(K$3=0,"",SUMIFS(INDEX(Inputs!$D$4:$AG$150,0,MATCH(K$2,Inputs!$D$2:$AG$2,0)),Inputs!$B$4:$B$150,$B32)/1000)</f>
        <v>103</v>
      </c>
      <c r="L32" s="11">
        <f>IF(L$3=0,"",SUMIFS(INDEX(Inputs!$D$4:$AG$150,0,MATCH(L$2,Inputs!$D$2:$AG$2,0)),Inputs!$B$4:$B$150,$B32)/1000)</f>
        <v>171</v>
      </c>
      <c r="M32" s="12">
        <f>IF(L32="","",L32)</f>
        <v>171</v>
      </c>
      <c r="N32" s="11">
        <f>IF(N$3=0,"",SUMIFS(INDEX(Inputs!$D$4:$AG$150,0,MATCH(N$2,Inputs!$D$2:$AG$2,0)),Inputs!$B$4:$B$150,$B32)/1000)</f>
        <v>237</v>
      </c>
      <c r="O32" s="11">
        <f>IF(O$3=0,"",SUMIFS(INDEX(Inputs!$D$4:$AG$150,0,MATCH(O$2,Inputs!$D$2:$AG$2,0)),Inputs!$B$4:$B$150,$B32)/1000)</f>
        <v>259</v>
      </c>
      <c r="P32" s="11">
        <f>IF(P$3=0,"",SUMIFS(INDEX(Inputs!$D$4:$AG$150,0,MATCH(P$2,Inputs!$D$2:$AG$2,0)),Inputs!$B$4:$B$150,$B32)/1000)</f>
        <v>278</v>
      </c>
      <c r="Q32" s="11">
        <f>IF(Q$3=0,"",SUMIFS(INDEX(Inputs!$D$4:$AG$150,0,MATCH(Q$2,Inputs!$D$2:$AG$2,0)),Inputs!$B$4:$B$150,$B32)/1000)</f>
        <v>908</v>
      </c>
      <c r="R32" s="12">
        <f>IF(Q32="","",Q32)</f>
        <v>908</v>
      </c>
      <c r="S32" s="11">
        <f>IF(S$3=0,"",SUMIFS(INDEX(Inputs!$D$4:$AG$150,0,MATCH(S$2,Inputs!$D$2:$AG$2,0)),Inputs!$B$4:$B$150,$B32)/1000)</f>
        <v>344</v>
      </c>
      <c r="T32" s="11">
        <f>IF(T$3=0,"",SUMIFS(INDEX(Inputs!$D$4:$AG$150,0,MATCH(T$2,Inputs!$D$2:$AG$2,0)),Inputs!$B$4:$B$150,$B32)/1000)</f>
        <v>398</v>
      </c>
      <c r="U32" s="11">
        <f>IF(U$3=0,"",SUMIFS(INDEX(Inputs!$D$4:$AG$150,0,MATCH(U$2,Inputs!$D$2:$AG$2,0)),Inputs!$B$4:$B$150,$B32)/1000)</f>
        <v>431</v>
      </c>
      <c r="V32" s="11">
        <f>IF(V$3=0,"",SUMIFS(INDEX(Inputs!$D$4:$AG$150,0,MATCH(V$2,Inputs!$D$2:$AG$2,0)),Inputs!$B$4:$B$150,$B32)/1000)</f>
        <v>533</v>
      </c>
      <c r="W32" s="12">
        <f>IF(V32="","",V32)</f>
        <v>533</v>
      </c>
      <c r="X32" s="11">
        <f>IF(X$3=0,"",SUMIFS(INDEX(Inputs!$D$4:$AG$150,0,MATCH(X$2,Inputs!$D$2:$AG$2,0)),Inputs!$B$4:$B$150,$B32)/1000)</f>
        <v>504</v>
      </c>
      <c r="Y32" s="11">
        <f>IF(Y$3=0,"",SUMIFS(INDEX(Inputs!$D$4:$AG$150,0,MATCH(Y$2,Inputs!$D$2:$AG$2,0)),Inputs!$B$4:$B$150,$B32)/1000)</f>
        <v>538</v>
      </c>
      <c r="Z32" s="11">
        <f>IF(Z$3=0,"",SUMIFS(INDEX(Inputs!$D$4:$AG$150,0,MATCH(Z$2,Inputs!$D$2:$AG$2,0)),Inputs!$B$4:$B$150,$B32)/1000)</f>
        <v>560</v>
      </c>
      <c r="AA32" s="11">
        <f>IF(AA$3=0,"",SUMIFS(INDEX(Inputs!$D$4:$AG$150,0,MATCH(AA$2,Inputs!$D$2:$AG$2,0)),Inputs!$B$4:$B$150,$B32)/1000)</f>
        <v>569</v>
      </c>
      <c r="AB32" s="12">
        <f>IF(AA32="","",AA32)</f>
        <v>569</v>
      </c>
      <c r="AC32" s="11">
        <f>IF(AC$3=0,"",SUMIFS(INDEX(Inputs!$D$4:$AG$150,0,MATCH(AC$2,Inputs!$D$2:$AG$2,0)),Inputs!$B$4:$B$150,$B32)/1000)</f>
        <v>585</v>
      </c>
      <c r="AD32" s="11">
        <f>IF(AD$3=0,"",SUMIFS(INDEX(Inputs!$D$4:$AG$150,0,MATCH(AD$2,Inputs!$D$2:$AG$2,0)),Inputs!$B$4:$B$150,$B32)/1000)</f>
        <v>582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6298</v>
      </c>
      <c r="E35" s="11">
        <f>IF(E$3=0,"",SUMIFS(INDEX(Inputs!$D$4:$AG$150,0,MATCH(E$2,Inputs!$D$2:$AG$2,0)),Inputs!$B$4:$B$150,$B35)/1000)</f>
        <v>6418</v>
      </c>
      <c r="F35" s="11">
        <f>IF(F$3=0,"",SUMIFS(INDEX(Inputs!$D$4:$AG$150,0,MATCH(F$2,Inputs!$D$2:$AG$2,0)),Inputs!$B$4:$B$150,$B35)/1000)</f>
        <v>6621</v>
      </c>
      <c r="G35" s="11">
        <f>IF(G$3=0,"",SUMIFS(INDEX(Inputs!$D$4:$AG$150,0,MATCH(G$2,Inputs!$D$2:$AG$2,0)),Inputs!$B$4:$B$150,$B35)/1000)</f>
        <v>6904</v>
      </c>
      <c r="H35" s="12">
        <f>IF(G35="","",G35)</f>
        <v>6904</v>
      </c>
      <c r="I35" s="11">
        <f>IF(I$3=0,"",SUMIFS(INDEX(Inputs!$D$4:$AG$150,0,MATCH(I$2,Inputs!$D$2:$AG$2,0)),Inputs!$B$4:$B$150,$B35)/1000)</f>
        <v>6953</v>
      </c>
      <c r="J35" s="11">
        <f>IF(J$3=0,"",SUMIFS(INDEX(Inputs!$D$4:$AG$150,0,MATCH(J$2,Inputs!$D$2:$AG$2,0)),Inputs!$B$4:$B$150,$B35)/1000)</f>
        <v>6856</v>
      </c>
      <c r="K35" s="11">
        <f>IF(K$3=0,"",SUMIFS(INDEX(Inputs!$D$4:$AG$150,0,MATCH(K$2,Inputs!$D$2:$AG$2,0)),Inputs!$B$4:$B$150,$B35)/1000)</f>
        <v>6803</v>
      </c>
      <c r="L35" s="11">
        <f>IF(L$3=0,"",SUMIFS(INDEX(Inputs!$D$4:$AG$150,0,MATCH(L$2,Inputs!$D$2:$AG$2,0)),Inputs!$B$4:$B$150,$B35)/1000)</f>
        <v>10094</v>
      </c>
      <c r="M35" s="12">
        <f>IF(L35="","",L35)</f>
        <v>10094</v>
      </c>
      <c r="N35" s="11">
        <f>IF(N$3=0,"",SUMIFS(INDEX(Inputs!$D$4:$AG$150,0,MATCH(N$2,Inputs!$D$2:$AG$2,0)),Inputs!$B$4:$B$150,$B35)/1000)</f>
        <v>12037</v>
      </c>
      <c r="O35" s="11">
        <f>IF(O$3=0,"",SUMIFS(INDEX(Inputs!$D$4:$AG$150,0,MATCH(O$2,Inputs!$D$2:$AG$2,0)),Inputs!$B$4:$B$150,$B35)/1000)</f>
        <v>12986</v>
      </c>
      <c r="P35" s="11">
        <f>IF(P$3=0,"",SUMIFS(INDEX(Inputs!$D$4:$AG$150,0,MATCH(P$2,Inputs!$D$2:$AG$2,0)),Inputs!$B$4:$B$150,$B35)/1000)</f>
        <v>13052</v>
      </c>
      <c r="Q35" s="11">
        <f>IF(Q$3=0,"",SUMIFS(INDEX(Inputs!$D$4:$AG$150,0,MATCH(Q$2,Inputs!$D$2:$AG$2,0)),Inputs!$B$4:$B$150,$B35)/1000)</f>
        <v>12597</v>
      </c>
      <c r="R35" s="12">
        <f>IF(Q35="","",Q35)</f>
        <v>12597</v>
      </c>
      <c r="S35" s="11">
        <f>IF(S$3=0,"",SUMIFS(INDEX(Inputs!$D$4:$AG$150,0,MATCH(S$2,Inputs!$D$2:$AG$2,0)),Inputs!$B$4:$B$150,$B35)/1000)</f>
        <v>13378</v>
      </c>
      <c r="T35" s="11">
        <f>IF(T$3=0,"",SUMIFS(INDEX(Inputs!$D$4:$AG$150,0,MATCH(T$2,Inputs!$D$2:$AG$2,0)),Inputs!$B$4:$B$150,$B35)/1000)</f>
        <v>12860</v>
      </c>
      <c r="U35" s="11">
        <f>IF(U$3=0,"",SUMIFS(INDEX(Inputs!$D$4:$AG$150,0,MATCH(U$2,Inputs!$D$2:$AG$2,0)),Inputs!$B$4:$B$150,$B35)/1000)</f>
        <v>12966</v>
      </c>
      <c r="V35" s="11">
        <f>IF(V$3=0,"",SUMIFS(INDEX(Inputs!$D$4:$AG$150,0,MATCH(V$2,Inputs!$D$2:$AG$2,0)),Inputs!$B$4:$B$150,$B35)/1000)</f>
        <v>13252</v>
      </c>
      <c r="W35" s="12">
        <f>IF(V35="","",V35)</f>
        <v>13252</v>
      </c>
      <c r="X35" s="11">
        <f>IF(X$3=0,"",SUMIFS(INDEX(Inputs!$D$4:$AG$150,0,MATCH(X$2,Inputs!$D$2:$AG$2,0)),Inputs!$B$4:$B$150,$B35)/1000)</f>
        <v>13851</v>
      </c>
      <c r="Y35" s="11">
        <f>IF(Y$3=0,"",SUMIFS(INDEX(Inputs!$D$4:$AG$150,0,MATCH(Y$2,Inputs!$D$2:$AG$2,0)),Inputs!$B$4:$B$150,$B35)/1000)</f>
        <v>15003</v>
      </c>
      <c r="Z35" s="11">
        <f>IF(Z$3=0,"",SUMIFS(INDEX(Inputs!$D$4:$AG$150,0,MATCH(Z$2,Inputs!$D$2:$AG$2,0)),Inputs!$B$4:$B$150,$B35)/1000)</f>
        <v>14017</v>
      </c>
      <c r="AA35" s="11">
        <f>IF(AA$3=0,"",SUMIFS(INDEX(Inputs!$D$4:$AG$150,0,MATCH(AA$2,Inputs!$D$2:$AG$2,0)),Inputs!$B$4:$B$150,$B35)/1000)</f>
        <v>11187</v>
      </c>
      <c r="AB35" s="12">
        <f>IF(AA35="","",AA35)</f>
        <v>11187</v>
      </c>
      <c r="AC35" s="11">
        <f>IF(AC$3=0,"",SUMIFS(INDEX(Inputs!$D$4:$AG$150,0,MATCH(AC$2,Inputs!$D$2:$AG$2,0)),Inputs!$B$4:$B$150,$B35)/1000)</f>
        <v>9557</v>
      </c>
      <c r="AD35" s="11">
        <f>IF(AD$3=0,"",SUMIFS(INDEX(Inputs!$D$4:$AG$150,0,MATCH(AD$2,Inputs!$D$2:$AG$2,0)),Inputs!$B$4:$B$150,$B35)/1000)</f>
        <v>5140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528</v>
      </c>
      <c r="E36" s="11">
        <f>IF(E$3=0,"",SUMIFS(INDEX(Inputs!$D$4:$AG$150,0,MATCH(E$2,Inputs!$D$2:$AG$2,0)),Inputs!$B$4:$B$150,$B36)/1000)</f>
        <v>513</v>
      </c>
      <c r="F36" s="11">
        <f>IF(F$3=0,"",SUMIFS(INDEX(Inputs!$D$4:$AG$150,0,MATCH(F$2,Inputs!$D$2:$AG$2,0)),Inputs!$B$4:$B$150,$B36)/1000)</f>
        <v>504</v>
      </c>
      <c r="G36" s="11">
        <f>IF(G$3=0,"",SUMIFS(INDEX(Inputs!$D$4:$AG$150,0,MATCH(G$2,Inputs!$D$2:$AG$2,0)),Inputs!$B$4:$B$150,$B36)/1000)</f>
        <v>523</v>
      </c>
      <c r="H36" s="12">
        <f>IF(G36="","",G36)</f>
        <v>523</v>
      </c>
      <c r="I36" s="11">
        <f>IF(I$3=0,"",SUMIFS(INDEX(Inputs!$D$4:$AG$150,0,MATCH(I$2,Inputs!$D$2:$AG$2,0)),Inputs!$B$4:$B$150,$B36)/1000)</f>
        <v>535</v>
      </c>
      <c r="J36" s="11">
        <f>IF(J$3=0,"",SUMIFS(INDEX(Inputs!$D$4:$AG$150,0,MATCH(J$2,Inputs!$D$2:$AG$2,0)),Inputs!$B$4:$B$150,$B36)/1000)</f>
        <v>629</v>
      </c>
      <c r="K36" s="11">
        <f>IF(K$3=0,"",SUMIFS(INDEX(Inputs!$D$4:$AG$150,0,MATCH(K$2,Inputs!$D$2:$AG$2,0)),Inputs!$B$4:$B$150,$B36)/1000)</f>
        <v>610</v>
      </c>
      <c r="L36" s="11">
        <f>IF(L$3=0,"",SUMIFS(INDEX(Inputs!$D$4:$AG$150,0,MATCH(L$2,Inputs!$D$2:$AG$2,0)),Inputs!$B$4:$B$150,$B36)/1000)</f>
        <v>625</v>
      </c>
      <c r="M36" s="12">
        <f>IF(L36="","",L36)</f>
        <v>625</v>
      </c>
      <c r="N36" s="11">
        <f>IF(N$3=0,"",SUMIFS(INDEX(Inputs!$D$4:$AG$150,0,MATCH(N$2,Inputs!$D$2:$AG$2,0)),Inputs!$B$4:$B$150,$B36)/1000)</f>
        <v>610</v>
      </c>
      <c r="O36" s="11">
        <f>IF(O$3=0,"",SUMIFS(INDEX(Inputs!$D$4:$AG$150,0,MATCH(O$2,Inputs!$D$2:$AG$2,0)),Inputs!$B$4:$B$150,$B36)/1000)</f>
        <v>603</v>
      </c>
      <c r="P36" s="11">
        <f>IF(P$3=0,"",SUMIFS(INDEX(Inputs!$D$4:$AG$150,0,MATCH(P$2,Inputs!$D$2:$AG$2,0)),Inputs!$B$4:$B$150,$B36)/1000)</f>
        <v>603</v>
      </c>
      <c r="Q36" s="11">
        <f>IF(Q$3=0,"",SUMIFS(INDEX(Inputs!$D$4:$AG$150,0,MATCH(Q$2,Inputs!$D$2:$AG$2,0)),Inputs!$B$4:$B$150,$B36)/1000)</f>
        <v>601</v>
      </c>
      <c r="R36" s="12">
        <f>IF(Q36="","",Q36)</f>
        <v>601</v>
      </c>
      <c r="S36" s="11">
        <f>IF(S$3=0,"",SUMIFS(INDEX(Inputs!$D$4:$AG$150,0,MATCH(S$2,Inputs!$D$2:$AG$2,0)),Inputs!$B$4:$B$150,$B36)/1000)</f>
        <v>593</v>
      </c>
      <c r="T36" s="11">
        <f>IF(T$3=0,"",SUMIFS(INDEX(Inputs!$D$4:$AG$150,0,MATCH(T$2,Inputs!$D$2:$AG$2,0)),Inputs!$B$4:$B$150,$B36)/1000)</f>
        <v>609</v>
      </c>
      <c r="U36" s="11">
        <f>IF(U$3=0,"",SUMIFS(INDEX(Inputs!$D$4:$AG$150,0,MATCH(U$2,Inputs!$D$2:$AG$2,0)),Inputs!$B$4:$B$150,$B36)/1000)</f>
        <v>610</v>
      </c>
      <c r="V36" s="11">
        <f>IF(V$3=0,"",SUMIFS(INDEX(Inputs!$D$4:$AG$150,0,MATCH(V$2,Inputs!$D$2:$AG$2,0)),Inputs!$B$4:$B$150,$B36)/1000)</f>
        <v>588</v>
      </c>
      <c r="W36" s="12">
        <f>IF(V36="","",V36)</f>
        <v>588</v>
      </c>
      <c r="X36" s="11">
        <f>IF(X$3=0,"",SUMIFS(INDEX(Inputs!$D$4:$AG$150,0,MATCH(X$2,Inputs!$D$2:$AG$2,0)),Inputs!$B$4:$B$150,$B36)/1000)</f>
        <v>599</v>
      </c>
      <c r="Y36" s="11">
        <f>IF(Y$3=0,"",SUMIFS(INDEX(Inputs!$D$4:$AG$150,0,MATCH(Y$2,Inputs!$D$2:$AG$2,0)),Inputs!$B$4:$B$150,$B36)/1000)</f>
        <v>600</v>
      </c>
      <c r="Z36" s="11">
        <f>IF(Z$3=0,"",SUMIFS(INDEX(Inputs!$D$4:$AG$150,0,MATCH(Z$2,Inputs!$D$2:$AG$2,0)),Inputs!$B$4:$B$150,$B36)/1000)</f>
        <v>701</v>
      </c>
      <c r="AA36" s="11">
        <f>IF(AA$3=0,"",SUMIFS(INDEX(Inputs!$D$4:$AG$150,0,MATCH(AA$2,Inputs!$D$2:$AG$2,0)),Inputs!$B$4:$B$150,$B36)/1000)</f>
        <v>669</v>
      </c>
      <c r="AB36" s="12">
        <f>IF(AA36="","",AA36)</f>
        <v>669</v>
      </c>
      <c r="AC36" s="11">
        <f>IF(AC$3=0,"",SUMIFS(INDEX(Inputs!$D$4:$AG$150,0,MATCH(AC$2,Inputs!$D$2:$AG$2,0)),Inputs!$B$4:$B$150,$B36)/1000)</f>
        <v>656</v>
      </c>
      <c r="AD36" s="11">
        <f>IF(AD$3=0,"",SUMIFS(INDEX(Inputs!$D$4:$AG$150,0,MATCH(AD$2,Inputs!$D$2:$AG$2,0)),Inputs!$B$4:$B$150,$B36)/1000)</f>
        <v>654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1213</v>
      </c>
      <c r="E39" s="11">
        <f>IF(E$3=0,"",SUMIFS(INDEX(Inputs!$D$4:$AG$150,0,MATCH(E$2,Inputs!$D$2:$AG$2,0)),Inputs!$B$4:$B$150,$B39)/1000)</f>
        <v>1291</v>
      </c>
      <c r="F39" s="11">
        <f>IF(F$3=0,"",SUMIFS(INDEX(Inputs!$D$4:$AG$150,0,MATCH(F$2,Inputs!$D$2:$AG$2,0)),Inputs!$B$4:$B$150,$B39)/1000)</f>
        <v>1367</v>
      </c>
      <c r="G39" s="11">
        <f>IF(G$3=0,"",SUMIFS(INDEX(Inputs!$D$4:$AG$150,0,MATCH(G$2,Inputs!$D$2:$AG$2,0)),Inputs!$B$4:$B$150,$B39)/1000)</f>
        <v>1399</v>
      </c>
      <c r="H39" s="12">
        <f>IF(G39="","",G39)</f>
        <v>1399</v>
      </c>
      <c r="I39" s="11">
        <f>IF(I$3=0,"",SUMIFS(INDEX(Inputs!$D$4:$AG$150,0,MATCH(I$2,Inputs!$D$2:$AG$2,0)),Inputs!$B$4:$B$150,$B39)/1000)</f>
        <v>1445</v>
      </c>
      <c r="J39" s="11">
        <f>IF(J$3=0,"",SUMIFS(INDEX(Inputs!$D$4:$AG$150,0,MATCH(J$2,Inputs!$D$2:$AG$2,0)),Inputs!$B$4:$B$150,$B39)/1000)</f>
        <v>1521</v>
      </c>
      <c r="K39" s="11">
        <f>IF(K$3=0,"",SUMIFS(INDEX(Inputs!$D$4:$AG$150,0,MATCH(K$2,Inputs!$D$2:$AG$2,0)),Inputs!$B$4:$B$150,$B39)/1000)</f>
        <v>1424</v>
      </c>
      <c r="L39" s="11">
        <f>IF(L$3=0,"",SUMIFS(INDEX(Inputs!$D$4:$AG$150,0,MATCH(L$2,Inputs!$D$2:$AG$2,0)),Inputs!$B$4:$B$150,$B39)/1000)</f>
        <v>1324</v>
      </c>
      <c r="M39" s="12">
        <f>IF(L39="","",L39)</f>
        <v>1324</v>
      </c>
      <c r="N39" s="11">
        <f>IF(N$3=0,"",SUMIFS(INDEX(Inputs!$D$4:$AG$150,0,MATCH(N$2,Inputs!$D$2:$AG$2,0)),Inputs!$B$4:$B$150,$B39)/1000)</f>
        <v>1361</v>
      </c>
      <c r="O39" s="11">
        <f>IF(O$3=0,"",SUMIFS(INDEX(Inputs!$D$4:$AG$150,0,MATCH(O$2,Inputs!$D$2:$AG$2,0)),Inputs!$B$4:$B$150,$B39)/1000)</f>
        <v>1582</v>
      </c>
      <c r="P39" s="11">
        <f>IF(P$3=0,"",SUMIFS(INDEX(Inputs!$D$4:$AG$150,0,MATCH(P$2,Inputs!$D$2:$AG$2,0)),Inputs!$B$4:$B$150,$B39)/1000)</f>
        <v>1714</v>
      </c>
      <c r="Q39" s="11">
        <f>IF(Q$3=0,"",SUMIFS(INDEX(Inputs!$D$4:$AG$150,0,MATCH(Q$2,Inputs!$D$2:$AG$2,0)),Inputs!$B$4:$B$150,$B39)/1000)</f>
        <v>1731</v>
      </c>
      <c r="R39" s="12">
        <f>IF(Q39="","",Q39)</f>
        <v>1731</v>
      </c>
      <c r="S39" s="11">
        <f>IF(S$3=0,"",SUMIFS(INDEX(Inputs!$D$4:$AG$150,0,MATCH(S$2,Inputs!$D$2:$AG$2,0)),Inputs!$B$4:$B$150,$B39)/1000)</f>
        <v>1618</v>
      </c>
      <c r="T39" s="11">
        <f>IF(T$3=0,"",SUMIFS(INDEX(Inputs!$D$4:$AG$150,0,MATCH(T$2,Inputs!$D$2:$AG$2,0)),Inputs!$B$4:$B$150,$B39)/1000)</f>
        <v>1721</v>
      </c>
      <c r="U39" s="11">
        <f>IF(U$3=0,"",SUMIFS(INDEX(Inputs!$D$4:$AG$150,0,MATCH(U$2,Inputs!$D$2:$AG$2,0)),Inputs!$B$4:$B$150,$B39)/1000)</f>
        <v>1461</v>
      </c>
      <c r="V39" s="11">
        <f>IF(V$3=0,"",SUMIFS(INDEX(Inputs!$D$4:$AG$150,0,MATCH(V$2,Inputs!$D$2:$AG$2,0)),Inputs!$B$4:$B$150,$B39)/1000)</f>
        <v>1809</v>
      </c>
      <c r="W39" s="12">
        <f>IF(V39="","",V39)</f>
        <v>1809</v>
      </c>
      <c r="X39" s="11">
        <f>IF(X$3=0,"",SUMIFS(INDEX(Inputs!$D$4:$AG$150,0,MATCH(X$2,Inputs!$D$2:$AG$2,0)),Inputs!$B$4:$B$150,$B39)/1000)</f>
        <v>2093</v>
      </c>
      <c r="Y39" s="11">
        <f>IF(Y$3=0,"",SUMIFS(INDEX(Inputs!$D$4:$AG$150,0,MATCH(Y$2,Inputs!$D$2:$AG$2,0)),Inputs!$B$4:$B$150,$B39)/1000)</f>
        <v>1911</v>
      </c>
      <c r="Z39" s="11">
        <f>IF(Z$3=0,"",SUMIFS(INDEX(Inputs!$D$4:$AG$150,0,MATCH(Z$2,Inputs!$D$2:$AG$2,0)),Inputs!$B$4:$B$150,$B39)/1000)</f>
        <v>2461</v>
      </c>
      <c r="AA39" s="11">
        <f>IF(AA$3=0,"",SUMIFS(INDEX(Inputs!$D$4:$AG$150,0,MATCH(AA$2,Inputs!$D$2:$AG$2,0)),Inputs!$B$4:$B$150,$B39)/1000)</f>
        <v>3249</v>
      </c>
      <c r="AB39" s="12">
        <f>IF(AA39="","",AA39)</f>
        <v>3249</v>
      </c>
      <c r="AC39" s="11">
        <f>IF(AC$3=0,"",SUMIFS(INDEX(Inputs!$D$4:$AG$150,0,MATCH(AC$2,Inputs!$D$2:$AG$2,0)),Inputs!$B$4:$B$150,$B39)/1000)</f>
        <v>4541</v>
      </c>
      <c r="AD39" s="11">
        <f>IF(AD$3=0,"",SUMIFS(INDEX(Inputs!$D$4:$AG$150,0,MATCH(AD$2,Inputs!$D$2:$AG$2,0)),Inputs!$B$4:$B$150,$B39)/1000)</f>
        <v>8106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0</v>
      </c>
      <c r="E41" s="11">
        <f>IF(E$3=0,"",SUMIFS(INDEX(Inputs!$D$4:$AG$150,0,MATCH(E$2,Inputs!$D$2:$AG$2,0)),Inputs!$B$4:$B$150,$B41)/1000)</f>
        <v>0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9354</v>
      </c>
      <c r="E43" s="11">
        <f>IF(E$3=0,"",SUMIFS(INDEX(Inputs!$D$4:$AG$150,0,MATCH(E$2,Inputs!$D$2:$AG$2,0)),Inputs!$B$4:$B$150,$B43)/1000)</f>
        <v>9405</v>
      </c>
      <c r="F43" s="11">
        <f>IF(F$3=0,"",SUMIFS(INDEX(Inputs!$D$4:$AG$150,0,MATCH(F$2,Inputs!$D$2:$AG$2,0)),Inputs!$B$4:$B$150,$B43)/1000)</f>
        <v>9575</v>
      </c>
      <c r="G43" s="11">
        <f>IF(G$3=0,"",SUMIFS(INDEX(Inputs!$D$4:$AG$150,0,MATCH(G$2,Inputs!$D$2:$AG$2,0)),Inputs!$B$4:$B$150,$B43)/1000)</f>
        <v>9686</v>
      </c>
      <c r="H43" s="12">
        <f>IF(G43="","",G43)</f>
        <v>9686</v>
      </c>
      <c r="I43" s="11">
        <f>IF(I$3=0,"",SUMIFS(INDEX(Inputs!$D$4:$AG$150,0,MATCH(I$2,Inputs!$D$2:$AG$2,0)),Inputs!$B$4:$B$150,$B43)/1000)</f>
        <v>9938</v>
      </c>
      <c r="J43" s="11">
        <f>IF(J$3=0,"",SUMIFS(INDEX(Inputs!$D$4:$AG$150,0,MATCH(J$2,Inputs!$D$2:$AG$2,0)),Inputs!$B$4:$B$150,$B43)/1000)</f>
        <v>10072</v>
      </c>
      <c r="K43" s="11">
        <f>IF(K$3=0,"",SUMIFS(INDEX(Inputs!$D$4:$AG$150,0,MATCH(K$2,Inputs!$D$2:$AG$2,0)),Inputs!$B$4:$B$150,$B43)/1000)</f>
        <v>10320</v>
      </c>
      <c r="L43" s="11">
        <f>IF(L$3=0,"",SUMIFS(INDEX(Inputs!$D$4:$AG$150,0,MATCH(L$2,Inputs!$D$2:$AG$2,0)),Inputs!$B$4:$B$150,$B43)/1000)</f>
        <v>10458</v>
      </c>
      <c r="M43" s="12">
        <f>IF(L43="","",L43)</f>
        <v>10458</v>
      </c>
      <c r="N43" s="11">
        <f>IF(N$3=0,"",SUMIFS(INDEX(Inputs!$D$4:$AG$150,0,MATCH(N$2,Inputs!$D$2:$AG$2,0)),Inputs!$B$4:$B$150,$B43)/1000)</f>
        <v>10756</v>
      </c>
      <c r="O43" s="11">
        <f>IF(O$3=0,"",SUMIFS(INDEX(Inputs!$D$4:$AG$150,0,MATCH(O$2,Inputs!$D$2:$AG$2,0)),Inputs!$B$4:$B$150,$B43)/1000)</f>
        <v>10906</v>
      </c>
      <c r="P43" s="11">
        <f>IF(P$3=0,"",SUMIFS(INDEX(Inputs!$D$4:$AG$150,0,MATCH(P$2,Inputs!$D$2:$AG$2,0)),Inputs!$B$4:$B$150,$B43)/1000)</f>
        <v>11160</v>
      </c>
      <c r="Q43" s="11">
        <f>IF(Q$3=0,"",SUMIFS(INDEX(Inputs!$D$4:$AG$150,0,MATCH(Q$2,Inputs!$D$2:$AG$2,0)),Inputs!$B$4:$B$150,$B43)/1000)</f>
        <v>11341</v>
      </c>
      <c r="R43" s="12">
        <f>IF(Q43="","",Q43)</f>
        <v>11341</v>
      </c>
      <c r="S43" s="11">
        <f>IF(S$3=0,"",SUMIFS(INDEX(Inputs!$D$4:$AG$150,0,MATCH(S$2,Inputs!$D$2:$AG$2,0)),Inputs!$B$4:$B$150,$B43)/1000)</f>
        <v>11689</v>
      </c>
      <c r="T43" s="11">
        <f>IF(T$3=0,"",SUMIFS(INDEX(Inputs!$D$4:$AG$150,0,MATCH(T$2,Inputs!$D$2:$AG$2,0)),Inputs!$B$4:$B$150,$B43)/1000)</f>
        <v>11919</v>
      </c>
      <c r="U43" s="11">
        <f>IF(U$3=0,"",SUMIFS(INDEX(Inputs!$D$4:$AG$150,0,MATCH(U$2,Inputs!$D$2:$AG$2,0)),Inputs!$B$4:$B$150,$B43)/1000)</f>
        <v>12240</v>
      </c>
      <c r="V43" s="11">
        <f>IF(V$3=0,"",SUMIFS(INDEX(Inputs!$D$4:$AG$150,0,MATCH(V$2,Inputs!$D$2:$AG$2,0)),Inputs!$B$4:$B$150,$B43)/1000)</f>
        <v>12443</v>
      </c>
      <c r="W43" s="12">
        <f>IF(V43="","",V43)</f>
        <v>12443</v>
      </c>
      <c r="X43" s="11">
        <f>IF(X$3=0,"",SUMIFS(INDEX(Inputs!$D$4:$AG$150,0,MATCH(X$2,Inputs!$D$2:$AG$2,0)),Inputs!$B$4:$B$150,$B43)/1000)</f>
        <v>12837</v>
      </c>
      <c r="Y43" s="11">
        <f>IF(Y$3=0,"",SUMIFS(INDEX(Inputs!$D$4:$AG$150,0,MATCH(Y$2,Inputs!$D$2:$AG$2,0)),Inputs!$B$4:$B$150,$B43)/1000)</f>
        <v>13086</v>
      </c>
      <c r="Z43" s="11">
        <f>IF(Z$3=0,"",SUMIFS(INDEX(Inputs!$D$4:$AG$150,0,MATCH(Z$2,Inputs!$D$2:$AG$2,0)),Inputs!$B$4:$B$150,$B43)/1000)</f>
        <v>13466</v>
      </c>
      <c r="AA43" s="11">
        <f>IF(AA$3=0,"",SUMIFS(INDEX(Inputs!$D$4:$AG$150,0,MATCH(AA$2,Inputs!$D$2:$AG$2,0)),Inputs!$B$4:$B$150,$B43)/1000)</f>
        <v>13737</v>
      </c>
      <c r="AB43" s="12">
        <f>IF(AA43="","",AA43)</f>
        <v>13737</v>
      </c>
      <c r="AC43" s="11">
        <f>IF(AC$3=0,"",SUMIFS(INDEX(Inputs!$D$4:$AG$150,0,MATCH(AC$2,Inputs!$D$2:$AG$2,0)),Inputs!$B$4:$B$150,$B43)/1000)</f>
        <v>14219</v>
      </c>
      <c r="AD43" s="11">
        <f>IF(AD$3=0,"",SUMIFS(INDEX(Inputs!$D$4:$AG$150,0,MATCH(AD$2,Inputs!$D$2:$AG$2,0)),Inputs!$B$4:$B$150,$B43)/1000)</f>
        <v>14570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-3495</v>
      </c>
      <c r="E44" s="11">
        <f>IF(E$3=0,"",SUMIFS(INDEX(Inputs!$D$4:$AG$150,0,MATCH(E$2,Inputs!$D$2:$AG$2,0)),Inputs!$B$4:$B$150,$B44)/1000)</f>
        <v>-3645</v>
      </c>
      <c r="F44" s="11">
        <f>IF(F$3=0,"",SUMIFS(INDEX(Inputs!$D$4:$AG$150,0,MATCH(F$2,Inputs!$D$2:$AG$2,0)),Inputs!$B$4:$B$150,$B44)/1000)</f>
        <v>-4695</v>
      </c>
      <c r="G44" s="11">
        <f>IF(G$3=0,"",SUMIFS(INDEX(Inputs!$D$4:$AG$150,0,MATCH(G$2,Inputs!$D$2:$AG$2,0)),Inputs!$B$4:$B$150,$B44)/1000)</f>
        <v>-4954</v>
      </c>
      <c r="H44" s="12">
        <f>IF(G44="","",G44)</f>
        <v>-4954</v>
      </c>
      <c r="I44" s="11">
        <f>IF(I$3=0,"",SUMIFS(INDEX(Inputs!$D$4:$AG$150,0,MATCH(I$2,Inputs!$D$2:$AG$2,0)),Inputs!$B$4:$B$150,$B44)/1000)</f>
        <v>-5362</v>
      </c>
      <c r="J44" s="11">
        <f>IF(J$3=0,"",SUMIFS(INDEX(Inputs!$D$4:$AG$150,0,MATCH(J$2,Inputs!$D$2:$AG$2,0)),Inputs!$B$4:$B$150,$B44)/1000)</f>
        <v>-6343</v>
      </c>
      <c r="K44" s="11">
        <f>IF(K$3=0,"",SUMIFS(INDEX(Inputs!$D$4:$AG$150,0,MATCH(K$2,Inputs!$D$2:$AG$2,0)),Inputs!$B$4:$B$150,$B44)/1000)</f>
        <v>-7127</v>
      </c>
      <c r="L44" s="11">
        <f>IF(L$3=0,"",SUMIFS(INDEX(Inputs!$D$4:$AG$150,0,MATCH(L$2,Inputs!$D$2:$AG$2,0)),Inputs!$B$4:$B$150,$B44)/1000)</f>
        <v>-7552</v>
      </c>
      <c r="M44" s="12">
        <f>IF(L44="","",L44)</f>
        <v>-7552</v>
      </c>
      <c r="N44" s="11">
        <f>IF(N$3=0,"",SUMIFS(INDEX(Inputs!$D$4:$AG$150,0,MATCH(N$2,Inputs!$D$2:$AG$2,0)),Inputs!$B$4:$B$150,$B44)/1000)</f>
        <v>-7552</v>
      </c>
      <c r="O44" s="11">
        <f>IF(O$3=0,"",SUMIFS(INDEX(Inputs!$D$4:$AG$150,0,MATCH(O$2,Inputs!$D$2:$AG$2,0)),Inputs!$B$4:$B$150,$B44)/1000)</f>
        <v>-7552</v>
      </c>
      <c r="P44" s="11">
        <f>IF(P$3=0,"",SUMIFS(INDEX(Inputs!$D$4:$AG$150,0,MATCH(P$2,Inputs!$D$2:$AG$2,0)),Inputs!$B$4:$B$150,$B44)/1000)</f>
        <v>-7552</v>
      </c>
      <c r="Q44" s="11">
        <f>IF(Q$3=0,"",SUMIFS(INDEX(Inputs!$D$4:$AG$150,0,MATCH(Q$2,Inputs!$D$2:$AG$2,0)),Inputs!$B$4:$B$150,$B44)/1000)</f>
        <v>-7552</v>
      </c>
      <c r="R44" s="12">
        <f>IF(Q44="","",Q44)</f>
        <v>-7552</v>
      </c>
      <c r="S44" s="11">
        <f>IF(S$3=0,"",SUMIFS(INDEX(Inputs!$D$4:$AG$150,0,MATCH(S$2,Inputs!$D$2:$AG$2,0)),Inputs!$B$4:$B$150,$B44)/1000)</f>
        <v>-7552</v>
      </c>
      <c r="T44" s="11">
        <f>IF(T$3=0,"",SUMIFS(INDEX(Inputs!$D$4:$AG$150,0,MATCH(T$2,Inputs!$D$2:$AG$2,0)),Inputs!$B$4:$B$150,$B44)/1000)</f>
        <v>-7552</v>
      </c>
      <c r="U44" s="11">
        <f>IF(U$3=0,"",SUMIFS(INDEX(Inputs!$D$4:$AG$150,0,MATCH(U$2,Inputs!$D$2:$AG$2,0)),Inputs!$B$4:$B$150,$B44)/1000)</f>
        <v>-7852</v>
      </c>
      <c r="V44" s="11">
        <f>IF(V$3=0,"",SUMIFS(INDEX(Inputs!$D$4:$AG$150,0,MATCH(V$2,Inputs!$D$2:$AG$2,0)),Inputs!$B$4:$B$150,$B44)/1000)</f>
        <v>-7852</v>
      </c>
      <c r="W44" s="12">
        <f>IF(V44="","",V44)</f>
        <v>-7852</v>
      </c>
      <c r="X44" s="11">
        <f>IF(X$3=0,"",SUMIFS(INDEX(Inputs!$D$4:$AG$150,0,MATCH(X$2,Inputs!$D$2:$AG$2,0)),Inputs!$B$4:$B$150,$B44)/1000)</f>
        <v>-7852</v>
      </c>
      <c r="Y44" s="11">
        <f>IF(Y$3=0,"",SUMIFS(INDEX(Inputs!$D$4:$AG$150,0,MATCH(Y$2,Inputs!$D$2:$AG$2,0)),Inputs!$B$4:$B$150,$B44)/1000)</f>
        <v>-7852</v>
      </c>
      <c r="Z44" s="11">
        <f>IF(Z$3=0,"",SUMIFS(INDEX(Inputs!$D$4:$AG$150,0,MATCH(Z$2,Inputs!$D$2:$AG$2,0)),Inputs!$B$4:$B$150,$B44)/1000)</f>
        <v>-7852</v>
      </c>
      <c r="AA44" s="11">
        <f>IF(AA$3=0,"",SUMIFS(INDEX(Inputs!$D$4:$AG$150,0,MATCH(AA$2,Inputs!$D$2:$AG$2,0)),Inputs!$B$4:$B$150,$B44)/1000)</f>
        <v>-8152</v>
      </c>
      <c r="AB44" s="12">
        <f>IF(AA44="","",AA44)</f>
        <v>-8152</v>
      </c>
      <c r="AC44" s="11">
        <f>IF(AC$3=0,"",SUMIFS(INDEX(Inputs!$D$4:$AG$150,0,MATCH(AC$2,Inputs!$D$2:$AG$2,0)),Inputs!$B$4:$B$150,$B44)/1000)</f>
        <v>-8502</v>
      </c>
      <c r="AD44" s="11">
        <f>IF(AD$3=0,"",SUMIFS(INDEX(Inputs!$D$4:$AG$150,0,MATCH(AD$2,Inputs!$D$2:$AG$2,0)),Inputs!$B$4:$B$150,$B44)/1000)</f>
        <v>-8502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81</v>
      </c>
      <c r="E45" s="11">
        <f>IF(E$3=0,"",SUMIFS(INDEX(Inputs!$D$4:$AG$150,0,MATCH(E$2,Inputs!$D$2:$AG$2,0)),Inputs!$B$4:$B$150,$B45)/1000)</f>
        <v>47</v>
      </c>
      <c r="F45" s="11">
        <f>IF(F$3=0,"",SUMIFS(INDEX(Inputs!$D$4:$AG$150,0,MATCH(F$2,Inputs!$D$2:$AG$2,0)),Inputs!$B$4:$B$150,$B45)/1000)</f>
        <v>2</v>
      </c>
      <c r="G45" s="11">
        <f>IF(G$3=0,"",SUMIFS(INDEX(Inputs!$D$4:$AG$150,0,MATCH(G$2,Inputs!$D$2:$AG$2,0)),Inputs!$B$4:$B$150,$B45)/1000)</f>
        <v>-91</v>
      </c>
      <c r="H45" s="12">
        <f>IF(G45="","",G45)</f>
        <v>-91</v>
      </c>
      <c r="I45" s="11">
        <f>IF(I$3=0,"",SUMIFS(INDEX(Inputs!$D$4:$AG$150,0,MATCH(I$2,Inputs!$D$2:$AG$2,0)),Inputs!$B$4:$B$150,$B45)/1000)</f>
        <v>-138</v>
      </c>
      <c r="J45" s="11">
        <f>IF(J$3=0,"",SUMIFS(INDEX(Inputs!$D$4:$AG$150,0,MATCH(J$2,Inputs!$D$2:$AG$2,0)),Inputs!$B$4:$B$150,$B45)/1000)</f>
        <v>-364</v>
      </c>
      <c r="K45" s="11">
        <f>IF(K$3=0,"",SUMIFS(INDEX(Inputs!$D$4:$AG$150,0,MATCH(K$2,Inputs!$D$2:$AG$2,0)),Inputs!$B$4:$B$150,$B45)/1000)</f>
        <v>-560</v>
      </c>
      <c r="L45" s="11">
        <f>IF(L$3=0,"",SUMIFS(INDEX(Inputs!$D$4:$AG$150,0,MATCH(L$2,Inputs!$D$2:$AG$2,0)),Inputs!$B$4:$B$150,$B45)/1000)</f>
        <v>-473</v>
      </c>
      <c r="M45" s="12">
        <f>IF(L45="","",L45)</f>
        <v>-473</v>
      </c>
      <c r="N45" s="11">
        <f>IF(N$3=0,"",SUMIFS(INDEX(Inputs!$D$4:$AG$150,0,MATCH(N$2,Inputs!$D$2:$AG$2,0)),Inputs!$B$4:$B$150,$B45)/1000)</f>
        <v>-373</v>
      </c>
      <c r="O45" s="11">
        <f>IF(O$3=0,"",SUMIFS(INDEX(Inputs!$D$4:$AG$150,0,MATCH(O$2,Inputs!$D$2:$AG$2,0)),Inputs!$B$4:$B$150,$B45)/1000)</f>
        <v>-340</v>
      </c>
      <c r="P45" s="11">
        <f>IF(P$3=0,"",SUMIFS(INDEX(Inputs!$D$4:$AG$150,0,MATCH(P$2,Inputs!$D$2:$AG$2,0)),Inputs!$B$4:$B$150,$B45)/1000)</f>
        <v>-312</v>
      </c>
      <c r="Q45" s="11">
        <f>IF(Q$3=0,"",SUMIFS(INDEX(Inputs!$D$4:$AG$150,0,MATCH(Q$2,Inputs!$D$2:$AG$2,0)),Inputs!$B$4:$B$150,$B45)/1000)</f>
        <v>-260</v>
      </c>
      <c r="R45" s="12">
        <f>IF(Q45="","",Q45)</f>
        <v>-260</v>
      </c>
      <c r="S45" s="11">
        <f>IF(S$3=0,"",SUMIFS(INDEX(Inputs!$D$4:$AG$150,0,MATCH(S$2,Inputs!$D$2:$AG$2,0)),Inputs!$B$4:$B$150,$B45)/1000)</f>
        <v>-264</v>
      </c>
      <c r="T45" s="11">
        <f>IF(T$3=0,"",SUMIFS(INDEX(Inputs!$D$4:$AG$150,0,MATCH(T$2,Inputs!$D$2:$AG$2,0)),Inputs!$B$4:$B$150,$B45)/1000)</f>
        <v>-311</v>
      </c>
      <c r="U45" s="11">
        <f>IF(U$3=0,"",SUMIFS(INDEX(Inputs!$D$4:$AG$150,0,MATCH(U$2,Inputs!$D$2:$AG$2,0)),Inputs!$B$4:$B$150,$B45)/1000)</f>
        <v>-134</v>
      </c>
      <c r="V45" s="11">
        <f>IF(V$3=0,"",SUMIFS(INDEX(Inputs!$D$4:$AG$150,0,MATCH(V$2,Inputs!$D$2:$AG$2,0)),Inputs!$B$4:$B$150,$B45)/1000)</f>
        <v>-221</v>
      </c>
      <c r="W45" s="12">
        <f>IF(V45="","",V45)</f>
        <v>-221</v>
      </c>
      <c r="X45" s="11">
        <f>IF(X$3=0,"",SUMIFS(INDEX(Inputs!$D$4:$AG$150,0,MATCH(X$2,Inputs!$D$2:$AG$2,0)),Inputs!$B$4:$B$150,$B45)/1000)</f>
        <v>-191</v>
      </c>
      <c r="Y45" s="11">
        <f>IF(Y$3=0,"",SUMIFS(INDEX(Inputs!$D$4:$AG$150,0,MATCH(Y$2,Inputs!$D$2:$AG$2,0)),Inputs!$B$4:$B$150,$B45)/1000)</f>
        <v>-45</v>
      </c>
      <c r="Z45" s="11">
        <f>IF(Z$3=0,"",SUMIFS(INDEX(Inputs!$D$4:$AG$150,0,MATCH(Z$2,Inputs!$D$2:$AG$2,0)),Inputs!$B$4:$B$150,$B45)/1000)</f>
        <v>-32</v>
      </c>
      <c r="AA45" s="11">
        <f>IF(AA$3=0,"",SUMIFS(INDEX(Inputs!$D$4:$AG$150,0,MATCH(AA$2,Inputs!$D$2:$AG$2,0)),Inputs!$B$4:$B$150,$B45)/1000)</f>
        <v>-123</v>
      </c>
      <c r="AB45" s="12">
        <f>IF(AA45="","",AA45)</f>
        <v>-123</v>
      </c>
      <c r="AC45" s="11">
        <f>IF(AC$3=0,"",SUMIFS(INDEX(Inputs!$D$4:$AG$150,0,MATCH(AC$2,Inputs!$D$2:$AG$2,0)),Inputs!$B$4:$B$150,$B45)/1000)</f>
        <v>-82</v>
      </c>
      <c r="AD45" s="11">
        <f>IF(AD$3=0,"",SUMIFS(INDEX(Inputs!$D$4:$AG$150,0,MATCH(AD$2,Inputs!$D$2:$AG$2,0)),Inputs!$B$4:$B$150,$B45)/1000)</f>
        <v>-26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34723</v>
      </c>
      <c r="E47" s="11">
        <f>IF(E$3=0,"",SUMIFS(INDEX(Inputs!$D$4:$AG$150,0,MATCH(E$2,Inputs!$D$2:$AG$2,0)),Inputs!$B$4:$B$150,$B47)/1000)</f>
        <v>36452</v>
      </c>
      <c r="F47" s="11">
        <f>IF(F$3=0,"",SUMIFS(INDEX(Inputs!$D$4:$AG$150,0,MATCH(F$2,Inputs!$D$2:$AG$2,0)),Inputs!$B$4:$B$150,$B47)/1000)</f>
        <v>39051</v>
      </c>
      <c r="G47" s="11">
        <f>IF(G$3=0,"",SUMIFS(INDEX(Inputs!$D$4:$AG$150,0,MATCH(G$2,Inputs!$D$2:$AG$2,0)),Inputs!$B$4:$B$150,$B47)/1000)</f>
        <v>41267</v>
      </c>
      <c r="H47" s="12">
        <f>IF(G47="","",G47)</f>
        <v>41267</v>
      </c>
      <c r="I47" s="11">
        <f>IF(I$3=0,"",SUMIFS(INDEX(Inputs!$D$4:$AG$150,0,MATCH(I$2,Inputs!$D$2:$AG$2,0)),Inputs!$B$4:$B$150,$B47)/1000)</f>
        <v>43407</v>
      </c>
      <c r="J47" s="11">
        <f>IF(J$3=0,"",SUMIFS(INDEX(Inputs!$D$4:$AG$150,0,MATCH(J$2,Inputs!$D$2:$AG$2,0)),Inputs!$B$4:$B$150,$B47)/1000)</f>
        <v>45916</v>
      </c>
      <c r="K47" s="11">
        <f>IF(K$3=0,"",SUMIFS(INDEX(Inputs!$D$4:$AG$150,0,MATCH(K$2,Inputs!$D$2:$AG$2,0)),Inputs!$B$4:$B$150,$B47)/1000)</f>
        <v>47274</v>
      </c>
      <c r="L47" s="11">
        <f>IF(L$3=0,"",SUMIFS(INDEX(Inputs!$D$4:$AG$150,0,MATCH(L$2,Inputs!$D$2:$AG$2,0)),Inputs!$B$4:$B$150,$B47)/1000)</f>
        <v>46873</v>
      </c>
      <c r="M47" s="12">
        <f>IF(L47="","",L47)</f>
        <v>46873</v>
      </c>
      <c r="N47" s="11">
        <f>IF(N$3=0,"",SUMIFS(INDEX(Inputs!$D$4:$AG$150,0,MATCH(N$2,Inputs!$D$2:$AG$2,0)),Inputs!$B$4:$B$150,$B47)/1000)</f>
        <v>44426</v>
      </c>
      <c r="O47" s="11">
        <f>IF(O$3=0,"",SUMIFS(INDEX(Inputs!$D$4:$AG$150,0,MATCH(O$2,Inputs!$D$2:$AG$2,0)),Inputs!$B$4:$B$150,$B47)/1000)</f>
        <v>42391</v>
      </c>
      <c r="P47" s="11">
        <f>IF(P$3=0,"",SUMIFS(INDEX(Inputs!$D$4:$AG$150,0,MATCH(P$2,Inputs!$D$2:$AG$2,0)),Inputs!$B$4:$B$150,$B47)/1000)</f>
        <v>40824</v>
      </c>
      <c r="Q47" s="11">
        <f>IF(Q$3=0,"",SUMIFS(INDEX(Inputs!$D$4:$AG$150,0,MATCH(Q$2,Inputs!$D$2:$AG$2,0)),Inputs!$B$4:$B$150,$B47)/1000)</f>
        <v>39356</v>
      </c>
      <c r="R47" s="12">
        <f>IF(Q47="","",Q47)</f>
        <v>39356</v>
      </c>
      <c r="S47" s="11">
        <f>IF(S$3=0,"",SUMIFS(INDEX(Inputs!$D$4:$AG$150,0,MATCH(S$2,Inputs!$D$2:$AG$2,0)),Inputs!$B$4:$B$150,$B47)/1000)</f>
        <v>39997</v>
      </c>
      <c r="T47" s="11">
        <f>IF(T$3=0,"",SUMIFS(INDEX(Inputs!$D$4:$AG$150,0,MATCH(T$2,Inputs!$D$2:$AG$2,0)),Inputs!$B$4:$B$150,$B47)/1000)</f>
        <v>40169</v>
      </c>
      <c r="U47" s="11">
        <f>IF(U$3=0,"",SUMIFS(INDEX(Inputs!$D$4:$AG$150,0,MATCH(U$2,Inputs!$D$2:$AG$2,0)),Inputs!$B$4:$B$150,$B47)/1000)</f>
        <v>40877</v>
      </c>
      <c r="V47" s="11">
        <f>IF(V$3=0,"",SUMIFS(INDEX(Inputs!$D$4:$AG$150,0,MATCH(V$2,Inputs!$D$2:$AG$2,0)),Inputs!$B$4:$B$150,$B47)/1000)</f>
        <v>42427</v>
      </c>
      <c r="W47" s="12">
        <f>IF(V47="","",V47)</f>
        <v>42427</v>
      </c>
      <c r="X47" s="11">
        <f>IF(X$3=0,"",SUMIFS(INDEX(Inputs!$D$4:$AG$150,0,MATCH(X$2,Inputs!$D$2:$AG$2,0)),Inputs!$B$4:$B$150,$B47)/1000)</f>
        <v>43839</v>
      </c>
      <c r="Y47" s="11">
        <f>IF(Y$3=0,"",SUMIFS(INDEX(Inputs!$D$4:$AG$150,0,MATCH(Y$2,Inputs!$D$2:$AG$2,0)),Inputs!$B$4:$B$150,$B47)/1000)</f>
        <v>45559</v>
      </c>
      <c r="Z47" s="11">
        <f>IF(Z$3=0,"",SUMIFS(INDEX(Inputs!$D$4:$AG$150,0,MATCH(Z$2,Inputs!$D$2:$AG$2,0)),Inputs!$B$4:$B$150,$B47)/1000)</f>
        <v>48583</v>
      </c>
      <c r="AA47" s="11">
        <f>IF(AA$3=0,"",SUMIFS(INDEX(Inputs!$D$4:$AG$150,0,MATCH(AA$2,Inputs!$D$2:$AG$2,0)),Inputs!$B$4:$B$150,$B47)/1000)</f>
        <v>53344</v>
      </c>
      <c r="AB47" s="12">
        <f>IF(AA47="","",AA47)</f>
        <v>53344</v>
      </c>
      <c r="AC47" s="11">
        <f>IF(AC$3=0,"",SUMIFS(INDEX(Inputs!$D$4:$AG$150,0,MATCH(AC$2,Inputs!$D$2:$AG$2,0)),Inputs!$B$4:$B$150,$B47)/1000)</f>
        <v>66824</v>
      </c>
      <c r="AD47" s="11">
        <f>IF(AD$3=0,"",SUMIFS(INDEX(Inputs!$D$4:$AG$150,0,MATCH(AD$2,Inputs!$D$2:$AG$2,0)),Inputs!$B$4:$B$150,$B47)/1000)</f>
        <v>94682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603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1735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2720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2306</v>
      </c>
      <c r="H50" s="12">
        <f>IF(COUNT(D50:G50)=4,SUM(D50:G50),"")</f>
        <v>7364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2263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2626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1492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-195</v>
      </c>
      <c r="M50" s="12">
        <f>IF(COUNT(I50:L50)=4,SUM(I50:L50),"")</f>
        <v>6186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-2312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-1896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-1430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-1234</v>
      </c>
      <c r="R50" s="12">
        <f>IF(COUNT(N50:Q50)=4,SUM(N50:Q50),"")</f>
        <v>-6872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793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332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887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1870</v>
      </c>
      <c r="W50" s="12">
        <f>IF(COUNT(S50:V50)=4,SUM(S50:V50),"")</f>
        <v>3882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1583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1885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3201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5240</v>
      </c>
      <c r="AB50" s="12">
        <f>IF(COUNT(X50:AA50)=4,SUM(X50:AA50),"")</f>
        <v>11909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13785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28243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DRAM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4444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5448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6091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5587</v>
      </c>
      <c r="H53" s="12">
        <f>IF(COUNT(D53:G53)=4,SUM(D53:G53),"")</f>
        <v>21570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5719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6271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4809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2829</v>
      </c>
      <c r="M53" s="12">
        <f>IF(COUNT(I53:L53)=4,SUM(I53:L53),"")</f>
        <v>19628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2722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2672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2755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3427</v>
      </c>
      <c r="R53" s="12">
        <f>IF(COUNT(N53:Q53)=4,SUM(N53:Q53),"")</f>
        <v>11576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4158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4692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5326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6400</v>
      </c>
      <c r="W53" s="12">
        <f>IF(COUNT(S53:V53)=4,SUM(S53:V53),"")</f>
        <v>20576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6123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7071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8984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10812</v>
      </c>
      <c r="AB53" s="12">
        <f>IF(COUNT(X53:AA53)=4,SUM(X53:AA53),"")</f>
        <v>32990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18768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31328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NAND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1650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1812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1971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1878</v>
      </c>
      <c r="H54" s="12">
        <f>IF(COUNT(D54:G54)=4,SUM(D54:G54),"")</f>
        <v>7311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1957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2288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1688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1103</v>
      </c>
      <c r="M54" s="12">
        <f>IF(COUNT(I54:L54)=4,SUM(I54:L54),"")</f>
        <v>7036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885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1013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1205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1230</v>
      </c>
      <c r="R54" s="12">
        <f>IF(COUNT(N54:Q54)=4,SUM(N54:Q54),"")</f>
        <v>4333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1567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2065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2365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2241</v>
      </c>
      <c r="W54" s="12">
        <f>IF(COUNT(S54:V54)=4,SUM(S54:V54),"")</f>
        <v>8238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1855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2155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2252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2743</v>
      </c>
      <c r="AB54" s="12">
        <f>IF(COUNT(X54:AA54)=4,SUM(X54:AA54),"")</f>
        <v>9005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4997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9943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outros produtos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142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162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212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222</v>
      </c>
      <c r="H55" s="12">
        <f>IF(COUNT(D55:G55)=4,SUM(D55:G55),"")</f>
        <v>738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110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83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146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153</v>
      </c>
      <c r="M55" s="12">
        <f>IF(COUNT(I55:L55)=4,SUM(I55:L55),"")</f>
        <v>492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86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67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50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69</v>
      </c>
      <c r="R55" s="12">
        <f>IF(COUNT(N55:Q55)=4,SUM(N55:Q55),"")</f>
        <v>272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99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54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59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68</v>
      </c>
      <c r="W55" s="12">
        <f>IF(COUNT(S55:V55)=4,SUM(S55:V55),"")</f>
        <v>280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75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75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79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88</v>
      </c>
      <c r="AB55" s="12">
        <f>IF(COUNT(X55:AA55)=4,SUM(X55:AA55),"")</f>
        <v>317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95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185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CNBU (compute &amp; networking, antiga)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2636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3304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3794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3406</v>
      </c>
      <c r="H56" s="12">
        <f>IF(COUNT(D56:G56)=4,SUM(D56:G56),"")</f>
        <v>13140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3461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3895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2931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1746</v>
      </c>
      <c r="M56" s="12">
        <f>IF(COUNT(I56:L56)=4,SUM(I56:L56),"")</f>
        <v>12033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1375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1389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1200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1737</v>
      </c>
      <c r="R56" s="12">
        <f>IF(COUNT(N56:Q56)=4,SUM(N56:Q56),"")</f>
        <v>5701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2185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2573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3018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4395</v>
      </c>
      <c r="W56" s="12">
        <f>IF(COUNT(S56:V56)=4,SUM(S56:V56),"")</f>
        <v>12171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4564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5069</v>
      </c>
      <c r="Z56" s="11" t="str">
        <f>IF(SUMPRODUCT((Inputs!$B$4:$B$150=$B56)*ISNUMBER(INDEX(Inputs!$D$4:$AG$150,0,MATCH(Z$2,Inputs!$D$2:$AG$2,0))))=0,"",SUMIFS(INDEX(Inputs!$D$4:$AG$150,0,MATCH(Z$2,Inputs!$D$2:$AG$2,0)),Inputs!$B$4:$B$150,$B56)/1000)</f>
        <v/>
      </c>
      <c r="AA56" s="11" t="str">
        <f>IF(SUMPRODUCT((Inputs!$B$4:$B$150=$B56)*ISNUMBER(INDEX(Inputs!$D$4:$AG$150,0,MATCH(AA$2,Inputs!$D$2:$AG$2,0))))=0,"",SUMIFS(INDEX(Inputs!$D$4:$AG$150,0,MATCH(AA$2,Inputs!$D$2:$AG$2,0)),Inputs!$B$4:$B$150,$B56)/1000)</f>
        <v/>
      </c>
      <c r="AB56" s="12" t="str">
        <f>IF(COUNT(X56:AA56)=4,SUM(X56:AA56),"")</f>
        <v/>
      </c>
      <c r="AC56" s="11" t="str">
        <f>IF(SUMPRODUCT((Inputs!$B$4:$B$150=$B56)*ISNUMBER(INDEX(Inputs!$D$4:$AG$150,0,MATCH(AC$2,Inputs!$D$2:$AG$2,0))))=0,"",SUMIFS(INDEX(Inputs!$D$4:$AG$150,0,MATCH(AC$2,Inputs!$D$2:$AG$2,0)),Inputs!$B$4:$B$150,$B56)/1000)</f>
        <v/>
      </c>
      <c r="AD56" s="11" t="str">
        <f>IF(SUMPRODUCT((Inputs!$B$4:$B$150=$B56)*ISNUMBER(INDEX(Inputs!$D$4:$AG$150,0,MATCH(AD$2,Inputs!$D$2:$AG$2,0))))=0,"",SUMIFS(INDEX(Inputs!$D$4:$AG$150,0,MATCH(AD$2,Inputs!$D$2:$AG$2,0)),Inputs!$B$4:$B$150,$B56)/1000)</f>
        <v/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Lucro operacional CNBU (compute &amp; networking, antiga)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709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1342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1761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1524</v>
      </c>
      <c r="H57" s="12">
        <f>IF(COUNT(D57:G57)=4,SUM(D57:G57),"")</f>
        <v>5336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1562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1778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980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190</v>
      </c>
      <c r="M57" s="12">
        <f>IF(COUNT(I57:L57)=4,SUM(I57:L57),"")</f>
        <v>4510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-35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-337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-403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-397</v>
      </c>
      <c r="R57" s="12">
        <f>IF(COUNT(N57:Q57)=4,SUM(N57:Q57),"")</f>
        <v>-1172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28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442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907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1711</v>
      </c>
      <c r="W57" s="12">
        <f>IF(COUNT(S57:V57)=4,SUM(S57:V57),"")</f>
        <v>3088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1919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2182</v>
      </c>
      <c r="Z57" s="11" t="str">
        <f>IF(SUMPRODUCT((Inputs!$B$4:$B$150=$B57)*ISNUMBER(INDEX(Inputs!$D$4:$AG$150,0,MATCH(Z$2,Inputs!$D$2:$AG$2,0))))=0,"",SUMIFS(INDEX(Inputs!$D$4:$AG$150,0,MATCH(Z$2,Inputs!$D$2:$AG$2,0)),Inputs!$B$4:$B$150,$B57)/1000)</f>
        <v/>
      </c>
      <c r="AA57" s="11" t="str">
        <f>IF(SUMPRODUCT((Inputs!$B$4:$B$150=$B57)*ISNUMBER(INDEX(Inputs!$D$4:$AG$150,0,MATCH(AA$2,Inputs!$D$2:$AG$2,0))))=0,"",SUMIFS(INDEX(Inputs!$D$4:$AG$150,0,MATCH(AA$2,Inputs!$D$2:$AG$2,0)),Inputs!$B$4:$B$150,$B57)/1000)</f>
        <v/>
      </c>
      <c r="AB57" s="12" t="str">
        <f>IF(COUNT(X57:AA57)=4,SUM(X57:AA57),"")</f>
        <v/>
      </c>
      <c r="AC57" s="11" t="str">
        <f>IF(SUMPRODUCT((Inputs!$B$4:$B$150=$B57)*ISNUMBER(INDEX(Inputs!$D$4:$AG$150,0,MATCH(AC$2,Inputs!$D$2:$AG$2,0))))=0,"",SUMIFS(INDEX(Inputs!$D$4:$AG$150,0,MATCH(AC$2,Inputs!$D$2:$AG$2,0)),Inputs!$B$4:$B$150,$B57)/1000)</f>
        <v/>
      </c>
      <c r="AD57" s="11" t="str">
        <f>IF(SUMPRODUCT((Inputs!$B$4:$B$150=$B57)*ISNUMBER(INDEX(Inputs!$D$4:$AG$150,0,MATCH(AD$2,Inputs!$D$2:$AG$2,0))))=0,"",SUMIFS(INDEX(Inputs!$D$4:$AG$150,0,MATCH(AD$2,Inputs!$D$2:$AG$2,0)),Inputs!$B$4:$B$150,$B57)/1000)</f>
        <v/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Receita MBU (mobile, antiga)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1811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1999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1892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1907</v>
      </c>
      <c r="H58" s="12">
        <f>IF(COUNT(D58:G58)=4,SUM(D58:G58),"")</f>
        <v>7609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1875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1967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1511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655</v>
      </c>
      <c r="M58" s="12">
        <f>IF(COUNT(I58:L58)=4,SUM(I58:L58),"")</f>
        <v>6008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945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819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1211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1293</v>
      </c>
      <c r="R58" s="12">
        <f>IF(COUNT(N58:Q58)=4,SUM(N58:Q58),"")</f>
        <v>4268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1598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1588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1875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1527</v>
      </c>
      <c r="W58" s="12">
        <f>IF(COUNT(S58:V58)=4,SUM(S58:V58),"")</f>
        <v>6588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1068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1551</v>
      </c>
      <c r="Z58" s="11" t="str">
        <f>IF(SUMPRODUCT((Inputs!$B$4:$B$150=$B58)*ISNUMBER(INDEX(Inputs!$D$4:$AG$150,0,MATCH(Z$2,Inputs!$D$2:$AG$2,0))))=0,"",SUMIFS(INDEX(Inputs!$D$4:$AG$150,0,MATCH(Z$2,Inputs!$D$2:$AG$2,0)),Inputs!$B$4:$B$150,$B58)/1000)</f>
        <v/>
      </c>
      <c r="AA58" s="11" t="str">
        <f>IF(SUMPRODUCT((Inputs!$B$4:$B$150=$B58)*ISNUMBER(INDEX(Inputs!$D$4:$AG$150,0,MATCH(AA$2,Inputs!$D$2:$AG$2,0))))=0,"",SUMIFS(INDEX(Inputs!$D$4:$AG$150,0,MATCH(AA$2,Inputs!$D$2:$AG$2,0)),Inputs!$B$4:$B$150,$B58)/1000)</f>
        <v/>
      </c>
      <c r="AB58" s="12" t="str">
        <f>IF(COUNT(X58:AA58)=4,SUM(X58:AA58),"")</f>
        <v/>
      </c>
      <c r="AC58" s="11" t="str">
        <f>IF(SUMPRODUCT((Inputs!$B$4:$B$150=$B58)*ISNUMBER(INDEX(Inputs!$D$4:$AG$150,0,MATCH(AC$2,Inputs!$D$2:$AG$2,0))))=0,"",SUMIFS(INDEX(Inputs!$D$4:$AG$150,0,MATCH(AC$2,Inputs!$D$2:$AG$2,0)),Inputs!$B$4:$B$150,$B58)/1000)</f>
        <v/>
      </c>
      <c r="AD58" s="11" t="str">
        <f>IF(SUMPRODUCT((Inputs!$B$4:$B$150=$B58)*ISNUMBER(INDEX(Inputs!$D$4:$AG$150,0,MATCH(AD$2,Inputs!$D$2:$AG$2,0))))=0,"",SUMIFS(INDEX(Inputs!$D$4:$AG$150,0,MATCH(AD$2,Inputs!$D$2:$AG$2,0)),Inputs!$B$4:$B$150,$B58)/1000)</f>
        <v/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Lucro operacional MBU (mobile, antiga)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464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683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656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624</v>
      </c>
      <c r="H59" s="12">
        <f>IF(COUNT(D59:G59)=4,SUM(D59:G59),"")</f>
        <v>2427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588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640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308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-195</v>
      </c>
      <c r="M59" s="12">
        <f>IF(COUNT(I59:L59)=4,SUM(I59:L59),"")</f>
        <v>1341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-344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-478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-733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-687</v>
      </c>
      <c r="R59" s="12">
        <f>IF(COUNT(N59:Q59)=4,SUM(N59:Q59),"")</f>
        <v>-2242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-9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301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509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327</v>
      </c>
      <c r="W59" s="12">
        <f>IF(COUNT(S59:V59)=4,SUM(S59:V59),"")</f>
        <v>1128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60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217</v>
      </c>
      <c r="Z59" s="11" t="str">
        <f>IF(SUMPRODUCT((Inputs!$B$4:$B$150=$B59)*ISNUMBER(INDEX(Inputs!$D$4:$AG$150,0,MATCH(Z$2,Inputs!$D$2:$AG$2,0))))=0,"",SUMIFS(INDEX(Inputs!$D$4:$AG$150,0,MATCH(Z$2,Inputs!$D$2:$AG$2,0)),Inputs!$B$4:$B$150,$B59)/1000)</f>
        <v/>
      </c>
      <c r="AA59" s="11" t="str">
        <f>IF(SUMPRODUCT((Inputs!$B$4:$B$150=$B59)*ISNUMBER(INDEX(Inputs!$D$4:$AG$150,0,MATCH(AA$2,Inputs!$D$2:$AG$2,0))))=0,"",SUMIFS(INDEX(Inputs!$D$4:$AG$150,0,MATCH(AA$2,Inputs!$D$2:$AG$2,0)),Inputs!$B$4:$B$150,$B59)/1000)</f>
        <v/>
      </c>
      <c r="AB59" s="12" t="str">
        <f>IF(COUNT(X59:AA59)=4,SUM(X59:AA59),"")</f>
        <v/>
      </c>
      <c r="AC59" s="11" t="str">
        <f>IF(SUMPRODUCT((Inputs!$B$4:$B$150=$B59)*ISNUMBER(INDEX(Inputs!$D$4:$AG$150,0,MATCH(AC$2,Inputs!$D$2:$AG$2,0))))=0,"",SUMIFS(INDEX(Inputs!$D$4:$AG$150,0,MATCH(AC$2,Inputs!$D$2:$AG$2,0)),Inputs!$B$4:$B$150,$B59)/1000)</f>
        <v/>
      </c>
      <c r="AD59" s="11" t="str">
        <f>IF(SUMPRODUCT((Inputs!$B$4:$B$150=$B59)*ISNUMBER(INDEX(Inputs!$D$4:$AG$150,0,MATCH(AD$2,Inputs!$D$2:$AG$2,0))))=0,"",SUMIFS(INDEX(Inputs!$D$4:$AG$150,0,MATCH(AD$2,Inputs!$D$2:$AG$2,0)),Inputs!$B$4:$B$150,$B59)/1000)</f>
        <v/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Receita SBU (storage, antiga)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850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1009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1203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1150</v>
      </c>
      <c r="H60" s="12">
        <f>IF(COUNT(D60:G60)=4,SUM(D60:G60),"")</f>
        <v>4212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1171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1341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891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680</v>
      </c>
      <c r="M60" s="12">
        <f>IF(COUNT(I60:L60)=4,SUM(I60:L60),"")</f>
        <v>4083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507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627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739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653</v>
      </c>
      <c r="R60" s="12">
        <f>IF(COUNT(N60:Q60)=4,SUM(N60:Q60),"")</f>
        <v>2526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905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1353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1681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1731</v>
      </c>
      <c r="W60" s="12">
        <f>IF(COUNT(S60:V60)=4,SUM(S60:V60),"")</f>
        <v>5670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1392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1451</v>
      </c>
      <c r="Z60" s="11" t="str">
        <f>IF(SUMPRODUCT((Inputs!$B$4:$B$150=$B60)*ISNUMBER(INDEX(Inputs!$D$4:$AG$150,0,MATCH(Z$2,Inputs!$D$2:$AG$2,0))))=0,"",SUMIFS(INDEX(Inputs!$D$4:$AG$150,0,MATCH(Z$2,Inputs!$D$2:$AG$2,0)),Inputs!$B$4:$B$150,$B60)/1000)</f>
        <v/>
      </c>
      <c r="AA60" s="11" t="str">
        <f>IF(SUMPRODUCT((Inputs!$B$4:$B$150=$B60)*ISNUMBER(INDEX(Inputs!$D$4:$AG$150,0,MATCH(AA$2,Inputs!$D$2:$AG$2,0))))=0,"",SUMIFS(INDEX(Inputs!$D$4:$AG$150,0,MATCH(AA$2,Inputs!$D$2:$AG$2,0)),Inputs!$B$4:$B$150,$B60)/1000)</f>
        <v/>
      </c>
      <c r="AB60" s="12" t="str">
        <f>IF(COUNT(X60:AA60)=4,SUM(X60:AA60),"")</f>
        <v/>
      </c>
      <c r="AC60" s="11" t="str">
        <f>IF(SUMPRODUCT((Inputs!$B$4:$B$150=$B60)*ISNUMBER(INDEX(Inputs!$D$4:$AG$150,0,MATCH(AC$2,Inputs!$D$2:$AG$2,0))))=0,"",SUMIFS(INDEX(Inputs!$D$4:$AG$150,0,MATCH(AC$2,Inputs!$D$2:$AG$2,0)),Inputs!$B$4:$B$150,$B60)/1000)</f>
        <v/>
      </c>
      <c r="AD60" s="11" t="str">
        <f>IF(SUMPRODUCT((Inputs!$B$4:$B$150=$B60)*ISNUMBER(INDEX(Inputs!$D$4:$AG$150,0,MATCH(AD$2,Inputs!$D$2:$AG$2,0))))=0,"",SUMIFS(INDEX(Inputs!$D$4:$AG$150,0,MATCH(AD$2,Inputs!$D$2:$AG$2,0)),Inputs!$B$4:$B$150,$B60)/1000)</f>
        <v/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Lucro operacional SBU (storage, antiga)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-59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53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175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152</v>
      </c>
      <c r="H61" s="12">
        <f>IF(COUNT(D61:G61)=4,SUM(D61:G61),"")</f>
        <v>321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178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221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-38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-257</v>
      </c>
      <c r="M61" s="12">
        <f>IF(COUNT(I61:L61)=4,SUM(I61:L61),"")</f>
        <v>104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-357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-601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-672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-490</v>
      </c>
      <c r="R61" s="12">
        <f>IF(COUNT(N61:Q61)=4,SUM(N61:Q61),"")</f>
        <v>-2120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-217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76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269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347</v>
      </c>
      <c r="W61" s="12">
        <f>IF(COUNT(S61:V61)=4,SUM(S61:V61),"")</f>
        <v>475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24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-9</v>
      </c>
      <c r="Z61" s="11" t="str">
        <f>IF(SUMPRODUCT((Inputs!$B$4:$B$150=$B61)*ISNUMBER(INDEX(Inputs!$D$4:$AG$150,0,MATCH(Z$2,Inputs!$D$2:$AG$2,0))))=0,"",SUMIFS(INDEX(Inputs!$D$4:$AG$150,0,MATCH(Z$2,Inputs!$D$2:$AG$2,0)),Inputs!$B$4:$B$150,$B61)/1000)</f>
        <v/>
      </c>
      <c r="AA61" s="11" t="str">
        <f>IF(SUMPRODUCT((Inputs!$B$4:$B$150=$B61)*ISNUMBER(INDEX(Inputs!$D$4:$AG$150,0,MATCH(AA$2,Inputs!$D$2:$AG$2,0))))=0,"",SUMIFS(INDEX(Inputs!$D$4:$AG$150,0,MATCH(AA$2,Inputs!$D$2:$AG$2,0)),Inputs!$B$4:$B$150,$B61)/1000)</f>
        <v/>
      </c>
      <c r="AB61" s="12" t="str">
        <f>IF(COUNT(X61:AA61)=4,SUM(X61:AA61),"")</f>
        <v/>
      </c>
      <c r="AC61" s="11" t="str">
        <f>IF(SUMPRODUCT((Inputs!$B$4:$B$150=$B61)*ISNUMBER(INDEX(Inputs!$D$4:$AG$150,0,MATCH(AC$2,Inputs!$D$2:$AG$2,0))))=0,"",SUMIFS(INDEX(Inputs!$D$4:$AG$150,0,MATCH(AC$2,Inputs!$D$2:$AG$2,0)),Inputs!$B$4:$B$150,$B61)/1000)</f>
        <v/>
      </c>
      <c r="AD61" s="11" t="str">
        <f>IF(SUMPRODUCT((Inputs!$B$4:$B$150=$B61)*ISNUMBER(INDEX(Inputs!$D$4:$AG$150,0,MATCH(AD$2,Inputs!$D$2:$AG$2,0))))=0,"",SUMIFS(INDEX(Inputs!$D$4:$AG$150,0,MATCH(AD$2,Inputs!$D$2:$AG$2,0)),Inputs!$B$4:$B$150,$B61)/1000)</f>
        <v/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Receita EBU (embedded, antiga)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935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1105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1360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1220</v>
      </c>
      <c r="H62" s="12">
        <f>IF(COUNT(D62:G62)=4,SUM(D62:G62),"")</f>
        <v>4620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1277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1435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1303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1000</v>
      </c>
      <c r="M62" s="12">
        <f>IF(COUNT(I62:L62)=4,SUM(I62:L62),"")</f>
        <v>5015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865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912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860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1037</v>
      </c>
      <c r="R62" s="12">
        <f>IF(COUNT(N62:Q62)=4,SUM(N62:Q62),"")</f>
        <v>3674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1111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1294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1172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1052</v>
      </c>
      <c r="W62" s="12">
        <f>IF(COUNT(S62:V62)=4,SUM(S62:V62),"")</f>
        <v>4629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1025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1227</v>
      </c>
      <c r="Z62" s="11" t="str">
        <f>IF(SUMPRODUCT((Inputs!$B$4:$B$150=$B62)*ISNUMBER(INDEX(Inputs!$D$4:$AG$150,0,MATCH(Z$2,Inputs!$D$2:$AG$2,0))))=0,"",SUMIFS(INDEX(Inputs!$D$4:$AG$150,0,MATCH(Z$2,Inputs!$D$2:$AG$2,0)),Inputs!$B$4:$B$150,$B62)/1000)</f>
        <v/>
      </c>
      <c r="AA62" s="11" t="str">
        <f>IF(SUMPRODUCT((Inputs!$B$4:$B$150=$B62)*ISNUMBER(INDEX(Inputs!$D$4:$AG$150,0,MATCH(AA$2,Inputs!$D$2:$AG$2,0))))=0,"",SUMIFS(INDEX(Inputs!$D$4:$AG$150,0,MATCH(AA$2,Inputs!$D$2:$AG$2,0)),Inputs!$B$4:$B$150,$B62)/1000)</f>
        <v/>
      </c>
      <c r="AB62" s="12" t="str">
        <f>IF(COUNT(X62:AA62)=4,SUM(X62:AA62),"")</f>
        <v/>
      </c>
      <c r="AC62" s="11" t="str">
        <f>IF(SUMPRODUCT((Inputs!$B$4:$B$150=$B62)*ISNUMBER(INDEX(Inputs!$D$4:$AG$150,0,MATCH(AC$2,Inputs!$D$2:$AG$2,0))))=0,"",SUMIFS(INDEX(Inputs!$D$4:$AG$150,0,MATCH(AC$2,Inputs!$D$2:$AG$2,0)),Inputs!$B$4:$B$150,$B62)/1000)</f>
        <v/>
      </c>
      <c r="AD62" s="11" t="str">
        <f>IF(SUMPRODUCT((Inputs!$B$4:$B$150=$B62)*ISNUMBER(INDEX(Inputs!$D$4:$AG$150,0,MATCH(AD$2,Inputs!$D$2:$AG$2,0))))=0,"",SUMIFS(INDEX(Inputs!$D$4:$AG$150,0,MATCH(AD$2,Inputs!$D$2:$AG$2,0)),Inputs!$B$4:$B$150,$B62)/1000)</f>
        <v/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Lucro operacional EBU (embedded, antiga) (USD)</t>
        </is>
      </c>
      <c r="D63" s="11">
        <f>IF(SUMPRODUCT((Inputs!$B$4:$B$150=$B63)*ISNUMBER(INDEX(Inputs!$D$4:$AG$150,0,MATCH(D$2,Inputs!$D$2:$AG$2,0))))=0,"",SUMIFS(INDEX(Inputs!$D$4:$AG$150,0,MATCH(D$2,Inputs!$D$2:$AG$2,0)),Inputs!$B$4:$B$150,$B63)/1000)</f>
        <v>141</v>
      </c>
      <c r="E63" s="11">
        <f>IF(SUMPRODUCT((Inputs!$B$4:$B$150=$B63)*ISNUMBER(INDEX(Inputs!$D$4:$AG$150,0,MATCH(E$2,Inputs!$D$2:$AG$2,0))))=0,"",SUMIFS(INDEX(Inputs!$D$4:$AG$150,0,MATCH(E$2,Inputs!$D$2:$AG$2,0)),Inputs!$B$4:$B$150,$B63)/1000)</f>
        <v>282</v>
      </c>
      <c r="F63" s="11">
        <f>IF(SUMPRODUCT((Inputs!$B$4:$B$150=$B63)*ISNUMBER(INDEX(Inputs!$D$4:$AG$150,0,MATCH(F$2,Inputs!$D$2:$AG$2,0))))=0,"",SUMIFS(INDEX(Inputs!$D$4:$AG$150,0,MATCH(F$2,Inputs!$D$2:$AG$2,0)),Inputs!$B$4:$B$150,$B63)/1000)</f>
        <v>467</v>
      </c>
      <c r="G63" s="11">
        <f>IF(SUMPRODUCT((Inputs!$B$4:$B$150=$B63)*ISNUMBER(INDEX(Inputs!$D$4:$AG$150,0,MATCH(G$2,Inputs!$D$2:$AG$2,0))))=0,"",SUMIFS(INDEX(Inputs!$D$4:$AG$150,0,MATCH(G$2,Inputs!$D$2:$AG$2,0)),Inputs!$B$4:$B$150,$B63)/1000)</f>
        <v>422</v>
      </c>
      <c r="H63" s="12">
        <f>IF(COUNT(D63:G63)=4,SUM(D63:G63),"")</f>
        <v>1312</v>
      </c>
      <c r="I63" s="11">
        <f>IF(SUMPRODUCT((Inputs!$B$4:$B$150=$B63)*ISNUMBER(INDEX(Inputs!$D$4:$AG$150,0,MATCH(I$2,Inputs!$D$2:$AG$2,0))))=0,"",SUMIFS(INDEX(Inputs!$D$4:$AG$150,0,MATCH(I$2,Inputs!$D$2:$AG$2,0)),Inputs!$B$4:$B$150,$B63)/1000)</f>
        <v>421</v>
      </c>
      <c r="J63" s="11">
        <f>IF(SUMPRODUCT((Inputs!$B$4:$B$150=$B63)*ISNUMBER(INDEX(Inputs!$D$4:$AG$150,0,MATCH(J$2,Inputs!$D$2:$AG$2,0))))=0,"",SUMIFS(INDEX(Inputs!$D$4:$AG$150,0,MATCH(J$2,Inputs!$D$2:$AG$2,0)),Inputs!$B$4:$B$150,$B63)/1000)</f>
        <v>504</v>
      </c>
      <c r="K63" s="11">
        <f>IF(SUMPRODUCT((Inputs!$B$4:$B$150=$B63)*ISNUMBER(INDEX(Inputs!$D$4:$AG$150,0,MATCH(K$2,Inputs!$D$2:$AG$2,0))))=0,"",SUMIFS(INDEX(Inputs!$D$4:$AG$150,0,MATCH(K$2,Inputs!$D$2:$AG$2,0)),Inputs!$B$4:$B$150,$B63)/1000)</f>
        <v>405</v>
      </c>
      <c r="L63" s="11">
        <f>IF(SUMPRODUCT((Inputs!$B$4:$B$150=$B63)*ISNUMBER(INDEX(Inputs!$D$4:$AG$150,0,MATCH(L$2,Inputs!$D$2:$AG$2,0))))=0,"",SUMIFS(INDEX(Inputs!$D$4:$AG$150,0,MATCH(L$2,Inputs!$D$2:$AG$2,0)),Inputs!$B$4:$B$150,$B63)/1000)</f>
        <v>194</v>
      </c>
      <c r="M63" s="12">
        <f>IF(COUNT(I63:L63)=4,SUM(I63:L63),"")</f>
        <v>1524</v>
      </c>
      <c r="N63" s="11">
        <f>IF(SUMPRODUCT((Inputs!$B$4:$B$150=$B63)*ISNUMBER(INDEX(Inputs!$D$4:$AG$150,0,MATCH(N$2,Inputs!$D$2:$AG$2,0))))=0,"",SUMIFS(INDEX(Inputs!$D$4:$AG$150,0,MATCH(N$2,Inputs!$D$2:$AG$2,0)),Inputs!$B$4:$B$150,$B63)/1000)</f>
        <v>88</v>
      </c>
      <c r="O63" s="11">
        <f>IF(SUMPRODUCT((Inputs!$B$4:$B$150=$B63)*ISNUMBER(INDEX(Inputs!$D$4:$AG$150,0,MATCH(O$2,Inputs!$D$2:$AG$2,0))))=0,"",SUMIFS(INDEX(Inputs!$D$4:$AG$150,0,MATCH(O$2,Inputs!$D$2:$AG$2,0)),Inputs!$B$4:$B$150,$B63)/1000)</f>
        <v>65</v>
      </c>
      <c r="P63" s="11">
        <f>IF(SUMPRODUCT((Inputs!$B$4:$B$150=$B63)*ISNUMBER(INDEX(Inputs!$D$4:$AG$150,0,MATCH(P$2,Inputs!$D$2:$AG$2,0))))=0,"",SUMIFS(INDEX(Inputs!$D$4:$AG$150,0,MATCH(P$2,Inputs!$D$2:$AG$2,0)),Inputs!$B$4:$B$150,$B63)/1000)</f>
        <v>35</v>
      </c>
      <c r="Q63" s="11">
        <f>IF(SUMPRODUCT((Inputs!$B$4:$B$150=$B63)*ISNUMBER(INDEX(Inputs!$D$4:$AG$150,0,MATCH(Q$2,Inputs!$D$2:$AG$2,0))))=0,"",SUMIFS(INDEX(Inputs!$D$4:$AG$150,0,MATCH(Q$2,Inputs!$D$2:$AG$2,0)),Inputs!$B$4:$B$150,$B63)/1000)</f>
        <v>10</v>
      </c>
      <c r="R63" s="12">
        <f>IF(COUNT(N63:Q63)=4,SUM(N63:Q63),"")</f>
        <v>198</v>
      </c>
      <c r="S63" s="11">
        <f>IF(SUMPRODUCT((Inputs!$B$4:$B$150=$B63)*ISNUMBER(INDEX(Inputs!$D$4:$AG$150,0,MATCH(S$2,Inputs!$D$2:$AG$2,0))))=0,"",SUMIFS(INDEX(Inputs!$D$4:$AG$150,0,MATCH(S$2,Inputs!$D$2:$AG$2,0)),Inputs!$B$4:$B$150,$B63)/1000)</f>
        <v>-1</v>
      </c>
      <c r="T63" s="11">
        <f>IF(SUMPRODUCT((Inputs!$B$4:$B$150=$B63)*ISNUMBER(INDEX(Inputs!$D$4:$AG$150,0,MATCH(T$2,Inputs!$D$2:$AG$2,0))))=0,"",SUMIFS(INDEX(Inputs!$D$4:$AG$150,0,MATCH(T$2,Inputs!$D$2:$AG$2,0)),Inputs!$B$4:$B$150,$B63)/1000)</f>
        <v>124</v>
      </c>
      <c r="U63" s="11">
        <f>IF(SUMPRODUCT((Inputs!$B$4:$B$150=$B63)*ISNUMBER(INDEX(Inputs!$D$4:$AG$150,0,MATCH(U$2,Inputs!$D$2:$AG$2,0))))=0,"",SUMIFS(INDEX(Inputs!$D$4:$AG$150,0,MATCH(U$2,Inputs!$D$2:$AG$2,0)),Inputs!$B$4:$B$150,$B63)/1000)</f>
        <v>66</v>
      </c>
      <c r="V63" s="11">
        <f>IF(SUMPRODUCT((Inputs!$B$4:$B$150=$B63)*ISNUMBER(INDEX(Inputs!$D$4:$AG$150,0,MATCH(V$2,Inputs!$D$2:$AG$2,0))))=0,"",SUMIFS(INDEX(Inputs!$D$4:$AG$150,0,MATCH(V$2,Inputs!$D$2:$AG$2,0)),Inputs!$B$4:$B$150,$B63)/1000)</f>
        <v>11</v>
      </c>
      <c r="W63" s="12">
        <f>IF(COUNT(S63:V63)=4,SUM(S63:V63),"")</f>
        <v>200</v>
      </c>
      <c r="X63" s="11">
        <f>IF(SUMPRODUCT((Inputs!$B$4:$B$150=$B63)*ISNUMBER(INDEX(Inputs!$D$4:$AG$150,0,MATCH(X$2,Inputs!$D$2:$AG$2,0))))=0,"",SUMIFS(INDEX(Inputs!$D$4:$AG$150,0,MATCH(X$2,Inputs!$D$2:$AG$2,0)),Inputs!$B$4:$B$150,$B63)/1000)</f>
        <v>3</v>
      </c>
      <c r="Y63" s="11">
        <f>IF(SUMPRODUCT((Inputs!$B$4:$B$150=$B63)*ISNUMBER(INDEX(Inputs!$D$4:$AG$150,0,MATCH(Y$2,Inputs!$D$2:$AG$2,0))))=0,"",SUMIFS(INDEX(Inputs!$D$4:$AG$150,0,MATCH(Y$2,Inputs!$D$2:$AG$2,0)),Inputs!$B$4:$B$150,$B63)/1000)</f>
        <v>98</v>
      </c>
      <c r="Z63" s="11" t="str">
        <f>IF(SUMPRODUCT((Inputs!$B$4:$B$150=$B63)*ISNUMBER(INDEX(Inputs!$D$4:$AG$150,0,MATCH(Z$2,Inputs!$D$2:$AG$2,0))))=0,"",SUMIFS(INDEX(Inputs!$D$4:$AG$150,0,MATCH(Z$2,Inputs!$D$2:$AG$2,0)),Inputs!$B$4:$B$150,$B63)/1000)</f>
        <v/>
      </c>
      <c r="AA63" s="11" t="str">
        <f>IF(SUMPRODUCT((Inputs!$B$4:$B$150=$B63)*ISNUMBER(INDEX(Inputs!$D$4:$AG$150,0,MATCH(AA$2,Inputs!$D$2:$AG$2,0))))=0,"",SUMIFS(INDEX(Inputs!$D$4:$AG$150,0,MATCH(AA$2,Inputs!$D$2:$AG$2,0)),Inputs!$B$4:$B$150,$B63)/1000)</f>
        <v/>
      </c>
      <c r="AB63" s="12" t="str">
        <f>IF(COUNT(X63:AA63)=4,SUM(X63:AA63),"")</f>
        <v/>
      </c>
      <c r="AC63" s="11" t="str">
        <f>IF(SUMPRODUCT((Inputs!$B$4:$B$150=$B63)*ISNUMBER(INDEX(Inputs!$D$4:$AG$150,0,MATCH(AC$2,Inputs!$D$2:$AG$2,0))))=0,"",SUMIFS(INDEX(Inputs!$D$4:$AG$150,0,MATCH(AC$2,Inputs!$D$2:$AG$2,0)),Inputs!$B$4:$B$150,$B63)/1000)</f>
        <v/>
      </c>
      <c r="AD63" s="11" t="str">
        <f>IF(SUMPRODUCT((Inputs!$B$4:$B$150=$B63)*ISNUMBER(INDEX(Inputs!$D$4:$AG$150,0,MATCH(AD$2,Inputs!$D$2:$AG$2,0))))=0,"",SUMIFS(INDEX(Inputs!$D$4:$AG$150,0,MATCH(AD$2,Inputs!$D$2:$AG$2,0)),Inputs!$B$4:$B$150,$B63)/1000)</f>
        <v/>
      </c>
      <c r="AE63" s="11" t="str">
        <f>IF(SUMPRODUCT((Inputs!$B$4:$B$150=$B63)*ISNUMBER(INDEX(Inputs!$D$4:$AG$150,0,MATCH(AE$2,Inputs!$D$2:$AG$2,0))))=0,"",SUMIFS(INDEX(Inputs!$D$4:$AG$150,0,MATCH(AE$2,Inputs!$D$2:$AG$2,0)),Inputs!$B$4:$B$150,$B63)/1000)</f>
        <v/>
      </c>
      <c r="AF63" s="11" t="str">
        <f>IF(SUMPRODUCT((Inputs!$B$4:$B$150=$B63)*ISNUMBER(INDEX(Inputs!$D$4:$AG$150,0,MATCH(AF$2,Inputs!$D$2:$AG$2,0))))=0,"",SUMIFS(INDEX(Inputs!$D$4:$AG$150,0,MATCH(AF$2,Inputs!$D$2:$AG$2,0)),Inputs!$B$4:$B$150,$B63)/1000)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Receita CMBU (cloud memory) (USD)</t>
        </is>
      </c>
      <c r="D64" s="11" t="str">
        <f>IF(SUMPRODUCT((Inputs!$B$4:$B$150=$B64)*ISNUMBER(INDEX(Inputs!$D$4:$AG$150,0,MATCH(D$2,Inputs!$D$2:$AG$2,0))))=0,"",SUMIFS(INDEX(Inputs!$D$4:$AG$150,0,MATCH(D$2,Inputs!$D$2:$AG$2,0)),Inputs!$B$4:$B$150,$B64)/1000)</f>
        <v/>
      </c>
      <c r="E64" s="11" t="str">
        <f>IF(SUMPRODUCT((Inputs!$B$4:$B$150=$B64)*ISNUMBER(INDEX(Inputs!$D$4:$AG$150,0,MATCH(E$2,Inputs!$D$2:$AG$2,0))))=0,"",SUMIFS(INDEX(Inputs!$D$4:$AG$150,0,MATCH(E$2,Inputs!$D$2:$AG$2,0)),Inputs!$B$4:$B$150,$B64)/1000)</f>
        <v/>
      </c>
      <c r="F64" s="11" t="str">
        <f>IF(SUMPRODUCT((Inputs!$B$4:$B$150=$B64)*ISNUMBER(INDEX(Inputs!$D$4:$AG$150,0,MATCH(F$2,Inputs!$D$2:$AG$2,0))))=0,"",SUMIFS(INDEX(Inputs!$D$4:$AG$150,0,MATCH(F$2,Inputs!$D$2:$AG$2,0)),Inputs!$B$4:$B$150,$B64)/1000)</f>
        <v/>
      </c>
      <c r="G64" s="11" t="str">
        <f>IF(SUMPRODUCT((Inputs!$B$4:$B$150=$B64)*ISNUMBER(INDEX(Inputs!$D$4:$AG$150,0,MATCH(G$2,Inputs!$D$2:$AG$2,0))))=0,"",SUMIFS(INDEX(Inputs!$D$4:$AG$150,0,MATCH(G$2,Inputs!$D$2:$AG$2,0)),Inputs!$B$4:$B$150,$B64)/1000)</f>
        <v/>
      </c>
      <c r="H64" s="12" t="str">
        <f>IF(COUNT(D64:G64)=4,SUM(D64:G64),"")</f>
        <v/>
      </c>
      <c r="I64" s="11" t="str">
        <f>IF(SUMPRODUCT((Inputs!$B$4:$B$150=$B64)*ISNUMBER(INDEX(Inputs!$D$4:$AG$150,0,MATCH(I$2,Inputs!$D$2:$AG$2,0))))=0,"",SUMIFS(INDEX(Inputs!$D$4:$AG$150,0,MATCH(I$2,Inputs!$D$2:$AG$2,0)),Inputs!$B$4:$B$150,$B64)/1000)</f>
        <v/>
      </c>
      <c r="J64" s="11" t="str">
        <f>IF(SUMPRODUCT((Inputs!$B$4:$B$150=$B64)*ISNUMBER(INDEX(Inputs!$D$4:$AG$150,0,MATCH(J$2,Inputs!$D$2:$AG$2,0))))=0,"",SUMIFS(INDEX(Inputs!$D$4:$AG$150,0,MATCH(J$2,Inputs!$D$2:$AG$2,0)),Inputs!$B$4:$B$150,$B64)/1000)</f>
        <v/>
      </c>
      <c r="K64" s="11" t="str">
        <f>IF(SUMPRODUCT((Inputs!$B$4:$B$150=$B64)*ISNUMBER(INDEX(Inputs!$D$4:$AG$150,0,MATCH(K$2,Inputs!$D$2:$AG$2,0))))=0,"",SUMIFS(INDEX(Inputs!$D$4:$AG$150,0,MATCH(K$2,Inputs!$D$2:$AG$2,0)),Inputs!$B$4:$B$150,$B64)/1000)</f>
        <v/>
      </c>
      <c r="L64" s="11" t="str">
        <f>IF(SUMPRODUCT((Inputs!$B$4:$B$150=$B64)*ISNUMBER(INDEX(Inputs!$D$4:$AG$150,0,MATCH(L$2,Inputs!$D$2:$AG$2,0))))=0,"",SUMIFS(INDEX(Inputs!$D$4:$AG$150,0,MATCH(L$2,Inputs!$D$2:$AG$2,0)),Inputs!$B$4:$B$150,$B64)/1000)</f>
        <v/>
      </c>
      <c r="M64" s="12" t="str">
        <f>IF(COUNT(I64:L64)=4,SUM(I64:L64),"")</f>
        <v/>
      </c>
      <c r="N64" s="11" t="str">
        <f>IF(SUMPRODUCT((Inputs!$B$4:$B$150=$B64)*ISNUMBER(INDEX(Inputs!$D$4:$AG$150,0,MATCH(N$2,Inputs!$D$2:$AG$2,0))))=0,"",SUMIFS(INDEX(Inputs!$D$4:$AG$150,0,MATCH(N$2,Inputs!$D$2:$AG$2,0)),Inputs!$B$4:$B$150,$B64)/1000)</f>
        <v/>
      </c>
      <c r="O64" s="11" t="str">
        <f>IF(SUMPRODUCT((Inputs!$B$4:$B$150=$B64)*ISNUMBER(INDEX(Inputs!$D$4:$AG$150,0,MATCH(O$2,Inputs!$D$2:$AG$2,0))))=0,"",SUMIFS(INDEX(Inputs!$D$4:$AG$150,0,MATCH(O$2,Inputs!$D$2:$AG$2,0)),Inputs!$B$4:$B$150,$B64)/1000)</f>
        <v/>
      </c>
      <c r="P64" s="11" t="str">
        <f>IF(SUMPRODUCT((Inputs!$B$4:$B$150=$B64)*ISNUMBER(INDEX(Inputs!$D$4:$AG$150,0,MATCH(P$2,Inputs!$D$2:$AG$2,0))))=0,"",SUMIFS(INDEX(Inputs!$D$4:$AG$150,0,MATCH(P$2,Inputs!$D$2:$AG$2,0)),Inputs!$B$4:$B$150,$B64)/1000)</f>
        <v/>
      </c>
      <c r="Q64" s="11" t="str">
        <f>IF(SUMPRODUCT((Inputs!$B$4:$B$150=$B64)*ISNUMBER(INDEX(Inputs!$D$4:$AG$150,0,MATCH(Q$2,Inputs!$D$2:$AG$2,0))))=0,"",SUMIFS(INDEX(Inputs!$D$4:$AG$150,0,MATCH(Q$2,Inputs!$D$2:$AG$2,0)),Inputs!$B$4:$B$150,$B64)/1000)</f>
        <v/>
      </c>
      <c r="R64" s="12" t="str">
        <f>IF(COUNT(N64:Q64)=4,SUM(N64:Q64),"")</f>
        <v/>
      </c>
      <c r="S64" s="11" t="str">
        <f>IF(SUMPRODUCT((Inputs!$B$4:$B$150=$B64)*ISNUMBER(INDEX(Inputs!$D$4:$AG$150,0,MATCH(S$2,Inputs!$D$2:$AG$2,0))))=0,"",SUMIFS(INDEX(Inputs!$D$4:$AG$150,0,MATCH(S$2,Inputs!$D$2:$AG$2,0)),Inputs!$B$4:$B$150,$B64)/1000)</f>
        <v/>
      </c>
      <c r="T64" s="11" t="str">
        <f>IF(SUMPRODUCT((Inputs!$B$4:$B$150=$B64)*ISNUMBER(INDEX(Inputs!$D$4:$AG$150,0,MATCH(T$2,Inputs!$D$2:$AG$2,0))))=0,"",SUMIFS(INDEX(Inputs!$D$4:$AG$150,0,MATCH(T$2,Inputs!$D$2:$AG$2,0)),Inputs!$B$4:$B$150,$B64)/1000)</f>
        <v/>
      </c>
      <c r="U64" s="11" t="str">
        <f>IF(SUMPRODUCT((Inputs!$B$4:$B$150=$B64)*ISNUMBER(INDEX(Inputs!$D$4:$AG$150,0,MATCH(U$2,Inputs!$D$2:$AG$2,0))))=0,"",SUMIFS(INDEX(Inputs!$D$4:$AG$150,0,MATCH(U$2,Inputs!$D$2:$AG$2,0)),Inputs!$B$4:$B$150,$B64)/1000)</f>
        <v/>
      </c>
      <c r="V64" s="11">
        <f>IF(SUMPRODUCT((Inputs!$B$4:$B$150=$B64)*ISNUMBER(INDEX(Inputs!$D$4:$AG$150,0,MATCH(V$2,Inputs!$D$2:$AG$2,0))))=0,"",SUMIFS(INDEX(Inputs!$D$4:$AG$150,0,MATCH(V$2,Inputs!$D$2:$AG$2,0)),Inputs!$B$4:$B$150,$B64)/1000)</f>
        <v>2648</v>
      </c>
      <c r="W64" s="12" t="str">
        <f>IF(COUNT(S64:V64)=4,SUM(S64:V64),"")</f>
        <v/>
      </c>
      <c r="X64" s="11">
        <f>IF(SUMPRODUCT((Inputs!$B$4:$B$150=$B64)*ISNUMBER(INDEX(Inputs!$D$4:$AG$150,0,MATCH(X$2,Inputs!$D$2:$AG$2,0))))=0,"",SUMIFS(INDEX(Inputs!$D$4:$AG$150,0,MATCH(X$2,Inputs!$D$2:$AG$2,0)),Inputs!$B$4:$B$150,$B64)/1000)</f>
        <v>2947</v>
      </c>
      <c r="Y64" s="11">
        <f>IF(SUMPRODUCT((Inputs!$B$4:$B$150=$B64)*ISNUMBER(INDEX(Inputs!$D$4:$AG$150,0,MATCH(Y$2,Inputs!$D$2:$AG$2,0))))=0,"",SUMIFS(INDEX(Inputs!$D$4:$AG$150,0,MATCH(Y$2,Inputs!$D$2:$AG$2,0)),Inputs!$B$4:$B$150,$B64)/1000)</f>
        <v>3386</v>
      </c>
      <c r="Z64" s="11">
        <f>IF(SUMPRODUCT((Inputs!$B$4:$B$150=$B64)*ISNUMBER(INDEX(Inputs!$D$4:$AG$150,0,MATCH(Z$2,Inputs!$D$2:$AG$2,0))))=0,"",SUMIFS(INDEX(Inputs!$D$4:$AG$150,0,MATCH(Z$2,Inputs!$D$2:$AG$2,0)),Inputs!$B$4:$B$150,$B64)/1000)</f>
        <v>4543</v>
      </c>
      <c r="AA64" s="11">
        <f>IF(SUMPRODUCT((Inputs!$B$4:$B$150=$B64)*ISNUMBER(INDEX(Inputs!$D$4:$AG$150,0,MATCH(AA$2,Inputs!$D$2:$AG$2,0))))=0,"",SUMIFS(INDEX(Inputs!$D$4:$AG$150,0,MATCH(AA$2,Inputs!$D$2:$AG$2,0)),Inputs!$B$4:$B$150,$B64)/1000)</f>
        <v>5284</v>
      </c>
      <c r="AB64" s="12">
        <f>IF(COUNT(X64:AA64)=4,SUM(X64:AA64),"")</f>
        <v>16160</v>
      </c>
      <c r="AC64" s="11">
        <f>IF(SUMPRODUCT((Inputs!$B$4:$B$150=$B64)*ISNUMBER(INDEX(Inputs!$D$4:$AG$150,0,MATCH(AC$2,Inputs!$D$2:$AG$2,0))))=0,"",SUMIFS(INDEX(Inputs!$D$4:$AG$150,0,MATCH(AC$2,Inputs!$D$2:$AG$2,0)),Inputs!$B$4:$B$150,$B64)/1000)</f>
        <v>7749</v>
      </c>
      <c r="AD64" s="11">
        <f>IF(SUMPRODUCT((Inputs!$B$4:$B$150=$B64)*ISNUMBER(INDEX(Inputs!$D$4:$AG$150,0,MATCH(AD$2,Inputs!$D$2:$AG$2,0))))=0,"",SUMIFS(INDEX(Inputs!$D$4:$AG$150,0,MATCH(AD$2,Inputs!$D$2:$AG$2,0)),Inputs!$B$4:$B$150,$B64)/1000)</f>
        <v>13769</v>
      </c>
      <c r="AE64" s="11" t="str">
        <f>IF(SUMPRODUCT((Inputs!$B$4:$B$150=$B64)*ISNUMBER(INDEX(Inputs!$D$4:$AG$150,0,MATCH(AE$2,Inputs!$D$2:$AG$2,0))))=0,"",SUMIFS(INDEX(Inputs!$D$4:$AG$150,0,MATCH(AE$2,Inputs!$D$2:$AG$2,0)),Inputs!$B$4:$B$150,$B64)/1000)</f>
        <v/>
      </c>
      <c r="AF64" s="11" t="str">
        <f>IF(SUMPRODUCT((Inputs!$B$4:$B$150=$B64)*ISNUMBER(INDEX(Inputs!$D$4:$AG$150,0,MATCH(AF$2,Inputs!$D$2:$AG$2,0))))=0,"",SUMIFS(INDEX(Inputs!$D$4:$AG$150,0,MATCH(AF$2,Inputs!$D$2:$AG$2,0)),Inputs!$B$4:$B$150,$B64)/1000)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Receita CDBU (core data center) (USD)</t>
        </is>
      </c>
      <c r="D65" s="11" t="str">
        <f>IF(SUMPRODUCT((Inputs!$B$4:$B$150=$B65)*ISNUMBER(INDEX(Inputs!$D$4:$AG$150,0,MATCH(D$2,Inputs!$D$2:$AG$2,0))))=0,"",SUMIFS(INDEX(Inputs!$D$4:$AG$150,0,MATCH(D$2,Inputs!$D$2:$AG$2,0)),Inputs!$B$4:$B$150,$B65)/1000)</f>
        <v/>
      </c>
      <c r="E65" s="11" t="str">
        <f>IF(SUMPRODUCT((Inputs!$B$4:$B$150=$B65)*ISNUMBER(INDEX(Inputs!$D$4:$AG$150,0,MATCH(E$2,Inputs!$D$2:$AG$2,0))))=0,"",SUMIFS(INDEX(Inputs!$D$4:$AG$150,0,MATCH(E$2,Inputs!$D$2:$AG$2,0)),Inputs!$B$4:$B$150,$B65)/1000)</f>
        <v/>
      </c>
      <c r="F65" s="11" t="str">
        <f>IF(SUMPRODUCT((Inputs!$B$4:$B$150=$B65)*ISNUMBER(INDEX(Inputs!$D$4:$AG$150,0,MATCH(F$2,Inputs!$D$2:$AG$2,0))))=0,"",SUMIFS(INDEX(Inputs!$D$4:$AG$150,0,MATCH(F$2,Inputs!$D$2:$AG$2,0)),Inputs!$B$4:$B$150,$B65)/1000)</f>
        <v/>
      </c>
      <c r="G65" s="11" t="str">
        <f>IF(SUMPRODUCT((Inputs!$B$4:$B$150=$B65)*ISNUMBER(INDEX(Inputs!$D$4:$AG$150,0,MATCH(G$2,Inputs!$D$2:$AG$2,0))))=0,"",SUMIFS(INDEX(Inputs!$D$4:$AG$150,0,MATCH(G$2,Inputs!$D$2:$AG$2,0)),Inputs!$B$4:$B$150,$B65)/1000)</f>
        <v/>
      </c>
      <c r="H65" s="12" t="str">
        <f>IF(COUNT(D65:G65)=4,SUM(D65:G65),"")</f>
        <v/>
      </c>
      <c r="I65" s="11" t="str">
        <f>IF(SUMPRODUCT((Inputs!$B$4:$B$150=$B65)*ISNUMBER(INDEX(Inputs!$D$4:$AG$150,0,MATCH(I$2,Inputs!$D$2:$AG$2,0))))=0,"",SUMIFS(INDEX(Inputs!$D$4:$AG$150,0,MATCH(I$2,Inputs!$D$2:$AG$2,0)),Inputs!$B$4:$B$150,$B65)/1000)</f>
        <v/>
      </c>
      <c r="J65" s="11" t="str">
        <f>IF(SUMPRODUCT((Inputs!$B$4:$B$150=$B65)*ISNUMBER(INDEX(Inputs!$D$4:$AG$150,0,MATCH(J$2,Inputs!$D$2:$AG$2,0))))=0,"",SUMIFS(INDEX(Inputs!$D$4:$AG$150,0,MATCH(J$2,Inputs!$D$2:$AG$2,0)),Inputs!$B$4:$B$150,$B65)/1000)</f>
        <v/>
      </c>
      <c r="K65" s="11" t="str">
        <f>IF(SUMPRODUCT((Inputs!$B$4:$B$150=$B65)*ISNUMBER(INDEX(Inputs!$D$4:$AG$150,0,MATCH(K$2,Inputs!$D$2:$AG$2,0))))=0,"",SUMIFS(INDEX(Inputs!$D$4:$AG$150,0,MATCH(K$2,Inputs!$D$2:$AG$2,0)),Inputs!$B$4:$B$150,$B65)/1000)</f>
        <v/>
      </c>
      <c r="L65" s="11" t="str">
        <f>IF(SUMPRODUCT((Inputs!$B$4:$B$150=$B65)*ISNUMBER(INDEX(Inputs!$D$4:$AG$150,0,MATCH(L$2,Inputs!$D$2:$AG$2,0))))=0,"",SUMIFS(INDEX(Inputs!$D$4:$AG$150,0,MATCH(L$2,Inputs!$D$2:$AG$2,0)),Inputs!$B$4:$B$150,$B65)/1000)</f>
        <v/>
      </c>
      <c r="M65" s="12" t="str">
        <f>IF(COUNT(I65:L65)=4,SUM(I65:L65),"")</f>
        <v/>
      </c>
      <c r="N65" s="11" t="str">
        <f>IF(SUMPRODUCT((Inputs!$B$4:$B$150=$B65)*ISNUMBER(INDEX(Inputs!$D$4:$AG$150,0,MATCH(N$2,Inputs!$D$2:$AG$2,0))))=0,"",SUMIFS(INDEX(Inputs!$D$4:$AG$150,0,MATCH(N$2,Inputs!$D$2:$AG$2,0)),Inputs!$B$4:$B$150,$B65)/1000)</f>
        <v/>
      </c>
      <c r="O65" s="11" t="str">
        <f>IF(SUMPRODUCT((Inputs!$B$4:$B$150=$B65)*ISNUMBER(INDEX(Inputs!$D$4:$AG$150,0,MATCH(O$2,Inputs!$D$2:$AG$2,0))))=0,"",SUMIFS(INDEX(Inputs!$D$4:$AG$150,0,MATCH(O$2,Inputs!$D$2:$AG$2,0)),Inputs!$B$4:$B$150,$B65)/1000)</f>
        <v/>
      </c>
      <c r="P65" s="11" t="str">
        <f>IF(SUMPRODUCT((Inputs!$B$4:$B$150=$B65)*ISNUMBER(INDEX(Inputs!$D$4:$AG$150,0,MATCH(P$2,Inputs!$D$2:$AG$2,0))))=0,"",SUMIFS(INDEX(Inputs!$D$4:$AG$150,0,MATCH(P$2,Inputs!$D$2:$AG$2,0)),Inputs!$B$4:$B$150,$B65)/1000)</f>
        <v/>
      </c>
      <c r="Q65" s="11" t="str">
        <f>IF(SUMPRODUCT((Inputs!$B$4:$B$150=$B65)*ISNUMBER(INDEX(Inputs!$D$4:$AG$150,0,MATCH(Q$2,Inputs!$D$2:$AG$2,0))))=0,"",SUMIFS(INDEX(Inputs!$D$4:$AG$150,0,MATCH(Q$2,Inputs!$D$2:$AG$2,0)),Inputs!$B$4:$B$150,$B65)/1000)</f>
        <v/>
      </c>
      <c r="R65" s="12" t="str">
        <f>IF(COUNT(N65:Q65)=4,SUM(N65:Q65),"")</f>
        <v/>
      </c>
      <c r="S65" s="11" t="str">
        <f>IF(SUMPRODUCT((Inputs!$B$4:$B$150=$B65)*ISNUMBER(INDEX(Inputs!$D$4:$AG$150,0,MATCH(S$2,Inputs!$D$2:$AG$2,0))))=0,"",SUMIFS(INDEX(Inputs!$D$4:$AG$150,0,MATCH(S$2,Inputs!$D$2:$AG$2,0)),Inputs!$B$4:$B$150,$B65)/1000)</f>
        <v/>
      </c>
      <c r="T65" s="11" t="str">
        <f>IF(SUMPRODUCT((Inputs!$B$4:$B$150=$B65)*ISNUMBER(INDEX(Inputs!$D$4:$AG$150,0,MATCH(T$2,Inputs!$D$2:$AG$2,0))))=0,"",SUMIFS(INDEX(Inputs!$D$4:$AG$150,0,MATCH(T$2,Inputs!$D$2:$AG$2,0)),Inputs!$B$4:$B$150,$B65)/1000)</f>
        <v/>
      </c>
      <c r="U65" s="11" t="str">
        <f>IF(SUMPRODUCT((Inputs!$B$4:$B$150=$B65)*ISNUMBER(INDEX(Inputs!$D$4:$AG$150,0,MATCH(U$2,Inputs!$D$2:$AG$2,0))))=0,"",SUMIFS(INDEX(Inputs!$D$4:$AG$150,0,MATCH(U$2,Inputs!$D$2:$AG$2,0)),Inputs!$B$4:$B$150,$B65)/1000)</f>
        <v/>
      </c>
      <c r="V65" s="11">
        <f>IF(SUMPRODUCT((Inputs!$B$4:$B$150=$B65)*ISNUMBER(INDEX(Inputs!$D$4:$AG$150,0,MATCH(V$2,Inputs!$D$2:$AG$2,0))))=0,"",SUMIFS(INDEX(Inputs!$D$4:$AG$150,0,MATCH(V$2,Inputs!$D$2:$AG$2,0)),Inputs!$B$4:$B$150,$B65)/1000)</f>
        <v>2292</v>
      </c>
      <c r="W65" s="12" t="str">
        <f>IF(COUNT(S65:V65)=4,SUM(S65:V65),"")</f>
        <v/>
      </c>
      <c r="X65" s="11">
        <f>IF(SUMPRODUCT((Inputs!$B$4:$B$150=$B65)*ISNUMBER(INDEX(Inputs!$D$4:$AG$150,0,MATCH(X$2,Inputs!$D$2:$AG$2,0))))=0,"",SUMIFS(INDEX(Inputs!$D$4:$AG$150,0,MATCH(X$2,Inputs!$D$2:$AG$2,0)),Inputs!$B$4:$B$150,$B65)/1000)</f>
        <v>1830</v>
      </c>
      <c r="Y65" s="11">
        <f>IF(SUMPRODUCT((Inputs!$B$4:$B$150=$B65)*ISNUMBER(INDEX(Inputs!$D$4:$AG$150,0,MATCH(Y$2,Inputs!$D$2:$AG$2,0))))=0,"",SUMIFS(INDEX(Inputs!$D$4:$AG$150,0,MATCH(Y$2,Inputs!$D$2:$AG$2,0)),Inputs!$B$4:$B$150,$B65)/1000)</f>
        <v>1530</v>
      </c>
      <c r="Z65" s="11">
        <f>IF(SUMPRODUCT((Inputs!$B$4:$B$150=$B65)*ISNUMBER(INDEX(Inputs!$D$4:$AG$150,0,MATCH(Z$2,Inputs!$D$2:$AG$2,0))))=0,"",SUMIFS(INDEX(Inputs!$D$4:$AG$150,0,MATCH(Z$2,Inputs!$D$2:$AG$2,0)),Inputs!$B$4:$B$150,$B65)/1000)</f>
        <v>1577</v>
      </c>
      <c r="AA65" s="11">
        <f>IF(SUMPRODUCT((Inputs!$B$4:$B$150=$B65)*ISNUMBER(INDEX(Inputs!$D$4:$AG$150,0,MATCH(AA$2,Inputs!$D$2:$AG$2,0))))=0,"",SUMIFS(INDEX(Inputs!$D$4:$AG$150,0,MATCH(AA$2,Inputs!$D$2:$AG$2,0)),Inputs!$B$4:$B$150,$B65)/1000)</f>
        <v>2379</v>
      </c>
      <c r="AB65" s="12">
        <f>IF(COUNT(X65:AA65)=4,SUM(X65:AA65),"")</f>
        <v>7316</v>
      </c>
      <c r="AC65" s="11">
        <f>IF(SUMPRODUCT((Inputs!$B$4:$B$150=$B65)*ISNUMBER(INDEX(Inputs!$D$4:$AG$150,0,MATCH(AC$2,Inputs!$D$2:$AG$2,0))))=0,"",SUMIFS(INDEX(Inputs!$D$4:$AG$150,0,MATCH(AC$2,Inputs!$D$2:$AG$2,0)),Inputs!$B$4:$B$150,$B65)/1000)</f>
        <v>5687</v>
      </c>
      <c r="AD65" s="11">
        <f>IF(SUMPRODUCT((Inputs!$B$4:$B$150=$B65)*ISNUMBER(INDEX(Inputs!$D$4:$AG$150,0,MATCH(AD$2,Inputs!$D$2:$AG$2,0))))=0,"",SUMIFS(INDEX(Inputs!$D$4:$AG$150,0,MATCH(AD$2,Inputs!$D$2:$AG$2,0)),Inputs!$B$4:$B$150,$B65)/1000)</f>
        <v>11524</v>
      </c>
      <c r="AE65" s="11" t="str">
        <f>IF(SUMPRODUCT((Inputs!$B$4:$B$150=$B65)*ISNUMBER(INDEX(Inputs!$D$4:$AG$150,0,MATCH(AE$2,Inputs!$D$2:$AG$2,0))))=0,"",SUMIFS(INDEX(Inputs!$D$4:$AG$150,0,MATCH(AE$2,Inputs!$D$2:$AG$2,0)),Inputs!$B$4:$B$150,$B65)/1000)</f>
        <v/>
      </c>
      <c r="AF65" s="11" t="str">
        <f>IF(SUMPRODUCT((Inputs!$B$4:$B$150=$B65)*ISNUMBER(INDEX(Inputs!$D$4:$AG$150,0,MATCH(AF$2,Inputs!$D$2:$AG$2,0))))=0,"",SUMIFS(INDEX(Inputs!$D$4:$AG$150,0,MATCH(AF$2,Inputs!$D$2:$AG$2,0)),Inputs!$B$4:$B$150,$B65)/1000)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Receita MCBU (mobile &amp; client) (USD)</t>
        </is>
      </c>
      <c r="D66" s="11" t="str">
        <f>IF(SUMPRODUCT((Inputs!$B$4:$B$150=$B66)*ISNUMBER(INDEX(Inputs!$D$4:$AG$150,0,MATCH(D$2,Inputs!$D$2:$AG$2,0))))=0,"",SUMIFS(INDEX(Inputs!$D$4:$AG$150,0,MATCH(D$2,Inputs!$D$2:$AG$2,0)),Inputs!$B$4:$B$150,$B66)/1000)</f>
        <v/>
      </c>
      <c r="E66" s="11" t="str">
        <f>IF(SUMPRODUCT((Inputs!$B$4:$B$150=$B66)*ISNUMBER(INDEX(Inputs!$D$4:$AG$150,0,MATCH(E$2,Inputs!$D$2:$AG$2,0))))=0,"",SUMIFS(INDEX(Inputs!$D$4:$AG$150,0,MATCH(E$2,Inputs!$D$2:$AG$2,0)),Inputs!$B$4:$B$150,$B66)/1000)</f>
        <v/>
      </c>
      <c r="F66" s="11" t="str">
        <f>IF(SUMPRODUCT((Inputs!$B$4:$B$150=$B66)*ISNUMBER(INDEX(Inputs!$D$4:$AG$150,0,MATCH(F$2,Inputs!$D$2:$AG$2,0))))=0,"",SUMIFS(INDEX(Inputs!$D$4:$AG$150,0,MATCH(F$2,Inputs!$D$2:$AG$2,0)),Inputs!$B$4:$B$150,$B66)/1000)</f>
        <v/>
      </c>
      <c r="G66" s="11" t="str">
        <f>IF(SUMPRODUCT((Inputs!$B$4:$B$150=$B66)*ISNUMBER(INDEX(Inputs!$D$4:$AG$150,0,MATCH(G$2,Inputs!$D$2:$AG$2,0))))=0,"",SUMIFS(INDEX(Inputs!$D$4:$AG$150,0,MATCH(G$2,Inputs!$D$2:$AG$2,0)),Inputs!$B$4:$B$150,$B66)/1000)</f>
        <v/>
      </c>
      <c r="H66" s="12" t="str">
        <f>IF(COUNT(D66:G66)=4,SUM(D66:G66),"")</f>
        <v/>
      </c>
      <c r="I66" s="11" t="str">
        <f>IF(SUMPRODUCT((Inputs!$B$4:$B$150=$B66)*ISNUMBER(INDEX(Inputs!$D$4:$AG$150,0,MATCH(I$2,Inputs!$D$2:$AG$2,0))))=0,"",SUMIFS(INDEX(Inputs!$D$4:$AG$150,0,MATCH(I$2,Inputs!$D$2:$AG$2,0)),Inputs!$B$4:$B$150,$B66)/1000)</f>
        <v/>
      </c>
      <c r="J66" s="11" t="str">
        <f>IF(SUMPRODUCT((Inputs!$B$4:$B$150=$B66)*ISNUMBER(INDEX(Inputs!$D$4:$AG$150,0,MATCH(J$2,Inputs!$D$2:$AG$2,0))))=0,"",SUMIFS(INDEX(Inputs!$D$4:$AG$150,0,MATCH(J$2,Inputs!$D$2:$AG$2,0)),Inputs!$B$4:$B$150,$B66)/1000)</f>
        <v/>
      </c>
      <c r="K66" s="11" t="str">
        <f>IF(SUMPRODUCT((Inputs!$B$4:$B$150=$B66)*ISNUMBER(INDEX(Inputs!$D$4:$AG$150,0,MATCH(K$2,Inputs!$D$2:$AG$2,0))))=0,"",SUMIFS(INDEX(Inputs!$D$4:$AG$150,0,MATCH(K$2,Inputs!$D$2:$AG$2,0)),Inputs!$B$4:$B$150,$B66)/1000)</f>
        <v/>
      </c>
      <c r="L66" s="11" t="str">
        <f>IF(SUMPRODUCT((Inputs!$B$4:$B$150=$B66)*ISNUMBER(INDEX(Inputs!$D$4:$AG$150,0,MATCH(L$2,Inputs!$D$2:$AG$2,0))))=0,"",SUMIFS(INDEX(Inputs!$D$4:$AG$150,0,MATCH(L$2,Inputs!$D$2:$AG$2,0)),Inputs!$B$4:$B$150,$B66)/1000)</f>
        <v/>
      </c>
      <c r="M66" s="12" t="str">
        <f>IF(COUNT(I66:L66)=4,SUM(I66:L66),"")</f>
        <v/>
      </c>
      <c r="N66" s="11" t="str">
        <f>IF(SUMPRODUCT((Inputs!$B$4:$B$150=$B66)*ISNUMBER(INDEX(Inputs!$D$4:$AG$150,0,MATCH(N$2,Inputs!$D$2:$AG$2,0))))=0,"",SUMIFS(INDEX(Inputs!$D$4:$AG$150,0,MATCH(N$2,Inputs!$D$2:$AG$2,0)),Inputs!$B$4:$B$150,$B66)/1000)</f>
        <v/>
      </c>
      <c r="O66" s="11" t="str">
        <f>IF(SUMPRODUCT((Inputs!$B$4:$B$150=$B66)*ISNUMBER(INDEX(Inputs!$D$4:$AG$150,0,MATCH(O$2,Inputs!$D$2:$AG$2,0))))=0,"",SUMIFS(INDEX(Inputs!$D$4:$AG$150,0,MATCH(O$2,Inputs!$D$2:$AG$2,0)),Inputs!$B$4:$B$150,$B66)/1000)</f>
        <v/>
      </c>
      <c r="P66" s="11" t="str">
        <f>IF(SUMPRODUCT((Inputs!$B$4:$B$150=$B66)*ISNUMBER(INDEX(Inputs!$D$4:$AG$150,0,MATCH(P$2,Inputs!$D$2:$AG$2,0))))=0,"",SUMIFS(INDEX(Inputs!$D$4:$AG$150,0,MATCH(P$2,Inputs!$D$2:$AG$2,0)),Inputs!$B$4:$B$150,$B66)/1000)</f>
        <v/>
      </c>
      <c r="Q66" s="11" t="str">
        <f>IF(SUMPRODUCT((Inputs!$B$4:$B$150=$B66)*ISNUMBER(INDEX(Inputs!$D$4:$AG$150,0,MATCH(Q$2,Inputs!$D$2:$AG$2,0))))=0,"",SUMIFS(INDEX(Inputs!$D$4:$AG$150,0,MATCH(Q$2,Inputs!$D$2:$AG$2,0)),Inputs!$B$4:$B$150,$B66)/1000)</f>
        <v/>
      </c>
      <c r="R66" s="12" t="str">
        <f>IF(COUNT(N66:Q66)=4,SUM(N66:Q66),"")</f>
        <v/>
      </c>
      <c r="S66" s="11" t="str">
        <f>IF(SUMPRODUCT((Inputs!$B$4:$B$150=$B66)*ISNUMBER(INDEX(Inputs!$D$4:$AG$150,0,MATCH(S$2,Inputs!$D$2:$AG$2,0))))=0,"",SUMIFS(INDEX(Inputs!$D$4:$AG$150,0,MATCH(S$2,Inputs!$D$2:$AG$2,0)),Inputs!$B$4:$B$150,$B66)/1000)</f>
        <v/>
      </c>
      <c r="T66" s="11" t="str">
        <f>IF(SUMPRODUCT((Inputs!$B$4:$B$150=$B66)*ISNUMBER(INDEX(Inputs!$D$4:$AG$150,0,MATCH(T$2,Inputs!$D$2:$AG$2,0))))=0,"",SUMIFS(INDEX(Inputs!$D$4:$AG$150,0,MATCH(T$2,Inputs!$D$2:$AG$2,0)),Inputs!$B$4:$B$150,$B66)/1000)</f>
        <v/>
      </c>
      <c r="U66" s="11" t="str">
        <f>IF(SUMPRODUCT((Inputs!$B$4:$B$150=$B66)*ISNUMBER(INDEX(Inputs!$D$4:$AG$150,0,MATCH(U$2,Inputs!$D$2:$AG$2,0))))=0,"",SUMIFS(INDEX(Inputs!$D$4:$AG$150,0,MATCH(U$2,Inputs!$D$2:$AG$2,0)),Inputs!$B$4:$B$150,$B66)/1000)</f>
        <v/>
      </c>
      <c r="V66" s="11">
        <f>IF(SUMPRODUCT((Inputs!$B$4:$B$150=$B66)*ISNUMBER(INDEX(Inputs!$D$4:$AG$150,0,MATCH(V$2,Inputs!$D$2:$AG$2,0))))=0,"",SUMIFS(INDEX(Inputs!$D$4:$AG$150,0,MATCH(V$2,Inputs!$D$2:$AG$2,0)),Inputs!$B$4:$B$150,$B66)/1000)</f>
        <v>2608</v>
      </c>
      <c r="W66" s="12" t="str">
        <f>IF(COUNT(S66:V66)=4,SUM(S66:V66),"")</f>
        <v/>
      </c>
      <c r="X66" s="11">
        <f>IF(SUMPRODUCT((Inputs!$B$4:$B$150=$B66)*ISNUMBER(INDEX(Inputs!$D$4:$AG$150,0,MATCH(X$2,Inputs!$D$2:$AG$2,0))))=0,"",SUMIFS(INDEX(Inputs!$D$4:$AG$150,0,MATCH(X$2,Inputs!$D$2:$AG$2,0)),Inputs!$B$4:$B$150,$B66)/1000)</f>
        <v>2236</v>
      </c>
      <c r="Y66" s="11">
        <f>IF(SUMPRODUCT((Inputs!$B$4:$B$150=$B66)*ISNUMBER(INDEX(Inputs!$D$4:$AG$150,0,MATCH(Y$2,Inputs!$D$2:$AG$2,0))))=0,"",SUMIFS(INDEX(Inputs!$D$4:$AG$150,0,MATCH(Y$2,Inputs!$D$2:$AG$2,0)),Inputs!$B$4:$B$150,$B66)/1000)</f>
        <v>3255</v>
      </c>
      <c r="Z66" s="11">
        <f>IF(SUMPRODUCT((Inputs!$B$4:$B$150=$B66)*ISNUMBER(INDEX(Inputs!$D$4:$AG$150,0,MATCH(Z$2,Inputs!$D$2:$AG$2,0))))=0,"",SUMIFS(INDEX(Inputs!$D$4:$AG$150,0,MATCH(Z$2,Inputs!$D$2:$AG$2,0)),Inputs!$B$4:$B$150,$B66)/1000)</f>
        <v>3760</v>
      </c>
      <c r="AA66" s="11">
        <f>IF(SUMPRODUCT((Inputs!$B$4:$B$150=$B66)*ISNUMBER(INDEX(Inputs!$D$4:$AG$150,0,MATCH(AA$2,Inputs!$D$2:$AG$2,0))))=0,"",SUMIFS(INDEX(Inputs!$D$4:$AG$150,0,MATCH(AA$2,Inputs!$D$2:$AG$2,0)),Inputs!$B$4:$B$150,$B66)/1000)</f>
        <v>4255</v>
      </c>
      <c r="AB66" s="12">
        <f>IF(COUNT(X66:AA66)=4,SUM(X66:AA66),"")</f>
        <v>13506</v>
      </c>
      <c r="AC66" s="11">
        <f>IF(SUMPRODUCT((Inputs!$B$4:$B$150=$B66)*ISNUMBER(INDEX(Inputs!$D$4:$AG$150,0,MATCH(AC$2,Inputs!$D$2:$AG$2,0))))=0,"",SUMIFS(INDEX(Inputs!$D$4:$AG$150,0,MATCH(AC$2,Inputs!$D$2:$AG$2,0)),Inputs!$B$4:$B$150,$B66)/1000)</f>
        <v>7711</v>
      </c>
      <c r="AD66" s="11">
        <f>IF(SUMPRODUCT((Inputs!$B$4:$B$150=$B66)*ISNUMBER(INDEX(Inputs!$D$4:$AG$150,0,MATCH(AD$2,Inputs!$D$2:$AG$2,0))))=0,"",SUMIFS(INDEX(Inputs!$D$4:$AG$150,0,MATCH(AD$2,Inputs!$D$2:$AG$2,0)),Inputs!$B$4:$B$150,$B66)/1000)</f>
        <v>11521</v>
      </c>
      <c r="AE66" s="11" t="str">
        <f>IF(SUMPRODUCT((Inputs!$B$4:$B$150=$B66)*ISNUMBER(INDEX(Inputs!$D$4:$AG$150,0,MATCH(AE$2,Inputs!$D$2:$AG$2,0))))=0,"",SUMIFS(INDEX(Inputs!$D$4:$AG$150,0,MATCH(AE$2,Inputs!$D$2:$AG$2,0)),Inputs!$B$4:$B$150,$B66)/1000)</f>
        <v/>
      </c>
      <c r="AF66" s="11" t="str">
        <f>IF(SUMPRODUCT((Inputs!$B$4:$B$150=$B66)*ISNUMBER(INDEX(Inputs!$D$4:$AG$150,0,MATCH(AF$2,Inputs!$D$2:$AG$2,0))))=0,"",SUMIFS(INDEX(Inputs!$D$4:$AG$150,0,MATCH(AF$2,Inputs!$D$2:$AG$2,0)),Inputs!$B$4:$B$150,$B66)/1000)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Receita AEBU (automotive &amp; embedded) (USD)</t>
        </is>
      </c>
      <c r="D67" s="11" t="str">
        <f>IF(SUMPRODUCT((Inputs!$B$4:$B$150=$B67)*ISNUMBER(INDEX(Inputs!$D$4:$AG$150,0,MATCH(D$2,Inputs!$D$2:$AG$2,0))))=0,"",SUMIFS(INDEX(Inputs!$D$4:$AG$150,0,MATCH(D$2,Inputs!$D$2:$AG$2,0)),Inputs!$B$4:$B$150,$B67)/1000)</f>
        <v/>
      </c>
      <c r="E67" s="11" t="str">
        <f>IF(SUMPRODUCT((Inputs!$B$4:$B$150=$B67)*ISNUMBER(INDEX(Inputs!$D$4:$AG$150,0,MATCH(E$2,Inputs!$D$2:$AG$2,0))))=0,"",SUMIFS(INDEX(Inputs!$D$4:$AG$150,0,MATCH(E$2,Inputs!$D$2:$AG$2,0)),Inputs!$B$4:$B$150,$B67)/1000)</f>
        <v/>
      </c>
      <c r="F67" s="11" t="str">
        <f>IF(SUMPRODUCT((Inputs!$B$4:$B$150=$B67)*ISNUMBER(INDEX(Inputs!$D$4:$AG$150,0,MATCH(F$2,Inputs!$D$2:$AG$2,0))))=0,"",SUMIFS(INDEX(Inputs!$D$4:$AG$150,0,MATCH(F$2,Inputs!$D$2:$AG$2,0)),Inputs!$B$4:$B$150,$B67)/1000)</f>
        <v/>
      </c>
      <c r="G67" s="11" t="str">
        <f>IF(SUMPRODUCT((Inputs!$B$4:$B$150=$B67)*ISNUMBER(INDEX(Inputs!$D$4:$AG$150,0,MATCH(G$2,Inputs!$D$2:$AG$2,0))))=0,"",SUMIFS(INDEX(Inputs!$D$4:$AG$150,0,MATCH(G$2,Inputs!$D$2:$AG$2,0)),Inputs!$B$4:$B$150,$B67)/1000)</f>
        <v/>
      </c>
      <c r="H67" s="12" t="str">
        <f>IF(COUNT(D67:G67)=4,SUM(D67:G67),"")</f>
        <v/>
      </c>
      <c r="I67" s="11" t="str">
        <f>IF(SUMPRODUCT((Inputs!$B$4:$B$150=$B67)*ISNUMBER(INDEX(Inputs!$D$4:$AG$150,0,MATCH(I$2,Inputs!$D$2:$AG$2,0))))=0,"",SUMIFS(INDEX(Inputs!$D$4:$AG$150,0,MATCH(I$2,Inputs!$D$2:$AG$2,0)),Inputs!$B$4:$B$150,$B67)/1000)</f>
        <v/>
      </c>
      <c r="J67" s="11" t="str">
        <f>IF(SUMPRODUCT((Inputs!$B$4:$B$150=$B67)*ISNUMBER(INDEX(Inputs!$D$4:$AG$150,0,MATCH(J$2,Inputs!$D$2:$AG$2,0))))=0,"",SUMIFS(INDEX(Inputs!$D$4:$AG$150,0,MATCH(J$2,Inputs!$D$2:$AG$2,0)),Inputs!$B$4:$B$150,$B67)/1000)</f>
        <v/>
      </c>
      <c r="K67" s="11" t="str">
        <f>IF(SUMPRODUCT((Inputs!$B$4:$B$150=$B67)*ISNUMBER(INDEX(Inputs!$D$4:$AG$150,0,MATCH(K$2,Inputs!$D$2:$AG$2,0))))=0,"",SUMIFS(INDEX(Inputs!$D$4:$AG$150,0,MATCH(K$2,Inputs!$D$2:$AG$2,0)),Inputs!$B$4:$B$150,$B67)/1000)</f>
        <v/>
      </c>
      <c r="L67" s="11" t="str">
        <f>IF(SUMPRODUCT((Inputs!$B$4:$B$150=$B67)*ISNUMBER(INDEX(Inputs!$D$4:$AG$150,0,MATCH(L$2,Inputs!$D$2:$AG$2,0))))=0,"",SUMIFS(INDEX(Inputs!$D$4:$AG$150,0,MATCH(L$2,Inputs!$D$2:$AG$2,0)),Inputs!$B$4:$B$150,$B67)/1000)</f>
        <v/>
      </c>
      <c r="M67" s="12" t="str">
        <f>IF(COUNT(I67:L67)=4,SUM(I67:L67),"")</f>
        <v/>
      </c>
      <c r="N67" s="11" t="str">
        <f>IF(SUMPRODUCT((Inputs!$B$4:$B$150=$B67)*ISNUMBER(INDEX(Inputs!$D$4:$AG$150,0,MATCH(N$2,Inputs!$D$2:$AG$2,0))))=0,"",SUMIFS(INDEX(Inputs!$D$4:$AG$150,0,MATCH(N$2,Inputs!$D$2:$AG$2,0)),Inputs!$B$4:$B$150,$B67)/1000)</f>
        <v/>
      </c>
      <c r="O67" s="11" t="str">
        <f>IF(SUMPRODUCT((Inputs!$B$4:$B$150=$B67)*ISNUMBER(INDEX(Inputs!$D$4:$AG$150,0,MATCH(O$2,Inputs!$D$2:$AG$2,0))))=0,"",SUMIFS(INDEX(Inputs!$D$4:$AG$150,0,MATCH(O$2,Inputs!$D$2:$AG$2,0)),Inputs!$B$4:$B$150,$B67)/1000)</f>
        <v/>
      </c>
      <c r="P67" s="11" t="str">
        <f>IF(SUMPRODUCT((Inputs!$B$4:$B$150=$B67)*ISNUMBER(INDEX(Inputs!$D$4:$AG$150,0,MATCH(P$2,Inputs!$D$2:$AG$2,0))))=0,"",SUMIFS(INDEX(Inputs!$D$4:$AG$150,0,MATCH(P$2,Inputs!$D$2:$AG$2,0)),Inputs!$B$4:$B$150,$B67)/1000)</f>
        <v/>
      </c>
      <c r="Q67" s="11" t="str">
        <f>IF(SUMPRODUCT((Inputs!$B$4:$B$150=$B67)*ISNUMBER(INDEX(Inputs!$D$4:$AG$150,0,MATCH(Q$2,Inputs!$D$2:$AG$2,0))))=0,"",SUMIFS(INDEX(Inputs!$D$4:$AG$150,0,MATCH(Q$2,Inputs!$D$2:$AG$2,0)),Inputs!$B$4:$B$150,$B67)/1000)</f>
        <v/>
      </c>
      <c r="R67" s="12" t="str">
        <f>IF(COUNT(N67:Q67)=4,SUM(N67:Q67),"")</f>
        <v/>
      </c>
      <c r="S67" s="11" t="str">
        <f>IF(SUMPRODUCT((Inputs!$B$4:$B$150=$B67)*ISNUMBER(INDEX(Inputs!$D$4:$AG$150,0,MATCH(S$2,Inputs!$D$2:$AG$2,0))))=0,"",SUMIFS(INDEX(Inputs!$D$4:$AG$150,0,MATCH(S$2,Inputs!$D$2:$AG$2,0)),Inputs!$B$4:$B$150,$B67)/1000)</f>
        <v/>
      </c>
      <c r="T67" s="11" t="str">
        <f>IF(SUMPRODUCT((Inputs!$B$4:$B$150=$B67)*ISNUMBER(INDEX(Inputs!$D$4:$AG$150,0,MATCH(T$2,Inputs!$D$2:$AG$2,0))))=0,"",SUMIFS(INDEX(Inputs!$D$4:$AG$150,0,MATCH(T$2,Inputs!$D$2:$AG$2,0)),Inputs!$B$4:$B$150,$B67)/1000)</f>
        <v/>
      </c>
      <c r="U67" s="11" t="str">
        <f>IF(SUMPRODUCT((Inputs!$B$4:$B$150=$B67)*ISNUMBER(INDEX(Inputs!$D$4:$AG$150,0,MATCH(U$2,Inputs!$D$2:$AG$2,0))))=0,"",SUMIFS(INDEX(Inputs!$D$4:$AG$150,0,MATCH(U$2,Inputs!$D$2:$AG$2,0)),Inputs!$B$4:$B$150,$B67)/1000)</f>
        <v/>
      </c>
      <c r="V67" s="11">
        <f>IF(SUMPRODUCT((Inputs!$B$4:$B$150=$B67)*ISNUMBER(INDEX(Inputs!$D$4:$AG$150,0,MATCH(V$2,Inputs!$D$2:$AG$2,0))))=0,"",SUMIFS(INDEX(Inputs!$D$4:$AG$150,0,MATCH(V$2,Inputs!$D$2:$AG$2,0)),Inputs!$B$4:$B$150,$B67)/1000)</f>
        <v>1158</v>
      </c>
      <c r="W67" s="12" t="str">
        <f>IF(COUNT(S67:V67)=4,SUM(S67:V67),"")</f>
        <v/>
      </c>
      <c r="X67" s="11">
        <f>IF(SUMPRODUCT((Inputs!$B$4:$B$150=$B67)*ISNUMBER(INDEX(Inputs!$D$4:$AG$150,0,MATCH(X$2,Inputs!$D$2:$AG$2,0))))=0,"",SUMIFS(INDEX(Inputs!$D$4:$AG$150,0,MATCH(X$2,Inputs!$D$2:$AG$2,0)),Inputs!$B$4:$B$150,$B67)/1000)</f>
        <v>1034</v>
      </c>
      <c r="Y67" s="11">
        <f>IF(SUMPRODUCT((Inputs!$B$4:$B$150=$B67)*ISNUMBER(INDEX(Inputs!$D$4:$AG$150,0,MATCH(Y$2,Inputs!$D$2:$AG$2,0))))=0,"",SUMIFS(INDEX(Inputs!$D$4:$AG$150,0,MATCH(Y$2,Inputs!$D$2:$AG$2,0)),Inputs!$B$4:$B$150,$B67)/1000)</f>
        <v>1127</v>
      </c>
      <c r="Z67" s="11">
        <f>IF(SUMPRODUCT((Inputs!$B$4:$B$150=$B67)*ISNUMBER(INDEX(Inputs!$D$4:$AG$150,0,MATCH(Z$2,Inputs!$D$2:$AG$2,0))))=0,"",SUMIFS(INDEX(Inputs!$D$4:$AG$150,0,MATCH(Z$2,Inputs!$D$2:$AG$2,0)),Inputs!$B$4:$B$150,$B67)/1000)</f>
        <v>1434</v>
      </c>
      <c r="AA67" s="11">
        <f>IF(SUMPRODUCT((Inputs!$B$4:$B$150=$B67)*ISNUMBER(INDEX(Inputs!$D$4:$AG$150,0,MATCH(AA$2,Inputs!$D$2:$AG$2,0))))=0,"",SUMIFS(INDEX(Inputs!$D$4:$AG$150,0,MATCH(AA$2,Inputs!$D$2:$AG$2,0)),Inputs!$B$4:$B$150,$B67)/1000)</f>
        <v>1720</v>
      </c>
      <c r="AB67" s="12">
        <f>IF(COUNT(X67:AA67)=4,SUM(X67:AA67),"")</f>
        <v>5315</v>
      </c>
      <c r="AC67" s="11">
        <f>IF(SUMPRODUCT((Inputs!$B$4:$B$150=$B67)*ISNUMBER(INDEX(Inputs!$D$4:$AG$150,0,MATCH(AC$2,Inputs!$D$2:$AG$2,0))))=0,"",SUMIFS(INDEX(Inputs!$D$4:$AG$150,0,MATCH(AC$2,Inputs!$D$2:$AG$2,0)),Inputs!$B$4:$B$150,$B67)/1000)</f>
        <v>2708</v>
      </c>
      <c r="AD67" s="11">
        <f>IF(SUMPRODUCT((Inputs!$B$4:$B$150=$B67)*ISNUMBER(INDEX(Inputs!$D$4:$AG$150,0,MATCH(AD$2,Inputs!$D$2:$AG$2,0))))=0,"",SUMIFS(INDEX(Inputs!$D$4:$AG$150,0,MATCH(AD$2,Inputs!$D$2:$AG$2,0)),Inputs!$B$4:$B$150,$B67)/1000)</f>
        <v>4634</v>
      </c>
      <c r="AE67" s="11" t="str">
        <f>IF(SUMPRODUCT((Inputs!$B$4:$B$150=$B67)*ISNUMBER(INDEX(Inputs!$D$4:$AG$150,0,MATCH(AE$2,Inputs!$D$2:$AG$2,0))))=0,"",SUMIFS(INDEX(Inputs!$D$4:$AG$150,0,MATCH(AE$2,Inputs!$D$2:$AG$2,0)),Inputs!$B$4:$B$150,$B67)/1000)</f>
        <v/>
      </c>
      <c r="AF67" s="11" t="str">
        <f>IF(SUMPRODUCT((Inputs!$B$4:$B$150=$B67)*ISNUMBER(INDEX(Inputs!$D$4:$AG$150,0,MATCH(AF$2,Inputs!$D$2:$AG$2,0))))=0,"",SUMIFS(INDEX(Inputs!$D$4:$AG$150,0,MATCH(AF$2,Inputs!$D$2:$AG$2,0)),Inputs!$B$4:$B$150,$B67)/1000)</f>
        <v/>
      </c>
      <c r="AG67" s="12" t="str">
        <f>IF(COUNT(AC67:AF67)=4,SUM(AC67:AF67),"")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8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9837.80673946118</v>
      </c>
      <c r="AK1" s="12">
        <f>IF(AK2="","",SUM(AK2,AK3))</f>
        <v>11861.8822224011</v>
      </c>
      <c r="AL1" s="12">
        <f>IF(AL2="","",SUM(AL2,AL3))</f>
        <v>63727.6889618623</v>
      </c>
      <c r="AM1" s="12">
        <f>IF(AM2="","",SUM(AM2,AM3))</f>
        <v>20745.0348036716</v>
      </c>
      <c r="AN1" s="12">
        <f>IF(AN2="","",SUM(AN2,AN3))</f>
        <v>36043.8458852057</v>
      </c>
      <c r="AO1" s="12">
        <f>IF(AO2="","",SUM(AO2,AO3))</f>
        <v>21634.7769736489</v>
      </c>
      <c r="AP1" s="12">
        <f>IF(AP2="","",SUM(AP2,AP3))</f>
        <v>26086.0152232869</v>
      </c>
      <c r="AQ1" s="12">
        <f>IF(AQ2="","",SUM(AQ2,AQ3))</f>
        <v>104509.672885813</v>
      </c>
      <c r="AR1" s="12">
        <f>IF(AR2="","",SUM(AR2,AR3))</f>
        <v>45517.6427969284</v>
      </c>
      <c r="AS1" s="12">
        <f>IF(AS2="","",SUM(AS2,AS3))</f>
        <v>79085.4735871527</v>
      </c>
      <c r="AT1" s="12">
        <f>IF(AT2="","",SUM(AT2,AT3))</f>
        <v>47469.8673488594</v>
      </c>
      <c r="AU1" s="12">
        <f>IF(AU2="","",SUM(AU2,AU3))</f>
        <v>57236.5355935032</v>
      </c>
      <c r="AV1" s="12">
        <f>IF(AV2="","",SUM(AV2,AV3))</f>
        <v>229309.519326444</v>
      </c>
      <c r="AW1" s="12">
        <f>IF(AW2="","",SUM(AW2,AW3))</f>
        <v>99644.7824711722</v>
      </c>
      <c r="AX1" s="12">
        <f>IF(AX2="","",SUM(AX2,AX3))</f>
        <v>173129.677373215</v>
      </c>
      <c r="AY1" s="12">
        <f>IF(AY2="","",SUM(AY2,AY3))</f>
        <v>103918.487761227</v>
      </c>
      <c r="AZ1" s="12">
        <f>IF(AZ2="","",SUM(AZ2,AZ3))</f>
        <v>125299.154089829</v>
      </c>
      <c r="BA1" s="12">
        <f>IF(BA2="","",SUM(BA2,BA3))</f>
        <v>501992.101695443</v>
      </c>
      <c r="BB1" s="12">
        <f>IF(BB2="","",SUM(BB2,BB3))</f>
        <v>217638.789861065</v>
      </c>
      <c r="BC1" s="12">
        <f>IF(BC2="","",SUM(BC2,BC3))</f>
        <v>378140.556264892</v>
      </c>
      <c r="BD1" s="12">
        <f>IF(BD2="","",SUM(BD2,BD3))</f>
        <v>226973.187754095</v>
      </c>
      <c r="BE1" s="12">
        <f>IF(BE2="","",SUM(BE2,BE3))</f>
        <v>273671.692490421</v>
      </c>
      <c r="BF1" s="12">
        <f>IF(BF2="","",SUM(BF2,BF3))</f>
        <v>1096424.22637047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IF(COUNT(I193,I269)&lt;2,"",ABS(I193-I269))</f>
        <v>0</v>
      </c>
      <c r="J2" s="12">
        <f>IF(COUNT(J193,J269)&lt;2,"",ABS(J193-J269))</f>
        <v>0</v>
      </c>
      <c r="K2" s="12">
        <f>IF(COUNT(K193,K269)&lt;2,"",ABS(K193-K269))</f>
        <v>0</v>
      </c>
      <c r="L2" s="12">
        <f>IF(COUNT(L193,L269)&lt;2,"",ABS(L193-L269))</f>
        <v>0</v>
      </c>
      <c r="M2" s="12">
        <f>IF(COUNT(M193,M269)&lt;2,"",ABS(M193-M269))</f>
        <v>0</v>
      </c>
      <c r="N2" s="12">
        <f>IF(COUNT(N193,N269)&lt;2,"",ABS(N193-N269))</f>
        <v>0</v>
      </c>
      <c r="O2" s="12">
        <f>IF(COUNT(O193,O269)&lt;2,"",ABS(O193-O269))</f>
        <v>0</v>
      </c>
      <c r="P2" s="12">
        <f>IF(COUNT(P193,P269)&lt;2,"",ABS(P193-P269))</f>
        <v>0</v>
      </c>
      <c r="Q2" s="12">
        <f>IF(COUNT(Q193,Q269)&lt;2,"",ABS(Q193-Q269))</f>
        <v>0</v>
      </c>
      <c r="R2" s="12">
        <f>IF(COUNT(R193,R269)&lt;2,"",ABS(R193-R269))</f>
        <v>0</v>
      </c>
      <c r="S2" s="12">
        <f>IF(COUNT(S193,S269)&lt;2,"",ABS(S193-S269))</f>
        <v>0</v>
      </c>
      <c r="T2" s="12">
        <f>IF(COUNT(T193,T269)&lt;2,"",ABS(T193-T269))</f>
        <v>0</v>
      </c>
      <c r="U2" s="12">
        <f>IF(COUNT(U193,U269)&lt;2,"",ABS(U193-U269))</f>
        <v>0</v>
      </c>
      <c r="V2" s="12">
        <f>IF(COUNT(V193,V269)&lt;2,"",ABS(V193-V269))</f>
        <v>0</v>
      </c>
      <c r="W2" s="12">
        <f>IF(COUNT(W193,W269)&lt;2,"",ABS(W193-W269))</f>
        <v>0</v>
      </c>
      <c r="X2" s="12">
        <f>IF(COUNT(X193,X269)&lt;2,"",ABS(X193-X269))</f>
        <v>0</v>
      </c>
      <c r="Y2" s="12">
        <f>IF(COUNT(Y193,Y269)&lt;2,"",ABS(Y193-Y269))</f>
        <v>0</v>
      </c>
      <c r="Z2" s="12">
        <f>IF(COUNT(Z193,Z269)&lt;2,"",ABS(Z193-Z269))</f>
        <v>0</v>
      </c>
      <c r="AA2" s="12">
        <f>IF(COUNT(AA193,AA269)&lt;2,"",ABS(AA193-AA269))</f>
        <v>0</v>
      </c>
      <c r="AB2" s="12">
        <f>IF(COUNT(AB193,AB269)&lt;2,"",ABS(AB193-AB269))</f>
        <v>0</v>
      </c>
      <c r="AC2" s="12">
        <f>IF(COUNT(AC193,AC269)&lt;2,"",ABS(AC193-AC269))</f>
        <v>0</v>
      </c>
      <c r="AD2" s="12">
        <f>IF(COUNT(AD193,AD269)&lt;2,"",ABS(AD193-AD269))</f>
        <v>0</v>
      </c>
      <c r="AE2" s="12">
        <f>IF(COUNT(AE193,AE269)&lt;2,"",ABS(AE193-AE269))</f>
        <v>0</v>
      </c>
      <c r="AF2" s="12">
        <f>IF(COUNT(AF193,AF269)&lt;2,"",ABS(AF193-AF269))</f>
        <v>0</v>
      </c>
      <c r="AG2" s="12">
        <f>IF(COUNT(AG193,AG269)&lt;2,"",ABS(AG193-AG269))</f>
        <v>0</v>
      </c>
      <c r="AH2" s="12">
        <f>IF(COUNT(AH193,AH269)&lt;2,"",ABS(AH193-AH269))</f>
        <v>0</v>
      </c>
      <c r="AI2" s="12">
        <f>IF(COUNT(AI193,AI269)&lt;2,"",ABS(AI193-AI269))</f>
        <v>0</v>
      </c>
      <c r="AJ2" s="12">
        <f>IF(COUNT(AJ193,AJ269)&lt;2,"",ABS(AJ193-AJ269))</f>
        <v>0</v>
      </c>
      <c r="AK2" s="12">
        <f>IF(COUNT(AK193,AK269)&lt;2,"",ABS(AK193-AK269))</f>
        <v>0</v>
      </c>
      <c r="AL2" s="12">
        <f>IF(COUNT(AL193,AL269)&lt;2,"",ABS(AL193-AL269))</f>
        <v>0</v>
      </c>
      <c r="AM2" s="12">
        <f>IF(COUNT(AM193,AM269)&lt;2,"",ABS(AM193-AM269))</f>
        <v>0</v>
      </c>
      <c r="AN2" s="12">
        <f>IF(COUNT(AN193,AN269)&lt;2,"",ABS(AN193-AN269))</f>
        <v>0</v>
      </c>
      <c r="AO2" s="12">
        <f>IF(COUNT(AO193,AO269)&lt;2,"",ABS(AO193-AO269))</f>
        <v>0</v>
      </c>
      <c r="AP2" s="12">
        <f>IF(COUNT(AP193,AP269)&lt;2,"",ABS(AP193-AP269))</f>
        <v>0</v>
      </c>
      <c r="AQ2" s="12">
        <f>IF(COUNT(AQ193,AQ269)&lt;2,"",ABS(AQ193-AQ269))</f>
        <v>0</v>
      </c>
      <c r="AR2" s="12">
        <f>IF(COUNT(AR193,AR269)&lt;2,"",ABS(AR193-AR269))</f>
        <v>0</v>
      </c>
      <c r="AS2" s="12">
        <f>IF(COUNT(AS193,AS269)&lt;2,"",ABS(AS193-AS269))</f>
        <v>0</v>
      </c>
      <c r="AT2" s="12">
        <f>IF(COUNT(AT193,AT269)&lt;2,"",ABS(AT193-AT269))</f>
        <v>0</v>
      </c>
      <c r="AU2" s="12">
        <f>IF(COUNT(AU193,AU269)&lt;2,"",ABS(AU193-AU269))</f>
        <v>0</v>
      </c>
      <c r="AV2" s="12">
        <f>IF(COUNT(AV193,AV269)&lt;2,"",ABS(AV193-AV269))</f>
        <v>0</v>
      </c>
      <c r="AW2" s="12">
        <f>IF(COUNT(AW193,AW269)&lt;2,"",ABS(AW193-AW269))</f>
        <v>0</v>
      </c>
      <c r="AX2" s="12">
        <f>IF(COUNT(AX193,AX269)&lt;2,"",ABS(AX193-AX269))</f>
        <v>0</v>
      </c>
      <c r="AY2" s="12">
        <f>IF(COUNT(AY193,AY269)&lt;2,"",ABS(AY193-AY269))</f>
        <v>0</v>
      </c>
      <c r="AZ2" s="12">
        <f>IF(COUNT(AZ193,AZ269)&lt;2,"",ABS(AZ193-AZ269))</f>
        <v>0</v>
      </c>
      <c r="BA2" s="12">
        <f>IF(COUNT(BA193,BA269)&lt;2,"",ABS(BA193-BA269))</f>
        <v>0</v>
      </c>
      <c r="BB2" s="12">
        <f>IF(COUNT(BB193,BB269)&lt;2,"",ABS(BB193-BB269))</f>
        <v>0</v>
      </c>
      <c r="BC2" s="12">
        <f>IF(COUNT(BC193,BC269)&lt;2,"",ABS(BC193-BC269))</f>
        <v>0</v>
      </c>
      <c r="BD2" s="12">
        <f>IF(COUNT(BD193,BD269)&lt;2,"",ABS(BD193-BD269))</f>
        <v>0</v>
      </c>
      <c r="BE2" s="12">
        <f>IF(COUNT(BE193,BE269)&lt;2,"",ABS(BE193-BE269))</f>
        <v>0</v>
      </c>
      <c r="BF2" s="12">
        <f>IF(COUNT(BF193,BF269)&lt;2,"",ABS(BF193-BF269))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IF(COUNT(I133,I4)&lt;2,"",ABS(I133-I4))</f>
        <v>0</v>
      </c>
      <c r="J3" s="12">
        <f>IF(COUNT(J133,J4)&lt;2,"",ABS(J133-J4))</f>
        <v>0</v>
      </c>
      <c r="K3" s="12">
        <f>IF(COUNT(K133,K4)&lt;2,"",ABS(K133-K4))</f>
        <v>0</v>
      </c>
      <c r="L3" s="12">
        <f>IF(COUNT(L133,L4)&lt;2,"",ABS(L133-L4))</f>
        <v>0</v>
      </c>
      <c r="M3" s="12">
        <f>IF(COUNT(M133,M4)&lt;2,"",ABS(M133-M4))</f>
        <v>0</v>
      </c>
      <c r="N3" s="12">
        <f>IF(COUNT(N133,N4)&lt;2,"",ABS(N133-N4))</f>
        <v>0</v>
      </c>
      <c r="O3" s="12">
        <f>IF(COUNT(O133,O4)&lt;2,"",ABS(O133-O4))</f>
        <v>0</v>
      </c>
      <c r="P3" s="12">
        <f>IF(COUNT(P133,P4)&lt;2,"",ABS(P133-P4))</f>
        <v>0</v>
      </c>
      <c r="Q3" s="12">
        <f>IF(COUNT(Q133,Q4)&lt;2,"",ABS(Q133-Q4))</f>
        <v>0</v>
      </c>
      <c r="R3" s="12">
        <f>IF(COUNT(R133,R4)&lt;2,"",ABS(R133-R4))</f>
        <v>0</v>
      </c>
      <c r="S3" s="12">
        <f>IF(COUNT(S133,S4)&lt;2,"",ABS(S133-S4))</f>
        <v>0</v>
      </c>
      <c r="T3" s="12">
        <f>IF(COUNT(T133,T4)&lt;2,"",ABS(T133-T4))</f>
        <v>0</v>
      </c>
      <c r="U3" s="12">
        <f>IF(COUNT(U133,U4)&lt;2,"",ABS(U133-U4))</f>
        <v>0</v>
      </c>
      <c r="V3" s="12">
        <f>IF(COUNT(V133,V4)&lt;2,"",ABS(V133-V4))</f>
        <v>0</v>
      </c>
      <c r="W3" s="12">
        <f>IF(COUNT(W133,W4)&lt;2,"",ABS(W133-W4))</f>
        <v>0</v>
      </c>
      <c r="X3" s="12">
        <f>IF(COUNT(X133,X4)&lt;2,"",ABS(X133-X4))</f>
        <v>0</v>
      </c>
      <c r="Y3" s="12">
        <f>IF(COUNT(Y133,Y4)&lt;2,"",ABS(Y133-Y4))</f>
        <v>0</v>
      </c>
      <c r="Z3" s="12">
        <f>IF(COUNT(Z133,Z4)&lt;2,"",ABS(Z133-Z4))</f>
        <v>0</v>
      </c>
      <c r="AA3" s="12">
        <f>IF(COUNT(AA133,AA4)&lt;2,"",ABS(AA133-AA4))</f>
        <v>0</v>
      </c>
      <c r="AB3" s="12">
        <f>IF(COUNT(AB133,AB4)&lt;2,"",ABS(AB133-AB4))</f>
        <v>0</v>
      </c>
      <c r="AC3" s="12">
        <f>IF(COUNT(AC133,AC4)&lt;2,"",ABS(AC133-AC4))</f>
        <v>0</v>
      </c>
      <c r="AD3" s="12">
        <f>IF(COUNT(AD133,AD4)&lt;2,"",ABS(AD133-AD4))</f>
        <v>0</v>
      </c>
      <c r="AE3" s="12">
        <f>IF(COUNT(AE133,AE4)&lt;2,"",ABS(AE133-AE4))</f>
        <v>0</v>
      </c>
      <c r="AF3" s="12">
        <f>IF(COUNT(AF133,AF4)&lt;2,"",ABS(AF133-AF4))</f>
        <v>0</v>
      </c>
      <c r="AG3" s="12">
        <f>IF(COUNT(AG133,AG4)&lt;2,"",ABS(AG133-AG4))</f>
        <v>0</v>
      </c>
      <c r="AH3" s="12">
        <f>IF(COUNT(AH133,AH4)&lt;2,"",ABS(AH133-AH4))</f>
        <v>0</v>
      </c>
      <c r="AI3" s="12">
        <f>IF(COUNT(AI133,AI4)&lt;2,"",ABS(AI133-AI4))</f>
        <v>0</v>
      </c>
      <c r="AJ3" s="12">
        <f>ABS(AJ133-AJ4)</f>
        <v>9837.80673946118</v>
      </c>
      <c r="AK3" s="12">
        <f>ABS(AK133-AK4)</f>
        <v>11861.8822224011</v>
      </c>
      <c r="AL3" s="12">
        <f>ABS(AL133-AL4)</f>
        <v>63727.6889618623</v>
      </c>
      <c r="AM3" s="12">
        <f>ABS(AM133-AM4)</f>
        <v>20745.0348036716</v>
      </c>
      <c r="AN3" s="12">
        <f>ABS(AN133-AN4)</f>
        <v>36043.8458852057</v>
      </c>
      <c r="AO3" s="12">
        <f>ABS(AO133-AO4)</f>
        <v>21634.7769736489</v>
      </c>
      <c r="AP3" s="12">
        <f>ABS(AP133-AP4)</f>
        <v>26086.0152232869</v>
      </c>
      <c r="AQ3" s="12">
        <f>ABS(AQ133-AQ4)</f>
        <v>104509.672885813</v>
      </c>
      <c r="AR3" s="12">
        <f>ABS(AR133-AR4)</f>
        <v>45517.6427969284</v>
      </c>
      <c r="AS3" s="12">
        <f>ABS(AS133-AS4)</f>
        <v>79085.4735871527</v>
      </c>
      <c r="AT3" s="12">
        <f>ABS(AT133-AT4)</f>
        <v>47469.8673488594</v>
      </c>
      <c r="AU3" s="12">
        <f>ABS(AU133-AU4)</f>
        <v>57236.5355935032</v>
      </c>
      <c r="AV3" s="12">
        <f>ABS(AV133-AV4)</f>
        <v>229309.519326444</v>
      </c>
      <c r="AW3" s="12">
        <f>ABS(AW133-AW4)</f>
        <v>99644.7824711722</v>
      </c>
      <c r="AX3" s="12">
        <f>ABS(AX133-AX4)</f>
        <v>173129.677373215</v>
      </c>
      <c r="AY3" s="12">
        <f>ABS(AY133-AY4)</f>
        <v>103918.487761227</v>
      </c>
      <c r="AZ3" s="12">
        <f>ABS(AZ133-AZ4)</f>
        <v>125299.154089829</v>
      </c>
      <c r="BA3" s="12">
        <f>ABS(BA133-BA4)</f>
        <v>501992.101695443</v>
      </c>
      <c r="BB3" s="12">
        <f>ABS(BB133-BB4)</f>
        <v>217638.789861065</v>
      </c>
      <c r="BC3" s="12">
        <f>ABS(BC133-BC4)</f>
        <v>378140.556264892</v>
      </c>
      <c r="BD3" s="12">
        <f>ABS(BD133-BD4)</f>
        <v>226973.187754095</v>
      </c>
      <c r="BE3" s="12">
        <f>ABS(BE133-BE4)</f>
        <v>273671.692490421</v>
      </c>
      <c r="BF3" s="12">
        <f>ABS(BF133-BF4)</f>
        <v>1096424.22637047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603</v>
      </c>
      <c r="J4">
        <f>IF(ISNUMBER('Inputs (2)'!E50),'Inputs (2)'!E50,"")</f>
        <v>1735</v>
      </c>
      <c r="K4">
        <f>IF(ISNUMBER('Inputs (2)'!F50),'Inputs (2)'!F50,"")</f>
        <v>2720</v>
      </c>
      <c r="L4">
        <f>IF(ISNUMBER('Inputs (2)'!G50),'Inputs (2)'!G50,"")</f>
        <v>2306</v>
      </c>
      <c r="M4" s="11">
        <f>IF(COUNT(I4:L4)=4,SUM(I4:L4),"")</f>
        <v>7364</v>
      </c>
      <c r="N4">
        <f>IF(ISNUMBER('Inputs (2)'!I50),'Inputs (2)'!I50,"")</f>
        <v>2263</v>
      </c>
      <c r="O4">
        <f>IF(ISNUMBER('Inputs (2)'!J50),'Inputs (2)'!J50,"")</f>
        <v>2626</v>
      </c>
      <c r="P4">
        <f>IF(ISNUMBER('Inputs (2)'!K50),'Inputs (2)'!K50,"")</f>
        <v>1492</v>
      </c>
      <c r="Q4">
        <f>IF(ISNUMBER('Inputs (2)'!L50),'Inputs (2)'!L50,"")</f>
        <v>-195</v>
      </c>
      <c r="R4" s="11">
        <f>IF(COUNT(N4:Q4)=4,SUM(N4:Q4),"")</f>
        <v>6186</v>
      </c>
      <c r="S4">
        <f>IF(ISNUMBER('Inputs (2)'!N50),'Inputs (2)'!N50,"")</f>
        <v>-2312</v>
      </c>
      <c r="T4">
        <f>IF(ISNUMBER('Inputs (2)'!O50),'Inputs (2)'!O50,"")</f>
        <v>-1896</v>
      </c>
      <c r="U4">
        <f>IF(ISNUMBER('Inputs (2)'!P50),'Inputs (2)'!P50,"")</f>
        <v>-1430</v>
      </c>
      <c r="V4">
        <f>IF(ISNUMBER('Inputs (2)'!Q50),'Inputs (2)'!Q50,"")</f>
        <v>-1234</v>
      </c>
      <c r="W4" s="11">
        <f>IF(COUNT(S4:V4)=4,SUM(S4:V4),"")</f>
        <v>-6872</v>
      </c>
      <c r="X4">
        <f>IF(ISNUMBER('Inputs (2)'!S50),'Inputs (2)'!S50,"")</f>
        <v>793</v>
      </c>
      <c r="Y4">
        <f>IF(ISNUMBER('Inputs (2)'!T50),'Inputs (2)'!T50,"")</f>
        <v>332</v>
      </c>
      <c r="Z4">
        <f>IF(ISNUMBER('Inputs (2)'!U50),'Inputs (2)'!U50,"")</f>
        <v>887</v>
      </c>
      <c r="AA4">
        <f>IF(ISNUMBER('Inputs (2)'!V50),'Inputs (2)'!V50,"")</f>
        <v>1870</v>
      </c>
      <c r="AB4" s="11">
        <f>IF(COUNT(X4:AA4)=4,SUM(X4:AA4),"")</f>
        <v>3882</v>
      </c>
      <c r="AC4">
        <f>IF(ISNUMBER('Inputs (2)'!X50),'Inputs (2)'!X50,"")</f>
        <v>1583</v>
      </c>
      <c r="AD4">
        <f>IF(ISNUMBER('Inputs (2)'!Y50),'Inputs (2)'!Y50,"")</f>
        <v>1885</v>
      </c>
      <c r="AE4">
        <f>IF(ISNUMBER('Inputs (2)'!Z50),'Inputs (2)'!Z50,"")</f>
        <v>3201</v>
      </c>
      <c r="AF4">
        <f>IF(ISNUMBER('Inputs (2)'!AA50),'Inputs (2)'!AA50,"")</f>
        <v>5240</v>
      </c>
      <c r="AG4" s="11">
        <f>IF(COUNT(AC4:AF4)=4,SUM(AC4:AF4),"")</f>
        <v>11909</v>
      </c>
      <c r="AH4" s="11">
        <f>IF(ISNUMBER('Inputs (2)'!AC50),'Inputs (2)'!AC50,"")</f>
        <v>13785</v>
      </c>
      <c r="AI4" s="11">
        <f>IF(ISNUMBER('Inputs (2)'!AD50),'Inputs (2)'!AD50,"")</f>
        <v>28243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6236</v>
      </c>
      <c r="J15" s="34">
        <f>'Inputs (2)'!E4</f>
        <v>7422</v>
      </c>
      <c r="K15" s="34">
        <f>'Inputs (2)'!F4</f>
        <v>8274</v>
      </c>
      <c r="L15" s="34">
        <f>'Inputs (2)'!G4</f>
        <v>7687</v>
      </c>
      <c r="M15" s="35">
        <f>'Inputs (2)'!H4</f>
        <v>29619</v>
      </c>
      <c r="N15" s="34">
        <f>'Inputs (2)'!I4</f>
        <v>7786</v>
      </c>
      <c r="O15" s="34">
        <f>'Inputs (2)'!J4</f>
        <v>8642</v>
      </c>
      <c r="P15" s="34">
        <f>'Inputs (2)'!K4</f>
        <v>6643</v>
      </c>
      <c r="Q15" s="34">
        <f>'Inputs (2)'!L4</f>
        <v>4085</v>
      </c>
      <c r="R15" s="35">
        <f>'Inputs (2)'!M4</f>
        <v>27156</v>
      </c>
      <c r="S15" s="34">
        <f>'Inputs (2)'!N4</f>
        <v>3693</v>
      </c>
      <c r="T15" s="34">
        <f>'Inputs (2)'!O4</f>
        <v>3752</v>
      </c>
      <c r="U15" s="34">
        <f>'Inputs (2)'!P4</f>
        <v>4010</v>
      </c>
      <c r="V15" s="34">
        <f>'Inputs (2)'!Q4</f>
        <v>4726</v>
      </c>
      <c r="W15" s="35">
        <f>'Inputs (2)'!R4</f>
        <v>16181</v>
      </c>
      <c r="X15" s="34">
        <f>'Inputs (2)'!S4</f>
        <v>5824</v>
      </c>
      <c r="Y15" s="34">
        <f>'Inputs (2)'!T4</f>
        <v>6811</v>
      </c>
      <c r="Z15" s="34">
        <f>'Inputs (2)'!U4</f>
        <v>7750</v>
      </c>
      <c r="AA15" s="34">
        <f>'Inputs (2)'!V4</f>
        <v>8709</v>
      </c>
      <c r="AB15" s="35">
        <f>'Inputs (2)'!W4</f>
        <v>29094</v>
      </c>
      <c r="AC15" s="34">
        <f>'Inputs (2)'!X4</f>
        <v>8053</v>
      </c>
      <c r="AD15" s="34">
        <f>'Inputs (2)'!Y4</f>
        <v>9301</v>
      </c>
      <c r="AE15" s="34">
        <f>'Inputs (2)'!Z4</f>
        <v>11315</v>
      </c>
      <c r="AF15" s="34">
        <f>'Inputs (2)'!AA4</f>
        <v>13643</v>
      </c>
      <c r="AG15" s="35">
        <f>'Inputs (2)'!AB4</f>
        <v>42312</v>
      </c>
      <c r="AH15" s="35">
        <f>'Inputs (2)'!AC4</f>
        <v>23860</v>
      </c>
      <c r="AI15" s="35">
        <f>'Inputs (2)'!AD4</f>
        <v>41456</v>
      </c>
      <c r="AJ15" s="35">
        <f>AE15*(1+AJ16)</f>
        <v>24883.3411694205</v>
      </c>
      <c r="AK15" s="35">
        <f>AF15*(1+AK16)</f>
        <v>30002.9539173137</v>
      </c>
      <c r="AL15" s="35">
        <f>SUM(AH15:AK15)</f>
        <v>120202.295086734</v>
      </c>
      <c r="AM15" s="35">
        <f>AH15*(1+AM16)</f>
        <v>52471.632373166</v>
      </c>
      <c r="AN15" s="35">
        <f>AI15*(1+AN16)</f>
        <v>91167.811888599</v>
      </c>
      <c r="AO15" s="35">
        <f>AJ15*(1+AO16)</f>
        <v>54722.109390524</v>
      </c>
      <c r="AP15" s="35">
        <f>AK15*(1+AP16)</f>
        <v>65980.8871776331</v>
      </c>
      <c r="AQ15" s="35">
        <f>SUM(AM15:AP15)</f>
        <v>264342.440829922</v>
      </c>
      <c r="AR15" s="35">
        <f>AM15*(1+AR16)</f>
        <v>115130.441666495</v>
      </c>
      <c r="AS15" s="35">
        <f>AN15*(1+AS16)</f>
        <v>200035.523458768</v>
      </c>
      <c r="AT15" s="35">
        <f>AO15*(1+AT16)</f>
        <v>120068.317643481</v>
      </c>
      <c r="AU15" s="35">
        <f>AP15*(1+AU16)</f>
        <v>144771.724048609</v>
      </c>
      <c r="AV15" s="35">
        <f>SUM(AR15:AU15)</f>
        <v>580006.006817354</v>
      </c>
      <c r="AW15" s="35">
        <f>AR15*(1+AW16)</f>
        <v>252037.388378162</v>
      </c>
      <c r="AX15" s="35">
        <f>AS15*(1+AX16)</f>
        <v>437907.039924772</v>
      </c>
      <c r="AY15" s="35">
        <f>AT15*(1+AY16)</f>
        <v>262847.12164558</v>
      </c>
      <c r="AZ15" s="35">
        <f>AU15*(1+AZ16)</f>
        <v>316926.494088435</v>
      </c>
      <c r="BA15" s="35">
        <f>SUM(AW15:AZ15)</f>
        <v>1269718.04403695</v>
      </c>
      <c r="BB15" s="35">
        <f>AW15*(1+BB16)</f>
        <v>550486.546771635</v>
      </c>
      <c r="BC15" s="35">
        <f>AX15*(1+BC16)</f>
        <v>956453.071373215</v>
      </c>
      <c r="BD15" s="35">
        <f>AY15*(1+BD16)</f>
        <v>574096.586441524</v>
      </c>
      <c r="BE15" s="35">
        <f>AZ15*(1+BE16)</f>
        <v>692213.85142039</v>
      </c>
      <c r="BF15" s="35">
        <f>SUM(BB15:BE15)</f>
        <v>2773250.05600677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0.248556767158435</v>
      </c>
      <c r="O16" s="40">
        <f>IFERROR(O15/J15-1,"")</f>
        <v>0.164376178927513</v>
      </c>
      <c r="P16" s="40">
        <f>IFERROR(P15/K15-1,"")</f>
        <v>-0.197123519458545</v>
      </c>
      <c r="Q16" s="40">
        <f>IFERROR(Q15/L15-1,"")</f>
        <v>-0.46858332249252</v>
      </c>
      <c r="R16" s="40">
        <f>IFERROR(R15/M15-1,"")</f>
        <v>-0.0831560822445052</v>
      </c>
      <c r="S16" s="40">
        <f>IFERROR(S15/N15-1,"")</f>
        <v>-0.525687130747496</v>
      </c>
      <c r="T16" s="40">
        <f>IFERROR(T15/O15-1,"")</f>
        <v>-0.565841240453599</v>
      </c>
      <c r="U16" s="40">
        <f>IFERROR(U15/P15-1,"")</f>
        <v>-0.396357067589944</v>
      </c>
      <c r="V16" s="40">
        <f>IFERROR(V15/Q15-1,"")</f>
        <v>0.156915544675643</v>
      </c>
      <c r="W16" s="40">
        <f>IFERROR(W15/R15-1,"")</f>
        <v>-0.404146413315658</v>
      </c>
      <c r="X16" s="40">
        <f>IFERROR(X15/S15-1,"")</f>
        <v>0.577037638776063</v>
      </c>
      <c r="Y16" s="40">
        <f>IFERROR(Y15/T15-1,"")</f>
        <v>0.815298507462687</v>
      </c>
      <c r="Z16" s="40">
        <f>IFERROR(Z15/U15-1,"")</f>
        <v>0.932668329177057</v>
      </c>
      <c r="AA16" s="40">
        <f>IFERROR(AA15/V15-1,"")</f>
        <v>0.84278459585273</v>
      </c>
      <c r="AB16" s="40">
        <f>IFERROR(AB15/W15-1,"")</f>
        <v>0.798034732093196</v>
      </c>
      <c r="AC16" s="40">
        <f>IFERROR(AC15/X15-1,"")</f>
        <v>0.382726648351648</v>
      </c>
      <c r="AD16" s="40">
        <f>IFERROR(AD15/Y15-1,"")</f>
        <v>0.365585082954045</v>
      </c>
      <c r="AE16" s="40">
        <f>IFERROR(AE15/Z15-1,"")</f>
        <v>0.46</v>
      </c>
      <c r="AF16" s="41">
        <f>IFERROR(AF15/AA15-1,"")</f>
        <v>0.566540360546561</v>
      </c>
      <c r="AG16" s="40">
        <f>IFERROR(AG15/AB15-1,"")</f>
        <v>0.454320478449165</v>
      </c>
      <c r="AH16" s="41">
        <f>IFERROR(AH15/AC15-1,"")</f>
        <v>1.9628709797591</v>
      </c>
      <c r="AI16" s="41">
        <f>IFERROR(AI15/AD15-1,"")</f>
        <v>3.45715514460811</v>
      </c>
      <c r="AJ16" s="41">
        <f>Control!$B$18</f>
        <v>1.19914636936991</v>
      </c>
      <c r="AK16" s="41">
        <f>Control!$B$18</f>
        <v>1.19914636936991</v>
      </c>
      <c r="AL16" s="42">
        <f>IFERROR(AL15/AG15-1,"")</f>
        <v>1.8408559058124</v>
      </c>
      <c r="AM16" s="41">
        <f>Control!$C$18</f>
        <v>1.19914636936991</v>
      </c>
      <c r="AN16" s="41">
        <f>Control!$C$18</f>
        <v>1.19914636936991</v>
      </c>
      <c r="AO16" s="41">
        <f>Control!$C$18</f>
        <v>1.19914636936991</v>
      </c>
      <c r="AP16" s="41">
        <f>Control!$C$18</f>
        <v>1.19914636936991</v>
      </c>
      <c r="AQ16" s="42">
        <f>IFERROR(AQ15/AL15-1,"")</f>
        <v>1.19914636936991</v>
      </c>
      <c r="AR16" s="41">
        <f>Control!$D$18</f>
        <v>1.19414636936991</v>
      </c>
      <c r="AS16" s="41">
        <f>Control!$D$18</f>
        <v>1.19414636936991</v>
      </c>
      <c r="AT16" s="41">
        <f>Control!$D$18</f>
        <v>1.19414636936991</v>
      </c>
      <c r="AU16" s="41">
        <f>Control!$D$18</f>
        <v>1.19414636936991</v>
      </c>
      <c r="AV16" s="42">
        <f>IFERROR(AV15/AQ15-1,"")</f>
        <v>1.19414636936991</v>
      </c>
      <c r="AW16" s="41">
        <f>Control!$E$18</f>
        <v>1.18914636936991</v>
      </c>
      <c r="AX16" s="41">
        <f>Control!$E$18</f>
        <v>1.18914636936991</v>
      </c>
      <c r="AY16" s="41">
        <f>Control!$E$18</f>
        <v>1.18914636936991</v>
      </c>
      <c r="AZ16" s="41">
        <f>Control!$E$18</f>
        <v>1.18914636936991</v>
      </c>
      <c r="BA16" s="42">
        <f>IFERROR(BA15/AV15-1,"")</f>
        <v>1.18914636936991</v>
      </c>
      <c r="BB16" s="41">
        <f>Control!$F$18</f>
        <v>1.18414636936991</v>
      </c>
      <c r="BC16" s="41">
        <f>Control!$F$18</f>
        <v>1.18414636936991</v>
      </c>
      <c r="BD16" s="41">
        <f>Control!$F$18</f>
        <v>1.18414636936991</v>
      </c>
      <c r="BE16" s="41">
        <f>Control!$F$18</f>
        <v>1.18414636936991</v>
      </c>
      <c r="BF16" s="42">
        <f>IFERROR(BF15/BA15-1,"")</f>
        <v>1.18414636936991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IF(ISNUMBER(I23),I23,"")</f>
        <v>0</v>
      </c>
      <c r="J17" s="40">
        <f>IF(ISNUMBER(J23),J23,"")</f>
        <v>0</v>
      </c>
      <c r="K17" s="40">
        <f>IF(ISNUMBER(K23),K23,"")</f>
        <v>0</v>
      </c>
      <c r="L17" s="40">
        <f>IF(ISNUMBER(L23),L23,"")</f>
        <v>0</v>
      </c>
      <c r="M17" s="39">
        <f>IF(ISNUMBER(M23),M23,"")</f>
        <v>0</v>
      </c>
      <c r="N17" s="40">
        <f>IF(ISNUMBER(N23),N23,"")</f>
        <v>0</v>
      </c>
      <c r="O17" s="40">
        <f>IF(ISNUMBER(O23),O23,"")</f>
        <v>0</v>
      </c>
      <c r="P17" s="40">
        <f>IF(ISNUMBER(P23),P23,"")</f>
        <v>0</v>
      </c>
      <c r="Q17" s="40">
        <f>IF(ISNUMBER(Q23),Q23,"")</f>
        <v>0</v>
      </c>
      <c r="R17" s="40">
        <f>IF(ISNUMBER(R23),R23,"")</f>
        <v>0</v>
      </c>
      <c r="S17" s="40">
        <f>IF(ISNUMBER(S23),S23,"")</f>
        <v>0</v>
      </c>
      <c r="T17" s="40">
        <f>IF(ISNUMBER(T23),T23,"")</f>
        <v>0</v>
      </c>
      <c r="U17" s="40">
        <f>IF(ISNUMBER(U23),U23,"")</f>
        <v>0</v>
      </c>
      <c r="V17" s="40">
        <f>IF(ISNUMBER(V23),V23,"")</f>
        <v>0</v>
      </c>
      <c r="W17" s="40">
        <f>IF(ISNUMBER(W23),W23,"")</f>
        <v>0</v>
      </c>
      <c r="X17" s="40">
        <f>IF(ISNUMBER(X23),X23,"")</f>
        <v>0</v>
      </c>
      <c r="Y17" s="40">
        <f>IF(ISNUMBER(Y23),Y23,"")</f>
        <v>0</v>
      </c>
      <c r="Z17" s="40">
        <f>IF(ISNUMBER(Z23),Z23,"")</f>
        <v>0</v>
      </c>
      <c r="AA17" s="40">
        <f>IF(ISNUMBER(AA23),AA23,"")</f>
        <v>0</v>
      </c>
      <c r="AB17" s="40">
        <f>IF(ISNUMBER(AB23),AB23,"")</f>
        <v>0</v>
      </c>
      <c r="AC17" s="40">
        <f>IF(ISNUMBER(AC23),AC23,"")</f>
        <v>0</v>
      </c>
      <c r="AD17" s="40">
        <f>IF(ISNUMBER(AD23),AD23,"")</f>
        <v>0</v>
      </c>
      <c r="AE17" s="40">
        <f>IF(ISNUMBER(AE23),AE23,"")</f>
        <v>0</v>
      </c>
      <c r="AF17" s="40">
        <f>IF(ISNUMBER(AF23),AF23,"")</f>
        <v>0</v>
      </c>
      <c r="AG17" s="40">
        <f>IF(ISNUMBER(AG23),AG23,"")</f>
        <v>0</v>
      </c>
      <c r="AH17" s="41">
        <f>IF(ISNUMBER(AH23),AH23,"")</f>
        <v>0</v>
      </c>
      <c r="AI17" s="41">
        <f>IF(ISNUMBER(AI23),AI23,"")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por tecnologia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DRAM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4444</v>
      </c>
      <c r="J19" s="269">
        <f>IFERROR(INDEX('Inputs (2)'!$D$53:$AL$53,MATCH(J$7&amp;"",'Inputs (2)'!$D$2:$AL$2,0)),"")</f>
        <v>5448</v>
      </c>
      <c r="K19" s="269">
        <f>IFERROR(INDEX('Inputs (2)'!$D$53:$AL$53,MATCH(K$7&amp;"",'Inputs (2)'!$D$2:$AL$2,0)),"")</f>
        <v>6091</v>
      </c>
      <c r="L19" s="269">
        <f>IFERROR(INDEX('Inputs (2)'!$D$53:$AL$53,MATCH(L$7&amp;"",'Inputs (2)'!$D$2:$AL$2,0)),"")</f>
        <v>5587</v>
      </c>
      <c r="M19" s="270">
        <f>IF(COUNT(I19:L19)=4,SUM(I19:L19),"")</f>
        <v>21570</v>
      </c>
      <c r="N19" s="269">
        <f>IFERROR(INDEX('Inputs (2)'!$D$53:$AL$53,MATCH(N$7&amp;"",'Inputs (2)'!$D$2:$AL$2,0)),"")</f>
        <v>5719</v>
      </c>
      <c r="O19" s="269">
        <f>IFERROR(INDEX('Inputs (2)'!$D$53:$AL$53,MATCH(O$7&amp;"",'Inputs (2)'!$D$2:$AL$2,0)),"")</f>
        <v>6271</v>
      </c>
      <c r="P19" s="269">
        <f>IFERROR(INDEX('Inputs (2)'!$D$53:$AL$53,MATCH(P$7&amp;"",'Inputs (2)'!$D$2:$AL$2,0)),"")</f>
        <v>4809</v>
      </c>
      <c r="Q19" s="269">
        <f>IFERROR(INDEX('Inputs (2)'!$D$53:$AL$53,MATCH(Q$7&amp;"",'Inputs (2)'!$D$2:$AL$2,0)),"")</f>
        <v>2829</v>
      </c>
      <c r="R19" s="270">
        <f>IF(COUNT(N19:Q19)=4,SUM(N19:Q19),"")</f>
        <v>19628</v>
      </c>
      <c r="S19" s="269">
        <f>IFERROR(INDEX('Inputs (2)'!$D$53:$AL$53,MATCH(S$7&amp;"",'Inputs (2)'!$D$2:$AL$2,0)),"")</f>
        <v>2722</v>
      </c>
      <c r="T19" s="269">
        <f>IFERROR(INDEX('Inputs (2)'!$D$53:$AL$53,MATCH(T$7&amp;"",'Inputs (2)'!$D$2:$AL$2,0)),"")</f>
        <v>2672</v>
      </c>
      <c r="U19" s="269">
        <f>IFERROR(INDEX('Inputs (2)'!$D$53:$AL$53,MATCH(U$7&amp;"",'Inputs (2)'!$D$2:$AL$2,0)),"")</f>
        <v>2755</v>
      </c>
      <c r="V19" s="269">
        <f>IFERROR(INDEX('Inputs (2)'!$D$53:$AL$53,MATCH(V$7&amp;"",'Inputs (2)'!$D$2:$AL$2,0)),"")</f>
        <v>3427</v>
      </c>
      <c r="W19" s="270">
        <f>IF(COUNT(S19:V19)=4,SUM(S19:V19),"")</f>
        <v>11576</v>
      </c>
      <c r="X19" s="269">
        <f>IFERROR(INDEX('Inputs (2)'!$D$53:$AL$53,MATCH(X$7&amp;"",'Inputs (2)'!$D$2:$AL$2,0)),"")</f>
        <v>4158</v>
      </c>
      <c r="Y19" s="269">
        <f>IFERROR(INDEX('Inputs (2)'!$D$53:$AL$53,MATCH(Y$7&amp;"",'Inputs (2)'!$D$2:$AL$2,0)),"")</f>
        <v>4692</v>
      </c>
      <c r="Z19" s="269">
        <f>IFERROR(INDEX('Inputs (2)'!$D$53:$AL$53,MATCH(Z$7&amp;"",'Inputs (2)'!$D$2:$AL$2,0)),"")</f>
        <v>5326</v>
      </c>
      <c r="AA19" s="269">
        <f>IFERROR(INDEX('Inputs (2)'!$D$53:$AL$53,MATCH(AA$7&amp;"",'Inputs (2)'!$D$2:$AL$2,0)),"")</f>
        <v>6400</v>
      </c>
      <c r="AB19" s="270">
        <f>IF(COUNT(X19:AA19)=4,SUM(X19:AA19),"")</f>
        <v>20576</v>
      </c>
      <c r="AC19" s="269">
        <f>IFERROR(INDEX('Inputs (2)'!$D$53:$AL$53,MATCH(AC$7&amp;"",'Inputs (2)'!$D$2:$AL$2,0)),"")</f>
        <v>6123</v>
      </c>
      <c r="AD19" s="269">
        <f>IFERROR(INDEX('Inputs (2)'!$D$53:$AL$53,MATCH(AD$7&amp;"",'Inputs (2)'!$D$2:$AL$2,0)),"")</f>
        <v>7071</v>
      </c>
      <c r="AE19" s="269">
        <f>IFERROR(INDEX('Inputs (2)'!$D$53:$AL$53,MATCH(AE$7&amp;"",'Inputs (2)'!$D$2:$AL$2,0)),"")</f>
        <v>8984</v>
      </c>
      <c r="AF19" s="269">
        <f>IFERROR(INDEX('Inputs (2)'!$D$53:$AL$53,MATCH(AF$7&amp;"",'Inputs (2)'!$D$2:$AL$2,0)),"")</f>
        <v>10812</v>
      </c>
      <c r="AG19" s="270">
        <f>IF(COUNT(AC19:AF19)=4,SUM(AC19:AF19),"")</f>
        <v>32990</v>
      </c>
      <c r="AH19" s="270">
        <f>IFERROR(INDEX('Inputs (2)'!$D$53:$AL$53,MATCH(AH$7&amp;"",'Inputs (2)'!$D$2:$AL$2,0)),"")</f>
        <v>18768</v>
      </c>
      <c r="AI19" s="270">
        <f>IFERROR(INDEX('Inputs (2)'!$D$53:$AL$53,MATCH(AI$7&amp;"",'Inputs (2)'!$D$2:$AL$2,0)),"")</f>
        <v>31328</v>
      </c>
    </row>
    <row r="20">
      <c r="C20" s="268" t="inlineStr">
        <is>
          <t xml:space="preserve">   NAND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1650</v>
      </c>
      <c r="J20" s="269">
        <f>IFERROR(INDEX('Inputs (2)'!$D$54:$AL$54,MATCH(J$7&amp;"",'Inputs (2)'!$D$2:$AL$2,0)),"")</f>
        <v>1812</v>
      </c>
      <c r="K20" s="269">
        <f>IFERROR(INDEX('Inputs (2)'!$D$54:$AL$54,MATCH(K$7&amp;"",'Inputs (2)'!$D$2:$AL$2,0)),"")</f>
        <v>1971</v>
      </c>
      <c r="L20" s="269">
        <f>IFERROR(INDEX('Inputs (2)'!$D$54:$AL$54,MATCH(L$7&amp;"",'Inputs (2)'!$D$2:$AL$2,0)),"")</f>
        <v>1878</v>
      </c>
      <c r="M20" s="270">
        <f>IF(COUNT(I20:L20)=4,SUM(I20:L20),"")</f>
        <v>7311</v>
      </c>
      <c r="N20" s="269">
        <f>IFERROR(INDEX('Inputs (2)'!$D$54:$AL$54,MATCH(N$7&amp;"",'Inputs (2)'!$D$2:$AL$2,0)),"")</f>
        <v>1957</v>
      </c>
      <c r="O20" s="269">
        <f>IFERROR(INDEX('Inputs (2)'!$D$54:$AL$54,MATCH(O$7&amp;"",'Inputs (2)'!$D$2:$AL$2,0)),"")</f>
        <v>2288</v>
      </c>
      <c r="P20" s="269">
        <f>IFERROR(INDEX('Inputs (2)'!$D$54:$AL$54,MATCH(P$7&amp;"",'Inputs (2)'!$D$2:$AL$2,0)),"")</f>
        <v>1688</v>
      </c>
      <c r="Q20" s="269">
        <f>IFERROR(INDEX('Inputs (2)'!$D$54:$AL$54,MATCH(Q$7&amp;"",'Inputs (2)'!$D$2:$AL$2,0)),"")</f>
        <v>1103</v>
      </c>
      <c r="R20" s="270">
        <f>IF(COUNT(N20:Q20)=4,SUM(N20:Q20),"")</f>
        <v>7036</v>
      </c>
      <c r="S20" s="269">
        <f>IFERROR(INDEX('Inputs (2)'!$D$54:$AL$54,MATCH(S$7&amp;"",'Inputs (2)'!$D$2:$AL$2,0)),"")</f>
        <v>885</v>
      </c>
      <c r="T20" s="269">
        <f>IFERROR(INDEX('Inputs (2)'!$D$54:$AL$54,MATCH(T$7&amp;"",'Inputs (2)'!$D$2:$AL$2,0)),"")</f>
        <v>1013</v>
      </c>
      <c r="U20" s="269">
        <f>IFERROR(INDEX('Inputs (2)'!$D$54:$AL$54,MATCH(U$7&amp;"",'Inputs (2)'!$D$2:$AL$2,0)),"")</f>
        <v>1205</v>
      </c>
      <c r="V20" s="269">
        <f>IFERROR(INDEX('Inputs (2)'!$D$54:$AL$54,MATCH(V$7&amp;"",'Inputs (2)'!$D$2:$AL$2,0)),"")</f>
        <v>1230</v>
      </c>
      <c r="W20" s="270">
        <f>IF(COUNT(S20:V20)=4,SUM(S20:V20),"")</f>
        <v>4333</v>
      </c>
      <c r="X20" s="269">
        <f>IFERROR(INDEX('Inputs (2)'!$D$54:$AL$54,MATCH(X$7&amp;"",'Inputs (2)'!$D$2:$AL$2,0)),"")</f>
        <v>1567</v>
      </c>
      <c r="Y20" s="269">
        <f>IFERROR(INDEX('Inputs (2)'!$D$54:$AL$54,MATCH(Y$7&amp;"",'Inputs (2)'!$D$2:$AL$2,0)),"")</f>
        <v>2065</v>
      </c>
      <c r="Z20" s="269">
        <f>IFERROR(INDEX('Inputs (2)'!$D$54:$AL$54,MATCH(Z$7&amp;"",'Inputs (2)'!$D$2:$AL$2,0)),"")</f>
        <v>2365</v>
      </c>
      <c r="AA20" s="269">
        <f>IFERROR(INDEX('Inputs (2)'!$D$54:$AL$54,MATCH(AA$7&amp;"",'Inputs (2)'!$D$2:$AL$2,0)),"")</f>
        <v>2241</v>
      </c>
      <c r="AB20" s="270">
        <f>IF(COUNT(X20:AA20)=4,SUM(X20:AA20),"")</f>
        <v>8238</v>
      </c>
      <c r="AC20" s="269">
        <f>IFERROR(INDEX('Inputs (2)'!$D$54:$AL$54,MATCH(AC$7&amp;"",'Inputs (2)'!$D$2:$AL$2,0)),"")</f>
        <v>1855</v>
      </c>
      <c r="AD20" s="269">
        <f>IFERROR(INDEX('Inputs (2)'!$D$54:$AL$54,MATCH(AD$7&amp;"",'Inputs (2)'!$D$2:$AL$2,0)),"")</f>
        <v>2155</v>
      </c>
      <c r="AE20" s="269">
        <f>IFERROR(INDEX('Inputs (2)'!$D$54:$AL$54,MATCH(AE$7&amp;"",'Inputs (2)'!$D$2:$AL$2,0)),"")</f>
        <v>2252</v>
      </c>
      <c r="AF20" s="269">
        <f>IFERROR(INDEX('Inputs (2)'!$D$54:$AL$54,MATCH(AF$7&amp;"",'Inputs (2)'!$D$2:$AL$2,0)),"")</f>
        <v>2743</v>
      </c>
      <c r="AG20" s="270">
        <f>IF(COUNT(AC20:AF20)=4,SUM(AC20:AF20),"")</f>
        <v>9005</v>
      </c>
      <c r="AH20" s="270">
        <f>IFERROR(INDEX('Inputs (2)'!$D$54:$AL$54,MATCH(AH$7&amp;"",'Inputs (2)'!$D$2:$AL$2,0)),"")</f>
        <v>4997</v>
      </c>
      <c r="AI20" s="270">
        <f>IFERROR(INDEX('Inputs (2)'!$D$54:$AL$54,MATCH(AI$7&amp;"",'Inputs (2)'!$D$2:$AL$2,0)),"")</f>
        <v>9943</v>
      </c>
    </row>
    <row r="21">
      <c r="C21" s="268" t="inlineStr">
        <is>
          <t xml:space="preserve">   Outros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142</v>
      </c>
      <c r="J21" s="269">
        <f>IFERROR(INDEX('Inputs (2)'!$D$55:$AL$55,MATCH(J$7&amp;"",'Inputs (2)'!$D$2:$AL$2,0)),"")</f>
        <v>162</v>
      </c>
      <c r="K21" s="269">
        <f>IFERROR(INDEX('Inputs (2)'!$D$55:$AL$55,MATCH(K$7&amp;"",'Inputs (2)'!$D$2:$AL$2,0)),"")</f>
        <v>212</v>
      </c>
      <c r="L21" s="269">
        <f>IFERROR(INDEX('Inputs (2)'!$D$55:$AL$55,MATCH(L$7&amp;"",'Inputs (2)'!$D$2:$AL$2,0)),"")</f>
        <v>222</v>
      </c>
      <c r="M21" s="270">
        <f>IF(COUNT(I21:L21)=4,SUM(I21:L21),"")</f>
        <v>738</v>
      </c>
      <c r="N21" s="269">
        <f>IFERROR(INDEX('Inputs (2)'!$D$55:$AL$55,MATCH(N$7&amp;"",'Inputs (2)'!$D$2:$AL$2,0)),"")</f>
        <v>110</v>
      </c>
      <c r="O21" s="269">
        <f>IFERROR(INDEX('Inputs (2)'!$D$55:$AL$55,MATCH(O$7&amp;"",'Inputs (2)'!$D$2:$AL$2,0)),"")</f>
        <v>83</v>
      </c>
      <c r="P21" s="269">
        <f>IFERROR(INDEX('Inputs (2)'!$D$55:$AL$55,MATCH(P$7&amp;"",'Inputs (2)'!$D$2:$AL$2,0)),"")</f>
        <v>146</v>
      </c>
      <c r="Q21" s="269">
        <f>IFERROR(INDEX('Inputs (2)'!$D$55:$AL$55,MATCH(Q$7&amp;"",'Inputs (2)'!$D$2:$AL$2,0)),"")</f>
        <v>153</v>
      </c>
      <c r="R21" s="270">
        <f>IF(COUNT(N21:Q21)=4,SUM(N21:Q21),"")</f>
        <v>492</v>
      </c>
      <c r="S21" s="269">
        <f>IFERROR(INDEX('Inputs (2)'!$D$55:$AL$55,MATCH(S$7&amp;"",'Inputs (2)'!$D$2:$AL$2,0)),"")</f>
        <v>86</v>
      </c>
      <c r="T21" s="269">
        <f>IFERROR(INDEX('Inputs (2)'!$D$55:$AL$55,MATCH(T$7&amp;"",'Inputs (2)'!$D$2:$AL$2,0)),"")</f>
        <v>67</v>
      </c>
      <c r="U21" s="269">
        <f>IFERROR(INDEX('Inputs (2)'!$D$55:$AL$55,MATCH(U$7&amp;"",'Inputs (2)'!$D$2:$AL$2,0)),"")</f>
        <v>50</v>
      </c>
      <c r="V21" s="269">
        <f>IFERROR(INDEX('Inputs (2)'!$D$55:$AL$55,MATCH(V$7&amp;"",'Inputs (2)'!$D$2:$AL$2,0)),"")</f>
        <v>69</v>
      </c>
      <c r="W21" s="270">
        <f>IF(COUNT(S21:V21)=4,SUM(S21:V21),"")</f>
        <v>272</v>
      </c>
      <c r="X21" s="269">
        <f>IFERROR(INDEX('Inputs (2)'!$D$55:$AL$55,MATCH(X$7&amp;"",'Inputs (2)'!$D$2:$AL$2,0)),"")</f>
        <v>99</v>
      </c>
      <c r="Y21" s="269">
        <f>IFERROR(INDEX('Inputs (2)'!$D$55:$AL$55,MATCH(Y$7&amp;"",'Inputs (2)'!$D$2:$AL$2,0)),"")</f>
        <v>54</v>
      </c>
      <c r="Z21" s="269">
        <f>IFERROR(INDEX('Inputs (2)'!$D$55:$AL$55,MATCH(Z$7&amp;"",'Inputs (2)'!$D$2:$AL$2,0)),"")</f>
        <v>59</v>
      </c>
      <c r="AA21" s="269">
        <f>IFERROR(INDEX('Inputs (2)'!$D$55:$AL$55,MATCH(AA$7&amp;"",'Inputs (2)'!$D$2:$AL$2,0)),"")</f>
        <v>68</v>
      </c>
      <c r="AB21" s="270">
        <f>IF(COUNT(X21:AA21)=4,SUM(X21:AA21),"")</f>
        <v>280</v>
      </c>
      <c r="AC21" s="269">
        <f>IFERROR(INDEX('Inputs (2)'!$D$55:$AL$55,MATCH(AC$7&amp;"",'Inputs (2)'!$D$2:$AL$2,0)),"")</f>
        <v>75</v>
      </c>
      <c r="AD21" s="269">
        <f>IFERROR(INDEX('Inputs (2)'!$D$55:$AL$55,MATCH(AD$7&amp;"",'Inputs (2)'!$D$2:$AL$2,0)),"")</f>
        <v>75</v>
      </c>
      <c r="AE21" s="269">
        <f>IFERROR(INDEX('Inputs (2)'!$D$55:$AL$55,MATCH(AE$7&amp;"",'Inputs (2)'!$D$2:$AL$2,0)),"")</f>
        <v>79</v>
      </c>
      <c r="AF21" s="269">
        <f>IFERROR(INDEX('Inputs (2)'!$D$55:$AL$55,MATCH(AF$7&amp;"",'Inputs (2)'!$D$2:$AL$2,0)),"")</f>
        <v>88</v>
      </c>
      <c r="AG21" s="270">
        <f>IF(COUNT(AC21:AF21)=4,SUM(AC21:AF21),"")</f>
        <v>317</v>
      </c>
      <c r="AH21" s="270">
        <f>IFERROR(INDEX('Inputs (2)'!$D$55:$AL$55,MATCH(AH$7&amp;"",'Inputs (2)'!$D$2:$AL$2,0)),"")</f>
        <v>95</v>
      </c>
      <c r="AI21" s="270">
        <f>IFERROR(INDEX('Inputs (2)'!$D$55:$AL$55,MATCH(AI$7&amp;"",'Inputs (2)'!$D$2:$AL$2,0)),"")</f>
        <v>185</v>
      </c>
    </row>
    <row r="22">
      <c r="C22" s="271" t="inlineStr">
        <is>
          <t>Receita (soma)</t>
        </is>
      </c>
      <c r="D22" s="269" t="str">
        <f>IF(COUNT(D19,D20,D21)=0,"",N(D19)+N(D20)+N(D21))</f>
        <v/>
      </c>
      <c r="E22" s="269" t="str">
        <f>IF(COUNT(E19,E20,E21)=0,"",N(E19)+N(E20)+N(E21))</f>
        <v/>
      </c>
      <c r="F22" s="269" t="str">
        <f>IF(COUNT(F19,F20,F21)=0,"",N(F19)+N(F20)+N(F21))</f>
        <v/>
      </c>
      <c r="G22" s="269" t="str">
        <f>IF(COUNT(G19,G20,G21)=0,"",N(G19)+N(G20)+N(G21))</f>
        <v/>
      </c>
      <c r="H22" s="270" t="str">
        <f>IF(COUNT(H19,H20,H21)=0,"",N(H19)+N(H20)+N(H21))</f>
        <v/>
      </c>
      <c r="I22" s="269">
        <f>IF(COUNT(I19,I20,I21)=0,"",N(I19)+N(I20)+N(I21))</f>
        <v>6236</v>
      </c>
      <c r="J22" s="269">
        <f>IF(COUNT(J19,J20,J21)=0,"",N(J19)+N(J20)+N(J21))</f>
        <v>7422</v>
      </c>
      <c r="K22" s="269">
        <f>IF(COUNT(K19,K20,K21)=0,"",N(K19)+N(K20)+N(K21))</f>
        <v>8274</v>
      </c>
      <c r="L22" s="269">
        <f>IF(COUNT(L19,L20,L21)=0,"",N(L19)+N(L20)+N(L21))</f>
        <v>7687</v>
      </c>
      <c r="M22" s="270">
        <f>IF(COUNT(M19,M20,M21)=0,"",N(M19)+N(M20)+N(M21))</f>
        <v>29619</v>
      </c>
      <c r="N22" s="269">
        <f>IF(COUNT(N19,N20,N21)=0,"",N(N19)+N(N20)+N(N21))</f>
        <v>7786</v>
      </c>
      <c r="O22" s="269">
        <f>IF(COUNT(O19,O20,O21)=0,"",N(O19)+N(O20)+N(O21))</f>
        <v>8642</v>
      </c>
      <c r="P22" s="269">
        <f>IF(COUNT(P19,P20,P21)=0,"",N(P19)+N(P20)+N(P21))</f>
        <v>6643</v>
      </c>
      <c r="Q22" s="269">
        <f>IF(COUNT(Q19,Q20,Q21)=0,"",N(Q19)+N(Q20)+N(Q21))</f>
        <v>4085</v>
      </c>
      <c r="R22" s="270">
        <f>IF(COUNT(R19,R20,R21)=0,"",N(R19)+N(R20)+N(R21))</f>
        <v>27156</v>
      </c>
      <c r="S22" s="269">
        <f>IF(COUNT(S19,S20,S21)=0,"",N(S19)+N(S20)+N(S21))</f>
        <v>3693</v>
      </c>
      <c r="T22" s="269">
        <f>IF(COUNT(T19,T20,T21)=0,"",N(T19)+N(T20)+N(T21))</f>
        <v>3752</v>
      </c>
      <c r="U22" s="269">
        <f>IF(COUNT(U19,U20,U21)=0,"",N(U19)+N(U20)+N(U21))</f>
        <v>4010</v>
      </c>
      <c r="V22" s="269">
        <f>IF(COUNT(V19,V20,V21)=0,"",N(V19)+N(V20)+N(V21))</f>
        <v>4726</v>
      </c>
      <c r="W22" s="270">
        <f>IF(COUNT(W19,W20,W21)=0,"",N(W19)+N(W20)+N(W21))</f>
        <v>16181</v>
      </c>
      <c r="X22" s="269">
        <f>IF(COUNT(X19,X20,X21)=0,"",N(X19)+N(X20)+N(X21))</f>
        <v>5824</v>
      </c>
      <c r="Y22" s="269">
        <f>IF(COUNT(Y19,Y20,Y21)=0,"",N(Y19)+N(Y20)+N(Y21))</f>
        <v>6811</v>
      </c>
      <c r="Z22" s="269">
        <f>IF(COUNT(Z19,Z20,Z21)=0,"",N(Z19)+N(Z20)+N(Z21))</f>
        <v>7750</v>
      </c>
      <c r="AA22" s="269">
        <f>IF(COUNT(AA19,AA20,AA21)=0,"",N(AA19)+N(AA20)+N(AA21))</f>
        <v>8709</v>
      </c>
      <c r="AB22" s="270">
        <f>IF(COUNT(AB19,AB20,AB21)=0,"",N(AB19)+N(AB20)+N(AB21))</f>
        <v>29094</v>
      </c>
      <c r="AC22" s="269">
        <f>IF(COUNT(AC19,AC20,AC21)=0,"",N(AC19)+N(AC20)+N(AC21))</f>
        <v>8053</v>
      </c>
      <c r="AD22" s="269">
        <f>IF(COUNT(AD19,AD20,AD21)=0,"",N(AD19)+N(AD20)+N(AD21))</f>
        <v>9301</v>
      </c>
      <c r="AE22" s="269">
        <f>IF(COUNT(AE19,AE20,AE21)=0,"",N(AE19)+N(AE20)+N(AE21))</f>
        <v>11315</v>
      </c>
      <c r="AF22" s="269">
        <f>IF(COUNT(AF19,AF20,AF21)=0,"",N(AF19)+N(AF20)+N(AF21))</f>
        <v>13643</v>
      </c>
      <c r="AG22" s="270">
        <f>IF(COUNT(AG19,AG20,AG21)=0,"",N(AG19)+N(AG20)+N(AG21))</f>
        <v>42312</v>
      </c>
      <c r="AH22" s="270">
        <f>IF(COUNT(AH19,AH20,AH21)=0,"",N(AH19)+N(AH20)+N(AH21))</f>
        <v>23860</v>
      </c>
      <c r="AI22" s="270">
        <f>IF(COUNT(AI19,AI20,AI21)=0,"",N(AI19)+N(AI20)+N(AI21))</f>
        <v>41456</v>
      </c>
    </row>
    <row r="23">
      <c r="C23" s="268" t="inlineStr">
        <is>
          <t>Check vs Net Revenues (linha 15)</t>
        </is>
      </c>
      <c r="D23" s="269" t="str">
        <f>IF(COUNT(D22)=0,"",ROUND(D15-D22,1))</f>
        <v/>
      </c>
      <c r="E23" s="269" t="str">
        <f>IF(COUNT(E22)=0,"",ROUND(E15-E22,1))</f>
        <v/>
      </c>
      <c r="F23" s="269" t="str">
        <f>IF(COUNT(F22)=0,"",ROUND(F15-F22,1))</f>
        <v/>
      </c>
      <c r="G23" s="269" t="str">
        <f>IF(COUNT(G22)=0,"",ROUND(G15-G22,1))</f>
        <v/>
      </c>
      <c r="H23" s="270" t="str">
        <f>IF(COUNT(H22)=0,"",ROUND(H15-H22,1))</f>
        <v/>
      </c>
      <c r="I23" s="269">
        <f>IF(COUNT(I22)=0,"",ROUND(I15-I22,1))</f>
        <v>0</v>
      </c>
      <c r="J23" s="269">
        <f>IF(COUNT(J22)=0,"",ROUND(J15-J22,1))</f>
        <v>0</v>
      </c>
      <c r="K23" s="269">
        <f>IF(COUNT(K22)=0,"",ROUND(K15-K22,1))</f>
        <v>0</v>
      </c>
      <c r="L23" s="269">
        <f>IF(COUNT(L22)=0,"",ROUND(L15-L22,1))</f>
        <v>0</v>
      </c>
      <c r="M23" s="270">
        <f>IF(COUNT(M22)=0,"",ROUND(M15-M22,1))</f>
        <v>0</v>
      </c>
      <c r="N23" s="269">
        <f>IF(COUNT(N22)=0,"",ROUND(N15-N22,1))</f>
        <v>0</v>
      </c>
      <c r="O23" s="269">
        <f>IF(COUNT(O22)=0,"",ROUND(O15-O22,1))</f>
        <v>0</v>
      </c>
      <c r="P23" s="269">
        <f>IF(COUNT(P22)=0,"",ROUND(P15-P22,1))</f>
        <v>0</v>
      </c>
      <c r="Q23" s="269">
        <f>IF(COUNT(Q22)=0,"",ROUND(Q15-Q22,1))</f>
        <v>0</v>
      </c>
      <c r="R23" s="270">
        <f>IF(COUNT(R22)=0,"",ROUND(R15-R22,1))</f>
        <v>0</v>
      </c>
      <c r="S23" s="269">
        <f>IF(COUNT(S22)=0,"",ROUND(S15-S22,1))</f>
        <v>0</v>
      </c>
      <c r="T23" s="269">
        <f>IF(COUNT(T22)=0,"",ROUND(T15-T22,1))</f>
        <v>0</v>
      </c>
      <c r="U23" s="269">
        <f>IF(COUNT(U22)=0,"",ROUND(U15-U22,1))</f>
        <v>0</v>
      </c>
      <c r="V23" s="269">
        <f>IF(COUNT(V22)=0,"",ROUND(V15-V22,1))</f>
        <v>0</v>
      </c>
      <c r="W23" s="270">
        <f>IF(COUNT(W22)=0,"",ROUND(W15-W22,1))</f>
        <v>0</v>
      </c>
      <c r="X23" s="269">
        <f>IF(COUNT(X22)=0,"",ROUND(X15-X22,1))</f>
        <v>0</v>
      </c>
      <c r="Y23" s="269">
        <f>IF(COUNT(Y22)=0,"",ROUND(Y15-Y22,1))</f>
        <v>0</v>
      </c>
      <c r="Z23" s="269">
        <f>IF(COUNT(Z22)=0,"",ROUND(Z15-Z22,1))</f>
        <v>0</v>
      </c>
      <c r="AA23" s="269">
        <f>IF(COUNT(AA22)=0,"",ROUND(AA15-AA22,1))</f>
        <v>0</v>
      </c>
      <c r="AB23" s="270">
        <f>IF(COUNT(AB22)=0,"",ROUND(AB15-AB22,1))</f>
        <v>0</v>
      </c>
      <c r="AC23" s="269">
        <f>IF(COUNT(AC22)=0,"",ROUND(AC15-AC22,1))</f>
        <v>0</v>
      </c>
      <c r="AD23" s="269">
        <f>IF(COUNT(AD22)=0,"",ROUND(AD15-AD22,1))</f>
        <v>0</v>
      </c>
      <c r="AE23" s="269">
        <f>IF(COUNT(AE22)=0,"",ROUND(AE15-AE22,1))</f>
        <v>0</v>
      </c>
      <c r="AF23" s="269">
        <f>IF(COUNT(AF22)=0,"",ROUND(AF15-AF22,1))</f>
        <v>0</v>
      </c>
      <c r="AG23" s="270">
        <f>IF(COUNT(AG22)=0,"",ROUND(AG15-AG22,1))</f>
        <v>0</v>
      </c>
      <c r="AH23" s="270">
        <f>IF(COUNT(AH22)=0,"",ROUND(AH15-AH22,1))</f>
        <v>0</v>
      </c>
      <c r="AI23" s="270">
        <f>IF(COUNT(AI22)=0,"",ROUND(AI15-AI22,1))</f>
        <v>0</v>
      </c>
    </row>
    <row r="24">
      <c r="C24" s="268" t="inlineStr">
        <is>
          <t xml:space="preserve">   % DRAM na receita</t>
        </is>
      </c>
      <c r="D24" s="272" t="str">
        <f>IFERROR(D19/D22,"")</f>
        <v/>
      </c>
      <c r="E24" s="272" t="str">
        <f>IFERROR(E19/E22,"")</f>
        <v/>
      </c>
      <c r="F24" s="272" t="str">
        <f>IFERROR(F19/F22,"")</f>
        <v/>
      </c>
      <c r="G24" s="272" t="str">
        <f>IFERROR(G19/G22,"")</f>
        <v/>
      </c>
      <c r="H24" s="273" t="str">
        <f>IFERROR(H19/H22,"")</f>
        <v/>
      </c>
      <c r="I24" s="272">
        <f>IFERROR(I19/I22,"")</f>
        <v>0.712636305323926</v>
      </c>
      <c r="J24" s="272">
        <f>IFERROR(J19/J22,"")</f>
        <v>0.734033953112369</v>
      </c>
      <c r="K24" s="272">
        <f>IFERROR(K19/K22,"")</f>
        <v>0.736161469664008</v>
      </c>
      <c r="L24" s="272">
        <f>IFERROR(L19/L22,"")</f>
        <v>0.726811499934955</v>
      </c>
      <c r="M24" s="273">
        <f>IFERROR(M19/M22,"")</f>
        <v>0.728248759242378</v>
      </c>
      <c r="N24" s="272">
        <f>IFERROR(N19/N22,"")</f>
        <v>0.734523503724634</v>
      </c>
      <c r="O24" s="272">
        <f>IFERROR(O19/O22,"")</f>
        <v>0.725642212450822</v>
      </c>
      <c r="P24" s="272">
        <f>IFERROR(P19/P22,"")</f>
        <v>0.723919915700738</v>
      </c>
      <c r="Q24" s="272">
        <f>IFERROR(Q19/Q22,"")</f>
        <v>0.692533659730722</v>
      </c>
      <c r="R24" s="273">
        <f>IFERROR(R19/R22,"")</f>
        <v>0.722786861098836</v>
      </c>
      <c r="S24" s="272">
        <f>IFERROR(S19/S22,"")</f>
        <v>0.737070132683455</v>
      </c>
      <c r="T24" s="272">
        <f>IFERROR(T19/T22,"")</f>
        <v>0.712153518123667</v>
      </c>
      <c r="U24" s="272">
        <f>IFERROR(U19/U22,"")</f>
        <v>0.687032418952619</v>
      </c>
      <c r="V24" s="272">
        <f>IFERROR(V19/V22,"")</f>
        <v>0.7251375370292</v>
      </c>
      <c r="W24" s="273">
        <f>IFERROR(W19/W22,"")</f>
        <v>0.715406958778815</v>
      </c>
      <c r="X24" s="272">
        <f>IFERROR(X19/X22,"")</f>
        <v>0.713942307692308</v>
      </c>
      <c r="Y24" s="272">
        <f>IFERROR(Y19/Y22,"")</f>
        <v>0.688885626192923</v>
      </c>
      <c r="Z24" s="272">
        <f>IFERROR(Z19/Z22,"")</f>
        <v>0.687225806451613</v>
      </c>
      <c r="AA24" s="272">
        <f>IFERROR(AA19/AA22,"")</f>
        <v>0.734871971523711</v>
      </c>
      <c r="AB24" s="273">
        <f>IFERROR(AB19/AB22,"")</f>
        <v>0.707224857358906</v>
      </c>
      <c r="AC24" s="272">
        <f>IFERROR(AC19/AC22,"")</f>
        <v>0.7603377623246</v>
      </c>
      <c r="AD24" s="272">
        <f>IFERROR(AD19/AD22,"")</f>
        <v>0.76024083431889</v>
      </c>
      <c r="AE24" s="272">
        <f>IFERROR(AE19/AE22,"")</f>
        <v>0.793990278391516</v>
      </c>
      <c r="AF24" s="272">
        <f>IFERROR(AF19/AF22,"")</f>
        <v>0.79249431943121</v>
      </c>
      <c r="AG24" s="273">
        <f>IFERROR(AG19/AG22,"")</f>
        <v>0.779684250330875</v>
      </c>
      <c r="AH24" s="273">
        <f>IFERROR(AH19/AH22,"")</f>
        <v>0.786588432523051</v>
      </c>
      <c r="AI24" s="273">
        <f>IFERROR(AI19/AI22,"")</f>
        <v>0.755692782709379</v>
      </c>
    </row>
    <row r="25">
      <c r="C25" s="268" t="inlineStr">
        <is>
          <t xml:space="preserve">   % YoY DRAM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IFERROR(I19/D19-1,"")</f>
        <v/>
      </c>
      <c r="J25" s="272" t="str">
        <f>IFERROR(J19/E19-1,"")</f>
        <v/>
      </c>
      <c r="K25" s="272" t="str">
        <f>IFERROR(K19/F19-1,"")</f>
        <v/>
      </c>
      <c r="L25" s="272" t="str">
        <f>IFERROR(L19/G19-1,"")</f>
        <v/>
      </c>
      <c r="M25" s="273" t="str">
        <f>IFERROR(M19/H19-1,"")</f>
        <v/>
      </c>
      <c r="N25" s="272">
        <f>IFERROR(N19/I19-1,"")</f>
        <v>0.286903690369037</v>
      </c>
      <c r="O25" s="272">
        <f>IFERROR(O19/J19-1,"")</f>
        <v>0.151064610866373</v>
      </c>
      <c r="P25" s="272">
        <f>IFERROR(P19/K19-1,"")</f>
        <v>-0.210474470530291</v>
      </c>
      <c r="Q25" s="272">
        <f>IFERROR(Q19/L19-1,"")</f>
        <v>-0.493645963844639</v>
      </c>
      <c r="R25" s="273">
        <f>IFERROR(R19/M19-1,"")</f>
        <v>-0.0900324524802967</v>
      </c>
      <c r="S25" s="272">
        <f>IFERROR(S19/N19-1,"")</f>
        <v>-0.524042664801539</v>
      </c>
      <c r="T25" s="272">
        <f>IFERROR(T19/O19-1,"")</f>
        <v>-0.573911656833041</v>
      </c>
      <c r="U25" s="272">
        <f>IFERROR(U19/P19-1,"")</f>
        <v>-0.427115824495737</v>
      </c>
      <c r="V25" s="272">
        <f>IFERROR(V19/Q19-1,"")</f>
        <v>0.211382113821138</v>
      </c>
      <c r="W25" s="273">
        <f>IFERROR(W19/R19-1,"")</f>
        <v>-0.4102302832688</v>
      </c>
      <c r="X25" s="272">
        <f>IFERROR(X19/S19-1,"")</f>
        <v>0.527553269654666</v>
      </c>
      <c r="Y25" s="272">
        <f>IFERROR(Y19/T19-1,"")</f>
        <v>0.755988023952096</v>
      </c>
      <c r="Z25" s="272">
        <f>IFERROR(Z19/U19-1,"")</f>
        <v>0.933212341197822</v>
      </c>
      <c r="AA25" s="272">
        <f>IFERROR(AA19/V19-1,"")</f>
        <v>0.86752261453166</v>
      </c>
      <c r="AB25" s="273">
        <f>IFERROR(AB19/W19-1,"")</f>
        <v>0.777470628887353</v>
      </c>
      <c r="AC25" s="272">
        <f>IFERROR(AC19/X19-1,"")</f>
        <v>0.472582972582973</v>
      </c>
      <c r="AD25" s="272">
        <f>IFERROR(AD19/Y19-1,"")</f>
        <v>0.507033248081841</v>
      </c>
      <c r="AE25" s="272">
        <f>IFERROR(AE19/Z19-1,"")</f>
        <v>0.686819376642884</v>
      </c>
      <c r="AF25" s="272">
        <f>IFERROR(AF19/AA19-1,"")</f>
        <v>0.689375</v>
      </c>
      <c r="AG25" s="273">
        <f>IFERROR(AG19/AB19-1,"")</f>
        <v>0.603324261275272</v>
      </c>
      <c r="AH25" s="273">
        <f>IFERROR(AH19/AC19-1,"")</f>
        <v>2.06516413522783</v>
      </c>
      <c r="AI25" s="273">
        <f>IFERROR(AI19/AD19-1,"")</f>
        <v>3.43049073681233</v>
      </c>
    </row>
    <row r="26">
      <c r="C26" s="268" t="inlineStr">
        <is>
          <t xml:space="preserve">   % YoY NAND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IFERROR(I20/D20-1,"")</f>
        <v/>
      </c>
      <c r="J26" s="272" t="str">
        <f>IFERROR(J20/E20-1,"")</f>
        <v/>
      </c>
      <c r="K26" s="272" t="str">
        <f>IFERROR(K20/F20-1,"")</f>
        <v/>
      </c>
      <c r="L26" s="272" t="str">
        <f>IFERROR(L20/G20-1,"")</f>
        <v/>
      </c>
      <c r="M26" s="273" t="str">
        <f>IFERROR(M20/H20-1,"")</f>
        <v/>
      </c>
      <c r="N26" s="272">
        <f>IFERROR(N20/I20-1,"")</f>
        <v>0.186060606060606</v>
      </c>
      <c r="O26" s="272">
        <f>IFERROR(O20/J20-1,"")</f>
        <v>0.262693156732892</v>
      </c>
      <c r="P26" s="272">
        <f>IFERROR(P20/K20-1,"")</f>
        <v>-0.143581938102486</v>
      </c>
      <c r="Q26" s="272">
        <f>IFERROR(Q20/L20-1,"")</f>
        <v>-0.412673056443025</v>
      </c>
      <c r="R26" s="273">
        <f>IFERROR(R20/M20-1,"")</f>
        <v>-0.0376145534126658</v>
      </c>
      <c r="S26" s="272">
        <f>IFERROR(S20/N20-1,"")</f>
        <v>-0.54777721001533</v>
      </c>
      <c r="T26" s="272">
        <f>IFERROR(T20/O20-1,"")</f>
        <v>-0.557255244755245</v>
      </c>
      <c r="U26" s="272">
        <f>IFERROR(U20/P20-1,"")</f>
        <v>-0.286137440758294</v>
      </c>
      <c r="V26" s="272">
        <f>IFERROR(V20/Q20-1,"")</f>
        <v>0.115140525838622</v>
      </c>
      <c r="W26" s="273">
        <f>IFERROR(W20/R20-1,"")</f>
        <v>-0.384167140420694</v>
      </c>
      <c r="X26" s="272">
        <f>IFERROR(X20/S20-1,"")</f>
        <v>0.770621468926554</v>
      </c>
      <c r="Y26" s="272">
        <f>IFERROR(Y20/T20-1,"")</f>
        <v>1.03849950641658</v>
      </c>
      <c r="Z26" s="272">
        <f>IFERROR(Z20/U20-1,"")</f>
        <v>0.962655601659751</v>
      </c>
      <c r="AA26" s="272">
        <f>IFERROR(AA20/V20-1,"")</f>
        <v>0.821951219512195</v>
      </c>
      <c r="AB26" s="273">
        <f>IFERROR(AB20/W20-1,"")</f>
        <v>0.901223171013155</v>
      </c>
      <c r="AC26" s="272">
        <f>IFERROR(AC20/X20-1,"")</f>
        <v>0.18379068283344</v>
      </c>
      <c r="AD26" s="272">
        <f>IFERROR(AD20/Y20-1,"")</f>
        <v>0.0435835351089589</v>
      </c>
      <c r="AE26" s="272">
        <f>IFERROR(AE20/Z20-1,"")</f>
        <v>-0.0477801268498943</v>
      </c>
      <c r="AF26" s="272">
        <f>IFERROR(AF20/AA20-1,"")</f>
        <v>0.22400713966979</v>
      </c>
      <c r="AG26" s="273">
        <f>IFERROR(AG20/AB20-1,"")</f>
        <v>0.0931051226025734</v>
      </c>
      <c r="AH26" s="273">
        <f>IFERROR(AH20/AC20-1,"")</f>
        <v>1.69380053908356</v>
      </c>
      <c r="AI26" s="273">
        <f>IFERROR(AI20/AD20-1,"")</f>
        <v>3.6139211136891</v>
      </c>
    </row>
    <row r="27"/>
    <row r="28">
      <c r="C28" s="267" t="inlineStr">
        <is>
          <t>Unidades de negócio - novas (desde 3T23, USD milhões)</t>
        </is>
      </c>
      <c r="D28" s="267">
        <f>D7</f>
        <v>0</v>
      </c>
      <c r="E28" s="267">
        <f>E7</f>
        <v>0</v>
      </c>
      <c r="F28" s="267">
        <f>F7</f>
        <v>0</v>
      </c>
      <c r="G28" s="267">
        <f>G7</f>
        <v>0</v>
      </c>
      <c r="H28" s="267">
        <f>H7</f>
        <v>2020</v>
      </c>
      <c r="I28" s="267" t="str">
        <f>I7</f>
        <v>1Q21</v>
      </c>
      <c r="J28" s="267" t="str">
        <f>J7</f>
        <v>2Q21</v>
      </c>
      <c r="K28" s="267" t="str">
        <f>K7</f>
        <v>3Q21</v>
      </c>
      <c r="L28" s="267" t="str">
        <f>L7</f>
        <v>4Q21</v>
      </c>
      <c r="M28" s="267">
        <f>M7</f>
        <v>2021</v>
      </c>
      <c r="N28" s="267" t="str">
        <f>N7</f>
        <v>1Q22</v>
      </c>
      <c r="O28" s="267" t="str">
        <f>O7</f>
        <v>2Q22</v>
      </c>
      <c r="P28" s="267" t="str">
        <f>P7</f>
        <v>3Q22</v>
      </c>
      <c r="Q28" s="267" t="str">
        <f>Q7</f>
        <v>4Q22</v>
      </c>
      <c r="R28" s="267">
        <f>R7</f>
        <v>2022</v>
      </c>
      <c r="S28" s="267" t="str">
        <f>S7</f>
        <v>1Q23</v>
      </c>
      <c r="T28" s="267" t="str">
        <f>T7</f>
        <v>2Q23</v>
      </c>
      <c r="U28" s="267" t="str">
        <f>U7</f>
        <v>3Q23</v>
      </c>
      <c r="V28" s="267" t="str">
        <f>V7</f>
        <v>4Q23</v>
      </c>
      <c r="W28" s="267">
        <f>W7</f>
        <v>2023</v>
      </c>
      <c r="X28" s="267" t="str">
        <f>X7</f>
        <v>1Q24</v>
      </c>
      <c r="Y28" s="267" t="str">
        <f>Y7</f>
        <v>2Q24</v>
      </c>
      <c r="Z28" s="267" t="str">
        <f>Z7</f>
        <v>3Q24</v>
      </c>
      <c r="AA28" s="267" t="str">
        <f>AA7</f>
        <v>4Q24</v>
      </c>
      <c r="AB28" s="267">
        <f>AB7</f>
        <v>2024</v>
      </c>
      <c r="AC28" s="267" t="str">
        <f>AC7</f>
        <v>1Q25</v>
      </c>
      <c r="AD28" s="267" t="str">
        <f>AD7</f>
        <v>2Q25</v>
      </c>
      <c r="AE28" s="267" t="str">
        <f>AE7</f>
        <v>3Q25</v>
      </c>
      <c r="AF28" s="267" t="str">
        <f>AF7</f>
        <v>4Q25</v>
      </c>
      <c r="AG28" s="267">
        <f>AG7</f>
        <v>2025</v>
      </c>
      <c r="AH28" s="267" t="str">
        <f>AH7</f>
        <v>1Q26</v>
      </c>
      <c r="AI28" s="267" t="str">
        <f>AI7</f>
        <v>2Q26</v>
      </c>
    </row>
    <row r="29">
      <c r="C29" s="268" t="inlineStr">
        <is>
          <t xml:space="preserve">   Cloud Memory (CMBU)</t>
        </is>
      </c>
      <c r="D29" s="269" t="str">
        <f>IFERROR(INDEX('Inputs (2)'!$D$64:$AL$64,MATCH(D$7&amp;"",'Inputs (2)'!$D$2:$AL$2,0)),"")</f>
        <v/>
      </c>
      <c r="E29" s="269" t="str">
        <f>IFERROR(INDEX('Inputs (2)'!$D$64:$AL$64,MATCH(E$7&amp;"",'Inputs (2)'!$D$2:$AL$2,0)),"")</f>
        <v/>
      </c>
      <c r="F29" s="269" t="str">
        <f>IFERROR(INDEX('Inputs (2)'!$D$64:$AL$64,MATCH(F$7&amp;"",'Inputs (2)'!$D$2:$AL$2,0)),"")</f>
        <v/>
      </c>
      <c r="G29" s="269" t="str">
        <f>IFERROR(INDEX('Inputs (2)'!$D$64:$AL$64,MATCH(G$7&amp;"",'Inputs (2)'!$D$2:$AL$2,0)),"")</f>
        <v/>
      </c>
      <c r="H29" s="270" t="str">
        <f>IF(COUNT(D29:G29)=4,SUM(D29:G29),"")</f>
        <v/>
      </c>
      <c r="I29" s="269" t="str">
        <f>IFERROR(INDEX('Inputs (2)'!$D$64:$AL$64,MATCH(I$7&amp;"",'Inputs (2)'!$D$2:$AL$2,0)),"")</f>
        <v/>
      </c>
      <c r="J29" s="269" t="str">
        <f>IFERROR(INDEX('Inputs (2)'!$D$64:$AL$64,MATCH(J$7&amp;"",'Inputs (2)'!$D$2:$AL$2,0)),"")</f>
        <v/>
      </c>
      <c r="K29" s="269" t="str">
        <f>IFERROR(INDEX('Inputs (2)'!$D$64:$AL$64,MATCH(K$7&amp;"",'Inputs (2)'!$D$2:$AL$2,0)),"")</f>
        <v/>
      </c>
      <c r="L29" s="269" t="str">
        <f>IFERROR(INDEX('Inputs (2)'!$D$64:$AL$64,MATCH(L$7&amp;"",'Inputs (2)'!$D$2:$AL$2,0)),"")</f>
        <v/>
      </c>
      <c r="M29" s="270" t="str">
        <f>IF(COUNT(I29:L29)=4,SUM(I29:L29),"")</f>
        <v/>
      </c>
      <c r="N29" s="269" t="str">
        <f>IFERROR(INDEX('Inputs (2)'!$D$64:$AL$64,MATCH(N$7&amp;"",'Inputs (2)'!$D$2:$AL$2,0)),"")</f>
        <v/>
      </c>
      <c r="O29" s="269" t="str">
        <f>IFERROR(INDEX('Inputs (2)'!$D$64:$AL$64,MATCH(O$7&amp;"",'Inputs (2)'!$D$2:$AL$2,0)),"")</f>
        <v/>
      </c>
      <c r="P29" s="269" t="str">
        <f>IFERROR(INDEX('Inputs (2)'!$D$64:$AL$64,MATCH(P$7&amp;"",'Inputs (2)'!$D$2:$AL$2,0)),"")</f>
        <v/>
      </c>
      <c r="Q29" s="269" t="str">
        <f>IFERROR(INDEX('Inputs (2)'!$D$64:$AL$64,MATCH(Q$7&amp;"",'Inputs (2)'!$D$2:$AL$2,0)),"")</f>
        <v/>
      </c>
      <c r="R29" s="270" t="str">
        <f>IF(COUNT(N29:Q29)=4,SUM(N29:Q29),"")</f>
        <v/>
      </c>
      <c r="S29" s="269" t="str">
        <f>IFERROR(INDEX('Inputs (2)'!$D$64:$AL$64,MATCH(S$7&amp;"",'Inputs (2)'!$D$2:$AL$2,0)),"")</f>
        <v/>
      </c>
      <c r="T29" s="269" t="str">
        <f>IFERROR(INDEX('Inputs (2)'!$D$64:$AL$64,MATCH(T$7&amp;"",'Inputs (2)'!$D$2:$AL$2,0)),"")</f>
        <v/>
      </c>
      <c r="U29" s="269" t="str">
        <f>IFERROR(INDEX('Inputs (2)'!$D$64:$AL$64,MATCH(U$7&amp;"",'Inputs (2)'!$D$2:$AL$2,0)),"")</f>
        <v/>
      </c>
      <c r="V29" s="269" t="str">
        <f>IFERROR(INDEX('Inputs (2)'!$D$64:$AL$64,MATCH(V$7&amp;"",'Inputs (2)'!$D$2:$AL$2,0)),"")</f>
        <v/>
      </c>
      <c r="W29" s="270" t="str">
        <f>IF(COUNT(S29:V29)=4,SUM(S29:V29),"")</f>
        <v/>
      </c>
      <c r="X29" s="269" t="str">
        <f>IFERROR(INDEX('Inputs (2)'!$D$64:$AL$64,MATCH(X$7&amp;"",'Inputs (2)'!$D$2:$AL$2,0)),"")</f>
        <v/>
      </c>
      <c r="Y29" s="269" t="str">
        <f>IFERROR(INDEX('Inputs (2)'!$D$64:$AL$64,MATCH(Y$7&amp;"",'Inputs (2)'!$D$2:$AL$2,0)),"")</f>
        <v/>
      </c>
      <c r="Z29" s="269" t="str">
        <f>IFERROR(INDEX('Inputs (2)'!$D$64:$AL$64,MATCH(Z$7&amp;"",'Inputs (2)'!$D$2:$AL$2,0)),"")</f>
        <v/>
      </c>
      <c r="AA29" s="269">
        <f>IFERROR(INDEX('Inputs (2)'!$D$64:$AL$64,MATCH(AA$7&amp;"",'Inputs (2)'!$D$2:$AL$2,0)),"")</f>
        <v>2648</v>
      </c>
      <c r="AB29" s="270" t="str">
        <f>IF(COUNT(X29:AA29)=4,SUM(X29:AA29),"")</f>
        <v/>
      </c>
      <c r="AC29" s="269">
        <f>IFERROR(INDEX('Inputs (2)'!$D$64:$AL$64,MATCH(AC$7&amp;"",'Inputs (2)'!$D$2:$AL$2,0)),"")</f>
        <v>2947</v>
      </c>
      <c r="AD29" s="269">
        <f>IFERROR(INDEX('Inputs (2)'!$D$64:$AL$64,MATCH(AD$7&amp;"",'Inputs (2)'!$D$2:$AL$2,0)),"")</f>
        <v>3386</v>
      </c>
      <c r="AE29" s="269">
        <f>IFERROR(INDEX('Inputs (2)'!$D$64:$AL$64,MATCH(AE$7&amp;"",'Inputs (2)'!$D$2:$AL$2,0)),"")</f>
        <v>4543</v>
      </c>
      <c r="AF29" s="269">
        <f>IFERROR(INDEX('Inputs (2)'!$D$64:$AL$64,MATCH(AF$7&amp;"",'Inputs (2)'!$D$2:$AL$2,0)),"")</f>
        <v>5284</v>
      </c>
      <c r="AG29" s="270">
        <f>IF(COUNT(AC29:AF29)=4,SUM(AC29:AF29),"")</f>
        <v>16160</v>
      </c>
      <c r="AH29" s="270">
        <f>IFERROR(INDEX('Inputs (2)'!$D$64:$AL$64,MATCH(AH$7&amp;"",'Inputs (2)'!$D$2:$AL$2,0)),"")</f>
        <v>7749</v>
      </c>
      <c r="AI29" s="270">
        <f>IFERROR(INDEX('Inputs (2)'!$D$64:$AL$64,MATCH(AI$7&amp;"",'Inputs (2)'!$D$2:$AL$2,0)),"")</f>
        <v>13769</v>
      </c>
    </row>
    <row r="30">
      <c r="C30" s="268" t="inlineStr">
        <is>
          <t xml:space="preserve">   Core Data Center (CDBU)</t>
        </is>
      </c>
      <c r="D30" s="269" t="str">
        <f>IFERROR(INDEX('Inputs (2)'!$D$65:$AL$65,MATCH(D$7&amp;"",'Inputs (2)'!$D$2:$AL$2,0)),"")</f>
        <v/>
      </c>
      <c r="E30" s="269" t="str">
        <f>IFERROR(INDEX('Inputs (2)'!$D$65:$AL$65,MATCH(E$7&amp;"",'Inputs (2)'!$D$2:$AL$2,0)),"")</f>
        <v/>
      </c>
      <c r="F30" s="269" t="str">
        <f>IFERROR(INDEX('Inputs (2)'!$D$65:$AL$65,MATCH(F$7&amp;"",'Inputs (2)'!$D$2:$AL$2,0)),"")</f>
        <v/>
      </c>
      <c r="G30" s="269" t="str">
        <f>IFERROR(INDEX('Inputs (2)'!$D$65:$AL$65,MATCH(G$7&amp;"",'Inputs (2)'!$D$2:$AL$2,0)),"")</f>
        <v/>
      </c>
      <c r="H30" s="270" t="str">
        <f>IF(COUNT(D30:G30)=4,SUM(D30:G30),"")</f>
        <v/>
      </c>
      <c r="I30" s="269" t="str">
        <f>IFERROR(INDEX('Inputs (2)'!$D$65:$AL$65,MATCH(I$7&amp;"",'Inputs (2)'!$D$2:$AL$2,0)),"")</f>
        <v/>
      </c>
      <c r="J30" s="269" t="str">
        <f>IFERROR(INDEX('Inputs (2)'!$D$65:$AL$65,MATCH(J$7&amp;"",'Inputs (2)'!$D$2:$AL$2,0)),"")</f>
        <v/>
      </c>
      <c r="K30" s="269" t="str">
        <f>IFERROR(INDEX('Inputs (2)'!$D$65:$AL$65,MATCH(K$7&amp;"",'Inputs (2)'!$D$2:$AL$2,0)),"")</f>
        <v/>
      </c>
      <c r="L30" s="269" t="str">
        <f>IFERROR(INDEX('Inputs (2)'!$D$65:$AL$65,MATCH(L$7&amp;"",'Inputs (2)'!$D$2:$AL$2,0)),"")</f>
        <v/>
      </c>
      <c r="M30" s="270" t="str">
        <f>IF(COUNT(I30:L30)=4,SUM(I30:L30),"")</f>
        <v/>
      </c>
      <c r="N30" s="269" t="str">
        <f>IFERROR(INDEX('Inputs (2)'!$D$65:$AL$65,MATCH(N$7&amp;"",'Inputs (2)'!$D$2:$AL$2,0)),"")</f>
        <v/>
      </c>
      <c r="O30" s="269" t="str">
        <f>IFERROR(INDEX('Inputs (2)'!$D$65:$AL$65,MATCH(O$7&amp;"",'Inputs (2)'!$D$2:$AL$2,0)),"")</f>
        <v/>
      </c>
      <c r="P30" s="269" t="str">
        <f>IFERROR(INDEX('Inputs (2)'!$D$65:$AL$65,MATCH(P$7&amp;"",'Inputs (2)'!$D$2:$AL$2,0)),"")</f>
        <v/>
      </c>
      <c r="Q30" s="269" t="str">
        <f>IFERROR(INDEX('Inputs (2)'!$D$65:$AL$65,MATCH(Q$7&amp;"",'Inputs (2)'!$D$2:$AL$2,0)),"")</f>
        <v/>
      </c>
      <c r="R30" s="270" t="str">
        <f>IF(COUNT(N30:Q30)=4,SUM(N30:Q30),"")</f>
        <v/>
      </c>
      <c r="S30" s="269" t="str">
        <f>IFERROR(INDEX('Inputs (2)'!$D$65:$AL$65,MATCH(S$7&amp;"",'Inputs (2)'!$D$2:$AL$2,0)),"")</f>
        <v/>
      </c>
      <c r="T30" s="269" t="str">
        <f>IFERROR(INDEX('Inputs (2)'!$D$65:$AL$65,MATCH(T$7&amp;"",'Inputs (2)'!$D$2:$AL$2,0)),"")</f>
        <v/>
      </c>
      <c r="U30" s="269" t="str">
        <f>IFERROR(INDEX('Inputs (2)'!$D$65:$AL$65,MATCH(U$7&amp;"",'Inputs (2)'!$D$2:$AL$2,0)),"")</f>
        <v/>
      </c>
      <c r="V30" s="269" t="str">
        <f>IFERROR(INDEX('Inputs (2)'!$D$65:$AL$65,MATCH(V$7&amp;"",'Inputs (2)'!$D$2:$AL$2,0)),"")</f>
        <v/>
      </c>
      <c r="W30" s="270" t="str">
        <f>IF(COUNT(S30:V30)=4,SUM(S30:V30),"")</f>
        <v/>
      </c>
      <c r="X30" s="269" t="str">
        <f>IFERROR(INDEX('Inputs (2)'!$D$65:$AL$65,MATCH(X$7&amp;"",'Inputs (2)'!$D$2:$AL$2,0)),"")</f>
        <v/>
      </c>
      <c r="Y30" s="269" t="str">
        <f>IFERROR(INDEX('Inputs (2)'!$D$65:$AL$65,MATCH(Y$7&amp;"",'Inputs (2)'!$D$2:$AL$2,0)),"")</f>
        <v/>
      </c>
      <c r="Z30" s="269" t="str">
        <f>IFERROR(INDEX('Inputs (2)'!$D$65:$AL$65,MATCH(Z$7&amp;"",'Inputs (2)'!$D$2:$AL$2,0)),"")</f>
        <v/>
      </c>
      <c r="AA30" s="269">
        <f>IFERROR(INDEX('Inputs (2)'!$D$65:$AL$65,MATCH(AA$7&amp;"",'Inputs (2)'!$D$2:$AL$2,0)),"")</f>
        <v>2292</v>
      </c>
      <c r="AB30" s="270" t="str">
        <f>IF(COUNT(X30:AA30)=4,SUM(X30:AA30),"")</f>
        <v/>
      </c>
      <c r="AC30" s="269">
        <f>IFERROR(INDEX('Inputs (2)'!$D$65:$AL$65,MATCH(AC$7&amp;"",'Inputs (2)'!$D$2:$AL$2,0)),"")</f>
        <v>1830</v>
      </c>
      <c r="AD30" s="269">
        <f>IFERROR(INDEX('Inputs (2)'!$D$65:$AL$65,MATCH(AD$7&amp;"",'Inputs (2)'!$D$2:$AL$2,0)),"")</f>
        <v>1530</v>
      </c>
      <c r="AE30" s="269">
        <f>IFERROR(INDEX('Inputs (2)'!$D$65:$AL$65,MATCH(AE$7&amp;"",'Inputs (2)'!$D$2:$AL$2,0)),"")</f>
        <v>1577</v>
      </c>
      <c r="AF30" s="269">
        <f>IFERROR(INDEX('Inputs (2)'!$D$65:$AL$65,MATCH(AF$7&amp;"",'Inputs (2)'!$D$2:$AL$2,0)),"")</f>
        <v>2379</v>
      </c>
      <c r="AG30" s="270">
        <f>IF(COUNT(AC30:AF30)=4,SUM(AC30:AF30),"")</f>
        <v>7316</v>
      </c>
      <c r="AH30" s="270">
        <f>IFERROR(INDEX('Inputs (2)'!$D$65:$AL$65,MATCH(AH$7&amp;"",'Inputs (2)'!$D$2:$AL$2,0)),"")</f>
        <v>5687</v>
      </c>
      <c r="AI30" s="270">
        <f>IFERROR(INDEX('Inputs (2)'!$D$65:$AL$65,MATCH(AI$7&amp;"",'Inputs (2)'!$D$2:$AL$2,0)),"")</f>
        <v>11524</v>
      </c>
    </row>
    <row r="31">
      <c r="C31" s="268" t="inlineStr">
        <is>
          <t xml:space="preserve">   Mobile and Client (MCBU)</t>
        </is>
      </c>
      <c r="D31" s="269" t="str">
        <f>IFERROR(INDEX('Inputs (2)'!$D$66:$AL$66,MATCH(D$7&amp;"",'Inputs (2)'!$D$2:$AL$2,0)),"")</f>
        <v/>
      </c>
      <c r="E31" s="269" t="str">
        <f>IFERROR(INDEX('Inputs (2)'!$D$66:$AL$66,MATCH(E$7&amp;"",'Inputs (2)'!$D$2:$AL$2,0)),"")</f>
        <v/>
      </c>
      <c r="F31" s="269" t="str">
        <f>IFERROR(INDEX('Inputs (2)'!$D$66:$AL$66,MATCH(F$7&amp;"",'Inputs (2)'!$D$2:$AL$2,0)),"")</f>
        <v/>
      </c>
      <c r="G31" s="269" t="str">
        <f>IFERROR(INDEX('Inputs (2)'!$D$66:$AL$66,MATCH(G$7&amp;"",'Inputs (2)'!$D$2:$AL$2,0)),"")</f>
        <v/>
      </c>
      <c r="H31" s="270" t="str">
        <f>IF(COUNT(D31:G31)=4,SUM(D31:G31),"")</f>
        <v/>
      </c>
      <c r="I31" s="269" t="str">
        <f>IFERROR(INDEX('Inputs (2)'!$D$66:$AL$66,MATCH(I$7&amp;"",'Inputs (2)'!$D$2:$AL$2,0)),"")</f>
        <v/>
      </c>
      <c r="J31" s="269" t="str">
        <f>IFERROR(INDEX('Inputs (2)'!$D$66:$AL$66,MATCH(J$7&amp;"",'Inputs (2)'!$D$2:$AL$2,0)),"")</f>
        <v/>
      </c>
      <c r="K31" s="269" t="str">
        <f>IFERROR(INDEX('Inputs (2)'!$D$66:$AL$66,MATCH(K$7&amp;"",'Inputs (2)'!$D$2:$AL$2,0)),"")</f>
        <v/>
      </c>
      <c r="L31" s="269" t="str">
        <f>IFERROR(INDEX('Inputs (2)'!$D$66:$AL$66,MATCH(L$7&amp;"",'Inputs (2)'!$D$2:$AL$2,0)),"")</f>
        <v/>
      </c>
      <c r="M31" s="270" t="str">
        <f>IF(COUNT(I31:L31)=4,SUM(I31:L31),"")</f>
        <v/>
      </c>
      <c r="N31" s="269" t="str">
        <f>IFERROR(INDEX('Inputs (2)'!$D$66:$AL$66,MATCH(N$7&amp;"",'Inputs (2)'!$D$2:$AL$2,0)),"")</f>
        <v/>
      </c>
      <c r="O31" s="269" t="str">
        <f>IFERROR(INDEX('Inputs (2)'!$D$66:$AL$66,MATCH(O$7&amp;"",'Inputs (2)'!$D$2:$AL$2,0)),"")</f>
        <v/>
      </c>
      <c r="P31" s="269" t="str">
        <f>IFERROR(INDEX('Inputs (2)'!$D$66:$AL$66,MATCH(P$7&amp;"",'Inputs (2)'!$D$2:$AL$2,0)),"")</f>
        <v/>
      </c>
      <c r="Q31" s="269" t="str">
        <f>IFERROR(INDEX('Inputs (2)'!$D$66:$AL$66,MATCH(Q$7&amp;"",'Inputs (2)'!$D$2:$AL$2,0)),"")</f>
        <v/>
      </c>
      <c r="R31" s="270" t="str">
        <f>IF(COUNT(N31:Q31)=4,SUM(N31:Q31),"")</f>
        <v/>
      </c>
      <c r="S31" s="269" t="str">
        <f>IFERROR(INDEX('Inputs (2)'!$D$66:$AL$66,MATCH(S$7&amp;"",'Inputs (2)'!$D$2:$AL$2,0)),"")</f>
        <v/>
      </c>
      <c r="T31" s="269" t="str">
        <f>IFERROR(INDEX('Inputs (2)'!$D$66:$AL$66,MATCH(T$7&amp;"",'Inputs (2)'!$D$2:$AL$2,0)),"")</f>
        <v/>
      </c>
      <c r="U31" s="269" t="str">
        <f>IFERROR(INDEX('Inputs (2)'!$D$66:$AL$66,MATCH(U$7&amp;"",'Inputs (2)'!$D$2:$AL$2,0)),"")</f>
        <v/>
      </c>
      <c r="V31" s="269" t="str">
        <f>IFERROR(INDEX('Inputs (2)'!$D$66:$AL$66,MATCH(V$7&amp;"",'Inputs (2)'!$D$2:$AL$2,0)),"")</f>
        <v/>
      </c>
      <c r="W31" s="270" t="str">
        <f>IF(COUNT(S31:V31)=4,SUM(S31:V31),"")</f>
        <v/>
      </c>
      <c r="X31" s="269" t="str">
        <f>IFERROR(INDEX('Inputs (2)'!$D$66:$AL$66,MATCH(X$7&amp;"",'Inputs (2)'!$D$2:$AL$2,0)),"")</f>
        <v/>
      </c>
      <c r="Y31" s="269" t="str">
        <f>IFERROR(INDEX('Inputs (2)'!$D$66:$AL$66,MATCH(Y$7&amp;"",'Inputs (2)'!$D$2:$AL$2,0)),"")</f>
        <v/>
      </c>
      <c r="Z31" s="269" t="str">
        <f>IFERROR(INDEX('Inputs (2)'!$D$66:$AL$66,MATCH(Z$7&amp;"",'Inputs (2)'!$D$2:$AL$2,0)),"")</f>
        <v/>
      </c>
      <c r="AA31" s="269">
        <f>IFERROR(INDEX('Inputs (2)'!$D$66:$AL$66,MATCH(AA$7&amp;"",'Inputs (2)'!$D$2:$AL$2,0)),"")</f>
        <v>2608</v>
      </c>
      <c r="AB31" s="270" t="str">
        <f>IF(COUNT(X31:AA31)=4,SUM(X31:AA31),"")</f>
        <v/>
      </c>
      <c r="AC31" s="269">
        <f>IFERROR(INDEX('Inputs (2)'!$D$66:$AL$66,MATCH(AC$7&amp;"",'Inputs (2)'!$D$2:$AL$2,0)),"")</f>
        <v>2236</v>
      </c>
      <c r="AD31" s="269">
        <f>IFERROR(INDEX('Inputs (2)'!$D$66:$AL$66,MATCH(AD$7&amp;"",'Inputs (2)'!$D$2:$AL$2,0)),"")</f>
        <v>3255</v>
      </c>
      <c r="AE31" s="269">
        <f>IFERROR(INDEX('Inputs (2)'!$D$66:$AL$66,MATCH(AE$7&amp;"",'Inputs (2)'!$D$2:$AL$2,0)),"")</f>
        <v>3760</v>
      </c>
      <c r="AF31" s="269">
        <f>IFERROR(INDEX('Inputs (2)'!$D$66:$AL$66,MATCH(AF$7&amp;"",'Inputs (2)'!$D$2:$AL$2,0)),"")</f>
        <v>4255</v>
      </c>
      <c r="AG31" s="270">
        <f>IF(COUNT(AC31:AF31)=4,SUM(AC31:AF31),"")</f>
        <v>13506</v>
      </c>
      <c r="AH31" s="270">
        <f>IFERROR(INDEX('Inputs (2)'!$D$66:$AL$66,MATCH(AH$7&amp;"",'Inputs (2)'!$D$2:$AL$2,0)),"")</f>
        <v>7711</v>
      </c>
      <c r="AI31" s="270">
        <f>IFERROR(INDEX('Inputs (2)'!$D$66:$AL$66,MATCH(AI$7&amp;"",'Inputs (2)'!$D$2:$AL$2,0)),"")</f>
        <v>11521</v>
      </c>
    </row>
    <row r="32">
      <c r="C32" s="268" t="inlineStr">
        <is>
          <t xml:space="preserve">   Automotive and Embedded (AEBU)</t>
        </is>
      </c>
      <c r="D32" s="269" t="str">
        <f>IFERROR(INDEX('Inputs (2)'!$D$67:$AL$67,MATCH(D$7&amp;"",'Inputs (2)'!$D$2:$AL$2,0)),"")</f>
        <v/>
      </c>
      <c r="E32" s="269" t="str">
        <f>IFERROR(INDEX('Inputs (2)'!$D$67:$AL$67,MATCH(E$7&amp;"",'Inputs (2)'!$D$2:$AL$2,0)),"")</f>
        <v/>
      </c>
      <c r="F32" s="269" t="str">
        <f>IFERROR(INDEX('Inputs (2)'!$D$67:$AL$67,MATCH(F$7&amp;"",'Inputs (2)'!$D$2:$AL$2,0)),"")</f>
        <v/>
      </c>
      <c r="G32" s="269" t="str">
        <f>IFERROR(INDEX('Inputs (2)'!$D$67:$AL$67,MATCH(G$7&amp;"",'Inputs (2)'!$D$2:$AL$2,0)),"")</f>
        <v/>
      </c>
      <c r="H32" s="270" t="str">
        <f>IF(COUNT(D32:G32)=4,SUM(D32:G32),"")</f>
        <v/>
      </c>
      <c r="I32" s="269" t="str">
        <f>IFERROR(INDEX('Inputs (2)'!$D$67:$AL$67,MATCH(I$7&amp;"",'Inputs (2)'!$D$2:$AL$2,0)),"")</f>
        <v/>
      </c>
      <c r="J32" s="269" t="str">
        <f>IFERROR(INDEX('Inputs (2)'!$D$67:$AL$67,MATCH(J$7&amp;"",'Inputs (2)'!$D$2:$AL$2,0)),"")</f>
        <v/>
      </c>
      <c r="K32" s="269" t="str">
        <f>IFERROR(INDEX('Inputs (2)'!$D$67:$AL$67,MATCH(K$7&amp;"",'Inputs (2)'!$D$2:$AL$2,0)),"")</f>
        <v/>
      </c>
      <c r="L32" s="269" t="str">
        <f>IFERROR(INDEX('Inputs (2)'!$D$67:$AL$67,MATCH(L$7&amp;"",'Inputs (2)'!$D$2:$AL$2,0)),"")</f>
        <v/>
      </c>
      <c r="M32" s="270" t="str">
        <f>IF(COUNT(I32:L32)=4,SUM(I32:L32),"")</f>
        <v/>
      </c>
      <c r="N32" s="269" t="str">
        <f>IFERROR(INDEX('Inputs (2)'!$D$67:$AL$67,MATCH(N$7&amp;"",'Inputs (2)'!$D$2:$AL$2,0)),"")</f>
        <v/>
      </c>
      <c r="O32" s="269" t="str">
        <f>IFERROR(INDEX('Inputs (2)'!$D$67:$AL$67,MATCH(O$7&amp;"",'Inputs (2)'!$D$2:$AL$2,0)),"")</f>
        <v/>
      </c>
      <c r="P32" s="269" t="str">
        <f>IFERROR(INDEX('Inputs (2)'!$D$67:$AL$67,MATCH(P$7&amp;"",'Inputs (2)'!$D$2:$AL$2,0)),"")</f>
        <v/>
      </c>
      <c r="Q32" s="269" t="str">
        <f>IFERROR(INDEX('Inputs (2)'!$D$67:$AL$67,MATCH(Q$7&amp;"",'Inputs (2)'!$D$2:$AL$2,0)),"")</f>
        <v/>
      </c>
      <c r="R32" s="270" t="str">
        <f>IF(COUNT(N32:Q32)=4,SUM(N32:Q32),"")</f>
        <v/>
      </c>
      <c r="S32" s="269" t="str">
        <f>IFERROR(INDEX('Inputs (2)'!$D$67:$AL$67,MATCH(S$7&amp;"",'Inputs (2)'!$D$2:$AL$2,0)),"")</f>
        <v/>
      </c>
      <c r="T32" s="269" t="str">
        <f>IFERROR(INDEX('Inputs (2)'!$D$67:$AL$67,MATCH(T$7&amp;"",'Inputs (2)'!$D$2:$AL$2,0)),"")</f>
        <v/>
      </c>
      <c r="U32" s="269" t="str">
        <f>IFERROR(INDEX('Inputs (2)'!$D$67:$AL$67,MATCH(U$7&amp;"",'Inputs (2)'!$D$2:$AL$2,0)),"")</f>
        <v/>
      </c>
      <c r="V32" s="269" t="str">
        <f>IFERROR(INDEX('Inputs (2)'!$D$67:$AL$67,MATCH(V$7&amp;"",'Inputs (2)'!$D$2:$AL$2,0)),"")</f>
        <v/>
      </c>
      <c r="W32" s="270" t="str">
        <f>IF(COUNT(S32:V32)=4,SUM(S32:V32),"")</f>
        <v/>
      </c>
      <c r="X32" s="269" t="str">
        <f>IFERROR(INDEX('Inputs (2)'!$D$67:$AL$67,MATCH(X$7&amp;"",'Inputs (2)'!$D$2:$AL$2,0)),"")</f>
        <v/>
      </c>
      <c r="Y32" s="269" t="str">
        <f>IFERROR(INDEX('Inputs (2)'!$D$67:$AL$67,MATCH(Y$7&amp;"",'Inputs (2)'!$D$2:$AL$2,0)),"")</f>
        <v/>
      </c>
      <c r="Z32" s="269" t="str">
        <f>IFERROR(INDEX('Inputs (2)'!$D$67:$AL$67,MATCH(Z$7&amp;"",'Inputs (2)'!$D$2:$AL$2,0)),"")</f>
        <v/>
      </c>
      <c r="AA32" s="269">
        <f>IFERROR(INDEX('Inputs (2)'!$D$67:$AL$67,MATCH(AA$7&amp;"",'Inputs (2)'!$D$2:$AL$2,0)),"")</f>
        <v>1158</v>
      </c>
      <c r="AB32" s="270" t="str">
        <f>IF(COUNT(X32:AA32)=4,SUM(X32:AA32),"")</f>
        <v/>
      </c>
      <c r="AC32" s="269">
        <f>IFERROR(INDEX('Inputs (2)'!$D$67:$AL$67,MATCH(AC$7&amp;"",'Inputs (2)'!$D$2:$AL$2,0)),"")</f>
        <v>1034</v>
      </c>
      <c r="AD32" s="269">
        <f>IFERROR(INDEX('Inputs (2)'!$D$67:$AL$67,MATCH(AD$7&amp;"",'Inputs (2)'!$D$2:$AL$2,0)),"")</f>
        <v>1127</v>
      </c>
      <c r="AE32" s="269">
        <f>IFERROR(INDEX('Inputs (2)'!$D$67:$AL$67,MATCH(AE$7&amp;"",'Inputs (2)'!$D$2:$AL$2,0)),"")</f>
        <v>1434</v>
      </c>
      <c r="AF32" s="269">
        <f>IFERROR(INDEX('Inputs (2)'!$D$67:$AL$67,MATCH(AF$7&amp;"",'Inputs (2)'!$D$2:$AL$2,0)),"")</f>
        <v>1720</v>
      </c>
      <c r="AG32" s="270">
        <f>IF(COUNT(AC32:AF32)=4,SUM(AC32:AF32),"")</f>
        <v>5315</v>
      </c>
      <c r="AH32" s="270">
        <f>IFERROR(INDEX('Inputs (2)'!$D$67:$AL$67,MATCH(AH$7&amp;"",'Inputs (2)'!$D$2:$AL$2,0)),"")</f>
        <v>2708</v>
      </c>
      <c r="AI32" s="270">
        <f>IFERROR(INDEX('Inputs (2)'!$D$67:$AL$67,MATCH(AI$7&amp;"",'Inputs (2)'!$D$2:$AL$2,0)),"")</f>
        <v>4634</v>
      </c>
    </row>
    <row r="33"/>
    <row r="34">
      <c r="C34" s="267" t="inlineStr">
        <is>
          <t>Unidades de negócio - antigas (até 2T25, USD milhões)</t>
        </is>
      </c>
      <c r="D34" s="267">
        <f>D7</f>
        <v>0</v>
      </c>
      <c r="E34" s="267">
        <f>E7</f>
        <v>0</v>
      </c>
      <c r="F34" s="267">
        <f>F7</f>
        <v>0</v>
      </c>
      <c r="G34" s="267">
        <f>G7</f>
        <v>0</v>
      </c>
      <c r="H34" s="267">
        <f>H7</f>
        <v>2020</v>
      </c>
      <c r="I34" s="267" t="str">
        <f>I7</f>
        <v>1Q21</v>
      </c>
      <c r="J34" s="267" t="str">
        <f>J7</f>
        <v>2Q21</v>
      </c>
      <c r="K34" s="267" t="str">
        <f>K7</f>
        <v>3Q21</v>
      </c>
      <c r="L34" s="267" t="str">
        <f>L7</f>
        <v>4Q21</v>
      </c>
      <c r="M34" s="267">
        <f>M7</f>
        <v>2021</v>
      </c>
      <c r="N34" s="267" t="str">
        <f>N7</f>
        <v>1Q22</v>
      </c>
      <c r="O34" s="267" t="str">
        <f>O7</f>
        <v>2Q22</v>
      </c>
      <c r="P34" s="267" t="str">
        <f>P7</f>
        <v>3Q22</v>
      </c>
      <c r="Q34" s="267" t="str">
        <f>Q7</f>
        <v>4Q22</v>
      </c>
      <c r="R34" s="267">
        <f>R7</f>
        <v>2022</v>
      </c>
      <c r="S34" s="267" t="str">
        <f>S7</f>
        <v>1Q23</v>
      </c>
      <c r="T34" s="267" t="str">
        <f>T7</f>
        <v>2Q23</v>
      </c>
      <c r="U34" s="267" t="str">
        <f>U7</f>
        <v>3Q23</v>
      </c>
      <c r="V34" s="267" t="str">
        <f>V7</f>
        <v>4Q23</v>
      </c>
      <c r="W34" s="267">
        <f>W7</f>
        <v>2023</v>
      </c>
      <c r="X34" s="267" t="str">
        <f>X7</f>
        <v>1Q24</v>
      </c>
      <c r="Y34" s="267" t="str">
        <f>Y7</f>
        <v>2Q24</v>
      </c>
      <c r="Z34" s="267" t="str">
        <f>Z7</f>
        <v>3Q24</v>
      </c>
      <c r="AA34" s="267" t="str">
        <f>AA7</f>
        <v>4Q24</v>
      </c>
      <c r="AB34" s="267">
        <f>AB7</f>
        <v>2024</v>
      </c>
      <c r="AC34" s="267" t="str">
        <f>AC7</f>
        <v>1Q25</v>
      </c>
      <c r="AD34" s="267" t="str">
        <f>AD7</f>
        <v>2Q25</v>
      </c>
      <c r="AE34" s="267" t="str">
        <f>AE7</f>
        <v>3Q25</v>
      </c>
      <c r="AF34" s="267" t="str">
        <f>AF7</f>
        <v>4Q25</v>
      </c>
      <c r="AG34" s="267">
        <f>AG7</f>
        <v>2025</v>
      </c>
      <c r="AH34" s="267" t="str">
        <f>AH7</f>
        <v>1Q26</v>
      </c>
      <c r="AI34" s="267" t="str">
        <f>AI7</f>
        <v>2Q26</v>
      </c>
    </row>
    <row r="35">
      <c r="C35" s="268" t="inlineStr">
        <is>
          <t xml:space="preserve">   Compute and Networking (CNBU)</t>
        </is>
      </c>
      <c r="D35" s="269" t="str">
        <f>IFERROR(INDEX('Inputs (2)'!$D$56:$AL$56,MATCH(D$7&amp;"",'Inputs (2)'!$D$2:$AL$2,0)),"")</f>
        <v/>
      </c>
      <c r="E35" s="269" t="str">
        <f>IFERROR(INDEX('Inputs (2)'!$D$56:$AL$56,MATCH(E$7&amp;"",'Inputs (2)'!$D$2:$AL$2,0)),"")</f>
        <v/>
      </c>
      <c r="F35" s="269" t="str">
        <f>IFERROR(INDEX('Inputs (2)'!$D$56:$AL$56,MATCH(F$7&amp;"",'Inputs (2)'!$D$2:$AL$2,0)),"")</f>
        <v/>
      </c>
      <c r="G35" s="269" t="str">
        <f>IFERROR(INDEX('Inputs (2)'!$D$56:$AL$56,MATCH(G$7&amp;"",'Inputs (2)'!$D$2:$AL$2,0)),"")</f>
        <v/>
      </c>
      <c r="H35" s="270" t="str">
        <f>IF(COUNT(D35:G35)=4,SUM(D35:G35),"")</f>
        <v/>
      </c>
      <c r="I35" s="269">
        <f>IFERROR(INDEX('Inputs (2)'!$D$56:$AL$56,MATCH(I$7&amp;"",'Inputs (2)'!$D$2:$AL$2,0)),"")</f>
        <v>2636</v>
      </c>
      <c r="J35" s="269">
        <f>IFERROR(INDEX('Inputs (2)'!$D$56:$AL$56,MATCH(J$7&amp;"",'Inputs (2)'!$D$2:$AL$2,0)),"")</f>
        <v>3304</v>
      </c>
      <c r="K35" s="269">
        <f>IFERROR(INDEX('Inputs (2)'!$D$56:$AL$56,MATCH(K$7&amp;"",'Inputs (2)'!$D$2:$AL$2,0)),"")</f>
        <v>3794</v>
      </c>
      <c r="L35" s="269">
        <f>IFERROR(INDEX('Inputs (2)'!$D$56:$AL$56,MATCH(L$7&amp;"",'Inputs (2)'!$D$2:$AL$2,0)),"")</f>
        <v>3406</v>
      </c>
      <c r="M35" s="270">
        <f>IF(COUNT(I35:L35)=4,SUM(I35:L35),"")</f>
        <v>13140</v>
      </c>
      <c r="N35" s="269">
        <f>IFERROR(INDEX('Inputs (2)'!$D$56:$AL$56,MATCH(N$7&amp;"",'Inputs (2)'!$D$2:$AL$2,0)),"")</f>
        <v>3461</v>
      </c>
      <c r="O35" s="269">
        <f>IFERROR(INDEX('Inputs (2)'!$D$56:$AL$56,MATCH(O$7&amp;"",'Inputs (2)'!$D$2:$AL$2,0)),"")</f>
        <v>3895</v>
      </c>
      <c r="P35" s="269">
        <f>IFERROR(INDEX('Inputs (2)'!$D$56:$AL$56,MATCH(P$7&amp;"",'Inputs (2)'!$D$2:$AL$2,0)),"")</f>
        <v>2931</v>
      </c>
      <c r="Q35" s="269">
        <f>IFERROR(INDEX('Inputs (2)'!$D$56:$AL$56,MATCH(Q$7&amp;"",'Inputs (2)'!$D$2:$AL$2,0)),"")</f>
        <v>1746</v>
      </c>
      <c r="R35" s="270">
        <f>IF(COUNT(N35:Q35)=4,SUM(N35:Q35),"")</f>
        <v>12033</v>
      </c>
      <c r="S35" s="269">
        <f>IFERROR(INDEX('Inputs (2)'!$D$56:$AL$56,MATCH(S$7&amp;"",'Inputs (2)'!$D$2:$AL$2,0)),"")</f>
        <v>1375</v>
      </c>
      <c r="T35" s="269">
        <f>IFERROR(INDEX('Inputs (2)'!$D$56:$AL$56,MATCH(T$7&amp;"",'Inputs (2)'!$D$2:$AL$2,0)),"")</f>
        <v>1389</v>
      </c>
      <c r="U35" s="269">
        <f>IFERROR(INDEX('Inputs (2)'!$D$56:$AL$56,MATCH(U$7&amp;"",'Inputs (2)'!$D$2:$AL$2,0)),"")</f>
        <v>1200</v>
      </c>
      <c r="V35" s="269">
        <f>IFERROR(INDEX('Inputs (2)'!$D$56:$AL$56,MATCH(V$7&amp;"",'Inputs (2)'!$D$2:$AL$2,0)),"")</f>
        <v>1737</v>
      </c>
      <c r="W35" s="270">
        <f>IF(COUNT(S35:V35)=4,SUM(S35:V35),"")</f>
        <v>5701</v>
      </c>
      <c r="X35" s="269">
        <f>IFERROR(INDEX('Inputs (2)'!$D$56:$AL$56,MATCH(X$7&amp;"",'Inputs (2)'!$D$2:$AL$2,0)),"")</f>
        <v>2185</v>
      </c>
      <c r="Y35" s="269">
        <f>IFERROR(INDEX('Inputs (2)'!$D$56:$AL$56,MATCH(Y$7&amp;"",'Inputs (2)'!$D$2:$AL$2,0)),"")</f>
        <v>2573</v>
      </c>
      <c r="Z35" s="269">
        <f>IFERROR(INDEX('Inputs (2)'!$D$56:$AL$56,MATCH(Z$7&amp;"",'Inputs (2)'!$D$2:$AL$2,0)),"")</f>
        <v>3018</v>
      </c>
      <c r="AA35" s="269">
        <f>IFERROR(INDEX('Inputs (2)'!$D$56:$AL$56,MATCH(AA$7&amp;"",'Inputs (2)'!$D$2:$AL$2,0)),"")</f>
        <v>4395</v>
      </c>
      <c r="AB35" s="270">
        <f>IF(COUNT(X35:AA35)=4,SUM(X35:AA35),"")</f>
        <v>12171</v>
      </c>
      <c r="AC35" s="269">
        <f>IFERROR(INDEX('Inputs (2)'!$D$56:$AL$56,MATCH(AC$7&amp;"",'Inputs (2)'!$D$2:$AL$2,0)),"")</f>
        <v>4564</v>
      </c>
      <c r="AD35" s="269">
        <f>IFERROR(INDEX('Inputs (2)'!$D$56:$AL$56,MATCH(AD$7&amp;"",'Inputs (2)'!$D$2:$AL$2,0)),"")</f>
        <v>5069</v>
      </c>
      <c r="AE35" s="269" t="str">
        <f>IFERROR(INDEX('Inputs (2)'!$D$56:$AL$56,MATCH(AE$7&amp;"",'Inputs (2)'!$D$2:$AL$2,0)),"")</f>
        <v/>
      </c>
      <c r="AF35" s="269" t="str">
        <f>IFERROR(INDEX('Inputs (2)'!$D$56:$AL$56,MATCH(AF$7&amp;"",'Inputs (2)'!$D$2:$AL$2,0)),"")</f>
        <v/>
      </c>
      <c r="AG35" s="270" t="str">
        <f>IF(COUNT(AC35:AF35)=4,SUM(AC35:AF35),"")</f>
        <v/>
      </c>
      <c r="AH35" s="270" t="str">
        <f>IFERROR(INDEX('Inputs (2)'!$D$56:$AL$56,MATCH(AH$7&amp;"",'Inputs (2)'!$D$2:$AL$2,0)),"")</f>
        <v/>
      </c>
      <c r="AI35" s="270" t="str">
        <f>IFERROR(INDEX('Inputs (2)'!$D$56:$AL$56,MATCH(AI$7&amp;"",'Inputs (2)'!$D$2:$AL$2,0)),"")</f>
        <v/>
      </c>
    </row>
    <row r="36">
      <c r="C36" s="268" t="inlineStr">
        <is>
          <t xml:space="preserve">   Mobile (MBU)</t>
        </is>
      </c>
      <c r="D36" s="269" t="str">
        <f>IFERROR(INDEX('Inputs (2)'!$D$58:$AL$58,MATCH(D$7&amp;"",'Inputs (2)'!$D$2:$AL$2,0)),"")</f>
        <v/>
      </c>
      <c r="E36" s="269" t="str">
        <f>IFERROR(INDEX('Inputs (2)'!$D$58:$AL$58,MATCH(E$7&amp;"",'Inputs (2)'!$D$2:$AL$2,0)),"")</f>
        <v/>
      </c>
      <c r="F36" s="269" t="str">
        <f>IFERROR(INDEX('Inputs (2)'!$D$58:$AL$58,MATCH(F$7&amp;"",'Inputs (2)'!$D$2:$AL$2,0)),"")</f>
        <v/>
      </c>
      <c r="G36" s="269" t="str">
        <f>IFERROR(INDEX('Inputs (2)'!$D$58:$AL$58,MATCH(G$7&amp;"",'Inputs (2)'!$D$2:$AL$2,0)),"")</f>
        <v/>
      </c>
      <c r="H36" s="270" t="str">
        <f>IF(COUNT(D36:G36)=4,SUM(D36:G36),"")</f>
        <v/>
      </c>
      <c r="I36" s="269">
        <f>IFERROR(INDEX('Inputs (2)'!$D$58:$AL$58,MATCH(I$7&amp;"",'Inputs (2)'!$D$2:$AL$2,0)),"")</f>
        <v>1811</v>
      </c>
      <c r="J36" s="269">
        <f>IFERROR(INDEX('Inputs (2)'!$D$58:$AL$58,MATCH(J$7&amp;"",'Inputs (2)'!$D$2:$AL$2,0)),"")</f>
        <v>1999</v>
      </c>
      <c r="K36" s="269">
        <f>IFERROR(INDEX('Inputs (2)'!$D$58:$AL$58,MATCH(K$7&amp;"",'Inputs (2)'!$D$2:$AL$2,0)),"")</f>
        <v>1892</v>
      </c>
      <c r="L36" s="269">
        <f>IFERROR(INDEX('Inputs (2)'!$D$58:$AL$58,MATCH(L$7&amp;"",'Inputs (2)'!$D$2:$AL$2,0)),"")</f>
        <v>1907</v>
      </c>
      <c r="M36" s="270">
        <f>IF(COUNT(I36:L36)=4,SUM(I36:L36),"")</f>
        <v>7609</v>
      </c>
      <c r="N36" s="269">
        <f>IFERROR(INDEX('Inputs (2)'!$D$58:$AL$58,MATCH(N$7&amp;"",'Inputs (2)'!$D$2:$AL$2,0)),"")</f>
        <v>1875</v>
      </c>
      <c r="O36" s="269">
        <f>IFERROR(INDEX('Inputs (2)'!$D$58:$AL$58,MATCH(O$7&amp;"",'Inputs (2)'!$D$2:$AL$2,0)),"")</f>
        <v>1967</v>
      </c>
      <c r="P36" s="269">
        <f>IFERROR(INDEX('Inputs (2)'!$D$58:$AL$58,MATCH(P$7&amp;"",'Inputs (2)'!$D$2:$AL$2,0)),"")</f>
        <v>1511</v>
      </c>
      <c r="Q36" s="269">
        <f>IFERROR(INDEX('Inputs (2)'!$D$58:$AL$58,MATCH(Q$7&amp;"",'Inputs (2)'!$D$2:$AL$2,0)),"")</f>
        <v>655</v>
      </c>
      <c r="R36" s="270">
        <f>IF(COUNT(N36:Q36)=4,SUM(N36:Q36),"")</f>
        <v>6008</v>
      </c>
      <c r="S36" s="269">
        <f>IFERROR(INDEX('Inputs (2)'!$D$58:$AL$58,MATCH(S$7&amp;"",'Inputs (2)'!$D$2:$AL$2,0)),"")</f>
        <v>945</v>
      </c>
      <c r="T36" s="269">
        <f>IFERROR(INDEX('Inputs (2)'!$D$58:$AL$58,MATCH(T$7&amp;"",'Inputs (2)'!$D$2:$AL$2,0)),"")</f>
        <v>819</v>
      </c>
      <c r="U36" s="269">
        <f>IFERROR(INDEX('Inputs (2)'!$D$58:$AL$58,MATCH(U$7&amp;"",'Inputs (2)'!$D$2:$AL$2,0)),"")</f>
        <v>1211</v>
      </c>
      <c r="V36" s="269">
        <f>IFERROR(INDEX('Inputs (2)'!$D$58:$AL$58,MATCH(V$7&amp;"",'Inputs (2)'!$D$2:$AL$2,0)),"")</f>
        <v>1293</v>
      </c>
      <c r="W36" s="270">
        <f>IF(COUNT(S36:V36)=4,SUM(S36:V36),"")</f>
        <v>4268</v>
      </c>
      <c r="X36" s="269">
        <f>IFERROR(INDEX('Inputs (2)'!$D$58:$AL$58,MATCH(X$7&amp;"",'Inputs (2)'!$D$2:$AL$2,0)),"")</f>
        <v>1598</v>
      </c>
      <c r="Y36" s="269">
        <f>IFERROR(INDEX('Inputs (2)'!$D$58:$AL$58,MATCH(Y$7&amp;"",'Inputs (2)'!$D$2:$AL$2,0)),"")</f>
        <v>1588</v>
      </c>
      <c r="Z36" s="269">
        <f>IFERROR(INDEX('Inputs (2)'!$D$58:$AL$58,MATCH(Z$7&amp;"",'Inputs (2)'!$D$2:$AL$2,0)),"")</f>
        <v>1875</v>
      </c>
      <c r="AA36" s="269">
        <f>IFERROR(INDEX('Inputs (2)'!$D$58:$AL$58,MATCH(AA$7&amp;"",'Inputs (2)'!$D$2:$AL$2,0)),"")</f>
        <v>1527</v>
      </c>
      <c r="AB36" s="270">
        <f>IF(COUNT(X36:AA36)=4,SUM(X36:AA36),"")</f>
        <v>6588</v>
      </c>
      <c r="AC36" s="269">
        <f>IFERROR(INDEX('Inputs (2)'!$D$58:$AL$58,MATCH(AC$7&amp;"",'Inputs (2)'!$D$2:$AL$2,0)),"")</f>
        <v>1068</v>
      </c>
      <c r="AD36" s="269">
        <f>IFERROR(INDEX('Inputs (2)'!$D$58:$AL$58,MATCH(AD$7&amp;"",'Inputs (2)'!$D$2:$AL$2,0)),"")</f>
        <v>1551</v>
      </c>
      <c r="AE36" s="269" t="str">
        <f>IFERROR(INDEX('Inputs (2)'!$D$58:$AL$58,MATCH(AE$7&amp;"",'Inputs (2)'!$D$2:$AL$2,0)),"")</f>
        <v/>
      </c>
      <c r="AF36" s="269" t="str">
        <f>IFERROR(INDEX('Inputs (2)'!$D$58:$AL$58,MATCH(AF$7&amp;"",'Inputs (2)'!$D$2:$AL$2,0)),"")</f>
        <v/>
      </c>
      <c r="AG36" s="270" t="str">
        <f>IF(COUNT(AC36:AF36)=4,SUM(AC36:AF36),"")</f>
        <v/>
      </c>
      <c r="AH36" s="270" t="str">
        <f>IFERROR(INDEX('Inputs (2)'!$D$58:$AL$58,MATCH(AH$7&amp;"",'Inputs (2)'!$D$2:$AL$2,0)),"")</f>
        <v/>
      </c>
      <c r="AI36" s="270" t="str">
        <f>IFERROR(INDEX('Inputs (2)'!$D$58:$AL$58,MATCH(AI$7&amp;"",'Inputs (2)'!$D$2:$AL$2,0)),"")</f>
        <v/>
      </c>
    </row>
    <row r="37">
      <c r="C37" s="268" t="inlineStr">
        <is>
          <t xml:space="preserve">   Storage (SBU)</t>
        </is>
      </c>
      <c r="D37" s="269" t="str">
        <f>IFERROR(INDEX('Inputs (2)'!$D$60:$AL$60,MATCH(D$7&amp;"",'Inputs (2)'!$D$2:$AL$2,0)),"")</f>
        <v/>
      </c>
      <c r="E37" s="269" t="str">
        <f>IFERROR(INDEX('Inputs (2)'!$D$60:$AL$60,MATCH(E$7&amp;"",'Inputs (2)'!$D$2:$AL$2,0)),"")</f>
        <v/>
      </c>
      <c r="F37" s="269" t="str">
        <f>IFERROR(INDEX('Inputs (2)'!$D$60:$AL$60,MATCH(F$7&amp;"",'Inputs (2)'!$D$2:$AL$2,0)),"")</f>
        <v/>
      </c>
      <c r="G37" s="269" t="str">
        <f>IFERROR(INDEX('Inputs (2)'!$D$60:$AL$60,MATCH(G$7&amp;"",'Inputs (2)'!$D$2:$AL$2,0)),"")</f>
        <v/>
      </c>
      <c r="H37" s="270" t="str">
        <f>IF(COUNT(D37:G37)=4,SUM(D37:G37),"")</f>
        <v/>
      </c>
      <c r="I37" s="269">
        <f>IFERROR(INDEX('Inputs (2)'!$D$60:$AL$60,MATCH(I$7&amp;"",'Inputs (2)'!$D$2:$AL$2,0)),"")</f>
        <v>850</v>
      </c>
      <c r="J37" s="269">
        <f>IFERROR(INDEX('Inputs (2)'!$D$60:$AL$60,MATCH(J$7&amp;"",'Inputs (2)'!$D$2:$AL$2,0)),"")</f>
        <v>1009</v>
      </c>
      <c r="K37" s="269">
        <f>IFERROR(INDEX('Inputs (2)'!$D$60:$AL$60,MATCH(K$7&amp;"",'Inputs (2)'!$D$2:$AL$2,0)),"")</f>
        <v>1203</v>
      </c>
      <c r="L37" s="269">
        <f>IFERROR(INDEX('Inputs (2)'!$D$60:$AL$60,MATCH(L$7&amp;"",'Inputs (2)'!$D$2:$AL$2,0)),"")</f>
        <v>1150</v>
      </c>
      <c r="M37" s="270">
        <f>IF(COUNT(I37:L37)=4,SUM(I37:L37),"")</f>
        <v>4212</v>
      </c>
      <c r="N37" s="269">
        <f>IFERROR(INDEX('Inputs (2)'!$D$60:$AL$60,MATCH(N$7&amp;"",'Inputs (2)'!$D$2:$AL$2,0)),"")</f>
        <v>1171</v>
      </c>
      <c r="O37" s="269">
        <f>IFERROR(INDEX('Inputs (2)'!$D$60:$AL$60,MATCH(O$7&amp;"",'Inputs (2)'!$D$2:$AL$2,0)),"")</f>
        <v>1341</v>
      </c>
      <c r="P37" s="269">
        <f>IFERROR(INDEX('Inputs (2)'!$D$60:$AL$60,MATCH(P$7&amp;"",'Inputs (2)'!$D$2:$AL$2,0)),"")</f>
        <v>891</v>
      </c>
      <c r="Q37" s="269">
        <f>IFERROR(INDEX('Inputs (2)'!$D$60:$AL$60,MATCH(Q$7&amp;"",'Inputs (2)'!$D$2:$AL$2,0)),"")</f>
        <v>680</v>
      </c>
      <c r="R37" s="270">
        <f>IF(COUNT(N37:Q37)=4,SUM(N37:Q37),"")</f>
        <v>4083</v>
      </c>
      <c r="S37" s="269">
        <f>IFERROR(INDEX('Inputs (2)'!$D$60:$AL$60,MATCH(S$7&amp;"",'Inputs (2)'!$D$2:$AL$2,0)),"")</f>
        <v>507</v>
      </c>
      <c r="T37" s="269">
        <f>IFERROR(INDEX('Inputs (2)'!$D$60:$AL$60,MATCH(T$7&amp;"",'Inputs (2)'!$D$2:$AL$2,0)),"")</f>
        <v>627</v>
      </c>
      <c r="U37" s="269">
        <f>IFERROR(INDEX('Inputs (2)'!$D$60:$AL$60,MATCH(U$7&amp;"",'Inputs (2)'!$D$2:$AL$2,0)),"")</f>
        <v>739</v>
      </c>
      <c r="V37" s="269">
        <f>IFERROR(INDEX('Inputs (2)'!$D$60:$AL$60,MATCH(V$7&amp;"",'Inputs (2)'!$D$2:$AL$2,0)),"")</f>
        <v>653</v>
      </c>
      <c r="W37" s="270">
        <f>IF(COUNT(S37:V37)=4,SUM(S37:V37),"")</f>
        <v>2526</v>
      </c>
      <c r="X37" s="269">
        <f>IFERROR(INDEX('Inputs (2)'!$D$60:$AL$60,MATCH(X$7&amp;"",'Inputs (2)'!$D$2:$AL$2,0)),"")</f>
        <v>905</v>
      </c>
      <c r="Y37" s="269">
        <f>IFERROR(INDEX('Inputs (2)'!$D$60:$AL$60,MATCH(Y$7&amp;"",'Inputs (2)'!$D$2:$AL$2,0)),"")</f>
        <v>1353</v>
      </c>
      <c r="Z37" s="269">
        <f>IFERROR(INDEX('Inputs (2)'!$D$60:$AL$60,MATCH(Z$7&amp;"",'Inputs (2)'!$D$2:$AL$2,0)),"")</f>
        <v>1681</v>
      </c>
      <c r="AA37" s="269">
        <f>IFERROR(INDEX('Inputs (2)'!$D$60:$AL$60,MATCH(AA$7&amp;"",'Inputs (2)'!$D$2:$AL$2,0)),"")</f>
        <v>1731</v>
      </c>
      <c r="AB37" s="270">
        <f>IF(COUNT(X37:AA37)=4,SUM(X37:AA37),"")</f>
        <v>5670</v>
      </c>
      <c r="AC37" s="269">
        <f>IFERROR(INDEX('Inputs (2)'!$D$60:$AL$60,MATCH(AC$7&amp;"",'Inputs (2)'!$D$2:$AL$2,0)),"")</f>
        <v>1392</v>
      </c>
      <c r="AD37" s="269">
        <f>IFERROR(INDEX('Inputs (2)'!$D$60:$AL$60,MATCH(AD$7&amp;"",'Inputs (2)'!$D$2:$AL$2,0)),"")</f>
        <v>1451</v>
      </c>
      <c r="AE37" s="269" t="str">
        <f>IFERROR(INDEX('Inputs (2)'!$D$60:$AL$60,MATCH(AE$7&amp;"",'Inputs (2)'!$D$2:$AL$2,0)),"")</f>
        <v/>
      </c>
      <c r="AF37" s="269" t="str">
        <f>IFERROR(INDEX('Inputs (2)'!$D$60:$AL$60,MATCH(AF$7&amp;"",'Inputs (2)'!$D$2:$AL$2,0)),"")</f>
        <v/>
      </c>
      <c r="AG37" s="270" t="str">
        <f>IF(COUNT(AC37:AF37)=4,SUM(AC37:AF37),"")</f>
        <v/>
      </c>
      <c r="AH37" s="270" t="str">
        <f>IFERROR(INDEX('Inputs (2)'!$D$60:$AL$60,MATCH(AH$7&amp;"",'Inputs (2)'!$D$2:$AL$2,0)),"")</f>
        <v/>
      </c>
      <c r="AI37" s="270" t="str">
        <f>IFERROR(INDEX('Inputs (2)'!$D$60:$AL$60,MATCH(AI$7&amp;"",'Inputs (2)'!$D$2:$AL$2,0)),"")</f>
        <v/>
      </c>
    </row>
    <row r="38">
      <c r="C38" s="268" t="inlineStr">
        <is>
          <t xml:space="preserve">   Embedded (EBU)</t>
        </is>
      </c>
      <c r="D38" s="269" t="str">
        <f>IFERROR(INDEX('Inputs (2)'!$D$62:$AL$62,MATCH(D$7&amp;"",'Inputs (2)'!$D$2:$AL$2,0)),"")</f>
        <v/>
      </c>
      <c r="E38" s="269" t="str">
        <f>IFERROR(INDEX('Inputs (2)'!$D$62:$AL$62,MATCH(E$7&amp;"",'Inputs (2)'!$D$2:$AL$2,0)),"")</f>
        <v/>
      </c>
      <c r="F38" s="269" t="str">
        <f>IFERROR(INDEX('Inputs (2)'!$D$62:$AL$62,MATCH(F$7&amp;"",'Inputs (2)'!$D$2:$AL$2,0)),"")</f>
        <v/>
      </c>
      <c r="G38" s="269" t="str">
        <f>IFERROR(INDEX('Inputs (2)'!$D$62:$AL$62,MATCH(G$7&amp;"",'Inputs (2)'!$D$2:$AL$2,0)),"")</f>
        <v/>
      </c>
      <c r="H38" s="270" t="str">
        <f>IF(COUNT(D38:G38)=4,SUM(D38:G38),"")</f>
        <v/>
      </c>
      <c r="I38" s="269">
        <f>IFERROR(INDEX('Inputs (2)'!$D$62:$AL$62,MATCH(I$7&amp;"",'Inputs (2)'!$D$2:$AL$2,0)),"")</f>
        <v>935</v>
      </c>
      <c r="J38" s="269">
        <f>IFERROR(INDEX('Inputs (2)'!$D$62:$AL$62,MATCH(J$7&amp;"",'Inputs (2)'!$D$2:$AL$2,0)),"")</f>
        <v>1105</v>
      </c>
      <c r="K38" s="269">
        <f>IFERROR(INDEX('Inputs (2)'!$D$62:$AL$62,MATCH(K$7&amp;"",'Inputs (2)'!$D$2:$AL$2,0)),"")</f>
        <v>1360</v>
      </c>
      <c r="L38" s="269">
        <f>IFERROR(INDEX('Inputs (2)'!$D$62:$AL$62,MATCH(L$7&amp;"",'Inputs (2)'!$D$2:$AL$2,0)),"")</f>
        <v>1220</v>
      </c>
      <c r="M38" s="270">
        <f>IF(COUNT(I38:L38)=4,SUM(I38:L38),"")</f>
        <v>4620</v>
      </c>
      <c r="N38" s="269">
        <f>IFERROR(INDEX('Inputs (2)'!$D$62:$AL$62,MATCH(N$7&amp;"",'Inputs (2)'!$D$2:$AL$2,0)),"")</f>
        <v>1277</v>
      </c>
      <c r="O38" s="269">
        <f>IFERROR(INDEX('Inputs (2)'!$D$62:$AL$62,MATCH(O$7&amp;"",'Inputs (2)'!$D$2:$AL$2,0)),"")</f>
        <v>1435</v>
      </c>
      <c r="P38" s="269">
        <f>IFERROR(INDEX('Inputs (2)'!$D$62:$AL$62,MATCH(P$7&amp;"",'Inputs (2)'!$D$2:$AL$2,0)),"")</f>
        <v>1303</v>
      </c>
      <c r="Q38" s="269">
        <f>IFERROR(INDEX('Inputs (2)'!$D$62:$AL$62,MATCH(Q$7&amp;"",'Inputs (2)'!$D$2:$AL$2,0)),"")</f>
        <v>1000</v>
      </c>
      <c r="R38" s="270">
        <f>IF(COUNT(N38:Q38)=4,SUM(N38:Q38),"")</f>
        <v>5015</v>
      </c>
      <c r="S38" s="269">
        <f>IFERROR(INDEX('Inputs (2)'!$D$62:$AL$62,MATCH(S$7&amp;"",'Inputs (2)'!$D$2:$AL$2,0)),"")</f>
        <v>865</v>
      </c>
      <c r="T38" s="269">
        <f>IFERROR(INDEX('Inputs (2)'!$D$62:$AL$62,MATCH(T$7&amp;"",'Inputs (2)'!$D$2:$AL$2,0)),"")</f>
        <v>912</v>
      </c>
      <c r="U38" s="269">
        <f>IFERROR(INDEX('Inputs (2)'!$D$62:$AL$62,MATCH(U$7&amp;"",'Inputs (2)'!$D$2:$AL$2,0)),"")</f>
        <v>860</v>
      </c>
      <c r="V38" s="269">
        <f>IFERROR(INDEX('Inputs (2)'!$D$62:$AL$62,MATCH(V$7&amp;"",'Inputs (2)'!$D$2:$AL$2,0)),"")</f>
        <v>1037</v>
      </c>
      <c r="W38" s="270">
        <f>IF(COUNT(S38:V38)=4,SUM(S38:V38),"")</f>
        <v>3674</v>
      </c>
      <c r="X38" s="269">
        <f>IFERROR(INDEX('Inputs (2)'!$D$62:$AL$62,MATCH(X$7&amp;"",'Inputs (2)'!$D$2:$AL$2,0)),"")</f>
        <v>1111</v>
      </c>
      <c r="Y38" s="269">
        <f>IFERROR(INDEX('Inputs (2)'!$D$62:$AL$62,MATCH(Y$7&amp;"",'Inputs (2)'!$D$2:$AL$2,0)),"")</f>
        <v>1294</v>
      </c>
      <c r="Z38" s="269">
        <f>IFERROR(INDEX('Inputs (2)'!$D$62:$AL$62,MATCH(Z$7&amp;"",'Inputs (2)'!$D$2:$AL$2,0)),"")</f>
        <v>1172</v>
      </c>
      <c r="AA38" s="269">
        <f>IFERROR(INDEX('Inputs (2)'!$D$62:$AL$62,MATCH(AA$7&amp;"",'Inputs (2)'!$D$2:$AL$2,0)),"")</f>
        <v>1052</v>
      </c>
      <c r="AB38" s="270">
        <f>IF(COUNT(X38:AA38)=4,SUM(X38:AA38),"")</f>
        <v>4629</v>
      </c>
      <c r="AC38" s="269">
        <f>IFERROR(INDEX('Inputs (2)'!$D$62:$AL$62,MATCH(AC$7&amp;"",'Inputs (2)'!$D$2:$AL$2,0)),"")</f>
        <v>1025</v>
      </c>
      <c r="AD38" s="269">
        <f>IFERROR(INDEX('Inputs (2)'!$D$62:$AL$62,MATCH(AD$7&amp;"",'Inputs (2)'!$D$2:$AL$2,0)),"")</f>
        <v>1227</v>
      </c>
      <c r="AE38" s="269" t="str">
        <f>IFERROR(INDEX('Inputs (2)'!$D$62:$AL$62,MATCH(AE$7&amp;"",'Inputs (2)'!$D$2:$AL$2,0)),"")</f>
        <v/>
      </c>
      <c r="AF38" s="269" t="str">
        <f>IFERROR(INDEX('Inputs (2)'!$D$62:$AL$62,MATCH(AF$7&amp;"",'Inputs (2)'!$D$2:$AL$2,0)),"")</f>
        <v/>
      </c>
      <c r="AG38" s="270" t="str">
        <f>IF(COUNT(AC38:AF38)=4,SUM(AC38:AF38),"")</f>
        <v/>
      </c>
      <c r="AH38" s="270" t="str">
        <f>IFERROR(INDEX('Inputs (2)'!$D$62:$AL$62,MATCH(AH$7&amp;"",'Inputs (2)'!$D$2:$AL$2,0)),"")</f>
        <v/>
      </c>
      <c r="AI38" s="270" t="str">
        <f>IFERROR(INDEX('Inputs (2)'!$D$62:$AL$62,MATCH(AI$7&amp;"",'Inputs (2)'!$D$2:$AL$2,0)),"")</f>
        <v/>
      </c>
    </row>
    <row r="39">
      <c r="C39" s="268" t="inlineStr">
        <is>
          <t xml:space="preserve">   Lucro operacional CNBU</t>
        </is>
      </c>
      <c r="D39" s="269" t="str">
        <f>IFERROR(INDEX('Inputs (2)'!$D$57:$AL$57,MATCH(D$7&amp;"",'Inputs (2)'!$D$2:$AL$2,0)),"")</f>
        <v/>
      </c>
      <c r="E39" s="269" t="str">
        <f>IFERROR(INDEX('Inputs (2)'!$D$57:$AL$57,MATCH(E$7&amp;"",'Inputs (2)'!$D$2:$AL$2,0)),"")</f>
        <v/>
      </c>
      <c r="F39" s="269" t="str">
        <f>IFERROR(INDEX('Inputs (2)'!$D$57:$AL$57,MATCH(F$7&amp;"",'Inputs (2)'!$D$2:$AL$2,0)),"")</f>
        <v/>
      </c>
      <c r="G39" s="269" t="str">
        <f>IFERROR(INDEX('Inputs (2)'!$D$57:$AL$57,MATCH(G$7&amp;"",'Inputs (2)'!$D$2:$AL$2,0)),"")</f>
        <v/>
      </c>
      <c r="H39" s="270" t="str">
        <f>IF(COUNT(D39:G39)=4,SUM(D39:G39),"")</f>
        <v/>
      </c>
      <c r="I39" s="269">
        <f>IFERROR(INDEX('Inputs (2)'!$D$57:$AL$57,MATCH(I$7&amp;"",'Inputs (2)'!$D$2:$AL$2,0)),"")</f>
        <v>709</v>
      </c>
      <c r="J39" s="269">
        <f>IFERROR(INDEX('Inputs (2)'!$D$57:$AL$57,MATCH(J$7&amp;"",'Inputs (2)'!$D$2:$AL$2,0)),"")</f>
        <v>1342</v>
      </c>
      <c r="K39" s="269">
        <f>IFERROR(INDEX('Inputs (2)'!$D$57:$AL$57,MATCH(K$7&amp;"",'Inputs (2)'!$D$2:$AL$2,0)),"")</f>
        <v>1761</v>
      </c>
      <c r="L39" s="269">
        <f>IFERROR(INDEX('Inputs (2)'!$D$57:$AL$57,MATCH(L$7&amp;"",'Inputs (2)'!$D$2:$AL$2,0)),"")</f>
        <v>1524</v>
      </c>
      <c r="M39" s="270">
        <f>IF(COUNT(I39:L39)=4,SUM(I39:L39),"")</f>
        <v>5336</v>
      </c>
      <c r="N39" s="269">
        <f>IFERROR(INDEX('Inputs (2)'!$D$57:$AL$57,MATCH(N$7&amp;"",'Inputs (2)'!$D$2:$AL$2,0)),"")</f>
        <v>1562</v>
      </c>
      <c r="O39" s="269">
        <f>IFERROR(INDEX('Inputs (2)'!$D$57:$AL$57,MATCH(O$7&amp;"",'Inputs (2)'!$D$2:$AL$2,0)),"")</f>
        <v>1778</v>
      </c>
      <c r="P39" s="269">
        <f>IFERROR(INDEX('Inputs (2)'!$D$57:$AL$57,MATCH(P$7&amp;"",'Inputs (2)'!$D$2:$AL$2,0)),"")</f>
        <v>980</v>
      </c>
      <c r="Q39" s="269">
        <f>IFERROR(INDEX('Inputs (2)'!$D$57:$AL$57,MATCH(Q$7&amp;"",'Inputs (2)'!$D$2:$AL$2,0)),"")</f>
        <v>190</v>
      </c>
      <c r="R39" s="270">
        <f>IF(COUNT(N39:Q39)=4,SUM(N39:Q39),"")</f>
        <v>4510</v>
      </c>
      <c r="S39" s="269">
        <f>IFERROR(INDEX('Inputs (2)'!$D$57:$AL$57,MATCH(S$7&amp;"",'Inputs (2)'!$D$2:$AL$2,0)),"")</f>
        <v>-35</v>
      </c>
      <c r="T39" s="269">
        <f>IFERROR(INDEX('Inputs (2)'!$D$57:$AL$57,MATCH(T$7&amp;"",'Inputs (2)'!$D$2:$AL$2,0)),"")</f>
        <v>-337</v>
      </c>
      <c r="U39" s="269">
        <f>IFERROR(INDEX('Inputs (2)'!$D$57:$AL$57,MATCH(U$7&amp;"",'Inputs (2)'!$D$2:$AL$2,0)),"")</f>
        <v>-403</v>
      </c>
      <c r="V39" s="269">
        <f>IFERROR(INDEX('Inputs (2)'!$D$57:$AL$57,MATCH(V$7&amp;"",'Inputs (2)'!$D$2:$AL$2,0)),"")</f>
        <v>-397</v>
      </c>
      <c r="W39" s="270">
        <f>IF(COUNT(S39:V39)=4,SUM(S39:V39),"")</f>
        <v>-1172</v>
      </c>
      <c r="X39" s="269">
        <f>IFERROR(INDEX('Inputs (2)'!$D$57:$AL$57,MATCH(X$7&amp;"",'Inputs (2)'!$D$2:$AL$2,0)),"")</f>
        <v>28</v>
      </c>
      <c r="Y39" s="269">
        <f>IFERROR(INDEX('Inputs (2)'!$D$57:$AL$57,MATCH(Y$7&amp;"",'Inputs (2)'!$D$2:$AL$2,0)),"")</f>
        <v>442</v>
      </c>
      <c r="Z39" s="269">
        <f>IFERROR(INDEX('Inputs (2)'!$D$57:$AL$57,MATCH(Z$7&amp;"",'Inputs (2)'!$D$2:$AL$2,0)),"")</f>
        <v>907</v>
      </c>
      <c r="AA39" s="269">
        <f>IFERROR(INDEX('Inputs (2)'!$D$57:$AL$57,MATCH(AA$7&amp;"",'Inputs (2)'!$D$2:$AL$2,0)),"")</f>
        <v>1711</v>
      </c>
      <c r="AB39" s="270">
        <f>IF(COUNT(X39:AA39)=4,SUM(X39:AA39),"")</f>
        <v>3088</v>
      </c>
      <c r="AC39" s="269">
        <f>IFERROR(INDEX('Inputs (2)'!$D$57:$AL$57,MATCH(AC$7&amp;"",'Inputs (2)'!$D$2:$AL$2,0)),"")</f>
        <v>1919</v>
      </c>
      <c r="AD39" s="269">
        <f>IFERROR(INDEX('Inputs (2)'!$D$57:$AL$57,MATCH(AD$7&amp;"",'Inputs (2)'!$D$2:$AL$2,0)),"")</f>
        <v>2182</v>
      </c>
      <c r="AE39" s="269" t="str">
        <f>IFERROR(INDEX('Inputs (2)'!$D$57:$AL$57,MATCH(AE$7&amp;"",'Inputs (2)'!$D$2:$AL$2,0)),"")</f>
        <v/>
      </c>
      <c r="AF39" s="269" t="str">
        <f>IFERROR(INDEX('Inputs (2)'!$D$57:$AL$57,MATCH(AF$7&amp;"",'Inputs (2)'!$D$2:$AL$2,0)),"")</f>
        <v/>
      </c>
      <c r="AG39" s="270" t="str">
        <f>IF(COUNT(AC39:AF39)=4,SUM(AC39:AF39),"")</f>
        <v/>
      </c>
      <c r="AH39" s="270" t="str">
        <f>IFERROR(INDEX('Inputs (2)'!$D$57:$AL$57,MATCH(AH$7&amp;"",'Inputs (2)'!$D$2:$AL$2,0)),"")</f>
        <v/>
      </c>
      <c r="AI39" s="270" t="str">
        <f>IFERROR(INDEX('Inputs (2)'!$D$57:$AL$57,MATCH(AI$7&amp;"",'Inputs (2)'!$D$2:$AL$2,0)),"")</f>
        <v/>
      </c>
    </row>
    <row r="40">
      <c r="C40" s="268" t="inlineStr">
        <is>
          <t xml:space="preserve">   Lucro operacional MBU</t>
        </is>
      </c>
      <c r="D40" s="269" t="str">
        <f>IFERROR(INDEX('Inputs (2)'!$D$59:$AL$59,MATCH(D$7&amp;"",'Inputs (2)'!$D$2:$AL$2,0)),"")</f>
        <v/>
      </c>
      <c r="E40" s="269" t="str">
        <f>IFERROR(INDEX('Inputs (2)'!$D$59:$AL$59,MATCH(E$7&amp;"",'Inputs (2)'!$D$2:$AL$2,0)),"")</f>
        <v/>
      </c>
      <c r="F40" s="269" t="str">
        <f>IFERROR(INDEX('Inputs (2)'!$D$59:$AL$59,MATCH(F$7&amp;"",'Inputs (2)'!$D$2:$AL$2,0)),"")</f>
        <v/>
      </c>
      <c r="G40" s="269" t="str">
        <f>IFERROR(INDEX('Inputs (2)'!$D$59:$AL$59,MATCH(G$7&amp;"",'Inputs (2)'!$D$2:$AL$2,0)),"")</f>
        <v/>
      </c>
      <c r="H40" s="270" t="str">
        <f>IF(COUNT(D40:G40)=4,SUM(D40:G40),"")</f>
        <v/>
      </c>
      <c r="I40" s="269">
        <f>IFERROR(INDEX('Inputs (2)'!$D$59:$AL$59,MATCH(I$7&amp;"",'Inputs (2)'!$D$2:$AL$2,0)),"")</f>
        <v>464</v>
      </c>
      <c r="J40" s="269">
        <f>IFERROR(INDEX('Inputs (2)'!$D$59:$AL$59,MATCH(J$7&amp;"",'Inputs (2)'!$D$2:$AL$2,0)),"")</f>
        <v>683</v>
      </c>
      <c r="K40" s="269">
        <f>IFERROR(INDEX('Inputs (2)'!$D$59:$AL$59,MATCH(K$7&amp;"",'Inputs (2)'!$D$2:$AL$2,0)),"")</f>
        <v>656</v>
      </c>
      <c r="L40" s="269">
        <f>IFERROR(INDEX('Inputs (2)'!$D$59:$AL$59,MATCH(L$7&amp;"",'Inputs (2)'!$D$2:$AL$2,0)),"")</f>
        <v>624</v>
      </c>
      <c r="M40" s="270">
        <f>IF(COUNT(I40:L40)=4,SUM(I40:L40),"")</f>
        <v>2427</v>
      </c>
      <c r="N40" s="269">
        <f>IFERROR(INDEX('Inputs (2)'!$D$59:$AL$59,MATCH(N$7&amp;"",'Inputs (2)'!$D$2:$AL$2,0)),"")</f>
        <v>588</v>
      </c>
      <c r="O40" s="269">
        <f>IFERROR(INDEX('Inputs (2)'!$D$59:$AL$59,MATCH(O$7&amp;"",'Inputs (2)'!$D$2:$AL$2,0)),"")</f>
        <v>640</v>
      </c>
      <c r="P40" s="269">
        <f>IFERROR(INDEX('Inputs (2)'!$D$59:$AL$59,MATCH(P$7&amp;"",'Inputs (2)'!$D$2:$AL$2,0)),"")</f>
        <v>308</v>
      </c>
      <c r="Q40" s="269">
        <f>IFERROR(INDEX('Inputs (2)'!$D$59:$AL$59,MATCH(Q$7&amp;"",'Inputs (2)'!$D$2:$AL$2,0)),"")</f>
        <v>-195</v>
      </c>
      <c r="R40" s="270">
        <f>IF(COUNT(N40:Q40)=4,SUM(N40:Q40),"")</f>
        <v>1341</v>
      </c>
      <c r="S40" s="269">
        <f>IFERROR(INDEX('Inputs (2)'!$D$59:$AL$59,MATCH(S$7&amp;"",'Inputs (2)'!$D$2:$AL$2,0)),"")</f>
        <v>-344</v>
      </c>
      <c r="T40" s="269">
        <f>IFERROR(INDEX('Inputs (2)'!$D$59:$AL$59,MATCH(T$7&amp;"",'Inputs (2)'!$D$2:$AL$2,0)),"")</f>
        <v>-478</v>
      </c>
      <c r="U40" s="269">
        <f>IFERROR(INDEX('Inputs (2)'!$D$59:$AL$59,MATCH(U$7&amp;"",'Inputs (2)'!$D$2:$AL$2,0)),"")</f>
        <v>-733</v>
      </c>
      <c r="V40" s="269">
        <f>IFERROR(INDEX('Inputs (2)'!$D$59:$AL$59,MATCH(V$7&amp;"",'Inputs (2)'!$D$2:$AL$2,0)),"")</f>
        <v>-687</v>
      </c>
      <c r="W40" s="270">
        <f>IF(COUNT(S40:V40)=4,SUM(S40:V40),"")</f>
        <v>-2242</v>
      </c>
      <c r="X40" s="269">
        <f>IFERROR(INDEX('Inputs (2)'!$D$59:$AL$59,MATCH(X$7&amp;"",'Inputs (2)'!$D$2:$AL$2,0)),"")</f>
        <v>-9</v>
      </c>
      <c r="Y40" s="269">
        <f>IFERROR(INDEX('Inputs (2)'!$D$59:$AL$59,MATCH(Y$7&amp;"",'Inputs (2)'!$D$2:$AL$2,0)),"")</f>
        <v>301</v>
      </c>
      <c r="Z40" s="269">
        <f>IFERROR(INDEX('Inputs (2)'!$D$59:$AL$59,MATCH(Z$7&amp;"",'Inputs (2)'!$D$2:$AL$2,0)),"")</f>
        <v>509</v>
      </c>
      <c r="AA40" s="269">
        <f>IFERROR(INDEX('Inputs (2)'!$D$59:$AL$59,MATCH(AA$7&amp;"",'Inputs (2)'!$D$2:$AL$2,0)),"")</f>
        <v>327</v>
      </c>
      <c r="AB40" s="270">
        <f>IF(COUNT(X40:AA40)=4,SUM(X40:AA40),"")</f>
        <v>1128</v>
      </c>
      <c r="AC40" s="269">
        <f>IFERROR(INDEX('Inputs (2)'!$D$59:$AL$59,MATCH(AC$7&amp;"",'Inputs (2)'!$D$2:$AL$2,0)),"")</f>
        <v>60</v>
      </c>
      <c r="AD40" s="269">
        <f>IFERROR(INDEX('Inputs (2)'!$D$59:$AL$59,MATCH(AD$7&amp;"",'Inputs (2)'!$D$2:$AL$2,0)),"")</f>
        <v>217</v>
      </c>
      <c r="AE40" s="269" t="str">
        <f>IFERROR(INDEX('Inputs (2)'!$D$59:$AL$59,MATCH(AE$7&amp;"",'Inputs (2)'!$D$2:$AL$2,0)),"")</f>
        <v/>
      </c>
      <c r="AF40" s="269" t="str">
        <f>IFERROR(INDEX('Inputs (2)'!$D$59:$AL$59,MATCH(AF$7&amp;"",'Inputs (2)'!$D$2:$AL$2,0)),"")</f>
        <v/>
      </c>
      <c r="AG40" s="270" t="str">
        <f>IF(COUNT(AC40:AF40)=4,SUM(AC40:AF40),"")</f>
        <v/>
      </c>
      <c r="AH40" s="270" t="str">
        <f>IFERROR(INDEX('Inputs (2)'!$D$59:$AL$59,MATCH(AH$7&amp;"",'Inputs (2)'!$D$2:$AL$2,0)),"")</f>
        <v/>
      </c>
      <c r="AI40" s="270" t="str">
        <f>IFERROR(INDEX('Inputs (2)'!$D$59:$AL$59,MATCH(AI$7&amp;"",'Inputs (2)'!$D$2:$AL$2,0)),"")</f>
        <v/>
      </c>
    </row>
    <row r="41">
      <c r="C41" s="268" t="inlineStr">
        <is>
          <t xml:space="preserve">   Lucro operacional SBU</t>
        </is>
      </c>
      <c r="D41" s="269" t="str">
        <f>IFERROR(INDEX('Inputs (2)'!$D$61:$AL$61,MATCH(D$7&amp;"",'Inputs (2)'!$D$2:$AL$2,0)),"")</f>
        <v/>
      </c>
      <c r="E41" s="269" t="str">
        <f>IFERROR(INDEX('Inputs (2)'!$D$61:$AL$61,MATCH(E$7&amp;"",'Inputs (2)'!$D$2:$AL$2,0)),"")</f>
        <v/>
      </c>
      <c r="F41" s="269" t="str">
        <f>IFERROR(INDEX('Inputs (2)'!$D$61:$AL$61,MATCH(F$7&amp;"",'Inputs (2)'!$D$2:$AL$2,0)),"")</f>
        <v/>
      </c>
      <c r="G41" s="269" t="str">
        <f>IFERROR(INDEX('Inputs (2)'!$D$61:$AL$61,MATCH(G$7&amp;"",'Inputs (2)'!$D$2:$AL$2,0)),"")</f>
        <v/>
      </c>
      <c r="H41" s="270" t="str">
        <f>IF(COUNT(D41:G41)=4,SUM(D41:G41),"")</f>
        <v/>
      </c>
      <c r="I41" s="269">
        <f>IFERROR(INDEX('Inputs (2)'!$D$61:$AL$61,MATCH(I$7&amp;"",'Inputs (2)'!$D$2:$AL$2,0)),"")</f>
        <v>-59</v>
      </c>
      <c r="J41" s="269">
        <f>IFERROR(INDEX('Inputs (2)'!$D$61:$AL$61,MATCH(J$7&amp;"",'Inputs (2)'!$D$2:$AL$2,0)),"")</f>
        <v>53</v>
      </c>
      <c r="K41" s="269">
        <f>IFERROR(INDEX('Inputs (2)'!$D$61:$AL$61,MATCH(K$7&amp;"",'Inputs (2)'!$D$2:$AL$2,0)),"")</f>
        <v>175</v>
      </c>
      <c r="L41" s="269">
        <f>IFERROR(INDEX('Inputs (2)'!$D$61:$AL$61,MATCH(L$7&amp;"",'Inputs (2)'!$D$2:$AL$2,0)),"")</f>
        <v>152</v>
      </c>
      <c r="M41" s="270">
        <f>IF(COUNT(I41:L41)=4,SUM(I41:L41),"")</f>
        <v>321</v>
      </c>
      <c r="N41" s="269">
        <f>IFERROR(INDEX('Inputs (2)'!$D$61:$AL$61,MATCH(N$7&amp;"",'Inputs (2)'!$D$2:$AL$2,0)),"")</f>
        <v>178</v>
      </c>
      <c r="O41" s="269">
        <f>IFERROR(INDEX('Inputs (2)'!$D$61:$AL$61,MATCH(O$7&amp;"",'Inputs (2)'!$D$2:$AL$2,0)),"")</f>
        <v>221</v>
      </c>
      <c r="P41" s="269">
        <f>IFERROR(INDEX('Inputs (2)'!$D$61:$AL$61,MATCH(P$7&amp;"",'Inputs (2)'!$D$2:$AL$2,0)),"")</f>
        <v>-38</v>
      </c>
      <c r="Q41" s="269">
        <f>IFERROR(INDEX('Inputs (2)'!$D$61:$AL$61,MATCH(Q$7&amp;"",'Inputs (2)'!$D$2:$AL$2,0)),"")</f>
        <v>-257</v>
      </c>
      <c r="R41" s="270">
        <f>IF(COUNT(N41:Q41)=4,SUM(N41:Q41),"")</f>
        <v>104</v>
      </c>
      <c r="S41" s="269">
        <f>IFERROR(INDEX('Inputs (2)'!$D$61:$AL$61,MATCH(S$7&amp;"",'Inputs (2)'!$D$2:$AL$2,0)),"")</f>
        <v>-357</v>
      </c>
      <c r="T41" s="269">
        <f>IFERROR(INDEX('Inputs (2)'!$D$61:$AL$61,MATCH(T$7&amp;"",'Inputs (2)'!$D$2:$AL$2,0)),"")</f>
        <v>-601</v>
      </c>
      <c r="U41" s="269">
        <f>IFERROR(INDEX('Inputs (2)'!$D$61:$AL$61,MATCH(U$7&amp;"",'Inputs (2)'!$D$2:$AL$2,0)),"")</f>
        <v>-672</v>
      </c>
      <c r="V41" s="269">
        <f>IFERROR(INDEX('Inputs (2)'!$D$61:$AL$61,MATCH(V$7&amp;"",'Inputs (2)'!$D$2:$AL$2,0)),"")</f>
        <v>-490</v>
      </c>
      <c r="W41" s="270">
        <f>IF(COUNT(S41:V41)=4,SUM(S41:V41),"")</f>
        <v>-2120</v>
      </c>
      <c r="X41" s="269">
        <f>IFERROR(INDEX('Inputs (2)'!$D$61:$AL$61,MATCH(X$7&amp;"",'Inputs (2)'!$D$2:$AL$2,0)),"")</f>
        <v>-217</v>
      </c>
      <c r="Y41" s="269">
        <f>IFERROR(INDEX('Inputs (2)'!$D$61:$AL$61,MATCH(Y$7&amp;"",'Inputs (2)'!$D$2:$AL$2,0)),"")</f>
        <v>76</v>
      </c>
      <c r="Z41" s="269">
        <f>IFERROR(INDEX('Inputs (2)'!$D$61:$AL$61,MATCH(Z$7&amp;"",'Inputs (2)'!$D$2:$AL$2,0)),"")</f>
        <v>269</v>
      </c>
      <c r="AA41" s="269">
        <f>IFERROR(INDEX('Inputs (2)'!$D$61:$AL$61,MATCH(AA$7&amp;"",'Inputs (2)'!$D$2:$AL$2,0)),"")</f>
        <v>347</v>
      </c>
      <c r="AB41" s="270">
        <f>IF(COUNT(X41:AA41)=4,SUM(X41:AA41),"")</f>
        <v>475</v>
      </c>
      <c r="AC41" s="269">
        <f>IFERROR(INDEX('Inputs (2)'!$D$61:$AL$61,MATCH(AC$7&amp;"",'Inputs (2)'!$D$2:$AL$2,0)),"")</f>
        <v>24</v>
      </c>
      <c r="AD41" s="269">
        <f>IFERROR(INDEX('Inputs (2)'!$D$61:$AL$61,MATCH(AD$7&amp;"",'Inputs (2)'!$D$2:$AL$2,0)),"")</f>
        <v>-9</v>
      </c>
      <c r="AE41" s="269" t="str">
        <f>IFERROR(INDEX('Inputs (2)'!$D$61:$AL$61,MATCH(AE$7&amp;"",'Inputs (2)'!$D$2:$AL$2,0)),"")</f>
        <v/>
      </c>
      <c r="AF41" s="269" t="str">
        <f>IFERROR(INDEX('Inputs (2)'!$D$61:$AL$61,MATCH(AF$7&amp;"",'Inputs (2)'!$D$2:$AL$2,0)),"")</f>
        <v/>
      </c>
      <c r="AG41" s="270" t="str">
        <f>IF(COUNT(AC41:AF41)=4,SUM(AC41:AF41),"")</f>
        <v/>
      </c>
      <c r="AH41" s="270" t="str">
        <f>IFERROR(INDEX('Inputs (2)'!$D$61:$AL$61,MATCH(AH$7&amp;"",'Inputs (2)'!$D$2:$AL$2,0)),"")</f>
        <v/>
      </c>
      <c r="AI41" s="270" t="str">
        <f>IFERROR(INDEX('Inputs (2)'!$D$61:$AL$61,MATCH(AI$7&amp;"",'Inputs (2)'!$D$2:$AL$2,0)),"")</f>
        <v/>
      </c>
    </row>
    <row r="42">
      <c r="C42" s="268" t="inlineStr">
        <is>
          <t xml:space="preserve">   Lucro operacional EBU</t>
        </is>
      </c>
      <c r="D42" s="269" t="str">
        <f>IFERROR(INDEX('Inputs (2)'!$D$63:$AL$63,MATCH(D$7&amp;"",'Inputs (2)'!$D$2:$AL$2,0)),"")</f>
        <v/>
      </c>
      <c r="E42" s="269" t="str">
        <f>IFERROR(INDEX('Inputs (2)'!$D$63:$AL$63,MATCH(E$7&amp;"",'Inputs (2)'!$D$2:$AL$2,0)),"")</f>
        <v/>
      </c>
      <c r="F42" s="269" t="str">
        <f>IFERROR(INDEX('Inputs (2)'!$D$63:$AL$63,MATCH(F$7&amp;"",'Inputs (2)'!$D$2:$AL$2,0)),"")</f>
        <v/>
      </c>
      <c r="G42" s="269" t="str">
        <f>IFERROR(INDEX('Inputs (2)'!$D$63:$AL$63,MATCH(G$7&amp;"",'Inputs (2)'!$D$2:$AL$2,0)),"")</f>
        <v/>
      </c>
      <c r="H42" s="270" t="str">
        <f>IF(COUNT(D42:G42)=4,SUM(D42:G42),"")</f>
        <v/>
      </c>
      <c r="I42" s="269">
        <f>IFERROR(INDEX('Inputs (2)'!$D$63:$AL$63,MATCH(I$7&amp;"",'Inputs (2)'!$D$2:$AL$2,0)),"")</f>
        <v>141</v>
      </c>
      <c r="J42" s="269">
        <f>IFERROR(INDEX('Inputs (2)'!$D$63:$AL$63,MATCH(J$7&amp;"",'Inputs (2)'!$D$2:$AL$2,0)),"")</f>
        <v>282</v>
      </c>
      <c r="K42" s="269">
        <f>IFERROR(INDEX('Inputs (2)'!$D$63:$AL$63,MATCH(K$7&amp;"",'Inputs (2)'!$D$2:$AL$2,0)),"")</f>
        <v>467</v>
      </c>
      <c r="L42" s="269">
        <f>IFERROR(INDEX('Inputs (2)'!$D$63:$AL$63,MATCH(L$7&amp;"",'Inputs (2)'!$D$2:$AL$2,0)),"")</f>
        <v>422</v>
      </c>
      <c r="M42" s="270">
        <f>IF(COUNT(I42:L42)=4,SUM(I42:L42),"")</f>
        <v>1312</v>
      </c>
      <c r="N42" s="269">
        <f>IFERROR(INDEX('Inputs (2)'!$D$63:$AL$63,MATCH(N$7&amp;"",'Inputs (2)'!$D$2:$AL$2,0)),"")</f>
        <v>421</v>
      </c>
      <c r="O42" s="269">
        <f>IFERROR(INDEX('Inputs (2)'!$D$63:$AL$63,MATCH(O$7&amp;"",'Inputs (2)'!$D$2:$AL$2,0)),"")</f>
        <v>504</v>
      </c>
      <c r="P42" s="269">
        <f>IFERROR(INDEX('Inputs (2)'!$D$63:$AL$63,MATCH(P$7&amp;"",'Inputs (2)'!$D$2:$AL$2,0)),"")</f>
        <v>405</v>
      </c>
      <c r="Q42" s="269">
        <f>IFERROR(INDEX('Inputs (2)'!$D$63:$AL$63,MATCH(Q$7&amp;"",'Inputs (2)'!$D$2:$AL$2,0)),"")</f>
        <v>194</v>
      </c>
      <c r="R42" s="270">
        <f>IF(COUNT(N42:Q42)=4,SUM(N42:Q42),"")</f>
        <v>1524</v>
      </c>
      <c r="S42" s="269">
        <f>IFERROR(INDEX('Inputs (2)'!$D$63:$AL$63,MATCH(S$7&amp;"",'Inputs (2)'!$D$2:$AL$2,0)),"")</f>
        <v>88</v>
      </c>
      <c r="T42" s="269">
        <f>IFERROR(INDEX('Inputs (2)'!$D$63:$AL$63,MATCH(T$7&amp;"",'Inputs (2)'!$D$2:$AL$2,0)),"")</f>
        <v>65</v>
      </c>
      <c r="U42" s="269">
        <f>IFERROR(INDEX('Inputs (2)'!$D$63:$AL$63,MATCH(U$7&amp;"",'Inputs (2)'!$D$2:$AL$2,0)),"")</f>
        <v>35</v>
      </c>
      <c r="V42" s="269">
        <f>IFERROR(INDEX('Inputs (2)'!$D$63:$AL$63,MATCH(V$7&amp;"",'Inputs (2)'!$D$2:$AL$2,0)),"")</f>
        <v>10</v>
      </c>
      <c r="W42" s="270">
        <f>IF(COUNT(S42:V42)=4,SUM(S42:V42),"")</f>
        <v>198</v>
      </c>
      <c r="X42" s="269">
        <f>IFERROR(INDEX('Inputs (2)'!$D$63:$AL$63,MATCH(X$7&amp;"",'Inputs (2)'!$D$2:$AL$2,0)),"")</f>
        <v>-1</v>
      </c>
      <c r="Y42" s="269">
        <f>IFERROR(INDEX('Inputs (2)'!$D$63:$AL$63,MATCH(Y$7&amp;"",'Inputs (2)'!$D$2:$AL$2,0)),"")</f>
        <v>124</v>
      </c>
      <c r="Z42" s="269">
        <f>IFERROR(INDEX('Inputs (2)'!$D$63:$AL$63,MATCH(Z$7&amp;"",'Inputs (2)'!$D$2:$AL$2,0)),"")</f>
        <v>66</v>
      </c>
      <c r="AA42" s="269">
        <f>IFERROR(INDEX('Inputs (2)'!$D$63:$AL$63,MATCH(AA$7&amp;"",'Inputs (2)'!$D$2:$AL$2,0)),"")</f>
        <v>11</v>
      </c>
      <c r="AB42" s="270">
        <f>IF(COUNT(X42:AA42)=4,SUM(X42:AA42),"")</f>
        <v>200</v>
      </c>
      <c r="AC42" s="269">
        <f>IFERROR(INDEX('Inputs (2)'!$D$63:$AL$63,MATCH(AC$7&amp;"",'Inputs (2)'!$D$2:$AL$2,0)),"")</f>
        <v>3</v>
      </c>
      <c r="AD42" s="269">
        <f>IFERROR(INDEX('Inputs (2)'!$D$63:$AL$63,MATCH(AD$7&amp;"",'Inputs (2)'!$D$2:$AL$2,0)),"")</f>
        <v>98</v>
      </c>
      <c r="AE42" s="269" t="str">
        <f>IFERROR(INDEX('Inputs (2)'!$D$63:$AL$63,MATCH(AE$7&amp;"",'Inputs (2)'!$D$2:$AL$2,0)),"")</f>
        <v/>
      </c>
      <c r="AF42" s="269" t="str">
        <f>IFERROR(INDEX('Inputs (2)'!$D$63:$AL$63,MATCH(AF$7&amp;"",'Inputs (2)'!$D$2:$AL$2,0)),"")</f>
        <v/>
      </c>
      <c r="AG42" s="270" t="str">
        <f>IF(COUNT(AC42:AF42)=4,SUM(AC42:AF42),"")</f>
        <v/>
      </c>
      <c r="AH42" s="270" t="str">
        <f>IFERROR(INDEX('Inputs (2)'!$D$63:$AL$63,MATCH(AH$7&amp;"",'Inputs (2)'!$D$2:$AL$2,0)),"")</f>
        <v/>
      </c>
      <c r="AI42" s="270" t="str">
        <f>IFERROR(INDEX('Inputs (2)'!$D$63:$AL$63,MATCH(AI$7&amp;"",'Inputs (2)'!$D$2:$AL$2,0)),"")</f>
        <v/>
      </c>
    </row>
    <row r="43">
      <c r="C43" s="268" t="inlineStr">
        <is>
          <t xml:space="preserve">   Margem operacional CNBU</t>
        </is>
      </c>
      <c r="D43" s="272" t="str">
        <f>IFERROR(D39/D35,"")</f>
        <v/>
      </c>
      <c r="E43" s="272" t="str">
        <f>IFERROR(E39/E35,"")</f>
        <v/>
      </c>
      <c r="F43" s="272" t="str">
        <f>IFERROR(F39/F35,"")</f>
        <v/>
      </c>
      <c r="G43" s="272" t="str">
        <f>IFERROR(G39/G35,"")</f>
        <v/>
      </c>
      <c r="H43" s="273" t="str">
        <f>IFERROR(H39/H35,"")</f>
        <v/>
      </c>
      <c r="I43" s="272">
        <f>IFERROR(I39/I35,"")</f>
        <v>0.26896813353566</v>
      </c>
      <c r="J43" s="272">
        <f>IFERROR(J39/J35,"")</f>
        <v>0.406174334140436</v>
      </c>
      <c r="K43" s="272">
        <f>IFERROR(K39/K35,"")</f>
        <v>0.464153927253558</v>
      </c>
      <c r="L43" s="272">
        <f>IFERROR(L39/L35,"")</f>
        <v>0.447445684086905</v>
      </c>
      <c r="M43" s="273">
        <f>IFERROR(M39/M35,"")</f>
        <v>0.406088280060883</v>
      </c>
      <c r="N43" s="272">
        <f>IFERROR(N39/N35,"")</f>
        <v>0.451314648945392</v>
      </c>
      <c r="O43" s="272">
        <f>IFERROR(O39/O35,"")</f>
        <v>0.456482670089859</v>
      </c>
      <c r="P43" s="272">
        <f>IFERROR(P39/P35,"")</f>
        <v>0.334356874786762</v>
      </c>
      <c r="Q43" s="272">
        <f>IFERROR(Q39/Q35,"")</f>
        <v>0.108820160366552</v>
      </c>
      <c r="R43" s="273">
        <f>IFERROR(R39/R35,"")</f>
        <v>0.374802626111527</v>
      </c>
      <c r="S43" s="272">
        <f>IFERROR(S39/S35,"")</f>
        <v>-0.0254545454545455</v>
      </c>
      <c r="T43" s="272">
        <f>IFERROR(T39/T35,"")</f>
        <v>-0.242620590352772</v>
      </c>
      <c r="U43" s="272">
        <f>IFERROR(U39/U35,"")</f>
        <v>-0.335833333333333</v>
      </c>
      <c r="V43" s="272">
        <f>IFERROR(V39/V35,"")</f>
        <v>-0.228554979850317</v>
      </c>
      <c r="W43" s="273">
        <f>IFERROR(W39/W35,"")</f>
        <v>-0.205577968777407</v>
      </c>
      <c r="X43" s="272">
        <f>IFERROR(X39/X35,"")</f>
        <v>0.0128146453089245</v>
      </c>
      <c r="Y43" s="272">
        <f>IFERROR(Y39/Y35,"")</f>
        <v>0.17178390983288</v>
      </c>
      <c r="Z43" s="272">
        <f>IFERROR(Z39/Z35,"")</f>
        <v>0.30053015241882</v>
      </c>
      <c r="AA43" s="272">
        <f>IFERROR(AA39/AA35,"")</f>
        <v>0.389306029579067</v>
      </c>
      <c r="AB43" s="273">
        <f>IFERROR(AB39/AB35,"")</f>
        <v>0.253717853915044</v>
      </c>
      <c r="AC43" s="272">
        <f>IFERROR(AC39/AC35,"")</f>
        <v>0.420464504820333</v>
      </c>
      <c r="AD43" s="272">
        <f>IFERROR(AD39/AD35,"")</f>
        <v>0.430459656737029</v>
      </c>
      <c r="AE43" s="272" t="str">
        <f>IFERROR(AE39/AE35,"")</f>
        <v/>
      </c>
      <c r="AF43" s="272" t="str">
        <f>IFERROR(AF39/AF35,"")</f>
        <v/>
      </c>
      <c r="AG43" s="273" t="str">
        <f>IFERROR(AG39/AG35,"")</f>
        <v/>
      </c>
      <c r="AH43" s="273" t="str">
        <f>IFERROR(AH39/AH35,"")</f>
        <v/>
      </c>
      <c r="AI43" s="273" t="str">
        <f>IFERROR(AI39/AI35,"")</f>
        <v/>
      </c>
    </row>
    <row r="44"/>
    <row r="45"/>
    <row r="46"/>
    <row r="47"/>
    <row r="48" hidden="1" outlineLevel="1" customFormat="1" s="43">
      <c r="A48" s="36" t="n"/>
      <c r="B48" s="37" t="n"/>
      <c r="C48" s="45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  <c r="BC48" s="39" t="n"/>
      <c r="BD48" s="39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</row>
    <row r="49" hidden="1" outlineLevel="1" customFormat="1" s="43">
      <c r="A49" s="36" t="n"/>
      <c r="B49" s="37" t="n"/>
      <c r="C49" s="45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  <c r="BC49" s="39" t="n"/>
      <c r="BD49" s="39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39" t="n"/>
      <c r="BQ49" s="39" t="n"/>
      <c r="BR49" s="39" t="n"/>
      <c r="BS49" s="39" t="n"/>
      <c r="BT49" s="39" t="n"/>
      <c r="BU49" s="39" t="n"/>
      <c r="BV49" s="39" t="n"/>
      <c r="BW49" s="39" t="n"/>
      <c r="BX49" s="39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39" t="n"/>
      <c r="CH49" s="39" t="n"/>
      <c r="CI49" s="39" t="n"/>
      <c r="CJ49" s="39" t="n"/>
      <c r="CK49" s="39" t="n"/>
      <c r="CL49" s="39" t="n"/>
      <c r="CM49" s="39" t="n"/>
      <c r="CN49" s="39" t="n"/>
      <c r="CO49" s="39" t="n"/>
      <c r="CP49" s="39" t="n"/>
      <c r="CQ49" s="39" t="n"/>
      <c r="CR49" s="39" t="n"/>
      <c r="CS49" s="39" t="n"/>
      <c r="CT49" s="39" t="n"/>
      <c r="CU49" s="39" t="n"/>
      <c r="CV49" s="39" t="n"/>
      <c r="CW49" s="39" t="n"/>
      <c r="CX49" s="39" t="n"/>
      <c r="CY49" s="39" t="n"/>
    </row>
    <row r="50" collapsed="1">
      <c r="C50" s="13" t="inlineStr">
        <is>
          <t>COGS (cash)</t>
        </is>
      </c>
      <c r="D50" s="46" t="n"/>
      <c r="E50" s="46" t="n"/>
      <c r="F50" s="46" t="n"/>
      <c r="G50" s="46" t="n"/>
      <c r="H50" s="12" t="n"/>
      <c r="I50" s="46">
        <f>'Inputs (2)'!D5</f>
        <v>-4587</v>
      </c>
      <c r="J50" s="46">
        <f>'Inputs (2)'!E5</f>
        <v>-4296</v>
      </c>
      <c r="K50" s="46">
        <f>'Inputs (2)'!F5</f>
        <v>-4362</v>
      </c>
      <c r="L50" s="46">
        <f>'Inputs (2)'!G5</f>
        <v>-4122</v>
      </c>
      <c r="M50" s="12">
        <f>'Inputs (2)'!H5</f>
        <v>-17367</v>
      </c>
      <c r="N50" s="46">
        <f>'Inputs (2)'!I5</f>
        <v>-4110</v>
      </c>
      <c r="O50" s="46">
        <f>'Inputs (2)'!J5</f>
        <v>-4607</v>
      </c>
      <c r="P50" s="46">
        <f>'Inputs (2)'!K5</f>
        <v>-4021</v>
      </c>
      <c r="Q50" s="46">
        <f>'Inputs (2)'!L5</f>
        <v>-3192</v>
      </c>
      <c r="R50" s="12">
        <f>'Inputs (2)'!M5</f>
        <v>-15930</v>
      </c>
      <c r="S50" s="46">
        <f>'Inputs (2)'!N5</f>
        <v>-4899</v>
      </c>
      <c r="T50" s="46">
        <f>'Inputs (2)'!O5</f>
        <v>-4420</v>
      </c>
      <c r="U50" s="46">
        <f>'Inputs (2)'!P5</f>
        <v>-4445</v>
      </c>
      <c r="V50" s="46">
        <f>'Inputs (2)'!Q5</f>
        <v>-4761</v>
      </c>
      <c r="W50" s="12">
        <f>'Inputs (2)'!R5</f>
        <v>-18525</v>
      </c>
      <c r="X50" s="46">
        <f>'Inputs (2)'!S5</f>
        <v>-4745</v>
      </c>
      <c r="Y50" s="46">
        <f>'Inputs (2)'!T5</f>
        <v>-4979</v>
      </c>
      <c r="Z50" s="46">
        <f>'Inputs (2)'!U5</f>
        <v>-5013</v>
      </c>
      <c r="AA50" s="46">
        <f>'Inputs (2)'!V5</f>
        <v>-5361</v>
      </c>
      <c r="AB50" s="12">
        <f>'Inputs (2)'!W5</f>
        <v>-20098</v>
      </c>
      <c r="AC50" s="46">
        <f>'Inputs (2)'!X5</f>
        <v>-5090</v>
      </c>
      <c r="AD50" s="46">
        <f>'Inputs (2)'!Y5</f>
        <v>-5793</v>
      </c>
      <c r="AE50" s="46">
        <f>'Inputs (2)'!Z5</f>
        <v>-6261</v>
      </c>
      <c r="AF50" s="46">
        <f>'Inputs (2)'!AA5</f>
        <v>-5997</v>
      </c>
      <c r="AG50" s="12">
        <f>'Inputs (2)'!AB5</f>
        <v>-23141</v>
      </c>
      <c r="AH50" s="12">
        <f>'Inputs (2)'!AC5</f>
        <v>-6105</v>
      </c>
      <c r="AI50" s="12">
        <f>'Inputs (2)'!AD5</f>
        <v>-6400</v>
      </c>
      <c r="AJ50" s="12">
        <f>-(1-AJ51)*AJ15</f>
        <v>-11023.5246188903</v>
      </c>
      <c r="AK50" s="12">
        <f>-(1-AK51)*AK15</f>
        <v>-13291.5551370323</v>
      </c>
      <c r="AL50" s="12">
        <f>SUM(AH50:AK50)</f>
        <v>-36820.0797559226</v>
      </c>
      <c r="AM50" s="12">
        <f>-(1-AM51)*AM15</f>
        <v>-23245.3643311288</v>
      </c>
      <c r="AN50" s="12">
        <f>-(1-AN51)*AN15</f>
        <v>-40388.0898454013</v>
      </c>
      <c r="AO50" s="12">
        <f>-(1-AO51)*AO15</f>
        <v>-24242.3441432924</v>
      </c>
      <c r="AP50" s="12">
        <f>-(1-AP51)*AP15</f>
        <v>-29230.0752228845</v>
      </c>
      <c r="AQ50" s="12">
        <f>SUM(AM50:AP50)</f>
        <v>-117105.873542707</v>
      </c>
      <c r="AR50" s="12">
        <f>-(1-AR51)*AR15</f>
        <v>-51003.7317518271</v>
      </c>
      <c r="AS50" s="12">
        <f>-(1-AS51)*AS15</f>
        <v>-88617.3807000731</v>
      </c>
      <c r="AT50" s="12">
        <f>-(1-AT51)*AT15</f>
        <v>-53191.251387021</v>
      </c>
      <c r="AU50" s="12">
        <f>-(1-AU51)*AU15</f>
        <v>-64135.0634267014</v>
      </c>
      <c r="AV50" s="12">
        <f>SUM(AR50:AU50)</f>
        <v>-256947.427265623</v>
      </c>
      <c r="AW50" s="12">
        <f>-(1-AW51)*AW15</f>
        <v>-111654.634188829</v>
      </c>
      <c r="AX50" s="12">
        <f>-(1-AX51)*AX15</f>
        <v>-193996.417222636</v>
      </c>
      <c r="AY50" s="12">
        <f>-(1-AY51)*AY15</f>
        <v>-116443.434856139</v>
      </c>
      <c r="AZ50" s="12">
        <f>-(1-AZ51)*AZ15</f>
        <v>-140401.041249872</v>
      </c>
      <c r="BA50" s="12">
        <f>SUM(AW50:AZ50)</f>
        <v>-562495.527517477</v>
      </c>
      <c r="BB50" s="12">
        <f>-(1-BB51)*BB15</f>
        <v>-243870.063886856</v>
      </c>
      <c r="BC50" s="12">
        <f>-(1-BC51)*BC15</f>
        <v>-423716.570347591</v>
      </c>
      <c r="BD50" s="12">
        <f>-(1-BD51)*BD15</f>
        <v>-254329.505477998</v>
      </c>
      <c r="BE50" s="12">
        <f>-(1-BE51)*BE15</f>
        <v>-306656.424501664</v>
      </c>
      <c r="BF50" s="12">
        <f>SUM(BB50:BE50)</f>
        <v>-1228572.56421411</v>
      </c>
      <c r="BG50" s="12" t="n"/>
      <c r="BH50" s="12" t="n"/>
      <c r="BI50" s="12" t="n"/>
      <c r="BJ50" s="12" t="n"/>
      <c r="BK50" s="12" t="n"/>
      <c r="BL50" s="12" t="n"/>
      <c r="BM50" s="12" t="n"/>
      <c r="BN50" s="12" t="n"/>
      <c r="BO50" s="12" t="n"/>
      <c r="BP50" s="12" t="n"/>
      <c r="BQ50" s="12" t="n"/>
      <c r="BR50" s="12" t="n"/>
      <c r="BS50" s="12" t="n"/>
      <c r="BT50" s="12" t="n"/>
      <c r="BU50" s="12" t="n"/>
      <c r="BV50" s="12" t="n"/>
      <c r="BW50" s="12" t="n"/>
      <c r="BX50" s="12" t="n"/>
      <c r="BY50" s="12" t="n"/>
      <c r="BZ50" s="12" t="n"/>
      <c r="CA50" s="12" t="n"/>
      <c r="CB50" s="12" t="n"/>
      <c r="CC50" s="12" t="n"/>
      <c r="CD50" s="12" t="n"/>
      <c r="CE50" s="12" t="n"/>
      <c r="CF50" s="12" t="n"/>
      <c r="CG50" s="12" t="n"/>
      <c r="CH50" s="12" t="n"/>
      <c r="CI50" s="12" t="n"/>
      <c r="CJ50" s="12" t="n"/>
      <c r="CK50" s="12" t="n"/>
      <c r="CL50" s="12" t="n"/>
      <c r="CM50" s="12" t="n"/>
      <c r="CN50" s="12" t="n"/>
      <c r="CO50" s="12" t="n"/>
      <c r="CP50" s="12" t="n"/>
      <c r="CQ50" s="12" t="n"/>
      <c r="CR50" s="12" t="n"/>
      <c r="CS50" s="12" t="n"/>
      <c r="CT50" s="12" t="n"/>
      <c r="CU50" s="12" t="n"/>
      <c r="CV50" s="12" t="n"/>
      <c r="CW50" s="12" t="n"/>
      <c r="CX50" s="12" t="n"/>
      <c r="CY50" s="12" t="n"/>
    </row>
    <row r="51" hidden="1" outlineLevel="1" customFormat="1" s="3">
      <c r="C51" s="47" t="inlineStr">
        <is>
          <t>% Gross Margin</t>
        </is>
      </c>
      <c r="D51" s="48" t="n"/>
      <c r="E51" s="48" t="n"/>
      <c r="F51" s="48" t="n"/>
      <c r="G51" s="48" t="n"/>
      <c r="H51" s="48" t="n"/>
      <c r="I51" s="48">
        <f>IFERROR((I15+I50)/I$15,"")</f>
        <v>0.264432328415651</v>
      </c>
      <c r="J51" s="48">
        <f>IFERROR((J15+J50)/J$15,"")</f>
        <v>0.421180274858529</v>
      </c>
      <c r="K51" s="48">
        <f>IFERROR((K15+K50)/K$15,"")</f>
        <v>0.472806381435823</v>
      </c>
      <c r="L51" s="48">
        <f>IFERROR((L15+L50)/L$15,"")</f>
        <v>0.463770001300898</v>
      </c>
      <c r="M51" s="48">
        <f>IFERROR((M15+M50)/M$15,"")</f>
        <v>0.413653398156589</v>
      </c>
      <c r="N51" s="48">
        <f>IFERROR((N15+N50)/N$15,"")</f>
        <v>0.472129463138967</v>
      </c>
      <c r="O51" s="48">
        <f>IFERROR((O15+O50)/O$15,"")</f>
        <v>0.466905808840546</v>
      </c>
      <c r="P51" s="48">
        <f>IFERROR((P15+P50)/P$15,"")</f>
        <v>0.394701189221737</v>
      </c>
      <c r="Q51" s="48">
        <f>IFERROR((Q15+Q50)/Q$15,"")</f>
        <v>0.218604651162791</v>
      </c>
      <c r="R51" s="48">
        <f>IFERROR((R15+R50)/R$15,"")</f>
        <v>0.413389306230667</v>
      </c>
      <c r="S51" s="48">
        <f>IFERROR((S15+S50)/S$15,"")</f>
        <v>-0.326563769293258</v>
      </c>
      <c r="T51" s="48">
        <f>IFERROR((T15+T50)/T$15,"")</f>
        <v>-0.178038379530917</v>
      </c>
      <c r="U51" s="48">
        <f>IFERROR((U15+U50)/U$15,"")</f>
        <v>-0.108478802992519</v>
      </c>
      <c r="V51" s="48">
        <f>IFERROR((V15+V50)/V$15,"")</f>
        <v>-0.00740584003385527</v>
      </c>
      <c r="W51" s="48">
        <f>IFERROR((W15+W50)/W$15,"")</f>
        <v>-0.14486125702985</v>
      </c>
      <c r="X51" s="48">
        <f>IFERROR((X15+X50)/X$15,"")</f>
        <v>0.185267857142857</v>
      </c>
      <c r="Y51" s="48">
        <f>IFERROR((Y15+Y50)/Y$15,"")</f>
        <v>0.268976655410366</v>
      </c>
      <c r="Z51" s="48">
        <f>IFERROR((Z15+Z50)/Z$15,"")</f>
        <v>0.353161290322581</v>
      </c>
      <c r="AA51" s="48">
        <f>IFERROR((AA15+AA50)/AA$15,"")</f>
        <v>0.384429900103341</v>
      </c>
      <c r="AB51" s="48">
        <f>IFERROR((AB15+AB50)/AB$15,"")</f>
        <v>0.309204647006256</v>
      </c>
      <c r="AC51" s="48">
        <f>IFERROR((AC15+AC50)/AC$15,"")</f>
        <v>0.367937414628089</v>
      </c>
      <c r="AD51" s="48">
        <f>IFERROR((AD15+AD50)/AD$15,"")</f>
        <v>0.377163745833781</v>
      </c>
      <c r="AE51" s="48">
        <f>IFERROR((AE15+AE50)/AE$15,"")</f>
        <v>0.446663720724702</v>
      </c>
      <c r="AF51" s="41">
        <f>IFERROR((AF15+AF50)/AF$15,"")</f>
        <v>0.560433922157883</v>
      </c>
      <c r="AG51" s="48">
        <f>IFERROR((AG15+AG50)/AG$15,"")</f>
        <v>0.453086594819437</v>
      </c>
      <c r="AH51" s="49">
        <f>IFERROR((AH15+AH50)/AH$15,"")</f>
        <v>0.744132439228835</v>
      </c>
      <c r="AI51" s="49">
        <f>IFERROR((AI15+AI50)/AI$15,"")</f>
        <v>0.845619451949054</v>
      </c>
      <c r="AJ51" s="49">
        <f>Control!$B$19</f>
        <v>0.556991782420391</v>
      </c>
      <c r="AK51" s="49">
        <f>Control!$B$19</f>
        <v>0.556991782420391</v>
      </c>
      <c r="AL51" s="48">
        <f>IFERROR((AL15+AL50)/AL$15,"")</f>
        <v>0.69368238992979</v>
      </c>
      <c r="AM51" s="49">
        <f>Control!$C$19</f>
        <v>0.556991782420391</v>
      </c>
      <c r="AN51" s="49">
        <f>Control!$C$19</f>
        <v>0.556991782420391</v>
      </c>
      <c r="AO51" s="49">
        <f>Control!$C$19</f>
        <v>0.556991782420391</v>
      </c>
      <c r="AP51" s="49">
        <f>Control!$C$19</f>
        <v>0.556991782420391</v>
      </c>
      <c r="AQ51" s="48">
        <f>IFERROR((AQ15+AQ50)/AQ$15,"")</f>
        <v>0.556991782420391</v>
      </c>
      <c r="AR51" s="49">
        <f>Control!$D$19</f>
        <v>0.556991782420391</v>
      </c>
      <c r="AS51" s="49">
        <f>Control!$D$19</f>
        <v>0.556991782420391</v>
      </c>
      <c r="AT51" s="49">
        <f>Control!$D$19</f>
        <v>0.556991782420391</v>
      </c>
      <c r="AU51" s="49">
        <f>Control!$D$19</f>
        <v>0.556991782420391</v>
      </c>
      <c r="AV51" s="48">
        <f>IFERROR((AV15+AV50)/AV$15,"")</f>
        <v>0.556991782420391</v>
      </c>
      <c r="AW51" s="49">
        <f>Control!$E$19</f>
        <v>0.556991782420391</v>
      </c>
      <c r="AX51" s="49">
        <f>Control!$E$19</f>
        <v>0.556991782420391</v>
      </c>
      <c r="AY51" s="49">
        <f>Control!$E$19</f>
        <v>0.556991782420391</v>
      </c>
      <c r="AZ51" s="49">
        <f>Control!$E$19</f>
        <v>0.556991782420391</v>
      </c>
      <c r="BA51" s="48">
        <f>IFERROR((BA15+BA50)/BA$15,"")</f>
        <v>0.556991782420391</v>
      </c>
      <c r="BB51" s="49">
        <f>Control!$F$19</f>
        <v>0.556991782420391</v>
      </c>
      <c r="BC51" s="49">
        <f>Control!$F$19</f>
        <v>0.556991782420391</v>
      </c>
      <c r="BD51" s="49">
        <f>Control!$F$19</f>
        <v>0.556991782420391</v>
      </c>
      <c r="BE51" s="49">
        <f>Control!$F$19</f>
        <v>0.556991782420391</v>
      </c>
      <c r="BF51" s="48">
        <f>IFERROR((BF15+BF50)/BF$15,"")</f>
        <v>0.556991782420391</v>
      </c>
      <c r="BG51" s="49" t="n"/>
      <c r="BH51" s="49" t="n"/>
      <c r="BI51" s="49" t="n"/>
      <c r="BJ51" s="49" t="n"/>
      <c r="BK51" s="48" t="n"/>
      <c r="BL51" s="49" t="n"/>
      <c r="BM51" s="49" t="n"/>
      <c r="BN51" s="49" t="n"/>
      <c r="BO51" s="49" t="n"/>
      <c r="BP51" s="48" t="n"/>
      <c r="BQ51" s="49" t="n"/>
      <c r="BR51" s="49" t="n"/>
      <c r="BS51" s="49" t="n"/>
      <c r="BT51" s="49" t="n"/>
      <c r="BU51" s="48" t="n"/>
      <c r="BV51" s="49" t="n"/>
      <c r="BW51" s="49" t="n"/>
      <c r="BX51" s="49" t="n"/>
      <c r="BY51" s="49" t="n"/>
      <c r="BZ51" s="48" t="n"/>
      <c r="CA51" s="49" t="n"/>
      <c r="CB51" s="49" t="n"/>
      <c r="CC51" s="49" t="n"/>
      <c r="CD51" s="49" t="n"/>
      <c r="CE51" s="48" t="n"/>
      <c r="CF51" s="49" t="n"/>
      <c r="CG51" s="49" t="n"/>
      <c r="CH51" s="49" t="n"/>
      <c r="CI51" s="49" t="n"/>
      <c r="CJ51" s="48" t="n"/>
      <c r="CK51" s="49" t="n"/>
      <c r="CL51" s="49" t="n"/>
      <c r="CM51" s="49" t="n"/>
      <c r="CN51" s="49" t="n"/>
      <c r="CO51" s="48" t="n"/>
      <c r="CP51" s="49" t="n"/>
      <c r="CQ51" s="49" t="n"/>
      <c r="CR51" s="49" t="n"/>
      <c r="CS51" s="49" t="n"/>
      <c r="CT51" s="48" t="n"/>
      <c r="CU51" s="49" t="n"/>
      <c r="CV51" s="49" t="n"/>
      <c r="CW51" s="49" t="n"/>
      <c r="CX51" s="49" t="n"/>
      <c r="CY51" s="48" t="n"/>
    </row>
    <row r="52" hidden="1" outlineLevel="1"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collapsed="1">
      <c r="C54" s="13" t="inlineStr">
        <is>
          <t>SG&amp;A and Other (cash)</t>
        </is>
      </c>
      <c r="D54" s="46" t="n"/>
      <c r="E54" s="46" t="n"/>
      <c r="F54" s="46" t="n"/>
      <c r="G54" s="46" t="n"/>
      <c r="H54" s="12" t="n"/>
      <c r="I54" s="46">
        <f>'Inputs (2)'!D6</f>
        <v>563</v>
      </c>
      <c r="J54" s="46">
        <f>'Inputs (2)'!E6</f>
        <v>230</v>
      </c>
      <c r="K54" s="46">
        <f>'Inputs (2)'!F6</f>
        <v>664</v>
      </c>
      <c r="L54" s="46">
        <f>'Inputs (2)'!G6</f>
        <v>737</v>
      </c>
      <c r="M54" s="12">
        <f>'Inputs (2)'!H6</f>
        <v>2194</v>
      </c>
      <c r="N54" s="46">
        <f>'Inputs (2)'!I6</f>
        <v>612</v>
      </c>
      <c r="O54" s="46">
        <f>'Inputs (2)'!J6</f>
        <v>790</v>
      </c>
      <c r="P54" s="46">
        <f>'Inputs (2)'!K6</f>
        <v>781</v>
      </c>
      <c r="Q54" s="46">
        <f>'Inputs (2)'!L6</f>
        <v>819</v>
      </c>
      <c r="R54" s="12">
        <f>'Inputs (2)'!M6</f>
        <v>3002</v>
      </c>
      <c r="S54" s="46">
        <f>'Inputs (2)'!N6</f>
        <v>845</v>
      </c>
      <c r="T54" s="46">
        <f>'Inputs (2)'!O6</f>
        <v>863</v>
      </c>
      <c r="U54" s="46">
        <f>'Inputs (2)'!P6</f>
        <v>900</v>
      </c>
      <c r="V54" s="46">
        <f>'Inputs (2)'!Q6</f>
        <v>822</v>
      </c>
      <c r="W54" s="12">
        <f>'Inputs (2)'!R6</f>
        <v>3430</v>
      </c>
      <c r="X54" s="46">
        <f>'Inputs (2)'!S6</f>
        <v>1036</v>
      </c>
      <c r="Y54" s="46">
        <f>'Inputs (2)'!T6</f>
        <v>842</v>
      </c>
      <c r="Z54" s="46">
        <f>'Inputs (2)'!U6</f>
        <v>771</v>
      </c>
      <c r="AA54" s="46">
        <f>'Inputs (2)'!V6</f>
        <v>856</v>
      </c>
      <c r="AB54" s="12">
        <f>'Inputs (2)'!W6</f>
        <v>3505</v>
      </c>
      <c r="AC54" s="46">
        <f>'Inputs (2)'!X6</f>
        <v>889</v>
      </c>
      <c r="AD54" s="46">
        <f>'Inputs (2)'!Y6</f>
        <v>755</v>
      </c>
      <c r="AE54" s="46">
        <f>'Inputs (2)'!Z6</f>
        <v>749</v>
      </c>
      <c r="AF54" s="46">
        <f>'Inputs (2)'!AA6</f>
        <v>702</v>
      </c>
      <c r="AG54" s="12">
        <f>'Inputs (2)'!AB6</f>
        <v>3095</v>
      </c>
      <c r="AH54" s="12">
        <f>'Inputs (2)'!AC6</f>
        <v>666</v>
      </c>
      <c r="AI54" s="12">
        <f>'Inputs (2)'!AD6</f>
        <v>626</v>
      </c>
      <c r="AJ54" s="12">
        <f>-AJ15*AJ55</f>
        <v>1460.78133808978</v>
      </c>
      <c r="AK54" s="12">
        <f>-AK15*AK55</f>
        <v>1761.32919094643</v>
      </c>
      <c r="AL54" s="12">
        <f>SUM(AH54:AK54)</f>
        <v>4514.11052903622</v>
      </c>
      <c r="AM54" s="12">
        <f>-AM15*AM55</f>
        <v>3080.35728915795</v>
      </c>
      <c r="AN54" s="12">
        <f>-AN15*AN55</f>
        <v>5352.02396392841</v>
      </c>
      <c r="AO54" s="12">
        <f>-AO15*AO55</f>
        <v>3212.47197610346</v>
      </c>
      <c r="AP54" s="12">
        <f>-AP15*AP55</f>
        <v>3873.42069553509</v>
      </c>
      <c r="AQ54" s="12">
        <f>SUM(AM54:AP54)</f>
        <v>15518.2739247249</v>
      </c>
      <c r="AR54" s="12">
        <f>-AR15*AR55</f>
        <v>6758.75476236805</v>
      </c>
      <c r="AS54" s="12">
        <f>-AS15*AS55</f>
        <v>11743.1239492343</v>
      </c>
      <c r="AT54" s="12">
        <f>-AT15*AT55</f>
        <v>7048.63372306999</v>
      </c>
      <c r="AU54" s="12">
        <f>-AU15*AU55</f>
        <v>8498.85195615058</v>
      </c>
      <c r="AV54" s="12">
        <f>SUM(AR54:AU54)</f>
        <v>34049.3643908229</v>
      </c>
      <c r="AW54" s="12">
        <f>-AW15*AW55</f>
        <v>14795.9034494996</v>
      </c>
      <c r="AX54" s="12">
        <f>-AX15*AX55</f>
        <v>25707.4171585271</v>
      </c>
      <c r="AY54" s="12">
        <f>-AY15*AY55</f>
        <v>15430.490923877</v>
      </c>
      <c r="AZ54" s="12">
        <f>-AZ15*AZ55</f>
        <v>18605.2309036194</v>
      </c>
      <c r="BA54" s="12">
        <f>SUM(AW54:AZ54)</f>
        <v>74539.0424355231</v>
      </c>
      <c r="BB54" s="12">
        <f>-BB15*BB55</f>
        <v>32316.4188007723</v>
      </c>
      <c r="BC54" s="12">
        <f>-BC15*BC55</f>
        <v>56148.7618526746</v>
      </c>
      <c r="BD54" s="12">
        <f>-BD15*BD55</f>
        <v>33702.4507289813</v>
      </c>
      <c r="BE54" s="12">
        <f>-BE15*BE55</f>
        <v>40636.5475294292</v>
      </c>
      <c r="BF54" s="12">
        <f>SUM(BB54:BE54)</f>
        <v>162804.178911857</v>
      </c>
      <c r="BG54" s="12" t="n"/>
      <c r="BH54" s="12" t="n"/>
      <c r="BI54" s="12" t="n"/>
      <c r="BJ54" s="12" t="n"/>
      <c r="BK54" s="12" t="n"/>
      <c r="BL54" s="12" t="n"/>
      <c r="BM54" s="12" t="n"/>
      <c r="BN54" s="12" t="n"/>
      <c r="BO54" s="12" t="n"/>
      <c r="BP54" s="12" t="n"/>
      <c r="BQ54" s="12" t="n"/>
      <c r="BR54" s="12" t="n"/>
      <c r="BS54" s="12" t="n"/>
      <c r="BT54" s="12" t="n"/>
      <c r="BU54" s="12" t="n"/>
      <c r="BV54" s="12" t="n"/>
      <c r="BW54" s="12" t="n"/>
      <c r="BX54" s="12" t="n"/>
      <c r="BY54" s="12" t="n"/>
      <c r="BZ54" s="12" t="n"/>
      <c r="CA54" s="12" t="n"/>
      <c r="CB54" s="12" t="n"/>
      <c r="CC54" s="12" t="n"/>
      <c r="CD54" s="12" t="n"/>
      <c r="CE54" s="12" t="n"/>
      <c r="CF54" s="12" t="n"/>
      <c r="CG54" s="12" t="n"/>
      <c r="CH54" s="12" t="n"/>
      <c r="CI54" s="12" t="n"/>
      <c r="CJ54" s="12" t="n"/>
      <c r="CK54" s="12" t="n"/>
      <c r="CL54" s="12" t="n"/>
      <c r="CM54" s="12" t="n"/>
      <c r="CN54" s="12" t="n"/>
      <c r="CO54" s="12" t="n"/>
      <c r="CP54" s="12" t="n"/>
      <c r="CQ54" s="12" t="n"/>
      <c r="CR54" s="12" t="n"/>
      <c r="CS54" s="12" t="n"/>
      <c r="CT54" s="12" t="n"/>
      <c r="CU54" s="12" t="n"/>
      <c r="CV54" s="12" t="n"/>
      <c r="CW54" s="12" t="n"/>
      <c r="CX54" s="12" t="n"/>
      <c r="CY54" s="12" t="n"/>
    </row>
    <row r="55" hidden="1" outlineLevel="1">
      <c r="C55" s="38" t="inlineStr">
        <is>
          <t>% SG&amp;A and Other Margin</t>
        </is>
      </c>
      <c r="D55" s="51" t="n"/>
      <c r="E55" s="51" t="n"/>
      <c r="F55" s="51" t="n"/>
      <c r="G55" s="51" t="n"/>
      <c r="H55" s="51" t="n"/>
      <c r="I55" s="51">
        <f>IFERROR(-(I54/I$15),"")</f>
        <v>-0.0902822322001283</v>
      </c>
      <c r="J55" s="51">
        <f>IFERROR(-(J54/J$15),"")</f>
        <v>-0.0309889517650229</v>
      </c>
      <c r="K55" s="51">
        <f>IFERROR(-(K54/K$15),"")</f>
        <v>-0.0802513898960599</v>
      </c>
      <c r="L55" s="51">
        <f>IFERROR(-(L54/L$15),"")</f>
        <v>-0.0958761545466372</v>
      </c>
      <c r="M55" s="51">
        <f>IFERROR(-(M54/M$15),"")</f>
        <v>-0.0740740740740741</v>
      </c>
      <c r="N55" s="51">
        <f>IFERROR(-(N54/N$15),"")</f>
        <v>-0.0786026200873363</v>
      </c>
      <c r="O55" s="51">
        <f>IFERROR(-(O54/O$15),"")</f>
        <v>-0.0914140245313585</v>
      </c>
      <c r="P55" s="51">
        <f>IFERROR(-(P54/P$15),"")</f>
        <v>-0.117567364142707</v>
      </c>
      <c r="Q55" s="51">
        <f>IFERROR(-(Q54/Q$15),"")</f>
        <v>-0.200489596083231</v>
      </c>
      <c r="R55" s="51">
        <f>IFERROR(-(R54/R$15),"")</f>
        <v>-0.110546472234497</v>
      </c>
      <c r="S55" s="51">
        <f>IFERROR(-(S54/S$15),"")</f>
        <v>-0.228811264554563</v>
      </c>
      <c r="T55" s="51">
        <f>IFERROR(-(T54/T$15),"")</f>
        <v>-0.23001066098081</v>
      </c>
      <c r="U55" s="51">
        <f>IFERROR(-(U54/U$15),"")</f>
        <v>-0.224438902743142</v>
      </c>
      <c r="V55" s="51">
        <f>IFERROR(-(V54/V$15),"")</f>
        <v>-0.173931443080829</v>
      </c>
      <c r="W55" s="51">
        <f>IFERROR(-(W54/W$15),"")</f>
        <v>-0.211977010073543</v>
      </c>
      <c r="X55" s="51">
        <f>IFERROR(-(X54/X$15),"")</f>
        <v>-0.177884615384615</v>
      </c>
      <c r="Y55" s="51">
        <f>IFERROR(-(Y54/Y$15),"")</f>
        <v>-0.12362355013948</v>
      </c>
      <c r="Z55" s="51">
        <f>IFERROR(-(Z54/Z$15),"")</f>
        <v>-0.0994838709677419</v>
      </c>
      <c r="AA55" s="51">
        <f>IFERROR(-(AA54/AA$15),"")</f>
        <v>-0.0982891261912964</v>
      </c>
      <c r="AB55" s="51">
        <f>IFERROR(-(AB54/AB$15),"")</f>
        <v>-0.120471574895167</v>
      </c>
      <c r="AC55" s="51">
        <f>IFERROR(-(AC54/AC$15),"")</f>
        <v>-0.110393642120949</v>
      </c>
      <c r="AD55" s="51">
        <f>IFERROR(-(AD54/AD$15),"")</f>
        <v>-0.0811740673045909</v>
      </c>
      <c r="AE55" s="51">
        <f>IFERROR(-(AE54/AE$15),"")</f>
        <v>-0.0661953159522757</v>
      </c>
      <c r="AF55" s="41">
        <f>IFERROR(-(AF54/AF$15),"")</f>
        <v>-0.0514549585868211</v>
      </c>
      <c r="AG55" s="51">
        <f>IFERROR(-(AG54/AG$15),"")</f>
        <v>-0.0731470977500473</v>
      </c>
      <c r="AH55" s="52">
        <f>IFERROR(-(AH54/AH$15),"")</f>
        <v>-0.0279128248113998</v>
      </c>
      <c r="AI55" s="52">
        <f>IFERROR(-(AI54/AI$15),"")</f>
        <v>-0.0151003473562331</v>
      </c>
      <c r="AJ55" s="52">
        <f>Control!$B$20</f>
        <v>-0.0587051926887116</v>
      </c>
      <c r="AK55" s="52">
        <f>Control!$B$20</f>
        <v>-0.0587051926887116</v>
      </c>
      <c r="AL55" s="51">
        <f>IFERROR(-(AL54/AL$15),"")</f>
        <v>-0.0375542790241981</v>
      </c>
      <c r="AM55" s="52">
        <f>Control!$C$20</f>
        <v>-0.0587051926887116</v>
      </c>
      <c r="AN55" s="52">
        <f>Control!$C$20</f>
        <v>-0.0587051926887116</v>
      </c>
      <c r="AO55" s="52">
        <f>Control!$C$20</f>
        <v>-0.0587051926887116</v>
      </c>
      <c r="AP55" s="52">
        <f>Control!$C$20</f>
        <v>-0.0587051926887116</v>
      </c>
      <c r="AQ55" s="51">
        <f>IFERROR(-(AQ54/AQ$15),"")</f>
        <v>-0.0587051926887116</v>
      </c>
      <c r="AR55" s="52">
        <f>Control!$D$20</f>
        <v>-0.0587051926887116</v>
      </c>
      <c r="AS55" s="52">
        <f>Control!$D$20</f>
        <v>-0.0587051926887116</v>
      </c>
      <c r="AT55" s="52">
        <f>Control!$D$20</f>
        <v>-0.0587051926887116</v>
      </c>
      <c r="AU55" s="52">
        <f>Control!$D$20</f>
        <v>-0.0587051926887116</v>
      </c>
      <c r="AV55" s="51">
        <f>IFERROR(-(AV54/AV$15),"")</f>
        <v>-0.0587051926887116</v>
      </c>
      <c r="AW55" s="52">
        <f>Control!$E$20</f>
        <v>-0.0587051926887116</v>
      </c>
      <c r="AX55" s="52">
        <f>Control!$E$20</f>
        <v>-0.0587051926887116</v>
      </c>
      <c r="AY55" s="52">
        <f>Control!$E$20</f>
        <v>-0.0587051926887116</v>
      </c>
      <c r="AZ55" s="52">
        <f>Control!$E$20</f>
        <v>-0.0587051926887116</v>
      </c>
      <c r="BA55" s="51">
        <f>IFERROR(-(BA54/BA$15),"")</f>
        <v>-0.0587051926887116</v>
      </c>
      <c r="BB55" s="52">
        <f>Control!$F$20</f>
        <v>-0.0587051926887116</v>
      </c>
      <c r="BC55" s="52">
        <f>Control!$F$20</f>
        <v>-0.0587051926887116</v>
      </c>
      <c r="BD55" s="52">
        <f>Control!$F$20</f>
        <v>-0.0587051926887116</v>
      </c>
      <c r="BE55" s="52">
        <f>Control!$F$20</f>
        <v>-0.0587051926887116</v>
      </c>
      <c r="BF55" s="51">
        <f>IFERROR(-(BF54/BF$15),"")</f>
        <v>-0.0587051926887116</v>
      </c>
      <c r="BG55" s="52" t="n"/>
      <c r="BH55" s="52" t="n"/>
      <c r="BI55" s="52" t="n"/>
      <c r="BJ55" s="52" t="n"/>
      <c r="BK55" s="51" t="n"/>
      <c r="BL55" s="52" t="n"/>
      <c r="BM55" s="52" t="n"/>
      <c r="BN55" s="52" t="n"/>
      <c r="BO55" s="52" t="n"/>
      <c r="BP55" s="51" t="n"/>
      <c r="BQ55" s="52" t="n"/>
      <c r="BR55" s="52" t="n"/>
      <c r="BS55" s="52" t="n"/>
      <c r="BT55" s="52" t="n"/>
      <c r="BU55" s="51" t="n"/>
      <c r="BV55" s="52" t="n"/>
      <c r="BW55" s="52" t="n"/>
      <c r="BX55" s="52" t="n"/>
      <c r="BY55" s="52" t="n"/>
      <c r="BZ55" s="51" t="n"/>
      <c r="CA55" s="52" t="n"/>
      <c r="CB55" s="52" t="n"/>
      <c r="CC55" s="52" t="n"/>
      <c r="CD55" s="52" t="n"/>
      <c r="CE55" s="51" t="n"/>
      <c r="CF55" s="52" t="n"/>
      <c r="CG55" s="52" t="n"/>
      <c r="CH55" s="52" t="n"/>
      <c r="CI55" s="52" t="n"/>
      <c r="CJ55" s="51" t="n"/>
      <c r="CK55" s="52" t="n"/>
      <c r="CL55" s="52" t="n"/>
      <c r="CM55" s="52" t="n"/>
      <c r="CN55" s="52" t="n"/>
      <c r="CO55" s="51" t="n"/>
      <c r="CP55" s="52" t="n"/>
      <c r="CQ55" s="52" t="n"/>
      <c r="CR55" s="52" t="n"/>
      <c r="CS55" s="52" t="n"/>
      <c r="CT55" s="51" t="n"/>
      <c r="CU55" s="52" t="n"/>
      <c r="CV55" s="52" t="n"/>
      <c r="CW55" s="52" t="n"/>
      <c r="CX55" s="52" t="n"/>
      <c r="CY55" s="51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Com Vendas</t>
        </is>
      </c>
      <c r="D57" s="11" t="n"/>
      <c r="E57" s="11" t="n"/>
      <c r="F57" s="11" t="n"/>
      <c r="G57" s="11" t="n"/>
      <c r="H57" s="50" t="n"/>
      <c r="I57" s="11" t="n"/>
      <c r="J57" s="11" t="n"/>
      <c r="K57" s="11" t="n"/>
      <c r="L57" s="11" t="n"/>
      <c r="M57" s="50" t="n"/>
      <c r="N57" s="11" t="n"/>
      <c r="O57" s="11" t="n"/>
      <c r="P57" s="11" t="n"/>
      <c r="Q57" s="11" t="n"/>
      <c r="R57" s="50" t="n"/>
      <c r="S57" s="11" t="n"/>
      <c r="T57" s="11" t="n"/>
      <c r="U57" s="11" t="n"/>
      <c r="V57" s="11" t="n"/>
      <c r="W57" s="50" t="n"/>
      <c r="X57" s="11" t="n"/>
      <c r="Y57" s="11" t="n"/>
      <c r="Z57" s="11" t="n"/>
      <c r="AA57" s="11" t="n"/>
      <c r="AB57" s="50" t="n"/>
      <c r="AC57" s="11" t="n"/>
      <c r="AD57" s="11" t="n"/>
      <c r="AE57" s="11" t="n"/>
      <c r="AF57" s="11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Gerais &amp; Administrativas</t>
        </is>
      </c>
      <c r="D58" s="11" t="n"/>
      <c r="E58" s="11" t="n"/>
      <c r="F58" s="11" t="n"/>
      <c r="G58" s="11" t="n"/>
      <c r="H58" s="50" t="n"/>
      <c r="I58" s="11" t="n"/>
      <c r="J58" s="11" t="n"/>
      <c r="K58" s="11" t="n"/>
      <c r="L58" s="11" t="n"/>
      <c r="M58" s="50" t="n"/>
      <c r="N58" s="11" t="n"/>
      <c r="O58" s="11" t="n"/>
      <c r="P58" s="11" t="n"/>
      <c r="Q58" s="11" t="n"/>
      <c r="R58" s="50" t="n"/>
      <c r="S58" s="11" t="n"/>
      <c r="T58" s="11" t="n"/>
      <c r="U58" s="11" t="n"/>
      <c r="V58" s="11" t="n"/>
      <c r="W58" s="50" t="n"/>
      <c r="X58" s="11" t="n"/>
      <c r="Y58" s="11" t="n"/>
      <c r="Z58" s="11" t="n"/>
      <c r="AA58" s="11" t="n"/>
      <c r="AB58" s="50" t="n"/>
      <c r="AC58" s="11" t="n"/>
      <c r="AD58" s="11" t="n"/>
      <c r="AE58" s="11" t="n"/>
      <c r="AF58" s="11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Outras Receitas (Despesas) Operacionais, Líquidas</t>
        </is>
      </c>
      <c r="D59" s="11" t="n"/>
      <c r="E59" s="11" t="n"/>
      <c r="F59" s="11" t="n"/>
      <c r="G59" s="11" t="n"/>
      <c r="H59" s="50" t="n"/>
      <c r="I59" s="11" t="n"/>
      <c r="J59" s="11" t="n"/>
      <c r="K59" s="11" t="n"/>
      <c r="L59" s="11" t="n"/>
      <c r="M59" s="50" t="n"/>
      <c r="N59" s="11" t="n"/>
      <c r="O59" s="11" t="n"/>
      <c r="P59" s="11" t="n"/>
      <c r="Q59" s="11" t="n"/>
      <c r="R59" s="50" t="n"/>
      <c r="S59" s="11" t="n"/>
      <c r="T59" s="11" t="n"/>
      <c r="U59" s="11" t="n"/>
      <c r="V59" s="11" t="n"/>
      <c r="W59" s="50" t="n"/>
      <c r="X59" s="11" t="n"/>
      <c r="Y59" s="11" t="n"/>
      <c r="Z59" s="11" t="n"/>
      <c r="AA59" s="11" t="n"/>
      <c r="AB59" s="50" t="n"/>
      <c r="AC59" s="11" t="n"/>
      <c r="AD59" s="11" t="n"/>
      <c r="AE59" s="11" t="n"/>
      <c r="AF59" s="11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Com Vendas (%)</t>
        </is>
      </c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inlineStr">
        <is>
          <t>Gerais &amp; Administrativas (%)</t>
        </is>
      </c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inlineStr">
        <is>
          <t>Outras Receitas (Despesas) Operacionais, Líquidas (%)</t>
        </is>
      </c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collapsed="1" customFormat="1" s="32">
      <c r="A65" s="30" t="n"/>
      <c r="B65" s="3" t="n"/>
      <c r="C65" s="33" t="inlineStr">
        <is>
          <t>EBITDA</t>
        </is>
      </c>
      <c r="D65" s="35" t="n"/>
      <c r="E65" s="35" t="n"/>
      <c r="F65" s="35" t="n"/>
      <c r="G65" s="35" t="n"/>
      <c r="H65" s="35" t="n"/>
      <c r="I65" s="35">
        <f>SUM(I15,I50,I54)</f>
        <v>2212</v>
      </c>
      <c r="J65" s="35">
        <f>SUM(J15,J50,J54)</f>
        <v>3356</v>
      </c>
      <c r="K65" s="35">
        <f>SUM(K15,K50,K54)</f>
        <v>4576</v>
      </c>
      <c r="L65" s="35">
        <f>SUM(L15,L50,L54)</f>
        <v>4302</v>
      </c>
      <c r="M65" s="35">
        <f>SUM(I65:L65)</f>
        <v>14446</v>
      </c>
      <c r="N65" s="35">
        <f>SUM(N15,N50,N54)</f>
        <v>4288</v>
      </c>
      <c r="O65" s="35">
        <f>SUM(O15,O50,O54)</f>
        <v>4825</v>
      </c>
      <c r="P65" s="35">
        <f>SUM(P15,P50,P54)</f>
        <v>3403</v>
      </c>
      <c r="Q65" s="35">
        <f>SUM(Q15,Q50,Q54)</f>
        <v>1712</v>
      </c>
      <c r="R65" s="35">
        <f>SUM(N65:Q65)</f>
        <v>14228</v>
      </c>
      <c r="S65" s="35">
        <f>SUM(S15,S50,S54)</f>
        <v>-361</v>
      </c>
      <c r="T65" s="35">
        <f>SUM(T15,T50,T54)</f>
        <v>195</v>
      </c>
      <c r="U65" s="35">
        <f>SUM(U15,U50,U54)</f>
        <v>465</v>
      </c>
      <c r="V65" s="35">
        <f>SUM(V15,V50,V54)</f>
        <v>787</v>
      </c>
      <c r="W65" s="35">
        <f>SUM(S65:V65)</f>
        <v>1086</v>
      </c>
      <c r="X65" s="35">
        <f>SUM(X15,X50,X54)</f>
        <v>2115</v>
      </c>
      <c r="Y65" s="35">
        <f>SUM(Y15,Y50,Y54)</f>
        <v>2674</v>
      </c>
      <c r="Z65" s="35">
        <f>SUM(Z15,Z50,Z54)</f>
        <v>3508</v>
      </c>
      <c r="AA65" s="35">
        <f>SUM(AA15,AA50,AA54)</f>
        <v>4204</v>
      </c>
      <c r="AB65" s="35">
        <f>SUM(X65:AA65)</f>
        <v>12501</v>
      </c>
      <c r="AC65" s="35">
        <f>SUM(AC15,AC50,AC54)</f>
        <v>3852</v>
      </c>
      <c r="AD65" s="35">
        <f>SUM(AD15,AD50,AD54)</f>
        <v>4263</v>
      </c>
      <c r="AE65" s="35">
        <f>SUM(AE15,AE50,AE54)</f>
        <v>5803</v>
      </c>
      <c r="AF65" s="35">
        <f>SUM(AF15,AF50,AF54)</f>
        <v>8348</v>
      </c>
      <c r="AG65" s="35">
        <f>SUM(AC65:AF65)</f>
        <v>22266</v>
      </c>
      <c r="AH65" s="35">
        <f>SUM(AH15,AH50,AH54)</f>
        <v>18421</v>
      </c>
      <c r="AI65" s="35">
        <f>SUM(AI15,AI50,AI54)</f>
        <v>35682</v>
      </c>
      <c r="AJ65" s="35">
        <f>SUM(AJ15,AJ50,AJ54)</f>
        <v>15320.59788862</v>
      </c>
      <c r="AK65" s="35">
        <f>SUM(AK15,AK50,AK54)</f>
        <v>18472.7279712278</v>
      </c>
      <c r="AL65" s="35">
        <f>SUM(AH65:AK65)</f>
        <v>87896.3258598478</v>
      </c>
      <c r="AM65" s="35">
        <f>SUM(AM15,AM50,AM54)</f>
        <v>32306.6253311952</v>
      </c>
      <c r="AN65" s="35">
        <f>SUM(AN15,AN50,AN54)</f>
        <v>56131.746007126</v>
      </c>
      <c r="AO65" s="35">
        <f>SUM(AO15,AO50,AO54)</f>
        <v>33692.237223335</v>
      </c>
      <c r="AP65" s="35">
        <f>SUM(AP15,AP50,AP54)</f>
        <v>40624.2326502836</v>
      </c>
      <c r="AQ65" s="35">
        <f>SUM(AM65:AP65)</f>
        <v>162754.84121194</v>
      </c>
      <c r="AR65" s="35">
        <f>SUM(AR15,AR50,AR54)</f>
        <v>70885.4646770359</v>
      </c>
      <c r="AS65" s="35">
        <f>SUM(AS15,AS50,AS54)</f>
        <v>123161.26670793</v>
      </c>
      <c r="AT65" s="35">
        <f>SUM(AT15,AT50,AT54)</f>
        <v>73925.6999795302</v>
      </c>
      <c r="AU65" s="35">
        <f>SUM(AU15,AU50,AU54)</f>
        <v>89135.5125780584</v>
      </c>
      <c r="AV65" s="35">
        <f>SUM(AR65:AU65)</f>
        <v>357107.943942554</v>
      </c>
      <c r="AW65" s="35">
        <f>SUM(AW15,AW50,AW54)</f>
        <v>155178.657638832</v>
      </c>
      <c r="AX65" s="35">
        <f>SUM(AX15,AX50,AX54)</f>
        <v>269618.039860663</v>
      </c>
      <c r="AY65" s="35">
        <f>SUM(AY15,AY50,AY54)</f>
        <v>161834.177713318</v>
      </c>
      <c r="AZ65" s="35">
        <f>SUM(AZ15,AZ50,AZ54)</f>
        <v>195130.683742182</v>
      </c>
      <c r="BA65" s="35">
        <f>SUM(AW65:AZ65)</f>
        <v>781761.558954995</v>
      </c>
      <c r="BB65" s="35">
        <f>SUM(BB15,BB50,BB54)</f>
        <v>338932.901685551</v>
      </c>
      <c r="BC65" s="35">
        <f>SUM(BC15,BC50,BC54)</f>
        <v>588885.262878299</v>
      </c>
      <c r="BD65" s="35">
        <f>SUM(BD15,BD50,BD54)</f>
        <v>353469.531692508</v>
      </c>
      <c r="BE65" s="35">
        <f>SUM(BE15,BE50,BE54)</f>
        <v>426193.974448156</v>
      </c>
      <c r="BF65" s="35">
        <f>SUM(BB65:BE65)</f>
        <v>1707481.67070451</v>
      </c>
      <c r="BG65" s="35" t="n"/>
      <c r="BH65" s="35" t="n"/>
      <c r="BI65" s="35" t="n"/>
      <c r="BJ65" s="35" t="n"/>
      <c r="BK65" s="35" t="n"/>
      <c r="BL65" s="35" t="n"/>
      <c r="BM65" s="35" t="n"/>
      <c r="BN65" s="35" t="n"/>
      <c r="BO65" s="35" t="n"/>
      <c r="BP65" s="35" t="n"/>
      <c r="BQ65" s="35" t="n"/>
      <c r="BR65" s="35" t="n"/>
      <c r="BS65" s="35" t="n"/>
      <c r="BT65" s="35" t="n"/>
      <c r="BU65" s="35" t="n"/>
      <c r="BV65" s="35" t="n"/>
      <c r="BW65" s="35" t="n"/>
      <c r="BX65" s="35" t="n"/>
      <c r="BY65" s="35" t="n"/>
      <c r="BZ65" s="35" t="n"/>
      <c r="CA65" s="35" t="n"/>
      <c r="CB65" s="35" t="n"/>
      <c r="CC65" s="35" t="n"/>
      <c r="CD65" s="35" t="n"/>
      <c r="CE65" s="35" t="n"/>
      <c r="CF65" s="35" t="n"/>
      <c r="CG65" s="35" t="n"/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35" t="n"/>
      <c r="CR65" s="35" t="n"/>
      <c r="CS65" s="35" t="n"/>
      <c r="CT65" s="35" t="n"/>
      <c r="CU65" s="35" t="n"/>
      <c r="CV65" s="35" t="n"/>
      <c r="CW65" s="35" t="n"/>
      <c r="CX65" s="35" t="n"/>
      <c r="CY65" s="35" t="n"/>
    </row>
    <row r="66" ht="13.5" customHeight="1">
      <c r="C66" s="13" t="inlineStr">
        <is>
          <t>D&amp;A</t>
        </is>
      </c>
      <c r="D66" s="46" t="n"/>
      <c r="E66" s="46" t="n"/>
      <c r="F66" s="46" t="n"/>
      <c r="G66" s="46" t="n"/>
      <c r="H66" s="12" t="n"/>
      <c r="I66" s="46">
        <f>'Inputs (2)'!D7</f>
        <v>-1549</v>
      </c>
      <c r="J66" s="46">
        <f>'Inputs (2)'!E7</f>
        <v>-1557</v>
      </c>
      <c r="K66" s="46">
        <f>'Inputs (2)'!F7</f>
        <v>-1621</v>
      </c>
      <c r="L66" s="46">
        <f>'Inputs (2)'!G7</f>
        <v>-1671</v>
      </c>
      <c r="M66" s="12">
        <f>'Inputs (2)'!H7</f>
        <v>-6398</v>
      </c>
      <c r="N66" s="46">
        <f>'Inputs (2)'!I7</f>
        <v>-1742</v>
      </c>
      <c r="O66" s="46">
        <f>'Inputs (2)'!J7</f>
        <v>-1821</v>
      </c>
      <c r="P66" s="46">
        <f>'Inputs (2)'!K7</f>
        <v>-1882</v>
      </c>
      <c r="Q66" s="46">
        <f>'Inputs (2)'!L7</f>
        <v>-1921</v>
      </c>
      <c r="R66" s="12">
        <f>'Inputs (2)'!M7</f>
        <v>-7366</v>
      </c>
      <c r="S66" s="46">
        <f>'Inputs (2)'!N7</f>
        <v>-1942</v>
      </c>
      <c r="T66" s="46">
        <f>'Inputs (2)'!O7</f>
        <v>-1956</v>
      </c>
      <c r="U66" s="46">
        <f>'Inputs (2)'!P7</f>
        <v>-1937</v>
      </c>
      <c r="V66" s="46">
        <f>'Inputs (2)'!Q7</f>
        <v>-1915</v>
      </c>
      <c r="W66" s="12">
        <f>'Inputs (2)'!R7</f>
        <v>-7750</v>
      </c>
      <c r="X66" s="46">
        <f>'Inputs (2)'!S7</f>
        <v>-1924</v>
      </c>
      <c r="Y66" s="46">
        <f>'Inputs (2)'!T7</f>
        <v>-1955</v>
      </c>
      <c r="Z66" s="46">
        <f>'Inputs (2)'!U7</f>
        <v>-1986</v>
      </c>
      <c r="AA66" s="46">
        <f>'Inputs (2)'!V7</f>
        <v>-2030</v>
      </c>
      <c r="AB66" s="12">
        <f>'Inputs (2)'!W7</f>
        <v>-7895</v>
      </c>
      <c r="AC66" s="46">
        <f>'Inputs (2)'!X7</f>
        <v>-2079</v>
      </c>
      <c r="AD66" s="46">
        <f>'Inputs (2)'!Y7</f>
        <v>-2094</v>
      </c>
      <c r="AE66" s="46">
        <f>'Inputs (2)'!Z7</f>
        <v>-2149</v>
      </c>
      <c r="AF66" s="46">
        <f>'Inputs (2)'!AA7</f>
        <v>-2212</v>
      </c>
      <c r="AG66" s="12">
        <f>'Inputs (2)'!AB7</f>
        <v>-8534</v>
      </c>
      <c r="AH66" s="12">
        <f>'Inputs (2)'!AC7</f>
        <v>-2286</v>
      </c>
      <c r="AI66" s="12">
        <f>'Inputs (2)'!AD7</f>
        <v>-2364</v>
      </c>
      <c r="AJ66" s="12">
        <f>-AJ67*AJ15</f>
        <v>-4098.26243435899</v>
      </c>
      <c r="AK66" s="12">
        <f>-AK67*AK15</f>
        <v>-4941.45774564381</v>
      </c>
      <c r="AL66" s="12">
        <f>SUM(AH66:AK66)</f>
        <v>-13689.7201800028</v>
      </c>
      <c r="AM66" s="12">
        <f>-AM67*AM15</f>
        <v>-8642.02754607207</v>
      </c>
      <c r="AN66" s="12">
        <f>-AN67*AN15</f>
        <v>-15015.2512133262</v>
      </c>
      <c r="AO66" s="12">
        <f>-AO67*AO15</f>
        <v>-9012.67895324566</v>
      </c>
      <c r="AP66" s="12">
        <f>-AP67*AP15</f>
        <v>-10866.9888607274</v>
      </c>
      <c r="AQ66" s="12">
        <f>SUM(AM66:AP66)</f>
        <v>-43536.9465733714</v>
      </c>
      <c r="AR66" s="12">
        <f>-AR67*AR15</f>
        <v>-18961.8733642088</v>
      </c>
      <c r="AS66" s="12">
        <f>-AS67*AS15</f>
        <v>-32945.6589348969</v>
      </c>
      <c r="AT66" s="12">
        <f>-AT67*AT15</f>
        <v>-19775.1368035606</v>
      </c>
      <c r="AU66" s="12">
        <f>-AU67*AU15</f>
        <v>-23843.7641547483</v>
      </c>
      <c r="AV66" s="12">
        <f>SUM(AR66:AU66)</f>
        <v>-95526.4332574145</v>
      </c>
      <c r="AW66" s="12">
        <f>-AW67*AW15</f>
        <v>-41510.3162317097</v>
      </c>
      <c r="AX66" s="12">
        <f>-AX67*AX15</f>
        <v>-72122.8696438288</v>
      </c>
      <c r="AY66" s="12">
        <f>-AY67*AY15</f>
        <v>-43290.6689373079</v>
      </c>
      <c r="AZ66" s="12">
        <f>-AZ67*AZ15</f>
        <v>-52197.4897314796</v>
      </c>
      <c r="BA66" s="12">
        <f>SUM(AW66:AZ66)</f>
        <v>-209121.344544326</v>
      </c>
      <c r="BB66" s="12">
        <f>-BB67*BB15</f>
        <v>-90664.6064888855</v>
      </c>
      <c r="BC66" s="12">
        <f>-BC67*BC15</f>
        <v>-157526.903881108</v>
      </c>
      <c r="BD66" s="12">
        <f>-BD67*BD15</f>
        <v>-94553.1573870158</v>
      </c>
      <c r="BE66" s="12">
        <f>-BE67*BE15</f>
        <v>-114006.957687234</v>
      </c>
      <c r="BF66" s="12">
        <f>SUM(BB66:BE66)</f>
        <v>-456751.625444244</v>
      </c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 customFormat="1" s="56">
      <c r="A67" s="53" t="n"/>
      <c r="B67" s="53" t="n"/>
      <c r="C67" s="54" t="inlineStr">
        <is>
          <t>% of Revenue</t>
        </is>
      </c>
      <c r="D67" s="53" t="n"/>
      <c r="E67" s="53" t="n"/>
      <c r="F67" s="53" t="n"/>
      <c r="G67" s="53" t="n"/>
      <c r="H67" s="53" t="n"/>
      <c r="I67" s="53">
        <f>IFERROR(-I66/I15,"")</f>
        <v>0.248396407953817</v>
      </c>
      <c r="J67" s="53">
        <f>IFERROR(-J66/J15,"")</f>
        <v>0.209781729991916</v>
      </c>
      <c r="K67" s="53">
        <f>IFERROR(-K66/K15,"")</f>
        <v>0.195914914189026</v>
      </c>
      <c r="L67" s="53">
        <f>IFERROR(-L66/L15,"")</f>
        <v>0.217379992194614</v>
      </c>
      <c r="M67" s="53" t="n"/>
      <c r="N67" s="53">
        <f>IFERROR(-N66/N15,"")</f>
        <v>0.223734908810686</v>
      </c>
      <c r="O67" s="53">
        <f>IFERROR(-O66/O15,"")</f>
        <v>0.210715112242536</v>
      </c>
      <c r="P67" s="53">
        <f>IFERROR(-P66/P15,"")</f>
        <v>0.28330573536053</v>
      </c>
      <c r="Q67" s="53">
        <f>IFERROR(-Q66/Q15,"")</f>
        <v>0.470257037943696</v>
      </c>
      <c r="R67" s="53" t="n"/>
      <c r="S67" s="53">
        <f>IFERROR(-S66/S15,"")</f>
        <v>0.52585973463309</v>
      </c>
      <c r="T67" s="53">
        <f>IFERROR(-T66/T15,"")</f>
        <v>0.521321961620469</v>
      </c>
      <c r="U67" s="53">
        <f>IFERROR(-U66/U15,"")</f>
        <v>0.483042394014963</v>
      </c>
      <c r="V67" s="53">
        <f>IFERROR(-V66/V15,"")</f>
        <v>0.405205247566653</v>
      </c>
      <c r="W67" s="53" t="n"/>
      <c r="X67" s="53">
        <f>IFERROR(-X66/X15,"")</f>
        <v>0.330357142857143</v>
      </c>
      <c r="Y67" s="53">
        <f>IFERROR(-Y66/Y15,"")</f>
        <v>0.287035677580385</v>
      </c>
      <c r="Z67" s="53">
        <f>IFERROR(-Z66/Z15,"")</f>
        <v>0.256258064516129</v>
      </c>
      <c r="AA67" s="53">
        <f>IFERROR(-AA66/AA15,"")</f>
        <v>0.233092203467677</v>
      </c>
      <c r="AB67" s="53" t="n"/>
      <c r="AC67" s="53">
        <f>IFERROR(-AC66/AC15,"")</f>
        <v>0.258164659133242</v>
      </c>
      <c r="AD67" s="53">
        <f>IFERROR(-AD66/AD15,"")</f>
        <v>0.22513708203419</v>
      </c>
      <c r="AE67" s="53">
        <f>IFERROR(-AE66/AE15,"")</f>
        <v>0.189924878479894</v>
      </c>
      <c r="AF67" s="55">
        <f>IFERROR(-AF66/AF15,"")</f>
        <v>0.16213442791175</v>
      </c>
      <c r="AG67" s="53" t="n"/>
      <c r="AH67" s="55">
        <f>IFERROR(-AH66/AH15,"")</f>
        <v>0.0958088851634535</v>
      </c>
      <c r="AI67" s="55">
        <f>IFERROR(-AI66/AI15,"")</f>
        <v>0.057024314936318</v>
      </c>
      <c r="AJ67" s="55">
        <f>Control!$B$21</f>
        <v>0.164699041276475</v>
      </c>
      <c r="AK67" s="55">
        <f>Control!$B$21</f>
        <v>0.164699041276475</v>
      </c>
      <c r="AL67" s="53" t="n"/>
      <c r="AM67" s="55">
        <f>Control!$C$21</f>
        <v>0.164699041276475</v>
      </c>
      <c r="AN67" s="55">
        <f>Control!$C$21</f>
        <v>0.164699041276475</v>
      </c>
      <c r="AO67" s="55">
        <f>Control!$C$21</f>
        <v>0.164699041276475</v>
      </c>
      <c r="AP67" s="55">
        <f>Control!$C$21</f>
        <v>0.164699041276475</v>
      </c>
      <c r="AQ67" s="53" t="n"/>
      <c r="AR67" s="55">
        <f>Control!$D$21</f>
        <v>0.164699041276475</v>
      </c>
      <c r="AS67" s="55">
        <f>Control!$D$21</f>
        <v>0.164699041276475</v>
      </c>
      <c r="AT67" s="55">
        <f>Control!$D$21</f>
        <v>0.164699041276475</v>
      </c>
      <c r="AU67" s="55">
        <f>Control!$D$21</f>
        <v>0.164699041276475</v>
      </c>
      <c r="AV67" s="53" t="n"/>
      <c r="AW67" s="55">
        <f>Control!$E$21</f>
        <v>0.164699041276475</v>
      </c>
      <c r="AX67" s="55">
        <f>Control!$E$21</f>
        <v>0.164699041276475</v>
      </c>
      <c r="AY67" s="55">
        <f>Control!$E$21</f>
        <v>0.164699041276475</v>
      </c>
      <c r="AZ67" s="55">
        <f>Control!$E$21</f>
        <v>0.164699041276475</v>
      </c>
      <c r="BA67" s="53" t="n"/>
      <c r="BB67" s="55">
        <f>Control!$F$21</f>
        <v>0.164699041276475</v>
      </c>
      <c r="BC67" s="55">
        <f>Control!$F$21</f>
        <v>0.164699041276475</v>
      </c>
      <c r="BD67" s="55">
        <f>Control!$F$21</f>
        <v>0.164699041276475</v>
      </c>
      <c r="BE67" s="55">
        <f>Control!$F$21</f>
        <v>0.164699041276475</v>
      </c>
      <c r="BF67" s="53" t="n"/>
      <c r="BG67" s="55" t="n"/>
      <c r="BH67" s="55" t="n"/>
      <c r="BI67" s="55" t="n"/>
      <c r="BJ67" s="55" t="n"/>
      <c r="BK67" s="53" t="n"/>
      <c r="BL67" s="55" t="n"/>
      <c r="BM67" s="55" t="n"/>
      <c r="BN67" s="55" t="n"/>
      <c r="BO67" s="55" t="n"/>
      <c r="BP67" s="53" t="n"/>
      <c r="BQ67" s="55" t="n"/>
      <c r="BR67" s="55" t="n"/>
      <c r="BS67" s="55" t="n"/>
      <c r="BT67" s="55" t="n"/>
      <c r="BU67" s="53" t="n"/>
      <c r="BV67" s="55" t="n"/>
      <c r="BW67" s="55" t="n"/>
      <c r="BX67" s="55" t="n"/>
      <c r="BY67" s="55" t="n"/>
      <c r="BZ67" s="53" t="n"/>
      <c r="CA67" s="55" t="n"/>
      <c r="CB67" s="55" t="n"/>
      <c r="CC67" s="55" t="n"/>
      <c r="CD67" s="55" t="n"/>
      <c r="CE67" s="53" t="n"/>
      <c r="CF67" s="55" t="n"/>
      <c r="CG67" s="55" t="n"/>
      <c r="CH67" s="55" t="n"/>
      <c r="CI67" s="55" t="n"/>
      <c r="CJ67" s="53" t="n"/>
      <c r="CK67" s="55" t="n"/>
      <c r="CL67" s="55" t="n"/>
      <c r="CM67" s="55" t="n"/>
      <c r="CN67" s="55" t="n"/>
      <c r="CO67" s="53" t="n"/>
      <c r="CP67" s="55" t="n"/>
      <c r="CQ67" s="55" t="n"/>
      <c r="CR67" s="55" t="n"/>
      <c r="CS67" s="55" t="n"/>
      <c r="CT67" s="53" t="n"/>
      <c r="CU67" s="55" t="n"/>
      <c r="CV67" s="55" t="n"/>
      <c r="CW67" s="55" t="n"/>
      <c r="CX67" s="55" t="n"/>
      <c r="CY67" s="53" t="n"/>
    </row>
    <row r="68" hidden="1" outlineLevel="1">
      <c r="C68" s="50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collapsed="1" customFormat="1" s="32">
      <c r="A69" s="30" t="n"/>
      <c r="B69" s="3" t="n"/>
      <c r="C69" s="33" t="inlineStr">
        <is>
          <t>Operating Profit - EBIT</t>
        </is>
      </c>
      <c r="D69" s="35" t="n"/>
      <c r="E69" s="35" t="n"/>
      <c r="F69" s="35" t="n"/>
      <c r="G69" s="35" t="n"/>
      <c r="H69" s="35" t="n"/>
      <c r="I69" s="35">
        <f>SUM(I65,I66)</f>
        <v>663</v>
      </c>
      <c r="J69" s="35">
        <f>SUM(J65,J66)</f>
        <v>1799</v>
      </c>
      <c r="K69" s="35">
        <f>SUM(K65,K66)</f>
        <v>2955</v>
      </c>
      <c r="L69" s="35">
        <f>SUM(L65,L66)</f>
        <v>2631</v>
      </c>
      <c r="M69" s="35">
        <f>SUM(I69:L69)</f>
        <v>8048</v>
      </c>
      <c r="N69" s="35">
        <f>SUM(N65,N66)</f>
        <v>2546</v>
      </c>
      <c r="O69" s="35">
        <f>SUM(O65,O66)</f>
        <v>3004</v>
      </c>
      <c r="P69" s="35">
        <f>SUM(P65,P66)</f>
        <v>1521</v>
      </c>
      <c r="Q69" s="35">
        <f>SUM(Q65,Q66)</f>
        <v>-209</v>
      </c>
      <c r="R69" s="35">
        <f>SUM(N69:Q69)</f>
        <v>6862</v>
      </c>
      <c r="S69" s="35">
        <f>SUM(S65,S66)</f>
        <v>-2303</v>
      </c>
      <c r="T69" s="35">
        <f>SUM(T65,T66)</f>
        <v>-1761</v>
      </c>
      <c r="U69" s="35">
        <f>SUM(U65,U66)</f>
        <v>-1472</v>
      </c>
      <c r="V69" s="35">
        <f>SUM(V65,V66)</f>
        <v>-1128</v>
      </c>
      <c r="W69" s="35">
        <f>SUM(S69:V69)</f>
        <v>-6664</v>
      </c>
      <c r="X69" s="35">
        <f>SUM(X65,X66)</f>
        <v>191</v>
      </c>
      <c r="Y69" s="35">
        <f>SUM(Y65,Y66)</f>
        <v>719</v>
      </c>
      <c r="Z69" s="35">
        <f>SUM(Z65,Z66)</f>
        <v>1522</v>
      </c>
      <c r="AA69" s="35">
        <f>SUM(AA65,AA66)</f>
        <v>2174</v>
      </c>
      <c r="AB69" s="35">
        <f>SUM(X69:AA69)</f>
        <v>4606</v>
      </c>
      <c r="AC69" s="35">
        <f>SUM(AC65,AC66)</f>
        <v>1773</v>
      </c>
      <c r="AD69" s="35">
        <f>SUM(AD65,AD66)</f>
        <v>2169</v>
      </c>
      <c r="AE69" s="35">
        <f>SUM(AE65,AE66)</f>
        <v>3654</v>
      </c>
      <c r="AF69" s="35">
        <f>SUM(AF65,AF66)</f>
        <v>6136</v>
      </c>
      <c r="AG69" s="35">
        <f>SUM(AC69:AF69)</f>
        <v>13732</v>
      </c>
      <c r="AH69" s="35">
        <f>SUM(AH65,AH66)</f>
        <v>16135</v>
      </c>
      <c r="AI69" s="35">
        <f>SUM(AI65,AI66)</f>
        <v>33318</v>
      </c>
      <c r="AJ69" s="35">
        <f>SUM(AJ65,AJ66)</f>
        <v>11222.335454261</v>
      </c>
      <c r="AK69" s="35">
        <f>SUM(AK65,AK66)</f>
        <v>13531.270225584</v>
      </c>
      <c r="AL69" s="35">
        <f>SUM(AL65,AL66)</f>
        <v>74206.605679845</v>
      </c>
      <c r="AM69" s="35">
        <f>SUM(AM65,AM66)</f>
        <v>23664.5977851231</v>
      </c>
      <c r="AN69" s="35">
        <f>SUM(AN65,AN66)</f>
        <v>41116.4947937998</v>
      </c>
      <c r="AO69" s="35">
        <f>SUM(AO65,AO66)</f>
        <v>24679.5582700893</v>
      </c>
      <c r="AP69" s="35">
        <f>SUM(AP65,AP66)</f>
        <v>29757.2437895562</v>
      </c>
      <c r="AQ69" s="35">
        <f>SUM(AQ65,AQ66)</f>
        <v>119217.894638569</v>
      </c>
      <c r="AR69" s="35">
        <f>SUM(AR65,AR66)</f>
        <v>51923.5913128271</v>
      </c>
      <c r="AS69" s="35">
        <f>SUM(AS65,AS66)</f>
        <v>90215.6077730327</v>
      </c>
      <c r="AT69" s="35">
        <f>SUM(AT65,AT66)</f>
        <v>54150.5631759697</v>
      </c>
      <c r="AU69" s="35">
        <f>SUM(AU65,AU66)</f>
        <v>65291.7484233101</v>
      </c>
      <c r="AV69" s="35">
        <f>SUM(AV65,AV66)</f>
        <v>261581.51068514</v>
      </c>
      <c r="AW69" s="35">
        <f>SUM(AW65,AW66)</f>
        <v>113668.341407122</v>
      </c>
      <c r="AX69" s="35">
        <f>SUM(AX65,AX66)</f>
        <v>197495.170216834</v>
      </c>
      <c r="AY69" s="35">
        <f>SUM(AY65,AY66)</f>
        <v>118543.50877601</v>
      </c>
      <c r="AZ69" s="35">
        <f>SUM(AZ65,AZ66)</f>
        <v>142933.194010703</v>
      </c>
      <c r="BA69" s="35">
        <f>SUM(BA65,BA66)</f>
        <v>572640.214410669</v>
      </c>
      <c r="BB69" s="35">
        <f>SUM(BB65,BB66)</f>
        <v>248268.295196666</v>
      </c>
      <c r="BC69" s="35">
        <f>SUM(BC65,BC66)</f>
        <v>431358.358997191</v>
      </c>
      <c r="BD69" s="35">
        <f>SUM(BD65,BD66)</f>
        <v>258916.374305492</v>
      </c>
      <c r="BE69" s="35">
        <f>SUM(BE65,BE66)</f>
        <v>312187.016760922</v>
      </c>
      <c r="BF69" s="35">
        <f>SUM(BF65,BF66)</f>
        <v>1250730.04526027</v>
      </c>
      <c r="BG69" s="35" t="n"/>
      <c r="BH69" s="35" t="n"/>
      <c r="BI69" s="35" t="n"/>
      <c r="BJ69" s="35" t="n"/>
      <c r="BK69" s="35" t="n"/>
      <c r="BL69" s="35" t="n"/>
      <c r="BM69" s="35" t="n"/>
      <c r="BN69" s="35" t="n"/>
      <c r="BO69" s="35" t="n"/>
      <c r="BP69" s="35" t="n"/>
      <c r="BQ69" s="35" t="n"/>
      <c r="BR69" s="35" t="n"/>
      <c r="BS69" s="35" t="n"/>
      <c r="BT69" s="35" t="n"/>
      <c r="BU69" s="35" t="n"/>
      <c r="BV69" s="35" t="n"/>
      <c r="BW69" s="35" t="n"/>
      <c r="BX69" s="35" t="n"/>
      <c r="BY69" s="35" t="n"/>
      <c r="BZ69" s="35" t="n"/>
      <c r="CA69" s="35" t="n"/>
      <c r="CB69" s="35" t="n"/>
      <c r="CC69" s="35" t="n"/>
      <c r="CD69" s="35" t="n"/>
      <c r="CE69" s="35" t="n"/>
      <c r="CF69" s="35" t="n"/>
      <c r="CG69" s="35" t="n"/>
      <c r="CH69" s="35" t="n"/>
      <c r="CI69" s="35" t="n"/>
      <c r="CJ69" s="35" t="n"/>
      <c r="CK69" s="35" t="n"/>
      <c r="CL69" s="35" t="n"/>
      <c r="CM69" s="35" t="n"/>
      <c r="CN69" s="35" t="n"/>
      <c r="CO69" s="35" t="n"/>
      <c r="CP69" s="35" t="n"/>
      <c r="CQ69" s="35" t="n"/>
      <c r="CR69" s="35" t="n"/>
      <c r="CS69" s="35" t="n"/>
      <c r="CT69" s="35" t="n"/>
      <c r="CU69" s="35" t="n"/>
      <c r="CV69" s="35" t="n"/>
      <c r="CW69" s="35" t="n"/>
      <c r="CX69" s="35" t="n"/>
      <c r="CY69" s="35" t="n"/>
    </row>
    <row r="70">
      <c r="C70" s="14" t="inlineStr">
        <is>
          <t>Interest Expense</t>
        </is>
      </c>
      <c r="D70" s="46" t="n"/>
      <c r="E70" s="46" t="n"/>
      <c r="F70" s="46" t="n"/>
      <c r="G70" s="46" t="n"/>
      <c r="H70" s="12" t="n"/>
      <c r="I70" s="46">
        <f>'Inputs (2)'!D8</f>
        <v>-42</v>
      </c>
      <c r="J70" s="46">
        <f>'Inputs (2)'!E8</f>
        <v>-46</v>
      </c>
      <c r="K70" s="46">
        <f>'Inputs (2)'!F8</f>
        <v>-47</v>
      </c>
      <c r="L70" s="46">
        <f>'Inputs (2)'!G8</f>
        <v>-45</v>
      </c>
      <c r="M70" s="12">
        <f>'Inputs (2)'!H8</f>
        <v>-180</v>
      </c>
      <c r="N70" s="46">
        <f>'Inputs (2)'!I8</f>
        <v>-55</v>
      </c>
      <c r="O70" s="46">
        <f>'Inputs (2)'!J8</f>
        <v>-44</v>
      </c>
      <c r="P70" s="46">
        <f>'Inputs (2)'!K8</f>
        <v>-45</v>
      </c>
      <c r="Q70" s="46">
        <f>'Inputs (2)'!L8</f>
        <v>-51</v>
      </c>
      <c r="R70" s="12">
        <f>'Inputs (2)'!M8</f>
        <v>-195</v>
      </c>
      <c r="S70" s="46">
        <f>'Inputs (2)'!N8</f>
        <v>-89</v>
      </c>
      <c r="T70" s="46">
        <f>'Inputs (2)'!O8</f>
        <v>-119</v>
      </c>
      <c r="U70" s="46">
        <f>'Inputs (2)'!P8</f>
        <v>-129</v>
      </c>
      <c r="V70" s="46">
        <f>'Inputs (2)'!Q8</f>
        <v>-132</v>
      </c>
      <c r="W70" s="12">
        <f>'Inputs (2)'!R8</f>
        <v>-469</v>
      </c>
      <c r="X70" s="46">
        <f>'Inputs (2)'!S8</f>
        <v>-144</v>
      </c>
      <c r="Y70" s="46">
        <f>'Inputs (2)'!T8</f>
        <v>-150</v>
      </c>
      <c r="Z70" s="46">
        <f>'Inputs (2)'!U8</f>
        <v>-136</v>
      </c>
      <c r="AA70" s="46">
        <f>'Inputs (2)'!V8</f>
        <v>-118</v>
      </c>
      <c r="AB70" s="12">
        <f>'Inputs (2)'!W8</f>
        <v>-548</v>
      </c>
      <c r="AC70" s="46">
        <f>'Inputs (2)'!X8</f>
        <v>-112</v>
      </c>
      <c r="AD70" s="46">
        <f>'Inputs (2)'!Y8</f>
        <v>-123</v>
      </c>
      <c r="AE70" s="46">
        <f>'Inputs (2)'!Z8</f>
        <v>-124</v>
      </c>
      <c r="AF70" s="46">
        <f>'Inputs (2)'!AA8</f>
        <v>-74</v>
      </c>
      <c r="AG70" s="12">
        <f>'Inputs (2)'!AB8</f>
        <v>-433</v>
      </c>
      <c r="AH70" s="12">
        <f>'Inputs (2)'!AC8</f>
        <v>-32</v>
      </c>
      <c r="AI70" s="12">
        <f>'Inputs (2)'!AD8</f>
        <v>0</v>
      </c>
      <c r="AJ70" s="12" t="str">
        <f>IF(Control!$E$9="","",-AI88*Control!$E$9/4)</f>
        <v/>
      </c>
      <c r="AK70" s="12" t="str">
        <f>IF(Control!$E$9="","",-AJ88*Control!$E$9/4)</f>
        <v/>
      </c>
      <c r="AL70" s="12">
        <f>SUM(AH70:AK70)</f>
        <v>-32</v>
      </c>
      <c r="AM70" s="12" t="str">
        <f>IF(Control!$E$9="","",-AL88*Control!$E$9/4)</f>
        <v/>
      </c>
      <c r="AN70" s="12" t="str">
        <f>IF(Control!$E$9="","",-AM88*Control!$E$9/4)</f>
        <v/>
      </c>
      <c r="AO70" s="12" t="str">
        <f>IF(Control!$E$9="","",-AN88*Control!$E$9/4)</f>
        <v/>
      </c>
      <c r="AP70" s="12" t="str">
        <f>IF(Control!$E$9="","",-AO88*Control!$E$9/4)</f>
        <v/>
      </c>
      <c r="AQ70" s="12">
        <f>SUM(AM70:AP70)</f>
        <v>0</v>
      </c>
      <c r="AR70" s="12" t="str">
        <f>IF(Control!$E$9="","",-AQ88*Control!$E$9/4)</f>
        <v/>
      </c>
      <c r="AS70" s="12" t="str">
        <f>IF(Control!$E$9="","",-AR88*Control!$E$9/4)</f>
        <v/>
      </c>
      <c r="AT70" s="12" t="str">
        <f>IF(Control!$E$9="","",-AS88*Control!$E$9/4)</f>
        <v/>
      </c>
      <c r="AU70" s="12" t="str">
        <f>IF(Control!$E$9="","",-AT88*Control!$E$9/4)</f>
        <v/>
      </c>
      <c r="AV70" s="12">
        <f>SUM(AR70:AU70)</f>
        <v>0</v>
      </c>
      <c r="AW70" s="12" t="str">
        <f>IF(Control!$E$9="","",-AV88*Control!$E$9/4)</f>
        <v/>
      </c>
      <c r="AX70" s="12" t="str">
        <f>IF(Control!$E$9="","",-AW88*Control!$E$9/4)</f>
        <v/>
      </c>
      <c r="AY70" s="12" t="str">
        <f>IF(Control!$E$9="","",-AX88*Control!$E$9/4)</f>
        <v/>
      </c>
      <c r="AZ70" s="12" t="str">
        <f>IF(Control!$E$9="","",-AY88*Control!$E$9/4)</f>
        <v/>
      </c>
      <c r="BA70" s="12">
        <f>SUM(AW70:AZ70)</f>
        <v>0</v>
      </c>
      <c r="BB70" s="12" t="str">
        <f>IF(Control!$E$9="","",-BA88*Control!$E$9/4)</f>
        <v/>
      </c>
      <c r="BC70" s="12" t="str">
        <f>IF(Control!$E$9="","",-BB88*Control!$E$9/4)</f>
        <v/>
      </c>
      <c r="BD70" s="12" t="str">
        <f>IF(Control!$E$9="","",-BC88*Control!$E$9/4)</f>
        <v/>
      </c>
      <c r="BE70" s="12" t="str">
        <f>IF(Control!$E$9="","",-BD88*Control!$E$9/4)</f>
        <v/>
      </c>
      <c r="BF70" s="12">
        <f>SUM(BB70:BE70)</f>
        <v>0</v>
      </c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0" t="inlineStr">
        <is>
          <t>% of Debt</t>
        </is>
      </c>
      <c r="D71" s="53" t="n"/>
      <c r="E71" s="53" t="n"/>
      <c r="F71" s="53" t="n"/>
      <c r="G71" s="53" t="n"/>
      <c r="H71" s="12" t="n"/>
      <c r="I71" s="53">
        <f>IFERROR(-I70/SUM(I208+I213),"")</f>
        <v>0.006343452650657</v>
      </c>
      <c r="J71" s="53">
        <f>IFERROR(-J70/SUM(J208+J213),"")</f>
        <v>0.00685033507073716</v>
      </c>
      <c r="K71" s="53">
        <f>IFERROR(-K70/SUM(K208+K213),"")</f>
        <v>0.00693624557260921</v>
      </c>
      <c r="L71" s="53">
        <f>IFERROR(-L70/SUM(L208+L213),"")</f>
        <v>0.00640843064653945</v>
      </c>
      <c r="M71" s="12" t="n"/>
      <c r="N71" s="53">
        <f>IFERROR(-N70/SUM(N208+N213),"")</f>
        <v>0.00777275296777841</v>
      </c>
      <c r="O71" s="53">
        <f>IFERROR(-O70/SUM(O208+O213),"")</f>
        <v>0.00631911532385466</v>
      </c>
      <c r="P71" s="53">
        <f>IFERROR(-P70/SUM(P208+P213),"")</f>
        <v>0.00651607298001738</v>
      </c>
      <c r="Q71" s="53">
        <f>IFERROR(-Q70/SUM(Q208+Q213),"")</f>
        <v>0.00496833901607404</v>
      </c>
      <c r="R71" s="12" t="n"/>
      <c r="S71" s="53">
        <f>IFERROR(-S70/SUM(S208+S213),"")</f>
        <v>0.00725109988593776</v>
      </c>
      <c r="T71" s="53">
        <f>IFERROR(-T70/SUM(T208+T213),"")</f>
        <v>0.00898452246130615</v>
      </c>
      <c r="U71" s="53">
        <f>IFERROR(-U70/SUM(U208+U213),"")</f>
        <v>0.00967741935483871</v>
      </c>
      <c r="V71" s="53">
        <f>IFERROR(-V70/SUM(V208+V213),"")</f>
        <v>0.0097741577193632</v>
      </c>
      <c r="W71" s="12" t="n"/>
      <c r="X71" s="53">
        <f>IFERROR(-X70/SUM(X208+X213),"")</f>
        <v>0.0104940970703979</v>
      </c>
      <c r="Y71" s="53">
        <f>IFERROR(-Y70/SUM(Y208+Y213),"")</f>
        <v>0.0113139236687283</v>
      </c>
      <c r="Z71" s="53">
        <f>IFERROR(-Z70/SUM(Z208+Z213),"")</f>
        <v>0.010151526461148</v>
      </c>
      <c r="AA71" s="53">
        <f>IFERROR(-AA70/SUM(AA208+AA213),"")</f>
        <v>0.00856002901704752</v>
      </c>
      <c r="AB71" s="12" t="n"/>
      <c r="AC71" s="53">
        <f>IFERROR(-AC70/SUM(AC208+AC213),"")</f>
        <v>0.00780215952629746</v>
      </c>
      <c r="AD71" s="53">
        <f>IFERROR(-AD70/SUM(AD208+AD213),"")</f>
        <v>0.00791454861334535</v>
      </c>
      <c r="AE71" s="53">
        <f>IFERROR(-AE70/SUM(AE208+AE213),"")</f>
        <v>0.00850655141661522</v>
      </c>
      <c r="AF71" s="55">
        <f>IFERROR(-AF70/SUM(AF208+AF213),"")</f>
        <v>0.00629465804695475</v>
      </c>
      <c r="AG71" s="12" t="n"/>
      <c r="AH71" s="11">
        <f>IFERROR(-AH70/SUM(AH208+AH213),"")</f>
        <v>0.00315519621376454</v>
      </c>
      <c r="AI71" s="11">
        <f>IFERROR(-AI70/SUM(AI208+AI213),"")</f>
        <v>0</v>
      </c>
      <c r="AJ71" s="11" t="str">
        <f>IFERROR(Control!$E$9,0)</f>
        <v/>
      </c>
      <c r="AK71" s="11" t="str">
        <f>IFERROR(Control!$E$9,0)</f>
        <v/>
      </c>
      <c r="AL71" s="12" t="n"/>
      <c r="AM71" s="11" t="str">
        <f>IFERROR(Control!$E$9,0)</f>
        <v/>
      </c>
      <c r="AN71" s="11" t="str">
        <f>IFERROR(Control!$E$9,0)</f>
        <v/>
      </c>
      <c r="AO71" s="11" t="str">
        <f>IFERROR(Control!$E$9,0)</f>
        <v/>
      </c>
      <c r="AP71" s="11" t="str">
        <f>IFERROR(Control!$E$9,0)</f>
        <v/>
      </c>
      <c r="AQ71" s="12" t="n"/>
      <c r="AR71" s="11" t="str">
        <f>IFERROR(Control!$E$9,0)</f>
        <v/>
      </c>
      <c r="AS71" s="11" t="str">
        <f>IFERROR(Control!$E$9,0)</f>
        <v/>
      </c>
      <c r="AT71" s="11" t="str">
        <f>IFERROR(Control!$E$9,0)</f>
        <v/>
      </c>
      <c r="AU71" s="11" t="str">
        <f>IFERROR(Control!$E$9,0)</f>
        <v/>
      </c>
      <c r="AV71" s="12" t="n"/>
      <c r="AW71" s="11" t="str">
        <f>IFERROR(Control!$E$9,0)</f>
        <v/>
      </c>
      <c r="AX71" s="11" t="str">
        <f>IFERROR(Control!$E$9,0)</f>
        <v/>
      </c>
      <c r="AY71" s="11" t="str">
        <f>IFERROR(Control!$E$9,0)</f>
        <v/>
      </c>
      <c r="AZ71" s="11" t="str">
        <f>IFERROR(Control!$E$9,0)</f>
        <v/>
      </c>
      <c r="BA71" s="12" t="n"/>
      <c r="BB71" s="11" t="str">
        <f>IFERROR(Control!$E$9,0)</f>
        <v/>
      </c>
      <c r="BC71" s="11" t="str">
        <f>IFERROR(Control!$E$9,0)</f>
        <v/>
      </c>
      <c r="BD71" s="11" t="str">
        <f>IFERROR(Control!$E$9,0)</f>
        <v/>
      </c>
      <c r="BE71" s="11" t="str">
        <f>IFERROR(Control!$E$9,0)</f>
        <v/>
      </c>
      <c r="BF71" s="12" t="n"/>
      <c r="BG71" s="11" t="n"/>
      <c r="BH71" s="11" t="n"/>
      <c r="BI71" s="11" t="n"/>
      <c r="BJ71" s="11" t="n"/>
      <c r="BK71" s="12" t="n"/>
      <c r="BL71" s="11" t="n"/>
      <c r="BM71" s="11" t="n"/>
      <c r="BN71" s="11" t="n"/>
      <c r="BO71" s="11" t="n"/>
      <c r="BP71" s="12" t="n"/>
      <c r="BQ71" s="11" t="n"/>
      <c r="BR71" s="11" t="n"/>
      <c r="BS71" s="11" t="n"/>
      <c r="BT71" s="11" t="n"/>
      <c r="BU71" s="12" t="n"/>
      <c r="BV71" s="11" t="n"/>
      <c r="BW71" s="11" t="n"/>
      <c r="BX71" s="11" t="n"/>
      <c r="BY71" s="11" t="n"/>
      <c r="BZ71" s="12" t="n"/>
      <c r="CA71" s="11" t="n"/>
      <c r="CB71" s="11" t="n"/>
      <c r="CC71" s="11" t="n"/>
      <c r="CD71" s="11" t="n"/>
      <c r="CE71" s="12" t="n"/>
      <c r="CF71" s="11" t="n"/>
      <c r="CG71" s="11" t="n"/>
      <c r="CH71" s="11" t="n"/>
      <c r="CI71" s="11" t="n"/>
      <c r="CJ71" s="12" t="n"/>
      <c r="CK71" s="11" t="n"/>
      <c r="CL71" s="11" t="n"/>
      <c r="CM71" s="11" t="n"/>
      <c r="CN71" s="11" t="n"/>
      <c r="CO71" s="12" t="n"/>
      <c r="CP71" s="11" t="n"/>
      <c r="CQ71" s="11" t="n"/>
      <c r="CR71" s="11" t="n"/>
      <c r="CS71" s="11" t="n"/>
      <c r="CT71" s="12" t="n"/>
      <c r="CU71" s="11" t="n"/>
      <c r="CV71" s="11" t="n"/>
      <c r="CW71" s="11" t="n"/>
      <c r="CX71" s="11" t="n"/>
      <c r="CY71" s="12" t="n"/>
    </row>
    <row r="72" hidden="1" outlineLevel="1">
      <c r="C72" s="50" t="inlineStr">
        <is>
          <t>%CDI</t>
        </is>
      </c>
      <c r="D72" s="11" t="n"/>
      <c r="E72" s="11" t="n"/>
      <c r="F72" s="11" t="n"/>
      <c r="G72" s="11" t="n"/>
      <c r="H72" s="12" t="n"/>
      <c r="I72" s="11" t="n"/>
      <c r="J72" s="11" t="n"/>
      <c r="K72" s="11" t="n"/>
      <c r="L72" s="11" t="n"/>
      <c r="M72" s="12" t="n"/>
      <c r="N72" s="11" t="n"/>
      <c r="O72" s="11" t="n"/>
      <c r="P72" s="11" t="n"/>
      <c r="Q72" s="11" t="n"/>
      <c r="R72" s="12" t="n"/>
      <c r="S72" s="11" t="n"/>
      <c r="T72" s="11" t="n"/>
      <c r="U72" s="11" t="n"/>
      <c r="V72" s="11" t="n"/>
      <c r="W72" s="12" t="n"/>
      <c r="X72" s="11" t="n"/>
      <c r="Y72" s="11" t="n"/>
      <c r="Z72" s="11" t="n"/>
      <c r="AA72" s="11" t="n"/>
      <c r="AB72" s="12" t="n"/>
      <c r="AC72" s="11" t="n"/>
      <c r="AD72" s="11" t="n"/>
      <c r="AE72" s="11" t="n"/>
      <c r="AF72" s="11" t="n"/>
      <c r="AG72" s="12" t="n"/>
      <c r="AH72" s="11" t="n"/>
      <c r="AI72" s="11" t="n"/>
      <c r="AJ72" s="11" t="n"/>
      <c r="AK72" s="11" t="n"/>
      <c r="AL72" s="12" t="n"/>
      <c r="AM72" s="11" t="n"/>
      <c r="AN72" s="11" t="n"/>
      <c r="AO72" s="11" t="n"/>
      <c r="AP72" s="11" t="n"/>
      <c r="AQ72" s="12" t="n"/>
      <c r="AR72" s="11" t="n"/>
      <c r="AS72" s="11" t="n"/>
      <c r="AT72" s="11" t="n"/>
      <c r="AU72" s="11" t="n"/>
      <c r="AV72" s="12" t="n"/>
      <c r="AW72" s="11" t="n"/>
      <c r="AX72" s="11" t="n"/>
      <c r="AY72" s="11" t="n"/>
      <c r="AZ72" s="11" t="n"/>
      <c r="BA72" s="12" t="n"/>
      <c r="BB72" s="11" t="n"/>
      <c r="BC72" s="11" t="n"/>
      <c r="BD72" s="11" t="n"/>
      <c r="BE72" s="11" t="n"/>
      <c r="BF72" s="12" t="n"/>
      <c r="BG72" s="11" t="n"/>
      <c r="BH72" s="11" t="n"/>
      <c r="BI72" s="11" t="n"/>
      <c r="BJ72" s="11" t="n"/>
      <c r="BK72" s="12" t="n"/>
      <c r="BL72" s="11" t="n"/>
      <c r="BM72" s="11" t="n"/>
      <c r="BN72" s="11" t="n"/>
      <c r="BO72" s="11" t="n"/>
      <c r="BP72" s="12" t="n"/>
      <c r="BQ72" s="11" t="n"/>
      <c r="BR72" s="11" t="n"/>
      <c r="BS72" s="11" t="n"/>
      <c r="BT72" s="11" t="n"/>
      <c r="BU72" s="12" t="n"/>
      <c r="BV72" s="11" t="n"/>
      <c r="BW72" s="11" t="n"/>
      <c r="BX72" s="11" t="n"/>
      <c r="BY72" s="11" t="n"/>
      <c r="BZ72" s="12" t="n"/>
      <c r="CA72" s="11" t="n"/>
      <c r="CB72" s="11" t="n"/>
      <c r="CC72" s="11" t="n"/>
      <c r="CD72" s="11" t="n"/>
      <c r="CE72" s="12" t="n"/>
      <c r="CF72" s="11" t="n"/>
      <c r="CG72" s="11" t="n"/>
      <c r="CH72" s="11" t="n"/>
      <c r="CI72" s="11" t="n"/>
      <c r="CJ72" s="12" t="n"/>
      <c r="CK72" s="11" t="n"/>
      <c r="CL72" s="11" t="n"/>
      <c r="CM72" s="11" t="n"/>
      <c r="CN72" s="11" t="n"/>
      <c r="CO72" s="12" t="n"/>
      <c r="CP72" s="11" t="n"/>
      <c r="CQ72" s="11" t="n"/>
      <c r="CR72" s="11" t="n"/>
      <c r="CS72" s="11" t="n"/>
      <c r="CT72" s="12" t="n"/>
      <c r="CU72" s="11" t="n"/>
      <c r="CV72" s="11" t="n"/>
      <c r="CW72" s="11" t="n"/>
      <c r="CX72" s="11" t="n"/>
      <c r="CY72" s="12" t="n"/>
    </row>
    <row r="73" hidden="1" outlineLevel="1">
      <c r="C73" s="57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RECEITA FINANCEIRA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DESPESA FINANCEIRA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OUTROS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Cash and equivalents (inc. investment securities)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Interest on cash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Average interest rate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% CDI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Current portion of long-term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Short term debt (Revolving credit facility)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Long term debt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Convertible debt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Total debt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Interest expense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Average interest rate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Stake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PRE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CDI+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Spread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PRE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CDI+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Rendimentos de aplicações financeiras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Variação cambial ativa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Atualização de contas a pagar por aquisição de empresas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RECEITAS FINANCEIRAS - Resultado positivo com instrumentos derivativos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Descontos obtidos de fornecedores por antecipação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RECEITAS FINANCEIRAS - Atualização monetária sobre Exclusão ICMS da base de PIS/COFINS (nota explicativa nº 7)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Outras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Encargos sobre empréstimos, financiamentos e debêntures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Variação cambial passiva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Resultado negativo com instrumentos derivativos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Juros sobre arrendamento - IFRS16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Despesas bancárias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Despesas com obtenção de empréstimos e financiamentos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Atualização de contas a pagar por aquisição de empresas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Outras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CHECK [EX IFRS-16]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collapsed="1">
      <c r="C119" s="14" t="inlineStr">
        <is>
          <t>Nonoperating Income / (Loss)</t>
        </is>
      </c>
      <c r="D119" s="46" t="n"/>
      <c r="E119" s="46" t="n"/>
      <c r="F119" s="46" t="n"/>
      <c r="G119" s="46" t="n"/>
      <c r="H119" s="12" t="n"/>
      <c r="I119" s="46">
        <f>'Inputs (2)'!D9</f>
        <v>14</v>
      </c>
      <c r="J119" s="46">
        <f>'Inputs (2)'!E9</f>
        <v>53</v>
      </c>
      <c r="K119" s="46">
        <f>'Inputs (2)'!F9</f>
        <v>28</v>
      </c>
      <c r="L119" s="46">
        <f>'Inputs (2)'!G9</f>
        <v>-65</v>
      </c>
      <c r="M119" s="12">
        <f>'Inputs (2)'!H9</f>
        <v>30</v>
      </c>
      <c r="N119" s="46">
        <f>'Inputs (2)'!I9</f>
        <v>18</v>
      </c>
      <c r="O119" s="46">
        <f>'Inputs (2)'!J9</f>
        <v>28</v>
      </c>
      <c r="P119" s="46">
        <f>'Inputs (2)'!K9</f>
        <v>77</v>
      </c>
      <c r="Q119" s="46">
        <f>'Inputs (2)'!L9</f>
        <v>84</v>
      </c>
      <c r="R119" s="12">
        <f>'Inputs (2)'!M9</f>
        <v>207</v>
      </c>
      <c r="S119" s="46">
        <f>'Inputs (2)'!N9</f>
        <v>121</v>
      </c>
      <c r="T119" s="46">
        <f>'Inputs (2)'!O9</f>
        <v>127</v>
      </c>
      <c r="U119" s="46">
        <f>'Inputs (2)'!P9</f>
        <v>143</v>
      </c>
      <c r="V119" s="46">
        <f>'Inputs (2)'!Q9</f>
        <v>105</v>
      </c>
      <c r="W119" s="12">
        <f>'Inputs (2)'!R9</f>
        <v>496</v>
      </c>
      <c r="X119" s="46">
        <f>'Inputs (2)'!S9</f>
        <v>123</v>
      </c>
      <c r="Y119" s="46">
        <f>'Inputs (2)'!T9</f>
        <v>146</v>
      </c>
      <c r="Z119" s="46">
        <f>'Inputs (2)'!U9</f>
        <v>124</v>
      </c>
      <c r="AA119" s="46">
        <f>'Inputs (2)'!V9</f>
        <v>96</v>
      </c>
      <c r="AB119" s="12">
        <f>'Inputs (2)'!W9</f>
        <v>489</v>
      </c>
      <c r="AC119" s="46">
        <f>'Inputs (2)'!X9</f>
        <v>97</v>
      </c>
      <c r="AD119" s="46">
        <f>'Inputs (2)'!Y9</f>
        <v>67</v>
      </c>
      <c r="AE119" s="46">
        <f>'Inputs (2)'!Z9</f>
        <v>101</v>
      </c>
      <c r="AF119" s="46">
        <f>'Inputs (2)'!AA9</f>
        <v>-1</v>
      </c>
      <c r="AG119" s="12">
        <f>'Inputs (2)'!AB9</f>
        <v>264</v>
      </c>
      <c r="AH119" s="12">
        <f>'Inputs (2)'!AC9</f>
        <v>57</v>
      </c>
      <c r="AI119" s="12">
        <f>'Inputs (2)'!AD9</f>
        <v>-106</v>
      </c>
      <c r="AJ119" s="12">
        <f>AJ15*Control!$B$23</f>
        <v>49.7074957392631</v>
      </c>
      <c r="AK119" s="12">
        <f>AK15*Control!$B$23</f>
        <v>59.9345439125733</v>
      </c>
      <c r="AL119" s="12">
        <f>SUM(AH119:AK119)</f>
        <v>60.6420396518365</v>
      </c>
      <c r="AM119" s="12">
        <f>AM15*Control!$C$23</f>
        <v>104.818457652569</v>
      </c>
      <c r="AN119" s="12">
        <f>AN15*Control!$C$23</f>
        <v>182.118775374891</v>
      </c>
      <c r="AO119" s="12">
        <f>AO15*Control!$C$23</f>
        <v>109.314058785471</v>
      </c>
      <c r="AP119" s="12">
        <f>AP15*Control!$C$23</f>
        <v>131.804834645177</v>
      </c>
      <c r="AQ119" s="12">
        <f>SUM(AM119:AP119)</f>
        <v>528.056126458108</v>
      </c>
      <c r="AR119" s="12">
        <f>AR15*Control!$D$23</f>
        <v>229.987038301338</v>
      </c>
      <c r="AS119" s="12">
        <f>AS15*Control!$D$23</f>
        <v>399.595249782911</v>
      </c>
      <c r="AT119" s="12">
        <f>AT15*Control!$D$23</f>
        <v>239.85104520523</v>
      </c>
      <c r="AU119" s="12">
        <f>AU15*Control!$D$23</f>
        <v>289.199099402116</v>
      </c>
      <c r="AV119" s="12">
        <f>SUM(AR119:AU119)</f>
        <v>1158.6324326916</v>
      </c>
      <c r="AW119" s="12">
        <f>AW15*Control!$E$23</f>
        <v>503.475289899512</v>
      </c>
      <c r="AX119" s="12">
        <f>AX15*Control!$E$23</f>
        <v>874.772490279723</v>
      </c>
      <c r="AY119" s="12">
        <f>AY15*Control!$E$23</f>
        <v>525.069044800607</v>
      </c>
      <c r="AZ119" s="12">
        <f>AZ15*Control!$E$23</f>
        <v>633.099158481191</v>
      </c>
      <c r="BA119" s="12">
        <f>SUM(AW119:AZ119)</f>
        <v>2536.41598346103</v>
      </c>
      <c r="BB119" s="12">
        <f>BB15*Control!$F$23</f>
        <v>1099.66372650148</v>
      </c>
      <c r="BC119" s="12">
        <f>BC15*Control!$F$23</f>
        <v>1910.63115866913</v>
      </c>
      <c r="BD119" s="12">
        <f>BD15*Control!$F$23</f>
        <v>1146.82764786977</v>
      </c>
      <c r="BE119" s="12">
        <f>BE15*Control!$F$23</f>
        <v>1382.78122844784</v>
      </c>
      <c r="BF119" s="12">
        <f>SUM(BB119:BE119)</f>
        <v>5539.90376148822</v>
      </c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0" t="inlineStr">
        <is>
          <t>Resultado Não Recorrente</t>
        </is>
      </c>
      <c r="D121" s="11" t="n"/>
      <c r="E121" s="11" t="n"/>
      <c r="F121" s="11" t="n"/>
      <c r="G121" s="11" t="n"/>
      <c r="H121" s="12" t="n"/>
      <c r="I121" s="11" t="n"/>
      <c r="J121" s="11" t="n"/>
      <c r="K121" s="11" t="n"/>
      <c r="L121" s="11" t="n"/>
      <c r="M121" s="12" t="n"/>
      <c r="N121" s="11" t="n"/>
      <c r="O121" s="11" t="n"/>
      <c r="P121" s="11" t="n"/>
      <c r="Q121" s="11" t="n"/>
      <c r="R121" s="12" t="n"/>
      <c r="S121" s="11" t="n"/>
      <c r="T121" s="11" t="n"/>
      <c r="U121" s="11" t="n"/>
      <c r="V121" s="11" t="n"/>
      <c r="W121" s="12" t="n"/>
      <c r="X121" s="11" t="n"/>
      <c r="Y121" s="11" t="n"/>
      <c r="Z121" s="11" t="n"/>
      <c r="AA121" s="11" t="n"/>
      <c r="AB121" s="12" t="n"/>
      <c r="AC121" s="11" t="n"/>
      <c r="AD121" s="11" t="n"/>
      <c r="AE121" s="11" t="n"/>
      <c r="AF121" s="11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0" t="inlineStr">
        <is>
          <t>Plano de Opção de Compra de Ações</t>
        </is>
      </c>
      <c r="D122" s="11" t="n"/>
      <c r="E122" s="11" t="n"/>
      <c r="F122" s="11" t="n"/>
      <c r="G122" s="11" t="n"/>
      <c r="H122" s="12" t="n"/>
      <c r="I122" s="11" t="n"/>
      <c r="J122" s="11" t="n"/>
      <c r="K122" s="11" t="n"/>
      <c r="L122" s="11" t="n"/>
      <c r="M122" s="12" t="n"/>
      <c r="N122" s="11" t="n"/>
      <c r="O122" s="11" t="n"/>
      <c r="P122" s="11" t="n"/>
      <c r="Q122" s="11" t="n"/>
      <c r="R122" s="12" t="n"/>
      <c r="S122" s="11" t="n"/>
      <c r="T122" s="11" t="n"/>
      <c r="U122" s="11" t="n"/>
      <c r="V122" s="11" t="n"/>
      <c r="W122" s="12" t="n"/>
      <c r="X122" s="11" t="n"/>
      <c r="Y122" s="11" t="n"/>
      <c r="Z122" s="11" t="n"/>
      <c r="AA122" s="11" t="n"/>
      <c r="AB122" s="12" t="n"/>
      <c r="AC122" s="11" t="n"/>
      <c r="AD122" s="11" t="n"/>
      <c r="AE122" s="11" t="n"/>
      <c r="AF122" s="11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0" t="inlineStr">
        <is>
          <t>Baixa Imobilizado</t>
        </is>
      </c>
      <c r="D123" s="11" t="n"/>
      <c r="E123" s="11" t="n"/>
      <c r="F123" s="11" t="n"/>
      <c r="G123" s="11" t="n"/>
      <c r="H123" s="12" t="n"/>
      <c r="I123" s="11" t="n"/>
      <c r="J123" s="11" t="n"/>
      <c r="K123" s="11" t="n"/>
      <c r="L123" s="11" t="n"/>
      <c r="M123" s="12" t="n"/>
      <c r="N123" s="11" t="n"/>
      <c r="O123" s="11" t="n"/>
      <c r="P123" s="11" t="n"/>
      <c r="Q123" s="11" t="n"/>
      <c r="R123" s="12" t="n"/>
      <c r="S123" s="11" t="n"/>
      <c r="T123" s="11" t="n"/>
      <c r="U123" s="11" t="n"/>
      <c r="V123" s="11" t="n"/>
      <c r="W123" s="12" t="n"/>
      <c r="X123" s="11" t="n"/>
      <c r="Y123" s="11" t="n"/>
      <c r="Z123" s="11" t="n"/>
      <c r="AA123" s="11" t="n"/>
      <c r="AB123" s="12" t="n"/>
      <c r="AC123" s="11" t="n"/>
      <c r="AD123" s="11" t="n"/>
      <c r="AE123" s="11" t="n"/>
      <c r="AF123" s="11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collapsed="1" customFormat="1" s="32">
      <c r="A126" s="30" t="n"/>
      <c r="B126" s="3" t="n"/>
      <c r="C126" s="33" t="inlineStr">
        <is>
          <t>Pretax Income - EBT</t>
        </is>
      </c>
      <c r="D126" s="35" t="n"/>
      <c r="E126" s="35" t="n"/>
      <c r="F126" s="35" t="n"/>
      <c r="G126" s="35" t="n"/>
      <c r="H126" s="35" t="n"/>
      <c r="I126" s="35">
        <f>SUM(I69,I70,I119)</f>
        <v>635</v>
      </c>
      <c r="J126" s="35">
        <f>SUM(J69,J70,J119)</f>
        <v>1806</v>
      </c>
      <c r="K126" s="35">
        <f>SUM(K69,K70,K119)</f>
        <v>2936</v>
      </c>
      <c r="L126" s="35">
        <f>SUM(L69,L70,L119)</f>
        <v>2521</v>
      </c>
      <c r="M126" s="35">
        <f>SUM(I126:L126)</f>
        <v>7898</v>
      </c>
      <c r="N126" s="35">
        <f>SUM(N69,N70,N119)</f>
        <v>2509</v>
      </c>
      <c r="O126" s="35">
        <f>SUM(O69,O70,O119)</f>
        <v>2988</v>
      </c>
      <c r="P126" s="35">
        <f>SUM(P69,P70,P119)</f>
        <v>1553</v>
      </c>
      <c r="Q126" s="35">
        <f>SUM(Q69,Q70,Q119)</f>
        <v>-176</v>
      </c>
      <c r="R126" s="35">
        <f>SUM(N126:Q126)</f>
        <v>6874</v>
      </c>
      <c r="S126" s="35">
        <f>SUM(S69,S70,S119)</f>
        <v>-2271</v>
      </c>
      <c r="T126" s="35">
        <f>SUM(T69,T70,T119)</f>
        <v>-1753</v>
      </c>
      <c r="U126" s="35">
        <f>SUM(U69,U70,U119)</f>
        <v>-1458</v>
      </c>
      <c r="V126" s="35">
        <f>SUM(V69,V70,V119)</f>
        <v>-1155</v>
      </c>
      <c r="W126" s="35">
        <f>SUM(S126:V126)</f>
        <v>-6637</v>
      </c>
      <c r="X126" s="35">
        <f>SUM(X69,X70,X119)</f>
        <v>170</v>
      </c>
      <c r="Y126" s="35">
        <f>SUM(Y69,Y70,Y119)</f>
        <v>715</v>
      </c>
      <c r="Z126" s="35">
        <f>SUM(Z69,Z70,Z119)</f>
        <v>1510</v>
      </c>
      <c r="AA126" s="35">
        <f>SUM(AA69,AA70,AA119)</f>
        <v>2152</v>
      </c>
      <c r="AB126" s="35">
        <f>SUM(X126:AA126)</f>
        <v>4547</v>
      </c>
      <c r="AC126" s="35">
        <f>SUM(AC69,AC70,AC119)</f>
        <v>1758</v>
      </c>
      <c r="AD126" s="35">
        <f>SUM(AD69,AD70,AD119)</f>
        <v>2113</v>
      </c>
      <c r="AE126" s="35">
        <f>SUM(AE69,AE70,AE119)</f>
        <v>3631</v>
      </c>
      <c r="AF126" s="35">
        <f>SUM(AF69,AF70,AF119)</f>
        <v>6061</v>
      </c>
      <c r="AG126" s="35">
        <f>SUM(AC126:AF126)</f>
        <v>13563</v>
      </c>
      <c r="AH126" s="35">
        <f>SUM(AH69,AH70,AH119)</f>
        <v>16160</v>
      </c>
      <c r="AI126" s="35">
        <f>SUM(AI69,AI70,AI119)</f>
        <v>33212</v>
      </c>
      <c r="AJ126" s="35">
        <f>SUM(AJ69,AJ70,AJ119:AJ124)</f>
        <v>11272.0429500003</v>
      </c>
      <c r="AK126" s="35">
        <f>SUM(AK69,AK70,AK119:AK124)</f>
        <v>13591.2047694966</v>
      </c>
      <c r="AL126" s="35">
        <f>SUM(AH126:AK126)</f>
        <v>74235.2477194969</v>
      </c>
      <c r="AM126" s="35">
        <f>SUM(AM69,AM70,AM119:AM124)</f>
        <v>23769.4162427757</v>
      </c>
      <c r="AN126" s="35">
        <f>SUM(AN69,AN70,AN119:AN124)</f>
        <v>41298.6135691747</v>
      </c>
      <c r="AO126" s="35">
        <f>SUM(AO69,AO70,AO119:AO124)</f>
        <v>24788.8723288748</v>
      </c>
      <c r="AP126" s="35">
        <f>SUM(AP69,AP70,AP119:AP124)</f>
        <v>29889.0486242014</v>
      </c>
      <c r="AQ126" s="35">
        <f>SUM(AM126:AP126)</f>
        <v>119745.950765027</v>
      </c>
      <c r="AR126" s="35">
        <f>SUM(AR69,AR70,AR119:AR124)</f>
        <v>52153.5783511284</v>
      </c>
      <c r="AS126" s="35">
        <f>SUM(AS69,AS70,AS119:AS124)</f>
        <v>90615.2030228156</v>
      </c>
      <c r="AT126" s="35">
        <f>SUM(AT69,AT70,AT119:AT124)</f>
        <v>54390.4142211749</v>
      </c>
      <c r="AU126" s="35">
        <f>SUM(AU69,AU70,AU119:AU124)</f>
        <v>65580.9475227122</v>
      </c>
      <c r="AV126" s="35">
        <f>SUM(AR126:AU126)</f>
        <v>262740.143117831</v>
      </c>
      <c r="AW126" s="35">
        <f>SUM(AW69,AW70,AW119:AW124)</f>
        <v>114171.816697022</v>
      </c>
      <c r="AX126" s="35">
        <f>SUM(AX69,AX70,AX119:AX124)</f>
        <v>198369.942707114</v>
      </c>
      <c r="AY126" s="35">
        <f>SUM(AY69,AY70,AY119:AY124)</f>
        <v>119068.577820811</v>
      </c>
      <c r="AZ126" s="35">
        <f>SUM(AZ69,AZ70,AZ119:AZ124)</f>
        <v>143566.293169184</v>
      </c>
      <c r="BA126" s="35">
        <f>SUM(AW126:AZ126)</f>
        <v>575176.630394131</v>
      </c>
      <c r="BB126" s="35">
        <f>SUM(BB69,BB70,BB119:BB124)</f>
        <v>249367.958923167</v>
      </c>
      <c r="BC126" s="35">
        <f>SUM(BC69,BC70,BC119:BC124)</f>
        <v>433268.99015586</v>
      </c>
      <c r="BD126" s="35">
        <f>SUM(BD69,BD70,BD119:BD124)</f>
        <v>260063.201953362</v>
      </c>
      <c r="BE126" s="35">
        <f>SUM(BE69,BE70,BE119:BE124)</f>
        <v>313569.79798937</v>
      </c>
      <c r="BF126" s="35">
        <f>SUM(BB126:BE126)</f>
        <v>1256269.94902176</v>
      </c>
      <c r="BG126" s="35" t="n"/>
      <c r="BH126" s="35" t="n"/>
      <c r="BI126" s="35" t="n"/>
      <c r="BJ126" s="35" t="n"/>
      <c r="BK126" s="35" t="n"/>
      <c r="BL126" s="35" t="n"/>
      <c r="BM126" s="35" t="n"/>
      <c r="BN126" s="35" t="n"/>
      <c r="BO126" s="35" t="n"/>
      <c r="BP126" s="35" t="n"/>
      <c r="BQ126" s="35" t="n"/>
      <c r="BR126" s="35" t="n"/>
      <c r="BS126" s="35" t="n"/>
      <c r="BT126" s="35" t="n"/>
      <c r="BU126" s="35" t="n"/>
      <c r="BV126" s="35" t="n"/>
      <c r="BW126" s="35" t="n"/>
      <c r="BX126" s="35" t="n"/>
      <c r="BY126" s="35" t="n"/>
      <c r="BZ126" s="35" t="n"/>
      <c r="CA126" s="35" t="n"/>
      <c r="CB126" s="35" t="n"/>
      <c r="CC126" s="35" t="n"/>
      <c r="CD126" s="35" t="n"/>
      <c r="CE126" s="35" t="n"/>
      <c r="CF126" s="35" t="n"/>
      <c r="CG126" s="35" t="n"/>
      <c r="CH126" s="35" t="n"/>
      <c r="CI126" s="35" t="n"/>
      <c r="CJ126" s="35" t="n"/>
      <c r="CK126" s="35" t="n"/>
      <c r="CL126" s="35" t="n"/>
      <c r="CM126" s="35" t="n"/>
      <c r="CN126" s="35" t="n"/>
      <c r="CO126" s="35" t="n"/>
      <c r="CP126" s="35" t="n"/>
      <c r="CQ126" s="35" t="n"/>
      <c r="CR126" s="35" t="n"/>
      <c r="CS126" s="35" t="n"/>
      <c r="CT126" s="35" t="n"/>
      <c r="CU126" s="35" t="n"/>
      <c r="CV126" s="35" t="n"/>
      <c r="CW126" s="35" t="n"/>
      <c r="CX126" s="35" t="n"/>
      <c r="CY126" s="35" t="n"/>
    </row>
    <row r="127">
      <c r="C127" s="14" t="inlineStr">
        <is>
          <t>Taxes</t>
        </is>
      </c>
      <c r="D127" s="46" t="n"/>
      <c r="E127" s="46" t="n"/>
      <c r="F127" s="46" t="n"/>
      <c r="G127" s="46" t="n"/>
      <c r="H127" s="12" t="n"/>
      <c r="I127" s="46">
        <f>'Inputs (2)'!D10</f>
        <v>-48</v>
      </c>
      <c r="J127" s="46">
        <f>'Inputs (2)'!E10</f>
        <v>-65</v>
      </c>
      <c r="K127" s="46">
        <f>'Inputs (2)'!F10</f>
        <v>-230</v>
      </c>
      <c r="L127" s="46">
        <f>'Inputs (2)'!G10</f>
        <v>-219</v>
      </c>
      <c r="M127" s="12">
        <f>'Inputs (2)'!H10</f>
        <v>-562</v>
      </c>
      <c r="N127" s="46">
        <f>'Inputs (2)'!I10</f>
        <v>-255</v>
      </c>
      <c r="O127" s="46">
        <f>'Inputs (2)'!J10</f>
        <v>-358</v>
      </c>
      <c r="P127" s="46">
        <f>'Inputs (2)'!K10</f>
        <v>-56</v>
      </c>
      <c r="Q127" s="46">
        <f>'Inputs (2)'!L10</f>
        <v>-8</v>
      </c>
      <c r="R127" s="12">
        <f>'Inputs (2)'!M10</f>
        <v>-677</v>
      </c>
      <c r="S127" s="46">
        <f>'Inputs (2)'!N10</f>
        <v>-54</v>
      </c>
      <c r="T127" s="46">
        <f>'Inputs (2)'!O10</f>
        <v>-139</v>
      </c>
      <c r="U127" s="46">
        <f>'Inputs (2)'!P10</f>
        <v>24</v>
      </c>
      <c r="V127" s="46">
        <f>'Inputs (2)'!Q10</f>
        <v>-73</v>
      </c>
      <c r="W127" s="12">
        <f>'Inputs (2)'!R10</f>
        <v>-242</v>
      </c>
      <c r="X127" s="46">
        <f>'Inputs (2)'!S10</f>
        <v>622</v>
      </c>
      <c r="Y127" s="46">
        <f>'Inputs (2)'!T10</f>
        <v>-377</v>
      </c>
      <c r="Z127" s="46">
        <f>'Inputs (2)'!U10</f>
        <v>-623</v>
      </c>
      <c r="AA127" s="46">
        <f>'Inputs (2)'!V10</f>
        <v>-283</v>
      </c>
      <c r="AB127" s="12">
        <f>'Inputs (2)'!W10</f>
        <v>-661</v>
      </c>
      <c r="AC127" s="46">
        <f>'Inputs (2)'!X10</f>
        <v>-177</v>
      </c>
      <c r="AD127" s="46">
        <f>'Inputs (2)'!Y10</f>
        <v>-235</v>
      </c>
      <c r="AE127" s="46">
        <f>'Inputs (2)'!Z10</f>
        <v>-429</v>
      </c>
      <c r="AF127" s="46">
        <f>'Inputs (2)'!AA10</f>
        <v>-829</v>
      </c>
      <c r="AG127" s="12">
        <f>'Inputs (2)'!AB10</f>
        <v>-1670</v>
      </c>
      <c r="AH127" s="12">
        <f>'Inputs (2)'!AC10</f>
        <v>-2371</v>
      </c>
      <c r="AI127" s="12">
        <f>'Inputs (2)'!AD10</f>
        <v>-4978</v>
      </c>
      <c r="AJ127" s="12">
        <f>-AJ126*AJ128</f>
        <v>-1434.2362105391</v>
      </c>
      <c r="AK127" s="12">
        <f>-AK126*AK128</f>
        <v>-1729.32254709545</v>
      </c>
      <c r="AL127" s="12">
        <f>SUM(AH127:AK127)</f>
        <v>-10512.5587576346</v>
      </c>
      <c r="AM127" s="12">
        <f>-AM126*AM128</f>
        <v>-3024.38143910411</v>
      </c>
      <c r="AN127" s="12">
        <f>-AN126*AN128</f>
        <v>-5254.76768396898</v>
      </c>
      <c r="AO127" s="12">
        <f>-AO126*AO128</f>
        <v>-3154.09535522593</v>
      </c>
      <c r="AP127" s="12">
        <f>-AP126*AP128</f>
        <v>-3803.03340091448</v>
      </c>
      <c r="AQ127" s="12">
        <f>SUM(AM127:AP127)</f>
        <v>-15236.2778792135</v>
      </c>
      <c r="AR127" s="12">
        <f>-AR126*AR128</f>
        <v>-6635.93555420003</v>
      </c>
      <c r="AS127" s="12">
        <f>-AS126*AS128</f>
        <v>-11529.7294356629</v>
      </c>
      <c r="AT127" s="12">
        <f>-AT126*AT128</f>
        <v>-6920.54687231546</v>
      </c>
      <c r="AU127" s="12">
        <f>-AU126*AU128</f>
        <v>-8344.411929209</v>
      </c>
      <c r="AV127" s="12">
        <f>SUM(AR127:AU127)</f>
        <v>-33430.6237913874</v>
      </c>
      <c r="AW127" s="12">
        <f>-AW126*AW128</f>
        <v>-14527.0342258497</v>
      </c>
      <c r="AX127" s="12">
        <f>-AX126*AX128</f>
        <v>-25240.2653338988</v>
      </c>
      <c r="AY127" s="12">
        <f>-AY126*AY128</f>
        <v>-15150.0900595837</v>
      </c>
      <c r="AZ127" s="12">
        <f>-AZ126*AZ128</f>
        <v>-18267.1390793549</v>
      </c>
      <c r="BA127" s="12">
        <f>SUM(AW127:AZ127)</f>
        <v>-73184.528698687</v>
      </c>
      <c r="BB127" s="12">
        <f>-BB126*BB128</f>
        <v>-31729.169062102</v>
      </c>
      <c r="BC127" s="12">
        <f>-BC126*BC128</f>
        <v>-55128.4338909682</v>
      </c>
      <c r="BD127" s="12">
        <f>-BD126*BD128</f>
        <v>-33090.0141992669</v>
      </c>
      <c r="BE127" s="12">
        <f>-BE126*BE128</f>
        <v>-39898.1054989481</v>
      </c>
      <c r="BF127" s="12">
        <f>SUM(BB127:BE127)</f>
        <v>-159845.722651285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inlineStr">
        <is>
          <t>% ETR</t>
        </is>
      </c>
      <c r="D128" s="53" t="n"/>
      <c r="E128" s="53" t="n"/>
      <c r="F128" s="53" t="n"/>
      <c r="G128" s="53" t="n"/>
      <c r="H128" s="53" t="n"/>
      <c r="I128" s="53">
        <f>IFERROR(-I127/I126,"")</f>
        <v>0.0755905511811024</v>
      </c>
      <c r="J128" s="53">
        <f>IFERROR(-J127/J126,"")</f>
        <v>0.0359911406423034</v>
      </c>
      <c r="K128" s="53">
        <f>IFERROR(-K127/K126,"")</f>
        <v>0.0783378746594006</v>
      </c>
      <c r="L128" s="53">
        <f>IFERROR(-L127/L126,"")</f>
        <v>0.0868702895676319</v>
      </c>
      <c r="M128" s="53">
        <f>IFERROR(-M127/M126,"")</f>
        <v>0.0711572550012661</v>
      </c>
      <c r="N128" s="53">
        <f>IFERROR(-N127/N126,"")</f>
        <v>0.101634117178159</v>
      </c>
      <c r="O128" s="53">
        <f>IFERROR(-O127/O126,"")</f>
        <v>0.119812583668005</v>
      </c>
      <c r="P128" s="53">
        <f>IFERROR(-P127/P126,"")</f>
        <v>0.0360592401802962</v>
      </c>
      <c r="Q128" s="53">
        <f>IFERROR(-Q127/Q126,"")</f>
        <v>-0.0454545454545455</v>
      </c>
      <c r="R128" s="53">
        <f>IFERROR(-R127/R126,"")</f>
        <v>0.0984870526622054</v>
      </c>
      <c r="S128" s="53">
        <f>IFERROR(-S127/S126,"")</f>
        <v>-0.023778071334214</v>
      </c>
      <c r="T128" s="53">
        <f>IFERROR(-T127/T126,"")</f>
        <v>-0.0792926411865374</v>
      </c>
      <c r="U128" s="53">
        <f>IFERROR(-U127/U126,"")</f>
        <v>0.0164609053497942</v>
      </c>
      <c r="V128" s="53">
        <f>IFERROR(-V127/V126,"")</f>
        <v>-0.0632034632034632</v>
      </c>
      <c r="W128" s="53">
        <f>IFERROR(-W127/W126,"")</f>
        <v>-0.0364622570438451</v>
      </c>
      <c r="X128" s="53">
        <f>IFERROR(-X127/X126,"")</f>
        <v>-3.65882352941176</v>
      </c>
      <c r="Y128" s="53">
        <f>IFERROR(-Y127/Y126,"")</f>
        <v>0.527272727272727</v>
      </c>
      <c r="Z128" s="53">
        <f>IFERROR(-Z127/Z126,"")</f>
        <v>0.412582781456954</v>
      </c>
      <c r="AA128" s="53">
        <f>IFERROR(-AA127/AA126,"")</f>
        <v>0.131505576208178</v>
      </c>
      <c r="AB128" s="53">
        <f>IFERROR(-AB127/AB126,"")</f>
        <v>0.145370574004838</v>
      </c>
      <c r="AC128" s="53">
        <f>IFERROR(-AC127/AC126,"")</f>
        <v>0.100682593856655</v>
      </c>
      <c r="AD128" s="53">
        <f>IFERROR(-AD127/AD126,"")</f>
        <v>0.111216280170374</v>
      </c>
      <c r="AE128" s="53">
        <f>IFERROR(-AE127/AE126,"")</f>
        <v>0.118149270173506</v>
      </c>
      <c r="AF128" s="41">
        <f>IFERROR(-AF127/AF126,"")</f>
        <v>0.136776109552879</v>
      </c>
      <c r="AG128" s="53">
        <f>IFERROR(-AG127/AG126,"")</f>
        <v>0.123129101231291</v>
      </c>
      <c r="AH128" s="41">
        <f>IFERROR(-AH127/AH126,"")</f>
        <v>0.146720297029703</v>
      </c>
      <c r="AI128" s="41">
        <f>IFERROR(-AI127/AI126,"")</f>
        <v>0.149885583524027</v>
      </c>
      <c r="AJ128" s="41">
        <f>Control!$B$22</f>
        <v>0.127238355717857</v>
      </c>
      <c r="AK128" s="41">
        <f>Control!$B$22</f>
        <v>0.127238355717857</v>
      </c>
      <c r="AL128" s="53">
        <f>IFERROR(-AL127/AL126,"")</f>
        <v>0.141611418841855</v>
      </c>
      <c r="AM128" s="41">
        <f>Control!$C$22</f>
        <v>0.127238355717857</v>
      </c>
      <c r="AN128" s="41">
        <f>Control!$C$22</f>
        <v>0.127238355717857</v>
      </c>
      <c r="AO128" s="41">
        <f>Control!$C$22</f>
        <v>0.127238355717857</v>
      </c>
      <c r="AP128" s="41">
        <f>Control!$C$22</f>
        <v>0.127238355717857</v>
      </c>
      <c r="AQ128" s="53">
        <f>IFERROR(-AQ127/AQ126,"")</f>
        <v>0.127238355717857</v>
      </c>
      <c r="AR128" s="41">
        <f>Control!$D$22</f>
        <v>0.127238355717857</v>
      </c>
      <c r="AS128" s="41">
        <f>Control!$D$22</f>
        <v>0.127238355717857</v>
      </c>
      <c r="AT128" s="41">
        <f>Control!$D$22</f>
        <v>0.127238355717857</v>
      </c>
      <c r="AU128" s="41">
        <f>Control!$D$22</f>
        <v>0.127238355717857</v>
      </c>
      <c r="AV128" s="53">
        <f>IFERROR(-AV127/AV126,"")</f>
        <v>0.127238355717857</v>
      </c>
      <c r="AW128" s="41">
        <f>Control!$E$22</f>
        <v>0.127238355717857</v>
      </c>
      <c r="AX128" s="41">
        <f>Control!$E$22</f>
        <v>0.127238355717857</v>
      </c>
      <c r="AY128" s="41">
        <f>Control!$E$22</f>
        <v>0.127238355717857</v>
      </c>
      <c r="AZ128" s="41">
        <f>Control!$E$22</f>
        <v>0.127238355717857</v>
      </c>
      <c r="BA128" s="53">
        <f>IFERROR(-BA127/BA126,"")</f>
        <v>0.127238355717857</v>
      </c>
      <c r="BB128" s="41">
        <f>Control!$F$22</f>
        <v>0.127238355717857</v>
      </c>
      <c r="BC128" s="41">
        <f>Control!$F$22</f>
        <v>0.127238355717857</v>
      </c>
      <c r="BD128" s="41">
        <f>Control!$F$22</f>
        <v>0.127238355717857</v>
      </c>
      <c r="BE128" s="41">
        <f>Control!$F$22</f>
        <v>0.127238355717857</v>
      </c>
      <c r="BF128" s="53">
        <f>IFERROR(-BF127/BF126,"")</f>
        <v>0.127238355717857</v>
      </c>
      <c r="BG128" s="41" t="n"/>
      <c r="BH128" s="41" t="n"/>
      <c r="BI128" s="41" t="n"/>
      <c r="BJ128" s="41" t="n"/>
      <c r="BK128" s="53" t="n"/>
      <c r="BL128" s="41" t="n"/>
      <c r="BM128" s="41" t="n"/>
      <c r="BN128" s="41" t="n"/>
      <c r="BO128" s="41" t="n"/>
      <c r="BP128" s="53" t="n"/>
      <c r="BQ128" s="41" t="n"/>
      <c r="BR128" s="41" t="n"/>
      <c r="BS128" s="41" t="n"/>
      <c r="BT128" s="41" t="n"/>
      <c r="BU128" s="53" t="n"/>
      <c r="BV128" s="41" t="n"/>
      <c r="BW128" s="41" t="n"/>
      <c r="BX128" s="41" t="n"/>
      <c r="BY128" s="41" t="n"/>
      <c r="BZ128" s="53" t="n"/>
      <c r="CA128" s="41" t="n"/>
      <c r="CB128" s="41" t="n"/>
      <c r="CC128" s="41" t="n"/>
      <c r="CD128" s="41" t="n"/>
      <c r="CE128" s="53" t="n"/>
      <c r="CF128" s="41" t="n"/>
      <c r="CG128" s="41" t="n"/>
      <c r="CH128" s="41" t="n"/>
      <c r="CI128" s="41" t="n"/>
      <c r="CJ128" s="53" t="n"/>
      <c r="CK128" s="41" t="n"/>
      <c r="CL128" s="41" t="n"/>
      <c r="CM128" s="41" t="n"/>
      <c r="CN128" s="41" t="n"/>
      <c r="CO128" s="53" t="n"/>
      <c r="CP128" s="41" t="n"/>
      <c r="CQ128" s="41" t="n"/>
      <c r="CR128" s="41" t="n"/>
      <c r="CS128" s="41" t="n"/>
      <c r="CT128" s="53" t="n"/>
      <c r="CU128" s="41" t="n"/>
      <c r="CV128" s="41" t="n"/>
      <c r="CW128" s="41" t="n"/>
      <c r="CX128" s="41" t="n"/>
      <c r="CY128" s="53" t="n"/>
    </row>
    <row r="129" hidden="1" outlineLevel="1">
      <c r="C129" s="57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collapsed="1">
      <c r="C131" s="14" t="inlineStr">
        <is>
          <t>Equity in Income of Affiliates, after tax (enter as +)</t>
        </is>
      </c>
      <c r="D131" s="46" t="n"/>
      <c r="E131" s="46" t="n"/>
      <c r="F131" s="46" t="n"/>
      <c r="G131" s="46" t="n"/>
      <c r="H131" s="12" t="n"/>
      <c r="I131" s="46">
        <f>'Inputs (2)'!D11</f>
        <v>16</v>
      </c>
      <c r="J131" s="46">
        <f>'Inputs (2)'!E11</f>
        <v>-6</v>
      </c>
      <c r="K131" s="46">
        <f>'Inputs (2)'!F11</f>
        <v>14</v>
      </c>
      <c r="L131" s="46">
        <f>'Inputs (2)'!G11</f>
        <v>4</v>
      </c>
      <c r="M131" s="12">
        <f>'Inputs (2)'!H11</f>
        <v>28</v>
      </c>
      <c r="N131" s="46">
        <f>'Inputs (2)'!I11</f>
        <v>9</v>
      </c>
      <c r="O131" s="46">
        <f>'Inputs (2)'!J11</f>
        <v>-4</v>
      </c>
      <c r="P131" s="46">
        <f>'Inputs (2)'!K11</f>
        <v>-5</v>
      </c>
      <c r="Q131" s="46">
        <f>'Inputs (2)'!L11</f>
        <v>-11</v>
      </c>
      <c r="R131" s="12">
        <f>'Inputs (2)'!M11</f>
        <v>-11</v>
      </c>
      <c r="S131" s="46">
        <f>'Inputs (2)'!N11</f>
        <v>13</v>
      </c>
      <c r="T131" s="46">
        <f>'Inputs (2)'!O11</f>
        <v>-4</v>
      </c>
      <c r="U131" s="46">
        <f>'Inputs (2)'!P11</f>
        <v>4</v>
      </c>
      <c r="V131" s="46">
        <f>'Inputs (2)'!Q11</f>
        <v>-6</v>
      </c>
      <c r="W131" s="12">
        <f>'Inputs (2)'!R11</f>
        <v>7</v>
      </c>
      <c r="X131" s="46">
        <f>'Inputs (2)'!S11</f>
        <v>1</v>
      </c>
      <c r="Y131" s="46">
        <f>'Inputs (2)'!T11</f>
        <v>-6</v>
      </c>
      <c r="Z131" s="46">
        <f>'Inputs (2)'!U11</f>
        <v>0</v>
      </c>
      <c r="AA131" s="46">
        <f>'Inputs (2)'!V11</f>
        <v>1</v>
      </c>
      <c r="AB131" s="12">
        <f>'Inputs (2)'!W11</f>
        <v>-4</v>
      </c>
      <c r="AC131" s="46">
        <f>'Inputs (2)'!X11</f>
        <v>2</v>
      </c>
      <c r="AD131" s="46">
        <f>'Inputs (2)'!Y11</f>
        <v>7</v>
      </c>
      <c r="AE131" s="46">
        <f>'Inputs (2)'!Z11</f>
        <v>-1</v>
      </c>
      <c r="AF131" s="46">
        <f>'Inputs (2)'!AA11</f>
        <v>8</v>
      </c>
      <c r="AG131" s="12">
        <f>'Inputs (2)'!AB11</f>
        <v>16</v>
      </c>
      <c r="AH131" s="12">
        <f>'Inputs (2)'!AC11</f>
        <v>-4</v>
      </c>
      <c r="AI131" s="12">
        <f>'Inputs (2)'!AD11</f>
        <v>9</v>
      </c>
      <c r="AJ131" s="12">
        <f>0</f>
        <v>0</v>
      </c>
      <c r="AK131" s="12">
        <f>0</f>
        <v>0</v>
      </c>
      <c r="AL131" s="12">
        <f>SUM(AH131:AK131)</f>
        <v>5</v>
      </c>
      <c r="AM131" s="12">
        <f>0</f>
        <v>0</v>
      </c>
      <c r="AN131" s="12">
        <f>0</f>
        <v>0</v>
      </c>
      <c r="AO131" s="12">
        <f>0</f>
        <v>0</v>
      </c>
      <c r="AP131" s="12">
        <f>0</f>
        <v>0</v>
      </c>
      <c r="AQ131" s="12">
        <f>SUM(AM131:AP131)</f>
        <v>0</v>
      </c>
      <c r="AR131" s="12">
        <f>0</f>
        <v>0</v>
      </c>
      <c r="AS131" s="12">
        <f>0</f>
        <v>0</v>
      </c>
      <c r="AT131" s="12">
        <f>0</f>
        <v>0</v>
      </c>
      <c r="AU131" s="12">
        <f>0</f>
        <v>0</v>
      </c>
      <c r="AV131" s="12">
        <f>SUM(AR131:AU131)</f>
        <v>0</v>
      </c>
      <c r="AW131" s="12">
        <f>0</f>
        <v>0</v>
      </c>
      <c r="AX131" s="12">
        <f>0</f>
        <v>0</v>
      </c>
      <c r="AY131" s="12">
        <f>0</f>
        <v>0</v>
      </c>
      <c r="AZ131" s="12">
        <f>0</f>
        <v>0</v>
      </c>
      <c r="BA131" s="12">
        <f>SUM(AW131:AZ131)</f>
        <v>0</v>
      </c>
      <c r="BB131" s="12">
        <f>0</f>
        <v>0</v>
      </c>
      <c r="BC131" s="12">
        <f>0</f>
        <v>0</v>
      </c>
      <c r="BD131" s="12">
        <f>0</f>
        <v>0</v>
      </c>
      <c r="BE131" s="12">
        <f>0</f>
        <v>0</v>
      </c>
      <c r="BF131" s="12">
        <f>SUM(BB131:BE131)</f>
        <v>0</v>
      </c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>
      <c r="C132" s="14" t="inlineStr">
        <is>
          <t>Minority Interest Expense, after tax (enter as - )</t>
        </is>
      </c>
      <c r="D132" s="46" t="n"/>
      <c r="E132" s="46" t="n"/>
      <c r="F132" s="46" t="n"/>
      <c r="G132" s="46" t="n"/>
      <c r="H132" s="12" t="n"/>
      <c r="I132" s="46">
        <f>'Inputs (2)'!D12</f>
        <v>0</v>
      </c>
      <c r="J132" s="46">
        <f>'Inputs (2)'!E12</f>
        <v>0</v>
      </c>
      <c r="K132" s="46">
        <f>'Inputs (2)'!F12</f>
        <v>0</v>
      </c>
      <c r="L132" s="46">
        <f>'Inputs (2)'!G12</f>
        <v>0</v>
      </c>
      <c r="M132" s="12">
        <f>'Inputs (2)'!H12</f>
        <v>0</v>
      </c>
      <c r="N132" s="46">
        <f>'Inputs (2)'!I12</f>
        <v>0</v>
      </c>
      <c r="O132" s="46">
        <f>'Inputs (2)'!J12</f>
        <v>0</v>
      </c>
      <c r="P132" s="46">
        <f>'Inputs (2)'!K12</f>
        <v>0</v>
      </c>
      <c r="Q132" s="46">
        <f>'Inputs (2)'!L12</f>
        <v>0</v>
      </c>
      <c r="R132" s="12">
        <f>'Inputs (2)'!M12</f>
        <v>0</v>
      </c>
      <c r="S132" s="46">
        <f>'Inputs (2)'!N12</f>
        <v>0</v>
      </c>
      <c r="T132" s="46">
        <f>'Inputs (2)'!O12</f>
        <v>0</v>
      </c>
      <c r="U132" s="46">
        <f>'Inputs (2)'!P12</f>
        <v>0</v>
      </c>
      <c r="V132" s="46">
        <f>'Inputs (2)'!Q12</f>
        <v>0</v>
      </c>
      <c r="W132" s="12">
        <f>'Inputs (2)'!R12</f>
        <v>0</v>
      </c>
      <c r="X132" s="46">
        <f>'Inputs (2)'!S12</f>
        <v>0</v>
      </c>
      <c r="Y132" s="46">
        <f>'Inputs (2)'!T12</f>
        <v>0</v>
      </c>
      <c r="Z132" s="46">
        <f>'Inputs (2)'!U12</f>
        <v>0</v>
      </c>
      <c r="AA132" s="46">
        <f>'Inputs (2)'!V12</f>
        <v>0</v>
      </c>
      <c r="AB132" s="12">
        <f>'Inputs (2)'!W12</f>
        <v>0</v>
      </c>
      <c r="AC132" s="46">
        <f>'Inputs (2)'!X12</f>
        <v>0</v>
      </c>
      <c r="AD132" s="46">
        <f>'Inputs (2)'!Y12</f>
        <v>0</v>
      </c>
      <c r="AE132" s="46">
        <f>'Inputs (2)'!Z12</f>
        <v>0</v>
      </c>
      <c r="AF132" s="46">
        <f>'Inputs (2)'!AA12</f>
        <v>0</v>
      </c>
      <c r="AG132" s="12">
        <f>'Inputs (2)'!AB12</f>
        <v>0</v>
      </c>
      <c r="AH132" s="12">
        <f>'Inputs (2)'!AC12</f>
        <v>0</v>
      </c>
      <c r="AI132" s="12">
        <f>'Inputs (2)'!AD12</f>
        <v>0</v>
      </c>
      <c r="AJ132" s="12">
        <f>0</f>
        <v>0</v>
      </c>
      <c r="AK132" s="12">
        <f>0</f>
        <v>0</v>
      </c>
      <c r="AL132" s="12">
        <f>SUM(AH132:AK132)</f>
        <v>0</v>
      </c>
      <c r="AM132" s="12">
        <f>0</f>
        <v>0</v>
      </c>
      <c r="AN132" s="12">
        <f>0</f>
        <v>0</v>
      </c>
      <c r="AO132" s="12">
        <f>0</f>
        <v>0</v>
      </c>
      <c r="AP132" s="12">
        <f>0</f>
        <v>0</v>
      </c>
      <c r="AQ132" s="12">
        <f>SUM(AM132:AP132)</f>
        <v>0</v>
      </c>
      <c r="AR132" s="12">
        <f>0</f>
        <v>0</v>
      </c>
      <c r="AS132" s="12">
        <f>0</f>
        <v>0</v>
      </c>
      <c r="AT132" s="12">
        <f>0</f>
        <v>0</v>
      </c>
      <c r="AU132" s="12">
        <f>0</f>
        <v>0</v>
      </c>
      <c r="AV132" s="12">
        <f>SUM(AR132:AU132)</f>
        <v>0</v>
      </c>
      <c r="AW132" s="12">
        <f>0</f>
        <v>0</v>
      </c>
      <c r="AX132" s="12">
        <f>0</f>
        <v>0</v>
      </c>
      <c r="AY132" s="12">
        <f>0</f>
        <v>0</v>
      </c>
      <c r="AZ132" s="12">
        <f>0</f>
        <v>0</v>
      </c>
      <c r="BA132" s="12">
        <f>SUM(AW132:AZ132)</f>
        <v>0</v>
      </c>
      <c r="BB132" s="12">
        <f>0</f>
        <v>0</v>
      </c>
      <c r="BC132" s="12">
        <f>0</f>
        <v>0</v>
      </c>
      <c r="BD132" s="12">
        <f>0</f>
        <v>0</v>
      </c>
      <c r="BE132" s="12">
        <f>0</f>
        <v>0</v>
      </c>
      <c r="BF132" s="12">
        <f>SUM(BB132:BE132)</f>
        <v>0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customFormat="1" s="32">
      <c r="A133" s="30" t="n"/>
      <c r="B133" s="3" t="n"/>
      <c r="C133" s="33" t="inlineStr">
        <is>
          <t>Net Income</t>
        </is>
      </c>
      <c r="D133" s="35" t="n"/>
      <c r="E133" s="35" t="n"/>
      <c r="F133" s="35" t="n"/>
      <c r="G133" s="35" t="n"/>
      <c r="H133" s="35" t="n"/>
      <c r="I133" s="35">
        <f>SUM(I126,I127,I131,I132)</f>
        <v>603</v>
      </c>
      <c r="J133" s="35">
        <f>SUM(J126,J127,J131,J132)</f>
        <v>1735</v>
      </c>
      <c r="K133" s="35">
        <f>SUM(K126,K127,K131,K132)</f>
        <v>2720</v>
      </c>
      <c r="L133" s="35">
        <f>SUM(L126,L127,L131,L132)</f>
        <v>2306</v>
      </c>
      <c r="M133" s="35">
        <f>SUM(I133:L133)</f>
        <v>7364</v>
      </c>
      <c r="N133" s="35">
        <f>SUM(N126,N127,N131,N132)</f>
        <v>2263</v>
      </c>
      <c r="O133" s="35">
        <f>SUM(O126,O127,O131,O132)</f>
        <v>2626</v>
      </c>
      <c r="P133" s="35">
        <f>SUM(P126,P127,P131,P132)</f>
        <v>1492</v>
      </c>
      <c r="Q133" s="35">
        <f>SUM(Q126,Q127,Q131,Q132)</f>
        <v>-195</v>
      </c>
      <c r="R133" s="35">
        <f>SUM(N133:Q133)</f>
        <v>6186</v>
      </c>
      <c r="S133" s="35">
        <f>SUM(S126,S127,S131,S132)</f>
        <v>-2312</v>
      </c>
      <c r="T133" s="35">
        <f>SUM(T126,T127,T131,T132)</f>
        <v>-1896</v>
      </c>
      <c r="U133" s="35">
        <f>SUM(U126,U127,U131,U132)</f>
        <v>-1430</v>
      </c>
      <c r="V133" s="35">
        <f>SUM(V126,V127,V131,V132)</f>
        <v>-1234</v>
      </c>
      <c r="W133" s="35">
        <f>SUM(S133:V133)</f>
        <v>-6872</v>
      </c>
      <c r="X133" s="35">
        <f>SUM(X126,X127,X131,X132)</f>
        <v>793</v>
      </c>
      <c r="Y133" s="35">
        <f>SUM(Y126,Y127,Y131,Y132)</f>
        <v>332</v>
      </c>
      <c r="Z133" s="35">
        <f>SUM(Z126,Z127,Z131,Z132)</f>
        <v>887</v>
      </c>
      <c r="AA133" s="35">
        <f>SUM(AA126,AA127,AA131,AA132)</f>
        <v>1870</v>
      </c>
      <c r="AB133" s="35">
        <f>SUM(X133:AA133)</f>
        <v>3882</v>
      </c>
      <c r="AC133" s="35">
        <f>SUM(AC126,AC127,AC131,AC132)</f>
        <v>1583</v>
      </c>
      <c r="AD133" s="35">
        <f>SUM(AD126,AD127,AD131,AD132)</f>
        <v>1885</v>
      </c>
      <c r="AE133" s="35">
        <f>SUM(AE126,AE127,AE131,AE132)</f>
        <v>3201</v>
      </c>
      <c r="AF133" s="35">
        <f>SUM(AF126,AF127,AF131,AF132)</f>
        <v>5240</v>
      </c>
      <c r="AG133" s="35">
        <f>SUM(AC133:AF133)</f>
        <v>11909</v>
      </c>
      <c r="AH133" s="35">
        <f>SUM(AH126,AH127,AH131,AH132)</f>
        <v>13785</v>
      </c>
      <c r="AI133" s="35">
        <f>SUM(AI126,AI127,AI131,AI132)</f>
        <v>28243</v>
      </c>
      <c r="AJ133" s="35">
        <f>SUM(AJ126,AJ127,AJ131,AJ132)</f>
        <v>9837.80673946118</v>
      </c>
      <c r="AK133" s="35">
        <f>SUM(AK126,AK127,AK131,AK132)</f>
        <v>11861.8822224011</v>
      </c>
      <c r="AL133" s="35">
        <f>SUM(AH133:AK133)</f>
        <v>63727.6889618623</v>
      </c>
      <c r="AM133" s="35">
        <f>SUM(AM126,AM127,AM131,AM132)</f>
        <v>20745.0348036716</v>
      </c>
      <c r="AN133" s="35">
        <f>SUM(AN126,AN127,AN131,AN132)</f>
        <v>36043.8458852057</v>
      </c>
      <c r="AO133" s="35">
        <f>SUM(AO126,AO127,AO131,AO132)</f>
        <v>21634.7769736489</v>
      </c>
      <c r="AP133" s="35">
        <f>SUM(AP126,AP127,AP131,AP132)</f>
        <v>26086.0152232869</v>
      </c>
      <c r="AQ133" s="35">
        <f>SUM(AM133:AP133)</f>
        <v>104509.672885813</v>
      </c>
      <c r="AR133" s="35">
        <f>SUM(AR126,AR127,AR131,AR132)</f>
        <v>45517.6427969284</v>
      </c>
      <c r="AS133" s="35">
        <f>SUM(AS126,AS127,AS131,AS132)</f>
        <v>79085.4735871527</v>
      </c>
      <c r="AT133" s="35">
        <f>SUM(AT126,AT127,AT131,AT132)</f>
        <v>47469.8673488594</v>
      </c>
      <c r="AU133" s="35">
        <f>SUM(AU126,AU127,AU131,AU132)</f>
        <v>57236.5355935032</v>
      </c>
      <c r="AV133" s="35">
        <f>SUM(AR133:AU133)</f>
        <v>229309.519326444</v>
      </c>
      <c r="AW133" s="35">
        <f>SUM(AW126,AW127,AW131,AW132)</f>
        <v>99644.7824711722</v>
      </c>
      <c r="AX133" s="35">
        <f>SUM(AX126,AX127,AX131,AX132)</f>
        <v>173129.677373215</v>
      </c>
      <c r="AY133" s="35">
        <f>SUM(AY126,AY127,AY131,AY132)</f>
        <v>103918.487761227</v>
      </c>
      <c r="AZ133" s="35">
        <f>SUM(AZ126,AZ127,AZ131,AZ132)</f>
        <v>125299.154089829</v>
      </c>
      <c r="BA133" s="35">
        <f>SUM(AW133:AZ133)</f>
        <v>501992.101695443</v>
      </c>
      <c r="BB133" s="35">
        <f>SUM(BB126,BB127,BB131,BB132)</f>
        <v>217638.789861065</v>
      </c>
      <c r="BC133" s="35">
        <f>SUM(BC126,BC127,BC131,BC132)</f>
        <v>378140.556264892</v>
      </c>
      <c r="BD133" s="35">
        <f>SUM(BD126,BD127,BD131,BD132)</f>
        <v>226973.187754095</v>
      </c>
      <c r="BE133" s="35">
        <f>SUM(BE126,BE127,BE131,BE132)</f>
        <v>273671.692490421</v>
      </c>
      <c r="BF133" s="35">
        <f>SUM(BB133:BE133)</f>
        <v>1096424.22637047</v>
      </c>
      <c r="BG133" s="35" t="n"/>
      <c r="BH133" s="35" t="n"/>
      <c r="BI133" s="35" t="n"/>
      <c r="BJ133" s="35" t="n"/>
      <c r="BK133" s="35" t="n"/>
      <c r="BL133" s="35" t="n"/>
      <c r="BM133" s="35" t="n"/>
      <c r="BN133" s="35" t="n"/>
      <c r="BO133" s="35" t="n"/>
      <c r="BP133" s="35" t="n"/>
      <c r="BQ133" s="35" t="n"/>
      <c r="BR133" s="35" t="n"/>
      <c r="BS133" s="35" t="n"/>
      <c r="BT133" s="35" t="n"/>
      <c r="BU133" s="35" t="n"/>
      <c r="BV133" s="35" t="n"/>
      <c r="BW133" s="35" t="n"/>
      <c r="BX133" s="35" t="n"/>
      <c r="BY133" s="35" t="n"/>
      <c r="BZ133" s="35" t="n"/>
      <c r="CA133" s="35" t="n"/>
      <c r="CB133" s="35" t="n"/>
      <c r="CC133" s="35" t="n"/>
      <c r="CD133" s="35" t="n"/>
      <c r="CE133" s="35" t="n"/>
      <c r="CF133" s="35" t="n"/>
      <c r="CG133" s="35" t="n"/>
      <c r="CH133" s="35" t="n"/>
      <c r="CI133" s="35" t="n"/>
      <c r="CJ133" s="35" t="n"/>
      <c r="CK133" s="35" t="n"/>
      <c r="CL133" s="35" t="n"/>
      <c r="CM133" s="35" t="n"/>
      <c r="CN133" s="35" t="n"/>
      <c r="CO133" s="35" t="n"/>
      <c r="CP133" s="35" t="n"/>
      <c r="CQ133" s="35" t="n"/>
      <c r="CR133" s="35" t="n"/>
      <c r="CS133" s="35" t="n"/>
      <c r="CT133" s="35" t="n"/>
      <c r="CU133" s="35" t="n"/>
      <c r="CV133" s="35" t="n"/>
      <c r="CW133" s="35" t="n"/>
      <c r="CX133" s="35" t="n"/>
      <c r="CY133" s="35" t="n"/>
    </row>
    <row r="134">
      <c r="C134" s="13" t="inlineStr">
        <is>
          <t>Common Dividends</t>
        </is>
      </c>
      <c r="D134" s="46" t="n"/>
      <c r="E134" s="46" t="n"/>
      <c r="F134" s="46" t="n"/>
      <c r="G134" s="46" t="n"/>
      <c r="H134" s="12" t="n"/>
      <c r="I134" s="46">
        <f>'Inputs (2)'!D13</f>
        <v>0</v>
      </c>
      <c r="J134" s="46">
        <f>'Inputs (2)'!E13</f>
        <v>0</v>
      </c>
      <c r="K134" s="46">
        <f>'Inputs (2)'!F13</f>
        <v>0</v>
      </c>
      <c r="L134" s="46">
        <f>'Inputs (2)'!G13</f>
        <v>-112</v>
      </c>
      <c r="M134" s="12">
        <f>'Inputs (2)'!H13</f>
        <v>-112</v>
      </c>
      <c r="N134" s="46">
        <f>'Inputs (2)'!I13</f>
        <v>-112</v>
      </c>
      <c r="O134" s="46">
        <f>'Inputs (2)'!J13</f>
        <v>-111</v>
      </c>
      <c r="P134" s="46">
        <f>'Inputs (2)'!K13</f>
        <v>-126</v>
      </c>
      <c r="Q134" s="46">
        <f>'Inputs (2)'!L13</f>
        <v>-126</v>
      </c>
      <c r="R134" s="12">
        <f>'Inputs (2)'!M13</f>
        <v>-475</v>
      </c>
      <c r="S134" s="46">
        <f>'Inputs (2)'!N13</f>
        <v>-126</v>
      </c>
      <c r="T134" s="46">
        <f>'Inputs (2)'!O13</f>
        <v>-126</v>
      </c>
      <c r="U134" s="46">
        <f>'Inputs (2)'!P13</f>
        <v>-126</v>
      </c>
      <c r="V134" s="46">
        <f>'Inputs (2)'!Q13</f>
        <v>-129</v>
      </c>
      <c r="W134" s="12">
        <f>'Inputs (2)'!R13</f>
        <v>-507</v>
      </c>
      <c r="X134" s="46">
        <f>'Inputs (2)'!S13</f>
        <v>-127</v>
      </c>
      <c r="Y134" s="46">
        <f>'Inputs (2)'!T13</f>
        <v>-128</v>
      </c>
      <c r="Z134" s="46">
        <f>'Inputs (2)'!U13</f>
        <v>-129</v>
      </c>
      <c r="AA134" s="46">
        <f>'Inputs (2)'!V13</f>
        <v>-131</v>
      </c>
      <c r="AB134" s="12">
        <f>'Inputs (2)'!W13</f>
        <v>-515</v>
      </c>
      <c r="AC134" s="46">
        <f>'Inputs (2)'!X13</f>
        <v>-130</v>
      </c>
      <c r="AD134" s="46">
        <f>'Inputs (2)'!Y13</f>
        <v>-131</v>
      </c>
      <c r="AE134" s="46">
        <f>'Inputs (2)'!Z13</f>
        <v>-130</v>
      </c>
      <c r="AF134" s="46">
        <f>'Inputs (2)'!AA13</f>
        <v>-134</v>
      </c>
      <c r="AG134" s="12">
        <f>'Inputs (2)'!AB13</f>
        <v>-525</v>
      </c>
      <c r="AH134" s="12">
        <f>'Inputs (2)'!AC13</f>
        <v>-132</v>
      </c>
      <c r="AI134" s="12">
        <f>'Inputs (2)'!AD13</f>
        <v>-171</v>
      </c>
      <c r="AJ134" s="12">
        <f>-MAX(0,AJ133)*Control!$E$15</f>
        <v>0</v>
      </c>
      <c r="AK134" s="12">
        <f>-MAX(0,AK133)*Control!$E$15</f>
        <v>0</v>
      </c>
      <c r="AL134" s="12">
        <f>SUM(AH134:AK134)</f>
        <v>-303</v>
      </c>
      <c r="AM134" s="12">
        <f>-MAX(0,AM133)*Control!$E$15</f>
        <v>0</v>
      </c>
      <c r="AN134" s="12">
        <f>-MAX(0,AN133)*Control!$E$15</f>
        <v>0</v>
      </c>
      <c r="AO134" s="12">
        <f>-MAX(0,AO133)*Control!$E$15</f>
        <v>0</v>
      </c>
      <c r="AP134" s="12">
        <f>-MAX(0,AP133)*Control!$E$15</f>
        <v>0</v>
      </c>
      <c r="AQ134" s="12">
        <f>SUM(AM134:AP134)</f>
        <v>0</v>
      </c>
      <c r="AR134" s="12">
        <f>-MAX(0,AR133)*Control!$E$15</f>
        <v>0</v>
      </c>
      <c r="AS134" s="12">
        <f>-MAX(0,AS133)*Control!$E$15</f>
        <v>0</v>
      </c>
      <c r="AT134" s="12">
        <f>-MAX(0,AT133)*Control!$E$15</f>
        <v>0</v>
      </c>
      <c r="AU134" s="12">
        <f>-MAX(0,AU133)*Control!$E$15</f>
        <v>0</v>
      </c>
      <c r="AV134" s="12">
        <f>SUM(AR134:AU134)</f>
        <v>0</v>
      </c>
      <c r="AW134" s="12">
        <f>-MAX(0,AW133)*Control!$E$15</f>
        <v>0</v>
      </c>
      <c r="AX134" s="12">
        <f>-MAX(0,AX133)*Control!$E$15</f>
        <v>0</v>
      </c>
      <c r="AY134" s="12">
        <f>-MAX(0,AY133)*Control!$E$15</f>
        <v>0</v>
      </c>
      <c r="AZ134" s="12">
        <f>-MAX(0,AZ133)*Control!$E$15</f>
        <v>0</v>
      </c>
      <c r="BA134" s="12">
        <f>SUM(AW134:AZ134)</f>
        <v>0</v>
      </c>
      <c r="BB134" s="12">
        <f>-MAX(0,BB133)*Control!$E$15</f>
        <v>0</v>
      </c>
      <c r="BC134" s="12">
        <f>-MAX(0,BC133)*Control!$E$15</f>
        <v>0</v>
      </c>
      <c r="BD134" s="12">
        <f>-MAX(0,BD133)*Control!$E$15</f>
        <v>0</v>
      </c>
      <c r="BE134" s="12">
        <f>-MAX(0,BE133)*Control!$E$15</f>
        <v>0</v>
      </c>
      <c r="BF134" s="12">
        <f>SUM(BB134:BE134)</f>
        <v>0</v>
      </c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0" t="inlineStr">
        <is>
          <t>% DVD Payout</t>
        </is>
      </c>
      <c r="D135" s="58" t="n"/>
      <c r="E135" s="58" t="n"/>
      <c r="F135" s="58" t="n"/>
      <c r="G135" s="58" t="n"/>
      <c r="H135" s="58" t="n"/>
      <c r="I135" s="58">
        <f>IF(I133=0,"",-I134/I133)</f>
        <v>0</v>
      </c>
      <c r="J135" s="58">
        <f>IF(J133=0,"",-J134/J133)</f>
        <v>0</v>
      </c>
      <c r="K135" s="58">
        <f>IF(K133=0,"",-K134/K133)</f>
        <v>0</v>
      </c>
      <c r="L135" s="58">
        <f>IF(L133=0,"",-L134/L133)</f>
        <v>0.0485689505637468</v>
      </c>
      <c r="M135" s="58">
        <f>IF(M133=0,"",-M134/M133)</f>
        <v>0.0152091254752852</v>
      </c>
      <c r="N135" s="58">
        <f>IF(N133=0,"",-N134/N133)</f>
        <v>0.0494918250110473</v>
      </c>
      <c r="O135" s="58">
        <f>IF(O133=0,"",-O134/O133)</f>
        <v>0.0422696115765423</v>
      </c>
      <c r="P135" s="58">
        <f>IF(P133=0,"",-P134/P133)</f>
        <v>0.0844504021447721</v>
      </c>
      <c r="Q135" s="58">
        <f>IF(Q133=0,"",-Q134/Q133)</f>
        <v>-0.646153846153846</v>
      </c>
      <c r="R135" s="58">
        <f>IF(R133=0,"",-R134/R133)</f>
        <v>0.0767862916262528</v>
      </c>
      <c r="S135" s="58">
        <f>IF(S133=0,"",-S134/S133)</f>
        <v>-0.0544982698961938</v>
      </c>
      <c r="T135" s="58">
        <f>IF(T133=0,"",-T134/T133)</f>
        <v>-0.0664556962025316</v>
      </c>
      <c r="U135" s="58">
        <f>IF(U133=0,"",-U134/U133)</f>
        <v>-0.0881118881118881</v>
      </c>
      <c r="V135" s="58">
        <f>IF(V133=0,"",-V134/V133)</f>
        <v>-0.104538087520259</v>
      </c>
      <c r="W135" s="58">
        <f>IF(W133=0,"",-W134/W133)</f>
        <v>-0.0737776484284051</v>
      </c>
      <c r="X135" s="58">
        <f>IF(X133=0,"",-X134/X133)</f>
        <v>0.16015132408575</v>
      </c>
      <c r="Y135" s="58">
        <f>IF(Y133=0,"",-Y134/Y133)</f>
        <v>0.385542168674699</v>
      </c>
      <c r="Z135" s="58">
        <f>IF(Z133=0,"",-Z134/Z133)</f>
        <v>0.14543404735062</v>
      </c>
      <c r="AA135" s="58">
        <f>IF(AA133=0,"",-AA134/AA133)</f>
        <v>0.0700534759358289</v>
      </c>
      <c r="AB135" s="58">
        <f>IF(AB133=0,"",-AB134/AB133)</f>
        <v>0.132663575476558</v>
      </c>
      <c r="AC135" s="58">
        <f>IF(AC133=0,"",-AC134/AC133)</f>
        <v>0.082122552116235</v>
      </c>
      <c r="AD135" s="58">
        <f>IF(AD133=0,"",-AD134/AD133)</f>
        <v>0.0694960212201592</v>
      </c>
      <c r="AE135" s="58">
        <f>IF(AE133=0,"",-AE134/AE133)</f>
        <v>0.0406123086535458</v>
      </c>
      <c r="AF135" s="41">
        <f>IF(AF133=0,"",-AF134/AF133)</f>
        <v>0.0255725190839695</v>
      </c>
      <c r="AG135" s="12">
        <f>IF(AG133=0,"",-AG134/AG133)</f>
        <v>0.0440843059870686</v>
      </c>
      <c r="AH135" s="41">
        <f>IF(AH133=0,"",-AH134/AH133)</f>
        <v>0.00957562568008705</v>
      </c>
      <c r="AI135" s="41">
        <f>IF(AI133=0,"",-AI134/AI133)</f>
        <v>0.00605459759940516</v>
      </c>
      <c r="AJ135" s="41">
        <f>IF(AJ133=0,"",-AJ134/AJ133)</f>
        <v>0</v>
      </c>
      <c r="AK135" s="41">
        <f>IF(AK133=0,"",-AK134/AK133)</f>
        <v>0</v>
      </c>
      <c r="AL135" s="12">
        <f>IF(AL133=0,"",-AL134/AL133)</f>
        <v>0.00475460517925465</v>
      </c>
      <c r="AM135" s="41">
        <f>IF(AM133=0,"",-AM134/AM133)</f>
        <v>0</v>
      </c>
      <c r="AN135" s="41">
        <f>IF(AN133=0,"",-AN134/AN133)</f>
        <v>0</v>
      </c>
      <c r="AO135" s="41">
        <f>IF(AO133=0,"",-AO134/AO133)</f>
        <v>0</v>
      </c>
      <c r="AP135" s="41">
        <f>IF(AP133=0,"",-AP134/AP133)</f>
        <v>0</v>
      </c>
      <c r="AQ135" s="12">
        <f>IF(AQ133=0,"",-AQ134/AQ133)</f>
        <v>0</v>
      </c>
      <c r="AR135" s="41">
        <f>IF(AR133=0,"",-AR134/AR133)</f>
        <v>0</v>
      </c>
      <c r="AS135" s="41">
        <f>IF(AS133=0,"",-AS134/AS133)</f>
        <v>0</v>
      </c>
      <c r="AT135" s="41">
        <f>IF(AT133=0,"",-AT134/AT133)</f>
        <v>0</v>
      </c>
      <c r="AU135" s="41">
        <f>IF(AU133=0,"",-AU134/AU133)</f>
        <v>0</v>
      </c>
      <c r="AV135" s="12">
        <f>IF(AV133=0,"",-AV134/AV133)</f>
        <v>0</v>
      </c>
      <c r="AW135" s="41">
        <f>IF(AW133=0,"",-AW134/AW133)</f>
        <v>0</v>
      </c>
      <c r="AX135" s="41">
        <f>IF(AX133=0,"",-AX134/AX133)</f>
        <v>0</v>
      </c>
      <c r="AY135" s="41">
        <f>IF(AY133=0,"",-AY134/AY133)</f>
        <v>0</v>
      </c>
      <c r="AZ135" s="41">
        <f>IF(AZ133=0,"",-AZ134/AZ133)</f>
        <v>0</v>
      </c>
      <c r="BA135" s="12">
        <f>IF(BA133=0,"",-BA134/BA133)</f>
        <v>0</v>
      </c>
      <c r="BB135" s="41">
        <f>IF(BB133=0,"",-BB134/BB133)</f>
        <v>0</v>
      </c>
      <c r="BC135" s="41">
        <f>IF(BC133=0,"",-BC134/BC133)</f>
        <v>0</v>
      </c>
      <c r="BD135" s="41">
        <f>IF(BD133=0,"",-BD134/BD133)</f>
        <v>0</v>
      </c>
      <c r="BE135" s="41">
        <f>IF(BE133=0,"",-BE134/BE133)</f>
        <v>0</v>
      </c>
      <c r="BF135" s="12">
        <f>IF(BF133=0,"",-BF134/BF133)</f>
        <v>0</v>
      </c>
      <c r="BG135" s="41" t="n"/>
      <c r="BH135" s="41" t="n"/>
      <c r="BI135" s="41" t="n"/>
      <c r="BJ135" s="41" t="n"/>
      <c r="BK135" s="12" t="n"/>
      <c r="BL135" s="41" t="n"/>
      <c r="BM135" s="41" t="n"/>
      <c r="BN135" s="41" t="n"/>
      <c r="BO135" s="41" t="n"/>
      <c r="BP135" s="12" t="n"/>
      <c r="BQ135" s="41" t="n"/>
      <c r="BR135" s="41" t="n"/>
      <c r="BS135" s="41" t="n"/>
      <c r="BT135" s="41" t="n"/>
      <c r="BU135" s="12" t="n"/>
      <c r="BV135" s="41" t="n"/>
      <c r="BW135" s="41" t="n"/>
      <c r="BX135" s="41" t="n"/>
      <c r="BY135" s="41" t="n"/>
      <c r="BZ135" s="12" t="n"/>
      <c r="CA135" s="41" t="n"/>
      <c r="CB135" s="41" t="n"/>
      <c r="CC135" s="41" t="n"/>
      <c r="CD135" s="41" t="n"/>
      <c r="CE135" s="12" t="n"/>
      <c r="CF135" s="41" t="n"/>
      <c r="CG135" s="41" t="n"/>
      <c r="CH135" s="41" t="n"/>
      <c r="CI135" s="41" t="n"/>
      <c r="CJ135" s="12" t="n"/>
      <c r="CK135" s="41" t="n"/>
      <c r="CL135" s="41" t="n"/>
      <c r="CM135" s="41" t="n"/>
      <c r="CN135" s="41" t="n"/>
      <c r="CO135" s="12" t="n"/>
      <c r="CP135" s="41" t="n"/>
      <c r="CQ135" s="41" t="n"/>
      <c r="CR135" s="41" t="n"/>
      <c r="CS135" s="41" t="n"/>
      <c r="CT135" s="12" t="n"/>
      <c r="CU135" s="41" t="n"/>
      <c r="CV135" s="41" t="n"/>
      <c r="CW135" s="41" t="n"/>
      <c r="CX135" s="41" t="n"/>
      <c r="CY135" s="12" t="n"/>
    </row>
    <row r="136" hidden="1" outlineLevel="1">
      <c r="C136" s="18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18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collapsed="1" ht="11.25" customHeight="1">
      <c r="C138" s="31" t="inlineStr">
        <is>
          <t>Balance Sheet</t>
        </is>
      </c>
      <c r="D138" s="31" t="n"/>
      <c r="E138" s="31" t="n"/>
      <c r="F138" s="31" t="n"/>
      <c r="G138" s="31" t="n"/>
      <c r="H138" s="31" t="n"/>
      <c r="I138" s="31" t="str">
        <f>I13</f>
        <v>1Q21</v>
      </c>
      <c r="J138" s="31" t="str">
        <f>J13</f>
        <v>2Q21</v>
      </c>
      <c r="K138" s="31" t="str">
        <f>K13</f>
        <v>3Q21</v>
      </c>
      <c r="L138" s="31" t="str">
        <f>L13</f>
        <v>4Q21</v>
      </c>
      <c r="M138" s="31">
        <f>M13</f>
        <v>2021</v>
      </c>
      <c r="N138" s="31" t="str">
        <f>N13</f>
        <v>1Q22</v>
      </c>
      <c r="O138" s="31" t="str">
        <f>O13</f>
        <v>2Q22</v>
      </c>
      <c r="P138" s="31" t="str">
        <f>P13</f>
        <v>3Q22</v>
      </c>
      <c r="Q138" s="31" t="str">
        <f>Q13</f>
        <v>4Q22</v>
      </c>
      <c r="R138" s="31">
        <f>R13</f>
        <v>2022</v>
      </c>
      <c r="S138" s="31" t="str">
        <f>S13</f>
        <v>1Q23</v>
      </c>
      <c r="T138" s="31" t="str">
        <f>T13</f>
        <v>2Q23</v>
      </c>
      <c r="U138" s="31" t="str">
        <f>U13</f>
        <v>3Q23</v>
      </c>
      <c r="V138" s="31" t="str">
        <f>V13</f>
        <v>4Q23</v>
      </c>
      <c r="W138" s="31">
        <f>W13</f>
        <v>2023</v>
      </c>
      <c r="X138" s="31" t="str">
        <f>X13</f>
        <v>1Q24</v>
      </c>
      <c r="Y138" s="31" t="str">
        <f>Y13</f>
        <v>2Q24</v>
      </c>
      <c r="Z138" s="31" t="str">
        <f>Z13</f>
        <v>3Q24</v>
      </c>
      <c r="AA138" s="31" t="str">
        <f>AA13</f>
        <v>4Q24</v>
      </c>
      <c r="AB138" s="31">
        <f>AB13</f>
        <v>2024</v>
      </c>
      <c r="AC138" s="31" t="str">
        <f>AC13</f>
        <v>1Q25</v>
      </c>
      <c r="AD138" s="31" t="str">
        <f>AD13</f>
        <v>2Q25</v>
      </c>
      <c r="AE138" s="31" t="str">
        <f>AE13</f>
        <v>3Q25</v>
      </c>
      <c r="AF138" s="31" t="str">
        <f>AF13</f>
        <v>4Q25</v>
      </c>
      <c r="AG138" s="31">
        <f>AG13</f>
        <v>2025</v>
      </c>
      <c r="AH138" s="31" t="str">
        <f>AH13</f>
        <v>1Q26</v>
      </c>
      <c r="AI138" s="31" t="str">
        <f>AI13</f>
        <v>2Q26</v>
      </c>
      <c r="AJ138" s="31" t="str">
        <f>AJ13</f>
        <v>3Q26</v>
      </c>
      <c r="AK138" s="31" t="str">
        <f>AK13</f>
        <v>4Q26</v>
      </c>
      <c r="AL138" s="31">
        <f>AL13</f>
        <v>2026</v>
      </c>
      <c r="AM138" s="31" t="str">
        <f>AM13</f>
        <v>1Q27</v>
      </c>
      <c r="AN138" s="31" t="str">
        <f>AN13</f>
        <v>2Q27</v>
      </c>
      <c r="AO138" s="31" t="str">
        <f>AO13</f>
        <v>3Q27</v>
      </c>
      <c r="AP138" s="31" t="str">
        <f>AP13</f>
        <v>4Q27</v>
      </c>
      <c r="AQ138" s="31">
        <f>AQ13</f>
        <v>2027</v>
      </c>
      <c r="AR138" s="31" t="str">
        <f>AR13</f>
        <v>1Q28</v>
      </c>
      <c r="AS138" s="31" t="str">
        <f>AS13</f>
        <v>2Q28</v>
      </c>
      <c r="AT138" s="31" t="str">
        <f>AT13</f>
        <v>3Q28</v>
      </c>
      <c r="AU138" s="31" t="str">
        <f>AU13</f>
        <v>4Q28</v>
      </c>
      <c r="AV138" s="31">
        <f>AV13</f>
        <v>2028</v>
      </c>
      <c r="AW138" s="31" t="str">
        <f>AW13</f>
        <v>1Q29</v>
      </c>
      <c r="AX138" s="31" t="str">
        <f>AX13</f>
        <v>2Q29</v>
      </c>
      <c r="AY138" s="31" t="str">
        <f>AY13</f>
        <v>3Q29</v>
      </c>
      <c r="AZ138" s="31" t="str">
        <f>AZ13</f>
        <v>4Q29</v>
      </c>
      <c r="BA138" s="31">
        <f>BA13</f>
        <v>2029</v>
      </c>
      <c r="BB138" s="31" t="str">
        <f>BB13</f>
        <v>1Q30</v>
      </c>
      <c r="BC138" s="31" t="str">
        <f>BC13</f>
        <v>2Q30</v>
      </c>
      <c r="BD138" s="31" t="str">
        <f>BD13</f>
        <v>3Q30</v>
      </c>
      <c r="BE138" s="31" t="str">
        <f>BE13</f>
        <v>4Q30</v>
      </c>
      <c r="BF138" s="31">
        <f>BF13</f>
        <v>2030</v>
      </c>
      <c r="BG138" s="31" t="n"/>
      <c r="BH138" s="31" t="n"/>
      <c r="BI138" s="31" t="n"/>
      <c r="BJ138" s="31" t="n"/>
      <c r="BK138" s="31" t="n"/>
      <c r="BL138" s="31" t="n"/>
      <c r="BM138" s="31" t="n"/>
      <c r="BN138" s="31" t="n"/>
      <c r="BO138" s="31" t="n"/>
      <c r="BP138" s="31" t="n"/>
      <c r="BQ138" s="31" t="n"/>
      <c r="BR138" s="31" t="n"/>
      <c r="BS138" s="31" t="n"/>
      <c r="BT138" s="31" t="n"/>
      <c r="BU138" s="31" t="n"/>
      <c r="BV138" s="31" t="n"/>
      <c r="BW138" s="31" t="n"/>
      <c r="BX138" s="31" t="n"/>
      <c r="BY138" s="31" t="n"/>
      <c r="BZ138" s="31" t="n"/>
      <c r="CA138" s="31" t="n"/>
      <c r="CB138" s="31" t="n"/>
      <c r="CC138" s="31" t="n"/>
      <c r="CD138" s="31" t="n"/>
      <c r="CE138" s="31" t="n"/>
      <c r="CF138" s="31" t="n"/>
      <c r="CG138" s="31" t="n"/>
      <c r="CH138" s="31" t="n"/>
      <c r="CI138" s="31" t="n"/>
      <c r="CJ138" s="31" t="n"/>
      <c r="CK138" s="31" t="n"/>
      <c r="CL138" s="31" t="n"/>
      <c r="CM138" s="31" t="n"/>
      <c r="CN138" s="31" t="n"/>
      <c r="CO138" s="31" t="n"/>
      <c r="CP138" s="31" t="n"/>
      <c r="CQ138" s="31" t="n"/>
      <c r="CR138" s="31" t="n"/>
      <c r="CS138" s="31" t="n"/>
      <c r="CT138" s="31" t="n"/>
      <c r="CU138" s="31" t="n"/>
      <c r="CV138" s="31" t="n"/>
      <c r="CW138" s="31" t="n"/>
      <c r="CX138" s="31" t="n"/>
      <c r="CY138" s="31" t="n"/>
    </row>
    <row r="139">
      <c r="C139" s="18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>
      <c r="C140" s="13" t="inlineStr">
        <is>
          <t>Cash and equivalents (inc. investment securities)</t>
        </is>
      </c>
      <c r="D140" s="46" t="n"/>
      <c r="E140" s="46" t="n"/>
      <c r="F140" s="46" t="n"/>
      <c r="G140" s="46" t="n"/>
      <c r="H140" s="12" t="n"/>
      <c r="I140" s="46">
        <f>'Inputs (2)'!D15</f>
        <v>7184</v>
      </c>
      <c r="J140" s="46">
        <f>'Inputs (2)'!E15</f>
        <v>8349</v>
      </c>
      <c r="K140" s="46">
        <f>'Inputs (2)'!F15</f>
        <v>8633</v>
      </c>
      <c r="L140" s="46">
        <f>'Inputs (2)'!G15</f>
        <v>9580</v>
      </c>
      <c r="M140" s="12">
        <f>'Inputs (2)'!H15</f>
        <v>9580</v>
      </c>
      <c r="N140" s="46">
        <f>'Inputs (2)'!I15</f>
        <v>10122</v>
      </c>
      <c r="O140" s="46">
        <f>'Inputs (2)'!J15</f>
        <v>10227</v>
      </c>
      <c r="P140" s="46">
        <f>'Inputs (2)'!K15</f>
        <v>9331</v>
      </c>
      <c r="Q140" s="46">
        <f>'Inputs (2)'!L15</f>
        <v>10581</v>
      </c>
      <c r="R140" s="12">
        <f>'Inputs (2)'!M15</f>
        <v>10581</v>
      </c>
      <c r="S140" s="46">
        <f>'Inputs (2)'!N15</f>
        <v>10818</v>
      </c>
      <c r="T140" s="46">
        <f>'Inputs (2)'!O15</f>
        <v>10352</v>
      </c>
      <c r="U140" s="46">
        <f>'Inputs (2)'!P15</f>
        <v>9594</v>
      </c>
      <c r="V140" s="46">
        <f>'Inputs (2)'!Q15</f>
        <v>9048</v>
      </c>
      <c r="W140" s="12">
        <f>'Inputs (2)'!R15</f>
        <v>9048</v>
      </c>
      <c r="X140" s="46">
        <f>'Inputs (2)'!S15</f>
        <v>9006</v>
      </c>
      <c r="Y140" s="46">
        <f>'Inputs (2)'!T15</f>
        <v>8379</v>
      </c>
      <c r="Z140" s="46">
        <f>'Inputs (2)'!U15</f>
        <v>8106</v>
      </c>
      <c r="AA140" s="46">
        <f>'Inputs (2)'!V15</f>
        <v>7588</v>
      </c>
      <c r="AB140" s="12">
        <f>'Inputs (2)'!W15</f>
        <v>7588</v>
      </c>
      <c r="AC140" s="46">
        <f>'Inputs (2)'!X15</f>
        <v>8215</v>
      </c>
      <c r="AD140" s="46">
        <f>'Inputs (2)'!Y15</f>
        <v>10811</v>
      </c>
      <c r="AE140" s="46">
        <f>'Inputs (2)'!Z15</f>
        <v>10307</v>
      </c>
      <c r="AF140" s="46">
        <f>'Inputs (2)'!AA15</f>
        <v>10318</v>
      </c>
      <c r="AG140" s="12">
        <f>'Inputs (2)'!AB15</f>
        <v>10318</v>
      </c>
      <c r="AH140" s="12">
        <f>'Inputs (2)'!AC15</f>
        <v>14589</v>
      </c>
      <c r="AI140" s="12">
        <f>'Inputs (2)'!AD15</f>
        <v>26022</v>
      </c>
      <c r="AJ140" s="12">
        <f>AJ269-SUM(AJ141,AJ145,AJ149,AJ150,AJ151,AJ157,AJ162,AJ172,AJ175,AJ176,AJ185)</f>
        <v>41119.1464482611</v>
      </c>
      <c r="AK140" s="12">
        <f>AK269-SUM(AK141,AK145,AK149,AK150,AK151,AK157,AK162,AK172,AK175,AK176,AK185)</f>
        <v>46704.3790162403</v>
      </c>
      <c r="AL140" s="12">
        <f>AK140</f>
        <v>46704.3790162403</v>
      </c>
      <c r="AM140" s="12">
        <f>AM269-SUM(AM141,AM145,AM149,AM150,AM151,AM157,AM162,AM172,AM175,AM176,AM185)</f>
        <v>46793.13929431</v>
      </c>
      <c r="AN140" s="12">
        <f>AN269-SUM(AN141,AN145,AN149,AN150,AN151,AN157,AN162,AN172,AN175,AN176,AN185)</f>
        <v>48617.0736218133</v>
      </c>
      <c r="AO140" s="12">
        <f>AO269-SUM(AO141,AO145,AO149,AO150,AO151,AO157,AO162,AO172,AO175,AO176,AO185)</f>
        <v>89649.0476090452</v>
      </c>
      <c r="AP140" s="12">
        <f>AP269-SUM(AP141,AP145,AP149,AP150,AP151,AP157,AP162,AP172,AP175,AP176,AP185)</f>
        <v>101931.791533003</v>
      </c>
      <c r="AQ140" s="12">
        <f>AP140</f>
        <v>101931.791533003</v>
      </c>
      <c r="AR140" s="12">
        <f>AR269-SUM(AR141,AR145,AR149,AR150,AR151,AR157,AR162,AR172,AR175,AR176,AR185)</f>
        <v>103078.101451921</v>
      </c>
      <c r="AS140" s="12">
        <f>AS269-SUM(AS141,AS145,AS149,AS150,AS151,AS157,AS162,AS172,AS175,AS176,AS185)</f>
        <v>106227.427116452</v>
      </c>
      <c r="AT140" s="12">
        <f>AT269-SUM(AT141,AT145,AT149,AT150,AT151,AT157,AT162,AT172,AT175,AT176,AT185)</f>
        <v>196257.583868617</v>
      </c>
      <c r="AU140" s="12">
        <f>AU269-SUM(AU141,AU145,AU149,AU150,AU151,AU157,AU162,AU172,AU175,AU176,AU185)</f>
        <v>223207.72185527</v>
      </c>
      <c r="AV140" s="12">
        <f>AU140</f>
        <v>223207.72185527</v>
      </c>
      <c r="AW140" s="12">
        <f>AW269-SUM(AW141,AW145,AW149,AW150,AW151,AW157,AW162,AW172,AW175,AW176,AW185)</f>
        <v>224068.082978067</v>
      </c>
      <c r="AX140" s="12">
        <f>AX269-SUM(AX141,AX145,AX149,AX150,AX151,AX157,AX162,AX172,AX175,AX176,AX185)</f>
        <v>232829.000519338</v>
      </c>
      <c r="AY140" s="12">
        <f>AY269-SUM(AY141,AY145,AY149,AY150,AY151,AY157,AY162,AY172,AY175,AY176,AY185)</f>
        <v>429918.191307145</v>
      </c>
      <c r="AZ140" s="12">
        <f>AZ269-SUM(AZ141,AZ145,AZ149,AZ150,AZ151,AZ157,AZ162,AZ172,AZ175,AZ176,AZ185)</f>
        <v>488915.988034644</v>
      </c>
      <c r="BA140" s="12">
        <f>AZ140</f>
        <v>488915.988034644</v>
      </c>
      <c r="BB140" s="12">
        <f>BB269-SUM(BB141,BB145,BB149,BB150,BB151,BB157,BB162,BB172,BB175,BB176,BB185)</f>
        <v>491272.377440817</v>
      </c>
      <c r="BC140" s="12">
        <f>BC269-SUM(BC141,BC145,BC149,BC150,BC151,BC157,BC162,BC172,BC175,BC176,BC185)</f>
        <v>510407.503680934</v>
      </c>
      <c r="BD140" s="12">
        <f>BD269-SUM(BD141,BD145,BD149,BD150,BD151,BD157,BD162,BD172,BD175,BD176,BD185)</f>
        <v>940879.144182175</v>
      </c>
      <c r="BE140" s="12">
        <f>BE269-SUM(BE141,BE145,BE149,BE150,BE151,BE157,BE162,BE172,BE175,BE176,BE185)</f>
        <v>1069738.96770537</v>
      </c>
      <c r="BF140" s="12">
        <f>BE140</f>
        <v>1069738.96770537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>
      <c r="C141" s="14" t="inlineStr">
        <is>
          <t>Accounts receivable</t>
        </is>
      </c>
      <c r="D141" s="46" t="n"/>
      <c r="E141" s="46" t="n"/>
      <c r="F141" s="46" t="n"/>
      <c r="G141" s="46" t="n"/>
      <c r="H141" s="12" t="n"/>
      <c r="I141" s="46">
        <f>'Inputs (2)'!D16</f>
        <v>3353</v>
      </c>
      <c r="J141" s="46">
        <f>'Inputs (2)'!E16</f>
        <v>4231</v>
      </c>
      <c r="K141" s="46">
        <f>'Inputs (2)'!F16</f>
        <v>5311</v>
      </c>
      <c r="L141" s="46">
        <f>'Inputs (2)'!G16</f>
        <v>5250</v>
      </c>
      <c r="M141" s="12">
        <f>'Inputs (2)'!H16</f>
        <v>5250</v>
      </c>
      <c r="N141" s="46">
        <f>'Inputs (2)'!I16</f>
        <v>5384</v>
      </c>
      <c r="O141" s="46">
        <f>'Inputs (2)'!J16</f>
        <v>6229</v>
      </c>
      <c r="P141" s="46">
        <f>'Inputs (2)'!K16</f>
        <v>5130</v>
      </c>
      <c r="Q141" s="46">
        <f>'Inputs (2)'!L16</f>
        <v>3318</v>
      </c>
      <c r="R141" s="12">
        <f>'Inputs (2)'!M16</f>
        <v>3318</v>
      </c>
      <c r="S141" s="46">
        <f>'Inputs (2)'!N16</f>
        <v>2278</v>
      </c>
      <c r="T141" s="46">
        <f>'Inputs (2)'!O16</f>
        <v>2429</v>
      </c>
      <c r="U141" s="46">
        <f>'Inputs (2)'!P16</f>
        <v>2443</v>
      </c>
      <c r="V141" s="46">
        <f>'Inputs (2)'!Q16</f>
        <v>2943</v>
      </c>
      <c r="W141" s="12">
        <f>'Inputs (2)'!R16</f>
        <v>2943</v>
      </c>
      <c r="X141" s="46">
        <f>'Inputs (2)'!S16</f>
        <v>4296</v>
      </c>
      <c r="Y141" s="46">
        <f>'Inputs (2)'!T16</f>
        <v>5131</v>
      </c>
      <c r="Z141" s="46">
        <f>'Inputs (2)'!U16</f>
        <v>6615</v>
      </c>
      <c r="AA141" s="46">
        <f>'Inputs (2)'!V16</f>
        <v>7423</v>
      </c>
      <c r="AB141" s="12">
        <f>'Inputs (2)'!W16</f>
        <v>7423</v>
      </c>
      <c r="AC141" s="46">
        <f>'Inputs (2)'!X16</f>
        <v>6504</v>
      </c>
      <c r="AD141" s="46">
        <f>'Inputs (2)'!Y16</f>
        <v>7436</v>
      </c>
      <c r="AE141" s="46">
        <f>'Inputs (2)'!Z16</f>
        <v>9265</v>
      </c>
      <c r="AF141" s="46">
        <f>'Inputs (2)'!AA16</f>
        <v>10184</v>
      </c>
      <c r="AG141" s="12">
        <f>'Inputs (2)'!AB16</f>
        <v>10184</v>
      </c>
      <c r="AH141" s="12">
        <f>'Inputs (2)'!AC16</f>
        <v>17314</v>
      </c>
      <c r="AI141" s="12">
        <f>'Inputs (2)'!AD16</f>
        <v>31025</v>
      </c>
      <c r="AJ141" s="12">
        <f>(AJ142/(AJ$5-AI$5))*AJ$15</f>
        <v>19061.8728146475</v>
      </c>
      <c r="AK141" s="12">
        <f>(AK142/(AK$5-AJ$5))*AK$15</f>
        <v>22983.7499611344</v>
      </c>
      <c r="AL141" s="12">
        <f>AK141</f>
        <v>22983.7499611344</v>
      </c>
      <c r="AM141" s="12">
        <f>(AM142/(AM$5-AL$5))*AM$15</f>
        <v>41089.1130288104</v>
      </c>
      <c r="AN141" s="12">
        <f>(AN142/(AN$5-AM$5))*AN$15</f>
        <v>70606.5253700674</v>
      </c>
      <c r="AO141" s="12">
        <f>(AO142/(AO$5-AN$5))*AO$15</f>
        <v>41919.848393723</v>
      </c>
      <c r="AP141" s="12">
        <f>(AP142/(AP$5-AO$5))*AP$15</f>
        <v>50544.6302815345</v>
      </c>
      <c r="AQ141" s="12">
        <f>AP141</f>
        <v>50544.6302815345</v>
      </c>
      <c r="AR141" s="12">
        <f>(AR142/(AR$5-AQ$5))*AR$15</f>
        <v>89164.8080829832</v>
      </c>
      <c r="AS141" s="12">
        <f>(AS142/(AS$5-AR$5))*AS$15</f>
        <v>154921.051294558</v>
      </c>
      <c r="AT141" s="12">
        <f>(AT142/(AT$5-AS$5))*AT$15</f>
        <v>91978.2831576244</v>
      </c>
      <c r="AU141" s="12">
        <f>(AU142/(AU$5-AT$5))*AU$15</f>
        <v>110902.317023373</v>
      </c>
      <c r="AV141" s="12">
        <f>AU141</f>
        <v>110902.317023373</v>
      </c>
      <c r="AW141" s="12">
        <f>(AW142/(AW$5-AV$5))*AW$15</f>
        <v>197363.647178099</v>
      </c>
      <c r="AX141" s="12">
        <f>(AX142/(AX$5-AW$5))*AX$15</f>
        <v>339144.856980451</v>
      </c>
      <c r="AY141" s="12">
        <f>(AY142/(AY$5-AX$5))*AY$15</f>
        <v>201353.924635391</v>
      </c>
      <c r="AZ141" s="12">
        <f>(AZ142/(AZ$5-AY$5))*AZ$15</f>
        <v>242781.404666429</v>
      </c>
      <c r="BA141" s="12">
        <f>AZ141</f>
        <v>242781.404666429</v>
      </c>
      <c r="BB141" s="12">
        <f>(BB142/(BB$5-BA$5))*BB$15</f>
        <v>431071.093429649</v>
      </c>
      <c r="BC141" s="12">
        <f>(BC142/(BC$5-BB$5))*BC$15</f>
        <v>740742.008064329</v>
      </c>
      <c r="BD141" s="12">
        <f>(BD142/(BD$5-BC$5))*BD$15</f>
        <v>439786.443450772</v>
      </c>
      <c r="BE141" s="12">
        <f>(BE142/(BE$5-BD$5))*BE$15</f>
        <v>530270.123552707</v>
      </c>
      <c r="BF141" s="12">
        <f>BE141</f>
        <v>530270.123552707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inlineStr">
        <is>
          <t>DSO</t>
        </is>
      </c>
      <c r="D142" s="12" t="n"/>
      <c r="E142" s="12" t="n"/>
      <c r="F142" s="12" t="n"/>
      <c r="G142" s="12" t="n"/>
      <c r="H142" s="12" t="n"/>
      <c r="I142" s="12">
        <f>IFERROR((I141/I$15)*(I$5-H$5),"")</f>
        <v>48.391597177678</v>
      </c>
      <c r="J142" s="12">
        <f>IFERROR((J141/J$15)*(J$5-I$5),"")</f>
        <v>51.8756399892212</v>
      </c>
      <c r="K142" s="12">
        <f>IFERROR((K141/K$15)*(K$5-J$5),"")</f>
        <v>59.0539037950206</v>
      </c>
      <c r="L142" s="12">
        <f>IFERROR((L141/L$15)*(L$5-K$5),"")</f>
        <v>62.8333550149603</v>
      </c>
      <c r="M142" s="12" t="n"/>
      <c r="N142" s="12">
        <f>IFERROR((N141/N$15)*(N$5-M$5),"")</f>
        <v>62.2347803750321</v>
      </c>
      <c r="O142" s="12">
        <f>IFERROR((O141/O$15)*(O$5-N$5),"")</f>
        <v>65.5911825966212</v>
      </c>
      <c r="P142" s="12">
        <f>IFERROR((P141/P$15)*(P$5-O$5),"")</f>
        <v>71.0462140599127</v>
      </c>
      <c r="Q142" s="12">
        <f>IFERROR((Q141/Q$15)*(Q$5-P$5),"")</f>
        <v>74.7260709914321</v>
      </c>
      <c r="R142" s="12" t="n"/>
      <c r="S142" s="12">
        <f>IFERROR((S141/S$15)*(S$5-R$5),"")</f>
        <v>55.5158407798538</v>
      </c>
      <c r="T142" s="12">
        <f>IFERROR((T141/T$15)*(T$5-S$5),"")</f>
        <v>58.9123134328358</v>
      </c>
      <c r="U142" s="12">
        <f>IFERROR((U141/U$15)*(U$5-T$5),"")</f>
        <v>56.0488778054863</v>
      </c>
      <c r="V142" s="12">
        <f>IFERROR((V141/V$15)*(V$5-U$5),"")</f>
        <v>57.2907321201862</v>
      </c>
      <c r="W142" s="12" t="n"/>
      <c r="X142" s="12">
        <f>IFERROR((X141/X$15)*(X$5-W$5),"")</f>
        <v>67.125</v>
      </c>
      <c r="Y142" s="12">
        <f>IFERROR((Y141/Y$15)*(Y$5-X$5),"")</f>
        <v>68.5539568345324</v>
      </c>
      <c r="Z142" s="12">
        <f>IFERROR((Z141/Z$15)*(Z$5-Y$5),"")</f>
        <v>78.5264516129032</v>
      </c>
      <c r="AA142" s="12">
        <f>IFERROR((AA141/AA$15)*(AA$5-Z$5),"")</f>
        <v>78.4149730164198</v>
      </c>
      <c r="AB142" s="12" t="n"/>
      <c r="AC142" s="12">
        <f>IFERROR((AC141/AC$15)*(AC$5-AB$5),"")</f>
        <v>72.688439091022</v>
      </c>
      <c r="AD142" s="12">
        <f>IFERROR((AD141/AD$15)*(AD$5-AC$5),"")</f>
        <v>72.7530373078164</v>
      </c>
      <c r="AE142" s="12">
        <f>IFERROR((AE141/AE$15)*(AE$5-AD$5),"")</f>
        <v>75.3318603623509</v>
      </c>
      <c r="AF142" s="11">
        <f>IFERROR((AF141/AF$15)*(AF$5-AE$5),"")</f>
        <v>68.6746316792494</v>
      </c>
      <c r="AG142" s="12" t="n"/>
      <c r="AH142" s="11">
        <f>IFERROR((AH141/AH$15)*(AH$5-AG$5),"")</f>
        <v>65.3084660519698</v>
      </c>
      <c r="AI142" s="11">
        <f>IFERROR((AI141/AI$15)*(AI$5-AH$5),"")</f>
        <v>68.1029284060208</v>
      </c>
      <c r="AJ142" s="11">
        <f>Control!$B$25</f>
        <v>70.4765604830716</v>
      </c>
      <c r="AK142" s="11">
        <f>Control!$B$25</f>
        <v>70.4765604830716</v>
      </c>
      <c r="AL142" s="12" t="n"/>
      <c r="AM142" s="11">
        <f>Control!$C$25</f>
        <v>70.4765604830716</v>
      </c>
      <c r="AN142" s="11">
        <f>Control!$C$25</f>
        <v>70.4765604830716</v>
      </c>
      <c r="AO142" s="11">
        <f>Control!$C$25</f>
        <v>70.4765604830716</v>
      </c>
      <c r="AP142" s="11">
        <f>Control!$C$25</f>
        <v>70.4765604830716</v>
      </c>
      <c r="AQ142" s="12" t="n"/>
      <c r="AR142" s="11">
        <f>Control!$D$25</f>
        <v>70.4765604830716</v>
      </c>
      <c r="AS142" s="11">
        <f>Control!$D$25</f>
        <v>70.4765604830716</v>
      </c>
      <c r="AT142" s="11">
        <f>Control!$D$25</f>
        <v>70.4765604830716</v>
      </c>
      <c r="AU142" s="11">
        <f>Control!$D$25</f>
        <v>70.4765604830716</v>
      </c>
      <c r="AV142" s="12" t="n"/>
      <c r="AW142" s="11">
        <f>Control!$E$25</f>
        <v>70.4765604830716</v>
      </c>
      <c r="AX142" s="11">
        <f>Control!$E$25</f>
        <v>70.4765604830716</v>
      </c>
      <c r="AY142" s="11">
        <f>Control!$E$25</f>
        <v>70.4765604830716</v>
      </c>
      <c r="AZ142" s="11">
        <f>Control!$E$25</f>
        <v>70.4765604830716</v>
      </c>
      <c r="BA142" s="12" t="n"/>
      <c r="BB142" s="11">
        <f>Control!$F$25</f>
        <v>70.4765604830716</v>
      </c>
      <c r="BC142" s="11">
        <f>Control!$F$25</f>
        <v>70.4765604830716</v>
      </c>
      <c r="BD142" s="11">
        <f>Control!$F$25</f>
        <v>70.4765604830716</v>
      </c>
      <c r="BE142" s="11">
        <f>Control!$F$25</f>
        <v>70.4765604830716</v>
      </c>
      <c r="BF142" s="12" t="n"/>
      <c r="BG142" s="11" t="n"/>
      <c r="BH142" s="11" t="n"/>
      <c r="BI142" s="11" t="n"/>
      <c r="BJ142" s="11" t="n"/>
      <c r="BK142" s="12" t="n"/>
      <c r="BL142" s="11" t="n"/>
      <c r="BM142" s="11" t="n"/>
      <c r="BN142" s="11" t="n"/>
      <c r="BO142" s="11" t="n"/>
      <c r="BP142" s="12" t="n"/>
      <c r="BQ142" s="11" t="n"/>
      <c r="BR142" s="11" t="n"/>
      <c r="BS142" s="11" t="n"/>
      <c r="BT142" s="11" t="n"/>
      <c r="BU142" s="12" t="n"/>
      <c r="BV142" s="11" t="n"/>
      <c r="BW142" s="11" t="n"/>
      <c r="BX142" s="11" t="n"/>
      <c r="BY142" s="11" t="n"/>
      <c r="BZ142" s="12" t="n"/>
      <c r="CA142" s="11" t="n"/>
      <c r="CB142" s="11" t="n"/>
      <c r="CC142" s="11" t="n"/>
      <c r="CD142" s="11" t="n"/>
      <c r="CE142" s="12" t="n"/>
      <c r="CF142" s="11" t="n"/>
      <c r="CG142" s="11" t="n"/>
      <c r="CH142" s="11" t="n"/>
      <c r="CI142" s="11" t="n"/>
      <c r="CJ142" s="12" t="n"/>
      <c r="CK142" s="11" t="n"/>
      <c r="CL142" s="11" t="n"/>
      <c r="CM142" s="11" t="n"/>
      <c r="CN142" s="11" t="n"/>
      <c r="CO142" s="12" t="n"/>
      <c r="CP142" s="11" t="n"/>
      <c r="CQ142" s="11" t="n"/>
      <c r="CR142" s="11" t="n"/>
      <c r="CS142" s="11" t="n"/>
      <c r="CT142" s="12" t="n"/>
      <c r="CU142" s="11" t="n"/>
      <c r="CV142" s="11" t="n"/>
      <c r="CW142" s="11" t="n"/>
      <c r="CX142" s="11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Inventories</t>
        </is>
      </c>
      <c r="D145" s="46" t="n"/>
      <c r="E145" s="46" t="n"/>
      <c r="F145" s="46" t="n"/>
      <c r="G145" s="46" t="n"/>
      <c r="H145" s="12" t="n"/>
      <c r="I145" s="46">
        <f>'Inputs (2)'!D17</f>
        <v>4743</v>
      </c>
      <c r="J145" s="46">
        <f>'Inputs (2)'!E17</f>
        <v>4537</v>
      </c>
      <c r="K145" s="46">
        <f>'Inputs (2)'!F17</f>
        <v>4487</v>
      </c>
      <c r="L145" s="46">
        <f>'Inputs (2)'!G17</f>
        <v>4827</v>
      </c>
      <c r="M145" s="12">
        <f>'Inputs (2)'!H17</f>
        <v>4827</v>
      </c>
      <c r="N145" s="46">
        <f>'Inputs (2)'!I17</f>
        <v>5383</v>
      </c>
      <c r="O145" s="46">
        <f>'Inputs (2)'!J17</f>
        <v>5629</v>
      </c>
      <c r="P145" s="46">
        <f>'Inputs (2)'!K17</f>
        <v>6663</v>
      </c>
      <c r="Q145" s="46">
        <f>'Inputs (2)'!L17</f>
        <v>8359</v>
      </c>
      <c r="R145" s="12">
        <f>'Inputs (2)'!M17</f>
        <v>8359</v>
      </c>
      <c r="S145" s="46">
        <f>'Inputs (2)'!N17</f>
        <v>8129</v>
      </c>
      <c r="T145" s="46">
        <f>'Inputs (2)'!O17</f>
        <v>8238</v>
      </c>
      <c r="U145" s="46">
        <f>'Inputs (2)'!P17</f>
        <v>8387</v>
      </c>
      <c r="V145" s="46">
        <f>'Inputs (2)'!Q17</f>
        <v>8276</v>
      </c>
      <c r="W145" s="12">
        <f>'Inputs (2)'!R17</f>
        <v>8276</v>
      </c>
      <c r="X145" s="46">
        <f>'Inputs (2)'!S17</f>
        <v>8443</v>
      </c>
      <c r="Y145" s="46">
        <f>'Inputs (2)'!T17</f>
        <v>8512</v>
      </c>
      <c r="Z145" s="46">
        <f>'Inputs (2)'!U17</f>
        <v>8875</v>
      </c>
      <c r="AA145" s="46">
        <f>'Inputs (2)'!V17</f>
        <v>8705</v>
      </c>
      <c r="AB145" s="12">
        <f>'Inputs (2)'!W17</f>
        <v>8705</v>
      </c>
      <c r="AC145" s="46">
        <f>'Inputs (2)'!X17</f>
        <v>9007</v>
      </c>
      <c r="AD145" s="46">
        <f>'Inputs (2)'!Y17</f>
        <v>8727</v>
      </c>
      <c r="AE145" s="46">
        <f>'Inputs (2)'!Z17</f>
        <v>8355</v>
      </c>
      <c r="AF145" s="46">
        <f>'Inputs (2)'!AA17</f>
        <v>8205</v>
      </c>
      <c r="AG145" s="12">
        <f>'Inputs (2)'!AB17</f>
        <v>8205</v>
      </c>
      <c r="AH145" s="12">
        <f>'Inputs (2)'!AC17</f>
        <v>8267</v>
      </c>
      <c r="AI145" s="12">
        <f>'Inputs (2)'!AD17</f>
        <v>8567</v>
      </c>
      <c r="AJ145" s="12">
        <f>(AJ146/(AJ$5-AI$5))*-AJ$50</f>
        <v>15749.9633313603</v>
      </c>
      <c r="AK145" s="12">
        <f>(AK146/(AK$5-AJ$5))*-AK$50</f>
        <v>18990.4330295845</v>
      </c>
      <c r="AL145" s="12">
        <f>AK145</f>
        <v>18990.4330295845</v>
      </c>
      <c r="AM145" s="12">
        <f>(AM146/(AM$5-AL$5))*-AM$50</f>
        <v>33950.0756203031</v>
      </c>
      <c r="AN145" s="12">
        <f>(AN146/(AN$5-AM$5))*-AN$50</f>
        <v>58338.9783546769</v>
      </c>
      <c r="AO145" s="12">
        <f>(AO146/(AO$5-AN$5))*-AO$50</f>
        <v>34636.4746778703</v>
      </c>
      <c r="AP145" s="12">
        <f>(AP146/(AP$5-AO$5))*-AP$50</f>
        <v>41762.7418497732</v>
      </c>
      <c r="AQ145" s="12">
        <f>AP145</f>
        <v>41762.7418497732</v>
      </c>
      <c r="AR145" s="12">
        <f>(AR146/(AR$5-AQ$5))*-AR$50</f>
        <v>73672.8479625382</v>
      </c>
      <c r="AS145" s="12">
        <f>(AS146/(AS$5-AR$5))*-AS$50</f>
        <v>128004.257549664</v>
      </c>
      <c r="AT145" s="12">
        <f>(AT146/(AT$5-AS$5))*-AT$50</f>
        <v>75997.4951622218</v>
      </c>
      <c r="AU145" s="12">
        <f>(AU146/(AU$5-AT$5))*-AU$50</f>
        <v>91633.5684046126</v>
      </c>
      <c r="AV145" s="12">
        <f>AU145</f>
        <v>91633.5684046126</v>
      </c>
      <c r="AW145" s="12">
        <f>(AW146/(AW$5-AV$5))*-AW$50</f>
        <v>163072.654834313</v>
      </c>
      <c r="AX145" s="12">
        <f>(AX146/(AX$5-AW$5))*-AX$50</f>
        <v>280220.055678738</v>
      </c>
      <c r="AY145" s="12">
        <f>(AY146/(AY$5-AX$5))*-AY$50</f>
        <v>166369.640615585</v>
      </c>
      <c r="AZ145" s="12">
        <f>(AZ146/(AZ$5-AY$5))*-AZ$50</f>
        <v>200599.293585367</v>
      </c>
      <c r="BA145" s="12">
        <f>AZ145</f>
        <v>200599.293585367</v>
      </c>
      <c r="BB145" s="12">
        <f>(BB146/(BB$5-BA$5))*-BB$50</f>
        <v>356174.546999878</v>
      </c>
      <c r="BC145" s="12">
        <f>(BC146/(BC$5-BB$5))*-BC$50</f>
        <v>612041.617235349</v>
      </c>
      <c r="BD145" s="12">
        <f>(BD146/(BD$5-BC$5))*-BD$50</f>
        <v>363375.646523907</v>
      </c>
      <c r="BE145" s="12">
        <f>(BE146/(BE$5-BD$5))*-BE$50</f>
        <v>438138.218782648</v>
      </c>
      <c r="BF145" s="12">
        <f>BE145</f>
        <v>438138.218782648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inlineStr">
        <is>
          <t>DIO</t>
        </is>
      </c>
      <c r="D146" s="12" t="n"/>
      <c r="E146" s="12" t="n"/>
      <c r="F146" s="12" t="n"/>
      <c r="G146" s="12" t="n"/>
      <c r="H146" s="12" t="n"/>
      <c r="I146" s="12">
        <f>IFERROR(((I145/I$50)*(I$5-H$5))*-1,"")</f>
        <v>93.0608240680183</v>
      </c>
      <c r="J146" s="12">
        <f>IFERROR(((J145/J$50)*(J$5-I$5))*-1,"")</f>
        <v>96.1049813780261</v>
      </c>
      <c r="K146" s="12">
        <f>IFERROR(((K145/K$50)*(K$5-J$5))*-1,"")</f>
        <v>94.6364053186612</v>
      </c>
      <c r="L146" s="12">
        <f>IFERROR(((L145/L$50)*(L$5-K$5))*-1,"")</f>
        <v>107.735080058224</v>
      </c>
      <c r="M146" s="12" t="n"/>
      <c r="N146" s="12">
        <f>IFERROR(((N145/N$50)*(N$5-M$5))*-1,"")</f>
        <v>117.875912408759</v>
      </c>
      <c r="O146" s="12">
        <f>IFERROR(((O145/O$50)*(O$5-N$5))*-1,"")</f>
        <v>111.187106576948</v>
      </c>
      <c r="P146" s="12">
        <f>IFERROR(((P145/P$50)*(P$5-O$5))*-1,"")</f>
        <v>152.448644615767</v>
      </c>
      <c r="Q146" s="12">
        <f>IFERROR(((Q145/Q$50)*(Q$5-P$5))*-1,"")</f>
        <v>240.923558897243</v>
      </c>
      <c r="R146" s="12" t="n"/>
      <c r="S146" s="12">
        <f>IFERROR(((S145/S$50)*(S$5-R$5))*-1,"")</f>
        <v>149.338640538885</v>
      </c>
      <c r="T146" s="12">
        <f>IFERROR(((T145/T$50)*(T$5-S$5))*-1,"")</f>
        <v>169.605882352941</v>
      </c>
      <c r="U146" s="12">
        <f>IFERROR(((U145/U$50)*(U$5-T$5))*-1,"")</f>
        <v>173.589201349831</v>
      </c>
      <c r="V146" s="12">
        <f>IFERROR(((V145/V$50)*(V$5-U$5))*-1,"")</f>
        <v>159.92270531401</v>
      </c>
      <c r="W146" s="12" t="n"/>
      <c r="X146" s="12">
        <f>IFERROR(((X145/X$50)*(X$5-W$5))*-1,"")</f>
        <v>161.920547945205</v>
      </c>
      <c r="Y146" s="12">
        <f>IFERROR(((Y145/Y$50)*(Y$5-X$5))*-1,"")</f>
        <v>155.57180156658</v>
      </c>
      <c r="Z146" s="12">
        <f>IFERROR(((Z145/Z$50)*(Z$5-Y$5))*-1,"")</f>
        <v>162.876521045282</v>
      </c>
      <c r="AA146" s="12">
        <f>IFERROR(((AA145/AA$50)*(AA$5-Z$5))*-1,"")</f>
        <v>149.386308524529</v>
      </c>
      <c r="AB146" s="12" t="n"/>
      <c r="AC146" s="12">
        <f>IFERROR(((AC145/AC$50)*(AC$5-AB$5))*-1,"")</f>
        <v>159.259332023576</v>
      </c>
      <c r="AD146" s="12">
        <f>IFERROR(((AD145/AD$50)*(AD$5-AC$5))*-1,"")</f>
        <v>137.089073019161</v>
      </c>
      <c r="AE146" s="12">
        <f>IFERROR(((AE145/AE$50)*(AE$5-AD$5))*-1,"")</f>
        <v>122.769525634883</v>
      </c>
      <c r="AF146" s="11">
        <f>IFERROR(((AF145/AF$50)*(AF$5-AE$5))*-1,"")</f>
        <v>125.872936468234</v>
      </c>
      <c r="AG146" s="12" t="n"/>
      <c r="AH146" s="11">
        <f>IFERROR(((AH145/AH$50)*(AH$5-AG$5))*-1,"")</f>
        <v>121.872235872236</v>
      </c>
      <c r="AI146" s="11">
        <f>IFERROR(((AI145/AI$50)*(AI$5-AH$5))*-1,"")</f>
        <v>121.81203125</v>
      </c>
      <c r="AJ146" s="11">
        <f>Control!$B$26</f>
        <v>131.445855711348</v>
      </c>
      <c r="AK146" s="11">
        <f>Control!$B$26</f>
        <v>131.445855711348</v>
      </c>
      <c r="AL146" s="12" t="n"/>
      <c r="AM146" s="11">
        <f>Control!$C$26</f>
        <v>131.445855711348</v>
      </c>
      <c r="AN146" s="11">
        <f>Control!$C$26</f>
        <v>131.445855711348</v>
      </c>
      <c r="AO146" s="11">
        <f>Control!$C$26</f>
        <v>131.445855711348</v>
      </c>
      <c r="AP146" s="11">
        <f>Control!$C$26</f>
        <v>131.445855711348</v>
      </c>
      <c r="AQ146" s="12" t="n"/>
      <c r="AR146" s="11">
        <f>Control!$D$26</f>
        <v>131.445855711348</v>
      </c>
      <c r="AS146" s="11">
        <f>Control!$D$26</f>
        <v>131.445855711348</v>
      </c>
      <c r="AT146" s="11">
        <f>Control!$D$26</f>
        <v>131.445855711348</v>
      </c>
      <c r="AU146" s="11">
        <f>Control!$D$26</f>
        <v>131.445855711348</v>
      </c>
      <c r="AV146" s="12" t="n"/>
      <c r="AW146" s="11">
        <f>Control!$E$26</f>
        <v>131.445855711348</v>
      </c>
      <c r="AX146" s="11">
        <f>Control!$E$26</f>
        <v>131.445855711348</v>
      </c>
      <c r="AY146" s="11">
        <f>Control!$E$26</f>
        <v>131.445855711348</v>
      </c>
      <c r="AZ146" s="11">
        <f>Control!$E$26</f>
        <v>131.445855711348</v>
      </c>
      <c r="BA146" s="12" t="n"/>
      <c r="BB146" s="11">
        <f>Control!$F$26</f>
        <v>131.445855711348</v>
      </c>
      <c r="BC146" s="11">
        <f>Control!$F$26</f>
        <v>131.445855711348</v>
      </c>
      <c r="BD146" s="11">
        <f>Control!$F$26</f>
        <v>131.445855711348</v>
      </c>
      <c r="BE146" s="11">
        <f>Control!$F$26</f>
        <v>131.445855711348</v>
      </c>
      <c r="BF146" s="12" t="n"/>
      <c r="BG146" s="11" t="n"/>
      <c r="BH146" s="11" t="n"/>
      <c r="BI146" s="11" t="n"/>
      <c r="BJ146" s="11" t="n"/>
      <c r="BK146" s="12" t="n"/>
      <c r="BL146" s="11" t="n"/>
      <c r="BM146" s="11" t="n"/>
      <c r="BN146" s="11" t="n"/>
      <c r="BO146" s="11" t="n"/>
      <c r="BP146" s="12" t="n"/>
      <c r="BQ146" s="11" t="n"/>
      <c r="BR146" s="11" t="n"/>
      <c r="BS146" s="11" t="n"/>
      <c r="BT146" s="11" t="n"/>
      <c r="BU146" s="12" t="n"/>
      <c r="BV146" s="11" t="n"/>
      <c r="BW146" s="11" t="n"/>
      <c r="BX146" s="11" t="n"/>
      <c r="BY146" s="11" t="n"/>
      <c r="BZ146" s="12" t="n"/>
      <c r="CA146" s="11" t="n"/>
      <c r="CB146" s="11" t="n"/>
      <c r="CC146" s="11" t="n"/>
      <c r="CD146" s="11" t="n"/>
      <c r="CE146" s="12" t="n"/>
      <c r="CF146" s="11" t="n"/>
      <c r="CG146" s="11" t="n"/>
      <c r="CH146" s="11" t="n"/>
      <c r="CI146" s="11" t="n"/>
      <c r="CJ146" s="12" t="n"/>
      <c r="CK146" s="11" t="n"/>
      <c r="CL146" s="11" t="n"/>
      <c r="CM146" s="11" t="n"/>
      <c r="CN146" s="11" t="n"/>
      <c r="CO146" s="12" t="n"/>
      <c r="CP146" s="11" t="n"/>
      <c r="CQ146" s="11" t="n"/>
      <c r="CR146" s="11" t="n"/>
      <c r="CS146" s="11" t="n"/>
      <c r="CT146" s="12" t="n"/>
      <c r="CU146" s="11" t="n"/>
      <c r="CV146" s="11" t="n"/>
      <c r="CW146" s="11" t="n"/>
      <c r="CX146" s="11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collapsed="1">
      <c r="C149" s="14" t="inlineStr">
        <is>
          <t>Deferred income taxes</t>
        </is>
      </c>
      <c r="D149" s="46" t="n"/>
      <c r="E149" s="46" t="n"/>
      <c r="F149" s="46" t="n"/>
      <c r="G149" s="46" t="n"/>
      <c r="H149" s="12" t="n"/>
      <c r="I149" s="46">
        <f>'Inputs (2)'!D18</f>
        <v>726</v>
      </c>
      <c r="J149" s="46">
        <f>'Inputs (2)'!E18</f>
        <v>822</v>
      </c>
      <c r="K149" s="46">
        <f>'Inputs (2)'!F18</f>
        <v>782</v>
      </c>
      <c r="L149" s="46">
        <f>'Inputs (2)'!G18</f>
        <v>746</v>
      </c>
      <c r="M149" s="12">
        <f>'Inputs (2)'!H18</f>
        <v>746</v>
      </c>
      <c r="N149" s="46">
        <f>'Inputs (2)'!I18</f>
        <v>762</v>
      </c>
      <c r="O149" s="46">
        <f>'Inputs (2)'!J18</f>
        <v>682</v>
      </c>
      <c r="P149" s="46">
        <f>'Inputs (2)'!K18</f>
        <v>702</v>
      </c>
      <c r="Q149" s="46">
        <f>'Inputs (2)'!L18</f>
        <v>672</v>
      </c>
      <c r="R149" s="12">
        <f>'Inputs (2)'!M18</f>
        <v>672</v>
      </c>
      <c r="S149" s="46">
        <f>'Inputs (2)'!N18</f>
        <v>697</v>
      </c>
      <c r="T149" s="46">
        <f>'Inputs (2)'!O18</f>
        <v>708</v>
      </c>
      <c r="U149" s="46">
        <f>'Inputs (2)'!P18</f>
        <v>756</v>
      </c>
      <c r="V149" s="46">
        <f>'Inputs (2)'!Q18</f>
        <v>781</v>
      </c>
      <c r="W149" s="12">
        <f>'Inputs (2)'!R18</f>
        <v>781</v>
      </c>
      <c r="X149" s="46">
        <f>'Inputs (2)'!S18</f>
        <v>664</v>
      </c>
      <c r="Y149" s="46">
        <f>'Inputs (2)'!T18</f>
        <v>597</v>
      </c>
      <c r="Z149" s="46">
        <f>'Inputs (2)'!U18</f>
        <v>520</v>
      </c>
      <c r="AA149" s="46">
        <f>'Inputs (2)'!V18</f>
        <v>474</v>
      </c>
      <c r="AB149" s="12">
        <f>'Inputs (2)'!W18</f>
        <v>474</v>
      </c>
      <c r="AC149" s="46">
        <f>'Inputs (2)'!X18</f>
        <v>552</v>
      </c>
      <c r="AD149" s="46">
        <f>'Inputs (2)'!Y18</f>
        <v>483</v>
      </c>
      <c r="AE149" s="46">
        <f>'Inputs (2)'!Z18</f>
        <v>616</v>
      </c>
      <c r="AF149" s="46">
        <f>'Inputs (2)'!AA18</f>
        <v>641</v>
      </c>
      <c r="AG149" s="12">
        <f>'Inputs (2)'!AB18</f>
        <v>641</v>
      </c>
      <c r="AH149" s="12">
        <f>'Inputs (2)'!AC18</f>
        <v>680</v>
      </c>
      <c r="AI149" s="12">
        <f>'Inputs (2)'!AD18</f>
        <v>700</v>
      </c>
      <c r="AJ149" s="12">
        <f>AI149</f>
        <v>700</v>
      </c>
      <c r="AK149" s="12">
        <f>AJ149</f>
        <v>700</v>
      </c>
      <c r="AL149" s="12">
        <f>AK149</f>
        <v>700</v>
      </c>
      <c r="AM149" s="12">
        <f>AL149</f>
        <v>700</v>
      </c>
      <c r="AN149" s="12">
        <f>AM149</f>
        <v>700</v>
      </c>
      <c r="AO149" s="12">
        <f>AN149</f>
        <v>700</v>
      </c>
      <c r="AP149" s="12">
        <f>AO149</f>
        <v>700</v>
      </c>
      <c r="AQ149" s="12">
        <f>AP149</f>
        <v>700</v>
      </c>
      <c r="AR149" s="12">
        <f>AQ149</f>
        <v>700</v>
      </c>
      <c r="AS149" s="12">
        <f>AR149</f>
        <v>700</v>
      </c>
      <c r="AT149" s="12">
        <f>AS149</f>
        <v>700</v>
      </c>
      <c r="AU149" s="12">
        <f>AT149</f>
        <v>700</v>
      </c>
      <c r="AV149" s="12">
        <f>AU149</f>
        <v>700</v>
      </c>
      <c r="AW149" s="12">
        <f>AV149</f>
        <v>700</v>
      </c>
      <c r="AX149" s="12">
        <f>AW149</f>
        <v>700</v>
      </c>
      <c r="AY149" s="12">
        <f>AX149</f>
        <v>700</v>
      </c>
      <c r="AZ149" s="12">
        <f>AY149</f>
        <v>700</v>
      </c>
      <c r="BA149" s="12">
        <f>AZ149</f>
        <v>700</v>
      </c>
      <c r="BB149" s="12">
        <f>BA149</f>
        <v>700</v>
      </c>
      <c r="BC149" s="12">
        <f>BB149</f>
        <v>700</v>
      </c>
      <c r="BD149" s="12">
        <f>BC149</f>
        <v>700</v>
      </c>
      <c r="BE149" s="12">
        <f>BD149</f>
        <v>700</v>
      </c>
      <c r="BF149" s="12">
        <f>BE149</f>
        <v>700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>
      <c r="C150" s="14" t="inlineStr">
        <is>
          <t>Prepaid expenses</t>
        </is>
      </c>
      <c r="D150" s="46" t="n"/>
      <c r="E150" s="46" t="n"/>
      <c r="F150" s="46" t="n"/>
      <c r="G150" s="46" t="n"/>
      <c r="H150" s="12" t="n"/>
      <c r="I150" s="46">
        <f>'Inputs (2)'!D19</f>
        <v>0</v>
      </c>
      <c r="J150" s="46">
        <f>'Inputs (2)'!E19</f>
        <v>0</v>
      </c>
      <c r="K150" s="46">
        <f>'Inputs (2)'!F19</f>
        <v>0</v>
      </c>
      <c r="L150" s="46">
        <f>'Inputs (2)'!G19</f>
        <v>0</v>
      </c>
      <c r="M150" s="12">
        <f>'Inputs (2)'!H19</f>
        <v>0</v>
      </c>
      <c r="N150" s="46">
        <f>'Inputs (2)'!I19</f>
        <v>0</v>
      </c>
      <c r="O150" s="46">
        <f>'Inputs (2)'!J19</f>
        <v>0</v>
      </c>
      <c r="P150" s="46">
        <f>'Inputs (2)'!K19</f>
        <v>0</v>
      </c>
      <c r="Q150" s="46">
        <f>'Inputs (2)'!L19</f>
        <v>0</v>
      </c>
      <c r="R150" s="12">
        <f>'Inputs (2)'!M19</f>
        <v>0</v>
      </c>
      <c r="S150" s="46">
        <f>'Inputs (2)'!N19</f>
        <v>0</v>
      </c>
      <c r="T150" s="46">
        <f>'Inputs (2)'!O19</f>
        <v>0</v>
      </c>
      <c r="U150" s="46">
        <f>'Inputs (2)'!P19</f>
        <v>0</v>
      </c>
      <c r="V150" s="46">
        <f>'Inputs (2)'!Q19</f>
        <v>0</v>
      </c>
      <c r="W150" s="12">
        <f>'Inputs (2)'!R19</f>
        <v>0</v>
      </c>
      <c r="X150" s="46">
        <f>'Inputs (2)'!S19</f>
        <v>0</v>
      </c>
      <c r="Y150" s="46">
        <f>'Inputs (2)'!T19</f>
        <v>0</v>
      </c>
      <c r="Z150" s="46">
        <f>'Inputs (2)'!U19</f>
        <v>0</v>
      </c>
      <c r="AA150" s="46">
        <f>'Inputs (2)'!V19</f>
        <v>0</v>
      </c>
      <c r="AB150" s="12">
        <f>'Inputs (2)'!W19</f>
        <v>0</v>
      </c>
      <c r="AC150" s="46">
        <f>'Inputs (2)'!X19</f>
        <v>0</v>
      </c>
      <c r="AD150" s="46">
        <f>'Inputs (2)'!Y19</f>
        <v>0</v>
      </c>
      <c r="AE150" s="46">
        <f>'Inputs (2)'!Z19</f>
        <v>0</v>
      </c>
      <c r="AF150" s="46">
        <f>'Inputs (2)'!AA19</f>
        <v>0</v>
      </c>
      <c r="AG150" s="12">
        <f>'Inputs (2)'!AB19</f>
        <v>0</v>
      </c>
      <c r="AH150" s="12">
        <f>'Inputs (2)'!AC19</f>
        <v>0</v>
      </c>
      <c r="AI150" s="12">
        <f>'Inputs (2)'!AD19</f>
        <v>0</v>
      </c>
      <c r="AJ150" s="12">
        <f>AI150</f>
        <v>0</v>
      </c>
      <c r="AK150" s="12">
        <f>AJ150</f>
        <v>0</v>
      </c>
      <c r="AL150" s="12">
        <f>AK150</f>
        <v>0</v>
      </c>
      <c r="AM150" s="12">
        <f>AL150</f>
        <v>0</v>
      </c>
      <c r="AN150" s="12">
        <f>AM150</f>
        <v>0</v>
      </c>
      <c r="AO150" s="12">
        <f>AN150</f>
        <v>0</v>
      </c>
      <c r="AP150" s="12">
        <f>AO150</f>
        <v>0</v>
      </c>
      <c r="AQ150" s="12">
        <f>AP150</f>
        <v>0</v>
      </c>
      <c r="AR150" s="12">
        <f>AQ150</f>
        <v>0</v>
      </c>
      <c r="AS150" s="12">
        <f>AR150</f>
        <v>0</v>
      </c>
      <c r="AT150" s="12">
        <f>AS150</f>
        <v>0</v>
      </c>
      <c r="AU150" s="12">
        <f>AT150</f>
        <v>0</v>
      </c>
      <c r="AV150" s="12">
        <f>AU150</f>
        <v>0</v>
      </c>
      <c r="AW150" s="12">
        <f>AV150</f>
        <v>0</v>
      </c>
      <c r="AX150" s="12">
        <f>AW150</f>
        <v>0</v>
      </c>
      <c r="AY150" s="12">
        <f>AX150</f>
        <v>0</v>
      </c>
      <c r="AZ150" s="12">
        <f>AY150</f>
        <v>0</v>
      </c>
      <c r="BA150" s="12">
        <f>AZ150</f>
        <v>0</v>
      </c>
      <c r="BB150" s="12">
        <f>BA150</f>
        <v>0</v>
      </c>
      <c r="BC150" s="12">
        <f>BB150</f>
        <v>0</v>
      </c>
      <c r="BD150" s="12">
        <f>BC150</f>
        <v>0</v>
      </c>
      <c r="BE150" s="12">
        <f>BD150</f>
        <v>0</v>
      </c>
      <c r="BF150" s="12">
        <f>BE150</f>
        <v>0</v>
      </c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>
      <c r="C151" s="14" t="inlineStr">
        <is>
          <t>Other current assets</t>
        </is>
      </c>
      <c r="D151" s="46" t="n"/>
      <c r="E151" s="46" t="n"/>
      <c r="F151" s="46" t="n"/>
      <c r="G151" s="46" t="n"/>
      <c r="H151" s="12" t="n"/>
      <c r="I151" s="46">
        <f>'Inputs (2)'!D20</f>
        <v>1999</v>
      </c>
      <c r="J151" s="46">
        <f>'Inputs (2)'!E20</f>
        <v>1444</v>
      </c>
      <c r="K151" s="46">
        <f>'Inputs (2)'!F20</f>
        <v>1476</v>
      </c>
      <c r="L151" s="46">
        <f>'Inputs (2)'!G20</f>
        <v>534</v>
      </c>
      <c r="M151" s="12">
        <f>'Inputs (2)'!H20</f>
        <v>534</v>
      </c>
      <c r="N151" s="46">
        <f>'Inputs (2)'!I20</f>
        <v>613</v>
      </c>
      <c r="O151" s="46">
        <f>'Inputs (2)'!J20</f>
        <v>623</v>
      </c>
      <c r="P151" s="46">
        <f>'Inputs (2)'!K20</f>
        <v>657</v>
      </c>
      <c r="Q151" s="46">
        <f>'Inputs (2)'!L20</f>
        <v>663</v>
      </c>
      <c r="R151" s="12">
        <f>'Inputs (2)'!M20</f>
        <v>663</v>
      </c>
      <c r="S151" s="46">
        <f>'Inputs (2)'!N20</f>
        <v>673</v>
      </c>
      <c r="T151" s="46">
        <f>'Inputs (2)'!O20</f>
        <v>715</v>
      </c>
      <c r="U151" s="46">
        <f>'Inputs (2)'!P20</f>
        <v>820</v>
      </c>
      <c r="V151" s="46">
        <f>'Inputs (2)'!Q20</f>
        <v>791</v>
      </c>
      <c r="W151" s="12">
        <f>'Inputs (2)'!R20</f>
        <v>791</v>
      </c>
      <c r="X151" s="46">
        <f>'Inputs (2)'!S20</f>
        <v>1690</v>
      </c>
      <c r="Y151" s="46">
        <f>'Inputs (2)'!T20</f>
        <v>1297</v>
      </c>
      <c r="Z151" s="46">
        <f>'Inputs (2)'!U20</f>
        <v>776</v>
      </c>
      <c r="AA151" s="46">
        <f>'Inputs (2)'!V20</f>
        <v>777</v>
      </c>
      <c r="AB151" s="12">
        <f>'Inputs (2)'!W20</f>
        <v>777</v>
      </c>
      <c r="AC151" s="46">
        <f>'Inputs (2)'!X20</f>
        <v>963</v>
      </c>
      <c r="AD151" s="46">
        <f>'Inputs (2)'!Y20</f>
        <v>945</v>
      </c>
      <c r="AE151" s="46">
        <f>'Inputs (2)'!Z20</f>
        <v>914</v>
      </c>
      <c r="AF151" s="46">
        <f>'Inputs (2)'!AA20</f>
        <v>958</v>
      </c>
      <c r="AG151" s="12">
        <f>'Inputs (2)'!AB20</f>
        <v>958</v>
      </c>
      <c r="AH151" s="12">
        <f>'Inputs (2)'!AC20</f>
        <v>1243</v>
      </c>
      <c r="AI151" s="12">
        <f>'Inputs (2)'!AD20</f>
        <v>1123</v>
      </c>
      <c r="AJ151" s="12">
        <f>AI151</f>
        <v>1123</v>
      </c>
      <c r="AK151" s="12">
        <f>AJ151</f>
        <v>1123</v>
      </c>
      <c r="AL151" s="12">
        <f>AK151</f>
        <v>1123</v>
      </c>
      <c r="AM151" s="12">
        <f>AL151</f>
        <v>1123</v>
      </c>
      <c r="AN151" s="12">
        <f>AM151</f>
        <v>1123</v>
      </c>
      <c r="AO151" s="12">
        <f>AN151</f>
        <v>1123</v>
      </c>
      <c r="AP151" s="12">
        <f>AO151</f>
        <v>1123</v>
      </c>
      <c r="AQ151" s="12">
        <f>AP151</f>
        <v>1123</v>
      </c>
      <c r="AR151" s="12">
        <f>AQ151</f>
        <v>1123</v>
      </c>
      <c r="AS151" s="12">
        <f>AR151</f>
        <v>1123</v>
      </c>
      <c r="AT151" s="12">
        <f>AS151</f>
        <v>1123</v>
      </c>
      <c r="AU151" s="12">
        <f>AT151</f>
        <v>1123</v>
      </c>
      <c r="AV151" s="12">
        <f>AU151</f>
        <v>1123</v>
      </c>
      <c r="AW151" s="12">
        <f>AV151</f>
        <v>1123</v>
      </c>
      <c r="AX151" s="12">
        <f>AW151</f>
        <v>1123</v>
      </c>
      <c r="AY151" s="12">
        <f>AX151</f>
        <v>1123</v>
      </c>
      <c r="AZ151" s="12">
        <f>AY151</f>
        <v>1123</v>
      </c>
      <c r="BA151" s="12">
        <f>AZ151</f>
        <v>1123</v>
      </c>
      <c r="BB151" s="12">
        <f>BA151</f>
        <v>1123</v>
      </c>
      <c r="BC151" s="12">
        <f>BB151</f>
        <v>1123</v>
      </c>
      <c r="BD151" s="12">
        <f>BC151</f>
        <v>1123</v>
      </c>
      <c r="BE151" s="12">
        <f>BD151</f>
        <v>1123</v>
      </c>
      <c r="BF151" s="12">
        <f>BE151</f>
        <v>1123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9" t="inlineStr">
        <is>
          <t>%(Var.)</t>
        </is>
      </c>
      <c r="D152" s="12" t="n"/>
      <c r="E152" s="40" t="n"/>
      <c r="F152" s="40" t="n"/>
      <c r="G152" s="40" t="n"/>
      <c r="H152" s="12" t="n"/>
      <c r="I152" s="40" t="str">
        <f>""</f>
        <v/>
      </c>
      <c r="J152" s="40">
        <f>IFERROR(IF(I151=0,"",J151/I151-1),"")</f>
        <v>-0.277638819409705</v>
      </c>
      <c r="K152" s="40">
        <f>IFERROR(IF(J151=0,"",K151/J151-1),"")</f>
        <v>0.0221606648199446</v>
      </c>
      <c r="L152" s="40">
        <f>IFERROR(IF(K151=0,"",L151/K151-1),"")</f>
        <v>-0.638211382113821</v>
      </c>
      <c r="M152" s="12">
        <f>IFERROR(IF(L151=0,"",M151/L151-1),"")</f>
        <v>0</v>
      </c>
      <c r="N152" s="40">
        <f>IFERROR(IF(M151=0,"",N151/M151-1),"")</f>
        <v>0.147940074906367</v>
      </c>
      <c r="O152" s="40">
        <f>IFERROR(IF(N151=0,"",O151/N151-1),"")</f>
        <v>0.0163132137030995</v>
      </c>
      <c r="P152" s="40">
        <f>IFERROR(IF(O151=0,"",P151/O151-1),"")</f>
        <v>0.0545746388443018</v>
      </c>
      <c r="Q152" s="40">
        <f>IFERROR(IF(P151=0,"",Q151/P151-1),"")</f>
        <v>0.00913242009132431</v>
      </c>
      <c r="R152" s="12">
        <f>IFERROR(IF(Q151=0,"",R151/Q151-1),"")</f>
        <v>0</v>
      </c>
      <c r="S152" s="40">
        <f>IFERROR(IF(R151=0,"",S151/R151-1),"")</f>
        <v>0.0150829562594268</v>
      </c>
      <c r="T152" s="40">
        <f>IFERROR(IF(S151=0,"",T151/S151-1),"")</f>
        <v>0.062407132243685</v>
      </c>
      <c r="U152" s="40">
        <f>IFERROR(IF(T151=0,"",U151/T151-1),"")</f>
        <v>0.146853146853147</v>
      </c>
      <c r="V152" s="40">
        <f>IFERROR(IF(U151=0,"",V151/U151-1),"")</f>
        <v>-0.0353658536585366</v>
      </c>
      <c r="W152" s="12">
        <f>IFERROR(IF(V151=0,"",W151/V151-1),"")</f>
        <v>0</v>
      </c>
      <c r="X152" s="40">
        <f>IFERROR(IF(W151=0,"",X151/W151-1),"")</f>
        <v>1.13653603034134</v>
      </c>
      <c r="Y152" s="40">
        <f>IFERROR(IF(X151=0,"",Y151/X151-1),"")</f>
        <v>-0.232544378698225</v>
      </c>
      <c r="Z152" s="40">
        <f>IFERROR(IF(Y151=0,"",Z151/Y151-1),"")</f>
        <v>-0.401696222050887</v>
      </c>
      <c r="AA152" s="40">
        <f>IFERROR(IF(Z151=0,"",AA151/Z151-1),"")</f>
        <v>0.00128865979381443</v>
      </c>
      <c r="AB152" s="12">
        <f>IFERROR(IF(AA151=0,"",AB151/AA151-1),"")</f>
        <v>0</v>
      </c>
      <c r="AC152" s="40">
        <f>IFERROR(IF(AB151=0,"",AC151/AB151-1),"")</f>
        <v>0.239382239382239</v>
      </c>
      <c r="AD152" s="40">
        <f>IFERROR(IF(AC151=0,"",AD151/AC151-1),"")</f>
        <v>-0.0186915887850467</v>
      </c>
      <c r="AE152" s="40">
        <f>IFERROR(IF(AD151=0,"",AE151/AD151-1),"")</f>
        <v>-0.0328042328042328</v>
      </c>
      <c r="AF152" s="55">
        <f>IFERROR(IF(AE151=0,"",AF151/AE151-1),"")</f>
        <v>0.0481400437636761</v>
      </c>
      <c r="AG152" s="12">
        <f>IFERROR(IF(AF151=0,"",AG151/AF151-1),"")</f>
        <v>0</v>
      </c>
      <c r="AH152" s="12">
        <f>IFERROR(IF(AG151=0,"",AH151/AG151-1),"")</f>
        <v>0.29749478079332</v>
      </c>
      <c r="AI152" s="12">
        <f>IFERROR(IF(AH151=0,"",AI151/AH151-1),"")</f>
        <v>-0.0965406275140789</v>
      </c>
      <c r="AJ152" s="12">
        <f>IFERROR(IF(AI151=0,"",AJ151/AI151-1),"")</f>
        <v>0</v>
      </c>
      <c r="AK152" s="12">
        <f>IFERROR(IF(AJ151=0,"",AK151/AJ151-1),"")</f>
        <v>0</v>
      </c>
      <c r="AL152" s="12">
        <f>IFERROR(IF(AK151=0,"",AL151/AK151-1),"")</f>
        <v>0</v>
      </c>
      <c r="AM152" s="12">
        <f>IFERROR(IF(AL151=0,"",AM151/AL151-1),"")</f>
        <v>0</v>
      </c>
      <c r="AN152" s="12">
        <f>IFERROR(IF(AM151=0,"",AN151/AM151-1),"")</f>
        <v>0</v>
      </c>
      <c r="AO152" s="12">
        <f>IFERROR(IF(AN151=0,"",AO151/AN151-1),"")</f>
        <v>0</v>
      </c>
      <c r="AP152" s="12">
        <f>IFERROR(IF(AO151=0,"",AP151/AO151-1),"")</f>
        <v>0</v>
      </c>
      <c r="AQ152" s="12">
        <f>IFERROR(IF(AP151=0,"",AQ151/AP151-1),"")</f>
        <v>0</v>
      </c>
      <c r="AR152" s="12">
        <f>IFERROR(IF(AQ151=0,"",AR151/AQ151-1),"")</f>
        <v>0</v>
      </c>
      <c r="AS152" s="12">
        <f>IFERROR(IF(AR151=0,"",AS151/AR151-1),"")</f>
        <v>0</v>
      </c>
      <c r="AT152" s="12">
        <f>IFERROR(IF(AS151=0,"",AT151/AS151-1),"")</f>
        <v>0</v>
      </c>
      <c r="AU152" s="12">
        <f>IFERROR(IF(AT151=0,"",AU151/AT151-1),"")</f>
        <v>0</v>
      </c>
      <c r="AV152" s="12">
        <f>IFERROR(IF(AU151=0,"",AV151/AU151-1),"")</f>
        <v>0</v>
      </c>
      <c r="AW152" s="12">
        <f>IFERROR(IF(AV151=0,"",AW151/AV151-1),"")</f>
        <v>0</v>
      </c>
      <c r="AX152" s="12">
        <f>IFERROR(IF(AW151=0,"",AX151/AW151-1),"")</f>
        <v>0</v>
      </c>
      <c r="AY152" s="12">
        <f>IFERROR(IF(AX151=0,"",AY151/AX151-1),"")</f>
        <v>0</v>
      </c>
      <c r="AZ152" s="12">
        <f>IFERROR(IF(AY151=0,"",AZ151/AY151-1),"")</f>
        <v>0</v>
      </c>
      <c r="BA152" s="12">
        <f>IFERROR(IF(AZ151=0,"",BA151/AZ151-1),"")</f>
        <v>0</v>
      </c>
      <c r="BB152" s="12">
        <f>IFERROR(IF(BA151=0,"",BB151/BA151-1),"")</f>
        <v>0</v>
      </c>
      <c r="BC152" s="12">
        <f>IFERROR(IF(BB151=0,"",BC151/BB151-1),"")</f>
        <v>0</v>
      </c>
      <c r="BD152" s="12">
        <f>IFERROR(IF(BC151=0,"",BD151/BC151-1),"")</f>
        <v>0</v>
      </c>
      <c r="BE152" s="12">
        <f>IFERROR(IF(BD151=0,"",BE151/BD151-1),"")</f>
        <v>0</v>
      </c>
      <c r="BF152" s="12">
        <f>IFERROR(IF(BE151=0,"",BF151/BE151-1),"")</f>
        <v>0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7" t="n"/>
      <c r="D153" s="12" t="n"/>
      <c r="E153" s="40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60" t="inlineStr">
        <is>
          <t xml:space="preserve">Impostos e Contribuições a Recuperar </t>
        </is>
      </c>
      <c r="D154" s="11" t="n"/>
      <c r="E154" s="11" t="n"/>
      <c r="F154" s="11" t="n"/>
      <c r="G154" s="11" t="n"/>
      <c r="H154" s="12" t="n"/>
      <c r="I154" s="11" t="n"/>
      <c r="J154" s="11" t="n"/>
      <c r="K154" s="11" t="n"/>
      <c r="L154" s="11" t="n"/>
      <c r="M154" s="12" t="n"/>
      <c r="N154" s="11" t="n"/>
      <c r="O154" s="11" t="n"/>
      <c r="P154" s="11" t="n"/>
      <c r="Q154" s="11" t="n"/>
      <c r="R154" s="12" t="n"/>
      <c r="S154" s="11" t="n"/>
      <c r="T154" s="11" t="n"/>
      <c r="U154" s="11" t="n"/>
      <c r="V154" s="11" t="n"/>
      <c r="W154" s="12" t="n"/>
      <c r="X154" s="11" t="n"/>
      <c r="Y154" s="11" t="n"/>
      <c r="Z154" s="11" t="n"/>
      <c r="AA154" s="11" t="n"/>
      <c r="AB154" s="12" t="n"/>
      <c r="AC154" s="11" t="n"/>
      <c r="AD154" s="11" t="n"/>
      <c r="AE154" s="11" t="n"/>
      <c r="AF154" s="11" t="n"/>
      <c r="AG154" s="12">
        <f>AF154</f>
        <v>0</v>
      </c>
      <c r="AH154" s="61">
        <f>IFERROR(AG154*AH15/AG15,"")</f>
        <v>0</v>
      </c>
      <c r="AI154" s="61">
        <f>IFERROR(AH154*AI15/AH15,"")</f>
        <v>0</v>
      </c>
      <c r="AJ154" s="61">
        <f>IFERROR(AI154*AJ15/AI15,"")</f>
        <v>0</v>
      </c>
      <c r="AK154" s="61">
        <f>IFERROR(AJ154*AK15/AJ15,"")</f>
        <v>0</v>
      </c>
      <c r="AL154" s="12">
        <f>IFERROR(AK154,"")</f>
        <v>0</v>
      </c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60" t="inlineStr">
        <is>
          <t>Outros Créditos</t>
        </is>
      </c>
      <c r="D155" s="11" t="n"/>
      <c r="E155" s="11" t="n"/>
      <c r="F155" s="11" t="n"/>
      <c r="G155" s="11" t="n"/>
      <c r="H155" s="12" t="n"/>
      <c r="I155" s="11" t="n"/>
      <c r="J155" s="11" t="n"/>
      <c r="K155" s="11" t="n"/>
      <c r="L155" s="11" t="n"/>
      <c r="M155" s="12" t="n"/>
      <c r="N155" s="11" t="n"/>
      <c r="O155" s="11" t="n"/>
      <c r="P155" s="11" t="n"/>
      <c r="Q155" s="11" t="n"/>
      <c r="R155" s="12" t="n"/>
      <c r="S155" s="11" t="n"/>
      <c r="T155" s="11" t="n"/>
      <c r="U155" s="11" t="n"/>
      <c r="V155" s="11" t="n"/>
      <c r="W155" s="12" t="n"/>
      <c r="X155" s="11" t="n"/>
      <c r="Y155" s="11" t="n"/>
      <c r="Z155" s="11" t="n"/>
      <c r="AA155" s="11" t="n"/>
      <c r="AB155" s="12" t="n"/>
      <c r="AC155" s="11" t="n"/>
      <c r="AD155" s="11" t="n"/>
      <c r="AE155" s="11" t="n"/>
      <c r="AF155" s="11" t="n"/>
      <c r="AG155" s="12">
        <f>AF155</f>
        <v>0</v>
      </c>
      <c r="AH155" s="12">
        <f>AG155</f>
        <v>0</v>
      </c>
      <c r="AI155" s="12">
        <f>AH155</f>
        <v>0</v>
      </c>
      <c r="AJ155" s="12">
        <f>AI155</f>
        <v>0</v>
      </c>
      <c r="AK155" s="12">
        <f>AJ155</f>
        <v>0</v>
      </c>
      <c r="AL155" s="12">
        <f>AK155</f>
        <v>0</v>
      </c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collapsed="1">
      <c r="C157" s="14" t="inlineStr">
        <is>
          <t>Equity in affiliates</t>
        </is>
      </c>
      <c r="D157" s="46" t="n"/>
      <c r="E157" s="46" t="n"/>
      <c r="F157" s="46" t="n"/>
      <c r="G157" s="46" t="n"/>
      <c r="H157" s="12" t="n"/>
      <c r="I157" s="46">
        <f>'Inputs (2)'!D21</f>
        <v>0</v>
      </c>
      <c r="J157" s="46">
        <f>'Inputs (2)'!E21</f>
        <v>0</v>
      </c>
      <c r="K157" s="46">
        <f>'Inputs (2)'!F21</f>
        <v>0</v>
      </c>
      <c r="L157" s="46">
        <f>'Inputs (2)'!G21</f>
        <v>0</v>
      </c>
      <c r="M157" s="12">
        <f>'Inputs (2)'!H21</f>
        <v>0</v>
      </c>
      <c r="N157" s="46">
        <f>'Inputs (2)'!I21</f>
        <v>0</v>
      </c>
      <c r="O157" s="46">
        <f>'Inputs (2)'!J21</f>
        <v>0</v>
      </c>
      <c r="P157" s="46">
        <f>'Inputs (2)'!K21</f>
        <v>0</v>
      </c>
      <c r="Q157" s="46">
        <f>'Inputs (2)'!L21</f>
        <v>0</v>
      </c>
      <c r="R157" s="12">
        <f>'Inputs (2)'!M21</f>
        <v>0</v>
      </c>
      <c r="S157" s="46">
        <f>'Inputs (2)'!N21</f>
        <v>0</v>
      </c>
      <c r="T157" s="46">
        <f>'Inputs (2)'!O21</f>
        <v>0</v>
      </c>
      <c r="U157" s="46">
        <f>'Inputs (2)'!P21</f>
        <v>0</v>
      </c>
      <c r="V157" s="46">
        <f>'Inputs (2)'!Q21</f>
        <v>0</v>
      </c>
      <c r="W157" s="12">
        <f>'Inputs (2)'!R21</f>
        <v>0</v>
      </c>
      <c r="X157" s="46">
        <f>'Inputs (2)'!S21</f>
        <v>0</v>
      </c>
      <c r="Y157" s="46">
        <f>'Inputs (2)'!T21</f>
        <v>0</v>
      </c>
      <c r="Z157" s="46">
        <f>'Inputs (2)'!U21</f>
        <v>0</v>
      </c>
      <c r="AA157" s="46">
        <f>'Inputs (2)'!V21</f>
        <v>0</v>
      </c>
      <c r="AB157" s="12">
        <f>'Inputs (2)'!W21</f>
        <v>0</v>
      </c>
      <c r="AC157" s="46">
        <f>'Inputs (2)'!X21</f>
        <v>0</v>
      </c>
      <c r="AD157" s="46">
        <f>'Inputs (2)'!Y21</f>
        <v>0</v>
      </c>
      <c r="AE157" s="46">
        <f>'Inputs (2)'!Z21</f>
        <v>0</v>
      </c>
      <c r="AF157" s="46">
        <f>'Inputs (2)'!AA21</f>
        <v>0</v>
      </c>
      <c r="AG157" s="12">
        <f>'Inputs (2)'!AB21</f>
        <v>0</v>
      </c>
      <c r="AH157" s="12">
        <f>'Inputs (2)'!AC21</f>
        <v>0</v>
      </c>
      <c r="AI157" s="12">
        <f>'Inputs (2)'!AD21</f>
        <v>0</v>
      </c>
      <c r="AJ157" s="12">
        <f>AI157+AJ131</f>
        <v>0</v>
      </c>
      <c r="AK157" s="12">
        <f>AJ157+AK131</f>
        <v>0</v>
      </c>
      <c r="AL157" s="12">
        <f>AK157</f>
        <v>0</v>
      </c>
      <c r="AM157" s="12">
        <f>AL157+AM131</f>
        <v>0</v>
      </c>
      <c r="AN157" s="12">
        <f>AM157+AN131</f>
        <v>0</v>
      </c>
      <c r="AO157" s="12">
        <f>AN157+AO131</f>
        <v>0</v>
      </c>
      <c r="AP157" s="12">
        <f>AO157+AP131</f>
        <v>0</v>
      </c>
      <c r="AQ157" s="12">
        <f>AP157</f>
        <v>0</v>
      </c>
      <c r="AR157" s="12">
        <f>AQ157+AR131</f>
        <v>0</v>
      </c>
      <c r="AS157" s="12">
        <f>AR157+AS131</f>
        <v>0</v>
      </c>
      <c r="AT157" s="12">
        <f>AS157+AT131</f>
        <v>0</v>
      </c>
      <c r="AU157" s="12">
        <f>AT157+AU131</f>
        <v>0</v>
      </c>
      <c r="AV157" s="12">
        <f>AU157</f>
        <v>0</v>
      </c>
      <c r="AW157" s="12">
        <f>AV157+AW131</f>
        <v>0</v>
      </c>
      <c r="AX157" s="12">
        <f>AW157+AX131</f>
        <v>0</v>
      </c>
      <c r="AY157" s="12">
        <f>AX157+AY131</f>
        <v>0</v>
      </c>
      <c r="AZ157" s="12">
        <f>AY157+AZ131</f>
        <v>0</v>
      </c>
      <c r="BA157" s="12">
        <f>AZ157</f>
        <v>0</v>
      </c>
      <c r="BB157" s="12">
        <f>BA157+BB131</f>
        <v>0</v>
      </c>
      <c r="BC157" s="12">
        <f>BB157+BC131</f>
        <v>0</v>
      </c>
      <c r="BD157" s="12">
        <f>BC157+BD131</f>
        <v>0</v>
      </c>
      <c r="BE157" s="12">
        <f>BD157+BE131</f>
        <v>0</v>
      </c>
      <c r="BF157" s="12">
        <f>BE157</f>
        <v>0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inlineStr">
        <is>
          <t>Equity in Income - % YoY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>
        <f>IF(I131=0,0,N131/I131-1)</f>
        <v>-0.4375</v>
      </c>
      <c r="O159" s="12">
        <f>IF(J131=0,0,O131/J131-1)</f>
        <v>-0.333333333333333</v>
      </c>
      <c r="P159" s="12">
        <f>IF(K131=0,0,P131/K131-1)</f>
        <v>-1.35714285714286</v>
      </c>
      <c r="Q159" s="12">
        <f>IF(L131=0,0,Q131/L131-1)</f>
        <v>-3.75</v>
      </c>
      <c r="R159" s="12" t="n"/>
      <c r="S159" s="12">
        <f>IF(N131=0,0,S131/N131-1)</f>
        <v>0.444444444444444</v>
      </c>
      <c r="T159" s="12">
        <f>IF(O131=0,0,T131/O131-1)</f>
        <v>0</v>
      </c>
      <c r="U159" s="12">
        <f>IF(P131=0,0,U131/P131-1)</f>
        <v>-1.8</v>
      </c>
      <c r="V159" s="12">
        <f>IF(Q131=0,0,V131/Q131-1)</f>
        <v>-0.454545454545455</v>
      </c>
      <c r="W159" s="12" t="n"/>
      <c r="X159" s="12">
        <f>IF(S131=0,0,X131/S131-1)</f>
        <v>-0.923076923076923</v>
      </c>
      <c r="Y159" s="12">
        <f>IF(T131=0,0,Y131/T131-1)</f>
        <v>0.5</v>
      </c>
      <c r="Z159" s="12">
        <f>IF(U131=0,0,Z131/U131-1)</f>
        <v>-1</v>
      </c>
      <c r="AA159" s="12">
        <f>IF(V131=0,0,AA131/V131-1)</f>
        <v>-1.16666666666667</v>
      </c>
      <c r="AB159" s="12" t="n"/>
      <c r="AC159" s="12">
        <f>IF(X131=0,0,AC131/X131-1)</f>
        <v>1</v>
      </c>
      <c r="AD159" s="12">
        <f>IF(Y131=0,0,AD131/Y131-1)</f>
        <v>-2.16666666666667</v>
      </c>
      <c r="AE159" s="12">
        <f>IF(Z131=0,0,AE131/Z131-1)</f>
        <v>0</v>
      </c>
      <c r="AF159" s="12">
        <f>IF(AA131=0,0,AF131/AA131-1)</f>
        <v>7</v>
      </c>
      <c r="AG159" s="12" t="n"/>
      <c r="AH159" s="11">
        <f>IF(AC131=0,0,AH131/AC131-1)</f>
        <v>-3</v>
      </c>
      <c r="AI159" s="11">
        <f>IF(AD131=0,0,AI131/AD131-1)</f>
        <v>0.285714285714286</v>
      </c>
      <c r="AJ159" s="11" t="n"/>
      <c r="AK159" s="11" t="n"/>
      <c r="AL159" s="12" t="n"/>
      <c r="AM159" s="11" t="n"/>
      <c r="AN159" s="11" t="n"/>
      <c r="AO159" s="11" t="n"/>
      <c r="AP159" s="11" t="n"/>
      <c r="AQ159" s="12" t="n"/>
      <c r="AR159" s="11" t="n"/>
      <c r="AS159" s="11" t="n"/>
      <c r="AT159" s="11" t="n"/>
      <c r="AU159" s="11" t="n"/>
      <c r="AV159" s="12" t="n"/>
      <c r="AW159" s="11" t="n"/>
      <c r="AX159" s="11" t="n"/>
      <c r="AY159" s="11" t="n"/>
      <c r="AZ159" s="11" t="n"/>
      <c r="BA159" s="12" t="n"/>
      <c r="BB159" s="11" t="n"/>
      <c r="BC159" s="11" t="n"/>
      <c r="BD159" s="11" t="n"/>
      <c r="BE159" s="11" t="n"/>
      <c r="BF159" s="12" t="n"/>
      <c r="BG159" s="11" t="n"/>
      <c r="BH159" s="11" t="n"/>
      <c r="BI159" s="11" t="n"/>
      <c r="BJ159" s="11" t="n"/>
      <c r="BK159" s="12" t="n"/>
      <c r="BL159" s="11" t="n"/>
      <c r="BM159" s="11" t="n"/>
      <c r="BN159" s="11" t="n"/>
      <c r="BO159" s="11" t="n"/>
      <c r="BP159" s="12" t="n"/>
      <c r="BQ159" s="11" t="n"/>
      <c r="BR159" s="11" t="n"/>
      <c r="BS159" s="11" t="n"/>
      <c r="BT159" s="11" t="n"/>
      <c r="BU159" s="12" t="n"/>
      <c r="BV159" s="11" t="n"/>
      <c r="BW159" s="11" t="n"/>
      <c r="BX159" s="11" t="n"/>
      <c r="BY159" s="11" t="n"/>
      <c r="BZ159" s="12" t="n"/>
      <c r="CA159" s="11" t="n"/>
      <c r="CB159" s="11" t="n"/>
      <c r="CC159" s="11" t="n"/>
      <c r="CD159" s="11" t="n"/>
      <c r="CE159" s="12" t="n"/>
      <c r="CF159" s="11" t="n"/>
      <c r="CG159" s="11" t="n"/>
      <c r="CH159" s="11" t="n"/>
      <c r="CI159" s="11" t="n"/>
      <c r="CJ159" s="12" t="n"/>
      <c r="CK159" s="11" t="n"/>
      <c r="CL159" s="11" t="n"/>
      <c r="CM159" s="11" t="n"/>
      <c r="CN159" s="11" t="n"/>
      <c r="CO159" s="12" t="n"/>
      <c r="CP159" s="11" t="n"/>
      <c r="CQ159" s="11" t="n"/>
      <c r="CR159" s="11" t="n"/>
      <c r="CS159" s="11" t="n"/>
      <c r="CT159" s="12" t="n"/>
      <c r="CU159" s="11" t="n"/>
      <c r="CV159" s="11" t="n"/>
      <c r="CW159" s="11" t="n"/>
      <c r="CX159" s="11" t="n"/>
      <c r="CY159" s="12" t="n"/>
    </row>
    <row r="160" hidden="1" outlineLevel="1">
      <c r="C160" s="57" t="inlineStr">
        <is>
          <t>Dividends (enter as -)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1" t="n"/>
      <c r="AI160" s="11" t="n"/>
      <c r="AJ160" s="11" t="n"/>
      <c r="AK160" s="11" t="n"/>
      <c r="AL160" s="12" t="n"/>
      <c r="AM160" s="11" t="n"/>
      <c r="AN160" s="11" t="n"/>
      <c r="AO160" s="11" t="n"/>
      <c r="AP160" s="11" t="n"/>
      <c r="AQ160" s="12" t="n"/>
      <c r="AR160" s="11" t="n"/>
      <c r="AS160" s="11" t="n"/>
      <c r="AT160" s="11" t="n"/>
      <c r="AU160" s="11" t="n"/>
      <c r="AV160" s="12" t="n"/>
      <c r="AW160" s="11" t="n"/>
      <c r="AX160" s="11" t="n"/>
      <c r="AY160" s="11" t="n"/>
      <c r="AZ160" s="11" t="n"/>
      <c r="BA160" s="12" t="n"/>
      <c r="BB160" s="11" t="n"/>
      <c r="BC160" s="11" t="n"/>
      <c r="BD160" s="11" t="n"/>
      <c r="BE160" s="11" t="n"/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collapsed="1">
      <c r="C162" s="14" t="inlineStr">
        <is>
          <t>PP&amp;E</t>
        </is>
      </c>
      <c r="D162" s="46" t="n"/>
      <c r="E162" s="46" t="n"/>
      <c r="F162" s="46" t="n"/>
      <c r="G162" s="46" t="n"/>
      <c r="H162" s="12" t="n"/>
      <c r="I162" s="46">
        <f>'Inputs (2)'!D22</f>
        <v>31848</v>
      </c>
      <c r="J162" s="46">
        <f>'Inputs (2)'!E22</f>
        <v>32209</v>
      </c>
      <c r="K162" s="46">
        <f>'Inputs (2)'!F22</f>
        <v>33213</v>
      </c>
      <c r="L162" s="46">
        <f>'Inputs (2)'!G22</f>
        <v>35155</v>
      </c>
      <c r="M162" s="12">
        <f>'Inputs (2)'!H22</f>
        <v>35155</v>
      </c>
      <c r="N162" s="46">
        <f>'Inputs (2)'!I22</f>
        <v>36171</v>
      </c>
      <c r="O162" s="46">
        <f>'Inputs (2)'!J22</f>
        <v>36665</v>
      </c>
      <c r="P162" s="46">
        <f>'Inputs (2)'!K22</f>
        <v>38549</v>
      </c>
      <c r="Q162" s="46">
        <f>'Inputs (2)'!L22</f>
        <v>39335</v>
      </c>
      <c r="R162" s="12">
        <f>'Inputs (2)'!M22</f>
        <v>39335</v>
      </c>
      <c r="S162" s="46">
        <f>'Inputs (2)'!N22</f>
        <v>39085</v>
      </c>
      <c r="T162" s="46">
        <f>'Inputs (2)'!O22</f>
        <v>38727</v>
      </c>
      <c r="U162" s="46">
        <f>'Inputs (2)'!P22</f>
        <v>37928</v>
      </c>
      <c r="V162" s="46">
        <f>'Inputs (2)'!Q22</f>
        <v>37677</v>
      </c>
      <c r="W162" s="12">
        <f>'Inputs (2)'!R22</f>
        <v>37677</v>
      </c>
      <c r="X162" s="46">
        <f>'Inputs (2)'!S22</f>
        <v>37587</v>
      </c>
      <c r="Y162" s="46">
        <f>'Inputs (2)'!T22</f>
        <v>37926</v>
      </c>
      <c r="Z162" s="46">
        <f>'Inputs (2)'!U22</f>
        <v>39749</v>
      </c>
      <c r="AA162" s="46">
        <f>'Inputs (2)'!V22</f>
        <v>41476</v>
      </c>
      <c r="AB162" s="12">
        <f>'Inputs (2)'!W22</f>
        <v>41476</v>
      </c>
      <c r="AC162" s="46">
        <f>'Inputs (2)'!X22</f>
        <v>42528</v>
      </c>
      <c r="AD162" s="46">
        <f>'Inputs (2)'!Y22</f>
        <v>44773</v>
      </c>
      <c r="AE162" s="46">
        <f>'Inputs (2)'!Z22</f>
        <v>46590</v>
      </c>
      <c r="AF162" s="46">
        <f>'Inputs (2)'!AA22</f>
        <v>48477</v>
      </c>
      <c r="AG162" s="12">
        <f>'Inputs (2)'!AB22</f>
        <v>48477</v>
      </c>
      <c r="AH162" s="12">
        <f>'Inputs (2)'!AC22</f>
        <v>51408</v>
      </c>
      <c r="AI162" s="12">
        <f>'Inputs (2)'!AD22</f>
        <v>56426</v>
      </c>
      <c r="AJ162" s="12">
        <f>AJ167</f>
        <v>58832.2523801918</v>
      </c>
      <c r="AK162" s="12">
        <f>AK167</f>
        <v>61733.5781621589</v>
      </c>
      <c r="AL162" s="12">
        <f>AK162</f>
        <v>61733.5781621589</v>
      </c>
      <c r="AM162" s="12">
        <f>AM167</f>
        <v>66807.655209563</v>
      </c>
      <c r="AN162" s="12">
        <f>AN167</f>
        <v>75623.7045841307</v>
      </c>
      <c r="AO162" s="12">
        <f>AO167</f>
        <v>80915.4057698173</v>
      </c>
      <c r="AP162" s="12">
        <f>AP167</f>
        <v>87295.8458295895</v>
      </c>
      <c r="AQ162" s="12">
        <f>AP162</f>
        <v>87295.8458295895</v>
      </c>
      <c r="AR162" s="12">
        <f>AR167</f>
        <v>98429.1135610544</v>
      </c>
      <c r="AS162" s="12">
        <f>AS167</f>
        <v>117772.816288448</v>
      </c>
      <c r="AT162" s="12">
        <f>AT167</f>
        <v>129383.583232813</v>
      </c>
      <c r="AU162" s="12">
        <f>AU167</f>
        <v>143383.202624944</v>
      </c>
      <c r="AV162" s="12">
        <f>AU162</f>
        <v>143383.202624944</v>
      </c>
      <c r="AW162" s="12">
        <f>AW167</f>
        <v>167755.555258504</v>
      </c>
      <c r="AX162" s="12">
        <f>AX167</f>
        <v>210101.751854348</v>
      </c>
      <c r="AY162" s="12">
        <f>AY167</f>
        <v>235519.420156204</v>
      </c>
      <c r="AZ162" s="12">
        <f>AZ167</f>
        <v>266166.636121049</v>
      </c>
      <c r="BA162" s="12">
        <f>AZ162</f>
        <v>266166.636121049</v>
      </c>
      <c r="BB162" s="12">
        <f>BB167</f>
        <v>319399.421638642</v>
      </c>
      <c r="BC162" s="12">
        <f>BC167</f>
        <v>411889.713190079</v>
      </c>
      <c r="BD162" s="12">
        <f>BD167</f>
        <v>467405.621129427</v>
      </c>
      <c r="BE162" s="12">
        <f>BE167</f>
        <v>534343.626610339</v>
      </c>
      <c r="BF162" s="12">
        <f>BE162</f>
        <v>534343.626610339</v>
      </c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inlineStr">
        <is>
          <t>Capital expenditures</t>
        </is>
      </c>
      <c r="D164" s="12" t="n"/>
      <c r="E164" s="12" t="n"/>
      <c r="F164" s="12" t="n"/>
      <c r="G164" s="12" t="n"/>
      <c r="H164" s="12" t="n"/>
      <c r="I164" s="12" t="n"/>
      <c r="J164" s="12">
        <f>J162-I162-J66</f>
        <v>1918</v>
      </c>
      <c r="K164" s="12">
        <f>K162-J162-K66</f>
        <v>2625</v>
      </c>
      <c r="L164" s="12">
        <f>L162-K162-L66</f>
        <v>3613</v>
      </c>
      <c r="M164" s="12" t="n"/>
      <c r="N164" s="12">
        <f>N162-M162-N66</f>
        <v>2758</v>
      </c>
      <c r="O164" s="12">
        <f>O162-N162-O66</f>
        <v>2315</v>
      </c>
      <c r="P164" s="12">
        <f>P162-O162-P66</f>
        <v>3766</v>
      </c>
      <c r="Q164" s="12">
        <f>Q162-P162-Q66</f>
        <v>2707</v>
      </c>
      <c r="R164" s="12" t="n"/>
      <c r="S164" s="12">
        <f>S162-R162-S66</f>
        <v>1692</v>
      </c>
      <c r="T164" s="12">
        <f>T162-S162-T66</f>
        <v>1598</v>
      </c>
      <c r="U164" s="12">
        <f>U162-T162-U66</f>
        <v>1138</v>
      </c>
      <c r="V164" s="12">
        <f>V162-U162-V66</f>
        <v>1664</v>
      </c>
      <c r="W164" s="12" t="n"/>
      <c r="X164" s="12">
        <f>X162-W162-X66</f>
        <v>1834</v>
      </c>
      <c r="Y164" s="12">
        <f>Y162-X162-Y66</f>
        <v>2294</v>
      </c>
      <c r="Z164" s="12">
        <f>Z162-Y162-Z66</f>
        <v>3809</v>
      </c>
      <c r="AA164" s="12">
        <f>AA162-Z162-AA66</f>
        <v>3757</v>
      </c>
      <c r="AB164" s="12" t="n"/>
      <c r="AC164" s="12">
        <f>AC162-AB162-AC66</f>
        <v>3131</v>
      </c>
      <c r="AD164" s="12">
        <f>AD162-AC162-AD66</f>
        <v>4339</v>
      </c>
      <c r="AE164" s="12">
        <f>AE162-AD162-AE66</f>
        <v>3966</v>
      </c>
      <c r="AF164" s="11">
        <f>AF162-AE162-AF66</f>
        <v>4099</v>
      </c>
      <c r="AG164" s="12">
        <f>SUM(AC164:AF164)</f>
        <v>15535</v>
      </c>
      <c r="AH164" s="11">
        <f>AH162-AG162-AH66</f>
        <v>5217</v>
      </c>
      <c r="AI164" s="11">
        <f>AI162-AH162-AI66</f>
        <v>7382</v>
      </c>
      <c r="AJ164" s="11">
        <f>AJ15*Control!$B$24</f>
        <v>6504.51481455083</v>
      </c>
      <c r="AK164" s="11">
        <f>AK15*Control!$B$24</f>
        <v>7842.78352761087</v>
      </c>
      <c r="AL164" s="12" t="n"/>
      <c r="AM164" s="11">
        <f>AM15*Control!$C$24</f>
        <v>13716.1045934762</v>
      </c>
      <c r="AN164" s="11">
        <f>AN15*Control!$C$24</f>
        <v>23831.3005878939</v>
      </c>
      <c r="AO164" s="11">
        <f>AO15*Control!$C$24</f>
        <v>14304.3801389323</v>
      </c>
      <c r="AP164" s="11">
        <f>AP15*Control!$C$24</f>
        <v>17247.4289204996</v>
      </c>
      <c r="AQ164" s="12" t="n"/>
      <c r="AR164" s="11">
        <f>AR15*Control!$D$24</f>
        <v>30095.1410956737</v>
      </c>
      <c r="AS164" s="11">
        <f>AS15*Control!$D$24</f>
        <v>52289.3616622904</v>
      </c>
      <c r="AT164" s="11">
        <f>AT15*Control!$D$24</f>
        <v>31385.9037479253</v>
      </c>
      <c r="AU164" s="11">
        <f>AU15*Control!$D$24</f>
        <v>37843.3835468797</v>
      </c>
      <c r="AV164" s="12" t="n"/>
      <c r="AW164" s="11">
        <f>AW15*Control!$E$24</f>
        <v>65882.6688652692</v>
      </c>
      <c r="AX164" s="11">
        <f>AX15*Control!$E$24</f>
        <v>114469.066239673</v>
      </c>
      <c r="AY164" s="11">
        <f>AY15*Control!$E$24</f>
        <v>68708.337239164</v>
      </c>
      <c r="AZ164" s="11">
        <f>AZ15*Control!$E$24</f>
        <v>82844.7056963248</v>
      </c>
      <c r="BA164" s="12" t="n"/>
      <c r="BB164" s="11">
        <f>BB15*Control!$F$24</f>
        <v>143897.392006478</v>
      </c>
      <c r="BC164" s="11">
        <f>BC15*Control!$F$24</f>
        <v>250017.195432546</v>
      </c>
      <c r="BD164" s="11">
        <f>BD15*Control!$F$24</f>
        <v>150069.065326364</v>
      </c>
      <c r="BE164" s="11">
        <f>BE15*Control!$F$24</f>
        <v>180944.963168146</v>
      </c>
      <c r="BF164" s="12" t="n"/>
      <c r="BG164" s="11" t="n"/>
      <c r="BH164" s="11" t="n"/>
      <c r="BI164" s="11" t="n"/>
      <c r="BJ164" s="11" t="n"/>
      <c r="BK164" s="12" t="n"/>
      <c r="BL164" s="11" t="n"/>
      <c r="BM164" s="11" t="n"/>
      <c r="BN164" s="11" t="n"/>
      <c r="BO164" s="11" t="n"/>
      <c r="BP164" s="12" t="n"/>
      <c r="BQ164" s="11" t="n"/>
      <c r="BR164" s="11" t="n"/>
      <c r="BS164" s="11" t="n"/>
      <c r="BT164" s="11" t="n"/>
      <c r="BU164" s="12" t="n"/>
      <c r="BV164" s="11" t="n"/>
      <c r="BW164" s="11" t="n"/>
      <c r="BX164" s="11" t="n"/>
      <c r="BY164" s="11" t="n"/>
      <c r="BZ164" s="12" t="n"/>
      <c r="CA164" s="11" t="n"/>
      <c r="CB164" s="11" t="n"/>
      <c r="CC164" s="11" t="n"/>
      <c r="CD164" s="11" t="n"/>
      <c r="CE164" s="12" t="n"/>
      <c r="CF164" s="11" t="n"/>
      <c r="CG164" s="11" t="n"/>
      <c r="CH164" s="11" t="n"/>
      <c r="CI164" s="11" t="n"/>
      <c r="CJ164" s="12" t="n"/>
      <c r="CK164" s="11" t="n"/>
      <c r="CL164" s="11" t="n"/>
      <c r="CM164" s="11" t="n"/>
      <c r="CN164" s="11" t="n"/>
      <c r="CO164" s="12" t="n"/>
      <c r="CP164" s="11" t="n"/>
      <c r="CQ164" s="11" t="n"/>
      <c r="CR164" s="11" t="n"/>
      <c r="CS164" s="11" t="n"/>
      <c r="CT164" s="12" t="n"/>
      <c r="CU164" s="11" t="n"/>
      <c r="CV164" s="11" t="n"/>
      <c r="CW164" s="11" t="n"/>
      <c r="CX164" s="11" t="n"/>
      <c r="CY164" s="12" t="n"/>
    </row>
    <row r="165" hidden="1" outlineLevel="1">
      <c r="C165" s="57" t="inlineStr">
        <is>
          <t>Recurring asset sales (enter as -)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>
        <f>SUM(I165:L165)</f>
        <v>0</v>
      </c>
      <c r="N165" s="12" t="n"/>
      <c r="O165" s="12" t="n"/>
      <c r="P165" s="12" t="n"/>
      <c r="Q165" s="12" t="n"/>
      <c r="R165" s="12">
        <f>SUM(N165:Q165)</f>
        <v>0</v>
      </c>
      <c r="S165" s="12" t="n"/>
      <c r="T165" s="12" t="n"/>
      <c r="U165" s="12" t="n"/>
      <c r="V165" s="12" t="n"/>
      <c r="W165" s="12">
        <f>SUM(S165:V165)</f>
        <v>0</v>
      </c>
      <c r="X165" s="12" t="n"/>
      <c r="Y165" s="12" t="n"/>
      <c r="Z165" s="12" t="n"/>
      <c r="AA165" s="12" t="n"/>
      <c r="AB165" s="12">
        <f>SUM(X165:AA165)</f>
        <v>0</v>
      </c>
      <c r="AC165" s="12" t="n"/>
      <c r="AD165" s="12" t="n"/>
      <c r="AE165" s="12" t="n"/>
      <c r="AF165" s="11" t="n"/>
      <c r="AG165" s="12">
        <f>SUM(AC165:AF165)</f>
        <v>0</v>
      </c>
      <c r="AH165" s="11" t="n"/>
      <c r="AI165" s="11" t="n"/>
      <c r="AJ165" s="11">
        <f>0</f>
        <v>0</v>
      </c>
      <c r="AK165" s="11">
        <f>0</f>
        <v>0</v>
      </c>
      <c r="AL165" s="12" t="n"/>
      <c r="AM165" s="11">
        <f>0</f>
        <v>0</v>
      </c>
      <c r="AN165" s="11">
        <f>0</f>
        <v>0</v>
      </c>
      <c r="AO165" s="11">
        <f>0</f>
        <v>0</v>
      </c>
      <c r="AP165" s="11">
        <f>0</f>
        <v>0</v>
      </c>
      <c r="AQ165" s="12" t="n"/>
      <c r="AR165" s="11">
        <f>0</f>
        <v>0</v>
      </c>
      <c r="AS165" s="11">
        <f>0</f>
        <v>0</v>
      </c>
      <c r="AT165" s="11">
        <f>0</f>
        <v>0</v>
      </c>
      <c r="AU165" s="11">
        <f>0</f>
        <v>0</v>
      </c>
      <c r="AV165" s="12" t="n"/>
      <c r="AW165" s="11">
        <f>0</f>
        <v>0</v>
      </c>
      <c r="AX165" s="11">
        <f>0</f>
        <v>0</v>
      </c>
      <c r="AY165" s="11">
        <f>0</f>
        <v>0</v>
      </c>
      <c r="AZ165" s="11">
        <f>0</f>
        <v>0</v>
      </c>
      <c r="BA165" s="12" t="n"/>
      <c r="BB165" s="11">
        <f>0</f>
        <v>0</v>
      </c>
      <c r="BC165" s="11">
        <f>0</f>
        <v>0</v>
      </c>
      <c r="BD165" s="11">
        <f>0</f>
        <v>0</v>
      </c>
      <c r="BE165" s="11">
        <f>0</f>
        <v>0</v>
      </c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Depreciation</t>
        </is>
      </c>
      <c r="D166" s="12" t="n"/>
      <c r="E166" s="12" t="n"/>
      <c r="F166" s="12" t="n"/>
      <c r="G166" s="12" t="n"/>
      <c r="H166" s="12" t="n"/>
      <c r="I166" s="12">
        <f>I66</f>
        <v>-1549</v>
      </c>
      <c r="J166" s="12">
        <f>J66</f>
        <v>-1557</v>
      </c>
      <c r="K166" s="12">
        <f>K66</f>
        <v>-1621</v>
      </c>
      <c r="L166" s="12">
        <f>L66</f>
        <v>-1671</v>
      </c>
      <c r="M166" s="12" t="n"/>
      <c r="N166" s="12">
        <f>N66</f>
        <v>-1742</v>
      </c>
      <c r="O166" s="12">
        <f>O66</f>
        <v>-1821</v>
      </c>
      <c r="P166" s="12">
        <f>P66</f>
        <v>-1882</v>
      </c>
      <c r="Q166" s="12">
        <f>Q66</f>
        <v>-1921</v>
      </c>
      <c r="R166" s="12" t="n"/>
      <c r="S166" s="12">
        <f>S66</f>
        <v>-1942</v>
      </c>
      <c r="T166" s="12">
        <f>T66</f>
        <v>-1956</v>
      </c>
      <c r="U166" s="12">
        <f>U66</f>
        <v>-1937</v>
      </c>
      <c r="V166" s="12">
        <f>V66</f>
        <v>-1915</v>
      </c>
      <c r="W166" s="12" t="n"/>
      <c r="X166" s="12">
        <f>X66</f>
        <v>-1924</v>
      </c>
      <c r="Y166" s="12">
        <f>Y66</f>
        <v>-1955</v>
      </c>
      <c r="Z166" s="12">
        <f>Z66</f>
        <v>-1986</v>
      </c>
      <c r="AA166" s="12">
        <f>AA66</f>
        <v>-2030</v>
      </c>
      <c r="AB166" s="12" t="n"/>
      <c r="AC166" s="12">
        <f>AC66</f>
        <v>-2079</v>
      </c>
      <c r="AD166" s="12">
        <f>AD66</f>
        <v>-2094</v>
      </c>
      <c r="AE166" s="12">
        <f>AE66</f>
        <v>-2149</v>
      </c>
      <c r="AF166" s="12">
        <f>AF66</f>
        <v>-2212</v>
      </c>
      <c r="AG166" s="12" t="n"/>
      <c r="AH166" s="12">
        <f>AH66</f>
        <v>-2286</v>
      </c>
      <c r="AI166" s="12">
        <f>AI66</f>
        <v>-2364</v>
      </c>
      <c r="AJ166" s="12">
        <f>AJ66</f>
        <v>-4098.26243435899</v>
      </c>
      <c r="AK166" s="12">
        <f>AK66</f>
        <v>-4941.45774564381</v>
      </c>
      <c r="AL166" s="12" t="n"/>
      <c r="AM166" s="12">
        <f>AM66</f>
        <v>-8642.02754607207</v>
      </c>
      <c r="AN166" s="12">
        <f>AN66</f>
        <v>-15015.2512133262</v>
      </c>
      <c r="AO166" s="12">
        <f>AO66</f>
        <v>-9012.67895324566</v>
      </c>
      <c r="AP166" s="12">
        <f>AP66</f>
        <v>-10866.9888607274</v>
      </c>
      <c r="AQ166" s="12" t="n"/>
      <c r="AR166" s="12">
        <f>AR66</f>
        <v>-18961.8733642088</v>
      </c>
      <c r="AS166" s="12">
        <f>AS66</f>
        <v>-32945.6589348969</v>
      </c>
      <c r="AT166" s="12">
        <f>AT66</f>
        <v>-19775.1368035606</v>
      </c>
      <c r="AU166" s="12">
        <f>AU66</f>
        <v>-23843.7641547483</v>
      </c>
      <c r="AV166" s="12" t="n"/>
      <c r="AW166" s="12">
        <f>AW66</f>
        <v>-41510.3162317097</v>
      </c>
      <c r="AX166" s="12">
        <f>AX66</f>
        <v>-72122.8696438288</v>
      </c>
      <c r="AY166" s="12">
        <f>AY66</f>
        <v>-43290.6689373079</v>
      </c>
      <c r="AZ166" s="12">
        <f>AZ66</f>
        <v>-52197.4897314796</v>
      </c>
      <c r="BA166" s="12" t="n"/>
      <c r="BB166" s="12">
        <f>BB66</f>
        <v>-90664.6064888855</v>
      </c>
      <c r="BC166" s="12">
        <f>BC66</f>
        <v>-157526.903881108</v>
      </c>
      <c r="BD166" s="12">
        <f>BD66</f>
        <v>-94553.1573870158</v>
      </c>
      <c r="BE166" s="12">
        <f>BE66</f>
        <v>-114006.957687234</v>
      </c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inlineStr">
        <is>
          <t>PP&amp;E</t>
        </is>
      </c>
      <c r="D167" s="12" t="n"/>
      <c r="E167" s="12" t="n"/>
      <c r="F167" s="12" t="n"/>
      <c r="G167" s="12" t="n"/>
      <c r="H167" s="12" t="n"/>
      <c r="I167" s="12">
        <f>I162</f>
        <v>31848</v>
      </c>
      <c r="J167" s="12">
        <f>J162</f>
        <v>32209</v>
      </c>
      <c r="K167" s="12">
        <f>K162</f>
        <v>33213</v>
      </c>
      <c r="L167" s="12">
        <f>L162</f>
        <v>35155</v>
      </c>
      <c r="M167" s="12" t="n"/>
      <c r="N167" s="12">
        <f>N162</f>
        <v>36171</v>
      </c>
      <c r="O167" s="12">
        <f>O162</f>
        <v>36665</v>
      </c>
      <c r="P167" s="12">
        <f>P162</f>
        <v>38549</v>
      </c>
      <c r="Q167" s="12">
        <f>Q162</f>
        <v>39335</v>
      </c>
      <c r="R167" s="12" t="n"/>
      <c r="S167" s="12">
        <f>S162</f>
        <v>39085</v>
      </c>
      <c r="T167" s="12">
        <f>T162</f>
        <v>38727</v>
      </c>
      <c r="U167" s="12">
        <f>U162</f>
        <v>37928</v>
      </c>
      <c r="V167" s="12">
        <f>V162</f>
        <v>37677</v>
      </c>
      <c r="W167" s="12" t="n"/>
      <c r="X167" s="12">
        <f>X162</f>
        <v>37587</v>
      </c>
      <c r="Y167" s="12">
        <f>Y162</f>
        <v>37926</v>
      </c>
      <c r="Z167" s="12">
        <f>Z162</f>
        <v>39749</v>
      </c>
      <c r="AA167" s="12">
        <f>Y167+SUM(AA164:AA166)</f>
        <v>39653</v>
      </c>
      <c r="AB167" s="12" t="n"/>
      <c r="AC167" s="12">
        <f>AC162</f>
        <v>42528</v>
      </c>
      <c r="AD167" s="12">
        <f>AD162</f>
        <v>44773</v>
      </c>
      <c r="AE167" s="12">
        <f>AE162</f>
        <v>46590</v>
      </c>
      <c r="AF167" s="12">
        <f>AF162</f>
        <v>48477</v>
      </c>
      <c r="AG167" s="12" t="n"/>
      <c r="AH167" s="12">
        <f>AH162</f>
        <v>51408</v>
      </c>
      <c r="AI167" s="12">
        <f>AI162</f>
        <v>56426</v>
      </c>
      <c r="AJ167" s="12">
        <f>AI167+SUM(AJ164:AJ166)</f>
        <v>58832.2523801918</v>
      </c>
      <c r="AK167" s="12">
        <f>AJ167+SUM(AK164:AK166)</f>
        <v>61733.5781621589</v>
      </c>
      <c r="AL167" s="12" t="n"/>
      <c r="AM167" s="12">
        <f>AK167+SUM(AM164:AM166)</f>
        <v>66807.655209563</v>
      </c>
      <c r="AN167" s="12">
        <f>AM167+SUM(AN164:AN166)</f>
        <v>75623.7045841307</v>
      </c>
      <c r="AO167" s="12">
        <f>AN167+SUM(AO164:AO166)</f>
        <v>80915.4057698173</v>
      </c>
      <c r="AP167" s="12">
        <f>AO167+SUM(AP164:AP166)</f>
        <v>87295.8458295895</v>
      </c>
      <c r="AQ167" s="12" t="n"/>
      <c r="AR167" s="12">
        <f>AP167+SUM(AR164:AR166)</f>
        <v>98429.1135610544</v>
      </c>
      <c r="AS167" s="12">
        <f>AR167+SUM(AS164:AS166)</f>
        <v>117772.816288448</v>
      </c>
      <c r="AT167" s="12">
        <f>AS167+SUM(AT164:AT166)</f>
        <v>129383.583232813</v>
      </c>
      <c r="AU167" s="12">
        <f>AT167+SUM(AU164:AU166)</f>
        <v>143383.202624944</v>
      </c>
      <c r="AV167" s="12" t="n"/>
      <c r="AW167" s="12">
        <f>AU167+SUM(AW164:AW166)</f>
        <v>167755.555258504</v>
      </c>
      <c r="AX167" s="12">
        <f>AW167+SUM(AX164:AX166)</f>
        <v>210101.751854348</v>
      </c>
      <c r="AY167" s="12">
        <f>AX167+SUM(AY164:AY166)</f>
        <v>235519.420156204</v>
      </c>
      <c r="AZ167" s="12">
        <f>AY167+SUM(AZ164:AZ166)</f>
        <v>266166.636121049</v>
      </c>
      <c r="BA167" s="12" t="n"/>
      <c r="BB167" s="12">
        <f>AZ167+SUM(BB164:BB166)</f>
        <v>319399.421638642</v>
      </c>
      <c r="BC167" s="12">
        <f>BB167+SUM(BC164:BC166)</f>
        <v>411889.713190079</v>
      </c>
      <c r="BD167" s="12">
        <f>BC167+SUM(BD164:BD166)</f>
        <v>467405.621129427</v>
      </c>
      <c r="BE167" s="12">
        <f>BD167+SUM(BE164:BE166)</f>
        <v>534343.626610339</v>
      </c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>
        <f>IF(AJ15=0,"",AJ164/AJ15)</f>
        <v>0.26140037908351</v>
      </c>
      <c r="AK168" s="12">
        <f>IF(AK15=0,"",AK164/AK15)</f>
        <v>0.26140037908351</v>
      </c>
      <c r="AL168" s="12" t="n"/>
      <c r="AM168" s="12">
        <f>IF(AM15=0,"",AM164/AM15)</f>
        <v>0.26140037908351</v>
      </c>
      <c r="AN168" s="12">
        <f>IF(AN15=0,"",AN164/AN15)</f>
        <v>0.26140037908351</v>
      </c>
      <c r="AO168" s="12">
        <f>IF(AO15=0,"",AO164/AO15)</f>
        <v>0.26140037908351</v>
      </c>
      <c r="AP168" s="12">
        <f>IF(AP15=0,"",AP164/AP15)</f>
        <v>0.26140037908351</v>
      </c>
      <c r="AQ168" s="12" t="n"/>
      <c r="AR168" s="12">
        <f>IF(AR15=0,"",AR164/AR15)</f>
        <v>0.26140037908351</v>
      </c>
      <c r="AS168" s="12">
        <f>IF(AS15=0,"",AS164/AS15)</f>
        <v>0.26140037908351</v>
      </c>
      <c r="AT168" s="12">
        <f>IF(AT15=0,"",AT164/AT15)</f>
        <v>0.26140037908351</v>
      </c>
      <c r="AU168" s="12">
        <f>IF(AU15=0,"",AU164/AU15)</f>
        <v>0.26140037908351</v>
      </c>
      <c r="AV168" s="12" t="n"/>
      <c r="AW168" s="12">
        <f>IF(AW15=0,"",AW164/AW15)</f>
        <v>0.26140037908351</v>
      </c>
      <c r="AX168" s="12">
        <f>IF(AX15=0,"",AX164/AX15)</f>
        <v>0.26140037908351</v>
      </c>
      <c r="AY168" s="12">
        <f>IF(AY15=0,"",AY164/AY15)</f>
        <v>0.26140037908351</v>
      </c>
      <c r="AZ168" s="12">
        <f>IF(AZ15=0,"",AZ164/AZ15)</f>
        <v>0.26140037908351</v>
      </c>
      <c r="BA168" s="12" t="n"/>
      <c r="BB168" s="12">
        <f>IF(BB15=0,"",BB164/BB15)</f>
        <v>0.26140037908351</v>
      </c>
      <c r="BC168" s="12">
        <f>IF(BC15=0,"",BC164/BC15)</f>
        <v>0.26140037908351</v>
      </c>
      <c r="BD168" s="12">
        <f>IF(BD15=0,"",BD164/BD15)</f>
        <v>0.26140037908351</v>
      </c>
      <c r="BE168" s="12">
        <f>IF(BE15=0,"",BE164/BE15)</f>
        <v>0.26140037908351</v>
      </c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inlineStr">
        <is>
          <t>Capital expenditures (% Net Revenues)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58">
        <f>IFERROR(AF164/AF15,"")</f>
        <v>0.300447115737008</v>
      </c>
      <c r="AG169" s="58">
        <f>IFERROR(AG164/AG15,"")</f>
        <v>0.367153526186425</v>
      </c>
      <c r="AH169" s="58">
        <f>IFERROR(AH164/AH15,"")</f>
        <v>0.218650461022632</v>
      </c>
      <c r="AI169" s="58">
        <f>IFERROR(AI164/AI15,"")</f>
        <v>0.178068313392513</v>
      </c>
      <c r="AJ169" s="58">
        <f>IFERROR(AJ164/AJ15,"")</f>
        <v>0.26140037908351</v>
      </c>
      <c r="AK169" s="58">
        <f>IFERROR(AK164/AK15,"")</f>
        <v>0.26140037908351</v>
      </c>
      <c r="AL169" s="58">
        <f>IFERROR(AL164/AL15,"")</f>
        <v>0</v>
      </c>
      <c r="AM169" s="58">
        <f>IFERROR(AM164/AM15,"")</f>
        <v>0.26140037908351</v>
      </c>
      <c r="AN169" s="58">
        <f>IFERROR(AN164/AN15,"")</f>
        <v>0.26140037908351</v>
      </c>
      <c r="AO169" s="58">
        <f>IFERROR(AO164/AO15,"")</f>
        <v>0.26140037908351</v>
      </c>
      <c r="AP169" s="58">
        <f>IFERROR(AP164/AP15,"")</f>
        <v>0.26140037908351</v>
      </c>
      <c r="AQ169" s="58">
        <f>IFERROR(AQ164/AQ15,"")</f>
        <v>0</v>
      </c>
      <c r="AR169" s="58">
        <f>IFERROR(AR164/AR15,"")</f>
        <v>0.26140037908351</v>
      </c>
      <c r="AS169" s="58">
        <f>IFERROR(AS164/AS15,"")</f>
        <v>0.26140037908351</v>
      </c>
      <c r="AT169" s="58">
        <f>IFERROR(AT164/AT15,"")</f>
        <v>0.26140037908351</v>
      </c>
      <c r="AU169" s="58">
        <f>IFERROR(AU164/AU15,"")</f>
        <v>0.26140037908351</v>
      </c>
      <c r="AV169" s="58">
        <f>IFERROR(AV164/AV15,"")</f>
        <v>0</v>
      </c>
      <c r="AW169" s="58">
        <f>IFERROR(AW164/AW15,"")</f>
        <v>0.26140037908351</v>
      </c>
      <c r="AX169" s="58">
        <f>IFERROR(AX164/AX15,"")</f>
        <v>0.26140037908351</v>
      </c>
      <c r="AY169" s="58">
        <f>IFERROR(AY164/AY15,"")</f>
        <v>0.26140037908351</v>
      </c>
      <c r="AZ169" s="58">
        <f>IFERROR(AZ164/AZ15,"")</f>
        <v>0.26140037908351</v>
      </c>
      <c r="BA169" s="58">
        <f>IFERROR(BA164/BA15,"")</f>
        <v>0</v>
      </c>
      <c r="BB169" s="58">
        <f>IFERROR(BB164/BB15,"")</f>
        <v>0.26140037908351</v>
      </c>
      <c r="BC169" s="58">
        <f>IFERROR(BC164/BC15,"")</f>
        <v>0.26140037908351</v>
      </c>
      <c r="BD169" s="58">
        <f>IFERROR(BD164/BD15,"")</f>
        <v>0.26140037908351</v>
      </c>
      <c r="BE169" s="58">
        <f>IFERROR(BE164/BE15,"")</f>
        <v>0.26140037908351</v>
      </c>
      <c r="BF169" s="58">
        <f>IFERROR(BF164/BF15,"")</f>
        <v>0</v>
      </c>
      <c r="BG169" s="58" t="n"/>
      <c r="BH169" s="58" t="n"/>
      <c r="BI169" s="58" t="n"/>
      <c r="BJ169" s="58" t="n"/>
      <c r="BK169" s="58" t="n"/>
      <c r="BL169" s="58" t="n"/>
      <c r="BM169" s="58" t="n"/>
      <c r="BN169" s="58" t="n"/>
      <c r="BO169" s="58" t="n"/>
      <c r="BP169" s="58" t="n"/>
      <c r="BQ169" s="58" t="n"/>
      <c r="BR169" s="58" t="n"/>
      <c r="BS169" s="58" t="n"/>
      <c r="BT169" s="58" t="n"/>
      <c r="BU169" s="58" t="n"/>
      <c r="BV169" s="58" t="n"/>
      <c r="BW169" s="58" t="n"/>
      <c r="BX169" s="58" t="n"/>
      <c r="BY169" s="58" t="n"/>
      <c r="BZ169" s="58" t="n"/>
      <c r="CA169" s="58" t="n"/>
      <c r="CB169" s="58" t="n"/>
      <c r="CC169" s="58" t="n"/>
      <c r="CD169" s="58" t="n"/>
      <c r="CE169" s="58" t="n"/>
      <c r="CF169" s="58" t="n"/>
      <c r="CG169" s="58" t="n"/>
      <c r="CH169" s="58" t="n"/>
      <c r="CI169" s="58" t="n"/>
      <c r="CJ169" s="58" t="n"/>
      <c r="CK169" s="58" t="n"/>
      <c r="CL169" s="58" t="n"/>
      <c r="CM169" s="58" t="n"/>
      <c r="CN169" s="58" t="n"/>
      <c r="CO169" s="58" t="n"/>
      <c r="CP169" s="58" t="n"/>
      <c r="CQ169" s="58" t="n"/>
      <c r="CR169" s="58" t="n"/>
      <c r="CS169" s="58" t="n"/>
      <c r="CT169" s="58" t="n"/>
      <c r="CU169" s="58" t="n"/>
      <c r="CV169" s="58" t="n"/>
      <c r="CW169" s="58" t="n"/>
      <c r="CX169" s="58" t="n"/>
      <c r="CY169" s="58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collapsed="1">
      <c r="C172" s="14" t="inlineStr">
        <is>
          <t>Right-of-use-assets</t>
        </is>
      </c>
      <c r="D172" s="46" t="n"/>
      <c r="E172" s="46" t="n"/>
      <c r="F172" s="46" t="n"/>
      <c r="G172" s="46" t="n"/>
      <c r="H172" s="12" t="n"/>
      <c r="I172" s="46">
        <f>'Inputs (2)'!D23</f>
        <v>575</v>
      </c>
      <c r="J172" s="46">
        <f>'Inputs (2)'!E23</f>
        <v>558</v>
      </c>
      <c r="K172" s="46">
        <f>'Inputs (2)'!F23</f>
        <v>551</v>
      </c>
      <c r="L172" s="46">
        <f>'Inputs (2)'!G23</f>
        <v>574</v>
      </c>
      <c r="M172" s="12">
        <f>'Inputs (2)'!H23</f>
        <v>574</v>
      </c>
      <c r="N172" s="46">
        <f>'Inputs (2)'!I23</f>
        <v>587</v>
      </c>
      <c r="O172" s="46">
        <f>'Inputs (2)'!J23</f>
        <v>690</v>
      </c>
      <c r="P172" s="46">
        <f>'Inputs (2)'!K23</f>
        <v>678</v>
      </c>
      <c r="Q172" s="46">
        <f>'Inputs (2)'!L23</f>
        <v>693</v>
      </c>
      <c r="R172" s="12">
        <f>'Inputs (2)'!M23</f>
        <v>693</v>
      </c>
      <c r="S172" s="46">
        <f>'Inputs (2)'!N23</f>
        <v>673</v>
      </c>
      <c r="T172" s="46">
        <f>'Inputs (2)'!O23</f>
        <v>655</v>
      </c>
      <c r="U172" s="46">
        <f>'Inputs (2)'!P23</f>
        <v>666</v>
      </c>
      <c r="V172" s="46">
        <f>'Inputs (2)'!Q23</f>
        <v>648</v>
      </c>
      <c r="W172" s="12">
        <f>'Inputs (2)'!R23</f>
        <v>648</v>
      </c>
      <c r="X172" s="46">
        <f>'Inputs (2)'!S23</f>
        <v>642</v>
      </c>
      <c r="Y172" s="46">
        <f>'Inputs (2)'!T23</f>
        <v>660</v>
      </c>
      <c r="Z172" s="46">
        <f>'Inputs (2)'!U23</f>
        <v>645</v>
      </c>
      <c r="AA172" s="46">
        <f>'Inputs (2)'!V23</f>
        <v>622</v>
      </c>
      <c r="AB172" s="12">
        <f>'Inputs (2)'!W23</f>
        <v>622</v>
      </c>
      <c r="AC172" s="46">
        <f>'Inputs (2)'!X23</f>
        <v>637</v>
      </c>
      <c r="AD172" s="46">
        <f>'Inputs (2)'!Y23</f>
        <v>628</v>
      </c>
      <c r="AE172" s="46">
        <f>'Inputs (2)'!Z23</f>
        <v>736</v>
      </c>
      <c r="AF172" s="46">
        <f>'Inputs (2)'!AA23</f>
        <v>700</v>
      </c>
      <c r="AG172" s="12">
        <f>'Inputs (2)'!AB23</f>
        <v>700</v>
      </c>
      <c r="AH172" s="12">
        <f>'Inputs (2)'!AC23</f>
        <v>684</v>
      </c>
      <c r="AI172" s="12">
        <f>'Inputs (2)'!AD23</f>
        <v>683</v>
      </c>
      <c r="AJ172" s="12">
        <f>AI172</f>
        <v>683</v>
      </c>
      <c r="AK172" s="12">
        <f>AJ172</f>
        <v>683</v>
      </c>
      <c r="AL172" s="12">
        <f>AK172</f>
        <v>683</v>
      </c>
      <c r="AM172" s="12">
        <f>AL172</f>
        <v>683</v>
      </c>
      <c r="AN172" s="12">
        <f>AM172</f>
        <v>683</v>
      </c>
      <c r="AO172" s="12">
        <f>AN172</f>
        <v>683</v>
      </c>
      <c r="AP172" s="12">
        <f>AO172</f>
        <v>683</v>
      </c>
      <c r="AQ172" s="12">
        <f>AP172</f>
        <v>683</v>
      </c>
      <c r="AR172" s="12">
        <f>AQ172</f>
        <v>683</v>
      </c>
      <c r="AS172" s="12">
        <f>AR172</f>
        <v>683</v>
      </c>
      <c r="AT172" s="12">
        <f>AS172</f>
        <v>683</v>
      </c>
      <c r="AU172" s="12">
        <f>AT172</f>
        <v>683</v>
      </c>
      <c r="AV172" s="12">
        <f>AU172</f>
        <v>683</v>
      </c>
      <c r="AW172" s="12">
        <f>AV172</f>
        <v>683</v>
      </c>
      <c r="AX172" s="12">
        <f>AW172</f>
        <v>683</v>
      </c>
      <c r="AY172" s="12">
        <f>AX172</f>
        <v>683</v>
      </c>
      <c r="AZ172" s="12">
        <f>AY172</f>
        <v>683</v>
      </c>
      <c r="BA172" s="12">
        <f>AZ172</f>
        <v>683</v>
      </c>
      <c r="BB172" s="12">
        <f>BA172</f>
        <v>683</v>
      </c>
      <c r="BC172" s="12">
        <f>BB172</f>
        <v>683</v>
      </c>
      <c r="BD172" s="12">
        <f>BC172</f>
        <v>683</v>
      </c>
      <c r="BE172" s="12">
        <f>BD172</f>
        <v>683</v>
      </c>
      <c r="BF172" s="12">
        <f>BE172</f>
        <v>683</v>
      </c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9" t="inlineStr">
        <is>
          <t>%(Var.)</t>
        </is>
      </c>
      <c r="D173" s="12" t="n"/>
      <c r="E173" s="40" t="n"/>
      <c r="F173" s="40" t="n"/>
      <c r="G173" s="40" t="n"/>
      <c r="H173" s="12" t="n"/>
      <c r="I173" s="40" t="str">
        <f>""</f>
        <v/>
      </c>
      <c r="J173" s="40">
        <f>IFERROR(IF(I172=0,"",J172/I172-1),"")</f>
        <v>-0.0295652173913044</v>
      </c>
      <c r="K173" s="40">
        <f>IFERROR(IF(J172=0,"",K172/J172-1),"")</f>
        <v>-0.0125448028673835</v>
      </c>
      <c r="L173" s="40">
        <f>IFERROR(IF(K172=0,"",L172/K172-1),"")</f>
        <v>0.0417422867513613</v>
      </c>
      <c r="M173" s="12">
        <f>IFERROR(IF(L172=0,"",M172/L172-1),"")</f>
        <v>0</v>
      </c>
      <c r="N173" s="40">
        <f>IFERROR(IF(M172=0,"",N172/M172-1),"")</f>
        <v>0.0226480836236933</v>
      </c>
      <c r="O173" s="40">
        <f>IFERROR(IF(N172=0,"",O172/N172-1),"")</f>
        <v>0.175468483816014</v>
      </c>
      <c r="P173" s="40">
        <f>IFERROR(IF(O172=0,"",P172/O172-1),"")</f>
        <v>-0.0173913043478261</v>
      </c>
      <c r="Q173" s="40">
        <f>IFERROR(IF(P172=0,"",Q172/P172-1),"")</f>
        <v>0.0221238938053097</v>
      </c>
      <c r="R173" s="12">
        <f>IFERROR(IF(Q172=0,"",R172/Q172-1),"")</f>
        <v>0</v>
      </c>
      <c r="S173" s="40">
        <f>IFERROR(IF(R172=0,"",S172/R172-1),"")</f>
        <v>-0.0288600288600288</v>
      </c>
      <c r="T173" s="40">
        <f>IFERROR(IF(S172=0,"",T172/S172-1),"")</f>
        <v>-0.0267459138187222</v>
      </c>
      <c r="U173" s="40">
        <f>IFERROR(IF(T172=0,"",U172/T172-1),"")</f>
        <v>0.0167938931297711</v>
      </c>
      <c r="V173" s="40">
        <f>IFERROR(IF(U172=0,"",V172/U172-1),"")</f>
        <v>-0.027027027027027</v>
      </c>
      <c r="W173" s="12">
        <f>IFERROR(IF(V172=0,"",W172/V172-1),"")</f>
        <v>0</v>
      </c>
      <c r="X173" s="40">
        <f>IFERROR(IF(W172=0,"",X172/W172-1),"")</f>
        <v>-0.0092592592592593</v>
      </c>
      <c r="Y173" s="40">
        <f>IFERROR(IF(X172=0,"",Y172/X172-1),"")</f>
        <v>0.02803738317757</v>
      </c>
      <c r="Z173" s="40">
        <f>IFERROR(IF(Y172=0,"",Z172/Y172-1),"")</f>
        <v>-0.0227272727272727</v>
      </c>
      <c r="AA173" s="40">
        <f>IFERROR(IF(Z172=0,"",AA172/Z172-1),"")</f>
        <v>-0.0356589147286822</v>
      </c>
      <c r="AB173" s="12">
        <f>IFERROR(IF(AA172=0,"",AB172/AA172-1),"")</f>
        <v>0</v>
      </c>
      <c r="AC173" s="40">
        <f>IFERROR(IF(AB172=0,"",AC172/AB172-1),"")</f>
        <v>0.0241157556270097</v>
      </c>
      <c r="AD173" s="40">
        <f>IFERROR(IF(AC172=0,"",AD172/AC172-1),"")</f>
        <v>-0.0141287284144427</v>
      </c>
      <c r="AE173" s="40">
        <f>IFERROR(IF(AD172=0,"",AE172/AD172-1),"")</f>
        <v>0.171974522292994</v>
      </c>
      <c r="AF173" s="55">
        <f>IFERROR(IF(AE172=0,"",AF172/AE172-1),"")</f>
        <v>-0.0489130434782609</v>
      </c>
      <c r="AG173" s="12">
        <f>IFERROR(IF(AF172=0,"",AG172/AF172-1),"")</f>
        <v>0</v>
      </c>
      <c r="AH173" s="55">
        <f>IFERROR(IF(AG172=0,"",AH172/AG172-1),"")</f>
        <v>-0.0228571428571429</v>
      </c>
      <c r="AI173" s="55">
        <f>IFERROR(IF(AH172=0,"",AI172/AH172-1),"")</f>
        <v>-0.00146198830409361</v>
      </c>
      <c r="AJ173" s="55">
        <f>IFERROR(IF(AI172=0,"",AJ172/AI172-1),"")</f>
        <v>0</v>
      </c>
      <c r="AK173" s="55">
        <f>IFERROR(IF(AJ172=0,"",AK172/AJ172-1),"")</f>
        <v>0</v>
      </c>
      <c r="AL173" s="12">
        <f>IFERROR(IF(AK172=0,"",AL172/AK172-1),"")</f>
        <v>0</v>
      </c>
      <c r="AM173" s="55">
        <f>IFERROR(IF(AL172=0,"",AM172/AL172-1),"")</f>
        <v>0</v>
      </c>
      <c r="AN173" s="55">
        <f>IFERROR(IF(AM172=0,"",AN172/AM172-1),"")</f>
        <v>0</v>
      </c>
      <c r="AO173" s="55">
        <f>IFERROR(IF(AN172=0,"",AO172/AN172-1),"")</f>
        <v>0</v>
      </c>
      <c r="AP173" s="55">
        <f>IFERROR(IF(AO172=0,"",AP172/AO172-1),"")</f>
        <v>0</v>
      </c>
      <c r="AQ173" s="12">
        <f>IFERROR(IF(AP172=0,"",AQ172/AP172-1),"")</f>
        <v>0</v>
      </c>
      <c r="AR173" s="55">
        <f>IFERROR(IF(AQ172=0,"",AR172/AQ172-1),"")</f>
        <v>0</v>
      </c>
      <c r="AS173" s="55">
        <f>IFERROR(IF(AR172=0,"",AS172/AR172-1),"")</f>
        <v>0</v>
      </c>
      <c r="AT173" s="55">
        <f>IFERROR(IF(AS172=0,"",AT172/AS172-1),"")</f>
        <v>0</v>
      </c>
      <c r="AU173" s="55">
        <f>IFERROR(IF(AT172=0,"",AU172/AT172-1),"")</f>
        <v>0</v>
      </c>
      <c r="AV173" s="12">
        <f>IFERROR(IF(AU172=0,"",AV172/AU172-1),"")</f>
        <v>0</v>
      </c>
      <c r="AW173" s="55">
        <f>IFERROR(IF(AV172=0,"",AW172/AV172-1),"")</f>
        <v>0</v>
      </c>
      <c r="AX173" s="55">
        <f>IFERROR(IF(AW172=0,"",AX172/AW172-1),"")</f>
        <v>0</v>
      </c>
      <c r="AY173" s="55">
        <f>IFERROR(IF(AX172=0,"",AY172/AX172-1),"")</f>
        <v>0</v>
      </c>
      <c r="AZ173" s="55">
        <f>IFERROR(IF(AY172=0,"",AZ172/AY172-1),"")</f>
        <v>0</v>
      </c>
      <c r="BA173" s="12">
        <f>IFERROR(IF(AZ172=0,"",BA172/AZ172-1),"")</f>
        <v>0</v>
      </c>
      <c r="BB173" s="55">
        <f>IFERROR(IF(BA172=0,"",BB172/BA172-1),"")</f>
        <v>0</v>
      </c>
      <c r="BC173" s="55">
        <f>IFERROR(IF(BB172=0,"",BC172/BB172-1),"")</f>
        <v>0</v>
      </c>
      <c r="BD173" s="55">
        <f>IFERROR(IF(BC172=0,"",BD172/BC172-1),"")</f>
        <v>0</v>
      </c>
      <c r="BE173" s="55">
        <f>IFERROR(IF(BD172=0,"",BE172/BD172-1),"")</f>
        <v>0</v>
      </c>
      <c r="BF173" s="12">
        <f>IFERROR(IF(BE172=0,"",BF172/BE172-1),"")</f>
        <v>0</v>
      </c>
      <c r="BG173" s="55" t="n"/>
      <c r="BH173" s="55" t="n"/>
      <c r="BI173" s="55" t="n"/>
      <c r="BJ173" s="55" t="n"/>
      <c r="BK173" s="12" t="n"/>
      <c r="BL173" s="55" t="n"/>
      <c r="BM173" s="55" t="n"/>
      <c r="BN173" s="55" t="n"/>
      <c r="BO173" s="55" t="n"/>
      <c r="BP173" s="12" t="n"/>
      <c r="BQ173" s="55" t="n"/>
      <c r="BR173" s="55" t="n"/>
      <c r="BS173" s="55" t="n"/>
      <c r="BT173" s="55" t="n"/>
      <c r="BU173" s="12" t="n"/>
      <c r="BV173" s="55" t="n"/>
      <c r="BW173" s="55" t="n"/>
      <c r="BX173" s="55" t="n"/>
      <c r="BY173" s="55" t="n"/>
      <c r="BZ173" s="12" t="n"/>
      <c r="CA173" s="55" t="n"/>
      <c r="CB173" s="55" t="n"/>
      <c r="CC173" s="55" t="n"/>
      <c r="CD173" s="55" t="n"/>
      <c r="CE173" s="12" t="n"/>
      <c r="CF173" s="55" t="n"/>
      <c r="CG173" s="55" t="n"/>
      <c r="CH173" s="55" t="n"/>
      <c r="CI173" s="55" t="n"/>
      <c r="CJ173" s="12" t="n"/>
      <c r="CK173" s="55" t="n"/>
      <c r="CL173" s="55" t="n"/>
      <c r="CM173" s="55" t="n"/>
      <c r="CN173" s="55" t="n"/>
      <c r="CO173" s="12" t="n"/>
      <c r="CP173" s="55" t="n"/>
      <c r="CQ173" s="55" t="n"/>
      <c r="CR173" s="55" t="n"/>
      <c r="CS173" s="55" t="n"/>
      <c r="CT173" s="12" t="n"/>
      <c r="CU173" s="55" t="n"/>
      <c r="CV173" s="55" t="n"/>
      <c r="CW173" s="55" t="n"/>
      <c r="CX173" s="55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collapsed="1">
      <c r="C175" s="14" t="inlineStr">
        <is>
          <t>Goodwill</t>
        </is>
      </c>
      <c r="D175" s="46" t="n"/>
      <c r="E175" s="46" t="n"/>
      <c r="F175" s="46" t="n"/>
      <c r="G175" s="46" t="n"/>
      <c r="H175" s="12" t="n"/>
      <c r="I175" s="46">
        <f>'Inputs (2)'!D24</f>
        <v>1228</v>
      </c>
      <c r="J175" s="46">
        <f>'Inputs (2)'!E24</f>
        <v>1228</v>
      </c>
      <c r="K175" s="46">
        <f>'Inputs (2)'!F24</f>
        <v>1228</v>
      </c>
      <c r="L175" s="46">
        <f>'Inputs (2)'!G24</f>
        <v>1228</v>
      </c>
      <c r="M175" s="12">
        <f>'Inputs (2)'!H24</f>
        <v>1228</v>
      </c>
      <c r="N175" s="46">
        <f>'Inputs (2)'!I24</f>
        <v>1228</v>
      </c>
      <c r="O175" s="46">
        <f>'Inputs (2)'!J24</f>
        <v>1228</v>
      </c>
      <c r="P175" s="46">
        <f>'Inputs (2)'!K24</f>
        <v>1228</v>
      </c>
      <c r="Q175" s="46">
        <f>'Inputs (2)'!L24</f>
        <v>1228</v>
      </c>
      <c r="R175" s="12">
        <f>'Inputs (2)'!M24</f>
        <v>1228</v>
      </c>
      <c r="S175" s="46">
        <f>'Inputs (2)'!N24</f>
        <v>1228</v>
      </c>
      <c r="T175" s="46">
        <f>'Inputs (2)'!O24</f>
        <v>1252</v>
      </c>
      <c r="U175" s="46">
        <f>'Inputs (2)'!P24</f>
        <v>1150</v>
      </c>
      <c r="V175" s="46">
        <f>'Inputs (2)'!Q24</f>
        <v>1150</v>
      </c>
      <c r="W175" s="12">
        <f>'Inputs (2)'!R24</f>
        <v>1150</v>
      </c>
      <c r="X175" s="46">
        <f>'Inputs (2)'!S24</f>
        <v>1150</v>
      </c>
      <c r="Y175" s="46">
        <f>'Inputs (2)'!T24</f>
        <v>1150</v>
      </c>
      <c r="Z175" s="46">
        <f>'Inputs (2)'!U24</f>
        <v>1150</v>
      </c>
      <c r="AA175" s="46">
        <f>'Inputs (2)'!V24</f>
        <v>1150</v>
      </c>
      <c r="AB175" s="12">
        <f>'Inputs (2)'!W24</f>
        <v>1150</v>
      </c>
      <c r="AC175" s="46">
        <f>'Inputs (2)'!X24</f>
        <v>1150</v>
      </c>
      <c r="AD175" s="46">
        <f>'Inputs (2)'!Y24</f>
        <v>1150</v>
      </c>
      <c r="AE175" s="46">
        <f>'Inputs (2)'!Z24</f>
        <v>1150</v>
      </c>
      <c r="AF175" s="46">
        <f>'Inputs (2)'!AA24</f>
        <v>1150</v>
      </c>
      <c r="AG175" s="12">
        <f>'Inputs (2)'!AB24</f>
        <v>1150</v>
      </c>
      <c r="AH175" s="12">
        <f>'Inputs (2)'!AC24</f>
        <v>1150</v>
      </c>
      <c r="AI175" s="12">
        <f>'Inputs (2)'!AD24</f>
        <v>1150</v>
      </c>
      <c r="AJ175" s="12">
        <f>AI175</f>
        <v>1150</v>
      </c>
      <c r="AK175" s="12">
        <f>AJ175</f>
        <v>1150</v>
      </c>
      <c r="AL175" s="12">
        <f>AK175</f>
        <v>1150</v>
      </c>
      <c r="AM175" s="12">
        <f>AL175</f>
        <v>1150</v>
      </c>
      <c r="AN175" s="12">
        <f>AM175</f>
        <v>1150</v>
      </c>
      <c r="AO175" s="12">
        <f>AN175</f>
        <v>1150</v>
      </c>
      <c r="AP175" s="12">
        <f>AO175</f>
        <v>1150</v>
      </c>
      <c r="AQ175" s="12">
        <f>AP175</f>
        <v>1150</v>
      </c>
      <c r="AR175" s="12">
        <f>AQ175</f>
        <v>1150</v>
      </c>
      <c r="AS175" s="12">
        <f>AR175</f>
        <v>1150</v>
      </c>
      <c r="AT175" s="12">
        <f>AS175</f>
        <v>1150</v>
      </c>
      <c r="AU175" s="12">
        <f>AT175</f>
        <v>1150</v>
      </c>
      <c r="AV175" s="12">
        <f>AU175</f>
        <v>1150</v>
      </c>
      <c r="AW175" s="12">
        <f>AV175</f>
        <v>1150</v>
      </c>
      <c r="AX175" s="12">
        <f>AW175</f>
        <v>1150</v>
      </c>
      <c r="AY175" s="12">
        <f>AX175</f>
        <v>1150</v>
      </c>
      <c r="AZ175" s="12">
        <f>AY175</f>
        <v>1150</v>
      </c>
      <c r="BA175" s="12">
        <f>AZ175</f>
        <v>1150</v>
      </c>
      <c r="BB175" s="12">
        <f>BA175</f>
        <v>1150</v>
      </c>
      <c r="BC175" s="12">
        <f>BB175</f>
        <v>1150</v>
      </c>
      <c r="BD175" s="12">
        <f>BC175</f>
        <v>1150</v>
      </c>
      <c r="BE175" s="12">
        <f>BD175</f>
        <v>1150</v>
      </c>
      <c r="BF175" s="12">
        <f>BE175</f>
        <v>1150</v>
      </c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>
      <c r="C176" s="14" t="inlineStr">
        <is>
          <t>Intangibles</t>
        </is>
      </c>
      <c r="D176" s="46" t="n"/>
      <c r="E176" s="46" t="n"/>
      <c r="F176" s="46" t="n"/>
      <c r="G176" s="46" t="n"/>
      <c r="H176" s="12" t="n"/>
      <c r="I176" s="46">
        <f>'Inputs (2)'!D25</f>
        <v>342</v>
      </c>
      <c r="J176" s="46">
        <f>'Inputs (2)'!E25</f>
        <v>350</v>
      </c>
      <c r="K176" s="46">
        <f>'Inputs (2)'!F25</f>
        <v>349</v>
      </c>
      <c r="L176" s="46">
        <f>'Inputs (2)'!G25</f>
        <v>347</v>
      </c>
      <c r="M176" s="12">
        <f>'Inputs (2)'!H25</f>
        <v>347</v>
      </c>
      <c r="N176" s="46">
        <f>'Inputs (2)'!I25</f>
        <v>414</v>
      </c>
      <c r="O176" s="46">
        <f>'Inputs (2)'!J25</f>
        <v>415</v>
      </c>
      <c r="P176" s="46">
        <f>'Inputs (2)'!K25</f>
        <v>421</v>
      </c>
      <c r="Q176" s="46">
        <f>'Inputs (2)'!L25</f>
        <v>428</v>
      </c>
      <c r="R176" s="12">
        <f>'Inputs (2)'!M25</f>
        <v>428</v>
      </c>
      <c r="S176" s="46">
        <f>'Inputs (2)'!N25</f>
        <v>410</v>
      </c>
      <c r="T176" s="46">
        <f>'Inputs (2)'!O25</f>
        <v>410</v>
      </c>
      <c r="U176" s="46">
        <f>'Inputs (2)'!P25</f>
        <v>404</v>
      </c>
      <c r="V176" s="46">
        <f>'Inputs (2)'!Q25</f>
        <v>416</v>
      </c>
      <c r="W176" s="12">
        <f>'Inputs (2)'!R25</f>
        <v>416</v>
      </c>
      <c r="X176" s="46">
        <f>'Inputs (2)'!S25</f>
        <v>414</v>
      </c>
      <c r="Y176" s="46">
        <f>'Inputs (2)'!T25</f>
        <v>413</v>
      </c>
      <c r="Z176" s="46">
        <f>'Inputs (2)'!U25</f>
        <v>416</v>
      </c>
      <c r="AA176" s="46">
        <f>'Inputs (2)'!V25</f>
        <v>419</v>
      </c>
      <c r="AB176" s="12">
        <f>'Inputs (2)'!W25</f>
        <v>419</v>
      </c>
      <c r="AC176" s="46">
        <f>'Inputs (2)'!X25</f>
        <v>423</v>
      </c>
      <c r="AD176" s="46">
        <f>'Inputs (2)'!Y25</f>
        <v>426</v>
      </c>
      <c r="AE176" s="46">
        <f>'Inputs (2)'!Z25</f>
        <v>453</v>
      </c>
      <c r="AF176" s="46">
        <f>'Inputs (2)'!AA25</f>
        <v>465</v>
      </c>
      <c r="AG176" s="12">
        <f>'Inputs (2)'!AB25</f>
        <v>465</v>
      </c>
      <c r="AH176" s="12">
        <f>'Inputs (2)'!AC25</f>
        <v>468</v>
      </c>
      <c r="AI176" s="12">
        <f>'Inputs (2)'!AD25</f>
        <v>473</v>
      </c>
      <c r="AJ176" s="12">
        <f>AI176</f>
        <v>473</v>
      </c>
      <c r="AK176" s="12">
        <f>AJ176</f>
        <v>473</v>
      </c>
      <c r="AL176" s="12">
        <f>AK176</f>
        <v>473</v>
      </c>
      <c r="AM176" s="16">
        <f>AL176</f>
        <v>473</v>
      </c>
      <c r="AN176" s="12">
        <f>AM176</f>
        <v>473</v>
      </c>
      <c r="AO176" s="12">
        <f>AN176</f>
        <v>473</v>
      </c>
      <c r="AP176" s="12">
        <f>AO176</f>
        <v>473</v>
      </c>
      <c r="AQ176" s="12">
        <f>AP176</f>
        <v>473</v>
      </c>
      <c r="AR176" s="16">
        <f>AQ176</f>
        <v>473</v>
      </c>
      <c r="AS176" s="12">
        <f>AR176</f>
        <v>473</v>
      </c>
      <c r="AT176" s="12">
        <f>AS176</f>
        <v>473</v>
      </c>
      <c r="AU176" s="12">
        <f>AT176</f>
        <v>473</v>
      </c>
      <c r="AV176" s="12">
        <f>AU176</f>
        <v>473</v>
      </c>
      <c r="AW176" s="16">
        <f>AV176</f>
        <v>473</v>
      </c>
      <c r="AX176" s="12">
        <f>AW176</f>
        <v>473</v>
      </c>
      <c r="AY176" s="12">
        <f>AX176</f>
        <v>473</v>
      </c>
      <c r="AZ176" s="12">
        <f>AY176</f>
        <v>473</v>
      </c>
      <c r="BA176" s="12">
        <f>AZ176</f>
        <v>473</v>
      </c>
      <c r="BB176" s="16">
        <f>BA176</f>
        <v>473</v>
      </c>
      <c r="BC176" s="12">
        <f>BB176</f>
        <v>473</v>
      </c>
      <c r="BD176" s="12">
        <f>BC176</f>
        <v>473</v>
      </c>
      <c r="BE176" s="12">
        <f>BD176</f>
        <v>473</v>
      </c>
      <c r="BF176" s="12">
        <f>BE176</f>
        <v>473</v>
      </c>
      <c r="BH176" s="12" t="n"/>
      <c r="BI176" s="12" t="n"/>
      <c r="BJ176" s="12" t="n"/>
      <c r="BK176" s="12" t="n"/>
      <c r="BM176" s="12" t="n"/>
      <c r="BN176" s="12" t="n"/>
      <c r="BO176" s="12" t="n"/>
      <c r="BP176" s="12" t="n"/>
      <c r="BR176" s="12" t="n"/>
      <c r="BS176" s="12" t="n"/>
      <c r="BT176" s="12" t="n"/>
      <c r="BU176" s="12" t="n"/>
      <c r="BW176" s="12" t="n"/>
      <c r="BX176" s="12" t="n"/>
      <c r="BY176" s="12" t="n"/>
      <c r="BZ176" s="12" t="n"/>
      <c r="CB176" s="12" t="n"/>
      <c r="CC176" s="12" t="n"/>
      <c r="CD176" s="12" t="n"/>
      <c r="CE176" s="12" t="n"/>
      <c r="CG176" s="12" t="n"/>
      <c r="CH176" s="12" t="n"/>
      <c r="CI176" s="12" t="n"/>
      <c r="CJ176" s="12" t="n"/>
      <c r="CL176" s="12" t="n"/>
      <c r="CM176" s="12" t="n"/>
      <c r="CN176" s="12" t="n"/>
      <c r="CO176" s="12" t="n"/>
      <c r="CQ176" s="12" t="n"/>
      <c r="CR176" s="12" t="n"/>
      <c r="CS176" s="12" t="n"/>
      <c r="CT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Purchase of intangible assets</t>
        </is>
      </c>
      <c r="D178" s="12" t="n"/>
      <c r="E178" s="12" t="n"/>
      <c r="F178" s="12" t="n"/>
      <c r="G178" s="12" t="n"/>
      <c r="H178" s="12" t="n"/>
      <c r="I178" s="12" t="str">
        <f>IF(COUNT(H176)=0,"",I176-H176-I80)</f>
        <v/>
      </c>
      <c r="J178" s="12">
        <f>J176-I176-J80</f>
        <v>8</v>
      </c>
      <c r="K178" s="12">
        <f>K176-J176-K80</f>
        <v>-1</v>
      </c>
      <c r="L178" s="12">
        <f>L176-K176-L80</f>
        <v>-2</v>
      </c>
      <c r="M178" s="12" t="n"/>
      <c r="N178" s="12">
        <f>N176-M176-N80</f>
        <v>67</v>
      </c>
      <c r="O178" s="12">
        <f>O176-N176-O80</f>
        <v>1</v>
      </c>
      <c r="P178" s="12">
        <f>P176-O176-P80</f>
        <v>6</v>
      </c>
      <c r="Q178" s="12">
        <f>Q176-P176-Q80</f>
        <v>7</v>
      </c>
      <c r="R178" s="12" t="n"/>
      <c r="S178" s="12">
        <f>S176-R176-S80</f>
        <v>-18</v>
      </c>
      <c r="T178" s="12">
        <f>T176-S176-T80</f>
        <v>0</v>
      </c>
      <c r="U178" s="12">
        <f>U176-T176-U80</f>
        <v>-6</v>
      </c>
      <c r="V178" s="12">
        <f>V176-U176-V80</f>
        <v>12</v>
      </c>
      <c r="W178" s="12" t="n"/>
      <c r="X178" s="12">
        <f>X176-W176-X80</f>
        <v>-2</v>
      </c>
      <c r="Y178" s="12">
        <f>Y176-X176-Y80</f>
        <v>-1</v>
      </c>
      <c r="Z178" s="12">
        <f>Z176-Y176-Z80</f>
        <v>3</v>
      </c>
      <c r="AA178" s="12">
        <f>AA176-Z176-AA80</f>
        <v>3</v>
      </c>
      <c r="AB178" s="12" t="n"/>
      <c r="AC178" s="12">
        <f>AC176-AB176-AC80</f>
        <v>4</v>
      </c>
      <c r="AD178" s="12">
        <f>AD176-AC176-AD80</f>
        <v>3</v>
      </c>
      <c r="AE178" s="12">
        <f>AE176-AD176-AE80</f>
        <v>27</v>
      </c>
      <c r="AF178" s="12">
        <f>AF176-AE176-AF80</f>
        <v>12</v>
      </c>
      <c r="AG178" s="12" t="n"/>
      <c r="AH178" s="11">
        <f>AH176-AG176-AH80</f>
        <v>3</v>
      </c>
      <c r="AI178" s="11">
        <f>AI176-AH176-AI80</f>
        <v>5</v>
      </c>
      <c r="AJ178" s="11" t="n"/>
      <c r="AK178" s="11" t="n"/>
      <c r="AL178" s="12" t="n"/>
      <c r="AM178" s="11" t="n"/>
      <c r="AN178" s="11" t="n"/>
      <c r="AO178" s="11" t="n"/>
      <c r="AP178" s="11" t="n"/>
      <c r="AQ178" s="12" t="n"/>
      <c r="AR178" s="11" t="n"/>
      <c r="AS178" s="11" t="n"/>
      <c r="AT178" s="11" t="n"/>
      <c r="AU178" s="11" t="n"/>
      <c r="AV178" s="12" t="n"/>
      <c r="AW178" s="11" t="n"/>
      <c r="AX178" s="11" t="n"/>
      <c r="AY178" s="11" t="n"/>
      <c r="AZ178" s="11" t="n"/>
      <c r="BA178" s="12" t="n"/>
      <c r="BB178" s="11" t="n"/>
      <c r="BC178" s="11" t="n"/>
      <c r="BD178" s="11" t="n"/>
      <c r="BE178" s="11" t="n"/>
      <c r="BF178" s="12" t="n"/>
      <c r="BG178" s="11" t="n"/>
      <c r="BH178" s="11" t="n"/>
      <c r="BI178" s="11" t="n"/>
      <c r="BJ178" s="11" t="n"/>
      <c r="BK178" s="12" t="n"/>
      <c r="BL178" s="11" t="n"/>
      <c r="BM178" s="11" t="n"/>
      <c r="BN178" s="11" t="n"/>
      <c r="BO178" s="11" t="n"/>
      <c r="BP178" s="12" t="n"/>
      <c r="BQ178" s="11" t="n"/>
      <c r="BR178" s="11" t="n"/>
      <c r="BS178" s="11" t="n"/>
      <c r="BT178" s="11" t="n"/>
      <c r="BU178" s="12" t="n"/>
      <c r="BV178" s="11" t="n"/>
      <c r="BW178" s="11" t="n"/>
      <c r="BX178" s="11" t="n"/>
      <c r="BY178" s="11" t="n"/>
      <c r="BZ178" s="12" t="n"/>
      <c r="CA178" s="11" t="n"/>
      <c r="CB178" s="11" t="n"/>
      <c r="CC178" s="11" t="n"/>
      <c r="CD178" s="11" t="n"/>
      <c r="CE178" s="12" t="n"/>
      <c r="CF178" s="11" t="n"/>
      <c r="CG178" s="11" t="n"/>
      <c r="CH178" s="11" t="n"/>
      <c r="CI178" s="11" t="n"/>
      <c r="CJ178" s="12" t="n"/>
      <c r="CK178" s="11" t="n"/>
      <c r="CL178" s="11" t="n"/>
      <c r="CM178" s="11" t="n"/>
      <c r="CN178" s="11" t="n"/>
      <c r="CO178" s="12" t="n"/>
      <c r="CP178" s="11" t="n"/>
      <c r="CQ178" s="11" t="n"/>
      <c r="CR178" s="11" t="n"/>
      <c r="CS178" s="11" t="n"/>
      <c r="CT178" s="12" t="n"/>
      <c r="CU178" s="11" t="n"/>
      <c r="CV178" s="11" t="n"/>
      <c r="CW178" s="11" t="n"/>
      <c r="CX178" s="11" t="n"/>
      <c r="CY178" s="12" t="n"/>
    </row>
    <row r="179" hidden="1" outlineLevel="1">
      <c r="C179" s="57" t="inlineStr">
        <is>
          <t>Amortization (enter as -)</t>
        </is>
      </c>
      <c r="D179" s="12" t="n"/>
      <c r="E179" s="12" t="n"/>
      <c r="F179" s="12" t="n"/>
      <c r="G179" s="12" t="n"/>
      <c r="H179" s="12" t="n"/>
      <c r="I179" s="12">
        <f>I79</f>
        <v>0</v>
      </c>
      <c r="J179" s="12">
        <f>J79</f>
        <v>0</v>
      </c>
      <c r="K179" s="12">
        <f>K79</f>
        <v>0</v>
      </c>
      <c r="L179" s="12">
        <f>L79</f>
        <v>0</v>
      </c>
      <c r="M179" s="12" t="n"/>
      <c r="N179" s="12">
        <f>N79</f>
        <v>0</v>
      </c>
      <c r="O179" s="12">
        <f>O79</f>
        <v>0</v>
      </c>
      <c r="P179" s="12">
        <f>P79</f>
        <v>0</v>
      </c>
      <c r="Q179" s="12">
        <f>Q79</f>
        <v>0</v>
      </c>
      <c r="R179" s="12" t="n"/>
      <c r="S179" s="12">
        <f>S79</f>
        <v>0</v>
      </c>
      <c r="T179" s="12">
        <f>T79</f>
        <v>0</v>
      </c>
      <c r="U179" s="12">
        <f>U79</f>
        <v>0</v>
      </c>
      <c r="V179" s="12">
        <f>V79</f>
        <v>0</v>
      </c>
      <c r="W179" s="12" t="n"/>
      <c r="X179" s="12">
        <f>X79</f>
        <v>0</v>
      </c>
      <c r="Y179" s="12">
        <f>Y79</f>
        <v>0</v>
      </c>
      <c r="Z179" s="12">
        <f>Z79</f>
        <v>0</v>
      </c>
      <c r="AA179" s="12">
        <f>AA79</f>
        <v>0</v>
      </c>
      <c r="AB179" s="12" t="n"/>
      <c r="AC179" s="12">
        <f>AC79</f>
        <v>0</v>
      </c>
      <c r="AD179" s="12">
        <f>AD79</f>
        <v>0</v>
      </c>
      <c r="AE179" s="12">
        <f>AE79</f>
        <v>0</v>
      </c>
      <c r="AF179" s="12">
        <f>AF79</f>
        <v>0</v>
      </c>
      <c r="AG179" s="12" t="n"/>
      <c r="AH179" s="12">
        <f>AH79</f>
        <v>0</v>
      </c>
      <c r="AI179" s="11">
        <f>AI79</f>
        <v>0</v>
      </c>
      <c r="AJ179" s="11" t="n"/>
      <c r="AK179" s="11" t="n"/>
      <c r="AL179" s="12" t="n"/>
      <c r="AM179" s="11" t="n"/>
      <c r="AN179" s="11" t="n"/>
      <c r="AO179" s="11" t="n"/>
      <c r="AP179" s="11" t="n"/>
      <c r="AQ179" s="12" t="n"/>
      <c r="AR179" s="11" t="n"/>
      <c r="AS179" s="11" t="n"/>
      <c r="AT179" s="11" t="n"/>
      <c r="AU179" s="11" t="n"/>
      <c r="AV179" s="12" t="n"/>
      <c r="AW179" s="11" t="n"/>
      <c r="AX179" s="11" t="n"/>
      <c r="AY179" s="11" t="n"/>
      <c r="AZ179" s="11" t="n"/>
      <c r="BA179" s="12" t="n"/>
      <c r="BB179" s="11" t="n"/>
      <c r="BC179" s="11" t="n"/>
      <c r="BD179" s="11" t="n"/>
      <c r="BE179" s="11" t="n"/>
      <c r="BF179" s="12" t="n"/>
      <c r="BG179" s="11" t="n"/>
      <c r="BH179" s="11" t="n"/>
      <c r="BI179" s="11" t="n"/>
      <c r="BJ179" s="11" t="n"/>
      <c r="BK179" s="12" t="n"/>
      <c r="BL179" s="11" t="n"/>
      <c r="BM179" s="11" t="n"/>
      <c r="BN179" s="11" t="n"/>
      <c r="BO179" s="11" t="n"/>
      <c r="BP179" s="12" t="n"/>
      <c r="BQ179" s="11" t="n"/>
      <c r="BR179" s="11" t="n"/>
      <c r="BS179" s="11" t="n"/>
      <c r="BT179" s="11" t="n"/>
      <c r="BU179" s="12" t="n"/>
      <c r="BV179" s="11" t="n"/>
      <c r="BW179" s="11" t="n"/>
      <c r="BX179" s="11" t="n"/>
      <c r="BY179" s="11" t="n"/>
      <c r="BZ179" s="12" t="n"/>
      <c r="CA179" s="11" t="n"/>
      <c r="CB179" s="11" t="n"/>
      <c r="CC179" s="11" t="n"/>
      <c r="CD179" s="11" t="n"/>
      <c r="CE179" s="12" t="n"/>
      <c r="CF179" s="11" t="n"/>
      <c r="CG179" s="11" t="n"/>
      <c r="CH179" s="11" t="n"/>
      <c r="CI179" s="11" t="n"/>
      <c r="CJ179" s="12" t="n"/>
      <c r="CK179" s="11" t="n"/>
      <c r="CL179" s="11" t="n"/>
      <c r="CM179" s="11" t="n"/>
      <c r="CN179" s="11" t="n"/>
      <c r="CO179" s="12" t="n"/>
      <c r="CP179" s="11" t="n"/>
      <c r="CQ179" s="11" t="n"/>
      <c r="CR179" s="11" t="n"/>
      <c r="CS179" s="11" t="n"/>
      <c r="CT179" s="12" t="n"/>
      <c r="CU179" s="11" t="n"/>
      <c r="CV179" s="11" t="n"/>
      <c r="CW179" s="11" t="n"/>
      <c r="CX179" s="11" t="n"/>
      <c r="CY179" s="12" t="n"/>
    </row>
    <row r="180" hidden="1" outlineLevel="1">
      <c r="C180" s="57" t="inlineStr">
        <is>
          <t>Intangibles</t>
        </is>
      </c>
      <c r="D180" s="12" t="n"/>
      <c r="E180" s="12" t="n"/>
      <c r="F180" s="12" t="n"/>
      <c r="G180" s="12" t="n"/>
      <c r="H180" s="12" t="n"/>
      <c r="I180" s="12">
        <f>I176</f>
        <v>342</v>
      </c>
      <c r="J180" s="12">
        <f>J176</f>
        <v>350</v>
      </c>
      <c r="K180" s="12">
        <f>K176</f>
        <v>349</v>
      </c>
      <c r="L180" s="12">
        <f>L176</f>
        <v>347</v>
      </c>
      <c r="M180" s="12">
        <f>M176</f>
        <v>347</v>
      </c>
      <c r="N180" s="12">
        <f>N176</f>
        <v>414</v>
      </c>
      <c r="O180" s="12">
        <f>O176</f>
        <v>415</v>
      </c>
      <c r="P180" s="12">
        <f>P176</f>
        <v>421</v>
      </c>
      <c r="Q180" s="12">
        <f>Q176</f>
        <v>428</v>
      </c>
      <c r="R180" s="12">
        <f>R176</f>
        <v>428</v>
      </c>
      <c r="S180" s="12">
        <f>S176</f>
        <v>410</v>
      </c>
      <c r="T180" s="12">
        <f>T176</f>
        <v>410</v>
      </c>
      <c r="U180" s="12">
        <f>U176</f>
        <v>404</v>
      </c>
      <c r="V180" s="12">
        <f>V176</f>
        <v>416</v>
      </c>
      <c r="W180" s="12">
        <f>W176</f>
        <v>416</v>
      </c>
      <c r="X180" s="12">
        <f>X176</f>
        <v>414</v>
      </c>
      <c r="Y180" s="12">
        <f>Y176</f>
        <v>413</v>
      </c>
      <c r="Z180" s="12">
        <f>Z176</f>
        <v>416</v>
      </c>
      <c r="AA180" s="12">
        <f>AA176</f>
        <v>419</v>
      </c>
      <c r="AB180" s="12">
        <f>AB176</f>
        <v>419</v>
      </c>
      <c r="AC180" s="12">
        <f>AC176</f>
        <v>423</v>
      </c>
      <c r="AD180" s="12">
        <f>AD176</f>
        <v>426</v>
      </c>
      <c r="AE180" s="12">
        <f>AE176</f>
        <v>453</v>
      </c>
      <c r="AF180" s="12">
        <f>AF176</f>
        <v>465</v>
      </c>
      <c r="AG180" s="12">
        <f>AG176</f>
        <v>465</v>
      </c>
      <c r="AH180" s="12">
        <f>AH176</f>
        <v>468</v>
      </c>
      <c r="AI180" s="12">
        <f>AI176</f>
        <v>473</v>
      </c>
      <c r="AJ180" s="12">
        <f>AJ176</f>
        <v>473</v>
      </c>
      <c r="AK180" s="12">
        <f>AK176</f>
        <v>473</v>
      </c>
      <c r="AL180" s="12" t="n"/>
      <c r="AM180" s="12">
        <f>AM176</f>
        <v>473</v>
      </c>
      <c r="AN180" s="12">
        <f>AN176</f>
        <v>473</v>
      </c>
      <c r="AO180" s="12">
        <f>AO176</f>
        <v>473</v>
      </c>
      <c r="AP180" s="12">
        <f>AP176</f>
        <v>473</v>
      </c>
      <c r="AQ180" s="12" t="n"/>
      <c r="AR180" s="12">
        <f>AR176</f>
        <v>473</v>
      </c>
      <c r="AS180" s="12">
        <f>AS176</f>
        <v>473</v>
      </c>
      <c r="AT180" s="12">
        <f>AT176</f>
        <v>473</v>
      </c>
      <c r="AU180" s="12">
        <f>AU176</f>
        <v>473</v>
      </c>
      <c r="AV180" s="12" t="n"/>
      <c r="AW180" s="12">
        <f>AW176</f>
        <v>473</v>
      </c>
      <c r="AX180" s="12">
        <f>AX176</f>
        <v>473</v>
      </c>
      <c r="AY180" s="12">
        <f>AY176</f>
        <v>473</v>
      </c>
      <c r="AZ180" s="12">
        <f>AZ176</f>
        <v>473</v>
      </c>
      <c r="BA180" s="12" t="n"/>
      <c r="BB180" s="12">
        <f>BB176</f>
        <v>473</v>
      </c>
      <c r="BC180" s="12">
        <f>BC176</f>
        <v>473</v>
      </c>
      <c r="BD180" s="12">
        <f>BD176</f>
        <v>473</v>
      </c>
      <c r="BE180" s="12">
        <f>BE176</f>
        <v>473</v>
      </c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inlineStr">
        <is>
          <t>Definir % do D&amp;A No PPE and Intagibles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collapsed="1">
      <c r="C185" s="14" t="inlineStr">
        <is>
          <t>Other non-current assets</t>
        </is>
      </c>
      <c r="D185" s="46" t="n"/>
      <c r="E185" s="46" t="n"/>
      <c r="F185" s="46" t="n"/>
      <c r="G185" s="46" t="n"/>
      <c r="H185" s="12" t="n"/>
      <c r="I185" s="46">
        <f>'Inputs (2)'!D26</f>
        <v>2137</v>
      </c>
      <c r="J185" s="46">
        <f>'Inputs (2)'!E26</f>
        <v>2215</v>
      </c>
      <c r="K185" s="46">
        <f>'Inputs (2)'!F26</f>
        <v>2819</v>
      </c>
      <c r="L185" s="46">
        <f>'Inputs (2)'!G26</f>
        <v>3005</v>
      </c>
      <c r="M185" s="12">
        <f>'Inputs (2)'!H26</f>
        <v>3005</v>
      </c>
      <c r="N185" s="46">
        <f>'Inputs (2)'!I26</f>
        <v>3032</v>
      </c>
      <c r="O185" s="46">
        <f>'Inputs (2)'!J26</f>
        <v>2908</v>
      </c>
      <c r="P185" s="46">
        <f>'Inputs (2)'!K26</f>
        <v>2924</v>
      </c>
      <c r="Q185" s="46">
        <f>'Inputs (2)'!L26</f>
        <v>2597</v>
      </c>
      <c r="R185" s="12">
        <f>'Inputs (2)'!M26</f>
        <v>2597</v>
      </c>
      <c r="S185" s="46">
        <f>'Inputs (2)'!N26</f>
        <v>2529</v>
      </c>
      <c r="T185" s="46">
        <f>'Inputs (2)'!O26</f>
        <v>2194</v>
      </c>
      <c r="U185" s="46">
        <f>'Inputs (2)'!P26</f>
        <v>2106</v>
      </c>
      <c r="V185" s="46">
        <f>'Inputs (2)'!Q26</f>
        <v>2046</v>
      </c>
      <c r="W185" s="12">
        <f>'Inputs (2)'!R26</f>
        <v>2046</v>
      </c>
      <c r="X185" s="46">
        <f>'Inputs (2)'!S26</f>
        <v>1826</v>
      </c>
      <c r="Y185" s="46">
        <f>'Inputs (2)'!T26</f>
        <v>2190</v>
      </c>
      <c r="Z185" s="46">
        <f>'Inputs (2)'!U26</f>
        <v>2564</v>
      </c>
      <c r="AA185" s="46">
        <f>'Inputs (2)'!V26</f>
        <v>2827</v>
      </c>
      <c r="AB185" s="12">
        <f>'Inputs (2)'!W26</f>
        <v>2827</v>
      </c>
      <c r="AC185" s="46">
        <f>'Inputs (2)'!X26</f>
        <v>3074</v>
      </c>
      <c r="AD185" s="46">
        <f>'Inputs (2)'!Y26</f>
        <v>3018</v>
      </c>
      <c r="AE185" s="46">
        <f>'Inputs (2)'!Z26</f>
        <v>4412</v>
      </c>
      <c r="AF185" s="46">
        <f>'Inputs (2)'!AA26</f>
        <v>4873</v>
      </c>
      <c r="AG185" s="12">
        <f>'Inputs (2)'!AB26</f>
        <v>4873</v>
      </c>
      <c r="AH185" s="12">
        <f>'Inputs (2)'!AC26</f>
        <v>5706</v>
      </c>
      <c r="AI185" s="12">
        <f>'Inputs (2)'!AD26</f>
        <v>7943</v>
      </c>
      <c r="AJ185" s="12">
        <f>AI185</f>
        <v>7943</v>
      </c>
      <c r="AK185" s="12">
        <f>AJ185</f>
        <v>7943</v>
      </c>
      <c r="AL185" s="12">
        <f>AK185</f>
        <v>7943</v>
      </c>
      <c r="AM185" s="12">
        <f>AL185</f>
        <v>7943</v>
      </c>
      <c r="AN185" s="12">
        <f>AM185</f>
        <v>7943</v>
      </c>
      <c r="AO185" s="12">
        <f>AN185</f>
        <v>7943</v>
      </c>
      <c r="AP185" s="12">
        <f>AO185</f>
        <v>7943</v>
      </c>
      <c r="AQ185" s="12">
        <f>AP185</f>
        <v>7943</v>
      </c>
      <c r="AR185" s="12">
        <f>AQ185</f>
        <v>7943</v>
      </c>
      <c r="AS185" s="12">
        <f>AR185</f>
        <v>7943</v>
      </c>
      <c r="AT185" s="12">
        <f>AS185</f>
        <v>7943</v>
      </c>
      <c r="AU185" s="12">
        <f>AT185</f>
        <v>7943</v>
      </c>
      <c r="AV185" s="12">
        <f>AU185</f>
        <v>7943</v>
      </c>
      <c r="AW185" s="12">
        <f>AV185</f>
        <v>7943</v>
      </c>
      <c r="AX185" s="12">
        <f>AW185</f>
        <v>7943</v>
      </c>
      <c r="AY185" s="12">
        <f>AX185</f>
        <v>7943</v>
      </c>
      <c r="AZ185" s="12">
        <f>AY185</f>
        <v>7943</v>
      </c>
      <c r="BA185" s="12">
        <f>AZ185</f>
        <v>7943</v>
      </c>
      <c r="BB185" s="12">
        <f>BA185</f>
        <v>7943</v>
      </c>
      <c r="BC185" s="12">
        <f>BB185</f>
        <v>7943</v>
      </c>
      <c r="BD185" s="12">
        <f>BC185</f>
        <v>7943</v>
      </c>
      <c r="BE185" s="12">
        <f>BD185</f>
        <v>7943</v>
      </c>
      <c r="BF185" s="12">
        <f>BE185</f>
        <v>7943</v>
      </c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9" t="inlineStr">
        <is>
          <t>%(Var.)</t>
        </is>
      </c>
      <c r="D186" s="12" t="n"/>
      <c r="E186" s="40" t="n"/>
      <c r="F186" s="40" t="n"/>
      <c r="G186" s="40" t="n"/>
      <c r="H186" s="12" t="n"/>
      <c r="I186" s="40" t="str">
        <f>""</f>
        <v/>
      </c>
      <c r="J186" s="40">
        <f>IF(I185=0,"",J185/I185-1)</f>
        <v>0.0364997660271409</v>
      </c>
      <c r="K186" s="40">
        <f>IF(J185=0,"",K185/J185-1)</f>
        <v>0.272686230248307</v>
      </c>
      <c r="L186" s="40">
        <f>IF(K185=0,"",L185/K185-1)</f>
        <v>0.0659808442710181</v>
      </c>
      <c r="M186" s="12">
        <f>IF(L185=0,"",M185/L185-1)</f>
        <v>0</v>
      </c>
      <c r="N186" s="40">
        <f>IF(M185=0,"",N185/M185-1)</f>
        <v>0.0089850249584027</v>
      </c>
      <c r="O186" s="40">
        <f>IF(N185=0,"",O185/N185-1)</f>
        <v>-0.0408970976253298</v>
      </c>
      <c r="P186" s="40">
        <f>IF(O185=0,"",P185/O185-1)</f>
        <v>0.00550206327372771</v>
      </c>
      <c r="Q186" s="40">
        <f>IF(P185=0,"",Q185/P185-1)</f>
        <v>-0.111833105335157</v>
      </c>
      <c r="R186" s="12">
        <f>IF(Q185=0,"",R185/Q185-1)</f>
        <v>0</v>
      </c>
      <c r="S186" s="40">
        <f>IF(R185=0,"",S185/R185-1)</f>
        <v>-0.026184058529072</v>
      </c>
      <c r="T186" s="40">
        <f>IF(S185=0,"",T185/S185-1)</f>
        <v>-0.132463424278371</v>
      </c>
      <c r="U186" s="40">
        <f>IF(T185=0,"",U185/T185-1)</f>
        <v>-0.040109389243391</v>
      </c>
      <c r="V186" s="40">
        <f>IF(U185=0,"",V185/U185-1)</f>
        <v>-0.0284900284900285</v>
      </c>
      <c r="W186" s="12">
        <f>IF(V185=0,"",W185/V185-1)</f>
        <v>0</v>
      </c>
      <c r="X186" s="40">
        <f>IF(W185=0,"",X185/W185-1)</f>
        <v>-0.10752688172043</v>
      </c>
      <c r="Y186" s="40">
        <f>IF(X185=0,"",Y185/X185-1)</f>
        <v>0.19934282584885</v>
      </c>
      <c r="Z186" s="40">
        <f>IF(Y185=0,"",Z185/Y185-1)</f>
        <v>0.170776255707763</v>
      </c>
      <c r="AA186" s="40">
        <f>IF(Z185=0,"",AA185/Z185-1)</f>
        <v>0.102574102964119</v>
      </c>
      <c r="AB186" s="12">
        <f>IF(AA185=0,"",AB185/AA185-1)</f>
        <v>0</v>
      </c>
      <c r="AC186" s="40">
        <f>IF(AB185=0,"",AC185/AB185-1)</f>
        <v>0.0873717721966749</v>
      </c>
      <c r="AD186" s="40">
        <f>IF(AC185=0,"",AD185/AC185-1)</f>
        <v>-0.0182173064411191</v>
      </c>
      <c r="AE186" s="40">
        <f>IF(AD185=0,"",AE185/AD185-1)</f>
        <v>0.461895294897283</v>
      </c>
      <c r="AF186" s="55">
        <f>IF(AE185=0,"",AF185/AE185-1)</f>
        <v>0.104487760652765</v>
      </c>
      <c r="AG186" s="12">
        <f>IF(AF185=0,"",AG185/AF185-1)</f>
        <v>0</v>
      </c>
      <c r="AH186" s="55">
        <f>IF(AG185=0,"",AH185/AG185-1)</f>
        <v>0.170941924892263</v>
      </c>
      <c r="AI186" s="55">
        <f>IF(AH185=0,"",AI185/AH185-1)</f>
        <v>0.392043463021381</v>
      </c>
      <c r="AJ186" s="55">
        <f>IF(AI185=0,"",AJ185/AI185-1)</f>
        <v>0</v>
      </c>
      <c r="AK186" s="55">
        <f>IF(AJ185=0,"",AK185/AJ185-1)</f>
        <v>0</v>
      </c>
      <c r="AL186" s="12">
        <f>IF(AK185=0,"",AL185/AK185-1)</f>
        <v>0</v>
      </c>
      <c r="AM186" s="55">
        <f>IF(AL185=0,"",AM185/AL185-1)</f>
        <v>0</v>
      </c>
      <c r="AN186" s="55">
        <f>IF(AM185=0,"",AN185/AM185-1)</f>
        <v>0</v>
      </c>
      <c r="AO186" s="55">
        <f>IF(AN185=0,"",AO185/AN185-1)</f>
        <v>0</v>
      </c>
      <c r="AP186" s="55">
        <f>IF(AO185=0,"",AP185/AO185-1)</f>
        <v>0</v>
      </c>
      <c r="AQ186" s="12">
        <f>IF(AP185=0,"",AQ185/AP185-1)</f>
        <v>0</v>
      </c>
      <c r="AR186" s="55">
        <f>IF(AQ185=0,"",AR185/AQ185-1)</f>
        <v>0</v>
      </c>
      <c r="AS186" s="55">
        <f>IF(AR185=0,"",AS185/AR185-1)</f>
        <v>0</v>
      </c>
      <c r="AT186" s="55">
        <f>IF(AS185=0,"",AT185/AS185-1)</f>
        <v>0</v>
      </c>
      <c r="AU186" s="55">
        <f>IF(AT185=0,"",AU185/AT185-1)</f>
        <v>0</v>
      </c>
      <c r="AV186" s="12">
        <f>IF(AU185=0,"",AV185/AU185-1)</f>
        <v>0</v>
      </c>
      <c r="AW186" s="55">
        <f>IF(AV185=0,"",AW185/AV185-1)</f>
        <v>0</v>
      </c>
      <c r="AX186" s="55">
        <f>IF(AW185=0,"",AX185/AW185-1)</f>
        <v>0</v>
      </c>
      <c r="AY186" s="55">
        <f>IF(AX185=0,"",AY185/AX185-1)</f>
        <v>0</v>
      </c>
      <c r="AZ186" s="55">
        <f>IF(AY185=0,"",AZ185/AY185-1)</f>
        <v>0</v>
      </c>
      <c r="BA186" s="12">
        <f>IF(AZ185=0,"",BA185/AZ185-1)</f>
        <v>0</v>
      </c>
      <c r="BB186" s="55">
        <f>IF(BA185=0,"",BB185/BA185-1)</f>
        <v>0</v>
      </c>
      <c r="BC186" s="55">
        <f>IF(BB185=0,"",BC185/BB185-1)</f>
        <v>0</v>
      </c>
      <c r="BD186" s="55">
        <f>IF(BC185=0,"",BD185/BC185-1)</f>
        <v>0</v>
      </c>
      <c r="BE186" s="55">
        <f>IF(BD185=0,"",BE185/BD185-1)</f>
        <v>0</v>
      </c>
      <c r="BF186" s="12">
        <f>IF(BE185=0,"",BF185/BE185-1)</f>
        <v>0</v>
      </c>
      <c r="BG186" s="55" t="n"/>
      <c r="BH186" s="55" t="n"/>
      <c r="BI186" s="55" t="n"/>
      <c r="BJ186" s="55" t="n"/>
      <c r="BK186" s="12" t="n"/>
      <c r="BL186" s="55" t="n"/>
      <c r="BM186" s="55" t="n"/>
      <c r="BN186" s="55" t="n"/>
      <c r="BO186" s="55" t="n"/>
      <c r="BP186" s="12" t="n"/>
      <c r="BQ186" s="55" t="n"/>
      <c r="BR186" s="55" t="n"/>
      <c r="BS186" s="55" t="n"/>
      <c r="BT186" s="55" t="n"/>
      <c r="BU186" s="12" t="n"/>
      <c r="BV186" s="55" t="n"/>
      <c r="BW186" s="55" t="n"/>
      <c r="BX186" s="55" t="n"/>
      <c r="BY186" s="55" t="n"/>
      <c r="BZ186" s="12" t="n"/>
      <c r="CA186" s="55" t="n"/>
      <c r="CB186" s="55" t="n"/>
      <c r="CC186" s="55" t="n"/>
      <c r="CD186" s="55" t="n"/>
      <c r="CE186" s="12" t="n"/>
      <c r="CF186" s="55" t="n"/>
      <c r="CG186" s="55" t="n"/>
      <c r="CH186" s="55" t="n"/>
      <c r="CI186" s="55" t="n"/>
      <c r="CJ186" s="12" t="n"/>
      <c r="CK186" s="55" t="n"/>
      <c r="CL186" s="55" t="n"/>
      <c r="CM186" s="55" t="n"/>
      <c r="CN186" s="55" t="n"/>
      <c r="CO186" s="12" t="n"/>
      <c r="CP186" s="55" t="n"/>
      <c r="CQ186" s="55" t="n"/>
      <c r="CR186" s="55" t="n"/>
      <c r="CS186" s="55" t="n"/>
      <c r="CT186" s="12" t="n"/>
      <c r="CU186" s="55" t="n"/>
      <c r="CV186" s="55" t="n"/>
      <c r="CW186" s="55" t="n"/>
      <c r="CX186" s="55" t="n"/>
      <c r="CY186" s="12" t="n"/>
    </row>
    <row r="187" hidden="1" outlineLevel="1">
      <c r="C187" s="57" t="n"/>
      <c r="D187" s="12" t="n"/>
      <c r="E187" s="40" t="n"/>
      <c r="F187" s="40" t="n"/>
      <c r="G187" s="40" t="n"/>
      <c r="H187" s="12" t="n"/>
      <c r="I187" s="40" t="n"/>
      <c r="J187" s="40" t="n"/>
      <c r="K187" s="40" t="n"/>
      <c r="L187" s="40" t="n"/>
      <c r="M187" s="12" t="n"/>
      <c r="N187" s="40" t="n"/>
      <c r="O187" s="40" t="n"/>
      <c r="P187" s="40" t="n"/>
      <c r="Q187" s="40" t="n"/>
      <c r="R187" s="12" t="n"/>
      <c r="S187" s="40" t="n"/>
      <c r="T187" s="40" t="n"/>
      <c r="U187" s="40" t="n"/>
      <c r="V187" s="40" t="n"/>
      <c r="W187" s="12" t="n"/>
      <c r="X187" s="40" t="n"/>
      <c r="Y187" s="40" t="n"/>
      <c r="Z187" s="40" t="n"/>
      <c r="AA187" s="40" t="n"/>
      <c r="AB187" s="12" t="n"/>
      <c r="AC187" s="40" t="n"/>
      <c r="AD187" s="40" t="n"/>
      <c r="AE187" s="40" t="n"/>
      <c r="AF187" s="55" t="n"/>
      <c r="AG187" s="12" t="n"/>
      <c r="AH187" s="55" t="n"/>
      <c r="AI187" s="55" t="n"/>
      <c r="AJ187" s="55" t="n"/>
      <c r="AK187" s="55" t="n"/>
      <c r="AL187" s="12" t="n"/>
      <c r="AM187" s="55" t="n"/>
      <c r="AN187" s="55" t="n"/>
      <c r="AO187" s="55" t="n"/>
      <c r="AP187" s="55" t="n"/>
      <c r="AQ187" s="12" t="n"/>
      <c r="AR187" s="55" t="n"/>
      <c r="AS187" s="55" t="n"/>
      <c r="AT187" s="55" t="n"/>
      <c r="AU187" s="55" t="n"/>
      <c r="AV187" s="12" t="n"/>
      <c r="AW187" s="55" t="n"/>
      <c r="AX187" s="55" t="n"/>
      <c r="AY187" s="55" t="n"/>
      <c r="AZ187" s="55" t="n"/>
      <c r="BA187" s="12" t="n"/>
      <c r="BB187" s="55" t="n"/>
      <c r="BC187" s="55" t="n"/>
      <c r="BD187" s="55" t="n"/>
      <c r="BE187" s="55" t="n"/>
      <c r="BF187" s="12" t="n"/>
      <c r="BG187" s="55" t="n"/>
      <c r="BH187" s="55" t="n"/>
      <c r="BI187" s="55" t="n"/>
      <c r="BJ187" s="55" t="n"/>
      <c r="BK187" s="12" t="n"/>
      <c r="BL187" s="55" t="n"/>
      <c r="BM187" s="55" t="n"/>
      <c r="BN187" s="55" t="n"/>
      <c r="BO187" s="55" t="n"/>
      <c r="BP187" s="12" t="n"/>
      <c r="BQ187" s="55" t="n"/>
      <c r="BR187" s="55" t="n"/>
      <c r="BS187" s="55" t="n"/>
      <c r="BT187" s="55" t="n"/>
      <c r="BU187" s="12" t="n"/>
      <c r="BV187" s="55" t="n"/>
      <c r="BW187" s="55" t="n"/>
      <c r="BX187" s="55" t="n"/>
      <c r="BY187" s="55" t="n"/>
      <c r="BZ187" s="12" t="n"/>
      <c r="CA187" s="55" t="n"/>
      <c r="CB187" s="55" t="n"/>
      <c r="CC187" s="55" t="n"/>
      <c r="CD187" s="55" t="n"/>
      <c r="CE187" s="12" t="n"/>
      <c r="CF187" s="55" t="n"/>
      <c r="CG187" s="55" t="n"/>
      <c r="CH187" s="55" t="n"/>
      <c r="CI187" s="55" t="n"/>
      <c r="CJ187" s="12" t="n"/>
      <c r="CK187" s="55" t="n"/>
      <c r="CL187" s="55" t="n"/>
      <c r="CM187" s="55" t="n"/>
      <c r="CN187" s="55" t="n"/>
      <c r="CO187" s="12" t="n"/>
      <c r="CP187" s="55" t="n"/>
      <c r="CQ187" s="55" t="n"/>
      <c r="CR187" s="55" t="n"/>
      <c r="CS187" s="55" t="n"/>
      <c r="CT187" s="12" t="n"/>
      <c r="CU187" s="55" t="n"/>
      <c r="CV187" s="55" t="n"/>
      <c r="CW187" s="55" t="n"/>
      <c r="CX187" s="55" t="n"/>
      <c r="CY187" s="12" t="n"/>
    </row>
    <row r="188" hidden="1" outlineLevel="1">
      <c r="C188" s="60" t="inlineStr">
        <is>
          <t>Outros Créditos - LP</t>
        </is>
      </c>
      <c r="D188" s="11" t="n"/>
      <c r="E188" s="11" t="n"/>
      <c r="F188" s="11" t="n"/>
      <c r="G188" s="11" t="n"/>
      <c r="H188" s="12" t="n"/>
      <c r="I188" s="11" t="n"/>
      <c r="J188" s="11" t="n"/>
      <c r="K188" s="11" t="n"/>
      <c r="L188" s="11" t="n"/>
      <c r="M188" s="12" t="n"/>
      <c r="N188" s="11" t="n"/>
      <c r="O188" s="11" t="n"/>
      <c r="P188" s="11" t="n"/>
      <c r="Q188" s="11" t="n"/>
      <c r="R188" s="12" t="n"/>
      <c r="S188" s="11" t="n"/>
      <c r="T188" s="11" t="n"/>
      <c r="U188" s="11" t="n"/>
      <c r="V188" s="11" t="n"/>
      <c r="W188" s="12" t="n"/>
      <c r="X188" s="11" t="n"/>
      <c r="Y188" s="11" t="n"/>
      <c r="Z188" s="11" t="n"/>
      <c r="AA188" s="11" t="n"/>
      <c r="AB188" s="12" t="n"/>
      <c r="AC188" s="11" t="n"/>
      <c r="AD188" s="11" t="n"/>
      <c r="AE188" s="11" t="n"/>
      <c r="AF188" s="11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60" t="inlineStr">
        <is>
          <t xml:space="preserve">Impostos e Contribuições a Recuperar </t>
        </is>
      </c>
      <c r="D189" s="11" t="n"/>
      <c r="E189" s="11" t="n"/>
      <c r="F189" s="11" t="n"/>
      <c r="G189" s="11" t="n"/>
      <c r="H189" s="12" t="n"/>
      <c r="I189" s="11" t="n"/>
      <c r="J189" s="11" t="n"/>
      <c r="K189" s="11" t="n"/>
      <c r="L189" s="11" t="n"/>
      <c r="M189" s="12" t="n"/>
      <c r="N189" s="11" t="n"/>
      <c r="O189" s="11" t="n"/>
      <c r="P189" s="11" t="n"/>
      <c r="Q189" s="11" t="n"/>
      <c r="R189" s="12" t="n"/>
      <c r="S189" s="11" t="n"/>
      <c r="T189" s="11" t="n"/>
      <c r="U189" s="11" t="n"/>
      <c r="V189" s="11" t="n"/>
      <c r="W189" s="12" t="n"/>
      <c r="X189" s="11" t="n"/>
      <c r="Y189" s="11" t="n"/>
      <c r="Z189" s="11" t="n"/>
      <c r="AA189" s="11" t="n"/>
      <c r="AB189" s="12" t="n"/>
      <c r="AC189" s="11" t="n"/>
      <c r="AD189" s="11" t="n"/>
      <c r="AE189" s="11" t="n"/>
      <c r="AF189" s="11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60" t="inlineStr">
        <is>
          <t xml:space="preserve">Imposto de Renda e Contribuição Social Diferidos </t>
        </is>
      </c>
      <c r="D190" s="11" t="n"/>
      <c r="E190" s="11" t="n"/>
      <c r="F190" s="11" t="n"/>
      <c r="G190" s="11" t="n"/>
      <c r="H190" s="12" t="n"/>
      <c r="I190" s="11" t="n"/>
      <c r="J190" s="11" t="n"/>
      <c r="K190" s="11" t="n"/>
      <c r="L190" s="11" t="n"/>
      <c r="M190" s="12" t="n"/>
      <c r="N190" s="11" t="n"/>
      <c r="O190" s="11" t="n"/>
      <c r="P190" s="11" t="n"/>
      <c r="Q190" s="11" t="n"/>
      <c r="R190" s="12" t="n"/>
      <c r="S190" s="11" t="n"/>
      <c r="T190" s="11" t="n"/>
      <c r="U190" s="11" t="n"/>
      <c r="V190" s="11" t="n"/>
      <c r="W190" s="12" t="n"/>
      <c r="X190" s="11" t="n"/>
      <c r="Y190" s="11" t="n"/>
      <c r="Z190" s="11" t="n"/>
      <c r="AA190" s="11" t="n"/>
      <c r="AB190" s="12" t="n"/>
      <c r="AC190" s="11" t="n"/>
      <c r="AD190" s="11" t="n"/>
      <c r="AE190" s="11" t="n"/>
      <c r="AF190" s="11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60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collapsed="1" customFormat="1" s="32">
      <c r="A193" s="30" t="n"/>
      <c r="B193" s="3" t="n"/>
      <c r="C193" s="33" t="inlineStr">
        <is>
          <t>Total Assets</t>
        </is>
      </c>
      <c r="D193" s="35" t="n"/>
      <c r="E193" s="35" t="n"/>
      <c r="F193" s="35" t="n"/>
      <c r="G193" s="35" t="n"/>
      <c r="H193" s="35" t="n"/>
      <c r="I193" s="35">
        <f>SUM(I140,I141,I145,I149,I150,I151,I157,I162,I172,I175,I176,I185)</f>
        <v>54135</v>
      </c>
      <c r="J193" s="35">
        <f>SUM(J140,J141,J145,J149,J150,J151,J157,J162,J172,J175,J176,J185)</f>
        <v>55943</v>
      </c>
      <c r="K193" s="35">
        <f>SUM(K140,K141,K145,K149,K150,K151,K157,K162,K172,K175,K176,K185)</f>
        <v>58849</v>
      </c>
      <c r="L193" s="35">
        <f>SUM(L140,L141,L145,L149,L150,L151,L157,L162,L172,L175,L176,L185)</f>
        <v>61246</v>
      </c>
      <c r="M193" s="35">
        <f>SUM(M140,M141,M145,M149,M150,M151,M157,M162,M172,M175,M176,M185)</f>
        <v>61246</v>
      </c>
      <c r="N193" s="35">
        <f>SUM(N140,N141,N145,N149,N150,N151,N157,N162,N172,N175,N176,N185)</f>
        <v>63696</v>
      </c>
      <c r="O193" s="35">
        <f>SUM(O140,O141,O145,O149,O150,O151,O157,O162,O172,O175,O176,O185)</f>
        <v>65296</v>
      </c>
      <c r="P193" s="35">
        <f>SUM(P140,P141,P145,P149,P150,P151,P157,P162,P172,P175,P176,P185)</f>
        <v>66283</v>
      </c>
      <c r="Q193" s="35">
        <f>SUM(Q140,Q141,Q145,Q149,Q150,Q151,Q157,Q162,Q172,Q175,Q176,Q185)</f>
        <v>67874</v>
      </c>
      <c r="R193" s="35">
        <f>SUM(R140,R141,R145,R149,R150,R151,R157,R162,R172,R175,R176,R185)</f>
        <v>67874</v>
      </c>
      <c r="S193" s="35">
        <f>SUM(S140,S141,S145,S149,S150,S151,S157,S162,S172,S175,S176,S185)</f>
        <v>66520</v>
      </c>
      <c r="T193" s="35">
        <f>SUM(T140,T141,T145,T149,T150,T151,T157,T162,T172,T175,T176,T185)</f>
        <v>65680</v>
      </c>
      <c r="U193" s="35">
        <f>SUM(U140,U141,U145,U149,U150,U151,U157,U162,U172,U175,U176,U185)</f>
        <v>64254</v>
      </c>
      <c r="V193" s="35">
        <f>SUM(V140,V141,V145,V149,V150,V151,V157,V162,V172,V175,V176,V185)</f>
        <v>63776</v>
      </c>
      <c r="W193" s="35">
        <f>SUM(W140,W141,W145,W149,W150,W151,W157,W162,W172,W175,W176,W185)</f>
        <v>63776</v>
      </c>
      <c r="X193" s="35">
        <f>SUM(X140,X141,X145,X149,X150,X151,X157,X162,X172,X175,X176,X185)</f>
        <v>65718</v>
      </c>
      <c r="Y193" s="35">
        <f>SUM(Y140,Y141,Y145,Y149,Y150,Y151,Y157,Y162,Y172,Y175,Y176,Y185)</f>
        <v>66255</v>
      </c>
      <c r="Z193" s="35">
        <f>SUM(Z140,Z141,Z145,Z149,Z150,Z151,Z157,Z162,Z172,Z175,Z176,Z185)</f>
        <v>69416</v>
      </c>
      <c r="AA193" s="35">
        <f>SUM(AA140,AA141,AA145,AA149,AA150,AA151,AA157,AA162,AA172,AA175,AA176,AA185)</f>
        <v>71461</v>
      </c>
      <c r="AB193" s="35">
        <f>SUM(AB140,AB141,AB145,AB149,AB150,AB151,AB157,AB162,AB172,AB175,AB176,AB185)</f>
        <v>71461</v>
      </c>
      <c r="AC193" s="35">
        <f>SUM(AC140,AC141,AC145,AC149,AC150,AC151,AC157,AC162,AC172,AC175,AC176,AC185)</f>
        <v>73053</v>
      </c>
      <c r="AD193" s="35">
        <f>SUM(AD140,AD141,AD145,AD149,AD150,AD151,AD157,AD162,AD172,AD175,AD176,AD185)</f>
        <v>78397</v>
      </c>
      <c r="AE193" s="35">
        <f>SUM(AE140,AE141,AE145,AE149,AE150,AE151,AE157,AE162,AE172,AE175,AE176,AE185)</f>
        <v>82798</v>
      </c>
      <c r="AF193" s="35">
        <f>SUM(AF140,AF141,AF145,AF149,AF150,AF151,AF157,AF162,AF172,AF175,AF176,AF185)</f>
        <v>85971</v>
      </c>
      <c r="AG193" s="35">
        <f>SUM(AG140,AG141,AG145,AG149,AG150,AG151,AG157,AG162,AG172,AG175,AG176,AG185)</f>
        <v>85971</v>
      </c>
      <c r="AH193" s="35">
        <f>SUM(AH140,AH141,AH145,AH149,AH150,AH151,AH157,AH162,AH172,AH175,AH176,AH185)</f>
        <v>101509</v>
      </c>
      <c r="AI193" s="35">
        <f>SUM(AI140,AI141,AI145,AI149,AI150,AI151,AI157,AI162,AI172,AI175,AI176,AI185)</f>
        <v>134112</v>
      </c>
      <c r="AJ193" s="35">
        <f>SUM(AJ140,AJ141,AJ145,AJ149,AJ150,AJ151,AJ157,AJ162,AJ172,AJ175,AJ176,AJ185)</f>
        <v>146835.234974461</v>
      </c>
      <c r="AK193" s="35">
        <f>SUM(AK140,AK141,AK145,AK149,AK150,AK151,AK157,AK162,AK172,AK175,AK176,AK185)</f>
        <v>162484.140169118</v>
      </c>
      <c r="AL193" s="35">
        <f>SUM(AL140,AL141,AL145,AL149,AL150,AL151,AL157,AL162,AL172,AL175,AL176,AL185)</f>
        <v>162484.140169118</v>
      </c>
      <c r="AM193" s="35">
        <f>SUM(AM140,AM141,AM145,AM149,AM150,AM151,AM157,AM162,AM172,AM175,AM176,AM185)</f>
        <v>200711.983152987</v>
      </c>
      <c r="AN193" s="35">
        <f>SUM(AN140,AN141,AN145,AN149,AN150,AN151,AN157,AN162,AN172,AN175,AN176,AN185)</f>
        <v>265258.281930688</v>
      </c>
      <c r="AO193" s="35">
        <f>SUM(AO140,AO141,AO145,AO149,AO150,AO151,AO157,AO162,AO172,AO175,AO176,AO185)</f>
        <v>259192.776450456</v>
      </c>
      <c r="AP193" s="35">
        <f>SUM(AP140,AP141,AP145,AP149,AP150,AP151,AP157,AP162,AP172,AP175,AP176,AP185)</f>
        <v>293607.0094939</v>
      </c>
      <c r="AQ193" s="35">
        <f>SUM(AQ140,AQ141,AQ145,AQ149,AQ150,AQ151,AQ157,AQ162,AQ172,AQ175,AQ176,AQ185)</f>
        <v>293607.0094939</v>
      </c>
      <c r="AR193" s="35">
        <f>SUM(AR140,AR141,AR145,AR149,AR150,AR151,AR157,AR162,AR172,AR175,AR176,AR185)</f>
        <v>376416.871058496</v>
      </c>
      <c r="AS193" s="35">
        <f>SUM(AS140,AS141,AS145,AS149,AS150,AS151,AS157,AS162,AS172,AS175,AS176,AS185)</f>
        <v>518997.552249121</v>
      </c>
      <c r="AT193" s="35">
        <f>SUM(AT140,AT141,AT145,AT149,AT150,AT151,AT157,AT162,AT172,AT175,AT176,AT185)</f>
        <v>505688.945421276</v>
      </c>
      <c r="AU193" s="35">
        <f>SUM(AU140,AU141,AU145,AU149,AU150,AU151,AU157,AU162,AU172,AU175,AU176,AU185)</f>
        <v>581198.8099082</v>
      </c>
      <c r="AV193" s="35">
        <f>SUM(AV140,AV141,AV145,AV149,AV150,AV151,AV157,AV162,AV172,AV175,AV176,AV185)</f>
        <v>581198.8099082</v>
      </c>
      <c r="AW193" s="35">
        <f>SUM(AW140,AW141,AW145,AW149,AW150,AW151,AW157,AW162,AW172,AW175,AW176,AW185)</f>
        <v>764331.940248983</v>
      </c>
      <c r="AX193" s="35">
        <f>SUM(AX140,AX141,AX145,AX149,AX150,AX151,AX157,AX162,AX172,AX175,AX176,AX185)</f>
        <v>1074367.66503287</v>
      </c>
      <c r="AY193" s="35">
        <f>SUM(AY140,AY141,AY145,AY149,AY150,AY151,AY157,AY162,AY172,AY175,AY176,AY185)</f>
        <v>1045233.17671433</v>
      </c>
      <c r="AZ193" s="35">
        <f>SUM(AZ140,AZ141,AZ145,AZ149,AZ150,AZ151,AZ157,AZ162,AZ172,AZ175,AZ176,AZ185)</f>
        <v>1210535.32240749</v>
      </c>
      <c r="BA193" s="35">
        <f>SUM(BA140,BA141,BA145,BA149,BA150,BA151,BA157,BA162,BA172,BA175,BA176,BA185)</f>
        <v>1210535.32240749</v>
      </c>
      <c r="BB193" s="35">
        <f>SUM(BB140,BB141,BB145,BB149,BB150,BB151,BB157,BB162,BB172,BB175,BB176,BB185)</f>
        <v>1609989.43950899</v>
      </c>
      <c r="BC193" s="35">
        <f>SUM(BC140,BC141,BC145,BC149,BC150,BC151,BC157,BC162,BC172,BC175,BC176,BC185)</f>
        <v>2287152.84217069</v>
      </c>
      <c r="BD193" s="35">
        <f>SUM(BD140,BD141,BD145,BD149,BD150,BD151,BD157,BD162,BD172,BD175,BD176,BD185)</f>
        <v>2223518.85528628</v>
      </c>
      <c r="BE193" s="35">
        <f>SUM(BE140,BE141,BE145,BE149,BE150,BE151,BE157,BE162,BE172,BE175,BE176,BE185)</f>
        <v>2584562.93665106</v>
      </c>
      <c r="BF193" s="35">
        <f>SUM(BF140,BF141,BF145,BF149,BF150,BF151,BF157,BF162,BF172,BF175,BF176,BF185)</f>
        <v>2584562.93665106</v>
      </c>
      <c r="BG193" s="35" t="n"/>
      <c r="BH193" s="35" t="n"/>
      <c r="BI193" s="35" t="n"/>
      <c r="BJ193" s="35" t="n"/>
      <c r="BK193" s="35" t="n"/>
      <c r="BL193" s="35" t="n"/>
      <c r="BM193" s="35" t="n"/>
      <c r="BN193" s="35" t="n"/>
      <c r="BO193" s="35" t="n"/>
      <c r="BP193" s="35" t="n"/>
      <c r="BQ193" s="35" t="n"/>
      <c r="BR193" s="35" t="n"/>
      <c r="BS193" s="35" t="n"/>
      <c r="BT193" s="35" t="n"/>
      <c r="BU193" s="35" t="n"/>
      <c r="BV193" s="35" t="n"/>
      <c r="BW193" s="35" t="n"/>
      <c r="BX193" s="35" t="n"/>
      <c r="BY193" s="35" t="n"/>
      <c r="BZ193" s="35" t="n"/>
      <c r="CA193" s="35" t="n"/>
      <c r="CB193" s="35" t="n"/>
      <c r="CC193" s="35" t="n"/>
      <c r="CD193" s="35" t="n"/>
      <c r="CE193" s="35" t="n"/>
      <c r="CF193" s="35" t="n"/>
      <c r="CG193" s="35" t="n"/>
      <c r="CH193" s="35" t="n"/>
      <c r="CI193" s="35" t="n"/>
      <c r="CJ193" s="35" t="n"/>
      <c r="CK193" s="35" t="n"/>
      <c r="CL193" s="35" t="n"/>
      <c r="CM193" s="35" t="n"/>
      <c r="CN193" s="35" t="n"/>
      <c r="CO193" s="35" t="n"/>
      <c r="CP193" s="35" t="n"/>
      <c r="CQ193" s="35" t="n"/>
      <c r="CR193" s="35" t="n"/>
      <c r="CS193" s="35" t="n"/>
      <c r="CT193" s="35" t="n"/>
      <c r="CU193" s="35" t="n"/>
      <c r="CV193" s="35" t="n"/>
      <c r="CW193" s="35" t="n"/>
      <c r="CX193" s="35" t="n"/>
      <c r="CY193" s="35" t="n"/>
    </row>
    <row r="194">
      <c r="C194" s="14" t="inlineStr">
        <is>
          <t>Accounts payable</t>
        </is>
      </c>
      <c r="D194" s="46" t="n"/>
      <c r="E194" s="46" t="n"/>
      <c r="F194" s="46" t="n"/>
      <c r="G194" s="46" t="n"/>
      <c r="H194" s="12" t="n"/>
      <c r="I194" s="46">
        <f>'Inputs (2)'!D28</f>
        <v>4550</v>
      </c>
      <c r="J194" s="46">
        <f>'Inputs (2)'!E28</f>
        <v>4427</v>
      </c>
      <c r="K194" s="46">
        <f>'Inputs (2)'!F28</f>
        <v>5325</v>
      </c>
      <c r="L194" s="46">
        <f>'Inputs (2)'!G28</f>
        <v>5470</v>
      </c>
      <c r="M194" s="12">
        <f>'Inputs (2)'!H28</f>
        <v>5470</v>
      </c>
      <c r="N194" s="46">
        <f>'Inputs (2)'!I28</f>
        <v>5650</v>
      </c>
      <c r="O194" s="46">
        <f>'Inputs (2)'!J28</f>
        <v>5788</v>
      </c>
      <c r="P194" s="46">
        <f>'Inputs (2)'!K28</f>
        <v>6090</v>
      </c>
      <c r="Q194" s="46">
        <f>'Inputs (2)'!L28</f>
        <v>5438</v>
      </c>
      <c r="R194" s="12">
        <f>'Inputs (2)'!M28</f>
        <v>5438</v>
      </c>
      <c r="S194" s="46">
        <f>'Inputs (2)'!N28</f>
        <v>4310</v>
      </c>
      <c r="T194" s="46">
        <f>'Inputs (2)'!O28</f>
        <v>4177</v>
      </c>
      <c r="U194" s="46">
        <f>'Inputs (2)'!P28</f>
        <v>3958</v>
      </c>
      <c r="V194" s="46">
        <f>'Inputs (2)'!Q28</f>
        <v>3946</v>
      </c>
      <c r="W194" s="12">
        <f>'Inputs (2)'!R28</f>
        <v>3946</v>
      </c>
      <c r="X194" s="46">
        <f>'Inputs (2)'!S28</f>
        <v>4680</v>
      </c>
      <c r="Y194" s="46">
        <f>'Inputs (2)'!T28</f>
        <v>5145</v>
      </c>
      <c r="Z194" s="46">
        <f>'Inputs (2)'!U28</f>
        <v>7299</v>
      </c>
      <c r="AA194" s="46">
        <f>'Inputs (2)'!V28</f>
        <v>7126</v>
      </c>
      <c r="AB194" s="12">
        <f>'Inputs (2)'!W28</f>
        <v>7126</v>
      </c>
      <c r="AC194" s="46">
        <f>'Inputs (2)'!X28</f>
        <v>6176</v>
      </c>
      <c r="AD194" s="46">
        <f>'Inputs (2)'!Y28</f>
        <v>8761</v>
      </c>
      <c r="AE194" s="46">
        <f>'Inputs (2)'!Z28</f>
        <v>9649</v>
      </c>
      <c r="AF194" s="46">
        <f>'Inputs (2)'!AA28</f>
        <v>9796</v>
      </c>
      <c r="AG194" s="12">
        <f>'Inputs (2)'!AB28</f>
        <v>9796</v>
      </c>
      <c r="AH194" s="12">
        <f>'Inputs (2)'!AC28</f>
        <v>10997</v>
      </c>
      <c r="AI194" s="12">
        <f>'Inputs (2)'!AD28</f>
        <v>15521</v>
      </c>
      <c r="AJ194" s="12">
        <f>(AJ195/(AJ$5-AI$5))*-AJ$50</f>
        <v>18406.4282349996</v>
      </c>
      <c r="AK194" s="12">
        <f>(AK195/(AK$5-AJ$5))*-AK$50</f>
        <v>22193.4512072558</v>
      </c>
      <c r="AL194" s="12">
        <f>AK194</f>
        <v>22193.4512072558</v>
      </c>
      <c r="AM194" s="12">
        <f>(AM195/(AM$5-AL$5))*-AM$50</f>
        <v>39676.2593874526</v>
      </c>
      <c r="AN194" s="12">
        <f>(AN195/(AN$5-AM$5))*-AN$50</f>
        <v>68178.7122799486</v>
      </c>
      <c r="AO194" s="12">
        <f>(AO195/(AO$5-AN$5))*-AO$50</f>
        <v>40478.4298260672</v>
      </c>
      <c r="AP194" s="12">
        <f>(AP195/(AP$5-AO$5))*-AP$50</f>
        <v>48806.6476462249</v>
      </c>
      <c r="AQ194" s="12">
        <f>AP194</f>
        <v>48806.6476462249</v>
      </c>
      <c r="AR194" s="12">
        <f>(AR195/(AR$5-AQ$5))*-AR$50</f>
        <v>86098.8664138925</v>
      </c>
      <c r="AS194" s="12">
        <f>(AS195/(AS$5-AR$5))*-AS$50</f>
        <v>149594.074017365</v>
      </c>
      <c r="AT194" s="12">
        <f>(AT195/(AT$5-AS$5))*-AT$50</f>
        <v>88815.59984066</v>
      </c>
      <c r="AU194" s="12">
        <f>(AU195/(AU$5-AT$5))*-AU$50</f>
        <v>107088.928734081</v>
      </c>
      <c r="AV194" s="12">
        <f>AU194</f>
        <v>107088.928734081</v>
      </c>
      <c r="AW194" s="12">
        <f>(AW195/(AW$5-AV$5))*-AW$50</f>
        <v>190577.276603691</v>
      </c>
      <c r="AX194" s="12">
        <f>(AX195/(AX$5-AW$5))*-AX$50</f>
        <v>327483.324014368</v>
      </c>
      <c r="AY194" s="12">
        <f>(AY195/(AY$5-AX$5))*-AY$50</f>
        <v>194430.347934592</v>
      </c>
      <c r="AZ194" s="12">
        <f>(AZ195/(AZ$5-AY$5))*-AZ$50</f>
        <v>234433.339537926</v>
      </c>
      <c r="BA194" s="12">
        <f>AZ194</f>
        <v>234433.339537926</v>
      </c>
      <c r="BB194" s="12">
        <f>(BB195/(BB$5-BA$5))*-BB$50</f>
        <v>416248.666778357</v>
      </c>
      <c r="BC194" s="12">
        <f>(BC195/(BC$5-BB$5))*-BC$50</f>
        <v>715271.513175172</v>
      </c>
      <c r="BD194" s="12">
        <f>(BD195/(BD$5-BC$5))*-BD$50</f>
        <v>424664.338536667</v>
      </c>
      <c r="BE194" s="12">
        <f>(BE195/(BE$5-BD$5))*-BE$50</f>
        <v>512036.727411024</v>
      </c>
      <c r="BF194" s="12">
        <f>BE194</f>
        <v>512036.727411024</v>
      </c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inlineStr">
        <is>
          <t>DPO</t>
        </is>
      </c>
      <c r="D195" s="12" t="n"/>
      <c r="E195" s="12" t="n"/>
      <c r="F195" s="12" t="n"/>
      <c r="G195" s="12" t="n"/>
      <c r="H195" s="12" t="n"/>
      <c r="I195" s="12">
        <f>IFERROR(-(I194/I$50)*(I$5-H$5),"")</f>
        <v>89.2740353172008</v>
      </c>
      <c r="J195" s="12">
        <f>IFERROR(-(J194/J$50)*(J$5-I$5),"")</f>
        <v>93.7749068901304</v>
      </c>
      <c r="K195" s="12">
        <f>IFERROR(-(K194/K$50)*(K$5-J$5),"")</f>
        <v>112.310866574966</v>
      </c>
      <c r="L195" s="12">
        <f>IFERROR(-(L194/L$50)*(L$5-K$5),"")</f>
        <v>122.086365841824</v>
      </c>
      <c r="M195" s="12" t="n"/>
      <c r="N195" s="12">
        <f>IFERROR(-(N194/N$50)*(N$5-M$5),"")</f>
        <v>123.722627737226</v>
      </c>
      <c r="O195" s="12">
        <f>IFERROR(-(O194/O$50)*(O$5-N$5),"")</f>
        <v>114.32776210115</v>
      </c>
      <c r="P195" s="12">
        <f>IFERROR(-(P194/P$50)*(P$5-O$5),"")</f>
        <v>139.338473016663</v>
      </c>
      <c r="Q195" s="12">
        <f>IFERROR(-(Q194/Q$50)*(Q$5-P$5),"")</f>
        <v>156.734335839599</v>
      </c>
      <c r="R195" s="12" t="n"/>
      <c r="S195" s="12">
        <f>IFERROR(-(S194/S$50)*(S$5-R$5),"")</f>
        <v>79.1794243723209</v>
      </c>
      <c r="T195" s="12">
        <f>IFERROR(-(T194/T$50)*(T$5-S$5),"")</f>
        <v>85.9970588235294</v>
      </c>
      <c r="U195" s="12">
        <f>IFERROR(-(U194/U$50)*(U$5-T$5),"")</f>
        <v>81.9203599550056</v>
      </c>
      <c r="V195" s="12">
        <f>IFERROR(-(V194/V$50)*(V$5-U$5),"")</f>
        <v>76.2512077294686</v>
      </c>
      <c r="W195" s="12" t="n"/>
      <c r="X195" s="12">
        <f>IFERROR(-(X194/X$50)*(X$5-W$5),"")</f>
        <v>89.7534246575342</v>
      </c>
      <c r="Y195" s="12">
        <f>IFERROR(-(Y194/Y$50)*(Y$5-X$5),"")</f>
        <v>94.0339425587467</v>
      </c>
      <c r="Z195" s="12">
        <f>IFERROR(-(Z194/Z$50)*(Z$5-Y$5),"")</f>
        <v>133.953321364452</v>
      </c>
      <c r="AA195" s="12">
        <f>IFERROR(-(AA194/AA$50)*(AA$5-Z$5),"")</f>
        <v>122.289125163216</v>
      </c>
      <c r="AB195" s="12" t="n"/>
      <c r="AC195" s="12">
        <f>IFERROR(-(AC194/AC$50)*(AC$5-AB$5),"")</f>
        <v>109.202357563851</v>
      </c>
      <c r="AD195" s="12">
        <f>IFERROR(-(AD194/AD$50)*(AD$5-AC$5),"")</f>
        <v>137.623165889867</v>
      </c>
      <c r="AE195" s="12">
        <f>IFERROR(-(AE194/AE$50)*(AE$5-AD$5),"")</f>
        <v>141.783740616515</v>
      </c>
      <c r="AF195" s="11">
        <f>IFERROR(-(AF194/AF$50)*(AF$5-AE$5),"")</f>
        <v>150.280473570118</v>
      </c>
      <c r="AG195" s="12" t="n"/>
      <c r="AH195" s="11">
        <f>IFERROR(-(AH194/AH$50)*(AH$5-AG$5),"")</f>
        <v>162.117936117936</v>
      </c>
      <c r="AI195" s="11">
        <f>IFERROR(-(AI194/AI$50)*(AI$5-AH$5),"")</f>
        <v>220.68921875</v>
      </c>
      <c r="AJ195" s="11">
        <f>Control!$B$27</f>
        <v>153.616148751381</v>
      </c>
      <c r="AK195" s="11">
        <f>Control!$B$27</f>
        <v>153.616148751381</v>
      </c>
      <c r="AL195" s="12" t="n"/>
      <c r="AM195" s="11">
        <f>Control!$C$27</f>
        <v>153.616148751381</v>
      </c>
      <c r="AN195" s="11">
        <f>Control!$C$27</f>
        <v>153.616148751381</v>
      </c>
      <c r="AO195" s="11">
        <f>Control!$C$27</f>
        <v>153.616148751381</v>
      </c>
      <c r="AP195" s="11">
        <f>Control!$C$27</f>
        <v>153.616148751381</v>
      </c>
      <c r="AQ195" s="12" t="n"/>
      <c r="AR195" s="11">
        <f>Control!$D$27</f>
        <v>153.616148751381</v>
      </c>
      <c r="AS195" s="11">
        <f>Control!$D$27</f>
        <v>153.616148751381</v>
      </c>
      <c r="AT195" s="11">
        <f>Control!$D$27</f>
        <v>153.616148751381</v>
      </c>
      <c r="AU195" s="11">
        <f>Control!$D$27</f>
        <v>153.616148751381</v>
      </c>
      <c r="AV195" s="12" t="n"/>
      <c r="AW195" s="11">
        <f>Control!$E$27</f>
        <v>153.616148751381</v>
      </c>
      <c r="AX195" s="11">
        <f>Control!$E$27</f>
        <v>153.616148751381</v>
      </c>
      <c r="AY195" s="11">
        <f>Control!$E$27</f>
        <v>153.616148751381</v>
      </c>
      <c r="AZ195" s="11">
        <f>Control!$E$27</f>
        <v>153.616148751381</v>
      </c>
      <c r="BA195" s="12" t="n"/>
      <c r="BB195" s="11">
        <f>Control!$F$27</f>
        <v>153.616148751381</v>
      </c>
      <c r="BC195" s="11">
        <f>Control!$F$27</f>
        <v>153.616148751381</v>
      </c>
      <c r="BD195" s="11">
        <f>Control!$F$27</f>
        <v>153.616148751381</v>
      </c>
      <c r="BE195" s="11">
        <f>Control!$F$27</f>
        <v>153.616148751381</v>
      </c>
      <c r="BF195" s="12" t="n"/>
      <c r="BG195" s="11" t="n"/>
      <c r="BH195" s="11" t="n"/>
      <c r="BI195" s="11" t="n"/>
      <c r="BJ195" s="11" t="n"/>
      <c r="BK195" s="12" t="n"/>
      <c r="BL195" s="11" t="n"/>
      <c r="BM195" s="11" t="n"/>
      <c r="BN195" s="11" t="n"/>
      <c r="BO195" s="11" t="n"/>
      <c r="BP195" s="12" t="n"/>
      <c r="BQ195" s="11" t="n"/>
      <c r="BR195" s="11" t="n"/>
      <c r="BS195" s="11" t="n"/>
      <c r="BT195" s="11" t="n"/>
      <c r="BU195" s="12" t="n"/>
      <c r="BV195" s="11" t="n"/>
      <c r="BW195" s="11" t="n"/>
      <c r="BX195" s="11" t="n"/>
      <c r="BY195" s="11" t="n"/>
      <c r="BZ195" s="12" t="n"/>
      <c r="CA195" s="11" t="n"/>
      <c r="CB195" s="11" t="n"/>
      <c r="CC195" s="11" t="n"/>
      <c r="CD195" s="11" t="n"/>
      <c r="CE195" s="12" t="n"/>
      <c r="CF195" s="11" t="n"/>
      <c r="CG195" s="11" t="n"/>
      <c r="CH195" s="11" t="n"/>
      <c r="CI195" s="11" t="n"/>
      <c r="CJ195" s="12" t="n"/>
      <c r="CK195" s="11" t="n"/>
      <c r="CL195" s="11" t="n"/>
      <c r="CM195" s="11" t="n"/>
      <c r="CN195" s="11" t="n"/>
      <c r="CO195" s="12" t="n"/>
      <c r="CP195" s="11" t="n"/>
      <c r="CQ195" s="11" t="n"/>
      <c r="CR195" s="11" t="n"/>
      <c r="CS195" s="11" t="n"/>
      <c r="CT195" s="12" t="n"/>
      <c r="CU195" s="11" t="n"/>
      <c r="CV195" s="11" t="n"/>
      <c r="CW195" s="11" t="n"/>
      <c r="CX195" s="11" t="n"/>
      <c r="CY195" s="12" t="n"/>
    </row>
    <row r="196" hidden="1" outlineLevel="1">
      <c r="C196" s="57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7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collapsed="1">
      <c r="C198" s="14" t="inlineStr">
        <is>
          <t>Accrued expenses</t>
        </is>
      </c>
      <c r="D198" s="46" t="n"/>
      <c r="E198" s="46" t="n"/>
      <c r="F198" s="46" t="n"/>
      <c r="G198" s="46" t="n"/>
      <c r="H198" s="12" t="n"/>
      <c r="I198" s="46">
        <f>'Inputs (2)'!D29</f>
        <v>0</v>
      </c>
      <c r="J198" s="46">
        <f>'Inputs (2)'!E29</f>
        <v>0</v>
      </c>
      <c r="K198" s="46">
        <f>'Inputs (2)'!F29</f>
        <v>0</v>
      </c>
      <c r="L198" s="46">
        <f>'Inputs (2)'!G29</f>
        <v>0</v>
      </c>
      <c r="M198" s="12">
        <f>'Inputs (2)'!H29</f>
        <v>0</v>
      </c>
      <c r="N198" s="46">
        <f>'Inputs (2)'!I29</f>
        <v>0</v>
      </c>
      <c r="O198" s="46">
        <f>'Inputs (2)'!J29</f>
        <v>0</v>
      </c>
      <c r="P198" s="46">
        <f>'Inputs (2)'!K29</f>
        <v>0</v>
      </c>
      <c r="Q198" s="46">
        <f>'Inputs (2)'!L29</f>
        <v>0</v>
      </c>
      <c r="R198" s="12">
        <f>'Inputs (2)'!M29</f>
        <v>0</v>
      </c>
      <c r="S198" s="46">
        <f>'Inputs (2)'!N29</f>
        <v>0</v>
      </c>
      <c r="T198" s="46">
        <f>'Inputs (2)'!O29</f>
        <v>0</v>
      </c>
      <c r="U198" s="46">
        <f>'Inputs (2)'!P29</f>
        <v>0</v>
      </c>
      <c r="V198" s="46">
        <f>'Inputs (2)'!Q29</f>
        <v>0</v>
      </c>
      <c r="W198" s="12">
        <f>'Inputs (2)'!R29</f>
        <v>0</v>
      </c>
      <c r="X198" s="46">
        <f>'Inputs (2)'!S29</f>
        <v>0</v>
      </c>
      <c r="Y198" s="46">
        <f>'Inputs (2)'!T29</f>
        <v>0</v>
      </c>
      <c r="Z198" s="46">
        <f>'Inputs (2)'!U29</f>
        <v>0</v>
      </c>
      <c r="AA198" s="46">
        <f>'Inputs (2)'!V29</f>
        <v>0</v>
      </c>
      <c r="AB198" s="12">
        <f>'Inputs (2)'!W29</f>
        <v>0</v>
      </c>
      <c r="AC198" s="46">
        <f>'Inputs (2)'!X29</f>
        <v>0</v>
      </c>
      <c r="AD198" s="46">
        <f>'Inputs (2)'!Y29</f>
        <v>0</v>
      </c>
      <c r="AE198" s="46">
        <f>'Inputs (2)'!Z29</f>
        <v>0</v>
      </c>
      <c r="AF198" s="46">
        <f>'Inputs (2)'!AA29</f>
        <v>0</v>
      </c>
      <c r="AG198" s="12">
        <f>'Inputs (2)'!AB29</f>
        <v>0</v>
      </c>
      <c r="AH198" s="12">
        <f>'Inputs (2)'!AC29</f>
        <v>0</v>
      </c>
      <c r="AI198" s="12">
        <f>'Inputs (2)'!AD29</f>
        <v>0</v>
      </c>
      <c r="AJ198" s="12">
        <f>AI198*(1+AJ16)</f>
        <v>0</v>
      </c>
      <c r="AK198" s="12">
        <f>AJ198*(1+AK16)</f>
        <v>0</v>
      </c>
      <c r="AL198" s="12">
        <f>AK198</f>
        <v>0</v>
      </c>
      <c r="AM198" s="12">
        <f>AL198*(1+AM16)</f>
        <v>0</v>
      </c>
      <c r="AN198" s="12">
        <f>AM198*(1+AN16)</f>
        <v>0</v>
      </c>
      <c r="AO198" s="12">
        <f>AN198*(1+AO16)</f>
        <v>0</v>
      </c>
      <c r="AP198" s="12">
        <f>AO198*(1+AP16)</f>
        <v>0</v>
      </c>
      <c r="AQ198" s="12">
        <f>AP198</f>
        <v>0</v>
      </c>
      <c r="AR198" s="12">
        <f>AQ198*(1+AR16)</f>
        <v>0</v>
      </c>
      <c r="AS198" s="12">
        <f>AR198*(1+AS16)</f>
        <v>0</v>
      </c>
      <c r="AT198" s="12">
        <f>AS198*(1+AT16)</f>
        <v>0</v>
      </c>
      <c r="AU198" s="12">
        <f>AT198*(1+AU16)</f>
        <v>0</v>
      </c>
      <c r="AV198" s="12">
        <f>AU198</f>
        <v>0</v>
      </c>
      <c r="AW198" s="12">
        <f>AV198*(1+AW16)</f>
        <v>0</v>
      </c>
      <c r="AX198" s="12">
        <f>AW198*(1+AX16)</f>
        <v>0</v>
      </c>
      <c r="AY198" s="12">
        <f>AX198*(1+AY16)</f>
        <v>0</v>
      </c>
      <c r="AZ198" s="12">
        <f>AY198*(1+AZ16)</f>
        <v>0</v>
      </c>
      <c r="BA198" s="12">
        <f>AZ198</f>
        <v>0</v>
      </c>
      <c r="BB198" s="12">
        <f>BA198*(1+BB16)</f>
        <v>0</v>
      </c>
      <c r="BC198" s="12">
        <f>BB198*(1+BC16)</f>
        <v>0</v>
      </c>
      <c r="BD198" s="12">
        <f>BC198*(1+BD16)</f>
        <v>0</v>
      </c>
      <c r="BE198" s="12">
        <f>BD198*(1+BE16)</f>
        <v>0</v>
      </c>
      <c r="BF198" s="12">
        <f>BE198</f>
        <v>0</v>
      </c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59" t="inlineStr">
        <is>
          <t>%(Var.)</t>
        </is>
      </c>
      <c r="D199" s="12" t="n"/>
      <c r="E199" s="40" t="n"/>
      <c r="F199" s="40" t="n"/>
      <c r="G199" s="40" t="n"/>
      <c r="H199" s="12" t="n"/>
      <c r="I199" s="40" t="str">
        <f>""</f>
        <v/>
      </c>
      <c r="J199" s="40" t="str">
        <f>IFERROR(IF(I198=0,"",J198/I198-1),"")</f>
        <v/>
      </c>
      <c r="K199" s="40" t="str">
        <f>IFERROR(IF(J198=0,"",K198/J198-1),"")</f>
        <v/>
      </c>
      <c r="L199" s="40" t="str">
        <f>IFERROR(IF(K198=0,"",L198/K198-1),"")</f>
        <v/>
      </c>
      <c r="M199" s="12" t="str">
        <f>IF(L198=0,"",M198/L198-1)</f>
        <v/>
      </c>
      <c r="N199" s="40" t="str">
        <f>IFERROR(IF(M198=0,"",N198/M198-1),"")</f>
        <v/>
      </c>
      <c r="O199" s="40" t="str">
        <f>IFERROR(IF(N198=0,"",O198/N198-1),"")</f>
        <v/>
      </c>
      <c r="P199" s="40" t="str">
        <f>IFERROR(IF(O198=0,"",P198/O198-1),"")</f>
        <v/>
      </c>
      <c r="Q199" s="40" t="str">
        <f>IFERROR(IF(P198=0,"",Q198/P198-1),"")</f>
        <v/>
      </c>
      <c r="R199" s="12" t="str">
        <f>IF(Q198=0,"",R198/Q198-1)</f>
        <v/>
      </c>
      <c r="S199" s="40" t="str">
        <f>IFERROR(IF(R198=0,"",S198/R198-1),"")</f>
        <v/>
      </c>
      <c r="T199" s="40" t="str">
        <f>IFERROR(IF(S198=0,"",T198/S198-1),"")</f>
        <v/>
      </c>
      <c r="U199" s="40" t="str">
        <f>IFERROR(IF(T198=0,"",U198/T198-1),"")</f>
        <v/>
      </c>
      <c r="V199" s="40" t="str">
        <f>IFERROR(IF(U198=0,"",V198/U198-1),"")</f>
        <v/>
      </c>
      <c r="W199" s="12" t="str">
        <f>IF(V198=0,"",W198/V198-1)</f>
        <v/>
      </c>
      <c r="X199" s="40" t="str">
        <f>IFERROR(IF(W198=0,"",X198/W198-1),"")</f>
        <v/>
      </c>
      <c r="Y199" s="40" t="str">
        <f>IFERROR(IF(X198=0,"",Y198/X198-1),"")</f>
        <v/>
      </c>
      <c r="Z199" s="40" t="str">
        <f>IFERROR(IF(Y198=0,"",Z198/Y198-1),"")</f>
        <v/>
      </c>
      <c r="AA199" s="40" t="str">
        <f>IFERROR(IF(Z198=0,"",AA198/Z198-1),"")</f>
        <v/>
      </c>
      <c r="AB199" s="12" t="str">
        <f>IF(AA198=0,"",AB198/AA198-1)</f>
        <v/>
      </c>
      <c r="AC199" s="40" t="str">
        <f>IFERROR(IF(AB198=0,"",AC198/AB198-1),"")</f>
        <v/>
      </c>
      <c r="AD199" s="40" t="str">
        <f>IFERROR(IF(AC198=0,"",AD198/AC198-1),"")</f>
        <v/>
      </c>
      <c r="AE199" s="40" t="str">
        <f>IFERROR(IF(AD198=0,"",AE198/AD198-1),"")</f>
        <v/>
      </c>
      <c r="AF199" s="55" t="str">
        <f>IFERROR(IF(AE198=0,"",AF198/AE198-1),"")</f>
        <v/>
      </c>
      <c r="AG199" s="12" t="str">
        <f>IF(AF198=0,"",AG198/AF198-1)</f>
        <v/>
      </c>
      <c r="AH199" s="55" t="str">
        <f>IFERROR(IF(AG198=0,"",AH198/AG198-1),"")</f>
        <v/>
      </c>
      <c r="AI199" s="55" t="str">
        <f>IFERROR(IF(AH198=0,"",AI198/AH198-1),"")</f>
        <v/>
      </c>
      <c r="AJ199" s="55" t="str">
        <f>IFERROR(IF(AI198=0,"",AJ198/AI198-1),"")</f>
        <v/>
      </c>
      <c r="AK199" s="55" t="str">
        <f>IF(AJ198=0,"",AK198/AJ198-1)</f>
        <v/>
      </c>
      <c r="AL199" s="12" t="str">
        <f>IF(AK198=0,"",AL198/AK198-1)</f>
        <v/>
      </c>
      <c r="AM199" s="55" t="str">
        <f>IF(AL198=0,"",AM198/AL198-1)</f>
        <v/>
      </c>
      <c r="AN199" s="55" t="str">
        <f>IF(AM198=0,"",AN198/AM198-1)</f>
        <v/>
      </c>
      <c r="AO199" s="55" t="str">
        <f>IF(AN198=0,"",AO198/AN198-1)</f>
        <v/>
      </c>
      <c r="AP199" s="55" t="str">
        <f>IF(AO198=0,"",AP198/AO198-1)</f>
        <v/>
      </c>
      <c r="AQ199" s="12" t="str">
        <f>IF(AP198=0,"",AQ198/AP198-1)</f>
        <v/>
      </c>
      <c r="AR199" s="55" t="str">
        <f>IF(AQ198=0,"",AR198/AQ198-1)</f>
        <v/>
      </c>
      <c r="AS199" s="55" t="str">
        <f>IF(AR198=0,"",AS198/AR198-1)</f>
        <v/>
      </c>
      <c r="AT199" s="55" t="str">
        <f>IF(AS198=0,"",AT198/AS198-1)</f>
        <v/>
      </c>
      <c r="AU199" s="55" t="str">
        <f>IF(AT198=0,"",AU198/AT198-1)</f>
        <v/>
      </c>
      <c r="AV199" s="12" t="str">
        <f>IF(AU198=0,"",AV198/AU198-1)</f>
        <v/>
      </c>
      <c r="AW199" s="55" t="str">
        <f>IF(AV198=0,"",AW198/AV198-1)</f>
        <v/>
      </c>
      <c r="AX199" s="55" t="str">
        <f>IF(AW198=0,"",AX198/AW198-1)</f>
        <v/>
      </c>
      <c r="AY199" s="55" t="str">
        <f>IF(AX198=0,"",AY198/AX198-1)</f>
        <v/>
      </c>
      <c r="AZ199" s="55" t="str">
        <f>IF(AY198=0,"",AZ198/AY198-1)</f>
        <v/>
      </c>
      <c r="BA199" s="12" t="str">
        <f>IF(AZ198=0,"",BA198/AZ198-1)</f>
        <v/>
      </c>
      <c r="BB199" s="55" t="str">
        <f>IF(BA198=0,"",BB198/BA198-1)</f>
        <v/>
      </c>
      <c r="BC199" s="55" t="str">
        <f>IF(BB198=0,"",BC198/BB198-1)</f>
        <v/>
      </c>
      <c r="BD199" s="55" t="str">
        <f>IF(BC198=0,"",BD198/BC198-1)</f>
        <v/>
      </c>
      <c r="BE199" s="55" t="str">
        <f>IF(BD198=0,"",BE198/BD198-1)</f>
        <v/>
      </c>
      <c r="BF199" s="12" t="str">
        <f>IF(BE198=0,"",BF198/BE198-1)</f>
        <v/>
      </c>
      <c r="BG199" s="55" t="n"/>
      <c r="BH199" s="55" t="n"/>
      <c r="BI199" s="55" t="n"/>
      <c r="BJ199" s="55" t="n"/>
      <c r="BK199" s="12" t="n"/>
      <c r="BL199" s="55" t="n"/>
      <c r="BM199" s="55" t="n"/>
      <c r="BN199" s="55" t="n"/>
      <c r="BO199" s="55" t="n"/>
      <c r="BP199" s="12" t="n"/>
      <c r="BQ199" s="55" t="n"/>
      <c r="BR199" s="55" t="n"/>
      <c r="BS199" s="55" t="n"/>
      <c r="BT199" s="55" t="n"/>
      <c r="BU199" s="12" t="n"/>
      <c r="BV199" s="55" t="n"/>
      <c r="BW199" s="55" t="n"/>
      <c r="BX199" s="55" t="n"/>
      <c r="BY199" s="55" t="n"/>
      <c r="BZ199" s="12" t="n"/>
      <c r="CA199" s="55" t="n"/>
      <c r="CB199" s="55" t="n"/>
      <c r="CC199" s="55" t="n"/>
      <c r="CD199" s="55" t="n"/>
      <c r="CE199" s="12" t="n"/>
      <c r="CF199" s="55" t="n"/>
      <c r="CG199" s="55" t="n"/>
      <c r="CH199" s="55" t="n"/>
      <c r="CI199" s="55" t="n"/>
      <c r="CJ199" s="12" t="n"/>
      <c r="CK199" s="55" t="n"/>
      <c r="CL199" s="55" t="n"/>
      <c r="CM199" s="55" t="n"/>
      <c r="CN199" s="55" t="n"/>
      <c r="CO199" s="12" t="n"/>
      <c r="CP199" s="55" t="n"/>
      <c r="CQ199" s="55" t="n"/>
      <c r="CR199" s="55" t="n"/>
      <c r="CS199" s="55" t="n"/>
      <c r="CT199" s="12" t="n"/>
      <c r="CU199" s="55" t="n"/>
      <c r="CV199" s="55" t="n"/>
      <c r="CW199" s="55" t="n"/>
      <c r="CX199" s="55" t="n"/>
      <c r="CY199" s="12" t="n"/>
    </row>
    <row r="200" collapsed="1">
      <c r="C200" s="14" t="inlineStr">
        <is>
          <t>Taxes payable</t>
        </is>
      </c>
      <c r="D200" s="46" t="n"/>
      <c r="E200" s="46" t="n"/>
      <c r="F200" s="46" t="n"/>
      <c r="G200" s="46" t="n"/>
      <c r="H200" s="12" t="n"/>
      <c r="I200" s="46">
        <f>'Inputs (2)'!D30</f>
        <v>0</v>
      </c>
      <c r="J200" s="46">
        <f>'Inputs (2)'!E30</f>
        <v>0</v>
      </c>
      <c r="K200" s="46">
        <f>'Inputs (2)'!F30</f>
        <v>0</v>
      </c>
      <c r="L200" s="46">
        <f>'Inputs (2)'!G30</f>
        <v>0</v>
      </c>
      <c r="M200" s="12">
        <f>'Inputs (2)'!H30</f>
        <v>0</v>
      </c>
      <c r="N200" s="46">
        <f>'Inputs (2)'!I30</f>
        <v>0</v>
      </c>
      <c r="O200" s="46">
        <f>'Inputs (2)'!J30</f>
        <v>0</v>
      </c>
      <c r="P200" s="46">
        <f>'Inputs (2)'!K30</f>
        <v>0</v>
      </c>
      <c r="Q200" s="46">
        <f>'Inputs (2)'!L30</f>
        <v>0</v>
      </c>
      <c r="R200" s="12">
        <f>'Inputs (2)'!M30</f>
        <v>0</v>
      </c>
      <c r="S200" s="46">
        <f>'Inputs (2)'!N30</f>
        <v>0</v>
      </c>
      <c r="T200" s="46">
        <f>'Inputs (2)'!O30</f>
        <v>0</v>
      </c>
      <c r="U200" s="46">
        <f>'Inputs (2)'!P30</f>
        <v>0</v>
      </c>
      <c r="V200" s="46">
        <f>'Inputs (2)'!Q30</f>
        <v>0</v>
      </c>
      <c r="W200" s="12">
        <f>'Inputs (2)'!R30</f>
        <v>0</v>
      </c>
      <c r="X200" s="46">
        <f>'Inputs (2)'!S30</f>
        <v>0</v>
      </c>
      <c r="Y200" s="46">
        <f>'Inputs (2)'!T30</f>
        <v>0</v>
      </c>
      <c r="Z200" s="46">
        <f>'Inputs (2)'!U30</f>
        <v>0</v>
      </c>
      <c r="AA200" s="46">
        <f>'Inputs (2)'!V30</f>
        <v>0</v>
      </c>
      <c r="AB200" s="12">
        <f>'Inputs (2)'!W30</f>
        <v>0</v>
      </c>
      <c r="AC200" s="46">
        <f>'Inputs (2)'!X30</f>
        <v>0</v>
      </c>
      <c r="AD200" s="46">
        <f>'Inputs (2)'!Y30</f>
        <v>0</v>
      </c>
      <c r="AE200" s="46">
        <f>'Inputs (2)'!Z30</f>
        <v>0</v>
      </c>
      <c r="AF200" s="46">
        <f>'Inputs (2)'!AA30</f>
        <v>0</v>
      </c>
      <c r="AG200" s="12">
        <f>'Inputs (2)'!AB30</f>
        <v>0</v>
      </c>
      <c r="AH200" s="12">
        <f>'Inputs (2)'!AC30</f>
        <v>0</v>
      </c>
      <c r="AI200" s="12">
        <f>'Inputs (2)'!AD30</f>
        <v>0</v>
      </c>
      <c r="AJ200" s="12">
        <f>AI200*(1+AJ16)</f>
        <v>0</v>
      </c>
      <c r="AK200" s="12">
        <f>AJ200*(1+AK16)</f>
        <v>0</v>
      </c>
      <c r="AL200" s="12">
        <f>AK200</f>
        <v>0</v>
      </c>
      <c r="AM200" s="12">
        <f>AL200*(1+AM16)</f>
        <v>0</v>
      </c>
      <c r="AN200" s="12">
        <f>AM200*(1+AN16)</f>
        <v>0</v>
      </c>
      <c r="AO200" s="12">
        <f>AN200*(1+AO16)</f>
        <v>0</v>
      </c>
      <c r="AP200" s="12">
        <f>AO200*(1+AP16)</f>
        <v>0</v>
      </c>
      <c r="AQ200" s="12">
        <f>AP200</f>
        <v>0</v>
      </c>
      <c r="AR200" s="12">
        <f>AQ200*(1+AR16)</f>
        <v>0</v>
      </c>
      <c r="AS200" s="12">
        <f>AR200*(1+AS16)</f>
        <v>0</v>
      </c>
      <c r="AT200" s="12">
        <f>AS200*(1+AT16)</f>
        <v>0</v>
      </c>
      <c r="AU200" s="12">
        <f>AT200*(1+AU16)</f>
        <v>0</v>
      </c>
      <c r="AV200" s="12">
        <f>AU200</f>
        <v>0</v>
      </c>
      <c r="AW200" s="12">
        <f>AV200*(1+AW16)</f>
        <v>0</v>
      </c>
      <c r="AX200" s="12">
        <f>AW200*(1+AX16)</f>
        <v>0</v>
      </c>
      <c r="AY200" s="12">
        <f>AX200*(1+AY16)</f>
        <v>0</v>
      </c>
      <c r="AZ200" s="12">
        <f>AY200*(1+AZ16)</f>
        <v>0</v>
      </c>
      <c r="BA200" s="12">
        <f>AZ200</f>
        <v>0</v>
      </c>
      <c r="BB200" s="12">
        <f>BA200*(1+BB16)</f>
        <v>0</v>
      </c>
      <c r="BC200" s="12">
        <f>BB200*(1+BC16)</f>
        <v>0</v>
      </c>
      <c r="BD200" s="12">
        <f>BC200*(1+BD16)</f>
        <v>0</v>
      </c>
      <c r="BE200" s="12">
        <f>BD200*(1+BE16)</f>
        <v>0</v>
      </c>
      <c r="BF200" s="12">
        <f>BE200</f>
        <v>0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>
      <c r="C201" s="14" t="inlineStr">
        <is>
          <t>Other current liabilities (non-debt)</t>
        </is>
      </c>
      <c r="D201" s="46" t="n"/>
      <c r="E201" s="46" t="n"/>
      <c r="F201" s="46" t="n"/>
      <c r="G201" s="46" t="n"/>
      <c r="H201" s="12" t="n"/>
      <c r="I201" s="46">
        <f>'Inputs (2)'!D31</f>
        <v>560</v>
      </c>
      <c r="J201" s="46">
        <f>'Inputs (2)'!E31</f>
        <v>738</v>
      </c>
      <c r="K201" s="46">
        <f>'Inputs (2)'!F31</f>
        <v>944</v>
      </c>
      <c r="L201" s="46">
        <f>'Inputs (2)'!G31</f>
        <v>924</v>
      </c>
      <c r="M201" s="12">
        <f>'Inputs (2)'!H31</f>
        <v>924</v>
      </c>
      <c r="N201" s="46">
        <f>'Inputs (2)'!I31</f>
        <v>1145</v>
      </c>
      <c r="O201" s="46">
        <f>'Inputs (2)'!J31</f>
        <v>1114</v>
      </c>
      <c r="P201" s="46">
        <f>'Inputs (2)'!K31</f>
        <v>1346</v>
      </c>
      <c r="Q201" s="46">
        <f>'Inputs (2)'!L31</f>
        <v>916</v>
      </c>
      <c r="R201" s="12">
        <f>'Inputs (2)'!M31</f>
        <v>916</v>
      </c>
      <c r="S201" s="46">
        <f>'Inputs (2)'!N31</f>
        <v>708</v>
      </c>
      <c r="T201" s="46">
        <f>'Inputs (2)'!O31</f>
        <v>668</v>
      </c>
      <c r="U201" s="46">
        <f>'Inputs (2)'!P31</f>
        <v>529</v>
      </c>
      <c r="V201" s="46">
        <f>'Inputs (2)'!Q31</f>
        <v>1108</v>
      </c>
      <c r="W201" s="12">
        <f>'Inputs (2)'!R31</f>
        <v>1108</v>
      </c>
      <c r="X201" s="46">
        <f>'Inputs (2)'!S31</f>
        <v>1235</v>
      </c>
      <c r="Y201" s="46">
        <f>'Inputs (2)'!T31</f>
        <v>1297</v>
      </c>
      <c r="Z201" s="46">
        <f>'Inputs (2)'!U31</f>
        <v>1518</v>
      </c>
      <c r="AA201" s="46">
        <f>'Inputs (2)'!V31</f>
        <v>1356</v>
      </c>
      <c r="AB201" s="12">
        <f>'Inputs (2)'!W31</f>
        <v>1356</v>
      </c>
      <c r="AC201" s="46">
        <f>'Inputs (2)'!X31</f>
        <v>1197</v>
      </c>
      <c r="AD201" s="46">
        <f>'Inputs (2)'!Y31</f>
        <v>836</v>
      </c>
      <c r="AE201" s="46">
        <f>'Inputs (2)'!Z31</f>
        <v>1245</v>
      </c>
      <c r="AF201" s="46">
        <f>'Inputs (2)'!AA31</f>
        <v>1695</v>
      </c>
      <c r="AG201" s="12">
        <f>'Inputs (2)'!AB31</f>
        <v>1695</v>
      </c>
      <c r="AH201" s="12">
        <f>'Inputs (2)'!AC31</f>
        <v>2714</v>
      </c>
      <c r="AI201" s="12">
        <f>'Inputs (2)'!AD31</f>
        <v>3385</v>
      </c>
      <c r="AJ201" s="12">
        <f>AI201</f>
        <v>3385</v>
      </c>
      <c r="AK201" s="12">
        <f>AJ201</f>
        <v>3385</v>
      </c>
      <c r="AL201" s="12">
        <f>AK201</f>
        <v>3385</v>
      </c>
      <c r="AM201" s="12">
        <f>AL201</f>
        <v>3385</v>
      </c>
      <c r="AN201" s="12">
        <f>AM201</f>
        <v>3385</v>
      </c>
      <c r="AO201" s="12">
        <f>AN201</f>
        <v>3385</v>
      </c>
      <c r="AP201" s="12">
        <f>AO201</f>
        <v>3385</v>
      </c>
      <c r="AQ201" s="12">
        <f>AP201</f>
        <v>3385</v>
      </c>
      <c r="AR201" s="12">
        <f>AQ201</f>
        <v>3385</v>
      </c>
      <c r="AS201" s="12">
        <f>AR201</f>
        <v>3385</v>
      </c>
      <c r="AT201" s="12">
        <f>AS201</f>
        <v>3385</v>
      </c>
      <c r="AU201" s="12">
        <f>AT201</f>
        <v>3385</v>
      </c>
      <c r="AV201" s="12">
        <f>AU201</f>
        <v>3385</v>
      </c>
      <c r="AW201" s="12">
        <f>AV201</f>
        <v>3385</v>
      </c>
      <c r="AX201" s="12">
        <f>AW201</f>
        <v>3385</v>
      </c>
      <c r="AY201" s="12">
        <f>AX201</f>
        <v>3385</v>
      </c>
      <c r="AZ201" s="12">
        <f>AY201</f>
        <v>3385</v>
      </c>
      <c r="BA201" s="12">
        <f>AZ201</f>
        <v>3385</v>
      </c>
      <c r="BB201" s="12">
        <f>BA201</f>
        <v>3385</v>
      </c>
      <c r="BC201" s="12">
        <f>BB201</f>
        <v>3385</v>
      </c>
      <c r="BD201" s="12">
        <f>BC201</f>
        <v>3385</v>
      </c>
      <c r="BE201" s="12">
        <f>BD201</f>
        <v>3385</v>
      </c>
      <c r="BF201" s="12">
        <f>BE201</f>
        <v>3385</v>
      </c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9" t="inlineStr">
        <is>
          <t>%(Var.)</t>
        </is>
      </c>
      <c r="D202" s="12" t="n"/>
      <c r="E202" s="40" t="n"/>
      <c r="F202" s="40" t="n"/>
      <c r="G202" s="40" t="n"/>
      <c r="H202" s="12" t="n"/>
      <c r="I202" s="40" t="str">
        <f>""</f>
        <v/>
      </c>
      <c r="J202" s="40">
        <f>IFERROR(IF(I201=0,"",J201/I201-1),"")</f>
        <v>0.317857142857143</v>
      </c>
      <c r="K202" s="40">
        <f>IFERROR(IF(J201=0,"",K201/J201-1),"")</f>
        <v>0.279132791327913</v>
      </c>
      <c r="L202" s="40">
        <f>IFERROR(IF(K201=0,"",L201/K201-1),"")</f>
        <v>-0.0211864406779662</v>
      </c>
      <c r="M202" s="12">
        <f>IF(L201=0,"",M201/L201-1)</f>
        <v>0</v>
      </c>
      <c r="N202" s="40">
        <f>IFERROR(IF(M201=0,"",N201/M201-1),"")</f>
        <v>0.239177489177489</v>
      </c>
      <c r="O202" s="40">
        <f>IFERROR(IF(N201=0,"",O201/N201-1),"")</f>
        <v>-0.0270742358078603</v>
      </c>
      <c r="P202" s="40">
        <f>IFERROR(IF(O201=0,"",P201/O201-1),"")</f>
        <v>0.208258527827648</v>
      </c>
      <c r="Q202" s="40">
        <f>IFERROR(IF(P201=0,"",Q201/P201-1),"")</f>
        <v>-0.319465081723626</v>
      </c>
      <c r="R202" s="12">
        <f>IF(Q201=0,"",R201/Q201-1)</f>
        <v>0</v>
      </c>
      <c r="S202" s="40">
        <f>IFERROR(IF(R201=0,"",S201/R201-1),"")</f>
        <v>-0.22707423580786</v>
      </c>
      <c r="T202" s="40">
        <f>IFERROR(IF(S201=0,"",T201/S201-1),"")</f>
        <v>-0.056497175141243</v>
      </c>
      <c r="U202" s="40">
        <f>IFERROR(IF(T201=0,"",U201/T201-1),"")</f>
        <v>-0.208083832335329</v>
      </c>
      <c r="V202" s="40">
        <f>IFERROR(IF(U201=0,"",V201/U201-1),"")</f>
        <v>1.0945179584121</v>
      </c>
      <c r="W202" s="12">
        <f>IF(V201=0,"",W201/V201-1)</f>
        <v>0</v>
      </c>
      <c r="X202" s="40">
        <f>IFERROR(IF(W201=0,"",X201/W201-1),"")</f>
        <v>0.114620938628159</v>
      </c>
      <c r="Y202" s="40">
        <f>IFERROR(IF(X201=0,"",Y201/X201-1),"")</f>
        <v>0.0502024291497976</v>
      </c>
      <c r="Z202" s="40">
        <f>IFERROR(IF(Y201=0,"",Z201/Y201-1),"")</f>
        <v>0.170393215111796</v>
      </c>
      <c r="AA202" s="40">
        <f>IFERROR(IF(Z201=0,"",AA201/Z201-1),"")</f>
        <v>-0.106719367588933</v>
      </c>
      <c r="AB202" s="12">
        <f>IF(AA201=0,"",AB201/AA201-1)</f>
        <v>0</v>
      </c>
      <c r="AC202" s="40">
        <f>IFERROR(IF(AB201=0,"",AC201/AB201-1),"")</f>
        <v>-0.117256637168142</v>
      </c>
      <c r="AD202" s="40">
        <f>IFERROR(IF(AC201=0,"",AD201/AC201-1),"")</f>
        <v>-0.301587301587302</v>
      </c>
      <c r="AE202" s="40">
        <f>IFERROR(IF(AD201=0,"",AE201/AD201-1),"")</f>
        <v>0.489234449760765</v>
      </c>
      <c r="AF202" s="55">
        <f>IFERROR(IF(AE201=0,"",AF201/AE201-1),"")</f>
        <v>0.36144578313253</v>
      </c>
      <c r="AG202" s="12">
        <f>IF(AF201=0,"",AG201/AF201-1)</f>
        <v>0</v>
      </c>
      <c r="AH202" s="55">
        <f>IFERROR(IF(AG201=0,"",AH201/AG201-1),"")</f>
        <v>0.60117994100295</v>
      </c>
      <c r="AI202" s="55">
        <f>IFERROR(IF(AH201=0,"",AI201/AH201-1),"")</f>
        <v>0.247236551215917</v>
      </c>
      <c r="AJ202" s="55">
        <f>IFERROR(IF(AI201=0,"",AJ201/AI201-1),"")</f>
        <v>0</v>
      </c>
      <c r="AK202" s="55">
        <f>IFERROR(IF(AJ201=0,"",AK201/AJ201-1),"")</f>
        <v>0</v>
      </c>
      <c r="AL202" s="12">
        <f>IFERROR(IF(AK201=0,"",AL201/AK201-1),"")</f>
        <v>0</v>
      </c>
      <c r="AM202" s="55">
        <f>IFERROR(IF(AL201=0,"",AM201/AL201-1),"")</f>
        <v>0</v>
      </c>
      <c r="AN202" s="55">
        <f>IFERROR(IF(AM201=0,"",AN201/AM201-1),"")</f>
        <v>0</v>
      </c>
      <c r="AO202" s="55">
        <f>IFERROR(IF(AN201=0,"",AO201/AN201-1),"")</f>
        <v>0</v>
      </c>
      <c r="AP202" s="55">
        <f>IFERROR(IF(AO201=0,"",AP201/AO201-1),"")</f>
        <v>0</v>
      </c>
      <c r="AQ202" s="12">
        <f>IFERROR(IF(AP201=0,"",AQ201/AP201-1),"")</f>
        <v>0</v>
      </c>
      <c r="AR202" s="55">
        <f>IFERROR(IF(AQ201=0,"",AR201/AQ201-1),"")</f>
        <v>0</v>
      </c>
      <c r="AS202" s="55">
        <f>IFERROR(IF(AR201=0,"",AS201/AR201-1),"")</f>
        <v>0</v>
      </c>
      <c r="AT202" s="55">
        <f>IFERROR(IF(AS201=0,"",AT201/AS201-1),"")</f>
        <v>0</v>
      </c>
      <c r="AU202" s="55">
        <f>IFERROR(IF(AT201=0,"",AU201/AT201-1),"")</f>
        <v>0</v>
      </c>
      <c r="AV202" s="12">
        <f>IFERROR(IF(AU201=0,"",AV201/AU201-1),"")</f>
        <v>0</v>
      </c>
      <c r="AW202" s="55">
        <f>IFERROR(IF(AV201=0,"",AW201/AV201-1),"")</f>
        <v>0</v>
      </c>
      <c r="AX202" s="55">
        <f>IFERROR(IF(AW201=0,"",AX201/AW201-1),"")</f>
        <v>0</v>
      </c>
      <c r="AY202" s="55">
        <f>IFERROR(IF(AX201=0,"",AY201/AX201-1),"")</f>
        <v>0</v>
      </c>
      <c r="AZ202" s="55">
        <f>IFERROR(IF(AY201=0,"",AZ201/AY201-1),"")</f>
        <v>0</v>
      </c>
      <c r="BA202" s="12">
        <f>IFERROR(IF(AZ201=0,"",BA201/AZ201-1),"")</f>
        <v>0</v>
      </c>
      <c r="BB202" s="55">
        <f>IFERROR(IF(BA201=0,"",BB201/BA201-1),"")</f>
        <v>0</v>
      </c>
      <c r="BC202" s="55">
        <f>IFERROR(IF(BB201=0,"",BC201/BB201-1),"")</f>
        <v>0</v>
      </c>
      <c r="BD202" s="55">
        <f>IFERROR(IF(BC201=0,"",BD201/BC201-1),"")</f>
        <v>0</v>
      </c>
      <c r="BE202" s="55">
        <f>IFERROR(IF(BD201=0,"",BE201/BD201-1),"")</f>
        <v>0</v>
      </c>
      <c r="BF202" s="12">
        <f>IFERROR(IF(BE201=0,"",BF201/BE201-1),"")</f>
        <v>0</v>
      </c>
      <c r="BG202" s="55" t="n"/>
      <c r="BH202" s="55" t="n"/>
      <c r="BI202" s="55" t="n"/>
      <c r="BJ202" s="55" t="n"/>
      <c r="BK202" s="12" t="n"/>
      <c r="BL202" s="55" t="n"/>
      <c r="BM202" s="55" t="n"/>
      <c r="BN202" s="55" t="n"/>
      <c r="BO202" s="55" t="n"/>
      <c r="BP202" s="12" t="n"/>
      <c r="BQ202" s="55" t="n"/>
      <c r="BR202" s="55" t="n"/>
      <c r="BS202" s="55" t="n"/>
      <c r="BT202" s="55" t="n"/>
      <c r="BU202" s="12" t="n"/>
      <c r="BV202" s="55" t="n"/>
      <c r="BW202" s="55" t="n"/>
      <c r="BX202" s="55" t="n"/>
      <c r="BY202" s="55" t="n"/>
      <c r="BZ202" s="12" t="n"/>
      <c r="CA202" s="55" t="n"/>
      <c r="CB202" s="55" t="n"/>
      <c r="CC202" s="55" t="n"/>
      <c r="CD202" s="55" t="n"/>
      <c r="CE202" s="12" t="n"/>
      <c r="CF202" s="55" t="n"/>
      <c r="CG202" s="55" t="n"/>
      <c r="CH202" s="55" t="n"/>
      <c r="CI202" s="55" t="n"/>
      <c r="CJ202" s="12" t="n"/>
      <c r="CK202" s="55" t="n"/>
      <c r="CL202" s="55" t="n"/>
      <c r="CM202" s="55" t="n"/>
      <c r="CN202" s="55" t="n"/>
      <c r="CO202" s="12" t="n"/>
      <c r="CP202" s="55" t="n"/>
      <c r="CQ202" s="55" t="n"/>
      <c r="CR202" s="55" t="n"/>
      <c r="CS202" s="55" t="n"/>
      <c r="CT202" s="12" t="n"/>
      <c r="CU202" s="55" t="n"/>
      <c r="CV202" s="55" t="n"/>
      <c r="CW202" s="55" t="n"/>
      <c r="CX202" s="55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7" t="inlineStr">
        <is>
          <t xml:space="preserve">Dividendos a Pagar </t>
        </is>
      </c>
      <c r="D204" s="11" t="n"/>
      <c r="E204" s="11" t="n"/>
      <c r="F204" s="11" t="n"/>
      <c r="G204" s="11" t="n"/>
      <c r="H204" s="12" t="n"/>
      <c r="I204" s="11" t="n"/>
      <c r="J204" s="11" t="n"/>
      <c r="K204" s="11" t="n"/>
      <c r="L204" s="11" t="n"/>
      <c r="M204" s="12" t="n"/>
      <c r="N204" s="11" t="n"/>
      <c r="O204" s="11" t="n"/>
      <c r="P204" s="11" t="n"/>
      <c r="Q204" s="11" t="n"/>
      <c r="R204" s="12" t="n"/>
      <c r="S204" s="11" t="n"/>
      <c r="T204" s="11" t="n"/>
      <c r="U204" s="11" t="n"/>
      <c r="V204" s="11" t="n"/>
      <c r="W204" s="12" t="n"/>
      <c r="X204" s="11" t="n"/>
      <c r="Y204" s="11" t="n"/>
      <c r="Z204" s="11" t="n"/>
      <c r="AA204" s="11" t="n"/>
      <c r="AB204" s="12" t="n"/>
      <c r="AC204" s="11" t="n"/>
      <c r="AD204" s="11" t="n"/>
      <c r="AE204" s="11" t="n"/>
      <c r="AF204" s="11" t="n"/>
      <c r="AG204" s="12" t="n"/>
      <c r="AH204" s="11" t="n"/>
      <c r="AI204" s="11" t="n"/>
      <c r="AJ204" s="11" t="n"/>
      <c r="AK204" s="11" t="n"/>
      <c r="AL204" s="12" t="n"/>
      <c r="AM204" s="11" t="n"/>
      <c r="AN204" s="11" t="n"/>
      <c r="AO204" s="11" t="n"/>
      <c r="AP204" s="11" t="n"/>
      <c r="AQ204" s="12" t="n"/>
      <c r="AR204" s="11" t="n"/>
      <c r="AS204" s="11" t="n"/>
      <c r="AT204" s="11" t="n"/>
      <c r="AU204" s="11" t="n"/>
      <c r="AV204" s="12" t="n"/>
      <c r="AW204" s="11" t="n"/>
      <c r="AX204" s="11" t="n"/>
      <c r="AY204" s="11" t="n"/>
      <c r="AZ204" s="11" t="n"/>
      <c r="BA204" s="12" t="n"/>
      <c r="BB204" s="11" t="n"/>
      <c r="BC204" s="11" t="n"/>
      <c r="BD204" s="11" t="n"/>
      <c r="BE204" s="11" t="n"/>
      <c r="BF204" s="12" t="n"/>
      <c r="BG204" s="11" t="n"/>
      <c r="BH204" s="11" t="n"/>
      <c r="BI204" s="11" t="n"/>
      <c r="BJ204" s="11" t="n"/>
      <c r="BK204" s="12" t="n"/>
      <c r="BL204" s="11" t="n"/>
      <c r="BM204" s="11" t="n"/>
      <c r="BN204" s="11" t="n"/>
      <c r="BO204" s="11" t="n"/>
      <c r="BP204" s="12" t="n"/>
      <c r="BQ204" s="11" t="n"/>
      <c r="BR204" s="11" t="n"/>
      <c r="BS204" s="11" t="n"/>
      <c r="BT204" s="11" t="n"/>
      <c r="BU204" s="12" t="n"/>
      <c r="BV204" s="11" t="n"/>
      <c r="BW204" s="11" t="n"/>
      <c r="BX204" s="11" t="n"/>
      <c r="BY204" s="11" t="n"/>
      <c r="BZ204" s="12" t="n"/>
      <c r="CA204" s="11" t="n"/>
      <c r="CB204" s="11" t="n"/>
      <c r="CC204" s="11" t="n"/>
      <c r="CD204" s="11" t="n"/>
      <c r="CE204" s="12" t="n"/>
      <c r="CF204" s="11" t="n"/>
      <c r="CG204" s="11" t="n"/>
      <c r="CH204" s="11" t="n"/>
      <c r="CI204" s="11" t="n"/>
      <c r="CJ204" s="12" t="n"/>
      <c r="CK204" s="11" t="n"/>
      <c r="CL204" s="11" t="n"/>
      <c r="CM204" s="11" t="n"/>
      <c r="CN204" s="11" t="n"/>
      <c r="CO204" s="12" t="n"/>
      <c r="CP204" s="11" t="n"/>
      <c r="CQ204" s="11" t="n"/>
      <c r="CR204" s="11" t="n"/>
      <c r="CS204" s="11" t="n"/>
      <c r="CT204" s="12" t="n"/>
      <c r="CU204" s="11" t="n"/>
      <c r="CV204" s="11" t="n"/>
      <c r="CW204" s="11" t="n"/>
      <c r="CX204" s="11" t="n"/>
      <c r="CY204" s="12" t="n"/>
    </row>
    <row r="205" hidden="1" outlineLevel="1">
      <c r="C205" s="57" t="inlineStr">
        <is>
          <t>Contas a pagar pela aquisição de controladas</t>
        </is>
      </c>
      <c r="D205" s="11" t="n"/>
      <c r="E205" s="11" t="n"/>
      <c r="F205" s="11" t="n"/>
      <c r="G205" s="11" t="n"/>
      <c r="H205" s="12" t="n"/>
      <c r="I205" s="11" t="n"/>
      <c r="J205" s="11" t="n"/>
      <c r="K205" s="11" t="n"/>
      <c r="L205" s="11" t="n"/>
      <c r="M205" s="12" t="n"/>
      <c r="N205" s="11" t="n"/>
      <c r="O205" s="11" t="n"/>
      <c r="P205" s="11" t="n"/>
      <c r="Q205" s="11" t="n"/>
      <c r="R205" s="12" t="n"/>
      <c r="S205" s="11" t="n"/>
      <c r="T205" s="11" t="n"/>
      <c r="U205" s="11" t="n"/>
      <c r="V205" s="11" t="n"/>
      <c r="W205" s="12" t="n"/>
      <c r="X205" s="11" t="n"/>
      <c r="Y205" s="11" t="n"/>
      <c r="Z205" s="11" t="n"/>
      <c r="AA205" s="11" t="n"/>
      <c r="AB205" s="12" t="n"/>
      <c r="AC205" s="11" t="n"/>
      <c r="AD205" s="11" t="n"/>
      <c r="AE205" s="11" t="n"/>
      <c r="AF205" s="11" t="n"/>
      <c r="AG205" s="12" t="n"/>
      <c r="AH205" s="11" t="n"/>
      <c r="AI205" s="11" t="n"/>
      <c r="AJ205" s="11" t="n"/>
      <c r="AK205" s="11" t="n"/>
      <c r="AL205" s="12" t="n"/>
      <c r="AM205" s="11" t="n"/>
      <c r="AN205" s="11" t="n"/>
      <c r="AO205" s="11" t="n"/>
      <c r="AP205" s="11" t="n"/>
      <c r="AQ205" s="12" t="n"/>
      <c r="AR205" s="11" t="n"/>
      <c r="AS205" s="11" t="n"/>
      <c r="AT205" s="11" t="n"/>
      <c r="AU205" s="11" t="n"/>
      <c r="AV205" s="12" t="n"/>
      <c r="AW205" s="11" t="n"/>
      <c r="AX205" s="11" t="n"/>
      <c r="AY205" s="11" t="n"/>
      <c r="AZ205" s="11" t="n"/>
      <c r="BA205" s="12" t="n"/>
      <c r="BB205" s="11" t="n"/>
      <c r="BC205" s="11" t="n"/>
      <c r="BD205" s="11" t="n"/>
      <c r="BE205" s="11" t="n"/>
      <c r="BF205" s="12" t="n"/>
      <c r="BG205" s="11" t="n"/>
      <c r="BH205" s="11" t="n"/>
      <c r="BI205" s="11" t="n"/>
      <c r="BJ205" s="11" t="n"/>
      <c r="BK205" s="12" t="n"/>
      <c r="BL205" s="11" t="n"/>
      <c r="BM205" s="11" t="n"/>
      <c r="BN205" s="11" t="n"/>
      <c r="BO205" s="11" t="n"/>
      <c r="BP205" s="12" t="n"/>
      <c r="BQ205" s="11" t="n"/>
      <c r="BR205" s="11" t="n"/>
      <c r="BS205" s="11" t="n"/>
      <c r="BT205" s="11" t="n"/>
      <c r="BU205" s="12" t="n"/>
      <c r="BV205" s="11" t="n"/>
      <c r="BW205" s="11" t="n"/>
      <c r="BX205" s="11" t="n"/>
      <c r="BY205" s="11" t="n"/>
      <c r="BZ205" s="12" t="n"/>
      <c r="CA205" s="11" t="n"/>
      <c r="CB205" s="11" t="n"/>
      <c r="CC205" s="11" t="n"/>
      <c r="CD205" s="11" t="n"/>
      <c r="CE205" s="12" t="n"/>
      <c r="CF205" s="11" t="n"/>
      <c r="CG205" s="11" t="n"/>
      <c r="CH205" s="11" t="n"/>
      <c r="CI205" s="11" t="n"/>
      <c r="CJ205" s="12" t="n"/>
      <c r="CK205" s="11" t="n"/>
      <c r="CL205" s="11" t="n"/>
      <c r="CM205" s="11" t="n"/>
      <c r="CN205" s="11" t="n"/>
      <c r="CO205" s="12" t="n"/>
      <c r="CP205" s="11" t="n"/>
      <c r="CQ205" s="11" t="n"/>
      <c r="CR205" s="11" t="n"/>
      <c r="CS205" s="11" t="n"/>
      <c r="CT205" s="12" t="n"/>
      <c r="CU205" s="11" t="n"/>
      <c r="CV205" s="11" t="n"/>
      <c r="CW205" s="11" t="n"/>
      <c r="CX205" s="11" t="n"/>
      <c r="CY205" s="12" t="n"/>
    </row>
    <row r="206" hidden="1" outlineLevel="1">
      <c r="C206" s="57" t="inlineStr">
        <is>
          <t>Outros</t>
        </is>
      </c>
      <c r="D206" s="11" t="n"/>
      <c r="E206" s="11" t="n"/>
      <c r="F206" s="11" t="n"/>
      <c r="G206" s="11" t="n"/>
      <c r="H206" s="12" t="n"/>
      <c r="I206" s="11" t="n"/>
      <c r="J206" s="11" t="n"/>
      <c r="K206" s="11" t="n"/>
      <c r="L206" s="11" t="n"/>
      <c r="M206" s="12" t="n"/>
      <c r="N206" s="11" t="n"/>
      <c r="O206" s="11" t="n"/>
      <c r="P206" s="11" t="n"/>
      <c r="Q206" s="11" t="n"/>
      <c r="R206" s="12" t="n"/>
      <c r="S206" s="11" t="n"/>
      <c r="T206" s="11" t="n"/>
      <c r="U206" s="11" t="n"/>
      <c r="V206" s="11" t="n"/>
      <c r="W206" s="12" t="n"/>
      <c r="X206" s="11" t="n"/>
      <c r="Y206" s="11" t="n"/>
      <c r="Z206" s="11" t="n"/>
      <c r="AA206" s="11" t="n"/>
      <c r="AB206" s="12" t="n"/>
      <c r="AC206" s="11" t="n"/>
      <c r="AD206" s="11" t="n"/>
      <c r="AE206" s="11" t="n"/>
      <c r="AF206" s="11" t="n"/>
      <c r="AG206" s="12" t="n"/>
      <c r="AH206" s="11" t="n"/>
      <c r="AI206" s="11" t="n"/>
      <c r="AJ206" s="11" t="n"/>
      <c r="AK206" s="11" t="n"/>
      <c r="AL206" s="12" t="n"/>
      <c r="AM206" s="11" t="n"/>
      <c r="AN206" s="11" t="n"/>
      <c r="AO206" s="11" t="n"/>
      <c r="AP206" s="11" t="n"/>
      <c r="AQ206" s="12" t="n"/>
      <c r="AR206" s="11" t="n"/>
      <c r="AS206" s="11" t="n"/>
      <c r="AT206" s="11" t="n"/>
      <c r="AU206" s="11" t="n"/>
      <c r="AV206" s="12" t="n"/>
      <c r="AW206" s="11" t="n"/>
      <c r="AX206" s="11" t="n"/>
      <c r="AY206" s="11" t="n"/>
      <c r="AZ206" s="11" t="n"/>
      <c r="BA206" s="12" t="n"/>
      <c r="BB206" s="11" t="n"/>
      <c r="BC206" s="11" t="n"/>
      <c r="BD206" s="11" t="n"/>
      <c r="BE206" s="11" t="n"/>
      <c r="BF206" s="12" t="n"/>
      <c r="BG206" s="11" t="n"/>
      <c r="BH206" s="11" t="n"/>
      <c r="BI206" s="11" t="n"/>
      <c r="BJ206" s="11" t="n"/>
      <c r="BK206" s="12" t="n"/>
      <c r="BL206" s="11" t="n"/>
      <c r="BM206" s="11" t="n"/>
      <c r="BN206" s="11" t="n"/>
      <c r="BO206" s="11" t="n"/>
      <c r="BP206" s="12" t="n"/>
      <c r="BQ206" s="11" t="n"/>
      <c r="BR206" s="11" t="n"/>
      <c r="BS206" s="11" t="n"/>
      <c r="BT206" s="11" t="n"/>
      <c r="BU206" s="12" t="n"/>
      <c r="BV206" s="11" t="n"/>
      <c r="BW206" s="11" t="n"/>
      <c r="BX206" s="11" t="n"/>
      <c r="BY206" s="11" t="n"/>
      <c r="BZ206" s="12" t="n"/>
      <c r="CA206" s="11" t="n"/>
      <c r="CB206" s="11" t="n"/>
      <c r="CC206" s="11" t="n"/>
      <c r="CD206" s="11" t="n"/>
      <c r="CE206" s="12" t="n"/>
      <c r="CF206" s="11" t="n"/>
      <c r="CG206" s="11" t="n"/>
      <c r="CH206" s="11" t="n"/>
      <c r="CI206" s="11" t="n"/>
      <c r="CJ206" s="12" t="n"/>
      <c r="CK206" s="11" t="n"/>
      <c r="CL206" s="11" t="n"/>
      <c r="CM206" s="11" t="n"/>
      <c r="CN206" s="11" t="n"/>
      <c r="CO206" s="12" t="n"/>
      <c r="CP206" s="11" t="n"/>
      <c r="CQ206" s="11" t="n"/>
      <c r="CR206" s="11" t="n"/>
      <c r="CS206" s="11" t="n"/>
      <c r="CT206" s="12" t="n"/>
      <c r="CU206" s="11" t="n"/>
      <c r="CV206" s="11" t="n"/>
      <c r="CW206" s="11" t="n"/>
      <c r="CX206" s="11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collapsed="1">
      <c r="C208" s="14" t="inlineStr">
        <is>
          <t>Current portion of long-term debt</t>
        </is>
      </c>
      <c r="D208" s="46" t="n"/>
      <c r="E208" s="46" t="n"/>
      <c r="F208" s="46" t="n"/>
      <c r="G208" s="46" t="n"/>
      <c r="H208" s="12" t="n"/>
      <c r="I208" s="46">
        <f>'Inputs (2)'!D32</f>
        <v>323</v>
      </c>
      <c r="J208" s="46">
        <f>'Inputs (2)'!E32</f>
        <v>297</v>
      </c>
      <c r="K208" s="46">
        <f>'Inputs (2)'!F32</f>
        <v>155</v>
      </c>
      <c r="L208" s="46">
        <f>'Inputs (2)'!G32</f>
        <v>118</v>
      </c>
      <c r="M208" s="12">
        <f>'Inputs (2)'!H32</f>
        <v>118</v>
      </c>
      <c r="N208" s="46">
        <f>'Inputs (2)'!I32</f>
        <v>123</v>
      </c>
      <c r="O208" s="46">
        <f>'Inputs (2)'!J32</f>
        <v>107</v>
      </c>
      <c r="P208" s="46">
        <f>'Inputs (2)'!K32</f>
        <v>103</v>
      </c>
      <c r="Q208" s="46">
        <f>'Inputs (2)'!L32</f>
        <v>171</v>
      </c>
      <c r="R208" s="12">
        <f>'Inputs (2)'!M32</f>
        <v>171</v>
      </c>
      <c r="S208" s="46">
        <f>'Inputs (2)'!N32</f>
        <v>237</v>
      </c>
      <c r="T208" s="46">
        <f>'Inputs (2)'!O32</f>
        <v>259</v>
      </c>
      <c r="U208" s="46">
        <f>'Inputs (2)'!P32</f>
        <v>278</v>
      </c>
      <c r="V208" s="46">
        <f>'Inputs (2)'!Q32</f>
        <v>908</v>
      </c>
      <c r="W208" s="12">
        <f>'Inputs (2)'!R32</f>
        <v>908</v>
      </c>
      <c r="X208" s="46">
        <f>'Inputs (2)'!S32</f>
        <v>344</v>
      </c>
      <c r="Y208" s="46">
        <f>'Inputs (2)'!T32</f>
        <v>398</v>
      </c>
      <c r="Z208" s="46">
        <f>'Inputs (2)'!U32</f>
        <v>431</v>
      </c>
      <c r="AA208" s="46">
        <f>'Inputs (2)'!V32</f>
        <v>533</v>
      </c>
      <c r="AB208" s="12">
        <f>'Inputs (2)'!W32</f>
        <v>533</v>
      </c>
      <c r="AC208" s="46">
        <f>'Inputs (2)'!X32</f>
        <v>504</v>
      </c>
      <c r="AD208" s="46">
        <f>'Inputs (2)'!Y32</f>
        <v>538</v>
      </c>
      <c r="AE208" s="46">
        <f>'Inputs (2)'!Z32</f>
        <v>560</v>
      </c>
      <c r="AF208" s="46">
        <f>'Inputs (2)'!AA32</f>
        <v>569</v>
      </c>
      <c r="AG208" s="12">
        <f>'Inputs (2)'!AB32</f>
        <v>569</v>
      </c>
      <c r="AH208" s="12">
        <f>'Inputs (2)'!AC32</f>
        <v>585</v>
      </c>
      <c r="AI208" s="12">
        <f>'Inputs (2)'!AD32</f>
        <v>582</v>
      </c>
      <c r="AJ208" s="12">
        <f>AI208</f>
        <v>582</v>
      </c>
      <c r="AK208" s="12">
        <f>AJ208</f>
        <v>582</v>
      </c>
      <c r="AL208" s="12">
        <f>AK208</f>
        <v>582</v>
      </c>
      <c r="AM208" s="12">
        <f>AL208</f>
        <v>582</v>
      </c>
      <c r="AN208" s="12">
        <f>AM208</f>
        <v>582</v>
      </c>
      <c r="AO208" s="12">
        <f>AN208</f>
        <v>582</v>
      </c>
      <c r="AP208" s="12">
        <f>AO208</f>
        <v>582</v>
      </c>
      <c r="AQ208" s="12">
        <f>AP208</f>
        <v>582</v>
      </c>
      <c r="AR208" s="12">
        <f>AQ208</f>
        <v>582</v>
      </c>
      <c r="AS208" s="12">
        <f>AR208</f>
        <v>582</v>
      </c>
      <c r="AT208" s="12">
        <f>AS208</f>
        <v>582</v>
      </c>
      <c r="AU208" s="12">
        <f>AT208</f>
        <v>582</v>
      </c>
      <c r="AV208" s="12">
        <f>AU208</f>
        <v>582</v>
      </c>
      <c r="AW208" s="12">
        <f>AV208</f>
        <v>582</v>
      </c>
      <c r="AX208" s="12">
        <f>AW208</f>
        <v>582</v>
      </c>
      <c r="AY208" s="12">
        <f>AX208</f>
        <v>582</v>
      </c>
      <c r="AZ208" s="12">
        <f>AY208</f>
        <v>582</v>
      </c>
      <c r="BA208" s="12">
        <f>AZ208</f>
        <v>582</v>
      </c>
      <c r="BB208" s="12">
        <f>BA208</f>
        <v>582</v>
      </c>
      <c r="BC208" s="12">
        <f>BB208</f>
        <v>582</v>
      </c>
      <c r="BD208" s="12">
        <f>BC208</f>
        <v>582</v>
      </c>
      <c r="BE208" s="12">
        <f>BD208</f>
        <v>582</v>
      </c>
      <c r="BF208" s="12">
        <f>BE208</f>
        <v>582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>
      <c r="C209" s="14" t="inlineStr">
        <is>
          <t>Short term debt (Revolving credit facility)</t>
        </is>
      </c>
      <c r="D209" s="46" t="n"/>
      <c r="E209" s="46" t="n"/>
      <c r="F209" s="46" t="n"/>
      <c r="G209" s="46" t="n"/>
      <c r="H209" s="12" t="n"/>
      <c r="I209" s="46">
        <f>'Inputs (2)'!D33</f>
        <v>0</v>
      </c>
      <c r="J209" s="46">
        <f>'Inputs (2)'!E33</f>
        <v>0</v>
      </c>
      <c r="K209" s="46">
        <f>'Inputs (2)'!F33</f>
        <v>0</v>
      </c>
      <c r="L209" s="46">
        <f>'Inputs (2)'!G33</f>
        <v>0</v>
      </c>
      <c r="M209" s="12">
        <f>'Inputs (2)'!H33</f>
        <v>0</v>
      </c>
      <c r="N209" s="46">
        <f>'Inputs (2)'!I33</f>
        <v>0</v>
      </c>
      <c r="O209" s="46">
        <f>'Inputs (2)'!J33</f>
        <v>0</v>
      </c>
      <c r="P209" s="46">
        <f>'Inputs (2)'!K33</f>
        <v>0</v>
      </c>
      <c r="Q209" s="46">
        <f>'Inputs (2)'!L33</f>
        <v>0</v>
      </c>
      <c r="R209" s="12">
        <f>'Inputs (2)'!M33</f>
        <v>0</v>
      </c>
      <c r="S209" s="46">
        <f>'Inputs (2)'!N33</f>
        <v>0</v>
      </c>
      <c r="T209" s="46">
        <f>'Inputs (2)'!O33</f>
        <v>0</v>
      </c>
      <c r="U209" s="46">
        <f>'Inputs (2)'!P33</f>
        <v>0</v>
      </c>
      <c r="V209" s="46">
        <f>'Inputs (2)'!Q33</f>
        <v>0</v>
      </c>
      <c r="W209" s="12">
        <f>'Inputs (2)'!R33</f>
        <v>0</v>
      </c>
      <c r="X209" s="46">
        <f>'Inputs (2)'!S33</f>
        <v>0</v>
      </c>
      <c r="Y209" s="46">
        <f>'Inputs (2)'!T33</f>
        <v>0</v>
      </c>
      <c r="Z209" s="46">
        <f>'Inputs (2)'!U33</f>
        <v>0</v>
      </c>
      <c r="AA209" s="46">
        <f>'Inputs (2)'!V33</f>
        <v>0</v>
      </c>
      <c r="AB209" s="12">
        <f>'Inputs (2)'!W33</f>
        <v>0</v>
      </c>
      <c r="AC209" s="46">
        <f>'Inputs (2)'!X33</f>
        <v>0</v>
      </c>
      <c r="AD209" s="46">
        <f>'Inputs (2)'!Y33</f>
        <v>0</v>
      </c>
      <c r="AE209" s="46">
        <f>'Inputs (2)'!Z33</f>
        <v>0</v>
      </c>
      <c r="AF209" s="46">
        <f>'Inputs (2)'!AA33</f>
        <v>0</v>
      </c>
      <c r="AG209" s="12">
        <f>'Inputs (2)'!AB33</f>
        <v>0</v>
      </c>
      <c r="AH209" s="12">
        <f>'Inputs (2)'!AC33</f>
        <v>0</v>
      </c>
      <c r="AI209" s="12">
        <f>'Inputs (2)'!AD33</f>
        <v>0</v>
      </c>
      <c r="AJ209" s="12">
        <f>AI209</f>
        <v>0</v>
      </c>
      <c r="AK209" s="12">
        <f>AJ209</f>
        <v>0</v>
      </c>
      <c r="AL209" s="12">
        <f>AK209</f>
        <v>0</v>
      </c>
      <c r="AM209" s="12">
        <f>AL209</f>
        <v>0</v>
      </c>
      <c r="AN209" s="12">
        <f>AM209</f>
        <v>0</v>
      </c>
      <c r="AO209" s="12">
        <f>AN209</f>
        <v>0</v>
      </c>
      <c r="AP209" s="12">
        <f>AO209</f>
        <v>0</v>
      </c>
      <c r="AQ209" s="12">
        <f>AP209</f>
        <v>0</v>
      </c>
      <c r="AR209" s="12">
        <f>AQ209</f>
        <v>0</v>
      </c>
      <c r="AS209" s="12">
        <f>AR209</f>
        <v>0</v>
      </c>
      <c r="AT209" s="12">
        <f>AS209</f>
        <v>0</v>
      </c>
      <c r="AU209" s="12">
        <f>AT209</f>
        <v>0</v>
      </c>
      <c r="AV209" s="12">
        <f>AU209</f>
        <v>0</v>
      </c>
      <c r="AW209" s="12">
        <f>AV209</f>
        <v>0</v>
      </c>
      <c r="AX209" s="12">
        <f>AW209</f>
        <v>0</v>
      </c>
      <c r="AY209" s="12">
        <f>AX209</f>
        <v>0</v>
      </c>
      <c r="AZ209" s="12">
        <f>AY209</f>
        <v>0</v>
      </c>
      <c r="BA209" s="12">
        <f>AZ209</f>
        <v>0</v>
      </c>
      <c r="BB209" s="12">
        <f>BA209</f>
        <v>0</v>
      </c>
      <c r="BC209" s="12">
        <f>BB209</f>
        <v>0</v>
      </c>
      <c r="BD209" s="12">
        <f>BC209</f>
        <v>0</v>
      </c>
      <c r="BE209" s="12">
        <f>BD209</f>
        <v>0</v>
      </c>
      <c r="BF209" s="12">
        <f>BE209</f>
        <v>0</v>
      </c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>
      <c r="C210" s="14" t="inlineStr">
        <is>
          <t>Short term operating leases</t>
        </is>
      </c>
      <c r="D210" s="46" t="n"/>
      <c r="E210" s="46" t="n"/>
      <c r="F210" s="46" t="n"/>
      <c r="G210" s="46" t="n"/>
      <c r="H210" s="12" t="n"/>
      <c r="I210" s="46">
        <f>'Inputs (2)'!D34</f>
        <v>0</v>
      </c>
      <c r="J210" s="46">
        <f>'Inputs (2)'!E34</f>
        <v>0</v>
      </c>
      <c r="K210" s="46">
        <f>'Inputs (2)'!F34</f>
        <v>0</v>
      </c>
      <c r="L210" s="46">
        <f>'Inputs (2)'!G34</f>
        <v>0</v>
      </c>
      <c r="M210" s="12">
        <f>'Inputs (2)'!H34</f>
        <v>0</v>
      </c>
      <c r="N210" s="46">
        <f>'Inputs (2)'!I34</f>
        <v>0</v>
      </c>
      <c r="O210" s="46">
        <f>'Inputs (2)'!J34</f>
        <v>0</v>
      </c>
      <c r="P210" s="46">
        <f>'Inputs (2)'!K34</f>
        <v>0</v>
      </c>
      <c r="Q210" s="46">
        <f>'Inputs (2)'!L34</f>
        <v>0</v>
      </c>
      <c r="R210" s="12">
        <f>'Inputs (2)'!M34</f>
        <v>0</v>
      </c>
      <c r="S210" s="46">
        <f>'Inputs (2)'!N34</f>
        <v>0</v>
      </c>
      <c r="T210" s="46">
        <f>'Inputs (2)'!O34</f>
        <v>0</v>
      </c>
      <c r="U210" s="46">
        <f>'Inputs (2)'!P34</f>
        <v>0</v>
      </c>
      <c r="V210" s="46">
        <f>'Inputs (2)'!Q34</f>
        <v>0</v>
      </c>
      <c r="W210" s="12">
        <f>'Inputs (2)'!R34</f>
        <v>0</v>
      </c>
      <c r="X210" s="46">
        <f>'Inputs (2)'!S34</f>
        <v>0</v>
      </c>
      <c r="Y210" s="46">
        <f>'Inputs (2)'!T34</f>
        <v>0</v>
      </c>
      <c r="Z210" s="46">
        <f>'Inputs (2)'!U34</f>
        <v>0</v>
      </c>
      <c r="AA210" s="46">
        <f>'Inputs (2)'!V34</f>
        <v>0</v>
      </c>
      <c r="AB210" s="12">
        <f>'Inputs (2)'!W34</f>
        <v>0</v>
      </c>
      <c r="AC210" s="46">
        <f>'Inputs (2)'!X34</f>
        <v>0</v>
      </c>
      <c r="AD210" s="46">
        <f>'Inputs (2)'!Y34</f>
        <v>0</v>
      </c>
      <c r="AE210" s="46">
        <f>'Inputs (2)'!Z34</f>
        <v>0</v>
      </c>
      <c r="AF210" s="46">
        <f>'Inputs (2)'!AA34</f>
        <v>0</v>
      </c>
      <c r="AG210" s="12">
        <f>'Inputs (2)'!AB34</f>
        <v>0</v>
      </c>
      <c r="AH210" s="12">
        <f>'Inputs (2)'!AC34</f>
        <v>0</v>
      </c>
      <c r="AI210" s="12">
        <f>'Inputs (2)'!AD34</f>
        <v>0</v>
      </c>
      <c r="AJ210" s="12">
        <f>AI210</f>
        <v>0</v>
      </c>
      <c r="AK210" s="12">
        <f>AJ210</f>
        <v>0</v>
      </c>
      <c r="AL210" s="12">
        <f>AK210</f>
        <v>0</v>
      </c>
      <c r="AM210" s="12">
        <f>AL210</f>
        <v>0</v>
      </c>
      <c r="AN210" s="12">
        <f>AM210</f>
        <v>0</v>
      </c>
      <c r="AO210" s="12">
        <f>AN210</f>
        <v>0</v>
      </c>
      <c r="AP210" s="12">
        <f>AO210</f>
        <v>0</v>
      </c>
      <c r="AQ210" s="12">
        <f>AP210</f>
        <v>0</v>
      </c>
      <c r="AR210" s="12">
        <f>AQ210</f>
        <v>0</v>
      </c>
      <c r="AS210" s="12">
        <f>AR210</f>
        <v>0</v>
      </c>
      <c r="AT210" s="12">
        <f>AS210</f>
        <v>0</v>
      </c>
      <c r="AU210" s="12">
        <f>AT210</f>
        <v>0</v>
      </c>
      <c r="AV210" s="12">
        <f>AU210</f>
        <v>0</v>
      </c>
      <c r="AW210" s="12">
        <f>AV210</f>
        <v>0</v>
      </c>
      <c r="AX210" s="12">
        <f>AW210</f>
        <v>0</v>
      </c>
      <c r="AY210" s="12">
        <f>AX210</f>
        <v>0</v>
      </c>
      <c r="AZ210" s="12">
        <f>AY210</f>
        <v>0</v>
      </c>
      <c r="BA210" s="12">
        <f>AZ210</f>
        <v>0</v>
      </c>
      <c r="BB210" s="12">
        <f>BA210</f>
        <v>0</v>
      </c>
      <c r="BC210" s="12">
        <f>BB210</f>
        <v>0</v>
      </c>
      <c r="BD210" s="12">
        <f>BC210</f>
        <v>0</v>
      </c>
      <c r="BE210" s="12">
        <f>BD210</f>
        <v>0</v>
      </c>
      <c r="BF210" s="12">
        <f>BE210</f>
        <v>0</v>
      </c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9" t="inlineStr">
        <is>
          <t>%(Var.)</t>
        </is>
      </c>
      <c r="D211" s="12" t="n"/>
      <c r="E211" s="40" t="n"/>
      <c r="F211" s="40" t="n"/>
      <c r="G211" s="40" t="n"/>
      <c r="H211" s="12" t="n"/>
      <c r="I211" s="40" t="str">
        <f>""</f>
        <v/>
      </c>
      <c r="J211" s="40" t="str">
        <f>IFERROR(IF(I210=0,"",J210/I210-1),"")</f>
        <v/>
      </c>
      <c r="K211" s="40" t="str">
        <f>IFERROR(IF(J210=0,"",K210/J210-1),"")</f>
        <v/>
      </c>
      <c r="L211" s="40" t="str">
        <f>IFERROR(IF(K210=0,"",L210/K210-1),"")</f>
        <v/>
      </c>
      <c r="M211" s="12" t="str">
        <f>IF(L210=0,"",M210/L210-1)</f>
        <v/>
      </c>
      <c r="N211" s="40" t="str">
        <f>IFERROR(IF(M210=0,"",N210/M210-1),"")</f>
        <v/>
      </c>
      <c r="O211" s="40" t="str">
        <f>IFERROR(IF(N210=0,"",O210/N210-1),"")</f>
        <v/>
      </c>
      <c r="P211" s="40" t="str">
        <f>IFERROR(IF(O210=0,"",P210/O210-1),"")</f>
        <v/>
      </c>
      <c r="Q211" s="40" t="str">
        <f>IFERROR(IF(P210=0,"",Q210/P210-1),"")</f>
        <v/>
      </c>
      <c r="R211" s="12" t="str">
        <f>IF(Q210=0,"",R210/Q210-1)</f>
        <v/>
      </c>
      <c r="S211" s="40" t="str">
        <f>IFERROR(IF(R210=0,"",S210/R210-1),"")</f>
        <v/>
      </c>
      <c r="T211" s="40" t="str">
        <f>IFERROR(IF(S210=0,"",T210/S210-1),"")</f>
        <v/>
      </c>
      <c r="U211" s="40" t="str">
        <f>IFERROR(IF(T210=0,"",U210/T210-1),"")</f>
        <v/>
      </c>
      <c r="V211" s="40" t="str">
        <f>IFERROR(IF(U210=0,"",V210/U210-1),"")</f>
        <v/>
      </c>
      <c r="W211" s="12" t="str">
        <f>IF(V210=0,"",W210/V210-1)</f>
        <v/>
      </c>
      <c r="X211" s="40" t="str">
        <f>IFERROR(IF(W210=0,"",X210/W210-1),"")</f>
        <v/>
      </c>
      <c r="Y211" s="40" t="str">
        <f>IFERROR(IF(X210=0,"",Y210/X210-1),"")</f>
        <v/>
      </c>
      <c r="Z211" s="40" t="str">
        <f>IFERROR(IF(Y210=0,"",Z210/Y210-1),"")</f>
        <v/>
      </c>
      <c r="AA211" s="40" t="str">
        <f>IFERROR(IF(Z210=0,"",AA210/Z210-1),"")</f>
        <v/>
      </c>
      <c r="AB211" s="12" t="str">
        <f>IF(AA210=0,"",AB210/AA210-1)</f>
        <v/>
      </c>
      <c r="AC211" s="40" t="str">
        <f>IFERROR(IF(AB210=0,"",AC210/AB210-1),"")</f>
        <v/>
      </c>
      <c r="AD211" s="40" t="str">
        <f>IFERROR(IF(AC210=0,"",AD210/AC210-1),"")</f>
        <v/>
      </c>
      <c r="AE211" s="40" t="str">
        <f>IFERROR(IF(AD210=0,"",AE210/AD210-1),"")</f>
        <v/>
      </c>
      <c r="AF211" s="11" t="str">
        <f>IFERROR(IF(AE210=0,"",AF210/AE210-1),"")</f>
        <v/>
      </c>
      <c r="AG211" s="12" t="str">
        <f>IF(AF210=0,"",AG210/AF210-1)</f>
        <v/>
      </c>
      <c r="AH211" s="11" t="str">
        <f>IFERROR(IF(AG210=0,"",AH210/AG210-1),"")</f>
        <v/>
      </c>
      <c r="AI211" s="11" t="str">
        <f>IFERROR(IF(AH210=0,"",AI210/AH210-1),"")</f>
        <v/>
      </c>
      <c r="AJ211" s="11" t="str">
        <f>IFERROR(IF(AI210=0,"",AJ210/AI210-1),"")</f>
        <v/>
      </c>
      <c r="AK211" s="11" t="str">
        <f>IFERROR(IF(AJ210=0,"",AK210/AJ210-1),"")</f>
        <v/>
      </c>
      <c r="AL211" s="12" t="str">
        <f>IFERROR(IF(AK210=0,"",AL210/AK210-1),"")</f>
        <v/>
      </c>
      <c r="AM211" s="11" t="str">
        <f>IFERROR(IF(AL210=0,"",AM210/AL210-1),"")</f>
        <v/>
      </c>
      <c r="AN211" s="11" t="str">
        <f>IFERROR(IF(AM210=0,"",AN210/AM210-1),"")</f>
        <v/>
      </c>
      <c r="AO211" s="11" t="str">
        <f>IFERROR(IF(AN210=0,"",AO210/AN210-1),"")</f>
        <v/>
      </c>
      <c r="AP211" s="11" t="str">
        <f>IFERROR(IF(AO210=0,"",AP210/AO210-1),"")</f>
        <v/>
      </c>
      <c r="AQ211" s="12" t="str">
        <f>IFERROR(IF(AP210=0,"",AQ210/AP210-1),"")</f>
        <v/>
      </c>
      <c r="AR211" s="11" t="str">
        <f>IFERROR(IF(AQ210=0,"",AR210/AQ210-1),"")</f>
        <v/>
      </c>
      <c r="AS211" s="11" t="str">
        <f>IFERROR(IF(AR210=0,"",AS210/AR210-1),"")</f>
        <v/>
      </c>
      <c r="AT211" s="11" t="str">
        <f>IFERROR(IF(AS210=0,"",AT210/AS210-1),"")</f>
        <v/>
      </c>
      <c r="AU211" s="11" t="str">
        <f>IFERROR(IF(AT210=0,"",AU210/AT210-1),"")</f>
        <v/>
      </c>
      <c r="AV211" s="12" t="str">
        <f>IFERROR(IF(AU210=0,"",AV210/AU210-1),"")</f>
        <v/>
      </c>
      <c r="AW211" s="11" t="str">
        <f>IFERROR(IF(AV210=0,"",AW210/AV210-1),"")</f>
        <v/>
      </c>
      <c r="AX211" s="11" t="str">
        <f>IFERROR(IF(AW210=0,"",AX210/AW210-1),"")</f>
        <v/>
      </c>
      <c r="AY211" s="11" t="str">
        <f>IFERROR(IF(AX210=0,"",AY210/AX210-1),"")</f>
        <v/>
      </c>
      <c r="AZ211" s="11" t="str">
        <f>IFERROR(IF(AY210=0,"",AZ210/AY210-1),"")</f>
        <v/>
      </c>
      <c r="BA211" s="12" t="str">
        <f>IFERROR(IF(AZ210=0,"",BA210/AZ210-1),"")</f>
        <v/>
      </c>
      <c r="BB211" s="11" t="str">
        <f>IFERROR(IF(BA210=0,"",BB210/BA210-1),"")</f>
        <v/>
      </c>
      <c r="BC211" s="11" t="str">
        <f>IFERROR(IF(BB210=0,"",BC210/BB210-1),"")</f>
        <v/>
      </c>
      <c r="BD211" s="11" t="str">
        <f>IFERROR(IF(BC210=0,"",BD210/BC210-1),"")</f>
        <v/>
      </c>
      <c r="BE211" s="11" t="str">
        <f>IFERROR(IF(BD210=0,"",BE210/BD210-1),"")</f>
        <v/>
      </c>
      <c r="BF211" s="12" t="str">
        <f>IFERROR(IF(BE210=0,"",BF210/BE210-1),"")</f>
        <v/>
      </c>
      <c r="BG211" s="11" t="n"/>
      <c r="BH211" s="11" t="n"/>
      <c r="BI211" s="11" t="n"/>
      <c r="BJ211" s="11" t="n"/>
      <c r="BK211" s="12" t="n"/>
      <c r="BL211" s="11" t="n"/>
      <c r="BM211" s="11" t="n"/>
      <c r="BN211" s="11" t="n"/>
      <c r="BO211" s="11" t="n"/>
      <c r="BP211" s="12" t="n"/>
      <c r="BQ211" s="11" t="n"/>
      <c r="BR211" s="11" t="n"/>
      <c r="BS211" s="11" t="n"/>
      <c r="BT211" s="11" t="n"/>
      <c r="BU211" s="12" t="n"/>
      <c r="BV211" s="11" t="n"/>
      <c r="BW211" s="11" t="n"/>
      <c r="BX211" s="11" t="n"/>
      <c r="BY211" s="11" t="n"/>
      <c r="BZ211" s="12" t="n"/>
      <c r="CA211" s="11" t="n"/>
      <c r="CB211" s="11" t="n"/>
      <c r="CC211" s="11" t="n"/>
      <c r="CD211" s="11" t="n"/>
      <c r="CE211" s="12" t="n"/>
      <c r="CF211" s="11" t="n"/>
      <c r="CG211" s="11" t="n"/>
      <c r="CH211" s="11" t="n"/>
      <c r="CI211" s="11" t="n"/>
      <c r="CJ211" s="12" t="n"/>
      <c r="CK211" s="11" t="n"/>
      <c r="CL211" s="11" t="n"/>
      <c r="CM211" s="11" t="n"/>
      <c r="CN211" s="11" t="n"/>
      <c r="CO211" s="12" t="n"/>
      <c r="CP211" s="11" t="n"/>
      <c r="CQ211" s="11" t="n"/>
      <c r="CR211" s="11" t="n"/>
      <c r="CS211" s="11" t="n"/>
      <c r="CT211" s="12" t="n"/>
      <c r="CU211" s="11" t="n"/>
      <c r="CV211" s="11" t="n"/>
      <c r="CW211" s="11" t="n"/>
      <c r="CX211" s="11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collapsed="1">
      <c r="C213" s="14" t="inlineStr">
        <is>
          <t>Long term debt</t>
        </is>
      </c>
      <c r="D213" s="46" t="n"/>
      <c r="E213" s="46" t="n"/>
      <c r="F213" s="46" t="n"/>
      <c r="G213" s="46" t="n"/>
      <c r="H213" s="12" t="n"/>
      <c r="I213" s="46">
        <f>'Inputs (2)'!D35</f>
        <v>6298</v>
      </c>
      <c r="J213" s="46">
        <f>'Inputs (2)'!E35</f>
        <v>6418</v>
      </c>
      <c r="K213" s="46">
        <f>'Inputs (2)'!F35</f>
        <v>6621</v>
      </c>
      <c r="L213" s="46">
        <f>'Inputs (2)'!G35</f>
        <v>6904</v>
      </c>
      <c r="M213" s="12">
        <f>'Inputs (2)'!H35</f>
        <v>6904</v>
      </c>
      <c r="N213" s="46">
        <f>'Inputs (2)'!I35</f>
        <v>6953</v>
      </c>
      <c r="O213" s="46">
        <f>'Inputs (2)'!J35</f>
        <v>6856</v>
      </c>
      <c r="P213" s="46">
        <f>'Inputs (2)'!K35</f>
        <v>6803</v>
      </c>
      <c r="Q213" s="46">
        <f>'Inputs (2)'!L35</f>
        <v>10094</v>
      </c>
      <c r="R213" s="12">
        <f>'Inputs (2)'!M35</f>
        <v>10094</v>
      </c>
      <c r="S213" s="46">
        <f>'Inputs (2)'!N35</f>
        <v>12037</v>
      </c>
      <c r="T213" s="46">
        <f>'Inputs (2)'!O35</f>
        <v>12986</v>
      </c>
      <c r="U213" s="46">
        <f>'Inputs (2)'!P35</f>
        <v>13052</v>
      </c>
      <c r="V213" s="46">
        <f>'Inputs (2)'!Q35</f>
        <v>12597</v>
      </c>
      <c r="W213" s="12">
        <f>'Inputs (2)'!R35</f>
        <v>12597</v>
      </c>
      <c r="X213" s="46">
        <f>'Inputs (2)'!S35</f>
        <v>13378</v>
      </c>
      <c r="Y213" s="46">
        <f>'Inputs (2)'!T35</f>
        <v>12860</v>
      </c>
      <c r="Z213" s="46">
        <f>'Inputs (2)'!U35</f>
        <v>12966</v>
      </c>
      <c r="AA213" s="46">
        <f>'Inputs (2)'!V35</f>
        <v>13252</v>
      </c>
      <c r="AB213" s="12">
        <f>'Inputs (2)'!W35</f>
        <v>13252</v>
      </c>
      <c r="AC213" s="46">
        <f>'Inputs (2)'!X35</f>
        <v>13851</v>
      </c>
      <c r="AD213" s="46">
        <f>'Inputs (2)'!Y35</f>
        <v>15003</v>
      </c>
      <c r="AE213" s="46">
        <f>'Inputs (2)'!Z35</f>
        <v>14017</v>
      </c>
      <c r="AF213" s="46">
        <f>'Inputs (2)'!AA35</f>
        <v>11187</v>
      </c>
      <c r="AG213" s="12">
        <f>'Inputs (2)'!AB35</f>
        <v>11187</v>
      </c>
      <c r="AH213" s="12">
        <f>'Inputs (2)'!AC35</f>
        <v>9557</v>
      </c>
      <c r="AI213" s="12">
        <f>'Inputs (2)'!AD35</f>
        <v>5140</v>
      </c>
      <c r="AJ213" s="12">
        <f>AJ219</f>
        <v>5140</v>
      </c>
      <c r="AK213" s="12">
        <f>AK219</f>
        <v>5140</v>
      </c>
      <c r="AL213" s="12">
        <f>AK213</f>
        <v>5140</v>
      </c>
      <c r="AM213" s="12">
        <f>AM219</f>
        <v>5140</v>
      </c>
      <c r="AN213" s="12">
        <f>AN219</f>
        <v>5140</v>
      </c>
      <c r="AO213" s="12">
        <f>AO219</f>
        <v>5140</v>
      </c>
      <c r="AP213" s="12">
        <f>AP219</f>
        <v>5140</v>
      </c>
      <c r="AQ213" s="12">
        <f>AP213</f>
        <v>5140</v>
      </c>
      <c r="AR213" s="12">
        <f>AR219</f>
        <v>5140</v>
      </c>
      <c r="AS213" s="12">
        <f>AS219</f>
        <v>5140</v>
      </c>
      <c r="AT213" s="12">
        <f>AT219</f>
        <v>5140</v>
      </c>
      <c r="AU213" s="12">
        <f>AU219</f>
        <v>5140</v>
      </c>
      <c r="AV213" s="12">
        <f>AU213</f>
        <v>5140</v>
      </c>
      <c r="AW213" s="12">
        <f>AW219</f>
        <v>5140</v>
      </c>
      <c r="AX213" s="12">
        <f>AX219</f>
        <v>5140</v>
      </c>
      <c r="AY213" s="12">
        <f>AY219</f>
        <v>5140</v>
      </c>
      <c r="AZ213" s="12">
        <f>AZ219</f>
        <v>5140</v>
      </c>
      <c r="BA213" s="12">
        <f>AZ213</f>
        <v>5140</v>
      </c>
      <c r="BB213" s="12">
        <f>BB219</f>
        <v>5140</v>
      </c>
      <c r="BC213" s="12">
        <f>BC219</f>
        <v>5140</v>
      </c>
      <c r="BD213" s="12">
        <f>BD219</f>
        <v>5140</v>
      </c>
      <c r="BE213" s="12">
        <f>BE219</f>
        <v>5140</v>
      </c>
      <c r="BF213" s="12">
        <f>BE213</f>
        <v>5140</v>
      </c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Current portion of LTD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>
        <f>AF208</f>
        <v>569</v>
      </c>
      <c r="AI215" s="62" t="n"/>
      <c r="AJ215" s="62" t="n"/>
      <c r="AK215" s="62" t="n"/>
      <c r="AL215" s="12" t="n"/>
      <c r="AM215" s="12">
        <f>AK208</f>
        <v>582</v>
      </c>
      <c r="AN215" s="62" t="n"/>
      <c r="AO215" s="62" t="n"/>
      <c r="AP215" s="62" t="n"/>
      <c r="AQ215" s="12" t="n"/>
      <c r="AR215" s="12">
        <f>AP208</f>
        <v>582</v>
      </c>
      <c r="AS215" s="62" t="n"/>
      <c r="AT215" s="62" t="n"/>
      <c r="AU215" s="62" t="n"/>
      <c r="AV215" s="12" t="n"/>
      <c r="AW215" s="12">
        <f>AU208</f>
        <v>582</v>
      </c>
      <c r="AX215" s="62" t="n"/>
      <c r="AY215" s="62" t="n"/>
      <c r="AZ215" s="62" t="n"/>
      <c r="BA215" s="12" t="n"/>
      <c r="BB215" s="12">
        <f>AZ208</f>
        <v>582</v>
      </c>
      <c r="BC215" s="62" t="n"/>
      <c r="BD215" s="62" t="n"/>
      <c r="BE215" s="62" t="n"/>
      <c r="BF215" s="12" t="n"/>
      <c r="BG215" s="12" t="n"/>
      <c r="BH215" s="62" t="n"/>
      <c r="BI215" s="62" t="n"/>
      <c r="BJ215" s="62" t="n"/>
      <c r="BK215" s="12" t="n"/>
      <c r="BL215" s="12" t="n"/>
      <c r="BM215" s="62" t="n"/>
      <c r="BN215" s="62" t="n"/>
      <c r="BO215" s="62" t="n"/>
      <c r="BP215" s="12" t="n"/>
      <c r="BQ215" s="12" t="n"/>
      <c r="BR215" s="62" t="n"/>
      <c r="BS215" s="62" t="n"/>
      <c r="BT215" s="62" t="n"/>
      <c r="BU215" s="12" t="n"/>
      <c r="BV215" s="12" t="n"/>
      <c r="BW215" s="62" t="n"/>
      <c r="BX215" s="62" t="n"/>
      <c r="BY215" s="62" t="n"/>
      <c r="BZ215" s="12" t="n"/>
      <c r="CA215" s="12" t="n"/>
      <c r="CB215" s="62" t="n"/>
      <c r="CC215" s="62" t="n"/>
      <c r="CD215" s="62" t="n"/>
      <c r="CE215" s="12" t="n"/>
      <c r="CF215" s="12" t="n"/>
      <c r="CG215" s="62" t="n"/>
      <c r="CH215" s="62" t="n"/>
      <c r="CI215" s="62" t="n"/>
      <c r="CJ215" s="12" t="n"/>
      <c r="CK215" s="12" t="n"/>
      <c r="CL215" s="62" t="n"/>
      <c r="CM215" s="62" t="n"/>
      <c r="CN215" s="62" t="n"/>
      <c r="CO215" s="12" t="n"/>
      <c r="CP215" s="12" t="n"/>
      <c r="CQ215" s="62" t="n"/>
      <c r="CR215" s="62" t="n"/>
      <c r="CS215" s="62" t="n"/>
      <c r="CT215" s="12" t="n"/>
      <c r="CU215" s="12" t="n"/>
      <c r="CV215" s="62" t="n"/>
      <c r="CW215" s="62" t="n"/>
      <c r="CX215" s="62" t="n"/>
      <c r="CY215" s="12" t="n"/>
    </row>
    <row r="216" hidden="1" outlineLevel="1">
      <c r="C216" s="57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Reclassification of LTD to CP of LTD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>
        <f>-AI215</f>
        <v>0</v>
      </c>
      <c r="AJ217" s="12">
        <f>-AJ215</f>
        <v>0</v>
      </c>
      <c r="AK217" s="12">
        <f>-AK215</f>
        <v>0</v>
      </c>
      <c r="AL217" s="12" t="n"/>
      <c r="AM217" s="12" t="n"/>
      <c r="AN217" s="12">
        <f>-AN215</f>
        <v>0</v>
      </c>
      <c r="AO217" s="12">
        <f>-AO215</f>
        <v>0</v>
      </c>
      <c r="AP217" s="12">
        <f>-AP215</f>
        <v>0</v>
      </c>
      <c r="AQ217" s="12" t="n"/>
      <c r="AR217" s="12" t="n"/>
      <c r="AS217" s="12">
        <f>-AS215</f>
        <v>0</v>
      </c>
      <c r="AT217" s="12">
        <f>-AT215</f>
        <v>0</v>
      </c>
      <c r="AU217" s="12">
        <f>-AU215</f>
        <v>0</v>
      </c>
      <c r="AV217" s="12" t="n"/>
      <c r="AW217" s="12" t="n"/>
      <c r="AX217" s="12">
        <f>-AX215</f>
        <v>0</v>
      </c>
      <c r="AY217" s="12">
        <f>-AY215</f>
        <v>0</v>
      </c>
      <c r="AZ217" s="12">
        <f>-AZ215</f>
        <v>0</v>
      </c>
      <c r="BA217" s="12" t="n"/>
      <c r="BB217" s="12" t="n"/>
      <c r="BC217" s="12">
        <f>-BC215</f>
        <v>0</v>
      </c>
      <c r="BD217" s="12">
        <f>-BD215</f>
        <v>0</v>
      </c>
      <c r="BE217" s="12">
        <f>-BE215</f>
        <v>0</v>
      </c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inlineStr">
        <is>
          <t>Discretionary (paydown)/borrowing of long term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62" t="n"/>
      <c r="AI218" s="62" t="n"/>
      <c r="AJ218" s="62" t="n"/>
      <c r="AK218" s="62" t="n"/>
      <c r="AL218" s="12" t="n"/>
      <c r="AM218" s="62" t="n"/>
      <c r="AN218" s="62" t="n"/>
      <c r="AO218" s="62" t="n"/>
      <c r="AP218" s="62" t="n"/>
      <c r="AQ218" s="12" t="n"/>
      <c r="AR218" s="62" t="n"/>
      <c r="AS218" s="62" t="n"/>
      <c r="AT218" s="62" t="n"/>
      <c r="AU218" s="62" t="n"/>
      <c r="AV218" s="12" t="n"/>
      <c r="AW218" s="62" t="n"/>
      <c r="AX218" s="62" t="n"/>
      <c r="AY218" s="62" t="n"/>
      <c r="AZ218" s="62" t="n"/>
      <c r="BA218" s="12" t="n"/>
      <c r="BB218" s="62" t="n"/>
      <c r="BC218" s="62" t="n"/>
      <c r="BD218" s="62" t="n"/>
      <c r="BE218" s="62" t="n"/>
      <c r="BF218" s="12" t="n"/>
      <c r="BG218" s="62" t="n"/>
      <c r="BH218" s="62" t="n"/>
      <c r="BI218" s="62" t="n"/>
      <c r="BJ218" s="62" t="n"/>
      <c r="BK218" s="12" t="n"/>
      <c r="BL218" s="62" t="n"/>
      <c r="BM218" s="62" t="n"/>
      <c r="BN218" s="62" t="n"/>
      <c r="BO218" s="62" t="n"/>
      <c r="BP218" s="12" t="n"/>
      <c r="BQ218" s="62" t="n"/>
      <c r="BR218" s="62" t="n"/>
      <c r="BS218" s="62" t="n"/>
      <c r="BT218" s="62" t="n"/>
      <c r="BU218" s="12" t="n"/>
      <c r="BV218" s="62" t="n"/>
      <c r="BW218" s="62" t="n"/>
      <c r="BX218" s="62" t="n"/>
      <c r="BY218" s="62" t="n"/>
      <c r="BZ218" s="12" t="n"/>
      <c r="CA218" s="62" t="n"/>
      <c r="CB218" s="62" t="n"/>
      <c r="CC218" s="62" t="n"/>
      <c r="CD218" s="62" t="n"/>
      <c r="CE218" s="12" t="n"/>
      <c r="CF218" s="62" t="n"/>
      <c r="CG218" s="62" t="n"/>
      <c r="CH218" s="62" t="n"/>
      <c r="CI218" s="62" t="n"/>
      <c r="CJ218" s="12" t="n"/>
      <c r="CK218" s="62" t="n"/>
      <c r="CL218" s="62" t="n"/>
      <c r="CM218" s="62" t="n"/>
      <c r="CN218" s="62" t="n"/>
      <c r="CO218" s="12" t="n"/>
      <c r="CP218" s="62" t="n"/>
      <c r="CQ218" s="62" t="n"/>
      <c r="CR218" s="62" t="n"/>
      <c r="CS218" s="62" t="n"/>
      <c r="CT218" s="12" t="n"/>
      <c r="CU218" s="62" t="n"/>
      <c r="CV218" s="62" t="n"/>
      <c r="CW218" s="62" t="n"/>
      <c r="CX218" s="62" t="n"/>
      <c r="CY218" s="12" t="n"/>
    </row>
    <row r="219" hidden="1" outlineLevel="1">
      <c r="C219" s="57" t="inlineStr">
        <is>
          <t>Long term debt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>
        <f>AH213</f>
        <v>9557</v>
      </c>
      <c r="AI219" s="12">
        <f>AI213</f>
        <v>5140</v>
      </c>
      <c r="AJ219" s="12">
        <f>AI219+SUM(AJ217:AJ218)</f>
        <v>5140</v>
      </c>
      <c r="AK219" s="12">
        <f>AJ219+SUM(AK217:AK218)</f>
        <v>5140</v>
      </c>
      <c r="AL219" s="12" t="n"/>
      <c r="AM219" s="12">
        <f>AK219+SUM(AM217:AM218)</f>
        <v>5140</v>
      </c>
      <c r="AN219" s="12">
        <f>AM219+SUM(AN217:AN218)</f>
        <v>5140</v>
      </c>
      <c r="AO219" s="12">
        <f>AN219+SUM(AO217:AO218)</f>
        <v>5140</v>
      </c>
      <c r="AP219" s="12">
        <f>AO219+SUM(AP217:AP218)</f>
        <v>5140</v>
      </c>
      <c r="AQ219" s="12" t="n"/>
      <c r="AR219" s="12">
        <f>AP219+SUM(AR217:AR218)</f>
        <v>5140</v>
      </c>
      <c r="AS219" s="12">
        <f>AR219+SUM(AS217:AS218)</f>
        <v>5140</v>
      </c>
      <c r="AT219" s="12">
        <f>AS219+SUM(AT217:AT218)</f>
        <v>5140</v>
      </c>
      <c r="AU219" s="12">
        <f>AT219+SUM(AU217:AU218)</f>
        <v>5140</v>
      </c>
      <c r="AV219" s="12" t="n"/>
      <c r="AW219" s="12">
        <f>AU219+SUM(AW217:AW218)</f>
        <v>5140</v>
      </c>
      <c r="AX219" s="12">
        <f>AW219+SUM(AX217:AX218)</f>
        <v>5140</v>
      </c>
      <c r="AY219" s="12">
        <f>AX219+SUM(AY217:AY218)</f>
        <v>5140</v>
      </c>
      <c r="AZ219" s="12">
        <f>AY219+SUM(AZ217:AZ218)</f>
        <v>5140</v>
      </c>
      <c r="BA219" s="12" t="n"/>
      <c r="BB219" s="12">
        <f>AZ219+SUM(BB217:BB218)</f>
        <v>5140</v>
      </c>
      <c r="BC219" s="12">
        <f>BB219+SUM(BC217:BC218)</f>
        <v>5140</v>
      </c>
      <c r="BD219" s="12">
        <f>BC219+SUM(BD217:BD218)</f>
        <v>5140</v>
      </c>
      <c r="BE219" s="12">
        <f>BD219+SUM(BE217:BE218)</f>
        <v>5140</v>
      </c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Discretionary (paydown)/borrowing of convertible debt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2" t="n"/>
      <c r="AI221" s="62" t="n"/>
      <c r="AJ221" s="62" t="n"/>
      <c r="AK221" s="62" t="n"/>
      <c r="AL221" s="12" t="n"/>
      <c r="AM221" s="62" t="n"/>
      <c r="AN221" s="62" t="n"/>
      <c r="AO221" s="62" t="n"/>
      <c r="AP221" s="62" t="n"/>
      <c r="AQ221" s="12" t="n"/>
      <c r="AR221" s="62" t="n"/>
      <c r="AS221" s="62" t="n"/>
      <c r="AT221" s="62" t="n"/>
      <c r="AU221" s="62" t="n"/>
      <c r="AV221" s="12" t="n"/>
      <c r="AW221" s="62" t="n"/>
      <c r="AX221" s="62" t="n"/>
      <c r="AY221" s="62" t="n"/>
      <c r="AZ221" s="62" t="n"/>
      <c r="BA221" s="12" t="n"/>
      <c r="BB221" s="62" t="n"/>
      <c r="BC221" s="62" t="n"/>
      <c r="BD221" s="62" t="n"/>
      <c r="BE221" s="62" t="n"/>
      <c r="BF221" s="12" t="n"/>
      <c r="BG221" s="62" t="n"/>
      <c r="BH221" s="62" t="n"/>
      <c r="BI221" s="62" t="n"/>
      <c r="BJ221" s="62" t="n"/>
      <c r="BK221" s="12" t="n"/>
      <c r="BL221" s="62" t="n"/>
      <c r="BM221" s="62" t="n"/>
      <c r="BN221" s="62" t="n"/>
      <c r="BO221" s="62" t="n"/>
      <c r="BP221" s="12" t="n"/>
      <c r="BQ221" s="62" t="n"/>
      <c r="BR221" s="62" t="n"/>
      <c r="BS221" s="62" t="n"/>
      <c r="BT221" s="62" t="n"/>
      <c r="BU221" s="12" t="n"/>
      <c r="BV221" s="62" t="n"/>
      <c r="BW221" s="62" t="n"/>
      <c r="BX221" s="62" t="n"/>
      <c r="BY221" s="62" t="n"/>
      <c r="BZ221" s="12" t="n"/>
      <c r="CA221" s="62" t="n"/>
      <c r="CB221" s="62" t="n"/>
      <c r="CC221" s="62" t="n"/>
      <c r="CD221" s="62" t="n"/>
      <c r="CE221" s="12" t="n"/>
      <c r="CF221" s="62" t="n"/>
      <c r="CG221" s="62" t="n"/>
      <c r="CH221" s="62" t="n"/>
      <c r="CI221" s="62" t="n"/>
      <c r="CJ221" s="12" t="n"/>
      <c r="CK221" s="62" t="n"/>
      <c r="CL221" s="62" t="n"/>
      <c r="CM221" s="62" t="n"/>
      <c r="CN221" s="62" t="n"/>
      <c r="CO221" s="12" t="n"/>
      <c r="CP221" s="62" t="n"/>
      <c r="CQ221" s="62" t="n"/>
      <c r="CR221" s="62" t="n"/>
      <c r="CS221" s="62" t="n"/>
      <c r="CT221" s="12" t="n"/>
      <c r="CU221" s="62" t="n"/>
      <c r="CV221" s="62" t="n"/>
      <c r="CW221" s="62" t="n"/>
      <c r="CX221" s="62" t="n"/>
      <c r="CY221" s="12" t="n"/>
    </row>
    <row r="222" hidden="1" outlineLevel="1">
      <c r="C222" s="57" t="inlineStr">
        <is>
          <t>Convertible debt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>
        <f>AH234</f>
        <v>0</v>
      </c>
      <c r="AI222" s="12">
        <f>AH222+SUM(AI221)</f>
        <v>0</v>
      </c>
      <c r="AJ222" s="12">
        <f>AI222+SUM(AJ221)</f>
        <v>0</v>
      </c>
      <c r="AK222" s="12">
        <f>AJ222+SUM(AK221)</f>
        <v>0</v>
      </c>
      <c r="AL222" s="12" t="n"/>
      <c r="AM222" s="12">
        <f>AM234</f>
        <v>0</v>
      </c>
      <c r="AN222" s="12">
        <f>AM222+SUM(AN221)</f>
        <v>0</v>
      </c>
      <c r="AO222" s="12">
        <f>AN222+SUM(AO221)</f>
        <v>0</v>
      </c>
      <c r="AP222" s="12">
        <f>AO222+SUM(AP221)</f>
        <v>0</v>
      </c>
      <c r="AQ222" s="12" t="n"/>
      <c r="AR222" s="12">
        <f>AR234</f>
        <v>0</v>
      </c>
      <c r="AS222" s="12">
        <f>AR222+SUM(AS221)</f>
        <v>0</v>
      </c>
      <c r="AT222" s="12">
        <f>AS222+SUM(AT221)</f>
        <v>0</v>
      </c>
      <c r="AU222" s="12">
        <f>AT222+SUM(AU221)</f>
        <v>0</v>
      </c>
      <c r="AV222" s="12" t="n"/>
      <c r="AW222" s="12">
        <f>AW234</f>
        <v>0</v>
      </c>
      <c r="AX222" s="12">
        <f>AW222+SUM(AX221)</f>
        <v>0</v>
      </c>
      <c r="AY222" s="12">
        <f>AX222+SUM(AY221)</f>
        <v>0</v>
      </c>
      <c r="AZ222" s="12">
        <f>AY222+SUM(AZ221)</f>
        <v>0</v>
      </c>
      <c r="BA222" s="12" t="n"/>
      <c r="BB222" s="12">
        <f>BB234</f>
        <v>0</v>
      </c>
      <c r="BC222" s="12">
        <f>BB222+SUM(BC221)</f>
        <v>0</v>
      </c>
      <c r="BD222" s="12">
        <f>BC222+SUM(BD221)</f>
        <v>0</v>
      </c>
      <c r="BE222" s="12">
        <f>BD222+SUM(BE221)</f>
        <v>0</v>
      </c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I223" s="12" t="n"/>
      <c r="AJ223" s="12" t="n"/>
      <c r="AK223" s="12" t="n"/>
      <c r="AL223" s="12" t="n"/>
      <c r="AN223" s="12" t="n"/>
      <c r="AO223" s="12" t="n"/>
      <c r="AP223" s="12" t="n"/>
      <c r="AQ223" s="12" t="n"/>
      <c r="AS223" s="12" t="n"/>
      <c r="AT223" s="12" t="n"/>
      <c r="AU223" s="12" t="n"/>
      <c r="AV223" s="12" t="n"/>
      <c r="AX223" s="12" t="n"/>
      <c r="AY223" s="12" t="n"/>
      <c r="AZ223" s="12" t="n"/>
      <c r="BA223" s="12" t="n"/>
      <c r="BC223" s="12" t="n"/>
      <c r="BD223" s="12" t="n"/>
      <c r="BE223" s="12" t="n"/>
      <c r="BF223" s="12" t="n"/>
      <c r="BH223" s="12" t="n"/>
      <c r="BI223" s="12" t="n"/>
      <c r="BJ223" s="12" t="n"/>
      <c r="BK223" s="12" t="n"/>
      <c r="BM223" s="12" t="n"/>
      <c r="BN223" s="12" t="n"/>
      <c r="BO223" s="12" t="n"/>
      <c r="BP223" s="12" t="n"/>
      <c r="BR223" s="12" t="n"/>
      <c r="BS223" s="12" t="n"/>
      <c r="BT223" s="12" t="n"/>
      <c r="BU223" s="12" t="n"/>
      <c r="BW223" s="12" t="n"/>
      <c r="BX223" s="12" t="n"/>
      <c r="BY223" s="12" t="n"/>
      <c r="BZ223" s="12" t="n"/>
      <c r="CB223" s="12" t="n"/>
      <c r="CC223" s="12" t="n"/>
      <c r="CD223" s="12" t="n"/>
      <c r="CE223" s="12" t="n"/>
      <c r="CG223" s="12" t="n"/>
      <c r="CH223" s="12" t="n"/>
      <c r="CI223" s="12" t="n"/>
      <c r="CJ223" s="12" t="n"/>
      <c r="CL223" s="12" t="n"/>
      <c r="CM223" s="12" t="n"/>
      <c r="CN223" s="12" t="n"/>
      <c r="CO223" s="12" t="n"/>
      <c r="CQ223" s="12" t="n"/>
      <c r="CR223" s="12" t="n"/>
      <c r="CS223" s="12" t="n"/>
      <c r="CT223" s="12" t="n"/>
      <c r="CV223" s="12" t="n"/>
      <c r="CW223" s="12" t="n"/>
      <c r="CX223" s="12" t="n"/>
      <c r="CY223" s="12" t="n"/>
    </row>
    <row r="224" hidden="1" outlineLevel="1">
      <c r="C224" s="57" t="inlineStr">
        <is>
          <t>Calculation of short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7" t="inlineStr">
        <is>
          <t>Cash @ beginning of the period (end of last period)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63">
        <f>AG140</f>
        <v>10318</v>
      </c>
      <c r="AI225" s="12" t="n"/>
      <c r="AJ225" s="12" t="n"/>
      <c r="AK225" s="12" t="n"/>
      <c r="AL225" s="12" t="n"/>
      <c r="AM225" s="63">
        <f>AL140</f>
        <v>46704.3790162403</v>
      </c>
      <c r="AN225" s="12" t="n"/>
      <c r="AO225" s="12" t="n"/>
      <c r="AP225" s="12" t="n"/>
      <c r="AQ225" s="12" t="n"/>
      <c r="AR225" s="63">
        <f>AQ140</f>
        <v>101931.791533003</v>
      </c>
      <c r="AS225" s="12" t="n"/>
      <c r="AT225" s="12" t="n"/>
      <c r="AU225" s="12" t="n"/>
      <c r="AV225" s="12" t="n"/>
      <c r="AW225" s="63">
        <f>AV140</f>
        <v>223207.72185527</v>
      </c>
      <c r="AX225" s="12" t="n"/>
      <c r="AY225" s="12" t="n"/>
      <c r="AZ225" s="12" t="n"/>
      <c r="BA225" s="12" t="n"/>
      <c r="BB225" s="63">
        <f>BA140</f>
        <v>488915.988034644</v>
      </c>
      <c r="BC225" s="12" t="n"/>
      <c r="BD225" s="12" t="n"/>
      <c r="BE225" s="12" t="n"/>
      <c r="BF225" s="12" t="n"/>
      <c r="BG225" s="63" t="n"/>
      <c r="BH225" s="12" t="n"/>
      <c r="BI225" s="12" t="n"/>
      <c r="BJ225" s="12" t="n"/>
      <c r="BK225" s="12" t="n"/>
      <c r="BL225" s="63" t="n"/>
      <c r="BM225" s="12" t="n"/>
      <c r="BN225" s="12" t="n"/>
      <c r="BO225" s="12" t="n"/>
      <c r="BP225" s="12" t="n"/>
      <c r="BQ225" s="63" t="n"/>
      <c r="BR225" s="12" t="n"/>
      <c r="BS225" s="12" t="n"/>
      <c r="BT225" s="12" t="n"/>
      <c r="BU225" s="12" t="n"/>
      <c r="BV225" s="63" t="n"/>
      <c r="BW225" s="12" t="n"/>
      <c r="BX225" s="12" t="n"/>
      <c r="BY225" s="12" t="n"/>
      <c r="BZ225" s="12" t="n"/>
      <c r="CA225" s="63" t="n"/>
      <c r="CB225" s="12" t="n"/>
      <c r="CC225" s="12" t="n"/>
      <c r="CD225" s="12" t="n"/>
      <c r="CE225" s="12" t="n"/>
      <c r="CF225" s="63" t="n"/>
      <c r="CG225" s="12" t="n"/>
      <c r="CH225" s="12" t="n"/>
      <c r="CI225" s="12" t="n"/>
      <c r="CJ225" s="12" t="n"/>
      <c r="CK225" s="63" t="n"/>
      <c r="CL225" s="12" t="n"/>
      <c r="CM225" s="12" t="n"/>
      <c r="CN225" s="12" t="n"/>
      <c r="CO225" s="12" t="n"/>
      <c r="CP225" s="63" t="n"/>
      <c r="CQ225" s="12" t="n"/>
      <c r="CR225" s="12" t="n"/>
      <c r="CS225" s="12" t="n"/>
      <c r="CT225" s="12" t="n"/>
      <c r="CU225" s="63" t="n"/>
      <c r="CV225" s="12" t="n"/>
      <c r="CW225" s="12" t="n"/>
      <c r="CX225" s="12" t="n"/>
      <c r="CY225" s="12" t="n"/>
    </row>
    <row r="226" hidden="1" outlineLevel="1">
      <c r="C226" s="57" t="inlineStr">
        <is>
          <t>Plus: Free cash flows prior to debt during period</t>
        </is>
      </c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inlineStr">
        <is>
          <t>% of sales</t>
        </is>
      </c>
      <c r="AH226" s="64">
        <f>(AH288+AH295)+SUM(AH298:AH304)</f>
        <v>327</v>
      </c>
      <c r="AI226" s="64">
        <f>(AI288+AI295)+SUM(AI298:AI304)</f>
        <v>1350</v>
      </c>
      <c r="AJ226" s="64">
        <f>(AJ288+AJ295)+SUM(AJ298:AJ304)</f>
        <v>0</v>
      </c>
      <c r="AK226" s="64">
        <f>(AK288+AK295)+SUM(AK298:AK304)</f>
        <v>0</v>
      </c>
      <c r="AL226" s="12" t="n"/>
      <c r="AM226" s="64">
        <f>(AM288+AM295)+SUM(AM298:AM304)</f>
        <v>0</v>
      </c>
      <c r="AN226" s="64">
        <f>(AN288+AN295)+SUM(AN298:AN304)</f>
        <v>0</v>
      </c>
      <c r="AO226" s="64">
        <f>(AO288+AO295)+SUM(AO298:AO304)</f>
        <v>0</v>
      </c>
      <c r="AP226" s="64">
        <f>(AP288+AP295)+SUM(AP298:AP304)</f>
        <v>0</v>
      </c>
      <c r="AQ226" s="12" t="n"/>
      <c r="AR226" s="64">
        <f>(AR288+AR295)+SUM(AR298:AR304)</f>
        <v>0</v>
      </c>
      <c r="AS226" s="64">
        <f>(AS288+AS295)+SUM(AS298:AS304)</f>
        <v>0</v>
      </c>
      <c r="AT226" s="64">
        <f>(AT288+AT295)+SUM(AT298:AT304)</f>
        <v>0</v>
      </c>
      <c r="AU226" s="64">
        <f>(AU288+AU295)+SUM(AU298:AU304)</f>
        <v>0</v>
      </c>
      <c r="AV226" s="12" t="n"/>
      <c r="AW226" s="64">
        <f>(AW288+AW295)+SUM(AW298:AW304)</f>
        <v>0</v>
      </c>
      <c r="AX226" s="64">
        <f>(AX288+AX295)+SUM(AX298:AX304)</f>
        <v>0</v>
      </c>
      <c r="AY226" s="64">
        <f>(AY288+AY295)+SUM(AY298:AY304)</f>
        <v>0</v>
      </c>
      <c r="AZ226" s="64">
        <f>(AZ288+AZ295)+SUM(AZ298:AZ304)</f>
        <v>0</v>
      </c>
      <c r="BA226" s="12" t="n"/>
      <c r="BB226" s="64">
        <f>(BB288+BB295)+SUM(BB298:BB304)</f>
        <v>0</v>
      </c>
      <c r="BC226" s="64">
        <f>(BC288+BC295)+SUM(BC298:BC304)</f>
        <v>0</v>
      </c>
      <c r="BD226" s="64">
        <f>(BD288+BD295)+SUM(BD298:BD304)</f>
        <v>0</v>
      </c>
      <c r="BE226" s="64">
        <f>(BE288+BE295)+SUM(BE298:BE304)</f>
        <v>0</v>
      </c>
      <c r="BF226" s="12" t="n"/>
      <c r="BG226" s="64" t="n"/>
      <c r="BH226" s="64" t="n"/>
      <c r="BI226" s="64" t="n"/>
      <c r="BJ226" s="64" t="n"/>
      <c r="BK226" s="12" t="n"/>
      <c r="BL226" s="64" t="n"/>
      <c r="BM226" s="64" t="n"/>
      <c r="BN226" s="64" t="n"/>
      <c r="BO226" s="64" t="n"/>
      <c r="BP226" s="12" t="n"/>
      <c r="BQ226" s="64" t="n"/>
      <c r="BR226" s="64" t="n"/>
      <c r="BS226" s="64" t="n"/>
      <c r="BT226" s="64" t="n"/>
      <c r="BU226" s="12" t="n"/>
      <c r="BV226" s="64" t="n"/>
      <c r="BW226" s="64" t="n"/>
      <c r="BX226" s="64" t="n"/>
      <c r="BY226" s="64" t="n"/>
      <c r="BZ226" s="12" t="n"/>
      <c r="CA226" s="64" t="n"/>
      <c r="CB226" s="64" t="n"/>
      <c r="CC226" s="64" t="n"/>
      <c r="CD226" s="64" t="n"/>
      <c r="CE226" s="12" t="n"/>
      <c r="CF226" s="64" t="n"/>
      <c r="CG226" s="64" t="n"/>
      <c r="CH226" s="64" t="n"/>
      <c r="CI226" s="64" t="n"/>
      <c r="CJ226" s="12" t="n"/>
      <c r="CK226" s="64" t="n"/>
      <c r="CL226" s="64" t="n"/>
      <c r="CM226" s="64" t="n"/>
      <c r="CN226" s="64" t="n"/>
      <c r="CO226" s="12" t="n"/>
      <c r="CP226" s="64" t="n"/>
      <c r="CQ226" s="64" t="n"/>
      <c r="CR226" s="64" t="n"/>
      <c r="CS226" s="64" t="n"/>
      <c r="CT226" s="12" t="n"/>
      <c r="CU226" s="64" t="n"/>
      <c r="CV226" s="64" t="n"/>
      <c r="CW226" s="64" t="n"/>
      <c r="CX226" s="64" t="n"/>
      <c r="CY226" s="12" t="n"/>
    </row>
    <row r="227" hidden="1" outlineLevel="1">
      <c r="C227" s="57" t="inlineStr">
        <is>
          <t>Less: Minimum cash balance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52" t="n"/>
      <c r="AH227" s="12">
        <f>($AG$227*AH15)</f>
        <v>0</v>
      </c>
      <c r="AI227" s="12">
        <f>($AG$227*AI15)</f>
        <v>0</v>
      </c>
      <c r="AJ227" s="12">
        <f>($AG$227*AJ15)</f>
        <v>0</v>
      </c>
      <c r="AK227" s="12">
        <f>($AG$227*AK15)</f>
        <v>0</v>
      </c>
      <c r="AL227" s="12" t="n"/>
      <c r="AM227" s="12">
        <f>($AG$227*AM15)</f>
        <v>0</v>
      </c>
      <c r="AN227" s="12">
        <f>($AG$227*AN15)</f>
        <v>0</v>
      </c>
      <c r="AO227" s="12">
        <f>($AG$227*AO15)</f>
        <v>0</v>
      </c>
      <c r="AP227" s="12">
        <f>($AG$227*AP15)</f>
        <v>0</v>
      </c>
      <c r="AQ227" s="12" t="n"/>
      <c r="AR227" s="12">
        <f>($AG$227*AR15)</f>
        <v>0</v>
      </c>
      <c r="AS227" s="12">
        <f>($AG$227*AS15)</f>
        <v>0</v>
      </c>
      <c r="AT227" s="12">
        <f>($AG$227*AT15)</f>
        <v>0</v>
      </c>
      <c r="AU227" s="12">
        <f>($AG$227*AU15)</f>
        <v>0</v>
      </c>
      <c r="AV227" s="12" t="n"/>
      <c r="AW227" s="12">
        <f>($AG$227*AW15)</f>
        <v>0</v>
      </c>
      <c r="AX227" s="12">
        <f>($AG$227*AX15)</f>
        <v>0</v>
      </c>
      <c r="AY227" s="12">
        <f>($AG$227*AY15)</f>
        <v>0</v>
      </c>
      <c r="AZ227" s="12">
        <f>($AG$227*AZ15)</f>
        <v>0</v>
      </c>
      <c r="BA227" s="12" t="n"/>
      <c r="BB227" s="12">
        <f>($AG$227*BB15)</f>
        <v>0</v>
      </c>
      <c r="BC227" s="12">
        <f>($AG$227*BC15)</f>
        <v>0</v>
      </c>
      <c r="BD227" s="12">
        <f>($AG$227*BD15)</f>
        <v>0</v>
      </c>
      <c r="BE227" s="12">
        <f>($AG$227*BE15)</f>
        <v>0</v>
      </c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>Total cash available / (debt required) for short term debt paydown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3">
        <f>AH225+AH226-AH227-AF215+AH217+AH221</f>
        <v>10645</v>
      </c>
      <c r="AI228" s="3">
        <f>AI225+AI226-AI227-AG215+AI217+AI221</f>
        <v>1350</v>
      </c>
      <c r="AJ228" s="3">
        <f>AJ225+AJ226-AJ227-AH215+AJ217+AJ221</f>
        <v>-569</v>
      </c>
      <c r="AK228" s="3">
        <f>AK225+AK226-AK227-AI215+AK217+AK221</f>
        <v>0</v>
      </c>
      <c r="AL228" s="12" t="n"/>
      <c r="AM228" s="3">
        <f>AM225+AM226-AM227-AK215+AM217+AM221</f>
        <v>46704.3790162403</v>
      </c>
      <c r="AN228" s="3">
        <f>AN225+AN226-AN227-AL215+AN217+AN221</f>
        <v>0</v>
      </c>
      <c r="AO228" s="3">
        <f>AO225+AO226-AO227-AM215+AO217+AO221</f>
        <v>-582</v>
      </c>
      <c r="AP228" s="3">
        <f>AP225+AP226-AP227-AN215+AP217+AP221</f>
        <v>0</v>
      </c>
      <c r="AQ228" s="12" t="n"/>
      <c r="AR228" s="3">
        <f>AR225+AR226-AR227-AP215+AR217+AR221</f>
        <v>101931.791533003</v>
      </c>
      <c r="AS228" s="3">
        <f>AS225+AS226-AS227-AQ215+AS217+AS221</f>
        <v>0</v>
      </c>
      <c r="AT228" s="3">
        <f>AT225+AT226-AT227-AR215+AT217+AT221</f>
        <v>-582</v>
      </c>
      <c r="AU228" s="3">
        <f>AU225+AU226-AU227-AS215+AU217+AU221</f>
        <v>0</v>
      </c>
      <c r="AV228" s="12" t="n"/>
      <c r="AW228" s="3">
        <f>AW225+AW226-AW227-AU215+AW217+AW221</f>
        <v>223207.72185527</v>
      </c>
      <c r="AX228" s="3">
        <f>AX225+AX226-AX227-AV215+AX217+AX221</f>
        <v>0</v>
      </c>
      <c r="AY228" s="3">
        <f>AY225+AY226-AY227-AW215+AY217+AY221</f>
        <v>-582</v>
      </c>
      <c r="AZ228" s="3">
        <f>AZ225+AZ226-AZ227-AX215+AZ217+AZ221</f>
        <v>0</v>
      </c>
      <c r="BA228" s="12" t="n"/>
      <c r="BB228" s="3">
        <f>BB225+BB226-BB227-AZ215+BB217+BB221</f>
        <v>488915.988034644</v>
      </c>
      <c r="BC228" s="3">
        <f>BC225+BC226-BC227-BA215+BC217+BC221</f>
        <v>0</v>
      </c>
      <c r="BD228" s="3">
        <f>BD225+BD226-BD227-BB215+BD217+BD221</f>
        <v>-582</v>
      </c>
      <c r="BE228" s="3">
        <f>BE225+BE226-BE227-BC215+BE217+BE221</f>
        <v>0</v>
      </c>
      <c r="BF228" s="12" t="n"/>
      <c r="BG228" s="3" t="n"/>
      <c r="BH228" s="3" t="n"/>
      <c r="BI228" s="3" t="n"/>
      <c r="BJ228" s="3" t="n"/>
      <c r="BK228" s="12" t="n"/>
      <c r="BL228" s="3" t="n"/>
      <c r="BM228" s="3" t="n"/>
      <c r="BN228" s="3" t="n"/>
      <c r="BO228" s="3" t="n"/>
      <c r="BP228" s="12" t="n"/>
      <c r="BQ228" s="3" t="n"/>
      <c r="BR228" s="3" t="n"/>
      <c r="BS228" s="3" t="n"/>
      <c r="BT228" s="3" t="n"/>
      <c r="BU228" s="12" t="n"/>
      <c r="BV228" s="3" t="n"/>
      <c r="BW228" s="3" t="n"/>
      <c r="BX228" s="3" t="n"/>
      <c r="BY228" s="3" t="n"/>
      <c r="BZ228" s="12" t="n"/>
      <c r="CA228" s="3" t="n"/>
      <c r="CB228" s="3" t="n"/>
      <c r="CC228" s="3" t="n"/>
      <c r="CD228" s="3" t="n"/>
      <c r="CE228" s="12" t="n"/>
      <c r="CF228" s="3" t="n"/>
      <c r="CG228" s="3" t="n"/>
      <c r="CH228" s="3" t="n"/>
      <c r="CI228" s="3" t="n"/>
      <c r="CJ228" s="12" t="n"/>
      <c r="CK228" s="3" t="n"/>
      <c r="CL228" s="3" t="n"/>
      <c r="CM228" s="3" t="n"/>
      <c r="CN228" s="3" t="n"/>
      <c r="CO228" s="12" t="n"/>
      <c r="CP228" s="3" t="n"/>
      <c r="CQ228" s="3" t="n"/>
      <c r="CR228" s="3" t="n"/>
      <c r="CS228" s="3" t="n"/>
      <c r="CT228" s="12" t="n"/>
      <c r="CU228" s="3" t="n"/>
      <c r="CV228" s="3" t="n"/>
      <c r="CW228" s="3" t="n"/>
      <c r="CX228" s="3" t="n"/>
      <c r="CY228" s="12" t="n"/>
    </row>
    <row r="229" hidden="1" outlineLevel="1">
      <c r="C229" s="57" t="inlineStr">
        <is>
          <t>Short term debt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>
        <f>AH209</f>
        <v>0</v>
      </c>
      <c r="AI229" s="12">
        <f>MAX(0,AH229-AI228)</f>
        <v>0</v>
      </c>
      <c r="AJ229" s="12">
        <f>MAX(0,AI229-AJ228)</f>
        <v>569</v>
      </c>
      <c r="AK229" s="12">
        <f>MAX(0,AJ229-AK228)</f>
        <v>569</v>
      </c>
      <c r="AL229" s="12" t="n"/>
      <c r="AM229" s="12">
        <f>AM209</f>
        <v>0</v>
      </c>
      <c r="AN229" s="12">
        <f>MAX(0,AM229-AN228)</f>
        <v>0</v>
      </c>
      <c r="AO229" s="12">
        <f>MAX(0,AN229-AO228)</f>
        <v>582</v>
      </c>
      <c r="AP229" s="12">
        <f>MAX(0,AO229-AP228)</f>
        <v>582</v>
      </c>
      <c r="AQ229" s="12" t="n"/>
      <c r="AR229" s="12">
        <f>AR209</f>
        <v>0</v>
      </c>
      <c r="AS229" s="12">
        <f>MAX(0,AR229-AS228)</f>
        <v>0</v>
      </c>
      <c r="AT229" s="12">
        <f>MAX(0,AS229-AT228)</f>
        <v>582</v>
      </c>
      <c r="AU229" s="12">
        <f>MAX(0,AT229-AU228)</f>
        <v>582</v>
      </c>
      <c r="AV229" s="12" t="n"/>
      <c r="AW229" s="12">
        <f>AW209</f>
        <v>0</v>
      </c>
      <c r="AX229" s="12">
        <f>MAX(0,AW229-AX228)</f>
        <v>0</v>
      </c>
      <c r="AY229" s="12">
        <f>MAX(0,AX229-AY228)</f>
        <v>582</v>
      </c>
      <c r="AZ229" s="12">
        <f>MAX(0,AY229-AZ228)</f>
        <v>582</v>
      </c>
      <c r="BA229" s="12" t="n"/>
      <c r="BB229" s="12">
        <f>BB209</f>
        <v>0</v>
      </c>
      <c r="BC229" s="12">
        <f>MAX(0,BB229-BC228)</f>
        <v>0</v>
      </c>
      <c r="BD229" s="12">
        <f>MAX(0,BC229-BD228)</f>
        <v>582</v>
      </c>
      <c r="BE229" s="12">
        <f>MAX(0,BD229-BE228)</f>
        <v>582</v>
      </c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7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collapsed="1">
      <c r="C231" s="14" t="inlineStr">
        <is>
          <t>Long term operating leases</t>
        </is>
      </c>
      <c r="D231" s="46" t="n"/>
      <c r="E231" s="46" t="n"/>
      <c r="F231" s="46" t="n"/>
      <c r="G231" s="46" t="n"/>
      <c r="H231" s="12" t="n"/>
      <c r="I231" s="46">
        <f>'Inputs (2)'!D36</f>
        <v>528</v>
      </c>
      <c r="J231" s="46">
        <f>'Inputs (2)'!E36</f>
        <v>513</v>
      </c>
      <c r="K231" s="46">
        <f>'Inputs (2)'!F36</f>
        <v>504</v>
      </c>
      <c r="L231" s="46">
        <f>'Inputs (2)'!G36</f>
        <v>523</v>
      </c>
      <c r="M231" s="12">
        <f>'Inputs (2)'!H36</f>
        <v>523</v>
      </c>
      <c r="N231" s="46">
        <f>'Inputs (2)'!I36</f>
        <v>535</v>
      </c>
      <c r="O231" s="46">
        <f>'Inputs (2)'!J36</f>
        <v>629</v>
      </c>
      <c r="P231" s="46">
        <f>'Inputs (2)'!K36</f>
        <v>610</v>
      </c>
      <c r="Q231" s="46">
        <f>'Inputs (2)'!L36</f>
        <v>625</v>
      </c>
      <c r="R231" s="12">
        <f>'Inputs (2)'!M36</f>
        <v>625</v>
      </c>
      <c r="S231" s="46">
        <f>'Inputs (2)'!N36</f>
        <v>610</v>
      </c>
      <c r="T231" s="46">
        <f>'Inputs (2)'!O36</f>
        <v>603</v>
      </c>
      <c r="U231" s="46">
        <f>'Inputs (2)'!P36</f>
        <v>603</v>
      </c>
      <c r="V231" s="46">
        <f>'Inputs (2)'!Q36</f>
        <v>601</v>
      </c>
      <c r="W231" s="12">
        <f>'Inputs (2)'!R36</f>
        <v>601</v>
      </c>
      <c r="X231" s="46">
        <f>'Inputs (2)'!S36</f>
        <v>593</v>
      </c>
      <c r="Y231" s="46">
        <f>'Inputs (2)'!T36</f>
        <v>609</v>
      </c>
      <c r="Z231" s="46">
        <f>'Inputs (2)'!U36</f>
        <v>610</v>
      </c>
      <c r="AA231" s="46">
        <f>'Inputs (2)'!V36</f>
        <v>588</v>
      </c>
      <c r="AB231" s="12">
        <f>'Inputs (2)'!W36</f>
        <v>588</v>
      </c>
      <c r="AC231" s="46">
        <f>'Inputs (2)'!X36</f>
        <v>599</v>
      </c>
      <c r="AD231" s="46">
        <f>'Inputs (2)'!Y36</f>
        <v>600</v>
      </c>
      <c r="AE231" s="46">
        <f>'Inputs (2)'!Z36</f>
        <v>701</v>
      </c>
      <c r="AF231" s="46">
        <f>'Inputs (2)'!AA36</f>
        <v>669</v>
      </c>
      <c r="AG231" s="12">
        <f>'Inputs (2)'!AB36</f>
        <v>669</v>
      </c>
      <c r="AH231" s="12">
        <f>'Inputs (2)'!AC36</f>
        <v>656</v>
      </c>
      <c r="AI231" s="12">
        <f>'Inputs (2)'!AD36</f>
        <v>654</v>
      </c>
      <c r="AJ231" s="12">
        <f>AI231</f>
        <v>654</v>
      </c>
      <c r="AK231" s="12">
        <f>AJ231</f>
        <v>654</v>
      </c>
      <c r="AL231" s="12">
        <f>AK231</f>
        <v>654</v>
      </c>
      <c r="AM231" s="12">
        <f>AL231</f>
        <v>654</v>
      </c>
      <c r="AN231" s="12">
        <f>AM231</f>
        <v>654</v>
      </c>
      <c r="AO231" s="12">
        <f>AN231</f>
        <v>654</v>
      </c>
      <c r="AP231" s="12">
        <f>AO231</f>
        <v>654</v>
      </c>
      <c r="AQ231" s="12">
        <f>AP231</f>
        <v>654</v>
      </c>
      <c r="AR231" s="12">
        <f>AQ231</f>
        <v>654</v>
      </c>
      <c r="AS231" s="12">
        <f>AR231</f>
        <v>654</v>
      </c>
      <c r="AT231" s="12">
        <f>AS231</f>
        <v>654</v>
      </c>
      <c r="AU231" s="12">
        <f>AT231</f>
        <v>654</v>
      </c>
      <c r="AV231" s="12">
        <f>AU231</f>
        <v>654</v>
      </c>
      <c r="AW231" s="12">
        <f>AV231</f>
        <v>654</v>
      </c>
      <c r="AX231" s="12">
        <f>AW231</f>
        <v>654</v>
      </c>
      <c r="AY231" s="12">
        <f>AX231</f>
        <v>654</v>
      </c>
      <c r="AZ231" s="12">
        <f>AY231</f>
        <v>654</v>
      </c>
      <c r="BA231" s="12">
        <f>AZ231</f>
        <v>654</v>
      </c>
      <c r="BB231" s="12">
        <f>BA231</f>
        <v>654</v>
      </c>
      <c r="BC231" s="12">
        <f>BB231</f>
        <v>654</v>
      </c>
      <c r="BD231" s="12">
        <f>BC231</f>
        <v>654</v>
      </c>
      <c r="BE231" s="12">
        <f>BD231</f>
        <v>654</v>
      </c>
      <c r="BF231" s="12">
        <f>BE231</f>
        <v>654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>
      <c r="C232" s="59" t="inlineStr">
        <is>
          <t>%(Var.)</t>
        </is>
      </c>
      <c r="D232" s="12" t="n"/>
      <c r="E232" s="40" t="n"/>
      <c r="F232" s="40" t="n"/>
      <c r="G232" s="40" t="n"/>
      <c r="H232" s="12" t="n"/>
      <c r="I232" s="40" t="str">
        <f>""</f>
        <v/>
      </c>
      <c r="J232" s="40">
        <f>IFERROR(IF(I231=0,"",J231/I231-1),"")</f>
        <v>-0.0284090909090909</v>
      </c>
      <c r="K232" s="40">
        <f>IFERROR(IF(J231=0,"",K231/J231-1),"")</f>
        <v>-0.0175438596491229</v>
      </c>
      <c r="L232" s="40">
        <f>IFERROR(IF(K231=0,"",L231/K231-1),"")</f>
        <v>0.0376984126984128</v>
      </c>
      <c r="M232" s="12">
        <f>IF(L231=0,"",M231/L231-1)</f>
        <v>0</v>
      </c>
      <c r="N232" s="40">
        <f>IFERROR(IF(M231=0,"",N231/M231-1),"")</f>
        <v>0.0229445506692161</v>
      </c>
      <c r="O232" s="40">
        <f>IFERROR(IF(N231=0,"",O231/N231-1),"")</f>
        <v>0.175700934579439</v>
      </c>
      <c r="P232" s="40">
        <f>IFERROR(IF(O231=0,"",P231/O231-1),"")</f>
        <v>-0.0302066772655007</v>
      </c>
      <c r="Q232" s="40">
        <f>IFERROR(IF(P231=0,"",Q231/P231-1),"")</f>
        <v>0.0245901639344261</v>
      </c>
      <c r="R232" s="12">
        <f>IF(Q231=0,"",R231/Q231-1)</f>
        <v>0</v>
      </c>
      <c r="S232" s="40">
        <f>IFERROR(IF(R231=0,"",S231/R231-1),"")</f>
        <v>-0.024</v>
      </c>
      <c r="T232" s="40">
        <f>IFERROR(IF(S231=0,"",T231/S231-1),"")</f>
        <v>-0.0114754098360655</v>
      </c>
      <c r="U232" s="40">
        <f>IFERROR(IF(T231=0,"",U231/T231-1),"")</f>
        <v>0</v>
      </c>
      <c r="V232" s="40">
        <f>IFERROR(IF(U231=0,"",V231/U231-1),"")</f>
        <v>-0.00331674958540629</v>
      </c>
      <c r="W232" s="12">
        <f>IF(V231=0,"",W231/V231-1)</f>
        <v>0</v>
      </c>
      <c r="X232" s="40">
        <f>IFERROR(IF(W231=0,"",X231/W231-1),"")</f>
        <v>-0.0133111480865225</v>
      </c>
      <c r="Y232" s="40">
        <f>IFERROR(IF(X231=0,"",Y231/X231-1),"")</f>
        <v>0.0269814502529511</v>
      </c>
      <c r="Z232" s="40">
        <f>IFERROR(IF(Y231=0,"",Z231/Y231-1),"")</f>
        <v>0.00164203612479485</v>
      </c>
      <c r="AA232" s="40">
        <f>IFERROR(IF(Z231=0,"",AA231/Z231-1),"")</f>
        <v>-0.0360655737704918</v>
      </c>
      <c r="AB232" s="12">
        <f>IF(AA231=0,"",AB231/AA231-1)</f>
        <v>0</v>
      </c>
      <c r="AC232" s="40">
        <f>IFERROR(IF(AB231=0,"",AC231/AB231-1),"")</f>
        <v>0.0187074829931972</v>
      </c>
      <c r="AD232" s="40">
        <f>IFERROR(IF(AC231=0,"",AD231/AC231-1),"")</f>
        <v>0.001669449081803</v>
      </c>
      <c r="AE232" s="40">
        <f>IFERROR(IF(AD231=0,"",AE231/AD231-1),"")</f>
        <v>0.168333333333333</v>
      </c>
      <c r="AF232" s="41">
        <f>IFERROR(IF(AE231=0,"",AF231/AE231-1),"")</f>
        <v>-0.0456490727532097</v>
      </c>
      <c r="AG232" s="12">
        <f>IF(AF231=0,"",AG231/AF231-1)</f>
        <v>0</v>
      </c>
      <c r="AH232" s="11">
        <f>IFERROR(IF(AG231=0,"",AH231/AG231-1),"")</f>
        <v>-0.0194319880418535</v>
      </c>
      <c r="AI232" s="11">
        <f>IFERROR(IF(AH231=0,"",AI231/AH231-1),"")</f>
        <v>-0.00304878048780488</v>
      </c>
      <c r="AJ232" s="11">
        <f>IFERROR(IF(AI231=0,"",AJ231/AI231-1),"")</f>
        <v>0</v>
      </c>
      <c r="AK232" s="11">
        <f>IFERROR(IF(AJ231=0,"",AK231/AJ231-1),"")</f>
        <v>0</v>
      </c>
      <c r="AL232" s="12">
        <f>IFERROR(IF(AK231=0,"",AL231/AK231-1),"")</f>
        <v>0</v>
      </c>
      <c r="AM232" s="11">
        <f>IFERROR(IF(AL231=0,"",AM231/AL231-1),"")</f>
        <v>0</v>
      </c>
      <c r="AN232" s="11">
        <f>IFERROR(IF(AM231=0,"",AN231/AM231-1),"")</f>
        <v>0</v>
      </c>
      <c r="AO232" s="11">
        <f>IFERROR(IF(AN231=0,"",AO231/AN231-1),"")</f>
        <v>0</v>
      </c>
      <c r="AP232" s="11">
        <f>IFERROR(IF(AO231=0,"",AP231/AO231-1),"")</f>
        <v>0</v>
      </c>
      <c r="AQ232" s="12">
        <f>IFERROR(IF(AP231=0,"",AQ231/AP231-1),"")</f>
        <v>0</v>
      </c>
      <c r="AR232" s="11">
        <f>IFERROR(IF(AQ231=0,"",AR231/AQ231-1),"")</f>
        <v>0</v>
      </c>
      <c r="AS232" s="11">
        <f>IFERROR(IF(AR231=0,"",AS231/AR231-1),"")</f>
        <v>0</v>
      </c>
      <c r="AT232" s="11">
        <f>IFERROR(IF(AS231=0,"",AT231/AS231-1),"")</f>
        <v>0</v>
      </c>
      <c r="AU232" s="11">
        <f>IFERROR(IF(AT231=0,"",AU231/AT231-1),"")</f>
        <v>0</v>
      </c>
      <c r="AV232" s="12">
        <f>IFERROR(IF(AU231=0,"",AV231/AU231-1),"")</f>
        <v>0</v>
      </c>
      <c r="AW232" s="11">
        <f>IFERROR(IF(AV231=0,"",AW231/AV231-1),"")</f>
        <v>0</v>
      </c>
      <c r="AX232" s="11">
        <f>IFERROR(IF(AW231=0,"",AX231/AW231-1),"")</f>
        <v>0</v>
      </c>
      <c r="AY232" s="11">
        <f>IFERROR(IF(AX231=0,"",AY231/AX231-1),"")</f>
        <v>0</v>
      </c>
      <c r="AZ232" s="11">
        <f>IFERROR(IF(AY231=0,"",AZ231/AY231-1),"")</f>
        <v>0</v>
      </c>
      <c r="BA232" s="12">
        <f>IFERROR(IF(AZ231=0,"",BA231/AZ231-1),"")</f>
        <v>0</v>
      </c>
      <c r="BB232" s="11">
        <f>IFERROR(IF(BA231=0,"",BB231/BA231-1),"")</f>
        <v>0</v>
      </c>
      <c r="BC232" s="11">
        <f>IFERROR(IF(BB231=0,"",BC231/BB231-1),"")</f>
        <v>0</v>
      </c>
      <c r="BD232" s="11">
        <f>IFERROR(IF(BC231=0,"",BD231/BC231-1),"")</f>
        <v>0</v>
      </c>
      <c r="BE232" s="11">
        <f>IFERROR(IF(BD231=0,"",BE231/BD231-1),"")</f>
        <v>0</v>
      </c>
      <c r="BF232" s="12">
        <f>IFERROR(IF(BE231=0,"",BF231/BE231-1),"")</f>
        <v>0</v>
      </c>
      <c r="BG232" s="11" t="n"/>
      <c r="BH232" s="11" t="n"/>
      <c r="BI232" s="11" t="n"/>
      <c r="BJ232" s="11" t="n"/>
      <c r="BK232" s="12" t="n"/>
      <c r="BL232" s="11" t="n"/>
      <c r="BM232" s="11" t="n"/>
      <c r="BN232" s="11" t="n"/>
      <c r="BO232" s="11" t="n"/>
      <c r="BP232" s="12" t="n"/>
      <c r="BQ232" s="11" t="n"/>
      <c r="BR232" s="11" t="n"/>
      <c r="BS232" s="11" t="n"/>
      <c r="BT232" s="11" t="n"/>
      <c r="BU232" s="12" t="n"/>
      <c r="BV232" s="11" t="n"/>
      <c r="BW232" s="11" t="n"/>
      <c r="BX232" s="11" t="n"/>
      <c r="BY232" s="11" t="n"/>
      <c r="BZ232" s="12" t="n"/>
      <c r="CA232" s="11" t="n"/>
      <c r="CB232" s="11" t="n"/>
      <c r="CC232" s="11" t="n"/>
      <c r="CD232" s="11" t="n"/>
      <c r="CE232" s="12" t="n"/>
      <c r="CF232" s="11" t="n"/>
      <c r="CG232" s="11" t="n"/>
      <c r="CH232" s="11" t="n"/>
      <c r="CI232" s="11" t="n"/>
      <c r="CJ232" s="12" t="n"/>
      <c r="CK232" s="11" t="n"/>
      <c r="CL232" s="11" t="n"/>
      <c r="CM232" s="11" t="n"/>
      <c r="CN232" s="11" t="n"/>
      <c r="CO232" s="12" t="n"/>
      <c r="CP232" s="11" t="n"/>
      <c r="CQ232" s="11" t="n"/>
      <c r="CR232" s="11" t="n"/>
      <c r="CS232" s="11" t="n"/>
      <c r="CT232" s="12" t="n"/>
      <c r="CU232" s="11" t="n"/>
      <c r="CV232" s="11" t="n"/>
      <c r="CW232" s="11" t="n"/>
      <c r="CX232" s="11" t="n"/>
      <c r="CY232" s="12" t="n"/>
    </row>
    <row r="233" hidden="1" outlineLevel="1">
      <c r="C233" s="57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collapsed="1">
      <c r="C234" s="14" t="inlineStr">
        <is>
          <t>Convertible debt</t>
        </is>
      </c>
      <c r="D234" s="46" t="n"/>
      <c r="E234" s="46" t="n"/>
      <c r="F234" s="46" t="n"/>
      <c r="G234" s="46" t="n"/>
      <c r="H234" s="12" t="n"/>
      <c r="I234" s="46">
        <f>'Inputs (2)'!D37</f>
        <v>0</v>
      </c>
      <c r="J234" s="46">
        <f>'Inputs (2)'!E37</f>
        <v>0</v>
      </c>
      <c r="K234" s="46">
        <f>'Inputs (2)'!F37</f>
        <v>0</v>
      </c>
      <c r="L234" s="46">
        <f>'Inputs (2)'!G37</f>
        <v>0</v>
      </c>
      <c r="M234" s="12">
        <f>'Inputs (2)'!H37</f>
        <v>0</v>
      </c>
      <c r="N234" s="46">
        <f>'Inputs (2)'!I37</f>
        <v>0</v>
      </c>
      <c r="O234" s="46">
        <f>'Inputs (2)'!J37</f>
        <v>0</v>
      </c>
      <c r="P234" s="46">
        <f>'Inputs (2)'!K37</f>
        <v>0</v>
      </c>
      <c r="Q234" s="46">
        <f>'Inputs (2)'!L37</f>
        <v>0</v>
      </c>
      <c r="R234" s="12">
        <f>'Inputs (2)'!M37</f>
        <v>0</v>
      </c>
      <c r="S234" s="46">
        <f>'Inputs (2)'!N37</f>
        <v>0</v>
      </c>
      <c r="T234" s="46">
        <f>'Inputs (2)'!O37</f>
        <v>0</v>
      </c>
      <c r="U234" s="46">
        <f>'Inputs (2)'!P37</f>
        <v>0</v>
      </c>
      <c r="V234" s="46">
        <f>'Inputs (2)'!Q37</f>
        <v>0</v>
      </c>
      <c r="W234" s="12">
        <f>'Inputs (2)'!R37</f>
        <v>0</v>
      </c>
      <c r="X234" s="46">
        <f>'Inputs (2)'!S37</f>
        <v>0</v>
      </c>
      <c r="Y234" s="46">
        <f>'Inputs (2)'!T37</f>
        <v>0</v>
      </c>
      <c r="Z234" s="46">
        <f>'Inputs (2)'!U37</f>
        <v>0</v>
      </c>
      <c r="AA234" s="46">
        <f>'Inputs (2)'!V37</f>
        <v>0</v>
      </c>
      <c r="AB234" s="12">
        <f>'Inputs (2)'!W37</f>
        <v>0</v>
      </c>
      <c r="AC234" s="46">
        <f>'Inputs (2)'!X37</f>
        <v>0</v>
      </c>
      <c r="AD234" s="46">
        <f>'Inputs (2)'!Y37</f>
        <v>0</v>
      </c>
      <c r="AE234" s="46">
        <f>'Inputs (2)'!Z37</f>
        <v>0</v>
      </c>
      <c r="AF234" s="46">
        <f>'Inputs (2)'!AA37</f>
        <v>0</v>
      </c>
      <c r="AG234" s="12">
        <f>'Inputs (2)'!AB37</f>
        <v>0</v>
      </c>
      <c r="AH234" s="12">
        <f>'Inputs (2)'!AC37</f>
        <v>0</v>
      </c>
      <c r="AI234" s="12">
        <f>'Inputs (2)'!AD37</f>
        <v>0</v>
      </c>
      <c r="AJ234" s="12">
        <f>AI234</f>
        <v>0</v>
      </c>
      <c r="AK234" s="12">
        <f>AJ234</f>
        <v>0</v>
      </c>
      <c r="AL234" s="12">
        <f>AK234</f>
        <v>0</v>
      </c>
      <c r="AM234" s="12">
        <f>AL234</f>
        <v>0</v>
      </c>
      <c r="AN234" s="12">
        <f>AM234</f>
        <v>0</v>
      </c>
      <c r="AO234" s="12">
        <f>AN234</f>
        <v>0</v>
      </c>
      <c r="AP234" s="12">
        <f>AO234</f>
        <v>0</v>
      </c>
      <c r="AQ234" s="12">
        <f>AP234</f>
        <v>0</v>
      </c>
      <c r="AR234" s="12">
        <f>AQ234</f>
        <v>0</v>
      </c>
      <c r="AS234" s="12">
        <f>AR234</f>
        <v>0</v>
      </c>
      <c r="AT234" s="12">
        <f>AS234</f>
        <v>0</v>
      </c>
      <c r="AU234" s="12">
        <f>AT234</f>
        <v>0</v>
      </c>
      <c r="AV234" s="12">
        <f>AU234</f>
        <v>0</v>
      </c>
      <c r="AW234" s="12">
        <f>AV234</f>
        <v>0</v>
      </c>
      <c r="AX234" s="12">
        <f>AW234</f>
        <v>0</v>
      </c>
      <c r="AY234" s="12">
        <f>AX234</f>
        <v>0</v>
      </c>
      <c r="AZ234" s="12">
        <f>AY234</f>
        <v>0</v>
      </c>
      <c r="BA234" s="12">
        <f>AZ234</f>
        <v>0</v>
      </c>
      <c r="BB234" s="12">
        <f>BA234</f>
        <v>0</v>
      </c>
      <c r="BC234" s="12">
        <f>BB234</f>
        <v>0</v>
      </c>
      <c r="BD234" s="12">
        <f>BC234</f>
        <v>0</v>
      </c>
      <c r="BE234" s="12">
        <f>BD234</f>
        <v>0</v>
      </c>
      <c r="BF234" s="12">
        <f>BE234</f>
        <v>0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>
      <c r="C235" s="14" t="inlineStr">
        <is>
          <t>Deferred income taxes</t>
        </is>
      </c>
      <c r="D235" s="46" t="n"/>
      <c r="E235" s="46" t="n"/>
      <c r="F235" s="46" t="n"/>
      <c r="G235" s="46" t="n"/>
      <c r="H235" s="12" t="n"/>
      <c r="I235" s="46">
        <f>'Inputs (2)'!D38</f>
        <v>0</v>
      </c>
      <c r="J235" s="46">
        <f>'Inputs (2)'!E38</f>
        <v>0</v>
      </c>
      <c r="K235" s="46">
        <f>'Inputs (2)'!F38</f>
        <v>0</v>
      </c>
      <c r="L235" s="46">
        <f>'Inputs (2)'!G38</f>
        <v>0</v>
      </c>
      <c r="M235" s="12">
        <f>'Inputs (2)'!H38</f>
        <v>0</v>
      </c>
      <c r="N235" s="46">
        <f>'Inputs (2)'!I38</f>
        <v>0</v>
      </c>
      <c r="O235" s="46">
        <f>'Inputs (2)'!J38</f>
        <v>0</v>
      </c>
      <c r="P235" s="46">
        <f>'Inputs (2)'!K38</f>
        <v>0</v>
      </c>
      <c r="Q235" s="46">
        <f>'Inputs (2)'!L38</f>
        <v>0</v>
      </c>
      <c r="R235" s="12">
        <f>'Inputs (2)'!M38</f>
        <v>0</v>
      </c>
      <c r="S235" s="46">
        <f>'Inputs (2)'!N38</f>
        <v>0</v>
      </c>
      <c r="T235" s="46">
        <f>'Inputs (2)'!O38</f>
        <v>0</v>
      </c>
      <c r="U235" s="46">
        <f>'Inputs (2)'!P38</f>
        <v>0</v>
      </c>
      <c r="V235" s="46">
        <f>'Inputs (2)'!Q38</f>
        <v>0</v>
      </c>
      <c r="W235" s="12">
        <f>'Inputs (2)'!R38</f>
        <v>0</v>
      </c>
      <c r="X235" s="46">
        <f>'Inputs (2)'!S38</f>
        <v>0</v>
      </c>
      <c r="Y235" s="46">
        <f>'Inputs (2)'!T38</f>
        <v>0</v>
      </c>
      <c r="Z235" s="46">
        <f>'Inputs (2)'!U38</f>
        <v>0</v>
      </c>
      <c r="AA235" s="46">
        <f>'Inputs (2)'!V38</f>
        <v>0</v>
      </c>
      <c r="AB235" s="12">
        <f>'Inputs (2)'!W38</f>
        <v>0</v>
      </c>
      <c r="AC235" s="46">
        <f>'Inputs (2)'!X38</f>
        <v>0</v>
      </c>
      <c r="AD235" s="46">
        <f>'Inputs (2)'!Y38</f>
        <v>0</v>
      </c>
      <c r="AE235" s="46">
        <f>'Inputs (2)'!Z38</f>
        <v>0</v>
      </c>
      <c r="AF235" s="46">
        <f>'Inputs (2)'!AA38</f>
        <v>0</v>
      </c>
      <c r="AG235" s="12">
        <f>'Inputs (2)'!AB38</f>
        <v>0</v>
      </c>
      <c r="AH235" s="12">
        <f>'Inputs (2)'!AC38</f>
        <v>0</v>
      </c>
      <c r="AI235" s="12">
        <f>'Inputs (2)'!AD38</f>
        <v>0</v>
      </c>
      <c r="AJ235" s="12">
        <f>AI235</f>
        <v>0</v>
      </c>
      <c r="AK235" s="12">
        <f>AJ235</f>
        <v>0</v>
      </c>
      <c r="AL235" s="12">
        <f>AK235</f>
        <v>0</v>
      </c>
      <c r="AM235" s="12">
        <f>AL235</f>
        <v>0</v>
      </c>
      <c r="AN235" s="12">
        <f>AM235</f>
        <v>0</v>
      </c>
      <c r="AO235" s="12">
        <f>AN235</f>
        <v>0</v>
      </c>
      <c r="AP235" s="12">
        <f>AO235</f>
        <v>0</v>
      </c>
      <c r="AQ235" s="12">
        <f>AP235</f>
        <v>0</v>
      </c>
      <c r="AR235" s="12">
        <f>AQ235</f>
        <v>0</v>
      </c>
      <c r="AS235" s="12">
        <f>AR235</f>
        <v>0</v>
      </c>
      <c r="AT235" s="12">
        <f>AS235</f>
        <v>0</v>
      </c>
      <c r="AU235" s="12">
        <f>AT235</f>
        <v>0</v>
      </c>
      <c r="AV235" s="12">
        <f>AU235</f>
        <v>0</v>
      </c>
      <c r="AW235" s="12">
        <f>AV235</f>
        <v>0</v>
      </c>
      <c r="AX235" s="12">
        <f>AW235</f>
        <v>0</v>
      </c>
      <c r="AY235" s="12">
        <f>AX235</f>
        <v>0</v>
      </c>
      <c r="AZ235" s="12">
        <f>AY235</f>
        <v>0</v>
      </c>
      <c r="BA235" s="12">
        <f>AZ235</f>
        <v>0</v>
      </c>
      <c r="BB235" s="12">
        <f>BA235</f>
        <v>0</v>
      </c>
      <c r="BC235" s="12">
        <f>BB235</f>
        <v>0</v>
      </c>
      <c r="BD235" s="12">
        <f>BC235</f>
        <v>0</v>
      </c>
      <c r="BE235" s="12">
        <f>BD235</f>
        <v>0</v>
      </c>
      <c r="BF235" s="12">
        <f>BE235</f>
        <v>0</v>
      </c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>
      <c r="C236" s="14" t="inlineStr">
        <is>
          <t>Other non-current liabilities</t>
        </is>
      </c>
      <c r="D236" s="46" t="n"/>
      <c r="E236" s="46" t="n"/>
      <c r="F236" s="46" t="n"/>
      <c r="G236" s="46" t="n"/>
      <c r="H236" s="12" t="n"/>
      <c r="I236" s="46">
        <f>'Inputs (2)'!D39</f>
        <v>1213</v>
      </c>
      <c r="J236" s="46">
        <f>'Inputs (2)'!E39</f>
        <v>1291</v>
      </c>
      <c r="K236" s="46">
        <f>'Inputs (2)'!F39</f>
        <v>1367</v>
      </c>
      <c r="L236" s="46">
        <f>'Inputs (2)'!G39</f>
        <v>1399</v>
      </c>
      <c r="M236" s="12">
        <f>'Inputs (2)'!H39</f>
        <v>1399</v>
      </c>
      <c r="N236" s="46">
        <f>'Inputs (2)'!I39</f>
        <v>1445</v>
      </c>
      <c r="O236" s="46">
        <f>'Inputs (2)'!J39</f>
        <v>1521</v>
      </c>
      <c r="P236" s="46">
        <f>'Inputs (2)'!K39</f>
        <v>1424</v>
      </c>
      <c r="Q236" s="46">
        <f>'Inputs (2)'!L39</f>
        <v>1324</v>
      </c>
      <c r="R236" s="12">
        <f>'Inputs (2)'!M39</f>
        <v>1324</v>
      </c>
      <c r="S236" s="46">
        <f>'Inputs (2)'!N39</f>
        <v>1361</v>
      </c>
      <c r="T236" s="46">
        <f>'Inputs (2)'!O39</f>
        <v>1582</v>
      </c>
      <c r="U236" s="46">
        <f>'Inputs (2)'!P39</f>
        <v>1714</v>
      </c>
      <c r="V236" s="46">
        <f>'Inputs (2)'!Q39</f>
        <v>1731</v>
      </c>
      <c r="W236" s="12">
        <f>'Inputs (2)'!R39</f>
        <v>1731</v>
      </c>
      <c r="X236" s="46">
        <f>'Inputs (2)'!S39</f>
        <v>1618</v>
      </c>
      <c r="Y236" s="46">
        <f>'Inputs (2)'!T39</f>
        <v>1721</v>
      </c>
      <c r="Z236" s="46">
        <f>'Inputs (2)'!U39</f>
        <v>1461</v>
      </c>
      <c r="AA236" s="46">
        <f>'Inputs (2)'!V39</f>
        <v>1809</v>
      </c>
      <c r="AB236" s="12">
        <f>'Inputs (2)'!W39</f>
        <v>1809</v>
      </c>
      <c r="AC236" s="46">
        <f>'Inputs (2)'!X39</f>
        <v>2093</v>
      </c>
      <c r="AD236" s="46">
        <f>'Inputs (2)'!Y39</f>
        <v>1911</v>
      </c>
      <c r="AE236" s="46">
        <f>'Inputs (2)'!Z39</f>
        <v>2461</v>
      </c>
      <c r="AF236" s="46">
        <f>'Inputs (2)'!AA39</f>
        <v>3249</v>
      </c>
      <c r="AG236" s="12">
        <f>'Inputs (2)'!AB39</f>
        <v>3249</v>
      </c>
      <c r="AH236" s="12">
        <f>'Inputs (2)'!AC39</f>
        <v>4541</v>
      </c>
      <c r="AI236" s="12">
        <f>'Inputs (2)'!AD39</f>
        <v>8106</v>
      </c>
      <c r="AJ236" s="12">
        <f>AI236</f>
        <v>8106</v>
      </c>
      <c r="AK236" s="12">
        <f>AJ236</f>
        <v>8106</v>
      </c>
      <c r="AL236" s="12">
        <f>AK236</f>
        <v>8106</v>
      </c>
      <c r="AM236" s="12">
        <f>AL236</f>
        <v>8106</v>
      </c>
      <c r="AN236" s="12">
        <f>AM236</f>
        <v>8106</v>
      </c>
      <c r="AO236" s="12">
        <f>AN236</f>
        <v>8106</v>
      </c>
      <c r="AP236" s="12">
        <f>AO236</f>
        <v>8106</v>
      </c>
      <c r="AQ236" s="12">
        <f>AP236</f>
        <v>8106</v>
      </c>
      <c r="AR236" s="12">
        <f>AQ236</f>
        <v>8106</v>
      </c>
      <c r="AS236" s="12">
        <f>AR236</f>
        <v>8106</v>
      </c>
      <c r="AT236" s="12">
        <f>AS236</f>
        <v>8106</v>
      </c>
      <c r="AU236" s="12">
        <f>AT236</f>
        <v>8106</v>
      </c>
      <c r="AV236" s="12">
        <f>AU236</f>
        <v>8106</v>
      </c>
      <c r="AW236" s="12">
        <f>AV236</f>
        <v>8106</v>
      </c>
      <c r="AX236" s="12">
        <f>AW236</f>
        <v>8106</v>
      </c>
      <c r="AY236" s="12">
        <f>AX236</f>
        <v>8106</v>
      </c>
      <c r="AZ236" s="12">
        <f>AY236</f>
        <v>8106</v>
      </c>
      <c r="BA236" s="12">
        <f>AZ236</f>
        <v>8106</v>
      </c>
      <c r="BB236" s="12">
        <f>BA236</f>
        <v>8106</v>
      </c>
      <c r="BC236" s="12">
        <f>BB236</f>
        <v>8106</v>
      </c>
      <c r="BD236" s="12">
        <f>BC236</f>
        <v>8106</v>
      </c>
      <c r="BE236" s="12">
        <f>BD236</f>
        <v>8106</v>
      </c>
      <c r="BF236" s="12">
        <f>BE236</f>
        <v>8106</v>
      </c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 ht="12" customHeight="1">
      <c r="C237" s="59" t="inlineStr">
        <is>
          <t>%(Var.)</t>
        </is>
      </c>
      <c r="D237" s="12" t="n"/>
      <c r="E237" s="40" t="n"/>
      <c r="F237" s="40" t="n"/>
      <c r="G237" s="40" t="n"/>
      <c r="H237" s="12" t="n"/>
      <c r="I237" s="40" t="str">
        <f>""</f>
        <v/>
      </c>
      <c r="J237" s="40">
        <f>IF(I236=0,"",J236/I236-1)</f>
        <v>0.0643033800494641</v>
      </c>
      <c r="K237" s="40">
        <f>IF(J236=0,"",K236/J236-1)</f>
        <v>0.0588690937257939</v>
      </c>
      <c r="L237" s="40">
        <f>IF(K236=0,"",L236/K236-1)</f>
        <v>0.0234089246525238</v>
      </c>
      <c r="M237" s="12">
        <f>IF(L236=0,"",M236/L236-1)</f>
        <v>0</v>
      </c>
      <c r="N237" s="40">
        <f>IF(M236=0,"",N236/M236-1)</f>
        <v>0.0328806290207291</v>
      </c>
      <c r="O237" s="40">
        <f>IF(N236=0,"",O236/N236-1)</f>
        <v>0.0525951557093425</v>
      </c>
      <c r="P237" s="40">
        <f>IF(O236=0,"",P236/O236-1)</f>
        <v>-0.0637738330046023</v>
      </c>
      <c r="Q237" s="40">
        <f>IF(P236=0,"",Q236/P236-1)</f>
        <v>-0.0702247191011236</v>
      </c>
      <c r="R237" s="12">
        <f>IF(Q236=0,"",R236/Q236-1)</f>
        <v>0</v>
      </c>
      <c r="S237" s="40">
        <f>IF(R236=0,"",S236/R236-1)</f>
        <v>0.0279456193353473</v>
      </c>
      <c r="T237" s="40">
        <f>IF(S236=0,"",T236/S236-1)</f>
        <v>0.162380602498163</v>
      </c>
      <c r="U237" s="40">
        <f>IF(T236=0,"",U236/T236-1)</f>
        <v>0.0834386852085967</v>
      </c>
      <c r="V237" s="40">
        <f>IF(U236=0,"",V236/U236-1)</f>
        <v>0.00991831971995327</v>
      </c>
      <c r="W237" s="12">
        <f>IF(V236=0,"",W236/V236-1)</f>
        <v>0</v>
      </c>
      <c r="X237" s="40">
        <f>IF(W236=0,"",X236/W236-1)</f>
        <v>-0.0652801848642404</v>
      </c>
      <c r="Y237" s="40">
        <f>IF(X236=0,"",Y236/X236-1)</f>
        <v>0.0636588380716934</v>
      </c>
      <c r="Z237" s="40">
        <f>IF(Y236=0,"",Z236/Y236-1)</f>
        <v>-0.151074956420686</v>
      </c>
      <c r="AA237" s="40">
        <f>IF(Z236=0,"",AA236/Z236-1)</f>
        <v>0.238193018480493</v>
      </c>
      <c r="AB237" s="12">
        <f>IF(AA236=0,"",AB236/AA236-1)</f>
        <v>0</v>
      </c>
      <c r="AC237" s="40">
        <f>IF(AB236=0,"",AC236/AB236-1)</f>
        <v>0.156992813709232</v>
      </c>
      <c r="AD237" s="40">
        <f>IF(AC236=0,"",AD236/AC236-1)</f>
        <v>-0.0869565217391305</v>
      </c>
      <c r="AE237" s="40">
        <f>IF(AD236=0,"",AE236/AD236-1)</f>
        <v>0.287807430664574</v>
      </c>
      <c r="AF237" s="41">
        <f>IF(AE236=0,"",AF236/AE236-1)</f>
        <v>0.320195042665583</v>
      </c>
      <c r="AG237" s="12">
        <f>IF(AF236=0,"",AG236/AF236-1)</f>
        <v>0</v>
      </c>
      <c r="AH237" s="41">
        <f>IF(AG236=0,"",AH236/AG236-1)</f>
        <v>0.39766081871345</v>
      </c>
      <c r="AI237" s="41">
        <f>IF(AH236=0,"",AI236/AH236-1)</f>
        <v>0.785069367980621</v>
      </c>
      <c r="AJ237" s="41">
        <f>IF(AI236=0,"",AJ236/AI236-1)</f>
        <v>0</v>
      </c>
      <c r="AK237" s="41">
        <f>IF(AJ236=0,"",AK236/AJ236-1)</f>
        <v>0</v>
      </c>
      <c r="AL237" s="12">
        <f>IF(AK236=0,"",AL236/AK236-1)</f>
        <v>0</v>
      </c>
      <c r="AM237" s="41">
        <f>IF(AL236=0,"",AM236/AL236-1)</f>
        <v>0</v>
      </c>
      <c r="AN237" s="41">
        <f>IF(AM236=0,"",AN236/AM236-1)</f>
        <v>0</v>
      </c>
      <c r="AO237" s="41">
        <f>IF(AN236=0,"",AO236/AN236-1)</f>
        <v>0</v>
      </c>
      <c r="AP237" s="41">
        <f>IF(AO236=0,"",AP236/AO236-1)</f>
        <v>0</v>
      </c>
      <c r="AQ237" s="12">
        <f>IF(AP236=0,"",AQ236/AP236-1)</f>
        <v>0</v>
      </c>
      <c r="AR237" s="41">
        <f>IF(AQ236=0,"",AR236/AQ236-1)</f>
        <v>0</v>
      </c>
      <c r="AS237" s="41">
        <f>IF(AR236=0,"",AS236/AR236-1)</f>
        <v>0</v>
      </c>
      <c r="AT237" s="41">
        <f>IF(AS236=0,"",AT236/AS236-1)</f>
        <v>0</v>
      </c>
      <c r="AU237" s="41">
        <f>IF(AT236=0,"",AU236/AT236-1)</f>
        <v>0</v>
      </c>
      <c r="AV237" s="12">
        <f>IF(AU236=0,"",AV236/AU236-1)</f>
        <v>0</v>
      </c>
      <c r="AW237" s="41">
        <f>IF(AV236=0,"",AW236/AV236-1)</f>
        <v>0</v>
      </c>
      <c r="AX237" s="41">
        <f>IF(AW236=0,"",AX236/AW236-1)</f>
        <v>0</v>
      </c>
      <c r="AY237" s="41">
        <f>IF(AX236=0,"",AY236/AX236-1)</f>
        <v>0</v>
      </c>
      <c r="AZ237" s="41">
        <f>IF(AY236=0,"",AZ236/AY236-1)</f>
        <v>0</v>
      </c>
      <c r="BA237" s="12">
        <f>IF(AZ236=0,"",BA236/AZ236-1)</f>
        <v>0</v>
      </c>
      <c r="BB237" s="41">
        <f>IF(BA236=0,"",BB236/BA236-1)</f>
        <v>0</v>
      </c>
      <c r="BC237" s="41">
        <f>IF(BB236=0,"",BC236/BB236-1)</f>
        <v>0</v>
      </c>
      <c r="BD237" s="41">
        <f>IF(BC236=0,"",BD236/BC236-1)</f>
        <v>0</v>
      </c>
      <c r="BE237" s="41">
        <f>IF(BD236=0,"",BE236/BD236-1)</f>
        <v>0</v>
      </c>
      <c r="BF237" s="12">
        <f>IF(BE236=0,"",BF236/BE236-1)</f>
        <v>0</v>
      </c>
      <c r="BG237" s="41" t="n"/>
      <c r="BH237" s="41" t="n"/>
      <c r="BI237" s="41" t="n"/>
      <c r="BJ237" s="41" t="n"/>
      <c r="BK237" s="12" t="n"/>
      <c r="BL237" s="41" t="n"/>
      <c r="BM237" s="41" t="n"/>
      <c r="BN237" s="41" t="n"/>
      <c r="BO237" s="41" t="n"/>
      <c r="BP237" s="12" t="n"/>
      <c r="BQ237" s="41" t="n"/>
      <c r="BR237" s="41" t="n"/>
      <c r="BS237" s="41" t="n"/>
      <c r="BT237" s="41" t="n"/>
      <c r="BU237" s="12" t="n"/>
      <c r="BV237" s="41" t="n"/>
      <c r="BW237" s="41" t="n"/>
      <c r="BX237" s="41" t="n"/>
      <c r="BY237" s="41" t="n"/>
      <c r="BZ237" s="12" t="n"/>
      <c r="CA237" s="41" t="n"/>
      <c r="CB237" s="41" t="n"/>
      <c r="CC237" s="41" t="n"/>
      <c r="CD237" s="41" t="n"/>
      <c r="CE237" s="12" t="n"/>
      <c r="CF237" s="41" t="n"/>
      <c r="CG237" s="41" t="n"/>
      <c r="CH237" s="41" t="n"/>
      <c r="CI237" s="41" t="n"/>
      <c r="CJ237" s="12" t="n"/>
      <c r="CK237" s="41" t="n"/>
      <c r="CL237" s="41" t="n"/>
      <c r="CM237" s="41" t="n"/>
      <c r="CN237" s="41" t="n"/>
      <c r="CO237" s="12" t="n"/>
      <c r="CP237" s="41" t="n"/>
      <c r="CQ237" s="41" t="n"/>
      <c r="CR237" s="41" t="n"/>
      <c r="CS237" s="41" t="n"/>
      <c r="CT237" s="12" t="n"/>
      <c r="CU237" s="41" t="n"/>
      <c r="CV237" s="41" t="n"/>
      <c r="CW237" s="41" t="n"/>
      <c r="CX237" s="41" t="n"/>
      <c r="CY237" s="12" t="n"/>
    </row>
    <row r="238" hidden="1" outlineLevel="1" ht="12" customHeight="1">
      <c r="C238" s="59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hidden="1" outlineLevel="1">
      <c r="C239" s="57" t="inlineStr">
        <is>
          <t>Contas a pagar pela aquisição de controladas</t>
        </is>
      </c>
      <c r="D239" s="11" t="n"/>
      <c r="E239" s="11" t="n"/>
      <c r="F239" s="11" t="n"/>
      <c r="G239" s="11" t="n"/>
      <c r="H239" s="12" t="n"/>
      <c r="I239" s="11" t="n"/>
      <c r="J239" s="11" t="n"/>
      <c r="K239" s="11" t="n"/>
      <c r="L239" s="11" t="n"/>
      <c r="M239" s="12" t="n"/>
      <c r="N239" s="11" t="n"/>
      <c r="O239" s="11" t="n"/>
      <c r="P239" s="11" t="n"/>
      <c r="Q239" s="11" t="n"/>
      <c r="R239" s="12" t="n"/>
      <c r="S239" s="11" t="n"/>
      <c r="T239" s="11" t="n"/>
      <c r="U239" s="11" t="n"/>
      <c r="V239" s="11" t="n"/>
      <c r="W239" s="12" t="n"/>
      <c r="X239" s="11" t="n"/>
      <c r="Y239" s="11" t="n"/>
      <c r="Z239" s="11" t="n"/>
      <c r="AA239" s="11" t="n"/>
      <c r="AB239" s="12" t="n"/>
      <c r="AC239" s="11" t="n"/>
      <c r="AD239" s="11" t="n"/>
      <c r="AE239" s="11" t="n"/>
      <c r="AF239" s="11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>
      <c r="C240" s="57" t="inlineStr">
        <is>
          <t xml:space="preserve">Outras Obrigações </t>
        </is>
      </c>
      <c r="D240" s="11" t="n"/>
      <c r="E240" s="11" t="n"/>
      <c r="F240" s="11" t="n"/>
      <c r="G240" s="11" t="n"/>
      <c r="H240" s="12" t="n"/>
      <c r="I240" s="11" t="n"/>
      <c r="J240" s="11" t="n"/>
      <c r="K240" s="11" t="n"/>
      <c r="L240" s="11" t="n"/>
      <c r="M240" s="12" t="n"/>
      <c r="N240" s="11" t="n"/>
      <c r="O240" s="11" t="n"/>
      <c r="P240" s="11" t="n"/>
      <c r="Q240" s="11" t="n"/>
      <c r="R240" s="12" t="n"/>
      <c r="S240" s="11" t="n"/>
      <c r="T240" s="11" t="n"/>
      <c r="U240" s="11" t="n"/>
      <c r="V240" s="11" t="n"/>
      <c r="W240" s="12" t="n"/>
      <c r="X240" s="11" t="n"/>
      <c r="Y240" s="11" t="n"/>
      <c r="Z240" s="11" t="n"/>
      <c r="AA240" s="11" t="n"/>
      <c r="AB240" s="12" t="n"/>
      <c r="AC240" s="11" t="n"/>
      <c r="AD240" s="11" t="n"/>
      <c r="AE240" s="11" t="n"/>
      <c r="AF240" s="11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>
      <c r="C241" s="57" t="inlineStr">
        <is>
          <t xml:space="preserve">Provisão de Risco Cíveis, Trabalhistas e Tributários </t>
        </is>
      </c>
      <c r="D241" s="11" t="n"/>
      <c r="E241" s="11" t="n"/>
      <c r="F241" s="11" t="n"/>
      <c r="G241" s="11" t="n"/>
      <c r="H241" s="12" t="n"/>
      <c r="I241" s="11" t="n"/>
      <c r="J241" s="11" t="n"/>
      <c r="K241" s="11" t="n"/>
      <c r="L241" s="11" t="n"/>
      <c r="M241" s="12" t="n"/>
      <c r="N241" s="11" t="n"/>
      <c r="O241" s="11" t="n"/>
      <c r="P241" s="11" t="n"/>
      <c r="Q241" s="11" t="n"/>
      <c r="R241" s="12" t="n"/>
      <c r="S241" s="11" t="n"/>
      <c r="T241" s="11" t="n"/>
      <c r="U241" s="11" t="n"/>
      <c r="V241" s="11" t="n"/>
      <c r="W241" s="12" t="n"/>
      <c r="X241" s="11" t="n"/>
      <c r="Y241" s="11" t="n"/>
      <c r="Z241" s="11" t="n"/>
      <c r="AA241" s="11" t="n"/>
      <c r="AB241" s="12" t="n"/>
      <c r="AC241" s="11" t="n"/>
      <c r="AD241" s="11" t="n"/>
      <c r="AE241" s="11" t="n"/>
      <c r="AF241" s="11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hidden="1" outlineLevel="1">
      <c r="C242" s="57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collapsed="1" customFormat="1" s="32">
      <c r="A243" s="30" t="n"/>
      <c r="B243" s="30" t="n"/>
      <c r="C243" s="65" t="inlineStr">
        <is>
          <t>Total Liabilities</t>
        </is>
      </c>
      <c r="D243" s="35" t="n"/>
      <c r="E243" s="35" t="n"/>
      <c r="F243" s="35" t="n"/>
      <c r="G243" s="35" t="n"/>
      <c r="H243" s="35" t="n"/>
      <c r="I243" s="35">
        <f>SUM(I194+I198+I200+I201+I208+I209+I210+I213+I231+I234+I235+I236)</f>
        <v>13472</v>
      </c>
      <c r="J243" s="35">
        <f>SUM(J194+J198+J200+J201+J208+J209+J210+J213+J231+J234+J235+J236)</f>
        <v>13684</v>
      </c>
      <c r="K243" s="35">
        <f>SUM(K194+K198+K200+K201+K208+K209+K210+K213+K231+K234+K235+K236)</f>
        <v>14916</v>
      </c>
      <c r="L243" s="35">
        <f>SUM(L194+L198+L200+L201+L208+L209+L210+L213+L231+L234+L235+L236)</f>
        <v>15338</v>
      </c>
      <c r="M243" s="35">
        <f>SUM(M194,M198,M200,M201,M208,M209,M213,M210,M231,M234,M235,M236)</f>
        <v>15338</v>
      </c>
      <c r="N243" s="35">
        <f>SUM(N194+N198+N200+N201+N208+N209+N210+N213+N231+N234+N235+N236)</f>
        <v>15851</v>
      </c>
      <c r="O243" s="35">
        <f>SUM(O194+O198+O200+O201+O208+O209+O210+O213+O231+O234+O235+O236)</f>
        <v>16015</v>
      </c>
      <c r="P243" s="35">
        <f>SUM(P194+P198+P200+P201+P208+P209+P210+P213+P231+P234+P235+P236)</f>
        <v>16376</v>
      </c>
      <c r="Q243" s="35">
        <f>SUM(Q194+Q198+Q200+Q201+Q208+Q209+Q210+Q213+Q231+Q234+Q235+Q236)</f>
        <v>18568</v>
      </c>
      <c r="R243" s="35">
        <f>SUM(R194,R198,R200,R201,R208,R209,R213,R210,R231,R234,R235,R236)</f>
        <v>18568</v>
      </c>
      <c r="S243" s="35">
        <f>SUM(S194+S198+S200+S201+S208+S209+S210+S213+S231+S234+S235+S236)</f>
        <v>19263</v>
      </c>
      <c r="T243" s="35">
        <f>SUM(T194+T198+T200+T201+T208+T209+T210+T213+T231+T234+T235+T236)</f>
        <v>20275</v>
      </c>
      <c r="U243" s="35">
        <f>SUM(U194+U198+U200+U201+U208+U209+U210+U213+U231+U234+U235+U236)</f>
        <v>20134</v>
      </c>
      <c r="V243" s="35">
        <f>SUM(V194+V198+V200+V201+V208+V209+V210+V213+V231+V234+V235+V236)</f>
        <v>20891</v>
      </c>
      <c r="W243" s="35">
        <f>SUM(W194,W198,W200,W201,W208,W209,W213,W210,W231,W234,W235,W236)</f>
        <v>20891</v>
      </c>
      <c r="X243" s="35">
        <f>SUM(X194+X198+X200+X201+X208+X209+X210+X213+X231+X234+X235+X236)</f>
        <v>21848</v>
      </c>
      <c r="Y243" s="35">
        <f>SUM(Y194+Y198+Y200+Y201+Y208+Y209+Y210+Y213+Y231+Y234+Y235+Y236)</f>
        <v>22030</v>
      </c>
      <c r="Z243" s="35">
        <f>SUM(Z194+Z198+Z200+Z201+Z208+Z209+Z210+Z213+Z231+Z234+Z235+Z236)</f>
        <v>24285</v>
      </c>
      <c r="AA243" s="35">
        <f>SUM(AA194+AA198+AA200+AA201+AA208+AA209+AA210+AA213+AA231+AA234+AA235+AA236)</f>
        <v>24664</v>
      </c>
      <c r="AB243" s="35">
        <f>SUM(AB194,AB198,AB200,AB201,AB208,AB209,AB213,AB210,AB231,AB234,AB235,AB236)</f>
        <v>24664</v>
      </c>
      <c r="AC243" s="35">
        <f>SUM(AC194+AC198+AC200+AC201+AC208+AC209+AC210+AC213+AC231+AC234+AC235+AC236)</f>
        <v>24420</v>
      </c>
      <c r="AD243" s="35">
        <f>SUM(AD194+AD198+AD200+AD201+AD208+AD209+AD210+AD213+AD231+AD234+AD235+AD236)</f>
        <v>27649</v>
      </c>
      <c r="AE243" s="35">
        <f>SUM(AE194+AE198+AE200+AE201+AE208+AE209+AE210+AE213+AE231+AE234+AE235+AE236)</f>
        <v>28633</v>
      </c>
      <c r="AF243" s="35">
        <f>SUM(AF194+AF198+AF200+AF201+AF208+AF209+AF210+AF213+AF231+AF234+AF235+AF236)</f>
        <v>27165</v>
      </c>
      <c r="AG243" s="35">
        <f>SUM(AG194,AG198,AG200,AG201,AG208,AG209,AG213,AG210,AG231,AG234,AG235,AG236)</f>
        <v>27165</v>
      </c>
      <c r="AH243" s="35">
        <f>SUM(AH194+AH198+AH200+AH201+AH208+AH209+AH210+AH213+AH231+AH234+AH235+AH236)</f>
        <v>29050</v>
      </c>
      <c r="AI243" s="35">
        <f>SUM(AI194+AI198+AI200+AI201+AI208+AI209+AI210+AI213+AI231+AI234+AI235+AI236)</f>
        <v>33388</v>
      </c>
      <c r="AJ243" s="35">
        <f>SUM(AJ194+AJ198+AJ200+AJ201+AJ208+AJ209+AJ210+AJ213+AJ231+AJ234+AJ235+AJ236)</f>
        <v>36273.4282349996</v>
      </c>
      <c r="AK243" s="35">
        <f>SUM(AK194+AK198+AK200+AK201+AK208+AK209+AK210+AK213+AK231+AK234+AK235+AK236)</f>
        <v>40060.4512072558</v>
      </c>
      <c r="AL243" s="35">
        <f>SUM(AL194,AL198,AL200,AL201,AL208,AL209,AL213,AL210,AL231,AL234,AL235,AL236)</f>
        <v>40060.4512072558</v>
      </c>
      <c r="AM243" s="35">
        <f>SUM(AM194+AM198+AM200+AM201+AM208+AM209+AM210+AM213+AM231+AM234+AM235+AM236)</f>
        <v>57543.2593874526</v>
      </c>
      <c r="AN243" s="35">
        <f>SUM(AN194+AN198+AN200+AN201+AN208+AN209+AN210+AN213+AN231+AN234+AN235+AN236)</f>
        <v>86045.7122799486</v>
      </c>
      <c r="AO243" s="35">
        <f>SUM(AO194+AO198+AO200+AO201+AO208+AO209+AO210+AO213+AO231+AO234+AO235+AO236)</f>
        <v>58345.4298260672</v>
      </c>
      <c r="AP243" s="35">
        <f>SUM(AP194+AP198+AP200+AP201+AP208+AP209+AP210+AP213+AP231+AP234+AP235+AP236)</f>
        <v>66673.6476462249</v>
      </c>
      <c r="AQ243" s="35">
        <f>SUM(AQ194,AQ198,AQ200,AQ201,AQ208,AQ209,AQ213,AQ210,AQ231,AQ234,AQ235,AQ236)</f>
        <v>66673.6476462249</v>
      </c>
      <c r="AR243" s="35">
        <f>SUM(AR194+AR198+AR200+AR201+AR208+AR209+AR210+AR213+AR231+AR234+AR235+AR236)</f>
        <v>103965.866413892</v>
      </c>
      <c r="AS243" s="35">
        <f>SUM(AS194+AS198+AS200+AS201+AS208+AS209+AS210+AS213+AS231+AS234+AS235+AS236)</f>
        <v>167461.074017365</v>
      </c>
      <c r="AT243" s="35">
        <f>SUM(AT194+AT198+AT200+AT201+AT208+AT209+AT210+AT213+AT231+AT234+AT235+AT236)</f>
        <v>106682.59984066</v>
      </c>
      <c r="AU243" s="35">
        <f>SUM(AU194+AU198+AU200+AU201+AU208+AU209+AU210+AU213+AU231+AU234+AU235+AU236)</f>
        <v>124955.928734081</v>
      </c>
      <c r="AV243" s="35">
        <f>SUM(AV194,AV198,AV200,AV201,AV208,AV209,AV213,AV210,AV231,AV234,AV235,AV236)</f>
        <v>124955.928734081</v>
      </c>
      <c r="AW243" s="35">
        <f>SUM(AW194+AW198+AW200+AW201+AW208+AW209+AW210+AW213+AW231+AW234+AW235+AW236)</f>
        <v>208444.276603691</v>
      </c>
      <c r="AX243" s="35">
        <f>SUM(AX194+AX198+AX200+AX201+AX208+AX209+AX210+AX213+AX231+AX234+AX235+AX236)</f>
        <v>345350.324014368</v>
      </c>
      <c r="AY243" s="35">
        <f>SUM(AY194+AY198+AY200+AY201+AY208+AY209+AY210+AY213+AY231+AY234+AY235+AY236)</f>
        <v>212297.347934592</v>
      </c>
      <c r="AZ243" s="35">
        <f>SUM(AZ194+AZ198+AZ200+AZ201+AZ208+AZ209+AZ210+AZ213+AZ231+AZ234+AZ235+AZ236)</f>
        <v>252300.339537926</v>
      </c>
      <c r="BA243" s="35">
        <f>SUM(BA194,BA198,BA200,BA201,BA208,BA209,BA213,BA210,BA231,BA234,BA235,BA236)</f>
        <v>252300.339537926</v>
      </c>
      <c r="BB243" s="35">
        <f>SUM(BB194+BB198+BB200+BB201+BB208+BB209+BB210+BB213+BB231+BB234+BB235+BB236)</f>
        <v>434115.666778357</v>
      </c>
      <c r="BC243" s="35">
        <f>SUM(BC194+BC198+BC200+BC201+BC208+BC209+BC210+BC213+BC231+BC234+BC235+BC236)</f>
        <v>733138.513175172</v>
      </c>
      <c r="BD243" s="35">
        <f>SUM(BD194+BD198+BD200+BD201+BD208+BD209+BD210+BD213+BD231+BD234+BD235+BD236)</f>
        <v>442531.338536667</v>
      </c>
      <c r="BE243" s="35">
        <f>SUM(BE194+BE198+BE200+BE201+BE208+BE209+BE210+BE213+BE231+BE234+BE235+BE236)</f>
        <v>529903.727411025</v>
      </c>
      <c r="BF243" s="35">
        <f>SUM(BF194,BF198,BF200,BF201,BF208,BF209,BF213,BF210,BF231,BF234,BF235,BF236)</f>
        <v>529903.727411025</v>
      </c>
      <c r="BG243" s="35" t="n"/>
      <c r="BH243" s="35" t="n"/>
      <c r="BI243" s="35" t="n"/>
      <c r="BJ243" s="35" t="n"/>
      <c r="BK243" s="35" t="n"/>
      <c r="BL243" s="35" t="n"/>
      <c r="BM243" s="35" t="n"/>
      <c r="BN243" s="35" t="n"/>
      <c r="BO243" s="35" t="n"/>
      <c r="BP243" s="35" t="n"/>
      <c r="BQ243" s="35" t="n"/>
      <c r="BR243" s="35" t="n"/>
      <c r="BS243" s="35" t="n"/>
      <c r="BT243" s="35" t="n"/>
      <c r="BU243" s="35" t="n"/>
      <c r="BV243" s="35" t="n"/>
      <c r="BW243" s="35" t="n"/>
      <c r="BX243" s="35" t="n"/>
      <c r="BY243" s="35" t="n"/>
      <c r="BZ243" s="35" t="n"/>
      <c r="CA243" s="35" t="n"/>
      <c r="CB243" s="35" t="n"/>
      <c r="CC243" s="35" t="n"/>
      <c r="CD243" s="35" t="n"/>
      <c r="CE243" s="35" t="n"/>
      <c r="CF243" s="35" t="n"/>
      <c r="CG243" s="35" t="n"/>
      <c r="CH243" s="35" t="n"/>
      <c r="CI243" s="35" t="n"/>
      <c r="CJ243" s="35" t="n"/>
      <c r="CK243" s="35" t="n"/>
      <c r="CL243" s="35" t="n"/>
      <c r="CM243" s="35" t="n"/>
      <c r="CN243" s="35" t="n"/>
      <c r="CO243" s="35" t="n"/>
      <c r="CP243" s="35" t="n"/>
      <c r="CQ243" s="35" t="n"/>
      <c r="CR243" s="35" t="n"/>
      <c r="CS243" s="35" t="n"/>
      <c r="CT243" s="35" t="n"/>
      <c r="CU243" s="35" t="n"/>
      <c r="CV243" s="35" t="n"/>
      <c r="CW243" s="35" t="n"/>
      <c r="CX243" s="35" t="n"/>
      <c r="CY243" s="35" t="n"/>
    </row>
    <row r="244">
      <c r="C244" s="14" t="inlineStr">
        <is>
          <t>Minority interest</t>
        </is>
      </c>
      <c r="D244" s="46" t="n"/>
      <c r="E244" s="46" t="n"/>
      <c r="F244" s="46" t="n"/>
      <c r="G244" s="46" t="n"/>
      <c r="H244" s="12" t="n"/>
      <c r="I244" s="46">
        <f>'Inputs (2)'!D41</f>
        <v>0</v>
      </c>
      <c r="J244" s="46">
        <f>'Inputs (2)'!E41</f>
        <v>0</v>
      </c>
      <c r="K244" s="46">
        <f>'Inputs (2)'!F41</f>
        <v>0</v>
      </c>
      <c r="L244" s="46">
        <f>'Inputs (2)'!G41</f>
        <v>0</v>
      </c>
      <c r="M244" s="12">
        <f>'Inputs (2)'!H41</f>
        <v>0</v>
      </c>
      <c r="N244" s="46">
        <f>'Inputs (2)'!I41</f>
        <v>0</v>
      </c>
      <c r="O244" s="46">
        <f>'Inputs (2)'!J41</f>
        <v>0</v>
      </c>
      <c r="P244" s="46">
        <f>'Inputs (2)'!K41</f>
        <v>0</v>
      </c>
      <c r="Q244" s="46">
        <f>'Inputs (2)'!L41</f>
        <v>0</v>
      </c>
      <c r="R244" s="12">
        <f>'Inputs (2)'!M41</f>
        <v>0</v>
      </c>
      <c r="S244" s="46">
        <f>'Inputs (2)'!N41</f>
        <v>0</v>
      </c>
      <c r="T244" s="46">
        <f>'Inputs (2)'!O41</f>
        <v>0</v>
      </c>
      <c r="U244" s="46">
        <f>'Inputs (2)'!P41</f>
        <v>0</v>
      </c>
      <c r="V244" s="46">
        <f>'Inputs (2)'!Q41</f>
        <v>0</v>
      </c>
      <c r="W244" s="12">
        <f>'Inputs (2)'!R41</f>
        <v>0</v>
      </c>
      <c r="X244" s="46">
        <f>'Inputs (2)'!S41</f>
        <v>0</v>
      </c>
      <c r="Y244" s="46">
        <f>'Inputs (2)'!T41</f>
        <v>0</v>
      </c>
      <c r="Z244" s="46">
        <f>'Inputs (2)'!U41</f>
        <v>0</v>
      </c>
      <c r="AA244" s="46">
        <f>'Inputs (2)'!V41</f>
        <v>0</v>
      </c>
      <c r="AB244" s="12">
        <f>'Inputs (2)'!W41</f>
        <v>0</v>
      </c>
      <c r="AC244" s="46">
        <f>'Inputs (2)'!X41</f>
        <v>0</v>
      </c>
      <c r="AD244" s="46">
        <f>'Inputs (2)'!Y41</f>
        <v>0</v>
      </c>
      <c r="AE244" s="46">
        <f>'Inputs (2)'!Z41</f>
        <v>0</v>
      </c>
      <c r="AF244" s="46">
        <f>'Inputs (2)'!AA41</f>
        <v>0</v>
      </c>
      <c r="AG244" s="12">
        <f>'Inputs (2)'!AB41</f>
        <v>0</v>
      </c>
      <c r="AH244" s="12">
        <f>'Inputs (2)'!AC41</f>
        <v>0</v>
      </c>
      <c r="AI244" s="12">
        <f>'Inputs (2)'!AD41</f>
        <v>0</v>
      </c>
      <c r="AJ244" s="12">
        <f>AI244</f>
        <v>0</v>
      </c>
      <c r="AK244" s="12">
        <f>AJ244</f>
        <v>0</v>
      </c>
      <c r="AL244" s="12">
        <f>AK244</f>
        <v>0</v>
      </c>
      <c r="AM244" s="12">
        <f>AL244</f>
        <v>0</v>
      </c>
      <c r="AN244" s="12">
        <f>AM244</f>
        <v>0</v>
      </c>
      <c r="AO244" s="12">
        <f>AN244</f>
        <v>0</v>
      </c>
      <c r="AP244" s="12">
        <f>AO244</f>
        <v>0</v>
      </c>
      <c r="AQ244" s="12">
        <f>AP244</f>
        <v>0</v>
      </c>
      <c r="AR244" s="12">
        <f>AQ244</f>
        <v>0</v>
      </c>
      <c r="AS244" s="12">
        <f>AR244</f>
        <v>0</v>
      </c>
      <c r="AT244" s="12">
        <f>AS244</f>
        <v>0</v>
      </c>
      <c r="AU244" s="12">
        <f>AT244</f>
        <v>0</v>
      </c>
      <c r="AV244" s="12">
        <f>AU244</f>
        <v>0</v>
      </c>
      <c r="AW244" s="12">
        <f>AV244</f>
        <v>0</v>
      </c>
      <c r="AX244" s="12">
        <f>AW244</f>
        <v>0</v>
      </c>
      <c r="AY244" s="12">
        <f>AX244</f>
        <v>0</v>
      </c>
      <c r="AZ244" s="12">
        <f>AY244</f>
        <v>0</v>
      </c>
      <c r="BA244" s="12">
        <f>AZ244</f>
        <v>0</v>
      </c>
      <c r="BB244" s="12">
        <f>BA244</f>
        <v>0</v>
      </c>
      <c r="BC244" s="12">
        <f>BB244</f>
        <v>0</v>
      </c>
      <c r="BD244" s="12">
        <f>BC244</f>
        <v>0</v>
      </c>
      <c r="BE244" s="12">
        <f>BD244</f>
        <v>0</v>
      </c>
      <c r="BF244" s="12">
        <f>BE244</f>
        <v>0</v>
      </c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 customFormat="1" s="66">
      <c r="A245" s="37" t="n"/>
      <c r="B245" s="37" t="n"/>
      <c r="C245" s="59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  <c r="AO245" s="42" t="n"/>
      <c r="AP245" s="42" t="n"/>
      <c r="AQ245" s="42" t="n"/>
      <c r="AR245" s="42" t="n"/>
      <c r="AS245" s="42" t="n"/>
      <c r="AT245" s="42" t="n"/>
      <c r="AU245" s="42" t="n"/>
      <c r="AV245" s="42" t="n"/>
      <c r="AW245" s="42" t="n"/>
      <c r="AX245" s="42" t="n"/>
      <c r="AY245" s="42" t="n"/>
      <c r="AZ245" s="42" t="n"/>
      <c r="BA245" s="42" t="n"/>
      <c r="BB245" s="42" t="n"/>
      <c r="BC245" s="42" t="n"/>
      <c r="BD245" s="42" t="n"/>
      <c r="BE245" s="42" t="n"/>
      <c r="BF245" s="42" t="n"/>
      <c r="BG245" s="42" t="n"/>
      <c r="BH245" s="42" t="n"/>
      <c r="BI245" s="42" t="n"/>
      <c r="BJ245" s="42" t="n"/>
      <c r="BK245" s="42" t="n"/>
      <c r="BL245" s="42" t="n"/>
      <c r="BM245" s="42" t="n"/>
      <c r="BN245" s="42" t="n"/>
      <c r="BO245" s="42" t="n"/>
      <c r="BP245" s="42" t="n"/>
      <c r="BQ245" s="42" t="n"/>
      <c r="BR245" s="42" t="n"/>
      <c r="BS245" s="42" t="n"/>
      <c r="BT245" s="42" t="n"/>
      <c r="BU245" s="42" t="n"/>
      <c r="BV245" s="42" t="n"/>
      <c r="BW245" s="42" t="n"/>
      <c r="BX245" s="42" t="n"/>
      <c r="BY245" s="42" t="n"/>
      <c r="BZ245" s="42" t="n"/>
      <c r="CA245" s="42" t="n"/>
      <c r="CB245" s="42" t="n"/>
      <c r="CC245" s="42" t="n"/>
      <c r="CD245" s="42" t="n"/>
      <c r="CE245" s="42" t="n"/>
      <c r="CF245" s="42" t="n"/>
      <c r="CG245" s="42" t="n"/>
      <c r="CH245" s="42" t="n"/>
      <c r="CI245" s="42" t="n"/>
      <c r="CJ245" s="42" t="n"/>
      <c r="CK245" s="42" t="n"/>
      <c r="CL245" s="42" t="n"/>
      <c r="CM245" s="42" t="n"/>
      <c r="CN245" s="42" t="n"/>
      <c r="CO245" s="42" t="n"/>
      <c r="CP245" s="42" t="n"/>
      <c r="CQ245" s="42" t="n"/>
      <c r="CR245" s="42" t="n"/>
      <c r="CS245" s="42" t="n"/>
      <c r="CT245" s="42" t="n"/>
      <c r="CU245" s="42" t="n"/>
      <c r="CV245" s="42" t="n"/>
      <c r="CW245" s="42" t="n"/>
      <c r="CX245" s="42" t="n"/>
      <c r="CY245" s="42" t="n"/>
    </row>
    <row r="246" hidden="1" outlineLevel="1" customFormat="1" s="66">
      <c r="A246" s="37" t="n"/>
      <c r="B246" s="37" t="n"/>
      <c r="C246" s="57" t="inlineStr">
        <is>
          <t>Minority Interest Expense - % YoY</t>
        </is>
      </c>
      <c r="D246" s="42" t="n"/>
      <c r="E246" s="58" t="n"/>
      <c r="F246" s="42" t="n"/>
      <c r="G246" s="42" t="n"/>
      <c r="H246" s="58" t="n"/>
      <c r="I246" s="42" t="n"/>
      <c r="J246" s="58">
        <f>IF(I131=0,0,J131/I131-1)</f>
        <v>-1.375</v>
      </c>
      <c r="K246" s="42" t="n"/>
      <c r="L246" s="42" t="n"/>
      <c r="M246" s="58" t="n"/>
      <c r="N246" s="58">
        <f>IF(I131=0,0,N131/I131-1)</f>
        <v>-0.4375</v>
      </c>
      <c r="O246" s="58">
        <f>IF(J131=0,0,O131/J131-1)</f>
        <v>-0.333333333333333</v>
      </c>
      <c r="P246" s="58">
        <f>IF(K131=0,0,P131/K131-1)</f>
        <v>-1.35714285714286</v>
      </c>
      <c r="Q246" s="58">
        <f>IF(L131=0,0,Q131/L131-1)</f>
        <v>-3.75</v>
      </c>
      <c r="R246" s="58" t="n"/>
      <c r="S246" s="58">
        <f>IF(N131=0,0,S131/N131-1)</f>
        <v>0.444444444444444</v>
      </c>
      <c r="T246" s="58">
        <f>IF(O131=0,0,T131/O131-1)</f>
        <v>0</v>
      </c>
      <c r="U246" s="58">
        <f>IF(P131=0,0,U131/P131-1)</f>
        <v>-1.8</v>
      </c>
      <c r="V246" s="58">
        <f>IF(Q131=0,0,V131/Q131-1)</f>
        <v>-0.454545454545455</v>
      </c>
      <c r="W246" s="58">
        <f>IF(R132=0,0,W132/R132-1)</f>
        <v>0</v>
      </c>
      <c r="X246" s="58">
        <f>IF(S131=0,0,X131/S131-1)</f>
        <v>-0.923076923076923</v>
      </c>
      <c r="Y246" s="58">
        <f>IF(T131=0,0,Y131/T131-1)</f>
        <v>0.5</v>
      </c>
      <c r="Z246" s="58">
        <f>IF(U131=0,0,Z131/U131-1)</f>
        <v>-1</v>
      </c>
      <c r="AA246" s="58">
        <f>IF(V131=0,0,AA131/V131-1)</f>
        <v>-1.16666666666667</v>
      </c>
      <c r="AB246" s="58">
        <f>IF(W132=0,0,AB132/W132-1)</f>
        <v>0</v>
      </c>
      <c r="AC246" s="58">
        <f>IF(X131=0,0,AC131/X131-1)</f>
        <v>1</v>
      </c>
      <c r="AD246" s="58">
        <f>IF(Y131=0,0,AD131/Y131-1)</f>
        <v>-2.16666666666667</v>
      </c>
      <c r="AE246" s="58">
        <f>IF(Z131=0,0,AE131/Z131-1)</f>
        <v>0</v>
      </c>
      <c r="AF246" s="58">
        <f>IF(AA131=0,0,AF131/AA131-1)</f>
        <v>7</v>
      </c>
      <c r="AG246" s="58">
        <f>IF(AB132=0,0,AG132/AB132-1)</f>
        <v>0</v>
      </c>
      <c r="AH246" s="62">
        <f>IF(AC131=0,0,AH131/AC131-1)</f>
        <v>-3</v>
      </c>
      <c r="AI246" s="62">
        <f>IF(AD131=0,0,AI131/AD131-1)</f>
        <v>0.285714285714286</v>
      </c>
      <c r="AJ246" s="62" t="n"/>
      <c r="AK246" s="62" t="n"/>
      <c r="AL246" s="58">
        <f>IF(AG132=0,0,AL132/AG132-1)</f>
        <v>0</v>
      </c>
      <c r="AM246" s="62" t="n"/>
      <c r="AN246" s="62" t="n"/>
      <c r="AO246" s="62" t="n"/>
      <c r="AP246" s="62" t="n"/>
      <c r="AQ246" s="58">
        <f>IF(AL132=0,0,AQ132/AL132-1)</f>
        <v>0</v>
      </c>
      <c r="AR246" s="62" t="n"/>
      <c r="AS246" s="62" t="n"/>
      <c r="AT246" s="62" t="n"/>
      <c r="AU246" s="62" t="n"/>
      <c r="AV246" s="58">
        <f>IF(AQ132=0,0,AV132/AQ132-1)</f>
        <v>0</v>
      </c>
      <c r="AW246" s="62" t="n"/>
      <c r="AX246" s="62" t="n"/>
      <c r="AY246" s="62" t="n"/>
      <c r="AZ246" s="62" t="n"/>
      <c r="BA246" s="58">
        <f>IF(AV132=0,0,BA132/AV132-1)</f>
        <v>0</v>
      </c>
      <c r="BB246" s="62" t="n"/>
      <c r="BC246" s="62" t="n"/>
      <c r="BD246" s="62" t="n"/>
      <c r="BE246" s="62" t="n"/>
      <c r="BF246" s="58">
        <f>IF(BA132=0,0,BF132/BA132-1)</f>
        <v>0</v>
      </c>
      <c r="BG246" s="62" t="n"/>
      <c r="BH246" s="62" t="n"/>
      <c r="BI246" s="62" t="n"/>
      <c r="BJ246" s="62" t="n"/>
      <c r="BK246" s="58" t="n"/>
      <c r="BL246" s="62" t="n"/>
      <c r="BM246" s="62" t="n"/>
      <c r="BN246" s="62" t="n"/>
      <c r="BO246" s="62" t="n"/>
      <c r="BP246" s="58" t="n"/>
      <c r="BQ246" s="62" t="n"/>
      <c r="BR246" s="62" t="n"/>
      <c r="BS246" s="62" t="n"/>
      <c r="BT246" s="62" t="n"/>
      <c r="BU246" s="58" t="n"/>
      <c r="BV246" s="62" t="n"/>
      <c r="BW246" s="62" t="n"/>
      <c r="BX246" s="62" t="n"/>
      <c r="BY246" s="62" t="n"/>
      <c r="BZ246" s="58" t="n"/>
      <c r="CA246" s="62" t="n"/>
      <c r="CB246" s="62" t="n"/>
      <c r="CC246" s="62" t="n"/>
      <c r="CD246" s="62" t="n"/>
      <c r="CE246" s="58" t="n"/>
      <c r="CF246" s="62" t="n"/>
      <c r="CG246" s="62" t="n"/>
      <c r="CH246" s="62" t="n"/>
      <c r="CI246" s="62" t="n"/>
      <c r="CJ246" s="58" t="n"/>
      <c r="CK246" s="62" t="n"/>
      <c r="CL246" s="62" t="n"/>
      <c r="CM246" s="62" t="n"/>
      <c r="CN246" s="62" t="n"/>
      <c r="CO246" s="58" t="n"/>
      <c r="CP246" s="62" t="n"/>
      <c r="CQ246" s="62" t="n"/>
      <c r="CR246" s="62" t="n"/>
      <c r="CS246" s="62" t="n"/>
      <c r="CT246" s="58" t="n"/>
      <c r="CU246" s="62" t="n"/>
      <c r="CV246" s="62" t="n"/>
      <c r="CW246" s="62" t="n"/>
      <c r="CX246" s="62" t="n"/>
      <c r="CY246" s="58" t="n"/>
    </row>
    <row r="247" hidden="1" outlineLevel="1" customFormat="1" s="66">
      <c r="A247" s="37" t="n"/>
      <c r="B247" s="37" t="n"/>
      <c r="C247" s="57" t="inlineStr">
        <is>
          <t>Dividends (enter as -)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62" t="n"/>
      <c r="AI247" s="62" t="n"/>
      <c r="AJ247" s="62" t="n"/>
      <c r="AK247" s="62" t="n"/>
      <c r="AL247" s="42" t="n"/>
      <c r="AM247" s="62" t="n"/>
      <c r="AN247" s="62" t="n"/>
      <c r="AO247" s="62" t="n"/>
      <c r="AP247" s="62" t="n"/>
      <c r="AQ247" s="42" t="n"/>
      <c r="AR247" s="62" t="n"/>
      <c r="AS247" s="62" t="n"/>
      <c r="AT247" s="62" t="n"/>
      <c r="AU247" s="62" t="n"/>
      <c r="AV247" s="42" t="n"/>
      <c r="AW247" s="62" t="n"/>
      <c r="AX247" s="62" t="n"/>
      <c r="AY247" s="62" t="n"/>
      <c r="AZ247" s="62" t="n"/>
      <c r="BA247" s="42" t="n"/>
      <c r="BB247" s="62" t="n"/>
      <c r="BC247" s="62" t="n"/>
      <c r="BD247" s="62" t="n"/>
      <c r="BE247" s="62" t="n"/>
      <c r="BF247" s="42" t="n"/>
      <c r="BG247" s="62" t="n"/>
      <c r="BH247" s="62" t="n"/>
      <c r="BI247" s="62" t="n"/>
      <c r="BJ247" s="62" t="n"/>
      <c r="BK247" s="42" t="n"/>
      <c r="BL247" s="62" t="n"/>
      <c r="BM247" s="62" t="n"/>
      <c r="BN247" s="62" t="n"/>
      <c r="BO247" s="62" t="n"/>
      <c r="BP247" s="42" t="n"/>
      <c r="BQ247" s="62" t="n"/>
      <c r="BR247" s="62" t="n"/>
      <c r="BS247" s="62" t="n"/>
      <c r="BT247" s="62" t="n"/>
      <c r="BU247" s="42" t="n"/>
      <c r="BV247" s="62" t="n"/>
      <c r="BW247" s="62" t="n"/>
      <c r="BX247" s="62" t="n"/>
      <c r="BY247" s="62" t="n"/>
      <c r="BZ247" s="42" t="n"/>
      <c r="CA247" s="62" t="n"/>
      <c r="CB247" s="62" t="n"/>
      <c r="CC247" s="62" t="n"/>
      <c r="CD247" s="62" t="n"/>
      <c r="CE247" s="42" t="n"/>
      <c r="CF247" s="62" t="n"/>
      <c r="CG247" s="62" t="n"/>
      <c r="CH247" s="62" t="n"/>
      <c r="CI247" s="62" t="n"/>
      <c r="CJ247" s="42" t="n"/>
      <c r="CK247" s="62" t="n"/>
      <c r="CL247" s="62" t="n"/>
      <c r="CM247" s="62" t="n"/>
      <c r="CN247" s="62" t="n"/>
      <c r="CO247" s="42" t="n"/>
      <c r="CP247" s="62" t="n"/>
      <c r="CQ247" s="62" t="n"/>
      <c r="CR247" s="62" t="n"/>
      <c r="CS247" s="62" t="n"/>
      <c r="CT247" s="42" t="n"/>
      <c r="CU247" s="62" t="n"/>
      <c r="CV247" s="62" t="n"/>
      <c r="CW247" s="62" t="n"/>
      <c r="CX247" s="62" t="n"/>
      <c r="CY247" s="42" t="n"/>
    </row>
    <row r="248" hidden="1" outlineLevel="1" customFormat="1" s="66">
      <c r="A248" s="37" t="n"/>
      <c r="B248" s="37" t="n"/>
      <c r="C248" s="59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collapsed="1">
      <c r="C249" s="14" t="inlineStr">
        <is>
          <t>Convertible Preferred Stock</t>
        </is>
      </c>
      <c r="D249" s="46" t="n"/>
      <c r="E249" s="46" t="n"/>
      <c r="F249" s="46" t="n"/>
      <c r="G249" s="46" t="n"/>
      <c r="H249" s="12" t="n"/>
      <c r="I249" s="46">
        <f>'Inputs (2)'!D42</f>
        <v>0</v>
      </c>
      <c r="J249" s="46">
        <f>'Inputs (2)'!E42</f>
        <v>0</v>
      </c>
      <c r="K249" s="46">
        <f>'Inputs (2)'!F42</f>
        <v>0</v>
      </c>
      <c r="L249" s="46">
        <f>'Inputs (2)'!G42</f>
        <v>0</v>
      </c>
      <c r="M249" s="12">
        <f>'Inputs (2)'!H42</f>
        <v>0</v>
      </c>
      <c r="N249" s="46">
        <f>'Inputs (2)'!I42</f>
        <v>0</v>
      </c>
      <c r="O249" s="46">
        <f>'Inputs (2)'!J42</f>
        <v>0</v>
      </c>
      <c r="P249" s="46">
        <f>'Inputs (2)'!K42</f>
        <v>0</v>
      </c>
      <c r="Q249" s="46">
        <f>'Inputs (2)'!L42</f>
        <v>0</v>
      </c>
      <c r="R249" s="12">
        <f>'Inputs (2)'!M42</f>
        <v>0</v>
      </c>
      <c r="S249" s="46">
        <f>'Inputs (2)'!N42</f>
        <v>0</v>
      </c>
      <c r="T249" s="46">
        <f>'Inputs (2)'!O42</f>
        <v>0</v>
      </c>
      <c r="U249" s="46">
        <f>'Inputs (2)'!P42</f>
        <v>0</v>
      </c>
      <c r="V249" s="46">
        <f>'Inputs (2)'!Q42</f>
        <v>0</v>
      </c>
      <c r="W249" s="12">
        <f>'Inputs (2)'!R42</f>
        <v>0</v>
      </c>
      <c r="X249" s="46">
        <f>'Inputs (2)'!S42</f>
        <v>0</v>
      </c>
      <c r="Y249" s="46">
        <f>'Inputs (2)'!T42</f>
        <v>0</v>
      </c>
      <c r="Z249" s="46">
        <f>'Inputs (2)'!U42</f>
        <v>0</v>
      </c>
      <c r="AA249" s="46">
        <f>'Inputs (2)'!V42</f>
        <v>0</v>
      </c>
      <c r="AB249" s="12">
        <f>'Inputs (2)'!W42</f>
        <v>0</v>
      </c>
      <c r="AC249" s="46">
        <f>'Inputs (2)'!X42</f>
        <v>0</v>
      </c>
      <c r="AD249" s="46">
        <f>'Inputs (2)'!Y42</f>
        <v>0</v>
      </c>
      <c r="AE249" s="46">
        <f>'Inputs (2)'!Z42</f>
        <v>0</v>
      </c>
      <c r="AF249" s="46">
        <f>'Inputs (2)'!AA42</f>
        <v>0</v>
      </c>
      <c r="AG249" s="12">
        <f>'Inputs (2)'!AB42</f>
        <v>0</v>
      </c>
      <c r="AH249" s="12">
        <f>'Inputs (2)'!AC42</f>
        <v>0</v>
      </c>
      <c r="AI249" s="12">
        <f>'Inputs (2)'!AD42</f>
        <v>0</v>
      </c>
      <c r="AJ249" s="12">
        <f>AI249</f>
        <v>0</v>
      </c>
      <c r="AK249" s="12">
        <f>AJ249</f>
        <v>0</v>
      </c>
      <c r="AL249" s="12">
        <f>AK249</f>
        <v>0</v>
      </c>
      <c r="AM249" s="12">
        <f>AL249</f>
        <v>0</v>
      </c>
      <c r="AN249" s="12">
        <f>AM249</f>
        <v>0</v>
      </c>
      <c r="AO249" s="12">
        <f>AN249</f>
        <v>0</v>
      </c>
      <c r="AP249" s="12">
        <f>AO249</f>
        <v>0</v>
      </c>
      <c r="AQ249" s="12">
        <f>AP249</f>
        <v>0</v>
      </c>
      <c r="AR249" s="12">
        <f>AQ249</f>
        <v>0</v>
      </c>
      <c r="AS249" s="12">
        <f>AR249</f>
        <v>0</v>
      </c>
      <c r="AT249" s="12">
        <f>AS249</f>
        <v>0</v>
      </c>
      <c r="AU249" s="12">
        <f>AT249</f>
        <v>0</v>
      </c>
      <c r="AV249" s="12">
        <f>AU249</f>
        <v>0</v>
      </c>
      <c r="AW249" s="12">
        <f>AV249</f>
        <v>0</v>
      </c>
      <c r="AX249" s="12">
        <f>AW249</f>
        <v>0</v>
      </c>
      <c r="AY249" s="12">
        <f>AX249</f>
        <v>0</v>
      </c>
      <c r="AZ249" s="12">
        <f>AY249</f>
        <v>0</v>
      </c>
      <c r="BA249" s="12">
        <f>AZ249</f>
        <v>0</v>
      </c>
      <c r="BB249" s="12">
        <f>BA249</f>
        <v>0</v>
      </c>
      <c r="BC249" s="12">
        <f>BB249</f>
        <v>0</v>
      </c>
      <c r="BD249" s="12">
        <f>BC249</f>
        <v>0</v>
      </c>
      <c r="BE249" s="12">
        <f>BD249</f>
        <v>0</v>
      </c>
      <c r="BF249" s="12">
        <f>BE249</f>
        <v>0</v>
      </c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>
      <c r="C250" s="13" t="inlineStr">
        <is>
          <t>Common Stock and APIC</t>
        </is>
      </c>
      <c r="D250" s="46" t="n"/>
      <c r="E250" s="46" t="n"/>
      <c r="F250" s="46" t="n"/>
      <c r="G250" s="46" t="n"/>
      <c r="H250" s="12" t="n"/>
      <c r="I250" s="46">
        <f>'Inputs (2)'!D43</f>
        <v>9354</v>
      </c>
      <c r="J250" s="46">
        <f>'Inputs (2)'!E43</f>
        <v>9405</v>
      </c>
      <c r="K250" s="46">
        <f>'Inputs (2)'!F43</f>
        <v>9575</v>
      </c>
      <c r="L250" s="46">
        <f>'Inputs (2)'!G43</f>
        <v>9686</v>
      </c>
      <c r="M250" s="12">
        <f>'Inputs (2)'!H43</f>
        <v>9686</v>
      </c>
      <c r="N250" s="46">
        <f>'Inputs (2)'!I43</f>
        <v>9938</v>
      </c>
      <c r="O250" s="46">
        <f>'Inputs (2)'!J43</f>
        <v>10072</v>
      </c>
      <c r="P250" s="46">
        <f>'Inputs (2)'!K43</f>
        <v>10320</v>
      </c>
      <c r="Q250" s="46">
        <f>'Inputs (2)'!L43</f>
        <v>10458</v>
      </c>
      <c r="R250" s="12">
        <f>'Inputs (2)'!M43</f>
        <v>10458</v>
      </c>
      <c r="S250" s="46">
        <f>'Inputs (2)'!N43</f>
        <v>10756</v>
      </c>
      <c r="T250" s="46">
        <f>'Inputs (2)'!O43</f>
        <v>10906</v>
      </c>
      <c r="U250" s="46">
        <f>'Inputs (2)'!P43</f>
        <v>11160</v>
      </c>
      <c r="V250" s="46">
        <f>'Inputs (2)'!Q43</f>
        <v>11341</v>
      </c>
      <c r="W250" s="12">
        <f>'Inputs (2)'!R43</f>
        <v>11341</v>
      </c>
      <c r="X250" s="46">
        <f>'Inputs (2)'!S43</f>
        <v>11689</v>
      </c>
      <c r="Y250" s="46">
        <f>'Inputs (2)'!T43</f>
        <v>11919</v>
      </c>
      <c r="Z250" s="46">
        <f>'Inputs (2)'!U43</f>
        <v>12240</v>
      </c>
      <c r="AA250" s="46">
        <f>'Inputs (2)'!V43</f>
        <v>12443</v>
      </c>
      <c r="AB250" s="12">
        <f>'Inputs (2)'!W43</f>
        <v>12443</v>
      </c>
      <c r="AC250" s="46">
        <f>'Inputs (2)'!X43</f>
        <v>12837</v>
      </c>
      <c r="AD250" s="46">
        <f>'Inputs (2)'!Y43</f>
        <v>13086</v>
      </c>
      <c r="AE250" s="46">
        <f>'Inputs (2)'!Z43</f>
        <v>13466</v>
      </c>
      <c r="AF250" s="46">
        <f>'Inputs (2)'!AA43</f>
        <v>13737</v>
      </c>
      <c r="AG250" s="12">
        <f>'Inputs (2)'!AB43</f>
        <v>13737</v>
      </c>
      <c r="AH250" s="12">
        <f>'Inputs (2)'!AC43</f>
        <v>14219</v>
      </c>
      <c r="AI250" s="12">
        <f>'Inputs (2)'!AD43</f>
        <v>14570</v>
      </c>
      <c r="AJ250" s="12">
        <f>AI250+AJ254</f>
        <v>14570</v>
      </c>
      <c r="AK250" s="12">
        <f>AJ250+AK254</f>
        <v>14570</v>
      </c>
      <c r="AL250" s="12">
        <f>AK250</f>
        <v>14570</v>
      </c>
      <c r="AM250" s="12">
        <f>AL250+AM254</f>
        <v>14570</v>
      </c>
      <c r="AN250" s="12">
        <f>AM250+AN254</f>
        <v>14570</v>
      </c>
      <c r="AO250" s="12">
        <f>AN250+AO254</f>
        <v>14570</v>
      </c>
      <c r="AP250" s="12">
        <f>AO250+AP254</f>
        <v>14570</v>
      </c>
      <c r="AQ250" s="12">
        <f>AP250</f>
        <v>14570</v>
      </c>
      <c r="AR250" s="12">
        <f>AQ250+AR254</f>
        <v>14570</v>
      </c>
      <c r="AS250" s="12">
        <f>AR250+AS254</f>
        <v>14570</v>
      </c>
      <c r="AT250" s="12">
        <f>AS250+AT254</f>
        <v>14570</v>
      </c>
      <c r="AU250" s="12">
        <f>AT250+AU254</f>
        <v>14570</v>
      </c>
      <c r="AV250" s="12">
        <f>AU250</f>
        <v>14570</v>
      </c>
      <c r="AW250" s="12">
        <f>AV250+AW254</f>
        <v>14570</v>
      </c>
      <c r="AX250" s="12">
        <f>AW250+AX254</f>
        <v>14570</v>
      </c>
      <c r="AY250" s="12">
        <f>AX250+AY254</f>
        <v>14570</v>
      </c>
      <c r="AZ250" s="12">
        <f>AY250+AZ254</f>
        <v>14570</v>
      </c>
      <c r="BA250" s="12">
        <f>AZ250</f>
        <v>14570</v>
      </c>
      <c r="BB250" s="12">
        <f>BA250+BB254</f>
        <v>14570</v>
      </c>
      <c r="BC250" s="12">
        <f>BB250+BC254</f>
        <v>14570</v>
      </c>
      <c r="BD250" s="12">
        <f>BC250+BD254</f>
        <v>14570</v>
      </c>
      <c r="BE250" s="12">
        <f>BD250+BE254</f>
        <v>14570</v>
      </c>
      <c r="BF250" s="12">
        <f>BE250</f>
        <v>14570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 customFormat="1" s="66">
      <c r="A251" s="37" t="n"/>
      <c r="B251" s="37" t="n"/>
      <c r="C251" s="67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hidden="1" outlineLevel="1" customFormat="1" s="66">
      <c r="A252" s="37" t="n"/>
      <c r="B252" s="37" t="n"/>
      <c r="C252" s="67" t="inlineStr">
        <is>
          <t>Diluted Shares outstanding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  <c r="AO252" s="42" t="n"/>
      <c r="AP252" s="42" t="n"/>
      <c r="AQ252" s="42" t="n"/>
      <c r="AR252" s="42" t="n"/>
      <c r="AS252" s="42" t="n"/>
      <c r="AT252" s="42" t="n"/>
      <c r="AU252" s="42" t="n"/>
      <c r="AV252" s="42" t="n"/>
      <c r="AW252" s="42" t="n"/>
      <c r="AX252" s="42" t="n"/>
      <c r="AY252" s="42" t="n"/>
      <c r="AZ252" s="42" t="n"/>
      <c r="BA252" s="42" t="n"/>
      <c r="BB252" s="42" t="n"/>
      <c r="BC252" s="42" t="n"/>
      <c r="BD252" s="42" t="n"/>
      <c r="BE252" s="42" t="n"/>
      <c r="BF252" s="42" t="n"/>
      <c r="BG252" s="42" t="n"/>
      <c r="BH252" s="42" t="n"/>
      <c r="BI252" s="42" t="n"/>
      <c r="BJ252" s="42" t="n"/>
      <c r="BK252" s="42" t="n"/>
      <c r="BL252" s="42" t="n"/>
      <c r="BM252" s="42" t="n"/>
      <c r="BN252" s="42" t="n"/>
      <c r="BO252" s="42" t="n"/>
      <c r="BP252" s="42" t="n"/>
      <c r="BQ252" s="42" t="n"/>
      <c r="BR252" s="42" t="n"/>
      <c r="BS252" s="42" t="n"/>
      <c r="BT252" s="42" t="n"/>
      <c r="BU252" s="42" t="n"/>
      <c r="BV252" s="42" t="n"/>
      <c r="BW252" s="42" t="n"/>
      <c r="BX252" s="42" t="n"/>
      <c r="BY252" s="42" t="n"/>
      <c r="BZ252" s="42" t="n"/>
      <c r="CA252" s="42" t="n"/>
      <c r="CB252" s="42" t="n"/>
      <c r="CC252" s="42" t="n"/>
      <c r="CD252" s="42" t="n"/>
      <c r="CE252" s="42" t="n"/>
      <c r="CF252" s="42" t="n"/>
      <c r="CG252" s="42" t="n"/>
      <c r="CH252" s="42" t="n"/>
      <c r="CI252" s="42" t="n"/>
      <c r="CJ252" s="42" t="n"/>
      <c r="CK252" s="42" t="n"/>
      <c r="CL252" s="42" t="n"/>
      <c r="CM252" s="42" t="n"/>
      <c r="CN252" s="42" t="n"/>
      <c r="CO252" s="42" t="n"/>
      <c r="CP252" s="42" t="n"/>
      <c r="CQ252" s="42" t="n"/>
      <c r="CR252" s="42" t="n"/>
      <c r="CS252" s="42" t="n"/>
      <c r="CT252" s="42" t="n"/>
      <c r="CU252" s="42" t="n"/>
      <c r="CV252" s="42" t="n"/>
      <c r="CW252" s="42" t="n"/>
      <c r="CX252" s="42" t="n"/>
      <c r="CY252" s="42" t="n"/>
    </row>
    <row r="253" hidden="1" outlineLevel="1" customFormat="1" s="66">
      <c r="A253" s="37" t="n"/>
      <c r="B253" s="37" t="n"/>
      <c r="C253" s="67" t="inlineStr">
        <is>
          <t>Treasury share $ repurchases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11" t="n"/>
      <c r="AI253" s="11" t="n"/>
      <c r="AJ253" s="11" t="n"/>
      <c r="AK253" s="11" t="n"/>
      <c r="AL253" s="42" t="n"/>
      <c r="AM253" s="11" t="n"/>
      <c r="AN253" s="11" t="n"/>
      <c r="AO253" s="11" t="n"/>
      <c r="AP253" s="11" t="n"/>
      <c r="AQ253" s="42" t="n"/>
      <c r="AR253" s="11" t="n"/>
      <c r="AS253" s="11" t="n"/>
      <c r="AT253" s="11" t="n"/>
      <c r="AU253" s="11" t="n"/>
      <c r="AV253" s="42" t="n"/>
      <c r="AW253" s="11" t="n"/>
      <c r="AX253" s="11" t="n"/>
      <c r="AY253" s="11" t="n"/>
      <c r="AZ253" s="11" t="n"/>
      <c r="BA253" s="42" t="n"/>
      <c r="BB253" s="11" t="n"/>
      <c r="BC253" s="11" t="n"/>
      <c r="BD253" s="11" t="n"/>
      <c r="BE253" s="11" t="n"/>
      <c r="BF253" s="42" t="n"/>
      <c r="BG253" s="11" t="n"/>
      <c r="BH253" s="11" t="n"/>
      <c r="BI253" s="11" t="n"/>
      <c r="BJ253" s="11" t="n"/>
      <c r="BK253" s="42" t="n"/>
      <c r="BL253" s="11" t="n"/>
      <c r="BM253" s="11" t="n"/>
      <c r="BN253" s="11" t="n"/>
      <c r="BO253" s="11" t="n"/>
      <c r="BP253" s="42" t="n"/>
      <c r="BQ253" s="11" t="n"/>
      <c r="BR253" s="11" t="n"/>
      <c r="BS253" s="11" t="n"/>
      <c r="BT253" s="11" t="n"/>
      <c r="BU253" s="42" t="n"/>
      <c r="BV253" s="11" t="n"/>
      <c r="BW253" s="11" t="n"/>
      <c r="BX253" s="11" t="n"/>
      <c r="BY253" s="11" t="n"/>
      <c r="BZ253" s="42" t="n"/>
      <c r="CA253" s="11" t="n"/>
      <c r="CB253" s="11" t="n"/>
      <c r="CC253" s="11" t="n"/>
      <c r="CD253" s="11" t="n"/>
      <c r="CE253" s="42" t="n"/>
      <c r="CF253" s="11" t="n"/>
      <c r="CG253" s="11" t="n"/>
      <c r="CH253" s="11" t="n"/>
      <c r="CI253" s="11" t="n"/>
      <c r="CJ253" s="42" t="n"/>
      <c r="CK253" s="11" t="n"/>
      <c r="CL253" s="11" t="n"/>
      <c r="CM253" s="11" t="n"/>
      <c r="CN253" s="11" t="n"/>
      <c r="CO253" s="42" t="n"/>
      <c r="CP253" s="11" t="n"/>
      <c r="CQ253" s="11" t="n"/>
      <c r="CR253" s="11" t="n"/>
      <c r="CS253" s="11" t="n"/>
      <c r="CT253" s="42" t="n"/>
      <c r="CU253" s="11" t="n"/>
      <c r="CV253" s="11" t="n"/>
      <c r="CW253" s="11" t="n"/>
      <c r="CX253" s="11" t="n"/>
      <c r="CY253" s="42" t="n"/>
    </row>
    <row r="254" hidden="1" outlineLevel="1" customFormat="1" s="66">
      <c r="A254" s="37" t="n"/>
      <c r="B254" s="37" t="n"/>
      <c r="C254" s="67" t="inlineStr">
        <is>
          <t>Value of shares issued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11" t="n"/>
      <c r="AI254" s="11" t="n"/>
      <c r="AJ254" s="11" t="n"/>
      <c r="AK254" s="11" t="n"/>
      <c r="AL254" s="42" t="n"/>
      <c r="AM254" s="11" t="n"/>
      <c r="AN254" s="11" t="n"/>
      <c r="AO254" s="11" t="n"/>
      <c r="AP254" s="11" t="n"/>
      <c r="AQ254" s="42" t="n"/>
      <c r="AR254" s="11" t="n"/>
      <c r="AS254" s="11" t="n"/>
      <c r="AT254" s="11" t="n"/>
      <c r="AU254" s="11" t="n"/>
      <c r="AV254" s="42" t="n"/>
      <c r="AW254" s="11" t="n"/>
      <c r="AX254" s="11" t="n"/>
      <c r="AY254" s="11" t="n"/>
      <c r="AZ254" s="11" t="n"/>
      <c r="BA254" s="42" t="n"/>
      <c r="BB254" s="11" t="n"/>
      <c r="BC254" s="11" t="n"/>
      <c r="BD254" s="11" t="n"/>
      <c r="BE254" s="11" t="n"/>
      <c r="BF254" s="42" t="n"/>
      <c r="BG254" s="11" t="n"/>
      <c r="BH254" s="11" t="n"/>
      <c r="BI254" s="11" t="n"/>
      <c r="BJ254" s="11" t="n"/>
      <c r="BK254" s="42" t="n"/>
      <c r="BL254" s="11" t="n"/>
      <c r="BM254" s="11" t="n"/>
      <c r="BN254" s="11" t="n"/>
      <c r="BO254" s="11" t="n"/>
      <c r="BP254" s="42" t="n"/>
      <c r="BQ254" s="11" t="n"/>
      <c r="BR254" s="11" t="n"/>
      <c r="BS254" s="11" t="n"/>
      <c r="BT254" s="11" t="n"/>
      <c r="BU254" s="42" t="n"/>
      <c r="BV254" s="11" t="n"/>
      <c r="BW254" s="11" t="n"/>
      <c r="BX254" s="11" t="n"/>
      <c r="BY254" s="11" t="n"/>
      <c r="BZ254" s="42" t="n"/>
      <c r="CA254" s="11" t="n"/>
      <c r="CB254" s="11" t="n"/>
      <c r="CC254" s="11" t="n"/>
      <c r="CD254" s="11" t="n"/>
      <c r="CE254" s="42" t="n"/>
      <c r="CF254" s="11" t="n"/>
      <c r="CG254" s="11" t="n"/>
      <c r="CH254" s="11" t="n"/>
      <c r="CI254" s="11" t="n"/>
      <c r="CJ254" s="42" t="n"/>
      <c r="CK254" s="11" t="n"/>
      <c r="CL254" s="11" t="n"/>
      <c r="CM254" s="11" t="n"/>
      <c r="CN254" s="11" t="n"/>
      <c r="CO254" s="42" t="n"/>
      <c r="CP254" s="11" t="n"/>
      <c r="CQ254" s="11" t="n"/>
      <c r="CR254" s="11" t="n"/>
      <c r="CS254" s="11" t="n"/>
      <c r="CT254" s="42" t="n"/>
      <c r="CU254" s="11" t="n"/>
      <c r="CV254" s="11" t="n"/>
      <c r="CW254" s="11" t="n"/>
      <c r="CX254" s="11" t="n"/>
      <c r="CY254" s="42" t="n"/>
    </row>
    <row r="255" hidden="1" outlineLevel="1" customFormat="1" s="66">
      <c r="A255" s="37" t="n"/>
      <c r="B255" s="37" t="n"/>
      <c r="C255" s="67" t="inlineStr">
        <is>
          <t>Expected average share price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68">
        <f>AF255*(1+AH256)</f>
        <v>0</v>
      </c>
      <c r="AI255" s="68">
        <f>AH255*(1+AI256)</f>
        <v>0</v>
      </c>
      <c r="AJ255" s="68">
        <f>AH255*(1+AJ256)</f>
        <v>0</v>
      </c>
      <c r="AK255" s="68">
        <f>AJ255*(1+AK256)</f>
        <v>0</v>
      </c>
      <c r="AL255" s="42" t="n"/>
      <c r="AM255" s="68">
        <f>AK255*(1+AM256)</f>
        <v>0</v>
      </c>
      <c r="AN255" s="68">
        <f>AM255*(1+AN256)</f>
        <v>0</v>
      </c>
      <c r="AO255" s="68">
        <f>AM255*(1+AO256)</f>
        <v>0</v>
      </c>
      <c r="AP255" s="68">
        <f>AO255*(1+AP256)</f>
        <v>0</v>
      </c>
      <c r="AQ255" s="42" t="n"/>
      <c r="AR255" s="68">
        <f>AP255*(1+AR256)</f>
        <v>0</v>
      </c>
      <c r="AS255" s="68">
        <f>AR255*(1+AS256)</f>
        <v>0</v>
      </c>
      <c r="AT255" s="68">
        <f>AR255*(1+AT256)</f>
        <v>0</v>
      </c>
      <c r="AU255" s="68">
        <f>AT255*(1+AU256)</f>
        <v>0</v>
      </c>
      <c r="AV255" s="42" t="n"/>
      <c r="AW255" s="68">
        <f>AU255*(1+AW256)</f>
        <v>0</v>
      </c>
      <c r="AX255" s="68">
        <f>AW255*(1+AX256)</f>
        <v>0</v>
      </c>
      <c r="AY255" s="68">
        <f>AW255*(1+AY256)</f>
        <v>0</v>
      </c>
      <c r="AZ255" s="68">
        <f>AY255*(1+AZ256)</f>
        <v>0</v>
      </c>
      <c r="BA255" s="42" t="n"/>
      <c r="BB255" s="68">
        <f>AZ255*(1+BB256)</f>
        <v>0</v>
      </c>
      <c r="BC255" s="68">
        <f>BB255*(1+BC256)</f>
        <v>0</v>
      </c>
      <c r="BD255" s="68">
        <f>BB255*(1+BD256)</f>
        <v>0</v>
      </c>
      <c r="BE255" s="68">
        <f>BD255*(1+BE256)</f>
        <v>0</v>
      </c>
      <c r="BF255" s="42" t="n"/>
      <c r="BG255" s="68" t="n"/>
      <c r="BH255" s="68" t="n"/>
      <c r="BI255" s="68" t="n"/>
      <c r="BJ255" s="68" t="n"/>
      <c r="BK255" s="42" t="n"/>
      <c r="BL255" s="68" t="n"/>
      <c r="BM255" s="68" t="n"/>
      <c r="BN255" s="68" t="n"/>
      <c r="BO255" s="68" t="n"/>
      <c r="BP255" s="42" t="n"/>
      <c r="BQ255" s="68" t="n"/>
      <c r="BR255" s="68" t="n"/>
      <c r="BS255" s="68" t="n"/>
      <c r="BT255" s="68" t="n"/>
      <c r="BU255" s="42" t="n"/>
      <c r="BV255" s="68" t="n"/>
      <c r="BW255" s="68" t="n"/>
      <c r="BX255" s="68" t="n"/>
      <c r="BY255" s="68" t="n"/>
      <c r="BZ255" s="42" t="n"/>
      <c r="CA255" s="68" t="n"/>
      <c r="CB255" s="68" t="n"/>
      <c r="CC255" s="68" t="n"/>
      <c r="CD255" s="68" t="n"/>
      <c r="CE255" s="42" t="n"/>
      <c r="CF255" s="68" t="n"/>
      <c r="CG255" s="68" t="n"/>
      <c r="CH255" s="68" t="n"/>
      <c r="CI255" s="68" t="n"/>
      <c r="CJ255" s="42" t="n"/>
      <c r="CK255" s="68" t="n"/>
      <c r="CL255" s="68" t="n"/>
      <c r="CM255" s="68" t="n"/>
      <c r="CN255" s="68" t="n"/>
      <c r="CO255" s="42" t="n"/>
      <c r="CP255" s="68" t="n"/>
      <c r="CQ255" s="68" t="n"/>
      <c r="CR255" s="68" t="n"/>
      <c r="CS255" s="68" t="n"/>
      <c r="CT255" s="42" t="n"/>
      <c r="CU255" s="68" t="n"/>
      <c r="CV255" s="68" t="n"/>
      <c r="CW255" s="68" t="n"/>
      <c r="CX255" s="68" t="n"/>
      <c r="CY255" s="42" t="n"/>
    </row>
    <row r="256" hidden="1" outlineLevel="1" customFormat="1" s="66">
      <c r="A256" s="37" t="n"/>
      <c r="B256" s="37" t="n"/>
      <c r="C256" s="67" t="inlineStr">
        <is>
          <t>Consensus EPS growth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58">
        <f>$AL$261</f>
        <v>0</v>
      </c>
      <c r="AI256" s="58">
        <f>$AL$261</f>
        <v>0</v>
      </c>
      <c r="AJ256" s="58">
        <f>$AL$261</f>
        <v>0</v>
      </c>
      <c r="AK256" s="58">
        <f>$AL$261</f>
        <v>0</v>
      </c>
      <c r="AL256" s="42" t="n"/>
      <c r="AM256" s="58">
        <f>$AL$261</f>
        <v>0</v>
      </c>
      <c r="AN256" s="58">
        <f>$AL$261</f>
        <v>0</v>
      </c>
      <c r="AO256" s="58">
        <f>$AL$261</f>
        <v>0</v>
      </c>
      <c r="AP256" s="58">
        <f>$AL$261</f>
        <v>0</v>
      </c>
      <c r="AQ256" s="42" t="n"/>
      <c r="AR256" s="58">
        <f>$AL$261</f>
        <v>0</v>
      </c>
      <c r="AS256" s="58">
        <f>$AL$261</f>
        <v>0</v>
      </c>
      <c r="AT256" s="58">
        <f>$AL$261</f>
        <v>0</v>
      </c>
      <c r="AU256" s="58">
        <f>$AL$261</f>
        <v>0</v>
      </c>
      <c r="AV256" s="42" t="n"/>
      <c r="AW256" s="58">
        <f>$AL$261</f>
        <v>0</v>
      </c>
      <c r="AX256" s="58">
        <f>$AL$261</f>
        <v>0</v>
      </c>
      <c r="AY256" s="58">
        <f>$AL$261</f>
        <v>0</v>
      </c>
      <c r="AZ256" s="58">
        <f>$AL$261</f>
        <v>0</v>
      </c>
      <c r="BA256" s="42" t="n"/>
      <c r="BB256" s="58">
        <f>$AL$261</f>
        <v>0</v>
      </c>
      <c r="BC256" s="58">
        <f>$AL$261</f>
        <v>0</v>
      </c>
      <c r="BD256" s="58">
        <f>$AL$261</f>
        <v>0</v>
      </c>
      <c r="BE256" s="58">
        <f>$AL$261</f>
        <v>0</v>
      </c>
      <c r="BF256" s="42" t="n"/>
      <c r="BG256" s="58" t="n"/>
      <c r="BH256" s="58" t="n"/>
      <c r="BI256" s="58" t="n"/>
      <c r="BJ256" s="58" t="n"/>
      <c r="BK256" s="42" t="n"/>
      <c r="BL256" s="58" t="n"/>
      <c r="BM256" s="58" t="n"/>
      <c r="BN256" s="58" t="n"/>
      <c r="BO256" s="58" t="n"/>
      <c r="BP256" s="42" t="n"/>
      <c r="BQ256" s="58" t="n"/>
      <c r="BR256" s="58" t="n"/>
      <c r="BS256" s="58" t="n"/>
      <c r="BT256" s="58" t="n"/>
      <c r="BU256" s="42" t="n"/>
      <c r="BV256" s="58" t="n"/>
      <c r="BW256" s="58" t="n"/>
      <c r="BX256" s="58" t="n"/>
      <c r="BY256" s="58" t="n"/>
      <c r="BZ256" s="42" t="n"/>
      <c r="CA256" s="58" t="n"/>
      <c r="CB256" s="58" t="n"/>
      <c r="CC256" s="58" t="n"/>
      <c r="CD256" s="58" t="n"/>
      <c r="CE256" s="42" t="n"/>
      <c r="CF256" s="58" t="n"/>
      <c r="CG256" s="58" t="n"/>
      <c r="CH256" s="58" t="n"/>
      <c r="CI256" s="58" t="n"/>
      <c r="CJ256" s="42" t="n"/>
      <c r="CK256" s="58" t="n"/>
      <c r="CL256" s="58" t="n"/>
      <c r="CM256" s="58" t="n"/>
      <c r="CN256" s="58" t="n"/>
      <c r="CO256" s="42" t="n"/>
      <c r="CP256" s="58" t="n"/>
      <c r="CQ256" s="58" t="n"/>
      <c r="CR256" s="58" t="n"/>
      <c r="CS256" s="58" t="n"/>
      <c r="CT256" s="42" t="n"/>
      <c r="CU256" s="58" t="n"/>
      <c r="CV256" s="58" t="n"/>
      <c r="CW256" s="58" t="n"/>
      <c r="CX256" s="58" t="n"/>
      <c r="CY256" s="4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12" t="n"/>
      <c r="AI257" s="12" t="n"/>
      <c r="AJ257" s="12" t="n"/>
      <c r="AK257" s="12" t="n"/>
      <c r="AL257" s="42" t="n"/>
      <c r="AM257" s="12" t="n"/>
      <c r="AN257" s="12" t="n"/>
      <c r="AO257" s="12" t="n"/>
      <c r="AP257" s="12" t="n"/>
      <c r="AQ257" s="42" t="n"/>
      <c r="AR257" s="12" t="n"/>
      <c r="AS257" s="12" t="n"/>
      <c r="AT257" s="12" t="n"/>
      <c r="AU257" s="12" t="n"/>
      <c r="AV257" s="42" t="n"/>
      <c r="AW257" s="12" t="n"/>
      <c r="AX257" s="12" t="n"/>
      <c r="AY257" s="12" t="n"/>
      <c r="AZ257" s="12" t="n"/>
      <c r="BA257" s="42" t="n"/>
      <c r="BB257" s="12" t="n"/>
      <c r="BC257" s="12" t="n"/>
      <c r="BD257" s="12" t="n"/>
      <c r="BE257" s="12" t="n"/>
      <c r="BF257" s="42" t="n"/>
      <c r="BG257" s="12" t="n"/>
      <c r="BH257" s="12" t="n"/>
      <c r="BI257" s="12" t="n"/>
      <c r="BJ257" s="12" t="n"/>
      <c r="BK257" s="42" t="n"/>
      <c r="BL257" s="12" t="n"/>
      <c r="BM257" s="12" t="n"/>
      <c r="BN257" s="12" t="n"/>
      <c r="BO257" s="12" t="n"/>
      <c r="BP257" s="42" t="n"/>
      <c r="BQ257" s="12" t="n"/>
      <c r="BR257" s="12" t="n"/>
      <c r="BS257" s="12" t="n"/>
      <c r="BT257" s="12" t="n"/>
      <c r="BU257" s="42" t="n"/>
      <c r="BV257" s="12" t="n"/>
      <c r="BW257" s="12" t="n"/>
      <c r="BX257" s="12" t="n"/>
      <c r="BY257" s="12" t="n"/>
      <c r="BZ257" s="42" t="n"/>
      <c r="CA257" s="12" t="n"/>
      <c r="CB257" s="12" t="n"/>
      <c r="CC257" s="12" t="n"/>
      <c r="CD257" s="12" t="n"/>
      <c r="CE257" s="42" t="n"/>
      <c r="CF257" s="12" t="n"/>
      <c r="CG257" s="12" t="n"/>
      <c r="CH257" s="12" t="n"/>
      <c r="CI257" s="12" t="n"/>
      <c r="CJ257" s="42" t="n"/>
      <c r="CK257" s="12" t="n"/>
      <c r="CL257" s="12" t="n"/>
      <c r="CM257" s="12" t="n"/>
      <c r="CN257" s="12" t="n"/>
      <c r="CO257" s="42" t="n"/>
      <c r="CP257" s="12" t="n"/>
      <c r="CQ257" s="12" t="n"/>
      <c r="CR257" s="12" t="n"/>
      <c r="CS257" s="12" t="n"/>
      <c r="CT257" s="42" t="n"/>
      <c r="CU257" s="12" t="n"/>
      <c r="CV257" s="12" t="n"/>
      <c r="CW257" s="12" t="n"/>
      <c r="CX257" s="12" t="n"/>
      <c r="CY257" s="42" t="n"/>
    </row>
    <row r="258" hidden="1" outlineLevel="1" customFormat="1" s="66">
      <c r="A258" s="37" t="n"/>
      <c r="B258" s="37" t="n"/>
      <c r="C258" s="67" t="inlineStr">
        <is>
          <t>Shares repurchased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69" t="str">
        <f>IFERROR(-AH253/AH255,"")</f>
        <v/>
      </c>
      <c r="AI258" s="69" t="str">
        <f>IFERROR(-AI253/AI255,"")</f>
        <v/>
      </c>
      <c r="AJ258" s="69" t="str">
        <f>IFERROR(-AJ253/AJ255,"")</f>
        <v/>
      </c>
      <c r="AK258" s="69" t="str">
        <f>IFERROR(-AK253/AK255,"")</f>
        <v/>
      </c>
      <c r="AL258" s="42" t="n"/>
      <c r="AM258" s="69" t="str">
        <f>IFERROR(-AM253/AM255,"")</f>
        <v/>
      </c>
      <c r="AN258" s="69" t="str">
        <f>IFERROR(-AN253/AN255,"")</f>
        <v/>
      </c>
      <c r="AO258" s="69" t="str">
        <f>IFERROR(-AO253/AO255,"")</f>
        <v/>
      </c>
      <c r="AP258" s="69" t="str">
        <f>IFERROR(-AP253/AP255,"")</f>
        <v/>
      </c>
      <c r="AQ258" s="42" t="n"/>
      <c r="AR258" s="69" t="str">
        <f>IFERROR(-AR253/AR255,"")</f>
        <v/>
      </c>
      <c r="AS258" s="69" t="str">
        <f>IFERROR(-AS253/AS255,"")</f>
        <v/>
      </c>
      <c r="AT258" s="69" t="str">
        <f>IFERROR(-AT253/AT255,"")</f>
        <v/>
      </c>
      <c r="AU258" s="69" t="str">
        <f>IFERROR(-AU253/AU255,"")</f>
        <v/>
      </c>
      <c r="AV258" s="42" t="n"/>
      <c r="AW258" s="69" t="str">
        <f>IFERROR(-AW253/AW255,"")</f>
        <v/>
      </c>
      <c r="AX258" s="69" t="str">
        <f>IFERROR(-AX253/AX255,"")</f>
        <v/>
      </c>
      <c r="AY258" s="69" t="str">
        <f>IFERROR(-AY253/AY255,"")</f>
        <v/>
      </c>
      <c r="AZ258" s="69" t="str">
        <f>IFERROR(-AZ253/AZ255,"")</f>
        <v/>
      </c>
      <c r="BA258" s="42" t="n"/>
      <c r="BB258" s="69" t="str">
        <f>IFERROR(-BB253/BB255,"")</f>
        <v/>
      </c>
      <c r="BC258" s="69" t="str">
        <f>IFERROR(-BC253/BC255,"")</f>
        <v/>
      </c>
      <c r="BD258" s="69" t="str">
        <f>IFERROR(-BD253/BD255,"")</f>
        <v/>
      </c>
      <c r="BE258" s="69" t="str">
        <f>IFERROR(-BE253/BE255,"")</f>
        <v/>
      </c>
      <c r="BF258" s="42" t="n"/>
      <c r="BG258" s="69" t="n"/>
      <c r="BH258" s="69" t="n"/>
      <c r="BI258" s="69" t="n"/>
      <c r="BJ258" s="69" t="n"/>
      <c r="BK258" s="42" t="n"/>
      <c r="BL258" s="69" t="n"/>
      <c r="BM258" s="69" t="n"/>
      <c r="BN258" s="69" t="n"/>
      <c r="BO258" s="69" t="n"/>
      <c r="BP258" s="42" t="n"/>
      <c r="BQ258" s="69" t="n"/>
      <c r="BR258" s="69" t="n"/>
      <c r="BS258" s="69" t="n"/>
      <c r="BT258" s="69" t="n"/>
      <c r="BU258" s="42" t="n"/>
      <c r="BV258" s="69" t="n"/>
      <c r="BW258" s="69" t="n"/>
      <c r="BX258" s="69" t="n"/>
      <c r="BY258" s="69" t="n"/>
      <c r="BZ258" s="42" t="n"/>
      <c r="CA258" s="69" t="n"/>
      <c r="CB258" s="69" t="n"/>
      <c r="CC258" s="69" t="n"/>
      <c r="CD258" s="69" t="n"/>
      <c r="CE258" s="42" t="n"/>
      <c r="CF258" s="69" t="n"/>
      <c r="CG258" s="69" t="n"/>
      <c r="CH258" s="69" t="n"/>
      <c r="CI258" s="69" t="n"/>
      <c r="CJ258" s="42" t="n"/>
      <c r="CK258" s="69" t="n"/>
      <c r="CL258" s="69" t="n"/>
      <c r="CM258" s="69" t="n"/>
      <c r="CN258" s="69" t="n"/>
      <c r="CO258" s="42" t="n"/>
      <c r="CP258" s="69" t="n"/>
      <c r="CQ258" s="69" t="n"/>
      <c r="CR258" s="69" t="n"/>
      <c r="CS258" s="69" t="n"/>
      <c r="CT258" s="42" t="n"/>
      <c r="CU258" s="69" t="n"/>
      <c r="CV258" s="69" t="n"/>
      <c r="CW258" s="69" t="n"/>
      <c r="CX258" s="69" t="n"/>
      <c r="CY258" s="42" t="n"/>
    </row>
    <row r="259" hidden="1" outlineLevel="1" customFormat="1" s="66">
      <c r="A259" s="37" t="n"/>
      <c r="B259" s="37" t="n"/>
      <c r="C259" s="67" t="inlineStr">
        <is>
          <t>Shares issued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9" t="n"/>
      <c r="AG259" s="42" t="n"/>
      <c r="AH259" s="69" t="str">
        <f>IFERROR(AH254/AH255,"")</f>
        <v/>
      </c>
      <c r="AI259" s="69" t="str">
        <f>IFERROR(AI254/AI255,"")</f>
        <v/>
      </c>
      <c r="AJ259" s="69" t="str">
        <f>IFERROR(AJ254/AJ255,"")</f>
        <v/>
      </c>
      <c r="AK259" s="69" t="str">
        <f>IFERROR(AK254/AK255,"")</f>
        <v/>
      </c>
      <c r="AL259" s="42" t="n"/>
      <c r="AM259" s="69" t="str">
        <f>IFERROR(AM254/AM255,"")</f>
        <v/>
      </c>
      <c r="AN259" s="69" t="str">
        <f>IFERROR(AN254/AN255,"")</f>
        <v/>
      </c>
      <c r="AO259" s="69" t="str">
        <f>IFERROR(AO254/AO255,"")</f>
        <v/>
      </c>
      <c r="AP259" s="69" t="str">
        <f>IFERROR(AP254/AP255,"")</f>
        <v/>
      </c>
      <c r="AQ259" s="42" t="n"/>
      <c r="AR259" s="69" t="str">
        <f>IFERROR(AR254/AR255,"")</f>
        <v/>
      </c>
      <c r="AS259" s="69" t="str">
        <f>IFERROR(AS254/AS255,"")</f>
        <v/>
      </c>
      <c r="AT259" s="69" t="str">
        <f>IFERROR(AT254/AT255,"")</f>
        <v/>
      </c>
      <c r="AU259" s="69" t="str">
        <f>IFERROR(AU254/AU255,"")</f>
        <v/>
      </c>
      <c r="AV259" s="42" t="n"/>
      <c r="AW259" s="69" t="str">
        <f>IFERROR(AW254/AW255,"")</f>
        <v/>
      </c>
      <c r="AX259" s="69" t="str">
        <f>IFERROR(AX254/AX255,"")</f>
        <v/>
      </c>
      <c r="AY259" s="69" t="str">
        <f>IFERROR(AY254/AY255,"")</f>
        <v/>
      </c>
      <c r="AZ259" s="69" t="str">
        <f>IFERROR(AZ254/AZ255,"")</f>
        <v/>
      </c>
      <c r="BA259" s="42" t="n"/>
      <c r="BB259" s="69" t="str">
        <f>IFERROR(BB254/BB255,"")</f>
        <v/>
      </c>
      <c r="BC259" s="69" t="str">
        <f>IFERROR(BC254/BC255,"")</f>
        <v/>
      </c>
      <c r="BD259" s="69" t="str">
        <f>IFERROR(BD254/BD255,"")</f>
        <v/>
      </c>
      <c r="BE259" s="69" t="str">
        <f>IFERROR(BE254/BE255,"")</f>
        <v/>
      </c>
      <c r="BF259" s="42" t="n"/>
      <c r="BG259" s="69" t="n"/>
      <c r="BH259" s="69" t="n"/>
      <c r="BI259" s="69" t="n"/>
      <c r="BJ259" s="69" t="n"/>
      <c r="BK259" s="42" t="n"/>
      <c r="BL259" s="69" t="n"/>
      <c r="BM259" s="69" t="n"/>
      <c r="BN259" s="69" t="n"/>
      <c r="BO259" s="69" t="n"/>
      <c r="BP259" s="42" t="n"/>
      <c r="BQ259" s="69" t="n"/>
      <c r="BR259" s="69" t="n"/>
      <c r="BS259" s="69" t="n"/>
      <c r="BT259" s="69" t="n"/>
      <c r="BU259" s="42" t="n"/>
      <c r="BV259" s="69" t="n"/>
      <c r="BW259" s="69" t="n"/>
      <c r="BX259" s="69" t="n"/>
      <c r="BY259" s="69" t="n"/>
      <c r="BZ259" s="42" t="n"/>
      <c r="CA259" s="69" t="n"/>
      <c r="CB259" s="69" t="n"/>
      <c r="CC259" s="69" t="n"/>
      <c r="CD259" s="69" t="n"/>
      <c r="CE259" s="42" t="n"/>
      <c r="CF259" s="69" t="n"/>
      <c r="CG259" s="69" t="n"/>
      <c r="CH259" s="69" t="n"/>
      <c r="CI259" s="69" t="n"/>
      <c r="CJ259" s="42" t="n"/>
      <c r="CK259" s="69" t="n"/>
      <c r="CL259" s="69" t="n"/>
      <c r="CM259" s="69" t="n"/>
      <c r="CN259" s="69" t="n"/>
      <c r="CO259" s="42" t="n"/>
      <c r="CP259" s="69" t="n"/>
      <c r="CQ259" s="69" t="n"/>
      <c r="CR259" s="69" t="n"/>
      <c r="CS259" s="69" t="n"/>
      <c r="CT259" s="42" t="n"/>
      <c r="CU259" s="69" t="n"/>
      <c r="CV259" s="69" t="n"/>
      <c r="CW259" s="69" t="n"/>
      <c r="CX259" s="69" t="n"/>
      <c r="CY259" s="42" t="n"/>
    </row>
    <row r="260" hidden="1" outlineLevel="1" customFormat="1" s="66">
      <c r="A260" s="37" t="n"/>
      <c r="B260" s="37" t="n"/>
      <c r="C260" s="67" t="inlineStr">
        <is>
          <t>End of period basic shares outstanding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3" t="str">
        <f>IFERROR(AG260+AH259-AH258,"")</f>
        <v/>
      </c>
      <c r="AI260" s="3" t="str">
        <f>IFERROR(AH260+AI259-AI258,"")</f>
        <v/>
      </c>
      <c r="AJ260" s="69" t="str">
        <f>IFERROR(AH260+AJ259-AJ258,"")</f>
        <v/>
      </c>
      <c r="AK260" s="69" t="str">
        <f>IFERROR(AJ260+AK259-AK258,"")</f>
        <v/>
      </c>
      <c r="AL260" s="42" t="n"/>
      <c r="AM260" s="3" t="str">
        <f>IFERROR(AK260+AM259-AM258,"")</f>
        <v/>
      </c>
      <c r="AN260" s="3" t="str">
        <f>IFERROR(AM260+AN259-AN258,"")</f>
        <v/>
      </c>
      <c r="AO260" s="69" t="str">
        <f>IFERROR(AM260+AO259-AO258,"")</f>
        <v/>
      </c>
      <c r="AP260" s="69" t="str">
        <f>IFERROR(AO260+AP259-AP258,"")</f>
        <v/>
      </c>
      <c r="AQ260" s="42" t="n"/>
      <c r="AR260" s="3" t="str">
        <f>IFERROR(AP260+AR259-AR258,"")</f>
        <v/>
      </c>
      <c r="AS260" s="3" t="str">
        <f>IFERROR(AR260+AS259-AS258,"")</f>
        <v/>
      </c>
      <c r="AT260" s="69" t="str">
        <f>IFERROR(AR260+AT259-AT258,"")</f>
        <v/>
      </c>
      <c r="AU260" s="69" t="str">
        <f>IFERROR(AT260+AU259-AU258,"")</f>
        <v/>
      </c>
      <c r="AV260" s="42" t="n"/>
      <c r="AW260" s="3" t="str">
        <f>IFERROR(AU260+AW259-AW258,"")</f>
        <v/>
      </c>
      <c r="AX260" s="3" t="str">
        <f>IFERROR(AW260+AX259-AX258,"")</f>
        <v/>
      </c>
      <c r="AY260" s="69" t="str">
        <f>IFERROR(AW260+AY259-AY258,"")</f>
        <v/>
      </c>
      <c r="AZ260" s="69" t="str">
        <f>IFERROR(AY260+AZ259-AZ258,"")</f>
        <v/>
      </c>
      <c r="BA260" s="42" t="n"/>
      <c r="BB260" s="3" t="str">
        <f>IFERROR(AZ260+BB259-BB258,"")</f>
        <v/>
      </c>
      <c r="BC260" s="3" t="str">
        <f>IFERROR(BB260+BC259-BC258,"")</f>
        <v/>
      </c>
      <c r="BD260" s="69" t="str">
        <f>IFERROR(BB260+BD259-BD258,"")</f>
        <v/>
      </c>
      <c r="BE260" s="69" t="str">
        <f>IFERROR(BD260+BE259-BE258,"")</f>
        <v/>
      </c>
      <c r="BF260" s="42" t="n"/>
      <c r="BG260" s="3" t="n"/>
      <c r="BH260" s="3" t="n"/>
      <c r="BI260" s="69" t="n"/>
      <c r="BJ260" s="69" t="n"/>
      <c r="BK260" s="42" t="n"/>
      <c r="BL260" s="3" t="n"/>
      <c r="BM260" s="3" t="n"/>
      <c r="BN260" s="69" t="n"/>
      <c r="BO260" s="69" t="n"/>
      <c r="BP260" s="42" t="n"/>
      <c r="BQ260" s="3" t="n"/>
      <c r="BR260" s="3" t="n"/>
      <c r="BS260" s="69" t="n"/>
      <c r="BT260" s="69" t="n"/>
      <c r="BU260" s="42" t="n"/>
      <c r="BV260" s="3" t="n"/>
      <c r="BW260" s="3" t="n"/>
      <c r="BX260" s="69" t="n"/>
      <c r="BY260" s="69" t="n"/>
      <c r="BZ260" s="42" t="n"/>
      <c r="CA260" s="3" t="n"/>
      <c r="CB260" s="3" t="n"/>
      <c r="CC260" s="69" t="n"/>
      <c r="CD260" s="69" t="n"/>
      <c r="CE260" s="42" t="n"/>
      <c r="CF260" s="3" t="n"/>
      <c r="CG260" s="3" t="n"/>
      <c r="CH260" s="69" t="n"/>
      <c r="CI260" s="69" t="n"/>
      <c r="CJ260" s="42" t="n"/>
      <c r="CK260" s="3" t="n"/>
      <c r="CL260" s="3" t="n"/>
      <c r="CM260" s="69" t="n"/>
      <c r="CN260" s="69" t="n"/>
      <c r="CO260" s="42" t="n"/>
      <c r="CP260" s="3" t="n"/>
      <c r="CQ260" s="3" t="n"/>
      <c r="CR260" s="69" t="n"/>
      <c r="CS260" s="69" t="n"/>
      <c r="CT260" s="42" t="n"/>
      <c r="CU260" s="3" t="n"/>
      <c r="CV260" s="3" t="n"/>
      <c r="CW260" s="69" t="n"/>
      <c r="CX260" s="69" t="n"/>
      <c r="CY260" s="42" t="n"/>
    </row>
    <row r="261" hidden="1" outlineLevel="1" customFormat="1" s="66">
      <c r="A261" s="37" t="n"/>
      <c r="B261" s="37" t="n"/>
      <c r="C261" s="67" t="inlineStr">
        <is>
          <t>Weighted average basic shares outstanding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9" t="str">
        <f>IFERROR(AVERAGE(AG260,AH260),"")</f>
        <v/>
      </c>
      <c r="AI261" s="69" t="str">
        <f>IFERROR(AVERAGE(AH260,AI260),"")</f>
        <v/>
      </c>
      <c r="AJ261" s="69" t="str">
        <f>IFERROR(AVERAGE(AH260,AJ260),"")</f>
        <v/>
      </c>
      <c r="AK261" s="69" t="str">
        <f>IFERROR(AVERAGE(AJ260,AK260),"")</f>
        <v/>
      </c>
      <c r="AL261" s="42" t="n"/>
      <c r="AM261" s="69" t="str">
        <f>IFERROR(AVERAGE(AL260,AM260),"")</f>
        <v/>
      </c>
      <c r="AN261" s="69" t="str">
        <f>IFERROR(AVERAGE(AM260,AN260),"")</f>
        <v/>
      </c>
      <c r="AO261" s="69" t="str">
        <f>IFERROR(AVERAGE(AM260,AO260),"")</f>
        <v/>
      </c>
      <c r="AP261" s="69" t="str">
        <f>IFERROR(AVERAGE(AO260,AP260),"")</f>
        <v/>
      </c>
      <c r="AQ261" s="42" t="n"/>
      <c r="AR261" s="69" t="str">
        <f>IFERROR(AVERAGE(AQ260,AR260),"")</f>
        <v/>
      </c>
      <c r="AS261" s="69" t="str">
        <f>IFERROR(AVERAGE(AR260,AS260),"")</f>
        <v/>
      </c>
      <c r="AT261" s="69" t="str">
        <f>IFERROR(AVERAGE(AR260,AT260),"")</f>
        <v/>
      </c>
      <c r="AU261" s="69" t="str">
        <f>IFERROR(AVERAGE(AT260,AU260),"")</f>
        <v/>
      </c>
      <c r="AV261" s="42" t="n"/>
      <c r="AW261" s="69" t="str">
        <f>IFERROR(AVERAGE(AV260,AW260),"")</f>
        <v/>
      </c>
      <c r="AX261" s="69" t="str">
        <f>IFERROR(AVERAGE(AW260,AX260),"")</f>
        <v/>
      </c>
      <c r="AY261" s="69" t="str">
        <f>IFERROR(AVERAGE(AW260,AY260),"")</f>
        <v/>
      </c>
      <c r="AZ261" s="69" t="str">
        <f>IFERROR(AVERAGE(AY260,AZ260),"")</f>
        <v/>
      </c>
      <c r="BA261" s="42" t="n"/>
      <c r="BB261" s="69" t="str">
        <f>IFERROR(AVERAGE(BA260,BB260),"")</f>
        <v/>
      </c>
      <c r="BC261" s="69" t="str">
        <f>IFERROR(AVERAGE(BB260,BC260),"")</f>
        <v/>
      </c>
      <c r="BD261" s="69" t="str">
        <f>IFERROR(AVERAGE(BB260,BD260),"")</f>
        <v/>
      </c>
      <c r="BE261" s="69" t="str">
        <f>IFERROR(AVERAGE(BD260,BE260),"")</f>
        <v/>
      </c>
      <c r="BF261" s="42" t="n"/>
      <c r="BG261" s="69" t="n"/>
      <c r="BH261" s="69" t="n"/>
      <c r="BI261" s="69" t="n"/>
      <c r="BJ261" s="69" t="n"/>
      <c r="BK261" s="42" t="n"/>
      <c r="BL261" s="69" t="n"/>
      <c r="BM261" s="69" t="n"/>
      <c r="BN261" s="69" t="n"/>
      <c r="BO261" s="69" t="n"/>
      <c r="BP261" s="42" t="n"/>
      <c r="BQ261" s="69" t="n"/>
      <c r="BR261" s="69" t="n"/>
      <c r="BS261" s="69" t="n"/>
      <c r="BT261" s="69" t="n"/>
      <c r="BU261" s="42" t="n"/>
      <c r="BV261" s="69" t="n"/>
      <c r="BW261" s="69" t="n"/>
      <c r="BX261" s="69" t="n"/>
      <c r="BY261" s="69" t="n"/>
      <c r="BZ261" s="42" t="n"/>
      <c r="CA261" s="69" t="n"/>
      <c r="CB261" s="69" t="n"/>
      <c r="CC261" s="69" t="n"/>
      <c r="CD261" s="69" t="n"/>
      <c r="CE261" s="42" t="n"/>
      <c r="CF261" s="69" t="n"/>
      <c r="CG261" s="69" t="n"/>
      <c r="CH261" s="69" t="n"/>
      <c r="CI261" s="69" t="n"/>
      <c r="CJ261" s="42" t="n"/>
      <c r="CK261" s="69" t="n"/>
      <c r="CL261" s="69" t="n"/>
      <c r="CM261" s="69" t="n"/>
      <c r="CN261" s="69" t="n"/>
      <c r="CO261" s="42" t="n"/>
      <c r="CP261" s="69" t="n"/>
      <c r="CQ261" s="69" t="n"/>
      <c r="CR261" s="69" t="n"/>
      <c r="CS261" s="69" t="n"/>
      <c r="CT261" s="42" t="n"/>
      <c r="CU261" s="69" t="n"/>
      <c r="CV261" s="69" t="n"/>
      <c r="CW261" s="69" t="n"/>
      <c r="CX261" s="69" t="n"/>
      <c r="CY261" s="42" t="n"/>
    </row>
    <row r="262" hidden="1" outlineLevel="1" customFormat="1" s="66">
      <c r="A262" s="37" t="n"/>
      <c r="B262" s="37" t="n"/>
      <c r="C262" s="67" t="n"/>
      <c r="D262" s="42" t="n"/>
      <c r="E262" s="42" t="n"/>
      <c r="F262" s="42" t="n"/>
      <c r="G262" s="42" t="n"/>
      <c r="H262" s="12" t="n"/>
      <c r="I262" s="42" t="n"/>
      <c r="J262" s="42" t="n"/>
      <c r="K262" s="42" t="n"/>
      <c r="L262" s="42" t="n"/>
      <c r="M262" s="12" t="n"/>
      <c r="N262" s="42" t="n"/>
      <c r="O262" s="42" t="n"/>
      <c r="P262" s="42" t="n"/>
      <c r="Q262" s="42" t="n"/>
      <c r="R262" s="12" t="n"/>
      <c r="S262" s="42" t="n"/>
      <c r="T262" s="42" t="n"/>
      <c r="U262" s="42" t="n"/>
      <c r="V262" s="42" t="n"/>
      <c r="W262" s="12" t="n"/>
      <c r="X262" s="42" t="n"/>
      <c r="Y262" s="42" t="n"/>
      <c r="Z262" s="42" t="n"/>
      <c r="AA262" s="42" t="n"/>
      <c r="AB262" s="12" t="n"/>
      <c r="AC262" s="42" t="n"/>
      <c r="AD262" s="42" t="n"/>
      <c r="AE262" s="42" t="n"/>
      <c r="AF262" s="42" t="n"/>
      <c r="AG262" s="12" t="n"/>
      <c r="AH262" s="42" t="n"/>
      <c r="AI262" s="42" t="n"/>
      <c r="AJ262" s="42" t="n"/>
      <c r="AK262" s="42" t="n"/>
      <c r="AL262" s="12" t="n"/>
      <c r="AM262" s="42" t="n"/>
      <c r="AN262" s="42" t="n"/>
      <c r="AO262" s="42" t="n"/>
      <c r="AP262" s="42" t="n"/>
      <c r="AQ262" s="12" t="n"/>
      <c r="AR262" s="42" t="n"/>
      <c r="AS262" s="42" t="n"/>
      <c r="AT262" s="42" t="n"/>
      <c r="AU262" s="42" t="n"/>
      <c r="AV262" s="12" t="n"/>
      <c r="AW262" s="42" t="n"/>
      <c r="AX262" s="42" t="n"/>
      <c r="AY262" s="42" t="n"/>
      <c r="AZ262" s="42" t="n"/>
      <c r="BA262" s="12" t="n"/>
      <c r="BB262" s="42" t="n"/>
      <c r="BC262" s="42" t="n"/>
      <c r="BD262" s="42" t="n"/>
      <c r="BE262" s="42" t="n"/>
      <c r="BF262" s="12" t="n"/>
      <c r="BG262" s="42" t="n"/>
      <c r="BH262" s="42" t="n"/>
      <c r="BI262" s="42" t="n"/>
      <c r="BJ262" s="42" t="n"/>
      <c r="BK262" s="12" t="n"/>
      <c r="BL262" s="42" t="n"/>
      <c r="BM262" s="42" t="n"/>
      <c r="BN262" s="42" t="n"/>
      <c r="BO262" s="42" t="n"/>
      <c r="BP262" s="12" t="n"/>
      <c r="BQ262" s="42" t="n"/>
      <c r="BR262" s="42" t="n"/>
      <c r="BS262" s="42" t="n"/>
      <c r="BT262" s="42" t="n"/>
      <c r="BU262" s="12" t="n"/>
      <c r="BV262" s="42" t="n"/>
      <c r="BW262" s="42" t="n"/>
      <c r="BX262" s="42" t="n"/>
      <c r="BY262" s="42" t="n"/>
      <c r="BZ262" s="12" t="n"/>
      <c r="CA262" s="42" t="n"/>
      <c r="CB262" s="42" t="n"/>
      <c r="CC262" s="42" t="n"/>
      <c r="CD262" s="42" t="n"/>
      <c r="CE262" s="12" t="n"/>
      <c r="CF262" s="42" t="n"/>
      <c r="CG262" s="42" t="n"/>
      <c r="CH262" s="42" t="n"/>
      <c r="CI262" s="42" t="n"/>
      <c r="CJ262" s="12" t="n"/>
      <c r="CK262" s="42" t="n"/>
      <c r="CL262" s="42" t="n"/>
      <c r="CM262" s="42" t="n"/>
      <c r="CN262" s="42" t="n"/>
      <c r="CO262" s="12" t="n"/>
      <c r="CP262" s="42" t="n"/>
      <c r="CQ262" s="42" t="n"/>
      <c r="CR262" s="42" t="n"/>
      <c r="CS262" s="42" t="n"/>
      <c r="CT262" s="12" t="n"/>
      <c r="CU262" s="42" t="n"/>
      <c r="CV262" s="42" t="n"/>
      <c r="CW262" s="42" t="n"/>
      <c r="CX262" s="42" t="n"/>
      <c r="CY262" s="12" t="n"/>
    </row>
    <row r="263" collapsed="1">
      <c r="C263" s="14" t="inlineStr">
        <is>
          <t>Treasury stock (contra account)</t>
        </is>
      </c>
      <c r="D263" s="46" t="n"/>
      <c r="E263" s="46" t="n"/>
      <c r="F263" s="46" t="n"/>
      <c r="G263" s="46" t="n"/>
      <c r="H263" s="12" t="n"/>
      <c r="I263" s="46">
        <f>'Inputs (2)'!D44</f>
        <v>-3495</v>
      </c>
      <c r="J263" s="46">
        <f>'Inputs (2)'!E44</f>
        <v>-3645</v>
      </c>
      <c r="K263" s="46">
        <f>'Inputs (2)'!F44</f>
        <v>-4695</v>
      </c>
      <c r="L263" s="46">
        <f>'Inputs (2)'!G44</f>
        <v>-4954</v>
      </c>
      <c r="M263" s="12">
        <f>'Inputs (2)'!H44</f>
        <v>-4954</v>
      </c>
      <c r="N263" s="46">
        <f>'Inputs (2)'!I44</f>
        <v>-5362</v>
      </c>
      <c r="O263" s="46">
        <f>'Inputs (2)'!J44</f>
        <v>-6343</v>
      </c>
      <c r="P263" s="46">
        <f>'Inputs (2)'!K44</f>
        <v>-7127</v>
      </c>
      <c r="Q263" s="46">
        <f>'Inputs (2)'!L44</f>
        <v>-7552</v>
      </c>
      <c r="R263" s="12">
        <f>'Inputs (2)'!M44</f>
        <v>-7552</v>
      </c>
      <c r="S263" s="46">
        <f>'Inputs (2)'!N44</f>
        <v>-7552</v>
      </c>
      <c r="T263" s="46">
        <f>'Inputs (2)'!O44</f>
        <v>-7552</v>
      </c>
      <c r="U263" s="46">
        <f>'Inputs (2)'!P44</f>
        <v>-7552</v>
      </c>
      <c r="V263" s="46">
        <f>'Inputs (2)'!Q44</f>
        <v>-7552</v>
      </c>
      <c r="W263" s="12">
        <f>'Inputs (2)'!R44</f>
        <v>-7552</v>
      </c>
      <c r="X263" s="46">
        <f>'Inputs (2)'!S44</f>
        <v>-7552</v>
      </c>
      <c r="Y263" s="46">
        <f>'Inputs (2)'!T44</f>
        <v>-7552</v>
      </c>
      <c r="Z263" s="46">
        <f>'Inputs (2)'!U44</f>
        <v>-7852</v>
      </c>
      <c r="AA263" s="46">
        <f>'Inputs (2)'!V44</f>
        <v>-7852</v>
      </c>
      <c r="AB263" s="12">
        <f>'Inputs (2)'!W44</f>
        <v>-7852</v>
      </c>
      <c r="AC263" s="46">
        <f>'Inputs (2)'!X44</f>
        <v>-7852</v>
      </c>
      <c r="AD263" s="46">
        <f>'Inputs (2)'!Y44</f>
        <v>-7852</v>
      </c>
      <c r="AE263" s="46">
        <f>'Inputs (2)'!Z44</f>
        <v>-7852</v>
      </c>
      <c r="AF263" s="46">
        <f>'Inputs (2)'!AA44</f>
        <v>-8152</v>
      </c>
      <c r="AG263" s="12">
        <f>'Inputs (2)'!AB44</f>
        <v>-8152</v>
      </c>
      <c r="AH263" s="12">
        <f>'Inputs (2)'!AC44</f>
        <v>-8502</v>
      </c>
      <c r="AI263" s="12">
        <f>'Inputs (2)'!AD44</f>
        <v>-8502</v>
      </c>
      <c r="AJ263" s="12">
        <f>AI263</f>
        <v>-8502</v>
      </c>
      <c r="AK263" s="12">
        <f>AJ263</f>
        <v>-8502</v>
      </c>
      <c r="AL263" s="12">
        <f>AK263</f>
        <v>-8502</v>
      </c>
      <c r="AM263" s="12">
        <f>AL263</f>
        <v>-8502</v>
      </c>
      <c r="AN263" s="12">
        <f>AM263</f>
        <v>-8502</v>
      </c>
      <c r="AO263" s="12">
        <f>AN263</f>
        <v>-8502</v>
      </c>
      <c r="AP263" s="12">
        <f>AO263</f>
        <v>-8502</v>
      </c>
      <c r="AQ263" s="12">
        <f>AP263</f>
        <v>-8502</v>
      </c>
      <c r="AR263" s="12">
        <f>AQ263</f>
        <v>-8502</v>
      </c>
      <c r="AS263" s="12">
        <f>AR263</f>
        <v>-8502</v>
      </c>
      <c r="AT263" s="12">
        <f>AS263</f>
        <v>-8502</v>
      </c>
      <c r="AU263" s="12">
        <f>AT263</f>
        <v>-8502</v>
      </c>
      <c r="AV263" s="12">
        <f>AU263</f>
        <v>-8502</v>
      </c>
      <c r="AW263" s="12">
        <f>AV263</f>
        <v>-8502</v>
      </c>
      <c r="AX263" s="12">
        <f>AW263</f>
        <v>-8502</v>
      </c>
      <c r="AY263" s="12">
        <f>AX263</f>
        <v>-8502</v>
      </c>
      <c r="AZ263" s="12">
        <f>AY263</f>
        <v>-8502</v>
      </c>
      <c r="BA263" s="12">
        <f>AZ263</f>
        <v>-8502</v>
      </c>
      <c r="BB263" s="12">
        <f>BA263</f>
        <v>-8502</v>
      </c>
      <c r="BC263" s="12">
        <f>BB263</f>
        <v>-8502</v>
      </c>
      <c r="BD263" s="12">
        <f>BC263</f>
        <v>-8502</v>
      </c>
      <c r="BE263" s="12">
        <f>BD263</f>
        <v>-8502</v>
      </c>
      <c r="BF263" s="12">
        <f>BE263</f>
        <v>-8502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4" t="inlineStr">
        <is>
          <t>Comprehensive (accumulated) loss</t>
        </is>
      </c>
      <c r="D264" s="46" t="n"/>
      <c r="E264" s="46" t="n"/>
      <c r="F264" s="46" t="n"/>
      <c r="G264" s="46" t="n"/>
      <c r="H264" s="12" t="n"/>
      <c r="I264" s="46">
        <f>'Inputs (2)'!D45</f>
        <v>81</v>
      </c>
      <c r="J264" s="46">
        <f>'Inputs (2)'!E45</f>
        <v>47</v>
      </c>
      <c r="K264" s="46">
        <f>'Inputs (2)'!F45</f>
        <v>2</v>
      </c>
      <c r="L264" s="46">
        <f>'Inputs (2)'!G45</f>
        <v>-91</v>
      </c>
      <c r="M264" s="12">
        <f>'Inputs (2)'!H45</f>
        <v>-91</v>
      </c>
      <c r="N264" s="46">
        <f>'Inputs (2)'!I45</f>
        <v>-138</v>
      </c>
      <c r="O264" s="46">
        <f>'Inputs (2)'!J45</f>
        <v>-364</v>
      </c>
      <c r="P264" s="46">
        <f>'Inputs (2)'!K45</f>
        <v>-560</v>
      </c>
      <c r="Q264" s="46">
        <f>'Inputs (2)'!L45</f>
        <v>-473</v>
      </c>
      <c r="R264" s="12">
        <f>'Inputs (2)'!M45</f>
        <v>-473</v>
      </c>
      <c r="S264" s="46">
        <f>'Inputs (2)'!N45</f>
        <v>-373</v>
      </c>
      <c r="T264" s="46">
        <f>'Inputs (2)'!O45</f>
        <v>-340</v>
      </c>
      <c r="U264" s="46">
        <f>'Inputs (2)'!P45</f>
        <v>-312</v>
      </c>
      <c r="V264" s="46">
        <f>'Inputs (2)'!Q45</f>
        <v>-260</v>
      </c>
      <c r="W264" s="12">
        <f>'Inputs (2)'!R45</f>
        <v>-260</v>
      </c>
      <c r="X264" s="46">
        <f>'Inputs (2)'!S45</f>
        <v>-264</v>
      </c>
      <c r="Y264" s="46">
        <f>'Inputs (2)'!T45</f>
        <v>-311</v>
      </c>
      <c r="Z264" s="46">
        <f>'Inputs (2)'!U45</f>
        <v>-134</v>
      </c>
      <c r="AA264" s="46">
        <f>'Inputs (2)'!V45</f>
        <v>-221</v>
      </c>
      <c r="AB264" s="12">
        <f>'Inputs (2)'!W45</f>
        <v>-221</v>
      </c>
      <c r="AC264" s="46">
        <f>'Inputs (2)'!X45</f>
        <v>-191</v>
      </c>
      <c r="AD264" s="46">
        <f>'Inputs (2)'!Y45</f>
        <v>-45</v>
      </c>
      <c r="AE264" s="46">
        <f>'Inputs (2)'!Z45</f>
        <v>-32</v>
      </c>
      <c r="AF264" s="46">
        <f>'Inputs (2)'!AA45</f>
        <v>-123</v>
      </c>
      <c r="AG264" s="12">
        <f>'Inputs (2)'!AB45</f>
        <v>-123</v>
      </c>
      <c r="AH264" s="12">
        <f>'Inputs (2)'!AC45</f>
        <v>-82</v>
      </c>
      <c r="AI264" s="12">
        <f>'Inputs (2)'!AD45</f>
        <v>-26</v>
      </c>
      <c r="AJ264" s="12">
        <f>AI264</f>
        <v>-26</v>
      </c>
      <c r="AK264" s="12">
        <f>AJ264</f>
        <v>-26</v>
      </c>
      <c r="AL264" s="12">
        <f>AK264</f>
        <v>-26</v>
      </c>
      <c r="AM264" s="12">
        <f>AL264</f>
        <v>-26</v>
      </c>
      <c r="AN264" s="12">
        <f>AM264</f>
        <v>-26</v>
      </c>
      <c r="AO264" s="12">
        <f>AN264</f>
        <v>-26</v>
      </c>
      <c r="AP264" s="12">
        <f>AO264</f>
        <v>-26</v>
      </c>
      <c r="AQ264" s="12">
        <f>AP264</f>
        <v>-26</v>
      </c>
      <c r="AR264" s="12">
        <f>AQ264</f>
        <v>-26</v>
      </c>
      <c r="AS264" s="12">
        <f>AR264</f>
        <v>-26</v>
      </c>
      <c r="AT264" s="12">
        <f>AS264</f>
        <v>-26</v>
      </c>
      <c r="AU264" s="12">
        <f>AT264</f>
        <v>-26</v>
      </c>
      <c r="AV264" s="12">
        <f>AU264</f>
        <v>-26</v>
      </c>
      <c r="AW264" s="12">
        <f>AV264</f>
        <v>-26</v>
      </c>
      <c r="AX264" s="12">
        <f>AW264</f>
        <v>-26</v>
      </c>
      <c r="AY264" s="12">
        <f>AX264</f>
        <v>-26</v>
      </c>
      <c r="AZ264" s="12">
        <f>AY264</f>
        <v>-26</v>
      </c>
      <c r="BA264" s="12">
        <f>AZ264</f>
        <v>-26</v>
      </c>
      <c r="BB264" s="12">
        <f>BA264</f>
        <v>-26</v>
      </c>
      <c r="BC264" s="12">
        <f>BB264</f>
        <v>-26</v>
      </c>
      <c r="BD264" s="12">
        <f>BC264</f>
        <v>-26</v>
      </c>
      <c r="BE264" s="12">
        <f>BD264</f>
        <v>-26</v>
      </c>
      <c r="BF264" s="12">
        <f>BE264</f>
        <v>-26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>
      <c r="C265" s="14" t="inlineStr">
        <is>
          <t>Other equity account</t>
        </is>
      </c>
      <c r="D265" s="46" t="n"/>
      <c r="E265" s="46" t="n"/>
      <c r="F265" s="46" t="n"/>
      <c r="G265" s="46" t="n"/>
      <c r="H265" s="12" t="n"/>
      <c r="I265" s="46">
        <f>'Inputs (2)'!D46</f>
        <v>0</v>
      </c>
      <c r="J265" s="46">
        <f>'Inputs (2)'!E46</f>
        <v>0</v>
      </c>
      <c r="K265" s="46">
        <f>'Inputs (2)'!F46</f>
        <v>0</v>
      </c>
      <c r="L265" s="46">
        <f>'Inputs (2)'!G46</f>
        <v>0</v>
      </c>
      <c r="M265" s="12">
        <f>'Inputs (2)'!H46</f>
        <v>0</v>
      </c>
      <c r="N265" s="46">
        <f>'Inputs (2)'!I46</f>
        <v>0</v>
      </c>
      <c r="O265" s="46">
        <f>'Inputs (2)'!J46</f>
        <v>0</v>
      </c>
      <c r="P265" s="46">
        <f>'Inputs (2)'!K46</f>
        <v>0</v>
      </c>
      <c r="Q265" s="46">
        <f>'Inputs (2)'!L46</f>
        <v>0</v>
      </c>
      <c r="R265" s="12">
        <f>'Inputs (2)'!M46</f>
        <v>0</v>
      </c>
      <c r="S265" s="46">
        <f>'Inputs (2)'!N46</f>
        <v>0</v>
      </c>
      <c r="T265" s="46">
        <f>'Inputs (2)'!O46</f>
        <v>0</v>
      </c>
      <c r="U265" s="46">
        <f>'Inputs (2)'!P46</f>
        <v>0</v>
      </c>
      <c r="V265" s="46">
        <f>'Inputs (2)'!Q46</f>
        <v>0</v>
      </c>
      <c r="W265" s="12">
        <f>'Inputs (2)'!R46</f>
        <v>0</v>
      </c>
      <c r="X265" s="46">
        <f>'Inputs (2)'!S46</f>
        <v>0</v>
      </c>
      <c r="Y265" s="46">
        <f>'Inputs (2)'!T46</f>
        <v>0</v>
      </c>
      <c r="Z265" s="46">
        <f>'Inputs (2)'!U46</f>
        <v>0</v>
      </c>
      <c r="AA265" s="46">
        <f>'Inputs (2)'!V46</f>
        <v>0</v>
      </c>
      <c r="AB265" s="12">
        <f>'Inputs (2)'!W46</f>
        <v>0</v>
      </c>
      <c r="AC265" s="46">
        <f>'Inputs (2)'!X46</f>
        <v>0</v>
      </c>
      <c r="AD265" s="46">
        <f>'Inputs (2)'!Y46</f>
        <v>0</v>
      </c>
      <c r="AE265" s="46">
        <f>'Inputs (2)'!Z46</f>
        <v>0</v>
      </c>
      <c r="AF265" s="46">
        <f>'Inputs (2)'!AA46</f>
        <v>0</v>
      </c>
      <c r="AG265" s="12">
        <f>'Inputs (2)'!AB46</f>
        <v>0</v>
      </c>
      <c r="AH265" s="12">
        <f>'Inputs (2)'!AC46</f>
        <v>0</v>
      </c>
      <c r="AI265" s="12">
        <f>'Inputs (2)'!AD46</f>
        <v>0</v>
      </c>
      <c r="AJ265" s="12">
        <f>AI265</f>
        <v>0</v>
      </c>
      <c r="AK265" s="12">
        <f>AJ265</f>
        <v>0</v>
      </c>
      <c r="AL265" s="12">
        <f>AK265</f>
        <v>0</v>
      </c>
      <c r="AM265" s="12">
        <f>AL265</f>
        <v>0</v>
      </c>
      <c r="AN265" s="12">
        <f>AM265</f>
        <v>0</v>
      </c>
      <c r="AO265" s="12">
        <f>AN265</f>
        <v>0</v>
      </c>
      <c r="AP265" s="12">
        <f>AO265</f>
        <v>0</v>
      </c>
      <c r="AQ265" s="12">
        <f>AP265</f>
        <v>0</v>
      </c>
      <c r="AR265" s="12">
        <f>AQ265</f>
        <v>0</v>
      </c>
      <c r="AS265" s="12">
        <f>AR265</f>
        <v>0</v>
      </c>
      <c r="AT265" s="12">
        <f>AS265</f>
        <v>0</v>
      </c>
      <c r="AU265" s="12">
        <f>AT265</f>
        <v>0</v>
      </c>
      <c r="AV265" s="12">
        <f>AU265</f>
        <v>0</v>
      </c>
      <c r="AW265" s="12">
        <f>AV265</f>
        <v>0</v>
      </c>
      <c r="AX265" s="12">
        <f>AW265</f>
        <v>0</v>
      </c>
      <c r="AY265" s="12">
        <f>AX265</f>
        <v>0</v>
      </c>
      <c r="AZ265" s="12">
        <f>AY265</f>
        <v>0</v>
      </c>
      <c r="BA265" s="12">
        <f>AZ265</f>
        <v>0</v>
      </c>
      <c r="BB265" s="12">
        <f>BA265</f>
        <v>0</v>
      </c>
      <c r="BC265" s="12">
        <f>BB265</f>
        <v>0</v>
      </c>
      <c r="BD265" s="12">
        <f>BC265</f>
        <v>0</v>
      </c>
      <c r="BE265" s="12">
        <f>BD265</f>
        <v>0</v>
      </c>
      <c r="BF265" s="12">
        <f>BE265</f>
        <v>0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>
      <c r="C266" s="15" t="inlineStr">
        <is>
          <t>Retained earnings</t>
        </is>
      </c>
      <c r="D266" s="46" t="n"/>
      <c r="E266" s="46" t="n"/>
      <c r="F266" s="46" t="n"/>
      <c r="G266" s="46" t="n"/>
      <c r="H266" s="12" t="n"/>
      <c r="I266" s="46">
        <f>'Inputs (2)'!D47</f>
        <v>34723</v>
      </c>
      <c r="J266" s="46">
        <f>'Inputs (2)'!E47</f>
        <v>36452</v>
      </c>
      <c r="K266" s="46">
        <f>'Inputs (2)'!F47</f>
        <v>39051</v>
      </c>
      <c r="L266" s="46">
        <f>'Inputs (2)'!G47</f>
        <v>41267</v>
      </c>
      <c r="M266" s="12">
        <f>'Inputs (2)'!H47</f>
        <v>41267</v>
      </c>
      <c r="N266" s="46">
        <f>'Inputs (2)'!I47</f>
        <v>43407</v>
      </c>
      <c r="O266" s="46">
        <f>'Inputs (2)'!J47</f>
        <v>45916</v>
      </c>
      <c r="P266" s="46">
        <f>'Inputs (2)'!K47</f>
        <v>47274</v>
      </c>
      <c r="Q266" s="46">
        <f>'Inputs (2)'!L47</f>
        <v>46873</v>
      </c>
      <c r="R266" s="12">
        <f>'Inputs (2)'!M47</f>
        <v>46873</v>
      </c>
      <c r="S266" s="46">
        <f>'Inputs (2)'!N47</f>
        <v>44426</v>
      </c>
      <c r="T266" s="46">
        <f>'Inputs (2)'!O47</f>
        <v>42391</v>
      </c>
      <c r="U266" s="46">
        <f>'Inputs (2)'!P47</f>
        <v>40824</v>
      </c>
      <c r="V266" s="46">
        <f>'Inputs (2)'!Q47</f>
        <v>39356</v>
      </c>
      <c r="W266" s="12">
        <f>'Inputs (2)'!R47</f>
        <v>39356</v>
      </c>
      <c r="X266" s="46">
        <f>'Inputs (2)'!S47</f>
        <v>39997</v>
      </c>
      <c r="Y266" s="46">
        <f>'Inputs (2)'!T47</f>
        <v>40169</v>
      </c>
      <c r="Z266" s="46">
        <f>'Inputs (2)'!U47</f>
        <v>40877</v>
      </c>
      <c r="AA266" s="46">
        <f>'Inputs (2)'!V47</f>
        <v>42427</v>
      </c>
      <c r="AB266" s="12">
        <f>'Inputs (2)'!W47</f>
        <v>42427</v>
      </c>
      <c r="AC266" s="46">
        <f>'Inputs (2)'!X47</f>
        <v>43839</v>
      </c>
      <c r="AD266" s="46">
        <f>'Inputs (2)'!Y47</f>
        <v>45559</v>
      </c>
      <c r="AE266" s="46">
        <f>'Inputs (2)'!Z47</f>
        <v>48583</v>
      </c>
      <c r="AF266" s="46">
        <f>'Inputs (2)'!AA47</f>
        <v>53344</v>
      </c>
      <c r="AG266" s="12">
        <f>'Inputs (2)'!AB47</f>
        <v>53344</v>
      </c>
      <c r="AH266" s="12">
        <f>'Inputs (2)'!AC47</f>
        <v>66824</v>
      </c>
      <c r="AI266" s="12">
        <f>'Inputs (2)'!AD47</f>
        <v>94682</v>
      </c>
      <c r="AJ266" s="12">
        <f>AI266+AJ133+AJ134</f>
        <v>104519.806739461</v>
      </c>
      <c r="AK266" s="12">
        <f>AJ266+AK133+AK134</f>
        <v>116381.688961862</v>
      </c>
      <c r="AL266" s="12">
        <f>AK266</f>
        <v>116381.688961862</v>
      </c>
      <c r="AM266" s="12">
        <f>AL266+AM133+AM134</f>
        <v>137126.723765534</v>
      </c>
      <c r="AN266" s="12">
        <f>AM266+AN133+AN134</f>
        <v>173170.56965074</v>
      </c>
      <c r="AO266" s="12">
        <f>AN266+AO133+AO134</f>
        <v>194805.346624389</v>
      </c>
      <c r="AP266" s="12">
        <f>AO266+AP133+AP134</f>
        <v>220891.361847675</v>
      </c>
      <c r="AQ266" s="12">
        <f>AP266</f>
        <v>220891.361847675</v>
      </c>
      <c r="AR266" s="12">
        <f>AQ266+AR133+AR134</f>
        <v>266409.004644604</v>
      </c>
      <c r="AS266" s="12">
        <f>AR266+AS133+AS134</f>
        <v>345494.478231757</v>
      </c>
      <c r="AT266" s="12">
        <f>AS266+AT133+AT134</f>
        <v>392964.345580616</v>
      </c>
      <c r="AU266" s="12">
        <f>AT266+AU133+AU134</f>
        <v>450200.881174119</v>
      </c>
      <c r="AV266" s="12">
        <f>AU266</f>
        <v>450200.881174119</v>
      </c>
      <c r="AW266" s="12">
        <f>AV266+AW133+AW134</f>
        <v>549845.663645291</v>
      </c>
      <c r="AX266" s="12">
        <f>AW266+AX133+AX134</f>
        <v>722975.341018507</v>
      </c>
      <c r="AY266" s="12">
        <f>AX266+AY133+AY134</f>
        <v>826893.828779733</v>
      </c>
      <c r="AZ266" s="12">
        <f>AY266+AZ133+AZ134</f>
        <v>952192.982869563</v>
      </c>
      <c r="BA266" s="12">
        <f>AZ266</f>
        <v>952192.982869563</v>
      </c>
      <c r="BB266" s="12">
        <f>BA266+BB133+BB134</f>
        <v>1169831.77273063</v>
      </c>
      <c r="BC266" s="12">
        <f>BB266+BC133+BC134</f>
        <v>1547972.32899552</v>
      </c>
      <c r="BD266" s="12">
        <f>BC266+BD133+BD134</f>
        <v>1774945.51674961</v>
      </c>
      <c r="BE266" s="12">
        <f>BD266+BE133+BE134</f>
        <v>2048617.20924004</v>
      </c>
      <c r="BF266" s="12">
        <f>BE266</f>
        <v>2048617.20924004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customFormat="1" s="32">
      <c r="A267" s="30" t="inlineStr">
        <is>
          <t xml:space="preserve"> </t>
        </is>
      </c>
      <c r="B267" s="30" t="n"/>
      <c r="C267" s="65" t="inlineStr">
        <is>
          <t>Total Shareholders' Equity</t>
        </is>
      </c>
      <c r="D267" s="35" t="n"/>
      <c r="E267" s="35" t="n"/>
      <c r="F267" s="35" t="n"/>
      <c r="G267" s="35" t="n"/>
      <c r="H267" s="35" t="n"/>
      <c r="I267" s="35">
        <f>SUM(I244+I249+I250+I263+I264+I265+I266)</f>
        <v>40663</v>
      </c>
      <c r="J267" s="35">
        <f>SUM(J244+J249+J250+J263+J264+J265+J266)</f>
        <v>42259</v>
      </c>
      <c r="K267" s="35">
        <f>SUM(K244+K249+K250+K263+K264+K265+K266)</f>
        <v>43933</v>
      </c>
      <c r="L267" s="35">
        <f>SUM(L244+L249+L250+L263+L264+L265+L266)</f>
        <v>45908</v>
      </c>
      <c r="M267" s="35">
        <f>SUM(M244,M249,M250,M263,M264,M265,M266)</f>
        <v>45908</v>
      </c>
      <c r="N267" s="35">
        <f>SUM(N244+N249+N250+N263+N264+N265+N266)</f>
        <v>47845</v>
      </c>
      <c r="O267" s="35">
        <f>SUM(O244+O249+O250+O263+O264+O265+O266)</f>
        <v>49281</v>
      </c>
      <c r="P267" s="35">
        <f>SUM(P244+P249+P250+P263+P264+P265+P266)</f>
        <v>49907</v>
      </c>
      <c r="Q267" s="35">
        <f>SUM(Q244+Q249+Q250+Q263+Q264+Q265+Q266)</f>
        <v>49306</v>
      </c>
      <c r="R267" s="35">
        <f>SUM(R244,R249,R250,R263,R264,R265,R266)</f>
        <v>49306</v>
      </c>
      <c r="S267" s="35">
        <f>SUM(S244+S249+S250+S263+S264+S265+S266)</f>
        <v>47257</v>
      </c>
      <c r="T267" s="35">
        <f>SUM(T244+T249+T250+T263+T264+T265+T266)</f>
        <v>45405</v>
      </c>
      <c r="U267" s="35">
        <f>SUM(U244+U249+U250+U263+U264+U265+U266)</f>
        <v>44120</v>
      </c>
      <c r="V267" s="35">
        <f>SUM(V244+V249+V250+V263+V264+V265+V266)</f>
        <v>42885</v>
      </c>
      <c r="W267" s="35">
        <f>SUM(W244,W249,W250,W263,W264,W265,W266)</f>
        <v>42885</v>
      </c>
      <c r="X267" s="35">
        <f>SUM(X244+X249+X250+X263+X264+X265+X266)</f>
        <v>43870</v>
      </c>
      <c r="Y267" s="35">
        <f>SUM(Y244+Y249+Y250+Y263+Y264+Y265+Y266)</f>
        <v>44225</v>
      </c>
      <c r="Z267" s="35">
        <f>SUM(Z244+Z249+Z250+Z263+Z264+Z265+Z266)</f>
        <v>45131</v>
      </c>
      <c r="AA267" s="35">
        <f>SUM(AA244+AA249+AA250+AA263+AA264+AA265+AA266)</f>
        <v>46797</v>
      </c>
      <c r="AB267" s="35">
        <f>SUM(AB244,AB249,AB250,AB263,AB264,AB265,AB266)</f>
        <v>46797</v>
      </c>
      <c r="AC267" s="35">
        <f>SUM(AC244+AC249+AC250+AC263+AC264+AC265+AC266)</f>
        <v>48633</v>
      </c>
      <c r="AD267" s="35">
        <f>SUM(AD244+AD249+AD250+AD263+AD264+AD265+AD266)</f>
        <v>50748</v>
      </c>
      <c r="AE267" s="35">
        <f>SUM(AE244+AE249+AE250+AE263+AE264+AE265+AE266)</f>
        <v>54165</v>
      </c>
      <c r="AF267" s="35">
        <f>SUM(AF244+AF249+AF250+AF263+AF264+AF265+AF266)</f>
        <v>58806</v>
      </c>
      <c r="AG267" s="35">
        <f>SUM(AG244,AG249,AG250,AG263,AG264,AG265,AG266)</f>
        <v>58806</v>
      </c>
      <c r="AH267" s="35">
        <f>SUM(AH244+AH249+AH250+AH263+AH264+AH265+AH266)</f>
        <v>72459</v>
      </c>
      <c r="AI267" s="35">
        <f>SUM(AI244+AI249+AI250+AI263+AI264+AI265+AI266)</f>
        <v>100724</v>
      </c>
      <c r="AJ267" s="35">
        <f>SUM(AJ244+AJ249+AJ250+AJ263+AJ264+AJ265+AJ266)</f>
        <v>110561.806739461</v>
      </c>
      <c r="AK267" s="35">
        <f>SUM(AK244+AK249+AK250+AK263+AK264+AK265+AK266)</f>
        <v>122423.688961862</v>
      </c>
      <c r="AL267" s="35">
        <f>SUM(AL244,AL249,AL250,AL263,AL264,AL265,AL266)</f>
        <v>122423.688961862</v>
      </c>
      <c r="AM267" s="35">
        <f>SUM(AM244+AM249+AM250+AM263+AM264+AM265+AM266)</f>
        <v>143168.723765534</v>
      </c>
      <c r="AN267" s="35">
        <f>SUM(AN244+AN249+AN250+AN263+AN264+AN265+AN266)</f>
        <v>179212.56965074</v>
      </c>
      <c r="AO267" s="35">
        <f>SUM(AO244+AO249+AO250+AO263+AO264+AO265+AO266)</f>
        <v>200847.346624389</v>
      </c>
      <c r="AP267" s="35">
        <f>SUM(AP244+AP249+AP250+AP263+AP264+AP265+AP266)</f>
        <v>226933.361847675</v>
      </c>
      <c r="AQ267" s="35">
        <f>SUM(AQ244,AQ249,AQ250,AQ263,AQ264,AQ265,AQ266)</f>
        <v>226933.361847675</v>
      </c>
      <c r="AR267" s="35">
        <f>SUM(AR244+AR249+AR250+AR263+AR264+AR265+AR266)</f>
        <v>272451.004644604</v>
      </c>
      <c r="AS267" s="35">
        <f>SUM(AS244+AS249+AS250+AS263+AS264+AS265+AS266)</f>
        <v>351536.478231757</v>
      </c>
      <c r="AT267" s="35">
        <f>SUM(AT244+AT249+AT250+AT263+AT264+AT265+AT266)</f>
        <v>399006.345580616</v>
      </c>
      <c r="AU267" s="35">
        <f>SUM(AU244+AU249+AU250+AU263+AU264+AU265+AU266)</f>
        <v>456242.881174119</v>
      </c>
      <c r="AV267" s="35">
        <f>SUM(AV244,AV249,AV250,AV263,AV264,AV265,AV266)</f>
        <v>456242.881174119</v>
      </c>
      <c r="AW267" s="35">
        <f>SUM(AW244+AW249+AW250+AW263+AW264+AW265+AW266)</f>
        <v>555887.663645291</v>
      </c>
      <c r="AX267" s="35">
        <f>SUM(AX244+AX249+AX250+AX263+AX264+AX265+AX266)</f>
        <v>729017.341018507</v>
      </c>
      <c r="AY267" s="35">
        <f>SUM(AY244+AY249+AY250+AY263+AY264+AY265+AY266)</f>
        <v>832935.828779733</v>
      </c>
      <c r="AZ267" s="35">
        <f>SUM(AZ244+AZ249+AZ250+AZ263+AZ264+AZ265+AZ266)</f>
        <v>958234.982869563</v>
      </c>
      <c r="BA267" s="35">
        <f>SUM(BA244,BA249,BA250,BA263,BA264,BA265,BA266)</f>
        <v>958234.982869563</v>
      </c>
      <c r="BB267" s="35">
        <f>SUM(BB244+BB249+BB250+BB263+BB264+BB265+BB266)</f>
        <v>1175873.77273063</v>
      </c>
      <c r="BC267" s="35">
        <f>SUM(BC244+BC249+BC250+BC263+BC264+BC265+BC266)</f>
        <v>1554014.32899552</v>
      </c>
      <c r="BD267" s="35">
        <f>SUM(BD244+BD249+BD250+BD263+BD264+BD265+BD266)</f>
        <v>1780987.51674961</v>
      </c>
      <c r="BE267" s="35">
        <f>SUM(BE244+BE249+BE250+BE263+BE264+BE265+BE266)</f>
        <v>2054659.20924004</v>
      </c>
      <c r="BF267" s="35">
        <f>SUM(BF244,BF249,BF250,BF263,BF264,BF265,BF266)</f>
        <v>2054659.20924004</v>
      </c>
      <c r="BG267" s="35" t="n"/>
      <c r="BH267" s="35" t="n"/>
      <c r="BI267" s="35" t="n"/>
      <c r="BJ267" s="35" t="n"/>
      <c r="BK267" s="35" t="n"/>
      <c r="BL267" s="35" t="n"/>
      <c r="BM267" s="35" t="n"/>
      <c r="BN267" s="35" t="n"/>
      <c r="BO267" s="35" t="n"/>
      <c r="BP267" s="35" t="n"/>
      <c r="BQ267" s="35" t="n"/>
      <c r="BR267" s="35" t="n"/>
      <c r="BS267" s="35" t="n"/>
      <c r="BT267" s="35" t="n"/>
      <c r="BU267" s="35" t="n"/>
      <c r="BV267" s="35" t="n"/>
      <c r="BW267" s="35" t="n"/>
      <c r="BX267" s="35" t="n"/>
      <c r="BY267" s="35" t="n"/>
      <c r="BZ267" s="35" t="n"/>
      <c r="CA267" s="35" t="n"/>
      <c r="CB267" s="35" t="n"/>
      <c r="CC267" s="35" t="n"/>
      <c r="CD267" s="35" t="n"/>
      <c r="CE267" s="35" t="n"/>
      <c r="CF267" s="35" t="n"/>
      <c r="CG267" s="35" t="n"/>
      <c r="CH267" s="35" t="n"/>
      <c r="CI267" s="35" t="n"/>
      <c r="CJ267" s="35" t="n"/>
      <c r="CK267" s="35" t="n"/>
      <c r="CL267" s="35" t="n"/>
      <c r="CM267" s="35" t="n"/>
      <c r="CN267" s="35" t="n"/>
      <c r="CO267" s="35" t="n"/>
      <c r="CP267" s="35" t="n"/>
      <c r="CQ267" s="35" t="n"/>
      <c r="CR267" s="35" t="n"/>
      <c r="CS267" s="35" t="n"/>
      <c r="CT267" s="35" t="n"/>
      <c r="CU267" s="35" t="n"/>
      <c r="CV267" s="35" t="n"/>
      <c r="CW267" s="35" t="n"/>
      <c r="CX267" s="35" t="n"/>
      <c r="CY267" s="35" t="n"/>
    </row>
    <row r="268">
      <c r="C268" s="10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customFormat="1" s="32">
      <c r="A269" s="30" t="n"/>
      <c r="B269" s="3" t="n"/>
      <c r="C269" s="33" t="inlineStr">
        <is>
          <t>Total Liabilities + Shareholders' Equity</t>
        </is>
      </c>
      <c r="D269" s="35" t="n"/>
      <c r="E269" s="35" t="n"/>
      <c r="F269" s="35" t="n"/>
      <c r="G269" s="35" t="n"/>
      <c r="H269" s="35" t="n"/>
      <c r="I269" s="35">
        <f>I267+I243</f>
        <v>54135</v>
      </c>
      <c r="J269" s="35">
        <f>J267+J243</f>
        <v>55943</v>
      </c>
      <c r="K269" s="35">
        <f>K267+K243</f>
        <v>58849</v>
      </c>
      <c r="L269" s="35">
        <f>L267+L243</f>
        <v>61246</v>
      </c>
      <c r="M269" s="35">
        <f>M267+M243</f>
        <v>61246</v>
      </c>
      <c r="N269" s="35">
        <f>N267+N243</f>
        <v>63696</v>
      </c>
      <c r="O269" s="35">
        <f>O267+O243</f>
        <v>65296</v>
      </c>
      <c r="P269" s="35">
        <f>P267+P243</f>
        <v>66283</v>
      </c>
      <c r="Q269" s="35">
        <f>Q267+Q243</f>
        <v>67874</v>
      </c>
      <c r="R269" s="35">
        <f>R267+R243</f>
        <v>67874</v>
      </c>
      <c r="S269" s="35">
        <f>S267+S243</f>
        <v>66520</v>
      </c>
      <c r="T269" s="35">
        <f>T267+T243</f>
        <v>65680</v>
      </c>
      <c r="U269" s="35">
        <f>U267+U243</f>
        <v>64254</v>
      </c>
      <c r="V269" s="35">
        <f>V267+V243</f>
        <v>63776</v>
      </c>
      <c r="W269" s="35">
        <f>W267+W243</f>
        <v>63776</v>
      </c>
      <c r="X269" s="35">
        <f>X267+X243</f>
        <v>65718</v>
      </c>
      <c r="Y269" s="35">
        <f>Y267+Y243</f>
        <v>66255</v>
      </c>
      <c r="Z269" s="35">
        <f>Z267+Z243</f>
        <v>69416</v>
      </c>
      <c r="AA269" s="35">
        <f>AA267+AA243</f>
        <v>71461</v>
      </c>
      <c r="AB269" s="35">
        <f>AB267+AB243</f>
        <v>71461</v>
      </c>
      <c r="AC269" s="35">
        <f>AC267+AC243</f>
        <v>73053</v>
      </c>
      <c r="AD269" s="35">
        <f>AD267+AD243</f>
        <v>78397</v>
      </c>
      <c r="AE269" s="35">
        <f>AE267+AE243</f>
        <v>82798</v>
      </c>
      <c r="AF269" s="35">
        <f>AF267+AF243</f>
        <v>85971</v>
      </c>
      <c r="AG269" s="35">
        <f>AG267+AG243</f>
        <v>85971</v>
      </c>
      <c r="AH269" s="35">
        <f>AH267+AH243</f>
        <v>101509</v>
      </c>
      <c r="AI269" s="35">
        <f>AI267+AI243</f>
        <v>134112</v>
      </c>
      <c r="AJ269" s="35">
        <f>AJ267+AJ243</f>
        <v>146835.234974461</v>
      </c>
      <c r="AK269" s="35">
        <f>AK267+AK243</f>
        <v>162484.140169118</v>
      </c>
      <c r="AL269" s="35">
        <f>AL267+AL243</f>
        <v>162484.140169118</v>
      </c>
      <c r="AM269" s="35">
        <f>AM267+AM243</f>
        <v>200711.983152987</v>
      </c>
      <c r="AN269" s="35">
        <f>AN267+AN243</f>
        <v>265258.281930688</v>
      </c>
      <c r="AO269" s="35">
        <f>AO267+AO243</f>
        <v>259192.776450456</v>
      </c>
      <c r="AP269" s="35">
        <f>AP267+AP243</f>
        <v>293607.0094939</v>
      </c>
      <c r="AQ269" s="35">
        <f>AQ267+AQ243</f>
        <v>293607.0094939</v>
      </c>
      <c r="AR269" s="35">
        <f>AR267+AR243</f>
        <v>376416.871058496</v>
      </c>
      <c r="AS269" s="35">
        <f>AS267+AS243</f>
        <v>518997.552249121</v>
      </c>
      <c r="AT269" s="35">
        <f>AT267+AT243</f>
        <v>505688.945421276</v>
      </c>
      <c r="AU269" s="35">
        <f>AU267+AU243</f>
        <v>581198.8099082</v>
      </c>
      <c r="AV269" s="35">
        <f>AV267+AV243</f>
        <v>581198.8099082</v>
      </c>
      <c r="AW269" s="35">
        <f>AW267+AW243</f>
        <v>764331.940248983</v>
      </c>
      <c r="AX269" s="35">
        <f>AX267+AX243</f>
        <v>1074367.66503287</v>
      </c>
      <c r="AY269" s="35">
        <f>AY267+AY243</f>
        <v>1045233.17671433</v>
      </c>
      <c r="AZ269" s="35">
        <f>AZ267+AZ243</f>
        <v>1210535.32240749</v>
      </c>
      <c r="BA269" s="35">
        <f>BA267+BA243</f>
        <v>1210535.32240749</v>
      </c>
      <c r="BB269" s="35">
        <f>BB267+BB243</f>
        <v>1609989.43950899</v>
      </c>
      <c r="BC269" s="35">
        <f>BC267+BC243</f>
        <v>2287152.84217069</v>
      </c>
      <c r="BD269" s="35">
        <f>BD267+BD243</f>
        <v>2223518.85528628</v>
      </c>
      <c r="BE269" s="35">
        <f>BE267+BE243</f>
        <v>2584562.93665106</v>
      </c>
      <c r="BF269" s="35">
        <f>BF267+BF243</f>
        <v>2584562.93665106</v>
      </c>
      <c r="BG269" s="35" t="n"/>
      <c r="BH269" s="35" t="n"/>
      <c r="BI269" s="35" t="n"/>
      <c r="BJ269" s="35" t="n"/>
      <c r="BK269" s="35" t="n"/>
      <c r="BL269" s="35" t="n"/>
      <c r="BM269" s="35" t="n"/>
      <c r="BN269" s="35" t="n"/>
      <c r="BO269" s="35" t="n"/>
      <c r="BP269" s="35" t="n"/>
      <c r="BQ269" s="35" t="n"/>
      <c r="BR269" s="35" t="n"/>
      <c r="BS269" s="35" t="n"/>
      <c r="BT269" s="35" t="n"/>
      <c r="BU269" s="35" t="n"/>
      <c r="BV269" s="35" t="n"/>
      <c r="BW269" s="35" t="n"/>
      <c r="BX269" s="35" t="n"/>
      <c r="BY269" s="35" t="n"/>
      <c r="BZ269" s="35" t="n"/>
      <c r="CA269" s="35" t="n"/>
      <c r="CB269" s="35" t="n"/>
      <c r="CC269" s="35" t="n"/>
      <c r="CD269" s="35" t="n"/>
      <c r="CE269" s="35" t="n"/>
      <c r="CF269" s="35" t="n"/>
      <c r="CG269" s="35" t="n"/>
      <c r="CH269" s="35" t="n"/>
      <c r="CI269" s="35" t="n"/>
      <c r="CJ269" s="35" t="n"/>
      <c r="CK269" s="35" t="n"/>
      <c r="CL269" s="35" t="n"/>
      <c r="CM269" s="35" t="n"/>
      <c r="CN269" s="35" t="n"/>
      <c r="CO269" s="35" t="n"/>
      <c r="CP269" s="35" t="n"/>
      <c r="CQ269" s="35" t="n"/>
      <c r="CR269" s="35" t="n"/>
      <c r="CS269" s="35" t="n"/>
      <c r="CT269" s="35" t="n"/>
      <c r="CU269" s="35" t="n"/>
      <c r="CV269" s="35" t="n"/>
      <c r="CW269" s="35" t="n"/>
      <c r="CX269" s="35" t="n"/>
      <c r="CY269" s="35" t="n"/>
    </row>
    <row r="270">
      <c r="C270" s="18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n"/>
      <c r="BE270" s="3" t="n"/>
      <c r="BF270" s="3" t="n"/>
      <c r="BG270" s="3" t="n"/>
      <c r="BH270" s="3" t="n"/>
      <c r="BI270" s="3" t="n"/>
      <c r="BJ270" s="3" t="n"/>
      <c r="BK270" s="3" t="n"/>
      <c r="BL270" s="3" t="n"/>
      <c r="BM270" s="3" t="n"/>
      <c r="BN270" s="3" t="n"/>
      <c r="BO270" s="3" t="n"/>
      <c r="BP270" s="3" t="n"/>
      <c r="BQ270" s="3" t="n"/>
      <c r="BR270" s="3" t="n"/>
      <c r="BS270" s="3" t="n"/>
      <c r="BT270" s="3" t="n"/>
      <c r="BU270" s="3" t="n"/>
      <c r="BV270" s="3" t="n"/>
      <c r="BW270" s="3" t="n"/>
      <c r="BX270" s="3" t="n"/>
      <c r="BY270" s="3" t="n"/>
      <c r="BZ270" s="3" t="n"/>
      <c r="CA270" s="3" t="n"/>
      <c r="CB270" s="3" t="n"/>
      <c r="CC270" s="3" t="n"/>
      <c r="CD270" s="3" t="n"/>
      <c r="CE270" s="3" t="n"/>
      <c r="CF270" s="3" t="n"/>
      <c r="CG270" s="3" t="n"/>
      <c r="CH270" s="3" t="n"/>
      <c r="CI270" s="3" t="n"/>
      <c r="CJ270" s="3" t="n"/>
      <c r="CK270" s="3" t="n"/>
      <c r="CL270" s="3" t="n"/>
      <c r="CM270" s="3" t="n"/>
      <c r="CN270" s="3" t="n"/>
      <c r="CO270" s="3" t="n"/>
      <c r="CP270" s="3" t="n"/>
      <c r="CQ270" s="3" t="n"/>
      <c r="CR270" s="3" t="n"/>
      <c r="CS270" s="3" t="n"/>
      <c r="CT270" s="3" t="n"/>
      <c r="CU270" s="3" t="n"/>
      <c r="CV270" s="3" t="n"/>
      <c r="CW270" s="3" t="n"/>
      <c r="CX270" s="3" t="n"/>
      <c r="CY270" s="3" t="n"/>
    </row>
    <row r="271" customFormat="1" s="32">
      <c r="A271" s="30" t="n"/>
      <c r="B271" s="30" t="n"/>
      <c r="C271" s="31" t="inlineStr">
        <is>
          <t>Cash Flow Statement</t>
        </is>
      </c>
      <c r="D271" s="70" t="n"/>
      <c r="E271" s="70" t="n"/>
      <c r="F271" s="70" t="n"/>
      <c r="G271" s="70" t="n"/>
      <c r="H271" s="70" t="n"/>
      <c r="I271" s="70" t="str">
        <f>I138</f>
        <v>1Q21</v>
      </c>
      <c r="J271" s="70" t="str">
        <f>J138</f>
        <v>2Q21</v>
      </c>
      <c r="K271" s="70" t="str">
        <f>K138</f>
        <v>3Q21</v>
      </c>
      <c r="L271" s="70" t="str">
        <f>L138</f>
        <v>4Q21</v>
      </c>
      <c r="M271" s="70">
        <f>M138</f>
        <v>2021</v>
      </c>
      <c r="N271" s="70" t="str">
        <f>N138</f>
        <v>1Q22</v>
      </c>
      <c r="O271" s="70" t="str">
        <f>O138</f>
        <v>2Q22</v>
      </c>
      <c r="P271" s="70" t="str">
        <f>P138</f>
        <v>3Q22</v>
      </c>
      <c r="Q271" s="70" t="str">
        <f>Q138</f>
        <v>4Q22</v>
      </c>
      <c r="R271" s="70">
        <f>R138</f>
        <v>2022</v>
      </c>
      <c r="S271" s="70" t="str">
        <f>S138</f>
        <v>1Q23</v>
      </c>
      <c r="T271" s="70" t="str">
        <f>T138</f>
        <v>2Q23</v>
      </c>
      <c r="U271" s="70" t="str">
        <f>U138</f>
        <v>3Q23</v>
      </c>
      <c r="V271" s="70" t="str">
        <f>V138</f>
        <v>4Q23</v>
      </c>
      <c r="W271" s="70">
        <f>W138</f>
        <v>2023</v>
      </c>
      <c r="X271" s="70" t="str">
        <f>X138</f>
        <v>1Q24</v>
      </c>
      <c r="Y271" s="70" t="str">
        <f>Y138</f>
        <v>2Q24</v>
      </c>
      <c r="Z271" s="70" t="str">
        <f>Z138</f>
        <v>3Q24</v>
      </c>
      <c r="AA271" s="70" t="str">
        <f>AA138</f>
        <v>4Q24</v>
      </c>
      <c r="AB271" s="70">
        <f>AB138</f>
        <v>2024</v>
      </c>
      <c r="AC271" s="70" t="str">
        <f>AC138</f>
        <v>1Q25</v>
      </c>
      <c r="AD271" s="70" t="str">
        <f>AD138</f>
        <v>2Q25</v>
      </c>
      <c r="AE271" s="70" t="str">
        <f>AE138</f>
        <v>3Q25</v>
      </c>
      <c r="AF271" s="70" t="str">
        <f>AF138</f>
        <v>4Q25</v>
      </c>
      <c r="AG271" s="70">
        <f>AG138</f>
        <v>2025</v>
      </c>
      <c r="AH271" s="70" t="str">
        <f>AH138</f>
        <v>1Q26</v>
      </c>
      <c r="AI271" s="70" t="str">
        <f>AI138</f>
        <v>2Q26</v>
      </c>
      <c r="AJ271" s="70" t="str">
        <f>AJ138</f>
        <v>3Q26</v>
      </c>
      <c r="AK271" s="70" t="str">
        <f>AK138</f>
        <v>4Q26</v>
      </c>
      <c r="AL271" s="70">
        <f>AL138</f>
        <v>2026</v>
      </c>
      <c r="AM271" s="70" t="str">
        <f>AM138</f>
        <v>1Q27</v>
      </c>
      <c r="AN271" s="70" t="str">
        <f>AN138</f>
        <v>2Q27</v>
      </c>
      <c r="AO271" s="70" t="str">
        <f>AO138</f>
        <v>3Q27</v>
      </c>
      <c r="AP271" s="70" t="str">
        <f>AP138</f>
        <v>4Q27</v>
      </c>
      <c r="AQ271" s="70">
        <f>AQ138</f>
        <v>2027</v>
      </c>
      <c r="AR271" s="70" t="str">
        <f>AR138</f>
        <v>1Q28</v>
      </c>
      <c r="AS271" s="70" t="str">
        <f>AS138</f>
        <v>2Q28</v>
      </c>
      <c r="AT271" s="70" t="str">
        <f>AT138</f>
        <v>3Q28</v>
      </c>
      <c r="AU271" s="70" t="str">
        <f>AU138</f>
        <v>4Q28</v>
      </c>
      <c r="AV271" s="70">
        <f>AV138</f>
        <v>2028</v>
      </c>
      <c r="AW271" s="70" t="str">
        <f>AW138</f>
        <v>1Q29</v>
      </c>
      <c r="AX271" s="70" t="str">
        <f>AX138</f>
        <v>2Q29</v>
      </c>
      <c r="AY271" s="70" t="str">
        <f>AY138</f>
        <v>3Q29</v>
      </c>
      <c r="AZ271" s="70" t="str">
        <f>AZ138</f>
        <v>4Q29</v>
      </c>
      <c r="BA271" s="70">
        <f>BA138</f>
        <v>2029</v>
      </c>
      <c r="BB271" s="70" t="str">
        <f>BB138</f>
        <v>1Q30</v>
      </c>
      <c r="BC271" s="70" t="str">
        <f>BC138</f>
        <v>2Q30</v>
      </c>
      <c r="BD271" s="70" t="str">
        <f>BD138</f>
        <v>3Q30</v>
      </c>
      <c r="BE271" s="70" t="str">
        <f>BE138</f>
        <v>4Q30</v>
      </c>
      <c r="BF271" s="70">
        <f>BF138</f>
        <v>2030</v>
      </c>
      <c r="BG271" s="70" t="n"/>
      <c r="BH271" s="70" t="n"/>
      <c r="BI271" s="70" t="n"/>
      <c r="BJ271" s="70" t="n"/>
      <c r="BK271" s="70" t="n"/>
      <c r="BL271" s="70" t="n"/>
      <c r="BM271" s="70" t="n"/>
      <c r="BN271" s="70" t="n"/>
      <c r="BO271" s="70" t="n"/>
      <c r="BP271" s="70" t="n"/>
      <c r="BQ271" s="70" t="n"/>
      <c r="BR271" s="70" t="n"/>
      <c r="BS271" s="70" t="n"/>
      <c r="BT271" s="70" t="n"/>
      <c r="BU271" s="70" t="n"/>
      <c r="BV271" s="70" t="n"/>
      <c r="BW271" s="70" t="n"/>
      <c r="BX271" s="70" t="n"/>
      <c r="BY271" s="70" t="n"/>
      <c r="BZ271" s="70" t="n"/>
      <c r="CA271" s="70" t="n"/>
      <c r="CB271" s="70" t="n"/>
      <c r="CC271" s="70" t="n"/>
      <c r="CD271" s="70" t="n"/>
      <c r="CE271" s="70" t="n"/>
      <c r="CF271" s="70" t="n"/>
      <c r="CG271" s="70" t="n"/>
      <c r="CH271" s="70" t="n"/>
      <c r="CI271" s="70" t="n"/>
      <c r="CJ271" s="70" t="n"/>
      <c r="CK271" s="70" t="n"/>
      <c r="CL271" s="70" t="n"/>
      <c r="CM271" s="70" t="n"/>
      <c r="CN271" s="70" t="n"/>
      <c r="CO271" s="70" t="n"/>
      <c r="CP271" s="70" t="n"/>
      <c r="CQ271" s="70" t="n"/>
      <c r="CR271" s="70" t="n"/>
      <c r="CS271" s="70" t="n"/>
      <c r="CT271" s="70" t="n"/>
      <c r="CU271" s="70" t="n"/>
      <c r="CV271" s="70" t="n"/>
      <c r="CW271" s="70" t="n"/>
      <c r="CX271" s="70" t="n"/>
      <c r="CY271" s="70" t="n"/>
    </row>
    <row r="272">
      <c r="C272" s="18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>
      <c r="C273" s="10" t="inlineStr">
        <is>
          <t>Net Income</t>
        </is>
      </c>
      <c r="D273" s="12" t="n"/>
      <c r="E273" s="12" t="n"/>
      <c r="F273" s="12" t="n"/>
      <c r="G273" s="12" t="n"/>
      <c r="H273" s="12" t="n"/>
      <c r="I273" s="12" t="n"/>
      <c r="J273" s="12">
        <f>J133</f>
        <v>1735</v>
      </c>
      <c r="K273" s="12">
        <f>K133</f>
        <v>2720</v>
      </c>
      <c r="L273" s="12">
        <f>L133</f>
        <v>2306</v>
      </c>
      <c r="M273" s="12" t="n"/>
      <c r="N273" s="12">
        <f>N133</f>
        <v>2263</v>
      </c>
      <c r="O273" s="12">
        <f>O133</f>
        <v>2626</v>
      </c>
      <c r="P273" s="12">
        <f>P133</f>
        <v>1492</v>
      </c>
      <c r="Q273" s="12">
        <f>Q133</f>
        <v>-195</v>
      </c>
      <c r="R273" s="12">
        <f>SUM(N273:Q273)</f>
        <v>6186</v>
      </c>
      <c r="S273" s="12">
        <f>S133</f>
        <v>-2312</v>
      </c>
      <c r="T273" s="12">
        <f>T133</f>
        <v>-1896</v>
      </c>
      <c r="U273" s="12">
        <f>U133</f>
        <v>-1430</v>
      </c>
      <c r="V273" s="12">
        <f>V133</f>
        <v>-1234</v>
      </c>
      <c r="W273" s="12">
        <f>SUM(S273:V273)</f>
        <v>-6872</v>
      </c>
      <c r="X273" s="12">
        <f>X133</f>
        <v>793</v>
      </c>
      <c r="Y273" s="12">
        <f>Y133</f>
        <v>332</v>
      </c>
      <c r="Z273" s="12">
        <f>Z133</f>
        <v>887</v>
      </c>
      <c r="AA273" s="12">
        <f>AA133</f>
        <v>1870</v>
      </c>
      <c r="AB273" s="12">
        <f>SUM(X273:AA273)</f>
        <v>3882</v>
      </c>
      <c r="AC273" s="12">
        <f>AC133</f>
        <v>1583</v>
      </c>
      <c r="AD273" s="12">
        <f>AD133</f>
        <v>1885</v>
      </c>
      <c r="AE273" s="12">
        <f>AE133</f>
        <v>3201</v>
      </c>
      <c r="AF273" s="12">
        <f>AF133</f>
        <v>5240</v>
      </c>
      <c r="AG273" s="12">
        <f>SUM(AC273:AF273)</f>
        <v>11909</v>
      </c>
      <c r="AH273" s="12">
        <f>AH133</f>
        <v>13785</v>
      </c>
      <c r="AI273" s="12">
        <f>AI133</f>
        <v>28243</v>
      </c>
      <c r="AJ273" s="12">
        <f>AJ133</f>
        <v>9837.80673946118</v>
      </c>
      <c r="AK273" s="12">
        <f>AK133</f>
        <v>11861.8822224011</v>
      </c>
      <c r="AL273" s="12">
        <f>SUM(AH273:AK273)</f>
        <v>63727.6889618623</v>
      </c>
      <c r="AM273" s="12">
        <f>AM133</f>
        <v>20745.0348036716</v>
      </c>
      <c r="AN273" s="12">
        <f>AN133</f>
        <v>36043.8458852057</v>
      </c>
      <c r="AO273" s="12">
        <f>AO133</f>
        <v>21634.7769736489</v>
      </c>
      <c r="AP273" s="12">
        <f>AP133</f>
        <v>26086.0152232869</v>
      </c>
      <c r="AQ273" s="12">
        <f>SUM(AM273:AP273)</f>
        <v>104509.672885813</v>
      </c>
      <c r="AR273" s="12">
        <f>AR133</f>
        <v>45517.6427969284</v>
      </c>
      <c r="AS273" s="12">
        <f>AS133</f>
        <v>79085.4735871527</v>
      </c>
      <c r="AT273" s="12">
        <f>AT133</f>
        <v>47469.8673488594</v>
      </c>
      <c r="AU273" s="12">
        <f>AU133</f>
        <v>57236.5355935032</v>
      </c>
      <c r="AV273" s="12">
        <f>SUM(AR273:AU273)</f>
        <v>229309.519326444</v>
      </c>
      <c r="AW273" s="12">
        <f>AW133</f>
        <v>99644.7824711722</v>
      </c>
      <c r="AX273" s="12">
        <f>AX133</f>
        <v>173129.677373215</v>
      </c>
      <c r="AY273" s="12">
        <f>AY133</f>
        <v>103918.487761227</v>
      </c>
      <c r="AZ273" s="12">
        <f>AZ133</f>
        <v>125299.154089829</v>
      </c>
      <c r="BA273" s="12">
        <f>SUM(AW273:AZ273)</f>
        <v>501992.101695443</v>
      </c>
      <c r="BB273" s="12">
        <f>BB133</f>
        <v>217638.789861065</v>
      </c>
      <c r="BC273" s="12">
        <f>BC133</f>
        <v>378140.556264892</v>
      </c>
      <c r="BD273" s="12">
        <f>BD133</f>
        <v>226973.187754095</v>
      </c>
      <c r="BE273" s="12">
        <f>BE133</f>
        <v>273671.692490421</v>
      </c>
      <c r="BF273" s="12">
        <f>SUM(BB273:BE273)</f>
        <v>1096424.22637047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>
      <c r="C274" s="10" t="inlineStr">
        <is>
          <t>Depreciation &amp; amortization</t>
        </is>
      </c>
      <c r="D274" s="12" t="n"/>
      <c r="E274" s="12" t="n"/>
      <c r="F274" s="12" t="n"/>
      <c r="G274" s="12" t="n"/>
      <c r="H274" s="12" t="n"/>
      <c r="I274" s="12" t="n"/>
      <c r="J274" s="12">
        <f>-J66</f>
        <v>1557</v>
      </c>
      <c r="K274" s="12">
        <f>-K66</f>
        <v>1621</v>
      </c>
      <c r="L274" s="12">
        <f>-L66</f>
        <v>1671</v>
      </c>
      <c r="M274" s="12" t="n"/>
      <c r="N274" s="12">
        <f>-N66</f>
        <v>1742</v>
      </c>
      <c r="O274" s="12">
        <f>-O66</f>
        <v>1821</v>
      </c>
      <c r="P274" s="12">
        <f>-P66</f>
        <v>1882</v>
      </c>
      <c r="Q274" s="12">
        <f>-Q66</f>
        <v>1921</v>
      </c>
      <c r="R274" s="12">
        <f>SUM(N274:Q274)</f>
        <v>7366</v>
      </c>
      <c r="S274" s="12">
        <f>-S66</f>
        <v>1942</v>
      </c>
      <c r="T274" s="12">
        <f>-T66</f>
        <v>1956</v>
      </c>
      <c r="U274" s="12">
        <f>-U66</f>
        <v>1937</v>
      </c>
      <c r="V274" s="12">
        <f>-V66</f>
        <v>1915</v>
      </c>
      <c r="W274" s="12">
        <f>SUM(S274:V274)</f>
        <v>7750</v>
      </c>
      <c r="X274" s="12">
        <f>-X66</f>
        <v>1924</v>
      </c>
      <c r="Y274" s="12">
        <f>-Y66</f>
        <v>1955</v>
      </c>
      <c r="Z274" s="12">
        <f>-Z66</f>
        <v>1986</v>
      </c>
      <c r="AA274" s="12">
        <f>-AA66</f>
        <v>2030</v>
      </c>
      <c r="AB274" s="12">
        <f>SUM(X274:AA274)</f>
        <v>7895</v>
      </c>
      <c r="AC274" s="12">
        <f>-AC66</f>
        <v>2079</v>
      </c>
      <c r="AD274" s="12">
        <f>-AD66</f>
        <v>2094</v>
      </c>
      <c r="AE274" s="12">
        <f>-AE66</f>
        <v>2149</v>
      </c>
      <c r="AF274" s="12">
        <f>-AF66</f>
        <v>2212</v>
      </c>
      <c r="AG274" s="12">
        <f>SUM(AC274:AF274)</f>
        <v>8534</v>
      </c>
      <c r="AH274" s="12">
        <f>-AH66</f>
        <v>2286</v>
      </c>
      <c r="AI274" s="12">
        <f>-AI66</f>
        <v>2364</v>
      </c>
      <c r="AJ274" s="12">
        <f>-AJ66</f>
        <v>4098.26243435899</v>
      </c>
      <c r="AK274" s="12">
        <f>-AK66</f>
        <v>4941.45774564381</v>
      </c>
      <c r="AL274" s="12">
        <f>SUM(AH274:AK274)</f>
        <v>13689.7201800028</v>
      </c>
      <c r="AM274" s="12">
        <f>-AM66</f>
        <v>8642.02754607207</v>
      </c>
      <c r="AN274" s="12">
        <f>-AN66</f>
        <v>15015.2512133262</v>
      </c>
      <c r="AO274" s="12">
        <f>-AO66</f>
        <v>9012.67895324566</v>
      </c>
      <c r="AP274" s="12">
        <f>-AP66</f>
        <v>10866.9888607274</v>
      </c>
      <c r="AQ274" s="12">
        <f>SUM(AM274:AP274)</f>
        <v>43536.9465733714</v>
      </c>
      <c r="AR274" s="12">
        <f>-AR66</f>
        <v>18961.8733642088</v>
      </c>
      <c r="AS274" s="12">
        <f>-AS66</f>
        <v>32945.6589348969</v>
      </c>
      <c r="AT274" s="12">
        <f>-AT66</f>
        <v>19775.1368035606</v>
      </c>
      <c r="AU274" s="12">
        <f>-AU66</f>
        <v>23843.7641547483</v>
      </c>
      <c r="AV274" s="12">
        <f>SUM(AR274:AU274)</f>
        <v>95526.4332574145</v>
      </c>
      <c r="AW274" s="12">
        <f>-AW66</f>
        <v>41510.3162317097</v>
      </c>
      <c r="AX274" s="12">
        <f>-AX66</f>
        <v>72122.8696438288</v>
      </c>
      <c r="AY274" s="12">
        <f>-AY66</f>
        <v>43290.6689373079</v>
      </c>
      <c r="AZ274" s="12">
        <f>-AZ66</f>
        <v>52197.4897314796</v>
      </c>
      <c r="BA274" s="12">
        <f>SUM(AW274:AZ274)</f>
        <v>209121.344544326</v>
      </c>
      <c r="BB274" s="12">
        <f>-BB66</f>
        <v>90664.6064888855</v>
      </c>
      <c r="BC274" s="12">
        <f>-BC66</f>
        <v>157526.903881108</v>
      </c>
      <c r="BD274" s="12">
        <f>-BD66</f>
        <v>94553.1573870158</v>
      </c>
      <c r="BE274" s="12">
        <f>-BE66</f>
        <v>114006.957687234</v>
      </c>
      <c r="BF274" s="12">
        <f>SUM(BB274:BE274)</f>
        <v>456751.625444244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>
      <c r="C275" s="10" t="inlineStr">
        <is>
          <t xml:space="preserve">Changes in working capital </t>
        </is>
      </c>
      <c r="D275" s="12" t="n"/>
      <c r="E275" s="12" t="n"/>
      <c r="F275" s="12" t="n"/>
      <c r="G275" s="12" t="n"/>
      <c r="H275" s="12" t="n"/>
      <c r="I275" s="12" t="n"/>
      <c r="J275" s="12">
        <f>SUM(J276:J285)</f>
        <v>-158</v>
      </c>
      <c r="K275" s="12">
        <f>SUM(K276:K285)</f>
        <v>82</v>
      </c>
      <c r="L275" s="12">
        <f>SUM(L276:L285)</f>
        <v>824</v>
      </c>
      <c r="M275" s="12" t="n"/>
      <c r="N275" s="12">
        <f>SUM(N276:N285)</f>
        <v>-384</v>
      </c>
      <c r="O275" s="12">
        <f>SUM(O276:O285)</f>
        <v>-914</v>
      </c>
      <c r="P275" s="12">
        <f>SUM(P276:P285)</f>
        <v>545</v>
      </c>
      <c r="Q275" s="12">
        <f>SUM(Q276:Q285)</f>
        <v>-942</v>
      </c>
      <c r="R275" s="12">
        <f>SUM(N275:Q275)</f>
        <v>-1695</v>
      </c>
      <c r="S275" s="12">
        <f>SUM(S276:S285)</f>
        <v>-101</v>
      </c>
      <c r="T275" s="12">
        <f>SUM(T276:T285)</f>
        <v>-486</v>
      </c>
      <c r="U275" s="12">
        <f>SUM(U276:U285)</f>
        <v>-674</v>
      </c>
      <c r="V275" s="12">
        <f>SUM(V276:V285)</f>
        <v>182</v>
      </c>
      <c r="W275" s="12">
        <f>SUM(S275:V275)</f>
        <v>-1079</v>
      </c>
      <c r="X275" s="12">
        <f>SUM(X276:X285)</f>
        <v>-1441</v>
      </c>
      <c r="Y275" s="12">
        <f>SUM(Y276:Y285)</f>
        <v>83</v>
      </c>
      <c r="Z275" s="12">
        <f>SUM(Z276:Z285)</f>
        <v>1126</v>
      </c>
      <c r="AA275" s="12">
        <f>SUM(AA276:AA285)</f>
        <v>-928</v>
      </c>
      <c r="AB275" s="12">
        <f>SUM(X275:AA275)</f>
        <v>-1160</v>
      </c>
      <c r="AC275" s="12">
        <f>SUM(AC276:AC285)</f>
        <v>-756</v>
      </c>
      <c r="AD275" s="12">
        <f>SUM(AD276:AD285)</f>
        <v>1659</v>
      </c>
      <c r="AE275" s="12">
        <f>SUM(AE276:AE285)</f>
        <v>-262</v>
      </c>
      <c r="AF275" s="12">
        <f>SUM(AF276:AF285)</f>
        <v>-241</v>
      </c>
      <c r="AG275" s="12">
        <f>SUM(AC275:AF275)</f>
        <v>400</v>
      </c>
      <c r="AH275" s="12">
        <f>SUM(AH276:AH285)</f>
        <v>-5296</v>
      </c>
      <c r="AI275" s="12">
        <f>SUM(AI276:AI285)</f>
        <v>-8716</v>
      </c>
      <c r="AJ275" s="12">
        <f>SUM(AJ276:AJ285)</f>
        <v>7665.5920889918</v>
      </c>
      <c r="AK275" s="12">
        <f>SUM(AK276:AK285)</f>
        <v>-3375.32387245489</v>
      </c>
      <c r="AL275" s="12">
        <f>SUM(AH275:AK275)</f>
        <v>-9721.73178346309</v>
      </c>
      <c r="AM275" s="12">
        <f>SUM(AM276:AM285)</f>
        <v>-15582.1974781978</v>
      </c>
      <c r="AN275" s="12">
        <f>SUM(AN276:AN285)</f>
        <v>-25403.8621831348</v>
      </c>
      <c r="AO275" s="12">
        <f>SUM(AO276:AO285)</f>
        <v>24688.8981992696</v>
      </c>
      <c r="AP275" s="12">
        <f>SUM(AP276:AP285)</f>
        <v>-7422.83123955676</v>
      </c>
      <c r="AQ275" s="12">
        <f>SUM(AM275:AP275)</f>
        <v>-23719.9927016197</v>
      </c>
      <c r="AR275" s="12">
        <f>SUM(AR276:AR285)</f>
        <v>-33238.065146546</v>
      </c>
      <c r="AS275" s="12">
        <f>SUM(AS276:AS285)</f>
        <v>-56592.4451952281</v>
      </c>
      <c r="AT275" s="12">
        <f>SUM(AT276:AT285)</f>
        <v>54171.0563476707</v>
      </c>
      <c r="AU275" s="12">
        <f>SUM(AU276:AU285)</f>
        <v>-16286.778214719</v>
      </c>
      <c r="AV275" s="12">
        <f>SUM(AR275:AU275)</f>
        <v>-51946.2322088224</v>
      </c>
      <c r="AW275" s="12">
        <f>SUM(AW276:AW285)</f>
        <v>-74412.0687148155</v>
      </c>
      <c r="AX275" s="12">
        <f>SUM(AX276:AX285)</f>
        <v>-122022.5632361</v>
      </c>
      <c r="AY275" s="12">
        <f>SUM(AY276:AY285)</f>
        <v>118588.371328436</v>
      </c>
      <c r="AZ275" s="12">
        <f>SUM(AZ276:AZ285)</f>
        <v>-35654.141397485</v>
      </c>
      <c r="BA275" s="12">
        <f>SUM(AW275:AZ275)</f>
        <v>-113500.402019964</v>
      </c>
      <c r="BB275" s="12">
        <f>SUM(BB276:BB285)</f>
        <v>-162049.614937299</v>
      </c>
      <c r="BC275" s="12">
        <f>SUM(BC276:BC285)</f>
        <v>-266515.138473338</v>
      </c>
      <c r="BD275" s="12">
        <f>SUM(BD276:BD285)</f>
        <v>259014.360686494</v>
      </c>
      <c r="BE275" s="12">
        <f>SUM(BE276:BE285)</f>
        <v>-77873.8634863183</v>
      </c>
      <c r="BF275" s="12">
        <f>SUM(BB275:BE275)</f>
        <v>-247424.256210461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Accounts receivable</t>
        </is>
      </c>
      <c r="D276" s="12" t="n"/>
      <c r="E276" s="12" t="n"/>
      <c r="F276" s="12" t="n"/>
      <c r="G276" s="12" t="n"/>
      <c r="H276" s="12" t="n"/>
      <c r="I276" s="12" t="n"/>
      <c r="J276" s="12">
        <f>(J141-I141)*-1</f>
        <v>-878</v>
      </c>
      <c r="K276" s="12">
        <f>(K141-J141)*-1</f>
        <v>-1080</v>
      </c>
      <c r="L276" s="12">
        <f>(L141-K141)*-1</f>
        <v>61</v>
      </c>
      <c r="M276" s="12" t="n"/>
      <c r="N276" s="12">
        <f>(N141-M141)*-1</f>
        <v>-134</v>
      </c>
      <c r="O276" s="12">
        <f>(O141-N141)*-1</f>
        <v>-845</v>
      </c>
      <c r="P276" s="12">
        <f>(P141-O141)*-1</f>
        <v>1099</v>
      </c>
      <c r="Q276" s="12">
        <f>(Q141-P141)*-1</f>
        <v>1812</v>
      </c>
      <c r="R276" s="12">
        <f>SUM(N276:Q276)</f>
        <v>1932</v>
      </c>
      <c r="S276" s="12">
        <f>(S141-R141)*-1</f>
        <v>1040</v>
      </c>
      <c r="T276" s="12">
        <f>(T141-S141)*-1</f>
        <v>-151</v>
      </c>
      <c r="U276" s="12">
        <f>(U141-T141)*-1</f>
        <v>-14</v>
      </c>
      <c r="V276" s="12">
        <f>(V141-U141)*-1</f>
        <v>-500</v>
      </c>
      <c r="W276" s="12">
        <f>SUM(S276:V276)</f>
        <v>375</v>
      </c>
      <c r="X276" s="12">
        <f>(X141-W141)*-1</f>
        <v>-1353</v>
      </c>
      <c r="Y276" s="12">
        <f>(Y141-X141)*-1</f>
        <v>-835</v>
      </c>
      <c r="Z276" s="12">
        <f>(Z141-Y141)*-1</f>
        <v>-1484</v>
      </c>
      <c r="AA276" s="12">
        <f>(AA141-Z141)*-1</f>
        <v>-808</v>
      </c>
      <c r="AB276" s="12">
        <f>SUM(X276:AA276)</f>
        <v>-4480</v>
      </c>
      <c r="AC276" s="12">
        <f>(AC141-AB141)*-1</f>
        <v>919</v>
      </c>
      <c r="AD276" s="12">
        <f>(AD141-AC141)*-1</f>
        <v>-932</v>
      </c>
      <c r="AE276" s="12">
        <f>(AE141-AD141)*-1</f>
        <v>-1829</v>
      </c>
      <c r="AF276" s="12">
        <f>(AF141-AE141)*-1</f>
        <v>-919</v>
      </c>
      <c r="AG276" s="12">
        <f>SUM(AC276:AF276)</f>
        <v>-2761</v>
      </c>
      <c r="AH276" s="12">
        <f>(AH141-AG141)*-1</f>
        <v>-7130</v>
      </c>
      <c r="AI276" s="12">
        <f>(AI141-AH141)*-1</f>
        <v>-13711</v>
      </c>
      <c r="AJ276" s="12">
        <f>(AJ141-AI141)*-1</f>
        <v>11963.1271853525</v>
      </c>
      <c r="AK276" s="12">
        <f>(AK141-AJ141)*-1</f>
        <v>-3921.87714648691</v>
      </c>
      <c r="AL276" s="12">
        <f>SUM(AH276:AK276)</f>
        <v>-12799.7499611344</v>
      </c>
      <c r="AM276" s="12">
        <f>(AM141-AL141)*-1</f>
        <v>-18105.363067676</v>
      </c>
      <c r="AN276" s="12">
        <f>(AN141-AM141)*-1</f>
        <v>-29517.412341257</v>
      </c>
      <c r="AO276" s="12">
        <f>(AO141-AN141)*-1</f>
        <v>28686.6769763444</v>
      </c>
      <c r="AP276" s="12">
        <f>(AP141-AO141)*-1</f>
        <v>-8624.78188781151</v>
      </c>
      <c r="AQ276" s="12">
        <f>SUM(AM276:AP276)</f>
        <v>-27560.8803204001</v>
      </c>
      <c r="AR276" s="12">
        <f>(AR141-AQ141)*-1</f>
        <v>-38620.1778014486</v>
      </c>
      <c r="AS276" s="12">
        <f>(AS141-AR141)*-1</f>
        <v>-65756.2432115747</v>
      </c>
      <c r="AT276" s="12">
        <f>(AT141-AS141)*-1</f>
        <v>62942.7681369334</v>
      </c>
      <c r="AU276" s="12">
        <f>(AU141-AT141)*-1</f>
        <v>-18924.033865749</v>
      </c>
      <c r="AV276" s="12">
        <f>SUM(AR276:AU276)</f>
        <v>-60357.6867418389</v>
      </c>
      <c r="AW276" s="12">
        <f>(AW141-AV141)*-1</f>
        <v>-86461.3301547254</v>
      </c>
      <c r="AX276" s="12">
        <f>(AX141-AW141)*-1</f>
        <v>-141781.209802352</v>
      </c>
      <c r="AY276" s="12">
        <f>(AY141-AX141)*-1</f>
        <v>137790.93234506</v>
      </c>
      <c r="AZ276" s="12">
        <f>(AZ141-AY141)*-1</f>
        <v>-41427.4800310376</v>
      </c>
      <c r="BA276" s="12">
        <f>SUM(AW276:AZ276)</f>
        <v>-131879.087643055</v>
      </c>
      <c r="BB276" s="12">
        <f>(BB141-BA141)*-1</f>
        <v>-188289.68876322</v>
      </c>
      <c r="BC276" s="12">
        <f>(BC141-BB141)*-1</f>
        <v>-309670.914634681</v>
      </c>
      <c r="BD276" s="12">
        <f>(BD141-BC141)*-1</f>
        <v>300955.564613557</v>
      </c>
      <c r="BE276" s="12">
        <f>(BE141-BD141)*-1</f>
        <v>-90483.6801019351</v>
      </c>
      <c r="BF276" s="12">
        <f>SUM(BB276:BE276)</f>
        <v>-287488.718886278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Inventories</t>
        </is>
      </c>
      <c r="D277" s="12" t="n"/>
      <c r="E277" s="12" t="n"/>
      <c r="F277" s="12" t="n"/>
      <c r="G277" s="12" t="n"/>
      <c r="H277" s="12" t="n"/>
      <c r="I277" s="12" t="n"/>
      <c r="J277" s="12">
        <f>(J145-I145)*-1</f>
        <v>206</v>
      </c>
      <c r="K277" s="12">
        <f>(K145-J145)*-1</f>
        <v>50</v>
      </c>
      <c r="L277" s="12">
        <f>(L145-K145)*-1</f>
        <v>-340</v>
      </c>
      <c r="M277" s="12" t="n"/>
      <c r="N277" s="12">
        <f>(N145-M145)*-1</f>
        <v>-556</v>
      </c>
      <c r="O277" s="12">
        <f>(O145-N145)*-1</f>
        <v>-246</v>
      </c>
      <c r="P277" s="12">
        <f>(P145-O145)*-1</f>
        <v>-1034</v>
      </c>
      <c r="Q277" s="12">
        <f>(Q145-P145)*-1</f>
        <v>-1696</v>
      </c>
      <c r="R277" s="12">
        <f>SUM(N277:Q277)</f>
        <v>-3532</v>
      </c>
      <c r="S277" s="12">
        <f>(S145-R145)*-1</f>
        <v>230</v>
      </c>
      <c r="T277" s="12">
        <f>(T145-S145)*-1</f>
        <v>-109</v>
      </c>
      <c r="U277" s="12">
        <f>(U145-T145)*-1</f>
        <v>-149</v>
      </c>
      <c r="V277" s="12">
        <f>(V145-U145)*-1</f>
        <v>111</v>
      </c>
      <c r="W277" s="12">
        <f>SUM(S277:V277)</f>
        <v>83</v>
      </c>
      <c r="X277" s="12">
        <f>(X145-W145)*-1</f>
        <v>-167</v>
      </c>
      <c r="Y277" s="12">
        <f>(Y145-X145)*-1</f>
        <v>-69</v>
      </c>
      <c r="Z277" s="12">
        <f>(Z145-Y145)*-1</f>
        <v>-363</v>
      </c>
      <c r="AA277" s="12">
        <f>(AA145-Z145)*-1</f>
        <v>170</v>
      </c>
      <c r="AB277" s="12">
        <f>SUM(X277:AA277)</f>
        <v>-429</v>
      </c>
      <c r="AC277" s="12">
        <f>(AC145-AB145)*-1</f>
        <v>-302</v>
      </c>
      <c r="AD277" s="12">
        <f>(AD145-AC145)*-1</f>
        <v>280</v>
      </c>
      <c r="AE277" s="12">
        <f>(AE145-AD145)*-1</f>
        <v>372</v>
      </c>
      <c r="AF277" s="12">
        <f>(AF145-AE145)*-1</f>
        <v>150</v>
      </c>
      <c r="AG277" s="12">
        <f>SUM(AC277:AF277)</f>
        <v>500</v>
      </c>
      <c r="AH277" s="12">
        <f>(AH145-AG145)*-1</f>
        <v>-62</v>
      </c>
      <c r="AI277" s="12">
        <f>(AI145-AH145)*-1</f>
        <v>-300</v>
      </c>
      <c r="AJ277" s="12">
        <f>(AJ145-AI145)*-1</f>
        <v>-7182.96333136032</v>
      </c>
      <c r="AK277" s="12">
        <f>(AK145-AJ145)*-1</f>
        <v>-3240.4696982242</v>
      </c>
      <c r="AL277" s="12">
        <f>SUM(AH277:AK277)</f>
        <v>-10785.4330295845</v>
      </c>
      <c r="AM277" s="12">
        <f>(AM145-AL145)*-1</f>
        <v>-14959.6425907186</v>
      </c>
      <c r="AN277" s="12">
        <f>(AN145-AM145)*-1</f>
        <v>-24388.9027343738</v>
      </c>
      <c r="AO277" s="12">
        <f>(AO145-AN145)*-1</f>
        <v>23702.5036768066</v>
      </c>
      <c r="AP277" s="12">
        <f>(AP145-AO145)*-1</f>
        <v>-7126.26717190295</v>
      </c>
      <c r="AQ277" s="12">
        <f>SUM(AM277:AP277)</f>
        <v>-22772.3088201887</v>
      </c>
      <c r="AR277" s="12">
        <f>(AR145-AQ145)*-1</f>
        <v>-31910.106112765</v>
      </c>
      <c r="AS277" s="12">
        <f>(AS145-AR145)*-1</f>
        <v>-54331.4095871258</v>
      </c>
      <c r="AT277" s="12">
        <f>(AT145-AS145)*-1</f>
        <v>52006.7623874421</v>
      </c>
      <c r="AU277" s="12">
        <f>(AU145-AT145)*-1</f>
        <v>-15636.0732423908</v>
      </c>
      <c r="AV277" s="12">
        <f>SUM(AR277:AU277)</f>
        <v>-49870.8265548394</v>
      </c>
      <c r="AW277" s="12">
        <f>(AW145-AV145)*-1</f>
        <v>-71439.0864297006</v>
      </c>
      <c r="AX277" s="12">
        <f>(AX145-AW145)*-1</f>
        <v>-117147.400844425</v>
      </c>
      <c r="AY277" s="12">
        <f>(AY145-AX145)*-1</f>
        <v>113850.415063153</v>
      </c>
      <c r="AZ277" s="12">
        <f>(AZ145-AY145)*-1</f>
        <v>-34229.6529697819</v>
      </c>
      <c r="BA277" s="12">
        <f>SUM(AW277:AZ277)</f>
        <v>-108965.725180754</v>
      </c>
      <c r="BB277" s="12">
        <f>(BB145-BA145)*-1</f>
        <v>-155575.253414511</v>
      </c>
      <c r="BC277" s="12">
        <f>(BC145-BB145)*-1</f>
        <v>-255867.070235471</v>
      </c>
      <c r="BD277" s="12">
        <f>(BD145-BC145)*-1</f>
        <v>248665.970711442</v>
      </c>
      <c r="BE277" s="12">
        <f>(BE145-BD145)*-1</f>
        <v>-74762.572258741</v>
      </c>
      <c r="BF277" s="12">
        <f>SUM(BB277:BE277)</f>
        <v>-237538.925197281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Deferred income taxes</t>
        </is>
      </c>
      <c r="D278" s="12" t="n"/>
      <c r="E278" s="12" t="n"/>
      <c r="F278" s="12" t="n"/>
      <c r="G278" s="12" t="n"/>
      <c r="H278" s="12" t="n"/>
      <c r="I278" s="12" t="n"/>
      <c r="J278" s="12">
        <f>(J149-I149)*-1</f>
        <v>-96</v>
      </c>
      <c r="K278" s="12">
        <f>(K149-J149)*-1</f>
        <v>40</v>
      </c>
      <c r="L278" s="12">
        <f>(L149-K149)*-1</f>
        <v>36</v>
      </c>
      <c r="M278" s="12" t="n"/>
      <c r="N278" s="12">
        <f>(N149-M149)*-1</f>
        <v>-16</v>
      </c>
      <c r="O278" s="12">
        <f>(O149-N149)*-1</f>
        <v>80</v>
      </c>
      <c r="P278" s="12">
        <f>(P149-O149)*-1</f>
        <v>-20</v>
      </c>
      <c r="Q278" s="12">
        <f>(Q149-P149)*-1</f>
        <v>30</v>
      </c>
      <c r="R278" s="12">
        <f>SUM(N278:Q278)</f>
        <v>74</v>
      </c>
      <c r="S278" s="12">
        <f>(S149-R149)*-1</f>
        <v>-25</v>
      </c>
      <c r="T278" s="12">
        <f>(T149-S149)*-1</f>
        <v>-11</v>
      </c>
      <c r="U278" s="12">
        <f>(U149-T149)*-1</f>
        <v>-48</v>
      </c>
      <c r="V278" s="12">
        <f>(V149-U149)*-1</f>
        <v>-25</v>
      </c>
      <c r="W278" s="12">
        <f>SUM(S278:V278)</f>
        <v>-109</v>
      </c>
      <c r="X278" s="12">
        <f>(X149-W149)*-1</f>
        <v>117</v>
      </c>
      <c r="Y278" s="12">
        <f>(Y149-X149)*-1</f>
        <v>67</v>
      </c>
      <c r="Z278" s="12">
        <f>(Z149-Y149)*-1</f>
        <v>77</v>
      </c>
      <c r="AA278" s="12">
        <f>(AA149-Z149)*-1</f>
        <v>46</v>
      </c>
      <c r="AB278" s="12">
        <f>SUM(X278:AA278)</f>
        <v>307</v>
      </c>
      <c r="AC278" s="12">
        <f>(AC149-AB149)*-1</f>
        <v>-78</v>
      </c>
      <c r="AD278" s="12">
        <f>(AD149-AC149)*-1</f>
        <v>69</v>
      </c>
      <c r="AE278" s="12">
        <f>(AE149-AD149)*-1</f>
        <v>-133</v>
      </c>
      <c r="AF278" s="12">
        <f>(AF149-AE149)*-1</f>
        <v>-25</v>
      </c>
      <c r="AG278" s="12">
        <f>SUM(AC278:AF278)</f>
        <v>-167</v>
      </c>
      <c r="AH278" s="12">
        <f>(AH149-AG149)*-1</f>
        <v>-39</v>
      </c>
      <c r="AI278" s="12">
        <f>(AI149-AH149)*-1</f>
        <v>-20</v>
      </c>
      <c r="AJ278" s="12">
        <f>(AJ149-AI149)*-1</f>
        <v>0</v>
      </c>
      <c r="AK278" s="12">
        <f>(AK149-AJ149)*-1</f>
        <v>0</v>
      </c>
      <c r="AL278" s="12">
        <f>SUM(AH278:AK278)</f>
        <v>-59</v>
      </c>
      <c r="AM278" s="12">
        <f>(AM149-AL149)*-1</f>
        <v>0</v>
      </c>
      <c r="AN278" s="12">
        <f>(AN149-AM149)*-1</f>
        <v>0</v>
      </c>
      <c r="AO278" s="12">
        <f>(AO149-AN149)*-1</f>
        <v>0</v>
      </c>
      <c r="AP278" s="12">
        <f>(AP149-AO149)*-1</f>
        <v>0</v>
      </c>
      <c r="AQ278" s="12">
        <f>SUM(AM278:AP278)</f>
        <v>0</v>
      </c>
      <c r="AR278" s="12">
        <f>(AR149-AQ149)*-1</f>
        <v>0</v>
      </c>
      <c r="AS278" s="12">
        <f>(AS149-AR149)*-1</f>
        <v>0</v>
      </c>
      <c r="AT278" s="12">
        <f>(AT149-AS149)*-1</f>
        <v>0</v>
      </c>
      <c r="AU278" s="12">
        <f>(AU149-AT149)*-1</f>
        <v>0</v>
      </c>
      <c r="AV278" s="12">
        <f>SUM(AR278:AU278)</f>
        <v>0</v>
      </c>
      <c r="AW278" s="12">
        <f>(AW149-AV149)*-1</f>
        <v>0</v>
      </c>
      <c r="AX278" s="12">
        <f>(AX149-AW149)*-1</f>
        <v>0</v>
      </c>
      <c r="AY278" s="12">
        <f>(AY149-AX149)*-1</f>
        <v>0</v>
      </c>
      <c r="AZ278" s="12">
        <f>(AZ149-AY149)*-1</f>
        <v>0</v>
      </c>
      <c r="BA278" s="12">
        <f>SUM(AW278:AZ278)</f>
        <v>0</v>
      </c>
      <c r="BB278" s="12">
        <f>(BB149-BA149)*-1</f>
        <v>0</v>
      </c>
      <c r="BC278" s="12">
        <f>(BC149-BB149)*-1</f>
        <v>0</v>
      </c>
      <c r="BD278" s="12">
        <f>(BD149-BC149)*-1</f>
        <v>0</v>
      </c>
      <c r="BE278" s="12">
        <f>(BE149-BD149)*-1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Prepaid expenses</t>
        </is>
      </c>
      <c r="D279" s="12" t="n"/>
      <c r="E279" s="12" t="n"/>
      <c r="F279" s="12" t="n"/>
      <c r="G279" s="12" t="n"/>
      <c r="H279" s="12" t="n"/>
      <c r="I279" s="12" t="n"/>
      <c r="J279" s="12">
        <f>(J150-I150)*-1</f>
        <v>0</v>
      </c>
      <c r="K279" s="12">
        <f>(K150-J150)*-1</f>
        <v>0</v>
      </c>
      <c r="L279" s="12">
        <f>(L150-K150)*-1</f>
        <v>0</v>
      </c>
      <c r="M279" s="12" t="n"/>
      <c r="N279" s="12">
        <f>(N150-M150)*-1</f>
        <v>0</v>
      </c>
      <c r="O279" s="12">
        <f>(O150-N150)*-1</f>
        <v>0</v>
      </c>
      <c r="P279" s="12">
        <f>(P150-O150)*-1</f>
        <v>0</v>
      </c>
      <c r="Q279" s="12">
        <f>(Q150-P150)*-1</f>
        <v>0</v>
      </c>
      <c r="R279" s="12">
        <f>SUM(N279:Q279)</f>
        <v>0</v>
      </c>
      <c r="S279" s="12">
        <f>(S150-R150)*-1</f>
        <v>0</v>
      </c>
      <c r="T279" s="12">
        <f>(T150-S150)*-1</f>
        <v>0</v>
      </c>
      <c r="U279" s="12">
        <f>(U150-T150)*-1</f>
        <v>0</v>
      </c>
      <c r="V279" s="12">
        <f>(V150-U150)*-1</f>
        <v>0</v>
      </c>
      <c r="W279" s="12">
        <f>SUM(S279:V279)</f>
        <v>0</v>
      </c>
      <c r="X279" s="12">
        <f>(X150-W150)*-1</f>
        <v>0</v>
      </c>
      <c r="Y279" s="12">
        <f>(Y150-X150)*-1</f>
        <v>0</v>
      </c>
      <c r="Z279" s="12">
        <f>(Z150-Y150)*-1</f>
        <v>0</v>
      </c>
      <c r="AA279" s="12">
        <f>(AA150-Z150)*-1</f>
        <v>0</v>
      </c>
      <c r="AB279" s="12">
        <f>SUM(X279:AA279)</f>
        <v>0</v>
      </c>
      <c r="AC279" s="12">
        <f>(AC150-AB150)*-1</f>
        <v>0</v>
      </c>
      <c r="AD279" s="12">
        <f>(AD150-AC150)*-1</f>
        <v>0</v>
      </c>
      <c r="AE279" s="12">
        <f>(AE150-AD150)*-1</f>
        <v>0</v>
      </c>
      <c r="AF279" s="12">
        <f>(AF150-AE150)*-1</f>
        <v>0</v>
      </c>
      <c r="AG279" s="12">
        <f>SUM(AC279:AF279)</f>
        <v>0</v>
      </c>
      <c r="AH279" s="12">
        <f>(AH150-AG150)*-1</f>
        <v>0</v>
      </c>
      <c r="AI279" s="12">
        <f>(AI150-AH150)*-1</f>
        <v>0</v>
      </c>
      <c r="AJ279" s="12">
        <f>(AJ150-AI150)*-1</f>
        <v>0</v>
      </c>
      <c r="AK279" s="12">
        <f>(AK150-AJ150)*-1</f>
        <v>0</v>
      </c>
      <c r="AL279" s="12">
        <f>SUM(AH279:AK279)</f>
        <v>0</v>
      </c>
      <c r="AM279" s="12">
        <f>(AM150-AL150)*-1</f>
        <v>0</v>
      </c>
      <c r="AN279" s="12">
        <f>(AN150-AM150)*-1</f>
        <v>0</v>
      </c>
      <c r="AO279" s="12">
        <f>(AO150-AN150)*-1</f>
        <v>0</v>
      </c>
      <c r="AP279" s="12">
        <f>(AP150-AO150)*-1</f>
        <v>0</v>
      </c>
      <c r="AQ279" s="12">
        <f>SUM(AM279:AP279)</f>
        <v>0</v>
      </c>
      <c r="AR279" s="12">
        <f>(AR150-AQ150)*-1</f>
        <v>0</v>
      </c>
      <c r="AS279" s="12">
        <f>(AS150-AR150)*-1</f>
        <v>0</v>
      </c>
      <c r="AT279" s="12">
        <f>(AT150-AS150)*-1</f>
        <v>0</v>
      </c>
      <c r="AU279" s="12">
        <f>(AU150-AT150)*-1</f>
        <v>0</v>
      </c>
      <c r="AV279" s="12">
        <f>SUM(AR279:AU279)</f>
        <v>0</v>
      </c>
      <c r="AW279" s="12">
        <f>(AW150-AV150)*-1</f>
        <v>0</v>
      </c>
      <c r="AX279" s="12">
        <f>(AX150-AW150)*-1</f>
        <v>0</v>
      </c>
      <c r="AY279" s="12">
        <f>(AY150-AX150)*-1</f>
        <v>0</v>
      </c>
      <c r="AZ279" s="12">
        <f>(AZ150-AY150)*-1</f>
        <v>0</v>
      </c>
      <c r="BA279" s="12">
        <f>SUM(AW279:AZ279)</f>
        <v>0</v>
      </c>
      <c r="BB279" s="12">
        <f>(BB150-BA150)*-1</f>
        <v>0</v>
      </c>
      <c r="BC279" s="12">
        <f>(BC150-BB150)*-1</f>
        <v>0</v>
      </c>
      <c r="BD279" s="12">
        <f>(BD150-BC150)*-1</f>
        <v>0</v>
      </c>
      <c r="BE279" s="12">
        <f>(BE150-BD150)*-1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Other current assets</t>
        </is>
      </c>
      <c r="D280" s="12" t="n"/>
      <c r="E280" s="12" t="n"/>
      <c r="F280" s="12" t="n"/>
      <c r="G280" s="12" t="n"/>
      <c r="H280" s="12" t="n"/>
      <c r="I280" s="12" t="n"/>
      <c r="J280" s="12">
        <f>(J151-I151)*-1</f>
        <v>555</v>
      </c>
      <c r="K280" s="12">
        <f>(K151-J151)*-1</f>
        <v>-32</v>
      </c>
      <c r="L280" s="12">
        <f>(L151-K151)*-1</f>
        <v>942</v>
      </c>
      <c r="M280" s="12" t="n"/>
      <c r="N280" s="12">
        <f>(N151-M151)*-1</f>
        <v>-79</v>
      </c>
      <c r="O280" s="12">
        <f>(O151-N151)*-1</f>
        <v>-10</v>
      </c>
      <c r="P280" s="12">
        <f>(P151-O151)*-1</f>
        <v>-34</v>
      </c>
      <c r="Q280" s="12">
        <f>(Q151-P151)*-1</f>
        <v>-6</v>
      </c>
      <c r="R280" s="12">
        <f>SUM(N280:Q280)</f>
        <v>-129</v>
      </c>
      <c r="S280" s="12">
        <f>(S151-R151)*-1</f>
        <v>-10</v>
      </c>
      <c r="T280" s="12">
        <f>(T151-S151)*-1</f>
        <v>-42</v>
      </c>
      <c r="U280" s="12">
        <f>(U151-T151)*-1</f>
        <v>-105</v>
      </c>
      <c r="V280" s="12">
        <f>(V151-U151)*-1</f>
        <v>29</v>
      </c>
      <c r="W280" s="12">
        <f>SUM(S280:V280)</f>
        <v>-128</v>
      </c>
      <c r="X280" s="12">
        <f>(X151-W151)*-1</f>
        <v>-899</v>
      </c>
      <c r="Y280" s="12">
        <f>(Y151-X151)*-1</f>
        <v>393</v>
      </c>
      <c r="Z280" s="12">
        <f>(Z151-Y151)*-1</f>
        <v>521</v>
      </c>
      <c r="AA280" s="12">
        <f>(AA151-Z151)*-1</f>
        <v>-1</v>
      </c>
      <c r="AB280" s="12">
        <f>SUM(X280:AA280)</f>
        <v>14</v>
      </c>
      <c r="AC280" s="12">
        <f>(AC151-AB151)*-1</f>
        <v>-186</v>
      </c>
      <c r="AD280" s="12">
        <f>(AD151-AC151)*-1</f>
        <v>18</v>
      </c>
      <c r="AE280" s="12">
        <f>(AE151-AD151)*-1</f>
        <v>31</v>
      </c>
      <c r="AF280" s="12">
        <f>(AF151-AE151)*-1</f>
        <v>-44</v>
      </c>
      <c r="AG280" s="12">
        <f>SUM(AC280:AF280)</f>
        <v>-181</v>
      </c>
      <c r="AH280" s="12">
        <f>(AH151-AG151)*-1</f>
        <v>-285</v>
      </c>
      <c r="AI280" s="12">
        <f>(AI151-AH151)*-1</f>
        <v>120</v>
      </c>
      <c r="AJ280" s="12">
        <f>(AJ151-AI151)*-1</f>
        <v>0</v>
      </c>
      <c r="AK280" s="12">
        <f>(AK151-AJ151)*-1</f>
        <v>0</v>
      </c>
      <c r="AL280" s="12">
        <f>SUM(AH280:AK280)</f>
        <v>-165</v>
      </c>
      <c r="AM280" s="12">
        <f>(AM151-AL151)*-1</f>
        <v>0</v>
      </c>
      <c r="AN280" s="12">
        <f>(AN151-AM151)*-1</f>
        <v>0</v>
      </c>
      <c r="AO280" s="12">
        <f>(AO151-AN151)*-1</f>
        <v>0</v>
      </c>
      <c r="AP280" s="12">
        <f>(AP151-AO151)*-1</f>
        <v>0</v>
      </c>
      <c r="AQ280" s="12">
        <f>SUM(AM280:AP280)</f>
        <v>0</v>
      </c>
      <c r="AR280" s="12">
        <f>(AR151-AQ151)*-1</f>
        <v>0</v>
      </c>
      <c r="AS280" s="12">
        <f>(AS151-AR151)*-1</f>
        <v>0</v>
      </c>
      <c r="AT280" s="12">
        <f>(AT151-AS151)*-1</f>
        <v>0</v>
      </c>
      <c r="AU280" s="12">
        <f>(AU151-AT151)*-1</f>
        <v>0</v>
      </c>
      <c r="AV280" s="12">
        <f>SUM(AR280:AU280)</f>
        <v>0</v>
      </c>
      <c r="AW280" s="12">
        <f>(AW151-AV151)*-1</f>
        <v>0</v>
      </c>
      <c r="AX280" s="12">
        <f>(AX151-AW151)*-1</f>
        <v>0</v>
      </c>
      <c r="AY280" s="12">
        <f>(AY151-AX151)*-1</f>
        <v>0</v>
      </c>
      <c r="AZ280" s="12">
        <f>(AZ151-AY151)*-1</f>
        <v>0</v>
      </c>
      <c r="BA280" s="12">
        <f>SUM(AW280:AZ280)</f>
        <v>0</v>
      </c>
      <c r="BB280" s="12">
        <f>(BB151-BA151)*-1</f>
        <v>0</v>
      </c>
      <c r="BC280" s="12">
        <f>(BC151-BB151)*-1</f>
        <v>0</v>
      </c>
      <c r="BD280" s="12">
        <f>(BD151-BC151)*-1</f>
        <v>0</v>
      </c>
      <c r="BE280" s="12">
        <f>(BE151-BD151)*-1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Accounts payable</t>
        </is>
      </c>
      <c r="D281" s="12" t="n"/>
      <c r="E281" s="12" t="n"/>
      <c r="F281" s="12" t="n"/>
      <c r="G281" s="12" t="n"/>
      <c r="H281" s="12" t="n"/>
      <c r="I281" s="12" t="n"/>
      <c r="J281" s="12">
        <f>J194-I194</f>
        <v>-123</v>
      </c>
      <c r="K281" s="12">
        <f>K194-J194</f>
        <v>898</v>
      </c>
      <c r="L281" s="12">
        <f>L194-K194</f>
        <v>145</v>
      </c>
      <c r="M281" s="12" t="n"/>
      <c r="N281" s="12">
        <f>N194-M194</f>
        <v>180</v>
      </c>
      <c r="O281" s="12">
        <f>O194-N194</f>
        <v>138</v>
      </c>
      <c r="P281" s="12">
        <f>P194-O194</f>
        <v>302</v>
      </c>
      <c r="Q281" s="12">
        <f>Q194-P194</f>
        <v>-652</v>
      </c>
      <c r="R281" s="12">
        <f>SUM(N281:Q281)</f>
        <v>-32</v>
      </c>
      <c r="S281" s="12">
        <f>S194-R194</f>
        <v>-1128</v>
      </c>
      <c r="T281" s="12">
        <f>T194-S194</f>
        <v>-133</v>
      </c>
      <c r="U281" s="12">
        <f>U194-T194</f>
        <v>-219</v>
      </c>
      <c r="V281" s="12">
        <f>V194-U194</f>
        <v>-12</v>
      </c>
      <c r="W281" s="12">
        <f>SUM(S281:V281)</f>
        <v>-1492</v>
      </c>
      <c r="X281" s="12">
        <f>X194-W194</f>
        <v>734</v>
      </c>
      <c r="Y281" s="12">
        <f>Y194-X194</f>
        <v>465</v>
      </c>
      <c r="Z281" s="12">
        <f>Z194-Y194</f>
        <v>2154</v>
      </c>
      <c r="AA281" s="12">
        <f>AA194-Z194</f>
        <v>-173</v>
      </c>
      <c r="AB281" s="12">
        <f>SUM(X281:AA281)</f>
        <v>3180</v>
      </c>
      <c r="AC281" s="12">
        <f>AC194-AB194</f>
        <v>-950</v>
      </c>
      <c r="AD281" s="12">
        <f>AD194-AC194</f>
        <v>2585</v>
      </c>
      <c r="AE281" s="12">
        <f>AE194-AD194</f>
        <v>888</v>
      </c>
      <c r="AF281" s="12">
        <f>AF194-AE194</f>
        <v>147</v>
      </c>
      <c r="AG281" s="12">
        <f>SUM(AC281:AF281)</f>
        <v>2670</v>
      </c>
      <c r="AH281" s="12">
        <f>AH194-AG194</f>
        <v>1201</v>
      </c>
      <c r="AI281" s="12">
        <f>AI194-AH194</f>
        <v>4524</v>
      </c>
      <c r="AJ281" s="12">
        <f>AJ194-AI194</f>
        <v>2885.42823499962</v>
      </c>
      <c r="AK281" s="12">
        <f>AK194-AJ194</f>
        <v>3787.02297225622</v>
      </c>
      <c r="AL281" s="12">
        <f>SUM(AH281:AK281)</f>
        <v>12397.4512072558</v>
      </c>
      <c r="AM281" s="12">
        <f>AM194-AL194</f>
        <v>17482.8081801968</v>
      </c>
      <c r="AN281" s="12">
        <f>AN194-AM194</f>
        <v>28502.452892496</v>
      </c>
      <c r="AO281" s="12">
        <f>AO194-AN194</f>
        <v>-27700.2824538814</v>
      </c>
      <c r="AP281" s="12">
        <f>AP194-AO194</f>
        <v>8328.2178201577</v>
      </c>
      <c r="AQ281" s="12">
        <f>SUM(AM281:AP281)</f>
        <v>26613.1964389691</v>
      </c>
      <c r="AR281" s="12">
        <f>AR194-AQ194</f>
        <v>37292.2187676676</v>
      </c>
      <c r="AS281" s="12">
        <f>AS194-AR194</f>
        <v>63495.2076034724</v>
      </c>
      <c r="AT281" s="12">
        <f>AT194-AS194</f>
        <v>-60778.4741767048</v>
      </c>
      <c r="AU281" s="12">
        <f>AU194-AT194</f>
        <v>18273.3288934208</v>
      </c>
      <c r="AV281" s="12">
        <f>SUM(AR281:AU281)</f>
        <v>58282.2810878559</v>
      </c>
      <c r="AW281" s="12">
        <f>AW194-AV194</f>
        <v>83488.3478696105</v>
      </c>
      <c r="AX281" s="12">
        <f>AX194-AW194</f>
        <v>136906.047410677</v>
      </c>
      <c r="AY281" s="12">
        <f>AY194-AX194</f>
        <v>-133052.976079776</v>
      </c>
      <c r="AZ281" s="12">
        <f>AZ194-AY194</f>
        <v>40002.9916033344</v>
      </c>
      <c r="BA281" s="12">
        <f>SUM(AW281:AZ281)</f>
        <v>127344.410803845</v>
      </c>
      <c r="BB281" s="12">
        <f>BB194-BA194</f>
        <v>181815.327240431</v>
      </c>
      <c r="BC281" s="12">
        <f>BC194-BB194</f>
        <v>299022.846396814</v>
      </c>
      <c r="BD281" s="12">
        <f>BD194-BC194</f>
        <v>-290607.174638505</v>
      </c>
      <c r="BE281" s="12">
        <f>BE194-BD194</f>
        <v>87372.3888743578</v>
      </c>
      <c r="BF281" s="12">
        <f>SUM(BB281:BE281)</f>
        <v>277603.387873098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Accrued expenses</t>
        </is>
      </c>
      <c r="D282" s="12" t="n"/>
      <c r="E282" s="12" t="n"/>
      <c r="F282" s="12" t="n"/>
      <c r="G282" s="12" t="n"/>
      <c r="H282" s="12" t="n"/>
      <c r="I282" s="12" t="n"/>
      <c r="J282" s="12">
        <f>J198-I198</f>
        <v>0</v>
      </c>
      <c r="K282" s="12">
        <f>K198-J198</f>
        <v>0</v>
      </c>
      <c r="L282" s="12">
        <f>L198-K198</f>
        <v>0</v>
      </c>
      <c r="M282" s="12" t="n"/>
      <c r="N282" s="12">
        <f>N198-M198</f>
        <v>0</v>
      </c>
      <c r="O282" s="12">
        <f>O198-N198</f>
        <v>0</v>
      </c>
      <c r="P282" s="12">
        <f>P198-O198</f>
        <v>0</v>
      </c>
      <c r="Q282" s="12">
        <f>Q198-P198</f>
        <v>0</v>
      </c>
      <c r="R282" s="12">
        <f>SUM(N282:Q282)</f>
        <v>0</v>
      </c>
      <c r="S282" s="12">
        <f>S198-R198</f>
        <v>0</v>
      </c>
      <c r="T282" s="12">
        <f>T198-S198</f>
        <v>0</v>
      </c>
      <c r="U282" s="12">
        <f>U198-T198</f>
        <v>0</v>
      </c>
      <c r="V282" s="12">
        <f>V198-U198</f>
        <v>0</v>
      </c>
      <c r="W282" s="12">
        <f>SUM(S282:V282)</f>
        <v>0</v>
      </c>
      <c r="X282" s="12">
        <f>X198-W198</f>
        <v>0</v>
      </c>
      <c r="Y282" s="12">
        <f>Y198-X198</f>
        <v>0</v>
      </c>
      <c r="Z282" s="12">
        <f>Z198-Y198</f>
        <v>0</v>
      </c>
      <c r="AA282" s="12">
        <f>AA198-Z198</f>
        <v>0</v>
      </c>
      <c r="AB282" s="12">
        <f>SUM(X282:AA282)</f>
        <v>0</v>
      </c>
      <c r="AC282" s="12">
        <f>AC198-AB198</f>
        <v>0</v>
      </c>
      <c r="AD282" s="12">
        <f>AD198-AC198</f>
        <v>0</v>
      </c>
      <c r="AE282" s="12">
        <f>AE198-AD198</f>
        <v>0</v>
      </c>
      <c r="AF282" s="12">
        <f>AF198-AE198</f>
        <v>0</v>
      </c>
      <c r="AG282" s="12">
        <f>SUM(AC282:AF282)</f>
        <v>0</v>
      </c>
      <c r="AH282" s="12">
        <f>AH198-AG198</f>
        <v>0</v>
      </c>
      <c r="AI282" s="12">
        <f>AI198-AH198</f>
        <v>0</v>
      </c>
      <c r="AJ282" s="12">
        <f>AJ198-AI198</f>
        <v>0</v>
      </c>
      <c r="AK282" s="12">
        <f>AK198-AJ198</f>
        <v>0</v>
      </c>
      <c r="AL282" s="12">
        <f>SUM(AH282:AK282)</f>
        <v>0</v>
      </c>
      <c r="AM282" s="12">
        <f>AM198-AL198</f>
        <v>0</v>
      </c>
      <c r="AN282" s="12">
        <f>AN198-AM198</f>
        <v>0</v>
      </c>
      <c r="AO282" s="12">
        <f>AO198-AN198</f>
        <v>0</v>
      </c>
      <c r="AP282" s="12">
        <f>AP198-AO198</f>
        <v>0</v>
      </c>
      <c r="AQ282" s="12">
        <f>SUM(AM282:AP282)</f>
        <v>0</v>
      </c>
      <c r="AR282" s="12">
        <f>AR198-AQ198</f>
        <v>0</v>
      </c>
      <c r="AS282" s="12">
        <f>AS198-AR198</f>
        <v>0</v>
      </c>
      <c r="AT282" s="12">
        <f>AT198-AS198</f>
        <v>0</v>
      </c>
      <c r="AU282" s="12">
        <f>AU198-AT198</f>
        <v>0</v>
      </c>
      <c r="AV282" s="12">
        <f>SUM(AR282:AU282)</f>
        <v>0</v>
      </c>
      <c r="AW282" s="12">
        <f>AW198-AV198</f>
        <v>0</v>
      </c>
      <c r="AX282" s="12">
        <f>AX198-AW198</f>
        <v>0</v>
      </c>
      <c r="AY282" s="12">
        <f>AY198-AX198</f>
        <v>0</v>
      </c>
      <c r="AZ282" s="12">
        <f>AZ198-AY198</f>
        <v>0</v>
      </c>
      <c r="BA282" s="12">
        <f>SUM(AW282:AZ282)</f>
        <v>0</v>
      </c>
      <c r="BB282" s="12">
        <f>BB198-BA198</f>
        <v>0</v>
      </c>
      <c r="BC282" s="12">
        <f>BC198-BB198</f>
        <v>0</v>
      </c>
      <c r="BD282" s="12">
        <f>BD198-BC198</f>
        <v>0</v>
      </c>
      <c r="BE282" s="12">
        <f>BE198-BD198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Taxes payable</t>
        </is>
      </c>
      <c r="D283" s="12" t="n"/>
      <c r="E283" s="12" t="n"/>
      <c r="F283" s="12" t="n"/>
      <c r="G283" s="12" t="n"/>
      <c r="H283" s="12" t="n"/>
      <c r="I283" s="12" t="n"/>
      <c r="J283" s="12">
        <f>J200-I200</f>
        <v>0</v>
      </c>
      <c r="K283" s="12">
        <f>K200-J200</f>
        <v>0</v>
      </c>
      <c r="L283" s="12">
        <f>L200-K200</f>
        <v>0</v>
      </c>
      <c r="M283" s="12" t="n"/>
      <c r="N283" s="12">
        <f>N200-M200</f>
        <v>0</v>
      </c>
      <c r="O283" s="12">
        <f>O200-N200</f>
        <v>0</v>
      </c>
      <c r="P283" s="12">
        <f>P200-O200</f>
        <v>0</v>
      </c>
      <c r="Q283" s="12">
        <f>Q200-P200</f>
        <v>0</v>
      </c>
      <c r="R283" s="12">
        <f>SUM(N283:Q283)</f>
        <v>0</v>
      </c>
      <c r="S283" s="12">
        <f>S200-R200</f>
        <v>0</v>
      </c>
      <c r="T283" s="12">
        <f>T200-S200</f>
        <v>0</v>
      </c>
      <c r="U283" s="12">
        <f>U200-T200</f>
        <v>0</v>
      </c>
      <c r="V283" s="12">
        <f>V200-U200</f>
        <v>0</v>
      </c>
      <c r="W283" s="12">
        <f>SUM(S283:V283)</f>
        <v>0</v>
      </c>
      <c r="X283" s="12">
        <f>X200-W200</f>
        <v>0</v>
      </c>
      <c r="Y283" s="12">
        <f>Y200-X200</f>
        <v>0</v>
      </c>
      <c r="Z283" s="12">
        <f>Z200-Y200</f>
        <v>0</v>
      </c>
      <c r="AA283" s="12">
        <f>AA200-Z200</f>
        <v>0</v>
      </c>
      <c r="AB283" s="12">
        <f>SUM(X283:AA283)</f>
        <v>0</v>
      </c>
      <c r="AC283" s="12">
        <f>AC200-AB200</f>
        <v>0</v>
      </c>
      <c r="AD283" s="12">
        <f>AD200-AC200</f>
        <v>0</v>
      </c>
      <c r="AE283" s="12">
        <f>AE200-AD200</f>
        <v>0</v>
      </c>
      <c r="AF283" s="12">
        <f>AF200-AE200</f>
        <v>0</v>
      </c>
      <c r="AG283" s="12">
        <f>SUM(AC283:AF283)</f>
        <v>0</v>
      </c>
      <c r="AH283" s="12">
        <f>AH200-AG200</f>
        <v>0</v>
      </c>
      <c r="AI283" s="12">
        <f>AI200-AH200</f>
        <v>0</v>
      </c>
      <c r="AJ283" s="12">
        <f>AJ200-AI200</f>
        <v>0</v>
      </c>
      <c r="AK283" s="12">
        <f>AK200-AJ200</f>
        <v>0</v>
      </c>
      <c r="AL283" s="12">
        <f>SUM(AH283:AK283)</f>
        <v>0</v>
      </c>
      <c r="AM283" s="12">
        <f>AM200-AL200</f>
        <v>0</v>
      </c>
      <c r="AN283" s="12">
        <f>AN200-AM200</f>
        <v>0</v>
      </c>
      <c r="AO283" s="12">
        <f>AO200-AN200</f>
        <v>0</v>
      </c>
      <c r="AP283" s="12">
        <f>AP200-AO200</f>
        <v>0</v>
      </c>
      <c r="AQ283" s="12">
        <f>SUM(AM283:AP283)</f>
        <v>0</v>
      </c>
      <c r="AR283" s="12">
        <f>AR200-AQ200</f>
        <v>0</v>
      </c>
      <c r="AS283" s="12">
        <f>AS200-AR200</f>
        <v>0</v>
      </c>
      <c r="AT283" s="12">
        <f>AT200-AS200</f>
        <v>0</v>
      </c>
      <c r="AU283" s="12">
        <f>AU200-AT200</f>
        <v>0</v>
      </c>
      <c r="AV283" s="12">
        <f>SUM(AR283:AU283)</f>
        <v>0</v>
      </c>
      <c r="AW283" s="12">
        <f>AW200-AV200</f>
        <v>0</v>
      </c>
      <c r="AX283" s="12">
        <f>AX200-AW200</f>
        <v>0</v>
      </c>
      <c r="AY283" s="12">
        <f>AY200-AX200</f>
        <v>0</v>
      </c>
      <c r="AZ283" s="12">
        <f>AZ200-AY200</f>
        <v>0</v>
      </c>
      <c r="BA283" s="12">
        <f>SUM(AW283:AZ283)</f>
        <v>0</v>
      </c>
      <c r="BB283" s="12">
        <f>BB200-BA200</f>
        <v>0</v>
      </c>
      <c r="BC283" s="12">
        <f>BC200-BB200</f>
        <v>0</v>
      </c>
      <c r="BD283" s="12">
        <f>BD200-BC200</f>
        <v>0</v>
      </c>
      <c r="BE283" s="12">
        <f>BE200-BD200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Other current liabilities (non-debt)</t>
        </is>
      </c>
      <c r="D284" s="12" t="n"/>
      <c r="E284" s="12" t="n"/>
      <c r="F284" s="12" t="n"/>
      <c r="G284" s="12" t="n"/>
      <c r="H284" s="12" t="n"/>
      <c r="I284" s="12" t="n"/>
      <c r="J284" s="12">
        <f>J201-I201</f>
        <v>178</v>
      </c>
      <c r="K284" s="12">
        <f>K201-J201</f>
        <v>206</v>
      </c>
      <c r="L284" s="12">
        <f>L201-K201</f>
        <v>-20</v>
      </c>
      <c r="M284" s="12" t="n"/>
      <c r="N284" s="12">
        <f>N201-M201</f>
        <v>221</v>
      </c>
      <c r="O284" s="12">
        <f>O201-N201</f>
        <v>-31</v>
      </c>
      <c r="P284" s="12">
        <f>P201-O201</f>
        <v>232</v>
      </c>
      <c r="Q284" s="12">
        <f>Q201-P201</f>
        <v>-430</v>
      </c>
      <c r="R284" s="12">
        <f>SUM(N284:Q284)</f>
        <v>-8</v>
      </c>
      <c r="S284" s="12">
        <f>S201-R201</f>
        <v>-208</v>
      </c>
      <c r="T284" s="12">
        <f>T201-S201</f>
        <v>-40</v>
      </c>
      <c r="U284" s="12">
        <f>U201-T201</f>
        <v>-139</v>
      </c>
      <c r="V284" s="12">
        <f>V201-U201</f>
        <v>579</v>
      </c>
      <c r="W284" s="12">
        <f>SUM(S284:V284)</f>
        <v>192</v>
      </c>
      <c r="X284" s="12">
        <f>X201-W201</f>
        <v>127</v>
      </c>
      <c r="Y284" s="12">
        <f>Y201-X201</f>
        <v>62</v>
      </c>
      <c r="Z284" s="12">
        <f>Z201-Y201</f>
        <v>221</v>
      </c>
      <c r="AA284" s="12">
        <f>AA201-Z201</f>
        <v>-162</v>
      </c>
      <c r="AB284" s="12">
        <f>SUM(X284:AA284)</f>
        <v>248</v>
      </c>
      <c r="AC284" s="12">
        <f>AC201-AB201</f>
        <v>-159</v>
      </c>
      <c r="AD284" s="12">
        <f>AD201-AC201</f>
        <v>-361</v>
      </c>
      <c r="AE284" s="12">
        <f>AE201-AD201</f>
        <v>409</v>
      </c>
      <c r="AF284" s="12">
        <f>AF201-AE201</f>
        <v>450</v>
      </c>
      <c r="AG284" s="12">
        <f>SUM(AC284:AF284)</f>
        <v>339</v>
      </c>
      <c r="AH284" s="12">
        <f>AH201-AG201</f>
        <v>1019</v>
      </c>
      <c r="AI284" s="12">
        <f>AI201-AH201</f>
        <v>671</v>
      </c>
      <c r="AJ284" s="12">
        <f>AJ201-AI201</f>
        <v>0</v>
      </c>
      <c r="AK284" s="12">
        <f>AK201-AJ201</f>
        <v>0</v>
      </c>
      <c r="AL284" s="12">
        <f>SUM(AH284:AK284)</f>
        <v>1690</v>
      </c>
      <c r="AM284" s="12">
        <f>AM201-AL201</f>
        <v>0</v>
      </c>
      <c r="AN284" s="12">
        <f>AN201-AM201</f>
        <v>0</v>
      </c>
      <c r="AO284" s="12">
        <f>AO201-AN201</f>
        <v>0</v>
      </c>
      <c r="AP284" s="12">
        <f>AP201-AO201</f>
        <v>0</v>
      </c>
      <c r="AQ284" s="12">
        <f>SUM(AM284:AP284)</f>
        <v>0</v>
      </c>
      <c r="AR284" s="12">
        <f>AR201-AQ201</f>
        <v>0</v>
      </c>
      <c r="AS284" s="12">
        <f>AS201-AR201</f>
        <v>0</v>
      </c>
      <c r="AT284" s="12">
        <f>AT201-AS201</f>
        <v>0</v>
      </c>
      <c r="AU284" s="12">
        <f>AU201-AT201</f>
        <v>0</v>
      </c>
      <c r="AV284" s="12">
        <f>SUM(AR284:AU284)</f>
        <v>0</v>
      </c>
      <c r="AW284" s="12">
        <f>AW201-AV201</f>
        <v>0</v>
      </c>
      <c r="AX284" s="12">
        <f>AX201-AW201</f>
        <v>0</v>
      </c>
      <c r="AY284" s="12">
        <f>AY201-AX201</f>
        <v>0</v>
      </c>
      <c r="AZ284" s="12">
        <f>AZ201-AY201</f>
        <v>0</v>
      </c>
      <c r="BA284" s="12">
        <f>SUM(AW284:AZ284)</f>
        <v>0</v>
      </c>
      <c r="BB284" s="12">
        <f>BB201-BA201</f>
        <v>0</v>
      </c>
      <c r="BC284" s="12">
        <f>BC201-BB201</f>
        <v>0</v>
      </c>
      <c r="BD284" s="12">
        <f>BD201-BC201</f>
        <v>0</v>
      </c>
      <c r="BE284" s="12">
        <f>BE201-BD201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Deferred income taxes</t>
        </is>
      </c>
      <c r="D285" s="12" t="n"/>
      <c r="E285" s="12" t="n"/>
      <c r="F285" s="12" t="n"/>
      <c r="G285" s="12" t="n"/>
      <c r="H285" s="12" t="n"/>
      <c r="I285" s="12" t="n"/>
      <c r="J285" s="12">
        <f>J235-I235</f>
        <v>0</v>
      </c>
      <c r="K285" s="12">
        <f>K235-J235</f>
        <v>0</v>
      </c>
      <c r="L285" s="12">
        <f>L235-K235</f>
        <v>0</v>
      </c>
      <c r="M285" s="12" t="n"/>
      <c r="N285" s="12">
        <f>N235-M235</f>
        <v>0</v>
      </c>
      <c r="O285" s="12">
        <f>O235-N235</f>
        <v>0</v>
      </c>
      <c r="P285" s="12">
        <f>P235-O235</f>
        <v>0</v>
      </c>
      <c r="Q285" s="12">
        <f>Q235-P235</f>
        <v>0</v>
      </c>
      <c r="R285" s="12">
        <f>SUM(N285:Q285)</f>
        <v>0</v>
      </c>
      <c r="S285" s="12">
        <f>S235-R235</f>
        <v>0</v>
      </c>
      <c r="T285" s="12">
        <f>T235-S235</f>
        <v>0</v>
      </c>
      <c r="U285" s="12">
        <f>U235-T235</f>
        <v>0</v>
      </c>
      <c r="V285" s="12">
        <f>V235-U235</f>
        <v>0</v>
      </c>
      <c r="W285" s="12">
        <f>SUM(S285:V285)</f>
        <v>0</v>
      </c>
      <c r="X285" s="12">
        <f>X235-W235</f>
        <v>0</v>
      </c>
      <c r="Y285" s="12">
        <f>Y235-X235</f>
        <v>0</v>
      </c>
      <c r="Z285" s="12">
        <f>Z235-Y235</f>
        <v>0</v>
      </c>
      <c r="AA285" s="12">
        <f>AA235-Z235</f>
        <v>0</v>
      </c>
      <c r="AB285" s="12">
        <f>SUM(X285:AA285)</f>
        <v>0</v>
      </c>
      <c r="AC285" s="12">
        <f>AC235-AB235</f>
        <v>0</v>
      </c>
      <c r="AD285" s="12">
        <f>AD235-AC235</f>
        <v>0</v>
      </c>
      <c r="AE285" s="12">
        <f>AE235-AD235</f>
        <v>0</v>
      </c>
      <c r="AF285" s="12">
        <f>AF235-AE235</f>
        <v>0</v>
      </c>
      <c r="AG285" s="12">
        <f>SUM(AC285:AF285)</f>
        <v>0</v>
      </c>
      <c r="AH285" s="12">
        <f>AH235-AG235</f>
        <v>0</v>
      </c>
      <c r="AI285" s="12">
        <f>AI235-AH235</f>
        <v>0</v>
      </c>
      <c r="AJ285" s="12">
        <f>AJ235-AI235</f>
        <v>0</v>
      </c>
      <c r="AK285" s="12">
        <f>AK235-AJ235</f>
        <v>0</v>
      </c>
      <c r="AL285" s="12">
        <f>SUM(AH285:AK285)</f>
        <v>0</v>
      </c>
      <c r="AM285" s="12">
        <f>AM235-AL235</f>
        <v>0</v>
      </c>
      <c r="AN285" s="12">
        <f>AN235-AM235</f>
        <v>0</v>
      </c>
      <c r="AO285" s="12">
        <f>AO235-AN235</f>
        <v>0</v>
      </c>
      <c r="AP285" s="12">
        <f>AP235-AO235</f>
        <v>0</v>
      </c>
      <c r="AQ285" s="12">
        <f>SUM(AM285:AP285)</f>
        <v>0</v>
      </c>
      <c r="AR285" s="12">
        <f>AR235-AQ235</f>
        <v>0</v>
      </c>
      <c r="AS285" s="12">
        <f>AS235-AR235</f>
        <v>0</v>
      </c>
      <c r="AT285" s="12">
        <f>AT235-AS235</f>
        <v>0</v>
      </c>
      <c r="AU285" s="12">
        <f>AU235-AT235</f>
        <v>0</v>
      </c>
      <c r="AV285" s="12">
        <f>SUM(AR285:AU285)</f>
        <v>0</v>
      </c>
      <c r="AW285" s="12">
        <f>AW235-AV235</f>
        <v>0</v>
      </c>
      <c r="AX285" s="12">
        <f>AX235-AW235</f>
        <v>0</v>
      </c>
      <c r="AY285" s="12">
        <f>AY235-AX235</f>
        <v>0</v>
      </c>
      <c r="AZ285" s="12">
        <f>AZ235-AY235</f>
        <v>0</v>
      </c>
      <c r="BA285" s="12">
        <f>SUM(AW285:AZ285)</f>
        <v>0</v>
      </c>
      <c r="BB285" s="12">
        <f>BB235-BA235</f>
        <v>0</v>
      </c>
      <c r="BC285" s="12">
        <f>BC235-BB235</f>
        <v>0</v>
      </c>
      <c r="BD285" s="12">
        <f>BD235-BC235</f>
        <v>0</v>
      </c>
      <c r="BE285" s="12">
        <f>BE235-BD235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collapsed="1">
      <c r="C286" s="10" t="inlineStr">
        <is>
          <t>Equity income in affiliates</t>
        </is>
      </c>
      <c r="D286" s="12" t="n"/>
      <c r="E286" s="12" t="n"/>
      <c r="F286" s="12" t="n"/>
      <c r="G286" s="12" t="n"/>
      <c r="H286" s="12" t="n"/>
      <c r="I286" s="12" t="n"/>
      <c r="J286" s="12">
        <f>(J157-I157)*-1</f>
        <v>0</v>
      </c>
      <c r="K286" s="12">
        <f>(K157-J157)*-1</f>
        <v>0</v>
      </c>
      <c r="L286" s="12">
        <f>(L157-K157)*-1</f>
        <v>0</v>
      </c>
      <c r="M286" s="12" t="n"/>
      <c r="N286" s="12">
        <f>(N157-M157)*-1</f>
        <v>0</v>
      </c>
      <c r="O286" s="12">
        <f>(O157-N157)*-1</f>
        <v>0</v>
      </c>
      <c r="P286" s="12">
        <f>(P157-O157)*-1</f>
        <v>0</v>
      </c>
      <c r="Q286" s="12">
        <f>(Q157-P157)*-1</f>
        <v>0</v>
      </c>
      <c r="R286" s="12">
        <f>SUM(N286:Q286)</f>
        <v>0</v>
      </c>
      <c r="S286" s="12">
        <f>(S157-R157)*-1</f>
        <v>0</v>
      </c>
      <c r="T286" s="12">
        <f>(T157-S157)*-1</f>
        <v>0</v>
      </c>
      <c r="U286" s="12">
        <f>(U157-T157)*-1</f>
        <v>0</v>
      </c>
      <c r="V286" s="12">
        <f>(V157-U157)*-1</f>
        <v>0</v>
      </c>
      <c r="W286" s="12">
        <f>SUM(S286:V286)</f>
        <v>0</v>
      </c>
      <c r="X286" s="12">
        <f>(X157-W157)*-1</f>
        <v>0</v>
      </c>
      <c r="Y286" s="12">
        <f>(Y157-X157)*-1</f>
        <v>0</v>
      </c>
      <c r="Z286" s="12">
        <f>(Z157-Y157)*-1</f>
        <v>0</v>
      </c>
      <c r="AA286" s="12">
        <f>(AA157-Z157)*-1</f>
        <v>0</v>
      </c>
      <c r="AB286" s="12">
        <f>SUM(X286:AA286)</f>
        <v>0</v>
      </c>
      <c r="AC286" s="12">
        <f>(AC157-AB157)*-1</f>
        <v>0</v>
      </c>
      <c r="AD286" s="12">
        <f>(AD157-AC157)*-1</f>
        <v>0</v>
      </c>
      <c r="AE286" s="12">
        <f>(AE157-AD157)*-1</f>
        <v>0</v>
      </c>
      <c r="AF286" s="12">
        <f>(AF157-AE157)*-1</f>
        <v>0</v>
      </c>
      <c r="AG286" s="12">
        <f>SUM(AC286:AF286)</f>
        <v>0</v>
      </c>
      <c r="AH286" s="12">
        <f>(AH157-AG157)*-1</f>
        <v>0</v>
      </c>
      <c r="AI286" s="12">
        <f>(AI157-AH157)*-1</f>
        <v>0</v>
      </c>
      <c r="AJ286" s="12">
        <f>(AJ157-AI157)*-1</f>
        <v>0</v>
      </c>
      <c r="AK286" s="12">
        <f>(AK157-AJ157)*-1</f>
        <v>0</v>
      </c>
      <c r="AL286" s="12">
        <f>SUM(AH286:AK286)</f>
        <v>0</v>
      </c>
      <c r="AM286" s="12">
        <f>(AM157-AL157)*-1</f>
        <v>0</v>
      </c>
      <c r="AN286" s="12">
        <f>(AN157-AM157)*-1</f>
        <v>0</v>
      </c>
      <c r="AO286" s="12">
        <f>(AO157-AN157)*-1</f>
        <v>0</v>
      </c>
      <c r="AP286" s="12">
        <f>(AP157-AO157)*-1</f>
        <v>0</v>
      </c>
      <c r="AQ286" s="12">
        <f>SUM(AM286:AP286)</f>
        <v>0</v>
      </c>
      <c r="AR286" s="12">
        <f>(AR157-AQ157)*-1</f>
        <v>0</v>
      </c>
      <c r="AS286" s="12">
        <f>(AS157-AR157)*-1</f>
        <v>0</v>
      </c>
      <c r="AT286" s="12">
        <f>(AT157-AS157)*-1</f>
        <v>0</v>
      </c>
      <c r="AU286" s="12">
        <f>(AU157-AT157)*-1</f>
        <v>0</v>
      </c>
      <c r="AV286" s="12">
        <f>SUM(AR286:AU286)</f>
        <v>0</v>
      </c>
      <c r="AW286" s="12">
        <f>(AW157-AV157)*-1</f>
        <v>0</v>
      </c>
      <c r="AX286" s="12">
        <f>(AX157-AW157)*-1</f>
        <v>0</v>
      </c>
      <c r="AY286" s="12">
        <f>(AY157-AX157)*-1</f>
        <v>0</v>
      </c>
      <c r="AZ286" s="12">
        <f>(AZ157-AY157)*-1</f>
        <v>0</v>
      </c>
      <c r="BA286" s="12">
        <f>SUM(AW286:AZ286)</f>
        <v>0</v>
      </c>
      <c r="BB286" s="12">
        <f>(BB157-BA157)*-1</f>
        <v>0</v>
      </c>
      <c r="BC286" s="12">
        <f>(BC157-BB157)*-1</f>
        <v>0</v>
      </c>
      <c r="BD286" s="12">
        <f>(BD157-BC157)*-1</f>
        <v>0</v>
      </c>
      <c r="BE286" s="12">
        <f>(BE157-BD157)*-1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Dividends received from affiliates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0</v>
      </c>
      <c r="K287" s="12">
        <f>-K160</f>
        <v>0</v>
      </c>
      <c r="L287" s="12">
        <f>-L160</f>
        <v>0</v>
      </c>
      <c r="M287" s="12" t="n"/>
      <c r="N287" s="12">
        <f>-N160</f>
        <v>0</v>
      </c>
      <c r="O287" s="12">
        <f>-O160</f>
        <v>0</v>
      </c>
      <c r="P287" s="12">
        <f>-P160</f>
        <v>0</v>
      </c>
      <c r="Q287" s="12">
        <f>-Q160</f>
        <v>0</v>
      </c>
      <c r="R287" s="12">
        <f>SUM(N287:Q287)</f>
        <v>0</v>
      </c>
      <c r="S287" s="12">
        <f>-S160</f>
        <v>0</v>
      </c>
      <c r="T287" s="12">
        <f>-T160</f>
        <v>0</v>
      </c>
      <c r="U287" s="12">
        <f>-U160</f>
        <v>0</v>
      </c>
      <c r="V287" s="12">
        <f>-V160</f>
        <v>0</v>
      </c>
      <c r="W287" s="12">
        <f>SUM(S287:V287)</f>
        <v>0</v>
      </c>
      <c r="X287" s="12">
        <f>-X160</f>
        <v>0</v>
      </c>
      <c r="Y287" s="12">
        <f>-Y160</f>
        <v>0</v>
      </c>
      <c r="Z287" s="12">
        <f>-Z160</f>
        <v>0</v>
      </c>
      <c r="AA287" s="12">
        <f>-AA160</f>
        <v>0</v>
      </c>
      <c r="AB287" s="12">
        <f>SUM(X287:AA287)</f>
        <v>0</v>
      </c>
      <c r="AC287" s="12">
        <f>-AC160</f>
        <v>0</v>
      </c>
      <c r="AD287" s="12">
        <f>-AD160</f>
        <v>0</v>
      </c>
      <c r="AE287" s="12">
        <f>-AE160</f>
        <v>0</v>
      </c>
      <c r="AF287" s="12">
        <f>-AF160</f>
        <v>0</v>
      </c>
      <c r="AG287" s="12">
        <f>SUM(AC287:AF287)</f>
        <v>0</v>
      </c>
      <c r="AH287" s="12">
        <f>-AH160</f>
        <v>0</v>
      </c>
      <c r="AI287" s="12">
        <f>-AI160</f>
        <v>0</v>
      </c>
      <c r="AJ287" s="12">
        <f>-AJ160</f>
        <v>0</v>
      </c>
      <c r="AK287" s="12">
        <f>-AK160</f>
        <v>0</v>
      </c>
      <c r="AL287" s="12">
        <f>SUM(AH287:AK287)</f>
        <v>0</v>
      </c>
      <c r="AM287" s="12">
        <f>-AM160</f>
        <v>0</v>
      </c>
      <c r="AN287" s="12">
        <f>-AN160</f>
        <v>0</v>
      </c>
      <c r="AO287" s="12">
        <f>-AO160</f>
        <v>0</v>
      </c>
      <c r="AP287" s="12">
        <f>-AP160</f>
        <v>0</v>
      </c>
      <c r="AQ287" s="12">
        <f>SUM(AM287:AP287)</f>
        <v>0</v>
      </c>
      <c r="AR287" s="12">
        <f>-AR160</f>
        <v>0</v>
      </c>
      <c r="AS287" s="12">
        <f>-AS160</f>
        <v>0</v>
      </c>
      <c r="AT287" s="12">
        <f>-AT160</f>
        <v>0</v>
      </c>
      <c r="AU287" s="12">
        <f>-AU160</f>
        <v>0</v>
      </c>
      <c r="AV287" s="12">
        <f>SUM(AR287:AU287)</f>
        <v>0</v>
      </c>
      <c r="AW287" s="12">
        <f>-AW160</f>
        <v>0</v>
      </c>
      <c r="AX287" s="12">
        <f>-AX160</f>
        <v>0</v>
      </c>
      <c r="AY287" s="12">
        <f>-AY160</f>
        <v>0</v>
      </c>
      <c r="AZ287" s="12">
        <f>-AZ160</f>
        <v>0</v>
      </c>
      <c r="BA287" s="12">
        <f>SUM(AW287:AZ287)</f>
        <v>0</v>
      </c>
      <c r="BB287" s="12">
        <f>-BB160</f>
        <v>0</v>
      </c>
      <c r="BC287" s="12">
        <f>-BC160</f>
        <v>0</v>
      </c>
      <c r="BD287" s="12">
        <f>-BD160</f>
        <v>0</v>
      </c>
      <c r="BE287" s="12">
        <f>-BE160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71" t="inlineStr">
        <is>
          <t>Minority interest expense</t>
        </is>
      </c>
      <c r="D288" s="12" t="n"/>
      <c r="E288" s="12" t="n"/>
      <c r="F288" s="12" t="n"/>
      <c r="G288" s="12" t="n"/>
      <c r="H288" s="12" t="n"/>
      <c r="I288" s="12" t="n"/>
      <c r="J288" s="12">
        <f>-J132</f>
        <v>0</v>
      </c>
      <c r="K288" s="12">
        <f>-K132</f>
        <v>0</v>
      </c>
      <c r="L288" s="12">
        <f>-L132</f>
        <v>0</v>
      </c>
      <c r="M288" s="12" t="n"/>
      <c r="N288" s="12">
        <f>-N132</f>
        <v>0</v>
      </c>
      <c r="O288" s="12">
        <f>-O132</f>
        <v>0</v>
      </c>
      <c r="P288" s="12">
        <f>-P132</f>
        <v>0</v>
      </c>
      <c r="Q288" s="12">
        <f>-Q132</f>
        <v>0</v>
      </c>
      <c r="R288" s="12">
        <f>SUM(N288:Q288)</f>
        <v>0</v>
      </c>
      <c r="S288" s="12">
        <f>-S132</f>
        <v>0</v>
      </c>
      <c r="T288" s="12">
        <f>-T132</f>
        <v>0</v>
      </c>
      <c r="U288" s="12">
        <f>-U132</f>
        <v>0</v>
      </c>
      <c r="V288" s="12">
        <f>-V132</f>
        <v>0</v>
      </c>
      <c r="W288" s="12">
        <f>SUM(S288:V288)</f>
        <v>0</v>
      </c>
      <c r="X288" s="12">
        <f>-X132</f>
        <v>0</v>
      </c>
      <c r="Y288" s="12">
        <f>-Y132</f>
        <v>0</v>
      </c>
      <c r="Z288" s="12">
        <f>-Z132</f>
        <v>0</v>
      </c>
      <c r="AA288" s="12">
        <f>-AA132</f>
        <v>0</v>
      </c>
      <c r="AB288" s="12">
        <f>SUM(X288:AA288)</f>
        <v>0</v>
      </c>
      <c r="AC288" s="12">
        <f>-AC132</f>
        <v>0</v>
      </c>
      <c r="AD288" s="12">
        <f>-AD132</f>
        <v>0</v>
      </c>
      <c r="AE288" s="12">
        <f>-AE132</f>
        <v>0</v>
      </c>
      <c r="AF288" s="12">
        <f>-AF132</f>
        <v>0</v>
      </c>
      <c r="AG288" s="12">
        <f>SUM(AC288:AF288)</f>
        <v>0</v>
      </c>
      <c r="AH288" s="12">
        <f>-AH132</f>
        <v>0</v>
      </c>
      <c r="AI288" s="12">
        <f>-AI132</f>
        <v>0</v>
      </c>
      <c r="AJ288" s="12">
        <f>-AJ132</f>
        <v>0</v>
      </c>
      <c r="AK288" s="12">
        <f>-AK132</f>
        <v>0</v>
      </c>
      <c r="AL288" s="12">
        <f>SUM(AH288:AK288)</f>
        <v>0</v>
      </c>
      <c r="AM288" s="12">
        <f>-AM132</f>
        <v>0</v>
      </c>
      <c r="AN288" s="12">
        <f>-AN132</f>
        <v>0</v>
      </c>
      <c r="AO288" s="12">
        <f>-AO132</f>
        <v>0</v>
      </c>
      <c r="AP288" s="12">
        <f>-AP132</f>
        <v>0</v>
      </c>
      <c r="AQ288" s="12">
        <f>SUM(AM288:AP288)</f>
        <v>0</v>
      </c>
      <c r="AR288" s="12">
        <f>-AR132</f>
        <v>0</v>
      </c>
      <c r="AS288" s="12">
        <f>-AS132</f>
        <v>0</v>
      </c>
      <c r="AT288" s="12">
        <f>-AT132</f>
        <v>0</v>
      </c>
      <c r="AU288" s="12">
        <f>-AU132</f>
        <v>0</v>
      </c>
      <c r="AV288" s="12">
        <f>SUM(AR288:AU288)</f>
        <v>0</v>
      </c>
      <c r="AW288" s="12">
        <f>-AW132</f>
        <v>0</v>
      </c>
      <c r="AX288" s="12">
        <f>-AX132</f>
        <v>0</v>
      </c>
      <c r="AY288" s="12">
        <f>-AY132</f>
        <v>0</v>
      </c>
      <c r="AZ288" s="12">
        <f>-AZ132</f>
        <v>0</v>
      </c>
      <c r="BA288" s="12">
        <f>SUM(AW288:AZ288)</f>
        <v>0</v>
      </c>
      <c r="BB288" s="12">
        <f>-BB132</f>
        <v>0</v>
      </c>
      <c r="BC288" s="12">
        <f>-BC132</f>
        <v>0</v>
      </c>
      <c r="BD288" s="12">
        <f>-BD132</f>
        <v>0</v>
      </c>
      <c r="BE288" s="12">
        <f>-BE132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inlineStr">
        <is>
          <t>Cash from operations</t>
        </is>
      </c>
      <c r="D289" s="12" t="n"/>
      <c r="E289" s="12" t="n"/>
      <c r="F289" s="12" t="n"/>
      <c r="G289" s="12" t="n"/>
      <c r="H289" s="12" t="n"/>
      <c r="I289" s="12" t="n"/>
      <c r="J289" s="12">
        <f>SUM(J273,J274,J275,J286,J287,J288)</f>
        <v>3134</v>
      </c>
      <c r="K289" s="12">
        <f>SUM(K273,K274,K275,K286,K287,K288)</f>
        <v>4423</v>
      </c>
      <c r="L289" s="12">
        <f>SUM(L273,L274,L275,L286,L287,L288)</f>
        <v>4801</v>
      </c>
      <c r="M289" s="12" t="n"/>
      <c r="N289" s="12">
        <f>SUM(N273,N274,N275,N286,N287,N288)</f>
        <v>3621</v>
      </c>
      <c r="O289" s="12">
        <f>SUM(O273,O274,O275,O286,O287,O288)</f>
        <v>3533</v>
      </c>
      <c r="P289" s="12">
        <f>SUM(P273,P274,P275,P286,P287,P288)</f>
        <v>3919</v>
      </c>
      <c r="Q289" s="12">
        <f>SUM(Q273,Q274,Q275,Q286,Q287,Q288)</f>
        <v>784</v>
      </c>
      <c r="R289" s="12">
        <f>SUM(R273,R274,R275,R286,R287,R288)</f>
        <v>11857</v>
      </c>
      <c r="S289" s="12">
        <f>SUM(S273,S274,S275,S286,S287,S288)</f>
        <v>-471</v>
      </c>
      <c r="T289" s="12">
        <f>SUM(T273,T274,T275,T286,T287,T288)</f>
        <v>-426</v>
      </c>
      <c r="U289" s="12">
        <f>SUM(U273,U274,U275,U286,U287,U288)</f>
        <v>-167</v>
      </c>
      <c r="V289" s="12">
        <f>SUM(V273,V274,V275,V286,V287,V288)</f>
        <v>863</v>
      </c>
      <c r="W289" s="12">
        <f>SUM(W273,W274,W275,W286,W287,W288)</f>
        <v>-201</v>
      </c>
      <c r="X289" s="12">
        <f>SUM(X273,X274,X275,X286,X287,X288)</f>
        <v>1276</v>
      </c>
      <c r="Y289" s="12">
        <f>SUM(Y273,Y274,Y275,Y286,Y287,Y288)</f>
        <v>2370</v>
      </c>
      <c r="Z289" s="12">
        <f>SUM(Z273,Z274,Z275,Z286,Z287,Z288)</f>
        <v>3999</v>
      </c>
      <c r="AA289" s="12">
        <f>SUM(AA273,AA274,AA275,AA286,AA287,AA288)</f>
        <v>2972</v>
      </c>
      <c r="AB289" s="12">
        <f>SUM(AB273,AB274,AB275,AB286,AB287,AB288)</f>
        <v>10617</v>
      </c>
      <c r="AC289" s="12">
        <f>SUM(AC273,AC274,AC275,AC286,AC287,AC288)</f>
        <v>2906</v>
      </c>
      <c r="AD289" s="12">
        <f>SUM(AD273,AD274,AD275,AD286,AD287,AD288)</f>
        <v>5638</v>
      </c>
      <c r="AE289" s="12">
        <f>SUM(AE273,AE274,AE275,AE286,AE287,AE288)</f>
        <v>5088</v>
      </c>
      <c r="AF289" s="12">
        <f>SUM(AF273,AF274,AF275,AF286,AF287,AF288)</f>
        <v>7211</v>
      </c>
      <c r="AG289" s="12">
        <f>SUM(AG273,AG274,AG275,AG286,AG287,AG288)</f>
        <v>20843</v>
      </c>
      <c r="AH289" s="12">
        <f>SUM(AH273,AH274,AH275,AH286,AH287,AH288)</f>
        <v>10775</v>
      </c>
      <c r="AI289" s="12">
        <f>SUM(AI273,AI274,AI275,AI286,AI287,AI288)</f>
        <v>21891</v>
      </c>
      <c r="AJ289" s="12">
        <f>SUM(AJ273,AJ274,AJ275,AJ286,AJ287,AJ288)</f>
        <v>21601.661262812</v>
      </c>
      <c r="AK289" s="12">
        <f>SUM(AK273,AK274,AK275,AK286,AK287,AK288)</f>
        <v>13428.0160955901</v>
      </c>
      <c r="AL289" s="12">
        <f>SUM(AL273,AL274,AL275,AL286,AL287,AL288)</f>
        <v>67695.677358402</v>
      </c>
      <c r="AM289" s="12">
        <f>SUM(AM273,AM274,AM275,AM286,AM287,AM288)</f>
        <v>13804.8648715459</v>
      </c>
      <c r="AN289" s="12">
        <f>SUM(AN273,AN274,AN275,AN286,AN287,AN288)</f>
        <v>25655.2349153971</v>
      </c>
      <c r="AO289" s="12">
        <f>SUM(AO273,AO274,AO275,AO286,AO287,AO288)</f>
        <v>55336.3541261641</v>
      </c>
      <c r="AP289" s="12">
        <f>SUM(AP273,AP274,AP275,AP286,AP287,AP288)</f>
        <v>29530.1728444576</v>
      </c>
      <c r="AQ289" s="12">
        <f>SUM(AQ273,AQ274,AQ275,AQ286,AQ287,AQ288)</f>
        <v>124326.626757565</v>
      </c>
      <c r="AR289" s="12">
        <f>SUM(AR273,AR274,AR275,AR286,AR287,AR288)</f>
        <v>31241.4510145911</v>
      </c>
      <c r="AS289" s="12">
        <f>SUM(AS273,AS274,AS275,AS286,AS287,AS288)</f>
        <v>55438.6873268215</v>
      </c>
      <c r="AT289" s="12">
        <f>SUM(AT273,AT274,AT275,AT286,AT287,AT288)</f>
        <v>121416.060500091</v>
      </c>
      <c r="AU289" s="12">
        <f>SUM(AU273,AU274,AU275,AU286,AU287,AU288)</f>
        <v>64793.5215335325</v>
      </c>
      <c r="AV289" s="12">
        <f>SUM(AV273,AV274,AV275,AV286,AV287,AV288)</f>
        <v>272889.720375036</v>
      </c>
      <c r="AW289" s="12">
        <f>SUM(AW273,AW274,AW275,AW286,AW287,AW288)</f>
        <v>66743.0299880663</v>
      </c>
      <c r="AX289" s="12">
        <f>SUM(AX273,AX274,AX275,AX286,AX287,AX288)</f>
        <v>123229.983780944</v>
      </c>
      <c r="AY289" s="12">
        <f>SUM(AY273,AY274,AY275,AY286,AY287,AY288)</f>
        <v>265797.528026971</v>
      </c>
      <c r="AZ289" s="12">
        <f>SUM(AZ273,AZ274,AZ275,AZ286,AZ287,AZ288)</f>
        <v>141842.502423824</v>
      </c>
      <c r="BA289" s="12">
        <f>SUM(BA273,BA274,BA275,BA286,BA287,BA288)</f>
        <v>597613.044219805</v>
      </c>
      <c r="BB289" s="12">
        <f>SUM(BB273,BB274,BB275,BB286,BB287,BB288)</f>
        <v>146253.781412652</v>
      </c>
      <c r="BC289" s="12">
        <f>SUM(BC273,BC274,BC275,BC286,BC287,BC288)</f>
        <v>269152.321672662</v>
      </c>
      <c r="BD289" s="12">
        <f>SUM(BD273,BD274,BD275,BD286,BD287,BD288)</f>
        <v>580540.705827605</v>
      </c>
      <c r="BE289" s="12">
        <f>SUM(BE273,BE274,BE275,BE286,BE287,BE288)</f>
        <v>309804.786691337</v>
      </c>
      <c r="BF289" s="12">
        <f>SUM(BF273,BF274,BF275,BF286,BF287,BF288)</f>
        <v>1305751.59560426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4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0" t="inlineStr">
        <is>
          <t>Purchase of fixed assets (capital expenditures)</t>
        </is>
      </c>
      <c r="D291" s="12" t="n"/>
      <c r="E291" s="12" t="n"/>
      <c r="F291" s="12" t="n"/>
      <c r="G291" s="12" t="n"/>
      <c r="H291" s="12" t="n"/>
      <c r="I291" s="12" t="n"/>
      <c r="J291" s="12">
        <f>-J164</f>
        <v>-1918</v>
      </c>
      <c r="K291" s="12">
        <f>-K164</f>
        <v>-2625</v>
      </c>
      <c r="L291" s="12">
        <f>-L164</f>
        <v>-3613</v>
      </c>
      <c r="M291" s="12" t="n"/>
      <c r="N291" s="12">
        <f>-N164</f>
        <v>-2758</v>
      </c>
      <c r="O291" s="12">
        <f>-O164</f>
        <v>-2315</v>
      </c>
      <c r="P291" s="12">
        <f>-P164</f>
        <v>-3766</v>
      </c>
      <c r="Q291" s="12">
        <f>-Q164</f>
        <v>-2707</v>
      </c>
      <c r="R291" s="12">
        <f>SUM(N291:Q291)</f>
        <v>-11546</v>
      </c>
      <c r="S291" s="12">
        <f>-S164</f>
        <v>-1692</v>
      </c>
      <c r="T291" s="12">
        <f>-T164</f>
        <v>-1598</v>
      </c>
      <c r="U291" s="12">
        <f>-U164</f>
        <v>-1138</v>
      </c>
      <c r="V291" s="12">
        <f>-V164</f>
        <v>-1664</v>
      </c>
      <c r="W291" s="12">
        <f>SUM(S291:V291)</f>
        <v>-6092</v>
      </c>
      <c r="X291" s="12">
        <f>-X164</f>
        <v>-1834</v>
      </c>
      <c r="Y291" s="12">
        <f>-Y164</f>
        <v>-2294</v>
      </c>
      <c r="Z291" s="12">
        <f>-Z164</f>
        <v>-3809</v>
      </c>
      <c r="AA291" s="12">
        <f>-AA164</f>
        <v>-3757</v>
      </c>
      <c r="AB291" s="12">
        <f>SUM(X291:AA291)</f>
        <v>-11694</v>
      </c>
      <c r="AC291" s="12">
        <f>-AC164</f>
        <v>-3131</v>
      </c>
      <c r="AD291" s="12">
        <f>-AD164</f>
        <v>-4339</v>
      </c>
      <c r="AE291" s="12">
        <f>-AE164</f>
        <v>-3966</v>
      </c>
      <c r="AF291" s="12">
        <f>-AF164</f>
        <v>-4099</v>
      </c>
      <c r="AG291" s="12">
        <f>SUM(AC291:AF291)</f>
        <v>-15535</v>
      </c>
      <c r="AH291" s="12">
        <f>-AH164</f>
        <v>-5217</v>
      </c>
      <c r="AI291" s="12">
        <f>-AI164</f>
        <v>-7382</v>
      </c>
      <c r="AJ291" s="12">
        <f>-AJ164</f>
        <v>-6504.51481455083</v>
      </c>
      <c r="AK291" s="12">
        <f>-AK164</f>
        <v>-7842.78352761087</v>
      </c>
      <c r="AL291" s="12">
        <f>SUM(AH291:AK291)</f>
        <v>-26946.2983421617</v>
      </c>
      <c r="AM291" s="12">
        <f>-AM164</f>
        <v>-13716.1045934762</v>
      </c>
      <c r="AN291" s="12">
        <f>-AN164</f>
        <v>-23831.3005878939</v>
      </c>
      <c r="AO291" s="12">
        <f>-AO164</f>
        <v>-14304.3801389323</v>
      </c>
      <c r="AP291" s="12">
        <f>-AP164</f>
        <v>-17247.4289204996</v>
      </c>
      <c r="AQ291" s="12">
        <f>SUM(AM291:AP291)</f>
        <v>-69099.2142408019</v>
      </c>
      <c r="AR291" s="12">
        <f>-AR164</f>
        <v>-30095.1410956737</v>
      </c>
      <c r="AS291" s="12">
        <f>-AS164</f>
        <v>-52289.3616622904</v>
      </c>
      <c r="AT291" s="12">
        <f>-AT164</f>
        <v>-31385.9037479253</v>
      </c>
      <c r="AU291" s="12">
        <f>-AU164</f>
        <v>-37843.3835468797</v>
      </c>
      <c r="AV291" s="12">
        <f>SUM(AR291:AU291)</f>
        <v>-151613.790052769</v>
      </c>
      <c r="AW291" s="12">
        <f>-AW164</f>
        <v>-65882.6688652692</v>
      </c>
      <c r="AX291" s="12">
        <f>-AX164</f>
        <v>-114469.066239673</v>
      </c>
      <c r="AY291" s="12">
        <f>-AY164</f>
        <v>-68708.337239164</v>
      </c>
      <c r="AZ291" s="12">
        <f>-AZ164</f>
        <v>-82844.7056963248</v>
      </c>
      <c r="BA291" s="12">
        <f>SUM(AW291:AZ291)</f>
        <v>-331904.778040431</v>
      </c>
      <c r="BB291" s="12">
        <f>-BB164</f>
        <v>-143897.392006478</v>
      </c>
      <c r="BC291" s="12">
        <f>-BC164</f>
        <v>-250017.195432546</v>
      </c>
      <c r="BD291" s="12">
        <f>-BD164</f>
        <v>-150069.065326364</v>
      </c>
      <c r="BE291" s="12">
        <f>-BE164</f>
        <v>-180944.963168146</v>
      </c>
      <c r="BF291" s="12">
        <f>SUM(BB291:BE291)</f>
        <v>-724928.615933534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0" t="inlineStr">
        <is>
          <t>Proceeds from sale of fixed assets</t>
        </is>
      </c>
      <c r="D292" s="12" t="n"/>
      <c r="E292" s="12" t="n"/>
      <c r="F292" s="12" t="n"/>
      <c r="G292" s="12" t="n"/>
      <c r="H292" s="12" t="n"/>
      <c r="I292" s="12" t="n"/>
      <c r="J292" s="12">
        <f>-J165</f>
        <v>0</v>
      </c>
      <c r="K292" s="12">
        <f>-K165</f>
        <v>0</v>
      </c>
      <c r="L292" s="12">
        <f>-L165</f>
        <v>0</v>
      </c>
      <c r="M292" s="12" t="n"/>
      <c r="N292" s="12">
        <f>-N165</f>
        <v>0</v>
      </c>
      <c r="O292" s="12">
        <f>-O165</f>
        <v>0</v>
      </c>
      <c r="P292" s="12">
        <f>-P165</f>
        <v>0</v>
      </c>
      <c r="Q292" s="12">
        <f>-Q165</f>
        <v>0</v>
      </c>
      <c r="R292" s="12">
        <f>SUM(N292:Q292)</f>
        <v>0</v>
      </c>
      <c r="S292" s="12">
        <f>-S165</f>
        <v>0</v>
      </c>
      <c r="T292" s="12">
        <f>-T165</f>
        <v>0</v>
      </c>
      <c r="U292" s="12">
        <f>-U165</f>
        <v>0</v>
      </c>
      <c r="V292" s="12">
        <f>-V165</f>
        <v>0</v>
      </c>
      <c r="W292" s="12">
        <f>SUM(S292:V292)</f>
        <v>0</v>
      </c>
      <c r="X292" s="12">
        <f>-X165</f>
        <v>0</v>
      </c>
      <c r="Y292" s="12">
        <f>-Y165</f>
        <v>0</v>
      </c>
      <c r="Z292" s="12">
        <f>-Z165</f>
        <v>0</v>
      </c>
      <c r="AA292" s="12">
        <f>-AA165</f>
        <v>0</v>
      </c>
      <c r="AB292" s="12">
        <f>SUM(X292:AA292)</f>
        <v>0</v>
      </c>
      <c r="AC292" s="12">
        <f>-AC165</f>
        <v>0</v>
      </c>
      <c r="AD292" s="12">
        <f>-AD165</f>
        <v>0</v>
      </c>
      <c r="AE292" s="12">
        <f>-AE165</f>
        <v>0</v>
      </c>
      <c r="AF292" s="12">
        <f>-AF165</f>
        <v>0</v>
      </c>
      <c r="AG292" s="12">
        <f>SUM(AC292:AF292)</f>
        <v>0</v>
      </c>
      <c r="AH292" s="12">
        <f>-AH165</f>
        <v>0</v>
      </c>
      <c r="AI292" s="12">
        <f>-AI165</f>
        <v>0</v>
      </c>
      <c r="AJ292" s="12">
        <f>-AJ165</f>
        <v>0</v>
      </c>
      <c r="AK292" s="12">
        <f>-AK165</f>
        <v>0</v>
      </c>
      <c r="AL292" s="12">
        <f>SUM(AH292:AK292)</f>
        <v>0</v>
      </c>
      <c r="AM292" s="12">
        <f>-AM165</f>
        <v>0</v>
      </c>
      <c r="AN292" s="12">
        <f>-AN165</f>
        <v>0</v>
      </c>
      <c r="AO292" s="12">
        <f>-AO165</f>
        <v>0</v>
      </c>
      <c r="AP292" s="12">
        <f>-AP165</f>
        <v>0</v>
      </c>
      <c r="AQ292" s="12">
        <f>SUM(AM292:AP292)</f>
        <v>0</v>
      </c>
      <c r="AR292" s="12">
        <f>-AR165</f>
        <v>0</v>
      </c>
      <c r="AS292" s="12">
        <f>-AS165</f>
        <v>0</v>
      </c>
      <c r="AT292" s="12">
        <f>-AT165</f>
        <v>0</v>
      </c>
      <c r="AU292" s="12">
        <f>-AU165</f>
        <v>0</v>
      </c>
      <c r="AV292" s="12">
        <f>SUM(AR292:AU292)</f>
        <v>0</v>
      </c>
      <c r="AW292" s="12">
        <f>-AW165</f>
        <v>0</v>
      </c>
      <c r="AX292" s="12">
        <f>-AX165</f>
        <v>0</v>
      </c>
      <c r="AY292" s="12">
        <f>-AY165</f>
        <v>0</v>
      </c>
      <c r="AZ292" s="12">
        <f>-AZ165</f>
        <v>0</v>
      </c>
      <c r="BA292" s="12">
        <f>SUM(AW292:AZ292)</f>
        <v>0</v>
      </c>
      <c r="BB292" s="12">
        <f>-BB165</f>
        <v>0</v>
      </c>
      <c r="BC292" s="12">
        <f>-BC165</f>
        <v>0</v>
      </c>
      <c r="BD292" s="12">
        <f>-BD165</f>
        <v>0</v>
      </c>
      <c r="BE292" s="12">
        <f>-BE165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>Var.Right-of-use-assets</t>
        </is>
      </c>
      <c r="D293" s="12" t="n"/>
      <c r="E293" s="12" t="n"/>
      <c r="F293" s="12" t="n"/>
      <c r="G293" s="12" t="n"/>
      <c r="H293" s="12" t="n"/>
      <c r="I293" s="12" t="n"/>
      <c r="J293" s="12">
        <f>(J172-I172)*-1</f>
        <v>17</v>
      </c>
      <c r="K293" s="12">
        <f>(K172-J172)*-1</f>
        <v>7</v>
      </c>
      <c r="L293" s="12">
        <f>(L172-K172)*-1</f>
        <v>-23</v>
      </c>
      <c r="M293" s="12" t="n"/>
      <c r="N293" s="12">
        <f>(N172-M172)*-1</f>
        <v>-13</v>
      </c>
      <c r="O293" s="12">
        <f>(O172-N172)*-1</f>
        <v>-103</v>
      </c>
      <c r="P293" s="12">
        <f>(P172-O172)*-1</f>
        <v>12</v>
      </c>
      <c r="Q293" s="12">
        <f>(Q172-P172)*-1</f>
        <v>-15</v>
      </c>
      <c r="R293" s="12">
        <f>SUM(N293:Q293)</f>
        <v>-119</v>
      </c>
      <c r="S293" s="12">
        <f>(S172-R172)*-1</f>
        <v>20</v>
      </c>
      <c r="T293" s="12">
        <f>(T172-S172)*-1</f>
        <v>18</v>
      </c>
      <c r="U293" s="12">
        <f>(U172-T172)*-1</f>
        <v>-11</v>
      </c>
      <c r="V293" s="12">
        <f>(V172-U172)*-1</f>
        <v>18</v>
      </c>
      <c r="W293" s="12">
        <f>SUM(S293:V293)</f>
        <v>45</v>
      </c>
      <c r="X293" s="12">
        <f>(X172-W172)*-1</f>
        <v>6</v>
      </c>
      <c r="Y293" s="12">
        <f>(Y172-X172)*-1</f>
        <v>-18</v>
      </c>
      <c r="Z293" s="12">
        <f>(Z172-Y172)*-1</f>
        <v>15</v>
      </c>
      <c r="AA293" s="12">
        <f>(AA172-Z172)*-1</f>
        <v>23</v>
      </c>
      <c r="AB293" s="12">
        <f>SUM(X293:AA293)</f>
        <v>26</v>
      </c>
      <c r="AC293" s="12">
        <f>(AC172-AB172)*-1</f>
        <v>-15</v>
      </c>
      <c r="AD293" s="12">
        <f>(AD172-AC172)*-1</f>
        <v>9</v>
      </c>
      <c r="AE293" s="12">
        <f>(AE172-AD172)*-1</f>
        <v>-108</v>
      </c>
      <c r="AF293" s="12">
        <f>(AF172-AE172)*-1</f>
        <v>36</v>
      </c>
      <c r="AG293" s="12">
        <f>SUM(AC293:AF293)</f>
        <v>-78</v>
      </c>
      <c r="AH293" s="12">
        <f>(AH172-AG172)*-1</f>
        <v>16</v>
      </c>
      <c r="AI293" s="12">
        <f>(AI172-AH172)*-1</f>
        <v>1</v>
      </c>
      <c r="AJ293" s="12">
        <f>(AJ172-AI172)*-1</f>
        <v>0</v>
      </c>
      <c r="AK293" s="12">
        <f>(AK172-AJ172)*-1</f>
        <v>0</v>
      </c>
      <c r="AL293" s="12">
        <f>SUM(AH293:AK293)</f>
        <v>17</v>
      </c>
      <c r="AM293" s="12">
        <f>(AM172-AL172)*-1</f>
        <v>0</v>
      </c>
      <c r="AN293" s="12">
        <f>(AN172-AM172)*-1</f>
        <v>0</v>
      </c>
      <c r="AO293" s="12">
        <f>(AO172-AN172)*-1</f>
        <v>0</v>
      </c>
      <c r="AP293" s="12">
        <f>(AP172-AO172)*-1</f>
        <v>0</v>
      </c>
      <c r="AQ293" s="12">
        <f>SUM(AM293:AP293)</f>
        <v>0</v>
      </c>
      <c r="AR293" s="12">
        <f>(AR172-AQ172)*-1</f>
        <v>0</v>
      </c>
      <c r="AS293" s="12">
        <f>(AS172-AR172)*-1</f>
        <v>0</v>
      </c>
      <c r="AT293" s="12">
        <f>(AT172-AS172)*-1</f>
        <v>0</v>
      </c>
      <c r="AU293" s="12">
        <f>(AU172-AT172)*-1</f>
        <v>0</v>
      </c>
      <c r="AV293" s="12">
        <f>SUM(AR293:AU293)</f>
        <v>0</v>
      </c>
      <c r="AW293" s="12">
        <f>(AW172-AV172)*-1</f>
        <v>0</v>
      </c>
      <c r="AX293" s="12">
        <f>(AX172-AW172)*-1</f>
        <v>0</v>
      </c>
      <c r="AY293" s="12">
        <f>(AY172-AX172)*-1</f>
        <v>0</v>
      </c>
      <c r="AZ293" s="12">
        <f>(AZ172-AY172)*-1</f>
        <v>0</v>
      </c>
      <c r="BA293" s="12">
        <f>SUM(AW293:AZ293)</f>
        <v>0</v>
      </c>
      <c r="BB293" s="12">
        <f>(BB172-BA172)*-1</f>
        <v>0</v>
      </c>
      <c r="BC293" s="12">
        <f>(BC172-BB172)*-1</f>
        <v>0</v>
      </c>
      <c r="BD293" s="12">
        <f>(BD172-BC172)*-1</f>
        <v>0</v>
      </c>
      <c r="BE293" s="12">
        <f>(BE172-BD172)*-1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  <c r="CZ293" s="12" t="n"/>
      <c r="DA293" s="12" t="n"/>
      <c r="DB293" s="12" t="n"/>
      <c r="DC293" s="12" t="n"/>
    </row>
    <row r="294">
      <c r="C294" s="10" t="inlineStr">
        <is>
          <t>Purchases of intangible assets</t>
        </is>
      </c>
      <c r="D294" s="12" t="n"/>
      <c r="E294" s="12" t="n"/>
      <c r="F294" s="12" t="n"/>
      <c r="G294" s="12" t="n"/>
      <c r="H294" s="12" t="n"/>
      <c r="I294" s="12" t="n"/>
      <c r="J294" s="12">
        <f>((J176-I176)*-1)+((J175-I175)*-1)</f>
        <v>-8</v>
      </c>
      <c r="K294" s="12">
        <f>((K176-J176)*-1)+((K175-J175)*-1)</f>
        <v>1</v>
      </c>
      <c r="L294" s="12">
        <f>((L176-K176)*-1)+((L175-K175)*-1)</f>
        <v>2</v>
      </c>
      <c r="M294" s="12" t="n"/>
      <c r="N294" s="12">
        <f>((N176-M176)*-1)+((N175-M175)*-1)</f>
        <v>-67</v>
      </c>
      <c r="O294" s="12">
        <f>((O176-N176)*-1)+((O175-N175)*-1)</f>
        <v>-1</v>
      </c>
      <c r="P294" s="12">
        <f>((P176-O176)*-1)+((P175-O175)*-1)</f>
        <v>-6</v>
      </c>
      <c r="Q294" s="12">
        <f>((Q176-P176)*-1)+((Q175-P175)*-1)</f>
        <v>-7</v>
      </c>
      <c r="R294" s="12">
        <f>SUM(N294:Q294)</f>
        <v>-81</v>
      </c>
      <c r="S294" s="12">
        <f>((S176-R176)*-1)+((S175-R175)*-1)</f>
        <v>18</v>
      </c>
      <c r="T294" s="12">
        <f>((T176-S176)*-1)+((T175-S175)*-1)</f>
        <v>-24</v>
      </c>
      <c r="U294" s="12">
        <f>((U176-T176)*-1)+((U175-T175)*-1)</f>
        <v>108</v>
      </c>
      <c r="V294" s="12">
        <f>((V176-U176)*-1)+((V175-U175)*-1)</f>
        <v>-12</v>
      </c>
      <c r="W294" s="12">
        <f>SUM(S294:V294)</f>
        <v>90</v>
      </c>
      <c r="X294" s="12">
        <f>((X176-W176)*-1)+((X175-W175)*-1)</f>
        <v>2</v>
      </c>
      <c r="Y294" s="12">
        <f>((Y176-X176)*-1)+((Y175-X175)*-1)</f>
        <v>1</v>
      </c>
      <c r="Z294" s="12">
        <f>((Z176-Y176)*-1)+((Z175-Y175)*-1)</f>
        <v>-3</v>
      </c>
      <c r="AA294" s="12">
        <f>((AA176-Z176)*-1)+((AA175-Z175)*-1)</f>
        <v>-3</v>
      </c>
      <c r="AB294" s="12">
        <f>SUM(X294:AA294)</f>
        <v>-3</v>
      </c>
      <c r="AC294" s="12">
        <f>((AC176-AB176)*-1)+((AC175-AB175)*-1)</f>
        <v>-4</v>
      </c>
      <c r="AD294" s="12">
        <f>((AD176-AC176)*-1)+((AD175-AC175)*-1)</f>
        <v>-3</v>
      </c>
      <c r="AE294" s="12">
        <f>((AE176-AD176)*-1)+((AE175-AD175)*-1)</f>
        <v>-27</v>
      </c>
      <c r="AF294" s="12">
        <f>((AF176-AE176)*-1)+((AF175-AE175)*-1)</f>
        <v>-12</v>
      </c>
      <c r="AG294" s="12">
        <f>SUM(AC294:AF294)</f>
        <v>-46</v>
      </c>
      <c r="AH294" s="12">
        <f>((AH176-AG176)*-1)+((AH175-AG175)*-1)</f>
        <v>-3</v>
      </c>
      <c r="AI294" s="12">
        <f>((AI176-AH176)*-1)+((AI175-AH175)*-1)</f>
        <v>-5</v>
      </c>
      <c r="AJ294" s="12">
        <f>((AJ176-AI176)*-1)+((AJ175-AI175)*-1)</f>
        <v>0</v>
      </c>
      <c r="AK294" s="12">
        <f>((AK176-AJ176)*-1)+((AK175-AJ175)*-1)</f>
        <v>0</v>
      </c>
      <c r="AL294" s="12">
        <f>SUM(AH294:AK294)</f>
        <v>-8</v>
      </c>
      <c r="AM294" s="12">
        <f>((AM176-AL176)*-1)+((AM175-AL175)*-1)</f>
        <v>0</v>
      </c>
      <c r="AN294" s="12">
        <f>((AN176-AM176)*-1)+((AN175-AM175)*-1)</f>
        <v>0</v>
      </c>
      <c r="AO294" s="12">
        <f>((AO176-AN176)*-1)+((AO175-AN175)*-1)</f>
        <v>0</v>
      </c>
      <c r="AP294" s="12">
        <f>((AP176-AO176)*-1)+((AP175-AO175)*-1)</f>
        <v>0</v>
      </c>
      <c r="AQ294" s="12">
        <f>SUM(AM294:AP294)</f>
        <v>0</v>
      </c>
      <c r="AR294" s="12">
        <f>((AR176-AQ176)*-1)+((AR175-AQ175)*-1)</f>
        <v>0</v>
      </c>
      <c r="AS294" s="12">
        <f>((AS176-AR176)*-1)+((AS175-AR175)*-1)</f>
        <v>0</v>
      </c>
      <c r="AT294" s="12">
        <f>((AT176-AS176)*-1)+((AT175-AS175)*-1)</f>
        <v>0</v>
      </c>
      <c r="AU294" s="12">
        <f>((AU176-AT176)*-1)+((AU175-AT175)*-1)</f>
        <v>0</v>
      </c>
      <c r="AV294" s="12">
        <f>SUM(AR294:AU294)</f>
        <v>0</v>
      </c>
      <c r="AW294" s="12">
        <f>((AW176-AV176)*-1)+((AW175-AV175)*-1)</f>
        <v>0</v>
      </c>
      <c r="AX294" s="12">
        <f>((AX176-AW176)*-1)+((AX175-AW175)*-1)</f>
        <v>0</v>
      </c>
      <c r="AY294" s="12">
        <f>((AY176-AX176)*-1)+((AY175-AX175)*-1)</f>
        <v>0</v>
      </c>
      <c r="AZ294" s="12">
        <f>((AZ176-AY176)*-1)+((AZ175-AY175)*-1)</f>
        <v>0</v>
      </c>
      <c r="BA294" s="12">
        <f>SUM(AW294:AZ294)</f>
        <v>0</v>
      </c>
      <c r="BB294" s="12">
        <f>((BB176-BA176)*-1)+((BB175-BA175)*-1)</f>
        <v>0</v>
      </c>
      <c r="BC294" s="12">
        <f>((BC176-BB176)*-1)+((BC175-BB175)*-1)</f>
        <v>0</v>
      </c>
      <c r="BD294" s="12">
        <f>((BD176-BC176)*-1)+((BD175-BC175)*-1)</f>
        <v>0</v>
      </c>
      <c r="BE294" s="12">
        <f>((BE176-BD176)*-1)+((BE175-BD175)*-1)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  <c r="CZ294" s="12" t="n"/>
      <c r="DA294" s="12" t="n"/>
      <c r="DB294" s="12" t="n"/>
      <c r="DC294" s="12" t="n"/>
    </row>
    <row r="295">
      <c r="C295" s="71" t="inlineStr">
        <is>
          <t>Purchases/Proceeds from other long-term assets</t>
        </is>
      </c>
      <c r="D295" s="12" t="n"/>
      <c r="E295" s="12" t="n"/>
      <c r="F295" s="12" t="n"/>
      <c r="G295" s="12" t="n"/>
      <c r="H295" s="12" t="n"/>
      <c r="I295" s="12" t="n"/>
      <c r="J295" s="12">
        <f>((J185-I185)*-1)+(J236-I236)</f>
        <v>0</v>
      </c>
      <c r="K295" s="12">
        <f>((K185-J185)*-1)+(K236-J236)</f>
        <v>-528</v>
      </c>
      <c r="L295" s="12">
        <f>((L185-K185)*-1)+(L236-K236)</f>
        <v>-154</v>
      </c>
      <c r="M295" s="12" t="n"/>
      <c r="N295" s="12">
        <f>((N185-M185)*-1)+(N236-M236)</f>
        <v>19</v>
      </c>
      <c r="O295" s="12">
        <f>((O185-N185)*-1)+(O236-N236)</f>
        <v>200</v>
      </c>
      <c r="P295" s="12">
        <f>((P185-O185)*-1)+(P236-O236)</f>
        <v>-113</v>
      </c>
      <c r="Q295" s="12">
        <f>((Q185-P185)*-1)+(Q236-P236)</f>
        <v>227</v>
      </c>
      <c r="R295" s="12">
        <f>SUM(N295:Q295)</f>
        <v>333</v>
      </c>
      <c r="S295" s="12">
        <f>((S185-R185)*-1)+(S236-R236)</f>
        <v>105</v>
      </c>
      <c r="T295" s="12">
        <f>((T185-S185)*-1)+(T236-S236)</f>
        <v>556</v>
      </c>
      <c r="U295" s="12">
        <f>((U185-T185)*-1)+(U236-T236)</f>
        <v>220</v>
      </c>
      <c r="V295" s="12">
        <f>((V185-U185)*-1)+(V236-U236)</f>
        <v>77</v>
      </c>
      <c r="W295" s="12">
        <f>SUM(S295:V295)</f>
        <v>958</v>
      </c>
      <c r="X295" s="12">
        <f>((X185-W185)*-1)+(X236-W236)</f>
        <v>107</v>
      </c>
      <c r="Y295" s="12">
        <f>((Y185-X185)*-1)+(Y236-X236)</f>
        <v>-261</v>
      </c>
      <c r="Z295" s="12">
        <f>((Z185-Y185)*-1)+(Z236-Y236)</f>
        <v>-634</v>
      </c>
      <c r="AA295" s="12">
        <f>((AA185-Z185)*-1)+(AA236-Z236)</f>
        <v>85</v>
      </c>
      <c r="AB295" s="12">
        <f>SUM(X295:AA295)</f>
        <v>-703</v>
      </c>
      <c r="AC295" s="12">
        <f>((AC185-AB185)*-1)+(AC236-AB236)</f>
        <v>37</v>
      </c>
      <c r="AD295" s="12">
        <f>((AD185-AC185)*-1)+(AD236-AC236)</f>
        <v>-126</v>
      </c>
      <c r="AE295" s="12">
        <f>((AE185-AD185)*-1)+(AE236-AD236)</f>
        <v>-844</v>
      </c>
      <c r="AF295" s="12">
        <f>((AF185-AE185)*-1)+(AF236-AE236)</f>
        <v>327</v>
      </c>
      <c r="AG295" s="12">
        <f>SUM(AC295:AF295)</f>
        <v>-606</v>
      </c>
      <c r="AH295" s="12">
        <f>((AH185-AG185)*-1)+(AH236-AG236)</f>
        <v>459</v>
      </c>
      <c r="AI295" s="12">
        <f>((AI185-AH185)*-1)+(AI236-AH236)</f>
        <v>1328</v>
      </c>
      <c r="AJ295" s="12">
        <f>((AJ185-AI185)*-1)+(AJ236-AI236)</f>
        <v>0</v>
      </c>
      <c r="AK295" s="12">
        <f>((AK185-AJ185)*-1)+(AK236-AJ236)</f>
        <v>0</v>
      </c>
      <c r="AL295" s="12">
        <f>SUM(AH295:AK295)</f>
        <v>1787</v>
      </c>
      <c r="AM295" s="12">
        <f>((AM185-AL185)*-1)+(AM236-AL236)</f>
        <v>0</v>
      </c>
      <c r="AN295" s="12">
        <f>((AN185-AM185)*-1)+(AN236-AM236)</f>
        <v>0</v>
      </c>
      <c r="AO295" s="12">
        <f>((AO185-AN185)*-1)+(AO236-AN236)</f>
        <v>0</v>
      </c>
      <c r="AP295" s="12">
        <f>((AP185-AO185)*-1)+(AP236-AO236)</f>
        <v>0</v>
      </c>
      <c r="AQ295" s="12">
        <f>SUM(AM295:AP295)</f>
        <v>0</v>
      </c>
      <c r="AR295" s="12">
        <f>((AR185-AQ185)*-1)+(AR236-AQ236)</f>
        <v>0</v>
      </c>
      <c r="AS295" s="12">
        <f>((AS185-AR185)*-1)+(AS236-AR236)</f>
        <v>0</v>
      </c>
      <c r="AT295" s="12">
        <f>((AT185-AS185)*-1)+(AT236-AS236)</f>
        <v>0</v>
      </c>
      <c r="AU295" s="12">
        <f>((AU185-AT185)*-1)+(AU236-AT236)</f>
        <v>0</v>
      </c>
      <c r="AV295" s="12">
        <f>SUM(AR295:AU295)</f>
        <v>0</v>
      </c>
      <c r="AW295" s="12">
        <f>((AW185-AV185)*-1)+(AW236-AV236)</f>
        <v>0</v>
      </c>
      <c r="AX295" s="12">
        <f>((AX185-AW185)*-1)+(AX236-AW236)</f>
        <v>0</v>
      </c>
      <c r="AY295" s="12">
        <f>((AY185-AX185)*-1)+(AY236-AX236)</f>
        <v>0</v>
      </c>
      <c r="AZ295" s="12">
        <f>((AZ185-AY185)*-1)+(AZ236-AY236)</f>
        <v>0</v>
      </c>
      <c r="BA295" s="12">
        <f>SUM(AW295:AZ295)</f>
        <v>0</v>
      </c>
      <c r="BB295" s="12">
        <f>((BB185-BA185)*-1)+(BB236-BA236)</f>
        <v>0</v>
      </c>
      <c r="BC295" s="12">
        <f>((BC185-BB185)*-1)+(BC236-BB236)</f>
        <v>0</v>
      </c>
      <c r="BD295" s="12">
        <f>((BD185-BC185)*-1)+(BD236-BC236)</f>
        <v>0</v>
      </c>
      <c r="BE295" s="12">
        <f>((BE185-BD185)*-1)+(BE236-BD236)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Cash from investing</t>
        </is>
      </c>
      <c r="D296" s="12" t="n"/>
      <c r="E296" s="12" t="n"/>
      <c r="F296" s="12" t="n"/>
      <c r="G296" s="12" t="n"/>
      <c r="H296" s="12" t="n"/>
      <c r="I296" s="12" t="n"/>
      <c r="J296" s="12">
        <f>SUM(J291,J292,J294,J295,J293)</f>
        <v>-1909</v>
      </c>
      <c r="K296" s="12">
        <f>SUM(K291,K292,K294,K295,K293)</f>
        <v>-3145</v>
      </c>
      <c r="L296" s="12">
        <f>SUM(L291,L292,L294,L295,L293)</f>
        <v>-3788</v>
      </c>
      <c r="M296" s="12" t="n"/>
      <c r="N296" s="12">
        <f>SUM(N291,N292,N294,N295,N293)</f>
        <v>-2819</v>
      </c>
      <c r="O296" s="12">
        <f>SUM(O291,O292,O294,O295,O293)</f>
        <v>-2219</v>
      </c>
      <c r="P296" s="12">
        <f>SUM(P291,P292,P294,P295,P293)</f>
        <v>-3873</v>
      </c>
      <c r="Q296" s="12">
        <f>SUM(Q291,Q292,Q294,Q295,Q293)</f>
        <v>-2502</v>
      </c>
      <c r="R296" s="12">
        <f>SUM(R291,R292,R294,R295)</f>
        <v>-11294</v>
      </c>
      <c r="S296" s="12">
        <f>SUM(S291,S292,S294,S295,S293)</f>
        <v>-1549</v>
      </c>
      <c r="T296" s="12">
        <f>SUM(T291,T292,T294,T295,T293)</f>
        <v>-1048</v>
      </c>
      <c r="U296" s="12">
        <f>SUM(U291,U292,U294,U295,U293)</f>
        <v>-821</v>
      </c>
      <c r="V296" s="12">
        <f>SUM(V291,V292,V294,V295,V293)</f>
        <v>-1581</v>
      </c>
      <c r="W296" s="12">
        <f>SUM(W291,W292,W294,W295)</f>
        <v>-5044</v>
      </c>
      <c r="X296" s="12">
        <f>SUM(X291,X292,X294,X295,X293)</f>
        <v>-1719</v>
      </c>
      <c r="Y296" s="12">
        <f>SUM(Y291,Y292,Y294,Y295,Y293)</f>
        <v>-2572</v>
      </c>
      <c r="Z296" s="12">
        <f>SUM(Z291,Z292,Z294,Z295,Z293)</f>
        <v>-4431</v>
      </c>
      <c r="AA296" s="12">
        <f>SUM(AA291,AA292,AA294,AA295,AA293)</f>
        <v>-3652</v>
      </c>
      <c r="AB296" s="12">
        <f>SUM(AB291,AB292,AB294,AB295)</f>
        <v>-12400</v>
      </c>
      <c r="AC296" s="12">
        <f>SUM(AC291,AC292,AC294,AC295,AC293)</f>
        <v>-3113</v>
      </c>
      <c r="AD296" s="12">
        <f>SUM(AD291,AD292,AD294,AD295,AD293)</f>
        <v>-4459</v>
      </c>
      <c r="AE296" s="12">
        <f>SUM(AE291,AE292,AE294,AE295,AE293)</f>
        <v>-4945</v>
      </c>
      <c r="AF296" s="12">
        <f>SUM(AF291,AF292,AF294,AF295,AF293)</f>
        <v>-3748</v>
      </c>
      <c r="AG296" s="12">
        <f>SUM(AG291,AG292,AG294,AG295)</f>
        <v>-16187</v>
      </c>
      <c r="AH296" s="12">
        <f>SUM(AH291,AH292,AH294,AH295,AH293)</f>
        <v>-4745</v>
      </c>
      <c r="AI296" s="12">
        <f>SUM(AI291,AI292,AI294,AI295,AI293)</f>
        <v>-6058</v>
      </c>
      <c r="AJ296" s="12">
        <f>SUM(AJ291,AJ292,AJ294,AJ295,AJ293)</f>
        <v>-6504.51481455083</v>
      </c>
      <c r="AK296" s="12">
        <f>SUM(AK291,AK292,AK294,AK295,AK293)</f>
        <v>-7842.78352761087</v>
      </c>
      <c r="AL296" s="12">
        <f>SUM(AL291,AL292,AL294,AL295)</f>
        <v>-25167.2983421617</v>
      </c>
      <c r="AM296" s="12">
        <f>SUM(AM291,AM292,AM294,AM295,AM293)</f>
        <v>-13716.1045934762</v>
      </c>
      <c r="AN296" s="12">
        <f>SUM(AN291,AN292,AN294,AN295,AN293)</f>
        <v>-23831.3005878939</v>
      </c>
      <c r="AO296" s="12">
        <f>SUM(AO291,AO292,AO294,AO295,AO293)</f>
        <v>-14304.3801389323</v>
      </c>
      <c r="AP296" s="12">
        <f>SUM(AP291,AP292,AP294,AP295,AP293)</f>
        <v>-17247.4289204996</v>
      </c>
      <c r="AQ296" s="12">
        <f>SUM(AQ291,AQ292,AQ294,AQ295)</f>
        <v>-69099.2142408019</v>
      </c>
      <c r="AR296" s="12">
        <f>SUM(AR291,AR292,AR294,AR295,AR293)</f>
        <v>-30095.1410956737</v>
      </c>
      <c r="AS296" s="12">
        <f>SUM(AS291,AS292,AS294,AS295,AS293)</f>
        <v>-52289.3616622904</v>
      </c>
      <c r="AT296" s="12">
        <f>SUM(AT291,AT292,AT294,AT295,AT293)</f>
        <v>-31385.9037479253</v>
      </c>
      <c r="AU296" s="12">
        <f>SUM(AU291,AU292,AU294,AU295,AU293)</f>
        <v>-37843.3835468797</v>
      </c>
      <c r="AV296" s="12">
        <f>SUM(AV291,AV292,AV294,AV295)</f>
        <v>-151613.790052769</v>
      </c>
      <c r="AW296" s="12">
        <f>SUM(AW291,AW292,AW294,AW295,AW293)</f>
        <v>-65882.6688652692</v>
      </c>
      <c r="AX296" s="12">
        <f>SUM(AX291,AX292,AX294,AX295,AX293)</f>
        <v>-114469.066239673</v>
      </c>
      <c r="AY296" s="12">
        <f>SUM(AY291,AY292,AY294,AY295,AY293)</f>
        <v>-68708.337239164</v>
      </c>
      <c r="AZ296" s="12">
        <f>SUM(AZ291,AZ292,AZ294,AZ295,AZ293)</f>
        <v>-82844.7056963248</v>
      </c>
      <c r="BA296" s="12">
        <f>SUM(BA291,BA292,BA294,BA295)</f>
        <v>-331904.778040431</v>
      </c>
      <c r="BB296" s="12">
        <f>SUM(BB291,BB292,BB294,BB295,BB293)</f>
        <v>-143897.392006478</v>
      </c>
      <c r="BC296" s="12">
        <f>SUM(BC291,BC292,BC294,BC295,BC293)</f>
        <v>-250017.195432546</v>
      </c>
      <c r="BD296" s="12">
        <f>SUM(BD291,BD292,BD294,BD295,BD293)</f>
        <v>-150069.065326364</v>
      </c>
      <c r="BE296" s="12">
        <f>SUM(BE291,BE292,BE294,BE295,BE293)</f>
        <v>-180944.963168146</v>
      </c>
      <c r="BF296" s="12">
        <f>SUM(BF291,BF292,BF294,BF295)</f>
        <v>-724928.615933534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Convertible preferred stock</t>
        </is>
      </c>
      <c r="D298" s="12" t="n"/>
      <c r="E298" s="12" t="n"/>
      <c r="F298" s="12" t="n"/>
      <c r="G298" s="12" t="n"/>
      <c r="H298" s="12" t="n"/>
      <c r="I298" s="12" t="n"/>
      <c r="J298" s="12">
        <f>J249-I249</f>
        <v>0</v>
      </c>
      <c r="K298" s="12">
        <f>K249-J249</f>
        <v>0</v>
      </c>
      <c r="L298" s="12">
        <f>L249-K249</f>
        <v>0</v>
      </c>
      <c r="M298" s="12" t="n"/>
      <c r="N298" s="12">
        <f>N249-M249</f>
        <v>0</v>
      </c>
      <c r="O298" s="12">
        <f>O249-N249</f>
        <v>0</v>
      </c>
      <c r="P298" s="12">
        <f>P249-O249</f>
        <v>0</v>
      </c>
      <c r="Q298" s="12">
        <f>Q249-P249</f>
        <v>0</v>
      </c>
      <c r="R298" s="12">
        <f>SUM(N298:Q298)</f>
        <v>0</v>
      </c>
      <c r="S298" s="12">
        <f>S249-R249</f>
        <v>0</v>
      </c>
      <c r="T298" s="12">
        <f>T249-S249</f>
        <v>0</v>
      </c>
      <c r="U298" s="12">
        <f>U249-T249</f>
        <v>0</v>
      </c>
      <c r="V298" s="12">
        <f>V249-U249</f>
        <v>0</v>
      </c>
      <c r="W298" s="12">
        <f>SUM(S298:V298)</f>
        <v>0</v>
      </c>
      <c r="X298" s="12">
        <f>X249-W249</f>
        <v>0</v>
      </c>
      <c r="Y298" s="12">
        <f>Y249-X249</f>
        <v>0</v>
      </c>
      <c r="Z298" s="12">
        <f>Z249-Y249</f>
        <v>0</v>
      </c>
      <c r="AA298" s="12">
        <f>AA249-Z249</f>
        <v>0</v>
      </c>
      <c r="AB298" s="12">
        <f>SUM(X298:AA298)</f>
        <v>0</v>
      </c>
      <c r="AC298" s="12">
        <f>AC249-AB249</f>
        <v>0</v>
      </c>
      <c r="AD298" s="12">
        <f>AD249-AC249</f>
        <v>0</v>
      </c>
      <c r="AE298" s="12">
        <f>AE249-AD249</f>
        <v>0</v>
      </c>
      <c r="AF298" s="12">
        <f>AF249-AE249</f>
        <v>0</v>
      </c>
      <c r="AG298" s="12">
        <f>SUM(AC298:AF298)</f>
        <v>0</v>
      </c>
      <c r="AH298" s="12">
        <f>AH249-AG249</f>
        <v>0</v>
      </c>
      <c r="AI298" s="12">
        <f>AI249-AH249</f>
        <v>0</v>
      </c>
      <c r="AJ298" s="12">
        <f>AJ249-AI249</f>
        <v>0</v>
      </c>
      <c r="AK298" s="12">
        <f>AK249-AJ249</f>
        <v>0</v>
      </c>
      <c r="AL298" s="12">
        <f>SUM(AH298:AK298)</f>
        <v>0</v>
      </c>
      <c r="AM298" s="12">
        <f>AM249-AL249</f>
        <v>0</v>
      </c>
      <c r="AN298" s="12">
        <f>AN249-AM249</f>
        <v>0</v>
      </c>
      <c r="AO298" s="12">
        <f>AO249-AN249</f>
        <v>0</v>
      </c>
      <c r="AP298" s="12">
        <f>AP249-AO249</f>
        <v>0</v>
      </c>
      <c r="AQ298" s="12">
        <f>SUM(AM298:AP298)</f>
        <v>0</v>
      </c>
      <c r="AR298" s="12">
        <f>AR249-AQ249</f>
        <v>0</v>
      </c>
      <c r="AS298" s="12">
        <f>AS249-AR249</f>
        <v>0</v>
      </c>
      <c r="AT298" s="12">
        <f>AT249-AS249</f>
        <v>0</v>
      </c>
      <c r="AU298" s="12">
        <f>AU249-AT249</f>
        <v>0</v>
      </c>
      <c r="AV298" s="12">
        <f>SUM(AR298:AU298)</f>
        <v>0</v>
      </c>
      <c r="AW298" s="12">
        <f>AW249-AV249</f>
        <v>0</v>
      </c>
      <c r="AX298" s="12">
        <f>AX249-AW249</f>
        <v>0</v>
      </c>
      <c r="AY298" s="12">
        <f>AY249-AX249</f>
        <v>0</v>
      </c>
      <c r="AZ298" s="12">
        <f>AZ249-AY249</f>
        <v>0</v>
      </c>
      <c r="BA298" s="12">
        <f>SUM(AW298:AZ298)</f>
        <v>0</v>
      </c>
      <c r="BB298" s="12">
        <f>BB249-BA249</f>
        <v>0</v>
      </c>
      <c r="BC298" s="12">
        <f>BC249-BB249</f>
        <v>0</v>
      </c>
      <c r="BD298" s="12">
        <f>BD249-BC249</f>
        <v>0</v>
      </c>
      <c r="BE298" s="12">
        <f>BE249-BD249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Common stock and APIC</t>
        </is>
      </c>
      <c r="D299" s="12" t="n"/>
      <c r="E299" s="12" t="n"/>
      <c r="F299" s="12" t="n"/>
      <c r="G299" s="12" t="n"/>
      <c r="H299" s="12" t="n"/>
      <c r="I299" s="12" t="n"/>
      <c r="J299" s="12">
        <f>J250-I250</f>
        <v>51</v>
      </c>
      <c r="K299" s="12">
        <f>K250-J250</f>
        <v>170</v>
      </c>
      <c r="L299" s="12">
        <f>L250-K250</f>
        <v>111</v>
      </c>
      <c r="M299" s="12" t="n"/>
      <c r="N299" s="12">
        <f>N250-M250</f>
        <v>252</v>
      </c>
      <c r="O299" s="12">
        <f>O250-N250</f>
        <v>134</v>
      </c>
      <c r="P299" s="12">
        <f>P250-O250</f>
        <v>248</v>
      </c>
      <c r="Q299" s="12">
        <f>Q250-P250</f>
        <v>138</v>
      </c>
      <c r="R299" s="12">
        <f>SUM(N299:Q299)</f>
        <v>772</v>
      </c>
      <c r="S299" s="12">
        <f>S250-R250</f>
        <v>298</v>
      </c>
      <c r="T299" s="12">
        <f>T250-S250</f>
        <v>150</v>
      </c>
      <c r="U299" s="12">
        <f>U250-T250</f>
        <v>254</v>
      </c>
      <c r="V299" s="12">
        <f>V250-U250</f>
        <v>181</v>
      </c>
      <c r="W299" s="12">
        <f>SUM(S299:V299)</f>
        <v>883</v>
      </c>
      <c r="X299" s="12">
        <f>X250-W250</f>
        <v>348</v>
      </c>
      <c r="Y299" s="12">
        <f>Y250-X250</f>
        <v>230</v>
      </c>
      <c r="Z299" s="12">
        <f>Z250-Y250</f>
        <v>321</v>
      </c>
      <c r="AA299" s="12">
        <f>AA250-Z250</f>
        <v>203</v>
      </c>
      <c r="AB299" s="12">
        <f>SUM(X299:AA299)</f>
        <v>1102</v>
      </c>
      <c r="AC299" s="12">
        <f>AC250-AB250</f>
        <v>394</v>
      </c>
      <c r="AD299" s="12">
        <f>AD250-AC250</f>
        <v>249</v>
      </c>
      <c r="AE299" s="12">
        <f>AE250-AD250</f>
        <v>380</v>
      </c>
      <c r="AF299" s="12">
        <f>AF250-AE250</f>
        <v>271</v>
      </c>
      <c r="AG299" s="12">
        <f>SUM(AC299:AF299)</f>
        <v>1294</v>
      </c>
      <c r="AH299" s="12">
        <f>AH250-AG250</f>
        <v>482</v>
      </c>
      <c r="AI299" s="12">
        <f>AI250-AH250</f>
        <v>351</v>
      </c>
      <c r="AJ299" s="12">
        <f>AJ250-AI250</f>
        <v>0</v>
      </c>
      <c r="AK299" s="12">
        <f>AK250-AJ250</f>
        <v>0</v>
      </c>
      <c r="AL299" s="12">
        <f>SUM(AH299:AK299)</f>
        <v>833</v>
      </c>
      <c r="AM299" s="12">
        <f>AM250-AL250</f>
        <v>0</v>
      </c>
      <c r="AN299" s="12">
        <f>AN250-AM250</f>
        <v>0</v>
      </c>
      <c r="AO299" s="12">
        <f>AO250-AN250</f>
        <v>0</v>
      </c>
      <c r="AP299" s="12">
        <f>AP250-AO250</f>
        <v>0</v>
      </c>
      <c r="AQ299" s="12">
        <f>SUM(AM299:AP299)</f>
        <v>0</v>
      </c>
      <c r="AR299" s="12">
        <f>AR250-AQ250</f>
        <v>0</v>
      </c>
      <c r="AS299" s="12">
        <f>AS250-AR250</f>
        <v>0</v>
      </c>
      <c r="AT299" s="12">
        <f>AT250-AS250</f>
        <v>0</v>
      </c>
      <c r="AU299" s="12">
        <f>AU250-AT250</f>
        <v>0</v>
      </c>
      <c r="AV299" s="12">
        <f>SUM(AR299:AU299)</f>
        <v>0</v>
      </c>
      <c r="AW299" s="12">
        <f>AW250-AV250</f>
        <v>0</v>
      </c>
      <c r="AX299" s="12">
        <f>AX250-AW250</f>
        <v>0</v>
      </c>
      <c r="AY299" s="12">
        <f>AY250-AX250</f>
        <v>0</v>
      </c>
      <c r="AZ299" s="12">
        <f>AZ250-AY250</f>
        <v>0</v>
      </c>
      <c r="BA299" s="12">
        <f>SUM(AW299:AZ299)</f>
        <v>0</v>
      </c>
      <c r="BB299" s="12">
        <f>BB250-BA250</f>
        <v>0</v>
      </c>
      <c r="BC299" s="12">
        <f>BC250-BB250</f>
        <v>0</v>
      </c>
      <c r="BD299" s="12">
        <f>BD250-BC250</f>
        <v>0</v>
      </c>
      <c r="BE299" s="12">
        <f>BE250-BD250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Treasury stock repurchases</t>
        </is>
      </c>
      <c r="D300" s="12" t="n"/>
      <c r="E300" s="12" t="n"/>
      <c r="F300" s="12" t="n"/>
      <c r="G300" s="12" t="n"/>
      <c r="H300" s="12" t="n"/>
      <c r="I300" s="12" t="n"/>
      <c r="J300" s="12">
        <f>J263-I263</f>
        <v>-150</v>
      </c>
      <c r="K300" s="12">
        <f>K263-J263</f>
        <v>-1050</v>
      </c>
      <c r="L300" s="12">
        <f>L263-K263</f>
        <v>-259</v>
      </c>
      <c r="M300" s="12" t="n"/>
      <c r="N300" s="12">
        <f>N263-M263</f>
        <v>-408</v>
      </c>
      <c r="O300" s="12">
        <f>O263-N263</f>
        <v>-981</v>
      </c>
      <c r="P300" s="12">
        <f>P263-O263</f>
        <v>-784</v>
      </c>
      <c r="Q300" s="12">
        <f>Q263-P263</f>
        <v>-425</v>
      </c>
      <c r="R300" s="12">
        <f>SUM(N300:Q300)</f>
        <v>-2598</v>
      </c>
      <c r="S300" s="12">
        <f>S263-R263</f>
        <v>0</v>
      </c>
      <c r="T300" s="12">
        <f>T263-S263</f>
        <v>0</v>
      </c>
      <c r="U300" s="12">
        <f>U263-T263</f>
        <v>0</v>
      </c>
      <c r="V300" s="12">
        <f>V263-U263</f>
        <v>0</v>
      </c>
      <c r="W300" s="12">
        <f>SUM(S300:V300)</f>
        <v>0</v>
      </c>
      <c r="X300" s="12">
        <f>X263-W263</f>
        <v>0</v>
      </c>
      <c r="Y300" s="12">
        <f>Y263-X263</f>
        <v>0</v>
      </c>
      <c r="Z300" s="12">
        <f>Z263-Y263</f>
        <v>-300</v>
      </c>
      <c r="AA300" s="12">
        <f>AA263-Z263</f>
        <v>0</v>
      </c>
      <c r="AB300" s="12">
        <f>SUM(X300:AA300)</f>
        <v>-300</v>
      </c>
      <c r="AC300" s="12">
        <f>AC263-AB263</f>
        <v>0</v>
      </c>
      <c r="AD300" s="12">
        <f>AD263-AC263</f>
        <v>0</v>
      </c>
      <c r="AE300" s="12">
        <f>AE263-AD263</f>
        <v>0</v>
      </c>
      <c r="AF300" s="12">
        <f>AF263-AE263</f>
        <v>-300</v>
      </c>
      <c r="AG300" s="12">
        <f>SUM(AC300:AF300)</f>
        <v>-300</v>
      </c>
      <c r="AH300" s="12">
        <f>AH263-AG263</f>
        <v>-350</v>
      </c>
      <c r="AI300" s="12">
        <f>AI263-AH263</f>
        <v>0</v>
      </c>
      <c r="AJ300" s="12">
        <f>AJ263-AI263</f>
        <v>0</v>
      </c>
      <c r="AK300" s="12">
        <f>AK263-AJ263</f>
        <v>0</v>
      </c>
      <c r="AL300" s="12">
        <f>SUM(AH300:AK300)</f>
        <v>-350</v>
      </c>
      <c r="AM300" s="12">
        <f>AM263-AL263</f>
        <v>0</v>
      </c>
      <c r="AN300" s="12">
        <f>AN263-AM263</f>
        <v>0</v>
      </c>
      <c r="AO300" s="12">
        <f>AO263-AN263</f>
        <v>0</v>
      </c>
      <c r="AP300" s="12">
        <f>AP263-AO263</f>
        <v>0</v>
      </c>
      <c r="AQ300" s="12">
        <f>SUM(AM300:AP300)</f>
        <v>0</v>
      </c>
      <c r="AR300" s="12">
        <f>AR263-AQ263</f>
        <v>0</v>
      </c>
      <c r="AS300" s="12">
        <f>AS263-AR263</f>
        <v>0</v>
      </c>
      <c r="AT300" s="12">
        <f>AT263-AS263</f>
        <v>0</v>
      </c>
      <c r="AU300" s="12">
        <f>AU263-AT263</f>
        <v>0</v>
      </c>
      <c r="AV300" s="12">
        <f>SUM(AR300:AU300)</f>
        <v>0</v>
      </c>
      <c r="AW300" s="12">
        <f>AW263-AV263</f>
        <v>0</v>
      </c>
      <c r="AX300" s="12">
        <f>AX263-AW263</f>
        <v>0</v>
      </c>
      <c r="AY300" s="12">
        <f>AY263-AX263</f>
        <v>0</v>
      </c>
      <c r="AZ300" s="12">
        <f>AZ263-AY263</f>
        <v>0</v>
      </c>
      <c r="BA300" s="12">
        <f>SUM(AW300:AZ300)</f>
        <v>0</v>
      </c>
      <c r="BB300" s="12">
        <f>BB263-BA263</f>
        <v>0</v>
      </c>
      <c r="BC300" s="12">
        <f>BC263-BB263</f>
        <v>0</v>
      </c>
      <c r="BD300" s="12">
        <f>BD263-BC263</f>
        <v>0</v>
      </c>
      <c r="BE300" s="12">
        <f>BE263-BD263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4" t="inlineStr">
        <is>
          <t>Comprehensive accumulated loss</t>
        </is>
      </c>
      <c r="D301" s="12" t="n"/>
      <c r="E301" s="12" t="n"/>
      <c r="F301" s="12" t="n"/>
      <c r="G301" s="12" t="n"/>
      <c r="H301" s="12" t="n"/>
      <c r="I301" s="12" t="n"/>
      <c r="J301" s="12">
        <f>J264-I264</f>
        <v>-34</v>
      </c>
      <c r="K301" s="12">
        <f>K264-J264</f>
        <v>-45</v>
      </c>
      <c r="L301" s="12">
        <f>L264-K264</f>
        <v>-93</v>
      </c>
      <c r="M301" s="12" t="n"/>
      <c r="N301" s="12">
        <f>N264-M264</f>
        <v>-47</v>
      </c>
      <c r="O301" s="12">
        <f>O264-N264</f>
        <v>-226</v>
      </c>
      <c r="P301" s="12">
        <f>P264-O264</f>
        <v>-196</v>
      </c>
      <c r="Q301" s="12">
        <f>Q264-P264</f>
        <v>87</v>
      </c>
      <c r="R301" s="12">
        <f>SUM(N301:Q301)</f>
        <v>-382</v>
      </c>
      <c r="S301" s="12">
        <f>S264-R264</f>
        <v>100</v>
      </c>
      <c r="T301" s="12">
        <f>T264-S264</f>
        <v>33</v>
      </c>
      <c r="U301" s="12">
        <f>U264-T264</f>
        <v>28</v>
      </c>
      <c r="V301" s="12">
        <f>V264-U264</f>
        <v>52</v>
      </c>
      <c r="W301" s="12">
        <f>SUM(S301:V301)</f>
        <v>213</v>
      </c>
      <c r="X301" s="12">
        <f>X264-W264</f>
        <v>-4</v>
      </c>
      <c r="Y301" s="12">
        <f>Y264-X264</f>
        <v>-47</v>
      </c>
      <c r="Z301" s="12">
        <f>Z264-Y264</f>
        <v>177</v>
      </c>
      <c r="AA301" s="12">
        <f>AA264-Z264</f>
        <v>-87</v>
      </c>
      <c r="AB301" s="12">
        <f>SUM(X301:AA301)</f>
        <v>39</v>
      </c>
      <c r="AC301" s="12">
        <f>AC264-AB264</f>
        <v>30</v>
      </c>
      <c r="AD301" s="12">
        <f>AD264-AC264</f>
        <v>146</v>
      </c>
      <c r="AE301" s="12">
        <f>AE264-AD264</f>
        <v>13</v>
      </c>
      <c r="AF301" s="12">
        <f>AF264-AE264</f>
        <v>-91</v>
      </c>
      <c r="AG301" s="12">
        <f>SUM(AC301:AF301)</f>
        <v>98</v>
      </c>
      <c r="AH301" s="12">
        <f>AH264-AG264</f>
        <v>41</v>
      </c>
      <c r="AI301" s="12">
        <f>AI264-AH264</f>
        <v>56</v>
      </c>
      <c r="AJ301" s="12">
        <f>AJ264-AI264</f>
        <v>0</v>
      </c>
      <c r="AK301" s="12">
        <f>AK264-AJ264</f>
        <v>0</v>
      </c>
      <c r="AL301" s="12">
        <f>SUM(AH301:AK301)</f>
        <v>97</v>
      </c>
      <c r="AM301" s="12">
        <f>AM264-AL264</f>
        <v>0</v>
      </c>
      <c r="AN301" s="12">
        <f>AN264-AM264</f>
        <v>0</v>
      </c>
      <c r="AO301" s="12">
        <f>AO264-AN264</f>
        <v>0</v>
      </c>
      <c r="AP301" s="12">
        <f>AP264-AO264</f>
        <v>0</v>
      </c>
      <c r="AQ301" s="12">
        <f>SUM(AM301:AP301)</f>
        <v>0</v>
      </c>
      <c r="AR301" s="12">
        <f>AR264-AQ264</f>
        <v>0</v>
      </c>
      <c r="AS301" s="12">
        <f>AS264-AR264</f>
        <v>0</v>
      </c>
      <c r="AT301" s="12">
        <f>AT264-AS264</f>
        <v>0</v>
      </c>
      <c r="AU301" s="12">
        <f>AU264-AT264</f>
        <v>0</v>
      </c>
      <c r="AV301" s="12">
        <f>SUM(AR301:AU301)</f>
        <v>0</v>
      </c>
      <c r="AW301" s="12">
        <f>AW264-AV264</f>
        <v>0</v>
      </c>
      <c r="AX301" s="12">
        <f>AX264-AW264</f>
        <v>0</v>
      </c>
      <c r="AY301" s="12">
        <f>AY264-AX264</f>
        <v>0</v>
      </c>
      <c r="AZ301" s="12">
        <f>AZ264-AY264</f>
        <v>0</v>
      </c>
      <c r="BA301" s="12">
        <f>SUM(AW301:AZ301)</f>
        <v>0</v>
      </c>
      <c r="BB301" s="12">
        <f>BB264-BA264</f>
        <v>0</v>
      </c>
      <c r="BC301" s="12">
        <f>BC264-BB264</f>
        <v>0</v>
      </c>
      <c r="BD301" s="12">
        <f>BD264-BC264</f>
        <v>0</v>
      </c>
      <c r="BE301" s="12">
        <f>BE264-BD264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Other equity account</t>
        </is>
      </c>
      <c r="D302" s="12" t="n"/>
      <c r="E302" s="12" t="n"/>
      <c r="F302" s="12" t="n"/>
      <c r="G302" s="12" t="n"/>
      <c r="H302" s="12" t="n"/>
      <c r="I302" s="12" t="n"/>
      <c r="J302" s="12">
        <f>J265-I265</f>
        <v>0</v>
      </c>
      <c r="K302" s="12">
        <f>K265-J265</f>
        <v>0</v>
      </c>
      <c r="L302" s="12">
        <f>L265-K265</f>
        <v>0</v>
      </c>
      <c r="M302" s="12" t="n"/>
      <c r="N302" s="12">
        <f>N265-M265</f>
        <v>0</v>
      </c>
      <c r="O302" s="12">
        <f>O265-N265</f>
        <v>0</v>
      </c>
      <c r="P302" s="12">
        <f>P265-O265</f>
        <v>0</v>
      </c>
      <c r="Q302" s="12">
        <f>Q265-P265</f>
        <v>0</v>
      </c>
      <c r="R302" s="12">
        <f>SUM(N302:Q302)</f>
        <v>0</v>
      </c>
      <c r="S302" s="12">
        <f>S265-R265</f>
        <v>0</v>
      </c>
      <c r="T302" s="12">
        <f>T265-S265</f>
        <v>0</v>
      </c>
      <c r="U302" s="12">
        <f>U265-T265</f>
        <v>0</v>
      </c>
      <c r="V302" s="12">
        <f>V265-U265</f>
        <v>0</v>
      </c>
      <c r="W302" s="12">
        <f>SUM(S302:V302)</f>
        <v>0</v>
      </c>
      <c r="X302" s="12">
        <f>X265-W265</f>
        <v>0</v>
      </c>
      <c r="Y302" s="12">
        <f>Y265-X265</f>
        <v>0</v>
      </c>
      <c r="Z302" s="12">
        <f>Z265-Y265</f>
        <v>0</v>
      </c>
      <c r="AA302" s="12">
        <f>AA265-Z265</f>
        <v>0</v>
      </c>
      <c r="AB302" s="12">
        <f>SUM(X302:AA302)</f>
        <v>0</v>
      </c>
      <c r="AC302" s="12">
        <f>AC265-AB265</f>
        <v>0</v>
      </c>
      <c r="AD302" s="12">
        <f>AD265-AC265</f>
        <v>0</v>
      </c>
      <c r="AE302" s="12">
        <f>AE265-AD265</f>
        <v>0</v>
      </c>
      <c r="AF302" s="12">
        <f>AF265-AE265</f>
        <v>0</v>
      </c>
      <c r="AG302" s="12">
        <f>SUM(AC302:AF302)</f>
        <v>0</v>
      </c>
      <c r="AH302" s="12">
        <f>AH265-AG265</f>
        <v>0</v>
      </c>
      <c r="AI302" s="12">
        <f>AI265-AH265</f>
        <v>0</v>
      </c>
      <c r="AJ302" s="12">
        <f>AJ265-AI265</f>
        <v>0</v>
      </c>
      <c r="AK302" s="12">
        <f>AK265-AJ265</f>
        <v>0</v>
      </c>
      <c r="AL302" s="12">
        <f>SUM(AH302:AK302)</f>
        <v>0</v>
      </c>
      <c r="AM302" s="12">
        <f>AM265-AL265</f>
        <v>0</v>
      </c>
      <c r="AN302" s="12">
        <f>AN265-AM265</f>
        <v>0</v>
      </c>
      <c r="AO302" s="12">
        <f>AO265-AN265</f>
        <v>0</v>
      </c>
      <c r="AP302" s="12">
        <f>AP265-AO265</f>
        <v>0</v>
      </c>
      <c r="AQ302" s="12">
        <f>SUM(AM302:AP302)</f>
        <v>0</v>
      </c>
      <c r="AR302" s="12">
        <f>AR265-AQ265</f>
        <v>0</v>
      </c>
      <c r="AS302" s="12">
        <f>AS265-AR265</f>
        <v>0</v>
      </c>
      <c r="AT302" s="12">
        <f>AT265-AS265</f>
        <v>0</v>
      </c>
      <c r="AU302" s="12">
        <f>AU265-AT265</f>
        <v>0</v>
      </c>
      <c r="AV302" s="12">
        <f>SUM(AR302:AU302)</f>
        <v>0</v>
      </c>
      <c r="AW302" s="12">
        <f>AW265-AV265</f>
        <v>0</v>
      </c>
      <c r="AX302" s="12">
        <f>AX265-AW265</f>
        <v>0</v>
      </c>
      <c r="AY302" s="12">
        <f>AY265-AX265</f>
        <v>0</v>
      </c>
      <c r="AZ302" s="12">
        <f>AZ265-AY265</f>
        <v>0</v>
      </c>
      <c r="BA302" s="12">
        <f>SUM(AW302:AZ302)</f>
        <v>0</v>
      </c>
      <c r="BB302" s="12">
        <f>BB265-BA265</f>
        <v>0</v>
      </c>
      <c r="BC302" s="12">
        <f>BC265-BB265</f>
        <v>0</v>
      </c>
      <c r="BD302" s="12">
        <f>BD265-BC265</f>
        <v>0</v>
      </c>
      <c r="BE302" s="12">
        <f>BE265-BD265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0" t="inlineStr">
        <is>
          <t>Common and preferred dividends</t>
        </is>
      </c>
      <c r="D303" s="12" t="n"/>
      <c r="E303" s="12" t="n"/>
      <c r="F303" s="12" t="n"/>
      <c r="G303" s="12" t="n"/>
      <c r="H303" s="12" t="n"/>
      <c r="I303" s="12" t="n"/>
      <c r="J303" s="12">
        <f>(J266-I266)-J273</f>
        <v>-6</v>
      </c>
      <c r="K303" s="12">
        <f>(K266-J266)-K273</f>
        <v>-121</v>
      </c>
      <c r="L303" s="12">
        <f>(L266-K266)-L273</f>
        <v>-90</v>
      </c>
      <c r="M303" s="12" t="n"/>
      <c r="N303" s="12">
        <f>(N266-M266)-N273</f>
        <v>-123</v>
      </c>
      <c r="O303" s="12">
        <f>(O266-N266)-O273</f>
        <v>-117</v>
      </c>
      <c r="P303" s="12">
        <f>(P266-O266)-P273</f>
        <v>-134</v>
      </c>
      <c r="Q303" s="12">
        <f>(Q266-P266)-Q273</f>
        <v>-206</v>
      </c>
      <c r="R303" s="12">
        <f>SUM(N303:Q303)</f>
        <v>-580</v>
      </c>
      <c r="S303" s="12">
        <f>(S266-R266)-S273</f>
        <v>-135</v>
      </c>
      <c r="T303" s="12">
        <f>(T266-S266)-T273</f>
        <v>-139</v>
      </c>
      <c r="U303" s="12">
        <f>(U266-T266)-U273</f>
        <v>-137</v>
      </c>
      <c r="V303" s="12">
        <f>(V266-U266)-V273</f>
        <v>-234</v>
      </c>
      <c r="W303" s="12">
        <f>SUM(S303:V303)</f>
        <v>-645</v>
      </c>
      <c r="X303" s="12">
        <f>(X266-W266)-X273</f>
        <v>-152</v>
      </c>
      <c r="Y303" s="12">
        <f>(Y266-X266)-Y273</f>
        <v>-160</v>
      </c>
      <c r="Z303" s="12">
        <f>(Z266-Y266)-Z273</f>
        <v>-179</v>
      </c>
      <c r="AA303" s="12">
        <f>(AA266-Z266)-AA273</f>
        <v>-320</v>
      </c>
      <c r="AB303" s="12">
        <f>SUM(X303:AA303)</f>
        <v>-811</v>
      </c>
      <c r="AC303" s="12">
        <f>(AC266-AB266)-AC273</f>
        <v>-171</v>
      </c>
      <c r="AD303" s="12">
        <f>(AD266-AC266)-AD273</f>
        <v>-165</v>
      </c>
      <c r="AE303" s="12">
        <f>(AE266-AD266)-AE273</f>
        <v>-177</v>
      </c>
      <c r="AF303" s="12">
        <f>(AF266-AE266)-AF273</f>
        <v>-479</v>
      </c>
      <c r="AG303" s="12">
        <f>SUM(AC303:AF303)</f>
        <v>-992</v>
      </c>
      <c r="AH303" s="12">
        <f>(AH266-AG266)-AH273</f>
        <v>-305</v>
      </c>
      <c r="AI303" s="12">
        <f>(AI266-AH266)-AI273</f>
        <v>-385</v>
      </c>
      <c r="AJ303" s="12">
        <f>(AJ266-AI266)-AJ273</f>
        <v>0</v>
      </c>
      <c r="AK303" s="12">
        <f>(AK266-AJ266)-AK273</f>
        <v>0</v>
      </c>
      <c r="AL303" s="12">
        <f>SUM(AH303:AK303)</f>
        <v>-690</v>
      </c>
      <c r="AM303" s="12">
        <f>(AM266-AL266)-AM273</f>
        <v>0</v>
      </c>
      <c r="AN303" s="12">
        <f>(AN266-AM266)-AN273</f>
        <v>0</v>
      </c>
      <c r="AO303" s="12">
        <f>(AO266-AN266)-AO273</f>
        <v>0</v>
      </c>
      <c r="AP303" s="12">
        <f>(AP266-AO266)-AP273</f>
        <v>0</v>
      </c>
      <c r="AQ303" s="12">
        <f>SUM(AM303:AP303)</f>
        <v>0</v>
      </c>
      <c r="AR303" s="12">
        <f>(AR266-AQ266)-AR273</f>
        <v>0</v>
      </c>
      <c r="AS303" s="12">
        <f>(AS266-AR266)-AS273</f>
        <v>0</v>
      </c>
      <c r="AT303" s="12">
        <f>(AT266-AS266)-AT273</f>
        <v>0</v>
      </c>
      <c r="AU303" s="12">
        <f>(AU266-AT266)-AU273</f>
        <v>0</v>
      </c>
      <c r="AV303" s="12">
        <f>SUM(AR303:AU303)</f>
        <v>0</v>
      </c>
      <c r="AW303" s="12">
        <f>(AW266-AV266)-AW273</f>
        <v>0</v>
      </c>
      <c r="AX303" s="12">
        <f>(AX266-AW266)-AX273</f>
        <v>0</v>
      </c>
      <c r="AY303" s="12">
        <f>(AY266-AX266)-AY273</f>
        <v>0</v>
      </c>
      <c r="AZ303" s="12">
        <f>(AZ266-AY266)-AZ273</f>
        <v>0</v>
      </c>
      <c r="BA303" s="12">
        <f>SUM(AW303:AZ303)</f>
        <v>0</v>
      </c>
      <c r="BB303" s="12">
        <f>(BB266-BA266)-BB273</f>
        <v>0</v>
      </c>
      <c r="BC303" s="12">
        <f>(BC266-BB266)-BC273</f>
        <v>0</v>
      </c>
      <c r="BD303" s="12">
        <f>(BD266-BC266)-BD273</f>
        <v>0</v>
      </c>
      <c r="BE303" s="12">
        <f>(BE266-BD266)-BE273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Dividends to minority interests</t>
        </is>
      </c>
      <c r="D304" s="12" t="n"/>
      <c r="E304" s="12" t="n"/>
      <c r="F304" s="12" t="n"/>
      <c r="G304" s="12" t="n"/>
      <c r="H304" s="12" t="n"/>
      <c r="I304" s="12" t="n"/>
      <c r="J304" s="12">
        <f>(J244-I244)+J132</f>
        <v>0</v>
      </c>
      <c r="K304" s="12">
        <f>(K244-J244)+K132</f>
        <v>0</v>
      </c>
      <c r="L304" s="12">
        <f>(L244-K244)+L132</f>
        <v>0</v>
      </c>
      <c r="M304" s="12" t="n"/>
      <c r="N304" s="12">
        <f>(N244-M244)+N132</f>
        <v>0</v>
      </c>
      <c r="O304" s="12">
        <f>(O244-N244)+O132</f>
        <v>0</v>
      </c>
      <c r="P304" s="12">
        <f>(P244-O244)+P132</f>
        <v>0</v>
      </c>
      <c r="Q304" s="12">
        <f>(Q244-P244)+Q132</f>
        <v>0</v>
      </c>
      <c r="R304" s="12">
        <f>SUM(N304:Q304)</f>
        <v>0</v>
      </c>
      <c r="S304" s="12">
        <f>(S244-R244)+S132</f>
        <v>0</v>
      </c>
      <c r="T304" s="12">
        <f>(T244-S244)+T132</f>
        <v>0</v>
      </c>
      <c r="U304" s="12">
        <f>(U244-T244)+U132</f>
        <v>0</v>
      </c>
      <c r="V304" s="12">
        <f>(V244-U244)+V132</f>
        <v>0</v>
      </c>
      <c r="W304" s="12">
        <f>SUM(S304:V304)</f>
        <v>0</v>
      </c>
      <c r="X304" s="12">
        <f>(X244-W244)+X132</f>
        <v>0</v>
      </c>
      <c r="Y304" s="12">
        <f>(Y244-X244)+Y132</f>
        <v>0</v>
      </c>
      <c r="Z304" s="12">
        <f>(Z244-Y244)+Z132</f>
        <v>0</v>
      </c>
      <c r="AA304" s="12">
        <f>(AA244-Z244)+AA132</f>
        <v>0</v>
      </c>
      <c r="AB304" s="12">
        <f>SUM(X304:AA304)</f>
        <v>0</v>
      </c>
      <c r="AC304" s="12">
        <f>(AC244-AB244)+AC132</f>
        <v>0</v>
      </c>
      <c r="AD304" s="12">
        <f>(AD244-AC244)+AD132</f>
        <v>0</v>
      </c>
      <c r="AE304" s="12">
        <f>(AE244-AD244)+AE132</f>
        <v>0</v>
      </c>
      <c r="AF304" s="12">
        <f>(AF244-AE244)+AF132</f>
        <v>0</v>
      </c>
      <c r="AG304" s="12">
        <f>SUM(AC304:AF304)</f>
        <v>0</v>
      </c>
      <c r="AH304" s="12">
        <f>(AH244-AG244)+AH132</f>
        <v>0</v>
      </c>
      <c r="AI304" s="12">
        <f>(AI244-AH244)+AI132</f>
        <v>0</v>
      </c>
      <c r="AJ304" s="12">
        <f>(AJ244-AI244)+AJ132</f>
        <v>0</v>
      </c>
      <c r="AK304" s="12">
        <f>(AK244-AJ244)+AK132</f>
        <v>0</v>
      </c>
      <c r="AL304" s="12">
        <f>SUM(AH304:AK304)</f>
        <v>0</v>
      </c>
      <c r="AM304" s="12">
        <f>(AM244-AL244)+AM132</f>
        <v>0</v>
      </c>
      <c r="AN304" s="12">
        <f>(AN244-AM244)+AN132</f>
        <v>0</v>
      </c>
      <c r="AO304" s="12">
        <f>(AO244-AN244)+AO132</f>
        <v>0</v>
      </c>
      <c r="AP304" s="12">
        <f>(AP244-AO244)+AP132</f>
        <v>0</v>
      </c>
      <c r="AQ304" s="12">
        <f>SUM(AM304:AP304)</f>
        <v>0</v>
      </c>
      <c r="AR304" s="12">
        <f>(AR244-AQ244)+AR132</f>
        <v>0</v>
      </c>
      <c r="AS304" s="12">
        <f>(AS244-AR244)+AS132</f>
        <v>0</v>
      </c>
      <c r="AT304" s="12">
        <f>(AT244-AS244)+AT132</f>
        <v>0</v>
      </c>
      <c r="AU304" s="12">
        <f>(AU244-AT244)+AU132</f>
        <v>0</v>
      </c>
      <c r="AV304" s="12">
        <f>SUM(AR304:AU304)</f>
        <v>0</v>
      </c>
      <c r="AW304" s="12">
        <f>(AW244-AV244)+AW132</f>
        <v>0</v>
      </c>
      <c r="AX304" s="12">
        <f>(AX244-AW244)+AX132</f>
        <v>0</v>
      </c>
      <c r="AY304" s="12">
        <f>(AY244-AX244)+AY132</f>
        <v>0</v>
      </c>
      <c r="AZ304" s="12">
        <f>(AZ244-AY244)+AZ132</f>
        <v>0</v>
      </c>
      <c r="BA304" s="12">
        <f>SUM(AW304:AZ304)</f>
        <v>0</v>
      </c>
      <c r="BB304" s="12">
        <f>(BB244-BA244)+BB132</f>
        <v>0</v>
      </c>
      <c r="BC304" s="12">
        <f>(BC244-BB244)+BC132</f>
        <v>0</v>
      </c>
      <c r="BD304" s="12">
        <f>(BD244-BC244)+BD132</f>
        <v>0</v>
      </c>
      <c r="BE304" s="12">
        <f>(BE244-BD244)+BE132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5" t="inlineStr">
        <is>
          <t>Increases / (decreases) in debt</t>
        </is>
      </c>
      <c r="D305" s="12" t="n"/>
      <c r="E305" s="12" t="n"/>
      <c r="F305" s="12" t="n"/>
      <c r="G305" s="12" t="n"/>
      <c r="H305" s="12" t="n"/>
      <c r="I305" s="12" t="n"/>
      <c r="J305" s="12">
        <f>SUM(J208:J210,J213,J234,J231)-SUM(I208:I210,I213,I234,I231)</f>
        <v>79</v>
      </c>
      <c r="K305" s="12">
        <f>SUM(K208:K210,K213,K234,K231)-SUM(J208:J210,J213,J234,J231)</f>
        <v>52</v>
      </c>
      <c r="L305" s="12">
        <f>SUM(L208:L210,L213,L234,L231)-SUM(K208:K210,K213,K234,K231)</f>
        <v>265</v>
      </c>
      <c r="M305" s="12" t="n"/>
      <c r="N305" s="12">
        <f>SUM(N208:N210,N213,N234,N231)-SUM(M208:M210,M213,M234,M231)</f>
        <v>66</v>
      </c>
      <c r="O305" s="12">
        <f>SUM(O208:O210,O213,O234,O231)-SUM(N208:N210,N213,N234,N231)</f>
        <v>-19</v>
      </c>
      <c r="P305" s="12">
        <f>SUM(P208:P210,P213,P234,P231)-SUM(O208:O210,O213,O234,O231)</f>
        <v>-76</v>
      </c>
      <c r="Q305" s="12">
        <f>SUM(Q208:Q210,Q213,Q234,Q231)-SUM(P208:P210,P213,P234,P231)</f>
        <v>3374</v>
      </c>
      <c r="R305" s="12">
        <f>SUM(N305:Q305)</f>
        <v>3345</v>
      </c>
      <c r="S305" s="12">
        <f>SUM(S208:S210,S213,S234,S231)-SUM(R208:R210,R213,R234,R231)</f>
        <v>1994</v>
      </c>
      <c r="T305" s="12">
        <f>SUM(T208:T210,T213,T234,T231)-SUM(S208:S210,S213,S234,S231)</f>
        <v>964</v>
      </c>
      <c r="U305" s="12">
        <f>SUM(U208:U210,U213,U234,U231)-SUM(T208:T210,T213,T234,T231)</f>
        <v>85</v>
      </c>
      <c r="V305" s="12">
        <f>SUM(V208:V210,V213,V234,V231)-SUM(U208:U210,U213,U234,U231)</f>
        <v>173</v>
      </c>
      <c r="W305" s="12">
        <f>SUM(S305:V305)</f>
        <v>3216</v>
      </c>
      <c r="X305" s="12">
        <f>SUM(X208:X210,X213,X234,X231)-SUM(W208:W210,W213,W234,W231)</f>
        <v>209</v>
      </c>
      <c r="Y305" s="12">
        <f>SUM(Y208:Y210,Y213,Y234,Y231)-SUM(X208:X210,X213,X234,X231)</f>
        <v>-448</v>
      </c>
      <c r="Z305" s="12">
        <f>SUM(Z208:Z210,Z213,Z234,Z231)-SUM(Y208:Y210,Y213,Y234,Y231)</f>
        <v>140</v>
      </c>
      <c r="AA305" s="12">
        <f>SUM(AA208:AA210,AA213,AA234,AA231)-SUM(Z208:Z210,Z213,Z234,Z231)</f>
        <v>366</v>
      </c>
      <c r="AB305" s="12">
        <f>SUM(X305:AA305)</f>
        <v>267</v>
      </c>
      <c r="AC305" s="12">
        <f>SUM(AC208:AC210,AC213,AC234,AC231)-SUM(AB208:AB210,AB213,AB234,AB231)</f>
        <v>581</v>
      </c>
      <c r="AD305" s="12">
        <f>SUM(AD208:AD210,AD213,AD234,AD231)-SUM(AC208:AC210,AC213,AC234,AC231)</f>
        <v>1187</v>
      </c>
      <c r="AE305" s="12">
        <f>SUM(AE208:AE210,AE213,AE234,AE231)-SUM(AD208:AD210,AD213,AD234,AD231)</f>
        <v>-863</v>
      </c>
      <c r="AF305" s="12">
        <f>SUM(AF208:AF210,AF213,AF234,AF231)-SUM(AE208:AE210,AE213,AE234,AE231)</f>
        <v>-2853</v>
      </c>
      <c r="AG305" s="12">
        <f>SUM(AC305:AF305)</f>
        <v>-1948</v>
      </c>
      <c r="AH305" s="12">
        <f>SUM(AH208:AH210,AH213,AH234,AH231)-SUM(AG208:AG210,AG213,AG234,AG231)</f>
        <v>-1627</v>
      </c>
      <c r="AI305" s="12">
        <f>SUM(AI208:AI210,AI213,AI234,AI231)-SUM(AH208:AH210,AH213,AH234,AH231)</f>
        <v>-4422</v>
      </c>
      <c r="AJ305" s="12">
        <f>SUM(AJ208:AJ210,AJ213,AJ234,AJ231)-SUM(AI208:AI210,AI213,AI234,AI231)</f>
        <v>0</v>
      </c>
      <c r="AK305" s="12">
        <f>SUM(AK208:AK210,AK213,AK234,AK231)-SUM(AJ208:AJ210,AJ213,AJ234,AJ231)</f>
        <v>0</v>
      </c>
      <c r="AL305" s="12">
        <f>SUM(AH305:AK305)</f>
        <v>-6049</v>
      </c>
      <c r="AM305" s="12">
        <f>SUM(AM208:AM210,AM213,AM234,AM231)-SUM(AL208:AL210,AL213,AL234,AL231)</f>
        <v>0</v>
      </c>
      <c r="AN305" s="12">
        <f>SUM(AN208:AN210,AN213,AN234,AN231)-SUM(AM208:AM210,AM213,AM234,AM231)</f>
        <v>0</v>
      </c>
      <c r="AO305" s="12">
        <f>SUM(AO208:AO210,AO213,AO234,AO231)-SUM(AN208:AN210,AN213,AN234,AN231)</f>
        <v>0</v>
      </c>
      <c r="AP305" s="12">
        <f>SUM(AP208:AP210,AP213,AP234,AP231)-SUM(AO208:AO210,AO213,AO234,AO231)</f>
        <v>0</v>
      </c>
      <c r="AQ305" s="12">
        <f>SUM(AM305:AP305)</f>
        <v>0</v>
      </c>
      <c r="AR305" s="12">
        <f>SUM(AR208:AR210,AR213,AR234,AR231)-SUM(AQ208:AQ210,AQ213,AQ234,AQ231)</f>
        <v>0</v>
      </c>
      <c r="AS305" s="12">
        <f>SUM(AS208:AS210,AS213,AS234,AS231)-SUM(AR208:AR210,AR213,AR234,AR231)</f>
        <v>0</v>
      </c>
      <c r="AT305" s="12">
        <f>SUM(AT208:AT210,AT213,AT234,AT231)-SUM(AS208:AS210,AS213,AS234,AS231)</f>
        <v>0</v>
      </c>
      <c r="AU305" s="12">
        <f>SUM(AU208:AU210,AU213,AU234,AU231)-SUM(AT208:AT210,AT213,AT234,AT231)</f>
        <v>0</v>
      </c>
      <c r="AV305" s="12">
        <f>SUM(AR305:AU305)</f>
        <v>0</v>
      </c>
      <c r="AW305" s="12">
        <f>SUM(AW208:AW210,AW213,AW234,AW231)-SUM(AV208:AV210,AV213,AV234,AV231)</f>
        <v>0</v>
      </c>
      <c r="AX305" s="12">
        <f>SUM(AX208:AX210,AX213,AX234,AX231)-SUM(AW208:AW210,AW213,AW234,AW231)</f>
        <v>0</v>
      </c>
      <c r="AY305" s="12">
        <f>SUM(AY208:AY210,AY213,AY234,AY231)-SUM(AX208:AX210,AX213,AX234,AX231)</f>
        <v>0</v>
      </c>
      <c r="AZ305" s="12">
        <f>SUM(AZ208:AZ210,AZ213,AZ234,AZ231)-SUM(AY208:AY210,AY213,AY234,AY231)</f>
        <v>0</v>
      </c>
      <c r="BA305" s="12">
        <f>SUM(AW305:AZ305)</f>
        <v>0</v>
      </c>
      <c r="BB305" s="12">
        <f>SUM(BB208:BB210,BB213,BB234,BB231)-SUM(BA208:BA210,BA213,BA234,BA231)</f>
        <v>0</v>
      </c>
      <c r="BC305" s="12">
        <f>SUM(BC208:BC210,BC213,BC234,BC231)-SUM(BB208:BB210,BB213,BB234,BB231)</f>
        <v>0</v>
      </c>
      <c r="BD305" s="12">
        <f>SUM(BD208:BD210,BD213,BD234,BD231)-SUM(BC208:BC210,BC213,BC234,BC231)</f>
        <v>0</v>
      </c>
      <c r="BE305" s="12">
        <f>SUM(BE208:BE210,BE213,BE234,BE231)-SUM(BD208:BD210,BD213,BD234,BD231)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  <c r="CZ305" s="12" t="n"/>
      <c r="DA305" s="12" t="n"/>
      <c r="DB305" s="12" t="n"/>
      <c r="DC305" s="12" t="n"/>
    </row>
    <row r="306">
      <c r="C306" s="14" t="inlineStr">
        <is>
          <t>Cash from financing</t>
        </is>
      </c>
      <c r="D306" s="12" t="n"/>
      <c r="E306" s="12" t="n"/>
      <c r="F306" s="12" t="n"/>
      <c r="G306" s="12" t="n"/>
      <c r="H306" s="12" t="n"/>
      <c r="I306" s="12" t="n"/>
      <c r="J306" s="12">
        <f>SUM(J298,J299,J300,J301,J302,J303,J304,J305)</f>
        <v>-60</v>
      </c>
      <c r="K306" s="12">
        <f>SUM(K298,K299,K300,K301,K302,K303,K304,K305)</f>
        <v>-994</v>
      </c>
      <c r="L306" s="12">
        <f>SUM(L298,L299,L300,L301,L302,L303,L304,L305)</f>
        <v>-66</v>
      </c>
      <c r="M306" s="12" t="n"/>
      <c r="N306" s="12">
        <f>SUM(N298,N299,N300,N301,N302,N303,N304,N305)</f>
        <v>-260</v>
      </c>
      <c r="O306" s="12">
        <f>SUM(O298,O299,O300,O301,O302,O303,O304,O305)</f>
        <v>-1209</v>
      </c>
      <c r="P306" s="12">
        <f>SUM(P298,P299,P300,P301,P302,P303,P304,P305)</f>
        <v>-942</v>
      </c>
      <c r="Q306" s="12">
        <f>SUM(Q298,Q299,Q300,Q301,Q302,Q303,Q304,Q305)</f>
        <v>2968</v>
      </c>
      <c r="R306" s="12">
        <f>SUM(R298,R299,R300,R301,R302,R303,R304,R305)</f>
        <v>557</v>
      </c>
      <c r="S306" s="12">
        <f>SUM(S298,S299,S300,S301,S302,S303,S304,S305)</f>
        <v>2257</v>
      </c>
      <c r="T306" s="12">
        <f>SUM(T298,T299,T300,T301,T302,T303,T304,T305)</f>
        <v>1008</v>
      </c>
      <c r="U306" s="12">
        <f>SUM(U298,U299,U300,U301,U302,U303,U304,U305)</f>
        <v>230</v>
      </c>
      <c r="V306" s="12">
        <f>SUM(V298,V299,V300,V301,V302,V303,V304,V305)</f>
        <v>172</v>
      </c>
      <c r="W306" s="12">
        <f>SUM(W298,W299,W300,W301,W302,W303,W304,W305)</f>
        <v>3667</v>
      </c>
      <c r="X306" s="12">
        <f>SUM(X298,X299,X300,X301,X302,X303,X304,X305)</f>
        <v>401</v>
      </c>
      <c r="Y306" s="12">
        <f>SUM(Y298,Y299,Y300,Y301,Y302,Y303,Y304,Y305)</f>
        <v>-425</v>
      </c>
      <c r="Z306" s="12">
        <f>SUM(Z298,Z299,Z300,Z301,Z302,Z303,Z304,Z305)</f>
        <v>159</v>
      </c>
      <c r="AA306" s="12">
        <f>SUM(AA298,AA299,AA300,AA301,AA302,AA303,AA304,AA305)</f>
        <v>162</v>
      </c>
      <c r="AB306" s="12">
        <f>SUM(AB298,AB299,AB300,AB301,AB302,AB303,AB304,AB305)</f>
        <v>297</v>
      </c>
      <c r="AC306" s="12">
        <f>SUM(AC298,AC299,AC300,AC301,AC302,AC303,AC304,AC305)</f>
        <v>834</v>
      </c>
      <c r="AD306" s="12">
        <f>SUM(AD298,AD299,AD300,AD301,AD302,AD303,AD304,AD305)</f>
        <v>1417</v>
      </c>
      <c r="AE306" s="12">
        <f>SUM(AE298,AE299,AE300,AE301,AE302,AE303,AE304,AE305)</f>
        <v>-647</v>
      </c>
      <c r="AF306" s="12">
        <f>SUM(AF298,AF299,AF300,AF301,AF302,AF303,AF304,AF305)</f>
        <v>-3452</v>
      </c>
      <c r="AG306" s="12">
        <f>SUM(AG298,AG299,AG300,AG301,AG302,AG303,AG304,AG305)</f>
        <v>-1848</v>
      </c>
      <c r="AH306" s="12">
        <f>SUM(AH298,AH299,AH300,AH301,AH302,AH303,AH304,AH305)</f>
        <v>-1759</v>
      </c>
      <c r="AI306" s="12">
        <f>SUM(AI298,AI299,AI300,AI301,AI302,AI303,AI304,AI305)</f>
        <v>-4400</v>
      </c>
      <c r="AJ306" s="12">
        <f>SUM(AJ298,AJ299,AJ300,AJ301,AJ302,AJ303,AJ304,AJ305)</f>
        <v>0</v>
      </c>
      <c r="AK306" s="12">
        <f>SUM(AK298,AK299,AK300,AK301,AK302,AK303,AK304,AK305)</f>
        <v>0</v>
      </c>
      <c r="AL306" s="12">
        <f>SUM(AL298,AL299,AL300,AL301,AL302,AL303,AL304,AL305)</f>
        <v>-6159</v>
      </c>
      <c r="AM306" s="12">
        <f>SUM(AM298,AM299,AM300,AM301,AM302,AM303,AM304,AM305)</f>
        <v>0</v>
      </c>
      <c r="AN306" s="12">
        <f>SUM(AN298,AN299,AN300,AN301,AN302,AN303,AN304,AN305)</f>
        <v>0</v>
      </c>
      <c r="AO306" s="12">
        <f>SUM(AO298,AO299,AO300,AO301,AO302,AO303,AO304,AO305)</f>
        <v>0</v>
      </c>
      <c r="AP306" s="12">
        <f>SUM(AP298,AP299,AP300,AP301,AP302,AP303,AP304,AP305)</f>
        <v>0</v>
      </c>
      <c r="AQ306" s="12">
        <f>SUM(AQ298,AQ299,AQ300,AQ301,AQ302,AQ303,AQ304,AQ305)</f>
        <v>0</v>
      </c>
      <c r="AR306" s="12">
        <f>SUM(AR298,AR299,AR300,AR301,AR302,AR303,AR304,AR305)</f>
        <v>0</v>
      </c>
      <c r="AS306" s="12">
        <f>SUM(AS298,AS299,AS300,AS301,AS302,AS303,AS304,AS305)</f>
        <v>0</v>
      </c>
      <c r="AT306" s="12">
        <f>SUM(AT298,AT299,AT300,AT301,AT302,AT303,AT304,AT305)</f>
        <v>0</v>
      </c>
      <c r="AU306" s="12">
        <f>SUM(AU298,AU299,AU300,AU301,AU302,AU303,AU304,AU305)</f>
        <v>0</v>
      </c>
      <c r="AV306" s="12">
        <f>SUM(AV298,AV299,AV300,AV301,AV302,AV303,AV304,AV305)</f>
        <v>0</v>
      </c>
      <c r="AW306" s="12">
        <f>SUM(AW298,AW299,AW300,AW301,AW302,AW303,AW304,AW305)</f>
        <v>0</v>
      </c>
      <c r="AX306" s="12">
        <f>SUM(AX298,AX299,AX300,AX301,AX302,AX303,AX304,AX305)</f>
        <v>0</v>
      </c>
      <c r="AY306" s="12">
        <f>SUM(AY298,AY299,AY300,AY301,AY302,AY303,AY304,AY305)</f>
        <v>0</v>
      </c>
      <c r="AZ306" s="12">
        <f>SUM(AZ298,AZ299,AZ300,AZ301,AZ302,AZ303,AZ304,AZ305)</f>
        <v>0</v>
      </c>
      <c r="BA306" s="12">
        <f>SUM(BA298,BA299,BA300,BA301,BA302,BA303,BA304,BA305)</f>
        <v>0</v>
      </c>
      <c r="BB306" s="12">
        <f>SUM(BB298,BB299,BB300,BB301,BB302,BB303,BB304,BB305)</f>
        <v>0</v>
      </c>
      <c r="BC306" s="12">
        <f>SUM(BC298,BC299,BC300,BC301,BC302,BC303,BC304,BC305)</f>
        <v>0</v>
      </c>
      <c r="BD306" s="12">
        <f>SUM(BD298,BD299,BD300,BD301,BD302,BD303,BD304,BD305)</f>
        <v>0</v>
      </c>
      <c r="BE306" s="12">
        <f>SUM(BE298,BE299,BE300,BE301,BE302,BE303,BE304,BE305)</f>
        <v>0</v>
      </c>
      <c r="BF306" s="12">
        <f>SUM(BF298,BF299,BF300,BF301,BF302,BF303,BF304,BF305)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Others / cash reconciliation plug</t>
        </is>
      </c>
      <c r="D308" s="12" t="n"/>
      <c r="E308" s="12" t="n"/>
      <c r="F308" s="12" t="n"/>
      <c r="G308" s="12" t="n"/>
      <c r="H308" s="12" t="n"/>
      <c r="I308" s="12" t="n"/>
      <c r="J308" s="12">
        <f>J140-I140-SUM(J289,J296,J306)</f>
        <v>0</v>
      </c>
      <c r="K308" s="12">
        <f>K140-J140-SUM(K289,K296,K306)</f>
        <v>0</v>
      </c>
      <c r="L308" s="12">
        <f>L140-K140-SUM(L289,L296,L306)</f>
        <v>0</v>
      </c>
      <c r="M308" s="12" t="n"/>
      <c r="N308" s="12">
        <f>N140-M140-SUM(N289,N296,N306)</f>
        <v>0</v>
      </c>
      <c r="O308" s="12">
        <f>O140-N140-SUM(O289,O296,O306)</f>
        <v>0</v>
      </c>
      <c r="P308" s="12">
        <f>P140-O140-SUM(P289,P296,P306)</f>
        <v>0</v>
      </c>
      <c r="Q308" s="12">
        <f>Q140-P140-SUM(Q289,Q296,Q306)</f>
        <v>0</v>
      </c>
      <c r="R308" s="12">
        <f>SUM(N308:Q308)</f>
        <v>0</v>
      </c>
      <c r="S308" s="12">
        <f>S140-R140-SUM(S289,S296,S306)</f>
        <v>0</v>
      </c>
      <c r="T308" s="12">
        <f>T140-S140-SUM(T289,T296,T306)</f>
        <v>0</v>
      </c>
      <c r="U308" s="12">
        <f>U140-T140-SUM(U289,U296,U306)</f>
        <v>0</v>
      </c>
      <c r="V308" s="12">
        <f>V140-U140-SUM(V289,V296,V306)</f>
        <v>0</v>
      </c>
      <c r="W308" s="12">
        <f>SUM(S308:V308)</f>
        <v>0</v>
      </c>
      <c r="X308" s="12">
        <f>X140-W140-SUM(X289,X296,X306)</f>
        <v>0</v>
      </c>
      <c r="Y308" s="12">
        <f>Y140-X140-SUM(Y289,Y296,Y306)</f>
        <v>0</v>
      </c>
      <c r="Z308" s="12">
        <f>Z140-Y140-SUM(Z289,Z296,Z306)</f>
        <v>0</v>
      </c>
      <c r="AA308" s="12">
        <f>AA140-Z140-SUM(AA289,AA296,AA306)</f>
        <v>0</v>
      </c>
      <c r="AB308" s="12">
        <f>SUM(X308:AA308)</f>
        <v>0</v>
      </c>
      <c r="AC308" s="12">
        <f>AC140-AB140-SUM(AC289,AC296,AC306)</f>
        <v>0</v>
      </c>
      <c r="AD308" s="12">
        <f>AD140-AC140-SUM(AD289,AD296,AD306)</f>
        <v>0</v>
      </c>
      <c r="AE308" s="12">
        <f>AE140-AD140-SUM(AE289,AE296,AE306)</f>
        <v>0</v>
      </c>
      <c r="AF308" s="12">
        <f>AF140-AE140-SUM(AF289,AF296,AF306)</f>
        <v>0</v>
      </c>
      <c r="AG308" s="12">
        <f>SUM(AC308:AF308)</f>
        <v>0</v>
      </c>
      <c r="AH308" s="12">
        <f>AH140-AG140-SUM(AH289,AH296,AH306)</f>
        <v>0</v>
      </c>
      <c r="AI308" s="12">
        <f>AI140-AH140-SUM(AI289,AI296,AI306)</f>
        <v>0</v>
      </c>
      <c r="AJ308" s="12">
        <f>AJ140-AI140-SUM(AJ289,AJ296,AJ306)</f>
        <v>0</v>
      </c>
      <c r="AK308" s="12">
        <f>AK140-AJ140-SUM(AK289,AK296,AK306)</f>
        <v>0</v>
      </c>
      <c r="AL308" s="12">
        <f>SUM(AH308:AK308)</f>
        <v>0</v>
      </c>
      <c r="AM308" s="12">
        <f>AM140-AL140-SUM(AM289,AM296,AM306)</f>
        <v>1.09139364212751e-11</v>
      </c>
      <c r="AN308" s="12">
        <f>AN140-AM140-SUM(AN289,AN296,AN306)</f>
        <v>0</v>
      </c>
      <c r="AO308" s="12">
        <f>AO140-AN140-SUM(AO289,AO296,AO306)</f>
        <v>0</v>
      </c>
      <c r="AP308" s="12">
        <f>AP140-AO140-SUM(AP289,AP296,AP306)</f>
        <v>0</v>
      </c>
      <c r="AQ308" s="12">
        <f>SUM(AM308:AP308)</f>
        <v>1.09139364212751e-11</v>
      </c>
      <c r="AR308" s="12">
        <f>AR140-AQ140-SUM(AR289,AR296,AR306)</f>
        <v>-1.81898940354586e-11</v>
      </c>
      <c r="AS308" s="12">
        <f>AS140-AR140-SUM(AS289,AS296,AS306)</f>
        <v>3.63797880709171e-11</v>
      </c>
      <c r="AT308" s="12">
        <f>AT140-AS140-SUM(AT289,AT296,AT306)</f>
        <v>0</v>
      </c>
      <c r="AU308" s="12">
        <f>AU140-AT140-SUM(AU289,AU296,AU306)</f>
        <v>0</v>
      </c>
      <c r="AV308" s="12">
        <f>SUM(AR308:AU308)</f>
        <v>1.81898940354586e-11</v>
      </c>
      <c r="AW308" s="12">
        <f>AW140-AV140-SUM(AW289,AW296,AW306)</f>
        <v>2.91038304567337e-11</v>
      </c>
      <c r="AX308" s="12">
        <f>AX140-AW140-SUM(AX289,AX296,AX306)</f>
        <v>0</v>
      </c>
      <c r="AY308" s="12">
        <f>AY140-AX140-SUM(AY289,AY296,AY306)</f>
        <v>0</v>
      </c>
      <c r="AZ308" s="12">
        <f>AZ140-AY140-SUM(AZ289,AZ296,AZ306)</f>
        <v>0</v>
      </c>
      <c r="BA308" s="12">
        <f>SUM(AW308:AZ308)</f>
        <v>2.91038304567337e-11</v>
      </c>
      <c r="BB308" s="12">
        <f>BB140-BA140-SUM(BB289,BB296,BB306)</f>
        <v>-2.03726813197136e-10</v>
      </c>
      <c r="BC308" s="12">
        <f>BC140-BB140-SUM(BC289,BC296,BC306)</f>
        <v>0</v>
      </c>
      <c r="BD308" s="12">
        <f>BD140-BC140-SUM(BD289,BD296,BD306)</f>
        <v>0</v>
      </c>
      <c r="BE308" s="12">
        <f>BE140-BD140-SUM(BE289,BE296,BE306)</f>
        <v>0</v>
      </c>
      <c r="BF308" s="12">
        <f>SUM(BB308:BE308)</f>
        <v>-2.03726813197136e-10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4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  <c r="AL309" s="12" t="n"/>
      <c r="AM309" s="12" t="n"/>
      <c r="AN309" s="12" t="n"/>
      <c r="AO309" s="12" t="n"/>
      <c r="AP309" s="12" t="n"/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Total increase/decrease of cash</t>
        </is>
      </c>
      <c r="D310" s="12" t="n"/>
      <c r="E310" s="12" t="n"/>
      <c r="F310" s="12" t="n"/>
      <c r="G310" s="12" t="n"/>
      <c r="H310" s="12" t="n"/>
      <c r="I310" s="12" t="n"/>
      <c r="J310" s="12">
        <f>SUM(J289,J296,J306,J308)</f>
        <v>1165</v>
      </c>
      <c r="K310" s="12">
        <f>SUM(K289,K296,K306,K308)</f>
        <v>284</v>
      </c>
      <c r="L310" s="12">
        <f>SUM(L289,L296,L306,L308)</f>
        <v>947</v>
      </c>
      <c r="M310" s="12" t="n"/>
      <c r="N310" s="12">
        <f>SUM(N289,N296,N306,N308)</f>
        <v>542</v>
      </c>
      <c r="O310" s="12">
        <f>SUM(O289,O296,O306,O308)</f>
        <v>105</v>
      </c>
      <c r="P310" s="12">
        <f>SUM(P289,P296,P306,P308)</f>
        <v>-896</v>
      </c>
      <c r="Q310" s="12">
        <f>SUM(Q289,Q296,Q306,Q308)</f>
        <v>1250</v>
      </c>
      <c r="R310" s="12">
        <f>SUM(N310:Q310)</f>
        <v>1001</v>
      </c>
      <c r="S310" s="12">
        <f>SUM(S289,S296,S306,S308)</f>
        <v>237</v>
      </c>
      <c r="T310" s="12">
        <f>SUM(T289,T296,T306,T308)</f>
        <v>-466</v>
      </c>
      <c r="U310" s="12">
        <f>SUM(U289,U296,U306,U308)</f>
        <v>-758</v>
      </c>
      <c r="V310" s="12">
        <f>SUM(V289,V296,V306,V308)</f>
        <v>-546</v>
      </c>
      <c r="W310" s="12">
        <f>SUM(S310:V310)</f>
        <v>-1533</v>
      </c>
      <c r="X310" s="12">
        <f>SUM(X289,X296,X306,X308)</f>
        <v>-42</v>
      </c>
      <c r="Y310" s="12">
        <f>SUM(Y289,Y296,Y306,Y308)</f>
        <v>-627</v>
      </c>
      <c r="Z310" s="12">
        <f>SUM(Z289,Z296,Z306,Z308)</f>
        <v>-273</v>
      </c>
      <c r="AA310" s="12">
        <f>SUM(AA289,AA296,AA306,AA308)</f>
        <v>-518</v>
      </c>
      <c r="AB310" s="12">
        <f>SUM(X310:AA310)</f>
        <v>-1460</v>
      </c>
      <c r="AC310" s="12">
        <f>SUM(AC289,AC296,AC306,AC308)</f>
        <v>627</v>
      </c>
      <c r="AD310" s="12">
        <f>SUM(AD289,AD296,AD306,AD308)</f>
        <v>2596</v>
      </c>
      <c r="AE310" s="12">
        <f>SUM(AE289,AE296,AE306,AE308)</f>
        <v>-504</v>
      </c>
      <c r="AF310" s="12">
        <f>SUM(AF289,AF296,AF306,AF308)</f>
        <v>11</v>
      </c>
      <c r="AG310" s="12">
        <f>SUM(AC310:AF310)</f>
        <v>2730</v>
      </c>
      <c r="AH310" s="12">
        <f>SUM(AH289,AH296,AH306,AH308)</f>
        <v>4271</v>
      </c>
      <c r="AI310" s="12">
        <f>SUM(AI289,AI296,AI306,AI308)</f>
        <v>11433</v>
      </c>
      <c r="AJ310" s="12">
        <f>SUM(AJ289,AJ296,AJ306,AJ308)</f>
        <v>15097.1464482611</v>
      </c>
      <c r="AK310" s="12">
        <f>SUM(AK289,AK296,AK306,AK308)</f>
        <v>5585.23256797918</v>
      </c>
      <c r="AL310" s="12">
        <f>SUM(AH310:AK310)</f>
        <v>36386.3790162403</v>
      </c>
      <c r="AM310" s="12">
        <f>SUM(AM289,AM296,AM306,AM308)</f>
        <v>88.7602780697198</v>
      </c>
      <c r="AN310" s="12">
        <f>SUM(AN289,AN296,AN306,AN308)</f>
        <v>1823.93432750323</v>
      </c>
      <c r="AO310" s="12">
        <f>SUM(AO289,AO296,AO306,AO308)</f>
        <v>41031.9739872319</v>
      </c>
      <c r="AP310" s="12">
        <f>SUM(AP289,AP296,AP306,AP308)</f>
        <v>12282.743923958</v>
      </c>
      <c r="AQ310" s="12">
        <f>SUM(AM310:AP310)</f>
        <v>55227.4125167628</v>
      </c>
      <c r="AR310" s="12">
        <f>SUM(AR289,AR296,AR306,AR308)</f>
        <v>1146.30991891742</v>
      </c>
      <c r="AS310" s="12">
        <f>SUM(AS289,AS296,AS306,AS308)</f>
        <v>3149.32566453115</v>
      </c>
      <c r="AT310" s="12">
        <f>SUM(AT289,AT296,AT306,AT308)</f>
        <v>90030.1567521654</v>
      </c>
      <c r="AU310" s="12">
        <f>SUM(AU289,AU296,AU306,AU308)</f>
        <v>26950.1379866528</v>
      </c>
      <c r="AV310" s="12">
        <f>SUM(AR310:AU310)</f>
        <v>121275.930322267</v>
      </c>
      <c r="AW310" s="12">
        <f>SUM(AW289,AW296,AW306,AW308)</f>
        <v>860.361122797127</v>
      </c>
      <c r="AX310" s="12">
        <f>SUM(AX289,AX296,AX306,AX308)</f>
        <v>8760.91754127086</v>
      </c>
      <c r="AY310" s="12">
        <f>SUM(AY289,AY296,AY306,AY308)</f>
        <v>197089.190787807</v>
      </c>
      <c r="AZ310" s="12">
        <f>SUM(AZ289,AZ296,AZ306,AZ308)</f>
        <v>58997.796727499</v>
      </c>
      <c r="BA310" s="12">
        <f>SUM(AW310:AZ310)</f>
        <v>265708.266179374</v>
      </c>
      <c r="BB310" s="12">
        <f>SUM(BB289,BB296,BB306,BB308)</f>
        <v>2356.38940617361</v>
      </c>
      <c r="BC310" s="12">
        <f>SUM(BC289,BC296,BC306,BC308)</f>
        <v>19135.1262401163</v>
      </c>
      <c r="BD310" s="12">
        <f>SUM(BD289,BD296,BD306,BD308)</f>
        <v>430471.640501242</v>
      </c>
      <c r="BE310" s="12">
        <f>SUM(BE289,BE296,BE306,BE308)</f>
        <v>128859.823523191</v>
      </c>
      <c r="BF310" s="12">
        <f>SUM(BB310:BE310)</f>
        <v>580822.979670723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4" t="inlineStr">
        <is>
          <t>Check</t>
        </is>
      </c>
      <c r="E311" s="72" t="n"/>
      <c r="F311" s="72" t="n"/>
      <c r="G311" s="72" t="n"/>
      <c r="I311" s="72" t="str">
        <f>""</f>
        <v/>
      </c>
      <c r="J311" s="72">
        <f>J140-I140-J310</f>
        <v>0</v>
      </c>
      <c r="K311" s="72">
        <f>K140-J140-K310</f>
        <v>0</v>
      </c>
      <c r="L311" s="72">
        <f>L140-K140-L310</f>
        <v>0</v>
      </c>
      <c r="M311" s="4" t="str">
        <f>""</f>
        <v/>
      </c>
      <c r="N311" s="72">
        <f>N140-M140-N310</f>
        <v>0</v>
      </c>
      <c r="O311" s="72">
        <f>O140-N140-O310</f>
        <v>0</v>
      </c>
      <c r="P311" s="72">
        <f>P140-O140-P310</f>
        <v>0</v>
      </c>
      <c r="Q311" s="72">
        <f>Q140-P140-Q310</f>
        <v>0</v>
      </c>
      <c r="R311" s="4">
        <f>R140-M140-R310</f>
        <v>0</v>
      </c>
      <c r="S311" s="72">
        <f>S140-R140-S310</f>
        <v>0</v>
      </c>
      <c r="T311" s="72">
        <f>T140-S140-T310</f>
        <v>0</v>
      </c>
      <c r="U311" s="72">
        <f>U140-T140-U310</f>
        <v>0</v>
      </c>
      <c r="V311" s="72">
        <f>V140-U140-V310</f>
        <v>0</v>
      </c>
      <c r="W311" s="4">
        <f>W140-R140-W310</f>
        <v>0</v>
      </c>
      <c r="X311" s="72">
        <f>X140-W140-X310</f>
        <v>0</v>
      </c>
      <c r="Y311" s="72">
        <f>Y140-X140-Y310</f>
        <v>0</v>
      </c>
      <c r="Z311" s="72">
        <f>Z140-Y140-Z310</f>
        <v>0</v>
      </c>
      <c r="AA311" s="72">
        <f>AA140-Z140-AA310</f>
        <v>0</v>
      </c>
      <c r="AB311" s="4">
        <f>AB140-W140-AB310</f>
        <v>0</v>
      </c>
      <c r="AC311" s="72">
        <f>AC140-AB140-AC310</f>
        <v>0</v>
      </c>
      <c r="AD311" s="72">
        <f>AD140-AC140-AD310</f>
        <v>0</v>
      </c>
      <c r="AE311" s="72">
        <f>AE140-AD140-AE310</f>
        <v>0</v>
      </c>
      <c r="AF311" s="72">
        <f>AF140-AE140-AF310</f>
        <v>0</v>
      </c>
      <c r="AG311" s="4">
        <f>AG140-AB140-AG310</f>
        <v>0</v>
      </c>
      <c r="AH311" s="72">
        <f>AH140-AG140-AH310</f>
        <v>0</v>
      </c>
      <c r="AI311" s="72">
        <f>AI140-AH140-AI310</f>
        <v>0</v>
      </c>
      <c r="AJ311" s="72">
        <f>AJ140-AI140-AJ310</f>
        <v>0</v>
      </c>
      <c r="AK311" s="72">
        <f>AK140-AJ140-AK310</f>
        <v>0</v>
      </c>
      <c r="AL311" s="4">
        <f>AL140-AG140-AL310</f>
        <v>0</v>
      </c>
      <c r="AM311" s="72">
        <f>AM140-AL140-AM310</f>
        <v>0</v>
      </c>
      <c r="AN311" s="72">
        <f>AN140-AM140-AN310</f>
        <v>0</v>
      </c>
      <c r="AO311" s="72">
        <f>AO140-AN140-AO310</f>
        <v>0</v>
      </c>
      <c r="AP311" s="72">
        <f>AP140-AO140-AP310</f>
        <v>0</v>
      </c>
      <c r="AQ311" s="4">
        <f>AQ140-AL140-AQ310</f>
        <v>0</v>
      </c>
      <c r="AR311" s="72">
        <f>AR140-AQ140-AR310</f>
        <v>0</v>
      </c>
      <c r="AS311" s="72">
        <f>AS140-AR140-AS310</f>
        <v>0</v>
      </c>
      <c r="AT311" s="72">
        <f>AT140-AS140-AT310</f>
        <v>0</v>
      </c>
      <c r="AU311" s="72">
        <f>AU140-AT140-AU310</f>
        <v>0</v>
      </c>
      <c r="AV311" s="4">
        <f>AV140-AQ140-AV310</f>
        <v>0</v>
      </c>
      <c r="AW311" s="72">
        <f>AW140-AV140-AW310</f>
        <v>0</v>
      </c>
      <c r="AX311" s="72">
        <f>AX140-AW140-AX310</f>
        <v>0</v>
      </c>
      <c r="AY311" s="72">
        <f>AY140-AX140-AY310</f>
        <v>0</v>
      </c>
      <c r="AZ311" s="72">
        <f>AZ140-AY140-AZ310</f>
        <v>0</v>
      </c>
      <c r="BA311" s="4">
        <f>BA140-AV140-BA310</f>
        <v>0</v>
      </c>
      <c r="BB311" s="72">
        <f>BB140-BA140-BB310</f>
        <v>0</v>
      </c>
      <c r="BC311" s="72">
        <f>BC140-BB140-BC310</f>
        <v>0</v>
      </c>
      <c r="BD311" s="72">
        <f>BD140-BC140-BD310</f>
        <v>0</v>
      </c>
      <c r="BE311" s="72">
        <f>BE140-BD140-BE310</f>
        <v>0</v>
      </c>
      <c r="BF311" s="4">
        <f>BF140-BA140-BF310</f>
        <v>0</v>
      </c>
      <c r="BG311" s="72" t="n"/>
      <c r="BH311" s="72" t="n"/>
      <c r="BI311" s="72" t="n"/>
      <c r="BJ311" s="72" t="n"/>
      <c r="BL311" s="72" t="n"/>
      <c r="BM311" s="72" t="n"/>
      <c r="BN311" s="72" t="n"/>
      <c r="BO311" s="72" t="n"/>
      <c r="BQ311" s="72" t="n"/>
      <c r="BR311" s="72" t="n"/>
      <c r="BS311" s="72" t="n"/>
      <c r="BT311" s="72" t="n"/>
      <c r="BV311" s="72" t="n"/>
      <c r="BW311" s="72" t="n"/>
      <c r="BX311" s="72" t="n"/>
      <c r="BY311" s="72" t="n"/>
      <c r="CA311" s="72" t="n"/>
      <c r="CB311" s="72" t="n"/>
      <c r="CC311" s="72" t="n"/>
      <c r="CD311" s="72" t="n"/>
      <c r="CF311" s="72" t="n"/>
      <c r="CG311" s="72" t="n"/>
      <c r="CH311" s="72" t="n"/>
      <c r="CI311" s="72" t="n"/>
      <c r="CK311" s="72" t="n"/>
      <c r="CL311" s="72" t="n"/>
      <c r="CM311" s="72" t="n"/>
      <c r="CN311" s="72" t="n"/>
      <c r="CP311" s="72" t="n"/>
      <c r="CQ311" s="72" t="n"/>
      <c r="CR311" s="72" t="n"/>
      <c r="CS311" s="72" t="n"/>
      <c r="CU311" s="72" t="n"/>
      <c r="CV311" s="72" t="n"/>
      <c r="CW311" s="72" t="n"/>
      <c r="CX311" s="72" t="n"/>
    </row>
    <row r="312"/>
    <row r="313">
      <c r="C313" s="73" t="inlineStr">
        <is>
          <t>Ratio Analysis</t>
        </is>
      </c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  <c r="N313" s="73" t="n"/>
      <c r="O313" s="73" t="n"/>
      <c r="P313" s="73" t="n"/>
      <c r="Q313" s="73" t="n"/>
      <c r="R313" s="73" t="n"/>
      <c r="S313" s="73" t="n"/>
      <c r="T313" s="73" t="n"/>
      <c r="U313" s="73" t="n"/>
      <c r="V313" s="73" t="n"/>
      <c r="W313" s="73" t="n"/>
      <c r="X313" s="73" t="n"/>
      <c r="Y313" s="73" t="n"/>
      <c r="Z313" s="73" t="n"/>
      <c r="AA313" s="73" t="n"/>
      <c r="AB313" s="73" t="n"/>
      <c r="AC313" s="73" t="n"/>
      <c r="AD313" s="73" t="n"/>
      <c r="AE313" s="73" t="n"/>
      <c r="AF313" s="73" t="n"/>
      <c r="AG313" s="73" t="n"/>
      <c r="AH313" s="73" t="n"/>
      <c r="AI313" s="73" t="n"/>
      <c r="AJ313" s="73" t="n"/>
      <c r="AK313" s="73" t="n"/>
      <c r="AL313" s="73" t="n"/>
      <c r="AM313" s="73" t="n"/>
      <c r="AN313" s="73" t="n"/>
      <c r="AO313" s="73" t="n"/>
      <c r="AP313" s="73" t="n"/>
      <c r="AQ313" s="73" t="n"/>
      <c r="AR313" s="73" t="n"/>
      <c r="AS313" s="73" t="n"/>
      <c r="AT313" s="73" t="n"/>
      <c r="AU313" s="73" t="n"/>
      <c r="AV313" s="73" t="n"/>
      <c r="AW313" s="73" t="n"/>
      <c r="AX313" s="73" t="n"/>
      <c r="AY313" s="73" t="n"/>
      <c r="AZ313" s="73" t="n"/>
      <c r="BA313" s="73" t="n"/>
      <c r="BB313" s="73" t="n"/>
      <c r="BC313" s="73" t="n"/>
      <c r="BD313" s="73" t="n"/>
      <c r="BE313" s="73" t="n"/>
      <c r="BF313" s="73" t="n"/>
      <c r="BG313" s="73" t="n"/>
      <c r="BH313" s="73" t="n"/>
      <c r="BI313" s="73" t="n"/>
      <c r="BJ313" s="73" t="n"/>
      <c r="BK313" s="73" t="n"/>
      <c r="BL313" s="73" t="n"/>
      <c r="BM313" s="73" t="n"/>
      <c r="BN313" s="73" t="n"/>
      <c r="BO313" s="73" t="n"/>
      <c r="BP313" s="73" t="n"/>
      <c r="BQ313" s="73" t="n"/>
      <c r="BR313" s="73" t="n"/>
      <c r="BS313" s="73" t="n"/>
      <c r="BT313" s="73" t="n"/>
      <c r="BU313" s="73" t="n"/>
      <c r="BV313" s="73" t="n"/>
      <c r="BW313" s="73" t="n"/>
      <c r="BX313" s="73" t="n"/>
      <c r="BY313" s="73" t="n"/>
      <c r="BZ313" s="73" t="n"/>
      <c r="CA313" s="73" t="n"/>
      <c r="CB313" s="73" t="n"/>
      <c r="CC313" s="73" t="n"/>
      <c r="CD313" s="73" t="n"/>
      <c r="CE313" s="73" t="n"/>
      <c r="CF313" s="73" t="n"/>
      <c r="CG313" s="73" t="n"/>
      <c r="CH313" s="73" t="n"/>
      <c r="CI313" s="73" t="n"/>
      <c r="CJ313" s="73" t="n"/>
      <c r="CK313" s="73" t="n"/>
      <c r="CL313" s="73" t="n"/>
      <c r="CM313" s="73" t="n"/>
      <c r="CN313" s="73" t="n"/>
      <c r="CO313" s="73" t="n"/>
      <c r="CP313" s="73" t="n"/>
      <c r="CQ313" s="73" t="n"/>
      <c r="CR313" s="73" t="n"/>
      <c r="CS313" s="73" t="n"/>
      <c r="CT313" s="73" t="n"/>
      <c r="CU313" s="73" t="n"/>
      <c r="CV313" s="73" t="n"/>
      <c r="CW313" s="73" t="n"/>
      <c r="CX313" s="73" t="n"/>
      <c r="CY313" s="73" t="n"/>
    </row>
    <row r="314"/>
    <row r="315" customFormat="1" s="74">
      <c r="C315" s="74" t="inlineStr">
        <is>
          <t>YEAR</t>
        </is>
      </c>
      <c r="D315">
        <f>IFERROR(D271,"")</f>
        <v>0</v>
      </c>
      <c r="E315" s="75">
        <f>IFERROR(E271,"")</f>
        <v>0</v>
      </c>
      <c r="F315" s="75">
        <f>IFERROR(F271,"")</f>
        <v>0</v>
      </c>
      <c r="G315" s="75">
        <f>IFERROR(G271,"")</f>
        <v>0</v>
      </c>
      <c r="H315" s="75">
        <f>IFERROR(H271,"")</f>
        <v>0</v>
      </c>
      <c r="I315" s="75" t="str">
        <f>IFERROR(I271,"")</f>
        <v>1Q21</v>
      </c>
      <c r="J315" s="75" t="str">
        <f>IFERROR(J271,"")</f>
        <v>2Q21</v>
      </c>
      <c r="K315" s="75" t="str">
        <f>IFERROR(K271,"")</f>
        <v>3Q21</v>
      </c>
      <c r="L315" s="75" t="str">
        <f>IFERROR(L271,"")</f>
        <v>4Q21</v>
      </c>
      <c r="M315" s="75">
        <f>IFERROR(M271,"")</f>
        <v>2021</v>
      </c>
      <c r="N315" s="75" t="str">
        <f>IFERROR(N271,"")</f>
        <v>1Q22</v>
      </c>
      <c r="O315" s="75" t="str">
        <f>IFERROR(O271,"")</f>
        <v>2Q22</v>
      </c>
      <c r="P315" s="75" t="str">
        <f>IFERROR(P271,"")</f>
        <v>3Q22</v>
      </c>
      <c r="Q315" s="75" t="str">
        <f>IFERROR(Q271,"")</f>
        <v>4Q22</v>
      </c>
      <c r="R315" s="75">
        <f>IFERROR(R271,"")</f>
        <v>2022</v>
      </c>
      <c r="S315" s="75" t="str">
        <f>IFERROR(S271,"")</f>
        <v>1Q23</v>
      </c>
      <c r="T315" s="75" t="str">
        <f>IFERROR(T271,"")</f>
        <v>2Q23</v>
      </c>
      <c r="U315" s="75" t="str">
        <f>IFERROR(U271,"")</f>
        <v>3Q23</v>
      </c>
      <c r="V315" s="75" t="str">
        <f>IFERROR(V271,"")</f>
        <v>4Q23</v>
      </c>
      <c r="W315" s="75">
        <f>IFERROR(W271,"")</f>
        <v>2023</v>
      </c>
      <c r="X315" s="75" t="str">
        <f>IFERROR(X271,"")</f>
        <v>1Q24</v>
      </c>
      <c r="Y315" s="75" t="str">
        <f>IFERROR(Y271,"")</f>
        <v>2Q24</v>
      </c>
      <c r="Z315" s="75" t="str">
        <f>IFERROR(Z271,"")</f>
        <v>3Q24</v>
      </c>
      <c r="AA315" s="75" t="str">
        <f>IFERROR(AA271,"")</f>
        <v>4Q24</v>
      </c>
      <c r="AB315" s="75">
        <f>IFERROR(AB271,"")</f>
        <v>2024</v>
      </c>
      <c r="AC315" s="75" t="str">
        <f>IFERROR(AC271,"")</f>
        <v>1Q25</v>
      </c>
      <c r="AD315" s="75" t="str">
        <f>IFERROR(AD271,"")</f>
        <v>2Q25</v>
      </c>
      <c r="AE315" s="75" t="str">
        <f>IFERROR(AE271,"")</f>
        <v>3Q25</v>
      </c>
      <c r="AF315" s="75" t="str">
        <f>IFERROR(AF271,"")</f>
        <v>4Q25</v>
      </c>
      <c r="AG315" s="75">
        <f>IFERROR(AG271,"")</f>
        <v>2025</v>
      </c>
      <c r="AH315" s="75" t="str">
        <f>IFERROR(AH271,"")</f>
        <v>1Q26</v>
      </c>
      <c r="AI315" s="75" t="str">
        <f>IFERROR(AI271,"")</f>
        <v>2Q26</v>
      </c>
      <c r="AJ315" s="75" t="str">
        <f>IFERROR(AJ271,"")</f>
        <v>3Q26</v>
      </c>
      <c r="AK315" s="75" t="str">
        <f>IFERROR(AK271,"")</f>
        <v>4Q26</v>
      </c>
      <c r="AL315" s="75">
        <f>IFERROR(AL271,"")</f>
        <v>2026</v>
      </c>
      <c r="AM315" s="75" t="str">
        <f>IFERROR(AM271,"")</f>
        <v>1Q27</v>
      </c>
      <c r="AN315" s="75" t="str">
        <f>IFERROR(AN271,"")</f>
        <v>2Q27</v>
      </c>
      <c r="AO315" s="75" t="str">
        <f>IFERROR(AO271,"")</f>
        <v>3Q27</v>
      </c>
      <c r="AP315" s="75" t="str">
        <f>IFERROR(AP271,"")</f>
        <v>4Q27</v>
      </c>
      <c r="AQ315" s="75">
        <f>IFERROR(AQ271,"")</f>
        <v>2027</v>
      </c>
      <c r="AR315" s="75" t="str">
        <f>IFERROR(AR271,"")</f>
        <v>1Q28</v>
      </c>
      <c r="AS315" s="75" t="str">
        <f>IFERROR(AS271,"")</f>
        <v>2Q28</v>
      </c>
      <c r="AT315" s="75" t="str">
        <f>IFERROR(AT271,"")</f>
        <v>3Q28</v>
      </c>
      <c r="AU315" s="75" t="str">
        <f>IFERROR(AU271,"")</f>
        <v>4Q28</v>
      </c>
      <c r="AV315" s="75">
        <f>IFERROR(AV271,"")</f>
        <v>2028</v>
      </c>
      <c r="AW315" s="75" t="str">
        <f>IFERROR(AW271,"")</f>
        <v>1Q29</v>
      </c>
      <c r="AX315" s="75" t="str">
        <f>IFERROR(AX271,"")</f>
        <v>2Q29</v>
      </c>
      <c r="AY315" s="75" t="str">
        <f>IFERROR(AY271,"")</f>
        <v>3Q29</v>
      </c>
      <c r="AZ315" s="75" t="str">
        <f>IFERROR(AZ271,"")</f>
        <v>4Q29</v>
      </c>
      <c r="BA315" s="75">
        <f>IFERROR(BA271,"")</f>
        <v>2029</v>
      </c>
      <c r="BB315" s="75" t="str">
        <f>IFERROR(BB271,"")</f>
        <v>1Q30</v>
      </c>
      <c r="BC315" s="75" t="str">
        <f>IFERROR(BC271,"")</f>
        <v>2Q30</v>
      </c>
      <c r="BD315" s="75" t="str">
        <f>IFERROR(BD271,"")</f>
        <v>3Q30</v>
      </c>
      <c r="BE315" s="75" t="str">
        <f>IFERROR(BE271,"")</f>
        <v>4Q30</v>
      </c>
      <c r="BF315" s="75">
        <f>IFERROR(BF271,"")</f>
        <v>2030</v>
      </c>
      <c r="BG315" s="75" t="n"/>
      <c r="BH315" s="75" t="n"/>
      <c r="BI315" s="75" t="n"/>
      <c r="BJ315" s="75" t="n"/>
      <c r="BK315" s="75" t="n"/>
      <c r="BL315" s="75" t="n"/>
      <c r="BM315" s="75" t="n"/>
      <c r="BN315" s="75" t="n"/>
      <c r="BO315" s="75" t="n"/>
      <c r="BP315" s="75" t="n"/>
      <c r="BQ315" s="75" t="n"/>
      <c r="BR315" s="75" t="n"/>
      <c r="BS315" s="75" t="n"/>
      <c r="BT315" s="75" t="n"/>
      <c r="BU315" s="75" t="n"/>
      <c r="BV315" s="75" t="n"/>
      <c r="BW315" s="75" t="n"/>
      <c r="BX315" s="75" t="n"/>
      <c r="BY315" s="75" t="n"/>
      <c r="BZ315" s="75" t="n"/>
      <c r="CA315" s="75" t="n"/>
      <c r="CB315" s="75" t="n"/>
      <c r="CC315" s="75" t="n"/>
      <c r="CD315" s="75" t="n"/>
      <c r="CE315" s="75" t="n"/>
      <c r="CF315" s="75" t="n"/>
      <c r="CG315" s="75" t="n"/>
      <c r="CH315" s="75" t="n"/>
      <c r="CI315" s="75" t="n"/>
      <c r="CJ315" s="75" t="n"/>
      <c r="CK315" s="75" t="n"/>
      <c r="CL315" s="75" t="n"/>
      <c r="CM315" s="75" t="n"/>
      <c r="CN315" s="75" t="n"/>
      <c r="CO315" s="75" t="n"/>
      <c r="CP315" s="75" t="n"/>
      <c r="CQ315" s="75" t="n"/>
      <c r="CR315" s="75" t="n"/>
      <c r="CS315" s="75" t="n"/>
      <c r="CT315" s="75" t="n"/>
      <c r="CU315" s="75" t="n"/>
      <c r="CV315" s="75" t="n"/>
      <c r="CW315" s="75" t="n"/>
      <c r="CX315" s="75" t="n"/>
      <c r="CY315" s="75" t="n"/>
    </row>
    <row r="316" customFormat="1" s="77">
      <c r="A316" s="76" t="n"/>
      <c r="B316" s="76" t="n"/>
      <c r="C316" s="74" t="inlineStr">
        <is>
          <t>GROWTH &amp; MARGINS</t>
        </is>
      </c>
    </row>
    <row r="317" customFormat="1" s="77">
      <c r="A317" s="76" t="n"/>
      <c r="B317" s="76" t="n"/>
      <c r="C317" s="77" t="inlineStr">
        <is>
          <t>NET REVENUE GROWTH (YoY)</t>
        </is>
      </c>
      <c r="E317" s="78" t="str">
        <f>IFERROR(E15/D15-1,"")</f>
        <v/>
      </c>
      <c r="F317" s="78" t="str">
        <f>IFERROR(F15/E15-1,"")</f>
        <v/>
      </c>
      <c r="G317" s="78" t="str">
        <f>IFERROR(G15/F15-1,"")</f>
        <v/>
      </c>
      <c r="H317" s="257" t="str">
        <f>""</f>
        <v/>
      </c>
      <c r="I317" s="257" t="str">
        <f>""</f>
        <v/>
      </c>
      <c r="J317" s="257" t="str">
        <f>""</f>
        <v/>
      </c>
      <c r="K317" s="257" t="str">
        <f>""</f>
        <v/>
      </c>
      <c r="L317" s="257" t="str">
        <f>""</f>
        <v/>
      </c>
      <c r="M317" s="257" t="str">
        <f>IFERROR(IF(AND(ISNUMBER(M15),ISNUMBER(H15),H15&lt;&gt;0),M15/H15-1,""),"")</f>
        <v/>
      </c>
      <c r="N317" s="257">
        <f>IFERROR(IF(AND(ISNUMBER(N15),ISNUMBER(I15),I15&lt;&gt;0),N15/I15-1,""),"")</f>
        <v>0.248556767158435</v>
      </c>
      <c r="O317" s="257">
        <f>IFERROR(IF(AND(ISNUMBER(O15),ISNUMBER(J15),J15&lt;&gt;0),O15/J15-1,""),"")</f>
        <v>0.164376178927513</v>
      </c>
      <c r="P317" s="257">
        <f>IFERROR(IF(AND(ISNUMBER(P15),ISNUMBER(K15),K15&lt;&gt;0),P15/K15-1,""),"")</f>
        <v>-0.197123519458545</v>
      </c>
      <c r="Q317" s="257">
        <f>IFERROR(IF(AND(ISNUMBER(Q15),ISNUMBER(L15),L15&lt;&gt;0),Q15/L15-1,""),"")</f>
        <v>-0.46858332249252</v>
      </c>
      <c r="R317" s="257">
        <f>IFERROR(IF(AND(ISNUMBER(R15),ISNUMBER(M15),M15&lt;&gt;0),R15/M15-1,""),"")</f>
        <v>-0.0831560822445052</v>
      </c>
      <c r="S317" s="257">
        <f>IFERROR(IF(AND(ISNUMBER(S15),ISNUMBER(N15),N15&lt;&gt;0),S15/N15-1,""),"")</f>
        <v>-0.525687130747496</v>
      </c>
      <c r="T317" s="257">
        <f>IFERROR(IF(AND(ISNUMBER(T15),ISNUMBER(O15),O15&lt;&gt;0),T15/O15-1,""),"")</f>
        <v>-0.565841240453599</v>
      </c>
      <c r="U317" s="257">
        <f>IFERROR(IF(AND(ISNUMBER(U15),ISNUMBER(P15),P15&lt;&gt;0),U15/P15-1,""),"")</f>
        <v>-0.396357067589944</v>
      </c>
      <c r="V317" s="257">
        <f>IFERROR(IF(AND(ISNUMBER(V15),ISNUMBER(Q15),Q15&lt;&gt;0),V15/Q15-1,""),"")</f>
        <v>0.156915544675643</v>
      </c>
      <c r="W317" s="257">
        <f>IFERROR(IF(AND(ISNUMBER(W15),ISNUMBER(R15),R15&lt;&gt;0),W15/R15-1,""),"")</f>
        <v>-0.404146413315658</v>
      </c>
      <c r="X317" s="257">
        <f>IFERROR(IF(AND(ISNUMBER(X15),ISNUMBER(S15),S15&lt;&gt;0),X15/S15-1,""),"")</f>
        <v>0.577037638776063</v>
      </c>
      <c r="Y317" s="257">
        <f>IFERROR(IF(AND(ISNUMBER(Y15),ISNUMBER(T15),T15&lt;&gt;0),Y15/T15-1,""),"")</f>
        <v>0.815298507462687</v>
      </c>
      <c r="Z317" s="257">
        <f>IFERROR(IF(AND(ISNUMBER(Z15),ISNUMBER(U15),U15&lt;&gt;0),Z15/U15-1,""),"")</f>
        <v>0.932668329177057</v>
      </c>
      <c r="AA317" s="257">
        <f>IFERROR(IF(AND(ISNUMBER(AA15),ISNUMBER(V15),V15&lt;&gt;0),AA15/V15-1,""),"")</f>
        <v>0.84278459585273</v>
      </c>
      <c r="AB317" s="257">
        <f>IFERROR(IF(AND(ISNUMBER(AB15),ISNUMBER(W15),W15&lt;&gt;0),AB15/W15-1,""),"")</f>
        <v>0.798034732093196</v>
      </c>
      <c r="AC317" s="257">
        <f>IFERROR(IF(AND(ISNUMBER(AC15),ISNUMBER(X15),X15&lt;&gt;0),AC15/X15-1,""),"")</f>
        <v>0.382726648351648</v>
      </c>
      <c r="AD317" s="257">
        <f>IFERROR(IF(AND(ISNUMBER(AD15),ISNUMBER(Y15),Y15&lt;&gt;0),AD15/Y15-1,""),"")</f>
        <v>0.365585082954045</v>
      </c>
      <c r="AE317" s="257">
        <f>IFERROR(IF(AND(ISNUMBER(AE15),ISNUMBER(Z15),Z15&lt;&gt;0),AE15/Z15-1,""),"")</f>
        <v>0.46</v>
      </c>
      <c r="AF317" s="257">
        <f>IFERROR(IF(AND(ISNUMBER(AF15),ISNUMBER(AA15),AA15&lt;&gt;0),AF15/AA15-1,""),"")</f>
        <v>0.566540360546561</v>
      </c>
      <c r="AG317" s="257">
        <f>IFERROR(IF(AND(ISNUMBER(AG15),ISNUMBER(AB15),AB15&lt;&gt;0),AG15/AB15-1,""),"")</f>
        <v>0.454320478449165</v>
      </c>
      <c r="AH317" s="257">
        <f>IFERROR(IF(AND(ISNUMBER(AH15),ISNUMBER(AC15),AC15&lt;&gt;0),AH15/AC15-1,""),"")</f>
        <v>1.9628709797591</v>
      </c>
      <c r="AI317" s="257">
        <f>IFERROR(IF(AND(ISNUMBER(AI15),ISNUMBER(AD15),AD15&lt;&gt;0),AI15/AD15-1,""),"")</f>
        <v>3.45715514460811</v>
      </c>
      <c r="AJ317" s="257">
        <f>IFERROR(IF(AND(ISNUMBER(AJ15),ISNUMBER(AE15),AE15&lt;&gt;0),AJ15/AE15-1,""),"")</f>
        <v>1.19914636936991</v>
      </c>
      <c r="AK317" s="257">
        <f>IFERROR(IF(AND(ISNUMBER(AK15),ISNUMBER(AF15),AF15&lt;&gt;0),AK15/AF15-1,""),"")</f>
        <v>1.19914636936991</v>
      </c>
      <c r="AL317" s="257">
        <f>IFERROR(IF(AND(ISNUMBER(AL15),ISNUMBER(AG15),AG15&lt;&gt;0),AL15/AG15-1,""),"")</f>
        <v>1.8408559058124</v>
      </c>
      <c r="AM317" s="257">
        <f>IFERROR(IF(AND(ISNUMBER(AM15),ISNUMBER(AH15),AH15&lt;&gt;0),AM15/AH15-1,""),"")</f>
        <v>1.19914636936991</v>
      </c>
      <c r="AN317" s="257">
        <f>IFERROR(IF(AND(ISNUMBER(AN15),ISNUMBER(AI15),AI15&lt;&gt;0),AN15/AI15-1,""),"")</f>
        <v>1.19914636936991</v>
      </c>
      <c r="AO317" s="257">
        <f>IFERROR(IF(AND(ISNUMBER(AO15),ISNUMBER(AJ15),AJ15&lt;&gt;0),AO15/AJ15-1,""),"")</f>
        <v>1.19914636936991</v>
      </c>
      <c r="AP317" s="257">
        <f>IFERROR(IF(AND(ISNUMBER(AP15),ISNUMBER(AK15),AK15&lt;&gt;0),AP15/AK15-1,""),"")</f>
        <v>1.19914636936991</v>
      </c>
      <c r="AQ317" s="257">
        <f>IFERROR(IF(AND(ISNUMBER(AQ15),ISNUMBER(AL15),AL15&lt;&gt;0),AQ15/AL15-1,""),"")</f>
        <v>1.19914636936991</v>
      </c>
      <c r="AR317" s="257">
        <f>IFERROR(IF(AND(ISNUMBER(AR15),ISNUMBER(AM15),AM15&lt;&gt;0),AR15/AM15-1,""),"")</f>
        <v>1.19414636936991</v>
      </c>
      <c r="AS317" s="257">
        <f>IFERROR(IF(AND(ISNUMBER(AS15),ISNUMBER(AN15),AN15&lt;&gt;0),AS15/AN15-1,""),"")</f>
        <v>1.19414636936991</v>
      </c>
      <c r="AT317" s="257">
        <f>IFERROR(IF(AND(ISNUMBER(AT15),ISNUMBER(AO15),AO15&lt;&gt;0),AT15/AO15-1,""),"")</f>
        <v>1.19414636936991</v>
      </c>
      <c r="AU317" s="257">
        <f>IFERROR(IF(AND(ISNUMBER(AU15),ISNUMBER(AP15),AP15&lt;&gt;0),AU15/AP15-1,""),"")</f>
        <v>1.19414636936991</v>
      </c>
      <c r="AV317" s="257">
        <f>IFERROR(IF(AND(ISNUMBER(AV15),ISNUMBER(AQ15),AQ15&lt;&gt;0),AV15/AQ15-1,""),"")</f>
        <v>1.19414636936991</v>
      </c>
      <c r="AW317" s="257">
        <f>IFERROR(IF(AND(ISNUMBER(AW15),ISNUMBER(AR15),AR15&lt;&gt;0),AW15/AR15-1,""),"")</f>
        <v>1.18914636936991</v>
      </c>
      <c r="AX317" s="257">
        <f>IFERROR(IF(AND(ISNUMBER(AX15),ISNUMBER(AS15),AS15&lt;&gt;0),AX15/AS15-1,""),"")</f>
        <v>1.18914636936991</v>
      </c>
      <c r="AY317" s="257">
        <f>IFERROR(IF(AND(ISNUMBER(AY15),ISNUMBER(AT15),AT15&lt;&gt;0),AY15/AT15-1,""),"")</f>
        <v>1.18914636936991</v>
      </c>
      <c r="AZ317" s="257">
        <f>IFERROR(IF(AND(ISNUMBER(AZ15),ISNUMBER(AU15),AU15&lt;&gt;0),AZ15/AU15-1,""),"")</f>
        <v>1.18914636936991</v>
      </c>
      <c r="BA317" s="257">
        <f>IFERROR(IF(AND(ISNUMBER(BA15),ISNUMBER(AV15),AV15&lt;&gt;0),BA15/AV15-1,""),"")</f>
        <v>1.18914636936991</v>
      </c>
      <c r="BB317" s="257">
        <f>IFERROR(IF(AND(ISNUMBER(BB15),ISNUMBER(AW15),AW15&lt;&gt;0),BB15/AW15-1,""),"")</f>
        <v>1.18414636936991</v>
      </c>
      <c r="BC317" s="257">
        <f>IFERROR(IF(AND(ISNUMBER(BC15),ISNUMBER(AX15),AX15&lt;&gt;0),BC15/AX15-1,""),"")</f>
        <v>1.18414636936991</v>
      </c>
      <c r="BD317" s="257">
        <f>IFERROR(IF(AND(ISNUMBER(BD15),ISNUMBER(AY15),AY15&lt;&gt;0),BD15/AY15-1,""),"")</f>
        <v>1.18414636936991</v>
      </c>
      <c r="BE317" s="257">
        <f>IFERROR(IF(AND(ISNUMBER(BE15),ISNUMBER(AZ15),AZ15&lt;&gt;0),BE15/AZ15-1,""),"")</f>
        <v>1.18414636936991</v>
      </c>
      <c r="BF317" s="257">
        <f>IFERROR(IF(AND(ISNUMBER(BF15),ISNUMBER(BA15),BA15&lt;&gt;0),BF15/BA15-1,""),"")</f>
        <v>1.18414636936991</v>
      </c>
      <c r="BG317" s="79" t="n"/>
      <c r="BH317" s="79" t="n"/>
      <c r="BI317" s="79" t="n"/>
      <c r="BJ317" s="79" t="n"/>
      <c r="BK317" s="78" t="n"/>
      <c r="BL317" s="79" t="n"/>
      <c r="BM317" s="79" t="n"/>
      <c r="BN317" s="79" t="n"/>
      <c r="BO317" s="79" t="n"/>
      <c r="BP317" s="78" t="n"/>
      <c r="BQ317" s="79" t="n"/>
      <c r="BR317" s="79" t="n"/>
      <c r="BS317" s="79" t="n"/>
      <c r="BT317" s="79" t="n"/>
      <c r="BU317" s="78" t="n"/>
      <c r="BV317" s="79" t="n"/>
      <c r="BW317" s="79" t="n"/>
      <c r="BX317" s="79" t="n"/>
      <c r="BY317" s="79" t="n"/>
      <c r="BZ317" s="78" t="n"/>
      <c r="CA317" s="79" t="n"/>
      <c r="CB317" s="79" t="n"/>
      <c r="CC317" s="79" t="n"/>
      <c r="CD317" s="79" t="n"/>
      <c r="CE317" s="78" t="n"/>
      <c r="CF317" s="79" t="n"/>
      <c r="CG317" s="79" t="n"/>
      <c r="CH317" s="79" t="n"/>
      <c r="CI317" s="79" t="n"/>
      <c r="CJ317" s="78" t="n"/>
      <c r="CK317" s="79" t="n"/>
      <c r="CL317" s="79" t="n"/>
      <c r="CM317" s="79" t="n"/>
      <c r="CN317" s="79" t="n"/>
      <c r="CO317" s="78" t="n"/>
      <c r="CP317" s="79" t="n"/>
      <c r="CQ317" s="79" t="n"/>
      <c r="CR317" s="79" t="n"/>
      <c r="CS317" s="79" t="n"/>
      <c r="CT317" s="78" t="n"/>
      <c r="CU317" s="79" t="n"/>
      <c r="CV317" s="79" t="n"/>
      <c r="CW317" s="79" t="n"/>
      <c r="CX317" s="79" t="n"/>
      <c r="CY317" s="78" t="n"/>
    </row>
    <row r="318" customFormat="1" s="77">
      <c r="A318" s="76" t="n"/>
      <c r="B318" s="76" t="n"/>
      <c r="C318" s="77" t="inlineStr">
        <is>
          <t>GROSS MARGIN</t>
        </is>
      </c>
      <c r="D318" s="79" t="str">
        <f>IFERROR(SUM(D15,D50)/D15,"")</f>
        <v/>
      </c>
      <c r="E318" s="79" t="str">
        <f>IFERROR(SUM(E15,E50)/E15,"")</f>
        <v/>
      </c>
      <c r="F318" s="79" t="str">
        <f>IFERROR(SUM(F15,F50)/F15,"")</f>
        <v/>
      </c>
      <c r="G318" s="79" t="str">
        <f>IFERROR(SUM(G15,G50)/G15,"")</f>
        <v/>
      </c>
      <c r="H318" s="258" t="str">
        <f>IFERROR(IF(N(H15)&lt;&gt;0,(H15+H50)/H15,""),"")</f>
        <v/>
      </c>
      <c r="I318" s="258">
        <f>IFERROR(IF(N(I15)&lt;&gt;0,(I15+I50)/I15,""),"")</f>
        <v>0.264432328415651</v>
      </c>
      <c r="J318" s="258">
        <f>IFERROR(IF(N(J15)&lt;&gt;0,(J15+J50)/J15,""),"")</f>
        <v>0.421180274858529</v>
      </c>
      <c r="K318" s="258">
        <f>IFERROR(IF(N(K15)&lt;&gt;0,(K15+K50)/K15,""),"")</f>
        <v>0.472806381435823</v>
      </c>
      <c r="L318" s="258">
        <f>IFERROR(IF(N(L15)&lt;&gt;0,(L15+L50)/L15,""),"")</f>
        <v>0.463770001300898</v>
      </c>
      <c r="M318" s="258">
        <f>IFERROR(IF(N(M15)&lt;&gt;0,(M15+M50)/M15,""),"")</f>
        <v>0.413653398156589</v>
      </c>
      <c r="N318" s="258">
        <f>IFERROR(IF(N(N15)&lt;&gt;0,(N15+N50)/N15,""),"")</f>
        <v>0.472129463138967</v>
      </c>
      <c r="O318" s="258">
        <f>IFERROR(IF(N(O15)&lt;&gt;0,(O15+O50)/O15,""),"")</f>
        <v>0.466905808840546</v>
      </c>
      <c r="P318" s="258">
        <f>IFERROR(IF(N(P15)&lt;&gt;0,(P15+P50)/P15,""),"")</f>
        <v>0.394701189221737</v>
      </c>
      <c r="Q318" s="258">
        <f>IFERROR(IF(N(Q15)&lt;&gt;0,(Q15+Q50)/Q15,""),"")</f>
        <v>0.218604651162791</v>
      </c>
      <c r="R318" s="258">
        <f>IFERROR(IF(N(R15)&lt;&gt;0,(R15+R50)/R15,""),"")</f>
        <v>0.413389306230667</v>
      </c>
      <c r="S318" s="258">
        <f>IFERROR(IF(N(S15)&lt;&gt;0,(S15+S50)/S15,""),"")</f>
        <v>-0.326563769293258</v>
      </c>
      <c r="T318" s="258">
        <f>IFERROR(IF(N(T15)&lt;&gt;0,(T15+T50)/T15,""),"")</f>
        <v>-0.178038379530917</v>
      </c>
      <c r="U318" s="258">
        <f>IFERROR(IF(N(U15)&lt;&gt;0,(U15+U50)/U15,""),"")</f>
        <v>-0.108478802992519</v>
      </c>
      <c r="V318" s="258">
        <f>IFERROR(IF(N(V15)&lt;&gt;0,(V15+V50)/V15,""),"")</f>
        <v>-0.00740584003385527</v>
      </c>
      <c r="W318" s="258">
        <f>IFERROR(IF(N(W15)&lt;&gt;0,(W15+W50)/W15,""),"")</f>
        <v>-0.14486125702985</v>
      </c>
      <c r="X318" s="258">
        <f>IFERROR(IF(N(X15)&lt;&gt;0,(X15+X50)/X15,""),"")</f>
        <v>0.185267857142857</v>
      </c>
      <c r="Y318" s="258">
        <f>IFERROR(IF(N(Y15)&lt;&gt;0,(Y15+Y50)/Y15,""),"")</f>
        <v>0.268976655410366</v>
      </c>
      <c r="Z318" s="258">
        <f>IFERROR(IF(N(Z15)&lt;&gt;0,(Z15+Z50)/Z15,""),"")</f>
        <v>0.353161290322581</v>
      </c>
      <c r="AA318" s="258">
        <f>IFERROR(IF(N(AA15)&lt;&gt;0,(AA15+AA50)/AA15,""),"")</f>
        <v>0.384429900103341</v>
      </c>
      <c r="AB318" s="258">
        <f>IFERROR(IF(N(AB15)&lt;&gt;0,(AB15+AB50)/AB15,""),"")</f>
        <v>0.309204647006256</v>
      </c>
      <c r="AC318" s="258">
        <f>IFERROR(IF(N(AC15)&lt;&gt;0,(AC15+AC50)/AC15,""),"")</f>
        <v>0.367937414628089</v>
      </c>
      <c r="AD318" s="258">
        <f>IFERROR(IF(N(AD15)&lt;&gt;0,(AD15+AD50)/AD15,""),"")</f>
        <v>0.377163745833781</v>
      </c>
      <c r="AE318" s="258">
        <f>IFERROR(IF(N(AE15)&lt;&gt;0,(AE15+AE50)/AE15,""),"")</f>
        <v>0.446663720724702</v>
      </c>
      <c r="AF318" s="258">
        <f>IFERROR(IF(N(AF15)&lt;&gt;0,(AF15+AF50)/AF15,""),"")</f>
        <v>0.560433922157883</v>
      </c>
      <c r="AG318" s="258">
        <f>IFERROR(IF(N(AG15)&lt;&gt;0,(AG15+AG50)/AG15,""),"")</f>
        <v>0.453086594819437</v>
      </c>
      <c r="AH318" s="258">
        <f>IFERROR(IF(N(AH15)&lt;&gt;0,(AH15+AH50)/AH15,""),"")</f>
        <v>0.744132439228835</v>
      </c>
      <c r="AI318" s="258">
        <f>IFERROR(IF(N(AI15)&lt;&gt;0,(AI15+AI50)/AI15,""),"")</f>
        <v>0.845619451949054</v>
      </c>
      <c r="AJ318" s="258">
        <f>IFERROR(IF(N(AJ15)&lt;&gt;0,(AJ15+AJ50)/AJ15,""),"")</f>
        <v>0.556991782420391</v>
      </c>
      <c r="AK318" s="258">
        <f>IFERROR(IF(N(AK15)&lt;&gt;0,(AK15+AK50)/AK15,""),"")</f>
        <v>0.556991782420391</v>
      </c>
      <c r="AL318" s="258">
        <f>IFERROR(IF(N(AL15)&lt;&gt;0,(AL15+AL50)/AL15,""),"")</f>
        <v>0.69368238992979</v>
      </c>
      <c r="AM318" s="258">
        <f>IFERROR(IF(N(AM15)&lt;&gt;0,(AM15+AM50)/AM15,""),"")</f>
        <v>0.556991782420391</v>
      </c>
      <c r="AN318" s="258">
        <f>IFERROR(IF(N(AN15)&lt;&gt;0,(AN15+AN50)/AN15,""),"")</f>
        <v>0.556991782420391</v>
      </c>
      <c r="AO318" s="258">
        <f>IFERROR(IF(N(AO15)&lt;&gt;0,(AO15+AO50)/AO15,""),"")</f>
        <v>0.556991782420391</v>
      </c>
      <c r="AP318" s="258">
        <f>IFERROR(IF(N(AP15)&lt;&gt;0,(AP15+AP50)/AP15,""),"")</f>
        <v>0.556991782420391</v>
      </c>
      <c r="AQ318" s="258">
        <f>IFERROR(IF(N(AQ15)&lt;&gt;0,(AQ15+AQ50)/AQ15,""),"")</f>
        <v>0.556991782420391</v>
      </c>
      <c r="AR318" s="258">
        <f>IFERROR(IF(N(AR15)&lt;&gt;0,(AR15+AR50)/AR15,""),"")</f>
        <v>0.556991782420391</v>
      </c>
      <c r="AS318" s="258">
        <f>IFERROR(IF(N(AS15)&lt;&gt;0,(AS15+AS50)/AS15,""),"")</f>
        <v>0.556991782420391</v>
      </c>
      <c r="AT318" s="258">
        <f>IFERROR(IF(N(AT15)&lt;&gt;0,(AT15+AT50)/AT15,""),"")</f>
        <v>0.556991782420391</v>
      </c>
      <c r="AU318" s="258">
        <f>IFERROR(IF(N(AU15)&lt;&gt;0,(AU15+AU50)/AU15,""),"")</f>
        <v>0.556991782420391</v>
      </c>
      <c r="AV318" s="258">
        <f>IFERROR(IF(N(AV15)&lt;&gt;0,(AV15+AV50)/AV15,""),"")</f>
        <v>0.556991782420391</v>
      </c>
      <c r="AW318" s="258">
        <f>IFERROR(IF(N(AW15)&lt;&gt;0,(AW15+AW50)/AW15,""),"")</f>
        <v>0.556991782420391</v>
      </c>
      <c r="AX318" s="258">
        <f>IFERROR(IF(N(AX15)&lt;&gt;0,(AX15+AX50)/AX15,""),"")</f>
        <v>0.556991782420391</v>
      </c>
      <c r="AY318" s="258">
        <f>IFERROR(IF(N(AY15)&lt;&gt;0,(AY15+AY50)/AY15,""),"")</f>
        <v>0.556991782420391</v>
      </c>
      <c r="AZ318" s="258">
        <f>IFERROR(IF(N(AZ15)&lt;&gt;0,(AZ15+AZ50)/AZ15,""),"")</f>
        <v>0.556991782420391</v>
      </c>
      <c r="BA318" s="258">
        <f>IFERROR(IF(N(BA15)&lt;&gt;0,(BA15+BA50)/BA15,""),"")</f>
        <v>0.556991782420391</v>
      </c>
      <c r="BB318" s="258">
        <f>IFERROR(IF(N(BB15)&lt;&gt;0,(BB15+BB50)/BB15,""),"")</f>
        <v>0.556991782420391</v>
      </c>
      <c r="BC318" s="258">
        <f>IFERROR(IF(N(BC15)&lt;&gt;0,(BC15+BC50)/BC15,""),"")</f>
        <v>0.556991782420391</v>
      </c>
      <c r="BD318" s="258">
        <f>IFERROR(IF(N(BD15)&lt;&gt;0,(BD15+BD50)/BD15,""),"")</f>
        <v>0.556991782420391</v>
      </c>
      <c r="BE318" s="258">
        <f>IFERROR(IF(N(BE15)&lt;&gt;0,(BE15+BE50)/BE15,""),"")</f>
        <v>0.556991782420391</v>
      </c>
      <c r="BF318" s="258">
        <f>IFERROR(IF(N(BF15)&lt;&gt;0,(BF15+BF50)/BF15,""),"")</f>
        <v>0.556991782420391</v>
      </c>
      <c r="BG318" s="80" t="n"/>
      <c r="BH318" s="80" t="n"/>
      <c r="BI318" s="80" t="n"/>
      <c r="BJ318" s="80" t="n"/>
      <c r="BL318" s="80" t="n"/>
      <c r="BM318" s="80" t="n"/>
      <c r="BN318" s="80" t="n"/>
      <c r="BO318" s="80" t="n"/>
      <c r="BQ318" s="80" t="n"/>
      <c r="BR318" s="80" t="n"/>
      <c r="BS318" s="80" t="n"/>
      <c r="BT318" s="80" t="n"/>
      <c r="BV318" s="80" t="n"/>
      <c r="BW318" s="80" t="n"/>
      <c r="BX318" s="80" t="n"/>
      <c r="BY318" s="80" t="n"/>
      <c r="CA318" s="80" t="n"/>
      <c r="CB318" s="80" t="n"/>
      <c r="CC318" s="80" t="n"/>
      <c r="CD318" s="80" t="n"/>
      <c r="CF318" s="80" t="n"/>
      <c r="CG318" s="80" t="n"/>
      <c r="CH318" s="80" t="n"/>
      <c r="CI318" s="80" t="n"/>
      <c r="CK318" s="80" t="n"/>
      <c r="CL318" s="80" t="n"/>
      <c r="CM318" s="80" t="n"/>
      <c r="CN318" s="80" t="n"/>
      <c r="CP318" s="80" t="n"/>
      <c r="CQ318" s="80" t="n"/>
      <c r="CR318" s="80" t="n"/>
      <c r="CS318" s="80" t="n"/>
      <c r="CU318" s="80" t="n"/>
      <c r="CV318" s="80" t="n"/>
      <c r="CW318" s="80" t="n"/>
      <c r="CX318" s="80" t="n"/>
    </row>
    <row r="319" customFormat="1" s="77">
      <c r="A319" s="76" t="n"/>
      <c r="B319" s="76" t="n"/>
      <c r="C319" s="77" t="inlineStr">
        <is>
          <t>EBIT MARGIN</t>
        </is>
      </c>
      <c r="D319" s="78" t="str">
        <f>IFERROR((D69/D15),"")</f>
        <v/>
      </c>
      <c r="E319" s="78" t="str">
        <f>IFERROR((E69/E15),"")</f>
        <v/>
      </c>
      <c r="F319" s="78" t="str">
        <f>IFERROR((F69/F15),"")</f>
        <v/>
      </c>
      <c r="G319" s="78" t="str">
        <f>IFERROR((G69/G15),"")</f>
        <v/>
      </c>
      <c r="H319" s="258" t="str">
        <f>IFERROR(IF(N(H15)&lt;&gt;0,H69/H15,""),"")</f>
        <v/>
      </c>
      <c r="I319" s="257">
        <f>IFERROR(IF(N(I15)&lt;&gt;0,I69/I15,""),"")</f>
        <v>0.106318152661963</v>
      </c>
      <c r="J319" s="257">
        <f>IFERROR(IF(N(J15)&lt;&gt;0,J69/J15,""),"")</f>
        <v>0.242387496631636</v>
      </c>
      <c r="K319" s="257">
        <f>IFERROR(IF(N(K15)&lt;&gt;0,K69/K15,""),"")</f>
        <v>0.357142857142857</v>
      </c>
      <c r="L319" s="257">
        <f>IFERROR(IF(N(L15)&lt;&gt;0,L69/L15,""),"")</f>
        <v>0.342266163652921</v>
      </c>
      <c r="M319" s="258">
        <f>IFERROR(IF(N(M15)&lt;&gt;0,M69/M15,""),"")</f>
        <v>0.271717478645464</v>
      </c>
      <c r="N319" s="257">
        <f>IFERROR(IF(N(N15)&lt;&gt;0,N69/N15,""),"")</f>
        <v>0.326997174415618</v>
      </c>
      <c r="O319" s="257">
        <f>IFERROR(IF(N(O15)&lt;&gt;0,O69/O15,""),"")</f>
        <v>0.347604721129368</v>
      </c>
      <c r="P319" s="257">
        <f>IFERROR(IF(N(P15)&lt;&gt;0,P69/P15,""),"")</f>
        <v>0.228962818003914</v>
      </c>
      <c r="Q319" s="257">
        <f>IFERROR(IF(N(Q15)&lt;&gt;0,Q69/Q15,""),"")</f>
        <v>-0.0511627906976744</v>
      </c>
      <c r="R319" s="258">
        <f>IFERROR(IF(N(R15)&lt;&gt;0,R69/R15,""),"")</f>
        <v>0.252688172043011</v>
      </c>
      <c r="S319" s="257">
        <f>IFERROR(IF(N(S15)&lt;&gt;0,S69/S15,""),"")</f>
        <v>-0.623612239371784</v>
      </c>
      <c r="T319" s="257">
        <f>IFERROR(IF(N(T15)&lt;&gt;0,T69/T15,""),"")</f>
        <v>-0.469349680170576</v>
      </c>
      <c r="U319" s="257">
        <f>IFERROR(IF(N(U15)&lt;&gt;0,U69/U15,""),"")</f>
        <v>-0.367082294264339</v>
      </c>
      <c r="V319" s="257">
        <f>IFERROR(IF(N(V15)&lt;&gt;0,V69/V15,""),"")</f>
        <v>-0.238679644519678</v>
      </c>
      <c r="W319" s="258">
        <f>IFERROR(IF(N(W15)&lt;&gt;0,W69/W15,""),"")</f>
        <v>-0.411841048142884</v>
      </c>
      <c r="X319" s="257">
        <f>IFERROR(IF(N(X15)&lt;&gt;0,X69/X15,""),"")</f>
        <v>0.0327953296703297</v>
      </c>
      <c r="Y319" s="257">
        <f>IFERROR(IF(N(Y15)&lt;&gt;0,Y69/Y15,""),"")</f>
        <v>0.105564527969461</v>
      </c>
      <c r="Z319" s="257">
        <f>IFERROR(IF(N(Z15)&lt;&gt;0,Z69/Z15,""),"")</f>
        <v>0.196387096774194</v>
      </c>
      <c r="AA319" s="257">
        <f>IFERROR(IF(N(AA15)&lt;&gt;0,AA69/AA15,""),"")</f>
        <v>0.249626822826961</v>
      </c>
      <c r="AB319" s="258">
        <f>IFERROR(IF(N(AB15)&lt;&gt;0,AB69/AB15,""),"")</f>
        <v>0.158314429091909</v>
      </c>
      <c r="AC319" s="257">
        <f>IFERROR(IF(N(AC15)&lt;&gt;0,AC69/AC15,""),"")</f>
        <v>0.220166397615795</v>
      </c>
      <c r="AD319" s="257">
        <f>IFERROR(IF(N(AD15)&lt;&gt;0,AD69/AD15,""),"")</f>
        <v>0.233200731104182</v>
      </c>
      <c r="AE319" s="257">
        <f>IFERROR(IF(N(AE15)&lt;&gt;0,AE69/AE15,""),"")</f>
        <v>0.322934158197084</v>
      </c>
      <c r="AF319" s="257">
        <f>IFERROR(IF(N(AF15)&lt;&gt;0,AF69/AF15,""),"")</f>
        <v>0.449754452832955</v>
      </c>
      <c r="AG319" s="258">
        <f>IFERROR(IF(N(AG15)&lt;&gt;0,AG69/AG15,""),"")</f>
        <v>0.324541501228966</v>
      </c>
      <c r="AH319" s="257">
        <f>IFERROR(IF(N(AH15)&lt;&gt;0,AH69/AH15,""),"")</f>
        <v>0.676236378876781</v>
      </c>
      <c r="AI319" s="257">
        <f>IFERROR(IF(N(AI15)&lt;&gt;0,AI69/AI15,""),"")</f>
        <v>0.80369548436897</v>
      </c>
      <c r="AJ319" s="257">
        <f>IFERROR(IF(N(AJ15)&lt;&gt;0,AJ69/AJ15,""),"")</f>
        <v>0.450997933832628</v>
      </c>
      <c r="AK319" s="257">
        <f>IFERROR(IF(N(AK15)&lt;&gt;0,AK69/AK15,""),"")</f>
        <v>0.450997933832628</v>
      </c>
      <c r="AL319" s="258">
        <f>IFERROR(IF(N(AL15)&lt;&gt;0,AL69/AL15,""),"")</f>
        <v>0.61734766067736</v>
      </c>
      <c r="AM319" s="257">
        <f>IFERROR(IF(N(AM15)&lt;&gt;0,AM69/AM15,""),"")</f>
        <v>0.450997933832628</v>
      </c>
      <c r="AN319" s="257">
        <f>IFERROR(IF(N(AN15)&lt;&gt;0,AN69/AN15,""),"")</f>
        <v>0.450997933832628</v>
      </c>
      <c r="AO319" s="257">
        <f>IFERROR(IF(N(AO15)&lt;&gt;0,AO69/AO15,""),"")</f>
        <v>0.450997933832628</v>
      </c>
      <c r="AP319" s="257">
        <f>IFERROR(IF(N(AP15)&lt;&gt;0,AP69/AP15,""),"")</f>
        <v>0.450997933832628</v>
      </c>
      <c r="AQ319" s="258">
        <f>IFERROR(IF(N(AQ15)&lt;&gt;0,AQ69/AQ15,""),"")</f>
        <v>0.450997933832628</v>
      </c>
      <c r="AR319" s="257">
        <f>IFERROR(IF(N(AR15)&lt;&gt;0,AR69/AR15,""),"")</f>
        <v>0.450997933832628</v>
      </c>
      <c r="AS319" s="257">
        <f>IFERROR(IF(N(AS15)&lt;&gt;0,AS69/AS15,""),"")</f>
        <v>0.450997933832628</v>
      </c>
      <c r="AT319" s="257">
        <f>IFERROR(IF(N(AT15)&lt;&gt;0,AT69/AT15,""),"")</f>
        <v>0.450997933832628</v>
      </c>
      <c r="AU319" s="257">
        <f>IFERROR(IF(N(AU15)&lt;&gt;0,AU69/AU15,""),"")</f>
        <v>0.450997933832628</v>
      </c>
      <c r="AV319" s="258">
        <f>IFERROR(IF(N(AV15)&lt;&gt;0,AV69/AV15,""),"")</f>
        <v>0.450997933832628</v>
      </c>
      <c r="AW319" s="257">
        <f>IFERROR(IF(N(AW15)&lt;&gt;0,AW69/AW15,""),"")</f>
        <v>0.450997933832628</v>
      </c>
      <c r="AX319" s="257">
        <f>IFERROR(IF(N(AX15)&lt;&gt;0,AX69/AX15,""),"")</f>
        <v>0.450997933832628</v>
      </c>
      <c r="AY319" s="257">
        <f>IFERROR(IF(N(AY15)&lt;&gt;0,AY69/AY15,""),"")</f>
        <v>0.450997933832628</v>
      </c>
      <c r="AZ319" s="257">
        <f>IFERROR(IF(N(AZ15)&lt;&gt;0,AZ69/AZ15,""),"")</f>
        <v>0.450997933832628</v>
      </c>
      <c r="BA319" s="258">
        <f>IFERROR(IF(N(BA15)&lt;&gt;0,BA69/BA15,""),"")</f>
        <v>0.450997933832628</v>
      </c>
      <c r="BB319" s="257">
        <f>IFERROR(IF(N(BB15)&lt;&gt;0,BB69/BB15,""),"")</f>
        <v>0.450997933832628</v>
      </c>
      <c r="BC319" s="257">
        <f>IFERROR(IF(N(BC15)&lt;&gt;0,BC69/BC15,""),"")</f>
        <v>0.450997933832628</v>
      </c>
      <c r="BD319" s="257">
        <f>IFERROR(IF(N(BD15)&lt;&gt;0,BD69/BD15,""),"")</f>
        <v>0.450997933832628</v>
      </c>
      <c r="BE319" s="257">
        <f>IFERROR(IF(N(BE15)&lt;&gt;0,BE69/BE15,""),"")</f>
        <v>0.450997933832628</v>
      </c>
      <c r="BF319" s="258">
        <f>IFERROR(IF(N(BF15)&lt;&gt;0,BF69/BF15,""),"")</f>
        <v>0.450997933832628</v>
      </c>
      <c r="BG319" s="81" t="n"/>
      <c r="BH319" s="81" t="n"/>
      <c r="BI319" s="81" t="n"/>
      <c r="BJ319" s="81" t="n"/>
      <c r="BL319" s="81" t="n"/>
      <c r="BM319" s="81" t="n"/>
      <c r="BN319" s="81" t="n"/>
      <c r="BO319" s="81" t="n"/>
      <c r="BQ319" s="81" t="n"/>
      <c r="BR319" s="81" t="n"/>
      <c r="BS319" s="81" t="n"/>
      <c r="BT319" s="81" t="n"/>
      <c r="BV319" s="81" t="n"/>
      <c r="BW319" s="81" t="n"/>
      <c r="BX319" s="81" t="n"/>
      <c r="BY319" s="81" t="n"/>
      <c r="CA319" s="81" t="n"/>
      <c r="CB319" s="81" t="n"/>
      <c r="CC319" s="81" t="n"/>
      <c r="CD319" s="81" t="n"/>
      <c r="CF319" s="81" t="n"/>
      <c r="CG319" s="81" t="n"/>
      <c r="CH319" s="81" t="n"/>
      <c r="CI319" s="81" t="n"/>
      <c r="CK319" s="81" t="n"/>
      <c r="CL319" s="81" t="n"/>
      <c r="CM319" s="81" t="n"/>
      <c r="CN319" s="81" t="n"/>
      <c r="CP319" s="81" t="n"/>
      <c r="CQ319" s="81" t="n"/>
      <c r="CR319" s="81" t="n"/>
      <c r="CS319" s="81" t="n"/>
      <c r="CU319" s="81" t="n"/>
      <c r="CV319" s="81" t="n"/>
      <c r="CW319" s="81" t="n"/>
      <c r="CX319" s="81" t="n"/>
    </row>
    <row r="320" customFormat="1" s="77">
      <c r="A320" s="76" t="n"/>
      <c r="B320" s="76" t="n"/>
      <c r="C320" s="77" t="inlineStr">
        <is>
          <t>EBITDA MARGIN</t>
        </is>
      </c>
      <c r="D320" s="78" t="str">
        <f>IFERROR(D65/D15,"")</f>
        <v/>
      </c>
      <c r="E320" s="78" t="str">
        <f>IFERROR(E65/E15,"")</f>
        <v/>
      </c>
      <c r="F320" s="78" t="str">
        <f>IFERROR(F65/F15,"")</f>
        <v/>
      </c>
      <c r="G320" s="78" t="str">
        <f>IFERROR(G65/G15,"")</f>
        <v/>
      </c>
      <c r="H320" s="258" t="str">
        <f>IFERROR(IF(N(H15)&lt;&gt;0,H65/H15,""),"")</f>
        <v/>
      </c>
      <c r="I320" s="257">
        <f>IFERROR(IF(N(I15)&lt;&gt;0,I65/I15,""),"")</f>
        <v>0.354714560615779</v>
      </c>
      <c r="J320" s="257">
        <f>IFERROR(IF(N(J15)&lt;&gt;0,J65/J15,""),"")</f>
        <v>0.452169226623552</v>
      </c>
      <c r="K320" s="257">
        <f>IFERROR(IF(N(K15)&lt;&gt;0,K65/K15,""),"")</f>
        <v>0.553057771331883</v>
      </c>
      <c r="L320" s="257">
        <f>IFERROR(IF(N(L15)&lt;&gt;0,L65/L15,""),"")</f>
        <v>0.559646155847535</v>
      </c>
      <c r="M320" s="258">
        <f>IFERROR(IF(N(M15)&lt;&gt;0,M65/M15,""),"")</f>
        <v>0.487727472230663</v>
      </c>
      <c r="N320" s="257">
        <f>IFERROR(IF(N(N15)&lt;&gt;0,N65/N15,""),"")</f>
        <v>0.550732083226304</v>
      </c>
      <c r="O320" s="257">
        <f>IFERROR(IF(N(O15)&lt;&gt;0,O65/O15,""),"")</f>
        <v>0.558319833371905</v>
      </c>
      <c r="P320" s="257">
        <f>IFERROR(IF(N(P15)&lt;&gt;0,P65/P15,""),"")</f>
        <v>0.512268553364444</v>
      </c>
      <c r="Q320" s="257">
        <f>IFERROR(IF(N(Q15)&lt;&gt;0,Q65/Q15,""),"")</f>
        <v>0.419094247246022</v>
      </c>
      <c r="R320" s="258">
        <f>IFERROR(IF(N(R15)&lt;&gt;0,R65/R15,""),"")</f>
        <v>0.523935778465164</v>
      </c>
      <c r="S320" s="257">
        <f>IFERROR(IF(N(S15)&lt;&gt;0,S65/S15,""),"")</f>
        <v>-0.0977525047386948</v>
      </c>
      <c r="T320" s="257">
        <f>IFERROR(IF(N(T15)&lt;&gt;0,T65/T15,""),"")</f>
        <v>0.0519722814498934</v>
      </c>
      <c r="U320" s="257">
        <f>IFERROR(IF(N(U15)&lt;&gt;0,U65/U15,""),"")</f>
        <v>0.115960099750623</v>
      </c>
      <c r="V320" s="257">
        <f>IFERROR(IF(N(V15)&lt;&gt;0,V65/V15,""),"")</f>
        <v>0.166525603046974</v>
      </c>
      <c r="W320" s="258">
        <f>IFERROR(IF(N(W15)&lt;&gt;0,W65/W15,""),"")</f>
        <v>0.0671157530436932</v>
      </c>
      <c r="X320" s="257">
        <f>IFERROR(IF(N(X15)&lt;&gt;0,X65/X15,""),"")</f>
        <v>0.363152472527473</v>
      </c>
      <c r="Y320" s="257">
        <f>IFERROR(IF(N(Y15)&lt;&gt;0,Y65/Y15,""),"")</f>
        <v>0.392600205549846</v>
      </c>
      <c r="Z320" s="257">
        <f>IFERROR(IF(N(Z15)&lt;&gt;0,Z65/Z15,""),"")</f>
        <v>0.452645161290323</v>
      </c>
      <c r="AA320" s="257">
        <f>IFERROR(IF(N(AA15)&lt;&gt;0,AA65/AA15,""),"")</f>
        <v>0.482719026294638</v>
      </c>
      <c r="AB320" s="258">
        <f>IFERROR(IF(N(AB15)&lt;&gt;0,AB65/AB15,""),"")</f>
        <v>0.429676221901423</v>
      </c>
      <c r="AC320" s="257">
        <f>IFERROR(IF(N(AC15)&lt;&gt;0,AC65/AC15,""),"")</f>
        <v>0.478331056749038</v>
      </c>
      <c r="AD320" s="257">
        <f>IFERROR(IF(N(AD15)&lt;&gt;0,AD65/AD15,""),"")</f>
        <v>0.458337813138372</v>
      </c>
      <c r="AE320" s="257">
        <f>IFERROR(IF(N(AE15)&lt;&gt;0,AE65/AE15,""),"")</f>
        <v>0.512859036676977</v>
      </c>
      <c r="AF320" s="257">
        <f>IFERROR(IF(N(AF15)&lt;&gt;0,AF65/AF15,""),"")</f>
        <v>0.611888880744704</v>
      </c>
      <c r="AG320" s="258">
        <f>IFERROR(IF(N(AG15)&lt;&gt;0,AG65/AG15,""),"")</f>
        <v>0.526233692569484</v>
      </c>
      <c r="AH320" s="257">
        <f>IFERROR(IF(N(AH15)&lt;&gt;0,AH65/AH15,""),"")</f>
        <v>0.772045264040235</v>
      </c>
      <c r="AI320" s="257">
        <f>IFERROR(IF(N(AI15)&lt;&gt;0,AI65/AI15,""),"")</f>
        <v>0.860719799305288</v>
      </c>
      <c r="AJ320" s="257">
        <f>IFERROR(IF(N(AJ15)&lt;&gt;0,AJ65/AJ15,""),"")</f>
        <v>0.615696975109102</v>
      </c>
      <c r="AK320" s="257">
        <f>IFERROR(IF(N(AK15)&lt;&gt;0,AK65/AK15,""),"")</f>
        <v>0.615696975109102</v>
      </c>
      <c r="AL320" s="258">
        <f>IFERROR(IF(N(AL15)&lt;&gt;0,AL65/AL15,""),"")</f>
        <v>0.731236668953988</v>
      </c>
      <c r="AM320" s="257">
        <f>IFERROR(IF(N(AM15)&lt;&gt;0,AM65/AM15,""),"")</f>
        <v>0.615696975109102</v>
      </c>
      <c r="AN320" s="257">
        <f>IFERROR(IF(N(AN15)&lt;&gt;0,AN65/AN15,""),"")</f>
        <v>0.615696975109102</v>
      </c>
      <c r="AO320" s="257">
        <f>IFERROR(IF(N(AO15)&lt;&gt;0,AO65/AO15,""),"")</f>
        <v>0.615696975109102</v>
      </c>
      <c r="AP320" s="257">
        <f>IFERROR(IF(N(AP15)&lt;&gt;0,AP65/AP15,""),"")</f>
        <v>0.615696975109102</v>
      </c>
      <c r="AQ320" s="258">
        <f>IFERROR(IF(N(AQ15)&lt;&gt;0,AQ65/AQ15,""),"")</f>
        <v>0.615696975109102</v>
      </c>
      <c r="AR320" s="257">
        <f>IFERROR(IF(N(AR15)&lt;&gt;0,AR65/AR15,""),"")</f>
        <v>0.615696975109102</v>
      </c>
      <c r="AS320" s="257">
        <f>IFERROR(IF(N(AS15)&lt;&gt;0,AS65/AS15,""),"")</f>
        <v>0.615696975109102</v>
      </c>
      <c r="AT320" s="257">
        <f>IFERROR(IF(N(AT15)&lt;&gt;0,AT65/AT15,""),"")</f>
        <v>0.615696975109102</v>
      </c>
      <c r="AU320" s="257">
        <f>IFERROR(IF(N(AU15)&lt;&gt;0,AU65/AU15,""),"")</f>
        <v>0.615696975109102</v>
      </c>
      <c r="AV320" s="258">
        <f>IFERROR(IF(N(AV15)&lt;&gt;0,AV65/AV15,""),"")</f>
        <v>0.615696975109102</v>
      </c>
      <c r="AW320" s="257">
        <f>IFERROR(IF(N(AW15)&lt;&gt;0,AW65/AW15,""),"")</f>
        <v>0.615696975109102</v>
      </c>
      <c r="AX320" s="257">
        <f>IFERROR(IF(N(AX15)&lt;&gt;0,AX65/AX15,""),"")</f>
        <v>0.615696975109102</v>
      </c>
      <c r="AY320" s="257">
        <f>IFERROR(IF(N(AY15)&lt;&gt;0,AY65/AY15,""),"")</f>
        <v>0.615696975109102</v>
      </c>
      <c r="AZ320" s="257">
        <f>IFERROR(IF(N(AZ15)&lt;&gt;0,AZ65/AZ15,""),"")</f>
        <v>0.615696975109102</v>
      </c>
      <c r="BA320" s="258">
        <f>IFERROR(IF(N(BA15)&lt;&gt;0,BA65/BA15,""),"")</f>
        <v>0.615696975109102</v>
      </c>
      <c r="BB320" s="257">
        <f>IFERROR(IF(N(BB15)&lt;&gt;0,BB65/BB15,""),"")</f>
        <v>0.615696975109102</v>
      </c>
      <c r="BC320" s="257">
        <f>IFERROR(IF(N(BC15)&lt;&gt;0,BC65/BC15,""),"")</f>
        <v>0.615696975109102</v>
      </c>
      <c r="BD320" s="257">
        <f>IFERROR(IF(N(BD15)&lt;&gt;0,BD65/BD15,""),"")</f>
        <v>0.615696975109102</v>
      </c>
      <c r="BE320" s="257">
        <f>IFERROR(IF(N(BE15)&lt;&gt;0,BE65/BE15,""),"")</f>
        <v>0.615696975109102</v>
      </c>
      <c r="BF320" s="258">
        <f>IFERROR(IF(N(BF15)&lt;&gt;0,BF65/BF15,""),"")</f>
        <v>0.615696975109102</v>
      </c>
      <c r="BG320" s="81" t="n"/>
      <c r="BH320" s="81" t="n"/>
      <c r="BI320" s="81" t="n"/>
      <c r="BJ320" s="81" t="n"/>
      <c r="BL320" s="81" t="n"/>
      <c r="BM320" s="81" t="n"/>
      <c r="BN320" s="81" t="n"/>
      <c r="BO320" s="81" t="n"/>
      <c r="BQ320" s="81" t="n"/>
      <c r="BR320" s="81" t="n"/>
      <c r="BS320" s="81" t="n"/>
      <c r="BT320" s="81" t="n"/>
      <c r="BV320" s="81" t="n"/>
      <c r="BW320" s="81" t="n"/>
      <c r="BX320" s="81" t="n"/>
      <c r="BY320" s="81" t="n"/>
      <c r="CA320" s="81" t="n"/>
      <c r="CB320" s="81" t="n"/>
      <c r="CC320" s="81" t="n"/>
      <c r="CD320" s="81" t="n"/>
      <c r="CF320" s="81" t="n"/>
      <c r="CG320" s="81" t="n"/>
      <c r="CH320" s="81" t="n"/>
      <c r="CI320" s="81" t="n"/>
      <c r="CK320" s="81" t="n"/>
      <c r="CL320" s="81" t="n"/>
      <c r="CM320" s="81" t="n"/>
      <c r="CN320" s="81" t="n"/>
      <c r="CP320" s="81" t="n"/>
      <c r="CQ320" s="81" t="n"/>
      <c r="CR320" s="81" t="n"/>
      <c r="CS320" s="81" t="n"/>
      <c r="CU320" s="81" t="n"/>
      <c r="CV320" s="81" t="n"/>
      <c r="CW320" s="81" t="n"/>
      <c r="CX320" s="81" t="n"/>
    </row>
    <row r="321" customFormat="1" s="77">
      <c r="A321" s="76" t="n"/>
      <c r="B321" s="76" t="n"/>
      <c r="C321" s="77" t="inlineStr">
        <is>
          <t>ETR</t>
        </is>
      </c>
      <c r="D321" s="78" t="str">
        <f>IFERROR(-D127/D126,"")</f>
        <v/>
      </c>
      <c r="E321" s="78" t="str">
        <f>IFERROR(-E127/E126,"")</f>
        <v/>
      </c>
      <c r="F321" s="78" t="str">
        <f>IFERROR(-F127/F126,"")</f>
        <v/>
      </c>
      <c r="G321" s="78" t="str">
        <f>IFERROR(-G127/G126,"")</f>
        <v/>
      </c>
      <c r="H321" s="258" t="str">
        <f>IFERROR(IF(N(H126)&lt;&gt;0,-H127/H126,""),"")</f>
        <v/>
      </c>
      <c r="I321" s="257">
        <f>IFERROR(IF(N(I126)&lt;&gt;0,-I127/I126,""),"")</f>
        <v>0.0755905511811024</v>
      </c>
      <c r="J321" s="257">
        <f>IFERROR(IF(N(J126)&lt;&gt;0,-J127/J126,""),"")</f>
        <v>0.0359911406423034</v>
      </c>
      <c r="K321" s="257">
        <f>IFERROR(IF(N(K126)&lt;&gt;0,-K127/K126,""),"")</f>
        <v>0.0783378746594006</v>
      </c>
      <c r="L321" s="257">
        <f>IFERROR(IF(N(L126)&lt;&gt;0,-L127/L126,""),"")</f>
        <v>0.0868702895676319</v>
      </c>
      <c r="M321" s="258">
        <f>IFERROR(IF(N(M126)&lt;&gt;0,-M127/M126,""),"")</f>
        <v>0.0711572550012661</v>
      </c>
      <c r="N321" s="257">
        <f>IFERROR(IF(N(N126)&lt;&gt;0,-N127/N126,""),"")</f>
        <v>0.101634117178159</v>
      </c>
      <c r="O321" s="257">
        <f>IFERROR(IF(N(O126)&lt;&gt;0,-O127/O126,""),"")</f>
        <v>0.119812583668005</v>
      </c>
      <c r="P321" s="257">
        <f>IFERROR(IF(N(P126)&lt;&gt;0,-P127/P126,""),"")</f>
        <v>0.0360592401802962</v>
      </c>
      <c r="Q321" s="257">
        <f>IFERROR(IF(N(Q126)&lt;&gt;0,-Q127/Q126,""),"")</f>
        <v>-0.0454545454545455</v>
      </c>
      <c r="R321" s="258">
        <f>IFERROR(IF(N(R126)&lt;&gt;0,-R127/R126,""),"")</f>
        <v>0.0984870526622054</v>
      </c>
      <c r="S321" s="257">
        <f>IFERROR(IF(N(S126)&lt;&gt;0,-S127/S126,""),"")</f>
        <v>-0.023778071334214</v>
      </c>
      <c r="T321" s="257">
        <f>IFERROR(IF(N(T126)&lt;&gt;0,-T127/T126,""),"")</f>
        <v>-0.0792926411865374</v>
      </c>
      <c r="U321" s="257">
        <f>IFERROR(IF(N(U126)&lt;&gt;0,-U127/U126,""),"")</f>
        <v>0.0164609053497942</v>
      </c>
      <c r="V321" s="257">
        <f>IFERROR(IF(N(V126)&lt;&gt;0,-V127/V126,""),"")</f>
        <v>-0.0632034632034632</v>
      </c>
      <c r="W321" s="258">
        <f>IFERROR(IF(N(W126)&lt;&gt;0,-W127/W126,""),"")</f>
        <v>-0.0364622570438451</v>
      </c>
      <c r="X321" s="257">
        <f>IFERROR(IF(N(X126)&lt;&gt;0,-X127/X126,""),"")</f>
        <v>-3.65882352941176</v>
      </c>
      <c r="Y321" s="257">
        <f>IFERROR(IF(N(Y126)&lt;&gt;0,-Y127/Y126,""),"")</f>
        <v>0.527272727272727</v>
      </c>
      <c r="Z321" s="257">
        <f>IFERROR(IF(N(Z126)&lt;&gt;0,-Z127/Z126,""),"")</f>
        <v>0.412582781456954</v>
      </c>
      <c r="AA321" s="257">
        <f>IFERROR(IF(N(AA126)&lt;&gt;0,-AA127/AA126,""),"")</f>
        <v>0.131505576208178</v>
      </c>
      <c r="AB321" s="258">
        <f>IFERROR(IF(N(AB126)&lt;&gt;0,-AB127/AB126,""),"")</f>
        <v>0.145370574004838</v>
      </c>
      <c r="AC321" s="257">
        <f>IFERROR(IF(N(AC126)&lt;&gt;0,-AC127/AC126,""),"")</f>
        <v>0.100682593856655</v>
      </c>
      <c r="AD321" s="257">
        <f>IFERROR(IF(N(AD126)&lt;&gt;0,-AD127/AD126,""),"")</f>
        <v>0.111216280170374</v>
      </c>
      <c r="AE321" s="257">
        <f>IFERROR(IF(N(AE126)&lt;&gt;0,-AE127/AE126,""),"")</f>
        <v>0.118149270173506</v>
      </c>
      <c r="AF321" s="257">
        <f>IFERROR(IF(N(AF126)&lt;&gt;0,-AF127/AF126,""),"")</f>
        <v>0.136776109552879</v>
      </c>
      <c r="AG321" s="258">
        <f>IFERROR(IF(N(AG126)&lt;&gt;0,-AG127/AG126,""),"")</f>
        <v>0.123129101231291</v>
      </c>
      <c r="AH321" s="257">
        <f>IFERROR(IF(N(AH126)&lt;&gt;0,-AH127/AH126,""),"")</f>
        <v>0.146720297029703</v>
      </c>
      <c r="AI321" s="257">
        <f>IFERROR(IF(N(AI126)&lt;&gt;0,-AI127/AI126,""),"")</f>
        <v>0.149885583524027</v>
      </c>
      <c r="AJ321" s="257">
        <f>IFERROR(IF(N(AJ126)&lt;&gt;0,-AJ127/AJ126,""),"")</f>
        <v>0.127238355717857</v>
      </c>
      <c r="AK321" s="257">
        <f>IFERROR(IF(N(AK126)&lt;&gt;0,-AK127/AK126,""),"")</f>
        <v>0.127238355717857</v>
      </c>
      <c r="AL321" s="258">
        <f>IFERROR(IF(N(AL126)&lt;&gt;0,-AL127/AL126,""),"")</f>
        <v>0.141611418841855</v>
      </c>
      <c r="AM321" s="257">
        <f>IFERROR(IF(N(AM126)&lt;&gt;0,-AM127/AM126,""),"")</f>
        <v>0.127238355717857</v>
      </c>
      <c r="AN321" s="257">
        <f>IFERROR(IF(N(AN126)&lt;&gt;0,-AN127/AN126,""),"")</f>
        <v>0.127238355717857</v>
      </c>
      <c r="AO321" s="257">
        <f>IFERROR(IF(N(AO126)&lt;&gt;0,-AO127/AO126,""),"")</f>
        <v>0.127238355717857</v>
      </c>
      <c r="AP321" s="257">
        <f>IFERROR(IF(N(AP126)&lt;&gt;0,-AP127/AP126,""),"")</f>
        <v>0.127238355717857</v>
      </c>
      <c r="AQ321" s="258">
        <f>IFERROR(IF(N(AQ126)&lt;&gt;0,-AQ127/AQ126,""),"")</f>
        <v>0.127238355717857</v>
      </c>
      <c r="AR321" s="257">
        <f>IFERROR(IF(N(AR126)&lt;&gt;0,-AR127/AR126,""),"")</f>
        <v>0.127238355717857</v>
      </c>
      <c r="AS321" s="257">
        <f>IFERROR(IF(N(AS126)&lt;&gt;0,-AS127/AS126,""),"")</f>
        <v>0.127238355717857</v>
      </c>
      <c r="AT321" s="257">
        <f>IFERROR(IF(N(AT126)&lt;&gt;0,-AT127/AT126,""),"")</f>
        <v>0.127238355717857</v>
      </c>
      <c r="AU321" s="257">
        <f>IFERROR(IF(N(AU126)&lt;&gt;0,-AU127/AU126,""),"")</f>
        <v>0.127238355717857</v>
      </c>
      <c r="AV321" s="258">
        <f>IFERROR(IF(N(AV126)&lt;&gt;0,-AV127/AV126,""),"")</f>
        <v>0.127238355717857</v>
      </c>
      <c r="AW321" s="257">
        <f>IFERROR(IF(N(AW126)&lt;&gt;0,-AW127/AW126,""),"")</f>
        <v>0.127238355717857</v>
      </c>
      <c r="AX321" s="257">
        <f>IFERROR(IF(N(AX126)&lt;&gt;0,-AX127/AX126,""),"")</f>
        <v>0.127238355717857</v>
      </c>
      <c r="AY321" s="257">
        <f>IFERROR(IF(N(AY126)&lt;&gt;0,-AY127/AY126,""),"")</f>
        <v>0.127238355717857</v>
      </c>
      <c r="AZ321" s="257">
        <f>IFERROR(IF(N(AZ126)&lt;&gt;0,-AZ127/AZ126,""),"")</f>
        <v>0.127238355717857</v>
      </c>
      <c r="BA321" s="258">
        <f>IFERROR(IF(N(BA126)&lt;&gt;0,-BA127/BA126,""),"")</f>
        <v>0.127238355717857</v>
      </c>
      <c r="BB321" s="257">
        <f>IFERROR(IF(N(BB126)&lt;&gt;0,-BB127/BB126,""),"")</f>
        <v>0.127238355717857</v>
      </c>
      <c r="BC321" s="257">
        <f>IFERROR(IF(N(BC126)&lt;&gt;0,-BC127/BC126,""),"")</f>
        <v>0.127238355717857</v>
      </c>
      <c r="BD321" s="257">
        <f>IFERROR(IF(N(BD126)&lt;&gt;0,-BD127/BD126,""),"")</f>
        <v>0.127238355717857</v>
      </c>
      <c r="BE321" s="257">
        <f>IFERROR(IF(N(BE126)&lt;&gt;0,-BE127/BE126,""),"")</f>
        <v>0.127238355717857</v>
      </c>
      <c r="BF321" s="258">
        <f>IFERROR(IF(N(BF126)&lt;&gt;0,-BF127/BF126,""),"")</f>
        <v>0.127238355717857</v>
      </c>
      <c r="BG321" s="81" t="n"/>
      <c r="BH321" s="81" t="n"/>
      <c r="BI321" s="81" t="n"/>
      <c r="BJ321" s="81" t="n"/>
      <c r="BL321" s="81" t="n"/>
      <c r="BM321" s="81" t="n"/>
      <c r="BN321" s="81" t="n"/>
      <c r="BO321" s="81" t="n"/>
      <c r="BQ321" s="81" t="n"/>
      <c r="BR321" s="81" t="n"/>
      <c r="BS321" s="81" t="n"/>
      <c r="BT321" s="81" t="n"/>
      <c r="BV321" s="81" t="n"/>
      <c r="BW321" s="81" t="n"/>
      <c r="BX321" s="81" t="n"/>
      <c r="BY321" s="81" t="n"/>
      <c r="CA321" s="81" t="n"/>
      <c r="CB321" s="81" t="n"/>
      <c r="CC321" s="81" t="n"/>
      <c r="CD321" s="81" t="n"/>
      <c r="CF321" s="81" t="n"/>
      <c r="CG321" s="81" t="n"/>
      <c r="CH321" s="81" t="n"/>
      <c r="CI321" s="81" t="n"/>
      <c r="CK321" s="81" t="n"/>
      <c r="CL321" s="81" t="n"/>
      <c r="CM321" s="81" t="n"/>
      <c r="CN321" s="81" t="n"/>
      <c r="CP321" s="81" t="n"/>
      <c r="CQ321" s="81" t="n"/>
      <c r="CR321" s="81" t="n"/>
      <c r="CS321" s="81" t="n"/>
      <c r="CU321" s="81" t="n"/>
      <c r="CV321" s="81" t="n"/>
      <c r="CW321" s="81" t="n"/>
      <c r="CX321" s="81" t="n"/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CAPITAL STRUCTURE</t>
        </is>
      </c>
    </row>
    <row r="324" customFormat="1" s="77">
      <c r="A324" s="76" t="n"/>
      <c r="B324" s="76" t="n"/>
      <c r="C324" s="77" t="inlineStr">
        <is>
          <t>TOTAL DEBT / EQUITY (BOOK VALUE)</t>
        </is>
      </c>
      <c r="H324" s="262" t="str">
        <f>IFERROR(IF(N(H267)&lt;&gt;0,(N(H208)+N(H209)+N(H210)+N(H213)+N(H231)+N(H234))/H267,""),"")</f>
        <v/>
      </c>
      <c r="I324" s="262">
        <f>IFERROR(IF(N(I267)&lt;&gt;0,(N(I208)+N(I209)+N(I210)+N(I213)+N(I231)+N(I234))/I267,""),"")</f>
        <v>0.175810933772717</v>
      </c>
      <c r="J324" s="262">
        <f>IFERROR(IF(N(J267)&lt;&gt;0,(N(J208)+N(J209)+N(J210)+N(J213)+N(J231)+N(J234))/J267,""),"")</f>
        <v>0.171040488416669</v>
      </c>
      <c r="K324" s="262">
        <f>IFERROR(IF(N(K267)&lt;&gt;0,(N(K208)+N(K209)+N(K210)+N(K213)+N(K231)+N(K234))/K267,""),"")</f>
        <v>0.165706871827556</v>
      </c>
      <c r="L324" s="262">
        <f>IFERROR(IF(N(L267)&lt;&gt;0,(N(L208)+N(L209)+N(L210)+N(L213)+N(L231)+N(L234))/L267,""),"")</f>
        <v>0.164350440010456</v>
      </c>
      <c r="M324" s="262">
        <f>IFERROR(IF(N(M267)&lt;&gt;0,(N(M208)+N(M209)+N(M210)+N(M213)+N(M231)+N(M234))/M267,""),"")</f>
        <v>0.164350440010456</v>
      </c>
      <c r="N324" s="262">
        <f>IFERROR(IF(N(N267)&lt;&gt;0,(N(N208)+N(N209)+N(N210)+N(N213)+N(N231)+N(N234))/N267,""),"")</f>
        <v>0.159076183509249</v>
      </c>
      <c r="O324" s="262">
        <f>IFERROR(IF(N(O267)&lt;&gt;0,(N(O208)+N(O209)+N(O210)+N(O213)+N(O231)+N(O234))/O267,""),"")</f>
        <v>0.154055315435969</v>
      </c>
      <c r="P324" s="262">
        <f>IFERROR(IF(N(P267)&lt;&gt;0,(N(P208)+N(P209)+N(P210)+N(P213)+N(P231)+N(P234))/P267,""),"")</f>
        <v>0.150600116216162</v>
      </c>
      <c r="Q324" s="262">
        <f>IFERROR(IF(N(Q267)&lt;&gt;0,(N(Q208)+N(Q209)+N(Q210)+N(Q213)+N(Q231)+N(Q234))/Q267,""),"")</f>
        <v>0.220865614732487</v>
      </c>
      <c r="R324" s="262">
        <f>IFERROR(IF(N(R267)&lt;&gt;0,(N(R208)+N(R209)+N(R210)+N(R213)+N(R231)+N(R234))/R267,""),"")</f>
        <v>0.220865614732487</v>
      </c>
      <c r="S324" s="262">
        <f>IFERROR(IF(N(S267)&lt;&gt;0,(N(S208)+N(S209)+N(S210)+N(S213)+N(S231)+N(S234))/S267,""),"")</f>
        <v>0.272636858031614</v>
      </c>
      <c r="T324" s="262">
        <f>IFERROR(IF(N(T267)&lt;&gt;0,(N(T208)+N(T209)+N(T210)+N(T213)+N(T231)+N(T234))/T267,""),"")</f>
        <v>0.304988437396762</v>
      </c>
      <c r="U324" s="262">
        <f>IFERROR(IF(N(U267)&lt;&gt;0,(N(U208)+N(U209)+N(U210)+N(U213)+N(U231)+N(U234))/U267,""),"")</f>
        <v>0.315797824116047</v>
      </c>
      <c r="V324" s="262">
        <f>IFERROR(IF(N(V267)&lt;&gt;0,(N(V208)+N(V209)+N(V210)+N(V213)+N(V231)+N(V234))/V267,""),"")</f>
        <v>0.328926197971319</v>
      </c>
      <c r="W324" s="262">
        <f>IFERROR(IF(N(W267)&lt;&gt;0,(N(W208)+N(W209)+N(W210)+N(W213)+N(W231)+N(W234))/W267,""),"")</f>
        <v>0.328926197971319</v>
      </c>
      <c r="X324" s="262">
        <f>IFERROR(IF(N(X267)&lt;&gt;0,(N(X208)+N(X209)+N(X210)+N(X213)+N(X231)+N(X234))/X267,""),"")</f>
        <v>0.326304992021883</v>
      </c>
      <c r="Y324" s="262">
        <f>IFERROR(IF(N(Y267)&lt;&gt;0,(N(Y208)+N(Y209)+N(Y210)+N(Y213)+N(Y231)+N(Y234))/Y267,""),"")</f>
        <v>0.313555681175806</v>
      </c>
      <c r="Z324" s="262">
        <f>IFERROR(IF(N(Z267)&lt;&gt;0,(N(Z208)+N(Z209)+N(Z210)+N(Z213)+N(Z231)+N(Z234))/Z267,""),"")</f>
        <v>0.310363165008531</v>
      </c>
      <c r="AA324" s="262">
        <f>IFERROR(IF(N(AA267)&lt;&gt;0,(N(AA208)+N(AA209)+N(AA210)+N(AA213)+N(AA231)+N(AA234))/AA267,""),"")</f>
        <v>0.307135072761074</v>
      </c>
      <c r="AB324" s="262">
        <f>IFERROR(IF(N(AB267)&lt;&gt;0,(N(AB208)+N(AB209)+N(AB210)+N(AB213)+N(AB231)+N(AB234))/AB267,""),"")</f>
        <v>0.307135072761074</v>
      </c>
      <c r="AC324" s="262">
        <f>IFERROR(IF(N(AC267)&lt;&gt;0,(N(AC208)+N(AC209)+N(AC210)+N(AC213)+N(AC231)+N(AC234))/AC267,""),"")</f>
        <v>0.307486685995106</v>
      </c>
      <c r="AD324" s="262">
        <f>IFERROR(IF(N(AD267)&lt;&gt;0,(N(AD208)+N(AD209)+N(AD210)+N(AD213)+N(AD231)+N(AD234))/AD267,""),"")</f>
        <v>0.31806179553874</v>
      </c>
      <c r="AE324" s="262">
        <f>IFERROR(IF(N(AE267)&lt;&gt;0,(N(AE208)+N(AE209)+N(AE210)+N(AE213)+N(AE231)+N(AE234))/AE267,""),"")</f>
        <v>0.282064063509646</v>
      </c>
      <c r="AF324" s="262">
        <f>IFERROR(IF(N(AF267)&lt;&gt;0,(N(AF208)+N(AF209)+N(AF210)+N(AF213)+N(AF231)+N(AF234))/AF267,""),"")</f>
        <v>0.211287963813216</v>
      </c>
      <c r="AG324" s="262">
        <f>IFERROR(IF(N(AG267)&lt;&gt;0,(N(AG208)+N(AG209)+N(AG210)+N(AG213)+N(AG231)+N(AG234))/AG267,""),"")</f>
        <v>0.211287963813216</v>
      </c>
      <c r="AH324" s="262">
        <f>IFERROR(IF(N(AH267)&lt;&gt;0,(N(AH208)+N(AH209)+N(AH210)+N(AH213)+N(AH231)+N(AH234))/AH267,""),"")</f>
        <v>0.149022205661133</v>
      </c>
      <c r="AI324" s="262">
        <f>IFERROR(IF(N(AI267)&lt;&gt;0,(N(AI208)+N(AI209)+N(AI210)+N(AI213)+N(AI231)+N(AI234))/AI267,""),"")</f>
        <v>0.0633016957229657</v>
      </c>
      <c r="AJ324" s="262">
        <f>IFERROR(IF(N(AJ267)&lt;&gt;0,(N(AJ208)+N(AJ209)+N(AJ210)+N(AJ213)+N(AJ231)+N(AJ234))/AJ267,""),"")</f>
        <v>0.0576691010036137</v>
      </c>
      <c r="AK324" s="262">
        <f>IFERROR(IF(N(AK267)&lt;&gt;0,(N(AK208)+N(AK209)+N(AK210)+N(AK213)+N(AK231)+N(AK234))/AK267,""),"")</f>
        <v>0.052081423571432</v>
      </c>
      <c r="AL324" s="262">
        <f>IFERROR(IF(N(AL267)&lt;&gt;0,(N(AL208)+N(AL209)+N(AL210)+N(AL213)+N(AL231)+N(AL234))/AL267,""),"")</f>
        <v>0.052081423571432</v>
      </c>
      <c r="AM324" s="262">
        <f>IFERROR(IF(N(AM267)&lt;&gt;0,(N(AM208)+N(AM209)+N(AM210)+N(AM213)+N(AM231)+N(AM234))/AM267,""),"")</f>
        <v>0.0445348665008841</v>
      </c>
      <c r="AN324" s="262">
        <f>IFERROR(IF(N(AN267)&lt;&gt;0,(N(AN208)+N(AN209)+N(AN210)+N(AN213)+N(AN231)+N(AN234))/AN267,""),"")</f>
        <v>0.0355778615999198</v>
      </c>
      <c r="AO324" s="262">
        <f>IFERROR(IF(N(AO267)&lt;&gt;0,(N(AO208)+N(AO209)+N(AO210)+N(AO213)+N(AO231)+N(AO234))/AO267,""),"")</f>
        <v>0.0317455027769123</v>
      </c>
      <c r="AP324" s="262">
        <f>IFERROR(IF(N(AP267)&lt;&gt;0,(N(AP208)+N(AP209)+N(AP210)+N(AP213)+N(AP231)+N(AP234))/AP267,""),"")</f>
        <v>0.0280963536964643</v>
      </c>
      <c r="AQ324" s="262">
        <f>IFERROR(IF(N(AQ267)&lt;&gt;0,(N(AQ208)+N(AQ209)+N(AQ210)+N(AQ213)+N(AQ231)+N(AQ234))/AQ267,""),"")</f>
        <v>0.0280963536964643</v>
      </c>
      <c r="AR324" s="262">
        <f>IFERROR(IF(N(AR267)&lt;&gt;0,(N(AR208)+N(AR209)+N(AR210)+N(AR213)+N(AR231)+N(AR234))/AR267,""),"")</f>
        <v>0.0234023728718384</v>
      </c>
      <c r="AS324" s="262">
        <f>IFERROR(IF(N(AS267)&lt;&gt;0,(N(AS208)+N(AS209)+N(AS210)+N(AS213)+N(AS231)+N(AS234))/AS267,""),"")</f>
        <v>0.018137520271215</v>
      </c>
      <c r="AT324" s="262">
        <f>IFERROR(IF(N(AT267)&lt;&gt;0,(N(AT208)+N(AT209)+N(AT210)+N(AT213)+N(AT231)+N(AT234))/AT267,""),"")</f>
        <v>0.0159796957382268</v>
      </c>
      <c r="AU324" s="262">
        <f>IFERROR(IF(N(AU267)&lt;&gt;0,(N(AU208)+N(AU209)+N(AU210)+N(AU213)+N(AU231)+N(AU234))/AU267,""),"")</f>
        <v>0.013975012571356</v>
      </c>
      <c r="AV324" s="262">
        <f>IFERROR(IF(N(AV267)&lt;&gt;0,(N(AV208)+N(AV209)+N(AV210)+N(AV213)+N(AV231)+N(AV234))/AV267,""),"")</f>
        <v>0.013975012571356</v>
      </c>
      <c r="AW324" s="262">
        <f>IFERROR(IF(N(AW267)&lt;&gt;0,(N(AW208)+N(AW209)+N(AW210)+N(AW213)+N(AW231)+N(AW234))/AW267,""),"")</f>
        <v>0.0114699433302562</v>
      </c>
      <c r="AX324" s="262">
        <f>IFERROR(IF(N(AX267)&lt;&gt;0,(N(AX208)+N(AX209)+N(AX210)+N(AX213)+N(AX231)+N(AX234))/AX267,""),"")</f>
        <v>0.00874601966407565</v>
      </c>
      <c r="AY324" s="262">
        <f>IFERROR(IF(N(AY267)&lt;&gt;0,(N(AY208)+N(AY209)+N(AY210)+N(AY213)+N(AY231)+N(AY234))/AY267,""),"")</f>
        <v>0.0076548514059492</v>
      </c>
      <c r="AZ324" s="262">
        <f>IFERROR(IF(N(AZ267)&lt;&gt;0,(N(AZ208)+N(AZ209)+N(AZ210)+N(AZ213)+N(AZ231)+N(AZ234))/AZ267,""),"")</f>
        <v>0.00665390025827091</v>
      </c>
      <c r="BA324" s="262">
        <f>IFERROR(IF(N(BA267)&lt;&gt;0,(N(BA208)+N(BA209)+N(BA210)+N(BA213)+N(BA231)+N(BA234))/BA267,""),"")</f>
        <v>0.00665390025827091</v>
      </c>
      <c r="BB324" s="262">
        <f>IFERROR(IF(N(BB267)&lt;&gt;0,(N(BB208)+N(BB209)+N(BB210)+N(BB213)+N(BB231)+N(BB234))/BB267,""),"")</f>
        <v>0.005422350721535</v>
      </c>
      <c r="BC324" s="262">
        <f>IFERROR(IF(N(BC267)&lt;&gt;0,(N(BC208)+N(BC209)+N(BC210)+N(BC213)+N(BC231)+N(BC234))/BC267,""),"")</f>
        <v>0.00410292227107153</v>
      </c>
      <c r="BD324" s="262">
        <f>IFERROR(IF(N(BD267)&lt;&gt;0,(N(BD208)+N(BD209)+N(BD210)+N(BD213)+N(BD231)+N(BD234))/BD267,""),"")</f>
        <v>0.00358003632256586</v>
      </c>
      <c r="BE324" s="262">
        <f>IFERROR(IF(N(BE267)&lt;&gt;0,(N(BE208)+N(BE209)+N(BE210)+N(BE213)+N(BE231)+N(BE234))/BE267,""),"")</f>
        <v>0.00310319101645976</v>
      </c>
      <c r="BF324" s="262">
        <f>IFERROR(IF(N(BF267)&lt;&gt;0,(N(BF208)+N(BF209)+N(BF210)+N(BF213)+N(BF231)+N(BF234))/BF267,""),"")</f>
        <v>0.00310319101645976</v>
      </c>
    </row>
    <row r="325" customFormat="1" s="77">
      <c r="A325" s="76" t="n"/>
      <c r="B325" s="76" t="n"/>
      <c r="C325" s="77" t="inlineStr">
        <is>
          <t>NET DEBT / (NET DEBT + EQUITY) (BOOK VALUE)</t>
        </is>
      </c>
      <c r="H325" s="258" t="str">
        <f>IFERROR(IF(((N(H208)+N(H209)+N(H210)+N(H213)+N(H231)+N(H234))-N(H140)+N(H267))&lt;&gt;0,((N(H208)+N(H209)+N(H210)+N(H213)+N(H231)+N(H234))-N(H140))/((N(H208)+N(H209)+N(H210)+N(H213)+N(H231)+N(H234))-N(H140)+H267),""),"")</f>
        <v/>
      </c>
      <c r="I325" s="258">
        <f>IFERROR(IF(((N(I208)+N(I209)+N(I210)+N(I213)+N(I231)+N(I234))-N(I140)+N(I267))&lt;&gt;0,((N(I208)+N(I209)+N(I210)+N(I213)+N(I231)+N(I234))-N(I140))/((N(I208)+N(I209)+N(I210)+N(I213)+N(I231)+N(I234))-N(I140)+I267),""),"")</f>
        <v>-0.000861474844934528</v>
      </c>
      <c r="J325" s="258">
        <f>IFERROR(IF(((N(J208)+N(J209)+N(J210)+N(J213)+N(J231)+N(J234))-N(J140)+N(J267))&lt;&gt;0,((N(J208)+N(J209)+N(J210)+N(J213)+N(J231)+N(J234))-N(J140))/((N(J208)+N(J209)+N(J210)+N(J213)+N(J231)+N(J234))-N(J140)+J267),""),"")</f>
        <v>-0.0272497447615344</v>
      </c>
      <c r="K325" s="258">
        <f>IFERROR(IF(((N(K208)+N(K209)+N(K210)+N(K213)+N(K231)+N(K234))-N(K140)+N(K267))&lt;&gt;0,((N(K208)+N(K209)+N(K210)+N(K213)+N(K231)+N(K234))-N(K140))/((N(K208)+N(K209)+N(K210)+N(K213)+N(K231)+N(K234))-N(K140)+K267),""),"")</f>
        <v>-0.0317754814466886</v>
      </c>
      <c r="L325" s="258">
        <f>IFERROR(IF(((N(L208)+N(L209)+N(L210)+N(L213)+N(L231)+N(L234))-N(L140)+N(L267))&lt;&gt;0,((N(L208)+N(L209)+N(L210)+N(L213)+N(L231)+N(L234))-N(L140))/((N(L208)+N(L209)+N(L210)+N(L213)+N(L231)+N(L234))-N(L140)+L267),""),"")</f>
        <v>-0.0463838807467007</v>
      </c>
      <c r="M325" s="258">
        <f>IFERROR(IF(((N(M208)+N(M209)+N(M210)+N(M213)+N(M231)+N(M234))-N(M140)+N(M267))&lt;&gt;0,((N(M208)+N(M209)+N(M210)+N(M213)+N(M231)+N(M234))-N(M140))/((N(M208)+N(M209)+N(M210)+N(M213)+N(M231)+N(M234))-N(M140)+M267),""),"")</f>
        <v>-0.0463838807467007</v>
      </c>
      <c r="N325" s="258">
        <f>IFERROR(IF(((N(N208)+N(N209)+N(N210)+N(N213)+N(N231)+N(N234))-N(N140)+N(N267))&lt;&gt;0,((N(N208)+N(N209)+N(N210)+N(N213)+N(N231)+N(N234))-N(N140))/((N(N208)+N(N209)+N(N210)+N(N213)+N(N231)+N(N234))-N(N140)+N267),""),"")</f>
        <v>-0.0553888913398332</v>
      </c>
      <c r="O325" s="258">
        <f>IFERROR(IF(((N(O208)+N(O209)+N(O210)+N(O213)+N(O231)+N(O234))-N(O140)+N(O267))&lt;&gt;0,((N(O208)+N(O209)+N(O210)+N(O213)+N(O231)+N(O234))-N(O140))/((N(O208)+N(O209)+N(O210)+N(O213)+N(O231)+N(O234))-N(O140)+O267),""),"")</f>
        <v>-0.0564893024053509</v>
      </c>
      <c r="P325" s="258">
        <f>IFERROR(IF(((N(P208)+N(P209)+N(P210)+N(P213)+N(P231)+N(P234))-N(P140)+N(P267))&lt;&gt;0,((N(P208)+N(P209)+N(P210)+N(P213)+N(P231)+N(P234))-N(P140))/((N(P208)+N(P209)+N(P210)+N(P213)+N(P231)+N(P234))-N(P140)+P267),""),"")</f>
        <v>-0.037740164684355</v>
      </c>
      <c r="Q325" s="258">
        <f>IFERROR(IF(((N(Q208)+N(Q209)+N(Q210)+N(Q213)+N(Q231)+N(Q234))-N(Q140)+N(Q267))&lt;&gt;0,((N(Q208)+N(Q209)+N(Q210)+N(Q213)+N(Q231)+N(Q234))-N(Q140))/((N(Q208)+N(Q209)+N(Q210)+N(Q213)+N(Q231)+N(Q234))-N(Q140)+Q267),""),"")</f>
        <v>0.0062279552554671</v>
      </c>
      <c r="R325" s="258">
        <f>IFERROR(IF(((N(R208)+N(R209)+N(R210)+N(R213)+N(R231)+N(R234))-N(R140)+N(R267))&lt;&gt;0,((N(R208)+N(R209)+N(R210)+N(R213)+N(R231)+N(R234))-N(R140))/((N(R208)+N(R209)+N(R210)+N(R213)+N(R231)+N(R234))-N(R140)+R267),""),"")</f>
        <v>0.0062279552554671</v>
      </c>
      <c r="S325" s="258">
        <f>IFERROR(IF(((N(S208)+N(S209)+N(S210)+N(S213)+N(S231)+N(S234))-N(S140)+N(S267))&lt;&gt;0,((N(S208)+N(S209)+N(S210)+N(S213)+N(S231)+N(S234))-N(S140))/((N(S208)+N(S209)+N(S210)+N(S213)+N(S231)+N(S234))-N(S140)+S267),""),"")</f>
        <v>0.0418871520386027</v>
      </c>
      <c r="T325" s="258">
        <f>IFERROR(IF(((N(T208)+N(T209)+N(T210)+N(T213)+N(T231)+N(T234))-N(T140)+N(T267))&lt;&gt;0,((N(T208)+N(T209)+N(T210)+N(T213)+N(T231)+N(T234))-N(T140))/((N(T208)+N(T209)+N(T210)+N(T213)+N(T231)+N(T234))-N(T140)+T267),""),"")</f>
        <v>0.0714913805443651</v>
      </c>
      <c r="U325" s="258">
        <f>IFERROR(IF(((N(U208)+N(U209)+N(U210)+N(U213)+N(U231)+N(U234))-N(U140)+N(U267))&lt;&gt;0,((N(U208)+N(U209)+N(U210)+N(U213)+N(U231)+N(U234))-N(U140))/((N(U208)+N(U209)+N(U210)+N(U213)+N(U231)+N(U234))-N(U140)+U267),""),"")</f>
        <v>0.0895396108050104</v>
      </c>
      <c r="V325" s="258">
        <f>IFERROR(IF(((N(V208)+N(V209)+N(V210)+N(V213)+N(V231)+N(V234))-N(V140)+N(V267))&lt;&gt;0,((N(V208)+N(V209)+N(V210)+N(V213)+N(V231)+N(V234))-N(V140))/((N(V208)+N(V209)+N(V210)+N(V213)+N(V231)+N(V234))-N(V140)+V267),""),"")</f>
        <v>0.105500281584381</v>
      </c>
      <c r="W325" s="258">
        <f>IFERROR(IF(((N(W208)+N(W209)+N(W210)+N(W213)+N(W231)+N(W234))-N(W140)+N(W267))&lt;&gt;0,((N(W208)+N(W209)+N(W210)+N(W213)+N(W231)+N(W234))-N(W140))/((N(W208)+N(W209)+N(W210)+N(W213)+N(W231)+N(W234))-N(W140)+W267),""),"")</f>
        <v>0.105500281584381</v>
      </c>
      <c r="X325" s="258">
        <f>IFERROR(IF(((N(X208)+N(X209)+N(X210)+N(X213)+N(X231)+N(X234))-N(X140)+N(X267))&lt;&gt;0,((N(X208)+N(X209)+N(X210)+N(X213)+N(X231)+N(X234))-N(X140))/((N(X208)+N(X209)+N(X210)+N(X213)+N(X231)+N(X234))-N(X140)+X267),""),"")</f>
        <v>0.107952581386364</v>
      </c>
      <c r="Y325" s="258">
        <f>IFERROR(IF(((N(Y208)+N(Y209)+N(Y210)+N(Y213)+N(Y231)+N(Y234))-N(Y140)+N(Y267))&lt;&gt;0,((N(Y208)+N(Y209)+N(Y210)+N(Y213)+N(Y231)+N(Y234))-N(Y140))/((N(Y208)+N(Y209)+N(Y210)+N(Y213)+N(Y231)+N(Y234))-N(Y140)+Y267),""),"")</f>
        <v>0.110393659606139</v>
      </c>
      <c r="Z325" s="258">
        <f>IFERROR(IF(((N(Z208)+N(Z209)+N(Z210)+N(Z213)+N(Z231)+N(Z234))-N(Z140)+N(Z267))&lt;&gt;0,((N(Z208)+N(Z209)+N(Z210)+N(Z213)+N(Z231)+N(Z234))-N(Z140))/((N(Z208)+N(Z209)+N(Z210)+N(Z213)+N(Z231)+N(Z234))-N(Z140)+Z267),""),"")</f>
        <v>0.115633328107854</v>
      </c>
      <c r="AA325" s="258">
        <f>IFERROR(IF(((N(AA208)+N(AA209)+N(AA210)+N(AA213)+N(AA231)+N(AA234))-N(AA140)+N(AA267))&lt;&gt;0,((N(AA208)+N(AA209)+N(AA210)+N(AA213)+N(AA231)+N(AA234))-N(AA140))/((N(AA208)+N(AA209)+N(AA210)+N(AA213)+N(AA231)+N(AA234))-N(AA140)+AA267),""),"")</f>
        <v>0.126628345339853</v>
      </c>
      <c r="AB325" s="258">
        <f>IFERROR(IF(((N(AB208)+N(AB209)+N(AB210)+N(AB213)+N(AB231)+N(AB234))-N(AB140)+N(AB267))&lt;&gt;0,((N(AB208)+N(AB209)+N(AB210)+N(AB213)+N(AB231)+N(AB234))-N(AB140))/((N(AB208)+N(AB209)+N(AB210)+N(AB213)+N(AB231)+N(AB234))-N(AB140)+AB267),""),"")</f>
        <v>0.126628345339853</v>
      </c>
      <c r="AC325" s="258">
        <f>IFERROR(IF(((N(AC208)+N(AC209)+N(AC210)+N(AC213)+N(AC231)+N(AC234))-N(AC140)+N(AC267))&lt;&gt;0,((N(AC208)+N(AC209)+N(AC210)+N(AC213)+N(AC231)+N(AC234))-N(AC140))/((N(AC208)+N(AC209)+N(AC210)+N(AC213)+N(AC231)+N(AC234))-N(AC140)+AC267),""),"")</f>
        <v>0.121704110380698</v>
      </c>
      <c r="AD325" s="258">
        <f>IFERROR(IF(((N(AD208)+N(AD209)+N(AD210)+N(AD213)+N(AD231)+N(AD234))-N(AD140)+N(AD267))&lt;&gt;0,((N(AD208)+N(AD209)+N(AD210)+N(AD213)+N(AD231)+N(AD234))-N(AD140))/((N(AD208)+N(AD209)+N(AD210)+N(AD213)+N(AD231)+N(AD234))-N(AD140)+AD267),""),"")</f>
        <v>0.0950461856699597</v>
      </c>
      <c r="AE325" s="258">
        <f>IFERROR(IF(((N(AE208)+N(AE209)+N(AE210)+N(AE213)+N(AE231)+N(AE234))-N(AE140)+N(AE267))&lt;&gt;0,((N(AE208)+N(AE209)+N(AE210)+N(AE213)+N(AE231)+N(AE234))-N(AE140))/((N(AE208)+N(AE209)+N(AE210)+N(AE213)+N(AE231)+N(AE234))-N(AE140)+AE267),""),"")</f>
        <v>0.0840604707792208</v>
      </c>
      <c r="AF325" s="258">
        <f>IFERROR(IF(((N(AF208)+N(AF209)+N(AF210)+N(AF213)+N(AF231)+N(AF234))-N(AF140)+N(AF267))&lt;&gt;0,((N(AF208)+N(AF209)+N(AF210)+N(AF213)+N(AF231)+N(AF234))-N(AF140))/((N(AF208)+N(AF209)+N(AF210)+N(AF213)+N(AF231)+N(AF234))-N(AF140)+AF267),""),"")</f>
        <v>0.0345903173378425</v>
      </c>
      <c r="AG325" s="258">
        <f>IFERROR(IF(((N(AG208)+N(AG209)+N(AG210)+N(AG213)+N(AG231)+N(AG234))-N(AG140)+N(AG267))&lt;&gt;0,((N(AG208)+N(AG209)+N(AG210)+N(AG213)+N(AG231)+N(AG234))-N(AG140))/((N(AG208)+N(AG209)+N(AG210)+N(AG213)+N(AG231)+N(AG234))-N(AG140)+AG267),""),"")</f>
        <v>0.0345903173378425</v>
      </c>
      <c r="AH325" s="258">
        <f>IFERROR(IF(((N(AH208)+N(AH209)+N(AH210)+N(AH213)+N(AH231)+N(AH234))-N(AH140)+N(AH267))&lt;&gt;0,((N(AH208)+N(AH209)+N(AH210)+N(AH213)+N(AH231)+N(AH234))-N(AH140))/((N(AH208)+N(AH209)+N(AH210)+N(AH213)+N(AH231)+N(AH234))-N(AH140)+AH267),""),"")</f>
        <v>-0.0552076658705656</v>
      </c>
      <c r="AI325" s="258">
        <f>IFERROR(IF(((N(AI208)+N(AI209)+N(AI210)+N(AI213)+N(AI231)+N(AI234))-N(AI140)+N(AI267))&lt;&gt;0,((N(AI208)+N(AI209)+N(AI210)+N(AI213)+N(AI231)+N(AI234))-N(AI140))/((N(AI208)+N(AI209)+N(AI210)+N(AI213)+N(AI231)+N(AI234))-N(AI140)+AI267),""),"")</f>
        <v>-0.242309874441895</v>
      </c>
      <c r="AJ325" s="258">
        <f>IFERROR(IF(((N(AJ208)+N(AJ209)+N(AJ210)+N(AJ213)+N(AJ231)+N(AJ234))-N(AJ140)+N(AJ267))&lt;&gt;0,((N(AJ208)+N(AJ209)+N(AJ210)+N(AJ213)+N(AJ231)+N(AJ234))-N(AJ140))/((N(AJ208)+N(AJ209)+N(AJ210)+N(AJ213)+N(AJ231)+N(AJ234))-N(AJ140)+AJ267),""),"")</f>
        <v>-0.458240046906944</v>
      </c>
      <c r="AK325" s="258">
        <f>IFERROR(IF(((N(AK208)+N(AK209)+N(AK210)+N(AK213)+N(AK231)+N(AK234))-N(AK140)+N(AK267))&lt;&gt;0,((N(AK208)+N(AK209)+N(AK210)+N(AK213)+N(AK231)+N(AK234))-N(AK140))/((N(AK208)+N(AK209)+N(AK210)+N(AK213)+N(AK231)+N(AK234))-N(AK140)+AK267),""),"")</f>
        <v>-0.491238525598513</v>
      </c>
      <c r="AL325" s="258">
        <f>IFERROR(IF(((N(AL208)+N(AL209)+N(AL210)+N(AL213)+N(AL231)+N(AL234))-N(AL140)+N(AL267))&lt;&gt;0,((N(AL208)+N(AL209)+N(AL210)+N(AL213)+N(AL231)+N(AL234))-N(AL140))/((N(AL208)+N(AL209)+N(AL210)+N(AL213)+N(AL231)+N(AL234))-N(AL140)+AL267),""),"")</f>
        <v>-0.491238525598513</v>
      </c>
      <c r="AM325" s="258">
        <f>IFERROR(IF(((N(AM208)+N(AM209)+N(AM210)+N(AM213)+N(AM231)+N(AM234))-N(AM140)+N(AM267))&lt;&gt;0,((N(AM208)+N(AM209)+N(AM210)+N(AM213)+N(AM231)+N(AM234))-N(AM140))/((N(AM208)+N(AM209)+N(AM210)+N(AM213)+N(AM231)+N(AM234))-N(AM140)+AM267),""),"")</f>
        <v>-0.393348088034877</v>
      </c>
      <c r="AN325" s="258">
        <f>IFERROR(IF(((N(AN208)+N(AN209)+N(AN210)+N(AN213)+N(AN231)+N(AN234))-N(AN140)+N(AN267))&lt;&gt;0,((N(AN208)+N(AN209)+N(AN210)+N(AN213)+N(AN231)+N(AN234))-N(AN140))/((N(AN208)+N(AN209)+N(AN210)+N(AN213)+N(AN231)+N(AN234))-N(AN140)+AN267),""),"")</f>
        <v>-0.308393168261027</v>
      </c>
      <c r="AO325" s="258">
        <f>IFERROR(IF(((N(AO208)+N(AO209)+N(AO210)+N(AO213)+N(AO231)+N(AO234))-N(AO140)+N(AO267))&lt;&gt;0,((N(AO208)+N(AO209)+N(AO210)+N(AO213)+N(AO231)+N(AO234))-N(AO140))/((N(AO208)+N(AO209)+N(AO210)+N(AO213)+N(AO231)+N(AO234))-N(AO140)+AO267),""),"")</f>
        <v>-0.70825893334204</v>
      </c>
      <c r="AP325" s="258">
        <f>IFERROR(IF(((N(AP208)+N(AP209)+N(AP210)+N(AP213)+N(AP231)+N(AP234))-N(AP140)+N(AP267))&lt;&gt;0,((N(AP208)+N(AP209)+N(AP210)+N(AP213)+N(AP231)+N(AP234))-N(AP140))/((N(AP208)+N(AP209)+N(AP210)+N(AP213)+N(AP231)+N(AP234))-N(AP140)+AP267),""),"")</f>
        <v>-0.727337180190883</v>
      </c>
      <c r="AQ325" s="258">
        <f>IFERROR(IF(((N(AQ208)+N(AQ209)+N(AQ210)+N(AQ213)+N(AQ231)+N(AQ234))-N(AQ140)+N(AQ267))&lt;&gt;0,((N(AQ208)+N(AQ209)+N(AQ210)+N(AQ213)+N(AQ231)+N(AQ234))-N(AQ140))/((N(AQ208)+N(AQ209)+N(AQ210)+N(AQ213)+N(AQ231)+N(AQ234))-N(AQ140)+AQ267),""),"")</f>
        <v>-0.727337180190883</v>
      </c>
      <c r="AR325" s="258">
        <f>IFERROR(IF(((N(AR208)+N(AR209)+N(AR210)+N(AR213)+N(AR231)+N(AR234))-N(AR140)+N(AR267))&lt;&gt;0,((N(AR208)+N(AR209)+N(AR210)+N(AR213)+N(AR231)+N(AR234))-N(AR140))/((N(AR208)+N(AR209)+N(AR210)+N(AR213)+N(AR231)+N(AR234))-N(AR140)+AR267),""),"")</f>
        <v>-0.550228762144255</v>
      </c>
      <c r="AS325" s="258">
        <f>IFERROR(IF(((N(AS208)+N(AS209)+N(AS210)+N(AS213)+N(AS231)+N(AS234))-N(AS140)+N(AS267))&lt;&gt;0,((N(AS208)+N(AS209)+N(AS210)+N(AS213)+N(AS231)+N(AS234))-N(AS140))/((N(AS208)+N(AS209)+N(AS210)+N(AS213)+N(AS231)+N(AS234))-N(AS140)+AS267),""),"")</f>
        <v>-0.396731655988208</v>
      </c>
      <c r="AT325" s="258">
        <f>IFERROR(IF(((N(AT208)+N(AT209)+N(AT210)+N(AT213)+N(AT231)+N(AT234))-N(AT140)+N(AT267))&lt;&gt;0,((N(AT208)+N(AT209)+N(AT210)+N(AT213)+N(AT231)+N(AT234))-N(AT140))/((N(AT208)+N(AT209)+N(AT210)+N(AT213)+N(AT231)+N(AT234))-N(AT140)+AT267),""),"")</f>
        <v>-0.90798230833189</v>
      </c>
      <c r="AU325" s="258">
        <f>IFERROR(IF(((N(AU208)+N(AU209)+N(AU210)+N(AU213)+N(AU231)+N(AU234))-N(AU140)+N(AU267))&lt;&gt;0,((N(AU208)+N(AU209)+N(AU210)+N(AU213)+N(AU231)+N(AU234))-N(AU140))/((N(AU208)+N(AU209)+N(AU210)+N(AU213)+N(AU231)+N(AU234))-N(AU140)+AU267),""),"")</f>
        <v>-0.905687614863817</v>
      </c>
      <c r="AV325" s="258">
        <f>IFERROR(IF(((N(AV208)+N(AV209)+N(AV210)+N(AV213)+N(AV231)+N(AV234))-N(AV140)+N(AV267))&lt;&gt;0,((N(AV208)+N(AV209)+N(AV210)+N(AV213)+N(AV231)+N(AV234))-N(AV140))/((N(AV208)+N(AV209)+N(AV210)+N(AV213)+N(AV231)+N(AV234))-N(AV140)+AV267),""),"")</f>
        <v>-0.905687614863817</v>
      </c>
      <c r="AW325" s="258">
        <f>IFERROR(IF(((N(AW208)+N(AW209)+N(AW210)+N(AW213)+N(AW231)+N(AW234))-N(AW140)+N(AW267))&lt;&gt;0,((N(AW208)+N(AW209)+N(AW210)+N(AW213)+N(AW231)+N(AW234))-N(AW140))/((N(AW208)+N(AW209)+N(AW210)+N(AW213)+N(AW231)+N(AW234))-N(AW140)+AW267),""),"")</f>
        <v>-0.643686953414895</v>
      </c>
      <c r="AX325" s="258">
        <f>IFERROR(IF(((N(AX208)+N(AX209)+N(AX210)+N(AX213)+N(AX231)+N(AX234))-N(AX140)+N(AX267))&lt;&gt;0,((N(AX208)+N(AX209)+N(AX210)+N(AX213)+N(AX231)+N(AX234))-N(AX140))/((N(AX208)+N(AX209)+N(AX210)+N(AX213)+N(AX231)+N(AX234))-N(AX140)+AX267),""),"")</f>
        <v>-0.450595042804698</v>
      </c>
      <c r="AY325" s="258">
        <f>IFERROR(IF(((N(AY208)+N(AY209)+N(AY210)+N(AY213)+N(AY231)+N(AY234))-N(AY140)+N(AY267))&lt;&gt;0,((N(AY208)+N(AY209)+N(AY210)+N(AY213)+N(AY231)+N(AY234))-N(AY140))/((N(AY208)+N(AY209)+N(AY210)+N(AY213)+N(AY231)+N(AY234))-N(AY140)+AY267),""),"")</f>
        <v>-1.0345597794873</v>
      </c>
      <c r="AZ325" s="258">
        <f>IFERROR(IF(((N(AZ208)+N(AZ209)+N(AZ210)+N(AZ213)+N(AZ231)+N(AZ234))-N(AZ140)+N(AZ267))&lt;&gt;0,((N(AZ208)+N(AZ209)+N(AZ210)+N(AZ213)+N(AZ231)+N(AZ234))-N(AZ140))/((N(AZ208)+N(AZ209)+N(AZ210)+N(AZ213)+N(AZ231)+N(AZ234))-N(AZ140)+AZ267),""),"")</f>
        <v>-1.01438945810666</v>
      </c>
      <c r="BA325" s="258">
        <f>IFERROR(IF(((N(BA208)+N(BA209)+N(BA210)+N(BA213)+N(BA231)+N(BA234))-N(BA140)+N(BA267))&lt;&gt;0,((N(BA208)+N(BA209)+N(BA210)+N(BA213)+N(BA231)+N(BA234))-N(BA140))/((N(BA208)+N(BA209)+N(BA210)+N(BA213)+N(BA231)+N(BA234))-N(BA140)+BA267),""),"")</f>
        <v>-1.01438945810666</v>
      </c>
      <c r="BB325" s="258">
        <f>IFERROR(IF(((N(BB208)+N(BB209)+N(BB210)+N(BB213)+N(BB231)+N(BB234))-N(BB140)+N(BB267))&lt;&gt;0,((N(BB208)+N(BB209)+N(BB210)+N(BB213)+N(BB231)+N(BB234))-N(BB140))/((N(BB208)+N(BB209)+N(BB210)+N(BB213)+N(BB231)+N(BB234))-N(BB140)+BB267),""),"")</f>
        <v>-0.701754327632443</v>
      </c>
      <c r="BC325" s="258">
        <f>IFERROR(IF(((N(BC208)+N(BC209)+N(BC210)+N(BC213)+N(BC231)+N(BC234))-N(BC140)+N(BC267))&lt;&gt;0,((N(BC208)+N(BC209)+N(BC210)+N(BC213)+N(BC231)+N(BC234))-N(BC140))/((N(BC208)+N(BC209)+N(BC210)+N(BC213)+N(BC231)+N(BC234))-N(BC140)+BC267),""),"")</f>
        <v>-0.480037855409607</v>
      </c>
      <c r="BD325" s="258">
        <f>IFERROR(IF(((N(BD208)+N(BD209)+N(BD210)+N(BD213)+N(BD231)+N(BD234))-N(BD140)+N(BD267))&lt;&gt;0,((N(BD208)+N(BD209)+N(BD210)+N(BD213)+N(BD231)+N(BD234))-N(BD140))/((N(BD208)+N(BD209)+N(BD210)+N(BD213)+N(BD231)+N(BD234))-N(BD140)+BD267),""),"")</f>
        <v>-1.10398156713487</v>
      </c>
      <c r="BE325" s="258">
        <f>IFERROR(IF(((N(BE208)+N(BE209)+N(BE210)+N(BE213)+N(BE231)+N(BE234))-N(BE140)+N(BE267))&lt;&gt;0,((N(BE208)+N(BE209)+N(BE210)+N(BE213)+N(BE231)+N(BE234))-N(BE140))/((N(BE208)+N(BE209)+N(BE210)+N(BE213)+N(BE231)+N(BE234))-N(BE140)+BE267),""),"")</f>
        <v>-1.07269948492806</v>
      </c>
      <c r="BF325" s="258">
        <f>IFERROR(IF(((N(BF208)+N(BF209)+N(BF210)+N(BF213)+N(BF231)+N(BF234))-N(BF140)+N(BF267))&lt;&gt;0,((N(BF208)+N(BF209)+N(BF210)+N(BF213)+N(BF231)+N(BF234))-N(BF140))/((N(BF208)+N(BF209)+N(BF210)+N(BF213)+N(BF231)+N(BF234))-N(BF140)+BF267),""),"")</f>
        <v>-1.07269948492806</v>
      </c>
    </row>
    <row r="326" customFormat="1" s="77">
      <c r="A326" s="76" t="n"/>
      <c r="B326" s="76" t="n"/>
    </row>
    <row r="327" customFormat="1" s="77">
      <c r="A327" s="76" t="n"/>
      <c r="B327" s="76" t="n"/>
      <c r="C327" s="74" t="inlineStr">
        <is>
          <t>FINANCIAL RISK RATIOS</t>
        </is>
      </c>
    </row>
    <row r="328" customFormat="1" s="77">
      <c r="A328" s="76" t="n"/>
      <c r="B328" s="76" t="n"/>
      <c r="C328" s="77" t="inlineStr">
        <is>
          <t>EBITDA / TOTAL INTEREST (LTM)</t>
        </is>
      </c>
      <c r="D328" s="82" t="str">
        <f>IFERROR(D65/-D70,"")</f>
        <v/>
      </c>
      <c r="E328" s="82" t="str">
        <f>IFERROR(E65/-E70,"")</f>
        <v/>
      </c>
      <c r="F328" s="82" t="str">
        <f>IFERROR(F65/-F70,"")</f>
        <v/>
      </c>
      <c r="G328" s="82" t="str">
        <f>IFERROR(G65/-G70,"")</f>
        <v/>
      </c>
      <c r="H328" s="262" t="str">
        <f>IFERROR(IF(AND(COUNT(H65)=1,(H70)&lt;&gt;0),(H65)/-(H70),""),"")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IFERROR(IF(AND(COUNT(I65,J65,K65,L65)=4,(I70+J70+K70+L70)&lt;&gt;0),(I65+J65+K65+L65)/-(I70+J70+K70+L70),""),"")</f>
        <v>80.2555555555556</v>
      </c>
      <c r="M328" s="262">
        <f>IFERROR(IF(AND(COUNT(I65,J65,K65,L65)=4,(I70+J70+K70+L70)&lt;&gt;0),(I65+J65+K65+L65)/-(I70+J70+K70+L70),""),"")</f>
        <v>80.2555555555556</v>
      </c>
      <c r="N328" s="262">
        <f>IFERROR(IF(AND(COUNT(J65,K65,L65,N65)=4,(J70+K70+L70+N70)&lt;&gt;0),(J65+K65+L65+N65)/-(J70+K70+L70+N70),""),"")</f>
        <v>85.6062176165803</v>
      </c>
      <c r="O328" s="262">
        <f>IFERROR(IF(AND(COUNT(K65,L65,N65,O65)=4,(K70+L70+N70+O70)&lt;&gt;0),(K65+L65+N65+O65)/-(K70+L70+N70+O70),""),"")</f>
        <v>94.1937172774869</v>
      </c>
      <c r="P328" s="262">
        <f>IFERROR(IF(AND(COUNT(L65,N65,O65,P65)=4,(L70+N70+O70+P70)&lt;&gt;0),(L65+N65+O65+P65)/-(L70+N70+O70+P70),""),"")</f>
        <v>88.984126984127</v>
      </c>
      <c r="Q328" s="262">
        <f>IFERROR(IF(AND(COUNT(N65,O65,P65,Q65)=4,(N70+O70+P70+Q70)&lt;&gt;0),(N65+O65+P65+Q65)/-(N70+O70+P70+Q70),""),"")</f>
        <v>72.9641025641026</v>
      </c>
      <c r="R328" s="262">
        <f>IFERROR(IF(AND(COUNT(N65,O65,P65,Q65)=4,(N70+O70+P70+Q70)&lt;&gt;0),(N65+O65+P65+Q65)/-(N70+O70+P70+Q70),""),"")</f>
        <v>72.9641025641026</v>
      </c>
      <c r="S328" s="262">
        <f>IFERROR(IF(AND(COUNT(O65,P65,Q65,S65)=4,(O70+P70+Q70+S70)&lt;&gt;0),(O65+P65+Q65+S65)/-(O70+P70+Q70+S70),""),"")</f>
        <v>41.8296943231441</v>
      </c>
      <c r="T328" s="262">
        <f>IFERROR(IF(AND(COUNT(P65,Q65,S65,T65)=4,(P70+Q70+S70+T70)&lt;&gt;0),(P65+Q65+S65+T65)/-(P70+Q70+S70+T70),""),"")</f>
        <v>16.2796052631579</v>
      </c>
      <c r="U328" s="262">
        <f>IFERROR(IF(AND(COUNT(Q65,S65,T65,U65)=4,(Q70+S70+T70+U70)&lt;&gt;0),(Q65+S65+T65+U65)/-(Q70+S70+T70+U70),""),"")</f>
        <v>5.18298969072165</v>
      </c>
      <c r="V328" s="262">
        <f>IFERROR(IF(AND(COUNT(S65,T65,U65,V65)=4,(S70+T70+U70+V70)&lt;&gt;0),(S65+T65+U65+V65)/-(S70+T70+U70+V70),""),"")</f>
        <v>2.31556503198294</v>
      </c>
      <c r="W328" s="262">
        <f>IFERROR(IF(AND(COUNT(S65,T65,U65,V65)=4,(S70+T70+U70+V70)&lt;&gt;0),(S65+T65+U65+V65)/-(S70+T70+U70+V70),""),"")</f>
        <v>2.31556503198294</v>
      </c>
      <c r="X328" s="262">
        <f>IFERROR(IF(AND(COUNT(T65,U65,V65,X65)=4,(T70+U70+V70+X70)&lt;&gt;0),(T65+U65+V65+X65)/-(T70+U70+V70+X70),""),"")</f>
        <v>6.79770992366412</v>
      </c>
      <c r="Y328" s="262">
        <f>IFERROR(IF(AND(COUNT(U65,V65,X65,Y65)=4,(U70+V70+X70+Y70)&lt;&gt;0),(U65+V65+X65+Y65)/-(U70+V70+X70+Y70),""),"")</f>
        <v>10.8846846846847</v>
      </c>
      <c r="Z328" s="262">
        <f>IFERROR(IF(AND(COUNT(V65,X65,Y65,Z65)=4,(V70+X70+Y70+Z70)&lt;&gt;0),(V65+X65+Y65+Z65)/-(V70+X70+Y70+Z70),""),"")</f>
        <v>16.1637010676157</v>
      </c>
      <c r="AA328" s="262">
        <f>IFERROR(IF(AND(COUNT(X65,Y65,Z65,AA65)=4,(X70+Y70+Z70+AA70)&lt;&gt;0),(X65+Y65+Z65+AA65)/-(X70+Y70+Z70+AA70),""),"")</f>
        <v>22.8120437956204</v>
      </c>
      <c r="AB328" s="262">
        <f>IFERROR(IF(AND(COUNT(X65,Y65,Z65,AA65)=4,(X70+Y70+Z70+AA70)&lt;&gt;0),(X65+Y65+Z65+AA65)/-(X70+Y70+Z70+AA70),""),"")</f>
        <v>22.8120437956204</v>
      </c>
      <c r="AC328" s="262">
        <f>IFERROR(IF(AND(COUNT(Y65,Z65,AA65,AC65)=4,(Y70+Z70+AA70+AC70)&lt;&gt;0),(Y65+Z65+AA65+AC65)/-(Y70+Z70+AA70+AC70),""),"")</f>
        <v>27.593023255814</v>
      </c>
      <c r="AD328" s="262">
        <f>IFERROR(IF(AND(COUNT(Z65,AA65,AC65,AD65)=4,(Z70+AA70+AC70+AD70)&lt;&gt;0),(Z65+AA65+AC65+AD65)/-(Z70+AA70+AC70+AD70),""),"")</f>
        <v>32.3660531697342</v>
      </c>
      <c r="AE328" s="262">
        <f>IFERROR(IF(AND(COUNT(AA65,AC65,AD65,AE65)=4,(AA70+AC70+AD70+AE70)&lt;&gt;0),(AA65+AC65+AD65+AE65)/-(AA70+AC70+AD70+AE70),""),"")</f>
        <v>37.9916142557652</v>
      </c>
      <c r="AF328" s="262">
        <f>IFERROR(IF(AND(COUNT(AB65,AD65,AE65,AF65)=4,(AB70+AD70+AE70+AF70)&lt;&gt;0),(AB65+AD65+AE65+AF65)/-(AB70+AD70+AE70+AF70),""),"")</f>
        <v>35.5753739930955</v>
      </c>
      <c r="AG328" s="262">
        <f>IFERROR(IF(AND(COUNT(AC65,AD65,AE65,AF65)=4,(AC70+AD70+AE70+AF70)&lt;&gt;0),(AC65+AD65+AE65+AF65)/-(AC70+AD70+AE70+AF70),""),"")</f>
        <v>51.4226327944573</v>
      </c>
      <c r="AH328" s="262">
        <f>IFERROR(IF(AND(COUNT(AD65,AF65,AG65,AH65)=4,(AD70+AF70+AG70+AH70)&lt;&gt;0),(AD65+AF65+AG65+AH65)/-(AD70+AF70+AG70+AH70),""),"")</f>
        <v>80.5105740181269</v>
      </c>
      <c r="AI328" s="262">
        <f>IFERROR(IF(AND(COUNT(AE65,AG65,AH65,AI65)=4,(AE70+AG70+AH70+AI70)&lt;&gt;0),(AE65+AG65+AH65+AI65)/-(AE70+AG70+AH70+AI70),""),"")</f>
        <v>139.51103565365</v>
      </c>
      <c r="AJ328" s="262" t="str">
        <f>IFERROR(IF(AND(COUNT(AF65,AH65,AI65,AJ65)=4,(AF70+AH70+AI70+AJ70)&lt;&gt;0),(AF65+AH65+AI65+AJ65)/-(AF70+AH70+AI70+AJ70),""),"")</f>
        <v/>
      </c>
      <c r="AK328" s="262" t="str">
        <f>IFERROR(IF(AND(COUNT(AH65,AI65,AJ65,AK65)=4,(AH70+AI70+AJ70+AK70)&lt;&gt;0),(AH65+AI65+AJ65+AK65)/-(AH70+AI70+AJ70+AK70),""),"")</f>
        <v/>
      </c>
      <c r="AL328" s="262" t="str">
        <f>IFERROR(IF(AND(COUNT(AH65,AI65,AJ65,AK65)=4,(AH70+AI70+AJ70+AK70)&lt;&gt;0),(AH65+AI65+AJ65+AK65)/-(AH70+AI70+AJ70+AK70),""),"")</f>
        <v/>
      </c>
      <c r="AM328" s="262" t="str">
        <f>IFERROR(IF(AND(COUNT(AI65,AJ65,AK65,AM65)=4,(AI70+AJ70+AK70+AM70)&lt;&gt;0),(AI65+AJ65+AK65+AM65)/-(AI70+AJ70+AK70+AM70),""),"")</f>
        <v/>
      </c>
      <c r="AN328" s="262" t="str">
        <f>IFERROR(IF(AND(COUNT(AJ65,AK65,AM65,AN65)=4,(AJ70+AK70+AM70+AN70)&lt;&gt;0),(AJ65+AK65+AM65+AN65)/-(AJ70+AK70+AM70+AN70),""),"")</f>
        <v/>
      </c>
      <c r="AO328" s="262" t="str">
        <f>IFERROR(IF(AND(COUNT(AK65,AM65,AN65,AO65)=4,(AK70+AM70+AN70+AO70)&lt;&gt;0),(AK65+AM65+AN65+AO65)/-(AK70+AM70+AN70+AO70),""),"")</f>
        <v/>
      </c>
      <c r="AP328" s="262" t="str">
        <f>IFERROR(IF(AND(COUNT(AM65,AN65,AO65,AP65)=4,(AM70+AN70+AO70+AP70)&lt;&gt;0),(AM65+AN65+AO65+AP65)/-(AM70+AN70+AO70+AP70),""),"")</f>
        <v/>
      </c>
      <c r="AQ328" s="262" t="str">
        <f>IFERROR(IF(AND(COUNT(AM65,AN65,AO65,AP65)=4,(AM70+AN70+AO70+AP70)&lt;&gt;0),(AM65+AN65+AO65+AP65)/-(AM70+AN70+AO70+AP70),""),"")</f>
        <v/>
      </c>
      <c r="AR328" s="262" t="str">
        <f>IFERROR(IF(AND(COUNT(AN65,AO65,AP65,AR65)=4,(AN70+AO70+AP70+AR70)&lt;&gt;0),(AN65+AO65+AP65+AR65)/-(AN70+AO70+AP70+AR70),""),"")</f>
        <v/>
      </c>
      <c r="AS328" s="262" t="str">
        <f>IFERROR(IF(AND(COUNT(AO65,AP65,AR65,AS65)=4,(AO70+AP70+AR70+AS70)&lt;&gt;0),(AO65+AP65+AR65+AS65)/-(AO70+AP70+AR70+AS70),""),"")</f>
        <v/>
      </c>
      <c r="AT328" s="262" t="str">
        <f>IFERROR(IF(AND(COUNT(AP65,AR65,AS65,AT65)=4,(AP70+AR70+AS70+AT70)&lt;&gt;0),(AP65+AR65+AS65+AT65)/-(AP70+AR70+AS70+AT70),""),"")</f>
        <v/>
      </c>
      <c r="AU328" s="262" t="str">
        <f>IFERROR(IF(AND(COUNT(AR65,AS65,AT65,AU65)=4,(AR70+AS70+AT70+AU70)&lt;&gt;0),(AR65+AS65+AT65+AU65)/-(AR70+AS70+AT70+AU70),""),"")</f>
        <v/>
      </c>
      <c r="AV328" s="262" t="str">
        <f>IFERROR(IF(AND(COUNT(AR65,AS65,AT65,AU65)=4,(AR70+AS70+AT70+AU70)&lt;&gt;0),(AR65+AS65+AT65+AU65)/-(AR70+AS70+AT70+AU70),""),"")</f>
        <v/>
      </c>
      <c r="AW328" s="262" t="str">
        <f>IFERROR(IF(AND(COUNT(AS65,AT65,AU65,AW65)=4,(AS70+AT70+AU70+AW70)&lt;&gt;0),(AS65+AT65+AU65+AW65)/-(AS70+AT70+AU70+AW70),""),"")</f>
        <v/>
      </c>
      <c r="AX328" s="262" t="str">
        <f>IFERROR(IF(AND(COUNT(AT65,AU65,AW65,AX65)=4,(AT70+AU70+AW70+AX70)&lt;&gt;0),(AT65+AU65+AW65+AX65)/-(AT70+AU70+AW70+AX70),""),"")</f>
        <v/>
      </c>
      <c r="AY328" s="262" t="str">
        <f>IFERROR(IF(AND(COUNT(AU65,AW65,AX65,AY65)=4,(AU70+AW70+AX70+AY70)&lt;&gt;0),(AU65+AW65+AX65+AY65)/-(AU70+AW70+AX70+AY70),""),"")</f>
        <v/>
      </c>
      <c r="AZ328" s="262" t="str">
        <f>IFERROR(IF(AND(COUNT(AW65,AX65,AY65,AZ65)=4,(AW70+AX70+AY70+AZ70)&lt;&gt;0),(AW65+AX65+AY65+AZ65)/-(AW70+AX70+AY70+AZ70),""),"")</f>
        <v/>
      </c>
      <c r="BA328" s="262" t="str">
        <f>IFERROR(IF(AND(COUNT(AW65,AX65,AY65,AZ65)=4,(AW70+AX70+AY70+AZ70)&lt;&gt;0),(AW65+AX65+AY65+AZ65)/-(AW70+AX70+AY70+AZ70),""),"")</f>
        <v/>
      </c>
      <c r="BB328" s="262" t="str">
        <f>IFERROR(IF(AND(COUNT(AX65,AY65,AZ65,BB65)=4,(AX70+AY70+AZ70+BB70)&lt;&gt;0),(AX65+AY65+AZ65+BB65)/-(AX70+AY70+AZ70+BB70),""),"")</f>
        <v/>
      </c>
      <c r="BC328" s="262" t="str">
        <f>IFERROR(IF(AND(COUNT(AY65,AZ65,BB65,BC65)=4,(AY70+AZ70+BB70+BC70)&lt;&gt;0),(AY65+AZ65+BB65+BC65)/-(AY70+AZ70+BB70+BC70),""),"")</f>
        <v/>
      </c>
      <c r="BD328" s="262" t="str">
        <f>IFERROR(IF(AND(COUNT(AZ65,BB65,BC65,BD65)=4,(AZ70+BB70+BC70+BD70)&lt;&gt;0),(AZ65+BB65+BC65+BD65)/-(AZ70+BB70+BC70+BD70),""),"")</f>
        <v/>
      </c>
      <c r="BE328" s="262" t="str">
        <f>IFERROR(IF(AND(COUNT(BB65,BC65,BD65,BE65)=4,(BB70+BC70+BD70+BE70)&lt;&gt;0),(BB65+BC65+BD65+BE65)/-(BB70+BC70+BD70+BE70),""),"")</f>
        <v/>
      </c>
      <c r="BF328" s="262" t="str">
        <f>IFERROR(IF(AND(COUNT(BB65,BC65,BD65,BE65)=4,(BB70+BC70+BD70+BE70)&lt;&gt;0),(BB65+BC65+BD65+BE65)/-(BB70+BC70+BD70+BE70),""),"")</f>
        <v/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(EBITDA - CAPEX) / TOTAL INTEREST (LTM)</t>
        </is>
      </c>
      <c r="D329" s="82" t="str">
        <f>IFERROR((D65-D164)/-D70,"")</f>
        <v/>
      </c>
      <c r="E329" s="82" t="str">
        <f>IFERROR((E65-E164)/-E70,"")</f>
        <v/>
      </c>
      <c r="F329" s="82" t="str">
        <f>IFERROR((F65-F164)/-F70,"")</f>
        <v/>
      </c>
      <c r="G329" s="82" t="str">
        <f>IFERROR((G65-G164)/-G70,"")</f>
        <v/>
      </c>
      <c r="H329" s="262" t="str">
        <f>IFERROR(IF(AND(COUNT(H65)=1,(H70)&lt;&gt;0),((H65)-(H164))/-(H70),""),"")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IFERROR(IF(AND(COUNT(I65,J65,K65,L65)=4,(I70+J70+K70+L70)&lt;&gt;0),((I65+J65+K65+L65)-(I164+J164+K164+L164))/-(I70+J70+K70+L70),""),"")</f>
        <v>34.9444444444444</v>
      </c>
      <c r="M329" s="262">
        <f>IFERROR(IF(AND(COUNT(I65,J65,K65,L65)=4,(I70+J70+K70+L70)&lt;&gt;0),((I65+J65+K65+L65)-(I164+J164+K164+L164))/-(I70+J70+K70+L70),""),"")</f>
        <v>34.9444444444444</v>
      </c>
      <c r="N329" s="262">
        <f>IFERROR(IF(AND(COUNT(J65,K65,L65,N65)=4,(J70+K70+L70+N70)&lt;&gt;0),((J65+K65+L65+N65)-(J164+K164+L164+N164))/-(J70+K70+L70+N70),""),"")</f>
        <v>29.0569948186529</v>
      </c>
      <c r="O329" s="262">
        <f>IFERROR(IF(AND(COUNT(K65,L65,N65,O65)=4,(K70+L70+N70+O70)&lt;&gt;0),((K65+L65+N65+O65)-(K164+L164+N164+O164))/-(K70+L70+N70+O70),""),"")</f>
        <v>34.9738219895288</v>
      </c>
      <c r="P329" s="262">
        <f>IFERROR(IF(AND(COUNT(L65,N65,O65,P65)=4,(L70+N70+O70+P70)&lt;&gt;0),((L65+N65+O65+P65)-(L164+N164+O164+P164))/-(L70+N70+O70+P70),""),"")</f>
        <v>23.1005291005291</v>
      </c>
      <c r="Q329" s="262">
        <f>IFERROR(IF(AND(COUNT(N65,O65,P65,Q65)=4,(N70+O70+P70+Q70)&lt;&gt;0),((N65+O65+P65+Q65)-(N164+O164+P164+Q164))/-(N70+O70+P70+Q70),""),"")</f>
        <v>13.7538461538462</v>
      </c>
      <c r="R329" s="262">
        <f>IFERROR(IF(AND(COUNT(N65,O65,P65,Q65)=4,(N70+O70+P70+Q70)&lt;&gt;0),((N65+O65+P65+Q65)-(N164+O164+P164+Q164))/-(N70+O70+P70+Q70),""),"")</f>
        <v>13.7538461538462</v>
      </c>
      <c r="S329" s="262">
        <f>IFERROR(IF(AND(COUNT(O65,P65,Q65,S65)=4,(O70+P70+Q70+S70)&lt;&gt;0),((O65+P65+Q65+S65)-(O164+P164+Q164+S164))/-(O70+P70+Q70+S70),""),"")</f>
        <v>-3.93449781659389</v>
      </c>
      <c r="T329" s="262">
        <f>IFERROR(IF(AND(COUNT(P65,Q65,S65,T65)=4,(P70+Q70+S70+T70)&lt;&gt;0),((P65+Q65+S65+T65)-(P164+Q164+S164+T164))/-(P70+Q70+S70+T70),""),"")</f>
        <v>-15.8355263157895</v>
      </c>
      <c r="U329" s="262">
        <f>IFERROR(IF(AND(COUNT(Q65,S65,T65,U65)=4,(Q70+S70+T70+U70)&lt;&gt;0),((Q65+S65+T65+U65)-(Q164+S164+T164+U164))/-(Q70+S70+T70+U70),""),"")</f>
        <v>-13.2061855670103</v>
      </c>
      <c r="V329" s="262">
        <f>IFERROR(IF(AND(COUNT(S65,T65,U65,V65)=4,(S70+T70+U70+V70)&lt;&gt;0),((S65+T65+U65+V65)-(S164+T164+U164+V164))/-(S70+T70+U70+V70),""),"")</f>
        <v>-10.6737739872068</v>
      </c>
      <c r="W329" s="262">
        <f>IFERROR(IF(AND(COUNT(S65,T65,U65,V65)=4,(S70+T70+U70+V70)&lt;&gt;0),((S65+T65+U65+V65)-(S164+T164+U164+V164))/-(S70+T70+U70+V70),""),"")</f>
        <v>-10.6737739872068</v>
      </c>
      <c r="X329" s="262">
        <f>IFERROR(IF(AND(COUNT(T65,U65,V65,X65)=4,(T70+U70+V70+X70)&lt;&gt;0),((T65+U65+V65+X65)-(T164+U164+V164+X164))/-(T70+U70+V70+X70),""),"")</f>
        <v>-5.09923664122137</v>
      </c>
      <c r="Y329" s="262">
        <f>IFERROR(IF(AND(COUNT(U65,V65,X65,Y65)=4,(U70+V70+X70+Y70)&lt;&gt;0),((U65+V65+X65+Y65)-(U164+V164+X164+Y164))/-(U70+V70+X70+Y70),""),"")</f>
        <v>-1.6018018018018</v>
      </c>
      <c r="Z329" s="262">
        <f>IFERROR(IF(AND(COUNT(V65,X65,Y65,Z65)=4,(V70+X70+Y70+Z70)&lt;&gt;0),((V65+X65+Y65+Z65)-(V164+X164+Y164+Z164))/-(V70+X70+Y70+Z70),""),"")</f>
        <v>-0.919928825622776</v>
      </c>
      <c r="AA329" s="262">
        <f>IFERROR(IF(AND(COUNT(X65,Y65,Z65,AA65)=4,(X70+Y70+Z70+AA70)&lt;&gt;0),((X65+Y65+Z65+AA65)-(X164+Y164+Z164+AA164))/-(X70+Y70+Z70+AA70),""),"")</f>
        <v>1.47262773722628</v>
      </c>
      <c r="AB329" s="262">
        <f>IFERROR(IF(AND(COUNT(X65,Y65,Z65,AA65)=4,(X70+Y70+Z70+AA70)&lt;&gt;0),((X65+Y65+Z65+AA65)-(X164+Y164+Z164+AA164))/-(X70+Y70+Z70+AA70),""),"")</f>
        <v>1.47262773722628</v>
      </c>
      <c r="AC329" s="262">
        <f>IFERROR(IF(AND(COUNT(Y65,Z65,AA65,AC65)=4,(Y70+Z70+AA70+AC70)&lt;&gt;0),((Y65+Z65+AA65+AC65)-(Y164+Z164+AA164+AC164))/-(Y70+Z70+AA70+AC70),""),"")</f>
        <v>2.41666666666667</v>
      </c>
      <c r="AD329" s="262">
        <f>IFERROR(IF(AND(COUNT(Z65,AA65,AC65,AD65)=4,(Z70+AA70+AC70+AD70)&lt;&gt;0),((Z65+AA65+AC65+AD65)-(Z164+AA164+AC164+AD164))/-(Z70+AA70+AC70+AD70),""),"")</f>
        <v>1.61758691206544</v>
      </c>
      <c r="AE329" s="262">
        <f>IFERROR(IF(AND(COUNT(AA65,AC65,AD65,AE65)=4,(AA70+AC70+AD70+AE70)&lt;&gt;0),((AA65+AC65+AD65+AE65)-(AA164+AC164+AD164+AE164))/-(AA70+AC70+AD70+AE70),""),"")</f>
        <v>6.14046121593291</v>
      </c>
      <c r="AF329" s="262">
        <f>IFERROR(IF(AND(COUNT(AB65,AD65,AE65,AF65)=4,(AB70+AD70+AE70+AF70)&lt;&gt;0),((AB65+AD65+AE65+AF65)-(AB164+AD164+AE164+AF164))/-(AB70+AD70+AE70+AF70),""),"")</f>
        <v>21.3014959723821</v>
      </c>
      <c r="AG329" s="262">
        <f>IFERROR(IF(AND(COUNT(AC65,AD65,AE65,AF65)=4,(AC70+AD70+AE70+AF70)&lt;&gt;0),((AC65+AD65+AE65+AF65)-(AC164+AD164+AE164+AF164))/-(AC70+AD70+AE70+AF70),""),"")</f>
        <v>15.5450346420323</v>
      </c>
      <c r="AH329" s="262">
        <f>IFERROR(IF(AND(COUNT(AD65,AF65,AG65,AH65)=4,(AD70+AF70+AG70+AH70)&lt;&gt;0),((AD65+AF65+AG65+AH65)-(AD164+AF164+AG164+AH164))/-(AD70+AF70+AG70+AH70),""),"")</f>
        <v>36.416918429003</v>
      </c>
      <c r="AI329" s="262">
        <f>IFERROR(IF(AND(COUNT(AE65,AG65,AH65,AI65)=4,(AE70+AG70+AH70+AI70)&lt;&gt;0),((AE65+AG65+AH65+AI65)-(AE164+AG164+AH164+AI164))/-(AE70+AG70+AH70+AI70),""),"")</f>
        <v>85.0118845500849</v>
      </c>
      <c r="AJ329" s="262" t="str">
        <f>IFERROR(IF(AND(COUNT(AF65,AH65,AI65,AJ65)=4,(AF70+AH70+AI70+AJ70)&lt;&gt;0),((AF65+AH65+AI65+AJ65)-(AF164+AH164+AI164+AJ164))/-(AF70+AH70+AI70+AJ70),""),"")</f>
        <v/>
      </c>
      <c r="AK329" s="262" t="str">
        <f>IFERROR(IF(AND(COUNT(AH65,AI65,AJ65,AK65)=4,(AH70+AI70+AJ70+AK70)&lt;&gt;0),((AH65+AI65+AJ65+AK65)-(AH164+AI164+AJ164+AK164))/-(AH70+AI70+AJ70+AK70),""),"")</f>
        <v/>
      </c>
      <c r="AL329" s="262" t="str">
        <f>IFERROR(IF(AND(COUNT(AH65,AI65,AJ65,AK65)=4,(AH70+AI70+AJ70+AK70)&lt;&gt;0),((AH65+AI65+AJ65+AK65)-(AH164+AI164+AJ164+AK164))/-(AH70+AI70+AJ70+AK70),""),"")</f>
        <v/>
      </c>
      <c r="AM329" s="262" t="str">
        <f>IFERROR(IF(AND(COUNT(AI65,AJ65,AK65,AM65)=4,(AI70+AJ70+AK70+AM70)&lt;&gt;0),((AI65+AJ65+AK65+AM65)-(AI164+AJ164+AK164+AM164))/-(AI70+AJ70+AK70+AM70),""),"")</f>
        <v/>
      </c>
      <c r="AN329" s="262" t="str">
        <f>IFERROR(IF(AND(COUNT(AJ65,AK65,AM65,AN65)=4,(AJ70+AK70+AM70+AN70)&lt;&gt;0),((AJ65+AK65+AM65+AN65)-(AJ164+AK164+AM164+AN164))/-(AJ70+AK70+AM70+AN70),""),"")</f>
        <v/>
      </c>
      <c r="AO329" s="262" t="str">
        <f>IFERROR(IF(AND(COUNT(AK65,AM65,AN65,AO65)=4,(AK70+AM70+AN70+AO70)&lt;&gt;0),((AK65+AM65+AN65+AO65)-(AK164+AM164+AN164+AO164))/-(AK70+AM70+AN70+AO70),""),"")</f>
        <v/>
      </c>
      <c r="AP329" s="262" t="str">
        <f>IFERROR(IF(AND(COUNT(AM65,AN65,AO65,AP65)=4,(AM70+AN70+AO70+AP70)&lt;&gt;0),((AM65+AN65+AO65+AP65)-(AM164+AN164+AO164+AP164))/-(AM70+AN70+AO70+AP70),""),"")</f>
        <v/>
      </c>
      <c r="AQ329" s="262" t="str">
        <f>IFERROR(IF(AND(COUNT(AM65,AN65,AO65,AP65)=4,(AM70+AN70+AO70+AP70)&lt;&gt;0),((AM65+AN65+AO65+AP65)-(AM164+AN164+AO164+AP164))/-(AM70+AN70+AO70+AP70),""),"")</f>
        <v/>
      </c>
      <c r="AR329" s="262" t="str">
        <f>IFERROR(IF(AND(COUNT(AN65,AO65,AP65,AR65)=4,(AN70+AO70+AP70+AR70)&lt;&gt;0),((AN65+AO65+AP65+AR65)-(AN164+AO164+AP164+AR164))/-(AN70+AO70+AP70+AR70),""),"")</f>
        <v/>
      </c>
      <c r="AS329" s="262" t="str">
        <f>IFERROR(IF(AND(COUNT(AO65,AP65,AR65,AS65)=4,(AO70+AP70+AR70+AS70)&lt;&gt;0),((AO65+AP65+AR65+AS65)-(AO164+AP164+AR164+AS164))/-(AO70+AP70+AR70+AS70),""),"")</f>
        <v/>
      </c>
      <c r="AT329" s="262" t="str">
        <f>IFERROR(IF(AND(COUNT(AP65,AR65,AS65,AT65)=4,(AP70+AR70+AS70+AT70)&lt;&gt;0),((AP65+AR65+AS65+AT65)-(AP164+AR164+AS164+AT164))/-(AP70+AR70+AS70+AT70),""),"")</f>
        <v/>
      </c>
      <c r="AU329" s="262" t="str">
        <f>IFERROR(IF(AND(COUNT(AR65,AS65,AT65,AU65)=4,(AR70+AS70+AT70+AU70)&lt;&gt;0),((AR65+AS65+AT65+AU65)-(AR164+AS164+AT164+AU164))/-(AR70+AS70+AT70+AU70),""),"")</f>
        <v/>
      </c>
      <c r="AV329" s="262" t="str">
        <f>IFERROR(IF(AND(COUNT(AR65,AS65,AT65,AU65)=4,(AR70+AS70+AT70+AU70)&lt;&gt;0),((AR65+AS65+AT65+AU65)-(AR164+AS164+AT164+AU164))/-(AR70+AS70+AT70+AU70),""),"")</f>
        <v/>
      </c>
      <c r="AW329" s="262" t="str">
        <f>IFERROR(IF(AND(COUNT(AS65,AT65,AU65,AW65)=4,(AS70+AT70+AU70+AW70)&lt;&gt;0),((AS65+AT65+AU65+AW65)-(AS164+AT164+AU164+AW164))/-(AS70+AT70+AU70+AW70),""),"")</f>
        <v/>
      </c>
      <c r="AX329" s="262" t="str">
        <f>IFERROR(IF(AND(COUNT(AT65,AU65,AW65,AX65)=4,(AT70+AU70+AW70+AX70)&lt;&gt;0),((AT65+AU65+AW65+AX65)-(AT164+AU164+AW164+AX164))/-(AT70+AU70+AW70+AX70),""),"")</f>
        <v/>
      </c>
      <c r="AY329" s="262" t="str">
        <f>IFERROR(IF(AND(COUNT(AU65,AW65,AX65,AY65)=4,(AU70+AW70+AX70+AY70)&lt;&gt;0),((AU65+AW65+AX65+AY65)-(AU164+AW164+AX164+AY164))/-(AU70+AW70+AX70+AY70),""),"")</f>
        <v/>
      </c>
      <c r="AZ329" s="262" t="str">
        <f>IFERROR(IF(AND(COUNT(AW65,AX65,AY65,AZ65)=4,(AW70+AX70+AY70+AZ70)&lt;&gt;0),((AW65+AX65+AY65+AZ65)-(AW164+AX164+AY164+AZ164))/-(AW70+AX70+AY70+AZ70),""),"")</f>
        <v/>
      </c>
      <c r="BA329" s="262" t="str">
        <f>IFERROR(IF(AND(COUNT(AW65,AX65,AY65,AZ65)=4,(AW70+AX70+AY70+AZ70)&lt;&gt;0),((AW65+AX65+AY65+AZ65)-(AW164+AX164+AY164+AZ164))/-(AW70+AX70+AY70+AZ70),""),"")</f>
        <v/>
      </c>
      <c r="BB329" s="262" t="str">
        <f>IFERROR(IF(AND(COUNT(AX65,AY65,AZ65,BB65)=4,(AX70+AY70+AZ70+BB70)&lt;&gt;0),((AX65+AY65+AZ65+BB65)-(AX164+AY164+AZ164+BB164))/-(AX70+AY70+AZ70+BB70),""),"")</f>
        <v/>
      </c>
      <c r="BC329" s="262" t="str">
        <f>IFERROR(IF(AND(COUNT(AY65,AZ65,BB65,BC65)=4,(AY70+AZ70+BB70+BC70)&lt;&gt;0),((AY65+AZ65+BB65+BC65)-(AY164+AZ164+BB164+BC164))/-(AY70+AZ70+BB70+BC70),""),"")</f>
        <v/>
      </c>
      <c r="BD329" s="262" t="str">
        <f>IFERROR(IF(AND(COUNT(AZ65,BB65,BC65,BD65)=4,(AZ70+BB70+BC70+BD70)&lt;&gt;0),((AZ65+BB65+BC65+BD65)-(AZ164+BB164+BC164+BD164))/-(AZ70+BB70+BC70+BD70),""),"")</f>
        <v/>
      </c>
      <c r="BE329" s="262" t="str">
        <f>IFERROR(IF(AND(COUNT(BB65,BC65,BD65,BE65)=4,(BB70+BC70+BD70+BE70)&lt;&gt;0),((BB65+BC65+BD65+BE65)-(BB164+BC164+BD164+BE164))/-(BB70+BC70+BD70+BE70),""),"")</f>
        <v/>
      </c>
      <c r="BF329" s="262" t="str">
        <f>IFERROR(IF(AND(COUNT(BB65,BC65,BD65,BE65)=4,(BB70+BC70+BD70+BE70)&lt;&gt;0),((BB65+BC65+BD65+BE65)-(BB164+BC164+BD164+BE164))/-(BB70+BC70+BD70+BE70),""),"")</f>
        <v/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  <c r="C330" s="77" t="inlineStr">
        <is>
          <t>TOTAL DEBT / EBITDA (LTM)</t>
        </is>
      </c>
      <c r="D330" s="82" t="str">
        <f>IFERROR(SUM(D208,D209,D210,D213,D231,D234)/D65,"")</f>
        <v/>
      </c>
      <c r="E330" s="82" t="str">
        <f>IFERROR(SUM(E208,E209,E210,E213,E231,E234)/E65,"")</f>
        <v/>
      </c>
      <c r="F330" s="82" t="str">
        <f>IFERROR(SUM(F208,F209,F210,F213,F231,F234)/F65,"")</f>
        <v/>
      </c>
      <c r="G330" s="82" t="str">
        <f>IFERROR(SUM(G208,G209,G210,G213,G231,G234)/G65,"")</f>
        <v/>
      </c>
      <c r="H330" s="262" t="str">
        <f>IFERROR(IF(AND(COUNT(H65)=1,(H65)&lt;&gt;0),(N(H208)+N(H209)+N(H210)+N(H213)+N(H231)+N(H234))/(H65),""),"")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>
        <f>IFERROR(IF(AND(COUNT(I65,J65,K65,L65)=4,(I65+J65+K65+L65)&lt;&gt;0),(N(L208)+N(L209)+N(L210)+N(L213)+N(L231)+N(L234))/(I65+J65+K65+L65),""),"")</f>
        <v>0.522289907240759</v>
      </c>
      <c r="M330" s="262">
        <f>IFERROR(IF(AND(COUNT(I65,J65,K65,L65)=4,(I65+J65+K65+L65)&lt;&gt;0),(N(M208)+N(M209)+N(M210)+N(M213)+N(M231)+N(M234))/(I65+J65+K65+L65),""),"")</f>
        <v>0.522289907240759</v>
      </c>
      <c r="N330" s="262">
        <f>IFERROR(IF(AND(COUNT(J65,K65,L65,N65)=4,(J65+K65+L65+N65)&lt;&gt;0),(N(N208)+N(N209)+N(N210)+N(N213)+N(N231)+N(N234))/(J65+K65+L65+N65),""),"")</f>
        <v>0.46065851591817</v>
      </c>
      <c r="O330" s="262">
        <f>IFERROR(IF(AND(COUNT(K65,L65,N65,O65)=4,(K65+L65+N65+O65)&lt;&gt;0),(N(O208)+N(O209)+N(O210)+N(O213)+N(O231)+N(O234))/(K65+L65+N65+O65),""),"")</f>
        <v>0.42198877216386</v>
      </c>
      <c r="P330" s="262">
        <f>IFERROR(IF(AND(COUNT(L65,N65,O65,P65)=4,(L65+N65+O65+P65)&lt;&gt;0),(N(P208)+N(P209)+N(P210)+N(P213)+N(P231)+N(P234))/(L65+N65+O65+P65),""),"")</f>
        <v>0.446902128671661</v>
      </c>
      <c r="Q330" s="262">
        <f>IFERROR(IF(AND(COUNT(N65,O65,P65,Q65)=4,(N65+O65+P65+Q65)&lt;&gt;0),(N(Q208)+N(Q209)+N(Q210)+N(Q213)+N(Q231)+N(Q234))/(N65+O65+P65+Q65),""),"")</f>
        <v>0.765392184425077</v>
      </c>
      <c r="R330" s="262">
        <f>IFERROR(IF(AND(COUNT(N65,O65,P65,Q65)=4,(N65+O65+P65+Q65)&lt;&gt;0),(N(R208)+N(R209)+N(R210)+N(R213)+N(R231)+N(R234))/(N65+O65+P65+Q65),""),"")</f>
        <v>0.765392184425077</v>
      </c>
      <c r="S330" s="262">
        <f>IFERROR(IF(AND(COUNT(O65,P65,Q65,S65)=4,(O65+P65+Q65+S65)&lt;&gt;0),(N(S208)+N(S209)+N(S210)+N(S213)+N(S231)+N(S234))/(O65+P65+Q65+S65),""),"")</f>
        <v>1.34502557678255</v>
      </c>
      <c r="T330" s="262">
        <f>IFERROR(IF(AND(COUNT(P65,Q65,S65,T65)=4,(P65+Q65+S65+T65)&lt;&gt;0),(N(T208)+N(T209)+N(T210)+N(T213)+N(T231)+N(T234))/(P65+Q65+S65+T65),""),"")</f>
        <v>2.79814103859366</v>
      </c>
      <c r="U330" s="262">
        <f>IFERROR(IF(AND(COUNT(Q65,S65,T65,U65)=4,(Q65+S65+T65+U65)&lt;&gt;0),(N(U208)+N(U209)+N(U210)+N(U213)+N(U231)+N(U234))/(Q65+S65+T65+U65),""),"")</f>
        <v>6.92839383391348</v>
      </c>
      <c r="V330" s="262">
        <f>IFERROR(IF(AND(COUNT(S65,T65,U65,V65)=4,(S65+T65+U65+V65)&lt;&gt;0),(N(V208)+N(V209)+N(V210)+N(V213)+N(V231)+N(V234))/(S65+T65+U65+V65),""),"")</f>
        <v>12.9889502762431</v>
      </c>
      <c r="W330" s="262">
        <f>IFERROR(IF(AND(COUNT(S65,T65,U65,V65)=4,(S65+T65+U65+V65)&lt;&gt;0),(N(W208)+N(W209)+N(W210)+N(W213)+N(W231)+N(W234))/(S65+T65+U65+V65),""),"")</f>
        <v>12.9889502762431</v>
      </c>
      <c r="X330" s="262">
        <f>IFERROR(IF(AND(COUNT(T65,U65,V65,X65)=4,(T65+U65+V65+X65)&lt;&gt;0),(N(X208)+N(X209)+N(X210)+N(X213)+N(X231)+N(X234))/(T65+U65+V65+X65),""),"")</f>
        <v>4.01880965749579</v>
      </c>
      <c r="Y330" s="262">
        <f>IFERROR(IF(AND(COUNT(U65,V65,X65,Y65)=4,(U65+V65+X65+Y65)&lt;&gt;0),(N(Y208)+N(Y209)+N(Y210)+N(Y213)+N(Y231)+N(Y234))/(U65+V65+X65+Y65),""),"")</f>
        <v>2.2954808806489</v>
      </c>
      <c r="Z330" s="262">
        <f>IFERROR(IF(AND(COUNT(V65,X65,Y65,Z65)=4,(V65+X65+Y65+Z65)&lt;&gt;0),(N(Z208)+N(Z209)+N(Z210)+N(Z213)+N(Z231)+N(Z234))/(V65+X65+Y65+Z65),""),"")</f>
        <v>1.54194187582563</v>
      </c>
      <c r="AA330" s="262">
        <f>IFERROR(IF(AND(COUNT(X65,Y65,Z65,AA65)=4,(X65+Y65+Z65+AA65)&lt;&gt;0),(N(AA208)+N(AA209)+N(AA210)+N(AA213)+N(AA231)+N(AA234))/(X65+Y65+Z65+AA65),""),"")</f>
        <v>1.14974802015839</v>
      </c>
      <c r="AB330" s="262">
        <f>IFERROR(IF(AND(COUNT(X65,Y65,Z65,AA65)=4,(X65+Y65+Z65+AA65)&lt;&gt;0),(N(AB208)+N(AB209)+N(AB210)+N(AB213)+N(AB231)+N(AB234))/(X65+Y65+Z65+AA65),""),"")</f>
        <v>1.14974802015839</v>
      </c>
      <c r="AC330" s="262">
        <f>IFERROR(IF(AND(COUNT(Y65,Z65,AA65,AC65)=4,(Y65+Z65+AA65+AC65)&lt;&gt;0),(N(AC208)+N(AC209)+N(AC210)+N(AC213)+N(AC231)+N(AC234))/(Y65+Z65+AA65+AC65),""),"")</f>
        <v>1.05028796179239</v>
      </c>
      <c r="AD330" s="262">
        <f>IFERROR(IF(AND(COUNT(Z65,AA65,AC65,AD65)=4,(Z65+AA65+AC65+AD65)&lt;&gt;0),(N(AD208)+N(AD209)+N(AD210)+N(AD213)+N(AD231)+N(AD234))/(Z65+AA65+AC65+AD65),""),"")</f>
        <v>1.01983951475327</v>
      </c>
      <c r="AE330" s="262">
        <f>IFERROR(IF(AND(COUNT(AA65,AC65,AD65,AE65)=4,(AA65+AC65+AD65+AE65)&lt;&gt;0),(N(AE208)+N(AE209)+N(AE210)+N(AE213)+N(AE231)+N(AE234))/(AA65+AC65+AD65+AE65),""),"")</f>
        <v>0.843063679505573</v>
      </c>
      <c r="AF330" s="262">
        <f>IFERROR(IF(AND(COUNT(AB65,AD65,AE65,AF65)=4,(AB65+AD65+AE65+AF65)&lt;&gt;0),(N(AF208)+N(AF209)+N(AF210)+N(AF213)+N(AF231)+N(AF234))/(AB65+AD65+AE65+AF65),""),"")</f>
        <v>0.401908458677018</v>
      </c>
      <c r="AG330" s="262">
        <f>IFERROR(IF(AND(COUNT(AC65,AD65,AE65,AF65)=4,(AC65+AD65+AE65+AF65)&lt;&gt;0),(N(AG208)+N(AG209)+N(AG210)+N(AG213)+N(AG231)+N(AG234))/(AC65+AD65+AE65+AF65),""),"")</f>
        <v>0.558025689391898</v>
      </c>
      <c r="AH330" s="262">
        <f>IFERROR(IF(AND(COUNT(AD65,AF65,AG65,AH65)=4,(AD65+AF65+AG65+AH65)&lt;&gt;0),(N(AH208)+N(AH209)+N(AH210)+N(AH213)+N(AH231)+N(AH234))/(AD65+AF65+AG65+AH65),""),"")</f>
        <v>0.202596720327217</v>
      </c>
      <c r="AI330" s="262">
        <f>IFERROR(IF(AND(COUNT(AE65,AG65,AH65,AI65)=4,(AE65+AG65+AH65+AI65)&lt;&gt;0),(N(AI208)+N(AI209)+N(AI210)+N(AI213)+N(AI231)+N(AI234))/(AE65+AG65+AH65+AI65),""),"")</f>
        <v>0.0775933407973519</v>
      </c>
      <c r="AJ330" s="262">
        <f>IFERROR(IF(AND(COUNT(AF65,AH65,AI65,AJ65)=4,(AF65+AH65+AI65+AJ65)&lt;&gt;0),(N(AJ208)+N(AJ209)+N(AJ210)+N(AJ213)+N(AJ231)+N(AJ234))/(AF65+AH65+AI65+AJ65),""),"")</f>
        <v>0.0819836569274472</v>
      </c>
      <c r="AK330" s="262">
        <f>IFERROR(IF(AND(COUNT(AH65,AI65,AJ65,AK65)=4,(AH65+AI65+AJ65+AK65)&lt;&gt;0),(N(AK208)+N(AK209)+N(AK210)+N(AK213)+N(AK231)+N(AK234))/(AH65+AI65+AJ65+AK65),""),"")</f>
        <v>0.0725400059402555</v>
      </c>
      <c r="AL330" s="262">
        <f>IFERROR(IF(AND(COUNT(AH65,AI65,AJ65,AK65)=4,(AH65+AI65+AJ65+AK65)&lt;&gt;0),(N(AL208)+N(AL209)+N(AL210)+N(AL213)+N(AL231)+N(AL234))/(AH65+AI65+AJ65+AK65),""),"")</f>
        <v>0.0725400059402555</v>
      </c>
      <c r="AM330" s="262">
        <f>IFERROR(IF(AND(COUNT(AI65,AJ65,AK65,AM65)=4,(AI65+AJ65+AK65+AM65)&lt;&gt;0),(N(AM208)+N(AM209)+N(AM210)+N(AM213)+N(AM231)+N(AM234))/(AI65+AJ65+AK65+AM65),""),"")</f>
        <v>0.0626437194943567</v>
      </c>
      <c r="AN330" s="262">
        <f>IFERROR(IF(AND(COUNT(AJ65,AK65,AM65,AN65)=4,(AJ65+AK65+AM65+AN65)&lt;&gt;0),(N(AN208)+N(AN209)+N(AN210)+N(AN213)+N(AN231)+N(AN234))/(AJ65+AK65+AM65+AN65),""),"")</f>
        <v>0.0521632289017706</v>
      </c>
      <c r="AO330" s="262">
        <f>IFERROR(IF(AND(COUNT(AK65,AM65,AN65,AO65)=4,(AK65+AM65+AN65+AO65)&lt;&gt;0),(N(AO208)+N(AO209)+N(AO210)+N(AO213)+N(AO231)+N(AO234))/(AK65+AM65+AN65+AO65),""),"")</f>
        <v>0.0453474302760148</v>
      </c>
      <c r="AP330" s="262">
        <f>IFERROR(IF(AND(COUNT(AM65,AN65,AO65,AP65)=4,(AM65+AN65+AO65+AP65)&lt;&gt;0),(N(AP208)+N(AP209)+N(AP210)+N(AP213)+N(AP231)+N(AP234))/(AM65+AN65+AO65+AP65),""),"")</f>
        <v>0.0391754859795363</v>
      </c>
      <c r="AQ330" s="262">
        <f>IFERROR(IF(AND(COUNT(AM65,AN65,AO65,AP65)=4,(AM65+AN65+AO65+AP65)&lt;&gt;0),(N(AQ208)+N(AQ209)+N(AQ210)+N(AQ213)+N(AQ231)+N(AQ234))/(AM65+AN65+AO65+AP65),""),"")</f>
        <v>0.0391754859795363</v>
      </c>
      <c r="AR330" s="262">
        <f>IFERROR(IF(AND(COUNT(AN65,AO65,AP65,AR65)=4,(AN65+AO65+AP65+AR65)&lt;&gt;0),(N(AR208)+N(AR209)+N(AR210)+N(AR213)+N(AR231)+N(AR234))/(AN65+AO65+AP65+AR65),""),"")</f>
        <v>0.0316688195553558</v>
      </c>
      <c r="AS330" s="262">
        <f>IFERROR(IF(AND(COUNT(AO65,AP65,AR65,AS65)=4,(AO65+AP65+AR65+AS65)&lt;&gt;0),(N(AS208)+N(AS209)+N(AS210)+N(AS213)+N(AS231)+N(AS234))/(AO65+AP65+AR65+AS65),""),"")</f>
        <v>0.0237588461089207</v>
      </c>
      <c r="AT330" s="262">
        <f>IFERROR(IF(AND(COUNT(AP65,AR65,AS65,AT65)=4,(AP65+AR65+AS65+AT65)&lt;&gt;0),(N(AT208)+N(AT209)+N(AT210)+N(AT213)+N(AT231)+N(AT234))/(AP65+AR65+AS65+AT65),""),"")</f>
        <v>0.0206612732524375</v>
      </c>
      <c r="AU330" s="262">
        <f>IFERROR(IF(AND(COUNT(AR65,AS65,AT65,AU65)=4,(AR65+AS65+AT65+AU65)&lt;&gt;0),(N(AU208)+N(AU209)+N(AU210)+N(AU213)+N(AU231)+N(AU234))/(AR65+AS65+AT65+AU65),""),"")</f>
        <v>0.0178545454060962</v>
      </c>
      <c r="AV330" s="262">
        <f>IFERROR(IF(AND(COUNT(AR65,AS65,AT65,AU65)=4,(AR65+AS65+AT65+AU65)&lt;&gt;0),(N(AV208)+N(AV209)+N(AV210)+N(AV213)+N(AV231)+N(AV234))/(AR65+AS65+AT65+AU65),""),"")</f>
        <v>0.0178545454060962</v>
      </c>
      <c r="AW330" s="262">
        <f>IFERROR(IF(AND(COUNT(AS65,AT65,AU65,AW65)=4,(AS65+AT65+AU65+AW65)&lt;&gt;0),(N(AW208)+N(AW209)+N(AW210)+N(AW213)+N(AW231)+N(AW234))/(AS65+AT65+AU65+AW65),""),"")</f>
        <v>0.0144449106876262</v>
      </c>
      <c r="AX330" s="262">
        <f>IFERROR(IF(AND(COUNT(AT65,AU65,AW65,AX65)=4,(AT65+AU65+AW65+AX65)&lt;&gt;0),(N(AX208)+N(AX209)+N(AX210)+N(AX213)+N(AX231)+N(AX234))/(AT65+AU65+AW65+AX65),""),"")</f>
        <v>0.0108461583843975</v>
      </c>
      <c r="AY330" s="262">
        <f>IFERROR(IF(AND(COUNT(AU65,AW65,AX65,AY65)=4,(AU65+AW65+AX65+AY65)&lt;&gt;0),(N(AY208)+N(AY209)+N(AY210)+N(AY213)+N(AY231)+N(AY234))/(AU65+AW65+AX65+AY65),""),"")</f>
        <v>0.00943521328553141</v>
      </c>
      <c r="AZ330" s="262">
        <f>IFERROR(IF(AND(COUNT(AW65,AX65,AY65,AZ65)=4,(AW65+AX65+AY65+AZ65)&lt;&gt;0),(N(AZ208)+N(AZ209)+N(AZ210)+N(AZ213)+N(AZ231)+N(AZ234))/(AW65+AX65+AY65+AZ65),""),"")</f>
        <v>0.00815593952780563</v>
      </c>
      <c r="BA330" s="262">
        <f>IFERROR(IF(AND(COUNT(AW65,AX65,AY65,AZ65)=4,(AW65+AX65+AY65+AZ65)&lt;&gt;0),(N(BA208)+N(BA209)+N(BA210)+N(BA213)+N(BA231)+N(BA234))/(AW65+AX65+AY65+AZ65),""),"")</f>
        <v>0.00815593952780563</v>
      </c>
      <c r="BB330" s="262">
        <f>IFERROR(IF(AND(COUNT(AX65,AY65,AZ65,BB65)=4,(AX65+AY65+AZ65+BB65)&lt;&gt;0),(N(BB208)+N(BB209)+N(BB210)+N(BB213)+N(BB231)+N(BB234))/(AX65+AY65+AZ65+BB65),""),"")</f>
        <v>0.00660372412360057</v>
      </c>
      <c r="BC330" s="262">
        <f>IFERROR(IF(AND(COUNT(AY65,AZ65,BB65,BC65)=4,(AY65+AZ65+BB65+BC65)&lt;&gt;0),(N(BC208)+N(BC209)+N(BC210)+N(BC213)+N(BC231)+N(BC234))/(AY65+AZ65+BB65+BC65),""),"")</f>
        <v>0.00496270566381531</v>
      </c>
      <c r="BD330" s="262">
        <f>IFERROR(IF(AND(COUNT(AZ65,BB65,BC65,BD65)=4,(AZ65+BB65+BC65+BD65)&lt;&gt;0),(N(BD208)+N(BD209)+N(BD210)+N(BD213)+N(BD231)+N(BD234))/(AZ65+BB65+BC65+BD65),""),"")</f>
        <v>0.00431855907944353</v>
      </c>
      <c r="BE330" s="262">
        <f>IFERROR(IF(AND(COUNT(BB65,BC65,BD65,BE65)=4,(BB65+BC65+BD65+BE65)&lt;&gt;0),(N(BE208)+N(BE209)+N(BE210)+N(BE213)+N(BE231)+N(BE234))/(BB65+BC65+BD65+BE65),""),"")</f>
        <v>0.003734154286628</v>
      </c>
      <c r="BF330" s="262">
        <f>IFERROR(IF(AND(COUNT(BB65,BC65,BD65,BE65)=4,(BB65+BC65+BD65+BE65)&lt;&gt;0),(N(BF208)+N(BF209)+N(BF210)+N(BF213)+N(BF231)+N(BF234))/(BB65+BC65+BD65+BE65),""),"")</f>
        <v>0.003734154286628</v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  <c r="C331" s="77" t="inlineStr">
        <is>
          <t>TOTAL DEBT / TOTAL CAPITALIZATION</t>
        </is>
      </c>
      <c r="D331" s="80" t="str">
        <f>IFERROR(SUM(D208+D209+D210+D213+D231+D234)/(SUM(D208+D209+D210+D213+D231+D234)+D267),"")</f>
        <v/>
      </c>
      <c r="E331" s="80" t="str">
        <f>IFERROR(SUM(E208+E209+E210+E213+E231+E234)/(SUM(E208+E209+E210+E213+E231+E234)+E267),"")</f>
        <v/>
      </c>
      <c r="F331" s="80" t="str">
        <f>IFERROR(SUM(F208+F209+F210+F213+F231+F234)/(SUM(F208+F209+F210+F213+F231+F234)+F267),"")</f>
        <v/>
      </c>
      <c r="G331" s="80" t="str">
        <f>IFERROR(SUM(G208+G209+G210+G213+G231+G234)/(SUM(G208+G209+G210+G213+G231+G234)+G267),"")</f>
        <v/>
      </c>
      <c r="H331" s="258" t="str">
        <f>IFERROR(IF(((N(H208)+N(H209)+N(H210)+N(H213)+N(H231)+N(H234))+N(H267))&lt;&gt;0,(N(H208)+N(H209)+N(H210)+N(H213)+N(H231)+N(H234))/((N(H208)+N(H209)+N(H210)+N(H213)+N(H231)+N(H234))+H267),""),"")</f>
        <v/>
      </c>
      <c r="I331" s="258">
        <f>IFERROR(IF(((N(I208)+N(I209)+N(I210)+N(I213)+N(I231)+N(I234))+N(I267))&lt;&gt;0,(N(I208)+N(I209)+N(I210)+N(I213)+N(I231)+N(I234))/((N(I208)+N(I209)+N(I210)+N(I213)+N(I231)+N(I234))+I267),""),"")</f>
        <v>0.14952313226805</v>
      </c>
      <c r="J331" s="258">
        <f>IFERROR(IF(((N(J208)+N(J209)+N(J210)+N(J213)+N(J231)+N(J234))+N(J267))&lt;&gt;0,(N(J208)+N(J209)+N(J210)+N(J213)+N(J231)+N(J234))/((N(J208)+N(J209)+N(J210)+N(J213)+N(J231)+N(J234))+J267),""),"")</f>
        <v>0.146058560834158</v>
      </c>
      <c r="K331" s="258">
        <f>IFERROR(IF(((N(K208)+N(K209)+N(K210)+N(K213)+N(K231)+N(K234))+N(K267))&lt;&gt;0,(N(K208)+N(K209)+N(K210)+N(K213)+N(K231)+N(K234))/((N(K208)+N(K209)+N(K210)+N(K213)+N(K231)+N(K234))+K267),""),"")</f>
        <v>0.14215140686935</v>
      </c>
      <c r="L331" s="258">
        <f>IFERROR(IF(((N(L208)+N(L209)+N(L210)+N(L213)+N(L231)+N(L234))+N(L267))&lt;&gt;0,(N(L208)+N(L209)+N(L210)+N(L213)+N(L231)+N(L234))/((N(L208)+N(L209)+N(L210)+N(L213)+N(L231)+N(L234))+L267),""),"")</f>
        <v>0.141152040110003</v>
      </c>
      <c r="M331" s="258">
        <f>IFERROR(IF(((N(M208)+N(M209)+N(M210)+N(M213)+N(M231)+N(M234))+N(M267))&lt;&gt;0,(N(M208)+N(M209)+N(M210)+N(M213)+N(M231)+N(M234))/((N(M208)+N(M209)+N(M210)+N(M213)+N(M231)+N(M234))+M267),""),"")</f>
        <v>0.141152040110003</v>
      </c>
      <c r="N331" s="258">
        <f>IFERROR(IF(((N(N208)+N(N209)+N(N210)+N(N213)+N(N231)+N(N234))+N(N267))&lt;&gt;0,(N(N208)+N(N209)+N(N210)+N(N213)+N(N231)+N(N234))/((N(N208)+N(N209)+N(N210)+N(N213)+N(N231)+N(N234))+N267),""),"")</f>
        <v>0.137243941142527</v>
      </c>
      <c r="O331" s="258">
        <f>IFERROR(IF(((N(O208)+N(O209)+N(O210)+N(O213)+N(O231)+N(O234))+N(O267))&lt;&gt;0,(N(O208)+N(O209)+N(O210)+N(O213)+N(O231)+N(O234))/((N(O208)+N(O209)+N(O210)+N(O213)+N(O231)+N(O234))+O267),""),"")</f>
        <v>0.133490408453924</v>
      </c>
      <c r="P331" s="258">
        <f>IFERROR(IF(((N(P208)+N(P209)+N(P210)+N(P213)+N(P231)+N(P234))+N(P267))&lt;&gt;0,(N(P208)+N(P209)+N(P210)+N(P213)+N(P231)+N(P234))/((N(P208)+N(P209)+N(P210)+N(P213)+N(P231)+N(P234))+P267),""),"")</f>
        <v>0.130888320011145</v>
      </c>
      <c r="Q331" s="258">
        <f>IFERROR(IF(((N(Q208)+N(Q209)+N(Q210)+N(Q213)+N(Q231)+N(Q234))+N(Q267))&lt;&gt;0,(N(Q208)+N(Q209)+N(Q210)+N(Q213)+N(Q231)+N(Q234))/((N(Q208)+N(Q209)+N(Q210)+N(Q213)+N(Q231)+N(Q234))+Q267),""),"")</f>
        <v>0.180909030500365</v>
      </c>
      <c r="R331" s="258">
        <f>IFERROR(IF(((N(R208)+N(R209)+N(R210)+N(R213)+N(R231)+N(R234))+N(R267))&lt;&gt;0,(N(R208)+N(R209)+N(R210)+N(R213)+N(R231)+N(R234))/((N(R208)+N(R209)+N(R210)+N(R213)+N(R231)+N(R234))+R267),""),"")</f>
        <v>0.180909030500365</v>
      </c>
      <c r="S331" s="258">
        <f>IFERROR(IF(((N(S208)+N(S209)+N(S210)+N(S213)+N(S231)+N(S234))+N(S267))&lt;&gt;0,(N(S208)+N(S209)+N(S210)+N(S213)+N(S231)+N(S234))/((N(S208)+N(S209)+N(S210)+N(S213)+N(S231)+N(S234))+S267),""),"")</f>
        <v>0.214229893084585</v>
      </c>
      <c r="T331" s="258">
        <f>IFERROR(IF(((N(T208)+N(T209)+N(T210)+N(T213)+N(T231)+N(T234))+N(T267))&lt;&gt;0,(N(T208)+N(T209)+N(T210)+N(T213)+N(T231)+N(T234))/((N(T208)+N(T209)+N(T210)+N(T213)+N(T231)+N(T234))+T267),""),"")</f>
        <v>0.23370968558554</v>
      </c>
      <c r="U331" s="258">
        <f>IFERROR(IF(((N(U208)+N(U209)+N(U210)+N(U213)+N(U231)+N(U234))+N(U267))&lt;&gt;0,(N(U208)+N(U209)+N(U210)+N(U213)+N(U231)+N(U234))/((N(U208)+N(U209)+N(U210)+N(U213)+N(U231)+N(U234))+U267),""),"")</f>
        <v>0.240004823178819</v>
      </c>
      <c r="V331" s="258">
        <f>IFERROR(IF(((N(V208)+N(V209)+N(V210)+N(V213)+N(V231)+N(V234))+N(V267))&lt;&gt;0,(N(V208)+N(V209)+N(V210)+N(V213)+N(V231)+N(V234))/((N(V208)+N(V209)+N(V210)+N(V213)+N(V231)+N(V234))+V267),""),"")</f>
        <v>0.247512765173448</v>
      </c>
      <c r="W331" s="258">
        <f>IFERROR(IF(((N(W208)+N(W209)+N(W210)+N(W213)+N(W231)+N(W234))+N(W267))&lt;&gt;0,(N(W208)+N(W209)+N(W210)+N(W213)+N(W231)+N(W234))/((N(W208)+N(W209)+N(W210)+N(W213)+N(W231)+N(W234))+W267),""),"")</f>
        <v>0.247512765173448</v>
      </c>
      <c r="X331" s="258">
        <f>IFERROR(IF(((N(X208)+N(X209)+N(X210)+N(X213)+N(X231)+N(X234))+N(X267))&lt;&gt;0,(N(X208)+N(X209)+N(X210)+N(X213)+N(X231)+N(X234))/((N(X208)+N(X209)+N(X210)+N(X213)+N(X231)+N(X234))+X267),""),"")</f>
        <v>0.246025607974564</v>
      </c>
      <c r="Y331" s="258">
        <f>IFERROR(IF(((N(Y208)+N(Y209)+N(Y210)+N(Y213)+N(Y231)+N(Y234))+N(Y267))&lt;&gt;0,(N(Y208)+N(Y209)+N(Y210)+N(Y213)+N(Y231)+N(Y234))/((N(Y208)+N(Y209)+N(Y210)+N(Y213)+N(Y231)+N(Y234))+Y267),""),"")</f>
        <v>0.23870756730703</v>
      </c>
      <c r="Z331" s="258">
        <f>IFERROR(IF(((N(Z208)+N(Z209)+N(Z210)+N(Z213)+N(Z231)+N(Z234))+N(Z267))&lt;&gt;0,(N(Z208)+N(Z209)+N(Z210)+N(Z213)+N(Z231)+N(Z234))/((N(Z208)+N(Z209)+N(Z210)+N(Z213)+N(Z231)+N(Z234))+Z267),""),"")</f>
        <v>0.236852785011329</v>
      </c>
      <c r="AA331" s="258">
        <f>IFERROR(IF(((N(AA208)+N(AA209)+N(AA210)+N(AA213)+N(AA231)+N(AA234))+N(AA267))&lt;&gt;0,(N(AA208)+N(AA209)+N(AA210)+N(AA213)+N(AA231)+N(AA234))/((N(AA208)+N(AA209)+N(AA210)+N(AA213)+N(AA231)+N(AA234))+AA267),""),"")</f>
        <v>0.234968121628249</v>
      </c>
      <c r="AB331" s="258">
        <f>IFERROR(IF(((N(AB208)+N(AB209)+N(AB210)+N(AB213)+N(AB231)+N(AB234))+N(AB267))&lt;&gt;0,(N(AB208)+N(AB209)+N(AB210)+N(AB213)+N(AB231)+N(AB234))/((N(AB208)+N(AB209)+N(AB210)+N(AB213)+N(AB231)+N(AB234))+AB267),""),"")</f>
        <v>0.234968121628249</v>
      </c>
      <c r="AC331" s="258">
        <f>IFERROR(IF(((N(AC208)+N(AC209)+N(AC210)+N(AC213)+N(AC231)+N(AC234))+N(AC267))&lt;&gt;0,(N(AC208)+N(AC209)+N(AC210)+N(AC213)+N(AC231)+N(AC234))/((N(AC208)+N(AC209)+N(AC210)+N(AC213)+N(AC231)+N(AC234))+AC267),""),"")</f>
        <v>0.23517385629138</v>
      </c>
      <c r="AD331" s="258">
        <f>IFERROR(IF(((N(AD208)+N(AD209)+N(AD210)+N(AD213)+N(AD231)+N(AD234))+N(AD267))&lt;&gt;0,(N(AD208)+N(AD209)+N(AD210)+N(AD213)+N(AD231)+N(AD234))/((N(AD208)+N(AD209)+N(AD210)+N(AD213)+N(AD231)+N(AD234))+AD267),""),"")</f>
        <v>0.241310230381677</v>
      </c>
      <c r="AE331" s="258">
        <f>IFERROR(IF(((N(AE208)+N(AE209)+N(AE210)+N(AE213)+N(AE231)+N(AE234))+N(AE267))&lt;&gt;0,(N(AE208)+N(AE209)+N(AE210)+N(AE213)+N(AE231)+N(AE234))/((N(AE208)+N(AE209)+N(AE210)+N(AE213)+N(AE231)+N(AE234))+AE267),""),"")</f>
        <v>0.220007776161744</v>
      </c>
      <c r="AF331" s="258">
        <f>IFERROR(IF(((N(AF208)+N(AF209)+N(AF210)+N(AF213)+N(AF231)+N(AF234))+N(AF267))&lt;&gt;0,(N(AF208)+N(AF209)+N(AF210)+N(AF213)+N(AF231)+N(AF234))/((N(AF208)+N(AF209)+N(AF210)+N(AF213)+N(AF231)+N(AF234))+AF267),""),"")</f>
        <v>0.174432480240345</v>
      </c>
      <c r="AG331" s="258">
        <f>IFERROR(IF(((N(AG208)+N(AG209)+N(AG210)+N(AG213)+N(AG231)+N(AG234))+N(AG267))&lt;&gt;0,(N(AG208)+N(AG209)+N(AG210)+N(AG213)+N(AG231)+N(AG234))/((N(AG208)+N(AG209)+N(AG210)+N(AG213)+N(AG231)+N(AG234))+AG267),""),"")</f>
        <v>0.174432480240345</v>
      </c>
      <c r="AH331" s="258">
        <f>IFERROR(IF(((N(AH208)+N(AH209)+N(AH210)+N(AH213)+N(AH231)+N(AH234))+N(AH267))&lt;&gt;0,(N(AH208)+N(AH209)+N(AH210)+N(AH213)+N(AH231)+N(AH234))/((N(AH208)+N(AH209)+N(AH210)+N(AH213)+N(AH231)+N(AH234))+AH267),""),"")</f>
        <v>0.1296948004372</v>
      </c>
      <c r="AI331" s="258">
        <f>IFERROR(IF(((N(AI208)+N(AI209)+N(AI210)+N(AI213)+N(AI231)+N(AI234))+N(AI267))&lt;&gt;0,(N(AI208)+N(AI209)+N(AI210)+N(AI213)+N(AI231)+N(AI234))/((N(AI208)+N(AI209)+N(AI210)+N(AI213)+N(AI231)+N(AI234))+AI267),""),"")</f>
        <v>0.0595331465919701</v>
      </c>
      <c r="AJ331" s="258">
        <f>IFERROR(IF(((N(AJ208)+N(AJ209)+N(AJ210)+N(AJ213)+N(AJ231)+N(AJ234))+N(AJ267))&lt;&gt;0,(N(AJ208)+N(AJ209)+N(AJ210)+N(AJ213)+N(AJ231)+N(AJ234))/((N(AJ208)+N(AJ209)+N(AJ210)+N(AJ213)+N(AJ231)+N(AJ234))+AJ267),""),"")</f>
        <v>0.05452470999568</v>
      </c>
      <c r="AK331" s="258">
        <f>IFERROR(IF(((N(AK208)+N(AK209)+N(AK210)+N(AK213)+N(AK231)+N(AK234))+N(AK267))&lt;&gt;0,(N(AK208)+N(AK209)+N(AK210)+N(AK213)+N(AK231)+N(AK234))/((N(AK208)+N(AK209)+N(AK210)+N(AK213)+N(AK231)+N(AK234))+AK267),""),"")</f>
        <v>0.0495032251350229</v>
      </c>
      <c r="AL331" s="258">
        <f>IFERROR(IF(((N(AL208)+N(AL209)+N(AL210)+N(AL213)+N(AL231)+N(AL234))+N(AL267))&lt;&gt;0,(N(AL208)+N(AL209)+N(AL210)+N(AL213)+N(AL231)+N(AL234))/((N(AL208)+N(AL209)+N(AL210)+N(AL213)+N(AL231)+N(AL234))+AL267),""),"")</f>
        <v>0.0495032251350229</v>
      </c>
      <c r="AM331" s="258">
        <f>IFERROR(IF(((N(AM208)+N(AM209)+N(AM210)+N(AM213)+N(AM231)+N(AM234))+N(AM267))&lt;&gt;0,(N(AM208)+N(AM209)+N(AM210)+N(AM213)+N(AM231)+N(AM234))/((N(AM208)+N(AM209)+N(AM210)+N(AM213)+N(AM231)+N(AM234))+AM267),""),"")</f>
        <v>0.0426360746100057</v>
      </c>
      <c r="AN331" s="258">
        <f>IFERROR(IF(((N(AN208)+N(AN209)+N(AN210)+N(AN213)+N(AN231)+N(AN234))+N(AN267))&lt;&gt;0,(N(AN208)+N(AN209)+N(AN210)+N(AN213)+N(AN231)+N(AN234))/((N(AN208)+N(AN209)+N(AN210)+N(AN213)+N(AN231)+N(AN234))+AN267),""),"")</f>
        <v>0.0343555640953483</v>
      </c>
      <c r="AO331" s="258">
        <f>IFERROR(IF(((N(AO208)+N(AO209)+N(AO210)+N(AO213)+N(AO231)+N(AO234))+N(AO267))&lt;&gt;0,(N(AO208)+N(AO209)+N(AO210)+N(AO213)+N(AO231)+N(AO234))/((N(AO208)+N(AO209)+N(AO210)+N(AO213)+N(AO231)+N(AO234))+AO267),""),"")</f>
        <v>0.0307687338510032</v>
      </c>
      <c r="AP331" s="258">
        <f>IFERROR(IF(((N(AP208)+N(AP209)+N(AP210)+N(AP213)+N(AP231)+N(AP234))+N(AP267))&lt;&gt;0,(N(AP208)+N(AP209)+N(AP210)+N(AP213)+N(AP231)+N(AP234))/((N(AP208)+N(AP209)+N(AP210)+N(AP213)+N(AP231)+N(AP234))+AP267),""),"")</f>
        <v>0.0273285218797298</v>
      </c>
      <c r="AQ331" s="258">
        <f>IFERROR(IF(((N(AQ208)+N(AQ209)+N(AQ210)+N(AQ213)+N(AQ231)+N(AQ234))+N(AQ267))&lt;&gt;0,(N(AQ208)+N(AQ209)+N(AQ210)+N(AQ213)+N(AQ231)+N(AQ234))/((N(AQ208)+N(AQ209)+N(AQ210)+N(AQ213)+N(AQ231)+N(AQ234))+AQ267),""),"")</f>
        <v>0.0273285218797298</v>
      </c>
      <c r="AR331" s="258">
        <f>IFERROR(IF(((N(AR208)+N(AR209)+N(AR210)+N(AR213)+N(AR231)+N(AR234))+N(AR267))&lt;&gt;0,(N(AR208)+N(AR209)+N(AR210)+N(AR213)+N(AR231)+N(AR234))/((N(AR208)+N(AR209)+N(AR210)+N(AR213)+N(AR231)+N(AR234))+AR267),""),"")</f>
        <v>0.0228672255333623</v>
      </c>
      <c r="AS331" s="258">
        <f>IFERROR(IF(((N(AS208)+N(AS209)+N(AS210)+N(AS213)+N(AS231)+N(AS234))+N(AS267))&lt;&gt;0,(N(AS208)+N(AS209)+N(AS210)+N(AS213)+N(AS231)+N(AS234))/((N(AS208)+N(AS209)+N(AS210)+N(AS213)+N(AS231)+N(AS234))+AS267),""),"")</f>
        <v>0.0178144110300379</v>
      </c>
      <c r="AT331" s="258">
        <f>IFERROR(IF(((N(AT208)+N(AT209)+N(AT210)+N(AT213)+N(AT231)+N(AT234))+N(AT267))&lt;&gt;0,(N(AT208)+N(AT209)+N(AT210)+N(AT213)+N(AT231)+N(AT234))/((N(AT208)+N(AT209)+N(AT210)+N(AT213)+N(AT231)+N(AT234))+AT267),""),"")</f>
        <v>0.0157283613100316</v>
      </c>
      <c r="AU331" s="258">
        <f>IFERROR(IF(((N(AU208)+N(AU209)+N(AU210)+N(AU213)+N(AU231)+N(AU234))+N(AU267))&lt;&gt;0,(N(AU208)+N(AU209)+N(AU210)+N(AU213)+N(AU231)+N(AU234))/((N(AU208)+N(AU209)+N(AU210)+N(AU213)+N(AU231)+N(AU234))+AU267),""),"")</f>
        <v>0.01378240331181</v>
      </c>
      <c r="AV331" s="258">
        <f>IFERROR(IF(((N(AV208)+N(AV209)+N(AV210)+N(AV213)+N(AV231)+N(AV234))+N(AV267))&lt;&gt;0,(N(AV208)+N(AV209)+N(AV210)+N(AV213)+N(AV231)+N(AV234))/((N(AV208)+N(AV209)+N(AV210)+N(AV213)+N(AV231)+N(AV234))+AV267),""),"")</f>
        <v>0.01378240331181</v>
      </c>
      <c r="AW331" s="258">
        <f>IFERROR(IF(((N(AW208)+N(AW209)+N(AW210)+N(AW213)+N(AW231)+N(AW234))+N(AW267))&lt;&gt;0,(N(AW208)+N(AW209)+N(AW210)+N(AW213)+N(AW231)+N(AW234))/((N(AW208)+N(AW209)+N(AW210)+N(AW213)+N(AW231)+N(AW234))+AW267),""),"")</f>
        <v>0.0113398755997548</v>
      </c>
      <c r="AX331" s="258">
        <f>IFERROR(IF(((N(AX208)+N(AX209)+N(AX210)+N(AX213)+N(AX231)+N(AX234))+N(AX267))&lt;&gt;0,(N(AX208)+N(AX209)+N(AX210)+N(AX213)+N(AX231)+N(AX234))/((N(AX208)+N(AX209)+N(AX210)+N(AX213)+N(AX231)+N(AX234))+AX267),""),"")</f>
        <v>0.00867019001174168</v>
      </c>
      <c r="AY331" s="258">
        <f>IFERROR(IF(((N(AY208)+N(AY209)+N(AY210)+N(AY213)+N(AY231)+N(AY234))+N(AY267))&lt;&gt;0,(N(AY208)+N(AY209)+N(AY210)+N(AY213)+N(AY231)+N(AY234))/((N(AY208)+N(AY209)+N(AY210)+N(AY213)+N(AY231)+N(AY234))+AY267),""),"")</f>
        <v>0.00759669979782127</v>
      </c>
      <c r="AZ331" s="258">
        <f>IFERROR(IF(((N(AZ208)+N(AZ209)+N(AZ210)+N(AZ213)+N(AZ231)+N(AZ234))+N(AZ267))&lt;&gt;0,(N(AZ208)+N(AZ209)+N(AZ210)+N(AZ213)+N(AZ231)+N(AZ234))/((N(AZ208)+N(AZ209)+N(AZ210)+N(AZ213)+N(AZ231)+N(AZ234))+AZ267),""),"")</f>
        <v>0.00660991851972536</v>
      </c>
      <c r="BA331" s="258">
        <f>IFERROR(IF(((N(BA208)+N(BA209)+N(BA210)+N(BA213)+N(BA231)+N(BA234))+N(BA267))&lt;&gt;0,(N(BA208)+N(BA209)+N(BA210)+N(BA213)+N(BA231)+N(BA234))/((N(BA208)+N(BA209)+N(BA210)+N(BA213)+N(BA231)+N(BA234))+BA267),""),"")</f>
        <v>0.00660991851972536</v>
      </c>
      <c r="BB331" s="258">
        <f>IFERROR(IF(((N(BB208)+N(BB209)+N(BB210)+N(BB213)+N(BB231)+N(BB234))+N(BB267))&lt;&gt;0,(N(BB208)+N(BB209)+N(BB210)+N(BB213)+N(BB231)+N(BB234))/((N(BB208)+N(BB209)+N(BB210)+N(BB213)+N(BB231)+N(BB234))+BB267),""),"")</f>
        <v>0.00539310740172394</v>
      </c>
      <c r="BC331" s="258">
        <f>IFERROR(IF(((N(BC208)+N(BC209)+N(BC210)+N(BC213)+N(BC231)+N(BC234))+N(BC267))&lt;&gt;0,(N(BC208)+N(BC209)+N(BC210)+N(BC213)+N(BC231)+N(BC234))/((N(BC208)+N(BC209)+N(BC210)+N(BC213)+N(BC231)+N(BC234))+BC267),""),"")</f>
        <v>0.00408615708615963</v>
      </c>
      <c r="BD331" s="258">
        <f>IFERROR(IF(((N(BD208)+N(BD209)+N(BD210)+N(BD213)+N(BD231)+N(BD234))+N(BD267))&lt;&gt;0,(N(BD208)+N(BD209)+N(BD210)+N(BD213)+N(BD231)+N(BD234))/((N(BD208)+N(BD209)+N(BD210)+N(BD213)+N(BD231)+N(BD234))+BD267),""),"")</f>
        <v>0.00356726538292277</v>
      </c>
      <c r="BE331" s="258">
        <f>IFERROR(IF(((N(BE208)+N(BE209)+N(BE210)+N(BE213)+N(BE231)+N(BE234))+N(BE267))&lt;&gt;0,(N(BE208)+N(BE209)+N(BE210)+N(BE213)+N(BE231)+N(BE234))/((N(BE208)+N(BE209)+N(BE210)+N(BE213)+N(BE231)+N(BE234))+BE267),""),"")</f>
        <v>0.0030935910126208</v>
      </c>
      <c r="BF331" s="258">
        <f>IFERROR(IF(((N(BF208)+N(BF209)+N(BF210)+N(BF213)+N(BF231)+N(BF234))+N(BF267))&lt;&gt;0,(N(BF208)+N(BF209)+N(BF210)+N(BF213)+N(BF231)+N(BF234))/((N(BF208)+N(BF209)+N(BF210)+N(BF213)+N(BF231)+N(BF234))+BF267),""),"")</f>
        <v>0.0030935910126208</v>
      </c>
      <c r="BG331" s="80" t="n"/>
      <c r="BH331" s="80" t="n"/>
      <c r="BI331" s="80" t="n"/>
      <c r="BJ331" s="80" t="n"/>
      <c r="BL331" s="80" t="n"/>
      <c r="BM331" s="80" t="n"/>
      <c r="BN331" s="80" t="n"/>
      <c r="BO331" s="80" t="n"/>
      <c r="BQ331" s="80" t="n"/>
      <c r="BR331" s="80" t="n"/>
      <c r="BS331" s="80" t="n"/>
      <c r="BT331" s="80" t="n"/>
      <c r="BV331" s="80" t="n"/>
      <c r="BW331" s="80" t="n"/>
      <c r="BX331" s="80" t="n"/>
      <c r="BY331" s="80" t="n"/>
      <c r="CA331" s="80" t="n"/>
      <c r="CB331" s="80" t="n"/>
      <c r="CC331" s="80" t="n"/>
      <c r="CD331" s="80" t="n"/>
      <c r="CF331" s="80" t="n"/>
      <c r="CG331" s="80" t="n"/>
      <c r="CH331" s="80" t="n"/>
      <c r="CI331" s="80" t="n"/>
      <c r="CK331" s="80" t="n"/>
      <c r="CL331" s="80" t="n"/>
      <c r="CM331" s="80" t="n"/>
      <c r="CN331" s="80" t="n"/>
      <c r="CP331" s="80" t="n"/>
      <c r="CQ331" s="80" t="n"/>
      <c r="CR331" s="80" t="n"/>
      <c r="CS331" s="80" t="n"/>
      <c r="CU331" s="80" t="n"/>
      <c r="CV331" s="80" t="n"/>
      <c r="CW331" s="80" t="n"/>
      <c r="CX331" s="80" t="n"/>
    </row>
    <row r="332" customFormat="1" s="77">
      <c r="A332" s="76" t="n"/>
      <c r="B332" s="76" t="n"/>
      <c r="C332" s="77" t="inlineStr">
        <is>
          <t>NET DEBT / EBITDA (LTM)</t>
        </is>
      </c>
      <c r="D332" s="82" t="str">
        <f>IFERROR(SUM((D208+D209+D210+D213+D231)-D140)/(D65*4),"")</f>
        <v/>
      </c>
      <c r="E332" s="82" t="str">
        <f>IFERROR(SUM((E208+E209+E210+E213+E231)-E140)/(E65*4),"")</f>
        <v/>
      </c>
      <c r="F332" s="82" t="str">
        <f>IFERROR(SUM((F208+F209+F210+F213+F231)-F140)/(F65*4),"")</f>
        <v/>
      </c>
      <c r="G332" s="82" t="str">
        <f>IFERROR(SUM((G208+G209+G210+G213+G231)-G140)/(G65*4),"")</f>
        <v/>
      </c>
      <c r="H332" s="262" t="str">
        <f>IFERROR(IF(AND(COUNT(H65)=1,(H65)&lt;&gt;0),((N(H208)+N(H209)+N(H210)+N(H213)+N(H231)+N(H234))-N(H140))/(H65),""),"")</f>
        <v/>
      </c>
      <c r="I332" s="262" t="str">
        <f>""</f>
        <v/>
      </c>
      <c r="J332" s="262" t="str">
        <f>""</f>
        <v/>
      </c>
      <c r="K332" s="262" t="str">
        <f>""</f>
        <v/>
      </c>
      <c r="L332" s="262">
        <f>IFERROR(IF(AND(COUNT(I65,J65,K65,L65)=4,(I65+J65+K65+L65)&lt;&gt;0),((N(L208)+N(L209)+N(L210)+N(L213)+N(L231)+N(L234))-N(L140))/(I65+J65+K65+L65),""),"")</f>
        <v>-0.140869444829018</v>
      </c>
      <c r="M332" s="262">
        <f>IFERROR(IF(AND(COUNT(I65,J65,K65,L65)=4,(I65+J65+K65+L65)&lt;&gt;0),((N(M208)+N(M209)+N(M210)+N(M213)+N(M231)+N(M234))-N(M140))/(I65+J65+K65+L65),""),"")</f>
        <v>-0.140869444829018</v>
      </c>
      <c r="N332" s="262">
        <f>IFERROR(IF(AND(COUNT(J65,K65,L65,N65)=4,(J65+K65+L65+N65)&lt;&gt;0),((N(N208)+N(N209)+N(N210)+N(N213)+N(N231)+N(N234))-N(N140))/(J65+K65+L65+N65),""),"")</f>
        <v>-0.151979179276117</v>
      </c>
      <c r="O332" s="262">
        <f>IFERROR(IF(AND(COUNT(K65,L65,N65,O65)=4,(K65+L65+N65+O65)&lt;&gt;0),((N(O208)+N(O209)+N(O210)+N(O213)+N(O231)+N(O234))-N(O140))/(K65+L65+N65+O65),""),"")</f>
        <v>-0.146462119948863</v>
      </c>
      <c r="P332" s="262">
        <f>IFERROR(IF(AND(COUNT(L65,N65,O65,P65)=4,(L65+N65+O65+P65)&lt;&gt;0),((N(P208)+N(P209)+N(P210)+N(P213)+N(P231)+N(P234))-N(P140))/(L65+N65+O65+P65),""),"")</f>
        <v>-0.107920085622547</v>
      </c>
      <c r="Q332" s="262">
        <f>IFERROR(IF(AND(COUNT(N65,O65,P65,Q65)=4,(N65+O65+P65+Q65)&lt;&gt;0),((N(Q208)+N(Q209)+N(Q210)+N(Q213)+N(Q231)+N(Q234))-N(Q140))/(N65+O65+P65+Q65),""),"")</f>
        <v>0.0217177396682598</v>
      </c>
      <c r="R332" s="262">
        <f>IFERROR(IF(AND(COUNT(N65,O65,P65,Q65)=4,(N65+O65+P65+Q65)&lt;&gt;0),((N(R208)+N(R209)+N(R210)+N(R213)+N(R231)+N(R234))-N(R140))/(N65+O65+P65+Q65),""),"")</f>
        <v>0.0217177396682598</v>
      </c>
      <c r="S332" s="262">
        <f>IFERROR(IF(AND(COUNT(O65,P65,Q65,S65)=4,(O65+P65+Q65+S65)&lt;&gt;0),((N(S208)+N(S209)+N(S210)+N(S213)+N(S231)+N(S234))-N(S140))/(O65+P65+Q65+S65),""),"")</f>
        <v>0.215680133625639</v>
      </c>
      <c r="T332" s="262">
        <f>IFERROR(IF(AND(COUNT(P65,Q65,S65,T65)=4,(P65+Q65+S65+T65)&lt;&gt;0),((N(T208)+N(T209)+N(T210)+N(T213)+N(T231)+N(T234))-N(T140))/(P65+Q65+S65+T65),""),"")</f>
        <v>0.706405334410992</v>
      </c>
      <c r="U332" s="262">
        <f>IFERROR(IF(AND(COUNT(Q65,S65,T65,U65)=4,(Q65+S65+T65+U65)&lt;&gt;0),((N(U208)+N(U209)+N(U210)+N(U213)+N(U231)+N(U234))-N(U140))/(Q65+S65+T65+U65),""),"")</f>
        <v>2.15763301839881</v>
      </c>
      <c r="V332" s="262">
        <f>IFERROR(IF(AND(COUNT(S65,T65,U65,V65)=4,(S65+T65+U65+V65)&lt;&gt;0),((N(V208)+N(V209)+N(V210)+N(V213)+N(V231)+N(V234))-N(V140))/(S65+T65+U65+V65),""),"")</f>
        <v>4.65745856353591</v>
      </c>
      <c r="W332" s="262">
        <f>IFERROR(IF(AND(COUNT(S65,T65,U65,V65)=4,(S65+T65+U65+V65)&lt;&gt;0),((N(W208)+N(W209)+N(W210)+N(W213)+N(W231)+N(W234))-N(W140))/(S65+T65+U65+V65),""),"")</f>
        <v>4.65745856353591</v>
      </c>
      <c r="X332" s="262">
        <f>IFERROR(IF(AND(COUNT(T65,U65,V65,X65)=4,(T65+U65+V65+X65)&lt;&gt;0),((N(X208)+N(X209)+N(X210)+N(X213)+N(X231)+N(X234))-N(X140))/(T65+U65+V65+X65),""),"")</f>
        <v>1.49045480067378</v>
      </c>
      <c r="Y332" s="262">
        <f>IFERROR(IF(AND(COUNT(U65,V65,X65,Y65)=4,(U65+V65+X65+Y65)&lt;&gt;0),((N(Y208)+N(Y209)+N(Y210)+N(Y213)+N(Y231)+N(Y234))-N(Y140))/(U65+V65+X65+Y65),""),"")</f>
        <v>0.908458864426419</v>
      </c>
      <c r="Z332" s="262">
        <f>IFERROR(IF(AND(COUNT(V65,X65,Y65,Z65)=4,(V65+X65+Y65+Z65)&lt;&gt;0),((N(Z208)+N(Z209)+N(Z210)+N(Z213)+N(Z231)+N(Z234))-N(Z140))/(V65+X65+Y65+Z65),""),"")</f>
        <v>0.649603698811097</v>
      </c>
      <c r="AA332" s="262">
        <f>IFERROR(IF(AND(COUNT(X65,Y65,Z65,AA65)=4,(X65+Y65+Z65+AA65)&lt;&gt;0),((N(AA208)+N(AA209)+N(AA210)+N(AA213)+N(AA231)+N(AA234))-N(AA140))/(X65+Y65+Z65+AA65),""),"")</f>
        <v>0.542756579473642</v>
      </c>
      <c r="AB332" s="262">
        <f>IFERROR(IF(AND(COUNT(X65,Y65,Z65,AA65)=4,(X65+Y65+Z65+AA65)&lt;&gt;0),((N(AB208)+N(AB209)+N(AB210)+N(AB213)+N(AB231)+N(AB234))-N(AB140))/(X65+Y65+Z65+AA65),""),"")</f>
        <v>0.542756579473642</v>
      </c>
      <c r="AC332" s="262">
        <f>IFERROR(IF(AND(COUNT(Y65,Z65,AA65,AC65)=4,(Y65+Z65+AA65+AC65)&lt;&gt;0),((N(AC208)+N(AC209)+N(AC210)+N(AC213)+N(AC231)+N(AC234))-N(AC140))/(Y65+Z65+AA65+AC65),""),"")</f>
        <v>0.47331085826661</v>
      </c>
      <c r="AD332" s="262">
        <f>IFERROR(IF(AND(COUNT(Z65,AA65,AC65,AD65)=4,(Z65+AA65+AC65+AD65)&lt;&gt;0),((N(AD208)+N(AD209)+N(AD210)+N(AD213)+N(AD231)+N(AD234))-N(AD140))/(Z65+AA65+AC65+AD65),""),"")</f>
        <v>0.336766285461553</v>
      </c>
      <c r="AE332" s="262">
        <f>IFERROR(IF(AND(COUNT(AA65,AC65,AD65,AE65)=4,(AA65+AC65+AD65+AE65)&lt;&gt;0),((N(AE208)+N(AE209)+N(AE210)+N(AE213)+N(AE231)+N(AE234))-N(AE140))/(AA65+AC65+AD65+AE65),""),"")</f>
        <v>0.274307471581503</v>
      </c>
      <c r="AF332" s="262">
        <f>IFERROR(IF(AND(COUNT(AB65,AD65,AE65,AF65)=4,(AB65+AD65+AE65+AF65)&lt;&gt;0),((N(AF208)+N(AF209)+N(AF210)+N(AF213)+N(AF231)+N(AF234))-N(AF140))/(AB65+AD65+AE65+AF65),""),"")</f>
        <v>0.0681546174995957</v>
      </c>
      <c r="AG332" s="262">
        <f>IFERROR(IF(AND(COUNT(AC65,AD65,AE65,AF65)=4,(AC65+AD65+AE65+AF65)&lt;&gt;0),((N(AG208)+N(AG209)+N(AG210)+N(AG213)+N(AG231)+N(AG234))-N(AG140))/(AC65+AD65+AE65+AF65),""),"")</f>
        <v>0.0946285816940627</v>
      </c>
      <c r="AH332" s="262">
        <f>IFERROR(IF(AND(COUNT(AD65,AF65,AG65,AH65)=4,(AD65+AF65+AG65+AH65)&lt;&gt;0),((N(AH208)+N(AH209)+N(AH210)+N(AH213)+N(AH231)+N(AH234))-N(AH140))/(AD65+AF65+AG65+AH65),""),"")</f>
        <v>-0.0711283725468123</v>
      </c>
      <c r="AI332" s="262">
        <f>IFERROR(IF(AND(COUNT(AE65,AG65,AH65,AI65)=4,(AE65+AG65+AH65+AI65)&lt;&gt;0),((N(AI208)+N(AI209)+N(AI210)+N(AI213)+N(AI231)+N(AI234))-N(AI140))/(AE65+AG65+AH65+AI65),""),"")</f>
        <v>-0.239083872852066</v>
      </c>
      <c r="AJ332" s="262">
        <f>IFERROR(IF(AND(COUNT(AF65,AH65,AI65,AJ65)=4,(AF65+AH65+AI65+AJ65)&lt;&gt;0),((N(AJ208)+N(AJ209)+N(AJ210)+N(AJ213)+N(AJ231)+N(AJ234))-N(AJ140))/(AF65+AH65+AI65+AJ65),""),"")</f>
        <v>-0.446733092690448</v>
      </c>
      <c r="AK332" s="262">
        <f>IFERROR(IF(AND(COUNT(AH65,AI65,AJ65,AK65)=4,(AH65+AI65+AJ65+AK65)&lt;&gt;0),((N(AK208)+N(AK209)+N(AK210)+N(AK213)+N(AK231)+N(AK234))-N(AK140))/(AH65+AI65+AJ65+AK65),""),"")</f>
        <v>-0.458817574247012</v>
      </c>
      <c r="AL332" s="262">
        <f>IFERROR(IF(AND(COUNT(AH65,AI65,AJ65,AK65)=4,(AH65+AI65+AJ65+AK65)&lt;&gt;0),((N(AL208)+N(AL209)+N(AL210)+N(AL213)+N(AL231)+N(AL234))-N(AL140))/(AH65+AI65+AJ65+AK65),""),"")</f>
        <v>-0.458817574247012</v>
      </c>
      <c r="AM332" s="262">
        <f>IFERROR(IF(AND(COUNT(AI65,AJ65,AK65,AM65)=4,(AI65+AJ65+AK65+AM65)&lt;&gt;0),((N(AM208)+N(AM209)+N(AM210)+N(AM213)+N(AM231)+N(AM234))-N(AM140))/(AI65+AJ65+AK65+AM65),""),"")</f>
        <v>-0.397095347665793</v>
      </c>
      <c r="AN332" s="262">
        <f>IFERROR(IF(AND(COUNT(AJ65,AK65,AM65,AN65)=4,(AJ65+AK65+AM65+AN65)&lt;&gt;0),((N(AN208)+N(AN209)+N(AN210)+N(AN213)+N(AN231)+N(AN234))-N(AN140))/(AJ65+AK65+AM65+AN65),""),"")</f>
        <v>-0.345581993787828</v>
      </c>
      <c r="AO332" s="262">
        <f>IFERROR(IF(AND(COUNT(AK65,AM65,AN65,AO65)=4,(AK65+AM65+AN65+AO65)&lt;&gt;0),((N(AO208)+N(AO209)+N(AO210)+N(AO213)+N(AO231)+N(AO234))-N(AO140))/(AK65+AM65+AN65+AO65),""),"")</f>
        <v>-0.59225513179461</v>
      </c>
      <c r="AP332" s="262">
        <f>IFERROR(IF(AND(COUNT(AM65,AN65,AO65,AP65)=4,(AM65+AN65+AO65+AP65)&lt;&gt;0),((N(AP208)+N(AP209)+N(AP210)+N(AP213)+N(AP231)+N(AP234))-N(AP140))/(AM65+AN65+AO65+AP65),""),"")</f>
        <v>-0.587114895148158</v>
      </c>
      <c r="AQ332" s="262">
        <f>IFERROR(IF(AND(COUNT(AM65,AN65,AO65,AP65)=4,(AM65+AN65+AO65+AP65)&lt;&gt;0),((N(AQ208)+N(AQ209)+N(AQ210)+N(AQ213)+N(AQ231)+N(AQ234))-N(AQ140))/(AM65+AN65+AO65+AP65),""),"")</f>
        <v>-0.587114895148158</v>
      </c>
      <c r="AR332" s="262">
        <f>IFERROR(IF(AND(COUNT(AN65,AO65,AP65,AR65)=4,(AN65+AO65+AP65+AR65)&lt;&gt;0),((N(AR208)+N(AR209)+N(AR210)+N(AR213)+N(AR231)+N(AR234))-N(AR140))/(AN65+AO65+AP65+AR65),""),"")</f>
        <v>-0.480307622569728</v>
      </c>
      <c r="AS332" s="262">
        <f>IFERROR(IF(AND(COUNT(AO65,AP65,AR65,AS65)=4,(AO65+AP65+AR65+AS65)&lt;&gt;0),((N(AS208)+N(AS209)+N(AS210)+N(AS213)+N(AS231)+N(AS234))-N(AS140))/(AO65+AP65+AR65+AS65),""),"")</f>
        <v>-0.372075704299856</v>
      </c>
      <c r="AT332" s="262">
        <f>IFERROR(IF(AND(COUNT(AP65,AR65,AS65,AT65)=4,(AP65+AR65+AS65+AT65)&lt;&gt;0),((N(AT208)+N(AT209)+N(AT210)+N(AT213)+N(AT231)+N(AT234))-N(AT140))/(AP65+AR65+AS65+AT65),""),"")</f>
        <v>-0.615306664039386</v>
      </c>
      <c r="AU332" s="262">
        <f>IFERROR(IF(AND(COUNT(AR65,AS65,AT65,AU65)=4,(AR65+AS65+AT65+AU65)&lt;&gt;0),((N(AU208)+N(AU209)+N(AU210)+N(AU213)+N(AU231)+N(AU234))-N(AU140))/(AR65+AS65+AT65+AU65),""),"")</f>
        <v>-0.607188178065707</v>
      </c>
      <c r="AV332" s="262">
        <f>IFERROR(IF(AND(COUNT(AR65,AS65,AT65,AU65)=4,(AR65+AS65+AT65+AU65)&lt;&gt;0),((N(AV208)+N(AV209)+N(AV210)+N(AV213)+N(AV231)+N(AV234))-N(AV140))/(AR65+AS65+AT65+AU65),""),"")</f>
        <v>-0.607188178065707</v>
      </c>
      <c r="AW332" s="262">
        <f>IFERROR(IF(AND(COUNT(AS65,AT65,AU65,AW65)=4,(AS65+AT65+AU65+AW65)&lt;&gt;0),((N(AW208)+N(AW209)+N(AW210)+N(AW213)+N(AW231)+N(AW234))-N(AW140))/(AS65+AT65+AU65+AW65),""),"")</f>
        <v>-0.493184237142642</v>
      </c>
      <c r="AX332" s="262">
        <f>IFERROR(IF(AND(COUNT(AT65,AU65,AW65,AX65)=4,(AT65+AU65+AW65+AX65)&lt;&gt;0),((N(AX208)+N(AX209)+N(AX210)+N(AX213)+N(AX231)+N(AX234))-N(AX140))/(AT65+AU65+AW65+AX65),""),"")</f>
        <v>-0.38521723812026</v>
      </c>
      <c r="AY332" s="262">
        <f>IFERROR(IF(AND(COUNT(AU65,AW65,AX65,AY65)=4,(AU65+AW65+AX65+AY65)&lt;&gt;0),((N(AY208)+N(AY209)+N(AY210)+N(AY213)+N(AY231)+N(AY234))-N(AY140))/(AU65+AW65+AX65+AY65),""),"")</f>
        <v>-0.626758298369551</v>
      </c>
      <c r="AZ332" s="262">
        <f>IFERROR(IF(AND(COUNT(AW65,AX65,AY65,AZ65)=4,(AW65+AX65+AY65+AZ65)&lt;&gt;0),((N(AZ208)+N(AZ209)+N(AZ210)+N(AZ213)+N(AZ231)+N(AZ234))-N(AZ140))/(AW65+AX65+AY65+AZ65),""),"")</f>
        <v>-0.617247014140309</v>
      </c>
      <c r="BA332" s="262">
        <f>IFERROR(IF(AND(COUNT(AW65,AX65,AY65,AZ65)=4,(AW65+AX65+AY65+AZ65)&lt;&gt;0),((N(BA208)+N(BA209)+N(BA210)+N(BA213)+N(BA231)+N(BA234))-N(BA140))/(AW65+AX65+AY65+AZ65),""),"")</f>
        <v>-0.617247014140309</v>
      </c>
      <c r="BB332" s="262">
        <f>IFERROR(IF(AND(COUNT(AX65,AY65,AZ65,BB65)=4,(AX65+AY65+AZ65+BB65)&lt;&gt;0),((N(BB208)+N(BB209)+N(BB210)+N(BB213)+N(BB231)+N(BB234))-N(BB140))/(AX65+AY65+AZ65+BB65),""),"")</f>
        <v>-0.502214853380247</v>
      </c>
      <c r="BC332" s="262">
        <f>IFERROR(IF(AND(COUNT(AY65,AZ65,BB65,BC65)=4,(AY65+AZ65+BB65+BC65)&lt;&gt;0),((N(BC208)+N(BC209)+N(BC210)+N(BC213)+N(BC231)+N(BC234))-N(BC140))/(AY65+AZ65+BB65+BC65),""),"")</f>
        <v>-0.392308657161028</v>
      </c>
      <c r="BD332" s="262">
        <f>IFERROR(IF(AND(COUNT(AZ65,BB65,BC65,BD65)=4,(AZ65+BB65+BC65+BD65)&lt;&gt;0),((N(BD208)+N(BD209)+N(BD210)+N(BD213)+N(BD231)+N(BD234))-N(BD140))/(AZ65+BB65+BC65+BD65),""),"")</f>
        <v>-0.632952797690787</v>
      </c>
      <c r="BE332" s="262">
        <f>IFERROR(IF(AND(COUNT(BB65,BC65,BD65,BE65)=4,(BB65+BC65+BD65+BE65)&lt;&gt;0),((N(BE208)+N(BE209)+N(BE210)+N(BE213)+N(BE231)+N(BE234))-N(BE140))/(BB65+BC65+BD65+BE65),""),"")</f>
        <v>-0.622766841922595</v>
      </c>
      <c r="BF332" s="262">
        <f>IFERROR(IF(AND(COUNT(BB65,BC65,BD65,BE65)=4,(BB65+BC65+BD65+BE65)&lt;&gt;0),((N(BF208)+N(BF209)+N(BF210)+N(BF213)+N(BF231)+N(BF234))-N(BF140))/(BB65+BC65+BD65+BE65),""),"")</f>
        <v>-0.622766841922595</v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83" t="inlineStr">
        <is>
          <t>NET DEBT (EX IFRS 16.) / EBITDA (LTM)</t>
        </is>
      </c>
      <c r="D333" s="82" t="str">
        <f>IFERROR(SUM((D208+D209+D213)-D140)/(D65*4),"")</f>
        <v/>
      </c>
      <c r="E333" s="82" t="str">
        <f>IFERROR(SUM((E208+E209+E213)-E140)/(E65*4),"")</f>
        <v/>
      </c>
      <c r="F333" s="82" t="str">
        <f>IFERROR(SUM((F208+F209+F213)-F140)/(F65*4),"")</f>
        <v/>
      </c>
      <c r="G333" s="82" t="str">
        <f>IFERROR(SUM((G208+G209+G213)-G140)/(G65*4),"")</f>
        <v/>
      </c>
      <c r="H333" s="262" t="str">
        <f>IFERROR(IF(AND(COUNT(H65)=1,(H65)&lt;&gt;0),((N(H208)+N(H209)+N(H213)+N(H234))-N(H140))/(H65),""),"")</f>
        <v/>
      </c>
      <c r="I333" s="262" t="str">
        <f>""</f>
        <v/>
      </c>
      <c r="J333" s="262" t="str">
        <f>""</f>
        <v/>
      </c>
      <c r="K333" s="262" t="str">
        <f>""</f>
        <v/>
      </c>
      <c r="L333" s="262">
        <f>IFERROR(IF(AND(COUNT(I65,J65,K65,L65)=4,(I65+J65+K65+L65)&lt;&gt;0),((N(L208)+N(L209)+N(L213)+N(L234))-N(L140))/(I65+J65+K65+L65),""),"")</f>
        <v>-0.177073238266648</v>
      </c>
      <c r="M333" s="262">
        <f>IFERROR(IF(AND(COUNT(I65,J65,K65,L65)=4,(I65+J65+K65+L65)&lt;&gt;0),((N(M208)+N(M209)+N(M213)+N(M234))-N(M140))/(I65+J65+K65+L65),""),"")</f>
        <v>-0.177073238266648</v>
      </c>
      <c r="N333" s="262">
        <f>IFERROR(IF(AND(COUNT(J65,K65,L65,N65)=4,(J65+K65+L65+N65)&lt;&gt;0),((N(N208)+N(N209)+N(N213)+N(N234))-N(N140))/(J65+K65+L65+N65),""),"")</f>
        <v>-0.184360246943469</v>
      </c>
      <c r="O333" s="262">
        <f>IFERROR(IF(AND(COUNT(K65,L65,N65,O65)=4,(K65+L65+N65+O65)&lt;&gt;0),((N(O208)+N(O209)+N(O213)+N(O234))-N(O140))/(K65+L65+N65+O65),""),"")</f>
        <v>-0.181424045356011</v>
      </c>
      <c r="P333" s="262">
        <f>IFERROR(IF(AND(COUNT(L65,N65,O65,P65)=4,(L65+N65+O65+P65)&lt;&gt;0),((N(P208)+N(P209)+N(P213)+N(P234))-N(P140))/(L65+N65+O65+P65),""),"")</f>
        <v>-0.144190748008087</v>
      </c>
      <c r="Q333" s="262">
        <f>IFERROR(IF(AND(COUNT(N65,O65,P65,Q65)=4,(N65+O65+P65+Q65)&lt;&gt;0),((N(Q208)+N(Q209)+N(Q213)+N(Q234))-N(Q140))/(N65+O65+P65+Q65),""),"")</f>
        <v>-0.0222097272982851</v>
      </c>
      <c r="R333" s="262">
        <f>IFERROR(IF(AND(COUNT(N65,O65,P65,Q65)=4,(N65+O65+P65+Q65)&lt;&gt;0),((N(R208)+N(R209)+N(R213)+N(R234))-N(R140))/(N65+O65+P65+Q65),""),"")</f>
        <v>-0.0222097272982851</v>
      </c>
      <c r="S333" s="262">
        <f>IFERROR(IF(AND(COUNT(O65,P65,Q65,S65)=4,(O65+P65+Q65+S65)&lt;&gt;0),((N(S208)+N(S209)+N(S213)+N(S234))-N(S140))/(O65+P65+Q65+S65),""),"")</f>
        <v>0.151999164839754</v>
      </c>
      <c r="T333" s="262">
        <f>IFERROR(IF(AND(COUNT(P65,Q65,S65,T65)=4,(P65+Q65+S65+T65)&lt;&gt;0),((N(T208)+N(T209)+N(T213)+N(T234))-N(T140))/(P65+Q65+S65+T65),""),"")</f>
        <v>0.584562537886442</v>
      </c>
      <c r="U333" s="262">
        <f>IFERROR(IF(AND(COUNT(Q65,S65,T65,U65)=4,(Q65+S65+T65+U65)&lt;&gt;0),((N(U208)+N(U209)+N(U213)+N(U234))-N(U140))/(Q65+S65+T65+U65),""),"")</f>
        <v>1.85778219791149</v>
      </c>
      <c r="V333" s="262">
        <f>IFERROR(IF(AND(COUNT(S65,T65,U65,V65)=4,(S65+T65+U65+V65)&lt;&gt;0),((N(V208)+N(V209)+N(V213)+N(V234))-N(V140))/(S65+T65+U65+V65),""),"")</f>
        <v>4.10405156537753</v>
      </c>
      <c r="W333" s="262">
        <f>IFERROR(IF(AND(COUNT(S65,T65,U65,V65)=4,(S65+T65+U65+V65)&lt;&gt;0),((N(W208)+N(W209)+N(W213)+N(W234))-N(W140))/(S65+T65+U65+V65),""),"")</f>
        <v>4.10405156537753</v>
      </c>
      <c r="X333" s="262">
        <f>IFERROR(IF(AND(COUNT(T65,U65,V65,X65)=4,(T65+U65+V65+X65)&lt;&gt;0),((N(X208)+N(X209)+N(X213)+N(X234))-N(X140))/(T65+U65+V65+X65),""),"")</f>
        <v>1.32397529477821</v>
      </c>
      <c r="Y333" s="262">
        <f>IFERROR(IF(AND(COUNT(U65,V65,X65,Y65)=4,(U65+V65+X65+Y65)&lt;&gt;0),((N(Y208)+N(Y209)+N(Y213)+N(Y234))-N(Y140))/(U65+V65+X65+Y65),""),"")</f>
        <v>0.807647740440325</v>
      </c>
      <c r="Z333" s="262">
        <f>IFERROR(IF(AND(COUNT(V65,X65,Y65,Z65)=4,(V65+X65+Y65+Z65)&lt;&gt;0),((N(Z208)+N(Z209)+N(Z213)+N(Z234))-N(Z140))/(V65+X65+Y65+Z65),""),"")</f>
        <v>0.582452664024659</v>
      </c>
      <c r="AA333" s="262">
        <f>IFERROR(IF(AND(COUNT(X65,Y65,Z65,AA65)=4,(X65+Y65+Z65+AA65)&lt;&gt;0),((N(AA208)+N(AA209)+N(AA213)+N(AA234))-N(AA140))/(X65+Y65+Z65+AA65),""),"")</f>
        <v>0.49572034237261</v>
      </c>
      <c r="AB333" s="262">
        <f>IFERROR(IF(AND(COUNT(X65,Y65,Z65,AA65)=4,(X65+Y65+Z65+AA65)&lt;&gt;0),((N(AB208)+N(AB209)+N(AB213)+N(AB234))-N(AB140))/(X65+Y65+Z65+AA65),""),"")</f>
        <v>0.49572034237261</v>
      </c>
      <c r="AC333" s="262">
        <f>IFERROR(IF(AND(COUNT(Y65,Z65,AA65,AC65)=4,(Y65+Z65+AA65+AC65)&lt;&gt;0),((N(AC208)+N(AC209)+N(AC213)+N(AC234))-N(AC140))/(Y65+Z65+AA65+AC65),""),"")</f>
        <v>0.431240342744768</v>
      </c>
      <c r="AD333" s="262">
        <f>IFERROR(IF(AND(COUNT(Z65,AA65,AC65,AD65)=4,(Z65+AA65+AC65+AD65)&lt;&gt;0),((N(AD208)+N(AD209)+N(AD213)+N(AD234))-N(AD140))/(Z65+AA65+AC65+AD65),""),"")</f>
        <v>0.298856384659127</v>
      </c>
      <c r="AE333" s="262">
        <f>IFERROR(IF(AND(COUNT(AA65,AC65,AD65,AE65)=4,(AA65+AC65+AD65+AE65)&lt;&gt;0),((N(AE208)+N(AE209)+N(AE213)+N(AE234))-N(AE140))/(AA65+AC65+AD65+AE65),""),"")</f>
        <v>0.235625206930802</v>
      </c>
      <c r="AF333" s="262">
        <f>IFERROR(IF(AND(COUNT(AB65,AD65,AE65,AF65)=4,(AB65+AD65+AE65+AF65)&lt;&gt;0),((N(AF208)+N(AF209)+N(AF213)+N(AF234))-N(AF140))/(AB65+AD65+AE65+AF65),""),"")</f>
        <v>0.04651463690765</v>
      </c>
      <c r="AG333" s="262">
        <f>IFERROR(IF(AND(COUNT(AC65,AD65,AE65,AF65)=4,(AC65+AD65+AE65+AF65)&lt;&gt;0),((N(AG208)+N(AG209)+N(AG213)+N(AG234))-N(AG140))/(AC65+AD65+AE65+AF65),""),"")</f>
        <v>0.0645827719392796</v>
      </c>
      <c r="AH333" s="262">
        <f>IFERROR(IF(AND(COUNT(AD65,AF65,AG65,AH65)=4,(AD65+AF65+AG65+AH65)&lt;&gt;0),((N(AH208)+N(AH209)+N(AH213)+N(AH234))-N(AH140))/(AD65+AF65+AG65+AH65),""),"")</f>
        <v>-0.083436526698938</v>
      </c>
      <c r="AI333" s="262">
        <f>IFERROR(IF(AND(COUNT(AE65,AG65,AH65,AI65)=4,(AE65+AG65+AH65+AI65)&lt;&gt;0),((N(AI208)+N(AI209)+N(AI213)+N(AI234))-N(AI140))/(AE65+AG65+AH65+AI65),""),"")</f>
        <v>-0.247042788297717</v>
      </c>
      <c r="AJ333" s="262">
        <f>IFERROR(IF(AND(COUNT(AF65,AH65,AI65,AJ65)=4,(AF65+AH65+AI65+AJ65)&lt;&gt;0),((N(AJ208)+N(AJ209)+N(AJ213)+N(AJ234))-N(AJ140))/(AF65+AH65+AI65+AJ65),""),"")</f>
        <v>-0.455142332281187</v>
      </c>
      <c r="AK333" s="262">
        <f>IFERROR(IF(AND(COUNT(AH65,AI65,AJ65,AK65)=4,(AH65+AI65+AJ65+AK65)&lt;&gt;0),((N(AK208)+N(AK209)+N(AK213)+N(AK234))-N(AK140))/(AH65+AI65+AJ65+AK65),""),"")</f>
        <v>-0.466258158294209</v>
      </c>
      <c r="AL333" s="262">
        <f>IFERROR(IF(AND(COUNT(AH65,AI65,AJ65,AK65)=4,(AH65+AI65+AJ65+AK65)&lt;&gt;0),((N(AL208)+N(AL209)+N(AL213)+N(AL234))-N(AL140))/(AH65+AI65+AJ65+AK65),""),"")</f>
        <v>-0.466258158294209</v>
      </c>
      <c r="AM333" s="262">
        <f>IFERROR(IF(AND(COUNT(AI65,AJ65,AK65,AM65)=4,(AI65+AJ65+AK65+AM65)&lt;&gt;0),((N(AM208)+N(AM209)+N(AM213)+N(AM234))-N(AM140))/(AI65+AJ65+AK65+AM65),""),"")</f>
        <v>-0.403520848379299</v>
      </c>
      <c r="AN333" s="262">
        <f>IFERROR(IF(AND(COUNT(AJ65,AK65,AM65,AN65)=4,(AJ65+AK65+AM65+AN65)&lt;&gt;0),((N(AN208)+N(AN209)+N(AN213)+N(AN234))-N(AN140))/(AJ65+AK65+AM65+AN65),""),"")</f>
        <v>-0.350932488094879</v>
      </c>
      <c r="AO333" s="262">
        <f>IFERROR(IF(AND(COUNT(AK65,AM65,AN65,AO65)=4,(AK65+AM65+AN65+AO65)&lt;&gt;0),((N(AO208)+N(AO209)+N(AO213)+N(AO234))-N(AO140))/(AK65+AM65+AN65+AO65),""),"")</f>
        <v>-0.596906515013009</v>
      </c>
      <c r="AP333" s="262">
        <f>IFERROR(IF(AND(COUNT(AM65,AN65,AO65,AP65)=4,(AM65+AN65+AO65+AP65)&lt;&gt;0),((N(AP208)+N(AP209)+N(AP213)+N(AP234))-N(AP140))/(AM65+AN65+AO65+AP65),""),"")</f>
        <v>-0.591133208797878</v>
      </c>
      <c r="AQ333" s="262">
        <f>IFERROR(IF(AND(COUNT(AM65,AN65,AO65,AP65)=4,(AM65+AN65+AO65+AP65)&lt;&gt;0),((N(AQ208)+N(AQ209)+N(AQ213)+N(AQ234))-N(AQ140))/(AM65+AN65+AO65+AP65),""),"")</f>
        <v>-0.591133208797878</v>
      </c>
      <c r="AR333" s="262">
        <f>IFERROR(IF(AND(COUNT(AN65,AO65,AP65,AR65)=4,(AN65+AO65+AP65+AR65)&lt;&gt;0),((N(AR208)+N(AR209)+N(AR213)+N(AR234))-N(AR140))/(AN65+AO65+AP65+AR65),""),"")</f>
        <v>-0.483555961338423</v>
      </c>
      <c r="AS333" s="262">
        <f>IFERROR(IF(AND(COUNT(AO65,AP65,AR65,AS65)=4,(AO65+AP65+AR65+AS65)&lt;&gt;0),((N(AS208)+N(AS209)+N(AS213)+N(AS234))-N(AS140))/(AO65+AP65+AR65+AS65),""),"")</f>
        <v>-0.374512700120941</v>
      </c>
      <c r="AT333" s="262">
        <f>IFERROR(IF(AND(COUNT(AP65,AR65,AS65,AT65)=4,(AP65+AR65+AS65+AT65)&lt;&gt;0),((N(AT208)+N(AT209)+N(AT213)+N(AT234))-N(AT140))/(AP65+AR65+AS65+AT65),""),"")</f>
        <v>-0.617425935166597</v>
      </c>
      <c r="AU333" s="262">
        <f>IFERROR(IF(AND(COUNT(AR65,AS65,AT65,AU65)=4,(AR65+AS65+AT65+AU65)&lt;&gt;0),((N(AU208)+N(AU209)+N(AU213)+N(AU234))-N(AU140))/(AR65+AS65+AT65+AU65),""),"")</f>
        <v>-0.609019557095755</v>
      </c>
      <c r="AV333" s="262">
        <f>IFERROR(IF(AND(COUNT(AR65,AS65,AT65,AU65)=4,(AR65+AS65+AT65+AU65)&lt;&gt;0),((N(AV208)+N(AV209)+N(AV213)+N(AV234))-N(AV140))/(AR65+AS65+AT65+AU65),""),"")</f>
        <v>-0.609019557095755</v>
      </c>
      <c r="AW333" s="262">
        <f>IFERROR(IF(AND(COUNT(AS65,AT65,AU65,AW65)=4,(AS65+AT65+AU65+AW65)&lt;&gt;0),((N(AW208)+N(AW209)+N(AW213)+N(AW234))-N(AW140))/(AS65+AT65+AU65+AW65),""),"")</f>
        <v>-0.49466588262409</v>
      </c>
      <c r="AX333" s="262">
        <f>IFERROR(IF(AND(COUNT(AT65,AU65,AW65,AX65)=4,(AT65+AU65+AW65+AX65)&lt;&gt;0),((N(AX208)+N(AX209)+N(AX213)+N(AX234))-N(AX140))/(AT65+AU65+AW65+AX65),""),"")</f>
        <v>-0.386329751856677</v>
      </c>
      <c r="AY333" s="262">
        <f>IFERROR(IF(AND(COUNT(AU65,AW65,AX65,AY65)=4,(AU65+AW65+AX65+AY65)&lt;&gt;0),((N(AY208)+N(AY209)+N(AY213)+N(AY234))-N(AY140))/(AU65+AW65+AX65+AY65),""),"")</f>
        <v>-0.627726088439931</v>
      </c>
      <c r="AZ333" s="262">
        <f>IFERROR(IF(AND(COUNT(AW65,AX65,AY65,AZ65)=4,(AW65+AX65+AY65+AZ65)&lt;&gt;0),((N(AZ208)+N(AZ209)+N(AZ213)+N(AZ234))-N(AZ140))/(AW65+AX65+AY65+AZ65),""),"")</f>
        <v>-0.618083586356618</v>
      </c>
      <c r="BA333" s="262">
        <f>IFERROR(IF(AND(COUNT(AW65,AX65,AY65,AZ65)=4,(AW65+AX65+AY65+AZ65)&lt;&gt;0),((N(BA208)+N(BA209)+N(BA213)+N(BA234))-N(BA140))/(AW65+AX65+AY65+AZ65),""),"")</f>
        <v>-0.618083586356618</v>
      </c>
      <c r="BB333" s="262">
        <f>IFERROR(IF(AND(COUNT(AX65,AY65,AZ65,BB65)=4,(AX65+AY65+AZ65+BB65)&lt;&gt;0),((N(BB208)+N(BB209)+N(BB213)+N(BB234))-N(BB140))/(AX65+AY65+AZ65+BB65),""),"")</f>
        <v>-0.502892211532197</v>
      </c>
      <c r="BC333" s="262">
        <f>IFERROR(IF(AND(COUNT(AY65,AZ65,BB65,BC65)=4,(AY65+AZ65+BB65+BC65)&lt;&gt;0),((N(BC208)+N(BC209)+N(BC213)+N(BC234))-N(BC140))/(AY65+AZ65+BB65+BC65),""),"")</f>
        <v>-0.392817692528678</v>
      </c>
      <c r="BD333" s="262">
        <f>IFERROR(IF(AND(COUNT(AZ65,BB65,BC65,BD65)=4,(AZ65+BB65+BC65+BD65)&lt;&gt;0),((N(BD208)+N(BD209)+N(BD213)+N(BD234))-N(BD140))/(AZ65+BB65+BC65+BD65),""),"")</f>
        <v>-0.633395761561232</v>
      </c>
      <c r="BE333" s="262">
        <f>IFERROR(IF(AND(COUNT(BB65,BC65,BD65,BE65)=4,(BB65+BC65+BD65+BE65)&lt;&gt;0),((N(BE208)+N(BE209)+N(BE213)+N(BE234))-N(BE140))/(BB65+BC65+BD65+BE65),""),"")</f>
        <v>-0.623149862139573</v>
      </c>
      <c r="BF333" s="262">
        <f>IFERROR(IF(AND(COUNT(BB65,BC65,BD65,BE65)=4,(BB65+BC65+BD65+BE65)&lt;&gt;0),((N(BF208)+N(BF209)+N(BF213)+N(BF234))-N(BF140))/(BB65+BC65+BD65+BE65),""),"")</f>
        <v>-0.623149862139573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INTEREST COVERAGE (EBIT / INTEREST, LTM)</t>
        </is>
      </c>
      <c r="D334" s="82" t="str">
        <f>IFERROR(D69/-D70,"")</f>
        <v/>
      </c>
      <c r="E334" s="82" t="str">
        <f>IFERROR(E69/-E70,"")</f>
        <v/>
      </c>
      <c r="F334" s="82" t="str">
        <f>IFERROR(F69/-F70,"")</f>
        <v/>
      </c>
      <c r="G334" s="82" t="str">
        <f>IFERROR(G69/-G70,"")</f>
        <v/>
      </c>
      <c r="H334" s="262" t="str">
        <f>IFERROR(IF(AND(COUNT(H69)=1,(H70)&lt;&gt;0),(H69)/-(H70),""),"")</f>
        <v/>
      </c>
      <c r="I334" s="262" t="str">
        <f>""</f>
        <v/>
      </c>
      <c r="J334" s="262" t="str">
        <f>""</f>
        <v/>
      </c>
      <c r="K334" s="262" t="str">
        <f>""</f>
        <v/>
      </c>
      <c r="L334" s="262">
        <f>IFERROR(IF(AND(COUNT(I69,J69,K69,L69)=4,(I70+J70+K70+L70)&lt;&gt;0),(I69+J69+K69+L69)/-(I70+J70+K70+L70),""),"")</f>
        <v>44.7111111111111</v>
      </c>
      <c r="M334" s="262">
        <f>IFERROR(IF(AND(COUNT(I69,J69,K69,L69)=4,(I70+J70+K70+L70)&lt;&gt;0),(I69+J69+K69+L69)/-(I70+J70+K70+L70),""),"")</f>
        <v>44.7111111111111</v>
      </c>
      <c r="N334" s="262">
        <f>IFERROR(IF(AND(COUNT(J69,K69,L69,N69)=4,(J70+K70+L70+N70)&lt;&gt;0),(J69+K69+L69+N69)/-(J70+K70+L70+N70),""),"")</f>
        <v>51.4559585492228</v>
      </c>
      <c r="O334" s="262">
        <f>IFERROR(IF(AND(COUNT(K69,L69,N69,O69)=4,(K70+L70+N70+O70)&lt;&gt;0),(K69+L69+N69+O69)/-(K70+L70+N70+O70),""),"")</f>
        <v>58.303664921466</v>
      </c>
      <c r="P334" s="262">
        <f>IFERROR(IF(AND(COUNT(L69,N69,O69,P69)=4,(L70+N70+O70+P70)&lt;&gt;0),(L69+N69+O69+P69)/-(L70+N70+O70+P70),""),"")</f>
        <v>51.3333333333333</v>
      </c>
      <c r="Q334" s="262">
        <f>IFERROR(IF(AND(COUNT(N69,O69,P69,Q69)=4,(N70+O70+P70+Q70)&lt;&gt;0),(N69+O69+P69+Q69)/-(N70+O70+P70+Q70),""),"")</f>
        <v>35.1897435897436</v>
      </c>
      <c r="R334" s="262">
        <f>IFERROR(IF(AND(COUNT(N69,O69,P69,Q69)=4,(N70+O70+P70+Q70)&lt;&gt;0),(N69+O69+P69+Q69)/-(N70+O70+P70+Q70),""),"")</f>
        <v>35.1897435897436</v>
      </c>
      <c r="S334" s="262">
        <f>IFERROR(IF(AND(COUNT(O69,P69,Q69,S69)=4,(O70+P70+Q70+S70)&lt;&gt;0),(O69+P69+Q69+S69)/-(O70+P70+Q70+S70),""),"")</f>
        <v>8.79039301310044</v>
      </c>
      <c r="T334" s="262">
        <f>IFERROR(IF(AND(COUNT(P69,Q69,S69,T69)=4,(P70+Q70+S70+T70)&lt;&gt;0),(P69+Q69+S69+T69)/-(P70+Q70+S70+T70),""),"")</f>
        <v>-9.05263157894737</v>
      </c>
      <c r="U334" s="262">
        <f>IFERROR(IF(AND(COUNT(Q69,S69,T69,U69)=4,(Q70+S70+T70+U70)&lt;&gt;0),(Q69+S69+T69+U69)/-(Q70+S70+T70+U70),""),"")</f>
        <v>-14.8067010309278</v>
      </c>
      <c r="V334" s="262">
        <f>IFERROR(IF(AND(COUNT(S69,T69,U69,V69)=4,(S70+T70+U70+V70)&lt;&gt;0),(S69+T69+U69+V69)/-(S70+T70+U70+V70),""),"")</f>
        <v>-14.2089552238806</v>
      </c>
      <c r="W334" s="262">
        <f>IFERROR(IF(AND(COUNT(S69,T69,U69,V69)=4,(S70+T70+U70+V70)&lt;&gt;0),(S69+T69+U69+V69)/-(S70+T70+U70+V70),""),"")</f>
        <v>-14.2089552238806</v>
      </c>
      <c r="X334" s="262">
        <f>IFERROR(IF(AND(COUNT(T69,U69,V69,X69)=4,(T70+U70+V70+X70)&lt;&gt;0),(T69+U69+V69+X69)/-(T70+U70+V70+X70),""),"")</f>
        <v>-7.95801526717557</v>
      </c>
      <c r="Y334" s="262">
        <f>IFERROR(IF(AND(COUNT(U69,V69,X69,Y69)=4,(U70+V70+X70+Y70)&lt;&gt;0),(U69+V69+X69+Y69)/-(U70+V70+X70+Y70),""),"")</f>
        <v>-3.04504504504505</v>
      </c>
      <c r="Z334" s="262">
        <f>IFERROR(IF(AND(COUNT(V69,X69,Y69,Z69)=4,(V70+X70+Y70+Z70)&lt;&gt;0),(V69+X69+Y69+Z69)/-(V70+X70+Y70+Z70),""),"")</f>
        <v>2.3202846975089</v>
      </c>
      <c r="AA334" s="262">
        <f>IFERROR(IF(AND(COUNT(X69,Y69,Z69,AA69)=4,(X70+Y70+Z70+AA70)&lt;&gt;0),(X69+Y69+Z69+AA69)/-(X70+Y70+Z70+AA70),""),"")</f>
        <v>8.40510948905109</v>
      </c>
      <c r="AB334" s="262">
        <f>IFERROR(IF(AND(COUNT(X69,Y69,Z69,AA69)=4,(X70+Y70+Z70+AA70)&lt;&gt;0),(X69+Y69+Z69+AA69)/-(X70+Y70+Z70+AA70),""),"")</f>
        <v>8.40510948905109</v>
      </c>
      <c r="AC334" s="262">
        <f>IFERROR(IF(AND(COUNT(Y69,Z69,AA69,AC69)=4,(Y70+Z70+AA70+AC70)&lt;&gt;0),(Y69+Z69+AA69+AC69)/-(Y70+Z70+AA70+AC70),""),"")</f>
        <v>11.9922480620155</v>
      </c>
      <c r="AD334" s="262">
        <f>IFERROR(IF(AND(COUNT(Z69,AA69,AC69,AD69)=4,(Z70+AA70+AC70+AD70)&lt;&gt;0),(Z69+AA69+AC69+AD69)/-(Z70+AA70+AC70+AD70),""),"")</f>
        <v>15.6196319018405</v>
      </c>
      <c r="AE334" s="262">
        <f>IFERROR(IF(AND(COUNT(AA69,AC69,AD69,AE69)=4,(AA70+AC70+AD70+AE70)&lt;&gt;0),(AA69+AC69+AD69+AE69)/-(AA70+AC70+AD70+AE70),""),"")</f>
        <v>20.4821802935011</v>
      </c>
      <c r="AF334" s="262">
        <f>IFERROR(IF(AND(COUNT(AB69,AD69,AE69,AF69)=4,(AB70+AD70+AE70+AF70)&lt;&gt;0),(AB69+AD69+AE69+AF69)/-(AB70+AD70+AE70+AF70),""),"")</f>
        <v>19.0621403912543</v>
      </c>
      <c r="AG334" s="262">
        <f>IFERROR(IF(AND(COUNT(AC69,AD69,AE69,AF69)=4,(AC70+AD70+AE70+AF70)&lt;&gt;0),(AC69+AD69+AE69+AF69)/-(AC70+AD70+AE70+AF70),""),"")</f>
        <v>31.7136258660508</v>
      </c>
      <c r="AH334" s="262">
        <f>IFERROR(IF(AND(COUNT(AD69,AF69,AG69,AH69)=4,(AD70+AF70+AG70+AH70)&lt;&gt;0),(AD69+AF69+AG69+AH69)/-(AD70+AF70+AG70+AH70),""),"")</f>
        <v>57.6616314199396</v>
      </c>
      <c r="AI334" s="262">
        <f>IFERROR(IF(AND(COUNT(AE69,AG69,AH69,AI69)=4,(AE70+AG70+AH70+AI70)&lt;&gt;0),(AE69+AG69+AH69+AI69)/-(AE70+AG70+AH70+AI70),""),"")</f>
        <v>113.478777589134</v>
      </c>
      <c r="AJ334" s="262" t="str">
        <f>IFERROR(IF(AND(COUNT(AF69,AH69,AI69,AJ69)=4,(AF70+AH70+AI70+AJ70)&lt;&gt;0),(AF69+AH69+AI69+AJ69)/-(AF70+AH70+AI70+AJ70),""),"")</f>
        <v/>
      </c>
      <c r="AK334" s="262" t="str">
        <f>IFERROR(IF(AND(COUNT(AH69,AI69,AJ69,AK69)=4,(AH70+AI70+AJ70+AK70)&lt;&gt;0),(AH69+AI69+AJ69+AK69)/-(AH70+AI70+AJ70+AK70),""),"")</f>
        <v/>
      </c>
      <c r="AL334" s="262" t="str">
        <f>IFERROR(IF(AND(COUNT(AH69,AI69,AJ69,AK69)=4,(AH70+AI70+AJ70+AK70)&lt;&gt;0),(AH69+AI69+AJ69+AK69)/-(AH70+AI70+AJ70+AK70),""),"")</f>
        <v/>
      </c>
      <c r="AM334" s="262" t="str">
        <f>IFERROR(IF(AND(COUNT(AI69,AJ69,AK69,AM69)=4,(AI70+AJ70+AK70+AM70)&lt;&gt;0),(AI69+AJ69+AK69+AM69)/-(AI70+AJ70+AK70+AM70),""),"")</f>
        <v/>
      </c>
      <c r="AN334" s="262" t="str">
        <f>IFERROR(IF(AND(COUNT(AJ69,AK69,AM69,AN69)=4,(AJ70+AK70+AM70+AN70)&lt;&gt;0),(AJ69+AK69+AM69+AN69)/-(AJ70+AK70+AM70+AN70),""),"")</f>
        <v/>
      </c>
      <c r="AO334" s="262" t="str">
        <f>IFERROR(IF(AND(COUNT(AK69,AM69,AN69,AO69)=4,(AK70+AM70+AN70+AO70)&lt;&gt;0),(AK69+AM69+AN69+AO69)/-(AK70+AM70+AN70+AO70),""),"")</f>
        <v/>
      </c>
      <c r="AP334" s="262" t="str">
        <f>IFERROR(IF(AND(COUNT(AM69,AN69,AO69,AP69)=4,(AM70+AN70+AO70+AP70)&lt;&gt;0),(AM69+AN69+AO69+AP69)/-(AM70+AN70+AO70+AP70),""),"")</f>
        <v/>
      </c>
      <c r="AQ334" s="262" t="str">
        <f>IFERROR(IF(AND(COUNT(AM69,AN69,AO69,AP69)=4,(AM70+AN70+AO70+AP70)&lt;&gt;0),(AM69+AN69+AO69+AP69)/-(AM70+AN70+AO70+AP70),""),"")</f>
        <v/>
      </c>
      <c r="AR334" s="262" t="str">
        <f>IFERROR(IF(AND(COUNT(AN69,AO69,AP69,AR69)=4,(AN70+AO70+AP70+AR70)&lt;&gt;0),(AN69+AO69+AP69+AR69)/-(AN70+AO70+AP70+AR70),""),"")</f>
        <v/>
      </c>
      <c r="AS334" s="262" t="str">
        <f>IFERROR(IF(AND(COUNT(AO69,AP69,AR69,AS69)=4,(AO70+AP70+AR70+AS70)&lt;&gt;0),(AO69+AP69+AR69+AS69)/-(AO70+AP70+AR70+AS70),""),"")</f>
        <v/>
      </c>
      <c r="AT334" s="262" t="str">
        <f>IFERROR(IF(AND(COUNT(AP69,AR69,AS69,AT69)=4,(AP70+AR70+AS70+AT70)&lt;&gt;0),(AP69+AR69+AS69+AT69)/-(AP70+AR70+AS70+AT70),""),"")</f>
        <v/>
      </c>
      <c r="AU334" s="262" t="str">
        <f>IFERROR(IF(AND(COUNT(AR69,AS69,AT69,AU69)=4,(AR70+AS70+AT70+AU70)&lt;&gt;0),(AR69+AS69+AT69+AU69)/-(AR70+AS70+AT70+AU70),""),"")</f>
        <v/>
      </c>
      <c r="AV334" s="262" t="str">
        <f>IFERROR(IF(AND(COUNT(AR69,AS69,AT69,AU69)=4,(AR70+AS70+AT70+AU70)&lt;&gt;0),(AR69+AS69+AT69+AU69)/-(AR70+AS70+AT70+AU70),""),"")</f>
        <v/>
      </c>
      <c r="AW334" s="262" t="str">
        <f>IFERROR(IF(AND(COUNT(AS69,AT69,AU69,AW69)=4,(AS70+AT70+AU70+AW70)&lt;&gt;0),(AS69+AT69+AU69+AW69)/-(AS70+AT70+AU70+AW70),""),"")</f>
        <v/>
      </c>
      <c r="AX334" s="262" t="str">
        <f>IFERROR(IF(AND(COUNT(AT69,AU69,AW69,AX69)=4,(AT70+AU70+AW70+AX70)&lt;&gt;0),(AT69+AU69+AW69+AX69)/-(AT70+AU70+AW70+AX70),""),"")</f>
        <v/>
      </c>
      <c r="AY334" s="262" t="str">
        <f>IFERROR(IF(AND(COUNT(AU69,AW69,AX69,AY69)=4,(AU70+AW70+AX70+AY70)&lt;&gt;0),(AU69+AW69+AX69+AY69)/-(AU70+AW70+AX70+AY70),""),"")</f>
        <v/>
      </c>
      <c r="AZ334" s="262" t="str">
        <f>IFERROR(IF(AND(COUNT(AW69,AX69,AY69,AZ69)=4,(AW70+AX70+AY70+AZ70)&lt;&gt;0),(AW69+AX69+AY69+AZ69)/-(AW70+AX70+AY70+AZ70),""),"")</f>
        <v/>
      </c>
      <c r="BA334" s="262" t="str">
        <f>IFERROR(IF(AND(COUNT(AW69,AX69,AY69,AZ69)=4,(AW70+AX70+AY70+AZ70)&lt;&gt;0),(AW69+AX69+AY69+AZ69)/-(AW70+AX70+AY70+AZ70),""),"")</f>
        <v/>
      </c>
      <c r="BB334" s="262" t="str">
        <f>IFERROR(IF(AND(COUNT(AX69,AY69,AZ69,BB69)=4,(AX70+AY70+AZ70+BB70)&lt;&gt;0),(AX69+AY69+AZ69+BB69)/-(AX70+AY70+AZ70+BB70),""),"")</f>
        <v/>
      </c>
      <c r="BC334" s="262" t="str">
        <f>IFERROR(IF(AND(COUNT(AY69,AZ69,BB69,BC69)=4,(AY70+AZ70+BB70+BC70)&lt;&gt;0),(AY69+AZ69+BB69+BC69)/-(AY70+AZ70+BB70+BC70),""),"")</f>
        <v/>
      </c>
      <c r="BD334" s="262" t="str">
        <f>IFERROR(IF(AND(COUNT(AZ69,BB69,BC69,BD69)=4,(AZ70+BB70+BC70+BD70)&lt;&gt;0),(AZ69+BB69+BC69+BD69)/-(AZ70+BB70+BC70+BD70),""),"")</f>
        <v/>
      </c>
      <c r="BE334" s="262" t="str">
        <f>IFERROR(IF(AND(COUNT(BB69,BC69,BD69,BE69)=4,(BB70+BC70+BD70+BE70)&lt;&gt;0),(BB69+BC69+BD69+BE69)/-(BB70+BC70+BD70+BE70),""),"")</f>
        <v/>
      </c>
      <c r="BF334" s="262" t="str">
        <f>IFERROR(IF(AND(COUNT(BB69,BC69,BD69,BE69)=4,(BB70+BC70+BD70+BE70)&lt;&gt;0),(BB69+BC69+BD69+BE69)/-(BB70+BC70+BD70+BE70),""),"")</f>
        <v/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</row>
    <row r="336" customFormat="1" s="77">
      <c r="A336" s="76" t="n"/>
      <c r="B336" s="76" t="n"/>
      <c r="C336" s="74" t="inlineStr">
        <is>
          <t>INTERNAL LIQUIDITY</t>
        </is>
      </c>
    </row>
    <row r="337" customFormat="1" s="77">
      <c r="A337" s="76" t="n"/>
      <c r="B337" s="76" t="n"/>
      <c r="C337" s="77" t="inlineStr">
        <is>
          <t>CURRENT RATIO</t>
        </is>
      </c>
      <c r="D337" s="82" t="str">
        <f>IFERROR(SUM(D140,D141,D145,D149,D150,D151)/SUM(D194,D198,D200,D201),"")</f>
        <v/>
      </c>
      <c r="E337" s="82" t="str">
        <f>IFERROR(SUM(E140,E141,E145,E149,E150,E151)/SUM(E194,E198,E200,E201),"")</f>
        <v/>
      </c>
      <c r="F337" s="82" t="str">
        <f>IFERROR(SUM(F140,F141,F145,F149,F150,F151)/SUM(F194,F198,F200,F201),"")</f>
        <v/>
      </c>
      <c r="G337" s="82" t="str">
        <f>IFERROR(SUM(G140,G141,G145,G149,G150,G151)/SUM(G194,G198,G200,G201),"")</f>
        <v/>
      </c>
      <c r="H337" s="262" t="str">
        <f>IFERROR(IF((N(H194)+N(H198)+N(H200)+N(H201)+N(H208)+N(H209)+N(H210))&lt;&gt;0,(N(H140)+(N(H141)+N(H145)+N(H149)+N(H150)+N(H151)))/(N(H194)+N(H198)+N(H200)+N(H201)+N(H208)+N(H209)+N(H210)),""),"")</f>
        <v/>
      </c>
      <c r="I337" s="262">
        <f>IFERROR(IF((N(I194)+N(I198)+N(I200)+N(I201)+N(I208)+N(I209)+N(I210))&lt;&gt;0,(N(I140)+(N(I141)+N(I145)+N(I149)+N(I150)+N(I151)))/(N(I194)+N(I198)+N(I200)+N(I201)+N(I208)+N(I209)+N(I210)),""),"")</f>
        <v>3.31400699429413</v>
      </c>
      <c r="J337" s="262">
        <f>IFERROR(IF((N(J194)+N(J198)+N(J200)+N(J201)+N(J208)+N(J209)+N(J210))&lt;&gt;0,(N(J140)+(N(J141)+N(J145)+N(J149)+N(J150)+N(J151)))/(N(J194)+N(J198)+N(J200)+N(J201)+N(J208)+N(J209)+N(J210)),""),"")</f>
        <v>3.54870010984987</v>
      </c>
      <c r="K337" s="262">
        <f>IFERROR(IF((N(K194)+N(K198)+N(K200)+N(K201)+N(K208)+N(K209)+N(K210))&lt;&gt;0,(N(K140)+(N(K141)+N(K145)+N(K149)+N(K150)+N(K151)))/(N(K194)+N(K198)+N(K200)+N(K201)+N(K208)+N(K209)+N(K210)),""),"")</f>
        <v>3.22057907845579</v>
      </c>
      <c r="L337" s="262">
        <f>IFERROR(IF((N(L194)+N(L198)+N(L200)+N(L201)+N(L208)+N(L209)+N(L210))&lt;&gt;0,(N(L140)+(N(L141)+N(L145)+N(L149)+N(L150)+N(L151)))/(N(L194)+N(L198)+N(L200)+N(L201)+N(L208)+N(L209)+N(L210)),""),"")</f>
        <v>3.21514127764128</v>
      </c>
      <c r="M337" s="262">
        <f>IFERROR(IF((N(M194)+N(M198)+N(M200)+N(M201)+N(M208)+N(M209)+N(M210))&lt;&gt;0,(N(M140)+(N(M141)+N(M145)+N(M149)+N(M150)+N(M151)))/(N(M194)+N(M198)+N(M200)+N(M201)+N(M208)+N(M209)+N(M210)),""),"")</f>
        <v>3.21514127764128</v>
      </c>
      <c r="N337" s="262">
        <f>IFERROR(IF((N(N194)+N(N198)+N(N200)+N(N201)+N(N208)+N(N209)+N(N210))&lt;&gt;0,(N(N140)+(N(N141)+N(N145)+N(N149)+N(N150)+N(N151)))/(N(N194)+N(N198)+N(N200)+N(N201)+N(N208)+N(N209)+N(N210)),""),"")</f>
        <v>3.21827117664065</v>
      </c>
      <c r="O337" s="262">
        <f>IFERROR(IF((N(O194)+N(O198)+N(O200)+N(O201)+N(O208)+N(O209)+N(O210))&lt;&gt;0,(N(O140)+(N(O141)+N(O145)+N(O149)+N(O150)+N(O151)))/(N(O194)+N(O198)+N(O200)+N(O201)+N(O208)+N(O209)+N(O210)),""),"")</f>
        <v>3.33713796547296</v>
      </c>
      <c r="P337" s="262">
        <f>IFERROR(IF((N(P194)+N(P198)+N(P200)+N(P201)+N(P208)+N(P209)+N(P210))&lt;&gt;0,(N(P140)+(N(P141)+N(P145)+N(P149)+N(P150)+N(P151)))/(N(P194)+N(P198)+N(P200)+N(P201)+N(P208)+N(P209)+N(P210)),""),"")</f>
        <v>2.98222575938453</v>
      </c>
      <c r="Q337" s="262">
        <f>IFERROR(IF((N(Q194)+N(Q198)+N(Q200)+N(Q201)+N(Q208)+N(Q209)+N(Q210))&lt;&gt;0,(N(Q140)+(N(Q141)+N(Q145)+N(Q149)+N(Q150)+N(Q151)))/(N(Q194)+N(Q198)+N(Q200)+N(Q201)+N(Q208)+N(Q209)+N(Q210)),""),"")</f>
        <v>3.61578544061303</v>
      </c>
      <c r="R337" s="262">
        <f>IFERROR(IF((N(R194)+N(R198)+N(R200)+N(R201)+N(R208)+N(R209)+N(R210))&lt;&gt;0,(N(R140)+(N(R141)+N(R145)+N(R149)+N(R150)+N(R151)))/(N(R194)+N(R198)+N(R200)+N(R201)+N(R208)+N(R209)+N(R210)),""),"")</f>
        <v>3.61578544061303</v>
      </c>
      <c r="S337" s="262">
        <f>IFERROR(IF((N(S194)+N(S198)+N(S200)+N(S201)+N(S208)+N(S209)+N(S210))&lt;&gt;0,(N(S140)+(N(S141)+N(S145)+N(S149)+N(S150)+N(S151)))/(N(S194)+N(S198)+N(S200)+N(S201)+N(S208)+N(S209)+N(S210)),""),"")</f>
        <v>4.29971455756423</v>
      </c>
      <c r="T337" s="262">
        <f>IFERROR(IF((N(T194)+N(T198)+N(T200)+N(T201)+N(T208)+N(T209)+N(T210))&lt;&gt;0,(N(T140)+(N(T141)+N(T145)+N(T149)+N(T150)+N(T151)))/(N(T194)+N(T198)+N(T200)+N(T201)+N(T208)+N(T209)+N(T210)),""),"")</f>
        <v>4.39694357366771</v>
      </c>
      <c r="U337" s="262">
        <f>IFERROR(IF((N(U194)+N(U198)+N(U200)+N(U201)+N(U208)+N(U209)+N(U210))&lt;&gt;0,(N(U140)+(N(U141)+N(U145)+N(U149)+N(U150)+N(U151)))/(N(U194)+N(U198)+N(U200)+N(U201)+N(U208)+N(U209)+N(U210)),""),"")</f>
        <v>4.61699895068206</v>
      </c>
      <c r="V337" s="262">
        <f>IFERROR(IF((N(V194)+N(V198)+N(V200)+N(V201)+N(V208)+N(V209)+N(V210))&lt;&gt;0,(N(V140)+(N(V141)+N(V145)+N(V149)+N(V150)+N(V151)))/(N(V194)+N(V198)+N(V200)+N(V201)+N(V208)+N(V209)+N(V210)),""),"")</f>
        <v>3.6630325394163</v>
      </c>
      <c r="W337" s="262">
        <f>IFERROR(IF((N(W194)+N(W198)+N(W200)+N(W201)+N(W208)+N(W209)+N(W210))&lt;&gt;0,(N(W140)+(N(W141)+N(W145)+N(W149)+N(W150)+N(W151)))/(N(W194)+N(W198)+N(W200)+N(W201)+N(W208)+N(W209)+N(W210)),""),"")</f>
        <v>3.6630325394163</v>
      </c>
      <c r="X337" s="262">
        <f>IFERROR(IF((N(X194)+N(X198)+N(X200)+N(X201)+N(X208)+N(X209)+N(X210))&lt;&gt;0,(N(X140)+(N(X141)+N(X145)+N(X149)+N(X150)+N(X151)))/(N(X194)+N(X198)+N(X200)+N(X201)+N(X208)+N(X209)+N(X210)),""),"")</f>
        <v>3.8502955743729</v>
      </c>
      <c r="Y337" s="262">
        <f>IFERROR(IF((N(Y194)+N(Y198)+N(Y200)+N(Y201)+N(Y208)+N(Y209)+N(Y210))&lt;&gt;0,(N(Y140)+(N(Y141)+N(Y145)+N(Y149)+N(Y150)+N(Y151)))/(N(Y194)+N(Y198)+N(Y200)+N(Y201)+N(Y208)+N(Y209)+N(Y210)),""),"")</f>
        <v>3.49649122807018</v>
      </c>
      <c r="Z337" s="262">
        <f>IFERROR(IF((N(Z194)+N(Z198)+N(Z200)+N(Z201)+N(Z208)+N(Z209)+N(Z210))&lt;&gt;0,(N(Z140)+(N(Z141)+N(Z145)+N(Z149)+N(Z150)+N(Z151)))/(N(Z194)+N(Z198)+N(Z200)+N(Z201)+N(Z208)+N(Z209)+N(Z210)),""),"")</f>
        <v>2.69160899653979</v>
      </c>
      <c r="AA337" s="262">
        <f>IFERROR(IF((N(AA194)+N(AA198)+N(AA200)+N(AA201)+N(AA208)+N(AA209)+N(AA210))&lt;&gt;0,(N(AA140)+(N(AA141)+N(AA145)+N(AA149)+N(AA150)+N(AA151)))/(N(AA194)+N(AA198)+N(AA200)+N(AA201)+N(AA208)+N(AA209)+N(AA210)),""),"")</f>
        <v>2.76949528563505</v>
      </c>
      <c r="AB337" s="262">
        <f>IFERROR(IF((N(AB194)+N(AB198)+N(AB200)+N(AB201)+N(AB208)+N(AB209)+N(AB210))&lt;&gt;0,(N(AB140)+(N(AB141)+N(AB145)+N(AB149)+N(AB150)+N(AB151)))/(N(AB194)+N(AB198)+N(AB200)+N(AB201)+N(AB208)+N(AB209)+N(AB210)),""),"")</f>
        <v>2.76949528563505</v>
      </c>
      <c r="AC337" s="262">
        <f>IFERROR(IF((N(AC194)+N(AC198)+N(AC200)+N(AC201)+N(AC208)+N(AC209)+N(AC210))&lt;&gt;0,(N(AC140)+(N(AC141)+N(AC145)+N(AC149)+N(AC150)+N(AC151)))/(N(AC194)+N(AC198)+N(AC200)+N(AC201)+N(AC208)+N(AC209)+N(AC210)),""),"")</f>
        <v>3.20439253522915</v>
      </c>
      <c r="AD337" s="262">
        <f>IFERROR(IF((N(AD194)+N(AD198)+N(AD200)+N(AD201)+N(AD208)+N(AD209)+N(AD210))&lt;&gt;0,(N(AD140)+(N(AD141)+N(AD145)+N(AD149)+N(AD150)+N(AD151)))/(N(AD194)+N(AD198)+N(AD200)+N(AD201)+N(AD208)+N(AD209)+N(AD210)),""),"")</f>
        <v>2.80236803157375</v>
      </c>
      <c r="AE337" s="262">
        <f>IFERROR(IF((N(AE194)+N(AE198)+N(AE200)+N(AE201)+N(AE208)+N(AE209)+N(AE210))&lt;&gt;0,(N(AE140)+(N(AE141)+N(AE145)+N(AE149)+N(AE150)+N(AE151)))/(N(AE194)+N(AE198)+N(AE200)+N(AE201)+N(AE208)+N(AE209)+N(AE210)),""),"")</f>
        <v>2.5717653221582</v>
      </c>
      <c r="AF337" s="262">
        <f>IFERROR(IF((N(AF194)+N(AF198)+N(AF200)+N(AF201)+N(AF208)+N(AF209)+N(AF210))&lt;&gt;0,(N(AF140)+(N(AF141)+N(AF145)+N(AF149)+N(AF150)+N(AF151)))/(N(AF194)+N(AF198)+N(AF200)+N(AF201)+N(AF208)+N(AF209)+N(AF210)),""),"")</f>
        <v>2.51293532338308</v>
      </c>
      <c r="AG337" s="262">
        <f>IFERROR(IF((N(AG194)+N(AG198)+N(AG200)+N(AG201)+N(AG208)+N(AG209)+N(AG210))&lt;&gt;0,(N(AG140)+(N(AG141)+N(AG145)+N(AG149)+N(AG150)+N(AG151)))/(N(AG194)+N(AG198)+N(AG200)+N(AG201)+N(AG208)+N(AG209)+N(AG210)),""),"")</f>
        <v>2.51293532338308</v>
      </c>
      <c r="AH337" s="262">
        <f>IFERROR(IF((N(AH194)+N(AH198)+N(AH200)+N(AH201)+N(AH208)+N(AH209)+N(AH210))&lt;&gt;0,(N(AH140)+(N(AH141)+N(AH145)+N(AH149)+N(AH150)+N(AH151)))/(N(AH194)+N(AH198)+N(AH200)+N(AH201)+N(AH208)+N(AH209)+N(AH210)),""),"")</f>
        <v>2.9443900391718</v>
      </c>
      <c r="AI337" s="262">
        <f>IFERROR(IF((N(AI194)+N(AI198)+N(AI200)+N(AI201)+N(AI208)+N(AI209)+N(AI210))&lt;&gt;0,(N(AI140)+(N(AI141)+N(AI145)+N(AI149)+N(AI150)+N(AI151)))/(N(AI194)+N(AI198)+N(AI200)+N(AI201)+N(AI208)+N(AI209)+N(AI210)),""),"")</f>
        <v>3.46043719211823</v>
      </c>
      <c r="AJ337" s="262">
        <f>IFERROR(IF((N(AJ194)+N(AJ198)+N(AJ200)+N(AJ201)+N(AJ208)+N(AJ209)+N(AJ210))&lt;&gt;0,(N(AJ140)+(N(AJ141)+N(AJ145)+N(AJ149)+N(AJ150)+N(AJ151)))/(N(AJ194)+N(AJ198)+N(AJ200)+N(AJ201)+N(AJ208)+N(AJ209)+N(AJ210)),""),"")</f>
        <v>3.47528245459654</v>
      </c>
      <c r="AK337" s="262">
        <f>IFERROR(IF((N(AK194)+N(AK198)+N(AK200)+N(AK201)+N(AK208)+N(AK209)+N(AK210))&lt;&gt;0,(N(AK140)+(N(AK141)+N(AK145)+N(AK149)+N(AK150)+N(AK151)))/(N(AK194)+N(AK198)+N(AK200)+N(AK201)+N(AK208)+N(AK209)+N(AK210)),""),"")</f>
        <v>3.45948016301255</v>
      </c>
      <c r="AL337" s="262">
        <f>IFERROR(IF((N(AL194)+N(AL198)+N(AL200)+N(AL201)+N(AL208)+N(AL209)+N(AL210))&lt;&gt;0,(N(AL140)+(N(AL141)+N(AL145)+N(AL149)+N(AL150)+N(AL151)))/(N(AL194)+N(AL198)+N(AL200)+N(AL201)+N(AL208)+N(AL209)+N(AL210)),""),"")</f>
        <v>3.45948016301255</v>
      </c>
      <c r="AM337" s="262">
        <f>IFERROR(IF((N(AM194)+N(AM198)+N(AM200)+N(AM201)+N(AM208)+N(AM209)+N(AM210))&lt;&gt;0,(N(AM140)+(N(AM141)+N(AM145)+N(AM149)+N(AM150)+N(AM151)))/(N(AM194)+N(AM198)+N(AM200)+N(AM201)+N(AM208)+N(AM209)+N(AM210)),""),"")</f>
        <v>2.83332018916475</v>
      </c>
      <c r="AN337" s="262">
        <f>IFERROR(IF((N(AN194)+N(AN198)+N(AN200)+N(AN201)+N(AN208)+N(AN209)+N(AN210))&lt;&gt;0,(N(AN140)+(N(AN141)+N(AN145)+N(AN149)+N(AN150)+N(AN151)))/(N(AN194)+N(AN198)+N(AN200)+N(AN201)+N(AN208)+N(AN209)+N(AN210)),""),"")</f>
        <v>2.48643435178079</v>
      </c>
      <c r="AO337" s="262">
        <f>IFERROR(IF((N(AO194)+N(AO198)+N(AO200)+N(AO201)+N(AO208)+N(AO209)+N(AO210))&lt;&gt;0,(N(AO140)+(N(AO141)+N(AO145)+N(AO149)+N(AO150)+N(AO151)))/(N(AO194)+N(AO198)+N(AO200)+N(AO201)+N(AO208)+N(AO209)+N(AO210)),""),"")</f>
        <v>3.78055452131301</v>
      </c>
      <c r="AP337" s="262">
        <f>IFERROR(IF((N(AP194)+N(AP198)+N(AP200)+N(AP201)+N(AP208)+N(AP209)+N(AP210))&lt;&gt;0,(N(AP140)+(N(AP141)+N(AP145)+N(AP149)+N(AP150)+N(AP151)))/(N(AP194)+N(AP198)+N(AP200)+N(AP201)+N(AP208)+N(AP209)+N(AP210)),""),"")</f>
        <v>3.71515277811834</v>
      </c>
      <c r="AQ337" s="262">
        <f>IFERROR(IF((N(AQ194)+N(AQ198)+N(AQ200)+N(AQ201)+N(AQ208)+N(AQ209)+N(AQ210))&lt;&gt;0,(N(AQ140)+(N(AQ141)+N(AQ145)+N(AQ149)+N(AQ150)+N(AQ151)))/(N(AQ194)+N(AQ198)+N(AQ200)+N(AQ201)+N(AQ208)+N(AQ209)+N(AQ210)),""),"")</f>
        <v>3.71515277811834</v>
      </c>
      <c r="AR337" s="262">
        <f>IFERROR(IF((N(AR194)+N(AR198)+N(AR200)+N(AR201)+N(AR208)+N(AR209)+N(AR210))&lt;&gt;0,(N(AR140)+(N(AR141)+N(AR145)+N(AR149)+N(AR150)+N(AR151)))/(N(AR194)+N(AR198)+N(AR200)+N(AR201)+N(AR208)+N(AR209)+N(AR210)),""),"")</f>
        <v>2.97269951600825</v>
      </c>
      <c r="AS337" s="262">
        <f>IFERROR(IF((N(AS194)+N(AS198)+N(AS200)+N(AS201)+N(AS208)+N(AS209)+N(AS210))&lt;&gt;0,(N(AS140)+(N(AS141)+N(AS145)+N(AS149)+N(AS150)+N(AS151)))/(N(AS194)+N(AS198)+N(AS200)+N(AS201)+N(AS208)+N(AS209)+N(AS210)),""),"")</f>
        <v>2.54606018134818</v>
      </c>
      <c r="AT337" s="262">
        <f>IFERROR(IF((N(AT194)+N(AT198)+N(AT200)+N(AT201)+N(AT208)+N(AT209)+N(AT210))&lt;&gt;0,(N(AT140)+(N(AT141)+N(AT145)+N(AT149)+N(AT150)+N(AT151)))/(N(AT194)+N(AT198)+N(AT200)+N(AT201)+N(AT208)+N(AT209)+N(AT210)),""),"")</f>
        <v>3.94531262130086</v>
      </c>
      <c r="AU337" s="262">
        <f>IFERROR(IF((N(AU194)+N(AU198)+N(AU200)+N(AU201)+N(AU208)+N(AU209)+N(AU210))&lt;&gt;0,(N(AU140)+(N(AU141)+N(AU145)+N(AU149)+N(AU150)+N(AU151)))/(N(AU194)+N(AU198)+N(AU200)+N(AU201)+N(AU208)+N(AU209)+N(AU210)),""),"")</f>
        <v>3.85001154064497</v>
      </c>
      <c r="AV337" s="262">
        <f>IFERROR(IF((N(AV194)+N(AV198)+N(AV200)+N(AV201)+N(AV208)+N(AV209)+N(AV210))&lt;&gt;0,(N(AV140)+(N(AV141)+N(AV145)+N(AV149)+N(AV150)+N(AV151)))/(N(AV194)+N(AV198)+N(AV200)+N(AV201)+N(AV208)+N(AV209)+N(AV210)),""),"")</f>
        <v>3.85001154064497</v>
      </c>
      <c r="AW337" s="262">
        <f>IFERROR(IF((N(AW194)+N(AW198)+N(AW200)+N(AW201)+N(AW208)+N(AW209)+N(AW210))&lt;&gt;0,(N(AW140)+(N(AW141)+N(AW145)+N(AW149)+N(AW150)+N(AW151)))/(N(AW194)+N(AW198)+N(AW200)+N(AW201)+N(AW208)+N(AW209)+N(AW210)),""),"")</f>
        <v>3.0138506011405</v>
      </c>
      <c r="AX337" s="262">
        <f>IFERROR(IF((N(AX194)+N(AX198)+N(AX200)+N(AX201)+N(AX208)+N(AX209)+N(AX210))&lt;&gt;0,(N(AX140)+(N(AX141)+N(AX145)+N(AX149)+N(AX150)+N(AX151)))/(N(AX194)+N(AX198)+N(AX200)+N(AX201)+N(AX208)+N(AX209)+N(AX210)),""),"")</f>
        <v>2.5766060591979</v>
      </c>
      <c r="AY337" s="262">
        <f>IFERROR(IF((N(AY194)+N(AY198)+N(AY200)+N(AY201)+N(AY208)+N(AY209)+N(AY210))&lt;&gt;0,(N(AY140)+(N(AY141)+N(AY145)+N(AY149)+N(AY150)+N(AY151)))/(N(AY194)+N(AY198)+N(AY200)+N(AY201)+N(AY208)+N(AY209)+N(AY210)),""),"")</f>
        <v>4.02961412983046</v>
      </c>
      <c r="AZ337" s="262">
        <f>IFERROR(IF((N(AZ194)+N(AZ198)+N(AZ200)+N(AZ201)+N(AZ208)+N(AZ209)+N(AZ210))&lt;&gt;0,(N(AZ140)+(N(AZ141)+N(AZ145)+N(AZ149)+N(AZ150)+N(AZ151)))/(N(AZ194)+N(AZ198)+N(AZ200)+N(AZ201)+N(AZ208)+N(AZ209)+N(AZ210)),""),"")</f>
        <v>3.91828169413255</v>
      </c>
      <c r="BA337" s="262">
        <f>IFERROR(IF((N(BA194)+N(BA198)+N(BA200)+N(BA201)+N(BA208)+N(BA209)+N(BA210))&lt;&gt;0,(N(BA140)+(N(BA141)+N(BA145)+N(BA149)+N(BA150)+N(BA151)))/(N(BA194)+N(BA198)+N(BA200)+N(BA201)+N(BA208)+N(BA209)+N(BA210)),""),"")</f>
        <v>3.91828169413255</v>
      </c>
      <c r="BB337" s="262">
        <f>IFERROR(IF((N(BB194)+N(BB198)+N(BB200)+N(BB201)+N(BB208)+N(BB209)+N(BB210))&lt;&gt;0,(N(BB140)+(N(BB141)+N(BB145)+N(BB149)+N(BB150)+N(BB151)))/(N(BB194)+N(BB198)+N(BB200)+N(BB201)+N(BB208)+N(BB209)+N(BB210)),""),"")</f>
        <v>3.04686645237732</v>
      </c>
      <c r="BC337" s="262">
        <f>IFERROR(IF((N(BC194)+N(BC198)+N(BC200)+N(BC201)+N(BC208)+N(BC209)+N(BC210))&lt;&gt;0,(N(BC140)+(N(BC141)+N(BC145)+N(BC149)+N(BC150)+N(BC151)))/(N(BC194)+N(BC198)+N(BC200)+N(BC201)+N(BC208)+N(BC209)+N(BC210)),""),"")</f>
        <v>2.59303985370203</v>
      </c>
      <c r="BD337" s="262">
        <f>IFERROR(IF((N(BD194)+N(BD198)+N(BD200)+N(BD201)+N(BD208)+N(BD209)+N(BD210))&lt;&gt;0,(N(BD140)+(N(BD141)+N(BD145)+N(BD149)+N(BD150)+N(BD151)))/(N(BD194)+N(BD198)+N(BD200)+N(BD201)+N(BD208)+N(BD209)+N(BD210)),""),"")</f>
        <v>4.07311383278035</v>
      </c>
      <c r="BE337" s="262">
        <f>IFERROR(IF((N(BE194)+N(BE198)+N(BE200)+N(BE201)+N(BE208)+N(BE209)+N(BE210))&lt;&gt;0,(N(BE140)+(N(BE141)+N(BE145)+N(BE149)+N(BE150)+N(BE151)))/(N(BE194)+N(BE198)+N(BE200)+N(BE201)+N(BE208)+N(BE209)+N(BE210)),""),"")</f>
        <v>3.95340227535949</v>
      </c>
      <c r="BF337" s="262">
        <f>IFERROR(IF((N(BF194)+N(BF198)+N(BF200)+N(BF201)+N(BF208)+N(BF209)+N(BF210))&lt;&gt;0,(N(BF140)+(N(BF141)+N(BF145)+N(BF149)+N(BF150)+N(BF151)))/(N(BF194)+N(BF198)+N(BF200)+N(BF201)+N(BF208)+N(BF209)+N(BF210)),""),"")</f>
        <v>3.95340227535949</v>
      </c>
      <c r="BG337" s="82" t="n"/>
      <c r="BH337" s="82" t="n"/>
      <c r="BI337" s="82" t="n"/>
      <c r="BJ337" s="82" t="n"/>
      <c r="BL337" s="82" t="n"/>
      <c r="BM337" s="82" t="n"/>
      <c r="BN337" s="82" t="n"/>
      <c r="BO337" s="82" t="n"/>
      <c r="BQ337" s="82" t="n"/>
      <c r="BR337" s="82" t="n"/>
      <c r="BS337" s="82" t="n"/>
      <c r="BT337" s="82" t="n"/>
      <c r="BV337" s="82" t="n"/>
      <c r="BW337" s="82" t="n"/>
      <c r="BX337" s="82" t="n"/>
      <c r="BY337" s="82" t="n"/>
      <c r="CA337" s="82" t="n"/>
      <c r="CB337" s="82" t="n"/>
      <c r="CC337" s="82" t="n"/>
      <c r="CD337" s="82" t="n"/>
      <c r="CF337" s="82" t="n"/>
      <c r="CG337" s="82" t="n"/>
      <c r="CH337" s="82" t="n"/>
      <c r="CI337" s="82" t="n"/>
      <c r="CK337" s="82" t="n"/>
      <c r="CL337" s="82" t="n"/>
      <c r="CM337" s="82" t="n"/>
      <c r="CN337" s="82" t="n"/>
      <c r="CP337" s="82" t="n"/>
      <c r="CQ337" s="82" t="n"/>
      <c r="CR337" s="82" t="n"/>
      <c r="CS337" s="82" t="n"/>
      <c r="CU337" s="82" t="n"/>
      <c r="CV337" s="82" t="n"/>
      <c r="CW337" s="82" t="n"/>
      <c r="CX337" s="82" t="n"/>
    </row>
    <row r="338" customFormat="1" s="77">
      <c r="A338" s="76" t="n"/>
      <c r="B338" s="76" t="n"/>
      <c r="C338" s="77" t="inlineStr">
        <is>
          <t>CASH RATIO</t>
        </is>
      </c>
      <c r="D338" s="82" t="str">
        <f>IFERROR(SUM(D140)/SUM(D194,D198,D200,D201),"")</f>
        <v/>
      </c>
      <c r="E338" s="82" t="str">
        <f>IFERROR(SUM(E140)/SUM(E194,E198,E200,E201),"")</f>
        <v/>
      </c>
      <c r="F338" s="82" t="str">
        <f>IFERROR(SUM(F140)/SUM(F194,F198,F200,F201),"")</f>
        <v/>
      </c>
      <c r="G338" s="82" t="str">
        <f>IFERROR(SUM(G140)/SUM(G194,G198,G200,G201),"")</f>
        <v/>
      </c>
      <c r="H338" s="262" t="str">
        <f>IFERROR(IF((N(H194)+N(H198)+N(H200)+N(H201)+N(H208)+N(H209)+N(H210))&lt;&gt;0,N(H140)/(N(H194)+N(H198)+N(H200)+N(H201)+N(H208)+N(H209)+N(H210)),""),"")</f>
        <v/>
      </c>
      <c r="I338" s="262">
        <f>IFERROR(IF((N(I194)+N(I198)+N(I200)+N(I201)+N(I208)+N(I209)+N(I210))&lt;&gt;0,N(I140)/(N(I194)+N(I198)+N(I200)+N(I201)+N(I208)+N(I209)+N(I210)),""),"")</f>
        <v>1.32228971102522</v>
      </c>
      <c r="J338" s="262">
        <f>IFERROR(IF((N(J194)+N(J198)+N(J200)+N(J201)+N(J208)+N(J209)+N(J210))&lt;&gt;0,N(J140)/(N(J194)+N(J198)+N(J200)+N(J201)+N(J208)+N(J209)+N(J210)),""),"")</f>
        <v>1.52856096667887</v>
      </c>
      <c r="K338" s="262">
        <f>IFERROR(IF((N(K194)+N(K198)+N(K200)+N(K201)+N(K208)+N(K209)+N(K210))&lt;&gt;0,N(K140)/(N(K194)+N(K198)+N(K200)+N(K201)+N(K208)+N(K209)+N(K210)),""),"")</f>
        <v>1.34386674968867</v>
      </c>
      <c r="L338" s="262">
        <f>IFERROR(IF((N(L194)+N(L198)+N(L200)+N(L201)+N(L208)+N(L209)+N(L210))&lt;&gt;0,N(L140)/(N(L194)+N(L198)+N(L200)+N(L201)+N(L208)+N(L209)+N(L210)),""),"")</f>
        <v>1.47113022113022</v>
      </c>
      <c r="M338" s="262">
        <f>IFERROR(IF((N(M194)+N(M198)+N(M200)+N(M201)+N(M208)+N(M209)+N(M210))&lt;&gt;0,N(M140)/(N(M194)+N(M198)+N(M200)+N(M201)+N(M208)+N(M209)+N(M210)),""),"")</f>
        <v>1.47113022113022</v>
      </c>
      <c r="N338" s="262">
        <f>IFERROR(IF((N(N194)+N(N198)+N(N200)+N(N201)+N(N208)+N(N209)+N(N210))&lt;&gt;0,N(N140)/(N(N194)+N(N198)+N(N200)+N(N201)+N(N208)+N(N209)+N(N210)),""),"")</f>
        <v>1.46313963573287</v>
      </c>
      <c r="O338" s="262">
        <f>IFERROR(IF((N(O194)+N(O198)+N(O200)+N(O201)+N(O208)+N(O209)+N(O210))&lt;&gt;0,N(O140)/(N(O194)+N(O198)+N(O200)+N(O201)+N(O208)+N(O209)+N(O210)),""),"")</f>
        <v>1.45912398344985</v>
      </c>
      <c r="P338" s="262">
        <f>IFERROR(IF((N(P194)+N(P198)+N(P200)+N(P201)+N(P208)+N(P209)+N(P210))&lt;&gt;0,N(P140)/(N(P194)+N(P198)+N(P200)+N(P201)+N(P208)+N(P209)+N(P210)),""),"")</f>
        <v>1.23769730733519</v>
      </c>
      <c r="Q338" s="262">
        <f>IFERROR(IF((N(Q194)+N(Q198)+N(Q200)+N(Q201)+N(Q208)+N(Q209)+N(Q210))&lt;&gt;0,N(Q140)/(N(Q194)+N(Q198)+N(Q200)+N(Q201)+N(Q208)+N(Q209)+N(Q210)),""),"")</f>
        <v>1.6216091954023</v>
      </c>
      <c r="R338" s="262">
        <f>IFERROR(IF((N(R194)+N(R198)+N(R200)+N(R201)+N(R208)+N(R209)+N(R210))&lt;&gt;0,N(R140)/(N(R194)+N(R198)+N(R200)+N(R201)+N(R208)+N(R209)+N(R210)),""),"")</f>
        <v>1.6216091954023</v>
      </c>
      <c r="S338" s="262">
        <f>IFERROR(IF((N(S194)+N(S198)+N(S200)+N(S201)+N(S208)+N(S209)+N(S210))&lt;&gt;0,N(S140)/(N(S194)+N(S198)+N(S200)+N(S201)+N(S208)+N(S209)+N(S210)),""),"")</f>
        <v>2.05861084681256</v>
      </c>
      <c r="T338" s="262">
        <f>IFERROR(IF((N(T194)+N(T198)+N(T200)+N(T201)+N(T208)+N(T209)+N(T210))&lt;&gt;0,N(T140)/(N(T194)+N(T198)+N(T200)+N(T201)+N(T208)+N(T209)+N(T210)),""),"")</f>
        <v>2.0282131661442</v>
      </c>
      <c r="U338" s="262">
        <f>IFERROR(IF((N(U194)+N(U198)+N(U200)+N(U201)+N(U208)+N(U209)+N(U210))&lt;&gt;0,N(U140)/(N(U194)+N(U198)+N(U200)+N(U201)+N(U208)+N(U209)+N(U210)),""),"")</f>
        <v>2.01343126967471</v>
      </c>
      <c r="V338" s="262">
        <f>IFERROR(IF((N(V194)+N(V198)+N(V200)+N(V201)+N(V208)+N(V209)+N(V210))&lt;&gt;0,N(V140)/(N(V194)+N(V198)+N(V200)+N(V201)+N(V208)+N(V209)+N(V210)),""),"")</f>
        <v>1.51761153975176</v>
      </c>
      <c r="W338" s="262">
        <f>IFERROR(IF((N(W194)+N(W198)+N(W200)+N(W201)+N(W208)+N(W209)+N(W210))&lt;&gt;0,N(W140)/(N(W194)+N(W198)+N(W200)+N(W201)+N(W208)+N(W209)+N(W210)),""),"")</f>
        <v>1.51761153975176</v>
      </c>
      <c r="X338" s="262">
        <f>IFERROR(IF((N(X194)+N(X198)+N(X200)+N(X201)+N(X208)+N(X209)+N(X210))&lt;&gt;0,N(X140)/(N(X194)+N(X198)+N(X200)+N(X201)+N(X208)+N(X209)+N(X210)),""),"")</f>
        <v>1.43888800127816</v>
      </c>
      <c r="Y338" s="262">
        <f>IFERROR(IF((N(Y194)+N(Y198)+N(Y200)+N(Y201)+N(Y208)+N(Y209)+N(Y210))&lt;&gt;0,N(Y140)/(N(Y194)+N(Y198)+N(Y200)+N(Y201)+N(Y208)+N(Y209)+N(Y210)),""),"")</f>
        <v>1.225</v>
      </c>
      <c r="Z338" s="262">
        <f>IFERROR(IF((N(Z194)+N(Z198)+N(Z200)+N(Z201)+N(Z208)+N(Z209)+N(Z210))&lt;&gt;0,N(Z140)/(N(Z194)+N(Z198)+N(Z200)+N(Z201)+N(Z208)+N(Z209)+N(Z210)),""),"")</f>
        <v>0.87651384083045</v>
      </c>
      <c r="AA338" s="262">
        <f>IFERROR(IF((N(AA194)+N(AA198)+N(AA200)+N(AA201)+N(AA208)+N(AA209)+N(AA210))&lt;&gt;0,N(AA140)/(N(AA194)+N(AA198)+N(AA200)+N(AA201)+N(AA208)+N(AA209)+N(AA210)),""),"")</f>
        <v>0.841708264004437</v>
      </c>
      <c r="AB338" s="262">
        <f>IFERROR(IF((N(AB194)+N(AB198)+N(AB200)+N(AB201)+N(AB208)+N(AB209)+N(AB210))&lt;&gt;0,N(AB140)/(N(AB194)+N(AB198)+N(AB200)+N(AB201)+N(AB208)+N(AB209)+N(AB210)),""),"")</f>
        <v>0.841708264004437</v>
      </c>
      <c r="AC338" s="262">
        <f>IFERROR(IF((N(AC194)+N(AC198)+N(AC200)+N(AC201)+N(AC208)+N(AC209)+N(AC210))&lt;&gt;0,N(AC140)/(N(AC194)+N(AC198)+N(AC200)+N(AC201)+N(AC208)+N(AC209)+N(AC210)),""),"")</f>
        <v>1.0429097372096</v>
      </c>
      <c r="AD338" s="262">
        <f>IFERROR(IF((N(AD194)+N(AD198)+N(AD200)+N(AD201)+N(AD208)+N(AD209)+N(AD210))&lt;&gt;0,N(AD140)/(N(AD194)+N(AD198)+N(AD200)+N(AD201)+N(AD208)+N(AD209)+N(AD210)),""),"")</f>
        <v>1.06669955599408</v>
      </c>
      <c r="AE338" s="262">
        <f>IFERROR(IF((N(AE194)+N(AE198)+N(AE200)+N(AE201)+N(AE208)+N(AE209)+N(AE210))&lt;&gt;0,N(AE140)/(N(AE194)+N(AE198)+N(AE200)+N(AE201)+N(AE208)+N(AE209)+N(AE210)),""),"")</f>
        <v>0.899860310808451</v>
      </c>
      <c r="AF338" s="262">
        <f>IFERROR(IF((N(AF194)+N(AF198)+N(AF200)+N(AF201)+N(AF208)+N(AF209)+N(AF210))&lt;&gt;0,N(AF140)/(N(AF194)+N(AF198)+N(AF200)+N(AF201)+N(AF208)+N(AF209)+N(AF210)),""),"")</f>
        <v>0.855555555555556</v>
      </c>
      <c r="AG338" s="262">
        <f>IFERROR(IF((N(AG194)+N(AG198)+N(AG200)+N(AG201)+N(AG208)+N(AG209)+N(AG210))&lt;&gt;0,N(AG140)/(N(AG194)+N(AG198)+N(AG200)+N(AG201)+N(AG208)+N(AG209)+N(AG210)),""),"")</f>
        <v>0.855555555555556</v>
      </c>
      <c r="AH338" s="262">
        <f>IFERROR(IF((N(AH194)+N(AH198)+N(AH200)+N(AH201)+N(AH208)+N(AH209)+N(AH210))&lt;&gt;0,N(AH140)/(N(AH194)+N(AH198)+N(AH200)+N(AH201)+N(AH208)+N(AH209)+N(AH210)),""),"")</f>
        <v>1.02049524342473</v>
      </c>
      <c r="AI338" s="262">
        <f>IFERROR(IF((N(AI194)+N(AI198)+N(AI200)+N(AI201)+N(AI208)+N(AI209)+N(AI210))&lt;&gt;0,N(AI140)/(N(AI194)+N(AI198)+N(AI200)+N(AI201)+N(AI208)+N(AI209)+N(AI210)),""),"")</f>
        <v>1.33528325123153</v>
      </c>
      <c r="AJ338" s="262">
        <f>IFERROR(IF((N(AJ194)+N(AJ198)+N(AJ200)+N(AJ201)+N(AJ208)+N(AJ209)+N(AJ210))&lt;&gt;0,N(AJ140)/(N(AJ194)+N(AJ198)+N(AJ200)+N(AJ201)+N(AJ208)+N(AJ209)+N(AJ210)),""),"")</f>
        <v>1.83785631850272</v>
      </c>
      <c r="AK338" s="262">
        <f>IFERROR(IF((N(AK194)+N(AK198)+N(AK200)+N(AK201)+N(AK208)+N(AK209)+N(AK210))&lt;&gt;0,N(AK140)/(N(AK194)+N(AK198)+N(AK200)+N(AK201)+N(AK208)+N(AK209)+N(AK210)),""),"")</f>
        <v>1.78530479639764</v>
      </c>
      <c r="AL338" s="262">
        <f>IFERROR(IF((N(AL194)+N(AL198)+N(AL200)+N(AL201)+N(AL208)+N(AL209)+N(AL210))&lt;&gt;0,N(AL140)/(N(AL194)+N(AL198)+N(AL200)+N(AL201)+N(AL208)+N(AL209)+N(AL210)),""),"")</f>
        <v>1.78530479639764</v>
      </c>
      <c r="AM338" s="262">
        <f>IFERROR(IF((N(AM194)+N(AM198)+N(AM200)+N(AM201)+N(AM208)+N(AM209)+N(AM210))&lt;&gt;0,N(AM140)/(N(AM194)+N(AM198)+N(AM200)+N(AM201)+N(AM208)+N(AM209)+N(AM210)),""),"")</f>
        <v>1.07217334248328</v>
      </c>
      <c r="AN338" s="262">
        <f>IFERROR(IF((N(AN194)+N(AN198)+N(AN200)+N(AN201)+N(AN208)+N(AN209)+N(AN210))&lt;&gt;0,N(AN140)/(N(AN194)+N(AN198)+N(AN200)+N(AN201)+N(AN208)+N(AN209)+N(AN210)),""),"")</f>
        <v>0.673873361082962</v>
      </c>
      <c r="AO338" s="262">
        <f>IFERROR(IF((N(AO194)+N(AO198)+N(AO200)+N(AO201)+N(AO208)+N(AO209)+N(AO210))&lt;&gt;0,N(AO140)/(N(AO194)+N(AO198)+N(AO200)+N(AO201)+N(AO208)+N(AO209)+N(AO210)),""),"")</f>
        <v>2.01705885081724</v>
      </c>
      <c r="AP338" s="262">
        <f>IFERROR(IF((N(AP194)+N(AP198)+N(AP200)+N(AP201)+N(AP208)+N(AP209)+N(AP210))&lt;&gt;0,N(AP140)/(N(AP194)+N(AP198)+N(AP200)+N(AP201)+N(AP208)+N(AP209)+N(AP210)),""),"")</f>
        <v>1.93149035701145</v>
      </c>
      <c r="AQ338" s="262">
        <f>IFERROR(IF((N(AQ194)+N(AQ198)+N(AQ200)+N(AQ201)+N(AQ208)+N(AQ209)+N(AQ210))&lt;&gt;0,N(AQ140)/(N(AQ194)+N(AQ198)+N(AQ200)+N(AQ201)+N(AQ208)+N(AQ209)+N(AQ210)),""),"")</f>
        <v>1.93149035701145</v>
      </c>
      <c r="AR338" s="262">
        <f>IFERROR(IF((N(AR194)+N(AR198)+N(AR200)+N(AR201)+N(AR208)+N(AR209)+N(AR210))&lt;&gt;0,N(AR140)/(N(AR194)+N(AR198)+N(AR200)+N(AR201)+N(AR208)+N(AR209)+N(AR210)),""),"")</f>
        <v>1.1444746556729</v>
      </c>
      <c r="AS338" s="262">
        <f>IFERROR(IF((N(AS194)+N(AS198)+N(AS200)+N(AS201)+N(AS208)+N(AS209)+N(AS210))&lt;&gt;0,N(AS140)/(N(AS194)+N(AS198)+N(AS200)+N(AS201)+N(AS208)+N(AS209)+N(AS210)),""),"")</f>
        <v>0.691760120826189</v>
      </c>
      <c r="AT338" s="262">
        <f>IFERROR(IF((N(AT194)+N(AT198)+N(AT200)+N(AT201)+N(AT208)+N(AT209)+N(AT210))&lt;&gt;0,N(AT140)/(N(AT194)+N(AT198)+N(AT200)+N(AT201)+N(AT208)+N(AT209)+N(AT210)),""),"")</f>
        <v>2.11524126512578</v>
      </c>
      <c r="AU338" s="262">
        <f>IFERROR(IF((N(AU194)+N(AU198)+N(AU200)+N(AU201)+N(AU208)+N(AU209)+N(AU210))&lt;&gt;0,N(AU140)/(N(AU194)+N(AU198)+N(AU200)+N(AU201)+N(AU208)+N(AU209)+N(AU210)),""),"")</f>
        <v>2.00986768018241</v>
      </c>
      <c r="AV338" s="262">
        <f>IFERROR(IF((N(AV194)+N(AV198)+N(AV200)+N(AV201)+N(AV208)+N(AV209)+N(AV210))&lt;&gt;0,N(AV140)/(N(AV194)+N(AV198)+N(AV200)+N(AV201)+N(AV208)+N(AV209)+N(AV210)),""),"")</f>
        <v>2.00986768018241</v>
      </c>
      <c r="AW338" s="262">
        <f>IFERROR(IF((N(AW194)+N(AW198)+N(AW200)+N(AW201)+N(AW208)+N(AW209)+N(AW210))&lt;&gt;0,N(AW140)/(N(AW194)+N(AW198)+N(AW200)+N(AW201)+N(AW208)+N(AW209)+N(AW210)),""),"")</f>
        <v>1.15175880210816</v>
      </c>
      <c r="AX338" s="262">
        <f>IFERROR(IF((N(AX194)+N(AX198)+N(AX200)+N(AX201)+N(AX208)+N(AX209)+N(AX210))&lt;&gt;0,N(AX140)/(N(AX194)+N(AX198)+N(AX200)+N(AX201)+N(AX208)+N(AX209)+N(AX210)),""),"")</f>
        <v>0.702455190567999</v>
      </c>
      <c r="AY338" s="262">
        <f>IFERROR(IF((N(AY194)+N(AY198)+N(AY200)+N(AY201)+N(AY208)+N(AY209)+N(AY210))&lt;&gt;0,N(AY140)/(N(AY194)+N(AY198)+N(AY200)+N(AY201)+N(AY208)+N(AY209)+N(AY210)),""),"")</f>
        <v>2.16695533374207</v>
      </c>
      <c r="AZ338" s="262">
        <f>IFERROR(IF((N(AZ194)+N(AZ198)+N(AZ200)+N(AZ201)+N(AZ208)+N(AZ209)+N(AZ210))&lt;&gt;0,N(AZ140)/(N(AZ194)+N(AZ198)+N(AZ200)+N(AZ201)+N(AZ208)+N(AZ209)+N(AZ210)),""),"")</f>
        <v>2.05081917660971</v>
      </c>
      <c r="BA338" s="262">
        <f>IFERROR(IF((N(BA194)+N(BA198)+N(BA200)+N(BA201)+N(BA208)+N(BA209)+N(BA210))&lt;&gt;0,N(BA140)/(N(BA194)+N(BA198)+N(BA200)+N(BA201)+N(BA208)+N(BA209)+N(BA210)),""),"")</f>
        <v>2.05081917660971</v>
      </c>
      <c r="BB338" s="262">
        <f>IFERROR(IF((N(BB194)+N(BB198)+N(BB200)+N(BB201)+N(BB208)+N(BB209)+N(BB210))&lt;&gt;0,N(BB140)/(N(BB194)+N(BB198)+N(BB200)+N(BB201)+N(BB208)+N(BB209)+N(BB210)),""),"")</f>
        <v>1.16909581503047</v>
      </c>
      <c r="BC338" s="262">
        <f>IFERROR(IF((N(BC194)+N(BC198)+N(BC200)+N(BC201)+N(BC208)+N(BC209)+N(BC210))&lt;&gt;0,N(BC140)/(N(BC194)+N(BC198)+N(BC200)+N(BC201)+N(BC208)+N(BC209)+N(BC210)),""),"")</f>
        <v>0.70964985096206</v>
      </c>
      <c r="BD338" s="262">
        <f>IFERROR(IF((N(BD194)+N(BD198)+N(BD200)+N(BD201)+N(BD208)+N(BD209)+N(BD210))&lt;&gt;0,N(BD140)/(N(BD194)+N(BD198)+N(BD200)+N(BD201)+N(BD208)+N(BD209)+N(BD210)),""),"")</f>
        <v>2.195077820008</v>
      </c>
      <c r="BE338" s="262">
        <f>IFERROR(IF((N(BE194)+N(BE198)+N(BE200)+N(BE201)+N(BE208)+N(BE209)+N(BE210))&lt;&gt;0,N(BE140)/(N(BE194)+N(BE198)+N(BE200)+N(BE201)+N(BE208)+N(BE209)+N(BE210)),""),"")</f>
        <v>2.07312255877032</v>
      </c>
      <c r="BF338" s="262">
        <f>IFERROR(IF((N(BF194)+N(BF198)+N(BF200)+N(BF201)+N(BF208)+N(BF209)+N(BF210))&lt;&gt;0,N(BF140)/(N(BF194)+N(BF198)+N(BF200)+N(BF201)+N(BF208)+N(BF209)+N(BF210)),""),"")</f>
        <v>2.07312255877032</v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</row>
    <row r="340" customFormat="1" s="77">
      <c r="A340" s="76" t="n"/>
      <c r="B340" s="76" t="n"/>
      <c r="C340" s="74" t="inlineStr">
        <is>
          <t>OPERATING EFFICIENCY</t>
        </is>
      </c>
    </row>
    <row r="341" customFormat="1" s="84">
      <c r="A341" s="81" t="n"/>
      <c r="B341" s="81" t="n"/>
      <c r="C341" s="84" t="inlineStr">
        <is>
          <t>RETURN ON CAPITAL (ROIC) - LTM</t>
        </is>
      </c>
      <c r="D341" t="str">
        <f>IFERROR(D343/D346,"")</f>
        <v/>
      </c>
      <c r="E341" t="str">
        <f>IFERROR(E343/E346,"")</f>
        <v/>
      </c>
      <c r="F341" t="str">
        <f>IFERROR(F343/F346,"")</f>
        <v/>
      </c>
      <c r="G341" t="str">
        <f>IFERROR(G343/G346,"")</f>
        <v/>
      </c>
      <c r="H341" s="257" t="str">
        <f>IFERROR(IF(AND(COUNT(H343)=1,N(H346)&lt;&gt;0),(H343)/H346,""),"")</f>
        <v/>
      </c>
      <c r="I341" s="257" t="str">
        <f>""</f>
        <v/>
      </c>
      <c r="J341" s="257" t="str">
        <f>""</f>
        <v/>
      </c>
      <c r="K341" s="257" t="str">
        <f>""</f>
        <v/>
      </c>
      <c r="L341" s="257">
        <f>IFERROR(IF(AND(COUNT(I343,J343,K343,L343)=4,N(L346)&lt;&gt;0),(I343+J343+K343+L343)/L346,""),"")</f>
        <v>0.170334630663061</v>
      </c>
      <c r="M341" s="257">
        <f>IFERROR(IF(AND(COUNT(I343,J343,K343,L343)=4,N(M346)&lt;&gt;0),(I343+J343+K343+L343)/M346,""),"")</f>
        <v>0.170334630663061</v>
      </c>
      <c r="N341" s="257">
        <f>IFERROR(IF(AND(COUNT(J343,K343,L343,N343)=4,N(N346)&lt;&gt;0),(J343+K343+L343+N343)/N346,""),"")</f>
        <v>0.201778958931</v>
      </c>
      <c r="O341" s="257">
        <f>IFERROR(IF(AND(COUNT(K343,L343,N343,O343)=4,N(O346)&lt;&gt;0),(K343+L343+N343+O343)/O346,""),"")</f>
        <v>0.215608592051939</v>
      </c>
      <c r="P341" s="257">
        <f>IFERROR(IF(AND(COUNT(L343,N343,O343,P343)=4,N(P346)&lt;&gt;0),(L343+N343+O343+P343)/P346,""),"")</f>
        <v>0.182980967731828</v>
      </c>
      <c r="Q341" s="257">
        <f>IFERROR(IF(AND(COUNT(N343,O343,P343,Q343)=4,N(Q346)&lt;&gt;0),(N343+O343+P343+Q343)/Q346,""),"")</f>
        <v>0.124729949249451</v>
      </c>
      <c r="R341" s="257">
        <f>IFERROR(IF(AND(COUNT(N343,O343,P343,Q343)=4,N(R346)&lt;&gt;0),(N343+O343+P343+Q343)/R346,""),"")</f>
        <v>0.124729949249451</v>
      </c>
      <c r="S341" s="257">
        <f>IFERROR(IF(AND(COUNT(O343,P343,Q343,S343)=4,N(S346)&lt;&gt;0),(O343+P343+Q343+S343)/S346,""),"")</f>
        <v>0.0324034810199518</v>
      </c>
      <c r="T341" s="257">
        <f>IFERROR(IF(AND(COUNT(P343,Q343,S343,T343)=4,N(T346)&lt;&gt;0),(P343+Q343+S343+T343)/T346,""),"")</f>
        <v>-0.0573985420403311</v>
      </c>
      <c r="U341" s="257">
        <f>IFERROR(IF(AND(COUNT(Q343,S343,T343,U343)=4,N(U346)&lt;&gt;0),(Q343+S343+T343+U343)/U346,""),"")</f>
        <v>-0.11805380935069</v>
      </c>
      <c r="V341" s="257">
        <f>IFERROR(IF(AND(COUNT(S343,T343,U343,V343)=4,N(V346)&lt;&gt;0),(S343+T343+U343+V343)/V346,""),"")</f>
        <v>-0.138492992664729</v>
      </c>
      <c r="W341" s="257">
        <f>IFERROR(IF(AND(COUNT(S343,T343,U343,V343)=4,N(W346)&lt;&gt;0),(S343+T343+U343+V343)/W346,""),"")</f>
        <v>-0.138492992664729</v>
      </c>
      <c r="X341" s="257">
        <f>IFERROR(IF(AND(COUNT(T343,U343,V343,X343)=4,N(X346)&lt;&gt;0),(T343+U343+V343+X343)/X346,""),"")</f>
        <v>-0.0842995902178796</v>
      </c>
      <c r="Y341" s="257">
        <f>IFERROR(IF(AND(COUNT(U343,V343,X343,Y343)=4,N(Y346)&lt;&gt;0),(U343+V343+X343+Y343)/Y346,""),"")</f>
        <v>-0.0411336800883912</v>
      </c>
      <c r="Z341" s="257">
        <f>IFERROR(IF(AND(COUNT(V343,X343,Y343,Z343)=4,N(Z346)&lt;&gt;0),(V343+X343+Y343+Z343)/Z346,""),"")</f>
        <v>0.00581870033926606</v>
      </c>
      <c r="AA341" s="257">
        <f>IFERROR(IF(AND(COUNT(X343,Y343,Z343,AA343)=4,N(AA346)&lt;&gt;0),(X343+Y343+Z343+AA343)/AA346,""),"")</f>
        <v>0.0618313387525073</v>
      </c>
      <c r="AB341" s="257">
        <f>IFERROR(IF(AND(COUNT(X343,Y343,Z343,AA343)=4,N(AB346)&lt;&gt;0),(X343+Y343+Z343+AA343)/AB346,""),"")</f>
        <v>0.0618313387525073</v>
      </c>
      <c r="AC341" s="257">
        <f>IFERROR(IF(AND(COUNT(Y343,Z343,AA343,AC343)=4,N(AC346)&lt;&gt;0),(Y343+Z343+AA343+AC343)/AC346,""),"")</f>
        <v>0.0851790896866466</v>
      </c>
      <c r="AD341" s="257">
        <f>IFERROR(IF(AND(COUNT(Z343,AA343,AC343,AD343)=4,N(AD346)&lt;&gt;0),(Z343+AA343+AC343+AD343)/AD346,""),"")</f>
        <v>0.112422296325628</v>
      </c>
      <c r="AE341" s="257">
        <f>IFERROR(IF(AND(COUNT(AA343,AC343,AD343,AE343)=4,N(AE346)&lt;&gt;0),(AA343+AC343+AD343+AE343)/AE346,""),"")</f>
        <v>0.145979624822647</v>
      </c>
      <c r="AF341" s="257">
        <f>IFERROR(IF(AND(COUNT(AB343,AD343,AE343,AF343)=4,N(AF346)&lt;&gt;0),(AB343+AD343+AE343+AF343)/AF346,""),"")</f>
        <v>0.23612725334516</v>
      </c>
      <c r="AG341" s="257">
        <f>IFERROR(IF(AND(COUNT(AC343,AD343,AE343,AF343)=4,N(AG346)&lt;&gt;0),(AC343+AD343+AE343+AF343)/AG346,""),"")</f>
        <v>0.197680068425002</v>
      </c>
      <c r="AH341" s="257">
        <f>IFERROR(IF(AND(COUNT(AD343,AF343,AG343,AH343)=4,N(AH346)&lt;&gt;0),(AD343+AF343+AG343+AH343)/AH346,""),"")</f>
        <v>0.481059195977918</v>
      </c>
      <c r="AI341" s="257">
        <f>IFERROR(IF(AND(COUNT(AE343,AG343,AH343,AI343)=4,N(AI346)&lt;&gt;0),(AE343+AG343+AH343+AI343)/AI346,""),"")</f>
        <v>0.707408346089569</v>
      </c>
      <c r="AJ341" s="257">
        <f>IFERROR(IF(AND(COUNT(AF343,AH343,AI343,AJ343)=4,N(AJ346)&lt;&gt;0),(AF343+AH343+AI343+AJ343)/AJ346,""),"")</f>
        <v>0.75420675664114</v>
      </c>
      <c r="AK341" s="257">
        <f>IFERROR(IF(AND(COUNT(AH343,AI343,AJ343,AK343)=4,N(AK346)&lt;&gt;0),(AH343+AI343+AJ343+AK343)/AK346,""),"")</f>
        <v>0.775875963837838</v>
      </c>
      <c r="AL341" s="257">
        <f>IFERROR(IF(AND(COUNT(AH343,AI343,AJ343,AK343)=4,N(AL346)&lt;&gt;0),(AH343+AI343+AJ343+AK343)/AL346,""),"")</f>
        <v>0.775875963837838</v>
      </c>
      <c r="AM341" s="257">
        <f>IFERROR(IF(AND(COUNT(AI343,AJ343,AK343,AM343)=4,N(AM346)&lt;&gt;0),(AI343+AJ343+AK343+AM343)/AM346,""),"")</f>
        <v>0.686915567878042</v>
      </c>
      <c r="AN341" s="257">
        <f>IFERROR(IF(AND(COUNT(AJ343,AK343,AM343,AN343)=4,N(AN346)&lt;&gt;0),(AJ343+AK343+AM343+AN343)/AN346,""),"")</f>
        <v>0.570501547680587</v>
      </c>
      <c r="AO341" s="257">
        <f>IFERROR(IF(AND(COUNT(AK343,AM343,AN343,AO343)=4,N(AO346)&lt;&gt;0),(AK343+AM343+AN343+AO343)/AO346,""),"")</f>
        <v>0.764515707409075</v>
      </c>
      <c r="AP341" s="257">
        <f>IFERROR(IF(AND(COUNT(AM343,AN343,AO343,AP343)=4,N(AP346)&lt;&gt;0),(AM343+AN343+AO343+AP343)/AP346,""),"")</f>
        <v>0.791983026504427</v>
      </c>
      <c r="AQ341" s="257">
        <f>IFERROR(IF(AND(COUNT(AM343,AN343,AO343,AP343)=4,N(AQ346)&lt;&gt;0),(AM343+AN343+AO343+AP343)/AQ346,""),"")</f>
        <v>0.791983026504427</v>
      </c>
      <c r="AR341" s="257">
        <f>IFERROR(IF(AND(COUNT(AN343,AO343,AP343,AR343)=4,N(AR346)&lt;&gt;0),(AN343+AO343+AP343+AR343)/AR346,""),"")</f>
        <v>0.732364009512454</v>
      </c>
      <c r="AS341" s="257">
        <f>IFERROR(IF(AND(COUNT(AO343,AP343,AR343,AS343)=4,N(AS346)&lt;&gt;0),(AO343+AP343+AR343+AS343)/AS346,""),"")</f>
        <v>0.681661438475981</v>
      </c>
      <c r="AT341" s="257">
        <f>IFERROR(IF(AND(COUNT(AP343,AR343,AS343,AT343)=4,N(AT346)&lt;&gt;0),(AP343+AR343+AS343+AT343)/AT346,""),"")</f>
        <v>0.943384968242827</v>
      </c>
      <c r="AU341" s="257">
        <f>IFERROR(IF(AND(COUNT(AR343,AS343,AT343,AU343)=4,N(AU346)&lt;&gt;0),(AR343+AS343+AT343+AU343)/AU346,""),"")</f>
        <v>0.953582573297346</v>
      </c>
      <c r="AV341" s="257">
        <f>IFERROR(IF(AND(COUNT(AR343,AS343,AT343,AU343)=4,N(AV346)&lt;&gt;0),(AR343+AS343+AT343+AU343)/AV346,""),"")</f>
        <v>0.953582573297346</v>
      </c>
      <c r="AW341" s="257">
        <f>IFERROR(IF(AND(COUNT(AS343,AT343,AU343,AW343)=4,N(AW346)&lt;&gt;0),(AS343+AT343+AU343+AW343)/AW346,""),"")</f>
        <v>0.834389256183453</v>
      </c>
      <c r="AX341" s="257">
        <f>IFERROR(IF(AND(COUNT(AT343,AU343,AW343,AX343)=4,N(AX346)&lt;&gt;0),(AT343+AU343+AW343+AX343)/AX346,""),"")</f>
        <v>0.747797278932485</v>
      </c>
      <c r="AY341" s="257">
        <f>IFERROR(IF(AND(COUNT(AU343,AW343,AX343,AY343)=4,N(AY346)&lt;&gt;0),(AU343+AW343+AX343+AY343)/AY346,""),"")</f>
        <v>1.05525806913588</v>
      </c>
      <c r="AZ341" s="257">
        <f>IFERROR(IF(AND(COUNT(AW343,AX343,AY343,AZ343)=4,N(AZ346)&lt;&gt;0),(AW343+AX343+AY343+AZ343)/AZ346,""),"")</f>
        <v>1.050627861419</v>
      </c>
      <c r="BA341" s="257">
        <f>IFERROR(IF(AND(COUNT(AW343,AX343,AY343,AZ343)=4,N(BA346)&lt;&gt;0),(AW343+AX343+AY343+AZ343)/BA346,""),"")</f>
        <v>1.050627861419</v>
      </c>
      <c r="BB341" s="257">
        <f>IFERROR(IF(AND(COUNT(AX343,AY343,AZ343,BB343)=4,N(BB346)&lt;&gt;0),(AX343+AY343+AZ343+BB343)/BB346,""),"")</f>
        <v>0.893302872580815</v>
      </c>
      <c r="BC341" s="257">
        <f>IFERROR(IF(AND(COUNT(AY343,AZ343,BB343,BC343)=4,N(BC346)&lt;&gt;0),(AY343+AZ343+BB343+BC343)/BC346,""),"")</f>
        <v>0.782259379368151</v>
      </c>
      <c r="BD341" s="257">
        <f>IFERROR(IF(AND(COUNT(AZ343,BB343,BC343,BD343)=4,N(BD346)&lt;&gt;0),(AZ343+BB343+BC343+BD343)/BD346,""),"")</f>
        <v>1.11504830661799</v>
      </c>
      <c r="BE341" s="257">
        <f>IFERROR(IF(AND(COUNT(BB343,BC343,BD343,BE343)=4,N(BE346)&lt;&gt;0),(BB343+BC343+BD343+BE343)/BE346,""),"")</f>
        <v>1.10117355954512</v>
      </c>
      <c r="BF341" s="257">
        <f>IFERROR(IF(AND(COUNT(BB343,BC343,BD343,BE343)=4,N(BF346)&lt;&gt;0),(BB343+BC343+BD343+BE343)/BF346,""),"")</f>
        <v>1.10117355954512</v>
      </c>
      <c r="BG341" s="81" t="n"/>
      <c r="BH341" s="81" t="n"/>
      <c r="BI341" s="81" t="n"/>
      <c r="BJ341" s="81" t="n"/>
      <c r="BL341" s="81" t="n"/>
      <c r="BM341" s="81" t="n"/>
      <c r="BN341" s="81" t="n"/>
      <c r="BO341" s="81" t="n"/>
      <c r="BQ341" s="81" t="n"/>
      <c r="BR341" s="81" t="n"/>
      <c r="BS341" s="81" t="n"/>
      <c r="BT341" s="81" t="n"/>
      <c r="BV341" s="81" t="n"/>
      <c r="BW341" s="81" t="n"/>
      <c r="BX341" s="81" t="n"/>
      <c r="BY341" s="81" t="n"/>
      <c r="CA341" s="81" t="n"/>
      <c r="CB341" s="81" t="n"/>
      <c r="CC341" s="81" t="n"/>
      <c r="CD341" s="81" t="n"/>
      <c r="CF341" s="81" t="n"/>
      <c r="CG341" s="81" t="n"/>
      <c r="CH341" s="81" t="n"/>
      <c r="CI341" s="81" t="n"/>
      <c r="CK341" s="81" t="n"/>
      <c r="CL341" s="81" t="n"/>
      <c r="CM341" s="81" t="n"/>
      <c r="CN341" s="81" t="n"/>
      <c r="CP341" s="81" t="n"/>
      <c r="CQ341" s="81" t="n"/>
      <c r="CR341" s="81" t="n"/>
      <c r="CS341" s="81" t="n"/>
      <c r="CU341" s="81" t="n"/>
      <c r="CV341" s="81" t="n"/>
      <c r="CW341" s="81" t="n"/>
      <c r="CX341" s="81" t="n"/>
    </row>
    <row r="342" customFormat="1" s="84">
      <c r="A342" s="81" t="n"/>
      <c r="B342" s="81" t="n"/>
      <c r="C342" s="84" t="inlineStr">
        <is>
          <t>RETURN ON CAPITAL (ROIC) - EX GOODWILL - LTM</t>
        </is>
      </c>
      <c r="D342" t="str">
        <f>IFERROR(D343/D347,"")</f>
        <v/>
      </c>
      <c r="E342" t="str">
        <f>IFERROR(E343/E347,"")</f>
        <v/>
      </c>
      <c r="F342" t="str">
        <f>IFERROR(F343/F347,"")</f>
        <v/>
      </c>
      <c r="G342" t="str">
        <f>IFERROR(G343/G347,"")</f>
        <v/>
      </c>
      <c r="H342" s="257" t="str">
        <f>IFERROR(IF(AND(COUNT(H343)=1,N(H347)&lt;&gt;0),(H343)/H347,""),"")</f>
        <v/>
      </c>
      <c r="I342" s="257" t="str">
        <f>""</f>
        <v/>
      </c>
      <c r="J342" s="257" t="str">
        <f>""</f>
        <v/>
      </c>
      <c r="K342" s="257" t="str">
        <f>""</f>
        <v/>
      </c>
      <c r="L342" s="257">
        <f>IFERROR(IF(AND(COUNT(I343,J343,K343,L343)=4,N(L347)&lt;&gt;0),(I343+J343+K343+L343)/L347,""),"")</f>
        <v>0.17523956503882</v>
      </c>
      <c r="M342" s="257">
        <f>IFERROR(IF(AND(COUNT(I343,J343,K343,L343)=4,N(M347)&lt;&gt;0),(I343+J343+K343+L343)/M347,""),"")</f>
        <v>0.17523956503882</v>
      </c>
      <c r="N342" s="257">
        <f>IFERROR(IF(AND(COUNT(J343,K343,L343,N343)=4,N(N347)&lt;&gt;0),(J343+K343+L343+N343)/N347,""),"")</f>
        <v>0.207396892127555</v>
      </c>
      <c r="O342" s="257">
        <f>IFERROR(IF(AND(COUNT(K343,L343,N343,O343)=4,N(O347)&lt;&gt;0),(K343+L343+N343+O343)/O347,""),"")</f>
        <v>0.221438160748046</v>
      </c>
      <c r="P342" s="257">
        <f>IFERROR(IF(AND(COUNT(L343,N343,O343,P343)=4,N(P347)&lt;&gt;0),(L343+N343+O343+P343)/P347,""),"")</f>
        <v>0.187775706302472</v>
      </c>
      <c r="Q342" s="257">
        <f>IFERROR(IF(AND(COUNT(N343,O343,P343,Q343)=4,N(Q347)&lt;&gt;0),(N343+O343+P343+Q343)/Q347,""),"")</f>
        <v>0.127895435385775</v>
      </c>
      <c r="R342" s="257">
        <f>IFERROR(IF(AND(COUNT(N343,O343,P343,Q343)=4,N(R347)&lt;&gt;0),(N343+O343+P343+Q343)/R347,""),"")</f>
        <v>0.127895435385775</v>
      </c>
      <c r="S342" s="257">
        <f>IFERROR(IF(AND(COUNT(O343,P343,Q343,S343)=4,N(S347)&lt;&gt;0),(O343+P343+Q343+S343)/S347,""),"")</f>
        <v>0.0332308326093582</v>
      </c>
      <c r="T342" s="257">
        <f>IFERROR(IF(AND(COUNT(P343,Q343,S343,T343)=4,N(T347)&lt;&gt;0),(P343+Q343+S343+T343)/T347,""),"")</f>
        <v>-0.0589067158663189</v>
      </c>
      <c r="U342" s="257">
        <f>IFERROR(IF(AND(COUNT(Q343,S343,T343,U343)=4,N(U347)&lt;&gt;0),(Q343+S343+T343+U343)/U347,""),"")</f>
        <v>-0.120923493359088</v>
      </c>
      <c r="V342" s="257">
        <f>IFERROR(IF(AND(COUNT(S343,T343,U343,V343)=4,N(V347)&lt;&gt;0),(S343+T343+U343+V343)/V347,""),"")</f>
        <v>-0.141896641534527</v>
      </c>
      <c r="W342" s="257">
        <f>IFERROR(IF(AND(COUNT(S343,T343,U343,V343)=4,N(W347)&lt;&gt;0),(S343+T343+U343+V343)/W347,""),"")</f>
        <v>-0.141896641534527</v>
      </c>
      <c r="X342" s="257">
        <f>IFERROR(IF(AND(COUNT(T343,U343,V343,X343)=4,N(X347)&lt;&gt;0),(T343+U343+V343+X343)/X347,""),"")</f>
        <v>-0.0863180484150222</v>
      </c>
      <c r="Y342" s="257">
        <f>IFERROR(IF(AND(COUNT(U343,V343,X343,Y343)=4,N(Y347)&lt;&gt;0),(U343+V343+X343+Y343)/Y347,""),"")</f>
        <v>-0.0421077494848793</v>
      </c>
      <c r="Z342" s="257">
        <f>IFERROR(IF(AND(COUNT(V343,X343,Y343,Z343)=4,N(Z347)&lt;&gt;0),(V343+X343+Y343+Z343)/Z347,""),"")</f>
        <v>0.00595284703326703</v>
      </c>
      <c r="AA342" s="257">
        <f>IFERROR(IF(AND(COUNT(X343,Y343,Z343,AA343)=4,N(AA347)&lt;&gt;0),(X343+Y343+Z343+AA343)/AA347,""),"")</f>
        <v>0.063187496052732</v>
      </c>
      <c r="AB342" s="257">
        <f>IFERROR(IF(AND(COUNT(X343,Y343,Z343,AA343)=4,N(AB347)&lt;&gt;0),(X343+Y343+Z343+AA343)/AB347,""),"")</f>
        <v>0.063187496052732</v>
      </c>
      <c r="AC342" s="257">
        <f>IFERROR(IF(AND(COUNT(Y343,Z343,AA343,AC343)=4,N(AC347)&lt;&gt;0),(Y343+Z343+AA343+AC343)/AC347,""),"")</f>
        <v>0.0869856618001733</v>
      </c>
      <c r="AD342" s="257">
        <f>IFERROR(IF(AND(COUNT(Z343,AA343,AC343,AD343)=4,N(AD347)&lt;&gt;0),(Z343+AA343+AC343+AD343)/AD347,""),"")</f>
        <v>0.114776025585285</v>
      </c>
      <c r="AE342" s="257">
        <f>IFERROR(IF(AND(COUNT(AA343,AC343,AD343,AE343)=4,N(AE347)&lt;&gt;0),(AA343+AC343+AD343+AE343)/AE347,""),"")</f>
        <v>0.148874747240921</v>
      </c>
      <c r="AF342" s="257">
        <f>IFERROR(IF(AND(COUNT(AB343,AD343,AE343,AF343)=4,N(AF347)&lt;&gt;0),(AB343+AD343+AE343+AF343)/AF347,""),"")</f>
        <v>0.240670973395139</v>
      </c>
      <c r="AG342" s="257">
        <f>IFERROR(IF(AND(COUNT(AC343,AD343,AE343,AF343)=4,N(AG347)&lt;&gt;0),(AC343+AD343+AE343+AF343)/AG347,""),"")</f>
        <v>0.201483961781908</v>
      </c>
      <c r="AH342" s="257">
        <f>IFERROR(IF(AND(COUNT(AD343,AF343,AG343,AH343)=4,N(AH347)&lt;&gt;0),(AD343+AF343+AG343+AH343)/AH347,""),"")</f>
        <v>0.489252834346569</v>
      </c>
      <c r="AI342" s="257">
        <f>IFERROR(IF(AND(COUNT(AE343,AG343,AH343,AI343)=4,N(AI347)&lt;&gt;0),(AE343+AG343+AH343+AI343)/AI347,""),"")</f>
        <v>0.71758650140439</v>
      </c>
      <c r="AJ342" s="257">
        <f>IFERROR(IF(AND(COUNT(AF343,AH343,AI343,AJ343)=4,N(AJ347)&lt;&gt;0),(AF343+AH343+AI343+AJ343)/AJ347,""),"")</f>
        <v>0.765822577344964</v>
      </c>
      <c r="AK342" s="257">
        <f>IFERROR(IF(AND(COUNT(AH343,AI343,AJ343,AK343)=4,N(AK347)&lt;&gt;0),(AH343+AI343+AJ343+AK343)/AK347,""),"")</f>
        <v>0.786898929331613</v>
      </c>
      <c r="AL342" s="257">
        <f>IFERROR(IF(AND(COUNT(AH343,AI343,AJ343,AK343)=4,N(AL347)&lt;&gt;0),(AH343+AI343+AJ343+AK343)/AL347,""),"")</f>
        <v>0.786898929331613</v>
      </c>
      <c r="AM342" s="257">
        <f>IFERROR(IF(AND(COUNT(AI343,AJ343,AK343,AM343)=4,N(AM347)&lt;&gt;0),(AI343+AJ343+AK343+AM343)/AM347,""),"")</f>
        <v>0.694690573623976</v>
      </c>
      <c r="AN342" s="257">
        <f>IFERROR(IF(AND(COUNT(AJ343,AK343,AM343,AN343)=4,N(AN347)&lt;&gt;0),(AJ343+AK343+AM343+AN343)/AN347,""),"")</f>
        <v>0.575331981735686</v>
      </c>
      <c r="AO342" s="257">
        <f>IFERROR(IF(AND(COUNT(AK343,AM343,AN343,AO343)=4,N(AO347)&lt;&gt;0),(AK343+AM343+AN343+AO343)/AO347,""),"")</f>
        <v>0.772067335986238</v>
      </c>
      <c r="AP342" s="257">
        <f>IFERROR(IF(AND(COUNT(AM343,AN343,AO343,AP343)=4,N(AP347)&lt;&gt;0),(AM343+AN343+AO343+AP343)/AP347,""),"")</f>
        <v>0.798976787336172</v>
      </c>
      <c r="AQ342" s="257">
        <f>IFERROR(IF(AND(COUNT(AM343,AN343,AO343,AP343)=4,N(AQ347)&lt;&gt;0),(AM343+AN343+AO343+AP343)/AQ347,""),"")</f>
        <v>0.798976787336172</v>
      </c>
      <c r="AR342" s="257">
        <f>IFERROR(IF(AND(COUNT(AN343,AO343,AP343,AR343)=4,N(AR347)&lt;&gt;0),(AN343+AO343+AP343+AR343)/AR347,""),"")</f>
        <v>0.737187743198856</v>
      </c>
      <c r="AS342" s="257">
        <f>IFERROR(IF(AND(COUNT(AO343,AP343,AR343,AS343)=4,N(AS347)&lt;&gt;0),(AO343+AP343+AR343+AS343)/AS347,""),"")</f>
        <v>0.684790384508713</v>
      </c>
      <c r="AT342" s="257">
        <f>IFERROR(IF(AND(COUNT(AP343,AR343,AS343,AT343)=4,N(AT347)&lt;&gt;0),(AP343+AR343+AS343+AT343)/AT347,""),"")</f>
        <v>0.948601431550916</v>
      </c>
      <c r="AU342" s="257">
        <f>IFERROR(IF(AND(COUNT(AR343,AS343,AT343,AU343)=4,N(AU347)&lt;&gt;0),(AR343+AS343+AT343+AU343)/AU347,""),"")</f>
        <v>0.958185169718966</v>
      </c>
      <c r="AV342" s="257">
        <f>IFERROR(IF(AND(COUNT(AR343,AS343,AT343,AU343)=4,N(AV347)&lt;&gt;0),(AR343+AS343+AT343+AU343)/AV347,""),"")</f>
        <v>0.958185169718966</v>
      </c>
      <c r="AW342" s="257">
        <f>IFERROR(IF(AND(COUNT(AS343,AT343,AU343,AW343)=4,N(AW347)&lt;&gt;0),(AS343+AT343+AU343+AW343)/AW347,""),"")</f>
        <v>0.837236193510777</v>
      </c>
      <c r="AX342" s="257">
        <f>IFERROR(IF(AND(COUNT(AT343,AU343,AW343,AX343)=4,N(AX347)&lt;&gt;0),(AT343+AU343+AW343+AX343)/AX347,""),"")</f>
        <v>0.749512361253259</v>
      </c>
      <c r="AY342" s="257">
        <f>IFERROR(IF(AND(COUNT(AU343,AW343,AX343,AY343)=4,N(AY347)&lt;&gt;0),(AU343+AW343+AX343+AY343)/AY347,""),"")</f>
        <v>1.05823067340479</v>
      </c>
      <c r="AZ342" s="257">
        <f>IFERROR(IF(AND(COUNT(AW343,AX343,AY343,AZ343)=4,N(AZ347)&lt;&gt;0),(AW343+AX343+AY343+AZ343)/AZ347,""),"")</f>
        <v>1.05317392565692</v>
      </c>
      <c r="BA342" s="257">
        <f>IFERROR(IF(AND(COUNT(AW343,AX343,AY343,AZ343)=4,N(BA347)&lt;&gt;0),(AW343+AX343+AY343+AZ343)/BA347,""),"")</f>
        <v>1.05317392565692</v>
      </c>
      <c r="BB342" s="257">
        <f>IFERROR(IF(AND(COUNT(AX343,AY343,AZ343,BB343)=4,N(BB347)&lt;&gt;0),(AX343+AY343+AZ343+BB343)/BB347,""),"")</f>
        <v>0.894792083230439</v>
      </c>
      <c r="BC342" s="257">
        <f>IFERROR(IF(AND(COUNT(AY343,AZ343,BB343,BC343)=4,N(BC347)&lt;&gt;0),(AY343+AZ343+BB343+BC343)/BC347,""),"")</f>
        <v>0.783117093071003</v>
      </c>
      <c r="BD342" s="257">
        <f>IFERROR(IF(AND(COUNT(AZ343,BB343,BC343,BD343)=4,N(BD347)&lt;&gt;0),(AZ343+BB343+BC343+BD343)/BD347,""),"")</f>
        <v>1.11656522772545</v>
      </c>
      <c r="BE342" s="257">
        <f>IFERROR(IF(AND(COUNT(BB343,BC343,BD343,BE343)=4,N(BE347)&lt;&gt;0),(BB343+BC343+BD343+BE343)/BE347,""),"")</f>
        <v>1.10245251162347</v>
      </c>
      <c r="BF342" s="257">
        <f>IFERROR(IF(AND(COUNT(BB343,BC343,BD343,BE343)=4,N(BF347)&lt;&gt;0),(BB343+BC343+BD343+BE343)/BF347,""),"")</f>
        <v>1.10245251162347</v>
      </c>
      <c r="BG342" s="81" t="n"/>
      <c r="BH342" s="81" t="n"/>
      <c r="BI342" s="81" t="n"/>
      <c r="BJ342" s="81" t="n"/>
      <c r="BL342" s="81" t="n"/>
      <c r="BM342" s="81" t="n"/>
      <c r="BN342" s="81" t="n"/>
      <c r="BO342" s="81" t="n"/>
      <c r="BQ342" s="81" t="n"/>
      <c r="BR342" s="81" t="n"/>
      <c r="BS342" s="81" t="n"/>
      <c r="BT342" s="81" t="n"/>
      <c r="BV342" s="81" t="n"/>
      <c r="BW342" s="81" t="n"/>
      <c r="BX342" s="81" t="n"/>
      <c r="BY342" s="81" t="n"/>
      <c r="CA342" s="81" t="n"/>
      <c r="CB342" s="81" t="n"/>
      <c r="CC342" s="81" t="n"/>
      <c r="CD342" s="81" t="n"/>
      <c r="CF342" s="81" t="n"/>
      <c r="CG342" s="81" t="n"/>
      <c r="CH342" s="81" t="n"/>
      <c r="CI342" s="81" t="n"/>
      <c r="CK342" s="81" t="n"/>
      <c r="CL342" s="81" t="n"/>
      <c r="CM342" s="81" t="n"/>
      <c r="CN342" s="81" t="n"/>
      <c r="CP342" s="81" t="n"/>
      <c r="CQ342" s="81" t="n"/>
      <c r="CR342" s="81" t="n"/>
      <c r="CS342" s="81" t="n"/>
      <c r="CU342" s="81" t="n"/>
      <c r="CV342" s="81" t="n"/>
      <c r="CW342" s="81" t="n"/>
      <c r="CX342" s="81" t="n"/>
    </row>
    <row r="343" customFormat="1" s="77">
      <c r="A343" s="76" t="n"/>
      <c r="B343" s="76" t="n"/>
      <c r="C343" s="77" t="inlineStr">
        <is>
          <t>NOPLAT</t>
        </is>
      </c>
      <c r="D343">
        <f>IFERROR(D344*(1-D345),"")</f>
        <v>0</v>
      </c>
      <c r="E343">
        <f>IFERROR(E344*(1-E345),"")</f>
        <v>0</v>
      </c>
      <c r="F343">
        <f>IFERROR(F344*(1-F345),"")</f>
        <v>0</v>
      </c>
      <c r="G343">
        <f>IFERROR(G344*(1-G345),"")</f>
        <v>0</v>
      </c>
      <c r="H343" s="263">
        <f>IFERROR(H344*(1-N(H345)),0)</f>
        <v>0</v>
      </c>
      <c r="I343" s="263">
        <f>IFERROR(I344*(1-N(I345)),0)</f>
        <v>612.883464566929</v>
      </c>
      <c r="J343" s="263">
        <f>IFERROR(J344*(1-N(J345)),0)</f>
        <v>1734.2519379845</v>
      </c>
      <c r="K343" s="263">
        <f>IFERROR(K344*(1-N(K345)),0)</f>
        <v>2723.51158038147</v>
      </c>
      <c r="L343" s="263">
        <f>IFERROR(L344*(1-N(L345)),0)</f>
        <v>2402.44426814756</v>
      </c>
      <c r="M343" s="263">
        <f>IFERROR(M344*(1-N(M345)),0)</f>
        <v>7475.32641174981</v>
      </c>
      <c r="N343" s="263">
        <f>IFERROR(N344*(1-N(N345)),0)</f>
        <v>2287.23953766441</v>
      </c>
      <c r="O343" s="263">
        <f>IFERROR(O344*(1-N(O345)),0)</f>
        <v>2644.08299866131</v>
      </c>
      <c r="P343" s="263">
        <f>IFERROR(P344*(1-N(P345)),0)</f>
        <v>1466.15389568577</v>
      </c>
      <c r="Q343" s="263">
        <f>IFERROR(Q344*(1-N(Q345)),0)</f>
        <v>-209</v>
      </c>
      <c r="R343" s="263">
        <f>IFERROR(R344*(1-N(R345)),0)</f>
        <v>6186.18184463195</v>
      </c>
      <c r="S343" s="263">
        <f>IFERROR(S344*(1-N(S345)),0)</f>
        <v>-2303</v>
      </c>
      <c r="T343" s="263">
        <f>IFERROR(T344*(1-N(T345)),0)</f>
        <v>-1761</v>
      </c>
      <c r="U343" s="263">
        <f>IFERROR(U344*(1-N(U345)),0)</f>
        <v>-1447.7695473251</v>
      </c>
      <c r="V343" s="263">
        <f>IFERROR(V344*(1-N(V345)),0)</f>
        <v>-1128</v>
      </c>
      <c r="W343" s="263">
        <f>IFERROR(W344*(1-N(W345)),0)</f>
        <v>-6664</v>
      </c>
      <c r="X343" s="263">
        <f>IFERROR(X344*(1-N(X345)),0)</f>
        <v>191</v>
      </c>
      <c r="Y343" s="263">
        <f>IFERROR(Y344*(1-N(Y345)),0)</f>
        <v>339.890909090909</v>
      </c>
      <c r="Z343" s="263">
        <f>IFERROR(Z344*(1-N(Z345)),0)</f>
        <v>894.049006622517</v>
      </c>
      <c r="AA343" s="263">
        <f>IFERROR(AA344*(1-N(AA345)),0)</f>
        <v>1888.10687732342</v>
      </c>
      <c r="AB343" s="263">
        <f>IFERROR(AB344*(1-N(AB345)),0)</f>
        <v>3936.42313613371</v>
      </c>
      <c r="AC343" s="263">
        <f>IFERROR(AC344*(1-N(AC345)),0)</f>
        <v>1594.48976109215</v>
      </c>
      <c r="AD343" s="263">
        <f>IFERROR(AD344*(1-N(AD345)),0)</f>
        <v>1927.77188831046</v>
      </c>
      <c r="AE343" s="263">
        <f>IFERROR(AE344*(1-N(AE345)),0)</f>
        <v>3222.28256678601</v>
      </c>
      <c r="AF343" s="263">
        <f>IFERROR(AF344*(1-N(AF345)),0)</f>
        <v>5296.74179178354</v>
      </c>
      <c r="AG343" s="263">
        <f>IFERROR(AG344*(1-N(AG345)),0)</f>
        <v>12041.1911818919</v>
      </c>
      <c r="AH343" s="263">
        <f>IFERROR(AH344*(1-N(AH345)),0)</f>
        <v>13767.6680074257</v>
      </c>
      <c r="AI343" s="263">
        <f>IFERROR(AI344*(1-N(AI345)),0)</f>
        <v>28324.1121281465</v>
      </c>
      <c r="AJ343" s="263">
        <f>IFERROR(AJ344*(1-N(AJ345)),0)</f>
        <v>9794.42394374663</v>
      </c>
      <c r="AK343" s="263">
        <f>IFERROR(AK344*(1-N(AK345)),0)</f>
        <v>11809.5736513067</v>
      </c>
      <c r="AL343" s="263">
        <f>IFERROR(AL344*(1-N(AL345)),0)</f>
        <v>63698.1029620841</v>
      </c>
      <c r="AM343" s="263">
        <f>IFERROR(AM344*(1-N(AM345)),0)</f>
        <v>20653.5532742196</v>
      </c>
      <c r="AN343" s="263">
        <f>IFERROR(AN344*(1-N(AN345)),0)</f>
        <v>35884.8996033549</v>
      </c>
      <c r="AO343" s="263">
        <f>IFERROR(AO344*(1-N(AO345)),0)</f>
        <v>21539.3718559601</v>
      </c>
      <c r="AP343" s="263">
        <f>IFERROR(AP344*(1-N(AP345)),0)</f>
        <v>25970.9810190777</v>
      </c>
      <c r="AQ343" s="263">
        <f>IFERROR(AQ344*(1-N(AQ345)),0)</f>
        <v>104048.805752612</v>
      </c>
      <c r="AR343" s="263">
        <f>IFERROR(AR344*(1-N(AR345)),0)</f>
        <v>45316.9189312169</v>
      </c>
      <c r="AS343" s="263">
        <f>IFERROR(AS344*(1-N(AS345)),0)</f>
        <v>78736.7221799048</v>
      </c>
      <c r="AT343" s="263">
        <f>IFERROR(AT344*(1-N(AT345)),0)</f>
        <v>47260.5345562633</v>
      </c>
      <c r="AU343" s="263">
        <f>IFERROR(AU344*(1-N(AU345)),0)</f>
        <v>56984.1337119841</v>
      </c>
      <c r="AV343" s="263">
        <f>IFERROR(AV344*(1-N(AV345)),0)</f>
        <v>228298.309379369</v>
      </c>
      <c r="AW343" s="263">
        <f>IFERROR(AW344*(1-N(AW345)),0)</f>
        <v>99205.3685493041</v>
      </c>
      <c r="AX343" s="263">
        <f>IFERROR(AX344*(1-N(AX345)),0)</f>
        <v>172366.209496226</v>
      </c>
      <c r="AY343" s="263">
        <f>IFERROR(AY344*(1-N(AY345)),0)</f>
        <v>103460.227638325</v>
      </c>
      <c r="AZ343" s="263">
        <f>IFERROR(AZ344*(1-N(AZ345)),0)</f>
        <v>124746.60942728</v>
      </c>
      <c r="BA343" s="263">
        <f>IFERROR(BA344*(1-N(BA345)),0)</f>
        <v>499778.415111135</v>
      </c>
      <c r="BB343" s="263">
        <f>IFERROR(BB344*(1-N(BB345)),0)</f>
        <v>216679.045538966</v>
      </c>
      <c r="BC343" s="263">
        <f>IFERROR(BC344*(1-N(BC345)),0)</f>
        <v>376473.030673235</v>
      </c>
      <c r="BD343" s="263">
        <f>IFERROR(BD344*(1-N(BD345)),0)</f>
        <v>225972.280570432</v>
      </c>
      <c r="BE343" s="263">
        <f>IFERROR(BE344*(1-N(BE345)),0)</f>
        <v>272464.854071799</v>
      </c>
      <c r="BF343" s="263">
        <f>IFERROR(BF344*(1-N(BF345)),0)</f>
        <v>1091589.21085443</v>
      </c>
      <c r="BG343" s="85" t="n"/>
      <c r="BH343" s="76" t="n"/>
      <c r="BI343" s="76" t="n"/>
      <c r="BJ343" s="76" t="n"/>
      <c r="BL343" s="85" t="n"/>
      <c r="BM343" s="76" t="n"/>
      <c r="BN343" s="76" t="n"/>
      <c r="BO343" s="76" t="n"/>
      <c r="BQ343" s="85" t="n"/>
      <c r="BR343" s="76" t="n"/>
      <c r="BS343" s="76" t="n"/>
      <c r="BT343" s="76" t="n"/>
      <c r="BV343" s="85" t="n"/>
      <c r="BW343" s="76" t="n"/>
      <c r="BX343" s="76" t="n"/>
      <c r="BY343" s="76" t="n"/>
      <c r="CA343" s="85" t="n"/>
      <c r="CB343" s="76" t="n"/>
      <c r="CC343" s="76" t="n"/>
      <c r="CD343" s="76" t="n"/>
      <c r="CF343" s="85" t="n"/>
      <c r="CG343" s="76" t="n"/>
      <c r="CH343" s="76" t="n"/>
      <c r="CI343" s="76" t="n"/>
      <c r="CK343" s="85" t="n"/>
      <c r="CL343" s="76" t="n"/>
      <c r="CM343" s="76" t="n"/>
      <c r="CN343" s="76" t="n"/>
      <c r="CP343" s="85" t="n"/>
      <c r="CQ343" s="76" t="n"/>
      <c r="CR343" s="76" t="n"/>
      <c r="CS343" s="76" t="n"/>
      <c r="CU343" s="85" t="n"/>
      <c r="CV343" s="76" t="n"/>
      <c r="CW343" s="76" t="n"/>
      <c r="CX343" s="76" t="n"/>
    </row>
    <row r="344" customFormat="1" s="77">
      <c r="A344" s="76" t="n"/>
      <c r="B344" s="76" t="n"/>
      <c r="C344" s="77" t="inlineStr">
        <is>
          <t>EBIT</t>
        </is>
      </c>
      <c r="D344" s="86">
        <f>IFERROR(D126,"")</f>
        <v>0</v>
      </c>
      <c r="E344" s="86">
        <f>IFERROR(E126,"")</f>
        <v>0</v>
      </c>
      <c r="F344" s="86">
        <f>IFERROR(F126,"")</f>
        <v>0</v>
      </c>
      <c r="G344" s="86">
        <f>IFERROR(G126,"")</f>
        <v>0</v>
      </c>
      <c r="H344" s="263">
        <f>IFERROR(H69,0)</f>
        <v>0</v>
      </c>
      <c r="I344" s="263">
        <f>IFERROR(I69,0)</f>
        <v>663</v>
      </c>
      <c r="J344" s="263">
        <f>IFERROR(J69,0)</f>
        <v>1799</v>
      </c>
      <c r="K344" s="263">
        <f>IFERROR(K69,0)</f>
        <v>2955</v>
      </c>
      <c r="L344" s="263">
        <f>IFERROR(L69,0)</f>
        <v>2631</v>
      </c>
      <c r="M344" s="263">
        <f>IFERROR(M69,0)</f>
        <v>8048</v>
      </c>
      <c r="N344" s="263">
        <f>IFERROR(N69,0)</f>
        <v>2546</v>
      </c>
      <c r="O344" s="263">
        <f>IFERROR(O69,0)</f>
        <v>3004</v>
      </c>
      <c r="P344" s="263">
        <f>IFERROR(P69,0)</f>
        <v>1521</v>
      </c>
      <c r="Q344" s="263">
        <f>IFERROR(Q69,0)</f>
        <v>-209</v>
      </c>
      <c r="R344" s="263">
        <f>IFERROR(R69,0)</f>
        <v>6862</v>
      </c>
      <c r="S344" s="263">
        <f>IFERROR(S69,0)</f>
        <v>-2303</v>
      </c>
      <c r="T344" s="263">
        <f>IFERROR(T69,0)</f>
        <v>-1761</v>
      </c>
      <c r="U344" s="263">
        <f>IFERROR(U69,0)</f>
        <v>-1472</v>
      </c>
      <c r="V344" s="263">
        <f>IFERROR(V69,0)</f>
        <v>-1128</v>
      </c>
      <c r="W344" s="263">
        <f>IFERROR(W69,0)</f>
        <v>-6664</v>
      </c>
      <c r="X344" s="263">
        <f>IFERROR(X69,0)</f>
        <v>191</v>
      </c>
      <c r="Y344" s="263">
        <f>IFERROR(Y69,0)</f>
        <v>719</v>
      </c>
      <c r="Z344" s="263">
        <f>IFERROR(Z69,0)</f>
        <v>1522</v>
      </c>
      <c r="AA344" s="263">
        <f>IFERROR(AA69,0)</f>
        <v>2174</v>
      </c>
      <c r="AB344" s="263">
        <f>IFERROR(AB69,0)</f>
        <v>4606</v>
      </c>
      <c r="AC344" s="263">
        <f>IFERROR(AC69,0)</f>
        <v>1773</v>
      </c>
      <c r="AD344" s="263">
        <f>IFERROR(AD69,0)</f>
        <v>2169</v>
      </c>
      <c r="AE344" s="263">
        <f>IFERROR(AE69,0)</f>
        <v>3654</v>
      </c>
      <c r="AF344" s="263">
        <f>IFERROR(AF69,0)</f>
        <v>6136</v>
      </c>
      <c r="AG344" s="263">
        <f>IFERROR(AG69,0)</f>
        <v>13732</v>
      </c>
      <c r="AH344" s="263">
        <f>IFERROR(AH69,0)</f>
        <v>16135</v>
      </c>
      <c r="AI344" s="263">
        <f>IFERROR(AI69,0)</f>
        <v>33318</v>
      </c>
      <c r="AJ344" s="263">
        <f>IFERROR(AJ69,0)</f>
        <v>11222.335454261</v>
      </c>
      <c r="AK344" s="263">
        <f>IFERROR(AK69,0)</f>
        <v>13531.270225584</v>
      </c>
      <c r="AL344" s="263">
        <f>IFERROR(AL69,0)</f>
        <v>74206.605679845</v>
      </c>
      <c r="AM344" s="263">
        <f>IFERROR(AM69,0)</f>
        <v>23664.5977851231</v>
      </c>
      <c r="AN344" s="263">
        <f>IFERROR(AN69,0)</f>
        <v>41116.4947937998</v>
      </c>
      <c r="AO344" s="263">
        <f>IFERROR(AO69,0)</f>
        <v>24679.5582700893</v>
      </c>
      <c r="AP344" s="263">
        <f>IFERROR(AP69,0)</f>
        <v>29757.2437895562</v>
      </c>
      <c r="AQ344" s="263">
        <f>IFERROR(AQ69,0)</f>
        <v>119217.894638569</v>
      </c>
      <c r="AR344" s="263">
        <f>IFERROR(AR69,0)</f>
        <v>51923.5913128271</v>
      </c>
      <c r="AS344" s="263">
        <f>IFERROR(AS69,0)</f>
        <v>90215.6077730327</v>
      </c>
      <c r="AT344" s="263">
        <f>IFERROR(AT69,0)</f>
        <v>54150.5631759697</v>
      </c>
      <c r="AU344" s="263">
        <f>IFERROR(AU69,0)</f>
        <v>65291.7484233101</v>
      </c>
      <c r="AV344" s="263">
        <f>IFERROR(AV69,0)</f>
        <v>261581.51068514</v>
      </c>
      <c r="AW344" s="263">
        <f>IFERROR(AW69,0)</f>
        <v>113668.341407122</v>
      </c>
      <c r="AX344" s="263">
        <f>IFERROR(AX69,0)</f>
        <v>197495.170216834</v>
      </c>
      <c r="AY344" s="263">
        <f>IFERROR(AY69,0)</f>
        <v>118543.50877601</v>
      </c>
      <c r="AZ344" s="263">
        <f>IFERROR(AZ69,0)</f>
        <v>142933.194010703</v>
      </c>
      <c r="BA344" s="263">
        <f>IFERROR(BA69,0)</f>
        <v>572640.214410669</v>
      </c>
      <c r="BB344" s="263">
        <f>IFERROR(BB69,0)</f>
        <v>248268.295196666</v>
      </c>
      <c r="BC344" s="263">
        <f>IFERROR(BC69,0)</f>
        <v>431358.358997191</v>
      </c>
      <c r="BD344" s="263">
        <f>IFERROR(BD69,0)</f>
        <v>258916.374305492</v>
      </c>
      <c r="BE344" s="263">
        <f>IFERROR(BE69,0)</f>
        <v>312187.016760922</v>
      </c>
      <c r="BF344" s="263">
        <f>IFERROR(BF69,0)</f>
        <v>1250730.04526027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ETR (LIMITED TO 0%-100%)</t>
        </is>
      </c>
      <c r="D345" s="87">
        <f>IFERROR(D128,"")</f>
        <v>0</v>
      </c>
      <c r="E345" s="87">
        <f>IFERROR(E128,"")</f>
        <v>0</v>
      </c>
      <c r="F345" s="87">
        <f>IFERROR(F128,"")</f>
        <v>0</v>
      </c>
      <c r="G345" s="87">
        <f>IFERROR(G128,"")</f>
        <v>0</v>
      </c>
      <c r="H345" s="258" t="str">
        <f>IFERROR(IF(N(H126)&lt;&gt;0,MAX(0,MIN(1,-H127/H126)),""),"")</f>
        <v/>
      </c>
      <c r="I345" s="258">
        <f>IFERROR(IF(N(I126)&lt;&gt;0,MAX(0,MIN(1,-I127/I126)),""),"")</f>
        <v>0.0755905511811024</v>
      </c>
      <c r="J345" s="258">
        <f>IFERROR(IF(N(J126)&lt;&gt;0,MAX(0,MIN(1,-J127/J126)),""),"")</f>
        <v>0.0359911406423034</v>
      </c>
      <c r="K345" s="258">
        <f>IFERROR(IF(N(K126)&lt;&gt;0,MAX(0,MIN(1,-K127/K126)),""),"")</f>
        <v>0.0783378746594006</v>
      </c>
      <c r="L345" s="258">
        <f>IFERROR(IF(N(L126)&lt;&gt;0,MAX(0,MIN(1,-L127/L126)),""),"")</f>
        <v>0.0868702895676319</v>
      </c>
      <c r="M345" s="258">
        <f>IFERROR(IF(N(M126)&lt;&gt;0,MAX(0,MIN(1,-M127/M126)),""),"")</f>
        <v>0.0711572550012661</v>
      </c>
      <c r="N345" s="258">
        <f>IFERROR(IF(N(N126)&lt;&gt;0,MAX(0,MIN(1,-N127/N126)),""),"")</f>
        <v>0.101634117178159</v>
      </c>
      <c r="O345" s="258">
        <f>IFERROR(IF(N(O126)&lt;&gt;0,MAX(0,MIN(1,-O127/O126)),""),"")</f>
        <v>0.119812583668005</v>
      </c>
      <c r="P345" s="258">
        <f>IFERROR(IF(N(P126)&lt;&gt;0,MAX(0,MIN(1,-P127/P126)),""),"")</f>
        <v>0.0360592401802962</v>
      </c>
      <c r="Q345" s="258">
        <f>IFERROR(IF(N(Q126)&lt;&gt;0,MAX(0,MIN(1,-Q127/Q126)),""),"")</f>
        <v>0</v>
      </c>
      <c r="R345" s="258">
        <f>IFERROR(IF(N(R126)&lt;&gt;0,MAX(0,MIN(1,-R127/R126)),""),"")</f>
        <v>0.0984870526622054</v>
      </c>
      <c r="S345" s="258">
        <f>IFERROR(IF(N(S126)&lt;&gt;0,MAX(0,MIN(1,-S127/S126)),""),"")</f>
        <v>0</v>
      </c>
      <c r="T345" s="258">
        <f>IFERROR(IF(N(T126)&lt;&gt;0,MAX(0,MIN(1,-T127/T126)),""),"")</f>
        <v>0</v>
      </c>
      <c r="U345" s="258">
        <f>IFERROR(IF(N(U126)&lt;&gt;0,MAX(0,MIN(1,-U127/U126)),""),"")</f>
        <v>0.0164609053497942</v>
      </c>
      <c r="V345" s="258">
        <f>IFERROR(IF(N(V126)&lt;&gt;0,MAX(0,MIN(1,-V127/V126)),""),"")</f>
        <v>0</v>
      </c>
      <c r="W345" s="258">
        <f>IFERROR(IF(N(W126)&lt;&gt;0,MAX(0,MIN(1,-W127/W126)),""),"")</f>
        <v>0</v>
      </c>
      <c r="X345" s="258">
        <f>IFERROR(IF(N(X126)&lt;&gt;0,MAX(0,MIN(1,-X127/X126)),""),"")</f>
        <v>0</v>
      </c>
      <c r="Y345" s="258">
        <f>IFERROR(IF(N(Y126)&lt;&gt;0,MAX(0,MIN(1,-Y127/Y126)),""),"")</f>
        <v>0.527272727272727</v>
      </c>
      <c r="Z345" s="258">
        <f>IFERROR(IF(N(Z126)&lt;&gt;0,MAX(0,MIN(1,-Z127/Z126)),""),"")</f>
        <v>0.412582781456954</v>
      </c>
      <c r="AA345" s="258">
        <f>IFERROR(IF(N(AA126)&lt;&gt;0,MAX(0,MIN(1,-AA127/AA126)),""),"")</f>
        <v>0.131505576208178</v>
      </c>
      <c r="AB345" s="258">
        <f>IFERROR(IF(N(AB126)&lt;&gt;0,MAX(0,MIN(1,-AB127/AB126)),""),"")</f>
        <v>0.145370574004838</v>
      </c>
      <c r="AC345" s="258">
        <f>IFERROR(IF(N(AC126)&lt;&gt;0,MAX(0,MIN(1,-AC127/AC126)),""),"")</f>
        <v>0.100682593856655</v>
      </c>
      <c r="AD345" s="258">
        <f>IFERROR(IF(N(AD126)&lt;&gt;0,MAX(0,MIN(1,-AD127/AD126)),""),"")</f>
        <v>0.111216280170374</v>
      </c>
      <c r="AE345" s="258">
        <f>IFERROR(IF(N(AE126)&lt;&gt;0,MAX(0,MIN(1,-AE127/AE126)),""),"")</f>
        <v>0.118149270173506</v>
      </c>
      <c r="AF345" s="258">
        <f>IFERROR(IF(N(AF126)&lt;&gt;0,MAX(0,MIN(1,-AF127/AF126)),""),"")</f>
        <v>0.136776109552879</v>
      </c>
      <c r="AG345" s="258">
        <f>IFERROR(IF(N(AG126)&lt;&gt;0,MAX(0,MIN(1,-AG127/AG126)),""),"")</f>
        <v>0.123129101231291</v>
      </c>
      <c r="AH345" s="258">
        <f>IFERROR(IF(N(AH126)&lt;&gt;0,MAX(0,MIN(1,-AH127/AH126)),""),"")</f>
        <v>0.146720297029703</v>
      </c>
      <c r="AI345" s="258">
        <f>IFERROR(IF(N(AI126)&lt;&gt;0,MAX(0,MIN(1,-AI127/AI126)),""),"")</f>
        <v>0.149885583524027</v>
      </c>
      <c r="AJ345" s="258">
        <f>IFERROR(IF(N(AJ126)&lt;&gt;0,MAX(0,MIN(1,-AJ127/AJ126)),""),"")</f>
        <v>0.127238355717857</v>
      </c>
      <c r="AK345" s="258">
        <f>IFERROR(IF(N(AK126)&lt;&gt;0,MAX(0,MIN(1,-AK127/AK126)),""),"")</f>
        <v>0.127238355717857</v>
      </c>
      <c r="AL345" s="258">
        <f>IFERROR(IF(N(AL126)&lt;&gt;0,MAX(0,MIN(1,-AL127/AL126)),""),"")</f>
        <v>0.141611418841855</v>
      </c>
      <c r="AM345" s="258">
        <f>IFERROR(IF(N(AM126)&lt;&gt;0,MAX(0,MIN(1,-AM127/AM126)),""),"")</f>
        <v>0.127238355717857</v>
      </c>
      <c r="AN345" s="258">
        <f>IFERROR(IF(N(AN126)&lt;&gt;0,MAX(0,MIN(1,-AN127/AN126)),""),"")</f>
        <v>0.127238355717857</v>
      </c>
      <c r="AO345" s="258">
        <f>IFERROR(IF(N(AO126)&lt;&gt;0,MAX(0,MIN(1,-AO127/AO126)),""),"")</f>
        <v>0.127238355717857</v>
      </c>
      <c r="AP345" s="258">
        <f>IFERROR(IF(N(AP126)&lt;&gt;0,MAX(0,MIN(1,-AP127/AP126)),""),"")</f>
        <v>0.127238355717857</v>
      </c>
      <c r="AQ345" s="258">
        <f>IFERROR(IF(N(AQ126)&lt;&gt;0,MAX(0,MIN(1,-AQ127/AQ126)),""),"")</f>
        <v>0.127238355717857</v>
      </c>
      <c r="AR345" s="258">
        <f>IFERROR(IF(N(AR126)&lt;&gt;0,MAX(0,MIN(1,-AR127/AR126)),""),"")</f>
        <v>0.127238355717857</v>
      </c>
      <c r="AS345" s="258">
        <f>IFERROR(IF(N(AS126)&lt;&gt;0,MAX(0,MIN(1,-AS127/AS126)),""),"")</f>
        <v>0.127238355717857</v>
      </c>
      <c r="AT345" s="258">
        <f>IFERROR(IF(N(AT126)&lt;&gt;0,MAX(0,MIN(1,-AT127/AT126)),""),"")</f>
        <v>0.127238355717857</v>
      </c>
      <c r="AU345" s="258">
        <f>IFERROR(IF(N(AU126)&lt;&gt;0,MAX(0,MIN(1,-AU127/AU126)),""),"")</f>
        <v>0.127238355717857</v>
      </c>
      <c r="AV345" s="258">
        <f>IFERROR(IF(N(AV126)&lt;&gt;0,MAX(0,MIN(1,-AV127/AV126)),""),"")</f>
        <v>0.127238355717857</v>
      </c>
      <c r="AW345" s="258">
        <f>IFERROR(IF(N(AW126)&lt;&gt;0,MAX(0,MIN(1,-AW127/AW126)),""),"")</f>
        <v>0.127238355717857</v>
      </c>
      <c r="AX345" s="258">
        <f>IFERROR(IF(N(AX126)&lt;&gt;0,MAX(0,MIN(1,-AX127/AX126)),""),"")</f>
        <v>0.127238355717857</v>
      </c>
      <c r="AY345" s="258">
        <f>IFERROR(IF(N(AY126)&lt;&gt;0,MAX(0,MIN(1,-AY127/AY126)),""),"")</f>
        <v>0.127238355717857</v>
      </c>
      <c r="AZ345" s="258">
        <f>IFERROR(IF(N(AZ126)&lt;&gt;0,MAX(0,MIN(1,-AZ127/AZ126)),""),"")</f>
        <v>0.127238355717857</v>
      </c>
      <c r="BA345" s="258">
        <f>IFERROR(IF(N(BA126)&lt;&gt;0,MAX(0,MIN(1,-BA127/BA126)),""),"")</f>
        <v>0.127238355717857</v>
      </c>
      <c r="BB345" s="258">
        <f>IFERROR(IF(N(BB126)&lt;&gt;0,MAX(0,MIN(1,-BB127/BB126)),""),"")</f>
        <v>0.127238355717857</v>
      </c>
      <c r="BC345" s="258">
        <f>IFERROR(IF(N(BC126)&lt;&gt;0,MAX(0,MIN(1,-BC127/BC126)),""),"")</f>
        <v>0.127238355717857</v>
      </c>
      <c r="BD345" s="258">
        <f>IFERROR(IF(N(BD126)&lt;&gt;0,MAX(0,MIN(1,-BD127/BD126)),""),"")</f>
        <v>0.127238355717857</v>
      </c>
      <c r="BE345" s="258">
        <f>IFERROR(IF(N(BE126)&lt;&gt;0,MAX(0,MIN(1,-BE127/BE126)),""),"")</f>
        <v>0.127238355717857</v>
      </c>
      <c r="BF345" s="258">
        <f>IFERROR(IF(N(BF126)&lt;&gt;0,MAX(0,MIN(1,-BF127/BF126)),""),"")</f>
        <v>0.127238355717857</v>
      </c>
      <c r="BG345" s="88" t="n"/>
      <c r="BH345" s="88" t="n"/>
      <c r="BI345" s="88" t="n"/>
      <c r="BJ345" s="88" t="n"/>
      <c r="BL345" s="88" t="n"/>
      <c r="BM345" s="88" t="n"/>
      <c r="BN345" s="88" t="n"/>
      <c r="BO345" s="88" t="n"/>
      <c r="BQ345" s="88" t="n"/>
      <c r="BR345" s="88" t="n"/>
      <c r="BS345" s="88" t="n"/>
      <c r="BT345" s="88" t="n"/>
      <c r="BV345" s="88" t="n"/>
      <c r="BW345" s="88" t="n"/>
      <c r="BX345" s="88" t="n"/>
      <c r="BY345" s="88" t="n"/>
      <c r="CA345" s="88" t="n"/>
      <c r="CB345" s="88" t="n"/>
      <c r="CC345" s="88" t="n"/>
      <c r="CD345" s="88" t="n"/>
      <c r="CF345" s="88" t="n"/>
      <c r="CG345" s="88" t="n"/>
      <c r="CH345" s="88" t="n"/>
      <c r="CI345" s="88" t="n"/>
      <c r="CK345" s="88" t="n"/>
      <c r="CL345" s="88" t="n"/>
      <c r="CM345" s="88" t="n"/>
      <c r="CN345" s="88" t="n"/>
      <c r="CP345" s="88" t="n"/>
      <c r="CQ345" s="88" t="n"/>
      <c r="CR345" s="88" t="n"/>
      <c r="CS345" s="88" t="n"/>
      <c r="CU345" s="88" t="n"/>
      <c r="CV345" s="88" t="n"/>
      <c r="CW345" s="88" t="n"/>
      <c r="CX345" s="88" t="n"/>
    </row>
    <row r="346" customFormat="1" s="77">
      <c r="A346" s="76" t="n"/>
      <c r="B346" s="76" t="n"/>
      <c r="C346" s="77" t="inlineStr">
        <is>
          <t>INVESTED CAPITAL</t>
        </is>
      </c>
      <c r="D346" s="86">
        <f>IFERROR(D349-D350+D351,"")</f>
        <v>0</v>
      </c>
      <c r="E346" s="86">
        <f>IFERROR(E349-E350+E351,"")</f>
        <v>0</v>
      </c>
      <c r="F346" s="86">
        <f>IFERROR(F349-F350+F351,"")</f>
        <v>0</v>
      </c>
      <c r="G346" s="86">
        <f>IFERROR(G349-G350+G351,"")</f>
        <v>0</v>
      </c>
      <c r="H346" s="263">
        <f>IFERROR(H348+H351,0)</f>
        <v>0</v>
      </c>
      <c r="I346" s="263">
        <f>IFERROR(I348+I351,0)</f>
        <v>40628</v>
      </c>
      <c r="J346" s="263">
        <f>IFERROR(J348+J351,0)</f>
        <v>41138</v>
      </c>
      <c r="K346" s="263">
        <f>IFERROR(K348+K351,0)</f>
        <v>42580</v>
      </c>
      <c r="L346" s="263">
        <f>IFERROR(L348+L351,0)</f>
        <v>43873</v>
      </c>
      <c r="M346" s="263">
        <f>IFERROR(M348+M351,0)</f>
        <v>43873</v>
      </c>
      <c r="N346" s="263">
        <f>IFERROR(N348+N351,0)</f>
        <v>45334</v>
      </c>
      <c r="O346" s="263">
        <f>IFERROR(O348+O351,0)</f>
        <v>46646</v>
      </c>
      <c r="P346" s="263">
        <f>IFERROR(P348+P351,0)</f>
        <v>48092</v>
      </c>
      <c r="Q346" s="263">
        <f>IFERROR(Q348+Q351,0)</f>
        <v>49615</v>
      </c>
      <c r="R346" s="263">
        <f>IFERROR(R348+R351,0)</f>
        <v>49615</v>
      </c>
      <c r="S346" s="263">
        <f>IFERROR(S348+S351,0)</f>
        <v>49323</v>
      </c>
      <c r="T346" s="263">
        <f>IFERROR(T348+T351,0)</f>
        <v>48901</v>
      </c>
      <c r="U346" s="263">
        <f>IFERROR(U348+U351,0)</f>
        <v>48459</v>
      </c>
      <c r="V346" s="263">
        <f>IFERROR(V348+V351,0)</f>
        <v>47943</v>
      </c>
      <c r="W346" s="263">
        <f>IFERROR(W348+W351,0)</f>
        <v>47943</v>
      </c>
      <c r="X346" s="263">
        <f>IFERROR(X348+X351,0)</f>
        <v>49179</v>
      </c>
      <c r="Y346" s="263">
        <f>IFERROR(Y348+Y351,0)</f>
        <v>49713</v>
      </c>
      <c r="Z346" s="263">
        <f>IFERROR(Z348+Z351,0)</f>
        <v>51032</v>
      </c>
      <c r="AA346" s="263">
        <f>IFERROR(AA348+AA351,0)</f>
        <v>53582</v>
      </c>
      <c r="AB346" s="263">
        <f>IFERROR(AB348+AB351,0)</f>
        <v>53582</v>
      </c>
      <c r="AC346" s="263">
        <f>IFERROR(AC348+AC351,0)</f>
        <v>55372</v>
      </c>
      <c r="AD346" s="263">
        <f>IFERROR(AD348+AD351,0)</f>
        <v>56078</v>
      </c>
      <c r="AE346" s="263">
        <f>IFERROR(AE348+AE351,0)</f>
        <v>59136</v>
      </c>
      <c r="AF346" s="263">
        <f>IFERROR(AF348+AF351,0)</f>
        <v>60913</v>
      </c>
      <c r="AG346" s="263">
        <f>IFERROR(AG348+AG351,0)</f>
        <v>60913</v>
      </c>
      <c r="AH346" s="263">
        <f>IFERROR(AH348+AH351,0)</f>
        <v>68668</v>
      </c>
      <c r="AI346" s="263">
        <f>IFERROR(AI348+AI351,0)</f>
        <v>81078</v>
      </c>
      <c r="AJ346" s="263">
        <f>IFERROR(AJ348+AJ351,0)</f>
        <v>75818.6602912</v>
      </c>
      <c r="AK346" s="263">
        <f>IFERROR(AK348+AK351,0)</f>
        <v>82095.309945622</v>
      </c>
      <c r="AL346" s="263">
        <f>IFERROR(AL348+AL351,0)</f>
        <v>82095.309945622</v>
      </c>
      <c r="AM346" s="263">
        <f>IFERROR(AM348+AM351,0)</f>
        <v>102751.584471224</v>
      </c>
      <c r="AN346" s="263">
        <f>IFERROR(AN348+AN351,0)</f>
        <v>136971.496028926</v>
      </c>
      <c r="AO346" s="263">
        <f>IFERROR(AO348+AO351,0)</f>
        <v>117574.299015343</v>
      </c>
      <c r="AP346" s="263">
        <f>IFERROR(AP348+AP351,0)</f>
        <v>131377.570314672</v>
      </c>
      <c r="AQ346" s="263">
        <f>IFERROR(AQ348+AQ351,0)</f>
        <v>131377.570314672</v>
      </c>
      <c r="AR346" s="263">
        <f>IFERROR(AR348+AR351,0)</f>
        <v>175748.903192683</v>
      </c>
      <c r="AS346" s="263">
        <f>IFERROR(AS348+AS351,0)</f>
        <v>251685.051115305</v>
      </c>
      <c r="AT346" s="263">
        <f>IFERROR(AT348+AT351,0)</f>
        <v>209124.761711999</v>
      </c>
      <c r="AU346" s="263">
        <f>IFERROR(AU348+AU351,0)</f>
        <v>239411.159318849</v>
      </c>
      <c r="AV346" s="263">
        <f>IFERROR(AV348+AV351,0)</f>
        <v>239411.159318849</v>
      </c>
      <c r="AW346" s="263">
        <f>IFERROR(AW348+AW351,0)</f>
        <v>338195.580667224</v>
      </c>
      <c r="AX346" s="263">
        <f>IFERROR(AX348+AX351,0)</f>
        <v>502564.340499169</v>
      </c>
      <c r="AY346" s="263">
        <f>IFERROR(AY348+AY351,0)</f>
        <v>409393.637472589</v>
      </c>
      <c r="AZ346" s="263">
        <f>IFERROR(AZ348+AZ351,0)</f>
        <v>475694.994834919</v>
      </c>
      <c r="BA346" s="263">
        <f>IFERROR(BA348+BA351,0)</f>
        <v>475694.994834919</v>
      </c>
      <c r="BB346" s="263">
        <f>IFERROR(BB348+BB351,0)</f>
        <v>690977.39528981</v>
      </c>
      <c r="BC346" s="263">
        <f>IFERROR(BC348+BC351,0)</f>
        <v>1049982.82531459</v>
      </c>
      <c r="BD346" s="263">
        <f>IFERROR(BD348+BD351,0)</f>
        <v>846484.372567439</v>
      </c>
      <c r="BE346" s="263">
        <f>IFERROR(BE348+BE351,0)</f>
        <v>991296.24153467</v>
      </c>
      <c r="BF346" s="263">
        <f>IFERROR(BF348+BF351,0)</f>
        <v>991296.24153467</v>
      </c>
      <c r="BG346" s="63" t="n"/>
      <c r="BH346" s="63" t="n"/>
      <c r="BI346" s="63" t="n"/>
      <c r="BJ346" s="63" t="n"/>
      <c r="BL346" s="63" t="n"/>
      <c r="BM346" s="63" t="n"/>
      <c r="BN346" s="63" t="n"/>
      <c r="BO346" s="63" t="n"/>
      <c r="BQ346" s="63" t="n"/>
      <c r="BR346" s="63" t="n"/>
      <c r="BS346" s="63" t="n"/>
      <c r="BT346" s="63" t="n"/>
      <c r="BV346" s="63" t="n"/>
      <c r="BW346" s="63" t="n"/>
      <c r="BX346" s="63" t="n"/>
      <c r="BY346" s="63" t="n"/>
      <c r="CA346" s="63" t="n"/>
      <c r="CB346" s="63" t="n"/>
      <c r="CC346" s="63" t="n"/>
      <c r="CD346" s="63" t="n"/>
      <c r="CF346" s="63" t="n"/>
      <c r="CG346" s="63" t="n"/>
      <c r="CH346" s="63" t="n"/>
      <c r="CI346" s="63" t="n"/>
      <c r="CK346" s="63" t="n"/>
      <c r="CL346" s="63" t="n"/>
      <c r="CM346" s="63" t="n"/>
      <c r="CN346" s="63" t="n"/>
      <c r="CP346" s="63" t="n"/>
      <c r="CQ346" s="63" t="n"/>
      <c r="CR346" s="63" t="n"/>
      <c r="CS346" s="63" t="n"/>
      <c r="CU346" s="63" t="n"/>
      <c r="CV346" s="63" t="n"/>
      <c r="CW346" s="63" t="n"/>
      <c r="CX346" s="63" t="n"/>
    </row>
    <row r="347" customFormat="1" s="77">
      <c r="A347" s="76" t="n"/>
      <c r="B347" s="76" t="n"/>
      <c r="C347" s="77" t="inlineStr">
        <is>
          <t>INVESTED CAPITAL - EX GOODWILL</t>
        </is>
      </c>
      <c r="D347" s="89">
        <f>IFERROR(D346-D175,"")</f>
        <v>0</v>
      </c>
      <c r="E347" s="89">
        <f>IFERROR(E346-E175,"")</f>
        <v>0</v>
      </c>
      <c r="F347" s="89">
        <f>IFERROR(F346-F175,"")</f>
        <v>0</v>
      </c>
      <c r="G347" s="89">
        <f>IFERROR(G346-G175,"")</f>
        <v>0</v>
      </c>
      <c r="H347" s="263">
        <f>IFERROR(H346-N(H175),0)</f>
        <v>0</v>
      </c>
      <c r="I347" s="263">
        <f>IFERROR(I346-N(I175),0)</f>
        <v>39400</v>
      </c>
      <c r="J347" s="263">
        <f>IFERROR(J346-N(J175),0)</f>
        <v>39910</v>
      </c>
      <c r="K347" s="263">
        <f>IFERROR(K346-N(K175),0)</f>
        <v>41352</v>
      </c>
      <c r="L347" s="263">
        <f>IFERROR(L346-N(L175),0)</f>
        <v>42645</v>
      </c>
      <c r="M347" s="263">
        <f>IFERROR(M346-N(M175),0)</f>
        <v>42645</v>
      </c>
      <c r="N347" s="263">
        <f>IFERROR(N346-N(N175),0)</f>
        <v>44106</v>
      </c>
      <c r="O347" s="263">
        <f>IFERROR(O346-N(O175),0)</f>
        <v>45418</v>
      </c>
      <c r="P347" s="263">
        <f>IFERROR(P346-N(P175),0)</f>
        <v>46864</v>
      </c>
      <c r="Q347" s="263">
        <f>IFERROR(Q346-N(Q175),0)</f>
        <v>48387</v>
      </c>
      <c r="R347" s="263">
        <f>IFERROR(R346-N(R175),0)</f>
        <v>48387</v>
      </c>
      <c r="S347" s="263">
        <f>IFERROR(S346-N(S175),0)</f>
        <v>48095</v>
      </c>
      <c r="T347" s="263">
        <f>IFERROR(T346-N(T175),0)</f>
        <v>47649</v>
      </c>
      <c r="U347" s="263">
        <f>IFERROR(U346-N(U175),0)</f>
        <v>47309</v>
      </c>
      <c r="V347" s="263">
        <f>IFERROR(V346-N(V175),0)</f>
        <v>46793</v>
      </c>
      <c r="W347" s="263">
        <f>IFERROR(W346-N(W175),0)</f>
        <v>46793</v>
      </c>
      <c r="X347" s="263">
        <f>IFERROR(X346-N(X175),0)</f>
        <v>48029</v>
      </c>
      <c r="Y347" s="263">
        <f>IFERROR(Y346-N(Y175),0)</f>
        <v>48563</v>
      </c>
      <c r="Z347" s="263">
        <f>IFERROR(Z346-N(Z175),0)</f>
        <v>49882</v>
      </c>
      <c r="AA347" s="263">
        <f>IFERROR(AA346-N(AA175),0)</f>
        <v>52432</v>
      </c>
      <c r="AB347" s="263">
        <f>IFERROR(AB346-N(AB175),0)</f>
        <v>52432</v>
      </c>
      <c r="AC347" s="263">
        <f>IFERROR(AC346-N(AC175),0)</f>
        <v>54222</v>
      </c>
      <c r="AD347" s="263">
        <f>IFERROR(AD346-N(AD175),0)</f>
        <v>54928</v>
      </c>
      <c r="AE347" s="263">
        <f>IFERROR(AE346-N(AE175),0)</f>
        <v>57986</v>
      </c>
      <c r="AF347" s="263">
        <f>IFERROR(AF346-N(AF175),0)</f>
        <v>59763</v>
      </c>
      <c r="AG347" s="263">
        <f>IFERROR(AG346-N(AG175),0)</f>
        <v>59763</v>
      </c>
      <c r="AH347" s="263">
        <f>IFERROR(AH346-N(AH175),0)</f>
        <v>67518</v>
      </c>
      <c r="AI347" s="263">
        <f>IFERROR(AI346-N(AI175),0)</f>
        <v>79928</v>
      </c>
      <c r="AJ347" s="263">
        <f>IFERROR(AJ346-N(AJ175),0)</f>
        <v>74668.6602912</v>
      </c>
      <c r="AK347" s="263">
        <f>IFERROR(AK346-N(AK175),0)</f>
        <v>80945.309945622</v>
      </c>
      <c r="AL347" s="263">
        <f>IFERROR(AL346-N(AL175),0)</f>
        <v>80945.309945622</v>
      </c>
      <c r="AM347" s="263">
        <f>IFERROR(AM346-N(AM175),0)</f>
        <v>101601.584471224</v>
      </c>
      <c r="AN347" s="263">
        <f>IFERROR(AN346-N(AN175),0)</f>
        <v>135821.496028926</v>
      </c>
      <c r="AO347" s="263">
        <f>IFERROR(AO346-N(AO175),0)</f>
        <v>116424.299015343</v>
      </c>
      <c r="AP347" s="263">
        <f>IFERROR(AP346-N(AP175),0)</f>
        <v>130227.570314672</v>
      </c>
      <c r="AQ347" s="263">
        <f>IFERROR(AQ346-N(AQ175),0)</f>
        <v>130227.570314672</v>
      </c>
      <c r="AR347" s="263">
        <f>IFERROR(AR346-N(AR175),0)</f>
        <v>174598.903192683</v>
      </c>
      <c r="AS347" s="263">
        <f>IFERROR(AS346-N(AS175),0)</f>
        <v>250535.051115305</v>
      </c>
      <c r="AT347" s="263">
        <f>IFERROR(AT346-N(AT175),0)</f>
        <v>207974.761711999</v>
      </c>
      <c r="AU347" s="263">
        <f>IFERROR(AU346-N(AU175),0)</f>
        <v>238261.159318849</v>
      </c>
      <c r="AV347" s="263">
        <f>IFERROR(AV346-N(AV175),0)</f>
        <v>238261.159318849</v>
      </c>
      <c r="AW347" s="263">
        <f>IFERROR(AW346-N(AW175),0)</f>
        <v>337045.580667224</v>
      </c>
      <c r="AX347" s="263">
        <f>IFERROR(AX346-N(AX175),0)</f>
        <v>501414.340499169</v>
      </c>
      <c r="AY347" s="263">
        <f>IFERROR(AY346-N(AY175),0)</f>
        <v>408243.637472589</v>
      </c>
      <c r="AZ347" s="263">
        <f>IFERROR(AZ346-N(AZ175),0)</f>
        <v>474544.994834919</v>
      </c>
      <c r="BA347" s="263">
        <f>IFERROR(BA346-N(BA175),0)</f>
        <v>474544.994834919</v>
      </c>
      <c r="BB347" s="263">
        <f>IFERROR(BB346-N(BB175),0)</f>
        <v>689827.39528981</v>
      </c>
      <c r="BC347" s="263">
        <f>IFERROR(BC346-N(BC175),0)</f>
        <v>1048832.82531459</v>
      </c>
      <c r="BD347" s="263">
        <f>IFERROR(BD346-N(BD175),0)</f>
        <v>845334.372567439</v>
      </c>
      <c r="BE347" s="263">
        <f>IFERROR(BE346-N(BE175),0)</f>
        <v>990146.24153467</v>
      </c>
      <c r="BF347" s="263">
        <f>IFERROR(BF346-N(BF175),0)</f>
        <v>990146.24153467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  <c r="C348" s="77" t="inlineStr">
        <is>
          <t>OPERATING WORKING CAPITAL</t>
        </is>
      </c>
      <c r="D348" s="91">
        <f>IFERROR(D349-D350,"")</f>
        <v>0</v>
      </c>
      <c r="E348" s="91">
        <f>IFERROR(E349-E350,"")</f>
        <v>0</v>
      </c>
      <c r="F348" s="91">
        <f>IFERROR(F349-F350,"")</f>
        <v>0</v>
      </c>
      <c r="G348" s="91">
        <f>IFERROR(G349-G350,"")</f>
        <v>0</v>
      </c>
      <c r="H348" s="263">
        <f>IFERROR(H349-H350,0)</f>
        <v>0</v>
      </c>
      <c r="I348" s="263">
        <f>IFERROR(I349-I350,0)</f>
        <v>5711</v>
      </c>
      <c r="J348" s="263">
        <f>IFERROR(J349-J350,0)</f>
        <v>5869</v>
      </c>
      <c r="K348" s="263">
        <f>IFERROR(K349-K350,0)</f>
        <v>5787</v>
      </c>
      <c r="L348" s="263">
        <f>IFERROR(L349-L350,0)</f>
        <v>4963</v>
      </c>
      <c r="M348" s="263">
        <f>IFERROR(M349-M350,0)</f>
        <v>4963</v>
      </c>
      <c r="N348" s="263">
        <f>IFERROR(N349-N350,0)</f>
        <v>5347</v>
      </c>
      <c r="O348" s="263">
        <f>IFERROR(O349-O350,0)</f>
        <v>6261</v>
      </c>
      <c r="P348" s="263">
        <f>IFERROR(P349-P350,0)</f>
        <v>5716</v>
      </c>
      <c r="Q348" s="263">
        <f>IFERROR(Q349-Q350,0)</f>
        <v>6658</v>
      </c>
      <c r="R348" s="263">
        <f>IFERROR(R349-R350,0)</f>
        <v>6658</v>
      </c>
      <c r="S348" s="263">
        <f>IFERROR(S349-S350,0)</f>
        <v>6759</v>
      </c>
      <c r="T348" s="263">
        <f>IFERROR(T349-T350,0)</f>
        <v>7245</v>
      </c>
      <c r="U348" s="263">
        <f>IFERROR(U349-U350,0)</f>
        <v>7919</v>
      </c>
      <c r="V348" s="263">
        <f>IFERROR(V349-V350,0)</f>
        <v>7737</v>
      </c>
      <c r="W348" s="263">
        <f>IFERROR(W349-W350,0)</f>
        <v>7737</v>
      </c>
      <c r="X348" s="263">
        <f>IFERROR(X349-X350,0)</f>
        <v>9178</v>
      </c>
      <c r="Y348" s="263">
        <f>IFERROR(Y349-Y350,0)</f>
        <v>9095</v>
      </c>
      <c r="Z348" s="263">
        <f>IFERROR(Z349-Z350,0)</f>
        <v>7969</v>
      </c>
      <c r="AA348" s="263">
        <f>IFERROR(AA349-AA350,0)</f>
        <v>8897</v>
      </c>
      <c r="AB348" s="263">
        <f>IFERROR(AB349-AB350,0)</f>
        <v>8897</v>
      </c>
      <c r="AC348" s="263">
        <f>IFERROR(AC349-AC350,0)</f>
        <v>9653</v>
      </c>
      <c r="AD348" s="263">
        <f>IFERROR(AD349-AD350,0)</f>
        <v>7994</v>
      </c>
      <c r="AE348" s="263">
        <f>IFERROR(AE349-AE350,0)</f>
        <v>8256</v>
      </c>
      <c r="AF348" s="263">
        <f>IFERROR(AF349-AF350,0)</f>
        <v>8497</v>
      </c>
      <c r="AG348" s="263">
        <f>IFERROR(AG349-AG350,0)</f>
        <v>8497</v>
      </c>
      <c r="AH348" s="263">
        <f>IFERROR(AH349-AH350,0)</f>
        <v>13793</v>
      </c>
      <c r="AI348" s="263">
        <f>IFERROR(AI349-AI350,0)</f>
        <v>22509</v>
      </c>
      <c r="AJ348" s="263">
        <f>IFERROR(AJ349-AJ350,0)</f>
        <v>14843.4079110082</v>
      </c>
      <c r="AK348" s="263">
        <f>IFERROR(AK349-AK350,0)</f>
        <v>18218.7317834631</v>
      </c>
      <c r="AL348" s="263">
        <f>IFERROR(AL349-AL350,0)</f>
        <v>18218.7317834631</v>
      </c>
      <c r="AM348" s="263">
        <f>IFERROR(AM349-AM350,0)</f>
        <v>33800.9292616609</v>
      </c>
      <c r="AN348" s="263">
        <f>IFERROR(AN349-AN350,0)</f>
        <v>59204.7914447957</v>
      </c>
      <c r="AO348" s="263">
        <f>IFERROR(AO349-AO350,0)</f>
        <v>34515.8932455261</v>
      </c>
      <c r="AP348" s="263">
        <f>IFERROR(AP349-AP350,0)</f>
        <v>41938.7244850828</v>
      </c>
      <c r="AQ348" s="263">
        <f>IFERROR(AQ349-AQ350,0)</f>
        <v>41938.7244850828</v>
      </c>
      <c r="AR348" s="263">
        <f>IFERROR(AR349-AR350,0)</f>
        <v>75176.7896316289</v>
      </c>
      <c r="AS348" s="263">
        <f>IFERROR(AS349-AS350,0)</f>
        <v>131769.234826857</v>
      </c>
      <c r="AT348" s="263">
        <f>IFERROR(AT349-AT350,0)</f>
        <v>77598.1784791862</v>
      </c>
      <c r="AU348" s="263">
        <f>IFERROR(AU349-AU350,0)</f>
        <v>93884.9566939052</v>
      </c>
      <c r="AV348" s="263">
        <f>IFERROR(AV349-AV350,0)</f>
        <v>93884.9566939052</v>
      </c>
      <c r="AW348" s="263">
        <f>IFERROR(AW349-AW350,0)</f>
        <v>168297.025408721</v>
      </c>
      <c r="AX348" s="263">
        <f>IFERROR(AX349-AX350,0)</f>
        <v>290319.588644821</v>
      </c>
      <c r="AY348" s="263">
        <f>IFERROR(AY349-AY350,0)</f>
        <v>171731.217316385</v>
      </c>
      <c r="AZ348" s="263">
        <f>IFERROR(AZ349-AZ350,0)</f>
        <v>207385.35871387</v>
      </c>
      <c r="BA348" s="263">
        <f>IFERROR(BA349-BA350,0)</f>
        <v>207385.35871387</v>
      </c>
      <c r="BB348" s="263">
        <f>IFERROR(BB349-BB350,0)</f>
        <v>369434.973651169</v>
      </c>
      <c r="BC348" s="263">
        <f>IFERROR(BC349-BC350,0)</f>
        <v>635950.112124507</v>
      </c>
      <c r="BD348" s="263">
        <f>IFERROR(BD349-BD350,0)</f>
        <v>376935.751438012</v>
      </c>
      <c r="BE348" s="263">
        <f>IFERROR(BE349-BE350,0)</f>
        <v>454809.614924331</v>
      </c>
      <c r="BF348" s="263">
        <f>IFERROR(BF349-BF350,0)</f>
        <v>454809.614924331</v>
      </c>
      <c r="BG348" s="63" t="n"/>
      <c r="BH348" s="63" t="n"/>
      <c r="BI348" s="63" t="n"/>
      <c r="BJ348" s="63" t="n"/>
      <c r="BL348" s="63" t="n"/>
      <c r="BM348" s="63" t="n"/>
      <c r="BN348" s="63" t="n"/>
      <c r="BO348" s="63" t="n"/>
      <c r="BQ348" s="63" t="n"/>
      <c r="BR348" s="63" t="n"/>
      <c r="BS348" s="63" t="n"/>
      <c r="BT348" s="63" t="n"/>
      <c r="BV348" s="63" t="n"/>
      <c r="BW348" s="63" t="n"/>
      <c r="BX348" s="63" t="n"/>
      <c r="BY348" s="63" t="n"/>
      <c r="CA348" s="63" t="n"/>
      <c r="CB348" s="63" t="n"/>
      <c r="CC348" s="63" t="n"/>
      <c r="CD348" s="63" t="n"/>
      <c r="CF348" s="63" t="n"/>
      <c r="CG348" s="63" t="n"/>
      <c r="CH348" s="63" t="n"/>
      <c r="CI348" s="63" t="n"/>
      <c r="CK348" s="63" t="n"/>
      <c r="CL348" s="63" t="n"/>
      <c r="CM348" s="63" t="n"/>
      <c r="CN348" s="63" t="n"/>
      <c r="CP348" s="63" t="n"/>
      <c r="CQ348" s="63" t="n"/>
      <c r="CR348" s="63" t="n"/>
      <c r="CS348" s="63" t="n"/>
      <c r="CU348" s="63" t="n"/>
      <c r="CV348" s="63" t="n"/>
      <c r="CW348" s="63" t="n"/>
      <c r="CX348" s="63" t="n"/>
    </row>
    <row r="349" customFormat="1" s="77">
      <c r="A349" s="76" t="n"/>
      <c r="B349" s="76" t="n"/>
      <c r="C349" s="77" t="inlineStr">
        <is>
          <t>CURRENT ASSETS (OPERATING, EX CASH)</t>
        </is>
      </c>
      <c r="D349" s="89">
        <f>IFERROR(D141+D145+D149+D150+D151,"")</f>
        <v>0</v>
      </c>
      <c r="E349" s="89">
        <f>IFERROR(E141+E145+E149+E150+E151,"")</f>
        <v>0</v>
      </c>
      <c r="F349" s="89">
        <f>IFERROR(F141+F145+F149+F150+F151,"")</f>
        <v>0</v>
      </c>
      <c r="G349" s="89">
        <f>IFERROR(G141+G145+G149+G150+G151,"")</f>
        <v>0</v>
      </c>
      <c r="H349" s="263">
        <f>IFERROR((N(H141)+N(H145)+N(H149)+N(H150)+N(H151)),0)</f>
        <v>0</v>
      </c>
      <c r="I349" s="263">
        <f>IFERROR((N(I141)+N(I145)+N(I149)+N(I150)+N(I151)),0)</f>
        <v>10821</v>
      </c>
      <c r="J349" s="263">
        <f>IFERROR((N(J141)+N(J145)+N(J149)+N(J150)+N(J151)),0)</f>
        <v>11034</v>
      </c>
      <c r="K349" s="263">
        <f>IFERROR((N(K141)+N(K145)+N(K149)+N(K150)+N(K151)),0)</f>
        <v>12056</v>
      </c>
      <c r="L349" s="263">
        <f>IFERROR((N(L141)+N(L145)+N(L149)+N(L150)+N(L151)),0)</f>
        <v>11357</v>
      </c>
      <c r="M349" s="263">
        <f>IFERROR((N(M141)+N(M145)+N(M149)+N(M150)+N(M151)),0)</f>
        <v>11357</v>
      </c>
      <c r="N349" s="263">
        <f>IFERROR((N(N141)+N(N145)+N(N149)+N(N150)+N(N151)),0)</f>
        <v>12142</v>
      </c>
      <c r="O349" s="263">
        <f>IFERROR((N(O141)+N(O145)+N(O149)+N(O150)+N(O151)),0)</f>
        <v>13163</v>
      </c>
      <c r="P349" s="263">
        <f>IFERROR((N(P141)+N(P145)+N(P149)+N(P150)+N(P151)),0)</f>
        <v>13152</v>
      </c>
      <c r="Q349" s="263">
        <f>IFERROR((N(Q141)+N(Q145)+N(Q149)+N(Q150)+N(Q151)),0)</f>
        <v>13012</v>
      </c>
      <c r="R349" s="263">
        <f>IFERROR((N(R141)+N(R145)+N(R149)+N(R150)+N(R151)),0)</f>
        <v>13012</v>
      </c>
      <c r="S349" s="263">
        <f>IFERROR((N(S141)+N(S145)+N(S149)+N(S150)+N(S151)),0)</f>
        <v>11777</v>
      </c>
      <c r="T349" s="263">
        <f>IFERROR((N(T141)+N(T145)+N(T149)+N(T150)+N(T151)),0)</f>
        <v>12090</v>
      </c>
      <c r="U349" s="263">
        <f>IFERROR((N(U141)+N(U145)+N(U149)+N(U150)+N(U151)),0)</f>
        <v>12406</v>
      </c>
      <c r="V349" s="263">
        <f>IFERROR((N(V141)+N(V145)+N(V149)+N(V150)+N(V151)),0)</f>
        <v>12791</v>
      </c>
      <c r="W349" s="263">
        <f>IFERROR((N(W141)+N(W145)+N(W149)+N(W150)+N(W151)),0)</f>
        <v>12791</v>
      </c>
      <c r="X349" s="263">
        <f>IFERROR((N(X141)+N(X145)+N(X149)+N(X150)+N(X151)),0)</f>
        <v>15093</v>
      </c>
      <c r="Y349" s="263">
        <f>IFERROR((N(Y141)+N(Y145)+N(Y149)+N(Y150)+N(Y151)),0)</f>
        <v>15537</v>
      </c>
      <c r="Z349" s="263">
        <f>IFERROR((N(Z141)+N(Z145)+N(Z149)+N(Z150)+N(Z151)),0)</f>
        <v>16786</v>
      </c>
      <c r="AA349" s="263">
        <f>IFERROR((N(AA141)+N(AA145)+N(AA149)+N(AA150)+N(AA151)),0)</f>
        <v>17379</v>
      </c>
      <c r="AB349" s="263">
        <f>IFERROR((N(AB141)+N(AB145)+N(AB149)+N(AB150)+N(AB151)),0)</f>
        <v>17379</v>
      </c>
      <c r="AC349" s="263">
        <f>IFERROR((N(AC141)+N(AC145)+N(AC149)+N(AC150)+N(AC151)),0)</f>
        <v>17026</v>
      </c>
      <c r="AD349" s="263">
        <f>IFERROR((N(AD141)+N(AD145)+N(AD149)+N(AD150)+N(AD151)),0)</f>
        <v>17591</v>
      </c>
      <c r="AE349" s="263">
        <f>IFERROR((N(AE141)+N(AE145)+N(AE149)+N(AE150)+N(AE151)),0)</f>
        <v>19150</v>
      </c>
      <c r="AF349" s="263">
        <f>IFERROR((N(AF141)+N(AF145)+N(AF149)+N(AF150)+N(AF151)),0)</f>
        <v>19988</v>
      </c>
      <c r="AG349" s="263">
        <f>IFERROR((N(AG141)+N(AG145)+N(AG149)+N(AG150)+N(AG151)),0)</f>
        <v>19988</v>
      </c>
      <c r="AH349" s="263">
        <f>IFERROR((N(AH141)+N(AH145)+N(AH149)+N(AH150)+N(AH151)),0)</f>
        <v>27504</v>
      </c>
      <c r="AI349" s="263">
        <f>IFERROR((N(AI141)+N(AI145)+N(AI149)+N(AI150)+N(AI151)),0)</f>
        <v>41415</v>
      </c>
      <c r="AJ349" s="263">
        <f>IFERROR((N(AJ141)+N(AJ145)+N(AJ149)+N(AJ150)+N(AJ151)),0)</f>
        <v>36634.8361460078</v>
      </c>
      <c r="AK349" s="263">
        <f>IFERROR((N(AK141)+N(AK145)+N(AK149)+N(AK150)+N(AK151)),0)</f>
        <v>43797.1829907189</v>
      </c>
      <c r="AL349" s="263">
        <f>IFERROR((N(AL141)+N(AL145)+N(AL149)+N(AL150)+N(AL151)),0)</f>
        <v>43797.1829907189</v>
      </c>
      <c r="AM349" s="263">
        <f>IFERROR((N(AM141)+N(AM145)+N(AM149)+N(AM150)+N(AM151)),0)</f>
        <v>76862.1886491135</v>
      </c>
      <c r="AN349" s="263">
        <f>IFERROR((N(AN141)+N(AN145)+N(AN149)+N(AN150)+N(AN151)),0)</f>
        <v>130768.503724744</v>
      </c>
      <c r="AO349" s="263">
        <f>IFERROR((N(AO141)+N(AO145)+N(AO149)+N(AO150)+N(AO151)),0)</f>
        <v>78379.3230715933</v>
      </c>
      <c r="AP349" s="263">
        <f>IFERROR((N(AP141)+N(AP145)+N(AP149)+N(AP150)+N(AP151)),0)</f>
        <v>94130.3721313077</v>
      </c>
      <c r="AQ349" s="263">
        <f>IFERROR((N(AQ141)+N(AQ145)+N(AQ149)+N(AQ150)+N(AQ151)),0)</f>
        <v>94130.3721313077</v>
      </c>
      <c r="AR349" s="263">
        <f>IFERROR((N(AR141)+N(AR145)+N(AR149)+N(AR150)+N(AR151)),0)</f>
        <v>164660.656045521</v>
      </c>
      <c r="AS349" s="263">
        <f>IFERROR((N(AS141)+N(AS145)+N(AS149)+N(AS150)+N(AS151)),0)</f>
        <v>284748.308844222</v>
      </c>
      <c r="AT349" s="263">
        <f>IFERROR((N(AT141)+N(AT145)+N(AT149)+N(AT150)+N(AT151)),0)</f>
        <v>169798.778319846</v>
      </c>
      <c r="AU349" s="263">
        <f>IFERROR((N(AU141)+N(AU145)+N(AU149)+N(AU150)+N(AU151)),0)</f>
        <v>204358.885427986</v>
      </c>
      <c r="AV349" s="263">
        <f>IFERROR((N(AV141)+N(AV145)+N(AV149)+N(AV150)+N(AV151)),0)</f>
        <v>204358.885427986</v>
      </c>
      <c r="AW349" s="263">
        <f>IFERROR((N(AW141)+N(AW145)+N(AW149)+N(AW150)+N(AW151)),0)</f>
        <v>362259.302012412</v>
      </c>
      <c r="AX349" s="263">
        <f>IFERROR((N(AX141)+N(AX145)+N(AX149)+N(AX150)+N(AX151)),0)</f>
        <v>621187.912659189</v>
      </c>
      <c r="AY349" s="263">
        <f>IFERROR((N(AY141)+N(AY145)+N(AY149)+N(AY150)+N(AY151)),0)</f>
        <v>369546.565250976</v>
      </c>
      <c r="AZ349" s="263">
        <f>IFERROR((N(AZ141)+N(AZ145)+N(AZ149)+N(AZ150)+N(AZ151)),0)</f>
        <v>445203.698251796</v>
      </c>
      <c r="BA349" s="263">
        <f>IFERROR((N(BA141)+N(BA145)+N(BA149)+N(BA150)+N(BA151)),0)</f>
        <v>445203.698251796</v>
      </c>
      <c r="BB349" s="263">
        <f>IFERROR((N(BB141)+N(BB145)+N(BB149)+N(BB150)+N(BB151)),0)</f>
        <v>789068.640429526</v>
      </c>
      <c r="BC349" s="263">
        <f>IFERROR((N(BC141)+N(BC145)+N(BC149)+N(BC150)+N(BC151)),0)</f>
        <v>1354606.62529968</v>
      </c>
      <c r="BD349" s="263">
        <f>IFERROR((N(BD141)+N(BD145)+N(BD149)+N(BD150)+N(BD151)),0)</f>
        <v>804985.089974679</v>
      </c>
      <c r="BE349" s="263">
        <f>IFERROR((N(BE141)+N(BE145)+N(BE149)+N(BE150)+N(BE151)),0)</f>
        <v>970231.342335355</v>
      </c>
      <c r="BF349" s="263">
        <f>IFERROR((N(BF141)+N(BF145)+N(BF149)+N(BF150)+N(BF151)),0)</f>
        <v>970231.342335355</v>
      </c>
      <c r="BG349" s="90" t="n"/>
      <c r="BH349" s="90" t="n"/>
      <c r="BI349" s="90" t="n"/>
      <c r="BJ349" s="90" t="n"/>
      <c r="BL349" s="90" t="n"/>
      <c r="BM349" s="90" t="n"/>
      <c r="BN349" s="90" t="n"/>
      <c r="BO349" s="90" t="n"/>
      <c r="BQ349" s="90" t="n"/>
      <c r="BR349" s="90" t="n"/>
      <c r="BS349" s="90" t="n"/>
      <c r="BT349" s="90" t="n"/>
      <c r="BV349" s="90" t="n"/>
      <c r="BW349" s="90" t="n"/>
      <c r="BX349" s="90" t="n"/>
      <c r="BY349" s="90" t="n"/>
      <c r="CA349" s="90" t="n"/>
      <c r="CB349" s="90" t="n"/>
      <c r="CC349" s="90" t="n"/>
      <c r="CD349" s="90" t="n"/>
      <c r="CF349" s="90" t="n"/>
      <c r="CG349" s="90" t="n"/>
      <c r="CH349" s="90" t="n"/>
      <c r="CI349" s="90" t="n"/>
      <c r="CK349" s="90" t="n"/>
      <c r="CL349" s="90" t="n"/>
      <c r="CM349" s="90" t="n"/>
      <c r="CN349" s="90" t="n"/>
      <c r="CP349" s="90" t="n"/>
      <c r="CQ349" s="90" t="n"/>
      <c r="CR349" s="90" t="n"/>
      <c r="CS349" s="90" t="n"/>
      <c r="CU349" s="90" t="n"/>
      <c r="CV349" s="90" t="n"/>
      <c r="CW349" s="90" t="n"/>
      <c r="CX349" s="90" t="n"/>
    </row>
    <row r="350" customFormat="1" s="77">
      <c r="A350" s="76" t="n"/>
      <c r="B350" s="76" t="n"/>
      <c r="C350" s="77" t="inlineStr">
        <is>
          <t>CURRENT LIABILITIES (OPERATING, EX DEBT)</t>
        </is>
      </c>
      <c r="D350" s="89">
        <f>IFERROR(D194+D198+D200+D201,"")</f>
        <v>0</v>
      </c>
      <c r="E350" s="89">
        <f>IFERROR(E194+E198+E200+E201,"")</f>
        <v>0</v>
      </c>
      <c r="F350" s="89">
        <f>IFERROR(F194+F198+F200+F201,"")</f>
        <v>0</v>
      </c>
      <c r="G350" s="89">
        <f>IFERROR(G194+G198+G200+G201,"")</f>
        <v>0</v>
      </c>
      <c r="H350" s="263">
        <f>IFERROR((N(H194)+N(H198)+N(H200)+N(H201)),0)</f>
        <v>0</v>
      </c>
      <c r="I350" s="263">
        <f>IFERROR((N(I194)+N(I198)+N(I200)+N(I201)),0)</f>
        <v>5110</v>
      </c>
      <c r="J350" s="263">
        <f>IFERROR((N(J194)+N(J198)+N(J200)+N(J201)),0)</f>
        <v>5165</v>
      </c>
      <c r="K350" s="263">
        <f>IFERROR((N(K194)+N(K198)+N(K200)+N(K201)),0)</f>
        <v>6269</v>
      </c>
      <c r="L350" s="263">
        <f>IFERROR((N(L194)+N(L198)+N(L200)+N(L201)),0)</f>
        <v>6394</v>
      </c>
      <c r="M350" s="263">
        <f>IFERROR((N(M194)+N(M198)+N(M200)+N(M201)),0)</f>
        <v>6394</v>
      </c>
      <c r="N350" s="263">
        <f>IFERROR((N(N194)+N(N198)+N(N200)+N(N201)),0)</f>
        <v>6795</v>
      </c>
      <c r="O350" s="263">
        <f>IFERROR((N(O194)+N(O198)+N(O200)+N(O201)),0)</f>
        <v>6902</v>
      </c>
      <c r="P350" s="263">
        <f>IFERROR((N(P194)+N(P198)+N(P200)+N(P201)),0)</f>
        <v>7436</v>
      </c>
      <c r="Q350" s="263">
        <f>IFERROR((N(Q194)+N(Q198)+N(Q200)+N(Q201)),0)</f>
        <v>6354</v>
      </c>
      <c r="R350" s="263">
        <f>IFERROR((N(R194)+N(R198)+N(R200)+N(R201)),0)</f>
        <v>6354</v>
      </c>
      <c r="S350" s="263">
        <f>IFERROR((N(S194)+N(S198)+N(S200)+N(S201)),0)</f>
        <v>5018</v>
      </c>
      <c r="T350" s="263">
        <f>IFERROR((N(T194)+N(T198)+N(T200)+N(T201)),0)</f>
        <v>4845</v>
      </c>
      <c r="U350" s="263">
        <f>IFERROR((N(U194)+N(U198)+N(U200)+N(U201)),0)</f>
        <v>4487</v>
      </c>
      <c r="V350" s="263">
        <f>IFERROR((N(V194)+N(V198)+N(V200)+N(V201)),0)</f>
        <v>5054</v>
      </c>
      <c r="W350" s="263">
        <f>IFERROR((N(W194)+N(W198)+N(W200)+N(W201)),0)</f>
        <v>5054</v>
      </c>
      <c r="X350" s="263">
        <f>IFERROR((N(X194)+N(X198)+N(X200)+N(X201)),0)</f>
        <v>5915</v>
      </c>
      <c r="Y350" s="263">
        <f>IFERROR((N(Y194)+N(Y198)+N(Y200)+N(Y201)),0)</f>
        <v>6442</v>
      </c>
      <c r="Z350" s="263">
        <f>IFERROR((N(Z194)+N(Z198)+N(Z200)+N(Z201)),0)</f>
        <v>8817</v>
      </c>
      <c r="AA350" s="263">
        <f>IFERROR((N(AA194)+N(AA198)+N(AA200)+N(AA201)),0)</f>
        <v>8482</v>
      </c>
      <c r="AB350" s="263">
        <f>IFERROR((N(AB194)+N(AB198)+N(AB200)+N(AB201)),0)</f>
        <v>8482</v>
      </c>
      <c r="AC350" s="263">
        <f>IFERROR((N(AC194)+N(AC198)+N(AC200)+N(AC201)),0)</f>
        <v>7373</v>
      </c>
      <c r="AD350" s="263">
        <f>IFERROR((N(AD194)+N(AD198)+N(AD200)+N(AD201)),0)</f>
        <v>9597</v>
      </c>
      <c r="AE350" s="263">
        <f>IFERROR((N(AE194)+N(AE198)+N(AE200)+N(AE201)),0)</f>
        <v>10894</v>
      </c>
      <c r="AF350" s="263">
        <f>IFERROR((N(AF194)+N(AF198)+N(AF200)+N(AF201)),0)</f>
        <v>11491</v>
      </c>
      <c r="AG350" s="263">
        <f>IFERROR((N(AG194)+N(AG198)+N(AG200)+N(AG201)),0)</f>
        <v>11491</v>
      </c>
      <c r="AH350" s="263">
        <f>IFERROR((N(AH194)+N(AH198)+N(AH200)+N(AH201)),0)</f>
        <v>13711</v>
      </c>
      <c r="AI350" s="263">
        <f>IFERROR((N(AI194)+N(AI198)+N(AI200)+N(AI201)),0)</f>
        <v>18906</v>
      </c>
      <c r="AJ350" s="263">
        <f>IFERROR((N(AJ194)+N(AJ198)+N(AJ200)+N(AJ201)),0)</f>
        <v>21791.4282349996</v>
      </c>
      <c r="AK350" s="263">
        <f>IFERROR((N(AK194)+N(AK198)+N(AK200)+N(AK201)),0)</f>
        <v>25578.4512072558</v>
      </c>
      <c r="AL350" s="263">
        <f>IFERROR((N(AL194)+N(AL198)+N(AL200)+N(AL201)),0)</f>
        <v>25578.4512072558</v>
      </c>
      <c r="AM350" s="263">
        <f>IFERROR((N(AM194)+N(AM198)+N(AM200)+N(AM201)),0)</f>
        <v>43061.2593874526</v>
      </c>
      <c r="AN350" s="263">
        <f>IFERROR((N(AN194)+N(AN198)+N(AN200)+N(AN201)),0)</f>
        <v>71563.7122799486</v>
      </c>
      <c r="AO350" s="263">
        <f>IFERROR((N(AO194)+N(AO198)+N(AO200)+N(AO201)),0)</f>
        <v>43863.4298260672</v>
      </c>
      <c r="AP350" s="263">
        <f>IFERROR((N(AP194)+N(AP198)+N(AP200)+N(AP201)),0)</f>
        <v>52191.6476462249</v>
      </c>
      <c r="AQ350" s="263">
        <f>IFERROR((N(AQ194)+N(AQ198)+N(AQ200)+N(AQ201)),0)</f>
        <v>52191.6476462249</v>
      </c>
      <c r="AR350" s="263">
        <f>IFERROR((N(AR194)+N(AR198)+N(AR200)+N(AR201)),0)</f>
        <v>89483.8664138925</v>
      </c>
      <c r="AS350" s="263">
        <f>IFERROR((N(AS194)+N(AS198)+N(AS200)+N(AS201)),0)</f>
        <v>152979.074017365</v>
      </c>
      <c r="AT350" s="263">
        <f>IFERROR((N(AT194)+N(AT198)+N(AT200)+N(AT201)),0)</f>
        <v>92200.59984066</v>
      </c>
      <c r="AU350" s="263">
        <f>IFERROR((N(AU194)+N(AU198)+N(AU200)+N(AU201)),0)</f>
        <v>110473.928734081</v>
      </c>
      <c r="AV350" s="263">
        <f>IFERROR((N(AV194)+N(AV198)+N(AV200)+N(AV201)),0)</f>
        <v>110473.928734081</v>
      </c>
      <c r="AW350" s="263">
        <f>IFERROR((N(AW194)+N(AW198)+N(AW200)+N(AW201)),0)</f>
        <v>193962.276603691</v>
      </c>
      <c r="AX350" s="263">
        <f>IFERROR((N(AX194)+N(AX198)+N(AX200)+N(AX201)),0)</f>
        <v>330868.324014368</v>
      </c>
      <c r="AY350" s="263">
        <f>IFERROR((N(AY194)+N(AY198)+N(AY200)+N(AY201)),0)</f>
        <v>197815.347934592</v>
      </c>
      <c r="AZ350" s="263">
        <f>IFERROR((N(AZ194)+N(AZ198)+N(AZ200)+N(AZ201)),0)</f>
        <v>237818.339537926</v>
      </c>
      <c r="BA350" s="263">
        <f>IFERROR((N(BA194)+N(BA198)+N(BA200)+N(BA201)),0)</f>
        <v>237818.339537926</v>
      </c>
      <c r="BB350" s="263">
        <f>IFERROR((N(BB194)+N(BB198)+N(BB200)+N(BB201)),0)</f>
        <v>419633.666778357</v>
      </c>
      <c r="BC350" s="263">
        <f>IFERROR((N(BC194)+N(BC198)+N(BC200)+N(BC201)),0)</f>
        <v>718656.513175172</v>
      </c>
      <c r="BD350" s="263">
        <f>IFERROR((N(BD194)+N(BD198)+N(BD200)+N(BD201)),0)</f>
        <v>428049.338536667</v>
      </c>
      <c r="BE350" s="263">
        <f>IFERROR((N(BE194)+N(BE198)+N(BE200)+N(BE201)),0)</f>
        <v>515421.727411024</v>
      </c>
      <c r="BF350" s="263">
        <f>IFERROR((N(BF194)+N(BF198)+N(BF200)+N(BF201)),0)</f>
        <v>515421.727411024</v>
      </c>
      <c r="BG350" s="90" t="n"/>
      <c r="BH350" s="90" t="n"/>
      <c r="BI350" s="90" t="n"/>
      <c r="BJ350" s="90" t="n"/>
      <c r="BL350" s="90" t="n"/>
      <c r="BM350" s="90" t="n"/>
      <c r="BN350" s="90" t="n"/>
      <c r="BO350" s="90" t="n"/>
      <c r="BQ350" s="90" t="n"/>
      <c r="BR350" s="90" t="n"/>
      <c r="BS350" s="90" t="n"/>
      <c r="BT350" s="90" t="n"/>
      <c r="BV350" s="90" t="n"/>
      <c r="BW350" s="90" t="n"/>
      <c r="BX350" s="90" t="n"/>
      <c r="BY350" s="90" t="n"/>
      <c r="CA350" s="90" t="n"/>
      <c r="CB350" s="90" t="n"/>
      <c r="CC350" s="90" t="n"/>
      <c r="CD350" s="90" t="n"/>
      <c r="CF350" s="90" t="n"/>
      <c r="CG350" s="90" t="n"/>
      <c r="CH350" s="90" t="n"/>
      <c r="CI350" s="90" t="n"/>
      <c r="CK350" s="90" t="n"/>
      <c r="CL350" s="90" t="n"/>
      <c r="CM350" s="90" t="n"/>
      <c r="CN350" s="90" t="n"/>
      <c r="CP350" s="90" t="n"/>
      <c r="CQ350" s="90" t="n"/>
      <c r="CR350" s="90" t="n"/>
      <c r="CS350" s="90" t="n"/>
      <c r="CU350" s="90" t="n"/>
      <c r="CV350" s="90" t="n"/>
      <c r="CW350" s="90" t="n"/>
      <c r="CX350" s="90" t="n"/>
    </row>
    <row r="351" customFormat="1" s="77">
      <c r="A351" s="76" t="n"/>
      <c r="B351" s="76" t="n"/>
      <c r="C351" s="77" t="inlineStr">
        <is>
          <t>FIXED ASSETS</t>
        </is>
      </c>
      <c r="D351" s="89">
        <f>IFERROR(D162+D172+D175+D176+D185-D236,"")</f>
        <v>0</v>
      </c>
      <c r="E351" s="89">
        <f>IFERROR(E162+E172+E175+E176+E185-E236,"")</f>
        <v>0</v>
      </c>
      <c r="F351" s="89">
        <f>IFERROR(F162+F172+F175+F176+F185-F236,"")</f>
        <v>0</v>
      </c>
      <c r="G351" s="89">
        <f>IFERROR(G162+G172+G175+G176+G185-G236,"")</f>
        <v>0</v>
      </c>
      <c r="H351" s="263">
        <f>IFERROR((N(H162)+N(H172)+N(H175)+N(H176)+N(H185))-N(H236),0)</f>
        <v>0</v>
      </c>
      <c r="I351" s="263">
        <f>IFERROR((N(I162)+N(I172)+N(I175)+N(I176)+N(I185))-N(I236),0)</f>
        <v>34917</v>
      </c>
      <c r="J351" s="263">
        <f>IFERROR((N(J162)+N(J172)+N(J175)+N(J176)+N(J185))-N(J236),0)</f>
        <v>35269</v>
      </c>
      <c r="K351" s="263">
        <f>IFERROR((N(K162)+N(K172)+N(K175)+N(K176)+N(K185))-N(K236),0)</f>
        <v>36793</v>
      </c>
      <c r="L351" s="263">
        <f>IFERROR((N(L162)+N(L172)+N(L175)+N(L176)+N(L185))-N(L236),0)</f>
        <v>38910</v>
      </c>
      <c r="M351" s="263">
        <f>IFERROR((N(M162)+N(M172)+N(M175)+N(M176)+N(M185))-N(M236),0)</f>
        <v>38910</v>
      </c>
      <c r="N351" s="263">
        <f>IFERROR((N(N162)+N(N172)+N(N175)+N(N176)+N(N185))-N(N236),0)</f>
        <v>39987</v>
      </c>
      <c r="O351" s="263">
        <f>IFERROR((N(O162)+N(O172)+N(O175)+N(O176)+N(O185))-N(O236),0)</f>
        <v>40385</v>
      </c>
      <c r="P351" s="263">
        <f>IFERROR((N(P162)+N(P172)+N(P175)+N(P176)+N(P185))-N(P236),0)</f>
        <v>42376</v>
      </c>
      <c r="Q351" s="263">
        <f>IFERROR((N(Q162)+N(Q172)+N(Q175)+N(Q176)+N(Q185))-N(Q236),0)</f>
        <v>42957</v>
      </c>
      <c r="R351" s="263">
        <f>IFERROR((N(R162)+N(R172)+N(R175)+N(R176)+N(R185))-N(R236),0)</f>
        <v>42957</v>
      </c>
      <c r="S351" s="263">
        <f>IFERROR((N(S162)+N(S172)+N(S175)+N(S176)+N(S185))-N(S236),0)</f>
        <v>42564</v>
      </c>
      <c r="T351" s="263">
        <f>IFERROR((N(T162)+N(T172)+N(T175)+N(T176)+N(T185))-N(T236),0)</f>
        <v>41656</v>
      </c>
      <c r="U351" s="263">
        <f>IFERROR((N(U162)+N(U172)+N(U175)+N(U176)+N(U185))-N(U236),0)</f>
        <v>40540</v>
      </c>
      <c r="V351" s="263">
        <f>IFERROR((N(V162)+N(V172)+N(V175)+N(V176)+N(V185))-N(V236),0)</f>
        <v>40206</v>
      </c>
      <c r="W351" s="263">
        <f>IFERROR((N(W162)+N(W172)+N(W175)+N(W176)+N(W185))-N(W236),0)</f>
        <v>40206</v>
      </c>
      <c r="X351" s="263">
        <f>IFERROR((N(X162)+N(X172)+N(X175)+N(X176)+N(X185))-N(X236),0)</f>
        <v>40001</v>
      </c>
      <c r="Y351" s="263">
        <f>IFERROR((N(Y162)+N(Y172)+N(Y175)+N(Y176)+N(Y185))-N(Y236),0)</f>
        <v>40618</v>
      </c>
      <c r="Z351" s="263">
        <f>IFERROR((N(Z162)+N(Z172)+N(Z175)+N(Z176)+N(Z185))-N(Z236),0)</f>
        <v>43063</v>
      </c>
      <c r="AA351" s="263">
        <f>IFERROR((N(AA162)+N(AA172)+N(AA175)+N(AA176)+N(AA185))-N(AA236),0)</f>
        <v>44685</v>
      </c>
      <c r="AB351" s="263">
        <f>IFERROR((N(AB162)+N(AB172)+N(AB175)+N(AB176)+N(AB185))-N(AB236),0)</f>
        <v>44685</v>
      </c>
      <c r="AC351" s="263">
        <f>IFERROR((N(AC162)+N(AC172)+N(AC175)+N(AC176)+N(AC185))-N(AC236),0)</f>
        <v>45719</v>
      </c>
      <c r="AD351" s="263">
        <f>IFERROR((N(AD162)+N(AD172)+N(AD175)+N(AD176)+N(AD185))-N(AD236),0)</f>
        <v>48084</v>
      </c>
      <c r="AE351" s="263">
        <f>IFERROR((N(AE162)+N(AE172)+N(AE175)+N(AE176)+N(AE185))-N(AE236),0)</f>
        <v>50880</v>
      </c>
      <c r="AF351" s="263">
        <f>IFERROR((N(AF162)+N(AF172)+N(AF175)+N(AF176)+N(AF185))-N(AF236),0)</f>
        <v>52416</v>
      </c>
      <c r="AG351" s="263">
        <f>IFERROR((N(AG162)+N(AG172)+N(AG175)+N(AG176)+N(AG185))-N(AG236),0)</f>
        <v>52416</v>
      </c>
      <c r="AH351" s="263">
        <f>IFERROR((N(AH162)+N(AH172)+N(AH175)+N(AH176)+N(AH185))-N(AH236),0)</f>
        <v>54875</v>
      </c>
      <c r="AI351" s="263">
        <f>IFERROR((N(AI162)+N(AI172)+N(AI175)+N(AI176)+N(AI185))-N(AI236),0)</f>
        <v>58569</v>
      </c>
      <c r="AJ351" s="263">
        <f>IFERROR((N(AJ162)+N(AJ172)+N(AJ175)+N(AJ176)+N(AJ185))-N(AJ236),0)</f>
        <v>60975.2523801918</v>
      </c>
      <c r="AK351" s="263">
        <f>IFERROR((N(AK162)+N(AK172)+N(AK175)+N(AK176)+N(AK185))-N(AK236),0)</f>
        <v>63876.5781621589</v>
      </c>
      <c r="AL351" s="263">
        <f>IFERROR((N(AL162)+N(AL172)+N(AL175)+N(AL176)+N(AL185))-N(AL236),0)</f>
        <v>63876.5781621589</v>
      </c>
      <c r="AM351" s="263">
        <f>IFERROR((N(AM162)+N(AM172)+N(AM175)+N(AM176)+N(AM185))-N(AM236),0)</f>
        <v>68950.655209563</v>
      </c>
      <c r="AN351" s="263">
        <f>IFERROR((N(AN162)+N(AN172)+N(AN175)+N(AN176)+N(AN185))-N(AN236),0)</f>
        <v>77766.7045841307</v>
      </c>
      <c r="AO351" s="263">
        <f>IFERROR((N(AO162)+N(AO172)+N(AO175)+N(AO176)+N(AO185))-N(AO236),0)</f>
        <v>83058.4057698173</v>
      </c>
      <c r="AP351" s="263">
        <f>IFERROR((N(AP162)+N(AP172)+N(AP175)+N(AP176)+N(AP185))-N(AP236),0)</f>
        <v>89438.8458295895</v>
      </c>
      <c r="AQ351" s="263">
        <f>IFERROR((N(AQ162)+N(AQ172)+N(AQ175)+N(AQ176)+N(AQ185))-N(AQ236),0)</f>
        <v>89438.8458295895</v>
      </c>
      <c r="AR351" s="263">
        <f>IFERROR((N(AR162)+N(AR172)+N(AR175)+N(AR176)+N(AR185))-N(AR236),0)</f>
        <v>100572.113561054</v>
      </c>
      <c r="AS351" s="263">
        <f>IFERROR((N(AS162)+N(AS172)+N(AS175)+N(AS176)+N(AS185))-N(AS236),0)</f>
        <v>119915.816288448</v>
      </c>
      <c r="AT351" s="263">
        <f>IFERROR((N(AT162)+N(AT172)+N(AT175)+N(AT176)+N(AT185))-N(AT236),0)</f>
        <v>131526.583232813</v>
      </c>
      <c r="AU351" s="263">
        <f>IFERROR((N(AU162)+N(AU172)+N(AU175)+N(AU176)+N(AU185))-N(AU236),0)</f>
        <v>145526.202624944</v>
      </c>
      <c r="AV351" s="263">
        <f>IFERROR((N(AV162)+N(AV172)+N(AV175)+N(AV176)+N(AV185))-N(AV236),0)</f>
        <v>145526.202624944</v>
      </c>
      <c r="AW351" s="263">
        <f>IFERROR((N(AW162)+N(AW172)+N(AW175)+N(AW176)+N(AW185))-N(AW236),0)</f>
        <v>169898.555258504</v>
      </c>
      <c r="AX351" s="263">
        <f>IFERROR((N(AX162)+N(AX172)+N(AX175)+N(AX176)+N(AX185))-N(AX236),0)</f>
        <v>212244.751854348</v>
      </c>
      <c r="AY351" s="263">
        <f>IFERROR((N(AY162)+N(AY172)+N(AY175)+N(AY176)+N(AY185))-N(AY236),0)</f>
        <v>237662.420156204</v>
      </c>
      <c r="AZ351" s="263">
        <f>IFERROR((N(AZ162)+N(AZ172)+N(AZ175)+N(AZ176)+N(AZ185))-N(AZ236),0)</f>
        <v>268309.636121049</v>
      </c>
      <c r="BA351" s="263">
        <f>IFERROR((N(BA162)+N(BA172)+N(BA175)+N(BA176)+N(BA185))-N(BA236),0)</f>
        <v>268309.636121049</v>
      </c>
      <c r="BB351" s="263">
        <f>IFERROR((N(BB162)+N(BB172)+N(BB175)+N(BB176)+N(BB185))-N(BB236),0)</f>
        <v>321542.421638642</v>
      </c>
      <c r="BC351" s="263">
        <f>IFERROR((N(BC162)+N(BC172)+N(BC175)+N(BC176)+N(BC185))-N(BC236),0)</f>
        <v>414032.713190079</v>
      </c>
      <c r="BD351" s="263">
        <f>IFERROR((N(BD162)+N(BD172)+N(BD175)+N(BD176)+N(BD185))-N(BD236),0)</f>
        <v>469548.621129427</v>
      </c>
      <c r="BE351" s="263">
        <f>IFERROR((N(BE162)+N(BE172)+N(BE175)+N(BE176)+N(BE185))-N(BE236),0)</f>
        <v>536486.626610339</v>
      </c>
      <c r="BF351" s="263">
        <f>IFERROR((N(BF162)+N(BF172)+N(BF175)+N(BF176)+N(BF185))-N(BF236),0)</f>
        <v>536486.626610339</v>
      </c>
      <c r="BG351" s="90" t="n"/>
      <c r="BH351" s="90" t="n"/>
      <c r="BI351" s="90" t="n"/>
      <c r="BJ351" s="90" t="n"/>
      <c r="BL351" s="90" t="n"/>
      <c r="BM351" s="90" t="n"/>
      <c r="BN351" s="90" t="n"/>
      <c r="BO351" s="90" t="n"/>
      <c r="BQ351" s="90" t="n"/>
      <c r="BR351" s="90" t="n"/>
      <c r="BS351" s="90" t="n"/>
      <c r="BT351" s="90" t="n"/>
      <c r="BV351" s="90" t="n"/>
      <c r="BW351" s="90" t="n"/>
      <c r="BX351" s="90" t="n"/>
      <c r="BY351" s="90" t="n"/>
      <c r="CA351" s="90" t="n"/>
      <c r="CB351" s="90" t="n"/>
      <c r="CC351" s="90" t="n"/>
      <c r="CD351" s="90" t="n"/>
      <c r="CF351" s="90" t="n"/>
      <c r="CG351" s="90" t="n"/>
      <c r="CH351" s="90" t="n"/>
      <c r="CI351" s="90" t="n"/>
      <c r="CK351" s="90" t="n"/>
      <c r="CL351" s="90" t="n"/>
      <c r="CM351" s="90" t="n"/>
      <c r="CN351" s="90" t="n"/>
      <c r="CP351" s="90" t="n"/>
      <c r="CQ351" s="90" t="n"/>
      <c r="CR351" s="90" t="n"/>
      <c r="CS351" s="90" t="n"/>
      <c r="CU351" s="90" t="n"/>
      <c r="CV351" s="90" t="n"/>
      <c r="CW351" s="90" t="n"/>
      <c r="CX351" s="90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</row>
    <row r="356" customFormat="1" s="77">
      <c r="A356" s="76" t="n"/>
      <c r="B356" s="76" t="n"/>
    </row>
    <row r="357" customFormat="1" s="77">
      <c r="A357" s="76" t="n"/>
      <c r="B357" s="76" t="n"/>
    </row>
    <row r="358" customFormat="1" s="77">
      <c r="A358" s="76" t="n"/>
      <c r="B358" s="76" t="n"/>
    </row>
    <row r="359" customFormat="1" s="77">
      <c r="A359" s="76" t="n"/>
      <c r="B359" s="76" t="n"/>
      <c r="C359" s="74" t="inlineStr">
        <is>
          <t>DUPONT ANALYSIS</t>
        </is>
      </c>
    </row>
    <row r="360" customFormat="1" s="77">
      <c r="A360" s="76" t="n"/>
      <c r="B360" s="76" t="n"/>
      <c r="C360" s="77" t="inlineStr">
        <is>
          <t>NET PROFIT MARGIN (LTM)</t>
        </is>
      </c>
      <c r="D360" s="84" t="str">
        <f>IFERROR(D133/D15,"")</f>
        <v/>
      </c>
      <c r="E360" s="84" t="str">
        <f>IFERROR(E133/E15,"")</f>
        <v/>
      </c>
      <c r="F360" s="84" t="str">
        <f>IFERROR(F133/F15,"")</f>
        <v/>
      </c>
      <c r="G360" s="84" t="str">
        <f>IFERROR(G133/G15,"")</f>
        <v/>
      </c>
      <c r="H360" s="258" t="str">
        <f>IFERROR(IF(AND(COUNT(H133)=1,(H15)&lt;&gt;0),(H133)/(H15),""),"")</f>
        <v/>
      </c>
      <c r="I360" s="257" t="str">
        <f>""</f>
        <v/>
      </c>
      <c r="J360" s="257" t="str">
        <f>""</f>
        <v/>
      </c>
      <c r="K360" s="257" t="str">
        <f>""</f>
        <v/>
      </c>
      <c r="L360" s="257">
        <f>IFERROR(IF(AND(COUNT(I133,J133,K133,L133)=4,(I15+J15+K15+L15)&lt;&gt;0),(I133+J133+K133+L133)/(I15+J15+K15+L15),""),"")</f>
        <v>0.248624193929572</v>
      </c>
      <c r="M360" s="258">
        <f>IFERROR(IF(AND(COUNT(I133,J133,K133,L133)=4,(I15+J15+K15+L15)&lt;&gt;0),(I133+J133+K133+L133)/(I15+J15+K15+L15),""),"")</f>
        <v>0.248624193929572</v>
      </c>
      <c r="N360" s="257">
        <f>IFERROR(IF(AND(COUNT(J133,K133,L133,N133)=4,(J15+K15+L15+N15)&lt;&gt;0),(J133+K133+L133+N133)/(J15+K15+L15+N15),""),"")</f>
        <v>0.289518431775161</v>
      </c>
      <c r="O360" s="257">
        <f>IFERROR(IF(AND(COUNT(K133,L133,N133,O133)=4,(K15+L15+N15+O15)&lt;&gt;0),(K133+L133+N133+O133)/(K15+L15+N15+O15),""),"")</f>
        <v>0.306122448979592</v>
      </c>
      <c r="P360" s="257">
        <f>IFERROR(IF(AND(COUNT(L133,N133,O133,P133)=4,(L15+N15+O15+P15)&lt;&gt;0),(L133+N133+O133+P133)/(L15+N15+O15+P15),""),"")</f>
        <v>0.282430587164315</v>
      </c>
      <c r="Q360" s="257">
        <f>IFERROR(IF(AND(COUNT(N133,O133,P133,Q133)=4,(N15+O15+P15+Q15)&lt;&gt;0),(N133+O133+P133+Q133)/(N15+O15+P15+Q15),""),"")</f>
        <v>0.22779496243924</v>
      </c>
      <c r="R360" s="258">
        <f>IFERROR(IF(AND(COUNT(N133,O133,P133,Q133)=4,(N15+O15+P15+Q15)&lt;&gt;0),(N133+O133+P133+Q133)/(N15+O15+P15+Q15),""),"")</f>
        <v>0.22779496243924</v>
      </c>
      <c r="S360" s="257">
        <f>IFERROR(IF(AND(COUNT(O133,P133,Q133,S133)=4,(O15+P15+Q15+S15)&lt;&gt;0),(O133+P133+Q133+S133)/(O15+P15+Q15+S15),""),"")</f>
        <v>0.0698521441269566</v>
      </c>
      <c r="T360" s="257">
        <f>IFERROR(IF(AND(COUNT(P133,Q133,S133,T133)=4,(P15+Q15+S15+T15)&lt;&gt;0),(P133+Q133+S133+T133)/(P15+Q15+S15+T15),""),"")</f>
        <v>-0.160182688603973</v>
      </c>
      <c r="U360" s="257">
        <f>IFERROR(IF(AND(COUNT(Q133,S133,T133,U133)=4,(Q15+S15+T15+U15)&lt;&gt;0),(Q133+S133+T133+U133)/(Q15+S15+T15+U15),""),"")</f>
        <v>-0.375353925353925</v>
      </c>
      <c r="V360" s="257">
        <f>IFERROR(IF(AND(COUNT(S133,T133,U133,V133)=4,(S15+T15+U15+V15)&lt;&gt;0),(S133+T133+U133+V133)/(S15+T15+U15+V15),""),"")</f>
        <v>-0.424695630677956</v>
      </c>
      <c r="W360" s="258">
        <f>IFERROR(IF(AND(COUNT(S133,T133,U133,V133)=4,(S15+T15+U15+V15)&lt;&gt;0),(S133+T133+U133+V133)/(S15+T15+U15+V15),""),"")</f>
        <v>-0.424695630677956</v>
      </c>
      <c r="X360" s="257">
        <f>IFERROR(IF(AND(COUNT(T133,U133,V133,X133)=4,(T15+U15+V15+X15)&lt;&gt;0),(T133+U133+V133+X133)/(T15+U15+V15+X15),""),"")</f>
        <v>-0.205712101354303</v>
      </c>
      <c r="Y360" s="257">
        <f>IFERROR(IF(AND(COUNT(U133,V133,X133,Y133)=4,(U15+V15+X15+Y15)&lt;&gt;0),(U133+V133+X133+Y133)/(U15+V15+X15+Y15),""),"")</f>
        <v>-0.0720134762060737</v>
      </c>
      <c r="Z360" s="257">
        <f>IFERROR(IF(AND(COUNT(V133,X133,Y133,Z133)=4,(V15+X15+Y15+Z15)&lt;&gt;0),(V133+X133+Y133+Z133)/(V15+X15+Y15+Z15),""),"")</f>
        <v>0.0309824379753893</v>
      </c>
      <c r="AA360" s="257">
        <f>IFERROR(IF(AND(COUNT(X133,Y133,Z133,AA133)=4,(X15+Y15+Z15+AA15)&lt;&gt;0),(X133+Y133+Z133+AA133)/(X15+Y15+Z15+AA15),""),"")</f>
        <v>0.133429573107857</v>
      </c>
      <c r="AB360" s="258">
        <f>IFERROR(IF(AND(COUNT(X133,Y133,Z133,AA133)=4,(X15+Y15+Z15+AA15)&lt;&gt;0),(X133+Y133+Z133+AA133)/(X15+Y15+Z15+AA15),""),"")</f>
        <v>0.133429573107857</v>
      </c>
      <c r="AC360" s="257">
        <f>IFERROR(IF(AND(COUNT(Y133,Z133,AA133,AC133)=4,(Y15+Z15+AA15+AC15)&lt;&gt;0),(Y133+Z133+AA133+AC133)/(Y15+Z15+AA15+AC15),""),"")</f>
        <v>0.149155572582447</v>
      </c>
      <c r="AD360" s="257">
        <f>IFERROR(IF(AND(COUNT(Z133,AA133,AC133,AD133)=4,(Z15+AA15+AC15+AD15)&lt;&gt;0),(Z133+AA133+AC133+AD133)/(Z15+AA15+AC15+AD15),""),"")</f>
        <v>0.184100789637122</v>
      </c>
      <c r="AE360" s="257">
        <f>IFERROR(IF(AND(COUNT(AA133,AC133,AD133,AE133)=4,(AA15+AC15+AD15+AE15)&lt;&gt;0),(AA133+AC133+AD133+AE133)/(AA15+AC15+AD15+AE15),""),"")</f>
        <v>0.228449890309808</v>
      </c>
      <c r="AF360" s="257">
        <f>IFERROR(IF(AND(COUNT(AB133,AD133,AE133,AF133)=4,(AB15+AD15+AE15+AF15)&lt;&gt;0),(AB133+AD133+AE133+AF133)/(AB15+AD15+AE15+AF15),""),"")</f>
        <v>0.22426720123751</v>
      </c>
      <c r="AG360" s="258">
        <f>IFERROR(IF(AND(COUNT(AC133,AD133,AE133,AF133)=4,(AC15+AD15+AE15+AF15)&lt;&gt;0),(AC133+AD133+AE133+AF133)/(AC15+AD15+AE15+AF15),""),"")</f>
        <v>0.281456797126111</v>
      </c>
      <c r="AH360" s="257">
        <f>IFERROR(IF(AND(COUNT(AD133,AF133,AG133,AH133)=4,(AD15+AF15+AG15+AH15)&lt;&gt;0),(AD133+AF133+AG133+AH133)/(AD15+AF15+AG15+AH15),""),"")</f>
        <v>0.36827281296288</v>
      </c>
      <c r="AI360" s="257">
        <f>IFERROR(IF(AND(COUNT(AE133,AG133,AH133,AI133)=4,(AE15+AG15+AH15+AI15)&lt;&gt;0),(AE133+AG133+AH133+AI133)/(AE15+AG15+AH15+AI15),""),"")</f>
        <v>0.480381359138411</v>
      </c>
      <c r="AJ360" s="257">
        <f>IFERROR(IF(AND(COUNT(AF133,AH133,AI133,AJ133)=4,(AF15+AH15+AI15+AJ15)&lt;&gt;0),(AF133+AH133+AI133+AJ133)/(AF15+AH15+AI15+AJ15),""),"")</f>
        <v>0.54992795902292</v>
      </c>
      <c r="AK360" s="257">
        <f>IFERROR(IF(AND(COUNT(AH133,AI133,AJ133,AK133)=4,(AH15+AI15+AJ15+AK15)&lt;&gt;0),(AH133+AI133+AJ133+AK133)/(AH15+AI15+AJ15+AK15),""),"")</f>
        <v>0.53017031759567</v>
      </c>
      <c r="AL360" s="258">
        <f>IFERROR(IF(AND(COUNT(AH133,AI133,AJ133,AK133)=4,(AH15+AI15+AJ15+AK15)&lt;&gt;0),(AH133+AI133+AJ133+AK133)/(AH15+AI15+AJ15+AK15),""),"")</f>
        <v>0.53017031759567</v>
      </c>
      <c r="AM360" s="257">
        <f>IFERROR(IF(AND(COUNT(AI133,AJ133,AK133,AM133)=4,(AI15+AJ15+AK15+AM15)&lt;&gt;0),(AI133+AJ133+AK133+AM133)/(AI15+AJ15+AK15+AM15),""),"")</f>
        <v>0.47500744703201</v>
      </c>
      <c r="AN360" s="257">
        <f>IFERROR(IF(AND(COUNT(AJ133,AK133,AM133,AN133)=4,(AJ15+AK15+AM15+AN15)&lt;&gt;0),(AJ133+AK133+AM133+AN133)/(AJ15+AK15+AM15+AN15),""),"")</f>
        <v>0.395357145669449</v>
      </c>
      <c r="AO360" s="257">
        <f>IFERROR(IF(AND(COUNT(AK133,AM133,AN133,AO133)=4,(AK15+AM15+AN15+AO15)&lt;&gt;0),(AK133+AM133+AN133+AO133)/(AK15+AM15+AN15+AO15),""),"")</f>
        <v>0.395357145669449</v>
      </c>
      <c r="AP360" s="257">
        <f>IFERROR(IF(AND(COUNT(AM133,AN133,AO133,AP133)=4,(AM15+AN15+AO15+AP15)&lt;&gt;0),(AM133+AN133+AO133+AP133)/(AM15+AN15+AO15+AP15),""),"")</f>
        <v>0.395357145669449</v>
      </c>
      <c r="AQ360" s="258">
        <f>IFERROR(IF(AND(COUNT(AM133,AN133,AO133,AP133)=4,(AM15+AN15+AO15+AP15)&lt;&gt;0),(AM133+AN133+AO133+AP133)/(AM15+AN15+AO15+AP15),""),"")</f>
        <v>0.395357145669449</v>
      </c>
      <c r="AR360" s="257">
        <f>IFERROR(IF(AND(COUNT(AN133,AO133,AP133,AR133)=4,(AN15+AO15+AP15+AR15)&lt;&gt;0),(AN133+AO133+AP133+AR133)/(AN15+AO15+AP15+AR15),""),"")</f>
        <v>0.395357145669449</v>
      </c>
      <c r="AS360" s="257">
        <f>IFERROR(IF(AND(COUNT(AO133,AP133,AR133,AS133)=4,(AO15+AP15+AR15+AS15)&lt;&gt;0),(AO133+AP133+AR133+AS133)/(AO15+AP15+AR15+AS15),""),"")</f>
        <v>0.395357145669449</v>
      </c>
      <c r="AT360" s="257">
        <f>IFERROR(IF(AND(COUNT(AP133,AR133,AS133,AT133)=4,(AP15+AR15+AS15+AT15)&lt;&gt;0),(AP133+AR133+AS133+AT133)/(AP15+AR15+AS15+AT15),""),"")</f>
        <v>0.395357145669449</v>
      </c>
      <c r="AU360" s="257">
        <f>IFERROR(IF(AND(COUNT(AR133,AS133,AT133,AU133)=4,(AR15+AS15+AT15+AU15)&lt;&gt;0),(AR133+AS133+AT133+AU133)/(AR15+AS15+AT15+AU15),""),"")</f>
        <v>0.395357145669449</v>
      </c>
      <c r="AV360" s="258">
        <f>IFERROR(IF(AND(COUNT(AR133,AS133,AT133,AU133)=4,(AR15+AS15+AT15+AU15)&lt;&gt;0),(AR133+AS133+AT133+AU133)/(AR15+AS15+AT15+AU15),""),"")</f>
        <v>0.395357145669449</v>
      </c>
      <c r="AW360" s="257">
        <f>IFERROR(IF(AND(COUNT(AS133,AT133,AU133,AW133)=4,(AS15+AT15+AU15+AW15)&lt;&gt;0),(AS133+AT133+AU133+AW133)/(AS15+AT15+AU15+AW15),""),"")</f>
        <v>0.395357145669449</v>
      </c>
      <c r="AX360" s="257">
        <f>IFERROR(IF(AND(COUNT(AT133,AU133,AW133,AX133)=4,(AT15+AU15+AW15+AX15)&lt;&gt;0),(AT133+AU133+AW133+AX133)/(AT15+AU15+AW15+AX15),""),"")</f>
        <v>0.395357145669449</v>
      </c>
      <c r="AY360" s="257">
        <f>IFERROR(IF(AND(COUNT(AU133,AW133,AX133,AY133)=4,(AU15+AW15+AX15+AY15)&lt;&gt;0),(AU133+AW133+AX133+AY133)/(AU15+AW15+AX15+AY15),""),"")</f>
        <v>0.395357145669449</v>
      </c>
      <c r="AZ360" s="257">
        <f>IFERROR(IF(AND(COUNT(AW133,AX133,AY133,AZ133)=4,(AW15+AX15+AY15+AZ15)&lt;&gt;0),(AW133+AX133+AY133+AZ133)/(AW15+AX15+AY15+AZ15),""),"")</f>
        <v>0.395357145669449</v>
      </c>
      <c r="BA360" s="258">
        <f>IFERROR(IF(AND(COUNT(AW133,AX133,AY133,AZ133)=4,(AW15+AX15+AY15+AZ15)&lt;&gt;0),(AW133+AX133+AY133+AZ133)/(AW15+AX15+AY15+AZ15),""),"")</f>
        <v>0.395357145669449</v>
      </c>
      <c r="BB360" s="257">
        <f>IFERROR(IF(AND(COUNT(AX133,AY133,AZ133,BB133)=4,(AX15+AY15+AZ15+BB15)&lt;&gt;0),(AX133+AY133+AZ133+BB133)/(AX15+AY15+AZ15+BB15),""),"")</f>
        <v>0.395357145669449</v>
      </c>
      <c r="BC360" s="257">
        <f>IFERROR(IF(AND(COUNT(AY133,AZ133,BB133,BC133)=4,(AY15+AZ15+BB15+BC15)&lt;&gt;0),(AY133+AZ133+BB133+BC133)/(AY15+AZ15+BB15+BC15),""),"")</f>
        <v>0.395357145669449</v>
      </c>
      <c r="BD360" s="257">
        <f>IFERROR(IF(AND(COUNT(AZ133,BB133,BC133,BD133)=4,(AZ15+BB15+BC15+BD15)&lt;&gt;0),(AZ133+BB133+BC133+BD133)/(AZ15+BB15+BC15+BD15),""),"")</f>
        <v>0.395357145669449</v>
      </c>
      <c r="BE360" s="257">
        <f>IFERROR(IF(AND(COUNT(BB133,BC133,BD133,BE133)=4,(BB15+BC15+BD15+BE15)&lt;&gt;0),(BB133+BC133+BD133+BE133)/(BB15+BC15+BD15+BE15),""),"")</f>
        <v>0.395357145669449</v>
      </c>
      <c r="BF360" s="258">
        <f>IFERROR(IF(AND(COUNT(BB133,BC133,BD133,BE133)=4,(BB15+BC15+BD15+BE15)&lt;&gt;0),(BB133+BC133+BD133+BE133)/(BB15+BC15+BD15+BE15),""),"")</f>
        <v>0.395357145669449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 customFormat="1" s="77">
      <c r="A361" s="76" t="n"/>
      <c r="B361" s="76" t="n"/>
      <c r="C361" s="77" t="inlineStr">
        <is>
          <t>ASSET TURNOVER (LTM REVENUE / ASSETS)</t>
        </is>
      </c>
      <c r="D361" s="84" t="str">
        <f>IFERROR(D15/D193,"")</f>
        <v/>
      </c>
      <c r="E361" s="84" t="str">
        <f>IFERROR(E15/E193,"")</f>
        <v/>
      </c>
      <c r="F361" s="84" t="str">
        <f>IFERROR(F15/F193,"")</f>
        <v/>
      </c>
      <c r="G361" s="84" t="str">
        <f>IFERROR(G15/G193,"")</f>
        <v/>
      </c>
      <c r="H361" s="262" t="str">
        <f>IFERROR(IF(AND(COUNT(H15)=1,N(H193)&lt;&gt;0),(H15)/H193,""),"")</f>
        <v/>
      </c>
      <c r="I361" s="264" t="str">
        <f>""</f>
        <v/>
      </c>
      <c r="J361" s="264" t="str">
        <f>""</f>
        <v/>
      </c>
      <c r="K361" s="264" t="str">
        <f>""</f>
        <v/>
      </c>
      <c r="L361" s="264">
        <f>IFERROR(IF(AND(COUNT(I15,J15,K15,L15)=4,N(L193)&lt;&gt;0),(I15+J15+K15+L15)/L193,""),"")</f>
        <v>0.483607092708095</v>
      </c>
      <c r="M361" s="262">
        <f>IFERROR(IF(AND(COUNT(I15,J15,K15,L15)=4,N(M193)&lt;&gt;0),(I15+J15+K15+L15)/M193,""),"")</f>
        <v>0.483607092708095</v>
      </c>
      <c r="N361" s="264">
        <f>IFERROR(IF(AND(COUNT(J15,K15,L15,N15)=4,N(N193)&lt;&gt;0),(J15+K15+L15+N15)/N193,""),"")</f>
        <v>0.489339989952273</v>
      </c>
      <c r="O361" s="264">
        <f>IFERROR(IF(AND(COUNT(K15,L15,N15,O15)=4,N(O193)&lt;&gt;0),(K15+L15+N15+O15)/O193,""),"")</f>
        <v>0.496033447684391</v>
      </c>
      <c r="P361" s="264">
        <f>IFERROR(IF(AND(COUNT(L15,N15,O15,P15)=4,N(P193)&lt;&gt;0),(L15+N15+O15+P15)/P193,""),"")</f>
        <v>0.464040553384729</v>
      </c>
      <c r="Q361" s="264">
        <f>IFERROR(IF(AND(COUNT(N15,O15,P15,Q15)=4,N(Q193)&lt;&gt;0),(N15+O15+P15+Q15)/Q193,""),"")</f>
        <v>0.400094292365265</v>
      </c>
      <c r="R361" s="262">
        <f>IFERROR(IF(AND(COUNT(N15,O15,P15,Q15)=4,N(R193)&lt;&gt;0),(N15+O15+P15+Q15)/R193,""),"")</f>
        <v>0.400094292365265</v>
      </c>
      <c r="S361" s="264">
        <f>IFERROR(IF(AND(COUNT(O15,P15,Q15,S15)=4,N(S193)&lt;&gt;0),(O15+P15+Q15+S15)/S193,""),"")</f>
        <v>0.346707757065544</v>
      </c>
      <c r="T361" s="264">
        <f>IFERROR(IF(AND(COUNT(P15,Q15,S15,T15)=4,N(T193)&lt;&gt;0),(P15+Q15+S15+T15)/T193,""),"")</f>
        <v>0.276690012180268</v>
      </c>
      <c r="U361" s="264">
        <f>IFERROR(IF(AND(COUNT(Q15,S15,T15,U15)=4,N(U193)&lt;&gt;0),(Q15+S15+T15+U15)/U193,""),"")</f>
        <v>0.241852647306004</v>
      </c>
      <c r="V361" s="264">
        <f>IFERROR(IF(AND(COUNT(S15,T15,U15,V15)=4,N(V193)&lt;&gt;0),(S15+T15+U15+V15)/V193,""),"")</f>
        <v>0.25371613146011</v>
      </c>
      <c r="W361" s="262">
        <f>IFERROR(IF(AND(COUNT(S15,T15,U15,V15)=4,N(W193)&lt;&gt;0),(S15+T15+U15+V15)/W193,""),"")</f>
        <v>0.25371613146011</v>
      </c>
      <c r="X361" s="264">
        <f>IFERROR(IF(AND(COUNT(T15,U15,V15,X15)=4,N(X193)&lt;&gt;0),(T15+U15+V15+X15)/X193,""),"")</f>
        <v>0.278645120058432</v>
      </c>
      <c r="Y361" s="264">
        <f>IFERROR(IF(AND(COUNT(U15,V15,X15,Y15)=4,N(Y193)&lt;&gt;0),(U15+V15+X15+Y15)/Y193,""),"")</f>
        <v>0.322556788166931</v>
      </c>
      <c r="Z361" s="264">
        <f>IFERROR(IF(AND(COUNT(V15,X15,Y15,Z15)=4,N(Z193)&lt;&gt;0),(V15+X15+Y15+Z15)/Z193,""),"")</f>
        <v>0.361746571395644</v>
      </c>
      <c r="AA361" s="264">
        <f>IFERROR(IF(AND(COUNT(X15,Y15,Z15,AA15)=4,N(AA193)&lt;&gt;0),(X15+Y15+Z15+AA15)/AA193,""),"")</f>
        <v>0.407131162452247</v>
      </c>
      <c r="AB361" s="262">
        <f>IFERROR(IF(AND(COUNT(X15,Y15,Z15,AA15)=4,N(AB193)&lt;&gt;0),(X15+Y15+Z15+AA15)/AB193,""),"")</f>
        <v>0.407131162452247</v>
      </c>
      <c r="AC361" s="264">
        <f>IFERROR(IF(AND(COUNT(Y15,Z15,AA15,AC15)=4,N(AC193)&lt;&gt;0),(Y15+Z15+AA15+AC15)/AC193,""),"")</f>
        <v>0.428770892365817</v>
      </c>
      <c r="AD361" s="264">
        <f>IFERROR(IF(AND(COUNT(Z15,AA15,AC15,AD15)=4,N(AD193)&lt;&gt;0),(Z15+AA15+AC15+AD15)/AD193,""),"")</f>
        <v>0.431304769315152</v>
      </c>
      <c r="AE361" s="264">
        <f>IFERROR(IF(AND(COUNT(AA15,AC15,AD15,AE15)=4,N(AE193)&lt;&gt;0),(AA15+AC15+AD15+AE15)/AE193,""),"")</f>
        <v>0.451436025024759</v>
      </c>
      <c r="AF361" s="264">
        <f>IFERROR(IF(AND(COUNT(AB15,AD15,AE15,AF15)=4,N(AF193)&lt;&gt;0),(AB15+AD15+AE15+AF15)/AF193,""),"")</f>
        <v>0.736911284037641</v>
      </c>
      <c r="AG361" s="262">
        <f>IFERROR(IF(AND(COUNT(AC15,AD15,AE15,AF15)=4,N(AG193)&lt;&gt;0),(AC15+AD15+AE15+AF15)/AG193,""),"")</f>
        <v>0.492165962940992</v>
      </c>
      <c r="AH361" s="264">
        <f>IFERROR(IF(AND(COUNT(AD15,AF15,AG15,AH15)=4,N(AH193)&lt;&gt;0),(AD15+AF15+AG15+AH15)/AH193,""),"")</f>
        <v>0.877912303342561</v>
      </c>
      <c r="AI361" s="264">
        <f>IFERROR(IF(AND(COUNT(AE15,AG15,AH15,AI15)=4,N(AI193)&lt;&gt;0),(AE15+AG15+AH15+AI15)/AI193,""),"")</f>
        <v>0.886893044619423</v>
      </c>
      <c r="AJ361" s="264">
        <f>IFERROR(IF(AND(COUNT(AF15,AH15,AI15,AJ15)=4,N(AJ193)&lt;&gt;0),(AF15+AH15+AI15+AJ15)/AJ193,""),"")</f>
        <v>0.707203153163353</v>
      </c>
      <c r="AK361" s="264">
        <f>IFERROR(IF(AND(COUNT(AH15,AI15,AJ15,AK15)=4,N(AK193)&lt;&gt;0),(AH15+AI15+AJ15+AK15)/AK193,""),"")</f>
        <v>0.739778632927646</v>
      </c>
      <c r="AL361" s="262">
        <f>IFERROR(IF(AND(COUNT(AH15,AI15,AJ15,AK15)=4,N(AL193)&lt;&gt;0),(AH15+AI15+AJ15+AK15)/AL193,""),"")</f>
        <v>0.739778632927646</v>
      </c>
      <c r="AM361" s="264">
        <f>IFERROR(IF(AND(COUNT(AI15,AJ15,AK15,AM15)=4,N(AM193)&lt;&gt;0),(AI15+AJ15+AK15+AM15)/AM193,""),"")</f>
        <v>0.741430208212688</v>
      </c>
      <c r="AN361" s="264">
        <f>IFERROR(IF(AND(COUNT(AJ15,AK15,AM15,AN15)=4,N(AN193)&lt;&gt;0),(AJ15+AK15+AM15+AN15)/AN193,""),"")</f>
        <v>0.748424282565375</v>
      </c>
      <c r="AO361" s="264">
        <f>IFERROR(IF(AND(COUNT(AK15,AM15,AN15,AO15)=4,N(AO193)&lt;&gt;0),(AK15+AM15+AN15+AO15)/AO193,""),"")</f>
        <v>0.881060462783592</v>
      </c>
      <c r="AP361" s="264">
        <f>IFERROR(IF(AND(COUNT(AM15,AN15,AO15,AP15)=4,N(AP193)&lt;&gt;0),(AM15+AN15+AO15+AP15)/AP193,""),"")</f>
        <v>0.90032741822335</v>
      </c>
      <c r="AQ361" s="262">
        <f>IFERROR(IF(AND(COUNT(AM15,AN15,AO15,AP15)=4,N(AQ193)&lt;&gt;0),(AM15+AN15+AO15+AP15)/AQ193,""),"")</f>
        <v>0.90032741822335</v>
      </c>
      <c r="AR361" s="264">
        <f>IFERROR(IF(AND(COUNT(AN15,AO15,AP15,AR15)=4,N(AR193)&lt;&gt;0),(AN15+AO15+AP15+AR15)/AR193,""),"")</f>
        <v>0.86872102518602</v>
      </c>
      <c r="AS361" s="264">
        <f>IFERROR(IF(AND(COUNT(AO15,AP15,AR15,AS15)=4,N(AS193)&lt;&gt;0),(AO15+AP15+AR15+AS15)/AS193,""),"")</f>
        <v>0.839828549873779</v>
      </c>
      <c r="AT361" s="264">
        <f>IFERROR(IF(AND(COUNT(AP15,AR15,AS15,AT15)=4,N(AT193)&lt;&gt;0),(AP15+AR15+AS15+AT15)/AT193,""),"")</f>
        <v>0.991153108021431</v>
      </c>
      <c r="AU361" s="264">
        <f>IFERROR(IF(AND(COUNT(AR15,AS15,AT15,AU15)=4,N(AU193)&lt;&gt;0),(AR15+AS15+AT15+AU15)/AU193,""),"")</f>
        <v>0.99794768490487</v>
      </c>
      <c r="AV361" s="262">
        <f>IFERROR(IF(AND(COUNT(AR15,AS15,AT15,AU15)=4,N(AV193)&lt;&gt;0),(AR15+AS15+AT15+AU15)/AV193,""),"")</f>
        <v>0.99794768490487</v>
      </c>
      <c r="AW361" s="264">
        <f>IFERROR(IF(AND(COUNT(AS15,AT15,AU15,AW15)=4,N(AW193)&lt;&gt;0),(AS15+AT15+AU15+AW15)/AW193,""),"")</f>
        <v>0.937960218299244</v>
      </c>
      <c r="AX361" s="264">
        <f>IFERROR(IF(AND(COUNT(AT15,AU15,AW15,AX15)=4,N(AX193)&lt;&gt;0),(AT15+AU15+AW15+AX15)/AX193,""),"")</f>
        <v>0.888694346516664</v>
      </c>
      <c r="AY361" s="264">
        <f>IFERROR(IF(AND(COUNT(AU15,AW15,AX15,AY15)=4,N(AY193)&lt;&gt;0),(AU15+AW15+AX15+AY15)/AY193,""),"")</f>
        <v>1.05006547672673</v>
      </c>
      <c r="AZ361" s="264">
        <f>IFERROR(IF(AND(COUNT(AW15,AX15,AY15,AZ15)=4,N(AZ193)&lt;&gt;0),(AW15+AX15+AY15+AZ15)/AZ193,""),"")</f>
        <v>1.0488897106379</v>
      </c>
      <c r="BA361" s="262">
        <f>IFERROR(IF(AND(COUNT(AW15,AX15,AY15,AZ15)=4,N(BA193)&lt;&gt;0),(AW15+AX15+AY15+AZ15)/BA193,""),"")</f>
        <v>1.0488897106379</v>
      </c>
      <c r="BB361" s="264">
        <f>IFERROR(IF(AND(COUNT(AX15,AY15,AZ15,BB15)=4,N(BB193)&lt;&gt;0),(AX15+AY15+AZ15+BB15)/BB193,""),"")</f>
        <v>0.974023284841348</v>
      </c>
      <c r="BC361" s="264">
        <f>IFERROR(IF(AND(COUNT(AY15,AZ15,BB15,BC15)=4,N(BC193)&lt;&gt;0),(AY15+AZ15+BB15+BC15)/BC193,""),"")</f>
        <v>0.912362827443752</v>
      </c>
      <c r="BD361" s="264">
        <f>IFERROR(IF(AND(COUNT(AZ15,BB15,BC15,BD15)=4,N(BD193)&lt;&gt;0),(AZ15+BB15+BC15+BD15)/BD193,""),"")</f>
        <v>1.07845395282968</v>
      </c>
      <c r="BE361" s="264">
        <f>IFERROR(IF(AND(COUNT(BB15,BC15,BD15,BE15)=4,N(BE193)&lt;&gt;0),(BB15+BC15+BD15+BE15)/BE193,""),"")</f>
        <v>1.07300542644173</v>
      </c>
      <c r="BF361" s="262">
        <f>IFERROR(IF(AND(COUNT(BB15,BC15,BD15,BE15)=4,N(BF193)&lt;&gt;0),(BB15+BC15+BD15+BE15)/BF193,""),"")</f>
        <v>1.07300542644173</v>
      </c>
      <c r="BG361" s="81" t="n"/>
      <c r="BH361" s="81" t="n"/>
      <c r="BI361" s="81" t="n"/>
      <c r="BJ361" s="81" t="n"/>
      <c r="BL361" s="81" t="n"/>
      <c r="BM361" s="81" t="n"/>
      <c r="BN361" s="81" t="n"/>
      <c r="BO361" s="81" t="n"/>
      <c r="BQ361" s="81" t="n"/>
      <c r="BR361" s="81" t="n"/>
      <c r="BS361" s="81" t="n"/>
      <c r="BT361" s="81" t="n"/>
      <c r="BV361" s="81" t="n"/>
      <c r="BW361" s="81" t="n"/>
      <c r="BX361" s="81" t="n"/>
      <c r="BY361" s="81" t="n"/>
      <c r="CA361" s="81" t="n"/>
      <c r="CB361" s="81" t="n"/>
      <c r="CC361" s="81" t="n"/>
      <c r="CD361" s="81" t="n"/>
      <c r="CF361" s="81" t="n"/>
      <c r="CG361" s="81" t="n"/>
      <c r="CH361" s="81" t="n"/>
      <c r="CI361" s="81" t="n"/>
      <c r="CK361" s="81" t="n"/>
      <c r="CL361" s="81" t="n"/>
      <c r="CM361" s="81" t="n"/>
      <c r="CN361" s="81" t="n"/>
      <c r="CP361" s="81" t="n"/>
      <c r="CQ361" s="81" t="n"/>
      <c r="CR361" s="81" t="n"/>
      <c r="CS361" s="81" t="n"/>
      <c r="CU361" s="81" t="n"/>
      <c r="CV361" s="81" t="n"/>
      <c r="CW361" s="81" t="n"/>
      <c r="CX361" s="81" t="n"/>
    </row>
    <row r="362" customFormat="1" s="77">
      <c r="A362" s="76" t="n"/>
      <c r="B362" s="76" t="n"/>
      <c r="C362" s="77" t="inlineStr">
        <is>
          <t>EQUITY MULTIPLIER (ASSETS / EQUITY)</t>
        </is>
      </c>
      <c r="D362" s="84" t="str">
        <f>IFERROR(D193/D267,"")</f>
        <v/>
      </c>
      <c r="E362" s="84" t="str">
        <f>IFERROR(E193/E267,"")</f>
        <v/>
      </c>
      <c r="F362" s="84" t="str">
        <f>IFERROR(F193/F267,"")</f>
        <v/>
      </c>
      <c r="G362" s="84" t="str">
        <f>IFERROR(G193/G267,"")</f>
        <v/>
      </c>
      <c r="H362" s="262" t="str">
        <f>IFERROR(IF(N(H267)&lt;&gt;0,H193/H267,""),"")</f>
        <v/>
      </c>
      <c r="I362" s="264">
        <f>IFERROR(IF(N(I267)&lt;&gt;0,I193/I267,""),"")</f>
        <v>1.33130856060792</v>
      </c>
      <c r="J362" s="264">
        <f>IFERROR(IF(N(J267)&lt;&gt;0,J193/J267,""),"")</f>
        <v>1.32381267895596</v>
      </c>
      <c r="K362" s="264">
        <f>IFERROR(IF(N(K267)&lt;&gt;0,K193/K267,""),"")</f>
        <v>1.33951699178294</v>
      </c>
      <c r="L362" s="264">
        <f>IFERROR(IF(N(L267)&lt;&gt;0,L193/L267,""),"")</f>
        <v>1.33410298858587</v>
      </c>
      <c r="M362" s="262">
        <f>IFERROR(IF(N(M267)&lt;&gt;0,M193/M267,""),"")</f>
        <v>1.33410298858587</v>
      </c>
      <c r="N362" s="264">
        <f>IFERROR(IF(N(N267)&lt;&gt;0,N193/N267,""),"")</f>
        <v>1.33129898630996</v>
      </c>
      <c r="O362" s="264">
        <f>IFERROR(IF(N(O267)&lt;&gt;0,O193/O267,""),"")</f>
        <v>1.32497311337026</v>
      </c>
      <c r="P362" s="264">
        <f>IFERROR(IF(N(P267)&lt;&gt;0,P193/P267,""),"")</f>
        <v>1.32813032239966</v>
      </c>
      <c r="Q362" s="264">
        <f>IFERROR(IF(N(Q267)&lt;&gt;0,Q193/Q267,""),"")</f>
        <v>1.37658702794792</v>
      </c>
      <c r="R362" s="262">
        <f>IFERROR(IF(N(R267)&lt;&gt;0,R193/R267,""),"")</f>
        <v>1.37658702794792</v>
      </c>
      <c r="S362" s="264">
        <f>IFERROR(IF(N(S267)&lt;&gt;0,S193/S267,""),"")</f>
        <v>1.40762215121569</v>
      </c>
      <c r="T362" s="264">
        <f>IFERROR(IF(N(T267)&lt;&gt;0,T193/T267,""),"")</f>
        <v>1.44653672503028</v>
      </c>
      <c r="U362" s="264">
        <f>IFERROR(IF(N(U267)&lt;&gt;0,U193/U267,""),"")</f>
        <v>1.45634632819583</v>
      </c>
      <c r="V362" s="264">
        <f>IFERROR(IF(N(V267)&lt;&gt;0,V193/V267,""),"")</f>
        <v>1.48714002564999</v>
      </c>
      <c r="W362" s="262">
        <f>IFERROR(IF(N(W267)&lt;&gt;0,W193/W267,""),"")</f>
        <v>1.48714002564999</v>
      </c>
      <c r="X362" s="264">
        <f>IFERROR(IF(N(X267)&lt;&gt;0,X193/X267,""),"")</f>
        <v>1.49801686801915</v>
      </c>
      <c r="Y362" s="264">
        <f>IFERROR(IF(N(Y267)&lt;&gt;0,Y193/Y267,""),"")</f>
        <v>1.49813453928773</v>
      </c>
      <c r="Z362" s="264">
        <f>IFERROR(IF(N(Z267)&lt;&gt;0,Z193/Z267,""),"")</f>
        <v>1.5381001972037</v>
      </c>
      <c r="AA362" s="264">
        <f>IFERROR(IF(N(AA267)&lt;&gt;0,AA193/AA267,""),"")</f>
        <v>1.5270423317734</v>
      </c>
      <c r="AB362" s="262">
        <f>IFERROR(IF(N(AB267)&lt;&gt;0,AB193/AB267,""),"")</f>
        <v>1.5270423317734</v>
      </c>
      <c r="AC362" s="264">
        <f>IFERROR(IF(N(AC267)&lt;&gt;0,AC193/AC267,""),"")</f>
        <v>1.50212818456604</v>
      </c>
      <c r="AD362" s="264">
        <f>IFERROR(IF(N(AD267)&lt;&gt;0,AD193/AD267,""),"")</f>
        <v>1.5448293528809</v>
      </c>
      <c r="AE362" s="264">
        <f>IFERROR(IF(N(AE267)&lt;&gt;0,AE193/AE267,""),"")</f>
        <v>1.52862549616911</v>
      </c>
      <c r="AF362" s="264">
        <f>IFERROR(IF(N(AF267)&lt;&gt;0,AF193/AF267,""),"")</f>
        <v>1.46194265891236</v>
      </c>
      <c r="AG362" s="262">
        <f>IFERROR(IF(N(AG267)&lt;&gt;0,AG193/AG267,""),"")</f>
        <v>1.46194265891236</v>
      </c>
      <c r="AH362" s="264">
        <f>IFERROR(IF(N(AH267)&lt;&gt;0,AH193/AH267,""),"")</f>
        <v>1.40091638029782</v>
      </c>
      <c r="AI362" s="264">
        <f>IFERROR(IF(N(AI267)&lt;&gt;0,AI193/AI267,""),"")</f>
        <v>1.33148008419046</v>
      </c>
      <c r="AJ362" s="264">
        <f>IFERROR(IF(N(AJ267)&lt;&gt;0,AJ193/AJ267,""),"")</f>
        <v>1.32808281001122</v>
      </c>
      <c r="AK362" s="264">
        <f>IFERROR(IF(N(AK267)&lt;&gt;0,AK193/AK267,""),"")</f>
        <v>1.32722793723146</v>
      </c>
      <c r="AL362" s="262">
        <f>IFERROR(IF(N(AL267)&lt;&gt;0,AL193/AL267,""),"")</f>
        <v>1.32722793723146</v>
      </c>
      <c r="AM362" s="264">
        <f>IFERROR(IF(N(AM267)&lt;&gt;0,AM193/AM267,""),"")</f>
        <v>1.40192618802477</v>
      </c>
      <c r="AN362" s="264">
        <f>IFERROR(IF(N(AN267)&lt;&gt;0,AN193/AN267,""),"")</f>
        <v>1.48013212715849</v>
      </c>
      <c r="AO362" s="264">
        <f>IFERROR(IF(N(AO267)&lt;&gt;0,AO193/AO267,""),"")</f>
        <v>1.29049639343845</v>
      </c>
      <c r="AP362" s="264">
        <f>IFERROR(IF(N(AP267)&lt;&gt;0,AP193/AP267,""),"")</f>
        <v>1.29380275823428</v>
      </c>
      <c r="AQ362" s="262">
        <f>IFERROR(IF(N(AQ267)&lt;&gt;0,AQ193/AQ267,""),"")</f>
        <v>1.29380275823428</v>
      </c>
      <c r="AR362" s="264">
        <f>IFERROR(IF(N(AR267)&lt;&gt;0,AR193/AR267,""),"")</f>
        <v>1.38159472580954</v>
      </c>
      <c r="AS362" s="264">
        <f>IFERROR(IF(N(AS267)&lt;&gt;0,AS193/AS267,""),"")</f>
        <v>1.47636898127813</v>
      </c>
      <c r="AT362" s="264">
        <f>IFERROR(IF(N(AT267)&lt;&gt;0,AT193/AT267,""),"")</f>
        <v>1.26737068475796</v>
      </c>
      <c r="AU362" s="264">
        <f>IFERROR(IF(N(AU267)&lt;&gt;0,AU193/AU267,""),"")</f>
        <v>1.27388028151259</v>
      </c>
      <c r="AV362" s="262">
        <f>IFERROR(IF(N(AV267)&lt;&gt;0,AV193/AV267,""),"")</f>
        <v>1.27388028151259</v>
      </c>
      <c r="AW362" s="264">
        <f>IFERROR(IF(N(AW267)&lt;&gt;0,AW193/AW267,""),"")</f>
        <v>1.3749755395484</v>
      </c>
      <c r="AX362" s="264">
        <f>IFERROR(IF(N(AX267)&lt;&gt;0,AX193/AX267,""),"")</f>
        <v>1.47372031443296</v>
      </c>
      <c r="AY362" s="264">
        <f>IFERROR(IF(N(AY267)&lt;&gt;0,AY193/AY267,""),"")</f>
        <v>1.2548783959091</v>
      </c>
      <c r="AZ362" s="264">
        <f>IFERROR(IF(N(AZ267)&lt;&gt;0,AZ193/AZ267,""),"")</f>
        <v>1.26329694077999</v>
      </c>
      <c r="BA362" s="262">
        <f>IFERROR(IF(N(BA267)&lt;&gt;0,BA193/BA267,""),"")</f>
        <v>1.26329694077999</v>
      </c>
      <c r="BB362" s="264">
        <f>IFERROR(IF(N(BB267)&lt;&gt;0,BB193/BB267,""),"")</f>
        <v>1.36918560209932</v>
      </c>
      <c r="BC362" s="264">
        <f>IFERROR(IF(N(BC267)&lt;&gt;0,BC193/BC267,""),"")</f>
        <v>1.47177075493831</v>
      </c>
      <c r="BD362" s="264">
        <f>IFERROR(IF(N(BD267)&lt;&gt;0,BD193/BD267,""),"")</f>
        <v>1.24847526126646</v>
      </c>
      <c r="BE362" s="264">
        <f>IFERROR(IF(N(BE267)&lt;&gt;0,BE193/BE267,""),"")</f>
        <v>1.25790346400415</v>
      </c>
      <c r="BF362" s="262">
        <f>IFERROR(IF(N(BF267)&lt;&gt;0,BF193/BF267,""),"")</f>
        <v>1.25790346400415</v>
      </c>
      <c r="BG362" s="81" t="n"/>
      <c r="BH362" s="81" t="n"/>
      <c r="BI362" s="81" t="n"/>
      <c r="BJ362" s="81" t="n"/>
      <c r="BL362" s="81" t="n"/>
      <c r="BM362" s="81" t="n"/>
      <c r="BN362" s="81" t="n"/>
      <c r="BO362" s="81" t="n"/>
      <c r="BQ362" s="81" t="n"/>
      <c r="BR362" s="81" t="n"/>
      <c r="BS362" s="81" t="n"/>
      <c r="BT362" s="81" t="n"/>
      <c r="BV362" s="81" t="n"/>
      <c r="BW362" s="81" t="n"/>
      <c r="BX362" s="81" t="n"/>
      <c r="BY362" s="81" t="n"/>
      <c r="CA362" s="81" t="n"/>
      <c r="CB362" s="81" t="n"/>
      <c r="CC362" s="81" t="n"/>
      <c r="CD362" s="81" t="n"/>
      <c r="CF362" s="81" t="n"/>
      <c r="CG362" s="81" t="n"/>
      <c r="CH362" s="81" t="n"/>
      <c r="CI362" s="81" t="n"/>
      <c r="CK362" s="81" t="n"/>
      <c r="CL362" s="81" t="n"/>
      <c r="CM362" s="81" t="n"/>
      <c r="CN362" s="81" t="n"/>
      <c r="CP362" s="81" t="n"/>
      <c r="CQ362" s="81" t="n"/>
      <c r="CR362" s="81" t="n"/>
      <c r="CS362" s="81" t="n"/>
      <c r="CU362" s="81" t="n"/>
      <c r="CV362" s="81" t="n"/>
      <c r="CW362" s="81" t="n"/>
      <c r="CX362" s="81" t="n"/>
    </row>
    <row r="363" customFormat="1" s="77">
      <c r="A363" s="76" t="n"/>
      <c r="B363" s="76" t="n"/>
      <c r="C363" s="77" t="inlineStr">
        <is>
          <t>ROE - DUPONT</t>
        </is>
      </c>
      <c r="D363" s="84">
        <f>IFERROR(PRODUCT(D360:D362),"")</f>
        <v>0</v>
      </c>
      <c r="E363" s="84">
        <f>IFERROR(PRODUCT(E360:E362),"")</f>
        <v>0</v>
      </c>
      <c r="F363" s="84">
        <f>IFERROR(PRODUCT(F360:F362),"")</f>
        <v>0</v>
      </c>
      <c r="G363" s="84">
        <f>IFERROR(PRODUCT(G360:G362),"")</f>
        <v>0</v>
      </c>
      <c r="H363" s="258" t="str">
        <f>IFERROR(IF(COUNT(H360,H361,H362)=3,H360*H361*H362,""),"")</f>
        <v/>
      </c>
      <c r="I363" s="257" t="str">
        <f>IFERROR(IF(COUNT(I360,I361,I362)=3,I360*I361*I362,""),"")</f>
        <v/>
      </c>
      <c r="J363" s="257" t="str">
        <f>IFERROR(IF(COUNT(J360,J361,J362)=3,J360*J361*J362,""),"")</f>
        <v/>
      </c>
      <c r="K363" s="257" t="str">
        <f>IFERROR(IF(COUNT(K360,K361,K362)=3,K360*K361*K362,""),"")</f>
        <v/>
      </c>
      <c r="L363" s="257">
        <f>IFERROR(IF(COUNT(L360,L361,L362)=3,L360*L361*L362,""),"")</f>
        <v>0.160407772065871</v>
      </c>
      <c r="M363" s="258">
        <f>IFERROR(IF(COUNT(M360,M361,M362)=3,M360*M361*M362,""),"")</f>
        <v>0.160407772065871</v>
      </c>
      <c r="N363" s="257">
        <f>IFERROR(IF(COUNT(N360,N361,N362)=3,N360*N361*N362,""),"")</f>
        <v>0.188609050057477</v>
      </c>
      <c r="O363" s="257">
        <f>IFERROR(IF(COUNT(O360,O361,O362)=3,O360*O361*O362,""),"")</f>
        <v>0.20119315760638</v>
      </c>
      <c r="P363" s="257">
        <f>IFERROR(IF(COUNT(P360,P361,P362)=3,P360*P361*P362,""),"")</f>
        <v>0.174063758590979</v>
      </c>
      <c r="Q363" s="257">
        <f>IFERROR(IF(COUNT(Q360,Q361,Q362)=3,Q360*Q361*Q362,""),"")</f>
        <v>0.125461404291567</v>
      </c>
      <c r="R363" s="258">
        <f>IFERROR(IF(COUNT(R360,R361,R362)=3,R360*R361*R362,""),"")</f>
        <v>0.125461404291567</v>
      </c>
      <c r="S363" s="257">
        <f>IFERROR(IF(COUNT(S360,S361,S362)=3,S360*S361*S362,""),"")</f>
        <v>0.0340901876970608</v>
      </c>
      <c r="T363" s="257">
        <f>IFERROR(IF(COUNT(T360,T361,T362)=3,T360*T361*T362,""),"")</f>
        <v>-0.0641118819513269</v>
      </c>
      <c r="U363" s="257">
        <f>IFERROR(IF(COUNT(U360,U361,U362)=3,U360*U361*U362,""),"")</f>
        <v>-0.132207615593835</v>
      </c>
      <c r="V363" s="257">
        <f>IFERROR(IF(COUNT(V360,V361,V362)=3,V360*V361*V362,""),"")</f>
        <v>-0.160242509035793</v>
      </c>
      <c r="W363" s="258">
        <f>IFERROR(IF(COUNT(W360,W361,W362)=3,W360*W361*W362,""),"")</f>
        <v>-0.160242509035793</v>
      </c>
      <c r="X363" s="257">
        <f>IFERROR(IF(COUNT(X360,X361,X362)=3,X360*X361*X362,""),"")</f>
        <v>-0.0858673353088671</v>
      </c>
      <c r="Y363" s="257">
        <f>IFERROR(IF(COUNT(Y360,Y361,Y362)=3,Y360*Y361*Y362,""),"")</f>
        <v>-0.0347993216506501</v>
      </c>
      <c r="Z363" s="257">
        <f>IFERROR(IF(COUNT(Z360,Z361,Z362)=3,Z360*Z361*Z362,""),"")</f>
        <v>0.0172387051029226</v>
      </c>
      <c r="AA363" s="257">
        <f>IFERROR(IF(COUNT(AA360,AA361,AA362)=3,AA360*AA361*AA362,""),"")</f>
        <v>0.0829540355150971</v>
      </c>
      <c r="AB363" s="258">
        <f>IFERROR(IF(COUNT(AB360,AB361,AB362)=3,AB360*AB361*AB362,""),"")</f>
        <v>0.0829540355150971</v>
      </c>
      <c r="AC363" s="257">
        <f>IFERROR(IF(COUNT(AC360,AC361,AC362)=3,AC360*AC361*AC362,""),"")</f>
        <v>0.0960664569325355</v>
      </c>
      <c r="AD363" s="257">
        <f>IFERROR(IF(COUNT(AD360,AD361,AD362)=3,AD360*AD361*AD362,""),"")</f>
        <v>0.122664932608182</v>
      </c>
      <c r="AE363" s="257">
        <f>IFERROR(IF(COUNT(AE360,AE361,AE362)=3,AE360*AE361*AE362,""),"")</f>
        <v>0.157647927628542</v>
      </c>
      <c r="AF363" s="257">
        <f>IFERROR(IF(COUNT(AF360,AF361,AF362)=3,AF360*AF361*AF362,""),"")</f>
        <v>0.241607999183757</v>
      </c>
      <c r="AG363" s="258">
        <f>IFERROR(IF(COUNT(AG360,AG361,AG362)=3,AG360*AG361*AG362,""),"")</f>
        <v>0.202513348977995</v>
      </c>
      <c r="AH363" s="257">
        <f>IFERROR(IF(COUNT(AH360,AH361,AH362)=3,AH360*AH361*AH362,""),"")</f>
        <v>0.452932002925792</v>
      </c>
      <c r="AI363" s="257">
        <f>IFERROR(IF(COUNT(AI360,AI361,AI362)=3,AI360*AI361*AI362,""),"")</f>
        <v>0.567272943886264</v>
      </c>
      <c r="AJ363" s="257">
        <f>IFERROR(IF(COUNT(AJ360,AJ361,AJ362)=3,AJ360*AJ361*AJ362,""),"")</f>
        <v>0.516505730356153</v>
      </c>
      <c r="AK363" s="257">
        <f>IFERROR(IF(COUNT(AK360,AK361,AK362)=3,AK360*AK361*AK362,""),"")</f>
        <v>0.520550307724471</v>
      </c>
      <c r="AL363" s="258">
        <f>IFERROR(IF(COUNT(AL360,AL361,AL362)=3,AL360*AL361*AL362,""),"")</f>
        <v>0.520550307724471</v>
      </c>
      <c r="AM363" s="257">
        <f>IFERROR(IF(COUNT(AM360,AM361,AM362)=3,AM360*AM361*AM362,""),"")</f>
        <v>0.493737192777513</v>
      </c>
      <c r="AN363" s="257">
        <f>IFERROR(IF(COUNT(AN360,AN361,AN362)=3,AN360*AN361*AN362,""),"")</f>
        <v>0.437963530145809</v>
      </c>
      <c r="AO363" s="257">
        <f>IFERROR(IF(COUNT(AO360,AO361,AO362)=3,AO360*AO361*AO362,""),"")</f>
        <v>0.449523189638016</v>
      </c>
      <c r="AP363" s="257">
        <f>IFERROR(IF(COUNT(AP360,AP361,AP362)=3,AP360*AP361*AP362,""),"")</f>
        <v>0.460530228058593</v>
      </c>
      <c r="AQ363" s="258">
        <f>IFERROR(IF(COUNT(AQ360,AQ361,AQ362)=3,AQ360*AQ361*AQ362,""),"")</f>
        <v>0.460530228058593</v>
      </c>
      <c r="AR363" s="257">
        <f>IFERROR(IF(COUNT(AR360,AR361,AR362)=3,AR360*AR361*AR362,""),"")</f>
        <v>0.474515706219219</v>
      </c>
      <c r="AS363" s="257">
        <f>IFERROR(IF(COUNT(AS360,AS361,AS362)=3,AS360*AS361*AS362,""),"")</f>
        <v>0.4902020679271</v>
      </c>
      <c r="AT363" s="257">
        <f>IFERROR(IF(COUNT(AT360,AT361,AT362)=3,AT360*AT361*AT362,""),"")</f>
        <v>0.496631196849452</v>
      </c>
      <c r="AU363" s="257">
        <f>IFERROR(IF(COUNT(AU360,AU361,AU362)=3,AU360*AU361*AU362,""),"")</f>
        <v>0.50260404882664</v>
      </c>
      <c r="AV363" s="258">
        <f>IFERROR(IF(COUNT(AV360,AV361,AV362)=3,AV360*AV361*AV362,""),"")</f>
        <v>0.50260404882664</v>
      </c>
      <c r="AW363" s="257">
        <f>IFERROR(IF(COUNT(AW360,AW361,AW362)=3,AW360*AW361*AW362,""),"")</f>
        <v>0.509881182003612</v>
      </c>
      <c r="AX363" s="257">
        <f>IFERROR(IF(COUNT(AX360,AX361,AX362)=3,AX360*AX361*AX362,""),"")</f>
        <v>0.517794079163293</v>
      </c>
      <c r="AY363" s="257">
        <f>IFERROR(IF(COUNT(AY360,AY361,AY362)=3,AY360*AY361*AY362,""),"")</f>
        <v>0.520963882457587</v>
      </c>
      <c r="AZ363" s="257">
        <f>IFERROR(IF(COUNT(AZ360,AZ361,AZ362)=3,AZ360*AZ361*AZ362,""),"")</f>
        <v>0.523871608394176</v>
      </c>
      <c r="BA363" s="258">
        <f>IFERROR(IF(COUNT(BA360,BA361,BA362)=3,BA360*BA361*BA362,""),"")</f>
        <v>0.523871608394176</v>
      </c>
      <c r="BB363" s="257">
        <f>IFERROR(IF(COUNT(BB360,BB361,BB362)=3,BB360*BB361*BB362,""),"")</f>
        <v>0.527255665925431</v>
      </c>
      <c r="BC363" s="257">
        <f>IFERROR(IF(COUNT(BC360,BC361,BC362)=3,BC360*BC361*BC362,""),"")</f>
        <v>0.530881197543573</v>
      </c>
      <c r="BD363" s="257">
        <f>IFERROR(IF(COUNT(BD360,BD361,BD362)=3,BD360*BD361*BD362,""),"")</f>
        <v>0.532317985978992</v>
      </c>
      <c r="BE363" s="257">
        <f>IFERROR(IF(COUNT(BE360,BE361,BE362)=3,BE360*BE361*BE362,""),"")</f>
        <v>0.533628263723604</v>
      </c>
      <c r="BF363" s="258">
        <f>IFERROR(IF(COUNT(BF360,BF361,BF362)=3,BF360*BF361*BF362,""),"")</f>
        <v>0.533628263723604</v>
      </c>
      <c r="BG363" s="81" t="n"/>
      <c r="BH363" s="81" t="n"/>
      <c r="BI363" s="81" t="n"/>
      <c r="BJ363" s="81" t="n"/>
      <c r="BL363" s="81" t="n"/>
      <c r="BM363" s="81" t="n"/>
      <c r="BN363" s="81" t="n"/>
      <c r="BO363" s="81" t="n"/>
      <c r="BQ363" s="81" t="n"/>
      <c r="BR363" s="81" t="n"/>
      <c r="BS363" s="81" t="n"/>
      <c r="BT363" s="81" t="n"/>
      <c r="BV363" s="81" t="n"/>
      <c r="BW363" s="81" t="n"/>
      <c r="BX363" s="81" t="n"/>
      <c r="BY363" s="81" t="n"/>
      <c r="CA363" s="81" t="n"/>
      <c r="CB363" s="81" t="n"/>
      <c r="CC363" s="81" t="n"/>
      <c r="CD363" s="81" t="n"/>
      <c r="CF363" s="81" t="n"/>
      <c r="CG363" s="81" t="n"/>
      <c r="CH363" s="81" t="n"/>
      <c r="CI363" s="81" t="n"/>
      <c r="CK363" s="81" t="n"/>
      <c r="CL363" s="81" t="n"/>
      <c r="CM363" s="81" t="n"/>
      <c r="CN363" s="81" t="n"/>
      <c r="CP363" s="81" t="n"/>
      <c r="CQ363" s="81" t="n"/>
      <c r="CR363" s="81" t="n"/>
      <c r="CS363" s="81" t="n"/>
      <c r="CU363" s="81" t="n"/>
      <c r="CV363" s="81" t="n"/>
      <c r="CW363" s="81" t="n"/>
      <c r="CX363" s="81" t="n"/>
    </row>
    <row r="364" customFormat="1" s="77">
      <c r="A364" s="76" t="n"/>
      <c r="B364" s="76" t="n"/>
      <c r="C364" s="77" t="inlineStr">
        <is>
          <t>ROE (LTM)</t>
        </is>
      </c>
      <c r="D364" s="84" t="str">
        <f>IFERROR(D133/D267,"")</f>
        <v/>
      </c>
      <c r="E364" s="84" t="str">
        <f>IFERROR(E133/E267,"")</f>
        <v/>
      </c>
      <c r="F364" s="84" t="str">
        <f>IFERROR(F133/F267,"")</f>
        <v/>
      </c>
      <c r="G364" s="84" t="str">
        <f>IFERROR(G133/G267,"")</f>
        <v/>
      </c>
      <c r="H364" s="258" t="str">
        <f>IFERROR(IF(AND(COUNT(H133)=1,N(H267)&lt;&gt;0),(H133)/H267,""),"")</f>
        <v/>
      </c>
      <c r="I364" s="257" t="str">
        <f>""</f>
        <v/>
      </c>
      <c r="J364" s="257" t="str">
        <f>""</f>
        <v/>
      </c>
      <c r="K364" s="257" t="str">
        <f>""</f>
        <v/>
      </c>
      <c r="L364" s="257">
        <f>IFERROR(IF(AND(COUNT(I133,J133,K133,L133)=4,N(L267)&lt;&gt;0),(I133+J133+K133+L133)/L267,""),"")</f>
        <v>0.160407772065871</v>
      </c>
      <c r="M364" s="258">
        <f>IFERROR(IF(AND(COUNT(I133,J133,K133,L133)=4,N(M267)&lt;&gt;0),(I133+J133+K133+L133)/M267,""),"")</f>
        <v>0.160407772065871</v>
      </c>
      <c r="N364" s="257">
        <f>IFERROR(IF(AND(COUNT(J133,K133,L133,N133)=4,N(N267)&lt;&gt;0),(J133+K133+L133+N133)/N267,""),"")</f>
        <v>0.188609050057477</v>
      </c>
      <c r="O364" s="257">
        <f>IFERROR(IF(AND(COUNT(K133,L133,N133,O133)=4,N(O267)&lt;&gt;0),(K133+L133+N133+O133)/O267,""),"")</f>
        <v>0.20119315760638</v>
      </c>
      <c r="P364" s="257">
        <f>IFERROR(IF(AND(COUNT(L133,N133,O133,P133)=4,N(P267)&lt;&gt;0),(L133+N133+O133+P133)/P267,""),"")</f>
        <v>0.174063758590979</v>
      </c>
      <c r="Q364" s="257">
        <f>IFERROR(IF(AND(COUNT(N133,O133,P133,Q133)=4,N(Q267)&lt;&gt;0),(N133+O133+P133+Q133)/Q267,""),"")</f>
        <v>0.125461404291567</v>
      </c>
      <c r="R364" s="258">
        <f>IFERROR(IF(AND(COUNT(N133,O133,P133,Q133)=4,N(R267)&lt;&gt;0),(N133+O133+P133+Q133)/R267,""),"")</f>
        <v>0.125461404291567</v>
      </c>
      <c r="S364" s="257">
        <f>IFERROR(IF(AND(COUNT(O133,P133,Q133,S133)=4,N(S267)&lt;&gt;0),(O133+P133+Q133+S133)/S267,""),"")</f>
        <v>0.0340901876970608</v>
      </c>
      <c r="T364" s="257">
        <f>IFERROR(IF(AND(COUNT(P133,Q133,S133,T133)=4,N(T267)&lt;&gt;0),(P133+Q133+S133+T133)/T267,""),"")</f>
        <v>-0.0641118819513269</v>
      </c>
      <c r="U364" s="257">
        <f>IFERROR(IF(AND(COUNT(Q133,S133,T133,U133)=4,N(U267)&lt;&gt;0),(Q133+S133+T133+U133)/U267,""),"")</f>
        <v>-0.132207615593835</v>
      </c>
      <c r="V364" s="257">
        <f>IFERROR(IF(AND(COUNT(S133,T133,U133,V133)=4,N(V267)&lt;&gt;0),(S133+T133+U133+V133)/V267,""),"")</f>
        <v>-0.160242509035793</v>
      </c>
      <c r="W364" s="258">
        <f>IFERROR(IF(AND(COUNT(S133,T133,U133,V133)=4,N(W267)&lt;&gt;0),(S133+T133+U133+V133)/W267,""),"")</f>
        <v>-0.160242509035793</v>
      </c>
      <c r="X364" s="257">
        <f>IFERROR(IF(AND(COUNT(T133,U133,V133,X133)=4,N(X267)&lt;&gt;0),(T133+U133+V133+X133)/X267,""),"")</f>
        <v>-0.0858673353088671</v>
      </c>
      <c r="Y364" s="257">
        <f>IFERROR(IF(AND(COUNT(U133,V133,X133,Y133)=4,N(Y267)&lt;&gt;0),(U133+V133+X133+Y133)/Y267,""),"")</f>
        <v>-0.0347993216506501</v>
      </c>
      <c r="Z364" s="257">
        <f>IFERROR(IF(AND(COUNT(V133,X133,Y133,Z133)=4,N(Z267)&lt;&gt;0),(V133+X133+Y133+Z133)/Z267,""),"")</f>
        <v>0.0172387051029226</v>
      </c>
      <c r="AA364" s="257">
        <f>IFERROR(IF(AND(COUNT(X133,Y133,Z133,AA133)=4,N(AA267)&lt;&gt;0),(X133+Y133+Z133+AA133)/AA267,""),"")</f>
        <v>0.0829540355150971</v>
      </c>
      <c r="AB364" s="258">
        <f>IFERROR(IF(AND(COUNT(X133,Y133,Z133,AA133)=4,N(AB267)&lt;&gt;0),(X133+Y133+Z133+AA133)/AB267,""),"")</f>
        <v>0.0829540355150971</v>
      </c>
      <c r="AC364" s="257">
        <f>IFERROR(IF(AND(COUNT(Y133,Z133,AA133,AC133)=4,N(AC267)&lt;&gt;0),(Y133+Z133+AA133+AC133)/AC267,""),"")</f>
        <v>0.0960664569325355</v>
      </c>
      <c r="AD364" s="257">
        <f>IFERROR(IF(AND(COUNT(Z133,AA133,AC133,AD133)=4,N(AD267)&lt;&gt;0),(Z133+AA133+AC133+AD133)/AD267,""),"")</f>
        <v>0.122664932608182</v>
      </c>
      <c r="AE364" s="257">
        <f>IFERROR(IF(AND(COUNT(AA133,AC133,AD133,AE133)=4,N(AE267)&lt;&gt;0),(AA133+AC133+AD133+AE133)/AE267,""),"")</f>
        <v>0.157647927628542</v>
      </c>
      <c r="AF364" s="257">
        <f>IFERROR(IF(AND(COUNT(AB133,AD133,AE133,AF133)=4,N(AF267)&lt;&gt;0),(AB133+AD133+AE133+AF133)/AF267,""),"")</f>
        <v>0.241607999183757</v>
      </c>
      <c r="AG364" s="258">
        <f>IFERROR(IF(AND(COUNT(AC133,AD133,AE133,AF133)=4,N(AG267)&lt;&gt;0),(AC133+AD133+AE133+AF133)/AG267,""),"")</f>
        <v>0.202513348977995</v>
      </c>
      <c r="AH364" s="257">
        <f>IFERROR(IF(AND(COUNT(AD133,AF133,AG133,AH133)=4,N(AH267)&lt;&gt;0),(AD133+AF133+AG133+AH133)/AH267,""),"")</f>
        <v>0.452932002925793</v>
      </c>
      <c r="AI364" s="257">
        <f>IFERROR(IF(AND(COUNT(AE133,AG133,AH133,AI133)=4,N(AI267)&lt;&gt;0),(AE133+AG133+AH133+AI133)/AI267,""),"")</f>
        <v>0.567272943886264</v>
      </c>
      <c r="AJ364" s="257">
        <f>IFERROR(IF(AND(COUNT(AF133,AH133,AI133,AJ133)=4,N(AJ267)&lt;&gt;0),(AF133+AH133+AI133+AJ133)/AJ267,""),"")</f>
        <v>0.516505730356152</v>
      </c>
      <c r="AK364" s="257">
        <f>IFERROR(IF(AND(COUNT(AH133,AI133,AJ133,AK133)=4,N(AK267)&lt;&gt;0),(AH133+AI133+AJ133+AK133)/AK267,""),"")</f>
        <v>0.520550307724471</v>
      </c>
      <c r="AL364" s="258">
        <f>IFERROR(IF(AND(COUNT(AH133,AI133,AJ133,AK133)=4,N(AL267)&lt;&gt;0),(AH133+AI133+AJ133+AK133)/AL267,""),"")</f>
        <v>0.520550307724471</v>
      </c>
      <c r="AM364" s="257">
        <f>IFERROR(IF(AND(COUNT(AI133,AJ133,AK133,AM133)=4,N(AM267)&lt;&gt;0),(AI133+AJ133+AK133+AM133)/AM267,""),"")</f>
        <v>0.493737192777513</v>
      </c>
      <c r="AN364" s="257">
        <f>IFERROR(IF(AND(COUNT(AJ133,AK133,AM133,AN133)=4,N(AN267)&lt;&gt;0),(AJ133+AK133+AM133+AN133)/AN267,""),"")</f>
        <v>0.437963530145809</v>
      </c>
      <c r="AO364" s="257">
        <f>IFERROR(IF(AND(COUNT(AK133,AM133,AN133,AO133)=4,N(AO267)&lt;&gt;0),(AK133+AM133+AN133+AO133)/AO267,""),"")</f>
        <v>0.449523189638016</v>
      </c>
      <c r="AP364" s="257">
        <f>IFERROR(IF(AND(COUNT(AM133,AN133,AO133,AP133)=4,N(AP267)&lt;&gt;0),(AM133+AN133+AO133+AP133)/AP267,""),"")</f>
        <v>0.460530228058593</v>
      </c>
      <c r="AQ364" s="258">
        <f>IFERROR(IF(AND(COUNT(AM133,AN133,AO133,AP133)=4,N(AQ267)&lt;&gt;0),(AM133+AN133+AO133+AP133)/AQ267,""),"")</f>
        <v>0.460530228058593</v>
      </c>
      <c r="AR364" s="257">
        <f>IFERROR(IF(AND(COUNT(AN133,AO133,AP133,AR133)=4,N(AR267)&lt;&gt;0),(AN133+AO133+AP133+AR133)/AR267,""),"")</f>
        <v>0.474515706219219</v>
      </c>
      <c r="AS364" s="257">
        <f>IFERROR(IF(AND(COUNT(AO133,AP133,AR133,AS133)=4,N(AS267)&lt;&gt;0),(AO133+AP133+AR133+AS133)/AS267,""),"")</f>
        <v>0.4902020679271</v>
      </c>
      <c r="AT364" s="257">
        <f>IFERROR(IF(AND(COUNT(AP133,AR133,AS133,AT133)=4,N(AT267)&lt;&gt;0),(AP133+AR133+AS133+AT133)/AT267,""),"")</f>
        <v>0.496631196849452</v>
      </c>
      <c r="AU364" s="257">
        <f>IFERROR(IF(AND(COUNT(AR133,AS133,AT133,AU133)=4,N(AU267)&lt;&gt;0),(AR133+AS133+AT133+AU133)/AU267,""),"")</f>
        <v>0.50260404882664</v>
      </c>
      <c r="AV364" s="258">
        <f>IFERROR(IF(AND(COUNT(AR133,AS133,AT133,AU133)=4,N(AV267)&lt;&gt;0),(AR133+AS133+AT133+AU133)/AV267,""),"")</f>
        <v>0.50260404882664</v>
      </c>
      <c r="AW364" s="257">
        <f>IFERROR(IF(AND(COUNT(AS133,AT133,AU133,AW133)=4,N(AW267)&lt;&gt;0),(AS133+AT133+AU133+AW133)/AW267,""),"")</f>
        <v>0.509881182003612</v>
      </c>
      <c r="AX364" s="257">
        <f>IFERROR(IF(AND(COUNT(AT133,AU133,AW133,AX133)=4,N(AX267)&lt;&gt;0),(AT133+AU133+AW133+AX133)/AX267,""),"")</f>
        <v>0.517794079163293</v>
      </c>
      <c r="AY364" s="257">
        <f>IFERROR(IF(AND(COUNT(AU133,AW133,AX133,AY133)=4,N(AY267)&lt;&gt;0),(AU133+AW133+AX133+AY133)/AY267,""),"")</f>
        <v>0.520963882457587</v>
      </c>
      <c r="AZ364" s="257">
        <f>IFERROR(IF(AND(COUNT(AW133,AX133,AY133,AZ133)=4,N(AZ267)&lt;&gt;0),(AW133+AX133+AY133+AZ133)/AZ267,""),"")</f>
        <v>0.523871608394176</v>
      </c>
      <c r="BA364" s="258">
        <f>IFERROR(IF(AND(COUNT(AW133,AX133,AY133,AZ133)=4,N(BA267)&lt;&gt;0),(AW133+AX133+AY133+AZ133)/BA267,""),"")</f>
        <v>0.523871608394176</v>
      </c>
      <c r="BB364" s="257">
        <f>IFERROR(IF(AND(COUNT(AX133,AY133,AZ133,BB133)=4,N(BB267)&lt;&gt;0),(AX133+AY133+AZ133+BB133)/BB267,""),"")</f>
        <v>0.527255665925431</v>
      </c>
      <c r="BC364" s="257">
        <f>IFERROR(IF(AND(COUNT(AY133,AZ133,BB133,BC133)=4,N(BC267)&lt;&gt;0),(AY133+AZ133+BB133+BC133)/BC267,""),"")</f>
        <v>0.530881197543573</v>
      </c>
      <c r="BD364" s="257">
        <f>IFERROR(IF(AND(COUNT(AZ133,BB133,BC133,BD133)=4,N(BD267)&lt;&gt;0),(AZ133+BB133+BC133+BD133)/BD267,""),"")</f>
        <v>0.532317985978992</v>
      </c>
      <c r="BE364" s="257">
        <f>IFERROR(IF(AND(COUNT(BB133,BC133,BD133,BE133)=4,N(BE267)&lt;&gt;0),(BB133+BC133+BD133+BE133)/BE267,""),"")</f>
        <v>0.533628263723604</v>
      </c>
      <c r="BF364" s="258">
        <f>IFERROR(IF(AND(COUNT(BB133,BC133,BD133,BE133)=4,N(BF267)&lt;&gt;0),(BB133+BC133+BD133+BE133)/BF267,""),"")</f>
        <v>0.533628263723604</v>
      </c>
      <c r="BG364" s="81" t="n"/>
      <c r="BH364" s="81" t="n"/>
      <c r="BI364" s="81" t="n"/>
      <c r="BJ364" s="81" t="n"/>
      <c r="BL364" s="81" t="n"/>
      <c r="BM364" s="81" t="n"/>
      <c r="BN364" s="81" t="n"/>
      <c r="BO364" s="81" t="n"/>
      <c r="BQ364" s="81" t="n"/>
      <c r="BR364" s="81" t="n"/>
      <c r="BS364" s="81" t="n"/>
      <c r="BT364" s="81" t="n"/>
      <c r="BV364" s="81" t="n"/>
      <c r="BW364" s="81" t="n"/>
      <c r="BX364" s="81" t="n"/>
      <c r="BY364" s="81" t="n"/>
      <c r="CA364" s="81" t="n"/>
      <c r="CB364" s="81" t="n"/>
      <c r="CC364" s="81" t="n"/>
      <c r="CD364" s="81" t="n"/>
      <c r="CF364" s="81" t="n"/>
      <c r="CG364" s="81" t="n"/>
      <c r="CH364" s="81" t="n"/>
      <c r="CI364" s="81" t="n"/>
      <c r="CK364" s="81" t="n"/>
      <c r="CL364" s="81" t="n"/>
      <c r="CM364" s="81" t="n"/>
      <c r="CN364" s="81" t="n"/>
      <c r="CP364" s="81" t="n"/>
      <c r="CQ364" s="81" t="n"/>
      <c r="CR364" s="81" t="n"/>
      <c r="CS364" s="81" t="n"/>
      <c r="CU364" s="81" t="n"/>
      <c r="CV364" s="81" t="n"/>
      <c r="CW364" s="81" t="n"/>
      <c r="CX364" s="81" t="n"/>
    </row>
    <row r="365"/>
    <row r="366">
      <c r="C366" s="73" t="inlineStr">
        <is>
          <t>Scenario Analysis</t>
        </is>
      </c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  <c r="N366" s="73" t="n"/>
      <c r="O366" s="73" t="n"/>
      <c r="P366" s="73" t="n"/>
      <c r="Q366" s="73" t="n"/>
      <c r="R366" s="73" t="n"/>
      <c r="S366" s="73" t="n"/>
      <c r="T366" s="73" t="n"/>
      <c r="U366" s="73" t="n"/>
      <c r="V366" s="73" t="n"/>
      <c r="W366" s="73" t="n"/>
      <c r="X366" s="73" t="n"/>
      <c r="Y366" s="73" t="n"/>
      <c r="Z366" s="73" t="n"/>
      <c r="AA366" s="73" t="n"/>
      <c r="AB366" s="73" t="n"/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73" t="n"/>
      <c r="BR366" s="73" t="n"/>
      <c r="BS366" s="73" t="n"/>
      <c r="BT366" s="73" t="n"/>
      <c r="BU366" s="73" t="n"/>
      <c r="BV366" s="73" t="n"/>
      <c r="BW366" s="73" t="n"/>
      <c r="BX366" s="73" t="n"/>
      <c r="BY366" s="73" t="n"/>
      <c r="BZ366" s="73" t="n"/>
      <c r="CA366" s="73" t="n"/>
      <c r="CB366" s="73" t="n"/>
      <c r="CC366" s="73" t="n"/>
      <c r="CD366" s="73" t="n"/>
      <c r="CE366" s="73" t="n"/>
      <c r="CF366" s="73" t="n"/>
      <c r="CG366" s="73" t="n"/>
      <c r="CH366" s="73" t="n"/>
      <c r="CI366" s="73" t="n"/>
      <c r="CJ366" s="73" t="n"/>
      <c r="CK366" s="73" t="n"/>
      <c r="CL366" s="73" t="n"/>
      <c r="CM366" s="73" t="n"/>
      <c r="CN366" s="73" t="n"/>
      <c r="CO366" s="73" t="n"/>
      <c r="CP366" s="73" t="n"/>
      <c r="CQ366" s="73" t="n"/>
      <c r="CR366" s="73" t="n"/>
      <c r="CS366" s="73" t="n"/>
      <c r="CT366" s="73" t="n"/>
      <c r="CU366" s="73" t="n"/>
      <c r="CV366" s="73" t="n"/>
      <c r="CW366" s="73" t="n"/>
      <c r="CX366" s="73" t="n"/>
      <c r="CY366" s="73" t="n"/>
    </row>
    <row r="367"/>
    <row r="368"/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2"/>
    <row r="373"/>
    <row r="374">
      <c r="C374" s="4" t="inlineStr">
        <is>
          <t>Bull case</t>
        </is>
      </c>
    </row>
    <row r="375">
      <c r="C375" s="4" t="inlineStr">
        <is>
          <t>Base case</t>
        </is>
      </c>
    </row>
    <row r="376">
      <c r="C376" s="4" t="inlineStr">
        <is>
          <t>Bear case</t>
        </is>
      </c>
    </row>
    <row r="377"/>
    <row r="378"/>
    <row r="379">
      <c r="C379" s="4" t="inlineStr">
        <is>
          <t>% Gross Margin</t>
        </is>
      </c>
    </row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3"/>
    <row r="384"/>
    <row r="385">
      <c r="C385" s="4" t="inlineStr">
        <is>
          <t>Capital expenditures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1:G311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1:L311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1:Q311">
    <cfRule type="cellIs" priority="22" operator="notEqual" dxfId="0">
      <formula>0</formula>
    </cfRule>
  </conditionalFormatting>
  <conditionalFormatting sqref="S311:V311">
    <cfRule type="cellIs" priority="21" operator="notEqual" dxfId="0">
      <formula>0</formula>
    </cfRule>
  </conditionalFormatting>
  <conditionalFormatting sqref="X311:AA311">
    <cfRule type="cellIs" priority="20" operator="notEqual" dxfId="0">
      <formula>0</formula>
    </cfRule>
  </conditionalFormatting>
  <conditionalFormatting sqref="AC311:AF311">
    <cfRule type="cellIs" priority="19" operator="notEqual" dxfId="0">
      <formula>0</formula>
    </cfRule>
  </conditionalFormatting>
  <conditionalFormatting sqref="AH311:AK311">
    <cfRule type="cellIs" priority="15" operator="notEqual" dxfId="0">
      <formula>0</formula>
    </cfRule>
  </conditionalFormatting>
  <conditionalFormatting sqref="AM311:AP311">
    <cfRule type="cellIs" priority="14" operator="notEqual" dxfId="0">
      <formula>0</formula>
    </cfRule>
  </conditionalFormatting>
  <conditionalFormatting sqref="AR311:AU311">
    <cfRule type="cellIs" priority="13" operator="notEqual" dxfId="0">
      <formula>0</formula>
    </cfRule>
  </conditionalFormatting>
  <conditionalFormatting sqref="AW311:AZ311">
    <cfRule type="cellIs" priority="12" operator="notEqual" dxfId="0">
      <formula>0</formula>
    </cfRule>
  </conditionalFormatting>
  <conditionalFormatting sqref="BB311:BE311">
    <cfRule type="cellIs" priority="11" operator="notEqual" dxfId="0">
      <formula>0</formula>
    </cfRule>
  </conditionalFormatting>
  <conditionalFormatting sqref="BG311:BJ311">
    <cfRule type="cellIs" priority="10" operator="notEqual" dxfId="0">
      <formula>0</formula>
    </cfRule>
  </conditionalFormatting>
  <conditionalFormatting sqref="BL311:BO311">
    <cfRule type="cellIs" priority="9" operator="notEqual" dxfId="0">
      <formula>0</formula>
    </cfRule>
  </conditionalFormatting>
  <conditionalFormatting sqref="BQ311:BT311">
    <cfRule type="cellIs" priority="8" operator="notEqual" dxfId="0">
      <formula>0</formula>
    </cfRule>
  </conditionalFormatting>
  <conditionalFormatting sqref="BV311:BY311">
    <cfRule type="cellIs" priority="7" operator="notEqual" dxfId="0">
      <formula>0</formula>
    </cfRule>
  </conditionalFormatting>
  <conditionalFormatting sqref="CA311:CD311">
    <cfRule type="cellIs" priority="6" operator="notEqual" dxfId="0">
      <formula>0</formula>
    </cfRule>
  </conditionalFormatting>
  <conditionalFormatting sqref="CF311:CI311">
    <cfRule type="cellIs" priority="5" operator="notEqual" dxfId="0">
      <formula>0</formula>
    </cfRule>
  </conditionalFormatting>
  <conditionalFormatting sqref="CK311:CN311">
    <cfRule type="cellIs" priority="4" operator="notEqual" dxfId="0">
      <formula>0</formula>
    </cfRule>
  </conditionalFormatting>
  <conditionalFormatting sqref="CP311:CS311">
    <cfRule type="cellIs" priority="3" operator="notEqual" dxfId="0">
      <formula>0</formula>
    </cfRule>
  </conditionalFormatting>
  <conditionalFormatting sqref="CU311:CX311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MU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16181</v>
      </c>
      <c r="E18" s="113">
        <f>IFERROR(Model!AB15,"")</f>
        <v>29094</v>
      </c>
      <c r="F18" s="113">
        <f>IFERROR(Model!AG15,"")</f>
        <v>42312</v>
      </c>
      <c r="G18" s="113">
        <f>IFERROR(Model!AL15,"")</f>
        <v>120202.295086734</v>
      </c>
      <c r="H18" s="113">
        <f>IFERROR(Model!AQ15,"")</f>
        <v>264342.440829922</v>
      </c>
      <c r="I18" s="113">
        <f>IFERROR(Model!AV15,"")</f>
        <v>580006.006817354</v>
      </c>
      <c r="J18" s="113">
        <f>IFERROR(Model!BA15,"")</f>
        <v>1269718.04403695</v>
      </c>
      <c r="K18" s="113">
        <f>IFERROR(Model!BF15,"")</f>
        <v>2773250.05600677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0.798034732093196</v>
      </c>
      <c r="F19" s="117">
        <f>IFERROR(IF(E18=0,"",F18/E18-1),"")</f>
        <v>0.454320478449165</v>
      </c>
      <c r="G19" s="117">
        <f>IFERROR(IF(F18=0,"",G18/F18-1),"")</f>
        <v>1.8408559058124</v>
      </c>
      <c r="H19" s="117">
        <f>IFERROR(IF(G18=0,"",H18/G18-1),"")</f>
        <v>1.19914636936991</v>
      </c>
      <c r="I19" s="117">
        <f>IFERROR(IF(H18=0,"",I18/H18-1),"")</f>
        <v>1.19414636936991</v>
      </c>
      <c r="J19" s="117">
        <f>IFERROR(IF(I18=0,"",J18/I18-1),"")</f>
        <v>1.18914636936991</v>
      </c>
      <c r="K19" s="117">
        <f>IFERROR(IF(J18=0,"",K18/J18-1),"")</f>
        <v>1.18414636936991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IFERROR(Model!W65,"")</f>
        <v>1086</v>
      </c>
      <c r="E20" s="113">
        <f>IFERROR(Model!AB65,"")</f>
        <v>12501</v>
      </c>
      <c r="F20" s="113">
        <f>IFERROR(Model!AG65,"")</f>
        <v>22266</v>
      </c>
      <c r="G20" s="113">
        <f>IFERROR(Model!AL65,"")</f>
        <v>87896.3258598478</v>
      </c>
      <c r="H20" s="113">
        <f>IFERROR(Model!AQ65,"")</f>
        <v>162754.84121194</v>
      </c>
      <c r="I20" s="113">
        <f>IFERROR(Model!AV65,"")</f>
        <v>357107.943942554</v>
      </c>
      <c r="J20" s="113">
        <f>IFERROR(Model!BA65,"")</f>
        <v>781761.558954995</v>
      </c>
      <c r="K20" s="113">
        <f>IFERROR(Model!BF65,"")</f>
        <v>1707481.67070451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0.0671157530436932</v>
      </c>
      <c r="E21" s="122">
        <f>IFERROR(IF(E18=0,"",E20/E18),"")</f>
        <v>0.429676221901423</v>
      </c>
      <c r="F21" s="122">
        <f>IFERROR(IF(F18=0,"",F20/F18),"")</f>
        <v>0.526233692569484</v>
      </c>
      <c r="G21" s="122">
        <f>IFERROR(IF(G18=0,"",G20/G18),"")</f>
        <v>0.731236668953988</v>
      </c>
      <c r="H21" s="122">
        <f>IFERROR(IF(H18=0,"",H20/H18),"")</f>
        <v>0.615696975109102</v>
      </c>
      <c r="I21" s="122">
        <f>IFERROR(IF(I18=0,"",I20/I18),"")</f>
        <v>0.615696975109102</v>
      </c>
      <c r="J21" s="122">
        <f>IFERROR(IF(J18=0,"",J20/J18),"")</f>
        <v>0.615696975109102</v>
      </c>
      <c r="K21" s="122">
        <f>IFERROR(IF(K18=0,"",K20/K18),"")</f>
        <v>0.615696975109102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IFERROR(Model!W69,"")</f>
        <v>-6664</v>
      </c>
      <c r="E22" s="113">
        <f>IFERROR(Model!AB69,"")</f>
        <v>4606</v>
      </c>
      <c r="F22" s="113">
        <f>IFERROR(Model!AG69,"")</f>
        <v>13732</v>
      </c>
      <c r="G22" s="113">
        <f>IFERROR(Model!AL69,"")</f>
        <v>74206.605679845</v>
      </c>
      <c r="H22" s="113">
        <f>IFERROR(Model!AQ69,"")</f>
        <v>119217.894638569</v>
      </c>
      <c r="I22" s="113">
        <f>IFERROR(Model!AV69,"")</f>
        <v>261581.51068514</v>
      </c>
      <c r="J22" s="113">
        <f>IFERROR(Model!BA69,"")</f>
        <v>572640.214410669</v>
      </c>
      <c r="K22" s="113">
        <f>IFERROR(Model!BF69,"")</f>
        <v>1250730.04526027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-0.411841048142884</v>
      </c>
      <c r="E23" s="122">
        <f>IFERROR(IF(E18=0,"",E22/E18),"")</f>
        <v>0.158314429091909</v>
      </c>
      <c r="F23" s="122">
        <f>IFERROR(IF(F18=0,"",F22/F18),"")</f>
        <v>0.324541501228966</v>
      </c>
      <c r="G23" s="122">
        <f>IFERROR(IF(G18=0,"",G22/G18),"")</f>
        <v>0.61734766067736</v>
      </c>
      <c r="H23" s="122">
        <f>IFERROR(IF(H18=0,"",H22/H18),"")</f>
        <v>0.450997933832628</v>
      </c>
      <c r="I23" s="122">
        <f>IFERROR(IF(I18=0,"",I22/I18),"")</f>
        <v>0.450997933832628</v>
      </c>
      <c r="J23" s="122">
        <f>IFERROR(IF(J18=0,"",J22/J18),"")</f>
        <v>0.450997933832628</v>
      </c>
      <c r="K23" s="122">
        <f>IFERROR(IF(K18=0,"",K22/K18),"")</f>
        <v>0.450997933832628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IFERROR(Model!W128,"")</f>
        <v>-0.0364622570438451</v>
      </c>
      <c r="E24" s="125">
        <f>IFERROR(Model!AB128,"")</f>
        <v>0.145370574004838</v>
      </c>
      <c r="F24" s="125">
        <f>IFERROR(Model!AG128,"")</f>
        <v>0.123129101231291</v>
      </c>
      <c r="G24" s="125">
        <f>IFERROR(Model!AL128,"")</f>
        <v>0.141611418841855</v>
      </c>
      <c r="H24" s="125">
        <f>IFERROR(Model!AQ128,"")</f>
        <v>0.127238355717857</v>
      </c>
      <c r="I24" s="125">
        <f>IFERROR(Model!AV128,"")</f>
        <v>0.127238355717857</v>
      </c>
      <c r="J24" s="125">
        <f>IFERROR(Model!BA128,"")</f>
        <v>0.127238355717857</v>
      </c>
      <c r="K24" s="125">
        <f>IFERROR(Model!BF128,"")</f>
        <v>0.127238355717857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-6906.98448094018</v>
      </c>
      <c r="E25" s="127">
        <f>IFERROR(E22*(1-E24),"")</f>
        <v>3936.42313613371</v>
      </c>
      <c r="F25" s="127">
        <f>IFERROR(F22*(1-F24),"")</f>
        <v>12041.1911818919</v>
      </c>
      <c r="G25" s="127">
        <f>IFERROR(G22*(1-G24),"")</f>
        <v>63698.1029620841</v>
      </c>
      <c r="H25" s="127">
        <f>IFERROR(H22*(1-H24),"")</f>
        <v>104048.805752612</v>
      </c>
      <c r="I25" s="127">
        <f>IFERROR(I22*(1-I24),"")</f>
        <v>228298.309379369</v>
      </c>
      <c r="J25" s="127">
        <f>IFERROR(J22*(1-J24),"")</f>
        <v>499778.415111135</v>
      </c>
      <c r="K25" s="127">
        <f>IFERROR(K22*(1-K24),"")</f>
        <v>1091589.21085443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IFERROR(-Model!W66,"")</f>
        <v>7750</v>
      </c>
      <c r="E26" s="130">
        <f>IFERROR(-Model!AB66,"")</f>
        <v>7895</v>
      </c>
      <c r="F26" s="130">
        <f>IFERROR(-Model!AG66,"")</f>
        <v>8534</v>
      </c>
      <c r="G26" s="130">
        <f>IFERROR(-Model!AL66,"")</f>
        <v>13689.7201800028</v>
      </c>
      <c r="H26" s="130">
        <f>IFERROR(-Model!AQ66,"")</f>
        <v>43536.9465733714</v>
      </c>
      <c r="I26" s="130">
        <f>IFERROR(-Model!AV66,"")</f>
        <v>95526.4332574145</v>
      </c>
      <c r="J26" s="130">
        <f>IFERROR(-Model!BA66,"")</f>
        <v>209121.344544326</v>
      </c>
      <c r="K26" s="130">
        <f>IFERROR(-Model!BF66,"")</f>
        <v>456751.625444244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IFERROR(Model!W275,"")</f>
        <v>-1079</v>
      </c>
      <c r="E27" s="133">
        <f>IFERROR(Model!AB275,"")</f>
        <v>-1160</v>
      </c>
      <c r="F27" s="133">
        <f>IFERROR(Model!AG275,"")</f>
        <v>400</v>
      </c>
      <c r="G27" s="133">
        <f>IFERROR(Model!AL275,"")</f>
        <v>-9721.73178346309</v>
      </c>
      <c r="H27" s="133">
        <f>IFERROR(Model!AQ275,"")</f>
        <v>-23719.9927016197</v>
      </c>
      <c r="I27" s="133">
        <f>IFERROR(Model!AV275,"")</f>
        <v>-51946.2322088224</v>
      </c>
      <c r="J27" s="133">
        <f>IFERROR(Model!BA275,"")</f>
        <v>-113500.402019964</v>
      </c>
      <c r="K27" s="133">
        <f>IFERROR(Model!BF275,"")</f>
        <v>-247424.256210461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IFERROR(Model!W276,"")</f>
        <v>375</v>
      </c>
      <c r="E28" s="136">
        <f>IFERROR(Model!AB276,"")</f>
        <v>-4480</v>
      </c>
      <c r="F28" s="136">
        <f>IFERROR(Model!AG276,"")</f>
        <v>-2761</v>
      </c>
      <c r="G28" s="136">
        <f>IFERROR(Model!AL276,"")</f>
        <v>-12799.7499611344</v>
      </c>
      <c r="H28" s="136">
        <f>IFERROR(Model!AQ276,"")</f>
        <v>-27560.8803204001</v>
      </c>
      <c r="I28" s="136">
        <f>IFERROR(Model!AV276,"")</f>
        <v>-60357.6867418389</v>
      </c>
      <c r="J28" s="136">
        <f>IFERROR(Model!BA276,"")</f>
        <v>-131879.087643055</v>
      </c>
      <c r="K28" s="136">
        <f>IFERROR(Model!BF276,"")</f>
        <v>-287488.718886278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IFERROR(Model!W277,"")</f>
        <v>83</v>
      </c>
      <c r="E29" s="136">
        <f>IFERROR(Model!AB277,"")</f>
        <v>-429</v>
      </c>
      <c r="F29" s="136">
        <f>IFERROR(Model!AG277,"")</f>
        <v>500</v>
      </c>
      <c r="G29" s="136">
        <f>IFERROR(Model!AL277,"")</f>
        <v>-10785.4330295845</v>
      </c>
      <c r="H29" s="136">
        <f>IFERROR(Model!AQ277,"")</f>
        <v>-22772.3088201887</v>
      </c>
      <c r="I29" s="136">
        <f>IFERROR(Model!AV277,"")</f>
        <v>-49870.8265548394</v>
      </c>
      <c r="J29" s="136">
        <f>IFERROR(Model!BA277,"")</f>
        <v>-108965.725180754</v>
      </c>
      <c r="K29" s="136">
        <f>IFERROR(Model!BF277,"")</f>
        <v>-237538.925197281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IFERROR(Model!W278,"")</f>
        <v>-109</v>
      </c>
      <c r="E30" s="136">
        <f>IFERROR(Model!AB278,"")</f>
        <v>307</v>
      </c>
      <c r="F30" s="136">
        <f>IFERROR(Model!AG278,"")</f>
        <v>-167</v>
      </c>
      <c r="G30" s="136">
        <f>IFERROR(Model!AL278,"")</f>
        <v>-59</v>
      </c>
      <c r="H30" s="136">
        <f>IFERROR(Model!AQ278,"")</f>
        <v>0</v>
      </c>
      <c r="I30" s="136">
        <f>IFERROR(Model!AV278,"")</f>
        <v>0</v>
      </c>
      <c r="J30" s="136">
        <f>IFERROR(Model!BA278,"")</f>
        <v>0</v>
      </c>
      <c r="K30" s="136">
        <f>IFERROR(Model!BF278,"")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IFERROR(Model!W279,"")</f>
        <v>0</v>
      </c>
      <c r="E31" s="136">
        <f>IFERROR(Model!AB279,"")</f>
        <v>0</v>
      </c>
      <c r="F31" s="136">
        <f>IFERROR(Model!AG279,"")</f>
        <v>0</v>
      </c>
      <c r="G31" s="136">
        <f>IFERROR(Model!AL279,"")</f>
        <v>0</v>
      </c>
      <c r="H31" s="136">
        <f>IFERROR(Model!AQ279,"")</f>
        <v>0</v>
      </c>
      <c r="I31" s="136">
        <f>IFERROR(Model!AV279,"")</f>
        <v>0</v>
      </c>
      <c r="J31" s="136">
        <f>IFERROR(Model!BA279,"")</f>
        <v>0</v>
      </c>
      <c r="K31" s="136">
        <f>IFERROR(Model!BF279,"")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IFERROR(Model!W280,"")</f>
        <v>-128</v>
      </c>
      <c r="E32" s="136">
        <f>IFERROR(Model!AB280,"")</f>
        <v>14</v>
      </c>
      <c r="F32" s="136">
        <f>IFERROR(Model!AG280,"")</f>
        <v>-181</v>
      </c>
      <c r="G32" s="136">
        <f>IFERROR(Model!AL280,"")</f>
        <v>-165</v>
      </c>
      <c r="H32" s="136">
        <f>IFERROR(Model!AQ280,"")</f>
        <v>0</v>
      </c>
      <c r="I32" s="136">
        <f>IFERROR(Model!AV280,"")</f>
        <v>0</v>
      </c>
      <c r="J32" s="136">
        <f>IFERROR(Model!BA280,"")</f>
        <v>0</v>
      </c>
      <c r="K32" s="136">
        <f>IFERROR(Model!BF280,"")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IFERROR(Model!W281,"")</f>
        <v>-1492</v>
      </c>
      <c r="E33" s="136">
        <f>IFERROR(Model!AB281,"")</f>
        <v>3180</v>
      </c>
      <c r="F33" s="136">
        <f>IFERROR(Model!AG281,"")</f>
        <v>2670</v>
      </c>
      <c r="G33" s="136">
        <f>IFERROR(Model!AL281,"")</f>
        <v>12397.4512072558</v>
      </c>
      <c r="H33" s="136">
        <f>IFERROR(Model!AQ281,"")</f>
        <v>26613.1964389691</v>
      </c>
      <c r="I33" s="136">
        <f>IFERROR(Model!AV281,"")</f>
        <v>58282.2810878559</v>
      </c>
      <c r="J33" s="136">
        <f>IFERROR(Model!BA281,"")</f>
        <v>127344.410803845</v>
      </c>
      <c r="K33" s="136">
        <f>IFERROR(Model!BF281,"")</f>
        <v>277603.387873098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IFERROR(Model!W282,"")</f>
        <v>0</v>
      </c>
      <c r="E34" s="136">
        <f>IFERROR(Model!AB282,"")</f>
        <v>0</v>
      </c>
      <c r="F34" s="136">
        <f>IFERROR(Model!AG282,"")</f>
        <v>0</v>
      </c>
      <c r="G34" s="136">
        <f>IFERROR(Model!AL282,"")</f>
        <v>0</v>
      </c>
      <c r="H34" s="136">
        <f>IFERROR(Model!AQ282,"")</f>
        <v>0</v>
      </c>
      <c r="I34" s="136">
        <f>IFERROR(Model!AV282,"")</f>
        <v>0</v>
      </c>
      <c r="J34" s="136">
        <f>IFERROR(Model!BA282,"")</f>
        <v>0</v>
      </c>
      <c r="K34" s="136">
        <f>IFERROR(Model!BF282,"")</f>
        <v>0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IFERROR(Model!W283,"")</f>
        <v>0</v>
      </c>
      <c r="E35" s="136">
        <f>IFERROR(Model!AB283,"")</f>
        <v>0</v>
      </c>
      <c r="F35" s="136">
        <f>IFERROR(Model!AG283,"")</f>
        <v>0</v>
      </c>
      <c r="G35" s="136">
        <f>IFERROR(Model!AL283,"")</f>
        <v>0</v>
      </c>
      <c r="H35" s="136">
        <f>IFERROR(Model!AQ283,"")</f>
        <v>0</v>
      </c>
      <c r="I35" s="136">
        <f>IFERROR(Model!AV283,"")</f>
        <v>0</v>
      </c>
      <c r="J35" s="136">
        <f>IFERROR(Model!BA283,"")</f>
        <v>0</v>
      </c>
      <c r="K35" s="136">
        <f>IFERROR(Model!BF283,"")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IFERROR(Model!W284,"")</f>
        <v>192</v>
      </c>
      <c r="E36" s="136">
        <f>IFERROR(Model!AB284,"")</f>
        <v>248</v>
      </c>
      <c r="F36" s="136">
        <f>IFERROR(Model!AG284,"")</f>
        <v>339</v>
      </c>
      <c r="G36" s="136">
        <f>IFERROR(Model!AL284,"")</f>
        <v>1690</v>
      </c>
      <c r="H36" s="136">
        <f>IFERROR(Model!AQ284,"")</f>
        <v>0</v>
      </c>
      <c r="I36" s="136">
        <f>IFERROR(Model!AV284,"")</f>
        <v>0</v>
      </c>
      <c r="J36" s="136">
        <f>IFERROR(Model!BA284,"")</f>
        <v>0</v>
      </c>
      <c r="K36" s="136">
        <f>IFERROR(Model!BF284,"")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IFERROR(Model!W285,"")</f>
        <v>0</v>
      </c>
      <c r="E37" s="136">
        <f>IFERROR(Model!AB285,"")</f>
        <v>0</v>
      </c>
      <c r="F37" s="136">
        <f>IFERROR(Model!AG285,"")</f>
        <v>0</v>
      </c>
      <c r="G37" s="136">
        <f>IFERROR(Model!AL285,"")</f>
        <v>0</v>
      </c>
      <c r="H37" s="136">
        <f>IFERROR(Model!AQ285,"")</f>
        <v>0</v>
      </c>
      <c r="I37" s="136">
        <f>IFERROR(Model!AV285,"")</f>
        <v>0</v>
      </c>
      <c r="J37" s="136">
        <f>IFERROR(Model!BA285,"")</f>
        <v>0</v>
      </c>
      <c r="K37" s="136">
        <f>IFERROR(Model!BF285,"")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IFERROR((Model!W185-Model!R185)*-1,"")</f>
        <v>551</v>
      </c>
      <c r="E38" s="136">
        <f>IFERROR((Model!AB185-Model!W185)*-1,"")</f>
        <v>-781</v>
      </c>
      <c r="F38" s="136">
        <f>IFERROR((Model!AG185-Model!AB185)*-1,"")</f>
        <v>-2046</v>
      </c>
      <c r="G38" s="136">
        <f>IFERROR((Model!AL185-Model!AG185)*-1,"")</f>
        <v>-3070</v>
      </c>
      <c r="H38" s="136">
        <f>IFERROR((Model!AQ185-Model!AL185)*-1,"")</f>
        <v>0</v>
      </c>
      <c r="I38" s="136">
        <f>IFERROR((Model!AV185-Model!AQ185)*-1,"")</f>
        <v>0</v>
      </c>
      <c r="J38" s="136">
        <f>IFERROR((Model!BA185-Model!AV185)*-1,"")</f>
        <v>0</v>
      </c>
      <c r="K38" s="136">
        <f>IFERROR((Model!BF185-Model!BA185)*-1,"")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IFERROR(Model!W236-Model!R236,"")</f>
        <v>407</v>
      </c>
      <c r="E39" s="136">
        <f>IFERROR(Model!AB236-Model!W236,"")</f>
        <v>78</v>
      </c>
      <c r="F39" s="136">
        <f>IFERROR(Model!AG236-Model!AB236,"")</f>
        <v>1440</v>
      </c>
      <c r="G39" s="136">
        <f>IFERROR(Model!AL236-Model!AG236,"")</f>
        <v>4857</v>
      </c>
      <c r="H39" s="136">
        <f>IFERROR(Model!AQ236-Model!AL236,"")</f>
        <v>0</v>
      </c>
      <c r="I39" s="136">
        <f>IFERROR(Model!AV236-Model!AQ236,"")</f>
        <v>0</v>
      </c>
      <c r="J39" s="136">
        <f>IFERROR(Model!BA236-Model!AV236,"")</f>
        <v>0</v>
      </c>
      <c r="K39" s="136">
        <f>IFERROR(Model!BF236-Model!BA236,"")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IFERROR(Model!W291,"")</f>
        <v>-6092</v>
      </c>
      <c r="E40" s="136">
        <f>IFERROR(Model!AB291,"")</f>
        <v>-11694</v>
      </c>
      <c r="F40" s="136">
        <f>IFERROR(Model!AG291,"")</f>
        <v>-15535</v>
      </c>
      <c r="G40" s="136">
        <f>IFERROR(Model!AL291,"")</f>
        <v>-26946.2983421617</v>
      </c>
      <c r="H40" s="136">
        <f>IFERROR(Model!AQ291,"")</f>
        <v>-69099.2142408019</v>
      </c>
      <c r="I40" s="136">
        <f>IFERROR(Model!AV291,"")</f>
        <v>-151613.790052769</v>
      </c>
      <c r="J40" s="136">
        <f>IFERROR(Model!BA291,"")</f>
        <v>-331904.778040431</v>
      </c>
      <c r="K40" s="136">
        <f>IFERROR(Model!BF291,"")</f>
        <v>-724928.615933534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579</v>
      </c>
      <c r="E44" s="133">
        <f>IFERROR(SUM(E27,E40:E42,E26),"")</f>
        <v>-4959</v>
      </c>
      <c r="F44" s="133">
        <f>IFERROR(SUM(F27,F40:F42,F26),"")</f>
        <v>-6601</v>
      </c>
      <c r="G44" s="133">
        <f>IFERROR(SUM(G27,G40:G42,G26),"")</f>
        <v>-22978.309945622</v>
      </c>
      <c r="H44" s="133">
        <f>IFERROR(SUM(H27,H40:H42,H26),"")</f>
        <v>-49282.2603690503</v>
      </c>
      <c r="I44" s="133">
        <f>IFERROR(SUM(I27,I40:I42,I26),"")</f>
        <v>-108033.589004177</v>
      </c>
      <c r="J44" s="133">
        <f>IFERROR(SUM(J27,J40:J42,J26),"")</f>
        <v>-236283.83551607</v>
      </c>
      <c r="K44" s="133">
        <f>IFERROR(SUM(K27,K40:K42,K26),"")</f>
        <v>-515601.246699751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IFERROR(Model!W346,"")</f>
        <v>47943</v>
      </c>
      <c r="E46" s="136">
        <f>IFERROR(Model!AB346,"")</f>
        <v>53582</v>
      </c>
      <c r="F46" s="136">
        <f>IFERROR(Model!AG346,"")</f>
        <v>60913</v>
      </c>
      <c r="G46" s="136">
        <f>IFERROR(Model!AL346,"")</f>
        <v>82095.309945622</v>
      </c>
      <c r="H46" s="136">
        <f>IFERROR(Model!AQ346,"")</f>
        <v>131377.570314672</v>
      </c>
      <c r="I46" s="136">
        <f>IFERROR(Model!AV346,"")</f>
        <v>239411.159318849</v>
      </c>
      <c r="J46" s="136">
        <f>IFERROR(Model!BA346,"")</f>
        <v>475694.994834919</v>
      </c>
      <c r="K46" s="136">
        <f>IFERROR(Model!BF346,"")</f>
        <v>991296.24153467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IFERROR(Model!W347,"")</f>
        <v>46793</v>
      </c>
      <c r="E47" s="136">
        <f>IFERROR(Model!AB347,"")</f>
        <v>52432</v>
      </c>
      <c r="F47" s="136">
        <f>IFERROR(Model!AG347,"")</f>
        <v>59763</v>
      </c>
      <c r="G47" s="136">
        <f>IFERROR(Model!AL347,"")</f>
        <v>80945.309945622</v>
      </c>
      <c r="H47" s="136">
        <f>IFERROR(Model!AQ347,"")</f>
        <v>130227.570314672</v>
      </c>
      <c r="I47" s="136">
        <f>IFERROR(Model!AV347,"")</f>
        <v>238261.159318849</v>
      </c>
      <c r="J47" s="136">
        <f>IFERROR(Model!BA347,"")</f>
        <v>474544.994834919</v>
      </c>
      <c r="K47" s="136">
        <f>IFERROR(Model!BF347,"")</f>
        <v>990146.24153467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2.96291947345652</v>
      </c>
      <c r="E48" s="122">
        <f>IFERROR(IF(E18=0,"",E46/E18),"")</f>
        <v>1.84168557090809</v>
      </c>
      <c r="F48" s="122">
        <f>IFERROR(IF(F18=0,"",F46/F18),"")</f>
        <v>1.43961523917565</v>
      </c>
      <c r="G48" s="122">
        <f>IFERROR(IF(G18=0,"",G46/G18),"")</f>
        <v>0.682976226754943</v>
      </c>
      <c r="H48" s="122">
        <f>IFERROR(IF(H18=0,"",H46/H18),"")</f>
        <v>0.496997644049147</v>
      </c>
      <c r="I48" s="122">
        <f>IFERROR(IF(I18=0,"",I46/I18),"")</f>
        <v>0.412773585971224</v>
      </c>
      <c r="J48" s="122">
        <f>IFERROR(IF(J18=0,"",J46/J18),"")</f>
        <v>0.374646164216499</v>
      </c>
      <c r="K48" s="122">
        <f>IFERROR(IF(K18=0,"",K46/K18),"")</f>
        <v>0.357449282075216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-0.144066589094136</v>
      </c>
      <c r="E50" s="150">
        <f>IFERROR(IF(E46=0,"",E25/E46),"")</f>
        <v>0.0734654013686259</v>
      </c>
      <c r="F50" s="150">
        <f>IFERROR(IF(F46=0,"",F25/F46),"")</f>
        <v>0.197678511678819</v>
      </c>
      <c r="G50" s="150">
        <f>IFERROR(IF(G46=0,"",G25/G46),"")</f>
        <v>0.775904287398102</v>
      </c>
      <c r="H50" s="150">
        <f>IFERROR(IF(H46=0,"",H25/H46),"")</f>
        <v>0.791983026504427</v>
      </c>
      <c r="I50" s="150">
        <f>IFERROR(IF(I46=0,"",I25/I46),"")</f>
        <v>0.953582573297346</v>
      </c>
      <c r="J50" s="150">
        <f>IFERROR(IF(J46=0,"",J25/J46),"")</f>
        <v>1.050627861419</v>
      </c>
      <c r="K50" s="150">
        <f>IFERROR(IF(K46=0,"",K25/K46),"")</f>
        <v>1.10117355954512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0.337504953799303</v>
      </c>
      <c r="E51" s="154">
        <f>IFERROR(IF(E46=0,"",E18/E46),"")</f>
        <v>0.542980851778582</v>
      </c>
      <c r="F51" s="154">
        <f>IFERROR(IF(F46=0,"",F18/F46),"")</f>
        <v>0.694630046131368</v>
      </c>
      <c r="G51" s="154">
        <f>IFERROR(IF(G46=0,"",G18/G46),"")</f>
        <v>1.46417980718208</v>
      </c>
      <c r="H51" s="154">
        <f>IFERROR(IF(H46=0,"",H18/H46),"")</f>
        <v>2.01208197256789</v>
      </c>
      <c r="I51" s="154">
        <f>IFERROR(IF(I46=0,"",I18/I46),"")</f>
        <v>2.42263563848709</v>
      </c>
      <c r="J51" s="154">
        <f>IFERROR(IF(J46=0,"",J18/J46),"")</f>
        <v>2.66918520863895</v>
      </c>
      <c r="K51" s="154">
        <f>IFERROR(IF(K46=0,"",K18/K46),"")</f>
        <v>2.79759968797357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-6327.98448094018</v>
      </c>
      <c r="E53" s="155">
        <f>IFERROR(E25+E44,"")</f>
        <v>-1022.57686386629</v>
      </c>
      <c r="F53" s="155">
        <f>IFERROR(F25+F44,"")</f>
        <v>5440.19118189191</v>
      </c>
      <c r="G53" s="156">
        <f>IFERROR(G25+G44,"")</f>
        <v>40719.7930164621</v>
      </c>
      <c r="H53" s="155">
        <f>IFERROR(H25+H44,"")</f>
        <v>54766.545383562</v>
      </c>
      <c r="I53" s="155">
        <f>IFERROR(I25+I44,"")</f>
        <v>120264.720375192</v>
      </c>
      <c r="J53" s="155">
        <f>IFERROR(J25+J44,"")</f>
        <v>263494.579595065</v>
      </c>
      <c r="K53" s="155">
        <f>IFERROR(K25+K44,"")</f>
        <v>575987.964154681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1.10117355954512</v>
      </c>
      <c r="E64" s="157" t="inlineStr">
        <is>
          <t>Current portion of long-term debt</t>
        </is>
      </c>
      <c r="H64" s="137">
        <f>IFERROR(INDEX(Model!$I$208:$BF$208,1,MATCH(Control!$B$7,Model!$I$5:$BF$5,0)),"")</f>
        <v>582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IFERROR(INDEX(Model!$I$209:$BF$209,1,MATCH(Control!$B$7,Model!$I$5:$BF$5,0)),"")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IFERROR(INDEX(Model!$I$213:$BF$213,1,MATCH(Control!$B$7,Model!$I$5:$BF$5,0)),"")</f>
        <v>5140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IFERROR(INDEX(Model!$I$234:$BF$234,1,MATCH(Control!$B$7,Model!$I$5:$BF$5,0)),"")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IFERROR(INDEX(Model!$I$244:$BF$244,1,MATCH(Control!$B$7,Model!$I$5:$BF$5,0)),"")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IFERROR(INDEX(Model!$I$249:$BF$249,1,MATCH(Control!$B$7,Model!$I$5:$BF$5,0)),"")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IFERROR(INDEX(Model!$I$210:$BF$210,1,MATCH(Control!$B$7,Model!$I$5:$BF$5,0)),"")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IFERROR(INDEX(Model!$I$231:$BF$231,1,MATCH(Control!$B$7,Model!$I$5:$BF$5,0)),"")</f>
        <v>654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IFERROR(-INDEX(Model!$I$140:$BF$140,1,MATCH(Control!$B$7,Model!$I$5:$BF$5,0)),"")</f>
        <v>-26022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1707481.67070451</v>
      </c>
      <c r="E73" s="157" t="inlineStr">
        <is>
          <t>Less: Equity investments</t>
        </is>
      </c>
      <c r="H73" s="137">
        <f>IFERROR(-INDEX(Model!$I$157:$BF$157,1,MATCH(Control!$B$7,Model!$I$5:$BF$5,0)),"")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-19646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-19646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-19646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MU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Micron Technology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MU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IFERROR(-Model!AG70/AVERAGE(Model!AB88,Model!AG88),"")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1.19914636936991</v>
      </c>
      <c r="C18" s="247">
        <f>IF(B18="","",B18)</f>
        <v>1.19914636936991</v>
      </c>
      <c r="D18" s="247">
        <f>IF(C18="","",MAX(0,C18-0.5%))</f>
        <v>1.19414636936991</v>
      </c>
      <c r="E18" s="247">
        <f>IF(D18="","",MAX(0,D18-0.5%))</f>
        <v>1.18914636936991</v>
      </c>
      <c r="F18" s="247">
        <f>IF(E18="","",MAX(0,E18-0.5%))</f>
        <v>1.18414636936991</v>
      </c>
    </row>
    <row r="19" ht="15" customHeight="1">
      <c r="A19" t="inlineStr">
        <is>
          <t>Gross margin</t>
        </is>
      </c>
      <c r="B19" s="247">
        <f>IFERROR(AVERAGE(Model!AC51:AF51,Model!AH51:AI51),"")</f>
        <v>0.556991782420391</v>
      </c>
      <c r="C19" s="247">
        <f>IF(B19="","",B19)</f>
        <v>0.556991782420391</v>
      </c>
      <c r="D19" s="247">
        <f>IF(C19="","",C19)</f>
        <v>0.556991782420391</v>
      </c>
      <c r="E19" s="247">
        <f>IF(D19="","",D19)</f>
        <v>0.556991782420391</v>
      </c>
      <c r="F19" s="247">
        <f>IF(E19="","",E19)</f>
        <v>0.556991782420391</v>
      </c>
    </row>
    <row r="20" ht="15" customHeight="1">
      <c r="A20" t="inlineStr">
        <is>
          <t>SG&amp;A / Revenue</t>
        </is>
      </c>
      <c r="B20" s="247">
        <f>IFERROR(AVERAGE(Model!AC55:AF55,Model!AH55:AI55),"")</f>
        <v>-0.0587051926887116</v>
      </c>
      <c r="C20" s="247">
        <f>IF(B20="","",B20)</f>
        <v>-0.0587051926887116</v>
      </c>
      <c r="D20" s="247">
        <f>IF(C20="","",C20)</f>
        <v>-0.0587051926887116</v>
      </c>
      <c r="E20" s="247">
        <f>IF(D20="","",D20)</f>
        <v>-0.0587051926887116</v>
      </c>
      <c r="F20" s="247">
        <f>IF(E20="","",E20)</f>
        <v>-0.0587051926887116</v>
      </c>
    </row>
    <row r="21" ht="15" customHeight="1">
      <c r="A21" t="inlineStr">
        <is>
          <t>D&amp;A / Revenue</t>
        </is>
      </c>
      <c r="B21" s="247">
        <f>IFERROR(AVERAGE(Model!AC67:AF67,Model!AH67:AI67),"")</f>
        <v>0.164699041276475</v>
      </c>
      <c r="C21" s="247">
        <f>IF(B21="","",B21)</f>
        <v>0.164699041276475</v>
      </c>
      <c r="D21" s="247">
        <f>IF(C21="","",C21)</f>
        <v>0.164699041276475</v>
      </c>
      <c r="E21" s="247">
        <f>IF(D21="","",D21)</f>
        <v>0.164699041276475</v>
      </c>
      <c r="F21" s="247">
        <f>IF(E21="","",E21)</f>
        <v>0.164699041276475</v>
      </c>
    </row>
    <row r="22" ht="15" customHeight="1">
      <c r="A22" t="inlineStr">
        <is>
          <t>Effective tax rate</t>
        </is>
      </c>
      <c r="B22" s="247">
        <f>IFERROR(AVERAGE(Model!AC128:AF128,Model!AH128:AI128),"")</f>
        <v>0.127238355717857</v>
      </c>
      <c r="C22" s="247">
        <f>IF(B22="","",B22)</f>
        <v>0.127238355717857</v>
      </c>
      <c r="D22" s="247">
        <f>IF(C22="","",C22)</f>
        <v>0.127238355717857</v>
      </c>
      <c r="E22" s="247">
        <f>IF(D22="","",D22)</f>
        <v>0.127238355717857</v>
      </c>
      <c r="F22" s="247">
        <f>IF(E22="","",E22)</f>
        <v>0.127238355717857</v>
      </c>
    </row>
    <row r="23" ht="15" customHeight="1">
      <c r="A23" t="inlineStr">
        <is>
          <t>Financial income / Revenue</t>
        </is>
      </c>
      <c r="B23" s="247">
        <f>IFERROR(AVERAGE(Model!AC119:AF119,Model!AH119:AI119)/AVERAGE(Model!AC15:AF15,Model!AH15:AI15),"")</f>
        <v>0.00199762143680083</v>
      </c>
      <c r="C23" s="247">
        <f>IF(B23="","",B23)</f>
        <v>0.00199762143680083</v>
      </c>
      <c r="D23" s="247">
        <f>IF(C23="","",C23)</f>
        <v>0.00199762143680083</v>
      </c>
      <c r="E23" s="247">
        <f>IF(D23="","",D23)</f>
        <v>0.00199762143680083</v>
      </c>
      <c r="F23" s="247">
        <f>IF(E23="","",E23)</f>
        <v>0.00199762143680083</v>
      </c>
    </row>
    <row r="24" ht="15" customHeight="1">
      <c r="A24" t="inlineStr">
        <is>
          <t>Capex / Revenue</t>
        </is>
      </c>
      <c r="B24" s="247">
        <f>IFERROR(-AVERAGE(Model!AC291:AF291,Model!AH291:AI291)/AVERAGE(Model!AC15:AF15,Model!AH15:AI15),"")</f>
        <v>0.26140037908351</v>
      </c>
      <c r="C24" s="247">
        <f>IF(B24="","",B24)</f>
        <v>0.26140037908351</v>
      </c>
      <c r="D24" s="247">
        <f>IF(C24="","",C24)</f>
        <v>0.26140037908351</v>
      </c>
      <c r="E24" s="247">
        <f>IF(D24="","",D24)</f>
        <v>0.26140037908351</v>
      </c>
      <c r="F24" s="247">
        <f>IF(E24="","",E24)</f>
        <v>0.26140037908351</v>
      </c>
    </row>
    <row r="25" ht="15" customHeight="1">
      <c r="A25" t="inlineStr">
        <is>
          <t>DSO</t>
        </is>
      </c>
      <c r="B25" s="249">
        <f>IFERROR(AVERAGE(Model!AC142:AF142,Model!AH142:AI142),0)</f>
        <v>70.4765604830716</v>
      </c>
      <c r="C25" s="249">
        <f>IF(B25="","",B25)</f>
        <v>70.4765604830716</v>
      </c>
      <c r="D25" s="249">
        <f>IF(C25="","",C25)</f>
        <v>70.4765604830716</v>
      </c>
      <c r="E25" s="249">
        <f>IF(D25="","",D25)</f>
        <v>70.4765604830716</v>
      </c>
      <c r="F25" s="249">
        <f>IF(E25="","",E25)</f>
        <v>70.4765604830716</v>
      </c>
    </row>
    <row r="26" ht="15" customHeight="1">
      <c r="A26" t="inlineStr">
        <is>
          <t>DIO</t>
        </is>
      </c>
      <c r="B26" s="249">
        <f>IFERROR(AVERAGE(Model!AC146:AF146,Model!AH146:AI146),0)</f>
        <v>131.445855711348</v>
      </c>
      <c r="C26" s="249">
        <f>IF(B26="","",B26)</f>
        <v>131.445855711348</v>
      </c>
      <c r="D26" s="249">
        <f>IF(C26="","",C26)</f>
        <v>131.445855711348</v>
      </c>
      <c r="E26" s="249">
        <f>IF(D26="","",D26)</f>
        <v>131.445855711348</v>
      </c>
      <c r="F26" s="249">
        <f>IF(E26="","",E26)</f>
        <v>131.445855711348</v>
      </c>
    </row>
    <row r="27" ht="15" customHeight="1">
      <c r="A27" t="inlineStr">
        <is>
          <t>DPO</t>
        </is>
      </c>
      <c r="B27" s="249">
        <f>IFERROR(AVERAGE(Model!AC195:AF195,Model!AH195:AI195),0)</f>
        <v>153.616148751381</v>
      </c>
      <c r="C27" s="249">
        <f>IF(B27="","",B27)</f>
        <v>153.616148751381</v>
      </c>
      <c r="D27" s="249">
        <f>IF(C27="","",C27)</f>
        <v>153.616148751381</v>
      </c>
      <c r="E27" s="249">
        <f>IF(D27="","",D27)</f>
        <v>153.616148751381</v>
      </c>
      <c r="F27" s="249">
        <f>IF(E27="","",E27)</f>
        <v>153.616148751381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Micron Technology Inc. (MU, CIK 723125) - fonte: SEC EDGAR XBRL (instâncias dos 10-Q/10-K). Moeda: USD. Brutos em USD unidades (fator 0,000001 -&gt; milhões). Colunas = trimestres-CALENDÁRIO (cada fechamento vai para o fim de trimestre mais próximo); an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2026-10-16T15:39:27Z</dcterms:modified>
  <cp:lastModifiedBy>Lucas Nascimento</cp:lastModifiedBy>
  <cp:revision>0</cp:revision>
</cp:coreProperties>
</file>