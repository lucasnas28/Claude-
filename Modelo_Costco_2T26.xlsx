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aaa" hidden="1" function="0" vbProcedure="0">{#N/A,#N/A,FALSE,"Aging Summary";#N/A,#N/A,FALSE,"Ratio Analysis";#N/A,#N/A,FALSE,"Test 120 Day Accts";#N/A,#N/A,FALSE,"Tickmarks"}</definedName>
    <definedName name="AAAA" hidden="1" function="0" vbProcedure="0">{#N/A,#N/A,FALSE,"Aging Summary";#N/A,#N/A,FALSE,"Ratio Analysis";#N/A,#N/A,FALSE,"Test 120 Day Accts";#N/A,#N/A,FALSE,"Tickmarks"}</definedName>
    <definedName name="AS2DocOpenMode" hidden="1" function="0" vbProcedure="0">"AS2DocumentEdit"</definedName>
    <definedName name="AS2NamedRange" hidden="1" function="0" vbProcedure="0">15</definedName>
    <definedName name="AS2ReportLS" hidden="1" function="0" vbProcedure="0">1</definedName>
    <definedName name="AS2StaticLS" hidden="1" function="0" vbProcedure="0">#REF!</definedName>
    <definedName name="AS2SyncStepLS" hidden="1" function="0" vbProcedure="0">0</definedName>
    <definedName name="AS2TickmarkLS" hidden="1" function="0" vbProcedure="0">#REF!</definedName>
    <definedName name="AS2VersionLS" hidden="1" function="0" vbProcedure="0">300</definedName>
    <definedName name="BalType" hidden="1" function="0" vbProcedure="0">TRUE()</definedName>
    <definedName name="beta_observed" hidden="0" function="0" vbProcedure="0">Valuation!$D$93</definedName>
    <definedName name="beta_observed_unlevered" hidden="0" function="0" vbProcedure="0">#REF!</definedName>
    <definedName name="beta_unlev_comps" hidden="0" function="0" vbProcedure="0">#REF!</definedName>
    <definedName name="BG_Del" hidden="1" function="0" vbProcedure="0">15</definedName>
    <definedName name="BG_Ins" hidden="1" function="0" vbProcedure="0">4</definedName>
    <definedName name="BG_Mod" hidden="1" function="0" vbProcedure="0">6</definedName>
    <definedName name="cirkbreak" hidden="0" function="0" vbProcedure="0">#REF!</definedName>
    <definedName name="costdebtfirm" hidden="0" function="0" vbProcedure="0">#REF!</definedName>
    <definedName name="costequity" hidden="0" function="0" vbProcedure="0">#REF!</definedName>
    <definedName name="Debt" hidden="0" function="0" vbProcedure="0">#REF!</definedName>
    <definedName name="debt_weight" hidden="0" function="0" vbProcedure="0">#REF!</definedName>
    <definedName name="GrpAcct1" hidden="1" function="0" vbProcedure="0">"5611"</definedName>
    <definedName name="GrpAcct2" hidden="1" function="0" vbProcedure="0">"5612"</definedName>
    <definedName name="GrpLevel" hidden="1" function="0" vbProcedure="0">2</definedName>
    <definedName name="IQ_ACCOUNTS_PAY" hidden="1" function="0" vbProcedure="0">"c1343"</definedName>
    <definedName name="IQ_ACCOUNT_CHANGE" hidden="1" function="0" vbProcedure="0">"c1449"</definedName>
    <definedName name="IQ_ACCRUED_EXP" hidden="1" function="0" vbProcedure="0">"c1341"</definedName>
    <definedName name="IQ_ACCR_INT_PAY" hidden="1" function="0" vbProcedure="0">"c1"</definedName>
    <definedName name="IQ_ACCR_INT_PAY_CF" hidden="1" function="0" vbProcedure="0">"c2"</definedName>
    <definedName name="IQ_ACCR_INT_RECEIV" hidden="1" function="0" vbProcedure="0">"c3"</definedName>
    <definedName name="IQ_ACCR_INT_RECEIV_CF" hidden="1" function="0" vbProcedure="0">"c4"</definedName>
    <definedName name="IQ_ACCT_RECV_10YR_ANN_GROWTH" hidden="1" function="0" vbProcedure="0">"c1924"</definedName>
    <definedName name="IQ_ACCT_RECV_1YR_ANN_GROWTH" hidden="1" function="0" vbProcedure="0">"c1919"</definedName>
    <definedName name="IQ_ACCT_RECV_2YR_ANN_GROWTH" hidden="1" function="0" vbProcedure="0">"c1920"</definedName>
    <definedName name="IQ_ACCT_RECV_3YR_ANN_GROWTH" hidden="1" function="0" vbProcedure="0">"c1921"</definedName>
    <definedName name="IQ_ACCT_RECV_5YR_ANN_GROWTH" hidden="1" function="0" vbProcedure="0">"c1922"</definedName>
    <definedName name="IQ_ACCT_RECV_7YR_ANN_GROWTH" hidden="1" function="0" vbProcedure="0">"c1923"</definedName>
    <definedName name="IQ_ACCUMULATED_PENSION_OBLIGATION" hidden="1" function="0" vbProcedure="0">"c2108"</definedName>
    <definedName name="IQ_ACCUM_DEP" hidden="1" function="0" vbProcedure="0">"c1340"</definedName>
    <definedName name="IQ_ACQUIRE_REAL_ESTATE_CF" hidden="1" function="0" vbProcedure="0">"c6"</definedName>
    <definedName name="IQ_ACQUISITION_RE_ASSETS" hidden="1" function="0" vbProcedure="0">"c1628"</definedName>
    <definedName name="IQ_ACQ_COSTS_CAPITALIZED" hidden="1" function="0" vbProcedure="0">"c5"</definedName>
    <definedName name="IQ_ACQ_COST_SUB" hidden="1" function="0" vbProcedure="0">"c2125"</definedName>
    <definedName name="IQ_AD" hidden="1" function="0" vbProcedure="0">"c7"</definedName>
    <definedName name="IQ_ADD_PAID_IN" hidden="1" function="0" vbProcedure="0">"c1344"</definedName>
    <definedName name="IQ_ADVERTISING_MARKETING" hidden="1" function="0" vbProcedure="0">"c1566"</definedName>
    <definedName name="IQ_AE" hidden="1" function="0" vbProcedure="0">"c8"</definedName>
    <definedName name="IQ_AE_BNK" hidden="1" function="0" vbProcedure="0">"c9"</definedName>
    <definedName name="IQ_AE_BR" hidden="1" function="0" vbProcedure="0">"c10"</definedName>
    <definedName name="IQ_AE_FIN" hidden="1" function="0" vbProcedure="0">"c11"</definedName>
    <definedName name="IQ_AE_INS" hidden="1" function="0" vbProcedure="0">"c12"</definedName>
    <definedName name="IQ_AE_REIT" hidden="1" function="0" vbProcedure="0">"c13"</definedName>
    <definedName name="IQ_AE_UTI" hidden="1" function="0" vbProcedure="0">"c14"</definedName>
    <definedName name="IQ_ALLOWANCE_10YR_ANN_GROWTH" hidden="1" function="0" vbProcedure="0">"c18"</definedName>
    <definedName name="IQ_ALLOWANCE_1YR_ANN_GROWTH" hidden="1" function="0" vbProcedure="0">"c19"</definedName>
    <definedName name="IQ_ALLOWANCE_2YR_ANN_GROWTH" hidden="1" function="0" vbProcedure="0">"c20"</definedName>
    <definedName name="IQ_ALLOWANCE_3YR_ANN_GROWTH" hidden="1" function="0" vbProcedure="0">"c21"</definedName>
    <definedName name="IQ_ALLOWANCE_5YR_ANN_GROWTH" hidden="1" function="0" vbProcedure="0">"c22"</definedName>
    <definedName name="IQ_ALLOWANCE_7YR_ANN_GROWTH" hidden="1" function="0" vbProcedure="0">"c23"</definedName>
    <definedName name="IQ_ALLOWANCE_CHARGE_OFFS" hidden="1" function="0" vbProcedure="0">"c24"</definedName>
    <definedName name="IQ_ALLOWANCE_NON_PERF_LOANS" hidden="1" function="0" vbProcedure="0">"c25"</definedName>
    <definedName name="IQ_ALLOWANCE_TOTAL_LOANS" hidden="1" function="0" vbProcedure="0">"c26"</definedName>
    <definedName name="IQ_ALLOW_BORROW_CONST" hidden="1" function="0" vbProcedure="0">"c15"</definedName>
    <definedName name="IQ_ALLOW_CONST" hidden="1" function="0" vbProcedure="0">"c1342"</definedName>
    <definedName name="IQ_ALLOW_DOUBT_ACCT" hidden="1" function="0" vbProcedure="0">"c2092"</definedName>
    <definedName name="IQ_ALLOW_EQUITY_CONST" hidden="1" function="0" vbProcedure="0">"c16"</definedName>
    <definedName name="IQ_ALLOW_LL" hidden="1" function="0" vbProcedure="0">"c17"</definedName>
    <definedName name="IQ_AMORTIZATION" hidden="1" function="0" vbProcedure="0">"c1591"</definedName>
    <definedName name="IQ_ANNUALIZED_DIVIDEND" hidden="1" function="0" vbProcedure="0">"c1579"</definedName>
    <definedName name="IQ_ANNUITY_LIAB" hidden="1" function="0" vbProcedure="0">"c27"</definedName>
    <definedName name="IQ_ANNUITY_PAY" hidden="1" function="0" vbProcedure="0">"c28"</definedName>
    <definedName name="IQ_ANNUITY_POLICY_EXP" hidden="1" function="0" vbProcedure="0">"c29"</definedName>
    <definedName name="IQ_ANNUITY_REC" hidden="1" function="0" vbProcedure="0">"c30"</definedName>
    <definedName name="IQ_ANNUITY_REV" hidden="1" function="0" vbProcedure="0">"c31"</definedName>
    <definedName name="IQ_AP" hidden="1" function="0" vbProcedure="0">"c32"</definedName>
    <definedName name="IQ_APIC" hidden="1" function="0" vbProcedure="0">"c39"</definedName>
    <definedName name="IQ_AP_BNK" hidden="1" function="0" vbProcedure="0">"c33"</definedName>
    <definedName name="IQ_AP_BR" hidden="1" function="0" vbProcedure="0">"c34"</definedName>
    <definedName name="IQ_AP_FIN" hidden="1" function="0" vbProcedure="0">"c35"</definedName>
    <definedName name="IQ_AP_INS" hidden="1" function="0" vbProcedure="0">"c36"</definedName>
    <definedName name="IQ_AP_REIT" hidden="1" function="0" vbProcedure="0">"c37"</definedName>
    <definedName name="IQ_AP_UTI" hidden="1" function="0" vbProcedure="0">"c38"</definedName>
    <definedName name="IQ_AR" hidden="1" function="0" vbProcedure="0">"c40"</definedName>
    <definedName name="IQ_ARPU" hidden="1" function="0" vbProcedure="0">"c2126"</definedName>
    <definedName name="IQ_AR_BR" hidden="1" function="0" vbProcedure="0">"c41"</definedName>
    <definedName name="IQ_AR_LT" hidden="1" function="0" vbProcedure="0">"c42"</definedName>
    <definedName name="IQ_AR_REIT" hidden="1" function="0" vbProcedure="0">"c43"</definedName>
    <definedName name="IQ_AR_TURNS" hidden="1" function="0" vbProcedure="0">"c44"</definedName>
    <definedName name="IQ_AR_UTI" hidden="1" function="0" vbProcedure="0">"c45"</definedName>
    <definedName name="IQ_ASSETS_CAP_LEASE_DEPR" hidden="1" function="0" vbProcedure="0">"c2068"</definedName>
    <definedName name="IQ_ASSETS_CAP_LEASE_GROSS" hidden="1" function="0" vbProcedure="0">"c2069"</definedName>
    <definedName name="IQ_ASSETS_OPER_LEASE_DEPR" hidden="1" function="0" vbProcedure="0">"c2070"</definedName>
    <definedName name="IQ_ASSETS_OPER_LEASE_GROSS" hidden="1" function="0" vbProcedure="0">"c2071"</definedName>
    <definedName name="IQ_ASSET_MGMT_FEE" hidden="1" function="0" vbProcedure="0">"c46"</definedName>
    <definedName name="IQ_ASSET_TURNS" hidden="1" function="0" vbProcedure="0">"c47"</definedName>
    <definedName name="IQ_ASSET_WRITEDOWN" hidden="1" function="0" vbProcedure="0">"c48"</definedName>
    <definedName name="IQ_ASSET_WRITEDOWN_BNK" hidden="1" function="0" vbProcedure="0">"c49"</definedName>
    <definedName name="IQ_ASSET_WRITEDOWN_BR" hidden="1" function="0" vbProcedure="0">"c50"</definedName>
    <definedName name="IQ_ASSET_WRITEDOWN_CF" hidden="1" function="0" vbProcedure="0">"c51"</definedName>
    <definedName name="IQ_ASSET_WRITEDOWN_CF_BNK" hidden="1" function="0" vbProcedure="0">"c52"</definedName>
    <definedName name="IQ_ASSET_WRITEDOWN_CF_BR" hidden="1" function="0" vbProcedure="0">"c53"</definedName>
    <definedName name="IQ_ASSET_WRITEDOWN_CF_FIN" hidden="1" function="0" vbProcedure="0">"c54"</definedName>
    <definedName name="IQ_ASSET_WRITEDOWN_CF_INS" hidden="1" function="0" vbProcedure="0">"c55"</definedName>
    <definedName name="IQ_ASSET_WRITEDOWN_CF_REIT" hidden="1" function="0" vbProcedure="0">"c56"</definedName>
    <definedName name="IQ_ASSET_WRITEDOWN_CF_UTI" hidden="1" function="0" vbProcedure="0">"c57"</definedName>
    <definedName name="IQ_ASSET_WRITEDOWN_FIN" hidden="1" function="0" vbProcedure="0">"c58"</definedName>
    <definedName name="IQ_ASSET_WRITEDOWN_INS" hidden="1" function="0" vbProcedure="0">"c59"</definedName>
    <definedName name="IQ_ASSET_WRITEDOWN_REIT" hidden="1" function="0" vbProcedure="0">"c60"</definedName>
    <definedName name="IQ_ASSET_WRITEDOWN_UTI" hidden="1" function="0" vbProcedure="0">"c61"</definedName>
    <definedName name="IQ_AUDITOR_NAME" hidden="1" function="0" vbProcedure="0">"c1539"</definedName>
    <definedName name="IQ_AUDITOR_OPINION" hidden="1" function="0" vbProcedure="0">"c1540"</definedName>
    <definedName name="IQ_AUTO_WRITTEN" hidden="1" function="0" vbProcedure="0">"c62"</definedName>
    <definedName name="IQ_AVG_BANK_ASSETS" hidden="1" function="0" vbProcedure="0">"c2072"</definedName>
    <definedName name="IQ_AVG_BANK_LOANS" hidden="1" function="0" vbProcedure="0">"c2073"</definedName>
    <definedName name="IQ_AVG_BROKER_REC" hidden="1" function="0" vbProcedure="0">"c63"</definedName>
    <definedName name="IQ_AVG_BROKER_REC_NO" hidden="1" function="0" vbProcedure="0">"c64"</definedName>
    <definedName name="IQ_AVG_DAILY_VOL" hidden="1" function="0" vbProcedure="0">"c65"</definedName>
    <definedName name="IQ_AVG_INT_BEAR_LIAB" hidden="1" function="0" vbProcedure="0">"c66"</definedName>
    <definedName name="IQ_AVG_INT_BEAR_LIAB_10YR_ANN_GROWTH" hidden="1" function="0" vbProcedure="0">"c67"</definedName>
    <definedName name="IQ_AVG_INT_BEAR_LIAB_1YR_ANN_GROWTH" hidden="1" function="0" vbProcedure="0">"c68"</definedName>
    <definedName name="IQ_AVG_INT_BEAR_LIAB_2YR_ANN_GROWTH" hidden="1" function="0" vbProcedure="0">"c69"</definedName>
    <definedName name="IQ_AVG_INT_BEAR_LIAB_3YR_ANN_GROWTH" hidden="1" function="0" vbProcedure="0">"c70"</definedName>
    <definedName name="IQ_AVG_INT_BEAR_LIAB_5YR_ANN_GROWTH" hidden="1" function="0" vbProcedure="0">"c71"</definedName>
    <definedName name="IQ_AVG_INT_BEAR_LIAB_7YR_ANN_GROWTH" hidden="1" function="0" vbProcedure="0">"c72"</definedName>
    <definedName name="IQ_AVG_INT_EARN_ASSETS" hidden="1" function="0" vbProcedure="0">"c73"</definedName>
    <definedName name="IQ_AVG_INT_EARN_ASSETS_10YR_ANN_GROWTH" hidden="1" function="0" vbProcedure="0">"c74"</definedName>
    <definedName name="IQ_AVG_INT_EARN_ASSETS_1YR_ANN_GROWTH" hidden="1" function="0" vbProcedure="0">"c75"</definedName>
    <definedName name="IQ_AVG_INT_EARN_ASSETS_2YR_ANN_GROWTH" hidden="1" function="0" vbProcedure="0">"c76"</definedName>
    <definedName name="IQ_AVG_INT_EARN_ASSETS_3YR_ANN_GROWTH" hidden="1" function="0" vbProcedure="0">"c77"</definedName>
    <definedName name="IQ_AVG_INT_EARN_ASSETS_5YR_ANN_GROWTH" hidden="1" function="0" vbProcedure="0">"c78"</definedName>
    <definedName name="IQ_AVG_INT_EARN_ASSETS_7YR_ANN_GROWTH" hidden="1" function="0" vbProcedure="0">"c79"</definedName>
    <definedName name="IQ_AVG_MKTCAP" hidden="1" function="0" vbProcedure="0">"c80"</definedName>
    <definedName name="IQ_AVG_PRICE" hidden="1" function="0" vbProcedure="0">"c81"</definedName>
    <definedName name="IQ_AVG_SHAREOUTSTANDING" hidden="1" function="0" vbProcedure="0">"c83"</definedName>
    <definedName name="IQ_AVG_TEV" hidden="1" function="0" vbProcedure="0">"c84"</definedName>
    <definedName name="IQ_AVG_VOLUME" hidden="1" function="0" vbProcedure="0">"c1346"</definedName>
    <definedName name="IQ_BASIC_EPS_EXCL" hidden="1" function="0" vbProcedure="0">"c85"</definedName>
    <definedName name="IQ_BASIC_EPS_INCL" hidden="1" function="0" vbProcedure="0">"c86"</definedName>
    <definedName name="IQ_BASIC_NORMAL_EPS" hidden="1" function="0" vbProcedure="0">"c1592"</definedName>
    <definedName name="IQ_BASIC_WEIGHT" hidden="1" function="0" vbProcedure="0">"c87"</definedName>
    <definedName name="IQ_BETA" hidden="1" function="0" vbProcedure="0">"c2133"</definedName>
    <definedName name="IQ_BETA_1YR" hidden="1" function="0" vbProcedure="0">"c1966"</definedName>
    <definedName name="IQ_BETA_1YR_RSQ" hidden="1" function="0" vbProcedure="0">"c2132"</definedName>
    <definedName name="IQ_BETA_2YR" hidden="1" function="0" vbProcedure="0">"c1965"</definedName>
    <definedName name="IQ_BETA_2YR_RSQ" hidden="1" function="0" vbProcedure="0">"c2131"</definedName>
    <definedName name="IQ_BETA_5YR" hidden="1" function="0" vbProcedure="0">"c88"</definedName>
    <definedName name="IQ_BETA_5YR_RSQ" hidden="1" function="0" vbProcedure="0">"c2130"</definedName>
    <definedName name="IQ_BIG_INT_BEAR_CD" hidden="1" function="0" vbProcedure="0">"c89"</definedName>
    <definedName name="IQ_BOARD_MEMBER" hidden="1" function="0" vbProcedure="0">"c96"</definedName>
    <definedName name="IQ_BOARD_MEMBER_BACKGROUND" hidden="1" function="0" vbProcedure="0">"c2101"</definedName>
    <definedName name="IQ_BOARD_MEMBER_TITLE" hidden="1" function="0" vbProcedure="0">"c97"</definedName>
    <definedName name="IQ_BROK_COMISSION" hidden="1" function="0" vbProcedure="0">"c98"</definedName>
    <definedName name="IQ_BUILDINGS" hidden="1" function="0" vbProcedure="0">"c99"</definedName>
    <definedName name="IQ_BUSINESS_DESCRIPTION" hidden="1" function="0" vbProcedure="0">"c322"</definedName>
    <definedName name="IQ_BV_OVER_SHARES" hidden="1" function="0" vbProcedure="0">"c1349"</definedName>
    <definedName name="IQ_BV_SHARE" hidden="1" function="0" vbProcedure="0">"c100"</definedName>
    <definedName name="IQ_CAL_Q" hidden="1" function="0" vbProcedure="0">"c101"</definedName>
    <definedName name="IQ_CAL_Y" hidden="1" function="0" vbProcedure="0">"c102"</definedName>
    <definedName name="IQ_CAPEX" hidden="1" function="0" vbProcedure="0">"c103"</definedName>
    <definedName name="IQ_CAPEX_10YR_ANN_GROWTH" hidden="1" function="0" vbProcedure="0">"c104"</definedName>
    <definedName name="IQ_CAPEX_1YR_ANN_GROWTH" hidden="1" function="0" vbProcedure="0">"c105"</definedName>
    <definedName name="IQ_CAPEX_2YR_ANN_GROWTH" hidden="1" function="0" vbProcedure="0">"c106"</definedName>
    <definedName name="IQ_CAPEX_3YR_ANN_GROWTH" hidden="1" function="0" vbProcedure="0">"c107"</definedName>
    <definedName name="IQ_CAPEX_5YR_ANN_GROWTH" hidden="1" function="0" vbProcedure="0">"c108"</definedName>
    <definedName name="IQ_CAPEX_7YR_ANN_GROWTH" hidden="1" function="0" vbProcedure="0">"c109"</definedName>
    <definedName name="IQ_CAPEX_BNK" hidden="1" function="0" vbProcedure="0">"c110"</definedName>
    <definedName name="IQ_CAPEX_BR" hidden="1" function="0" vbProcedure="0">"c111"</definedName>
    <definedName name="IQ_CAPEX_FIN" hidden="1" function="0" vbProcedure="0">"c112"</definedName>
    <definedName name="IQ_CAPEX_INS" hidden="1" function="0" vbProcedure="0">"c113"</definedName>
    <definedName name="IQ_CAPEX_UTI" hidden="1" function="0" vbProcedure="0">"c114"</definedName>
    <definedName name="IQ_CAPITALIZED_INTEREST" hidden="1" function="0" vbProcedure="0">"c2076"</definedName>
    <definedName name="IQ_CAPITAL_LEASE" hidden="1" function="0" vbProcedure="0">"c1350"</definedName>
    <definedName name="IQ_CAPITAL_LEASES" hidden="1" function="0" vbProcedure="0">"c115"</definedName>
    <definedName name="IQ_CASH" hidden="1" function="0" vbProcedure="0">"c1458"</definedName>
    <definedName name="IQ_CASH_ACQUIRE_CF" hidden="1" function="0" vbProcedure="0">"c1630"</definedName>
    <definedName name="IQ_CASH_CONVERSION" hidden="1" function="0" vbProcedure="0">"c117"</definedName>
    <definedName name="IQ_CASH_DUE_BANKS" hidden="1" function="0" vbProcedure="0">"c1351"</definedName>
    <definedName name="IQ_CASH_EQUIV" hidden="1" function="0" vbProcedure="0">"c118"</definedName>
    <definedName name="IQ_CASH_FINAN" hidden="1" function="0" vbProcedure="0">"c119"</definedName>
    <definedName name="IQ_CASH_INTEREST" hidden="1" function="0" vbProcedure="0">"c120"</definedName>
    <definedName name="IQ_CASH_INVEST" hidden="1" function="0" vbProcedure="0">"c121"</definedName>
    <definedName name="IQ_CASH_OPER" hidden="1" function="0" vbProcedure="0">"c122"</definedName>
    <definedName name="IQ_CASH_SEGREG" hidden="1" function="0" vbProcedure="0">"c123"</definedName>
    <definedName name="IQ_CASH_SHARE" hidden="1" function="0" vbProcedure="0">"c1911"</definedName>
    <definedName name="IQ_CASH_ST" hidden="1" function="0" vbProcedure="0">"c1355"</definedName>
    <definedName name="IQ_CASH_ST_INVEST" hidden="1" function="0" vbProcedure="0">"c124"</definedName>
    <definedName name="IQ_CASH_TAXES" hidden="1" function="0" vbProcedure="0">"c125"</definedName>
    <definedName name="IQ_CFO_10YR_ANN_GROWTH" hidden="1" function="0" vbProcedure="0">"c126"</definedName>
    <definedName name="IQ_CFO_1YR_ANN_GROWTH" hidden="1" function="0" vbProcedure="0">"c127"</definedName>
    <definedName name="IQ_CFO_2YR_ANN_GROWTH" hidden="1" function="0" vbProcedure="0">"c128"</definedName>
    <definedName name="IQ_CFO_3YR_ANN_GROWTH" hidden="1" function="0" vbProcedure="0">"c129"</definedName>
    <definedName name="IQ_CFO_5YR_ANN_GROWTH" hidden="1" function="0" vbProcedure="0">"c130"</definedName>
    <definedName name="IQ_CFO_7YR_ANN_GROWTH" hidden="1" function="0" vbProcedure="0">"c131"</definedName>
    <definedName name="IQ_CFO_CURRENT_LIAB" hidden="1" function="0" vbProcedure="0">"c132"</definedName>
    <definedName name="IQ_CHANGES_WORK_CAP" hidden="1" function="0" vbProcedure="0">"c1357"</definedName>
    <definedName name="IQ_CHANGE_AP" hidden="1" function="0" vbProcedure="0">"c133"</definedName>
    <definedName name="IQ_CHANGE_AP_BNK" hidden="1" function="0" vbProcedure="0">"c134"</definedName>
    <definedName name="IQ_CHANGE_AP_BR" hidden="1" function="0" vbProcedure="0">"c135"</definedName>
    <definedName name="IQ_CHANGE_AP_FIN" hidden="1" function="0" vbProcedure="0">"c136"</definedName>
    <definedName name="IQ_CHANGE_AP_INS" hidden="1" function="0" vbProcedure="0">"c137"</definedName>
    <definedName name="IQ_CHANGE_AP_REIT" hidden="1" function="0" vbProcedure="0">"c138"</definedName>
    <definedName name="IQ_CHANGE_AP_UTI" hidden="1" function="0" vbProcedure="0">"c139"</definedName>
    <definedName name="IQ_CHANGE_AR" hidden="1" function="0" vbProcedure="0">"c140"</definedName>
    <definedName name="IQ_CHANGE_AR_BNK" hidden="1" function="0" vbProcedure="0">"c141"</definedName>
    <definedName name="IQ_CHANGE_AR_BR" hidden="1" function="0" vbProcedure="0">"c142"</definedName>
    <definedName name="IQ_CHANGE_AR_FIN" hidden="1" function="0" vbProcedure="0">"c143"</definedName>
    <definedName name="IQ_CHANGE_AR_INS" hidden="1" function="0" vbProcedure="0">"c144"</definedName>
    <definedName name="IQ_CHANGE_AR_REIT" hidden="1" function="0" vbProcedure="0">"c145"</definedName>
    <definedName name="IQ_CHANGE_AR_UTI" hidden="1" function="0" vbProcedure="0">"c146"</definedName>
    <definedName name="IQ_CHANGE_DEF_TAX" hidden="1" function="0" vbProcedure="0">"c147"</definedName>
    <definedName name="IQ_CHANGE_DEPOSIT_ACCT" hidden="1" function="0" vbProcedure="0">"c148"</definedName>
    <definedName name="IQ_CHANGE_INC_TAX" hidden="1" function="0" vbProcedure="0">"c149"</definedName>
    <definedName name="IQ_CHANGE_INS_RES_LIAB" hidden="1" function="0" vbProcedure="0">"c150"</definedName>
    <definedName name="IQ_CHANGE_INVENTORY" hidden="1" function="0" vbProcedure="0">"c151"</definedName>
    <definedName name="IQ_CHANGE_NET_WORKING_CAPITAL" hidden="1" function="0" vbProcedure="0">"c1909"</definedName>
    <definedName name="IQ_CHANGE_OTHER_WORK_CAP" hidden="1" function="0" vbProcedure="0">"c152"</definedName>
    <definedName name="IQ_CHANGE_OTHER_WORK_CAP_BNK" hidden="1" function="0" vbProcedure="0">"c153"</definedName>
    <definedName name="IQ_CHANGE_OTHER_WORK_CAP_BR" hidden="1" function="0" vbProcedure="0">"c154"</definedName>
    <definedName name="IQ_CHANGE_OTHER_WORK_CAP_FIN" hidden="1" function="0" vbProcedure="0">"c155"</definedName>
    <definedName name="IQ_CHANGE_OTHER_WORK_CAP_INS" hidden="1" function="0" vbProcedure="0">"c156"</definedName>
    <definedName name="IQ_CHANGE_OTHER_WORK_CAP_REIT" hidden="1" function="0" vbProcedure="0">"c157"</definedName>
    <definedName name="IQ_CHANGE_OTHER_WORK_CAP_UTI" hidden="1" function="0" vbProcedure="0">"c158"</definedName>
    <definedName name="IQ_CHANGE_TRADING_ASSETS" hidden="1" function="0" vbProcedure="0">"c159"</definedName>
    <definedName name="IQ_CHANGE_UNEARN_REV" hidden="1" function="0" vbProcedure="0">"c160"</definedName>
    <definedName name="IQ_CHANGE_WORK_CAP" hidden="1" function="0" vbProcedure="0">"c161"</definedName>
    <definedName name="IQ_CHARGE_OFFS_GROSS" hidden="1" function="0" vbProcedure="0">"c162"</definedName>
    <definedName name="IQ_CHARGE_OFFS_NET" hidden="1" function="0" vbProcedure="0">"c163"</definedName>
    <definedName name="IQ_CHARGE_OFFS_RECOVERED" hidden="1" function="0" vbProcedure="0">"c164"</definedName>
    <definedName name="IQ_CHARGE_OFFS_TOTAL_AVG_LOANS" hidden="1" function="0" vbProcedure="0">"c165"</definedName>
    <definedName name="IQ_CITY" hidden="1" function="0" vbProcedure="0">"c166"</definedName>
    <definedName name="IQ_CLASSA_OUTSTANDING_BS_DATE" hidden="1" function="0" vbProcedure="0">"c1971"</definedName>
    <definedName name="IQ_CLASSA_OUTSTANDING_FILING_DATE" hidden="1" function="0" vbProcedure="0">"c1973"</definedName>
    <definedName name="IQ_CLOSEPRICE" hidden="1" function="0" vbProcedure="0">"c174"</definedName>
    <definedName name="IQ_CLOSEPRICE_ADJ" hidden="1" function="0" vbProcedure="0">"c2115"</definedName>
    <definedName name="IQ_CL_DUE_AFTER_FIVE" hidden="1" function="0" vbProcedure="0">"c167"</definedName>
    <definedName name="IQ_CL_DUE_CY" hidden="1" function="0" vbProcedure="0">"c168"</definedName>
    <definedName name="IQ_CL_DUE_CY1" hidden="1" function="0" vbProcedure="0">"c169"</definedName>
    <definedName name="IQ_CL_DUE_CY2" hidden="1" function="0" vbProcedure="0">"c170"</definedName>
    <definedName name="IQ_CL_DUE_CY3" hidden="1" function="0" vbProcedure="0">"c171"</definedName>
    <definedName name="IQ_CL_DUE_CY4" hidden="1" function="0" vbProcedure="0">"c172"</definedName>
    <definedName name="IQ_CL_DUE_NEXT_FIVE" hidden="1" function="0" vbProcedure="0">"c173"</definedName>
    <definedName name="IQ_COGS" hidden="1" function="0" vbProcedure="0">"c175"</definedName>
    <definedName name="IQ_COMBINED_RATIO" hidden="1" function="0" vbProcedure="0">"c176"</definedName>
    <definedName name="IQ_COMMERCIAL_DOM" hidden="1" function="0" vbProcedure="0">"c177"</definedName>
    <definedName name="IQ_COMMERCIAL_FIRE_WRITTEN" hidden="1" function="0" vbProcedure="0">"c178"</definedName>
    <definedName name="IQ_COMMERCIAL_MORT" hidden="1" function="0" vbProcedure="0">"c179"</definedName>
    <definedName name="IQ_COMMISSION_DEF" hidden="1" function="0" vbProcedure="0">"c181"</definedName>
    <definedName name="IQ_COMMISS_FEES" hidden="1" function="0" vbProcedure="0">"c180"</definedName>
    <definedName name="IQ_COMMON" hidden="1" function="0" vbProcedure="0">"c182"</definedName>
    <definedName name="IQ_COMMON_APIC" hidden="1" function="0" vbProcedure="0">"c183"</definedName>
    <definedName name="IQ_COMMON_APIC_BNK" hidden="1" function="0" vbProcedure="0">"c184"</definedName>
    <definedName name="IQ_COMMON_APIC_BR" hidden="1" function="0" vbProcedure="0">"c185"</definedName>
    <definedName name="IQ_COMMON_APIC_FIN" hidden="1" function="0" vbProcedure="0">"c186"</definedName>
    <definedName name="IQ_COMMON_APIC_INS" hidden="1" function="0" vbProcedure="0">"c187"</definedName>
    <definedName name="IQ_COMMON_APIC_REIT" hidden="1" function="0" vbProcedure="0">"c188"</definedName>
    <definedName name="IQ_COMMON_APIC_UTI" hidden="1" function="0" vbProcedure="0">"c189"</definedName>
    <definedName name="IQ_COMMON_DIV_CF" hidden="1" function="0" vbProcedure="0">"c190"</definedName>
    <definedName name="IQ_COMMON_EQUITY_10YR_ANN_GROWTH" hidden="1" function="0" vbProcedure="0">"c191"</definedName>
    <definedName name="IQ_COMMON_EQUITY_1YR_ANN_GROWTH" hidden="1" function="0" vbProcedure="0">"c192"</definedName>
    <definedName name="IQ_COMMON_EQUITY_2YR_ANN_GROWTH" hidden="1" function="0" vbProcedure="0">"c193"</definedName>
    <definedName name="IQ_COMMON_EQUITY_3YR_ANN_GROWTH" hidden="1" function="0" vbProcedure="0">"c194"</definedName>
    <definedName name="IQ_COMMON_EQUITY_5YR_ANN_GROWTH" hidden="1" function="0" vbProcedure="0">"c195"</definedName>
    <definedName name="IQ_COMMON_EQUITY_7YR_ANN_GROWTH" hidden="1" function="0" vbProcedure="0">"c196"</definedName>
    <definedName name="IQ_COMMON_ISSUED" hidden="1" function="0" vbProcedure="0">"c197"</definedName>
    <definedName name="IQ_COMMON_ISSUED_BNK" hidden="1" function="0" vbProcedure="0">"c198"</definedName>
    <definedName name="IQ_COMMON_ISSUED_BR" hidden="1" function="0" vbProcedure="0">"c199"</definedName>
    <definedName name="IQ_COMMON_ISSUED_FIN" hidden="1" function="0" vbProcedure="0">"c200"</definedName>
    <definedName name="IQ_COMMON_ISSUED_INS" hidden="1" function="0" vbProcedure="0">"c201"</definedName>
    <definedName name="IQ_COMMON_ISSUED_REIT" hidden="1" function="0" vbProcedure="0">"c202"</definedName>
    <definedName name="IQ_COMMON_ISSUED_UTI" hidden="1" function="0" vbProcedure="0">"c203"</definedName>
    <definedName name="IQ_COMMON_PER_ADR" hidden="1" function="0" vbProcedure="0">"c204"</definedName>
    <definedName name="IQ_COMMON_PREF_DIV_CF" hidden="1" function="0" vbProcedure="0">"c205"</definedName>
    <definedName name="IQ_COMMON_REP" hidden="1" function="0" vbProcedure="0">"c206"</definedName>
    <definedName name="IQ_COMMON_REP_BNK" hidden="1" function="0" vbProcedure="0">"c207"</definedName>
    <definedName name="IQ_COMMON_REP_BR" hidden="1" function="0" vbProcedure="0">"c208"</definedName>
    <definedName name="IQ_COMMON_REP_FIN" hidden="1" function="0" vbProcedure="0">"c209"</definedName>
    <definedName name="IQ_COMMON_REP_INS" hidden="1" function="0" vbProcedure="0">"c210"</definedName>
    <definedName name="IQ_COMMON_REP_REIT" hidden="1" function="0" vbProcedure="0">"c211"</definedName>
    <definedName name="IQ_COMMON_REP_UTI" hidden="1" function="0" vbProcedure="0">"c212"</definedName>
    <definedName name="IQ_COMMON_STOCK" hidden="1" function="0" vbProcedure="0">"c1358"</definedName>
    <definedName name="IQ_COMPANY_ADDRESS" hidden="1" function="0" vbProcedure="0">"c214"</definedName>
    <definedName name="IQ_COMPANY_NAME" hidden="1" function="0" vbProcedure="0">"c215"</definedName>
    <definedName name="IQ_COMPANY_NAME_LONG" hidden="1" function="0" vbProcedure="0">"c1585"</definedName>
    <definedName name="IQ_COMPANY_PHONE" hidden="1" function="0" vbProcedure="0">"c216"</definedName>
    <definedName name="IQ_COMPANY_STATUS" hidden="1" function="0" vbProcedure="0">"c2097"</definedName>
    <definedName name="IQ_COMPANY_STREET1" hidden="1" function="0" vbProcedure="0">"c217"</definedName>
    <definedName name="IQ_COMPANY_STREET2" hidden="1" function="0" vbProcedure="0">"c218"</definedName>
    <definedName name="IQ_COMPANY_TICKER" hidden="1" function="0" vbProcedure="0">"c219"</definedName>
    <definedName name="IQ_COMPANY_TYPE" hidden="1" function="0" vbProcedure="0">"c2096"</definedName>
    <definedName name="IQ_COMPANY_WEBSITE" hidden="1" function="0" vbProcedure="0">"c220"</definedName>
    <definedName name="IQ_COMPANY_ZIP" hidden="1" function="0" vbProcedure="0">"c221"</definedName>
    <definedName name="IQ_COMP_BENEFITS" hidden="1" function="0" vbProcedure="0">"c213"</definedName>
    <definedName name="IQ_CONSTRUCTION_LOANS" hidden="1" function="0" vbProcedure="0">"c222"</definedName>
    <definedName name="IQ_CONSUMER_LOANS" hidden="1" function="0" vbProcedure="0">"c223"</definedName>
    <definedName name="IQ_COST_BORROWINGS" hidden="1" function="0" vbProcedure="0">"c225"</definedName>
    <definedName name="IQ_COST_REV" hidden="1" function="0" vbProcedure="0">"c226"</definedName>
    <definedName name="IQ_COST_REVENUE" hidden="1" function="0" vbProcedure="0">"c1359"</definedName>
    <definedName name="IQ_COST_SAVINGS" hidden="1" function="0" vbProcedure="0">"c227"</definedName>
    <definedName name="IQ_COST_SERVICE" hidden="1" function="0" vbProcedure="0">"c228"</definedName>
    <definedName name="IQ_COST_TOTAL_BORROWINGS" hidden="1" function="0" vbProcedure="0">"c229"</definedName>
    <definedName name="IQ_COUNTRY_NAME" hidden="1" function="0" vbProcedure="0">"c230"</definedName>
    <definedName name="IQ_COVERED_POPS" hidden="1" function="0" vbProcedure="0">"c2124"</definedName>
    <definedName name="IQ_CQ" hidden="1" function="0" vbProcedure="0">5000</definedName>
    <definedName name="IQ_CREDIT_CARD_FEE_BNK" hidden="1" function="0" vbProcedure="0">"c231"</definedName>
    <definedName name="IQ_CREDIT_CARD_FEE_FIN" hidden="1" function="0" vbProcedure="0">"c1583"</definedName>
    <definedName name="IQ_CREDIT_LOSS_CF" hidden="1" function="0" vbProcedure="0">"c232"</definedName>
    <definedName name="IQ_CUMULATIVE_SPLIT_FACTOR" hidden="1" function="0" vbProcedure="0">"c2094"</definedName>
    <definedName name="IQ_CURRENCY_FACTOR_BS" hidden="1" function="0" vbProcedure="0">"c233"</definedName>
    <definedName name="IQ_CURRENCY_FACTOR_IS" hidden="1" function="0" vbProcedure="0">"c234"</definedName>
    <definedName name="IQ_CURRENCY_GAIN" hidden="1" function="0" vbProcedure="0">"c235"</definedName>
    <definedName name="IQ_CURRENCY_GAIN_BR" hidden="1" function="0" vbProcedure="0">"c236"</definedName>
    <definedName name="IQ_CURRENCY_GAIN_FIN" hidden="1" function="0" vbProcedure="0">"c237"</definedName>
    <definedName name="IQ_CURRENCY_GAIN_INS" hidden="1" function="0" vbProcedure="0">"c238"</definedName>
    <definedName name="IQ_CURRENCY_GAIN_REIT" hidden="1" function="0" vbProcedure="0">"c239"</definedName>
    <definedName name="IQ_CURRENCY_GAIN_UTI" hidden="1" function="0" vbProcedure="0">"c240"</definedName>
    <definedName name="IQ_CURRENT_PORT" hidden="1" function="0" vbProcedure="0">"c241"</definedName>
    <definedName name="IQ_CURRENT_PORT_BNK" hidden="1" function="0" vbProcedure="0">"c242"</definedName>
    <definedName name="IQ_CURRENT_PORT_DEBT" hidden="1" function="0" vbProcedure="0">"c243"</definedName>
    <definedName name="IQ_CURRENT_PORT_DEBT_BNK" hidden="1" function="0" vbProcedure="0">"c244"</definedName>
    <definedName name="IQ_CURRENT_PORT_DEBT_BR" hidden="1" function="0" vbProcedure="0">"c1567"</definedName>
    <definedName name="IQ_CURRENT_PORT_DEBT_FIN" hidden="1" function="0" vbProcedure="0">"c1568"</definedName>
    <definedName name="IQ_CURRENT_PORT_DEBT_INS" hidden="1" function="0" vbProcedure="0">"c1569"</definedName>
    <definedName name="IQ_CURRENT_PORT_DEBT_REIT" hidden="1" function="0" vbProcedure="0">"c1570"</definedName>
    <definedName name="IQ_CURRENT_PORT_DEBT_UTI" hidden="1" function="0" vbProcedure="0">"c1571"</definedName>
    <definedName name="IQ_CURRENT_PORT_LEASES" hidden="1" function="0" vbProcedure="0">"c245"</definedName>
    <definedName name="IQ_CURRENT_RATIO" hidden="1" function="0" vbProcedure="0">"c246"</definedName>
    <definedName name="IQ_CURR_DOMESTIC_TAXES" hidden="1" function="0" vbProcedure="0">"c2074"</definedName>
    <definedName name="IQ_CURR_FOREIGN_TAXES" hidden="1" function="0" vbProcedure="0">"c2075"</definedName>
    <definedName name="IQ_CY" hidden="1" function="0" vbProcedure="0">10000</definedName>
    <definedName name="IQ_DA" hidden="1" function="0" vbProcedure="0">"c247"</definedName>
    <definedName name="IQ_DAYS_COVER_SHORT" hidden="1" function="0" vbProcedure="0">"c1578"</definedName>
    <definedName name="IQ_DAYS_INVENTORY_OUT" hidden="1" function="0" vbProcedure="0">"c273"</definedName>
    <definedName name="IQ_DAYS_PAYABLE_OUT" hidden="1" function="0" vbProcedure="0">"c274"</definedName>
    <definedName name="IQ_DAYS_PAY_OUTST" hidden="1" function="0" vbProcedure="0">"c1362"</definedName>
    <definedName name="IQ_DAYS_SALES_OUT" hidden="1" function="0" vbProcedure="0">"c275"</definedName>
    <definedName name="IQ_DAYS_SALES_OUTST" hidden="1" function="0" vbProcedure="0">"c1363"</definedName>
    <definedName name="IQ_DA_BR" hidden="1" function="0" vbProcedure="0">"c248"</definedName>
    <definedName name="IQ_DA_CF" hidden="1" function="0" vbProcedure="0">"c249"</definedName>
    <definedName name="IQ_DA_CF_BNK" hidden="1" function="0" vbProcedure="0">"c250"</definedName>
    <definedName name="IQ_DA_CF_BR" hidden="1" function="0" vbProcedure="0">"c251"</definedName>
    <definedName name="IQ_DA_CF_FIN" hidden="1" function="0" vbProcedure="0">"c252"</definedName>
    <definedName name="IQ_DA_CF_INS" hidden="1" function="0" vbProcedure="0">"c253"</definedName>
    <definedName name="IQ_DA_CF_REIT" hidden="1" function="0" vbProcedure="0">"c254"</definedName>
    <definedName name="IQ_DA_CF_UTI" hidden="1" function="0" vbProcedure="0">"c255"</definedName>
    <definedName name="IQ_DA_FIN" hidden="1" function="0" vbProcedure="0">"c256"</definedName>
    <definedName name="IQ_DA_INS" hidden="1" function="0" vbProcedure="0">"c257"</definedName>
    <definedName name="IQ_DA_REIT" hidden="1" function="0" vbProcedure="0">"c258"</definedName>
    <definedName name="IQ_DA_SUPPL" hidden="1" function="0" vbProcedure="0">"c259"</definedName>
    <definedName name="IQ_DA_SUPPL_BR" hidden="1" function="0" vbProcedure="0">"c260"</definedName>
    <definedName name="IQ_DA_SUPPL_CF" hidden="1" function="0" vbProcedure="0">"c261"</definedName>
    <definedName name="IQ_DA_SUPPL_CF_BNK" hidden="1" function="0" vbProcedure="0">"c262"</definedName>
    <definedName name="IQ_DA_SUPPL_CF_BR" hidden="1" function="0" vbProcedure="0">"c263"</definedName>
    <definedName name="IQ_DA_SUPPL_CF_FIN" hidden="1" function="0" vbProcedure="0">"c264"</definedName>
    <definedName name="IQ_DA_SUPPL_CF_INS" hidden="1" function="0" vbProcedure="0">"c265"</definedName>
    <definedName name="IQ_DA_SUPPL_CF_REIT" hidden="1" function="0" vbProcedure="0">"c266"</definedName>
    <definedName name="IQ_DA_SUPPL_CF_UTI" hidden="1" function="0" vbProcedure="0">"c267"</definedName>
    <definedName name="IQ_DA_SUPPL_FIN" hidden="1" function="0" vbProcedure="0">"c268"</definedName>
    <definedName name="IQ_DA_SUPPL_INS" hidden="1" function="0" vbProcedure="0">"c269"</definedName>
    <definedName name="IQ_DA_SUPPL_REIT" hidden="1" function="0" vbProcedure="0">"c270"</definedName>
    <definedName name="IQ_DA_SUPPL_UTI" hidden="1" function="0" vbProcedure="0">"c271"</definedName>
    <definedName name="IQ_DA_UTI" hidden="1" function="0" vbProcedure="0">"c272"</definedName>
    <definedName name="IQ_DEFERRED_DOMESTIC_TAXES" hidden="1" function="0" vbProcedure="0">"c2077"</definedName>
    <definedName name="IQ_DEFERRED_FOREIGN_TAXES" hidden="1" function="0" vbProcedure="0">"c2078"</definedName>
    <definedName name="IQ_DEFERRED_INC_TAX" hidden="1" function="0" vbProcedure="0">"c1447"</definedName>
    <definedName name="IQ_DEFERRED_TAXES" hidden="1" function="0" vbProcedure="0">"c1356"</definedName>
    <definedName name="IQ_DEF_ACQ_CST" hidden="1" function="0" vbProcedure="0">"c1364"</definedName>
    <definedName name="IQ_DEF_AMORT" hidden="1" function="0" vbProcedure="0">"c276"</definedName>
    <definedName name="IQ_DEF_AMORT_BNK" hidden="1" function="0" vbProcedure="0">"c277"</definedName>
    <definedName name="IQ_DEF_AMORT_BR" hidden="1" function="0" vbProcedure="0">"c278"</definedName>
    <definedName name="IQ_DEF_AMORT_FIN" hidden="1" function="0" vbProcedure="0">"c279"</definedName>
    <definedName name="IQ_DEF_AMORT_INS" hidden="1" function="0" vbProcedure="0">"c280"</definedName>
    <definedName name="IQ_DEF_AMORT_REIT" hidden="1" function="0" vbProcedure="0">"c281"</definedName>
    <definedName name="IQ_DEF_AMORT_UTI" hidden="1" function="0" vbProcedure="0">"c282"</definedName>
    <definedName name="IQ_DEF_BENEFIT_INTEREST_COST" hidden="1" function="0" vbProcedure="0">"c283"</definedName>
    <definedName name="IQ_DEF_BENEFIT_OTHER_COST" hidden="1" function="0" vbProcedure="0">"c284"</definedName>
    <definedName name="IQ_DEF_BENEFIT_ROA" hidden="1" function="0" vbProcedure="0">"c285"</definedName>
    <definedName name="IQ_DEF_BENEFIT_SERVICE_COST" hidden="1" function="0" vbProcedure="0">"c286"</definedName>
    <definedName name="IQ_DEF_BENEFIT_TOTAL_COST" hidden="1" function="0" vbProcedure="0">"c287"</definedName>
    <definedName name="IQ_DEF_CHARGES_BR" hidden="1" function="0" vbProcedure="0">"c288"</definedName>
    <definedName name="IQ_DEF_CHARGES_CF" hidden="1" function="0" vbProcedure="0">"c289"</definedName>
    <definedName name="IQ_DEF_CHARGES_FIN" hidden="1" function="0" vbProcedure="0">"c290"</definedName>
    <definedName name="IQ_DEF_CHARGES_INS" hidden="1" function="0" vbProcedure="0">"c291"</definedName>
    <definedName name="IQ_DEF_CHARGES_LT" hidden="1" function="0" vbProcedure="0">"c292"</definedName>
    <definedName name="IQ_DEF_CHARGES_LT_BNK" hidden="1" function="0" vbProcedure="0">"c293"</definedName>
    <definedName name="IQ_DEF_CHARGES_LT_BR" hidden="1" function="0" vbProcedure="0">"c294"</definedName>
    <definedName name="IQ_DEF_CHARGES_LT_FIN" hidden="1" function="0" vbProcedure="0">"c295"</definedName>
    <definedName name="IQ_DEF_CHARGES_LT_INS" hidden="1" function="0" vbProcedure="0">"c296"</definedName>
    <definedName name="IQ_DEF_CHARGES_LT_REIT" hidden="1" function="0" vbProcedure="0">"c297"</definedName>
    <definedName name="IQ_DEF_CHARGES_LT_UTI" hidden="1" function="0" vbProcedure="0">"c298"</definedName>
    <definedName name="IQ_DEF_CHARGES_REIT" hidden="1" function="0" vbProcedure="0">"c299"</definedName>
    <definedName name="IQ_DEF_CONTRIBUTION_TOTAL_COST" hidden="1" function="0" vbProcedure="0">"c300"</definedName>
    <definedName name="IQ_DEF_INC_TAX" hidden="1" function="0" vbProcedure="0">"c1365"</definedName>
    <definedName name="IQ_DEF_POLICY_ACQ_COSTS" hidden="1" function="0" vbProcedure="0">"c301"</definedName>
    <definedName name="IQ_DEF_POLICY_ACQ_COSTS_CF" hidden="1" function="0" vbProcedure="0">"c302"</definedName>
    <definedName name="IQ_DEF_POLICY_AMORT" hidden="1" function="0" vbProcedure="0">"c303"</definedName>
    <definedName name="IQ_DEF_TAX_ASSETS_CURRENT" hidden="1" function="0" vbProcedure="0">"c309"</definedName>
    <definedName name="IQ_DEF_TAX_ASSETS_LT" hidden="1" function="0" vbProcedure="0">"c310"</definedName>
    <definedName name="IQ_DEF_TAX_ASSETS_LT_BNK" hidden="1" function="0" vbProcedure="0">"c311"</definedName>
    <definedName name="IQ_DEF_TAX_ASSET_LT_BR" hidden="1" function="0" vbProcedure="0">"c304"</definedName>
    <definedName name="IQ_DEF_TAX_ASSET_LT_FIN" hidden="1" function="0" vbProcedure="0">"c305"</definedName>
    <definedName name="IQ_DEF_TAX_ASSET_LT_INS" hidden="1" function="0" vbProcedure="0">"c306"</definedName>
    <definedName name="IQ_DEF_TAX_ASSET_LT_REIT" hidden="1" function="0" vbProcedure="0">"c307"</definedName>
    <definedName name="IQ_DEF_TAX_ASSET_LT_UTI" hidden="1" function="0" vbProcedure="0">"c308"</definedName>
    <definedName name="IQ_DEF_TAX_LIAB_CURRENT" hidden="1" function="0" vbProcedure="0">"c312"</definedName>
    <definedName name="IQ_DEF_TAX_LIAB_LT" hidden="1" function="0" vbProcedure="0">"c313"</definedName>
    <definedName name="IQ_DEF_TAX_LIAB_LT_BNK" hidden="1" function="0" vbProcedure="0">"c314"</definedName>
    <definedName name="IQ_DEF_TAX_LIAB_LT_BR" hidden="1" function="0" vbProcedure="0">"c315"</definedName>
    <definedName name="IQ_DEF_TAX_LIAB_LT_FIN" hidden="1" function="0" vbProcedure="0">"c316"</definedName>
    <definedName name="IQ_DEF_TAX_LIAB_LT_INS" hidden="1" function="0" vbProcedure="0">"c317"</definedName>
    <definedName name="IQ_DEF_TAX_LIAB_LT_REIT" hidden="1" function="0" vbProcedure="0">"c318"</definedName>
    <definedName name="IQ_DEF_TAX_LIAB_LT_UTI" hidden="1" function="0" vbProcedure="0">"c319"</definedName>
    <definedName name="IQ_DEMAND_DEP" hidden="1" function="0" vbProcedure="0">"c320"</definedName>
    <definedName name="IQ_DEPOSITS_FIN" hidden="1" function="0" vbProcedure="0">"c321"</definedName>
    <definedName name="IQ_DEPRE_AMORT" hidden="1" function="0" vbProcedure="0">"c1360"</definedName>
    <definedName name="IQ_DEPRE_AMORT_SUPPL" hidden="1" function="0" vbProcedure="0">"c1593"</definedName>
    <definedName name="IQ_DEPRE_DEPLE" hidden="1" function="0" vbProcedure="0">"c1361"</definedName>
    <definedName name="IQ_DEPRE_SUPP" hidden="1" function="0" vbProcedure="0">"c1443"</definedName>
    <definedName name="IQ_DESCRIPTION_LONG" hidden="1" function="0" vbProcedure="0">"c1520"</definedName>
    <definedName name="IQ_DEVELOP_LAND" hidden="1" function="0" vbProcedure="0">"c323"</definedName>
    <definedName name="IQ_DIFF_LASTCLOSE_TARGET_PRICE" hidden="1" function="0" vbProcedure="0">"c1854"</definedName>
    <definedName name="IQ_DILUT_ADJUST" hidden="1" function="0" vbProcedure="0">"c1621"</definedName>
    <definedName name="IQ_DILUT_EPS_EXCL" hidden="1" function="0" vbProcedure="0">"c324"</definedName>
    <definedName name="IQ_DILUT_EPS_INCL" hidden="1" function="0" vbProcedure="0">"c325"</definedName>
    <definedName name="IQ_DILUT_EPS_NORM" hidden="1" function="0" vbProcedure="0">"c1903"</definedName>
    <definedName name="IQ_DILUT_NI" hidden="1" function="0" vbProcedure="0">"c2079"</definedName>
    <definedName name="IQ_DILUT_NORMAL_EPS" hidden="1" function="0" vbProcedure="0">"c1594"</definedName>
    <definedName name="IQ_DILUT_WEIGHT" hidden="1" function="0" vbProcedure="0">"c326"</definedName>
    <definedName name="IQ_DISCONT_OPER" hidden="1" function="0" vbProcedure="0">"c1367"</definedName>
    <definedName name="IQ_DISCOUNT_RATE_PENSION_DOMESTIC" hidden="1" function="0" vbProcedure="0">"c327"</definedName>
    <definedName name="IQ_DISCOUNT_RATE_PENSION_FOREIGN" hidden="1" function="0" vbProcedure="0">"c328"</definedName>
    <definedName name="IQ_DISTR_EXCESS_EARN" hidden="1" function="0" vbProcedure="0">"c329"</definedName>
    <definedName name="IQ_DIVEST_CF" hidden="1" function="0" vbProcedure="0">"c331"</definedName>
    <definedName name="IQ_DIVIDEND_YIELD" hidden="1" function="0" vbProcedure="0">"c332"</definedName>
    <definedName name="IQ_DIVID_SHARE" hidden="1" function="0" vbProcedure="0">"c1366"</definedName>
    <definedName name="IQ_DIV_PAYMENT_DATE" hidden="1" function="0" vbProcedure="0">"c2106"</definedName>
    <definedName name="IQ_DIV_RECORD_DATE" hidden="1" function="0" vbProcedure="0">"c2105"</definedName>
    <definedName name="IQ_DIV_SHARE" hidden="1" function="0" vbProcedure="0">"c330"</definedName>
    <definedName name="IQ_DO" hidden="1" function="0" vbProcedure="0">"c333"</definedName>
    <definedName name="IQ_DO_ASSETS_CURRENT" hidden="1" function="0" vbProcedure="0">"c334"</definedName>
    <definedName name="IQ_DO_ASSETS_LT" hidden="1" function="0" vbProcedure="0">"c335"</definedName>
    <definedName name="IQ_DO_CF" hidden="1" function="0" vbProcedure="0">"c336"</definedName>
    <definedName name="IQ_DPS_10YR_ANN_GROWTH" hidden="1" function="0" vbProcedure="0">"c337"</definedName>
    <definedName name="IQ_DPS_1YR_ANN_GROWTH" hidden="1" function="0" vbProcedure="0">"c338"</definedName>
    <definedName name="IQ_DPS_2YR_ANN_GROWTH" hidden="1" function="0" vbProcedure="0">"c339"</definedName>
    <definedName name="IQ_DPS_3YR_ANN_GROWTH" hidden="1" function="0" vbProcedure="0">"c340"</definedName>
    <definedName name="IQ_DPS_5YR_ANN_GROWTH" hidden="1" function="0" vbProcedure="0">"c341"</definedName>
    <definedName name="IQ_DPS_7YR_ANN_GROWTH" hidden="1" function="0" vbProcedure="0">"c342"</definedName>
    <definedName name="IQ_EARNINGS_ANNOUNCE_DATE" hidden="1" function="0" vbProcedure="0">"c1649"</definedName>
    <definedName name="IQ_EARNING_ASSET_YIELD" hidden="1" function="0" vbProcedure="0">"c343"</definedName>
    <definedName name="IQ_EARNING_CO" hidden="1" function="0" vbProcedure="0">"c344"</definedName>
    <definedName name="IQ_EARNING_CO_10YR_ANN_GROWTH" hidden="1" function="0" vbProcedure="0">"c345"</definedName>
    <definedName name="IQ_EARNING_CO_1YR_ANN_GROWTH" hidden="1" function="0" vbProcedure="0">"c346"</definedName>
    <definedName name="IQ_EARNING_CO_2YR_ANN_GROWTH" hidden="1" function="0" vbProcedure="0">"c347"</definedName>
    <definedName name="IQ_EARNING_CO_3YR_ANN_GROWTH" hidden="1" function="0" vbProcedure="0">"c348"</definedName>
    <definedName name="IQ_EARNING_CO_5YR_ANN_GROWTH" hidden="1" function="0" vbProcedure="0">"c349"</definedName>
    <definedName name="IQ_EARNING_CO_7YR_ANN_GROWTH" hidden="1" function="0" vbProcedure="0">"c350"</definedName>
    <definedName name="IQ_EARNING_CO_MARGIN" hidden="1" function="0" vbProcedure="0">"c351"</definedName>
    <definedName name="IQ_EBIT" hidden="1" function="0" vbProcedure="0">"c352"</definedName>
    <definedName name="IQ_EBITA" hidden="1" function="0" vbProcedure="0">"c1910"</definedName>
    <definedName name="IQ_EBITA_10YR_ANN_GROWTH" hidden="1" function="0" vbProcedure="0">"c1954"</definedName>
    <definedName name="IQ_EBITA_1YR_ANN_GROWTH" hidden="1" function="0" vbProcedure="0">"c1949"</definedName>
    <definedName name="IQ_EBITA_2YR_ANN_GROWTH" hidden="1" function="0" vbProcedure="0">"c1950"</definedName>
    <definedName name="IQ_EBITA_3YR_ANN_GROWTH" hidden="1" function="0" vbProcedure="0">"c1951"</definedName>
    <definedName name="IQ_EBITA_5YR_ANN_GROWTH" hidden="1" function="0" vbProcedure="0">"c1952"</definedName>
    <definedName name="IQ_EBITA_7YR_ANN_GROWTH" hidden="1" function="0" vbProcedure="0">"c1953"</definedName>
    <definedName name="IQ_EBITA_MARGIN" hidden="1" function="0" vbProcedure="0">"c1963"</definedName>
    <definedName name="IQ_EBITDA" hidden="1" function="0" vbProcedure="0">"c361"</definedName>
    <definedName name="IQ_EBITDA_10YR_ANN_GROWTH" hidden="1" function="0" vbProcedure="0">"c362"</definedName>
    <definedName name="IQ_EBITDA_1YR_ANN_GROWTH" hidden="1" function="0" vbProcedure="0">"c363"</definedName>
    <definedName name="IQ_EBITDA_2YR_ANN_GROWTH" hidden="1" function="0" vbProcedure="0">"c364"</definedName>
    <definedName name="IQ_EBITDA_3YR_ANN_GROWTH" hidden="1" function="0" vbProcedure="0">"c365"</definedName>
    <definedName name="IQ_EBITDA_5YR_ANN_GROWTH" hidden="1" function="0" vbProcedure="0">"c366"</definedName>
    <definedName name="IQ_EBITDA_7YR_ANN_GROWTH" hidden="1" function="0" vbProcedure="0">"c367"</definedName>
    <definedName name="IQ_EBITDA_CAPEX_INT" hidden="1" function="0" vbProcedure="0">"c368"</definedName>
    <definedName name="IQ_EBITDA_CAPEX_OVER_TOTAL_IE" hidden="1" function="0" vbProcedure="0">"c1370"</definedName>
    <definedName name="IQ_EBITDA_INT" hidden="1" function="0" vbProcedure="0">"c373"</definedName>
    <definedName name="IQ_EBITDA_MARGIN" hidden="1" function="0" vbProcedure="0">"c372"</definedName>
    <definedName name="IQ_EBITDA_OVER_TOTAL_IE" hidden="1" function="0" vbProcedure="0">"c1371"</definedName>
    <definedName name="IQ_EBIT_10YR_ANN_GROWTH" hidden="1" function="0" vbProcedure="0">"c353"</definedName>
    <definedName name="IQ_EBIT_1YR_ANN_GROWTH" hidden="1" function="0" vbProcedure="0">"c354"</definedName>
    <definedName name="IQ_EBIT_2YR_ANN_GROWTH" hidden="1" function="0" vbProcedure="0">"c355"</definedName>
    <definedName name="IQ_EBIT_3YR_ANN_GROWTH" hidden="1" function="0" vbProcedure="0">"c356"</definedName>
    <definedName name="IQ_EBIT_5YR_ANN_GROWTH" hidden="1" function="0" vbProcedure="0">"c357"</definedName>
    <definedName name="IQ_EBIT_7YR_ANN_GROWTH" hidden="1" function="0" vbProcedure="0">"c358"</definedName>
    <definedName name="IQ_EBIT_INT" hidden="1" function="0" vbProcedure="0">"c360"</definedName>
    <definedName name="IQ_EBIT_MARGIN" hidden="1" function="0" vbProcedure="0">"c359"</definedName>
    <definedName name="IQ_EBIT_OVER_IE" hidden="1" function="0" vbProcedure="0">"c1369"</definedName>
    <definedName name="IQ_EBT" hidden="1" function="0" vbProcedure="0">"c376"</definedName>
    <definedName name="IQ_EBT_BNK" hidden="1" function="0" vbProcedure="0">"c377"</definedName>
    <definedName name="IQ_EBT_BR" hidden="1" function="0" vbProcedure="0">"c378"</definedName>
    <definedName name="IQ_EBT_EXCL" hidden="1" function="0" vbProcedure="0">"c379"</definedName>
    <definedName name="IQ_EBT_EXCL_BNK" hidden="1" function="0" vbProcedure="0">"c380"</definedName>
    <definedName name="IQ_EBT_EXCL_BR" hidden="1" function="0" vbProcedure="0">"c381"</definedName>
    <definedName name="IQ_EBT_EXCL_FIN" hidden="1" function="0" vbProcedure="0">"c382"</definedName>
    <definedName name="IQ_EBT_EXCL_INS" hidden="1" function="0" vbProcedure="0">"c383"</definedName>
    <definedName name="IQ_EBT_EXCL_MARGIN" hidden="1" function="0" vbProcedure="0">"c1462"</definedName>
    <definedName name="IQ_EBT_EXCL_REIT" hidden="1" function="0" vbProcedure="0">"c384"</definedName>
    <definedName name="IQ_EBT_EXCL_UTI" hidden="1" function="0" vbProcedure="0">"c385"</definedName>
    <definedName name="IQ_EBT_FIN" hidden="1" function="0" vbProcedure="0">"c386"</definedName>
    <definedName name="IQ_EBT_INCL_MARGIN" hidden="1" function="0" vbProcedure="0">"c387"</definedName>
    <definedName name="IQ_EBT_INS" hidden="1" function="0" vbProcedure="0">"c388"</definedName>
    <definedName name="IQ_EBT_REIT" hidden="1" function="0" vbProcedure="0">"c389"</definedName>
    <definedName name="IQ_EBT_UTI" hidden="1" function="0" vbProcedure="0">"c390"</definedName>
    <definedName name="IQ_EFFECT_SPECIAL_CHARGE" hidden="1" function="0" vbProcedure="0">"c1595"</definedName>
    <definedName name="IQ_EFFECT_TAX_RATE" hidden="1" function="0" vbProcedure="0">"c1899"</definedName>
    <definedName name="IQ_EFFICIENCY_RATIO" hidden="1" function="0" vbProcedure="0">"c391"</definedName>
    <definedName name="IQ_EMPLOYEES" hidden="1" function="0" vbProcedure="0">"c392"</definedName>
    <definedName name="IQ_ENTERPRISE_VALUE" hidden="1" function="0" vbProcedure="0">"c1348"</definedName>
    <definedName name="IQ_EPS_10YR_ANN_GROWTH" hidden="1" function="0" vbProcedure="0">"c393"</definedName>
    <definedName name="IQ_EPS_1YR_ANN_GROWTH" hidden="1" function="0" vbProcedure="0">"c394"</definedName>
    <definedName name="IQ_EPS_2YR_ANN_GROWTH" hidden="1" function="0" vbProcedure="0">"c395"</definedName>
    <definedName name="IQ_EPS_3YR_ANN_GROWTH" hidden="1" function="0" vbProcedure="0">"c396"</definedName>
    <definedName name="IQ_EPS_5YR_ANN_GROWTH" hidden="1" function="0" vbProcedure="0">"c397"</definedName>
    <definedName name="IQ_EPS_7YR_ANN_GROWTH" hidden="1" function="0" vbProcedure="0">"c398"</definedName>
    <definedName name="IQ_EPS_EST" hidden="1" function="0" vbProcedure="0">"c399"</definedName>
    <definedName name="IQ_EPS_HIGH_EST" hidden="1" function="0" vbProcedure="0">"c400"</definedName>
    <definedName name="IQ_EPS_LOW_EST" hidden="1" function="0" vbProcedure="0">"c401"</definedName>
    <definedName name="IQ_EPS_MEDIAN_EST" hidden="1" function="0" vbProcedure="0">"c1661"</definedName>
    <definedName name="IQ_EPS_NORM" hidden="1" function="0" vbProcedure="0">"c1902"</definedName>
    <definedName name="IQ_EPS_NUM_EST" hidden="1" function="0" vbProcedure="0">"c402"</definedName>
    <definedName name="IQ_EPS_STDDEV_EST" hidden="1" function="0" vbProcedure="0">"c403"</definedName>
    <definedName name="IQ_EQUITY_AFFIL" hidden="1" function="0" vbProcedure="0">"c1451"</definedName>
    <definedName name="IQ_EQUITY_METHOD" hidden="1" function="0" vbProcedure="0">"c404"</definedName>
    <definedName name="IQ_EQV_OVER_BV" hidden="1" function="0" vbProcedure="0">"c1596"</definedName>
    <definedName name="IQ_EQV_OVER_LTM_PRETAX_INC" hidden="1" function="0" vbProcedure="0">"c1390"</definedName>
    <definedName name="IQ_ESOP_DEBT" hidden="1" function="0" vbProcedure="0">"c1597"</definedName>
    <definedName name="IQ_EST_ACT_EPS" hidden="1" function="0" vbProcedure="0">"c1648"</definedName>
    <definedName name="IQ_EST_CURRENCY" hidden="1" function="0" vbProcedure="0">"c2140"</definedName>
    <definedName name="IQ_EST_DATE" hidden="1" function="0" vbProcedure="0">"c1634"</definedName>
    <definedName name="IQ_EST_EPS_DIFF" hidden="1" function="0" vbProcedure="0">"c1864"</definedName>
    <definedName name="IQ_EST_EPS_GROWTH_1YR" hidden="1" function="0" vbProcedure="0">"c1636"</definedName>
    <definedName name="IQ_EST_EPS_GROWTH_5YR" hidden="1" function="0" vbProcedure="0">"c1655"</definedName>
    <definedName name="IQ_EST_EPS_GROWTH_5YR_HIGH" hidden="1" function="0" vbProcedure="0">"c1657"</definedName>
    <definedName name="IQ_EST_EPS_GROWTH_5YR_LOW" hidden="1" function="0" vbProcedure="0">"c1658"</definedName>
    <definedName name="IQ_EST_EPS_GROWTH_5YR_MEDIAN" hidden="1" function="0" vbProcedure="0">"c1656"</definedName>
    <definedName name="IQ_EST_EPS_GROWTH_5YR_NUM" hidden="1" function="0" vbProcedure="0">"c1659"</definedName>
    <definedName name="IQ_EST_EPS_GROWTH_5YR_STDDEV" hidden="1" function="0" vbProcedure="0">"c1660"</definedName>
    <definedName name="IQ_EST_EPS_GROWTH_Q_1YR" hidden="1" function="0" vbProcedure="0">"c1641"</definedName>
    <definedName name="IQ_EV_OVER_EMPLOYEE" hidden="1" function="0" vbProcedure="0">"c1428"</definedName>
    <definedName name="IQ_EV_OVER_LTM_EBIT" hidden="1" function="0" vbProcedure="0">"c1426"</definedName>
    <definedName name="IQ_EV_OVER_LTM_EBITDA" hidden="1" function="0" vbProcedure="0">"c1427"</definedName>
    <definedName name="IQ_EV_OVER_LTM_REVENUE" hidden="1" function="0" vbProcedure="0">"c1429"</definedName>
    <definedName name="IQ_EXCHANGE" hidden="1" function="0" vbProcedure="0">"c405"</definedName>
    <definedName name="IQ_EXERCISED" hidden="1" function="0" vbProcedure="0">"c406"</definedName>
    <definedName name="IQ_EXERCISE_PRICE" hidden="1" function="0" vbProcedure="0">"c1897"</definedName>
    <definedName name="IQ_EXPLORE_DRILL" hidden="1" function="0" vbProcedure="0">"c409"</definedName>
    <definedName name="IQ_EXP_RETURN_PENSION_DOMESTIC" hidden="1" function="0" vbProcedure="0">"c407"</definedName>
    <definedName name="IQ_EXP_RETURN_PENSION_FOREIGN" hidden="1" function="0" vbProcedure="0">"c408"</definedName>
    <definedName name="IQ_EXTRA_ACC_ITEMS" hidden="1" function="0" vbProcedure="0">"c410"</definedName>
    <definedName name="IQ_EXTRA_ACC_ITEMS_BNK" hidden="1" function="0" vbProcedure="0">"c411"</definedName>
    <definedName name="IQ_EXTRA_ACC_ITEMS_BR" hidden="1" function="0" vbProcedure="0">"c412"</definedName>
    <definedName name="IQ_EXTRA_ACC_ITEMS_FIN" hidden="1" function="0" vbProcedure="0">"c413"</definedName>
    <definedName name="IQ_EXTRA_ACC_ITEMS_INS" hidden="1" function="0" vbProcedure="0">"c414"</definedName>
    <definedName name="IQ_EXTRA_ACC_ITEMS_REIT" hidden="1" function="0" vbProcedure="0">"c415"</definedName>
    <definedName name="IQ_EXTRA_ACC_ITEMS_UTI" hidden="1" function="0" vbProcedure="0">"c416"</definedName>
    <definedName name="IQ_EXTRA_ITEMS" hidden="1" function="0" vbProcedure="0">"c1459"</definedName>
    <definedName name="IQ_FDIC" hidden="1" function="0" vbProcedure="0">"c417"</definedName>
    <definedName name="IQ_FFO" hidden="1" function="0" vbProcedure="0">"c1574"</definedName>
    <definedName name="IQ_FHLB_DEBT" hidden="1" function="0" vbProcedure="0">"c423"</definedName>
    <definedName name="IQ_FHLB_DUE_CY" hidden="1" function="0" vbProcedure="0">"c2080"</definedName>
    <definedName name="IQ_FHLB_DUE_CY1" hidden="1" function="0" vbProcedure="0">"c2081"</definedName>
    <definedName name="IQ_FHLB_DUE_CY2" hidden="1" function="0" vbProcedure="0">"c2082"</definedName>
    <definedName name="IQ_FHLB_DUE_CY3" hidden="1" function="0" vbProcedure="0">"c2083"</definedName>
    <definedName name="IQ_FHLB_DUE_CY4" hidden="1" function="0" vbProcedure="0">"c2084"</definedName>
    <definedName name="IQ_FHLB_DUE_NEXT_FIVE" hidden="1" function="0" vbProcedure="0">"c2085"</definedName>
    <definedName name="IQ_FILINGDATE_BS" hidden="1" function="0" vbProcedure="0">"c424"</definedName>
    <definedName name="IQ_FILINGDATE_CF" hidden="1" function="0" vbProcedure="0">"c425"</definedName>
    <definedName name="IQ_FILINGDATE_IS" hidden="1" function="0" vbProcedure="0">"c426"</definedName>
    <definedName name="IQ_FILING_CURRENCY" hidden="1" function="0" vbProcedure="0">"c2129"</definedName>
    <definedName name="IQ_FINANCING_CASH" hidden="1" function="0" vbProcedure="0">"c1405"</definedName>
    <definedName name="IQ_FINANCING_CASH_SUPPL" hidden="1" function="0" vbProcedure="0">"c1406"</definedName>
    <definedName name="IQ_FINISHED_INV" hidden="1" function="0" vbProcedure="0">"c438"</definedName>
    <definedName name="IQ_FIN_DIV_ASSETS_CURRENT" hidden="1" function="0" vbProcedure="0">"c427"</definedName>
    <definedName name="IQ_FIN_DIV_ASSETS_LT" hidden="1" function="0" vbProcedure="0">"c428"</definedName>
    <definedName name="IQ_FIN_DIV_DEBT_CURRENT" hidden="1" function="0" vbProcedure="0">"c429"</definedName>
    <definedName name="IQ_FIN_DIV_DEBT_LT" hidden="1" function="0" vbProcedure="0">"c430"</definedName>
    <definedName name="IQ_FIN_DIV_EXP" hidden="1" function="0" vbProcedure="0">"c431"</definedName>
    <definedName name="IQ_FIN_DIV_INT_EXP" hidden="1" function="0" vbProcedure="0">"c432"</definedName>
    <definedName name="IQ_FIN_DIV_LIAB_CURRENT" hidden="1" function="0" vbProcedure="0">"c433"</definedName>
    <definedName name="IQ_FIN_DIV_LIAB_LT" hidden="1" function="0" vbProcedure="0">"c434"</definedName>
    <definedName name="IQ_FIN_DIV_LOANS_CURRENT" hidden="1" function="0" vbProcedure="0">"c435"</definedName>
    <definedName name="IQ_FIN_DIV_LOANS_LT" hidden="1" function="0" vbProcedure="0">"c436"</definedName>
    <definedName name="IQ_FIN_DIV_REV" hidden="1" function="0" vbProcedure="0">"c437"</definedName>
    <definedName name="IQ_FIRST_YEAR_LIFE" hidden="1" function="0" vbProcedure="0">"c439"</definedName>
    <definedName name="IQ_FISCAL_Q" hidden="1" function="0" vbProcedure="0">"c440"</definedName>
    <definedName name="IQ_FISCAL_Y" hidden="1" function="0" vbProcedure="0">"c441"</definedName>
    <definedName name="IQ_FIVEPERCENT_PERCENT" hidden="1" function="0" vbProcedure="0">"c443"</definedName>
    <definedName name="IQ_FIVEPERCENT_SHARES" hidden="1" function="0" vbProcedure="0">"c444"</definedName>
    <definedName name="IQ_FIVE_PERCENT_OWNER" hidden="1" function="0" vbProcedure="0">"c442"</definedName>
    <definedName name="IQ_FIXED_ASSET_TURNS" hidden="1" function="0" vbProcedure="0">"c445"</definedName>
    <definedName name="IQ_FLOAT_PERCENT" hidden="1" function="0" vbProcedure="0">"c1575"</definedName>
    <definedName name="IQ_FOREIGN_DEP_IB" hidden="1" function="0" vbProcedure="0">"c446"</definedName>
    <definedName name="IQ_FOREIGN_DEP_NON_IB" hidden="1" function="0" vbProcedure="0">"c447"</definedName>
    <definedName name="IQ_FOREIGN_EXCHANGE" hidden="1" function="0" vbProcedure="0">"c1376"</definedName>
    <definedName name="IQ_FOREIGN_LOANS" hidden="1" function="0" vbProcedure="0">"c448"</definedName>
    <definedName name="IQ_FQ" hidden="1" function="0" vbProcedure="0">500</definedName>
    <definedName name="IQ_FUEL" hidden="1" function="0" vbProcedure="0">"c449"</definedName>
    <definedName name="IQ_FULL_TIME" hidden="1" function="0" vbProcedure="0">"c450"</definedName>
    <definedName name="IQ_FWD_CY" hidden="1" function="0" vbProcedure="0">10001</definedName>
    <definedName name="IQ_FWD_CY1" hidden="1" function="0" vbProcedure="0">10002</definedName>
    <definedName name="IQ_FWD_CY2" hidden="1" function="0" vbProcedure="0">10003</definedName>
    <definedName name="IQ_FWD_FY" hidden="1" function="0" vbProcedure="0">1001</definedName>
    <definedName name="IQ_FWD_FY1" hidden="1" function="0" vbProcedure="0">1002</definedName>
    <definedName name="IQ_FWD_FY2" hidden="1" function="0" vbProcedure="0">1003</definedName>
    <definedName name="IQ_FWD_Q" hidden="1" function="0" vbProcedure="0">501</definedName>
    <definedName name="IQ_FWD_Q1" hidden="1" function="0" vbProcedure="0">502</definedName>
    <definedName name="IQ_FWD_Q2" hidden="1" function="0" vbProcedure="0">503</definedName>
    <definedName name="IQ_FX" hidden="1" function="0" vbProcedure="0">"c451"</definedName>
    <definedName name="IQ_FY" hidden="1" function="0" vbProcedure="0">1000</definedName>
    <definedName name="IQ_GAIN_ASSETS" hidden="1" function="0" vbProcedure="0">"c452"</definedName>
    <definedName name="IQ_GAIN_ASSETS_BNK" hidden="1" function="0" vbProcedure="0">"c453"</definedName>
    <definedName name="IQ_GAIN_ASSETS_BR" hidden="1" function="0" vbProcedure="0">"c454"</definedName>
    <definedName name="IQ_GAIN_ASSETS_CF" hidden="1" function="0" vbProcedure="0">"c455"</definedName>
    <definedName name="IQ_GAIN_ASSETS_CF_BNK" hidden="1" function="0" vbProcedure="0">"c456"</definedName>
    <definedName name="IQ_GAIN_ASSETS_CF_BR" hidden="1" function="0" vbProcedure="0">"c457"</definedName>
    <definedName name="IQ_GAIN_ASSETS_CF_FIN" hidden="1" function="0" vbProcedure="0">"c458"</definedName>
    <definedName name="IQ_GAIN_ASSETS_CF_INS" hidden="1" function="0" vbProcedure="0">"c459"</definedName>
    <definedName name="IQ_GAIN_ASSETS_CF_REIT" hidden="1" function="0" vbProcedure="0">"c460"</definedName>
    <definedName name="IQ_GAIN_ASSETS_CF_UTI" hidden="1" function="0" vbProcedure="0">"c461"</definedName>
    <definedName name="IQ_GAIN_ASSETS_FIN" hidden="1" function="0" vbProcedure="0">"c462"</definedName>
    <definedName name="IQ_GAIN_ASSETS_INS" hidden="1" function="0" vbProcedure="0">"c463"</definedName>
    <definedName name="IQ_GAIN_ASSETS_REIT" hidden="1" function="0" vbProcedure="0">"c471"</definedName>
    <definedName name="IQ_GAIN_ASSETS_REV" hidden="1" function="0" vbProcedure="0">"c472"</definedName>
    <definedName name="IQ_GAIN_ASSETS_REV_BNK" hidden="1" function="0" vbProcedure="0">"c473"</definedName>
    <definedName name="IQ_GAIN_ASSETS_REV_BR" hidden="1" function="0" vbProcedure="0">"c474"</definedName>
    <definedName name="IQ_GAIN_ASSETS_REV_FIN" hidden="1" function="0" vbProcedure="0">"c475"</definedName>
    <definedName name="IQ_GAIN_ASSETS_REV_INS" hidden="1" function="0" vbProcedure="0">"c476"</definedName>
    <definedName name="IQ_GAIN_ASSETS_REV_REIT" hidden="1" function="0" vbProcedure="0">"c477"</definedName>
    <definedName name="IQ_GAIN_ASSETS_REV_UTI" hidden="1" function="0" vbProcedure="0">"c478"</definedName>
    <definedName name="IQ_GAIN_ASSETS_UTI" hidden="1" function="0" vbProcedure="0">"c479"</definedName>
    <definedName name="IQ_GAIN_INVEST" hidden="1" function="0" vbProcedure="0">"c1463"</definedName>
    <definedName name="IQ_GAIN_INVEST_BNK" hidden="1" function="0" vbProcedure="0">"c1582"</definedName>
    <definedName name="IQ_GAIN_INVEST_BR" hidden="1" function="0" vbProcedure="0">"c1464"</definedName>
    <definedName name="IQ_GAIN_INVEST_CF" hidden="1" function="0" vbProcedure="0">"c480"</definedName>
    <definedName name="IQ_GAIN_INVEST_CF_BNK" hidden="1" function="0" vbProcedure="0">"c481"</definedName>
    <definedName name="IQ_GAIN_INVEST_CF_BR" hidden="1" function="0" vbProcedure="0">"c482"</definedName>
    <definedName name="IQ_GAIN_INVEST_CF_FIN" hidden="1" function="0" vbProcedure="0">"c483"</definedName>
    <definedName name="IQ_GAIN_INVEST_CF_INS" hidden="1" function="0" vbProcedure="0">"c484"</definedName>
    <definedName name="IQ_GAIN_INVEST_CF_REIT" hidden="1" function="0" vbProcedure="0">"c485"</definedName>
    <definedName name="IQ_GAIN_INVEST_CF_UTI" hidden="1" function="0" vbProcedure="0">"c486"</definedName>
    <definedName name="IQ_GAIN_INVEST_FIN" hidden="1" function="0" vbProcedure="0">"c1465"</definedName>
    <definedName name="IQ_GAIN_INVEST_INS" hidden="1" function="0" vbProcedure="0">"c1466"</definedName>
    <definedName name="IQ_GAIN_INVEST_REIT" hidden="1" function="0" vbProcedure="0">"c1467"</definedName>
    <definedName name="IQ_GAIN_INVEST_REV" hidden="1" function="0" vbProcedure="0">"c494"</definedName>
    <definedName name="IQ_GAIN_INVEST_REV_BNK" hidden="1" function="0" vbProcedure="0">"c495"</definedName>
    <definedName name="IQ_GAIN_INVEST_REV_BR" hidden="1" function="0" vbProcedure="0">"c496"</definedName>
    <definedName name="IQ_GAIN_INVEST_REV_FIN" hidden="1" function="0" vbProcedure="0">"c497"</definedName>
    <definedName name="IQ_GAIN_INVEST_REV_INS" hidden="1" function="0" vbProcedure="0">"c498"</definedName>
    <definedName name="IQ_GAIN_INVEST_REV_REIT" hidden="1" function="0" vbProcedure="0">"c499"</definedName>
    <definedName name="IQ_GAIN_INVEST_REV_UTI" hidden="1" function="0" vbProcedure="0">"c500"</definedName>
    <definedName name="IQ_GAIN_INVEST_UTI" hidden="1" function="0" vbProcedure="0">"c1468"</definedName>
    <definedName name="IQ_GAIN_LOANS_REC" hidden="1" function="0" vbProcedure="0">"c501"</definedName>
    <definedName name="IQ_GAIN_LOANS_RECEIV" hidden="1" function="0" vbProcedure="0">"c502"</definedName>
    <definedName name="IQ_GAIN_LOANS_RECEIV_REV_FIN" hidden="1" function="0" vbProcedure="0">"c503"</definedName>
    <definedName name="IQ_GAIN_LOANS_REV" hidden="1" function="0" vbProcedure="0">"c504"</definedName>
    <definedName name="IQ_GAIN_SALE_ASSETS" hidden="1" function="0" vbProcedure="0">"c1377"</definedName>
    <definedName name="IQ_GOODWILL_NET" hidden="1" function="0" vbProcedure="0">"c1380"</definedName>
    <definedName name="IQ_GP" hidden="1" function="0" vbProcedure="0">"c511"</definedName>
    <definedName name="IQ_GPPE" hidden="1" function="0" vbProcedure="0">"c518"</definedName>
    <definedName name="IQ_GP_10YR_ANN_GROWTH" hidden="1" function="0" vbProcedure="0">"c512"</definedName>
    <definedName name="IQ_GP_1YR_ANN_GROWTH" hidden="1" function="0" vbProcedure="0">"c513"</definedName>
    <definedName name="IQ_GP_2YR_ANN_GROWTH" hidden="1" function="0" vbProcedure="0">"c514"</definedName>
    <definedName name="IQ_GP_3YR_ANN_GROWTH" hidden="1" function="0" vbProcedure="0">"c515"</definedName>
    <definedName name="IQ_GP_5YR_ANN_GROWTH" hidden="1" function="0" vbProcedure="0">"c516"</definedName>
    <definedName name="IQ_GP_7YR_ANN_GROWTH" hidden="1" function="0" vbProcedure="0">"c517"</definedName>
    <definedName name="IQ_GROSS_DIVID" hidden="1" function="0" vbProcedure="0">"c1446"</definedName>
    <definedName name="IQ_GROSS_LOANS" hidden="1" function="0" vbProcedure="0">"c521"</definedName>
    <definedName name="IQ_GROSS_LOANS_10YR_ANN_GROWTH" hidden="1" function="0" vbProcedure="0">"c522"</definedName>
    <definedName name="IQ_GROSS_LOANS_1YR_ANN_GROWTH" hidden="1" function="0" vbProcedure="0">"c523"</definedName>
    <definedName name="IQ_GROSS_LOANS_2YR_ANN_GROWTH" hidden="1" function="0" vbProcedure="0">"c524"</definedName>
    <definedName name="IQ_GROSS_LOANS_3YR_ANN_GROWTH" hidden="1" function="0" vbProcedure="0">"c525"</definedName>
    <definedName name="IQ_GROSS_LOANS_5YR_ANN_GROWTH" hidden="1" function="0" vbProcedure="0">"c526"</definedName>
    <definedName name="IQ_GROSS_LOANS_7YR_ANN_GROWTH" hidden="1" function="0" vbProcedure="0">"c527"</definedName>
    <definedName name="IQ_GROSS_LOANS_TOTAL_DEPOSITS" hidden="1" function="0" vbProcedure="0">"c528"</definedName>
    <definedName name="IQ_GROSS_MARGIN" hidden="1" function="0" vbProcedure="0">"c529"</definedName>
    <definedName name="IQ_GROSS_PROFIT" hidden="1" function="0" vbProcedure="0">"c1378"</definedName>
    <definedName name="IQ_GW" hidden="1" function="0" vbProcedure="0">"c530"</definedName>
    <definedName name="IQ_GW_AMORT_BR" hidden="1" function="0" vbProcedure="0">"c532"</definedName>
    <definedName name="IQ_GW_AMORT_FIN" hidden="1" function="0" vbProcedure="0">"c540"</definedName>
    <definedName name="IQ_GW_AMORT_INS" hidden="1" function="0" vbProcedure="0">"c541"</definedName>
    <definedName name="IQ_GW_AMORT_REIT" hidden="1" function="0" vbProcedure="0">"c542"</definedName>
    <definedName name="IQ_GW_AMORT_UTI" hidden="1" function="0" vbProcedure="0">"c543"</definedName>
    <definedName name="IQ_GW_INTAN_AMORT" hidden="1" function="0" vbProcedure="0">"c1469"</definedName>
    <definedName name="IQ_GW_INTAN_AMORT_BNK" hidden="1" function="0" vbProcedure="0">"c544"</definedName>
    <definedName name="IQ_GW_INTAN_AMORT_BR" hidden="1" function="0" vbProcedure="0">"c1470"</definedName>
    <definedName name="IQ_GW_INTAN_AMORT_CF" hidden="1" function="0" vbProcedure="0">"c1471"</definedName>
    <definedName name="IQ_GW_INTAN_AMORT_CF_BNK" hidden="1" function="0" vbProcedure="0">"c1472"</definedName>
    <definedName name="IQ_GW_INTAN_AMORT_CF_BR" hidden="1" function="0" vbProcedure="0">"c1473"</definedName>
    <definedName name="IQ_GW_INTAN_AMORT_CF_FIN" hidden="1" function="0" vbProcedure="0">"c1474"</definedName>
    <definedName name="IQ_GW_INTAN_AMORT_CF_INS" hidden="1" function="0" vbProcedure="0">"c1475"</definedName>
    <definedName name="IQ_GW_INTAN_AMORT_CF_REIT" hidden="1" function="0" vbProcedure="0">"c1476"</definedName>
    <definedName name="IQ_GW_INTAN_AMORT_CF_UTI" hidden="1" function="0" vbProcedure="0">"c1477"</definedName>
    <definedName name="IQ_GW_INTAN_AMORT_FIN" hidden="1" function="0" vbProcedure="0">"c1478"</definedName>
    <definedName name="IQ_GW_INTAN_AMORT_INS" hidden="1" function="0" vbProcedure="0">"c1479"</definedName>
    <definedName name="IQ_GW_INTAN_AMORT_REIT" hidden="1" function="0" vbProcedure="0">"c1480"</definedName>
    <definedName name="IQ_GW_INTAN_AMORT_UTI" hidden="1" function="0" vbProcedure="0">"c1481"</definedName>
    <definedName name="IQ_HIGHPRICE" hidden="1" function="0" vbProcedure="0">"c545"</definedName>
    <definedName name="IQ_HOMEOWNERS_WRITTEN" hidden="1" function="0" vbProcedure="0">"c546"</definedName>
    <definedName name="IQ_IMPAIRMENT_GW" hidden="1" function="0" vbProcedure="0">"c548"</definedName>
    <definedName name="IQ_IMPAIR_OIL" hidden="1" function="0" vbProcedure="0">"c547"</definedName>
    <definedName name="IQ_INC_AFTER_TAX" hidden="1" function="0" vbProcedure="0">"c1598"</definedName>
    <definedName name="IQ_INC_AVAIL_EXCL" hidden="1" function="0" vbProcedure="0">"c1395"</definedName>
    <definedName name="IQ_INC_AVAIL_INCL" hidden="1" function="0" vbProcedure="0">"c1396"</definedName>
    <definedName name="IQ_INC_BEFORE_TAX" hidden="1" function="0" vbProcedure="0">"c1375"</definedName>
    <definedName name="IQ_INC_EQUITY" hidden="1" function="0" vbProcedure="0">"c549"</definedName>
    <definedName name="IQ_INC_EQUITY_BR" hidden="1" function="0" vbProcedure="0">"c550"</definedName>
    <definedName name="IQ_INC_EQUITY_CF" hidden="1" function="0" vbProcedure="0">"c551"</definedName>
    <definedName name="IQ_INC_EQUITY_FIN" hidden="1" function="0" vbProcedure="0">"c552"</definedName>
    <definedName name="IQ_INC_EQUITY_INS" hidden="1" function="0" vbProcedure="0">"c553"</definedName>
    <definedName name="IQ_INC_EQUITY_REC_BNK" hidden="1" function="0" vbProcedure="0">"c554"</definedName>
    <definedName name="IQ_INC_EQUITY_REIT" hidden="1" function="0" vbProcedure="0">"c555"</definedName>
    <definedName name="IQ_INC_EQUITY_REV_BNK" hidden="1" function="0" vbProcedure="0">"c556"</definedName>
    <definedName name="IQ_INC_EQUITY_UTI" hidden="1" function="0" vbProcedure="0">"c557"</definedName>
    <definedName name="IQ_INC_REAL_ESTATE_REC" hidden="1" function="0" vbProcedure="0">"c558"</definedName>
    <definedName name="IQ_INC_REAL_ESTATE_REV" hidden="1" function="0" vbProcedure="0">"c559"</definedName>
    <definedName name="IQ_INC_TAX" hidden="1" function="0" vbProcedure="0">"c560"</definedName>
    <definedName name="IQ_INC_TAX_EXCL" hidden="1" function="0" vbProcedure="0">"c1599"</definedName>
    <definedName name="IQ_INC_TAX_PAY_CURRENT" hidden="1" function="0" vbProcedure="0">"c561"</definedName>
    <definedName name="IQ_INC_TRADE_ACT" hidden="1" function="0" vbProcedure="0">"c562"</definedName>
    <definedName name="IQ_INSIDER_3MTH_BOUGHT_PCT" hidden="1" function="0" vbProcedure="0">"c1534"</definedName>
    <definedName name="IQ_INSIDER_3MTH_NET_PCT" hidden="1" function="0" vbProcedure="0">"c1535"</definedName>
    <definedName name="IQ_INSIDER_3MTH_SOLD_PCT" hidden="1" function="0" vbProcedure="0">"c1533"</definedName>
    <definedName name="IQ_INSIDER_6MTH_BOUGHT_PCT" hidden="1" function="0" vbProcedure="0">"c1537"</definedName>
    <definedName name="IQ_INSIDER_6MTH_NET_PCT" hidden="1" function="0" vbProcedure="0">"c1538"</definedName>
    <definedName name="IQ_INSIDER_6MTH_SOLD_PCT" hidden="1" function="0" vbProcedure="0">"c1536"</definedName>
    <definedName name="IQ_INSIDER_OVER_TOTAL" hidden="1" function="0" vbProcedure="0">"c1581"</definedName>
    <definedName name="IQ_INSIDER_OWNER" hidden="1" function="0" vbProcedure="0">"c577"</definedName>
    <definedName name="IQ_INSIDER_PERCENT" hidden="1" function="0" vbProcedure="0">"c578"</definedName>
    <definedName name="IQ_INSIDER_SHARES" hidden="1" function="0" vbProcedure="0">"c579"</definedName>
    <definedName name="IQ_INSTITUTIONAL_OVER_TOTAL" hidden="1" function="0" vbProcedure="0">"c1580"</definedName>
    <definedName name="IQ_INSTITUTIONAL_OWNER" hidden="1" function="0" vbProcedure="0">"c580"</definedName>
    <definedName name="IQ_INSTITUTIONAL_PERCENT" hidden="1" function="0" vbProcedure="0">"c581"</definedName>
    <definedName name="IQ_INSTITUTIONAL_SHARES" hidden="1" function="0" vbProcedure="0">"c582"</definedName>
    <definedName name="IQ_INSUR_RECEIV" hidden="1" function="0" vbProcedure="0">"c1600"</definedName>
    <definedName name="IQ_INS_ANNUITY_LIAB" hidden="1" function="0" vbProcedure="0">"c563"</definedName>
    <definedName name="IQ_INS_DIV_EXP" hidden="1" function="0" vbProcedure="0">"c564"</definedName>
    <definedName name="IQ_INS_DIV_REV" hidden="1" function="0" vbProcedure="0">"c565"</definedName>
    <definedName name="IQ_INS_IN_FORCE" hidden="1" function="0" vbProcedure="0">"c566"</definedName>
    <definedName name="IQ_INS_LIAB" hidden="1" function="0" vbProcedure="0">"c567"</definedName>
    <definedName name="IQ_INS_POLICY_EXP" hidden="1" function="0" vbProcedure="0">"c568"</definedName>
    <definedName name="IQ_INS_REV" hidden="1" function="0" vbProcedure="0">"c569"</definedName>
    <definedName name="IQ_INS_SETTLE" hidden="1" function="0" vbProcedure="0">"c570"</definedName>
    <definedName name="IQ_INS_SETTLE_BNK" hidden="1" function="0" vbProcedure="0">"c571"</definedName>
    <definedName name="IQ_INS_SETTLE_BR" hidden="1" function="0" vbProcedure="0">"c572"</definedName>
    <definedName name="IQ_INS_SETTLE_FIN" hidden="1" function="0" vbProcedure="0">"c573"</definedName>
    <definedName name="IQ_INS_SETTLE_INS" hidden="1" function="0" vbProcedure="0">"c574"</definedName>
    <definedName name="IQ_INS_SETTLE_REIT" hidden="1" function="0" vbProcedure="0">"c575"</definedName>
    <definedName name="IQ_INS_SETTLE_UTI" hidden="1" function="0" vbProcedure="0">"c576"</definedName>
    <definedName name="IQ_INTANGIBLES_NET" hidden="1" function="0" vbProcedure="0">"c1407"</definedName>
    <definedName name="IQ_INTEREST_EXP" hidden="1" function="0" vbProcedure="0">"c618"</definedName>
    <definedName name="IQ_INTEREST_EXP_NET" hidden="1" function="0" vbProcedure="0">"c1450"</definedName>
    <definedName name="IQ_INTEREST_EXP_NON" hidden="1" function="0" vbProcedure="0">"c1383"</definedName>
    <definedName name="IQ_INTEREST_EXP_SUPPL" hidden="1" function="0" vbProcedure="0">"c1460"</definedName>
    <definedName name="IQ_INTEREST_INC" hidden="1" function="0" vbProcedure="0">"c1393"</definedName>
    <definedName name="IQ_INTEREST_INC_NON" hidden="1" function="0" vbProcedure="0">"c1384"</definedName>
    <definedName name="IQ_INTEREST_INVEST_INC" hidden="1" function="0" vbProcedure="0">"c619"</definedName>
    <definedName name="IQ_INT_BORROW" hidden="1" function="0" vbProcedure="0">"c583"</definedName>
    <definedName name="IQ_INT_DEPOSITS" hidden="1" function="0" vbProcedure="0">"c584"</definedName>
    <definedName name="IQ_INT_DIV_INC" hidden="1" function="0" vbProcedure="0">"c585"</definedName>
    <definedName name="IQ_INT_EXP_BR" hidden="1" function="0" vbProcedure="0">"c586"</definedName>
    <definedName name="IQ_INT_EXP_COVERAGE" hidden="1" function="0" vbProcedure="0">"c587"</definedName>
    <definedName name="IQ_INT_EXP_FIN" hidden="1" function="0" vbProcedure="0">"c588"</definedName>
    <definedName name="IQ_INT_EXP_INS" hidden="1" function="0" vbProcedure="0">"c589"</definedName>
    <definedName name="IQ_INT_EXP_LTD" hidden="1" function="0" vbProcedure="0">"c2086"</definedName>
    <definedName name="IQ_INT_EXP_REIT" hidden="1" function="0" vbProcedure="0">"c590"</definedName>
    <definedName name="IQ_INT_EXP_TOTAL" hidden="1" function="0" vbProcedure="0">"c591"</definedName>
    <definedName name="IQ_INT_EXP_UTI" hidden="1" function="0" vbProcedure="0">"c592"</definedName>
    <definedName name="IQ_INT_INC_BR" hidden="1" function="0" vbProcedure="0">"c593"</definedName>
    <definedName name="IQ_INT_INC_FIN" hidden="1" function="0" vbProcedure="0">"c594"</definedName>
    <definedName name="IQ_INT_INC_INVEST" hidden="1" function="0" vbProcedure="0">"c595"</definedName>
    <definedName name="IQ_INT_INC_LOANS" hidden="1" function="0" vbProcedure="0">"c596"</definedName>
    <definedName name="IQ_INT_INC_REIT" hidden="1" function="0" vbProcedure="0">"c597"</definedName>
    <definedName name="IQ_INT_INC_TOTAL" hidden="1" function="0" vbProcedure="0">"c598"</definedName>
    <definedName name="IQ_INT_INC_UTI" hidden="1" function="0" vbProcedure="0">"c599"</definedName>
    <definedName name="IQ_INT_INV_INC" hidden="1" function="0" vbProcedure="0">"c600"</definedName>
    <definedName name="IQ_INT_INV_INC_REIT" hidden="1" function="0" vbProcedure="0">"c601"</definedName>
    <definedName name="IQ_INT_INV_INC_UTI" hidden="1" function="0" vbProcedure="0">"c602"</definedName>
    <definedName name="IQ_INT_ON_BORROWING_COVERAGE" hidden="1" function="0" vbProcedure="0">"c603"</definedName>
    <definedName name="IQ_INT_RATE_SPREAD" hidden="1" function="0" vbProcedure="0">"c604"</definedName>
    <definedName name="IQ_INVENTORY" hidden="1" function="0" vbProcedure="0">"c622"</definedName>
    <definedName name="IQ_INVENTORY_TURNS" hidden="1" function="0" vbProcedure="0">"c623"</definedName>
    <definedName name="IQ_INVENTORY_UTI" hidden="1" function="0" vbProcedure="0">"c624"</definedName>
    <definedName name="IQ_INVEST_DEBT" hidden="1" function="0" vbProcedure="0">"c625"</definedName>
    <definedName name="IQ_INVEST_EQUITY_PREF" hidden="1" function="0" vbProcedure="0">"c626"</definedName>
    <definedName name="IQ_INVEST_FHLB" hidden="1" function="0" vbProcedure="0">"c627"</definedName>
    <definedName name="IQ_INVEST_LOANS_CF" hidden="1" function="0" vbProcedure="0">"c628"</definedName>
    <definedName name="IQ_INVEST_LOANS_CF_BNK" hidden="1" function="0" vbProcedure="0">"c629"</definedName>
    <definedName name="IQ_INVEST_LOANS_CF_BR" hidden="1" function="0" vbProcedure="0">"c630"</definedName>
    <definedName name="IQ_INVEST_LOANS_CF_FIN" hidden="1" function="0" vbProcedure="0">"c631"</definedName>
    <definedName name="IQ_INVEST_LOANS_CF_INS" hidden="1" function="0" vbProcedure="0">"c632"</definedName>
    <definedName name="IQ_INVEST_LOANS_CF_REIT" hidden="1" function="0" vbProcedure="0">"c633"</definedName>
    <definedName name="IQ_INVEST_LOANS_CF_UTI" hidden="1" function="0" vbProcedure="0">"c634"</definedName>
    <definedName name="IQ_INVEST_REAL_ESTATE" hidden="1" function="0" vbProcedure="0">"c635"</definedName>
    <definedName name="IQ_INVEST_SECURITY" hidden="1" function="0" vbProcedure="0">"c636"</definedName>
    <definedName name="IQ_INVEST_SECURITY_CF" hidden="1" function="0" vbProcedure="0">"c637"</definedName>
    <definedName name="IQ_INVEST_SECURITY_CF_BNK" hidden="1" function="0" vbProcedure="0">"c638"</definedName>
    <definedName name="IQ_INVEST_SECURITY_CF_BR" hidden="1" function="0" vbProcedure="0">"c639"</definedName>
    <definedName name="IQ_INVEST_SECURITY_CF_FIN" hidden="1" function="0" vbProcedure="0">"c640"</definedName>
    <definedName name="IQ_INVEST_SECURITY_CF_INS" hidden="1" function="0" vbProcedure="0">"c641"</definedName>
    <definedName name="IQ_INVEST_SECURITY_CF_REIT" hidden="1" function="0" vbProcedure="0">"c642"</definedName>
    <definedName name="IQ_INVEST_SECURITY_CF_UTI" hidden="1" function="0" vbProcedure="0">"c643"</definedName>
    <definedName name="IQ_INV_10YR_ANN_GROWTH" hidden="1" function="0" vbProcedure="0">"c1930"</definedName>
    <definedName name="IQ_INV_1YR_ANN_GROWTH" hidden="1" function="0" vbProcedure="0">"c1925"</definedName>
    <definedName name="IQ_INV_2YR_ANN_GROWTH" hidden="1" function="0" vbProcedure="0">"c1926"</definedName>
    <definedName name="IQ_INV_3YR_ANN_GROWTH" hidden="1" function="0" vbProcedure="0">"c1927"</definedName>
    <definedName name="IQ_INV_5YR_ANN_GROWTH" hidden="1" function="0" vbProcedure="0">"c1928"</definedName>
    <definedName name="IQ_INV_7YR_ANN_GROWTH" hidden="1" function="0" vbProcedure="0">"c1929"</definedName>
    <definedName name="IQ_INV_BANKING_FEE" hidden="1" function="0" vbProcedure="0">"c620"</definedName>
    <definedName name="IQ_INV_METHOD" hidden="1" function="0" vbProcedure="0">"c621"</definedName>
    <definedName name="IQ_IPRD" hidden="1" function="0" vbProcedure="0">"c644"</definedName>
    <definedName name="IQ_ISS_DEBT_NET" hidden="1" function="0" vbProcedure="0">"c1391"</definedName>
    <definedName name="IQ_ISS_STOCK_NET" hidden="1" function="0" vbProcedure="0">"c1601"</definedName>
    <definedName name="IQ_LAND" hidden="1" function="0" vbProcedure="0">"c645"</definedName>
    <definedName name="IQ_LASTSALEPRICE" hidden="1" function="0" vbProcedure="0">"c646"</definedName>
    <definedName name="IQ_LASTSALEPRICE_DATE" hidden="1" function="0" vbProcedure="0">"c2109"</definedName>
    <definedName name="IQ_LAST_SPLIT_DATE" hidden="1" function="0" vbProcedure="0">"c2095"</definedName>
    <definedName name="IQ_LAST_SPLIT_FACTOR" hidden="1" function="0" vbProcedure="0">"c2093"</definedName>
    <definedName name="IQ_LATESTK" hidden="1" function="0" vbProcedure="0">1000</definedName>
    <definedName name="IQ_LATESTQ" hidden="1" function="0" vbProcedure="0">500</definedName>
    <definedName name="IQ_LEGAL_SETTLE" hidden="1" function="0" vbProcedure="0">"c647"</definedName>
    <definedName name="IQ_LEGAL_SETTLE_BNK" hidden="1" function="0" vbProcedure="0">"c648"</definedName>
    <definedName name="IQ_LEGAL_SETTLE_BR" hidden="1" function="0" vbProcedure="0">"c649"</definedName>
    <definedName name="IQ_LEGAL_SETTLE_FIN" hidden="1" function="0" vbProcedure="0">"c650"</definedName>
    <definedName name="IQ_LEGAL_SETTLE_INS" hidden="1" function="0" vbProcedure="0">"c651"</definedName>
    <definedName name="IQ_LEGAL_SETTLE_REIT" hidden="1" function="0" vbProcedure="0">"c652"</definedName>
    <definedName name="IQ_LEGAL_SETTLE_UTI" hidden="1" function="0" vbProcedure="0">"c653"</definedName>
    <definedName name="IQ_LEVERAGE_RATIO" hidden="1" function="0" vbProcedure="0">"c654"</definedName>
    <definedName name="IQ_LEVERED_FCF" hidden="1" function="0" vbProcedure="0">"c1907"</definedName>
    <definedName name="IQ_LFCF_10YR_ANN_GROWTH" hidden="1" function="0" vbProcedure="0">"c1942"</definedName>
    <definedName name="IQ_LFCF_1YR_ANN_GROWTH" hidden="1" function="0" vbProcedure="0">"c1937"</definedName>
    <definedName name="IQ_LFCF_2YR_ANN_GROWTH" hidden="1" function="0" vbProcedure="0">"c1938"</definedName>
    <definedName name="IQ_LFCF_3YR_ANN_GROWTH" hidden="1" function="0" vbProcedure="0">"c1939"</definedName>
    <definedName name="IQ_LFCF_5YR_ANN_GROWTH" hidden="1" function="0" vbProcedure="0">"c1940"</definedName>
    <definedName name="IQ_LFCF_7YR_ANN_GROWTH" hidden="1" function="0" vbProcedure="0">"c1941"</definedName>
    <definedName name="IQ_LFCF_MARGIN" hidden="1" function="0" vbProcedure="0">"c1961"</definedName>
    <definedName name="IQ_LICENSED_POPS" hidden="1" function="0" vbProcedure="0">"c2123"</definedName>
    <definedName name="IQ_LIFOR" hidden="1" function="0" vbProcedure="0">"c655"</definedName>
    <definedName name="IQ_LL" hidden="1" function="0" vbProcedure="0">"c656"</definedName>
    <definedName name="IQ_LOANS_CF" hidden="1" function="0" vbProcedure="0">"c659"</definedName>
    <definedName name="IQ_LOANS_CF_BNK" hidden="1" function="0" vbProcedure="0">"c660"</definedName>
    <definedName name="IQ_LOANS_CF_BR" hidden="1" function="0" vbProcedure="0">"c661"</definedName>
    <definedName name="IQ_LOANS_CF_FIN" hidden="1" function="0" vbProcedure="0">"c662"</definedName>
    <definedName name="IQ_LOANS_CF_INS" hidden="1" function="0" vbProcedure="0">"c663"</definedName>
    <definedName name="IQ_LOANS_CF_REIT" hidden="1" function="0" vbProcedure="0">"c664"</definedName>
    <definedName name="IQ_LOANS_CF_UTI" hidden="1" function="0" vbProcedure="0">"c665"</definedName>
    <definedName name="IQ_LOANS_FOR_SALE" hidden="1" function="0" vbProcedure="0">"c666"</definedName>
    <definedName name="IQ_LOANS_PAST_DUE" hidden="1" function="0" vbProcedure="0">"c667"</definedName>
    <definedName name="IQ_LOANS_RECEIV_CURRENT" hidden="1" function="0" vbProcedure="0">"c668"</definedName>
    <definedName name="IQ_LOANS_RECEIV_LT" hidden="1" function="0" vbProcedure="0">"c669"</definedName>
    <definedName name="IQ_LOANS_RECEIV_LT_UTI" hidden="1" function="0" vbProcedure="0">"c670"</definedName>
    <definedName name="IQ_LOAN_LEASE_RECEIV" hidden="1" function="0" vbProcedure="0">"c657"</definedName>
    <definedName name="IQ_LOAN_LOSS" hidden="1" function="0" vbProcedure="0">"c1386"</definedName>
    <definedName name="IQ_LOAN_SERVICE_REV" hidden="1" function="0" vbProcedure="0">"c658"</definedName>
    <definedName name="IQ_LONG_TERM_DEBT" hidden="1" function="0" vbProcedure="0">"c1387"</definedName>
    <definedName name="IQ_LONG_TERM_DEBT_OVER_TOTAL_CAP" hidden="1" function="0" vbProcedure="0">"c1388"</definedName>
    <definedName name="IQ_LONG_TERM_GROWTH" hidden="1" function="0" vbProcedure="0">"c671"</definedName>
    <definedName name="IQ_LONG_TERM_INV" hidden="1" function="0" vbProcedure="0">"c1389"</definedName>
    <definedName name="IQ_LOSS_LOSS_EXP" hidden="1" function="0" vbProcedure="0">"c672"</definedName>
    <definedName name="IQ_LOWPRICE" hidden="1" function="0" vbProcedure="0">"c673"</definedName>
    <definedName name="IQ_LTD_DUE_AFTER_FIVE" hidden="1" function="0" vbProcedure="0">"c704"</definedName>
    <definedName name="IQ_LTD_DUE_CY" hidden="1" function="0" vbProcedure="0">"c705"</definedName>
    <definedName name="IQ_LTD_DUE_CY1" hidden="1" function="0" vbProcedure="0">"c706"</definedName>
    <definedName name="IQ_LTD_DUE_CY2" hidden="1" function="0" vbProcedure="0">"c707"</definedName>
    <definedName name="IQ_LTD_DUE_CY3" hidden="1" function="0" vbProcedure="0">"c708"</definedName>
    <definedName name="IQ_LTD_DUE_CY4" hidden="1" function="0" vbProcedure="0">"c709"</definedName>
    <definedName name="IQ_LTD_DUE_NEXT_FIVE" hidden="1" function="0" vbProcedure="0">"c710"</definedName>
    <definedName name="IQ_LTM" hidden="1" function="0" vbProcedure="0">2000</definedName>
    <definedName name="IQ_LTM_REVENUE_OVER_EMPLOYEES" hidden="1" function="0" vbProcedure="0">"c1437"</definedName>
    <definedName name="IQ_LT_DEBT" hidden="1" function="0" vbProcedure="0">"c674"</definedName>
    <definedName name="IQ_LT_DEBT_BNK" hidden="1" function="0" vbProcedure="0">"c675"</definedName>
    <definedName name="IQ_LT_DEBT_BR" hidden="1" function="0" vbProcedure="0">"c676"</definedName>
    <definedName name="IQ_LT_DEBT_CAPITAL" hidden="1" function="0" vbProcedure="0">"c677"</definedName>
    <definedName name="IQ_LT_DEBT_EQUITY" hidden="1" function="0" vbProcedure="0">"c678"</definedName>
    <definedName name="IQ_LT_DEBT_FIN" hidden="1" function="0" vbProcedure="0">"c679"</definedName>
    <definedName name="IQ_LT_DEBT_INS" hidden="1" function="0" vbProcedure="0">"c680"</definedName>
    <definedName name="IQ_LT_DEBT_ISSUED" hidden="1" function="0" vbProcedure="0">"c681"</definedName>
    <definedName name="IQ_LT_DEBT_ISSUED_BNK" hidden="1" function="0" vbProcedure="0">"c682"</definedName>
    <definedName name="IQ_LT_DEBT_ISSUED_BR" hidden="1" function="0" vbProcedure="0">"c683"</definedName>
    <definedName name="IQ_LT_DEBT_ISSUED_FIN" hidden="1" function="0" vbProcedure="0">"c684"</definedName>
    <definedName name="IQ_LT_DEBT_ISSUED_INS" hidden="1" function="0" vbProcedure="0">"c685"</definedName>
    <definedName name="IQ_LT_DEBT_ISSUED_REIT" hidden="1" function="0" vbProcedure="0">"c686"</definedName>
    <definedName name="IQ_LT_DEBT_ISSUED_UTI" hidden="1" function="0" vbProcedure="0">"c687"</definedName>
    <definedName name="IQ_LT_DEBT_REIT" hidden="1" function="0" vbProcedure="0">"c688"</definedName>
    <definedName name="IQ_LT_DEBT_REPAID" hidden="1" function="0" vbProcedure="0">"c689"</definedName>
    <definedName name="IQ_LT_DEBT_REPAID_BNK" hidden="1" function="0" vbProcedure="0">"c690"</definedName>
    <definedName name="IQ_LT_DEBT_REPAID_BR" hidden="1" function="0" vbProcedure="0">"c691"</definedName>
    <definedName name="IQ_LT_DEBT_REPAID_FIN" hidden="1" function="0" vbProcedure="0">"c692"</definedName>
    <definedName name="IQ_LT_DEBT_REPAID_INS" hidden="1" function="0" vbProcedure="0">"c693"</definedName>
    <definedName name="IQ_LT_DEBT_REPAID_REIT" hidden="1" function="0" vbProcedure="0">"c694"</definedName>
    <definedName name="IQ_LT_DEBT_REPAID_UTI" hidden="1" function="0" vbProcedure="0">"c695"</definedName>
    <definedName name="IQ_LT_DEBT_UTI" hidden="1" function="0" vbProcedure="0">"c696"</definedName>
    <definedName name="IQ_LT_INVEST" hidden="1" function="0" vbProcedure="0">"c697"</definedName>
    <definedName name="IQ_LT_INVEST_BR" hidden="1" function="0" vbProcedure="0">"c698"</definedName>
    <definedName name="IQ_LT_INVEST_FIN" hidden="1" function="0" vbProcedure="0">"c699"</definedName>
    <definedName name="IQ_LT_INVEST_REIT" hidden="1" function="0" vbProcedure="0">"c700"</definedName>
    <definedName name="IQ_LT_INVEST_UTI" hidden="1" function="0" vbProcedure="0">"c701"</definedName>
    <definedName name="IQ_LT_NOTE_RECEIV" hidden="1" function="0" vbProcedure="0">"c1602"</definedName>
    <definedName name="IQ_MACHINERY" hidden="1" function="0" vbProcedure="0">"c711"</definedName>
    <definedName name="IQ_MAINT_REPAIR" hidden="1" function="0" vbProcedure="0">"c2087"</definedName>
    <definedName name="IQ_MARKETCAP" hidden="1" function="0" vbProcedure="0">"c712"</definedName>
    <definedName name="IQ_MERGER" hidden="1" function="0" vbProcedure="0">"c713"</definedName>
    <definedName name="IQ_MERGER_BNK" hidden="1" function="0" vbProcedure="0">"c714"</definedName>
    <definedName name="IQ_MERGER_BR" hidden="1" function="0" vbProcedure="0">"c715"</definedName>
    <definedName name="IQ_MERGER_FIN" hidden="1" function="0" vbProcedure="0">"c716"</definedName>
    <definedName name="IQ_MERGER_INS" hidden="1" function="0" vbProcedure="0">"c717"</definedName>
    <definedName name="IQ_MERGER_REIT" hidden="1" function="0" vbProcedure="0">"c718"</definedName>
    <definedName name="IQ_MERGER_RESTRUCTURE" hidden="1" function="0" vbProcedure="0">"c719"</definedName>
    <definedName name="IQ_MERGER_RESTRUCTURE_BNK" hidden="1" function="0" vbProcedure="0">"c720"</definedName>
    <definedName name="IQ_MERGER_RESTRUCTURE_BR" hidden="1" function="0" vbProcedure="0">"c721"</definedName>
    <definedName name="IQ_MERGER_RESTRUCTURE_FIN" hidden="1" function="0" vbProcedure="0">"c722"</definedName>
    <definedName name="IQ_MERGER_RESTRUCTURE_INS" hidden="1" function="0" vbProcedure="0">"c723"</definedName>
    <definedName name="IQ_MERGER_RESTRUCTURE_REIT" hidden="1" function="0" vbProcedure="0">"c724"</definedName>
    <definedName name="IQ_MERGER_RESTRUCTURE_UTI" hidden="1" function="0" vbProcedure="0">"c725"</definedName>
    <definedName name="IQ_MERGER_UTI" hidden="1" function="0" vbProcedure="0">"c726"</definedName>
    <definedName name="IQ_MINORITY_INTEREST" hidden="1" function="0" vbProcedure="0">"c727"</definedName>
    <definedName name="IQ_MINORITY_INTEREST_BNK" hidden="1" function="0" vbProcedure="0">"c728"</definedName>
    <definedName name="IQ_MINORITY_INTEREST_BR" hidden="1" function="0" vbProcedure="0">"c729"</definedName>
    <definedName name="IQ_MINORITY_INTEREST_CF" hidden="1" function="0" vbProcedure="0">"c730"</definedName>
    <definedName name="IQ_MINORITY_INTEREST_FIN" hidden="1" function="0" vbProcedure="0">"c731"</definedName>
    <definedName name="IQ_MINORITY_INTEREST_INS" hidden="1" function="0" vbProcedure="0">"c732"</definedName>
    <definedName name="IQ_MINORITY_INTEREST_IS" hidden="1" function="0" vbProcedure="0">"c733"</definedName>
    <definedName name="IQ_MINORITY_INTEREST_REIT" hidden="1" function="0" vbProcedure="0">"c734"</definedName>
    <definedName name="IQ_MINORITY_INTEREST_TOTAL" hidden="1" function="0" vbProcedure="0">"c1905"</definedName>
    <definedName name="IQ_MINORITY_INTEREST_UTI" hidden="1" function="0" vbProcedure="0">"c735"</definedName>
    <definedName name="IQ_MISC_ADJUST_CF" hidden="1" function="0" vbProcedure="0">"c736"</definedName>
    <definedName name="IQ_MISC_EARN_ADJ" hidden="1" function="0" vbProcedure="0">"c1603"</definedName>
    <definedName name="IQ_MKTCAP_EBT_EXCL" hidden="1" function="0" vbProcedure="0">"c737"</definedName>
    <definedName name="IQ_MKTCAP_EBT_EXCL_AVG" hidden="1" function="0" vbProcedure="0">"c738"</definedName>
    <definedName name="IQ_MKTCAP_EBT_INCL_AVG" hidden="1" function="0" vbProcedure="0">"c739"</definedName>
    <definedName name="IQ_MKTCAP_TOTAL_REV" hidden="1" function="0" vbProcedure="0">"c740"</definedName>
    <definedName name="IQ_MKTCAP_TOTAL_REV_AVG" hidden="1" function="0" vbProcedure="0">"c741"</definedName>
    <definedName name="IQ_MM_ACCOUNT" hidden="1" function="0" vbProcedure="0">"c743"</definedName>
    <definedName name="IQ_MORT_BANKING_FEE" hidden="1" function="0" vbProcedure="0">"c745"</definedName>
    <definedName name="IQ_MORT_BANK_ACT" hidden="1" function="0" vbProcedure="0">"c744"</definedName>
    <definedName name="IQ_MORT_INT_INC" hidden="1" function="0" vbProcedure="0">"c746"</definedName>
    <definedName name="IQ_MORT_LOANS" hidden="1" function="0" vbProcedure="0">"c747"</definedName>
    <definedName name="IQ_MORT_SECURITY" hidden="1" function="0" vbProcedure="0">"c748"</definedName>
    <definedName name="IQ_NET_CHANGE" hidden="1" function="0" vbProcedure="0">"c749"</definedName>
    <definedName name="IQ_NET_DEBT" hidden="1" function="0" vbProcedure="0">"c1584"</definedName>
    <definedName name="IQ_NET_DEBT_EBITDA" hidden="1" function="0" vbProcedure="0">"c750"</definedName>
    <definedName name="IQ_NET_DEBT_ISSUED" hidden="1" function="0" vbProcedure="0">"c751"</definedName>
    <definedName name="IQ_NET_DEBT_ISSUED_BNK" hidden="1" function="0" vbProcedure="0">"c752"</definedName>
    <definedName name="IQ_NET_DEBT_ISSUED_BR" hidden="1" function="0" vbProcedure="0">"c753"</definedName>
    <definedName name="IQ_NET_DEBT_ISSUED_FIN" hidden="1" function="0" vbProcedure="0">"c754"</definedName>
    <definedName name="IQ_NET_DEBT_ISSUED_INS" hidden="1" function="0" vbProcedure="0">"c755"</definedName>
    <definedName name="IQ_NET_DEBT_ISSUED_REIT" hidden="1" function="0" vbProcedure="0">"c756"</definedName>
    <definedName name="IQ_NET_DEBT_ISSUED_UTI" hidden="1" function="0" vbProcedure="0">"c757"</definedName>
    <definedName name="IQ_NET_INC" hidden="1" function="0" vbProcedure="0">"c1394"</definedName>
    <definedName name="IQ_NET_INC_BEFORE" hidden="1" function="0" vbProcedure="0">"c1368"</definedName>
    <definedName name="IQ_NET_INC_CF" hidden="1" function="0" vbProcedure="0">"c1397"</definedName>
    <definedName name="IQ_NET_INC_MARGIN" hidden="1" function="0" vbProcedure="0">"c1398"</definedName>
    <definedName name="IQ_NET_INTEREST_EXP" hidden="1" function="0" vbProcedure="0">"c769"</definedName>
    <definedName name="IQ_NET_INTEREST_EXP_REIT" hidden="1" function="0" vbProcedure="0">"c770"</definedName>
    <definedName name="IQ_NET_INTEREST_EXP_UTI" hidden="1" function="0" vbProcedure="0">"c771"</definedName>
    <definedName name="IQ_NET_INTEREST_INC" hidden="1" function="0" vbProcedure="0">"c1392"</definedName>
    <definedName name="IQ_NET_INTEREST_INC_AFTER_LL" hidden="1" function="0" vbProcedure="0">"c1604"</definedName>
    <definedName name="IQ_NET_INT_INC_10YR_ANN_GROWTH" hidden="1" function="0" vbProcedure="0">"c758"</definedName>
    <definedName name="IQ_NET_INT_INC_1YR_ANN_GROWTH" hidden="1" function="0" vbProcedure="0">"c759"</definedName>
    <definedName name="IQ_NET_INT_INC_2YR_ANN_GROWTH" hidden="1" function="0" vbProcedure="0">"c760"</definedName>
    <definedName name="IQ_NET_INT_INC_3YR_ANN_GROWTH" hidden="1" function="0" vbProcedure="0">"c761"</definedName>
    <definedName name="IQ_NET_INT_INC_5YR_ANN_GROWTH" hidden="1" function="0" vbProcedure="0">"c762"</definedName>
    <definedName name="IQ_NET_INT_INC_7YR_ANN_GROWTH" hidden="1" function="0" vbProcedure="0">"c763"</definedName>
    <definedName name="IQ_NET_INT_INC_BNK" hidden="1" function="0" vbProcedure="0">"c764"</definedName>
    <definedName name="IQ_NET_INT_INC_BR" hidden="1" function="0" vbProcedure="0">"c765"</definedName>
    <definedName name="IQ_NET_INT_INC_FIN" hidden="1" function="0" vbProcedure="0">"c766"</definedName>
    <definedName name="IQ_NET_INT_INC_TOTAL_REV" hidden="1" function="0" vbProcedure="0">"c767"</definedName>
    <definedName name="IQ_NET_INT_MARGIN" hidden="1" function="0" vbProcedure="0">"c768"</definedName>
    <definedName name="IQ_NET_LOANS" hidden="1" function="0" vbProcedure="0">"c772"</definedName>
    <definedName name="IQ_NET_LOANS_10YR_ANN_GROWTH" hidden="1" function="0" vbProcedure="0">"c773"</definedName>
    <definedName name="IQ_NET_LOANS_1YR_ANN_GROWTH" hidden="1" function="0" vbProcedure="0">"c774"</definedName>
    <definedName name="IQ_NET_LOANS_2YR_ANN_GROWTH" hidden="1" function="0" vbProcedure="0">"c775"</definedName>
    <definedName name="IQ_NET_LOANS_3YR_ANN_GROWTH" hidden="1" function="0" vbProcedure="0">"c776"</definedName>
    <definedName name="IQ_NET_LOANS_5YR_ANN_GROWTH" hidden="1" function="0" vbProcedure="0">"c777"</definedName>
    <definedName name="IQ_NET_LOANS_7YR_ANN_GROWTH" hidden="1" function="0" vbProcedure="0">"c778"</definedName>
    <definedName name="IQ_NET_LOANS_TOTAL_DEPOSITS" hidden="1" function="0" vbProcedure="0">"c779"</definedName>
    <definedName name="IQ_NET_RENTAL_EXP_FN" hidden="1" function="0" vbProcedure="0">"c780"</definedName>
    <definedName name="IQ_NI" hidden="1" function="0" vbProcedure="0">"c781"</definedName>
    <definedName name="IQ_NI_10YR_ANN_GROWTH" hidden="1" function="0" vbProcedure="0">"c782"</definedName>
    <definedName name="IQ_NI_1YR_ANN_GROWTH" hidden="1" function="0" vbProcedure="0">"c783"</definedName>
    <definedName name="IQ_NI_2YR_ANN_GROWTH" hidden="1" function="0" vbProcedure="0">"c784"</definedName>
    <definedName name="IQ_NI_3YR_ANN_GROWTH" hidden="1" function="0" vbProcedure="0">"c785"</definedName>
    <definedName name="IQ_NI_5YR_ANN_GROWTH" hidden="1" function="0" vbProcedure="0">"c786"</definedName>
    <definedName name="IQ_NI_7YR_ANN_GROWTH" hidden="1" function="0" vbProcedure="0">"c787"</definedName>
    <definedName name="IQ_NI_AFTER_CAPITALIZED" hidden="1" function="0" vbProcedure="0">"c788"</definedName>
    <definedName name="IQ_NI_AVAIL_EXCL" hidden="1" function="0" vbProcedure="0">"c789"</definedName>
    <definedName name="IQ_NI_AVAIL_EXCL_MARGIN" hidden="1" function="0" vbProcedure="0">"c790"</definedName>
    <definedName name="IQ_NI_AVAIL_INCL" hidden="1" function="0" vbProcedure="0">"c791"</definedName>
    <definedName name="IQ_NI_BEFORE_CAPITALIZED" hidden="1" function="0" vbProcedure="0">"c792"</definedName>
    <definedName name="IQ_NI_CF" hidden="1" function="0" vbProcedure="0">"c793"</definedName>
    <definedName name="IQ_NI_MARGIN" hidden="1" function="0" vbProcedure="0">"c794"</definedName>
    <definedName name="IQ_NI_NORM" hidden="1" function="0" vbProcedure="0">"c1901"</definedName>
    <definedName name="IQ_NI_NORM_10YR_ANN_GROWTH" hidden="1" function="0" vbProcedure="0">"c1960"</definedName>
    <definedName name="IQ_NI_NORM_1YR_ANN_GROWTH" hidden="1" function="0" vbProcedure="0">"c1955"</definedName>
    <definedName name="IQ_NI_NORM_2YR_ANN_GROWTH" hidden="1" function="0" vbProcedure="0">"c1956"</definedName>
    <definedName name="IQ_NI_NORM_3YR_ANN_GROWTH" hidden="1" function="0" vbProcedure="0">"c1957"</definedName>
    <definedName name="IQ_NI_NORM_5YR_ANN_GROWTH" hidden="1" function="0" vbProcedure="0">"c1958"</definedName>
    <definedName name="IQ_NI_NORM_7YR_ANN_GROWTH" hidden="1" function="0" vbProcedure="0">"c1959"</definedName>
    <definedName name="IQ_NI_NORM_MARGIN" hidden="1" function="0" vbProcedure="0">"c1964"</definedName>
    <definedName name="IQ_NI_SFAS" hidden="1" function="0" vbProcedure="0">"c795"</definedName>
    <definedName name="IQ_NONUTIL_REV" hidden="1" function="0" vbProcedure="0">"c2089"</definedName>
    <definedName name="IQ_NON_ACCRUAL_LOANS" hidden="1" function="0" vbProcedure="0">"c796"</definedName>
    <definedName name="IQ_NON_CASH" hidden="1" function="0" vbProcedure="0">"c1399"</definedName>
    <definedName name="IQ_NON_CASH_ITEMS" hidden="1" function="0" vbProcedure="0">"c797"</definedName>
    <definedName name="IQ_NON_INS_EXP" hidden="1" function="0" vbProcedure="0">"c798"</definedName>
    <definedName name="IQ_NON_INS_REV" hidden="1" function="0" vbProcedure="0">"c799"</definedName>
    <definedName name="IQ_NON_INTEREST_EXP" hidden="1" function="0" vbProcedure="0">"c1400"</definedName>
    <definedName name="IQ_NON_INTEREST_INC" hidden="1" function="0" vbProcedure="0">"c1401"</definedName>
    <definedName name="IQ_NON_INT_BEAR_CD" hidden="1" function="0" vbProcedure="0">"c800"</definedName>
    <definedName name="IQ_NON_INT_EXP" hidden="1" function="0" vbProcedure="0">"c801"</definedName>
    <definedName name="IQ_NON_INT_INC" hidden="1" function="0" vbProcedure="0">"c802"</definedName>
    <definedName name="IQ_NON_INT_INC_10YR_ANN_GROWTH" hidden="1" function="0" vbProcedure="0">"c803"</definedName>
    <definedName name="IQ_NON_INT_INC_1YR_ANN_GROWTH" hidden="1" function="0" vbProcedure="0">"c804"</definedName>
    <definedName name="IQ_NON_INT_INC_2YR_ANN_GROWTH" hidden="1" function="0" vbProcedure="0">"c805"</definedName>
    <definedName name="IQ_NON_INT_INC_3YR_ANN_GROWTH" hidden="1" function="0" vbProcedure="0">"c806"</definedName>
    <definedName name="IQ_NON_INT_INC_5YR_ANN_GROWTH" hidden="1" function="0" vbProcedure="0">"c807"</definedName>
    <definedName name="IQ_NON_INT_INC_7YR_ANN_GROWTH" hidden="1" function="0" vbProcedure="0">"c808"</definedName>
    <definedName name="IQ_NON_OPER_EXP" hidden="1" function="0" vbProcedure="0">"c809"</definedName>
    <definedName name="IQ_NON_OPER_INC" hidden="1" function="0" vbProcedure="0">"c810"</definedName>
    <definedName name="IQ_NON_PERFORMING_ASSETS" hidden="1" function="0" vbProcedure="0">"c826"</definedName>
    <definedName name="IQ_NON_PERFORMING_LOANS" hidden="1" function="0" vbProcedure="0">"c827"</definedName>
    <definedName name="IQ_NON_PERF_ASSETS_10YR_ANN_GROWTH" hidden="1" function="0" vbProcedure="0">"c811"</definedName>
    <definedName name="IQ_NON_PERF_ASSETS_1YR_ANN_GROWTH" hidden="1" function="0" vbProcedure="0">"c812"</definedName>
    <definedName name="IQ_NON_PERF_ASSETS_2YR_ANN_GROWTH" hidden="1" function="0" vbProcedure="0">"c813"</definedName>
    <definedName name="IQ_NON_PERF_ASSETS_3YR_ANN_GROWTH" hidden="1" function="0" vbProcedure="0">"c814"</definedName>
    <definedName name="IQ_NON_PERF_ASSETS_5YR_ANN_GROWTH" hidden="1" function="0" vbProcedure="0">"c815"</definedName>
    <definedName name="IQ_NON_PERF_ASSETS_7YR_ANN_GROWTH" hidden="1" function="0" vbProcedure="0">"c816"</definedName>
    <definedName name="IQ_NON_PERF_ASSETS_TOTAL_ASSETS" hidden="1" function="0" vbProcedure="0">"c817"</definedName>
    <definedName name="IQ_NON_PERF_LOANS_10YR_ANN_GROWTH" hidden="1" function="0" vbProcedure="0">"c818"</definedName>
    <definedName name="IQ_NON_PERF_LOANS_1YR_ANN_GROWTH" hidden="1" function="0" vbProcedure="0">"c819"</definedName>
    <definedName name="IQ_NON_PERF_LOANS_2YR_ANN_GROWTH" hidden="1" function="0" vbProcedure="0">"c820"</definedName>
    <definedName name="IQ_NON_PERF_LOANS_3YR_ANN_GROWTH" hidden="1" function="0" vbProcedure="0">"c821"</definedName>
    <definedName name="IQ_NON_PERF_LOANS_5YR_ANN_GROWTH" hidden="1" function="0" vbProcedure="0">"c822"</definedName>
    <definedName name="IQ_NON_PERF_LOANS_7YR_ANN_GROWTH" hidden="1" function="0" vbProcedure="0">"c823"</definedName>
    <definedName name="IQ_NON_PERF_LOANS_TOTAL_ASSETS" hidden="1" function="0" vbProcedure="0">"c824"</definedName>
    <definedName name="IQ_NON_PERF_LOANS_TOTAL_LOANS" hidden="1" function="0" vbProcedure="0">"c825"</definedName>
    <definedName name="IQ_NORMAL_INC_AFTER" hidden="1" function="0" vbProcedure="0">"c1605"</definedName>
    <definedName name="IQ_NORMAL_INC_AVAIL" hidden="1" function="0" vbProcedure="0">"c1606"</definedName>
    <definedName name="IQ_NORMAL_INC_BEFORE" hidden="1" function="0" vbProcedure="0">"c1607"</definedName>
    <definedName name="IQ_NOTES_PAY" hidden="1" function="0" vbProcedure="0">"c1423"</definedName>
    <definedName name="IQ_NOW_ACCOUNT" hidden="1" function="0" vbProcedure="0">"c828"</definedName>
    <definedName name="IQ_NPPE" hidden="1" function="0" vbProcedure="0">"c829"</definedName>
    <definedName name="IQ_NPPE_10YR_ANN_GROWTH" hidden="1" function="0" vbProcedure="0">"c830"</definedName>
    <definedName name="IQ_NPPE_1YR_ANN_GROWTH" hidden="1" function="0" vbProcedure="0">"c831"</definedName>
    <definedName name="IQ_NPPE_2YR_ANN_GROWTH" hidden="1" function="0" vbProcedure="0">"c832"</definedName>
    <definedName name="IQ_NPPE_3YR_ANN_GROWTH" hidden="1" function="0" vbProcedure="0">"c833"</definedName>
    <definedName name="IQ_NPPE_5YR_ANN_GROWTH" hidden="1" function="0" vbProcedure="0">"c834"</definedName>
    <definedName name="IQ_NPPE_7YR_ANN_GROWTH" hidden="1" function="0" vbProcedure="0">"c835"</definedName>
    <definedName name="IQ_NTM" hidden="1" function="0" vbProcedure="0">6000</definedName>
    <definedName name="IQ_NUKE" hidden="1" function="0" vbProcedure="0">"c836"</definedName>
    <definedName name="IQ_NUKE_CF" hidden="1" function="0" vbProcedure="0">"c837"</definedName>
    <definedName name="IQ_NUKE_CONTR" hidden="1" function="0" vbProcedure="0">"c838"</definedName>
    <definedName name="IQ_NUMBER_ADRHOLDERS" hidden="1" function="0" vbProcedure="0">"c1970"</definedName>
    <definedName name="IQ_NUMBER_DAYS" hidden="1" function="0" vbProcedure="0">"c1904"</definedName>
    <definedName name="IQ_NUMBER_SHAREHOLDERS" hidden="1" function="0" vbProcedure="0">"c1967"</definedName>
    <definedName name="IQ_NUMBER_SHAREHOLDERS_CLASSA" hidden="1" function="0" vbProcedure="0">"c1968"</definedName>
    <definedName name="IQ_NUMBER_SHAREHOLDERS_OTHER" hidden="1" function="0" vbProcedure="0">"c1969"</definedName>
    <definedName name="IQ_NUM_BRANCHES" hidden="1" function="0" vbProcedure="0">"c2088"</definedName>
    <definedName name="IQ_OCCUPY_EXP" hidden="1" function="0" vbProcedure="0">"c839"</definedName>
    <definedName name="IQ_OG_10DISC" hidden="1" function="0" vbProcedure="0">"c1998"</definedName>
    <definedName name="IQ_OG_10DISC_GAS" hidden="1" function="0" vbProcedure="0">"c2018"</definedName>
    <definedName name="IQ_OG_10DISC_OIL" hidden="1" function="0" vbProcedure="0">"c2008"</definedName>
    <definedName name="IQ_OG_ACQ_COST_PROVED" hidden="1" function="0" vbProcedure="0">"c1975"</definedName>
    <definedName name="IQ_OG_ACQ_COST_PROVED_GAS" hidden="1" function="0" vbProcedure="0">"c1987"</definedName>
    <definedName name="IQ_OG_ACQ_COST_PROVED_OIL" hidden="1" function="0" vbProcedure="0">"c1981"</definedName>
    <definedName name="IQ_OG_ACQ_COST_UNPROVED" hidden="1" function="0" vbProcedure="0">"c1976"</definedName>
    <definedName name="IQ_OG_ACQ_COST_UNPROVED_GAS" hidden="1" function="0" vbProcedure="0">"c1988"</definedName>
    <definedName name="IQ_OG_ACQ_COST_UNPROVED_OIL" hidden="1" function="0" vbProcedure="0">"c1982"</definedName>
    <definedName name="IQ_OG_CLOSE_BALANCE_GAS" hidden="1" function="0" vbProcedure="0">"c2049"</definedName>
    <definedName name="IQ_OG_CLOSE_BALANCE_OIL" hidden="1" function="0" vbProcedure="0">"c2037"</definedName>
    <definedName name="IQ_OG_DCF_BEFORE_TAXES" hidden="1" function="0" vbProcedure="0">"c2023"</definedName>
    <definedName name="IQ_OG_DCF_BEFORE_TAXES_GAS" hidden="1" function="0" vbProcedure="0">"c2025"</definedName>
    <definedName name="IQ_OG_DCF_BEFORE_TAXES_OIL" hidden="1" function="0" vbProcedure="0">"c2024"</definedName>
    <definedName name="IQ_OG_DEVELOPED_RESERVES_GAS" hidden="1" function="0" vbProcedure="0">"c2053"</definedName>
    <definedName name="IQ_OG_DEVELOPED_RESERVES_OIL" hidden="1" function="0" vbProcedure="0">"c2054"</definedName>
    <definedName name="IQ_OG_DEVELOPMENT_COSTS" hidden="1" function="0" vbProcedure="0">"c1978"</definedName>
    <definedName name="IQ_OG_DEVELOPMENT_COSTS_GAS" hidden="1" function="0" vbProcedure="0">"c1990"</definedName>
    <definedName name="IQ_OG_DEVELOPMENT_COSTS_OIL" hidden="1" function="0" vbProcedure="0">"c1984"</definedName>
    <definedName name="IQ_OG_EQUITY_DCF" hidden="1" function="0" vbProcedure="0">"c2002"</definedName>
    <definedName name="IQ_OG_EQUITY_DCF_GAS" hidden="1" function="0" vbProcedure="0">"c2022"</definedName>
    <definedName name="IQ_OG_EQUITY_DCF_OIL" hidden="1" function="0" vbProcedure="0">"c2012"</definedName>
    <definedName name="IQ_OG_EQUTY_RESERVES_GAS" hidden="1" function="0" vbProcedure="0">"c2050"</definedName>
    <definedName name="IQ_OG_EQUTY_RESERVES_OIL" hidden="1" function="0" vbProcedure="0">"c2038"</definedName>
    <definedName name="IQ_OG_EXPLORATION_COSTS" hidden="1" function="0" vbProcedure="0">"c1977"</definedName>
    <definedName name="IQ_OG_EXPLORATION_COSTS_GAS" hidden="1" function="0" vbProcedure="0">"c1989"</definedName>
    <definedName name="IQ_OG_EXPLORATION_COSTS_OIL" hidden="1" function="0" vbProcedure="0">"c1983"</definedName>
    <definedName name="IQ_OG_EXT_DISC_GAS" hidden="1" function="0" vbProcedure="0">"c2043"</definedName>
    <definedName name="IQ_OG_EXT_DISC_OIL" hidden="1" function="0" vbProcedure="0">"c2031"</definedName>
    <definedName name="IQ_OG_FUTURE_CASH_INFLOWS" hidden="1" function="0" vbProcedure="0">"c1993"</definedName>
    <definedName name="IQ_OG_FUTURE_CASH_INFLOWS_GAS" hidden="1" function="0" vbProcedure="0">"c2013"</definedName>
    <definedName name="IQ_OG_FUTURE_CASH_INFLOWS_OIL" hidden="1" function="0" vbProcedure="0">"c2003"</definedName>
    <definedName name="IQ_OG_FUTURE_DEVELOPMENT_COSTS" hidden="1" function="0" vbProcedure="0">"c1995"</definedName>
    <definedName name="IQ_OG_FUTURE_DEVELOPMENT_COSTS_GAS" hidden="1" function="0" vbProcedure="0">"c2015"</definedName>
    <definedName name="IQ_OG_FUTURE_DEVELOPMENT_COSTS_OIL" hidden="1" function="0" vbProcedure="0">"c2005"</definedName>
    <definedName name="IQ_OG_FUTURE_INC_TAXES" hidden="1" function="0" vbProcedure="0">"c1997"</definedName>
    <definedName name="IQ_OG_FUTURE_INC_TAXES_GAS" hidden="1" function="0" vbProcedure="0">"c2017"</definedName>
    <definedName name="IQ_OG_FUTURE_INC_TAXES_OIL" hidden="1" function="0" vbProcedure="0">"c2007"</definedName>
    <definedName name="IQ_OG_FUTURE_PRODUCTION_COSTS" hidden="1" function="0" vbProcedure="0">"c1994"</definedName>
    <definedName name="IQ_OG_FUTURE_PRODUCTION_COSTS_GAS" hidden="1" function="0" vbProcedure="0">"c2014"</definedName>
    <definedName name="IQ_OG_FUTURE_PRODUCTION_COSTS_OIL" hidden="1" function="0" vbProcedure="0">"c2004"</definedName>
    <definedName name="IQ_OG_GAS_PRICE_HEDGED" hidden="1" function="0" vbProcedure="0">"c2056"</definedName>
    <definedName name="IQ_OG_GAS_PRICE_UNHEDGED" hidden="1" function="0" vbProcedure="0">"c2058"</definedName>
    <definedName name="IQ_OG_IMPROVED_RECOVERY_GAS" hidden="1" function="0" vbProcedure="0">"c2044"</definedName>
    <definedName name="IQ_OG_IMPROVED_RECOVERY_OIL" hidden="1" function="0" vbProcedure="0">"c2032"</definedName>
    <definedName name="IQ_OG_NET_FUTURE_CASH_FLOWS" hidden="1" function="0" vbProcedure="0">"c1996"</definedName>
    <definedName name="IQ_OG_NET_FUTURE_CASH_FLOWS_GAS" hidden="1" function="0" vbProcedure="0">"c2016"</definedName>
    <definedName name="IQ_OG_NET_FUTURE_CASH_FLOWS_OIL" hidden="1" function="0" vbProcedure="0">"c2006"</definedName>
    <definedName name="IQ_OG_OIL_PRICE_HEDGED" hidden="1" function="0" vbProcedure="0">"c2055"</definedName>
    <definedName name="IQ_OG_OIL_PRICE_UNHEDGED" hidden="1" function="0" vbProcedure="0">"c2057"</definedName>
    <definedName name="IQ_OG_OPEN_BALANCE_GAS" hidden="1" function="0" vbProcedure="0">"c2041"</definedName>
    <definedName name="IQ_OG_OPEN_BALANCE_OIL" hidden="1" function="0" vbProcedure="0">"c2029"</definedName>
    <definedName name="IQ_OG_OTHER_ADJ_FCF" hidden="1" function="0" vbProcedure="0">"c1999"</definedName>
    <definedName name="IQ_OG_OTHER_ADJ_FCF_GAS" hidden="1" function="0" vbProcedure="0">"c2019"</definedName>
    <definedName name="IQ_OG_OTHER_ADJ_FCF_OIL" hidden="1" function="0" vbProcedure="0">"c2009"</definedName>
    <definedName name="IQ_OG_OTHER_ADJ_GAS" hidden="1" function="0" vbProcedure="0">"c2048"</definedName>
    <definedName name="IQ_OG_OTHER_ADJ_OIL" hidden="1" function="0" vbProcedure="0">"c2036"</definedName>
    <definedName name="IQ_OG_OTHER_COSTS" hidden="1" function="0" vbProcedure="0">"c1979"</definedName>
    <definedName name="IQ_OG_OTHER_COSTS_GAS" hidden="1" function="0" vbProcedure="0">"c1991"</definedName>
    <definedName name="IQ_OG_OTHER_COSTS_OIL" hidden="1" function="0" vbProcedure="0">"c1985"</definedName>
    <definedName name="IQ_OG_PRODUCTION_GAS" hidden="1" function="0" vbProcedure="0">"c2047"</definedName>
    <definedName name="IQ_OG_PRODUCTION_OIL" hidden="1" function="0" vbProcedure="0">"c2035"</definedName>
    <definedName name="IQ_OG_PURCHASES_GAS" hidden="1" function="0" vbProcedure="0">"c2045"</definedName>
    <definedName name="IQ_OG_PURCHASES_OIL" hidden="1" function="0" vbProcedure="0">"c2033"</definedName>
    <definedName name="IQ_OG_REVISIONS_GAS" hidden="1" function="0" vbProcedure="0">"c2042"</definedName>
    <definedName name="IQ_OG_REVISIONS_OIL" hidden="1" function="0" vbProcedure="0">"c2030"</definedName>
    <definedName name="IQ_OG_SALES_IN_PLACE_GAS" hidden="1" function="0" vbProcedure="0">"c2046"</definedName>
    <definedName name="IQ_OG_SALES_IN_PLACE_OIL" hidden="1" function="0" vbProcedure="0">"c2034"</definedName>
    <definedName name="IQ_OG_STANDARDIZED_DCF" hidden="1" function="0" vbProcedure="0">"c2000"</definedName>
    <definedName name="IQ_OG_STANDARDIZED_DCF_GAS" hidden="1" function="0" vbProcedure="0">"c2020"</definedName>
    <definedName name="IQ_OG_STANDARDIZED_DCF_HEDGED" hidden="1" function="0" vbProcedure="0">"c2001"</definedName>
    <definedName name="IQ_OG_STANDARDIZED_DCF_HEDGED_GAS" hidden="1" function="0" vbProcedure="0">"c2021"</definedName>
    <definedName name="IQ_OG_STANDARDIZED_DCF_HEDGED_OIL" hidden="1" function="0" vbProcedure="0">"c2011"</definedName>
    <definedName name="IQ_OG_STANDARDIZED_DCF_OIL" hidden="1" function="0" vbProcedure="0">"c2010"</definedName>
    <definedName name="IQ_OG_TAXES" hidden="1" function="0" vbProcedure="0">"c2026"</definedName>
    <definedName name="IQ_OG_TAXES_GAS" hidden="1" function="0" vbProcedure="0">"c2028"</definedName>
    <definedName name="IQ_OG_TAXES_OIL" hidden="1" function="0" vbProcedure="0">"c2027"</definedName>
    <definedName name="IQ_OG_TOTAL_COSTS" hidden="1" function="0" vbProcedure="0">"c1980"</definedName>
    <definedName name="IQ_OG_TOTAL_COSTS_GAS" hidden="1" function="0" vbProcedure="0">"c1992"</definedName>
    <definedName name="IQ_OG_TOTAL_COSTS_OIL" hidden="1" function="0" vbProcedure="0">"c1986"</definedName>
    <definedName name="IQ_OG_TOTAL_EST_PROVED_RESERVES_GAS" hidden="1" function="0" vbProcedure="0">"c2052"</definedName>
    <definedName name="IQ_OG_TOTAL_GAS_PRODUCTION" hidden="1" function="0" vbProcedure="0">"c2060"</definedName>
    <definedName name="IQ_OG_TOTAL_OIL_PRODUCTON" hidden="1" function="0" vbProcedure="0">"c2059"</definedName>
    <definedName name="IQ_OG_UNDEVELOPED_RESERVES_GAS" hidden="1" function="0" vbProcedure="0">"c2051"</definedName>
    <definedName name="IQ_OG_UNDEVELOPED_RESERVES_OIL" hidden="1" function="0" vbProcedure="0">"c2039"</definedName>
    <definedName name="IQ_OIL_IMPAIR" hidden="1" function="0" vbProcedure="0">"c840"</definedName>
    <definedName name="IQ_OL_COMM_AFTER_FIVE" hidden="1" function="0" vbProcedure="0">"c841"</definedName>
    <definedName name="IQ_OL_COMM_CY" hidden="1" function="0" vbProcedure="0">"c842"</definedName>
    <definedName name="IQ_OL_COMM_CY1" hidden="1" function="0" vbProcedure="0">"c843"</definedName>
    <definedName name="IQ_OL_COMM_CY2" hidden="1" function="0" vbProcedure="0">"c844"</definedName>
    <definedName name="IQ_OL_COMM_CY3" hidden="1" function="0" vbProcedure="0">"c845"</definedName>
    <definedName name="IQ_OL_COMM_CY4" hidden="1" function="0" vbProcedure="0">"c846"</definedName>
    <definedName name="IQ_OL_COMM_NEXT_FIVE" hidden="1" function="0" vbProcedure="0">"c847"</definedName>
    <definedName name="IQ_OPENPRICE" hidden="1" function="0" vbProcedure="0">"c848"</definedName>
    <definedName name="IQ_OPERATIONS_EXP" hidden="1" function="0" vbProcedure="0">"c855"</definedName>
    <definedName name="IQ_OPER_INC" hidden="1" function="0" vbProcedure="0">"c849"</definedName>
    <definedName name="IQ_OPER_INC_BR" hidden="1" function="0" vbProcedure="0">"c850"</definedName>
    <definedName name="IQ_OPER_INC_FIN" hidden="1" function="0" vbProcedure="0">"c851"</definedName>
    <definedName name="IQ_OPER_INC_INS" hidden="1" function="0" vbProcedure="0">"c852"</definedName>
    <definedName name="IQ_OPER_INC_MARGIN" hidden="1" function="0" vbProcedure="0">"c1448"</definedName>
    <definedName name="IQ_OPER_INC_REIT" hidden="1" function="0" vbProcedure="0">"c853"</definedName>
    <definedName name="IQ_OPER_INC_UTI" hidden="1" function="0" vbProcedure="0">"c854"</definedName>
    <definedName name="IQ_OPTIONS_BEG_OS" hidden="1" function="0" vbProcedure="0">"c1572"</definedName>
    <definedName name="IQ_OPTIONS_CANCELLED" hidden="1" function="0" vbProcedure="0">"c856"</definedName>
    <definedName name="IQ_OPTIONS_END_OS" hidden="1" function="0" vbProcedure="0">"c1573"</definedName>
    <definedName name="IQ_OPTIONS_EXERCISED" hidden="1" function="0" vbProcedure="0">"c2116"</definedName>
    <definedName name="IQ_OPTIONS_ISSUED" hidden="1" function="0" vbProcedure="0">"c857"</definedName>
    <definedName name="IQ_ORDER_BACKLOG" hidden="1" function="0" vbProcedure="0">"c2090"</definedName>
    <definedName name="IQ_OTHER_ADJUST_GROSS_LOANS" hidden="1" function="0" vbProcedure="0">"c859"</definedName>
    <definedName name="IQ_OTHER_ASSETS" hidden="1" function="0" vbProcedure="0">"c860"</definedName>
    <definedName name="IQ_OTHER_ASSETS_BNK" hidden="1" function="0" vbProcedure="0">"c861"</definedName>
    <definedName name="IQ_OTHER_ASSETS_BR" hidden="1" function="0" vbProcedure="0">"c862"</definedName>
    <definedName name="IQ_OTHER_ASSETS_FIN" hidden="1" function="0" vbProcedure="0">"c863"</definedName>
    <definedName name="IQ_OTHER_ASSETS_INS" hidden="1" function="0" vbProcedure="0">"c864"</definedName>
    <definedName name="IQ_OTHER_ASSETS_REIT" hidden="1" function="0" vbProcedure="0">"c865"</definedName>
    <definedName name="IQ_OTHER_ASSETS_UTI" hidden="1" function="0" vbProcedure="0">"c866"</definedName>
    <definedName name="IQ_OTHER_BEARING_LIAB" hidden="1" function="0" vbProcedure="0">"c1608"</definedName>
    <definedName name="IQ_OTHER_BENEFITS_OBLIGATION" hidden="1" function="0" vbProcedure="0">"c867"</definedName>
    <definedName name="IQ_OTHER_CA" hidden="1" function="0" vbProcedure="0">"c868"</definedName>
    <definedName name="IQ_OTHER_CA_SUPPL" hidden="1" function="0" vbProcedure="0">"c869"</definedName>
    <definedName name="IQ_OTHER_CA_SUPPL_BNK" hidden="1" function="0" vbProcedure="0">"c870"</definedName>
    <definedName name="IQ_OTHER_CA_SUPPL_BR" hidden="1" function="0" vbProcedure="0">"c871"</definedName>
    <definedName name="IQ_OTHER_CA_SUPPL_FIN" hidden="1" function="0" vbProcedure="0">"c872"</definedName>
    <definedName name="IQ_OTHER_CA_SUPPL_INS" hidden="1" function="0" vbProcedure="0">"c873"</definedName>
    <definedName name="IQ_OTHER_CA_SUPPL_REIT" hidden="1" function="0" vbProcedure="0">"c874"</definedName>
    <definedName name="IQ_OTHER_CA_SUPPL_UTI" hidden="1" function="0" vbProcedure="0">"c875"</definedName>
    <definedName name="IQ_OTHER_CA_UTI" hidden="1" function="0" vbProcedure="0">"c876"</definedName>
    <definedName name="IQ_OTHER_CL" hidden="1" function="0" vbProcedure="0">"c877"</definedName>
    <definedName name="IQ_OTHER_CL_SUPPL" hidden="1" function="0" vbProcedure="0">"c878"</definedName>
    <definedName name="IQ_OTHER_CL_SUPPL_BNK" hidden="1" function="0" vbProcedure="0">"c879"</definedName>
    <definedName name="IQ_OTHER_CL_SUPPL_BR" hidden="1" function="0" vbProcedure="0">"c880"</definedName>
    <definedName name="IQ_OTHER_CL_SUPPL_FIN" hidden="1" function="0" vbProcedure="0">"c881"</definedName>
    <definedName name="IQ_OTHER_CL_SUPPL_REIT" hidden="1" function="0" vbProcedure="0">"c882"</definedName>
    <definedName name="IQ_OTHER_CL_SUPPL_UTI" hidden="1" function="0" vbProcedure="0">"c883"</definedName>
    <definedName name="IQ_OTHER_CL_UTI" hidden="1" function="0" vbProcedure="0">"c884"</definedName>
    <definedName name="IQ_OTHER_CURRENT_ASSETS" hidden="1" function="0" vbProcedure="0">"c1403"</definedName>
    <definedName name="IQ_OTHER_CURRENT_LIAB" hidden="1" function="0" vbProcedure="0">"c1404"</definedName>
    <definedName name="IQ_OTHER_DEP" hidden="1" function="0" vbProcedure="0">"c885"</definedName>
    <definedName name="IQ_OTHER_EARNING" hidden="1" function="0" vbProcedure="0">"c1609"</definedName>
    <definedName name="IQ_OTHER_EQUITY" hidden="1" function="0" vbProcedure="0">"c886"</definedName>
    <definedName name="IQ_OTHER_EQUITY_BNK" hidden="1" function="0" vbProcedure="0">"c887"</definedName>
    <definedName name="IQ_OTHER_EQUITY_BR" hidden="1" function="0" vbProcedure="0">"c888"</definedName>
    <definedName name="IQ_OTHER_EQUITY_FIN" hidden="1" function="0" vbProcedure="0">"c889"</definedName>
    <definedName name="IQ_OTHER_EQUITY_INS" hidden="1" function="0" vbProcedure="0">"c890"</definedName>
    <definedName name="IQ_OTHER_EQUITY_REIT" hidden="1" function="0" vbProcedure="0">"c891"</definedName>
    <definedName name="IQ_OTHER_EQUITY_UTI" hidden="1" function="0" vbProcedure="0">"c892"</definedName>
    <definedName name="IQ_OTHER_FINANCE_ACT" hidden="1" function="0" vbProcedure="0">"c893"</definedName>
    <definedName name="IQ_OTHER_FINANCE_ACT_BNK" hidden="1" function="0" vbProcedure="0">"c894"</definedName>
    <definedName name="IQ_OTHER_FINANCE_ACT_BR" hidden="1" function="0" vbProcedure="0">"c895"</definedName>
    <definedName name="IQ_OTHER_FINANCE_ACT_FIN" hidden="1" function="0" vbProcedure="0">"c896"</definedName>
    <definedName name="IQ_OTHER_FINANCE_ACT_INS" hidden="1" function="0" vbProcedure="0">"c897"</definedName>
    <definedName name="IQ_OTHER_FINANCE_ACT_REIT" hidden="1" function="0" vbProcedure="0">"c898"</definedName>
    <definedName name="IQ_OTHER_FINANCE_ACT_SUPPL" hidden="1" function="0" vbProcedure="0">"c899"</definedName>
    <definedName name="IQ_OTHER_FINANCE_ACT_SUPPL_BNK" hidden="1" function="0" vbProcedure="0">"c900"</definedName>
    <definedName name="IQ_OTHER_FINANCE_ACT_SUPPL_BR" hidden="1" function="0" vbProcedure="0">"c901"</definedName>
    <definedName name="IQ_OTHER_FINANCE_ACT_SUPPL_FIN" hidden="1" function="0" vbProcedure="0">"c902"</definedName>
    <definedName name="IQ_OTHER_FINANCE_ACT_SUPPL_INS" hidden="1" function="0" vbProcedure="0">"c903"</definedName>
    <definedName name="IQ_OTHER_FINANCE_ACT_SUPPL_REIT" hidden="1" function="0" vbProcedure="0">"c904"</definedName>
    <definedName name="IQ_OTHER_FINANCE_ACT_SUPPL_UTI" hidden="1" function="0" vbProcedure="0">"c905"</definedName>
    <definedName name="IQ_OTHER_FINANCE_ACT_UTI" hidden="1" function="0" vbProcedure="0">"c906"</definedName>
    <definedName name="IQ_OTHER_INTAN" hidden="1" function="0" vbProcedure="0">"c907"</definedName>
    <definedName name="IQ_OTHER_INTAN_BNK" hidden="1" function="0" vbProcedure="0">"c908"</definedName>
    <definedName name="IQ_OTHER_INTAN_BR" hidden="1" function="0" vbProcedure="0">"c909"</definedName>
    <definedName name="IQ_OTHER_INTAN_FIN" hidden="1" function="0" vbProcedure="0">"c910"</definedName>
    <definedName name="IQ_OTHER_INTAN_INS" hidden="1" function="0" vbProcedure="0">"c911"</definedName>
    <definedName name="IQ_OTHER_INTAN_REIT" hidden="1" function="0" vbProcedure="0">"c912"</definedName>
    <definedName name="IQ_OTHER_INTAN_UTI" hidden="1" function="0" vbProcedure="0">"c913"</definedName>
    <definedName name="IQ_OTHER_INV" hidden="1" function="0" vbProcedure="0">"c914"</definedName>
    <definedName name="IQ_OTHER_INVEST" hidden="1" function="0" vbProcedure="0">"c915"</definedName>
    <definedName name="IQ_OTHER_INVESTING" hidden="1" function="0" vbProcedure="0">"c1408"</definedName>
    <definedName name="IQ_OTHER_INVEST_ACT" hidden="1" function="0" vbProcedure="0">"c916"</definedName>
    <definedName name="IQ_OTHER_INVEST_ACT_BNK" hidden="1" function="0" vbProcedure="0">"c917"</definedName>
    <definedName name="IQ_OTHER_INVEST_ACT_BR" hidden="1" function="0" vbProcedure="0">"c918"</definedName>
    <definedName name="IQ_OTHER_INVEST_ACT_FIN" hidden="1" function="0" vbProcedure="0">"c919"</definedName>
    <definedName name="IQ_OTHER_INVEST_ACT_INS" hidden="1" function="0" vbProcedure="0">"c920"</definedName>
    <definedName name="IQ_OTHER_INVEST_ACT_REIT" hidden="1" function="0" vbProcedure="0">"c921"</definedName>
    <definedName name="IQ_OTHER_INVEST_ACT_SUPPL" hidden="1" function="0" vbProcedure="0">"c922"</definedName>
    <definedName name="IQ_OTHER_INVEST_ACT_SUPPL_BNK" hidden="1" function="0" vbProcedure="0">"c923"</definedName>
    <definedName name="IQ_OTHER_INVEST_ACT_SUPPL_BR" hidden="1" function="0" vbProcedure="0">"c924"</definedName>
    <definedName name="IQ_OTHER_INVEST_ACT_SUPPL_FIN" hidden="1" function="0" vbProcedure="0">"c925"</definedName>
    <definedName name="IQ_OTHER_INVEST_ACT_SUPPL_INS" hidden="1" function="0" vbProcedure="0">"c926"</definedName>
    <definedName name="IQ_OTHER_INVEST_ACT_SUPPL_REIT" hidden="1" function="0" vbProcedure="0">"c927"</definedName>
    <definedName name="IQ_OTHER_INVEST_ACT_SUPPL_UTI" hidden="1" function="0" vbProcedure="0">"c928"</definedName>
    <definedName name="IQ_OTHER_INVEST_ACT_UTI" hidden="1" function="0" vbProcedure="0">"c929"</definedName>
    <definedName name="IQ_OTHER_LIAB" hidden="1" function="0" vbProcedure="0">"c930"</definedName>
    <definedName name="IQ_OTHER_LIAB_BNK" hidden="1" function="0" vbProcedure="0">"c931"</definedName>
    <definedName name="IQ_OTHER_LIAB_BR" hidden="1" function="0" vbProcedure="0">"c932"</definedName>
    <definedName name="IQ_OTHER_LIAB_FIN" hidden="1" function="0" vbProcedure="0">"c933"</definedName>
    <definedName name="IQ_OTHER_LIAB_INS" hidden="1" function="0" vbProcedure="0">"c934"</definedName>
    <definedName name="IQ_OTHER_LIAB_LT" hidden="1" function="0" vbProcedure="0">"c935"</definedName>
    <definedName name="IQ_OTHER_LIAB_LT_BNK" hidden="1" function="0" vbProcedure="0">"c936"</definedName>
    <definedName name="IQ_OTHER_LIAB_LT_BR" hidden="1" function="0" vbProcedure="0">"c937"</definedName>
    <definedName name="IQ_OTHER_LIAB_LT_FIN" hidden="1" function="0" vbProcedure="0">"c938"</definedName>
    <definedName name="IQ_OTHER_LIAB_LT_INS" hidden="1" function="0" vbProcedure="0">"c939"</definedName>
    <definedName name="IQ_OTHER_LIAB_LT_REIT" hidden="1" function="0" vbProcedure="0">"c940"</definedName>
    <definedName name="IQ_OTHER_LIAB_LT_UTI" hidden="1" function="0" vbProcedure="0">"c941"</definedName>
    <definedName name="IQ_OTHER_LIAB_REIT" hidden="1" function="0" vbProcedure="0">"c942"</definedName>
    <definedName name="IQ_OTHER_LIAB_UTI" hidden="1" function="0" vbProcedure="0">"c943"</definedName>
    <definedName name="IQ_OTHER_LIAB_WRITTEN" hidden="1" function="0" vbProcedure="0">"c944"</definedName>
    <definedName name="IQ_OTHER_LOANS" hidden="1" function="0" vbProcedure="0">"c945"</definedName>
    <definedName name="IQ_OTHER_LONG_TERM" hidden="1" function="0" vbProcedure="0">"c1409"</definedName>
    <definedName name="IQ_OTHER_LT_ASSETS" hidden="1" function="0" vbProcedure="0">"c946"</definedName>
    <definedName name="IQ_OTHER_LT_ASSETS_BNK" hidden="1" function="0" vbProcedure="0">"c947"</definedName>
    <definedName name="IQ_OTHER_LT_ASSETS_BR" hidden="1" function="0" vbProcedure="0">"c948"</definedName>
    <definedName name="IQ_OTHER_LT_ASSETS_FIN" hidden="1" function="0" vbProcedure="0">"c949"</definedName>
    <definedName name="IQ_OTHER_LT_ASSETS_INS" hidden="1" function="0" vbProcedure="0">"c950"</definedName>
    <definedName name="IQ_OTHER_LT_ASSETS_REIT" hidden="1" function="0" vbProcedure="0">"c951"</definedName>
    <definedName name="IQ_OTHER_LT_ASSETS_UTI" hidden="1" function="0" vbProcedure="0">"c952"</definedName>
    <definedName name="IQ_OTHER_NET" hidden="1" function="0" vbProcedure="0">"c1453"</definedName>
    <definedName name="IQ_OTHER_NON_INT_EXP" hidden="1" function="0" vbProcedure="0">"c953"</definedName>
    <definedName name="IQ_OTHER_NON_INT_EXP_TOTAL" hidden="1" function="0" vbProcedure="0">"c954"</definedName>
    <definedName name="IQ_OTHER_NON_INT_INC" hidden="1" function="0" vbProcedure="0">"c955"</definedName>
    <definedName name="IQ_OTHER_NON_OPER_EXP" hidden="1" function="0" vbProcedure="0">"c956"</definedName>
    <definedName name="IQ_OTHER_NON_OPER_EXP_BR" hidden="1" function="0" vbProcedure="0">"c957"</definedName>
    <definedName name="IQ_OTHER_NON_OPER_EXP_FIN" hidden="1" function="0" vbProcedure="0">"c958"</definedName>
    <definedName name="IQ_OTHER_NON_OPER_EXP_INS" hidden="1" function="0" vbProcedure="0">"c959"</definedName>
    <definedName name="IQ_OTHER_NON_OPER_EXP_REIT" hidden="1" function="0" vbProcedure="0">"c960"</definedName>
    <definedName name="IQ_OTHER_NON_OPER_EXP_SUPPL" hidden="1" function="0" vbProcedure="0">"c961"</definedName>
    <definedName name="IQ_OTHER_NON_OPER_EXP_SUPPL_BR" hidden="1" function="0" vbProcedure="0">"c962"</definedName>
    <definedName name="IQ_OTHER_NON_OPER_EXP_SUPPL_FIN" hidden="1" function="0" vbProcedure="0">"c963"</definedName>
    <definedName name="IQ_OTHER_NON_OPER_EXP_SUPPL_INS" hidden="1" function="0" vbProcedure="0">"c964"</definedName>
    <definedName name="IQ_OTHER_NON_OPER_EXP_SUPPL_REIT" hidden="1" function="0" vbProcedure="0">"c965"</definedName>
    <definedName name="IQ_OTHER_NON_OPER_EXP_SUPPL_UTI" hidden="1" function="0" vbProcedure="0">"c966"</definedName>
    <definedName name="IQ_OTHER_NON_OPER_EXP_UTI" hidden="1" function="0" vbProcedure="0">"c967"</definedName>
    <definedName name="IQ_OTHER_OPER" hidden="1" function="0" vbProcedure="0">"c982"</definedName>
    <definedName name="IQ_OTHER_OPER_ACT" hidden="1" function="0" vbProcedure="0">"c983"</definedName>
    <definedName name="IQ_OTHER_OPER_ACT_BNK" hidden="1" function="0" vbProcedure="0">"c984"</definedName>
    <definedName name="IQ_OTHER_OPER_ACT_BR" hidden="1" function="0" vbProcedure="0">"c985"</definedName>
    <definedName name="IQ_OTHER_OPER_ACT_FIN" hidden="1" function="0" vbProcedure="0">"c986"</definedName>
    <definedName name="IQ_OTHER_OPER_ACT_INS" hidden="1" function="0" vbProcedure="0">"c987"</definedName>
    <definedName name="IQ_OTHER_OPER_ACT_REIT" hidden="1" function="0" vbProcedure="0">"c988"</definedName>
    <definedName name="IQ_OTHER_OPER_ACT_UTI" hidden="1" function="0" vbProcedure="0">"c989"</definedName>
    <definedName name="IQ_OTHER_OPER_BR" hidden="1" function="0" vbProcedure="0">"c990"</definedName>
    <definedName name="IQ_OTHER_OPER_FIN" hidden="1" function="0" vbProcedure="0">"c991"</definedName>
    <definedName name="IQ_OTHER_OPER_INS" hidden="1" function="0" vbProcedure="0">"c992"</definedName>
    <definedName name="IQ_OTHER_OPER_REIT" hidden="1" function="0" vbProcedure="0">"c993"</definedName>
    <definedName name="IQ_OTHER_OPER_SUPPL_BR" hidden="1" function="0" vbProcedure="0">"c994"</definedName>
    <definedName name="IQ_OTHER_OPER_SUPPL_FIN" hidden="1" function="0" vbProcedure="0">"c995"</definedName>
    <definedName name="IQ_OTHER_OPER_SUPPL_INS" hidden="1" function="0" vbProcedure="0">"c996"</definedName>
    <definedName name="IQ_OTHER_OPER_SUPPL_REIT" hidden="1" function="0" vbProcedure="0">"c997"</definedName>
    <definedName name="IQ_OTHER_OPER_SUPPL_UTI" hidden="1" function="0" vbProcedure="0">"c998"</definedName>
    <definedName name="IQ_OTHER_OPER_TOT_BNK" hidden="1" function="0" vbProcedure="0">"c999"</definedName>
    <definedName name="IQ_OTHER_OPER_TOT_BR" hidden="1" function="0" vbProcedure="0">"c1000"</definedName>
    <definedName name="IQ_OTHER_OPER_TOT_FIN" hidden="1" function="0" vbProcedure="0">"c1001"</definedName>
    <definedName name="IQ_OTHER_OPER_TOT_INS" hidden="1" function="0" vbProcedure="0">"c1002"</definedName>
    <definedName name="IQ_OTHER_OPER_TOT_REIT" hidden="1" function="0" vbProcedure="0">"c1003"</definedName>
    <definedName name="IQ_OTHER_OPER_TOT_UTI" hidden="1" function="0" vbProcedure="0">"c1004"</definedName>
    <definedName name="IQ_OTHER_OPER_UTI" hidden="1" function="0" vbProcedure="0">"c1005"</definedName>
    <definedName name="IQ_OTHER_OUTSTANDING_BS_DATE" hidden="1" function="0" vbProcedure="0">"c1972"</definedName>
    <definedName name="IQ_OTHER_OUTSTANDING_FILING_DATE" hidden="1" function="0" vbProcedure="0">"c1974"</definedName>
    <definedName name="IQ_OTHER_PC_WRITTEN" hidden="1" function="0" vbProcedure="0">"c1006"</definedName>
    <definedName name="IQ_OTHER_REAL_ESTATE" hidden="1" function="0" vbProcedure="0">"c1007"</definedName>
    <definedName name="IQ_OTHER_RECEIV" hidden="1" function="0" vbProcedure="0">"c1008"</definedName>
    <definedName name="IQ_OTHER_RECEIV_INS" hidden="1" function="0" vbProcedure="0">"c1009"</definedName>
    <definedName name="IQ_OTHER_REV" hidden="1" function="0" vbProcedure="0">"c1010"</definedName>
    <definedName name="IQ_OTHER_REVENUE" hidden="1" function="0" vbProcedure="0">"c1410"</definedName>
    <definedName name="IQ_OTHER_REV_BR" hidden="1" function="0" vbProcedure="0">"c1011"</definedName>
    <definedName name="IQ_OTHER_REV_FIN" hidden="1" function="0" vbProcedure="0">"c1012"</definedName>
    <definedName name="IQ_OTHER_REV_INS" hidden="1" function="0" vbProcedure="0">"c1013"</definedName>
    <definedName name="IQ_OTHER_REV_REIT" hidden="1" function="0" vbProcedure="0">"c1014"</definedName>
    <definedName name="IQ_OTHER_REV_SUPPL" hidden="1" function="0" vbProcedure="0">"c1015"</definedName>
    <definedName name="IQ_OTHER_REV_SUPPL_BR" hidden="1" function="0" vbProcedure="0">"c1016"</definedName>
    <definedName name="IQ_OTHER_REV_SUPPL_FIN" hidden="1" function="0" vbProcedure="0">"c1017"</definedName>
    <definedName name="IQ_OTHER_REV_SUPPL_INS" hidden="1" function="0" vbProcedure="0">"c1018"</definedName>
    <definedName name="IQ_OTHER_REV_SUPPL_REIT" hidden="1" function="0" vbProcedure="0">"c1019"</definedName>
    <definedName name="IQ_OTHER_REV_SUPPL_UTI" hidden="1" function="0" vbProcedure="0">"c1020"</definedName>
    <definedName name="IQ_OTHER_REV_UTI" hidden="1" function="0" vbProcedure="0">"c1021"</definedName>
    <definedName name="IQ_OTHER_UNUSUAL" hidden="1" function="0" vbProcedure="0">"c1488"</definedName>
    <definedName name="IQ_OTHER_UNUSUAL_BNK" hidden="1" function="0" vbProcedure="0">"c1560"</definedName>
    <definedName name="IQ_OTHER_UNUSUAL_BR" hidden="1" function="0" vbProcedure="0">"c1561"</definedName>
    <definedName name="IQ_OTHER_UNUSUAL_FIN" hidden="1" function="0" vbProcedure="0">"c1562"</definedName>
    <definedName name="IQ_OTHER_UNUSUAL_INS" hidden="1" function="0" vbProcedure="0">"c1563"</definedName>
    <definedName name="IQ_OTHER_UNUSUAL_REIT" hidden="1" function="0" vbProcedure="0">"c1564"</definedName>
    <definedName name="IQ_OTHER_UNUSUAL_SUPPL" hidden="1" function="0" vbProcedure="0">"c1494"</definedName>
    <definedName name="IQ_OTHER_UNUSUAL_SUPPL_BNK" hidden="1" function="0" vbProcedure="0">"c1495"</definedName>
    <definedName name="IQ_OTHER_UNUSUAL_SUPPL_BR" hidden="1" function="0" vbProcedure="0">"c1496"</definedName>
    <definedName name="IQ_OTHER_UNUSUAL_SUPPL_FIN" hidden="1" function="0" vbProcedure="0">"c1497"</definedName>
    <definedName name="IQ_OTHER_UNUSUAL_SUPPL_INS" hidden="1" function="0" vbProcedure="0">"c1498"</definedName>
    <definedName name="IQ_OTHER_UNUSUAL_SUPPL_REIT" hidden="1" function="0" vbProcedure="0">"c1499"</definedName>
    <definedName name="IQ_OTHER_UNUSUAL_SUPPL_UTI" hidden="1" function="0" vbProcedure="0">"c1500"</definedName>
    <definedName name="IQ_OTHER_UNUSUAL_UTI" hidden="1" function="0" vbProcedure="0">"c1565"</definedName>
    <definedName name="IQ_OUTSTANDING_BS_DATE" hidden="1" function="0" vbProcedure="0">"c2128"</definedName>
    <definedName name="IQ_OUTSTANDING_FILING_DATE" hidden="1" function="0" vbProcedure="0">"c2127"</definedName>
    <definedName name="IQ_PART_TIME" hidden="1" function="0" vbProcedure="0">"c1024"</definedName>
    <definedName name="IQ_PAYOUT_RATIO" hidden="1" function="0" vbProcedure="0">"c1900"</definedName>
    <definedName name="IQ_PAY_ACCRUED" hidden="1" function="0" vbProcedure="0">"c1457"</definedName>
    <definedName name="IQ_PBV" hidden="1" function="0" vbProcedure="0">"c1025"</definedName>
    <definedName name="IQ_PBV_AVG" hidden="1" function="0" vbProcedure="0">"c1026"</definedName>
    <definedName name="IQ_PC_WRITTEN" hidden="1" function="0" vbProcedure="0">"c1027"</definedName>
    <definedName name="IQ_PENSION" hidden="1" function="0" vbProcedure="0">"c1031"</definedName>
    <definedName name="IQ_PERIODDATE" hidden="1" function="0" vbProcedure="0">"c1414"</definedName>
    <definedName name="IQ_PERIODDATE_BS" hidden="1" function="0" vbProcedure="0">"c1032"</definedName>
    <definedName name="IQ_PERIODDATE_CF" hidden="1" function="0" vbProcedure="0">"c1033"</definedName>
    <definedName name="IQ_PERIODDATE_IS" hidden="1" function="0" vbProcedure="0">"c1034"</definedName>
    <definedName name="IQ_PERIODLENGTH_CF" hidden="1" function="0" vbProcedure="0">"c1502"</definedName>
    <definedName name="IQ_PERIODLENGTH_IS" hidden="1" function="0" vbProcedure="0">"c1503"</definedName>
    <definedName name="IQ_PERTYPE" hidden="1" function="0" vbProcedure="0">"c1611"</definedName>
    <definedName name="IQ_PE_EXCL" hidden="1" function="0" vbProcedure="0">"c1028"</definedName>
    <definedName name="IQ_PE_EXCL_AVG" hidden="1" function="0" vbProcedure="0">"c1029"</definedName>
    <definedName name="IQ_PE_EXCL_FWD" hidden="1" function="0" vbProcedure="0">"c1030"</definedName>
    <definedName name="IQ_PE_RATIO" hidden="1" function="0" vbProcedure="0">"c1610"</definedName>
    <definedName name="IQ_PLL" hidden="1" function="0" vbProcedure="0">"c2114"</definedName>
    <definedName name="IQ_POLICY_BENEFITS" hidden="1" function="0" vbProcedure="0">"c1036"</definedName>
    <definedName name="IQ_POLICY_COST" hidden="1" function="0" vbProcedure="0">"c1037"</definedName>
    <definedName name="IQ_POLICY_LIAB" hidden="1" function="0" vbProcedure="0">"c1612"</definedName>
    <definedName name="IQ_POLICY_LOANS" hidden="1" function="0" vbProcedure="0">"c1038"</definedName>
    <definedName name="IQ_POSTPAID_CHURN" hidden="1" function="0" vbProcedure="0">"c2121"</definedName>
    <definedName name="IQ_POSTPAID_SUBS" hidden="1" function="0" vbProcedure="0">"c2118"</definedName>
    <definedName name="IQ_POST_RETIRE_EXP" hidden="1" function="0" vbProcedure="0">"c1039"</definedName>
    <definedName name="IQ_PREF_CONVERT" hidden="1" function="0" vbProcedure="0">"c1041"</definedName>
    <definedName name="IQ_PREF_DIVID" hidden="1" function="0" vbProcedure="0">"c1461"</definedName>
    <definedName name="IQ_PREF_DIV_CF" hidden="1" function="0" vbProcedure="0">"c1042"</definedName>
    <definedName name="IQ_PREF_DIV_OTHER" hidden="1" function="0" vbProcedure="0">"c1043"</definedName>
    <definedName name="IQ_PREF_EQUITY" hidden="1" function="0" vbProcedure="0">"c1044"</definedName>
    <definedName name="IQ_PREF_ISSUED" hidden="1" function="0" vbProcedure="0">"c1045"</definedName>
    <definedName name="IQ_PREF_ISSUED_BNK" hidden="1" function="0" vbProcedure="0">"c1046"</definedName>
    <definedName name="IQ_PREF_ISSUED_BR" hidden="1" function="0" vbProcedure="0">"c1047"</definedName>
    <definedName name="IQ_PREF_ISSUED_FIN" hidden="1" function="0" vbProcedure="0">"c1048"</definedName>
    <definedName name="IQ_PREF_ISSUED_INS" hidden="1" function="0" vbProcedure="0">"c1049"</definedName>
    <definedName name="IQ_PREF_ISSUED_REIT" hidden="1" function="0" vbProcedure="0">"c1050"</definedName>
    <definedName name="IQ_PREF_ISSUED_UTI" hidden="1" function="0" vbProcedure="0">"c1051"</definedName>
    <definedName name="IQ_PREF_NON_REDEEM" hidden="1" function="0" vbProcedure="0">"c1052"</definedName>
    <definedName name="IQ_PREF_OTHER" hidden="1" function="0" vbProcedure="0">"c1053"</definedName>
    <definedName name="IQ_PREF_OTHER_BNK" hidden="1" function="0" vbProcedure="0">"c1054"</definedName>
    <definedName name="IQ_PREF_OTHER_BR" hidden="1" function="0" vbProcedure="0">"c1055"</definedName>
    <definedName name="IQ_PREF_OTHER_FIN" hidden="1" function="0" vbProcedure="0">"c1056"</definedName>
    <definedName name="IQ_PREF_OTHER_INS" hidden="1" function="0" vbProcedure="0">"c1057"</definedName>
    <definedName name="IQ_PREF_OTHER_REIT" hidden="1" function="0" vbProcedure="0">"c1058"</definedName>
    <definedName name="IQ_PREF_REDEEM" hidden="1" function="0" vbProcedure="0">"c1059"</definedName>
    <definedName name="IQ_PREF_REP" hidden="1" function="0" vbProcedure="0">"c1060"</definedName>
    <definedName name="IQ_PREF_REP_BNK" hidden="1" function="0" vbProcedure="0">"c1061"</definedName>
    <definedName name="IQ_PREF_REP_BR" hidden="1" function="0" vbProcedure="0">"c1062"</definedName>
    <definedName name="IQ_PREF_REP_FIN" hidden="1" function="0" vbProcedure="0">"c1063"</definedName>
    <definedName name="IQ_PREF_REP_INS" hidden="1" function="0" vbProcedure="0">"c1064"</definedName>
    <definedName name="IQ_PREF_REP_REIT" hidden="1" function="0" vbProcedure="0">"c1065"</definedName>
    <definedName name="IQ_PREF_REP_UTI" hidden="1" function="0" vbProcedure="0">"c1066"</definedName>
    <definedName name="IQ_PREF_STOCK" hidden="1" function="0" vbProcedure="0">"c1416"</definedName>
    <definedName name="IQ_PREF_TOT" hidden="1" function="0" vbProcedure="0">"c1415"</definedName>
    <definedName name="IQ_PREMIUMS_ANNUITY_REV" hidden="1" function="0" vbProcedure="0">"c1067"</definedName>
    <definedName name="IQ_PREPAID_CHURN" hidden="1" function="0" vbProcedure="0">"c2120"</definedName>
    <definedName name="IQ_PREPAID_EXP" hidden="1" function="0" vbProcedure="0">"c1068"</definedName>
    <definedName name="IQ_PREPAID_EXPEN" hidden="1" function="0" vbProcedure="0">"c1418"</definedName>
    <definedName name="IQ_PREPAID_SUBS" hidden="1" function="0" vbProcedure="0">"c2117"</definedName>
    <definedName name="IQ_PRE_OPEN_COST" hidden="1" function="0" vbProcedure="0">"c1040"</definedName>
    <definedName name="IQ_PRICEDATE" hidden="1" function="0" vbProcedure="0">"c1069"</definedName>
    <definedName name="IQ_PRICE_OVER_BVPS" hidden="1" function="0" vbProcedure="0">"c1412"</definedName>
    <definedName name="IQ_PRICE_OVER_LTM_EPS" hidden="1" function="0" vbProcedure="0">"c1413"</definedName>
    <definedName name="IQ_PRICE_TARGET" hidden="1" function="0" vbProcedure="0">"c82"</definedName>
    <definedName name="IQ_PRICING_DATE" hidden="1" function="0" vbProcedure="0">"c1613"</definedName>
    <definedName name="IQ_PRIMARY_INDUSTRY" hidden="1" function="0" vbProcedure="0">"c1070"</definedName>
    <definedName name="IQ_PROFESSIONAL" hidden="1" function="0" vbProcedure="0">"c1071"</definedName>
    <definedName name="IQ_PROFESSIONAL_TITLE" hidden="1" function="0" vbProcedure="0">"c1072"</definedName>
    <definedName name="IQ_PROPERTY_EXP" hidden="1" function="0" vbProcedure="0">"c1073"</definedName>
    <definedName name="IQ_PROPERTY_GROSS" hidden="1" function="0" vbProcedure="0">"c1379"</definedName>
    <definedName name="IQ_PROPERTY_MGMT_FEE" hidden="1" function="0" vbProcedure="0">"c1074"</definedName>
    <definedName name="IQ_PROPERTY_NET" hidden="1" function="0" vbProcedure="0">"c1402"</definedName>
    <definedName name="IQ_PROVISION_10YR_ANN_GROWTH" hidden="1" function="0" vbProcedure="0">"c1077"</definedName>
    <definedName name="IQ_PROVISION_1YR_ANN_GROWTH" hidden="1" function="0" vbProcedure="0">"c1078"</definedName>
    <definedName name="IQ_PROVISION_2YR_ANN_GROWTH" hidden="1" function="0" vbProcedure="0">"c1079"</definedName>
    <definedName name="IQ_PROVISION_3YR_ANN_GROWTH" hidden="1" function="0" vbProcedure="0">"c1080"</definedName>
    <definedName name="IQ_PROVISION_5YR_ANN_GROWTH" hidden="1" function="0" vbProcedure="0">"c1081"</definedName>
    <definedName name="IQ_PROVISION_7YR_ANN_GROWTH" hidden="1" function="0" vbProcedure="0">"c1082"</definedName>
    <definedName name="IQ_PROVISION_CHARGE_OFFS" hidden="1" function="0" vbProcedure="0">"c1083"</definedName>
    <definedName name="IQ_PROV_BAD_DEBTS" hidden="1" function="0" vbProcedure="0">"c1075"</definedName>
    <definedName name="IQ_PROV_BAD_DEBTS_CF" hidden="1" function="0" vbProcedure="0">"c1076"</definedName>
    <definedName name="IQ_PRO_FORMA_BASIC_EPS" hidden="1" function="0" vbProcedure="0">"c1614"</definedName>
    <definedName name="IQ_PRO_FORMA_DILUT_EPS" hidden="1" function="0" vbProcedure="0">"c1615"</definedName>
    <definedName name="IQ_PRO_FORMA_NET_INC" hidden="1" function="0" vbProcedure="0">"c1452"</definedName>
    <definedName name="IQ_PTBV" hidden="1" function="0" vbProcedure="0">"c1084"</definedName>
    <definedName name="IQ_PTBV_AVG" hidden="1" function="0" vbProcedure="0">"c1085"</definedName>
    <definedName name="IQ_QUICK_RATIO" hidden="1" function="0" vbProcedure="0">"c1086"</definedName>
    <definedName name="IQ_RATE_COMP_GROWTH_DOMESTIC" hidden="1" function="0" vbProcedure="0">"c1087"</definedName>
    <definedName name="IQ_RATE_COMP_GROWTH_FOREIGN" hidden="1" function="0" vbProcedure="0">"c1088"</definedName>
    <definedName name="IQ_RAW_INV" hidden="1" function="0" vbProcedure="0">"c1089"</definedName>
    <definedName name="IQ_RD_EXP" hidden="1" function="0" vbProcedure="0">"c1090"</definedName>
    <definedName name="IQ_RD_EXP_FN" hidden="1" function="0" vbProcedure="0">"c1091"</definedName>
    <definedName name="IQ_RE" hidden="1" function="0" vbProcedure="0">"c1092"</definedName>
    <definedName name="IQ_REAL_ESTATE" hidden="1" function="0" vbProcedure="0">"c1093"</definedName>
    <definedName name="IQ_REAL_ESTATE_ASSETS" hidden="1" function="0" vbProcedure="0">"c1094"</definedName>
    <definedName name="IQ_REDEEM_PREF_STOCK" hidden="1" function="0" vbProcedure="0">"c1417"</definedName>
    <definedName name="IQ_REG_ASSETS" hidden="1" function="0" vbProcedure="0">"c1095"</definedName>
    <definedName name="IQ_REINSURANCE" hidden="1" function="0" vbProcedure="0">"c1100"</definedName>
    <definedName name="IQ_REINSUR_PAY" hidden="1" function="0" vbProcedure="0">"c1096"</definedName>
    <definedName name="IQ_REINSUR_PAY_CF" hidden="1" function="0" vbProcedure="0">"c1097"</definedName>
    <definedName name="IQ_REINSUR_RECOVER" hidden="1" function="0" vbProcedure="0">"c1098"</definedName>
    <definedName name="IQ_REINSUR_RECOVER_CF" hidden="1" function="0" vbProcedure="0">"c1099"</definedName>
    <definedName name="IQ_RENTAL_REV" hidden="1" function="0" vbProcedure="0">"c1101"</definedName>
    <definedName name="IQ_RESEARCH_DEV" hidden="1" function="0" vbProcedure="0">"c1419"</definedName>
    <definedName name="IQ_RESIDENTIAL_LOANS" hidden="1" function="0" vbProcedure="0">"c1102"</definedName>
    <definedName name="IQ_RESTATEMENT_BS" hidden="1" function="0" vbProcedure="0">"c1643"</definedName>
    <definedName name="IQ_RESTATEMENT_CF" hidden="1" function="0" vbProcedure="0">"c1644"</definedName>
    <definedName name="IQ_RESTATEMENT_IS" hidden="1" function="0" vbProcedure="0">"c1642"</definedName>
    <definedName name="IQ_RESTRICTED_CASH" hidden="1" function="0" vbProcedure="0">"c1103"</definedName>
    <definedName name="IQ_RESTRUCTURE" hidden="1" function="0" vbProcedure="0">"c1104"</definedName>
    <definedName name="IQ_RESTRUCTURED_LOANS" hidden="1" function="0" vbProcedure="0">"c1112"</definedName>
    <definedName name="IQ_RESTRUCTURE_BNK" hidden="1" function="0" vbProcedure="0">"c1105"</definedName>
    <definedName name="IQ_RESTRUCTURE_BR" hidden="1" function="0" vbProcedure="0">"c1106"</definedName>
    <definedName name="IQ_RESTRUCTURE_CF" hidden="1" function="0" vbProcedure="0">"c1107"</definedName>
    <definedName name="IQ_RESTRUCTURE_FIN" hidden="1" function="0" vbProcedure="0">"c1108"</definedName>
    <definedName name="IQ_RESTRUCTURE_INS" hidden="1" function="0" vbProcedure="0">"c1109"</definedName>
    <definedName name="IQ_RESTRUCTURE_REIT" hidden="1" function="0" vbProcedure="0">"c1110"</definedName>
    <definedName name="IQ_RESTRUCTURE_UTI" hidden="1" function="0" vbProcedure="0">"c1111"</definedName>
    <definedName name="IQ_RETAIL_AVG_STORE_SIZE_GROSS" hidden="1" function="0" vbProcedure="0">"c2066"</definedName>
    <definedName name="IQ_RETAIL_AVG_STORE_SIZE_NET" hidden="1" function="0" vbProcedure="0">"c2067"</definedName>
    <definedName name="IQ_RETAIL_CLOSED_STORES" hidden="1" function="0" vbProcedure="0">"c2063"</definedName>
    <definedName name="IQ_RETAIL_OPENED_STORES" hidden="1" function="0" vbProcedure="0">"c2062"</definedName>
    <definedName name="IQ_RETAIL_SALES_SQFT_ALL_GROSS" hidden="1" function="0" vbProcedure="0">"c2138"</definedName>
    <definedName name="IQ_RETAIL_SALES_SQFT_ALL_NET" hidden="1" function="0" vbProcedure="0">"c2139"</definedName>
    <definedName name="IQ_RETAIL_SALES_SQFT_COMPARABLE_GROSS" hidden="1" function="0" vbProcedure="0">"c2136"</definedName>
    <definedName name="IQ_RETAIL_SALES_SQFT_COMPARABLE_NET" hidden="1" function="0" vbProcedure="0">"c2137"</definedName>
    <definedName name="IQ_RETAIL_SALES_SQFT_OWNED_GROSS" hidden="1" function="0" vbProcedure="0">"c2134"</definedName>
    <definedName name="IQ_RETAIL_SALES_SQFT_OWNED_NET" hidden="1" function="0" vbProcedure="0">"c2135"</definedName>
    <definedName name="IQ_RETAIL_SQ_FOOTAGE" hidden="1" function="0" vbProcedure="0">"c2064"</definedName>
    <definedName name="IQ_RETAIL_STORE_SELLING_AREA" hidden="1" function="0" vbProcedure="0">"c2065"</definedName>
    <definedName name="IQ_RETAIL_TOTAL_STORES" hidden="1" function="0" vbProcedure="0">"c2061"</definedName>
    <definedName name="IQ_RETAINED_EARN" hidden="1" function="0" vbProcedure="0">"c1420"</definedName>
    <definedName name="IQ_RETURN_ASSETS" hidden="1" function="0" vbProcedure="0">"c1113"</definedName>
    <definedName name="IQ_RETURN_ASSETS_BANK" hidden="1" function="0" vbProcedure="0">"c1114"</definedName>
    <definedName name="IQ_RETURN_ASSETS_BROK" hidden="1" function="0" vbProcedure="0">"c1115"</definedName>
    <definedName name="IQ_RETURN_ASSETS_FS" hidden="1" function="0" vbProcedure="0">"c1116"</definedName>
    <definedName name="IQ_RETURN_CAPITAL" hidden="1" function="0" vbProcedure="0">"c1117"</definedName>
    <definedName name="IQ_RETURN_EQUITY" hidden="1" function="0" vbProcedure="0">"c1118"</definedName>
    <definedName name="IQ_RETURN_EQUITY_BANK" hidden="1" function="0" vbProcedure="0">"c1119"</definedName>
    <definedName name="IQ_RETURN_EQUITY_BROK" hidden="1" function="0" vbProcedure="0">"c1120"</definedName>
    <definedName name="IQ_RETURN_EQUITY_FS" hidden="1" function="0" vbProcedure="0">"c1121"</definedName>
    <definedName name="IQ_RETURN_INVESTMENT" hidden="1" function="0" vbProcedure="0">"c1421"</definedName>
    <definedName name="IQ_REV" hidden="1" function="0" vbProcedure="0">"c1122"</definedName>
    <definedName name="IQ_REVENUE" hidden="1" function="0" vbProcedure="0">"c1422"</definedName>
    <definedName name="IQ_REV_BEFORE_LL" hidden="1" function="0" vbProcedure="0">"c1123"</definedName>
    <definedName name="IQ_REV_UTI" hidden="1" function="0" vbProcedure="0">"c1125"</definedName>
    <definedName name="IQ_SALARY" hidden="1" function="0" vbProcedure="0">"c1130"</definedName>
    <definedName name="IQ_SALE_INTAN_CF" hidden="1" function="0" vbProcedure="0">"c1131"</definedName>
    <definedName name="IQ_SALE_INTAN_CF_BNK" hidden="1" function="0" vbProcedure="0">"c1132"</definedName>
    <definedName name="IQ_SALE_INTAN_CF_BR" hidden="1" function="0" vbProcedure="0">"c1133"</definedName>
    <definedName name="IQ_SALE_INTAN_CF_FIN" hidden="1" function="0" vbProcedure="0">"c1134"</definedName>
    <definedName name="IQ_SALE_INTAN_CF_INS" hidden="1" function="0" vbProcedure="0">"c1135"</definedName>
    <definedName name="IQ_SALE_INTAN_CF_REIT" hidden="1" function="0" vbProcedure="0">"c1627"</definedName>
    <definedName name="IQ_SALE_INTAN_CF_UTI" hidden="1" function="0" vbProcedure="0">"c1136"</definedName>
    <definedName name="IQ_SALE_PPE_CF" hidden="1" function="0" vbProcedure="0">"c1137"</definedName>
    <definedName name="IQ_SALE_PPE_CF_BNK" hidden="1" function="0" vbProcedure="0">"c1138"</definedName>
    <definedName name="IQ_SALE_PPE_CF_BR" hidden="1" function="0" vbProcedure="0">"c1139"</definedName>
    <definedName name="IQ_SALE_PPE_CF_FIN" hidden="1" function="0" vbProcedure="0">"c1140"</definedName>
    <definedName name="IQ_SALE_PPE_CF_INS" hidden="1" function="0" vbProcedure="0">"c1141"</definedName>
    <definedName name="IQ_SALE_PPE_CF_UTI" hidden="1" function="0" vbProcedure="0">"c1142"</definedName>
    <definedName name="IQ_SALE_REAL_ESTATE_CF" hidden="1" function="0" vbProcedure="0">"c1143"</definedName>
    <definedName name="IQ_SALE_REAL_ESTATE_CF_BNK" hidden="1" function="0" vbProcedure="0">"c1144"</definedName>
    <definedName name="IQ_SALE_REAL_ESTATE_CF_BR" hidden="1" function="0" vbProcedure="0">"c1145"</definedName>
    <definedName name="IQ_SALE_REAL_ESTATE_CF_FIN" hidden="1" function="0" vbProcedure="0">"c1146"</definedName>
    <definedName name="IQ_SALE_REAL_ESTATE_CF_INS" hidden="1" function="0" vbProcedure="0">"c1147"</definedName>
    <definedName name="IQ_SALE_REAL_ESTATE_CF_UTI" hidden="1" function="0" vbProcedure="0">"c1148"</definedName>
    <definedName name="IQ_SALE_RE_ASSETS" hidden="1" function="0" vbProcedure="0">"c1629"</definedName>
    <definedName name="IQ_SAME_STORE" hidden="1" function="0" vbProcedure="0">"c1149"</definedName>
    <definedName name="IQ_SAVING_DEP" hidden="1" function="0" vbProcedure="0">"c1150"</definedName>
    <definedName name="IQ_SECURITY_BORROW" hidden="1" function="0" vbProcedure="0">"c1152"</definedName>
    <definedName name="IQ_SECURITY_OWN" hidden="1" function="0" vbProcedure="0">"c1153"</definedName>
    <definedName name="IQ_SECURITY_RESELL" hidden="1" function="0" vbProcedure="0">"c1154"</definedName>
    <definedName name="IQ_SECUR_RECEIV" hidden="1" function="0" vbProcedure="0">"c1151"</definedName>
    <definedName name="IQ_SEPARATE_ACCT_ASSETS" hidden="1" function="0" vbProcedure="0">"c1155"</definedName>
    <definedName name="IQ_SEPARATE_ACCT_LIAB" hidden="1" function="0" vbProcedure="0">"c1156"</definedName>
    <definedName name="IQ_SERV_CHARGE_DEPOSITS" hidden="1" function="0" vbProcedure="0">"c1157"</definedName>
    <definedName name="IQ_SGA" hidden="1" function="0" vbProcedure="0">"c1158"</definedName>
    <definedName name="IQ_SGA_BNK" hidden="1" function="0" vbProcedure="0">"c1159"</definedName>
    <definedName name="IQ_SGA_INS" hidden="1" function="0" vbProcedure="0">"c1160"</definedName>
    <definedName name="IQ_SGA_MARGIN" hidden="1" function="0" vbProcedure="0">"c1898"</definedName>
    <definedName name="IQ_SGA_REIT" hidden="1" function="0" vbProcedure="0">"c1161"</definedName>
    <definedName name="IQ_SGA_SUPPL" hidden="1" function="0" vbProcedure="0">"c1162"</definedName>
    <definedName name="IQ_SGA_UTI" hidden="1" function="0" vbProcedure="0">"c1163"</definedName>
    <definedName name="IQ_SHAREOUTSTANDING" hidden="1" function="0" vbProcedure="0">"c1347"</definedName>
    <definedName name="IQ_SHARESOUTSTANDING" hidden="1" function="0" vbProcedure="0">"c1164"</definedName>
    <definedName name="IQ_SHORT_INTEREST" hidden="1" function="0" vbProcedure="0">"c1165"</definedName>
    <definedName name="IQ_SHORT_INTEREST_OVER_FLOAT" hidden="1" function="0" vbProcedure="0">"c1577"</definedName>
    <definedName name="IQ_SHORT_INTEREST_PERCENT" hidden="1" function="0" vbProcedure="0">"c1576"</definedName>
    <definedName name="IQ_SHORT_TERM_INVEST" hidden="1" function="0" vbProcedure="0">"c1425"</definedName>
    <definedName name="IQ_SMALL_INT_BEAR_CD" hidden="1" function="0" vbProcedure="0">"c1166"</definedName>
    <definedName name="IQ_SOFTWARE" hidden="1" function="0" vbProcedure="0">"c1167"</definedName>
    <definedName name="IQ_SOURCE" hidden="1" function="0" vbProcedure="0">"c1168"</definedName>
    <definedName name="IQ_SPECIAL_DIV_CF" hidden="1" function="0" vbProcedure="0">"c1169"</definedName>
    <definedName name="IQ_SPECIAL_DIV_CF_BNK" hidden="1" function="0" vbProcedure="0">"c1170"</definedName>
    <definedName name="IQ_SPECIAL_DIV_CF_BR" hidden="1" function="0" vbProcedure="0">"c1171"</definedName>
    <definedName name="IQ_SPECIAL_DIV_CF_FIN" hidden="1" function="0" vbProcedure="0">"c1172"</definedName>
    <definedName name="IQ_SPECIAL_DIV_CF_INS" hidden="1" function="0" vbProcedure="0">"c1173"</definedName>
    <definedName name="IQ_SPECIAL_DIV_CF_REIT" hidden="1" function="0" vbProcedure="0">"c1174"</definedName>
    <definedName name="IQ_SPECIAL_DIV_CF_UTI" hidden="1" function="0" vbProcedure="0">"c1175"</definedName>
    <definedName name="IQ_STATE" hidden="1" function="0" vbProcedure="0">"c1200"</definedName>
    <definedName name="IQ_STATUTORY_SURPLUS" hidden="1" function="0" vbProcedure="0">"c1201"</definedName>
    <definedName name="IQ_STOCK_BASED" hidden="1" function="0" vbProcedure="0">"c1202"</definedName>
    <definedName name="IQ_STOCK_BASED_CF" hidden="1" function="0" vbProcedure="0">"c1203"</definedName>
    <definedName name="IQ_STRIKE_PRICE_ISSUED" hidden="1" function="0" vbProcedure="0">"c1645"</definedName>
    <definedName name="IQ_STRIKE_PRICE_OS" hidden="1" function="0" vbProcedure="0">"c1646"</definedName>
    <definedName name="IQ_ST_DEBT" hidden="1" function="0" vbProcedure="0">"c1176"</definedName>
    <definedName name="IQ_ST_DEBT_BNK" hidden="1" function="0" vbProcedure="0">"c1177"</definedName>
    <definedName name="IQ_ST_DEBT_BR" hidden="1" function="0" vbProcedure="0">"c1178"</definedName>
    <definedName name="IQ_ST_DEBT_FIN" hidden="1" function="0" vbProcedure="0">"c1179"</definedName>
    <definedName name="IQ_ST_DEBT_INS" hidden="1" function="0" vbProcedure="0">"c1180"</definedName>
    <definedName name="IQ_ST_DEBT_ISSUED" hidden="1" function="0" vbProcedure="0">"c1181"</definedName>
    <definedName name="IQ_ST_DEBT_ISSUED_BNK" hidden="1" function="0" vbProcedure="0">"c1182"</definedName>
    <definedName name="IQ_ST_DEBT_ISSUED_BR" hidden="1" function="0" vbProcedure="0">"c1183"</definedName>
    <definedName name="IQ_ST_DEBT_ISSUED_FIN" hidden="1" function="0" vbProcedure="0">"c1184"</definedName>
    <definedName name="IQ_ST_DEBT_ISSUED_INS" hidden="1" function="0" vbProcedure="0">"c1185"</definedName>
    <definedName name="IQ_ST_DEBT_ISSUED_REIT" hidden="1" function="0" vbProcedure="0">"c1186"</definedName>
    <definedName name="IQ_ST_DEBT_ISSUED_UTI" hidden="1" function="0" vbProcedure="0">"c1187"</definedName>
    <definedName name="IQ_ST_DEBT_REIT" hidden="1" function="0" vbProcedure="0">"c1188"</definedName>
    <definedName name="IQ_ST_DEBT_REPAID" hidden="1" function="0" vbProcedure="0">"c1189"</definedName>
    <definedName name="IQ_ST_DEBT_REPAID_BNK" hidden="1" function="0" vbProcedure="0">"c1190"</definedName>
    <definedName name="IQ_ST_DEBT_REPAID_BR" hidden="1" function="0" vbProcedure="0">"c1191"</definedName>
    <definedName name="IQ_ST_DEBT_REPAID_FIN" hidden="1" function="0" vbProcedure="0">"c1192"</definedName>
    <definedName name="IQ_ST_DEBT_REPAID_INS" hidden="1" function="0" vbProcedure="0">"c1193"</definedName>
    <definedName name="IQ_ST_DEBT_REPAID_REIT" hidden="1" function="0" vbProcedure="0">"c1194"</definedName>
    <definedName name="IQ_ST_DEBT_REPAID_UTI" hidden="1" function="0" vbProcedure="0">"c1195"</definedName>
    <definedName name="IQ_ST_DEBT_UTI" hidden="1" function="0" vbProcedure="0">"c1196"</definedName>
    <definedName name="IQ_ST_INVEST" hidden="1" function="0" vbProcedure="0">"c1197"</definedName>
    <definedName name="IQ_ST_INVEST_UTI" hidden="1" function="0" vbProcedure="0">"c1198"</definedName>
    <definedName name="IQ_ST_NOTE_RECEIV" hidden="1" function="0" vbProcedure="0">"c1199"</definedName>
    <definedName name="IQ_SUB_LEASE_AFTER_FIVE" hidden="1" function="0" vbProcedure="0">"c1207"</definedName>
    <definedName name="IQ_SUB_LEASE_INC_CY" hidden="1" function="0" vbProcedure="0">"c1208"</definedName>
    <definedName name="IQ_SUB_LEASE_INC_CY1" hidden="1" function="0" vbProcedure="0">"c1209"</definedName>
    <definedName name="IQ_SUB_LEASE_INC_CY2" hidden="1" function="0" vbProcedure="0">"c1210"</definedName>
    <definedName name="IQ_SUB_LEASE_INC_CY3" hidden="1" function="0" vbProcedure="0">"c1211"</definedName>
    <definedName name="IQ_SUB_LEASE_INC_CY4" hidden="1" function="0" vbProcedure="0">"c1212"</definedName>
    <definedName name="IQ_SUB_LEASE_NEXT_FIVE" hidden="1" function="0" vbProcedure="0">"c1213"</definedName>
    <definedName name="IQ_SVA" hidden="1" function="0" vbProcedure="0">"c1214"</definedName>
    <definedName name="IQ_TAX_BENEFIT_OPTIONS" hidden="1" function="0" vbProcedure="0">"c1215"</definedName>
    <definedName name="IQ_TAX_EQUIV_NET_INT_INC" hidden="1" function="0" vbProcedure="0">"c1216"</definedName>
    <definedName name="IQ_TBV" hidden="1" function="0" vbProcedure="0">"c1906"</definedName>
    <definedName name="IQ_TBV_10YR_ANN_GROWTH" hidden="1" function="0" vbProcedure="0">"c1936"</definedName>
    <definedName name="IQ_TBV_1YR_ANN_GROWTH" hidden="1" function="0" vbProcedure="0">"c1931"</definedName>
    <definedName name="IQ_TBV_2YR_ANN_GROWTH" hidden="1" function="0" vbProcedure="0">"c1932"</definedName>
    <definedName name="IQ_TBV_3YR_ANN_GROWTH" hidden="1" function="0" vbProcedure="0">"c1933"</definedName>
    <definedName name="IQ_TBV_5YR_ANN_GROWTH" hidden="1" function="0" vbProcedure="0">"c1934"</definedName>
    <definedName name="IQ_TBV_7YR_ANN_GROWTH" hidden="1" function="0" vbProcedure="0">"c1935"</definedName>
    <definedName name="IQ_TBV_SHARE" hidden="1" function="0" vbProcedure="0">"c1217"</definedName>
    <definedName name="IQ_TEMPLATE" hidden="1" function="0" vbProcedure="0">"c1521"</definedName>
    <definedName name="IQ_TENANT" hidden="1" function="0" vbProcedure="0">"c1218"</definedName>
    <definedName name="IQ_TEV" hidden="1" function="0" vbProcedure="0">"c1219"</definedName>
    <definedName name="IQ_TEV_EBIT" hidden="1" function="0" vbProcedure="0">"c1220"</definedName>
    <definedName name="IQ_TEV_EBITDA" hidden="1" function="0" vbProcedure="0">"c1222"</definedName>
    <definedName name="IQ_TEV_EBITDA_AVG" hidden="1" function="0" vbProcedure="0">"c1223"</definedName>
    <definedName name="IQ_TEV_EBIT_AVG" hidden="1" function="0" vbProcedure="0">"c1221"</definedName>
    <definedName name="IQ_TEV_EMPLOYEE_AVG" hidden="1" function="0" vbProcedure="0">"c1225"</definedName>
    <definedName name="IQ_TEV_TOTAL_REV" hidden="1" function="0" vbProcedure="0">"c1226"</definedName>
    <definedName name="IQ_TEV_TOTAL_REV_AVG" hidden="1" function="0" vbProcedure="0">"c1227"</definedName>
    <definedName name="IQ_TIER_ONE_RATIO" hidden="1" function="0" vbProcedure="0">"c1229"</definedName>
    <definedName name="IQ_TIME_DEP" hidden="1" function="0" vbProcedure="0">"c1230"</definedName>
    <definedName name="IQ_TODAY" hidden="1" function="0" vbProcedure="0">0</definedName>
    <definedName name="IQ_TOTAL_AR_BR" hidden="1" function="0" vbProcedure="0">"c1231"</definedName>
    <definedName name="IQ_TOTAL_AR_REIT" hidden="1" function="0" vbProcedure="0">"c1232"</definedName>
    <definedName name="IQ_TOTAL_AR_UTI" hidden="1" function="0" vbProcedure="0">"c1233"</definedName>
    <definedName name="IQ_TOTAL_ASSETS" hidden="1" function="0" vbProcedure="0">"c1234"</definedName>
    <definedName name="IQ_TOTAL_ASSETS_10YR_ANN_GROWTH" hidden="1" function="0" vbProcedure="0">"c1235"</definedName>
    <definedName name="IQ_TOTAL_ASSETS_1YR_ANN_GROWTH" hidden="1" function="0" vbProcedure="0">"c1236"</definedName>
    <definedName name="IQ_TOTAL_ASSETS_2YR_ANN_GROWTH" hidden="1" function="0" vbProcedure="0">"c1237"</definedName>
    <definedName name="IQ_TOTAL_ASSETS_3YR_ANN_GROWTH" hidden="1" function="0" vbProcedure="0">"c1238"</definedName>
    <definedName name="IQ_TOTAL_ASSETS_5YR_ANN_GROWTH" hidden="1" function="0" vbProcedure="0">"c1239"</definedName>
    <definedName name="IQ_TOTAL_ASSETS_7YR_ANN_GROWTH" hidden="1" function="0" vbProcedure="0">"c1240"</definedName>
    <definedName name="IQ_TOTAL_AVG_CE_TOTAL_AVG_ASSETS" hidden="1" function="0" vbProcedure="0">"c1241"</definedName>
    <definedName name="IQ_TOTAL_AVG_EQUITY_TOTAL_AVG_ASSETS" hidden="1" function="0" vbProcedure="0">"c1242"</definedName>
    <definedName name="IQ_TOTAL_CA" hidden="1" function="0" vbProcedure="0">"c1243"</definedName>
    <definedName name="IQ_TOTAL_CAP" hidden="1" function="0" vbProcedure="0">"c1507"</definedName>
    <definedName name="IQ_TOTAL_CAPITAL_RATIO" hidden="1" function="0" vbProcedure="0">"c1244"</definedName>
    <definedName name="IQ_TOTAL_CASH_DIVID" hidden="1" function="0" vbProcedure="0">"c1455"</definedName>
    <definedName name="IQ_TOTAL_CASH_FINAN" hidden="1" function="0" vbProcedure="0">"c1352"</definedName>
    <definedName name="IQ_TOTAL_CASH_INVEST" hidden="1" function="0" vbProcedure="0">"c1353"</definedName>
    <definedName name="IQ_TOTAL_CASH_OPER" hidden="1" function="0" vbProcedure="0">"c1354"</definedName>
    <definedName name="IQ_TOTAL_CHURN" hidden="1" function="0" vbProcedure="0">"c2122"</definedName>
    <definedName name="IQ_TOTAL_CL" hidden="1" function="0" vbProcedure="0">"c1245"</definedName>
    <definedName name="IQ_TOTAL_COMMON" hidden="1" function="0" vbProcedure="0">"c1411"</definedName>
    <definedName name="IQ_TOTAL_COMMON_EQUITY" hidden="1" function="0" vbProcedure="0">"c1246"</definedName>
    <definedName name="IQ_TOTAL_CURRENT_ASSETS" hidden="1" function="0" vbProcedure="0">"c1430"</definedName>
    <definedName name="IQ_TOTAL_CURRENT_LIAB" hidden="1" function="0" vbProcedure="0">"c1431"</definedName>
    <definedName name="IQ_TOTAL_DEBT" hidden="1" function="0" vbProcedure="0">"c1247"</definedName>
    <definedName name="IQ_TOTAL_DEBT_CAPITAL" hidden="1" function="0" vbProcedure="0">"c1248"</definedName>
    <definedName name="IQ_TOTAL_DEBT_EBITDA" hidden="1" function="0" vbProcedure="0">"c1249"</definedName>
    <definedName name="IQ_TOTAL_DEBT_EQUITY" hidden="1" function="0" vbProcedure="0">"c1250"</definedName>
    <definedName name="IQ_TOTAL_DEBT_ISSUED" hidden="1" function="0" vbProcedure="0">"c1251"</definedName>
    <definedName name="IQ_TOTAL_DEBT_ISSUED_BNK" hidden="1" function="0" vbProcedure="0">"c1252"</definedName>
    <definedName name="IQ_TOTAL_DEBT_ISSUED_BR" hidden="1" function="0" vbProcedure="0">"c1253"</definedName>
    <definedName name="IQ_TOTAL_DEBT_ISSUED_FIN" hidden="1" function="0" vbProcedure="0">"c1254"</definedName>
    <definedName name="IQ_TOTAL_DEBT_ISSUED_REIT" hidden="1" function="0" vbProcedure="0">"c1255"</definedName>
    <definedName name="IQ_TOTAL_DEBT_ISSUED_UTI" hidden="1" function="0" vbProcedure="0">"c1256"</definedName>
    <definedName name="IQ_TOTAL_DEBT_ISSUES_INS" hidden="1" function="0" vbProcedure="0">"c1257"</definedName>
    <definedName name="IQ_TOTAL_DEBT_OVER_EBITDA" hidden="1" function="0" vbProcedure="0">"c1433"</definedName>
    <definedName name="IQ_TOTAL_DEBT_OVER_TOTAL_BV" hidden="1" function="0" vbProcedure="0">"c1434"</definedName>
    <definedName name="IQ_TOTAL_DEBT_OVER_TOTAL_CAP" hidden="1" function="0" vbProcedure="0">"c1432"</definedName>
    <definedName name="IQ_TOTAL_DEBT_REPAID" hidden="1" function="0" vbProcedure="0">"c1258"</definedName>
    <definedName name="IQ_TOTAL_DEBT_REPAID_BNK" hidden="1" function="0" vbProcedure="0">"c1259"</definedName>
    <definedName name="IQ_TOTAL_DEBT_REPAID_BR" hidden="1" function="0" vbProcedure="0">"c1260"</definedName>
    <definedName name="IQ_TOTAL_DEBT_REPAID_FIN" hidden="1" function="0" vbProcedure="0">"c1261"</definedName>
    <definedName name="IQ_TOTAL_DEBT_REPAID_INS" hidden="1" function="0" vbProcedure="0">"c1262"</definedName>
    <definedName name="IQ_TOTAL_DEBT_REPAID_REIT" hidden="1" function="0" vbProcedure="0">"c1263"</definedName>
    <definedName name="IQ_TOTAL_DEBT_REPAID_UTI" hidden="1" function="0" vbProcedure="0">"c1264"</definedName>
    <definedName name="IQ_TOTAL_DEPOSITS" hidden="1" function="0" vbProcedure="0">"c1265"</definedName>
    <definedName name="IQ_TOTAL_DIV_PAID_CF" hidden="1" function="0" vbProcedure="0">"c1266"</definedName>
    <definedName name="IQ_TOTAL_EMPLOYEES" hidden="1" function="0" vbProcedure="0">"c1522"</definedName>
    <definedName name="IQ_TOTAL_EQUITY" hidden="1" function="0" vbProcedure="0">"c1267"</definedName>
    <definedName name="IQ_TOTAL_EQUITY_10YR_ANN_GROWTH" hidden="1" function="0" vbProcedure="0">"c1268"</definedName>
    <definedName name="IQ_TOTAL_EQUITY_1YR_ANN_GROWTH" hidden="1" function="0" vbProcedure="0">"c1269"</definedName>
    <definedName name="IQ_TOTAL_EQUITY_2YR_ANN_GROWTH" hidden="1" function="0" vbProcedure="0">"c1270"</definedName>
    <definedName name="IQ_TOTAL_EQUITY_3YR_ANN_GROWTH" hidden="1" function="0" vbProcedure="0">"c1271"</definedName>
    <definedName name="IQ_TOTAL_EQUITY_5YR_ANN_GROWTH" hidden="1" function="0" vbProcedure="0">"c1272"</definedName>
    <definedName name="IQ_TOTAL_EQUITY_7YR_ANN_GROWTH" hidden="1" function="0" vbProcedure="0">"c1273"</definedName>
    <definedName name="IQ_TOTAL_EQUITY_ALLOWANCE_TOTAL_LOANS" hidden="1" function="0" vbProcedure="0">"c1274"</definedName>
    <definedName name="IQ_TOTAL_INTEREST_EXP" hidden="1" function="0" vbProcedure="0">"c1382"</definedName>
    <definedName name="IQ_TOTAL_INVENTORY" hidden="1" function="0" vbProcedure="0">"c1385"</definedName>
    <definedName name="IQ_TOTAL_INVEST" hidden="1" function="0" vbProcedure="0">"c1275"</definedName>
    <definedName name="IQ_TOTAL_LIAB" hidden="1" function="0" vbProcedure="0">"c1276"</definedName>
    <definedName name="IQ_TOTAL_LIAB_BNK" hidden="1" function="0" vbProcedure="0">"c1277"</definedName>
    <definedName name="IQ_TOTAL_LIAB_BR" hidden="1" function="0" vbProcedure="0">"c1278"</definedName>
    <definedName name="IQ_TOTAL_LIAB_EQUITY" hidden="1" function="0" vbProcedure="0">"c1279"</definedName>
    <definedName name="IQ_TOTAL_LIAB_FIN" hidden="1" function="0" vbProcedure="0">"c1280"</definedName>
    <definedName name="IQ_TOTAL_LIAB_INS" hidden="1" function="0" vbProcedure="0">"c1281"</definedName>
    <definedName name="IQ_TOTAL_LIAB_REIT" hidden="1" function="0" vbProcedure="0">"c1282"</definedName>
    <definedName name="IQ_TOTAL_LIAB_SHAREHOLD" hidden="1" function="0" vbProcedure="0">"c1435"</definedName>
    <definedName name="IQ_TOTAL_LIAB_TOTAL_ASSETS" hidden="1" function="0" vbProcedure="0">"c1283"</definedName>
    <definedName name="IQ_TOTAL_LONG_DEBT" hidden="1" function="0" vbProcedure="0">"c1617"</definedName>
    <definedName name="IQ_TOTAL_NON_REC" hidden="1" function="0" vbProcedure="0">"c1444"</definedName>
    <definedName name="IQ_TOTAL_OPER_EXPEN" hidden="1" function="0" vbProcedure="0">"c1445"</definedName>
    <definedName name="IQ_TOTAL_OPER_EXP_BR" hidden="1" function="0" vbProcedure="0">"c1284"</definedName>
    <definedName name="IQ_TOTAL_OPER_EXP_FIN" hidden="1" function="0" vbProcedure="0">"c1285"</definedName>
    <definedName name="IQ_TOTAL_OPER_EXP_INS" hidden="1" function="0" vbProcedure="0">"c1286"</definedName>
    <definedName name="IQ_TOTAL_OPER_EXP_REIT" hidden="1" function="0" vbProcedure="0">"c1287"</definedName>
    <definedName name="IQ_TOTAL_OPER_EXP_UTI" hidden="1" function="0" vbProcedure="0">"c1288"</definedName>
    <definedName name="IQ_TOTAL_OTHER_OPER" hidden="1" function="0" vbProcedure="0">"c1289"</definedName>
    <definedName name="IQ_TOTAL_OUTSTANDING_BS_DATE" hidden="1" function="0" vbProcedure="0">"c1022"</definedName>
    <definedName name="IQ_TOTAL_OUTSTANDING_FILING_DATE" hidden="1" function="0" vbProcedure="0">"c2107"</definedName>
    <definedName name="IQ_TOTAL_PENSION_ASSETS" hidden="1" function="0" vbProcedure="0">"c1290"</definedName>
    <definedName name="IQ_TOTAL_PENSION_EXP" hidden="1" function="0" vbProcedure="0">"c1291"</definedName>
    <definedName name="IQ_TOTAL_PENSION_OBLIGATION" hidden="1" function="0" vbProcedure="0">"c1292"</definedName>
    <definedName name="IQ_TOTAL_PROVED_RESERVES_OIL" hidden="1" function="0" vbProcedure="0">"c2040"</definedName>
    <definedName name="IQ_TOTAL_RECEIV" hidden="1" function="0" vbProcedure="0">"c1293"</definedName>
    <definedName name="IQ_TOTAL_REV" hidden="1" function="0" vbProcedure="0">"c1294"</definedName>
    <definedName name="IQ_TOTAL_REVENUE" hidden="1" function="0" vbProcedure="0">"c1436"</definedName>
    <definedName name="IQ_TOTAL_REV_10YR_ANN_GROWTH" hidden="1" function="0" vbProcedure="0">"c1295"</definedName>
    <definedName name="IQ_TOTAL_REV_1YR_ANN_GROWTH" hidden="1" function="0" vbProcedure="0">"c1296"</definedName>
    <definedName name="IQ_TOTAL_REV_2YR_ANN_GROWTH" hidden="1" function="0" vbProcedure="0">"c1297"</definedName>
    <definedName name="IQ_TOTAL_REV_3YR_ANN_GROWTH" hidden="1" function="0" vbProcedure="0">"c1298"</definedName>
    <definedName name="IQ_TOTAL_REV_5YR_ANN_GROWTH" hidden="1" function="0" vbProcedure="0">"c1299"</definedName>
    <definedName name="IQ_TOTAL_REV_7YR_ANN_GROWTH" hidden="1" function="0" vbProcedure="0">"c1300"</definedName>
    <definedName name="IQ_TOTAL_REV_AS_REPORTED" hidden="1" function="0" vbProcedure="0">"c1301"</definedName>
    <definedName name="IQ_TOTAL_REV_BNK" hidden="1" function="0" vbProcedure="0">"c1302"</definedName>
    <definedName name="IQ_TOTAL_REV_BR" hidden="1" function="0" vbProcedure="0">"c1303"</definedName>
    <definedName name="IQ_TOTAL_REV_EMPLOYEE" hidden="1" function="0" vbProcedure="0">"c1304"</definedName>
    <definedName name="IQ_TOTAL_REV_FIN" hidden="1" function="0" vbProcedure="0">"c1305"</definedName>
    <definedName name="IQ_TOTAL_REV_INS" hidden="1" function="0" vbProcedure="0">"c1306"</definedName>
    <definedName name="IQ_TOTAL_REV_REIT" hidden="1" function="0" vbProcedure="0">"c1307"</definedName>
    <definedName name="IQ_TOTAL_REV_SHARE" hidden="1" function="0" vbProcedure="0">"c1912"</definedName>
    <definedName name="IQ_TOTAL_REV_UTI" hidden="1" function="0" vbProcedure="0">"c1308"</definedName>
    <definedName name="IQ_TOTAL_SPECIAL" hidden="1" function="0" vbProcedure="0">"c1618"</definedName>
    <definedName name="IQ_TOTAL_ST_BORROW" hidden="1" function="0" vbProcedure="0">"c1424"</definedName>
    <definedName name="IQ_TOTAL_SUBS" hidden="1" function="0" vbProcedure="0">"c2119"</definedName>
    <definedName name="IQ_TOTAL_UNUSUAL" hidden="1" function="0" vbProcedure="0">"c1508"</definedName>
    <definedName name="IQ_TOT_ADJ_INC" hidden="1" function="0" vbProcedure="0">"c1616"</definedName>
    <definedName name="IQ_TRADE_AR" hidden="1" function="0" vbProcedure="0">"c1345"</definedName>
    <definedName name="IQ_TRADE_PRINCIPAL" hidden="1" function="0" vbProcedure="0">"c1309"</definedName>
    <definedName name="IQ_TRADING_ASSETS" hidden="1" function="0" vbProcedure="0">"c1310"</definedName>
    <definedName name="IQ_TREASURY" hidden="1" function="0" vbProcedure="0">"c1311"</definedName>
    <definedName name="IQ_TREASURY_OTHER_EQUITY" hidden="1" function="0" vbProcedure="0">"c1312"</definedName>
    <definedName name="IQ_TREASURY_OTHER_EQUITY_BNK" hidden="1" function="0" vbProcedure="0">"c1313"</definedName>
    <definedName name="IQ_TREASURY_OTHER_EQUITY_BR" hidden="1" function="0" vbProcedure="0">"c1314"</definedName>
    <definedName name="IQ_TREASURY_OTHER_EQUITY_FIN" hidden="1" function="0" vbProcedure="0">"c1315"</definedName>
    <definedName name="IQ_TREASURY_OTHER_EQUITY_INS" hidden="1" function="0" vbProcedure="0">"c1316"</definedName>
    <definedName name="IQ_TREASURY_OTHER_EQUITY_REIT" hidden="1" function="0" vbProcedure="0">"c1317"</definedName>
    <definedName name="IQ_TREASURY_OTHER_EQUITY_UTI" hidden="1" function="0" vbProcedure="0">"c1318"</definedName>
    <definedName name="IQ_TREASURY_STOCK" hidden="1" function="0" vbProcedure="0">"c1438"</definedName>
    <definedName name="IQ_TRUST_INC" hidden="1" function="0" vbProcedure="0">"c1319"</definedName>
    <definedName name="IQ_TRUST_PREF" hidden="1" function="0" vbProcedure="0">"c1320"</definedName>
    <definedName name="IQ_UFCF_10YR_ANN_GROWTH" hidden="1" function="0" vbProcedure="0">"c1948"</definedName>
    <definedName name="IQ_UFCF_1YR_ANN_GROWTH" hidden="1" function="0" vbProcedure="0">"c1943"</definedName>
    <definedName name="IQ_UFCF_2YR_ANN_GROWTH" hidden="1" function="0" vbProcedure="0">"c1944"</definedName>
    <definedName name="IQ_UFCF_3YR_ANN_GROWTH" hidden="1" function="0" vbProcedure="0">"c1945"</definedName>
    <definedName name="IQ_UFCF_5YR_ANN_GROWTH" hidden="1" function="0" vbProcedure="0">"c1946"</definedName>
    <definedName name="IQ_UFCF_7YR_ANN_GROWTH" hidden="1" function="0" vbProcedure="0">"c1947"</definedName>
    <definedName name="IQ_UFCF_MARGIN" hidden="1" function="0" vbProcedure="0">"c1962"</definedName>
    <definedName name="IQ_UNEARN_PREMIUM" hidden="1" function="0" vbProcedure="0">"c1321"</definedName>
    <definedName name="IQ_UNEARN_REV_CURRENT" hidden="1" function="0" vbProcedure="0">"c1322"</definedName>
    <definedName name="IQ_UNEARN_REV_CURRENT_BNK" hidden="1" function="0" vbProcedure="0">"c1323"</definedName>
    <definedName name="IQ_UNEARN_REV_CURRENT_BR" hidden="1" function="0" vbProcedure="0">"c1324"</definedName>
    <definedName name="IQ_UNEARN_REV_CURRENT_FIN" hidden="1" function="0" vbProcedure="0">"c1325"</definedName>
    <definedName name="IQ_UNEARN_REV_CURRENT_INS" hidden="1" function="0" vbProcedure="0">"c1326"</definedName>
    <definedName name="IQ_UNEARN_REV_CURRENT_REIT" hidden="1" function="0" vbProcedure="0">"c1327"</definedName>
    <definedName name="IQ_UNEARN_REV_CURRENT_UTI" hidden="1" function="0" vbProcedure="0">"c1328"</definedName>
    <definedName name="IQ_UNEARN_REV_LT" hidden="1" function="0" vbProcedure="0">"c1329"</definedName>
    <definedName name="IQ_UNLEVERED_FCF" hidden="1" function="0" vbProcedure="0">"c1908"</definedName>
    <definedName name="IQ_UNPAID_CLAIMS" hidden="1" function="0" vbProcedure="0">"c1330"</definedName>
    <definedName name="IQ_UNREALIZED_GAIN" hidden="1" function="0" vbProcedure="0">"c1619"</definedName>
    <definedName name="IQ_UNUSUAL_EXP" hidden="1" function="0" vbProcedure="0">"c1456"</definedName>
    <definedName name="IQ_US_GAAP" hidden="1" function="0" vbProcedure="0">"c1331"</definedName>
    <definedName name="IQ_UTIL_PPE_NET" hidden="1" function="0" vbProcedure="0">"c1620"</definedName>
    <definedName name="IQ_UTIL_REV" hidden="1" function="0" vbProcedure="0">"c2091"</definedName>
    <definedName name="IQ_UV_PENSION_LIAB" hidden="1" function="0" vbProcedure="0">"c1332"</definedName>
    <definedName name="IQ_VALUE_TRADED_LAST_3MTH" hidden="1" function="0" vbProcedure="0">"c1530"</definedName>
    <definedName name="IQ_VALUE_TRADED_LAST_6MTH" hidden="1" function="0" vbProcedure="0">"c1531"</definedName>
    <definedName name="IQ_VALUE_TRADED_LAST_MTH" hidden="1" function="0" vbProcedure="0">"c1529"</definedName>
    <definedName name="IQ_VALUE_TRADED_LAST_WK" hidden="1" function="0" vbProcedure="0">"c1528"</definedName>
    <definedName name="IQ_VALUE_TRADED_LAST_YR" hidden="1" function="0" vbProcedure="0">"c1532"</definedName>
    <definedName name="IQ_VOLUME" hidden="1" function="0" vbProcedure="0">"c1333"</definedName>
    <definedName name="IQ_VOL_LAST_3MTH" hidden="1" function="0" vbProcedure="0">"c1525"</definedName>
    <definedName name="IQ_VOL_LAST_6MTH" hidden="1" function="0" vbProcedure="0">"c1526"</definedName>
    <definedName name="IQ_VOL_LAST_MTH" hidden="1" function="0" vbProcedure="0">"c1524"</definedName>
    <definedName name="IQ_VOL_LAST_WK" hidden="1" function="0" vbProcedure="0">"c1523"</definedName>
    <definedName name="IQ_VOL_LAST_YR" hidden="1" function="0" vbProcedure="0">"c1527"</definedName>
    <definedName name="IQ_WEIGHTED_AVG_PRICE" hidden="1" function="0" vbProcedure="0">"c1334"</definedName>
    <definedName name="IQ_WIP_INV" hidden="1" function="0" vbProcedure="0">"c1335"</definedName>
    <definedName name="IQ_WORKMEN_WRITTEN" hidden="1" function="0" vbProcedure="0">"c1336"</definedName>
    <definedName name="IQ_XDIV_DATE" hidden="1" function="0" vbProcedure="0">"c2104"</definedName>
    <definedName name="IQ_YEARHIGH" hidden="1" function="0" vbProcedure="0">"c1337"</definedName>
    <definedName name="IQ_YEARLOW" hidden="1" function="0" vbProcedure="0">"c1338"</definedName>
    <definedName name="IQ_YTD" hidden="1" function="0" vbProcedure="0">3000</definedName>
    <definedName name="IQ_Z_SCORE" hidden="1" function="0" vbProcedure="0">"c1339"</definedName>
    <definedName name="last_close" hidden="0" function="0" vbProcedure="0">Valuation!$G$7</definedName>
    <definedName name="Market_Equity" hidden="0" function="0" vbProcedure="0">#REF!</definedName>
    <definedName name="midyear" hidden="0" function="0" vbProcedure="0">#REF!</definedName>
    <definedName name="Net_Debt" hidden="0" function="0" vbProcedure="0">#REF!</definedName>
    <definedName name="NumofGrpAccts" hidden="1" function="0" vbProcedure="0">2</definedName>
    <definedName name="nvnvnvnv" hidden="1" function="0" vbProcedure="0">{#N/A,#N/A,FALSE,"Aging Summary";#N/A,#N/A,FALSE,"Ratio Analysis";#N/A,#N/A,FALSE,"Test 120 Day Accts";#N/A,#N/A,FALSE,"Tickmarks"}</definedName>
    <definedName name="range" hidden="0" function="0" vbProcedure="0">#REF!</definedName>
    <definedName name="RowLevel" hidden="1" function="0" vbProcedure="0">1</definedName>
    <definedName name="Stub_year_fraction" hidden="0" function="0" vbProcedure="0">#REF!</definedName>
    <definedName name="TBdbName" hidden="1" function="0" vbProcedure="0">"88D5BF544BE111D2B8C5006097494125.mdb"</definedName>
    <definedName name="TextRefCopyRangeCount" hidden="1" function="0" vbProcedure="0">68</definedName>
    <definedName name="ticker" hidden="0" function="0" vbProcedure="0">Valuation!$D$7</definedName>
    <definedName name="Useful_Life_of_Depreciable_PP_E" hidden="0" function="0" vbProcedure="0">"PPElife"</definedName>
    <definedName name="wrn.Aging._.and._.Trend._.Analysis." hidden="1" function="0" vbProcedure="0">{#N/A,#N/A,FALSE,"Aging Summary";#N/A,#N/A,FALSE,"Ratio Analysis";#N/A,#N/A,FALSE,"Test 120 Day Accts";#N/A,#N/A,FALSE,"Tickmarks"}</definedName>
    <definedName name="wrn.EXPENSES._.98._.US." hidden="1" function="0" vbProcedure="0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 function="0" vbProcedure="0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 function="0" vbProcedure="0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 function="0" vbProcedure="0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 function="0" vbProcedure="0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 function="0" vbProcedure="0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 function="0" vbProcedure="0">{#N/A,#N/A,FALSE,"Graficos    ( 9 )"}</definedName>
    <definedName name="wrn.WORK._.PAPER." hidden="1" function="0" vbProcedure="0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 function="0" vbProcedure="0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 function="0" vbProcedure="0">2</definedName>
    <definedName name="XRefCopy1" hidden="1" function="0" vbProcedure="0">#REF!</definedName>
    <definedName name="XRefCopy10" hidden="1" function="0" vbProcedure="0">#REF!</definedName>
    <definedName name="XRefCopy10Row" hidden="1" function="0" vbProcedure="0">#REF!</definedName>
    <definedName name="XRefCopy12" hidden="1" function="0" vbProcedure="0">#REF!</definedName>
    <definedName name="XRefCopy12Row" hidden="1" function="0" vbProcedure="0">#REF!</definedName>
    <definedName name="XRefCopy13" hidden="1" function="0" vbProcedure="0">#REF!</definedName>
    <definedName name="XRefCopy13Row" hidden="1" function="0" vbProcedure="0">#REF!</definedName>
    <definedName name="XRefCopy15" hidden="1" function="0" vbProcedure="0">#REF!</definedName>
    <definedName name="XRefCopy15Row" hidden="1" function="0" vbProcedure="0">#REF!</definedName>
    <definedName name="XRefCopy16Row" hidden="1" function="0" vbProcedure="0">#REF!</definedName>
    <definedName name="XRefCopy17" hidden="1" function="0" vbProcedure="0">#REF!</definedName>
    <definedName name="XRefCopy17Row" hidden="1" function="0" vbProcedure="0">#REF!</definedName>
    <definedName name="XRefCopy18" hidden="1" function="0" vbProcedure="0">#REF!</definedName>
    <definedName name="XRefCopy18Row" hidden="1" function="0" vbProcedure="0">#REF!</definedName>
    <definedName name="XRefCopy19" hidden="1" function="0" vbProcedure="0">#REF!</definedName>
    <definedName name="XRefCopy19Row" hidden="1" function="0" vbProcedure="0">#REF!</definedName>
    <definedName name="XRefCopy2" hidden="1" function="0" vbProcedure="0">#REF!</definedName>
    <definedName name="XRefCopy20" hidden="1" function="0" vbProcedure="0">#REF!</definedName>
    <definedName name="XRefCopy20Row" hidden="1" function="0" vbProcedure="0">#REF!</definedName>
    <definedName name="XRefCopy21" hidden="1" function="0" vbProcedure="0">#REF!</definedName>
    <definedName name="XRefCopy21Row" hidden="1" function="0" vbProcedure="0">#REF!</definedName>
    <definedName name="XRefCopy28" hidden="1" function="0" vbProcedure="0">#REF!</definedName>
    <definedName name="XRefCopy28Row" hidden="1" function="0" vbProcedure="0">#REF!</definedName>
    <definedName name="XRefCopy29" hidden="1" function="0" vbProcedure="0">#REF!</definedName>
    <definedName name="XRefCopy29Row" hidden="1" function="0" vbProcedure="0">#REF!</definedName>
    <definedName name="XRefCopy3" hidden="1" function="0" vbProcedure="0">#REF!</definedName>
    <definedName name="XRefCopy30Row" hidden="1" function="0" vbProcedure="0">#REF!</definedName>
    <definedName name="XRefCopy31" hidden="1" function="0" vbProcedure="0">#REF!</definedName>
    <definedName name="XRefCopy31Row" hidden="1" function="0" vbProcedure="0">#REF!</definedName>
    <definedName name="XRefCopy33Row" hidden="1" function="0" vbProcedure="0">#REF!</definedName>
    <definedName name="XRefCopy39" hidden="1" function="0" vbProcedure="0">#REF!</definedName>
    <definedName name="XRefCopy4" hidden="1" function="0" vbProcedure="0">#REF!</definedName>
    <definedName name="XRefCopy40Row" hidden="1" function="0" vbProcedure="0">#REF!</definedName>
    <definedName name="XRefCopy43Row" hidden="1" function="0" vbProcedure="0">#REF!</definedName>
    <definedName name="XRefCopy44Row" hidden="1" function="0" vbProcedure="0">#REF!</definedName>
    <definedName name="XRefCopy49Row" hidden="1" function="0" vbProcedure="0">#REF!</definedName>
    <definedName name="XRefCopy4Row" hidden="1" function="0" vbProcedure="0">#REF!</definedName>
    <definedName name="XRefCopy5" hidden="1" function="0" vbProcedure="0">#REF!</definedName>
    <definedName name="XRefCopy50Row" hidden="1" function="0" vbProcedure="0">#REF!</definedName>
    <definedName name="XRefCopy51Row" hidden="1" function="0" vbProcedure="0">#REF!</definedName>
    <definedName name="XRefCopy52Row" hidden="1" function="0" vbProcedure="0">#REF!</definedName>
    <definedName name="XRefCopy53Row" hidden="1" function="0" vbProcedure="0">#REF!</definedName>
    <definedName name="XRefCopy55Row" hidden="1" function="0" vbProcedure="0">#REF!</definedName>
    <definedName name="XRefCopy56" hidden="1" function="0" vbProcedure="0">#REF!</definedName>
    <definedName name="XRefCopy56Row" hidden="1" function="0" vbProcedure="0">#REF!</definedName>
    <definedName name="XRefCopy5Row" hidden="1" function="0" vbProcedure="0">#REF!</definedName>
    <definedName name="XRefCopy6" hidden="1" function="0" vbProcedure="0">#REF!</definedName>
    <definedName name="XRefCopy61" hidden="1" function="0" vbProcedure="0">#REF!</definedName>
    <definedName name="XRefCopy61Row" hidden="1" function="0" vbProcedure="0">#REF!</definedName>
    <definedName name="XRefCopy63Row" hidden="1" function="0" vbProcedure="0">#REF!</definedName>
    <definedName name="XRefCopy64Row" hidden="1" function="0" vbProcedure="0">#REF!</definedName>
    <definedName name="XRefCopy65Row" hidden="1" function="0" vbProcedure="0">#REF!</definedName>
    <definedName name="XRefCopy66" hidden="1" function="0" vbProcedure="0">#REF!</definedName>
    <definedName name="XRefCopy66Row" hidden="1" function="0" vbProcedure="0">#REF!</definedName>
    <definedName name="XRefCopy67Row" hidden="1" function="0" vbProcedure="0">#REF!</definedName>
    <definedName name="XRefCopy68Row" hidden="1" function="0" vbProcedure="0">#REF!</definedName>
    <definedName name="XRefCopy69Row" hidden="1" function="0" vbProcedure="0">#REF!</definedName>
    <definedName name="XRefCopy6Row" hidden="1" function="0" vbProcedure="0">#REF!</definedName>
    <definedName name="XRefCopy7" hidden="1" function="0" vbProcedure="0">#REF!</definedName>
    <definedName name="XRefCopy70Row" hidden="1" function="0" vbProcedure="0">#REF!</definedName>
    <definedName name="XRefCopy71Row" hidden="1" function="0" vbProcedure="0">#REF!</definedName>
    <definedName name="XRefCopy72Row" hidden="1" function="0" vbProcedure="0">#REF!</definedName>
    <definedName name="XRefCopy73Row" hidden="1" function="0" vbProcedure="0">#REF!</definedName>
    <definedName name="XRefCopy74Row" hidden="1" function="0" vbProcedure="0">#REF!</definedName>
    <definedName name="XRefCopy75Row" hidden="1" function="0" vbProcedure="0">#REF!</definedName>
    <definedName name="XRefCopy76Row" hidden="1" function="0" vbProcedure="0">#REF!</definedName>
    <definedName name="XRefCopy77Row" hidden="1" function="0" vbProcedure="0">#REF!</definedName>
    <definedName name="XRefCopy78Row" hidden="1" function="0" vbProcedure="0">#REF!</definedName>
    <definedName name="XRefCopy7Row" hidden="1" function="0" vbProcedure="0">#REF!</definedName>
    <definedName name="XRefCopy8" hidden="1" function="0" vbProcedure="0">#REF!</definedName>
    <definedName name="XRefCopy80Row" hidden="1" function="0" vbProcedure="0">#REF!</definedName>
    <definedName name="XRefCopy81" hidden="1" function="0" vbProcedure="0">#REF!</definedName>
    <definedName name="XRefCopy81Row" hidden="1" function="0" vbProcedure="0">#REF!</definedName>
    <definedName name="XRefCopy82Row" hidden="1" function="0" vbProcedure="0">#REF!</definedName>
    <definedName name="XRefCopy8Row" hidden="1" function="0" vbProcedure="0">#REF!</definedName>
    <definedName name="XRefCopy9" hidden="1" function="0" vbProcedure="0">#REF!</definedName>
    <definedName name="XRefCopy9Row" hidden="1" function="0" vbProcedure="0">#REF!</definedName>
    <definedName name="XRefCopyRangeCount" hidden="1" function="0" vbProcedure="0">5</definedName>
    <definedName name="XRefPaste1" hidden="1" function="0" vbProcedure="0">#REF!</definedName>
    <definedName name="XRefPaste10" hidden="1" function="0" vbProcedure="0">#REF!</definedName>
    <definedName name="XRefPaste101" hidden="1" function="0" vbProcedure="0">#REF!</definedName>
    <definedName name="XRefPaste101Row" hidden="1" function="0" vbProcedure="0">#REF!</definedName>
    <definedName name="XRefPaste102" hidden="1" function="0" vbProcedure="0">#REF!</definedName>
    <definedName name="XRefPaste102Row" hidden="1" function="0" vbProcedure="0">#REF!</definedName>
    <definedName name="XRefPaste103" hidden="1" function="0" vbProcedure="0">#REF!</definedName>
    <definedName name="XRefPaste103Row" hidden="1" function="0" vbProcedure="0">#REF!</definedName>
    <definedName name="XRefPaste104Row" hidden="1" function="0" vbProcedure="0">#REF!</definedName>
    <definedName name="XRefPaste105Row" hidden="1" function="0" vbProcedure="0">#REF!</definedName>
    <definedName name="XRefPaste106" hidden="1" function="0" vbProcedure="0">#REF!</definedName>
    <definedName name="XRefPaste106Row" hidden="1" function="0" vbProcedure="0">#REF!</definedName>
    <definedName name="XRefPaste107Row" hidden="1" function="0" vbProcedure="0">#REF!</definedName>
    <definedName name="XRefPaste108Row" hidden="1" function="0" vbProcedure="0">#REF!</definedName>
    <definedName name="XRefPaste11" hidden="1" function="0" vbProcedure="0">#REF!</definedName>
    <definedName name="XRefPaste111Row" hidden="1" function="0" vbProcedure="0">#REF!</definedName>
    <definedName name="XRefPaste112Row" hidden="1" function="0" vbProcedure="0">#REF!</definedName>
    <definedName name="XRefPaste117" hidden="1" function="0" vbProcedure="0">#REF!</definedName>
    <definedName name="XRefPaste117Row" hidden="1" function="0" vbProcedure="0">#REF!</definedName>
    <definedName name="XRefPaste118" hidden="1" function="0" vbProcedure="0">#REF!</definedName>
    <definedName name="XRefPaste118Row" hidden="1" function="0" vbProcedure="0">#REF!</definedName>
    <definedName name="XRefPaste119" hidden="1" function="0" vbProcedure="0">#REF!</definedName>
    <definedName name="XRefPaste119Row" hidden="1" function="0" vbProcedure="0">#REF!</definedName>
    <definedName name="XRefPaste12" hidden="1" function="0" vbProcedure="0">#REF!</definedName>
    <definedName name="XRefPaste120" hidden="1" function="0" vbProcedure="0">#REF!</definedName>
    <definedName name="XRefPaste120Row" hidden="1" function="0" vbProcedure="0">#REF!</definedName>
    <definedName name="XRefPaste121Row" hidden="1" function="0" vbProcedure="0">#REF!</definedName>
    <definedName name="XRefPaste122Row" hidden="1" function="0" vbProcedure="0">#REF!</definedName>
    <definedName name="XRefPaste123Row" hidden="1" function="0" vbProcedure="0">#REF!</definedName>
    <definedName name="XRefPaste124Row" hidden="1" function="0" vbProcedure="0">#REF!</definedName>
    <definedName name="XRefPaste126Row" hidden="1" function="0" vbProcedure="0">#REF!</definedName>
    <definedName name="XRefPaste127Row" hidden="1" function="0" vbProcedure="0">#REF!</definedName>
    <definedName name="XRefPaste128Row" hidden="1" function="0" vbProcedure="0">#REF!</definedName>
    <definedName name="XRefPaste129Row" hidden="1" function="0" vbProcedure="0">#REF!</definedName>
    <definedName name="XRefPaste13" hidden="1" function="0" vbProcedure="0">#REF!</definedName>
    <definedName name="XRefPaste130Row" hidden="1" function="0" vbProcedure="0">#REF!</definedName>
    <definedName name="XRefPaste131Row" hidden="1" function="0" vbProcedure="0">#REF!</definedName>
    <definedName name="XRefPaste132Row" hidden="1" function="0" vbProcedure="0">#REF!</definedName>
    <definedName name="XRefPaste133Row" hidden="1" function="0" vbProcedure="0">#REF!</definedName>
    <definedName name="XRefPaste134Row" hidden="1" function="0" vbProcedure="0">#REF!</definedName>
    <definedName name="XRefPaste135Row" hidden="1" function="0" vbProcedure="0">#REF!</definedName>
    <definedName name="XRefPaste136Row" hidden="1" function="0" vbProcedure="0">#REF!</definedName>
    <definedName name="XRefPaste137Row" hidden="1" function="0" vbProcedure="0">#REF!</definedName>
    <definedName name="XRefPaste138Row" hidden="1" function="0" vbProcedure="0">#REF!</definedName>
    <definedName name="XRefPaste139" hidden="1" function="0" vbProcedure="0">#REF!</definedName>
    <definedName name="XRefPaste139Row" hidden="1" function="0" vbProcedure="0">#REF!</definedName>
    <definedName name="XRefPaste14" hidden="1" function="0" vbProcedure="0">#REF!</definedName>
    <definedName name="XRefPaste15" hidden="1" function="0" vbProcedure="0">#REF!</definedName>
    <definedName name="XRefPaste15Row" hidden="1" function="0" vbProcedure="0">#REF!</definedName>
    <definedName name="XRefPaste16" hidden="1" function="0" vbProcedure="0">#REF!</definedName>
    <definedName name="XRefPaste16Row" hidden="1" function="0" vbProcedure="0">#REF!</definedName>
    <definedName name="XRefPaste17Row" hidden="1" function="0" vbProcedure="0">#REF!</definedName>
    <definedName name="XRefPaste18" hidden="1" function="0" vbProcedure="0">#REF!</definedName>
    <definedName name="XRefPaste18Row" hidden="1" function="0" vbProcedure="0">#REF!</definedName>
    <definedName name="XRefPaste19" hidden="1" function="0" vbProcedure="0">#REF!</definedName>
    <definedName name="XRefPaste19Row" hidden="1" function="0" vbProcedure="0">#REF!</definedName>
    <definedName name="XRefPaste1Row" hidden="1" function="0" vbProcedure="0">#REF!</definedName>
    <definedName name="XRefPaste2" hidden="1" function="0" vbProcedure="0">#REF!</definedName>
    <definedName name="XRefPaste26" hidden="1" function="0" vbProcedure="0">#REF!</definedName>
    <definedName name="XRefPaste26Row" hidden="1" function="0" vbProcedure="0">#REF!</definedName>
    <definedName name="XRefPaste27Row" hidden="1" function="0" vbProcedure="0">#REF!</definedName>
    <definedName name="XRefPaste28" hidden="1" function="0" vbProcedure="0">#REF!</definedName>
    <definedName name="XRefPaste28Row" hidden="1" function="0" vbProcedure="0">#REF!</definedName>
    <definedName name="XRefPaste29" hidden="1" function="0" vbProcedure="0">#REF!</definedName>
    <definedName name="XRefPaste29Row" hidden="1" function="0" vbProcedure="0">#REF!</definedName>
    <definedName name="XRefPaste2Row" hidden="1" function="0" vbProcedure="0">#REF!</definedName>
    <definedName name="XRefPaste3" hidden="1" function="0" vbProcedure="0">#REF!</definedName>
    <definedName name="XRefPaste31" hidden="1" function="0" vbProcedure="0">#REF!</definedName>
    <definedName name="XRefPaste31Row" hidden="1" function="0" vbProcedure="0">#REF!</definedName>
    <definedName name="XRefPaste32" hidden="1" function="0" vbProcedure="0">#REF!</definedName>
    <definedName name="XRefPaste32Row" hidden="1" function="0" vbProcedure="0">#REF!</definedName>
    <definedName name="XRefPaste35" hidden="1" function="0" vbProcedure="0">#REF!</definedName>
    <definedName name="XRefPaste35Row" hidden="1" function="0" vbProcedure="0">#REF!</definedName>
    <definedName name="XRefPaste37" hidden="1" function="0" vbProcedure="0">#REF!</definedName>
    <definedName name="XRefPaste37Row" hidden="1" function="0" vbProcedure="0">#REF!</definedName>
    <definedName name="XRefPaste38" hidden="1" function="0" vbProcedure="0">#REF!</definedName>
    <definedName name="XRefPaste38Row" hidden="1" function="0" vbProcedure="0">#REF!</definedName>
    <definedName name="XRefPaste39" hidden="1" function="0" vbProcedure="0">#REF!</definedName>
    <definedName name="XRefPaste39Row" hidden="1" function="0" vbProcedure="0">#REF!</definedName>
    <definedName name="XRefPaste3Row" hidden="1" function="0" vbProcedure="0">#REF!</definedName>
    <definedName name="XRefPaste4" hidden="1" function="0" vbProcedure="0">#REF!</definedName>
    <definedName name="XRefPaste44" hidden="1" function="0" vbProcedure="0">#REF!</definedName>
    <definedName name="XRefPaste44Row" hidden="1" function="0" vbProcedure="0">#REF!</definedName>
    <definedName name="XRefPaste45" hidden="1" function="0" vbProcedure="0">#REF!</definedName>
    <definedName name="XRefPaste45Row" hidden="1" function="0" vbProcedure="0">#REF!</definedName>
    <definedName name="XRefPaste4Row" hidden="1" function="0" vbProcedure="0">#REF!</definedName>
    <definedName name="XRefPaste5" hidden="1" function="0" vbProcedure="0">#REF!</definedName>
    <definedName name="XRefPaste56Row" hidden="1" function="0" vbProcedure="0">#REF!</definedName>
    <definedName name="XRefPaste57Row" hidden="1" function="0" vbProcedure="0">#REF!</definedName>
    <definedName name="XRefPaste59Row" hidden="1" function="0" vbProcedure="0">#REF!</definedName>
    <definedName name="XRefPaste5Row" hidden="1" function="0" vbProcedure="0">#REF!</definedName>
    <definedName name="XRefPaste6" hidden="1" function="0" vbProcedure="0">#REF!</definedName>
    <definedName name="XRefPaste62Row" hidden="1" function="0" vbProcedure="0">#REF!</definedName>
    <definedName name="XRefPaste63Row" hidden="1" function="0" vbProcedure="0">#REF!</definedName>
    <definedName name="XRefPaste64Row" hidden="1" function="0" vbProcedure="0">#REF!</definedName>
    <definedName name="XRefPaste65Row" hidden="1" function="0" vbProcedure="0">#REF!</definedName>
    <definedName name="XRefPaste67Row" hidden="1" function="0" vbProcedure="0">#REF!</definedName>
    <definedName name="XRefPaste68Row" hidden="1" function="0" vbProcedure="0">#REF!</definedName>
    <definedName name="XRefPaste69Row" hidden="1" function="0" vbProcedure="0">#REF!</definedName>
    <definedName name="XRefPaste6Row" hidden="1" function="0" vbProcedure="0">#REF!</definedName>
    <definedName name="XRefPaste7" hidden="1" function="0" vbProcedure="0">#REF!</definedName>
    <definedName name="XRefPaste70Row" hidden="1" function="0" vbProcedure="0">#REF!</definedName>
    <definedName name="XRefPaste71Row" hidden="1" function="0" vbProcedure="0">#REF!</definedName>
    <definedName name="XRefPaste75Row" hidden="1" function="0" vbProcedure="0">#REF!</definedName>
    <definedName name="XRefPaste7Row" hidden="1" function="0" vbProcedure="0">#REF!</definedName>
    <definedName name="XRefPaste8" hidden="1" function="0" vbProcedure="0">#REF!</definedName>
    <definedName name="XRefPaste9" hidden="1" function="0" vbProcedure="0">#REF!</definedName>
    <definedName name="XRefPaste99Row" hidden="1" function="0" vbProcedure="0">#REF!</definedName>
    <definedName name="XRefPasteRangeCount" hidden="1" function="0" vbProcedure="0">35</definedName>
    <definedName name="XREF_COLUMN_1" hidden="1" function="0" vbProcedure="0">#REF!</definedName>
    <definedName name="XREF_COLUMN_10" hidden="1" function="0" vbProcedure="0">#REF!</definedName>
    <definedName name="XREF_COLUMN_11" hidden="1" function="0" vbProcedure="0">#REF!</definedName>
    <definedName name="XREF_COLUMN_14" hidden="1" function="0" vbProcedure="0">#REF!</definedName>
    <definedName name="XREF_COLUMN_15" hidden="1" function="0" vbProcedure="0">#REF!</definedName>
    <definedName name="XREF_COLUMN_16" hidden="1" function="0" vbProcedure="0">#REF!</definedName>
    <definedName name="XREF_COLUMN_17" hidden="1" function="0" vbProcedure="0">#REF!</definedName>
    <definedName name="XREF_COLUMN_19" hidden="1" function="0" vbProcedure="0">#REF!</definedName>
    <definedName name="XREF_COLUMN_2" hidden="1" function="0" vbProcedure="0">#REF!</definedName>
    <definedName name="XREF_COLUMN_20" hidden="1" function="0" vbProcedure="0">#REF!</definedName>
    <definedName name="XREF_COLUMN_21" hidden="1" function="0" vbProcedure="0">#REF!</definedName>
    <definedName name="XREF_COLUMN_3" hidden="1" function="0" vbProcedure="0">#REF!</definedName>
    <definedName name="XREF_COLUMN_4" hidden="1" function="0" vbProcedure="0">#REF!</definedName>
    <definedName name="XREF_COLUMN_5" hidden="1" function="0" vbProcedure="0">#REF!</definedName>
    <definedName name="XREF_COLUMN_6" hidden="1" function="0" vbProcedure="0">#REF!</definedName>
    <definedName name="XREF_COLUMN_7" hidden="1" function="0" vbProcedure="0">#REF!</definedName>
    <definedName name="XREF_COLUMN_8" hidden="1" function="0" vbProcedure="0">#REF!</definedName>
    <definedName name="XREF_COLUMN_9" hidden="1" function="0" vbProcedure="0">#REF!</definedName>
    <definedName name="_Fill" hidden="1" function="0" vbProcedure="0">#REF!</definedName>
    <definedName name="beta_observed" localSheetId="1" hidden="0" function="0" vbProcedure="0">#REF!</definedName>
    <definedName name="ticker" localSheetId="1" hidden="0" function="0" vbProcedure="0">#REF!</definedName>
    <definedName name="costdebtfirm" localSheetId="3" hidden="0" function="0" vbProcedure="0">Valuation!$D$86</definedName>
    <definedName name="costequity" localSheetId="3" hidden="0" function="0" vbProcedure="0">Valuation!$D$94</definedName>
    <definedName name="debt" localSheetId="3" hidden="0" function="0" vbProcedure="0">Valuation!$G$88</definedName>
    <definedName name="debt_weight" localSheetId="3" hidden="0" function="0" vbProcedure="0">Valuation!$J$88</definedName>
    <definedName name="g" localSheetId="3" hidden="0" function="0" vbProcedure="0">Valuation!$D$63</definedName>
    <definedName name="market_equity" localSheetId="3" hidden="0" function="0" vbProcedure="0">Valuation!$G$89</definedName>
    <definedName name="noplat_t1" localSheetId="3" hidden="0" function="0" vbProcedure="0">Valuation!$D$65</definedName>
    <definedName name="relevered_beta" localSheetId="3" hidden="0" function="0" vbProcedure="0">Valuation!$M$102</definedName>
    <definedName name="risk_free_rate" localSheetId="3" hidden="0" function="0" vbProcedure="0">Valuation!$D$91</definedName>
    <definedName name="risk_premium" localSheetId="3" hidden="0" function="0" vbProcedure="0">Valuation!$D$92</definedName>
    <definedName name="ronic" localSheetId="3" hidden="0" function="0" vbProcedure="0">Valuation!$D$64</definedName>
    <definedName name="scenario" localSheetId="3" hidden="0" function="0" vbProcedure="0">Valuation!$E$8</definedName>
    <definedName name="stub_year_fraction" localSheetId="3" hidden="0" function="0" vbProcedure="0">Valuation!$D$11</definedName>
    <definedName name="totalcap" localSheetId="3" hidden="0" function="0" vbProcedure="0">Valuation!$G$90</definedName>
    <definedName name="wacc" localSheetId="3" hidden="0" function="0" vbProcedure="0">Valuation!$D$12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3">
    <numFmt numFmtId="164" formatCode="#,##0.0;\(#,##0.0\)"/>
    <numFmt numFmtId="165" formatCode="#,##0;\(#,##0\)"/>
    <numFmt numFmtId="166" formatCode="#,##0_ ;[RED]\-#,##0\ "/>
    <numFmt numFmtId="167" formatCode="#,##0_);[RED]\(#,##0\)"/>
    <numFmt numFmtId="168" formatCode="#,##0.0_);[RED]\(#,##0.0\)"/>
    <numFmt numFmtId="169" formatCode="#,##0.0_ ;[RED]\-#,##0.0\ "/>
    <numFmt numFmtId="170" formatCode="[$-409]d\-mmm;@"/>
    <numFmt numFmtId="171" formatCode="[$-409]d\-mmm"/>
    <numFmt numFmtId="172" formatCode="[$-416]d\-mmm"/>
    <numFmt numFmtId="173" formatCode="0.0%"/>
    <numFmt numFmtId="174" formatCode="#,##0.0;[RED]#,##0.0"/>
    <numFmt numFmtId="175" formatCode="#,##0.00_);[RED]\(#,##0.00\)"/>
    <numFmt numFmtId="176" formatCode="0.0\x"/>
    <numFmt numFmtId="177" formatCode="0.0"/>
    <numFmt numFmtId="178" formatCode="[$-409]d\-mmm\-yy;@"/>
    <numFmt numFmtId="179" formatCode="[$BRL]\ #,##0.00_);[RED]\([$BRL]\ #,##0.00\)"/>
    <numFmt numFmtId="180" formatCode="#,##0.0_);\(#,##0.0\)"/>
    <numFmt numFmtId="181" formatCode="#,##0.000_);\(#,##0.000\)"/>
    <numFmt numFmtId="182" formatCode="&quot;R$ &quot;#,##0.00"/>
    <numFmt numFmtId="183" formatCode="#,##0.0\x"/>
    <numFmt numFmtId="184" formatCode="\$#,##0.00_);&quot;($&quot;#,##0.00\)"/>
    <numFmt numFmtId="185" formatCode="#,##0.000_);[RED]\(#,##0.000\)"/>
    <numFmt numFmtId="186" formatCode="\$#,##0.00_);[RED]&quot;($&quot;#,##0.00\)"/>
    <numFmt numFmtId="187" formatCode="\$#,##0.0_);&quot;($&quot;#,##0.0\)"/>
    <numFmt numFmtId="188" formatCode="#,##0_);\(#,##0\)"/>
    <numFmt numFmtId="189" formatCode="0.0%;\(0.0%\)"/>
    <numFmt numFmtId="190" formatCode="0.000"/>
    <numFmt numFmtId="191" formatCode="#,##0.00_);\(#,##0.00\)"/>
    <numFmt numFmtId="192" formatCode="_(\$* #,##0.00_);_(\$* \(#,##0.00\);_(\$* \-??_);_(@_)"/>
    <numFmt numFmtId="193" formatCode="m/d/yyyy"/>
    <numFmt numFmtId="194" formatCode="0_);\(0\)"/>
    <numFmt numFmtId="195" formatCode="_(* #,##0.00_);_(* \(#,##0.00\);_(* \-??_);_(@_)"/>
    <numFmt numFmtId="196" formatCode="#,##0.0"/>
  </numFmts>
  <fonts count="28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b val="1"/>
      <sz val="8"/>
    </font>
    <font>
      <name val="Verdana"/>
      <charset val="1"/>
      <family val="2"/>
      <color theme="1"/>
      <sz val="10"/>
    </font>
    <font>
      <name val="Arial"/>
      <charset val="1"/>
      <family val="2"/>
      <sz val="8"/>
    </font>
    <font>
      <name val="Arial"/>
      <charset val="1"/>
      <family val="2"/>
      <b val="1"/>
      <color rgb="FF333333"/>
      <sz val="10"/>
    </font>
    <font>
      <name val="Calibri"/>
      <charset val="1"/>
      <family val="2"/>
      <color rgb="FF000000"/>
      <sz val="11"/>
    </font>
    <font>
      <name val="Cambria"/>
      <charset val="1"/>
      <family val="0"/>
      <b val="1"/>
      <sz val="11"/>
    </font>
    <font>
      <name val="Verdana"/>
      <charset val="1"/>
      <family val="0"/>
      <color rgb="FF808080"/>
      <sz val="10"/>
    </font>
    <font>
      <name val="Verdana"/>
      <charset val="1"/>
      <family val="2"/>
      <color rgb="FF0000FF"/>
      <sz val="10"/>
    </font>
    <font>
      <name val="Verdana"/>
      <charset val="1"/>
      <family val="2"/>
      <b val="1"/>
      <color theme="1"/>
      <sz val="10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i val="1"/>
      <color theme="1"/>
      <sz val="10"/>
    </font>
    <font>
      <name val="Verdana"/>
      <charset val="1"/>
      <family val="2"/>
      <sz val="10"/>
    </font>
    <font>
      <name val="Verdana"/>
      <charset val="1"/>
      <family val="2"/>
      <b val="1"/>
      <color theme="0"/>
      <sz val="10"/>
    </font>
    <font>
      <name val="Verdana"/>
      <charset val="1"/>
      <family val="2"/>
      <b val="1"/>
      <sz val="10"/>
    </font>
    <font>
      <name val="Verdana"/>
      <charset val="1"/>
      <family val="2"/>
      <b val="1"/>
      <color theme="0" tint="-0.05"/>
      <sz val="10"/>
    </font>
    <font>
      <name val="Cambria"/>
      <charset val="1"/>
      <family val="0"/>
      <color rgb="FF808080"/>
      <sz val="11"/>
    </font>
    <font>
      <name val="Verdana"/>
      <charset val="1"/>
      <family val="2"/>
      <b val="1"/>
      <color rgb="FF333333"/>
      <sz val="10"/>
    </font>
    <font>
      <name val="Verdana"/>
      <charset val="1"/>
      <family val="2"/>
      <b val="1"/>
      <color rgb="FF0000FF"/>
      <sz val="10"/>
    </font>
    <font>
      <name val="Verdana"/>
      <charset val="1"/>
      <family val="2"/>
      <sz val="10"/>
      <u val="single"/>
    </font>
    <font>
      <name val="Verdana"/>
      <charset val="1"/>
      <family val="2"/>
      <color rgb="FF008000"/>
      <sz val="10"/>
    </font>
    <font>
      <name val="Arial"/>
      <family val="2"/>
      <sz val="10"/>
    </font>
    <font>
      <b val="1"/>
    </font>
    <font>
      <name val="Verdana"/>
      <b val="1"/>
      <sz val="10"/>
    </font>
  </fonts>
  <fills count="12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theme="4" tint="0.3999"/>
        <bgColor rgb="FF00B0F0"/>
      </patternFill>
    </fill>
    <fill>
      <patternFill patternType="solid">
        <fgColor rgb="FF00B0F0"/>
        <bgColor rgb="FF46B1E1"/>
      </patternFill>
    </fill>
    <fill>
      <patternFill patternType="solid">
        <fgColor theme="0" tint="-0.05"/>
        <bgColor rgb="FFFFFFFF"/>
      </patternFill>
    </fill>
  </fills>
  <borders count="30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hair">
        <color rgb="FF0000FF"/>
      </left>
      <right style="hair">
        <color rgb="FF0000FF"/>
      </right>
      <top style="thin"/>
      <bottom style="hair">
        <color rgb="FF0000FF"/>
      </bottom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/>
      <diagonal/>
    </border>
    <border>
      <left style="thin">
        <color rgb="FFFFFF00"/>
      </left>
      <right/>
      <top/>
      <bottom style="thin"/>
      <diagonal/>
    </border>
    <border>
      <left style="medium">
        <color rgb="FF00B050"/>
      </left>
      <right style="thin"/>
      <top style="medium">
        <color rgb="FF00B050"/>
      </top>
      <bottom style="medium">
        <color rgb="FF00B050"/>
      </bottom>
      <diagonal/>
    </border>
    <border>
      <left/>
      <right style="thin"/>
      <top style="thin">
        <color rgb="FFFFFF00"/>
      </top>
      <bottom style="thin">
        <color rgb="FFFFFF00"/>
      </bottom>
      <diagonal/>
    </border>
    <border>
      <left/>
      <right style="thin"/>
      <top style="thin">
        <color rgb="FFFFFF00"/>
      </top>
      <bottom/>
      <diagonal/>
    </border>
    <border>
      <left style="thin"/>
      <right style="thin"/>
      <top style="thin"/>
      <bottom style="thin"/>
      <diagonal/>
    </border>
  </borders>
  <cellStyleXfs count="1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92" fontId="4" fillId="0" borderId="0" applyAlignment="1">
      <alignment horizontal="general" vertical="bottom"/>
    </xf>
    <xf numFmtId="193" fontId="5" fillId="0" borderId="1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194" fontId="7" fillId="0" borderId="0" applyAlignment="1">
      <alignment horizontal="general" vertical="bottom"/>
    </xf>
    <xf numFmtId="0" fontId="8" fillId="2" borderId="2" applyAlignment="1">
      <alignment horizontal="general" vertical="bottom"/>
    </xf>
    <xf numFmtId="9" fontId="6" fillId="0" borderId="0" applyAlignment="1">
      <alignment horizontal="general" vertical="bottom"/>
    </xf>
    <xf numFmtId="195" fontId="9" fillId="0" borderId="0" applyAlignment="1">
      <alignment horizontal="general" vertical="bottom"/>
    </xf>
  </cellStyleXfs>
  <cellXfs count="520"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0" fontId="13" fillId="0" borderId="0" applyAlignment="1" pivotButton="0" quotePrefix="0" xfId="0">
      <alignment horizontal="general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general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0" fillId="0" borderId="1" pivotButton="0" quotePrefix="0" xfId="0"/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0" fillId="0" borderId="11" pivotButton="0" quotePrefix="0" xfId="0"/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26" fillId="0" borderId="0" pivotButton="0" quotePrefix="0" xfId="0"/>
    <xf numFmtId="3" fontId="0" fillId="0" borderId="0" pivotButton="0" quotePrefix="0" xfId="0"/>
    <xf numFmtId="196" fontId="12" fillId="4" borderId="0" applyAlignment="1" pivotButton="0" quotePrefix="0" xfId="0">
      <alignment horizontal="center" vertical="bottom"/>
    </xf>
    <xf numFmtId="196" fontId="6" fillId="0" borderId="0" applyAlignment="1" pivotButton="0" quotePrefix="0" xfId="0">
      <alignment horizontal="center" vertical="bottom"/>
    </xf>
    <xf numFmtId="3" fontId="13" fillId="5" borderId="0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0" fontId="27" fillId="5" borderId="0" applyAlignment="1" pivotButton="0" quotePrefix="0" xfId="22">
      <alignment horizontal="general" vertical="bottom"/>
    </xf>
    <xf numFmtId="173" fontId="13" fillId="5" borderId="0" applyAlignment="1" pivotButton="0" quotePrefix="0" xfId="0">
      <alignment horizontal="center" vertical="bottom"/>
    </xf>
    <xf numFmtId="173" fontId="13" fillId="0" borderId="0" applyAlignment="1" pivotButton="0" quotePrefix="0" xfId="0">
      <alignment horizontal="center" vertical="bottom"/>
    </xf>
  </cellXfs>
  <cellStyles count="1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  <cellStyle name="m/d/yy" xfId="7"/>
    <cellStyle name="Normal 2" xfId="8"/>
    <cellStyle name="Normal 2 2" xfId="9"/>
    <cellStyle name="Normal 2 3" xfId="10"/>
    <cellStyle name="Normal 4" xfId="11"/>
    <cellStyle name="Normal [3] 2" xfId="12"/>
    <cellStyle name="Output_dcfmodel" xfId="13"/>
    <cellStyle name="Porcentagem 3" xfId="14"/>
    <cellStyle name="Separador de milhares 2 17" xfId="15"/>
  </cellStyles>
  <dxfs count="4"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2CC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J1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1" activeCellId="0" sqref="A1"/>
    </sheetView>
  </sheetViews>
  <sheetFormatPr baseColWidth="8" defaultColWidth="8.53125" defaultRowHeight="15" zeroHeight="0" outlineLevelRow="0"/>
  <cols>
    <col width="6" customWidth="1" style="254" min="1" max="1"/>
    <col width="7" customWidth="1" style="254" min="2" max="2"/>
    <col width="6" customWidth="1" style="254" min="3" max="3"/>
    <col width="7" customWidth="1" style="254" min="4" max="4"/>
    <col width="6" customWidth="1" style="254" min="5" max="5"/>
    <col width="7" customWidth="1" style="254" min="6" max="6"/>
    <col width="8" customWidth="1" style="254" min="7" max="7"/>
    <col width="95" customWidth="1" style="254" min="8" max="8"/>
    <col width="20" customWidth="1" style="254" min="9" max="9"/>
    <col width="10" customWidth="1" style="254" min="10" max="10"/>
    <col width="13" customWidth="1" style="254" min="11" max="36"/>
  </cols>
  <sheetData>
    <row r="1" ht="15" customHeight="1" s="255">
      <c r="A1" s="254" t="inlineStr">
        <is>
          <t>Fator p/ milhões:</t>
        </is>
      </c>
      <c r="B1" s="254" t="n">
        <v>1e-06</v>
      </c>
      <c r="D1" s="254" t="inlineStr">
        <is>
          <t>Costco Wholesale Corporation (COST, CIK 909832) - fonte: SEC EDGAR XBRL (instâncias dos 10-Q/10-K). Moeda: USD. Brutos em USD unidades (fator 0,000001 -&gt; milhões). Colunas = trimestres-CALENDÁRIO (cada fechamento vai para o fim de trimestre mais próximo); ano fiscal termina no trimestre-calendário de set. Trimestre fiscal 4 (e qualquer trimestre sem 3M publicado) = acumulado do ano menos o acumulado anterior, calculado na extração.</t>
        </is>
      </c>
    </row>
    <row r="2" ht="15" customHeight="1" s="255">
      <c r="J2" s="254" t="inlineStr">
        <is>
          <t>Trimestre fiscal</t>
        </is>
      </c>
      <c r="K2" s="254" t="inlineStr">
        <is>
          <t>FQ2</t>
        </is>
      </c>
      <c r="L2" s="254" t="inlineStr">
        <is>
          <t>FQ3</t>
        </is>
      </c>
      <c r="M2" s="254" t="inlineStr">
        <is>
          <t>FQ4</t>
        </is>
      </c>
      <c r="N2" s="254" t="inlineStr">
        <is>
          <t>FQ1</t>
        </is>
      </c>
      <c r="O2" s="254" t="inlineStr">
        <is>
          <t>FQ2</t>
        </is>
      </c>
      <c r="P2" s="254" t="inlineStr">
        <is>
          <t>FQ3</t>
        </is>
      </c>
      <c r="Q2" s="254" t="inlineStr">
        <is>
          <t>FQ4</t>
        </is>
      </c>
      <c r="R2" s="254" t="inlineStr">
        <is>
          <t>FQ1</t>
        </is>
      </c>
      <c r="S2" s="254" t="inlineStr">
        <is>
          <t>FQ2</t>
        </is>
      </c>
      <c r="T2" s="254" t="inlineStr">
        <is>
          <t>FQ3</t>
        </is>
      </c>
      <c r="U2" s="254" t="inlineStr">
        <is>
          <t>FQ4</t>
        </is>
      </c>
      <c r="V2" s="254" t="inlineStr">
        <is>
          <t>FQ1</t>
        </is>
      </c>
      <c r="W2" s="254" t="inlineStr">
        <is>
          <t>FQ2</t>
        </is>
      </c>
      <c r="X2" s="254" t="inlineStr">
        <is>
          <t>FQ3</t>
        </is>
      </c>
      <c r="Y2" s="254" t="inlineStr">
        <is>
          <t>FQ4</t>
        </is>
      </c>
      <c r="Z2" s="254" t="inlineStr">
        <is>
          <t>FQ1</t>
        </is>
      </c>
      <c r="AA2" s="254" t="inlineStr">
        <is>
          <t>FQ2</t>
        </is>
      </c>
      <c r="AB2" s="254" t="inlineStr">
        <is>
          <t>FQ3</t>
        </is>
      </c>
      <c r="AC2" s="254" t="inlineStr">
        <is>
          <t>FQ4</t>
        </is>
      </c>
      <c r="AD2" s="254" t="inlineStr">
        <is>
          <t>FQ1</t>
        </is>
      </c>
      <c r="AE2" s="254" t="inlineStr">
        <is>
          <t>FQ2</t>
        </is>
      </c>
      <c r="AF2" s="254" t="inlineStr">
        <is>
          <t>FQ3</t>
        </is>
      </c>
      <c r="AG2" s="254" t="inlineStr">
        <is>
          <t>FQ4</t>
        </is>
      </c>
      <c r="AH2" s="254" t="inlineStr">
        <is>
          <t>FQ1</t>
        </is>
      </c>
      <c r="AI2" s="254" t="inlineStr">
        <is>
          <t>FQ2</t>
        </is>
      </c>
      <c r="AJ2" s="254" t="inlineStr">
        <is>
          <t>FQ3</t>
        </is>
      </c>
    </row>
    <row r="4" ht="15" customHeight="1" s="255">
      <c r="A4" s="256" t="inlineStr">
        <is>
          <t>COD1</t>
        </is>
      </c>
      <c r="B4" s="256" t="inlineStr">
        <is>
          <t>SINAL1</t>
        </is>
      </c>
      <c r="C4" s="256" t="inlineStr">
        <is>
          <t>COD2</t>
        </is>
      </c>
      <c r="D4" s="256" t="inlineStr">
        <is>
          <t>SINAL2</t>
        </is>
      </c>
      <c r="E4" s="256" t="inlineStr">
        <is>
          <t>COD3</t>
        </is>
      </c>
      <c r="F4" s="256" t="inlineStr">
        <is>
          <t>SINAL3</t>
        </is>
      </c>
      <c r="G4" s="256" t="inlineStr">
        <is>
          <t>UNID</t>
        </is>
      </c>
      <c r="H4" s="256" t="inlineStr">
        <is>
          <t>Conta (PT) / origem</t>
        </is>
      </c>
      <c r="I4" s="256" t="inlineStr">
        <is>
          <t>Account (EN)</t>
        </is>
      </c>
      <c r="J4" s="256" t="inlineStr">
        <is>
          <t>ORIGEM</t>
        </is>
      </c>
      <c r="K4" s="256" t="inlineStr">
        <is>
          <t>1Q20</t>
        </is>
      </c>
      <c r="L4" s="256" t="inlineStr">
        <is>
          <t>2Q20</t>
        </is>
      </c>
      <c r="M4" s="256" t="inlineStr">
        <is>
          <t>3Q20</t>
        </is>
      </c>
      <c r="N4" s="256" t="inlineStr">
        <is>
          <t>4Q20</t>
        </is>
      </c>
      <c r="O4" s="256" t="inlineStr">
        <is>
          <t>1Q21</t>
        </is>
      </c>
      <c r="P4" s="256" t="inlineStr">
        <is>
          <t>2Q21</t>
        </is>
      </c>
      <c r="Q4" s="256" t="inlineStr">
        <is>
          <t>3Q21</t>
        </is>
      </c>
      <c r="R4" s="256" t="inlineStr">
        <is>
          <t>4Q21</t>
        </is>
      </c>
      <c r="S4" s="256" t="inlineStr">
        <is>
          <t>1Q22</t>
        </is>
      </c>
      <c r="T4" s="256" t="inlineStr">
        <is>
          <t>2Q22</t>
        </is>
      </c>
      <c r="U4" s="256" t="inlineStr">
        <is>
          <t>3Q22</t>
        </is>
      </c>
      <c r="V4" s="256" t="inlineStr">
        <is>
          <t>4Q22</t>
        </is>
      </c>
      <c r="W4" s="256" t="inlineStr">
        <is>
          <t>1Q23</t>
        </is>
      </c>
      <c r="X4" s="256" t="inlineStr">
        <is>
          <t>2Q23</t>
        </is>
      </c>
      <c r="Y4" s="256" t="inlineStr">
        <is>
          <t>3Q23</t>
        </is>
      </c>
      <c r="Z4" s="256" t="inlineStr">
        <is>
          <t>4Q23</t>
        </is>
      </c>
      <c r="AA4" s="256" t="inlineStr">
        <is>
          <t>1Q24</t>
        </is>
      </c>
      <c r="AB4" s="256" t="inlineStr">
        <is>
          <t>2Q24</t>
        </is>
      </c>
      <c r="AC4" s="256" t="inlineStr">
        <is>
          <t>3Q24</t>
        </is>
      </c>
      <c r="AD4" s="256" t="inlineStr">
        <is>
          <t>4Q24</t>
        </is>
      </c>
      <c r="AE4" s="256" t="inlineStr">
        <is>
          <t>1Q25</t>
        </is>
      </c>
      <c r="AF4" s="256" t="inlineStr">
        <is>
          <t>2Q25</t>
        </is>
      </c>
      <c r="AG4" s="256" t="inlineStr">
        <is>
          <t>3Q25</t>
        </is>
      </c>
      <c r="AH4" s="256" t="inlineStr">
        <is>
          <t>4Q25</t>
        </is>
      </c>
      <c r="AI4" s="256" t="inlineStr">
        <is>
          <t>1Q26</t>
        </is>
      </c>
      <c r="AJ4" s="256" t="inlineStr">
        <is>
          <t>2Q26</t>
        </is>
      </c>
    </row>
    <row r="5" ht="15" customHeight="1" s="255">
      <c r="H5" s="256" t="inlineStr">
        <is>
          <t>DRE - trimestre isolado (USD). Brutos SEC XBRL; linhas "derivada" são fórmulas nesta aba</t>
        </is>
      </c>
    </row>
    <row r="6" ht="15" customHeight="1" s="255">
      <c r="A6" s="254" t="n">
        <v>1</v>
      </c>
      <c r="B6" s="254" t="n">
        <v>1</v>
      </c>
      <c r="G6" s="254" t="inlineStr">
        <is>
          <t>moeda</t>
        </is>
      </c>
      <c r="H6" s="254" t="inlineStr">
        <is>
          <t>Receita [us-gaap:Revenues/RevenueFromContractWithCustomerExcludingAssessedTax]</t>
        </is>
      </c>
      <c r="J6" s="254" t="inlineStr">
        <is>
          <t>fonte</t>
        </is>
      </c>
      <c r="K6" s="257" t="n">
        <v>39072000000</v>
      </c>
      <c r="L6" s="257" t="n">
        <v>37266000000</v>
      </c>
      <c r="M6" s="257" t="n">
        <v>53383000000</v>
      </c>
      <c r="N6" s="257" t="n">
        <v>43208000000</v>
      </c>
      <c r="O6" s="257" t="n">
        <v>44769000000</v>
      </c>
      <c r="P6" s="257" t="n">
        <v>45277000000</v>
      </c>
      <c r="Q6" s="257" t="n">
        <v>62675000000</v>
      </c>
      <c r="R6" s="257" t="n">
        <v>50363000000</v>
      </c>
      <c r="S6" s="257" t="n">
        <v>51904000000</v>
      </c>
      <c r="T6" s="257" t="n">
        <v>52596000000</v>
      </c>
      <c r="U6" s="257" t="n">
        <v>72091000000</v>
      </c>
      <c r="V6" s="257" t="n">
        <v>54437000000</v>
      </c>
      <c r="W6" s="257" t="n">
        <v>55266000000</v>
      </c>
      <c r="X6" s="257" t="n">
        <v>53648000000</v>
      </c>
      <c r="Y6" s="257" t="n">
        <v>78939000000</v>
      </c>
      <c r="Z6" s="257" t="n">
        <v>57799000000</v>
      </c>
      <c r="AA6" s="257" t="n">
        <v>58442000000</v>
      </c>
      <c r="AB6" s="257" t="n">
        <v>58515000000</v>
      </c>
      <c r="AC6" s="257" t="n">
        <v>79697000000</v>
      </c>
      <c r="AD6" s="257" t="n">
        <v>62151000000</v>
      </c>
      <c r="AE6" s="257" t="n">
        <v>63723000000</v>
      </c>
      <c r="AF6" s="257" t="n">
        <v>63205000000</v>
      </c>
      <c r="AG6" s="257" t="n">
        <v>86156000000</v>
      </c>
      <c r="AH6" s="257" t="n">
        <v>67307000000</v>
      </c>
      <c r="AI6" s="257" t="n">
        <v>69597000000</v>
      </c>
      <c r="AJ6" s="257" t="n">
        <v>70527000000</v>
      </c>
    </row>
    <row r="7" ht="15" customHeight="1" s="255">
      <c r="A7" s="254" t="n">
        <v>2</v>
      </c>
      <c r="B7" s="254" t="n">
        <v>-1</v>
      </c>
      <c r="G7" s="254" t="inlineStr">
        <is>
          <t>moeda</t>
        </is>
      </c>
      <c r="H7" s="254" t="inlineStr">
        <is>
          <t>Custo da receita (divulgado positivo) [us-gaap:CostOfMerchandiseSold/CostOfGoodsAndServicesSold]</t>
        </is>
      </c>
      <c r="J7" s="254" t="inlineStr">
        <is>
          <t>fonte</t>
        </is>
      </c>
      <c r="K7" s="257" t="n">
        <v>34056000000</v>
      </c>
      <c r="L7" s="257" t="n">
        <v>32249000000</v>
      </c>
      <c r="M7" s="257" t="n">
        <v>46401000000</v>
      </c>
      <c r="N7" s="257" t="n">
        <v>37458000000</v>
      </c>
      <c r="O7" s="257" t="n">
        <v>39078000000</v>
      </c>
      <c r="P7" s="257" t="n">
        <v>39415000000</v>
      </c>
      <c r="Q7" s="257" t="n">
        <v>54733000000</v>
      </c>
      <c r="R7" s="257" t="n">
        <v>43952000000</v>
      </c>
      <c r="S7" s="257" t="n">
        <v>45517000000</v>
      </c>
      <c r="T7" s="257" t="n">
        <v>46355000000</v>
      </c>
      <c r="U7" s="257" t="n">
        <v>63558000000</v>
      </c>
      <c r="V7" s="257" t="n">
        <v>47769000000</v>
      </c>
      <c r="W7" s="257" t="n">
        <v>48423000000</v>
      </c>
      <c r="X7" s="257" t="n">
        <v>47175000000</v>
      </c>
      <c r="Y7" s="257" t="n">
        <v>69219000000</v>
      </c>
      <c r="Z7" s="257" t="n">
        <v>50457000000</v>
      </c>
      <c r="AA7" s="257" t="n">
        <v>51140000000</v>
      </c>
      <c r="AB7" s="257" t="n">
        <v>51173000000</v>
      </c>
      <c r="AC7" s="257" t="n">
        <v>69588000000</v>
      </c>
      <c r="AD7" s="257" t="n">
        <v>54109000000</v>
      </c>
      <c r="AE7" s="257" t="n">
        <v>55744000000</v>
      </c>
      <c r="AF7" s="257" t="n">
        <v>54996000000</v>
      </c>
      <c r="AG7" s="257" t="n">
        <v>75037000000</v>
      </c>
      <c r="AH7" s="257" t="n">
        <v>58510000000</v>
      </c>
      <c r="AI7" s="257" t="n">
        <v>60719000000</v>
      </c>
      <c r="AJ7" s="257" t="n">
        <v>61519000000</v>
      </c>
    </row>
    <row r="8" ht="15" customHeight="1" s="255">
      <c r="G8" s="254" t="inlineStr">
        <is>
          <t>moeda</t>
        </is>
      </c>
      <c r="H8" s="254" t="inlineStr">
        <is>
          <t>Lucro operacional [us-gaap:OperatingIncomeLoss]</t>
        </is>
      </c>
      <c r="J8" s="254" t="inlineStr">
        <is>
          <t>memoria</t>
        </is>
      </c>
      <c r="K8" s="257" t="n">
        <v>1266000000</v>
      </c>
      <c r="L8" s="257" t="n">
        <v>1179000000</v>
      </c>
      <c r="M8" s="257" t="n">
        <v>1929000000</v>
      </c>
      <c r="N8" s="257" t="n">
        <v>1430000000</v>
      </c>
      <c r="O8" s="257" t="n">
        <v>1340000000</v>
      </c>
      <c r="P8" s="257" t="n">
        <v>1663000000</v>
      </c>
      <c r="Q8" s="257" t="n">
        <v>2275000000</v>
      </c>
      <c r="R8" s="257" t="n">
        <v>1693000000</v>
      </c>
      <c r="S8" s="257" t="n">
        <v>1812000000</v>
      </c>
      <c r="T8" s="257" t="n">
        <v>1791000000</v>
      </c>
      <c r="U8" s="257" t="n">
        <v>2497000000</v>
      </c>
      <c r="V8" s="257" t="n">
        <v>1751000000</v>
      </c>
      <c r="W8" s="257" t="n">
        <v>1903000000</v>
      </c>
      <c r="X8" s="257" t="n">
        <v>1679000000</v>
      </c>
      <c r="Y8" s="257" t="n">
        <v>2781000000</v>
      </c>
      <c r="Z8" s="257" t="n">
        <v>1984000000</v>
      </c>
      <c r="AA8" s="257" t="n">
        <v>2062000000</v>
      </c>
      <c r="AB8" s="257" t="n">
        <v>2197000000</v>
      </c>
      <c r="AC8" s="257" t="n">
        <v>3042000000</v>
      </c>
      <c r="AD8" s="257" t="n">
        <v>2196000000</v>
      </c>
      <c r="AE8" s="257" t="n">
        <v>2316000000</v>
      </c>
      <c r="AF8" s="257" t="n">
        <v>2530000000</v>
      </c>
      <c r="AG8" s="257" t="n">
        <v>3341000000</v>
      </c>
      <c r="AH8" s="257" t="n">
        <v>2463000000</v>
      </c>
      <c r="AI8" s="257" t="n">
        <v>2606000000</v>
      </c>
      <c r="AJ8" s="257" t="n">
        <v>2815000000</v>
      </c>
    </row>
    <row r="9" ht="15" customHeight="1" s="255">
      <c r="A9" s="254" t="n">
        <v>3</v>
      </c>
      <c r="B9" s="254" t="n">
        <v>-1</v>
      </c>
      <c r="G9" s="254" t="inlineStr">
        <is>
          <t>moeda</t>
        </is>
      </c>
      <c r="H9" s="254" t="inlineStr">
        <is>
          <t>Despesas operacionais = receita - custo - lucro operacional (P&amp;D + SG&amp;A + outras operacionais)</t>
        </is>
      </c>
      <c r="J9" s="254" t="inlineStr">
        <is>
          <t>derivada</t>
        </is>
      </c>
      <c r="K9" s="257">
        <f>N(K6)-N(K7)-N(K8)</f>
        <v>3750000000</v>
      </c>
      <c r="L9" s="257">
        <f>N(L6)-N(L7)-N(L8)</f>
        <v>3838000000</v>
      </c>
      <c r="M9" s="257">
        <f>N(M6)-N(M7)-N(M8)</f>
        <v>5053000000</v>
      </c>
      <c r="N9" s="257">
        <f>N(N6)-N(N7)-N(N8)</f>
        <v>4320000000</v>
      </c>
      <c r="O9" s="257">
        <f>N(O6)-N(O7)-N(O8)</f>
        <v>4351000000</v>
      </c>
      <c r="P9" s="257">
        <f>N(P6)-N(P7)-N(P8)</f>
        <v>4199000000</v>
      </c>
      <c r="Q9" s="257">
        <f>N(Q6)-N(Q7)-N(Q8)</f>
        <v>5667000000</v>
      </c>
      <c r="R9" s="257">
        <f>N(R6)-N(R7)-N(R8)</f>
        <v>4718000000</v>
      </c>
      <c r="S9" s="257">
        <f>N(S6)-N(S7)-N(S8)</f>
        <v>4575000000</v>
      </c>
      <c r="T9" s="257">
        <f>N(T6)-N(T7)-N(T8)</f>
        <v>4450000000</v>
      </c>
      <c r="U9" s="257">
        <f>N(U6)-N(U7)-N(U8)</f>
        <v>6036000000</v>
      </c>
      <c r="V9" s="257">
        <f>N(V6)-N(V7)-N(V8)</f>
        <v>4917000000</v>
      </c>
      <c r="W9" s="257">
        <f>N(W6)-N(W7)-N(W8)</f>
        <v>4940000000</v>
      </c>
      <c r="X9" s="257">
        <f>N(X6)-N(X7)-N(X8)</f>
        <v>4794000000</v>
      </c>
      <c r="Y9" s="257">
        <f>N(Y6)-N(Y7)-N(Y8)</f>
        <v>6939000000</v>
      </c>
      <c r="Z9" s="257">
        <f>N(Z6)-N(Z7)-N(Z8)</f>
        <v>5358000000</v>
      </c>
      <c r="AA9" s="257">
        <f>N(AA6)-N(AA7)-N(AA8)</f>
        <v>5240000000</v>
      </c>
      <c r="AB9" s="257">
        <f>N(AB6)-N(AB7)-N(AB8)</f>
        <v>5145000000</v>
      </c>
      <c r="AC9" s="257">
        <f>N(AC6)-N(AC7)-N(AC8)</f>
        <v>7067000000</v>
      </c>
      <c r="AD9" s="257">
        <f>N(AD6)-N(AD7)-N(AD8)</f>
        <v>5846000000</v>
      </c>
      <c r="AE9" s="257">
        <f>N(AE6)-N(AE7)-N(AE8)</f>
        <v>5663000000</v>
      </c>
      <c r="AF9" s="257">
        <f>N(AF6)-N(AF7)-N(AF8)</f>
        <v>5679000000</v>
      </c>
      <c r="AG9" s="257">
        <f>N(AG6)-N(AG7)-N(AG8)</f>
        <v>7778000000</v>
      </c>
      <c r="AH9" s="257">
        <f>N(AH6)-N(AH7)-N(AH8)</f>
        <v>6334000000</v>
      </c>
      <c r="AI9" s="257">
        <f>N(AI6)-N(AI7)-N(AI8)</f>
        <v>6272000000</v>
      </c>
      <c r="AJ9" s="257">
        <f>N(AJ6)-N(AJ7)-N(AJ8)</f>
        <v>6193000000</v>
      </c>
    </row>
    <row r="10" ht="15" customHeight="1" s="255">
      <c r="G10" s="254" t="inlineStr">
        <is>
          <t>moeda</t>
        </is>
      </c>
      <c r="H10" s="254" t="inlineStr">
        <is>
          <t>Lucro antes do IR [us-gaap:IncomeLossFromContinuingOperationsBeforeIncomeTaxesExtraordi]</t>
        </is>
      </c>
      <c r="J10" s="254" t="inlineStr">
        <is>
          <t>memoria</t>
        </is>
      </c>
      <c r="K10" s="257" t="n">
        <v>1277000000</v>
      </c>
      <c r="L10" s="257" t="n">
        <v>1163000000</v>
      </c>
      <c r="M10" s="257" t="n">
        <v>1869000000</v>
      </c>
      <c r="N10" s="257" t="n">
        <v>1420000000</v>
      </c>
      <c r="O10" s="257" t="n">
        <v>1319000000</v>
      </c>
      <c r="P10" s="257" t="n">
        <v>1650000000</v>
      </c>
      <c r="Q10" s="257" t="n">
        <v>2291000000</v>
      </c>
      <c r="R10" s="257" t="n">
        <v>1696000000</v>
      </c>
      <c r="S10" s="257" t="n">
        <v>1801000000</v>
      </c>
      <c r="T10" s="257" t="n">
        <v>1827000000</v>
      </c>
      <c r="U10" s="257" t="n">
        <v>2516000000</v>
      </c>
      <c r="V10" s="257" t="n">
        <v>1770000000</v>
      </c>
      <c r="W10" s="257" t="n">
        <v>1983000000</v>
      </c>
      <c r="X10" s="257" t="n">
        <v>1771000000</v>
      </c>
      <c r="Y10" s="257" t="n">
        <v>2963000000</v>
      </c>
      <c r="Z10" s="257" t="n">
        <v>2106000000</v>
      </c>
      <c r="AA10" s="257" t="n">
        <v>2237000000</v>
      </c>
      <c r="AB10" s="257" t="n">
        <v>2284000000</v>
      </c>
      <c r="AC10" s="257" t="n">
        <v>3113000000</v>
      </c>
      <c r="AD10" s="257" t="n">
        <v>2306000000</v>
      </c>
      <c r="AE10" s="257" t="n">
        <v>2422000000</v>
      </c>
      <c r="AF10" s="257" t="n">
        <v>2580000000</v>
      </c>
      <c r="AG10" s="257" t="n">
        <v>3510000000</v>
      </c>
      <c r="AH10" s="257" t="n">
        <v>2583000000</v>
      </c>
      <c r="AI10" s="257" t="n">
        <v>2721000000</v>
      </c>
      <c r="AJ10" s="257" t="n">
        <v>2938000000</v>
      </c>
    </row>
    <row r="11" ht="15" customHeight="1" s="255">
      <c r="A11" s="254" t="n">
        <v>6</v>
      </c>
      <c r="B11" s="254" t="n">
        <v>1</v>
      </c>
      <c r="G11" s="254" t="inlineStr">
        <is>
          <t>moeda</t>
        </is>
      </c>
      <c r="H11" s="254" t="inlineStr">
        <is>
          <t>Resultado não operacional total = lucro antes do IR - lucro operacional</t>
        </is>
      </c>
      <c r="J11" s="254" t="inlineStr">
        <is>
          <t>derivada</t>
        </is>
      </c>
      <c r="K11" s="257">
        <f>N(K10)-N(K8)</f>
        <v>11000000</v>
      </c>
      <c r="L11" s="257">
        <f>N(L10)-N(L8)</f>
        <v>-16000000</v>
      </c>
      <c r="M11" s="257">
        <f>N(M10)-N(M8)</f>
        <v>-60000000</v>
      </c>
      <c r="N11" s="257">
        <f>N(N10)-N(N8)</f>
        <v>-10000000</v>
      </c>
      <c r="O11" s="257">
        <f>N(O10)-N(O8)</f>
        <v>-21000000</v>
      </c>
      <c r="P11" s="257">
        <f>N(P10)-N(P8)</f>
        <v>-13000000</v>
      </c>
      <c r="Q11" s="257">
        <f>N(Q10)-N(Q8)</f>
        <v>16000000</v>
      </c>
      <c r="R11" s="257">
        <f>N(R10)-N(R8)</f>
        <v>3000000</v>
      </c>
      <c r="S11" s="257">
        <f>N(S10)-N(S8)</f>
        <v>-11000000</v>
      </c>
      <c r="T11" s="257">
        <f>N(T10)-N(T8)</f>
        <v>36000000</v>
      </c>
      <c r="U11" s="257">
        <f>N(U10)-N(U8)</f>
        <v>19000000</v>
      </c>
      <c r="V11" s="257">
        <f>N(V10)-N(V8)</f>
        <v>19000000</v>
      </c>
      <c r="W11" s="257">
        <f>N(W10)-N(W8)</f>
        <v>80000000</v>
      </c>
      <c r="X11" s="257">
        <f>N(X10)-N(X8)</f>
        <v>92000000</v>
      </c>
      <c r="Y11" s="257">
        <f>N(Y10)-N(Y8)</f>
        <v>182000000</v>
      </c>
      <c r="Z11" s="257">
        <f>N(Z10)-N(Z8)</f>
        <v>122000000</v>
      </c>
      <c r="AA11" s="257">
        <f>N(AA10)-N(AA8)</f>
        <v>175000000</v>
      </c>
      <c r="AB11" s="257">
        <f>N(AB10)-N(AB8)</f>
        <v>87000000</v>
      </c>
      <c r="AC11" s="257">
        <f>N(AC10)-N(AC8)</f>
        <v>71000000</v>
      </c>
      <c r="AD11" s="257">
        <f>N(AD10)-N(AD8)</f>
        <v>110000000</v>
      </c>
      <c r="AE11" s="257">
        <f>N(AE10)-N(AE8)</f>
        <v>106000000</v>
      </c>
      <c r="AF11" s="257">
        <f>N(AF10)-N(AF8)</f>
        <v>50000000</v>
      </c>
      <c r="AG11" s="257">
        <f>N(AG10)-N(AG8)</f>
        <v>169000000</v>
      </c>
      <c r="AH11" s="257">
        <f>N(AH10)-N(AH8)</f>
        <v>120000000</v>
      </c>
      <c r="AI11" s="257">
        <f>N(AI10)-N(AI8)</f>
        <v>115000000</v>
      </c>
      <c r="AJ11" s="257">
        <f>N(AJ10)-N(AJ8)</f>
        <v>123000000</v>
      </c>
    </row>
    <row r="12" ht="15" customHeight="1" s="255">
      <c r="A12" s="254" t="n">
        <v>5</v>
      </c>
      <c r="B12" s="254" t="n">
        <v>-1</v>
      </c>
      <c r="C12" s="254" t="n">
        <v>6</v>
      </c>
      <c r="D12" s="254" t="n">
        <v>1</v>
      </c>
      <c r="G12" s="254" t="inlineStr">
        <is>
          <t>moeda</t>
        </is>
      </c>
      <c r="H12" s="254" t="inlineStr">
        <is>
          <t>Despesa de juros (divulgado positivo): COD1=5 lança; COD2=6 devolve ao não operacional, que já a contém [us-gaap:InterestExpense/InterestExpenseNonoperating]</t>
        </is>
      </c>
      <c r="J12" s="254" t="inlineStr">
        <is>
          <t>fonte</t>
        </is>
      </c>
      <c r="K12" s="257" t="n">
        <v>34000000</v>
      </c>
      <c r="L12" s="257" t="n">
        <v>37000000</v>
      </c>
      <c r="M12" s="257" t="n">
        <v>51000000</v>
      </c>
      <c r="N12" s="257" t="n">
        <v>39000000</v>
      </c>
      <c r="O12" s="257" t="n">
        <v>40000000</v>
      </c>
      <c r="P12" s="257" t="n">
        <v>40000000</v>
      </c>
      <c r="Q12" s="257" t="n">
        <v>52000000</v>
      </c>
      <c r="R12" s="257" t="n">
        <v>39000000</v>
      </c>
      <c r="S12" s="257" t="n">
        <v>36000000</v>
      </c>
      <c r="T12" s="257" t="n">
        <v>35000000</v>
      </c>
      <c r="U12" s="257" t="n">
        <v>48000000</v>
      </c>
      <c r="V12" s="257" t="n">
        <v>34000000</v>
      </c>
      <c r="W12" s="257" t="n">
        <v>34000000</v>
      </c>
      <c r="X12" s="257" t="n">
        <v>36000000</v>
      </c>
      <c r="Y12" s="257" t="n">
        <v>56000000</v>
      </c>
      <c r="Z12" s="257" t="n">
        <v>38000000</v>
      </c>
      <c r="AA12" s="257" t="n">
        <v>41000000</v>
      </c>
      <c r="AB12" s="257" t="n">
        <v>41000000</v>
      </c>
      <c r="AC12" s="257" t="n">
        <v>49000000</v>
      </c>
      <c r="AD12" s="257" t="n">
        <v>37000000</v>
      </c>
      <c r="AE12" s="257" t="n">
        <v>36000000</v>
      </c>
      <c r="AF12" s="257" t="n">
        <v>35000000</v>
      </c>
      <c r="AG12" s="257" t="n">
        <v>46000000</v>
      </c>
      <c r="AH12" s="257" t="n">
        <v>35000000</v>
      </c>
      <c r="AI12" s="257" t="n">
        <v>33000000</v>
      </c>
      <c r="AJ12" s="257" t="n">
        <v>32000000</v>
      </c>
    </row>
    <row r="13" ht="15" customHeight="1" s="255">
      <c r="A13" s="254" t="n">
        <v>7</v>
      </c>
      <c r="B13" s="254" t="n">
        <v>-1</v>
      </c>
      <c r="G13" s="254" t="inlineStr">
        <is>
          <t>moeda</t>
        </is>
      </c>
      <c r="H13" s="254" t="inlineStr">
        <is>
          <t>Imposto de renda (divulgado positivo) [us-gaap:IncomeTaxExpenseBenefit]</t>
        </is>
      </c>
      <c r="J13" s="254" t="inlineStr">
        <is>
          <t>fonte</t>
        </is>
      </c>
      <c r="K13" s="257" t="n">
        <v>330000000</v>
      </c>
      <c r="L13" s="257" t="n">
        <v>311000000</v>
      </c>
      <c r="M13" s="257" t="n">
        <v>465000000</v>
      </c>
      <c r="N13" s="257" t="n">
        <v>239000000</v>
      </c>
      <c r="O13" s="257" t="n">
        <v>348000000</v>
      </c>
      <c r="P13" s="257" t="n">
        <v>417000000</v>
      </c>
      <c r="Q13" s="257" t="n">
        <v>597000000</v>
      </c>
      <c r="R13" s="257" t="n">
        <v>351000000</v>
      </c>
      <c r="S13" s="257" t="n">
        <v>481000000</v>
      </c>
      <c r="T13" s="257" t="n">
        <v>455000000</v>
      </c>
      <c r="U13" s="257" t="n">
        <v>638000000</v>
      </c>
      <c r="V13" s="257" t="n">
        <v>406000000</v>
      </c>
      <c r="W13" s="257" t="n">
        <v>517000000</v>
      </c>
      <c r="X13" s="257" t="n">
        <v>469000000</v>
      </c>
      <c r="Y13" s="257" t="n">
        <v>803000000</v>
      </c>
      <c r="Z13" s="257" t="n">
        <v>517000000</v>
      </c>
      <c r="AA13" s="257" t="n">
        <v>494000000</v>
      </c>
      <c r="AB13" s="257" t="n">
        <v>603000000</v>
      </c>
      <c r="AC13" s="257" t="n">
        <v>759000000</v>
      </c>
      <c r="AD13" s="257" t="n">
        <v>508000000</v>
      </c>
      <c r="AE13" s="257" t="n">
        <v>634000000</v>
      </c>
      <c r="AF13" s="257" t="n">
        <v>677000000</v>
      </c>
      <c r="AG13" s="257" t="n">
        <v>900000000</v>
      </c>
      <c r="AH13" s="257" t="n">
        <v>582000000</v>
      </c>
      <c r="AI13" s="257" t="n">
        <v>686000000</v>
      </c>
      <c r="AJ13" s="257" t="n">
        <v>746000000</v>
      </c>
    </row>
    <row r="14" ht="15" customHeight="1" s="255">
      <c r="A14" s="254" t="n">
        <v>9</v>
      </c>
      <c r="B14" s="254" t="n">
        <v>-1</v>
      </c>
      <c r="G14" s="254" t="inlineStr">
        <is>
          <t>moeda</t>
        </is>
      </c>
      <c r="H14" s="254" t="inlineStr">
        <is>
          <t>Lucro atribuído a não controladores (divulgado positivo) [us-gaap:NetIncomeLossAttributableToNoncontrollingInterest]</t>
        </is>
      </c>
      <c r="J14" s="254" t="inlineStr">
        <is>
          <t>fonte</t>
        </is>
      </c>
      <c r="K14" s="257" t="n">
        <v>16000000</v>
      </c>
      <c r="L14" s="257" t="n">
        <v>14000000</v>
      </c>
      <c r="M14" s="257" t="n">
        <v>15000000</v>
      </c>
      <c r="N14" s="257" t="n">
        <v>15000000</v>
      </c>
      <c r="O14" s="257" t="n">
        <v>20000000</v>
      </c>
      <c r="P14" s="257" t="n">
        <v>13000000</v>
      </c>
      <c r="Q14" s="257" t="n">
        <v>24000000</v>
      </c>
      <c r="R14" s="257" t="n">
        <v>21000000</v>
      </c>
      <c r="S14" s="257" t="n">
        <v>21000000</v>
      </c>
      <c r="T14" s="257" t="n">
        <v>19000000</v>
      </c>
      <c r="U14" s="257" t="n">
        <v>10000000</v>
      </c>
      <c r="V14" s="257" t="n">
        <v>0</v>
      </c>
      <c r="W14" s="257" t="n">
        <v>0</v>
      </c>
      <c r="X14" s="257" t="n">
        <v>0</v>
      </c>
      <c r="Y14" s="257" t="n">
        <v>0</v>
      </c>
      <c r="Z14" s="257" t="n">
        <v>0</v>
      </c>
      <c r="AA14" s="257" t="n">
        <v>0</v>
      </c>
      <c r="AB14" s="257" t="n">
        <v>0</v>
      </c>
      <c r="AC14" s="257" t="n">
        <v>0</v>
      </c>
      <c r="AD14" s="257" t="n">
        <v>0</v>
      </c>
      <c r="AE14" s="257" t="n">
        <v>0</v>
      </c>
      <c r="AF14" s="257" t="n">
        <v>0</v>
      </c>
      <c r="AG14" s="257" t="n">
        <v>0</v>
      </c>
      <c r="AH14" s="257" t="n">
        <v>0</v>
      </c>
      <c r="AI14" s="257" t="n">
        <v>0</v>
      </c>
      <c r="AJ14" s="257" t="n">
        <v>0</v>
      </c>
    </row>
    <row r="15" ht="15" customHeight="1" s="255">
      <c r="G15" s="254" t="inlineStr">
        <is>
          <t>moeda</t>
        </is>
      </c>
      <c r="H15" s="254" t="inlineStr">
        <is>
          <t>Lucro líquido atribuído à companhia [us-gaap:NetIncomeLoss]</t>
        </is>
      </c>
      <c r="J15" s="254" t="inlineStr">
        <is>
          <t>memoria</t>
        </is>
      </c>
      <c r="K15" s="257" t="n">
        <v>931000000</v>
      </c>
      <c r="L15" s="257" t="n">
        <v>838000000</v>
      </c>
      <c r="M15" s="257" t="n">
        <v>1389000000</v>
      </c>
      <c r="N15" s="257" t="n">
        <v>1166000000</v>
      </c>
      <c r="O15" s="257" t="n">
        <v>951000000</v>
      </c>
      <c r="P15" s="257" t="n">
        <v>1220000000</v>
      </c>
      <c r="Q15" s="257" t="n">
        <v>1670000000</v>
      </c>
      <c r="R15" s="257" t="n">
        <v>1324000000</v>
      </c>
      <c r="S15" s="257" t="n">
        <v>1299000000</v>
      </c>
      <c r="T15" s="257" t="n">
        <v>1353000000</v>
      </c>
      <c r="U15" s="257" t="n">
        <v>1868000000</v>
      </c>
      <c r="V15" s="257" t="n">
        <v>1364000000</v>
      </c>
      <c r="W15" s="257" t="n">
        <v>1466000000</v>
      </c>
      <c r="X15" s="257" t="n">
        <v>1302000000</v>
      </c>
      <c r="Y15" s="257" t="n">
        <v>2160000000</v>
      </c>
      <c r="Z15" s="257" t="n">
        <v>1589000000</v>
      </c>
      <c r="AA15" s="257" t="n">
        <v>1743000000</v>
      </c>
      <c r="AB15" s="257" t="n">
        <v>1681000000</v>
      </c>
      <c r="AC15" s="257" t="n">
        <v>2354000000</v>
      </c>
      <c r="AD15" s="257" t="n">
        <v>1798000000</v>
      </c>
      <c r="AE15" s="257" t="n">
        <v>1788000000</v>
      </c>
      <c r="AF15" s="257" t="n">
        <v>1903000000</v>
      </c>
      <c r="AG15" s="257" t="n">
        <v>2610000000</v>
      </c>
      <c r="AH15" s="257" t="n">
        <v>2001000000</v>
      </c>
      <c r="AI15" s="257" t="n">
        <v>2035000000</v>
      </c>
      <c r="AJ15" s="257" t="n">
        <v>2192000000</v>
      </c>
    </row>
    <row r="16" ht="15" customHeight="1" s="255">
      <c r="A16" s="254" t="n">
        <v>8</v>
      </c>
      <c r="B16" s="254" t="n">
        <v>1</v>
      </c>
      <c r="G16" s="254" t="inlineStr">
        <is>
          <t>moeda</t>
        </is>
      </c>
      <c r="H16" s="254" t="inlineStr">
        <is>
          <t>Resultado após IR não classificado acima (equivalência patrimonial, operações descontinuadas): lucro - (LAIR - IR - minoritários); zero quando não há</t>
        </is>
      </c>
      <c r="J16" s="254" t="inlineStr">
        <is>
          <t>derivada</t>
        </is>
      </c>
      <c r="K16" s="257">
        <f>N(K15)-(N(K10)-N(K13)-N(K14))</f>
        <v>0</v>
      </c>
      <c r="L16" s="257">
        <f>N(L15)-(N(L10)-N(L13)-N(L14))</f>
        <v>0</v>
      </c>
      <c r="M16" s="257">
        <f>N(M15)-(N(M10)-N(M13)-N(M14))</f>
        <v>0</v>
      </c>
      <c r="N16" s="257">
        <f>N(N15)-(N(N10)-N(N13)-N(N14))</f>
        <v>0</v>
      </c>
      <c r="O16" s="257">
        <f>N(O15)-(N(O10)-N(O13)-N(O14))</f>
        <v>0</v>
      </c>
      <c r="P16" s="257">
        <f>N(P15)-(N(P10)-N(P13)-N(P14))</f>
        <v>0</v>
      </c>
      <c r="Q16" s="257">
        <f>N(Q15)-(N(Q10)-N(Q13)-N(Q14))</f>
        <v>0</v>
      </c>
      <c r="R16" s="257">
        <f>N(R15)-(N(R10)-N(R13)-N(R14))</f>
        <v>0</v>
      </c>
      <c r="S16" s="257">
        <f>N(S15)-(N(S10)-N(S13)-N(S14))</f>
        <v>0</v>
      </c>
      <c r="T16" s="257">
        <f>N(T15)-(N(T10)-N(T13)-N(T14))</f>
        <v>0</v>
      </c>
      <c r="U16" s="257">
        <f>N(U15)-(N(U10)-N(U13)-N(U14))</f>
        <v>0</v>
      </c>
      <c r="V16" s="257">
        <f>N(V15)-(N(V10)-N(V13)-N(V14))</f>
        <v>0</v>
      </c>
      <c r="W16" s="257">
        <f>N(W15)-(N(W10)-N(W13)-N(W14))</f>
        <v>0</v>
      </c>
      <c r="X16" s="257">
        <f>N(X15)-(N(X10)-N(X13)-N(X14))</f>
        <v>0</v>
      </c>
      <c r="Y16" s="257">
        <f>N(Y15)-(N(Y10)-N(Y13)-N(Y14))</f>
        <v>0</v>
      </c>
      <c r="Z16" s="257">
        <f>N(Z15)-(N(Z10)-N(Z13)-N(Z14))</f>
        <v>0</v>
      </c>
      <c r="AA16" s="257">
        <f>N(AA15)-(N(AA10)-N(AA13)-N(AA14))</f>
        <v>0</v>
      </c>
      <c r="AB16" s="257">
        <f>N(AB15)-(N(AB10)-N(AB13)-N(AB14))</f>
        <v>0</v>
      </c>
      <c r="AC16" s="257">
        <f>N(AC15)-(N(AC10)-N(AC13)-N(AC14))</f>
        <v>0</v>
      </c>
      <c r="AD16" s="257">
        <f>N(AD15)-(N(AD10)-N(AD13)-N(AD14))</f>
        <v>0</v>
      </c>
      <c r="AE16" s="257">
        <f>N(AE15)-(N(AE10)-N(AE13)-N(AE14))</f>
        <v>0</v>
      </c>
      <c r="AF16" s="257">
        <f>N(AF15)-(N(AF10)-N(AF13)-N(AF14))</f>
        <v>0</v>
      </c>
      <c r="AG16" s="257">
        <f>N(AG15)-(N(AG10)-N(AG13)-N(AG14))</f>
        <v>0</v>
      </c>
      <c r="AH16" s="257">
        <f>N(AH15)-(N(AH10)-N(AH13)-N(AH14))</f>
        <v>0</v>
      </c>
      <c r="AI16" s="257">
        <f>N(AI15)-(N(AI10)-N(AI13)-N(AI14))</f>
        <v>0</v>
      </c>
      <c r="AJ16" s="257">
        <f>N(AJ15)-(N(AJ10)-N(AJ13)-N(AJ14))</f>
        <v>0</v>
      </c>
    </row>
    <row r="17" ht="15" customHeight="1" s="255">
      <c r="A17" s="254" t="n">
        <v>44</v>
      </c>
      <c r="B17" s="254" t="n">
        <v>1</v>
      </c>
      <c r="G17" s="254" t="inlineStr">
        <is>
          <t>moeda</t>
        </is>
      </c>
      <c r="H17" s="254" t="inlineStr">
        <is>
          <t>Lucro líquido (check IS, código 44)</t>
        </is>
      </c>
      <c r="J17" s="254" t="inlineStr">
        <is>
          <t>derivada</t>
        </is>
      </c>
      <c r="K17" s="257">
        <f>N(K15)</f>
        <v>931000000</v>
      </c>
      <c r="L17" s="257">
        <f>N(L15)</f>
        <v>838000000</v>
      </c>
      <c r="M17" s="257">
        <f>N(M15)</f>
        <v>1389000000</v>
      </c>
      <c r="N17" s="257">
        <f>N(N15)</f>
        <v>1166000000</v>
      </c>
      <c r="O17" s="257">
        <f>N(O15)</f>
        <v>951000000</v>
      </c>
      <c r="P17" s="257">
        <f>N(P15)</f>
        <v>1220000000</v>
      </c>
      <c r="Q17" s="257">
        <f>N(Q15)</f>
        <v>1670000000</v>
      </c>
      <c r="R17" s="257">
        <f>N(R15)</f>
        <v>1324000000</v>
      </c>
      <c r="S17" s="257">
        <f>N(S15)</f>
        <v>1299000000</v>
      </c>
      <c r="T17" s="257">
        <f>N(T15)</f>
        <v>1353000000</v>
      </c>
      <c r="U17" s="257">
        <f>N(U15)</f>
        <v>1868000000</v>
      </c>
      <c r="V17" s="257">
        <f>N(V15)</f>
        <v>1364000000</v>
      </c>
      <c r="W17" s="257">
        <f>N(W15)</f>
        <v>1466000000</v>
      </c>
      <c r="X17" s="257">
        <f>N(X15)</f>
        <v>1302000000</v>
      </c>
      <c r="Y17" s="257">
        <f>N(Y15)</f>
        <v>2160000000</v>
      </c>
      <c r="Z17" s="257">
        <f>N(Z15)</f>
        <v>1589000000</v>
      </c>
      <c r="AA17" s="257">
        <f>N(AA15)</f>
        <v>1743000000</v>
      </c>
      <c r="AB17" s="257">
        <f>N(AB15)</f>
        <v>1681000000</v>
      </c>
      <c r="AC17" s="257">
        <f>N(AC15)</f>
        <v>2354000000</v>
      </c>
      <c r="AD17" s="257">
        <f>N(AD15)</f>
        <v>1798000000</v>
      </c>
      <c r="AE17" s="257">
        <f>N(AE15)</f>
        <v>1788000000</v>
      </c>
      <c r="AF17" s="257">
        <f>N(AF15)</f>
        <v>1903000000</v>
      </c>
      <c r="AG17" s="257">
        <f>N(AG15)</f>
        <v>2610000000</v>
      </c>
      <c r="AH17" s="257">
        <f>N(AH15)</f>
        <v>2001000000</v>
      </c>
      <c r="AI17" s="257">
        <f>N(AI15)</f>
        <v>2035000000</v>
      </c>
      <c r="AJ17" s="257">
        <f>N(AJ15)</f>
        <v>2192000000</v>
      </c>
    </row>
    <row r="18" ht="15" customHeight="1" s="255">
      <c r="H18" s="256" t="inlineStr">
        <is>
          <t>DFC - trimestre isolado (desacumulado na extração)</t>
        </is>
      </c>
    </row>
    <row r="19" ht="15" customHeight="1" s="255">
      <c r="A19" s="254" t="n">
        <v>4</v>
      </c>
      <c r="B19" s="254" t="n">
        <v>-1</v>
      </c>
      <c r="C19" s="254" t="n">
        <v>3</v>
      </c>
      <c r="D19" s="254" t="n">
        <v>1</v>
      </c>
      <c r="G19" s="254" t="inlineStr">
        <is>
          <t>moeda</t>
        </is>
      </c>
      <c r="H19" s="254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9" s="254" t="inlineStr">
        <is>
          <t>fonte</t>
        </is>
      </c>
      <c r="K19" s="257" t="n">
        <v>389000000</v>
      </c>
      <c r="L19" s="257" t="n">
        <v>382000000</v>
      </c>
      <c r="M19" s="257" t="n">
        <v>505000000</v>
      </c>
      <c r="N19" s="257" t="n">
        <v>404000000</v>
      </c>
      <c r="O19" s="257" t="n">
        <v>416000000</v>
      </c>
      <c r="P19" s="257" t="n">
        <v>402000000</v>
      </c>
      <c r="Q19" s="257" t="n">
        <v>559000000</v>
      </c>
      <c r="R19" s="257" t="n">
        <v>432000000</v>
      </c>
      <c r="S19" s="257" t="n">
        <v>436000000</v>
      </c>
      <c r="T19" s="257" t="n">
        <v>438000000</v>
      </c>
      <c r="U19" s="257" t="n">
        <v>594000000</v>
      </c>
      <c r="V19" s="257" t="n">
        <v>447000000</v>
      </c>
      <c r="W19" s="257" t="n">
        <v>470000000</v>
      </c>
      <c r="X19" s="257" t="n">
        <v>472000000</v>
      </c>
      <c r="Y19" s="257" t="n">
        <v>688000000</v>
      </c>
      <c r="Z19" s="257" t="n">
        <v>501000000</v>
      </c>
      <c r="AA19" s="257" t="n">
        <v>514000000</v>
      </c>
      <c r="AB19" s="257" t="n">
        <v>516000000</v>
      </c>
      <c r="AC19" s="257" t="n">
        <v>706000000</v>
      </c>
      <c r="AD19" s="257" t="n">
        <v>548000000</v>
      </c>
      <c r="AE19" s="257" t="n">
        <v>552000000</v>
      </c>
      <c r="AF19" s="257" t="n">
        <v>552000000</v>
      </c>
      <c r="AG19" s="257" t="n">
        <v>774000000</v>
      </c>
      <c r="AH19" s="257" t="n">
        <v>597000000</v>
      </c>
      <c r="AI19" s="257" t="n">
        <v>597000000</v>
      </c>
      <c r="AJ19" s="257" t="n">
        <v>597000000</v>
      </c>
    </row>
    <row r="20" ht="15" customHeight="1" s="255">
      <c r="A20" s="254" t="n">
        <v>10</v>
      </c>
      <c r="B20" s="254" t="n">
        <v>-1</v>
      </c>
      <c r="G20" s="254" t="inlineStr">
        <is>
          <t>moeda</t>
        </is>
      </c>
      <c r="H20" s="254" t="inlineStr">
        <is>
          <t>Dividendos pagos [us-gaap:PaymentsOfDividends]</t>
        </is>
      </c>
      <c r="J20" s="254" t="inlineStr">
        <is>
          <t>fonte</t>
        </is>
      </c>
      <c r="K20" s="257" t="n">
        <v>0</v>
      </c>
      <c r="L20" s="257" t="n">
        <v>287000000</v>
      </c>
      <c r="M20" s="257" t="n">
        <v>619000000</v>
      </c>
      <c r="N20" s="257" t="n">
        <v>310000000</v>
      </c>
      <c r="O20" s="257" t="n">
        <v>4430000000</v>
      </c>
      <c r="P20" s="257" t="n">
        <v>310000000</v>
      </c>
      <c r="Q20" s="257" t="n">
        <v>698000000</v>
      </c>
      <c r="R20" s="257" t="n">
        <v>350000000</v>
      </c>
      <c r="S20" s="257" t="n">
        <v>0</v>
      </c>
      <c r="T20" s="257" t="n">
        <v>351000000</v>
      </c>
      <c r="U20" s="257" t="n">
        <v>797000000</v>
      </c>
      <c r="V20" s="257" t="n">
        <v>400000000</v>
      </c>
      <c r="W20" s="257" t="n">
        <v>0</v>
      </c>
      <c r="X20" s="257" t="n">
        <v>399000000</v>
      </c>
      <c r="Y20" s="257" t="n">
        <v>452000000</v>
      </c>
      <c r="Z20" s="257" t="n">
        <v>905000000</v>
      </c>
      <c r="AA20" s="257" t="n">
        <v>7107000000</v>
      </c>
      <c r="AB20" s="257" t="n">
        <v>515000000</v>
      </c>
      <c r="AC20" s="257" t="n">
        <v>514000000</v>
      </c>
      <c r="AD20" s="257" t="n">
        <v>515000000</v>
      </c>
      <c r="AE20" s="257" t="n">
        <v>0</v>
      </c>
      <c r="AF20" s="257" t="n">
        <v>515000000</v>
      </c>
      <c r="AG20" s="257" t="n">
        <v>1153000000</v>
      </c>
      <c r="AH20" s="257" t="n">
        <v>577000000</v>
      </c>
      <c r="AI20" s="257" t="n">
        <v>577000000</v>
      </c>
      <c r="AJ20" s="257" t="n">
        <v>0</v>
      </c>
    </row>
    <row r="21" ht="15" customHeight="1" s="255">
      <c r="H21" s="256" t="inlineStr">
        <is>
          <t>BALANÇO DE FACE (USD, saldo no fim do trimestre; cada trimestre lido da instância do próprio 10-Q/10-K)</t>
        </is>
      </c>
    </row>
    <row r="22" ht="15" customHeight="1" s="255">
      <c r="A22" s="254" t="n">
        <v>11</v>
      </c>
      <c r="B22" s="254" t="n">
        <v>1</v>
      </c>
      <c r="G22" s="254" t="inlineStr">
        <is>
          <t>moeda</t>
        </is>
      </c>
      <c r="H22" s="254" t="inlineStr">
        <is>
          <t>CashAndCashEquivalentsAtCarryingValue</t>
        </is>
      </c>
      <c r="J22" s="254" t="inlineStr">
        <is>
          <t>fonte</t>
        </is>
      </c>
      <c r="K22" s="257" t="n">
        <v>7786000000</v>
      </c>
      <c r="L22" s="257" t="n">
        <v>10826000000</v>
      </c>
      <c r="M22" s="257" t="n">
        <v>12277000000</v>
      </c>
      <c r="N22" s="257" t="n">
        <v>13590000000</v>
      </c>
      <c r="O22" s="257" t="n">
        <v>8637000000</v>
      </c>
      <c r="P22" s="257" t="n">
        <v>10226000000</v>
      </c>
      <c r="Q22" s="257" t="n">
        <v>11258000000</v>
      </c>
      <c r="R22" s="257" t="n">
        <v>12751000000</v>
      </c>
      <c r="S22" s="257" t="n">
        <v>11819000000</v>
      </c>
      <c r="T22" s="257" t="n">
        <v>11193000000</v>
      </c>
      <c r="U22" s="257" t="n">
        <v>10203000000</v>
      </c>
      <c r="V22" s="257" t="n">
        <v>10856000000</v>
      </c>
      <c r="W22" s="257" t="n">
        <v>12970000000</v>
      </c>
      <c r="X22" s="257" t="n">
        <v>12493000000</v>
      </c>
      <c r="Y22" s="257" t="n">
        <v>13700000000</v>
      </c>
      <c r="Z22" s="257" t="n">
        <v>17011000000</v>
      </c>
      <c r="AA22" s="257" t="n">
        <v>9095000000</v>
      </c>
      <c r="AB22" s="257" t="n">
        <v>10404000000</v>
      </c>
      <c r="AC22" s="257" t="n">
        <v>9906000000</v>
      </c>
      <c r="AD22" s="257" t="n">
        <v>10907000000</v>
      </c>
      <c r="AE22" s="257" t="n">
        <v>12356000000</v>
      </c>
      <c r="AF22" s="257" t="n">
        <v>13836000000</v>
      </c>
      <c r="AG22" s="257" t="n">
        <v>14161000000</v>
      </c>
      <c r="AH22" s="257" t="n">
        <v>16217000000</v>
      </c>
      <c r="AI22" s="257" t="n">
        <v>17383000000</v>
      </c>
      <c r="AJ22" s="257" t="n">
        <v>18946000000</v>
      </c>
    </row>
    <row r="23" ht="15" customHeight="1" s="255">
      <c r="A23" s="254" t="n">
        <v>11</v>
      </c>
      <c r="B23" s="254" t="n">
        <v>1</v>
      </c>
      <c r="G23" s="254" t="inlineStr">
        <is>
          <t>moeda</t>
        </is>
      </c>
      <c r="H23" s="254" t="inlineStr">
        <is>
          <t>ShortTermInvestments</t>
        </is>
      </c>
      <c r="J23" s="254" t="inlineStr">
        <is>
          <t>fonte</t>
        </is>
      </c>
      <c r="K23" s="257" t="n">
        <v>929000000</v>
      </c>
      <c r="L23" s="257" t="n">
        <v>948000000</v>
      </c>
      <c r="M23" s="257" t="n">
        <v>1028000000</v>
      </c>
      <c r="N23" s="257" t="n">
        <v>833000000</v>
      </c>
      <c r="O23" s="257" t="n">
        <v>617000000</v>
      </c>
      <c r="P23" s="257" t="n">
        <v>900000000</v>
      </c>
      <c r="Q23" s="257" t="n">
        <v>917000000</v>
      </c>
      <c r="R23" s="257" t="n">
        <v>725000000</v>
      </c>
      <c r="S23" s="257" t="n">
        <v>477000000</v>
      </c>
      <c r="T23" s="257" t="n">
        <v>638000000</v>
      </c>
      <c r="U23" s="257" t="n">
        <v>846000000</v>
      </c>
      <c r="V23" s="257" t="n">
        <v>817000000</v>
      </c>
      <c r="W23" s="257" t="n">
        <v>735000000</v>
      </c>
      <c r="X23" s="257" t="n">
        <v>1215000000</v>
      </c>
      <c r="Y23" s="257" t="n">
        <v>1534000000</v>
      </c>
      <c r="Z23" s="257" t="n">
        <v>853000000</v>
      </c>
      <c r="AA23" s="257" t="n">
        <v>1226000000</v>
      </c>
      <c r="AB23" s="257" t="n">
        <v>1095000000</v>
      </c>
      <c r="AC23" s="257" t="n">
        <v>1238000000</v>
      </c>
      <c r="AD23" s="257" t="n">
        <v>920000000</v>
      </c>
      <c r="AE23" s="257" t="n">
        <v>802000000</v>
      </c>
      <c r="AF23" s="257" t="n">
        <v>1014000000</v>
      </c>
      <c r="AG23" s="257" t="n">
        <v>1123000000</v>
      </c>
      <c r="AH23" s="257" t="n">
        <v>966000000</v>
      </c>
      <c r="AI23" s="257" t="n">
        <v>857000000</v>
      </c>
      <c r="AJ23" s="257" t="n">
        <v>1050000000</v>
      </c>
    </row>
    <row r="24" ht="15" customHeight="1" s="255">
      <c r="A24" s="254" t="n">
        <v>12</v>
      </c>
      <c r="B24" s="254" t="n">
        <v>1</v>
      </c>
      <c r="G24" s="254" t="inlineStr">
        <is>
          <t>moeda</t>
        </is>
      </c>
      <c r="H24" s="254" t="inlineStr">
        <is>
          <t>ReceivablesNetCurrent</t>
        </is>
      </c>
      <c r="J24" s="254" t="inlineStr">
        <is>
          <t>fonte</t>
        </is>
      </c>
      <c r="K24" s="257" t="n">
        <v>1988000000</v>
      </c>
      <c r="L24" s="257" t="n">
        <v>1507000000</v>
      </c>
      <c r="M24" s="257" t="n">
        <v>1550000000</v>
      </c>
      <c r="N24" s="257" t="n">
        <v>1646000000</v>
      </c>
      <c r="O24" s="257" t="n">
        <v>1934000000</v>
      </c>
      <c r="P24" s="257" t="n">
        <v>1595000000</v>
      </c>
      <c r="Q24" s="257" t="n">
        <v>1803000000</v>
      </c>
      <c r="R24" s="257" t="n">
        <v>1932000000</v>
      </c>
      <c r="S24" s="257" t="n">
        <v>2232000000</v>
      </c>
      <c r="T24" s="257" t="n">
        <v>1991000000</v>
      </c>
      <c r="U24" s="257" t="n">
        <v>2241000000</v>
      </c>
      <c r="V24" s="257" t="n">
        <v>2312000000</v>
      </c>
      <c r="W24" s="257" t="n">
        <v>2714000000</v>
      </c>
      <c r="X24" s="257" t="n">
        <v>2502000000</v>
      </c>
      <c r="Y24" s="257" t="n">
        <v>2285000000</v>
      </c>
      <c r="Z24" s="257" t="n">
        <v>2542000000</v>
      </c>
      <c r="AA24" s="257" t="n">
        <v>2779000000</v>
      </c>
      <c r="AB24" s="257" t="n">
        <v>2583000000</v>
      </c>
      <c r="AC24" s="257" t="n">
        <v>2721000000</v>
      </c>
      <c r="AD24" s="257" t="n">
        <v>2963000000</v>
      </c>
      <c r="AE24" s="257" t="n">
        <v>3060000000</v>
      </c>
      <c r="AF24" s="257" t="n">
        <v>2875000000</v>
      </c>
      <c r="AG24" s="257" t="n">
        <v>3203000000</v>
      </c>
      <c r="AH24" s="257" t="n">
        <v>3231000000</v>
      </c>
      <c r="AI24" s="257" t="n">
        <v>3782000000</v>
      </c>
      <c r="AJ24" s="257" t="n">
        <v>3750000000</v>
      </c>
    </row>
    <row r="25" ht="15" customHeight="1" s="255">
      <c r="A25" s="254" t="n">
        <v>13</v>
      </c>
      <c r="B25" s="254" t="n">
        <v>1</v>
      </c>
      <c r="G25" s="254" t="inlineStr">
        <is>
          <t>moeda</t>
        </is>
      </c>
      <c r="H25" s="254" t="inlineStr">
        <is>
          <t>InventoryNet</t>
        </is>
      </c>
      <c r="J25" s="254" t="inlineStr">
        <is>
          <t>fonte</t>
        </is>
      </c>
      <c r="K25" s="257" t="n">
        <v>11850000000</v>
      </c>
      <c r="L25" s="257" t="n">
        <v>11010000000</v>
      </c>
      <c r="M25" s="257" t="n">
        <v>12242000000</v>
      </c>
      <c r="N25" s="257" t="n">
        <v>14901000000</v>
      </c>
      <c r="O25" s="257" t="n">
        <v>13865000000</v>
      </c>
      <c r="P25" s="257" t="n">
        <v>13975000000</v>
      </c>
      <c r="Q25" s="257" t="n">
        <v>14215000000</v>
      </c>
      <c r="R25" s="257" t="n">
        <v>16942000000</v>
      </c>
      <c r="S25" s="257" t="n">
        <v>16485000000</v>
      </c>
      <c r="T25" s="257" t="n">
        <v>17623000000</v>
      </c>
      <c r="U25" s="257" t="n">
        <v>17907000000</v>
      </c>
      <c r="V25" s="257" t="n">
        <v>18571000000</v>
      </c>
      <c r="W25" s="257" t="n">
        <v>16081000000</v>
      </c>
      <c r="X25" s="257" t="n">
        <v>16324000000</v>
      </c>
      <c r="Y25" s="257" t="n">
        <v>16651000000</v>
      </c>
      <c r="Z25" s="257" t="n">
        <v>18001000000</v>
      </c>
      <c r="AA25" s="257" t="n">
        <v>17075000000</v>
      </c>
      <c r="AB25" s="257" t="n">
        <v>17430000000</v>
      </c>
      <c r="AC25" s="257" t="n">
        <v>18647000000</v>
      </c>
      <c r="AD25" s="257" t="n">
        <v>20979000000</v>
      </c>
      <c r="AE25" s="257" t="n">
        <v>18754000000</v>
      </c>
      <c r="AF25" s="257" t="n">
        <v>18606000000</v>
      </c>
      <c r="AG25" s="257" t="n">
        <v>18116000000</v>
      </c>
      <c r="AH25" s="257" t="n">
        <v>21141000000</v>
      </c>
      <c r="AI25" s="257" t="n">
        <v>18991000000</v>
      </c>
      <c r="AJ25" s="257" t="n">
        <v>19418000000</v>
      </c>
    </row>
    <row r="26" ht="15" customHeight="1" s="255">
      <c r="A26" s="254" t="n">
        <v>16</v>
      </c>
      <c r="B26" s="254" t="n">
        <v>1</v>
      </c>
      <c r="G26" s="254" t="inlineStr">
        <is>
          <t>moeda</t>
        </is>
      </c>
      <c r="H26" s="254" t="inlineStr">
        <is>
          <t>OtherAssetsCurrent</t>
        </is>
      </c>
      <c r="J26" s="254" t="inlineStr">
        <is>
          <t>fonte</t>
        </is>
      </c>
      <c r="K26" s="257" t="n">
        <v>1150000000</v>
      </c>
      <c r="L26" s="257" t="n">
        <v>963000000</v>
      </c>
      <c r="M26" s="257" t="n">
        <v>1023000000</v>
      </c>
      <c r="N26" s="257" t="n">
        <v>1126000000</v>
      </c>
      <c r="O26" s="257" t="n">
        <v>1255000000</v>
      </c>
      <c r="P26" s="257" t="n">
        <v>1220000000</v>
      </c>
      <c r="Q26" s="257" t="n">
        <v>1312000000</v>
      </c>
      <c r="R26" s="257" t="n">
        <v>1500000000</v>
      </c>
      <c r="S26" s="257" t="n">
        <v>1552000000</v>
      </c>
      <c r="T26" s="257" t="n">
        <v>1563000000</v>
      </c>
      <c r="U26" s="257" t="n">
        <v>1499000000</v>
      </c>
      <c r="V26" s="257" t="n">
        <v>1594000000</v>
      </c>
      <c r="W26" s="257" t="n">
        <v>1830000000</v>
      </c>
      <c r="X26" s="257" t="n">
        <v>1755000000</v>
      </c>
      <c r="Y26" s="257" t="n">
        <v>1709000000</v>
      </c>
      <c r="Z26" s="257" t="n">
        <v>1673000000</v>
      </c>
      <c r="AA26" s="257" t="n">
        <v>1971000000</v>
      </c>
      <c r="AB26" s="257" t="n">
        <v>1776000000</v>
      </c>
      <c r="AC26" s="257" t="n">
        <v>1734000000</v>
      </c>
      <c r="AD26" s="257" t="n">
        <v>1754000000</v>
      </c>
      <c r="AE26" s="257" t="n">
        <v>1925000000</v>
      </c>
      <c r="AF26" s="257" t="n">
        <v>1820000000</v>
      </c>
      <c r="AG26" s="257" t="n">
        <v>1777000000</v>
      </c>
      <c r="AH26" s="257" t="n">
        <v>1856000000</v>
      </c>
      <c r="AI26" s="257" t="n">
        <v>2120000000</v>
      </c>
      <c r="AJ26" s="257" t="n">
        <v>2013000000</v>
      </c>
    </row>
    <row r="27" ht="15" customHeight="1" s="255">
      <c r="A27" s="254" t="n">
        <v>18</v>
      </c>
      <c r="B27" s="254" t="n">
        <v>1</v>
      </c>
      <c r="G27" s="254" t="inlineStr">
        <is>
          <t>moeda</t>
        </is>
      </c>
      <c r="H27" s="254" t="inlineStr">
        <is>
          <t>PropertyPlantAndEquipmentNet</t>
        </is>
      </c>
      <c r="J27" s="254" t="inlineStr">
        <is>
          <t>fonte</t>
        </is>
      </c>
      <c r="K27" s="257" t="n">
        <v>21481000000</v>
      </c>
      <c r="L27" s="257" t="n">
        <v>21527000000</v>
      </c>
      <c r="M27" s="257" t="n">
        <v>21807000000</v>
      </c>
      <c r="N27" s="257" t="n">
        <v>22288000000</v>
      </c>
      <c r="O27" s="257" t="n">
        <v>22531000000</v>
      </c>
      <c r="P27" s="257" t="n">
        <v>23177000000</v>
      </c>
      <c r="Q27" s="257" t="n">
        <v>23492000000</v>
      </c>
      <c r="R27" s="257" t="n">
        <v>23887000000</v>
      </c>
      <c r="S27" s="257" t="n">
        <v>24052000000</v>
      </c>
      <c r="T27" s="257" t="n">
        <v>24143000000</v>
      </c>
      <c r="U27" s="257" t="n">
        <v>24646000000</v>
      </c>
      <c r="V27" s="257" t="n">
        <v>25144000000</v>
      </c>
      <c r="W27" s="257" t="n">
        <v>25724000000</v>
      </c>
      <c r="X27" s="257" t="n">
        <v>25931000000</v>
      </c>
      <c r="Y27" s="257" t="n">
        <v>26684000000</v>
      </c>
      <c r="Z27" s="257" t="n">
        <v>27168000000</v>
      </c>
      <c r="AA27" s="257" t="n">
        <v>27601000000</v>
      </c>
      <c r="AB27" s="257" t="n">
        <v>28062000000</v>
      </c>
      <c r="AC27" s="257" t="n">
        <v>29032000000</v>
      </c>
      <c r="AD27" s="257" t="n">
        <v>29336000000</v>
      </c>
      <c r="AE27" s="257" t="n">
        <v>29809000000</v>
      </c>
      <c r="AF27" s="257" t="n">
        <v>30582000000</v>
      </c>
      <c r="AG27" s="257" t="n">
        <v>31909000000</v>
      </c>
      <c r="AH27" s="257" t="n">
        <v>32616000000</v>
      </c>
      <c r="AI27" s="257" t="n">
        <v>33645000000</v>
      </c>
      <c r="AJ27" s="257" t="n">
        <v>34293000000</v>
      </c>
    </row>
    <row r="28" ht="15" customHeight="1" s="255">
      <c r="A28" s="254" t="n">
        <v>19</v>
      </c>
      <c r="B28" s="254" t="n">
        <v>1</v>
      </c>
      <c r="G28" s="254" t="inlineStr">
        <is>
          <t>moeda</t>
        </is>
      </c>
      <c r="H28" s="254" t="inlineStr">
        <is>
          <t>OperatingLeaseRightOfUseAsset</t>
        </is>
      </c>
      <c r="J28" s="254" t="inlineStr">
        <is>
          <t>fonte</t>
        </is>
      </c>
      <c r="K28" s="257" t="n">
        <v>2596000000</v>
      </c>
      <c r="L28" s="257" t="n">
        <v>2749000000</v>
      </c>
      <c r="M28" s="257" t="n">
        <v>2788000000</v>
      </c>
      <c r="N28" s="257" t="n">
        <v>2785000000</v>
      </c>
      <c r="O28" s="257" t="n">
        <v>2887000000</v>
      </c>
      <c r="P28" s="257" t="n">
        <v>2875000000</v>
      </c>
      <c r="Q28" s="257" t="n">
        <v>2890000000</v>
      </c>
      <c r="R28" s="257" t="n">
        <v>2903000000</v>
      </c>
      <c r="S28" s="257" t="n">
        <v>2840000000</v>
      </c>
      <c r="T28" s="257" t="n">
        <v>2731000000</v>
      </c>
      <c r="U28" s="257" t="n">
        <v>2774000000</v>
      </c>
      <c r="V28" s="257" t="n">
        <v>2787000000</v>
      </c>
      <c r="W28" s="257" t="n">
        <v>2859000000</v>
      </c>
      <c r="X28" s="257" t="n">
        <v>2806000000</v>
      </c>
      <c r="Y28" s="257" t="n">
        <v>2713000000</v>
      </c>
      <c r="Z28" s="257" t="n">
        <v>2672000000</v>
      </c>
      <c r="AA28" s="257" t="n">
        <v>2740000000</v>
      </c>
      <c r="AB28" s="257" t="n">
        <v>2643000000</v>
      </c>
      <c r="AC28" s="257" t="n">
        <v>2617000000</v>
      </c>
      <c r="AD28" s="257" t="n">
        <v>2539000000</v>
      </c>
      <c r="AE28" s="257" t="n">
        <v>2531000000</v>
      </c>
      <c r="AF28" s="257" t="n">
        <v>2718000000</v>
      </c>
      <c r="AG28" s="257" t="n">
        <v>2725000000</v>
      </c>
      <c r="AH28" s="257" t="n">
        <v>2730000000</v>
      </c>
      <c r="AI28" s="257" t="n">
        <v>2759000000</v>
      </c>
      <c r="AJ28" s="257" t="n">
        <v>2747000000</v>
      </c>
    </row>
    <row r="29" ht="15" customHeight="1" s="255">
      <c r="A29" s="254" t="n">
        <v>22</v>
      </c>
      <c r="B29" s="254" t="n">
        <v>1</v>
      </c>
      <c r="G29" s="254" t="inlineStr">
        <is>
          <t>moeda</t>
        </is>
      </c>
      <c r="H29" s="254" t="inlineStr">
        <is>
          <t>OtherAssetsNoncurrent</t>
        </is>
      </c>
      <c r="J29" s="254" t="inlineStr">
        <is>
          <t>fonte</t>
        </is>
      </c>
      <c r="K29" s="257" t="n">
        <v>1002000000</v>
      </c>
      <c r="L29" s="257" t="n">
        <v>2202000000</v>
      </c>
      <c r="M29" s="257" t="n">
        <v>2841000000</v>
      </c>
      <c r="N29" s="257" t="n">
        <v>3048000000</v>
      </c>
      <c r="O29" s="257" t="n">
        <v>3192000000</v>
      </c>
      <c r="P29" s="257" t="n">
        <v>3306000000</v>
      </c>
      <c r="Q29" s="257" t="n">
        <v>3381000000</v>
      </c>
      <c r="R29" s="257" t="n">
        <v>3509000000</v>
      </c>
      <c r="S29" s="257" t="n">
        <v>3621000000</v>
      </c>
      <c r="T29" s="257" t="n">
        <v>3970000000</v>
      </c>
      <c r="U29" s="257" t="n">
        <v>4050000000</v>
      </c>
      <c r="V29" s="257" t="n">
        <v>3946000000</v>
      </c>
      <c r="W29" s="257" t="n">
        <v>3935000000</v>
      </c>
      <c r="X29" s="257" t="n">
        <v>3726000000</v>
      </c>
      <c r="Y29" s="257" t="n">
        <v>3718000000</v>
      </c>
      <c r="Z29" s="257" t="n">
        <v>3803000000</v>
      </c>
      <c r="AA29" s="257" t="n">
        <v>3836000000</v>
      </c>
      <c r="AB29" s="257" t="n">
        <v>3918000000</v>
      </c>
      <c r="AC29" s="257" t="n">
        <v>3936000000</v>
      </c>
      <c r="AD29" s="257" t="n">
        <v>3988000000</v>
      </c>
      <c r="AE29" s="257" t="n">
        <v>3987000000</v>
      </c>
      <c r="AF29" s="257" t="n">
        <v>4031000000</v>
      </c>
      <c r="AG29" s="257" t="n">
        <v>4085000000</v>
      </c>
      <c r="AH29" s="257" t="n">
        <v>4033000000</v>
      </c>
      <c r="AI29" s="257" t="n">
        <v>4102000000</v>
      </c>
      <c r="AJ29" s="257" t="n">
        <v>4213000000</v>
      </c>
    </row>
    <row r="30" ht="15" customHeight="1" s="255">
      <c r="A30" s="254" t="n">
        <v>23</v>
      </c>
      <c r="B30" s="254" t="n">
        <v>1</v>
      </c>
      <c r="G30" s="254" t="inlineStr">
        <is>
          <t>moeda</t>
        </is>
      </c>
      <c r="H30" s="254" t="inlineStr">
        <is>
          <t>AccountsPayableCurrent</t>
        </is>
      </c>
      <c r="J30" s="254" t="inlineStr">
        <is>
          <t>fonte</t>
        </is>
      </c>
      <c r="K30" s="257" t="n">
        <v>11072000000</v>
      </c>
      <c r="L30" s="257" t="n">
        <v>10813000000</v>
      </c>
      <c r="M30" s="257" t="n">
        <v>14172000000</v>
      </c>
      <c r="N30" s="257" t="n">
        <v>17014000000</v>
      </c>
      <c r="O30" s="257" t="n">
        <v>14383000000</v>
      </c>
      <c r="P30" s="257" t="n">
        <v>15538000000</v>
      </c>
      <c r="Q30" s="257" t="n">
        <v>16278000000</v>
      </c>
      <c r="R30" s="257" t="n">
        <v>19561000000</v>
      </c>
      <c r="S30" s="257" t="n">
        <v>17089000000</v>
      </c>
      <c r="T30" s="257" t="n">
        <v>17651000000</v>
      </c>
      <c r="U30" s="257" t="n">
        <v>17848000000</v>
      </c>
      <c r="V30" s="257" t="n">
        <v>18348000000</v>
      </c>
      <c r="W30" s="257" t="n">
        <v>16407000000</v>
      </c>
      <c r="X30" s="257" t="n">
        <v>16853000000</v>
      </c>
      <c r="Y30" s="257" t="n">
        <v>17483000000</v>
      </c>
      <c r="Z30" s="257" t="n">
        <v>20357000000</v>
      </c>
      <c r="AA30" s="257" t="n">
        <v>17494000000</v>
      </c>
      <c r="AB30" s="257" t="n">
        <v>18844000000</v>
      </c>
      <c r="AC30" s="257" t="n">
        <v>19421000000</v>
      </c>
      <c r="AD30" s="257" t="n">
        <v>21793000000</v>
      </c>
      <c r="AE30" s="257" t="n">
        <v>18610000000</v>
      </c>
      <c r="AF30" s="257" t="n">
        <v>19820000000</v>
      </c>
      <c r="AG30" s="257" t="n">
        <v>19783000000</v>
      </c>
      <c r="AH30" s="257" t="n">
        <v>23513000000</v>
      </c>
      <c r="AI30" s="257" t="n">
        <v>20647000000</v>
      </c>
      <c r="AJ30" s="257" t="n">
        <v>22363000000</v>
      </c>
    </row>
    <row r="31" ht="15" customHeight="1" s="255">
      <c r="A31" s="254" t="n">
        <v>24</v>
      </c>
      <c r="B31" s="254" t="n">
        <v>1</v>
      </c>
      <c r="G31" s="254" t="inlineStr">
        <is>
          <t>moeda</t>
        </is>
      </c>
      <c r="H31" s="254" t="inlineStr">
        <is>
          <t>EmployeeRelatedLiabilitiesCurrent</t>
        </is>
      </c>
      <c r="J31" s="254" t="inlineStr">
        <is>
          <t>fonte</t>
        </is>
      </c>
      <c r="K31" s="257" t="n">
        <v>3415000000</v>
      </c>
      <c r="L31" s="257" t="n">
        <v>3246000000</v>
      </c>
      <c r="M31" s="257" t="n">
        <v>3605000000</v>
      </c>
      <c r="N31" s="257" t="n">
        <v>3586000000</v>
      </c>
      <c r="O31" s="257" t="n">
        <v>4132000000</v>
      </c>
      <c r="P31" s="257" t="n">
        <v>3826000000</v>
      </c>
      <c r="Q31" s="257" t="n">
        <v>4090000000</v>
      </c>
      <c r="R31" s="257" t="n">
        <v>3985000000</v>
      </c>
      <c r="S31" s="257" t="n">
        <v>4347000000</v>
      </c>
      <c r="T31" s="257" t="n">
        <v>4090000000</v>
      </c>
      <c r="U31" s="257" t="n">
        <v>4381000000</v>
      </c>
      <c r="V31" s="257" t="n">
        <v>4317000000</v>
      </c>
      <c r="W31" s="257" t="n">
        <v>4483000000</v>
      </c>
      <c r="X31" s="257" t="n">
        <v>4117000000</v>
      </c>
      <c r="Y31" s="257" t="n">
        <v>4278000000</v>
      </c>
      <c r="Z31" s="257" t="n">
        <v>4474000000</v>
      </c>
      <c r="AA31" s="257" t="n">
        <v>4801000000</v>
      </c>
      <c r="AB31" s="257" t="n">
        <v>4365000000</v>
      </c>
      <c r="AC31" s="257" t="n">
        <v>4794000000</v>
      </c>
      <c r="AD31" s="257" t="n">
        <v>4785000000</v>
      </c>
      <c r="AE31" s="257" t="n">
        <v>5150000000</v>
      </c>
      <c r="AF31" s="257" t="n">
        <v>4813000000</v>
      </c>
      <c r="AG31" s="257" t="n">
        <v>5205000000</v>
      </c>
      <c r="AH31" s="257" t="n">
        <v>5172000000</v>
      </c>
      <c r="AI31" s="257" t="n">
        <v>5635000000</v>
      </c>
      <c r="AJ31" s="257" t="n">
        <v>5218000000</v>
      </c>
    </row>
    <row r="32" ht="15" customHeight="1" s="255">
      <c r="A32" s="254" t="n">
        <v>24</v>
      </c>
      <c r="B32" s="254" t="n">
        <v>1</v>
      </c>
      <c r="G32" s="254" t="inlineStr">
        <is>
          <t>moeda</t>
        </is>
      </c>
      <c r="H32" s="254" t="inlineStr">
        <is>
          <t>AccruedLiabilitiesCurrent</t>
        </is>
      </c>
      <c r="J32" s="254" t="inlineStr">
        <is>
          <t>fonte</t>
        </is>
      </c>
      <c r="K32" s="257" t="n">
        <v>0</v>
      </c>
      <c r="L32" s="257" t="n">
        <v>0</v>
      </c>
      <c r="M32" s="257" t="n">
        <v>0</v>
      </c>
      <c r="N32" s="257" t="n">
        <v>1451000000</v>
      </c>
      <c r="O32" s="257" t="n">
        <v>1541000000</v>
      </c>
      <c r="P32" s="257" t="n">
        <v>1617000000</v>
      </c>
      <c r="Q32" s="257" t="n">
        <v>1671000000</v>
      </c>
      <c r="R32" s="257" t="n">
        <v>1726000000</v>
      </c>
      <c r="S32" s="257" t="n">
        <v>1798000000</v>
      </c>
      <c r="T32" s="257" t="n">
        <v>1828000000</v>
      </c>
      <c r="U32" s="257" t="n">
        <v>1911000000</v>
      </c>
      <c r="V32" s="257" t="n">
        <v>1959000000</v>
      </c>
      <c r="W32" s="257" t="n">
        <v>2016000000</v>
      </c>
      <c r="X32" s="257" t="n">
        <v>2076000000</v>
      </c>
      <c r="Y32" s="257" t="n">
        <v>2150000000</v>
      </c>
      <c r="Z32" s="257" t="n">
        <v>2207000000</v>
      </c>
      <c r="AA32" s="257" t="n">
        <v>2268000000</v>
      </c>
      <c r="AB32" s="257" t="n">
        <v>2339000000</v>
      </c>
      <c r="AC32" s="257" t="n">
        <v>2435000000</v>
      </c>
      <c r="AD32" s="257" t="n">
        <v>2444000000</v>
      </c>
      <c r="AE32" s="257" t="n">
        <v>2491000000</v>
      </c>
      <c r="AF32" s="257" t="n">
        <v>2583000000</v>
      </c>
      <c r="AG32" s="257" t="n">
        <v>2677000000</v>
      </c>
      <c r="AH32" s="257" t="n">
        <v>2712000000</v>
      </c>
      <c r="AI32" s="257" t="n">
        <v>2833000000</v>
      </c>
      <c r="AJ32" s="257" t="n">
        <v>2948000000</v>
      </c>
    </row>
    <row r="33" ht="15" customHeight="1" s="255">
      <c r="A33" s="254" t="n">
        <v>26</v>
      </c>
      <c r="B33" s="254" t="n">
        <v>1</v>
      </c>
      <c r="G33" s="254" t="inlineStr">
        <is>
          <t>moeda</t>
        </is>
      </c>
      <c r="H33" s="254" t="inlineStr">
        <is>
          <t>CustomerLoyaltyProgramLiabilityCurrent</t>
        </is>
      </c>
      <c r="J33" s="254" t="inlineStr">
        <is>
          <t>fonte</t>
        </is>
      </c>
      <c r="K33" s="257" t="n">
        <v>1243000000</v>
      </c>
      <c r="L33" s="257" t="n">
        <v>1331000000</v>
      </c>
      <c r="M33" s="257" t="n">
        <v>1393000000</v>
      </c>
      <c r="N33" s="257" t="n">
        <v>0</v>
      </c>
      <c r="O33" s="257" t="n">
        <v>0</v>
      </c>
      <c r="P33" s="257" t="n">
        <v>0</v>
      </c>
      <c r="Q33" s="257" t="n">
        <v>0</v>
      </c>
      <c r="R33" s="257" t="n">
        <v>0</v>
      </c>
      <c r="S33" s="257" t="n">
        <v>0</v>
      </c>
      <c r="T33" s="257" t="n">
        <v>0</v>
      </c>
      <c r="U33" s="257" t="n">
        <v>0</v>
      </c>
      <c r="V33" s="257" t="n">
        <v>0</v>
      </c>
      <c r="W33" s="257" t="n">
        <v>0</v>
      </c>
      <c r="X33" s="257" t="n">
        <v>0</v>
      </c>
      <c r="Y33" s="257" t="n">
        <v>0</v>
      </c>
      <c r="Z33" s="257" t="n">
        <v>0</v>
      </c>
      <c r="AA33" s="257" t="n">
        <v>0</v>
      </c>
      <c r="AB33" s="257" t="n">
        <v>0</v>
      </c>
      <c r="AC33" s="257" t="n">
        <v>0</v>
      </c>
      <c r="AD33" s="257" t="n">
        <v>0</v>
      </c>
      <c r="AE33" s="257" t="n">
        <v>0</v>
      </c>
      <c r="AF33" s="257" t="n">
        <v>0</v>
      </c>
      <c r="AG33" s="257" t="n">
        <v>0</v>
      </c>
      <c r="AH33" s="257" t="n">
        <v>0</v>
      </c>
      <c r="AI33" s="257" t="n">
        <v>0</v>
      </c>
      <c r="AJ33" s="257" t="n">
        <v>0</v>
      </c>
    </row>
    <row r="34" ht="15" customHeight="1" s="255">
      <c r="A34" s="254" t="n">
        <v>26</v>
      </c>
      <c r="B34" s="254" t="n">
        <v>1</v>
      </c>
      <c r="G34" s="254" t="inlineStr">
        <is>
          <t>moeda</t>
        </is>
      </c>
      <c r="H34" s="254" t="inlineStr">
        <is>
          <t>DeferredRevenueCurrent</t>
        </is>
      </c>
      <c r="J34" s="254" t="inlineStr">
        <is>
          <t>fonte</t>
        </is>
      </c>
      <c r="K34" s="257" t="n">
        <v>1865000000</v>
      </c>
      <c r="L34" s="257" t="n">
        <v>1832000000</v>
      </c>
      <c r="M34" s="257" t="n">
        <v>1851000000</v>
      </c>
      <c r="N34" s="257" t="n">
        <v>1985000000</v>
      </c>
      <c r="O34" s="257" t="n">
        <v>2048000000</v>
      </c>
      <c r="P34" s="257" t="n">
        <v>2102000000</v>
      </c>
      <c r="Q34" s="257" t="n">
        <v>2042000000</v>
      </c>
      <c r="R34" s="257" t="n">
        <v>2192000000</v>
      </c>
      <c r="S34" s="257" t="n">
        <v>2244000000</v>
      </c>
      <c r="T34" s="257" t="n">
        <v>2251000000</v>
      </c>
      <c r="U34" s="257" t="n">
        <v>2174000000</v>
      </c>
      <c r="V34" s="257" t="n">
        <v>2322000000</v>
      </c>
      <c r="W34" s="257" t="n">
        <v>2412000000</v>
      </c>
      <c r="X34" s="257" t="n">
        <v>2436000000</v>
      </c>
      <c r="Y34" s="257" t="n">
        <v>2337000000</v>
      </c>
      <c r="Z34" s="257" t="n">
        <v>2462000000</v>
      </c>
      <c r="AA34" s="257" t="n">
        <v>2541000000</v>
      </c>
      <c r="AB34" s="257" t="n">
        <v>2553000000</v>
      </c>
      <c r="AC34" s="257" t="n">
        <v>2501000000</v>
      </c>
      <c r="AD34" s="257" t="n">
        <v>2683000000</v>
      </c>
      <c r="AE34" s="257" t="n">
        <v>2824000000</v>
      </c>
      <c r="AF34" s="257" t="n">
        <v>2931000000</v>
      </c>
      <c r="AG34" s="257" t="n">
        <v>2854000000</v>
      </c>
      <c r="AH34" s="257" t="n">
        <v>2990000000</v>
      </c>
      <c r="AI34" s="257" t="n">
        <v>3126000000</v>
      </c>
      <c r="AJ34" s="257" t="n">
        <v>3157000000</v>
      </c>
    </row>
    <row r="35" ht="15" customHeight="1" s="255">
      <c r="A35" s="254" t="n">
        <v>26</v>
      </c>
      <c r="B35" s="254" t="n">
        <v>1</v>
      </c>
      <c r="G35" s="254" t="inlineStr">
        <is>
          <t>moeda</t>
        </is>
      </c>
      <c r="H35" s="254" t="inlineStr">
        <is>
          <t>OtherLiabilitiesCurrent</t>
        </is>
      </c>
      <c r="J35" s="254" t="inlineStr">
        <is>
          <t>fonte</t>
        </is>
      </c>
      <c r="K35" s="257" t="n">
        <v>4600000000</v>
      </c>
      <c r="L35" s="257" t="n">
        <v>4060000000</v>
      </c>
      <c r="M35" s="257" t="n">
        <v>3728000000</v>
      </c>
      <c r="N35" s="257" t="n">
        <v>8535000000</v>
      </c>
      <c r="O35" s="257" t="n">
        <v>4365000000</v>
      </c>
      <c r="P35" s="257" t="n">
        <v>4807000000</v>
      </c>
      <c r="Q35" s="257" t="n">
        <v>4561000000</v>
      </c>
      <c r="R35" s="257" t="n">
        <v>5079000000</v>
      </c>
      <c r="S35" s="257" t="n">
        <v>6067000000</v>
      </c>
      <c r="T35" s="257" t="n">
        <v>5948000000</v>
      </c>
      <c r="U35" s="257" t="n">
        <v>5611000000</v>
      </c>
      <c r="V35" s="257" t="n">
        <v>6050000000</v>
      </c>
      <c r="W35" s="257" t="n">
        <v>7122000000</v>
      </c>
      <c r="X35" s="257" t="n">
        <v>6226000000</v>
      </c>
      <c r="Y35" s="257" t="n">
        <v>6254000000</v>
      </c>
      <c r="Z35" s="257" t="n">
        <v>6188000000</v>
      </c>
      <c r="AA35" s="257" t="n">
        <v>6504000000</v>
      </c>
      <c r="AB35" s="257" t="n">
        <v>6183000000</v>
      </c>
      <c r="AC35" s="257" t="n">
        <v>6210000000</v>
      </c>
      <c r="AD35" s="257" t="n">
        <v>6584000000</v>
      </c>
      <c r="AE35" s="257" t="n">
        <v>7924000000</v>
      </c>
      <c r="AF35" s="257" t="n">
        <v>7432000000</v>
      </c>
      <c r="AG35" s="257" t="n">
        <v>6589000000</v>
      </c>
      <c r="AH35" s="257" t="n">
        <v>7418000000</v>
      </c>
      <c r="AI35" s="257" t="n">
        <v>8522000000</v>
      </c>
      <c r="AJ35" s="257" t="n">
        <v>8439000000</v>
      </c>
    </row>
    <row r="36" ht="15" customHeight="1" s="255">
      <c r="A36" s="254" t="n">
        <v>27</v>
      </c>
      <c r="B36" s="254" t="n">
        <v>1</v>
      </c>
      <c r="G36" s="254" t="inlineStr">
        <is>
          <t>moeda</t>
        </is>
      </c>
      <c r="H36" s="254" t="inlineStr">
        <is>
          <t>LongTermDebtCurrent</t>
        </is>
      </c>
      <c r="J36" s="254" t="inlineStr">
        <is>
          <t>fonte</t>
        </is>
      </c>
      <c r="K36" s="257" t="n">
        <v>500000000</v>
      </c>
      <c r="L36" s="257" t="n">
        <v>1497000000</v>
      </c>
      <c r="M36" s="257" t="n">
        <v>95000000</v>
      </c>
      <c r="N36" s="257" t="n">
        <v>96000000</v>
      </c>
      <c r="O36" s="257" t="n">
        <v>95000000</v>
      </c>
      <c r="P36" s="257" t="n">
        <v>92000000</v>
      </c>
      <c r="Q36" s="257" t="n">
        <v>799000000</v>
      </c>
      <c r="R36" s="257" t="n">
        <v>799000000</v>
      </c>
      <c r="S36" s="257" t="n">
        <v>0</v>
      </c>
      <c r="T36" s="257" t="n">
        <v>77000000</v>
      </c>
      <c r="U36" s="257" t="n">
        <v>73000000</v>
      </c>
      <c r="V36" s="257" t="n">
        <v>71000000</v>
      </c>
      <c r="W36" s="257" t="n">
        <v>76000000</v>
      </c>
      <c r="X36" s="257" t="n">
        <v>0</v>
      </c>
      <c r="Y36" s="257" t="n">
        <v>1081000000</v>
      </c>
      <c r="Z36" s="257" t="n">
        <v>1080000000</v>
      </c>
      <c r="AA36" s="257" t="n">
        <v>1080000000</v>
      </c>
      <c r="AB36" s="257" t="n">
        <v>1077000000</v>
      </c>
      <c r="AC36" s="257" t="n">
        <v>103000000</v>
      </c>
      <c r="AD36" s="257" t="n">
        <v>0</v>
      </c>
      <c r="AE36" s="257" t="n">
        <v>0</v>
      </c>
      <c r="AF36" s="257" t="n">
        <v>0</v>
      </c>
      <c r="AG36" s="257" t="n">
        <v>0</v>
      </c>
      <c r="AH36" s="257" t="n">
        <v>0</v>
      </c>
      <c r="AI36" s="257" t="n">
        <v>0</v>
      </c>
      <c r="AJ36" s="257" t="n">
        <v>0</v>
      </c>
    </row>
    <row r="37" ht="15" customHeight="1" s="255">
      <c r="A37" s="254" t="n">
        <v>30</v>
      </c>
      <c r="B37" s="254" t="n">
        <v>1</v>
      </c>
      <c r="G37" s="254" t="inlineStr">
        <is>
          <t>moeda</t>
        </is>
      </c>
      <c r="H37" s="254" t="inlineStr">
        <is>
          <t>LongTermDebtNoncurrent</t>
        </is>
      </c>
      <c r="J37" s="254" t="inlineStr">
        <is>
          <t>fonte</t>
        </is>
      </c>
      <c r="K37" s="257" t="n">
        <v>5099000000</v>
      </c>
      <c r="L37" s="257" t="n">
        <v>7598000000</v>
      </c>
      <c r="M37" s="257" t="n">
        <v>7514000000</v>
      </c>
      <c r="N37" s="257" t="n">
        <v>7529000000</v>
      </c>
      <c r="O37" s="257" t="n">
        <v>7522000000</v>
      </c>
      <c r="P37" s="257" t="n">
        <v>7495000000</v>
      </c>
      <c r="Q37" s="257" t="n">
        <v>6692000000</v>
      </c>
      <c r="R37" s="257" t="n">
        <v>6667000000</v>
      </c>
      <c r="S37" s="257" t="n">
        <v>6658000000</v>
      </c>
      <c r="T37" s="257" t="n">
        <v>6507000000</v>
      </c>
      <c r="U37" s="257" t="n">
        <v>6484000000</v>
      </c>
      <c r="V37" s="257" t="n">
        <v>6472000000</v>
      </c>
      <c r="W37" s="257" t="n">
        <v>6506000000</v>
      </c>
      <c r="X37" s="257" t="n">
        <v>6497000000</v>
      </c>
      <c r="Y37" s="257" t="n">
        <v>5377000000</v>
      </c>
      <c r="Z37" s="257" t="n">
        <v>5866000000</v>
      </c>
      <c r="AA37" s="257" t="n">
        <v>5865000000</v>
      </c>
      <c r="AB37" s="257" t="n">
        <v>5834000000</v>
      </c>
      <c r="AC37" s="257" t="n">
        <v>5794000000</v>
      </c>
      <c r="AD37" s="257" t="n">
        <v>5745000000</v>
      </c>
      <c r="AE37" s="257" t="n">
        <v>5755000000</v>
      </c>
      <c r="AF37" s="257" t="n">
        <v>5717000000</v>
      </c>
      <c r="AG37" s="257" t="n">
        <v>5713000000</v>
      </c>
      <c r="AH37" s="257" t="n">
        <v>5666000000</v>
      </c>
      <c r="AI37" s="257" t="n">
        <v>5688000000</v>
      </c>
      <c r="AJ37" s="257" t="n">
        <v>5670000000</v>
      </c>
    </row>
    <row r="38" ht="15" customHeight="1" s="255">
      <c r="A38" s="254" t="n">
        <v>31</v>
      </c>
      <c r="B38" s="254" t="n">
        <v>1</v>
      </c>
      <c r="G38" s="254" t="inlineStr">
        <is>
          <t>moeda</t>
        </is>
      </c>
      <c r="H38" s="254" t="inlineStr">
        <is>
          <t>OperatingLeaseLiabilityNoncurrent</t>
        </is>
      </c>
      <c r="J38" s="254" t="inlineStr">
        <is>
          <t>fonte</t>
        </is>
      </c>
      <c r="K38" s="257" t="n">
        <v>2446000000</v>
      </c>
      <c r="L38" s="257" t="n">
        <v>2535000000</v>
      </c>
      <c r="M38" s="257" t="n">
        <v>2558000000</v>
      </c>
      <c r="N38" s="257" t="n">
        <v>2574000000</v>
      </c>
      <c r="O38" s="257" t="n">
        <v>2651000000</v>
      </c>
      <c r="P38" s="257" t="n">
        <v>2641000000</v>
      </c>
      <c r="Q38" s="257" t="n">
        <v>2642000000</v>
      </c>
      <c r="R38" s="257" t="n">
        <v>2649000000</v>
      </c>
      <c r="S38" s="257" t="n">
        <v>2588000000</v>
      </c>
      <c r="T38" s="257" t="n">
        <v>2452000000</v>
      </c>
      <c r="U38" s="257" t="n">
        <v>2482000000</v>
      </c>
      <c r="V38" s="257" t="n">
        <v>2503000000</v>
      </c>
      <c r="W38" s="257" t="n">
        <v>2557000000</v>
      </c>
      <c r="X38" s="257" t="n">
        <v>2507000000</v>
      </c>
      <c r="Y38" s="257" t="n">
        <v>2426000000</v>
      </c>
      <c r="Z38" s="257" t="n">
        <v>2401000000</v>
      </c>
      <c r="AA38" s="257" t="n">
        <v>2488000000</v>
      </c>
      <c r="AB38" s="257" t="n">
        <v>2386000000</v>
      </c>
      <c r="AC38" s="257" t="n">
        <v>2375000000</v>
      </c>
      <c r="AD38" s="257" t="n">
        <v>2288000000</v>
      </c>
      <c r="AE38" s="257" t="n">
        <v>2284000000</v>
      </c>
      <c r="AF38" s="257" t="n">
        <v>2463000000</v>
      </c>
      <c r="AG38" s="257" t="n">
        <v>2460000000</v>
      </c>
      <c r="AH38" s="257" t="n">
        <v>2436000000</v>
      </c>
      <c r="AI38" s="257" t="n">
        <v>2477000000</v>
      </c>
      <c r="AJ38" s="257" t="n">
        <v>2466000000</v>
      </c>
    </row>
    <row r="39" ht="15" customHeight="1" s="255">
      <c r="A39" s="254" t="n">
        <v>34</v>
      </c>
      <c r="B39" s="254" t="n">
        <v>1</v>
      </c>
      <c r="G39" s="254" t="inlineStr">
        <is>
          <t>moeda</t>
        </is>
      </c>
      <c r="H39" s="254" t="inlineStr">
        <is>
          <t>OtherLiabilitiesNoncurrent</t>
        </is>
      </c>
      <c r="J39" s="254" t="inlineStr">
        <is>
          <t>fonte</t>
        </is>
      </c>
      <c r="K39" s="257" t="n">
        <v>1543000000</v>
      </c>
      <c r="L39" s="257" t="n">
        <v>1617000000</v>
      </c>
      <c r="M39" s="257" t="n">
        <v>1935000000</v>
      </c>
      <c r="N39" s="257" t="n">
        <v>2138000000</v>
      </c>
      <c r="O39" s="257" t="n">
        <v>2052000000</v>
      </c>
      <c r="P39" s="257" t="n">
        <v>2182000000</v>
      </c>
      <c r="Q39" s="257" t="n">
        <v>2415000000</v>
      </c>
      <c r="R39" s="257" t="n">
        <v>2491000000</v>
      </c>
      <c r="S39" s="257" t="n">
        <v>2311000000</v>
      </c>
      <c r="T39" s="257" t="n">
        <v>2535000000</v>
      </c>
      <c r="U39" s="257" t="n">
        <v>2555000000</v>
      </c>
      <c r="V39" s="257" t="n">
        <v>2509000000</v>
      </c>
      <c r="W39" s="257" t="n">
        <v>2470000000</v>
      </c>
      <c r="X39" s="257" t="n">
        <v>2467000000</v>
      </c>
      <c r="Y39" s="257" t="n">
        <v>2550000000</v>
      </c>
      <c r="Z39" s="257" t="n">
        <v>2541000000</v>
      </c>
      <c r="AA39" s="257" t="n">
        <v>2522000000</v>
      </c>
      <c r="AB39" s="257" t="n">
        <v>2559000000</v>
      </c>
      <c r="AC39" s="257" t="n">
        <v>2576000000</v>
      </c>
      <c r="AD39" s="257" t="n">
        <v>2613000000</v>
      </c>
      <c r="AE39" s="257" t="n">
        <v>2609000000</v>
      </c>
      <c r="AF39" s="257" t="n">
        <v>2598000000</v>
      </c>
      <c r="AG39" s="257" t="n">
        <v>2654000000</v>
      </c>
      <c r="AH39" s="257" t="n">
        <v>2580000000</v>
      </c>
      <c r="AI39" s="257" t="n">
        <v>2624000000</v>
      </c>
      <c r="AJ39" s="257" t="n">
        <v>2660000000</v>
      </c>
    </row>
    <row r="40" ht="15" customHeight="1" s="255">
      <c r="A40" s="254" t="n">
        <v>35</v>
      </c>
      <c r="B40" s="254" t="n">
        <v>1</v>
      </c>
      <c r="G40" s="254" t="inlineStr">
        <is>
          <t>moeda</t>
        </is>
      </c>
      <c r="H40" s="254" t="inlineStr">
        <is>
          <t>MinorityInterest</t>
        </is>
      </c>
      <c r="J40" s="254" t="inlineStr">
        <is>
          <t>fonte</t>
        </is>
      </c>
      <c r="K40" s="257" t="n">
        <v>385000000</v>
      </c>
      <c r="L40" s="257" t="n">
        <v>401000000</v>
      </c>
      <c r="M40" s="257" t="n">
        <v>421000000</v>
      </c>
      <c r="N40" s="257" t="n">
        <v>449000000</v>
      </c>
      <c r="O40" s="257" t="n">
        <v>477000000</v>
      </c>
      <c r="P40" s="257" t="n">
        <v>492000000</v>
      </c>
      <c r="Q40" s="257" t="n">
        <v>514000000</v>
      </c>
      <c r="R40" s="257" t="n">
        <v>537000000</v>
      </c>
      <c r="S40" s="257" t="n">
        <v>558000000</v>
      </c>
      <c r="T40" s="257" t="n">
        <v>545000000</v>
      </c>
      <c r="U40" s="257" t="n">
        <v>5000000</v>
      </c>
      <c r="V40" s="257" t="n">
        <v>5000000</v>
      </c>
      <c r="W40" s="257" t="n">
        <v>5000000</v>
      </c>
      <c r="X40" s="257" t="n">
        <v>5000000</v>
      </c>
      <c r="Y40" s="257" t="n">
        <v>0</v>
      </c>
      <c r="Z40" s="257" t="n">
        <v>0</v>
      </c>
      <c r="AA40" s="257" t="n">
        <v>0</v>
      </c>
      <c r="AB40" s="257" t="n">
        <v>0</v>
      </c>
      <c r="AC40" s="257" t="n">
        <v>0</v>
      </c>
      <c r="AD40" s="257" t="n">
        <v>0</v>
      </c>
      <c r="AE40" s="257" t="n">
        <v>0</v>
      </c>
      <c r="AF40" s="257" t="n">
        <v>0</v>
      </c>
      <c r="AG40" s="257" t="n">
        <v>0</v>
      </c>
      <c r="AH40" s="257" t="n">
        <v>0</v>
      </c>
      <c r="AI40" s="257" t="n">
        <v>0</v>
      </c>
      <c r="AJ40" s="257" t="n">
        <v>0</v>
      </c>
    </row>
    <row r="41" ht="15" customHeight="1" s="255">
      <c r="A41" s="254" t="n">
        <v>37</v>
      </c>
      <c r="B41" s="254" t="n">
        <v>1</v>
      </c>
      <c r="G41" s="254" t="inlineStr">
        <is>
          <t>moeda</t>
        </is>
      </c>
      <c r="H41" s="254" t="inlineStr">
        <is>
          <t>CommonStockValue</t>
        </is>
      </c>
      <c r="J41" s="254" t="inlineStr">
        <is>
          <t>fonte</t>
        </is>
      </c>
      <c r="K41" s="257" t="n">
        <v>4000000</v>
      </c>
      <c r="L41" s="257" t="n">
        <v>4000000</v>
      </c>
      <c r="M41" s="257" t="n">
        <v>4000000</v>
      </c>
      <c r="N41" s="257" t="n">
        <v>4000000</v>
      </c>
      <c r="O41" s="257" t="n">
        <v>4000000</v>
      </c>
      <c r="P41" s="257" t="n">
        <v>4000000</v>
      </c>
      <c r="Q41" s="257" t="n">
        <v>4000000</v>
      </c>
      <c r="R41" s="257" t="n">
        <v>4000000</v>
      </c>
      <c r="S41" s="257" t="n">
        <v>4000000</v>
      </c>
      <c r="T41" s="257" t="n">
        <v>4000000</v>
      </c>
      <c r="U41" s="257" t="n">
        <v>2000000</v>
      </c>
      <c r="V41" s="257" t="n">
        <v>2000000</v>
      </c>
      <c r="W41" s="257" t="n">
        <v>2000000</v>
      </c>
      <c r="X41" s="257" t="n">
        <v>2000000</v>
      </c>
      <c r="Y41" s="257" t="n">
        <v>2000000</v>
      </c>
      <c r="Z41" s="257" t="n">
        <v>2000000</v>
      </c>
      <c r="AA41" s="257" t="n">
        <v>2000000</v>
      </c>
      <c r="AB41" s="257" t="n">
        <v>2000000</v>
      </c>
      <c r="AC41" s="257" t="n">
        <v>2000000</v>
      </c>
      <c r="AD41" s="257" t="n">
        <v>2000000</v>
      </c>
      <c r="AE41" s="257" t="n">
        <v>2000000</v>
      </c>
      <c r="AF41" s="257" t="n">
        <v>2000000</v>
      </c>
      <c r="AG41" s="257" t="n">
        <v>2000000</v>
      </c>
      <c r="AH41" s="257" t="n">
        <v>2000000</v>
      </c>
      <c r="AI41" s="257" t="n">
        <v>2000000</v>
      </c>
      <c r="AJ41" s="257" t="n">
        <v>2000000</v>
      </c>
    </row>
    <row r="42" ht="15" customHeight="1" s="255">
      <c r="A42" s="254" t="n">
        <v>37</v>
      </c>
      <c r="B42" s="254" t="n">
        <v>1</v>
      </c>
      <c r="G42" s="254" t="inlineStr">
        <is>
          <t>moeda</t>
        </is>
      </c>
      <c r="H42" s="254" t="inlineStr">
        <is>
          <t>AdditionalPaidInCapitalCommonStock</t>
        </is>
      </c>
      <c r="J42" s="254" t="inlineStr">
        <is>
          <t>fonte</t>
        </is>
      </c>
      <c r="K42" s="257" t="n">
        <v>6506000000</v>
      </c>
      <c r="L42" s="257" t="n">
        <v>6593000000</v>
      </c>
      <c r="M42" s="257" t="n">
        <v>6698000000</v>
      </c>
      <c r="N42" s="257" t="n">
        <v>6725000000</v>
      </c>
      <c r="O42" s="257" t="n">
        <v>6843000000</v>
      </c>
      <c r="P42" s="257" t="n">
        <v>6921000000</v>
      </c>
      <c r="Q42" s="257" t="n">
        <v>7031000000</v>
      </c>
      <c r="R42" s="257" t="n">
        <v>7064000000</v>
      </c>
      <c r="S42" s="257" t="n">
        <v>7186000000</v>
      </c>
      <c r="T42" s="257" t="n">
        <v>7272000000</v>
      </c>
      <c r="U42" s="257" t="n">
        <v>6884000000</v>
      </c>
      <c r="V42" s="257" t="n">
        <v>6982000000</v>
      </c>
      <c r="W42" s="257" t="n">
        <v>7123000000</v>
      </c>
      <c r="X42" s="257" t="n">
        <v>7211000000</v>
      </c>
      <c r="Y42" s="257" t="n">
        <v>7340000000</v>
      </c>
      <c r="Z42" s="257" t="n">
        <v>7489000000</v>
      </c>
      <c r="AA42" s="257" t="n">
        <v>7620000000</v>
      </c>
      <c r="AB42" s="257" t="n">
        <v>7702000000</v>
      </c>
      <c r="AC42" s="257" t="n">
        <v>7829000000</v>
      </c>
      <c r="AD42" s="257" t="n">
        <v>7901000000</v>
      </c>
      <c r="AE42" s="257" t="n">
        <v>8047000000</v>
      </c>
      <c r="AF42" s="257" t="n">
        <v>8148000000</v>
      </c>
      <c r="AG42" s="257" t="n">
        <v>8282000000</v>
      </c>
      <c r="AH42" s="257" t="n">
        <v>8408000000</v>
      </c>
      <c r="AI42" s="257" t="n">
        <v>8570000000</v>
      </c>
      <c r="AJ42" s="257" t="n">
        <v>8683000000</v>
      </c>
    </row>
    <row r="43" ht="15" customHeight="1" s="255">
      <c r="A43" s="254" t="n">
        <v>39</v>
      </c>
      <c r="B43" s="254" t="n">
        <v>1</v>
      </c>
      <c r="G43" s="254" t="inlineStr">
        <is>
          <t>moeda</t>
        </is>
      </c>
      <c r="H43" s="254" t="inlineStr">
        <is>
          <t>AccumulatedOtherComprehensiveIncomeLossNetOfTax</t>
        </is>
      </c>
      <c r="J43" s="254" t="inlineStr">
        <is>
          <t>fonte</t>
        </is>
      </c>
      <c r="K43" s="257" t="n">
        <v>-1280000000</v>
      </c>
      <c r="L43" s="257" t="n">
        <v>-1678000000</v>
      </c>
      <c r="M43" s="257" t="n">
        <v>-1297000000</v>
      </c>
      <c r="N43" s="257" t="n">
        <v>-1101000000</v>
      </c>
      <c r="O43" s="257" t="n">
        <v>-961000000</v>
      </c>
      <c r="P43" s="257" t="n">
        <v>-909000000</v>
      </c>
      <c r="Q43" s="257" t="n">
        <v>-1137000000</v>
      </c>
      <c r="R43" s="257" t="n">
        <v>-1211000000</v>
      </c>
      <c r="S43" s="257" t="n">
        <v>-1246000000</v>
      </c>
      <c r="T43" s="257" t="n">
        <v>-1602000000</v>
      </c>
      <c r="U43" s="257" t="n">
        <v>-1829000000</v>
      </c>
      <c r="V43" s="257" t="n">
        <v>-1925000000</v>
      </c>
      <c r="W43" s="257" t="n">
        <v>-1672000000</v>
      </c>
      <c r="X43" s="257" t="n">
        <v>-1680000000</v>
      </c>
      <c r="Y43" s="257" t="n">
        <v>-1805000000</v>
      </c>
      <c r="Z43" s="257" t="n">
        <v>-1843000000</v>
      </c>
      <c r="AA43" s="257" t="n">
        <v>-1842000000</v>
      </c>
      <c r="AB43" s="257" t="n">
        <v>-1922000000</v>
      </c>
      <c r="AC43" s="257" t="n">
        <v>-1828000000</v>
      </c>
      <c r="AD43" s="257" t="n">
        <v>-2152000000</v>
      </c>
      <c r="AE43" s="257" t="n">
        <v>-2242000000</v>
      </c>
      <c r="AF43" s="257" t="n">
        <v>-1915000000</v>
      </c>
      <c r="AG43" s="257" t="n">
        <v>-1770000000</v>
      </c>
      <c r="AH43" s="257" t="n">
        <v>-1976000000</v>
      </c>
      <c r="AI43" s="257" t="n">
        <v>-1606000000</v>
      </c>
      <c r="AJ43" s="257" t="n">
        <v>-1658000000</v>
      </c>
    </row>
    <row r="44" ht="15" customHeight="1" s="255">
      <c r="A44" s="254" t="n">
        <v>41</v>
      </c>
      <c r="B44" s="254" t="n">
        <v>1</v>
      </c>
      <c r="G44" s="254" t="inlineStr">
        <is>
          <t>moeda</t>
        </is>
      </c>
      <c r="H44" s="254" t="inlineStr">
        <is>
          <t>RetainedEarningsAccumulatedDeficit</t>
        </is>
      </c>
      <c r="J44" s="254" t="inlineStr">
        <is>
          <t>fonte</t>
        </is>
      </c>
      <c r="K44" s="257" t="n">
        <v>11384000000</v>
      </c>
      <c r="L44" s="257" t="n">
        <v>11883000000</v>
      </c>
      <c r="M44" s="257" t="n">
        <v>12879000000</v>
      </c>
      <c r="N44" s="257" t="n">
        <v>9232000000</v>
      </c>
      <c r="O44" s="257" t="n">
        <v>9766000000</v>
      </c>
      <c r="P44" s="257" t="n">
        <v>10466000000</v>
      </c>
      <c r="Q44" s="257" t="n">
        <v>11666000000</v>
      </c>
      <c r="R44" s="257" t="n">
        <v>12606000000</v>
      </c>
      <c r="S44" s="257" t="n">
        <v>13474000000</v>
      </c>
      <c r="T44" s="257" t="n">
        <v>14294000000</v>
      </c>
      <c r="U44" s="257" t="n">
        <v>15585000000</v>
      </c>
      <c r="V44" s="257" t="n">
        <v>16412000000</v>
      </c>
      <c r="W44" s="257" t="n">
        <v>17341000000</v>
      </c>
      <c r="X44" s="257" t="n">
        <v>18035000000</v>
      </c>
      <c r="Y44" s="257" t="n">
        <v>19521000000</v>
      </c>
      <c r="Z44" s="257" t="n">
        <v>20499000000</v>
      </c>
      <c r="AA44" s="257" t="n">
        <v>14980000000</v>
      </c>
      <c r="AB44" s="257" t="n">
        <v>15989000000</v>
      </c>
      <c r="AC44" s="257" t="n">
        <v>17619000000</v>
      </c>
      <c r="AD44" s="257" t="n">
        <v>18700000000</v>
      </c>
      <c r="AE44" s="257" t="n">
        <v>19770000000</v>
      </c>
      <c r="AF44" s="257" t="n">
        <v>20890000000</v>
      </c>
      <c r="AG44" s="257" t="n">
        <v>22650000000</v>
      </c>
      <c r="AH44" s="257" t="n">
        <v>23869000000</v>
      </c>
      <c r="AI44" s="257" t="n">
        <v>25121000000</v>
      </c>
      <c r="AJ44" s="257" t="n">
        <v>26482000000</v>
      </c>
    </row>
    <row r="45" ht="15" customHeight="1" s="255">
      <c r="A45" s="254" t="n">
        <v>14</v>
      </c>
      <c r="B45" s="254" t="n">
        <v>1</v>
      </c>
      <c r="G45" s="254" t="inlineStr">
        <is>
          <t>moeda</t>
        </is>
      </c>
      <c r="H45" s="254" t="inlineStr">
        <is>
          <t>[vazio] IR diferido ativo: não aparece como linha própria nas demonstrações (zero)</t>
        </is>
      </c>
      <c r="J45" s="254" t="inlineStr">
        <is>
          <t>derivada</t>
        </is>
      </c>
      <c r="K45" s="257" t="n">
        <v>0</v>
      </c>
      <c r="L45" s="257" t="n">
        <v>0</v>
      </c>
      <c r="M45" s="257" t="n">
        <v>0</v>
      </c>
      <c r="N45" s="257" t="n">
        <v>0</v>
      </c>
      <c r="O45" s="257" t="n">
        <v>0</v>
      </c>
      <c r="P45" s="257" t="n">
        <v>0</v>
      </c>
      <c r="Q45" s="257" t="n">
        <v>0</v>
      </c>
      <c r="R45" s="257" t="n">
        <v>0</v>
      </c>
      <c r="S45" s="257" t="n">
        <v>0</v>
      </c>
      <c r="T45" s="257" t="n">
        <v>0</v>
      </c>
      <c r="U45" s="257" t="n">
        <v>0</v>
      </c>
      <c r="V45" s="257" t="n">
        <v>0</v>
      </c>
      <c r="W45" s="257" t="n">
        <v>0</v>
      </c>
      <c r="X45" s="257" t="n">
        <v>0</v>
      </c>
      <c r="Y45" s="257" t="n">
        <v>0</v>
      </c>
      <c r="Z45" s="257" t="n">
        <v>0</v>
      </c>
      <c r="AA45" s="257" t="n">
        <v>0</v>
      </c>
      <c r="AB45" s="257" t="n">
        <v>0</v>
      </c>
      <c r="AC45" s="257" t="n">
        <v>0</v>
      </c>
      <c r="AD45" s="257" t="n">
        <v>0</v>
      </c>
      <c r="AE45" s="257" t="n">
        <v>0</v>
      </c>
      <c r="AF45" s="257" t="n">
        <v>0</v>
      </c>
      <c r="AG45" s="257" t="n">
        <v>0</v>
      </c>
      <c r="AH45" s="257" t="n">
        <v>0</v>
      </c>
      <c r="AI45" s="257" t="n">
        <v>0</v>
      </c>
      <c r="AJ45" s="257" t="n">
        <v>0</v>
      </c>
    </row>
    <row r="46" ht="15" customHeight="1" s="255">
      <c r="A46" s="254" t="n">
        <v>15</v>
      </c>
      <c r="B46" s="254" t="n">
        <v>1</v>
      </c>
      <c r="G46" s="254" t="inlineStr">
        <is>
          <t>moeda</t>
        </is>
      </c>
      <c r="H46" s="254" t="inlineStr">
        <is>
          <t>[vazio] Despesas antecipadas: não aparece como linha própria nas demonstrações (zero)</t>
        </is>
      </c>
      <c r="J46" s="254" t="inlineStr">
        <is>
          <t>derivada</t>
        </is>
      </c>
      <c r="K46" s="257" t="n">
        <v>0</v>
      </c>
      <c r="L46" s="257" t="n">
        <v>0</v>
      </c>
      <c r="M46" s="257" t="n">
        <v>0</v>
      </c>
      <c r="N46" s="257" t="n">
        <v>0</v>
      </c>
      <c r="O46" s="257" t="n">
        <v>0</v>
      </c>
      <c r="P46" s="257" t="n">
        <v>0</v>
      </c>
      <c r="Q46" s="257" t="n">
        <v>0</v>
      </c>
      <c r="R46" s="257" t="n">
        <v>0</v>
      </c>
      <c r="S46" s="257" t="n">
        <v>0</v>
      </c>
      <c r="T46" s="257" t="n">
        <v>0</v>
      </c>
      <c r="U46" s="257" t="n">
        <v>0</v>
      </c>
      <c r="V46" s="257" t="n">
        <v>0</v>
      </c>
      <c r="W46" s="257" t="n">
        <v>0</v>
      </c>
      <c r="X46" s="257" t="n">
        <v>0</v>
      </c>
      <c r="Y46" s="257" t="n">
        <v>0</v>
      </c>
      <c r="Z46" s="257" t="n">
        <v>0</v>
      </c>
      <c r="AA46" s="257" t="n">
        <v>0</v>
      </c>
      <c r="AB46" s="257" t="n">
        <v>0</v>
      </c>
      <c r="AC46" s="257" t="n">
        <v>0</v>
      </c>
      <c r="AD46" s="257" t="n">
        <v>0</v>
      </c>
      <c r="AE46" s="257" t="n">
        <v>0</v>
      </c>
      <c r="AF46" s="257" t="n">
        <v>0</v>
      </c>
      <c r="AG46" s="257" t="n">
        <v>0</v>
      </c>
      <c r="AH46" s="257" t="n">
        <v>0</v>
      </c>
      <c r="AI46" s="257" t="n">
        <v>0</v>
      </c>
      <c r="AJ46" s="257" t="n">
        <v>0</v>
      </c>
    </row>
    <row r="47" ht="15" customHeight="1" s="255">
      <c r="A47" s="254" t="n">
        <v>17</v>
      </c>
      <c r="B47" s="254" t="n">
        <v>1</v>
      </c>
      <c r="G47" s="254" t="inlineStr">
        <is>
          <t>moeda</t>
        </is>
      </c>
      <c r="H47" s="254" t="inlineStr">
        <is>
          <t>[vazio] Investimentos em coligadas: não aparece como linha própria nas demonstrações (zero)</t>
        </is>
      </c>
      <c r="J47" s="254" t="inlineStr">
        <is>
          <t>derivada</t>
        </is>
      </c>
      <c r="K47" s="257" t="n">
        <v>0</v>
      </c>
      <c r="L47" s="257" t="n">
        <v>0</v>
      </c>
      <c r="M47" s="257" t="n">
        <v>0</v>
      </c>
      <c r="N47" s="257" t="n">
        <v>0</v>
      </c>
      <c r="O47" s="257" t="n">
        <v>0</v>
      </c>
      <c r="P47" s="257" t="n">
        <v>0</v>
      </c>
      <c r="Q47" s="257" t="n">
        <v>0</v>
      </c>
      <c r="R47" s="257" t="n">
        <v>0</v>
      </c>
      <c r="S47" s="257" t="n">
        <v>0</v>
      </c>
      <c r="T47" s="257" t="n">
        <v>0</v>
      </c>
      <c r="U47" s="257" t="n">
        <v>0</v>
      </c>
      <c r="V47" s="257" t="n">
        <v>0</v>
      </c>
      <c r="W47" s="257" t="n">
        <v>0</v>
      </c>
      <c r="X47" s="257" t="n">
        <v>0</v>
      </c>
      <c r="Y47" s="257" t="n">
        <v>0</v>
      </c>
      <c r="Z47" s="257" t="n">
        <v>0</v>
      </c>
      <c r="AA47" s="257" t="n">
        <v>0</v>
      </c>
      <c r="AB47" s="257" t="n">
        <v>0</v>
      </c>
      <c r="AC47" s="257" t="n">
        <v>0</v>
      </c>
      <c r="AD47" s="257" t="n">
        <v>0</v>
      </c>
      <c r="AE47" s="257" t="n">
        <v>0</v>
      </c>
      <c r="AF47" s="257" t="n">
        <v>0</v>
      </c>
      <c r="AG47" s="257" t="n">
        <v>0</v>
      </c>
      <c r="AH47" s="257" t="n">
        <v>0</v>
      </c>
      <c r="AI47" s="257" t="n">
        <v>0</v>
      </c>
      <c r="AJ47" s="257" t="n">
        <v>0</v>
      </c>
    </row>
    <row r="48" ht="15" customHeight="1" s="255">
      <c r="A48" s="254" t="n">
        <v>20</v>
      </c>
      <c r="B48" s="254" t="n">
        <v>1</v>
      </c>
      <c r="G48" s="254" t="inlineStr">
        <is>
          <t>moeda</t>
        </is>
      </c>
      <c r="H48" s="254" t="inlineStr">
        <is>
          <t>[vazio] Goodwill: não aparece como linha própria nas demonstrações (zero)</t>
        </is>
      </c>
      <c r="J48" s="254" t="inlineStr">
        <is>
          <t>derivada</t>
        </is>
      </c>
      <c r="K48" s="257" t="n">
        <v>0</v>
      </c>
      <c r="L48" s="257" t="n">
        <v>0</v>
      </c>
      <c r="M48" s="257" t="n">
        <v>0</v>
      </c>
      <c r="N48" s="257" t="n">
        <v>0</v>
      </c>
      <c r="O48" s="257" t="n">
        <v>0</v>
      </c>
      <c r="P48" s="257" t="n">
        <v>0</v>
      </c>
      <c r="Q48" s="257" t="n">
        <v>0</v>
      </c>
      <c r="R48" s="257" t="n">
        <v>0</v>
      </c>
      <c r="S48" s="257" t="n">
        <v>0</v>
      </c>
      <c r="T48" s="257" t="n">
        <v>0</v>
      </c>
      <c r="U48" s="257" t="n">
        <v>0</v>
      </c>
      <c r="V48" s="257" t="n">
        <v>0</v>
      </c>
      <c r="W48" s="257" t="n">
        <v>0</v>
      </c>
      <c r="X48" s="257" t="n">
        <v>0</v>
      </c>
      <c r="Y48" s="257" t="n">
        <v>0</v>
      </c>
      <c r="Z48" s="257" t="n">
        <v>0</v>
      </c>
      <c r="AA48" s="257" t="n">
        <v>0</v>
      </c>
      <c r="AB48" s="257" t="n">
        <v>0</v>
      </c>
      <c r="AC48" s="257" t="n">
        <v>0</v>
      </c>
      <c r="AD48" s="257" t="n">
        <v>0</v>
      </c>
      <c r="AE48" s="257" t="n">
        <v>0</v>
      </c>
      <c r="AF48" s="257" t="n">
        <v>0</v>
      </c>
      <c r="AG48" s="257" t="n">
        <v>0</v>
      </c>
      <c r="AH48" s="257" t="n">
        <v>0</v>
      </c>
      <c r="AI48" s="257" t="n">
        <v>0</v>
      </c>
      <c r="AJ48" s="257" t="n">
        <v>0</v>
      </c>
    </row>
    <row r="49" ht="15" customHeight="1" s="255">
      <c r="A49" s="254" t="n">
        <v>21</v>
      </c>
      <c r="B49" s="254" t="n">
        <v>1</v>
      </c>
      <c r="G49" s="254" t="inlineStr">
        <is>
          <t>moeda</t>
        </is>
      </c>
      <c r="H49" s="254" t="inlineStr">
        <is>
          <t>[vazio] Intangíveis: não aparece como linha própria nas demonstrações (zero)</t>
        </is>
      </c>
      <c r="J49" s="254" t="inlineStr">
        <is>
          <t>derivada</t>
        </is>
      </c>
      <c r="K49" s="257" t="n">
        <v>0</v>
      </c>
      <c r="L49" s="257" t="n">
        <v>0</v>
      </c>
      <c r="M49" s="257" t="n">
        <v>0</v>
      </c>
      <c r="N49" s="257" t="n">
        <v>0</v>
      </c>
      <c r="O49" s="257" t="n">
        <v>0</v>
      </c>
      <c r="P49" s="257" t="n">
        <v>0</v>
      </c>
      <c r="Q49" s="257" t="n">
        <v>0</v>
      </c>
      <c r="R49" s="257" t="n">
        <v>0</v>
      </c>
      <c r="S49" s="257" t="n">
        <v>0</v>
      </c>
      <c r="T49" s="257" t="n">
        <v>0</v>
      </c>
      <c r="U49" s="257" t="n">
        <v>0</v>
      </c>
      <c r="V49" s="257" t="n">
        <v>0</v>
      </c>
      <c r="W49" s="257" t="n">
        <v>0</v>
      </c>
      <c r="X49" s="257" t="n">
        <v>0</v>
      </c>
      <c r="Y49" s="257" t="n">
        <v>0</v>
      </c>
      <c r="Z49" s="257" t="n">
        <v>0</v>
      </c>
      <c r="AA49" s="257" t="n">
        <v>0</v>
      </c>
      <c r="AB49" s="257" t="n">
        <v>0</v>
      </c>
      <c r="AC49" s="257" t="n">
        <v>0</v>
      </c>
      <c r="AD49" s="257" t="n">
        <v>0</v>
      </c>
      <c r="AE49" s="257" t="n">
        <v>0</v>
      </c>
      <c r="AF49" s="257" t="n">
        <v>0</v>
      </c>
      <c r="AG49" s="257" t="n">
        <v>0</v>
      </c>
      <c r="AH49" s="257" t="n">
        <v>0</v>
      </c>
      <c r="AI49" s="257" t="n">
        <v>0</v>
      </c>
      <c r="AJ49" s="257" t="n">
        <v>0</v>
      </c>
    </row>
    <row r="50" ht="15" customHeight="1" s="255">
      <c r="A50" s="254" t="n">
        <v>25</v>
      </c>
      <c r="B50" s="254" t="n">
        <v>1</v>
      </c>
      <c r="G50" s="254" t="inlineStr">
        <is>
          <t>moeda</t>
        </is>
      </c>
      <c r="H50" s="254" t="inlineStr">
        <is>
          <t>[vazio] Impostos a pagar: não aparece como linha própria nas demonstrações (zero)</t>
        </is>
      </c>
      <c r="J50" s="254" t="inlineStr">
        <is>
          <t>derivada</t>
        </is>
      </c>
      <c r="K50" s="257" t="n">
        <v>0</v>
      </c>
      <c r="L50" s="257" t="n">
        <v>0</v>
      </c>
      <c r="M50" s="257" t="n">
        <v>0</v>
      </c>
      <c r="N50" s="257" t="n">
        <v>0</v>
      </c>
      <c r="O50" s="257" t="n">
        <v>0</v>
      </c>
      <c r="P50" s="257" t="n">
        <v>0</v>
      </c>
      <c r="Q50" s="257" t="n">
        <v>0</v>
      </c>
      <c r="R50" s="257" t="n">
        <v>0</v>
      </c>
      <c r="S50" s="257" t="n">
        <v>0</v>
      </c>
      <c r="T50" s="257" t="n">
        <v>0</v>
      </c>
      <c r="U50" s="257" t="n">
        <v>0</v>
      </c>
      <c r="V50" s="257" t="n">
        <v>0</v>
      </c>
      <c r="W50" s="257" t="n">
        <v>0</v>
      </c>
      <c r="X50" s="257" t="n">
        <v>0</v>
      </c>
      <c r="Y50" s="257" t="n">
        <v>0</v>
      </c>
      <c r="Z50" s="257" t="n">
        <v>0</v>
      </c>
      <c r="AA50" s="257" t="n">
        <v>0</v>
      </c>
      <c r="AB50" s="257" t="n">
        <v>0</v>
      </c>
      <c r="AC50" s="257" t="n">
        <v>0</v>
      </c>
      <c r="AD50" s="257" t="n">
        <v>0</v>
      </c>
      <c r="AE50" s="257" t="n">
        <v>0</v>
      </c>
      <c r="AF50" s="257" t="n">
        <v>0</v>
      </c>
      <c r="AG50" s="257" t="n">
        <v>0</v>
      </c>
      <c r="AH50" s="257" t="n">
        <v>0</v>
      </c>
      <c r="AI50" s="257" t="n">
        <v>0</v>
      </c>
      <c r="AJ50" s="257" t="n">
        <v>0</v>
      </c>
    </row>
    <row r="51" ht="15" customHeight="1" s="255">
      <c r="A51" s="254" t="n">
        <v>28</v>
      </c>
      <c r="B51" s="254" t="n">
        <v>1</v>
      </c>
      <c r="G51" s="254" t="inlineStr">
        <is>
          <t>moeda</t>
        </is>
      </c>
      <c r="H51" s="254" t="inlineStr">
        <is>
          <t>[vazio] Revolving: não aparece como linha própria nas demonstrações (zero)</t>
        </is>
      </c>
      <c r="J51" s="254" t="inlineStr">
        <is>
          <t>derivada</t>
        </is>
      </c>
      <c r="K51" s="257" t="n">
        <v>0</v>
      </c>
      <c r="L51" s="257" t="n">
        <v>0</v>
      </c>
      <c r="M51" s="257" t="n">
        <v>0</v>
      </c>
      <c r="N51" s="257" t="n">
        <v>0</v>
      </c>
      <c r="O51" s="257" t="n">
        <v>0</v>
      </c>
      <c r="P51" s="257" t="n">
        <v>0</v>
      </c>
      <c r="Q51" s="257" t="n">
        <v>0</v>
      </c>
      <c r="R51" s="257" t="n">
        <v>0</v>
      </c>
      <c r="S51" s="257" t="n">
        <v>0</v>
      </c>
      <c r="T51" s="257" t="n">
        <v>0</v>
      </c>
      <c r="U51" s="257" t="n">
        <v>0</v>
      </c>
      <c r="V51" s="257" t="n">
        <v>0</v>
      </c>
      <c r="W51" s="257" t="n">
        <v>0</v>
      </c>
      <c r="X51" s="257" t="n">
        <v>0</v>
      </c>
      <c r="Y51" s="257" t="n">
        <v>0</v>
      </c>
      <c r="Z51" s="257" t="n">
        <v>0</v>
      </c>
      <c r="AA51" s="257" t="n">
        <v>0</v>
      </c>
      <c r="AB51" s="257" t="n">
        <v>0</v>
      </c>
      <c r="AC51" s="257" t="n">
        <v>0</v>
      </c>
      <c r="AD51" s="257" t="n">
        <v>0</v>
      </c>
      <c r="AE51" s="257" t="n">
        <v>0</v>
      </c>
      <c r="AF51" s="257" t="n">
        <v>0</v>
      </c>
      <c r="AG51" s="257" t="n">
        <v>0</v>
      </c>
      <c r="AH51" s="257" t="n">
        <v>0</v>
      </c>
      <c r="AI51" s="257" t="n">
        <v>0</v>
      </c>
      <c r="AJ51" s="257" t="n">
        <v>0</v>
      </c>
    </row>
    <row r="52" ht="15" customHeight="1" s="255">
      <c r="A52" s="254" t="n">
        <v>29</v>
      </c>
      <c r="B52" s="254" t="n">
        <v>1</v>
      </c>
      <c r="G52" s="254" t="inlineStr">
        <is>
          <t>moeda</t>
        </is>
      </c>
      <c r="H52" s="254" t="inlineStr">
        <is>
          <t>[vazio] Arrendamento CP: não aparece como linha própria nas demonstrações (zero)</t>
        </is>
      </c>
      <c r="J52" s="254" t="inlineStr">
        <is>
          <t>derivada</t>
        </is>
      </c>
      <c r="K52" s="257" t="n">
        <v>0</v>
      </c>
      <c r="L52" s="257" t="n">
        <v>0</v>
      </c>
      <c r="M52" s="257" t="n">
        <v>0</v>
      </c>
      <c r="N52" s="257" t="n">
        <v>0</v>
      </c>
      <c r="O52" s="257" t="n">
        <v>0</v>
      </c>
      <c r="P52" s="257" t="n">
        <v>0</v>
      </c>
      <c r="Q52" s="257" t="n">
        <v>0</v>
      </c>
      <c r="R52" s="257" t="n">
        <v>0</v>
      </c>
      <c r="S52" s="257" t="n">
        <v>0</v>
      </c>
      <c r="T52" s="257" t="n">
        <v>0</v>
      </c>
      <c r="U52" s="257" t="n">
        <v>0</v>
      </c>
      <c r="V52" s="257" t="n">
        <v>0</v>
      </c>
      <c r="W52" s="257" t="n">
        <v>0</v>
      </c>
      <c r="X52" s="257" t="n">
        <v>0</v>
      </c>
      <c r="Y52" s="257" t="n">
        <v>0</v>
      </c>
      <c r="Z52" s="257" t="n">
        <v>0</v>
      </c>
      <c r="AA52" s="257" t="n">
        <v>0</v>
      </c>
      <c r="AB52" s="257" t="n">
        <v>0</v>
      </c>
      <c r="AC52" s="257" t="n">
        <v>0</v>
      </c>
      <c r="AD52" s="257" t="n">
        <v>0</v>
      </c>
      <c r="AE52" s="257" t="n">
        <v>0</v>
      </c>
      <c r="AF52" s="257" t="n">
        <v>0</v>
      </c>
      <c r="AG52" s="257" t="n">
        <v>0</v>
      </c>
      <c r="AH52" s="257" t="n">
        <v>0</v>
      </c>
      <c r="AI52" s="257" t="n">
        <v>0</v>
      </c>
      <c r="AJ52" s="257" t="n">
        <v>0</v>
      </c>
    </row>
    <row r="53" ht="15" customHeight="1" s="255">
      <c r="A53" s="254" t="n">
        <v>32</v>
      </c>
      <c r="B53" s="254" t="n">
        <v>1</v>
      </c>
      <c r="G53" s="254" t="inlineStr">
        <is>
          <t>moeda</t>
        </is>
      </c>
      <c r="H53" s="254" t="inlineStr">
        <is>
          <t>[vazio] Dívida conversível: não aparece como linha própria nas demonstrações (zero)</t>
        </is>
      </c>
      <c r="J53" s="254" t="inlineStr">
        <is>
          <t>derivada</t>
        </is>
      </c>
      <c r="K53" s="257" t="n">
        <v>0</v>
      </c>
      <c r="L53" s="257" t="n">
        <v>0</v>
      </c>
      <c r="M53" s="257" t="n">
        <v>0</v>
      </c>
      <c r="N53" s="257" t="n">
        <v>0</v>
      </c>
      <c r="O53" s="257" t="n">
        <v>0</v>
      </c>
      <c r="P53" s="257" t="n">
        <v>0</v>
      </c>
      <c r="Q53" s="257" t="n">
        <v>0</v>
      </c>
      <c r="R53" s="257" t="n">
        <v>0</v>
      </c>
      <c r="S53" s="257" t="n">
        <v>0</v>
      </c>
      <c r="T53" s="257" t="n">
        <v>0</v>
      </c>
      <c r="U53" s="257" t="n">
        <v>0</v>
      </c>
      <c r="V53" s="257" t="n">
        <v>0</v>
      </c>
      <c r="W53" s="257" t="n">
        <v>0</v>
      </c>
      <c r="X53" s="257" t="n">
        <v>0</v>
      </c>
      <c r="Y53" s="257" t="n">
        <v>0</v>
      </c>
      <c r="Z53" s="257" t="n">
        <v>0</v>
      </c>
      <c r="AA53" s="257" t="n">
        <v>0</v>
      </c>
      <c r="AB53" s="257" t="n">
        <v>0</v>
      </c>
      <c r="AC53" s="257" t="n">
        <v>0</v>
      </c>
      <c r="AD53" s="257" t="n">
        <v>0</v>
      </c>
      <c r="AE53" s="257" t="n">
        <v>0</v>
      </c>
      <c r="AF53" s="257" t="n">
        <v>0</v>
      </c>
      <c r="AG53" s="257" t="n">
        <v>0</v>
      </c>
      <c r="AH53" s="257" t="n">
        <v>0</v>
      </c>
      <c r="AI53" s="257" t="n">
        <v>0</v>
      </c>
      <c r="AJ53" s="257" t="n">
        <v>0</v>
      </c>
    </row>
    <row r="54" ht="15" customHeight="1" s="255">
      <c r="A54" s="254" t="n">
        <v>33</v>
      </c>
      <c r="B54" s="254" t="n">
        <v>1</v>
      </c>
      <c r="G54" s="254" t="inlineStr">
        <is>
          <t>moeda</t>
        </is>
      </c>
      <c r="H54" s="254" t="inlineStr">
        <is>
          <t>[vazio] IR diferido passivo: não aparece como linha própria nas demonstrações (zero)</t>
        </is>
      </c>
      <c r="J54" s="254" t="inlineStr">
        <is>
          <t>derivada</t>
        </is>
      </c>
      <c r="K54" s="257" t="n">
        <v>0</v>
      </c>
      <c r="L54" s="257" t="n">
        <v>0</v>
      </c>
      <c r="M54" s="257" t="n">
        <v>0</v>
      </c>
      <c r="N54" s="257" t="n">
        <v>0</v>
      </c>
      <c r="O54" s="257" t="n">
        <v>0</v>
      </c>
      <c r="P54" s="257" t="n">
        <v>0</v>
      </c>
      <c r="Q54" s="257" t="n">
        <v>0</v>
      </c>
      <c r="R54" s="257" t="n">
        <v>0</v>
      </c>
      <c r="S54" s="257" t="n">
        <v>0</v>
      </c>
      <c r="T54" s="257" t="n">
        <v>0</v>
      </c>
      <c r="U54" s="257" t="n">
        <v>0</v>
      </c>
      <c r="V54" s="257" t="n">
        <v>0</v>
      </c>
      <c r="W54" s="257" t="n">
        <v>0</v>
      </c>
      <c r="X54" s="257" t="n">
        <v>0</v>
      </c>
      <c r="Y54" s="257" t="n">
        <v>0</v>
      </c>
      <c r="Z54" s="257" t="n">
        <v>0</v>
      </c>
      <c r="AA54" s="257" t="n">
        <v>0</v>
      </c>
      <c r="AB54" s="257" t="n">
        <v>0</v>
      </c>
      <c r="AC54" s="257" t="n">
        <v>0</v>
      </c>
      <c r="AD54" s="257" t="n">
        <v>0</v>
      </c>
      <c r="AE54" s="257" t="n">
        <v>0</v>
      </c>
      <c r="AF54" s="257" t="n">
        <v>0</v>
      </c>
      <c r="AG54" s="257" t="n">
        <v>0</v>
      </c>
      <c r="AH54" s="257" t="n">
        <v>0</v>
      </c>
      <c r="AI54" s="257" t="n">
        <v>0</v>
      </c>
      <c r="AJ54" s="257" t="n">
        <v>0</v>
      </c>
    </row>
    <row r="55" ht="15" customHeight="1" s="255">
      <c r="A55" s="254" t="n">
        <v>38</v>
      </c>
      <c r="B55" s="254" t="n">
        <v>1</v>
      </c>
      <c r="G55" s="254" t="inlineStr">
        <is>
          <t>moeda</t>
        </is>
      </c>
      <c r="H55" s="254" t="inlineStr">
        <is>
          <t>[vazio] Tesouraria: não aparece como linha própria nas demonstrações (zero)</t>
        </is>
      </c>
      <c r="J55" s="254" t="inlineStr">
        <is>
          <t>derivada</t>
        </is>
      </c>
      <c r="K55" s="257" t="n">
        <v>0</v>
      </c>
      <c r="L55" s="257" t="n">
        <v>0</v>
      </c>
      <c r="M55" s="257" t="n">
        <v>0</v>
      </c>
      <c r="N55" s="257" t="n">
        <v>0</v>
      </c>
      <c r="O55" s="257" t="n">
        <v>0</v>
      </c>
      <c r="P55" s="257" t="n">
        <v>0</v>
      </c>
      <c r="Q55" s="257" t="n">
        <v>0</v>
      </c>
      <c r="R55" s="257" t="n">
        <v>0</v>
      </c>
      <c r="S55" s="257" t="n">
        <v>0</v>
      </c>
      <c r="T55" s="257" t="n">
        <v>0</v>
      </c>
      <c r="U55" s="257" t="n">
        <v>0</v>
      </c>
      <c r="V55" s="257" t="n">
        <v>0</v>
      </c>
      <c r="W55" s="257" t="n">
        <v>0</v>
      </c>
      <c r="X55" s="257" t="n">
        <v>0</v>
      </c>
      <c r="Y55" s="257" t="n">
        <v>0</v>
      </c>
      <c r="Z55" s="257" t="n">
        <v>0</v>
      </c>
      <c r="AA55" s="257" t="n">
        <v>0</v>
      </c>
      <c r="AB55" s="257" t="n">
        <v>0</v>
      </c>
      <c r="AC55" s="257" t="n">
        <v>0</v>
      </c>
      <c r="AD55" s="257" t="n">
        <v>0</v>
      </c>
      <c r="AE55" s="257" t="n">
        <v>0</v>
      </c>
      <c r="AF55" s="257" t="n">
        <v>0</v>
      </c>
      <c r="AG55" s="257" t="n">
        <v>0</v>
      </c>
      <c r="AH55" s="257" t="n">
        <v>0</v>
      </c>
      <c r="AI55" s="257" t="n">
        <v>0</v>
      </c>
      <c r="AJ55" s="257" t="n">
        <v>0</v>
      </c>
    </row>
    <row r="56" ht="15" customHeight="1" s="255">
      <c r="A56" s="254" t="n">
        <v>40</v>
      </c>
      <c r="B56" s="254" t="n">
        <v>1</v>
      </c>
      <c r="G56" s="254" t="inlineStr">
        <is>
          <t>moeda</t>
        </is>
      </c>
      <c r="H56" s="254" t="inlineStr">
        <is>
          <t>[vazio] Outras contas do PL: não aparece como linha própria nas demonstrações (zero)</t>
        </is>
      </c>
      <c r="J56" s="254" t="inlineStr">
        <is>
          <t>derivada</t>
        </is>
      </c>
      <c r="K56" s="257" t="n">
        <v>0</v>
      </c>
      <c r="L56" s="257" t="n">
        <v>0</v>
      </c>
      <c r="M56" s="257" t="n">
        <v>0</v>
      </c>
      <c r="N56" s="257" t="n">
        <v>0</v>
      </c>
      <c r="O56" s="257" t="n">
        <v>0</v>
      </c>
      <c r="P56" s="257" t="n">
        <v>0</v>
      </c>
      <c r="Q56" s="257" t="n">
        <v>0</v>
      </c>
      <c r="R56" s="257" t="n">
        <v>0</v>
      </c>
      <c r="S56" s="257" t="n">
        <v>0</v>
      </c>
      <c r="T56" s="257" t="n">
        <v>0</v>
      </c>
      <c r="U56" s="257" t="n">
        <v>0</v>
      </c>
      <c r="V56" s="257" t="n">
        <v>0</v>
      </c>
      <c r="W56" s="257" t="n">
        <v>0</v>
      </c>
      <c r="X56" s="257" t="n">
        <v>0</v>
      </c>
      <c r="Y56" s="257" t="n">
        <v>0</v>
      </c>
      <c r="Z56" s="257" t="n">
        <v>0</v>
      </c>
      <c r="AA56" s="257" t="n">
        <v>0</v>
      </c>
      <c r="AB56" s="257" t="n">
        <v>0</v>
      </c>
      <c r="AC56" s="257" t="n">
        <v>0</v>
      </c>
      <c r="AD56" s="257" t="n">
        <v>0</v>
      </c>
      <c r="AE56" s="257" t="n">
        <v>0</v>
      </c>
      <c r="AF56" s="257" t="n">
        <v>0</v>
      </c>
      <c r="AG56" s="257" t="n">
        <v>0</v>
      </c>
      <c r="AH56" s="257" t="n">
        <v>0</v>
      </c>
      <c r="AI56" s="257" t="n">
        <v>0</v>
      </c>
      <c r="AJ56" s="257" t="n">
        <v>0</v>
      </c>
    </row>
    <row r="57" ht="15" customHeight="1" s="255">
      <c r="H57" s="256" t="inlineStr">
        <is>
          <t>BALANÇO - totais divulgados (memória)</t>
        </is>
      </c>
    </row>
    <row r="58" ht="15" customHeight="1" s="255">
      <c r="G58" s="254" t="inlineStr">
        <is>
          <t>moeda</t>
        </is>
      </c>
      <c r="H58" s="254" t="inlineStr">
        <is>
          <t>Total do ativo [us-gaap:Assets]</t>
        </is>
      </c>
      <c r="J58" s="254" t="inlineStr">
        <is>
          <t>memoria</t>
        </is>
      </c>
      <c r="K58" s="257" t="n">
        <v>48782000000</v>
      </c>
      <c r="L58" s="257" t="n">
        <v>51732000000</v>
      </c>
      <c r="M58" s="257" t="n">
        <v>55556000000</v>
      </c>
      <c r="N58" s="257" t="n">
        <v>60217000000</v>
      </c>
      <c r="O58" s="257" t="n">
        <v>54918000000</v>
      </c>
      <c r="P58" s="257" t="n">
        <v>57274000000</v>
      </c>
      <c r="Q58" s="257" t="n">
        <v>59268000000</v>
      </c>
      <c r="R58" s="257" t="n">
        <v>64149000000</v>
      </c>
      <c r="S58" s="257" t="n">
        <v>63078000000</v>
      </c>
      <c r="T58" s="257" t="n">
        <v>63852000000</v>
      </c>
      <c r="U58" s="257" t="n">
        <v>64166000000</v>
      </c>
      <c r="V58" s="257" t="n">
        <v>66027000000</v>
      </c>
      <c r="W58" s="257" t="n">
        <v>66848000000</v>
      </c>
      <c r="X58" s="257" t="n">
        <v>66752000000</v>
      </c>
      <c r="Y58" s="257" t="n">
        <v>68994000000</v>
      </c>
      <c r="Z58" s="257" t="n">
        <v>73723000000</v>
      </c>
      <c r="AA58" s="257" t="n">
        <v>66323000000</v>
      </c>
      <c r="AB58" s="257" t="n">
        <v>67911000000</v>
      </c>
      <c r="AC58" s="257" t="n">
        <v>69831000000</v>
      </c>
      <c r="AD58" s="257" t="n">
        <v>73386000000</v>
      </c>
      <c r="AE58" s="257" t="n">
        <v>73224000000</v>
      </c>
      <c r="AF58" s="257" t="n">
        <v>75482000000</v>
      </c>
      <c r="AG58" s="257" t="n">
        <v>77099000000</v>
      </c>
      <c r="AH58" s="257" t="n">
        <v>82790000000</v>
      </c>
      <c r="AI58" s="257" t="n">
        <v>83639000000</v>
      </c>
      <c r="AJ58" s="257" t="n">
        <v>86430000000</v>
      </c>
    </row>
    <row r="59" ht="15" customHeight="1" s="255">
      <c r="G59" s="254" t="inlineStr">
        <is>
          <t>moeda</t>
        </is>
      </c>
      <c r="H59" s="254" t="inlineStr">
        <is>
          <t>Total do passivo + PL [us-gaap:LiabilitiesAndStockholdersEquity]</t>
        </is>
      </c>
      <c r="J59" s="254" t="inlineStr">
        <is>
          <t>memoria</t>
        </is>
      </c>
      <c r="K59" s="257" t="n">
        <v>48782000000</v>
      </c>
      <c r="L59" s="257" t="n">
        <v>51732000000</v>
      </c>
      <c r="M59" s="257" t="n">
        <v>55556000000</v>
      </c>
      <c r="N59" s="257" t="n">
        <v>60217000000</v>
      </c>
      <c r="O59" s="257" t="n">
        <v>54918000000</v>
      </c>
      <c r="P59" s="257" t="n">
        <v>57274000000</v>
      </c>
      <c r="Q59" s="257" t="n">
        <v>59268000000</v>
      </c>
      <c r="R59" s="257" t="n">
        <v>64149000000</v>
      </c>
      <c r="S59" s="257" t="n">
        <v>63078000000</v>
      </c>
      <c r="T59" s="257" t="n">
        <v>63852000000</v>
      </c>
      <c r="U59" s="257" t="n">
        <v>64166000000</v>
      </c>
      <c r="V59" s="257" t="n">
        <v>66027000000</v>
      </c>
      <c r="W59" s="257" t="n">
        <v>66848000000</v>
      </c>
      <c r="X59" s="257" t="n">
        <v>66752000000</v>
      </c>
      <c r="Y59" s="257" t="n">
        <v>68994000000</v>
      </c>
      <c r="Z59" s="257" t="n">
        <v>73723000000</v>
      </c>
      <c r="AA59" s="257" t="n">
        <v>66323000000</v>
      </c>
      <c r="AB59" s="257" t="n">
        <v>67911000000</v>
      </c>
      <c r="AC59" s="257" t="n">
        <v>69831000000</v>
      </c>
      <c r="AD59" s="257" t="n">
        <v>73386000000</v>
      </c>
      <c r="AE59" s="257" t="n">
        <v>73224000000</v>
      </c>
      <c r="AF59" s="257" t="n">
        <v>75482000000</v>
      </c>
      <c r="AG59" s="257" t="n">
        <v>77099000000</v>
      </c>
      <c r="AH59" s="257" t="n">
        <v>82790000000</v>
      </c>
      <c r="AI59" s="257" t="n">
        <v>83639000000</v>
      </c>
      <c r="AJ59" s="257" t="n">
        <v>86430000000</v>
      </c>
    </row>
    <row r="60" ht="15" customHeight="1" s="255">
      <c r="H60" s="256" t="inlineStr">
        <is>
          <t>CHECKS (devem ser 0)</t>
        </is>
      </c>
    </row>
    <row r="61" ht="15" customHeight="1" s="255">
      <c r="G61" s="254" t="inlineStr">
        <is>
          <t>moeda</t>
        </is>
      </c>
      <c r="H61" s="254" t="inlineStr">
        <is>
          <t>CHECK: contas de ativo - ativo total (USD, arredondado a 100 mil)</t>
        </is>
      </c>
      <c r="J61" s="254" t="inlineStr">
        <is>
          <t>derivada</t>
        </is>
      </c>
      <c r="K61" s="258">
        <f>ROUND(N(K22)+N(K23)+N(K24)+N(K25)+N(K26)+N(K27)+N(K28)+N(K29)-N(K58),-5)</f>
        <v>0</v>
      </c>
      <c r="L61" s="258">
        <f>ROUND(N(L22)+N(L23)+N(L24)+N(L25)+N(L26)+N(L27)+N(L28)+N(L29)-N(L58),-5)</f>
        <v>0</v>
      </c>
      <c r="M61" s="258">
        <f>ROUND(N(M22)+N(M23)+N(M24)+N(M25)+N(M26)+N(M27)+N(M28)+N(M29)-N(M58),-5)</f>
        <v>0</v>
      </c>
      <c r="N61" s="258">
        <f>ROUND(N(N22)+N(N23)+N(N24)+N(N25)+N(N26)+N(N27)+N(N28)+N(N29)-N(N58),-5)</f>
        <v>0</v>
      </c>
      <c r="O61" s="258">
        <f>ROUND(N(O22)+N(O23)+N(O24)+N(O25)+N(O26)+N(O27)+N(O28)+N(O29)-N(O58),-5)</f>
        <v>0</v>
      </c>
      <c r="P61" s="258">
        <f>ROUND(N(P22)+N(P23)+N(P24)+N(P25)+N(P26)+N(P27)+N(P28)+N(P29)-N(P58),-5)</f>
        <v>0</v>
      </c>
      <c r="Q61" s="258">
        <f>ROUND(N(Q22)+N(Q23)+N(Q24)+N(Q25)+N(Q26)+N(Q27)+N(Q28)+N(Q29)-N(Q58),-5)</f>
        <v>0</v>
      </c>
      <c r="R61" s="258">
        <f>ROUND(N(R22)+N(R23)+N(R24)+N(R25)+N(R26)+N(R27)+N(R28)+N(R29)-N(R58),-5)</f>
        <v>0</v>
      </c>
      <c r="S61" s="258">
        <f>ROUND(N(S22)+N(S23)+N(S24)+N(S25)+N(S26)+N(S27)+N(S28)+N(S29)-N(S58),-5)</f>
        <v>0</v>
      </c>
      <c r="T61" s="258">
        <f>ROUND(N(T22)+N(T23)+N(T24)+N(T25)+N(T26)+N(T27)+N(T28)+N(T29)-N(T58),-5)</f>
        <v>0</v>
      </c>
      <c r="U61" s="258">
        <f>ROUND(N(U22)+N(U23)+N(U24)+N(U25)+N(U26)+N(U27)+N(U28)+N(U29)-N(U58),-5)</f>
        <v>0</v>
      </c>
      <c r="V61" s="258">
        <f>ROUND(N(V22)+N(V23)+N(V24)+N(V25)+N(V26)+N(V27)+N(V28)+N(V29)-N(V58),-5)</f>
        <v>0</v>
      </c>
      <c r="W61" s="258">
        <f>ROUND(N(W22)+N(W23)+N(W24)+N(W25)+N(W26)+N(W27)+N(W28)+N(W29)-N(W58),-5)</f>
        <v>0</v>
      </c>
      <c r="X61" s="258">
        <f>ROUND(N(X22)+N(X23)+N(X24)+N(X25)+N(X26)+N(X27)+N(X28)+N(X29)-N(X58),-5)</f>
        <v>0</v>
      </c>
      <c r="Y61" s="258">
        <f>ROUND(N(Y22)+N(Y23)+N(Y24)+N(Y25)+N(Y26)+N(Y27)+N(Y28)+N(Y29)-N(Y58),-5)</f>
        <v>0</v>
      </c>
      <c r="Z61" s="258">
        <f>ROUND(N(Z22)+N(Z23)+N(Z24)+N(Z25)+N(Z26)+N(Z27)+N(Z28)+N(Z29)-N(Z58),-5)</f>
        <v>0</v>
      </c>
      <c r="AA61" s="258">
        <f>ROUND(N(AA22)+N(AA23)+N(AA24)+N(AA25)+N(AA26)+N(AA27)+N(AA28)+N(AA29)-N(AA58),-5)</f>
        <v>0</v>
      </c>
      <c r="AB61" s="258">
        <f>ROUND(N(AB22)+N(AB23)+N(AB24)+N(AB25)+N(AB26)+N(AB27)+N(AB28)+N(AB29)-N(AB58),-5)</f>
        <v>0</v>
      </c>
      <c r="AC61" s="258">
        <f>ROUND(N(AC22)+N(AC23)+N(AC24)+N(AC25)+N(AC26)+N(AC27)+N(AC28)+N(AC29)-N(AC58),-5)</f>
        <v>0</v>
      </c>
      <c r="AD61" s="258">
        <f>ROUND(N(AD22)+N(AD23)+N(AD24)+N(AD25)+N(AD26)+N(AD27)+N(AD28)+N(AD29)-N(AD58),-5)</f>
        <v>0</v>
      </c>
      <c r="AE61" s="258">
        <f>ROUND(N(AE22)+N(AE23)+N(AE24)+N(AE25)+N(AE26)+N(AE27)+N(AE28)+N(AE29)-N(AE58),-5)</f>
        <v>0</v>
      </c>
      <c r="AF61" s="258">
        <f>ROUND(N(AF22)+N(AF23)+N(AF24)+N(AF25)+N(AF26)+N(AF27)+N(AF28)+N(AF29)-N(AF58),-5)</f>
        <v>0</v>
      </c>
      <c r="AG61" s="258">
        <f>ROUND(N(AG22)+N(AG23)+N(AG24)+N(AG25)+N(AG26)+N(AG27)+N(AG28)+N(AG29)-N(AG58),-5)</f>
        <v>0</v>
      </c>
      <c r="AH61" s="258">
        <f>ROUND(N(AH22)+N(AH23)+N(AH24)+N(AH25)+N(AH26)+N(AH27)+N(AH28)+N(AH29)-N(AH58),-5)</f>
        <v>0</v>
      </c>
      <c r="AI61" s="258">
        <f>ROUND(N(AI22)+N(AI23)+N(AI24)+N(AI25)+N(AI26)+N(AI27)+N(AI28)+N(AI29)-N(AI58),-5)</f>
        <v>0</v>
      </c>
      <c r="AJ61" s="258">
        <f>ROUND(N(AJ22)+N(AJ23)+N(AJ24)+N(AJ25)+N(AJ26)+N(AJ27)+N(AJ28)+N(AJ29)-N(AJ58),-5)</f>
        <v>0</v>
      </c>
    </row>
    <row r="62" ht="15" customHeight="1" s="255">
      <c r="G62" s="254" t="inlineStr">
        <is>
          <t>moeda</t>
        </is>
      </c>
      <c r="H62" s="254" t="inlineStr">
        <is>
          <t>CHECK: passivo + PL (contas) - passivo + PL total</t>
        </is>
      </c>
      <c r="J62" s="254" t="inlineStr">
        <is>
          <t>derivada</t>
        </is>
      </c>
      <c r="K62" s="258">
        <f>ROUND(N(K30)+N(K31)+N(K32)+N(K33)+N(K34)+N(K35)+N(K36)+N(K37)+N(K38)+N(K39)+N(K40)+N(K41)+N(K42)+N(K43)+N(K44)-N(K59),-5)</f>
        <v>0</v>
      </c>
      <c r="L62" s="258">
        <f>ROUND(N(L30)+N(L31)+N(L32)+N(L33)+N(L34)+N(L35)+N(L36)+N(L37)+N(L38)+N(L39)+N(L40)+N(L41)+N(L42)+N(L43)+N(L44)-N(L59),-5)</f>
        <v>0</v>
      </c>
      <c r="M62" s="258">
        <f>ROUND(N(M30)+N(M31)+N(M32)+N(M33)+N(M34)+N(M35)+N(M36)+N(M37)+N(M38)+N(M39)+N(M40)+N(M41)+N(M42)+N(M43)+N(M44)-N(M59),-5)</f>
        <v>0</v>
      </c>
      <c r="N62" s="258">
        <f>ROUND(N(N30)+N(N31)+N(N32)+N(N33)+N(N34)+N(N35)+N(N36)+N(N37)+N(N38)+N(N39)+N(N40)+N(N41)+N(N42)+N(N43)+N(N44)-N(N59),-5)</f>
        <v>0</v>
      </c>
      <c r="O62" s="258">
        <f>ROUND(N(O30)+N(O31)+N(O32)+N(O33)+N(O34)+N(O35)+N(O36)+N(O37)+N(O38)+N(O39)+N(O40)+N(O41)+N(O42)+N(O43)+N(O44)-N(O59),-5)</f>
        <v>0</v>
      </c>
      <c r="P62" s="258">
        <f>ROUND(N(P30)+N(P31)+N(P32)+N(P33)+N(P34)+N(P35)+N(P36)+N(P37)+N(P38)+N(P39)+N(P40)+N(P41)+N(P42)+N(P43)+N(P44)-N(P59),-5)</f>
        <v>0</v>
      </c>
      <c r="Q62" s="258">
        <f>ROUND(N(Q30)+N(Q31)+N(Q32)+N(Q33)+N(Q34)+N(Q35)+N(Q36)+N(Q37)+N(Q38)+N(Q39)+N(Q40)+N(Q41)+N(Q42)+N(Q43)+N(Q44)-N(Q59),-5)</f>
        <v>0</v>
      </c>
      <c r="R62" s="258">
        <f>ROUND(N(R30)+N(R31)+N(R32)+N(R33)+N(R34)+N(R35)+N(R36)+N(R37)+N(R38)+N(R39)+N(R40)+N(R41)+N(R42)+N(R43)+N(R44)-N(R59),-5)</f>
        <v>0</v>
      </c>
      <c r="S62" s="258">
        <f>ROUND(N(S30)+N(S31)+N(S32)+N(S33)+N(S34)+N(S35)+N(S36)+N(S37)+N(S38)+N(S39)+N(S40)+N(S41)+N(S42)+N(S43)+N(S44)-N(S59),-5)</f>
        <v>0</v>
      </c>
      <c r="T62" s="258">
        <f>ROUND(N(T30)+N(T31)+N(T32)+N(T33)+N(T34)+N(T35)+N(T36)+N(T37)+N(T38)+N(T39)+N(T40)+N(T41)+N(T42)+N(T43)+N(T44)-N(T59),-5)</f>
        <v>0</v>
      </c>
      <c r="U62" s="258">
        <f>ROUND(N(U30)+N(U31)+N(U32)+N(U33)+N(U34)+N(U35)+N(U36)+N(U37)+N(U38)+N(U39)+N(U40)+N(U41)+N(U42)+N(U43)+N(U44)-N(U59),-5)</f>
        <v>0</v>
      </c>
      <c r="V62" s="258">
        <f>ROUND(N(V30)+N(V31)+N(V32)+N(V33)+N(V34)+N(V35)+N(V36)+N(V37)+N(V38)+N(V39)+N(V40)+N(V41)+N(V42)+N(V43)+N(V44)-N(V59),-5)</f>
        <v>0</v>
      </c>
      <c r="W62" s="258">
        <f>ROUND(N(W30)+N(W31)+N(W32)+N(W33)+N(W34)+N(W35)+N(W36)+N(W37)+N(W38)+N(W39)+N(W40)+N(W41)+N(W42)+N(W43)+N(W44)-N(W59),-5)</f>
        <v>0</v>
      </c>
      <c r="X62" s="258">
        <f>ROUND(N(X30)+N(X31)+N(X32)+N(X33)+N(X34)+N(X35)+N(X36)+N(X37)+N(X38)+N(X39)+N(X40)+N(X41)+N(X42)+N(X43)+N(X44)-N(X59),-5)</f>
        <v>0</v>
      </c>
      <c r="Y62" s="258">
        <f>ROUND(N(Y30)+N(Y31)+N(Y32)+N(Y33)+N(Y34)+N(Y35)+N(Y36)+N(Y37)+N(Y38)+N(Y39)+N(Y40)+N(Y41)+N(Y42)+N(Y43)+N(Y44)-N(Y59),-5)</f>
        <v>0</v>
      </c>
      <c r="Z62" s="258">
        <f>ROUND(N(Z30)+N(Z31)+N(Z32)+N(Z33)+N(Z34)+N(Z35)+N(Z36)+N(Z37)+N(Z38)+N(Z39)+N(Z40)+N(Z41)+N(Z42)+N(Z43)+N(Z44)-N(Z59),-5)</f>
        <v>0</v>
      </c>
      <c r="AA62" s="258">
        <f>ROUND(N(AA30)+N(AA31)+N(AA32)+N(AA33)+N(AA34)+N(AA35)+N(AA36)+N(AA37)+N(AA38)+N(AA39)+N(AA40)+N(AA41)+N(AA42)+N(AA43)+N(AA44)-N(AA59),-5)</f>
        <v>0</v>
      </c>
      <c r="AB62" s="258">
        <f>ROUND(N(AB30)+N(AB31)+N(AB32)+N(AB33)+N(AB34)+N(AB35)+N(AB36)+N(AB37)+N(AB38)+N(AB39)+N(AB40)+N(AB41)+N(AB42)+N(AB43)+N(AB44)-N(AB59),-5)</f>
        <v>0</v>
      </c>
      <c r="AC62" s="258">
        <f>ROUND(N(AC30)+N(AC31)+N(AC32)+N(AC33)+N(AC34)+N(AC35)+N(AC36)+N(AC37)+N(AC38)+N(AC39)+N(AC40)+N(AC41)+N(AC42)+N(AC43)+N(AC44)-N(AC59),-5)</f>
        <v>0</v>
      </c>
      <c r="AD62" s="258">
        <f>ROUND(N(AD30)+N(AD31)+N(AD32)+N(AD33)+N(AD34)+N(AD35)+N(AD36)+N(AD37)+N(AD38)+N(AD39)+N(AD40)+N(AD41)+N(AD42)+N(AD43)+N(AD44)-N(AD59),-5)</f>
        <v>0</v>
      </c>
      <c r="AE62" s="258">
        <f>ROUND(N(AE30)+N(AE31)+N(AE32)+N(AE33)+N(AE34)+N(AE35)+N(AE36)+N(AE37)+N(AE38)+N(AE39)+N(AE40)+N(AE41)+N(AE42)+N(AE43)+N(AE44)-N(AE59),-5)</f>
        <v>0</v>
      </c>
      <c r="AF62" s="258">
        <f>ROUND(N(AF30)+N(AF31)+N(AF32)+N(AF33)+N(AF34)+N(AF35)+N(AF36)+N(AF37)+N(AF38)+N(AF39)+N(AF40)+N(AF41)+N(AF42)+N(AF43)+N(AF44)-N(AF59),-5)</f>
        <v>0</v>
      </c>
      <c r="AG62" s="258">
        <f>ROUND(N(AG30)+N(AG31)+N(AG32)+N(AG33)+N(AG34)+N(AG35)+N(AG36)+N(AG37)+N(AG38)+N(AG39)+N(AG40)+N(AG41)+N(AG42)+N(AG43)+N(AG44)-N(AG59),-5)</f>
        <v>0</v>
      </c>
      <c r="AH62" s="258">
        <f>ROUND(N(AH30)+N(AH31)+N(AH32)+N(AH33)+N(AH34)+N(AH35)+N(AH36)+N(AH37)+N(AH38)+N(AH39)+N(AH40)+N(AH41)+N(AH42)+N(AH43)+N(AH44)-N(AH59),-5)</f>
        <v>0</v>
      </c>
      <c r="AI62" s="258">
        <f>ROUND(N(AI30)+N(AI31)+N(AI32)+N(AI33)+N(AI34)+N(AI35)+N(AI36)+N(AI37)+N(AI38)+N(AI39)+N(AI40)+N(AI41)+N(AI42)+N(AI43)+N(AI44)-N(AI59),-5)</f>
        <v>0</v>
      </c>
      <c r="AJ62" s="258">
        <f>ROUND(N(AJ30)+N(AJ31)+N(AJ32)+N(AJ33)+N(AJ34)+N(AJ35)+N(AJ36)+N(AJ37)+N(AJ38)+N(AJ39)+N(AJ40)+N(AJ41)+N(AJ42)+N(AJ43)+N(AJ44)-N(AJ59),-5)</f>
        <v>0</v>
      </c>
    </row>
    <row r="63" ht="15" customHeight="1" s="255">
      <c r="H63" s="254" t="inlineStr">
        <is>
          <t>CHECK: receita - custo - despesas + não operacional - IR - minoritários + outros após IR - lucro (deve ser 0)</t>
        </is>
      </c>
      <c r="J63" s="254" t="inlineStr">
        <is>
          <t>derivada</t>
        </is>
      </c>
      <c r="K63" s="254">
        <f>ROUND(N(K6)-N(K7)-N(K9)+N(K11)-N(K13)-N(K14)+N(K16)-N(K17),-5)</f>
        <v>0</v>
      </c>
      <c r="L63" s="254">
        <f>ROUND(N(L6)-N(L7)-N(L9)+N(L11)-N(L13)-N(L14)+N(L16)-N(L17),-5)</f>
        <v>0</v>
      </c>
      <c r="M63" s="254">
        <f>ROUND(N(M6)-N(M7)-N(M9)+N(M11)-N(M13)-N(M14)+N(M16)-N(M17),-5)</f>
        <v>0</v>
      </c>
      <c r="N63" s="254">
        <f>ROUND(N(N6)-N(N7)-N(N9)+N(N11)-N(N13)-N(N14)+N(N16)-N(N17),-5)</f>
        <v>0</v>
      </c>
      <c r="O63" s="254">
        <f>ROUND(N(O6)-N(O7)-N(O9)+N(O11)-N(O13)-N(O14)+N(O16)-N(O17),-5)</f>
        <v>0</v>
      </c>
      <c r="P63" s="254">
        <f>ROUND(N(P6)-N(P7)-N(P9)+N(P11)-N(P13)-N(P14)+N(P16)-N(P17),-5)</f>
        <v>0</v>
      </c>
      <c r="Q63" s="254">
        <f>ROUND(N(Q6)-N(Q7)-N(Q9)+N(Q11)-N(Q13)-N(Q14)+N(Q16)-N(Q17),-5)</f>
        <v>0</v>
      </c>
      <c r="R63" s="254">
        <f>ROUND(N(R6)-N(R7)-N(R9)+N(R11)-N(R13)-N(R14)+N(R16)-N(R17),-5)</f>
        <v>0</v>
      </c>
      <c r="S63" s="254">
        <f>ROUND(N(S6)-N(S7)-N(S9)+N(S11)-N(S13)-N(S14)+N(S16)-N(S17),-5)</f>
        <v>0</v>
      </c>
      <c r="T63" s="254">
        <f>ROUND(N(T6)-N(T7)-N(T9)+N(T11)-N(T13)-N(T14)+N(T16)-N(T17),-5)</f>
        <v>0</v>
      </c>
      <c r="U63" s="254">
        <f>ROUND(N(U6)-N(U7)-N(U9)+N(U11)-N(U13)-N(U14)+N(U16)-N(U17),-5)</f>
        <v>0</v>
      </c>
      <c r="V63" s="254">
        <f>ROUND(N(V6)-N(V7)-N(V9)+N(V11)-N(V13)-N(V14)+N(V16)-N(V17),-5)</f>
        <v>0</v>
      </c>
      <c r="W63" s="254">
        <f>ROUND(N(W6)-N(W7)-N(W9)+N(W11)-N(W13)-N(W14)+N(W16)-N(W17),-5)</f>
        <v>0</v>
      </c>
      <c r="X63" s="254">
        <f>ROUND(N(X6)-N(X7)-N(X9)+N(X11)-N(X13)-N(X14)+N(X16)-N(X17),-5)</f>
        <v>0</v>
      </c>
      <c r="Y63" s="254">
        <f>ROUND(N(Y6)-N(Y7)-N(Y9)+N(Y11)-N(Y13)-N(Y14)+N(Y16)-N(Y17),-5)</f>
        <v>0</v>
      </c>
      <c r="Z63" s="254">
        <f>ROUND(N(Z6)-N(Z7)-N(Z9)+N(Z11)-N(Z13)-N(Z14)+N(Z16)-N(Z17),-5)</f>
        <v>0</v>
      </c>
      <c r="AA63" s="254">
        <f>ROUND(N(AA6)-N(AA7)-N(AA9)+N(AA11)-N(AA13)-N(AA14)+N(AA16)-N(AA17),-5)</f>
        <v>0</v>
      </c>
      <c r="AB63" s="254">
        <f>ROUND(N(AB6)-N(AB7)-N(AB9)+N(AB11)-N(AB13)-N(AB14)+N(AB16)-N(AB17),-5)</f>
        <v>0</v>
      </c>
      <c r="AC63" s="254">
        <f>ROUND(N(AC6)-N(AC7)-N(AC9)+N(AC11)-N(AC13)-N(AC14)+N(AC16)-N(AC17),-5)</f>
        <v>0</v>
      </c>
      <c r="AD63" s="254">
        <f>ROUND(N(AD6)-N(AD7)-N(AD9)+N(AD11)-N(AD13)-N(AD14)+N(AD16)-N(AD17),-5)</f>
        <v>0</v>
      </c>
      <c r="AE63" s="254">
        <f>ROUND(N(AE6)-N(AE7)-N(AE9)+N(AE11)-N(AE13)-N(AE14)+N(AE16)-N(AE17),-5)</f>
        <v>0</v>
      </c>
      <c r="AF63" s="254">
        <f>ROUND(N(AF6)-N(AF7)-N(AF9)+N(AF11)-N(AF13)-N(AF14)+N(AF16)-N(AF17),-5)</f>
        <v>0</v>
      </c>
      <c r="AG63" s="254">
        <f>ROUND(N(AG6)-N(AG7)-N(AG9)+N(AG11)-N(AG13)-N(AG14)+N(AG16)-N(AG17),-5)</f>
        <v>0</v>
      </c>
      <c r="AH63" s="254">
        <f>ROUND(N(AH6)-N(AH7)-N(AH9)+N(AH11)-N(AH13)-N(AH14)+N(AH16)-N(AH17),-5)</f>
        <v>0</v>
      </c>
      <c r="AI63" s="254">
        <f>ROUND(N(AI6)-N(AI7)-N(AI9)+N(AI11)-N(AI13)-N(AI14)+N(AI16)-N(AI17),-5)</f>
        <v>0</v>
      </c>
      <c r="AJ63" s="254">
        <f>ROUND(N(AJ6)-N(AJ7)-N(AJ9)+N(AJ11)-N(AJ13)-N(AJ14)+N(AJ16)-N(AJ17),-5)</f>
        <v>0</v>
      </c>
    </row>
    <row r="65">
      <c r="H65" s="511" t="inlineStr">
        <is>
          <t>DRIVERS DE RECEITA (codigos 45+): vendas líquidas x taxas de associação e segmentos geográficos (EUA, Canadá, outros internacionais: receita e lucro operacional) - SEC XBRL (USD, fator 0,000001).</t>
        </is>
      </c>
    </row>
    <row r="66">
      <c r="A66" t="n">
        <v>45</v>
      </c>
      <c r="B66" t="n">
        <v>1</v>
      </c>
      <c r="G66" t="inlineStr">
        <is>
          <t>moeda</t>
        </is>
      </c>
      <c r="H66" t="inlineStr">
        <is>
          <t>Vendas líquidas (USD)</t>
        </is>
      </c>
      <c r="J66" t="inlineStr">
        <is>
          <t>fonte</t>
        </is>
      </c>
      <c r="K66" s="512" t="n">
        <v>38256000000</v>
      </c>
      <c r="L66" s="512" t="n">
        <v>36451000000</v>
      </c>
      <c r="M66" s="512" t="n">
        <v>52277000000</v>
      </c>
      <c r="N66" s="512" t="n">
        <v>42347000000</v>
      </c>
      <c r="O66" s="512" t="n">
        <v>43888000000</v>
      </c>
      <c r="P66" s="512" t="n">
        <v>44376000000</v>
      </c>
      <c r="Q66" s="512" t="n">
        <v>61441000000</v>
      </c>
      <c r="R66" s="512" t="n">
        <v>49417000000</v>
      </c>
      <c r="S66" s="512" t="n">
        <v>50937000000</v>
      </c>
      <c r="T66" s="512" t="n">
        <v>51612000000</v>
      </c>
      <c r="U66" s="512" t="n">
        <v>70764000000</v>
      </c>
      <c r="V66" s="512" t="n">
        <v>53437000000</v>
      </c>
      <c r="W66" s="512" t="n">
        <v>54239000000</v>
      </c>
      <c r="X66" s="512" t="n">
        <v>52604000000</v>
      </c>
      <c r="Y66" s="512" t="n">
        <v>77430000000</v>
      </c>
      <c r="Z66" s="512" t="n">
        <v>56717000000</v>
      </c>
      <c r="AA66" s="512" t="n">
        <v>57331000000</v>
      </c>
      <c r="AB66" s="512" t="n">
        <v>57392000000</v>
      </c>
      <c r="AC66" s="512" t="n">
        <v>78185000000</v>
      </c>
      <c r="AD66" s="512" t="n">
        <v>60985000000</v>
      </c>
      <c r="AE66" s="512" t="n">
        <v>62530000000</v>
      </c>
      <c r="AF66" s="512" t="n">
        <v>61965000000</v>
      </c>
      <c r="AG66" s="512" t="n">
        <v>84432000000</v>
      </c>
      <c r="AH66" s="512" t="n">
        <v>65978000000</v>
      </c>
      <c r="AI66" s="512" t="n">
        <v>68242000000</v>
      </c>
      <c r="AJ66" s="512" t="n">
        <v>69154000000</v>
      </c>
    </row>
    <row r="67">
      <c r="A67" t="n">
        <v>46</v>
      </c>
      <c r="B67" t="n">
        <v>1</v>
      </c>
      <c r="G67" t="inlineStr">
        <is>
          <t>moeda</t>
        </is>
      </c>
      <c r="H67" t="inlineStr">
        <is>
          <t>Taxas de associação (USD)</t>
        </is>
      </c>
      <c r="J67" t="inlineStr">
        <is>
          <t>fonte</t>
        </is>
      </c>
      <c r="K67" s="512" t="n">
        <v>816000000</v>
      </c>
      <c r="L67" s="512" t="n">
        <v>815000000</v>
      </c>
      <c r="M67" s="512" t="n">
        <v>1106000000</v>
      </c>
      <c r="N67" s="512" t="n">
        <v>861000000</v>
      </c>
      <c r="O67" s="512" t="n">
        <v>881000000</v>
      </c>
      <c r="P67" s="512" t="n">
        <v>901000000</v>
      </c>
      <c r="Q67" s="512" t="n">
        <v>1234000000</v>
      </c>
      <c r="R67" s="512" t="n">
        <v>946000000</v>
      </c>
      <c r="S67" s="512" t="n">
        <v>967000000</v>
      </c>
      <c r="T67" s="512" t="n">
        <v>984000000</v>
      </c>
      <c r="U67" s="512" t="n">
        <v>1327000000</v>
      </c>
      <c r="V67" s="512" t="n">
        <v>1000000000</v>
      </c>
      <c r="W67" s="512" t="n">
        <v>1027000000</v>
      </c>
      <c r="X67" s="512" t="n">
        <v>1044000000</v>
      </c>
      <c r="Y67" s="512" t="n">
        <v>1509000000</v>
      </c>
      <c r="Z67" s="512" t="n">
        <v>1082000000</v>
      </c>
      <c r="AA67" s="512" t="n">
        <v>1111000000</v>
      </c>
      <c r="AB67" s="512" t="n">
        <v>1123000000</v>
      </c>
      <c r="AC67" s="512" t="n">
        <v>1512000000</v>
      </c>
      <c r="AD67" s="512" t="n">
        <v>1166000000</v>
      </c>
      <c r="AE67" s="512" t="n">
        <v>1193000000</v>
      </c>
      <c r="AF67" s="512" t="n">
        <v>1240000000</v>
      </c>
      <c r="AG67" s="512" t="n">
        <v>1724000000</v>
      </c>
      <c r="AH67" s="512" t="n">
        <v>1329000000</v>
      </c>
      <c r="AI67" s="512" t="n">
        <v>1355000000</v>
      </c>
      <c r="AJ67" s="512" t="n">
        <v>1373000000</v>
      </c>
    </row>
    <row r="68">
      <c r="A68" t="n">
        <v>47</v>
      </c>
      <c r="B68" t="n">
        <v>1</v>
      </c>
      <c r="G68" t="inlineStr">
        <is>
          <t>moeda</t>
        </is>
      </c>
      <c r="H68" t="inlineStr">
        <is>
          <t>Receita EUA (USD)</t>
        </is>
      </c>
      <c r="J68" t="inlineStr">
        <is>
          <t>fonte</t>
        </is>
      </c>
      <c r="K68" s="512" t="n">
        <v>28523000000</v>
      </c>
      <c r="L68" s="512" t="n">
        <v>27626000000</v>
      </c>
      <c r="M68" s="512" t="n">
        <v>38928000000</v>
      </c>
      <c r="N68" s="512" t="n">
        <v>31292000000</v>
      </c>
      <c r="O68" s="512" t="n">
        <v>32127000000</v>
      </c>
      <c r="P68" s="512" t="n">
        <v>32759000000</v>
      </c>
      <c r="Q68" s="512" t="n">
        <v>45220000000</v>
      </c>
      <c r="R68" s="512" t="n">
        <v>36317000000</v>
      </c>
      <c r="S68" s="512" t="n">
        <v>37567000000</v>
      </c>
      <c r="T68" s="512" t="n">
        <v>38534000000</v>
      </c>
      <c r="U68" s="512" t="n">
        <v>52876000000</v>
      </c>
      <c r="V68" s="512" t="n">
        <v>40145000000</v>
      </c>
      <c r="W68" s="512" t="n">
        <v>40145000000</v>
      </c>
      <c r="X68" s="512" t="n">
        <v>39049000000</v>
      </c>
      <c r="Y68" s="512" t="n">
        <v>57291000000</v>
      </c>
      <c r="Z68" s="512" t="n">
        <v>41833000000</v>
      </c>
      <c r="AA68" s="512" t="n">
        <v>41952000000</v>
      </c>
      <c r="AB68" s="512" t="n">
        <v>42449000000</v>
      </c>
      <c r="AC68" s="512" t="n">
        <v>57909000000</v>
      </c>
      <c r="AD68" s="512" t="n">
        <v>45088000000</v>
      </c>
      <c r="AE68" s="512" t="n">
        <v>46413000000</v>
      </c>
      <c r="AF68" s="512" t="n">
        <v>46318000000</v>
      </c>
      <c r="AG68" s="512" t="n">
        <v>62227000000</v>
      </c>
      <c r="AH68" s="512" t="n">
        <v>48569000000</v>
      </c>
      <c r="AI68" s="512" t="n">
        <v>49931000000</v>
      </c>
      <c r="AJ68" s="512" t="n">
        <v>51434000000</v>
      </c>
    </row>
    <row r="69">
      <c r="A69" t="n">
        <v>48</v>
      </c>
      <c r="B69" t="n">
        <v>1</v>
      </c>
      <c r="G69" t="inlineStr">
        <is>
          <t>moeda</t>
        </is>
      </c>
      <c r="H69" t="inlineStr">
        <is>
          <t>Receita Canadá (USD)</t>
        </is>
      </c>
      <c r="J69" t="inlineStr">
        <is>
          <t>fonte</t>
        </is>
      </c>
      <c r="K69" s="512" t="n">
        <v>5231000000</v>
      </c>
      <c r="L69" s="512" t="n">
        <v>4722000000</v>
      </c>
      <c r="M69" s="512" t="n">
        <v>7354000000</v>
      </c>
      <c r="N69" s="512" t="n">
        <v>6011000000</v>
      </c>
      <c r="O69" s="512" t="n">
        <v>6001000000</v>
      </c>
      <c r="P69" s="512" t="n">
        <v>6299000000</v>
      </c>
      <c r="Q69" s="512" t="n">
        <v>8987000000</v>
      </c>
      <c r="R69" s="512" t="n">
        <v>7121000000</v>
      </c>
      <c r="S69" s="512" t="n">
        <v>7017000000</v>
      </c>
      <c r="T69" s="512" t="n">
        <v>7268000000</v>
      </c>
      <c r="U69" s="512" t="n">
        <v>10269000000</v>
      </c>
      <c r="V69" s="512" t="n">
        <v>7356000000</v>
      </c>
      <c r="W69" s="512" t="n">
        <v>7299000000</v>
      </c>
      <c r="X69" s="512" t="n">
        <v>7268000000</v>
      </c>
      <c r="Y69" s="512" t="n">
        <v>11133000000</v>
      </c>
      <c r="Z69" s="512" t="n">
        <v>7901000000</v>
      </c>
      <c r="AA69" s="512" t="n">
        <v>7874000000</v>
      </c>
      <c r="AB69" s="512" t="n">
        <v>8014000000</v>
      </c>
      <c r="AC69" s="512" t="n">
        <v>11085000000</v>
      </c>
      <c r="AD69" s="512" t="n">
        <v>8404000000</v>
      </c>
      <c r="AE69" s="512" t="n">
        <v>8296000000</v>
      </c>
      <c r="AF69" s="512" t="n">
        <v>8321000000</v>
      </c>
      <c r="AG69" s="512" t="n">
        <v>11902000000</v>
      </c>
      <c r="AH69" s="512" t="n">
        <v>9073000000</v>
      </c>
      <c r="AI69" s="512" t="n">
        <v>9291000000</v>
      </c>
      <c r="AJ69" s="512" t="n">
        <v>9410000000</v>
      </c>
    </row>
    <row r="70">
      <c r="A70" t="n">
        <v>49</v>
      </c>
      <c r="B70" t="n">
        <v>1</v>
      </c>
      <c r="G70" t="inlineStr">
        <is>
          <t>moeda</t>
        </is>
      </c>
      <c r="H70" t="inlineStr">
        <is>
          <t>Receita outros internacionais (USD)</t>
        </is>
      </c>
      <c r="J70" t="inlineStr">
        <is>
          <t>fonte</t>
        </is>
      </c>
      <c r="K70" s="512" t="n">
        <v>5318000000</v>
      </c>
      <c r="L70" s="512" t="n">
        <v>4918000000</v>
      </c>
      <c r="M70" s="512" t="n">
        <v>7101000000</v>
      </c>
      <c r="N70" s="512" t="n">
        <v>5905000000</v>
      </c>
      <c r="O70" s="512" t="n">
        <v>6641000000</v>
      </c>
      <c r="P70" s="512" t="n">
        <v>6219000000</v>
      </c>
      <c r="Q70" s="512" t="n">
        <v>8468000000</v>
      </c>
      <c r="R70" s="512" t="n">
        <v>6925000000</v>
      </c>
      <c r="S70" s="512" t="n">
        <v>7320000000</v>
      </c>
      <c r="T70" s="512" t="n">
        <v>6794000000</v>
      </c>
      <c r="U70" s="512" t="n">
        <v>8946000000</v>
      </c>
      <c r="V70" s="512" t="n">
        <v>6936000000</v>
      </c>
      <c r="W70" s="512" t="n">
        <v>7822000000</v>
      </c>
      <c r="X70" s="512" t="n">
        <v>7331000000</v>
      </c>
      <c r="Y70" s="512" t="n">
        <v>10515000000</v>
      </c>
      <c r="Z70" s="512" t="n">
        <v>8065000000</v>
      </c>
      <c r="AA70" s="512" t="n">
        <v>8616000000</v>
      </c>
      <c r="AB70" s="512" t="n">
        <v>8052000000</v>
      </c>
      <c r="AC70" s="512" t="n">
        <v>10703000000</v>
      </c>
      <c r="AD70" s="512" t="n">
        <v>8659000000</v>
      </c>
      <c r="AE70" s="512" t="n">
        <v>9014000000</v>
      </c>
      <c r="AF70" s="512" t="n">
        <v>8566000000</v>
      </c>
      <c r="AG70" s="512" t="n">
        <v>12027000000</v>
      </c>
      <c r="AH70" s="512" t="n">
        <v>9665000000</v>
      </c>
      <c r="AI70" s="512" t="n">
        <v>10375000000</v>
      </c>
      <c r="AJ70" s="512" t="n">
        <v>9683000000</v>
      </c>
    </row>
    <row r="71">
      <c r="A71" t="n">
        <v>50</v>
      </c>
      <c r="B71" t="n">
        <v>1</v>
      </c>
      <c r="G71" t="inlineStr">
        <is>
          <t>moeda</t>
        </is>
      </c>
      <c r="H71" t="inlineStr">
        <is>
          <t>Lucro operacional EUA (USD)</t>
        </is>
      </c>
      <c r="J71" t="inlineStr">
        <is>
          <t>fonte</t>
        </is>
      </c>
      <c r="K71" s="512" t="n">
        <v>821000000</v>
      </c>
      <c r="L71" s="512" t="n">
        <v>853000000</v>
      </c>
      <c r="M71" s="512" t="n">
        <v>1324000000</v>
      </c>
      <c r="N71" s="512" t="n">
        <v>937000000</v>
      </c>
      <c r="O71" s="512" t="n">
        <v>826000000</v>
      </c>
      <c r="P71" s="512" t="n">
        <v>1135000000</v>
      </c>
      <c r="Q71" s="512" t="n">
        <v>1525000000</v>
      </c>
      <c r="R71" s="512" t="n">
        <v>1118000000</v>
      </c>
      <c r="S71" s="512" t="n">
        <v>1179000000</v>
      </c>
      <c r="T71" s="512" t="n">
        <v>1205000000</v>
      </c>
      <c r="U71" s="512" t="n">
        <v>1766000000</v>
      </c>
      <c r="V71" s="512" t="n">
        <v>1236000000</v>
      </c>
      <c r="W71" s="512" t="n">
        <v>1295000000</v>
      </c>
      <c r="X71" s="512" t="n">
        <v>1027000000</v>
      </c>
      <c r="Y71" s="512" t="n">
        <v>1834000000</v>
      </c>
      <c r="Z71" s="512" t="n">
        <v>1358000000</v>
      </c>
      <c r="AA71" s="512" t="n">
        <v>1294000000</v>
      </c>
      <c r="AB71" s="512" t="n">
        <v>1476000000</v>
      </c>
      <c r="AC71" s="512" t="n">
        <v>2089000000</v>
      </c>
      <c r="AD71" s="512" t="n">
        <v>1498000000</v>
      </c>
      <c r="AE71" s="512" t="n">
        <v>1515000000</v>
      </c>
      <c r="AF71" s="512" t="n">
        <v>1713000000</v>
      </c>
      <c r="AG71" s="512" t="n">
        <v>2152000000</v>
      </c>
      <c r="AH71" s="512" t="n">
        <v>1616000000</v>
      </c>
      <c r="AI71" s="512" t="n">
        <v>1635000000</v>
      </c>
      <c r="AJ71" s="512" t="n">
        <v>1873000000</v>
      </c>
    </row>
    <row r="72">
      <c r="A72" t="n">
        <v>51</v>
      </c>
      <c r="B72" t="n">
        <v>1</v>
      </c>
      <c r="G72" t="inlineStr">
        <is>
          <t>moeda</t>
        </is>
      </c>
      <c r="H72" t="inlineStr">
        <is>
          <t>Lucro operacional Canadá (USD)</t>
        </is>
      </c>
      <c r="J72" t="inlineStr">
        <is>
          <t>fonte</t>
        </is>
      </c>
      <c r="K72" s="512" t="n">
        <v>202000000</v>
      </c>
      <c r="L72" s="512" t="n">
        <v>129000000</v>
      </c>
      <c r="M72" s="512" t="n">
        <v>301000000</v>
      </c>
      <c r="N72" s="512" t="n">
        <v>247000000</v>
      </c>
      <c r="O72" s="512" t="n">
        <v>226000000</v>
      </c>
      <c r="P72" s="512" t="n">
        <v>260000000</v>
      </c>
      <c r="Q72" s="512" t="n">
        <v>376000000</v>
      </c>
      <c r="R72" s="512" t="n">
        <v>293000000</v>
      </c>
      <c r="S72" s="512" t="n">
        <v>301000000</v>
      </c>
      <c r="T72" s="512" t="n">
        <v>324000000</v>
      </c>
      <c r="U72" s="512" t="n">
        <v>428000000</v>
      </c>
      <c r="V72" s="512" t="n">
        <v>288000000</v>
      </c>
      <c r="W72" s="512" t="n">
        <v>284000000</v>
      </c>
      <c r="X72" s="512" t="n">
        <v>327000000</v>
      </c>
      <c r="Y72" s="512" t="n">
        <v>549000000</v>
      </c>
      <c r="Z72" s="512" t="n">
        <v>325000000</v>
      </c>
      <c r="AA72" s="512" t="n">
        <v>390000000</v>
      </c>
      <c r="AB72" s="512" t="n">
        <v>394000000</v>
      </c>
      <c r="AC72" s="512" t="n">
        <v>539000000</v>
      </c>
      <c r="AD72" s="512" t="n">
        <v>362000000</v>
      </c>
      <c r="AE72" s="512" t="n">
        <v>403000000</v>
      </c>
      <c r="AF72" s="512" t="n">
        <v>450000000</v>
      </c>
      <c r="AG72" s="512" t="n">
        <v>634000000</v>
      </c>
      <c r="AH72" s="512" t="n">
        <v>434000000</v>
      </c>
      <c r="AI72" s="512" t="n">
        <v>476000000</v>
      </c>
      <c r="AJ72" s="512" t="n">
        <v>506000000</v>
      </c>
    </row>
    <row r="73">
      <c r="A73" t="n">
        <v>52</v>
      </c>
      <c r="B73" t="n">
        <v>1</v>
      </c>
      <c r="G73" t="inlineStr">
        <is>
          <t>moeda</t>
        </is>
      </c>
      <c r="H73" t="inlineStr">
        <is>
          <t>Lucro operacional outros internacionais (USD)</t>
        </is>
      </c>
      <c r="J73" t="inlineStr">
        <is>
          <t>fonte</t>
        </is>
      </c>
      <c r="K73" s="512" t="n">
        <v>243000000</v>
      </c>
      <c r="L73" s="512" t="n">
        <v>197000000</v>
      </c>
      <c r="M73" s="512" t="n">
        <v>197000000</v>
      </c>
      <c r="N73" s="512" t="n">
        <v>246000000</v>
      </c>
      <c r="O73" s="512" t="n">
        <v>288000000</v>
      </c>
      <c r="P73" s="512" t="n">
        <v>268000000</v>
      </c>
      <c r="Q73" s="512" t="n">
        <v>343000000</v>
      </c>
      <c r="R73" s="512" t="n">
        <v>282000000</v>
      </c>
      <c r="S73" s="512" t="n">
        <v>332000000</v>
      </c>
      <c r="T73" s="512" t="n">
        <v>262000000</v>
      </c>
      <c r="U73" s="512" t="n">
        <v>303000000</v>
      </c>
      <c r="V73" s="512" t="n">
        <v>227000000</v>
      </c>
      <c r="W73" s="512" t="n">
        <v>324000000</v>
      </c>
      <c r="X73" s="512" t="n">
        <v>325000000</v>
      </c>
      <c r="Y73" s="512" t="n">
        <v>398000000</v>
      </c>
      <c r="Z73" s="512" t="n">
        <v>301000000</v>
      </c>
      <c r="AA73" s="512" t="n">
        <v>378000000</v>
      </c>
      <c r="AB73" s="512" t="n">
        <v>327000000</v>
      </c>
      <c r="AC73" s="512" t="n">
        <v>414000000</v>
      </c>
      <c r="AD73" s="512" t="n">
        <v>336000000</v>
      </c>
      <c r="AE73" s="512" t="n">
        <v>398000000</v>
      </c>
      <c r="AF73" s="512" t="n">
        <v>367000000</v>
      </c>
      <c r="AG73" s="512" t="n">
        <v>555000000</v>
      </c>
      <c r="AH73" s="512" t="n">
        <v>413000000</v>
      </c>
      <c r="AI73" s="512" t="n">
        <v>495000000</v>
      </c>
      <c r="AJ73" s="512" t="n">
        <v>436000000</v>
      </c>
    </row>
    <row r="74">
      <c r="H74" t="inlineStr">
        <is>
          <t>Notas: ano fiscal da Costco termina no fim de agosto/início de setembro, com trimestres de 12 semanas e o último de 16 semanas (fica no 3T calendário). Colunas: fechamento de nov -&gt; 4T, fev -&gt; 1T, mai -&gt; 2T, ago/set -&gt; 3T. Membros dos segmentos mudaram de nome em 2023-24 e foram costurados.</t>
        </is>
      </c>
    </row>
    <row r="113">
      <c r="H113" s="511" t="inlineStr">
        <is>
          <t>CONVENCOES</t>
        </is>
      </c>
    </row>
    <row r="114">
      <c r="H114" t="inlineStr">
        <is>
          <t>Linhas de origem: 5 a 74. As formulas da Inputs (2) varrem as linhas 5 a 110; as linhas 75 a 110 estao livres para novas contas.</t>
        </is>
      </c>
    </row>
    <row r="115">
      <c r="H115" t="inlineStr">
        <is>
          <t>Periodos: colunas K a AJ = trimestres-calendário 1Q20 a 2Q26 (linha 2: trimestre fiscal correspondente).</t>
        </is>
      </c>
    </row>
    <row r="116">
      <c r="H116" t="inlineStr">
        <is>
          <t>Brutos em USD unidades: fator da célula B1 = 0,000001 converte para USD milhões nas linhas UNID = moeda.</t>
        </is>
      </c>
    </row>
    <row r="117">
      <c r="H117" t="inlineStr">
        <is>
          <t>ORIGEM: fonte = copiado da SEC; memoria = como divulgado, sem codigo; derivada = formula nesta aba ou desacumulado na extração.</t>
        </is>
      </c>
    </row>
    <row r="118">
      <c r="H118" t="inlineStr">
        <is>
          <t>Balanço: contas de face sem mapeamento específico vão para "outros" do seu bloco (ativo circulante 16, não circulante 22, passivo circulante 26, não circulante 34, PL 40).</t>
        </is>
      </c>
    </row>
    <row r="119">
      <c r="H119" t="inlineStr">
        <is>
          <t>Codigos 45 a 52: drivers de receita (memoria); alimentam o bloco logo abaixo da receita liquida no Model.</t>
        </is>
      </c>
    </row>
    <row r="133" ht="15" customHeight="1" s="255">
      <c r="H133" s="256" t="n"/>
    </row>
    <row r="134" ht="15" customHeight="1" s="255">
      <c r="H134" s="254" t="n"/>
    </row>
    <row r="135" ht="15" customHeight="1" s="255">
      <c r="H135" s="254" t="n"/>
    </row>
    <row r="136" ht="15" customHeight="1" s="255">
      <c r="H136" s="254" t="n"/>
    </row>
    <row r="137" ht="15" customHeight="1" s="255">
      <c r="H137" s="254" t="n"/>
    </row>
    <row r="138" ht="15" customHeight="1" s="255">
      <c r="H138" s="254" t="n"/>
    </row>
    <row r="139"/>
    <row r="140"/>
    <row r="141"/>
    <row r="142"/>
    <row r="143"/>
    <row r="144"/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N60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3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G24" activeCellId="0" sqref="G24"/>
    </sheetView>
  </sheetViews>
  <sheetFormatPr baseColWidth="8" defaultColWidth="9.140625" defaultRowHeight="12.75" zeroHeight="0" outlineLevelRow="0"/>
  <cols>
    <col width="2.28" customWidth="1" style="259" min="1" max="1"/>
    <col width="4.42" customWidth="1" style="259" min="2" max="2"/>
    <col width="53.14" customWidth="1" style="260" min="3" max="3"/>
    <col width="8.140000000000001" customWidth="1" style="259" min="4" max="4"/>
    <col width="9.279999999999999" customWidth="1" style="259" min="5" max="7"/>
    <col width="10" customWidth="1" style="259" min="8" max="8"/>
    <col width="8.140000000000001" customWidth="1" style="259" min="9" max="9"/>
    <col width="9.279999999999999" customWidth="1" style="259" min="10" max="12"/>
    <col width="10" customWidth="1" style="259" min="13" max="13"/>
    <col width="8.140000000000001" customWidth="1" style="259" min="14" max="14"/>
    <col width="9.279999999999999" customWidth="1" style="259" min="15" max="16"/>
    <col width="10" customWidth="1" style="259" min="17" max="18"/>
    <col width="8.140000000000001" customWidth="1" style="259" min="19" max="19"/>
    <col width="9.279999999999999" customWidth="1" style="259" min="20" max="20"/>
    <col width="10" customWidth="1" style="259" min="21" max="23"/>
    <col width="8.140000000000001" customWidth="1" style="259" min="24" max="24"/>
    <col width="10" customWidth="1" style="259" min="25" max="27"/>
    <col width="10.42" customWidth="1" style="259" min="28" max="28"/>
    <col width="9.279999999999999" customWidth="1" style="259" min="29" max="29"/>
    <col width="11.71" customWidth="1" style="259" min="30" max="31"/>
    <col width="12.71" customWidth="1" style="259" min="32" max="32"/>
    <col width="10.28" customWidth="1" style="259" min="33" max="33"/>
    <col width="9.279999999999999" customWidth="1" style="260" min="34" max="54"/>
    <col width="9.710000000000001" customWidth="1" style="260" min="55" max="55"/>
    <col width="9.140000000000001" customWidth="1" style="260" min="56" max="16384"/>
  </cols>
  <sheetData>
    <row r="1" ht="12.75" customFormat="1" customHeight="1" s="259">
      <c r="A1" s="259">
        <f>COUNTIF($B$3:$B$1048576,$B$1)</f>
        <v>1</v>
      </c>
      <c r="B1" s="259">
        <f>MAX($B$3:$B$1048576)</f>
        <v>52</v>
      </c>
    </row>
    <row r="2" ht="12.75" customFormat="1" customHeight="1" s="260">
      <c r="D2" s="261" t="inlineStr">
        <is>
          <t>1Q21</t>
        </is>
      </c>
      <c r="E2" s="261" t="inlineStr">
        <is>
          <t>2Q21</t>
        </is>
      </c>
      <c r="F2" s="261" t="inlineStr">
        <is>
          <t>3Q21</t>
        </is>
      </c>
      <c r="G2" s="261" t="inlineStr">
        <is>
          <t>4Q21</t>
        </is>
      </c>
      <c r="H2" s="262" t="n">
        <v>2021</v>
      </c>
      <c r="I2" s="261" t="inlineStr">
        <is>
          <t>1Q22</t>
        </is>
      </c>
      <c r="J2" s="261" t="inlineStr">
        <is>
          <t>2Q22</t>
        </is>
      </c>
      <c r="K2" s="261" t="inlineStr">
        <is>
          <t>3Q22</t>
        </is>
      </c>
      <c r="L2" s="261" t="inlineStr">
        <is>
          <t>4Q22</t>
        </is>
      </c>
      <c r="M2" s="262" t="n">
        <v>2022</v>
      </c>
      <c r="N2" s="261" t="inlineStr">
        <is>
          <t>1Q23</t>
        </is>
      </c>
      <c r="O2" s="261" t="inlineStr">
        <is>
          <t>2Q23</t>
        </is>
      </c>
      <c r="P2" s="261" t="inlineStr">
        <is>
          <t>3Q23</t>
        </is>
      </c>
      <c r="Q2" s="261" t="inlineStr">
        <is>
          <t>4Q23</t>
        </is>
      </c>
      <c r="R2" s="262" t="n">
        <v>2023</v>
      </c>
      <c r="S2" s="261" t="inlineStr">
        <is>
          <t>1Q24</t>
        </is>
      </c>
      <c r="T2" s="261" t="inlineStr">
        <is>
          <t>2Q24</t>
        </is>
      </c>
      <c r="U2" s="261" t="inlineStr">
        <is>
          <t>3Q24</t>
        </is>
      </c>
      <c r="V2" s="261" t="inlineStr">
        <is>
          <t>4Q24</t>
        </is>
      </c>
      <c r="W2" s="262" t="n">
        <v>2024</v>
      </c>
      <c r="X2" s="261" t="inlineStr">
        <is>
          <t>1Q25</t>
        </is>
      </c>
      <c r="Y2" s="261" t="inlineStr">
        <is>
          <t>2Q25</t>
        </is>
      </c>
      <c r="Z2" s="261" t="inlineStr">
        <is>
          <t>3Q25</t>
        </is>
      </c>
      <c r="AA2" s="261" t="inlineStr">
        <is>
          <t>4Q25</t>
        </is>
      </c>
      <c r="AB2" s="262" t="n">
        <v>2025</v>
      </c>
      <c r="AC2" s="261" t="inlineStr">
        <is>
          <t>1Q26</t>
        </is>
      </c>
      <c r="AD2" s="261" t="inlineStr">
        <is>
          <t>2Q26</t>
        </is>
      </c>
      <c r="AE2" s="263" t="inlineStr">
        <is>
          <t>3Q26</t>
        </is>
      </c>
      <c r="AF2" s="263" t="inlineStr">
        <is>
          <t>4Q26</t>
        </is>
      </c>
      <c r="AG2" s="264" t="n">
        <v>2026</v>
      </c>
      <c r="AH2" s="261" t="inlineStr">
        <is>
          <t>1Q20</t>
        </is>
      </c>
      <c r="AI2" s="261" t="inlineStr">
        <is>
          <t>2Q20</t>
        </is>
      </c>
      <c r="AJ2" s="261" t="inlineStr">
        <is>
          <t>3Q20</t>
        </is>
      </c>
      <c r="AK2" s="261" t="inlineStr">
        <is>
          <t>4Q20</t>
        </is>
      </c>
      <c r="AL2" s="262" t="n">
        <v>2020</v>
      </c>
      <c r="AN2" s="260" t="inlineStr">
        <is>
          <t>Sem dado na fonte: 3Q26, 4Q26 e 2026 (rotulo em cinza). 2020 fica nas colunas AH-AL.</t>
        </is>
      </c>
    </row>
    <row r="3"/>
    <row r="4" ht="12.75" customHeight="1" s="255">
      <c r="B4" s="265" t="n">
        <v>1</v>
      </c>
      <c r="C4" s="266" t="inlineStr">
        <is>
          <t>Net Revenues</t>
        </is>
      </c>
      <c r="D4" s="267">
        <f>IF(ISNA(MATCH(D$2,Inputs!$K$4:$AJ$4,0)),NA(),IF(SUMPRODUCT((Inputs!$A$5:$A$110=$B4)*ISNUMBER(INDEX(Inputs!$K$5:$AJ$110,0,MATCH(D$2,Inputs!$K$4:$AJ$4,0))))+SUMPRODUCT((Inputs!$C$5:$C$110=$B4)*ISNUMBER(INDEX(Inputs!$K$5:$AJ$110,0,MATCH(D$2,Inputs!$K$4:$AJ$4,0))))+SUMPRODUCT((Inputs!$E$5:$E$110=$B4)*ISNUMBER(INDEX(Inputs!$K$5:$AJ$110,0,MATCH(D$2,Inputs!$K$4:$AJ$4,0))))=0,NA(),SUMPRODUCT((Inputs!$A$5:$A$110=$B4)*Inputs!$B$5:$B$110*(((Inputs!$G$5:$G$110="moeda")+(Inputs!$G$5:$G$110="acoes"))*Inputs!$B$1+((Inputs!$G$5:$G$110&lt;&gt;"moeda")*(Inputs!$G$5:$G$110&lt;&gt;"acoes")))*INDEX(Inputs!$K$5:$AJ$110,0,MATCH(D$2,Inputs!$K$4:$AJ$4,0)))+SUMPRODUCT((Inputs!$C$5:$C$110=$B4)*Inputs!$D$5:$D$110*(((Inputs!$G$5:$G$110="moeda")+(Inputs!$G$5:$G$110="acoes"))*Inputs!$B$1+((Inputs!$G$5:$G$110&lt;&gt;"moeda")*(Inputs!$G$5:$G$110&lt;&gt;"acoes")))*INDEX(Inputs!$K$5:$AJ$110,0,MATCH(D$2,Inputs!$K$4:$AJ$4,0)))+SUMPRODUCT((Inputs!$E$5:$E$110=$B4)*Inputs!$F$5:$F$110*(((Inputs!$G$5:$G$110="moeda")+(Inputs!$G$5:$G$110="acoes"))*Inputs!$B$1+((Inputs!$G$5:$G$110&lt;&gt;"moeda")*(Inputs!$G$5:$G$110&lt;&gt;"acoes")))*INDEX(Inputs!$K$5:$AJ$110,0,MATCH(D$2,Inputs!$K$4:$AJ$4,0)))))</f>
        <v>44769</v>
      </c>
      <c r="E4" s="267">
        <f>IF(ISNA(MATCH(E$2,Inputs!$K$4:$AJ$4,0)),NA(),IF(SUMPRODUCT((Inputs!$A$5:$A$110=$B4)*ISNUMBER(INDEX(Inputs!$K$5:$AJ$110,0,MATCH(E$2,Inputs!$K$4:$AJ$4,0))))+SUMPRODUCT((Inputs!$C$5:$C$110=$B4)*ISNUMBER(INDEX(Inputs!$K$5:$AJ$110,0,MATCH(E$2,Inputs!$K$4:$AJ$4,0))))+SUMPRODUCT((Inputs!$E$5:$E$110=$B4)*ISNUMBER(INDEX(Inputs!$K$5:$AJ$110,0,MATCH(E$2,Inputs!$K$4:$AJ$4,0))))=0,NA(),SUMPRODUCT((Inputs!$A$5:$A$110=$B4)*Inputs!$B$5:$B$110*(((Inputs!$G$5:$G$110="moeda")+(Inputs!$G$5:$G$110="acoes"))*Inputs!$B$1+((Inputs!$G$5:$G$110&lt;&gt;"moeda")*(Inputs!$G$5:$G$110&lt;&gt;"acoes")))*INDEX(Inputs!$K$5:$AJ$110,0,MATCH(E$2,Inputs!$K$4:$AJ$4,0)))+SUMPRODUCT((Inputs!$C$5:$C$110=$B4)*Inputs!$D$5:$D$110*(((Inputs!$G$5:$G$110="moeda")+(Inputs!$G$5:$G$110="acoes"))*Inputs!$B$1+((Inputs!$G$5:$G$110&lt;&gt;"moeda")*(Inputs!$G$5:$G$110&lt;&gt;"acoes")))*INDEX(Inputs!$K$5:$AJ$110,0,MATCH(E$2,Inputs!$K$4:$AJ$4,0)))+SUMPRODUCT((Inputs!$E$5:$E$110=$B4)*Inputs!$F$5:$F$110*(((Inputs!$G$5:$G$110="moeda")+(Inputs!$G$5:$G$110="acoes"))*Inputs!$B$1+((Inputs!$G$5:$G$110&lt;&gt;"moeda")*(Inputs!$G$5:$G$110&lt;&gt;"acoes")))*INDEX(Inputs!$K$5:$AJ$110,0,MATCH(E$2,Inputs!$K$4:$AJ$4,0)))))</f>
        <v>45277</v>
      </c>
      <c r="F4" s="267">
        <f>IF(ISNA(MATCH(F$2,Inputs!$K$4:$AJ$4,0)),NA(),IF(SUMPRODUCT((Inputs!$A$5:$A$110=$B4)*ISNUMBER(INDEX(Inputs!$K$5:$AJ$110,0,MATCH(F$2,Inputs!$K$4:$AJ$4,0))))+SUMPRODUCT((Inputs!$C$5:$C$110=$B4)*ISNUMBER(INDEX(Inputs!$K$5:$AJ$110,0,MATCH(F$2,Inputs!$K$4:$AJ$4,0))))+SUMPRODUCT((Inputs!$E$5:$E$110=$B4)*ISNUMBER(INDEX(Inputs!$K$5:$AJ$110,0,MATCH(F$2,Inputs!$K$4:$AJ$4,0))))=0,NA(),SUMPRODUCT((Inputs!$A$5:$A$110=$B4)*Inputs!$B$5:$B$110*(((Inputs!$G$5:$G$110="moeda")+(Inputs!$G$5:$G$110="acoes"))*Inputs!$B$1+((Inputs!$G$5:$G$110&lt;&gt;"moeda")*(Inputs!$G$5:$G$110&lt;&gt;"acoes")))*INDEX(Inputs!$K$5:$AJ$110,0,MATCH(F$2,Inputs!$K$4:$AJ$4,0)))+SUMPRODUCT((Inputs!$C$5:$C$110=$B4)*Inputs!$D$5:$D$110*(((Inputs!$G$5:$G$110="moeda")+(Inputs!$G$5:$G$110="acoes"))*Inputs!$B$1+((Inputs!$G$5:$G$110&lt;&gt;"moeda")*(Inputs!$G$5:$G$110&lt;&gt;"acoes")))*INDEX(Inputs!$K$5:$AJ$110,0,MATCH(F$2,Inputs!$K$4:$AJ$4,0)))+SUMPRODUCT((Inputs!$E$5:$E$110=$B4)*Inputs!$F$5:$F$110*(((Inputs!$G$5:$G$110="moeda")+(Inputs!$G$5:$G$110="acoes"))*Inputs!$B$1+((Inputs!$G$5:$G$110&lt;&gt;"moeda")*(Inputs!$G$5:$G$110&lt;&gt;"acoes")))*INDEX(Inputs!$K$5:$AJ$110,0,MATCH(F$2,Inputs!$K$4:$AJ$4,0)))))</f>
        <v>62675</v>
      </c>
      <c r="G4" s="267">
        <f>IF(ISNA(MATCH(G$2,Inputs!$K$4:$AJ$4,0)),NA(),IF(SUMPRODUCT((Inputs!$A$5:$A$110=$B4)*ISNUMBER(INDEX(Inputs!$K$5:$AJ$110,0,MATCH(G$2,Inputs!$K$4:$AJ$4,0))))+SUMPRODUCT((Inputs!$C$5:$C$110=$B4)*ISNUMBER(INDEX(Inputs!$K$5:$AJ$110,0,MATCH(G$2,Inputs!$K$4:$AJ$4,0))))+SUMPRODUCT((Inputs!$E$5:$E$110=$B4)*ISNUMBER(INDEX(Inputs!$K$5:$AJ$110,0,MATCH(G$2,Inputs!$K$4:$AJ$4,0))))=0,NA(),SUMPRODUCT((Inputs!$A$5:$A$110=$B4)*Inputs!$B$5:$B$110*(((Inputs!$G$5:$G$110="moeda")+(Inputs!$G$5:$G$110="acoes"))*Inputs!$B$1+((Inputs!$G$5:$G$110&lt;&gt;"moeda")*(Inputs!$G$5:$G$110&lt;&gt;"acoes")))*INDEX(Inputs!$K$5:$AJ$110,0,MATCH(G$2,Inputs!$K$4:$AJ$4,0)))+SUMPRODUCT((Inputs!$C$5:$C$110=$B4)*Inputs!$D$5:$D$110*(((Inputs!$G$5:$G$110="moeda")+(Inputs!$G$5:$G$110="acoes"))*Inputs!$B$1+((Inputs!$G$5:$G$110&lt;&gt;"moeda")*(Inputs!$G$5:$G$110&lt;&gt;"acoes")))*INDEX(Inputs!$K$5:$AJ$110,0,MATCH(G$2,Inputs!$K$4:$AJ$4,0)))+SUMPRODUCT((Inputs!$E$5:$E$110=$B4)*Inputs!$F$5:$F$110*(((Inputs!$G$5:$G$110="moeda")+(Inputs!$G$5:$G$110="acoes"))*Inputs!$B$1+((Inputs!$G$5:$G$110&lt;&gt;"moeda")*(Inputs!$G$5:$G$110&lt;&gt;"acoes")))*INDEX(Inputs!$K$5:$AJ$110,0,MATCH(G$2,Inputs!$K$4:$AJ$4,0)))))</f>
        <v>50363</v>
      </c>
      <c r="H4" s="268">
        <f>SUM(D4:G4)</f>
        <v>203084</v>
      </c>
      <c r="I4" s="267">
        <f>IF(ISNA(MATCH(I$2,Inputs!$K$4:$AJ$4,0)),NA(),IF(SUMPRODUCT((Inputs!$A$5:$A$110=$B4)*ISNUMBER(INDEX(Inputs!$K$5:$AJ$110,0,MATCH(I$2,Inputs!$K$4:$AJ$4,0))))+SUMPRODUCT((Inputs!$C$5:$C$110=$B4)*ISNUMBER(INDEX(Inputs!$K$5:$AJ$110,0,MATCH(I$2,Inputs!$K$4:$AJ$4,0))))+SUMPRODUCT((Inputs!$E$5:$E$110=$B4)*ISNUMBER(INDEX(Inputs!$K$5:$AJ$110,0,MATCH(I$2,Inputs!$K$4:$AJ$4,0))))=0,NA(),SUMPRODUCT((Inputs!$A$5:$A$110=$B4)*Inputs!$B$5:$B$110*(((Inputs!$G$5:$G$110="moeda")+(Inputs!$G$5:$G$110="acoes"))*Inputs!$B$1+((Inputs!$G$5:$G$110&lt;&gt;"moeda")*(Inputs!$G$5:$G$110&lt;&gt;"acoes")))*INDEX(Inputs!$K$5:$AJ$110,0,MATCH(I$2,Inputs!$K$4:$AJ$4,0)))+SUMPRODUCT((Inputs!$C$5:$C$110=$B4)*Inputs!$D$5:$D$110*(((Inputs!$G$5:$G$110="moeda")+(Inputs!$G$5:$G$110="acoes"))*Inputs!$B$1+((Inputs!$G$5:$G$110&lt;&gt;"moeda")*(Inputs!$G$5:$G$110&lt;&gt;"acoes")))*INDEX(Inputs!$K$5:$AJ$110,0,MATCH(I$2,Inputs!$K$4:$AJ$4,0)))+SUMPRODUCT((Inputs!$E$5:$E$110=$B4)*Inputs!$F$5:$F$110*(((Inputs!$G$5:$G$110="moeda")+(Inputs!$G$5:$G$110="acoes"))*Inputs!$B$1+((Inputs!$G$5:$G$110&lt;&gt;"moeda")*(Inputs!$G$5:$G$110&lt;&gt;"acoes")))*INDEX(Inputs!$K$5:$AJ$110,0,MATCH(I$2,Inputs!$K$4:$AJ$4,0)))))</f>
        <v>51904</v>
      </c>
      <c r="J4" s="267">
        <f>IF(ISNA(MATCH(J$2,Inputs!$K$4:$AJ$4,0)),NA(),IF(SUMPRODUCT((Inputs!$A$5:$A$110=$B4)*ISNUMBER(INDEX(Inputs!$K$5:$AJ$110,0,MATCH(J$2,Inputs!$K$4:$AJ$4,0))))+SUMPRODUCT((Inputs!$C$5:$C$110=$B4)*ISNUMBER(INDEX(Inputs!$K$5:$AJ$110,0,MATCH(J$2,Inputs!$K$4:$AJ$4,0))))+SUMPRODUCT((Inputs!$E$5:$E$110=$B4)*ISNUMBER(INDEX(Inputs!$K$5:$AJ$110,0,MATCH(J$2,Inputs!$K$4:$AJ$4,0))))=0,NA(),SUMPRODUCT((Inputs!$A$5:$A$110=$B4)*Inputs!$B$5:$B$110*(((Inputs!$G$5:$G$110="moeda")+(Inputs!$G$5:$G$110="acoes"))*Inputs!$B$1+((Inputs!$G$5:$G$110&lt;&gt;"moeda")*(Inputs!$G$5:$G$110&lt;&gt;"acoes")))*INDEX(Inputs!$K$5:$AJ$110,0,MATCH(J$2,Inputs!$K$4:$AJ$4,0)))+SUMPRODUCT((Inputs!$C$5:$C$110=$B4)*Inputs!$D$5:$D$110*(((Inputs!$G$5:$G$110="moeda")+(Inputs!$G$5:$G$110="acoes"))*Inputs!$B$1+((Inputs!$G$5:$G$110&lt;&gt;"moeda")*(Inputs!$G$5:$G$110&lt;&gt;"acoes")))*INDEX(Inputs!$K$5:$AJ$110,0,MATCH(J$2,Inputs!$K$4:$AJ$4,0)))+SUMPRODUCT((Inputs!$E$5:$E$110=$B4)*Inputs!$F$5:$F$110*(((Inputs!$G$5:$G$110="moeda")+(Inputs!$G$5:$G$110="acoes"))*Inputs!$B$1+((Inputs!$G$5:$G$110&lt;&gt;"moeda")*(Inputs!$G$5:$G$110&lt;&gt;"acoes")))*INDEX(Inputs!$K$5:$AJ$110,0,MATCH(J$2,Inputs!$K$4:$AJ$4,0)))))</f>
        <v>52596</v>
      </c>
      <c r="K4" s="267">
        <f>IF(ISNA(MATCH(K$2,Inputs!$K$4:$AJ$4,0)),NA(),IF(SUMPRODUCT((Inputs!$A$5:$A$110=$B4)*ISNUMBER(INDEX(Inputs!$K$5:$AJ$110,0,MATCH(K$2,Inputs!$K$4:$AJ$4,0))))+SUMPRODUCT((Inputs!$C$5:$C$110=$B4)*ISNUMBER(INDEX(Inputs!$K$5:$AJ$110,0,MATCH(K$2,Inputs!$K$4:$AJ$4,0))))+SUMPRODUCT((Inputs!$E$5:$E$110=$B4)*ISNUMBER(INDEX(Inputs!$K$5:$AJ$110,0,MATCH(K$2,Inputs!$K$4:$AJ$4,0))))=0,NA(),SUMPRODUCT((Inputs!$A$5:$A$110=$B4)*Inputs!$B$5:$B$110*(((Inputs!$G$5:$G$110="moeda")+(Inputs!$G$5:$G$110="acoes"))*Inputs!$B$1+((Inputs!$G$5:$G$110&lt;&gt;"moeda")*(Inputs!$G$5:$G$110&lt;&gt;"acoes")))*INDEX(Inputs!$K$5:$AJ$110,0,MATCH(K$2,Inputs!$K$4:$AJ$4,0)))+SUMPRODUCT((Inputs!$C$5:$C$110=$B4)*Inputs!$D$5:$D$110*(((Inputs!$G$5:$G$110="moeda")+(Inputs!$G$5:$G$110="acoes"))*Inputs!$B$1+((Inputs!$G$5:$G$110&lt;&gt;"moeda")*(Inputs!$G$5:$G$110&lt;&gt;"acoes")))*INDEX(Inputs!$K$5:$AJ$110,0,MATCH(K$2,Inputs!$K$4:$AJ$4,0)))+SUMPRODUCT((Inputs!$E$5:$E$110=$B4)*Inputs!$F$5:$F$110*(((Inputs!$G$5:$G$110="moeda")+(Inputs!$G$5:$G$110="acoes"))*Inputs!$B$1+((Inputs!$G$5:$G$110&lt;&gt;"moeda")*(Inputs!$G$5:$G$110&lt;&gt;"acoes")))*INDEX(Inputs!$K$5:$AJ$110,0,MATCH(K$2,Inputs!$K$4:$AJ$4,0)))))</f>
        <v>72091</v>
      </c>
      <c r="L4" s="267">
        <f>IF(ISNA(MATCH(L$2,Inputs!$K$4:$AJ$4,0)),NA(),IF(SUMPRODUCT((Inputs!$A$5:$A$110=$B4)*ISNUMBER(INDEX(Inputs!$K$5:$AJ$110,0,MATCH(L$2,Inputs!$K$4:$AJ$4,0))))+SUMPRODUCT((Inputs!$C$5:$C$110=$B4)*ISNUMBER(INDEX(Inputs!$K$5:$AJ$110,0,MATCH(L$2,Inputs!$K$4:$AJ$4,0))))+SUMPRODUCT((Inputs!$E$5:$E$110=$B4)*ISNUMBER(INDEX(Inputs!$K$5:$AJ$110,0,MATCH(L$2,Inputs!$K$4:$AJ$4,0))))=0,NA(),SUMPRODUCT((Inputs!$A$5:$A$110=$B4)*Inputs!$B$5:$B$110*(((Inputs!$G$5:$G$110="moeda")+(Inputs!$G$5:$G$110="acoes"))*Inputs!$B$1+((Inputs!$G$5:$G$110&lt;&gt;"moeda")*(Inputs!$G$5:$G$110&lt;&gt;"acoes")))*INDEX(Inputs!$K$5:$AJ$110,0,MATCH(L$2,Inputs!$K$4:$AJ$4,0)))+SUMPRODUCT((Inputs!$C$5:$C$110=$B4)*Inputs!$D$5:$D$110*(((Inputs!$G$5:$G$110="moeda")+(Inputs!$G$5:$G$110="acoes"))*Inputs!$B$1+((Inputs!$G$5:$G$110&lt;&gt;"moeda")*(Inputs!$G$5:$G$110&lt;&gt;"acoes")))*INDEX(Inputs!$K$5:$AJ$110,0,MATCH(L$2,Inputs!$K$4:$AJ$4,0)))+SUMPRODUCT((Inputs!$E$5:$E$110=$B4)*Inputs!$F$5:$F$110*(((Inputs!$G$5:$G$110="moeda")+(Inputs!$G$5:$G$110="acoes"))*Inputs!$B$1+((Inputs!$G$5:$G$110&lt;&gt;"moeda")*(Inputs!$G$5:$G$110&lt;&gt;"acoes")))*INDEX(Inputs!$K$5:$AJ$110,0,MATCH(L$2,Inputs!$K$4:$AJ$4,0)))))</f>
        <v>54437</v>
      </c>
      <c r="M4" s="268">
        <f>SUM(I4:L4)</f>
        <v>231028</v>
      </c>
      <c r="N4" s="267">
        <f>IF(ISNA(MATCH(N$2,Inputs!$K$4:$AJ$4,0)),NA(),IF(SUMPRODUCT((Inputs!$A$5:$A$110=$B4)*ISNUMBER(INDEX(Inputs!$K$5:$AJ$110,0,MATCH(N$2,Inputs!$K$4:$AJ$4,0))))+SUMPRODUCT((Inputs!$C$5:$C$110=$B4)*ISNUMBER(INDEX(Inputs!$K$5:$AJ$110,0,MATCH(N$2,Inputs!$K$4:$AJ$4,0))))+SUMPRODUCT((Inputs!$E$5:$E$110=$B4)*ISNUMBER(INDEX(Inputs!$K$5:$AJ$110,0,MATCH(N$2,Inputs!$K$4:$AJ$4,0))))=0,NA(),SUMPRODUCT((Inputs!$A$5:$A$110=$B4)*Inputs!$B$5:$B$110*(((Inputs!$G$5:$G$110="moeda")+(Inputs!$G$5:$G$110="acoes"))*Inputs!$B$1+((Inputs!$G$5:$G$110&lt;&gt;"moeda")*(Inputs!$G$5:$G$110&lt;&gt;"acoes")))*INDEX(Inputs!$K$5:$AJ$110,0,MATCH(N$2,Inputs!$K$4:$AJ$4,0)))+SUMPRODUCT((Inputs!$C$5:$C$110=$B4)*Inputs!$D$5:$D$110*(((Inputs!$G$5:$G$110="moeda")+(Inputs!$G$5:$G$110="acoes"))*Inputs!$B$1+((Inputs!$G$5:$G$110&lt;&gt;"moeda")*(Inputs!$G$5:$G$110&lt;&gt;"acoes")))*INDEX(Inputs!$K$5:$AJ$110,0,MATCH(N$2,Inputs!$K$4:$AJ$4,0)))+SUMPRODUCT((Inputs!$E$5:$E$110=$B4)*Inputs!$F$5:$F$110*(((Inputs!$G$5:$G$110="moeda")+(Inputs!$G$5:$G$110="acoes"))*Inputs!$B$1+((Inputs!$G$5:$G$110&lt;&gt;"moeda")*(Inputs!$G$5:$G$110&lt;&gt;"acoes")))*INDEX(Inputs!$K$5:$AJ$110,0,MATCH(N$2,Inputs!$K$4:$AJ$4,0)))))</f>
        <v>55266</v>
      </c>
      <c r="O4" s="267">
        <f>IF(ISNA(MATCH(O$2,Inputs!$K$4:$AJ$4,0)),NA(),IF(SUMPRODUCT((Inputs!$A$5:$A$110=$B4)*ISNUMBER(INDEX(Inputs!$K$5:$AJ$110,0,MATCH(O$2,Inputs!$K$4:$AJ$4,0))))+SUMPRODUCT((Inputs!$C$5:$C$110=$B4)*ISNUMBER(INDEX(Inputs!$K$5:$AJ$110,0,MATCH(O$2,Inputs!$K$4:$AJ$4,0))))+SUMPRODUCT((Inputs!$E$5:$E$110=$B4)*ISNUMBER(INDEX(Inputs!$K$5:$AJ$110,0,MATCH(O$2,Inputs!$K$4:$AJ$4,0))))=0,NA(),SUMPRODUCT((Inputs!$A$5:$A$110=$B4)*Inputs!$B$5:$B$110*(((Inputs!$G$5:$G$110="moeda")+(Inputs!$G$5:$G$110="acoes"))*Inputs!$B$1+((Inputs!$G$5:$G$110&lt;&gt;"moeda")*(Inputs!$G$5:$G$110&lt;&gt;"acoes")))*INDEX(Inputs!$K$5:$AJ$110,0,MATCH(O$2,Inputs!$K$4:$AJ$4,0)))+SUMPRODUCT((Inputs!$C$5:$C$110=$B4)*Inputs!$D$5:$D$110*(((Inputs!$G$5:$G$110="moeda")+(Inputs!$G$5:$G$110="acoes"))*Inputs!$B$1+((Inputs!$G$5:$G$110&lt;&gt;"moeda")*(Inputs!$G$5:$G$110&lt;&gt;"acoes")))*INDEX(Inputs!$K$5:$AJ$110,0,MATCH(O$2,Inputs!$K$4:$AJ$4,0)))+SUMPRODUCT((Inputs!$E$5:$E$110=$B4)*Inputs!$F$5:$F$110*(((Inputs!$G$5:$G$110="moeda")+(Inputs!$G$5:$G$110="acoes"))*Inputs!$B$1+((Inputs!$G$5:$G$110&lt;&gt;"moeda")*(Inputs!$G$5:$G$110&lt;&gt;"acoes")))*INDEX(Inputs!$K$5:$AJ$110,0,MATCH(O$2,Inputs!$K$4:$AJ$4,0)))))</f>
        <v>53648</v>
      </c>
      <c r="P4" s="267">
        <f>IF(ISNA(MATCH(P$2,Inputs!$K$4:$AJ$4,0)),NA(),IF(SUMPRODUCT((Inputs!$A$5:$A$110=$B4)*ISNUMBER(INDEX(Inputs!$K$5:$AJ$110,0,MATCH(P$2,Inputs!$K$4:$AJ$4,0))))+SUMPRODUCT((Inputs!$C$5:$C$110=$B4)*ISNUMBER(INDEX(Inputs!$K$5:$AJ$110,0,MATCH(P$2,Inputs!$K$4:$AJ$4,0))))+SUMPRODUCT((Inputs!$E$5:$E$110=$B4)*ISNUMBER(INDEX(Inputs!$K$5:$AJ$110,0,MATCH(P$2,Inputs!$K$4:$AJ$4,0))))=0,NA(),SUMPRODUCT((Inputs!$A$5:$A$110=$B4)*Inputs!$B$5:$B$110*(((Inputs!$G$5:$G$110="moeda")+(Inputs!$G$5:$G$110="acoes"))*Inputs!$B$1+((Inputs!$G$5:$G$110&lt;&gt;"moeda")*(Inputs!$G$5:$G$110&lt;&gt;"acoes")))*INDEX(Inputs!$K$5:$AJ$110,0,MATCH(P$2,Inputs!$K$4:$AJ$4,0)))+SUMPRODUCT((Inputs!$C$5:$C$110=$B4)*Inputs!$D$5:$D$110*(((Inputs!$G$5:$G$110="moeda")+(Inputs!$G$5:$G$110="acoes"))*Inputs!$B$1+((Inputs!$G$5:$G$110&lt;&gt;"moeda")*(Inputs!$G$5:$G$110&lt;&gt;"acoes")))*INDEX(Inputs!$K$5:$AJ$110,0,MATCH(P$2,Inputs!$K$4:$AJ$4,0)))+SUMPRODUCT((Inputs!$E$5:$E$110=$B4)*Inputs!$F$5:$F$110*(((Inputs!$G$5:$G$110="moeda")+(Inputs!$G$5:$G$110="acoes"))*Inputs!$B$1+((Inputs!$G$5:$G$110&lt;&gt;"moeda")*(Inputs!$G$5:$G$110&lt;&gt;"acoes")))*INDEX(Inputs!$K$5:$AJ$110,0,MATCH(P$2,Inputs!$K$4:$AJ$4,0)))))</f>
        <v>78939</v>
      </c>
      <c r="Q4" s="267">
        <f>IF(ISNA(MATCH(Q$2,Inputs!$K$4:$AJ$4,0)),NA(),IF(SUMPRODUCT((Inputs!$A$5:$A$110=$B4)*ISNUMBER(INDEX(Inputs!$K$5:$AJ$110,0,MATCH(Q$2,Inputs!$K$4:$AJ$4,0))))+SUMPRODUCT((Inputs!$C$5:$C$110=$B4)*ISNUMBER(INDEX(Inputs!$K$5:$AJ$110,0,MATCH(Q$2,Inputs!$K$4:$AJ$4,0))))+SUMPRODUCT((Inputs!$E$5:$E$110=$B4)*ISNUMBER(INDEX(Inputs!$K$5:$AJ$110,0,MATCH(Q$2,Inputs!$K$4:$AJ$4,0))))=0,NA(),SUMPRODUCT((Inputs!$A$5:$A$110=$B4)*Inputs!$B$5:$B$110*(((Inputs!$G$5:$G$110="moeda")+(Inputs!$G$5:$G$110="acoes"))*Inputs!$B$1+((Inputs!$G$5:$G$110&lt;&gt;"moeda")*(Inputs!$G$5:$G$110&lt;&gt;"acoes")))*INDEX(Inputs!$K$5:$AJ$110,0,MATCH(Q$2,Inputs!$K$4:$AJ$4,0)))+SUMPRODUCT((Inputs!$C$5:$C$110=$B4)*Inputs!$D$5:$D$110*(((Inputs!$G$5:$G$110="moeda")+(Inputs!$G$5:$G$110="acoes"))*Inputs!$B$1+((Inputs!$G$5:$G$110&lt;&gt;"moeda")*(Inputs!$G$5:$G$110&lt;&gt;"acoes")))*INDEX(Inputs!$K$5:$AJ$110,0,MATCH(Q$2,Inputs!$K$4:$AJ$4,0)))+SUMPRODUCT((Inputs!$E$5:$E$110=$B4)*Inputs!$F$5:$F$110*(((Inputs!$G$5:$G$110="moeda")+(Inputs!$G$5:$G$110="acoes"))*Inputs!$B$1+((Inputs!$G$5:$G$110&lt;&gt;"moeda")*(Inputs!$G$5:$G$110&lt;&gt;"acoes")))*INDEX(Inputs!$K$5:$AJ$110,0,MATCH(Q$2,Inputs!$K$4:$AJ$4,0)))))</f>
        <v>57799</v>
      </c>
      <c r="R4" s="268">
        <f>SUM(N4:Q4)</f>
        <v>245652</v>
      </c>
      <c r="S4" s="267">
        <f>IF(ISNA(MATCH(S$2,Inputs!$K$4:$AJ$4,0)),NA(),IF(SUMPRODUCT((Inputs!$A$5:$A$110=$B4)*ISNUMBER(INDEX(Inputs!$K$5:$AJ$110,0,MATCH(S$2,Inputs!$K$4:$AJ$4,0))))+SUMPRODUCT((Inputs!$C$5:$C$110=$B4)*ISNUMBER(INDEX(Inputs!$K$5:$AJ$110,0,MATCH(S$2,Inputs!$K$4:$AJ$4,0))))+SUMPRODUCT((Inputs!$E$5:$E$110=$B4)*ISNUMBER(INDEX(Inputs!$K$5:$AJ$110,0,MATCH(S$2,Inputs!$K$4:$AJ$4,0))))=0,NA(),SUMPRODUCT((Inputs!$A$5:$A$110=$B4)*Inputs!$B$5:$B$110*(((Inputs!$G$5:$G$110="moeda")+(Inputs!$G$5:$G$110="acoes"))*Inputs!$B$1+((Inputs!$G$5:$G$110&lt;&gt;"moeda")*(Inputs!$G$5:$G$110&lt;&gt;"acoes")))*INDEX(Inputs!$K$5:$AJ$110,0,MATCH(S$2,Inputs!$K$4:$AJ$4,0)))+SUMPRODUCT((Inputs!$C$5:$C$110=$B4)*Inputs!$D$5:$D$110*(((Inputs!$G$5:$G$110="moeda")+(Inputs!$G$5:$G$110="acoes"))*Inputs!$B$1+((Inputs!$G$5:$G$110&lt;&gt;"moeda")*(Inputs!$G$5:$G$110&lt;&gt;"acoes")))*INDEX(Inputs!$K$5:$AJ$110,0,MATCH(S$2,Inputs!$K$4:$AJ$4,0)))+SUMPRODUCT((Inputs!$E$5:$E$110=$B4)*Inputs!$F$5:$F$110*(((Inputs!$G$5:$G$110="moeda")+(Inputs!$G$5:$G$110="acoes"))*Inputs!$B$1+((Inputs!$G$5:$G$110&lt;&gt;"moeda")*(Inputs!$G$5:$G$110&lt;&gt;"acoes")))*INDEX(Inputs!$K$5:$AJ$110,0,MATCH(S$2,Inputs!$K$4:$AJ$4,0)))))</f>
        <v>58442</v>
      </c>
      <c r="T4" s="267">
        <f>IF(ISNA(MATCH(T$2,Inputs!$K$4:$AJ$4,0)),NA(),IF(SUMPRODUCT((Inputs!$A$5:$A$110=$B4)*ISNUMBER(INDEX(Inputs!$K$5:$AJ$110,0,MATCH(T$2,Inputs!$K$4:$AJ$4,0))))+SUMPRODUCT((Inputs!$C$5:$C$110=$B4)*ISNUMBER(INDEX(Inputs!$K$5:$AJ$110,0,MATCH(T$2,Inputs!$K$4:$AJ$4,0))))+SUMPRODUCT((Inputs!$E$5:$E$110=$B4)*ISNUMBER(INDEX(Inputs!$K$5:$AJ$110,0,MATCH(T$2,Inputs!$K$4:$AJ$4,0))))=0,NA(),SUMPRODUCT((Inputs!$A$5:$A$110=$B4)*Inputs!$B$5:$B$110*(((Inputs!$G$5:$G$110="moeda")+(Inputs!$G$5:$G$110="acoes"))*Inputs!$B$1+((Inputs!$G$5:$G$110&lt;&gt;"moeda")*(Inputs!$G$5:$G$110&lt;&gt;"acoes")))*INDEX(Inputs!$K$5:$AJ$110,0,MATCH(T$2,Inputs!$K$4:$AJ$4,0)))+SUMPRODUCT((Inputs!$C$5:$C$110=$B4)*Inputs!$D$5:$D$110*(((Inputs!$G$5:$G$110="moeda")+(Inputs!$G$5:$G$110="acoes"))*Inputs!$B$1+((Inputs!$G$5:$G$110&lt;&gt;"moeda")*(Inputs!$G$5:$G$110&lt;&gt;"acoes")))*INDEX(Inputs!$K$5:$AJ$110,0,MATCH(T$2,Inputs!$K$4:$AJ$4,0)))+SUMPRODUCT((Inputs!$E$5:$E$110=$B4)*Inputs!$F$5:$F$110*(((Inputs!$G$5:$G$110="moeda")+(Inputs!$G$5:$G$110="acoes"))*Inputs!$B$1+((Inputs!$G$5:$G$110&lt;&gt;"moeda")*(Inputs!$G$5:$G$110&lt;&gt;"acoes")))*INDEX(Inputs!$K$5:$AJ$110,0,MATCH(T$2,Inputs!$K$4:$AJ$4,0)))))</f>
        <v>58515</v>
      </c>
      <c r="U4" s="267">
        <f>IF(ISNA(MATCH(U$2,Inputs!$K$4:$AJ$4,0)),NA(),IF(SUMPRODUCT((Inputs!$A$5:$A$110=$B4)*ISNUMBER(INDEX(Inputs!$K$5:$AJ$110,0,MATCH(U$2,Inputs!$K$4:$AJ$4,0))))+SUMPRODUCT((Inputs!$C$5:$C$110=$B4)*ISNUMBER(INDEX(Inputs!$K$5:$AJ$110,0,MATCH(U$2,Inputs!$K$4:$AJ$4,0))))+SUMPRODUCT((Inputs!$E$5:$E$110=$B4)*ISNUMBER(INDEX(Inputs!$K$5:$AJ$110,0,MATCH(U$2,Inputs!$K$4:$AJ$4,0))))=0,NA(),SUMPRODUCT((Inputs!$A$5:$A$110=$B4)*Inputs!$B$5:$B$110*(((Inputs!$G$5:$G$110="moeda")+(Inputs!$G$5:$G$110="acoes"))*Inputs!$B$1+((Inputs!$G$5:$G$110&lt;&gt;"moeda")*(Inputs!$G$5:$G$110&lt;&gt;"acoes")))*INDEX(Inputs!$K$5:$AJ$110,0,MATCH(U$2,Inputs!$K$4:$AJ$4,0)))+SUMPRODUCT((Inputs!$C$5:$C$110=$B4)*Inputs!$D$5:$D$110*(((Inputs!$G$5:$G$110="moeda")+(Inputs!$G$5:$G$110="acoes"))*Inputs!$B$1+((Inputs!$G$5:$G$110&lt;&gt;"moeda")*(Inputs!$G$5:$G$110&lt;&gt;"acoes")))*INDEX(Inputs!$K$5:$AJ$110,0,MATCH(U$2,Inputs!$K$4:$AJ$4,0)))+SUMPRODUCT((Inputs!$E$5:$E$110=$B4)*Inputs!$F$5:$F$110*(((Inputs!$G$5:$G$110="moeda")+(Inputs!$G$5:$G$110="acoes"))*Inputs!$B$1+((Inputs!$G$5:$G$110&lt;&gt;"moeda")*(Inputs!$G$5:$G$110&lt;&gt;"acoes")))*INDEX(Inputs!$K$5:$AJ$110,0,MATCH(U$2,Inputs!$K$4:$AJ$4,0)))))</f>
        <v>79697</v>
      </c>
      <c r="V4" s="267">
        <f>IF(ISNA(MATCH(V$2,Inputs!$K$4:$AJ$4,0)),NA(),IF(SUMPRODUCT((Inputs!$A$5:$A$110=$B4)*ISNUMBER(INDEX(Inputs!$K$5:$AJ$110,0,MATCH(V$2,Inputs!$K$4:$AJ$4,0))))+SUMPRODUCT((Inputs!$C$5:$C$110=$B4)*ISNUMBER(INDEX(Inputs!$K$5:$AJ$110,0,MATCH(V$2,Inputs!$K$4:$AJ$4,0))))+SUMPRODUCT((Inputs!$E$5:$E$110=$B4)*ISNUMBER(INDEX(Inputs!$K$5:$AJ$110,0,MATCH(V$2,Inputs!$K$4:$AJ$4,0))))=0,NA(),SUMPRODUCT((Inputs!$A$5:$A$110=$B4)*Inputs!$B$5:$B$110*(((Inputs!$G$5:$G$110="moeda")+(Inputs!$G$5:$G$110="acoes"))*Inputs!$B$1+((Inputs!$G$5:$G$110&lt;&gt;"moeda")*(Inputs!$G$5:$G$110&lt;&gt;"acoes")))*INDEX(Inputs!$K$5:$AJ$110,0,MATCH(V$2,Inputs!$K$4:$AJ$4,0)))+SUMPRODUCT((Inputs!$C$5:$C$110=$B4)*Inputs!$D$5:$D$110*(((Inputs!$G$5:$G$110="moeda")+(Inputs!$G$5:$G$110="acoes"))*Inputs!$B$1+((Inputs!$G$5:$G$110&lt;&gt;"moeda")*(Inputs!$G$5:$G$110&lt;&gt;"acoes")))*INDEX(Inputs!$K$5:$AJ$110,0,MATCH(V$2,Inputs!$K$4:$AJ$4,0)))+SUMPRODUCT((Inputs!$E$5:$E$110=$B4)*Inputs!$F$5:$F$110*(((Inputs!$G$5:$G$110="moeda")+(Inputs!$G$5:$G$110="acoes"))*Inputs!$B$1+((Inputs!$G$5:$G$110&lt;&gt;"moeda")*(Inputs!$G$5:$G$110&lt;&gt;"acoes")))*INDEX(Inputs!$K$5:$AJ$110,0,MATCH(V$2,Inputs!$K$4:$AJ$4,0)))))</f>
        <v>62151</v>
      </c>
      <c r="W4" s="268">
        <f>SUM(S4:V4)</f>
        <v>258805</v>
      </c>
      <c r="X4" s="267">
        <f>IF(ISNA(MATCH(X$2,Inputs!$K$4:$AJ$4,0)),NA(),IF(SUMPRODUCT((Inputs!$A$5:$A$110=$B4)*ISNUMBER(INDEX(Inputs!$K$5:$AJ$110,0,MATCH(X$2,Inputs!$K$4:$AJ$4,0))))+SUMPRODUCT((Inputs!$C$5:$C$110=$B4)*ISNUMBER(INDEX(Inputs!$K$5:$AJ$110,0,MATCH(X$2,Inputs!$K$4:$AJ$4,0))))+SUMPRODUCT((Inputs!$E$5:$E$110=$B4)*ISNUMBER(INDEX(Inputs!$K$5:$AJ$110,0,MATCH(X$2,Inputs!$K$4:$AJ$4,0))))=0,NA(),SUMPRODUCT((Inputs!$A$5:$A$110=$B4)*Inputs!$B$5:$B$110*(((Inputs!$G$5:$G$110="moeda")+(Inputs!$G$5:$G$110="acoes"))*Inputs!$B$1+((Inputs!$G$5:$G$110&lt;&gt;"moeda")*(Inputs!$G$5:$G$110&lt;&gt;"acoes")))*INDEX(Inputs!$K$5:$AJ$110,0,MATCH(X$2,Inputs!$K$4:$AJ$4,0)))+SUMPRODUCT((Inputs!$C$5:$C$110=$B4)*Inputs!$D$5:$D$110*(((Inputs!$G$5:$G$110="moeda")+(Inputs!$G$5:$G$110="acoes"))*Inputs!$B$1+((Inputs!$G$5:$G$110&lt;&gt;"moeda")*(Inputs!$G$5:$G$110&lt;&gt;"acoes")))*INDEX(Inputs!$K$5:$AJ$110,0,MATCH(X$2,Inputs!$K$4:$AJ$4,0)))+SUMPRODUCT((Inputs!$E$5:$E$110=$B4)*Inputs!$F$5:$F$110*(((Inputs!$G$5:$G$110="moeda")+(Inputs!$G$5:$G$110="acoes"))*Inputs!$B$1+((Inputs!$G$5:$G$110&lt;&gt;"moeda")*(Inputs!$G$5:$G$110&lt;&gt;"acoes")))*INDEX(Inputs!$K$5:$AJ$110,0,MATCH(X$2,Inputs!$K$4:$AJ$4,0)))))</f>
        <v>63723</v>
      </c>
      <c r="Y4" s="267">
        <f>IF(ISNA(MATCH(Y$2,Inputs!$K$4:$AJ$4,0)),NA(),IF(SUMPRODUCT((Inputs!$A$5:$A$110=$B4)*ISNUMBER(INDEX(Inputs!$K$5:$AJ$110,0,MATCH(Y$2,Inputs!$K$4:$AJ$4,0))))+SUMPRODUCT((Inputs!$C$5:$C$110=$B4)*ISNUMBER(INDEX(Inputs!$K$5:$AJ$110,0,MATCH(Y$2,Inputs!$K$4:$AJ$4,0))))+SUMPRODUCT((Inputs!$E$5:$E$110=$B4)*ISNUMBER(INDEX(Inputs!$K$5:$AJ$110,0,MATCH(Y$2,Inputs!$K$4:$AJ$4,0))))=0,NA(),SUMPRODUCT((Inputs!$A$5:$A$110=$B4)*Inputs!$B$5:$B$110*(((Inputs!$G$5:$G$110="moeda")+(Inputs!$G$5:$G$110="acoes"))*Inputs!$B$1+((Inputs!$G$5:$G$110&lt;&gt;"moeda")*(Inputs!$G$5:$G$110&lt;&gt;"acoes")))*INDEX(Inputs!$K$5:$AJ$110,0,MATCH(Y$2,Inputs!$K$4:$AJ$4,0)))+SUMPRODUCT((Inputs!$C$5:$C$110=$B4)*Inputs!$D$5:$D$110*(((Inputs!$G$5:$G$110="moeda")+(Inputs!$G$5:$G$110="acoes"))*Inputs!$B$1+((Inputs!$G$5:$G$110&lt;&gt;"moeda")*(Inputs!$G$5:$G$110&lt;&gt;"acoes")))*INDEX(Inputs!$K$5:$AJ$110,0,MATCH(Y$2,Inputs!$K$4:$AJ$4,0)))+SUMPRODUCT((Inputs!$E$5:$E$110=$B4)*Inputs!$F$5:$F$110*(((Inputs!$G$5:$G$110="moeda")+(Inputs!$G$5:$G$110="acoes"))*Inputs!$B$1+((Inputs!$G$5:$G$110&lt;&gt;"moeda")*(Inputs!$G$5:$G$110&lt;&gt;"acoes")))*INDEX(Inputs!$K$5:$AJ$110,0,MATCH(Y$2,Inputs!$K$4:$AJ$4,0)))))</f>
        <v>63205</v>
      </c>
      <c r="Z4" s="267">
        <f>IF(ISNA(MATCH(Z$2,Inputs!$K$4:$AJ$4,0)),NA(),IF(SUMPRODUCT((Inputs!$A$5:$A$110=$B4)*ISNUMBER(INDEX(Inputs!$K$5:$AJ$110,0,MATCH(Z$2,Inputs!$K$4:$AJ$4,0))))+SUMPRODUCT((Inputs!$C$5:$C$110=$B4)*ISNUMBER(INDEX(Inputs!$K$5:$AJ$110,0,MATCH(Z$2,Inputs!$K$4:$AJ$4,0))))+SUMPRODUCT((Inputs!$E$5:$E$110=$B4)*ISNUMBER(INDEX(Inputs!$K$5:$AJ$110,0,MATCH(Z$2,Inputs!$K$4:$AJ$4,0))))=0,NA(),SUMPRODUCT((Inputs!$A$5:$A$110=$B4)*Inputs!$B$5:$B$110*(((Inputs!$G$5:$G$110="moeda")+(Inputs!$G$5:$G$110="acoes"))*Inputs!$B$1+((Inputs!$G$5:$G$110&lt;&gt;"moeda")*(Inputs!$G$5:$G$110&lt;&gt;"acoes")))*INDEX(Inputs!$K$5:$AJ$110,0,MATCH(Z$2,Inputs!$K$4:$AJ$4,0)))+SUMPRODUCT((Inputs!$C$5:$C$110=$B4)*Inputs!$D$5:$D$110*(((Inputs!$G$5:$G$110="moeda")+(Inputs!$G$5:$G$110="acoes"))*Inputs!$B$1+((Inputs!$G$5:$G$110&lt;&gt;"moeda")*(Inputs!$G$5:$G$110&lt;&gt;"acoes")))*INDEX(Inputs!$K$5:$AJ$110,0,MATCH(Z$2,Inputs!$K$4:$AJ$4,0)))+SUMPRODUCT((Inputs!$E$5:$E$110=$B4)*Inputs!$F$5:$F$110*(((Inputs!$G$5:$G$110="moeda")+(Inputs!$G$5:$G$110="acoes"))*Inputs!$B$1+((Inputs!$G$5:$G$110&lt;&gt;"moeda")*(Inputs!$G$5:$G$110&lt;&gt;"acoes")))*INDEX(Inputs!$K$5:$AJ$110,0,MATCH(Z$2,Inputs!$K$4:$AJ$4,0)))))</f>
        <v>86156</v>
      </c>
      <c r="AA4" s="267">
        <f>IF(ISNA(MATCH(AA$2,Inputs!$K$4:$AJ$4,0)),NA(),IF(SUMPRODUCT((Inputs!$A$5:$A$110=$B4)*ISNUMBER(INDEX(Inputs!$K$5:$AJ$110,0,MATCH(AA$2,Inputs!$K$4:$AJ$4,0))))+SUMPRODUCT((Inputs!$C$5:$C$110=$B4)*ISNUMBER(INDEX(Inputs!$K$5:$AJ$110,0,MATCH(AA$2,Inputs!$K$4:$AJ$4,0))))+SUMPRODUCT((Inputs!$E$5:$E$110=$B4)*ISNUMBER(INDEX(Inputs!$K$5:$AJ$110,0,MATCH(AA$2,Inputs!$K$4:$AJ$4,0))))=0,NA(),SUMPRODUCT((Inputs!$A$5:$A$110=$B4)*Inputs!$B$5:$B$110*(((Inputs!$G$5:$G$110="moeda")+(Inputs!$G$5:$G$110="acoes"))*Inputs!$B$1+((Inputs!$G$5:$G$110&lt;&gt;"moeda")*(Inputs!$G$5:$G$110&lt;&gt;"acoes")))*INDEX(Inputs!$K$5:$AJ$110,0,MATCH(AA$2,Inputs!$K$4:$AJ$4,0)))+SUMPRODUCT((Inputs!$C$5:$C$110=$B4)*Inputs!$D$5:$D$110*(((Inputs!$G$5:$G$110="moeda")+(Inputs!$G$5:$G$110="acoes"))*Inputs!$B$1+((Inputs!$G$5:$G$110&lt;&gt;"moeda")*(Inputs!$G$5:$G$110&lt;&gt;"acoes")))*INDEX(Inputs!$K$5:$AJ$110,0,MATCH(AA$2,Inputs!$K$4:$AJ$4,0)))+SUMPRODUCT((Inputs!$E$5:$E$110=$B4)*Inputs!$F$5:$F$110*(((Inputs!$G$5:$G$110="moeda")+(Inputs!$G$5:$G$110="acoes"))*Inputs!$B$1+((Inputs!$G$5:$G$110&lt;&gt;"moeda")*(Inputs!$G$5:$G$110&lt;&gt;"acoes")))*INDEX(Inputs!$K$5:$AJ$110,0,MATCH(AA$2,Inputs!$K$4:$AJ$4,0)))))</f>
        <v>67307</v>
      </c>
      <c r="AB4" s="268">
        <f>SUM(X4:AA4)</f>
        <v>280391</v>
      </c>
      <c r="AC4" s="267">
        <f>IF(ISNA(MATCH(AC$2,Inputs!$K$4:$AJ$4,0)),NA(),IF(SUMPRODUCT((Inputs!$A$5:$A$110=$B4)*ISNUMBER(INDEX(Inputs!$K$5:$AJ$110,0,MATCH(AC$2,Inputs!$K$4:$AJ$4,0))))+SUMPRODUCT((Inputs!$C$5:$C$110=$B4)*ISNUMBER(INDEX(Inputs!$K$5:$AJ$110,0,MATCH(AC$2,Inputs!$K$4:$AJ$4,0))))+SUMPRODUCT((Inputs!$E$5:$E$110=$B4)*ISNUMBER(INDEX(Inputs!$K$5:$AJ$110,0,MATCH(AC$2,Inputs!$K$4:$AJ$4,0))))=0,NA(),SUMPRODUCT((Inputs!$A$5:$A$110=$B4)*Inputs!$B$5:$B$110*(((Inputs!$G$5:$G$110="moeda")+(Inputs!$G$5:$G$110="acoes"))*Inputs!$B$1+((Inputs!$G$5:$G$110&lt;&gt;"moeda")*(Inputs!$G$5:$G$110&lt;&gt;"acoes")))*INDEX(Inputs!$K$5:$AJ$110,0,MATCH(AC$2,Inputs!$K$4:$AJ$4,0)))+SUMPRODUCT((Inputs!$C$5:$C$110=$B4)*Inputs!$D$5:$D$110*(((Inputs!$G$5:$G$110="moeda")+(Inputs!$G$5:$G$110="acoes"))*Inputs!$B$1+((Inputs!$G$5:$G$110&lt;&gt;"moeda")*(Inputs!$G$5:$G$110&lt;&gt;"acoes")))*INDEX(Inputs!$K$5:$AJ$110,0,MATCH(AC$2,Inputs!$K$4:$AJ$4,0)))+SUMPRODUCT((Inputs!$E$5:$E$110=$B4)*Inputs!$F$5:$F$110*(((Inputs!$G$5:$G$110="moeda")+(Inputs!$G$5:$G$110="acoes"))*Inputs!$B$1+((Inputs!$G$5:$G$110&lt;&gt;"moeda")*(Inputs!$G$5:$G$110&lt;&gt;"acoes")))*INDEX(Inputs!$K$5:$AJ$110,0,MATCH(AC$2,Inputs!$K$4:$AJ$4,0)))))</f>
        <v>69597</v>
      </c>
      <c r="AD4" s="267">
        <f>IF(ISNA(MATCH(AD$2,Inputs!$K$4:$AJ$4,0)),NA(),IF(SUMPRODUCT((Inputs!$A$5:$A$110=$B4)*ISNUMBER(INDEX(Inputs!$K$5:$AJ$110,0,MATCH(AD$2,Inputs!$K$4:$AJ$4,0))))+SUMPRODUCT((Inputs!$C$5:$C$110=$B4)*ISNUMBER(INDEX(Inputs!$K$5:$AJ$110,0,MATCH(AD$2,Inputs!$K$4:$AJ$4,0))))+SUMPRODUCT((Inputs!$E$5:$E$110=$B4)*ISNUMBER(INDEX(Inputs!$K$5:$AJ$110,0,MATCH(AD$2,Inputs!$K$4:$AJ$4,0))))=0,NA(),SUMPRODUCT((Inputs!$A$5:$A$110=$B4)*Inputs!$B$5:$B$110*(((Inputs!$G$5:$G$110="moeda")+(Inputs!$G$5:$G$110="acoes"))*Inputs!$B$1+((Inputs!$G$5:$G$110&lt;&gt;"moeda")*(Inputs!$G$5:$G$110&lt;&gt;"acoes")))*INDEX(Inputs!$K$5:$AJ$110,0,MATCH(AD$2,Inputs!$K$4:$AJ$4,0)))+SUMPRODUCT((Inputs!$C$5:$C$110=$B4)*Inputs!$D$5:$D$110*(((Inputs!$G$5:$G$110="moeda")+(Inputs!$G$5:$G$110="acoes"))*Inputs!$B$1+((Inputs!$G$5:$G$110&lt;&gt;"moeda")*(Inputs!$G$5:$G$110&lt;&gt;"acoes")))*INDEX(Inputs!$K$5:$AJ$110,0,MATCH(AD$2,Inputs!$K$4:$AJ$4,0)))+SUMPRODUCT((Inputs!$E$5:$E$110=$B4)*Inputs!$F$5:$F$110*(((Inputs!$G$5:$G$110="moeda")+(Inputs!$G$5:$G$110="acoes"))*Inputs!$B$1+((Inputs!$G$5:$G$110&lt;&gt;"moeda")*(Inputs!$G$5:$G$110&lt;&gt;"acoes")))*INDEX(Inputs!$K$5:$AJ$110,0,MATCH(AD$2,Inputs!$K$4:$AJ$4,0)))))</f>
        <v>70527</v>
      </c>
      <c r="AE4" s="267" t="e">
        <f>IF(ISNA(MATCH(AE$2,Inputs!$K$4:$AJ$4,0)),NA(),IF(SUMPRODUCT((Inputs!$A$5:$A$110=$B4)*ISNUMBER(INDEX(Inputs!$K$5:$AJ$110,0,MATCH(AE$2,Inputs!$K$4:$AJ$4,0))))+SUMPRODUCT((Inputs!$C$5:$C$110=$B4)*ISNUMBER(INDEX(Inputs!$K$5:$AJ$110,0,MATCH(AE$2,Inputs!$K$4:$AJ$4,0))))+SUMPRODUCT((Inputs!$E$5:$E$110=$B4)*ISNUMBER(INDEX(Inputs!$K$5:$AJ$110,0,MATCH(AE$2,Inputs!$K$4:$AJ$4,0))))=0,NA(),SUMPRODUCT((Inputs!$A$5:$A$110=$B4)*Inputs!$B$5:$B$110*(((Inputs!$G$5:$G$110="moeda")+(Inputs!$G$5:$G$110="acoes"))*Inputs!$B$1+((Inputs!$G$5:$G$110&lt;&gt;"moeda")*(Inputs!$G$5:$G$110&lt;&gt;"acoes")))*INDEX(Inputs!$K$5:$AJ$110,0,MATCH(AE$2,Inputs!$K$4:$AJ$4,0)))+SUMPRODUCT((Inputs!$C$5:$C$110=$B4)*Inputs!$D$5:$D$110*(((Inputs!$G$5:$G$110="moeda")+(Inputs!$G$5:$G$110="acoes"))*Inputs!$B$1+((Inputs!$G$5:$G$110&lt;&gt;"moeda")*(Inputs!$G$5:$G$110&lt;&gt;"acoes")))*INDEX(Inputs!$K$5:$AJ$110,0,MATCH(AE$2,Inputs!$K$4:$AJ$4,0)))+SUMPRODUCT((Inputs!$E$5:$E$110=$B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" s="267" t="e">
        <f>IF(ISNA(MATCH(AF$2,Inputs!$K$4:$AJ$4,0)),NA(),IF(SUMPRODUCT((Inputs!$A$5:$A$110=$B4)*ISNUMBER(INDEX(Inputs!$K$5:$AJ$110,0,MATCH(AF$2,Inputs!$K$4:$AJ$4,0))))+SUMPRODUCT((Inputs!$C$5:$C$110=$B4)*ISNUMBER(INDEX(Inputs!$K$5:$AJ$110,0,MATCH(AF$2,Inputs!$K$4:$AJ$4,0))))+SUMPRODUCT((Inputs!$E$5:$E$110=$B4)*ISNUMBER(INDEX(Inputs!$K$5:$AJ$110,0,MATCH(AF$2,Inputs!$K$4:$AJ$4,0))))=0,NA(),SUMPRODUCT((Inputs!$A$5:$A$110=$B4)*Inputs!$B$5:$B$110*(((Inputs!$G$5:$G$110="moeda")+(Inputs!$G$5:$G$110="acoes"))*Inputs!$B$1+((Inputs!$G$5:$G$110&lt;&gt;"moeda")*(Inputs!$G$5:$G$110&lt;&gt;"acoes")))*INDEX(Inputs!$K$5:$AJ$110,0,MATCH(AF$2,Inputs!$K$4:$AJ$4,0)))+SUMPRODUCT((Inputs!$C$5:$C$110=$B4)*Inputs!$D$5:$D$110*(((Inputs!$G$5:$G$110="moeda")+(Inputs!$G$5:$G$110="acoes"))*Inputs!$B$1+((Inputs!$G$5:$G$110&lt;&gt;"moeda")*(Inputs!$G$5:$G$110&lt;&gt;"acoes")))*INDEX(Inputs!$K$5:$AJ$110,0,MATCH(AF$2,Inputs!$K$4:$AJ$4,0)))+SUMPRODUCT((Inputs!$E$5:$E$110=$B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" s="268" t="e">
        <f>SUM(AC4:AF4)</f>
        <v>#N/A</v>
      </c>
      <c r="AH4" s="267">
        <f>IF(ISNA(MATCH(AH$2,Inputs!$K$4:$AJ$4,0)),NA(),IF(SUMPRODUCT((Inputs!$A$5:$A$110=$B4)*ISNUMBER(INDEX(Inputs!$K$5:$AJ$110,0,MATCH(AH$2,Inputs!$K$4:$AJ$4,0))))+SUMPRODUCT((Inputs!$C$5:$C$110=$B4)*ISNUMBER(INDEX(Inputs!$K$5:$AJ$110,0,MATCH(AH$2,Inputs!$K$4:$AJ$4,0))))+SUMPRODUCT((Inputs!$E$5:$E$110=$B4)*ISNUMBER(INDEX(Inputs!$K$5:$AJ$110,0,MATCH(AH$2,Inputs!$K$4:$AJ$4,0))))=0,NA(),SUMPRODUCT((Inputs!$A$5:$A$110=$B4)*Inputs!$B$5:$B$110*(((Inputs!$G$5:$G$110="moeda")+(Inputs!$G$5:$G$110="acoes"))*Inputs!$B$1+((Inputs!$G$5:$G$110&lt;&gt;"moeda")*(Inputs!$G$5:$G$110&lt;&gt;"acoes")))*INDEX(Inputs!$K$5:$AJ$110,0,MATCH(AH$2,Inputs!$K$4:$AJ$4,0)))+SUMPRODUCT((Inputs!$C$5:$C$110=$B4)*Inputs!$D$5:$D$110*(((Inputs!$G$5:$G$110="moeda")+(Inputs!$G$5:$G$110="acoes"))*Inputs!$B$1+((Inputs!$G$5:$G$110&lt;&gt;"moeda")*(Inputs!$G$5:$G$110&lt;&gt;"acoes")))*INDEX(Inputs!$K$5:$AJ$110,0,MATCH(AH$2,Inputs!$K$4:$AJ$4,0)))+SUMPRODUCT((Inputs!$E$5:$E$110=$B4)*Inputs!$F$5:$F$110*(((Inputs!$G$5:$G$110="moeda")+(Inputs!$G$5:$G$110="acoes"))*Inputs!$B$1+((Inputs!$G$5:$G$110&lt;&gt;"moeda")*(Inputs!$G$5:$G$110&lt;&gt;"acoes")))*INDEX(Inputs!$K$5:$AJ$110,0,MATCH(AH$2,Inputs!$K$4:$AJ$4,0)))))</f>
        <v>39072</v>
      </c>
      <c r="AI4" s="267">
        <f>IF(ISNA(MATCH(AI$2,Inputs!$K$4:$AJ$4,0)),NA(),IF(SUMPRODUCT((Inputs!$A$5:$A$110=$B4)*ISNUMBER(INDEX(Inputs!$K$5:$AJ$110,0,MATCH(AI$2,Inputs!$K$4:$AJ$4,0))))+SUMPRODUCT((Inputs!$C$5:$C$110=$B4)*ISNUMBER(INDEX(Inputs!$K$5:$AJ$110,0,MATCH(AI$2,Inputs!$K$4:$AJ$4,0))))+SUMPRODUCT((Inputs!$E$5:$E$110=$B4)*ISNUMBER(INDEX(Inputs!$K$5:$AJ$110,0,MATCH(AI$2,Inputs!$K$4:$AJ$4,0))))=0,NA(),SUMPRODUCT((Inputs!$A$5:$A$110=$B4)*Inputs!$B$5:$B$110*(((Inputs!$G$5:$G$110="moeda")+(Inputs!$G$5:$G$110="acoes"))*Inputs!$B$1+((Inputs!$G$5:$G$110&lt;&gt;"moeda")*(Inputs!$G$5:$G$110&lt;&gt;"acoes")))*INDEX(Inputs!$K$5:$AJ$110,0,MATCH(AI$2,Inputs!$K$4:$AJ$4,0)))+SUMPRODUCT((Inputs!$C$5:$C$110=$B4)*Inputs!$D$5:$D$110*(((Inputs!$G$5:$G$110="moeda")+(Inputs!$G$5:$G$110="acoes"))*Inputs!$B$1+((Inputs!$G$5:$G$110&lt;&gt;"moeda")*(Inputs!$G$5:$G$110&lt;&gt;"acoes")))*INDEX(Inputs!$K$5:$AJ$110,0,MATCH(AI$2,Inputs!$K$4:$AJ$4,0)))+SUMPRODUCT((Inputs!$E$5:$E$110=$B4)*Inputs!$F$5:$F$110*(((Inputs!$G$5:$G$110="moeda")+(Inputs!$G$5:$G$110="acoes"))*Inputs!$B$1+((Inputs!$G$5:$G$110&lt;&gt;"moeda")*(Inputs!$G$5:$G$110&lt;&gt;"acoes")))*INDEX(Inputs!$K$5:$AJ$110,0,MATCH(AI$2,Inputs!$K$4:$AJ$4,0)))))</f>
        <v>37266</v>
      </c>
      <c r="AJ4" s="267">
        <f>IF(ISNA(MATCH(AJ$2,Inputs!$K$4:$AJ$4,0)),NA(),IF(SUMPRODUCT((Inputs!$A$5:$A$110=$B4)*ISNUMBER(INDEX(Inputs!$K$5:$AJ$110,0,MATCH(AJ$2,Inputs!$K$4:$AJ$4,0))))+SUMPRODUCT((Inputs!$C$5:$C$110=$B4)*ISNUMBER(INDEX(Inputs!$K$5:$AJ$110,0,MATCH(AJ$2,Inputs!$K$4:$AJ$4,0))))+SUMPRODUCT((Inputs!$E$5:$E$110=$B4)*ISNUMBER(INDEX(Inputs!$K$5:$AJ$110,0,MATCH(AJ$2,Inputs!$K$4:$AJ$4,0))))=0,NA(),SUMPRODUCT((Inputs!$A$5:$A$110=$B4)*Inputs!$B$5:$B$110*(((Inputs!$G$5:$G$110="moeda")+(Inputs!$G$5:$G$110="acoes"))*Inputs!$B$1+((Inputs!$G$5:$G$110&lt;&gt;"moeda")*(Inputs!$G$5:$G$110&lt;&gt;"acoes")))*INDEX(Inputs!$K$5:$AJ$110,0,MATCH(AJ$2,Inputs!$K$4:$AJ$4,0)))+SUMPRODUCT((Inputs!$C$5:$C$110=$B4)*Inputs!$D$5:$D$110*(((Inputs!$G$5:$G$110="moeda")+(Inputs!$G$5:$G$110="acoes"))*Inputs!$B$1+((Inputs!$G$5:$G$110&lt;&gt;"moeda")*(Inputs!$G$5:$G$110&lt;&gt;"acoes")))*INDEX(Inputs!$K$5:$AJ$110,0,MATCH(AJ$2,Inputs!$K$4:$AJ$4,0)))+SUMPRODUCT((Inputs!$E$5:$E$110=$B4)*Inputs!$F$5:$F$110*(((Inputs!$G$5:$G$110="moeda")+(Inputs!$G$5:$G$110="acoes"))*Inputs!$B$1+((Inputs!$G$5:$G$110&lt;&gt;"moeda")*(Inputs!$G$5:$G$110&lt;&gt;"acoes")))*INDEX(Inputs!$K$5:$AJ$110,0,MATCH(AJ$2,Inputs!$K$4:$AJ$4,0)))))</f>
        <v>53383</v>
      </c>
      <c r="AK4" s="267">
        <f>IF(ISNA(MATCH(AK$2,Inputs!$K$4:$AJ$4,0)),NA(),IF(SUMPRODUCT((Inputs!$A$5:$A$110=$B4)*ISNUMBER(INDEX(Inputs!$K$5:$AJ$110,0,MATCH(AK$2,Inputs!$K$4:$AJ$4,0))))+SUMPRODUCT((Inputs!$C$5:$C$110=$B4)*ISNUMBER(INDEX(Inputs!$K$5:$AJ$110,0,MATCH(AK$2,Inputs!$K$4:$AJ$4,0))))+SUMPRODUCT((Inputs!$E$5:$E$110=$B4)*ISNUMBER(INDEX(Inputs!$K$5:$AJ$110,0,MATCH(AK$2,Inputs!$K$4:$AJ$4,0))))=0,NA(),SUMPRODUCT((Inputs!$A$5:$A$110=$B4)*Inputs!$B$5:$B$110*(((Inputs!$G$5:$G$110="moeda")+(Inputs!$G$5:$G$110="acoes"))*Inputs!$B$1+((Inputs!$G$5:$G$110&lt;&gt;"moeda")*(Inputs!$G$5:$G$110&lt;&gt;"acoes")))*INDEX(Inputs!$K$5:$AJ$110,0,MATCH(AK$2,Inputs!$K$4:$AJ$4,0)))+SUMPRODUCT((Inputs!$C$5:$C$110=$B4)*Inputs!$D$5:$D$110*(((Inputs!$G$5:$G$110="moeda")+(Inputs!$G$5:$G$110="acoes"))*Inputs!$B$1+((Inputs!$G$5:$G$110&lt;&gt;"moeda")*(Inputs!$G$5:$G$110&lt;&gt;"acoes")))*INDEX(Inputs!$K$5:$AJ$110,0,MATCH(AK$2,Inputs!$K$4:$AJ$4,0)))+SUMPRODUCT((Inputs!$E$5:$E$110=$B4)*Inputs!$F$5:$F$110*(((Inputs!$G$5:$G$110="moeda")+(Inputs!$G$5:$G$110="acoes"))*Inputs!$B$1+((Inputs!$G$5:$G$110&lt;&gt;"moeda")*(Inputs!$G$5:$G$110&lt;&gt;"acoes")))*INDEX(Inputs!$K$5:$AJ$110,0,MATCH(AK$2,Inputs!$K$4:$AJ$4,0)))))</f>
        <v>43208</v>
      </c>
      <c r="AL4" s="268">
        <f>SUM(AH4:AK4)</f>
        <v>172929</v>
      </c>
    </row>
    <row r="5" ht="12.75" customHeight="1" s="255">
      <c r="B5" s="265" t="n">
        <v>2</v>
      </c>
      <c r="C5" s="269" t="inlineStr">
        <is>
          <t>COGS (cash)</t>
        </is>
      </c>
      <c r="D5" s="267">
        <f>IF(ISNA(MATCH(D$2,Inputs!$K$4:$AJ$4,0)),NA(),IF(SUMPRODUCT((Inputs!$A$5:$A$110=$B5)*ISNUMBER(INDEX(Inputs!$K$5:$AJ$110,0,MATCH(D$2,Inputs!$K$4:$AJ$4,0))))+SUMPRODUCT((Inputs!$C$5:$C$110=$B5)*ISNUMBER(INDEX(Inputs!$K$5:$AJ$110,0,MATCH(D$2,Inputs!$K$4:$AJ$4,0))))+SUMPRODUCT((Inputs!$E$5:$E$110=$B5)*ISNUMBER(INDEX(Inputs!$K$5:$AJ$110,0,MATCH(D$2,Inputs!$K$4:$AJ$4,0))))=0,NA(),SUMPRODUCT((Inputs!$A$5:$A$110=$B5)*Inputs!$B$5:$B$110*(((Inputs!$G$5:$G$110="moeda")+(Inputs!$G$5:$G$110="acoes"))*Inputs!$B$1+((Inputs!$G$5:$G$110&lt;&gt;"moeda")*(Inputs!$G$5:$G$110&lt;&gt;"acoes")))*INDEX(Inputs!$K$5:$AJ$110,0,MATCH(D$2,Inputs!$K$4:$AJ$4,0)))+SUMPRODUCT((Inputs!$C$5:$C$110=$B5)*Inputs!$D$5:$D$110*(((Inputs!$G$5:$G$110="moeda")+(Inputs!$G$5:$G$110="acoes"))*Inputs!$B$1+((Inputs!$G$5:$G$110&lt;&gt;"moeda")*(Inputs!$G$5:$G$110&lt;&gt;"acoes")))*INDEX(Inputs!$K$5:$AJ$110,0,MATCH(D$2,Inputs!$K$4:$AJ$4,0)))+SUMPRODUCT((Inputs!$E$5:$E$110=$B5)*Inputs!$F$5:$F$110*(((Inputs!$G$5:$G$110="moeda")+(Inputs!$G$5:$G$110="acoes"))*Inputs!$B$1+((Inputs!$G$5:$G$110&lt;&gt;"moeda")*(Inputs!$G$5:$G$110&lt;&gt;"acoes")))*INDEX(Inputs!$K$5:$AJ$110,0,MATCH(D$2,Inputs!$K$4:$AJ$4,0)))))</f>
        <v>-39078</v>
      </c>
      <c r="E5" s="267">
        <f>IF(ISNA(MATCH(E$2,Inputs!$K$4:$AJ$4,0)),NA(),IF(SUMPRODUCT((Inputs!$A$5:$A$110=$B5)*ISNUMBER(INDEX(Inputs!$K$5:$AJ$110,0,MATCH(E$2,Inputs!$K$4:$AJ$4,0))))+SUMPRODUCT((Inputs!$C$5:$C$110=$B5)*ISNUMBER(INDEX(Inputs!$K$5:$AJ$110,0,MATCH(E$2,Inputs!$K$4:$AJ$4,0))))+SUMPRODUCT((Inputs!$E$5:$E$110=$B5)*ISNUMBER(INDEX(Inputs!$K$5:$AJ$110,0,MATCH(E$2,Inputs!$K$4:$AJ$4,0))))=0,NA(),SUMPRODUCT((Inputs!$A$5:$A$110=$B5)*Inputs!$B$5:$B$110*(((Inputs!$G$5:$G$110="moeda")+(Inputs!$G$5:$G$110="acoes"))*Inputs!$B$1+((Inputs!$G$5:$G$110&lt;&gt;"moeda")*(Inputs!$G$5:$G$110&lt;&gt;"acoes")))*INDEX(Inputs!$K$5:$AJ$110,0,MATCH(E$2,Inputs!$K$4:$AJ$4,0)))+SUMPRODUCT((Inputs!$C$5:$C$110=$B5)*Inputs!$D$5:$D$110*(((Inputs!$G$5:$G$110="moeda")+(Inputs!$G$5:$G$110="acoes"))*Inputs!$B$1+((Inputs!$G$5:$G$110&lt;&gt;"moeda")*(Inputs!$G$5:$G$110&lt;&gt;"acoes")))*INDEX(Inputs!$K$5:$AJ$110,0,MATCH(E$2,Inputs!$K$4:$AJ$4,0)))+SUMPRODUCT((Inputs!$E$5:$E$110=$B5)*Inputs!$F$5:$F$110*(((Inputs!$G$5:$G$110="moeda")+(Inputs!$G$5:$G$110="acoes"))*Inputs!$B$1+((Inputs!$G$5:$G$110&lt;&gt;"moeda")*(Inputs!$G$5:$G$110&lt;&gt;"acoes")))*INDEX(Inputs!$K$5:$AJ$110,0,MATCH(E$2,Inputs!$K$4:$AJ$4,0)))))</f>
        <v>-39415</v>
      </c>
      <c r="F5" s="267">
        <f>IF(ISNA(MATCH(F$2,Inputs!$K$4:$AJ$4,0)),NA(),IF(SUMPRODUCT((Inputs!$A$5:$A$110=$B5)*ISNUMBER(INDEX(Inputs!$K$5:$AJ$110,0,MATCH(F$2,Inputs!$K$4:$AJ$4,0))))+SUMPRODUCT((Inputs!$C$5:$C$110=$B5)*ISNUMBER(INDEX(Inputs!$K$5:$AJ$110,0,MATCH(F$2,Inputs!$K$4:$AJ$4,0))))+SUMPRODUCT((Inputs!$E$5:$E$110=$B5)*ISNUMBER(INDEX(Inputs!$K$5:$AJ$110,0,MATCH(F$2,Inputs!$K$4:$AJ$4,0))))=0,NA(),SUMPRODUCT((Inputs!$A$5:$A$110=$B5)*Inputs!$B$5:$B$110*(((Inputs!$G$5:$G$110="moeda")+(Inputs!$G$5:$G$110="acoes"))*Inputs!$B$1+((Inputs!$G$5:$G$110&lt;&gt;"moeda")*(Inputs!$G$5:$G$110&lt;&gt;"acoes")))*INDEX(Inputs!$K$5:$AJ$110,0,MATCH(F$2,Inputs!$K$4:$AJ$4,0)))+SUMPRODUCT((Inputs!$C$5:$C$110=$B5)*Inputs!$D$5:$D$110*(((Inputs!$G$5:$G$110="moeda")+(Inputs!$G$5:$G$110="acoes"))*Inputs!$B$1+((Inputs!$G$5:$G$110&lt;&gt;"moeda")*(Inputs!$G$5:$G$110&lt;&gt;"acoes")))*INDEX(Inputs!$K$5:$AJ$110,0,MATCH(F$2,Inputs!$K$4:$AJ$4,0)))+SUMPRODUCT((Inputs!$E$5:$E$110=$B5)*Inputs!$F$5:$F$110*(((Inputs!$G$5:$G$110="moeda")+(Inputs!$G$5:$G$110="acoes"))*Inputs!$B$1+((Inputs!$G$5:$G$110&lt;&gt;"moeda")*(Inputs!$G$5:$G$110&lt;&gt;"acoes")))*INDEX(Inputs!$K$5:$AJ$110,0,MATCH(F$2,Inputs!$K$4:$AJ$4,0)))))</f>
        <v>-54733</v>
      </c>
      <c r="G5" s="267">
        <f>IF(ISNA(MATCH(G$2,Inputs!$K$4:$AJ$4,0)),NA(),IF(SUMPRODUCT((Inputs!$A$5:$A$110=$B5)*ISNUMBER(INDEX(Inputs!$K$5:$AJ$110,0,MATCH(G$2,Inputs!$K$4:$AJ$4,0))))+SUMPRODUCT((Inputs!$C$5:$C$110=$B5)*ISNUMBER(INDEX(Inputs!$K$5:$AJ$110,0,MATCH(G$2,Inputs!$K$4:$AJ$4,0))))+SUMPRODUCT((Inputs!$E$5:$E$110=$B5)*ISNUMBER(INDEX(Inputs!$K$5:$AJ$110,0,MATCH(G$2,Inputs!$K$4:$AJ$4,0))))=0,NA(),SUMPRODUCT((Inputs!$A$5:$A$110=$B5)*Inputs!$B$5:$B$110*(((Inputs!$G$5:$G$110="moeda")+(Inputs!$G$5:$G$110="acoes"))*Inputs!$B$1+((Inputs!$G$5:$G$110&lt;&gt;"moeda")*(Inputs!$G$5:$G$110&lt;&gt;"acoes")))*INDEX(Inputs!$K$5:$AJ$110,0,MATCH(G$2,Inputs!$K$4:$AJ$4,0)))+SUMPRODUCT((Inputs!$C$5:$C$110=$B5)*Inputs!$D$5:$D$110*(((Inputs!$G$5:$G$110="moeda")+(Inputs!$G$5:$G$110="acoes"))*Inputs!$B$1+((Inputs!$G$5:$G$110&lt;&gt;"moeda")*(Inputs!$G$5:$G$110&lt;&gt;"acoes")))*INDEX(Inputs!$K$5:$AJ$110,0,MATCH(G$2,Inputs!$K$4:$AJ$4,0)))+SUMPRODUCT((Inputs!$E$5:$E$110=$B5)*Inputs!$F$5:$F$110*(((Inputs!$G$5:$G$110="moeda")+(Inputs!$G$5:$G$110="acoes"))*Inputs!$B$1+((Inputs!$G$5:$G$110&lt;&gt;"moeda")*(Inputs!$G$5:$G$110&lt;&gt;"acoes")))*INDEX(Inputs!$K$5:$AJ$110,0,MATCH(G$2,Inputs!$K$4:$AJ$4,0)))))</f>
        <v>-43952</v>
      </c>
      <c r="H5" s="268">
        <f>SUM(D5:G5)</f>
        <v>-177178</v>
      </c>
      <c r="I5" s="267">
        <f>IF(ISNA(MATCH(I$2,Inputs!$K$4:$AJ$4,0)),NA(),IF(SUMPRODUCT((Inputs!$A$5:$A$110=$B5)*ISNUMBER(INDEX(Inputs!$K$5:$AJ$110,0,MATCH(I$2,Inputs!$K$4:$AJ$4,0))))+SUMPRODUCT((Inputs!$C$5:$C$110=$B5)*ISNUMBER(INDEX(Inputs!$K$5:$AJ$110,0,MATCH(I$2,Inputs!$K$4:$AJ$4,0))))+SUMPRODUCT((Inputs!$E$5:$E$110=$B5)*ISNUMBER(INDEX(Inputs!$K$5:$AJ$110,0,MATCH(I$2,Inputs!$K$4:$AJ$4,0))))=0,NA(),SUMPRODUCT((Inputs!$A$5:$A$110=$B5)*Inputs!$B$5:$B$110*(((Inputs!$G$5:$G$110="moeda")+(Inputs!$G$5:$G$110="acoes"))*Inputs!$B$1+((Inputs!$G$5:$G$110&lt;&gt;"moeda")*(Inputs!$G$5:$G$110&lt;&gt;"acoes")))*INDEX(Inputs!$K$5:$AJ$110,0,MATCH(I$2,Inputs!$K$4:$AJ$4,0)))+SUMPRODUCT((Inputs!$C$5:$C$110=$B5)*Inputs!$D$5:$D$110*(((Inputs!$G$5:$G$110="moeda")+(Inputs!$G$5:$G$110="acoes"))*Inputs!$B$1+((Inputs!$G$5:$G$110&lt;&gt;"moeda")*(Inputs!$G$5:$G$110&lt;&gt;"acoes")))*INDEX(Inputs!$K$5:$AJ$110,0,MATCH(I$2,Inputs!$K$4:$AJ$4,0)))+SUMPRODUCT((Inputs!$E$5:$E$110=$B5)*Inputs!$F$5:$F$110*(((Inputs!$G$5:$G$110="moeda")+(Inputs!$G$5:$G$110="acoes"))*Inputs!$B$1+((Inputs!$G$5:$G$110&lt;&gt;"moeda")*(Inputs!$G$5:$G$110&lt;&gt;"acoes")))*INDEX(Inputs!$K$5:$AJ$110,0,MATCH(I$2,Inputs!$K$4:$AJ$4,0)))))</f>
        <v>-45517</v>
      </c>
      <c r="J5" s="267">
        <f>IF(ISNA(MATCH(J$2,Inputs!$K$4:$AJ$4,0)),NA(),IF(SUMPRODUCT((Inputs!$A$5:$A$110=$B5)*ISNUMBER(INDEX(Inputs!$K$5:$AJ$110,0,MATCH(J$2,Inputs!$K$4:$AJ$4,0))))+SUMPRODUCT((Inputs!$C$5:$C$110=$B5)*ISNUMBER(INDEX(Inputs!$K$5:$AJ$110,0,MATCH(J$2,Inputs!$K$4:$AJ$4,0))))+SUMPRODUCT((Inputs!$E$5:$E$110=$B5)*ISNUMBER(INDEX(Inputs!$K$5:$AJ$110,0,MATCH(J$2,Inputs!$K$4:$AJ$4,0))))=0,NA(),SUMPRODUCT((Inputs!$A$5:$A$110=$B5)*Inputs!$B$5:$B$110*(((Inputs!$G$5:$G$110="moeda")+(Inputs!$G$5:$G$110="acoes"))*Inputs!$B$1+((Inputs!$G$5:$G$110&lt;&gt;"moeda")*(Inputs!$G$5:$G$110&lt;&gt;"acoes")))*INDEX(Inputs!$K$5:$AJ$110,0,MATCH(J$2,Inputs!$K$4:$AJ$4,0)))+SUMPRODUCT((Inputs!$C$5:$C$110=$B5)*Inputs!$D$5:$D$110*(((Inputs!$G$5:$G$110="moeda")+(Inputs!$G$5:$G$110="acoes"))*Inputs!$B$1+((Inputs!$G$5:$G$110&lt;&gt;"moeda")*(Inputs!$G$5:$G$110&lt;&gt;"acoes")))*INDEX(Inputs!$K$5:$AJ$110,0,MATCH(J$2,Inputs!$K$4:$AJ$4,0)))+SUMPRODUCT((Inputs!$E$5:$E$110=$B5)*Inputs!$F$5:$F$110*(((Inputs!$G$5:$G$110="moeda")+(Inputs!$G$5:$G$110="acoes"))*Inputs!$B$1+((Inputs!$G$5:$G$110&lt;&gt;"moeda")*(Inputs!$G$5:$G$110&lt;&gt;"acoes")))*INDEX(Inputs!$K$5:$AJ$110,0,MATCH(J$2,Inputs!$K$4:$AJ$4,0)))))</f>
        <v>-46355</v>
      </c>
      <c r="K5" s="267">
        <f>IF(ISNA(MATCH(K$2,Inputs!$K$4:$AJ$4,0)),NA(),IF(SUMPRODUCT((Inputs!$A$5:$A$110=$B5)*ISNUMBER(INDEX(Inputs!$K$5:$AJ$110,0,MATCH(K$2,Inputs!$K$4:$AJ$4,0))))+SUMPRODUCT((Inputs!$C$5:$C$110=$B5)*ISNUMBER(INDEX(Inputs!$K$5:$AJ$110,0,MATCH(K$2,Inputs!$K$4:$AJ$4,0))))+SUMPRODUCT((Inputs!$E$5:$E$110=$B5)*ISNUMBER(INDEX(Inputs!$K$5:$AJ$110,0,MATCH(K$2,Inputs!$K$4:$AJ$4,0))))=0,NA(),SUMPRODUCT((Inputs!$A$5:$A$110=$B5)*Inputs!$B$5:$B$110*(((Inputs!$G$5:$G$110="moeda")+(Inputs!$G$5:$G$110="acoes"))*Inputs!$B$1+((Inputs!$G$5:$G$110&lt;&gt;"moeda")*(Inputs!$G$5:$G$110&lt;&gt;"acoes")))*INDEX(Inputs!$K$5:$AJ$110,0,MATCH(K$2,Inputs!$K$4:$AJ$4,0)))+SUMPRODUCT((Inputs!$C$5:$C$110=$B5)*Inputs!$D$5:$D$110*(((Inputs!$G$5:$G$110="moeda")+(Inputs!$G$5:$G$110="acoes"))*Inputs!$B$1+((Inputs!$G$5:$G$110&lt;&gt;"moeda")*(Inputs!$G$5:$G$110&lt;&gt;"acoes")))*INDEX(Inputs!$K$5:$AJ$110,0,MATCH(K$2,Inputs!$K$4:$AJ$4,0)))+SUMPRODUCT((Inputs!$E$5:$E$110=$B5)*Inputs!$F$5:$F$110*(((Inputs!$G$5:$G$110="moeda")+(Inputs!$G$5:$G$110="acoes"))*Inputs!$B$1+((Inputs!$G$5:$G$110&lt;&gt;"moeda")*(Inputs!$G$5:$G$110&lt;&gt;"acoes")))*INDEX(Inputs!$K$5:$AJ$110,0,MATCH(K$2,Inputs!$K$4:$AJ$4,0)))))</f>
        <v>-63558</v>
      </c>
      <c r="L5" s="267">
        <f>IF(ISNA(MATCH(L$2,Inputs!$K$4:$AJ$4,0)),NA(),IF(SUMPRODUCT((Inputs!$A$5:$A$110=$B5)*ISNUMBER(INDEX(Inputs!$K$5:$AJ$110,0,MATCH(L$2,Inputs!$K$4:$AJ$4,0))))+SUMPRODUCT((Inputs!$C$5:$C$110=$B5)*ISNUMBER(INDEX(Inputs!$K$5:$AJ$110,0,MATCH(L$2,Inputs!$K$4:$AJ$4,0))))+SUMPRODUCT((Inputs!$E$5:$E$110=$B5)*ISNUMBER(INDEX(Inputs!$K$5:$AJ$110,0,MATCH(L$2,Inputs!$K$4:$AJ$4,0))))=0,NA(),SUMPRODUCT((Inputs!$A$5:$A$110=$B5)*Inputs!$B$5:$B$110*(((Inputs!$G$5:$G$110="moeda")+(Inputs!$G$5:$G$110="acoes"))*Inputs!$B$1+((Inputs!$G$5:$G$110&lt;&gt;"moeda")*(Inputs!$G$5:$G$110&lt;&gt;"acoes")))*INDEX(Inputs!$K$5:$AJ$110,0,MATCH(L$2,Inputs!$K$4:$AJ$4,0)))+SUMPRODUCT((Inputs!$C$5:$C$110=$B5)*Inputs!$D$5:$D$110*(((Inputs!$G$5:$G$110="moeda")+(Inputs!$G$5:$G$110="acoes"))*Inputs!$B$1+((Inputs!$G$5:$G$110&lt;&gt;"moeda")*(Inputs!$G$5:$G$110&lt;&gt;"acoes")))*INDEX(Inputs!$K$5:$AJ$110,0,MATCH(L$2,Inputs!$K$4:$AJ$4,0)))+SUMPRODUCT((Inputs!$E$5:$E$110=$B5)*Inputs!$F$5:$F$110*(((Inputs!$G$5:$G$110="moeda")+(Inputs!$G$5:$G$110="acoes"))*Inputs!$B$1+((Inputs!$G$5:$G$110&lt;&gt;"moeda")*(Inputs!$G$5:$G$110&lt;&gt;"acoes")))*INDEX(Inputs!$K$5:$AJ$110,0,MATCH(L$2,Inputs!$K$4:$AJ$4,0)))))</f>
        <v>-47769</v>
      </c>
      <c r="M5" s="268">
        <f>SUM(I5:L5)</f>
        <v>-203199</v>
      </c>
      <c r="N5" s="267">
        <f>IF(ISNA(MATCH(N$2,Inputs!$K$4:$AJ$4,0)),NA(),IF(SUMPRODUCT((Inputs!$A$5:$A$110=$B5)*ISNUMBER(INDEX(Inputs!$K$5:$AJ$110,0,MATCH(N$2,Inputs!$K$4:$AJ$4,0))))+SUMPRODUCT((Inputs!$C$5:$C$110=$B5)*ISNUMBER(INDEX(Inputs!$K$5:$AJ$110,0,MATCH(N$2,Inputs!$K$4:$AJ$4,0))))+SUMPRODUCT((Inputs!$E$5:$E$110=$B5)*ISNUMBER(INDEX(Inputs!$K$5:$AJ$110,0,MATCH(N$2,Inputs!$K$4:$AJ$4,0))))=0,NA(),SUMPRODUCT((Inputs!$A$5:$A$110=$B5)*Inputs!$B$5:$B$110*(((Inputs!$G$5:$G$110="moeda")+(Inputs!$G$5:$G$110="acoes"))*Inputs!$B$1+((Inputs!$G$5:$G$110&lt;&gt;"moeda")*(Inputs!$G$5:$G$110&lt;&gt;"acoes")))*INDEX(Inputs!$K$5:$AJ$110,0,MATCH(N$2,Inputs!$K$4:$AJ$4,0)))+SUMPRODUCT((Inputs!$C$5:$C$110=$B5)*Inputs!$D$5:$D$110*(((Inputs!$G$5:$G$110="moeda")+(Inputs!$G$5:$G$110="acoes"))*Inputs!$B$1+((Inputs!$G$5:$G$110&lt;&gt;"moeda")*(Inputs!$G$5:$G$110&lt;&gt;"acoes")))*INDEX(Inputs!$K$5:$AJ$110,0,MATCH(N$2,Inputs!$K$4:$AJ$4,0)))+SUMPRODUCT((Inputs!$E$5:$E$110=$B5)*Inputs!$F$5:$F$110*(((Inputs!$G$5:$G$110="moeda")+(Inputs!$G$5:$G$110="acoes"))*Inputs!$B$1+((Inputs!$G$5:$G$110&lt;&gt;"moeda")*(Inputs!$G$5:$G$110&lt;&gt;"acoes")))*INDEX(Inputs!$K$5:$AJ$110,0,MATCH(N$2,Inputs!$K$4:$AJ$4,0)))))</f>
        <v>-48423</v>
      </c>
      <c r="O5" s="267">
        <f>IF(ISNA(MATCH(O$2,Inputs!$K$4:$AJ$4,0)),NA(),IF(SUMPRODUCT((Inputs!$A$5:$A$110=$B5)*ISNUMBER(INDEX(Inputs!$K$5:$AJ$110,0,MATCH(O$2,Inputs!$K$4:$AJ$4,0))))+SUMPRODUCT((Inputs!$C$5:$C$110=$B5)*ISNUMBER(INDEX(Inputs!$K$5:$AJ$110,0,MATCH(O$2,Inputs!$K$4:$AJ$4,0))))+SUMPRODUCT((Inputs!$E$5:$E$110=$B5)*ISNUMBER(INDEX(Inputs!$K$5:$AJ$110,0,MATCH(O$2,Inputs!$K$4:$AJ$4,0))))=0,NA(),SUMPRODUCT((Inputs!$A$5:$A$110=$B5)*Inputs!$B$5:$B$110*(((Inputs!$G$5:$G$110="moeda")+(Inputs!$G$5:$G$110="acoes"))*Inputs!$B$1+((Inputs!$G$5:$G$110&lt;&gt;"moeda")*(Inputs!$G$5:$G$110&lt;&gt;"acoes")))*INDEX(Inputs!$K$5:$AJ$110,0,MATCH(O$2,Inputs!$K$4:$AJ$4,0)))+SUMPRODUCT((Inputs!$C$5:$C$110=$B5)*Inputs!$D$5:$D$110*(((Inputs!$G$5:$G$110="moeda")+(Inputs!$G$5:$G$110="acoes"))*Inputs!$B$1+((Inputs!$G$5:$G$110&lt;&gt;"moeda")*(Inputs!$G$5:$G$110&lt;&gt;"acoes")))*INDEX(Inputs!$K$5:$AJ$110,0,MATCH(O$2,Inputs!$K$4:$AJ$4,0)))+SUMPRODUCT((Inputs!$E$5:$E$110=$B5)*Inputs!$F$5:$F$110*(((Inputs!$G$5:$G$110="moeda")+(Inputs!$G$5:$G$110="acoes"))*Inputs!$B$1+((Inputs!$G$5:$G$110&lt;&gt;"moeda")*(Inputs!$G$5:$G$110&lt;&gt;"acoes")))*INDEX(Inputs!$K$5:$AJ$110,0,MATCH(O$2,Inputs!$K$4:$AJ$4,0)))))</f>
        <v>-47175</v>
      </c>
      <c r="P5" s="267">
        <f>IF(ISNA(MATCH(P$2,Inputs!$K$4:$AJ$4,0)),NA(),IF(SUMPRODUCT((Inputs!$A$5:$A$110=$B5)*ISNUMBER(INDEX(Inputs!$K$5:$AJ$110,0,MATCH(P$2,Inputs!$K$4:$AJ$4,0))))+SUMPRODUCT((Inputs!$C$5:$C$110=$B5)*ISNUMBER(INDEX(Inputs!$K$5:$AJ$110,0,MATCH(P$2,Inputs!$K$4:$AJ$4,0))))+SUMPRODUCT((Inputs!$E$5:$E$110=$B5)*ISNUMBER(INDEX(Inputs!$K$5:$AJ$110,0,MATCH(P$2,Inputs!$K$4:$AJ$4,0))))=0,NA(),SUMPRODUCT((Inputs!$A$5:$A$110=$B5)*Inputs!$B$5:$B$110*(((Inputs!$G$5:$G$110="moeda")+(Inputs!$G$5:$G$110="acoes"))*Inputs!$B$1+((Inputs!$G$5:$G$110&lt;&gt;"moeda")*(Inputs!$G$5:$G$110&lt;&gt;"acoes")))*INDEX(Inputs!$K$5:$AJ$110,0,MATCH(P$2,Inputs!$K$4:$AJ$4,0)))+SUMPRODUCT((Inputs!$C$5:$C$110=$B5)*Inputs!$D$5:$D$110*(((Inputs!$G$5:$G$110="moeda")+(Inputs!$G$5:$G$110="acoes"))*Inputs!$B$1+((Inputs!$G$5:$G$110&lt;&gt;"moeda")*(Inputs!$G$5:$G$110&lt;&gt;"acoes")))*INDEX(Inputs!$K$5:$AJ$110,0,MATCH(P$2,Inputs!$K$4:$AJ$4,0)))+SUMPRODUCT((Inputs!$E$5:$E$110=$B5)*Inputs!$F$5:$F$110*(((Inputs!$G$5:$G$110="moeda")+(Inputs!$G$5:$G$110="acoes"))*Inputs!$B$1+((Inputs!$G$5:$G$110&lt;&gt;"moeda")*(Inputs!$G$5:$G$110&lt;&gt;"acoes")))*INDEX(Inputs!$K$5:$AJ$110,0,MATCH(P$2,Inputs!$K$4:$AJ$4,0)))))</f>
        <v>-69219</v>
      </c>
      <c r="Q5" s="267">
        <f>IF(ISNA(MATCH(Q$2,Inputs!$K$4:$AJ$4,0)),NA(),IF(SUMPRODUCT((Inputs!$A$5:$A$110=$B5)*ISNUMBER(INDEX(Inputs!$K$5:$AJ$110,0,MATCH(Q$2,Inputs!$K$4:$AJ$4,0))))+SUMPRODUCT((Inputs!$C$5:$C$110=$B5)*ISNUMBER(INDEX(Inputs!$K$5:$AJ$110,0,MATCH(Q$2,Inputs!$K$4:$AJ$4,0))))+SUMPRODUCT((Inputs!$E$5:$E$110=$B5)*ISNUMBER(INDEX(Inputs!$K$5:$AJ$110,0,MATCH(Q$2,Inputs!$K$4:$AJ$4,0))))=0,NA(),SUMPRODUCT((Inputs!$A$5:$A$110=$B5)*Inputs!$B$5:$B$110*(((Inputs!$G$5:$G$110="moeda")+(Inputs!$G$5:$G$110="acoes"))*Inputs!$B$1+((Inputs!$G$5:$G$110&lt;&gt;"moeda")*(Inputs!$G$5:$G$110&lt;&gt;"acoes")))*INDEX(Inputs!$K$5:$AJ$110,0,MATCH(Q$2,Inputs!$K$4:$AJ$4,0)))+SUMPRODUCT((Inputs!$C$5:$C$110=$B5)*Inputs!$D$5:$D$110*(((Inputs!$G$5:$G$110="moeda")+(Inputs!$G$5:$G$110="acoes"))*Inputs!$B$1+((Inputs!$G$5:$G$110&lt;&gt;"moeda")*(Inputs!$G$5:$G$110&lt;&gt;"acoes")))*INDEX(Inputs!$K$5:$AJ$110,0,MATCH(Q$2,Inputs!$K$4:$AJ$4,0)))+SUMPRODUCT((Inputs!$E$5:$E$110=$B5)*Inputs!$F$5:$F$110*(((Inputs!$G$5:$G$110="moeda")+(Inputs!$G$5:$G$110="acoes"))*Inputs!$B$1+((Inputs!$G$5:$G$110&lt;&gt;"moeda")*(Inputs!$G$5:$G$110&lt;&gt;"acoes")))*INDEX(Inputs!$K$5:$AJ$110,0,MATCH(Q$2,Inputs!$K$4:$AJ$4,0)))))</f>
        <v>-50457</v>
      </c>
      <c r="R5" s="268">
        <f>SUM(N5:Q5)</f>
        <v>-215274</v>
      </c>
      <c r="S5" s="267">
        <f>IF(ISNA(MATCH(S$2,Inputs!$K$4:$AJ$4,0)),NA(),IF(SUMPRODUCT((Inputs!$A$5:$A$110=$B5)*ISNUMBER(INDEX(Inputs!$K$5:$AJ$110,0,MATCH(S$2,Inputs!$K$4:$AJ$4,0))))+SUMPRODUCT((Inputs!$C$5:$C$110=$B5)*ISNUMBER(INDEX(Inputs!$K$5:$AJ$110,0,MATCH(S$2,Inputs!$K$4:$AJ$4,0))))+SUMPRODUCT((Inputs!$E$5:$E$110=$B5)*ISNUMBER(INDEX(Inputs!$K$5:$AJ$110,0,MATCH(S$2,Inputs!$K$4:$AJ$4,0))))=0,NA(),SUMPRODUCT((Inputs!$A$5:$A$110=$B5)*Inputs!$B$5:$B$110*(((Inputs!$G$5:$G$110="moeda")+(Inputs!$G$5:$G$110="acoes"))*Inputs!$B$1+((Inputs!$G$5:$G$110&lt;&gt;"moeda")*(Inputs!$G$5:$G$110&lt;&gt;"acoes")))*INDEX(Inputs!$K$5:$AJ$110,0,MATCH(S$2,Inputs!$K$4:$AJ$4,0)))+SUMPRODUCT((Inputs!$C$5:$C$110=$B5)*Inputs!$D$5:$D$110*(((Inputs!$G$5:$G$110="moeda")+(Inputs!$G$5:$G$110="acoes"))*Inputs!$B$1+((Inputs!$G$5:$G$110&lt;&gt;"moeda")*(Inputs!$G$5:$G$110&lt;&gt;"acoes")))*INDEX(Inputs!$K$5:$AJ$110,0,MATCH(S$2,Inputs!$K$4:$AJ$4,0)))+SUMPRODUCT((Inputs!$E$5:$E$110=$B5)*Inputs!$F$5:$F$110*(((Inputs!$G$5:$G$110="moeda")+(Inputs!$G$5:$G$110="acoes"))*Inputs!$B$1+((Inputs!$G$5:$G$110&lt;&gt;"moeda")*(Inputs!$G$5:$G$110&lt;&gt;"acoes")))*INDEX(Inputs!$K$5:$AJ$110,0,MATCH(S$2,Inputs!$K$4:$AJ$4,0)))))</f>
        <v>-51140</v>
      </c>
      <c r="T5" s="267">
        <f>IF(ISNA(MATCH(T$2,Inputs!$K$4:$AJ$4,0)),NA(),IF(SUMPRODUCT((Inputs!$A$5:$A$110=$B5)*ISNUMBER(INDEX(Inputs!$K$5:$AJ$110,0,MATCH(T$2,Inputs!$K$4:$AJ$4,0))))+SUMPRODUCT((Inputs!$C$5:$C$110=$B5)*ISNUMBER(INDEX(Inputs!$K$5:$AJ$110,0,MATCH(T$2,Inputs!$K$4:$AJ$4,0))))+SUMPRODUCT((Inputs!$E$5:$E$110=$B5)*ISNUMBER(INDEX(Inputs!$K$5:$AJ$110,0,MATCH(T$2,Inputs!$K$4:$AJ$4,0))))=0,NA(),SUMPRODUCT((Inputs!$A$5:$A$110=$B5)*Inputs!$B$5:$B$110*(((Inputs!$G$5:$G$110="moeda")+(Inputs!$G$5:$G$110="acoes"))*Inputs!$B$1+((Inputs!$G$5:$G$110&lt;&gt;"moeda")*(Inputs!$G$5:$G$110&lt;&gt;"acoes")))*INDEX(Inputs!$K$5:$AJ$110,0,MATCH(T$2,Inputs!$K$4:$AJ$4,0)))+SUMPRODUCT((Inputs!$C$5:$C$110=$B5)*Inputs!$D$5:$D$110*(((Inputs!$G$5:$G$110="moeda")+(Inputs!$G$5:$G$110="acoes"))*Inputs!$B$1+((Inputs!$G$5:$G$110&lt;&gt;"moeda")*(Inputs!$G$5:$G$110&lt;&gt;"acoes")))*INDEX(Inputs!$K$5:$AJ$110,0,MATCH(T$2,Inputs!$K$4:$AJ$4,0)))+SUMPRODUCT((Inputs!$E$5:$E$110=$B5)*Inputs!$F$5:$F$110*(((Inputs!$G$5:$G$110="moeda")+(Inputs!$G$5:$G$110="acoes"))*Inputs!$B$1+((Inputs!$G$5:$G$110&lt;&gt;"moeda")*(Inputs!$G$5:$G$110&lt;&gt;"acoes")))*INDEX(Inputs!$K$5:$AJ$110,0,MATCH(T$2,Inputs!$K$4:$AJ$4,0)))))</f>
        <v>-51173</v>
      </c>
      <c r="U5" s="267">
        <f>IF(ISNA(MATCH(U$2,Inputs!$K$4:$AJ$4,0)),NA(),IF(SUMPRODUCT((Inputs!$A$5:$A$110=$B5)*ISNUMBER(INDEX(Inputs!$K$5:$AJ$110,0,MATCH(U$2,Inputs!$K$4:$AJ$4,0))))+SUMPRODUCT((Inputs!$C$5:$C$110=$B5)*ISNUMBER(INDEX(Inputs!$K$5:$AJ$110,0,MATCH(U$2,Inputs!$K$4:$AJ$4,0))))+SUMPRODUCT((Inputs!$E$5:$E$110=$B5)*ISNUMBER(INDEX(Inputs!$K$5:$AJ$110,0,MATCH(U$2,Inputs!$K$4:$AJ$4,0))))=0,NA(),SUMPRODUCT((Inputs!$A$5:$A$110=$B5)*Inputs!$B$5:$B$110*(((Inputs!$G$5:$G$110="moeda")+(Inputs!$G$5:$G$110="acoes"))*Inputs!$B$1+((Inputs!$G$5:$G$110&lt;&gt;"moeda")*(Inputs!$G$5:$G$110&lt;&gt;"acoes")))*INDEX(Inputs!$K$5:$AJ$110,0,MATCH(U$2,Inputs!$K$4:$AJ$4,0)))+SUMPRODUCT((Inputs!$C$5:$C$110=$B5)*Inputs!$D$5:$D$110*(((Inputs!$G$5:$G$110="moeda")+(Inputs!$G$5:$G$110="acoes"))*Inputs!$B$1+((Inputs!$G$5:$G$110&lt;&gt;"moeda")*(Inputs!$G$5:$G$110&lt;&gt;"acoes")))*INDEX(Inputs!$K$5:$AJ$110,0,MATCH(U$2,Inputs!$K$4:$AJ$4,0)))+SUMPRODUCT((Inputs!$E$5:$E$110=$B5)*Inputs!$F$5:$F$110*(((Inputs!$G$5:$G$110="moeda")+(Inputs!$G$5:$G$110="acoes"))*Inputs!$B$1+((Inputs!$G$5:$G$110&lt;&gt;"moeda")*(Inputs!$G$5:$G$110&lt;&gt;"acoes")))*INDEX(Inputs!$K$5:$AJ$110,0,MATCH(U$2,Inputs!$K$4:$AJ$4,0)))))</f>
        <v>-69588</v>
      </c>
      <c r="V5" s="267">
        <f>IF(ISNA(MATCH(V$2,Inputs!$K$4:$AJ$4,0)),NA(),IF(SUMPRODUCT((Inputs!$A$5:$A$110=$B5)*ISNUMBER(INDEX(Inputs!$K$5:$AJ$110,0,MATCH(V$2,Inputs!$K$4:$AJ$4,0))))+SUMPRODUCT((Inputs!$C$5:$C$110=$B5)*ISNUMBER(INDEX(Inputs!$K$5:$AJ$110,0,MATCH(V$2,Inputs!$K$4:$AJ$4,0))))+SUMPRODUCT((Inputs!$E$5:$E$110=$B5)*ISNUMBER(INDEX(Inputs!$K$5:$AJ$110,0,MATCH(V$2,Inputs!$K$4:$AJ$4,0))))=0,NA(),SUMPRODUCT((Inputs!$A$5:$A$110=$B5)*Inputs!$B$5:$B$110*(((Inputs!$G$5:$G$110="moeda")+(Inputs!$G$5:$G$110="acoes"))*Inputs!$B$1+((Inputs!$G$5:$G$110&lt;&gt;"moeda")*(Inputs!$G$5:$G$110&lt;&gt;"acoes")))*INDEX(Inputs!$K$5:$AJ$110,0,MATCH(V$2,Inputs!$K$4:$AJ$4,0)))+SUMPRODUCT((Inputs!$C$5:$C$110=$B5)*Inputs!$D$5:$D$110*(((Inputs!$G$5:$G$110="moeda")+(Inputs!$G$5:$G$110="acoes"))*Inputs!$B$1+((Inputs!$G$5:$G$110&lt;&gt;"moeda")*(Inputs!$G$5:$G$110&lt;&gt;"acoes")))*INDEX(Inputs!$K$5:$AJ$110,0,MATCH(V$2,Inputs!$K$4:$AJ$4,0)))+SUMPRODUCT((Inputs!$E$5:$E$110=$B5)*Inputs!$F$5:$F$110*(((Inputs!$G$5:$G$110="moeda")+(Inputs!$G$5:$G$110="acoes"))*Inputs!$B$1+((Inputs!$G$5:$G$110&lt;&gt;"moeda")*(Inputs!$G$5:$G$110&lt;&gt;"acoes")))*INDEX(Inputs!$K$5:$AJ$110,0,MATCH(V$2,Inputs!$K$4:$AJ$4,0)))))</f>
        <v>-54109</v>
      </c>
      <c r="W5" s="268">
        <f>SUM(S5:V5)</f>
        <v>-226010</v>
      </c>
      <c r="X5" s="267">
        <f>IF(ISNA(MATCH(X$2,Inputs!$K$4:$AJ$4,0)),NA(),IF(SUMPRODUCT((Inputs!$A$5:$A$110=$B5)*ISNUMBER(INDEX(Inputs!$K$5:$AJ$110,0,MATCH(X$2,Inputs!$K$4:$AJ$4,0))))+SUMPRODUCT((Inputs!$C$5:$C$110=$B5)*ISNUMBER(INDEX(Inputs!$K$5:$AJ$110,0,MATCH(X$2,Inputs!$K$4:$AJ$4,0))))+SUMPRODUCT((Inputs!$E$5:$E$110=$B5)*ISNUMBER(INDEX(Inputs!$K$5:$AJ$110,0,MATCH(X$2,Inputs!$K$4:$AJ$4,0))))=0,NA(),SUMPRODUCT((Inputs!$A$5:$A$110=$B5)*Inputs!$B$5:$B$110*(((Inputs!$G$5:$G$110="moeda")+(Inputs!$G$5:$G$110="acoes"))*Inputs!$B$1+((Inputs!$G$5:$G$110&lt;&gt;"moeda")*(Inputs!$G$5:$G$110&lt;&gt;"acoes")))*INDEX(Inputs!$K$5:$AJ$110,0,MATCH(X$2,Inputs!$K$4:$AJ$4,0)))+SUMPRODUCT((Inputs!$C$5:$C$110=$B5)*Inputs!$D$5:$D$110*(((Inputs!$G$5:$G$110="moeda")+(Inputs!$G$5:$G$110="acoes"))*Inputs!$B$1+((Inputs!$G$5:$G$110&lt;&gt;"moeda")*(Inputs!$G$5:$G$110&lt;&gt;"acoes")))*INDEX(Inputs!$K$5:$AJ$110,0,MATCH(X$2,Inputs!$K$4:$AJ$4,0)))+SUMPRODUCT((Inputs!$E$5:$E$110=$B5)*Inputs!$F$5:$F$110*(((Inputs!$G$5:$G$110="moeda")+(Inputs!$G$5:$G$110="acoes"))*Inputs!$B$1+((Inputs!$G$5:$G$110&lt;&gt;"moeda")*(Inputs!$G$5:$G$110&lt;&gt;"acoes")))*INDEX(Inputs!$K$5:$AJ$110,0,MATCH(X$2,Inputs!$K$4:$AJ$4,0)))))</f>
        <v>-55744</v>
      </c>
      <c r="Y5" s="267">
        <f>IF(ISNA(MATCH(Y$2,Inputs!$K$4:$AJ$4,0)),NA(),IF(SUMPRODUCT((Inputs!$A$5:$A$110=$B5)*ISNUMBER(INDEX(Inputs!$K$5:$AJ$110,0,MATCH(Y$2,Inputs!$K$4:$AJ$4,0))))+SUMPRODUCT((Inputs!$C$5:$C$110=$B5)*ISNUMBER(INDEX(Inputs!$K$5:$AJ$110,0,MATCH(Y$2,Inputs!$K$4:$AJ$4,0))))+SUMPRODUCT((Inputs!$E$5:$E$110=$B5)*ISNUMBER(INDEX(Inputs!$K$5:$AJ$110,0,MATCH(Y$2,Inputs!$K$4:$AJ$4,0))))=0,NA(),SUMPRODUCT((Inputs!$A$5:$A$110=$B5)*Inputs!$B$5:$B$110*(((Inputs!$G$5:$G$110="moeda")+(Inputs!$G$5:$G$110="acoes"))*Inputs!$B$1+((Inputs!$G$5:$G$110&lt;&gt;"moeda")*(Inputs!$G$5:$G$110&lt;&gt;"acoes")))*INDEX(Inputs!$K$5:$AJ$110,0,MATCH(Y$2,Inputs!$K$4:$AJ$4,0)))+SUMPRODUCT((Inputs!$C$5:$C$110=$B5)*Inputs!$D$5:$D$110*(((Inputs!$G$5:$G$110="moeda")+(Inputs!$G$5:$G$110="acoes"))*Inputs!$B$1+((Inputs!$G$5:$G$110&lt;&gt;"moeda")*(Inputs!$G$5:$G$110&lt;&gt;"acoes")))*INDEX(Inputs!$K$5:$AJ$110,0,MATCH(Y$2,Inputs!$K$4:$AJ$4,0)))+SUMPRODUCT((Inputs!$E$5:$E$110=$B5)*Inputs!$F$5:$F$110*(((Inputs!$G$5:$G$110="moeda")+(Inputs!$G$5:$G$110="acoes"))*Inputs!$B$1+((Inputs!$G$5:$G$110&lt;&gt;"moeda")*(Inputs!$G$5:$G$110&lt;&gt;"acoes")))*INDEX(Inputs!$K$5:$AJ$110,0,MATCH(Y$2,Inputs!$K$4:$AJ$4,0)))))</f>
        <v>-54996</v>
      </c>
      <c r="Z5" s="267">
        <f>IF(ISNA(MATCH(Z$2,Inputs!$K$4:$AJ$4,0)),NA(),IF(SUMPRODUCT((Inputs!$A$5:$A$110=$B5)*ISNUMBER(INDEX(Inputs!$K$5:$AJ$110,0,MATCH(Z$2,Inputs!$K$4:$AJ$4,0))))+SUMPRODUCT((Inputs!$C$5:$C$110=$B5)*ISNUMBER(INDEX(Inputs!$K$5:$AJ$110,0,MATCH(Z$2,Inputs!$K$4:$AJ$4,0))))+SUMPRODUCT((Inputs!$E$5:$E$110=$B5)*ISNUMBER(INDEX(Inputs!$K$5:$AJ$110,0,MATCH(Z$2,Inputs!$K$4:$AJ$4,0))))=0,NA(),SUMPRODUCT((Inputs!$A$5:$A$110=$B5)*Inputs!$B$5:$B$110*(((Inputs!$G$5:$G$110="moeda")+(Inputs!$G$5:$G$110="acoes"))*Inputs!$B$1+((Inputs!$G$5:$G$110&lt;&gt;"moeda")*(Inputs!$G$5:$G$110&lt;&gt;"acoes")))*INDEX(Inputs!$K$5:$AJ$110,0,MATCH(Z$2,Inputs!$K$4:$AJ$4,0)))+SUMPRODUCT((Inputs!$C$5:$C$110=$B5)*Inputs!$D$5:$D$110*(((Inputs!$G$5:$G$110="moeda")+(Inputs!$G$5:$G$110="acoes"))*Inputs!$B$1+((Inputs!$G$5:$G$110&lt;&gt;"moeda")*(Inputs!$G$5:$G$110&lt;&gt;"acoes")))*INDEX(Inputs!$K$5:$AJ$110,0,MATCH(Z$2,Inputs!$K$4:$AJ$4,0)))+SUMPRODUCT((Inputs!$E$5:$E$110=$B5)*Inputs!$F$5:$F$110*(((Inputs!$G$5:$G$110="moeda")+(Inputs!$G$5:$G$110="acoes"))*Inputs!$B$1+((Inputs!$G$5:$G$110&lt;&gt;"moeda")*(Inputs!$G$5:$G$110&lt;&gt;"acoes")))*INDEX(Inputs!$K$5:$AJ$110,0,MATCH(Z$2,Inputs!$K$4:$AJ$4,0)))))</f>
        <v>-75037</v>
      </c>
      <c r="AA5" s="267">
        <f>IF(ISNA(MATCH(AA$2,Inputs!$K$4:$AJ$4,0)),NA(),IF(SUMPRODUCT((Inputs!$A$5:$A$110=$B5)*ISNUMBER(INDEX(Inputs!$K$5:$AJ$110,0,MATCH(AA$2,Inputs!$K$4:$AJ$4,0))))+SUMPRODUCT((Inputs!$C$5:$C$110=$B5)*ISNUMBER(INDEX(Inputs!$K$5:$AJ$110,0,MATCH(AA$2,Inputs!$K$4:$AJ$4,0))))+SUMPRODUCT((Inputs!$E$5:$E$110=$B5)*ISNUMBER(INDEX(Inputs!$K$5:$AJ$110,0,MATCH(AA$2,Inputs!$K$4:$AJ$4,0))))=0,NA(),SUMPRODUCT((Inputs!$A$5:$A$110=$B5)*Inputs!$B$5:$B$110*(((Inputs!$G$5:$G$110="moeda")+(Inputs!$G$5:$G$110="acoes"))*Inputs!$B$1+((Inputs!$G$5:$G$110&lt;&gt;"moeda")*(Inputs!$G$5:$G$110&lt;&gt;"acoes")))*INDEX(Inputs!$K$5:$AJ$110,0,MATCH(AA$2,Inputs!$K$4:$AJ$4,0)))+SUMPRODUCT((Inputs!$C$5:$C$110=$B5)*Inputs!$D$5:$D$110*(((Inputs!$G$5:$G$110="moeda")+(Inputs!$G$5:$G$110="acoes"))*Inputs!$B$1+((Inputs!$G$5:$G$110&lt;&gt;"moeda")*(Inputs!$G$5:$G$110&lt;&gt;"acoes")))*INDEX(Inputs!$K$5:$AJ$110,0,MATCH(AA$2,Inputs!$K$4:$AJ$4,0)))+SUMPRODUCT((Inputs!$E$5:$E$110=$B5)*Inputs!$F$5:$F$110*(((Inputs!$G$5:$G$110="moeda")+(Inputs!$G$5:$G$110="acoes"))*Inputs!$B$1+((Inputs!$G$5:$G$110&lt;&gt;"moeda")*(Inputs!$G$5:$G$110&lt;&gt;"acoes")))*INDEX(Inputs!$K$5:$AJ$110,0,MATCH(AA$2,Inputs!$K$4:$AJ$4,0)))))</f>
        <v>-58510</v>
      </c>
      <c r="AB5" s="268">
        <f>SUM(X5:AA5)</f>
        <v>-244287</v>
      </c>
      <c r="AC5" s="267">
        <f>IF(ISNA(MATCH(AC$2,Inputs!$K$4:$AJ$4,0)),NA(),IF(SUMPRODUCT((Inputs!$A$5:$A$110=$B5)*ISNUMBER(INDEX(Inputs!$K$5:$AJ$110,0,MATCH(AC$2,Inputs!$K$4:$AJ$4,0))))+SUMPRODUCT((Inputs!$C$5:$C$110=$B5)*ISNUMBER(INDEX(Inputs!$K$5:$AJ$110,0,MATCH(AC$2,Inputs!$K$4:$AJ$4,0))))+SUMPRODUCT((Inputs!$E$5:$E$110=$B5)*ISNUMBER(INDEX(Inputs!$K$5:$AJ$110,0,MATCH(AC$2,Inputs!$K$4:$AJ$4,0))))=0,NA(),SUMPRODUCT((Inputs!$A$5:$A$110=$B5)*Inputs!$B$5:$B$110*(((Inputs!$G$5:$G$110="moeda")+(Inputs!$G$5:$G$110="acoes"))*Inputs!$B$1+((Inputs!$G$5:$G$110&lt;&gt;"moeda")*(Inputs!$G$5:$G$110&lt;&gt;"acoes")))*INDEX(Inputs!$K$5:$AJ$110,0,MATCH(AC$2,Inputs!$K$4:$AJ$4,0)))+SUMPRODUCT((Inputs!$C$5:$C$110=$B5)*Inputs!$D$5:$D$110*(((Inputs!$G$5:$G$110="moeda")+(Inputs!$G$5:$G$110="acoes"))*Inputs!$B$1+((Inputs!$G$5:$G$110&lt;&gt;"moeda")*(Inputs!$G$5:$G$110&lt;&gt;"acoes")))*INDEX(Inputs!$K$5:$AJ$110,0,MATCH(AC$2,Inputs!$K$4:$AJ$4,0)))+SUMPRODUCT((Inputs!$E$5:$E$110=$B5)*Inputs!$F$5:$F$110*(((Inputs!$G$5:$G$110="moeda")+(Inputs!$G$5:$G$110="acoes"))*Inputs!$B$1+((Inputs!$G$5:$G$110&lt;&gt;"moeda")*(Inputs!$G$5:$G$110&lt;&gt;"acoes")))*INDEX(Inputs!$K$5:$AJ$110,0,MATCH(AC$2,Inputs!$K$4:$AJ$4,0)))))</f>
        <v>-60719</v>
      </c>
      <c r="AD5" s="267">
        <f>IF(ISNA(MATCH(AD$2,Inputs!$K$4:$AJ$4,0)),NA(),IF(SUMPRODUCT((Inputs!$A$5:$A$110=$B5)*ISNUMBER(INDEX(Inputs!$K$5:$AJ$110,0,MATCH(AD$2,Inputs!$K$4:$AJ$4,0))))+SUMPRODUCT((Inputs!$C$5:$C$110=$B5)*ISNUMBER(INDEX(Inputs!$K$5:$AJ$110,0,MATCH(AD$2,Inputs!$K$4:$AJ$4,0))))+SUMPRODUCT((Inputs!$E$5:$E$110=$B5)*ISNUMBER(INDEX(Inputs!$K$5:$AJ$110,0,MATCH(AD$2,Inputs!$K$4:$AJ$4,0))))=0,NA(),SUMPRODUCT((Inputs!$A$5:$A$110=$B5)*Inputs!$B$5:$B$110*(((Inputs!$G$5:$G$110="moeda")+(Inputs!$G$5:$G$110="acoes"))*Inputs!$B$1+((Inputs!$G$5:$G$110&lt;&gt;"moeda")*(Inputs!$G$5:$G$110&lt;&gt;"acoes")))*INDEX(Inputs!$K$5:$AJ$110,0,MATCH(AD$2,Inputs!$K$4:$AJ$4,0)))+SUMPRODUCT((Inputs!$C$5:$C$110=$B5)*Inputs!$D$5:$D$110*(((Inputs!$G$5:$G$110="moeda")+(Inputs!$G$5:$G$110="acoes"))*Inputs!$B$1+((Inputs!$G$5:$G$110&lt;&gt;"moeda")*(Inputs!$G$5:$G$110&lt;&gt;"acoes")))*INDEX(Inputs!$K$5:$AJ$110,0,MATCH(AD$2,Inputs!$K$4:$AJ$4,0)))+SUMPRODUCT((Inputs!$E$5:$E$110=$B5)*Inputs!$F$5:$F$110*(((Inputs!$G$5:$G$110="moeda")+(Inputs!$G$5:$G$110="acoes"))*Inputs!$B$1+((Inputs!$G$5:$G$110&lt;&gt;"moeda")*(Inputs!$G$5:$G$110&lt;&gt;"acoes")))*INDEX(Inputs!$K$5:$AJ$110,0,MATCH(AD$2,Inputs!$K$4:$AJ$4,0)))))</f>
        <v>-61519</v>
      </c>
      <c r="AE5" s="267" t="e">
        <f>IF(ISNA(MATCH(AE$2,Inputs!$K$4:$AJ$4,0)),NA(),IF(SUMPRODUCT((Inputs!$A$5:$A$110=$B5)*ISNUMBER(INDEX(Inputs!$K$5:$AJ$110,0,MATCH(AE$2,Inputs!$K$4:$AJ$4,0))))+SUMPRODUCT((Inputs!$C$5:$C$110=$B5)*ISNUMBER(INDEX(Inputs!$K$5:$AJ$110,0,MATCH(AE$2,Inputs!$K$4:$AJ$4,0))))+SUMPRODUCT((Inputs!$E$5:$E$110=$B5)*ISNUMBER(INDEX(Inputs!$K$5:$AJ$110,0,MATCH(AE$2,Inputs!$K$4:$AJ$4,0))))=0,NA(),SUMPRODUCT((Inputs!$A$5:$A$110=$B5)*Inputs!$B$5:$B$110*(((Inputs!$G$5:$G$110="moeda")+(Inputs!$G$5:$G$110="acoes"))*Inputs!$B$1+((Inputs!$G$5:$G$110&lt;&gt;"moeda")*(Inputs!$G$5:$G$110&lt;&gt;"acoes")))*INDEX(Inputs!$K$5:$AJ$110,0,MATCH(AE$2,Inputs!$K$4:$AJ$4,0)))+SUMPRODUCT((Inputs!$C$5:$C$110=$B5)*Inputs!$D$5:$D$110*(((Inputs!$G$5:$G$110="moeda")+(Inputs!$G$5:$G$110="acoes"))*Inputs!$B$1+((Inputs!$G$5:$G$110&lt;&gt;"moeda")*(Inputs!$G$5:$G$110&lt;&gt;"acoes")))*INDEX(Inputs!$K$5:$AJ$110,0,MATCH(AE$2,Inputs!$K$4:$AJ$4,0)))+SUMPRODUCT((Inputs!$E$5:$E$110=$B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" s="267" t="e">
        <f>IF(ISNA(MATCH(AF$2,Inputs!$K$4:$AJ$4,0)),NA(),IF(SUMPRODUCT((Inputs!$A$5:$A$110=$B5)*ISNUMBER(INDEX(Inputs!$K$5:$AJ$110,0,MATCH(AF$2,Inputs!$K$4:$AJ$4,0))))+SUMPRODUCT((Inputs!$C$5:$C$110=$B5)*ISNUMBER(INDEX(Inputs!$K$5:$AJ$110,0,MATCH(AF$2,Inputs!$K$4:$AJ$4,0))))+SUMPRODUCT((Inputs!$E$5:$E$110=$B5)*ISNUMBER(INDEX(Inputs!$K$5:$AJ$110,0,MATCH(AF$2,Inputs!$K$4:$AJ$4,0))))=0,NA(),SUMPRODUCT((Inputs!$A$5:$A$110=$B5)*Inputs!$B$5:$B$110*(((Inputs!$G$5:$G$110="moeda")+(Inputs!$G$5:$G$110="acoes"))*Inputs!$B$1+((Inputs!$G$5:$G$110&lt;&gt;"moeda")*(Inputs!$G$5:$G$110&lt;&gt;"acoes")))*INDEX(Inputs!$K$5:$AJ$110,0,MATCH(AF$2,Inputs!$K$4:$AJ$4,0)))+SUMPRODUCT((Inputs!$C$5:$C$110=$B5)*Inputs!$D$5:$D$110*(((Inputs!$G$5:$G$110="moeda")+(Inputs!$G$5:$G$110="acoes"))*Inputs!$B$1+((Inputs!$G$5:$G$110&lt;&gt;"moeda")*(Inputs!$G$5:$G$110&lt;&gt;"acoes")))*INDEX(Inputs!$K$5:$AJ$110,0,MATCH(AF$2,Inputs!$K$4:$AJ$4,0)))+SUMPRODUCT((Inputs!$E$5:$E$110=$B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" s="268" t="e">
        <f>SUM(AC5:AF5)</f>
        <v>#N/A</v>
      </c>
      <c r="AH5" s="267">
        <f>IF(ISNA(MATCH(AH$2,Inputs!$K$4:$AJ$4,0)),NA(),IF(SUMPRODUCT((Inputs!$A$5:$A$110=$B5)*ISNUMBER(INDEX(Inputs!$K$5:$AJ$110,0,MATCH(AH$2,Inputs!$K$4:$AJ$4,0))))+SUMPRODUCT((Inputs!$C$5:$C$110=$B5)*ISNUMBER(INDEX(Inputs!$K$5:$AJ$110,0,MATCH(AH$2,Inputs!$K$4:$AJ$4,0))))+SUMPRODUCT((Inputs!$E$5:$E$110=$B5)*ISNUMBER(INDEX(Inputs!$K$5:$AJ$110,0,MATCH(AH$2,Inputs!$K$4:$AJ$4,0))))=0,NA(),SUMPRODUCT((Inputs!$A$5:$A$110=$B5)*Inputs!$B$5:$B$110*(((Inputs!$G$5:$G$110="moeda")+(Inputs!$G$5:$G$110="acoes"))*Inputs!$B$1+((Inputs!$G$5:$G$110&lt;&gt;"moeda")*(Inputs!$G$5:$G$110&lt;&gt;"acoes")))*INDEX(Inputs!$K$5:$AJ$110,0,MATCH(AH$2,Inputs!$K$4:$AJ$4,0)))+SUMPRODUCT((Inputs!$C$5:$C$110=$B5)*Inputs!$D$5:$D$110*(((Inputs!$G$5:$G$110="moeda")+(Inputs!$G$5:$G$110="acoes"))*Inputs!$B$1+((Inputs!$G$5:$G$110&lt;&gt;"moeda")*(Inputs!$G$5:$G$110&lt;&gt;"acoes")))*INDEX(Inputs!$K$5:$AJ$110,0,MATCH(AH$2,Inputs!$K$4:$AJ$4,0)))+SUMPRODUCT((Inputs!$E$5:$E$110=$B5)*Inputs!$F$5:$F$110*(((Inputs!$G$5:$G$110="moeda")+(Inputs!$G$5:$G$110="acoes"))*Inputs!$B$1+((Inputs!$G$5:$G$110&lt;&gt;"moeda")*(Inputs!$G$5:$G$110&lt;&gt;"acoes")))*INDEX(Inputs!$K$5:$AJ$110,0,MATCH(AH$2,Inputs!$K$4:$AJ$4,0)))))</f>
        <v>-34056</v>
      </c>
      <c r="AI5" s="267">
        <f>IF(ISNA(MATCH(AI$2,Inputs!$K$4:$AJ$4,0)),NA(),IF(SUMPRODUCT((Inputs!$A$5:$A$110=$B5)*ISNUMBER(INDEX(Inputs!$K$5:$AJ$110,0,MATCH(AI$2,Inputs!$K$4:$AJ$4,0))))+SUMPRODUCT((Inputs!$C$5:$C$110=$B5)*ISNUMBER(INDEX(Inputs!$K$5:$AJ$110,0,MATCH(AI$2,Inputs!$K$4:$AJ$4,0))))+SUMPRODUCT((Inputs!$E$5:$E$110=$B5)*ISNUMBER(INDEX(Inputs!$K$5:$AJ$110,0,MATCH(AI$2,Inputs!$K$4:$AJ$4,0))))=0,NA(),SUMPRODUCT((Inputs!$A$5:$A$110=$B5)*Inputs!$B$5:$B$110*(((Inputs!$G$5:$G$110="moeda")+(Inputs!$G$5:$G$110="acoes"))*Inputs!$B$1+((Inputs!$G$5:$G$110&lt;&gt;"moeda")*(Inputs!$G$5:$G$110&lt;&gt;"acoes")))*INDEX(Inputs!$K$5:$AJ$110,0,MATCH(AI$2,Inputs!$K$4:$AJ$4,0)))+SUMPRODUCT((Inputs!$C$5:$C$110=$B5)*Inputs!$D$5:$D$110*(((Inputs!$G$5:$G$110="moeda")+(Inputs!$G$5:$G$110="acoes"))*Inputs!$B$1+((Inputs!$G$5:$G$110&lt;&gt;"moeda")*(Inputs!$G$5:$G$110&lt;&gt;"acoes")))*INDEX(Inputs!$K$5:$AJ$110,0,MATCH(AI$2,Inputs!$K$4:$AJ$4,0)))+SUMPRODUCT((Inputs!$E$5:$E$110=$B5)*Inputs!$F$5:$F$110*(((Inputs!$G$5:$G$110="moeda")+(Inputs!$G$5:$G$110="acoes"))*Inputs!$B$1+((Inputs!$G$5:$G$110&lt;&gt;"moeda")*(Inputs!$G$5:$G$110&lt;&gt;"acoes")))*INDEX(Inputs!$K$5:$AJ$110,0,MATCH(AI$2,Inputs!$K$4:$AJ$4,0)))))</f>
        <v>-32249</v>
      </c>
      <c r="AJ5" s="267">
        <f>IF(ISNA(MATCH(AJ$2,Inputs!$K$4:$AJ$4,0)),NA(),IF(SUMPRODUCT((Inputs!$A$5:$A$110=$B5)*ISNUMBER(INDEX(Inputs!$K$5:$AJ$110,0,MATCH(AJ$2,Inputs!$K$4:$AJ$4,0))))+SUMPRODUCT((Inputs!$C$5:$C$110=$B5)*ISNUMBER(INDEX(Inputs!$K$5:$AJ$110,0,MATCH(AJ$2,Inputs!$K$4:$AJ$4,0))))+SUMPRODUCT((Inputs!$E$5:$E$110=$B5)*ISNUMBER(INDEX(Inputs!$K$5:$AJ$110,0,MATCH(AJ$2,Inputs!$K$4:$AJ$4,0))))=0,NA(),SUMPRODUCT((Inputs!$A$5:$A$110=$B5)*Inputs!$B$5:$B$110*(((Inputs!$G$5:$G$110="moeda")+(Inputs!$G$5:$G$110="acoes"))*Inputs!$B$1+((Inputs!$G$5:$G$110&lt;&gt;"moeda")*(Inputs!$G$5:$G$110&lt;&gt;"acoes")))*INDEX(Inputs!$K$5:$AJ$110,0,MATCH(AJ$2,Inputs!$K$4:$AJ$4,0)))+SUMPRODUCT((Inputs!$C$5:$C$110=$B5)*Inputs!$D$5:$D$110*(((Inputs!$G$5:$G$110="moeda")+(Inputs!$G$5:$G$110="acoes"))*Inputs!$B$1+((Inputs!$G$5:$G$110&lt;&gt;"moeda")*(Inputs!$G$5:$G$110&lt;&gt;"acoes")))*INDEX(Inputs!$K$5:$AJ$110,0,MATCH(AJ$2,Inputs!$K$4:$AJ$4,0)))+SUMPRODUCT((Inputs!$E$5:$E$110=$B5)*Inputs!$F$5:$F$110*(((Inputs!$G$5:$G$110="moeda")+(Inputs!$G$5:$G$110="acoes"))*Inputs!$B$1+((Inputs!$G$5:$G$110&lt;&gt;"moeda")*(Inputs!$G$5:$G$110&lt;&gt;"acoes")))*INDEX(Inputs!$K$5:$AJ$110,0,MATCH(AJ$2,Inputs!$K$4:$AJ$4,0)))))</f>
        <v>-46401</v>
      </c>
      <c r="AK5" s="267">
        <f>IF(ISNA(MATCH(AK$2,Inputs!$K$4:$AJ$4,0)),NA(),IF(SUMPRODUCT((Inputs!$A$5:$A$110=$B5)*ISNUMBER(INDEX(Inputs!$K$5:$AJ$110,0,MATCH(AK$2,Inputs!$K$4:$AJ$4,0))))+SUMPRODUCT((Inputs!$C$5:$C$110=$B5)*ISNUMBER(INDEX(Inputs!$K$5:$AJ$110,0,MATCH(AK$2,Inputs!$K$4:$AJ$4,0))))+SUMPRODUCT((Inputs!$E$5:$E$110=$B5)*ISNUMBER(INDEX(Inputs!$K$5:$AJ$110,0,MATCH(AK$2,Inputs!$K$4:$AJ$4,0))))=0,NA(),SUMPRODUCT((Inputs!$A$5:$A$110=$B5)*Inputs!$B$5:$B$110*(((Inputs!$G$5:$G$110="moeda")+(Inputs!$G$5:$G$110="acoes"))*Inputs!$B$1+((Inputs!$G$5:$G$110&lt;&gt;"moeda")*(Inputs!$G$5:$G$110&lt;&gt;"acoes")))*INDEX(Inputs!$K$5:$AJ$110,0,MATCH(AK$2,Inputs!$K$4:$AJ$4,0)))+SUMPRODUCT((Inputs!$C$5:$C$110=$B5)*Inputs!$D$5:$D$110*(((Inputs!$G$5:$G$110="moeda")+(Inputs!$G$5:$G$110="acoes"))*Inputs!$B$1+((Inputs!$G$5:$G$110&lt;&gt;"moeda")*(Inputs!$G$5:$G$110&lt;&gt;"acoes")))*INDEX(Inputs!$K$5:$AJ$110,0,MATCH(AK$2,Inputs!$K$4:$AJ$4,0)))+SUMPRODUCT((Inputs!$E$5:$E$110=$B5)*Inputs!$F$5:$F$110*(((Inputs!$G$5:$G$110="moeda")+(Inputs!$G$5:$G$110="acoes"))*Inputs!$B$1+((Inputs!$G$5:$G$110&lt;&gt;"moeda")*(Inputs!$G$5:$G$110&lt;&gt;"acoes")))*INDEX(Inputs!$K$5:$AJ$110,0,MATCH(AK$2,Inputs!$K$4:$AJ$4,0)))))</f>
        <v>-37458</v>
      </c>
      <c r="AL5" s="268">
        <f>SUM(AH5:AK5)</f>
        <v>-150164</v>
      </c>
    </row>
    <row r="6" ht="12.75" customHeight="1" s="255">
      <c r="B6" s="265" t="n">
        <v>3</v>
      </c>
      <c r="C6" s="269" t="inlineStr">
        <is>
          <t>SG&amp;A and Other (cash)</t>
        </is>
      </c>
      <c r="D6" s="267">
        <f>IF(ISNA(MATCH(D$2,Inputs!$K$4:$AJ$4,0)),NA(),IF(SUMPRODUCT((Inputs!$A$5:$A$110=$B6)*ISNUMBER(INDEX(Inputs!$K$5:$AJ$110,0,MATCH(D$2,Inputs!$K$4:$AJ$4,0))))+SUMPRODUCT((Inputs!$C$5:$C$110=$B6)*ISNUMBER(INDEX(Inputs!$K$5:$AJ$110,0,MATCH(D$2,Inputs!$K$4:$AJ$4,0))))+SUMPRODUCT((Inputs!$E$5:$E$110=$B6)*ISNUMBER(INDEX(Inputs!$K$5:$AJ$110,0,MATCH(D$2,Inputs!$K$4:$AJ$4,0))))=0,NA(),SUMPRODUCT((Inputs!$A$5:$A$110=$B6)*Inputs!$B$5:$B$110*(((Inputs!$G$5:$G$110="moeda")+(Inputs!$G$5:$G$110="acoes"))*Inputs!$B$1+((Inputs!$G$5:$G$110&lt;&gt;"moeda")*(Inputs!$G$5:$G$110&lt;&gt;"acoes")))*INDEX(Inputs!$K$5:$AJ$110,0,MATCH(D$2,Inputs!$K$4:$AJ$4,0)))+SUMPRODUCT((Inputs!$C$5:$C$110=$B6)*Inputs!$D$5:$D$110*(((Inputs!$G$5:$G$110="moeda")+(Inputs!$G$5:$G$110="acoes"))*Inputs!$B$1+((Inputs!$G$5:$G$110&lt;&gt;"moeda")*(Inputs!$G$5:$G$110&lt;&gt;"acoes")))*INDEX(Inputs!$K$5:$AJ$110,0,MATCH(D$2,Inputs!$K$4:$AJ$4,0)))+SUMPRODUCT((Inputs!$E$5:$E$110=$B6)*Inputs!$F$5:$F$110*(((Inputs!$G$5:$G$110="moeda")+(Inputs!$G$5:$G$110="acoes"))*Inputs!$B$1+((Inputs!$G$5:$G$110&lt;&gt;"moeda")*(Inputs!$G$5:$G$110&lt;&gt;"acoes")))*INDEX(Inputs!$K$5:$AJ$110,0,MATCH(D$2,Inputs!$K$4:$AJ$4,0)))))</f>
        <v>-3935</v>
      </c>
      <c r="E6" s="267">
        <f>IF(ISNA(MATCH(E$2,Inputs!$K$4:$AJ$4,0)),NA(),IF(SUMPRODUCT((Inputs!$A$5:$A$110=$B6)*ISNUMBER(INDEX(Inputs!$K$5:$AJ$110,0,MATCH(E$2,Inputs!$K$4:$AJ$4,0))))+SUMPRODUCT((Inputs!$C$5:$C$110=$B6)*ISNUMBER(INDEX(Inputs!$K$5:$AJ$110,0,MATCH(E$2,Inputs!$K$4:$AJ$4,0))))+SUMPRODUCT((Inputs!$E$5:$E$110=$B6)*ISNUMBER(INDEX(Inputs!$K$5:$AJ$110,0,MATCH(E$2,Inputs!$K$4:$AJ$4,0))))=0,NA(),SUMPRODUCT((Inputs!$A$5:$A$110=$B6)*Inputs!$B$5:$B$110*(((Inputs!$G$5:$G$110="moeda")+(Inputs!$G$5:$G$110="acoes"))*Inputs!$B$1+((Inputs!$G$5:$G$110&lt;&gt;"moeda")*(Inputs!$G$5:$G$110&lt;&gt;"acoes")))*INDEX(Inputs!$K$5:$AJ$110,0,MATCH(E$2,Inputs!$K$4:$AJ$4,0)))+SUMPRODUCT((Inputs!$C$5:$C$110=$B6)*Inputs!$D$5:$D$110*(((Inputs!$G$5:$G$110="moeda")+(Inputs!$G$5:$G$110="acoes"))*Inputs!$B$1+((Inputs!$G$5:$G$110&lt;&gt;"moeda")*(Inputs!$G$5:$G$110&lt;&gt;"acoes")))*INDEX(Inputs!$K$5:$AJ$110,0,MATCH(E$2,Inputs!$K$4:$AJ$4,0)))+SUMPRODUCT((Inputs!$E$5:$E$110=$B6)*Inputs!$F$5:$F$110*(((Inputs!$G$5:$G$110="moeda")+(Inputs!$G$5:$G$110="acoes"))*Inputs!$B$1+((Inputs!$G$5:$G$110&lt;&gt;"moeda")*(Inputs!$G$5:$G$110&lt;&gt;"acoes")))*INDEX(Inputs!$K$5:$AJ$110,0,MATCH(E$2,Inputs!$K$4:$AJ$4,0)))))</f>
        <v>-3797</v>
      </c>
      <c r="F6" s="267">
        <f>IF(ISNA(MATCH(F$2,Inputs!$K$4:$AJ$4,0)),NA(),IF(SUMPRODUCT((Inputs!$A$5:$A$110=$B6)*ISNUMBER(INDEX(Inputs!$K$5:$AJ$110,0,MATCH(F$2,Inputs!$K$4:$AJ$4,0))))+SUMPRODUCT((Inputs!$C$5:$C$110=$B6)*ISNUMBER(INDEX(Inputs!$K$5:$AJ$110,0,MATCH(F$2,Inputs!$K$4:$AJ$4,0))))+SUMPRODUCT((Inputs!$E$5:$E$110=$B6)*ISNUMBER(INDEX(Inputs!$K$5:$AJ$110,0,MATCH(F$2,Inputs!$K$4:$AJ$4,0))))=0,NA(),SUMPRODUCT((Inputs!$A$5:$A$110=$B6)*Inputs!$B$5:$B$110*(((Inputs!$G$5:$G$110="moeda")+(Inputs!$G$5:$G$110="acoes"))*Inputs!$B$1+((Inputs!$G$5:$G$110&lt;&gt;"moeda")*(Inputs!$G$5:$G$110&lt;&gt;"acoes")))*INDEX(Inputs!$K$5:$AJ$110,0,MATCH(F$2,Inputs!$K$4:$AJ$4,0)))+SUMPRODUCT((Inputs!$C$5:$C$110=$B6)*Inputs!$D$5:$D$110*(((Inputs!$G$5:$G$110="moeda")+(Inputs!$G$5:$G$110="acoes"))*Inputs!$B$1+((Inputs!$G$5:$G$110&lt;&gt;"moeda")*(Inputs!$G$5:$G$110&lt;&gt;"acoes")))*INDEX(Inputs!$K$5:$AJ$110,0,MATCH(F$2,Inputs!$K$4:$AJ$4,0)))+SUMPRODUCT((Inputs!$E$5:$E$110=$B6)*Inputs!$F$5:$F$110*(((Inputs!$G$5:$G$110="moeda")+(Inputs!$G$5:$G$110="acoes"))*Inputs!$B$1+((Inputs!$G$5:$G$110&lt;&gt;"moeda")*(Inputs!$G$5:$G$110&lt;&gt;"acoes")))*INDEX(Inputs!$K$5:$AJ$110,0,MATCH(F$2,Inputs!$K$4:$AJ$4,0)))))</f>
        <v>-5108</v>
      </c>
      <c r="G6" s="267">
        <f>IF(ISNA(MATCH(G$2,Inputs!$K$4:$AJ$4,0)),NA(),IF(SUMPRODUCT((Inputs!$A$5:$A$110=$B6)*ISNUMBER(INDEX(Inputs!$K$5:$AJ$110,0,MATCH(G$2,Inputs!$K$4:$AJ$4,0))))+SUMPRODUCT((Inputs!$C$5:$C$110=$B6)*ISNUMBER(INDEX(Inputs!$K$5:$AJ$110,0,MATCH(G$2,Inputs!$K$4:$AJ$4,0))))+SUMPRODUCT((Inputs!$E$5:$E$110=$B6)*ISNUMBER(INDEX(Inputs!$K$5:$AJ$110,0,MATCH(G$2,Inputs!$K$4:$AJ$4,0))))=0,NA(),SUMPRODUCT((Inputs!$A$5:$A$110=$B6)*Inputs!$B$5:$B$110*(((Inputs!$G$5:$G$110="moeda")+(Inputs!$G$5:$G$110="acoes"))*Inputs!$B$1+((Inputs!$G$5:$G$110&lt;&gt;"moeda")*(Inputs!$G$5:$G$110&lt;&gt;"acoes")))*INDEX(Inputs!$K$5:$AJ$110,0,MATCH(G$2,Inputs!$K$4:$AJ$4,0)))+SUMPRODUCT((Inputs!$C$5:$C$110=$B6)*Inputs!$D$5:$D$110*(((Inputs!$G$5:$G$110="moeda")+(Inputs!$G$5:$G$110="acoes"))*Inputs!$B$1+((Inputs!$G$5:$G$110&lt;&gt;"moeda")*(Inputs!$G$5:$G$110&lt;&gt;"acoes")))*INDEX(Inputs!$K$5:$AJ$110,0,MATCH(G$2,Inputs!$K$4:$AJ$4,0)))+SUMPRODUCT((Inputs!$E$5:$E$110=$B6)*Inputs!$F$5:$F$110*(((Inputs!$G$5:$G$110="moeda")+(Inputs!$G$5:$G$110="acoes"))*Inputs!$B$1+((Inputs!$G$5:$G$110&lt;&gt;"moeda")*(Inputs!$G$5:$G$110&lt;&gt;"acoes")))*INDEX(Inputs!$K$5:$AJ$110,0,MATCH(G$2,Inputs!$K$4:$AJ$4,0)))))</f>
        <v>-4286</v>
      </c>
      <c r="H6" s="268">
        <f>SUM(D6:G6)</f>
        <v>-17126</v>
      </c>
      <c r="I6" s="267">
        <f>IF(ISNA(MATCH(I$2,Inputs!$K$4:$AJ$4,0)),NA(),IF(SUMPRODUCT((Inputs!$A$5:$A$110=$B6)*ISNUMBER(INDEX(Inputs!$K$5:$AJ$110,0,MATCH(I$2,Inputs!$K$4:$AJ$4,0))))+SUMPRODUCT((Inputs!$C$5:$C$110=$B6)*ISNUMBER(INDEX(Inputs!$K$5:$AJ$110,0,MATCH(I$2,Inputs!$K$4:$AJ$4,0))))+SUMPRODUCT((Inputs!$E$5:$E$110=$B6)*ISNUMBER(INDEX(Inputs!$K$5:$AJ$110,0,MATCH(I$2,Inputs!$K$4:$AJ$4,0))))=0,NA(),SUMPRODUCT((Inputs!$A$5:$A$110=$B6)*Inputs!$B$5:$B$110*(((Inputs!$G$5:$G$110="moeda")+(Inputs!$G$5:$G$110="acoes"))*Inputs!$B$1+((Inputs!$G$5:$G$110&lt;&gt;"moeda")*(Inputs!$G$5:$G$110&lt;&gt;"acoes")))*INDEX(Inputs!$K$5:$AJ$110,0,MATCH(I$2,Inputs!$K$4:$AJ$4,0)))+SUMPRODUCT((Inputs!$C$5:$C$110=$B6)*Inputs!$D$5:$D$110*(((Inputs!$G$5:$G$110="moeda")+(Inputs!$G$5:$G$110="acoes"))*Inputs!$B$1+((Inputs!$G$5:$G$110&lt;&gt;"moeda")*(Inputs!$G$5:$G$110&lt;&gt;"acoes")))*INDEX(Inputs!$K$5:$AJ$110,0,MATCH(I$2,Inputs!$K$4:$AJ$4,0)))+SUMPRODUCT((Inputs!$E$5:$E$110=$B6)*Inputs!$F$5:$F$110*(((Inputs!$G$5:$G$110="moeda")+(Inputs!$G$5:$G$110="acoes"))*Inputs!$B$1+((Inputs!$G$5:$G$110&lt;&gt;"moeda")*(Inputs!$G$5:$G$110&lt;&gt;"acoes")))*INDEX(Inputs!$K$5:$AJ$110,0,MATCH(I$2,Inputs!$K$4:$AJ$4,0)))))</f>
        <v>-4139</v>
      </c>
      <c r="J6" s="267">
        <f>IF(ISNA(MATCH(J$2,Inputs!$K$4:$AJ$4,0)),NA(),IF(SUMPRODUCT((Inputs!$A$5:$A$110=$B6)*ISNUMBER(INDEX(Inputs!$K$5:$AJ$110,0,MATCH(J$2,Inputs!$K$4:$AJ$4,0))))+SUMPRODUCT((Inputs!$C$5:$C$110=$B6)*ISNUMBER(INDEX(Inputs!$K$5:$AJ$110,0,MATCH(J$2,Inputs!$K$4:$AJ$4,0))))+SUMPRODUCT((Inputs!$E$5:$E$110=$B6)*ISNUMBER(INDEX(Inputs!$K$5:$AJ$110,0,MATCH(J$2,Inputs!$K$4:$AJ$4,0))))=0,NA(),SUMPRODUCT((Inputs!$A$5:$A$110=$B6)*Inputs!$B$5:$B$110*(((Inputs!$G$5:$G$110="moeda")+(Inputs!$G$5:$G$110="acoes"))*Inputs!$B$1+((Inputs!$G$5:$G$110&lt;&gt;"moeda")*(Inputs!$G$5:$G$110&lt;&gt;"acoes")))*INDEX(Inputs!$K$5:$AJ$110,0,MATCH(J$2,Inputs!$K$4:$AJ$4,0)))+SUMPRODUCT((Inputs!$C$5:$C$110=$B6)*Inputs!$D$5:$D$110*(((Inputs!$G$5:$G$110="moeda")+(Inputs!$G$5:$G$110="acoes"))*Inputs!$B$1+((Inputs!$G$5:$G$110&lt;&gt;"moeda")*(Inputs!$G$5:$G$110&lt;&gt;"acoes")))*INDEX(Inputs!$K$5:$AJ$110,0,MATCH(J$2,Inputs!$K$4:$AJ$4,0)))+SUMPRODUCT((Inputs!$E$5:$E$110=$B6)*Inputs!$F$5:$F$110*(((Inputs!$G$5:$G$110="moeda")+(Inputs!$G$5:$G$110="acoes"))*Inputs!$B$1+((Inputs!$G$5:$G$110&lt;&gt;"moeda")*(Inputs!$G$5:$G$110&lt;&gt;"acoes")))*INDEX(Inputs!$K$5:$AJ$110,0,MATCH(J$2,Inputs!$K$4:$AJ$4,0)))))</f>
        <v>-4012</v>
      </c>
      <c r="K6" s="267">
        <f>IF(ISNA(MATCH(K$2,Inputs!$K$4:$AJ$4,0)),NA(),IF(SUMPRODUCT((Inputs!$A$5:$A$110=$B6)*ISNUMBER(INDEX(Inputs!$K$5:$AJ$110,0,MATCH(K$2,Inputs!$K$4:$AJ$4,0))))+SUMPRODUCT((Inputs!$C$5:$C$110=$B6)*ISNUMBER(INDEX(Inputs!$K$5:$AJ$110,0,MATCH(K$2,Inputs!$K$4:$AJ$4,0))))+SUMPRODUCT((Inputs!$E$5:$E$110=$B6)*ISNUMBER(INDEX(Inputs!$K$5:$AJ$110,0,MATCH(K$2,Inputs!$K$4:$AJ$4,0))))=0,NA(),SUMPRODUCT((Inputs!$A$5:$A$110=$B6)*Inputs!$B$5:$B$110*(((Inputs!$G$5:$G$110="moeda")+(Inputs!$G$5:$G$110="acoes"))*Inputs!$B$1+((Inputs!$G$5:$G$110&lt;&gt;"moeda")*(Inputs!$G$5:$G$110&lt;&gt;"acoes")))*INDEX(Inputs!$K$5:$AJ$110,0,MATCH(K$2,Inputs!$K$4:$AJ$4,0)))+SUMPRODUCT((Inputs!$C$5:$C$110=$B6)*Inputs!$D$5:$D$110*(((Inputs!$G$5:$G$110="moeda")+(Inputs!$G$5:$G$110="acoes"))*Inputs!$B$1+((Inputs!$G$5:$G$110&lt;&gt;"moeda")*(Inputs!$G$5:$G$110&lt;&gt;"acoes")))*INDEX(Inputs!$K$5:$AJ$110,0,MATCH(K$2,Inputs!$K$4:$AJ$4,0)))+SUMPRODUCT((Inputs!$E$5:$E$110=$B6)*Inputs!$F$5:$F$110*(((Inputs!$G$5:$G$110="moeda")+(Inputs!$G$5:$G$110="acoes"))*Inputs!$B$1+((Inputs!$G$5:$G$110&lt;&gt;"moeda")*(Inputs!$G$5:$G$110&lt;&gt;"acoes")))*INDEX(Inputs!$K$5:$AJ$110,0,MATCH(K$2,Inputs!$K$4:$AJ$4,0)))))</f>
        <v>-5442</v>
      </c>
      <c r="L6" s="267">
        <f>IF(ISNA(MATCH(L$2,Inputs!$K$4:$AJ$4,0)),NA(),IF(SUMPRODUCT((Inputs!$A$5:$A$110=$B6)*ISNUMBER(INDEX(Inputs!$K$5:$AJ$110,0,MATCH(L$2,Inputs!$K$4:$AJ$4,0))))+SUMPRODUCT((Inputs!$C$5:$C$110=$B6)*ISNUMBER(INDEX(Inputs!$K$5:$AJ$110,0,MATCH(L$2,Inputs!$K$4:$AJ$4,0))))+SUMPRODUCT((Inputs!$E$5:$E$110=$B6)*ISNUMBER(INDEX(Inputs!$K$5:$AJ$110,0,MATCH(L$2,Inputs!$K$4:$AJ$4,0))))=0,NA(),SUMPRODUCT((Inputs!$A$5:$A$110=$B6)*Inputs!$B$5:$B$110*(((Inputs!$G$5:$G$110="moeda")+(Inputs!$G$5:$G$110="acoes"))*Inputs!$B$1+((Inputs!$G$5:$G$110&lt;&gt;"moeda")*(Inputs!$G$5:$G$110&lt;&gt;"acoes")))*INDEX(Inputs!$K$5:$AJ$110,0,MATCH(L$2,Inputs!$K$4:$AJ$4,0)))+SUMPRODUCT((Inputs!$C$5:$C$110=$B6)*Inputs!$D$5:$D$110*(((Inputs!$G$5:$G$110="moeda")+(Inputs!$G$5:$G$110="acoes"))*Inputs!$B$1+((Inputs!$G$5:$G$110&lt;&gt;"moeda")*(Inputs!$G$5:$G$110&lt;&gt;"acoes")))*INDEX(Inputs!$K$5:$AJ$110,0,MATCH(L$2,Inputs!$K$4:$AJ$4,0)))+SUMPRODUCT((Inputs!$E$5:$E$110=$B6)*Inputs!$F$5:$F$110*(((Inputs!$G$5:$G$110="moeda")+(Inputs!$G$5:$G$110="acoes"))*Inputs!$B$1+((Inputs!$G$5:$G$110&lt;&gt;"moeda")*(Inputs!$G$5:$G$110&lt;&gt;"acoes")))*INDEX(Inputs!$K$5:$AJ$110,0,MATCH(L$2,Inputs!$K$4:$AJ$4,0)))))</f>
        <v>-4470</v>
      </c>
      <c r="M6" s="268">
        <f>SUM(I6:L6)</f>
        <v>-18063</v>
      </c>
      <c r="N6" s="267">
        <f>IF(ISNA(MATCH(N$2,Inputs!$K$4:$AJ$4,0)),NA(),IF(SUMPRODUCT((Inputs!$A$5:$A$110=$B6)*ISNUMBER(INDEX(Inputs!$K$5:$AJ$110,0,MATCH(N$2,Inputs!$K$4:$AJ$4,0))))+SUMPRODUCT((Inputs!$C$5:$C$110=$B6)*ISNUMBER(INDEX(Inputs!$K$5:$AJ$110,0,MATCH(N$2,Inputs!$K$4:$AJ$4,0))))+SUMPRODUCT((Inputs!$E$5:$E$110=$B6)*ISNUMBER(INDEX(Inputs!$K$5:$AJ$110,0,MATCH(N$2,Inputs!$K$4:$AJ$4,0))))=0,NA(),SUMPRODUCT((Inputs!$A$5:$A$110=$B6)*Inputs!$B$5:$B$110*(((Inputs!$G$5:$G$110="moeda")+(Inputs!$G$5:$G$110="acoes"))*Inputs!$B$1+((Inputs!$G$5:$G$110&lt;&gt;"moeda")*(Inputs!$G$5:$G$110&lt;&gt;"acoes")))*INDEX(Inputs!$K$5:$AJ$110,0,MATCH(N$2,Inputs!$K$4:$AJ$4,0)))+SUMPRODUCT((Inputs!$C$5:$C$110=$B6)*Inputs!$D$5:$D$110*(((Inputs!$G$5:$G$110="moeda")+(Inputs!$G$5:$G$110="acoes"))*Inputs!$B$1+((Inputs!$G$5:$G$110&lt;&gt;"moeda")*(Inputs!$G$5:$G$110&lt;&gt;"acoes")))*INDEX(Inputs!$K$5:$AJ$110,0,MATCH(N$2,Inputs!$K$4:$AJ$4,0)))+SUMPRODUCT((Inputs!$E$5:$E$110=$B6)*Inputs!$F$5:$F$110*(((Inputs!$G$5:$G$110="moeda")+(Inputs!$G$5:$G$110="acoes"))*Inputs!$B$1+((Inputs!$G$5:$G$110&lt;&gt;"moeda")*(Inputs!$G$5:$G$110&lt;&gt;"acoes")))*INDEX(Inputs!$K$5:$AJ$110,0,MATCH(N$2,Inputs!$K$4:$AJ$4,0)))))</f>
        <v>-4470</v>
      </c>
      <c r="O6" s="267">
        <f>IF(ISNA(MATCH(O$2,Inputs!$K$4:$AJ$4,0)),NA(),IF(SUMPRODUCT((Inputs!$A$5:$A$110=$B6)*ISNUMBER(INDEX(Inputs!$K$5:$AJ$110,0,MATCH(O$2,Inputs!$K$4:$AJ$4,0))))+SUMPRODUCT((Inputs!$C$5:$C$110=$B6)*ISNUMBER(INDEX(Inputs!$K$5:$AJ$110,0,MATCH(O$2,Inputs!$K$4:$AJ$4,0))))+SUMPRODUCT((Inputs!$E$5:$E$110=$B6)*ISNUMBER(INDEX(Inputs!$K$5:$AJ$110,0,MATCH(O$2,Inputs!$K$4:$AJ$4,0))))=0,NA(),SUMPRODUCT((Inputs!$A$5:$A$110=$B6)*Inputs!$B$5:$B$110*(((Inputs!$G$5:$G$110="moeda")+(Inputs!$G$5:$G$110="acoes"))*Inputs!$B$1+((Inputs!$G$5:$G$110&lt;&gt;"moeda")*(Inputs!$G$5:$G$110&lt;&gt;"acoes")))*INDEX(Inputs!$K$5:$AJ$110,0,MATCH(O$2,Inputs!$K$4:$AJ$4,0)))+SUMPRODUCT((Inputs!$C$5:$C$110=$B6)*Inputs!$D$5:$D$110*(((Inputs!$G$5:$G$110="moeda")+(Inputs!$G$5:$G$110="acoes"))*Inputs!$B$1+((Inputs!$G$5:$G$110&lt;&gt;"moeda")*(Inputs!$G$5:$G$110&lt;&gt;"acoes")))*INDEX(Inputs!$K$5:$AJ$110,0,MATCH(O$2,Inputs!$K$4:$AJ$4,0)))+SUMPRODUCT((Inputs!$E$5:$E$110=$B6)*Inputs!$F$5:$F$110*(((Inputs!$G$5:$G$110="moeda")+(Inputs!$G$5:$G$110="acoes"))*Inputs!$B$1+((Inputs!$G$5:$G$110&lt;&gt;"moeda")*(Inputs!$G$5:$G$110&lt;&gt;"acoes")))*INDEX(Inputs!$K$5:$AJ$110,0,MATCH(O$2,Inputs!$K$4:$AJ$4,0)))))</f>
        <v>-4322</v>
      </c>
      <c r="P6" s="267">
        <f>IF(ISNA(MATCH(P$2,Inputs!$K$4:$AJ$4,0)),NA(),IF(SUMPRODUCT((Inputs!$A$5:$A$110=$B6)*ISNUMBER(INDEX(Inputs!$K$5:$AJ$110,0,MATCH(P$2,Inputs!$K$4:$AJ$4,0))))+SUMPRODUCT((Inputs!$C$5:$C$110=$B6)*ISNUMBER(INDEX(Inputs!$K$5:$AJ$110,0,MATCH(P$2,Inputs!$K$4:$AJ$4,0))))+SUMPRODUCT((Inputs!$E$5:$E$110=$B6)*ISNUMBER(INDEX(Inputs!$K$5:$AJ$110,0,MATCH(P$2,Inputs!$K$4:$AJ$4,0))))=0,NA(),SUMPRODUCT((Inputs!$A$5:$A$110=$B6)*Inputs!$B$5:$B$110*(((Inputs!$G$5:$G$110="moeda")+(Inputs!$G$5:$G$110="acoes"))*Inputs!$B$1+((Inputs!$G$5:$G$110&lt;&gt;"moeda")*(Inputs!$G$5:$G$110&lt;&gt;"acoes")))*INDEX(Inputs!$K$5:$AJ$110,0,MATCH(P$2,Inputs!$K$4:$AJ$4,0)))+SUMPRODUCT((Inputs!$C$5:$C$110=$B6)*Inputs!$D$5:$D$110*(((Inputs!$G$5:$G$110="moeda")+(Inputs!$G$5:$G$110="acoes"))*Inputs!$B$1+((Inputs!$G$5:$G$110&lt;&gt;"moeda")*(Inputs!$G$5:$G$110&lt;&gt;"acoes")))*INDEX(Inputs!$K$5:$AJ$110,0,MATCH(P$2,Inputs!$K$4:$AJ$4,0)))+SUMPRODUCT((Inputs!$E$5:$E$110=$B6)*Inputs!$F$5:$F$110*(((Inputs!$G$5:$G$110="moeda")+(Inputs!$G$5:$G$110="acoes"))*Inputs!$B$1+((Inputs!$G$5:$G$110&lt;&gt;"moeda")*(Inputs!$G$5:$G$110&lt;&gt;"acoes")))*INDEX(Inputs!$K$5:$AJ$110,0,MATCH(P$2,Inputs!$K$4:$AJ$4,0)))))</f>
        <v>-6251</v>
      </c>
      <c r="Q6" s="267">
        <f>IF(ISNA(MATCH(Q$2,Inputs!$K$4:$AJ$4,0)),NA(),IF(SUMPRODUCT((Inputs!$A$5:$A$110=$B6)*ISNUMBER(INDEX(Inputs!$K$5:$AJ$110,0,MATCH(Q$2,Inputs!$K$4:$AJ$4,0))))+SUMPRODUCT((Inputs!$C$5:$C$110=$B6)*ISNUMBER(INDEX(Inputs!$K$5:$AJ$110,0,MATCH(Q$2,Inputs!$K$4:$AJ$4,0))))+SUMPRODUCT((Inputs!$E$5:$E$110=$B6)*ISNUMBER(INDEX(Inputs!$K$5:$AJ$110,0,MATCH(Q$2,Inputs!$K$4:$AJ$4,0))))=0,NA(),SUMPRODUCT((Inputs!$A$5:$A$110=$B6)*Inputs!$B$5:$B$110*(((Inputs!$G$5:$G$110="moeda")+(Inputs!$G$5:$G$110="acoes"))*Inputs!$B$1+((Inputs!$G$5:$G$110&lt;&gt;"moeda")*(Inputs!$G$5:$G$110&lt;&gt;"acoes")))*INDEX(Inputs!$K$5:$AJ$110,0,MATCH(Q$2,Inputs!$K$4:$AJ$4,0)))+SUMPRODUCT((Inputs!$C$5:$C$110=$B6)*Inputs!$D$5:$D$110*(((Inputs!$G$5:$G$110="moeda")+(Inputs!$G$5:$G$110="acoes"))*Inputs!$B$1+((Inputs!$G$5:$G$110&lt;&gt;"moeda")*(Inputs!$G$5:$G$110&lt;&gt;"acoes")))*INDEX(Inputs!$K$5:$AJ$110,0,MATCH(Q$2,Inputs!$K$4:$AJ$4,0)))+SUMPRODUCT((Inputs!$E$5:$E$110=$B6)*Inputs!$F$5:$F$110*(((Inputs!$G$5:$G$110="moeda")+(Inputs!$G$5:$G$110="acoes"))*Inputs!$B$1+((Inputs!$G$5:$G$110&lt;&gt;"moeda")*(Inputs!$G$5:$G$110&lt;&gt;"acoes")))*INDEX(Inputs!$K$5:$AJ$110,0,MATCH(Q$2,Inputs!$K$4:$AJ$4,0)))))</f>
        <v>-4857</v>
      </c>
      <c r="R6" s="268">
        <f>SUM(N6:Q6)</f>
        <v>-19900</v>
      </c>
      <c r="S6" s="267">
        <f>IF(ISNA(MATCH(S$2,Inputs!$K$4:$AJ$4,0)),NA(),IF(SUMPRODUCT((Inputs!$A$5:$A$110=$B6)*ISNUMBER(INDEX(Inputs!$K$5:$AJ$110,0,MATCH(S$2,Inputs!$K$4:$AJ$4,0))))+SUMPRODUCT((Inputs!$C$5:$C$110=$B6)*ISNUMBER(INDEX(Inputs!$K$5:$AJ$110,0,MATCH(S$2,Inputs!$K$4:$AJ$4,0))))+SUMPRODUCT((Inputs!$E$5:$E$110=$B6)*ISNUMBER(INDEX(Inputs!$K$5:$AJ$110,0,MATCH(S$2,Inputs!$K$4:$AJ$4,0))))=0,NA(),SUMPRODUCT((Inputs!$A$5:$A$110=$B6)*Inputs!$B$5:$B$110*(((Inputs!$G$5:$G$110="moeda")+(Inputs!$G$5:$G$110="acoes"))*Inputs!$B$1+((Inputs!$G$5:$G$110&lt;&gt;"moeda")*(Inputs!$G$5:$G$110&lt;&gt;"acoes")))*INDEX(Inputs!$K$5:$AJ$110,0,MATCH(S$2,Inputs!$K$4:$AJ$4,0)))+SUMPRODUCT((Inputs!$C$5:$C$110=$B6)*Inputs!$D$5:$D$110*(((Inputs!$G$5:$G$110="moeda")+(Inputs!$G$5:$G$110="acoes"))*Inputs!$B$1+((Inputs!$G$5:$G$110&lt;&gt;"moeda")*(Inputs!$G$5:$G$110&lt;&gt;"acoes")))*INDEX(Inputs!$K$5:$AJ$110,0,MATCH(S$2,Inputs!$K$4:$AJ$4,0)))+SUMPRODUCT((Inputs!$E$5:$E$110=$B6)*Inputs!$F$5:$F$110*(((Inputs!$G$5:$G$110="moeda")+(Inputs!$G$5:$G$110="acoes"))*Inputs!$B$1+((Inputs!$G$5:$G$110&lt;&gt;"moeda")*(Inputs!$G$5:$G$110&lt;&gt;"acoes")))*INDEX(Inputs!$K$5:$AJ$110,0,MATCH(S$2,Inputs!$K$4:$AJ$4,0)))))</f>
        <v>-4726</v>
      </c>
      <c r="T6" s="267">
        <f>IF(ISNA(MATCH(T$2,Inputs!$K$4:$AJ$4,0)),NA(),IF(SUMPRODUCT((Inputs!$A$5:$A$110=$B6)*ISNUMBER(INDEX(Inputs!$K$5:$AJ$110,0,MATCH(T$2,Inputs!$K$4:$AJ$4,0))))+SUMPRODUCT((Inputs!$C$5:$C$110=$B6)*ISNUMBER(INDEX(Inputs!$K$5:$AJ$110,0,MATCH(T$2,Inputs!$K$4:$AJ$4,0))))+SUMPRODUCT((Inputs!$E$5:$E$110=$B6)*ISNUMBER(INDEX(Inputs!$K$5:$AJ$110,0,MATCH(T$2,Inputs!$K$4:$AJ$4,0))))=0,NA(),SUMPRODUCT((Inputs!$A$5:$A$110=$B6)*Inputs!$B$5:$B$110*(((Inputs!$G$5:$G$110="moeda")+(Inputs!$G$5:$G$110="acoes"))*Inputs!$B$1+((Inputs!$G$5:$G$110&lt;&gt;"moeda")*(Inputs!$G$5:$G$110&lt;&gt;"acoes")))*INDEX(Inputs!$K$5:$AJ$110,0,MATCH(T$2,Inputs!$K$4:$AJ$4,0)))+SUMPRODUCT((Inputs!$C$5:$C$110=$B6)*Inputs!$D$5:$D$110*(((Inputs!$G$5:$G$110="moeda")+(Inputs!$G$5:$G$110="acoes"))*Inputs!$B$1+((Inputs!$G$5:$G$110&lt;&gt;"moeda")*(Inputs!$G$5:$G$110&lt;&gt;"acoes")))*INDEX(Inputs!$K$5:$AJ$110,0,MATCH(T$2,Inputs!$K$4:$AJ$4,0)))+SUMPRODUCT((Inputs!$E$5:$E$110=$B6)*Inputs!$F$5:$F$110*(((Inputs!$G$5:$G$110="moeda")+(Inputs!$G$5:$G$110="acoes"))*Inputs!$B$1+((Inputs!$G$5:$G$110&lt;&gt;"moeda")*(Inputs!$G$5:$G$110&lt;&gt;"acoes")))*INDEX(Inputs!$K$5:$AJ$110,0,MATCH(T$2,Inputs!$K$4:$AJ$4,0)))))</f>
        <v>-4629</v>
      </c>
      <c r="U6" s="267">
        <f>IF(ISNA(MATCH(U$2,Inputs!$K$4:$AJ$4,0)),NA(),IF(SUMPRODUCT((Inputs!$A$5:$A$110=$B6)*ISNUMBER(INDEX(Inputs!$K$5:$AJ$110,0,MATCH(U$2,Inputs!$K$4:$AJ$4,0))))+SUMPRODUCT((Inputs!$C$5:$C$110=$B6)*ISNUMBER(INDEX(Inputs!$K$5:$AJ$110,0,MATCH(U$2,Inputs!$K$4:$AJ$4,0))))+SUMPRODUCT((Inputs!$E$5:$E$110=$B6)*ISNUMBER(INDEX(Inputs!$K$5:$AJ$110,0,MATCH(U$2,Inputs!$K$4:$AJ$4,0))))=0,NA(),SUMPRODUCT((Inputs!$A$5:$A$110=$B6)*Inputs!$B$5:$B$110*(((Inputs!$G$5:$G$110="moeda")+(Inputs!$G$5:$G$110="acoes"))*Inputs!$B$1+((Inputs!$G$5:$G$110&lt;&gt;"moeda")*(Inputs!$G$5:$G$110&lt;&gt;"acoes")))*INDEX(Inputs!$K$5:$AJ$110,0,MATCH(U$2,Inputs!$K$4:$AJ$4,0)))+SUMPRODUCT((Inputs!$C$5:$C$110=$B6)*Inputs!$D$5:$D$110*(((Inputs!$G$5:$G$110="moeda")+(Inputs!$G$5:$G$110="acoes"))*Inputs!$B$1+((Inputs!$G$5:$G$110&lt;&gt;"moeda")*(Inputs!$G$5:$G$110&lt;&gt;"acoes")))*INDEX(Inputs!$K$5:$AJ$110,0,MATCH(U$2,Inputs!$K$4:$AJ$4,0)))+SUMPRODUCT((Inputs!$E$5:$E$110=$B6)*Inputs!$F$5:$F$110*(((Inputs!$G$5:$G$110="moeda")+(Inputs!$G$5:$G$110="acoes"))*Inputs!$B$1+((Inputs!$G$5:$G$110&lt;&gt;"moeda")*(Inputs!$G$5:$G$110&lt;&gt;"acoes")))*INDEX(Inputs!$K$5:$AJ$110,0,MATCH(U$2,Inputs!$K$4:$AJ$4,0)))))</f>
        <v>-6361</v>
      </c>
      <c r="V6" s="267">
        <f>IF(ISNA(MATCH(V$2,Inputs!$K$4:$AJ$4,0)),NA(),IF(SUMPRODUCT((Inputs!$A$5:$A$110=$B6)*ISNUMBER(INDEX(Inputs!$K$5:$AJ$110,0,MATCH(V$2,Inputs!$K$4:$AJ$4,0))))+SUMPRODUCT((Inputs!$C$5:$C$110=$B6)*ISNUMBER(INDEX(Inputs!$K$5:$AJ$110,0,MATCH(V$2,Inputs!$K$4:$AJ$4,0))))+SUMPRODUCT((Inputs!$E$5:$E$110=$B6)*ISNUMBER(INDEX(Inputs!$K$5:$AJ$110,0,MATCH(V$2,Inputs!$K$4:$AJ$4,0))))=0,NA(),SUMPRODUCT((Inputs!$A$5:$A$110=$B6)*Inputs!$B$5:$B$110*(((Inputs!$G$5:$G$110="moeda")+(Inputs!$G$5:$G$110="acoes"))*Inputs!$B$1+((Inputs!$G$5:$G$110&lt;&gt;"moeda")*(Inputs!$G$5:$G$110&lt;&gt;"acoes")))*INDEX(Inputs!$K$5:$AJ$110,0,MATCH(V$2,Inputs!$K$4:$AJ$4,0)))+SUMPRODUCT((Inputs!$C$5:$C$110=$B6)*Inputs!$D$5:$D$110*(((Inputs!$G$5:$G$110="moeda")+(Inputs!$G$5:$G$110="acoes"))*Inputs!$B$1+((Inputs!$G$5:$G$110&lt;&gt;"moeda")*(Inputs!$G$5:$G$110&lt;&gt;"acoes")))*INDEX(Inputs!$K$5:$AJ$110,0,MATCH(V$2,Inputs!$K$4:$AJ$4,0)))+SUMPRODUCT((Inputs!$E$5:$E$110=$B6)*Inputs!$F$5:$F$110*(((Inputs!$G$5:$G$110="moeda")+(Inputs!$G$5:$G$110="acoes"))*Inputs!$B$1+((Inputs!$G$5:$G$110&lt;&gt;"moeda")*(Inputs!$G$5:$G$110&lt;&gt;"acoes")))*INDEX(Inputs!$K$5:$AJ$110,0,MATCH(V$2,Inputs!$K$4:$AJ$4,0)))))</f>
        <v>-5298</v>
      </c>
      <c r="W6" s="268">
        <f>SUM(S6:V6)</f>
        <v>-21014</v>
      </c>
      <c r="X6" s="267">
        <f>IF(ISNA(MATCH(X$2,Inputs!$K$4:$AJ$4,0)),NA(),IF(SUMPRODUCT((Inputs!$A$5:$A$110=$B6)*ISNUMBER(INDEX(Inputs!$K$5:$AJ$110,0,MATCH(X$2,Inputs!$K$4:$AJ$4,0))))+SUMPRODUCT((Inputs!$C$5:$C$110=$B6)*ISNUMBER(INDEX(Inputs!$K$5:$AJ$110,0,MATCH(X$2,Inputs!$K$4:$AJ$4,0))))+SUMPRODUCT((Inputs!$E$5:$E$110=$B6)*ISNUMBER(INDEX(Inputs!$K$5:$AJ$110,0,MATCH(X$2,Inputs!$K$4:$AJ$4,0))))=0,NA(),SUMPRODUCT((Inputs!$A$5:$A$110=$B6)*Inputs!$B$5:$B$110*(((Inputs!$G$5:$G$110="moeda")+(Inputs!$G$5:$G$110="acoes"))*Inputs!$B$1+((Inputs!$G$5:$G$110&lt;&gt;"moeda")*(Inputs!$G$5:$G$110&lt;&gt;"acoes")))*INDEX(Inputs!$K$5:$AJ$110,0,MATCH(X$2,Inputs!$K$4:$AJ$4,0)))+SUMPRODUCT((Inputs!$C$5:$C$110=$B6)*Inputs!$D$5:$D$110*(((Inputs!$G$5:$G$110="moeda")+(Inputs!$G$5:$G$110="acoes"))*Inputs!$B$1+((Inputs!$G$5:$G$110&lt;&gt;"moeda")*(Inputs!$G$5:$G$110&lt;&gt;"acoes")))*INDEX(Inputs!$K$5:$AJ$110,0,MATCH(X$2,Inputs!$K$4:$AJ$4,0)))+SUMPRODUCT((Inputs!$E$5:$E$110=$B6)*Inputs!$F$5:$F$110*(((Inputs!$G$5:$G$110="moeda")+(Inputs!$G$5:$G$110="acoes"))*Inputs!$B$1+((Inputs!$G$5:$G$110&lt;&gt;"moeda")*(Inputs!$G$5:$G$110&lt;&gt;"acoes")))*INDEX(Inputs!$K$5:$AJ$110,0,MATCH(X$2,Inputs!$K$4:$AJ$4,0)))))</f>
        <v>-5111</v>
      </c>
      <c r="Y6" s="267">
        <f>IF(ISNA(MATCH(Y$2,Inputs!$K$4:$AJ$4,0)),NA(),IF(SUMPRODUCT((Inputs!$A$5:$A$110=$B6)*ISNUMBER(INDEX(Inputs!$K$5:$AJ$110,0,MATCH(Y$2,Inputs!$K$4:$AJ$4,0))))+SUMPRODUCT((Inputs!$C$5:$C$110=$B6)*ISNUMBER(INDEX(Inputs!$K$5:$AJ$110,0,MATCH(Y$2,Inputs!$K$4:$AJ$4,0))))+SUMPRODUCT((Inputs!$E$5:$E$110=$B6)*ISNUMBER(INDEX(Inputs!$K$5:$AJ$110,0,MATCH(Y$2,Inputs!$K$4:$AJ$4,0))))=0,NA(),SUMPRODUCT((Inputs!$A$5:$A$110=$B6)*Inputs!$B$5:$B$110*(((Inputs!$G$5:$G$110="moeda")+(Inputs!$G$5:$G$110="acoes"))*Inputs!$B$1+((Inputs!$G$5:$G$110&lt;&gt;"moeda")*(Inputs!$G$5:$G$110&lt;&gt;"acoes")))*INDEX(Inputs!$K$5:$AJ$110,0,MATCH(Y$2,Inputs!$K$4:$AJ$4,0)))+SUMPRODUCT((Inputs!$C$5:$C$110=$B6)*Inputs!$D$5:$D$110*(((Inputs!$G$5:$G$110="moeda")+(Inputs!$G$5:$G$110="acoes"))*Inputs!$B$1+((Inputs!$G$5:$G$110&lt;&gt;"moeda")*(Inputs!$G$5:$G$110&lt;&gt;"acoes")))*INDEX(Inputs!$K$5:$AJ$110,0,MATCH(Y$2,Inputs!$K$4:$AJ$4,0)))+SUMPRODUCT((Inputs!$E$5:$E$110=$B6)*Inputs!$F$5:$F$110*(((Inputs!$G$5:$G$110="moeda")+(Inputs!$G$5:$G$110="acoes"))*Inputs!$B$1+((Inputs!$G$5:$G$110&lt;&gt;"moeda")*(Inputs!$G$5:$G$110&lt;&gt;"acoes")))*INDEX(Inputs!$K$5:$AJ$110,0,MATCH(Y$2,Inputs!$K$4:$AJ$4,0)))))</f>
        <v>-5127</v>
      </c>
      <c r="Z6" s="267">
        <f>IF(ISNA(MATCH(Z$2,Inputs!$K$4:$AJ$4,0)),NA(),IF(SUMPRODUCT((Inputs!$A$5:$A$110=$B6)*ISNUMBER(INDEX(Inputs!$K$5:$AJ$110,0,MATCH(Z$2,Inputs!$K$4:$AJ$4,0))))+SUMPRODUCT((Inputs!$C$5:$C$110=$B6)*ISNUMBER(INDEX(Inputs!$K$5:$AJ$110,0,MATCH(Z$2,Inputs!$K$4:$AJ$4,0))))+SUMPRODUCT((Inputs!$E$5:$E$110=$B6)*ISNUMBER(INDEX(Inputs!$K$5:$AJ$110,0,MATCH(Z$2,Inputs!$K$4:$AJ$4,0))))=0,NA(),SUMPRODUCT((Inputs!$A$5:$A$110=$B6)*Inputs!$B$5:$B$110*(((Inputs!$G$5:$G$110="moeda")+(Inputs!$G$5:$G$110="acoes"))*Inputs!$B$1+((Inputs!$G$5:$G$110&lt;&gt;"moeda")*(Inputs!$G$5:$G$110&lt;&gt;"acoes")))*INDEX(Inputs!$K$5:$AJ$110,0,MATCH(Z$2,Inputs!$K$4:$AJ$4,0)))+SUMPRODUCT((Inputs!$C$5:$C$110=$B6)*Inputs!$D$5:$D$110*(((Inputs!$G$5:$G$110="moeda")+(Inputs!$G$5:$G$110="acoes"))*Inputs!$B$1+((Inputs!$G$5:$G$110&lt;&gt;"moeda")*(Inputs!$G$5:$G$110&lt;&gt;"acoes")))*INDEX(Inputs!$K$5:$AJ$110,0,MATCH(Z$2,Inputs!$K$4:$AJ$4,0)))+SUMPRODUCT((Inputs!$E$5:$E$110=$B6)*Inputs!$F$5:$F$110*(((Inputs!$G$5:$G$110="moeda")+(Inputs!$G$5:$G$110="acoes"))*Inputs!$B$1+((Inputs!$G$5:$G$110&lt;&gt;"moeda")*(Inputs!$G$5:$G$110&lt;&gt;"acoes")))*INDEX(Inputs!$K$5:$AJ$110,0,MATCH(Z$2,Inputs!$K$4:$AJ$4,0)))))</f>
        <v>-7004</v>
      </c>
      <c r="AA6" s="267">
        <f>IF(ISNA(MATCH(AA$2,Inputs!$K$4:$AJ$4,0)),NA(),IF(SUMPRODUCT((Inputs!$A$5:$A$110=$B6)*ISNUMBER(INDEX(Inputs!$K$5:$AJ$110,0,MATCH(AA$2,Inputs!$K$4:$AJ$4,0))))+SUMPRODUCT((Inputs!$C$5:$C$110=$B6)*ISNUMBER(INDEX(Inputs!$K$5:$AJ$110,0,MATCH(AA$2,Inputs!$K$4:$AJ$4,0))))+SUMPRODUCT((Inputs!$E$5:$E$110=$B6)*ISNUMBER(INDEX(Inputs!$K$5:$AJ$110,0,MATCH(AA$2,Inputs!$K$4:$AJ$4,0))))=0,NA(),SUMPRODUCT((Inputs!$A$5:$A$110=$B6)*Inputs!$B$5:$B$110*(((Inputs!$G$5:$G$110="moeda")+(Inputs!$G$5:$G$110="acoes"))*Inputs!$B$1+((Inputs!$G$5:$G$110&lt;&gt;"moeda")*(Inputs!$G$5:$G$110&lt;&gt;"acoes")))*INDEX(Inputs!$K$5:$AJ$110,0,MATCH(AA$2,Inputs!$K$4:$AJ$4,0)))+SUMPRODUCT((Inputs!$C$5:$C$110=$B6)*Inputs!$D$5:$D$110*(((Inputs!$G$5:$G$110="moeda")+(Inputs!$G$5:$G$110="acoes"))*Inputs!$B$1+((Inputs!$G$5:$G$110&lt;&gt;"moeda")*(Inputs!$G$5:$G$110&lt;&gt;"acoes")))*INDEX(Inputs!$K$5:$AJ$110,0,MATCH(AA$2,Inputs!$K$4:$AJ$4,0)))+SUMPRODUCT((Inputs!$E$5:$E$110=$B6)*Inputs!$F$5:$F$110*(((Inputs!$G$5:$G$110="moeda")+(Inputs!$G$5:$G$110="acoes"))*Inputs!$B$1+((Inputs!$G$5:$G$110&lt;&gt;"moeda")*(Inputs!$G$5:$G$110&lt;&gt;"acoes")))*INDEX(Inputs!$K$5:$AJ$110,0,MATCH(AA$2,Inputs!$K$4:$AJ$4,0)))))</f>
        <v>-5737</v>
      </c>
      <c r="AB6" s="268">
        <f>SUM(X6:AA6)</f>
        <v>-22979</v>
      </c>
      <c r="AC6" s="267">
        <f>IF(ISNA(MATCH(AC$2,Inputs!$K$4:$AJ$4,0)),NA(),IF(SUMPRODUCT((Inputs!$A$5:$A$110=$B6)*ISNUMBER(INDEX(Inputs!$K$5:$AJ$110,0,MATCH(AC$2,Inputs!$K$4:$AJ$4,0))))+SUMPRODUCT((Inputs!$C$5:$C$110=$B6)*ISNUMBER(INDEX(Inputs!$K$5:$AJ$110,0,MATCH(AC$2,Inputs!$K$4:$AJ$4,0))))+SUMPRODUCT((Inputs!$E$5:$E$110=$B6)*ISNUMBER(INDEX(Inputs!$K$5:$AJ$110,0,MATCH(AC$2,Inputs!$K$4:$AJ$4,0))))=0,NA(),SUMPRODUCT((Inputs!$A$5:$A$110=$B6)*Inputs!$B$5:$B$110*(((Inputs!$G$5:$G$110="moeda")+(Inputs!$G$5:$G$110="acoes"))*Inputs!$B$1+((Inputs!$G$5:$G$110&lt;&gt;"moeda")*(Inputs!$G$5:$G$110&lt;&gt;"acoes")))*INDEX(Inputs!$K$5:$AJ$110,0,MATCH(AC$2,Inputs!$K$4:$AJ$4,0)))+SUMPRODUCT((Inputs!$C$5:$C$110=$B6)*Inputs!$D$5:$D$110*(((Inputs!$G$5:$G$110="moeda")+(Inputs!$G$5:$G$110="acoes"))*Inputs!$B$1+((Inputs!$G$5:$G$110&lt;&gt;"moeda")*(Inputs!$G$5:$G$110&lt;&gt;"acoes")))*INDEX(Inputs!$K$5:$AJ$110,0,MATCH(AC$2,Inputs!$K$4:$AJ$4,0)))+SUMPRODUCT((Inputs!$E$5:$E$110=$B6)*Inputs!$F$5:$F$110*(((Inputs!$G$5:$G$110="moeda")+(Inputs!$G$5:$G$110="acoes"))*Inputs!$B$1+((Inputs!$G$5:$G$110&lt;&gt;"moeda")*(Inputs!$G$5:$G$110&lt;&gt;"acoes")))*INDEX(Inputs!$K$5:$AJ$110,0,MATCH(AC$2,Inputs!$K$4:$AJ$4,0)))))</f>
        <v>-5675</v>
      </c>
      <c r="AD6" s="267">
        <f>IF(ISNA(MATCH(AD$2,Inputs!$K$4:$AJ$4,0)),NA(),IF(SUMPRODUCT((Inputs!$A$5:$A$110=$B6)*ISNUMBER(INDEX(Inputs!$K$5:$AJ$110,0,MATCH(AD$2,Inputs!$K$4:$AJ$4,0))))+SUMPRODUCT((Inputs!$C$5:$C$110=$B6)*ISNUMBER(INDEX(Inputs!$K$5:$AJ$110,0,MATCH(AD$2,Inputs!$K$4:$AJ$4,0))))+SUMPRODUCT((Inputs!$E$5:$E$110=$B6)*ISNUMBER(INDEX(Inputs!$K$5:$AJ$110,0,MATCH(AD$2,Inputs!$K$4:$AJ$4,0))))=0,NA(),SUMPRODUCT((Inputs!$A$5:$A$110=$B6)*Inputs!$B$5:$B$110*(((Inputs!$G$5:$G$110="moeda")+(Inputs!$G$5:$G$110="acoes"))*Inputs!$B$1+((Inputs!$G$5:$G$110&lt;&gt;"moeda")*(Inputs!$G$5:$G$110&lt;&gt;"acoes")))*INDEX(Inputs!$K$5:$AJ$110,0,MATCH(AD$2,Inputs!$K$4:$AJ$4,0)))+SUMPRODUCT((Inputs!$C$5:$C$110=$B6)*Inputs!$D$5:$D$110*(((Inputs!$G$5:$G$110="moeda")+(Inputs!$G$5:$G$110="acoes"))*Inputs!$B$1+((Inputs!$G$5:$G$110&lt;&gt;"moeda")*(Inputs!$G$5:$G$110&lt;&gt;"acoes")))*INDEX(Inputs!$K$5:$AJ$110,0,MATCH(AD$2,Inputs!$K$4:$AJ$4,0)))+SUMPRODUCT((Inputs!$E$5:$E$110=$B6)*Inputs!$F$5:$F$110*(((Inputs!$G$5:$G$110="moeda")+(Inputs!$G$5:$G$110="acoes"))*Inputs!$B$1+((Inputs!$G$5:$G$110&lt;&gt;"moeda")*(Inputs!$G$5:$G$110&lt;&gt;"acoes")))*INDEX(Inputs!$K$5:$AJ$110,0,MATCH(AD$2,Inputs!$K$4:$AJ$4,0)))))</f>
        <v>-5596</v>
      </c>
      <c r="AE6" s="267" t="e">
        <f>IF(ISNA(MATCH(AE$2,Inputs!$K$4:$AJ$4,0)),NA(),IF(SUMPRODUCT((Inputs!$A$5:$A$110=$B6)*ISNUMBER(INDEX(Inputs!$K$5:$AJ$110,0,MATCH(AE$2,Inputs!$K$4:$AJ$4,0))))+SUMPRODUCT((Inputs!$C$5:$C$110=$B6)*ISNUMBER(INDEX(Inputs!$K$5:$AJ$110,0,MATCH(AE$2,Inputs!$K$4:$AJ$4,0))))+SUMPRODUCT((Inputs!$E$5:$E$110=$B6)*ISNUMBER(INDEX(Inputs!$K$5:$AJ$110,0,MATCH(AE$2,Inputs!$K$4:$AJ$4,0))))=0,NA(),SUMPRODUCT((Inputs!$A$5:$A$110=$B6)*Inputs!$B$5:$B$110*(((Inputs!$G$5:$G$110="moeda")+(Inputs!$G$5:$G$110="acoes"))*Inputs!$B$1+((Inputs!$G$5:$G$110&lt;&gt;"moeda")*(Inputs!$G$5:$G$110&lt;&gt;"acoes")))*INDEX(Inputs!$K$5:$AJ$110,0,MATCH(AE$2,Inputs!$K$4:$AJ$4,0)))+SUMPRODUCT((Inputs!$C$5:$C$110=$B6)*Inputs!$D$5:$D$110*(((Inputs!$G$5:$G$110="moeda")+(Inputs!$G$5:$G$110="acoes"))*Inputs!$B$1+((Inputs!$G$5:$G$110&lt;&gt;"moeda")*(Inputs!$G$5:$G$110&lt;&gt;"acoes")))*INDEX(Inputs!$K$5:$AJ$110,0,MATCH(AE$2,Inputs!$K$4:$AJ$4,0)))+SUMPRODUCT((Inputs!$E$5:$E$110=$B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" s="267" t="e">
        <f>IF(ISNA(MATCH(AF$2,Inputs!$K$4:$AJ$4,0)),NA(),IF(SUMPRODUCT((Inputs!$A$5:$A$110=$B6)*ISNUMBER(INDEX(Inputs!$K$5:$AJ$110,0,MATCH(AF$2,Inputs!$K$4:$AJ$4,0))))+SUMPRODUCT((Inputs!$C$5:$C$110=$B6)*ISNUMBER(INDEX(Inputs!$K$5:$AJ$110,0,MATCH(AF$2,Inputs!$K$4:$AJ$4,0))))+SUMPRODUCT((Inputs!$E$5:$E$110=$B6)*ISNUMBER(INDEX(Inputs!$K$5:$AJ$110,0,MATCH(AF$2,Inputs!$K$4:$AJ$4,0))))=0,NA(),SUMPRODUCT((Inputs!$A$5:$A$110=$B6)*Inputs!$B$5:$B$110*(((Inputs!$G$5:$G$110="moeda")+(Inputs!$G$5:$G$110="acoes"))*Inputs!$B$1+((Inputs!$G$5:$G$110&lt;&gt;"moeda")*(Inputs!$G$5:$G$110&lt;&gt;"acoes")))*INDEX(Inputs!$K$5:$AJ$110,0,MATCH(AF$2,Inputs!$K$4:$AJ$4,0)))+SUMPRODUCT((Inputs!$C$5:$C$110=$B6)*Inputs!$D$5:$D$110*(((Inputs!$G$5:$G$110="moeda")+(Inputs!$G$5:$G$110="acoes"))*Inputs!$B$1+((Inputs!$G$5:$G$110&lt;&gt;"moeda")*(Inputs!$G$5:$G$110&lt;&gt;"acoes")))*INDEX(Inputs!$K$5:$AJ$110,0,MATCH(AF$2,Inputs!$K$4:$AJ$4,0)))+SUMPRODUCT((Inputs!$E$5:$E$110=$B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" s="268" t="e">
        <f>SUM(AC6:AF6)</f>
        <v>#N/A</v>
      </c>
      <c r="AH6" s="267">
        <f>IF(ISNA(MATCH(AH$2,Inputs!$K$4:$AJ$4,0)),NA(),IF(SUMPRODUCT((Inputs!$A$5:$A$110=$B6)*ISNUMBER(INDEX(Inputs!$K$5:$AJ$110,0,MATCH(AH$2,Inputs!$K$4:$AJ$4,0))))+SUMPRODUCT((Inputs!$C$5:$C$110=$B6)*ISNUMBER(INDEX(Inputs!$K$5:$AJ$110,0,MATCH(AH$2,Inputs!$K$4:$AJ$4,0))))+SUMPRODUCT((Inputs!$E$5:$E$110=$B6)*ISNUMBER(INDEX(Inputs!$K$5:$AJ$110,0,MATCH(AH$2,Inputs!$K$4:$AJ$4,0))))=0,NA(),SUMPRODUCT((Inputs!$A$5:$A$110=$B6)*Inputs!$B$5:$B$110*(((Inputs!$G$5:$G$110="moeda")+(Inputs!$G$5:$G$110="acoes"))*Inputs!$B$1+((Inputs!$G$5:$G$110&lt;&gt;"moeda")*(Inputs!$G$5:$G$110&lt;&gt;"acoes")))*INDEX(Inputs!$K$5:$AJ$110,0,MATCH(AH$2,Inputs!$K$4:$AJ$4,0)))+SUMPRODUCT((Inputs!$C$5:$C$110=$B6)*Inputs!$D$5:$D$110*(((Inputs!$G$5:$G$110="moeda")+(Inputs!$G$5:$G$110="acoes"))*Inputs!$B$1+((Inputs!$G$5:$G$110&lt;&gt;"moeda")*(Inputs!$G$5:$G$110&lt;&gt;"acoes")))*INDEX(Inputs!$K$5:$AJ$110,0,MATCH(AH$2,Inputs!$K$4:$AJ$4,0)))+SUMPRODUCT((Inputs!$E$5:$E$110=$B6)*Inputs!$F$5:$F$110*(((Inputs!$G$5:$G$110="moeda")+(Inputs!$G$5:$G$110="acoes"))*Inputs!$B$1+((Inputs!$G$5:$G$110&lt;&gt;"moeda")*(Inputs!$G$5:$G$110&lt;&gt;"acoes")))*INDEX(Inputs!$K$5:$AJ$110,0,MATCH(AH$2,Inputs!$K$4:$AJ$4,0)))))</f>
        <v>-3361</v>
      </c>
      <c r="AI6" s="267">
        <f>IF(ISNA(MATCH(AI$2,Inputs!$K$4:$AJ$4,0)),NA(),IF(SUMPRODUCT((Inputs!$A$5:$A$110=$B6)*ISNUMBER(INDEX(Inputs!$K$5:$AJ$110,0,MATCH(AI$2,Inputs!$K$4:$AJ$4,0))))+SUMPRODUCT((Inputs!$C$5:$C$110=$B6)*ISNUMBER(INDEX(Inputs!$K$5:$AJ$110,0,MATCH(AI$2,Inputs!$K$4:$AJ$4,0))))+SUMPRODUCT((Inputs!$E$5:$E$110=$B6)*ISNUMBER(INDEX(Inputs!$K$5:$AJ$110,0,MATCH(AI$2,Inputs!$K$4:$AJ$4,0))))=0,NA(),SUMPRODUCT((Inputs!$A$5:$A$110=$B6)*Inputs!$B$5:$B$110*(((Inputs!$G$5:$G$110="moeda")+(Inputs!$G$5:$G$110="acoes"))*Inputs!$B$1+((Inputs!$G$5:$G$110&lt;&gt;"moeda")*(Inputs!$G$5:$G$110&lt;&gt;"acoes")))*INDEX(Inputs!$K$5:$AJ$110,0,MATCH(AI$2,Inputs!$K$4:$AJ$4,0)))+SUMPRODUCT((Inputs!$C$5:$C$110=$B6)*Inputs!$D$5:$D$110*(((Inputs!$G$5:$G$110="moeda")+(Inputs!$G$5:$G$110="acoes"))*Inputs!$B$1+((Inputs!$G$5:$G$110&lt;&gt;"moeda")*(Inputs!$G$5:$G$110&lt;&gt;"acoes")))*INDEX(Inputs!$K$5:$AJ$110,0,MATCH(AI$2,Inputs!$K$4:$AJ$4,0)))+SUMPRODUCT((Inputs!$E$5:$E$110=$B6)*Inputs!$F$5:$F$110*(((Inputs!$G$5:$G$110="moeda")+(Inputs!$G$5:$G$110="acoes"))*Inputs!$B$1+((Inputs!$G$5:$G$110&lt;&gt;"moeda")*(Inputs!$G$5:$G$110&lt;&gt;"acoes")))*INDEX(Inputs!$K$5:$AJ$110,0,MATCH(AI$2,Inputs!$K$4:$AJ$4,0)))))</f>
        <v>-3456</v>
      </c>
      <c r="AJ6" s="267">
        <f>IF(ISNA(MATCH(AJ$2,Inputs!$K$4:$AJ$4,0)),NA(),IF(SUMPRODUCT((Inputs!$A$5:$A$110=$B6)*ISNUMBER(INDEX(Inputs!$K$5:$AJ$110,0,MATCH(AJ$2,Inputs!$K$4:$AJ$4,0))))+SUMPRODUCT((Inputs!$C$5:$C$110=$B6)*ISNUMBER(INDEX(Inputs!$K$5:$AJ$110,0,MATCH(AJ$2,Inputs!$K$4:$AJ$4,0))))+SUMPRODUCT((Inputs!$E$5:$E$110=$B6)*ISNUMBER(INDEX(Inputs!$K$5:$AJ$110,0,MATCH(AJ$2,Inputs!$K$4:$AJ$4,0))))=0,NA(),SUMPRODUCT((Inputs!$A$5:$A$110=$B6)*Inputs!$B$5:$B$110*(((Inputs!$G$5:$G$110="moeda")+(Inputs!$G$5:$G$110="acoes"))*Inputs!$B$1+((Inputs!$G$5:$G$110&lt;&gt;"moeda")*(Inputs!$G$5:$G$110&lt;&gt;"acoes")))*INDEX(Inputs!$K$5:$AJ$110,0,MATCH(AJ$2,Inputs!$K$4:$AJ$4,0)))+SUMPRODUCT((Inputs!$C$5:$C$110=$B6)*Inputs!$D$5:$D$110*(((Inputs!$G$5:$G$110="moeda")+(Inputs!$G$5:$G$110="acoes"))*Inputs!$B$1+((Inputs!$G$5:$G$110&lt;&gt;"moeda")*(Inputs!$G$5:$G$110&lt;&gt;"acoes")))*INDEX(Inputs!$K$5:$AJ$110,0,MATCH(AJ$2,Inputs!$K$4:$AJ$4,0)))+SUMPRODUCT((Inputs!$E$5:$E$110=$B6)*Inputs!$F$5:$F$110*(((Inputs!$G$5:$G$110="moeda")+(Inputs!$G$5:$G$110="acoes"))*Inputs!$B$1+((Inputs!$G$5:$G$110&lt;&gt;"moeda")*(Inputs!$G$5:$G$110&lt;&gt;"acoes")))*INDEX(Inputs!$K$5:$AJ$110,0,MATCH(AJ$2,Inputs!$K$4:$AJ$4,0)))))</f>
        <v>-4548</v>
      </c>
      <c r="AK6" s="267">
        <f>IF(ISNA(MATCH(AK$2,Inputs!$K$4:$AJ$4,0)),NA(),IF(SUMPRODUCT((Inputs!$A$5:$A$110=$B6)*ISNUMBER(INDEX(Inputs!$K$5:$AJ$110,0,MATCH(AK$2,Inputs!$K$4:$AJ$4,0))))+SUMPRODUCT((Inputs!$C$5:$C$110=$B6)*ISNUMBER(INDEX(Inputs!$K$5:$AJ$110,0,MATCH(AK$2,Inputs!$K$4:$AJ$4,0))))+SUMPRODUCT((Inputs!$E$5:$E$110=$B6)*ISNUMBER(INDEX(Inputs!$K$5:$AJ$110,0,MATCH(AK$2,Inputs!$K$4:$AJ$4,0))))=0,NA(),SUMPRODUCT((Inputs!$A$5:$A$110=$B6)*Inputs!$B$5:$B$110*(((Inputs!$G$5:$G$110="moeda")+(Inputs!$G$5:$G$110="acoes"))*Inputs!$B$1+((Inputs!$G$5:$G$110&lt;&gt;"moeda")*(Inputs!$G$5:$G$110&lt;&gt;"acoes")))*INDEX(Inputs!$K$5:$AJ$110,0,MATCH(AK$2,Inputs!$K$4:$AJ$4,0)))+SUMPRODUCT((Inputs!$C$5:$C$110=$B6)*Inputs!$D$5:$D$110*(((Inputs!$G$5:$G$110="moeda")+(Inputs!$G$5:$G$110="acoes"))*Inputs!$B$1+((Inputs!$G$5:$G$110&lt;&gt;"moeda")*(Inputs!$G$5:$G$110&lt;&gt;"acoes")))*INDEX(Inputs!$K$5:$AJ$110,0,MATCH(AK$2,Inputs!$K$4:$AJ$4,0)))+SUMPRODUCT((Inputs!$E$5:$E$110=$B6)*Inputs!$F$5:$F$110*(((Inputs!$G$5:$G$110="moeda")+(Inputs!$G$5:$G$110="acoes"))*Inputs!$B$1+((Inputs!$G$5:$G$110&lt;&gt;"moeda")*(Inputs!$G$5:$G$110&lt;&gt;"acoes")))*INDEX(Inputs!$K$5:$AJ$110,0,MATCH(AK$2,Inputs!$K$4:$AJ$4,0)))))</f>
        <v>-3916</v>
      </c>
      <c r="AL6" s="268">
        <f>SUM(AH6:AK6)</f>
        <v>-15281</v>
      </c>
    </row>
    <row r="7" ht="12.75" customHeight="1" s="255">
      <c r="B7" s="265" t="n">
        <v>4</v>
      </c>
      <c r="C7" s="269" t="inlineStr">
        <is>
          <t>D&amp;A</t>
        </is>
      </c>
      <c r="D7" s="267">
        <f>IF(ISNA(MATCH(D$2,Inputs!$K$4:$AJ$4,0)),NA(),IF(SUMPRODUCT((Inputs!$A$5:$A$110=$B7)*ISNUMBER(INDEX(Inputs!$K$5:$AJ$110,0,MATCH(D$2,Inputs!$K$4:$AJ$4,0))))+SUMPRODUCT((Inputs!$C$5:$C$110=$B7)*ISNUMBER(INDEX(Inputs!$K$5:$AJ$110,0,MATCH(D$2,Inputs!$K$4:$AJ$4,0))))+SUMPRODUCT((Inputs!$E$5:$E$110=$B7)*ISNUMBER(INDEX(Inputs!$K$5:$AJ$110,0,MATCH(D$2,Inputs!$K$4:$AJ$4,0))))=0,NA(),SUMPRODUCT((Inputs!$A$5:$A$110=$B7)*Inputs!$B$5:$B$110*(((Inputs!$G$5:$G$110="moeda")+(Inputs!$G$5:$G$110="acoes"))*Inputs!$B$1+((Inputs!$G$5:$G$110&lt;&gt;"moeda")*(Inputs!$G$5:$G$110&lt;&gt;"acoes")))*INDEX(Inputs!$K$5:$AJ$110,0,MATCH(D$2,Inputs!$K$4:$AJ$4,0)))+SUMPRODUCT((Inputs!$C$5:$C$110=$B7)*Inputs!$D$5:$D$110*(((Inputs!$G$5:$G$110="moeda")+(Inputs!$G$5:$G$110="acoes"))*Inputs!$B$1+((Inputs!$G$5:$G$110&lt;&gt;"moeda")*(Inputs!$G$5:$G$110&lt;&gt;"acoes")))*INDEX(Inputs!$K$5:$AJ$110,0,MATCH(D$2,Inputs!$K$4:$AJ$4,0)))+SUMPRODUCT((Inputs!$E$5:$E$110=$B7)*Inputs!$F$5:$F$110*(((Inputs!$G$5:$G$110="moeda")+(Inputs!$G$5:$G$110="acoes"))*Inputs!$B$1+((Inputs!$G$5:$G$110&lt;&gt;"moeda")*(Inputs!$G$5:$G$110&lt;&gt;"acoes")))*INDEX(Inputs!$K$5:$AJ$110,0,MATCH(D$2,Inputs!$K$4:$AJ$4,0)))))</f>
        <v>-416</v>
      </c>
      <c r="E7" s="267">
        <f>IF(ISNA(MATCH(E$2,Inputs!$K$4:$AJ$4,0)),NA(),IF(SUMPRODUCT((Inputs!$A$5:$A$110=$B7)*ISNUMBER(INDEX(Inputs!$K$5:$AJ$110,0,MATCH(E$2,Inputs!$K$4:$AJ$4,0))))+SUMPRODUCT((Inputs!$C$5:$C$110=$B7)*ISNUMBER(INDEX(Inputs!$K$5:$AJ$110,0,MATCH(E$2,Inputs!$K$4:$AJ$4,0))))+SUMPRODUCT((Inputs!$E$5:$E$110=$B7)*ISNUMBER(INDEX(Inputs!$K$5:$AJ$110,0,MATCH(E$2,Inputs!$K$4:$AJ$4,0))))=0,NA(),SUMPRODUCT((Inputs!$A$5:$A$110=$B7)*Inputs!$B$5:$B$110*(((Inputs!$G$5:$G$110="moeda")+(Inputs!$G$5:$G$110="acoes"))*Inputs!$B$1+((Inputs!$G$5:$G$110&lt;&gt;"moeda")*(Inputs!$G$5:$G$110&lt;&gt;"acoes")))*INDEX(Inputs!$K$5:$AJ$110,0,MATCH(E$2,Inputs!$K$4:$AJ$4,0)))+SUMPRODUCT((Inputs!$C$5:$C$110=$B7)*Inputs!$D$5:$D$110*(((Inputs!$G$5:$G$110="moeda")+(Inputs!$G$5:$G$110="acoes"))*Inputs!$B$1+((Inputs!$G$5:$G$110&lt;&gt;"moeda")*(Inputs!$G$5:$G$110&lt;&gt;"acoes")))*INDEX(Inputs!$K$5:$AJ$110,0,MATCH(E$2,Inputs!$K$4:$AJ$4,0)))+SUMPRODUCT((Inputs!$E$5:$E$110=$B7)*Inputs!$F$5:$F$110*(((Inputs!$G$5:$G$110="moeda")+(Inputs!$G$5:$G$110="acoes"))*Inputs!$B$1+((Inputs!$G$5:$G$110&lt;&gt;"moeda")*(Inputs!$G$5:$G$110&lt;&gt;"acoes")))*INDEX(Inputs!$K$5:$AJ$110,0,MATCH(E$2,Inputs!$K$4:$AJ$4,0)))))</f>
        <v>-402</v>
      </c>
      <c r="F7" s="267">
        <f>IF(ISNA(MATCH(F$2,Inputs!$K$4:$AJ$4,0)),NA(),IF(SUMPRODUCT((Inputs!$A$5:$A$110=$B7)*ISNUMBER(INDEX(Inputs!$K$5:$AJ$110,0,MATCH(F$2,Inputs!$K$4:$AJ$4,0))))+SUMPRODUCT((Inputs!$C$5:$C$110=$B7)*ISNUMBER(INDEX(Inputs!$K$5:$AJ$110,0,MATCH(F$2,Inputs!$K$4:$AJ$4,0))))+SUMPRODUCT((Inputs!$E$5:$E$110=$B7)*ISNUMBER(INDEX(Inputs!$K$5:$AJ$110,0,MATCH(F$2,Inputs!$K$4:$AJ$4,0))))=0,NA(),SUMPRODUCT((Inputs!$A$5:$A$110=$B7)*Inputs!$B$5:$B$110*(((Inputs!$G$5:$G$110="moeda")+(Inputs!$G$5:$G$110="acoes"))*Inputs!$B$1+((Inputs!$G$5:$G$110&lt;&gt;"moeda")*(Inputs!$G$5:$G$110&lt;&gt;"acoes")))*INDEX(Inputs!$K$5:$AJ$110,0,MATCH(F$2,Inputs!$K$4:$AJ$4,0)))+SUMPRODUCT((Inputs!$C$5:$C$110=$B7)*Inputs!$D$5:$D$110*(((Inputs!$G$5:$G$110="moeda")+(Inputs!$G$5:$G$110="acoes"))*Inputs!$B$1+((Inputs!$G$5:$G$110&lt;&gt;"moeda")*(Inputs!$G$5:$G$110&lt;&gt;"acoes")))*INDEX(Inputs!$K$5:$AJ$110,0,MATCH(F$2,Inputs!$K$4:$AJ$4,0)))+SUMPRODUCT((Inputs!$E$5:$E$110=$B7)*Inputs!$F$5:$F$110*(((Inputs!$G$5:$G$110="moeda")+(Inputs!$G$5:$G$110="acoes"))*Inputs!$B$1+((Inputs!$G$5:$G$110&lt;&gt;"moeda")*(Inputs!$G$5:$G$110&lt;&gt;"acoes")))*INDEX(Inputs!$K$5:$AJ$110,0,MATCH(F$2,Inputs!$K$4:$AJ$4,0)))))</f>
        <v>-559</v>
      </c>
      <c r="G7" s="267">
        <f>IF(ISNA(MATCH(G$2,Inputs!$K$4:$AJ$4,0)),NA(),IF(SUMPRODUCT((Inputs!$A$5:$A$110=$B7)*ISNUMBER(INDEX(Inputs!$K$5:$AJ$110,0,MATCH(G$2,Inputs!$K$4:$AJ$4,0))))+SUMPRODUCT((Inputs!$C$5:$C$110=$B7)*ISNUMBER(INDEX(Inputs!$K$5:$AJ$110,0,MATCH(G$2,Inputs!$K$4:$AJ$4,0))))+SUMPRODUCT((Inputs!$E$5:$E$110=$B7)*ISNUMBER(INDEX(Inputs!$K$5:$AJ$110,0,MATCH(G$2,Inputs!$K$4:$AJ$4,0))))=0,NA(),SUMPRODUCT((Inputs!$A$5:$A$110=$B7)*Inputs!$B$5:$B$110*(((Inputs!$G$5:$G$110="moeda")+(Inputs!$G$5:$G$110="acoes"))*Inputs!$B$1+((Inputs!$G$5:$G$110&lt;&gt;"moeda")*(Inputs!$G$5:$G$110&lt;&gt;"acoes")))*INDEX(Inputs!$K$5:$AJ$110,0,MATCH(G$2,Inputs!$K$4:$AJ$4,0)))+SUMPRODUCT((Inputs!$C$5:$C$110=$B7)*Inputs!$D$5:$D$110*(((Inputs!$G$5:$G$110="moeda")+(Inputs!$G$5:$G$110="acoes"))*Inputs!$B$1+((Inputs!$G$5:$G$110&lt;&gt;"moeda")*(Inputs!$G$5:$G$110&lt;&gt;"acoes")))*INDEX(Inputs!$K$5:$AJ$110,0,MATCH(G$2,Inputs!$K$4:$AJ$4,0)))+SUMPRODUCT((Inputs!$E$5:$E$110=$B7)*Inputs!$F$5:$F$110*(((Inputs!$G$5:$G$110="moeda")+(Inputs!$G$5:$G$110="acoes"))*Inputs!$B$1+((Inputs!$G$5:$G$110&lt;&gt;"moeda")*(Inputs!$G$5:$G$110&lt;&gt;"acoes")))*INDEX(Inputs!$K$5:$AJ$110,0,MATCH(G$2,Inputs!$K$4:$AJ$4,0)))))</f>
        <v>-432</v>
      </c>
      <c r="H7" s="268">
        <f>SUM(D7:G7)</f>
        <v>-1809</v>
      </c>
      <c r="I7" s="267">
        <f>IF(ISNA(MATCH(I$2,Inputs!$K$4:$AJ$4,0)),NA(),IF(SUMPRODUCT((Inputs!$A$5:$A$110=$B7)*ISNUMBER(INDEX(Inputs!$K$5:$AJ$110,0,MATCH(I$2,Inputs!$K$4:$AJ$4,0))))+SUMPRODUCT((Inputs!$C$5:$C$110=$B7)*ISNUMBER(INDEX(Inputs!$K$5:$AJ$110,0,MATCH(I$2,Inputs!$K$4:$AJ$4,0))))+SUMPRODUCT((Inputs!$E$5:$E$110=$B7)*ISNUMBER(INDEX(Inputs!$K$5:$AJ$110,0,MATCH(I$2,Inputs!$K$4:$AJ$4,0))))=0,NA(),SUMPRODUCT((Inputs!$A$5:$A$110=$B7)*Inputs!$B$5:$B$110*(((Inputs!$G$5:$G$110="moeda")+(Inputs!$G$5:$G$110="acoes"))*Inputs!$B$1+((Inputs!$G$5:$G$110&lt;&gt;"moeda")*(Inputs!$G$5:$G$110&lt;&gt;"acoes")))*INDEX(Inputs!$K$5:$AJ$110,0,MATCH(I$2,Inputs!$K$4:$AJ$4,0)))+SUMPRODUCT((Inputs!$C$5:$C$110=$B7)*Inputs!$D$5:$D$110*(((Inputs!$G$5:$G$110="moeda")+(Inputs!$G$5:$G$110="acoes"))*Inputs!$B$1+((Inputs!$G$5:$G$110&lt;&gt;"moeda")*(Inputs!$G$5:$G$110&lt;&gt;"acoes")))*INDEX(Inputs!$K$5:$AJ$110,0,MATCH(I$2,Inputs!$K$4:$AJ$4,0)))+SUMPRODUCT((Inputs!$E$5:$E$110=$B7)*Inputs!$F$5:$F$110*(((Inputs!$G$5:$G$110="moeda")+(Inputs!$G$5:$G$110="acoes"))*Inputs!$B$1+((Inputs!$G$5:$G$110&lt;&gt;"moeda")*(Inputs!$G$5:$G$110&lt;&gt;"acoes")))*INDEX(Inputs!$K$5:$AJ$110,0,MATCH(I$2,Inputs!$K$4:$AJ$4,0)))))</f>
        <v>-436</v>
      </c>
      <c r="J7" s="267">
        <f>IF(ISNA(MATCH(J$2,Inputs!$K$4:$AJ$4,0)),NA(),IF(SUMPRODUCT((Inputs!$A$5:$A$110=$B7)*ISNUMBER(INDEX(Inputs!$K$5:$AJ$110,0,MATCH(J$2,Inputs!$K$4:$AJ$4,0))))+SUMPRODUCT((Inputs!$C$5:$C$110=$B7)*ISNUMBER(INDEX(Inputs!$K$5:$AJ$110,0,MATCH(J$2,Inputs!$K$4:$AJ$4,0))))+SUMPRODUCT((Inputs!$E$5:$E$110=$B7)*ISNUMBER(INDEX(Inputs!$K$5:$AJ$110,0,MATCH(J$2,Inputs!$K$4:$AJ$4,0))))=0,NA(),SUMPRODUCT((Inputs!$A$5:$A$110=$B7)*Inputs!$B$5:$B$110*(((Inputs!$G$5:$G$110="moeda")+(Inputs!$G$5:$G$110="acoes"))*Inputs!$B$1+((Inputs!$G$5:$G$110&lt;&gt;"moeda")*(Inputs!$G$5:$G$110&lt;&gt;"acoes")))*INDEX(Inputs!$K$5:$AJ$110,0,MATCH(J$2,Inputs!$K$4:$AJ$4,0)))+SUMPRODUCT((Inputs!$C$5:$C$110=$B7)*Inputs!$D$5:$D$110*(((Inputs!$G$5:$G$110="moeda")+(Inputs!$G$5:$G$110="acoes"))*Inputs!$B$1+((Inputs!$G$5:$G$110&lt;&gt;"moeda")*(Inputs!$G$5:$G$110&lt;&gt;"acoes")))*INDEX(Inputs!$K$5:$AJ$110,0,MATCH(J$2,Inputs!$K$4:$AJ$4,0)))+SUMPRODUCT((Inputs!$E$5:$E$110=$B7)*Inputs!$F$5:$F$110*(((Inputs!$G$5:$G$110="moeda")+(Inputs!$G$5:$G$110="acoes"))*Inputs!$B$1+((Inputs!$G$5:$G$110&lt;&gt;"moeda")*(Inputs!$G$5:$G$110&lt;&gt;"acoes")))*INDEX(Inputs!$K$5:$AJ$110,0,MATCH(J$2,Inputs!$K$4:$AJ$4,0)))))</f>
        <v>-438</v>
      </c>
      <c r="K7" s="267">
        <f>IF(ISNA(MATCH(K$2,Inputs!$K$4:$AJ$4,0)),NA(),IF(SUMPRODUCT((Inputs!$A$5:$A$110=$B7)*ISNUMBER(INDEX(Inputs!$K$5:$AJ$110,0,MATCH(K$2,Inputs!$K$4:$AJ$4,0))))+SUMPRODUCT((Inputs!$C$5:$C$110=$B7)*ISNUMBER(INDEX(Inputs!$K$5:$AJ$110,0,MATCH(K$2,Inputs!$K$4:$AJ$4,0))))+SUMPRODUCT((Inputs!$E$5:$E$110=$B7)*ISNUMBER(INDEX(Inputs!$K$5:$AJ$110,0,MATCH(K$2,Inputs!$K$4:$AJ$4,0))))=0,NA(),SUMPRODUCT((Inputs!$A$5:$A$110=$B7)*Inputs!$B$5:$B$110*(((Inputs!$G$5:$G$110="moeda")+(Inputs!$G$5:$G$110="acoes"))*Inputs!$B$1+((Inputs!$G$5:$G$110&lt;&gt;"moeda")*(Inputs!$G$5:$G$110&lt;&gt;"acoes")))*INDEX(Inputs!$K$5:$AJ$110,0,MATCH(K$2,Inputs!$K$4:$AJ$4,0)))+SUMPRODUCT((Inputs!$C$5:$C$110=$B7)*Inputs!$D$5:$D$110*(((Inputs!$G$5:$G$110="moeda")+(Inputs!$G$5:$G$110="acoes"))*Inputs!$B$1+((Inputs!$G$5:$G$110&lt;&gt;"moeda")*(Inputs!$G$5:$G$110&lt;&gt;"acoes")))*INDEX(Inputs!$K$5:$AJ$110,0,MATCH(K$2,Inputs!$K$4:$AJ$4,0)))+SUMPRODUCT((Inputs!$E$5:$E$110=$B7)*Inputs!$F$5:$F$110*(((Inputs!$G$5:$G$110="moeda")+(Inputs!$G$5:$G$110="acoes"))*Inputs!$B$1+((Inputs!$G$5:$G$110&lt;&gt;"moeda")*(Inputs!$G$5:$G$110&lt;&gt;"acoes")))*INDEX(Inputs!$K$5:$AJ$110,0,MATCH(K$2,Inputs!$K$4:$AJ$4,0)))))</f>
        <v>-594</v>
      </c>
      <c r="L7" s="267">
        <f>IF(ISNA(MATCH(L$2,Inputs!$K$4:$AJ$4,0)),NA(),IF(SUMPRODUCT((Inputs!$A$5:$A$110=$B7)*ISNUMBER(INDEX(Inputs!$K$5:$AJ$110,0,MATCH(L$2,Inputs!$K$4:$AJ$4,0))))+SUMPRODUCT((Inputs!$C$5:$C$110=$B7)*ISNUMBER(INDEX(Inputs!$K$5:$AJ$110,0,MATCH(L$2,Inputs!$K$4:$AJ$4,0))))+SUMPRODUCT((Inputs!$E$5:$E$110=$B7)*ISNUMBER(INDEX(Inputs!$K$5:$AJ$110,0,MATCH(L$2,Inputs!$K$4:$AJ$4,0))))=0,NA(),SUMPRODUCT((Inputs!$A$5:$A$110=$B7)*Inputs!$B$5:$B$110*(((Inputs!$G$5:$G$110="moeda")+(Inputs!$G$5:$G$110="acoes"))*Inputs!$B$1+((Inputs!$G$5:$G$110&lt;&gt;"moeda")*(Inputs!$G$5:$G$110&lt;&gt;"acoes")))*INDEX(Inputs!$K$5:$AJ$110,0,MATCH(L$2,Inputs!$K$4:$AJ$4,0)))+SUMPRODUCT((Inputs!$C$5:$C$110=$B7)*Inputs!$D$5:$D$110*(((Inputs!$G$5:$G$110="moeda")+(Inputs!$G$5:$G$110="acoes"))*Inputs!$B$1+((Inputs!$G$5:$G$110&lt;&gt;"moeda")*(Inputs!$G$5:$G$110&lt;&gt;"acoes")))*INDEX(Inputs!$K$5:$AJ$110,0,MATCH(L$2,Inputs!$K$4:$AJ$4,0)))+SUMPRODUCT((Inputs!$E$5:$E$110=$B7)*Inputs!$F$5:$F$110*(((Inputs!$G$5:$G$110="moeda")+(Inputs!$G$5:$G$110="acoes"))*Inputs!$B$1+((Inputs!$G$5:$G$110&lt;&gt;"moeda")*(Inputs!$G$5:$G$110&lt;&gt;"acoes")))*INDEX(Inputs!$K$5:$AJ$110,0,MATCH(L$2,Inputs!$K$4:$AJ$4,0)))))</f>
        <v>-447</v>
      </c>
      <c r="M7" s="268">
        <f>SUM(I7:L7)</f>
        <v>-1915</v>
      </c>
      <c r="N7" s="267">
        <f>IF(ISNA(MATCH(N$2,Inputs!$K$4:$AJ$4,0)),NA(),IF(SUMPRODUCT((Inputs!$A$5:$A$110=$B7)*ISNUMBER(INDEX(Inputs!$K$5:$AJ$110,0,MATCH(N$2,Inputs!$K$4:$AJ$4,0))))+SUMPRODUCT((Inputs!$C$5:$C$110=$B7)*ISNUMBER(INDEX(Inputs!$K$5:$AJ$110,0,MATCH(N$2,Inputs!$K$4:$AJ$4,0))))+SUMPRODUCT((Inputs!$E$5:$E$110=$B7)*ISNUMBER(INDEX(Inputs!$K$5:$AJ$110,0,MATCH(N$2,Inputs!$K$4:$AJ$4,0))))=0,NA(),SUMPRODUCT((Inputs!$A$5:$A$110=$B7)*Inputs!$B$5:$B$110*(((Inputs!$G$5:$G$110="moeda")+(Inputs!$G$5:$G$110="acoes"))*Inputs!$B$1+((Inputs!$G$5:$G$110&lt;&gt;"moeda")*(Inputs!$G$5:$G$110&lt;&gt;"acoes")))*INDEX(Inputs!$K$5:$AJ$110,0,MATCH(N$2,Inputs!$K$4:$AJ$4,0)))+SUMPRODUCT((Inputs!$C$5:$C$110=$B7)*Inputs!$D$5:$D$110*(((Inputs!$G$5:$G$110="moeda")+(Inputs!$G$5:$G$110="acoes"))*Inputs!$B$1+((Inputs!$G$5:$G$110&lt;&gt;"moeda")*(Inputs!$G$5:$G$110&lt;&gt;"acoes")))*INDEX(Inputs!$K$5:$AJ$110,0,MATCH(N$2,Inputs!$K$4:$AJ$4,0)))+SUMPRODUCT((Inputs!$E$5:$E$110=$B7)*Inputs!$F$5:$F$110*(((Inputs!$G$5:$G$110="moeda")+(Inputs!$G$5:$G$110="acoes"))*Inputs!$B$1+((Inputs!$G$5:$G$110&lt;&gt;"moeda")*(Inputs!$G$5:$G$110&lt;&gt;"acoes")))*INDEX(Inputs!$K$5:$AJ$110,0,MATCH(N$2,Inputs!$K$4:$AJ$4,0)))))</f>
        <v>-470</v>
      </c>
      <c r="O7" s="267">
        <f>IF(ISNA(MATCH(O$2,Inputs!$K$4:$AJ$4,0)),NA(),IF(SUMPRODUCT((Inputs!$A$5:$A$110=$B7)*ISNUMBER(INDEX(Inputs!$K$5:$AJ$110,0,MATCH(O$2,Inputs!$K$4:$AJ$4,0))))+SUMPRODUCT((Inputs!$C$5:$C$110=$B7)*ISNUMBER(INDEX(Inputs!$K$5:$AJ$110,0,MATCH(O$2,Inputs!$K$4:$AJ$4,0))))+SUMPRODUCT((Inputs!$E$5:$E$110=$B7)*ISNUMBER(INDEX(Inputs!$K$5:$AJ$110,0,MATCH(O$2,Inputs!$K$4:$AJ$4,0))))=0,NA(),SUMPRODUCT((Inputs!$A$5:$A$110=$B7)*Inputs!$B$5:$B$110*(((Inputs!$G$5:$G$110="moeda")+(Inputs!$G$5:$G$110="acoes"))*Inputs!$B$1+((Inputs!$G$5:$G$110&lt;&gt;"moeda")*(Inputs!$G$5:$G$110&lt;&gt;"acoes")))*INDEX(Inputs!$K$5:$AJ$110,0,MATCH(O$2,Inputs!$K$4:$AJ$4,0)))+SUMPRODUCT((Inputs!$C$5:$C$110=$B7)*Inputs!$D$5:$D$110*(((Inputs!$G$5:$G$110="moeda")+(Inputs!$G$5:$G$110="acoes"))*Inputs!$B$1+((Inputs!$G$5:$G$110&lt;&gt;"moeda")*(Inputs!$G$5:$G$110&lt;&gt;"acoes")))*INDEX(Inputs!$K$5:$AJ$110,0,MATCH(O$2,Inputs!$K$4:$AJ$4,0)))+SUMPRODUCT((Inputs!$E$5:$E$110=$B7)*Inputs!$F$5:$F$110*(((Inputs!$G$5:$G$110="moeda")+(Inputs!$G$5:$G$110="acoes"))*Inputs!$B$1+((Inputs!$G$5:$G$110&lt;&gt;"moeda")*(Inputs!$G$5:$G$110&lt;&gt;"acoes")))*INDEX(Inputs!$K$5:$AJ$110,0,MATCH(O$2,Inputs!$K$4:$AJ$4,0)))))</f>
        <v>-472</v>
      </c>
      <c r="P7" s="267">
        <f>IF(ISNA(MATCH(P$2,Inputs!$K$4:$AJ$4,0)),NA(),IF(SUMPRODUCT((Inputs!$A$5:$A$110=$B7)*ISNUMBER(INDEX(Inputs!$K$5:$AJ$110,0,MATCH(P$2,Inputs!$K$4:$AJ$4,0))))+SUMPRODUCT((Inputs!$C$5:$C$110=$B7)*ISNUMBER(INDEX(Inputs!$K$5:$AJ$110,0,MATCH(P$2,Inputs!$K$4:$AJ$4,0))))+SUMPRODUCT((Inputs!$E$5:$E$110=$B7)*ISNUMBER(INDEX(Inputs!$K$5:$AJ$110,0,MATCH(P$2,Inputs!$K$4:$AJ$4,0))))=0,NA(),SUMPRODUCT((Inputs!$A$5:$A$110=$B7)*Inputs!$B$5:$B$110*(((Inputs!$G$5:$G$110="moeda")+(Inputs!$G$5:$G$110="acoes"))*Inputs!$B$1+((Inputs!$G$5:$G$110&lt;&gt;"moeda")*(Inputs!$G$5:$G$110&lt;&gt;"acoes")))*INDEX(Inputs!$K$5:$AJ$110,0,MATCH(P$2,Inputs!$K$4:$AJ$4,0)))+SUMPRODUCT((Inputs!$C$5:$C$110=$B7)*Inputs!$D$5:$D$110*(((Inputs!$G$5:$G$110="moeda")+(Inputs!$G$5:$G$110="acoes"))*Inputs!$B$1+((Inputs!$G$5:$G$110&lt;&gt;"moeda")*(Inputs!$G$5:$G$110&lt;&gt;"acoes")))*INDEX(Inputs!$K$5:$AJ$110,0,MATCH(P$2,Inputs!$K$4:$AJ$4,0)))+SUMPRODUCT((Inputs!$E$5:$E$110=$B7)*Inputs!$F$5:$F$110*(((Inputs!$G$5:$G$110="moeda")+(Inputs!$G$5:$G$110="acoes"))*Inputs!$B$1+((Inputs!$G$5:$G$110&lt;&gt;"moeda")*(Inputs!$G$5:$G$110&lt;&gt;"acoes")))*INDEX(Inputs!$K$5:$AJ$110,0,MATCH(P$2,Inputs!$K$4:$AJ$4,0)))))</f>
        <v>-688</v>
      </c>
      <c r="Q7" s="267">
        <f>IF(ISNA(MATCH(Q$2,Inputs!$K$4:$AJ$4,0)),NA(),IF(SUMPRODUCT((Inputs!$A$5:$A$110=$B7)*ISNUMBER(INDEX(Inputs!$K$5:$AJ$110,0,MATCH(Q$2,Inputs!$K$4:$AJ$4,0))))+SUMPRODUCT((Inputs!$C$5:$C$110=$B7)*ISNUMBER(INDEX(Inputs!$K$5:$AJ$110,0,MATCH(Q$2,Inputs!$K$4:$AJ$4,0))))+SUMPRODUCT((Inputs!$E$5:$E$110=$B7)*ISNUMBER(INDEX(Inputs!$K$5:$AJ$110,0,MATCH(Q$2,Inputs!$K$4:$AJ$4,0))))=0,NA(),SUMPRODUCT((Inputs!$A$5:$A$110=$B7)*Inputs!$B$5:$B$110*(((Inputs!$G$5:$G$110="moeda")+(Inputs!$G$5:$G$110="acoes"))*Inputs!$B$1+((Inputs!$G$5:$G$110&lt;&gt;"moeda")*(Inputs!$G$5:$G$110&lt;&gt;"acoes")))*INDEX(Inputs!$K$5:$AJ$110,0,MATCH(Q$2,Inputs!$K$4:$AJ$4,0)))+SUMPRODUCT((Inputs!$C$5:$C$110=$B7)*Inputs!$D$5:$D$110*(((Inputs!$G$5:$G$110="moeda")+(Inputs!$G$5:$G$110="acoes"))*Inputs!$B$1+((Inputs!$G$5:$G$110&lt;&gt;"moeda")*(Inputs!$G$5:$G$110&lt;&gt;"acoes")))*INDEX(Inputs!$K$5:$AJ$110,0,MATCH(Q$2,Inputs!$K$4:$AJ$4,0)))+SUMPRODUCT((Inputs!$E$5:$E$110=$B7)*Inputs!$F$5:$F$110*(((Inputs!$G$5:$G$110="moeda")+(Inputs!$G$5:$G$110="acoes"))*Inputs!$B$1+((Inputs!$G$5:$G$110&lt;&gt;"moeda")*(Inputs!$G$5:$G$110&lt;&gt;"acoes")))*INDEX(Inputs!$K$5:$AJ$110,0,MATCH(Q$2,Inputs!$K$4:$AJ$4,0)))))</f>
        <v>-501</v>
      </c>
      <c r="R7" s="268">
        <f>SUM(N7:Q7)</f>
        <v>-2131</v>
      </c>
      <c r="S7" s="267">
        <f>IF(ISNA(MATCH(S$2,Inputs!$K$4:$AJ$4,0)),NA(),IF(SUMPRODUCT((Inputs!$A$5:$A$110=$B7)*ISNUMBER(INDEX(Inputs!$K$5:$AJ$110,0,MATCH(S$2,Inputs!$K$4:$AJ$4,0))))+SUMPRODUCT((Inputs!$C$5:$C$110=$B7)*ISNUMBER(INDEX(Inputs!$K$5:$AJ$110,0,MATCH(S$2,Inputs!$K$4:$AJ$4,0))))+SUMPRODUCT((Inputs!$E$5:$E$110=$B7)*ISNUMBER(INDEX(Inputs!$K$5:$AJ$110,0,MATCH(S$2,Inputs!$K$4:$AJ$4,0))))=0,NA(),SUMPRODUCT((Inputs!$A$5:$A$110=$B7)*Inputs!$B$5:$B$110*(((Inputs!$G$5:$G$110="moeda")+(Inputs!$G$5:$G$110="acoes"))*Inputs!$B$1+((Inputs!$G$5:$G$110&lt;&gt;"moeda")*(Inputs!$G$5:$G$110&lt;&gt;"acoes")))*INDEX(Inputs!$K$5:$AJ$110,0,MATCH(S$2,Inputs!$K$4:$AJ$4,0)))+SUMPRODUCT((Inputs!$C$5:$C$110=$B7)*Inputs!$D$5:$D$110*(((Inputs!$G$5:$G$110="moeda")+(Inputs!$G$5:$G$110="acoes"))*Inputs!$B$1+((Inputs!$G$5:$G$110&lt;&gt;"moeda")*(Inputs!$G$5:$G$110&lt;&gt;"acoes")))*INDEX(Inputs!$K$5:$AJ$110,0,MATCH(S$2,Inputs!$K$4:$AJ$4,0)))+SUMPRODUCT((Inputs!$E$5:$E$110=$B7)*Inputs!$F$5:$F$110*(((Inputs!$G$5:$G$110="moeda")+(Inputs!$G$5:$G$110="acoes"))*Inputs!$B$1+((Inputs!$G$5:$G$110&lt;&gt;"moeda")*(Inputs!$G$5:$G$110&lt;&gt;"acoes")))*INDEX(Inputs!$K$5:$AJ$110,0,MATCH(S$2,Inputs!$K$4:$AJ$4,0)))))</f>
        <v>-514</v>
      </c>
      <c r="T7" s="267">
        <f>IF(ISNA(MATCH(T$2,Inputs!$K$4:$AJ$4,0)),NA(),IF(SUMPRODUCT((Inputs!$A$5:$A$110=$B7)*ISNUMBER(INDEX(Inputs!$K$5:$AJ$110,0,MATCH(T$2,Inputs!$K$4:$AJ$4,0))))+SUMPRODUCT((Inputs!$C$5:$C$110=$B7)*ISNUMBER(INDEX(Inputs!$K$5:$AJ$110,0,MATCH(T$2,Inputs!$K$4:$AJ$4,0))))+SUMPRODUCT((Inputs!$E$5:$E$110=$B7)*ISNUMBER(INDEX(Inputs!$K$5:$AJ$110,0,MATCH(T$2,Inputs!$K$4:$AJ$4,0))))=0,NA(),SUMPRODUCT((Inputs!$A$5:$A$110=$B7)*Inputs!$B$5:$B$110*(((Inputs!$G$5:$G$110="moeda")+(Inputs!$G$5:$G$110="acoes"))*Inputs!$B$1+((Inputs!$G$5:$G$110&lt;&gt;"moeda")*(Inputs!$G$5:$G$110&lt;&gt;"acoes")))*INDEX(Inputs!$K$5:$AJ$110,0,MATCH(T$2,Inputs!$K$4:$AJ$4,0)))+SUMPRODUCT((Inputs!$C$5:$C$110=$B7)*Inputs!$D$5:$D$110*(((Inputs!$G$5:$G$110="moeda")+(Inputs!$G$5:$G$110="acoes"))*Inputs!$B$1+((Inputs!$G$5:$G$110&lt;&gt;"moeda")*(Inputs!$G$5:$G$110&lt;&gt;"acoes")))*INDEX(Inputs!$K$5:$AJ$110,0,MATCH(T$2,Inputs!$K$4:$AJ$4,0)))+SUMPRODUCT((Inputs!$E$5:$E$110=$B7)*Inputs!$F$5:$F$110*(((Inputs!$G$5:$G$110="moeda")+(Inputs!$G$5:$G$110="acoes"))*Inputs!$B$1+((Inputs!$G$5:$G$110&lt;&gt;"moeda")*(Inputs!$G$5:$G$110&lt;&gt;"acoes")))*INDEX(Inputs!$K$5:$AJ$110,0,MATCH(T$2,Inputs!$K$4:$AJ$4,0)))))</f>
        <v>-516</v>
      </c>
      <c r="U7" s="267">
        <f>IF(ISNA(MATCH(U$2,Inputs!$K$4:$AJ$4,0)),NA(),IF(SUMPRODUCT((Inputs!$A$5:$A$110=$B7)*ISNUMBER(INDEX(Inputs!$K$5:$AJ$110,0,MATCH(U$2,Inputs!$K$4:$AJ$4,0))))+SUMPRODUCT((Inputs!$C$5:$C$110=$B7)*ISNUMBER(INDEX(Inputs!$K$5:$AJ$110,0,MATCH(U$2,Inputs!$K$4:$AJ$4,0))))+SUMPRODUCT((Inputs!$E$5:$E$110=$B7)*ISNUMBER(INDEX(Inputs!$K$5:$AJ$110,0,MATCH(U$2,Inputs!$K$4:$AJ$4,0))))=0,NA(),SUMPRODUCT((Inputs!$A$5:$A$110=$B7)*Inputs!$B$5:$B$110*(((Inputs!$G$5:$G$110="moeda")+(Inputs!$G$5:$G$110="acoes"))*Inputs!$B$1+((Inputs!$G$5:$G$110&lt;&gt;"moeda")*(Inputs!$G$5:$G$110&lt;&gt;"acoes")))*INDEX(Inputs!$K$5:$AJ$110,0,MATCH(U$2,Inputs!$K$4:$AJ$4,0)))+SUMPRODUCT((Inputs!$C$5:$C$110=$B7)*Inputs!$D$5:$D$110*(((Inputs!$G$5:$G$110="moeda")+(Inputs!$G$5:$G$110="acoes"))*Inputs!$B$1+((Inputs!$G$5:$G$110&lt;&gt;"moeda")*(Inputs!$G$5:$G$110&lt;&gt;"acoes")))*INDEX(Inputs!$K$5:$AJ$110,0,MATCH(U$2,Inputs!$K$4:$AJ$4,0)))+SUMPRODUCT((Inputs!$E$5:$E$110=$B7)*Inputs!$F$5:$F$110*(((Inputs!$G$5:$G$110="moeda")+(Inputs!$G$5:$G$110="acoes"))*Inputs!$B$1+((Inputs!$G$5:$G$110&lt;&gt;"moeda")*(Inputs!$G$5:$G$110&lt;&gt;"acoes")))*INDEX(Inputs!$K$5:$AJ$110,0,MATCH(U$2,Inputs!$K$4:$AJ$4,0)))))</f>
        <v>-706</v>
      </c>
      <c r="V7" s="267">
        <f>IF(ISNA(MATCH(V$2,Inputs!$K$4:$AJ$4,0)),NA(),IF(SUMPRODUCT((Inputs!$A$5:$A$110=$B7)*ISNUMBER(INDEX(Inputs!$K$5:$AJ$110,0,MATCH(V$2,Inputs!$K$4:$AJ$4,0))))+SUMPRODUCT((Inputs!$C$5:$C$110=$B7)*ISNUMBER(INDEX(Inputs!$K$5:$AJ$110,0,MATCH(V$2,Inputs!$K$4:$AJ$4,0))))+SUMPRODUCT((Inputs!$E$5:$E$110=$B7)*ISNUMBER(INDEX(Inputs!$K$5:$AJ$110,0,MATCH(V$2,Inputs!$K$4:$AJ$4,0))))=0,NA(),SUMPRODUCT((Inputs!$A$5:$A$110=$B7)*Inputs!$B$5:$B$110*(((Inputs!$G$5:$G$110="moeda")+(Inputs!$G$5:$G$110="acoes"))*Inputs!$B$1+((Inputs!$G$5:$G$110&lt;&gt;"moeda")*(Inputs!$G$5:$G$110&lt;&gt;"acoes")))*INDEX(Inputs!$K$5:$AJ$110,0,MATCH(V$2,Inputs!$K$4:$AJ$4,0)))+SUMPRODUCT((Inputs!$C$5:$C$110=$B7)*Inputs!$D$5:$D$110*(((Inputs!$G$5:$G$110="moeda")+(Inputs!$G$5:$G$110="acoes"))*Inputs!$B$1+((Inputs!$G$5:$G$110&lt;&gt;"moeda")*(Inputs!$G$5:$G$110&lt;&gt;"acoes")))*INDEX(Inputs!$K$5:$AJ$110,0,MATCH(V$2,Inputs!$K$4:$AJ$4,0)))+SUMPRODUCT((Inputs!$E$5:$E$110=$B7)*Inputs!$F$5:$F$110*(((Inputs!$G$5:$G$110="moeda")+(Inputs!$G$5:$G$110="acoes"))*Inputs!$B$1+((Inputs!$G$5:$G$110&lt;&gt;"moeda")*(Inputs!$G$5:$G$110&lt;&gt;"acoes")))*INDEX(Inputs!$K$5:$AJ$110,0,MATCH(V$2,Inputs!$K$4:$AJ$4,0)))))</f>
        <v>-548</v>
      </c>
      <c r="W7" s="268">
        <f>SUM(S7:V7)</f>
        <v>-2284</v>
      </c>
      <c r="X7" s="267">
        <f>IF(ISNA(MATCH(X$2,Inputs!$K$4:$AJ$4,0)),NA(),IF(SUMPRODUCT((Inputs!$A$5:$A$110=$B7)*ISNUMBER(INDEX(Inputs!$K$5:$AJ$110,0,MATCH(X$2,Inputs!$K$4:$AJ$4,0))))+SUMPRODUCT((Inputs!$C$5:$C$110=$B7)*ISNUMBER(INDEX(Inputs!$K$5:$AJ$110,0,MATCH(X$2,Inputs!$K$4:$AJ$4,0))))+SUMPRODUCT((Inputs!$E$5:$E$110=$B7)*ISNUMBER(INDEX(Inputs!$K$5:$AJ$110,0,MATCH(X$2,Inputs!$K$4:$AJ$4,0))))=0,NA(),SUMPRODUCT((Inputs!$A$5:$A$110=$B7)*Inputs!$B$5:$B$110*(((Inputs!$G$5:$G$110="moeda")+(Inputs!$G$5:$G$110="acoes"))*Inputs!$B$1+((Inputs!$G$5:$G$110&lt;&gt;"moeda")*(Inputs!$G$5:$G$110&lt;&gt;"acoes")))*INDEX(Inputs!$K$5:$AJ$110,0,MATCH(X$2,Inputs!$K$4:$AJ$4,0)))+SUMPRODUCT((Inputs!$C$5:$C$110=$B7)*Inputs!$D$5:$D$110*(((Inputs!$G$5:$G$110="moeda")+(Inputs!$G$5:$G$110="acoes"))*Inputs!$B$1+((Inputs!$G$5:$G$110&lt;&gt;"moeda")*(Inputs!$G$5:$G$110&lt;&gt;"acoes")))*INDEX(Inputs!$K$5:$AJ$110,0,MATCH(X$2,Inputs!$K$4:$AJ$4,0)))+SUMPRODUCT((Inputs!$E$5:$E$110=$B7)*Inputs!$F$5:$F$110*(((Inputs!$G$5:$G$110="moeda")+(Inputs!$G$5:$G$110="acoes"))*Inputs!$B$1+((Inputs!$G$5:$G$110&lt;&gt;"moeda")*(Inputs!$G$5:$G$110&lt;&gt;"acoes")))*INDEX(Inputs!$K$5:$AJ$110,0,MATCH(X$2,Inputs!$K$4:$AJ$4,0)))))</f>
        <v>-552</v>
      </c>
      <c r="Y7" s="267">
        <f>IF(ISNA(MATCH(Y$2,Inputs!$K$4:$AJ$4,0)),NA(),IF(SUMPRODUCT((Inputs!$A$5:$A$110=$B7)*ISNUMBER(INDEX(Inputs!$K$5:$AJ$110,0,MATCH(Y$2,Inputs!$K$4:$AJ$4,0))))+SUMPRODUCT((Inputs!$C$5:$C$110=$B7)*ISNUMBER(INDEX(Inputs!$K$5:$AJ$110,0,MATCH(Y$2,Inputs!$K$4:$AJ$4,0))))+SUMPRODUCT((Inputs!$E$5:$E$110=$B7)*ISNUMBER(INDEX(Inputs!$K$5:$AJ$110,0,MATCH(Y$2,Inputs!$K$4:$AJ$4,0))))=0,NA(),SUMPRODUCT((Inputs!$A$5:$A$110=$B7)*Inputs!$B$5:$B$110*(((Inputs!$G$5:$G$110="moeda")+(Inputs!$G$5:$G$110="acoes"))*Inputs!$B$1+((Inputs!$G$5:$G$110&lt;&gt;"moeda")*(Inputs!$G$5:$G$110&lt;&gt;"acoes")))*INDEX(Inputs!$K$5:$AJ$110,0,MATCH(Y$2,Inputs!$K$4:$AJ$4,0)))+SUMPRODUCT((Inputs!$C$5:$C$110=$B7)*Inputs!$D$5:$D$110*(((Inputs!$G$5:$G$110="moeda")+(Inputs!$G$5:$G$110="acoes"))*Inputs!$B$1+((Inputs!$G$5:$G$110&lt;&gt;"moeda")*(Inputs!$G$5:$G$110&lt;&gt;"acoes")))*INDEX(Inputs!$K$5:$AJ$110,0,MATCH(Y$2,Inputs!$K$4:$AJ$4,0)))+SUMPRODUCT((Inputs!$E$5:$E$110=$B7)*Inputs!$F$5:$F$110*(((Inputs!$G$5:$G$110="moeda")+(Inputs!$G$5:$G$110="acoes"))*Inputs!$B$1+((Inputs!$G$5:$G$110&lt;&gt;"moeda")*(Inputs!$G$5:$G$110&lt;&gt;"acoes")))*INDEX(Inputs!$K$5:$AJ$110,0,MATCH(Y$2,Inputs!$K$4:$AJ$4,0)))))</f>
        <v>-552</v>
      </c>
      <c r="Z7" s="267">
        <f>IF(ISNA(MATCH(Z$2,Inputs!$K$4:$AJ$4,0)),NA(),IF(SUMPRODUCT((Inputs!$A$5:$A$110=$B7)*ISNUMBER(INDEX(Inputs!$K$5:$AJ$110,0,MATCH(Z$2,Inputs!$K$4:$AJ$4,0))))+SUMPRODUCT((Inputs!$C$5:$C$110=$B7)*ISNUMBER(INDEX(Inputs!$K$5:$AJ$110,0,MATCH(Z$2,Inputs!$K$4:$AJ$4,0))))+SUMPRODUCT((Inputs!$E$5:$E$110=$B7)*ISNUMBER(INDEX(Inputs!$K$5:$AJ$110,0,MATCH(Z$2,Inputs!$K$4:$AJ$4,0))))=0,NA(),SUMPRODUCT((Inputs!$A$5:$A$110=$B7)*Inputs!$B$5:$B$110*(((Inputs!$G$5:$G$110="moeda")+(Inputs!$G$5:$G$110="acoes"))*Inputs!$B$1+((Inputs!$G$5:$G$110&lt;&gt;"moeda")*(Inputs!$G$5:$G$110&lt;&gt;"acoes")))*INDEX(Inputs!$K$5:$AJ$110,0,MATCH(Z$2,Inputs!$K$4:$AJ$4,0)))+SUMPRODUCT((Inputs!$C$5:$C$110=$B7)*Inputs!$D$5:$D$110*(((Inputs!$G$5:$G$110="moeda")+(Inputs!$G$5:$G$110="acoes"))*Inputs!$B$1+((Inputs!$G$5:$G$110&lt;&gt;"moeda")*(Inputs!$G$5:$G$110&lt;&gt;"acoes")))*INDEX(Inputs!$K$5:$AJ$110,0,MATCH(Z$2,Inputs!$K$4:$AJ$4,0)))+SUMPRODUCT((Inputs!$E$5:$E$110=$B7)*Inputs!$F$5:$F$110*(((Inputs!$G$5:$G$110="moeda")+(Inputs!$G$5:$G$110="acoes"))*Inputs!$B$1+((Inputs!$G$5:$G$110&lt;&gt;"moeda")*(Inputs!$G$5:$G$110&lt;&gt;"acoes")))*INDEX(Inputs!$K$5:$AJ$110,0,MATCH(Z$2,Inputs!$K$4:$AJ$4,0)))))</f>
        <v>-774</v>
      </c>
      <c r="AA7" s="267">
        <f>IF(ISNA(MATCH(AA$2,Inputs!$K$4:$AJ$4,0)),NA(),IF(SUMPRODUCT((Inputs!$A$5:$A$110=$B7)*ISNUMBER(INDEX(Inputs!$K$5:$AJ$110,0,MATCH(AA$2,Inputs!$K$4:$AJ$4,0))))+SUMPRODUCT((Inputs!$C$5:$C$110=$B7)*ISNUMBER(INDEX(Inputs!$K$5:$AJ$110,0,MATCH(AA$2,Inputs!$K$4:$AJ$4,0))))+SUMPRODUCT((Inputs!$E$5:$E$110=$B7)*ISNUMBER(INDEX(Inputs!$K$5:$AJ$110,0,MATCH(AA$2,Inputs!$K$4:$AJ$4,0))))=0,NA(),SUMPRODUCT((Inputs!$A$5:$A$110=$B7)*Inputs!$B$5:$B$110*(((Inputs!$G$5:$G$110="moeda")+(Inputs!$G$5:$G$110="acoes"))*Inputs!$B$1+((Inputs!$G$5:$G$110&lt;&gt;"moeda")*(Inputs!$G$5:$G$110&lt;&gt;"acoes")))*INDEX(Inputs!$K$5:$AJ$110,0,MATCH(AA$2,Inputs!$K$4:$AJ$4,0)))+SUMPRODUCT((Inputs!$C$5:$C$110=$B7)*Inputs!$D$5:$D$110*(((Inputs!$G$5:$G$110="moeda")+(Inputs!$G$5:$G$110="acoes"))*Inputs!$B$1+((Inputs!$G$5:$G$110&lt;&gt;"moeda")*(Inputs!$G$5:$G$110&lt;&gt;"acoes")))*INDEX(Inputs!$K$5:$AJ$110,0,MATCH(AA$2,Inputs!$K$4:$AJ$4,0)))+SUMPRODUCT((Inputs!$E$5:$E$110=$B7)*Inputs!$F$5:$F$110*(((Inputs!$G$5:$G$110="moeda")+(Inputs!$G$5:$G$110="acoes"))*Inputs!$B$1+((Inputs!$G$5:$G$110&lt;&gt;"moeda")*(Inputs!$G$5:$G$110&lt;&gt;"acoes")))*INDEX(Inputs!$K$5:$AJ$110,0,MATCH(AA$2,Inputs!$K$4:$AJ$4,0)))))</f>
        <v>-597</v>
      </c>
      <c r="AB7" s="268">
        <f>SUM(X7:AA7)</f>
        <v>-2475</v>
      </c>
      <c r="AC7" s="267">
        <f>IF(ISNA(MATCH(AC$2,Inputs!$K$4:$AJ$4,0)),NA(),IF(SUMPRODUCT((Inputs!$A$5:$A$110=$B7)*ISNUMBER(INDEX(Inputs!$K$5:$AJ$110,0,MATCH(AC$2,Inputs!$K$4:$AJ$4,0))))+SUMPRODUCT((Inputs!$C$5:$C$110=$B7)*ISNUMBER(INDEX(Inputs!$K$5:$AJ$110,0,MATCH(AC$2,Inputs!$K$4:$AJ$4,0))))+SUMPRODUCT((Inputs!$E$5:$E$110=$B7)*ISNUMBER(INDEX(Inputs!$K$5:$AJ$110,0,MATCH(AC$2,Inputs!$K$4:$AJ$4,0))))=0,NA(),SUMPRODUCT((Inputs!$A$5:$A$110=$B7)*Inputs!$B$5:$B$110*(((Inputs!$G$5:$G$110="moeda")+(Inputs!$G$5:$G$110="acoes"))*Inputs!$B$1+((Inputs!$G$5:$G$110&lt;&gt;"moeda")*(Inputs!$G$5:$G$110&lt;&gt;"acoes")))*INDEX(Inputs!$K$5:$AJ$110,0,MATCH(AC$2,Inputs!$K$4:$AJ$4,0)))+SUMPRODUCT((Inputs!$C$5:$C$110=$B7)*Inputs!$D$5:$D$110*(((Inputs!$G$5:$G$110="moeda")+(Inputs!$G$5:$G$110="acoes"))*Inputs!$B$1+((Inputs!$G$5:$G$110&lt;&gt;"moeda")*(Inputs!$G$5:$G$110&lt;&gt;"acoes")))*INDEX(Inputs!$K$5:$AJ$110,0,MATCH(AC$2,Inputs!$K$4:$AJ$4,0)))+SUMPRODUCT((Inputs!$E$5:$E$110=$B7)*Inputs!$F$5:$F$110*(((Inputs!$G$5:$G$110="moeda")+(Inputs!$G$5:$G$110="acoes"))*Inputs!$B$1+((Inputs!$G$5:$G$110&lt;&gt;"moeda")*(Inputs!$G$5:$G$110&lt;&gt;"acoes")))*INDEX(Inputs!$K$5:$AJ$110,0,MATCH(AC$2,Inputs!$K$4:$AJ$4,0)))))</f>
        <v>-597</v>
      </c>
      <c r="AD7" s="267">
        <f>IF(ISNA(MATCH(AD$2,Inputs!$K$4:$AJ$4,0)),NA(),IF(SUMPRODUCT((Inputs!$A$5:$A$110=$B7)*ISNUMBER(INDEX(Inputs!$K$5:$AJ$110,0,MATCH(AD$2,Inputs!$K$4:$AJ$4,0))))+SUMPRODUCT((Inputs!$C$5:$C$110=$B7)*ISNUMBER(INDEX(Inputs!$K$5:$AJ$110,0,MATCH(AD$2,Inputs!$K$4:$AJ$4,0))))+SUMPRODUCT((Inputs!$E$5:$E$110=$B7)*ISNUMBER(INDEX(Inputs!$K$5:$AJ$110,0,MATCH(AD$2,Inputs!$K$4:$AJ$4,0))))=0,NA(),SUMPRODUCT((Inputs!$A$5:$A$110=$B7)*Inputs!$B$5:$B$110*(((Inputs!$G$5:$G$110="moeda")+(Inputs!$G$5:$G$110="acoes"))*Inputs!$B$1+((Inputs!$G$5:$G$110&lt;&gt;"moeda")*(Inputs!$G$5:$G$110&lt;&gt;"acoes")))*INDEX(Inputs!$K$5:$AJ$110,0,MATCH(AD$2,Inputs!$K$4:$AJ$4,0)))+SUMPRODUCT((Inputs!$C$5:$C$110=$B7)*Inputs!$D$5:$D$110*(((Inputs!$G$5:$G$110="moeda")+(Inputs!$G$5:$G$110="acoes"))*Inputs!$B$1+((Inputs!$G$5:$G$110&lt;&gt;"moeda")*(Inputs!$G$5:$G$110&lt;&gt;"acoes")))*INDEX(Inputs!$K$5:$AJ$110,0,MATCH(AD$2,Inputs!$K$4:$AJ$4,0)))+SUMPRODUCT((Inputs!$E$5:$E$110=$B7)*Inputs!$F$5:$F$110*(((Inputs!$G$5:$G$110="moeda")+(Inputs!$G$5:$G$110="acoes"))*Inputs!$B$1+((Inputs!$G$5:$G$110&lt;&gt;"moeda")*(Inputs!$G$5:$G$110&lt;&gt;"acoes")))*INDEX(Inputs!$K$5:$AJ$110,0,MATCH(AD$2,Inputs!$K$4:$AJ$4,0)))))</f>
        <v>-597</v>
      </c>
      <c r="AE7" s="267" t="e">
        <f>IF(ISNA(MATCH(AE$2,Inputs!$K$4:$AJ$4,0)),NA(),IF(SUMPRODUCT((Inputs!$A$5:$A$110=$B7)*ISNUMBER(INDEX(Inputs!$K$5:$AJ$110,0,MATCH(AE$2,Inputs!$K$4:$AJ$4,0))))+SUMPRODUCT((Inputs!$C$5:$C$110=$B7)*ISNUMBER(INDEX(Inputs!$K$5:$AJ$110,0,MATCH(AE$2,Inputs!$K$4:$AJ$4,0))))+SUMPRODUCT((Inputs!$E$5:$E$110=$B7)*ISNUMBER(INDEX(Inputs!$K$5:$AJ$110,0,MATCH(AE$2,Inputs!$K$4:$AJ$4,0))))=0,NA(),SUMPRODUCT((Inputs!$A$5:$A$110=$B7)*Inputs!$B$5:$B$110*(((Inputs!$G$5:$G$110="moeda")+(Inputs!$G$5:$G$110="acoes"))*Inputs!$B$1+((Inputs!$G$5:$G$110&lt;&gt;"moeda")*(Inputs!$G$5:$G$110&lt;&gt;"acoes")))*INDEX(Inputs!$K$5:$AJ$110,0,MATCH(AE$2,Inputs!$K$4:$AJ$4,0)))+SUMPRODUCT((Inputs!$C$5:$C$110=$B7)*Inputs!$D$5:$D$110*(((Inputs!$G$5:$G$110="moeda")+(Inputs!$G$5:$G$110="acoes"))*Inputs!$B$1+((Inputs!$G$5:$G$110&lt;&gt;"moeda")*(Inputs!$G$5:$G$110&lt;&gt;"acoes")))*INDEX(Inputs!$K$5:$AJ$110,0,MATCH(AE$2,Inputs!$K$4:$AJ$4,0)))+SUMPRODUCT((Inputs!$E$5:$E$110=$B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7" s="267" t="e">
        <f>IF(ISNA(MATCH(AF$2,Inputs!$K$4:$AJ$4,0)),NA(),IF(SUMPRODUCT((Inputs!$A$5:$A$110=$B7)*ISNUMBER(INDEX(Inputs!$K$5:$AJ$110,0,MATCH(AF$2,Inputs!$K$4:$AJ$4,0))))+SUMPRODUCT((Inputs!$C$5:$C$110=$B7)*ISNUMBER(INDEX(Inputs!$K$5:$AJ$110,0,MATCH(AF$2,Inputs!$K$4:$AJ$4,0))))+SUMPRODUCT((Inputs!$E$5:$E$110=$B7)*ISNUMBER(INDEX(Inputs!$K$5:$AJ$110,0,MATCH(AF$2,Inputs!$K$4:$AJ$4,0))))=0,NA(),SUMPRODUCT((Inputs!$A$5:$A$110=$B7)*Inputs!$B$5:$B$110*(((Inputs!$G$5:$G$110="moeda")+(Inputs!$G$5:$G$110="acoes"))*Inputs!$B$1+((Inputs!$G$5:$G$110&lt;&gt;"moeda")*(Inputs!$G$5:$G$110&lt;&gt;"acoes")))*INDEX(Inputs!$K$5:$AJ$110,0,MATCH(AF$2,Inputs!$K$4:$AJ$4,0)))+SUMPRODUCT((Inputs!$C$5:$C$110=$B7)*Inputs!$D$5:$D$110*(((Inputs!$G$5:$G$110="moeda")+(Inputs!$G$5:$G$110="acoes"))*Inputs!$B$1+((Inputs!$G$5:$G$110&lt;&gt;"moeda")*(Inputs!$G$5:$G$110&lt;&gt;"acoes")))*INDEX(Inputs!$K$5:$AJ$110,0,MATCH(AF$2,Inputs!$K$4:$AJ$4,0)))+SUMPRODUCT((Inputs!$E$5:$E$110=$B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7" s="268" t="e">
        <f>SUM(AC7:AF7)</f>
        <v>#N/A</v>
      </c>
      <c r="AH7" s="267">
        <f>IF(ISNA(MATCH(AH$2,Inputs!$K$4:$AJ$4,0)),NA(),IF(SUMPRODUCT((Inputs!$A$5:$A$110=$B7)*ISNUMBER(INDEX(Inputs!$K$5:$AJ$110,0,MATCH(AH$2,Inputs!$K$4:$AJ$4,0))))+SUMPRODUCT((Inputs!$C$5:$C$110=$B7)*ISNUMBER(INDEX(Inputs!$K$5:$AJ$110,0,MATCH(AH$2,Inputs!$K$4:$AJ$4,0))))+SUMPRODUCT((Inputs!$E$5:$E$110=$B7)*ISNUMBER(INDEX(Inputs!$K$5:$AJ$110,0,MATCH(AH$2,Inputs!$K$4:$AJ$4,0))))=0,NA(),SUMPRODUCT((Inputs!$A$5:$A$110=$B7)*Inputs!$B$5:$B$110*(((Inputs!$G$5:$G$110="moeda")+(Inputs!$G$5:$G$110="acoes"))*Inputs!$B$1+((Inputs!$G$5:$G$110&lt;&gt;"moeda")*(Inputs!$G$5:$G$110&lt;&gt;"acoes")))*INDEX(Inputs!$K$5:$AJ$110,0,MATCH(AH$2,Inputs!$K$4:$AJ$4,0)))+SUMPRODUCT((Inputs!$C$5:$C$110=$B7)*Inputs!$D$5:$D$110*(((Inputs!$G$5:$G$110="moeda")+(Inputs!$G$5:$G$110="acoes"))*Inputs!$B$1+((Inputs!$G$5:$G$110&lt;&gt;"moeda")*(Inputs!$G$5:$G$110&lt;&gt;"acoes")))*INDEX(Inputs!$K$5:$AJ$110,0,MATCH(AH$2,Inputs!$K$4:$AJ$4,0)))+SUMPRODUCT((Inputs!$E$5:$E$110=$B7)*Inputs!$F$5:$F$110*(((Inputs!$G$5:$G$110="moeda")+(Inputs!$G$5:$G$110="acoes"))*Inputs!$B$1+((Inputs!$G$5:$G$110&lt;&gt;"moeda")*(Inputs!$G$5:$G$110&lt;&gt;"acoes")))*INDEX(Inputs!$K$5:$AJ$110,0,MATCH(AH$2,Inputs!$K$4:$AJ$4,0)))))</f>
        <v>-389</v>
      </c>
      <c r="AI7" s="267">
        <f>IF(ISNA(MATCH(AI$2,Inputs!$K$4:$AJ$4,0)),NA(),IF(SUMPRODUCT((Inputs!$A$5:$A$110=$B7)*ISNUMBER(INDEX(Inputs!$K$5:$AJ$110,0,MATCH(AI$2,Inputs!$K$4:$AJ$4,0))))+SUMPRODUCT((Inputs!$C$5:$C$110=$B7)*ISNUMBER(INDEX(Inputs!$K$5:$AJ$110,0,MATCH(AI$2,Inputs!$K$4:$AJ$4,0))))+SUMPRODUCT((Inputs!$E$5:$E$110=$B7)*ISNUMBER(INDEX(Inputs!$K$5:$AJ$110,0,MATCH(AI$2,Inputs!$K$4:$AJ$4,0))))=0,NA(),SUMPRODUCT((Inputs!$A$5:$A$110=$B7)*Inputs!$B$5:$B$110*(((Inputs!$G$5:$G$110="moeda")+(Inputs!$G$5:$G$110="acoes"))*Inputs!$B$1+((Inputs!$G$5:$G$110&lt;&gt;"moeda")*(Inputs!$G$5:$G$110&lt;&gt;"acoes")))*INDEX(Inputs!$K$5:$AJ$110,0,MATCH(AI$2,Inputs!$K$4:$AJ$4,0)))+SUMPRODUCT((Inputs!$C$5:$C$110=$B7)*Inputs!$D$5:$D$110*(((Inputs!$G$5:$G$110="moeda")+(Inputs!$G$5:$G$110="acoes"))*Inputs!$B$1+((Inputs!$G$5:$G$110&lt;&gt;"moeda")*(Inputs!$G$5:$G$110&lt;&gt;"acoes")))*INDEX(Inputs!$K$5:$AJ$110,0,MATCH(AI$2,Inputs!$K$4:$AJ$4,0)))+SUMPRODUCT((Inputs!$E$5:$E$110=$B7)*Inputs!$F$5:$F$110*(((Inputs!$G$5:$G$110="moeda")+(Inputs!$G$5:$G$110="acoes"))*Inputs!$B$1+((Inputs!$G$5:$G$110&lt;&gt;"moeda")*(Inputs!$G$5:$G$110&lt;&gt;"acoes")))*INDEX(Inputs!$K$5:$AJ$110,0,MATCH(AI$2,Inputs!$K$4:$AJ$4,0)))))</f>
        <v>-382</v>
      </c>
      <c r="AJ7" s="267">
        <f>IF(ISNA(MATCH(AJ$2,Inputs!$K$4:$AJ$4,0)),NA(),IF(SUMPRODUCT((Inputs!$A$5:$A$110=$B7)*ISNUMBER(INDEX(Inputs!$K$5:$AJ$110,0,MATCH(AJ$2,Inputs!$K$4:$AJ$4,0))))+SUMPRODUCT((Inputs!$C$5:$C$110=$B7)*ISNUMBER(INDEX(Inputs!$K$5:$AJ$110,0,MATCH(AJ$2,Inputs!$K$4:$AJ$4,0))))+SUMPRODUCT((Inputs!$E$5:$E$110=$B7)*ISNUMBER(INDEX(Inputs!$K$5:$AJ$110,0,MATCH(AJ$2,Inputs!$K$4:$AJ$4,0))))=0,NA(),SUMPRODUCT((Inputs!$A$5:$A$110=$B7)*Inputs!$B$5:$B$110*(((Inputs!$G$5:$G$110="moeda")+(Inputs!$G$5:$G$110="acoes"))*Inputs!$B$1+((Inputs!$G$5:$G$110&lt;&gt;"moeda")*(Inputs!$G$5:$G$110&lt;&gt;"acoes")))*INDEX(Inputs!$K$5:$AJ$110,0,MATCH(AJ$2,Inputs!$K$4:$AJ$4,0)))+SUMPRODUCT((Inputs!$C$5:$C$110=$B7)*Inputs!$D$5:$D$110*(((Inputs!$G$5:$G$110="moeda")+(Inputs!$G$5:$G$110="acoes"))*Inputs!$B$1+((Inputs!$G$5:$G$110&lt;&gt;"moeda")*(Inputs!$G$5:$G$110&lt;&gt;"acoes")))*INDEX(Inputs!$K$5:$AJ$110,0,MATCH(AJ$2,Inputs!$K$4:$AJ$4,0)))+SUMPRODUCT((Inputs!$E$5:$E$110=$B7)*Inputs!$F$5:$F$110*(((Inputs!$G$5:$G$110="moeda")+(Inputs!$G$5:$G$110="acoes"))*Inputs!$B$1+((Inputs!$G$5:$G$110&lt;&gt;"moeda")*(Inputs!$G$5:$G$110&lt;&gt;"acoes")))*INDEX(Inputs!$K$5:$AJ$110,0,MATCH(AJ$2,Inputs!$K$4:$AJ$4,0)))))</f>
        <v>-505</v>
      </c>
      <c r="AK7" s="267">
        <f>IF(ISNA(MATCH(AK$2,Inputs!$K$4:$AJ$4,0)),NA(),IF(SUMPRODUCT((Inputs!$A$5:$A$110=$B7)*ISNUMBER(INDEX(Inputs!$K$5:$AJ$110,0,MATCH(AK$2,Inputs!$K$4:$AJ$4,0))))+SUMPRODUCT((Inputs!$C$5:$C$110=$B7)*ISNUMBER(INDEX(Inputs!$K$5:$AJ$110,0,MATCH(AK$2,Inputs!$K$4:$AJ$4,0))))+SUMPRODUCT((Inputs!$E$5:$E$110=$B7)*ISNUMBER(INDEX(Inputs!$K$5:$AJ$110,0,MATCH(AK$2,Inputs!$K$4:$AJ$4,0))))=0,NA(),SUMPRODUCT((Inputs!$A$5:$A$110=$B7)*Inputs!$B$5:$B$110*(((Inputs!$G$5:$G$110="moeda")+(Inputs!$G$5:$G$110="acoes"))*Inputs!$B$1+((Inputs!$G$5:$G$110&lt;&gt;"moeda")*(Inputs!$G$5:$G$110&lt;&gt;"acoes")))*INDEX(Inputs!$K$5:$AJ$110,0,MATCH(AK$2,Inputs!$K$4:$AJ$4,0)))+SUMPRODUCT((Inputs!$C$5:$C$110=$B7)*Inputs!$D$5:$D$110*(((Inputs!$G$5:$G$110="moeda")+(Inputs!$G$5:$G$110="acoes"))*Inputs!$B$1+((Inputs!$G$5:$G$110&lt;&gt;"moeda")*(Inputs!$G$5:$G$110&lt;&gt;"acoes")))*INDEX(Inputs!$K$5:$AJ$110,0,MATCH(AK$2,Inputs!$K$4:$AJ$4,0)))+SUMPRODUCT((Inputs!$E$5:$E$110=$B7)*Inputs!$F$5:$F$110*(((Inputs!$G$5:$G$110="moeda")+(Inputs!$G$5:$G$110="acoes"))*Inputs!$B$1+((Inputs!$G$5:$G$110&lt;&gt;"moeda")*(Inputs!$G$5:$G$110&lt;&gt;"acoes")))*INDEX(Inputs!$K$5:$AJ$110,0,MATCH(AK$2,Inputs!$K$4:$AJ$4,0)))))</f>
        <v>-404</v>
      </c>
      <c r="AL7" s="268">
        <f>SUM(AH7:AK7)</f>
        <v>-1680</v>
      </c>
    </row>
    <row r="8" ht="12.75" customHeight="1" s="255">
      <c r="B8" s="265" t="n">
        <v>5</v>
      </c>
      <c r="C8" s="270" t="inlineStr">
        <is>
          <t>Interest Expense</t>
        </is>
      </c>
      <c r="D8" s="267">
        <f>IF(ISNA(MATCH(D$2,Inputs!$K$4:$AJ$4,0)),NA(),IF(SUMPRODUCT((Inputs!$A$5:$A$110=$B8)*ISNUMBER(INDEX(Inputs!$K$5:$AJ$110,0,MATCH(D$2,Inputs!$K$4:$AJ$4,0))))+SUMPRODUCT((Inputs!$C$5:$C$110=$B8)*ISNUMBER(INDEX(Inputs!$K$5:$AJ$110,0,MATCH(D$2,Inputs!$K$4:$AJ$4,0))))+SUMPRODUCT((Inputs!$E$5:$E$110=$B8)*ISNUMBER(INDEX(Inputs!$K$5:$AJ$110,0,MATCH(D$2,Inputs!$K$4:$AJ$4,0))))=0,NA(),SUMPRODUCT((Inputs!$A$5:$A$110=$B8)*Inputs!$B$5:$B$110*(((Inputs!$G$5:$G$110="moeda")+(Inputs!$G$5:$G$110="acoes"))*Inputs!$B$1+((Inputs!$G$5:$G$110&lt;&gt;"moeda")*(Inputs!$G$5:$G$110&lt;&gt;"acoes")))*INDEX(Inputs!$K$5:$AJ$110,0,MATCH(D$2,Inputs!$K$4:$AJ$4,0)))+SUMPRODUCT((Inputs!$C$5:$C$110=$B8)*Inputs!$D$5:$D$110*(((Inputs!$G$5:$G$110="moeda")+(Inputs!$G$5:$G$110="acoes"))*Inputs!$B$1+((Inputs!$G$5:$G$110&lt;&gt;"moeda")*(Inputs!$G$5:$G$110&lt;&gt;"acoes")))*INDEX(Inputs!$K$5:$AJ$110,0,MATCH(D$2,Inputs!$K$4:$AJ$4,0)))+SUMPRODUCT((Inputs!$E$5:$E$110=$B8)*Inputs!$F$5:$F$110*(((Inputs!$G$5:$G$110="moeda")+(Inputs!$G$5:$G$110="acoes"))*Inputs!$B$1+((Inputs!$G$5:$G$110&lt;&gt;"moeda")*(Inputs!$G$5:$G$110&lt;&gt;"acoes")))*INDEX(Inputs!$K$5:$AJ$110,0,MATCH(D$2,Inputs!$K$4:$AJ$4,0)))))</f>
        <v>-40</v>
      </c>
      <c r="E8" s="267">
        <f>IF(ISNA(MATCH(E$2,Inputs!$K$4:$AJ$4,0)),NA(),IF(SUMPRODUCT((Inputs!$A$5:$A$110=$B8)*ISNUMBER(INDEX(Inputs!$K$5:$AJ$110,0,MATCH(E$2,Inputs!$K$4:$AJ$4,0))))+SUMPRODUCT((Inputs!$C$5:$C$110=$B8)*ISNUMBER(INDEX(Inputs!$K$5:$AJ$110,0,MATCH(E$2,Inputs!$K$4:$AJ$4,0))))+SUMPRODUCT((Inputs!$E$5:$E$110=$B8)*ISNUMBER(INDEX(Inputs!$K$5:$AJ$110,0,MATCH(E$2,Inputs!$K$4:$AJ$4,0))))=0,NA(),SUMPRODUCT((Inputs!$A$5:$A$110=$B8)*Inputs!$B$5:$B$110*(((Inputs!$G$5:$G$110="moeda")+(Inputs!$G$5:$G$110="acoes"))*Inputs!$B$1+((Inputs!$G$5:$G$110&lt;&gt;"moeda")*(Inputs!$G$5:$G$110&lt;&gt;"acoes")))*INDEX(Inputs!$K$5:$AJ$110,0,MATCH(E$2,Inputs!$K$4:$AJ$4,0)))+SUMPRODUCT((Inputs!$C$5:$C$110=$B8)*Inputs!$D$5:$D$110*(((Inputs!$G$5:$G$110="moeda")+(Inputs!$G$5:$G$110="acoes"))*Inputs!$B$1+((Inputs!$G$5:$G$110&lt;&gt;"moeda")*(Inputs!$G$5:$G$110&lt;&gt;"acoes")))*INDEX(Inputs!$K$5:$AJ$110,0,MATCH(E$2,Inputs!$K$4:$AJ$4,0)))+SUMPRODUCT((Inputs!$E$5:$E$110=$B8)*Inputs!$F$5:$F$110*(((Inputs!$G$5:$G$110="moeda")+(Inputs!$G$5:$G$110="acoes"))*Inputs!$B$1+((Inputs!$G$5:$G$110&lt;&gt;"moeda")*(Inputs!$G$5:$G$110&lt;&gt;"acoes")))*INDEX(Inputs!$K$5:$AJ$110,0,MATCH(E$2,Inputs!$K$4:$AJ$4,0)))))</f>
        <v>-40</v>
      </c>
      <c r="F8" s="267">
        <f>IF(ISNA(MATCH(F$2,Inputs!$K$4:$AJ$4,0)),NA(),IF(SUMPRODUCT((Inputs!$A$5:$A$110=$B8)*ISNUMBER(INDEX(Inputs!$K$5:$AJ$110,0,MATCH(F$2,Inputs!$K$4:$AJ$4,0))))+SUMPRODUCT((Inputs!$C$5:$C$110=$B8)*ISNUMBER(INDEX(Inputs!$K$5:$AJ$110,0,MATCH(F$2,Inputs!$K$4:$AJ$4,0))))+SUMPRODUCT((Inputs!$E$5:$E$110=$B8)*ISNUMBER(INDEX(Inputs!$K$5:$AJ$110,0,MATCH(F$2,Inputs!$K$4:$AJ$4,0))))=0,NA(),SUMPRODUCT((Inputs!$A$5:$A$110=$B8)*Inputs!$B$5:$B$110*(((Inputs!$G$5:$G$110="moeda")+(Inputs!$G$5:$G$110="acoes"))*Inputs!$B$1+((Inputs!$G$5:$G$110&lt;&gt;"moeda")*(Inputs!$G$5:$G$110&lt;&gt;"acoes")))*INDEX(Inputs!$K$5:$AJ$110,0,MATCH(F$2,Inputs!$K$4:$AJ$4,0)))+SUMPRODUCT((Inputs!$C$5:$C$110=$B8)*Inputs!$D$5:$D$110*(((Inputs!$G$5:$G$110="moeda")+(Inputs!$G$5:$G$110="acoes"))*Inputs!$B$1+((Inputs!$G$5:$G$110&lt;&gt;"moeda")*(Inputs!$G$5:$G$110&lt;&gt;"acoes")))*INDEX(Inputs!$K$5:$AJ$110,0,MATCH(F$2,Inputs!$K$4:$AJ$4,0)))+SUMPRODUCT((Inputs!$E$5:$E$110=$B8)*Inputs!$F$5:$F$110*(((Inputs!$G$5:$G$110="moeda")+(Inputs!$G$5:$G$110="acoes"))*Inputs!$B$1+((Inputs!$G$5:$G$110&lt;&gt;"moeda")*(Inputs!$G$5:$G$110&lt;&gt;"acoes")))*INDEX(Inputs!$K$5:$AJ$110,0,MATCH(F$2,Inputs!$K$4:$AJ$4,0)))))</f>
        <v>-52</v>
      </c>
      <c r="G8" s="267">
        <f>IF(ISNA(MATCH(G$2,Inputs!$K$4:$AJ$4,0)),NA(),IF(SUMPRODUCT((Inputs!$A$5:$A$110=$B8)*ISNUMBER(INDEX(Inputs!$K$5:$AJ$110,0,MATCH(G$2,Inputs!$K$4:$AJ$4,0))))+SUMPRODUCT((Inputs!$C$5:$C$110=$B8)*ISNUMBER(INDEX(Inputs!$K$5:$AJ$110,0,MATCH(G$2,Inputs!$K$4:$AJ$4,0))))+SUMPRODUCT((Inputs!$E$5:$E$110=$B8)*ISNUMBER(INDEX(Inputs!$K$5:$AJ$110,0,MATCH(G$2,Inputs!$K$4:$AJ$4,0))))=0,NA(),SUMPRODUCT((Inputs!$A$5:$A$110=$B8)*Inputs!$B$5:$B$110*(((Inputs!$G$5:$G$110="moeda")+(Inputs!$G$5:$G$110="acoes"))*Inputs!$B$1+((Inputs!$G$5:$G$110&lt;&gt;"moeda")*(Inputs!$G$5:$G$110&lt;&gt;"acoes")))*INDEX(Inputs!$K$5:$AJ$110,0,MATCH(G$2,Inputs!$K$4:$AJ$4,0)))+SUMPRODUCT((Inputs!$C$5:$C$110=$B8)*Inputs!$D$5:$D$110*(((Inputs!$G$5:$G$110="moeda")+(Inputs!$G$5:$G$110="acoes"))*Inputs!$B$1+((Inputs!$G$5:$G$110&lt;&gt;"moeda")*(Inputs!$G$5:$G$110&lt;&gt;"acoes")))*INDEX(Inputs!$K$5:$AJ$110,0,MATCH(G$2,Inputs!$K$4:$AJ$4,0)))+SUMPRODUCT((Inputs!$E$5:$E$110=$B8)*Inputs!$F$5:$F$110*(((Inputs!$G$5:$G$110="moeda")+(Inputs!$G$5:$G$110="acoes"))*Inputs!$B$1+((Inputs!$G$5:$G$110&lt;&gt;"moeda")*(Inputs!$G$5:$G$110&lt;&gt;"acoes")))*INDEX(Inputs!$K$5:$AJ$110,0,MATCH(G$2,Inputs!$K$4:$AJ$4,0)))))</f>
        <v>-39</v>
      </c>
      <c r="H8" s="268">
        <f>SUM(D8:G8)</f>
        <v>-171</v>
      </c>
      <c r="I8" s="267">
        <f>IF(ISNA(MATCH(I$2,Inputs!$K$4:$AJ$4,0)),NA(),IF(SUMPRODUCT((Inputs!$A$5:$A$110=$B8)*ISNUMBER(INDEX(Inputs!$K$5:$AJ$110,0,MATCH(I$2,Inputs!$K$4:$AJ$4,0))))+SUMPRODUCT((Inputs!$C$5:$C$110=$B8)*ISNUMBER(INDEX(Inputs!$K$5:$AJ$110,0,MATCH(I$2,Inputs!$K$4:$AJ$4,0))))+SUMPRODUCT((Inputs!$E$5:$E$110=$B8)*ISNUMBER(INDEX(Inputs!$K$5:$AJ$110,0,MATCH(I$2,Inputs!$K$4:$AJ$4,0))))=0,NA(),SUMPRODUCT((Inputs!$A$5:$A$110=$B8)*Inputs!$B$5:$B$110*(((Inputs!$G$5:$G$110="moeda")+(Inputs!$G$5:$G$110="acoes"))*Inputs!$B$1+((Inputs!$G$5:$G$110&lt;&gt;"moeda")*(Inputs!$G$5:$G$110&lt;&gt;"acoes")))*INDEX(Inputs!$K$5:$AJ$110,0,MATCH(I$2,Inputs!$K$4:$AJ$4,0)))+SUMPRODUCT((Inputs!$C$5:$C$110=$B8)*Inputs!$D$5:$D$110*(((Inputs!$G$5:$G$110="moeda")+(Inputs!$G$5:$G$110="acoes"))*Inputs!$B$1+((Inputs!$G$5:$G$110&lt;&gt;"moeda")*(Inputs!$G$5:$G$110&lt;&gt;"acoes")))*INDEX(Inputs!$K$5:$AJ$110,0,MATCH(I$2,Inputs!$K$4:$AJ$4,0)))+SUMPRODUCT((Inputs!$E$5:$E$110=$B8)*Inputs!$F$5:$F$110*(((Inputs!$G$5:$G$110="moeda")+(Inputs!$G$5:$G$110="acoes"))*Inputs!$B$1+((Inputs!$G$5:$G$110&lt;&gt;"moeda")*(Inputs!$G$5:$G$110&lt;&gt;"acoes")))*INDEX(Inputs!$K$5:$AJ$110,0,MATCH(I$2,Inputs!$K$4:$AJ$4,0)))))</f>
        <v>-36</v>
      </c>
      <c r="J8" s="267">
        <f>IF(ISNA(MATCH(J$2,Inputs!$K$4:$AJ$4,0)),NA(),IF(SUMPRODUCT((Inputs!$A$5:$A$110=$B8)*ISNUMBER(INDEX(Inputs!$K$5:$AJ$110,0,MATCH(J$2,Inputs!$K$4:$AJ$4,0))))+SUMPRODUCT((Inputs!$C$5:$C$110=$B8)*ISNUMBER(INDEX(Inputs!$K$5:$AJ$110,0,MATCH(J$2,Inputs!$K$4:$AJ$4,0))))+SUMPRODUCT((Inputs!$E$5:$E$110=$B8)*ISNUMBER(INDEX(Inputs!$K$5:$AJ$110,0,MATCH(J$2,Inputs!$K$4:$AJ$4,0))))=0,NA(),SUMPRODUCT((Inputs!$A$5:$A$110=$B8)*Inputs!$B$5:$B$110*(((Inputs!$G$5:$G$110="moeda")+(Inputs!$G$5:$G$110="acoes"))*Inputs!$B$1+((Inputs!$G$5:$G$110&lt;&gt;"moeda")*(Inputs!$G$5:$G$110&lt;&gt;"acoes")))*INDEX(Inputs!$K$5:$AJ$110,0,MATCH(J$2,Inputs!$K$4:$AJ$4,0)))+SUMPRODUCT((Inputs!$C$5:$C$110=$B8)*Inputs!$D$5:$D$110*(((Inputs!$G$5:$G$110="moeda")+(Inputs!$G$5:$G$110="acoes"))*Inputs!$B$1+((Inputs!$G$5:$G$110&lt;&gt;"moeda")*(Inputs!$G$5:$G$110&lt;&gt;"acoes")))*INDEX(Inputs!$K$5:$AJ$110,0,MATCH(J$2,Inputs!$K$4:$AJ$4,0)))+SUMPRODUCT((Inputs!$E$5:$E$110=$B8)*Inputs!$F$5:$F$110*(((Inputs!$G$5:$G$110="moeda")+(Inputs!$G$5:$G$110="acoes"))*Inputs!$B$1+((Inputs!$G$5:$G$110&lt;&gt;"moeda")*(Inputs!$G$5:$G$110&lt;&gt;"acoes")))*INDEX(Inputs!$K$5:$AJ$110,0,MATCH(J$2,Inputs!$K$4:$AJ$4,0)))))</f>
        <v>-35</v>
      </c>
      <c r="K8" s="267">
        <f>IF(ISNA(MATCH(K$2,Inputs!$K$4:$AJ$4,0)),NA(),IF(SUMPRODUCT((Inputs!$A$5:$A$110=$B8)*ISNUMBER(INDEX(Inputs!$K$5:$AJ$110,0,MATCH(K$2,Inputs!$K$4:$AJ$4,0))))+SUMPRODUCT((Inputs!$C$5:$C$110=$B8)*ISNUMBER(INDEX(Inputs!$K$5:$AJ$110,0,MATCH(K$2,Inputs!$K$4:$AJ$4,0))))+SUMPRODUCT((Inputs!$E$5:$E$110=$B8)*ISNUMBER(INDEX(Inputs!$K$5:$AJ$110,0,MATCH(K$2,Inputs!$K$4:$AJ$4,0))))=0,NA(),SUMPRODUCT((Inputs!$A$5:$A$110=$B8)*Inputs!$B$5:$B$110*(((Inputs!$G$5:$G$110="moeda")+(Inputs!$G$5:$G$110="acoes"))*Inputs!$B$1+((Inputs!$G$5:$G$110&lt;&gt;"moeda")*(Inputs!$G$5:$G$110&lt;&gt;"acoes")))*INDEX(Inputs!$K$5:$AJ$110,0,MATCH(K$2,Inputs!$K$4:$AJ$4,0)))+SUMPRODUCT((Inputs!$C$5:$C$110=$B8)*Inputs!$D$5:$D$110*(((Inputs!$G$5:$G$110="moeda")+(Inputs!$G$5:$G$110="acoes"))*Inputs!$B$1+((Inputs!$G$5:$G$110&lt;&gt;"moeda")*(Inputs!$G$5:$G$110&lt;&gt;"acoes")))*INDEX(Inputs!$K$5:$AJ$110,0,MATCH(K$2,Inputs!$K$4:$AJ$4,0)))+SUMPRODUCT((Inputs!$E$5:$E$110=$B8)*Inputs!$F$5:$F$110*(((Inputs!$G$5:$G$110="moeda")+(Inputs!$G$5:$G$110="acoes"))*Inputs!$B$1+((Inputs!$G$5:$G$110&lt;&gt;"moeda")*(Inputs!$G$5:$G$110&lt;&gt;"acoes")))*INDEX(Inputs!$K$5:$AJ$110,0,MATCH(K$2,Inputs!$K$4:$AJ$4,0)))))</f>
        <v>-48</v>
      </c>
      <c r="L8" s="267">
        <f>IF(ISNA(MATCH(L$2,Inputs!$K$4:$AJ$4,0)),NA(),IF(SUMPRODUCT((Inputs!$A$5:$A$110=$B8)*ISNUMBER(INDEX(Inputs!$K$5:$AJ$110,0,MATCH(L$2,Inputs!$K$4:$AJ$4,0))))+SUMPRODUCT((Inputs!$C$5:$C$110=$B8)*ISNUMBER(INDEX(Inputs!$K$5:$AJ$110,0,MATCH(L$2,Inputs!$K$4:$AJ$4,0))))+SUMPRODUCT((Inputs!$E$5:$E$110=$B8)*ISNUMBER(INDEX(Inputs!$K$5:$AJ$110,0,MATCH(L$2,Inputs!$K$4:$AJ$4,0))))=0,NA(),SUMPRODUCT((Inputs!$A$5:$A$110=$B8)*Inputs!$B$5:$B$110*(((Inputs!$G$5:$G$110="moeda")+(Inputs!$G$5:$G$110="acoes"))*Inputs!$B$1+((Inputs!$G$5:$G$110&lt;&gt;"moeda")*(Inputs!$G$5:$G$110&lt;&gt;"acoes")))*INDEX(Inputs!$K$5:$AJ$110,0,MATCH(L$2,Inputs!$K$4:$AJ$4,0)))+SUMPRODUCT((Inputs!$C$5:$C$110=$B8)*Inputs!$D$5:$D$110*(((Inputs!$G$5:$G$110="moeda")+(Inputs!$G$5:$G$110="acoes"))*Inputs!$B$1+((Inputs!$G$5:$G$110&lt;&gt;"moeda")*(Inputs!$G$5:$G$110&lt;&gt;"acoes")))*INDEX(Inputs!$K$5:$AJ$110,0,MATCH(L$2,Inputs!$K$4:$AJ$4,0)))+SUMPRODUCT((Inputs!$E$5:$E$110=$B8)*Inputs!$F$5:$F$110*(((Inputs!$G$5:$G$110="moeda")+(Inputs!$G$5:$G$110="acoes"))*Inputs!$B$1+((Inputs!$G$5:$G$110&lt;&gt;"moeda")*(Inputs!$G$5:$G$110&lt;&gt;"acoes")))*INDEX(Inputs!$K$5:$AJ$110,0,MATCH(L$2,Inputs!$K$4:$AJ$4,0)))))</f>
        <v>-34</v>
      </c>
      <c r="M8" s="268">
        <f>SUM(I8:L8)</f>
        <v>-153</v>
      </c>
      <c r="N8" s="267">
        <f>IF(ISNA(MATCH(N$2,Inputs!$K$4:$AJ$4,0)),NA(),IF(SUMPRODUCT((Inputs!$A$5:$A$110=$B8)*ISNUMBER(INDEX(Inputs!$K$5:$AJ$110,0,MATCH(N$2,Inputs!$K$4:$AJ$4,0))))+SUMPRODUCT((Inputs!$C$5:$C$110=$B8)*ISNUMBER(INDEX(Inputs!$K$5:$AJ$110,0,MATCH(N$2,Inputs!$K$4:$AJ$4,0))))+SUMPRODUCT((Inputs!$E$5:$E$110=$B8)*ISNUMBER(INDEX(Inputs!$K$5:$AJ$110,0,MATCH(N$2,Inputs!$K$4:$AJ$4,0))))=0,NA(),SUMPRODUCT((Inputs!$A$5:$A$110=$B8)*Inputs!$B$5:$B$110*(((Inputs!$G$5:$G$110="moeda")+(Inputs!$G$5:$G$110="acoes"))*Inputs!$B$1+((Inputs!$G$5:$G$110&lt;&gt;"moeda")*(Inputs!$G$5:$G$110&lt;&gt;"acoes")))*INDEX(Inputs!$K$5:$AJ$110,0,MATCH(N$2,Inputs!$K$4:$AJ$4,0)))+SUMPRODUCT((Inputs!$C$5:$C$110=$B8)*Inputs!$D$5:$D$110*(((Inputs!$G$5:$G$110="moeda")+(Inputs!$G$5:$G$110="acoes"))*Inputs!$B$1+((Inputs!$G$5:$G$110&lt;&gt;"moeda")*(Inputs!$G$5:$G$110&lt;&gt;"acoes")))*INDEX(Inputs!$K$5:$AJ$110,0,MATCH(N$2,Inputs!$K$4:$AJ$4,0)))+SUMPRODUCT((Inputs!$E$5:$E$110=$B8)*Inputs!$F$5:$F$110*(((Inputs!$G$5:$G$110="moeda")+(Inputs!$G$5:$G$110="acoes"))*Inputs!$B$1+((Inputs!$G$5:$G$110&lt;&gt;"moeda")*(Inputs!$G$5:$G$110&lt;&gt;"acoes")))*INDEX(Inputs!$K$5:$AJ$110,0,MATCH(N$2,Inputs!$K$4:$AJ$4,0)))))</f>
        <v>-34</v>
      </c>
      <c r="O8" s="267">
        <f>IF(ISNA(MATCH(O$2,Inputs!$K$4:$AJ$4,0)),NA(),IF(SUMPRODUCT((Inputs!$A$5:$A$110=$B8)*ISNUMBER(INDEX(Inputs!$K$5:$AJ$110,0,MATCH(O$2,Inputs!$K$4:$AJ$4,0))))+SUMPRODUCT((Inputs!$C$5:$C$110=$B8)*ISNUMBER(INDEX(Inputs!$K$5:$AJ$110,0,MATCH(O$2,Inputs!$K$4:$AJ$4,0))))+SUMPRODUCT((Inputs!$E$5:$E$110=$B8)*ISNUMBER(INDEX(Inputs!$K$5:$AJ$110,0,MATCH(O$2,Inputs!$K$4:$AJ$4,0))))=0,NA(),SUMPRODUCT((Inputs!$A$5:$A$110=$B8)*Inputs!$B$5:$B$110*(((Inputs!$G$5:$G$110="moeda")+(Inputs!$G$5:$G$110="acoes"))*Inputs!$B$1+((Inputs!$G$5:$G$110&lt;&gt;"moeda")*(Inputs!$G$5:$G$110&lt;&gt;"acoes")))*INDEX(Inputs!$K$5:$AJ$110,0,MATCH(O$2,Inputs!$K$4:$AJ$4,0)))+SUMPRODUCT((Inputs!$C$5:$C$110=$B8)*Inputs!$D$5:$D$110*(((Inputs!$G$5:$G$110="moeda")+(Inputs!$G$5:$G$110="acoes"))*Inputs!$B$1+((Inputs!$G$5:$G$110&lt;&gt;"moeda")*(Inputs!$G$5:$G$110&lt;&gt;"acoes")))*INDEX(Inputs!$K$5:$AJ$110,0,MATCH(O$2,Inputs!$K$4:$AJ$4,0)))+SUMPRODUCT((Inputs!$E$5:$E$110=$B8)*Inputs!$F$5:$F$110*(((Inputs!$G$5:$G$110="moeda")+(Inputs!$G$5:$G$110="acoes"))*Inputs!$B$1+((Inputs!$G$5:$G$110&lt;&gt;"moeda")*(Inputs!$G$5:$G$110&lt;&gt;"acoes")))*INDEX(Inputs!$K$5:$AJ$110,0,MATCH(O$2,Inputs!$K$4:$AJ$4,0)))))</f>
        <v>-36</v>
      </c>
      <c r="P8" s="267">
        <f>IF(ISNA(MATCH(P$2,Inputs!$K$4:$AJ$4,0)),NA(),IF(SUMPRODUCT((Inputs!$A$5:$A$110=$B8)*ISNUMBER(INDEX(Inputs!$K$5:$AJ$110,0,MATCH(P$2,Inputs!$K$4:$AJ$4,0))))+SUMPRODUCT((Inputs!$C$5:$C$110=$B8)*ISNUMBER(INDEX(Inputs!$K$5:$AJ$110,0,MATCH(P$2,Inputs!$K$4:$AJ$4,0))))+SUMPRODUCT((Inputs!$E$5:$E$110=$B8)*ISNUMBER(INDEX(Inputs!$K$5:$AJ$110,0,MATCH(P$2,Inputs!$K$4:$AJ$4,0))))=0,NA(),SUMPRODUCT((Inputs!$A$5:$A$110=$B8)*Inputs!$B$5:$B$110*(((Inputs!$G$5:$G$110="moeda")+(Inputs!$G$5:$G$110="acoes"))*Inputs!$B$1+((Inputs!$G$5:$G$110&lt;&gt;"moeda")*(Inputs!$G$5:$G$110&lt;&gt;"acoes")))*INDEX(Inputs!$K$5:$AJ$110,0,MATCH(P$2,Inputs!$K$4:$AJ$4,0)))+SUMPRODUCT((Inputs!$C$5:$C$110=$B8)*Inputs!$D$5:$D$110*(((Inputs!$G$5:$G$110="moeda")+(Inputs!$G$5:$G$110="acoes"))*Inputs!$B$1+((Inputs!$G$5:$G$110&lt;&gt;"moeda")*(Inputs!$G$5:$G$110&lt;&gt;"acoes")))*INDEX(Inputs!$K$5:$AJ$110,0,MATCH(P$2,Inputs!$K$4:$AJ$4,0)))+SUMPRODUCT((Inputs!$E$5:$E$110=$B8)*Inputs!$F$5:$F$110*(((Inputs!$G$5:$G$110="moeda")+(Inputs!$G$5:$G$110="acoes"))*Inputs!$B$1+((Inputs!$G$5:$G$110&lt;&gt;"moeda")*(Inputs!$G$5:$G$110&lt;&gt;"acoes")))*INDEX(Inputs!$K$5:$AJ$110,0,MATCH(P$2,Inputs!$K$4:$AJ$4,0)))))</f>
        <v>-56</v>
      </c>
      <c r="Q8" s="267">
        <f>IF(ISNA(MATCH(Q$2,Inputs!$K$4:$AJ$4,0)),NA(),IF(SUMPRODUCT((Inputs!$A$5:$A$110=$B8)*ISNUMBER(INDEX(Inputs!$K$5:$AJ$110,0,MATCH(Q$2,Inputs!$K$4:$AJ$4,0))))+SUMPRODUCT((Inputs!$C$5:$C$110=$B8)*ISNUMBER(INDEX(Inputs!$K$5:$AJ$110,0,MATCH(Q$2,Inputs!$K$4:$AJ$4,0))))+SUMPRODUCT((Inputs!$E$5:$E$110=$B8)*ISNUMBER(INDEX(Inputs!$K$5:$AJ$110,0,MATCH(Q$2,Inputs!$K$4:$AJ$4,0))))=0,NA(),SUMPRODUCT((Inputs!$A$5:$A$110=$B8)*Inputs!$B$5:$B$110*(((Inputs!$G$5:$G$110="moeda")+(Inputs!$G$5:$G$110="acoes"))*Inputs!$B$1+((Inputs!$G$5:$G$110&lt;&gt;"moeda")*(Inputs!$G$5:$G$110&lt;&gt;"acoes")))*INDEX(Inputs!$K$5:$AJ$110,0,MATCH(Q$2,Inputs!$K$4:$AJ$4,0)))+SUMPRODUCT((Inputs!$C$5:$C$110=$B8)*Inputs!$D$5:$D$110*(((Inputs!$G$5:$G$110="moeda")+(Inputs!$G$5:$G$110="acoes"))*Inputs!$B$1+((Inputs!$G$5:$G$110&lt;&gt;"moeda")*(Inputs!$G$5:$G$110&lt;&gt;"acoes")))*INDEX(Inputs!$K$5:$AJ$110,0,MATCH(Q$2,Inputs!$K$4:$AJ$4,0)))+SUMPRODUCT((Inputs!$E$5:$E$110=$B8)*Inputs!$F$5:$F$110*(((Inputs!$G$5:$G$110="moeda")+(Inputs!$G$5:$G$110="acoes"))*Inputs!$B$1+((Inputs!$G$5:$G$110&lt;&gt;"moeda")*(Inputs!$G$5:$G$110&lt;&gt;"acoes")))*INDEX(Inputs!$K$5:$AJ$110,0,MATCH(Q$2,Inputs!$K$4:$AJ$4,0)))))</f>
        <v>-38</v>
      </c>
      <c r="R8" s="268">
        <f>SUM(N8:Q8)</f>
        <v>-164</v>
      </c>
      <c r="S8" s="267">
        <f>IF(ISNA(MATCH(S$2,Inputs!$K$4:$AJ$4,0)),NA(),IF(SUMPRODUCT((Inputs!$A$5:$A$110=$B8)*ISNUMBER(INDEX(Inputs!$K$5:$AJ$110,0,MATCH(S$2,Inputs!$K$4:$AJ$4,0))))+SUMPRODUCT((Inputs!$C$5:$C$110=$B8)*ISNUMBER(INDEX(Inputs!$K$5:$AJ$110,0,MATCH(S$2,Inputs!$K$4:$AJ$4,0))))+SUMPRODUCT((Inputs!$E$5:$E$110=$B8)*ISNUMBER(INDEX(Inputs!$K$5:$AJ$110,0,MATCH(S$2,Inputs!$K$4:$AJ$4,0))))=0,NA(),SUMPRODUCT((Inputs!$A$5:$A$110=$B8)*Inputs!$B$5:$B$110*(((Inputs!$G$5:$G$110="moeda")+(Inputs!$G$5:$G$110="acoes"))*Inputs!$B$1+((Inputs!$G$5:$G$110&lt;&gt;"moeda")*(Inputs!$G$5:$G$110&lt;&gt;"acoes")))*INDEX(Inputs!$K$5:$AJ$110,0,MATCH(S$2,Inputs!$K$4:$AJ$4,0)))+SUMPRODUCT((Inputs!$C$5:$C$110=$B8)*Inputs!$D$5:$D$110*(((Inputs!$G$5:$G$110="moeda")+(Inputs!$G$5:$G$110="acoes"))*Inputs!$B$1+((Inputs!$G$5:$G$110&lt;&gt;"moeda")*(Inputs!$G$5:$G$110&lt;&gt;"acoes")))*INDEX(Inputs!$K$5:$AJ$110,0,MATCH(S$2,Inputs!$K$4:$AJ$4,0)))+SUMPRODUCT((Inputs!$E$5:$E$110=$B8)*Inputs!$F$5:$F$110*(((Inputs!$G$5:$G$110="moeda")+(Inputs!$G$5:$G$110="acoes"))*Inputs!$B$1+((Inputs!$G$5:$G$110&lt;&gt;"moeda")*(Inputs!$G$5:$G$110&lt;&gt;"acoes")))*INDEX(Inputs!$K$5:$AJ$110,0,MATCH(S$2,Inputs!$K$4:$AJ$4,0)))))</f>
        <v>-41</v>
      </c>
      <c r="T8" s="267">
        <f>IF(ISNA(MATCH(T$2,Inputs!$K$4:$AJ$4,0)),NA(),IF(SUMPRODUCT((Inputs!$A$5:$A$110=$B8)*ISNUMBER(INDEX(Inputs!$K$5:$AJ$110,0,MATCH(T$2,Inputs!$K$4:$AJ$4,0))))+SUMPRODUCT((Inputs!$C$5:$C$110=$B8)*ISNUMBER(INDEX(Inputs!$K$5:$AJ$110,0,MATCH(T$2,Inputs!$K$4:$AJ$4,0))))+SUMPRODUCT((Inputs!$E$5:$E$110=$B8)*ISNUMBER(INDEX(Inputs!$K$5:$AJ$110,0,MATCH(T$2,Inputs!$K$4:$AJ$4,0))))=0,NA(),SUMPRODUCT((Inputs!$A$5:$A$110=$B8)*Inputs!$B$5:$B$110*(((Inputs!$G$5:$G$110="moeda")+(Inputs!$G$5:$G$110="acoes"))*Inputs!$B$1+((Inputs!$G$5:$G$110&lt;&gt;"moeda")*(Inputs!$G$5:$G$110&lt;&gt;"acoes")))*INDEX(Inputs!$K$5:$AJ$110,0,MATCH(T$2,Inputs!$K$4:$AJ$4,0)))+SUMPRODUCT((Inputs!$C$5:$C$110=$B8)*Inputs!$D$5:$D$110*(((Inputs!$G$5:$G$110="moeda")+(Inputs!$G$5:$G$110="acoes"))*Inputs!$B$1+((Inputs!$G$5:$G$110&lt;&gt;"moeda")*(Inputs!$G$5:$G$110&lt;&gt;"acoes")))*INDEX(Inputs!$K$5:$AJ$110,0,MATCH(T$2,Inputs!$K$4:$AJ$4,0)))+SUMPRODUCT((Inputs!$E$5:$E$110=$B8)*Inputs!$F$5:$F$110*(((Inputs!$G$5:$G$110="moeda")+(Inputs!$G$5:$G$110="acoes"))*Inputs!$B$1+((Inputs!$G$5:$G$110&lt;&gt;"moeda")*(Inputs!$G$5:$G$110&lt;&gt;"acoes")))*INDEX(Inputs!$K$5:$AJ$110,0,MATCH(T$2,Inputs!$K$4:$AJ$4,0)))))</f>
        <v>-41</v>
      </c>
      <c r="U8" s="267">
        <f>IF(ISNA(MATCH(U$2,Inputs!$K$4:$AJ$4,0)),NA(),IF(SUMPRODUCT((Inputs!$A$5:$A$110=$B8)*ISNUMBER(INDEX(Inputs!$K$5:$AJ$110,0,MATCH(U$2,Inputs!$K$4:$AJ$4,0))))+SUMPRODUCT((Inputs!$C$5:$C$110=$B8)*ISNUMBER(INDEX(Inputs!$K$5:$AJ$110,0,MATCH(U$2,Inputs!$K$4:$AJ$4,0))))+SUMPRODUCT((Inputs!$E$5:$E$110=$B8)*ISNUMBER(INDEX(Inputs!$K$5:$AJ$110,0,MATCH(U$2,Inputs!$K$4:$AJ$4,0))))=0,NA(),SUMPRODUCT((Inputs!$A$5:$A$110=$B8)*Inputs!$B$5:$B$110*(((Inputs!$G$5:$G$110="moeda")+(Inputs!$G$5:$G$110="acoes"))*Inputs!$B$1+((Inputs!$G$5:$G$110&lt;&gt;"moeda")*(Inputs!$G$5:$G$110&lt;&gt;"acoes")))*INDEX(Inputs!$K$5:$AJ$110,0,MATCH(U$2,Inputs!$K$4:$AJ$4,0)))+SUMPRODUCT((Inputs!$C$5:$C$110=$B8)*Inputs!$D$5:$D$110*(((Inputs!$G$5:$G$110="moeda")+(Inputs!$G$5:$G$110="acoes"))*Inputs!$B$1+((Inputs!$G$5:$G$110&lt;&gt;"moeda")*(Inputs!$G$5:$G$110&lt;&gt;"acoes")))*INDEX(Inputs!$K$5:$AJ$110,0,MATCH(U$2,Inputs!$K$4:$AJ$4,0)))+SUMPRODUCT((Inputs!$E$5:$E$110=$B8)*Inputs!$F$5:$F$110*(((Inputs!$G$5:$G$110="moeda")+(Inputs!$G$5:$G$110="acoes"))*Inputs!$B$1+((Inputs!$G$5:$G$110&lt;&gt;"moeda")*(Inputs!$G$5:$G$110&lt;&gt;"acoes")))*INDEX(Inputs!$K$5:$AJ$110,0,MATCH(U$2,Inputs!$K$4:$AJ$4,0)))))</f>
        <v>-49</v>
      </c>
      <c r="V8" s="267">
        <f>IF(ISNA(MATCH(V$2,Inputs!$K$4:$AJ$4,0)),NA(),IF(SUMPRODUCT((Inputs!$A$5:$A$110=$B8)*ISNUMBER(INDEX(Inputs!$K$5:$AJ$110,0,MATCH(V$2,Inputs!$K$4:$AJ$4,0))))+SUMPRODUCT((Inputs!$C$5:$C$110=$B8)*ISNUMBER(INDEX(Inputs!$K$5:$AJ$110,0,MATCH(V$2,Inputs!$K$4:$AJ$4,0))))+SUMPRODUCT((Inputs!$E$5:$E$110=$B8)*ISNUMBER(INDEX(Inputs!$K$5:$AJ$110,0,MATCH(V$2,Inputs!$K$4:$AJ$4,0))))=0,NA(),SUMPRODUCT((Inputs!$A$5:$A$110=$B8)*Inputs!$B$5:$B$110*(((Inputs!$G$5:$G$110="moeda")+(Inputs!$G$5:$G$110="acoes"))*Inputs!$B$1+((Inputs!$G$5:$G$110&lt;&gt;"moeda")*(Inputs!$G$5:$G$110&lt;&gt;"acoes")))*INDEX(Inputs!$K$5:$AJ$110,0,MATCH(V$2,Inputs!$K$4:$AJ$4,0)))+SUMPRODUCT((Inputs!$C$5:$C$110=$B8)*Inputs!$D$5:$D$110*(((Inputs!$G$5:$G$110="moeda")+(Inputs!$G$5:$G$110="acoes"))*Inputs!$B$1+((Inputs!$G$5:$G$110&lt;&gt;"moeda")*(Inputs!$G$5:$G$110&lt;&gt;"acoes")))*INDEX(Inputs!$K$5:$AJ$110,0,MATCH(V$2,Inputs!$K$4:$AJ$4,0)))+SUMPRODUCT((Inputs!$E$5:$E$110=$B8)*Inputs!$F$5:$F$110*(((Inputs!$G$5:$G$110="moeda")+(Inputs!$G$5:$G$110="acoes"))*Inputs!$B$1+((Inputs!$G$5:$G$110&lt;&gt;"moeda")*(Inputs!$G$5:$G$110&lt;&gt;"acoes")))*INDEX(Inputs!$K$5:$AJ$110,0,MATCH(V$2,Inputs!$K$4:$AJ$4,0)))))</f>
        <v>-37</v>
      </c>
      <c r="W8" s="268">
        <f>SUM(S8:V8)</f>
        <v>-168</v>
      </c>
      <c r="X8" s="267">
        <f>IF(ISNA(MATCH(X$2,Inputs!$K$4:$AJ$4,0)),NA(),IF(SUMPRODUCT((Inputs!$A$5:$A$110=$B8)*ISNUMBER(INDEX(Inputs!$K$5:$AJ$110,0,MATCH(X$2,Inputs!$K$4:$AJ$4,0))))+SUMPRODUCT((Inputs!$C$5:$C$110=$B8)*ISNUMBER(INDEX(Inputs!$K$5:$AJ$110,0,MATCH(X$2,Inputs!$K$4:$AJ$4,0))))+SUMPRODUCT((Inputs!$E$5:$E$110=$B8)*ISNUMBER(INDEX(Inputs!$K$5:$AJ$110,0,MATCH(X$2,Inputs!$K$4:$AJ$4,0))))=0,NA(),SUMPRODUCT((Inputs!$A$5:$A$110=$B8)*Inputs!$B$5:$B$110*(((Inputs!$G$5:$G$110="moeda")+(Inputs!$G$5:$G$110="acoes"))*Inputs!$B$1+((Inputs!$G$5:$G$110&lt;&gt;"moeda")*(Inputs!$G$5:$G$110&lt;&gt;"acoes")))*INDEX(Inputs!$K$5:$AJ$110,0,MATCH(X$2,Inputs!$K$4:$AJ$4,0)))+SUMPRODUCT((Inputs!$C$5:$C$110=$B8)*Inputs!$D$5:$D$110*(((Inputs!$G$5:$G$110="moeda")+(Inputs!$G$5:$G$110="acoes"))*Inputs!$B$1+((Inputs!$G$5:$G$110&lt;&gt;"moeda")*(Inputs!$G$5:$G$110&lt;&gt;"acoes")))*INDEX(Inputs!$K$5:$AJ$110,0,MATCH(X$2,Inputs!$K$4:$AJ$4,0)))+SUMPRODUCT((Inputs!$E$5:$E$110=$B8)*Inputs!$F$5:$F$110*(((Inputs!$G$5:$G$110="moeda")+(Inputs!$G$5:$G$110="acoes"))*Inputs!$B$1+((Inputs!$G$5:$G$110&lt;&gt;"moeda")*(Inputs!$G$5:$G$110&lt;&gt;"acoes")))*INDEX(Inputs!$K$5:$AJ$110,0,MATCH(X$2,Inputs!$K$4:$AJ$4,0)))))</f>
        <v>-36</v>
      </c>
      <c r="Y8" s="267">
        <f>IF(ISNA(MATCH(Y$2,Inputs!$K$4:$AJ$4,0)),NA(),IF(SUMPRODUCT((Inputs!$A$5:$A$110=$B8)*ISNUMBER(INDEX(Inputs!$K$5:$AJ$110,0,MATCH(Y$2,Inputs!$K$4:$AJ$4,0))))+SUMPRODUCT((Inputs!$C$5:$C$110=$B8)*ISNUMBER(INDEX(Inputs!$K$5:$AJ$110,0,MATCH(Y$2,Inputs!$K$4:$AJ$4,0))))+SUMPRODUCT((Inputs!$E$5:$E$110=$B8)*ISNUMBER(INDEX(Inputs!$K$5:$AJ$110,0,MATCH(Y$2,Inputs!$K$4:$AJ$4,0))))=0,NA(),SUMPRODUCT((Inputs!$A$5:$A$110=$B8)*Inputs!$B$5:$B$110*(((Inputs!$G$5:$G$110="moeda")+(Inputs!$G$5:$G$110="acoes"))*Inputs!$B$1+((Inputs!$G$5:$G$110&lt;&gt;"moeda")*(Inputs!$G$5:$G$110&lt;&gt;"acoes")))*INDEX(Inputs!$K$5:$AJ$110,0,MATCH(Y$2,Inputs!$K$4:$AJ$4,0)))+SUMPRODUCT((Inputs!$C$5:$C$110=$B8)*Inputs!$D$5:$D$110*(((Inputs!$G$5:$G$110="moeda")+(Inputs!$G$5:$G$110="acoes"))*Inputs!$B$1+((Inputs!$G$5:$G$110&lt;&gt;"moeda")*(Inputs!$G$5:$G$110&lt;&gt;"acoes")))*INDEX(Inputs!$K$5:$AJ$110,0,MATCH(Y$2,Inputs!$K$4:$AJ$4,0)))+SUMPRODUCT((Inputs!$E$5:$E$110=$B8)*Inputs!$F$5:$F$110*(((Inputs!$G$5:$G$110="moeda")+(Inputs!$G$5:$G$110="acoes"))*Inputs!$B$1+((Inputs!$G$5:$G$110&lt;&gt;"moeda")*(Inputs!$G$5:$G$110&lt;&gt;"acoes")))*INDEX(Inputs!$K$5:$AJ$110,0,MATCH(Y$2,Inputs!$K$4:$AJ$4,0)))))</f>
        <v>-35</v>
      </c>
      <c r="Z8" s="267">
        <f>IF(ISNA(MATCH(Z$2,Inputs!$K$4:$AJ$4,0)),NA(),IF(SUMPRODUCT((Inputs!$A$5:$A$110=$B8)*ISNUMBER(INDEX(Inputs!$K$5:$AJ$110,0,MATCH(Z$2,Inputs!$K$4:$AJ$4,0))))+SUMPRODUCT((Inputs!$C$5:$C$110=$B8)*ISNUMBER(INDEX(Inputs!$K$5:$AJ$110,0,MATCH(Z$2,Inputs!$K$4:$AJ$4,0))))+SUMPRODUCT((Inputs!$E$5:$E$110=$B8)*ISNUMBER(INDEX(Inputs!$K$5:$AJ$110,0,MATCH(Z$2,Inputs!$K$4:$AJ$4,0))))=0,NA(),SUMPRODUCT((Inputs!$A$5:$A$110=$B8)*Inputs!$B$5:$B$110*(((Inputs!$G$5:$G$110="moeda")+(Inputs!$G$5:$G$110="acoes"))*Inputs!$B$1+((Inputs!$G$5:$G$110&lt;&gt;"moeda")*(Inputs!$G$5:$G$110&lt;&gt;"acoes")))*INDEX(Inputs!$K$5:$AJ$110,0,MATCH(Z$2,Inputs!$K$4:$AJ$4,0)))+SUMPRODUCT((Inputs!$C$5:$C$110=$B8)*Inputs!$D$5:$D$110*(((Inputs!$G$5:$G$110="moeda")+(Inputs!$G$5:$G$110="acoes"))*Inputs!$B$1+((Inputs!$G$5:$G$110&lt;&gt;"moeda")*(Inputs!$G$5:$G$110&lt;&gt;"acoes")))*INDEX(Inputs!$K$5:$AJ$110,0,MATCH(Z$2,Inputs!$K$4:$AJ$4,0)))+SUMPRODUCT((Inputs!$E$5:$E$110=$B8)*Inputs!$F$5:$F$110*(((Inputs!$G$5:$G$110="moeda")+(Inputs!$G$5:$G$110="acoes"))*Inputs!$B$1+((Inputs!$G$5:$G$110&lt;&gt;"moeda")*(Inputs!$G$5:$G$110&lt;&gt;"acoes")))*INDEX(Inputs!$K$5:$AJ$110,0,MATCH(Z$2,Inputs!$K$4:$AJ$4,0)))))</f>
        <v>-46</v>
      </c>
      <c r="AA8" s="267">
        <f>IF(ISNA(MATCH(AA$2,Inputs!$K$4:$AJ$4,0)),NA(),IF(SUMPRODUCT((Inputs!$A$5:$A$110=$B8)*ISNUMBER(INDEX(Inputs!$K$5:$AJ$110,0,MATCH(AA$2,Inputs!$K$4:$AJ$4,0))))+SUMPRODUCT((Inputs!$C$5:$C$110=$B8)*ISNUMBER(INDEX(Inputs!$K$5:$AJ$110,0,MATCH(AA$2,Inputs!$K$4:$AJ$4,0))))+SUMPRODUCT((Inputs!$E$5:$E$110=$B8)*ISNUMBER(INDEX(Inputs!$K$5:$AJ$110,0,MATCH(AA$2,Inputs!$K$4:$AJ$4,0))))=0,NA(),SUMPRODUCT((Inputs!$A$5:$A$110=$B8)*Inputs!$B$5:$B$110*(((Inputs!$G$5:$G$110="moeda")+(Inputs!$G$5:$G$110="acoes"))*Inputs!$B$1+((Inputs!$G$5:$G$110&lt;&gt;"moeda")*(Inputs!$G$5:$G$110&lt;&gt;"acoes")))*INDEX(Inputs!$K$5:$AJ$110,0,MATCH(AA$2,Inputs!$K$4:$AJ$4,0)))+SUMPRODUCT((Inputs!$C$5:$C$110=$B8)*Inputs!$D$5:$D$110*(((Inputs!$G$5:$G$110="moeda")+(Inputs!$G$5:$G$110="acoes"))*Inputs!$B$1+((Inputs!$G$5:$G$110&lt;&gt;"moeda")*(Inputs!$G$5:$G$110&lt;&gt;"acoes")))*INDEX(Inputs!$K$5:$AJ$110,0,MATCH(AA$2,Inputs!$K$4:$AJ$4,0)))+SUMPRODUCT((Inputs!$E$5:$E$110=$B8)*Inputs!$F$5:$F$110*(((Inputs!$G$5:$G$110="moeda")+(Inputs!$G$5:$G$110="acoes"))*Inputs!$B$1+((Inputs!$G$5:$G$110&lt;&gt;"moeda")*(Inputs!$G$5:$G$110&lt;&gt;"acoes")))*INDEX(Inputs!$K$5:$AJ$110,0,MATCH(AA$2,Inputs!$K$4:$AJ$4,0)))))</f>
        <v>-35</v>
      </c>
      <c r="AB8" s="268">
        <f>SUM(X8:AA8)</f>
        <v>-152</v>
      </c>
      <c r="AC8" s="267">
        <f>IF(ISNA(MATCH(AC$2,Inputs!$K$4:$AJ$4,0)),NA(),IF(SUMPRODUCT((Inputs!$A$5:$A$110=$B8)*ISNUMBER(INDEX(Inputs!$K$5:$AJ$110,0,MATCH(AC$2,Inputs!$K$4:$AJ$4,0))))+SUMPRODUCT((Inputs!$C$5:$C$110=$B8)*ISNUMBER(INDEX(Inputs!$K$5:$AJ$110,0,MATCH(AC$2,Inputs!$K$4:$AJ$4,0))))+SUMPRODUCT((Inputs!$E$5:$E$110=$B8)*ISNUMBER(INDEX(Inputs!$K$5:$AJ$110,0,MATCH(AC$2,Inputs!$K$4:$AJ$4,0))))=0,NA(),SUMPRODUCT((Inputs!$A$5:$A$110=$B8)*Inputs!$B$5:$B$110*(((Inputs!$G$5:$G$110="moeda")+(Inputs!$G$5:$G$110="acoes"))*Inputs!$B$1+((Inputs!$G$5:$G$110&lt;&gt;"moeda")*(Inputs!$G$5:$G$110&lt;&gt;"acoes")))*INDEX(Inputs!$K$5:$AJ$110,0,MATCH(AC$2,Inputs!$K$4:$AJ$4,0)))+SUMPRODUCT((Inputs!$C$5:$C$110=$B8)*Inputs!$D$5:$D$110*(((Inputs!$G$5:$G$110="moeda")+(Inputs!$G$5:$G$110="acoes"))*Inputs!$B$1+((Inputs!$G$5:$G$110&lt;&gt;"moeda")*(Inputs!$G$5:$G$110&lt;&gt;"acoes")))*INDEX(Inputs!$K$5:$AJ$110,0,MATCH(AC$2,Inputs!$K$4:$AJ$4,0)))+SUMPRODUCT((Inputs!$E$5:$E$110=$B8)*Inputs!$F$5:$F$110*(((Inputs!$G$5:$G$110="moeda")+(Inputs!$G$5:$G$110="acoes"))*Inputs!$B$1+((Inputs!$G$5:$G$110&lt;&gt;"moeda")*(Inputs!$G$5:$G$110&lt;&gt;"acoes")))*INDEX(Inputs!$K$5:$AJ$110,0,MATCH(AC$2,Inputs!$K$4:$AJ$4,0)))))</f>
        <v>-33</v>
      </c>
      <c r="AD8" s="267">
        <f>IF(ISNA(MATCH(AD$2,Inputs!$K$4:$AJ$4,0)),NA(),IF(SUMPRODUCT((Inputs!$A$5:$A$110=$B8)*ISNUMBER(INDEX(Inputs!$K$5:$AJ$110,0,MATCH(AD$2,Inputs!$K$4:$AJ$4,0))))+SUMPRODUCT((Inputs!$C$5:$C$110=$B8)*ISNUMBER(INDEX(Inputs!$K$5:$AJ$110,0,MATCH(AD$2,Inputs!$K$4:$AJ$4,0))))+SUMPRODUCT((Inputs!$E$5:$E$110=$B8)*ISNUMBER(INDEX(Inputs!$K$5:$AJ$110,0,MATCH(AD$2,Inputs!$K$4:$AJ$4,0))))=0,NA(),SUMPRODUCT((Inputs!$A$5:$A$110=$B8)*Inputs!$B$5:$B$110*(((Inputs!$G$5:$G$110="moeda")+(Inputs!$G$5:$G$110="acoes"))*Inputs!$B$1+((Inputs!$G$5:$G$110&lt;&gt;"moeda")*(Inputs!$G$5:$G$110&lt;&gt;"acoes")))*INDEX(Inputs!$K$5:$AJ$110,0,MATCH(AD$2,Inputs!$K$4:$AJ$4,0)))+SUMPRODUCT((Inputs!$C$5:$C$110=$B8)*Inputs!$D$5:$D$110*(((Inputs!$G$5:$G$110="moeda")+(Inputs!$G$5:$G$110="acoes"))*Inputs!$B$1+((Inputs!$G$5:$G$110&lt;&gt;"moeda")*(Inputs!$G$5:$G$110&lt;&gt;"acoes")))*INDEX(Inputs!$K$5:$AJ$110,0,MATCH(AD$2,Inputs!$K$4:$AJ$4,0)))+SUMPRODUCT((Inputs!$E$5:$E$110=$B8)*Inputs!$F$5:$F$110*(((Inputs!$G$5:$G$110="moeda")+(Inputs!$G$5:$G$110="acoes"))*Inputs!$B$1+((Inputs!$G$5:$G$110&lt;&gt;"moeda")*(Inputs!$G$5:$G$110&lt;&gt;"acoes")))*INDEX(Inputs!$K$5:$AJ$110,0,MATCH(AD$2,Inputs!$K$4:$AJ$4,0)))))</f>
        <v>-32</v>
      </c>
      <c r="AE8" s="267" t="e">
        <f>IF(ISNA(MATCH(AE$2,Inputs!$K$4:$AJ$4,0)),NA(),IF(SUMPRODUCT((Inputs!$A$5:$A$110=$B8)*ISNUMBER(INDEX(Inputs!$K$5:$AJ$110,0,MATCH(AE$2,Inputs!$K$4:$AJ$4,0))))+SUMPRODUCT((Inputs!$C$5:$C$110=$B8)*ISNUMBER(INDEX(Inputs!$K$5:$AJ$110,0,MATCH(AE$2,Inputs!$K$4:$AJ$4,0))))+SUMPRODUCT((Inputs!$E$5:$E$110=$B8)*ISNUMBER(INDEX(Inputs!$K$5:$AJ$110,0,MATCH(AE$2,Inputs!$K$4:$AJ$4,0))))=0,NA(),SUMPRODUCT((Inputs!$A$5:$A$110=$B8)*Inputs!$B$5:$B$110*(((Inputs!$G$5:$G$110="moeda")+(Inputs!$G$5:$G$110="acoes"))*Inputs!$B$1+((Inputs!$G$5:$G$110&lt;&gt;"moeda")*(Inputs!$G$5:$G$110&lt;&gt;"acoes")))*INDEX(Inputs!$K$5:$AJ$110,0,MATCH(AE$2,Inputs!$K$4:$AJ$4,0)))+SUMPRODUCT((Inputs!$C$5:$C$110=$B8)*Inputs!$D$5:$D$110*(((Inputs!$G$5:$G$110="moeda")+(Inputs!$G$5:$G$110="acoes"))*Inputs!$B$1+((Inputs!$G$5:$G$110&lt;&gt;"moeda")*(Inputs!$G$5:$G$110&lt;&gt;"acoes")))*INDEX(Inputs!$K$5:$AJ$110,0,MATCH(AE$2,Inputs!$K$4:$AJ$4,0)))+SUMPRODUCT((Inputs!$E$5:$E$110=$B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8" s="267" t="e">
        <f>IF(ISNA(MATCH(AF$2,Inputs!$K$4:$AJ$4,0)),NA(),IF(SUMPRODUCT((Inputs!$A$5:$A$110=$B8)*ISNUMBER(INDEX(Inputs!$K$5:$AJ$110,0,MATCH(AF$2,Inputs!$K$4:$AJ$4,0))))+SUMPRODUCT((Inputs!$C$5:$C$110=$B8)*ISNUMBER(INDEX(Inputs!$K$5:$AJ$110,0,MATCH(AF$2,Inputs!$K$4:$AJ$4,0))))+SUMPRODUCT((Inputs!$E$5:$E$110=$B8)*ISNUMBER(INDEX(Inputs!$K$5:$AJ$110,0,MATCH(AF$2,Inputs!$K$4:$AJ$4,0))))=0,NA(),SUMPRODUCT((Inputs!$A$5:$A$110=$B8)*Inputs!$B$5:$B$110*(((Inputs!$G$5:$G$110="moeda")+(Inputs!$G$5:$G$110="acoes"))*Inputs!$B$1+((Inputs!$G$5:$G$110&lt;&gt;"moeda")*(Inputs!$G$5:$G$110&lt;&gt;"acoes")))*INDEX(Inputs!$K$5:$AJ$110,0,MATCH(AF$2,Inputs!$K$4:$AJ$4,0)))+SUMPRODUCT((Inputs!$C$5:$C$110=$B8)*Inputs!$D$5:$D$110*(((Inputs!$G$5:$G$110="moeda")+(Inputs!$G$5:$G$110="acoes"))*Inputs!$B$1+((Inputs!$G$5:$G$110&lt;&gt;"moeda")*(Inputs!$G$5:$G$110&lt;&gt;"acoes")))*INDEX(Inputs!$K$5:$AJ$110,0,MATCH(AF$2,Inputs!$K$4:$AJ$4,0)))+SUMPRODUCT((Inputs!$E$5:$E$110=$B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8" s="268" t="e">
        <f>SUM(AC8:AF8)</f>
        <v>#N/A</v>
      </c>
      <c r="AH8" s="267">
        <f>IF(ISNA(MATCH(AH$2,Inputs!$K$4:$AJ$4,0)),NA(),IF(SUMPRODUCT((Inputs!$A$5:$A$110=$B8)*ISNUMBER(INDEX(Inputs!$K$5:$AJ$110,0,MATCH(AH$2,Inputs!$K$4:$AJ$4,0))))+SUMPRODUCT((Inputs!$C$5:$C$110=$B8)*ISNUMBER(INDEX(Inputs!$K$5:$AJ$110,0,MATCH(AH$2,Inputs!$K$4:$AJ$4,0))))+SUMPRODUCT((Inputs!$E$5:$E$110=$B8)*ISNUMBER(INDEX(Inputs!$K$5:$AJ$110,0,MATCH(AH$2,Inputs!$K$4:$AJ$4,0))))=0,NA(),SUMPRODUCT((Inputs!$A$5:$A$110=$B8)*Inputs!$B$5:$B$110*(((Inputs!$G$5:$G$110="moeda")+(Inputs!$G$5:$G$110="acoes"))*Inputs!$B$1+((Inputs!$G$5:$G$110&lt;&gt;"moeda")*(Inputs!$G$5:$G$110&lt;&gt;"acoes")))*INDEX(Inputs!$K$5:$AJ$110,0,MATCH(AH$2,Inputs!$K$4:$AJ$4,0)))+SUMPRODUCT((Inputs!$C$5:$C$110=$B8)*Inputs!$D$5:$D$110*(((Inputs!$G$5:$G$110="moeda")+(Inputs!$G$5:$G$110="acoes"))*Inputs!$B$1+((Inputs!$G$5:$G$110&lt;&gt;"moeda")*(Inputs!$G$5:$G$110&lt;&gt;"acoes")))*INDEX(Inputs!$K$5:$AJ$110,0,MATCH(AH$2,Inputs!$K$4:$AJ$4,0)))+SUMPRODUCT((Inputs!$E$5:$E$110=$B8)*Inputs!$F$5:$F$110*(((Inputs!$G$5:$G$110="moeda")+(Inputs!$G$5:$G$110="acoes"))*Inputs!$B$1+((Inputs!$G$5:$G$110&lt;&gt;"moeda")*(Inputs!$G$5:$G$110&lt;&gt;"acoes")))*INDEX(Inputs!$K$5:$AJ$110,0,MATCH(AH$2,Inputs!$K$4:$AJ$4,0)))))</f>
        <v>-34</v>
      </c>
      <c r="AI8" s="267">
        <f>IF(ISNA(MATCH(AI$2,Inputs!$K$4:$AJ$4,0)),NA(),IF(SUMPRODUCT((Inputs!$A$5:$A$110=$B8)*ISNUMBER(INDEX(Inputs!$K$5:$AJ$110,0,MATCH(AI$2,Inputs!$K$4:$AJ$4,0))))+SUMPRODUCT((Inputs!$C$5:$C$110=$B8)*ISNUMBER(INDEX(Inputs!$K$5:$AJ$110,0,MATCH(AI$2,Inputs!$K$4:$AJ$4,0))))+SUMPRODUCT((Inputs!$E$5:$E$110=$B8)*ISNUMBER(INDEX(Inputs!$K$5:$AJ$110,0,MATCH(AI$2,Inputs!$K$4:$AJ$4,0))))=0,NA(),SUMPRODUCT((Inputs!$A$5:$A$110=$B8)*Inputs!$B$5:$B$110*(((Inputs!$G$5:$G$110="moeda")+(Inputs!$G$5:$G$110="acoes"))*Inputs!$B$1+((Inputs!$G$5:$G$110&lt;&gt;"moeda")*(Inputs!$G$5:$G$110&lt;&gt;"acoes")))*INDEX(Inputs!$K$5:$AJ$110,0,MATCH(AI$2,Inputs!$K$4:$AJ$4,0)))+SUMPRODUCT((Inputs!$C$5:$C$110=$B8)*Inputs!$D$5:$D$110*(((Inputs!$G$5:$G$110="moeda")+(Inputs!$G$5:$G$110="acoes"))*Inputs!$B$1+((Inputs!$G$5:$G$110&lt;&gt;"moeda")*(Inputs!$G$5:$G$110&lt;&gt;"acoes")))*INDEX(Inputs!$K$5:$AJ$110,0,MATCH(AI$2,Inputs!$K$4:$AJ$4,0)))+SUMPRODUCT((Inputs!$E$5:$E$110=$B8)*Inputs!$F$5:$F$110*(((Inputs!$G$5:$G$110="moeda")+(Inputs!$G$5:$G$110="acoes"))*Inputs!$B$1+((Inputs!$G$5:$G$110&lt;&gt;"moeda")*(Inputs!$G$5:$G$110&lt;&gt;"acoes")))*INDEX(Inputs!$K$5:$AJ$110,0,MATCH(AI$2,Inputs!$K$4:$AJ$4,0)))))</f>
        <v>-37</v>
      </c>
      <c r="AJ8" s="267">
        <f>IF(ISNA(MATCH(AJ$2,Inputs!$K$4:$AJ$4,0)),NA(),IF(SUMPRODUCT((Inputs!$A$5:$A$110=$B8)*ISNUMBER(INDEX(Inputs!$K$5:$AJ$110,0,MATCH(AJ$2,Inputs!$K$4:$AJ$4,0))))+SUMPRODUCT((Inputs!$C$5:$C$110=$B8)*ISNUMBER(INDEX(Inputs!$K$5:$AJ$110,0,MATCH(AJ$2,Inputs!$K$4:$AJ$4,0))))+SUMPRODUCT((Inputs!$E$5:$E$110=$B8)*ISNUMBER(INDEX(Inputs!$K$5:$AJ$110,0,MATCH(AJ$2,Inputs!$K$4:$AJ$4,0))))=0,NA(),SUMPRODUCT((Inputs!$A$5:$A$110=$B8)*Inputs!$B$5:$B$110*(((Inputs!$G$5:$G$110="moeda")+(Inputs!$G$5:$G$110="acoes"))*Inputs!$B$1+((Inputs!$G$5:$G$110&lt;&gt;"moeda")*(Inputs!$G$5:$G$110&lt;&gt;"acoes")))*INDEX(Inputs!$K$5:$AJ$110,0,MATCH(AJ$2,Inputs!$K$4:$AJ$4,0)))+SUMPRODUCT((Inputs!$C$5:$C$110=$B8)*Inputs!$D$5:$D$110*(((Inputs!$G$5:$G$110="moeda")+(Inputs!$G$5:$G$110="acoes"))*Inputs!$B$1+((Inputs!$G$5:$G$110&lt;&gt;"moeda")*(Inputs!$G$5:$G$110&lt;&gt;"acoes")))*INDEX(Inputs!$K$5:$AJ$110,0,MATCH(AJ$2,Inputs!$K$4:$AJ$4,0)))+SUMPRODUCT((Inputs!$E$5:$E$110=$B8)*Inputs!$F$5:$F$110*(((Inputs!$G$5:$G$110="moeda")+(Inputs!$G$5:$G$110="acoes"))*Inputs!$B$1+((Inputs!$G$5:$G$110&lt;&gt;"moeda")*(Inputs!$G$5:$G$110&lt;&gt;"acoes")))*INDEX(Inputs!$K$5:$AJ$110,0,MATCH(AJ$2,Inputs!$K$4:$AJ$4,0)))))</f>
        <v>-51</v>
      </c>
      <c r="AK8" s="267">
        <f>IF(ISNA(MATCH(AK$2,Inputs!$K$4:$AJ$4,0)),NA(),IF(SUMPRODUCT((Inputs!$A$5:$A$110=$B8)*ISNUMBER(INDEX(Inputs!$K$5:$AJ$110,0,MATCH(AK$2,Inputs!$K$4:$AJ$4,0))))+SUMPRODUCT((Inputs!$C$5:$C$110=$B8)*ISNUMBER(INDEX(Inputs!$K$5:$AJ$110,0,MATCH(AK$2,Inputs!$K$4:$AJ$4,0))))+SUMPRODUCT((Inputs!$E$5:$E$110=$B8)*ISNUMBER(INDEX(Inputs!$K$5:$AJ$110,0,MATCH(AK$2,Inputs!$K$4:$AJ$4,0))))=0,NA(),SUMPRODUCT((Inputs!$A$5:$A$110=$B8)*Inputs!$B$5:$B$110*(((Inputs!$G$5:$G$110="moeda")+(Inputs!$G$5:$G$110="acoes"))*Inputs!$B$1+((Inputs!$G$5:$G$110&lt;&gt;"moeda")*(Inputs!$G$5:$G$110&lt;&gt;"acoes")))*INDEX(Inputs!$K$5:$AJ$110,0,MATCH(AK$2,Inputs!$K$4:$AJ$4,0)))+SUMPRODUCT((Inputs!$C$5:$C$110=$B8)*Inputs!$D$5:$D$110*(((Inputs!$G$5:$G$110="moeda")+(Inputs!$G$5:$G$110="acoes"))*Inputs!$B$1+((Inputs!$G$5:$G$110&lt;&gt;"moeda")*(Inputs!$G$5:$G$110&lt;&gt;"acoes")))*INDEX(Inputs!$K$5:$AJ$110,0,MATCH(AK$2,Inputs!$K$4:$AJ$4,0)))+SUMPRODUCT((Inputs!$E$5:$E$110=$B8)*Inputs!$F$5:$F$110*(((Inputs!$G$5:$G$110="moeda")+(Inputs!$G$5:$G$110="acoes"))*Inputs!$B$1+((Inputs!$G$5:$G$110&lt;&gt;"moeda")*(Inputs!$G$5:$G$110&lt;&gt;"acoes")))*INDEX(Inputs!$K$5:$AJ$110,0,MATCH(AK$2,Inputs!$K$4:$AJ$4,0)))))</f>
        <v>-39</v>
      </c>
      <c r="AL8" s="268">
        <f>SUM(AH8:AK8)</f>
        <v>-161</v>
      </c>
    </row>
    <row r="9" ht="12.75" customHeight="1" s="255">
      <c r="B9" s="265" t="n">
        <v>6</v>
      </c>
      <c r="C9" s="270" t="inlineStr">
        <is>
          <t>Nonoperating Income / (Loss)</t>
        </is>
      </c>
      <c r="D9" s="267">
        <f>IF(ISNA(MATCH(D$2,Inputs!$K$4:$AJ$4,0)),NA(),IF(SUMPRODUCT((Inputs!$A$5:$A$110=$B9)*ISNUMBER(INDEX(Inputs!$K$5:$AJ$110,0,MATCH(D$2,Inputs!$K$4:$AJ$4,0))))+SUMPRODUCT((Inputs!$C$5:$C$110=$B9)*ISNUMBER(INDEX(Inputs!$K$5:$AJ$110,0,MATCH(D$2,Inputs!$K$4:$AJ$4,0))))+SUMPRODUCT((Inputs!$E$5:$E$110=$B9)*ISNUMBER(INDEX(Inputs!$K$5:$AJ$110,0,MATCH(D$2,Inputs!$K$4:$AJ$4,0))))=0,NA(),SUMPRODUCT((Inputs!$A$5:$A$110=$B9)*Inputs!$B$5:$B$110*(((Inputs!$G$5:$G$110="moeda")+(Inputs!$G$5:$G$110="acoes"))*Inputs!$B$1+((Inputs!$G$5:$G$110&lt;&gt;"moeda")*(Inputs!$G$5:$G$110&lt;&gt;"acoes")))*INDEX(Inputs!$K$5:$AJ$110,0,MATCH(D$2,Inputs!$K$4:$AJ$4,0)))+SUMPRODUCT((Inputs!$C$5:$C$110=$B9)*Inputs!$D$5:$D$110*(((Inputs!$G$5:$G$110="moeda")+(Inputs!$G$5:$G$110="acoes"))*Inputs!$B$1+((Inputs!$G$5:$G$110&lt;&gt;"moeda")*(Inputs!$G$5:$G$110&lt;&gt;"acoes")))*INDEX(Inputs!$K$5:$AJ$110,0,MATCH(D$2,Inputs!$K$4:$AJ$4,0)))+SUMPRODUCT((Inputs!$E$5:$E$110=$B9)*Inputs!$F$5:$F$110*(((Inputs!$G$5:$G$110="moeda")+(Inputs!$G$5:$G$110="acoes"))*Inputs!$B$1+((Inputs!$G$5:$G$110&lt;&gt;"moeda")*(Inputs!$G$5:$G$110&lt;&gt;"acoes")))*INDEX(Inputs!$K$5:$AJ$110,0,MATCH(D$2,Inputs!$K$4:$AJ$4,0)))))</f>
        <v>19</v>
      </c>
      <c r="E9" s="267">
        <f>IF(ISNA(MATCH(E$2,Inputs!$K$4:$AJ$4,0)),NA(),IF(SUMPRODUCT((Inputs!$A$5:$A$110=$B9)*ISNUMBER(INDEX(Inputs!$K$5:$AJ$110,0,MATCH(E$2,Inputs!$K$4:$AJ$4,0))))+SUMPRODUCT((Inputs!$C$5:$C$110=$B9)*ISNUMBER(INDEX(Inputs!$K$5:$AJ$110,0,MATCH(E$2,Inputs!$K$4:$AJ$4,0))))+SUMPRODUCT((Inputs!$E$5:$E$110=$B9)*ISNUMBER(INDEX(Inputs!$K$5:$AJ$110,0,MATCH(E$2,Inputs!$K$4:$AJ$4,0))))=0,NA(),SUMPRODUCT((Inputs!$A$5:$A$110=$B9)*Inputs!$B$5:$B$110*(((Inputs!$G$5:$G$110="moeda")+(Inputs!$G$5:$G$110="acoes"))*Inputs!$B$1+((Inputs!$G$5:$G$110&lt;&gt;"moeda")*(Inputs!$G$5:$G$110&lt;&gt;"acoes")))*INDEX(Inputs!$K$5:$AJ$110,0,MATCH(E$2,Inputs!$K$4:$AJ$4,0)))+SUMPRODUCT((Inputs!$C$5:$C$110=$B9)*Inputs!$D$5:$D$110*(((Inputs!$G$5:$G$110="moeda")+(Inputs!$G$5:$G$110="acoes"))*Inputs!$B$1+((Inputs!$G$5:$G$110&lt;&gt;"moeda")*(Inputs!$G$5:$G$110&lt;&gt;"acoes")))*INDEX(Inputs!$K$5:$AJ$110,0,MATCH(E$2,Inputs!$K$4:$AJ$4,0)))+SUMPRODUCT((Inputs!$E$5:$E$110=$B9)*Inputs!$F$5:$F$110*(((Inputs!$G$5:$G$110="moeda")+(Inputs!$G$5:$G$110="acoes"))*Inputs!$B$1+((Inputs!$G$5:$G$110&lt;&gt;"moeda")*(Inputs!$G$5:$G$110&lt;&gt;"acoes")))*INDEX(Inputs!$K$5:$AJ$110,0,MATCH(E$2,Inputs!$K$4:$AJ$4,0)))))</f>
        <v>27</v>
      </c>
      <c r="F9" s="267">
        <f>IF(ISNA(MATCH(F$2,Inputs!$K$4:$AJ$4,0)),NA(),IF(SUMPRODUCT((Inputs!$A$5:$A$110=$B9)*ISNUMBER(INDEX(Inputs!$K$5:$AJ$110,0,MATCH(F$2,Inputs!$K$4:$AJ$4,0))))+SUMPRODUCT((Inputs!$C$5:$C$110=$B9)*ISNUMBER(INDEX(Inputs!$K$5:$AJ$110,0,MATCH(F$2,Inputs!$K$4:$AJ$4,0))))+SUMPRODUCT((Inputs!$E$5:$E$110=$B9)*ISNUMBER(INDEX(Inputs!$K$5:$AJ$110,0,MATCH(F$2,Inputs!$K$4:$AJ$4,0))))=0,NA(),SUMPRODUCT((Inputs!$A$5:$A$110=$B9)*Inputs!$B$5:$B$110*(((Inputs!$G$5:$G$110="moeda")+(Inputs!$G$5:$G$110="acoes"))*Inputs!$B$1+((Inputs!$G$5:$G$110&lt;&gt;"moeda")*(Inputs!$G$5:$G$110&lt;&gt;"acoes")))*INDEX(Inputs!$K$5:$AJ$110,0,MATCH(F$2,Inputs!$K$4:$AJ$4,0)))+SUMPRODUCT((Inputs!$C$5:$C$110=$B9)*Inputs!$D$5:$D$110*(((Inputs!$G$5:$G$110="moeda")+(Inputs!$G$5:$G$110="acoes"))*Inputs!$B$1+((Inputs!$G$5:$G$110&lt;&gt;"moeda")*(Inputs!$G$5:$G$110&lt;&gt;"acoes")))*INDEX(Inputs!$K$5:$AJ$110,0,MATCH(F$2,Inputs!$K$4:$AJ$4,0)))+SUMPRODUCT((Inputs!$E$5:$E$110=$B9)*Inputs!$F$5:$F$110*(((Inputs!$G$5:$G$110="moeda")+(Inputs!$G$5:$G$110="acoes"))*Inputs!$B$1+((Inputs!$G$5:$G$110&lt;&gt;"moeda")*(Inputs!$G$5:$G$110&lt;&gt;"acoes")))*INDEX(Inputs!$K$5:$AJ$110,0,MATCH(F$2,Inputs!$K$4:$AJ$4,0)))))</f>
        <v>68</v>
      </c>
      <c r="G9" s="267">
        <f>IF(ISNA(MATCH(G$2,Inputs!$K$4:$AJ$4,0)),NA(),IF(SUMPRODUCT((Inputs!$A$5:$A$110=$B9)*ISNUMBER(INDEX(Inputs!$K$5:$AJ$110,0,MATCH(G$2,Inputs!$K$4:$AJ$4,0))))+SUMPRODUCT((Inputs!$C$5:$C$110=$B9)*ISNUMBER(INDEX(Inputs!$K$5:$AJ$110,0,MATCH(G$2,Inputs!$K$4:$AJ$4,0))))+SUMPRODUCT((Inputs!$E$5:$E$110=$B9)*ISNUMBER(INDEX(Inputs!$K$5:$AJ$110,0,MATCH(G$2,Inputs!$K$4:$AJ$4,0))))=0,NA(),SUMPRODUCT((Inputs!$A$5:$A$110=$B9)*Inputs!$B$5:$B$110*(((Inputs!$G$5:$G$110="moeda")+(Inputs!$G$5:$G$110="acoes"))*Inputs!$B$1+((Inputs!$G$5:$G$110&lt;&gt;"moeda")*(Inputs!$G$5:$G$110&lt;&gt;"acoes")))*INDEX(Inputs!$K$5:$AJ$110,0,MATCH(G$2,Inputs!$K$4:$AJ$4,0)))+SUMPRODUCT((Inputs!$C$5:$C$110=$B9)*Inputs!$D$5:$D$110*(((Inputs!$G$5:$G$110="moeda")+(Inputs!$G$5:$G$110="acoes"))*Inputs!$B$1+((Inputs!$G$5:$G$110&lt;&gt;"moeda")*(Inputs!$G$5:$G$110&lt;&gt;"acoes")))*INDEX(Inputs!$K$5:$AJ$110,0,MATCH(G$2,Inputs!$K$4:$AJ$4,0)))+SUMPRODUCT((Inputs!$E$5:$E$110=$B9)*Inputs!$F$5:$F$110*(((Inputs!$G$5:$G$110="moeda")+(Inputs!$G$5:$G$110="acoes"))*Inputs!$B$1+((Inputs!$G$5:$G$110&lt;&gt;"moeda")*(Inputs!$G$5:$G$110&lt;&gt;"acoes")))*INDEX(Inputs!$K$5:$AJ$110,0,MATCH(G$2,Inputs!$K$4:$AJ$4,0)))))</f>
        <v>42</v>
      </c>
      <c r="H9" s="268">
        <f>SUM(D9:G9)</f>
        <v>156</v>
      </c>
      <c r="I9" s="267">
        <f>IF(ISNA(MATCH(I$2,Inputs!$K$4:$AJ$4,0)),NA(),IF(SUMPRODUCT((Inputs!$A$5:$A$110=$B9)*ISNUMBER(INDEX(Inputs!$K$5:$AJ$110,0,MATCH(I$2,Inputs!$K$4:$AJ$4,0))))+SUMPRODUCT((Inputs!$C$5:$C$110=$B9)*ISNUMBER(INDEX(Inputs!$K$5:$AJ$110,0,MATCH(I$2,Inputs!$K$4:$AJ$4,0))))+SUMPRODUCT((Inputs!$E$5:$E$110=$B9)*ISNUMBER(INDEX(Inputs!$K$5:$AJ$110,0,MATCH(I$2,Inputs!$K$4:$AJ$4,0))))=0,NA(),SUMPRODUCT((Inputs!$A$5:$A$110=$B9)*Inputs!$B$5:$B$110*(((Inputs!$G$5:$G$110="moeda")+(Inputs!$G$5:$G$110="acoes"))*Inputs!$B$1+((Inputs!$G$5:$G$110&lt;&gt;"moeda")*(Inputs!$G$5:$G$110&lt;&gt;"acoes")))*INDEX(Inputs!$K$5:$AJ$110,0,MATCH(I$2,Inputs!$K$4:$AJ$4,0)))+SUMPRODUCT((Inputs!$C$5:$C$110=$B9)*Inputs!$D$5:$D$110*(((Inputs!$G$5:$G$110="moeda")+(Inputs!$G$5:$G$110="acoes"))*Inputs!$B$1+((Inputs!$G$5:$G$110&lt;&gt;"moeda")*(Inputs!$G$5:$G$110&lt;&gt;"acoes")))*INDEX(Inputs!$K$5:$AJ$110,0,MATCH(I$2,Inputs!$K$4:$AJ$4,0)))+SUMPRODUCT((Inputs!$E$5:$E$110=$B9)*Inputs!$F$5:$F$110*(((Inputs!$G$5:$G$110="moeda")+(Inputs!$G$5:$G$110="acoes"))*Inputs!$B$1+((Inputs!$G$5:$G$110&lt;&gt;"moeda")*(Inputs!$G$5:$G$110&lt;&gt;"acoes")))*INDEX(Inputs!$K$5:$AJ$110,0,MATCH(I$2,Inputs!$K$4:$AJ$4,0)))))</f>
        <v>25</v>
      </c>
      <c r="J9" s="267">
        <f>IF(ISNA(MATCH(J$2,Inputs!$K$4:$AJ$4,0)),NA(),IF(SUMPRODUCT((Inputs!$A$5:$A$110=$B9)*ISNUMBER(INDEX(Inputs!$K$5:$AJ$110,0,MATCH(J$2,Inputs!$K$4:$AJ$4,0))))+SUMPRODUCT((Inputs!$C$5:$C$110=$B9)*ISNUMBER(INDEX(Inputs!$K$5:$AJ$110,0,MATCH(J$2,Inputs!$K$4:$AJ$4,0))))+SUMPRODUCT((Inputs!$E$5:$E$110=$B9)*ISNUMBER(INDEX(Inputs!$K$5:$AJ$110,0,MATCH(J$2,Inputs!$K$4:$AJ$4,0))))=0,NA(),SUMPRODUCT((Inputs!$A$5:$A$110=$B9)*Inputs!$B$5:$B$110*(((Inputs!$G$5:$G$110="moeda")+(Inputs!$G$5:$G$110="acoes"))*Inputs!$B$1+((Inputs!$G$5:$G$110&lt;&gt;"moeda")*(Inputs!$G$5:$G$110&lt;&gt;"acoes")))*INDEX(Inputs!$K$5:$AJ$110,0,MATCH(J$2,Inputs!$K$4:$AJ$4,0)))+SUMPRODUCT((Inputs!$C$5:$C$110=$B9)*Inputs!$D$5:$D$110*(((Inputs!$G$5:$G$110="moeda")+(Inputs!$G$5:$G$110="acoes"))*Inputs!$B$1+((Inputs!$G$5:$G$110&lt;&gt;"moeda")*(Inputs!$G$5:$G$110&lt;&gt;"acoes")))*INDEX(Inputs!$K$5:$AJ$110,0,MATCH(J$2,Inputs!$K$4:$AJ$4,0)))+SUMPRODUCT((Inputs!$E$5:$E$110=$B9)*Inputs!$F$5:$F$110*(((Inputs!$G$5:$G$110="moeda")+(Inputs!$G$5:$G$110="acoes"))*Inputs!$B$1+((Inputs!$G$5:$G$110&lt;&gt;"moeda")*(Inputs!$G$5:$G$110&lt;&gt;"acoes")))*INDEX(Inputs!$K$5:$AJ$110,0,MATCH(J$2,Inputs!$K$4:$AJ$4,0)))))</f>
        <v>71</v>
      </c>
      <c r="K9" s="267">
        <f>IF(ISNA(MATCH(K$2,Inputs!$K$4:$AJ$4,0)),NA(),IF(SUMPRODUCT((Inputs!$A$5:$A$110=$B9)*ISNUMBER(INDEX(Inputs!$K$5:$AJ$110,0,MATCH(K$2,Inputs!$K$4:$AJ$4,0))))+SUMPRODUCT((Inputs!$C$5:$C$110=$B9)*ISNUMBER(INDEX(Inputs!$K$5:$AJ$110,0,MATCH(K$2,Inputs!$K$4:$AJ$4,0))))+SUMPRODUCT((Inputs!$E$5:$E$110=$B9)*ISNUMBER(INDEX(Inputs!$K$5:$AJ$110,0,MATCH(K$2,Inputs!$K$4:$AJ$4,0))))=0,NA(),SUMPRODUCT((Inputs!$A$5:$A$110=$B9)*Inputs!$B$5:$B$110*(((Inputs!$G$5:$G$110="moeda")+(Inputs!$G$5:$G$110="acoes"))*Inputs!$B$1+((Inputs!$G$5:$G$110&lt;&gt;"moeda")*(Inputs!$G$5:$G$110&lt;&gt;"acoes")))*INDEX(Inputs!$K$5:$AJ$110,0,MATCH(K$2,Inputs!$K$4:$AJ$4,0)))+SUMPRODUCT((Inputs!$C$5:$C$110=$B9)*Inputs!$D$5:$D$110*(((Inputs!$G$5:$G$110="moeda")+(Inputs!$G$5:$G$110="acoes"))*Inputs!$B$1+((Inputs!$G$5:$G$110&lt;&gt;"moeda")*(Inputs!$G$5:$G$110&lt;&gt;"acoes")))*INDEX(Inputs!$K$5:$AJ$110,0,MATCH(K$2,Inputs!$K$4:$AJ$4,0)))+SUMPRODUCT((Inputs!$E$5:$E$110=$B9)*Inputs!$F$5:$F$110*(((Inputs!$G$5:$G$110="moeda")+(Inputs!$G$5:$G$110="acoes"))*Inputs!$B$1+((Inputs!$G$5:$G$110&lt;&gt;"moeda")*(Inputs!$G$5:$G$110&lt;&gt;"acoes")))*INDEX(Inputs!$K$5:$AJ$110,0,MATCH(K$2,Inputs!$K$4:$AJ$4,0)))))</f>
        <v>67</v>
      </c>
      <c r="L9" s="267">
        <f>IF(ISNA(MATCH(L$2,Inputs!$K$4:$AJ$4,0)),NA(),IF(SUMPRODUCT((Inputs!$A$5:$A$110=$B9)*ISNUMBER(INDEX(Inputs!$K$5:$AJ$110,0,MATCH(L$2,Inputs!$K$4:$AJ$4,0))))+SUMPRODUCT((Inputs!$C$5:$C$110=$B9)*ISNUMBER(INDEX(Inputs!$K$5:$AJ$110,0,MATCH(L$2,Inputs!$K$4:$AJ$4,0))))+SUMPRODUCT((Inputs!$E$5:$E$110=$B9)*ISNUMBER(INDEX(Inputs!$K$5:$AJ$110,0,MATCH(L$2,Inputs!$K$4:$AJ$4,0))))=0,NA(),SUMPRODUCT((Inputs!$A$5:$A$110=$B9)*Inputs!$B$5:$B$110*(((Inputs!$G$5:$G$110="moeda")+(Inputs!$G$5:$G$110="acoes"))*Inputs!$B$1+((Inputs!$G$5:$G$110&lt;&gt;"moeda")*(Inputs!$G$5:$G$110&lt;&gt;"acoes")))*INDEX(Inputs!$K$5:$AJ$110,0,MATCH(L$2,Inputs!$K$4:$AJ$4,0)))+SUMPRODUCT((Inputs!$C$5:$C$110=$B9)*Inputs!$D$5:$D$110*(((Inputs!$G$5:$G$110="moeda")+(Inputs!$G$5:$G$110="acoes"))*Inputs!$B$1+((Inputs!$G$5:$G$110&lt;&gt;"moeda")*(Inputs!$G$5:$G$110&lt;&gt;"acoes")))*INDEX(Inputs!$K$5:$AJ$110,0,MATCH(L$2,Inputs!$K$4:$AJ$4,0)))+SUMPRODUCT((Inputs!$E$5:$E$110=$B9)*Inputs!$F$5:$F$110*(((Inputs!$G$5:$G$110="moeda")+(Inputs!$G$5:$G$110="acoes"))*Inputs!$B$1+((Inputs!$G$5:$G$110&lt;&gt;"moeda")*(Inputs!$G$5:$G$110&lt;&gt;"acoes")))*INDEX(Inputs!$K$5:$AJ$110,0,MATCH(L$2,Inputs!$K$4:$AJ$4,0)))))</f>
        <v>53</v>
      </c>
      <c r="M9" s="268">
        <f>SUM(I9:L9)</f>
        <v>216</v>
      </c>
      <c r="N9" s="267">
        <f>IF(ISNA(MATCH(N$2,Inputs!$K$4:$AJ$4,0)),NA(),IF(SUMPRODUCT((Inputs!$A$5:$A$110=$B9)*ISNUMBER(INDEX(Inputs!$K$5:$AJ$110,0,MATCH(N$2,Inputs!$K$4:$AJ$4,0))))+SUMPRODUCT((Inputs!$C$5:$C$110=$B9)*ISNUMBER(INDEX(Inputs!$K$5:$AJ$110,0,MATCH(N$2,Inputs!$K$4:$AJ$4,0))))+SUMPRODUCT((Inputs!$E$5:$E$110=$B9)*ISNUMBER(INDEX(Inputs!$K$5:$AJ$110,0,MATCH(N$2,Inputs!$K$4:$AJ$4,0))))=0,NA(),SUMPRODUCT((Inputs!$A$5:$A$110=$B9)*Inputs!$B$5:$B$110*(((Inputs!$G$5:$G$110="moeda")+(Inputs!$G$5:$G$110="acoes"))*Inputs!$B$1+((Inputs!$G$5:$G$110&lt;&gt;"moeda")*(Inputs!$G$5:$G$110&lt;&gt;"acoes")))*INDEX(Inputs!$K$5:$AJ$110,0,MATCH(N$2,Inputs!$K$4:$AJ$4,0)))+SUMPRODUCT((Inputs!$C$5:$C$110=$B9)*Inputs!$D$5:$D$110*(((Inputs!$G$5:$G$110="moeda")+(Inputs!$G$5:$G$110="acoes"))*Inputs!$B$1+((Inputs!$G$5:$G$110&lt;&gt;"moeda")*(Inputs!$G$5:$G$110&lt;&gt;"acoes")))*INDEX(Inputs!$K$5:$AJ$110,0,MATCH(N$2,Inputs!$K$4:$AJ$4,0)))+SUMPRODUCT((Inputs!$E$5:$E$110=$B9)*Inputs!$F$5:$F$110*(((Inputs!$G$5:$G$110="moeda")+(Inputs!$G$5:$G$110="acoes"))*Inputs!$B$1+((Inputs!$G$5:$G$110&lt;&gt;"moeda")*(Inputs!$G$5:$G$110&lt;&gt;"acoes")))*INDEX(Inputs!$K$5:$AJ$110,0,MATCH(N$2,Inputs!$K$4:$AJ$4,0)))))</f>
        <v>114</v>
      </c>
      <c r="O9" s="267">
        <f>IF(ISNA(MATCH(O$2,Inputs!$K$4:$AJ$4,0)),NA(),IF(SUMPRODUCT((Inputs!$A$5:$A$110=$B9)*ISNUMBER(INDEX(Inputs!$K$5:$AJ$110,0,MATCH(O$2,Inputs!$K$4:$AJ$4,0))))+SUMPRODUCT((Inputs!$C$5:$C$110=$B9)*ISNUMBER(INDEX(Inputs!$K$5:$AJ$110,0,MATCH(O$2,Inputs!$K$4:$AJ$4,0))))+SUMPRODUCT((Inputs!$E$5:$E$110=$B9)*ISNUMBER(INDEX(Inputs!$K$5:$AJ$110,0,MATCH(O$2,Inputs!$K$4:$AJ$4,0))))=0,NA(),SUMPRODUCT((Inputs!$A$5:$A$110=$B9)*Inputs!$B$5:$B$110*(((Inputs!$G$5:$G$110="moeda")+(Inputs!$G$5:$G$110="acoes"))*Inputs!$B$1+((Inputs!$G$5:$G$110&lt;&gt;"moeda")*(Inputs!$G$5:$G$110&lt;&gt;"acoes")))*INDEX(Inputs!$K$5:$AJ$110,0,MATCH(O$2,Inputs!$K$4:$AJ$4,0)))+SUMPRODUCT((Inputs!$C$5:$C$110=$B9)*Inputs!$D$5:$D$110*(((Inputs!$G$5:$G$110="moeda")+(Inputs!$G$5:$G$110="acoes"))*Inputs!$B$1+((Inputs!$G$5:$G$110&lt;&gt;"moeda")*(Inputs!$G$5:$G$110&lt;&gt;"acoes")))*INDEX(Inputs!$K$5:$AJ$110,0,MATCH(O$2,Inputs!$K$4:$AJ$4,0)))+SUMPRODUCT((Inputs!$E$5:$E$110=$B9)*Inputs!$F$5:$F$110*(((Inputs!$G$5:$G$110="moeda")+(Inputs!$G$5:$G$110="acoes"))*Inputs!$B$1+((Inputs!$G$5:$G$110&lt;&gt;"moeda")*(Inputs!$G$5:$G$110&lt;&gt;"acoes")))*INDEX(Inputs!$K$5:$AJ$110,0,MATCH(O$2,Inputs!$K$4:$AJ$4,0)))))</f>
        <v>128</v>
      </c>
      <c r="P9" s="267">
        <f>IF(ISNA(MATCH(P$2,Inputs!$K$4:$AJ$4,0)),NA(),IF(SUMPRODUCT((Inputs!$A$5:$A$110=$B9)*ISNUMBER(INDEX(Inputs!$K$5:$AJ$110,0,MATCH(P$2,Inputs!$K$4:$AJ$4,0))))+SUMPRODUCT((Inputs!$C$5:$C$110=$B9)*ISNUMBER(INDEX(Inputs!$K$5:$AJ$110,0,MATCH(P$2,Inputs!$K$4:$AJ$4,0))))+SUMPRODUCT((Inputs!$E$5:$E$110=$B9)*ISNUMBER(INDEX(Inputs!$K$5:$AJ$110,0,MATCH(P$2,Inputs!$K$4:$AJ$4,0))))=0,NA(),SUMPRODUCT((Inputs!$A$5:$A$110=$B9)*Inputs!$B$5:$B$110*(((Inputs!$G$5:$G$110="moeda")+(Inputs!$G$5:$G$110="acoes"))*Inputs!$B$1+((Inputs!$G$5:$G$110&lt;&gt;"moeda")*(Inputs!$G$5:$G$110&lt;&gt;"acoes")))*INDEX(Inputs!$K$5:$AJ$110,0,MATCH(P$2,Inputs!$K$4:$AJ$4,0)))+SUMPRODUCT((Inputs!$C$5:$C$110=$B9)*Inputs!$D$5:$D$110*(((Inputs!$G$5:$G$110="moeda")+(Inputs!$G$5:$G$110="acoes"))*Inputs!$B$1+((Inputs!$G$5:$G$110&lt;&gt;"moeda")*(Inputs!$G$5:$G$110&lt;&gt;"acoes")))*INDEX(Inputs!$K$5:$AJ$110,0,MATCH(P$2,Inputs!$K$4:$AJ$4,0)))+SUMPRODUCT((Inputs!$E$5:$E$110=$B9)*Inputs!$F$5:$F$110*(((Inputs!$G$5:$G$110="moeda")+(Inputs!$G$5:$G$110="acoes"))*Inputs!$B$1+((Inputs!$G$5:$G$110&lt;&gt;"moeda")*(Inputs!$G$5:$G$110&lt;&gt;"acoes")))*INDEX(Inputs!$K$5:$AJ$110,0,MATCH(P$2,Inputs!$K$4:$AJ$4,0)))))</f>
        <v>238</v>
      </c>
      <c r="Q9" s="267">
        <f>IF(ISNA(MATCH(Q$2,Inputs!$K$4:$AJ$4,0)),NA(),IF(SUMPRODUCT((Inputs!$A$5:$A$110=$B9)*ISNUMBER(INDEX(Inputs!$K$5:$AJ$110,0,MATCH(Q$2,Inputs!$K$4:$AJ$4,0))))+SUMPRODUCT((Inputs!$C$5:$C$110=$B9)*ISNUMBER(INDEX(Inputs!$K$5:$AJ$110,0,MATCH(Q$2,Inputs!$K$4:$AJ$4,0))))+SUMPRODUCT((Inputs!$E$5:$E$110=$B9)*ISNUMBER(INDEX(Inputs!$K$5:$AJ$110,0,MATCH(Q$2,Inputs!$K$4:$AJ$4,0))))=0,NA(),SUMPRODUCT((Inputs!$A$5:$A$110=$B9)*Inputs!$B$5:$B$110*(((Inputs!$G$5:$G$110="moeda")+(Inputs!$G$5:$G$110="acoes"))*Inputs!$B$1+((Inputs!$G$5:$G$110&lt;&gt;"moeda")*(Inputs!$G$5:$G$110&lt;&gt;"acoes")))*INDEX(Inputs!$K$5:$AJ$110,0,MATCH(Q$2,Inputs!$K$4:$AJ$4,0)))+SUMPRODUCT((Inputs!$C$5:$C$110=$B9)*Inputs!$D$5:$D$110*(((Inputs!$G$5:$G$110="moeda")+(Inputs!$G$5:$G$110="acoes"))*Inputs!$B$1+((Inputs!$G$5:$G$110&lt;&gt;"moeda")*(Inputs!$G$5:$G$110&lt;&gt;"acoes")))*INDEX(Inputs!$K$5:$AJ$110,0,MATCH(Q$2,Inputs!$K$4:$AJ$4,0)))+SUMPRODUCT((Inputs!$E$5:$E$110=$B9)*Inputs!$F$5:$F$110*(((Inputs!$G$5:$G$110="moeda")+(Inputs!$G$5:$G$110="acoes"))*Inputs!$B$1+((Inputs!$G$5:$G$110&lt;&gt;"moeda")*(Inputs!$G$5:$G$110&lt;&gt;"acoes")))*INDEX(Inputs!$K$5:$AJ$110,0,MATCH(Q$2,Inputs!$K$4:$AJ$4,0)))))</f>
        <v>160</v>
      </c>
      <c r="R9" s="268">
        <f>SUM(N9:Q9)</f>
        <v>640</v>
      </c>
      <c r="S9" s="267">
        <f>IF(ISNA(MATCH(S$2,Inputs!$K$4:$AJ$4,0)),NA(),IF(SUMPRODUCT((Inputs!$A$5:$A$110=$B9)*ISNUMBER(INDEX(Inputs!$K$5:$AJ$110,0,MATCH(S$2,Inputs!$K$4:$AJ$4,0))))+SUMPRODUCT((Inputs!$C$5:$C$110=$B9)*ISNUMBER(INDEX(Inputs!$K$5:$AJ$110,0,MATCH(S$2,Inputs!$K$4:$AJ$4,0))))+SUMPRODUCT((Inputs!$E$5:$E$110=$B9)*ISNUMBER(INDEX(Inputs!$K$5:$AJ$110,0,MATCH(S$2,Inputs!$K$4:$AJ$4,0))))=0,NA(),SUMPRODUCT((Inputs!$A$5:$A$110=$B9)*Inputs!$B$5:$B$110*(((Inputs!$G$5:$G$110="moeda")+(Inputs!$G$5:$G$110="acoes"))*Inputs!$B$1+((Inputs!$G$5:$G$110&lt;&gt;"moeda")*(Inputs!$G$5:$G$110&lt;&gt;"acoes")))*INDEX(Inputs!$K$5:$AJ$110,0,MATCH(S$2,Inputs!$K$4:$AJ$4,0)))+SUMPRODUCT((Inputs!$C$5:$C$110=$B9)*Inputs!$D$5:$D$110*(((Inputs!$G$5:$G$110="moeda")+(Inputs!$G$5:$G$110="acoes"))*Inputs!$B$1+((Inputs!$G$5:$G$110&lt;&gt;"moeda")*(Inputs!$G$5:$G$110&lt;&gt;"acoes")))*INDEX(Inputs!$K$5:$AJ$110,0,MATCH(S$2,Inputs!$K$4:$AJ$4,0)))+SUMPRODUCT((Inputs!$E$5:$E$110=$B9)*Inputs!$F$5:$F$110*(((Inputs!$G$5:$G$110="moeda")+(Inputs!$G$5:$G$110="acoes"))*Inputs!$B$1+((Inputs!$G$5:$G$110&lt;&gt;"moeda")*(Inputs!$G$5:$G$110&lt;&gt;"acoes")))*INDEX(Inputs!$K$5:$AJ$110,0,MATCH(S$2,Inputs!$K$4:$AJ$4,0)))))</f>
        <v>216</v>
      </c>
      <c r="T9" s="267">
        <f>IF(ISNA(MATCH(T$2,Inputs!$K$4:$AJ$4,0)),NA(),IF(SUMPRODUCT((Inputs!$A$5:$A$110=$B9)*ISNUMBER(INDEX(Inputs!$K$5:$AJ$110,0,MATCH(T$2,Inputs!$K$4:$AJ$4,0))))+SUMPRODUCT((Inputs!$C$5:$C$110=$B9)*ISNUMBER(INDEX(Inputs!$K$5:$AJ$110,0,MATCH(T$2,Inputs!$K$4:$AJ$4,0))))+SUMPRODUCT((Inputs!$E$5:$E$110=$B9)*ISNUMBER(INDEX(Inputs!$K$5:$AJ$110,0,MATCH(T$2,Inputs!$K$4:$AJ$4,0))))=0,NA(),SUMPRODUCT((Inputs!$A$5:$A$110=$B9)*Inputs!$B$5:$B$110*(((Inputs!$G$5:$G$110="moeda")+(Inputs!$G$5:$G$110="acoes"))*Inputs!$B$1+((Inputs!$G$5:$G$110&lt;&gt;"moeda")*(Inputs!$G$5:$G$110&lt;&gt;"acoes")))*INDEX(Inputs!$K$5:$AJ$110,0,MATCH(T$2,Inputs!$K$4:$AJ$4,0)))+SUMPRODUCT((Inputs!$C$5:$C$110=$B9)*Inputs!$D$5:$D$110*(((Inputs!$G$5:$G$110="moeda")+(Inputs!$G$5:$G$110="acoes"))*Inputs!$B$1+((Inputs!$G$5:$G$110&lt;&gt;"moeda")*(Inputs!$G$5:$G$110&lt;&gt;"acoes")))*INDEX(Inputs!$K$5:$AJ$110,0,MATCH(T$2,Inputs!$K$4:$AJ$4,0)))+SUMPRODUCT((Inputs!$E$5:$E$110=$B9)*Inputs!$F$5:$F$110*(((Inputs!$G$5:$G$110="moeda")+(Inputs!$G$5:$G$110="acoes"))*Inputs!$B$1+((Inputs!$G$5:$G$110&lt;&gt;"moeda")*(Inputs!$G$5:$G$110&lt;&gt;"acoes")))*INDEX(Inputs!$K$5:$AJ$110,0,MATCH(T$2,Inputs!$K$4:$AJ$4,0)))))</f>
        <v>128</v>
      </c>
      <c r="U9" s="267">
        <f>IF(ISNA(MATCH(U$2,Inputs!$K$4:$AJ$4,0)),NA(),IF(SUMPRODUCT((Inputs!$A$5:$A$110=$B9)*ISNUMBER(INDEX(Inputs!$K$5:$AJ$110,0,MATCH(U$2,Inputs!$K$4:$AJ$4,0))))+SUMPRODUCT((Inputs!$C$5:$C$110=$B9)*ISNUMBER(INDEX(Inputs!$K$5:$AJ$110,0,MATCH(U$2,Inputs!$K$4:$AJ$4,0))))+SUMPRODUCT((Inputs!$E$5:$E$110=$B9)*ISNUMBER(INDEX(Inputs!$K$5:$AJ$110,0,MATCH(U$2,Inputs!$K$4:$AJ$4,0))))=0,NA(),SUMPRODUCT((Inputs!$A$5:$A$110=$B9)*Inputs!$B$5:$B$110*(((Inputs!$G$5:$G$110="moeda")+(Inputs!$G$5:$G$110="acoes"))*Inputs!$B$1+((Inputs!$G$5:$G$110&lt;&gt;"moeda")*(Inputs!$G$5:$G$110&lt;&gt;"acoes")))*INDEX(Inputs!$K$5:$AJ$110,0,MATCH(U$2,Inputs!$K$4:$AJ$4,0)))+SUMPRODUCT((Inputs!$C$5:$C$110=$B9)*Inputs!$D$5:$D$110*(((Inputs!$G$5:$G$110="moeda")+(Inputs!$G$5:$G$110="acoes"))*Inputs!$B$1+((Inputs!$G$5:$G$110&lt;&gt;"moeda")*(Inputs!$G$5:$G$110&lt;&gt;"acoes")))*INDEX(Inputs!$K$5:$AJ$110,0,MATCH(U$2,Inputs!$K$4:$AJ$4,0)))+SUMPRODUCT((Inputs!$E$5:$E$110=$B9)*Inputs!$F$5:$F$110*(((Inputs!$G$5:$G$110="moeda")+(Inputs!$G$5:$G$110="acoes"))*Inputs!$B$1+((Inputs!$G$5:$G$110&lt;&gt;"moeda")*(Inputs!$G$5:$G$110&lt;&gt;"acoes")))*INDEX(Inputs!$K$5:$AJ$110,0,MATCH(U$2,Inputs!$K$4:$AJ$4,0)))))</f>
        <v>120</v>
      </c>
      <c r="V9" s="267">
        <f>IF(ISNA(MATCH(V$2,Inputs!$K$4:$AJ$4,0)),NA(),IF(SUMPRODUCT((Inputs!$A$5:$A$110=$B9)*ISNUMBER(INDEX(Inputs!$K$5:$AJ$110,0,MATCH(V$2,Inputs!$K$4:$AJ$4,0))))+SUMPRODUCT((Inputs!$C$5:$C$110=$B9)*ISNUMBER(INDEX(Inputs!$K$5:$AJ$110,0,MATCH(V$2,Inputs!$K$4:$AJ$4,0))))+SUMPRODUCT((Inputs!$E$5:$E$110=$B9)*ISNUMBER(INDEX(Inputs!$K$5:$AJ$110,0,MATCH(V$2,Inputs!$K$4:$AJ$4,0))))=0,NA(),SUMPRODUCT((Inputs!$A$5:$A$110=$B9)*Inputs!$B$5:$B$110*(((Inputs!$G$5:$G$110="moeda")+(Inputs!$G$5:$G$110="acoes"))*Inputs!$B$1+((Inputs!$G$5:$G$110&lt;&gt;"moeda")*(Inputs!$G$5:$G$110&lt;&gt;"acoes")))*INDEX(Inputs!$K$5:$AJ$110,0,MATCH(V$2,Inputs!$K$4:$AJ$4,0)))+SUMPRODUCT((Inputs!$C$5:$C$110=$B9)*Inputs!$D$5:$D$110*(((Inputs!$G$5:$G$110="moeda")+(Inputs!$G$5:$G$110="acoes"))*Inputs!$B$1+((Inputs!$G$5:$G$110&lt;&gt;"moeda")*(Inputs!$G$5:$G$110&lt;&gt;"acoes")))*INDEX(Inputs!$K$5:$AJ$110,0,MATCH(V$2,Inputs!$K$4:$AJ$4,0)))+SUMPRODUCT((Inputs!$E$5:$E$110=$B9)*Inputs!$F$5:$F$110*(((Inputs!$G$5:$G$110="moeda")+(Inputs!$G$5:$G$110="acoes"))*Inputs!$B$1+((Inputs!$G$5:$G$110&lt;&gt;"moeda")*(Inputs!$G$5:$G$110&lt;&gt;"acoes")))*INDEX(Inputs!$K$5:$AJ$110,0,MATCH(V$2,Inputs!$K$4:$AJ$4,0)))))</f>
        <v>147</v>
      </c>
      <c r="W9" s="268">
        <f>SUM(S9:V9)</f>
        <v>611</v>
      </c>
      <c r="X9" s="267">
        <f>IF(ISNA(MATCH(X$2,Inputs!$K$4:$AJ$4,0)),NA(),IF(SUMPRODUCT((Inputs!$A$5:$A$110=$B9)*ISNUMBER(INDEX(Inputs!$K$5:$AJ$110,0,MATCH(X$2,Inputs!$K$4:$AJ$4,0))))+SUMPRODUCT((Inputs!$C$5:$C$110=$B9)*ISNUMBER(INDEX(Inputs!$K$5:$AJ$110,0,MATCH(X$2,Inputs!$K$4:$AJ$4,0))))+SUMPRODUCT((Inputs!$E$5:$E$110=$B9)*ISNUMBER(INDEX(Inputs!$K$5:$AJ$110,0,MATCH(X$2,Inputs!$K$4:$AJ$4,0))))=0,NA(),SUMPRODUCT((Inputs!$A$5:$A$110=$B9)*Inputs!$B$5:$B$110*(((Inputs!$G$5:$G$110="moeda")+(Inputs!$G$5:$G$110="acoes"))*Inputs!$B$1+((Inputs!$G$5:$G$110&lt;&gt;"moeda")*(Inputs!$G$5:$G$110&lt;&gt;"acoes")))*INDEX(Inputs!$K$5:$AJ$110,0,MATCH(X$2,Inputs!$K$4:$AJ$4,0)))+SUMPRODUCT((Inputs!$C$5:$C$110=$B9)*Inputs!$D$5:$D$110*(((Inputs!$G$5:$G$110="moeda")+(Inputs!$G$5:$G$110="acoes"))*Inputs!$B$1+((Inputs!$G$5:$G$110&lt;&gt;"moeda")*(Inputs!$G$5:$G$110&lt;&gt;"acoes")))*INDEX(Inputs!$K$5:$AJ$110,0,MATCH(X$2,Inputs!$K$4:$AJ$4,0)))+SUMPRODUCT((Inputs!$E$5:$E$110=$B9)*Inputs!$F$5:$F$110*(((Inputs!$G$5:$G$110="moeda")+(Inputs!$G$5:$G$110="acoes"))*Inputs!$B$1+((Inputs!$G$5:$G$110&lt;&gt;"moeda")*(Inputs!$G$5:$G$110&lt;&gt;"acoes")))*INDEX(Inputs!$K$5:$AJ$110,0,MATCH(X$2,Inputs!$K$4:$AJ$4,0)))))</f>
        <v>142</v>
      </c>
      <c r="Y9" s="267">
        <f>IF(ISNA(MATCH(Y$2,Inputs!$K$4:$AJ$4,0)),NA(),IF(SUMPRODUCT((Inputs!$A$5:$A$110=$B9)*ISNUMBER(INDEX(Inputs!$K$5:$AJ$110,0,MATCH(Y$2,Inputs!$K$4:$AJ$4,0))))+SUMPRODUCT((Inputs!$C$5:$C$110=$B9)*ISNUMBER(INDEX(Inputs!$K$5:$AJ$110,0,MATCH(Y$2,Inputs!$K$4:$AJ$4,0))))+SUMPRODUCT((Inputs!$E$5:$E$110=$B9)*ISNUMBER(INDEX(Inputs!$K$5:$AJ$110,0,MATCH(Y$2,Inputs!$K$4:$AJ$4,0))))=0,NA(),SUMPRODUCT((Inputs!$A$5:$A$110=$B9)*Inputs!$B$5:$B$110*(((Inputs!$G$5:$G$110="moeda")+(Inputs!$G$5:$G$110="acoes"))*Inputs!$B$1+((Inputs!$G$5:$G$110&lt;&gt;"moeda")*(Inputs!$G$5:$G$110&lt;&gt;"acoes")))*INDEX(Inputs!$K$5:$AJ$110,0,MATCH(Y$2,Inputs!$K$4:$AJ$4,0)))+SUMPRODUCT((Inputs!$C$5:$C$110=$B9)*Inputs!$D$5:$D$110*(((Inputs!$G$5:$G$110="moeda")+(Inputs!$G$5:$G$110="acoes"))*Inputs!$B$1+((Inputs!$G$5:$G$110&lt;&gt;"moeda")*(Inputs!$G$5:$G$110&lt;&gt;"acoes")))*INDEX(Inputs!$K$5:$AJ$110,0,MATCH(Y$2,Inputs!$K$4:$AJ$4,0)))+SUMPRODUCT((Inputs!$E$5:$E$110=$B9)*Inputs!$F$5:$F$110*(((Inputs!$G$5:$G$110="moeda")+(Inputs!$G$5:$G$110="acoes"))*Inputs!$B$1+((Inputs!$G$5:$G$110&lt;&gt;"moeda")*(Inputs!$G$5:$G$110&lt;&gt;"acoes")))*INDEX(Inputs!$K$5:$AJ$110,0,MATCH(Y$2,Inputs!$K$4:$AJ$4,0)))))</f>
        <v>85</v>
      </c>
      <c r="Z9" s="267">
        <f>IF(ISNA(MATCH(Z$2,Inputs!$K$4:$AJ$4,0)),NA(),IF(SUMPRODUCT((Inputs!$A$5:$A$110=$B9)*ISNUMBER(INDEX(Inputs!$K$5:$AJ$110,0,MATCH(Z$2,Inputs!$K$4:$AJ$4,0))))+SUMPRODUCT((Inputs!$C$5:$C$110=$B9)*ISNUMBER(INDEX(Inputs!$K$5:$AJ$110,0,MATCH(Z$2,Inputs!$K$4:$AJ$4,0))))+SUMPRODUCT((Inputs!$E$5:$E$110=$B9)*ISNUMBER(INDEX(Inputs!$K$5:$AJ$110,0,MATCH(Z$2,Inputs!$K$4:$AJ$4,0))))=0,NA(),SUMPRODUCT((Inputs!$A$5:$A$110=$B9)*Inputs!$B$5:$B$110*(((Inputs!$G$5:$G$110="moeda")+(Inputs!$G$5:$G$110="acoes"))*Inputs!$B$1+((Inputs!$G$5:$G$110&lt;&gt;"moeda")*(Inputs!$G$5:$G$110&lt;&gt;"acoes")))*INDEX(Inputs!$K$5:$AJ$110,0,MATCH(Z$2,Inputs!$K$4:$AJ$4,0)))+SUMPRODUCT((Inputs!$C$5:$C$110=$B9)*Inputs!$D$5:$D$110*(((Inputs!$G$5:$G$110="moeda")+(Inputs!$G$5:$G$110="acoes"))*Inputs!$B$1+((Inputs!$G$5:$G$110&lt;&gt;"moeda")*(Inputs!$G$5:$G$110&lt;&gt;"acoes")))*INDEX(Inputs!$K$5:$AJ$110,0,MATCH(Z$2,Inputs!$K$4:$AJ$4,0)))+SUMPRODUCT((Inputs!$E$5:$E$110=$B9)*Inputs!$F$5:$F$110*(((Inputs!$G$5:$G$110="moeda")+(Inputs!$G$5:$G$110="acoes"))*Inputs!$B$1+((Inputs!$G$5:$G$110&lt;&gt;"moeda")*(Inputs!$G$5:$G$110&lt;&gt;"acoes")))*INDEX(Inputs!$K$5:$AJ$110,0,MATCH(Z$2,Inputs!$K$4:$AJ$4,0)))))</f>
        <v>215</v>
      </c>
      <c r="AA9" s="267">
        <f>IF(ISNA(MATCH(AA$2,Inputs!$K$4:$AJ$4,0)),NA(),IF(SUMPRODUCT((Inputs!$A$5:$A$110=$B9)*ISNUMBER(INDEX(Inputs!$K$5:$AJ$110,0,MATCH(AA$2,Inputs!$K$4:$AJ$4,0))))+SUMPRODUCT((Inputs!$C$5:$C$110=$B9)*ISNUMBER(INDEX(Inputs!$K$5:$AJ$110,0,MATCH(AA$2,Inputs!$K$4:$AJ$4,0))))+SUMPRODUCT((Inputs!$E$5:$E$110=$B9)*ISNUMBER(INDEX(Inputs!$K$5:$AJ$110,0,MATCH(AA$2,Inputs!$K$4:$AJ$4,0))))=0,NA(),SUMPRODUCT((Inputs!$A$5:$A$110=$B9)*Inputs!$B$5:$B$110*(((Inputs!$G$5:$G$110="moeda")+(Inputs!$G$5:$G$110="acoes"))*Inputs!$B$1+((Inputs!$G$5:$G$110&lt;&gt;"moeda")*(Inputs!$G$5:$G$110&lt;&gt;"acoes")))*INDEX(Inputs!$K$5:$AJ$110,0,MATCH(AA$2,Inputs!$K$4:$AJ$4,0)))+SUMPRODUCT((Inputs!$C$5:$C$110=$B9)*Inputs!$D$5:$D$110*(((Inputs!$G$5:$G$110="moeda")+(Inputs!$G$5:$G$110="acoes"))*Inputs!$B$1+((Inputs!$G$5:$G$110&lt;&gt;"moeda")*(Inputs!$G$5:$G$110&lt;&gt;"acoes")))*INDEX(Inputs!$K$5:$AJ$110,0,MATCH(AA$2,Inputs!$K$4:$AJ$4,0)))+SUMPRODUCT((Inputs!$E$5:$E$110=$B9)*Inputs!$F$5:$F$110*(((Inputs!$G$5:$G$110="moeda")+(Inputs!$G$5:$G$110="acoes"))*Inputs!$B$1+((Inputs!$G$5:$G$110&lt;&gt;"moeda")*(Inputs!$G$5:$G$110&lt;&gt;"acoes")))*INDEX(Inputs!$K$5:$AJ$110,0,MATCH(AA$2,Inputs!$K$4:$AJ$4,0)))))</f>
        <v>155</v>
      </c>
      <c r="AB9" s="268">
        <f>SUM(X9:AA9)</f>
        <v>597</v>
      </c>
      <c r="AC9" s="267">
        <f>IF(ISNA(MATCH(AC$2,Inputs!$K$4:$AJ$4,0)),NA(),IF(SUMPRODUCT((Inputs!$A$5:$A$110=$B9)*ISNUMBER(INDEX(Inputs!$K$5:$AJ$110,0,MATCH(AC$2,Inputs!$K$4:$AJ$4,0))))+SUMPRODUCT((Inputs!$C$5:$C$110=$B9)*ISNUMBER(INDEX(Inputs!$K$5:$AJ$110,0,MATCH(AC$2,Inputs!$K$4:$AJ$4,0))))+SUMPRODUCT((Inputs!$E$5:$E$110=$B9)*ISNUMBER(INDEX(Inputs!$K$5:$AJ$110,0,MATCH(AC$2,Inputs!$K$4:$AJ$4,0))))=0,NA(),SUMPRODUCT((Inputs!$A$5:$A$110=$B9)*Inputs!$B$5:$B$110*(((Inputs!$G$5:$G$110="moeda")+(Inputs!$G$5:$G$110="acoes"))*Inputs!$B$1+((Inputs!$G$5:$G$110&lt;&gt;"moeda")*(Inputs!$G$5:$G$110&lt;&gt;"acoes")))*INDEX(Inputs!$K$5:$AJ$110,0,MATCH(AC$2,Inputs!$K$4:$AJ$4,0)))+SUMPRODUCT((Inputs!$C$5:$C$110=$B9)*Inputs!$D$5:$D$110*(((Inputs!$G$5:$G$110="moeda")+(Inputs!$G$5:$G$110="acoes"))*Inputs!$B$1+((Inputs!$G$5:$G$110&lt;&gt;"moeda")*(Inputs!$G$5:$G$110&lt;&gt;"acoes")))*INDEX(Inputs!$K$5:$AJ$110,0,MATCH(AC$2,Inputs!$K$4:$AJ$4,0)))+SUMPRODUCT((Inputs!$E$5:$E$110=$B9)*Inputs!$F$5:$F$110*(((Inputs!$G$5:$G$110="moeda")+(Inputs!$G$5:$G$110="acoes"))*Inputs!$B$1+((Inputs!$G$5:$G$110&lt;&gt;"moeda")*(Inputs!$G$5:$G$110&lt;&gt;"acoes")))*INDEX(Inputs!$K$5:$AJ$110,0,MATCH(AC$2,Inputs!$K$4:$AJ$4,0)))))</f>
        <v>148</v>
      </c>
      <c r="AD9" s="267">
        <f>IF(ISNA(MATCH(AD$2,Inputs!$K$4:$AJ$4,0)),NA(),IF(SUMPRODUCT((Inputs!$A$5:$A$110=$B9)*ISNUMBER(INDEX(Inputs!$K$5:$AJ$110,0,MATCH(AD$2,Inputs!$K$4:$AJ$4,0))))+SUMPRODUCT((Inputs!$C$5:$C$110=$B9)*ISNUMBER(INDEX(Inputs!$K$5:$AJ$110,0,MATCH(AD$2,Inputs!$K$4:$AJ$4,0))))+SUMPRODUCT((Inputs!$E$5:$E$110=$B9)*ISNUMBER(INDEX(Inputs!$K$5:$AJ$110,0,MATCH(AD$2,Inputs!$K$4:$AJ$4,0))))=0,NA(),SUMPRODUCT((Inputs!$A$5:$A$110=$B9)*Inputs!$B$5:$B$110*(((Inputs!$G$5:$G$110="moeda")+(Inputs!$G$5:$G$110="acoes"))*Inputs!$B$1+((Inputs!$G$5:$G$110&lt;&gt;"moeda")*(Inputs!$G$5:$G$110&lt;&gt;"acoes")))*INDEX(Inputs!$K$5:$AJ$110,0,MATCH(AD$2,Inputs!$K$4:$AJ$4,0)))+SUMPRODUCT((Inputs!$C$5:$C$110=$B9)*Inputs!$D$5:$D$110*(((Inputs!$G$5:$G$110="moeda")+(Inputs!$G$5:$G$110="acoes"))*Inputs!$B$1+((Inputs!$G$5:$G$110&lt;&gt;"moeda")*(Inputs!$G$5:$G$110&lt;&gt;"acoes")))*INDEX(Inputs!$K$5:$AJ$110,0,MATCH(AD$2,Inputs!$K$4:$AJ$4,0)))+SUMPRODUCT((Inputs!$E$5:$E$110=$B9)*Inputs!$F$5:$F$110*(((Inputs!$G$5:$G$110="moeda")+(Inputs!$G$5:$G$110="acoes"))*Inputs!$B$1+((Inputs!$G$5:$G$110&lt;&gt;"moeda")*(Inputs!$G$5:$G$110&lt;&gt;"acoes")))*INDEX(Inputs!$K$5:$AJ$110,0,MATCH(AD$2,Inputs!$K$4:$AJ$4,0)))))</f>
        <v>155</v>
      </c>
      <c r="AE9" s="267" t="e">
        <f>IF(ISNA(MATCH(AE$2,Inputs!$K$4:$AJ$4,0)),NA(),IF(SUMPRODUCT((Inputs!$A$5:$A$110=$B9)*ISNUMBER(INDEX(Inputs!$K$5:$AJ$110,0,MATCH(AE$2,Inputs!$K$4:$AJ$4,0))))+SUMPRODUCT((Inputs!$C$5:$C$110=$B9)*ISNUMBER(INDEX(Inputs!$K$5:$AJ$110,0,MATCH(AE$2,Inputs!$K$4:$AJ$4,0))))+SUMPRODUCT((Inputs!$E$5:$E$110=$B9)*ISNUMBER(INDEX(Inputs!$K$5:$AJ$110,0,MATCH(AE$2,Inputs!$K$4:$AJ$4,0))))=0,NA(),SUMPRODUCT((Inputs!$A$5:$A$110=$B9)*Inputs!$B$5:$B$110*(((Inputs!$G$5:$G$110="moeda")+(Inputs!$G$5:$G$110="acoes"))*Inputs!$B$1+((Inputs!$G$5:$G$110&lt;&gt;"moeda")*(Inputs!$G$5:$G$110&lt;&gt;"acoes")))*INDEX(Inputs!$K$5:$AJ$110,0,MATCH(AE$2,Inputs!$K$4:$AJ$4,0)))+SUMPRODUCT((Inputs!$C$5:$C$110=$B9)*Inputs!$D$5:$D$110*(((Inputs!$G$5:$G$110="moeda")+(Inputs!$G$5:$G$110="acoes"))*Inputs!$B$1+((Inputs!$G$5:$G$110&lt;&gt;"moeda")*(Inputs!$G$5:$G$110&lt;&gt;"acoes")))*INDEX(Inputs!$K$5:$AJ$110,0,MATCH(AE$2,Inputs!$K$4:$AJ$4,0)))+SUMPRODUCT((Inputs!$E$5:$E$110=$B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9" s="267" t="e">
        <f>IF(ISNA(MATCH(AF$2,Inputs!$K$4:$AJ$4,0)),NA(),IF(SUMPRODUCT((Inputs!$A$5:$A$110=$B9)*ISNUMBER(INDEX(Inputs!$K$5:$AJ$110,0,MATCH(AF$2,Inputs!$K$4:$AJ$4,0))))+SUMPRODUCT((Inputs!$C$5:$C$110=$B9)*ISNUMBER(INDEX(Inputs!$K$5:$AJ$110,0,MATCH(AF$2,Inputs!$K$4:$AJ$4,0))))+SUMPRODUCT((Inputs!$E$5:$E$110=$B9)*ISNUMBER(INDEX(Inputs!$K$5:$AJ$110,0,MATCH(AF$2,Inputs!$K$4:$AJ$4,0))))=0,NA(),SUMPRODUCT((Inputs!$A$5:$A$110=$B9)*Inputs!$B$5:$B$110*(((Inputs!$G$5:$G$110="moeda")+(Inputs!$G$5:$G$110="acoes"))*Inputs!$B$1+((Inputs!$G$5:$G$110&lt;&gt;"moeda")*(Inputs!$G$5:$G$110&lt;&gt;"acoes")))*INDEX(Inputs!$K$5:$AJ$110,0,MATCH(AF$2,Inputs!$K$4:$AJ$4,0)))+SUMPRODUCT((Inputs!$C$5:$C$110=$B9)*Inputs!$D$5:$D$110*(((Inputs!$G$5:$G$110="moeda")+(Inputs!$G$5:$G$110="acoes"))*Inputs!$B$1+((Inputs!$G$5:$G$110&lt;&gt;"moeda")*(Inputs!$G$5:$G$110&lt;&gt;"acoes")))*INDEX(Inputs!$K$5:$AJ$110,0,MATCH(AF$2,Inputs!$K$4:$AJ$4,0)))+SUMPRODUCT((Inputs!$E$5:$E$110=$B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9" s="268" t="e">
        <f>SUM(AC9:AF9)</f>
        <v>#N/A</v>
      </c>
      <c r="AH9" s="267">
        <f>IF(ISNA(MATCH(AH$2,Inputs!$K$4:$AJ$4,0)),NA(),IF(SUMPRODUCT((Inputs!$A$5:$A$110=$B9)*ISNUMBER(INDEX(Inputs!$K$5:$AJ$110,0,MATCH(AH$2,Inputs!$K$4:$AJ$4,0))))+SUMPRODUCT((Inputs!$C$5:$C$110=$B9)*ISNUMBER(INDEX(Inputs!$K$5:$AJ$110,0,MATCH(AH$2,Inputs!$K$4:$AJ$4,0))))+SUMPRODUCT((Inputs!$E$5:$E$110=$B9)*ISNUMBER(INDEX(Inputs!$K$5:$AJ$110,0,MATCH(AH$2,Inputs!$K$4:$AJ$4,0))))=0,NA(),SUMPRODUCT((Inputs!$A$5:$A$110=$B9)*Inputs!$B$5:$B$110*(((Inputs!$G$5:$G$110="moeda")+(Inputs!$G$5:$G$110="acoes"))*Inputs!$B$1+((Inputs!$G$5:$G$110&lt;&gt;"moeda")*(Inputs!$G$5:$G$110&lt;&gt;"acoes")))*INDEX(Inputs!$K$5:$AJ$110,0,MATCH(AH$2,Inputs!$K$4:$AJ$4,0)))+SUMPRODUCT((Inputs!$C$5:$C$110=$B9)*Inputs!$D$5:$D$110*(((Inputs!$G$5:$G$110="moeda")+(Inputs!$G$5:$G$110="acoes"))*Inputs!$B$1+((Inputs!$G$5:$G$110&lt;&gt;"moeda")*(Inputs!$G$5:$G$110&lt;&gt;"acoes")))*INDEX(Inputs!$K$5:$AJ$110,0,MATCH(AH$2,Inputs!$K$4:$AJ$4,0)))+SUMPRODUCT((Inputs!$E$5:$E$110=$B9)*Inputs!$F$5:$F$110*(((Inputs!$G$5:$G$110="moeda")+(Inputs!$G$5:$G$110="acoes"))*Inputs!$B$1+((Inputs!$G$5:$G$110&lt;&gt;"moeda")*(Inputs!$G$5:$G$110&lt;&gt;"acoes")))*INDEX(Inputs!$K$5:$AJ$110,0,MATCH(AH$2,Inputs!$K$4:$AJ$4,0)))))</f>
        <v>45</v>
      </c>
      <c r="AI9" s="267">
        <f>IF(ISNA(MATCH(AI$2,Inputs!$K$4:$AJ$4,0)),NA(),IF(SUMPRODUCT((Inputs!$A$5:$A$110=$B9)*ISNUMBER(INDEX(Inputs!$K$5:$AJ$110,0,MATCH(AI$2,Inputs!$K$4:$AJ$4,0))))+SUMPRODUCT((Inputs!$C$5:$C$110=$B9)*ISNUMBER(INDEX(Inputs!$K$5:$AJ$110,0,MATCH(AI$2,Inputs!$K$4:$AJ$4,0))))+SUMPRODUCT((Inputs!$E$5:$E$110=$B9)*ISNUMBER(INDEX(Inputs!$K$5:$AJ$110,0,MATCH(AI$2,Inputs!$K$4:$AJ$4,0))))=0,NA(),SUMPRODUCT((Inputs!$A$5:$A$110=$B9)*Inputs!$B$5:$B$110*(((Inputs!$G$5:$G$110="moeda")+(Inputs!$G$5:$G$110="acoes"))*Inputs!$B$1+((Inputs!$G$5:$G$110&lt;&gt;"moeda")*(Inputs!$G$5:$G$110&lt;&gt;"acoes")))*INDEX(Inputs!$K$5:$AJ$110,0,MATCH(AI$2,Inputs!$K$4:$AJ$4,0)))+SUMPRODUCT((Inputs!$C$5:$C$110=$B9)*Inputs!$D$5:$D$110*(((Inputs!$G$5:$G$110="moeda")+(Inputs!$G$5:$G$110="acoes"))*Inputs!$B$1+((Inputs!$G$5:$G$110&lt;&gt;"moeda")*(Inputs!$G$5:$G$110&lt;&gt;"acoes")))*INDEX(Inputs!$K$5:$AJ$110,0,MATCH(AI$2,Inputs!$K$4:$AJ$4,0)))+SUMPRODUCT((Inputs!$E$5:$E$110=$B9)*Inputs!$F$5:$F$110*(((Inputs!$G$5:$G$110="moeda")+(Inputs!$G$5:$G$110="acoes"))*Inputs!$B$1+((Inputs!$G$5:$G$110&lt;&gt;"moeda")*(Inputs!$G$5:$G$110&lt;&gt;"acoes")))*INDEX(Inputs!$K$5:$AJ$110,0,MATCH(AI$2,Inputs!$K$4:$AJ$4,0)))))</f>
        <v>21</v>
      </c>
      <c r="AJ9" s="267">
        <f>IF(ISNA(MATCH(AJ$2,Inputs!$K$4:$AJ$4,0)),NA(),IF(SUMPRODUCT((Inputs!$A$5:$A$110=$B9)*ISNUMBER(INDEX(Inputs!$K$5:$AJ$110,0,MATCH(AJ$2,Inputs!$K$4:$AJ$4,0))))+SUMPRODUCT((Inputs!$C$5:$C$110=$B9)*ISNUMBER(INDEX(Inputs!$K$5:$AJ$110,0,MATCH(AJ$2,Inputs!$K$4:$AJ$4,0))))+SUMPRODUCT((Inputs!$E$5:$E$110=$B9)*ISNUMBER(INDEX(Inputs!$K$5:$AJ$110,0,MATCH(AJ$2,Inputs!$K$4:$AJ$4,0))))=0,NA(),SUMPRODUCT((Inputs!$A$5:$A$110=$B9)*Inputs!$B$5:$B$110*(((Inputs!$G$5:$G$110="moeda")+(Inputs!$G$5:$G$110="acoes"))*Inputs!$B$1+((Inputs!$G$5:$G$110&lt;&gt;"moeda")*(Inputs!$G$5:$G$110&lt;&gt;"acoes")))*INDEX(Inputs!$K$5:$AJ$110,0,MATCH(AJ$2,Inputs!$K$4:$AJ$4,0)))+SUMPRODUCT((Inputs!$C$5:$C$110=$B9)*Inputs!$D$5:$D$110*(((Inputs!$G$5:$G$110="moeda")+(Inputs!$G$5:$G$110="acoes"))*Inputs!$B$1+((Inputs!$G$5:$G$110&lt;&gt;"moeda")*(Inputs!$G$5:$G$110&lt;&gt;"acoes")))*INDEX(Inputs!$K$5:$AJ$110,0,MATCH(AJ$2,Inputs!$K$4:$AJ$4,0)))+SUMPRODUCT((Inputs!$E$5:$E$110=$B9)*Inputs!$F$5:$F$110*(((Inputs!$G$5:$G$110="moeda")+(Inputs!$G$5:$G$110="acoes"))*Inputs!$B$1+((Inputs!$G$5:$G$110&lt;&gt;"moeda")*(Inputs!$G$5:$G$110&lt;&gt;"acoes")))*INDEX(Inputs!$K$5:$AJ$110,0,MATCH(AJ$2,Inputs!$K$4:$AJ$4,0)))))</f>
        <v>-9</v>
      </c>
      <c r="AK9" s="267">
        <f>IF(ISNA(MATCH(AK$2,Inputs!$K$4:$AJ$4,0)),NA(),IF(SUMPRODUCT((Inputs!$A$5:$A$110=$B9)*ISNUMBER(INDEX(Inputs!$K$5:$AJ$110,0,MATCH(AK$2,Inputs!$K$4:$AJ$4,0))))+SUMPRODUCT((Inputs!$C$5:$C$110=$B9)*ISNUMBER(INDEX(Inputs!$K$5:$AJ$110,0,MATCH(AK$2,Inputs!$K$4:$AJ$4,0))))+SUMPRODUCT((Inputs!$E$5:$E$110=$B9)*ISNUMBER(INDEX(Inputs!$K$5:$AJ$110,0,MATCH(AK$2,Inputs!$K$4:$AJ$4,0))))=0,NA(),SUMPRODUCT((Inputs!$A$5:$A$110=$B9)*Inputs!$B$5:$B$110*(((Inputs!$G$5:$G$110="moeda")+(Inputs!$G$5:$G$110="acoes"))*Inputs!$B$1+((Inputs!$G$5:$G$110&lt;&gt;"moeda")*(Inputs!$G$5:$G$110&lt;&gt;"acoes")))*INDEX(Inputs!$K$5:$AJ$110,0,MATCH(AK$2,Inputs!$K$4:$AJ$4,0)))+SUMPRODUCT((Inputs!$C$5:$C$110=$B9)*Inputs!$D$5:$D$110*(((Inputs!$G$5:$G$110="moeda")+(Inputs!$G$5:$G$110="acoes"))*Inputs!$B$1+((Inputs!$G$5:$G$110&lt;&gt;"moeda")*(Inputs!$G$5:$G$110&lt;&gt;"acoes")))*INDEX(Inputs!$K$5:$AJ$110,0,MATCH(AK$2,Inputs!$K$4:$AJ$4,0)))+SUMPRODUCT((Inputs!$E$5:$E$110=$B9)*Inputs!$F$5:$F$110*(((Inputs!$G$5:$G$110="moeda")+(Inputs!$G$5:$G$110="acoes"))*Inputs!$B$1+((Inputs!$G$5:$G$110&lt;&gt;"moeda")*(Inputs!$G$5:$G$110&lt;&gt;"acoes")))*INDEX(Inputs!$K$5:$AJ$110,0,MATCH(AK$2,Inputs!$K$4:$AJ$4,0)))))</f>
        <v>29</v>
      </c>
      <c r="AL9" s="268">
        <f>SUM(AH9:AK9)</f>
        <v>86</v>
      </c>
    </row>
    <row r="10" ht="12.75" customHeight="1" s="255">
      <c r="B10" s="265" t="n">
        <v>7</v>
      </c>
      <c r="C10" s="270" t="inlineStr">
        <is>
          <t>Taxes</t>
        </is>
      </c>
      <c r="D10" s="267">
        <f>IF(ISNA(MATCH(D$2,Inputs!$K$4:$AJ$4,0)),NA(),IF(SUMPRODUCT((Inputs!$A$5:$A$110=$B10)*ISNUMBER(INDEX(Inputs!$K$5:$AJ$110,0,MATCH(D$2,Inputs!$K$4:$AJ$4,0))))+SUMPRODUCT((Inputs!$C$5:$C$110=$B10)*ISNUMBER(INDEX(Inputs!$K$5:$AJ$110,0,MATCH(D$2,Inputs!$K$4:$AJ$4,0))))+SUMPRODUCT((Inputs!$E$5:$E$110=$B10)*ISNUMBER(INDEX(Inputs!$K$5:$AJ$110,0,MATCH(D$2,Inputs!$K$4:$AJ$4,0))))=0,NA(),SUMPRODUCT((Inputs!$A$5:$A$110=$B10)*Inputs!$B$5:$B$110*(((Inputs!$G$5:$G$110="moeda")+(Inputs!$G$5:$G$110="acoes"))*Inputs!$B$1+((Inputs!$G$5:$G$110&lt;&gt;"moeda")*(Inputs!$G$5:$G$110&lt;&gt;"acoes")))*INDEX(Inputs!$K$5:$AJ$110,0,MATCH(D$2,Inputs!$K$4:$AJ$4,0)))+SUMPRODUCT((Inputs!$C$5:$C$110=$B10)*Inputs!$D$5:$D$110*(((Inputs!$G$5:$G$110="moeda")+(Inputs!$G$5:$G$110="acoes"))*Inputs!$B$1+((Inputs!$G$5:$G$110&lt;&gt;"moeda")*(Inputs!$G$5:$G$110&lt;&gt;"acoes")))*INDEX(Inputs!$K$5:$AJ$110,0,MATCH(D$2,Inputs!$K$4:$AJ$4,0)))+SUMPRODUCT((Inputs!$E$5:$E$110=$B10)*Inputs!$F$5:$F$110*(((Inputs!$G$5:$G$110="moeda")+(Inputs!$G$5:$G$110="acoes"))*Inputs!$B$1+((Inputs!$G$5:$G$110&lt;&gt;"moeda")*(Inputs!$G$5:$G$110&lt;&gt;"acoes")))*INDEX(Inputs!$K$5:$AJ$110,0,MATCH(D$2,Inputs!$K$4:$AJ$4,0)))))</f>
        <v>-348</v>
      </c>
      <c r="E10" s="267">
        <f>IF(ISNA(MATCH(E$2,Inputs!$K$4:$AJ$4,0)),NA(),IF(SUMPRODUCT((Inputs!$A$5:$A$110=$B10)*ISNUMBER(INDEX(Inputs!$K$5:$AJ$110,0,MATCH(E$2,Inputs!$K$4:$AJ$4,0))))+SUMPRODUCT((Inputs!$C$5:$C$110=$B10)*ISNUMBER(INDEX(Inputs!$K$5:$AJ$110,0,MATCH(E$2,Inputs!$K$4:$AJ$4,0))))+SUMPRODUCT((Inputs!$E$5:$E$110=$B10)*ISNUMBER(INDEX(Inputs!$K$5:$AJ$110,0,MATCH(E$2,Inputs!$K$4:$AJ$4,0))))=0,NA(),SUMPRODUCT((Inputs!$A$5:$A$110=$B10)*Inputs!$B$5:$B$110*(((Inputs!$G$5:$G$110="moeda")+(Inputs!$G$5:$G$110="acoes"))*Inputs!$B$1+((Inputs!$G$5:$G$110&lt;&gt;"moeda")*(Inputs!$G$5:$G$110&lt;&gt;"acoes")))*INDEX(Inputs!$K$5:$AJ$110,0,MATCH(E$2,Inputs!$K$4:$AJ$4,0)))+SUMPRODUCT((Inputs!$C$5:$C$110=$B10)*Inputs!$D$5:$D$110*(((Inputs!$G$5:$G$110="moeda")+(Inputs!$G$5:$G$110="acoes"))*Inputs!$B$1+((Inputs!$G$5:$G$110&lt;&gt;"moeda")*(Inputs!$G$5:$G$110&lt;&gt;"acoes")))*INDEX(Inputs!$K$5:$AJ$110,0,MATCH(E$2,Inputs!$K$4:$AJ$4,0)))+SUMPRODUCT((Inputs!$E$5:$E$110=$B10)*Inputs!$F$5:$F$110*(((Inputs!$G$5:$G$110="moeda")+(Inputs!$G$5:$G$110="acoes"))*Inputs!$B$1+((Inputs!$G$5:$G$110&lt;&gt;"moeda")*(Inputs!$G$5:$G$110&lt;&gt;"acoes")))*INDEX(Inputs!$K$5:$AJ$110,0,MATCH(E$2,Inputs!$K$4:$AJ$4,0)))))</f>
        <v>-417</v>
      </c>
      <c r="F10" s="267">
        <f>IF(ISNA(MATCH(F$2,Inputs!$K$4:$AJ$4,0)),NA(),IF(SUMPRODUCT((Inputs!$A$5:$A$110=$B10)*ISNUMBER(INDEX(Inputs!$K$5:$AJ$110,0,MATCH(F$2,Inputs!$K$4:$AJ$4,0))))+SUMPRODUCT((Inputs!$C$5:$C$110=$B10)*ISNUMBER(INDEX(Inputs!$K$5:$AJ$110,0,MATCH(F$2,Inputs!$K$4:$AJ$4,0))))+SUMPRODUCT((Inputs!$E$5:$E$110=$B10)*ISNUMBER(INDEX(Inputs!$K$5:$AJ$110,0,MATCH(F$2,Inputs!$K$4:$AJ$4,0))))=0,NA(),SUMPRODUCT((Inputs!$A$5:$A$110=$B10)*Inputs!$B$5:$B$110*(((Inputs!$G$5:$G$110="moeda")+(Inputs!$G$5:$G$110="acoes"))*Inputs!$B$1+((Inputs!$G$5:$G$110&lt;&gt;"moeda")*(Inputs!$G$5:$G$110&lt;&gt;"acoes")))*INDEX(Inputs!$K$5:$AJ$110,0,MATCH(F$2,Inputs!$K$4:$AJ$4,0)))+SUMPRODUCT((Inputs!$C$5:$C$110=$B10)*Inputs!$D$5:$D$110*(((Inputs!$G$5:$G$110="moeda")+(Inputs!$G$5:$G$110="acoes"))*Inputs!$B$1+((Inputs!$G$5:$G$110&lt;&gt;"moeda")*(Inputs!$G$5:$G$110&lt;&gt;"acoes")))*INDEX(Inputs!$K$5:$AJ$110,0,MATCH(F$2,Inputs!$K$4:$AJ$4,0)))+SUMPRODUCT((Inputs!$E$5:$E$110=$B10)*Inputs!$F$5:$F$110*(((Inputs!$G$5:$G$110="moeda")+(Inputs!$G$5:$G$110="acoes"))*Inputs!$B$1+((Inputs!$G$5:$G$110&lt;&gt;"moeda")*(Inputs!$G$5:$G$110&lt;&gt;"acoes")))*INDEX(Inputs!$K$5:$AJ$110,0,MATCH(F$2,Inputs!$K$4:$AJ$4,0)))))</f>
        <v>-597</v>
      </c>
      <c r="G10" s="267">
        <f>IF(ISNA(MATCH(G$2,Inputs!$K$4:$AJ$4,0)),NA(),IF(SUMPRODUCT((Inputs!$A$5:$A$110=$B10)*ISNUMBER(INDEX(Inputs!$K$5:$AJ$110,0,MATCH(G$2,Inputs!$K$4:$AJ$4,0))))+SUMPRODUCT((Inputs!$C$5:$C$110=$B10)*ISNUMBER(INDEX(Inputs!$K$5:$AJ$110,0,MATCH(G$2,Inputs!$K$4:$AJ$4,0))))+SUMPRODUCT((Inputs!$E$5:$E$110=$B10)*ISNUMBER(INDEX(Inputs!$K$5:$AJ$110,0,MATCH(G$2,Inputs!$K$4:$AJ$4,0))))=0,NA(),SUMPRODUCT((Inputs!$A$5:$A$110=$B10)*Inputs!$B$5:$B$110*(((Inputs!$G$5:$G$110="moeda")+(Inputs!$G$5:$G$110="acoes"))*Inputs!$B$1+((Inputs!$G$5:$G$110&lt;&gt;"moeda")*(Inputs!$G$5:$G$110&lt;&gt;"acoes")))*INDEX(Inputs!$K$5:$AJ$110,0,MATCH(G$2,Inputs!$K$4:$AJ$4,0)))+SUMPRODUCT((Inputs!$C$5:$C$110=$B10)*Inputs!$D$5:$D$110*(((Inputs!$G$5:$G$110="moeda")+(Inputs!$G$5:$G$110="acoes"))*Inputs!$B$1+((Inputs!$G$5:$G$110&lt;&gt;"moeda")*(Inputs!$G$5:$G$110&lt;&gt;"acoes")))*INDEX(Inputs!$K$5:$AJ$110,0,MATCH(G$2,Inputs!$K$4:$AJ$4,0)))+SUMPRODUCT((Inputs!$E$5:$E$110=$B10)*Inputs!$F$5:$F$110*(((Inputs!$G$5:$G$110="moeda")+(Inputs!$G$5:$G$110="acoes"))*Inputs!$B$1+((Inputs!$G$5:$G$110&lt;&gt;"moeda")*(Inputs!$G$5:$G$110&lt;&gt;"acoes")))*INDEX(Inputs!$K$5:$AJ$110,0,MATCH(G$2,Inputs!$K$4:$AJ$4,0)))))</f>
        <v>-351</v>
      </c>
      <c r="H10" s="268">
        <f>SUM(D10:G10)</f>
        <v>-1713</v>
      </c>
      <c r="I10" s="267">
        <f>IF(ISNA(MATCH(I$2,Inputs!$K$4:$AJ$4,0)),NA(),IF(SUMPRODUCT((Inputs!$A$5:$A$110=$B10)*ISNUMBER(INDEX(Inputs!$K$5:$AJ$110,0,MATCH(I$2,Inputs!$K$4:$AJ$4,0))))+SUMPRODUCT((Inputs!$C$5:$C$110=$B10)*ISNUMBER(INDEX(Inputs!$K$5:$AJ$110,0,MATCH(I$2,Inputs!$K$4:$AJ$4,0))))+SUMPRODUCT((Inputs!$E$5:$E$110=$B10)*ISNUMBER(INDEX(Inputs!$K$5:$AJ$110,0,MATCH(I$2,Inputs!$K$4:$AJ$4,0))))=0,NA(),SUMPRODUCT((Inputs!$A$5:$A$110=$B10)*Inputs!$B$5:$B$110*(((Inputs!$G$5:$G$110="moeda")+(Inputs!$G$5:$G$110="acoes"))*Inputs!$B$1+((Inputs!$G$5:$G$110&lt;&gt;"moeda")*(Inputs!$G$5:$G$110&lt;&gt;"acoes")))*INDEX(Inputs!$K$5:$AJ$110,0,MATCH(I$2,Inputs!$K$4:$AJ$4,0)))+SUMPRODUCT((Inputs!$C$5:$C$110=$B10)*Inputs!$D$5:$D$110*(((Inputs!$G$5:$G$110="moeda")+(Inputs!$G$5:$G$110="acoes"))*Inputs!$B$1+((Inputs!$G$5:$G$110&lt;&gt;"moeda")*(Inputs!$G$5:$G$110&lt;&gt;"acoes")))*INDEX(Inputs!$K$5:$AJ$110,0,MATCH(I$2,Inputs!$K$4:$AJ$4,0)))+SUMPRODUCT((Inputs!$E$5:$E$110=$B10)*Inputs!$F$5:$F$110*(((Inputs!$G$5:$G$110="moeda")+(Inputs!$G$5:$G$110="acoes"))*Inputs!$B$1+((Inputs!$G$5:$G$110&lt;&gt;"moeda")*(Inputs!$G$5:$G$110&lt;&gt;"acoes")))*INDEX(Inputs!$K$5:$AJ$110,0,MATCH(I$2,Inputs!$K$4:$AJ$4,0)))))</f>
        <v>-481</v>
      </c>
      <c r="J10" s="267">
        <f>IF(ISNA(MATCH(J$2,Inputs!$K$4:$AJ$4,0)),NA(),IF(SUMPRODUCT((Inputs!$A$5:$A$110=$B10)*ISNUMBER(INDEX(Inputs!$K$5:$AJ$110,0,MATCH(J$2,Inputs!$K$4:$AJ$4,0))))+SUMPRODUCT((Inputs!$C$5:$C$110=$B10)*ISNUMBER(INDEX(Inputs!$K$5:$AJ$110,0,MATCH(J$2,Inputs!$K$4:$AJ$4,0))))+SUMPRODUCT((Inputs!$E$5:$E$110=$B10)*ISNUMBER(INDEX(Inputs!$K$5:$AJ$110,0,MATCH(J$2,Inputs!$K$4:$AJ$4,0))))=0,NA(),SUMPRODUCT((Inputs!$A$5:$A$110=$B10)*Inputs!$B$5:$B$110*(((Inputs!$G$5:$G$110="moeda")+(Inputs!$G$5:$G$110="acoes"))*Inputs!$B$1+((Inputs!$G$5:$G$110&lt;&gt;"moeda")*(Inputs!$G$5:$G$110&lt;&gt;"acoes")))*INDEX(Inputs!$K$5:$AJ$110,0,MATCH(J$2,Inputs!$K$4:$AJ$4,0)))+SUMPRODUCT((Inputs!$C$5:$C$110=$B10)*Inputs!$D$5:$D$110*(((Inputs!$G$5:$G$110="moeda")+(Inputs!$G$5:$G$110="acoes"))*Inputs!$B$1+((Inputs!$G$5:$G$110&lt;&gt;"moeda")*(Inputs!$G$5:$G$110&lt;&gt;"acoes")))*INDEX(Inputs!$K$5:$AJ$110,0,MATCH(J$2,Inputs!$K$4:$AJ$4,0)))+SUMPRODUCT((Inputs!$E$5:$E$110=$B10)*Inputs!$F$5:$F$110*(((Inputs!$G$5:$G$110="moeda")+(Inputs!$G$5:$G$110="acoes"))*Inputs!$B$1+((Inputs!$G$5:$G$110&lt;&gt;"moeda")*(Inputs!$G$5:$G$110&lt;&gt;"acoes")))*INDEX(Inputs!$K$5:$AJ$110,0,MATCH(J$2,Inputs!$K$4:$AJ$4,0)))))</f>
        <v>-455</v>
      </c>
      <c r="K10" s="267">
        <f>IF(ISNA(MATCH(K$2,Inputs!$K$4:$AJ$4,0)),NA(),IF(SUMPRODUCT((Inputs!$A$5:$A$110=$B10)*ISNUMBER(INDEX(Inputs!$K$5:$AJ$110,0,MATCH(K$2,Inputs!$K$4:$AJ$4,0))))+SUMPRODUCT((Inputs!$C$5:$C$110=$B10)*ISNUMBER(INDEX(Inputs!$K$5:$AJ$110,0,MATCH(K$2,Inputs!$K$4:$AJ$4,0))))+SUMPRODUCT((Inputs!$E$5:$E$110=$B10)*ISNUMBER(INDEX(Inputs!$K$5:$AJ$110,0,MATCH(K$2,Inputs!$K$4:$AJ$4,0))))=0,NA(),SUMPRODUCT((Inputs!$A$5:$A$110=$B10)*Inputs!$B$5:$B$110*(((Inputs!$G$5:$G$110="moeda")+(Inputs!$G$5:$G$110="acoes"))*Inputs!$B$1+((Inputs!$G$5:$G$110&lt;&gt;"moeda")*(Inputs!$G$5:$G$110&lt;&gt;"acoes")))*INDEX(Inputs!$K$5:$AJ$110,0,MATCH(K$2,Inputs!$K$4:$AJ$4,0)))+SUMPRODUCT((Inputs!$C$5:$C$110=$B10)*Inputs!$D$5:$D$110*(((Inputs!$G$5:$G$110="moeda")+(Inputs!$G$5:$G$110="acoes"))*Inputs!$B$1+((Inputs!$G$5:$G$110&lt;&gt;"moeda")*(Inputs!$G$5:$G$110&lt;&gt;"acoes")))*INDEX(Inputs!$K$5:$AJ$110,0,MATCH(K$2,Inputs!$K$4:$AJ$4,0)))+SUMPRODUCT((Inputs!$E$5:$E$110=$B10)*Inputs!$F$5:$F$110*(((Inputs!$G$5:$G$110="moeda")+(Inputs!$G$5:$G$110="acoes"))*Inputs!$B$1+((Inputs!$G$5:$G$110&lt;&gt;"moeda")*(Inputs!$G$5:$G$110&lt;&gt;"acoes")))*INDEX(Inputs!$K$5:$AJ$110,0,MATCH(K$2,Inputs!$K$4:$AJ$4,0)))))</f>
        <v>-638</v>
      </c>
      <c r="L10" s="267">
        <f>IF(ISNA(MATCH(L$2,Inputs!$K$4:$AJ$4,0)),NA(),IF(SUMPRODUCT((Inputs!$A$5:$A$110=$B10)*ISNUMBER(INDEX(Inputs!$K$5:$AJ$110,0,MATCH(L$2,Inputs!$K$4:$AJ$4,0))))+SUMPRODUCT((Inputs!$C$5:$C$110=$B10)*ISNUMBER(INDEX(Inputs!$K$5:$AJ$110,0,MATCH(L$2,Inputs!$K$4:$AJ$4,0))))+SUMPRODUCT((Inputs!$E$5:$E$110=$B10)*ISNUMBER(INDEX(Inputs!$K$5:$AJ$110,0,MATCH(L$2,Inputs!$K$4:$AJ$4,0))))=0,NA(),SUMPRODUCT((Inputs!$A$5:$A$110=$B10)*Inputs!$B$5:$B$110*(((Inputs!$G$5:$G$110="moeda")+(Inputs!$G$5:$G$110="acoes"))*Inputs!$B$1+((Inputs!$G$5:$G$110&lt;&gt;"moeda")*(Inputs!$G$5:$G$110&lt;&gt;"acoes")))*INDEX(Inputs!$K$5:$AJ$110,0,MATCH(L$2,Inputs!$K$4:$AJ$4,0)))+SUMPRODUCT((Inputs!$C$5:$C$110=$B10)*Inputs!$D$5:$D$110*(((Inputs!$G$5:$G$110="moeda")+(Inputs!$G$5:$G$110="acoes"))*Inputs!$B$1+((Inputs!$G$5:$G$110&lt;&gt;"moeda")*(Inputs!$G$5:$G$110&lt;&gt;"acoes")))*INDEX(Inputs!$K$5:$AJ$110,0,MATCH(L$2,Inputs!$K$4:$AJ$4,0)))+SUMPRODUCT((Inputs!$E$5:$E$110=$B10)*Inputs!$F$5:$F$110*(((Inputs!$G$5:$G$110="moeda")+(Inputs!$G$5:$G$110="acoes"))*Inputs!$B$1+((Inputs!$G$5:$G$110&lt;&gt;"moeda")*(Inputs!$G$5:$G$110&lt;&gt;"acoes")))*INDEX(Inputs!$K$5:$AJ$110,0,MATCH(L$2,Inputs!$K$4:$AJ$4,0)))))</f>
        <v>-406</v>
      </c>
      <c r="M10" s="268">
        <f>SUM(I10:L10)</f>
        <v>-1980</v>
      </c>
      <c r="N10" s="267">
        <f>IF(ISNA(MATCH(N$2,Inputs!$K$4:$AJ$4,0)),NA(),IF(SUMPRODUCT((Inputs!$A$5:$A$110=$B10)*ISNUMBER(INDEX(Inputs!$K$5:$AJ$110,0,MATCH(N$2,Inputs!$K$4:$AJ$4,0))))+SUMPRODUCT((Inputs!$C$5:$C$110=$B10)*ISNUMBER(INDEX(Inputs!$K$5:$AJ$110,0,MATCH(N$2,Inputs!$K$4:$AJ$4,0))))+SUMPRODUCT((Inputs!$E$5:$E$110=$B10)*ISNUMBER(INDEX(Inputs!$K$5:$AJ$110,0,MATCH(N$2,Inputs!$K$4:$AJ$4,0))))=0,NA(),SUMPRODUCT((Inputs!$A$5:$A$110=$B10)*Inputs!$B$5:$B$110*(((Inputs!$G$5:$G$110="moeda")+(Inputs!$G$5:$G$110="acoes"))*Inputs!$B$1+((Inputs!$G$5:$G$110&lt;&gt;"moeda")*(Inputs!$G$5:$G$110&lt;&gt;"acoes")))*INDEX(Inputs!$K$5:$AJ$110,0,MATCH(N$2,Inputs!$K$4:$AJ$4,0)))+SUMPRODUCT((Inputs!$C$5:$C$110=$B10)*Inputs!$D$5:$D$110*(((Inputs!$G$5:$G$110="moeda")+(Inputs!$G$5:$G$110="acoes"))*Inputs!$B$1+((Inputs!$G$5:$G$110&lt;&gt;"moeda")*(Inputs!$G$5:$G$110&lt;&gt;"acoes")))*INDEX(Inputs!$K$5:$AJ$110,0,MATCH(N$2,Inputs!$K$4:$AJ$4,0)))+SUMPRODUCT((Inputs!$E$5:$E$110=$B10)*Inputs!$F$5:$F$110*(((Inputs!$G$5:$G$110="moeda")+(Inputs!$G$5:$G$110="acoes"))*Inputs!$B$1+((Inputs!$G$5:$G$110&lt;&gt;"moeda")*(Inputs!$G$5:$G$110&lt;&gt;"acoes")))*INDEX(Inputs!$K$5:$AJ$110,0,MATCH(N$2,Inputs!$K$4:$AJ$4,0)))))</f>
        <v>-517</v>
      </c>
      <c r="O10" s="267">
        <f>IF(ISNA(MATCH(O$2,Inputs!$K$4:$AJ$4,0)),NA(),IF(SUMPRODUCT((Inputs!$A$5:$A$110=$B10)*ISNUMBER(INDEX(Inputs!$K$5:$AJ$110,0,MATCH(O$2,Inputs!$K$4:$AJ$4,0))))+SUMPRODUCT((Inputs!$C$5:$C$110=$B10)*ISNUMBER(INDEX(Inputs!$K$5:$AJ$110,0,MATCH(O$2,Inputs!$K$4:$AJ$4,0))))+SUMPRODUCT((Inputs!$E$5:$E$110=$B10)*ISNUMBER(INDEX(Inputs!$K$5:$AJ$110,0,MATCH(O$2,Inputs!$K$4:$AJ$4,0))))=0,NA(),SUMPRODUCT((Inputs!$A$5:$A$110=$B10)*Inputs!$B$5:$B$110*(((Inputs!$G$5:$G$110="moeda")+(Inputs!$G$5:$G$110="acoes"))*Inputs!$B$1+((Inputs!$G$5:$G$110&lt;&gt;"moeda")*(Inputs!$G$5:$G$110&lt;&gt;"acoes")))*INDEX(Inputs!$K$5:$AJ$110,0,MATCH(O$2,Inputs!$K$4:$AJ$4,0)))+SUMPRODUCT((Inputs!$C$5:$C$110=$B10)*Inputs!$D$5:$D$110*(((Inputs!$G$5:$G$110="moeda")+(Inputs!$G$5:$G$110="acoes"))*Inputs!$B$1+((Inputs!$G$5:$G$110&lt;&gt;"moeda")*(Inputs!$G$5:$G$110&lt;&gt;"acoes")))*INDEX(Inputs!$K$5:$AJ$110,0,MATCH(O$2,Inputs!$K$4:$AJ$4,0)))+SUMPRODUCT((Inputs!$E$5:$E$110=$B10)*Inputs!$F$5:$F$110*(((Inputs!$G$5:$G$110="moeda")+(Inputs!$G$5:$G$110="acoes"))*Inputs!$B$1+((Inputs!$G$5:$G$110&lt;&gt;"moeda")*(Inputs!$G$5:$G$110&lt;&gt;"acoes")))*INDEX(Inputs!$K$5:$AJ$110,0,MATCH(O$2,Inputs!$K$4:$AJ$4,0)))))</f>
        <v>-469</v>
      </c>
      <c r="P10" s="267">
        <f>IF(ISNA(MATCH(P$2,Inputs!$K$4:$AJ$4,0)),NA(),IF(SUMPRODUCT((Inputs!$A$5:$A$110=$B10)*ISNUMBER(INDEX(Inputs!$K$5:$AJ$110,0,MATCH(P$2,Inputs!$K$4:$AJ$4,0))))+SUMPRODUCT((Inputs!$C$5:$C$110=$B10)*ISNUMBER(INDEX(Inputs!$K$5:$AJ$110,0,MATCH(P$2,Inputs!$K$4:$AJ$4,0))))+SUMPRODUCT((Inputs!$E$5:$E$110=$B10)*ISNUMBER(INDEX(Inputs!$K$5:$AJ$110,0,MATCH(P$2,Inputs!$K$4:$AJ$4,0))))=0,NA(),SUMPRODUCT((Inputs!$A$5:$A$110=$B10)*Inputs!$B$5:$B$110*(((Inputs!$G$5:$G$110="moeda")+(Inputs!$G$5:$G$110="acoes"))*Inputs!$B$1+((Inputs!$G$5:$G$110&lt;&gt;"moeda")*(Inputs!$G$5:$G$110&lt;&gt;"acoes")))*INDEX(Inputs!$K$5:$AJ$110,0,MATCH(P$2,Inputs!$K$4:$AJ$4,0)))+SUMPRODUCT((Inputs!$C$5:$C$110=$B10)*Inputs!$D$5:$D$110*(((Inputs!$G$5:$G$110="moeda")+(Inputs!$G$5:$G$110="acoes"))*Inputs!$B$1+((Inputs!$G$5:$G$110&lt;&gt;"moeda")*(Inputs!$G$5:$G$110&lt;&gt;"acoes")))*INDEX(Inputs!$K$5:$AJ$110,0,MATCH(P$2,Inputs!$K$4:$AJ$4,0)))+SUMPRODUCT((Inputs!$E$5:$E$110=$B10)*Inputs!$F$5:$F$110*(((Inputs!$G$5:$G$110="moeda")+(Inputs!$G$5:$G$110="acoes"))*Inputs!$B$1+((Inputs!$G$5:$G$110&lt;&gt;"moeda")*(Inputs!$G$5:$G$110&lt;&gt;"acoes")))*INDEX(Inputs!$K$5:$AJ$110,0,MATCH(P$2,Inputs!$K$4:$AJ$4,0)))))</f>
        <v>-803</v>
      </c>
      <c r="Q10" s="267">
        <f>IF(ISNA(MATCH(Q$2,Inputs!$K$4:$AJ$4,0)),NA(),IF(SUMPRODUCT((Inputs!$A$5:$A$110=$B10)*ISNUMBER(INDEX(Inputs!$K$5:$AJ$110,0,MATCH(Q$2,Inputs!$K$4:$AJ$4,0))))+SUMPRODUCT((Inputs!$C$5:$C$110=$B10)*ISNUMBER(INDEX(Inputs!$K$5:$AJ$110,0,MATCH(Q$2,Inputs!$K$4:$AJ$4,0))))+SUMPRODUCT((Inputs!$E$5:$E$110=$B10)*ISNUMBER(INDEX(Inputs!$K$5:$AJ$110,0,MATCH(Q$2,Inputs!$K$4:$AJ$4,0))))=0,NA(),SUMPRODUCT((Inputs!$A$5:$A$110=$B10)*Inputs!$B$5:$B$110*(((Inputs!$G$5:$G$110="moeda")+(Inputs!$G$5:$G$110="acoes"))*Inputs!$B$1+((Inputs!$G$5:$G$110&lt;&gt;"moeda")*(Inputs!$G$5:$G$110&lt;&gt;"acoes")))*INDEX(Inputs!$K$5:$AJ$110,0,MATCH(Q$2,Inputs!$K$4:$AJ$4,0)))+SUMPRODUCT((Inputs!$C$5:$C$110=$B10)*Inputs!$D$5:$D$110*(((Inputs!$G$5:$G$110="moeda")+(Inputs!$G$5:$G$110="acoes"))*Inputs!$B$1+((Inputs!$G$5:$G$110&lt;&gt;"moeda")*(Inputs!$G$5:$G$110&lt;&gt;"acoes")))*INDEX(Inputs!$K$5:$AJ$110,0,MATCH(Q$2,Inputs!$K$4:$AJ$4,0)))+SUMPRODUCT((Inputs!$E$5:$E$110=$B10)*Inputs!$F$5:$F$110*(((Inputs!$G$5:$G$110="moeda")+(Inputs!$G$5:$G$110="acoes"))*Inputs!$B$1+((Inputs!$G$5:$G$110&lt;&gt;"moeda")*(Inputs!$G$5:$G$110&lt;&gt;"acoes")))*INDEX(Inputs!$K$5:$AJ$110,0,MATCH(Q$2,Inputs!$K$4:$AJ$4,0)))))</f>
        <v>-517</v>
      </c>
      <c r="R10" s="268">
        <f>SUM(N10:Q10)</f>
        <v>-2306</v>
      </c>
      <c r="S10" s="267">
        <f>IF(ISNA(MATCH(S$2,Inputs!$K$4:$AJ$4,0)),NA(),IF(SUMPRODUCT((Inputs!$A$5:$A$110=$B10)*ISNUMBER(INDEX(Inputs!$K$5:$AJ$110,0,MATCH(S$2,Inputs!$K$4:$AJ$4,0))))+SUMPRODUCT((Inputs!$C$5:$C$110=$B10)*ISNUMBER(INDEX(Inputs!$K$5:$AJ$110,0,MATCH(S$2,Inputs!$K$4:$AJ$4,0))))+SUMPRODUCT((Inputs!$E$5:$E$110=$B10)*ISNUMBER(INDEX(Inputs!$K$5:$AJ$110,0,MATCH(S$2,Inputs!$K$4:$AJ$4,0))))=0,NA(),SUMPRODUCT((Inputs!$A$5:$A$110=$B10)*Inputs!$B$5:$B$110*(((Inputs!$G$5:$G$110="moeda")+(Inputs!$G$5:$G$110="acoes"))*Inputs!$B$1+((Inputs!$G$5:$G$110&lt;&gt;"moeda")*(Inputs!$G$5:$G$110&lt;&gt;"acoes")))*INDEX(Inputs!$K$5:$AJ$110,0,MATCH(S$2,Inputs!$K$4:$AJ$4,0)))+SUMPRODUCT((Inputs!$C$5:$C$110=$B10)*Inputs!$D$5:$D$110*(((Inputs!$G$5:$G$110="moeda")+(Inputs!$G$5:$G$110="acoes"))*Inputs!$B$1+((Inputs!$G$5:$G$110&lt;&gt;"moeda")*(Inputs!$G$5:$G$110&lt;&gt;"acoes")))*INDEX(Inputs!$K$5:$AJ$110,0,MATCH(S$2,Inputs!$K$4:$AJ$4,0)))+SUMPRODUCT((Inputs!$E$5:$E$110=$B10)*Inputs!$F$5:$F$110*(((Inputs!$G$5:$G$110="moeda")+(Inputs!$G$5:$G$110="acoes"))*Inputs!$B$1+((Inputs!$G$5:$G$110&lt;&gt;"moeda")*(Inputs!$G$5:$G$110&lt;&gt;"acoes")))*INDEX(Inputs!$K$5:$AJ$110,0,MATCH(S$2,Inputs!$K$4:$AJ$4,0)))))</f>
        <v>-494</v>
      </c>
      <c r="T10" s="267">
        <f>IF(ISNA(MATCH(T$2,Inputs!$K$4:$AJ$4,0)),NA(),IF(SUMPRODUCT((Inputs!$A$5:$A$110=$B10)*ISNUMBER(INDEX(Inputs!$K$5:$AJ$110,0,MATCH(T$2,Inputs!$K$4:$AJ$4,0))))+SUMPRODUCT((Inputs!$C$5:$C$110=$B10)*ISNUMBER(INDEX(Inputs!$K$5:$AJ$110,0,MATCH(T$2,Inputs!$K$4:$AJ$4,0))))+SUMPRODUCT((Inputs!$E$5:$E$110=$B10)*ISNUMBER(INDEX(Inputs!$K$5:$AJ$110,0,MATCH(T$2,Inputs!$K$4:$AJ$4,0))))=0,NA(),SUMPRODUCT((Inputs!$A$5:$A$110=$B10)*Inputs!$B$5:$B$110*(((Inputs!$G$5:$G$110="moeda")+(Inputs!$G$5:$G$110="acoes"))*Inputs!$B$1+((Inputs!$G$5:$G$110&lt;&gt;"moeda")*(Inputs!$G$5:$G$110&lt;&gt;"acoes")))*INDEX(Inputs!$K$5:$AJ$110,0,MATCH(T$2,Inputs!$K$4:$AJ$4,0)))+SUMPRODUCT((Inputs!$C$5:$C$110=$B10)*Inputs!$D$5:$D$110*(((Inputs!$G$5:$G$110="moeda")+(Inputs!$G$5:$G$110="acoes"))*Inputs!$B$1+((Inputs!$G$5:$G$110&lt;&gt;"moeda")*(Inputs!$G$5:$G$110&lt;&gt;"acoes")))*INDEX(Inputs!$K$5:$AJ$110,0,MATCH(T$2,Inputs!$K$4:$AJ$4,0)))+SUMPRODUCT((Inputs!$E$5:$E$110=$B10)*Inputs!$F$5:$F$110*(((Inputs!$G$5:$G$110="moeda")+(Inputs!$G$5:$G$110="acoes"))*Inputs!$B$1+((Inputs!$G$5:$G$110&lt;&gt;"moeda")*(Inputs!$G$5:$G$110&lt;&gt;"acoes")))*INDEX(Inputs!$K$5:$AJ$110,0,MATCH(T$2,Inputs!$K$4:$AJ$4,0)))))</f>
        <v>-603</v>
      </c>
      <c r="U10" s="267">
        <f>IF(ISNA(MATCH(U$2,Inputs!$K$4:$AJ$4,0)),NA(),IF(SUMPRODUCT((Inputs!$A$5:$A$110=$B10)*ISNUMBER(INDEX(Inputs!$K$5:$AJ$110,0,MATCH(U$2,Inputs!$K$4:$AJ$4,0))))+SUMPRODUCT((Inputs!$C$5:$C$110=$B10)*ISNUMBER(INDEX(Inputs!$K$5:$AJ$110,0,MATCH(U$2,Inputs!$K$4:$AJ$4,0))))+SUMPRODUCT((Inputs!$E$5:$E$110=$B10)*ISNUMBER(INDEX(Inputs!$K$5:$AJ$110,0,MATCH(U$2,Inputs!$K$4:$AJ$4,0))))=0,NA(),SUMPRODUCT((Inputs!$A$5:$A$110=$B10)*Inputs!$B$5:$B$110*(((Inputs!$G$5:$G$110="moeda")+(Inputs!$G$5:$G$110="acoes"))*Inputs!$B$1+((Inputs!$G$5:$G$110&lt;&gt;"moeda")*(Inputs!$G$5:$G$110&lt;&gt;"acoes")))*INDEX(Inputs!$K$5:$AJ$110,0,MATCH(U$2,Inputs!$K$4:$AJ$4,0)))+SUMPRODUCT((Inputs!$C$5:$C$110=$B10)*Inputs!$D$5:$D$110*(((Inputs!$G$5:$G$110="moeda")+(Inputs!$G$5:$G$110="acoes"))*Inputs!$B$1+((Inputs!$G$5:$G$110&lt;&gt;"moeda")*(Inputs!$G$5:$G$110&lt;&gt;"acoes")))*INDEX(Inputs!$K$5:$AJ$110,0,MATCH(U$2,Inputs!$K$4:$AJ$4,0)))+SUMPRODUCT((Inputs!$E$5:$E$110=$B10)*Inputs!$F$5:$F$110*(((Inputs!$G$5:$G$110="moeda")+(Inputs!$G$5:$G$110="acoes"))*Inputs!$B$1+((Inputs!$G$5:$G$110&lt;&gt;"moeda")*(Inputs!$G$5:$G$110&lt;&gt;"acoes")))*INDEX(Inputs!$K$5:$AJ$110,0,MATCH(U$2,Inputs!$K$4:$AJ$4,0)))))</f>
        <v>-759</v>
      </c>
      <c r="V10" s="267">
        <f>IF(ISNA(MATCH(V$2,Inputs!$K$4:$AJ$4,0)),NA(),IF(SUMPRODUCT((Inputs!$A$5:$A$110=$B10)*ISNUMBER(INDEX(Inputs!$K$5:$AJ$110,0,MATCH(V$2,Inputs!$K$4:$AJ$4,0))))+SUMPRODUCT((Inputs!$C$5:$C$110=$B10)*ISNUMBER(INDEX(Inputs!$K$5:$AJ$110,0,MATCH(V$2,Inputs!$K$4:$AJ$4,0))))+SUMPRODUCT((Inputs!$E$5:$E$110=$B10)*ISNUMBER(INDEX(Inputs!$K$5:$AJ$110,0,MATCH(V$2,Inputs!$K$4:$AJ$4,0))))=0,NA(),SUMPRODUCT((Inputs!$A$5:$A$110=$B10)*Inputs!$B$5:$B$110*(((Inputs!$G$5:$G$110="moeda")+(Inputs!$G$5:$G$110="acoes"))*Inputs!$B$1+((Inputs!$G$5:$G$110&lt;&gt;"moeda")*(Inputs!$G$5:$G$110&lt;&gt;"acoes")))*INDEX(Inputs!$K$5:$AJ$110,0,MATCH(V$2,Inputs!$K$4:$AJ$4,0)))+SUMPRODUCT((Inputs!$C$5:$C$110=$B10)*Inputs!$D$5:$D$110*(((Inputs!$G$5:$G$110="moeda")+(Inputs!$G$5:$G$110="acoes"))*Inputs!$B$1+((Inputs!$G$5:$G$110&lt;&gt;"moeda")*(Inputs!$G$5:$G$110&lt;&gt;"acoes")))*INDEX(Inputs!$K$5:$AJ$110,0,MATCH(V$2,Inputs!$K$4:$AJ$4,0)))+SUMPRODUCT((Inputs!$E$5:$E$110=$B10)*Inputs!$F$5:$F$110*(((Inputs!$G$5:$G$110="moeda")+(Inputs!$G$5:$G$110="acoes"))*Inputs!$B$1+((Inputs!$G$5:$G$110&lt;&gt;"moeda")*(Inputs!$G$5:$G$110&lt;&gt;"acoes")))*INDEX(Inputs!$K$5:$AJ$110,0,MATCH(V$2,Inputs!$K$4:$AJ$4,0)))))</f>
        <v>-508</v>
      </c>
      <c r="W10" s="268">
        <f>SUM(S10:V10)</f>
        <v>-2364</v>
      </c>
      <c r="X10" s="267">
        <f>IF(ISNA(MATCH(X$2,Inputs!$K$4:$AJ$4,0)),NA(),IF(SUMPRODUCT((Inputs!$A$5:$A$110=$B10)*ISNUMBER(INDEX(Inputs!$K$5:$AJ$110,0,MATCH(X$2,Inputs!$K$4:$AJ$4,0))))+SUMPRODUCT((Inputs!$C$5:$C$110=$B10)*ISNUMBER(INDEX(Inputs!$K$5:$AJ$110,0,MATCH(X$2,Inputs!$K$4:$AJ$4,0))))+SUMPRODUCT((Inputs!$E$5:$E$110=$B10)*ISNUMBER(INDEX(Inputs!$K$5:$AJ$110,0,MATCH(X$2,Inputs!$K$4:$AJ$4,0))))=0,NA(),SUMPRODUCT((Inputs!$A$5:$A$110=$B10)*Inputs!$B$5:$B$110*(((Inputs!$G$5:$G$110="moeda")+(Inputs!$G$5:$G$110="acoes"))*Inputs!$B$1+((Inputs!$G$5:$G$110&lt;&gt;"moeda")*(Inputs!$G$5:$G$110&lt;&gt;"acoes")))*INDEX(Inputs!$K$5:$AJ$110,0,MATCH(X$2,Inputs!$K$4:$AJ$4,0)))+SUMPRODUCT((Inputs!$C$5:$C$110=$B10)*Inputs!$D$5:$D$110*(((Inputs!$G$5:$G$110="moeda")+(Inputs!$G$5:$G$110="acoes"))*Inputs!$B$1+((Inputs!$G$5:$G$110&lt;&gt;"moeda")*(Inputs!$G$5:$G$110&lt;&gt;"acoes")))*INDEX(Inputs!$K$5:$AJ$110,0,MATCH(X$2,Inputs!$K$4:$AJ$4,0)))+SUMPRODUCT((Inputs!$E$5:$E$110=$B10)*Inputs!$F$5:$F$110*(((Inputs!$G$5:$G$110="moeda")+(Inputs!$G$5:$G$110="acoes"))*Inputs!$B$1+((Inputs!$G$5:$G$110&lt;&gt;"moeda")*(Inputs!$G$5:$G$110&lt;&gt;"acoes")))*INDEX(Inputs!$K$5:$AJ$110,0,MATCH(X$2,Inputs!$K$4:$AJ$4,0)))))</f>
        <v>-634</v>
      </c>
      <c r="Y10" s="267">
        <f>IF(ISNA(MATCH(Y$2,Inputs!$K$4:$AJ$4,0)),NA(),IF(SUMPRODUCT((Inputs!$A$5:$A$110=$B10)*ISNUMBER(INDEX(Inputs!$K$5:$AJ$110,0,MATCH(Y$2,Inputs!$K$4:$AJ$4,0))))+SUMPRODUCT((Inputs!$C$5:$C$110=$B10)*ISNUMBER(INDEX(Inputs!$K$5:$AJ$110,0,MATCH(Y$2,Inputs!$K$4:$AJ$4,0))))+SUMPRODUCT((Inputs!$E$5:$E$110=$B10)*ISNUMBER(INDEX(Inputs!$K$5:$AJ$110,0,MATCH(Y$2,Inputs!$K$4:$AJ$4,0))))=0,NA(),SUMPRODUCT((Inputs!$A$5:$A$110=$B10)*Inputs!$B$5:$B$110*(((Inputs!$G$5:$G$110="moeda")+(Inputs!$G$5:$G$110="acoes"))*Inputs!$B$1+((Inputs!$G$5:$G$110&lt;&gt;"moeda")*(Inputs!$G$5:$G$110&lt;&gt;"acoes")))*INDEX(Inputs!$K$5:$AJ$110,0,MATCH(Y$2,Inputs!$K$4:$AJ$4,0)))+SUMPRODUCT((Inputs!$C$5:$C$110=$B10)*Inputs!$D$5:$D$110*(((Inputs!$G$5:$G$110="moeda")+(Inputs!$G$5:$G$110="acoes"))*Inputs!$B$1+((Inputs!$G$5:$G$110&lt;&gt;"moeda")*(Inputs!$G$5:$G$110&lt;&gt;"acoes")))*INDEX(Inputs!$K$5:$AJ$110,0,MATCH(Y$2,Inputs!$K$4:$AJ$4,0)))+SUMPRODUCT((Inputs!$E$5:$E$110=$B10)*Inputs!$F$5:$F$110*(((Inputs!$G$5:$G$110="moeda")+(Inputs!$G$5:$G$110="acoes"))*Inputs!$B$1+((Inputs!$G$5:$G$110&lt;&gt;"moeda")*(Inputs!$G$5:$G$110&lt;&gt;"acoes")))*INDEX(Inputs!$K$5:$AJ$110,0,MATCH(Y$2,Inputs!$K$4:$AJ$4,0)))))</f>
        <v>-677</v>
      </c>
      <c r="Z10" s="267">
        <f>IF(ISNA(MATCH(Z$2,Inputs!$K$4:$AJ$4,0)),NA(),IF(SUMPRODUCT((Inputs!$A$5:$A$110=$B10)*ISNUMBER(INDEX(Inputs!$K$5:$AJ$110,0,MATCH(Z$2,Inputs!$K$4:$AJ$4,0))))+SUMPRODUCT((Inputs!$C$5:$C$110=$B10)*ISNUMBER(INDEX(Inputs!$K$5:$AJ$110,0,MATCH(Z$2,Inputs!$K$4:$AJ$4,0))))+SUMPRODUCT((Inputs!$E$5:$E$110=$B10)*ISNUMBER(INDEX(Inputs!$K$5:$AJ$110,0,MATCH(Z$2,Inputs!$K$4:$AJ$4,0))))=0,NA(),SUMPRODUCT((Inputs!$A$5:$A$110=$B10)*Inputs!$B$5:$B$110*(((Inputs!$G$5:$G$110="moeda")+(Inputs!$G$5:$G$110="acoes"))*Inputs!$B$1+((Inputs!$G$5:$G$110&lt;&gt;"moeda")*(Inputs!$G$5:$G$110&lt;&gt;"acoes")))*INDEX(Inputs!$K$5:$AJ$110,0,MATCH(Z$2,Inputs!$K$4:$AJ$4,0)))+SUMPRODUCT((Inputs!$C$5:$C$110=$B10)*Inputs!$D$5:$D$110*(((Inputs!$G$5:$G$110="moeda")+(Inputs!$G$5:$G$110="acoes"))*Inputs!$B$1+((Inputs!$G$5:$G$110&lt;&gt;"moeda")*(Inputs!$G$5:$G$110&lt;&gt;"acoes")))*INDEX(Inputs!$K$5:$AJ$110,0,MATCH(Z$2,Inputs!$K$4:$AJ$4,0)))+SUMPRODUCT((Inputs!$E$5:$E$110=$B10)*Inputs!$F$5:$F$110*(((Inputs!$G$5:$G$110="moeda")+(Inputs!$G$5:$G$110="acoes"))*Inputs!$B$1+((Inputs!$G$5:$G$110&lt;&gt;"moeda")*(Inputs!$G$5:$G$110&lt;&gt;"acoes")))*INDEX(Inputs!$K$5:$AJ$110,0,MATCH(Z$2,Inputs!$K$4:$AJ$4,0)))))</f>
        <v>-900</v>
      </c>
      <c r="AA10" s="267">
        <f>IF(ISNA(MATCH(AA$2,Inputs!$K$4:$AJ$4,0)),NA(),IF(SUMPRODUCT((Inputs!$A$5:$A$110=$B10)*ISNUMBER(INDEX(Inputs!$K$5:$AJ$110,0,MATCH(AA$2,Inputs!$K$4:$AJ$4,0))))+SUMPRODUCT((Inputs!$C$5:$C$110=$B10)*ISNUMBER(INDEX(Inputs!$K$5:$AJ$110,0,MATCH(AA$2,Inputs!$K$4:$AJ$4,0))))+SUMPRODUCT((Inputs!$E$5:$E$110=$B10)*ISNUMBER(INDEX(Inputs!$K$5:$AJ$110,0,MATCH(AA$2,Inputs!$K$4:$AJ$4,0))))=0,NA(),SUMPRODUCT((Inputs!$A$5:$A$110=$B10)*Inputs!$B$5:$B$110*(((Inputs!$G$5:$G$110="moeda")+(Inputs!$G$5:$G$110="acoes"))*Inputs!$B$1+((Inputs!$G$5:$G$110&lt;&gt;"moeda")*(Inputs!$G$5:$G$110&lt;&gt;"acoes")))*INDEX(Inputs!$K$5:$AJ$110,0,MATCH(AA$2,Inputs!$K$4:$AJ$4,0)))+SUMPRODUCT((Inputs!$C$5:$C$110=$B10)*Inputs!$D$5:$D$110*(((Inputs!$G$5:$G$110="moeda")+(Inputs!$G$5:$G$110="acoes"))*Inputs!$B$1+((Inputs!$G$5:$G$110&lt;&gt;"moeda")*(Inputs!$G$5:$G$110&lt;&gt;"acoes")))*INDEX(Inputs!$K$5:$AJ$110,0,MATCH(AA$2,Inputs!$K$4:$AJ$4,0)))+SUMPRODUCT((Inputs!$E$5:$E$110=$B10)*Inputs!$F$5:$F$110*(((Inputs!$G$5:$G$110="moeda")+(Inputs!$G$5:$G$110="acoes"))*Inputs!$B$1+((Inputs!$G$5:$G$110&lt;&gt;"moeda")*(Inputs!$G$5:$G$110&lt;&gt;"acoes")))*INDEX(Inputs!$K$5:$AJ$110,0,MATCH(AA$2,Inputs!$K$4:$AJ$4,0)))))</f>
        <v>-582</v>
      </c>
      <c r="AB10" s="268">
        <f>SUM(X10:AA10)</f>
        <v>-2793</v>
      </c>
      <c r="AC10" s="267">
        <f>IF(ISNA(MATCH(AC$2,Inputs!$K$4:$AJ$4,0)),NA(),IF(SUMPRODUCT((Inputs!$A$5:$A$110=$B10)*ISNUMBER(INDEX(Inputs!$K$5:$AJ$110,0,MATCH(AC$2,Inputs!$K$4:$AJ$4,0))))+SUMPRODUCT((Inputs!$C$5:$C$110=$B10)*ISNUMBER(INDEX(Inputs!$K$5:$AJ$110,0,MATCH(AC$2,Inputs!$K$4:$AJ$4,0))))+SUMPRODUCT((Inputs!$E$5:$E$110=$B10)*ISNUMBER(INDEX(Inputs!$K$5:$AJ$110,0,MATCH(AC$2,Inputs!$K$4:$AJ$4,0))))=0,NA(),SUMPRODUCT((Inputs!$A$5:$A$110=$B10)*Inputs!$B$5:$B$110*(((Inputs!$G$5:$G$110="moeda")+(Inputs!$G$5:$G$110="acoes"))*Inputs!$B$1+((Inputs!$G$5:$G$110&lt;&gt;"moeda")*(Inputs!$G$5:$G$110&lt;&gt;"acoes")))*INDEX(Inputs!$K$5:$AJ$110,0,MATCH(AC$2,Inputs!$K$4:$AJ$4,0)))+SUMPRODUCT((Inputs!$C$5:$C$110=$B10)*Inputs!$D$5:$D$110*(((Inputs!$G$5:$G$110="moeda")+(Inputs!$G$5:$G$110="acoes"))*Inputs!$B$1+((Inputs!$G$5:$G$110&lt;&gt;"moeda")*(Inputs!$G$5:$G$110&lt;&gt;"acoes")))*INDEX(Inputs!$K$5:$AJ$110,0,MATCH(AC$2,Inputs!$K$4:$AJ$4,0)))+SUMPRODUCT((Inputs!$E$5:$E$110=$B10)*Inputs!$F$5:$F$110*(((Inputs!$G$5:$G$110="moeda")+(Inputs!$G$5:$G$110="acoes"))*Inputs!$B$1+((Inputs!$G$5:$G$110&lt;&gt;"moeda")*(Inputs!$G$5:$G$110&lt;&gt;"acoes")))*INDEX(Inputs!$K$5:$AJ$110,0,MATCH(AC$2,Inputs!$K$4:$AJ$4,0)))))</f>
        <v>-686</v>
      </c>
      <c r="AD10" s="267">
        <f>IF(ISNA(MATCH(AD$2,Inputs!$K$4:$AJ$4,0)),NA(),IF(SUMPRODUCT((Inputs!$A$5:$A$110=$B10)*ISNUMBER(INDEX(Inputs!$K$5:$AJ$110,0,MATCH(AD$2,Inputs!$K$4:$AJ$4,0))))+SUMPRODUCT((Inputs!$C$5:$C$110=$B10)*ISNUMBER(INDEX(Inputs!$K$5:$AJ$110,0,MATCH(AD$2,Inputs!$K$4:$AJ$4,0))))+SUMPRODUCT((Inputs!$E$5:$E$110=$B10)*ISNUMBER(INDEX(Inputs!$K$5:$AJ$110,0,MATCH(AD$2,Inputs!$K$4:$AJ$4,0))))=0,NA(),SUMPRODUCT((Inputs!$A$5:$A$110=$B10)*Inputs!$B$5:$B$110*(((Inputs!$G$5:$G$110="moeda")+(Inputs!$G$5:$G$110="acoes"))*Inputs!$B$1+((Inputs!$G$5:$G$110&lt;&gt;"moeda")*(Inputs!$G$5:$G$110&lt;&gt;"acoes")))*INDEX(Inputs!$K$5:$AJ$110,0,MATCH(AD$2,Inputs!$K$4:$AJ$4,0)))+SUMPRODUCT((Inputs!$C$5:$C$110=$B10)*Inputs!$D$5:$D$110*(((Inputs!$G$5:$G$110="moeda")+(Inputs!$G$5:$G$110="acoes"))*Inputs!$B$1+((Inputs!$G$5:$G$110&lt;&gt;"moeda")*(Inputs!$G$5:$G$110&lt;&gt;"acoes")))*INDEX(Inputs!$K$5:$AJ$110,0,MATCH(AD$2,Inputs!$K$4:$AJ$4,0)))+SUMPRODUCT((Inputs!$E$5:$E$110=$B10)*Inputs!$F$5:$F$110*(((Inputs!$G$5:$G$110="moeda")+(Inputs!$G$5:$G$110="acoes"))*Inputs!$B$1+((Inputs!$G$5:$G$110&lt;&gt;"moeda")*(Inputs!$G$5:$G$110&lt;&gt;"acoes")))*INDEX(Inputs!$K$5:$AJ$110,0,MATCH(AD$2,Inputs!$K$4:$AJ$4,0)))))</f>
        <v>-746</v>
      </c>
      <c r="AE10" s="267" t="e">
        <f>IF(ISNA(MATCH(AE$2,Inputs!$K$4:$AJ$4,0)),NA(),IF(SUMPRODUCT((Inputs!$A$5:$A$110=$B10)*ISNUMBER(INDEX(Inputs!$K$5:$AJ$110,0,MATCH(AE$2,Inputs!$K$4:$AJ$4,0))))+SUMPRODUCT((Inputs!$C$5:$C$110=$B10)*ISNUMBER(INDEX(Inputs!$K$5:$AJ$110,0,MATCH(AE$2,Inputs!$K$4:$AJ$4,0))))+SUMPRODUCT((Inputs!$E$5:$E$110=$B10)*ISNUMBER(INDEX(Inputs!$K$5:$AJ$110,0,MATCH(AE$2,Inputs!$K$4:$AJ$4,0))))=0,NA(),SUMPRODUCT((Inputs!$A$5:$A$110=$B10)*Inputs!$B$5:$B$110*(((Inputs!$G$5:$G$110="moeda")+(Inputs!$G$5:$G$110="acoes"))*Inputs!$B$1+((Inputs!$G$5:$G$110&lt;&gt;"moeda")*(Inputs!$G$5:$G$110&lt;&gt;"acoes")))*INDEX(Inputs!$K$5:$AJ$110,0,MATCH(AE$2,Inputs!$K$4:$AJ$4,0)))+SUMPRODUCT((Inputs!$C$5:$C$110=$B10)*Inputs!$D$5:$D$110*(((Inputs!$G$5:$G$110="moeda")+(Inputs!$G$5:$G$110="acoes"))*Inputs!$B$1+((Inputs!$G$5:$G$110&lt;&gt;"moeda")*(Inputs!$G$5:$G$110&lt;&gt;"acoes")))*INDEX(Inputs!$K$5:$AJ$110,0,MATCH(AE$2,Inputs!$K$4:$AJ$4,0)))+SUMPRODUCT((Inputs!$E$5:$E$110=$B10)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0" s="267" t="e">
        <f>IF(ISNA(MATCH(AF$2,Inputs!$K$4:$AJ$4,0)),NA(),IF(SUMPRODUCT((Inputs!$A$5:$A$110=$B10)*ISNUMBER(INDEX(Inputs!$K$5:$AJ$110,0,MATCH(AF$2,Inputs!$K$4:$AJ$4,0))))+SUMPRODUCT((Inputs!$C$5:$C$110=$B10)*ISNUMBER(INDEX(Inputs!$K$5:$AJ$110,0,MATCH(AF$2,Inputs!$K$4:$AJ$4,0))))+SUMPRODUCT((Inputs!$E$5:$E$110=$B10)*ISNUMBER(INDEX(Inputs!$K$5:$AJ$110,0,MATCH(AF$2,Inputs!$K$4:$AJ$4,0))))=0,NA(),SUMPRODUCT((Inputs!$A$5:$A$110=$B10)*Inputs!$B$5:$B$110*(((Inputs!$G$5:$G$110="moeda")+(Inputs!$G$5:$G$110="acoes"))*Inputs!$B$1+((Inputs!$G$5:$G$110&lt;&gt;"moeda")*(Inputs!$G$5:$G$110&lt;&gt;"acoes")))*INDEX(Inputs!$K$5:$AJ$110,0,MATCH(AF$2,Inputs!$K$4:$AJ$4,0)))+SUMPRODUCT((Inputs!$C$5:$C$110=$B10)*Inputs!$D$5:$D$110*(((Inputs!$G$5:$G$110="moeda")+(Inputs!$G$5:$G$110="acoes"))*Inputs!$B$1+((Inputs!$G$5:$G$110&lt;&gt;"moeda")*(Inputs!$G$5:$G$110&lt;&gt;"acoes")))*INDEX(Inputs!$K$5:$AJ$110,0,MATCH(AF$2,Inputs!$K$4:$AJ$4,0)))+SUMPRODUCT((Inputs!$E$5:$E$110=$B10)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0" s="268" t="e">
        <f>SUM(AC10:AF10)</f>
        <v>#N/A</v>
      </c>
      <c r="AH10" s="267">
        <f>IF(ISNA(MATCH(AH$2,Inputs!$K$4:$AJ$4,0)),NA(),IF(SUMPRODUCT((Inputs!$A$5:$A$110=$B10)*ISNUMBER(INDEX(Inputs!$K$5:$AJ$110,0,MATCH(AH$2,Inputs!$K$4:$AJ$4,0))))+SUMPRODUCT((Inputs!$C$5:$C$110=$B10)*ISNUMBER(INDEX(Inputs!$K$5:$AJ$110,0,MATCH(AH$2,Inputs!$K$4:$AJ$4,0))))+SUMPRODUCT((Inputs!$E$5:$E$110=$B10)*ISNUMBER(INDEX(Inputs!$K$5:$AJ$110,0,MATCH(AH$2,Inputs!$K$4:$AJ$4,0))))=0,NA(),SUMPRODUCT((Inputs!$A$5:$A$110=$B10)*Inputs!$B$5:$B$110*(((Inputs!$G$5:$G$110="moeda")+(Inputs!$G$5:$G$110="acoes"))*Inputs!$B$1+((Inputs!$G$5:$G$110&lt;&gt;"moeda")*(Inputs!$G$5:$G$110&lt;&gt;"acoes")))*INDEX(Inputs!$K$5:$AJ$110,0,MATCH(AH$2,Inputs!$K$4:$AJ$4,0)))+SUMPRODUCT((Inputs!$C$5:$C$110=$B10)*Inputs!$D$5:$D$110*(((Inputs!$G$5:$G$110="moeda")+(Inputs!$G$5:$G$110="acoes"))*Inputs!$B$1+((Inputs!$G$5:$G$110&lt;&gt;"moeda")*(Inputs!$G$5:$G$110&lt;&gt;"acoes")))*INDEX(Inputs!$K$5:$AJ$110,0,MATCH(AH$2,Inputs!$K$4:$AJ$4,0)))+SUMPRODUCT((Inputs!$E$5:$E$110=$B10)*Inputs!$F$5:$F$110*(((Inputs!$G$5:$G$110="moeda")+(Inputs!$G$5:$G$110="acoes"))*Inputs!$B$1+((Inputs!$G$5:$G$110&lt;&gt;"moeda")*(Inputs!$G$5:$G$110&lt;&gt;"acoes")))*INDEX(Inputs!$K$5:$AJ$110,0,MATCH(AH$2,Inputs!$K$4:$AJ$4,0)))))</f>
        <v>-330</v>
      </c>
      <c r="AI10" s="267">
        <f>IF(ISNA(MATCH(AI$2,Inputs!$K$4:$AJ$4,0)),NA(),IF(SUMPRODUCT((Inputs!$A$5:$A$110=$B10)*ISNUMBER(INDEX(Inputs!$K$5:$AJ$110,0,MATCH(AI$2,Inputs!$K$4:$AJ$4,0))))+SUMPRODUCT((Inputs!$C$5:$C$110=$B10)*ISNUMBER(INDEX(Inputs!$K$5:$AJ$110,0,MATCH(AI$2,Inputs!$K$4:$AJ$4,0))))+SUMPRODUCT((Inputs!$E$5:$E$110=$B10)*ISNUMBER(INDEX(Inputs!$K$5:$AJ$110,0,MATCH(AI$2,Inputs!$K$4:$AJ$4,0))))=0,NA(),SUMPRODUCT((Inputs!$A$5:$A$110=$B10)*Inputs!$B$5:$B$110*(((Inputs!$G$5:$G$110="moeda")+(Inputs!$G$5:$G$110="acoes"))*Inputs!$B$1+((Inputs!$G$5:$G$110&lt;&gt;"moeda")*(Inputs!$G$5:$G$110&lt;&gt;"acoes")))*INDEX(Inputs!$K$5:$AJ$110,0,MATCH(AI$2,Inputs!$K$4:$AJ$4,0)))+SUMPRODUCT((Inputs!$C$5:$C$110=$B10)*Inputs!$D$5:$D$110*(((Inputs!$G$5:$G$110="moeda")+(Inputs!$G$5:$G$110="acoes"))*Inputs!$B$1+((Inputs!$G$5:$G$110&lt;&gt;"moeda")*(Inputs!$G$5:$G$110&lt;&gt;"acoes")))*INDEX(Inputs!$K$5:$AJ$110,0,MATCH(AI$2,Inputs!$K$4:$AJ$4,0)))+SUMPRODUCT((Inputs!$E$5:$E$110=$B10)*Inputs!$F$5:$F$110*(((Inputs!$G$5:$G$110="moeda")+(Inputs!$G$5:$G$110="acoes"))*Inputs!$B$1+((Inputs!$G$5:$G$110&lt;&gt;"moeda")*(Inputs!$G$5:$G$110&lt;&gt;"acoes")))*INDEX(Inputs!$K$5:$AJ$110,0,MATCH(AI$2,Inputs!$K$4:$AJ$4,0)))))</f>
        <v>-311</v>
      </c>
      <c r="AJ10" s="267">
        <f>IF(ISNA(MATCH(AJ$2,Inputs!$K$4:$AJ$4,0)),NA(),IF(SUMPRODUCT((Inputs!$A$5:$A$110=$B10)*ISNUMBER(INDEX(Inputs!$K$5:$AJ$110,0,MATCH(AJ$2,Inputs!$K$4:$AJ$4,0))))+SUMPRODUCT((Inputs!$C$5:$C$110=$B10)*ISNUMBER(INDEX(Inputs!$K$5:$AJ$110,0,MATCH(AJ$2,Inputs!$K$4:$AJ$4,0))))+SUMPRODUCT((Inputs!$E$5:$E$110=$B10)*ISNUMBER(INDEX(Inputs!$K$5:$AJ$110,0,MATCH(AJ$2,Inputs!$K$4:$AJ$4,0))))=0,NA(),SUMPRODUCT((Inputs!$A$5:$A$110=$B10)*Inputs!$B$5:$B$110*(((Inputs!$G$5:$G$110="moeda")+(Inputs!$G$5:$G$110="acoes"))*Inputs!$B$1+((Inputs!$G$5:$G$110&lt;&gt;"moeda")*(Inputs!$G$5:$G$110&lt;&gt;"acoes")))*INDEX(Inputs!$K$5:$AJ$110,0,MATCH(AJ$2,Inputs!$K$4:$AJ$4,0)))+SUMPRODUCT((Inputs!$C$5:$C$110=$B10)*Inputs!$D$5:$D$110*(((Inputs!$G$5:$G$110="moeda")+(Inputs!$G$5:$G$110="acoes"))*Inputs!$B$1+((Inputs!$G$5:$G$110&lt;&gt;"moeda")*(Inputs!$G$5:$G$110&lt;&gt;"acoes")))*INDEX(Inputs!$K$5:$AJ$110,0,MATCH(AJ$2,Inputs!$K$4:$AJ$4,0)))+SUMPRODUCT((Inputs!$E$5:$E$110=$B10)*Inputs!$F$5:$F$110*(((Inputs!$G$5:$G$110="moeda")+(Inputs!$G$5:$G$110="acoes"))*Inputs!$B$1+((Inputs!$G$5:$G$110&lt;&gt;"moeda")*(Inputs!$G$5:$G$110&lt;&gt;"acoes")))*INDEX(Inputs!$K$5:$AJ$110,0,MATCH(AJ$2,Inputs!$K$4:$AJ$4,0)))))</f>
        <v>-465</v>
      </c>
      <c r="AK10" s="267">
        <f>IF(ISNA(MATCH(AK$2,Inputs!$K$4:$AJ$4,0)),NA(),IF(SUMPRODUCT((Inputs!$A$5:$A$110=$B10)*ISNUMBER(INDEX(Inputs!$K$5:$AJ$110,0,MATCH(AK$2,Inputs!$K$4:$AJ$4,0))))+SUMPRODUCT((Inputs!$C$5:$C$110=$B10)*ISNUMBER(INDEX(Inputs!$K$5:$AJ$110,0,MATCH(AK$2,Inputs!$K$4:$AJ$4,0))))+SUMPRODUCT((Inputs!$E$5:$E$110=$B10)*ISNUMBER(INDEX(Inputs!$K$5:$AJ$110,0,MATCH(AK$2,Inputs!$K$4:$AJ$4,0))))=0,NA(),SUMPRODUCT((Inputs!$A$5:$A$110=$B10)*Inputs!$B$5:$B$110*(((Inputs!$G$5:$G$110="moeda")+(Inputs!$G$5:$G$110="acoes"))*Inputs!$B$1+((Inputs!$G$5:$G$110&lt;&gt;"moeda")*(Inputs!$G$5:$G$110&lt;&gt;"acoes")))*INDEX(Inputs!$K$5:$AJ$110,0,MATCH(AK$2,Inputs!$K$4:$AJ$4,0)))+SUMPRODUCT((Inputs!$C$5:$C$110=$B10)*Inputs!$D$5:$D$110*(((Inputs!$G$5:$G$110="moeda")+(Inputs!$G$5:$G$110="acoes"))*Inputs!$B$1+((Inputs!$G$5:$G$110&lt;&gt;"moeda")*(Inputs!$G$5:$G$110&lt;&gt;"acoes")))*INDEX(Inputs!$K$5:$AJ$110,0,MATCH(AK$2,Inputs!$K$4:$AJ$4,0)))+SUMPRODUCT((Inputs!$E$5:$E$110=$B10)*Inputs!$F$5:$F$110*(((Inputs!$G$5:$G$110="moeda")+(Inputs!$G$5:$G$110="acoes"))*Inputs!$B$1+((Inputs!$G$5:$G$110&lt;&gt;"moeda")*(Inputs!$G$5:$G$110&lt;&gt;"acoes")))*INDEX(Inputs!$K$5:$AJ$110,0,MATCH(AK$2,Inputs!$K$4:$AJ$4,0)))))</f>
        <v>-239</v>
      </c>
      <c r="AL10" s="268">
        <f>SUM(AH10:AK10)</f>
        <v>-1345</v>
      </c>
    </row>
    <row r="11" ht="12.75" customHeight="1" s="255">
      <c r="B11" s="265" t="n">
        <v>8</v>
      </c>
      <c r="C11" s="270" t="inlineStr">
        <is>
          <t>Equity in Income of Affiliates, after tax (enter as +)</t>
        </is>
      </c>
      <c r="D11" s="267">
        <f>IF(ISNA(MATCH(D$2,Inputs!$K$4:$AJ$4,0)),NA(),IF(SUMPRODUCT((Inputs!$A$5:$A$110=$B11)*ISNUMBER(INDEX(Inputs!$K$5:$AJ$110,0,MATCH(D$2,Inputs!$K$4:$AJ$4,0))))+SUMPRODUCT((Inputs!$C$5:$C$110=$B11)*ISNUMBER(INDEX(Inputs!$K$5:$AJ$110,0,MATCH(D$2,Inputs!$K$4:$AJ$4,0))))+SUMPRODUCT((Inputs!$E$5:$E$110=$B11)*ISNUMBER(INDEX(Inputs!$K$5:$AJ$110,0,MATCH(D$2,Inputs!$K$4:$AJ$4,0))))=0,NA(),SUMPRODUCT((Inputs!$A$5:$A$110=$B11)*Inputs!$B$5:$B$110*(((Inputs!$G$5:$G$110="moeda")+(Inputs!$G$5:$G$110="acoes"))*Inputs!$B$1+((Inputs!$G$5:$G$110&lt;&gt;"moeda")*(Inputs!$G$5:$G$110&lt;&gt;"acoes")))*INDEX(Inputs!$K$5:$AJ$110,0,MATCH(D$2,Inputs!$K$4:$AJ$4,0)))+SUMPRODUCT((Inputs!$C$5:$C$110=$B11)*Inputs!$D$5:$D$110*(((Inputs!$G$5:$G$110="moeda")+(Inputs!$G$5:$G$110="acoes"))*Inputs!$B$1+((Inputs!$G$5:$G$110&lt;&gt;"moeda")*(Inputs!$G$5:$G$110&lt;&gt;"acoes")))*INDEX(Inputs!$K$5:$AJ$110,0,MATCH(D$2,Inputs!$K$4:$AJ$4,0)))+SUMPRODUCT((Inputs!$E$5:$E$110=$B11)*Inputs!$F$5:$F$110*(((Inputs!$G$5:$G$110="moeda")+(Inputs!$G$5:$G$110="acoes"))*Inputs!$B$1+((Inputs!$G$5:$G$110&lt;&gt;"moeda")*(Inputs!$G$5:$G$110&lt;&gt;"acoes")))*INDEX(Inputs!$K$5:$AJ$110,0,MATCH(D$2,Inputs!$K$4:$AJ$4,0)))))</f>
        <v>0</v>
      </c>
      <c r="E11" s="267">
        <f>IF(ISNA(MATCH(E$2,Inputs!$K$4:$AJ$4,0)),NA(),IF(SUMPRODUCT((Inputs!$A$5:$A$110=$B11)*ISNUMBER(INDEX(Inputs!$K$5:$AJ$110,0,MATCH(E$2,Inputs!$K$4:$AJ$4,0))))+SUMPRODUCT((Inputs!$C$5:$C$110=$B11)*ISNUMBER(INDEX(Inputs!$K$5:$AJ$110,0,MATCH(E$2,Inputs!$K$4:$AJ$4,0))))+SUMPRODUCT((Inputs!$E$5:$E$110=$B11)*ISNUMBER(INDEX(Inputs!$K$5:$AJ$110,0,MATCH(E$2,Inputs!$K$4:$AJ$4,0))))=0,NA(),SUMPRODUCT((Inputs!$A$5:$A$110=$B11)*Inputs!$B$5:$B$110*(((Inputs!$G$5:$G$110="moeda")+(Inputs!$G$5:$G$110="acoes"))*Inputs!$B$1+((Inputs!$G$5:$G$110&lt;&gt;"moeda")*(Inputs!$G$5:$G$110&lt;&gt;"acoes")))*INDEX(Inputs!$K$5:$AJ$110,0,MATCH(E$2,Inputs!$K$4:$AJ$4,0)))+SUMPRODUCT((Inputs!$C$5:$C$110=$B11)*Inputs!$D$5:$D$110*(((Inputs!$G$5:$G$110="moeda")+(Inputs!$G$5:$G$110="acoes"))*Inputs!$B$1+((Inputs!$G$5:$G$110&lt;&gt;"moeda")*(Inputs!$G$5:$G$110&lt;&gt;"acoes")))*INDEX(Inputs!$K$5:$AJ$110,0,MATCH(E$2,Inputs!$K$4:$AJ$4,0)))+SUMPRODUCT((Inputs!$E$5:$E$110=$B11)*Inputs!$F$5:$F$110*(((Inputs!$G$5:$G$110="moeda")+(Inputs!$G$5:$G$110="acoes"))*Inputs!$B$1+((Inputs!$G$5:$G$110&lt;&gt;"moeda")*(Inputs!$G$5:$G$110&lt;&gt;"acoes")))*INDEX(Inputs!$K$5:$AJ$110,0,MATCH(E$2,Inputs!$K$4:$AJ$4,0)))))</f>
        <v>0</v>
      </c>
      <c r="F11" s="267">
        <f>IF(ISNA(MATCH(F$2,Inputs!$K$4:$AJ$4,0)),NA(),IF(SUMPRODUCT((Inputs!$A$5:$A$110=$B11)*ISNUMBER(INDEX(Inputs!$K$5:$AJ$110,0,MATCH(F$2,Inputs!$K$4:$AJ$4,0))))+SUMPRODUCT((Inputs!$C$5:$C$110=$B11)*ISNUMBER(INDEX(Inputs!$K$5:$AJ$110,0,MATCH(F$2,Inputs!$K$4:$AJ$4,0))))+SUMPRODUCT((Inputs!$E$5:$E$110=$B11)*ISNUMBER(INDEX(Inputs!$K$5:$AJ$110,0,MATCH(F$2,Inputs!$K$4:$AJ$4,0))))=0,NA(),SUMPRODUCT((Inputs!$A$5:$A$110=$B11)*Inputs!$B$5:$B$110*(((Inputs!$G$5:$G$110="moeda")+(Inputs!$G$5:$G$110="acoes"))*Inputs!$B$1+((Inputs!$G$5:$G$110&lt;&gt;"moeda")*(Inputs!$G$5:$G$110&lt;&gt;"acoes")))*INDEX(Inputs!$K$5:$AJ$110,0,MATCH(F$2,Inputs!$K$4:$AJ$4,0)))+SUMPRODUCT((Inputs!$C$5:$C$110=$B11)*Inputs!$D$5:$D$110*(((Inputs!$G$5:$G$110="moeda")+(Inputs!$G$5:$G$110="acoes"))*Inputs!$B$1+((Inputs!$G$5:$G$110&lt;&gt;"moeda")*(Inputs!$G$5:$G$110&lt;&gt;"acoes")))*INDEX(Inputs!$K$5:$AJ$110,0,MATCH(F$2,Inputs!$K$4:$AJ$4,0)))+SUMPRODUCT((Inputs!$E$5:$E$110=$B11)*Inputs!$F$5:$F$110*(((Inputs!$G$5:$G$110="moeda")+(Inputs!$G$5:$G$110="acoes"))*Inputs!$B$1+((Inputs!$G$5:$G$110&lt;&gt;"moeda")*(Inputs!$G$5:$G$110&lt;&gt;"acoes")))*INDEX(Inputs!$K$5:$AJ$110,0,MATCH(F$2,Inputs!$K$4:$AJ$4,0)))))</f>
        <v>0</v>
      </c>
      <c r="G11" s="267">
        <f>IF(ISNA(MATCH(G$2,Inputs!$K$4:$AJ$4,0)),NA(),IF(SUMPRODUCT((Inputs!$A$5:$A$110=$B11)*ISNUMBER(INDEX(Inputs!$K$5:$AJ$110,0,MATCH(G$2,Inputs!$K$4:$AJ$4,0))))+SUMPRODUCT((Inputs!$C$5:$C$110=$B11)*ISNUMBER(INDEX(Inputs!$K$5:$AJ$110,0,MATCH(G$2,Inputs!$K$4:$AJ$4,0))))+SUMPRODUCT((Inputs!$E$5:$E$110=$B11)*ISNUMBER(INDEX(Inputs!$K$5:$AJ$110,0,MATCH(G$2,Inputs!$K$4:$AJ$4,0))))=0,NA(),SUMPRODUCT((Inputs!$A$5:$A$110=$B11)*Inputs!$B$5:$B$110*(((Inputs!$G$5:$G$110="moeda")+(Inputs!$G$5:$G$110="acoes"))*Inputs!$B$1+((Inputs!$G$5:$G$110&lt;&gt;"moeda")*(Inputs!$G$5:$G$110&lt;&gt;"acoes")))*INDEX(Inputs!$K$5:$AJ$110,0,MATCH(G$2,Inputs!$K$4:$AJ$4,0)))+SUMPRODUCT((Inputs!$C$5:$C$110=$B11)*Inputs!$D$5:$D$110*(((Inputs!$G$5:$G$110="moeda")+(Inputs!$G$5:$G$110="acoes"))*Inputs!$B$1+((Inputs!$G$5:$G$110&lt;&gt;"moeda")*(Inputs!$G$5:$G$110&lt;&gt;"acoes")))*INDEX(Inputs!$K$5:$AJ$110,0,MATCH(G$2,Inputs!$K$4:$AJ$4,0)))+SUMPRODUCT((Inputs!$E$5:$E$110=$B11)*Inputs!$F$5:$F$110*(((Inputs!$G$5:$G$110="moeda")+(Inputs!$G$5:$G$110="acoes"))*Inputs!$B$1+((Inputs!$G$5:$G$110&lt;&gt;"moeda")*(Inputs!$G$5:$G$110&lt;&gt;"acoes")))*INDEX(Inputs!$K$5:$AJ$110,0,MATCH(G$2,Inputs!$K$4:$AJ$4,0)))))</f>
        <v>0</v>
      </c>
      <c r="H11" s="268">
        <f>SUM(D11:G11)</f>
        <v>0</v>
      </c>
      <c r="I11" s="267">
        <f>IF(ISNA(MATCH(I$2,Inputs!$K$4:$AJ$4,0)),NA(),IF(SUMPRODUCT((Inputs!$A$5:$A$110=$B11)*ISNUMBER(INDEX(Inputs!$K$5:$AJ$110,0,MATCH(I$2,Inputs!$K$4:$AJ$4,0))))+SUMPRODUCT((Inputs!$C$5:$C$110=$B11)*ISNUMBER(INDEX(Inputs!$K$5:$AJ$110,0,MATCH(I$2,Inputs!$K$4:$AJ$4,0))))+SUMPRODUCT((Inputs!$E$5:$E$110=$B11)*ISNUMBER(INDEX(Inputs!$K$5:$AJ$110,0,MATCH(I$2,Inputs!$K$4:$AJ$4,0))))=0,NA(),SUMPRODUCT((Inputs!$A$5:$A$110=$B11)*Inputs!$B$5:$B$110*(((Inputs!$G$5:$G$110="moeda")+(Inputs!$G$5:$G$110="acoes"))*Inputs!$B$1+((Inputs!$G$5:$G$110&lt;&gt;"moeda")*(Inputs!$G$5:$G$110&lt;&gt;"acoes")))*INDEX(Inputs!$K$5:$AJ$110,0,MATCH(I$2,Inputs!$K$4:$AJ$4,0)))+SUMPRODUCT((Inputs!$C$5:$C$110=$B11)*Inputs!$D$5:$D$110*(((Inputs!$G$5:$G$110="moeda")+(Inputs!$G$5:$G$110="acoes"))*Inputs!$B$1+((Inputs!$G$5:$G$110&lt;&gt;"moeda")*(Inputs!$G$5:$G$110&lt;&gt;"acoes")))*INDEX(Inputs!$K$5:$AJ$110,0,MATCH(I$2,Inputs!$K$4:$AJ$4,0)))+SUMPRODUCT((Inputs!$E$5:$E$110=$B11)*Inputs!$F$5:$F$110*(((Inputs!$G$5:$G$110="moeda")+(Inputs!$G$5:$G$110="acoes"))*Inputs!$B$1+((Inputs!$G$5:$G$110&lt;&gt;"moeda")*(Inputs!$G$5:$G$110&lt;&gt;"acoes")))*INDEX(Inputs!$K$5:$AJ$110,0,MATCH(I$2,Inputs!$K$4:$AJ$4,0)))))</f>
        <v>0</v>
      </c>
      <c r="J11" s="267">
        <f>IF(ISNA(MATCH(J$2,Inputs!$K$4:$AJ$4,0)),NA(),IF(SUMPRODUCT((Inputs!$A$5:$A$110=$B11)*ISNUMBER(INDEX(Inputs!$K$5:$AJ$110,0,MATCH(J$2,Inputs!$K$4:$AJ$4,0))))+SUMPRODUCT((Inputs!$C$5:$C$110=$B11)*ISNUMBER(INDEX(Inputs!$K$5:$AJ$110,0,MATCH(J$2,Inputs!$K$4:$AJ$4,0))))+SUMPRODUCT((Inputs!$E$5:$E$110=$B11)*ISNUMBER(INDEX(Inputs!$K$5:$AJ$110,0,MATCH(J$2,Inputs!$K$4:$AJ$4,0))))=0,NA(),SUMPRODUCT((Inputs!$A$5:$A$110=$B11)*Inputs!$B$5:$B$110*(((Inputs!$G$5:$G$110="moeda")+(Inputs!$G$5:$G$110="acoes"))*Inputs!$B$1+((Inputs!$G$5:$G$110&lt;&gt;"moeda")*(Inputs!$G$5:$G$110&lt;&gt;"acoes")))*INDEX(Inputs!$K$5:$AJ$110,0,MATCH(J$2,Inputs!$K$4:$AJ$4,0)))+SUMPRODUCT((Inputs!$C$5:$C$110=$B11)*Inputs!$D$5:$D$110*(((Inputs!$G$5:$G$110="moeda")+(Inputs!$G$5:$G$110="acoes"))*Inputs!$B$1+((Inputs!$G$5:$G$110&lt;&gt;"moeda")*(Inputs!$G$5:$G$110&lt;&gt;"acoes")))*INDEX(Inputs!$K$5:$AJ$110,0,MATCH(J$2,Inputs!$K$4:$AJ$4,0)))+SUMPRODUCT((Inputs!$E$5:$E$110=$B11)*Inputs!$F$5:$F$110*(((Inputs!$G$5:$G$110="moeda")+(Inputs!$G$5:$G$110="acoes"))*Inputs!$B$1+((Inputs!$G$5:$G$110&lt;&gt;"moeda")*(Inputs!$G$5:$G$110&lt;&gt;"acoes")))*INDEX(Inputs!$K$5:$AJ$110,0,MATCH(J$2,Inputs!$K$4:$AJ$4,0)))))</f>
        <v>0</v>
      </c>
      <c r="K11" s="267">
        <f>IF(ISNA(MATCH(K$2,Inputs!$K$4:$AJ$4,0)),NA(),IF(SUMPRODUCT((Inputs!$A$5:$A$110=$B11)*ISNUMBER(INDEX(Inputs!$K$5:$AJ$110,0,MATCH(K$2,Inputs!$K$4:$AJ$4,0))))+SUMPRODUCT((Inputs!$C$5:$C$110=$B11)*ISNUMBER(INDEX(Inputs!$K$5:$AJ$110,0,MATCH(K$2,Inputs!$K$4:$AJ$4,0))))+SUMPRODUCT((Inputs!$E$5:$E$110=$B11)*ISNUMBER(INDEX(Inputs!$K$5:$AJ$110,0,MATCH(K$2,Inputs!$K$4:$AJ$4,0))))=0,NA(),SUMPRODUCT((Inputs!$A$5:$A$110=$B11)*Inputs!$B$5:$B$110*(((Inputs!$G$5:$G$110="moeda")+(Inputs!$G$5:$G$110="acoes"))*Inputs!$B$1+((Inputs!$G$5:$G$110&lt;&gt;"moeda")*(Inputs!$G$5:$G$110&lt;&gt;"acoes")))*INDEX(Inputs!$K$5:$AJ$110,0,MATCH(K$2,Inputs!$K$4:$AJ$4,0)))+SUMPRODUCT((Inputs!$C$5:$C$110=$B11)*Inputs!$D$5:$D$110*(((Inputs!$G$5:$G$110="moeda")+(Inputs!$G$5:$G$110="acoes"))*Inputs!$B$1+((Inputs!$G$5:$G$110&lt;&gt;"moeda")*(Inputs!$G$5:$G$110&lt;&gt;"acoes")))*INDEX(Inputs!$K$5:$AJ$110,0,MATCH(K$2,Inputs!$K$4:$AJ$4,0)))+SUMPRODUCT((Inputs!$E$5:$E$110=$B11)*Inputs!$F$5:$F$110*(((Inputs!$G$5:$G$110="moeda")+(Inputs!$G$5:$G$110="acoes"))*Inputs!$B$1+((Inputs!$G$5:$G$110&lt;&gt;"moeda")*(Inputs!$G$5:$G$110&lt;&gt;"acoes")))*INDEX(Inputs!$K$5:$AJ$110,0,MATCH(K$2,Inputs!$K$4:$AJ$4,0)))))</f>
        <v>0</v>
      </c>
      <c r="L11" s="267">
        <f>IF(ISNA(MATCH(L$2,Inputs!$K$4:$AJ$4,0)),NA(),IF(SUMPRODUCT((Inputs!$A$5:$A$110=$B11)*ISNUMBER(INDEX(Inputs!$K$5:$AJ$110,0,MATCH(L$2,Inputs!$K$4:$AJ$4,0))))+SUMPRODUCT((Inputs!$C$5:$C$110=$B11)*ISNUMBER(INDEX(Inputs!$K$5:$AJ$110,0,MATCH(L$2,Inputs!$K$4:$AJ$4,0))))+SUMPRODUCT((Inputs!$E$5:$E$110=$B11)*ISNUMBER(INDEX(Inputs!$K$5:$AJ$110,0,MATCH(L$2,Inputs!$K$4:$AJ$4,0))))=0,NA(),SUMPRODUCT((Inputs!$A$5:$A$110=$B11)*Inputs!$B$5:$B$110*(((Inputs!$G$5:$G$110="moeda")+(Inputs!$G$5:$G$110="acoes"))*Inputs!$B$1+((Inputs!$G$5:$G$110&lt;&gt;"moeda")*(Inputs!$G$5:$G$110&lt;&gt;"acoes")))*INDEX(Inputs!$K$5:$AJ$110,0,MATCH(L$2,Inputs!$K$4:$AJ$4,0)))+SUMPRODUCT((Inputs!$C$5:$C$110=$B11)*Inputs!$D$5:$D$110*(((Inputs!$G$5:$G$110="moeda")+(Inputs!$G$5:$G$110="acoes"))*Inputs!$B$1+((Inputs!$G$5:$G$110&lt;&gt;"moeda")*(Inputs!$G$5:$G$110&lt;&gt;"acoes")))*INDEX(Inputs!$K$5:$AJ$110,0,MATCH(L$2,Inputs!$K$4:$AJ$4,0)))+SUMPRODUCT((Inputs!$E$5:$E$110=$B11)*Inputs!$F$5:$F$110*(((Inputs!$G$5:$G$110="moeda")+(Inputs!$G$5:$G$110="acoes"))*Inputs!$B$1+((Inputs!$G$5:$G$110&lt;&gt;"moeda")*(Inputs!$G$5:$G$110&lt;&gt;"acoes")))*INDEX(Inputs!$K$5:$AJ$110,0,MATCH(L$2,Inputs!$K$4:$AJ$4,0)))))</f>
        <v>0</v>
      </c>
      <c r="M11" s="268">
        <f>SUM(I11:L11)</f>
        <v>0</v>
      </c>
      <c r="N11" s="267">
        <f>IF(ISNA(MATCH(N$2,Inputs!$K$4:$AJ$4,0)),NA(),IF(SUMPRODUCT((Inputs!$A$5:$A$110=$B11)*ISNUMBER(INDEX(Inputs!$K$5:$AJ$110,0,MATCH(N$2,Inputs!$K$4:$AJ$4,0))))+SUMPRODUCT((Inputs!$C$5:$C$110=$B11)*ISNUMBER(INDEX(Inputs!$K$5:$AJ$110,0,MATCH(N$2,Inputs!$K$4:$AJ$4,0))))+SUMPRODUCT((Inputs!$E$5:$E$110=$B11)*ISNUMBER(INDEX(Inputs!$K$5:$AJ$110,0,MATCH(N$2,Inputs!$K$4:$AJ$4,0))))=0,NA(),SUMPRODUCT((Inputs!$A$5:$A$110=$B11)*Inputs!$B$5:$B$110*(((Inputs!$G$5:$G$110="moeda")+(Inputs!$G$5:$G$110="acoes"))*Inputs!$B$1+((Inputs!$G$5:$G$110&lt;&gt;"moeda")*(Inputs!$G$5:$G$110&lt;&gt;"acoes")))*INDEX(Inputs!$K$5:$AJ$110,0,MATCH(N$2,Inputs!$K$4:$AJ$4,0)))+SUMPRODUCT((Inputs!$C$5:$C$110=$B11)*Inputs!$D$5:$D$110*(((Inputs!$G$5:$G$110="moeda")+(Inputs!$G$5:$G$110="acoes"))*Inputs!$B$1+((Inputs!$G$5:$G$110&lt;&gt;"moeda")*(Inputs!$G$5:$G$110&lt;&gt;"acoes")))*INDEX(Inputs!$K$5:$AJ$110,0,MATCH(N$2,Inputs!$K$4:$AJ$4,0)))+SUMPRODUCT((Inputs!$E$5:$E$110=$B11)*Inputs!$F$5:$F$110*(((Inputs!$G$5:$G$110="moeda")+(Inputs!$G$5:$G$110="acoes"))*Inputs!$B$1+((Inputs!$G$5:$G$110&lt;&gt;"moeda")*(Inputs!$G$5:$G$110&lt;&gt;"acoes")))*INDEX(Inputs!$K$5:$AJ$110,0,MATCH(N$2,Inputs!$K$4:$AJ$4,0)))))</f>
        <v>0</v>
      </c>
      <c r="O11" s="267">
        <f>IF(ISNA(MATCH(O$2,Inputs!$K$4:$AJ$4,0)),NA(),IF(SUMPRODUCT((Inputs!$A$5:$A$110=$B11)*ISNUMBER(INDEX(Inputs!$K$5:$AJ$110,0,MATCH(O$2,Inputs!$K$4:$AJ$4,0))))+SUMPRODUCT((Inputs!$C$5:$C$110=$B11)*ISNUMBER(INDEX(Inputs!$K$5:$AJ$110,0,MATCH(O$2,Inputs!$K$4:$AJ$4,0))))+SUMPRODUCT((Inputs!$E$5:$E$110=$B11)*ISNUMBER(INDEX(Inputs!$K$5:$AJ$110,0,MATCH(O$2,Inputs!$K$4:$AJ$4,0))))=0,NA(),SUMPRODUCT((Inputs!$A$5:$A$110=$B11)*Inputs!$B$5:$B$110*(((Inputs!$G$5:$G$110="moeda")+(Inputs!$G$5:$G$110="acoes"))*Inputs!$B$1+((Inputs!$G$5:$G$110&lt;&gt;"moeda")*(Inputs!$G$5:$G$110&lt;&gt;"acoes")))*INDEX(Inputs!$K$5:$AJ$110,0,MATCH(O$2,Inputs!$K$4:$AJ$4,0)))+SUMPRODUCT((Inputs!$C$5:$C$110=$B11)*Inputs!$D$5:$D$110*(((Inputs!$G$5:$G$110="moeda")+(Inputs!$G$5:$G$110="acoes"))*Inputs!$B$1+((Inputs!$G$5:$G$110&lt;&gt;"moeda")*(Inputs!$G$5:$G$110&lt;&gt;"acoes")))*INDEX(Inputs!$K$5:$AJ$110,0,MATCH(O$2,Inputs!$K$4:$AJ$4,0)))+SUMPRODUCT((Inputs!$E$5:$E$110=$B11)*Inputs!$F$5:$F$110*(((Inputs!$G$5:$G$110="moeda")+(Inputs!$G$5:$G$110="acoes"))*Inputs!$B$1+((Inputs!$G$5:$G$110&lt;&gt;"moeda")*(Inputs!$G$5:$G$110&lt;&gt;"acoes")))*INDEX(Inputs!$K$5:$AJ$110,0,MATCH(O$2,Inputs!$K$4:$AJ$4,0)))))</f>
        <v>0</v>
      </c>
      <c r="P11" s="267">
        <f>IF(ISNA(MATCH(P$2,Inputs!$K$4:$AJ$4,0)),NA(),IF(SUMPRODUCT((Inputs!$A$5:$A$110=$B11)*ISNUMBER(INDEX(Inputs!$K$5:$AJ$110,0,MATCH(P$2,Inputs!$K$4:$AJ$4,0))))+SUMPRODUCT((Inputs!$C$5:$C$110=$B11)*ISNUMBER(INDEX(Inputs!$K$5:$AJ$110,0,MATCH(P$2,Inputs!$K$4:$AJ$4,0))))+SUMPRODUCT((Inputs!$E$5:$E$110=$B11)*ISNUMBER(INDEX(Inputs!$K$5:$AJ$110,0,MATCH(P$2,Inputs!$K$4:$AJ$4,0))))=0,NA(),SUMPRODUCT((Inputs!$A$5:$A$110=$B11)*Inputs!$B$5:$B$110*(((Inputs!$G$5:$G$110="moeda")+(Inputs!$G$5:$G$110="acoes"))*Inputs!$B$1+((Inputs!$G$5:$G$110&lt;&gt;"moeda")*(Inputs!$G$5:$G$110&lt;&gt;"acoes")))*INDEX(Inputs!$K$5:$AJ$110,0,MATCH(P$2,Inputs!$K$4:$AJ$4,0)))+SUMPRODUCT((Inputs!$C$5:$C$110=$B11)*Inputs!$D$5:$D$110*(((Inputs!$G$5:$G$110="moeda")+(Inputs!$G$5:$G$110="acoes"))*Inputs!$B$1+((Inputs!$G$5:$G$110&lt;&gt;"moeda")*(Inputs!$G$5:$G$110&lt;&gt;"acoes")))*INDEX(Inputs!$K$5:$AJ$110,0,MATCH(P$2,Inputs!$K$4:$AJ$4,0)))+SUMPRODUCT((Inputs!$E$5:$E$110=$B11)*Inputs!$F$5:$F$110*(((Inputs!$G$5:$G$110="moeda")+(Inputs!$G$5:$G$110="acoes"))*Inputs!$B$1+((Inputs!$G$5:$G$110&lt;&gt;"moeda")*(Inputs!$G$5:$G$110&lt;&gt;"acoes")))*INDEX(Inputs!$K$5:$AJ$110,0,MATCH(P$2,Inputs!$K$4:$AJ$4,0)))))</f>
        <v>0</v>
      </c>
      <c r="Q11" s="267">
        <f>IF(ISNA(MATCH(Q$2,Inputs!$K$4:$AJ$4,0)),NA(),IF(SUMPRODUCT((Inputs!$A$5:$A$110=$B11)*ISNUMBER(INDEX(Inputs!$K$5:$AJ$110,0,MATCH(Q$2,Inputs!$K$4:$AJ$4,0))))+SUMPRODUCT((Inputs!$C$5:$C$110=$B11)*ISNUMBER(INDEX(Inputs!$K$5:$AJ$110,0,MATCH(Q$2,Inputs!$K$4:$AJ$4,0))))+SUMPRODUCT((Inputs!$E$5:$E$110=$B11)*ISNUMBER(INDEX(Inputs!$K$5:$AJ$110,0,MATCH(Q$2,Inputs!$K$4:$AJ$4,0))))=0,NA(),SUMPRODUCT((Inputs!$A$5:$A$110=$B11)*Inputs!$B$5:$B$110*(((Inputs!$G$5:$G$110="moeda")+(Inputs!$G$5:$G$110="acoes"))*Inputs!$B$1+((Inputs!$G$5:$G$110&lt;&gt;"moeda")*(Inputs!$G$5:$G$110&lt;&gt;"acoes")))*INDEX(Inputs!$K$5:$AJ$110,0,MATCH(Q$2,Inputs!$K$4:$AJ$4,0)))+SUMPRODUCT((Inputs!$C$5:$C$110=$B11)*Inputs!$D$5:$D$110*(((Inputs!$G$5:$G$110="moeda")+(Inputs!$G$5:$G$110="acoes"))*Inputs!$B$1+((Inputs!$G$5:$G$110&lt;&gt;"moeda")*(Inputs!$G$5:$G$110&lt;&gt;"acoes")))*INDEX(Inputs!$K$5:$AJ$110,0,MATCH(Q$2,Inputs!$K$4:$AJ$4,0)))+SUMPRODUCT((Inputs!$E$5:$E$110=$B11)*Inputs!$F$5:$F$110*(((Inputs!$G$5:$G$110="moeda")+(Inputs!$G$5:$G$110="acoes"))*Inputs!$B$1+((Inputs!$G$5:$G$110&lt;&gt;"moeda")*(Inputs!$G$5:$G$110&lt;&gt;"acoes")))*INDEX(Inputs!$K$5:$AJ$110,0,MATCH(Q$2,Inputs!$K$4:$AJ$4,0)))))</f>
        <v>0</v>
      </c>
      <c r="R11" s="268">
        <f>SUM(N11:Q11)</f>
        <v>0</v>
      </c>
      <c r="S11" s="267">
        <f>IF(ISNA(MATCH(S$2,Inputs!$K$4:$AJ$4,0)),NA(),IF(SUMPRODUCT((Inputs!$A$5:$A$110=$B11)*ISNUMBER(INDEX(Inputs!$K$5:$AJ$110,0,MATCH(S$2,Inputs!$K$4:$AJ$4,0))))+SUMPRODUCT((Inputs!$C$5:$C$110=$B11)*ISNUMBER(INDEX(Inputs!$K$5:$AJ$110,0,MATCH(S$2,Inputs!$K$4:$AJ$4,0))))+SUMPRODUCT((Inputs!$E$5:$E$110=$B11)*ISNUMBER(INDEX(Inputs!$K$5:$AJ$110,0,MATCH(S$2,Inputs!$K$4:$AJ$4,0))))=0,NA(),SUMPRODUCT((Inputs!$A$5:$A$110=$B11)*Inputs!$B$5:$B$110*(((Inputs!$G$5:$G$110="moeda")+(Inputs!$G$5:$G$110="acoes"))*Inputs!$B$1+((Inputs!$G$5:$G$110&lt;&gt;"moeda")*(Inputs!$G$5:$G$110&lt;&gt;"acoes")))*INDEX(Inputs!$K$5:$AJ$110,0,MATCH(S$2,Inputs!$K$4:$AJ$4,0)))+SUMPRODUCT((Inputs!$C$5:$C$110=$B11)*Inputs!$D$5:$D$110*(((Inputs!$G$5:$G$110="moeda")+(Inputs!$G$5:$G$110="acoes"))*Inputs!$B$1+((Inputs!$G$5:$G$110&lt;&gt;"moeda")*(Inputs!$G$5:$G$110&lt;&gt;"acoes")))*INDEX(Inputs!$K$5:$AJ$110,0,MATCH(S$2,Inputs!$K$4:$AJ$4,0)))+SUMPRODUCT((Inputs!$E$5:$E$110=$B11)*Inputs!$F$5:$F$110*(((Inputs!$G$5:$G$110="moeda")+(Inputs!$G$5:$G$110="acoes"))*Inputs!$B$1+((Inputs!$G$5:$G$110&lt;&gt;"moeda")*(Inputs!$G$5:$G$110&lt;&gt;"acoes")))*INDEX(Inputs!$K$5:$AJ$110,0,MATCH(S$2,Inputs!$K$4:$AJ$4,0)))))</f>
        <v>0</v>
      </c>
      <c r="T11" s="267">
        <f>IF(ISNA(MATCH(T$2,Inputs!$K$4:$AJ$4,0)),NA(),IF(SUMPRODUCT((Inputs!$A$5:$A$110=$B11)*ISNUMBER(INDEX(Inputs!$K$5:$AJ$110,0,MATCH(T$2,Inputs!$K$4:$AJ$4,0))))+SUMPRODUCT((Inputs!$C$5:$C$110=$B11)*ISNUMBER(INDEX(Inputs!$K$5:$AJ$110,0,MATCH(T$2,Inputs!$K$4:$AJ$4,0))))+SUMPRODUCT((Inputs!$E$5:$E$110=$B11)*ISNUMBER(INDEX(Inputs!$K$5:$AJ$110,0,MATCH(T$2,Inputs!$K$4:$AJ$4,0))))=0,NA(),SUMPRODUCT((Inputs!$A$5:$A$110=$B11)*Inputs!$B$5:$B$110*(((Inputs!$G$5:$G$110="moeda")+(Inputs!$G$5:$G$110="acoes"))*Inputs!$B$1+((Inputs!$G$5:$G$110&lt;&gt;"moeda")*(Inputs!$G$5:$G$110&lt;&gt;"acoes")))*INDEX(Inputs!$K$5:$AJ$110,0,MATCH(T$2,Inputs!$K$4:$AJ$4,0)))+SUMPRODUCT((Inputs!$C$5:$C$110=$B11)*Inputs!$D$5:$D$110*(((Inputs!$G$5:$G$110="moeda")+(Inputs!$G$5:$G$110="acoes"))*Inputs!$B$1+((Inputs!$G$5:$G$110&lt;&gt;"moeda")*(Inputs!$G$5:$G$110&lt;&gt;"acoes")))*INDEX(Inputs!$K$5:$AJ$110,0,MATCH(T$2,Inputs!$K$4:$AJ$4,0)))+SUMPRODUCT((Inputs!$E$5:$E$110=$B11)*Inputs!$F$5:$F$110*(((Inputs!$G$5:$G$110="moeda")+(Inputs!$G$5:$G$110="acoes"))*Inputs!$B$1+((Inputs!$G$5:$G$110&lt;&gt;"moeda")*(Inputs!$G$5:$G$110&lt;&gt;"acoes")))*INDEX(Inputs!$K$5:$AJ$110,0,MATCH(T$2,Inputs!$K$4:$AJ$4,0)))))</f>
        <v>0</v>
      </c>
      <c r="U11" s="267">
        <f>IF(ISNA(MATCH(U$2,Inputs!$K$4:$AJ$4,0)),NA(),IF(SUMPRODUCT((Inputs!$A$5:$A$110=$B11)*ISNUMBER(INDEX(Inputs!$K$5:$AJ$110,0,MATCH(U$2,Inputs!$K$4:$AJ$4,0))))+SUMPRODUCT((Inputs!$C$5:$C$110=$B11)*ISNUMBER(INDEX(Inputs!$K$5:$AJ$110,0,MATCH(U$2,Inputs!$K$4:$AJ$4,0))))+SUMPRODUCT((Inputs!$E$5:$E$110=$B11)*ISNUMBER(INDEX(Inputs!$K$5:$AJ$110,0,MATCH(U$2,Inputs!$K$4:$AJ$4,0))))=0,NA(),SUMPRODUCT((Inputs!$A$5:$A$110=$B11)*Inputs!$B$5:$B$110*(((Inputs!$G$5:$G$110="moeda")+(Inputs!$G$5:$G$110="acoes"))*Inputs!$B$1+((Inputs!$G$5:$G$110&lt;&gt;"moeda")*(Inputs!$G$5:$G$110&lt;&gt;"acoes")))*INDEX(Inputs!$K$5:$AJ$110,0,MATCH(U$2,Inputs!$K$4:$AJ$4,0)))+SUMPRODUCT((Inputs!$C$5:$C$110=$B11)*Inputs!$D$5:$D$110*(((Inputs!$G$5:$G$110="moeda")+(Inputs!$G$5:$G$110="acoes"))*Inputs!$B$1+((Inputs!$G$5:$G$110&lt;&gt;"moeda")*(Inputs!$G$5:$G$110&lt;&gt;"acoes")))*INDEX(Inputs!$K$5:$AJ$110,0,MATCH(U$2,Inputs!$K$4:$AJ$4,0)))+SUMPRODUCT((Inputs!$E$5:$E$110=$B11)*Inputs!$F$5:$F$110*(((Inputs!$G$5:$G$110="moeda")+(Inputs!$G$5:$G$110="acoes"))*Inputs!$B$1+((Inputs!$G$5:$G$110&lt;&gt;"moeda")*(Inputs!$G$5:$G$110&lt;&gt;"acoes")))*INDEX(Inputs!$K$5:$AJ$110,0,MATCH(U$2,Inputs!$K$4:$AJ$4,0)))))</f>
        <v>0</v>
      </c>
      <c r="V11" s="267">
        <f>IF(ISNA(MATCH(V$2,Inputs!$K$4:$AJ$4,0)),NA(),IF(SUMPRODUCT((Inputs!$A$5:$A$110=$B11)*ISNUMBER(INDEX(Inputs!$K$5:$AJ$110,0,MATCH(V$2,Inputs!$K$4:$AJ$4,0))))+SUMPRODUCT((Inputs!$C$5:$C$110=$B11)*ISNUMBER(INDEX(Inputs!$K$5:$AJ$110,0,MATCH(V$2,Inputs!$K$4:$AJ$4,0))))+SUMPRODUCT((Inputs!$E$5:$E$110=$B11)*ISNUMBER(INDEX(Inputs!$K$5:$AJ$110,0,MATCH(V$2,Inputs!$K$4:$AJ$4,0))))=0,NA(),SUMPRODUCT((Inputs!$A$5:$A$110=$B11)*Inputs!$B$5:$B$110*(((Inputs!$G$5:$G$110="moeda")+(Inputs!$G$5:$G$110="acoes"))*Inputs!$B$1+((Inputs!$G$5:$G$110&lt;&gt;"moeda")*(Inputs!$G$5:$G$110&lt;&gt;"acoes")))*INDEX(Inputs!$K$5:$AJ$110,0,MATCH(V$2,Inputs!$K$4:$AJ$4,0)))+SUMPRODUCT((Inputs!$C$5:$C$110=$B11)*Inputs!$D$5:$D$110*(((Inputs!$G$5:$G$110="moeda")+(Inputs!$G$5:$G$110="acoes"))*Inputs!$B$1+((Inputs!$G$5:$G$110&lt;&gt;"moeda")*(Inputs!$G$5:$G$110&lt;&gt;"acoes")))*INDEX(Inputs!$K$5:$AJ$110,0,MATCH(V$2,Inputs!$K$4:$AJ$4,0)))+SUMPRODUCT((Inputs!$E$5:$E$110=$B11)*Inputs!$F$5:$F$110*(((Inputs!$G$5:$G$110="moeda")+(Inputs!$G$5:$G$110="acoes"))*Inputs!$B$1+((Inputs!$G$5:$G$110&lt;&gt;"moeda")*(Inputs!$G$5:$G$110&lt;&gt;"acoes")))*INDEX(Inputs!$K$5:$AJ$110,0,MATCH(V$2,Inputs!$K$4:$AJ$4,0)))))</f>
        <v>0</v>
      </c>
      <c r="W11" s="268">
        <f>SUM(S11:V11)</f>
        <v>0</v>
      </c>
      <c r="X11" s="267">
        <f>IF(ISNA(MATCH(X$2,Inputs!$K$4:$AJ$4,0)),NA(),IF(SUMPRODUCT((Inputs!$A$5:$A$110=$B11)*ISNUMBER(INDEX(Inputs!$K$5:$AJ$110,0,MATCH(X$2,Inputs!$K$4:$AJ$4,0))))+SUMPRODUCT((Inputs!$C$5:$C$110=$B11)*ISNUMBER(INDEX(Inputs!$K$5:$AJ$110,0,MATCH(X$2,Inputs!$K$4:$AJ$4,0))))+SUMPRODUCT((Inputs!$E$5:$E$110=$B11)*ISNUMBER(INDEX(Inputs!$K$5:$AJ$110,0,MATCH(X$2,Inputs!$K$4:$AJ$4,0))))=0,NA(),SUMPRODUCT((Inputs!$A$5:$A$110=$B11)*Inputs!$B$5:$B$110*(((Inputs!$G$5:$G$110="moeda")+(Inputs!$G$5:$G$110="acoes"))*Inputs!$B$1+((Inputs!$G$5:$G$110&lt;&gt;"moeda")*(Inputs!$G$5:$G$110&lt;&gt;"acoes")))*INDEX(Inputs!$K$5:$AJ$110,0,MATCH(X$2,Inputs!$K$4:$AJ$4,0)))+SUMPRODUCT((Inputs!$C$5:$C$110=$B11)*Inputs!$D$5:$D$110*(((Inputs!$G$5:$G$110="moeda")+(Inputs!$G$5:$G$110="acoes"))*Inputs!$B$1+((Inputs!$G$5:$G$110&lt;&gt;"moeda")*(Inputs!$G$5:$G$110&lt;&gt;"acoes")))*INDEX(Inputs!$K$5:$AJ$110,0,MATCH(X$2,Inputs!$K$4:$AJ$4,0)))+SUMPRODUCT((Inputs!$E$5:$E$110=$B11)*Inputs!$F$5:$F$110*(((Inputs!$G$5:$G$110="moeda")+(Inputs!$G$5:$G$110="acoes"))*Inputs!$B$1+((Inputs!$G$5:$G$110&lt;&gt;"moeda")*(Inputs!$G$5:$G$110&lt;&gt;"acoes")))*INDEX(Inputs!$K$5:$AJ$110,0,MATCH(X$2,Inputs!$K$4:$AJ$4,0)))))</f>
        <v>0</v>
      </c>
      <c r="Y11" s="267">
        <f>IF(ISNA(MATCH(Y$2,Inputs!$K$4:$AJ$4,0)),NA(),IF(SUMPRODUCT((Inputs!$A$5:$A$110=$B11)*ISNUMBER(INDEX(Inputs!$K$5:$AJ$110,0,MATCH(Y$2,Inputs!$K$4:$AJ$4,0))))+SUMPRODUCT((Inputs!$C$5:$C$110=$B11)*ISNUMBER(INDEX(Inputs!$K$5:$AJ$110,0,MATCH(Y$2,Inputs!$K$4:$AJ$4,0))))+SUMPRODUCT((Inputs!$E$5:$E$110=$B11)*ISNUMBER(INDEX(Inputs!$K$5:$AJ$110,0,MATCH(Y$2,Inputs!$K$4:$AJ$4,0))))=0,NA(),SUMPRODUCT((Inputs!$A$5:$A$110=$B11)*Inputs!$B$5:$B$110*(((Inputs!$G$5:$G$110="moeda")+(Inputs!$G$5:$G$110="acoes"))*Inputs!$B$1+((Inputs!$G$5:$G$110&lt;&gt;"moeda")*(Inputs!$G$5:$G$110&lt;&gt;"acoes")))*INDEX(Inputs!$K$5:$AJ$110,0,MATCH(Y$2,Inputs!$K$4:$AJ$4,0)))+SUMPRODUCT((Inputs!$C$5:$C$110=$B11)*Inputs!$D$5:$D$110*(((Inputs!$G$5:$G$110="moeda")+(Inputs!$G$5:$G$110="acoes"))*Inputs!$B$1+((Inputs!$G$5:$G$110&lt;&gt;"moeda")*(Inputs!$G$5:$G$110&lt;&gt;"acoes")))*INDEX(Inputs!$K$5:$AJ$110,0,MATCH(Y$2,Inputs!$K$4:$AJ$4,0)))+SUMPRODUCT((Inputs!$E$5:$E$110=$B11)*Inputs!$F$5:$F$110*(((Inputs!$G$5:$G$110="moeda")+(Inputs!$G$5:$G$110="acoes"))*Inputs!$B$1+((Inputs!$G$5:$G$110&lt;&gt;"moeda")*(Inputs!$G$5:$G$110&lt;&gt;"acoes")))*INDEX(Inputs!$K$5:$AJ$110,0,MATCH(Y$2,Inputs!$K$4:$AJ$4,0)))))</f>
        <v>0</v>
      </c>
      <c r="Z11" s="267">
        <f>IF(ISNA(MATCH(Z$2,Inputs!$K$4:$AJ$4,0)),NA(),IF(SUMPRODUCT((Inputs!$A$5:$A$110=$B11)*ISNUMBER(INDEX(Inputs!$K$5:$AJ$110,0,MATCH(Z$2,Inputs!$K$4:$AJ$4,0))))+SUMPRODUCT((Inputs!$C$5:$C$110=$B11)*ISNUMBER(INDEX(Inputs!$K$5:$AJ$110,0,MATCH(Z$2,Inputs!$K$4:$AJ$4,0))))+SUMPRODUCT((Inputs!$E$5:$E$110=$B11)*ISNUMBER(INDEX(Inputs!$K$5:$AJ$110,0,MATCH(Z$2,Inputs!$K$4:$AJ$4,0))))=0,NA(),SUMPRODUCT((Inputs!$A$5:$A$110=$B11)*Inputs!$B$5:$B$110*(((Inputs!$G$5:$G$110="moeda")+(Inputs!$G$5:$G$110="acoes"))*Inputs!$B$1+((Inputs!$G$5:$G$110&lt;&gt;"moeda")*(Inputs!$G$5:$G$110&lt;&gt;"acoes")))*INDEX(Inputs!$K$5:$AJ$110,0,MATCH(Z$2,Inputs!$K$4:$AJ$4,0)))+SUMPRODUCT((Inputs!$C$5:$C$110=$B11)*Inputs!$D$5:$D$110*(((Inputs!$G$5:$G$110="moeda")+(Inputs!$G$5:$G$110="acoes"))*Inputs!$B$1+((Inputs!$G$5:$G$110&lt;&gt;"moeda")*(Inputs!$G$5:$G$110&lt;&gt;"acoes")))*INDEX(Inputs!$K$5:$AJ$110,0,MATCH(Z$2,Inputs!$K$4:$AJ$4,0)))+SUMPRODUCT((Inputs!$E$5:$E$110=$B11)*Inputs!$F$5:$F$110*(((Inputs!$G$5:$G$110="moeda")+(Inputs!$G$5:$G$110="acoes"))*Inputs!$B$1+((Inputs!$G$5:$G$110&lt;&gt;"moeda")*(Inputs!$G$5:$G$110&lt;&gt;"acoes")))*INDEX(Inputs!$K$5:$AJ$110,0,MATCH(Z$2,Inputs!$K$4:$AJ$4,0)))))</f>
        <v>0</v>
      </c>
      <c r="AA11" s="267">
        <f>IF(ISNA(MATCH(AA$2,Inputs!$K$4:$AJ$4,0)),NA(),IF(SUMPRODUCT((Inputs!$A$5:$A$110=$B11)*ISNUMBER(INDEX(Inputs!$K$5:$AJ$110,0,MATCH(AA$2,Inputs!$K$4:$AJ$4,0))))+SUMPRODUCT((Inputs!$C$5:$C$110=$B11)*ISNUMBER(INDEX(Inputs!$K$5:$AJ$110,0,MATCH(AA$2,Inputs!$K$4:$AJ$4,0))))+SUMPRODUCT((Inputs!$E$5:$E$110=$B11)*ISNUMBER(INDEX(Inputs!$K$5:$AJ$110,0,MATCH(AA$2,Inputs!$K$4:$AJ$4,0))))=0,NA(),SUMPRODUCT((Inputs!$A$5:$A$110=$B11)*Inputs!$B$5:$B$110*(((Inputs!$G$5:$G$110="moeda")+(Inputs!$G$5:$G$110="acoes"))*Inputs!$B$1+((Inputs!$G$5:$G$110&lt;&gt;"moeda")*(Inputs!$G$5:$G$110&lt;&gt;"acoes")))*INDEX(Inputs!$K$5:$AJ$110,0,MATCH(AA$2,Inputs!$K$4:$AJ$4,0)))+SUMPRODUCT((Inputs!$C$5:$C$110=$B11)*Inputs!$D$5:$D$110*(((Inputs!$G$5:$G$110="moeda")+(Inputs!$G$5:$G$110="acoes"))*Inputs!$B$1+((Inputs!$G$5:$G$110&lt;&gt;"moeda")*(Inputs!$G$5:$G$110&lt;&gt;"acoes")))*INDEX(Inputs!$K$5:$AJ$110,0,MATCH(AA$2,Inputs!$K$4:$AJ$4,0)))+SUMPRODUCT((Inputs!$E$5:$E$110=$B11)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1" s="268">
        <f>SUM(X11:AA11)</f>
        <v>0</v>
      </c>
      <c r="AC11" s="267">
        <f>IF(ISNA(MATCH(AC$2,Inputs!$K$4:$AJ$4,0)),NA(),IF(SUMPRODUCT((Inputs!$A$5:$A$110=$B11)*ISNUMBER(INDEX(Inputs!$K$5:$AJ$110,0,MATCH(AC$2,Inputs!$K$4:$AJ$4,0))))+SUMPRODUCT((Inputs!$C$5:$C$110=$B11)*ISNUMBER(INDEX(Inputs!$K$5:$AJ$110,0,MATCH(AC$2,Inputs!$K$4:$AJ$4,0))))+SUMPRODUCT((Inputs!$E$5:$E$110=$B11)*ISNUMBER(INDEX(Inputs!$K$5:$AJ$110,0,MATCH(AC$2,Inputs!$K$4:$AJ$4,0))))=0,NA(),SUMPRODUCT((Inputs!$A$5:$A$110=$B11)*Inputs!$B$5:$B$110*(((Inputs!$G$5:$G$110="moeda")+(Inputs!$G$5:$G$110="acoes"))*Inputs!$B$1+((Inputs!$G$5:$G$110&lt;&gt;"moeda")*(Inputs!$G$5:$G$110&lt;&gt;"acoes")))*INDEX(Inputs!$K$5:$AJ$110,0,MATCH(AC$2,Inputs!$K$4:$AJ$4,0)))+SUMPRODUCT((Inputs!$C$5:$C$110=$B11)*Inputs!$D$5:$D$110*(((Inputs!$G$5:$G$110="moeda")+(Inputs!$G$5:$G$110="acoes"))*Inputs!$B$1+((Inputs!$G$5:$G$110&lt;&gt;"moeda")*(Inputs!$G$5:$G$110&lt;&gt;"acoes")))*INDEX(Inputs!$K$5:$AJ$110,0,MATCH(AC$2,Inputs!$K$4:$AJ$4,0)))+SUMPRODUCT((Inputs!$E$5:$E$110=$B11)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1" s="267">
        <f>IF(ISNA(MATCH(AD$2,Inputs!$K$4:$AJ$4,0)),NA(),IF(SUMPRODUCT((Inputs!$A$5:$A$110=$B11)*ISNUMBER(INDEX(Inputs!$K$5:$AJ$110,0,MATCH(AD$2,Inputs!$K$4:$AJ$4,0))))+SUMPRODUCT((Inputs!$C$5:$C$110=$B11)*ISNUMBER(INDEX(Inputs!$K$5:$AJ$110,0,MATCH(AD$2,Inputs!$K$4:$AJ$4,0))))+SUMPRODUCT((Inputs!$E$5:$E$110=$B11)*ISNUMBER(INDEX(Inputs!$K$5:$AJ$110,0,MATCH(AD$2,Inputs!$K$4:$AJ$4,0))))=0,NA(),SUMPRODUCT((Inputs!$A$5:$A$110=$B11)*Inputs!$B$5:$B$110*(((Inputs!$G$5:$G$110="moeda")+(Inputs!$G$5:$G$110="acoes"))*Inputs!$B$1+((Inputs!$G$5:$G$110&lt;&gt;"moeda")*(Inputs!$G$5:$G$110&lt;&gt;"acoes")))*INDEX(Inputs!$K$5:$AJ$110,0,MATCH(AD$2,Inputs!$K$4:$AJ$4,0)))+SUMPRODUCT((Inputs!$C$5:$C$110=$B11)*Inputs!$D$5:$D$110*(((Inputs!$G$5:$G$110="moeda")+(Inputs!$G$5:$G$110="acoes"))*Inputs!$B$1+((Inputs!$G$5:$G$110&lt;&gt;"moeda")*(Inputs!$G$5:$G$110&lt;&gt;"acoes")))*INDEX(Inputs!$K$5:$AJ$110,0,MATCH(AD$2,Inputs!$K$4:$AJ$4,0)))+SUMPRODUCT((Inputs!$E$5:$E$110=$B11)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1" s="267" t="e">
        <f>IF(ISNA(MATCH(AE$2,Inputs!$K$4:$AJ$4,0)),NA(),IF(SUMPRODUCT((Inputs!$A$5:$A$110=$B11)*ISNUMBER(INDEX(Inputs!$K$5:$AJ$110,0,MATCH(AE$2,Inputs!$K$4:$AJ$4,0))))+SUMPRODUCT((Inputs!$C$5:$C$110=$B11)*ISNUMBER(INDEX(Inputs!$K$5:$AJ$110,0,MATCH(AE$2,Inputs!$K$4:$AJ$4,0))))+SUMPRODUCT((Inputs!$E$5:$E$110=$B11)*ISNUMBER(INDEX(Inputs!$K$5:$AJ$110,0,MATCH(AE$2,Inputs!$K$4:$AJ$4,0))))=0,NA(),SUMPRODUCT((Inputs!$A$5:$A$110=$B11)*Inputs!$B$5:$B$110*(((Inputs!$G$5:$G$110="moeda")+(Inputs!$G$5:$G$110="acoes"))*Inputs!$B$1+((Inputs!$G$5:$G$110&lt;&gt;"moeda")*(Inputs!$G$5:$G$110&lt;&gt;"acoes")))*INDEX(Inputs!$K$5:$AJ$110,0,MATCH(AE$2,Inputs!$K$4:$AJ$4,0)))+SUMPRODUCT((Inputs!$C$5:$C$110=$B11)*Inputs!$D$5:$D$110*(((Inputs!$G$5:$G$110="moeda")+(Inputs!$G$5:$G$110="acoes"))*Inputs!$B$1+((Inputs!$G$5:$G$110&lt;&gt;"moeda")*(Inputs!$G$5:$G$110&lt;&gt;"acoes")))*INDEX(Inputs!$K$5:$AJ$110,0,MATCH(AE$2,Inputs!$K$4:$AJ$4,0)))+SUMPRODUCT((Inputs!$E$5:$E$110=$B11)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1" s="267" t="e">
        <f>IF(ISNA(MATCH(AF$2,Inputs!$K$4:$AJ$4,0)),NA(),IF(SUMPRODUCT((Inputs!$A$5:$A$110=$B11)*ISNUMBER(INDEX(Inputs!$K$5:$AJ$110,0,MATCH(AF$2,Inputs!$K$4:$AJ$4,0))))+SUMPRODUCT((Inputs!$C$5:$C$110=$B11)*ISNUMBER(INDEX(Inputs!$K$5:$AJ$110,0,MATCH(AF$2,Inputs!$K$4:$AJ$4,0))))+SUMPRODUCT((Inputs!$E$5:$E$110=$B11)*ISNUMBER(INDEX(Inputs!$K$5:$AJ$110,0,MATCH(AF$2,Inputs!$K$4:$AJ$4,0))))=0,NA(),SUMPRODUCT((Inputs!$A$5:$A$110=$B11)*Inputs!$B$5:$B$110*(((Inputs!$G$5:$G$110="moeda")+(Inputs!$G$5:$G$110="acoes"))*Inputs!$B$1+((Inputs!$G$5:$G$110&lt;&gt;"moeda")*(Inputs!$G$5:$G$110&lt;&gt;"acoes")))*INDEX(Inputs!$K$5:$AJ$110,0,MATCH(AF$2,Inputs!$K$4:$AJ$4,0)))+SUMPRODUCT((Inputs!$C$5:$C$110=$B11)*Inputs!$D$5:$D$110*(((Inputs!$G$5:$G$110="moeda")+(Inputs!$G$5:$G$110="acoes"))*Inputs!$B$1+((Inputs!$G$5:$G$110&lt;&gt;"moeda")*(Inputs!$G$5:$G$110&lt;&gt;"acoes")))*INDEX(Inputs!$K$5:$AJ$110,0,MATCH(AF$2,Inputs!$K$4:$AJ$4,0)))+SUMPRODUCT((Inputs!$E$5:$E$110=$B11)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1" s="268" t="e">
        <f>SUM(AC11:AF11)</f>
        <v>#N/A</v>
      </c>
      <c r="AH11" s="267">
        <f>IF(ISNA(MATCH(AH$2,Inputs!$K$4:$AJ$4,0)),NA(),IF(SUMPRODUCT((Inputs!$A$5:$A$110=$B11)*ISNUMBER(INDEX(Inputs!$K$5:$AJ$110,0,MATCH(AH$2,Inputs!$K$4:$AJ$4,0))))+SUMPRODUCT((Inputs!$C$5:$C$110=$B11)*ISNUMBER(INDEX(Inputs!$K$5:$AJ$110,0,MATCH(AH$2,Inputs!$K$4:$AJ$4,0))))+SUMPRODUCT((Inputs!$E$5:$E$110=$B11)*ISNUMBER(INDEX(Inputs!$K$5:$AJ$110,0,MATCH(AH$2,Inputs!$K$4:$AJ$4,0))))=0,NA(),SUMPRODUCT((Inputs!$A$5:$A$110=$B11)*Inputs!$B$5:$B$110*(((Inputs!$G$5:$G$110="moeda")+(Inputs!$G$5:$G$110="acoes"))*Inputs!$B$1+((Inputs!$G$5:$G$110&lt;&gt;"moeda")*(Inputs!$G$5:$G$110&lt;&gt;"acoes")))*INDEX(Inputs!$K$5:$AJ$110,0,MATCH(AH$2,Inputs!$K$4:$AJ$4,0)))+SUMPRODUCT((Inputs!$C$5:$C$110=$B11)*Inputs!$D$5:$D$110*(((Inputs!$G$5:$G$110="moeda")+(Inputs!$G$5:$G$110="acoes"))*Inputs!$B$1+((Inputs!$G$5:$G$110&lt;&gt;"moeda")*(Inputs!$G$5:$G$110&lt;&gt;"acoes")))*INDEX(Inputs!$K$5:$AJ$110,0,MATCH(AH$2,Inputs!$K$4:$AJ$4,0)))+SUMPRODUCT((Inputs!$E$5:$E$110=$B11)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1" s="267">
        <f>IF(ISNA(MATCH(AI$2,Inputs!$K$4:$AJ$4,0)),NA(),IF(SUMPRODUCT((Inputs!$A$5:$A$110=$B11)*ISNUMBER(INDEX(Inputs!$K$5:$AJ$110,0,MATCH(AI$2,Inputs!$K$4:$AJ$4,0))))+SUMPRODUCT((Inputs!$C$5:$C$110=$B11)*ISNUMBER(INDEX(Inputs!$K$5:$AJ$110,0,MATCH(AI$2,Inputs!$K$4:$AJ$4,0))))+SUMPRODUCT((Inputs!$E$5:$E$110=$B11)*ISNUMBER(INDEX(Inputs!$K$5:$AJ$110,0,MATCH(AI$2,Inputs!$K$4:$AJ$4,0))))=0,NA(),SUMPRODUCT((Inputs!$A$5:$A$110=$B11)*Inputs!$B$5:$B$110*(((Inputs!$G$5:$G$110="moeda")+(Inputs!$G$5:$G$110="acoes"))*Inputs!$B$1+((Inputs!$G$5:$G$110&lt;&gt;"moeda")*(Inputs!$G$5:$G$110&lt;&gt;"acoes")))*INDEX(Inputs!$K$5:$AJ$110,0,MATCH(AI$2,Inputs!$K$4:$AJ$4,0)))+SUMPRODUCT((Inputs!$C$5:$C$110=$B11)*Inputs!$D$5:$D$110*(((Inputs!$G$5:$G$110="moeda")+(Inputs!$G$5:$G$110="acoes"))*Inputs!$B$1+((Inputs!$G$5:$G$110&lt;&gt;"moeda")*(Inputs!$G$5:$G$110&lt;&gt;"acoes")))*INDEX(Inputs!$K$5:$AJ$110,0,MATCH(AI$2,Inputs!$K$4:$AJ$4,0)))+SUMPRODUCT((Inputs!$E$5:$E$110=$B11)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1" s="267">
        <f>IF(ISNA(MATCH(AJ$2,Inputs!$K$4:$AJ$4,0)),NA(),IF(SUMPRODUCT((Inputs!$A$5:$A$110=$B11)*ISNUMBER(INDEX(Inputs!$K$5:$AJ$110,0,MATCH(AJ$2,Inputs!$K$4:$AJ$4,0))))+SUMPRODUCT((Inputs!$C$5:$C$110=$B11)*ISNUMBER(INDEX(Inputs!$K$5:$AJ$110,0,MATCH(AJ$2,Inputs!$K$4:$AJ$4,0))))+SUMPRODUCT((Inputs!$E$5:$E$110=$B11)*ISNUMBER(INDEX(Inputs!$K$5:$AJ$110,0,MATCH(AJ$2,Inputs!$K$4:$AJ$4,0))))=0,NA(),SUMPRODUCT((Inputs!$A$5:$A$110=$B11)*Inputs!$B$5:$B$110*(((Inputs!$G$5:$G$110="moeda")+(Inputs!$G$5:$G$110="acoes"))*Inputs!$B$1+((Inputs!$G$5:$G$110&lt;&gt;"moeda")*(Inputs!$G$5:$G$110&lt;&gt;"acoes")))*INDEX(Inputs!$K$5:$AJ$110,0,MATCH(AJ$2,Inputs!$K$4:$AJ$4,0)))+SUMPRODUCT((Inputs!$C$5:$C$110=$B11)*Inputs!$D$5:$D$110*(((Inputs!$G$5:$G$110="moeda")+(Inputs!$G$5:$G$110="acoes"))*Inputs!$B$1+((Inputs!$G$5:$G$110&lt;&gt;"moeda")*(Inputs!$G$5:$G$110&lt;&gt;"acoes")))*INDEX(Inputs!$K$5:$AJ$110,0,MATCH(AJ$2,Inputs!$K$4:$AJ$4,0)))+SUMPRODUCT((Inputs!$E$5:$E$110=$B11)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1" s="267">
        <f>IF(ISNA(MATCH(AK$2,Inputs!$K$4:$AJ$4,0)),NA(),IF(SUMPRODUCT((Inputs!$A$5:$A$110=$B11)*ISNUMBER(INDEX(Inputs!$K$5:$AJ$110,0,MATCH(AK$2,Inputs!$K$4:$AJ$4,0))))+SUMPRODUCT((Inputs!$C$5:$C$110=$B11)*ISNUMBER(INDEX(Inputs!$K$5:$AJ$110,0,MATCH(AK$2,Inputs!$K$4:$AJ$4,0))))+SUMPRODUCT((Inputs!$E$5:$E$110=$B11)*ISNUMBER(INDEX(Inputs!$K$5:$AJ$110,0,MATCH(AK$2,Inputs!$K$4:$AJ$4,0))))=0,NA(),SUMPRODUCT((Inputs!$A$5:$A$110=$B11)*Inputs!$B$5:$B$110*(((Inputs!$G$5:$G$110="moeda")+(Inputs!$G$5:$G$110="acoes"))*Inputs!$B$1+((Inputs!$G$5:$G$110&lt;&gt;"moeda")*(Inputs!$G$5:$G$110&lt;&gt;"acoes")))*INDEX(Inputs!$K$5:$AJ$110,0,MATCH(AK$2,Inputs!$K$4:$AJ$4,0)))+SUMPRODUCT((Inputs!$C$5:$C$110=$B11)*Inputs!$D$5:$D$110*(((Inputs!$G$5:$G$110="moeda")+(Inputs!$G$5:$G$110="acoes"))*Inputs!$B$1+((Inputs!$G$5:$G$110&lt;&gt;"moeda")*(Inputs!$G$5:$G$110&lt;&gt;"acoes")))*INDEX(Inputs!$K$5:$AJ$110,0,MATCH(AK$2,Inputs!$K$4:$AJ$4,0)))+SUMPRODUCT((Inputs!$E$5:$E$110=$B11)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1" s="268">
        <f>SUM(AH11:AK11)</f>
        <v>0</v>
      </c>
    </row>
    <row r="12" ht="12.75" customHeight="1" s="255">
      <c r="B12" s="265" t="n">
        <v>9</v>
      </c>
      <c r="C12" s="270" t="inlineStr">
        <is>
          <t>Minority Interest Expense, after tax (enter as - )</t>
        </is>
      </c>
      <c r="D12" s="267">
        <f>IF(ISNA(MATCH(D$2,Inputs!$K$4:$AJ$4,0)),NA(),IF(SUMPRODUCT((Inputs!$A$5:$A$110=$B12)*ISNUMBER(INDEX(Inputs!$K$5:$AJ$110,0,MATCH(D$2,Inputs!$K$4:$AJ$4,0))))+SUMPRODUCT((Inputs!$C$5:$C$110=$B12)*ISNUMBER(INDEX(Inputs!$K$5:$AJ$110,0,MATCH(D$2,Inputs!$K$4:$AJ$4,0))))+SUMPRODUCT((Inputs!$E$5:$E$110=$B12)*ISNUMBER(INDEX(Inputs!$K$5:$AJ$110,0,MATCH(D$2,Inputs!$K$4:$AJ$4,0))))=0,NA(),SUMPRODUCT((Inputs!$A$5:$A$110=$B12)*Inputs!$B$5:$B$110*(((Inputs!$G$5:$G$110="moeda")+(Inputs!$G$5:$G$110="acoes"))*Inputs!$B$1+((Inputs!$G$5:$G$110&lt;&gt;"moeda")*(Inputs!$G$5:$G$110&lt;&gt;"acoes")))*INDEX(Inputs!$K$5:$AJ$110,0,MATCH(D$2,Inputs!$K$4:$AJ$4,0)))+SUMPRODUCT((Inputs!$C$5:$C$110=$B12)*Inputs!$D$5:$D$110*(((Inputs!$G$5:$G$110="moeda")+(Inputs!$G$5:$G$110="acoes"))*Inputs!$B$1+((Inputs!$G$5:$G$110&lt;&gt;"moeda")*(Inputs!$G$5:$G$110&lt;&gt;"acoes")))*INDEX(Inputs!$K$5:$AJ$110,0,MATCH(D$2,Inputs!$K$4:$AJ$4,0)))+SUMPRODUCT((Inputs!$E$5:$E$110=$B12)*Inputs!$F$5:$F$110*(((Inputs!$G$5:$G$110="moeda")+(Inputs!$G$5:$G$110="acoes"))*Inputs!$B$1+((Inputs!$G$5:$G$110&lt;&gt;"moeda")*(Inputs!$G$5:$G$110&lt;&gt;"acoes")))*INDEX(Inputs!$K$5:$AJ$110,0,MATCH(D$2,Inputs!$K$4:$AJ$4,0)))))</f>
        <v>-20</v>
      </c>
      <c r="E12" s="267">
        <f>IF(ISNA(MATCH(E$2,Inputs!$K$4:$AJ$4,0)),NA(),IF(SUMPRODUCT((Inputs!$A$5:$A$110=$B12)*ISNUMBER(INDEX(Inputs!$K$5:$AJ$110,0,MATCH(E$2,Inputs!$K$4:$AJ$4,0))))+SUMPRODUCT((Inputs!$C$5:$C$110=$B12)*ISNUMBER(INDEX(Inputs!$K$5:$AJ$110,0,MATCH(E$2,Inputs!$K$4:$AJ$4,0))))+SUMPRODUCT((Inputs!$E$5:$E$110=$B12)*ISNUMBER(INDEX(Inputs!$K$5:$AJ$110,0,MATCH(E$2,Inputs!$K$4:$AJ$4,0))))=0,NA(),SUMPRODUCT((Inputs!$A$5:$A$110=$B12)*Inputs!$B$5:$B$110*(((Inputs!$G$5:$G$110="moeda")+(Inputs!$G$5:$G$110="acoes"))*Inputs!$B$1+((Inputs!$G$5:$G$110&lt;&gt;"moeda")*(Inputs!$G$5:$G$110&lt;&gt;"acoes")))*INDEX(Inputs!$K$5:$AJ$110,0,MATCH(E$2,Inputs!$K$4:$AJ$4,0)))+SUMPRODUCT((Inputs!$C$5:$C$110=$B12)*Inputs!$D$5:$D$110*(((Inputs!$G$5:$G$110="moeda")+(Inputs!$G$5:$G$110="acoes"))*Inputs!$B$1+((Inputs!$G$5:$G$110&lt;&gt;"moeda")*(Inputs!$G$5:$G$110&lt;&gt;"acoes")))*INDEX(Inputs!$K$5:$AJ$110,0,MATCH(E$2,Inputs!$K$4:$AJ$4,0)))+SUMPRODUCT((Inputs!$E$5:$E$110=$B12)*Inputs!$F$5:$F$110*(((Inputs!$G$5:$G$110="moeda")+(Inputs!$G$5:$G$110="acoes"))*Inputs!$B$1+((Inputs!$G$5:$G$110&lt;&gt;"moeda")*(Inputs!$G$5:$G$110&lt;&gt;"acoes")))*INDEX(Inputs!$K$5:$AJ$110,0,MATCH(E$2,Inputs!$K$4:$AJ$4,0)))))</f>
        <v>-13</v>
      </c>
      <c r="F12" s="267">
        <f>IF(ISNA(MATCH(F$2,Inputs!$K$4:$AJ$4,0)),NA(),IF(SUMPRODUCT((Inputs!$A$5:$A$110=$B12)*ISNUMBER(INDEX(Inputs!$K$5:$AJ$110,0,MATCH(F$2,Inputs!$K$4:$AJ$4,0))))+SUMPRODUCT((Inputs!$C$5:$C$110=$B12)*ISNUMBER(INDEX(Inputs!$K$5:$AJ$110,0,MATCH(F$2,Inputs!$K$4:$AJ$4,0))))+SUMPRODUCT((Inputs!$E$5:$E$110=$B12)*ISNUMBER(INDEX(Inputs!$K$5:$AJ$110,0,MATCH(F$2,Inputs!$K$4:$AJ$4,0))))=0,NA(),SUMPRODUCT((Inputs!$A$5:$A$110=$B12)*Inputs!$B$5:$B$110*(((Inputs!$G$5:$G$110="moeda")+(Inputs!$G$5:$G$110="acoes"))*Inputs!$B$1+((Inputs!$G$5:$G$110&lt;&gt;"moeda")*(Inputs!$G$5:$G$110&lt;&gt;"acoes")))*INDEX(Inputs!$K$5:$AJ$110,0,MATCH(F$2,Inputs!$K$4:$AJ$4,0)))+SUMPRODUCT((Inputs!$C$5:$C$110=$B12)*Inputs!$D$5:$D$110*(((Inputs!$G$5:$G$110="moeda")+(Inputs!$G$5:$G$110="acoes"))*Inputs!$B$1+((Inputs!$G$5:$G$110&lt;&gt;"moeda")*(Inputs!$G$5:$G$110&lt;&gt;"acoes")))*INDEX(Inputs!$K$5:$AJ$110,0,MATCH(F$2,Inputs!$K$4:$AJ$4,0)))+SUMPRODUCT((Inputs!$E$5:$E$110=$B12)*Inputs!$F$5:$F$110*(((Inputs!$G$5:$G$110="moeda")+(Inputs!$G$5:$G$110="acoes"))*Inputs!$B$1+((Inputs!$G$5:$G$110&lt;&gt;"moeda")*(Inputs!$G$5:$G$110&lt;&gt;"acoes")))*INDEX(Inputs!$K$5:$AJ$110,0,MATCH(F$2,Inputs!$K$4:$AJ$4,0)))))</f>
        <v>-24</v>
      </c>
      <c r="G12" s="267">
        <f>IF(ISNA(MATCH(G$2,Inputs!$K$4:$AJ$4,0)),NA(),IF(SUMPRODUCT((Inputs!$A$5:$A$110=$B12)*ISNUMBER(INDEX(Inputs!$K$5:$AJ$110,0,MATCH(G$2,Inputs!$K$4:$AJ$4,0))))+SUMPRODUCT((Inputs!$C$5:$C$110=$B12)*ISNUMBER(INDEX(Inputs!$K$5:$AJ$110,0,MATCH(G$2,Inputs!$K$4:$AJ$4,0))))+SUMPRODUCT((Inputs!$E$5:$E$110=$B12)*ISNUMBER(INDEX(Inputs!$K$5:$AJ$110,0,MATCH(G$2,Inputs!$K$4:$AJ$4,0))))=0,NA(),SUMPRODUCT((Inputs!$A$5:$A$110=$B12)*Inputs!$B$5:$B$110*(((Inputs!$G$5:$G$110="moeda")+(Inputs!$G$5:$G$110="acoes"))*Inputs!$B$1+((Inputs!$G$5:$G$110&lt;&gt;"moeda")*(Inputs!$G$5:$G$110&lt;&gt;"acoes")))*INDEX(Inputs!$K$5:$AJ$110,0,MATCH(G$2,Inputs!$K$4:$AJ$4,0)))+SUMPRODUCT((Inputs!$C$5:$C$110=$B12)*Inputs!$D$5:$D$110*(((Inputs!$G$5:$G$110="moeda")+(Inputs!$G$5:$G$110="acoes"))*Inputs!$B$1+((Inputs!$G$5:$G$110&lt;&gt;"moeda")*(Inputs!$G$5:$G$110&lt;&gt;"acoes")))*INDEX(Inputs!$K$5:$AJ$110,0,MATCH(G$2,Inputs!$K$4:$AJ$4,0)))+SUMPRODUCT((Inputs!$E$5:$E$110=$B12)*Inputs!$F$5:$F$110*(((Inputs!$G$5:$G$110="moeda")+(Inputs!$G$5:$G$110="acoes"))*Inputs!$B$1+((Inputs!$G$5:$G$110&lt;&gt;"moeda")*(Inputs!$G$5:$G$110&lt;&gt;"acoes")))*INDEX(Inputs!$K$5:$AJ$110,0,MATCH(G$2,Inputs!$K$4:$AJ$4,0)))))</f>
        <v>-21</v>
      </c>
      <c r="H12" s="268">
        <f>SUM(D12:G12)</f>
        <v>-78</v>
      </c>
      <c r="I12" s="267">
        <f>IF(ISNA(MATCH(I$2,Inputs!$K$4:$AJ$4,0)),NA(),IF(SUMPRODUCT((Inputs!$A$5:$A$110=$B12)*ISNUMBER(INDEX(Inputs!$K$5:$AJ$110,0,MATCH(I$2,Inputs!$K$4:$AJ$4,0))))+SUMPRODUCT((Inputs!$C$5:$C$110=$B12)*ISNUMBER(INDEX(Inputs!$K$5:$AJ$110,0,MATCH(I$2,Inputs!$K$4:$AJ$4,0))))+SUMPRODUCT((Inputs!$E$5:$E$110=$B12)*ISNUMBER(INDEX(Inputs!$K$5:$AJ$110,0,MATCH(I$2,Inputs!$K$4:$AJ$4,0))))=0,NA(),SUMPRODUCT((Inputs!$A$5:$A$110=$B12)*Inputs!$B$5:$B$110*(((Inputs!$G$5:$G$110="moeda")+(Inputs!$G$5:$G$110="acoes"))*Inputs!$B$1+((Inputs!$G$5:$G$110&lt;&gt;"moeda")*(Inputs!$G$5:$G$110&lt;&gt;"acoes")))*INDEX(Inputs!$K$5:$AJ$110,0,MATCH(I$2,Inputs!$K$4:$AJ$4,0)))+SUMPRODUCT((Inputs!$C$5:$C$110=$B12)*Inputs!$D$5:$D$110*(((Inputs!$G$5:$G$110="moeda")+(Inputs!$G$5:$G$110="acoes"))*Inputs!$B$1+((Inputs!$G$5:$G$110&lt;&gt;"moeda")*(Inputs!$G$5:$G$110&lt;&gt;"acoes")))*INDEX(Inputs!$K$5:$AJ$110,0,MATCH(I$2,Inputs!$K$4:$AJ$4,0)))+SUMPRODUCT((Inputs!$E$5:$E$110=$B12)*Inputs!$F$5:$F$110*(((Inputs!$G$5:$G$110="moeda")+(Inputs!$G$5:$G$110="acoes"))*Inputs!$B$1+((Inputs!$G$5:$G$110&lt;&gt;"moeda")*(Inputs!$G$5:$G$110&lt;&gt;"acoes")))*INDEX(Inputs!$K$5:$AJ$110,0,MATCH(I$2,Inputs!$K$4:$AJ$4,0)))))</f>
        <v>-21</v>
      </c>
      <c r="J12" s="267">
        <f>IF(ISNA(MATCH(J$2,Inputs!$K$4:$AJ$4,0)),NA(),IF(SUMPRODUCT((Inputs!$A$5:$A$110=$B12)*ISNUMBER(INDEX(Inputs!$K$5:$AJ$110,0,MATCH(J$2,Inputs!$K$4:$AJ$4,0))))+SUMPRODUCT((Inputs!$C$5:$C$110=$B12)*ISNUMBER(INDEX(Inputs!$K$5:$AJ$110,0,MATCH(J$2,Inputs!$K$4:$AJ$4,0))))+SUMPRODUCT((Inputs!$E$5:$E$110=$B12)*ISNUMBER(INDEX(Inputs!$K$5:$AJ$110,0,MATCH(J$2,Inputs!$K$4:$AJ$4,0))))=0,NA(),SUMPRODUCT((Inputs!$A$5:$A$110=$B12)*Inputs!$B$5:$B$110*(((Inputs!$G$5:$G$110="moeda")+(Inputs!$G$5:$G$110="acoes"))*Inputs!$B$1+((Inputs!$G$5:$G$110&lt;&gt;"moeda")*(Inputs!$G$5:$G$110&lt;&gt;"acoes")))*INDEX(Inputs!$K$5:$AJ$110,0,MATCH(J$2,Inputs!$K$4:$AJ$4,0)))+SUMPRODUCT((Inputs!$C$5:$C$110=$B12)*Inputs!$D$5:$D$110*(((Inputs!$G$5:$G$110="moeda")+(Inputs!$G$5:$G$110="acoes"))*Inputs!$B$1+((Inputs!$G$5:$G$110&lt;&gt;"moeda")*(Inputs!$G$5:$G$110&lt;&gt;"acoes")))*INDEX(Inputs!$K$5:$AJ$110,0,MATCH(J$2,Inputs!$K$4:$AJ$4,0)))+SUMPRODUCT((Inputs!$E$5:$E$110=$B12)*Inputs!$F$5:$F$110*(((Inputs!$G$5:$G$110="moeda")+(Inputs!$G$5:$G$110="acoes"))*Inputs!$B$1+((Inputs!$G$5:$G$110&lt;&gt;"moeda")*(Inputs!$G$5:$G$110&lt;&gt;"acoes")))*INDEX(Inputs!$K$5:$AJ$110,0,MATCH(J$2,Inputs!$K$4:$AJ$4,0)))))</f>
        <v>-19</v>
      </c>
      <c r="K12" s="267">
        <f>IF(ISNA(MATCH(K$2,Inputs!$K$4:$AJ$4,0)),NA(),IF(SUMPRODUCT((Inputs!$A$5:$A$110=$B12)*ISNUMBER(INDEX(Inputs!$K$5:$AJ$110,0,MATCH(K$2,Inputs!$K$4:$AJ$4,0))))+SUMPRODUCT((Inputs!$C$5:$C$110=$B12)*ISNUMBER(INDEX(Inputs!$K$5:$AJ$110,0,MATCH(K$2,Inputs!$K$4:$AJ$4,0))))+SUMPRODUCT((Inputs!$E$5:$E$110=$B12)*ISNUMBER(INDEX(Inputs!$K$5:$AJ$110,0,MATCH(K$2,Inputs!$K$4:$AJ$4,0))))=0,NA(),SUMPRODUCT((Inputs!$A$5:$A$110=$B12)*Inputs!$B$5:$B$110*(((Inputs!$G$5:$G$110="moeda")+(Inputs!$G$5:$G$110="acoes"))*Inputs!$B$1+((Inputs!$G$5:$G$110&lt;&gt;"moeda")*(Inputs!$G$5:$G$110&lt;&gt;"acoes")))*INDEX(Inputs!$K$5:$AJ$110,0,MATCH(K$2,Inputs!$K$4:$AJ$4,0)))+SUMPRODUCT((Inputs!$C$5:$C$110=$B12)*Inputs!$D$5:$D$110*(((Inputs!$G$5:$G$110="moeda")+(Inputs!$G$5:$G$110="acoes"))*Inputs!$B$1+((Inputs!$G$5:$G$110&lt;&gt;"moeda")*(Inputs!$G$5:$G$110&lt;&gt;"acoes")))*INDEX(Inputs!$K$5:$AJ$110,0,MATCH(K$2,Inputs!$K$4:$AJ$4,0)))+SUMPRODUCT((Inputs!$E$5:$E$110=$B12)*Inputs!$F$5:$F$110*(((Inputs!$G$5:$G$110="moeda")+(Inputs!$G$5:$G$110="acoes"))*Inputs!$B$1+((Inputs!$G$5:$G$110&lt;&gt;"moeda")*(Inputs!$G$5:$G$110&lt;&gt;"acoes")))*INDEX(Inputs!$K$5:$AJ$110,0,MATCH(K$2,Inputs!$K$4:$AJ$4,0)))))</f>
        <v>-10</v>
      </c>
      <c r="L12" s="267">
        <f>IF(ISNA(MATCH(L$2,Inputs!$K$4:$AJ$4,0)),NA(),IF(SUMPRODUCT((Inputs!$A$5:$A$110=$B12)*ISNUMBER(INDEX(Inputs!$K$5:$AJ$110,0,MATCH(L$2,Inputs!$K$4:$AJ$4,0))))+SUMPRODUCT((Inputs!$C$5:$C$110=$B12)*ISNUMBER(INDEX(Inputs!$K$5:$AJ$110,0,MATCH(L$2,Inputs!$K$4:$AJ$4,0))))+SUMPRODUCT((Inputs!$E$5:$E$110=$B12)*ISNUMBER(INDEX(Inputs!$K$5:$AJ$110,0,MATCH(L$2,Inputs!$K$4:$AJ$4,0))))=0,NA(),SUMPRODUCT((Inputs!$A$5:$A$110=$B12)*Inputs!$B$5:$B$110*(((Inputs!$G$5:$G$110="moeda")+(Inputs!$G$5:$G$110="acoes"))*Inputs!$B$1+((Inputs!$G$5:$G$110&lt;&gt;"moeda")*(Inputs!$G$5:$G$110&lt;&gt;"acoes")))*INDEX(Inputs!$K$5:$AJ$110,0,MATCH(L$2,Inputs!$K$4:$AJ$4,0)))+SUMPRODUCT((Inputs!$C$5:$C$110=$B12)*Inputs!$D$5:$D$110*(((Inputs!$G$5:$G$110="moeda")+(Inputs!$G$5:$G$110="acoes"))*Inputs!$B$1+((Inputs!$G$5:$G$110&lt;&gt;"moeda")*(Inputs!$G$5:$G$110&lt;&gt;"acoes")))*INDEX(Inputs!$K$5:$AJ$110,0,MATCH(L$2,Inputs!$K$4:$AJ$4,0)))+SUMPRODUCT((Inputs!$E$5:$E$110=$B12)*Inputs!$F$5:$F$110*(((Inputs!$G$5:$G$110="moeda")+(Inputs!$G$5:$G$110="acoes"))*Inputs!$B$1+((Inputs!$G$5:$G$110&lt;&gt;"moeda")*(Inputs!$G$5:$G$110&lt;&gt;"acoes")))*INDEX(Inputs!$K$5:$AJ$110,0,MATCH(L$2,Inputs!$K$4:$AJ$4,0)))))</f>
        <v>0</v>
      </c>
      <c r="M12" s="268">
        <f>SUM(I12:L12)</f>
        <v>-50</v>
      </c>
      <c r="N12" s="267">
        <f>IF(ISNA(MATCH(N$2,Inputs!$K$4:$AJ$4,0)),NA(),IF(SUMPRODUCT((Inputs!$A$5:$A$110=$B12)*ISNUMBER(INDEX(Inputs!$K$5:$AJ$110,0,MATCH(N$2,Inputs!$K$4:$AJ$4,0))))+SUMPRODUCT((Inputs!$C$5:$C$110=$B12)*ISNUMBER(INDEX(Inputs!$K$5:$AJ$110,0,MATCH(N$2,Inputs!$K$4:$AJ$4,0))))+SUMPRODUCT((Inputs!$E$5:$E$110=$B12)*ISNUMBER(INDEX(Inputs!$K$5:$AJ$110,0,MATCH(N$2,Inputs!$K$4:$AJ$4,0))))=0,NA(),SUMPRODUCT((Inputs!$A$5:$A$110=$B12)*Inputs!$B$5:$B$110*(((Inputs!$G$5:$G$110="moeda")+(Inputs!$G$5:$G$110="acoes"))*Inputs!$B$1+((Inputs!$G$5:$G$110&lt;&gt;"moeda")*(Inputs!$G$5:$G$110&lt;&gt;"acoes")))*INDEX(Inputs!$K$5:$AJ$110,0,MATCH(N$2,Inputs!$K$4:$AJ$4,0)))+SUMPRODUCT((Inputs!$C$5:$C$110=$B12)*Inputs!$D$5:$D$110*(((Inputs!$G$5:$G$110="moeda")+(Inputs!$G$5:$G$110="acoes"))*Inputs!$B$1+((Inputs!$G$5:$G$110&lt;&gt;"moeda")*(Inputs!$G$5:$G$110&lt;&gt;"acoes")))*INDEX(Inputs!$K$5:$AJ$110,0,MATCH(N$2,Inputs!$K$4:$AJ$4,0)))+SUMPRODUCT((Inputs!$E$5:$E$110=$B12)*Inputs!$F$5:$F$110*(((Inputs!$G$5:$G$110="moeda")+(Inputs!$G$5:$G$110="acoes"))*Inputs!$B$1+((Inputs!$G$5:$G$110&lt;&gt;"moeda")*(Inputs!$G$5:$G$110&lt;&gt;"acoes")))*INDEX(Inputs!$K$5:$AJ$110,0,MATCH(N$2,Inputs!$K$4:$AJ$4,0)))))</f>
        <v>0</v>
      </c>
      <c r="O12" s="267">
        <f>IF(ISNA(MATCH(O$2,Inputs!$K$4:$AJ$4,0)),NA(),IF(SUMPRODUCT((Inputs!$A$5:$A$110=$B12)*ISNUMBER(INDEX(Inputs!$K$5:$AJ$110,0,MATCH(O$2,Inputs!$K$4:$AJ$4,0))))+SUMPRODUCT((Inputs!$C$5:$C$110=$B12)*ISNUMBER(INDEX(Inputs!$K$5:$AJ$110,0,MATCH(O$2,Inputs!$K$4:$AJ$4,0))))+SUMPRODUCT((Inputs!$E$5:$E$110=$B12)*ISNUMBER(INDEX(Inputs!$K$5:$AJ$110,0,MATCH(O$2,Inputs!$K$4:$AJ$4,0))))=0,NA(),SUMPRODUCT((Inputs!$A$5:$A$110=$B12)*Inputs!$B$5:$B$110*(((Inputs!$G$5:$G$110="moeda")+(Inputs!$G$5:$G$110="acoes"))*Inputs!$B$1+((Inputs!$G$5:$G$110&lt;&gt;"moeda")*(Inputs!$G$5:$G$110&lt;&gt;"acoes")))*INDEX(Inputs!$K$5:$AJ$110,0,MATCH(O$2,Inputs!$K$4:$AJ$4,0)))+SUMPRODUCT((Inputs!$C$5:$C$110=$B12)*Inputs!$D$5:$D$110*(((Inputs!$G$5:$G$110="moeda")+(Inputs!$G$5:$G$110="acoes"))*Inputs!$B$1+((Inputs!$G$5:$G$110&lt;&gt;"moeda")*(Inputs!$G$5:$G$110&lt;&gt;"acoes")))*INDEX(Inputs!$K$5:$AJ$110,0,MATCH(O$2,Inputs!$K$4:$AJ$4,0)))+SUMPRODUCT((Inputs!$E$5:$E$110=$B12)*Inputs!$F$5:$F$110*(((Inputs!$G$5:$G$110="moeda")+(Inputs!$G$5:$G$110="acoes"))*Inputs!$B$1+((Inputs!$G$5:$G$110&lt;&gt;"moeda")*(Inputs!$G$5:$G$110&lt;&gt;"acoes")))*INDEX(Inputs!$K$5:$AJ$110,0,MATCH(O$2,Inputs!$K$4:$AJ$4,0)))))</f>
        <v>0</v>
      </c>
      <c r="P12" s="267">
        <f>IF(ISNA(MATCH(P$2,Inputs!$K$4:$AJ$4,0)),NA(),IF(SUMPRODUCT((Inputs!$A$5:$A$110=$B12)*ISNUMBER(INDEX(Inputs!$K$5:$AJ$110,0,MATCH(P$2,Inputs!$K$4:$AJ$4,0))))+SUMPRODUCT((Inputs!$C$5:$C$110=$B12)*ISNUMBER(INDEX(Inputs!$K$5:$AJ$110,0,MATCH(P$2,Inputs!$K$4:$AJ$4,0))))+SUMPRODUCT((Inputs!$E$5:$E$110=$B12)*ISNUMBER(INDEX(Inputs!$K$5:$AJ$110,0,MATCH(P$2,Inputs!$K$4:$AJ$4,0))))=0,NA(),SUMPRODUCT((Inputs!$A$5:$A$110=$B12)*Inputs!$B$5:$B$110*(((Inputs!$G$5:$G$110="moeda")+(Inputs!$G$5:$G$110="acoes"))*Inputs!$B$1+((Inputs!$G$5:$G$110&lt;&gt;"moeda")*(Inputs!$G$5:$G$110&lt;&gt;"acoes")))*INDEX(Inputs!$K$5:$AJ$110,0,MATCH(P$2,Inputs!$K$4:$AJ$4,0)))+SUMPRODUCT((Inputs!$C$5:$C$110=$B12)*Inputs!$D$5:$D$110*(((Inputs!$G$5:$G$110="moeda")+(Inputs!$G$5:$G$110="acoes"))*Inputs!$B$1+((Inputs!$G$5:$G$110&lt;&gt;"moeda")*(Inputs!$G$5:$G$110&lt;&gt;"acoes")))*INDEX(Inputs!$K$5:$AJ$110,0,MATCH(P$2,Inputs!$K$4:$AJ$4,0)))+SUMPRODUCT((Inputs!$E$5:$E$110=$B12)*Inputs!$F$5:$F$110*(((Inputs!$G$5:$G$110="moeda")+(Inputs!$G$5:$G$110="acoes"))*Inputs!$B$1+((Inputs!$G$5:$G$110&lt;&gt;"moeda")*(Inputs!$G$5:$G$110&lt;&gt;"acoes")))*INDEX(Inputs!$K$5:$AJ$110,0,MATCH(P$2,Inputs!$K$4:$AJ$4,0)))))</f>
        <v>0</v>
      </c>
      <c r="Q12" s="267">
        <f>IF(ISNA(MATCH(Q$2,Inputs!$K$4:$AJ$4,0)),NA(),IF(SUMPRODUCT((Inputs!$A$5:$A$110=$B12)*ISNUMBER(INDEX(Inputs!$K$5:$AJ$110,0,MATCH(Q$2,Inputs!$K$4:$AJ$4,0))))+SUMPRODUCT((Inputs!$C$5:$C$110=$B12)*ISNUMBER(INDEX(Inputs!$K$5:$AJ$110,0,MATCH(Q$2,Inputs!$K$4:$AJ$4,0))))+SUMPRODUCT((Inputs!$E$5:$E$110=$B12)*ISNUMBER(INDEX(Inputs!$K$5:$AJ$110,0,MATCH(Q$2,Inputs!$K$4:$AJ$4,0))))=0,NA(),SUMPRODUCT((Inputs!$A$5:$A$110=$B12)*Inputs!$B$5:$B$110*(((Inputs!$G$5:$G$110="moeda")+(Inputs!$G$5:$G$110="acoes"))*Inputs!$B$1+((Inputs!$G$5:$G$110&lt;&gt;"moeda")*(Inputs!$G$5:$G$110&lt;&gt;"acoes")))*INDEX(Inputs!$K$5:$AJ$110,0,MATCH(Q$2,Inputs!$K$4:$AJ$4,0)))+SUMPRODUCT((Inputs!$C$5:$C$110=$B12)*Inputs!$D$5:$D$110*(((Inputs!$G$5:$G$110="moeda")+(Inputs!$G$5:$G$110="acoes"))*Inputs!$B$1+((Inputs!$G$5:$G$110&lt;&gt;"moeda")*(Inputs!$G$5:$G$110&lt;&gt;"acoes")))*INDEX(Inputs!$K$5:$AJ$110,0,MATCH(Q$2,Inputs!$K$4:$AJ$4,0)))+SUMPRODUCT((Inputs!$E$5:$E$110=$B12)*Inputs!$F$5:$F$110*(((Inputs!$G$5:$G$110="moeda")+(Inputs!$G$5:$G$110="acoes"))*Inputs!$B$1+((Inputs!$G$5:$G$110&lt;&gt;"moeda")*(Inputs!$G$5:$G$110&lt;&gt;"acoes")))*INDEX(Inputs!$K$5:$AJ$110,0,MATCH(Q$2,Inputs!$K$4:$AJ$4,0)))))</f>
        <v>0</v>
      </c>
      <c r="R12" s="268">
        <f>SUM(N12:Q12)</f>
        <v>0</v>
      </c>
      <c r="S12" s="267">
        <f>IF(ISNA(MATCH(S$2,Inputs!$K$4:$AJ$4,0)),NA(),IF(SUMPRODUCT((Inputs!$A$5:$A$110=$B12)*ISNUMBER(INDEX(Inputs!$K$5:$AJ$110,0,MATCH(S$2,Inputs!$K$4:$AJ$4,0))))+SUMPRODUCT((Inputs!$C$5:$C$110=$B12)*ISNUMBER(INDEX(Inputs!$K$5:$AJ$110,0,MATCH(S$2,Inputs!$K$4:$AJ$4,0))))+SUMPRODUCT((Inputs!$E$5:$E$110=$B12)*ISNUMBER(INDEX(Inputs!$K$5:$AJ$110,0,MATCH(S$2,Inputs!$K$4:$AJ$4,0))))=0,NA(),SUMPRODUCT((Inputs!$A$5:$A$110=$B12)*Inputs!$B$5:$B$110*(((Inputs!$G$5:$G$110="moeda")+(Inputs!$G$5:$G$110="acoes"))*Inputs!$B$1+((Inputs!$G$5:$G$110&lt;&gt;"moeda")*(Inputs!$G$5:$G$110&lt;&gt;"acoes")))*INDEX(Inputs!$K$5:$AJ$110,0,MATCH(S$2,Inputs!$K$4:$AJ$4,0)))+SUMPRODUCT((Inputs!$C$5:$C$110=$B12)*Inputs!$D$5:$D$110*(((Inputs!$G$5:$G$110="moeda")+(Inputs!$G$5:$G$110="acoes"))*Inputs!$B$1+((Inputs!$G$5:$G$110&lt;&gt;"moeda")*(Inputs!$G$5:$G$110&lt;&gt;"acoes")))*INDEX(Inputs!$K$5:$AJ$110,0,MATCH(S$2,Inputs!$K$4:$AJ$4,0)))+SUMPRODUCT((Inputs!$E$5:$E$110=$B12)*Inputs!$F$5:$F$110*(((Inputs!$G$5:$G$110="moeda")+(Inputs!$G$5:$G$110="acoes"))*Inputs!$B$1+((Inputs!$G$5:$G$110&lt;&gt;"moeda")*(Inputs!$G$5:$G$110&lt;&gt;"acoes")))*INDEX(Inputs!$K$5:$AJ$110,0,MATCH(S$2,Inputs!$K$4:$AJ$4,0)))))</f>
        <v>0</v>
      </c>
      <c r="T12" s="267">
        <f>IF(ISNA(MATCH(T$2,Inputs!$K$4:$AJ$4,0)),NA(),IF(SUMPRODUCT((Inputs!$A$5:$A$110=$B12)*ISNUMBER(INDEX(Inputs!$K$5:$AJ$110,0,MATCH(T$2,Inputs!$K$4:$AJ$4,0))))+SUMPRODUCT((Inputs!$C$5:$C$110=$B12)*ISNUMBER(INDEX(Inputs!$K$5:$AJ$110,0,MATCH(T$2,Inputs!$K$4:$AJ$4,0))))+SUMPRODUCT((Inputs!$E$5:$E$110=$B12)*ISNUMBER(INDEX(Inputs!$K$5:$AJ$110,0,MATCH(T$2,Inputs!$K$4:$AJ$4,0))))=0,NA(),SUMPRODUCT((Inputs!$A$5:$A$110=$B12)*Inputs!$B$5:$B$110*(((Inputs!$G$5:$G$110="moeda")+(Inputs!$G$5:$G$110="acoes"))*Inputs!$B$1+((Inputs!$G$5:$G$110&lt;&gt;"moeda")*(Inputs!$G$5:$G$110&lt;&gt;"acoes")))*INDEX(Inputs!$K$5:$AJ$110,0,MATCH(T$2,Inputs!$K$4:$AJ$4,0)))+SUMPRODUCT((Inputs!$C$5:$C$110=$B12)*Inputs!$D$5:$D$110*(((Inputs!$G$5:$G$110="moeda")+(Inputs!$G$5:$G$110="acoes"))*Inputs!$B$1+((Inputs!$G$5:$G$110&lt;&gt;"moeda")*(Inputs!$G$5:$G$110&lt;&gt;"acoes")))*INDEX(Inputs!$K$5:$AJ$110,0,MATCH(T$2,Inputs!$K$4:$AJ$4,0)))+SUMPRODUCT((Inputs!$E$5:$E$110=$B12)*Inputs!$F$5:$F$110*(((Inputs!$G$5:$G$110="moeda")+(Inputs!$G$5:$G$110="acoes"))*Inputs!$B$1+((Inputs!$G$5:$G$110&lt;&gt;"moeda")*(Inputs!$G$5:$G$110&lt;&gt;"acoes")))*INDEX(Inputs!$K$5:$AJ$110,0,MATCH(T$2,Inputs!$K$4:$AJ$4,0)))))</f>
        <v>0</v>
      </c>
      <c r="U12" s="267">
        <f>IF(ISNA(MATCH(U$2,Inputs!$K$4:$AJ$4,0)),NA(),IF(SUMPRODUCT((Inputs!$A$5:$A$110=$B12)*ISNUMBER(INDEX(Inputs!$K$5:$AJ$110,0,MATCH(U$2,Inputs!$K$4:$AJ$4,0))))+SUMPRODUCT((Inputs!$C$5:$C$110=$B12)*ISNUMBER(INDEX(Inputs!$K$5:$AJ$110,0,MATCH(U$2,Inputs!$K$4:$AJ$4,0))))+SUMPRODUCT((Inputs!$E$5:$E$110=$B12)*ISNUMBER(INDEX(Inputs!$K$5:$AJ$110,0,MATCH(U$2,Inputs!$K$4:$AJ$4,0))))=0,NA(),SUMPRODUCT((Inputs!$A$5:$A$110=$B12)*Inputs!$B$5:$B$110*(((Inputs!$G$5:$G$110="moeda")+(Inputs!$G$5:$G$110="acoes"))*Inputs!$B$1+((Inputs!$G$5:$G$110&lt;&gt;"moeda")*(Inputs!$G$5:$G$110&lt;&gt;"acoes")))*INDEX(Inputs!$K$5:$AJ$110,0,MATCH(U$2,Inputs!$K$4:$AJ$4,0)))+SUMPRODUCT((Inputs!$C$5:$C$110=$B12)*Inputs!$D$5:$D$110*(((Inputs!$G$5:$G$110="moeda")+(Inputs!$G$5:$G$110="acoes"))*Inputs!$B$1+((Inputs!$G$5:$G$110&lt;&gt;"moeda")*(Inputs!$G$5:$G$110&lt;&gt;"acoes")))*INDEX(Inputs!$K$5:$AJ$110,0,MATCH(U$2,Inputs!$K$4:$AJ$4,0)))+SUMPRODUCT((Inputs!$E$5:$E$110=$B12)*Inputs!$F$5:$F$110*(((Inputs!$G$5:$G$110="moeda")+(Inputs!$G$5:$G$110="acoes"))*Inputs!$B$1+((Inputs!$G$5:$G$110&lt;&gt;"moeda")*(Inputs!$G$5:$G$110&lt;&gt;"acoes")))*INDEX(Inputs!$K$5:$AJ$110,0,MATCH(U$2,Inputs!$K$4:$AJ$4,0)))))</f>
        <v>0</v>
      </c>
      <c r="V12" s="267">
        <f>IF(ISNA(MATCH(V$2,Inputs!$K$4:$AJ$4,0)),NA(),IF(SUMPRODUCT((Inputs!$A$5:$A$110=$B12)*ISNUMBER(INDEX(Inputs!$K$5:$AJ$110,0,MATCH(V$2,Inputs!$K$4:$AJ$4,0))))+SUMPRODUCT((Inputs!$C$5:$C$110=$B12)*ISNUMBER(INDEX(Inputs!$K$5:$AJ$110,0,MATCH(V$2,Inputs!$K$4:$AJ$4,0))))+SUMPRODUCT((Inputs!$E$5:$E$110=$B12)*ISNUMBER(INDEX(Inputs!$K$5:$AJ$110,0,MATCH(V$2,Inputs!$K$4:$AJ$4,0))))=0,NA(),SUMPRODUCT((Inputs!$A$5:$A$110=$B12)*Inputs!$B$5:$B$110*(((Inputs!$G$5:$G$110="moeda")+(Inputs!$G$5:$G$110="acoes"))*Inputs!$B$1+((Inputs!$G$5:$G$110&lt;&gt;"moeda")*(Inputs!$G$5:$G$110&lt;&gt;"acoes")))*INDEX(Inputs!$K$5:$AJ$110,0,MATCH(V$2,Inputs!$K$4:$AJ$4,0)))+SUMPRODUCT((Inputs!$C$5:$C$110=$B12)*Inputs!$D$5:$D$110*(((Inputs!$G$5:$G$110="moeda")+(Inputs!$G$5:$G$110="acoes"))*Inputs!$B$1+((Inputs!$G$5:$G$110&lt;&gt;"moeda")*(Inputs!$G$5:$G$110&lt;&gt;"acoes")))*INDEX(Inputs!$K$5:$AJ$110,0,MATCH(V$2,Inputs!$K$4:$AJ$4,0)))+SUMPRODUCT((Inputs!$E$5:$E$110=$B12)*Inputs!$F$5:$F$110*(((Inputs!$G$5:$G$110="moeda")+(Inputs!$G$5:$G$110="acoes"))*Inputs!$B$1+((Inputs!$G$5:$G$110&lt;&gt;"moeda")*(Inputs!$G$5:$G$110&lt;&gt;"acoes")))*INDEX(Inputs!$K$5:$AJ$110,0,MATCH(V$2,Inputs!$K$4:$AJ$4,0)))))</f>
        <v>0</v>
      </c>
      <c r="W12" s="268">
        <f>SUM(S12:V12)</f>
        <v>0</v>
      </c>
      <c r="X12" s="267">
        <f>IF(ISNA(MATCH(X$2,Inputs!$K$4:$AJ$4,0)),NA(),IF(SUMPRODUCT((Inputs!$A$5:$A$110=$B12)*ISNUMBER(INDEX(Inputs!$K$5:$AJ$110,0,MATCH(X$2,Inputs!$K$4:$AJ$4,0))))+SUMPRODUCT((Inputs!$C$5:$C$110=$B12)*ISNUMBER(INDEX(Inputs!$K$5:$AJ$110,0,MATCH(X$2,Inputs!$K$4:$AJ$4,0))))+SUMPRODUCT((Inputs!$E$5:$E$110=$B12)*ISNUMBER(INDEX(Inputs!$K$5:$AJ$110,0,MATCH(X$2,Inputs!$K$4:$AJ$4,0))))=0,NA(),SUMPRODUCT((Inputs!$A$5:$A$110=$B12)*Inputs!$B$5:$B$110*(((Inputs!$G$5:$G$110="moeda")+(Inputs!$G$5:$G$110="acoes"))*Inputs!$B$1+((Inputs!$G$5:$G$110&lt;&gt;"moeda")*(Inputs!$G$5:$G$110&lt;&gt;"acoes")))*INDEX(Inputs!$K$5:$AJ$110,0,MATCH(X$2,Inputs!$K$4:$AJ$4,0)))+SUMPRODUCT((Inputs!$C$5:$C$110=$B12)*Inputs!$D$5:$D$110*(((Inputs!$G$5:$G$110="moeda")+(Inputs!$G$5:$G$110="acoes"))*Inputs!$B$1+((Inputs!$G$5:$G$110&lt;&gt;"moeda")*(Inputs!$G$5:$G$110&lt;&gt;"acoes")))*INDEX(Inputs!$K$5:$AJ$110,0,MATCH(X$2,Inputs!$K$4:$AJ$4,0)))+SUMPRODUCT((Inputs!$E$5:$E$110=$B12)*Inputs!$F$5:$F$110*(((Inputs!$G$5:$G$110="moeda")+(Inputs!$G$5:$G$110="acoes"))*Inputs!$B$1+((Inputs!$G$5:$G$110&lt;&gt;"moeda")*(Inputs!$G$5:$G$110&lt;&gt;"acoes")))*INDEX(Inputs!$K$5:$AJ$110,0,MATCH(X$2,Inputs!$K$4:$AJ$4,0)))))</f>
        <v>0</v>
      </c>
      <c r="Y12" s="267">
        <f>IF(ISNA(MATCH(Y$2,Inputs!$K$4:$AJ$4,0)),NA(),IF(SUMPRODUCT((Inputs!$A$5:$A$110=$B12)*ISNUMBER(INDEX(Inputs!$K$5:$AJ$110,0,MATCH(Y$2,Inputs!$K$4:$AJ$4,0))))+SUMPRODUCT((Inputs!$C$5:$C$110=$B12)*ISNUMBER(INDEX(Inputs!$K$5:$AJ$110,0,MATCH(Y$2,Inputs!$K$4:$AJ$4,0))))+SUMPRODUCT((Inputs!$E$5:$E$110=$B12)*ISNUMBER(INDEX(Inputs!$K$5:$AJ$110,0,MATCH(Y$2,Inputs!$K$4:$AJ$4,0))))=0,NA(),SUMPRODUCT((Inputs!$A$5:$A$110=$B12)*Inputs!$B$5:$B$110*(((Inputs!$G$5:$G$110="moeda")+(Inputs!$G$5:$G$110="acoes"))*Inputs!$B$1+((Inputs!$G$5:$G$110&lt;&gt;"moeda")*(Inputs!$G$5:$G$110&lt;&gt;"acoes")))*INDEX(Inputs!$K$5:$AJ$110,0,MATCH(Y$2,Inputs!$K$4:$AJ$4,0)))+SUMPRODUCT((Inputs!$C$5:$C$110=$B12)*Inputs!$D$5:$D$110*(((Inputs!$G$5:$G$110="moeda")+(Inputs!$G$5:$G$110="acoes"))*Inputs!$B$1+((Inputs!$G$5:$G$110&lt;&gt;"moeda")*(Inputs!$G$5:$G$110&lt;&gt;"acoes")))*INDEX(Inputs!$K$5:$AJ$110,0,MATCH(Y$2,Inputs!$K$4:$AJ$4,0)))+SUMPRODUCT((Inputs!$E$5:$E$110=$B12)*Inputs!$F$5:$F$110*(((Inputs!$G$5:$G$110="moeda")+(Inputs!$G$5:$G$110="acoes"))*Inputs!$B$1+((Inputs!$G$5:$G$110&lt;&gt;"moeda")*(Inputs!$G$5:$G$110&lt;&gt;"acoes")))*INDEX(Inputs!$K$5:$AJ$110,0,MATCH(Y$2,Inputs!$K$4:$AJ$4,0)))))</f>
        <v>0</v>
      </c>
      <c r="Z12" s="267">
        <f>IF(ISNA(MATCH(Z$2,Inputs!$K$4:$AJ$4,0)),NA(),IF(SUMPRODUCT((Inputs!$A$5:$A$110=$B12)*ISNUMBER(INDEX(Inputs!$K$5:$AJ$110,0,MATCH(Z$2,Inputs!$K$4:$AJ$4,0))))+SUMPRODUCT((Inputs!$C$5:$C$110=$B12)*ISNUMBER(INDEX(Inputs!$K$5:$AJ$110,0,MATCH(Z$2,Inputs!$K$4:$AJ$4,0))))+SUMPRODUCT((Inputs!$E$5:$E$110=$B12)*ISNUMBER(INDEX(Inputs!$K$5:$AJ$110,0,MATCH(Z$2,Inputs!$K$4:$AJ$4,0))))=0,NA(),SUMPRODUCT((Inputs!$A$5:$A$110=$B12)*Inputs!$B$5:$B$110*(((Inputs!$G$5:$G$110="moeda")+(Inputs!$G$5:$G$110="acoes"))*Inputs!$B$1+((Inputs!$G$5:$G$110&lt;&gt;"moeda")*(Inputs!$G$5:$G$110&lt;&gt;"acoes")))*INDEX(Inputs!$K$5:$AJ$110,0,MATCH(Z$2,Inputs!$K$4:$AJ$4,0)))+SUMPRODUCT((Inputs!$C$5:$C$110=$B12)*Inputs!$D$5:$D$110*(((Inputs!$G$5:$G$110="moeda")+(Inputs!$G$5:$G$110="acoes"))*Inputs!$B$1+((Inputs!$G$5:$G$110&lt;&gt;"moeda")*(Inputs!$G$5:$G$110&lt;&gt;"acoes")))*INDEX(Inputs!$K$5:$AJ$110,0,MATCH(Z$2,Inputs!$K$4:$AJ$4,0)))+SUMPRODUCT((Inputs!$E$5:$E$110=$B12)*Inputs!$F$5:$F$110*(((Inputs!$G$5:$G$110="moeda")+(Inputs!$G$5:$G$110="acoes"))*Inputs!$B$1+((Inputs!$G$5:$G$110&lt;&gt;"moeda")*(Inputs!$G$5:$G$110&lt;&gt;"acoes")))*INDEX(Inputs!$K$5:$AJ$110,0,MATCH(Z$2,Inputs!$K$4:$AJ$4,0)))))</f>
        <v>0</v>
      </c>
      <c r="AA12" s="267">
        <f>IF(ISNA(MATCH(AA$2,Inputs!$K$4:$AJ$4,0)),NA(),IF(SUMPRODUCT((Inputs!$A$5:$A$110=$B12)*ISNUMBER(INDEX(Inputs!$K$5:$AJ$110,0,MATCH(AA$2,Inputs!$K$4:$AJ$4,0))))+SUMPRODUCT((Inputs!$C$5:$C$110=$B12)*ISNUMBER(INDEX(Inputs!$K$5:$AJ$110,0,MATCH(AA$2,Inputs!$K$4:$AJ$4,0))))+SUMPRODUCT((Inputs!$E$5:$E$110=$B12)*ISNUMBER(INDEX(Inputs!$K$5:$AJ$110,0,MATCH(AA$2,Inputs!$K$4:$AJ$4,0))))=0,NA(),SUMPRODUCT((Inputs!$A$5:$A$110=$B12)*Inputs!$B$5:$B$110*(((Inputs!$G$5:$G$110="moeda")+(Inputs!$G$5:$G$110="acoes"))*Inputs!$B$1+((Inputs!$G$5:$G$110&lt;&gt;"moeda")*(Inputs!$G$5:$G$110&lt;&gt;"acoes")))*INDEX(Inputs!$K$5:$AJ$110,0,MATCH(AA$2,Inputs!$K$4:$AJ$4,0)))+SUMPRODUCT((Inputs!$C$5:$C$110=$B12)*Inputs!$D$5:$D$110*(((Inputs!$G$5:$G$110="moeda")+(Inputs!$G$5:$G$110="acoes"))*Inputs!$B$1+((Inputs!$G$5:$G$110&lt;&gt;"moeda")*(Inputs!$G$5:$G$110&lt;&gt;"acoes")))*INDEX(Inputs!$K$5:$AJ$110,0,MATCH(AA$2,Inputs!$K$4:$AJ$4,0)))+SUMPRODUCT((Inputs!$E$5:$E$110=$B12)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2" s="268">
        <f>SUM(X12:AA12)</f>
        <v>0</v>
      </c>
      <c r="AC12" s="267">
        <f>IF(ISNA(MATCH(AC$2,Inputs!$K$4:$AJ$4,0)),NA(),IF(SUMPRODUCT((Inputs!$A$5:$A$110=$B12)*ISNUMBER(INDEX(Inputs!$K$5:$AJ$110,0,MATCH(AC$2,Inputs!$K$4:$AJ$4,0))))+SUMPRODUCT((Inputs!$C$5:$C$110=$B12)*ISNUMBER(INDEX(Inputs!$K$5:$AJ$110,0,MATCH(AC$2,Inputs!$K$4:$AJ$4,0))))+SUMPRODUCT((Inputs!$E$5:$E$110=$B12)*ISNUMBER(INDEX(Inputs!$K$5:$AJ$110,0,MATCH(AC$2,Inputs!$K$4:$AJ$4,0))))=0,NA(),SUMPRODUCT((Inputs!$A$5:$A$110=$B12)*Inputs!$B$5:$B$110*(((Inputs!$G$5:$G$110="moeda")+(Inputs!$G$5:$G$110="acoes"))*Inputs!$B$1+((Inputs!$G$5:$G$110&lt;&gt;"moeda")*(Inputs!$G$5:$G$110&lt;&gt;"acoes")))*INDEX(Inputs!$K$5:$AJ$110,0,MATCH(AC$2,Inputs!$K$4:$AJ$4,0)))+SUMPRODUCT((Inputs!$C$5:$C$110=$B12)*Inputs!$D$5:$D$110*(((Inputs!$G$5:$G$110="moeda")+(Inputs!$G$5:$G$110="acoes"))*Inputs!$B$1+((Inputs!$G$5:$G$110&lt;&gt;"moeda")*(Inputs!$G$5:$G$110&lt;&gt;"acoes")))*INDEX(Inputs!$K$5:$AJ$110,0,MATCH(AC$2,Inputs!$K$4:$AJ$4,0)))+SUMPRODUCT((Inputs!$E$5:$E$110=$B12)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2" s="267">
        <f>IF(ISNA(MATCH(AD$2,Inputs!$K$4:$AJ$4,0)),NA(),IF(SUMPRODUCT((Inputs!$A$5:$A$110=$B12)*ISNUMBER(INDEX(Inputs!$K$5:$AJ$110,0,MATCH(AD$2,Inputs!$K$4:$AJ$4,0))))+SUMPRODUCT((Inputs!$C$5:$C$110=$B12)*ISNUMBER(INDEX(Inputs!$K$5:$AJ$110,0,MATCH(AD$2,Inputs!$K$4:$AJ$4,0))))+SUMPRODUCT((Inputs!$E$5:$E$110=$B12)*ISNUMBER(INDEX(Inputs!$K$5:$AJ$110,0,MATCH(AD$2,Inputs!$K$4:$AJ$4,0))))=0,NA(),SUMPRODUCT((Inputs!$A$5:$A$110=$B12)*Inputs!$B$5:$B$110*(((Inputs!$G$5:$G$110="moeda")+(Inputs!$G$5:$G$110="acoes"))*Inputs!$B$1+((Inputs!$G$5:$G$110&lt;&gt;"moeda")*(Inputs!$G$5:$G$110&lt;&gt;"acoes")))*INDEX(Inputs!$K$5:$AJ$110,0,MATCH(AD$2,Inputs!$K$4:$AJ$4,0)))+SUMPRODUCT((Inputs!$C$5:$C$110=$B12)*Inputs!$D$5:$D$110*(((Inputs!$G$5:$G$110="moeda")+(Inputs!$G$5:$G$110="acoes"))*Inputs!$B$1+((Inputs!$G$5:$G$110&lt;&gt;"moeda")*(Inputs!$G$5:$G$110&lt;&gt;"acoes")))*INDEX(Inputs!$K$5:$AJ$110,0,MATCH(AD$2,Inputs!$K$4:$AJ$4,0)))+SUMPRODUCT((Inputs!$E$5:$E$110=$B12)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2" s="267" t="e">
        <f>IF(ISNA(MATCH(AE$2,Inputs!$K$4:$AJ$4,0)),NA(),IF(SUMPRODUCT((Inputs!$A$5:$A$110=$B12)*ISNUMBER(INDEX(Inputs!$K$5:$AJ$110,0,MATCH(AE$2,Inputs!$K$4:$AJ$4,0))))+SUMPRODUCT((Inputs!$C$5:$C$110=$B12)*ISNUMBER(INDEX(Inputs!$K$5:$AJ$110,0,MATCH(AE$2,Inputs!$K$4:$AJ$4,0))))+SUMPRODUCT((Inputs!$E$5:$E$110=$B12)*ISNUMBER(INDEX(Inputs!$K$5:$AJ$110,0,MATCH(AE$2,Inputs!$K$4:$AJ$4,0))))=0,NA(),SUMPRODUCT((Inputs!$A$5:$A$110=$B12)*Inputs!$B$5:$B$110*(((Inputs!$G$5:$G$110="moeda")+(Inputs!$G$5:$G$110="acoes"))*Inputs!$B$1+((Inputs!$G$5:$G$110&lt;&gt;"moeda")*(Inputs!$G$5:$G$110&lt;&gt;"acoes")))*INDEX(Inputs!$K$5:$AJ$110,0,MATCH(AE$2,Inputs!$K$4:$AJ$4,0)))+SUMPRODUCT((Inputs!$C$5:$C$110=$B12)*Inputs!$D$5:$D$110*(((Inputs!$G$5:$G$110="moeda")+(Inputs!$G$5:$G$110="acoes"))*Inputs!$B$1+((Inputs!$G$5:$G$110&lt;&gt;"moeda")*(Inputs!$G$5:$G$110&lt;&gt;"acoes")))*INDEX(Inputs!$K$5:$AJ$110,0,MATCH(AE$2,Inputs!$K$4:$AJ$4,0)))+SUMPRODUCT((Inputs!$E$5:$E$110=$B12)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2" s="267" t="e">
        <f>IF(ISNA(MATCH(AF$2,Inputs!$K$4:$AJ$4,0)),NA(),IF(SUMPRODUCT((Inputs!$A$5:$A$110=$B12)*ISNUMBER(INDEX(Inputs!$K$5:$AJ$110,0,MATCH(AF$2,Inputs!$K$4:$AJ$4,0))))+SUMPRODUCT((Inputs!$C$5:$C$110=$B12)*ISNUMBER(INDEX(Inputs!$K$5:$AJ$110,0,MATCH(AF$2,Inputs!$K$4:$AJ$4,0))))+SUMPRODUCT((Inputs!$E$5:$E$110=$B12)*ISNUMBER(INDEX(Inputs!$K$5:$AJ$110,0,MATCH(AF$2,Inputs!$K$4:$AJ$4,0))))=0,NA(),SUMPRODUCT((Inputs!$A$5:$A$110=$B12)*Inputs!$B$5:$B$110*(((Inputs!$G$5:$G$110="moeda")+(Inputs!$G$5:$G$110="acoes"))*Inputs!$B$1+((Inputs!$G$5:$G$110&lt;&gt;"moeda")*(Inputs!$G$5:$G$110&lt;&gt;"acoes")))*INDEX(Inputs!$K$5:$AJ$110,0,MATCH(AF$2,Inputs!$K$4:$AJ$4,0)))+SUMPRODUCT((Inputs!$C$5:$C$110=$B12)*Inputs!$D$5:$D$110*(((Inputs!$G$5:$G$110="moeda")+(Inputs!$G$5:$G$110="acoes"))*Inputs!$B$1+((Inputs!$G$5:$G$110&lt;&gt;"moeda")*(Inputs!$G$5:$G$110&lt;&gt;"acoes")))*INDEX(Inputs!$K$5:$AJ$110,0,MATCH(AF$2,Inputs!$K$4:$AJ$4,0)))+SUMPRODUCT((Inputs!$E$5:$E$110=$B12)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2" s="268" t="e">
        <f>SUM(AC12:AF12)</f>
        <v>#N/A</v>
      </c>
      <c r="AH12" s="267">
        <f>IF(ISNA(MATCH(AH$2,Inputs!$K$4:$AJ$4,0)),NA(),IF(SUMPRODUCT((Inputs!$A$5:$A$110=$B12)*ISNUMBER(INDEX(Inputs!$K$5:$AJ$110,0,MATCH(AH$2,Inputs!$K$4:$AJ$4,0))))+SUMPRODUCT((Inputs!$C$5:$C$110=$B12)*ISNUMBER(INDEX(Inputs!$K$5:$AJ$110,0,MATCH(AH$2,Inputs!$K$4:$AJ$4,0))))+SUMPRODUCT((Inputs!$E$5:$E$110=$B12)*ISNUMBER(INDEX(Inputs!$K$5:$AJ$110,0,MATCH(AH$2,Inputs!$K$4:$AJ$4,0))))=0,NA(),SUMPRODUCT((Inputs!$A$5:$A$110=$B12)*Inputs!$B$5:$B$110*(((Inputs!$G$5:$G$110="moeda")+(Inputs!$G$5:$G$110="acoes"))*Inputs!$B$1+((Inputs!$G$5:$G$110&lt;&gt;"moeda")*(Inputs!$G$5:$G$110&lt;&gt;"acoes")))*INDEX(Inputs!$K$5:$AJ$110,0,MATCH(AH$2,Inputs!$K$4:$AJ$4,0)))+SUMPRODUCT((Inputs!$C$5:$C$110=$B12)*Inputs!$D$5:$D$110*(((Inputs!$G$5:$G$110="moeda")+(Inputs!$G$5:$G$110="acoes"))*Inputs!$B$1+((Inputs!$G$5:$G$110&lt;&gt;"moeda")*(Inputs!$G$5:$G$110&lt;&gt;"acoes")))*INDEX(Inputs!$K$5:$AJ$110,0,MATCH(AH$2,Inputs!$K$4:$AJ$4,0)))+SUMPRODUCT((Inputs!$E$5:$E$110=$B12)*Inputs!$F$5:$F$110*(((Inputs!$G$5:$G$110="moeda")+(Inputs!$G$5:$G$110="acoes"))*Inputs!$B$1+((Inputs!$G$5:$G$110&lt;&gt;"moeda")*(Inputs!$G$5:$G$110&lt;&gt;"acoes")))*INDEX(Inputs!$K$5:$AJ$110,0,MATCH(AH$2,Inputs!$K$4:$AJ$4,0)))))</f>
        <v>-16</v>
      </c>
      <c r="AI12" s="267">
        <f>IF(ISNA(MATCH(AI$2,Inputs!$K$4:$AJ$4,0)),NA(),IF(SUMPRODUCT((Inputs!$A$5:$A$110=$B12)*ISNUMBER(INDEX(Inputs!$K$5:$AJ$110,0,MATCH(AI$2,Inputs!$K$4:$AJ$4,0))))+SUMPRODUCT((Inputs!$C$5:$C$110=$B12)*ISNUMBER(INDEX(Inputs!$K$5:$AJ$110,0,MATCH(AI$2,Inputs!$K$4:$AJ$4,0))))+SUMPRODUCT((Inputs!$E$5:$E$110=$B12)*ISNUMBER(INDEX(Inputs!$K$5:$AJ$110,0,MATCH(AI$2,Inputs!$K$4:$AJ$4,0))))=0,NA(),SUMPRODUCT((Inputs!$A$5:$A$110=$B12)*Inputs!$B$5:$B$110*(((Inputs!$G$5:$G$110="moeda")+(Inputs!$G$5:$G$110="acoes"))*Inputs!$B$1+((Inputs!$G$5:$G$110&lt;&gt;"moeda")*(Inputs!$G$5:$G$110&lt;&gt;"acoes")))*INDEX(Inputs!$K$5:$AJ$110,0,MATCH(AI$2,Inputs!$K$4:$AJ$4,0)))+SUMPRODUCT((Inputs!$C$5:$C$110=$B12)*Inputs!$D$5:$D$110*(((Inputs!$G$5:$G$110="moeda")+(Inputs!$G$5:$G$110="acoes"))*Inputs!$B$1+((Inputs!$G$5:$G$110&lt;&gt;"moeda")*(Inputs!$G$5:$G$110&lt;&gt;"acoes")))*INDEX(Inputs!$K$5:$AJ$110,0,MATCH(AI$2,Inputs!$K$4:$AJ$4,0)))+SUMPRODUCT((Inputs!$E$5:$E$110=$B12)*Inputs!$F$5:$F$110*(((Inputs!$G$5:$G$110="moeda")+(Inputs!$G$5:$G$110="acoes"))*Inputs!$B$1+((Inputs!$G$5:$G$110&lt;&gt;"moeda")*(Inputs!$G$5:$G$110&lt;&gt;"acoes")))*INDEX(Inputs!$K$5:$AJ$110,0,MATCH(AI$2,Inputs!$K$4:$AJ$4,0)))))</f>
        <v>-14</v>
      </c>
      <c r="AJ12" s="267">
        <f>IF(ISNA(MATCH(AJ$2,Inputs!$K$4:$AJ$4,0)),NA(),IF(SUMPRODUCT((Inputs!$A$5:$A$110=$B12)*ISNUMBER(INDEX(Inputs!$K$5:$AJ$110,0,MATCH(AJ$2,Inputs!$K$4:$AJ$4,0))))+SUMPRODUCT((Inputs!$C$5:$C$110=$B12)*ISNUMBER(INDEX(Inputs!$K$5:$AJ$110,0,MATCH(AJ$2,Inputs!$K$4:$AJ$4,0))))+SUMPRODUCT((Inputs!$E$5:$E$110=$B12)*ISNUMBER(INDEX(Inputs!$K$5:$AJ$110,0,MATCH(AJ$2,Inputs!$K$4:$AJ$4,0))))=0,NA(),SUMPRODUCT((Inputs!$A$5:$A$110=$B12)*Inputs!$B$5:$B$110*(((Inputs!$G$5:$G$110="moeda")+(Inputs!$G$5:$G$110="acoes"))*Inputs!$B$1+((Inputs!$G$5:$G$110&lt;&gt;"moeda")*(Inputs!$G$5:$G$110&lt;&gt;"acoes")))*INDEX(Inputs!$K$5:$AJ$110,0,MATCH(AJ$2,Inputs!$K$4:$AJ$4,0)))+SUMPRODUCT((Inputs!$C$5:$C$110=$B12)*Inputs!$D$5:$D$110*(((Inputs!$G$5:$G$110="moeda")+(Inputs!$G$5:$G$110="acoes"))*Inputs!$B$1+((Inputs!$G$5:$G$110&lt;&gt;"moeda")*(Inputs!$G$5:$G$110&lt;&gt;"acoes")))*INDEX(Inputs!$K$5:$AJ$110,0,MATCH(AJ$2,Inputs!$K$4:$AJ$4,0)))+SUMPRODUCT((Inputs!$E$5:$E$110=$B12)*Inputs!$F$5:$F$110*(((Inputs!$G$5:$G$110="moeda")+(Inputs!$G$5:$G$110="acoes"))*Inputs!$B$1+((Inputs!$G$5:$G$110&lt;&gt;"moeda")*(Inputs!$G$5:$G$110&lt;&gt;"acoes")))*INDEX(Inputs!$K$5:$AJ$110,0,MATCH(AJ$2,Inputs!$K$4:$AJ$4,0)))))</f>
        <v>-15</v>
      </c>
      <c r="AK12" s="267">
        <f>IF(ISNA(MATCH(AK$2,Inputs!$K$4:$AJ$4,0)),NA(),IF(SUMPRODUCT((Inputs!$A$5:$A$110=$B12)*ISNUMBER(INDEX(Inputs!$K$5:$AJ$110,0,MATCH(AK$2,Inputs!$K$4:$AJ$4,0))))+SUMPRODUCT((Inputs!$C$5:$C$110=$B12)*ISNUMBER(INDEX(Inputs!$K$5:$AJ$110,0,MATCH(AK$2,Inputs!$K$4:$AJ$4,0))))+SUMPRODUCT((Inputs!$E$5:$E$110=$B12)*ISNUMBER(INDEX(Inputs!$K$5:$AJ$110,0,MATCH(AK$2,Inputs!$K$4:$AJ$4,0))))=0,NA(),SUMPRODUCT((Inputs!$A$5:$A$110=$B12)*Inputs!$B$5:$B$110*(((Inputs!$G$5:$G$110="moeda")+(Inputs!$G$5:$G$110="acoes"))*Inputs!$B$1+((Inputs!$G$5:$G$110&lt;&gt;"moeda")*(Inputs!$G$5:$G$110&lt;&gt;"acoes")))*INDEX(Inputs!$K$5:$AJ$110,0,MATCH(AK$2,Inputs!$K$4:$AJ$4,0)))+SUMPRODUCT((Inputs!$C$5:$C$110=$B12)*Inputs!$D$5:$D$110*(((Inputs!$G$5:$G$110="moeda")+(Inputs!$G$5:$G$110="acoes"))*Inputs!$B$1+((Inputs!$G$5:$G$110&lt;&gt;"moeda")*(Inputs!$G$5:$G$110&lt;&gt;"acoes")))*INDEX(Inputs!$K$5:$AJ$110,0,MATCH(AK$2,Inputs!$K$4:$AJ$4,0)))+SUMPRODUCT((Inputs!$E$5:$E$110=$B12)*Inputs!$F$5:$F$110*(((Inputs!$G$5:$G$110="moeda")+(Inputs!$G$5:$G$110="acoes"))*Inputs!$B$1+((Inputs!$G$5:$G$110&lt;&gt;"moeda")*(Inputs!$G$5:$G$110&lt;&gt;"acoes")))*INDEX(Inputs!$K$5:$AJ$110,0,MATCH(AK$2,Inputs!$K$4:$AJ$4,0)))))</f>
        <v>-15</v>
      </c>
      <c r="AL12" s="268">
        <f>SUM(AH12:AK12)</f>
        <v>-60</v>
      </c>
    </row>
    <row r="13" ht="12.75" customHeight="1" s="255">
      <c r="B13" s="265" t="n">
        <v>10</v>
      </c>
      <c r="C13" s="269" t="inlineStr">
        <is>
          <t>Common Dividends</t>
        </is>
      </c>
      <c r="D13" s="267">
        <f>IF(ISNA(MATCH(D$2,Inputs!$K$4:$AJ$4,0)),NA(),IF(SUMPRODUCT((Inputs!$A$5:$A$110=$B13)*ISNUMBER(INDEX(Inputs!$K$5:$AJ$110,0,MATCH(D$2,Inputs!$K$4:$AJ$4,0))))+SUMPRODUCT((Inputs!$C$5:$C$110=$B13)*ISNUMBER(INDEX(Inputs!$K$5:$AJ$110,0,MATCH(D$2,Inputs!$K$4:$AJ$4,0))))+SUMPRODUCT((Inputs!$E$5:$E$110=$B13)*ISNUMBER(INDEX(Inputs!$K$5:$AJ$110,0,MATCH(D$2,Inputs!$K$4:$AJ$4,0))))=0,NA(),SUMPRODUCT((Inputs!$A$5:$A$110=$B13)*Inputs!$B$5:$B$110*(((Inputs!$G$5:$G$110="moeda")+(Inputs!$G$5:$G$110="acoes"))*Inputs!$B$1+((Inputs!$G$5:$G$110&lt;&gt;"moeda")*(Inputs!$G$5:$G$110&lt;&gt;"acoes")))*INDEX(Inputs!$K$5:$AJ$110,0,MATCH(D$2,Inputs!$K$4:$AJ$4,0)))+SUMPRODUCT((Inputs!$C$5:$C$110=$B13)*Inputs!$D$5:$D$110*(((Inputs!$G$5:$G$110="moeda")+(Inputs!$G$5:$G$110="acoes"))*Inputs!$B$1+((Inputs!$G$5:$G$110&lt;&gt;"moeda")*(Inputs!$G$5:$G$110&lt;&gt;"acoes")))*INDEX(Inputs!$K$5:$AJ$110,0,MATCH(D$2,Inputs!$K$4:$AJ$4,0)))+SUMPRODUCT((Inputs!$E$5:$E$110=$B13)*Inputs!$F$5:$F$110*(((Inputs!$G$5:$G$110="moeda")+(Inputs!$G$5:$G$110="acoes"))*Inputs!$B$1+((Inputs!$G$5:$G$110&lt;&gt;"moeda")*(Inputs!$G$5:$G$110&lt;&gt;"acoes")))*INDEX(Inputs!$K$5:$AJ$110,0,MATCH(D$2,Inputs!$K$4:$AJ$4,0)))))</f>
        <v>-4430</v>
      </c>
      <c r="E13" s="267">
        <f>IF(ISNA(MATCH(E$2,Inputs!$K$4:$AJ$4,0)),NA(),IF(SUMPRODUCT((Inputs!$A$5:$A$110=$B13)*ISNUMBER(INDEX(Inputs!$K$5:$AJ$110,0,MATCH(E$2,Inputs!$K$4:$AJ$4,0))))+SUMPRODUCT((Inputs!$C$5:$C$110=$B13)*ISNUMBER(INDEX(Inputs!$K$5:$AJ$110,0,MATCH(E$2,Inputs!$K$4:$AJ$4,0))))+SUMPRODUCT((Inputs!$E$5:$E$110=$B13)*ISNUMBER(INDEX(Inputs!$K$5:$AJ$110,0,MATCH(E$2,Inputs!$K$4:$AJ$4,0))))=0,NA(),SUMPRODUCT((Inputs!$A$5:$A$110=$B13)*Inputs!$B$5:$B$110*(((Inputs!$G$5:$G$110="moeda")+(Inputs!$G$5:$G$110="acoes"))*Inputs!$B$1+((Inputs!$G$5:$G$110&lt;&gt;"moeda")*(Inputs!$G$5:$G$110&lt;&gt;"acoes")))*INDEX(Inputs!$K$5:$AJ$110,0,MATCH(E$2,Inputs!$K$4:$AJ$4,0)))+SUMPRODUCT((Inputs!$C$5:$C$110=$B13)*Inputs!$D$5:$D$110*(((Inputs!$G$5:$G$110="moeda")+(Inputs!$G$5:$G$110="acoes"))*Inputs!$B$1+((Inputs!$G$5:$G$110&lt;&gt;"moeda")*(Inputs!$G$5:$G$110&lt;&gt;"acoes")))*INDEX(Inputs!$K$5:$AJ$110,0,MATCH(E$2,Inputs!$K$4:$AJ$4,0)))+SUMPRODUCT((Inputs!$E$5:$E$110=$B13)*Inputs!$F$5:$F$110*(((Inputs!$G$5:$G$110="moeda")+(Inputs!$G$5:$G$110="acoes"))*Inputs!$B$1+((Inputs!$G$5:$G$110&lt;&gt;"moeda")*(Inputs!$G$5:$G$110&lt;&gt;"acoes")))*INDEX(Inputs!$K$5:$AJ$110,0,MATCH(E$2,Inputs!$K$4:$AJ$4,0)))))</f>
        <v>-310</v>
      </c>
      <c r="F13" s="267">
        <f>IF(ISNA(MATCH(F$2,Inputs!$K$4:$AJ$4,0)),NA(),IF(SUMPRODUCT((Inputs!$A$5:$A$110=$B13)*ISNUMBER(INDEX(Inputs!$K$5:$AJ$110,0,MATCH(F$2,Inputs!$K$4:$AJ$4,0))))+SUMPRODUCT((Inputs!$C$5:$C$110=$B13)*ISNUMBER(INDEX(Inputs!$K$5:$AJ$110,0,MATCH(F$2,Inputs!$K$4:$AJ$4,0))))+SUMPRODUCT((Inputs!$E$5:$E$110=$B13)*ISNUMBER(INDEX(Inputs!$K$5:$AJ$110,0,MATCH(F$2,Inputs!$K$4:$AJ$4,0))))=0,NA(),SUMPRODUCT((Inputs!$A$5:$A$110=$B13)*Inputs!$B$5:$B$110*(((Inputs!$G$5:$G$110="moeda")+(Inputs!$G$5:$G$110="acoes"))*Inputs!$B$1+((Inputs!$G$5:$G$110&lt;&gt;"moeda")*(Inputs!$G$5:$G$110&lt;&gt;"acoes")))*INDEX(Inputs!$K$5:$AJ$110,0,MATCH(F$2,Inputs!$K$4:$AJ$4,0)))+SUMPRODUCT((Inputs!$C$5:$C$110=$B13)*Inputs!$D$5:$D$110*(((Inputs!$G$5:$G$110="moeda")+(Inputs!$G$5:$G$110="acoes"))*Inputs!$B$1+((Inputs!$G$5:$G$110&lt;&gt;"moeda")*(Inputs!$G$5:$G$110&lt;&gt;"acoes")))*INDEX(Inputs!$K$5:$AJ$110,0,MATCH(F$2,Inputs!$K$4:$AJ$4,0)))+SUMPRODUCT((Inputs!$E$5:$E$110=$B13)*Inputs!$F$5:$F$110*(((Inputs!$G$5:$G$110="moeda")+(Inputs!$G$5:$G$110="acoes"))*Inputs!$B$1+((Inputs!$G$5:$G$110&lt;&gt;"moeda")*(Inputs!$G$5:$G$110&lt;&gt;"acoes")))*INDEX(Inputs!$K$5:$AJ$110,0,MATCH(F$2,Inputs!$K$4:$AJ$4,0)))))</f>
        <v>-698</v>
      </c>
      <c r="G13" s="267">
        <f>IF(ISNA(MATCH(G$2,Inputs!$K$4:$AJ$4,0)),NA(),IF(SUMPRODUCT((Inputs!$A$5:$A$110=$B13)*ISNUMBER(INDEX(Inputs!$K$5:$AJ$110,0,MATCH(G$2,Inputs!$K$4:$AJ$4,0))))+SUMPRODUCT((Inputs!$C$5:$C$110=$B13)*ISNUMBER(INDEX(Inputs!$K$5:$AJ$110,0,MATCH(G$2,Inputs!$K$4:$AJ$4,0))))+SUMPRODUCT((Inputs!$E$5:$E$110=$B13)*ISNUMBER(INDEX(Inputs!$K$5:$AJ$110,0,MATCH(G$2,Inputs!$K$4:$AJ$4,0))))=0,NA(),SUMPRODUCT((Inputs!$A$5:$A$110=$B13)*Inputs!$B$5:$B$110*(((Inputs!$G$5:$G$110="moeda")+(Inputs!$G$5:$G$110="acoes"))*Inputs!$B$1+((Inputs!$G$5:$G$110&lt;&gt;"moeda")*(Inputs!$G$5:$G$110&lt;&gt;"acoes")))*INDEX(Inputs!$K$5:$AJ$110,0,MATCH(G$2,Inputs!$K$4:$AJ$4,0)))+SUMPRODUCT((Inputs!$C$5:$C$110=$B13)*Inputs!$D$5:$D$110*(((Inputs!$G$5:$G$110="moeda")+(Inputs!$G$5:$G$110="acoes"))*Inputs!$B$1+((Inputs!$G$5:$G$110&lt;&gt;"moeda")*(Inputs!$G$5:$G$110&lt;&gt;"acoes")))*INDEX(Inputs!$K$5:$AJ$110,0,MATCH(G$2,Inputs!$K$4:$AJ$4,0)))+SUMPRODUCT((Inputs!$E$5:$E$110=$B13)*Inputs!$F$5:$F$110*(((Inputs!$G$5:$G$110="moeda")+(Inputs!$G$5:$G$110="acoes"))*Inputs!$B$1+((Inputs!$G$5:$G$110&lt;&gt;"moeda")*(Inputs!$G$5:$G$110&lt;&gt;"acoes")))*INDEX(Inputs!$K$5:$AJ$110,0,MATCH(G$2,Inputs!$K$4:$AJ$4,0)))))</f>
        <v>-350</v>
      </c>
      <c r="H13" s="268">
        <f>SUM(D13:G13)</f>
        <v>-5788</v>
      </c>
      <c r="I13" s="267">
        <f>IF(ISNA(MATCH(I$2,Inputs!$K$4:$AJ$4,0)),NA(),IF(SUMPRODUCT((Inputs!$A$5:$A$110=$B13)*ISNUMBER(INDEX(Inputs!$K$5:$AJ$110,0,MATCH(I$2,Inputs!$K$4:$AJ$4,0))))+SUMPRODUCT((Inputs!$C$5:$C$110=$B13)*ISNUMBER(INDEX(Inputs!$K$5:$AJ$110,0,MATCH(I$2,Inputs!$K$4:$AJ$4,0))))+SUMPRODUCT((Inputs!$E$5:$E$110=$B13)*ISNUMBER(INDEX(Inputs!$K$5:$AJ$110,0,MATCH(I$2,Inputs!$K$4:$AJ$4,0))))=0,NA(),SUMPRODUCT((Inputs!$A$5:$A$110=$B13)*Inputs!$B$5:$B$110*(((Inputs!$G$5:$G$110="moeda")+(Inputs!$G$5:$G$110="acoes"))*Inputs!$B$1+((Inputs!$G$5:$G$110&lt;&gt;"moeda")*(Inputs!$G$5:$G$110&lt;&gt;"acoes")))*INDEX(Inputs!$K$5:$AJ$110,0,MATCH(I$2,Inputs!$K$4:$AJ$4,0)))+SUMPRODUCT((Inputs!$C$5:$C$110=$B13)*Inputs!$D$5:$D$110*(((Inputs!$G$5:$G$110="moeda")+(Inputs!$G$5:$G$110="acoes"))*Inputs!$B$1+((Inputs!$G$5:$G$110&lt;&gt;"moeda")*(Inputs!$G$5:$G$110&lt;&gt;"acoes")))*INDEX(Inputs!$K$5:$AJ$110,0,MATCH(I$2,Inputs!$K$4:$AJ$4,0)))+SUMPRODUCT((Inputs!$E$5:$E$110=$B13)*Inputs!$F$5:$F$110*(((Inputs!$G$5:$G$110="moeda")+(Inputs!$G$5:$G$110="acoes"))*Inputs!$B$1+((Inputs!$G$5:$G$110&lt;&gt;"moeda")*(Inputs!$G$5:$G$110&lt;&gt;"acoes")))*INDEX(Inputs!$K$5:$AJ$110,0,MATCH(I$2,Inputs!$K$4:$AJ$4,0)))))</f>
        <v>0</v>
      </c>
      <c r="J13" s="267">
        <f>IF(ISNA(MATCH(J$2,Inputs!$K$4:$AJ$4,0)),NA(),IF(SUMPRODUCT((Inputs!$A$5:$A$110=$B13)*ISNUMBER(INDEX(Inputs!$K$5:$AJ$110,0,MATCH(J$2,Inputs!$K$4:$AJ$4,0))))+SUMPRODUCT((Inputs!$C$5:$C$110=$B13)*ISNUMBER(INDEX(Inputs!$K$5:$AJ$110,0,MATCH(J$2,Inputs!$K$4:$AJ$4,0))))+SUMPRODUCT((Inputs!$E$5:$E$110=$B13)*ISNUMBER(INDEX(Inputs!$K$5:$AJ$110,0,MATCH(J$2,Inputs!$K$4:$AJ$4,0))))=0,NA(),SUMPRODUCT((Inputs!$A$5:$A$110=$B13)*Inputs!$B$5:$B$110*(((Inputs!$G$5:$G$110="moeda")+(Inputs!$G$5:$G$110="acoes"))*Inputs!$B$1+((Inputs!$G$5:$G$110&lt;&gt;"moeda")*(Inputs!$G$5:$G$110&lt;&gt;"acoes")))*INDEX(Inputs!$K$5:$AJ$110,0,MATCH(J$2,Inputs!$K$4:$AJ$4,0)))+SUMPRODUCT((Inputs!$C$5:$C$110=$B13)*Inputs!$D$5:$D$110*(((Inputs!$G$5:$G$110="moeda")+(Inputs!$G$5:$G$110="acoes"))*Inputs!$B$1+((Inputs!$G$5:$G$110&lt;&gt;"moeda")*(Inputs!$G$5:$G$110&lt;&gt;"acoes")))*INDEX(Inputs!$K$5:$AJ$110,0,MATCH(J$2,Inputs!$K$4:$AJ$4,0)))+SUMPRODUCT((Inputs!$E$5:$E$110=$B13)*Inputs!$F$5:$F$110*(((Inputs!$G$5:$G$110="moeda")+(Inputs!$G$5:$G$110="acoes"))*Inputs!$B$1+((Inputs!$G$5:$G$110&lt;&gt;"moeda")*(Inputs!$G$5:$G$110&lt;&gt;"acoes")))*INDEX(Inputs!$K$5:$AJ$110,0,MATCH(J$2,Inputs!$K$4:$AJ$4,0)))))</f>
        <v>-351</v>
      </c>
      <c r="K13" s="267">
        <f>IF(ISNA(MATCH(K$2,Inputs!$K$4:$AJ$4,0)),NA(),IF(SUMPRODUCT((Inputs!$A$5:$A$110=$B13)*ISNUMBER(INDEX(Inputs!$K$5:$AJ$110,0,MATCH(K$2,Inputs!$K$4:$AJ$4,0))))+SUMPRODUCT((Inputs!$C$5:$C$110=$B13)*ISNUMBER(INDEX(Inputs!$K$5:$AJ$110,0,MATCH(K$2,Inputs!$K$4:$AJ$4,0))))+SUMPRODUCT((Inputs!$E$5:$E$110=$B13)*ISNUMBER(INDEX(Inputs!$K$5:$AJ$110,0,MATCH(K$2,Inputs!$K$4:$AJ$4,0))))=0,NA(),SUMPRODUCT((Inputs!$A$5:$A$110=$B13)*Inputs!$B$5:$B$110*(((Inputs!$G$5:$G$110="moeda")+(Inputs!$G$5:$G$110="acoes"))*Inputs!$B$1+((Inputs!$G$5:$G$110&lt;&gt;"moeda")*(Inputs!$G$5:$G$110&lt;&gt;"acoes")))*INDEX(Inputs!$K$5:$AJ$110,0,MATCH(K$2,Inputs!$K$4:$AJ$4,0)))+SUMPRODUCT((Inputs!$C$5:$C$110=$B13)*Inputs!$D$5:$D$110*(((Inputs!$G$5:$G$110="moeda")+(Inputs!$G$5:$G$110="acoes"))*Inputs!$B$1+((Inputs!$G$5:$G$110&lt;&gt;"moeda")*(Inputs!$G$5:$G$110&lt;&gt;"acoes")))*INDEX(Inputs!$K$5:$AJ$110,0,MATCH(K$2,Inputs!$K$4:$AJ$4,0)))+SUMPRODUCT((Inputs!$E$5:$E$110=$B13)*Inputs!$F$5:$F$110*(((Inputs!$G$5:$G$110="moeda")+(Inputs!$G$5:$G$110="acoes"))*Inputs!$B$1+((Inputs!$G$5:$G$110&lt;&gt;"moeda")*(Inputs!$G$5:$G$110&lt;&gt;"acoes")))*INDEX(Inputs!$K$5:$AJ$110,0,MATCH(K$2,Inputs!$K$4:$AJ$4,0)))))</f>
        <v>-797</v>
      </c>
      <c r="L13" s="267">
        <f>IF(ISNA(MATCH(L$2,Inputs!$K$4:$AJ$4,0)),NA(),IF(SUMPRODUCT((Inputs!$A$5:$A$110=$B13)*ISNUMBER(INDEX(Inputs!$K$5:$AJ$110,0,MATCH(L$2,Inputs!$K$4:$AJ$4,0))))+SUMPRODUCT((Inputs!$C$5:$C$110=$B13)*ISNUMBER(INDEX(Inputs!$K$5:$AJ$110,0,MATCH(L$2,Inputs!$K$4:$AJ$4,0))))+SUMPRODUCT((Inputs!$E$5:$E$110=$B13)*ISNUMBER(INDEX(Inputs!$K$5:$AJ$110,0,MATCH(L$2,Inputs!$K$4:$AJ$4,0))))=0,NA(),SUMPRODUCT((Inputs!$A$5:$A$110=$B13)*Inputs!$B$5:$B$110*(((Inputs!$G$5:$G$110="moeda")+(Inputs!$G$5:$G$110="acoes"))*Inputs!$B$1+((Inputs!$G$5:$G$110&lt;&gt;"moeda")*(Inputs!$G$5:$G$110&lt;&gt;"acoes")))*INDEX(Inputs!$K$5:$AJ$110,0,MATCH(L$2,Inputs!$K$4:$AJ$4,0)))+SUMPRODUCT((Inputs!$C$5:$C$110=$B13)*Inputs!$D$5:$D$110*(((Inputs!$G$5:$G$110="moeda")+(Inputs!$G$5:$G$110="acoes"))*Inputs!$B$1+((Inputs!$G$5:$G$110&lt;&gt;"moeda")*(Inputs!$G$5:$G$110&lt;&gt;"acoes")))*INDEX(Inputs!$K$5:$AJ$110,0,MATCH(L$2,Inputs!$K$4:$AJ$4,0)))+SUMPRODUCT((Inputs!$E$5:$E$110=$B13)*Inputs!$F$5:$F$110*(((Inputs!$G$5:$G$110="moeda")+(Inputs!$G$5:$G$110="acoes"))*Inputs!$B$1+((Inputs!$G$5:$G$110&lt;&gt;"moeda")*(Inputs!$G$5:$G$110&lt;&gt;"acoes")))*INDEX(Inputs!$K$5:$AJ$110,0,MATCH(L$2,Inputs!$K$4:$AJ$4,0)))))</f>
        <v>-400</v>
      </c>
      <c r="M13" s="268">
        <f>SUM(I13:L13)</f>
        <v>-1548</v>
      </c>
      <c r="N13" s="267">
        <f>IF(ISNA(MATCH(N$2,Inputs!$K$4:$AJ$4,0)),NA(),IF(SUMPRODUCT((Inputs!$A$5:$A$110=$B13)*ISNUMBER(INDEX(Inputs!$K$5:$AJ$110,0,MATCH(N$2,Inputs!$K$4:$AJ$4,0))))+SUMPRODUCT((Inputs!$C$5:$C$110=$B13)*ISNUMBER(INDEX(Inputs!$K$5:$AJ$110,0,MATCH(N$2,Inputs!$K$4:$AJ$4,0))))+SUMPRODUCT((Inputs!$E$5:$E$110=$B13)*ISNUMBER(INDEX(Inputs!$K$5:$AJ$110,0,MATCH(N$2,Inputs!$K$4:$AJ$4,0))))=0,NA(),SUMPRODUCT((Inputs!$A$5:$A$110=$B13)*Inputs!$B$5:$B$110*(((Inputs!$G$5:$G$110="moeda")+(Inputs!$G$5:$G$110="acoes"))*Inputs!$B$1+((Inputs!$G$5:$G$110&lt;&gt;"moeda")*(Inputs!$G$5:$G$110&lt;&gt;"acoes")))*INDEX(Inputs!$K$5:$AJ$110,0,MATCH(N$2,Inputs!$K$4:$AJ$4,0)))+SUMPRODUCT((Inputs!$C$5:$C$110=$B13)*Inputs!$D$5:$D$110*(((Inputs!$G$5:$G$110="moeda")+(Inputs!$G$5:$G$110="acoes"))*Inputs!$B$1+((Inputs!$G$5:$G$110&lt;&gt;"moeda")*(Inputs!$G$5:$G$110&lt;&gt;"acoes")))*INDEX(Inputs!$K$5:$AJ$110,0,MATCH(N$2,Inputs!$K$4:$AJ$4,0)))+SUMPRODUCT((Inputs!$E$5:$E$110=$B13)*Inputs!$F$5:$F$110*(((Inputs!$G$5:$G$110="moeda")+(Inputs!$G$5:$G$110="acoes"))*Inputs!$B$1+((Inputs!$G$5:$G$110&lt;&gt;"moeda")*(Inputs!$G$5:$G$110&lt;&gt;"acoes")))*INDEX(Inputs!$K$5:$AJ$110,0,MATCH(N$2,Inputs!$K$4:$AJ$4,0)))))</f>
        <v>0</v>
      </c>
      <c r="O13" s="267">
        <f>IF(ISNA(MATCH(O$2,Inputs!$K$4:$AJ$4,0)),NA(),IF(SUMPRODUCT((Inputs!$A$5:$A$110=$B13)*ISNUMBER(INDEX(Inputs!$K$5:$AJ$110,0,MATCH(O$2,Inputs!$K$4:$AJ$4,0))))+SUMPRODUCT((Inputs!$C$5:$C$110=$B13)*ISNUMBER(INDEX(Inputs!$K$5:$AJ$110,0,MATCH(O$2,Inputs!$K$4:$AJ$4,0))))+SUMPRODUCT((Inputs!$E$5:$E$110=$B13)*ISNUMBER(INDEX(Inputs!$K$5:$AJ$110,0,MATCH(O$2,Inputs!$K$4:$AJ$4,0))))=0,NA(),SUMPRODUCT((Inputs!$A$5:$A$110=$B13)*Inputs!$B$5:$B$110*(((Inputs!$G$5:$G$110="moeda")+(Inputs!$G$5:$G$110="acoes"))*Inputs!$B$1+((Inputs!$G$5:$G$110&lt;&gt;"moeda")*(Inputs!$G$5:$G$110&lt;&gt;"acoes")))*INDEX(Inputs!$K$5:$AJ$110,0,MATCH(O$2,Inputs!$K$4:$AJ$4,0)))+SUMPRODUCT((Inputs!$C$5:$C$110=$B13)*Inputs!$D$5:$D$110*(((Inputs!$G$5:$G$110="moeda")+(Inputs!$G$5:$G$110="acoes"))*Inputs!$B$1+((Inputs!$G$5:$G$110&lt;&gt;"moeda")*(Inputs!$G$5:$G$110&lt;&gt;"acoes")))*INDEX(Inputs!$K$5:$AJ$110,0,MATCH(O$2,Inputs!$K$4:$AJ$4,0)))+SUMPRODUCT((Inputs!$E$5:$E$110=$B13)*Inputs!$F$5:$F$110*(((Inputs!$G$5:$G$110="moeda")+(Inputs!$G$5:$G$110="acoes"))*Inputs!$B$1+((Inputs!$G$5:$G$110&lt;&gt;"moeda")*(Inputs!$G$5:$G$110&lt;&gt;"acoes")))*INDEX(Inputs!$K$5:$AJ$110,0,MATCH(O$2,Inputs!$K$4:$AJ$4,0)))))</f>
        <v>-399</v>
      </c>
      <c r="P13" s="267">
        <f>IF(ISNA(MATCH(P$2,Inputs!$K$4:$AJ$4,0)),NA(),IF(SUMPRODUCT((Inputs!$A$5:$A$110=$B13)*ISNUMBER(INDEX(Inputs!$K$5:$AJ$110,0,MATCH(P$2,Inputs!$K$4:$AJ$4,0))))+SUMPRODUCT((Inputs!$C$5:$C$110=$B13)*ISNUMBER(INDEX(Inputs!$K$5:$AJ$110,0,MATCH(P$2,Inputs!$K$4:$AJ$4,0))))+SUMPRODUCT((Inputs!$E$5:$E$110=$B13)*ISNUMBER(INDEX(Inputs!$K$5:$AJ$110,0,MATCH(P$2,Inputs!$K$4:$AJ$4,0))))=0,NA(),SUMPRODUCT((Inputs!$A$5:$A$110=$B13)*Inputs!$B$5:$B$110*(((Inputs!$G$5:$G$110="moeda")+(Inputs!$G$5:$G$110="acoes"))*Inputs!$B$1+((Inputs!$G$5:$G$110&lt;&gt;"moeda")*(Inputs!$G$5:$G$110&lt;&gt;"acoes")))*INDEX(Inputs!$K$5:$AJ$110,0,MATCH(P$2,Inputs!$K$4:$AJ$4,0)))+SUMPRODUCT((Inputs!$C$5:$C$110=$B13)*Inputs!$D$5:$D$110*(((Inputs!$G$5:$G$110="moeda")+(Inputs!$G$5:$G$110="acoes"))*Inputs!$B$1+((Inputs!$G$5:$G$110&lt;&gt;"moeda")*(Inputs!$G$5:$G$110&lt;&gt;"acoes")))*INDEX(Inputs!$K$5:$AJ$110,0,MATCH(P$2,Inputs!$K$4:$AJ$4,0)))+SUMPRODUCT((Inputs!$E$5:$E$110=$B13)*Inputs!$F$5:$F$110*(((Inputs!$G$5:$G$110="moeda")+(Inputs!$G$5:$G$110="acoes"))*Inputs!$B$1+((Inputs!$G$5:$G$110&lt;&gt;"moeda")*(Inputs!$G$5:$G$110&lt;&gt;"acoes")))*INDEX(Inputs!$K$5:$AJ$110,0,MATCH(P$2,Inputs!$K$4:$AJ$4,0)))))</f>
        <v>-452</v>
      </c>
      <c r="Q13" s="267">
        <f>IF(ISNA(MATCH(Q$2,Inputs!$K$4:$AJ$4,0)),NA(),IF(SUMPRODUCT((Inputs!$A$5:$A$110=$B13)*ISNUMBER(INDEX(Inputs!$K$5:$AJ$110,0,MATCH(Q$2,Inputs!$K$4:$AJ$4,0))))+SUMPRODUCT((Inputs!$C$5:$C$110=$B13)*ISNUMBER(INDEX(Inputs!$K$5:$AJ$110,0,MATCH(Q$2,Inputs!$K$4:$AJ$4,0))))+SUMPRODUCT((Inputs!$E$5:$E$110=$B13)*ISNUMBER(INDEX(Inputs!$K$5:$AJ$110,0,MATCH(Q$2,Inputs!$K$4:$AJ$4,0))))=0,NA(),SUMPRODUCT((Inputs!$A$5:$A$110=$B13)*Inputs!$B$5:$B$110*(((Inputs!$G$5:$G$110="moeda")+(Inputs!$G$5:$G$110="acoes"))*Inputs!$B$1+((Inputs!$G$5:$G$110&lt;&gt;"moeda")*(Inputs!$G$5:$G$110&lt;&gt;"acoes")))*INDEX(Inputs!$K$5:$AJ$110,0,MATCH(Q$2,Inputs!$K$4:$AJ$4,0)))+SUMPRODUCT((Inputs!$C$5:$C$110=$B13)*Inputs!$D$5:$D$110*(((Inputs!$G$5:$G$110="moeda")+(Inputs!$G$5:$G$110="acoes"))*Inputs!$B$1+((Inputs!$G$5:$G$110&lt;&gt;"moeda")*(Inputs!$G$5:$G$110&lt;&gt;"acoes")))*INDEX(Inputs!$K$5:$AJ$110,0,MATCH(Q$2,Inputs!$K$4:$AJ$4,0)))+SUMPRODUCT((Inputs!$E$5:$E$110=$B13)*Inputs!$F$5:$F$110*(((Inputs!$G$5:$G$110="moeda")+(Inputs!$G$5:$G$110="acoes"))*Inputs!$B$1+((Inputs!$G$5:$G$110&lt;&gt;"moeda")*(Inputs!$G$5:$G$110&lt;&gt;"acoes")))*INDEX(Inputs!$K$5:$AJ$110,0,MATCH(Q$2,Inputs!$K$4:$AJ$4,0)))))</f>
        <v>-905</v>
      </c>
      <c r="R13" s="268">
        <f>SUM(N13:Q13)</f>
        <v>-1756</v>
      </c>
      <c r="S13" s="267">
        <f>IF(ISNA(MATCH(S$2,Inputs!$K$4:$AJ$4,0)),NA(),IF(SUMPRODUCT((Inputs!$A$5:$A$110=$B13)*ISNUMBER(INDEX(Inputs!$K$5:$AJ$110,0,MATCH(S$2,Inputs!$K$4:$AJ$4,0))))+SUMPRODUCT((Inputs!$C$5:$C$110=$B13)*ISNUMBER(INDEX(Inputs!$K$5:$AJ$110,0,MATCH(S$2,Inputs!$K$4:$AJ$4,0))))+SUMPRODUCT((Inputs!$E$5:$E$110=$B13)*ISNUMBER(INDEX(Inputs!$K$5:$AJ$110,0,MATCH(S$2,Inputs!$K$4:$AJ$4,0))))=0,NA(),SUMPRODUCT((Inputs!$A$5:$A$110=$B13)*Inputs!$B$5:$B$110*(((Inputs!$G$5:$G$110="moeda")+(Inputs!$G$5:$G$110="acoes"))*Inputs!$B$1+((Inputs!$G$5:$G$110&lt;&gt;"moeda")*(Inputs!$G$5:$G$110&lt;&gt;"acoes")))*INDEX(Inputs!$K$5:$AJ$110,0,MATCH(S$2,Inputs!$K$4:$AJ$4,0)))+SUMPRODUCT((Inputs!$C$5:$C$110=$B13)*Inputs!$D$5:$D$110*(((Inputs!$G$5:$G$110="moeda")+(Inputs!$G$5:$G$110="acoes"))*Inputs!$B$1+((Inputs!$G$5:$G$110&lt;&gt;"moeda")*(Inputs!$G$5:$G$110&lt;&gt;"acoes")))*INDEX(Inputs!$K$5:$AJ$110,0,MATCH(S$2,Inputs!$K$4:$AJ$4,0)))+SUMPRODUCT((Inputs!$E$5:$E$110=$B13)*Inputs!$F$5:$F$110*(((Inputs!$G$5:$G$110="moeda")+(Inputs!$G$5:$G$110="acoes"))*Inputs!$B$1+((Inputs!$G$5:$G$110&lt;&gt;"moeda")*(Inputs!$G$5:$G$110&lt;&gt;"acoes")))*INDEX(Inputs!$K$5:$AJ$110,0,MATCH(S$2,Inputs!$K$4:$AJ$4,0)))))</f>
        <v>-7107</v>
      </c>
      <c r="T13" s="267">
        <f>IF(ISNA(MATCH(T$2,Inputs!$K$4:$AJ$4,0)),NA(),IF(SUMPRODUCT((Inputs!$A$5:$A$110=$B13)*ISNUMBER(INDEX(Inputs!$K$5:$AJ$110,0,MATCH(T$2,Inputs!$K$4:$AJ$4,0))))+SUMPRODUCT((Inputs!$C$5:$C$110=$B13)*ISNUMBER(INDEX(Inputs!$K$5:$AJ$110,0,MATCH(T$2,Inputs!$K$4:$AJ$4,0))))+SUMPRODUCT((Inputs!$E$5:$E$110=$B13)*ISNUMBER(INDEX(Inputs!$K$5:$AJ$110,0,MATCH(T$2,Inputs!$K$4:$AJ$4,0))))=0,NA(),SUMPRODUCT((Inputs!$A$5:$A$110=$B13)*Inputs!$B$5:$B$110*(((Inputs!$G$5:$G$110="moeda")+(Inputs!$G$5:$G$110="acoes"))*Inputs!$B$1+((Inputs!$G$5:$G$110&lt;&gt;"moeda")*(Inputs!$G$5:$G$110&lt;&gt;"acoes")))*INDEX(Inputs!$K$5:$AJ$110,0,MATCH(T$2,Inputs!$K$4:$AJ$4,0)))+SUMPRODUCT((Inputs!$C$5:$C$110=$B13)*Inputs!$D$5:$D$110*(((Inputs!$G$5:$G$110="moeda")+(Inputs!$G$5:$G$110="acoes"))*Inputs!$B$1+((Inputs!$G$5:$G$110&lt;&gt;"moeda")*(Inputs!$G$5:$G$110&lt;&gt;"acoes")))*INDEX(Inputs!$K$5:$AJ$110,0,MATCH(T$2,Inputs!$K$4:$AJ$4,0)))+SUMPRODUCT((Inputs!$E$5:$E$110=$B13)*Inputs!$F$5:$F$110*(((Inputs!$G$5:$G$110="moeda")+(Inputs!$G$5:$G$110="acoes"))*Inputs!$B$1+((Inputs!$G$5:$G$110&lt;&gt;"moeda")*(Inputs!$G$5:$G$110&lt;&gt;"acoes")))*INDEX(Inputs!$K$5:$AJ$110,0,MATCH(T$2,Inputs!$K$4:$AJ$4,0)))))</f>
        <v>-515</v>
      </c>
      <c r="U13" s="267">
        <f>IF(ISNA(MATCH(U$2,Inputs!$K$4:$AJ$4,0)),NA(),IF(SUMPRODUCT((Inputs!$A$5:$A$110=$B13)*ISNUMBER(INDEX(Inputs!$K$5:$AJ$110,0,MATCH(U$2,Inputs!$K$4:$AJ$4,0))))+SUMPRODUCT((Inputs!$C$5:$C$110=$B13)*ISNUMBER(INDEX(Inputs!$K$5:$AJ$110,0,MATCH(U$2,Inputs!$K$4:$AJ$4,0))))+SUMPRODUCT((Inputs!$E$5:$E$110=$B13)*ISNUMBER(INDEX(Inputs!$K$5:$AJ$110,0,MATCH(U$2,Inputs!$K$4:$AJ$4,0))))=0,NA(),SUMPRODUCT((Inputs!$A$5:$A$110=$B13)*Inputs!$B$5:$B$110*(((Inputs!$G$5:$G$110="moeda")+(Inputs!$G$5:$G$110="acoes"))*Inputs!$B$1+((Inputs!$G$5:$G$110&lt;&gt;"moeda")*(Inputs!$G$5:$G$110&lt;&gt;"acoes")))*INDEX(Inputs!$K$5:$AJ$110,0,MATCH(U$2,Inputs!$K$4:$AJ$4,0)))+SUMPRODUCT((Inputs!$C$5:$C$110=$B13)*Inputs!$D$5:$D$110*(((Inputs!$G$5:$G$110="moeda")+(Inputs!$G$5:$G$110="acoes"))*Inputs!$B$1+((Inputs!$G$5:$G$110&lt;&gt;"moeda")*(Inputs!$G$5:$G$110&lt;&gt;"acoes")))*INDEX(Inputs!$K$5:$AJ$110,0,MATCH(U$2,Inputs!$K$4:$AJ$4,0)))+SUMPRODUCT((Inputs!$E$5:$E$110=$B13)*Inputs!$F$5:$F$110*(((Inputs!$G$5:$G$110="moeda")+(Inputs!$G$5:$G$110="acoes"))*Inputs!$B$1+((Inputs!$G$5:$G$110&lt;&gt;"moeda")*(Inputs!$G$5:$G$110&lt;&gt;"acoes")))*INDEX(Inputs!$K$5:$AJ$110,0,MATCH(U$2,Inputs!$K$4:$AJ$4,0)))))</f>
        <v>-514</v>
      </c>
      <c r="V13" s="267">
        <f>IF(ISNA(MATCH(V$2,Inputs!$K$4:$AJ$4,0)),NA(),IF(SUMPRODUCT((Inputs!$A$5:$A$110=$B13)*ISNUMBER(INDEX(Inputs!$K$5:$AJ$110,0,MATCH(V$2,Inputs!$K$4:$AJ$4,0))))+SUMPRODUCT((Inputs!$C$5:$C$110=$B13)*ISNUMBER(INDEX(Inputs!$K$5:$AJ$110,0,MATCH(V$2,Inputs!$K$4:$AJ$4,0))))+SUMPRODUCT((Inputs!$E$5:$E$110=$B13)*ISNUMBER(INDEX(Inputs!$K$5:$AJ$110,0,MATCH(V$2,Inputs!$K$4:$AJ$4,0))))=0,NA(),SUMPRODUCT((Inputs!$A$5:$A$110=$B13)*Inputs!$B$5:$B$110*(((Inputs!$G$5:$G$110="moeda")+(Inputs!$G$5:$G$110="acoes"))*Inputs!$B$1+((Inputs!$G$5:$G$110&lt;&gt;"moeda")*(Inputs!$G$5:$G$110&lt;&gt;"acoes")))*INDEX(Inputs!$K$5:$AJ$110,0,MATCH(V$2,Inputs!$K$4:$AJ$4,0)))+SUMPRODUCT((Inputs!$C$5:$C$110=$B13)*Inputs!$D$5:$D$110*(((Inputs!$G$5:$G$110="moeda")+(Inputs!$G$5:$G$110="acoes"))*Inputs!$B$1+((Inputs!$G$5:$G$110&lt;&gt;"moeda")*(Inputs!$G$5:$G$110&lt;&gt;"acoes")))*INDEX(Inputs!$K$5:$AJ$110,0,MATCH(V$2,Inputs!$K$4:$AJ$4,0)))+SUMPRODUCT((Inputs!$E$5:$E$110=$B13)*Inputs!$F$5:$F$110*(((Inputs!$G$5:$G$110="moeda")+(Inputs!$G$5:$G$110="acoes"))*Inputs!$B$1+((Inputs!$G$5:$G$110&lt;&gt;"moeda")*(Inputs!$G$5:$G$110&lt;&gt;"acoes")))*INDEX(Inputs!$K$5:$AJ$110,0,MATCH(V$2,Inputs!$K$4:$AJ$4,0)))))</f>
        <v>-515</v>
      </c>
      <c r="W13" s="268">
        <f>SUM(S13:V13)</f>
        <v>-8651</v>
      </c>
      <c r="X13" s="267">
        <f>IF(ISNA(MATCH(X$2,Inputs!$K$4:$AJ$4,0)),NA(),IF(SUMPRODUCT((Inputs!$A$5:$A$110=$B13)*ISNUMBER(INDEX(Inputs!$K$5:$AJ$110,0,MATCH(X$2,Inputs!$K$4:$AJ$4,0))))+SUMPRODUCT((Inputs!$C$5:$C$110=$B13)*ISNUMBER(INDEX(Inputs!$K$5:$AJ$110,0,MATCH(X$2,Inputs!$K$4:$AJ$4,0))))+SUMPRODUCT((Inputs!$E$5:$E$110=$B13)*ISNUMBER(INDEX(Inputs!$K$5:$AJ$110,0,MATCH(X$2,Inputs!$K$4:$AJ$4,0))))=0,NA(),SUMPRODUCT((Inputs!$A$5:$A$110=$B13)*Inputs!$B$5:$B$110*(((Inputs!$G$5:$G$110="moeda")+(Inputs!$G$5:$G$110="acoes"))*Inputs!$B$1+((Inputs!$G$5:$G$110&lt;&gt;"moeda")*(Inputs!$G$5:$G$110&lt;&gt;"acoes")))*INDEX(Inputs!$K$5:$AJ$110,0,MATCH(X$2,Inputs!$K$4:$AJ$4,0)))+SUMPRODUCT((Inputs!$C$5:$C$110=$B13)*Inputs!$D$5:$D$110*(((Inputs!$G$5:$G$110="moeda")+(Inputs!$G$5:$G$110="acoes"))*Inputs!$B$1+((Inputs!$G$5:$G$110&lt;&gt;"moeda")*(Inputs!$G$5:$G$110&lt;&gt;"acoes")))*INDEX(Inputs!$K$5:$AJ$110,0,MATCH(X$2,Inputs!$K$4:$AJ$4,0)))+SUMPRODUCT((Inputs!$E$5:$E$110=$B13)*Inputs!$F$5:$F$110*(((Inputs!$G$5:$G$110="moeda")+(Inputs!$G$5:$G$110="acoes"))*Inputs!$B$1+((Inputs!$G$5:$G$110&lt;&gt;"moeda")*(Inputs!$G$5:$G$110&lt;&gt;"acoes")))*INDEX(Inputs!$K$5:$AJ$110,0,MATCH(X$2,Inputs!$K$4:$AJ$4,0)))))</f>
        <v>0</v>
      </c>
      <c r="Y13" s="267">
        <f>IF(ISNA(MATCH(Y$2,Inputs!$K$4:$AJ$4,0)),NA(),IF(SUMPRODUCT((Inputs!$A$5:$A$110=$B13)*ISNUMBER(INDEX(Inputs!$K$5:$AJ$110,0,MATCH(Y$2,Inputs!$K$4:$AJ$4,0))))+SUMPRODUCT((Inputs!$C$5:$C$110=$B13)*ISNUMBER(INDEX(Inputs!$K$5:$AJ$110,0,MATCH(Y$2,Inputs!$K$4:$AJ$4,0))))+SUMPRODUCT((Inputs!$E$5:$E$110=$B13)*ISNUMBER(INDEX(Inputs!$K$5:$AJ$110,0,MATCH(Y$2,Inputs!$K$4:$AJ$4,0))))=0,NA(),SUMPRODUCT((Inputs!$A$5:$A$110=$B13)*Inputs!$B$5:$B$110*(((Inputs!$G$5:$G$110="moeda")+(Inputs!$G$5:$G$110="acoes"))*Inputs!$B$1+((Inputs!$G$5:$G$110&lt;&gt;"moeda")*(Inputs!$G$5:$G$110&lt;&gt;"acoes")))*INDEX(Inputs!$K$5:$AJ$110,0,MATCH(Y$2,Inputs!$K$4:$AJ$4,0)))+SUMPRODUCT((Inputs!$C$5:$C$110=$B13)*Inputs!$D$5:$D$110*(((Inputs!$G$5:$G$110="moeda")+(Inputs!$G$5:$G$110="acoes"))*Inputs!$B$1+((Inputs!$G$5:$G$110&lt;&gt;"moeda")*(Inputs!$G$5:$G$110&lt;&gt;"acoes")))*INDEX(Inputs!$K$5:$AJ$110,0,MATCH(Y$2,Inputs!$K$4:$AJ$4,0)))+SUMPRODUCT((Inputs!$E$5:$E$110=$B13)*Inputs!$F$5:$F$110*(((Inputs!$G$5:$G$110="moeda")+(Inputs!$G$5:$G$110="acoes"))*Inputs!$B$1+((Inputs!$G$5:$G$110&lt;&gt;"moeda")*(Inputs!$G$5:$G$110&lt;&gt;"acoes")))*INDEX(Inputs!$K$5:$AJ$110,0,MATCH(Y$2,Inputs!$K$4:$AJ$4,0)))))</f>
        <v>-515</v>
      </c>
      <c r="Z13" s="267">
        <f>IF(ISNA(MATCH(Z$2,Inputs!$K$4:$AJ$4,0)),NA(),IF(SUMPRODUCT((Inputs!$A$5:$A$110=$B13)*ISNUMBER(INDEX(Inputs!$K$5:$AJ$110,0,MATCH(Z$2,Inputs!$K$4:$AJ$4,0))))+SUMPRODUCT((Inputs!$C$5:$C$110=$B13)*ISNUMBER(INDEX(Inputs!$K$5:$AJ$110,0,MATCH(Z$2,Inputs!$K$4:$AJ$4,0))))+SUMPRODUCT((Inputs!$E$5:$E$110=$B13)*ISNUMBER(INDEX(Inputs!$K$5:$AJ$110,0,MATCH(Z$2,Inputs!$K$4:$AJ$4,0))))=0,NA(),SUMPRODUCT((Inputs!$A$5:$A$110=$B13)*Inputs!$B$5:$B$110*(((Inputs!$G$5:$G$110="moeda")+(Inputs!$G$5:$G$110="acoes"))*Inputs!$B$1+((Inputs!$G$5:$G$110&lt;&gt;"moeda")*(Inputs!$G$5:$G$110&lt;&gt;"acoes")))*INDEX(Inputs!$K$5:$AJ$110,0,MATCH(Z$2,Inputs!$K$4:$AJ$4,0)))+SUMPRODUCT((Inputs!$C$5:$C$110=$B13)*Inputs!$D$5:$D$110*(((Inputs!$G$5:$G$110="moeda")+(Inputs!$G$5:$G$110="acoes"))*Inputs!$B$1+((Inputs!$G$5:$G$110&lt;&gt;"moeda")*(Inputs!$G$5:$G$110&lt;&gt;"acoes")))*INDEX(Inputs!$K$5:$AJ$110,0,MATCH(Z$2,Inputs!$K$4:$AJ$4,0)))+SUMPRODUCT((Inputs!$E$5:$E$110=$B13)*Inputs!$F$5:$F$110*(((Inputs!$G$5:$G$110="moeda")+(Inputs!$G$5:$G$110="acoes"))*Inputs!$B$1+((Inputs!$G$5:$G$110&lt;&gt;"moeda")*(Inputs!$G$5:$G$110&lt;&gt;"acoes")))*INDEX(Inputs!$K$5:$AJ$110,0,MATCH(Z$2,Inputs!$K$4:$AJ$4,0)))))</f>
        <v>-1153</v>
      </c>
      <c r="AA13" s="267">
        <f>IF(ISNA(MATCH(AA$2,Inputs!$K$4:$AJ$4,0)),NA(),IF(SUMPRODUCT((Inputs!$A$5:$A$110=$B13)*ISNUMBER(INDEX(Inputs!$K$5:$AJ$110,0,MATCH(AA$2,Inputs!$K$4:$AJ$4,0))))+SUMPRODUCT((Inputs!$C$5:$C$110=$B13)*ISNUMBER(INDEX(Inputs!$K$5:$AJ$110,0,MATCH(AA$2,Inputs!$K$4:$AJ$4,0))))+SUMPRODUCT((Inputs!$E$5:$E$110=$B13)*ISNUMBER(INDEX(Inputs!$K$5:$AJ$110,0,MATCH(AA$2,Inputs!$K$4:$AJ$4,0))))=0,NA(),SUMPRODUCT((Inputs!$A$5:$A$110=$B13)*Inputs!$B$5:$B$110*(((Inputs!$G$5:$G$110="moeda")+(Inputs!$G$5:$G$110="acoes"))*Inputs!$B$1+((Inputs!$G$5:$G$110&lt;&gt;"moeda")*(Inputs!$G$5:$G$110&lt;&gt;"acoes")))*INDEX(Inputs!$K$5:$AJ$110,0,MATCH(AA$2,Inputs!$K$4:$AJ$4,0)))+SUMPRODUCT((Inputs!$C$5:$C$110=$B13)*Inputs!$D$5:$D$110*(((Inputs!$G$5:$G$110="moeda")+(Inputs!$G$5:$G$110="acoes"))*Inputs!$B$1+((Inputs!$G$5:$G$110&lt;&gt;"moeda")*(Inputs!$G$5:$G$110&lt;&gt;"acoes")))*INDEX(Inputs!$K$5:$AJ$110,0,MATCH(AA$2,Inputs!$K$4:$AJ$4,0)))+SUMPRODUCT((Inputs!$E$5:$E$110=$B13)*Inputs!$F$5:$F$110*(((Inputs!$G$5:$G$110="moeda")+(Inputs!$G$5:$G$110="acoes"))*Inputs!$B$1+((Inputs!$G$5:$G$110&lt;&gt;"moeda")*(Inputs!$G$5:$G$110&lt;&gt;"acoes")))*INDEX(Inputs!$K$5:$AJ$110,0,MATCH(AA$2,Inputs!$K$4:$AJ$4,0)))))</f>
        <v>-577</v>
      </c>
      <c r="AB13" s="268">
        <f>SUM(X13:AA13)</f>
        <v>-2245</v>
      </c>
      <c r="AC13" s="267">
        <f>IF(ISNA(MATCH(AC$2,Inputs!$K$4:$AJ$4,0)),NA(),IF(SUMPRODUCT((Inputs!$A$5:$A$110=$B13)*ISNUMBER(INDEX(Inputs!$K$5:$AJ$110,0,MATCH(AC$2,Inputs!$K$4:$AJ$4,0))))+SUMPRODUCT((Inputs!$C$5:$C$110=$B13)*ISNUMBER(INDEX(Inputs!$K$5:$AJ$110,0,MATCH(AC$2,Inputs!$K$4:$AJ$4,0))))+SUMPRODUCT((Inputs!$E$5:$E$110=$B13)*ISNUMBER(INDEX(Inputs!$K$5:$AJ$110,0,MATCH(AC$2,Inputs!$K$4:$AJ$4,0))))=0,NA(),SUMPRODUCT((Inputs!$A$5:$A$110=$B13)*Inputs!$B$5:$B$110*(((Inputs!$G$5:$G$110="moeda")+(Inputs!$G$5:$G$110="acoes"))*Inputs!$B$1+((Inputs!$G$5:$G$110&lt;&gt;"moeda")*(Inputs!$G$5:$G$110&lt;&gt;"acoes")))*INDEX(Inputs!$K$5:$AJ$110,0,MATCH(AC$2,Inputs!$K$4:$AJ$4,0)))+SUMPRODUCT((Inputs!$C$5:$C$110=$B13)*Inputs!$D$5:$D$110*(((Inputs!$G$5:$G$110="moeda")+(Inputs!$G$5:$G$110="acoes"))*Inputs!$B$1+((Inputs!$G$5:$G$110&lt;&gt;"moeda")*(Inputs!$G$5:$G$110&lt;&gt;"acoes")))*INDEX(Inputs!$K$5:$AJ$110,0,MATCH(AC$2,Inputs!$K$4:$AJ$4,0)))+SUMPRODUCT((Inputs!$E$5:$E$110=$B13)*Inputs!$F$5:$F$110*(((Inputs!$G$5:$G$110="moeda")+(Inputs!$G$5:$G$110="acoes"))*Inputs!$B$1+((Inputs!$G$5:$G$110&lt;&gt;"moeda")*(Inputs!$G$5:$G$110&lt;&gt;"acoes")))*INDEX(Inputs!$K$5:$AJ$110,0,MATCH(AC$2,Inputs!$K$4:$AJ$4,0)))))</f>
        <v>-577</v>
      </c>
      <c r="AD13" s="267">
        <f>IF(ISNA(MATCH(AD$2,Inputs!$K$4:$AJ$4,0)),NA(),IF(SUMPRODUCT((Inputs!$A$5:$A$110=$B13)*ISNUMBER(INDEX(Inputs!$K$5:$AJ$110,0,MATCH(AD$2,Inputs!$K$4:$AJ$4,0))))+SUMPRODUCT((Inputs!$C$5:$C$110=$B13)*ISNUMBER(INDEX(Inputs!$K$5:$AJ$110,0,MATCH(AD$2,Inputs!$K$4:$AJ$4,0))))+SUMPRODUCT((Inputs!$E$5:$E$110=$B13)*ISNUMBER(INDEX(Inputs!$K$5:$AJ$110,0,MATCH(AD$2,Inputs!$K$4:$AJ$4,0))))=0,NA(),SUMPRODUCT((Inputs!$A$5:$A$110=$B13)*Inputs!$B$5:$B$110*(((Inputs!$G$5:$G$110="moeda")+(Inputs!$G$5:$G$110="acoes"))*Inputs!$B$1+((Inputs!$G$5:$G$110&lt;&gt;"moeda")*(Inputs!$G$5:$G$110&lt;&gt;"acoes")))*INDEX(Inputs!$K$5:$AJ$110,0,MATCH(AD$2,Inputs!$K$4:$AJ$4,0)))+SUMPRODUCT((Inputs!$C$5:$C$110=$B13)*Inputs!$D$5:$D$110*(((Inputs!$G$5:$G$110="moeda")+(Inputs!$G$5:$G$110="acoes"))*Inputs!$B$1+((Inputs!$G$5:$G$110&lt;&gt;"moeda")*(Inputs!$G$5:$G$110&lt;&gt;"acoes")))*INDEX(Inputs!$K$5:$AJ$110,0,MATCH(AD$2,Inputs!$K$4:$AJ$4,0)))+SUMPRODUCT((Inputs!$E$5:$E$110=$B13)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3" s="267" t="e">
        <f>IF(ISNA(MATCH(AE$2,Inputs!$K$4:$AJ$4,0)),NA(),IF(SUMPRODUCT((Inputs!$A$5:$A$110=$B13)*ISNUMBER(INDEX(Inputs!$K$5:$AJ$110,0,MATCH(AE$2,Inputs!$K$4:$AJ$4,0))))+SUMPRODUCT((Inputs!$C$5:$C$110=$B13)*ISNUMBER(INDEX(Inputs!$K$5:$AJ$110,0,MATCH(AE$2,Inputs!$K$4:$AJ$4,0))))+SUMPRODUCT((Inputs!$E$5:$E$110=$B13)*ISNUMBER(INDEX(Inputs!$K$5:$AJ$110,0,MATCH(AE$2,Inputs!$K$4:$AJ$4,0))))=0,NA(),SUMPRODUCT((Inputs!$A$5:$A$110=$B13)*Inputs!$B$5:$B$110*(((Inputs!$G$5:$G$110="moeda")+(Inputs!$G$5:$G$110="acoes"))*Inputs!$B$1+((Inputs!$G$5:$G$110&lt;&gt;"moeda")*(Inputs!$G$5:$G$110&lt;&gt;"acoes")))*INDEX(Inputs!$K$5:$AJ$110,0,MATCH(AE$2,Inputs!$K$4:$AJ$4,0)))+SUMPRODUCT((Inputs!$C$5:$C$110=$B13)*Inputs!$D$5:$D$110*(((Inputs!$G$5:$G$110="moeda")+(Inputs!$G$5:$G$110="acoes"))*Inputs!$B$1+((Inputs!$G$5:$G$110&lt;&gt;"moeda")*(Inputs!$G$5:$G$110&lt;&gt;"acoes")))*INDEX(Inputs!$K$5:$AJ$110,0,MATCH(AE$2,Inputs!$K$4:$AJ$4,0)))+SUMPRODUCT((Inputs!$E$5:$E$110=$B13)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3" s="267" t="e">
        <f>IF(ISNA(MATCH(AF$2,Inputs!$K$4:$AJ$4,0)),NA(),IF(SUMPRODUCT((Inputs!$A$5:$A$110=$B13)*ISNUMBER(INDEX(Inputs!$K$5:$AJ$110,0,MATCH(AF$2,Inputs!$K$4:$AJ$4,0))))+SUMPRODUCT((Inputs!$C$5:$C$110=$B13)*ISNUMBER(INDEX(Inputs!$K$5:$AJ$110,0,MATCH(AF$2,Inputs!$K$4:$AJ$4,0))))+SUMPRODUCT((Inputs!$E$5:$E$110=$B13)*ISNUMBER(INDEX(Inputs!$K$5:$AJ$110,0,MATCH(AF$2,Inputs!$K$4:$AJ$4,0))))=0,NA(),SUMPRODUCT((Inputs!$A$5:$A$110=$B13)*Inputs!$B$5:$B$110*(((Inputs!$G$5:$G$110="moeda")+(Inputs!$G$5:$G$110="acoes"))*Inputs!$B$1+((Inputs!$G$5:$G$110&lt;&gt;"moeda")*(Inputs!$G$5:$G$110&lt;&gt;"acoes")))*INDEX(Inputs!$K$5:$AJ$110,0,MATCH(AF$2,Inputs!$K$4:$AJ$4,0)))+SUMPRODUCT((Inputs!$C$5:$C$110=$B13)*Inputs!$D$5:$D$110*(((Inputs!$G$5:$G$110="moeda")+(Inputs!$G$5:$G$110="acoes"))*Inputs!$B$1+((Inputs!$G$5:$G$110&lt;&gt;"moeda")*(Inputs!$G$5:$G$110&lt;&gt;"acoes")))*INDEX(Inputs!$K$5:$AJ$110,0,MATCH(AF$2,Inputs!$K$4:$AJ$4,0)))+SUMPRODUCT((Inputs!$E$5:$E$110=$B13)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3" s="268" t="e">
        <f>SUM(AC13:AF13)</f>
        <v>#N/A</v>
      </c>
      <c r="AH13" s="267">
        <f>IF(ISNA(MATCH(AH$2,Inputs!$K$4:$AJ$4,0)),NA(),IF(SUMPRODUCT((Inputs!$A$5:$A$110=$B13)*ISNUMBER(INDEX(Inputs!$K$5:$AJ$110,0,MATCH(AH$2,Inputs!$K$4:$AJ$4,0))))+SUMPRODUCT((Inputs!$C$5:$C$110=$B13)*ISNUMBER(INDEX(Inputs!$K$5:$AJ$110,0,MATCH(AH$2,Inputs!$K$4:$AJ$4,0))))+SUMPRODUCT((Inputs!$E$5:$E$110=$B13)*ISNUMBER(INDEX(Inputs!$K$5:$AJ$110,0,MATCH(AH$2,Inputs!$K$4:$AJ$4,0))))=0,NA(),SUMPRODUCT((Inputs!$A$5:$A$110=$B13)*Inputs!$B$5:$B$110*(((Inputs!$G$5:$G$110="moeda")+(Inputs!$G$5:$G$110="acoes"))*Inputs!$B$1+((Inputs!$G$5:$G$110&lt;&gt;"moeda")*(Inputs!$G$5:$G$110&lt;&gt;"acoes")))*INDEX(Inputs!$K$5:$AJ$110,0,MATCH(AH$2,Inputs!$K$4:$AJ$4,0)))+SUMPRODUCT((Inputs!$C$5:$C$110=$B13)*Inputs!$D$5:$D$110*(((Inputs!$G$5:$G$110="moeda")+(Inputs!$G$5:$G$110="acoes"))*Inputs!$B$1+((Inputs!$G$5:$G$110&lt;&gt;"moeda")*(Inputs!$G$5:$G$110&lt;&gt;"acoes")))*INDEX(Inputs!$K$5:$AJ$110,0,MATCH(AH$2,Inputs!$K$4:$AJ$4,0)))+SUMPRODUCT((Inputs!$E$5:$E$110=$B13)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3" s="267">
        <f>IF(ISNA(MATCH(AI$2,Inputs!$K$4:$AJ$4,0)),NA(),IF(SUMPRODUCT((Inputs!$A$5:$A$110=$B13)*ISNUMBER(INDEX(Inputs!$K$5:$AJ$110,0,MATCH(AI$2,Inputs!$K$4:$AJ$4,0))))+SUMPRODUCT((Inputs!$C$5:$C$110=$B13)*ISNUMBER(INDEX(Inputs!$K$5:$AJ$110,0,MATCH(AI$2,Inputs!$K$4:$AJ$4,0))))+SUMPRODUCT((Inputs!$E$5:$E$110=$B13)*ISNUMBER(INDEX(Inputs!$K$5:$AJ$110,0,MATCH(AI$2,Inputs!$K$4:$AJ$4,0))))=0,NA(),SUMPRODUCT((Inputs!$A$5:$A$110=$B13)*Inputs!$B$5:$B$110*(((Inputs!$G$5:$G$110="moeda")+(Inputs!$G$5:$G$110="acoes"))*Inputs!$B$1+((Inputs!$G$5:$G$110&lt;&gt;"moeda")*(Inputs!$G$5:$G$110&lt;&gt;"acoes")))*INDEX(Inputs!$K$5:$AJ$110,0,MATCH(AI$2,Inputs!$K$4:$AJ$4,0)))+SUMPRODUCT((Inputs!$C$5:$C$110=$B13)*Inputs!$D$5:$D$110*(((Inputs!$G$5:$G$110="moeda")+(Inputs!$G$5:$G$110="acoes"))*Inputs!$B$1+((Inputs!$G$5:$G$110&lt;&gt;"moeda")*(Inputs!$G$5:$G$110&lt;&gt;"acoes")))*INDEX(Inputs!$K$5:$AJ$110,0,MATCH(AI$2,Inputs!$K$4:$AJ$4,0)))+SUMPRODUCT((Inputs!$E$5:$E$110=$B13)*Inputs!$F$5:$F$110*(((Inputs!$G$5:$G$110="moeda")+(Inputs!$G$5:$G$110="acoes"))*Inputs!$B$1+((Inputs!$G$5:$G$110&lt;&gt;"moeda")*(Inputs!$G$5:$G$110&lt;&gt;"acoes")))*INDEX(Inputs!$K$5:$AJ$110,0,MATCH(AI$2,Inputs!$K$4:$AJ$4,0)))))</f>
        <v>-287</v>
      </c>
      <c r="AJ13" s="267">
        <f>IF(ISNA(MATCH(AJ$2,Inputs!$K$4:$AJ$4,0)),NA(),IF(SUMPRODUCT((Inputs!$A$5:$A$110=$B13)*ISNUMBER(INDEX(Inputs!$K$5:$AJ$110,0,MATCH(AJ$2,Inputs!$K$4:$AJ$4,0))))+SUMPRODUCT((Inputs!$C$5:$C$110=$B13)*ISNUMBER(INDEX(Inputs!$K$5:$AJ$110,0,MATCH(AJ$2,Inputs!$K$4:$AJ$4,0))))+SUMPRODUCT((Inputs!$E$5:$E$110=$B13)*ISNUMBER(INDEX(Inputs!$K$5:$AJ$110,0,MATCH(AJ$2,Inputs!$K$4:$AJ$4,0))))=0,NA(),SUMPRODUCT((Inputs!$A$5:$A$110=$B13)*Inputs!$B$5:$B$110*(((Inputs!$G$5:$G$110="moeda")+(Inputs!$G$5:$G$110="acoes"))*Inputs!$B$1+((Inputs!$G$5:$G$110&lt;&gt;"moeda")*(Inputs!$G$5:$G$110&lt;&gt;"acoes")))*INDEX(Inputs!$K$5:$AJ$110,0,MATCH(AJ$2,Inputs!$K$4:$AJ$4,0)))+SUMPRODUCT((Inputs!$C$5:$C$110=$B13)*Inputs!$D$5:$D$110*(((Inputs!$G$5:$G$110="moeda")+(Inputs!$G$5:$G$110="acoes"))*Inputs!$B$1+((Inputs!$G$5:$G$110&lt;&gt;"moeda")*(Inputs!$G$5:$G$110&lt;&gt;"acoes")))*INDEX(Inputs!$K$5:$AJ$110,0,MATCH(AJ$2,Inputs!$K$4:$AJ$4,0)))+SUMPRODUCT((Inputs!$E$5:$E$110=$B13)*Inputs!$F$5:$F$110*(((Inputs!$G$5:$G$110="moeda")+(Inputs!$G$5:$G$110="acoes"))*Inputs!$B$1+((Inputs!$G$5:$G$110&lt;&gt;"moeda")*(Inputs!$G$5:$G$110&lt;&gt;"acoes")))*INDEX(Inputs!$K$5:$AJ$110,0,MATCH(AJ$2,Inputs!$K$4:$AJ$4,0)))))</f>
        <v>-619</v>
      </c>
      <c r="AK13" s="267">
        <f>IF(ISNA(MATCH(AK$2,Inputs!$K$4:$AJ$4,0)),NA(),IF(SUMPRODUCT((Inputs!$A$5:$A$110=$B13)*ISNUMBER(INDEX(Inputs!$K$5:$AJ$110,0,MATCH(AK$2,Inputs!$K$4:$AJ$4,0))))+SUMPRODUCT((Inputs!$C$5:$C$110=$B13)*ISNUMBER(INDEX(Inputs!$K$5:$AJ$110,0,MATCH(AK$2,Inputs!$K$4:$AJ$4,0))))+SUMPRODUCT((Inputs!$E$5:$E$110=$B13)*ISNUMBER(INDEX(Inputs!$K$5:$AJ$110,0,MATCH(AK$2,Inputs!$K$4:$AJ$4,0))))=0,NA(),SUMPRODUCT((Inputs!$A$5:$A$110=$B13)*Inputs!$B$5:$B$110*(((Inputs!$G$5:$G$110="moeda")+(Inputs!$G$5:$G$110="acoes"))*Inputs!$B$1+((Inputs!$G$5:$G$110&lt;&gt;"moeda")*(Inputs!$G$5:$G$110&lt;&gt;"acoes")))*INDEX(Inputs!$K$5:$AJ$110,0,MATCH(AK$2,Inputs!$K$4:$AJ$4,0)))+SUMPRODUCT((Inputs!$C$5:$C$110=$B13)*Inputs!$D$5:$D$110*(((Inputs!$G$5:$G$110="moeda")+(Inputs!$G$5:$G$110="acoes"))*Inputs!$B$1+((Inputs!$G$5:$G$110&lt;&gt;"moeda")*(Inputs!$G$5:$G$110&lt;&gt;"acoes")))*INDEX(Inputs!$K$5:$AJ$110,0,MATCH(AK$2,Inputs!$K$4:$AJ$4,0)))+SUMPRODUCT((Inputs!$E$5:$E$110=$B13)*Inputs!$F$5:$F$110*(((Inputs!$G$5:$G$110="moeda")+(Inputs!$G$5:$G$110="acoes"))*Inputs!$B$1+((Inputs!$G$5:$G$110&lt;&gt;"moeda")*(Inputs!$G$5:$G$110&lt;&gt;"acoes")))*INDEX(Inputs!$K$5:$AJ$110,0,MATCH(AK$2,Inputs!$K$4:$AJ$4,0)))))</f>
        <v>-310</v>
      </c>
      <c r="AL13" s="268">
        <f>SUM(AH13:AK13)</f>
        <v>-1216</v>
      </c>
    </row>
    <row r="14" ht="12.75" customHeight="1" s="255">
      <c r="D14" s="268" t="n"/>
    </row>
    <row r="15" ht="12.75" customHeight="1" s="255">
      <c r="B15" s="265" t="n">
        <v>11</v>
      </c>
      <c r="C15" s="269" t="inlineStr">
        <is>
          <t>Cash and equivalents (inc. investment securities)</t>
        </is>
      </c>
      <c r="D15" s="267">
        <f>IF(ISNA(MATCH(D$2,Inputs!$K$4:$AJ$4,0)),NA(),IF(SUMPRODUCT((Inputs!$A$5:$A$110=$B15)*ISNUMBER(INDEX(Inputs!$K$5:$AJ$110,0,MATCH(D$2,Inputs!$K$4:$AJ$4,0))))+SUMPRODUCT((Inputs!$C$5:$C$110=$B15)*ISNUMBER(INDEX(Inputs!$K$5:$AJ$110,0,MATCH(D$2,Inputs!$K$4:$AJ$4,0))))+SUMPRODUCT((Inputs!$E$5:$E$110=$B15)*ISNUMBER(INDEX(Inputs!$K$5:$AJ$110,0,MATCH(D$2,Inputs!$K$4:$AJ$4,0))))=0,NA(),SUMPRODUCT((Inputs!$A$5:$A$110=$B15)*Inputs!$B$5:$B$110*(((Inputs!$G$5:$G$110="moeda")+(Inputs!$G$5:$G$110="acoes"))*Inputs!$B$1+((Inputs!$G$5:$G$110&lt;&gt;"moeda")*(Inputs!$G$5:$G$110&lt;&gt;"acoes")))*INDEX(Inputs!$K$5:$AJ$110,0,MATCH(D$2,Inputs!$K$4:$AJ$4,0)))+SUMPRODUCT((Inputs!$C$5:$C$110=$B15)*Inputs!$D$5:$D$110*(((Inputs!$G$5:$G$110="moeda")+(Inputs!$G$5:$G$110="acoes"))*Inputs!$B$1+((Inputs!$G$5:$G$110&lt;&gt;"moeda")*(Inputs!$G$5:$G$110&lt;&gt;"acoes")))*INDEX(Inputs!$K$5:$AJ$110,0,MATCH(D$2,Inputs!$K$4:$AJ$4,0)))+SUMPRODUCT((Inputs!$E$5:$E$110=$B15)*Inputs!$F$5:$F$110*(((Inputs!$G$5:$G$110="moeda")+(Inputs!$G$5:$G$110="acoes"))*Inputs!$B$1+((Inputs!$G$5:$G$110&lt;&gt;"moeda")*(Inputs!$G$5:$G$110&lt;&gt;"acoes")))*INDEX(Inputs!$K$5:$AJ$110,0,MATCH(D$2,Inputs!$K$4:$AJ$4,0)))))</f>
        <v>9254</v>
      </c>
      <c r="E15" s="267">
        <f>IF(ISNA(MATCH(E$2,Inputs!$K$4:$AJ$4,0)),NA(),IF(SUMPRODUCT((Inputs!$A$5:$A$110=$B15)*ISNUMBER(INDEX(Inputs!$K$5:$AJ$110,0,MATCH(E$2,Inputs!$K$4:$AJ$4,0))))+SUMPRODUCT((Inputs!$C$5:$C$110=$B15)*ISNUMBER(INDEX(Inputs!$K$5:$AJ$110,0,MATCH(E$2,Inputs!$K$4:$AJ$4,0))))+SUMPRODUCT((Inputs!$E$5:$E$110=$B15)*ISNUMBER(INDEX(Inputs!$K$5:$AJ$110,0,MATCH(E$2,Inputs!$K$4:$AJ$4,0))))=0,NA(),SUMPRODUCT((Inputs!$A$5:$A$110=$B15)*Inputs!$B$5:$B$110*(((Inputs!$G$5:$G$110="moeda")+(Inputs!$G$5:$G$110="acoes"))*Inputs!$B$1+((Inputs!$G$5:$G$110&lt;&gt;"moeda")*(Inputs!$G$5:$G$110&lt;&gt;"acoes")))*INDEX(Inputs!$K$5:$AJ$110,0,MATCH(E$2,Inputs!$K$4:$AJ$4,0)))+SUMPRODUCT((Inputs!$C$5:$C$110=$B15)*Inputs!$D$5:$D$110*(((Inputs!$G$5:$G$110="moeda")+(Inputs!$G$5:$G$110="acoes"))*Inputs!$B$1+((Inputs!$G$5:$G$110&lt;&gt;"moeda")*(Inputs!$G$5:$G$110&lt;&gt;"acoes")))*INDEX(Inputs!$K$5:$AJ$110,0,MATCH(E$2,Inputs!$K$4:$AJ$4,0)))+SUMPRODUCT((Inputs!$E$5:$E$110=$B15)*Inputs!$F$5:$F$110*(((Inputs!$G$5:$G$110="moeda")+(Inputs!$G$5:$G$110="acoes"))*Inputs!$B$1+((Inputs!$G$5:$G$110&lt;&gt;"moeda")*(Inputs!$G$5:$G$110&lt;&gt;"acoes")))*INDEX(Inputs!$K$5:$AJ$110,0,MATCH(E$2,Inputs!$K$4:$AJ$4,0)))))</f>
        <v>11126</v>
      </c>
      <c r="F15" s="267">
        <f>IF(ISNA(MATCH(F$2,Inputs!$K$4:$AJ$4,0)),NA(),IF(SUMPRODUCT((Inputs!$A$5:$A$110=$B15)*ISNUMBER(INDEX(Inputs!$K$5:$AJ$110,0,MATCH(F$2,Inputs!$K$4:$AJ$4,0))))+SUMPRODUCT((Inputs!$C$5:$C$110=$B15)*ISNUMBER(INDEX(Inputs!$K$5:$AJ$110,0,MATCH(F$2,Inputs!$K$4:$AJ$4,0))))+SUMPRODUCT((Inputs!$E$5:$E$110=$B15)*ISNUMBER(INDEX(Inputs!$K$5:$AJ$110,0,MATCH(F$2,Inputs!$K$4:$AJ$4,0))))=0,NA(),SUMPRODUCT((Inputs!$A$5:$A$110=$B15)*Inputs!$B$5:$B$110*(((Inputs!$G$5:$G$110="moeda")+(Inputs!$G$5:$G$110="acoes"))*Inputs!$B$1+((Inputs!$G$5:$G$110&lt;&gt;"moeda")*(Inputs!$G$5:$G$110&lt;&gt;"acoes")))*INDEX(Inputs!$K$5:$AJ$110,0,MATCH(F$2,Inputs!$K$4:$AJ$4,0)))+SUMPRODUCT((Inputs!$C$5:$C$110=$B15)*Inputs!$D$5:$D$110*(((Inputs!$G$5:$G$110="moeda")+(Inputs!$G$5:$G$110="acoes"))*Inputs!$B$1+((Inputs!$G$5:$G$110&lt;&gt;"moeda")*(Inputs!$G$5:$G$110&lt;&gt;"acoes")))*INDEX(Inputs!$K$5:$AJ$110,0,MATCH(F$2,Inputs!$K$4:$AJ$4,0)))+SUMPRODUCT((Inputs!$E$5:$E$110=$B15)*Inputs!$F$5:$F$110*(((Inputs!$G$5:$G$110="moeda")+(Inputs!$G$5:$G$110="acoes"))*Inputs!$B$1+((Inputs!$G$5:$G$110&lt;&gt;"moeda")*(Inputs!$G$5:$G$110&lt;&gt;"acoes")))*INDEX(Inputs!$K$5:$AJ$110,0,MATCH(F$2,Inputs!$K$4:$AJ$4,0)))))</f>
        <v>12175</v>
      </c>
      <c r="G15" s="267">
        <f>IF(ISNA(MATCH(G$2,Inputs!$K$4:$AJ$4,0)),NA(),IF(SUMPRODUCT((Inputs!$A$5:$A$110=$B15)*ISNUMBER(INDEX(Inputs!$K$5:$AJ$110,0,MATCH(G$2,Inputs!$K$4:$AJ$4,0))))+SUMPRODUCT((Inputs!$C$5:$C$110=$B15)*ISNUMBER(INDEX(Inputs!$K$5:$AJ$110,0,MATCH(G$2,Inputs!$K$4:$AJ$4,0))))+SUMPRODUCT((Inputs!$E$5:$E$110=$B15)*ISNUMBER(INDEX(Inputs!$K$5:$AJ$110,0,MATCH(G$2,Inputs!$K$4:$AJ$4,0))))=0,NA(),SUMPRODUCT((Inputs!$A$5:$A$110=$B15)*Inputs!$B$5:$B$110*(((Inputs!$G$5:$G$110="moeda")+(Inputs!$G$5:$G$110="acoes"))*Inputs!$B$1+((Inputs!$G$5:$G$110&lt;&gt;"moeda")*(Inputs!$G$5:$G$110&lt;&gt;"acoes")))*INDEX(Inputs!$K$5:$AJ$110,0,MATCH(G$2,Inputs!$K$4:$AJ$4,0)))+SUMPRODUCT((Inputs!$C$5:$C$110=$B15)*Inputs!$D$5:$D$110*(((Inputs!$G$5:$G$110="moeda")+(Inputs!$G$5:$G$110="acoes"))*Inputs!$B$1+((Inputs!$G$5:$G$110&lt;&gt;"moeda")*(Inputs!$G$5:$G$110&lt;&gt;"acoes")))*INDEX(Inputs!$K$5:$AJ$110,0,MATCH(G$2,Inputs!$K$4:$AJ$4,0)))+SUMPRODUCT((Inputs!$E$5:$E$110=$B15)*Inputs!$F$5:$F$110*(((Inputs!$G$5:$G$110="moeda")+(Inputs!$G$5:$G$110="acoes"))*Inputs!$B$1+((Inputs!$G$5:$G$110&lt;&gt;"moeda")*(Inputs!$G$5:$G$110&lt;&gt;"acoes")))*INDEX(Inputs!$K$5:$AJ$110,0,MATCH(G$2,Inputs!$K$4:$AJ$4,0)))))</f>
        <v>13476</v>
      </c>
      <c r="H15" s="268">
        <f>G15</f>
        <v>13476</v>
      </c>
      <c r="I15" s="267">
        <f>IF(ISNA(MATCH(I$2,Inputs!$K$4:$AJ$4,0)),NA(),IF(SUMPRODUCT((Inputs!$A$5:$A$110=$B15)*ISNUMBER(INDEX(Inputs!$K$5:$AJ$110,0,MATCH(I$2,Inputs!$K$4:$AJ$4,0))))+SUMPRODUCT((Inputs!$C$5:$C$110=$B15)*ISNUMBER(INDEX(Inputs!$K$5:$AJ$110,0,MATCH(I$2,Inputs!$K$4:$AJ$4,0))))+SUMPRODUCT((Inputs!$E$5:$E$110=$B15)*ISNUMBER(INDEX(Inputs!$K$5:$AJ$110,0,MATCH(I$2,Inputs!$K$4:$AJ$4,0))))=0,NA(),SUMPRODUCT((Inputs!$A$5:$A$110=$B15)*Inputs!$B$5:$B$110*(((Inputs!$G$5:$G$110="moeda")+(Inputs!$G$5:$G$110="acoes"))*Inputs!$B$1+((Inputs!$G$5:$G$110&lt;&gt;"moeda")*(Inputs!$G$5:$G$110&lt;&gt;"acoes")))*INDEX(Inputs!$K$5:$AJ$110,0,MATCH(I$2,Inputs!$K$4:$AJ$4,0)))+SUMPRODUCT((Inputs!$C$5:$C$110=$B15)*Inputs!$D$5:$D$110*(((Inputs!$G$5:$G$110="moeda")+(Inputs!$G$5:$G$110="acoes"))*Inputs!$B$1+((Inputs!$G$5:$G$110&lt;&gt;"moeda")*(Inputs!$G$5:$G$110&lt;&gt;"acoes")))*INDEX(Inputs!$K$5:$AJ$110,0,MATCH(I$2,Inputs!$K$4:$AJ$4,0)))+SUMPRODUCT((Inputs!$E$5:$E$110=$B15)*Inputs!$F$5:$F$110*(((Inputs!$G$5:$G$110="moeda")+(Inputs!$G$5:$G$110="acoes"))*Inputs!$B$1+((Inputs!$G$5:$G$110&lt;&gt;"moeda")*(Inputs!$G$5:$G$110&lt;&gt;"acoes")))*INDEX(Inputs!$K$5:$AJ$110,0,MATCH(I$2,Inputs!$K$4:$AJ$4,0)))))</f>
        <v>12296</v>
      </c>
      <c r="J15" s="267">
        <f>IF(ISNA(MATCH(J$2,Inputs!$K$4:$AJ$4,0)),NA(),IF(SUMPRODUCT((Inputs!$A$5:$A$110=$B15)*ISNUMBER(INDEX(Inputs!$K$5:$AJ$110,0,MATCH(J$2,Inputs!$K$4:$AJ$4,0))))+SUMPRODUCT((Inputs!$C$5:$C$110=$B15)*ISNUMBER(INDEX(Inputs!$K$5:$AJ$110,0,MATCH(J$2,Inputs!$K$4:$AJ$4,0))))+SUMPRODUCT((Inputs!$E$5:$E$110=$B15)*ISNUMBER(INDEX(Inputs!$K$5:$AJ$110,0,MATCH(J$2,Inputs!$K$4:$AJ$4,0))))=0,NA(),SUMPRODUCT((Inputs!$A$5:$A$110=$B15)*Inputs!$B$5:$B$110*(((Inputs!$G$5:$G$110="moeda")+(Inputs!$G$5:$G$110="acoes"))*Inputs!$B$1+((Inputs!$G$5:$G$110&lt;&gt;"moeda")*(Inputs!$G$5:$G$110&lt;&gt;"acoes")))*INDEX(Inputs!$K$5:$AJ$110,0,MATCH(J$2,Inputs!$K$4:$AJ$4,0)))+SUMPRODUCT((Inputs!$C$5:$C$110=$B15)*Inputs!$D$5:$D$110*(((Inputs!$G$5:$G$110="moeda")+(Inputs!$G$5:$G$110="acoes"))*Inputs!$B$1+((Inputs!$G$5:$G$110&lt;&gt;"moeda")*(Inputs!$G$5:$G$110&lt;&gt;"acoes")))*INDEX(Inputs!$K$5:$AJ$110,0,MATCH(J$2,Inputs!$K$4:$AJ$4,0)))+SUMPRODUCT((Inputs!$E$5:$E$110=$B15)*Inputs!$F$5:$F$110*(((Inputs!$G$5:$G$110="moeda")+(Inputs!$G$5:$G$110="acoes"))*Inputs!$B$1+((Inputs!$G$5:$G$110&lt;&gt;"moeda")*(Inputs!$G$5:$G$110&lt;&gt;"acoes")))*INDEX(Inputs!$K$5:$AJ$110,0,MATCH(J$2,Inputs!$K$4:$AJ$4,0)))))</f>
        <v>11831</v>
      </c>
      <c r="K15" s="267">
        <f>IF(ISNA(MATCH(K$2,Inputs!$K$4:$AJ$4,0)),NA(),IF(SUMPRODUCT((Inputs!$A$5:$A$110=$B15)*ISNUMBER(INDEX(Inputs!$K$5:$AJ$110,0,MATCH(K$2,Inputs!$K$4:$AJ$4,0))))+SUMPRODUCT((Inputs!$C$5:$C$110=$B15)*ISNUMBER(INDEX(Inputs!$K$5:$AJ$110,0,MATCH(K$2,Inputs!$K$4:$AJ$4,0))))+SUMPRODUCT((Inputs!$E$5:$E$110=$B15)*ISNUMBER(INDEX(Inputs!$K$5:$AJ$110,0,MATCH(K$2,Inputs!$K$4:$AJ$4,0))))=0,NA(),SUMPRODUCT((Inputs!$A$5:$A$110=$B15)*Inputs!$B$5:$B$110*(((Inputs!$G$5:$G$110="moeda")+(Inputs!$G$5:$G$110="acoes"))*Inputs!$B$1+((Inputs!$G$5:$G$110&lt;&gt;"moeda")*(Inputs!$G$5:$G$110&lt;&gt;"acoes")))*INDEX(Inputs!$K$5:$AJ$110,0,MATCH(K$2,Inputs!$K$4:$AJ$4,0)))+SUMPRODUCT((Inputs!$C$5:$C$110=$B15)*Inputs!$D$5:$D$110*(((Inputs!$G$5:$G$110="moeda")+(Inputs!$G$5:$G$110="acoes"))*Inputs!$B$1+((Inputs!$G$5:$G$110&lt;&gt;"moeda")*(Inputs!$G$5:$G$110&lt;&gt;"acoes")))*INDEX(Inputs!$K$5:$AJ$110,0,MATCH(K$2,Inputs!$K$4:$AJ$4,0)))+SUMPRODUCT((Inputs!$E$5:$E$110=$B15)*Inputs!$F$5:$F$110*(((Inputs!$G$5:$G$110="moeda")+(Inputs!$G$5:$G$110="acoes"))*Inputs!$B$1+((Inputs!$G$5:$G$110&lt;&gt;"moeda")*(Inputs!$G$5:$G$110&lt;&gt;"acoes")))*INDEX(Inputs!$K$5:$AJ$110,0,MATCH(K$2,Inputs!$K$4:$AJ$4,0)))))</f>
        <v>11049</v>
      </c>
      <c r="L15" s="267">
        <f>IF(ISNA(MATCH(L$2,Inputs!$K$4:$AJ$4,0)),NA(),IF(SUMPRODUCT((Inputs!$A$5:$A$110=$B15)*ISNUMBER(INDEX(Inputs!$K$5:$AJ$110,0,MATCH(L$2,Inputs!$K$4:$AJ$4,0))))+SUMPRODUCT((Inputs!$C$5:$C$110=$B15)*ISNUMBER(INDEX(Inputs!$K$5:$AJ$110,0,MATCH(L$2,Inputs!$K$4:$AJ$4,0))))+SUMPRODUCT((Inputs!$E$5:$E$110=$B15)*ISNUMBER(INDEX(Inputs!$K$5:$AJ$110,0,MATCH(L$2,Inputs!$K$4:$AJ$4,0))))=0,NA(),SUMPRODUCT((Inputs!$A$5:$A$110=$B15)*Inputs!$B$5:$B$110*(((Inputs!$G$5:$G$110="moeda")+(Inputs!$G$5:$G$110="acoes"))*Inputs!$B$1+((Inputs!$G$5:$G$110&lt;&gt;"moeda")*(Inputs!$G$5:$G$110&lt;&gt;"acoes")))*INDEX(Inputs!$K$5:$AJ$110,0,MATCH(L$2,Inputs!$K$4:$AJ$4,0)))+SUMPRODUCT((Inputs!$C$5:$C$110=$B15)*Inputs!$D$5:$D$110*(((Inputs!$G$5:$G$110="moeda")+(Inputs!$G$5:$G$110="acoes"))*Inputs!$B$1+((Inputs!$G$5:$G$110&lt;&gt;"moeda")*(Inputs!$G$5:$G$110&lt;&gt;"acoes")))*INDEX(Inputs!$K$5:$AJ$110,0,MATCH(L$2,Inputs!$K$4:$AJ$4,0)))+SUMPRODUCT((Inputs!$E$5:$E$110=$B15)*Inputs!$F$5:$F$110*(((Inputs!$G$5:$G$110="moeda")+(Inputs!$G$5:$G$110="acoes"))*Inputs!$B$1+((Inputs!$G$5:$G$110&lt;&gt;"moeda")*(Inputs!$G$5:$G$110&lt;&gt;"acoes")))*INDEX(Inputs!$K$5:$AJ$110,0,MATCH(L$2,Inputs!$K$4:$AJ$4,0)))))</f>
        <v>11673</v>
      </c>
      <c r="M15" s="268">
        <f>L15</f>
        <v>11673</v>
      </c>
      <c r="N15" s="267">
        <f>IF(ISNA(MATCH(N$2,Inputs!$K$4:$AJ$4,0)),NA(),IF(SUMPRODUCT((Inputs!$A$5:$A$110=$B15)*ISNUMBER(INDEX(Inputs!$K$5:$AJ$110,0,MATCH(N$2,Inputs!$K$4:$AJ$4,0))))+SUMPRODUCT((Inputs!$C$5:$C$110=$B15)*ISNUMBER(INDEX(Inputs!$K$5:$AJ$110,0,MATCH(N$2,Inputs!$K$4:$AJ$4,0))))+SUMPRODUCT((Inputs!$E$5:$E$110=$B15)*ISNUMBER(INDEX(Inputs!$K$5:$AJ$110,0,MATCH(N$2,Inputs!$K$4:$AJ$4,0))))=0,NA(),SUMPRODUCT((Inputs!$A$5:$A$110=$B15)*Inputs!$B$5:$B$110*(((Inputs!$G$5:$G$110="moeda")+(Inputs!$G$5:$G$110="acoes"))*Inputs!$B$1+((Inputs!$G$5:$G$110&lt;&gt;"moeda")*(Inputs!$G$5:$G$110&lt;&gt;"acoes")))*INDEX(Inputs!$K$5:$AJ$110,0,MATCH(N$2,Inputs!$K$4:$AJ$4,0)))+SUMPRODUCT((Inputs!$C$5:$C$110=$B15)*Inputs!$D$5:$D$110*(((Inputs!$G$5:$G$110="moeda")+(Inputs!$G$5:$G$110="acoes"))*Inputs!$B$1+((Inputs!$G$5:$G$110&lt;&gt;"moeda")*(Inputs!$G$5:$G$110&lt;&gt;"acoes")))*INDEX(Inputs!$K$5:$AJ$110,0,MATCH(N$2,Inputs!$K$4:$AJ$4,0)))+SUMPRODUCT((Inputs!$E$5:$E$110=$B15)*Inputs!$F$5:$F$110*(((Inputs!$G$5:$G$110="moeda")+(Inputs!$G$5:$G$110="acoes"))*Inputs!$B$1+((Inputs!$G$5:$G$110&lt;&gt;"moeda")*(Inputs!$G$5:$G$110&lt;&gt;"acoes")))*INDEX(Inputs!$K$5:$AJ$110,0,MATCH(N$2,Inputs!$K$4:$AJ$4,0)))))</f>
        <v>13705</v>
      </c>
      <c r="O15" s="267">
        <f>IF(ISNA(MATCH(O$2,Inputs!$K$4:$AJ$4,0)),NA(),IF(SUMPRODUCT((Inputs!$A$5:$A$110=$B15)*ISNUMBER(INDEX(Inputs!$K$5:$AJ$110,0,MATCH(O$2,Inputs!$K$4:$AJ$4,0))))+SUMPRODUCT((Inputs!$C$5:$C$110=$B15)*ISNUMBER(INDEX(Inputs!$K$5:$AJ$110,0,MATCH(O$2,Inputs!$K$4:$AJ$4,0))))+SUMPRODUCT((Inputs!$E$5:$E$110=$B15)*ISNUMBER(INDEX(Inputs!$K$5:$AJ$110,0,MATCH(O$2,Inputs!$K$4:$AJ$4,0))))=0,NA(),SUMPRODUCT((Inputs!$A$5:$A$110=$B15)*Inputs!$B$5:$B$110*(((Inputs!$G$5:$G$110="moeda")+(Inputs!$G$5:$G$110="acoes"))*Inputs!$B$1+((Inputs!$G$5:$G$110&lt;&gt;"moeda")*(Inputs!$G$5:$G$110&lt;&gt;"acoes")))*INDEX(Inputs!$K$5:$AJ$110,0,MATCH(O$2,Inputs!$K$4:$AJ$4,0)))+SUMPRODUCT((Inputs!$C$5:$C$110=$B15)*Inputs!$D$5:$D$110*(((Inputs!$G$5:$G$110="moeda")+(Inputs!$G$5:$G$110="acoes"))*Inputs!$B$1+((Inputs!$G$5:$G$110&lt;&gt;"moeda")*(Inputs!$G$5:$G$110&lt;&gt;"acoes")))*INDEX(Inputs!$K$5:$AJ$110,0,MATCH(O$2,Inputs!$K$4:$AJ$4,0)))+SUMPRODUCT((Inputs!$E$5:$E$110=$B15)*Inputs!$F$5:$F$110*(((Inputs!$G$5:$G$110="moeda")+(Inputs!$G$5:$G$110="acoes"))*Inputs!$B$1+((Inputs!$G$5:$G$110&lt;&gt;"moeda")*(Inputs!$G$5:$G$110&lt;&gt;"acoes")))*INDEX(Inputs!$K$5:$AJ$110,0,MATCH(O$2,Inputs!$K$4:$AJ$4,0)))))</f>
        <v>13708</v>
      </c>
      <c r="P15" s="267">
        <f>IF(ISNA(MATCH(P$2,Inputs!$K$4:$AJ$4,0)),NA(),IF(SUMPRODUCT((Inputs!$A$5:$A$110=$B15)*ISNUMBER(INDEX(Inputs!$K$5:$AJ$110,0,MATCH(P$2,Inputs!$K$4:$AJ$4,0))))+SUMPRODUCT((Inputs!$C$5:$C$110=$B15)*ISNUMBER(INDEX(Inputs!$K$5:$AJ$110,0,MATCH(P$2,Inputs!$K$4:$AJ$4,0))))+SUMPRODUCT((Inputs!$E$5:$E$110=$B15)*ISNUMBER(INDEX(Inputs!$K$5:$AJ$110,0,MATCH(P$2,Inputs!$K$4:$AJ$4,0))))=0,NA(),SUMPRODUCT((Inputs!$A$5:$A$110=$B15)*Inputs!$B$5:$B$110*(((Inputs!$G$5:$G$110="moeda")+(Inputs!$G$5:$G$110="acoes"))*Inputs!$B$1+((Inputs!$G$5:$G$110&lt;&gt;"moeda")*(Inputs!$G$5:$G$110&lt;&gt;"acoes")))*INDEX(Inputs!$K$5:$AJ$110,0,MATCH(P$2,Inputs!$K$4:$AJ$4,0)))+SUMPRODUCT((Inputs!$C$5:$C$110=$B15)*Inputs!$D$5:$D$110*(((Inputs!$G$5:$G$110="moeda")+(Inputs!$G$5:$G$110="acoes"))*Inputs!$B$1+((Inputs!$G$5:$G$110&lt;&gt;"moeda")*(Inputs!$G$5:$G$110&lt;&gt;"acoes")))*INDEX(Inputs!$K$5:$AJ$110,0,MATCH(P$2,Inputs!$K$4:$AJ$4,0)))+SUMPRODUCT((Inputs!$E$5:$E$110=$B15)*Inputs!$F$5:$F$110*(((Inputs!$G$5:$G$110="moeda")+(Inputs!$G$5:$G$110="acoes"))*Inputs!$B$1+((Inputs!$G$5:$G$110&lt;&gt;"moeda")*(Inputs!$G$5:$G$110&lt;&gt;"acoes")))*INDEX(Inputs!$K$5:$AJ$110,0,MATCH(P$2,Inputs!$K$4:$AJ$4,0)))))</f>
        <v>15234</v>
      </c>
      <c r="Q15" s="267">
        <f>IF(ISNA(MATCH(Q$2,Inputs!$K$4:$AJ$4,0)),NA(),IF(SUMPRODUCT((Inputs!$A$5:$A$110=$B15)*ISNUMBER(INDEX(Inputs!$K$5:$AJ$110,0,MATCH(Q$2,Inputs!$K$4:$AJ$4,0))))+SUMPRODUCT((Inputs!$C$5:$C$110=$B15)*ISNUMBER(INDEX(Inputs!$K$5:$AJ$110,0,MATCH(Q$2,Inputs!$K$4:$AJ$4,0))))+SUMPRODUCT((Inputs!$E$5:$E$110=$B15)*ISNUMBER(INDEX(Inputs!$K$5:$AJ$110,0,MATCH(Q$2,Inputs!$K$4:$AJ$4,0))))=0,NA(),SUMPRODUCT((Inputs!$A$5:$A$110=$B15)*Inputs!$B$5:$B$110*(((Inputs!$G$5:$G$110="moeda")+(Inputs!$G$5:$G$110="acoes"))*Inputs!$B$1+((Inputs!$G$5:$G$110&lt;&gt;"moeda")*(Inputs!$G$5:$G$110&lt;&gt;"acoes")))*INDEX(Inputs!$K$5:$AJ$110,0,MATCH(Q$2,Inputs!$K$4:$AJ$4,0)))+SUMPRODUCT((Inputs!$C$5:$C$110=$B15)*Inputs!$D$5:$D$110*(((Inputs!$G$5:$G$110="moeda")+(Inputs!$G$5:$G$110="acoes"))*Inputs!$B$1+((Inputs!$G$5:$G$110&lt;&gt;"moeda")*(Inputs!$G$5:$G$110&lt;&gt;"acoes")))*INDEX(Inputs!$K$5:$AJ$110,0,MATCH(Q$2,Inputs!$K$4:$AJ$4,0)))+SUMPRODUCT((Inputs!$E$5:$E$110=$B15)*Inputs!$F$5:$F$110*(((Inputs!$G$5:$G$110="moeda")+(Inputs!$G$5:$G$110="acoes"))*Inputs!$B$1+((Inputs!$G$5:$G$110&lt;&gt;"moeda")*(Inputs!$G$5:$G$110&lt;&gt;"acoes")))*INDEX(Inputs!$K$5:$AJ$110,0,MATCH(Q$2,Inputs!$K$4:$AJ$4,0)))))</f>
        <v>17864</v>
      </c>
      <c r="R15" s="268">
        <f>Q15</f>
        <v>17864</v>
      </c>
      <c r="S15" s="267">
        <f>IF(ISNA(MATCH(S$2,Inputs!$K$4:$AJ$4,0)),NA(),IF(SUMPRODUCT((Inputs!$A$5:$A$110=$B15)*ISNUMBER(INDEX(Inputs!$K$5:$AJ$110,0,MATCH(S$2,Inputs!$K$4:$AJ$4,0))))+SUMPRODUCT((Inputs!$C$5:$C$110=$B15)*ISNUMBER(INDEX(Inputs!$K$5:$AJ$110,0,MATCH(S$2,Inputs!$K$4:$AJ$4,0))))+SUMPRODUCT((Inputs!$E$5:$E$110=$B15)*ISNUMBER(INDEX(Inputs!$K$5:$AJ$110,0,MATCH(S$2,Inputs!$K$4:$AJ$4,0))))=0,NA(),SUMPRODUCT((Inputs!$A$5:$A$110=$B15)*Inputs!$B$5:$B$110*(((Inputs!$G$5:$G$110="moeda")+(Inputs!$G$5:$G$110="acoes"))*Inputs!$B$1+((Inputs!$G$5:$G$110&lt;&gt;"moeda")*(Inputs!$G$5:$G$110&lt;&gt;"acoes")))*INDEX(Inputs!$K$5:$AJ$110,0,MATCH(S$2,Inputs!$K$4:$AJ$4,0)))+SUMPRODUCT((Inputs!$C$5:$C$110=$B15)*Inputs!$D$5:$D$110*(((Inputs!$G$5:$G$110="moeda")+(Inputs!$G$5:$G$110="acoes"))*Inputs!$B$1+((Inputs!$G$5:$G$110&lt;&gt;"moeda")*(Inputs!$G$5:$G$110&lt;&gt;"acoes")))*INDEX(Inputs!$K$5:$AJ$110,0,MATCH(S$2,Inputs!$K$4:$AJ$4,0)))+SUMPRODUCT((Inputs!$E$5:$E$110=$B15)*Inputs!$F$5:$F$110*(((Inputs!$G$5:$G$110="moeda")+(Inputs!$G$5:$G$110="acoes"))*Inputs!$B$1+((Inputs!$G$5:$G$110&lt;&gt;"moeda")*(Inputs!$G$5:$G$110&lt;&gt;"acoes")))*INDEX(Inputs!$K$5:$AJ$110,0,MATCH(S$2,Inputs!$K$4:$AJ$4,0)))))</f>
        <v>10321</v>
      </c>
      <c r="T15" s="267">
        <f>IF(ISNA(MATCH(T$2,Inputs!$K$4:$AJ$4,0)),NA(),IF(SUMPRODUCT((Inputs!$A$5:$A$110=$B15)*ISNUMBER(INDEX(Inputs!$K$5:$AJ$110,0,MATCH(T$2,Inputs!$K$4:$AJ$4,0))))+SUMPRODUCT((Inputs!$C$5:$C$110=$B15)*ISNUMBER(INDEX(Inputs!$K$5:$AJ$110,0,MATCH(T$2,Inputs!$K$4:$AJ$4,0))))+SUMPRODUCT((Inputs!$E$5:$E$110=$B15)*ISNUMBER(INDEX(Inputs!$K$5:$AJ$110,0,MATCH(T$2,Inputs!$K$4:$AJ$4,0))))=0,NA(),SUMPRODUCT((Inputs!$A$5:$A$110=$B15)*Inputs!$B$5:$B$110*(((Inputs!$G$5:$G$110="moeda")+(Inputs!$G$5:$G$110="acoes"))*Inputs!$B$1+((Inputs!$G$5:$G$110&lt;&gt;"moeda")*(Inputs!$G$5:$G$110&lt;&gt;"acoes")))*INDEX(Inputs!$K$5:$AJ$110,0,MATCH(T$2,Inputs!$K$4:$AJ$4,0)))+SUMPRODUCT((Inputs!$C$5:$C$110=$B15)*Inputs!$D$5:$D$110*(((Inputs!$G$5:$G$110="moeda")+(Inputs!$G$5:$G$110="acoes"))*Inputs!$B$1+((Inputs!$G$5:$G$110&lt;&gt;"moeda")*(Inputs!$G$5:$G$110&lt;&gt;"acoes")))*INDEX(Inputs!$K$5:$AJ$110,0,MATCH(T$2,Inputs!$K$4:$AJ$4,0)))+SUMPRODUCT((Inputs!$E$5:$E$110=$B15)*Inputs!$F$5:$F$110*(((Inputs!$G$5:$G$110="moeda")+(Inputs!$G$5:$G$110="acoes"))*Inputs!$B$1+((Inputs!$G$5:$G$110&lt;&gt;"moeda")*(Inputs!$G$5:$G$110&lt;&gt;"acoes")))*INDEX(Inputs!$K$5:$AJ$110,0,MATCH(T$2,Inputs!$K$4:$AJ$4,0)))))</f>
        <v>11499</v>
      </c>
      <c r="U15" s="267">
        <f>IF(ISNA(MATCH(U$2,Inputs!$K$4:$AJ$4,0)),NA(),IF(SUMPRODUCT((Inputs!$A$5:$A$110=$B15)*ISNUMBER(INDEX(Inputs!$K$5:$AJ$110,0,MATCH(U$2,Inputs!$K$4:$AJ$4,0))))+SUMPRODUCT((Inputs!$C$5:$C$110=$B15)*ISNUMBER(INDEX(Inputs!$K$5:$AJ$110,0,MATCH(U$2,Inputs!$K$4:$AJ$4,0))))+SUMPRODUCT((Inputs!$E$5:$E$110=$B15)*ISNUMBER(INDEX(Inputs!$K$5:$AJ$110,0,MATCH(U$2,Inputs!$K$4:$AJ$4,0))))=0,NA(),SUMPRODUCT((Inputs!$A$5:$A$110=$B15)*Inputs!$B$5:$B$110*(((Inputs!$G$5:$G$110="moeda")+(Inputs!$G$5:$G$110="acoes"))*Inputs!$B$1+((Inputs!$G$5:$G$110&lt;&gt;"moeda")*(Inputs!$G$5:$G$110&lt;&gt;"acoes")))*INDEX(Inputs!$K$5:$AJ$110,0,MATCH(U$2,Inputs!$K$4:$AJ$4,0)))+SUMPRODUCT((Inputs!$C$5:$C$110=$B15)*Inputs!$D$5:$D$110*(((Inputs!$G$5:$G$110="moeda")+(Inputs!$G$5:$G$110="acoes"))*Inputs!$B$1+((Inputs!$G$5:$G$110&lt;&gt;"moeda")*(Inputs!$G$5:$G$110&lt;&gt;"acoes")))*INDEX(Inputs!$K$5:$AJ$110,0,MATCH(U$2,Inputs!$K$4:$AJ$4,0)))+SUMPRODUCT((Inputs!$E$5:$E$110=$B15)*Inputs!$F$5:$F$110*(((Inputs!$G$5:$G$110="moeda")+(Inputs!$G$5:$G$110="acoes"))*Inputs!$B$1+((Inputs!$G$5:$G$110&lt;&gt;"moeda")*(Inputs!$G$5:$G$110&lt;&gt;"acoes")))*INDEX(Inputs!$K$5:$AJ$110,0,MATCH(U$2,Inputs!$K$4:$AJ$4,0)))))</f>
        <v>11144</v>
      </c>
      <c r="V15" s="267">
        <f>IF(ISNA(MATCH(V$2,Inputs!$K$4:$AJ$4,0)),NA(),IF(SUMPRODUCT((Inputs!$A$5:$A$110=$B15)*ISNUMBER(INDEX(Inputs!$K$5:$AJ$110,0,MATCH(V$2,Inputs!$K$4:$AJ$4,0))))+SUMPRODUCT((Inputs!$C$5:$C$110=$B15)*ISNUMBER(INDEX(Inputs!$K$5:$AJ$110,0,MATCH(V$2,Inputs!$K$4:$AJ$4,0))))+SUMPRODUCT((Inputs!$E$5:$E$110=$B15)*ISNUMBER(INDEX(Inputs!$K$5:$AJ$110,0,MATCH(V$2,Inputs!$K$4:$AJ$4,0))))=0,NA(),SUMPRODUCT((Inputs!$A$5:$A$110=$B15)*Inputs!$B$5:$B$110*(((Inputs!$G$5:$G$110="moeda")+(Inputs!$G$5:$G$110="acoes"))*Inputs!$B$1+((Inputs!$G$5:$G$110&lt;&gt;"moeda")*(Inputs!$G$5:$G$110&lt;&gt;"acoes")))*INDEX(Inputs!$K$5:$AJ$110,0,MATCH(V$2,Inputs!$K$4:$AJ$4,0)))+SUMPRODUCT((Inputs!$C$5:$C$110=$B15)*Inputs!$D$5:$D$110*(((Inputs!$G$5:$G$110="moeda")+(Inputs!$G$5:$G$110="acoes"))*Inputs!$B$1+((Inputs!$G$5:$G$110&lt;&gt;"moeda")*(Inputs!$G$5:$G$110&lt;&gt;"acoes")))*INDEX(Inputs!$K$5:$AJ$110,0,MATCH(V$2,Inputs!$K$4:$AJ$4,0)))+SUMPRODUCT((Inputs!$E$5:$E$110=$B15)*Inputs!$F$5:$F$110*(((Inputs!$G$5:$G$110="moeda")+(Inputs!$G$5:$G$110="acoes"))*Inputs!$B$1+((Inputs!$G$5:$G$110&lt;&gt;"moeda")*(Inputs!$G$5:$G$110&lt;&gt;"acoes")))*INDEX(Inputs!$K$5:$AJ$110,0,MATCH(V$2,Inputs!$K$4:$AJ$4,0)))))</f>
        <v>11827</v>
      </c>
      <c r="W15" s="268">
        <f>V15</f>
        <v>11827</v>
      </c>
      <c r="X15" s="267">
        <f>IF(ISNA(MATCH(X$2,Inputs!$K$4:$AJ$4,0)),NA(),IF(SUMPRODUCT((Inputs!$A$5:$A$110=$B15)*ISNUMBER(INDEX(Inputs!$K$5:$AJ$110,0,MATCH(X$2,Inputs!$K$4:$AJ$4,0))))+SUMPRODUCT((Inputs!$C$5:$C$110=$B15)*ISNUMBER(INDEX(Inputs!$K$5:$AJ$110,0,MATCH(X$2,Inputs!$K$4:$AJ$4,0))))+SUMPRODUCT((Inputs!$E$5:$E$110=$B15)*ISNUMBER(INDEX(Inputs!$K$5:$AJ$110,0,MATCH(X$2,Inputs!$K$4:$AJ$4,0))))=0,NA(),SUMPRODUCT((Inputs!$A$5:$A$110=$B15)*Inputs!$B$5:$B$110*(((Inputs!$G$5:$G$110="moeda")+(Inputs!$G$5:$G$110="acoes"))*Inputs!$B$1+((Inputs!$G$5:$G$110&lt;&gt;"moeda")*(Inputs!$G$5:$G$110&lt;&gt;"acoes")))*INDEX(Inputs!$K$5:$AJ$110,0,MATCH(X$2,Inputs!$K$4:$AJ$4,0)))+SUMPRODUCT((Inputs!$C$5:$C$110=$B15)*Inputs!$D$5:$D$110*(((Inputs!$G$5:$G$110="moeda")+(Inputs!$G$5:$G$110="acoes"))*Inputs!$B$1+((Inputs!$G$5:$G$110&lt;&gt;"moeda")*(Inputs!$G$5:$G$110&lt;&gt;"acoes")))*INDEX(Inputs!$K$5:$AJ$110,0,MATCH(X$2,Inputs!$K$4:$AJ$4,0)))+SUMPRODUCT((Inputs!$E$5:$E$110=$B15)*Inputs!$F$5:$F$110*(((Inputs!$G$5:$G$110="moeda")+(Inputs!$G$5:$G$110="acoes"))*Inputs!$B$1+((Inputs!$G$5:$G$110&lt;&gt;"moeda")*(Inputs!$G$5:$G$110&lt;&gt;"acoes")))*INDEX(Inputs!$K$5:$AJ$110,0,MATCH(X$2,Inputs!$K$4:$AJ$4,0)))))</f>
        <v>13158</v>
      </c>
      <c r="Y15" s="267">
        <f>IF(ISNA(MATCH(Y$2,Inputs!$K$4:$AJ$4,0)),NA(),IF(SUMPRODUCT((Inputs!$A$5:$A$110=$B15)*ISNUMBER(INDEX(Inputs!$K$5:$AJ$110,0,MATCH(Y$2,Inputs!$K$4:$AJ$4,0))))+SUMPRODUCT((Inputs!$C$5:$C$110=$B15)*ISNUMBER(INDEX(Inputs!$K$5:$AJ$110,0,MATCH(Y$2,Inputs!$K$4:$AJ$4,0))))+SUMPRODUCT((Inputs!$E$5:$E$110=$B15)*ISNUMBER(INDEX(Inputs!$K$5:$AJ$110,0,MATCH(Y$2,Inputs!$K$4:$AJ$4,0))))=0,NA(),SUMPRODUCT((Inputs!$A$5:$A$110=$B15)*Inputs!$B$5:$B$110*(((Inputs!$G$5:$G$110="moeda")+(Inputs!$G$5:$G$110="acoes"))*Inputs!$B$1+((Inputs!$G$5:$G$110&lt;&gt;"moeda")*(Inputs!$G$5:$G$110&lt;&gt;"acoes")))*INDEX(Inputs!$K$5:$AJ$110,0,MATCH(Y$2,Inputs!$K$4:$AJ$4,0)))+SUMPRODUCT((Inputs!$C$5:$C$110=$B15)*Inputs!$D$5:$D$110*(((Inputs!$G$5:$G$110="moeda")+(Inputs!$G$5:$G$110="acoes"))*Inputs!$B$1+((Inputs!$G$5:$G$110&lt;&gt;"moeda")*(Inputs!$G$5:$G$110&lt;&gt;"acoes")))*INDEX(Inputs!$K$5:$AJ$110,0,MATCH(Y$2,Inputs!$K$4:$AJ$4,0)))+SUMPRODUCT((Inputs!$E$5:$E$110=$B15)*Inputs!$F$5:$F$110*(((Inputs!$G$5:$G$110="moeda")+(Inputs!$G$5:$G$110="acoes"))*Inputs!$B$1+((Inputs!$G$5:$G$110&lt;&gt;"moeda")*(Inputs!$G$5:$G$110&lt;&gt;"acoes")))*INDEX(Inputs!$K$5:$AJ$110,0,MATCH(Y$2,Inputs!$K$4:$AJ$4,0)))))</f>
        <v>14850</v>
      </c>
      <c r="Z15" s="267">
        <f>IF(ISNA(MATCH(Z$2,Inputs!$K$4:$AJ$4,0)),NA(),IF(SUMPRODUCT((Inputs!$A$5:$A$110=$B15)*ISNUMBER(INDEX(Inputs!$K$5:$AJ$110,0,MATCH(Z$2,Inputs!$K$4:$AJ$4,0))))+SUMPRODUCT((Inputs!$C$5:$C$110=$B15)*ISNUMBER(INDEX(Inputs!$K$5:$AJ$110,0,MATCH(Z$2,Inputs!$K$4:$AJ$4,0))))+SUMPRODUCT((Inputs!$E$5:$E$110=$B15)*ISNUMBER(INDEX(Inputs!$K$5:$AJ$110,0,MATCH(Z$2,Inputs!$K$4:$AJ$4,0))))=0,NA(),SUMPRODUCT((Inputs!$A$5:$A$110=$B15)*Inputs!$B$5:$B$110*(((Inputs!$G$5:$G$110="moeda")+(Inputs!$G$5:$G$110="acoes"))*Inputs!$B$1+((Inputs!$G$5:$G$110&lt;&gt;"moeda")*(Inputs!$G$5:$G$110&lt;&gt;"acoes")))*INDEX(Inputs!$K$5:$AJ$110,0,MATCH(Z$2,Inputs!$K$4:$AJ$4,0)))+SUMPRODUCT((Inputs!$C$5:$C$110=$B15)*Inputs!$D$5:$D$110*(((Inputs!$G$5:$G$110="moeda")+(Inputs!$G$5:$G$110="acoes"))*Inputs!$B$1+((Inputs!$G$5:$G$110&lt;&gt;"moeda")*(Inputs!$G$5:$G$110&lt;&gt;"acoes")))*INDEX(Inputs!$K$5:$AJ$110,0,MATCH(Z$2,Inputs!$K$4:$AJ$4,0)))+SUMPRODUCT((Inputs!$E$5:$E$110=$B15)*Inputs!$F$5:$F$110*(((Inputs!$G$5:$G$110="moeda")+(Inputs!$G$5:$G$110="acoes"))*Inputs!$B$1+((Inputs!$G$5:$G$110&lt;&gt;"moeda")*(Inputs!$G$5:$G$110&lt;&gt;"acoes")))*INDEX(Inputs!$K$5:$AJ$110,0,MATCH(Z$2,Inputs!$K$4:$AJ$4,0)))))</f>
        <v>15284</v>
      </c>
      <c r="AA15" s="267">
        <f>IF(ISNA(MATCH(AA$2,Inputs!$K$4:$AJ$4,0)),NA(),IF(SUMPRODUCT((Inputs!$A$5:$A$110=$B15)*ISNUMBER(INDEX(Inputs!$K$5:$AJ$110,0,MATCH(AA$2,Inputs!$K$4:$AJ$4,0))))+SUMPRODUCT((Inputs!$C$5:$C$110=$B15)*ISNUMBER(INDEX(Inputs!$K$5:$AJ$110,0,MATCH(AA$2,Inputs!$K$4:$AJ$4,0))))+SUMPRODUCT((Inputs!$E$5:$E$110=$B15)*ISNUMBER(INDEX(Inputs!$K$5:$AJ$110,0,MATCH(AA$2,Inputs!$K$4:$AJ$4,0))))=0,NA(),SUMPRODUCT((Inputs!$A$5:$A$110=$B15)*Inputs!$B$5:$B$110*(((Inputs!$G$5:$G$110="moeda")+(Inputs!$G$5:$G$110="acoes"))*Inputs!$B$1+((Inputs!$G$5:$G$110&lt;&gt;"moeda")*(Inputs!$G$5:$G$110&lt;&gt;"acoes")))*INDEX(Inputs!$K$5:$AJ$110,0,MATCH(AA$2,Inputs!$K$4:$AJ$4,0)))+SUMPRODUCT((Inputs!$C$5:$C$110=$B15)*Inputs!$D$5:$D$110*(((Inputs!$G$5:$G$110="moeda")+(Inputs!$G$5:$G$110="acoes"))*Inputs!$B$1+((Inputs!$G$5:$G$110&lt;&gt;"moeda")*(Inputs!$G$5:$G$110&lt;&gt;"acoes")))*INDEX(Inputs!$K$5:$AJ$110,0,MATCH(AA$2,Inputs!$K$4:$AJ$4,0)))+SUMPRODUCT((Inputs!$E$5:$E$110=$B15)*Inputs!$F$5:$F$110*(((Inputs!$G$5:$G$110="moeda")+(Inputs!$G$5:$G$110="acoes"))*Inputs!$B$1+((Inputs!$G$5:$G$110&lt;&gt;"moeda")*(Inputs!$G$5:$G$110&lt;&gt;"acoes")))*INDEX(Inputs!$K$5:$AJ$110,0,MATCH(AA$2,Inputs!$K$4:$AJ$4,0)))))</f>
        <v>17183</v>
      </c>
      <c r="AB15" s="268">
        <f>AA15</f>
        <v>17183</v>
      </c>
      <c r="AC15" s="267">
        <f>IF(ISNA(MATCH(AC$2,Inputs!$K$4:$AJ$4,0)),NA(),IF(SUMPRODUCT((Inputs!$A$5:$A$110=$B15)*ISNUMBER(INDEX(Inputs!$K$5:$AJ$110,0,MATCH(AC$2,Inputs!$K$4:$AJ$4,0))))+SUMPRODUCT((Inputs!$C$5:$C$110=$B15)*ISNUMBER(INDEX(Inputs!$K$5:$AJ$110,0,MATCH(AC$2,Inputs!$K$4:$AJ$4,0))))+SUMPRODUCT((Inputs!$E$5:$E$110=$B15)*ISNUMBER(INDEX(Inputs!$K$5:$AJ$110,0,MATCH(AC$2,Inputs!$K$4:$AJ$4,0))))=0,NA(),SUMPRODUCT((Inputs!$A$5:$A$110=$B15)*Inputs!$B$5:$B$110*(((Inputs!$G$5:$G$110="moeda")+(Inputs!$G$5:$G$110="acoes"))*Inputs!$B$1+((Inputs!$G$5:$G$110&lt;&gt;"moeda")*(Inputs!$G$5:$G$110&lt;&gt;"acoes")))*INDEX(Inputs!$K$5:$AJ$110,0,MATCH(AC$2,Inputs!$K$4:$AJ$4,0)))+SUMPRODUCT((Inputs!$C$5:$C$110=$B15)*Inputs!$D$5:$D$110*(((Inputs!$G$5:$G$110="moeda")+(Inputs!$G$5:$G$110="acoes"))*Inputs!$B$1+((Inputs!$G$5:$G$110&lt;&gt;"moeda")*(Inputs!$G$5:$G$110&lt;&gt;"acoes")))*INDEX(Inputs!$K$5:$AJ$110,0,MATCH(AC$2,Inputs!$K$4:$AJ$4,0)))+SUMPRODUCT((Inputs!$E$5:$E$110=$B15)*Inputs!$F$5:$F$110*(((Inputs!$G$5:$G$110="moeda")+(Inputs!$G$5:$G$110="acoes"))*Inputs!$B$1+((Inputs!$G$5:$G$110&lt;&gt;"moeda")*(Inputs!$G$5:$G$110&lt;&gt;"acoes")))*INDEX(Inputs!$K$5:$AJ$110,0,MATCH(AC$2,Inputs!$K$4:$AJ$4,0)))))</f>
        <v>18240</v>
      </c>
      <c r="AD15" s="267">
        <f>IF(ISNA(MATCH(AD$2,Inputs!$K$4:$AJ$4,0)),NA(),IF(SUMPRODUCT((Inputs!$A$5:$A$110=$B15)*ISNUMBER(INDEX(Inputs!$K$5:$AJ$110,0,MATCH(AD$2,Inputs!$K$4:$AJ$4,0))))+SUMPRODUCT((Inputs!$C$5:$C$110=$B15)*ISNUMBER(INDEX(Inputs!$K$5:$AJ$110,0,MATCH(AD$2,Inputs!$K$4:$AJ$4,0))))+SUMPRODUCT((Inputs!$E$5:$E$110=$B15)*ISNUMBER(INDEX(Inputs!$K$5:$AJ$110,0,MATCH(AD$2,Inputs!$K$4:$AJ$4,0))))=0,NA(),SUMPRODUCT((Inputs!$A$5:$A$110=$B15)*Inputs!$B$5:$B$110*(((Inputs!$G$5:$G$110="moeda")+(Inputs!$G$5:$G$110="acoes"))*Inputs!$B$1+((Inputs!$G$5:$G$110&lt;&gt;"moeda")*(Inputs!$G$5:$G$110&lt;&gt;"acoes")))*INDEX(Inputs!$K$5:$AJ$110,0,MATCH(AD$2,Inputs!$K$4:$AJ$4,0)))+SUMPRODUCT((Inputs!$C$5:$C$110=$B15)*Inputs!$D$5:$D$110*(((Inputs!$G$5:$G$110="moeda")+(Inputs!$G$5:$G$110="acoes"))*Inputs!$B$1+((Inputs!$G$5:$G$110&lt;&gt;"moeda")*(Inputs!$G$5:$G$110&lt;&gt;"acoes")))*INDEX(Inputs!$K$5:$AJ$110,0,MATCH(AD$2,Inputs!$K$4:$AJ$4,0)))+SUMPRODUCT((Inputs!$E$5:$E$110=$B15)*Inputs!$F$5:$F$110*(((Inputs!$G$5:$G$110="moeda")+(Inputs!$G$5:$G$110="acoes"))*Inputs!$B$1+((Inputs!$G$5:$G$110&lt;&gt;"moeda")*(Inputs!$G$5:$G$110&lt;&gt;"acoes")))*INDEX(Inputs!$K$5:$AJ$110,0,MATCH(AD$2,Inputs!$K$4:$AJ$4,0)))))</f>
        <v>19996</v>
      </c>
      <c r="AE15" s="267" t="e">
        <f>IF(ISNA(MATCH(AE$2,Inputs!$K$4:$AJ$4,0)),NA(),IF(SUMPRODUCT((Inputs!$A$5:$A$110=$B15)*ISNUMBER(INDEX(Inputs!$K$5:$AJ$110,0,MATCH(AE$2,Inputs!$K$4:$AJ$4,0))))+SUMPRODUCT((Inputs!$C$5:$C$110=$B15)*ISNUMBER(INDEX(Inputs!$K$5:$AJ$110,0,MATCH(AE$2,Inputs!$K$4:$AJ$4,0))))+SUMPRODUCT((Inputs!$E$5:$E$110=$B15)*ISNUMBER(INDEX(Inputs!$K$5:$AJ$110,0,MATCH(AE$2,Inputs!$K$4:$AJ$4,0))))=0,NA(),SUMPRODUCT((Inputs!$A$5:$A$110=$B15)*Inputs!$B$5:$B$110*(((Inputs!$G$5:$G$110="moeda")+(Inputs!$G$5:$G$110="acoes"))*Inputs!$B$1+((Inputs!$G$5:$G$110&lt;&gt;"moeda")*(Inputs!$G$5:$G$110&lt;&gt;"acoes")))*INDEX(Inputs!$K$5:$AJ$110,0,MATCH(AE$2,Inputs!$K$4:$AJ$4,0)))+SUMPRODUCT((Inputs!$C$5:$C$110=$B15)*Inputs!$D$5:$D$110*(((Inputs!$G$5:$G$110="moeda")+(Inputs!$G$5:$G$110="acoes"))*Inputs!$B$1+((Inputs!$G$5:$G$110&lt;&gt;"moeda")*(Inputs!$G$5:$G$110&lt;&gt;"acoes")))*INDEX(Inputs!$K$5:$AJ$110,0,MATCH(AE$2,Inputs!$K$4:$AJ$4,0)))+SUMPRODUCT((Inputs!$E$5:$E$110=$B15)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5" s="267" t="e">
        <f>IF(ISNA(MATCH(AF$2,Inputs!$K$4:$AJ$4,0)),NA(),IF(SUMPRODUCT((Inputs!$A$5:$A$110=$B15)*ISNUMBER(INDEX(Inputs!$K$5:$AJ$110,0,MATCH(AF$2,Inputs!$K$4:$AJ$4,0))))+SUMPRODUCT((Inputs!$C$5:$C$110=$B15)*ISNUMBER(INDEX(Inputs!$K$5:$AJ$110,0,MATCH(AF$2,Inputs!$K$4:$AJ$4,0))))+SUMPRODUCT((Inputs!$E$5:$E$110=$B15)*ISNUMBER(INDEX(Inputs!$K$5:$AJ$110,0,MATCH(AF$2,Inputs!$K$4:$AJ$4,0))))=0,NA(),SUMPRODUCT((Inputs!$A$5:$A$110=$B15)*Inputs!$B$5:$B$110*(((Inputs!$G$5:$G$110="moeda")+(Inputs!$G$5:$G$110="acoes"))*Inputs!$B$1+((Inputs!$G$5:$G$110&lt;&gt;"moeda")*(Inputs!$G$5:$G$110&lt;&gt;"acoes")))*INDEX(Inputs!$K$5:$AJ$110,0,MATCH(AF$2,Inputs!$K$4:$AJ$4,0)))+SUMPRODUCT((Inputs!$C$5:$C$110=$B15)*Inputs!$D$5:$D$110*(((Inputs!$G$5:$G$110="moeda")+(Inputs!$G$5:$G$110="acoes"))*Inputs!$B$1+((Inputs!$G$5:$G$110&lt;&gt;"moeda")*(Inputs!$G$5:$G$110&lt;&gt;"acoes")))*INDEX(Inputs!$K$5:$AJ$110,0,MATCH(AF$2,Inputs!$K$4:$AJ$4,0)))+SUMPRODUCT((Inputs!$E$5:$E$110=$B15)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5" s="268" t="e">
        <f>AF15</f>
        <v>#N/A</v>
      </c>
      <c r="AH15" s="267">
        <f>IF(ISNA(MATCH(AH$2,Inputs!$K$4:$AJ$4,0)),NA(),IF(SUMPRODUCT((Inputs!$A$5:$A$110=$B15)*ISNUMBER(INDEX(Inputs!$K$5:$AJ$110,0,MATCH(AH$2,Inputs!$K$4:$AJ$4,0))))+SUMPRODUCT((Inputs!$C$5:$C$110=$B15)*ISNUMBER(INDEX(Inputs!$K$5:$AJ$110,0,MATCH(AH$2,Inputs!$K$4:$AJ$4,0))))+SUMPRODUCT((Inputs!$E$5:$E$110=$B15)*ISNUMBER(INDEX(Inputs!$K$5:$AJ$110,0,MATCH(AH$2,Inputs!$K$4:$AJ$4,0))))=0,NA(),SUMPRODUCT((Inputs!$A$5:$A$110=$B15)*Inputs!$B$5:$B$110*(((Inputs!$G$5:$G$110="moeda")+(Inputs!$G$5:$G$110="acoes"))*Inputs!$B$1+((Inputs!$G$5:$G$110&lt;&gt;"moeda")*(Inputs!$G$5:$G$110&lt;&gt;"acoes")))*INDEX(Inputs!$K$5:$AJ$110,0,MATCH(AH$2,Inputs!$K$4:$AJ$4,0)))+SUMPRODUCT((Inputs!$C$5:$C$110=$B15)*Inputs!$D$5:$D$110*(((Inputs!$G$5:$G$110="moeda")+(Inputs!$G$5:$G$110="acoes"))*Inputs!$B$1+((Inputs!$G$5:$G$110&lt;&gt;"moeda")*(Inputs!$G$5:$G$110&lt;&gt;"acoes")))*INDEX(Inputs!$K$5:$AJ$110,0,MATCH(AH$2,Inputs!$K$4:$AJ$4,0)))+SUMPRODUCT((Inputs!$E$5:$E$110=$B15)*Inputs!$F$5:$F$110*(((Inputs!$G$5:$G$110="moeda")+(Inputs!$G$5:$G$110="acoes"))*Inputs!$B$1+((Inputs!$G$5:$G$110&lt;&gt;"moeda")*(Inputs!$G$5:$G$110&lt;&gt;"acoes")))*INDEX(Inputs!$K$5:$AJ$110,0,MATCH(AH$2,Inputs!$K$4:$AJ$4,0)))))</f>
        <v>8715</v>
      </c>
      <c r="AI15" s="267">
        <f>IF(ISNA(MATCH(AI$2,Inputs!$K$4:$AJ$4,0)),NA(),IF(SUMPRODUCT((Inputs!$A$5:$A$110=$B15)*ISNUMBER(INDEX(Inputs!$K$5:$AJ$110,0,MATCH(AI$2,Inputs!$K$4:$AJ$4,0))))+SUMPRODUCT((Inputs!$C$5:$C$110=$B15)*ISNUMBER(INDEX(Inputs!$K$5:$AJ$110,0,MATCH(AI$2,Inputs!$K$4:$AJ$4,0))))+SUMPRODUCT((Inputs!$E$5:$E$110=$B15)*ISNUMBER(INDEX(Inputs!$K$5:$AJ$110,0,MATCH(AI$2,Inputs!$K$4:$AJ$4,0))))=0,NA(),SUMPRODUCT((Inputs!$A$5:$A$110=$B15)*Inputs!$B$5:$B$110*(((Inputs!$G$5:$G$110="moeda")+(Inputs!$G$5:$G$110="acoes"))*Inputs!$B$1+((Inputs!$G$5:$G$110&lt;&gt;"moeda")*(Inputs!$G$5:$G$110&lt;&gt;"acoes")))*INDEX(Inputs!$K$5:$AJ$110,0,MATCH(AI$2,Inputs!$K$4:$AJ$4,0)))+SUMPRODUCT((Inputs!$C$5:$C$110=$B15)*Inputs!$D$5:$D$110*(((Inputs!$G$5:$G$110="moeda")+(Inputs!$G$5:$G$110="acoes"))*Inputs!$B$1+((Inputs!$G$5:$G$110&lt;&gt;"moeda")*(Inputs!$G$5:$G$110&lt;&gt;"acoes")))*INDEX(Inputs!$K$5:$AJ$110,0,MATCH(AI$2,Inputs!$K$4:$AJ$4,0)))+SUMPRODUCT((Inputs!$E$5:$E$110=$B15)*Inputs!$F$5:$F$110*(((Inputs!$G$5:$G$110="moeda")+(Inputs!$G$5:$G$110="acoes"))*Inputs!$B$1+((Inputs!$G$5:$G$110&lt;&gt;"moeda")*(Inputs!$G$5:$G$110&lt;&gt;"acoes")))*INDEX(Inputs!$K$5:$AJ$110,0,MATCH(AI$2,Inputs!$K$4:$AJ$4,0)))))</f>
        <v>11774</v>
      </c>
      <c r="AJ15" s="267">
        <f>IF(ISNA(MATCH(AJ$2,Inputs!$K$4:$AJ$4,0)),NA(),IF(SUMPRODUCT((Inputs!$A$5:$A$110=$B15)*ISNUMBER(INDEX(Inputs!$K$5:$AJ$110,0,MATCH(AJ$2,Inputs!$K$4:$AJ$4,0))))+SUMPRODUCT((Inputs!$C$5:$C$110=$B15)*ISNUMBER(INDEX(Inputs!$K$5:$AJ$110,0,MATCH(AJ$2,Inputs!$K$4:$AJ$4,0))))+SUMPRODUCT((Inputs!$E$5:$E$110=$B15)*ISNUMBER(INDEX(Inputs!$K$5:$AJ$110,0,MATCH(AJ$2,Inputs!$K$4:$AJ$4,0))))=0,NA(),SUMPRODUCT((Inputs!$A$5:$A$110=$B15)*Inputs!$B$5:$B$110*(((Inputs!$G$5:$G$110="moeda")+(Inputs!$G$5:$G$110="acoes"))*Inputs!$B$1+((Inputs!$G$5:$G$110&lt;&gt;"moeda")*(Inputs!$G$5:$G$110&lt;&gt;"acoes")))*INDEX(Inputs!$K$5:$AJ$110,0,MATCH(AJ$2,Inputs!$K$4:$AJ$4,0)))+SUMPRODUCT((Inputs!$C$5:$C$110=$B15)*Inputs!$D$5:$D$110*(((Inputs!$G$5:$G$110="moeda")+(Inputs!$G$5:$G$110="acoes"))*Inputs!$B$1+((Inputs!$G$5:$G$110&lt;&gt;"moeda")*(Inputs!$G$5:$G$110&lt;&gt;"acoes")))*INDEX(Inputs!$K$5:$AJ$110,0,MATCH(AJ$2,Inputs!$K$4:$AJ$4,0)))+SUMPRODUCT((Inputs!$E$5:$E$110=$B15)*Inputs!$F$5:$F$110*(((Inputs!$G$5:$G$110="moeda")+(Inputs!$G$5:$G$110="acoes"))*Inputs!$B$1+((Inputs!$G$5:$G$110&lt;&gt;"moeda")*(Inputs!$G$5:$G$110&lt;&gt;"acoes")))*INDEX(Inputs!$K$5:$AJ$110,0,MATCH(AJ$2,Inputs!$K$4:$AJ$4,0)))))</f>
        <v>13305</v>
      </c>
      <c r="AK15" s="267">
        <f>IF(ISNA(MATCH(AK$2,Inputs!$K$4:$AJ$4,0)),NA(),IF(SUMPRODUCT((Inputs!$A$5:$A$110=$B15)*ISNUMBER(INDEX(Inputs!$K$5:$AJ$110,0,MATCH(AK$2,Inputs!$K$4:$AJ$4,0))))+SUMPRODUCT((Inputs!$C$5:$C$110=$B15)*ISNUMBER(INDEX(Inputs!$K$5:$AJ$110,0,MATCH(AK$2,Inputs!$K$4:$AJ$4,0))))+SUMPRODUCT((Inputs!$E$5:$E$110=$B15)*ISNUMBER(INDEX(Inputs!$K$5:$AJ$110,0,MATCH(AK$2,Inputs!$K$4:$AJ$4,0))))=0,NA(),SUMPRODUCT((Inputs!$A$5:$A$110=$B15)*Inputs!$B$5:$B$110*(((Inputs!$G$5:$G$110="moeda")+(Inputs!$G$5:$G$110="acoes"))*Inputs!$B$1+((Inputs!$G$5:$G$110&lt;&gt;"moeda")*(Inputs!$G$5:$G$110&lt;&gt;"acoes")))*INDEX(Inputs!$K$5:$AJ$110,0,MATCH(AK$2,Inputs!$K$4:$AJ$4,0)))+SUMPRODUCT((Inputs!$C$5:$C$110=$B15)*Inputs!$D$5:$D$110*(((Inputs!$G$5:$G$110="moeda")+(Inputs!$G$5:$G$110="acoes"))*Inputs!$B$1+((Inputs!$G$5:$G$110&lt;&gt;"moeda")*(Inputs!$G$5:$G$110&lt;&gt;"acoes")))*INDEX(Inputs!$K$5:$AJ$110,0,MATCH(AK$2,Inputs!$K$4:$AJ$4,0)))+SUMPRODUCT((Inputs!$E$5:$E$110=$B15)*Inputs!$F$5:$F$110*(((Inputs!$G$5:$G$110="moeda")+(Inputs!$G$5:$G$110="acoes"))*Inputs!$B$1+((Inputs!$G$5:$G$110&lt;&gt;"moeda")*(Inputs!$G$5:$G$110&lt;&gt;"acoes")))*INDEX(Inputs!$K$5:$AJ$110,0,MATCH(AK$2,Inputs!$K$4:$AJ$4,0)))))</f>
        <v>14423</v>
      </c>
      <c r="AL15" s="268">
        <f>AK15</f>
        <v>14423</v>
      </c>
    </row>
    <row r="16" ht="12.75" customHeight="1" s="255">
      <c r="B16" s="265" t="n">
        <v>12</v>
      </c>
      <c r="C16" s="270" t="inlineStr">
        <is>
          <t>Accounts receivable</t>
        </is>
      </c>
      <c r="D16" s="267">
        <f>IF(ISNA(MATCH(D$2,Inputs!$K$4:$AJ$4,0)),NA(),IF(SUMPRODUCT((Inputs!$A$5:$A$110=$B16)*ISNUMBER(INDEX(Inputs!$K$5:$AJ$110,0,MATCH(D$2,Inputs!$K$4:$AJ$4,0))))+SUMPRODUCT((Inputs!$C$5:$C$110=$B16)*ISNUMBER(INDEX(Inputs!$K$5:$AJ$110,0,MATCH(D$2,Inputs!$K$4:$AJ$4,0))))+SUMPRODUCT((Inputs!$E$5:$E$110=$B16)*ISNUMBER(INDEX(Inputs!$K$5:$AJ$110,0,MATCH(D$2,Inputs!$K$4:$AJ$4,0))))=0,NA(),SUMPRODUCT((Inputs!$A$5:$A$110=$B16)*Inputs!$B$5:$B$110*(((Inputs!$G$5:$G$110="moeda")+(Inputs!$G$5:$G$110="acoes"))*Inputs!$B$1+((Inputs!$G$5:$G$110&lt;&gt;"moeda")*(Inputs!$G$5:$G$110&lt;&gt;"acoes")))*INDEX(Inputs!$K$5:$AJ$110,0,MATCH(D$2,Inputs!$K$4:$AJ$4,0)))+SUMPRODUCT((Inputs!$C$5:$C$110=$B16)*Inputs!$D$5:$D$110*(((Inputs!$G$5:$G$110="moeda")+(Inputs!$G$5:$G$110="acoes"))*Inputs!$B$1+((Inputs!$G$5:$G$110&lt;&gt;"moeda")*(Inputs!$G$5:$G$110&lt;&gt;"acoes")))*INDEX(Inputs!$K$5:$AJ$110,0,MATCH(D$2,Inputs!$K$4:$AJ$4,0)))+SUMPRODUCT((Inputs!$E$5:$E$110=$B16)*Inputs!$F$5:$F$110*(((Inputs!$G$5:$G$110="moeda")+(Inputs!$G$5:$G$110="acoes"))*Inputs!$B$1+((Inputs!$G$5:$G$110&lt;&gt;"moeda")*(Inputs!$G$5:$G$110&lt;&gt;"acoes")))*INDEX(Inputs!$K$5:$AJ$110,0,MATCH(D$2,Inputs!$K$4:$AJ$4,0)))))</f>
        <v>1934</v>
      </c>
      <c r="E16" s="267">
        <f>IF(ISNA(MATCH(E$2,Inputs!$K$4:$AJ$4,0)),NA(),IF(SUMPRODUCT((Inputs!$A$5:$A$110=$B16)*ISNUMBER(INDEX(Inputs!$K$5:$AJ$110,0,MATCH(E$2,Inputs!$K$4:$AJ$4,0))))+SUMPRODUCT((Inputs!$C$5:$C$110=$B16)*ISNUMBER(INDEX(Inputs!$K$5:$AJ$110,0,MATCH(E$2,Inputs!$K$4:$AJ$4,0))))+SUMPRODUCT((Inputs!$E$5:$E$110=$B16)*ISNUMBER(INDEX(Inputs!$K$5:$AJ$110,0,MATCH(E$2,Inputs!$K$4:$AJ$4,0))))=0,NA(),SUMPRODUCT((Inputs!$A$5:$A$110=$B16)*Inputs!$B$5:$B$110*(((Inputs!$G$5:$G$110="moeda")+(Inputs!$G$5:$G$110="acoes"))*Inputs!$B$1+((Inputs!$G$5:$G$110&lt;&gt;"moeda")*(Inputs!$G$5:$G$110&lt;&gt;"acoes")))*INDEX(Inputs!$K$5:$AJ$110,0,MATCH(E$2,Inputs!$K$4:$AJ$4,0)))+SUMPRODUCT((Inputs!$C$5:$C$110=$B16)*Inputs!$D$5:$D$110*(((Inputs!$G$5:$G$110="moeda")+(Inputs!$G$5:$G$110="acoes"))*Inputs!$B$1+((Inputs!$G$5:$G$110&lt;&gt;"moeda")*(Inputs!$G$5:$G$110&lt;&gt;"acoes")))*INDEX(Inputs!$K$5:$AJ$110,0,MATCH(E$2,Inputs!$K$4:$AJ$4,0)))+SUMPRODUCT((Inputs!$E$5:$E$110=$B16)*Inputs!$F$5:$F$110*(((Inputs!$G$5:$G$110="moeda")+(Inputs!$G$5:$G$110="acoes"))*Inputs!$B$1+((Inputs!$G$5:$G$110&lt;&gt;"moeda")*(Inputs!$G$5:$G$110&lt;&gt;"acoes")))*INDEX(Inputs!$K$5:$AJ$110,0,MATCH(E$2,Inputs!$K$4:$AJ$4,0)))))</f>
        <v>1595</v>
      </c>
      <c r="F16" s="267">
        <f>IF(ISNA(MATCH(F$2,Inputs!$K$4:$AJ$4,0)),NA(),IF(SUMPRODUCT((Inputs!$A$5:$A$110=$B16)*ISNUMBER(INDEX(Inputs!$K$5:$AJ$110,0,MATCH(F$2,Inputs!$K$4:$AJ$4,0))))+SUMPRODUCT((Inputs!$C$5:$C$110=$B16)*ISNUMBER(INDEX(Inputs!$K$5:$AJ$110,0,MATCH(F$2,Inputs!$K$4:$AJ$4,0))))+SUMPRODUCT((Inputs!$E$5:$E$110=$B16)*ISNUMBER(INDEX(Inputs!$K$5:$AJ$110,0,MATCH(F$2,Inputs!$K$4:$AJ$4,0))))=0,NA(),SUMPRODUCT((Inputs!$A$5:$A$110=$B16)*Inputs!$B$5:$B$110*(((Inputs!$G$5:$G$110="moeda")+(Inputs!$G$5:$G$110="acoes"))*Inputs!$B$1+((Inputs!$G$5:$G$110&lt;&gt;"moeda")*(Inputs!$G$5:$G$110&lt;&gt;"acoes")))*INDEX(Inputs!$K$5:$AJ$110,0,MATCH(F$2,Inputs!$K$4:$AJ$4,0)))+SUMPRODUCT((Inputs!$C$5:$C$110=$B16)*Inputs!$D$5:$D$110*(((Inputs!$G$5:$G$110="moeda")+(Inputs!$G$5:$G$110="acoes"))*Inputs!$B$1+((Inputs!$G$5:$G$110&lt;&gt;"moeda")*(Inputs!$G$5:$G$110&lt;&gt;"acoes")))*INDEX(Inputs!$K$5:$AJ$110,0,MATCH(F$2,Inputs!$K$4:$AJ$4,0)))+SUMPRODUCT((Inputs!$E$5:$E$110=$B16)*Inputs!$F$5:$F$110*(((Inputs!$G$5:$G$110="moeda")+(Inputs!$G$5:$G$110="acoes"))*Inputs!$B$1+((Inputs!$G$5:$G$110&lt;&gt;"moeda")*(Inputs!$G$5:$G$110&lt;&gt;"acoes")))*INDEX(Inputs!$K$5:$AJ$110,0,MATCH(F$2,Inputs!$K$4:$AJ$4,0)))))</f>
        <v>1803</v>
      </c>
      <c r="G16" s="267">
        <f>IF(ISNA(MATCH(G$2,Inputs!$K$4:$AJ$4,0)),NA(),IF(SUMPRODUCT((Inputs!$A$5:$A$110=$B16)*ISNUMBER(INDEX(Inputs!$K$5:$AJ$110,0,MATCH(G$2,Inputs!$K$4:$AJ$4,0))))+SUMPRODUCT((Inputs!$C$5:$C$110=$B16)*ISNUMBER(INDEX(Inputs!$K$5:$AJ$110,0,MATCH(G$2,Inputs!$K$4:$AJ$4,0))))+SUMPRODUCT((Inputs!$E$5:$E$110=$B16)*ISNUMBER(INDEX(Inputs!$K$5:$AJ$110,0,MATCH(G$2,Inputs!$K$4:$AJ$4,0))))=0,NA(),SUMPRODUCT((Inputs!$A$5:$A$110=$B16)*Inputs!$B$5:$B$110*(((Inputs!$G$5:$G$110="moeda")+(Inputs!$G$5:$G$110="acoes"))*Inputs!$B$1+((Inputs!$G$5:$G$110&lt;&gt;"moeda")*(Inputs!$G$5:$G$110&lt;&gt;"acoes")))*INDEX(Inputs!$K$5:$AJ$110,0,MATCH(G$2,Inputs!$K$4:$AJ$4,0)))+SUMPRODUCT((Inputs!$C$5:$C$110=$B16)*Inputs!$D$5:$D$110*(((Inputs!$G$5:$G$110="moeda")+(Inputs!$G$5:$G$110="acoes"))*Inputs!$B$1+((Inputs!$G$5:$G$110&lt;&gt;"moeda")*(Inputs!$G$5:$G$110&lt;&gt;"acoes")))*INDEX(Inputs!$K$5:$AJ$110,0,MATCH(G$2,Inputs!$K$4:$AJ$4,0)))+SUMPRODUCT((Inputs!$E$5:$E$110=$B16)*Inputs!$F$5:$F$110*(((Inputs!$G$5:$G$110="moeda")+(Inputs!$G$5:$G$110="acoes"))*Inputs!$B$1+((Inputs!$G$5:$G$110&lt;&gt;"moeda")*(Inputs!$G$5:$G$110&lt;&gt;"acoes")))*INDEX(Inputs!$K$5:$AJ$110,0,MATCH(G$2,Inputs!$K$4:$AJ$4,0)))))</f>
        <v>1932</v>
      </c>
      <c r="H16" s="268">
        <f>G16</f>
        <v>1932</v>
      </c>
      <c r="I16" s="267">
        <f>IF(ISNA(MATCH(I$2,Inputs!$K$4:$AJ$4,0)),NA(),IF(SUMPRODUCT((Inputs!$A$5:$A$110=$B16)*ISNUMBER(INDEX(Inputs!$K$5:$AJ$110,0,MATCH(I$2,Inputs!$K$4:$AJ$4,0))))+SUMPRODUCT((Inputs!$C$5:$C$110=$B16)*ISNUMBER(INDEX(Inputs!$K$5:$AJ$110,0,MATCH(I$2,Inputs!$K$4:$AJ$4,0))))+SUMPRODUCT((Inputs!$E$5:$E$110=$B16)*ISNUMBER(INDEX(Inputs!$K$5:$AJ$110,0,MATCH(I$2,Inputs!$K$4:$AJ$4,0))))=0,NA(),SUMPRODUCT((Inputs!$A$5:$A$110=$B16)*Inputs!$B$5:$B$110*(((Inputs!$G$5:$G$110="moeda")+(Inputs!$G$5:$G$110="acoes"))*Inputs!$B$1+((Inputs!$G$5:$G$110&lt;&gt;"moeda")*(Inputs!$G$5:$G$110&lt;&gt;"acoes")))*INDEX(Inputs!$K$5:$AJ$110,0,MATCH(I$2,Inputs!$K$4:$AJ$4,0)))+SUMPRODUCT((Inputs!$C$5:$C$110=$B16)*Inputs!$D$5:$D$110*(((Inputs!$G$5:$G$110="moeda")+(Inputs!$G$5:$G$110="acoes"))*Inputs!$B$1+((Inputs!$G$5:$G$110&lt;&gt;"moeda")*(Inputs!$G$5:$G$110&lt;&gt;"acoes")))*INDEX(Inputs!$K$5:$AJ$110,0,MATCH(I$2,Inputs!$K$4:$AJ$4,0)))+SUMPRODUCT((Inputs!$E$5:$E$110=$B16)*Inputs!$F$5:$F$110*(((Inputs!$G$5:$G$110="moeda")+(Inputs!$G$5:$G$110="acoes"))*Inputs!$B$1+((Inputs!$G$5:$G$110&lt;&gt;"moeda")*(Inputs!$G$5:$G$110&lt;&gt;"acoes")))*INDEX(Inputs!$K$5:$AJ$110,0,MATCH(I$2,Inputs!$K$4:$AJ$4,0)))))</f>
        <v>2232</v>
      </c>
      <c r="J16" s="267">
        <f>IF(ISNA(MATCH(J$2,Inputs!$K$4:$AJ$4,0)),NA(),IF(SUMPRODUCT((Inputs!$A$5:$A$110=$B16)*ISNUMBER(INDEX(Inputs!$K$5:$AJ$110,0,MATCH(J$2,Inputs!$K$4:$AJ$4,0))))+SUMPRODUCT((Inputs!$C$5:$C$110=$B16)*ISNUMBER(INDEX(Inputs!$K$5:$AJ$110,0,MATCH(J$2,Inputs!$K$4:$AJ$4,0))))+SUMPRODUCT((Inputs!$E$5:$E$110=$B16)*ISNUMBER(INDEX(Inputs!$K$5:$AJ$110,0,MATCH(J$2,Inputs!$K$4:$AJ$4,0))))=0,NA(),SUMPRODUCT((Inputs!$A$5:$A$110=$B16)*Inputs!$B$5:$B$110*(((Inputs!$G$5:$G$110="moeda")+(Inputs!$G$5:$G$110="acoes"))*Inputs!$B$1+((Inputs!$G$5:$G$110&lt;&gt;"moeda")*(Inputs!$G$5:$G$110&lt;&gt;"acoes")))*INDEX(Inputs!$K$5:$AJ$110,0,MATCH(J$2,Inputs!$K$4:$AJ$4,0)))+SUMPRODUCT((Inputs!$C$5:$C$110=$B16)*Inputs!$D$5:$D$110*(((Inputs!$G$5:$G$110="moeda")+(Inputs!$G$5:$G$110="acoes"))*Inputs!$B$1+((Inputs!$G$5:$G$110&lt;&gt;"moeda")*(Inputs!$G$5:$G$110&lt;&gt;"acoes")))*INDEX(Inputs!$K$5:$AJ$110,0,MATCH(J$2,Inputs!$K$4:$AJ$4,0)))+SUMPRODUCT((Inputs!$E$5:$E$110=$B16)*Inputs!$F$5:$F$110*(((Inputs!$G$5:$G$110="moeda")+(Inputs!$G$5:$G$110="acoes"))*Inputs!$B$1+((Inputs!$G$5:$G$110&lt;&gt;"moeda")*(Inputs!$G$5:$G$110&lt;&gt;"acoes")))*INDEX(Inputs!$K$5:$AJ$110,0,MATCH(J$2,Inputs!$K$4:$AJ$4,0)))))</f>
        <v>1991</v>
      </c>
      <c r="K16" s="267">
        <f>IF(ISNA(MATCH(K$2,Inputs!$K$4:$AJ$4,0)),NA(),IF(SUMPRODUCT((Inputs!$A$5:$A$110=$B16)*ISNUMBER(INDEX(Inputs!$K$5:$AJ$110,0,MATCH(K$2,Inputs!$K$4:$AJ$4,0))))+SUMPRODUCT((Inputs!$C$5:$C$110=$B16)*ISNUMBER(INDEX(Inputs!$K$5:$AJ$110,0,MATCH(K$2,Inputs!$K$4:$AJ$4,0))))+SUMPRODUCT((Inputs!$E$5:$E$110=$B16)*ISNUMBER(INDEX(Inputs!$K$5:$AJ$110,0,MATCH(K$2,Inputs!$K$4:$AJ$4,0))))=0,NA(),SUMPRODUCT((Inputs!$A$5:$A$110=$B16)*Inputs!$B$5:$B$110*(((Inputs!$G$5:$G$110="moeda")+(Inputs!$G$5:$G$110="acoes"))*Inputs!$B$1+((Inputs!$G$5:$G$110&lt;&gt;"moeda")*(Inputs!$G$5:$G$110&lt;&gt;"acoes")))*INDEX(Inputs!$K$5:$AJ$110,0,MATCH(K$2,Inputs!$K$4:$AJ$4,0)))+SUMPRODUCT((Inputs!$C$5:$C$110=$B16)*Inputs!$D$5:$D$110*(((Inputs!$G$5:$G$110="moeda")+(Inputs!$G$5:$G$110="acoes"))*Inputs!$B$1+((Inputs!$G$5:$G$110&lt;&gt;"moeda")*(Inputs!$G$5:$G$110&lt;&gt;"acoes")))*INDEX(Inputs!$K$5:$AJ$110,0,MATCH(K$2,Inputs!$K$4:$AJ$4,0)))+SUMPRODUCT((Inputs!$E$5:$E$110=$B16)*Inputs!$F$5:$F$110*(((Inputs!$G$5:$G$110="moeda")+(Inputs!$G$5:$G$110="acoes"))*Inputs!$B$1+((Inputs!$G$5:$G$110&lt;&gt;"moeda")*(Inputs!$G$5:$G$110&lt;&gt;"acoes")))*INDEX(Inputs!$K$5:$AJ$110,0,MATCH(K$2,Inputs!$K$4:$AJ$4,0)))))</f>
        <v>2241</v>
      </c>
      <c r="L16" s="267">
        <f>IF(ISNA(MATCH(L$2,Inputs!$K$4:$AJ$4,0)),NA(),IF(SUMPRODUCT((Inputs!$A$5:$A$110=$B16)*ISNUMBER(INDEX(Inputs!$K$5:$AJ$110,0,MATCH(L$2,Inputs!$K$4:$AJ$4,0))))+SUMPRODUCT((Inputs!$C$5:$C$110=$B16)*ISNUMBER(INDEX(Inputs!$K$5:$AJ$110,0,MATCH(L$2,Inputs!$K$4:$AJ$4,0))))+SUMPRODUCT((Inputs!$E$5:$E$110=$B16)*ISNUMBER(INDEX(Inputs!$K$5:$AJ$110,0,MATCH(L$2,Inputs!$K$4:$AJ$4,0))))=0,NA(),SUMPRODUCT((Inputs!$A$5:$A$110=$B16)*Inputs!$B$5:$B$110*(((Inputs!$G$5:$G$110="moeda")+(Inputs!$G$5:$G$110="acoes"))*Inputs!$B$1+((Inputs!$G$5:$G$110&lt;&gt;"moeda")*(Inputs!$G$5:$G$110&lt;&gt;"acoes")))*INDEX(Inputs!$K$5:$AJ$110,0,MATCH(L$2,Inputs!$K$4:$AJ$4,0)))+SUMPRODUCT((Inputs!$C$5:$C$110=$B16)*Inputs!$D$5:$D$110*(((Inputs!$G$5:$G$110="moeda")+(Inputs!$G$5:$G$110="acoes"))*Inputs!$B$1+((Inputs!$G$5:$G$110&lt;&gt;"moeda")*(Inputs!$G$5:$G$110&lt;&gt;"acoes")))*INDEX(Inputs!$K$5:$AJ$110,0,MATCH(L$2,Inputs!$K$4:$AJ$4,0)))+SUMPRODUCT((Inputs!$E$5:$E$110=$B16)*Inputs!$F$5:$F$110*(((Inputs!$G$5:$G$110="moeda")+(Inputs!$G$5:$G$110="acoes"))*Inputs!$B$1+((Inputs!$G$5:$G$110&lt;&gt;"moeda")*(Inputs!$G$5:$G$110&lt;&gt;"acoes")))*INDEX(Inputs!$K$5:$AJ$110,0,MATCH(L$2,Inputs!$K$4:$AJ$4,0)))))</f>
        <v>2312</v>
      </c>
      <c r="M16" s="268">
        <f>L16</f>
        <v>2312</v>
      </c>
      <c r="N16" s="267">
        <f>IF(ISNA(MATCH(N$2,Inputs!$K$4:$AJ$4,0)),NA(),IF(SUMPRODUCT((Inputs!$A$5:$A$110=$B16)*ISNUMBER(INDEX(Inputs!$K$5:$AJ$110,0,MATCH(N$2,Inputs!$K$4:$AJ$4,0))))+SUMPRODUCT((Inputs!$C$5:$C$110=$B16)*ISNUMBER(INDEX(Inputs!$K$5:$AJ$110,0,MATCH(N$2,Inputs!$K$4:$AJ$4,0))))+SUMPRODUCT((Inputs!$E$5:$E$110=$B16)*ISNUMBER(INDEX(Inputs!$K$5:$AJ$110,0,MATCH(N$2,Inputs!$K$4:$AJ$4,0))))=0,NA(),SUMPRODUCT((Inputs!$A$5:$A$110=$B16)*Inputs!$B$5:$B$110*(((Inputs!$G$5:$G$110="moeda")+(Inputs!$G$5:$G$110="acoes"))*Inputs!$B$1+((Inputs!$G$5:$G$110&lt;&gt;"moeda")*(Inputs!$G$5:$G$110&lt;&gt;"acoes")))*INDEX(Inputs!$K$5:$AJ$110,0,MATCH(N$2,Inputs!$K$4:$AJ$4,0)))+SUMPRODUCT((Inputs!$C$5:$C$110=$B16)*Inputs!$D$5:$D$110*(((Inputs!$G$5:$G$110="moeda")+(Inputs!$G$5:$G$110="acoes"))*Inputs!$B$1+((Inputs!$G$5:$G$110&lt;&gt;"moeda")*(Inputs!$G$5:$G$110&lt;&gt;"acoes")))*INDEX(Inputs!$K$5:$AJ$110,0,MATCH(N$2,Inputs!$K$4:$AJ$4,0)))+SUMPRODUCT((Inputs!$E$5:$E$110=$B16)*Inputs!$F$5:$F$110*(((Inputs!$G$5:$G$110="moeda")+(Inputs!$G$5:$G$110="acoes"))*Inputs!$B$1+((Inputs!$G$5:$G$110&lt;&gt;"moeda")*(Inputs!$G$5:$G$110&lt;&gt;"acoes")))*INDEX(Inputs!$K$5:$AJ$110,0,MATCH(N$2,Inputs!$K$4:$AJ$4,0)))))</f>
        <v>2714</v>
      </c>
      <c r="O16" s="267">
        <f>IF(ISNA(MATCH(O$2,Inputs!$K$4:$AJ$4,0)),NA(),IF(SUMPRODUCT((Inputs!$A$5:$A$110=$B16)*ISNUMBER(INDEX(Inputs!$K$5:$AJ$110,0,MATCH(O$2,Inputs!$K$4:$AJ$4,0))))+SUMPRODUCT((Inputs!$C$5:$C$110=$B16)*ISNUMBER(INDEX(Inputs!$K$5:$AJ$110,0,MATCH(O$2,Inputs!$K$4:$AJ$4,0))))+SUMPRODUCT((Inputs!$E$5:$E$110=$B16)*ISNUMBER(INDEX(Inputs!$K$5:$AJ$110,0,MATCH(O$2,Inputs!$K$4:$AJ$4,0))))=0,NA(),SUMPRODUCT((Inputs!$A$5:$A$110=$B16)*Inputs!$B$5:$B$110*(((Inputs!$G$5:$G$110="moeda")+(Inputs!$G$5:$G$110="acoes"))*Inputs!$B$1+((Inputs!$G$5:$G$110&lt;&gt;"moeda")*(Inputs!$G$5:$G$110&lt;&gt;"acoes")))*INDEX(Inputs!$K$5:$AJ$110,0,MATCH(O$2,Inputs!$K$4:$AJ$4,0)))+SUMPRODUCT((Inputs!$C$5:$C$110=$B16)*Inputs!$D$5:$D$110*(((Inputs!$G$5:$G$110="moeda")+(Inputs!$G$5:$G$110="acoes"))*Inputs!$B$1+((Inputs!$G$5:$G$110&lt;&gt;"moeda")*(Inputs!$G$5:$G$110&lt;&gt;"acoes")))*INDEX(Inputs!$K$5:$AJ$110,0,MATCH(O$2,Inputs!$K$4:$AJ$4,0)))+SUMPRODUCT((Inputs!$E$5:$E$110=$B16)*Inputs!$F$5:$F$110*(((Inputs!$G$5:$G$110="moeda")+(Inputs!$G$5:$G$110="acoes"))*Inputs!$B$1+((Inputs!$G$5:$G$110&lt;&gt;"moeda")*(Inputs!$G$5:$G$110&lt;&gt;"acoes")))*INDEX(Inputs!$K$5:$AJ$110,0,MATCH(O$2,Inputs!$K$4:$AJ$4,0)))))</f>
        <v>2502</v>
      </c>
      <c r="P16" s="267">
        <f>IF(ISNA(MATCH(P$2,Inputs!$K$4:$AJ$4,0)),NA(),IF(SUMPRODUCT((Inputs!$A$5:$A$110=$B16)*ISNUMBER(INDEX(Inputs!$K$5:$AJ$110,0,MATCH(P$2,Inputs!$K$4:$AJ$4,0))))+SUMPRODUCT((Inputs!$C$5:$C$110=$B16)*ISNUMBER(INDEX(Inputs!$K$5:$AJ$110,0,MATCH(P$2,Inputs!$K$4:$AJ$4,0))))+SUMPRODUCT((Inputs!$E$5:$E$110=$B16)*ISNUMBER(INDEX(Inputs!$K$5:$AJ$110,0,MATCH(P$2,Inputs!$K$4:$AJ$4,0))))=0,NA(),SUMPRODUCT((Inputs!$A$5:$A$110=$B16)*Inputs!$B$5:$B$110*(((Inputs!$G$5:$G$110="moeda")+(Inputs!$G$5:$G$110="acoes"))*Inputs!$B$1+((Inputs!$G$5:$G$110&lt;&gt;"moeda")*(Inputs!$G$5:$G$110&lt;&gt;"acoes")))*INDEX(Inputs!$K$5:$AJ$110,0,MATCH(P$2,Inputs!$K$4:$AJ$4,0)))+SUMPRODUCT((Inputs!$C$5:$C$110=$B16)*Inputs!$D$5:$D$110*(((Inputs!$G$5:$G$110="moeda")+(Inputs!$G$5:$G$110="acoes"))*Inputs!$B$1+((Inputs!$G$5:$G$110&lt;&gt;"moeda")*(Inputs!$G$5:$G$110&lt;&gt;"acoes")))*INDEX(Inputs!$K$5:$AJ$110,0,MATCH(P$2,Inputs!$K$4:$AJ$4,0)))+SUMPRODUCT((Inputs!$E$5:$E$110=$B16)*Inputs!$F$5:$F$110*(((Inputs!$G$5:$G$110="moeda")+(Inputs!$G$5:$G$110="acoes"))*Inputs!$B$1+((Inputs!$G$5:$G$110&lt;&gt;"moeda")*(Inputs!$G$5:$G$110&lt;&gt;"acoes")))*INDEX(Inputs!$K$5:$AJ$110,0,MATCH(P$2,Inputs!$K$4:$AJ$4,0)))))</f>
        <v>2285</v>
      </c>
      <c r="Q16" s="267">
        <f>IF(ISNA(MATCH(Q$2,Inputs!$K$4:$AJ$4,0)),NA(),IF(SUMPRODUCT((Inputs!$A$5:$A$110=$B16)*ISNUMBER(INDEX(Inputs!$K$5:$AJ$110,0,MATCH(Q$2,Inputs!$K$4:$AJ$4,0))))+SUMPRODUCT((Inputs!$C$5:$C$110=$B16)*ISNUMBER(INDEX(Inputs!$K$5:$AJ$110,0,MATCH(Q$2,Inputs!$K$4:$AJ$4,0))))+SUMPRODUCT((Inputs!$E$5:$E$110=$B16)*ISNUMBER(INDEX(Inputs!$K$5:$AJ$110,0,MATCH(Q$2,Inputs!$K$4:$AJ$4,0))))=0,NA(),SUMPRODUCT((Inputs!$A$5:$A$110=$B16)*Inputs!$B$5:$B$110*(((Inputs!$G$5:$G$110="moeda")+(Inputs!$G$5:$G$110="acoes"))*Inputs!$B$1+((Inputs!$G$5:$G$110&lt;&gt;"moeda")*(Inputs!$G$5:$G$110&lt;&gt;"acoes")))*INDEX(Inputs!$K$5:$AJ$110,0,MATCH(Q$2,Inputs!$K$4:$AJ$4,0)))+SUMPRODUCT((Inputs!$C$5:$C$110=$B16)*Inputs!$D$5:$D$110*(((Inputs!$G$5:$G$110="moeda")+(Inputs!$G$5:$G$110="acoes"))*Inputs!$B$1+((Inputs!$G$5:$G$110&lt;&gt;"moeda")*(Inputs!$G$5:$G$110&lt;&gt;"acoes")))*INDEX(Inputs!$K$5:$AJ$110,0,MATCH(Q$2,Inputs!$K$4:$AJ$4,0)))+SUMPRODUCT((Inputs!$E$5:$E$110=$B16)*Inputs!$F$5:$F$110*(((Inputs!$G$5:$G$110="moeda")+(Inputs!$G$5:$G$110="acoes"))*Inputs!$B$1+((Inputs!$G$5:$G$110&lt;&gt;"moeda")*(Inputs!$G$5:$G$110&lt;&gt;"acoes")))*INDEX(Inputs!$K$5:$AJ$110,0,MATCH(Q$2,Inputs!$K$4:$AJ$4,0)))))</f>
        <v>2542</v>
      </c>
      <c r="R16" s="268">
        <f>Q16</f>
        <v>2542</v>
      </c>
      <c r="S16" s="267">
        <f>IF(ISNA(MATCH(S$2,Inputs!$K$4:$AJ$4,0)),NA(),IF(SUMPRODUCT((Inputs!$A$5:$A$110=$B16)*ISNUMBER(INDEX(Inputs!$K$5:$AJ$110,0,MATCH(S$2,Inputs!$K$4:$AJ$4,0))))+SUMPRODUCT((Inputs!$C$5:$C$110=$B16)*ISNUMBER(INDEX(Inputs!$K$5:$AJ$110,0,MATCH(S$2,Inputs!$K$4:$AJ$4,0))))+SUMPRODUCT((Inputs!$E$5:$E$110=$B16)*ISNUMBER(INDEX(Inputs!$K$5:$AJ$110,0,MATCH(S$2,Inputs!$K$4:$AJ$4,0))))=0,NA(),SUMPRODUCT((Inputs!$A$5:$A$110=$B16)*Inputs!$B$5:$B$110*(((Inputs!$G$5:$G$110="moeda")+(Inputs!$G$5:$G$110="acoes"))*Inputs!$B$1+((Inputs!$G$5:$G$110&lt;&gt;"moeda")*(Inputs!$G$5:$G$110&lt;&gt;"acoes")))*INDEX(Inputs!$K$5:$AJ$110,0,MATCH(S$2,Inputs!$K$4:$AJ$4,0)))+SUMPRODUCT((Inputs!$C$5:$C$110=$B16)*Inputs!$D$5:$D$110*(((Inputs!$G$5:$G$110="moeda")+(Inputs!$G$5:$G$110="acoes"))*Inputs!$B$1+((Inputs!$G$5:$G$110&lt;&gt;"moeda")*(Inputs!$G$5:$G$110&lt;&gt;"acoes")))*INDEX(Inputs!$K$5:$AJ$110,0,MATCH(S$2,Inputs!$K$4:$AJ$4,0)))+SUMPRODUCT((Inputs!$E$5:$E$110=$B16)*Inputs!$F$5:$F$110*(((Inputs!$G$5:$G$110="moeda")+(Inputs!$G$5:$G$110="acoes"))*Inputs!$B$1+((Inputs!$G$5:$G$110&lt;&gt;"moeda")*(Inputs!$G$5:$G$110&lt;&gt;"acoes")))*INDEX(Inputs!$K$5:$AJ$110,0,MATCH(S$2,Inputs!$K$4:$AJ$4,0)))))</f>
        <v>2779</v>
      </c>
      <c r="T16" s="267">
        <f>IF(ISNA(MATCH(T$2,Inputs!$K$4:$AJ$4,0)),NA(),IF(SUMPRODUCT((Inputs!$A$5:$A$110=$B16)*ISNUMBER(INDEX(Inputs!$K$5:$AJ$110,0,MATCH(T$2,Inputs!$K$4:$AJ$4,0))))+SUMPRODUCT((Inputs!$C$5:$C$110=$B16)*ISNUMBER(INDEX(Inputs!$K$5:$AJ$110,0,MATCH(T$2,Inputs!$K$4:$AJ$4,0))))+SUMPRODUCT((Inputs!$E$5:$E$110=$B16)*ISNUMBER(INDEX(Inputs!$K$5:$AJ$110,0,MATCH(T$2,Inputs!$K$4:$AJ$4,0))))=0,NA(),SUMPRODUCT((Inputs!$A$5:$A$110=$B16)*Inputs!$B$5:$B$110*(((Inputs!$G$5:$G$110="moeda")+(Inputs!$G$5:$G$110="acoes"))*Inputs!$B$1+((Inputs!$G$5:$G$110&lt;&gt;"moeda")*(Inputs!$G$5:$G$110&lt;&gt;"acoes")))*INDEX(Inputs!$K$5:$AJ$110,0,MATCH(T$2,Inputs!$K$4:$AJ$4,0)))+SUMPRODUCT((Inputs!$C$5:$C$110=$B16)*Inputs!$D$5:$D$110*(((Inputs!$G$5:$G$110="moeda")+(Inputs!$G$5:$G$110="acoes"))*Inputs!$B$1+((Inputs!$G$5:$G$110&lt;&gt;"moeda")*(Inputs!$G$5:$G$110&lt;&gt;"acoes")))*INDEX(Inputs!$K$5:$AJ$110,0,MATCH(T$2,Inputs!$K$4:$AJ$4,0)))+SUMPRODUCT((Inputs!$E$5:$E$110=$B16)*Inputs!$F$5:$F$110*(((Inputs!$G$5:$G$110="moeda")+(Inputs!$G$5:$G$110="acoes"))*Inputs!$B$1+((Inputs!$G$5:$G$110&lt;&gt;"moeda")*(Inputs!$G$5:$G$110&lt;&gt;"acoes")))*INDEX(Inputs!$K$5:$AJ$110,0,MATCH(T$2,Inputs!$K$4:$AJ$4,0)))))</f>
        <v>2583</v>
      </c>
      <c r="U16" s="267">
        <f>IF(ISNA(MATCH(U$2,Inputs!$K$4:$AJ$4,0)),NA(),IF(SUMPRODUCT((Inputs!$A$5:$A$110=$B16)*ISNUMBER(INDEX(Inputs!$K$5:$AJ$110,0,MATCH(U$2,Inputs!$K$4:$AJ$4,0))))+SUMPRODUCT((Inputs!$C$5:$C$110=$B16)*ISNUMBER(INDEX(Inputs!$K$5:$AJ$110,0,MATCH(U$2,Inputs!$K$4:$AJ$4,0))))+SUMPRODUCT((Inputs!$E$5:$E$110=$B16)*ISNUMBER(INDEX(Inputs!$K$5:$AJ$110,0,MATCH(U$2,Inputs!$K$4:$AJ$4,0))))=0,NA(),SUMPRODUCT((Inputs!$A$5:$A$110=$B16)*Inputs!$B$5:$B$110*(((Inputs!$G$5:$G$110="moeda")+(Inputs!$G$5:$G$110="acoes"))*Inputs!$B$1+((Inputs!$G$5:$G$110&lt;&gt;"moeda")*(Inputs!$G$5:$G$110&lt;&gt;"acoes")))*INDEX(Inputs!$K$5:$AJ$110,0,MATCH(U$2,Inputs!$K$4:$AJ$4,0)))+SUMPRODUCT((Inputs!$C$5:$C$110=$B16)*Inputs!$D$5:$D$110*(((Inputs!$G$5:$G$110="moeda")+(Inputs!$G$5:$G$110="acoes"))*Inputs!$B$1+((Inputs!$G$5:$G$110&lt;&gt;"moeda")*(Inputs!$G$5:$G$110&lt;&gt;"acoes")))*INDEX(Inputs!$K$5:$AJ$110,0,MATCH(U$2,Inputs!$K$4:$AJ$4,0)))+SUMPRODUCT((Inputs!$E$5:$E$110=$B16)*Inputs!$F$5:$F$110*(((Inputs!$G$5:$G$110="moeda")+(Inputs!$G$5:$G$110="acoes"))*Inputs!$B$1+((Inputs!$G$5:$G$110&lt;&gt;"moeda")*(Inputs!$G$5:$G$110&lt;&gt;"acoes")))*INDEX(Inputs!$K$5:$AJ$110,0,MATCH(U$2,Inputs!$K$4:$AJ$4,0)))))</f>
        <v>2721</v>
      </c>
      <c r="V16" s="267">
        <f>IF(ISNA(MATCH(V$2,Inputs!$K$4:$AJ$4,0)),NA(),IF(SUMPRODUCT((Inputs!$A$5:$A$110=$B16)*ISNUMBER(INDEX(Inputs!$K$5:$AJ$110,0,MATCH(V$2,Inputs!$K$4:$AJ$4,0))))+SUMPRODUCT((Inputs!$C$5:$C$110=$B16)*ISNUMBER(INDEX(Inputs!$K$5:$AJ$110,0,MATCH(V$2,Inputs!$K$4:$AJ$4,0))))+SUMPRODUCT((Inputs!$E$5:$E$110=$B16)*ISNUMBER(INDEX(Inputs!$K$5:$AJ$110,0,MATCH(V$2,Inputs!$K$4:$AJ$4,0))))=0,NA(),SUMPRODUCT((Inputs!$A$5:$A$110=$B16)*Inputs!$B$5:$B$110*(((Inputs!$G$5:$G$110="moeda")+(Inputs!$G$5:$G$110="acoes"))*Inputs!$B$1+((Inputs!$G$5:$G$110&lt;&gt;"moeda")*(Inputs!$G$5:$G$110&lt;&gt;"acoes")))*INDEX(Inputs!$K$5:$AJ$110,0,MATCH(V$2,Inputs!$K$4:$AJ$4,0)))+SUMPRODUCT((Inputs!$C$5:$C$110=$B16)*Inputs!$D$5:$D$110*(((Inputs!$G$5:$G$110="moeda")+(Inputs!$G$5:$G$110="acoes"))*Inputs!$B$1+((Inputs!$G$5:$G$110&lt;&gt;"moeda")*(Inputs!$G$5:$G$110&lt;&gt;"acoes")))*INDEX(Inputs!$K$5:$AJ$110,0,MATCH(V$2,Inputs!$K$4:$AJ$4,0)))+SUMPRODUCT((Inputs!$E$5:$E$110=$B16)*Inputs!$F$5:$F$110*(((Inputs!$G$5:$G$110="moeda")+(Inputs!$G$5:$G$110="acoes"))*Inputs!$B$1+((Inputs!$G$5:$G$110&lt;&gt;"moeda")*(Inputs!$G$5:$G$110&lt;&gt;"acoes")))*INDEX(Inputs!$K$5:$AJ$110,0,MATCH(V$2,Inputs!$K$4:$AJ$4,0)))))</f>
        <v>2963</v>
      </c>
      <c r="W16" s="268">
        <f>V16</f>
        <v>2963</v>
      </c>
      <c r="X16" s="267">
        <f>IF(ISNA(MATCH(X$2,Inputs!$K$4:$AJ$4,0)),NA(),IF(SUMPRODUCT((Inputs!$A$5:$A$110=$B16)*ISNUMBER(INDEX(Inputs!$K$5:$AJ$110,0,MATCH(X$2,Inputs!$K$4:$AJ$4,0))))+SUMPRODUCT((Inputs!$C$5:$C$110=$B16)*ISNUMBER(INDEX(Inputs!$K$5:$AJ$110,0,MATCH(X$2,Inputs!$K$4:$AJ$4,0))))+SUMPRODUCT((Inputs!$E$5:$E$110=$B16)*ISNUMBER(INDEX(Inputs!$K$5:$AJ$110,0,MATCH(X$2,Inputs!$K$4:$AJ$4,0))))=0,NA(),SUMPRODUCT((Inputs!$A$5:$A$110=$B16)*Inputs!$B$5:$B$110*(((Inputs!$G$5:$G$110="moeda")+(Inputs!$G$5:$G$110="acoes"))*Inputs!$B$1+((Inputs!$G$5:$G$110&lt;&gt;"moeda")*(Inputs!$G$5:$G$110&lt;&gt;"acoes")))*INDEX(Inputs!$K$5:$AJ$110,0,MATCH(X$2,Inputs!$K$4:$AJ$4,0)))+SUMPRODUCT((Inputs!$C$5:$C$110=$B16)*Inputs!$D$5:$D$110*(((Inputs!$G$5:$G$110="moeda")+(Inputs!$G$5:$G$110="acoes"))*Inputs!$B$1+((Inputs!$G$5:$G$110&lt;&gt;"moeda")*(Inputs!$G$5:$G$110&lt;&gt;"acoes")))*INDEX(Inputs!$K$5:$AJ$110,0,MATCH(X$2,Inputs!$K$4:$AJ$4,0)))+SUMPRODUCT((Inputs!$E$5:$E$110=$B16)*Inputs!$F$5:$F$110*(((Inputs!$G$5:$G$110="moeda")+(Inputs!$G$5:$G$110="acoes"))*Inputs!$B$1+((Inputs!$G$5:$G$110&lt;&gt;"moeda")*(Inputs!$G$5:$G$110&lt;&gt;"acoes")))*INDEX(Inputs!$K$5:$AJ$110,0,MATCH(X$2,Inputs!$K$4:$AJ$4,0)))))</f>
        <v>3060</v>
      </c>
      <c r="Y16" s="267">
        <f>IF(ISNA(MATCH(Y$2,Inputs!$K$4:$AJ$4,0)),NA(),IF(SUMPRODUCT((Inputs!$A$5:$A$110=$B16)*ISNUMBER(INDEX(Inputs!$K$5:$AJ$110,0,MATCH(Y$2,Inputs!$K$4:$AJ$4,0))))+SUMPRODUCT((Inputs!$C$5:$C$110=$B16)*ISNUMBER(INDEX(Inputs!$K$5:$AJ$110,0,MATCH(Y$2,Inputs!$K$4:$AJ$4,0))))+SUMPRODUCT((Inputs!$E$5:$E$110=$B16)*ISNUMBER(INDEX(Inputs!$K$5:$AJ$110,0,MATCH(Y$2,Inputs!$K$4:$AJ$4,0))))=0,NA(),SUMPRODUCT((Inputs!$A$5:$A$110=$B16)*Inputs!$B$5:$B$110*(((Inputs!$G$5:$G$110="moeda")+(Inputs!$G$5:$G$110="acoes"))*Inputs!$B$1+((Inputs!$G$5:$G$110&lt;&gt;"moeda")*(Inputs!$G$5:$G$110&lt;&gt;"acoes")))*INDEX(Inputs!$K$5:$AJ$110,0,MATCH(Y$2,Inputs!$K$4:$AJ$4,0)))+SUMPRODUCT((Inputs!$C$5:$C$110=$B16)*Inputs!$D$5:$D$110*(((Inputs!$G$5:$G$110="moeda")+(Inputs!$G$5:$G$110="acoes"))*Inputs!$B$1+((Inputs!$G$5:$G$110&lt;&gt;"moeda")*(Inputs!$G$5:$G$110&lt;&gt;"acoes")))*INDEX(Inputs!$K$5:$AJ$110,0,MATCH(Y$2,Inputs!$K$4:$AJ$4,0)))+SUMPRODUCT((Inputs!$E$5:$E$110=$B16)*Inputs!$F$5:$F$110*(((Inputs!$G$5:$G$110="moeda")+(Inputs!$G$5:$G$110="acoes"))*Inputs!$B$1+((Inputs!$G$5:$G$110&lt;&gt;"moeda")*(Inputs!$G$5:$G$110&lt;&gt;"acoes")))*INDEX(Inputs!$K$5:$AJ$110,0,MATCH(Y$2,Inputs!$K$4:$AJ$4,0)))))</f>
        <v>2875</v>
      </c>
      <c r="Z16" s="267">
        <f>IF(ISNA(MATCH(Z$2,Inputs!$K$4:$AJ$4,0)),NA(),IF(SUMPRODUCT((Inputs!$A$5:$A$110=$B16)*ISNUMBER(INDEX(Inputs!$K$5:$AJ$110,0,MATCH(Z$2,Inputs!$K$4:$AJ$4,0))))+SUMPRODUCT((Inputs!$C$5:$C$110=$B16)*ISNUMBER(INDEX(Inputs!$K$5:$AJ$110,0,MATCH(Z$2,Inputs!$K$4:$AJ$4,0))))+SUMPRODUCT((Inputs!$E$5:$E$110=$B16)*ISNUMBER(INDEX(Inputs!$K$5:$AJ$110,0,MATCH(Z$2,Inputs!$K$4:$AJ$4,0))))=0,NA(),SUMPRODUCT((Inputs!$A$5:$A$110=$B16)*Inputs!$B$5:$B$110*(((Inputs!$G$5:$G$110="moeda")+(Inputs!$G$5:$G$110="acoes"))*Inputs!$B$1+((Inputs!$G$5:$G$110&lt;&gt;"moeda")*(Inputs!$G$5:$G$110&lt;&gt;"acoes")))*INDEX(Inputs!$K$5:$AJ$110,0,MATCH(Z$2,Inputs!$K$4:$AJ$4,0)))+SUMPRODUCT((Inputs!$C$5:$C$110=$B16)*Inputs!$D$5:$D$110*(((Inputs!$G$5:$G$110="moeda")+(Inputs!$G$5:$G$110="acoes"))*Inputs!$B$1+((Inputs!$G$5:$G$110&lt;&gt;"moeda")*(Inputs!$G$5:$G$110&lt;&gt;"acoes")))*INDEX(Inputs!$K$5:$AJ$110,0,MATCH(Z$2,Inputs!$K$4:$AJ$4,0)))+SUMPRODUCT((Inputs!$E$5:$E$110=$B16)*Inputs!$F$5:$F$110*(((Inputs!$G$5:$G$110="moeda")+(Inputs!$G$5:$G$110="acoes"))*Inputs!$B$1+((Inputs!$G$5:$G$110&lt;&gt;"moeda")*(Inputs!$G$5:$G$110&lt;&gt;"acoes")))*INDEX(Inputs!$K$5:$AJ$110,0,MATCH(Z$2,Inputs!$K$4:$AJ$4,0)))))</f>
        <v>3203</v>
      </c>
      <c r="AA16" s="267">
        <f>IF(ISNA(MATCH(AA$2,Inputs!$K$4:$AJ$4,0)),NA(),IF(SUMPRODUCT((Inputs!$A$5:$A$110=$B16)*ISNUMBER(INDEX(Inputs!$K$5:$AJ$110,0,MATCH(AA$2,Inputs!$K$4:$AJ$4,0))))+SUMPRODUCT((Inputs!$C$5:$C$110=$B16)*ISNUMBER(INDEX(Inputs!$K$5:$AJ$110,0,MATCH(AA$2,Inputs!$K$4:$AJ$4,0))))+SUMPRODUCT((Inputs!$E$5:$E$110=$B16)*ISNUMBER(INDEX(Inputs!$K$5:$AJ$110,0,MATCH(AA$2,Inputs!$K$4:$AJ$4,0))))=0,NA(),SUMPRODUCT((Inputs!$A$5:$A$110=$B16)*Inputs!$B$5:$B$110*(((Inputs!$G$5:$G$110="moeda")+(Inputs!$G$5:$G$110="acoes"))*Inputs!$B$1+((Inputs!$G$5:$G$110&lt;&gt;"moeda")*(Inputs!$G$5:$G$110&lt;&gt;"acoes")))*INDEX(Inputs!$K$5:$AJ$110,0,MATCH(AA$2,Inputs!$K$4:$AJ$4,0)))+SUMPRODUCT((Inputs!$C$5:$C$110=$B16)*Inputs!$D$5:$D$110*(((Inputs!$G$5:$G$110="moeda")+(Inputs!$G$5:$G$110="acoes"))*Inputs!$B$1+((Inputs!$G$5:$G$110&lt;&gt;"moeda")*(Inputs!$G$5:$G$110&lt;&gt;"acoes")))*INDEX(Inputs!$K$5:$AJ$110,0,MATCH(AA$2,Inputs!$K$4:$AJ$4,0)))+SUMPRODUCT((Inputs!$E$5:$E$110=$B16)*Inputs!$F$5:$F$110*(((Inputs!$G$5:$G$110="moeda")+(Inputs!$G$5:$G$110="acoes"))*Inputs!$B$1+((Inputs!$G$5:$G$110&lt;&gt;"moeda")*(Inputs!$G$5:$G$110&lt;&gt;"acoes")))*INDEX(Inputs!$K$5:$AJ$110,0,MATCH(AA$2,Inputs!$K$4:$AJ$4,0)))))</f>
        <v>3231</v>
      </c>
      <c r="AB16" s="268">
        <f>AA16</f>
        <v>3231</v>
      </c>
      <c r="AC16" s="267">
        <f>IF(ISNA(MATCH(AC$2,Inputs!$K$4:$AJ$4,0)),NA(),IF(SUMPRODUCT((Inputs!$A$5:$A$110=$B16)*ISNUMBER(INDEX(Inputs!$K$5:$AJ$110,0,MATCH(AC$2,Inputs!$K$4:$AJ$4,0))))+SUMPRODUCT((Inputs!$C$5:$C$110=$B16)*ISNUMBER(INDEX(Inputs!$K$5:$AJ$110,0,MATCH(AC$2,Inputs!$K$4:$AJ$4,0))))+SUMPRODUCT((Inputs!$E$5:$E$110=$B16)*ISNUMBER(INDEX(Inputs!$K$5:$AJ$110,0,MATCH(AC$2,Inputs!$K$4:$AJ$4,0))))=0,NA(),SUMPRODUCT((Inputs!$A$5:$A$110=$B16)*Inputs!$B$5:$B$110*(((Inputs!$G$5:$G$110="moeda")+(Inputs!$G$5:$G$110="acoes"))*Inputs!$B$1+((Inputs!$G$5:$G$110&lt;&gt;"moeda")*(Inputs!$G$5:$G$110&lt;&gt;"acoes")))*INDEX(Inputs!$K$5:$AJ$110,0,MATCH(AC$2,Inputs!$K$4:$AJ$4,0)))+SUMPRODUCT((Inputs!$C$5:$C$110=$B16)*Inputs!$D$5:$D$110*(((Inputs!$G$5:$G$110="moeda")+(Inputs!$G$5:$G$110="acoes"))*Inputs!$B$1+((Inputs!$G$5:$G$110&lt;&gt;"moeda")*(Inputs!$G$5:$G$110&lt;&gt;"acoes")))*INDEX(Inputs!$K$5:$AJ$110,0,MATCH(AC$2,Inputs!$K$4:$AJ$4,0)))+SUMPRODUCT((Inputs!$E$5:$E$110=$B16)*Inputs!$F$5:$F$110*(((Inputs!$G$5:$G$110="moeda")+(Inputs!$G$5:$G$110="acoes"))*Inputs!$B$1+((Inputs!$G$5:$G$110&lt;&gt;"moeda")*(Inputs!$G$5:$G$110&lt;&gt;"acoes")))*INDEX(Inputs!$K$5:$AJ$110,0,MATCH(AC$2,Inputs!$K$4:$AJ$4,0)))))</f>
        <v>3782</v>
      </c>
      <c r="AD16" s="267">
        <f>IF(ISNA(MATCH(AD$2,Inputs!$K$4:$AJ$4,0)),NA(),IF(SUMPRODUCT((Inputs!$A$5:$A$110=$B16)*ISNUMBER(INDEX(Inputs!$K$5:$AJ$110,0,MATCH(AD$2,Inputs!$K$4:$AJ$4,0))))+SUMPRODUCT((Inputs!$C$5:$C$110=$B16)*ISNUMBER(INDEX(Inputs!$K$5:$AJ$110,0,MATCH(AD$2,Inputs!$K$4:$AJ$4,0))))+SUMPRODUCT((Inputs!$E$5:$E$110=$B16)*ISNUMBER(INDEX(Inputs!$K$5:$AJ$110,0,MATCH(AD$2,Inputs!$K$4:$AJ$4,0))))=0,NA(),SUMPRODUCT((Inputs!$A$5:$A$110=$B16)*Inputs!$B$5:$B$110*(((Inputs!$G$5:$G$110="moeda")+(Inputs!$G$5:$G$110="acoes"))*Inputs!$B$1+((Inputs!$G$5:$G$110&lt;&gt;"moeda")*(Inputs!$G$5:$G$110&lt;&gt;"acoes")))*INDEX(Inputs!$K$5:$AJ$110,0,MATCH(AD$2,Inputs!$K$4:$AJ$4,0)))+SUMPRODUCT((Inputs!$C$5:$C$110=$B16)*Inputs!$D$5:$D$110*(((Inputs!$G$5:$G$110="moeda")+(Inputs!$G$5:$G$110="acoes"))*Inputs!$B$1+((Inputs!$G$5:$G$110&lt;&gt;"moeda")*(Inputs!$G$5:$G$110&lt;&gt;"acoes")))*INDEX(Inputs!$K$5:$AJ$110,0,MATCH(AD$2,Inputs!$K$4:$AJ$4,0)))+SUMPRODUCT((Inputs!$E$5:$E$110=$B16)*Inputs!$F$5:$F$110*(((Inputs!$G$5:$G$110="moeda")+(Inputs!$G$5:$G$110="acoes"))*Inputs!$B$1+((Inputs!$G$5:$G$110&lt;&gt;"moeda")*(Inputs!$G$5:$G$110&lt;&gt;"acoes")))*INDEX(Inputs!$K$5:$AJ$110,0,MATCH(AD$2,Inputs!$K$4:$AJ$4,0)))))</f>
        <v>3750</v>
      </c>
      <c r="AE16" s="267" t="e">
        <f>IF(ISNA(MATCH(AE$2,Inputs!$K$4:$AJ$4,0)),NA(),IF(SUMPRODUCT((Inputs!$A$5:$A$110=$B16)*ISNUMBER(INDEX(Inputs!$K$5:$AJ$110,0,MATCH(AE$2,Inputs!$K$4:$AJ$4,0))))+SUMPRODUCT((Inputs!$C$5:$C$110=$B16)*ISNUMBER(INDEX(Inputs!$K$5:$AJ$110,0,MATCH(AE$2,Inputs!$K$4:$AJ$4,0))))+SUMPRODUCT((Inputs!$E$5:$E$110=$B16)*ISNUMBER(INDEX(Inputs!$K$5:$AJ$110,0,MATCH(AE$2,Inputs!$K$4:$AJ$4,0))))=0,NA(),SUMPRODUCT((Inputs!$A$5:$A$110=$B16)*Inputs!$B$5:$B$110*(((Inputs!$G$5:$G$110="moeda")+(Inputs!$G$5:$G$110="acoes"))*Inputs!$B$1+((Inputs!$G$5:$G$110&lt;&gt;"moeda")*(Inputs!$G$5:$G$110&lt;&gt;"acoes")))*INDEX(Inputs!$K$5:$AJ$110,0,MATCH(AE$2,Inputs!$K$4:$AJ$4,0)))+SUMPRODUCT((Inputs!$C$5:$C$110=$B16)*Inputs!$D$5:$D$110*(((Inputs!$G$5:$G$110="moeda")+(Inputs!$G$5:$G$110="acoes"))*Inputs!$B$1+((Inputs!$G$5:$G$110&lt;&gt;"moeda")*(Inputs!$G$5:$G$110&lt;&gt;"acoes")))*INDEX(Inputs!$K$5:$AJ$110,0,MATCH(AE$2,Inputs!$K$4:$AJ$4,0)))+SUMPRODUCT((Inputs!$E$5:$E$110=$B16)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6" s="267" t="e">
        <f>IF(ISNA(MATCH(AF$2,Inputs!$K$4:$AJ$4,0)),NA(),IF(SUMPRODUCT((Inputs!$A$5:$A$110=$B16)*ISNUMBER(INDEX(Inputs!$K$5:$AJ$110,0,MATCH(AF$2,Inputs!$K$4:$AJ$4,0))))+SUMPRODUCT((Inputs!$C$5:$C$110=$B16)*ISNUMBER(INDEX(Inputs!$K$5:$AJ$110,0,MATCH(AF$2,Inputs!$K$4:$AJ$4,0))))+SUMPRODUCT((Inputs!$E$5:$E$110=$B16)*ISNUMBER(INDEX(Inputs!$K$5:$AJ$110,0,MATCH(AF$2,Inputs!$K$4:$AJ$4,0))))=0,NA(),SUMPRODUCT((Inputs!$A$5:$A$110=$B16)*Inputs!$B$5:$B$110*(((Inputs!$G$5:$G$110="moeda")+(Inputs!$G$5:$G$110="acoes"))*Inputs!$B$1+((Inputs!$G$5:$G$110&lt;&gt;"moeda")*(Inputs!$G$5:$G$110&lt;&gt;"acoes")))*INDEX(Inputs!$K$5:$AJ$110,0,MATCH(AF$2,Inputs!$K$4:$AJ$4,0)))+SUMPRODUCT((Inputs!$C$5:$C$110=$B16)*Inputs!$D$5:$D$110*(((Inputs!$G$5:$G$110="moeda")+(Inputs!$G$5:$G$110="acoes"))*Inputs!$B$1+((Inputs!$G$5:$G$110&lt;&gt;"moeda")*(Inputs!$G$5:$G$110&lt;&gt;"acoes")))*INDEX(Inputs!$K$5:$AJ$110,0,MATCH(AF$2,Inputs!$K$4:$AJ$4,0)))+SUMPRODUCT((Inputs!$E$5:$E$110=$B16)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6" s="268" t="e">
        <f>AF16</f>
        <v>#N/A</v>
      </c>
      <c r="AH16" s="267">
        <f>IF(ISNA(MATCH(AH$2,Inputs!$K$4:$AJ$4,0)),NA(),IF(SUMPRODUCT((Inputs!$A$5:$A$110=$B16)*ISNUMBER(INDEX(Inputs!$K$5:$AJ$110,0,MATCH(AH$2,Inputs!$K$4:$AJ$4,0))))+SUMPRODUCT((Inputs!$C$5:$C$110=$B16)*ISNUMBER(INDEX(Inputs!$K$5:$AJ$110,0,MATCH(AH$2,Inputs!$K$4:$AJ$4,0))))+SUMPRODUCT((Inputs!$E$5:$E$110=$B16)*ISNUMBER(INDEX(Inputs!$K$5:$AJ$110,0,MATCH(AH$2,Inputs!$K$4:$AJ$4,0))))=0,NA(),SUMPRODUCT((Inputs!$A$5:$A$110=$B16)*Inputs!$B$5:$B$110*(((Inputs!$G$5:$G$110="moeda")+(Inputs!$G$5:$G$110="acoes"))*Inputs!$B$1+((Inputs!$G$5:$G$110&lt;&gt;"moeda")*(Inputs!$G$5:$G$110&lt;&gt;"acoes")))*INDEX(Inputs!$K$5:$AJ$110,0,MATCH(AH$2,Inputs!$K$4:$AJ$4,0)))+SUMPRODUCT((Inputs!$C$5:$C$110=$B16)*Inputs!$D$5:$D$110*(((Inputs!$G$5:$G$110="moeda")+(Inputs!$G$5:$G$110="acoes"))*Inputs!$B$1+((Inputs!$G$5:$G$110&lt;&gt;"moeda")*(Inputs!$G$5:$G$110&lt;&gt;"acoes")))*INDEX(Inputs!$K$5:$AJ$110,0,MATCH(AH$2,Inputs!$K$4:$AJ$4,0)))+SUMPRODUCT((Inputs!$E$5:$E$110=$B16)*Inputs!$F$5:$F$110*(((Inputs!$G$5:$G$110="moeda")+(Inputs!$G$5:$G$110="acoes"))*Inputs!$B$1+((Inputs!$G$5:$G$110&lt;&gt;"moeda")*(Inputs!$G$5:$G$110&lt;&gt;"acoes")))*INDEX(Inputs!$K$5:$AJ$110,0,MATCH(AH$2,Inputs!$K$4:$AJ$4,0)))))</f>
        <v>1988</v>
      </c>
      <c r="AI16" s="267">
        <f>IF(ISNA(MATCH(AI$2,Inputs!$K$4:$AJ$4,0)),NA(),IF(SUMPRODUCT((Inputs!$A$5:$A$110=$B16)*ISNUMBER(INDEX(Inputs!$K$5:$AJ$110,0,MATCH(AI$2,Inputs!$K$4:$AJ$4,0))))+SUMPRODUCT((Inputs!$C$5:$C$110=$B16)*ISNUMBER(INDEX(Inputs!$K$5:$AJ$110,0,MATCH(AI$2,Inputs!$K$4:$AJ$4,0))))+SUMPRODUCT((Inputs!$E$5:$E$110=$B16)*ISNUMBER(INDEX(Inputs!$K$5:$AJ$110,0,MATCH(AI$2,Inputs!$K$4:$AJ$4,0))))=0,NA(),SUMPRODUCT((Inputs!$A$5:$A$110=$B16)*Inputs!$B$5:$B$110*(((Inputs!$G$5:$G$110="moeda")+(Inputs!$G$5:$G$110="acoes"))*Inputs!$B$1+((Inputs!$G$5:$G$110&lt;&gt;"moeda")*(Inputs!$G$5:$G$110&lt;&gt;"acoes")))*INDEX(Inputs!$K$5:$AJ$110,0,MATCH(AI$2,Inputs!$K$4:$AJ$4,0)))+SUMPRODUCT((Inputs!$C$5:$C$110=$B16)*Inputs!$D$5:$D$110*(((Inputs!$G$5:$G$110="moeda")+(Inputs!$G$5:$G$110="acoes"))*Inputs!$B$1+((Inputs!$G$5:$G$110&lt;&gt;"moeda")*(Inputs!$G$5:$G$110&lt;&gt;"acoes")))*INDEX(Inputs!$K$5:$AJ$110,0,MATCH(AI$2,Inputs!$K$4:$AJ$4,0)))+SUMPRODUCT((Inputs!$E$5:$E$110=$B16)*Inputs!$F$5:$F$110*(((Inputs!$G$5:$G$110="moeda")+(Inputs!$G$5:$G$110="acoes"))*Inputs!$B$1+((Inputs!$G$5:$G$110&lt;&gt;"moeda")*(Inputs!$G$5:$G$110&lt;&gt;"acoes")))*INDEX(Inputs!$K$5:$AJ$110,0,MATCH(AI$2,Inputs!$K$4:$AJ$4,0)))))</f>
        <v>1507</v>
      </c>
      <c r="AJ16" s="267">
        <f>IF(ISNA(MATCH(AJ$2,Inputs!$K$4:$AJ$4,0)),NA(),IF(SUMPRODUCT((Inputs!$A$5:$A$110=$B16)*ISNUMBER(INDEX(Inputs!$K$5:$AJ$110,0,MATCH(AJ$2,Inputs!$K$4:$AJ$4,0))))+SUMPRODUCT((Inputs!$C$5:$C$110=$B16)*ISNUMBER(INDEX(Inputs!$K$5:$AJ$110,0,MATCH(AJ$2,Inputs!$K$4:$AJ$4,0))))+SUMPRODUCT((Inputs!$E$5:$E$110=$B16)*ISNUMBER(INDEX(Inputs!$K$5:$AJ$110,0,MATCH(AJ$2,Inputs!$K$4:$AJ$4,0))))=0,NA(),SUMPRODUCT((Inputs!$A$5:$A$110=$B16)*Inputs!$B$5:$B$110*(((Inputs!$G$5:$G$110="moeda")+(Inputs!$G$5:$G$110="acoes"))*Inputs!$B$1+((Inputs!$G$5:$G$110&lt;&gt;"moeda")*(Inputs!$G$5:$G$110&lt;&gt;"acoes")))*INDEX(Inputs!$K$5:$AJ$110,0,MATCH(AJ$2,Inputs!$K$4:$AJ$4,0)))+SUMPRODUCT((Inputs!$C$5:$C$110=$B16)*Inputs!$D$5:$D$110*(((Inputs!$G$5:$G$110="moeda")+(Inputs!$G$5:$G$110="acoes"))*Inputs!$B$1+((Inputs!$G$5:$G$110&lt;&gt;"moeda")*(Inputs!$G$5:$G$110&lt;&gt;"acoes")))*INDEX(Inputs!$K$5:$AJ$110,0,MATCH(AJ$2,Inputs!$K$4:$AJ$4,0)))+SUMPRODUCT((Inputs!$E$5:$E$110=$B16)*Inputs!$F$5:$F$110*(((Inputs!$G$5:$G$110="moeda")+(Inputs!$G$5:$G$110="acoes"))*Inputs!$B$1+((Inputs!$G$5:$G$110&lt;&gt;"moeda")*(Inputs!$G$5:$G$110&lt;&gt;"acoes")))*INDEX(Inputs!$K$5:$AJ$110,0,MATCH(AJ$2,Inputs!$K$4:$AJ$4,0)))))</f>
        <v>1550</v>
      </c>
      <c r="AK16" s="267">
        <f>IF(ISNA(MATCH(AK$2,Inputs!$K$4:$AJ$4,0)),NA(),IF(SUMPRODUCT((Inputs!$A$5:$A$110=$B16)*ISNUMBER(INDEX(Inputs!$K$5:$AJ$110,0,MATCH(AK$2,Inputs!$K$4:$AJ$4,0))))+SUMPRODUCT((Inputs!$C$5:$C$110=$B16)*ISNUMBER(INDEX(Inputs!$K$5:$AJ$110,0,MATCH(AK$2,Inputs!$K$4:$AJ$4,0))))+SUMPRODUCT((Inputs!$E$5:$E$110=$B16)*ISNUMBER(INDEX(Inputs!$K$5:$AJ$110,0,MATCH(AK$2,Inputs!$K$4:$AJ$4,0))))=0,NA(),SUMPRODUCT((Inputs!$A$5:$A$110=$B16)*Inputs!$B$5:$B$110*(((Inputs!$G$5:$G$110="moeda")+(Inputs!$G$5:$G$110="acoes"))*Inputs!$B$1+((Inputs!$G$5:$G$110&lt;&gt;"moeda")*(Inputs!$G$5:$G$110&lt;&gt;"acoes")))*INDEX(Inputs!$K$5:$AJ$110,0,MATCH(AK$2,Inputs!$K$4:$AJ$4,0)))+SUMPRODUCT((Inputs!$C$5:$C$110=$B16)*Inputs!$D$5:$D$110*(((Inputs!$G$5:$G$110="moeda")+(Inputs!$G$5:$G$110="acoes"))*Inputs!$B$1+((Inputs!$G$5:$G$110&lt;&gt;"moeda")*(Inputs!$G$5:$G$110&lt;&gt;"acoes")))*INDEX(Inputs!$K$5:$AJ$110,0,MATCH(AK$2,Inputs!$K$4:$AJ$4,0)))+SUMPRODUCT((Inputs!$E$5:$E$110=$B16)*Inputs!$F$5:$F$110*(((Inputs!$G$5:$G$110="moeda")+(Inputs!$G$5:$G$110="acoes"))*Inputs!$B$1+((Inputs!$G$5:$G$110&lt;&gt;"moeda")*(Inputs!$G$5:$G$110&lt;&gt;"acoes")))*INDEX(Inputs!$K$5:$AJ$110,0,MATCH(AK$2,Inputs!$K$4:$AJ$4,0)))))</f>
        <v>1646</v>
      </c>
      <c r="AL16" s="268">
        <f>AK16</f>
        <v>1646</v>
      </c>
    </row>
    <row r="17" ht="12.75" customHeight="1" s="255">
      <c r="B17" s="265" t="n">
        <v>13</v>
      </c>
      <c r="C17" s="270" t="inlineStr">
        <is>
          <t>Inventories</t>
        </is>
      </c>
      <c r="D17" s="267">
        <f>IF(ISNA(MATCH(D$2,Inputs!$K$4:$AJ$4,0)),NA(),IF(SUMPRODUCT((Inputs!$A$5:$A$110=$B17)*ISNUMBER(INDEX(Inputs!$K$5:$AJ$110,0,MATCH(D$2,Inputs!$K$4:$AJ$4,0))))+SUMPRODUCT((Inputs!$C$5:$C$110=$B17)*ISNUMBER(INDEX(Inputs!$K$5:$AJ$110,0,MATCH(D$2,Inputs!$K$4:$AJ$4,0))))+SUMPRODUCT((Inputs!$E$5:$E$110=$B17)*ISNUMBER(INDEX(Inputs!$K$5:$AJ$110,0,MATCH(D$2,Inputs!$K$4:$AJ$4,0))))=0,NA(),SUMPRODUCT((Inputs!$A$5:$A$110=$B17)*Inputs!$B$5:$B$110*(((Inputs!$G$5:$G$110="moeda")+(Inputs!$G$5:$G$110="acoes"))*Inputs!$B$1+((Inputs!$G$5:$G$110&lt;&gt;"moeda")*(Inputs!$G$5:$G$110&lt;&gt;"acoes")))*INDEX(Inputs!$K$5:$AJ$110,0,MATCH(D$2,Inputs!$K$4:$AJ$4,0)))+SUMPRODUCT((Inputs!$C$5:$C$110=$B17)*Inputs!$D$5:$D$110*(((Inputs!$G$5:$G$110="moeda")+(Inputs!$G$5:$G$110="acoes"))*Inputs!$B$1+((Inputs!$G$5:$G$110&lt;&gt;"moeda")*(Inputs!$G$5:$G$110&lt;&gt;"acoes")))*INDEX(Inputs!$K$5:$AJ$110,0,MATCH(D$2,Inputs!$K$4:$AJ$4,0)))+SUMPRODUCT((Inputs!$E$5:$E$110=$B17)*Inputs!$F$5:$F$110*(((Inputs!$G$5:$G$110="moeda")+(Inputs!$G$5:$G$110="acoes"))*Inputs!$B$1+((Inputs!$G$5:$G$110&lt;&gt;"moeda")*(Inputs!$G$5:$G$110&lt;&gt;"acoes")))*INDEX(Inputs!$K$5:$AJ$110,0,MATCH(D$2,Inputs!$K$4:$AJ$4,0)))))</f>
        <v>13865</v>
      </c>
      <c r="E17" s="267">
        <f>IF(ISNA(MATCH(E$2,Inputs!$K$4:$AJ$4,0)),NA(),IF(SUMPRODUCT((Inputs!$A$5:$A$110=$B17)*ISNUMBER(INDEX(Inputs!$K$5:$AJ$110,0,MATCH(E$2,Inputs!$K$4:$AJ$4,0))))+SUMPRODUCT((Inputs!$C$5:$C$110=$B17)*ISNUMBER(INDEX(Inputs!$K$5:$AJ$110,0,MATCH(E$2,Inputs!$K$4:$AJ$4,0))))+SUMPRODUCT((Inputs!$E$5:$E$110=$B17)*ISNUMBER(INDEX(Inputs!$K$5:$AJ$110,0,MATCH(E$2,Inputs!$K$4:$AJ$4,0))))=0,NA(),SUMPRODUCT((Inputs!$A$5:$A$110=$B17)*Inputs!$B$5:$B$110*(((Inputs!$G$5:$G$110="moeda")+(Inputs!$G$5:$G$110="acoes"))*Inputs!$B$1+((Inputs!$G$5:$G$110&lt;&gt;"moeda")*(Inputs!$G$5:$G$110&lt;&gt;"acoes")))*INDEX(Inputs!$K$5:$AJ$110,0,MATCH(E$2,Inputs!$K$4:$AJ$4,0)))+SUMPRODUCT((Inputs!$C$5:$C$110=$B17)*Inputs!$D$5:$D$110*(((Inputs!$G$5:$G$110="moeda")+(Inputs!$G$5:$G$110="acoes"))*Inputs!$B$1+((Inputs!$G$5:$G$110&lt;&gt;"moeda")*(Inputs!$G$5:$G$110&lt;&gt;"acoes")))*INDEX(Inputs!$K$5:$AJ$110,0,MATCH(E$2,Inputs!$K$4:$AJ$4,0)))+SUMPRODUCT((Inputs!$E$5:$E$110=$B17)*Inputs!$F$5:$F$110*(((Inputs!$G$5:$G$110="moeda")+(Inputs!$G$5:$G$110="acoes"))*Inputs!$B$1+((Inputs!$G$5:$G$110&lt;&gt;"moeda")*(Inputs!$G$5:$G$110&lt;&gt;"acoes")))*INDEX(Inputs!$K$5:$AJ$110,0,MATCH(E$2,Inputs!$K$4:$AJ$4,0)))))</f>
        <v>13975</v>
      </c>
      <c r="F17" s="267">
        <f>IF(ISNA(MATCH(F$2,Inputs!$K$4:$AJ$4,0)),NA(),IF(SUMPRODUCT((Inputs!$A$5:$A$110=$B17)*ISNUMBER(INDEX(Inputs!$K$5:$AJ$110,0,MATCH(F$2,Inputs!$K$4:$AJ$4,0))))+SUMPRODUCT((Inputs!$C$5:$C$110=$B17)*ISNUMBER(INDEX(Inputs!$K$5:$AJ$110,0,MATCH(F$2,Inputs!$K$4:$AJ$4,0))))+SUMPRODUCT((Inputs!$E$5:$E$110=$B17)*ISNUMBER(INDEX(Inputs!$K$5:$AJ$110,0,MATCH(F$2,Inputs!$K$4:$AJ$4,0))))=0,NA(),SUMPRODUCT((Inputs!$A$5:$A$110=$B17)*Inputs!$B$5:$B$110*(((Inputs!$G$5:$G$110="moeda")+(Inputs!$G$5:$G$110="acoes"))*Inputs!$B$1+((Inputs!$G$5:$G$110&lt;&gt;"moeda")*(Inputs!$G$5:$G$110&lt;&gt;"acoes")))*INDEX(Inputs!$K$5:$AJ$110,0,MATCH(F$2,Inputs!$K$4:$AJ$4,0)))+SUMPRODUCT((Inputs!$C$5:$C$110=$B17)*Inputs!$D$5:$D$110*(((Inputs!$G$5:$G$110="moeda")+(Inputs!$G$5:$G$110="acoes"))*Inputs!$B$1+((Inputs!$G$5:$G$110&lt;&gt;"moeda")*(Inputs!$G$5:$G$110&lt;&gt;"acoes")))*INDEX(Inputs!$K$5:$AJ$110,0,MATCH(F$2,Inputs!$K$4:$AJ$4,0)))+SUMPRODUCT((Inputs!$E$5:$E$110=$B17)*Inputs!$F$5:$F$110*(((Inputs!$G$5:$G$110="moeda")+(Inputs!$G$5:$G$110="acoes"))*Inputs!$B$1+((Inputs!$G$5:$G$110&lt;&gt;"moeda")*(Inputs!$G$5:$G$110&lt;&gt;"acoes")))*INDEX(Inputs!$K$5:$AJ$110,0,MATCH(F$2,Inputs!$K$4:$AJ$4,0)))))</f>
        <v>14215</v>
      </c>
      <c r="G17" s="267">
        <f>IF(ISNA(MATCH(G$2,Inputs!$K$4:$AJ$4,0)),NA(),IF(SUMPRODUCT((Inputs!$A$5:$A$110=$B17)*ISNUMBER(INDEX(Inputs!$K$5:$AJ$110,0,MATCH(G$2,Inputs!$K$4:$AJ$4,0))))+SUMPRODUCT((Inputs!$C$5:$C$110=$B17)*ISNUMBER(INDEX(Inputs!$K$5:$AJ$110,0,MATCH(G$2,Inputs!$K$4:$AJ$4,0))))+SUMPRODUCT((Inputs!$E$5:$E$110=$B17)*ISNUMBER(INDEX(Inputs!$K$5:$AJ$110,0,MATCH(G$2,Inputs!$K$4:$AJ$4,0))))=0,NA(),SUMPRODUCT((Inputs!$A$5:$A$110=$B17)*Inputs!$B$5:$B$110*(((Inputs!$G$5:$G$110="moeda")+(Inputs!$G$5:$G$110="acoes"))*Inputs!$B$1+((Inputs!$G$5:$G$110&lt;&gt;"moeda")*(Inputs!$G$5:$G$110&lt;&gt;"acoes")))*INDEX(Inputs!$K$5:$AJ$110,0,MATCH(G$2,Inputs!$K$4:$AJ$4,0)))+SUMPRODUCT((Inputs!$C$5:$C$110=$B17)*Inputs!$D$5:$D$110*(((Inputs!$G$5:$G$110="moeda")+(Inputs!$G$5:$G$110="acoes"))*Inputs!$B$1+((Inputs!$G$5:$G$110&lt;&gt;"moeda")*(Inputs!$G$5:$G$110&lt;&gt;"acoes")))*INDEX(Inputs!$K$5:$AJ$110,0,MATCH(G$2,Inputs!$K$4:$AJ$4,0)))+SUMPRODUCT((Inputs!$E$5:$E$110=$B17)*Inputs!$F$5:$F$110*(((Inputs!$G$5:$G$110="moeda")+(Inputs!$G$5:$G$110="acoes"))*Inputs!$B$1+((Inputs!$G$5:$G$110&lt;&gt;"moeda")*(Inputs!$G$5:$G$110&lt;&gt;"acoes")))*INDEX(Inputs!$K$5:$AJ$110,0,MATCH(G$2,Inputs!$K$4:$AJ$4,0)))))</f>
        <v>16942</v>
      </c>
      <c r="H17" s="268">
        <f>G17</f>
        <v>16942</v>
      </c>
      <c r="I17" s="267">
        <f>IF(ISNA(MATCH(I$2,Inputs!$K$4:$AJ$4,0)),NA(),IF(SUMPRODUCT((Inputs!$A$5:$A$110=$B17)*ISNUMBER(INDEX(Inputs!$K$5:$AJ$110,0,MATCH(I$2,Inputs!$K$4:$AJ$4,0))))+SUMPRODUCT((Inputs!$C$5:$C$110=$B17)*ISNUMBER(INDEX(Inputs!$K$5:$AJ$110,0,MATCH(I$2,Inputs!$K$4:$AJ$4,0))))+SUMPRODUCT((Inputs!$E$5:$E$110=$B17)*ISNUMBER(INDEX(Inputs!$K$5:$AJ$110,0,MATCH(I$2,Inputs!$K$4:$AJ$4,0))))=0,NA(),SUMPRODUCT((Inputs!$A$5:$A$110=$B17)*Inputs!$B$5:$B$110*(((Inputs!$G$5:$G$110="moeda")+(Inputs!$G$5:$G$110="acoes"))*Inputs!$B$1+((Inputs!$G$5:$G$110&lt;&gt;"moeda")*(Inputs!$G$5:$G$110&lt;&gt;"acoes")))*INDEX(Inputs!$K$5:$AJ$110,0,MATCH(I$2,Inputs!$K$4:$AJ$4,0)))+SUMPRODUCT((Inputs!$C$5:$C$110=$B17)*Inputs!$D$5:$D$110*(((Inputs!$G$5:$G$110="moeda")+(Inputs!$G$5:$G$110="acoes"))*Inputs!$B$1+((Inputs!$G$5:$G$110&lt;&gt;"moeda")*(Inputs!$G$5:$G$110&lt;&gt;"acoes")))*INDEX(Inputs!$K$5:$AJ$110,0,MATCH(I$2,Inputs!$K$4:$AJ$4,0)))+SUMPRODUCT((Inputs!$E$5:$E$110=$B17)*Inputs!$F$5:$F$110*(((Inputs!$G$5:$G$110="moeda")+(Inputs!$G$5:$G$110="acoes"))*Inputs!$B$1+((Inputs!$G$5:$G$110&lt;&gt;"moeda")*(Inputs!$G$5:$G$110&lt;&gt;"acoes")))*INDEX(Inputs!$K$5:$AJ$110,0,MATCH(I$2,Inputs!$K$4:$AJ$4,0)))))</f>
        <v>16485</v>
      </c>
      <c r="J17" s="267">
        <f>IF(ISNA(MATCH(J$2,Inputs!$K$4:$AJ$4,0)),NA(),IF(SUMPRODUCT((Inputs!$A$5:$A$110=$B17)*ISNUMBER(INDEX(Inputs!$K$5:$AJ$110,0,MATCH(J$2,Inputs!$K$4:$AJ$4,0))))+SUMPRODUCT((Inputs!$C$5:$C$110=$B17)*ISNUMBER(INDEX(Inputs!$K$5:$AJ$110,0,MATCH(J$2,Inputs!$K$4:$AJ$4,0))))+SUMPRODUCT((Inputs!$E$5:$E$110=$B17)*ISNUMBER(INDEX(Inputs!$K$5:$AJ$110,0,MATCH(J$2,Inputs!$K$4:$AJ$4,0))))=0,NA(),SUMPRODUCT((Inputs!$A$5:$A$110=$B17)*Inputs!$B$5:$B$110*(((Inputs!$G$5:$G$110="moeda")+(Inputs!$G$5:$G$110="acoes"))*Inputs!$B$1+((Inputs!$G$5:$G$110&lt;&gt;"moeda")*(Inputs!$G$5:$G$110&lt;&gt;"acoes")))*INDEX(Inputs!$K$5:$AJ$110,0,MATCH(J$2,Inputs!$K$4:$AJ$4,0)))+SUMPRODUCT((Inputs!$C$5:$C$110=$B17)*Inputs!$D$5:$D$110*(((Inputs!$G$5:$G$110="moeda")+(Inputs!$G$5:$G$110="acoes"))*Inputs!$B$1+((Inputs!$G$5:$G$110&lt;&gt;"moeda")*(Inputs!$G$5:$G$110&lt;&gt;"acoes")))*INDEX(Inputs!$K$5:$AJ$110,0,MATCH(J$2,Inputs!$K$4:$AJ$4,0)))+SUMPRODUCT((Inputs!$E$5:$E$110=$B17)*Inputs!$F$5:$F$110*(((Inputs!$G$5:$G$110="moeda")+(Inputs!$G$5:$G$110="acoes"))*Inputs!$B$1+((Inputs!$G$5:$G$110&lt;&gt;"moeda")*(Inputs!$G$5:$G$110&lt;&gt;"acoes")))*INDEX(Inputs!$K$5:$AJ$110,0,MATCH(J$2,Inputs!$K$4:$AJ$4,0)))))</f>
        <v>17623</v>
      </c>
      <c r="K17" s="267">
        <f>IF(ISNA(MATCH(K$2,Inputs!$K$4:$AJ$4,0)),NA(),IF(SUMPRODUCT((Inputs!$A$5:$A$110=$B17)*ISNUMBER(INDEX(Inputs!$K$5:$AJ$110,0,MATCH(K$2,Inputs!$K$4:$AJ$4,0))))+SUMPRODUCT((Inputs!$C$5:$C$110=$B17)*ISNUMBER(INDEX(Inputs!$K$5:$AJ$110,0,MATCH(K$2,Inputs!$K$4:$AJ$4,0))))+SUMPRODUCT((Inputs!$E$5:$E$110=$B17)*ISNUMBER(INDEX(Inputs!$K$5:$AJ$110,0,MATCH(K$2,Inputs!$K$4:$AJ$4,0))))=0,NA(),SUMPRODUCT((Inputs!$A$5:$A$110=$B17)*Inputs!$B$5:$B$110*(((Inputs!$G$5:$G$110="moeda")+(Inputs!$G$5:$G$110="acoes"))*Inputs!$B$1+((Inputs!$G$5:$G$110&lt;&gt;"moeda")*(Inputs!$G$5:$G$110&lt;&gt;"acoes")))*INDEX(Inputs!$K$5:$AJ$110,0,MATCH(K$2,Inputs!$K$4:$AJ$4,0)))+SUMPRODUCT((Inputs!$C$5:$C$110=$B17)*Inputs!$D$5:$D$110*(((Inputs!$G$5:$G$110="moeda")+(Inputs!$G$5:$G$110="acoes"))*Inputs!$B$1+((Inputs!$G$5:$G$110&lt;&gt;"moeda")*(Inputs!$G$5:$G$110&lt;&gt;"acoes")))*INDEX(Inputs!$K$5:$AJ$110,0,MATCH(K$2,Inputs!$K$4:$AJ$4,0)))+SUMPRODUCT((Inputs!$E$5:$E$110=$B17)*Inputs!$F$5:$F$110*(((Inputs!$G$5:$G$110="moeda")+(Inputs!$G$5:$G$110="acoes"))*Inputs!$B$1+((Inputs!$G$5:$G$110&lt;&gt;"moeda")*(Inputs!$G$5:$G$110&lt;&gt;"acoes")))*INDEX(Inputs!$K$5:$AJ$110,0,MATCH(K$2,Inputs!$K$4:$AJ$4,0)))))</f>
        <v>17907</v>
      </c>
      <c r="L17" s="267">
        <f>IF(ISNA(MATCH(L$2,Inputs!$K$4:$AJ$4,0)),NA(),IF(SUMPRODUCT((Inputs!$A$5:$A$110=$B17)*ISNUMBER(INDEX(Inputs!$K$5:$AJ$110,0,MATCH(L$2,Inputs!$K$4:$AJ$4,0))))+SUMPRODUCT((Inputs!$C$5:$C$110=$B17)*ISNUMBER(INDEX(Inputs!$K$5:$AJ$110,0,MATCH(L$2,Inputs!$K$4:$AJ$4,0))))+SUMPRODUCT((Inputs!$E$5:$E$110=$B17)*ISNUMBER(INDEX(Inputs!$K$5:$AJ$110,0,MATCH(L$2,Inputs!$K$4:$AJ$4,0))))=0,NA(),SUMPRODUCT((Inputs!$A$5:$A$110=$B17)*Inputs!$B$5:$B$110*(((Inputs!$G$5:$G$110="moeda")+(Inputs!$G$5:$G$110="acoes"))*Inputs!$B$1+((Inputs!$G$5:$G$110&lt;&gt;"moeda")*(Inputs!$G$5:$G$110&lt;&gt;"acoes")))*INDEX(Inputs!$K$5:$AJ$110,0,MATCH(L$2,Inputs!$K$4:$AJ$4,0)))+SUMPRODUCT((Inputs!$C$5:$C$110=$B17)*Inputs!$D$5:$D$110*(((Inputs!$G$5:$G$110="moeda")+(Inputs!$G$5:$G$110="acoes"))*Inputs!$B$1+((Inputs!$G$5:$G$110&lt;&gt;"moeda")*(Inputs!$G$5:$G$110&lt;&gt;"acoes")))*INDEX(Inputs!$K$5:$AJ$110,0,MATCH(L$2,Inputs!$K$4:$AJ$4,0)))+SUMPRODUCT((Inputs!$E$5:$E$110=$B17)*Inputs!$F$5:$F$110*(((Inputs!$G$5:$G$110="moeda")+(Inputs!$G$5:$G$110="acoes"))*Inputs!$B$1+((Inputs!$G$5:$G$110&lt;&gt;"moeda")*(Inputs!$G$5:$G$110&lt;&gt;"acoes")))*INDEX(Inputs!$K$5:$AJ$110,0,MATCH(L$2,Inputs!$K$4:$AJ$4,0)))))</f>
        <v>18571</v>
      </c>
      <c r="M17" s="268">
        <f>L17</f>
        <v>18571</v>
      </c>
      <c r="N17" s="267">
        <f>IF(ISNA(MATCH(N$2,Inputs!$K$4:$AJ$4,0)),NA(),IF(SUMPRODUCT((Inputs!$A$5:$A$110=$B17)*ISNUMBER(INDEX(Inputs!$K$5:$AJ$110,0,MATCH(N$2,Inputs!$K$4:$AJ$4,0))))+SUMPRODUCT((Inputs!$C$5:$C$110=$B17)*ISNUMBER(INDEX(Inputs!$K$5:$AJ$110,0,MATCH(N$2,Inputs!$K$4:$AJ$4,0))))+SUMPRODUCT((Inputs!$E$5:$E$110=$B17)*ISNUMBER(INDEX(Inputs!$K$5:$AJ$110,0,MATCH(N$2,Inputs!$K$4:$AJ$4,0))))=0,NA(),SUMPRODUCT((Inputs!$A$5:$A$110=$B17)*Inputs!$B$5:$B$110*(((Inputs!$G$5:$G$110="moeda")+(Inputs!$G$5:$G$110="acoes"))*Inputs!$B$1+((Inputs!$G$5:$G$110&lt;&gt;"moeda")*(Inputs!$G$5:$G$110&lt;&gt;"acoes")))*INDEX(Inputs!$K$5:$AJ$110,0,MATCH(N$2,Inputs!$K$4:$AJ$4,0)))+SUMPRODUCT((Inputs!$C$5:$C$110=$B17)*Inputs!$D$5:$D$110*(((Inputs!$G$5:$G$110="moeda")+(Inputs!$G$5:$G$110="acoes"))*Inputs!$B$1+((Inputs!$G$5:$G$110&lt;&gt;"moeda")*(Inputs!$G$5:$G$110&lt;&gt;"acoes")))*INDEX(Inputs!$K$5:$AJ$110,0,MATCH(N$2,Inputs!$K$4:$AJ$4,0)))+SUMPRODUCT((Inputs!$E$5:$E$110=$B17)*Inputs!$F$5:$F$110*(((Inputs!$G$5:$G$110="moeda")+(Inputs!$G$5:$G$110="acoes"))*Inputs!$B$1+((Inputs!$G$5:$G$110&lt;&gt;"moeda")*(Inputs!$G$5:$G$110&lt;&gt;"acoes")))*INDEX(Inputs!$K$5:$AJ$110,0,MATCH(N$2,Inputs!$K$4:$AJ$4,0)))))</f>
        <v>16081</v>
      </c>
      <c r="O17" s="267">
        <f>IF(ISNA(MATCH(O$2,Inputs!$K$4:$AJ$4,0)),NA(),IF(SUMPRODUCT((Inputs!$A$5:$A$110=$B17)*ISNUMBER(INDEX(Inputs!$K$5:$AJ$110,0,MATCH(O$2,Inputs!$K$4:$AJ$4,0))))+SUMPRODUCT((Inputs!$C$5:$C$110=$B17)*ISNUMBER(INDEX(Inputs!$K$5:$AJ$110,0,MATCH(O$2,Inputs!$K$4:$AJ$4,0))))+SUMPRODUCT((Inputs!$E$5:$E$110=$B17)*ISNUMBER(INDEX(Inputs!$K$5:$AJ$110,0,MATCH(O$2,Inputs!$K$4:$AJ$4,0))))=0,NA(),SUMPRODUCT((Inputs!$A$5:$A$110=$B17)*Inputs!$B$5:$B$110*(((Inputs!$G$5:$G$110="moeda")+(Inputs!$G$5:$G$110="acoes"))*Inputs!$B$1+((Inputs!$G$5:$G$110&lt;&gt;"moeda")*(Inputs!$G$5:$G$110&lt;&gt;"acoes")))*INDEX(Inputs!$K$5:$AJ$110,0,MATCH(O$2,Inputs!$K$4:$AJ$4,0)))+SUMPRODUCT((Inputs!$C$5:$C$110=$B17)*Inputs!$D$5:$D$110*(((Inputs!$G$5:$G$110="moeda")+(Inputs!$G$5:$G$110="acoes"))*Inputs!$B$1+((Inputs!$G$5:$G$110&lt;&gt;"moeda")*(Inputs!$G$5:$G$110&lt;&gt;"acoes")))*INDEX(Inputs!$K$5:$AJ$110,0,MATCH(O$2,Inputs!$K$4:$AJ$4,0)))+SUMPRODUCT((Inputs!$E$5:$E$110=$B17)*Inputs!$F$5:$F$110*(((Inputs!$G$5:$G$110="moeda")+(Inputs!$G$5:$G$110="acoes"))*Inputs!$B$1+((Inputs!$G$5:$G$110&lt;&gt;"moeda")*(Inputs!$G$5:$G$110&lt;&gt;"acoes")))*INDEX(Inputs!$K$5:$AJ$110,0,MATCH(O$2,Inputs!$K$4:$AJ$4,0)))))</f>
        <v>16324</v>
      </c>
      <c r="P17" s="267">
        <f>IF(ISNA(MATCH(P$2,Inputs!$K$4:$AJ$4,0)),NA(),IF(SUMPRODUCT((Inputs!$A$5:$A$110=$B17)*ISNUMBER(INDEX(Inputs!$K$5:$AJ$110,0,MATCH(P$2,Inputs!$K$4:$AJ$4,0))))+SUMPRODUCT((Inputs!$C$5:$C$110=$B17)*ISNUMBER(INDEX(Inputs!$K$5:$AJ$110,0,MATCH(P$2,Inputs!$K$4:$AJ$4,0))))+SUMPRODUCT((Inputs!$E$5:$E$110=$B17)*ISNUMBER(INDEX(Inputs!$K$5:$AJ$110,0,MATCH(P$2,Inputs!$K$4:$AJ$4,0))))=0,NA(),SUMPRODUCT((Inputs!$A$5:$A$110=$B17)*Inputs!$B$5:$B$110*(((Inputs!$G$5:$G$110="moeda")+(Inputs!$G$5:$G$110="acoes"))*Inputs!$B$1+((Inputs!$G$5:$G$110&lt;&gt;"moeda")*(Inputs!$G$5:$G$110&lt;&gt;"acoes")))*INDEX(Inputs!$K$5:$AJ$110,0,MATCH(P$2,Inputs!$K$4:$AJ$4,0)))+SUMPRODUCT((Inputs!$C$5:$C$110=$B17)*Inputs!$D$5:$D$110*(((Inputs!$G$5:$G$110="moeda")+(Inputs!$G$5:$G$110="acoes"))*Inputs!$B$1+((Inputs!$G$5:$G$110&lt;&gt;"moeda")*(Inputs!$G$5:$G$110&lt;&gt;"acoes")))*INDEX(Inputs!$K$5:$AJ$110,0,MATCH(P$2,Inputs!$K$4:$AJ$4,0)))+SUMPRODUCT((Inputs!$E$5:$E$110=$B17)*Inputs!$F$5:$F$110*(((Inputs!$G$5:$G$110="moeda")+(Inputs!$G$5:$G$110="acoes"))*Inputs!$B$1+((Inputs!$G$5:$G$110&lt;&gt;"moeda")*(Inputs!$G$5:$G$110&lt;&gt;"acoes")))*INDEX(Inputs!$K$5:$AJ$110,0,MATCH(P$2,Inputs!$K$4:$AJ$4,0)))))</f>
        <v>16651</v>
      </c>
      <c r="Q17" s="267">
        <f>IF(ISNA(MATCH(Q$2,Inputs!$K$4:$AJ$4,0)),NA(),IF(SUMPRODUCT((Inputs!$A$5:$A$110=$B17)*ISNUMBER(INDEX(Inputs!$K$5:$AJ$110,0,MATCH(Q$2,Inputs!$K$4:$AJ$4,0))))+SUMPRODUCT((Inputs!$C$5:$C$110=$B17)*ISNUMBER(INDEX(Inputs!$K$5:$AJ$110,0,MATCH(Q$2,Inputs!$K$4:$AJ$4,0))))+SUMPRODUCT((Inputs!$E$5:$E$110=$B17)*ISNUMBER(INDEX(Inputs!$K$5:$AJ$110,0,MATCH(Q$2,Inputs!$K$4:$AJ$4,0))))=0,NA(),SUMPRODUCT((Inputs!$A$5:$A$110=$B17)*Inputs!$B$5:$B$110*(((Inputs!$G$5:$G$110="moeda")+(Inputs!$G$5:$G$110="acoes"))*Inputs!$B$1+((Inputs!$G$5:$G$110&lt;&gt;"moeda")*(Inputs!$G$5:$G$110&lt;&gt;"acoes")))*INDEX(Inputs!$K$5:$AJ$110,0,MATCH(Q$2,Inputs!$K$4:$AJ$4,0)))+SUMPRODUCT((Inputs!$C$5:$C$110=$B17)*Inputs!$D$5:$D$110*(((Inputs!$G$5:$G$110="moeda")+(Inputs!$G$5:$G$110="acoes"))*Inputs!$B$1+((Inputs!$G$5:$G$110&lt;&gt;"moeda")*(Inputs!$G$5:$G$110&lt;&gt;"acoes")))*INDEX(Inputs!$K$5:$AJ$110,0,MATCH(Q$2,Inputs!$K$4:$AJ$4,0)))+SUMPRODUCT((Inputs!$E$5:$E$110=$B17)*Inputs!$F$5:$F$110*(((Inputs!$G$5:$G$110="moeda")+(Inputs!$G$5:$G$110="acoes"))*Inputs!$B$1+((Inputs!$G$5:$G$110&lt;&gt;"moeda")*(Inputs!$G$5:$G$110&lt;&gt;"acoes")))*INDEX(Inputs!$K$5:$AJ$110,0,MATCH(Q$2,Inputs!$K$4:$AJ$4,0)))))</f>
        <v>18001</v>
      </c>
      <c r="R17" s="268">
        <f>Q17</f>
        <v>18001</v>
      </c>
      <c r="S17" s="267">
        <f>IF(ISNA(MATCH(S$2,Inputs!$K$4:$AJ$4,0)),NA(),IF(SUMPRODUCT((Inputs!$A$5:$A$110=$B17)*ISNUMBER(INDEX(Inputs!$K$5:$AJ$110,0,MATCH(S$2,Inputs!$K$4:$AJ$4,0))))+SUMPRODUCT((Inputs!$C$5:$C$110=$B17)*ISNUMBER(INDEX(Inputs!$K$5:$AJ$110,0,MATCH(S$2,Inputs!$K$4:$AJ$4,0))))+SUMPRODUCT((Inputs!$E$5:$E$110=$B17)*ISNUMBER(INDEX(Inputs!$K$5:$AJ$110,0,MATCH(S$2,Inputs!$K$4:$AJ$4,0))))=0,NA(),SUMPRODUCT((Inputs!$A$5:$A$110=$B17)*Inputs!$B$5:$B$110*(((Inputs!$G$5:$G$110="moeda")+(Inputs!$G$5:$G$110="acoes"))*Inputs!$B$1+((Inputs!$G$5:$G$110&lt;&gt;"moeda")*(Inputs!$G$5:$G$110&lt;&gt;"acoes")))*INDEX(Inputs!$K$5:$AJ$110,0,MATCH(S$2,Inputs!$K$4:$AJ$4,0)))+SUMPRODUCT((Inputs!$C$5:$C$110=$B17)*Inputs!$D$5:$D$110*(((Inputs!$G$5:$G$110="moeda")+(Inputs!$G$5:$G$110="acoes"))*Inputs!$B$1+((Inputs!$G$5:$G$110&lt;&gt;"moeda")*(Inputs!$G$5:$G$110&lt;&gt;"acoes")))*INDEX(Inputs!$K$5:$AJ$110,0,MATCH(S$2,Inputs!$K$4:$AJ$4,0)))+SUMPRODUCT((Inputs!$E$5:$E$110=$B17)*Inputs!$F$5:$F$110*(((Inputs!$G$5:$G$110="moeda")+(Inputs!$G$5:$G$110="acoes"))*Inputs!$B$1+((Inputs!$G$5:$G$110&lt;&gt;"moeda")*(Inputs!$G$5:$G$110&lt;&gt;"acoes")))*INDEX(Inputs!$K$5:$AJ$110,0,MATCH(S$2,Inputs!$K$4:$AJ$4,0)))))</f>
        <v>17075</v>
      </c>
      <c r="T17" s="267">
        <f>IF(ISNA(MATCH(T$2,Inputs!$K$4:$AJ$4,0)),NA(),IF(SUMPRODUCT((Inputs!$A$5:$A$110=$B17)*ISNUMBER(INDEX(Inputs!$K$5:$AJ$110,0,MATCH(T$2,Inputs!$K$4:$AJ$4,0))))+SUMPRODUCT((Inputs!$C$5:$C$110=$B17)*ISNUMBER(INDEX(Inputs!$K$5:$AJ$110,0,MATCH(T$2,Inputs!$K$4:$AJ$4,0))))+SUMPRODUCT((Inputs!$E$5:$E$110=$B17)*ISNUMBER(INDEX(Inputs!$K$5:$AJ$110,0,MATCH(T$2,Inputs!$K$4:$AJ$4,0))))=0,NA(),SUMPRODUCT((Inputs!$A$5:$A$110=$B17)*Inputs!$B$5:$B$110*(((Inputs!$G$5:$G$110="moeda")+(Inputs!$G$5:$G$110="acoes"))*Inputs!$B$1+((Inputs!$G$5:$G$110&lt;&gt;"moeda")*(Inputs!$G$5:$G$110&lt;&gt;"acoes")))*INDEX(Inputs!$K$5:$AJ$110,0,MATCH(T$2,Inputs!$K$4:$AJ$4,0)))+SUMPRODUCT((Inputs!$C$5:$C$110=$B17)*Inputs!$D$5:$D$110*(((Inputs!$G$5:$G$110="moeda")+(Inputs!$G$5:$G$110="acoes"))*Inputs!$B$1+((Inputs!$G$5:$G$110&lt;&gt;"moeda")*(Inputs!$G$5:$G$110&lt;&gt;"acoes")))*INDEX(Inputs!$K$5:$AJ$110,0,MATCH(T$2,Inputs!$K$4:$AJ$4,0)))+SUMPRODUCT((Inputs!$E$5:$E$110=$B17)*Inputs!$F$5:$F$110*(((Inputs!$G$5:$G$110="moeda")+(Inputs!$G$5:$G$110="acoes"))*Inputs!$B$1+((Inputs!$G$5:$G$110&lt;&gt;"moeda")*(Inputs!$G$5:$G$110&lt;&gt;"acoes")))*INDEX(Inputs!$K$5:$AJ$110,0,MATCH(T$2,Inputs!$K$4:$AJ$4,0)))))</f>
        <v>17430</v>
      </c>
      <c r="U17" s="267">
        <f>IF(ISNA(MATCH(U$2,Inputs!$K$4:$AJ$4,0)),NA(),IF(SUMPRODUCT((Inputs!$A$5:$A$110=$B17)*ISNUMBER(INDEX(Inputs!$K$5:$AJ$110,0,MATCH(U$2,Inputs!$K$4:$AJ$4,0))))+SUMPRODUCT((Inputs!$C$5:$C$110=$B17)*ISNUMBER(INDEX(Inputs!$K$5:$AJ$110,0,MATCH(U$2,Inputs!$K$4:$AJ$4,0))))+SUMPRODUCT((Inputs!$E$5:$E$110=$B17)*ISNUMBER(INDEX(Inputs!$K$5:$AJ$110,0,MATCH(U$2,Inputs!$K$4:$AJ$4,0))))=0,NA(),SUMPRODUCT((Inputs!$A$5:$A$110=$B17)*Inputs!$B$5:$B$110*(((Inputs!$G$5:$G$110="moeda")+(Inputs!$G$5:$G$110="acoes"))*Inputs!$B$1+((Inputs!$G$5:$G$110&lt;&gt;"moeda")*(Inputs!$G$5:$G$110&lt;&gt;"acoes")))*INDEX(Inputs!$K$5:$AJ$110,0,MATCH(U$2,Inputs!$K$4:$AJ$4,0)))+SUMPRODUCT((Inputs!$C$5:$C$110=$B17)*Inputs!$D$5:$D$110*(((Inputs!$G$5:$G$110="moeda")+(Inputs!$G$5:$G$110="acoes"))*Inputs!$B$1+((Inputs!$G$5:$G$110&lt;&gt;"moeda")*(Inputs!$G$5:$G$110&lt;&gt;"acoes")))*INDEX(Inputs!$K$5:$AJ$110,0,MATCH(U$2,Inputs!$K$4:$AJ$4,0)))+SUMPRODUCT((Inputs!$E$5:$E$110=$B17)*Inputs!$F$5:$F$110*(((Inputs!$G$5:$G$110="moeda")+(Inputs!$G$5:$G$110="acoes"))*Inputs!$B$1+((Inputs!$G$5:$G$110&lt;&gt;"moeda")*(Inputs!$G$5:$G$110&lt;&gt;"acoes")))*INDEX(Inputs!$K$5:$AJ$110,0,MATCH(U$2,Inputs!$K$4:$AJ$4,0)))))</f>
        <v>18647</v>
      </c>
      <c r="V17" s="267">
        <f>IF(ISNA(MATCH(V$2,Inputs!$K$4:$AJ$4,0)),NA(),IF(SUMPRODUCT((Inputs!$A$5:$A$110=$B17)*ISNUMBER(INDEX(Inputs!$K$5:$AJ$110,0,MATCH(V$2,Inputs!$K$4:$AJ$4,0))))+SUMPRODUCT((Inputs!$C$5:$C$110=$B17)*ISNUMBER(INDEX(Inputs!$K$5:$AJ$110,0,MATCH(V$2,Inputs!$K$4:$AJ$4,0))))+SUMPRODUCT((Inputs!$E$5:$E$110=$B17)*ISNUMBER(INDEX(Inputs!$K$5:$AJ$110,0,MATCH(V$2,Inputs!$K$4:$AJ$4,0))))=0,NA(),SUMPRODUCT((Inputs!$A$5:$A$110=$B17)*Inputs!$B$5:$B$110*(((Inputs!$G$5:$G$110="moeda")+(Inputs!$G$5:$G$110="acoes"))*Inputs!$B$1+((Inputs!$G$5:$G$110&lt;&gt;"moeda")*(Inputs!$G$5:$G$110&lt;&gt;"acoes")))*INDEX(Inputs!$K$5:$AJ$110,0,MATCH(V$2,Inputs!$K$4:$AJ$4,0)))+SUMPRODUCT((Inputs!$C$5:$C$110=$B17)*Inputs!$D$5:$D$110*(((Inputs!$G$5:$G$110="moeda")+(Inputs!$G$5:$G$110="acoes"))*Inputs!$B$1+((Inputs!$G$5:$G$110&lt;&gt;"moeda")*(Inputs!$G$5:$G$110&lt;&gt;"acoes")))*INDEX(Inputs!$K$5:$AJ$110,0,MATCH(V$2,Inputs!$K$4:$AJ$4,0)))+SUMPRODUCT((Inputs!$E$5:$E$110=$B17)*Inputs!$F$5:$F$110*(((Inputs!$G$5:$G$110="moeda")+(Inputs!$G$5:$G$110="acoes"))*Inputs!$B$1+((Inputs!$G$5:$G$110&lt;&gt;"moeda")*(Inputs!$G$5:$G$110&lt;&gt;"acoes")))*INDEX(Inputs!$K$5:$AJ$110,0,MATCH(V$2,Inputs!$K$4:$AJ$4,0)))))</f>
        <v>20979</v>
      </c>
      <c r="W17" s="268">
        <f>V17</f>
        <v>20979</v>
      </c>
      <c r="X17" s="267">
        <f>IF(ISNA(MATCH(X$2,Inputs!$K$4:$AJ$4,0)),NA(),IF(SUMPRODUCT((Inputs!$A$5:$A$110=$B17)*ISNUMBER(INDEX(Inputs!$K$5:$AJ$110,0,MATCH(X$2,Inputs!$K$4:$AJ$4,0))))+SUMPRODUCT((Inputs!$C$5:$C$110=$B17)*ISNUMBER(INDEX(Inputs!$K$5:$AJ$110,0,MATCH(X$2,Inputs!$K$4:$AJ$4,0))))+SUMPRODUCT((Inputs!$E$5:$E$110=$B17)*ISNUMBER(INDEX(Inputs!$K$5:$AJ$110,0,MATCH(X$2,Inputs!$K$4:$AJ$4,0))))=0,NA(),SUMPRODUCT((Inputs!$A$5:$A$110=$B17)*Inputs!$B$5:$B$110*(((Inputs!$G$5:$G$110="moeda")+(Inputs!$G$5:$G$110="acoes"))*Inputs!$B$1+((Inputs!$G$5:$G$110&lt;&gt;"moeda")*(Inputs!$G$5:$G$110&lt;&gt;"acoes")))*INDEX(Inputs!$K$5:$AJ$110,0,MATCH(X$2,Inputs!$K$4:$AJ$4,0)))+SUMPRODUCT((Inputs!$C$5:$C$110=$B17)*Inputs!$D$5:$D$110*(((Inputs!$G$5:$G$110="moeda")+(Inputs!$G$5:$G$110="acoes"))*Inputs!$B$1+((Inputs!$G$5:$G$110&lt;&gt;"moeda")*(Inputs!$G$5:$G$110&lt;&gt;"acoes")))*INDEX(Inputs!$K$5:$AJ$110,0,MATCH(X$2,Inputs!$K$4:$AJ$4,0)))+SUMPRODUCT((Inputs!$E$5:$E$110=$B17)*Inputs!$F$5:$F$110*(((Inputs!$G$5:$G$110="moeda")+(Inputs!$G$5:$G$110="acoes"))*Inputs!$B$1+((Inputs!$G$5:$G$110&lt;&gt;"moeda")*(Inputs!$G$5:$G$110&lt;&gt;"acoes")))*INDEX(Inputs!$K$5:$AJ$110,0,MATCH(X$2,Inputs!$K$4:$AJ$4,0)))))</f>
        <v>18754</v>
      </c>
      <c r="Y17" s="267">
        <f>IF(ISNA(MATCH(Y$2,Inputs!$K$4:$AJ$4,0)),NA(),IF(SUMPRODUCT((Inputs!$A$5:$A$110=$B17)*ISNUMBER(INDEX(Inputs!$K$5:$AJ$110,0,MATCH(Y$2,Inputs!$K$4:$AJ$4,0))))+SUMPRODUCT((Inputs!$C$5:$C$110=$B17)*ISNUMBER(INDEX(Inputs!$K$5:$AJ$110,0,MATCH(Y$2,Inputs!$K$4:$AJ$4,0))))+SUMPRODUCT((Inputs!$E$5:$E$110=$B17)*ISNUMBER(INDEX(Inputs!$K$5:$AJ$110,0,MATCH(Y$2,Inputs!$K$4:$AJ$4,0))))=0,NA(),SUMPRODUCT((Inputs!$A$5:$A$110=$B17)*Inputs!$B$5:$B$110*(((Inputs!$G$5:$G$110="moeda")+(Inputs!$G$5:$G$110="acoes"))*Inputs!$B$1+((Inputs!$G$5:$G$110&lt;&gt;"moeda")*(Inputs!$G$5:$G$110&lt;&gt;"acoes")))*INDEX(Inputs!$K$5:$AJ$110,0,MATCH(Y$2,Inputs!$K$4:$AJ$4,0)))+SUMPRODUCT((Inputs!$C$5:$C$110=$B17)*Inputs!$D$5:$D$110*(((Inputs!$G$5:$G$110="moeda")+(Inputs!$G$5:$G$110="acoes"))*Inputs!$B$1+((Inputs!$G$5:$G$110&lt;&gt;"moeda")*(Inputs!$G$5:$G$110&lt;&gt;"acoes")))*INDEX(Inputs!$K$5:$AJ$110,0,MATCH(Y$2,Inputs!$K$4:$AJ$4,0)))+SUMPRODUCT((Inputs!$E$5:$E$110=$B17)*Inputs!$F$5:$F$110*(((Inputs!$G$5:$G$110="moeda")+(Inputs!$G$5:$G$110="acoes"))*Inputs!$B$1+((Inputs!$G$5:$G$110&lt;&gt;"moeda")*(Inputs!$G$5:$G$110&lt;&gt;"acoes")))*INDEX(Inputs!$K$5:$AJ$110,0,MATCH(Y$2,Inputs!$K$4:$AJ$4,0)))))</f>
        <v>18606</v>
      </c>
      <c r="Z17" s="267">
        <f>IF(ISNA(MATCH(Z$2,Inputs!$K$4:$AJ$4,0)),NA(),IF(SUMPRODUCT((Inputs!$A$5:$A$110=$B17)*ISNUMBER(INDEX(Inputs!$K$5:$AJ$110,0,MATCH(Z$2,Inputs!$K$4:$AJ$4,0))))+SUMPRODUCT((Inputs!$C$5:$C$110=$B17)*ISNUMBER(INDEX(Inputs!$K$5:$AJ$110,0,MATCH(Z$2,Inputs!$K$4:$AJ$4,0))))+SUMPRODUCT((Inputs!$E$5:$E$110=$B17)*ISNUMBER(INDEX(Inputs!$K$5:$AJ$110,0,MATCH(Z$2,Inputs!$K$4:$AJ$4,0))))=0,NA(),SUMPRODUCT((Inputs!$A$5:$A$110=$B17)*Inputs!$B$5:$B$110*(((Inputs!$G$5:$G$110="moeda")+(Inputs!$G$5:$G$110="acoes"))*Inputs!$B$1+((Inputs!$G$5:$G$110&lt;&gt;"moeda")*(Inputs!$G$5:$G$110&lt;&gt;"acoes")))*INDEX(Inputs!$K$5:$AJ$110,0,MATCH(Z$2,Inputs!$K$4:$AJ$4,0)))+SUMPRODUCT((Inputs!$C$5:$C$110=$B17)*Inputs!$D$5:$D$110*(((Inputs!$G$5:$G$110="moeda")+(Inputs!$G$5:$G$110="acoes"))*Inputs!$B$1+((Inputs!$G$5:$G$110&lt;&gt;"moeda")*(Inputs!$G$5:$G$110&lt;&gt;"acoes")))*INDEX(Inputs!$K$5:$AJ$110,0,MATCH(Z$2,Inputs!$K$4:$AJ$4,0)))+SUMPRODUCT((Inputs!$E$5:$E$110=$B17)*Inputs!$F$5:$F$110*(((Inputs!$G$5:$G$110="moeda")+(Inputs!$G$5:$G$110="acoes"))*Inputs!$B$1+((Inputs!$G$5:$G$110&lt;&gt;"moeda")*(Inputs!$G$5:$G$110&lt;&gt;"acoes")))*INDEX(Inputs!$K$5:$AJ$110,0,MATCH(Z$2,Inputs!$K$4:$AJ$4,0)))))</f>
        <v>18116</v>
      </c>
      <c r="AA17" s="267">
        <f>IF(ISNA(MATCH(AA$2,Inputs!$K$4:$AJ$4,0)),NA(),IF(SUMPRODUCT((Inputs!$A$5:$A$110=$B17)*ISNUMBER(INDEX(Inputs!$K$5:$AJ$110,0,MATCH(AA$2,Inputs!$K$4:$AJ$4,0))))+SUMPRODUCT((Inputs!$C$5:$C$110=$B17)*ISNUMBER(INDEX(Inputs!$K$5:$AJ$110,0,MATCH(AA$2,Inputs!$K$4:$AJ$4,0))))+SUMPRODUCT((Inputs!$E$5:$E$110=$B17)*ISNUMBER(INDEX(Inputs!$K$5:$AJ$110,0,MATCH(AA$2,Inputs!$K$4:$AJ$4,0))))=0,NA(),SUMPRODUCT((Inputs!$A$5:$A$110=$B17)*Inputs!$B$5:$B$110*(((Inputs!$G$5:$G$110="moeda")+(Inputs!$G$5:$G$110="acoes"))*Inputs!$B$1+((Inputs!$G$5:$G$110&lt;&gt;"moeda")*(Inputs!$G$5:$G$110&lt;&gt;"acoes")))*INDEX(Inputs!$K$5:$AJ$110,0,MATCH(AA$2,Inputs!$K$4:$AJ$4,0)))+SUMPRODUCT((Inputs!$C$5:$C$110=$B17)*Inputs!$D$5:$D$110*(((Inputs!$G$5:$G$110="moeda")+(Inputs!$G$5:$G$110="acoes"))*Inputs!$B$1+((Inputs!$G$5:$G$110&lt;&gt;"moeda")*(Inputs!$G$5:$G$110&lt;&gt;"acoes")))*INDEX(Inputs!$K$5:$AJ$110,0,MATCH(AA$2,Inputs!$K$4:$AJ$4,0)))+SUMPRODUCT((Inputs!$E$5:$E$110=$B17)*Inputs!$F$5:$F$110*(((Inputs!$G$5:$G$110="moeda")+(Inputs!$G$5:$G$110="acoes"))*Inputs!$B$1+((Inputs!$G$5:$G$110&lt;&gt;"moeda")*(Inputs!$G$5:$G$110&lt;&gt;"acoes")))*INDEX(Inputs!$K$5:$AJ$110,0,MATCH(AA$2,Inputs!$K$4:$AJ$4,0)))))</f>
        <v>21141</v>
      </c>
      <c r="AB17" s="268">
        <f>AA17</f>
        <v>21141</v>
      </c>
      <c r="AC17" s="267">
        <f>IF(ISNA(MATCH(AC$2,Inputs!$K$4:$AJ$4,0)),NA(),IF(SUMPRODUCT((Inputs!$A$5:$A$110=$B17)*ISNUMBER(INDEX(Inputs!$K$5:$AJ$110,0,MATCH(AC$2,Inputs!$K$4:$AJ$4,0))))+SUMPRODUCT((Inputs!$C$5:$C$110=$B17)*ISNUMBER(INDEX(Inputs!$K$5:$AJ$110,0,MATCH(AC$2,Inputs!$K$4:$AJ$4,0))))+SUMPRODUCT((Inputs!$E$5:$E$110=$B17)*ISNUMBER(INDEX(Inputs!$K$5:$AJ$110,0,MATCH(AC$2,Inputs!$K$4:$AJ$4,0))))=0,NA(),SUMPRODUCT((Inputs!$A$5:$A$110=$B17)*Inputs!$B$5:$B$110*(((Inputs!$G$5:$G$110="moeda")+(Inputs!$G$5:$G$110="acoes"))*Inputs!$B$1+((Inputs!$G$5:$G$110&lt;&gt;"moeda")*(Inputs!$G$5:$G$110&lt;&gt;"acoes")))*INDEX(Inputs!$K$5:$AJ$110,0,MATCH(AC$2,Inputs!$K$4:$AJ$4,0)))+SUMPRODUCT((Inputs!$C$5:$C$110=$B17)*Inputs!$D$5:$D$110*(((Inputs!$G$5:$G$110="moeda")+(Inputs!$G$5:$G$110="acoes"))*Inputs!$B$1+((Inputs!$G$5:$G$110&lt;&gt;"moeda")*(Inputs!$G$5:$G$110&lt;&gt;"acoes")))*INDEX(Inputs!$K$5:$AJ$110,0,MATCH(AC$2,Inputs!$K$4:$AJ$4,0)))+SUMPRODUCT((Inputs!$E$5:$E$110=$B17)*Inputs!$F$5:$F$110*(((Inputs!$G$5:$G$110="moeda")+(Inputs!$G$5:$G$110="acoes"))*Inputs!$B$1+((Inputs!$G$5:$G$110&lt;&gt;"moeda")*(Inputs!$G$5:$G$110&lt;&gt;"acoes")))*INDEX(Inputs!$K$5:$AJ$110,0,MATCH(AC$2,Inputs!$K$4:$AJ$4,0)))))</f>
        <v>18991</v>
      </c>
      <c r="AD17" s="267">
        <f>IF(ISNA(MATCH(AD$2,Inputs!$K$4:$AJ$4,0)),NA(),IF(SUMPRODUCT((Inputs!$A$5:$A$110=$B17)*ISNUMBER(INDEX(Inputs!$K$5:$AJ$110,0,MATCH(AD$2,Inputs!$K$4:$AJ$4,0))))+SUMPRODUCT((Inputs!$C$5:$C$110=$B17)*ISNUMBER(INDEX(Inputs!$K$5:$AJ$110,0,MATCH(AD$2,Inputs!$K$4:$AJ$4,0))))+SUMPRODUCT((Inputs!$E$5:$E$110=$B17)*ISNUMBER(INDEX(Inputs!$K$5:$AJ$110,0,MATCH(AD$2,Inputs!$K$4:$AJ$4,0))))=0,NA(),SUMPRODUCT((Inputs!$A$5:$A$110=$B17)*Inputs!$B$5:$B$110*(((Inputs!$G$5:$G$110="moeda")+(Inputs!$G$5:$G$110="acoes"))*Inputs!$B$1+((Inputs!$G$5:$G$110&lt;&gt;"moeda")*(Inputs!$G$5:$G$110&lt;&gt;"acoes")))*INDEX(Inputs!$K$5:$AJ$110,0,MATCH(AD$2,Inputs!$K$4:$AJ$4,0)))+SUMPRODUCT((Inputs!$C$5:$C$110=$B17)*Inputs!$D$5:$D$110*(((Inputs!$G$5:$G$110="moeda")+(Inputs!$G$5:$G$110="acoes"))*Inputs!$B$1+((Inputs!$G$5:$G$110&lt;&gt;"moeda")*(Inputs!$G$5:$G$110&lt;&gt;"acoes")))*INDEX(Inputs!$K$5:$AJ$110,0,MATCH(AD$2,Inputs!$K$4:$AJ$4,0)))+SUMPRODUCT((Inputs!$E$5:$E$110=$B17)*Inputs!$F$5:$F$110*(((Inputs!$G$5:$G$110="moeda")+(Inputs!$G$5:$G$110="acoes"))*Inputs!$B$1+((Inputs!$G$5:$G$110&lt;&gt;"moeda")*(Inputs!$G$5:$G$110&lt;&gt;"acoes")))*INDEX(Inputs!$K$5:$AJ$110,0,MATCH(AD$2,Inputs!$K$4:$AJ$4,0)))))</f>
        <v>19418</v>
      </c>
      <c r="AE17" s="267" t="e">
        <f>IF(ISNA(MATCH(AE$2,Inputs!$K$4:$AJ$4,0)),NA(),IF(SUMPRODUCT((Inputs!$A$5:$A$110=$B17)*ISNUMBER(INDEX(Inputs!$K$5:$AJ$110,0,MATCH(AE$2,Inputs!$K$4:$AJ$4,0))))+SUMPRODUCT((Inputs!$C$5:$C$110=$B17)*ISNUMBER(INDEX(Inputs!$K$5:$AJ$110,0,MATCH(AE$2,Inputs!$K$4:$AJ$4,0))))+SUMPRODUCT((Inputs!$E$5:$E$110=$B17)*ISNUMBER(INDEX(Inputs!$K$5:$AJ$110,0,MATCH(AE$2,Inputs!$K$4:$AJ$4,0))))=0,NA(),SUMPRODUCT((Inputs!$A$5:$A$110=$B17)*Inputs!$B$5:$B$110*(((Inputs!$G$5:$G$110="moeda")+(Inputs!$G$5:$G$110="acoes"))*Inputs!$B$1+((Inputs!$G$5:$G$110&lt;&gt;"moeda")*(Inputs!$G$5:$G$110&lt;&gt;"acoes")))*INDEX(Inputs!$K$5:$AJ$110,0,MATCH(AE$2,Inputs!$K$4:$AJ$4,0)))+SUMPRODUCT((Inputs!$C$5:$C$110=$B17)*Inputs!$D$5:$D$110*(((Inputs!$G$5:$G$110="moeda")+(Inputs!$G$5:$G$110="acoes"))*Inputs!$B$1+((Inputs!$G$5:$G$110&lt;&gt;"moeda")*(Inputs!$G$5:$G$110&lt;&gt;"acoes")))*INDEX(Inputs!$K$5:$AJ$110,0,MATCH(AE$2,Inputs!$K$4:$AJ$4,0)))+SUMPRODUCT((Inputs!$E$5:$E$110=$B17)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7" s="267" t="e">
        <f>IF(ISNA(MATCH(AF$2,Inputs!$K$4:$AJ$4,0)),NA(),IF(SUMPRODUCT((Inputs!$A$5:$A$110=$B17)*ISNUMBER(INDEX(Inputs!$K$5:$AJ$110,0,MATCH(AF$2,Inputs!$K$4:$AJ$4,0))))+SUMPRODUCT((Inputs!$C$5:$C$110=$B17)*ISNUMBER(INDEX(Inputs!$K$5:$AJ$110,0,MATCH(AF$2,Inputs!$K$4:$AJ$4,0))))+SUMPRODUCT((Inputs!$E$5:$E$110=$B17)*ISNUMBER(INDEX(Inputs!$K$5:$AJ$110,0,MATCH(AF$2,Inputs!$K$4:$AJ$4,0))))=0,NA(),SUMPRODUCT((Inputs!$A$5:$A$110=$B17)*Inputs!$B$5:$B$110*(((Inputs!$G$5:$G$110="moeda")+(Inputs!$G$5:$G$110="acoes"))*Inputs!$B$1+((Inputs!$G$5:$G$110&lt;&gt;"moeda")*(Inputs!$G$5:$G$110&lt;&gt;"acoes")))*INDEX(Inputs!$K$5:$AJ$110,0,MATCH(AF$2,Inputs!$K$4:$AJ$4,0)))+SUMPRODUCT((Inputs!$C$5:$C$110=$B17)*Inputs!$D$5:$D$110*(((Inputs!$G$5:$G$110="moeda")+(Inputs!$G$5:$G$110="acoes"))*Inputs!$B$1+((Inputs!$G$5:$G$110&lt;&gt;"moeda")*(Inputs!$G$5:$G$110&lt;&gt;"acoes")))*INDEX(Inputs!$K$5:$AJ$110,0,MATCH(AF$2,Inputs!$K$4:$AJ$4,0)))+SUMPRODUCT((Inputs!$E$5:$E$110=$B17)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7" s="268" t="e">
        <f>AF17</f>
        <v>#N/A</v>
      </c>
      <c r="AH17" s="267">
        <f>IF(ISNA(MATCH(AH$2,Inputs!$K$4:$AJ$4,0)),NA(),IF(SUMPRODUCT((Inputs!$A$5:$A$110=$B17)*ISNUMBER(INDEX(Inputs!$K$5:$AJ$110,0,MATCH(AH$2,Inputs!$K$4:$AJ$4,0))))+SUMPRODUCT((Inputs!$C$5:$C$110=$B17)*ISNUMBER(INDEX(Inputs!$K$5:$AJ$110,0,MATCH(AH$2,Inputs!$K$4:$AJ$4,0))))+SUMPRODUCT((Inputs!$E$5:$E$110=$B17)*ISNUMBER(INDEX(Inputs!$K$5:$AJ$110,0,MATCH(AH$2,Inputs!$K$4:$AJ$4,0))))=0,NA(),SUMPRODUCT((Inputs!$A$5:$A$110=$B17)*Inputs!$B$5:$B$110*(((Inputs!$G$5:$G$110="moeda")+(Inputs!$G$5:$G$110="acoes"))*Inputs!$B$1+((Inputs!$G$5:$G$110&lt;&gt;"moeda")*(Inputs!$G$5:$G$110&lt;&gt;"acoes")))*INDEX(Inputs!$K$5:$AJ$110,0,MATCH(AH$2,Inputs!$K$4:$AJ$4,0)))+SUMPRODUCT((Inputs!$C$5:$C$110=$B17)*Inputs!$D$5:$D$110*(((Inputs!$G$5:$G$110="moeda")+(Inputs!$G$5:$G$110="acoes"))*Inputs!$B$1+((Inputs!$G$5:$G$110&lt;&gt;"moeda")*(Inputs!$G$5:$G$110&lt;&gt;"acoes")))*INDEX(Inputs!$K$5:$AJ$110,0,MATCH(AH$2,Inputs!$K$4:$AJ$4,0)))+SUMPRODUCT((Inputs!$E$5:$E$110=$B17)*Inputs!$F$5:$F$110*(((Inputs!$G$5:$G$110="moeda")+(Inputs!$G$5:$G$110="acoes"))*Inputs!$B$1+((Inputs!$G$5:$G$110&lt;&gt;"moeda")*(Inputs!$G$5:$G$110&lt;&gt;"acoes")))*INDEX(Inputs!$K$5:$AJ$110,0,MATCH(AH$2,Inputs!$K$4:$AJ$4,0)))))</f>
        <v>11850</v>
      </c>
      <c r="AI17" s="267">
        <f>IF(ISNA(MATCH(AI$2,Inputs!$K$4:$AJ$4,0)),NA(),IF(SUMPRODUCT((Inputs!$A$5:$A$110=$B17)*ISNUMBER(INDEX(Inputs!$K$5:$AJ$110,0,MATCH(AI$2,Inputs!$K$4:$AJ$4,0))))+SUMPRODUCT((Inputs!$C$5:$C$110=$B17)*ISNUMBER(INDEX(Inputs!$K$5:$AJ$110,0,MATCH(AI$2,Inputs!$K$4:$AJ$4,0))))+SUMPRODUCT((Inputs!$E$5:$E$110=$B17)*ISNUMBER(INDEX(Inputs!$K$5:$AJ$110,0,MATCH(AI$2,Inputs!$K$4:$AJ$4,0))))=0,NA(),SUMPRODUCT((Inputs!$A$5:$A$110=$B17)*Inputs!$B$5:$B$110*(((Inputs!$G$5:$G$110="moeda")+(Inputs!$G$5:$G$110="acoes"))*Inputs!$B$1+((Inputs!$G$5:$G$110&lt;&gt;"moeda")*(Inputs!$G$5:$G$110&lt;&gt;"acoes")))*INDEX(Inputs!$K$5:$AJ$110,0,MATCH(AI$2,Inputs!$K$4:$AJ$4,0)))+SUMPRODUCT((Inputs!$C$5:$C$110=$B17)*Inputs!$D$5:$D$110*(((Inputs!$G$5:$G$110="moeda")+(Inputs!$G$5:$G$110="acoes"))*Inputs!$B$1+((Inputs!$G$5:$G$110&lt;&gt;"moeda")*(Inputs!$G$5:$G$110&lt;&gt;"acoes")))*INDEX(Inputs!$K$5:$AJ$110,0,MATCH(AI$2,Inputs!$K$4:$AJ$4,0)))+SUMPRODUCT((Inputs!$E$5:$E$110=$B17)*Inputs!$F$5:$F$110*(((Inputs!$G$5:$G$110="moeda")+(Inputs!$G$5:$G$110="acoes"))*Inputs!$B$1+((Inputs!$G$5:$G$110&lt;&gt;"moeda")*(Inputs!$G$5:$G$110&lt;&gt;"acoes")))*INDEX(Inputs!$K$5:$AJ$110,0,MATCH(AI$2,Inputs!$K$4:$AJ$4,0)))))</f>
        <v>11010</v>
      </c>
      <c r="AJ17" s="267">
        <f>IF(ISNA(MATCH(AJ$2,Inputs!$K$4:$AJ$4,0)),NA(),IF(SUMPRODUCT((Inputs!$A$5:$A$110=$B17)*ISNUMBER(INDEX(Inputs!$K$5:$AJ$110,0,MATCH(AJ$2,Inputs!$K$4:$AJ$4,0))))+SUMPRODUCT((Inputs!$C$5:$C$110=$B17)*ISNUMBER(INDEX(Inputs!$K$5:$AJ$110,0,MATCH(AJ$2,Inputs!$K$4:$AJ$4,0))))+SUMPRODUCT((Inputs!$E$5:$E$110=$B17)*ISNUMBER(INDEX(Inputs!$K$5:$AJ$110,0,MATCH(AJ$2,Inputs!$K$4:$AJ$4,0))))=0,NA(),SUMPRODUCT((Inputs!$A$5:$A$110=$B17)*Inputs!$B$5:$B$110*(((Inputs!$G$5:$G$110="moeda")+(Inputs!$G$5:$G$110="acoes"))*Inputs!$B$1+((Inputs!$G$5:$G$110&lt;&gt;"moeda")*(Inputs!$G$5:$G$110&lt;&gt;"acoes")))*INDEX(Inputs!$K$5:$AJ$110,0,MATCH(AJ$2,Inputs!$K$4:$AJ$4,0)))+SUMPRODUCT((Inputs!$C$5:$C$110=$B17)*Inputs!$D$5:$D$110*(((Inputs!$G$5:$G$110="moeda")+(Inputs!$G$5:$G$110="acoes"))*Inputs!$B$1+((Inputs!$G$5:$G$110&lt;&gt;"moeda")*(Inputs!$G$5:$G$110&lt;&gt;"acoes")))*INDEX(Inputs!$K$5:$AJ$110,0,MATCH(AJ$2,Inputs!$K$4:$AJ$4,0)))+SUMPRODUCT((Inputs!$E$5:$E$110=$B17)*Inputs!$F$5:$F$110*(((Inputs!$G$5:$G$110="moeda")+(Inputs!$G$5:$G$110="acoes"))*Inputs!$B$1+((Inputs!$G$5:$G$110&lt;&gt;"moeda")*(Inputs!$G$5:$G$110&lt;&gt;"acoes")))*INDEX(Inputs!$K$5:$AJ$110,0,MATCH(AJ$2,Inputs!$K$4:$AJ$4,0)))))</f>
        <v>12242</v>
      </c>
      <c r="AK17" s="267">
        <f>IF(ISNA(MATCH(AK$2,Inputs!$K$4:$AJ$4,0)),NA(),IF(SUMPRODUCT((Inputs!$A$5:$A$110=$B17)*ISNUMBER(INDEX(Inputs!$K$5:$AJ$110,0,MATCH(AK$2,Inputs!$K$4:$AJ$4,0))))+SUMPRODUCT((Inputs!$C$5:$C$110=$B17)*ISNUMBER(INDEX(Inputs!$K$5:$AJ$110,0,MATCH(AK$2,Inputs!$K$4:$AJ$4,0))))+SUMPRODUCT((Inputs!$E$5:$E$110=$B17)*ISNUMBER(INDEX(Inputs!$K$5:$AJ$110,0,MATCH(AK$2,Inputs!$K$4:$AJ$4,0))))=0,NA(),SUMPRODUCT((Inputs!$A$5:$A$110=$B17)*Inputs!$B$5:$B$110*(((Inputs!$G$5:$G$110="moeda")+(Inputs!$G$5:$G$110="acoes"))*Inputs!$B$1+((Inputs!$G$5:$G$110&lt;&gt;"moeda")*(Inputs!$G$5:$G$110&lt;&gt;"acoes")))*INDEX(Inputs!$K$5:$AJ$110,0,MATCH(AK$2,Inputs!$K$4:$AJ$4,0)))+SUMPRODUCT((Inputs!$C$5:$C$110=$B17)*Inputs!$D$5:$D$110*(((Inputs!$G$5:$G$110="moeda")+(Inputs!$G$5:$G$110="acoes"))*Inputs!$B$1+((Inputs!$G$5:$G$110&lt;&gt;"moeda")*(Inputs!$G$5:$G$110&lt;&gt;"acoes")))*INDEX(Inputs!$K$5:$AJ$110,0,MATCH(AK$2,Inputs!$K$4:$AJ$4,0)))+SUMPRODUCT((Inputs!$E$5:$E$110=$B17)*Inputs!$F$5:$F$110*(((Inputs!$G$5:$G$110="moeda")+(Inputs!$G$5:$G$110="acoes"))*Inputs!$B$1+((Inputs!$G$5:$G$110&lt;&gt;"moeda")*(Inputs!$G$5:$G$110&lt;&gt;"acoes")))*INDEX(Inputs!$K$5:$AJ$110,0,MATCH(AK$2,Inputs!$K$4:$AJ$4,0)))))</f>
        <v>14901</v>
      </c>
      <c r="AL17" s="268">
        <f>AK17</f>
        <v>14901</v>
      </c>
    </row>
    <row r="18" ht="12.75" customHeight="1" s="255">
      <c r="B18" s="265" t="n">
        <v>14</v>
      </c>
      <c r="C18" s="270" t="inlineStr">
        <is>
          <t>Deferred income taxes</t>
        </is>
      </c>
      <c r="D18" s="267">
        <f>IF(ISNA(MATCH(D$2,Inputs!$K$4:$AJ$4,0)),NA(),IF(SUMPRODUCT((Inputs!$A$5:$A$110=$B18)*ISNUMBER(INDEX(Inputs!$K$5:$AJ$110,0,MATCH(D$2,Inputs!$K$4:$AJ$4,0))))+SUMPRODUCT((Inputs!$C$5:$C$110=$B18)*ISNUMBER(INDEX(Inputs!$K$5:$AJ$110,0,MATCH(D$2,Inputs!$K$4:$AJ$4,0))))+SUMPRODUCT((Inputs!$E$5:$E$110=$B18)*ISNUMBER(INDEX(Inputs!$K$5:$AJ$110,0,MATCH(D$2,Inputs!$K$4:$AJ$4,0))))=0,NA(),SUMPRODUCT((Inputs!$A$5:$A$110=$B18)*Inputs!$B$5:$B$110*(((Inputs!$G$5:$G$110="moeda")+(Inputs!$G$5:$G$110="acoes"))*Inputs!$B$1+((Inputs!$G$5:$G$110&lt;&gt;"moeda")*(Inputs!$G$5:$G$110&lt;&gt;"acoes")))*INDEX(Inputs!$K$5:$AJ$110,0,MATCH(D$2,Inputs!$K$4:$AJ$4,0)))+SUMPRODUCT((Inputs!$C$5:$C$110=$B18)*Inputs!$D$5:$D$110*(((Inputs!$G$5:$G$110="moeda")+(Inputs!$G$5:$G$110="acoes"))*Inputs!$B$1+((Inputs!$G$5:$G$110&lt;&gt;"moeda")*(Inputs!$G$5:$G$110&lt;&gt;"acoes")))*INDEX(Inputs!$K$5:$AJ$110,0,MATCH(D$2,Inputs!$K$4:$AJ$4,0)))+SUMPRODUCT((Inputs!$E$5:$E$110=$B18)*Inputs!$F$5:$F$110*(((Inputs!$G$5:$G$110="moeda")+(Inputs!$G$5:$G$110="acoes"))*Inputs!$B$1+((Inputs!$G$5:$G$110&lt;&gt;"moeda")*(Inputs!$G$5:$G$110&lt;&gt;"acoes")))*INDEX(Inputs!$K$5:$AJ$110,0,MATCH(D$2,Inputs!$K$4:$AJ$4,0)))))</f>
        <v>0</v>
      </c>
      <c r="E18" s="267">
        <f>IF(ISNA(MATCH(E$2,Inputs!$K$4:$AJ$4,0)),NA(),IF(SUMPRODUCT((Inputs!$A$5:$A$110=$B18)*ISNUMBER(INDEX(Inputs!$K$5:$AJ$110,0,MATCH(E$2,Inputs!$K$4:$AJ$4,0))))+SUMPRODUCT((Inputs!$C$5:$C$110=$B18)*ISNUMBER(INDEX(Inputs!$K$5:$AJ$110,0,MATCH(E$2,Inputs!$K$4:$AJ$4,0))))+SUMPRODUCT((Inputs!$E$5:$E$110=$B18)*ISNUMBER(INDEX(Inputs!$K$5:$AJ$110,0,MATCH(E$2,Inputs!$K$4:$AJ$4,0))))=0,NA(),SUMPRODUCT((Inputs!$A$5:$A$110=$B18)*Inputs!$B$5:$B$110*(((Inputs!$G$5:$G$110="moeda")+(Inputs!$G$5:$G$110="acoes"))*Inputs!$B$1+((Inputs!$G$5:$G$110&lt;&gt;"moeda")*(Inputs!$G$5:$G$110&lt;&gt;"acoes")))*INDEX(Inputs!$K$5:$AJ$110,0,MATCH(E$2,Inputs!$K$4:$AJ$4,0)))+SUMPRODUCT((Inputs!$C$5:$C$110=$B18)*Inputs!$D$5:$D$110*(((Inputs!$G$5:$G$110="moeda")+(Inputs!$G$5:$G$110="acoes"))*Inputs!$B$1+((Inputs!$G$5:$G$110&lt;&gt;"moeda")*(Inputs!$G$5:$G$110&lt;&gt;"acoes")))*INDEX(Inputs!$K$5:$AJ$110,0,MATCH(E$2,Inputs!$K$4:$AJ$4,0)))+SUMPRODUCT((Inputs!$E$5:$E$110=$B18)*Inputs!$F$5:$F$110*(((Inputs!$G$5:$G$110="moeda")+(Inputs!$G$5:$G$110="acoes"))*Inputs!$B$1+((Inputs!$G$5:$G$110&lt;&gt;"moeda")*(Inputs!$G$5:$G$110&lt;&gt;"acoes")))*INDEX(Inputs!$K$5:$AJ$110,0,MATCH(E$2,Inputs!$K$4:$AJ$4,0)))))</f>
        <v>0</v>
      </c>
      <c r="F18" s="267">
        <f>IF(ISNA(MATCH(F$2,Inputs!$K$4:$AJ$4,0)),NA(),IF(SUMPRODUCT((Inputs!$A$5:$A$110=$B18)*ISNUMBER(INDEX(Inputs!$K$5:$AJ$110,0,MATCH(F$2,Inputs!$K$4:$AJ$4,0))))+SUMPRODUCT((Inputs!$C$5:$C$110=$B18)*ISNUMBER(INDEX(Inputs!$K$5:$AJ$110,0,MATCH(F$2,Inputs!$K$4:$AJ$4,0))))+SUMPRODUCT((Inputs!$E$5:$E$110=$B18)*ISNUMBER(INDEX(Inputs!$K$5:$AJ$110,0,MATCH(F$2,Inputs!$K$4:$AJ$4,0))))=0,NA(),SUMPRODUCT((Inputs!$A$5:$A$110=$B18)*Inputs!$B$5:$B$110*(((Inputs!$G$5:$G$110="moeda")+(Inputs!$G$5:$G$110="acoes"))*Inputs!$B$1+((Inputs!$G$5:$G$110&lt;&gt;"moeda")*(Inputs!$G$5:$G$110&lt;&gt;"acoes")))*INDEX(Inputs!$K$5:$AJ$110,0,MATCH(F$2,Inputs!$K$4:$AJ$4,0)))+SUMPRODUCT((Inputs!$C$5:$C$110=$B18)*Inputs!$D$5:$D$110*(((Inputs!$G$5:$G$110="moeda")+(Inputs!$G$5:$G$110="acoes"))*Inputs!$B$1+((Inputs!$G$5:$G$110&lt;&gt;"moeda")*(Inputs!$G$5:$G$110&lt;&gt;"acoes")))*INDEX(Inputs!$K$5:$AJ$110,0,MATCH(F$2,Inputs!$K$4:$AJ$4,0)))+SUMPRODUCT((Inputs!$E$5:$E$110=$B18)*Inputs!$F$5:$F$110*(((Inputs!$G$5:$G$110="moeda")+(Inputs!$G$5:$G$110="acoes"))*Inputs!$B$1+((Inputs!$G$5:$G$110&lt;&gt;"moeda")*(Inputs!$G$5:$G$110&lt;&gt;"acoes")))*INDEX(Inputs!$K$5:$AJ$110,0,MATCH(F$2,Inputs!$K$4:$AJ$4,0)))))</f>
        <v>0</v>
      </c>
      <c r="G18" s="267">
        <f>IF(ISNA(MATCH(G$2,Inputs!$K$4:$AJ$4,0)),NA(),IF(SUMPRODUCT((Inputs!$A$5:$A$110=$B18)*ISNUMBER(INDEX(Inputs!$K$5:$AJ$110,0,MATCH(G$2,Inputs!$K$4:$AJ$4,0))))+SUMPRODUCT((Inputs!$C$5:$C$110=$B18)*ISNUMBER(INDEX(Inputs!$K$5:$AJ$110,0,MATCH(G$2,Inputs!$K$4:$AJ$4,0))))+SUMPRODUCT((Inputs!$E$5:$E$110=$B18)*ISNUMBER(INDEX(Inputs!$K$5:$AJ$110,0,MATCH(G$2,Inputs!$K$4:$AJ$4,0))))=0,NA(),SUMPRODUCT((Inputs!$A$5:$A$110=$B18)*Inputs!$B$5:$B$110*(((Inputs!$G$5:$G$110="moeda")+(Inputs!$G$5:$G$110="acoes"))*Inputs!$B$1+((Inputs!$G$5:$G$110&lt;&gt;"moeda")*(Inputs!$G$5:$G$110&lt;&gt;"acoes")))*INDEX(Inputs!$K$5:$AJ$110,0,MATCH(G$2,Inputs!$K$4:$AJ$4,0)))+SUMPRODUCT((Inputs!$C$5:$C$110=$B18)*Inputs!$D$5:$D$110*(((Inputs!$G$5:$G$110="moeda")+(Inputs!$G$5:$G$110="acoes"))*Inputs!$B$1+((Inputs!$G$5:$G$110&lt;&gt;"moeda")*(Inputs!$G$5:$G$110&lt;&gt;"acoes")))*INDEX(Inputs!$K$5:$AJ$110,0,MATCH(G$2,Inputs!$K$4:$AJ$4,0)))+SUMPRODUCT((Inputs!$E$5:$E$110=$B18)*Inputs!$F$5:$F$110*(((Inputs!$G$5:$G$110="moeda")+(Inputs!$G$5:$G$110="acoes"))*Inputs!$B$1+((Inputs!$G$5:$G$110&lt;&gt;"moeda")*(Inputs!$G$5:$G$110&lt;&gt;"acoes")))*INDEX(Inputs!$K$5:$AJ$110,0,MATCH(G$2,Inputs!$K$4:$AJ$4,0)))))</f>
        <v>0</v>
      </c>
      <c r="H18" s="268">
        <f>G18</f>
        <v>0</v>
      </c>
      <c r="I18" s="267">
        <f>IF(ISNA(MATCH(I$2,Inputs!$K$4:$AJ$4,0)),NA(),IF(SUMPRODUCT((Inputs!$A$5:$A$110=$B18)*ISNUMBER(INDEX(Inputs!$K$5:$AJ$110,0,MATCH(I$2,Inputs!$K$4:$AJ$4,0))))+SUMPRODUCT((Inputs!$C$5:$C$110=$B18)*ISNUMBER(INDEX(Inputs!$K$5:$AJ$110,0,MATCH(I$2,Inputs!$K$4:$AJ$4,0))))+SUMPRODUCT((Inputs!$E$5:$E$110=$B18)*ISNUMBER(INDEX(Inputs!$K$5:$AJ$110,0,MATCH(I$2,Inputs!$K$4:$AJ$4,0))))=0,NA(),SUMPRODUCT((Inputs!$A$5:$A$110=$B18)*Inputs!$B$5:$B$110*(((Inputs!$G$5:$G$110="moeda")+(Inputs!$G$5:$G$110="acoes"))*Inputs!$B$1+((Inputs!$G$5:$G$110&lt;&gt;"moeda")*(Inputs!$G$5:$G$110&lt;&gt;"acoes")))*INDEX(Inputs!$K$5:$AJ$110,0,MATCH(I$2,Inputs!$K$4:$AJ$4,0)))+SUMPRODUCT((Inputs!$C$5:$C$110=$B18)*Inputs!$D$5:$D$110*(((Inputs!$G$5:$G$110="moeda")+(Inputs!$G$5:$G$110="acoes"))*Inputs!$B$1+((Inputs!$G$5:$G$110&lt;&gt;"moeda")*(Inputs!$G$5:$G$110&lt;&gt;"acoes")))*INDEX(Inputs!$K$5:$AJ$110,0,MATCH(I$2,Inputs!$K$4:$AJ$4,0)))+SUMPRODUCT((Inputs!$E$5:$E$110=$B18)*Inputs!$F$5:$F$110*(((Inputs!$G$5:$G$110="moeda")+(Inputs!$G$5:$G$110="acoes"))*Inputs!$B$1+((Inputs!$G$5:$G$110&lt;&gt;"moeda")*(Inputs!$G$5:$G$110&lt;&gt;"acoes")))*INDEX(Inputs!$K$5:$AJ$110,0,MATCH(I$2,Inputs!$K$4:$AJ$4,0)))))</f>
        <v>0</v>
      </c>
      <c r="J18" s="267">
        <f>IF(ISNA(MATCH(J$2,Inputs!$K$4:$AJ$4,0)),NA(),IF(SUMPRODUCT((Inputs!$A$5:$A$110=$B18)*ISNUMBER(INDEX(Inputs!$K$5:$AJ$110,0,MATCH(J$2,Inputs!$K$4:$AJ$4,0))))+SUMPRODUCT((Inputs!$C$5:$C$110=$B18)*ISNUMBER(INDEX(Inputs!$K$5:$AJ$110,0,MATCH(J$2,Inputs!$K$4:$AJ$4,0))))+SUMPRODUCT((Inputs!$E$5:$E$110=$B18)*ISNUMBER(INDEX(Inputs!$K$5:$AJ$110,0,MATCH(J$2,Inputs!$K$4:$AJ$4,0))))=0,NA(),SUMPRODUCT((Inputs!$A$5:$A$110=$B18)*Inputs!$B$5:$B$110*(((Inputs!$G$5:$G$110="moeda")+(Inputs!$G$5:$G$110="acoes"))*Inputs!$B$1+((Inputs!$G$5:$G$110&lt;&gt;"moeda")*(Inputs!$G$5:$G$110&lt;&gt;"acoes")))*INDEX(Inputs!$K$5:$AJ$110,0,MATCH(J$2,Inputs!$K$4:$AJ$4,0)))+SUMPRODUCT((Inputs!$C$5:$C$110=$B18)*Inputs!$D$5:$D$110*(((Inputs!$G$5:$G$110="moeda")+(Inputs!$G$5:$G$110="acoes"))*Inputs!$B$1+((Inputs!$G$5:$G$110&lt;&gt;"moeda")*(Inputs!$G$5:$G$110&lt;&gt;"acoes")))*INDEX(Inputs!$K$5:$AJ$110,0,MATCH(J$2,Inputs!$K$4:$AJ$4,0)))+SUMPRODUCT((Inputs!$E$5:$E$110=$B18)*Inputs!$F$5:$F$110*(((Inputs!$G$5:$G$110="moeda")+(Inputs!$G$5:$G$110="acoes"))*Inputs!$B$1+((Inputs!$G$5:$G$110&lt;&gt;"moeda")*(Inputs!$G$5:$G$110&lt;&gt;"acoes")))*INDEX(Inputs!$K$5:$AJ$110,0,MATCH(J$2,Inputs!$K$4:$AJ$4,0)))))</f>
        <v>0</v>
      </c>
      <c r="K18" s="267">
        <f>IF(ISNA(MATCH(K$2,Inputs!$K$4:$AJ$4,0)),NA(),IF(SUMPRODUCT((Inputs!$A$5:$A$110=$B18)*ISNUMBER(INDEX(Inputs!$K$5:$AJ$110,0,MATCH(K$2,Inputs!$K$4:$AJ$4,0))))+SUMPRODUCT((Inputs!$C$5:$C$110=$B18)*ISNUMBER(INDEX(Inputs!$K$5:$AJ$110,0,MATCH(K$2,Inputs!$K$4:$AJ$4,0))))+SUMPRODUCT((Inputs!$E$5:$E$110=$B18)*ISNUMBER(INDEX(Inputs!$K$5:$AJ$110,0,MATCH(K$2,Inputs!$K$4:$AJ$4,0))))=0,NA(),SUMPRODUCT((Inputs!$A$5:$A$110=$B18)*Inputs!$B$5:$B$110*(((Inputs!$G$5:$G$110="moeda")+(Inputs!$G$5:$G$110="acoes"))*Inputs!$B$1+((Inputs!$G$5:$G$110&lt;&gt;"moeda")*(Inputs!$G$5:$G$110&lt;&gt;"acoes")))*INDEX(Inputs!$K$5:$AJ$110,0,MATCH(K$2,Inputs!$K$4:$AJ$4,0)))+SUMPRODUCT((Inputs!$C$5:$C$110=$B18)*Inputs!$D$5:$D$110*(((Inputs!$G$5:$G$110="moeda")+(Inputs!$G$5:$G$110="acoes"))*Inputs!$B$1+((Inputs!$G$5:$G$110&lt;&gt;"moeda")*(Inputs!$G$5:$G$110&lt;&gt;"acoes")))*INDEX(Inputs!$K$5:$AJ$110,0,MATCH(K$2,Inputs!$K$4:$AJ$4,0)))+SUMPRODUCT((Inputs!$E$5:$E$110=$B18)*Inputs!$F$5:$F$110*(((Inputs!$G$5:$G$110="moeda")+(Inputs!$G$5:$G$110="acoes"))*Inputs!$B$1+((Inputs!$G$5:$G$110&lt;&gt;"moeda")*(Inputs!$G$5:$G$110&lt;&gt;"acoes")))*INDEX(Inputs!$K$5:$AJ$110,0,MATCH(K$2,Inputs!$K$4:$AJ$4,0)))))</f>
        <v>0</v>
      </c>
      <c r="L18" s="267">
        <f>IF(ISNA(MATCH(L$2,Inputs!$K$4:$AJ$4,0)),NA(),IF(SUMPRODUCT((Inputs!$A$5:$A$110=$B18)*ISNUMBER(INDEX(Inputs!$K$5:$AJ$110,0,MATCH(L$2,Inputs!$K$4:$AJ$4,0))))+SUMPRODUCT((Inputs!$C$5:$C$110=$B18)*ISNUMBER(INDEX(Inputs!$K$5:$AJ$110,0,MATCH(L$2,Inputs!$K$4:$AJ$4,0))))+SUMPRODUCT((Inputs!$E$5:$E$110=$B18)*ISNUMBER(INDEX(Inputs!$K$5:$AJ$110,0,MATCH(L$2,Inputs!$K$4:$AJ$4,0))))=0,NA(),SUMPRODUCT((Inputs!$A$5:$A$110=$B18)*Inputs!$B$5:$B$110*(((Inputs!$G$5:$G$110="moeda")+(Inputs!$G$5:$G$110="acoes"))*Inputs!$B$1+((Inputs!$G$5:$G$110&lt;&gt;"moeda")*(Inputs!$G$5:$G$110&lt;&gt;"acoes")))*INDEX(Inputs!$K$5:$AJ$110,0,MATCH(L$2,Inputs!$K$4:$AJ$4,0)))+SUMPRODUCT((Inputs!$C$5:$C$110=$B18)*Inputs!$D$5:$D$110*(((Inputs!$G$5:$G$110="moeda")+(Inputs!$G$5:$G$110="acoes"))*Inputs!$B$1+((Inputs!$G$5:$G$110&lt;&gt;"moeda")*(Inputs!$G$5:$G$110&lt;&gt;"acoes")))*INDEX(Inputs!$K$5:$AJ$110,0,MATCH(L$2,Inputs!$K$4:$AJ$4,0)))+SUMPRODUCT((Inputs!$E$5:$E$110=$B18)*Inputs!$F$5:$F$110*(((Inputs!$G$5:$G$110="moeda")+(Inputs!$G$5:$G$110="acoes"))*Inputs!$B$1+((Inputs!$G$5:$G$110&lt;&gt;"moeda")*(Inputs!$G$5:$G$110&lt;&gt;"acoes")))*INDEX(Inputs!$K$5:$AJ$110,0,MATCH(L$2,Inputs!$K$4:$AJ$4,0)))))</f>
        <v>0</v>
      </c>
      <c r="M18" s="268">
        <f>L18</f>
        <v>0</v>
      </c>
      <c r="N18" s="267">
        <f>IF(ISNA(MATCH(N$2,Inputs!$K$4:$AJ$4,0)),NA(),IF(SUMPRODUCT((Inputs!$A$5:$A$110=$B18)*ISNUMBER(INDEX(Inputs!$K$5:$AJ$110,0,MATCH(N$2,Inputs!$K$4:$AJ$4,0))))+SUMPRODUCT((Inputs!$C$5:$C$110=$B18)*ISNUMBER(INDEX(Inputs!$K$5:$AJ$110,0,MATCH(N$2,Inputs!$K$4:$AJ$4,0))))+SUMPRODUCT((Inputs!$E$5:$E$110=$B18)*ISNUMBER(INDEX(Inputs!$K$5:$AJ$110,0,MATCH(N$2,Inputs!$K$4:$AJ$4,0))))=0,NA(),SUMPRODUCT((Inputs!$A$5:$A$110=$B18)*Inputs!$B$5:$B$110*(((Inputs!$G$5:$G$110="moeda")+(Inputs!$G$5:$G$110="acoes"))*Inputs!$B$1+((Inputs!$G$5:$G$110&lt;&gt;"moeda")*(Inputs!$G$5:$G$110&lt;&gt;"acoes")))*INDEX(Inputs!$K$5:$AJ$110,0,MATCH(N$2,Inputs!$K$4:$AJ$4,0)))+SUMPRODUCT((Inputs!$C$5:$C$110=$B18)*Inputs!$D$5:$D$110*(((Inputs!$G$5:$G$110="moeda")+(Inputs!$G$5:$G$110="acoes"))*Inputs!$B$1+((Inputs!$G$5:$G$110&lt;&gt;"moeda")*(Inputs!$G$5:$G$110&lt;&gt;"acoes")))*INDEX(Inputs!$K$5:$AJ$110,0,MATCH(N$2,Inputs!$K$4:$AJ$4,0)))+SUMPRODUCT((Inputs!$E$5:$E$110=$B18)*Inputs!$F$5:$F$110*(((Inputs!$G$5:$G$110="moeda")+(Inputs!$G$5:$G$110="acoes"))*Inputs!$B$1+((Inputs!$G$5:$G$110&lt;&gt;"moeda")*(Inputs!$G$5:$G$110&lt;&gt;"acoes")))*INDEX(Inputs!$K$5:$AJ$110,0,MATCH(N$2,Inputs!$K$4:$AJ$4,0)))))</f>
        <v>0</v>
      </c>
      <c r="O18" s="267">
        <f>IF(ISNA(MATCH(O$2,Inputs!$K$4:$AJ$4,0)),NA(),IF(SUMPRODUCT((Inputs!$A$5:$A$110=$B18)*ISNUMBER(INDEX(Inputs!$K$5:$AJ$110,0,MATCH(O$2,Inputs!$K$4:$AJ$4,0))))+SUMPRODUCT((Inputs!$C$5:$C$110=$B18)*ISNUMBER(INDEX(Inputs!$K$5:$AJ$110,0,MATCH(O$2,Inputs!$K$4:$AJ$4,0))))+SUMPRODUCT((Inputs!$E$5:$E$110=$B18)*ISNUMBER(INDEX(Inputs!$K$5:$AJ$110,0,MATCH(O$2,Inputs!$K$4:$AJ$4,0))))=0,NA(),SUMPRODUCT((Inputs!$A$5:$A$110=$B18)*Inputs!$B$5:$B$110*(((Inputs!$G$5:$G$110="moeda")+(Inputs!$G$5:$G$110="acoes"))*Inputs!$B$1+((Inputs!$G$5:$G$110&lt;&gt;"moeda")*(Inputs!$G$5:$G$110&lt;&gt;"acoes")))*INDEX(Inputs!$K$5:$AJ$110,0,MATCH(O$2,Inputs!$K$4:$AJ$4,0)))+SUMPRODUCT((Inputs!$C$5:$C$110=$B18)*Inputs!$D$5:$D$110*(((Inputs!$G$5:$G$110="moeda")+(Inputs!$G$5:$G$110="acoes"))*Inputs!$B$1+((Inputs!$G$5:$G$110&lt;&gt;"moeda")*(Inputs!$G$5:$G$110&lt;&gt;"acoes")))*INDEX(Inputs!$K$5:$AJ$110,0,MATCH(O$2,Inputs!$K$4:$AJ$4,0)))+SUMPRODUCT((Inputs!$E$5:$E$110=$B18)*Inputs!$F$5:$F$110*(((Inputs!$G$5:$G$110="moeda")+(Inputs!$G$5:$G$110="acoes"))*Inputs!$B$1+((Inputs!$G$5:$G$110&lt;&gt;"moeda")*(Inputs!$G$5:$G$110&lt;&gt;"acoes")))*INDEX(Inputs!$K$5:$AJ$110,0,MATCH(O$2,Inputs!$K$4:$AJ$4,0)))))</f>
        <v>0</v>
      </c>
      <c r="P18" s="267">
        <f>IF(ISNA(MATCH(P$2,Inputs!$K$4:$AJ$4,0)),NA(),IF(SUMPRODUCT((Inputs!$A$5:$A$110=$B18)*ISNUMBER(INDEX(Inputs!$K$5:$AJ$110,0,MATCH(P$2,Inputs!$K$4:$AJ$4,0))))+SUMPRODUCT((Inputs!$C$5:$C$110=$B18)*ISNUMBER(INDEX(Inputs!$K$5:$AJ$110,0,MATCH(P$2,Inputs!$K$4:$AJ$4,0))))+SUMPRODUCT((Inputs!$E$5:$E$110=$B18)*ISNUMBER(INDEX(Inputs!$K$5:$AJ$110,0,MATCH(P$2,Inputs!$K$4:$AJ$4,0))))=0,NA(),SUMPRODUCT((Inputs!$A$5:$A$110=$B18)*Inputs!$B$5:$B$110*(((Inputs!$G$5:$G$110="moeda")+(Inputs!$G$5:$G$110="acoes"))*Inputs!$B$1+((Inputs!$G$5:$G$110&lt;&gt;"moeda")*(Inputs!$G$5:$G$110&lt;&gt;"acoes")))*INDEX(Inputs!$K$5:$AJ$110,0,MATCH(P$2,Inputs!$K$4:$AJ$4,0)))+SUMPRODUCT((Inputs!$C$5:$C$110=$B18)*Inputs!$D$5:$D$110*(((Inputs!$G$5:$G$110="moeda")+(Inputs!$G$5:$G$110="acoes"))*Inputs!$B$1+((Inputs!$G$5:$G$110&lt;&gt;"moeda")*(Inputs!$G$5:$G$110&lt;&gt;"acoes")))*INDEX(Inputs!$K$5:$AJ$110,0,MATCH(P$2,Inputs!$K$4:$AJ$4,0)))+SUMPRODUCT((Inputs!$E$5:$E$110=$B18)*Inputs!$F$5:$F$110*(((Inputs!$G$5:$G$110="moeda")+(Inputs!$G$5:$G$110="acoes"))*Inputs!$B$1+((Inputs!$G$5:$G$110&lt;&gt;"moeda")*(Inputs!$G$5:$G$110&lt;&gt;"acoes")))*INDEX(Inputs!$K$5:$AJ$110,0,MATCH(P$2,Inputs!$K$4:$AJ$4,0)))))</f>
        <v>0</v>
      </c>
      <c r="Q18" s="267">
        <f>IF(ISNA(MATCH(Q$2,Inputs!$K$4:$AJ$4,0)),NA(),IF(SUMPRODUCT((Inputs!$A$5:$A$110=$B18)*ISNUMBER(INDEX(Inputs!$K$5:$AJ$110,0,MATCH(Q$2,Inputs!$K$4:$AJ$4,0))))+SUMPRODUCT((Inputs!$C$5:$C$110=$B18)*ISNUMBER(INDEX(Inputs!$K$5:$AJ$110,0,MATCH(Q$2,Inputs!$K$4:$AJ$4,0))))+SUMPRODUCT((Inputs!$E$5:$E$110=$B18)*ISNUMBER(INDEX(Inputs!$K$5:$AJ$110,0,MATCH(Q$2,Inputs!$K$4:$AJ$4,0))))=0,NA(),SUMPRODUCT((Inputs!$A$5:$A$110=$B18)*Inputs!$B$5:$B$110*(((Inputs!$G$5:$G$110="moeda")+(Inputs!$G$5:$G$110="acoes"))*Inputs!$B$1+((Inputs!$G$5:$G$110&lt;&gt;"moeda")*(Inputs!$G$5:$G$110&lt;&gt;"acoes")))*INDEX(Inputs!$K$5:$AJ$110,0,MATCH(Q$2,Inputs!$K$4:$AJ$4,0)))+SUMPRODUCT((Inputs!$C$5:$C$110=$B18)*Inputs!$D$5:$D$110*(((Inputs!$G$5:$G$110="moeda")+(Inputs!$G$5:$G$110="acoes"))*Inputs!$B$1+((Inputs!$G$5:$G$110&lt;&gt;"moeda")*(Inputs!$G$5:$G$110&lt;&gt;"acoes")))*INDEX(Inputs!$K$5:$AJ$110,0,MATCH(Q$2,Inputs!$K$4:$AJ$4,0)))+SUMPRODUCT((Inputs!$E$5:$E$110=$B18)*Inputs!$F$5:$F$110*(((Inputs!$G$5:$G$110="moeda")+(Inputs!$G$5:$G$110="acoes"))*Inputs!$B$1+((Inputs!$G$5:$G$110&lt;&gt;"moeda")*(Inputs!$G$5:$G$110&lt;&gt;"acoes")))*INDEX(Inputs!$K$5:$AJ$110,0,MATCH(Q$2,Inputs!$K$4:$AJ$4,0)))))</f>
        <v>0</v>
      </c>
      <c r="R18" s="268">
        <f>Q18</f>
        <v>0</v>
      </c>
      <c r="S18" s="267">
        <f>IF(ISNA(MATCH(S$2,Inputs!$K$4:$AJ$4,0)),NA(),IF(SUMPRODUCT((Inputs!$A$5:$A$110=$B18)*ISNUMBER(INDEX(Inputs!$K$5:$AJ$110,0,MATCH(S$2,Inputs!$K$4:$AJ$4,0))))+SUMPRODUCT((Inputs!$C$5:$C$110=$B18)*ISNUMBER(INDEX(Inputs!$K$5:$AJ$110,0,MATCH(S$2,Inputs!$K$4:$AJ$4,0))))+SUMPRODUCT((Inputs!$E$5:$E$110=$B18)*ISNUMBER(INDEX(Inputs!$K$5:$AJ$110,0,MATCH(S$2,Inputs!$K$4:$AJ$4,0))))=0,NA(),SUMPRODUCT((Inputs!$A$5:$A$110=$B18)*Inputs!$B$5:$B$110*(((Inputs!$G$5:$G$110="moeda")+(Inputs!$G$5:$G$110="acoes"))*Inputs!$B$1+((Inputs!$G$5:$G$110&lt;&gt;"moeda")*(Inputs!$G$5:$G$110&lt;&gt;"acoes")))*INDEX(Inputs!$K$5:$AJ$110,0,MATCH(S$2,Inputs!$K$4:$AJ$4,0)))+SUMPRODUCT((Inputs!$C$5:$C$110=$B18)*Inputs!$D$5:$D$110*(((Inputs!$G$5:$G$110="moeda")+(Inputs!$G$5:$G$110="acoes"))*Inputs!$B$1+((Inputs!$G$5:$G$110&lt;&gt;"moeda")*(Inputs!$G$5:$G$110&lt;&gt;"acoes")))*INDEX(Inputs!$K$5:$AJ$110,0,MATCH(S$2,Inputs!$K$4:$AJ$4,0)))+SUMPRODUCT((Inputs!$E$5:$E$110=$B18)*Inputs!$F$5:$F$110*(((Inputs!$G$5:$G$110="moeda")+(Inputs!$G$5:$G$110="acoes"))*Inputs!$B$1+((Inputs!$G$5:$G$110&lt;&gt;"moeda")*(Inputs!$G$5:$G$110&lt;&gt;"acoes")))*INDEX(Inputs!$K$5:$AJ$110,0,MATCH(S$2,Inputs!$K$4:$AJ$4,0)))))</f>
        <v>0</v>
      </c>
      <c r="T18" s="267">
        <f>IF(ISNA(MATCH(T$2,Inputs!$K$4:$AJ$4,0)),NA(),IF(SUMPRODUCT((Inputs!$A$5:$A$110=$B18)*ISNUMBER(INDEX(Inputs!$K$5:$AJ$110,0,MATCH(T$2,Inputs!$K$4:$AJ$4,0))))+SUMPRODUCT((Inputs!$C$5:$C$110=$B18)*ISNUMBER(INDEX(Inputs!$K$5:$AJ$110,0,MATCH(T$2,Inputs!$K$4:$AJ$4,0))))+SUMPRODUCT((Inputs!$E$5:$E$110=$B18)*ISNUMBER(INDEX(Inputs!$K$5:$AJ$110,0,MATCH(T$2,Inputs!$K$4:$AJ$4,0))))=0,NA(),SUMPRODUCT((Inputs!$A$5:$A$110=$B18)*Inputs!$B$5:$B$110*(((Inputs!$G$5:$G$110="moeda")+(Inputs!$G$5:$G$110="acoes"))*Inputs!$B$1+((Inputs!$G$5:$G$110&lt;&gt;"moeda")*(Inputs!$G$5:$G$110&lt;&gt;"acoes")))*INDEX(Inputs!$K$5:$AJ$110,0,MATCH(T$2,Inputs!$K$4:$AJ$4,0)))+SUMPRODUCT((Inputs!$C$5:$C$110=$B18)*Inputs!$D$5:$D$110*(((Inputs!$G$5:$G$110="moeda")+(Inputs!$G$5:$G$110="acoes"))*Inputs!$B$1+((Inputs!$G$5:$G$110&lt;&gt;"moeda")*(Inputs!$G$5:$G$110&lt;&gt;"acoes")))*INDEX(Inputs!$K$5:$AJ$110,0,MATCH(T$2,Inputs!$K$4:$AJ$4,0)))+SUMPRODUCT((Inputs!$E$5:$E$110=$B18)*Inputs!$F$5:$F$110*(((Inputs!$G$5:$G$110="moeda")+(Inputs!$G$5:$G$110="acoes"))*Inputs!$B$1+((Inputs!$G$5:$G$110&lt;&gt;"moeda")*(Inputs!$G$5:$G$110&lt;&gt;"acoes")))*INDEX(Inputs!$K$5:$AJ$110,0,MATCH(T$2,Inputs!$K$4:$AJ$4,0)))))</f>
        <v>0</v>
      </c>
      <c r="U18" s="267">
        <f>IF(ISNA(MATCH(U$2,Inputs!$K$4:$AJ$4,0)),NA(),IF(SUMPRODUCT((Inputs!$A$5:$A$110=$B18)*ISNUMBER(INDEX(Inputs!$K$5:$AJ$110,0,MATCH(U$2,Inputs!$K$4:$AJ$4,0))))+SUMPRODUCT((Inputs!$C$5:$C$110=$B18)*ISNUMBER(INDEX(Inputs!$K$5:$AJ$110,0,MATCH(U$2,Inputs!$K$4:$AJ$4,0))))+SUMPRODUCT((Inputs!$E$5:$E$110=$B18)*ISNUMBER(INDEX(Inputs!$K$5:$AJ$110,0,MATCH(U$2,Inputs!$K$4:$AJ$4,0))))=0,NA(),SUMPRODUCT((Inputs!$A$5:$A$110=$B18)*Inputs!$B$5:$B$110*(((Inputs!$G$5:$G$110="moeda")+(Inputs!$G$5:$G$110="acoes"))*Inputs!$B$1+((Inputs!$G$5:$G$110&lt;&gt;"moeda")*(Inputs!$G$5:$G$110&lt;&gt;"acoes")))*INDEX(Inputs!$K$5:$AJ$110,0,MATCH(U$2,Inputs!$K$4:$AJ$4,0)))+SUMPRODUCT((Inputs!$C$5:$C$110=$B18)*Inputs!$D$5:$D$110*(((Inputs!$G$5:$G$110="moeda")+(Inputs!$G$5:$G$110="acoes"))*Inputs!$B$1+((Inputs!$G$5:$G$110&lt;&gt;"moeda")*(Inputs!$G$5:$G$110&lt;&gt;"acoes")))*INDEX(Inputs!$K$5:$AJ$110,0,MATCH(U$2,Inputs!$K$4:$AJ$4,0)))+SUMPRODUCT((Inputs!$E$5:$E$110=$B18)*Inputs!$F$5:$F$110*(((Inputs!$G$5:$G$110="moeda")+(Inputs!$G$5:$G$110="acoes"))*Inputs!$B$1+((Inputs!$G$5:$G$110&lt;&gt;"moeda")*(Inputs!$G$5:$G$110&lt;&gt;"acoes")))*INDEX(Inputs!$K$5:$AJ$110,0,MATCH(U$2,Inputs!$K$4:$AJ$4,0)))))</f>
        <v>0</v>
      </c>
      <c r="V18" s="267">
        <f>IF(ISNA(MATCH(V$2,Inputs!$K$4:$AJ$4,0)),NA(),IF(SUMPRODUCT((Inputs!$A$5:$A$110=$B18)*ISNUMBER(INDEX(Inputs!$K$5:$AJ$110,0,MATCH(V$2,Inputs!$K$4:$AJ$4,0))))+SUMPRODUCT((Inputs!$C$5:$C$110=$B18)*ISNUMBER(INDEX(Inputs!$K$5:$AJ$110,0,MATCH(V$2,Inputs!$K$4:$AJ$4,0))))+SUMPRODUCT((Inputs!$E$5:$E$110=$B18)*ISNUMBER(INDEX(Inputs!$K$5:$AJ$110,0,MATCH(V$2,Inputs!$K$4:$AJ$4,0))))=0,NA(),SUMPRODUCT((Inputs!$A$5:$A$110=$B18)*Inputs!$B$5:$B$110*(((Inputs!$G$5:$G$110="moeda")+(Inputs!$G$5:$G$110="acoes"))*Inputs!$B$1+((Inputs!$G$5:$G$110&lt;&gt;"moeda")*(Inputs!$G$5:$G$110&lt;&gt;"acoes")))*INDEX(Inputs!$K$5:$AJ$110,0,MATCH(V$2,Inputs!$K$4:$AJ$4,0)))+SUMPRODUCT((Inputs!$C$5:$C$110=$B18)*Inputs!$D$5:$D$110*(((Inputs!$G$5:$G$110="moeda")+(Inputs!$G$5:$G$110="acoes"))*Inputs!$B$1+((Inputs!$G$5:$G$110&lt;&gt;"moeda")*(Inputs!$G$5:$G$110&lt;&gt;"acoes")))*INDEX(Inputs!$K$5:$AJ$110,0,MATCH(V$2,Inputs!$K$4:$AJ$4,0)))+SUMPRODUCT((Inputs!$E$5:$E$110=$B18)*Inputs!$F$5:$F$110*(((Inputs!$G$5:$G$110="moeda")+(Inputs!$G$5:$G$110="acoes"))*Inputs!$B$1+((Inputs!$G$5:$G$110&lt;&gt;"moeda")*(Inputs!$G$5:$G$110&lt;&gt;"acoes")))*INDEX(Inputs!$K$5:$AJ$110,0,MATCH(V$2,Inputs!$K$4:$AJ$4,0)))))</f>
        <v>0</v>
      </c>
      <c r="W18" s="268">
        <f>V18</f>
        <v>0</v>
      </c>
      <c r="X18" s="267">
        <f>IF(ISNA(MATCH(X$2,Inputs!$K$4:$AJ$4,0)),NA(),IF(SUMPRODUCT((Inputs!$A$5:$A$110=$B18)*ISNUMBER(INDEX(Inputs!$K$5:$AJ$110,0,MATCH(X$2,Inputs!$K$4:$AJ$4,0))))+SUMPRODUCT((Inputs!$C$5:$C$110=$B18)*ISNUMBER(INDEX(Inputs!$K$5:$AJ$110,0,MATCH(X$2,Inputs!$K$4:$AJ$4,0))))+SUMPRODUCT((Inputs!$E$5:$E$110=$B18)*ISNUMBER(INDEX(Inputs!$K$5:$AJ$110,0,MATCH(X$2,Inputs!$K$4:$AJ$4,0))))=0,NA(),SUMPRODUCT((Inputs!$A$5:$A$110=$B18)*Inputs!$B$5:$B$110*(((Inputs!$G$5:$G$110="moeda")+(Inputs!$G$5:$G$110="acoes"))*Inputs!$B$1+((Inputs!$G$5:$G$110&lt;&gt;"moeda")*(Inputs!$G$5:$G$110&lt;&gt;"acoes")))*INDEX(Inputs!$K$5:$AJ$110,0,MATCH(X$2,Inputs!$K$4:$AJ$4,0)))+SUMPRODUCT((Inputs!$C$5:$C$110=$B18)*Inputs!$D$5:$D$110*(((Inputs!$G$5:$G$110="moeda")+(Inputs!$G$5:$G$110="acoes"))*Inputs!$B$1+((Inputs!$G$5:$G$110&lt;&gt;"moeda")*(Inputs!$G$5:$G$110&lt;&gt;"acoes")))*INDEX(Inputs!$K$5:$AJ$110,0,MATCH(X$2,Inputs!$K$4:$AJ$4,0)))+SUMPRODUCT((Inputs!$E$5:$E$110=$B18)*Inputs!$F$5:$F$110*(((Inputs!$G$5:$G$110="moeda")+(Inputs!$G$5:$G$110="acoes"))*Inputs!$B$1+((Inputs!$G$5:$G$110&lt;&gt;"moeda")*(Inputs!$G$5:$G$110&lt;&gt;"acoes")))*INDEX(Inputs!$K$5:$AJ$110,0,MATCH(X$2,Inputs!$K$4:$AJ$4,0)))))</f>
        <v>0</v>
      </c>
      <c r="Y18" s="267">
        <f>IF(ISNA(MATCH(Y$2,Inputs!$K$4:$AJ$4,0)),NA(),IF(SUMPRODUCT((Inputs!$A$5:$A$110=$B18)*ISNUMBER(INDEX(Inputs!$K$5:$AJ$110,0,MATCH(Y$2,Inputs!$K$4:$AJ$4,0))))+SUMPRODUCT((Inputs!$C$5:$C$110=$B18)*ISNUMBER(INDEX(Inputs!$K$5:$AJ$110,0,MATCH(Y$2,Inputs!$K$4:$AJ$4,0))))+SUMPRODUCT((Inputs!$E$5:$E$110=$B18)*ISNUMBER(INDEX(Inputs!$K$5:$AJ$110,0,MATCH(Y$2,Inputs!$K$4:$AJ$4,0))))=0,NA(),SUMPRODUCT((Inputs!$A$5:$A$110=$B18)*Inputs!$B$5:$B$110*(((Inputs!$G$5:$G$110="moeda")+(Inputs!$G$5:$G$110="acoes"))*Inputs!$B$1+((Inputs!$G$5:$G$110&lt;&gt;"moeda")*(Inputs!$G$5:$G$110&lt;&gt;"acoes")))*INDEX(Inputs!$K$5:$AJ$110,0,MATCH(Y$2,Inputs!$K$4:$AJ$4,0)))+SUMPRODUCT((Inputs!$C$5:$C$110=$B18)*Inputs!$D$5:$D$110*(((Inputs!$G$5:$G$110="moeda")+(Inputs!$G$5:$G$110="acoes"))*Inputs!$B$1+((Inputs!$G$5:$G$110&lt;&gt;"moeda")*(Inputs!$G$5:$G$110&lt;&gt;"acoes")))*INDEX(Inputs!$K$5:$AJ$110,0,MATCH(Y$2,Inputs!$K$4:$AJ$4,0)))+SUMPRODUCT((Inputs!$E$5:$E$110=$B18)*Inputs!$F$5:$F$110*(((Inputs!$G$5:$G$110="moeda")+(Inputs!$G$5:$G$110="acoes"))*Inputs!$B$1+((Inputs!$G$5:$G$110&lt;&gt;"moeda")*(Inputs!$G$5:$G$110&lt;&gt;"acoes")))*INDEX(Inputs!$K$5:$AJ$110,0,MATCH(Y$2,Inputs!$K$4:$AJ$4,0)))))</f>
        <v>0</v>
      </c>
      <c r="Z18" s="267">
        <f>IF(ISNA(MATCH(Z$2,Inputs!$K$4:$AJ$4,0)),NA(),IF(SUMPRODUCT((Inputs!$A$5:$A$110=$B18)*ISNUMBER(INDEX(Inputs!$K$5:$AJ$110,0,MATCH(Z$2,Inputs!$K$4:$AJ$4,0))))+SUMPRODUCT((Inputs!$C$5:$C$110=$B18)*ISNUMBER(INDEX(Inputs!$K$5:$AJ$110,0,MATCH(Z$2,Inputs!$K$4:$AJ$4,0))))+SUMPRODUCT((Inputs!$E$5:$E$110=$B18)*ISNUMBER(INDEX(Inputs!$K$5:$AJ$110,0,MATCH(Z$2,Inputs!$K$4:$AJ$4,0))))=0,NA(),SUMPRODUCT((Inputs!$A$5:$A$110=$B18)*Inputs!$B$5:$B$110*(((Inputs!$G$5:$G$110="moeda")+(Inputs!$G$5:$G$110="acoes"))*Inputs!$B$1+((Inputs!$G$5:$G$110&lt;&gt;"moeda")*(Inputs!$G$5:$G$110&lt;&gt;"acoes")))*INDEX(Inputs!$K$5:$AJ$110,0,MATCH(Z$2,Inputs!$K$4:$AJ$4,0)))+SUMPRODUCT((Inputs!$C$5:$C$110=$B18)*Inputs!$D$5:$D$110*(((Inputs!$G$5:$G$110="moeda")+(Inputs!$G$5:$G$110="acoes"))*Inputs!$B$1+((Inputs!$G$5:$G$110&lt;&gt;"moeda")*(Inputs!$G$5:$G$110&lt;&gt;"acoes")))*INDEX(Inputs!$K$5:$AJ$110,0,MATCH(Z$2,Inputs!$K$4:$AJ$4,0)))+SUMPRODUCT((Inputs!$E$5:$E$110=$B18)*Inputs!$F$5:$F$110*(((Inputs!$G$5:$G$110="moeda")+(Inputs!$G$5:$G$110="acoes"))*Inputs!$B$1+((Inputs!$G$5:$G$110&lt;&gt;"moeda")*(Inputs!$G$5:$G$110&lt;&gt;"acoes")))*INDEX(Inputs!$K$5:$AJ$110,0,MATCH(Z$2,Inputs!$K$4:$AJ$4,0)))))</f>
        <v>0</v>
      </c>
      <c r="AA18" s="267">
        <f>IF(ISNA(MATCH(AA$2,Inputs!$K$4:$AJ$4,0)),NA(),IF(SUMPRODUCT((Inputs!$A$5:$A$110=$B18)*ISNUMBER(INDEX(Inputs!$K$5:$AJ$110,0,MATCH(AA$2,Inputs!$K$4:$AJ$4,0))))+SUMPRODUCT((Inputs!$C$5:$C$110=$B18)*ISNUMBER(INDEX(Inputs!$K$5:$AJ$110,0,MATCH(AA$2,Inputs!$K$4:$AJ$4,0))))+SUMPRODUCT((Inputs!$E$5:$E$110=$B18)*ISNUMBER(INDEX(Inputs!$K$5:$AJ$110,0,MATCH(AA$2,Inputs!$K$4:$AJ$4,0))))=0,NA(),SUMPRODUCT((Inputs!$A$5:$A$110=$B18)*Inputs!$B$5:$B$110*(((Inputs!$G$5:$G$110="moeda")+(Inputs!$G$5:$G$110="acoes"))*Inputs!$B$1+((Inputs!$G$5:$G$110&lt;&gt;"moeda")*(Inputs!$G$5:$G$110&lt;&gt;"acoes")))*INDEX(Inputs!$K$5:$AJ$110,0,MATCH(AA$2,Inputs!$K$4:$AJ$4,0)))+SUMPRODUCT((Inputs!$C$5:$C$110=$B18)*Inputs!$D$5:$D$110*(((Inputs!$G$5:$G$110="moeda")+(Inputs!$G$5:$G$110="acoes"))*Inputs!$B$1+((Inputs!$G$5:$G$110&lt;&gt;"moeda")*(Inputs!$G$5:$G$110&lt;&gt;"acoes")))*INDEX(Inputs!$K$5:$AJ$110,0,MATCH(AA$2,Inputs!$K$4:$AJ$4,0)))+SUMPRODUCT((Inputs!$E$5:$E$110=$B18)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8" s="268">
        <f>AA18</f>
        <v>0</v>
      </c>
      <c r="AC18" s="267">
        <f>IF(ISNA(MATCH(AC$2,Inputs!$K$4:$AJ$4,0)),NA(),IF(SUMPRODUCT((Inputs!$A$5:$A$110=$B18)*ISNUMBER(INDEX(Inputs!$K$5:$AJ$110,0,MATCH(AC$2,Inputs!$K$4:$AJ$4,0))))+SUMPRODUCT((Inputs!$C$5:$C$110=$B18)*ISNUMBER(INDEX(Inputs!$K$5:$AJ$110,0,MATCH(AC$2,Inputs!$K$4:$AJ$4,0))))+SUMPRODUCT((Inputs!$E$5:$E$110=$B18)*ISNUMBER(INDEX(Inputs!$K$5:$AJ$110,0,MATCH(AC$2,Inputs!$K$4:$AJ$4,0))))=0,NA(),SUMPRODUCT((Inputs!$A$5:$A$110=$B18)*Inputs!$B$5:$B$110*(((Inputs!$G$5:$G$110="moeda")+(Inputs!$G$5:$G$110="acoes"))*Inputs!$B$1+((Inputs!$G$5:$G$110&lt;&gt;"moeda")*(Inputs!$G$5:$G$110&lt;&gt;"acoes")))*INDEX(Inputs!$K$5:$AJ$110,0,MATCH(AC$2,Inputs!$K$4:$AJ$4,0)))+SUMPRODUCT((Inputs!$C$5:$C$110=$B18)*Inputs!$D$5:$D$110*(((Inputs!$G$5:$G$110="moeda")+(Inputs!$G$5:$G$110="acoes"))*Inputs!$B$1+((Inputs!$G$5:$G$110&lt;&gt;"moeda")*(Inputs!$G$5:$G$110&lt;&gt;"acoes")))*INDEX(Inputs!$K$5:$AJ$110,0,MATCH(AC$2,Inputs!$K$4:$AJ$4,0)))+SUMPRODUCT((Inputs!$E$5:$E$110=$B18)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8" s="267">
        <f>IF(ISNA(MATCH(AD$2,Inputs!$K$4:$AJ$4,0)),NA(),IF(SUMPRODUCT((Inputs!$A$5:$A$110=$B18)*ISNUMBER(INDEX(Inputs!$K$5:$AJ$110,0,MATCH(AD$2,Inputs!$K$4:$AJ$4,0))))+SUMPRODUCT((Inputs!$C$5:$C$110=$B18)*ISNUMBER(INDEX(Inputs!$K$5:$AJ$110,0,MATCH(AD$2,Inputs!$K$4:$AJ$4,0))))+SUMPRODUCT((Inputs!$E$5:$E$110=$B18)*ISNUMBER(INDEX(Inputs!$K$5:$AJ$110,0,MATCH(AD$2,Inputs!$K$4:$AJ$4,0))))=0,NA(),SUMPRODUCT((Inputs!$A$5:$A$110=$B18)*Inputs!$B$5:$B$110*(((Inputs!$G$5:$G$110="moeda")+(Inputs!$G$5:$G$110="acoes"))*Inputs!$B$1+((Inputs!$G$5:$G$110&lt;&gt;"moeda")*(Inputs!$G$5:$G$110&lt;&gt;"acoes")))*INDEX(Inputs!$K$5:$AJ$110,0,MATCH(AD$2,Inputs!$K$4:$AJ$4,0)))+SUMPRODUCT((Inputs!$C$5:$C$110=$B18)*Inputs!$D$5:$D$110*(((Inputs!$G$5:$G$110="moeda")+(Inputs!$G$5:$G$110="acoes"))*Inputs!$B$1+((Inputs!$G$5:$G$110&lt;&gt;"moeda")*(Inputs!$G$5:$G$110&lt;&gt;"acoes")))*INDEX(Inputs!$K$5:$AJ$110,0,MATCH(AD$2,Inputs!$K$4:$AJ$4,0)))+SUMPRODUCT((Inputs!$E$5:$E$110=$B18)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8" s="267" t="e">
        <f>IF(ISNA(MATCH(AE$2,Inputs!$K$4:$AJ$4,0)),NA(),IF(SUMPRODUCT((Inputs!$A$5:$A$110=$B18)*ISNUMBER(INDEX(Inputs!$K$5:$AJ$110,0,MATCH(AE$2,Inputs!$K$4:$AJ$4,0))))+SUMPRODUCT((Inputs!$C$5:$C$110=$B18)*ISNUMBER(INDEX(Inputs!$K$5:$AJ$110,0,MATCH(AE$2,Inputs!$K$4:$AJ$4,0))))+SUMPRODUCT((Inputs!$E$5:$E$110=$B18)*ISNUMBER(INDEX(Inputs!$K$5:$AJ$110,0,MATCH(AE$2,Inputs!$K$4:$AJ$4,0))))=0,NA(),SUMPRODUCT((Inputs!$A$5:$A$110=$B18)*Inputs!$B$5:$B$110*(((Inputs!$G$5:$G$110="moeda")+(Inputs!$G$5:$G$110="acoes"))*Inputs!$B$1+((Inputs!$G$5:$G$110&lt;&gt;"moeda")*(Inputs!$G$5:$G$110&lt;&gt;"acoes")))*INDEX(Inputs!$K$5:$AJ$110,0,MATCH(AE$2,Inputs!$K$4:$AJ$4,0)))+SUMPRODUCT((Inputs!$C$5:$C$110=$B18)*Inputs!$D$5:$D$110*(((Inputs!$G$5:$G$110="moeda")+(Inputs!$G$5:$G$110="acoes"))*Inputs!$B$1+((Inputs!$G$5:$G$110&lt;&gt;"moeda")*(Inputs!$G$5:$G$110&lt;&gt;"acoes")))*INDEX(Inputs!$K$5:$AJ$110,0,MATCH(AE$2,Inputs!$K$4:$AJ$4,0)))+SUMPRODUCT((Inputs!$E$5:$E$110=$B18)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8" s="267" t="e">
        <f>IF(ISNA(MATCH(AF$2,Inputs!$K$4:$AJ$4,0)),NA(),IF(SUMPRODUCT((Inputs!$A$5:$A$110=$B18)*ISNUMBER(INDEX(Inputs!$K$5:$AJ$110,0,MATCH(AF$2,Inputs!$K$4:$AJ$4,0))))+SUMPRODUCT((Inputs!$C$5:$C$110=$B18)*ISNUMBER(INDEX(Inputs!$K$5:$AJ$110,0,MATCH(AF$2,Inputs!$K$4:$AJ$4,0))))+SUMPRODUCT((Inputs!$E$5:$E$110=$B18)*ISNUMBER(INDEX(Inputs!$K$5:$AJ$110,0,MATCH(AF$2,Inputs!$K$4:$AJ$4,0))))=0,NA(),SUMPRODUCT((Inputs!$A$5:$A$110=$B18)*Inputs!$B$5:$B$110*(((Inputs!$G$5:$G$110="moeda")+(Inputs!$G$5:$G$110="acoes"))*Inputs!$B$1+((Inputs!$G$5:$G$110&lt;&gt;"moeda")*(Inputs!$G$5:$G$110&lt;&gt;"acoes")))*INDEX(Inputs!$K$5:$AJ$110,0,MATCH(AF$2,Inputs!$K$4:$AJ$4,0)))+SUMPRODUCT((Inputs!$C$5:$C$110=$B18)*Inputs!$D$5:$D$110*(((Inputs!$G$5:$G$110="moeda")+(Inputs!$G$5:$G$110="acoes"))*Inputs!$B$1+((Inputs!$G$5:$G$110&lt;&gt;"moeda")*(Inputs!$G$5:$G$110&lt;&gt;"acoes")))*INDEX(Inputs!$K$5:$AJ$110,0,MATCH(AF$2,Inputs!$K$4:$AJ$4,0)))+SUMPRODUCT((Inputs!$E$5:$E$110=$B18)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8" s="268" t="e">
        <f>AF18</f>
        <v>#N/A</v>
      </c>
      <c r="AH18" s="267">
        <f>IF(ISNA(MATCH(AH$2,Inputs!$K$4:$AJ$4,0)),NA(),IF(SUMPRODUCT((Inputs!$A$5:$A$110=$B18)*ISNUMBER(INDEX(Inputs!$K$5:$AJ$110,0,MATCH(AH$2,Inputs!$K$4:$AJ$4,0))))+SUMPRODUCT((Inputs!$C$5:$C$110=$B18)*ISNUMBER(INDEX(Inputs!$K$5:$AJ$110,0,MATCH(AH$2,Inputs!$K$4:$AJ$4,0))))+SUMPRODUCT((Inputs!$E$5:$E$110=$B18)*ISNUMBER(INDEX(Inputs!$K$5:$AJ$110,0,MATCH(AH$2,Inputs!$K$4:$AJ$4,0))))=0,NA(),SUMPRODUCT((Inputs!$A$5:$A$110=$B18)*Inputs!$B$5:$B$110*(((Inputs!$G$5:$G$110="moeda")+(Inputs!$G$5:$G$110="acoes"))*Inputs!$B$1+((Inputs!$G$5:$G$110&lt;&gt;"moeda")*(Inputs!$G$5:$G$110&lt;&gt;"acoes")))*INDEX(Inputs!$K$5:$AJ$110,0,MATCH(AH$2,Inputs!$K$4:$AJ$4,0)))+SUMPRODUCT((Inputs!$C$5:$C$110=$B18)*Inputs!$D$5:$D$110*(((Inputs!$G$5:$G$110="moeda")+(Inputs!$G$5:$G$110="acoes"))*Inputs!$B$1+((Inputs!$G$5:$G$110&lt;&gt;"moeda")*(Inputs!$G$5:$G$110&lt;&gt;"acoes")))*INDEX(Inputs!$K$5:$AJ$110,0,MATCH(AH$2,Inputs!$K$4:$AJ$4,0)))+SUMPRODUCT((Inputs!$E$5:$E$110=$B18)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8" s="267">
        <f>IF(ISNA(MATCH(AI$2,Inputs!$K$4:$AJ$4,0)),NA(),IF(SUMPRODUCT((Inputs!$A$5:$A$110=$B18)*ISNUMBER(INDEX(Inputs!$K$5:$AJ$110,0,MATCH(AI$2,Inputs!$K$4:$AJ$4,0))))+SUMPRODUCT((Inputs!$C$5:$C$110=$B18)*ISNUMBER(INDEX(Inputs!$K$5:$AJ$110,0,MATCH(AI$2,Inputs!$K$4:$AJ$4,0))))+SUMPRODUCT((Inputs!$E$5:$E$110=$B18)*ISNUMBER(INDEX(Inputs!$K$5:$AJ$110,0,MATCH(AI$2,Inputs!$K$4:$AJ$4,0))))=0,NA(),SUMPRODUCT((Inputs!$A$5:$A$110=$B18)*Inputs!$B$5:$B$110*(((Inputs!$G$5:$G$110="moeda")+(Inputs!$G$5:$G$110="acoes"))*Inputs!$B$1+((Inputs!$G$5:$G$110&lt;&gt;"moeda")*(Inputs!$G$5:$G$110&lt;&gt;"acoes")))*INDEX(Inputs!$K$5:$AJ$110,0,MATCH(AI$2,Inputs!$K$4:$AJ$4,0)))+SUMPRODUCT((Inputs!$C$5:$C$110=$B18)*Inputs!$D$5:$D$110*(((Inputs!$G$5:$G$110="moeda")+(Inputs!$G$5:$G$110="acoes"))*Inputs!$B$1+((Inputs!$G$5:$G$110&lt;&gt;"moeda")*(Inputs!$G$5:$G$110&lt;&gt;"acoes")))*INDEX(Inputs!$K$5:$AJ$110,0,MATCH(AI$2,Inputs!$K$4:$AJ$4,0)))+SUMPRODUCT((Inputs!$E$5:$E$110=$B18)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8" s="267">
        <f>IF(ISNA(MATCH(AJ$2,Inputs!$K$4:$AJ$4,0)),NA(),IF(SUMPRODUCT((Inputs!$A$5:$A$110=$B18)*ISNUMBER(INDEX(Inputs!$K$5:$AJ$110,0,MATCH(AJ$2,Inputs!$K$4:$AJ$4,0))))+SUMPRODUCT((Inputs!$C$5:$C$110=$B18)*ISNUMBER(INDEX(Inputs!$K$5:$AJ$110,0,MATCH(AJ$2,Inputs!$K$4:$AJ$4,0))))+SUMPRODUCT((Inputs!$E$5:$E$110=$B18)*ISNUMBER(INDEX(Inputs!$K$5:$AJ$110,0,MATCH(AJ$2,Inputs!$K$4:$AJ$4,0))))=0,NA(),SUMPRODUCT((Inputs!$A$5:$A$110=$B18)*Inputs!$B$5:$B$110*(((Inputs!$G$5:$G$110="moeda")+(Inputs!$G$5:$G$110="acoes"))*Inputs!$B$1+((Inputs!$G$5:$G$110&lt;&gt;"moeda")*(Inputs!$G$5:$G$110&lt;&gt;"acoes")))*INDEX(Inputs!$K$5:$AJ$110,0,MATCH(AJ$2,Inputs!$K$4:$AJ$4,0)))+SUMPRODUCT((Inputs!$C$5:$C$110=$B18)*Inputs!$D$5:$D$110*(((Inputs!$G$5:$G$110="moeda")+(Inputs!$G$5:$G$110="acoes"))*Inputs!$B$1+((Inputs!$G$5:$G$110&lt;&gt;"moeda")*(Inputs!$G$5:$G$110&lt;&gt;"acoes")))*INDEX(Inputs!$K$5:$AJ$110,0,MATCH(AJ$2,Inputs!$K$4:$AJ$4,0)))+SUMPRODUCT((Inputs!$E$5:$E$110=$B18)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8" s="267">
        <f>IF(ISNA(MATCH(AK$2,Inputs!$K$4:$AJ$4,0)),NA(),IF(SUMPRODUCT((Inputs!$A$5:$A$110=$B18)*ISNUMBER(INDEX(Inputs!$K$5:$AJ$110,0,MATCH(AK$2,Inputs!$K$4:$AJ$4,0))))+SUMPRODUCT((Inputs!$C$5:$C$110=$B18)*ISNUMBER(INDEX(Inputs!$K$5:$AJ$110,0,MATCH(AK$2,Inputs!$K$4:$AJ$4,0))))+SUMPRODUCT((Inputs!$E$5:$E$110=$B18)*ISNUMBER(INDEX(Inputs!$K$5:$AJ$110,0,MATCH(AK$2,Inputs!$K$4:$AJ$4,0))))=0,NA(),SUMPRODUCT((Inputs!$A$5:$A$110=$B18)*Inputs!$B$5:$B$110*(((Inputs!$G$5:$G$110="moeda")+(Inputs!$G$5:$G$110="acoes"))*Inputs!$B$1+((Inputs!$G$5:$G$110&lt;&gt;"moeda")*(Inputs!$G$5:$G$110&lt;&gt;"acoes")))*INDEX(Inputs!$K$5:$AJ$110,0,MATCH(AK$2,Inputs!$K$4:$AJ$4,0)))+SUMPRODUCT((Inputs!$C$5:$C$110=$B18)*Inputs!$D$5:$D$110*(((Inputs!$G$5:$G$110="moeda")+(Inputs!$G$5:$G$110="acoes"))*Inputs!$B$1+((Inputs!$G$5:$G$110&lt;&gt;"moeda")*(Inputs!$G$5:$G$110&lt;&gt;"acoes")))*INDEX(Inputs!$K$5:$AJ$110,0,MATCH(AK$2,Inputs!$K$4:$AJ$4,0)))+SUMPRODUCT((Inputs!$E$5:$E$110=$B18)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8" s="268">
        <f>AK18</f>
        <v>0</v>
      </c>
    </row>
    <row r="19" ht="12.75" customHeight="1" s="255">
      <c r="B19" s="265" t="n">
        <v>15</v>
      </c>
      <c r="C19" s="270" t="inlineStr">
        <is>
          <t>Prepaid expenses</t>
        </is>
      </c>
      <c r="D19" s="267">
        <f>IF(ISNA(MATCH(D$2,Inputs!$K$4:$AJ$4,0)),NA(),IF(SUMPRODUCT((Inputs!$A$5:$A$110=$B19)*ISNUMBER(INDEX(Inputs!$K$5:$AJ$110,0,MATCH(D$2,Inputs!$K$4:$AJ$4,0))))+SUMPRODUCT((Inputs!$C$5:$C$110=$B19)*ISNUMBER(INDEX(Inputs!$K$5:$AJ$110,0,MATCH(D$2,Inputs!$K$4:$AJ$4,0))))+SUMPRODUCT((Inputs!$E$5:$E$110=$B19)*ISNUMBER(INDEX(Inputs!$K$5:$AJ$110,0,MATCH(D$2,Inputs!$K$4:$AJ$4,0))))=0,NA(),SUMPRODUCT((Inputs!$A$5:$A$110=$B19)*Inputs!$B$5:$B$110*(((Inputs!$G$5:$G$110="moeda")+(Inputs!$G$5:$G$110="acoes"))*Inputs!$B$1+((Inputs!$G$5:$G$110&lt;&gt;"moeda")*(Inputs!$G$5:$G$110&lt;&gt;"acoes")))*INDEX(Inputs!$K$5:$AJ$110,0,MATCH(D$2,Inputs!$K$4:$AJ$4,0)))+SUMPRODUCT((Inputs!$C$5:$C$110=$B19)*Inputs!$D$5:$D$110*(((Inputs!$G$5:$G$110="moeda")+(Inputs!$G$5:$G$110="acoes"))*Inputs!$B$1+((Inputs!$G$5:$G$110&lt;&gt;"moeda")*(Inputs!$G$5:$G$110&lt;&gt;"acoes")))*INDEX(Inputs!$K$5:$AJ$110,0,MATCH(D$2,Inputs!$K$4:$AJ$4,0)))+SUMPRODUCT((Inputs!$E$5:$E$110=$B19)*Inputs!$F$5:$F$110*(((Inputs!$G$5:$G$110="moeda")+(Inputs!$G$5:$G$110="acoes"))*Inputs!$B$1+((Inputs!$G$5:$G$110&lt;&gt;"moeda")*(Inputs!$G$5:$G$110&lt;&gt;"acoes")))*INDEX(Inputs!$K$5:$AJ$110,0,MATCH(D$2,Inputs!$K$4:$AJ$4,0)))))</f>
        <v>0</v>
      </c>
      <c r="E19" s="267">
        <f>IF(ISNA(MATCH(E$2,Inputs!$K$4:$AJ$4,0)),NA(),IF(SUMPRODUCT((Inputs!$A$5:$A$110=$B19)*ISNUMBER(INDEX(Inputs!$K$5:$AJ$110,0,MATCH(E$2,Inputs!$K$4:$AJ$4,0))))+SUMPRODUCT((Inputs!$C$5:$C$110=$B19)*ISNUMBER(INDEX(Inputs!$K$5:$AJ$110,0,MATCH(E$2,Inputs!$K$4:$AJ$4,0))))+SUMPRODUCT((Inputs!$E$5:$E$110=$B19)*ISNUMBER(INDEX(Inputs!$K$5:$AJ$110,0,MATCH(E$2,Inputs!$K$4:$AJ$4,0))))=0,NA(),SUMPRODUCT((Inputs!$A$5:$A$110=$B19)*Inputs!$B$5:$B$110*(((Inputs!$G$5:$G$110="moeda")+(Inputs!$G$5:$G$110="acoes"))*Inputs!$B$1+((Inputs!$G$5:$G$110&lt;&gt;"moeda")*(Inputs!$G$5:$G$110&lt;&gt;"acoes")))*INDEX(Inputs!$K$5:$AJ$110,0,MATCH(E$2,Inputs!$K$4:$AJ$4,0)))+SUMPRODUCT((Inputs!$C$5:$C$110=$B19)*Inputs!$D$5:$D$110*(((Inputs!$G$5:$G$110="moeda")+(Inputs!$G$5:$G$110="acoes"))*Inputs!$B$1+((Inputs!$G$5:$G$110&lt;&gt;"moeda")*(Inputs!$G$5:$G$110&lt;&gt;"acoes")))*INDEX(Inputs!$K$5:$AJ$110,0,MATCH(E$2,Inputs!$K$4:$AJ$4,0)))+SUMPRODUCT((Inputs!$E$5:$E$110=$B19)*Inputs!$F$5:$F$110*(((Inputs!$G$5:$G$110="moeda")+(Inputs!$G$5:$G$110="acoes"))*Inputs!$B$1+((Inputs!$G$5:$G$110&lt;&gt;"moeda")*(Inputs!$G$5:$G$110&lt;&gt;"acoes")))*INDEX(Inputs!$K$5:$AJ$110,0,MATCH(E$2,Inputs!$K$4:$AJ$4,0)))))</f>
        <v>0</v>
      </c>
      <c r="F19" s="267">
        <f>IF(ISNA(MATCH(F$2,Inputs!$K$4:$AJ$4,0)),NA(),IF(SUMPRODUCT((Inputs!$A$5:$A$110=$B19)*ISNUMBER(INDEX(Inputs!$K$5:$AJ$110,0,MATCH(F$2,Inputs!$K$4:$AJ$4,0))))+SUMPRODUCT((Inputs!$C$5:$C$110=$B19)*ISNUMBER(INDEX(Inputs!$K$5:$AJ$110,0,MATCH(F$2,Inputs!$K$4:$AJ$4,0))))+SUMPRODUCT((Inputs!$E$5:$E$110=$B19)*ISNUMBER(INDEX(Inputs!$K$5:$AJ$110,0,MATCH(F$2,Inputs!$K$4:$AJ$4,0))))=0,NA(),SUMPRODUCT((Inputs!$A$5:$A$110=$B19)*Inputs!$B$5:$B$110*(((Inputs!$G$5:$G$110="moeda")+(Inputs!$G$5:$G$110="acoes"))*Inputs!$B$1+((Inputs!$G$5:$G$110&lt;&gt;"moeda")*(Inputs!$G$5:$G$110&lt;&gt;"acoes")))*INDEX(Inputs!$K$5:$AJ$110,0,MATCH(F$2,Inputs!$K$4:$AJ$4,0)))+SUMPRODUCT((Inputs!$C$5:$C$110=$B19)*Inputs!$D$5:$D$110*(((Inputs!$G$5:$G$110="moeda")+(Inputs!$G$5:$G$110="acoes"))*Inputs!$B$1+((Inputs!$G$5:$G$110&lt;&gt;"moeda")*(Inputs!$G$5:$G$110&lt;&gt;"acoes")))*INDEX(Inputs!$K$5:$AJ$110,0,MATCH(F$2,Inputs!$K$4:$AJ$4,0)))+SUMPRODUCT((Inputs!$E$5:$E$110=$B19)*Inputs!$F$5:$F$110*(((Inputs!$G$5:$G$110="moeda")+(Inputs!$G$5:$G$110="acoes"))*Inputs!$B$1+((Inputs!$G$5:$G$110&lt;&gt;"moeda")*(Inputs!$G$5:$G$110&lt;&gt;"acoes")))*INDEX(Inputs!$K$5:$AJ$110,0,MATCH(F$2,Inputs!$K$4:$AJ$4,0)))))</f>
        <v>0</v>
      </c>
      <c r="G19" s="267">
        <f>IF(ISNA(MATCH(G$2,Inputs!$K$4:$AJ$4,0)),NA(),IF(SUMPRODUCT((Inputs!$A$5:$A$110=$B19)*ISNUMBER(INDEX(Inputs!$K$5:$AJ$110,0,MATCH(G$2,Inputs!$K$4:$AJ$4,0))))+SUMPRODUCT((Inputs!$C$5:$C$110=$B19)*ISNUMBER(INDEX(Inputs!$K$5:$AJ$110,0,MATCH(G$2,Inputs!$K$4:$AJ$4,0))))+SUMPRODUCT((Inputs!$E$5:$E$110=$B19)*ISNUMBER(INDEX(Inputs!$K$5:$AJ$110,0,MATCH(G$2,Inputs!$K$4:$AJ$4,0))))=0,NA(),SUMPRODUCT((Inputs!$A$5:$A$110=$B19)*Inputs!$B$5:$B$110*(((Inputs!$G$5:$G$110="moeda")+(Inputs!$G$5:$G$110="acoes"))*Inputs!$B$1+((Inputs!$G$5:$G$110&lt;&gt;"moeda")*(Inputs!$G$5:$G$110&lt;&gt;"acoes")))*INDEX(Inputs!$K$5:$AJ$110,0,MATCH(G$2,Inputs!$K$4:$AJ$4,0)))+SUMPRODUCT((Inputs!$C$5:$C$110=$B19)*Inputs!$D$5:$D$110*(((Inputs!$G$5:$G$110="moeda")+(Inputs!$G$5:$G$110="acoes"))*Inputs!$B$1+((Inputs!$G$5:$G$110&lt;&gt;"moeda")*(Inputs!$G$5:$G$110&lt;&gt;"acoes")))*INDEX(Inputs!$K$5:$AJ$110,0,MATCH(G$2,Inputs!$K$4:$AJ$4,0)))+SUMPRODUCT((Inputs!$E$5:$E$110=$B19)*Inputs!$F$5:$F$110*(((Inputs!$G$5:$G$110="moeda")+(Inputs!$G$5:$G$110="acoes"))*Inputs!$B$1+((Inputs!$G$5:$G$110&lt;&gt;"moeda")*(Inputs!$G$5:$G$110&lt;&gt;"acoes")))*INDEX(Inputs!$K$5:$AJ$110,0,MATCH(G$2,Inputs!$K$4:$AJ$4,0)))))</f>
        <v>0</v>
      </c>
      <c r="H19" s="268">
        <f>G19</f>
        <v>0</v>
      </c>
      <c r="I19" s="267">
        <f>IF(ISNA(MATCH(I$2,Inputs!$K$4:$AJ$4,0)),NA(),IF(SUMPRODUCT((Inputs!$A$5:$A$110=$B19)*ISNUMBER(INDEX(Inputs!$K$5:$AJ$110,0,MATCH(I$2,Inputs!$K$4:$AJ$4,0))))+SUMPRODUCT((Inputs!$C$5:$C$110=$B19)*ISNUMBER(INDEX(Inputs!$K$5:$AJ$110,0,MATCH(I$2,Inputs!$K$4:$AJ$4,0))))+SUMPRODUCT((Inputs!$E$5:$E$110=$B19)*ISNUMBER(INDEX(Inputs!$K$5:$AJ$110,0,MATCH(I$2,Inputs!$K$4:$AJ$4,0))))=0,NA(),SUMPRODUCT((Inputs!$A$5:$A$110=$B19)*Inputs!$B$5:$B$110*(((Inputs!$G$5:$G$110="moeda")+(Inputs!$G$5:$G$110="acoes"))*Inputs!$B$1+((Inputs!$G$5:$G$110&lt;&gt;"moeda")*(Inputs!$G$5:$G$110&lt;&gt;"acoes")))*INDEX(Inputs!$K$5:$AJ$110,0,MATCH(I$2,Inputs!$K$4:$AJ$4,0)))+SUMPRODUCT((Inputs!$C$5:$C$110=$B19)*Inputs!$D$5:$D$110*(((Inputs!$G$5:$G$110="moeda")+(Inputs!$G$5:$G$110="acoes"))*Inputs!$B$1+((Inputs!$G$5:$G$110&lt;&gt;"moeda")*(Inputs!$G$5:$G$110&lt;&gt;"acoes")))*INDEX(Inputs!$K$5:$AJ$110,0,MATCH(I$2,Inputs!$K$4:$AJ$4,0)))+SUMPRODUCT((Inputs!$E$5:$E$110=$B19)*Inputs!$F$5:$F$110*(((Inputs!$G$5:$G$110="moeda")+(Inputs!$G$5:$G$110="acoes"))*Inputs!$B$1+((Inputs!$G$5:$G$110&lt;&gt;"moeda")*(Inputs!$G$5:$G$110&lt;&gt;"acoes")))*INDEX(Inputs!$K$5:$AJ$110,0,MATCH(I$2,Inputs!$K$4:$AJ$4,0)))))</f>
        <v>0</v>
      </c>
      <c r="J19" s="267">
        <f>IF(ISNA(MATCH(J$2,Inputs!$K$4:$AJ$4,0)),NA(),IF(SUMPRODUCT((Inputs!$A$5:$A$110=$B19)*ISNUMBER(INDEX(Inputs!$K$5:$AJ$110,0,MATCH(J$2,Inputs!$K$4:$AJ$4,0))))+SUMPRODUCT((Inputs!$C$5:$C$110=$B19)*ISNUMBER(INDEX(Inputs!$K$5:$AJ$110,0,MATCH(J$2,Inputs!$K$4:$AJ$4,0))))+SUMPRODUCT((Inputs!$E$5:$E$110=$B19)*ISNUMBER(INDEX(Inputs!$K$5:$AJ$110,0,MATCH(J$2,Inputs!$K$4:$AJ$4,0))))=0,NA(),SUMPRODUCT((Inputs!$A$5:$A$110=$B19)*Inputs!$B$5:$B$110*(((Inputs!$G$5:$G$110="moeda")+(Inputs!$G$5:$G$110="acoes"))*Inputs!$B$1+((Inputs!$G$5:$G$110&lt;&gt;"moeda")*(Inputs!$G$5:$G$110&lt;&gt;"acoes")))*INDEX(Inputs!$K$5:$AJ$110,0,MATCH(J$2,Inputs!$K$4:$AJ$4,0)))+SUMPRODUCT((Inputs!$C$5:$C$110=$B19)*Inputs!$D$5:$D$110*(((Inputs!$G$5:$G$110="moeda")+(Inputs!$G$5:$G$110="acoes"))*Inputs!$B$1+((Inputs!$G$5:$G$110&lt;&gt;"moeda")*(Inputs!$G$5:$G$110&lt;&gt;"acoes")))*INDEX(Inputs!$K$5:$AJ$110,0,MATCH(J$2,Inputs!$K$4:$AJ$4,0)))+SUMPRODUCT((Inputs!$E$5:$E$110=$B19)*Inputs!$F$5:$F$110*(((Inputs!$G$5:$G$110="moeda")+(Inputs!$G$5:$G$110="acoes"))*Inputs!$B$1+((Inputs!$G$5:$G$110&lt;&gt;"moeda")*(Inputs!$G$5:$G$110&lt;&gt;"acoes")))*INDEX(Inputs!$K$5:$AJ$110,0,MATCH(J$2,Inputs!$K$4:$AJ$4,0)))))</f>
        <v>0</v>
      </c>
      <c r="K19" s="267">
        <f>IF(ISNA(MATCH(K$2,Inputs!$K$4:$AJ$4,0)),NA(),IF(SUMPRODUCT((Inputs!$A$5:$A$110=$B19)*ISNUMBER(INDEX(Inputs!$K$5:$AJ$110,0,MATCH(K$2,Inputs!$K$4:$AJ$4,0))))+SUMPRODUCT((Inputs!$C$5:$C$110=$B19)*ISNUMBER(INDEX(Inputs!$K$5:$AJ$110,0,MATCH(K$2,Inputs!$K$4:$AJ$4,0))))+SUMPRODUCT((Inputs!$E$5:$E$110=$B19)*ISNUMBER(INDEX(Inputs!$K$5:$AJ$110,0,MATCH(K$2,Inputs!$K$4:$AJ$4,0))))=0,NA(),SUMPRODUCT((Inputs!$A$5:$A$110=$B19)*Inputs!$B$5:$B$110*(((Inputs!$G$5:$G$110="moeda")+(Inputs!$G$5:$G$110="acoes"))*Inputs!$B$1+((Inputs!$G$5:$G$110&lt;&gt;"moeda")*(Inputs!$G$5:$G$110&lt;&gt;"acoes")))*INDEX(Inputs!$K$5:$AJ$110,0,MATCH(K$2,Inputs!$K$4:$AJ$4,0)))+SUMPRODUCT((Inputs!$C$5:$C$110=$B19)*Inputs!$D$5:$D$110*(((Inputs!$G$5:$G$110="moeda")+(Inputs!$G$5:$G$110="acoes"))*Inputs!$B$1+((Inputs!$G$5:$G$110&lt;&gt;"moeda")*(Inputs!$G$5:$G$110&lt;&gt;"acoes")))*INDEX(Inputs!$K$5:$AJ$110,0,MATCH(K$2,Inputs!$K$4:$AJ$4,0)))+SUMPRODUCT((Inputs!$E$5:$E$110=$B19)*Inputs!$F$5:$F$110*(((Inputs!$G$5:$G$110="moeda")+(Inputs!$G$5:$G$110="acoes"))*Inputs!$B$1+((Inputs!$G$5:$G$110&lt;&gt;"moeda")*(Inputs!$G$5:$G$110&lt;&gt;"acoes")))*INDEX(Inputs!$K$5:$AJ$110,0,MATCH(K$2,Inputs!$K$4:$AJ$4,0)))))</f>
        <v>0</v>
      </c>
      <c r="L19" s="267">
        <f>IF(ISNA(MATCH(L$2,Inputs!$K$4:$AJ$4,0)),NA(),IF(SUMPRODUCT((Inputs!$A$5:$A$110=$B19)*ISNUMBER(INDEX(Inputs!$K$5:$AJ$110,0,MATCH(L$2,Inputs!$K$4:$AJ$4,0))))+SUMPRODUCT((Inputs!$C$5:$C$110=$B19)*ISNUMBER(INDEX(Inputs!$K$5:$AJ$110,0,MATCH(L$2,Inputs!$K$4:$AJ$4,0))))+SUMPRODUCT((Inputs!$E$5:$E$110=$B19)*ISNUMBER(INDEX(Inputs!$K$5:$AJ$110,0,MATCH(L$2,Inputs!$K$4:$AJ$4,0))))=0,NA(),SUMPRODUCT((Inputs!$A$5:$A$110=$B19)*Inputs!$B$5:$B$110*(((Inputs!$G$5:$G$110="moeda")+(Inputs!$G$5:$G$110="acoes"))*Inputs!$B$1+((Inputs!$G$5:$G$110&lt;&gt;"moeda")*(Inputs!$G$5:$G$110&lt;&gt;"acoes")))*INDEX(Inputs!$K$5:$AJ$110,0,MATCH(L$2,Inputs!$K$4:$AJ$4,0)))+SUMPRODUCT((Inputs!$C$5:$C$110=$B19)*Inputs!$D$5:$D$110*(((Inputs!$G$5:$G$110="moeda")+(Inputs!$G$5:$G$110="acoes"))*Inputs!$B$1+((Inputs!$G$5:$G$110&lt;&gt;"moeda")*(Inputs!$G$5:$G$110&lt;&gt;"acoes")))*INDEX(Inputs!$K$5:$AJ$110,0,MATCH(L$2,Inputs!$K$4:$AJ$4,0)))+SUMPRODUCT((Inputs!$E$5:$E$110=$B19)*Inputs!$F$5:$F$110*(((Inputs!$G$5:$G$110="moeda")+(Inputs!$G$5:$G$110="acoes"))*Inputs!$B$1+((Inputs!$G$5:$G$110&lt;&gt;"moeda")*(Inputs!$G$5:$G$110&lt;&gt;"acoes")))*INDEX(Inputs!$K$5:$AJ$110,0,MATCH(L$2,Inputs!$K$4:$AJ$4,0)))))</f>
        <v>0</v>
      </c>
      <c r="M19" s="268">
        <f>L19</f>
        <v>0</v>
      </c>
      <c r="N19" s="267">
        <f>IF(ISNA(MATCH(N$2,Inputs!$K$4:$AJ$4,0)),NA(),IF(SUMPRODUCT((Inputs!$A$5:$A$110=$B19)*ISNUMBER(INDEX(Inputs!$K$5:$AJ$110,0,MATCH(N$2,Inputs!$K$4:$AJ$4,0))))+SUMPRODUCT((Inputs!$C$5:$C$110=$B19)*ISNUMBER(INDEX(Inputs!$K$5:$AJ$110,0,MATCH(N$2,Inputs!$K$4:$AJ$4,0))))+SUMPRODUCT((Inputs!$E$5:$E$110=$B19)*ISNUMBER(INDEX(Inputs!$K$5:$AJ$110,0,MATCH(N$2,Inputs!$K$4:$AJ$4,0))))=0,NA(),SUMPRODUCT((Inputs!$A$5:$A$110=$B19)*Inputs!$B$5:$B$110*(((Inputs!$G$5:$G$110="moeda")+(Inputs!$G$5:$G$110="acoes"))*Inputs!$B$1+((Inputs!$G$5:$G$110&lt;&gt;"moeda")*(Inputs!$G$5:$G$110&lt;&gt;"acoes")))*INDEX(Inputs!$K$5:$AJ$110,0,MATCH(N$2,Inputs!$K$4:$AJ$4,0)))+SUMPRODUCT((Inputs!$C$5:$C$110=$B19)*Inputs!$D$5:$D$110*(((Inputs!$G$5:$G$110="moeda")+(Inputs!$G$5:$G$110="acoes"))*Inputs!$B$1+((Inputs!$G$5:$G$110&lt;&gt;"moeda")*(Inputs!$G$5:$G$110&lt;&gt;"acoes")))*INDEX(Inputs!$K$5:$AJ$110,0,MATCH(N$2,Inputs!$K$4:$AJ$4,0)))+SUMPRODUCT((Inputs!$E$5:$E$110=$B19)*Inputs!$F$5:$F$110*(((Inputs!$G$5:$G$110="moeda")+(Inputs!$G$5:$G$110="acoes"))*Inputs!$B$1+((Inputs!$G$5:$G$110&lt;&gt;"moeda")*(Inputs!$G$5:$G$110&lt;&gt;"acoes")))*INDEX(Inputs!$K$5:$AJ$110,0,MATCH(N$2,Inputs!$K$4:$AJ$4,0)))))</f>
        <v>0</v>
      </c>
      <c r="O19" s="267">
        <f>IF(ISNA(MATCH(O$2,Inputs!$K$4:$AJ$4,0)),NA(),IF(SUMPRODUCT((Inputs!$A$5:$A$110=$B19)*ISNUMBER(INDEX(Inputs!$K$5:$AJ$110,0,MATCH(O$2,Inputs!$K$4:$AJ$4,0))))+SUMPRODUCT((Inputs!$C$5:$C$110=$B19)*ISNUMBER(INDEX(Inputs!$K$5:$AJ$110,0,MATCH(O$2,Inputs!$K$4:$AJ$4,0))))+SUMPRODUCT((Inputs!$E$5:$E$110=$B19)*ISNUMBER(INDEX(Inputs!$K$5:$AJ$110,0,MATCH(O$2,Inputs!$K$4:$AJ$4,0))))=0,NA(),SUMPRODUCT((Inputs!$A$5:$A$110=$B19)*Inputs!$B$5:$B$110*(((Inputs!$G$5:$G$110="moeda")+(Inputs!$G$5:$G$110="acoes"))*Inputs!$B$1+((Inputs!$G$5:$G$110&lt;&gt;"moeda")*(Inputs!$G$5:$G$110&lt;&gt;"acoes")))*INDEX(Inputs!$K$5:$AJ$110,0,MATCH(O$2,Inputs!$K$4:$AJ$4,0)))+SUMPRODUCT((Inputs!$C$5:$C$110=$B19)*Inputs!$D$5:$D$110*(((Inputs!$G$5:$G$110="moeda")+(Inputs!$G$5:$G$110="acoes"))*Inputs!$B$1+((Inputs!$G$5:$G$110&lt;&gt;"moeda")*(Inputs!$G$5:$G$110&lt;&gt;"acoes")))*INDEX(Inputs!$K$5:$AJ$110,0,MATCH(O$2,Inputs!$K$4:$AJ$4,0)))+SUMPRODUCT((Inputs!$E$5:$E$110=$B19)*Inputs!$F$5:$F$110*(((Inputs!$G$5:$G$110="moeda")+(Inputs!$G$5:$G$110="acoes"))*Inputs!$B$1+((Inputs!$G$5:$G$110&lt;&gt;"moeda")*(Inputs!$G$5:$G$110&lt;&gt;"acoes")))*INDEX(Inputs!$K$5:$AJ$110,0,MATCH(O$2,Inputs!$K$4:$AJ$4,0)))))</f>
        <v>0</v>
      </c>
      <c r="P19" s="267">
        <f>IF(ISNA(MATCH(P$2,Inputs!$K$4:$AJ$4,0)),NA(),IF(SUMPRODUCT((Inputs!$A$5:$A$110=$B19)*ISNUMBER(INDEX(Inputs!$K$5:$AJ$110,0,MATCH(P$2,Inputs!$K$4:$AJ$4,0))))+SUMPRODUCT((Inputs!$C$5:$C$110=$B19)*ISNUMBER(INDEX(Inputs!$K$5:$AJ$110,0,MATCH(P$2,Inputs!$K$4:$AJ$4,0))))+SUMPRODUCT((Inputs!$E$5:$E$110=$B19)*ISNUMBER(INDEX(Inputs!$K$5:$AJ$110,0,MATCH(P$2,Inputs!$K$4:$AJ$4,0))))=0,NA(),SUMPRODUCT((Inputs!$A$5:$A$110=$B19)*Inputs!$B$5:$B$110*(((Inputs!$G$5:$G$110="moeda")+(Inputs!$G$5:$G$110="acoes"))*Inputs!$B$1+((Inputs!$G$5:$G$110&lt;&gt;"moeda")*(Inputs!$G$5:$G$110&lt;&gt;"acoes")))*INDEX(Inputs!$K$5:$AJ$110,0,MATCH(P$2,Inputs!$K$4:$AJ$4,0)))+SUMPRODUCT((Inputs!$C$5:$C$110=$B19)*Inputs!$D$5:$D$110*(((Inputs!$G$5:$G$110="moeda")+(Inputs!$G$5:$G$110="acoes"))*Inputs!$B$1+((Inputs!$G$5:$G$110&lt;&gt;"moeda")*(Inputs!$G$5:$G$110&lt;&gt;"acoes")))*INDEX(Inputs!$K$5:$AJ$110,0,MATCH(P$2,Inputs!$K$4:$AJ$4,0)))+SUMPRODUCT((Inputs!$E$5:$E$110=$B19)*Inputs!$F$5:$F$110*(((Inputs!$G$5:$G$110="moeda")+(Inputs!$G$5:$G$110="acoes"))*Inputs!$B$1+((Inputs!$G$5:$G$110&lt;&gt;"moeda")*(Inputs!$G$5:$G$110&lt;&gt;"acoes")))*INDEX(Inputs!$K$5:$AJ$110,0,MATCH(P$2,Inputs!$K$4:$AJ$4,0)))))</f>
        <v>0</v>
      </c>
      <c r="Q19" s="267">
        <f>IF(ISNA(MATCH(Q$2,Inputs!$K$4:$AJ$4,0)),NA(),IF(SUMPRODUCT((Inputs!$A$5:$A$110=$B19)*ISNUMBER(INDEX(Inputs!$K$5:$AJ$110,0,MATCH(Q$2,Inputs!$K$4:$AJ$4,0))))+SUMPRODUCT((Inputs!$C$5:$C$110=$B19)*ISNUMBER(INDEX(Inputs!$K$5:$AJ$110,0,MATCH(Q$2,Inputs!$K$4:$AJ$4,0))))+SUMPRODUCT((Inputs!$E$5:$E$110=$B19)*ISNUMBER(INDEX(Inputs!$K$5:$AJ$110,0,MATCH(Q$2,Inputs!$K$4:$AJ$4,0))))=0,NA(),SUMPRODUCT((Inputs!$A$5:$A$110=$B19)*Inputs!$B$5:$B$110*(((Inputs!$G$5:$G$110="moeda")+(Inputs!$G$5:$G$110="acoes"))*Inputs!$B$1+((Inputs!$G$5:$G$110&lt;&gt;"moeda")*(Inputs!$G$5:$G$110&lt;&gt;"acoes")))*INDEX(Inputs!$K$5:$AJ$110,0,MATCH(Q$2,Inputs!$K$4:$AJ$4,0)))+SUMPRODUCT((Inputs!$C$5:$C$110=$B19)*Inputs!$D$5:$D$110*(((Inputs!$G$5:$G$110="moeda")+(Inputs!$G$5:$G$110="acoes"))*Inputs!$B$1+((Inputs!$G$5:$G$110&lt;&gt;"moeda")*(Inputs!$G$5:$G$110&lt;&gt;"acoes")))*INDEX(Inputs!$K$5:$AJ$110,0,MATCH(Q$2,Inputs!$K$4:$AJ$4,0)))+SUMPRODUCT((Inputs!$E$5:$E$110=$B19)*Inputs!$F$5:$F$110*(((Inputs!$G$5:$G$110="moeda")+(Inputs!$G$5:$G$110="acoes"))*Inputs!$B$1+((Inputs!$G$5:$G$110&lt;&gt;"moeda")*(Inputs!$G$5:$G$110&lt;&gt;"acoes")))*INDEX(Inputs!$K$5:$AJ$110,0,MATCH(Q$2,Inputs!$K$4:$AJ$4,0)))))</f>
        <v>0</v>
      </c>
      <c r="R19" s="268">
        <f>Q19</f>
        <v>0</v>
      </c>
      <c r="S19" s="267">
        <f>IF(ISNA(MATCH(S$2,Inputs!$K$4:$AJ$4,0)),NA(),IF(SUMPRODUCT((Inputs!$A$5:$A$110=$B19)*ISNUMBER(INDEX(Inputs!$K$5:$AJ$110,0,MATCH(S$2,Inputs!$K$4:$AJ$4,0))))+SUMPRODUCT((Inputs!$C$5:$C$110=$B19)*ISNUMBER(INDEX(Inputs!$K$5:$AJ$110,0,MATCH(S$2,Inputs!$K$4:$AJ$4,0))))+SUMPRODUCT((Inputs!$E$5:$E$110=$B19)*ISNUMBER(INDEX(Inputs!$K$5:$AJ$110,0,MATCH(S$2,Inputs!$K$4:$AJ$4,0))))=0,NA(),SUMPRODUCT((Inputs!$A$5:$A$110=$B19)*Inputs!$B$5:$B$110*(((Inputs!$G$5:$G$110="moeda")+(Inputs!$G$5:$G$110="acoes"))*Inputs!$B$1+((Inputs!$G$5:$G$110&lt;&gt;"moeda")*(Inputs!$G$5:$G$110&lt;&gt;"acoes")))*INDEX(Inputs!$K$5:$AJ$110,0,MATCH(S$2,Inputs!$K$4:$AJ$4,0)))+SUMPRODUCT((Inputs!$C$5:$C$110=$B19)*Inputs!$D$5:$D$110*(((Inputs!$G$5:$G$110="moeda")+(Inputs!$G$5:$G$110="acoes"))*Inputs!$B$1+((Inputs!$G$5:$G$110&lt;&gt;"moeda")*(Inputs!$G$5:$G$110&lt;&gt;"acoes")))*INDEX(Inputs!$K$5:$AJ$110,0,MATCH(S$2,Inputs!$K$4:$AJ$4,0)))+SUMPRODUCT((Inputs!$E$5:$E$110=$B19)*Inputs!$F$5:$F$110*(((Inputs!$G$5:$G$110="moeda")+(Inputs!$G$5:$G$110="acoes"))*Inputs!$B$1+((Inputs!$G$5:$G$110&lt;&gt;"moeda")*(Inputs!$G$5:$G$110&lt;&gt;"acoes")))*INDEX(Inputs!$K$5:$AJ$110,0,MATCH(S$2,Inputs!$K$4:$AJ$4,0)))))</f>
        <v>0</v>
      </c>
      <c r="T19" s="267">
        <f>IF(ISNA(MATCH(T$2,Inputs!$K$4:$AJ$4,0)),NA(),IF(SUMPRODUCT((Inputs!$A$5:$A$110=$B19)*ISNUMBER(INDEX(Inputs!$K$5:$AJ$110,0,MATCH(T$2,Inputs!$K$4:$AJ$4,0))))+SUMPRODUCT((Inputs!$C$5:$C$110=$B19)*ISNUMBER(INDEX(Inputs!$K$5:$AJ$110,0,MATCH(T$2,Inputs!$K$4:$AJ$4,0))))+SUMPRODUCT((Inputs!$E$5:$E$110=$B19)*ISNUMBER(INDEX(Inputs!$K$5:$AJ$110,0,MATCH(T$2,Inputs!$K$4:$AJ$4,0))))=0,NA(),SUMPRODUCT((Inputs!$A$5:$A$110=$B19)*Inputs!$B$5:$B$110*(((Inputs!$G$5:$G$110="moeda")+(Inputs!$G$5:$G$110="acoes"))*Inputs!$B$1+((Inputs!$G$5:$G$110&lt;&gt;"moeda")*(Inputs!$G$5:$G$110&lt;&gt;"acoes")))*INDEX(Inputs!$K$5:$AJ$110,0,MATCH(T$2,Inputs!$K$4:$AJ$4,0)))+SUMPRODUCT((Inputs!$C$5:$C$110=$B19)*Inputs!$D$5:$D$110*(((Inputs!$G$5:$G$110="moeda")+(Inputs!$G$5:$G$110="acoes"))*Inputs!$B$1+((Inputs!$G$5:$G$110&lt;&gt;"moeda")*(Inputs!$G$5:$G$110&lt;&gt;"acoes")))*INDEX(Inputs!$K$5:$AJ$110,0,MATCH(T$2,Inputs!$K$4:$AJ$4,0)))+SUMPRODUCT((Inputs!$E$5:$E$110=$B19)*Inputs!$F$5:$F$110*(((Inputs!$G$5:$G$110="moeda")+(Inputs!$G$5:$G$110="acoes"))*Inputs!$B$1+((Inputs!$G$5:$G$110&lt;&gt;"moeda")*(Inputs!$G$5:$G$110&lt;&gt;"acoes")))*INDEX(Inputs!$K$5:$AJ$110,0,MATCH(T$2,Inputs!$K$4:$AJ$4,0)))))</f>
        <v>0</v>
      </c>
      <c r="U19" s="267">
        <f>IF(ISNA(MATCH(U$2,Inputs!$K$4:$AJ$4,0)),NA(),IF(SUMPRODUCT((Inputs!$A$5:$A$110=$B19)*ISNUMBER(INDEX(Inputs!$K$5:$AJ$110,0,MATCH(U$2,Inputs!$K$4:$AJ$4,0))))+SUMPRODUCT((Inputs!$C$5:$C$110=$B19)*ISNUMBER(INDEX(Inputs!$K$5:$AJ$110,0,MATCH(U$2,Inputs!$K$4:$AJ$4,0))))+SUMPRODUCT((Inputs!$E$5:$E$110=$B19)*ISNUMBER(INDEX(Inputs!$K$5:$AJ$110,0,MATCH(U$2,Inputs!$K$4:$AJ$4,0))))=0,NA(),SUMPRODUCT((Inputs!$A$5:$A$110=$B19)*Inputs!$B$5:$B$110*(((Inputs!$G$5:$G$110="moeda")+(Inputs!$G$5:$G$110="acoes"))*Inputs!$B$1+((Inputs!$G$5:$G$110&lt;&gt;"moeda")*(Inputs!$G$5:$G$110&lt;&gt;"acoes")))*INDEX(Inputs!$K$5:$AJ$110,0,MATCH(U$2,Inputs!$K$4:$AJ$4,0)))+SUMPRODUCT((Inputs!$C$5:$C$110=$B19)*Inputs!$D$5:$D$110*(((Inputs!$G$5:$G$110="moeda")+(Inputs!$G$5:$G$110="acoes"))*Inputs!$B$1+((Inputs!$G$5:$G$110&lt;&gt;"moeda")*(Inputs!$G$5:$G$110&lt;&gt;"acoes")))*INDEX(Inputs!$K$5:$AJ$110,0,MATCH(U$2,Inputs!$K$4:$AJ$4,0)))+SUMPRODUCT((Inputs!$E$5:$E$110=$B19)*Inputs!$F$5:$F$110*(((Inputs!$G$5:$G$110="moeda")+(Inputs!$G$5:$G$110="acoes"))*Inputs!$B$1+((Inputs!$G$5:$G$110&lt;&gt;"moeda")*(Inputs!$G$5:$G$110&lt;&gt;"acoes")))*INDEX(Inputs!$K$5:$AJ$110,0,MATCH(U$2,Inputs!$K$4:$AJ$4,0)))))</f>
        <v>0</v>
      </c>
      <c r="V19" s="267">
        <f>IF(ISNA(MATCH(V$2,Inputs!$K$4:$AJ$4,0)),NA(),IF(SUMPRODUCT((Inputs!$A$5:$A$110=$B19)*ISNUMBER(INDEX(Inputs!$K$5:$AJ$110,0,MATCH(V$2,Inputs!$K$4:$AJ$4,0))))+SUMPRODUCT((Inputs!$C$5:$C$110=$B19)*ISNUMBER(INDEX(Inputs!$K$5:$AJ$110,0,MATCH(V$2,Inputs!$K$4:$AJ$4,0))))+SUMPRODUCT((Inputs!$E$5:$E$110=$B19)*ISNUMBER(INDEX(Inputs!$K$5:$AJ$110,0,MATCH(V$2,Inputs!$K$4:$AJ$4,0))))=0,NA(),SUMPRODUCT((Inputs!$A$5:$A$110=$B19)*Inputs!$B$5:$B$110*(((Inputs!$G$5:$G$110="moeda")+(Inputs!$G$5:$G$110="acoes"))*Inputs!$B$1+((Inputs!$G$5:$G$110&lt;&gt;"moeda")*(Inputs!$G$5:$G$110&lt;&gt;"acoes")))*INDEX(Inputs!$K$5:$AJ$110,0,MATCH(V$2,Inputs!$K$4:$AJ$4,0)))+SUMPRODUCT((Inputs!$C$5:$C$110=$B19)*Inputs!$D$5:$D$110*(((Inputs!$G$5:$G$110="moeda")+(Inputs!$G$5:$G$110="acoes"))*Inputs!$B$1+((Inputs!$G$5:$G$110&lt;&gt;"moeda")*(Inputs!$G$5:$G$110&lt;&gt;"acoes")))*INDEX(Inputs!$K$5:$AJ$110,0,MATCH(V$2,Inputs!$K$4:$AJ$4,0)))+SUMPRODUCT((Inputs!$E$5:$E$110=$B19)*Inputs!$F$5:$F$110*(((Inputs!$G$5:$G$110="moeda")+(Inputs!$G$5:$G$110="acoes"))*Inputs!$B$1+((Inputs!$G$5:$G$110&lt;&gt;"moeda")*(Inputs!$G$5:$G$110&lt;&gt;"acoes")))*INDEX(Inputs!$K$5:$AJ$110,0,MATCH(V$2,Inputs!$K$4:$AJ$4,0)))))</f>
        <v>0</v>
      </c>
      <c r="W19" s="268">
        <f>V19</f>
        <v>0</v>
      </c>
      <c r="X19" s="267">
        <f>IF(ISNA(MATCH(X$2,Inputs!$K$4:$AJ$4,0)),NA(),IF(SUMPRODUCT((Inputs!$A$5:$A$110=$B19)*ISNUMBER(INDEX(Inputs!$K$5:$AJ$110,0,MATCH(X$2,Inputs!$K$4:$AJ$4,0))))+SUMPRODUCT((Inputs!$C$5:$C$110=$B19)*ISNUMBER(INDEX(Inputs!$K$5:$AJ$110,0,MATCH(X$2,Inputs!$K$4:$AJ$4,0))))+SUMPRODUCT((Inputs!$E$5:$E$110=$B19)*ISNUMBER(INDEX(Inputs!$K$5:$AJ$110,0,MATCH(X$2,Inputs!$K$4:$AJ$4,0))))=0,NA(),SUMPRODUCT((Inputs!$A$5:$A$110=$B19)*Inputs!$B$5:$B$110*(((Inputs!$G$5:$G$110="moeda")+(Inputs!$G$5:$G$110="acoes"))*Inputs!$B$1+((Inputs!$G$5:$G$110&lt;&gt;"moeda")*(Inputs!$G$5:$G$110&lt;&gt;"acoes")))*INDEX(Inputs!$K$5:$AJ$110,0,MATCH(X$2,Inputs!$K$4:$AJ$4,0)))+SUMPRODUCT((Inputs!$C$5:$C$110=$B19)*Inputs!$D$5:$D$110*(((Inputs!$G$5:$G$110="moeda")+(Inputs!$G$5:$G$110="acoes"))*Inputs!$B$1+((Inputs!$G$5:$G$110&lt;&gt;"moeda")*(Inputs!$G$5:$G$110&lt;&gt;"acoes")))*INDEX(Inputs!$K$5:$AJ$110,0,MATCH(X$2,Inputs!$K$4:$AJ$4,0)))+SUMPRODUCT((Inputs!$E$5:$E$110=$B19)*Inputs!$F$5:$F$110*(((Inputs!$G$5:$G$110="moeda")+(Inputs!$G$5:$G$110="acoes"))*Inputs!$B$1+((Inputs!$G$5:$G$110&lt;&gt;"moeda")*(Inputs!$G$5:$G$110&lt;&gt;"acoes")))*INDEX(Inputs!$K$5:$AJ$110,0,MATCH(X$2,Inputs!$K$4:$AJ$4,0)))))</f>
        <v>0</v>
      </c>
      <c r="Y19" s="267">
        <f>IF(ISNA(MATCH(Y$2,Inputs!$K$4:$AJ$4,0)),NA(),IF(SUMPRODUCT((Inputs!$A$5:$A$110=$B19)*ISNUMBER(INDEX(Inputs!$K$5:$AJ$110,0,MATCH(Y$2,Inputs!$K$4:$AJ$4,0))))+SUMPRODUCT((Inputs!$C$5:$C$110=$B19)*ISNUMBER(INDEX(Inputs!$K$5:$AJ$110,0,MATCH(Y$2,Inputs!$K$4:$AJ$4,0))))+SUMPRODUCT((Inputs!$E$5:$E$110=$B19)*ISNUMBER(INDEX(Inputs!$K$5:$AJ$110,0,MATCH(Y$2,Inputs!$K$4:$AJ$4,0))))=0,NA(),SUMPRODUCT((Inputs!$A$5:$A$110=$B19)*Inputs!$B$5:$B$110*(((Inputs!$G$5:$G$110="moeda")+(Inputs!$G$5:$G$110="acoes"))*Inputs!$B$1+((Inputs!$G$5:$G$110&lt;&gt;"moeda")*(Inputs!$G$5:$G$110&lt;&gt;"acoes")))*INDEX(Inputs!$K$5:$AJ$110,0,MATCH(Y$2,Inputs!$K$4:$AJ$4,0)))+SUMPRODUCT((Inputs!$C$5:$C$110=$B19)*Inputs!$D$5:$D$110*(((Inputs!$G$5:$G$110="moeda")+(Inputs!$G$5:$G$110="acoes"))*Inputs!$B$1+((Inputs!$G$5:$G$110&lt;&gt;"moeda")*(Inputs!$G$5:$G$110&lt;&gt;"acoes")))*INDEX(Inputs!$K$5:$AJ$110,0,MATCH(Y$2,Inputs!$K$4:$AJ$4,0)))+SUMPRODUCT((Inputs!$E$5:$E$110=$B19)*Inputs!$F$5:$F$110*(((Inputs!$G$5:$G$110="moeda")+(Inputs!$G$5:$G$110="acoes"))*Inputs!$B$1+((Inputs!$G$5:$G$110&lt;&gt;"moeda")*(Inputs!$G$5:$G$110&lt;&gt;"acoes")))*INDEX(Inputs!$K$5:$AJ$110,0,MATCH(Y$2,Inputs!$K$4:$AJ$4,0)))))</f>
        <v>0</v>
      </c>
      <c r="Z19" s="267">
        <f>IF(ISNA(MATCH(Z$2,Inputs!$K$4:$AJ$4,0)),NA(),IF(SUMPRODUCT((Inputs!$A$5:$A$110=$B19)*ISNUMBER(INDEX(Inputs!$K$5:$AJ$110,0,MATCH(Z$2,Inputs!$K$4:$AJ$4,0))))+SUMPRODUCT((Inputs!$C$5:$C$110=$B19)*ISNUMBER(INDEX(Inputs!$K$5:$AJ$110,0,MATCH(Z$2,Inputs!$K$4:$AJ$4,0))))+SUMPRODUCT((Inputs!$E$5:$E$110=$B19)*ISNUMBER(INDEX(Inputs!$K$5:$AJ$110,0,MATCH(Z$2,Inputs!$K$4:$AJ$4,0))))=0,NA(),SUMPRODUCT((Inputs!$A$5:$A$110=$B19)*Inputs!$B$5:$B$110*(((Inputs!$G$5:$G$110="moeda")+(Inputs!$G$5:$G$110="acoes"))*Inputs!$B$1+((Inputs!$G$5:$G$110&lt;&gt;"moeda")*(Inputs!$G$5:$G$110&lt;&gt;"acoes")))*INDEX(Inputs!$K$5:$AJ$110,0,MATCH(Z$2,Inputs!$K$4:$AJ$4,0)))+SUMPRODUCT((Inputs!$C$5:$C$110=$B19)*Inputs!$D$5:$D$110*(((Inputs!$G$5:$G$110="moeda")+(Inputs!$G$5:$G$110="acoes"))*Inputs!$B$1+((Inputs!$G$5:$G$110&lt;&gt;"moeda")*(Inputs!$G$5:$G$110&lt;&gt;"acoes")))*INDEX(Inputs!$K$5:$AJ$110,0,MATCH(Z$2,Inputs!$K$4:$AJ$4,0)))+SUMPRODUCT((Inputs!$E$5:$E$110=$B19)*Inputs!$F$5:$F$110*(((Inputs!$G$5:$G$110="moeda")+(Inputs!$G$5:$G$110="acoes"))*Inputs!$B$1+((Inputs!$G$5:$G$110&lt;&gt;"moeda")*(Inputs!$G$5:$G$110&lt;&gt;"acoes")))*INDEX(Inputs!$K$5:$AJ$110,0,MATCH(Z$2,Inputs!$K$4:$AJ$4,0)))))</f>
        <v>0</v>
      </c>
      <c r="AA19" s="267">
        <f>IF(ISNA(MATCH(AA$2,Inputs!$K$4:$AJ$4,0)),NA(),IF(SUMPRODUCT((Inputs!$A$5:$A$110=$B19)*ISNUMBER(INDEX(Inputs!$K$5:$AJ$110,0,MATCH(AA$2,Inputs!$K$4:$AJ$4,0))))+SUMPRODUCT((Inputs!$C$5:$C$110=$B19)*ISNUMBER(INDEX(Inputs!$K$5:$AJ$110,0,MATCH(AA$2,Inputs!$K$4:$AJ$4,0))))+SUMPRODUCT((Inputs!$E$5:$E$110=$B19)*ISNUMBER(INDEX(Inputs!$K$5:$AJ$110,0,MATCH(AA$2,Inputs!$K$4:$AJ$4,0))))=0,NA(),SUMPRODUCT((Inputs!$A$5:$A$110=$B19)*Inputs!$B$5:$B$110*(((Inputs!$G$5:$G$110="moeda")+(Inputs!$G$5:$G$110="acoes"))*Inputs!$B$1+((Inputs!$G$5:$G$110&lt;&gt;"moeda")*(Inputs!$G$5:$G$110&lt;&gt;"acoes")))*INDEX(Inputs!$K$5:$AJ$110,0,MATCH(AA$2,Inputs!$K$4:$AJ$4,0)))+SUMPRODUCT((Inputs!$C$5:$C$110=$B19)*Inputs!$D$5:$D$110*(((Inputs!$G$5:$G$110="moeda")+(Inputs!$G$5:$G$110="acoes"))*Inputs!$B$1+((Inputs!$G$5:$G$110&lt;&gt;"moeda")*(Inputs!$G$5:$G$110&lt;&gt;"acoes")))*INDEX(Inputs!$K$5:$AJ$110,0,MATCH(AA$2,Inputs!$K$4:$AJ$4,0)))+SUMPRODUCT((Inputs!$E$5:$E$110=$B19)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9" s="268">
        <f>AA19</f>
        <v>0</v>
      </c>
      <c r="AC19" s="267">
        <f>IF(ISNA(MATCH(AC$2,Inputs!$K$4:$AJ$4,0)),NA(),IF(SUMPRODUCT((Inputs!$A$5:$A$110=$B19)*ISNUMBER(INDEX(Inputs!$K$5:$AJ$110,0,MATCH(AC$2,Inputs!$K$4:$AJ$4,0))))+SUMPRODUCT((Inputs!$C$5:$C$110=$B19)*ISNUMBER(INDEX(Inputs!$K$5:$AJ$110,0,MATCH(AC$2,Inputs!$K$4:$AJ$4,0))))+SUMPRODUCT((Inputs!$E$5:$E$110=$B19)*ISNUMBER(INDEX(Inputs!$K$5:$AJ$110,0,MATCH(AC$2,Inputs!$K$4:$AJ$4,0))))=0,NA(),SUMPRODUCT((Inputs!$A$5:$A$110=$B19)*Inputs!$B$5:$B$110*(((Inputs!$G$5:$G$110="moeda")+(Inputs!$G$5:$G$110="acoes"))*Inputs!$B$1+((Inputs!$G$5:$G$110&lt;&gt;"moeda")*(Inputs!$G$5:$G$110&lt;&gt;"acoes")))*INDEX(Inputs!$K$5:$AJ$110,0,MATCH(AC$2,Inputs!$K$4:$AJ$4,0)))+SUMPRODUCT((Inputs!$C$5:$C$110=$B19)*Inputs!$D$5:$D$110*(((Inputs!$G$5:$G$110="moeda")+(Inputs!$G$5:$G$110="acoes"))*Inputs!$B$1+((Inputs!$G$5:$G$110&lt;&gt;"moeda")*(Inputs!$G$5:$G$110&lt;&gt;"acoes")))*INDEX(Inputs!$K$5:$AJ$110,0,MATCH(AC$2,Inputs!$K$4:$AJ$4,0)))+SUMPRODUCT((Inputs!$E$5:$E$110=$B19)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9" s="267">
        <f>IF(ISNA(MATCH(AD$2,Inputs!$K$4:$AJ$4,0)),NA(),IF(SUMPRODUCT((Inputs!$A$5:$A$110=$B19)*ISNUMBER(INDEX(Inputs!$K$5:$AJ$110,0,MATCH(AD$2,Inputs!$K$4:$AJ$4,0))))+SUMPRODUCT((Inputs!$C$5:$C$110=$B19)*ISNUMBER(INDEX(Inputs!$K$5:$AJ$110,0,MATCH(AD$2,Inputs!$K$4:$AJ$4,0))))+SUMPRODUCT((Inputs!$E$5:$E$110=$B19)*ISNUMBER(INDEX(Inputs!$K$5:$AJ$110,0,MATCH(AD$2,Inputs!$K$4:$AJ$4,0))))=0,NA(),SUMPRODUCT((Inputs!$A$5:$A$110=$B19)*Inputs!$B$5:$B$110*(((Inputs!$G$5:$G$110="moeda")+(Inputs!$G$5:$G$110="acoes"))*Inputs!$B$1+((Inputs!$G$5:$G$110&lt;&gt;"moeda")*(Inputs!$G$5:$G$110&lt;&gt;"acoes")))*INDEX(Inputs!$K$5:$AJ$110,0,MATCH(AD$2,Inputs!$K$4:$AJ$4,0)))+SUMPRODUCT((Inputs!$C$5:$C$110=$B19)*Inputs!$D$5:$D$110*(((Inputs!$G$5:$G$110="moeda")+(Inputs!$G$5:$G$110="acoes"))*Inputs!$B$1+((Inputs!$G$5:$G$110&lt;&gt;"moeda")*(Inputs!$G$5:$G$110&lt;&gt;"acoes")))*INDEX(Inputs!$K$5:$AJ$110,0,MATCH(AD$2,Inputs!$K$4:$AJ$4,0)))+SUMPRODUCT((Inputs!$E$5:$E$110=$B19)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9" s="267" t="e">
        <f>IF(ISNA(MATCH(AE$2,Inputs!$K$4:$AJ$4,0)),NA(),IF(SUMPRODUCT((Inputs!$A$5:$A$110=$B19)*ISNUMBER(INDEX(Inputs!$K$5:$AJ$110,0,MATCH(AE$2,Inputs!$K$4:$AJ$4,0))))+SUMPRODUCT((Inputs!$C$5:$C$110=$B19)*ISNUMBER(INDEX(Inputs!$K$5:$AJ$110,0,MATCH(AE$2,Inputs!$K$4:$AJ$4,0))))+SUMPRODUCT((Inputs!$E$5:$E$110=$B19)*ISNUMBER(INDEX(Inputs!$K$5:$AJ$110,0,MATCH(AE$2,Inputs!$K$4:$AJ$4,0))))=0,NA(),SUMPRODUCT((Inputs!$A$5:$A$110=$B19)*Inputs!$B$5:$B$110*(((Inputs!$G$5:$G$110="moeda")+(Inputs!$G$5:$G$110="acoes"))*Inputs!$B$1+((Inputs!$G$5:$G$110&lt;&gt;"moeda")*(Inputs!$G$5:$G$110&lt;&gt;"acoes")))*INDEX(Inputs!$K$5:$AJ$110,0,MATCH(AE$2,Inputs!$K$4:$AJ$4,0)))+SUMPRODUCT((Inputs!$C$5:$C$110=$B19)*Inputs!$D$5:$D$110*(((Inputs!$G$5:$G$110="moeda")+(Inputs!$G$5:$G$110="acoes"))*Inputs!$B$1+((Inputs!$G$5:$G$110&lt;&gt;"moeda")*(Inputs!$G$5:$G$110&lt;&gt;"acoes")))*INDEX(Inputs!$K$5:$AJ$110,0,MATCH(AE$2,Inputs!$K$4:$AJ$4,0)))+SUMPRODUCT((Inputs!$E$5:$E$110=$B19)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9" s="267" t="e">
        <f>IF(ISNA(MATCH(AF$2,Inputs!$K$4:$AJ$4,0)),NA(),IF(SUMPRODUCT((Inputs!$A$5:$A$110=$B19)*ISNUMBER(INDEX(Inputs!$K$5:$AJ$110,0,MATCH(AF$2,Inputs!$K$4:$AJ$4,0))))+SUMPRODUCT((Inputs!$C$5:$C$110=$B19)*ISNUMBER(INDEX(Inputs!$K$5:$AJ$110,0,MATCH(AF$2,Inputs!$K$4:$AJ$4,0))))+SUMPRODUCT((Inputs!$E$5:$E$110=$B19)*ISNUMBER(INDEX(Inputs!$K$5:$AJ$110,0,MATCH(AF$2,Inputs!$K$4:$AJ$4,0))))=0,NA(),SUMPRODUCT((Inputs!$A$5:$A$110=$B19)*Inputs!$B$5:$B$110*(((Inputs!$G$5:$G$110="moeda")+(Inputs!$G$5:$G$110="acoes"))*Inputs!$B$1+((Inputs!$G$5:$G$110&lt;&gt;"moeda")*(Inputs!$G$5:$G$110&lt;&gt;"acoes")))*INDEX(Inputs!$K$5:$AJ$110,0,MATCH(AF$2,Inputs!$K$4:$AJ$4,0)))+SUMPRODUCT((Inputs!$C$5:$C$110=$B19)*Inputs!$D$5:$D$110*(((Inputs!$G$5:$G$110="moeda")+(Inputs!$G$5:$G$110="acoes"))*Inputs!$B$1+((Inputs!$G$5:$G$110&lt;&gt;"moeda")*(Inputs!$G$5:$G$110&lt;&gt;"acoes")))*INDEX(Inputs!$K$5:$AJ$110,0,MATCH(AF$2,Inputs!$K$4:$AJ$4,0)))+SUMPRODUCT((Inputs!$E$5:$E$110=$B19)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9" s="268" t="e">
        <f>AF19</f>
        <v>#N/A</v>
      </c>
      <c r="AH19" s="267">
        <f>IF(ISNA(MATCH(AH$2,Inputs!$K$4:$AJ$4,0)),NA(),IF(SUMPRODUCT((Inputs!$A$5:$A$110=$B19)*ISNUMBER(INDEX(Inputs!$K$5:$AJ$110,0,MATCH(AH$2,Inputs!$K$4:$AJ$4,0))))+SUMPRODUCT((Inputs!$C$5:$C$110=$B19)*ISNUMBER(INDEX(Inputs!$K$5:$AJ$110,0,MATCH(AH$2,Inputs!$K$4:$AJ$4,0))))+SUMPRODUCT((Inputs!$E$5:$E$110=$B19)*ISNUMBER(INDEX(Inputs!$K$5:$AJ$110,0,MATCH(AH$2,Inputs!$K$4:$AJ$4,0))))=0,NA(),SUMPRODUCT((Inputs!$A$5:$A$110=$B19)*Inputs!$B$5:$B$110*(((Inputs!$G$5:$G$110="moeda")+(Inputs!$G$5:$G$110="acoes"))*Inputs!$B$1+((Inputs!$G$5:$G$110&lt;&gt;"moeda")*(Inputs!$G$5:$G$110&lt;&gt;"acoes")))*INDEX(Inputs!$K$5:$AJ$110,0,MATCH(AH$2,Inputs!$K$4:$AJ$4,0)))+SUMPRODUCT((Inputs!$C$5:$C$110=$B19)*Inputs!$D$5:$D$110*(((Inputs!$G$5:$G$110="moeda")+(Inputs!$G$5:$G$110="acoes"))*Inputs!$B$1+((Inputs!$G$5:$G$110&lt;&gt;"moeda")*(Inputs!$G$5:$G$110&lt;&gt;"acoes")))*INDEX(Inputs!$K$5:$AJ$110,0,MATCH(AH$2,Inputs!$K$4:$AJ$4,0)))+SUMPRODUCT((Inputs!$E$5:$E$110=$B19)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9" s="267">
        <f>IF(ISNA(MATCH(AI$2,Inputs!$K$4:$AJ$4,0)),NA(),IF(SUMPRODUCT((Inputs!$A$5:$A$110=$B19)*ISNUMBER(INDEX(Inputs!$K$5:$AJ$110,0,MATCH(AI$2,Inputs!$K$4:$AJ$4,0))))+SUMPRODUCT((Inputs!$C$5:$C$110=$B19)*ISNUMBER(INDEX(Inputs!$K$5:$AJ$110,0,MATCH(AI$2,Inputs!$K$4:$AJ$4,0))))+SUMPRODUCT((Inputs!$E$5:$E$110=$B19)*ISNUMBER(INDEX(Inputs!$K$5:$AJ$110,0,MATCH(AI$2,Inputs!$K$4:$AJ$4,0))))=0,NA(),SUMPRODUCT((Inputs!$A$5:$A$110=$B19)*Inputs!$B$5:$B$110*(((Inputs!$G$5:$G$110="moeda")+(Inputs!$G$5:$G$110="acoes"))*Inputs!$B$1+((Inputs!$G$5:$G$110&lt;&gt;"moeda")*(Inputs!$G$5:$G$110&lt;&gt;"acoes")))*INDEX(Inputs!$K$5:$AJ$110,0,MATCH(AI$2,Inputs!$K$4:$AJ$4,0)))+SUMPRODUCT((Inputs!$C$5:$C$110=$B19)*Inputs!$D$5:$D$110*(((Inputs!$G$5:$G$110="moeda")+(Inputs!$G$5:$G$110="acoes"))*Inputs!$B$1+((Inputs!$G$5:$G$110&lt;&gt;"moeda")*(Inputs!$G$5:$G$110&lt;&gt;"acoes")))*INDEX(Inputs!$K$5:$AJ$110,0,MATCH(AI$2,Inputs!$K$4:$AJ$4,0)))+SUMPRODUCT((Inputs!$E$5:$E$110=$B19)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9" s="267">
        <f>IF(ISNA(MATCH(AJ$2,Inputs!$K$4:$AJ$4,0)),NA(),IF(SUMPRODUCT((Inputs!$A$5:$A$110=$B19)*ISNUMBER(INDEX(Inputs!$K$5:$AJ$110,0,MATCH(AJ$2,Inputs!$K$4:$AJ$4,0))))+SUMPRODUCT((Inputs!$C$5:$C$110=$B19)*ISNUMBER(INDEX(Inputs!$K$5:$AJ$110,0,MATCH(AJ$2,Inputs!$K$4:$AJ$4,0))))+SUMPRODUCT((Inputs!$E$5:$E$110=$B19)*ISNUMBER(INDEX(Inputs!$K$5:$AJ$110,0,MATCH(AJ$2,Inputs!$K$4:$AJ$4,0))))=0,NA(),SUMPRODUCT((Inputs!$A$5:$A$110=$B19)*Inputs!$B$5:$B$110*(((Inputs!$G$5:$G$110="moeda")+(Inputs!$G$5:$G$110="acoes"))*Inputs!$B$1+((Inputs!$G$5:$G$110&lt;&gt;"moeda")*(Inputs!$G$5:$G$110&lt;&gt;"acoes")))*INDEX(Inputs!$K$5:$AJ$110,0,MATCH(AJ$2,Inputs!$K$4:$AJ$4,0)))+SUMPRODUCT((Inputs!$C$5:$C$110=$B19)*Inputs!$D$5:$D$110*(((Inputs!$G$5:$G$110="moeda")+(Inputs!$G$5:$G$110="acoes"))*Inputs!$B$1+((Inputs!$G$5:$G$110&lt;&gt;"moeda")*(Inputs!$G$5:$G$110&lt;&gt;"acoes")))*INDEX(Inputs!$K$5:$AJ$110,0,MATCH(AJ$2,Inputs!$K$4:$AJ$4,0)))+SUMPRODUCT((Inputs!$E$5:$E$110=$B19)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9" s="267">
        <f>IF(ISNA(MATCH(AK$2,Inputs!$K$4:$AJ$4,0)),NA(),IF(SUMPRODUCT((Inputs!$A$5:$A$110=$B19)*ISNUMBER(INDEX(Inputs!$K$5:$AJ$110,0,MATCH(AK$2,Inputs!$K$4:$AJ$4,0))))+SUMPRODUCT((Inputs!$C$5:$C$110=$B19)*ISNUMBER(INDEX(Inputs!$K$5:$AJ$110,0,MATCH(AK$2,Inputs!$K$4:$AJ$4,0))))+SUMPRODUCT((Inputs!$E$5:$E$110=$B19)*ISNUMBER(INDEX(Inputs!$K$5:$AJ$110,0,MATCH(AK$2,Inputs!$K$4:$AJ$4,0))))=0,NA(),SUMPRODUCT((Inputs!$A$5:$A$110=$B19)*Inputs!$B$5:$B$110*(((Inputs!$G$5:$G$110="moeda")+(Inputs!$G$5:$G$110="acoes"))*Inputs!$B$1+((Inputs!$G$5:$G$110&lt;&gt;"moeda")*(Inputs!$G$5:$G$110&lt;&gt;"acoes")))*INDEX(Inputs!$K$5:$AJ$110,0,MATCH(AK$2,Inputs!$K$4:$AJ$4,0)))+SUMPRODUCT((Inputs!$C$5:$C$110=$B19)*Inputs!$D$5:$D$110*(((Inputs!$G$5:$G$110="moeda")+(Inputs!$G$5:$G$110="acoes"))*Inputs!$B$1+((Inputs!$G$5:$G$110&lt;&gt;"moeda")*(Inputs!$G$5:$G$110&lt;&gt;"acoes")))*INDEX(Inputs!$K$5:$AJ$110,0,MATCH(AK$2,Inputs!$K$4:$AJ$4,0)))+SUMPRODUCT((Inputs!$E$5:$E$110=$B19)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9" s="268">
        <f>AK19</f>
        <v>0</v>
      </c>
    </row>
    <row r="20" ht="12.75" customHeight="1" s="255">
      <c r="B20" s="265" t="n">
        <v>16</v>
      </c>
      <c r="C20" s="270" t="inlineStr">
        <is>
          <t>Other current assets</t>
        </is>
      </c>
      <c r="D20" s="267">
        <f>IF(ISNA(MATCH(D$2,Inputs!$K$4:$AJ$4,0)),NA(),IF(SUMPRODUCT((Inputs!$A$5:$A$110=$B20)*ISNUMBER(INDEX(Inputs!$K$5:$AJ$110,0,MATCH(D$2,Inputs!$K$4:$AJ$4,0))))+SUMPRODUCT((Inputs!$C$5:$C$110=$B20)*ISNUMBER(INDEX(Inputs!$K$5:$AJ$110,0,MATCH(D$2,Inputs!$K$4:$AJ$4,0))))+SUMPRODUCT((Inputs!$E$5:$E$110=$B20)*ISNUMBER(INDEX(Inputs!$K$5:$AJ$110,0,MATCH(D$2,Inputs!$K$4:$AJ$4,0))))=0,NA(),SUMPRODUCT((Inputs!$A$5:$A$110=$B20)*Inputs!$B$5:$B$110*(((Inputs!$G$5:$G$110="moeda")+(Inputs!$G$5:$G$110="acoes"))*Inputs!$B$1+((Inputs!$G$5:$G$110&lt;&gt;"moeda")*(Inputs!$G$5:$G$110&lt;&gt;"acoes")))*INDEX(Inputs!$K$5:$AJ$110,0,MATCH(D$2,Inputs!$K$4:$AJ$4,0)))+SUMPRODUCT((Inputs!$C$5:$C$110=$B20)*Inputs!$D$5:$D$110*(((Inputs!$G$5:$G$110="moeda")+(Inputs!$G$5:$G$110="acoes"))*Inputs!$B$1+((Inputs!$G$5:$G$110&lt;&gt;"moeda")*(Inputs!$G$5:$G$110&lt;&gt;"acoes")))*INDEX(Inputs!$K$5:$AJ$110,0,MATCH(D$2,Inputs!$K$4:$AJ$4,0)))+SUMPRODUCT((Inputs!$E$5:$E$110=$B20)*Inputs!$F$5:$F$110*(((Inputs!$G$5:$G$110="moeda")+(Inputs!$G$5:$G$110="acoes"))*Inputs!$B$1+((Inputs!$G$5:$G$110&lt;&gt;"moeda")*(Inputs!$G$5:$G$110&lt;&gt;"acoes")))*INDEX(Inputs!$K$5:$AJ$110,0,MATCH(D$2,Inputs!$K$4:$AJ$4,0)))))</f>
        <v>1255</v>
      </c>
      <c r="E20" s="267">
        <f>IF(ISNA(MATCH(E$2,Inputs!$K$4:$AJ$4,0)),NA(),IF(SUMPRODUCT((Inputs!$A$5:$A$110=$B20)*ISNUMBER(INDEX(Inputs!$K$5:$AJ$110,0,MATCH(E$2,Inputs!$K$4:$AJ$4,0))))+SUMPRODUCT((Inputs!$C$5:$C$110=$B20)*ISNUMBER(INDEX(Inputs!$K$5:$AJ$110,0,MATCH(E$2,Inputs!$K$4:$AJ$4,0))))+SUMPRODUCT((Inputs!$E$5:$E$110=$B20)*ISNUMBER(INDEX(Inputs!$K$5:$AJ$110,0,MATCH(E$2,Inputs!$K$4:$AJ$4,0))))=0,NA(),SUMPRODUCT((Inputs!$A$5:$A$110=$B20)*Inputs!$B$5:$B$110*(((Inputs!$G$5:$G$110="moeda")+(Inputs!$G$5:$G$110="acoes"))*Inputs!$B$1+((Inputs!$G$5:$G$110&lt;&gt;"moeda")*(Inputs!$G$5:$G$110&lt;&gt;"acoes")))*INDEX(Inputs!$K$5:$AJ$110,0,MATCH(E$2,Inputs!$K$4:$AJ$4,0)))+SUMPRODUCT((Inputs!$C$5:$C$110=$B20)*Inputs!$D$5:$D$110*(((Inputs!$G$5:$G$110="moeda")+(Inputs!$G$5:$G$110="acoes"))*Inputs!$B$1+((Inputs!$G$5:$G$110&lt;&gt;"moeda")*(Inputs!$G$5:$G$110&lt;&gt;"acoes")))*INDEX(Inputs!$K$5:$AJ$110,0,MATCH(E$2,Inputs!$K$4:$AJ$4,0)))+SUMPRODUCT((Inputs!$E$5:$E$110=$B20)*Inputs!$F$5:$F$110*(((Inputs!$G$5:$G$110="moeda")+(Inputs!$G$5:$G$110="acoes"))*Inputs!$B$1+((Inputs!$G$5:$G$110&lt;&gt;"moeda")*(Inputs!$G$5:$G$110&lt;&gt;"acoes")))*INDEX(Inputs!$K$5:$AJ$110,0,MATCH(E$2,Inputs!$K$4:$AJ$4,0)))))</f>
        <v>1220</v>
      </c>
      <c r="F20" s="267">
        <f>IF(ISNA(MATCH(F$2,Inputs!$K$4:$AJ$4,0)),NA(),IF(SUMPRODUCT((Inputs!$A$5:$A$110=$B20)*ISNUMBER(INDEX(Inputs!$K$5:$AJ$110,0,MATCH(F$2,Inputs!$K$4:$AJ$4,0))))+SUMPRODUCT((Inputs!$C$5:$C$110=$B20)*ISNUMBER(INDEX(Inputs!$K$5:$AJ$110,0,MATCH(F$2,Inputs!$K$4:$AJ$4,0))))+SUMPRODUCT((Inputs!$E$5:$E$110=$B20)*ISNUMBER(INDEX(Inputs!$K$5:$AJ$110,0,MATCH(F$2,Inputs!$K$4:$AJ$4,0))))=0,NA(),SUMPRODUCT((Inputs!$A$5:$A$110=$B20)*Inputs!$B$5:$B$110*(((Inputs!$G$5:$G$110="moeda")+(Inputs!$G$5:$G$110="acoes"))*Inputs!$B$1+((Inputs!$G$5:$G$110&lt;&gt;"moeda")*(Inputs!$G$5:$G$110&lt;&gt;"acoes")))*INDEX(Inputs!$K$5:$AJ$110,0,MATCH(F$2,Inputs!$K$4:$AJ$4,0)))+SUMPRODUCT((Inputs!$C$5:$C$110=$B20)*Inputs!$D$5:$D$110*(((Inputs!$G$5:$G$110="moeda")+(Inputs!$G$5:$G$110="acoes"))*Inputs!$B$1+((Inputs!$G$5:$G$110&lt;&gt;"moeda")*(Inputs!$G$5:$G$110&lt;&gt;"acoes")))*INDEX(Inputs!$K$5:$AJ$110,0,MATCH(F$2,Inputs!$K$4:$AJ$4,0)))+SUMPRODUCT((Inputs!$E$5:$E$110=$B20)*Inputs!$F$5:$F$110*(((Inputs!$G$5:$G$110="moeda")+(Inputs!$G$5:$G$110="acoes"))*Inputs!$B$1+((Inputs!$G$5:$G$110&lt;&gt;"moeda")*(Inputs!$G$5:$G$110&lt;&gt;"acoes")))*INDEX(Inputs!$K$5:$AJ$110,0,MATCH(F$2,Inputs!$K$4:$AJ$4,0)))))</f>
        <v>1312</v>
      </c>
      <c r="G20" s="267">
        <f>IF(ISNA(MATCH(G$2,Inputs!$K$4:$AJ$4,0)),NA(),IF(SUMPRODUCT((Inputs!$A$5:$A$110=$B20)*ISNUMBER(INDEX(Inputs!$K$5:$AJ$110,0,MATCH(G$2,Inputs!$K$4:$AJ$4,0))))+SUMPRODUCT((Inputs!$C$5:$C$110=$B20)*ISNUMBER(INDEX(Inputs!$K$5:$AJ$110,0,MATCH(G$2,Inputs!$K$4:$AJ$4,0))))+SUMPRODUCT((Inputs!$E$5:$E$110=$B20)*ISNUMBER(INDEX(Inputs!$K$5:$AJ$110,0,MATCH(G$2,Inputs!$K$4:$AJ$4,0))))=0,NA(),SUMPRODUCT((Inputs!$A$5:$A$110=$B20)*Inputs!$B$5:$B$110*(((Inputs!$G$5:$G$110="moeda")+(Inputs!$G$5:$G$110="acoes"))*Inputs!$B$1+((Inputs!$G$5:$G$110&lt;&gt;"moeda")*(Inputs!$G$5:$G$110&lt;&gt;"acoes")))*INDEX(Inputs!$K$5:$AJ$110,0,MATCH(G$2,Inputs!$K$4:$AJ$4,0)))+SUMPRODUCT((Inputs!$C$5:$C$110=$B20)*Inputs!$D$5:$D$110*(((Inputs!$G$5:$G$110="moeda")+(Inputs!$G$5:$G$110="acoes"))*Inputs!$B$1+((Inputs!$G$5:$G$110&lt;&gt;"moeda")*(Inputs!$G$5:$G$110&lt;&gt;"acoes")))*INDEX(Inputs!$K$5:$AJ$110,0,MATCH(G$2,Inputs!$K$4:$AJ$4,0)))+SUMPRODUCT((Inputs!$E$5:$E$110=$B20)*Inputs!$F$5:$F$110*(((Inputs!$G$5:$G$110="moeda")+(Inputs!$G$5:$G$110="acoes"))*Inputs!$B$1+((Inputs!$G$5:$G$110&lt;&gt;"moeda")*(Inputs!$G$5:$G$110&lt;&gt;"acoes")))*INDEX(Inputs!$K$5:$AJ$110,0,MATCH(G$2,Inputs!$K$4:$AJ$4,0)))))</f>
        <v>1500</v>
      </c>
      <c r="H20" s="268">
        <f>G20</f>
        <v>1500</v>
      </c>
      <c r="I20" s="267">
        <f>IF(ISNA(MATCH(I$2,Inputs!$K$4:$AJ$4,0)),NA(),IF(SUMPRODUCT((Inputs!$A$5:$A$110=$B20)*ISNUMBER(INDEX(Inputs!$K$5:$AJ$110,0,MATCH(I$2,Inputs!$K$4:$AJ$4,0))))+SUMPRODUCT((Inputs!$C$5:$C$110=$B20)*ISNUMBER(INDEX(Inputs!$K$5:$AJ$110,0,MATCH(I$2,Inputs!$K$4:$AJ$4,0))))+SUMPRODUCT((Inputs!$E$5:$E$110=$B20)*ISNUMBER(INDEX(Inputs!$K$5:$AJ$110,0,MATCH(I$2,Inputs!$K$4:$AJ$4,0))))=0,NA(),SUMPRODUCT((Inputs!$A$5:$A$110=$B20)*Inputs!$B$5:$B$110*(((Inputs!$G$5:$G$110="moeda")+(Inputs!$G$5:$G$110="acoes"))*Inputs!$B$1+((Inputs!$G$5:$G$110&lt;&gt;"moeda")*(Inputs!$G$5:$G$110&lt;&gt;"acoes")))*INDEX(Inputs!$K$5:$AJ$110,0,MATCH(I$2,Inputs!$K$4:$AJ$4,0)))+SUMPRODUCT((Inputs!$C$5:$C$110=$B20)*Inputs!$D$5:$D$110*(((Inputs!$G$5:$G$110="moeda")+(Inputs!$G$5:$G$110="acoes"))*Inputs!$B$1+((Inputs!$G$5:$G$110&lt;&gt;"moeda")*(Inputs!$G$5:$G$110&lt;&gt;"acoes")))*INDEX(Inputs!$K$5:$AJ$110,0,MATCH(I$2,Inputs!$K$4:$AJ$4,0)))+SUMPRODUCT((Inputs!$E$5:$E$110=$B20)*Inputs!$F$5:$F$110*(((Inputs!$G$5:$G$110="moeda")+(Inputs!$G$5:$G$110="acoes"))*Inputs!$B$1+((Inputs!$G$5:$G$110&lt;&gt;"moeda")*(Inputs!$G$5:$G$110&lt;&gt;"acoes")))*INDEX(Inputs!$K$5:$AJ$110,0,MATCH(I$2,Inputs!$K$4:$AJ$4,0)))))</f>
        <v>1552</v>
      </c>
      <c r="J20" s="267">
        <f>IF(ISNA(MATCH(J$2,Inputs!$K$4:$AJ$4,0)),NA(),IF(SUMPRODUCT((Inputs!$A$5:$A$110=$B20)*ISNUMBER(INDEX(Inputs!$K$5:$AJ$110,0,MATCH(J$2,Inputs!$K$4:$AJ$4,0))))+SUMPRODUCT((Inputs!$C$5:$C$110=$B20)*ISNUMBER(INDEX(Inputs!$K$5:$AJ$110,0,MATCH(J$2,Inputs!$K$4:$AJ$4,0))))+SUMPRODUCT((Inputs!$E$5:$E$110=$B20)*ISNUMBER(INDEX(Inputs!$K$5:$AJ$110,0,MATCH(J$2,Inputs!$K$4:$AJ$4,0))))=0,NA(),SUMPRODUCT((Inputs!$A$5:$A$110=$B20)*Inputs!$B$5:$B$110*(((Inputs!$G$5:$G$110="moeda")+(Inputs!$G$5:$G$110="acoes"))*Inputs!$B$1+((Inputs!$G$5:$G$110&lt;&gt;"moeda")*(Inputs!$G$5:$G$110&lt;&gt;"acoes")))*INDEX(Inputs!$K$5:$AJ$110,0,MATCH(J$2,Inputs!$K$4:$AJ$4,0)))+SUMPRODUCT((Inputs!$C$5:$C$110=$B20)*Inputs!$D$5:$D$110*(((Inputs!$G$5:$G$110="moeda")+(Inputs!$G$5:$G$110="acoes"))*Inputs!$B$1+((Inputs!$G$5:$G$110&lt;&gt;"moeda")*(Inputs!$G$5:$G$110&lt;&gt;"acoes")))*INDEX(Inputs!$K$5:$AJ$110,0,MATCH(J$2,Inputs!$K$4:$AJ$4,0)))+SUMPRODUCT((Inputs!$E$5:$E$110=$B20)*Inputs!$F$5:$F$110*(((Inputs!$G$5:$G$110="moeda")+(Inputs!$G$5:$G$110="acoes"))*Inputs!$B$1+((Inputs!$G$5:$G$110&lt;&gt;"moeda")*(Inputs!$G$5:$G$110&lt;&gt;"acoes")))*INDEX(Inputs!$K$5:$AJ$110,0,MATCH(J$2,Inputs!$K$4:$AJ$4,0)))))</f>
        <v>1563</v>
      </c>
      <c r="K20" s="267">
        <f>IF(ISNA(MATCH(K$2,Inputs!$K$4:$AJ$4,0)),NA(),IF(SUMPRODUCT((Inputs!$A$5:$A$110=$B20)*ISNUMBER(INDEX(Inputs!$K$5:$AJ$110,0,MATCH(K$2,Inputs!$K$4:$AJ$4,0))))+SUMPRODUCT((Inputs!$C$5:$C$110=$B20)*ISNUMBER(INDEX(Inputs!$K$5:$AJ$110,0,MATCH(K$2,Inputs!$K$4:$AJ$4,0))))+SUMPRODUCT((Inputs!$E$5:$E$110=$B20)*ISNUMBER(INDEX(Inputs!$K$5:$AJ$110,0,MATCH(K$2,Inputs!$K$4:$AJ$4,0))))=0,NA(),SUMPRODUCT((Inputs!$A$5:$A$110=$B20)*Inputs!$B$5:$B$110*(((Inputs!$G$5:$G$110="moeda")+(Inputs!$G$5:$G$110="acoes"))*Inputs!$B$1+((Inputs!$G$5:$G$110&lt;&gt;"moeda")*(Inputs!$G$5:$G$110&lt;&gt;"acoes")))*INDEX(Inputs!$K$5:$AJ$110,0,MATCH(K$2,Inputs!$K$4:$AJ$4,0)))+SUMPRODUCT((Inputs!$C$5:$C$110=$B20)*Inputs!$D$5:$D$110*(((Inputs!$G$5:$G$110="moeda")+(Inputs!$G$5:$G$110="acoes"))*Inputs!$B$1+((Inputs!$G$5:$G$110&lt;&gt;"moeda")*(Inputs!$G$5:$G$110&lt;&gt;"acoes")))*INDEX(Inputs!$K$5:$AJ$110,0,MATCH(K$2,Inputs!$K$4:$AJ$4,0)))+SUMPRODUCT((Inputs!$E$5:$E$110=$B20)*Inputs!$F$5:$F$110*(((Inputs!$G$5:$G$110="moeda")+(Inputs!$G$5:$G$110="acoes"))*Inputs!$B$1+((Inputs!$G$5:$G$110&lt;&gt;"moeda")*(Inputs!$G$5:$G$110&lt;&gt;"acoes")))*INDEX(Inputs!$K$5:$AJ$110,0,MATCH(K$2,Inputs!$K$4:$AJ$4,0)))))</f>
        <v>1499</v>
      </c>
      <c r="L20" s="267">
        <f>IF(ISNA(MATCH(L$2,Inputs!$K$4:$AJ$4,0)),NA(),IF(SUMPRODUCT((Inputs!$A$5:$A$110=$B20)*ISNUMBER(INDEX(Inputs!$K$5:$AJ$110,0,MATCH(L$2,Inputs!$K$4:$AJ$4,0))))+SUMPRODUCT((Inputs!$C$5:$C$110=$B20)*ISNUMBER(INDEX(Inputs!$K$5:$AJ$110,0,MATCH(L$2,Inputs!$K$4:$AJ$4,0))))+SUMPRODUCT((Inputs!$E$5:$E$110=$B20)*ISNUMBER(INDEX(Inputs!$K$5:$AJ$110,0,MATCH(L$2,Inputs!$K$4:$AJ$4,0))))=0,NA(),SUMPRODUCT((Inputs!$A$5:$A$110=$B20)*Inputs!$B$5:$B$110*(((Inputs!$G$5:$G$110="moeda")+(Inputs!$G$5:$G$110="acoes"))*Inputs!$B$1+((Inputs!$G$5:$G$110&lt;&gt;"moeda")*(Inputs!$G$5:$G$110&lt;&gt;"acoes")))*INDEX(Inputs!$K$5:$AJ$110,0,MATCH(L$2,Inputs!$K$4:$AJ$4,0)))+SUMPRODUCT((Inputs!$C$5:$C$110=$B20)*Inputs!$D$5:$D$110*(((Inputs!$G$5:$G$110="moeda")+(Inputs!$G$5:$G$110="acoes"))*Inputs!$B$1+((Inputs!$G$5:$G$110&lt;&gt;"moeda")*(Inputs!$G$5:$G$110&lt;&gt;"acoes")))*INDEX(Inputs!$K$5:$AJ$110,0,MATCH(L$2,Inputs!$K$4:$AJ$4,0)))+SUMPRODUCT((Inputs!$E$5:$E$110=$B20)*Inputs!$F$5:$F$110*(((Inputs!$G$5:$G$110="moeda")+(Inputs!$G$5:$G$110="acoes"))*Inputs!$B$1+((Inputs!$G$5:$G$110&lt;&gt;"moeda")*(Inputs!$G$5:$G$110&lt;&gt;"acoes")))*INDEX(Inputs!$K$5:$AJ$110,0,MATCH(L$2,Inputs!$K$4:$AJ$4,0)))))</f>
        <v>1594</v>
      </c>
      <c r="M20" s="268">
        <f>L20</f>
        <v>1594</v>
      </c>
      <c r="N20" s="267">
        <f>IF(ISNA(MATCH(N$2,Inputs!$K$4:$AJ$4,0)),NA(),IF(SUMPRODUCT((Inputs!$A$5:$A$110=$B20)*ISNUMBER(INDEX(Inputs!$K$5:$AJ$110,0,MATCH(N$2,Inputs!$K$4:$AJ$4,0))))+SUMPRODUCT((Inputs!$C$5:$C$110=$B20)*ISNUMBER(INDEX(Inputs!$K$5:$AJ$110,0,MATCH(N$2,Inputs!$K$4:$AJ$4,0))))+SUMPRODUCT((Inputs!$E$5:$E$110=$B20)*ISNUMBER(INDEX(Inputs!$K$5:$AJ$110,0,MATCH(N$2,Inputs!$K$4:$AJ$4,0))))=0,NA(),SUMPRODUCT((Inputs!$A$5:$A$110=$B20)*Inputs!$B$5:$B$110*(((Inputs!$G$5:$G$110="moeda")+(Inputs!$G$5:$G$110="acoes"))*Inputs!$B$1+((Inputs!$G$5:$G$110&lt;&gt;"moeda")*(Inputs!$G$5:$G$110&lt;&gt;"acoes")))*INDEX(Inputs!$K$5:$AJ$110,0,MATCH(N$2,Inputs!$K$4:$AJ$4,0)))+SUMPRODUCT((Inputs!$C$5:$C$110=$B20)*Inputs!$D$5:$D$110*(((Inputs!$G$5:$G$110="moeda")+(Inputs!$G$5:$G$110="acoes"))*Inputs!$B$1+((Inputs!$G$5:$G$110&lt;&gt;"moeda")*(Inputs!$G$5:$G$110&lt;&gt;"acoes")))*INDEX(Inputs!$K$5:$AJ$110,0,MATCH(N$2,Inputs!$K$4:$AJ$4,0)))+SUMPRODUCT((Inputs!$E$5:$E$110=$B20)*Inputs!$F$5:$F$110*(((Inputs!$G$5:$G$110="moeda")+(Inputs!$G$5:$G$110="acoes"))*Inputs!$B$1+((Inputs!$G$5:$G$110&lt;&gt;"moeda")*(Inputs!$G$5:$G$110&lt;&gt;"acoes")))*INDEX(Inputs!$K$5:$AJ$110,0,MATCH(N$2,Inputs!$K$4:$AJ$4,0)))))</f>
        <v>1830</v>
      </c>
      <c r="O20" s="267">
        <f>IF(ISNA(MATCH(O$2,Inputs!$K$4:$AJ$4,0)),NA(),IF(SUMPRODUCT((Inputs!$A$5:$A$110=$B20)*ISNUMBER(INDEX(Inputs!$K$5:$AJ$110,0,MATCH(O$2,Inputs!$K$4:$AJ$4,0))))+SUMPRODUCT((Inputs!$C$5:$C$110=$B20)*ISNUMBER(INDEX(Inputs!$K$5:$AJ$110,0,MATCH(O$2,Inputs!$K$4:$AJ$4,0))))+SUMPRODUCT((Inputs!$E$5:$E$110=$B20)*ISNUMBER(INDEX(Inputs!$K$5:$AJ$110,0,MATCH(O$2,Inputs!$K$4:$AJ$4,0))))=0,NA(),SUMPRODUCT((Inputs!$A$5:$A$110=$B20)*Inputs!$B$5:$B$110*(((Inputs!$G$5:$G$110="moeda")+(Inputs!$G$5:$G$110="acoes"))*Inputs!$B$1+((Inputs!$G$5:$G$110&lt;&gt;"moeda")*(Inputs!$G$5:$G$110&lt;&gt;"acoes")))*INDEX(Inputs!$K$5:$AJ$110,0,MATCH(O$2,Inputs!$K$4:$AJ$4,0)))+SUMPRODUCT((Inputs!$C$5:$C$110=$B20)*Inputs!$D$5:$D$110*(((Inputs!$G$5:$G$110="moeda")+(Inputs!$G$5:$G$110="acoes"))*Inputs!$B$1+((Inputs!$G$5:$G$110&lt;&gt;"moeda")*(Inputs!$G$5:$G$110&lt;&gt;"acoes")))*INDEX(Inputs!$K$5:$AJ$110,0,MATCH(O$2,Inputs!$K$4:$AJ$4,0)))+SUMPRODUCT((Inputs!$E$5:$E$110=$B20)*Inputs!$F$5:$F$110*(((Inputs!$G$5:$G$110="moeda")+(Inputs!$G$5:$G$110="acoes"))*Inputs!$B$1+((Inputs!$G$5:$G$110&lt;&gt;"moeda")*(Inputs!$G$5:$G$110&lt;&gt;"acoes")))*INDEX(Inputs!$K$5:$AJ$110,0,MATCH(O$2,Inputs!$K$4:$AJ$4,0)))))</f>
        <v>1755</v>
      </c>
      <c r="P20" s="267">
        <f>IF(ISNA(MATCH(P$2,Inputs!$K$4:$AJ$4,0)),NA(),IF(SUMPRODUCT((Inputs!$A$5:$A$110=$B20)*ISNUMBER(INDEX(Inputs!$K$5:$AJ$110,0,MATCH(P$2,Inputs!$K$4:$AJ$4,0))))+SUMPRODUCT((Inputs!$C$5:$C$110=$B20)*ISNUMBER(INDEX(Inputs!$K$5:$AJ$110,0,MATCH(P$2,Inputs!$K$4:$AJ$4,0))))+SUMPRODUCT((Inputs!$E$5:$E$110=$B20)*ISNUMBER(INDEX(Inputs!$K$5:$AJ$110,0,MATCH(P$2,Inputs!$K$4:$AJ$4,0))))=0,NA(),SUMPRODUCT((Inputs!$A$5:$A$110=$B20)*Inputs!$B$5:$B$110*(((Inputs!$G$5:$G$110="moeda")+(Inputs!$G$5:$G$110="acoes"))*Inputs!$B$1+((Inputs!$G$5:$G$110&lt;&gt;"moeda")*(Inputs!$G$5:$G$110&lt;&gt;"acoes")))*INDEX(Inputs!$K$5:$AJ$110,0,MATCH(P$2,Inputs!$K$4:$AJ$4,0)))+SUMPRODUCT((Inputs!$C$5:$C$110=$B20)*Inputs!$D$5:$D$110*(((Inputs!$G$5:$G$110="moeda")+(Inputs!$G$5:$G$110="acoes"))*Inputs!$B$1+((Inputs!$G$5:$G$110&lt;&gt;"moeda")*(Inputs!$G$5:$G$110&lt;&gt;"acoes")))*INDEX(Inputs!$K$5:$AJ$110,0,MATCH(P$2,Inputs!$K$4:$AJ$4,0)))+SUMPRODUCT((Inputs!$E$5:$E$110=$B20)*Inputs!$F$5:$F$110*(((Inputs!$G$5:$G$110="moeda")+(Inputs!$G$5:$G$110="acoes"))*Inputs!$B$1+((Inputs!$G$5:$G$110&lt;&gt;"moeda")*(Inputs!$G$5:$G$110&lt;&gt;"acoes")))*INDEX(Inputs!$K$5:$AJ$110,0,MATCH(P$2,Inputs!$K$4:$AJ$4,0)))))</f>
        <v>1709</v>
      </c>
      <c r="Q20" s="267">
        <f>IF(ISNA(MATCH(Q$2,Inputs!$K$4:$AJ$4,0)),NA(),IF(SUMPRODUCT((Inputs!$A$5:$A$110=$B20)*ISNUMBER(INDEX(Inputs!$K$5:$AJ$110,0,MATCH(Q$2,Inputs!$K$4:$AJ$4,0))))+SUMPRODUCT((Inputs!$C$5:$C$110=$B20)*ISNUMBER(INDEX(Inputs!$K$5:$AJ$110,0,MATCH(Q$2,Inputs!$K$4:$AJ$4,0))))+SUMPRODUCT((Inputs!$E$5:$E$110=$B20)*ISNUMBER(INDEX(Inputs!$K$5:$AJ$110,0,MATCH(Q$2,Inputs!$K$4:$AJ$4,0))))=0,NA(),SUMPRODUCT((Inputs!$A$5:$A$110=$B20)*Inputs!$B$5:$B$110*(((Inputs!$G$5:$G$110="moeda")+(Inputs!$G$5:$G$110="acoes"))*Inputs!$B$1+((Inputs!$G$5:$G$110&lt;&gt;"moeda")*(Inputs!$G$5:$G$110&lt;&gt;"acoes")))*INDEX(Inputs!$K$5:$AJ$110,0,MATCH(Q$2,Inputs!$K$4:$AJ$4,0)))+SUMPRODUCT((Inputs!$C$5:$C$110=$B20)*Inputs!$D$5:$D$110*(((Inputs!$G$5:$G$110="moeda")+(Inputs!$G$5:$G$110="acoes"))*Inputs!$B$1+((Inputs!$G$5:$G$110&lt;&gt;"moeda")*(Inputs!$G$5:$G$110&lt;&gt;"acoes")))*INDEX(Inputs!$K$5:$AJ$110,0,MATCH(Q$2,Inputs!$K$4:$AJ$4,0)))+SUMPRODUCT((Inputs!$E$5:$E$110=$B20)*Inputs!$F$5:$F$110*(((Inputs!$G$5:$G$110="moeda")+(Inputs!$G$5:$G$110="acoes"))*Inputs!$B$1+((Inputs!$G$5:$G$110&lt;&gt;"moeda")*(Inputs!$G$5:$G$110&lt;&gt;"acoes")))*INDEX(Inputs!$K$5:$AJ$110,0,MATCH(Q$2,Inputs!$K$4:$AJ$4,0)))))</f>
        <v>1673</v>
      </c>
      <c r="R20" s="268">
        <f>Q20</f>
        <v>1673</v>
      </c>
      <c r="S20" s="267">
        <f>IF(ISNA(MATCH(S$2,Inputs!$K$4:$AJ$4,0)),NA(),IF(SUMPRODUCT((Inputs!$A$5:$A$110=$B20)*ISNUMBER(INDEX(Inputs!$K$5:$AJ$110,0,MATCH(S$2,Inputs!$K$4:$AJ$4,0))))+SUMPRODUCT((Inputs!$C$5:$C$110=$B20)*ISNUMBER(INDEX(Inputs!$K$5:$AJ$110,0,MATCH(S$2,Inputs!$K$4:$AJ$4,0))))+SUMPRODUCT((Inputs!$E$5:$E$110=$B20)*ISNUMBER(INDEX(Inputs!$K$5:$AJ$110,0,MATCH(S$2,Inputs!$K$4:$AJ$4,0))))=0,NA(),SUMPRODUCT((Inputs!$A$5:$A$110=$B20)*Inputs!$B$5:$B$110*(((Inputs!$G$5:$G$110="moeda")+(Inputs!$G$5:$G$110="acoes"))*Inputs!$B$1+((Inputs!$G$5:$G$110&lt;&gt;"moeda")*(Inputs!$G$5:$G$110&lt;&gt;"acoes")))*INDEX(Inputs!$K$5:$AJ$110,0,MATCH(S$2,Inputs!$K$4:$AJ$4,0)))+SUMPRODUCT((Inputs!$C$5:$C$110=$B20)*Inputs!$D$5:$D$110*(((Inputs!$G$5:$G$110="moeda")+(Inputs!$G$5:$G$110="acoes"))*Inputs!$B$1+((Inputs!$G$5:$G$110&lt;&gt;"moeda")*(Inputs!$G$5:$G$110&lt;&gt;"acoes")))*INDEX(Inputs!$K$5:$AJ$110,0,MATCH(S$2,Inputs!$K$4:$AJ$4,0)))+SUMPRODUCT((Inputs!$E$5:$E$110=$B20)*Inputs!$F$5:$F$110*(((Inputs!$G$5:$G$110="moeda")+(Inputs!$G$5:$G$110="acoes"))*Inputs!$B$1+((Inputs!$G$5:$G$110&lt;&gt;"moeda")*(Inputs!$G$5:$G$110&lt;&gt;"acoes")))*INDEX(Inputs!$K$5:$AJ$110,0,MATCH(S$2,Inputs!$K$4:$AJ$4,0)))))</f>
        <v>1971</v>
      </c>
      <c r="T20" s="267">
        <f>IF(ISNA(MATCH(T$2,Inputs!$K$4:$AJ$4,0)),NA(),IF(SUMPRODUCT((Inputs!$A$5:$A$110=$B20)*ISNUMBER(INDEX(Inputs!$K$5:$AJ$110,0,MATCH(T$2,Inputs!$K$4:$AJ$4,0))))+SUMPRODUCT((Inputs!$C$5:$C$110=$B20)*ISNUMBER(INDEX(Inputs!$K$5:$AJ$110,0,MATCH(T$2,Inputs!$K$4:$AJ$4,0))))+SUMPRODUCT((Inputs!$E$5:$E$110=$B20)*ISNUMBER(INDEX(Inputs!$K$5:$AJ$110,0,MATCH(T$2,Inputs!$K$4:$AJ$4,0))))=0,NA(),SUMPRODUCT((Inputs!$A$5:$A$110=$B20)*Inputs!$B$5:$B$110*(((Inputs!$G$5:$G$110="moeda")+(Inputs!$G$5:$G$110="acoes"))*Inputs!$B$1+((Inputs!$G$5:$G$110&lt;&gt;"moeda")*(Inputs!$G$5:$G$110&lt;&gt;"acoes")))*INDEX(Inputs!$K$5:$AJ$110,0,MATCH(T$2,Inputs!$K$4:$AJ$4,0)))+SUMPRODUCT((Inputs!$C$5:$C$110=$B20)*Inputs!$D$5:$D$110*(((Inputs!$G$5:$G$110="moeda")+(Inputs!$G$5:$G$110="acoes"))*Inputs!$B$1+((Inputs!$G$5:$G$110&lt;&gt;"moeda")*(Inputs!$G$5:$G$110&lt;&gt;"acoes")))*INDEX(Inputs!$K$5:$AJ$110,0,MATCH(T$2,Inputs!$K$4:$AJ$4,0)))+SUMPRODUCT((Inputs!$E$5:$E$110=$B20)*Inputs!$F$5:$F$110*(((Inputs!$G$5:$G$110="moeda")+(Inputs!$G$5:$G$110="acoes"))*Inputs!$B$1+((Inputs!$G$5:$G$110&lt;&gt;"moeda")*(Inputs!$G$5:$G$110&lt;&gt;"acoes")))*INDEX(Inputs!$K$5:$AJ$110,0,MATCH(T$2,Inputs!$K$4:$AJ$4,0)))))</f>
        <v>1776</v>
      </c>
      <c r="U20" s="267">
        <f>IF(ISNA(MATCH(U$2,Inputs!$K$4:$AJ$4,0)),NA(),IF(SUMPRODUCT((Inputs!$A$5:$A$110=$B20)*ISNUMBER(INDEX(Inputs!$K$5:$AJ$110,0,MATCH(U$2,Inputs!$K$4:$AJ$4,0))))+SUMPRODUCT((Inputs!$C$5:$C$110=$B20)*ISNUMBER(INDEX(Inputs!$K$5:$AJ$110,0,MATCH(U$2,Inputs!$K$4:$AJ$4,0))))+SUMPRODUCT((Inputs!$E$5:$E$110=$B20)*ISNUMBER(INDEX(Inputs!$K$5:$AJ$110,0,MATCH(U$2,Inputs!$K$4:$AJ$4,0))))=0,NA(),SUMPRODUCT((Inputs!$A$5:$A$110=$B20)*Inputs!$B$5:$B$110*(((Inputs!$G$5:$G$110="moeda")+(Inputs!$G$5:$G$110="acoes"))*Inputs!$B$1+((Inputs!$G$5:$G$110&lt;&gt;"moeda")*(Inputs!$G$5:$G$110&lt;&gt;"acoes")))*INDEX(Inputs!$K$5:$AJ$110,0,MATCH(U$2,Inputs!$K$4:$AJ$4,0)))+SUMPRODUCT((Inputs!$C$5:$C$110=$B20)*Inputs!$D$5:$D$110*(((Inputs!$G$5:$G$110="moeda")+(Inputs!$G$5:$G$110="acoes"))*Inputs!$B$1+((Inputs!$G$5:$G$110&lt;&gt;"moeda")*(Inputs!$G$5:$G$110&lt;&gt;"acoes")))*INDEX(Inputs!$K$5:$AJ$110,0,MATCH(U$2,Inputs!$K$4:$AJ$4,0)))+SUMPRODUCT((Inputs!$E$5:$E$110=$B20)*Inputs!$F$5:$F$110*(((Inputs!$G$5:$G$110="moeda")+(Inputs!$G$5:$G$110="acoes"))*Inputs!$B$1+((Inputs!$G$5:$G$110&lt;&gt;"moeda")*(Inputs!$G$5:$G$110&lt;&gt;"acoes")))*INDEX(Inputs!$K$5:$AJ$110,0,MATCH(U$2,Inputs!$K$4:$AJ$4,0)))))</f>
        <v>1734</v>
      </c>
      <c r="V20" s="267">
        <f>IF(ISNA(MATCH(V$2,Inputs!$K$4:$AJ$4,0)),NA(),IF(SUMPRODUCT((Inputs!$A$5:$A$110=$B20)*ISNUMBER(INDEX(Inputs!$K$5:$AJ$110,0,MATCH(V$2,Inputs!$K$4:$AJ$4,0))))+SUMPRODUCT((Inputs!$C$5:$C$110=$B20)*ISNUMBER(INDEX(Inputs!$K$5:$AJ$110,0,MATCH(V$2,Inputs!$K$4:$AJ$4,0))))+SUMPRODUCT((Inputs!$E$5:$E$110=$B20)*ISNUMBER(INDEX(Inputs!$K$5:$AJ$110,0,MATCH(V$2,Inputs!$K$4:$AJ$4,0))))=0,NA(),SUMPRODUCT((Inputs!$A$5:$A$110=$B20)*Inputs!$B$5:$B$110*(((Inputs!$G$5:$G$110="moeda")+(Inputs!$G$5:$G$110="acoes"))*Inputs!$B$1+((Inputs!$G$5:$G$110&lt;&gt;"moeda")*(Inputs!$G$5:$G$110&lt;&gt;"acoes")))*INDEX(Inputs!$K$5:$AJ$110,0,MATCH(V$2,Inputs!$K$4:$AJ$4,0)))+SUMPRODUCT((Inputs!$C$5:$C$110=$B20)*Inputs!$D$5:$D$110*(((Inputs!$G$5:$G$110="moeda")+(Inputs!$G$5:$G$110="acoes"))*Inputs!$B$1+((Inputs!$G$5:$G$110&lt;&gt;"moeda")*(Inputs!$G$5:$G$110&lt;&gt;"acoes")))*INDEX(Inputs!$K$5:$AJ$110,0,MATCH(V$2,Inputs!$K$4:$AJ$4,0)))+SUMPRODUCT((Inputs!$E$5:$E$110=$B20)*Inputs!$F$5:$F$110*(((Inputs!$G$5:$G$110="moeda")+(Inputs!$G$5:$G$110="acoes"))*Inputs!$B$1+((Inputs!$G$5:$G$110&lt;&gt;"moeda")*(Inputs!$G$5:$G$110&lt;&gt;"acoes")))*INDEX(Inputs!$K$5:$AJ$110,0,MATCH(V$2,Inputs!$K$4:$AJ$4,0)))))</f>
        <v>1754</v>
      </c>
      <c r="W20" s="268">
        <f>V20</f>
        <v>1754</v>
      </c>
      <c r="X20" s="267">
        <f>IF(ISNA(MATCH(X$2,Inputs!$K$4:$AJ$4,0)),NA(),IF(SUMPRODUCT((Inputs!$A$5:$A$110=$B20)*ISNUMBER(INDEX(Inputs!$K$5:$AJ$110,0,MATCH(X$2,Inputs!$K$4:$AJ$4,0))))+SUMPRODUCT((Inputs!$C$5:$C$110=$B20)*ISNUMBER(INDEX(Inputs!$K$5:$AJ$110,0,MATCH(X$2,Inputs!$K$4:$AJ$4,0))))+SUMPRODUCT((Inputs!$E$5:$E$110=$B20)*ISNUMBER(INDEX(Inputs!$K$5:$AJ$110,0,MATCH(X$2,Inputs!$K$4:$AJ$4,0))))=0,NA(),SUMPRODUCT((Inputs!$A$5:$A$110=$B20)*Inputs!$B$5:$B$110*(((Inputs!$G$5:$G$110="moeda")+(Inputs!$G$5:$G$110="acoes"))*Inputs!$B$1+((Inputs!$G$5:$G$110&lt;&gt;"moeda")*(Inputs!$G$5:$G$110&lt;&gt;"acoes")))*INDEX(Inputs!$K$5:$AJ$110,0,MATCH(X$2,Inputs!$K$4:$AJ$4,0)))+SUMPRODUCT((Inputs!$C$5:$C$110=$B20)*Inputs!$D$5:$D$110*(((Inputs!$G$5:$G$110="moeda")+(Inputs!$G$5:$G$110="acoes"))*Inputs!$B$1+((Inputs!$G$5:$G$110&lt;&gt;"moeda")*(Inputs!$G$5:$G$110&lt;&gt;"acoes")))*INDEX(Inputs!$K$5:$AJ$110,0,MATCH(X$2,Inputs!$K$4:$AJ$4,0)))+SUMPRODUCT((Inputs!$E$5:$E$110=$B20)*Inputs!$F$5:$F$110*(((Inputs!$G$5:$G$110="moeda")+(Inputs!$G$5:$G$110="acoes"))*Inputs!$B$1+((Inputs!$G$5:$G$110&lt;&gt;"moeda")*(Inputs!$G$5:$G$110&lt;&gt;"acoes")))*INDEX(Inputs!$K$5:$AJ$110,0,MATCH(X$2,Inputs!$K$4:$AJ$4,0)))))</f>
        <v>1925</v>
      </c>
      <c r="Y20" s="267">
        <f>IF(ISNA(MATCH(Y$2,Inputs!$K$4:$AJ$4,0)),NA(),IF(SUMPRODUCT((Inputs!$A$5:$A$110=$B20)*ISNUMBER(INDEX(Inputs!$K$5:$AJ$110,0,MATCH(Y$2,Inputs!$K$4:$AJ$4,0))))+SUMPRODUCT((Inputs!$C$5:$C$110=$B20)*ISNUMBER(INDEX(Inputs!$K$5:$AJ$110,0,MATCH(Y$2,Inputs!$K$4:$AJ$4,0))))+SUMPRODUCT((Inputs!$E$5:$E$110=$B20)*ISNUMBER(INDEX(Inputs!$K$5:$AJ$110,0,MATCH(Y$2,Inputs!$K$4:$AJ$4,0))))=0,NA(),SUMPRODUCT((Inputs!$A$5:$A$110=$B20)*Inputs!$B$5:$B$110*(((Inputs!$G$5:$G$110="moeda")+(Inputs!$G$5:$G$110="acoes"))*Inputs!$B$1+((Inputs!$G$5:$G$110&lt;&gt;"moeda")*(Inputs!$G$5:$G$110&lt;&gt;"acoes")))*INDEX(Inputs!$K$5:$AJ$110,0,MATCH(Y$2,Inputs!$K$4:$AJ$4,0)))+SUMPRODUCT((Inputs!$C$5:$C$110=$B20)*Inputs!$D$5:$D$110*(((Inputs!$G$5:$G$110="moeda")+(Inputs!$G$5:$G$110="acoes"))*Inputs!$B$1+((Inputs!$G$5:$G$110&lt;&gt;"moeda")*(Inputs!$G$5:$G$110&lt;&gt;"acoes")))*INDEX(Inputs!$K$5:$AJ$110,0,MATCH(Y$2,Inputs!$K$4:$AJ$4,0)))+SUMPRODUCT((Inputs!$E$5:$E$110=$B20)*Inputs!$F$5:$F$110*(((Inputs!$G$5:$G$110="moeda")+(Inputs!$G$5:$G$110="acoes"))*Inputs!$B$1+((Inputs!$G$5:$G$110&lt;&gt;"moeda")*(Inputs!$G$5:$G$110&lt;&gt;"acoes")))*INDEX(Inputs!$K$5:$AJ$110,0,MATCH(Y$2,Inputs!$K$4:$AJ$4,0)))))</f>
        <v>1820</v>
      </c>
      <c r="Z20" s="267">
        <f>IF(ISNA(MATCH(Z$2,Inputs!$K$4:$AJ$4,0)),NA(),IF(SUMPRODUCT((Inputs!$A$5:$A$110=$B20)*ISNUMBER(INDEX(Inputs!$K$5:$AJ$110,0,MATCH(Z$2,Inputs!$K$4:$AJ$4,0))))+SUMPRODUCT((Inputs!$C$5:$C$110=$B20)*ISNUMBER(INDEX(Inputs!$K$5:$AJ$110,0,MATCH(Z$2,Inputs!$K$4:$AJ$4,0))))+SUMPRODUCT((Inputs!$E$5:$E$110=$B20)*ISNUMBER(INDEX(Inputs!$K$5:$AJ$110,0,MATCH(Z$2,Inputs!$K$4:$AJ$4,0))))=0,NA(),SUMPRODUCT((Inputs!$A$5:$A$110=$B20)*Inputs!$B$5:$B$110*(((Inputs!$G$5:$G$110="moeda")+(Inputs!$G$5:$G$110="acoes"))*Inputs!$B$1+((Inputs!$G$5:$G$110&lt;&gt;"moeda")*(Inputs!$G$5:$G$110&lt;&gt;"acoes")))*INDEX(Inputs!$K$5:$AJ$110,0,MATCH(Z$2,Inputs!$K$4:$AJ$4,0)))+SUMPRODUCT((Inputs!$C$5:$C$110=$B20)*Inputs!$D$5:$D$110*(((Inputs!$G$5:$G$110="moeda")+(Inputs!$G$5:$G$110="acoes"))*Inputs!$B$1+((Inputs!$G$5:$G$110&lt;&gt;"moeda")*(Inputs!$G$5:$G$110&lt;&gt;"acoes")))*INDEX(Inputs!$K$5:$AJ$110,0,MATCH(Z$2,Inputs!$K$4:$AJ$4,0)))+SUMPRODUCT((Inputs!$E$5:$E$110=$B20)*Inputs!$F$5:$F$110*(((Inputs!$G$5:$G$110="moeda")+(Inputs!$G$5:$G$110="acoes"))*Inputs!$B$1+((Inputs!$G$5:$G$110&lt;&gt;"moeda")*(Inputs!$G$5:$G$110&lt;&gt;"acoes")))*INDEX(Inputs!$K$5:$AJ$110,0,MATCH(Z$2,Inputs!$K$4:$AJ$4,0)))))</f>
        <v>1777</v>
      </c>
      <c r="AA20" s="267">
        <f>IF(ISNA(MATCH(AA$2,Inputs!$K$4:$AJ$4,0)),NA(),IF(SUMPRODUCT((Inputs!$A$5:$A$110=$B20)*ISNUMBER(INDEX(Inputs!$K$5:$AJ$110,0,MATCH(AA$2,Inputs!$K$4:$AJ$4,0))))+SUMPRODUCT((Inputs!$C$5:$C$110=$B20)*ISNUMBER(INDEX(Inputs!$K$5:$AJ$110,0,MATCH(AA$2,Inputs!$K$4:$AJ$4,0))))+SUMPRODUCT((Inputs!$E$5:$E$110=$B20)*ISNUMBER(INDEX(Inputs!$K$5:$AJ$110,0,MATCH(AA$2,Inputs!$K$4:$AJ$4,0))))=0,NA(),SUMPRODUCT((Inputs!$A$5:$A$110=$B20)*Inputs!$B$5:$B$110*(((Inputs!$G$5:$G$110="moeda")+(Inputs!$G$5:$G$110="acoes"))*Inputs!$B$1+((Inputs!$G$5:$G$110&lt;&gt;"moeda")*(Inputs!$G$5:$G$110&lt;&gt;"acoes")))*INDEX(Inputs!$K$5:$AJ$110,0,MATCH(AA$2,Inputs!$K$4:$AJ$4,0)))+SUMPRODUCT((Inputs!$C$5:$C$110=$B20)*Inputs!$D$5:$D$110*(((Inputs!$G$5:$G$110="moeda")+(Inputs!$G$5:$G$110="acoes"))*Inputs!$B$1+((Inputs!$G$5:$G$110&lt;&gt;"moeda")*(Inputs!$G$5:$G$110&lt;&gt;"acoes")))*INDEX(Inputs!$K$5:$AJ$110,0,MATCH(AA$2,Inputs!$K$4:$AJ$4,0)))+SUMPRODUCT((Inputs!$E$5:$E$110=$B20)*Inputs!$F$5:$F$110*(((Inputs!$G$5:$G$110="moeda")+(Inputs!$G$5:$G$110="acoes"))*Inputs!$B$1+((Inputs!$G$5:$G$110&lt;&gt;"moeda")*(Inputs!$G$5:$G$110&lt;&gt;"acoes")))*INDEX(Inputs!$K$5:$AJ$110,0,MATCH(AA$2,Inputs!$K$4:$AJ$4,0)))))</f>
        <v>1856</v>
      </c>
      <c r="AB20" s="268">
        <f>AA20</f>
        <v>1856</v>
      </c>
      <c r="AC20" s="267">
        <f>IF(ISNA(MATCH(AC$2,Inputs!$K$4:$AJ$4,0)),NA(),IF(SUMPRODUCT((Inputs!$A$5:$A$110=$B20)*ISNUMBER(INDEX(Inputs!$K$5:$AJ$110,0,MATCH(AC$2,Inputs!$K$4:$AJ$4,0))))+SUMPRODUCT((Inputs!$C$5:$C$110=$B20)*ISNUMBER(INDEX(Inputs!$K$5:$AJ$110,0,MATCH(AC$2,Inputs!$K$4:$AJ$4,0))))+SUMPRODUCT((Inputs!$E$5:$E$110=$B20)*ISNUMBER(INDEX(Inputs!$K$5:$AJ$110,0,MATCH(AC$2,Inputs!$K$4:$AJ$4,0))))=0,NA(),SUMPRODUCT((Inputs!$A$5:$A$110=$B20)*Inputs!$B$5:$B$110*(((Inputs!$G$5:$G$110="moeda")+(Inputs!$G$5:$G$110="acoes"))*Inputs!$B$1+((Inputs!$G$5:$G$110&lt;&gt;"moeda")*(Inputs!$G$5:$G$110&lt;&gt;"acoes")))*INDEX(Inputs!$K$5:$AJ$110,0,MATCH(AC$2,Inputs!$K$4:$AJ$4,0)))+SUMPRODUCT((Inputs!$C$5:$C$110=$B20)*Inputs!$D$5:$D$110*(((Inputs!$G$5:$G$110="moeda")+(Inputs!$G$5:$G$110="acoes"))*Inputs!$B$1+((Inputs!$G$5:$G$110&lt;&gt;"moeda")*(Inputs!$G$5:$G$110&lt;&gt;"acoes")))*INDEX(Inputs!$K$5:$AJ$110,0,MATCH(AC$2,Inputs!$K$4:$AJ$4,0)))+SUMPRODUCT((Inputs!$E$5:$E$110=$B20)*Inputs!$F$5:$F$110*(((Inputs!$G$5:$G$110="moeda")+(Inputs!$G$5:$G$110="acoes"))*Inputs!$B$1+((Inputs!$G$5:$G$110&lt;&gt;"moeda")*(Inputs!$G$5:$G$110&lt;&gt;"acoes")))*INDEX(Inputs!$K$5:$AJ$110,0,MATCH(AC$2,Inputs!$K$4:$AJ$4,0)))))</f>
        <v>2120</v>
      </c>
      <c r="AD20" s="267">
        <f>IF(ISNA(MATCH(AD$2,Inputs!$K$4:$AJ$4,0)),NA(),IF(SUMPRODUCT((Inputs!$A$5:$A$110=$B20)*ISNUMBER(INDEX(Inputs!$K$5:$AJ$110,0,MATCH(AD$2,Inputs!$K$4:$AJ$4,0))))+SUMPRODUCT((Inputs!$C$5:$C$110=$B20)*ISNUMBER(INDEX(Inputs!$K$5:$AJ$110,0,MATCH(AD$2,Inputs!$K$4:$AJ$4,0))))+SUMPRODUCT((Inputs!$E$5:$E$110=$B20)*ISNUMBER(INDEX(Inputs!$K$5:$AJ$110,0,MATCH(AD$2,Inputs!$K$4:$AJ$4,0))))=0,NA(),SUMPRODUCT((Inputs!$A$5:$A$110=$B20)*Inputs!$B$5:$B$110*(((Inputs!$G$5:$G$110="moeda")+(Inputs!$G$5:$G$110="acoes"))*Inputs!$B$1+((Inputs!$G$5:$G$110&lt;&gt;"moeda")*(Inputs!$G$5:$G$110&lt;&gt;"acoes")))*INDEX(Inputs!$K$5:$AJ$110,0,MATCH(AD$2,Inputs!$K$4:$AJ$4,0)))+SUMPRODUCT((Inputs!$C$5:$C$110=$B20)*Inputs!$D$5:$D$110*(((Inputs!$G$5:$G$110="moeda")+(Inputs!$G$5:$G$110="acoes"))*Inputs!$B$1+((Inputs!$G$5:$G$110&lt;&gt;"moeda")*(Inputs!$G$5:$G$110&lt;&gt;"acoes")))*INDEX(Inputs!$K$5:$AJ$110,0,MATCH(AD$2,Inputs!$K$4:$AJ$4,0)))+SUMPRODUCT((Inputs!$E$5:$E$110=$B20)*Inputs!$F$5:$F$110*(((Inputs!$G$5:$G$110="moeda")+(Inputs!$G$5:$G$110="acoes"))*Inputs!$B$1+((Inputs!$G$5:$G$110&lt;&gt;"moeda")*(Inputs!$G$5:$G$110&lt;&gt;"acoes")))*INDEX(Inputs!$K$5:$AJ$110,0,MATCH(AD$2,Inputs!$K$4:$AJ$4,0)))))</f>
        <v>2013</v>
      </c>
      <c r="AE20" s="267" t="e">
        <f>IF(ISNA(MATCH(AE$2,Inputs!$K$4:$AJ$4,0)),NA(),IF(SUMPRODUCT((Inputs!$A$5:$A$110=$B20)*ISNUMBER(INDEX(Inputs!$K$5:$AJ$110,0,MATCH(AE$2,Inputs!$K$4:$AJ$4,0))))+SUMPRODUCT((Inputs!$C$5:$C$110=$B20)*ISNUMBER(INDEX(Inputs!$K$5:$AJ$110,0,MATCH(AE$2,Inputs!$K$4:$AJ$4,0))))+SUMPRODUCT((Inputs!$E$5:$E$110=$B20)*ISNUMBER(INDEX(Inputs!$K$5:$AJ$110,0,MATCH(AE$2,Inputs!$K$4:$AJ$4,0))))=0,NA(),SUMPRODUCT((Inputs!$A$5:$A$110=$B20)*Inputs!$B$5:$B$110*(((Inputs!$G$5:$G$110="moeda")+(Inputs!$G$5:$G$110="acoes"))*Inputs!$B$1+((Inputs!$G$5:$G$110&lt;&gt;"moeda")*(Inputs!$G$5:$G$110&lt;&gt;"acoes")))*INDEX(Inputs!$K$5:$AJ$110,0,MATCH(AE$2,Inputs!$K$4:$AJ$4,0)))+SUMPRODUCT((Inputs!$C$5:$C$110=$B20)*Inputs!$D$5:$D$110*(((Inputs!$G$5:$G$110="moeda")+(Inputs!$G$5:$G$110="acoes"))*Inputs!$B$1+((Inputs!$G$5:$G$110&lt;&gt;"moeda")*(Inputs!$G$5:$G$110&lt;&gt;"acoes")))*INDEX(Inputs!$K$5:$AJ$110,0,MATCH(AE$2,Inputs!$K$4:$AJ$4,0)))+SUMPRODUCT((Inputs!$E$5:$E$110=$B20)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0" s="267" t="e">
        <f>IF(ISNA(MATCH(AF$2,Inputs!$K$4:$AJ$4,0)),NA(),IF(SUMPRODUCT((Inputs!$A$5:$A$110=$B20)*ISNUMBER(INDEX(Inputs!$K$5:$AJ$110,0,MATCH(AF$2,Inputs!$K$4:$AJ$4,0))))+SUMPRODUCT((Inputs!$C$5:$C$110=$B20)*ISNUMBER(INDEX(Inputs!$K$5:$AJ$110,0,MATCH(AF$2,Inputs!$K$4:$AJ$4,0))))+SUMPRODUCT((Inputs!$E$5:$E$110=$B20)*ISNUMBER(INDEX(Inputs!$K$5:$AJ$110,0,MATCH(AF$2,Inputs!$K$4:$AJ$4,0))))=0,NA(),SUMPRODUCT((Inputs!$A$5:$A$110=$B20)*Inputs!$B$5:$B$110*(((Inputs!$G$5:$G$110="moeda")+(Inputs!$G$5:$G$110="acoes"))*Inputs!$B$1+((Inputs!$G$5:$G$110&lt;&gt;"moeda")*(Inputs!$G$5:$G$110&lt;&gt;"acoes")))*INDEX(Inputs!$K$5:$AJ$110,0,MATCH(AF$2,Inputs!$K$4:$AJ$4,0)))+SUMPRODUCT((Inputs!$C$5:$C$110=$B20)*Inputs!$D$5:$D$110*(((Inputs!$G$5:$G$110="moeda")+(Inputs!$G$5:$G$110="acoes"))*Inputs!$B$1+((Inputs!$G$5:$G$110&lt;&gt;"moeda")*(Inputs!$G$5:$G$110&lt;&gt;"acoes")))*INDEX(Inputs!$K$5:$AJ$110,0,MATCH(AF$2,Inputs!$K$4:$AJ$4,0)))+SUMPRODUCT((Inputs!$E$5:$E$110=$B20)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0" s="268" t="e">
        <f>AF20</f>
        <v>#N/A</v>
      </c>
      <c r="AH20" s="267">
        <f>IF(ISNA(MATCH(AH$2,Inputs!$K$4:$AJ$4,0)),NA(),IF(SUMPRODUCT((Inputs!$A$5:$A$110=$B20)*ISNUMBER(INDEX(Inputs!$K$5:$AJ$110,0,MATCH(AH$2,Inputs!$K$4:$AJ$4,0))))+SUMPRODUCT((Inputs!$C$5:$C$110=$B20)*ISNUMBER(INDEX(Inputs!$K$5:$AJ$110,0,MATCH(AH$2,Inputs!$K$4:$AJ$4,0))))+SUMPRODUCT((Inputs!$E$5:$E$110=$B20)*ISNUMBER(INDEX(Inputs!$K$5:$AJ$110,0,MATCH(AH$2,Inputs!$K$4:$AJ$4,0))))=0,NA(),SUMPRODUCT((Inputs!$A$5:$A$110=$B20)*Inputs!$B$5:$B$110*(((Inputs!$G$5:$G$110="moeda")+(Inputs!$G$5:$G$110="acoes"))*Inputs!$B$1+((Inputs!$G$5:$G$110&lt;&gt;"moeda")*(Inputs!$G$5:$G$110&lt;&gt;"acoes")))*INDEX(Inputs!$K$5:$AJ$110,0,MATCH(AH$2,Inputs!$K$4:$AJ$4,0)))+SUMPRODUCT((Inputs!$C$5:$C$110=$B20)*Inputs!$D$5:$D$110*(((Inputs!$G$5:$G$110="moeda")+(Inputs!$G$5:$G$110="acoes"))*Inputs!$B$1+((Inputs!$G$5:$G$110&lt;&gt;"moeda")*(Inputs!$G$5:$G$110&lt;&gt;"acoes")))*INDEX(Inputs!$K$5:$AJ$110,0,MATCH(AH$2,Inputs!$K$4:$AJ$4,0)))+SUMPRODUCT((Inputs!$E$5:$E$110=$B20)*Inputs!$F$5:$F$110*(((Inputs!$G$5:$G$110="moeda")+(Inputs!$G$5:$G$110="acoes"))*Inputs!$B$1+((Inputs!$G$5:$G$110&lt;&gt;"moeda")*(Inputs!$G$5:$G$110&lt;&gt;"acoes")))*INDEX(Inputs!$K$5:$AJ$110,0,MATCH(AH$2,Inputs!$K$4:$AJ$4,0)))))</f>
        <v>1150</v>
      </c>
      <c r="AI20" s="267">
        <f>IF(ISNA(MATCH(AI$2,Inputs!$K$4:$AJ$4,0)),NA(),IF(SUMPRODUCT((Inputs!$A$5:$A$110=$B20)*ISNUMBER(INDEX(Inputs!$K$5:$AJ$110,0,MATCH(AI$2,Inputs!$K$4:$AJ$4,0))))+SUMPRODUCT((Inputs!$C$5:$C$110=$B20)*ISNUMBER(INDEX(Inputs!$K$5:$AJ$110,0,MATCH(AI$2,Inputs!$K$4:$AJ$4,0))))+SUMPRODUCT((Inputs!$E$5:$E$110=$B20)*ISNUMBER(INDEX(Inputs!$K$5:$AJ$110,0,MATCH(AI$2,Inputs!$K$4:$AJ$4,0))))=0,NA(),SUMPRODUCT((Inputs!$A$5:$A$110=$B20)*Inputs!$B$5:$B$110*(((Inputs!$G$5:$G$110="moeda")+(Inputs!$G$5:$G$110="acoes"))*Inputs!$B$1+((Inputs!$G$5:$G$110&lt;&gt;"moeda")*(Inputs!$G$5:$G$110&lt;&gt;"acoes")))*INDEX(Inputs!$K$5:$AJ$110,0,MATCH(AI$2,Inputs!$K$4:$AJ$4,0)))+SUMPRODUCT((Inputs!$C$5:$C$110=$B20)*Inputs!$D$5:$D$110*(((Inputs!$G$5:$G$110="moeda")+(Inputs!$G$5:$G$110="acoes"))*Inputs!$B$1+((Inputs!$G$5:$G$110&lt;&gt;"moeda")*(Inputs!$G$5:$G$110&lt;&gt;"acoes")))*INDEX(Inputs!$K$5:$AJ$110,0,MATCH(AI$2,Inputs!$K$4:$AJ$4,0)))+SUMPRODUCT((Inputs!$E$5:$E$110=$B20)*Inputs!$F$5:$F$110*(((Inputs!$G$5:$G$110="moeda")+(Inputs!$G$5:$G$110="acoes"))*Inputs!$B$1+((Inputs!$G$5:$G$110&lt;&gt;"moeda")*(Inputs!$G$5:$G$110&lt;&gt;"acoes")))*INDEX(Inputs!$K$5:$AJ$110,0,MATCH(AI$2,Inputs!$K$4:$AJ$4,0)))))</f>
        <v>963</v>
      </c>
      <c r="AJ20" s="267">
        <f>IF(ISNA(MATCH(AJ$2,Inputs!$K$4:$AJ$4,0)),NA(),IF(SUMPRODUCT((Inputs!$A$5:$A$110=$B20)*ISNUMBER(INDEX(Inputs!$K$5:$AJ$110,0,MATCH(AJ$2,Inputs!$K$4:$AJ$4,0))))+SUMPRODUCT((Inputs!$C$5:$C$110=$B20)*ISNUMBER(INDEX(Inputs!$K$5:$AJ$110,0,MATCH(AJ$2,Inputs!$K$4:$AJ$4,0))))+SUMPRODUCT((Inputs!$E$5:$E$110=$B20)*ISNUMBER(INDEX(Inputs!$K$5:$AJ$110,0,MATCH(AJ$2,Inputs!$K$4:$AJ$4,0))))=0,NA(),SUMPRODUCT((Inputs!$A$5:$A$110=$B20)*Inputs!$B$5:$B$110*(((Inputs!$G$5:$G$110="moeda")+(Inputs!$G$5:$G$110="acoes"))*Inputs!$B$1+((Inputs!$G$5:$G$110&lt;&gt;"moeda")*(Inputs!$G$5:$G$110&lt;&gt;"acoes")))*INDEX(Inputs!$K$5:$AJ$110,0,MATCH(AJ$2,Inputs!$K$4:$AJ$4,0)))+SUMPRODUCT((Inputs!$C$5:$C$110=$B20)*Inputs!$D$5:$D$110*(((Inputs!$G$5:$G$110="moeda")+(Inputs!$G$5:$G$110="acoes"))*Inputs!$B$1+((Inputs!$G$5:$G$110&lt;&gt;"moeda")*(Inputs!$G$5:$G$110&lt;&gt;"acoes")))*INDEX(Inputs!$K$5:$AJ$110,0,MATCH(AJ$2,Inputs!$K$4:$AJ$4,0)))+SUMPRODUCT((Inputs!$E$5:$E$110=$B20)*Inputs!$F$5:$F$110*(((Inputs!$G$5:$G$110="moeda")+(Inputs!$G$5:$G$110="acoes"))*Inputs!$B$1+((Inputs!$G$5:$G$110&lt;&gt;"moeda")*(Inputs!$G$5:$G$110&lt;&gt;"acoes")))*INDEX(Inputs!$K$5:$AJ$110,0,MATCH(AJ$2,Inputs!$K$4:$AJ$4,0)))))</f>
        <v>1023</v>
      </c>
      <c r="AK20" s="267">
        <f>IF(ISNA(MATCH(AK$2,Inputs!$K$4:$AJ$4,0)),NA(),IF(SUMPRODUCT((Inputs!$A$5:$A$110=$B20)*ISNUMBER(INDEX(Inputs!$K$5:$AJ$110,0,MATCH(AK$2,Inputs!$K$4:$AJ$4,0))))+SUMPRODUCT((Inputs!$C$5:$C$110=$B20)*ISNUMBER(INDEX(Inputs!$K$5:$AJ$110,0,MATCH(AK$2,Inputs!$K$4:$AJ$4,0))))+SUMPRODUCT((Inputs!$E$5:$E$110=$B20)*ISNUMBER(INDEX(Inputs!$K$5:$AJ$110,0,MATCH(AK$2,Inputs!$K$4:$AJ$4,0))))=0,NA(),SUMPRODUCT((Inputs!$A$5:$A$110=$B20)*Inputs!$B$5:$B$110*(((Inputs!$G$5:$G$110="moeda")+(Inputs!$G$5:$G$110="acoes"))*Inputs!$B$1+((Inputs!$G$5:$G$110&lt;&gt;"moeda")*(Inputs!$G$5:$G$110&lt;&gt;"acoes")))*INDEX(Inputs!$K$5:$AJ$110,0,MATCH(AK$2,Inputs!$K$4:$AJ$4,0)))+SUMPRODUCT((Inputs!$C$5:$C$110=$B20)*Inputs!$D$5:$D$110*(((Inputs!$G$5:$G$110="moeda")+(Inputs!$G$5:$G$110="acoes"))*Inputs!$B$1+((Inputs!$G$5:$G$110&lt;&gt;"moeda")*(Inputs!$G$5:$G$110&lt;&gt;"acoes")))*INDEX(Inputs!$K$5:$AJ$110,0,MATCH(AK$2,Inputs!$K$4:$AJ$4,0)))+SUMPRODUCT((Inputs!$E$5:$E$110=$B20)*Inputs!$F$5:$F$110*(((Inputs!$G$5:$G$110="moeda")+(Inputs!$G$5:$G$110="acoes"))*Inputs!$B$1+((Inputs!$G$5:$G$110&lt;&gt;"moeda")*(Inputs!$G$5:$G$110&lt;&gt;"acoes")))*INDEX(Inputs!$K$5:$AJ$110,0,MATCH(AK$2,Inputs!$K$4:$AJ$4,0)))))</f>
        <v>1126</v>
      </c>
      <c r="AL20" s="268">
        <f>AK20</f>
        <v>1126</v>
      </c>
    </row>
    <row r="21" ht="12.75" customHeight="1" s="255">
      <c r="B21" s="265" t="n">
        <v>17</v>
      </c>
      <c r="C21" s="270" t="inlineStr">
        <is>
          <t>Equity in affiliates</t>
        </is>
      </c>
      <c r="D21" s="267">
        <f>IF(ISNA(MATCH(D$2,Inputs!$K$4:$AJ$4,0)),NA(),IF(SUMPRODUCT((Inputs!$A$5:$A$110=$B21)*ISNUMBER(INDEX(Inputs!$K$5:$AJ$110,0,MATCH(D$2,Inputs!$K$4:$AJ$4,0))))+SUMPRODUCT((Inputs!$C$5:$C$110=$B21)*ISNUMBER(INDEX(Inputs!$K$5:$AJ$110,0,MATCH(D$2,Inputs!$K$4:$AJ$4,0))))+SUMPRODUCT((Inputs!$E$5:$E$110=$B21)*ISNUMBER(INDEX(Inputs!$K$5:$AJ$110,0,MATCH(D$2,Inputs!$K$4:$AJ$4,0))))=0,NA(),SUMPRODUCT((Inputs!$A$5:$A$110=$B21)*Inputs!$B$5:$B$110*(((Inputs!$G$5:$G$110="moeda")+(Inputs!$G$5:$G$110="acoes"))*Inputs!$B$1+((Inputs!$G$5:$G$110&lt;&gt;"moeda")*(Inputs!$G$5:$G$110&lt;&gt;"acoes")))*INDEX(Inputs!$K$5:$AJ$110,0,MATCH(D$2,Inputs!$K$4:$AJ$4,0)))+SUMPRODUCT((Inputs!$C$5:$C$110=$B21)*Inputs!$D$5:$D$110*(((Inputs!$G$5:$G$110="moeda")+(Inputs!$G$5:$G$110="acoes"))*Inputs!$B$1+((Inputs!$G$5:$G$110&lt;&gt;"moeda")*(Inputs!$G$5:$G$110&lt;&gt;"acoes")))*INDEX(Inputs!$K$5:$AJ$110,0,MATCH(D$2,Inputs!$K$4:$AJ$4,0)))+SUMPRODUCT((Inputs!$E$5:$E$110=$B21)*Inputs!$F$5:$F$110*(((Inputs!$G$5:$G$110="moeda")+(Inputs!$G$5:$G$110="acoes"))*Inputs!$B$1+((Inputs!$G$5:$G$110&lt;&gt;"moeda")*(Inputs!$G$5:$G$110&lt;&gt;"acoes")))*INDEX(Inputs!$K$5:$AJ$110,0,MATCH(D$2,Inputs!$K$4:$AJ$4,0)))))</f>
        <v>0</v>
      </c>
      <c r="E21" s="267">
        <f>IF(ISNA(MATCH(E$2,Inputs!$K$4:$AJ$4,0)),NA(),IF(SUMPRODUCT((Inputs!$A$5:$A$110=$B21)*ISNUMBER(INDEX(Inputs!$K$5:$AJ$110,0,MATCH(E$2,Inputs!$K$4:$AJ$4,0))))+SUMPRODUCT((Inputs!$C$5:$C$110=$B21)*ISNUMBER(INDEX(Inputs!$K$5:$AJ$110,0,MATCH(E$2,Inputs!$K$4:$AJ$4,0))))+SUMPRODUCT((Inputs!$E$5:$E$110=$B21)*ISNUMBER(INDEX(Inputs!$K$5:$AJ$110,0,MATCH(E$2,Inputs!$K$4:$AJ$4,0))))=0,NA(),SUMPRODUCT((Inputs!$A$5:$A$110=$B21)*Inputs!$B$5:$B$110*(((Inputs!$G$5:$G$110="moeda")+(Inputs!$G$5:$G$110="acoes"))*Inputs!$B$1+((Inputs!$G$5:$G$110&lt;&gt;"moeda")*(Inputs!$G$5:$G$110&lt;&gt;"acoes")))*INDEX(Inputs!$K$5:$AJ$110,0,MATCH(E$2,Inputs!$K$4:$AJ$4,0)))+SUMPRODUCT((Inputs!$C$5:$C$110=$B21)*Inputs!$D$5:$D$110*(((Inputs!$G$5:$G$110="moeda")+(Inputs!$G$5:$G$110="acoes"))*Inputs!$B$1+((Inputs!$G$5:$G$110&lt;&gt;"moeda")*(Inputs!$G$5:$G$110&lt;&gt;"acoes")))*INDEX(Inputs!$K$5:$AJ$110,0,MATCH(E$2,Inputs!$K$4:$AJ$4,0)))+SUMPRODUCT((Inputs!$E$5:$E$110=$B21)*Inputs!$F$5:$F$110*(((Inputs!$G$5:$G$110="moeda")+(Inputs!$G$5:$G$110="acoes"))*Inputs!$B$1+((Inputs!$G$5:$G$110&lt;&gt;"moeda")*(Inputs!$G$5:$G$110&lt;&gt;"acoes")))*INDEX(Inputs!$K$5:$AJ$110,0,MATCH(E$2,Inputs!$K$4:$AJ$4,0)))))</f>
        <v>0</v>
      </c>
      <c r="F21" s="267">
        <f>IF(ISNA(MATCH(F$2,Inputs!$K$4:$AJ$4,0)),NA(),IF(SUMPRODUCT((Inputs!$A$5:$A$110=$B21)*ISNUMBER(INDEX(Inputs!$K$5:$AJ$110,0,MATCH(F$2,Inputs!$K$4:$AJ$4,0))))+SUMPRODUCT((Inputs!$C$5:$C$110=$B21)*ISNUMBER(INDEX(Inputs!$K$5:$AJ$110,0,MATCH(F$2,Inputs!$K$4:$AJ$4,0))))+SUMPRODUCT((Inputs!$E$5:$E$110=$B21)*ISNUMBER(INDEX(Inputs!$K$5:$AJ$110,0,MATCH(F$2,Inputs!$K$4:$AJ$4,0))))=0,NA(),SUMPRODUCT((Inputs!$A$5:$A$110=$B21)*Inputs!$B$5:$B$110*(((Inputs!$G$5:$G$110="moeda")+(Inputs!$G$5:$G$110="acoes"))*Inputs!$B$1+((Inputs!$G$5:$G$110&lt;&gt;"moeda")*(Inputs!$G$5:$G$110&lt;&gt;"acoes")))*INDEX(Inputs!$K$5:$AJ$110,0,MATCH(F$2,Inputs!$K$4:$AJ$4,0)))+SUMPRODUCT((Inputs!$C$5:$C$110=$B21)*Inputs!$D$5:$D$110*(((Inputs!$G$5:$G$110="moeda")+(Inputs!$G$5:$G$110="acoes"))*Inputs!$B$1+((Inputs!$G$5:$G$110&lt;&gt;"moeda")*(Inputs!$G$5:$G$110&lt;&gt;"acoes")))*INDEX(Inputs!$K$5:$AJ$110,0,MATCH(F$2,Inputs!$K$4:$AJ$4,0)))+SUMPRODUCT((Inputs!$E$5:$E$110=$B21)*Inputs!$F$5:$F$110*(((Inputs!$G$5:$G$110="moeda")+(Inputs!$G$5:$G$110="acoes"))*Inputs!$B$1+((Inputs!$G$5:$G$110&lt;&gt;"moeda")*(Inputs!$G$5:$G$110&lt;&gt;"acoes")))*INDEX(Inputs!$K$5:$AJ$110,0,MATCH(F$2,Inputs!$K$4:$AJ$4,0)))))</f>
        <v>0</v>
      </c>
      <c r="G21" s="267">
        <f>IF(ISNA(MATCH(G$2,Inputs!$K$4:$AJ$4,0)),NA(),IF(SUMPRODUCT((Inputs!$A$5:$A$110=$B21)*ISNUMBER(INDEX(Inputs!$K$5:$AJ$110,0,MATCH(G$2,Inputs!$K$4:$AJ$4,0))))+SUMPRODUCT((Inputs!$C$5:$C$110=$B21)*ISNUMBER(INDEX(Inputs!$K$5:$AJ$110,0,MATCH(G$2,Inputs!$K$4:$AJ$4,0))))+SUMPRODUCT((Inputs!$E$5:$E$110=$B21)*ISNUMBER(INDEX(Inputs!$K$5:$AJ$110,0,MATCH(G$2,Inputs!$K$4:$AJ$4,0))))=0,NA(),SUMPRODUCT((Inputs!$A$5:$A$110=$B21)*Inputs!$B$5:$B$110*(((Inputs!$G$5:$G$110="moeda")+(Inputs!$G$5:$G$110="acoes"))*Inputs!$B$1+((Inputs!$G$5:$G$110&lt;&gt;"moeda")*(Inputs!$G$5:$G$110&lt;&gt;"acoes")))*INDEX(Inputs!$K$5:$AJ$110,0,MATCH(G$2,Inputs!$K$4:$AJ$4,0)))+SUMPRODUCT((Inputs!$C$5:$C$110=$B21)*Inputs!$D$5:$D$110*(((Inputs!$G$5:$G$110="moeda")+(Inputs!$G$5:$G$110="acoes"))*Inputs!$B$1+((Inputs!$G$5:$G$110&lt;&gt;"moeda")*(Inputs!$G$5:$G$110&lt;&gt;"acoes")))*INDEX(Inputs!$K$5:$AJ$110,0,MATCH(G$2,Inputs!$K$4:$AJ$4,0)))+SUMPRODUCT((Inputs!$E$5:$E$110=$B21)*Inputs!$F$5:$F$110*(((Inputs!$G$5:$G$110="moeda")+(Inputs!$G$5:$G$110="acoes"))*Inputs!$B$1+((Inputs!$G$5:$G$110&lt;&gt;"moeda")*(Inputs!$G$5:$G$110&lt;&gt;"acoes")))*INDEX(Inputs!$K$5:$AJ$110,0,MATCH(G$2,Inputs!$K$4:$AJ$4,0)))))</f>
        <v>0</v>
      </c>
      <c r="H21" s="268">
        <f>G21</f>
        <v>0</v>
      </c>
      <c r="I21" s="267">
        <f>IF(ISNA(MATCH(I$2,Inputs!$K$4:$AJ$4,0)),NA(),IF(SUMPRODUCT((Inputs!$A$5:$A$110=$B21)*ISNUMBER(INDEX(Inputs!$K$5:$AJ$110,0,MATCH(I$2,Inputs!$K$4:$AJ$4,0))))+SUMPRODUCT((Inputs!$C$5:$C$110=$B21)*ISNUMBER(INDEX(Inputs!$K$5:$AJ$110,0,MATCH(I$2,Inputs!$K$4:$AJ$4,0))))+SUMPRODUCT((Inputs!$E$5:$E$110=$B21)*ISNUMBER(INDEX(Inputs!$K$5:$AJ$110,0,MATCH(I$2,Inputs!$K$4:$AJ$4,0))))=0,NA(),SUMPRODUCT((Inputs!$A$5:$A$110=$B21)*Inputs!$B$5:$B$110*(((Inputs!$G$5:$G$110="moeda")+(Inputs!$G$5:$G$110="acoes"))*Inputs!$B$1+((Inputs!$G$5:$G$110&lt;&gt;"moeda")*(Inputs!$G$5:$G$110&lt;&gt;"acoes")))*INDEX(Inputs!$K$5:$AJ$110,0,MATCH(I$2,Inputs!$K$4:$AJ$4,0)))+SUMPRODUCT((Inputs!$C$5:$C$110=$B21)*Inputs!$D$5:$D$110*(((Inputs!$G$5:$G$110="moeda")+(Inputs!$G$5:$G$110="acoes"))*Inputs!$B$1+((Inputs!$G$5:$G$110&lt;&gt;"moeda")*(Inputs!$G$5:$G$110&lt;&gt;"acoes")))*INDEX(Inputs!$K$5:$AJ$110,0,MATCH(I$2,Inputs!$K$4:$AJ$4,0)))+SUMPRODUCT((Inputs!$E$5:$E$110=$B21)*Inputs!$F$5:$F$110*(((Inputs!$G$5:$G$110="moeda")+(Inputs!$G$5:$G$110="acoes"))*Inputs!$B$1+((Inputs!$G$5:$G$110&lt;&gt;"moeda")*(Inputs!$G$5:$G$110&lt;&gt;"acoes")))*INDEX(Inputs!$K$5:$AJ$110,0,MATCH(I$2,Inputs!$K$4:$AJ$4,0)))))</f>
        <v>0</v>
      </c>
      <c r="J21" s="267">
        <f>IF(ISNA(MATCH(J$2,Inputs!$K$4:$AJ$4,0)),NA(),IF(SUMPRODUCT((Inputs!$A$5:$A$110=$B21)*ISNUMBER(INDEX(Inputs!$K$5:$AJ$110,0,MATCH(J$2,Inputs!$K$4:$AJ$4,0))))+SUMPRODUCT((Inputs!$C$5:$C$110=$B21)*ISNUMBER(INDEX(Inputs!$K$5:$AJ$110,0,MATCH(J$2,Inputs!$K$4:$AJ$4,0))))+SUMPRODUCT((Inputs!$E$5:$E$110=$B21)*ISNUMBER(INDEX(Inputs!$K$5:$AJ$110,0,MATCH(J$2,Inputs!$K$4:$AJ$4,0))))=0,NA(),SUMPRODUCT((Inputs!$A$5:$A$110=$B21)*Inputs!$B$5:$B$110*(((Inputs!$G$5:$G$110="moeda")+(Inputs!$G$5:$G$110="acoes"))*Inputs!$B$1+((Inputs!$G$5:$G$110&lt;&gt;"moeda")*(Inputs!$G$5:$G$110&lt;&gt;"acoes")))*INDEX(Inputs!$K$5:$AJ$110,0,MATCH(J$2,Inputs!$K$4:$AJ$4,0)))+SUMPRODUCT((Inputs!$C$5:$C$110=$B21)*Inputs!$D$5:$D$110*(((Inputs!$G$5:$G$110="moeda")+(Inputs!$G$5:$G$110="acoes"))*Inputs!$B$1+((Inputs!$G$5:$G$110&lt;&gt;"moeda")*(Inputs!$G$5:$G$110&lt;&gt;"acoes")))*INDEX(Inputs!$K$5:$AJ$110,0,MATCH(J$2,Inputs!$K$4:$AJ$4,0)))+SUMPRODUCT((Inputs!$E$5:$E$110=$B21)*Inputs!$F$5:$F$110*(((Inputs!$G$5:$G$110="moeda")+(Inputs!$G$5:$G$110="acoes"))*Inputs!$B$1+((Inputs!$G$5:$G$110&lt;&gt;"moeda")*(Inputs!$G$5:$G$110&lt;&gt;"acoes")))*INDEX(Inputs!$K$5:$AJ$110,0,MATCH(J$2,Inputs!$K$4:$AJ$4,0)))))</f>
        <v>0</v>
      </c>
      <c r="K21" s="267">
        <f>IF(ISNA(MATCH(K$2,Inputs!$K$4:$AJ$4,0)),NA(),IF(SUMPRODUCT((Inputs!$A$5:$A$110=$B21)*ISNUMBER(INDEX(Inputs!$K$5:$AJ$110,0,MATCH(K$2,Inputs!$K$4:$AJ$4,0))))+SUMPRODUCT((Inputs!$C$5:$C$110=$B21)*ISNUMBER(INDEX(Inputs!$K$5:$AJ$110,0,MATCH(K$2,Inputs!$K$4:$AJ$4,0))))+SUMPRODUCT((Inputs!$E$5:$E$110=$B21)*ISNUMBER(INDEX(Inputs!$K$5:$AJ$110,0,MATCH(K$2,Inputs!$K$4:$AJ$4,0))))=0,NA(),SUMPRODUCT((Inputs!$A$5:$A$110=$B21)*Inputs!$B$5:$B$110*(((Inputs!$G$5:$G$110="moeda")+(Inputs!$G$5:$G$110="acoes"))*Inputs!$B$1+((Inputs!$G$5:$G$110&lt;&gt;"moeda")*(Inputs!$G$5:$G$110&lt;&gt;"acoes")))*INDEX(Inputs!$K$5:$AJ$110,0,MATCH(K$2,Inputs!$K$4:$AJ$4,0)))+SUMPRODUCT((Inputs!$C$5:$C$110=$B21)*Inputs!$D$5:$D$110*(((Inputs!$G$5:$G$110="moeda")+(Inputs!$G$5:$G$110="acoes"))*Inputs!$B$1+((Inputs!$G$5:$G$110&lt;&gt;"moeda")*(Inputs!$G$5:$G$110&lt;&gt;"acoes")))*INDEX(Inputs!$K$5:$AJ$110,0,MATCH(K$2,Inputs!$K$4:$AJ$4,0)))+SUMPRODUCT((Inputs!$E$5:$E$110=$B21)*Inputs!$F$5:$F$110*(((Inputs!$G$5:$G$110="moeda")+(Inputs!$G$5:$G$110="acoes"))*Inputs!$B$1+((Inputs!$G$5:$G$110&lt;&gt;"moeda")*(Inputs!$G$5:$G$110&lt;&gt;"acoes")))*INDEX(Inputs!$K$5:$AJ$110,0,MATCH(K$2,Inputs!$K$4:$AJ$4,0)))))</f>
        <v>0</v>
      </c>
      <c r="L21" s="267">
        <f>IF(ISNA(MATCH(L$2,Inputs!$K$4:$AJ$4,0)),NA(),IF(SUMPRODUCT((Inputs!$A$5:$A$110=$B21)*ISNUMBER(INDEX(Inputs!$K$5:$AJ$110,0,MATCH(L$2,Inputs!$K$4:$AJ$4,0))))+SUMPRODUCT((Inputs!$C$5:$C$110=$B21)*ISNUMBER(INDEX(Inputs!$K$5:$AJ$110,0,MATCH(L$2,Inputs!$K$4:$AJ$4,0))))+SUMPRODUCT((Inputs!$E$5:$E$110=$B21)*ISNUMBER(INDEX(Inputs!$K$5:$AJ$110,0,MATCH(L$2,Inputs!$K$4:$AJ$4,0))))=0,NA(),SUMPRODUCT((Inputs!$A$5:$A$110=$B21)*Inputs!$B$5:$B$110*(((Inputs!$G$5:$G$110="moeda")+(Inputs!$G$5:$G$110="acoes"))*Inputs!$B$1+((Inputs!$G$5:$G$110&lt;&gt;"moeda")*(Inputs!$G$5:$G$110&lt;&gt;"acoes")))*INDEX(Inputs!$K$5:$AJ$110,0,MATCH(L$2,Inputs!$K$4:$AJ$4,0)))+SUMPRODUCT((Inputs!$C$5:$C$110=$B21)*Inputs!$D$5:$D$110*(((Inputs!$G$5:$G$110="moeda")+(Inputs!$G$5:$G$110="acoes"))*Inputs!$B$1+((Inputs!$G$5:$G$110&lt;&gt;"moeda")*(Inputs!$G$5:$G$110&lt;&gt;"acoes")))*INDEX(Inputs!$K$5:$AJ$110,0,MATCH(L$2,Inputs!$K$4:$AJ$4,0)))+SUMPRODUCT((Inputs!$E$5:$E$110=$B21)*Inputs!$F$5:$F$110*(((Inputs!$G$5:$G$110="moeda")+(Inputs!$G$5:$G$110="acoes"))*Inputs!$B$1+((Inputs!$G$5:$G$110&lt;&gt;"moeda")*(Inputs!$G$5:$G$110&lt;&gt;"acoes")))*INDEX(Inputs!$K$5:$AJ$110,0,MATCH(L$2,Inputs!$K$4:$AJ$4,0)))))</f>
        <v>0</v>
      </c>
      <c r="M21" s="268">
        <f>L21</f>
        <v>0</v>
      </c>
      <c r="N21" s="267">
        <f>IF(ISNA(MATCH(N$2,Inputs!$K$4:$AJ$4,0)),NA(),IF(SUMPRODUCT((Inputs!$A$5:$A$110=$B21)*ISNUMBER(INDEX(Inputs!$K$5:$AJ$110,0,MATCH(N$2,Inputs!$K$4:$AJ$4,0))))+SUMPRODUCT((Inputs!$C$5:$C$110=$B21)*ISNUMBER(INDEX(Inputs!$K$5:$AJ$110,0,MATCH(N$2,Inputs!$K$4:$AJ$4,0))))+SUMPRODUCT((Inputs!$E$5:$E$110=$B21)*ISNUMBER(INDEX(Inputs!$K$5:$AJ$110,0,MATCH(N$2,Inputs!$K$4:$AJ$4,0))))=0,NA(),SUMPRODUCT((Inputs!$A$5:$A$110=$B21)*Inputs!$B$5:$B$110*(((Inputs!$G$5:$G$110="moeda")+(Inputs!$G$5:$G$110="acoes"))*Inputs!$B$1+((Inputs!$G$5:$G$110&lt;&gt;"moeda")*(Inputs!$G$5:$G$110&lt;&gt;"acoes")))*INDEX(Inputs!$K$5:$AJ$110,0,MATCH(N$2,Inputs!$K$4:$AJ$4,0)))+SUMPRODUCT((Inputs!$C$5:$C$110=$B21)*Inputs!$D$5:$D$110*(((Inputs!$G$5:$G$110="moeda")+(Inputs!$G$5:$G$110="acoes"))*Inputs!$B$1+((Inputs!$G$5:$G$110&lt;&gt;"moeda")*(Inputs!$G$5:$G$110&lt;&gt;"acoes")))*INDEX(Inputs!$K$5:$AJ$110,0,MATCH(N$2,Inputs!$K$4:$AJ$4,0)))+SUMPRODUCT((Inputs!$E$5:$E$110=$B21)*Inputs!$F$5:$F$110*(((Inputs!$G$5:$G$110="moeda")+(Inputs!$G$5:$G$110="acoes"))*Inputs!$B$1+((Inputs!$G$5:$G$110&lt;&gt;"moeda")*(Inputs!$G$5:$G$110&lt;&gt;"acoes")))*INDEX(Inputs!$K$5:$AJ$110,0,MATCH(N$2,Inputs!$K$4:$AJ$4,0)))))</f>
        <v>0</v>
      </c>
      <c r="O21" s="267">
        <f>IF(ISNA(MATCH(O$2,Inputs!$K$4:$AJ$4,0)),NA(),IF(SUMPRODUCT((Inputs!$A$5:$A$110=$B21)*ISNUMBER(INDEX(Inputs!$K$5:$AJ$110,0,MATCH(O$2,Inputs!$K$4:$AJ$4,0))))+SUMPRODUCT((Inputs!$C$5:$C$110=$B21)*ISNUMBER(INDEX(Inputs!$K$5:$AJ$110,0,MATCH(O$2,Inputs!$K$4:$AJ$4,0))))+SUMPRODUCT((Inputs!$E$5:$E$110=$B21)*ISNUMBER(INDEX(Inputs!$K$5:$AJ$110,0,MATCH(O$2,Inputs!$K$4:$AJ$4,0))))=0,NA(),SUMPRODUCT((Inputs!$A$5:$A$110=$B21)*Inputs!$B$5:$B$110*(((Inputs!$G$5:$G$110="moeda")+(Inputs!$G$5:$G$110="acoes"))*Inputs!$B$1+((Inputs!$G$5:$G$110&lt;&gt;"moeda")*(Inputs!$G$5:$G$110&lt;&gt;"acoes")))*INDEX(Inputs!$K$5:$AJ$110,0,MATCH(O$2,Inputs!$K$4:$AJ$4,0)))+SUMPRODUCT((Inputs!$C$5:$C$110=$B21)*Inputs!$D$5:$D$110*(((Inputs!$G$5:$G$110="moeda")+(Inputs!$G$5:$G$110="acoes"))*Inputs!$B$1+((Inputs!$G$5:$G$110&lt;&gt;"moeda")*(Inputs!$G$5:$G$110&lt;&gt;"acoes")))*INDEX(Inputs!$K$5:$AJ$110,0,MATCH(O$2,Inputs!$K$4:$AJ$4,0)))+SUMPRODUCT((Inputs!$E$5:$E$110=$B21)*Inputs!$F$5:$F$110*(((Inputs!$G$5:$G$110="moeda")+(Inputs!$G$5:$G$110="acoes"))*Inputs!$B$1+((Inputs!$G$5:$G$110&lt;&gt;"moeda")*(Inputs!$G$5:$G$110&lt;&gt;"acoes")))*INDEX(Inputs!$K$5:$AJ$110,0,MATCH(O$2,Inputs!$K$4:$AJ$4,0)))))</f>
        <v>0</v>
      </c>
      <c r="P21" s="267">
        <f>IF(ISNA(MATCH(P$2,Inputs!$K$4:$AJ$4,0)),NA(),IF(SUMPRODUCT((Inputs!$A$5:$A$110=$B21)*ISNUMBER(INDEX(Inputs!$K$5:$AJ$110,0,MATCH(P$2,Inputs!$K$4:$AJ$4,0))))+SUMPRODUCT((Inputs!$C$5:$C$110=$B21)*ISNUMBER(INDEX(Inputs!$K$5:$AJ$110,0,MATCH(P$2,Inputs!$K$4:$AJ$4,0))))+SUMPRODUCT((Inputs!$E$5:$E$110=$B21)*ISNUMBER(INDEX(Inputs!$K$5:$AJ$110,0,MATCH(P$2,Inputs!$K$4:$AJ$4,0))))=0,NA(),SUMPRODUCT((Inputs!$A$5:$A$110=$B21)*Inputs!$B$5:$B$110*(((Inputs!$G$5:$G$110="moeda")+(Inputs!$G$5:$G$110="acoes"))*Inputs!$B$1+((Inputs!$G$5:$G$110&lt;&gt;"moeda")*(Inputs!$G$5:$G$110&lt;&gt;"acoes")))*INDEX(Inputs!$K$5:$AJ$110,0,MATCH(P$2,Inputs!$K$4:$AJ$4,0)))+SUMPRODUCT((Inputs!$C$5:$C$110=$B21)*Inputs!$D$5:$D$110*(((Inputs!$G$5:$G$110="moeda")+(Inputs!$G$5:$G$110="acoes"))*Inputs!$B$1+((Inputs!$G$5:$G$110&lt;&gt;"moeda")*(Inputs!$G$5:$G$110&lt;&gt;"acoes")))*INDEX(Inputs!$K$5:$AJ$110,0,MATCH(P$2,Inputs!$K$4:$AJ$4,0)))+SUMPRODUCT((Inputs!$E$5:$E$110=$B21)*Inputs!$F$5:$F$110*(((Inputs!$G$5:$G$110="moeda")+(Inputs!$G$5:$G$110="acoes"))*Inputs!$B$1+((Inputs!$G$5:$G$110&lt;&gt;"moeda")*(Inputs!$G$5:$G$110&lt;&gt;"acoes")))*INDEX(Inputs!$K$5:$AJ$110,0,MATCH(P$2,Inputs!$K$4:$AJ$4,0)))))</f>
        <v>0</v>
      </c>
      <c r="Q21" s="267">
        <f>IF(ISNA(MATCH(Q$2,Inputs!$K$4:$AJ$4,0)),NA(),IF(SUMPRODUCT((Inputs!$A$5:$A$110=$B21)*ISNUMBER(INDEX(Inputs!$K$5:$AJ$110,0,MATCH(Q$2,Inputs!$K$4:$AJ$4,0))))+SUMPRODUCT((Inputs!$C$5:$C$110=$B21)*ISNUMBER(INDEX(Inputs!$K$5:$AJ$110,0,MATCH(Q$2,Inputs!$K$4:$AJ$4,0))))+SUMPRODUCT((Inputs!$E$5:$E$110=$B21)*ISNUMBER(INDEX(Inputs!$K$5:$AJ$110,0,MATCH(Q$2,Inputs!$K$4:$AJ$4,0))))=0,NA(),SUMPRODUCT((Inputs!$A$5:$A$110=$B21)*Inputs!$B$5:$B$110*(((Inputs!$G$5:$G$110="moeda")+(Inputs!$G$5:$G$110="acoes"))*Inputs!$B$1+((Inputs!$G$5:$G$110&lt;&gt;"moeda")*(Inputs!$G$5:$G$110&lt;&gt;"acoes")))*INDEX(Inputs!$K$5:$AJ$110,0,MATCH(Q$2,Inputs!$K$4:$AJ$4,0)))+SUMPRODUCT((Inputs!$C$5:$C$110=$B21)*Inputs!$D$5:$D$110*(((Inputs!$G$5:$G$110="moeda")+(Inputs!$G$5:$G$110="acoes"))*Inputs!$B$1+((Inputs!$G$5:$G$110&lt;&gt;"moeda")*(Inputs!$G$5:$G$110&lt;&gt;"acoes")))*INDEX(Inputs!$K$5:$AJ$110,0,MATCH(Q$2,Inputs!$K$4:$AJ$4,0)))+SUMPRODUCT((Inputs!$E$5:$E$110=$B21)*Inputs!$F$5:$F$110*(((Inputs!$G$5:$G$110="moeda")+(Inputs!$G$5:$G$110="acoes"))*Inputs!$B$1+((Inputs!$G$5:$G$110&lt;&gt;"moeda")*(Inputs!$G$5:$G$110&lt;&gt;"acoes")))*INDEX(Inputs!$K$5:$AJ$110,0,MATCH(Q$2,Inputs!$K$4:$AJ$4,0)))))</f>
        <v>0</v>
      </c>
      <c r="R21" s="268">
        <f>Q21</f>
        <v>0</v>
      </c>
      <c r="S21" s="267">
        <f>IF(ISNA(MATCH(S$2,Inputs!$K$4:$AJ$4,0)),NA(),IF(SUMPRODUCT((Inputs!$A$5:$A$110=$B21)*ISNUMBER(INDEX(Inputs!$K$5:$AJ$110,0,MATCH(S$2,Inputs!$K$4:$AJ$4,0))))+SUMPRODUCT((Inputs!$C$5:$C$110=$B21)*ISNUMBER(INDEX(Inputs!$K$5:$AJ$110,0,MATCH(S$2,Inputs!$K$4:$AJ$4,0))))+SUMPRODUCT((Inputs!$E$5:$E$110=$B21)*ISNUMBER(INDEX(Inputs!$K$5:$AJ$110,0,MATCH(S$2,Inputs!$K$4:$AJ$4,0))))=0,NA(),SUMPRODUCT((Inputs!$A$5:$A$110=$B21)*Inputs!$B$5:$B$110*(((Inputs!$G$5:$G$110="moeda")+(Inputs!$G$5:$G$110="acoes"))*Inputs!$B$1+((Inputs!$G$5:$G$110&lt;&gt;"moeda")*(Inputs!$G$5:$G$110&lt;&gt;"acoes")))*INDEX(Inputs!$K$5:$AJ$110,0,MATCH(S$2,Inputs!$K$4:$AJ$4,0)))+SUMPRODUCT((Inputs!$C$5:$C$110=$B21)*Inputs!$D$5:$D$110*(((Inputs!$G$5:$G$110="moeda")+(Inputs!$G$5:$G$110="acoes"))*Inputs!$B$1+((Inputs!$G$5:$G$110&lt;&gt;"moeda")*(Inputs!$G$5:$G$110&lt;&gt;"acoes")))*INDEX(Inputs!$K$5:$AJ$110,0,MATCH(S$2,Inputs!$K$4:$AJ$4,0)))+SUMPRODUCT((Inputs!$E$5:$E$110=$B21)*Inputs!$F$5:$F$110*(((Inputs!$G$5:$G$110="moeda")+(Inputs!$G$5:$G$110="acoes"))*Inputs!$B$1+((Inputs!$G$5:$G$110&lt;&gt;"moeda")*(Inputs!$G$5:$G$110&lt;&gt;"acoes")))*INDEX(Inputs!$K$5:$AJ$110,0,MATCH(S$2,Inputs!$K$4:$AJ$4,0)))))</f>
        <v>0</v>
      </c>
      <c r="T21" s="267">
        <f>IF(ISNA(MATCH(T$2,Inputs!$K$4:$AJ$4,0)),NA(),IF(SUMPRODUCT((Inputs!$A$5:$A$110=$B21)*ISNUMBER(INDEX(Inputs!$K$5:$AJ$110,0,MATCH(T$2,Inputs!$K$4:$AJ$4,0))))+SUMPRODUCT((Inputs!$C$5:$C$110=$B21)*ISNUMBER(INDEX(Inputs!$K$5:$AJ$110,0,MATCH(T$2,Inputs!$K$4:$AJ$4,0))))+SUMPRODUCT((Inputs!$E$5:$E$110=$B21)*ISNUMBER(INDEX(Inputs!$K$5:$AJ$110,0,MATCH(T$2,Inputs!$K$4:$AJ$4,0))))=0,NA(),SUMPRODUCT((Inputs!$A$5:$A$110=$B21)*Inputs!$B$5:$B$110*(((Inputs!$G$5:$G$110="moeda")+(Inputs!$G$5:$G$110="acoes"))*Inputs!$B$1+((Inputs!$G$5:$G$110&lt;&gt;"moeda")*(Inputs!$G$5:$G$110&lt;&gt;"acoes")))*INDEX(Inputs!$K$5:$AJ$110,0,MATCH(T$2,Inputs!$K$4:$AJ$4,0)))+SUMPRODUCT((Inputs!$C$5:$C$110=$B21)*Inputs!$D$5:$D$110*(((Inputs!$G$5:$G$110="moeda")+(Inputs!$G$5:$G$110="acoes"))*Inputs!$B$1+((Inputs!$G$5:$G$110&lt;&gt;"moeda")*(Inputs!$G$5:$G$110&lt;&gt;"acoes")))*INDEX(Inputs!$K$5:$AJ$110,0,MATCH(T$2,Inputs!$K$4:$AJ$4,0)))+SUMPRODUCT((Inputs!$E$5:$E$110=$B21)*Inputs!$F$5:$F$110*(((Inputs!$G$5:$G$110="moeda")+(Inputs!$G$5:$G$110="acoes"))*Inputs!$B$1+((Inputs!$G$5:$G$110&lt;&gt;"moeda")*(Inputs!$G$5:$G$110&lt;&gt;"acoes")))*INDEX(Inputs!$K$5:$AJ$110,0,MATCH(T$2,Inputs!$K$4:$AJ$4,0)))))</f>
        <v>0</v>
      </c>
      <c r="U21" s="267">
        <f>IF(ISNA(MATCH(U$2,Inputs!$K$4:$AJ$4,0)),NA(),IF(SUMPRODUCT((Inputs!$A$5:$A$110=$B21)*ISNUMBER(INDEX(Inputs!$K$5:$AJ$110,0,MATCH(U$2,Inputs!$K$4:$AJ$4,0))))+SUMPRODUCT((Inputs!$C$5:$C$110=$B21)*ISNUMBER(INDEX(Inputs!$K$5:$AJ$110,0,MATCH(U$2,Inputs!$K$4:$AJ$4,0))))+SUMPRODUCT((Inputs!$E$5:$E$110=$B21)*ISNUMBER(INDEX(Inputs!$K$5:$AJ$110,0,MATCH(U$2,Inputs!$K$4:$AJ$4,0))))=0,NA(),SUMPRODUCT((Inputs!$A$5:$A$110=$B21)*Inputs!$B$5:$B$110*(((Inputs!$G$5:$G$110="moeda")+(Inputs!$G$5:$G$110="acoes"))*Inputs!$B$1+((Inputs!$G$5:$G$110&lt;&gt;"moeda")*(Inputs!$G$5:$G$110&lt;&gt;"acoes")))*INDEX(Inputs!$K$5:$AJ$110,0,MATCH(U$2,Inputs!$K$4:$AJ$4,0)))+SUMPRODUCT((Inputs!$C$5:$C$110=$B21)*Inputs!$D$5:$D$110*(((Inputs!$G$5:$G$110="moeda")+(Inputs!$G$5:$G$110="acoes"))*Inputs!$B$1+((Inputs!$G$5:$G$110&lt;&gt;"moeda")*(Inputs!$G$5:$G$110&lt;&gt;"acoes")))*INDEX(Inputs!$K$5:$AJ$110,0,MATCH(U$2,Inputs!$K$4:$AJ$4,0)))+SUMPRODUCT((Inputs!$E$5:$E$110=$B21)*Inputs!$F$5:$F$110*(((Inputs!$G$5:$G$110="moeda")+(Inputs!$G$5:$G$110="acoes"))*Inputs!$B$1+((Inputs!$G$5:$G$110&lt;&gt;"moeda")*(Inputs!$G$5:$G$110&lt;&gt;"acoes")))*INDEX(Inputs!$K$5:$AJ$110,0,MATCH(U$2,Inputs!$K$4:$AJ$4,0)))))</f>
        <v>0</v>
      </c>
      <c r="V21" s="267">
        <f>IF(ISNA(MATCH(V$2,Inputs!$K$4:$AJ$4,0)),NA(),IF(SUMPRODUCT((Inputs!$A$5:$A$110=$B21)*ISNUMBER(INDEX(Inputs!$K$5:$AJ$110,0,MATCH(V$2,Inputs!$K$4:$AJ$4,0))))+SUMPRODUCT((Inputs!$C$5:$C$110=$B21)*ISNUMBER(INDEX(Inputs!$K$5:$AJ$110,0,MATCH(V$2,Inputs!$K$4:$AJ$4,0))))+SUMPRODUCT((Inputs!$E$5:$E$110=$B21)*ISNUMBER(INDEX(Inputs!$K$5:$AJ$110,0,MATCH(V$2,Inputs!$K$4:$AJ$4,0))))=0,NA(),SUMPRODUCT((Inputs!$A$5:$A$110=$B21)*Inputs!$B$5:$B$110*(((Inputs!$G$5:$G$110="moeda")+(Inputs!$G$5:$G$110="acoes"))*Inputs!$B$1+((Inputs!$G$5:$G$110&lt;&gt;"moeda")*(Inputs!$G$5:$G$110&lt;&gt;"acoes")))*INDEX(Inputs!$K$5:$AJ$110,0,MATCH(V$2,Inputs!$K$4:$AJ$4,0)))+SUMPRODUCT((Inputs!$C$5:$C$110=$B21)*Inputs!$D$5:$D$110*(((Inputs!$G$5:$G$110="moeda")+(Inputs!$G$5:$G$110="acoes"))*Inputs!$B$1+((Inputs!$G$5:$G$110&lt;&gt;"moeda")*(Inputs!$G$5:$G$110&lt;&gt;"acoes")))*INDEX(Inputs!$K$5:$AJ$110,0,MATCH(V$2,Inputs!$K$4:$AJ$4,0)))+SUMPRODUCT((Inputs!$E$5:$E$110=$B21)*Inputs!$F$5:$F$110*(((Inputs!$G$5:$G$110="moeda")+(Inputs!$G$5:$G$110="acoes"))*Inputs!$B$1+((Inputs!$G$5:$G$110&lt;&gt;"moeda")*(Inputs!$G$5:$G$110&lt;&gt;"acoes")))*INDEX(Inputs!$K$5:$AJ$110,0,MATCH(V$2,Inputs!$K$4:$AJ$4,0)))))</f>
        <v>0</v>
      </c>
      <c r="W21" s="268">
        <f>V21</f>
        <v>0</v>
      </c>
      <c r="X21" s="267">
        <f>IF(ISNA(MATCH(X$2,Inputs!$K$4:$AJ$4,0)),NA(),IF(SUMPRODUCT((Inputs!$A$5:$A$110=$B21)*ISNUMBER(INDEX(Inputs!$K$5:$AJ$110,0,MATCH(X$2,Inputs!$K$4:$AJ$4,0))))+SUMPRODUCT((Inputs!$C$5:$C$110=$B21)*ISNUMBER(INDEX(Inputs!$K$5:$AJ$110,0,MATCH(X$2,Inputs!$K$4:$AJ$4,0))))+SUMPRODUCT((Inputs!$E$5:$E$110=$B21)*ISNUMBER(INDEX(Inputs!$K$5:$AJ$110,0,MATCH(X$2,Inputs!$K$4:$AJ$4,0))))=0,NA(),SUMPRODUCT((Inputs!$A$5:$A$110=$B21)*Inputs!$B$5:$B$110*(((Inputs!$G$5:$G$110="moeda")+(Inputs!$G$5:$G$110="acoes"))*Inputs!$B$1+((Inputs!$G$5:$G$110&lt;&gt;"moeda")*(Inputs!$G$5:$G$110&lt;&gt;"acoes")))*INDEX(Inputs!$K$5:$AJ$110,0,MATCH(X$2,Inputs!$K$4:$AJ$4,0)))+SUMPRODUCT((Inputs!$C$5:$C$110=$B21)*Inputs!$D$5:$D$110*(((Inputs!$G$5:$G$110="moeda")+(Inputs!$G$5:$G$110="acoes"))*Inputs!$B$1+((Inputs!$G$5:$G$110&lt;&gt;"moeda")*(Inputs!$G$5:$G$110&lt;&gt;"acoes")))*INDEX(Inputs!$K$5:$AJ$110,0,MATCH(X$2,Inputs!$K$4:$AJ$4,0)))+SUMPRODUCT((Inputs!$E$5:$E$110=$B21)*Inputs!$F$5:$F$110*(((Inputs!$G$5:$G$110="moeda")+(Inputs!$G$5:$G$110="acoes"))*Inputs!$B$1+((Inputs!$G$5:$G$110&lt;&gt;"moeda")*(Inputs!$G$5:$G$110&lt;&gt;"acoes")))*INDEX(Inputs!$K$5:$AJ$110,0,MATCH(X$2,Inputs!$K$4:$AJ$4,0)))))</f>
        <v>0</v>
      </c>
      <c r="Y21" s="267">
        <f>IF(ISNA(MATCH(Y$2,Inputs!$K$4:$AJ$4,0)),NA(),IF(SUMPRODUCT((Inputs!$A$5:$A$110=$B21)*ISNUMBER(INDEX(Inputs!$K$5:$AJ$110,0,MATCH(Y$2,Inputs!$K$4:$AJ$4,0))))+SUMPRODUCT((Inputs!$C$5:$C$110=$B21)*ISNUMBER(INDEX(Inputs!$K$5:$AJ$110,0,MATCH(Y$2,Inputs!$K$4:$AJ$4,0))))+SUMPRODUCT((Inputs!$E$5:$E$110=$B21)*ISNUMBER(INDEX(Inputs!$K$5:$AJ$110,0,MATCH(Y$2,Inputs!$K$4:$AJ$4,0))))=0,NA(),SUMPRODUCT((Inputs!$A$5:$A$110=$B21)*Inputs!$B$5:$B$110*(((Inputs!$G$5:$G$110="moeda")+(Inputs!$G$5:$G$110="acoes"))*Inputs!$B$1+((Inputs!$G$5:$G$110&lt;&gt;"moeda")*(Inputs!$G$5:$G$110&lt;&gt;"acoes")))*INDEX(Inputs!$K$5:$AJ$110,0,MATCH(Y$2,Inputs!$K$4:$AJ$4,0)))+SUMPRODUCT((Inputs!$C$5:$C$110=$B21)*Inputs!$D$5:$D$110*(((Inputs!$G$5:$G$110="moeda")+(Inputs!$G$5:$G$110="acoes"))*Inputs!$B$1+((Inputs!$G$5:$G$110&lt;&gt;"moeda")*(Inputs!$G$5:$G$110&lt;&gt;"acoes")))*INDEX(Inputs!$K$5:$AJ$110,0,MATCH(Y$2,Inputs!$K$4:$AJ$4,0)))+SUMPRODUCT((Inputs!$E$5:$E$110=$B21)*Inputs!$F$5:$F$110*(((Inputs!$G$5:$G$110="moeda")+(Inputs!$G$5:$G$110="acoes"))*Inputs!$B$1+((Inputs!$G$5:$G$110&lt;&gt;"moeda")*(Inputs!$G$5:$G$110&lt;&gt;"acoes")))*INDEX(Inputs!$K$5:$AJ$110,0,MATCH(Y$2,Inputs!$K$4:$AJ$4,0)))))</f>
        <v>0</v>
      </c>
      <c r="Z21" s="267">
        <f>IF(ISNA(MATCH(Z$2,Inputs!$K$4:$AJ$4,0)),NA(),IF(SUMPRODUCT((Inputs!$A$5:$A$110=$B21)*ISNUMBER(INDEX(Inputs!$K$5:$AJ$110,0,MATCH(Z$2,Inputs!$K$4:$AJ$4,0))))+SUMPRODUCT((Inputs!$C$5:$C$110=$B21)*ISNUMBER(INDEX(Inputs!$K$5:$AJ$110,0,MATCH(Z$2,Inputs!$K$4:$AJ$4,0))))+SUMPRODUCT((Inputs!$E$5:$E$110=$B21)*ISNUMBER(INDEX(Inputs!$K$5:$AJ$110,0,MATCH(Z$2,Inputs!$K$4:$AJ$4,0))))=0,NA(),SUMPRODUCT((Inputs!$A$5:$A$110=$B21)*Inputs!$B$5:$B$110*(((Inputs!$G$5:$G$110="moeda")+(Inputs!$G$5:$G$110="acoes"))*Inputs!$B$1+((Inputs!$G$5:$G$110&lt;&gt;"moeda")*(Inputs!$G$5:$G$110&lt;&gt;"acoes")))*INDEX(Inputs!$K$5:$AJ$110,0,MATCH(Z$2,Inputs!$K$4:$AJ$4,0)))+SUMPRODUCT((Inputs!$C$5:$C$110=$B21)*Inputs!$D$5:$D$110*(((Inputs!$G$5:$G$110="moeda")+(Inputs!$G$5:$G$110="acoes"))*Inputs!$B$1+((Inputs!$G$5:$G$110&lt;&gt;"moeda")*(Inputs!$G$5:$G$110&lt;&gt;"acoes")))*INDEX(Inputs!$K$5:$AJ$110,0,MATCH(Z$2,Inputs!$K$4:$AJ$4,0)))+SUMPRODUCT((Inputs!$E$5:$E$110=$B21)*Inputs!$F$5:$F$110*(((Inputs!$G$5:$G$110="moeda")+(Inputs!$G$5:$G$110="acoes"))*Inputs!$B$1+((Inputs!$G$5:$G$110&lt;&gt;"moeda")*(Inputs!$G$5:$G$110&lt;&gt;"acoes")))*INDEX(Inputs!$K$5:$AJ$110,0,MATCH(Z$2,Inputs!$K$4:$AJ$4,0)))))</f>
        <v>0</v>
      </c>
      <c r="AA21" s="267">
        <f>IF(ISNA(MATCH(AA$2,Inputs!$K$4:$AJ$4,0)),NA(),IF(SUMPRODUCT((Inputs!$A$5:$A$110=$B21)*ISNUMBER(INDEX(Inputs!$K$5:$AJ$110,0,MATCH(AA$2,Inputs!$K$4:$AJ$4,0))))+SUMPRODUCT((Inputs!$C$5:$C$110=$B21)*ISNUMBER(INDEX(Inputs!$K$5:$AJ$110,0,MATCH(AA$2,Inputs!$K$4:$AJ$4,0))))+SUMPRODUCT((Inputs!$E$5:$E$110=$B21)*ISNUMBER(INDEX(Inputs!$K$5:$AJ$110,0,MATCH(AA$2,Inputs!$K$4:$AJ$4,0))))=0,NA(),SUMPRODUCT((Inputs!$A$5:$A$110=$B21)*Inputs!$B$5:$B$110*(((Inputs!$G$5:$G$110="moeda")+(Inputs!$G$5:$G$110="acoes"))*Inputs!$B$1+((Inputs!$G$5:$G$110&lt;&gt;"moeda")*(Inputs!$G$5:$G$110&lt;&gt;"acoes")))*INDEX(Inputs!$K$5:$AJ$110,0,MATCH(AA$2,Inputs!$K$4:$AJ$4,0)))+SUMPRODUCT((Inputs!$C$5:$C$110=$B21)*Inputs!$D$5:$D$110*(((Inputs!$G$5:$G$110="moeda")+(Inputs!$G$5:$G$110="acoes"))*Inputs!$B$1+((Inputs!$G$5:$G$110&lt;&gt;"moeda")*(Inputs!$G$5:$G$110&lt;&gt;"acoes")))*INDEX(Inputs!$K$5:$AJ$110,0,MATCH(AA$2,Inputs!$K$4:$AJ$4,0)))+SUMPRODUCT((Inputs!$E$5:$E$110=$B21)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1" s="268">
        <f>AA21</f>
        <v>0</v>
      </c>
      <c r="AC21" s="267">
        <f>IF(ISNA(MATCH(AC$2,Inputs!$K$4:$AJ$4,0)),NA(),IF(SUMPRODUCT((Inputs!$A$5:$A$110=$B21)*ISNUMBER(INDEX(Inputs!$K$5:$AJ$110,0,MATCH(AC$2,Inputs!$K$4:$AJ$4,0))))+SUMPRODUCT((Inputs!$C$5:$C$110=$B21)*ISNUMBER(INDEX(Inputs!$K$5:$AJ$110,0,MATCH(AC$2,Inputs!$K$4:$AJ$4,0))))+SUMPRODUCT((Inputs!$E$5:$E$110=$B21)*ISNUMBER(INDEX(Inputs!$K$5:$AJ$110,0,MATCH(AC$2,Inputs!$K$4:$AJ$4,0))))=0,NA(),SUMPRODUCT((Inputs!$A$5:$A$110=$B21)*Inputs!$B$5:$B$110*(((Inputs!$G$5:$G$110="moeda")+(Inputs!$G$5:$G$110="acoes"))*Inputs!$B$1+((Inputs!$G$5:$G$110&lt;&gt;"moeda")*(Inputs!$G$5:$G$110&lt;&gt;"acoes")))*INDEX(Inputs!$K$5:$AJ$110,0,MATCH(AC$2,Inputs!$K$4:$AJ$4,0)))+SUMPRODUCT((Inputs!$C$5:$C$110=$B21)*Inputs!$D$5:$D$110*(((Inputs!$G$5:$G$110="moeda")+(Inputs!$G$5:$G$110="acoes"))*Inputs!$B$1+((Inputs!$G$5:$G$110&lt;&gt;"moeda")*(Inputs!$G$5:$G$110&lt;&gt;"acoes")))*INDEX(Inputs!$K$5:$AJ$110,0,MATCH(AC$2,Inputs!$K$4:$AJ$4,0)))+SUMPRODUCT((Inputs!$E$5:$E$110=$B21)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1" s="267">
        <f>IF(ISNA(MATCH(AD$2,Inputs!$K$4:$AJ$4,0)),NA(),IF(SUMPRODUCT((Inputs!$A$5:$A$110=$B21)*ISNUMBER(INDEX(Inputs!$K$5:$AJ$110,0,MATCH(AD$2,Inputs!$K$4:$AJ$4,0))))+SUMPRODUCT((Inputs!$C$5:$C$110=$B21)*ISNUMBER(INDEX(Inputs!$K$5:$AJ$110,0,MATCH(AD$2,Inputs!$K$4:$AJ$4,0))))+SUMPRODUCT((Inputs!$E$5:$E$110=$B21)*ISNUMBER(INDEX(Inputs!$K$5:$AJ$110,0,MATCH(AD$2,Inputs!$K$4:$AJ$4,0))))=0,NA(),SUMPRODUCT((Inputs!$A$5:$A$110=$B21)*Inputs!$B$5:$B$110*(((Inputs!$G$5:$G$110="moeda")+(Inputs!$G$5:$G$110="acoes"))*Inputs!$B$1+((Inputs!$G$5:$G$110&lt;&gt;"moeda")*(Inputs!$G$5:$G$110&lt;&gt;"acoes")))*INDEX(Inputs!$K$5:$AJ$110,0,MATCH(AD$2,Inputs!$K$4:$AJ$4,0)))+SUMPRODUCT((Inputs!$C$5:$C$110=$B21)*Inputs!$D$5:$D$110*(((Inputs!$G$5:$G$110="moeda")+(Inputs!$G$5:$G$110="acoes"))*Inputs!$B$1+((Inputs!$G$5:$G$110&lt;&gt;"moeda")*(Inputs!$G$5:$G$110&lt;&gt;"acoes")))*INDEX(Inputs!$K$5:$AJ$110,0,MATCH(AD$2,Inputs!$K$4:$AJ$4,0)))+SUMPRODUCT((Inputs!$E$5:$E$110=$B21)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1" s="267" t="e">
        <f>IF(ISNA(MATCH(AE$2,Inputs!$K$4:$AJ$4,0)),NA(),IF(SUMPRODUCT((Inputs!$A$5:$A$110=$B21)*ISNUMBER(INDEX(Inputs!$K$5:$AJ$110,0,MATCH(AE$2,Inputs!$K$4:$AJ$4,0))))+SUMPRODUCT((Inputs!$C$5:$C$110=$B21)*ISNUMBER(INDEX(Inputs!$K$5:$AJ$110,0,MATCH(AE$2,Inputs!$K$4:$AJ$4,0))))+SUMPRODUCT((Inputs!$E$5:$E$110=$B21)*ISNUMBER(INDEX(Inputs!$K$5:$AJ$110,0,MATCH(AE$2,Inputs!$K$4:$AJ$4,0))))=0,NA(),SUMPRODUCT((Inputs!$A$5:$A$110=$B21)*Inputs!$B$5:$B$110*(((Inputs!$G$5:$G$110="moeda")+(Inputs!$G$5:$G$110="acoes"))*Inputs!$B$1+((Inputs!$G$5:$G$110&lt;&gt;"moeda")*(Inputs!$G$5:$G$110&lt;&gt;"acoes")))*INDEX(Inputs!$K$5:$AJ$110,0,MATCH(AE$2,Inputs!$K$4:$AJ$4,0)))+SUMPRODUCT((Inputs!$C$5:$C$110=$B21)*Inputs!$D$5:$D$110*(((Inputs!$G$5:$G$110="moeda")+(Inputs!$G$5:$G$110="acoes"))*Inputs!$B$1+((Inputs!$G$5:$G$110&lt;&gt;"moeda")*(Inputs!$G$5:$G$110&lt;&gt;"acoes")))*INDEX(Inputs!$K$5:$AJ$110,0,MATCH(AE$2,Inputs!$K$4:$AJ$4,0)))+SUMPRODUCT((Inputs!$E$5:$E$110=$B21)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1" s="267" t="e">
        <f>IF(ISNA(MATCH(AF$2,Inputs!$K$4:$AJ$4,0)),NA(),IF(SUMPRODUCT((Inputs!$A$5:$A$110=$B21)*ISNUMBER(INDEX(Inputs!$K$5:$AJ$110,0,MATCH(AF$2,Inputs!$K$4:$AJ$4,0))))+SUMPRODUCT((Inputs!$C$5:$C$110=$B21)*ISNUMBER(INDEX(Inputs!$K$5:$AJ$110,0,MATCH(AF$2,Inputs!$K$4:$AJ$4,0))))+SUMPRODUCT((Inputs!$E$5:$E$110=$B21)*ISNUMBER(INDEX(Inputs!$K$5:$AJ$110,0,MATCH(AF$2,Inputs!$K$4:$AJ$4,0))))=0,NA(),SUMPRODUCT((Inputs!$A$5:$A$110=$B21)*Inputs!$B$5:$B$110*(((Inputs!$G$5:$G$110="moeda")+(Inputs!$G$5:$G$110="acoes"))*Inputs!$B$1+((Inputs!$G$5:$G$110&lt;&gt;"moeda")*(Inputs!$G$5:$G$110&lt;&gt;"acoes")))*INDEX(Inputs!$K$5:$AJ$110,0,MATCH(AF$2,Inputs!$K$4:$AJ$4,0)))+SUMPRODUCT((Inputs!$C$5:$C$110=$B21)*Inputs!$D$5:$D$110*(((Inputs!$G$5:$G$110="moeda")+(Inputs!$G$5:$G$110="acoes"))*Inputs!$B$1+((Inputs!$G$5:$G$110&lt;&gt;"moeda")*(Inputs!$G$5:$G$110&lt;&gt;"acoes")))*INDEX(Inputs!$K$5:$AJ$110,0,MATCH(AF$2,Inputs!$K$4:$AJ$4,0)))+SUMPRODUCT((Inputs!$E$5:$E$110=$B21)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1" s="268" t="e">
        <f>AF21</f>
        <v>#N/A</v>
      </c>
      <c r="AH21" s="267">
        <f>IF(ISNA(MATCH(AH$2,Inputs!$K$4:$AJ$4,0)),NA(),IF(SUMPRODUCT((Inputs!$A$5:$A$110=$B21)*ISNUMBER(INDEX(Inputs!$K$5:$AJ$110,0,MATCH(AH$2,Inputs!$K$4:$AJ$4,0))))+SUMPRODUCT((Inputs!$C$5:$C$110=$B21)*ISNUMBER(INDEX(Inputs!$K$5:$AJ$110,0,MATCH(AH$2,Inputs!$K$4:$AJ$4,0))))+SUMPRODUCT((Inputs!$E$5:$E$110=$B21)*ISNUMBER(INDEX(Inputs!$K$5:$AJ$110,0,MATCH(AH$2,Inputs!$K$4:$AJ$4,0))))=0,NA(),SUMPRODUCT((Inputs!$A$5:$A$110=$B21)*Inputs!$B$5:$B$110*(((Inputs!$G$5:$G$110="moeda")+(Inputs!$G$5:$G$110="acoes"))*Inputs!$B$1+((Inputs!$G$5:$G$110&lt;&gt;"moeda")*(Inputs!$G$5:$G$110&lt;&gt;"acoes")))*INDEX(Inputs!$K$5:$AJ$110,0,MATCH(AH$2,Inputs!$K$4:$AJ$4,0)))+SUMPRODUCT((Inputs!$C$5:$C$110=$B21)*Inputs!$D$5:$D$110*(((Inputs!$G$5:$G$110="moeda")+(Inputs!$G$5:$G$110="acoes"))*Inputs!$B$1+((Inputs!$G$5:$G$110&lt;&gt;"moeda")*(Inputs!$G$5:$G$110&lt;&gt;"acoes")))*INDEX(Inputs!$K$5:$AJ$110,0,MATCH(AH$2,Inputs!$K$4:$AJ$4,0)))+SUMPRODUCT((Inputs!$E$5:$E$110=$B21)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1" s="267">
        <f>IF(ISNA(MATCH(AI$2,Inputs!$K$4:$AJ$4,0)),NA(),IF(SUMPRODUCT((Inputs!$A$5:$A$110=$B21)*ISNUMBER(INDEX(Inputs!$K$5:$AJ$110,0,MATCH(AI$2,Inputs!$K$4:$AJ$4,0))))+SUMPRODUCT((Inputs!$C$5:$C$110=$B21)*ISNUMBER(INDEX(Inputs!$K$5:$AJ$110,0,MATCH(AI$2,Inputs!$K$4:$AJ$4,0))))+SUMPRODUCT((Inputs!$E$5:$E$110=$B21)*ISNUMBER(INDEX(Inputs!$K$5:$AJ$110,0,MATCH(AI$2,Inputs!$K$4:$AJ$4,0))))=0,NA(),SUMPRODUCT((Inputs!$A$5:$A$110=$B21)*Inputs!$B$5:$B$110*(((Inputs!$G$5:$G$110="moeda")+(Inputs!$G$5:$G$110="acoes"))*Inputs!$B$1+((Inputs!$G$5:$G$110&lt;&gt;"moeda")*(Inputs!$G$5:$G$110&lt;&gt;"acoes")))*INDEX(Inputs!$K$5:$AJ$110,0,MATCH(AI$2,Inputs!$K$4:$AJ$4,0)))+SUMPRODUCT((Inputs!$C$5:$C$110=$B21)*Inputs!$D$5:$D$110*(((Inputs!$G$5:$G$110="moeda")+(Inputs!$G$5:$G$110="acoes"))*Inputs!$B$1+((Inputs!$G$5:$G$110&lt;&gt;"moeda")*(Inputs!$G$5:$G$110&lt;&gt;"acoes")))*INDEX(Inputs!$K$5:$AJ$110,0,MATCH(AI$2,Inputs!$K$4:$AJ$4,0)))+SUMPRODUCT((Inputs!$E$5:$E$110=$B21)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1" s="267">
        <f>IF(ISNA(MATCH(AJ$2,Inputs!$K$4:$AJ$4,0)),NA(),IF(SUMPRODUCT((Inputs!$A$5:$A$110=$B21)*ISNUMBER(INDEX(Inputs!$K$5:$AJ$110,0,MATCH(AJ$2,Inputs!$K$4:$AJ$4,0))))+SUMPRODUCT((Inputs!$C$5:$C$110=$B21)*ISNUMBER(INDEX(Inputs!$K$5:$AJ$110,0,MATCH(AJ$2,Inputs!$K$4:$AJ$4,0))))+SUMPRODUCT((Inputs!$E$5:$E$110=$B21)*ISNUMBER(INDEX(Inputs!$K$5:$AJ$110,0,MATCH(AJ$2,Inputs!$K$4:$AJ$4,0))))=0,NA(),SUMPRODUCT((Inputs!$A$5:$A$110=$B21)*Inputs!$B$5:$B$110*(((Inputs!$G$5:$G$110="moeda")+(Inputs!$G$5:$G$110="acoes"))*Inputs!$B$1+((Inputs!$G$5:$G$110&lt;&gt;"moeda")*(Inputs!$G$5:$G$110&lt;&gt;"acoes")))*INDEX(Inputs!$K$5:$AJ$110,0,MATCH(AJ$2,Inputs!$K$4:$AJ$4,0)))+SUMPRODUCT((Inputs!$C$5:$C$110=$B21)*Inputs!$D$5:$D$110*(((Inputs!$G$5:$G$110="moeda")+(Inputs!$G$5:$G$110="acoes"))*Inputs!$B$1+((Inputs!$G$5:$G$110&lt;&gt;"moeda")*(Inputs!$G$5:$G$110&lt;&gt;"acoes")))*INDEX(Inputs!$K$5:$AJ$110,0,MATCH(AJ$2,Inputs!$K$4:$AJ$4,0)))+SUMPRODUCT((Inputs!$E$5:$E$110=$B21)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1" s="267">
        <f>IF(ISNA(MATCH(AK$2,Inputs!$K$4:$AJ$4,0)),NA(),IF(SUMPRODUCT((Inputs!$A$5:$A$110=$B21)*ISNUMBER(INDEX(Inputs!$K$5:$AJ$110,0,MATCH(AK$2,Inputs!$K$4:$AJ$4,0))))+SUMPRODUCT((Inputs!$C$5:$C$110=$B21)*ISNUMBER(INDEX(Inputs!$K$5:$AJ$110,0,MATCH(AK$2,Inputs!$K$4:$AJ$4,0))))+SUMPRODUCT((Inputs!$E$5:$E$110=$B21)*ISNUMBER(INDEX(Inputs!$K$5:$AJ$110,0,MATCH(AK$2,Inputs!$K$4:$AJ$4,0))))=0,NA(),SUMPRODUCT((Inputs!$A$5:$A$110=$B21)*Inputs!$B$5:$B$110*(((Inputs!$G$5:$G$110="moeda")+(Inputs!$G$5:$G$110="acoes"))*Inputs!$B$1+((Inputs!$G$5:$G$110&lt;&gt;"moeda")*(Inputs!$G$5:$G$110&lt;&gt;"acoes")))*INDEX(Inputs!$K$5:$AJ$110,0,MATCH(AK$2,Inputs!$K$4:$AJ$4,0)))+SUMPRODUCT((Inputs!$C$5:$C$110=$B21)*Inputs!$D$5:$D$110*(((Inputs!$G$5:$G$110="moeda")+(Inputs!$G$5:$G$110="acoes"))*Inputs!$B$1+((Inputs!$G$5:$G$110&lt;&gt;"moeda")*(Inputs!$G$5:$G$110&lt;&gt;"acoes")))*INDEX(Inputs!$K$5:$AJ$110,0,MATCH(AK$2,Inputs!$K$4:$AJ$4,0)))+SUMPRODUCT((Inputs!$E$5:$E$110=$B21)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1" s="268">
        <f>AK21</f>
        <v>0</v>
      </c>
    </row>
    <row r="22" ht="12.75" customHeight="1" s="255">
      <c r="B22" s="265" t="n">
        <v>18</v>
      </c>
      <c r="C22" s="270" t="inlineStr">
        <is>
          <t>PP&amp;E</t>
        </is>
      </c>
      <c r="D22" s="267">
        <f>IF(ISNA(MATCH(D$2,Inputs!$K$4:$AJ$4,0)),NA(),IF(SUMPRODUCT((Inputs!$A$5:$A$110=$B22)*ISNUMBER(INDEX(Inputs!$K$5:$AJ$110,0,MATCH(D$2,Inputs!$K$4:$AJ$4,0))))+SUMPRODUCT((Inputs!$C$5:$C$110=$B22)*ISNUMBER(INDEX(Inputs!$K$5:$AJ$110,0,MATCH(D$2,Inputs!$K$4:$AJ$4,0))))+SUMPRODUCT((Inputs!$E$5:$E$110=$B22)*ISNUMBER(INDEX(Inputs!$K$5:$AJ$110,0,MATCH(D$2,Inputs!$K$4:$AJ$4,0))))=0,NA(),SUMPRODUCT((Inputs!$A$5:$A$110=$B22)*Inputs!$B$5:$B$110*(((Inputs!$G$5:$G$110="moeda")+(Inputs!$G$5:$G$110="acoes"))*Inputs!$B$1+((Inputs!$G$5:$G$110&lt;&gt;"moeda")*(Inputs!$G$5:$G$110&lt;&gt;"acoes")))*INDEX(Inputs!$K$5:$AJ$110,0,MATCH(D$2,Inputs!$K$4:$AJ$4,0)))+SUMPRODUCT((Inputs!$C$5:$C$110=$B22)*Inputs!$D$5:$D$110*(((Inputs!$G$5:$G$110="moeda")+(Inputs!$G$5:$G$110="acoes"))*Inputs!$B$1+((Inputs!$G$5:$G$110&lt;&gt;"moeda")*(Inputs!$G$5:$G$110&lt;&gt;"acoes")))*INDEX(Inputs!$K$5:$AJ$110,0,MATCH(D$2,Inputs!$K$4:$AJ$4,0)))+SUMPRODUCT((Inputs!$E$5:$E$110=$B22)*Inputs!$F$5:$F$110*(((Inputs!$G$5:$G$110="moeda")+(Inputs!$G$5:$G$110="acoes"))*Inputs!$B$1+((Inputs!$G$5:$G$110&lt;&gt;"moeda")*(Inputs!$G$5:$G$110&lt;&gt;"acoes")))*INDEX(Inputs!$K$5:$AJ$110,0,MATCH(D$2,Inputs!$K$4:$AJ$4,0)))))</f>
        <v>22531</v>
      </c>
      <c r="E22" s="267">
        <f>IF(ISNA(MATCH(E$2,Inputs!$K$4:$AJ$4,0)),NA(),IF(SUMPRODUCT((Inputs!$A$5:$A$110=$B22)*ISNUMBER(INDEX(Inputs!$K$5:$AJ$110,0,MATCH(E$2,Inputs!$K$4:$AJ$4,0))))+SUMPRODUCT((Inputs!$C$5:$C$110=$B22)*ISNUMBER(INDEX(Inputs!$K$5:$AJ$110,0,MATCH(E$2,Inputs!$K$4:$AJ$4,0))))+SUMPRODUCT((Inputs!$E$5:$E$110=$B22)*ISNUMBER(INDEX(Inputs!$K$5:$AJ$110,0,MATCH(E$2,Inputs!$K$4:$AJ$4,0))))=0,NA(),SUMPRODUCT((Inputs!$A$5:$A$110=$B22)*Inputs!$B$5:$B$110*(((Inputs!$G$5:$G$110="moeda")+(Inputs!$G$5:$G$110="acoes"))*Inputs!$B$1+((Inputs!$G$5:$G$110&lt;&gt;"moeda")*(Inputs!$G$5:$G$110&lt;&gt;"acoes")))*INDEX(Inputs!$K$5:$AJ$110,0,MATCH(E$2,Inputs!$K$4:$AJ$4,0)))+SUMPRODUCT((Inputs!$C$5:$C$110=$B22)*Inputs!$D$5:$D$110*(((Inputs!$G$5:$G$110="moeda")+(Inputs!$G$5:$G$110="acoes"))*Inputs!$B$1+((Inputs!$G$5:$G$110&lt;&gt;"moeda")*(Inputs!$G$5:$G$110&lt;&gt;"acoes")))*INDEX(Inputs!$K$5:$AJ$110,0,MATCH(E$2,Inputs!$K$4:$AJ$4,0)))+SUMPRODUCT((Inputs!$E$5:$E$110=$B22)*Inputs!$F$5:$F$110*(((Inputs!$G$5:$G$110="moeda")+(Inputs!$G$5:$G$110="acoes"))*Inputs!$B$1+((Inputs!$G$5:$G$110&lt;&gt;"moeda")*(Inputs!$G$5:$G$110&lt;&gt;"acoes")))*INDEX(Inputs!$K$5:$AJ$110,0,MATCH(E$2,Inputs!$K$4:$AJ$4,0)))))</f>
        <v>23177</v>
      </c>
      <c r="F22" s="267">
        <f>IF(ISNA(MATCH(F$2,Inputs!$K$4:$AJ$4,0)),NA(),IF(SUMPRODUCT((Inputs!$A$5:$A$110=$B22)*ISNUMBER(INDEX(Inputs!$K$5:$AJ$110,0,MATCH(F$2,Inputs!$K$4:$AJ$4,0))))+SUMPRODUCT((Inputs!$C$5:$C$110=$B22)*ISNUMBER(INDEX(Inputs!$K$5:$AJ$110,0,MATCH(F$2,Inputs!$K$4:$AJ$4,0))))+SUMPRODUCT((Inputs!$E$5:$E$110=$B22)*ISNUMBER(INDEX(Inputs!$K$5:$AJ$110,0,MATCH(F$2,Inputs!$K$4:$AJ$4,0))))=0,NA(),SUMPRODUCT((Inputs!$A$5:$A$110=$B22)*Inputs!$B$5:$B$110*(((Inputs!$G$5:$G$110="moeda")+(Inputs!$G$5:$G$110="acoes"))*Inputs!$B$1+((Inputs!$G$5:$G$110&lt;&gt;"moeda")*(Inputs!$G$5:$G$110&lt;&gt;"acoes")))*INDEX(Inputs!$K$5:$AJ$110,0,MATCH(F$2,Inputs!$K$4:$AJ$4,0)))+SUMPRODUCT((Inputs!$C$5:$C$110=$B22)*Inputs!$D$5:$D$110*(((Inputs!$G$5:$G$110="moeda")+(Inputs!$G$5:$G$110="acoes"))*Inputs!$B$1+((Inputs!$G$5:$G$110&lt;&gt;"moeda")*(Inputs!$G$5:$G$110&lt;&gt;"acoes")))*INDEX(Inputs!$K$5:$AJ$110,0,MATCH(F$2,Inputs!$K$4:$AJ$4,0)))+SUMPRODUCT((Inputs!$E$5:$E$110=$B22)*Inputs!$F$5:$F$110*(((Inputs!$G$5:$G$110="moeda")+(Inputs!$G$5:$G$110="acoes"))*Inputs!$B$1+((Inputs!$G$5:$G$110&lt;&gt;"moeda")*(Inputs!$G$5:$G$110&lt;&gt;"acoes")))*INDEX(Inputs!$K$5:$AJ$110,0,MATCH(F$2,Inputs!$K$4:$AJ$4,0)))))</f>
        <v>23492</v>
      </c>
      <c r="G22" s="267">
        <f>IF(ISNA(MATCH(G$2,Inputs!$K$4:$AJ$4,0)),NA(),IF(SUMPRODUCT((Inputs!$A$5:$A$110=$B22)*ISNUMBER(INDEX(Inputs!$K$5:$AJ$110,0,MATCH(G$2,Inputs!$K$4:$AJ$4,0))))+SUMPRODUCT((Inputs!$C$5:$C$110=$B22)*ISNUMBER(INDEX(Inputs!$K$5:$AJ$110,0,MATCH(G$2,Inputs!$K$4:$AJ$4,0))))+SUMPRODUCT((Inputs!$E$5:$E$110=$B22)*ISNUMBER(INDEX(Inputs!$K$5:$AJ$110,0,MATCH(G$2,Inputs!$K$4:$AJ$4,0))))=0,NA(),SUMPRODUCT((Inputs!$A$5:$A$110=$B22)*Inputs!$B$5:$B$110*(((Inputs!$G$5:$G$110="moeda")+(Inputs!$G$5:$G$110="acoes"))*Inputs!$B$1+((Inputs!$G$5:$G$110&lt;&gt;"moeda")*(Inputs!$G$5:$G$110&lt;&gt;"acoes")))*INDEX(Inputs!$K$5:$AJ$110,0,MATCH(G$2,Inputs!$K$4:$AJ$4,0)))+SUMPRODUCT((Inputs!$C$5:$C$110=$B22)*Inputs!$D$5:$D$110*(((Inputs!$G$5:$G$110="moeda")+(Inputs!$G$5:$G$110="acoes"))*Inputs!$B$1+((Inputs!$G$5:$G$110&lt;&gt;"moeda")*(Inputs!$G$5:$G$110&lt;&gt;"acoes")))*INDEX(Inputs!$K$5:$AJ$110,0,MATCH(G$2,Inputs!$K$4:$AJ$4,0)))+SUMPRODUCT((Inputs!$E$5:$E$110=$B22)*Inputs!$F$5:$F$110*(((Inputs!$G$5:$G$110="moeda")+(Inputs!$G$5:$G$110="acoes"))*Inputs!$B$1+((Inputs!$G$5:$G$110&lt;&gt;"moeda")*(Inputs!$G$5:$G$110&lt;&gt;"acoes")))*INDEX(Inputs!$K$5:$AJ$110,0,MATCH(G$2,Inputs!$K$4:$AJ$4,0)))))</f>
        <v>23887</v>
      </c>
      <c r="H22" s="268">
        <f>G22</f>
        <v>23887</v>
      </c>
      <c r="I22" s="267">
        <f>IF(ISNA(MATCH(I$2,Inputs!$K$4:$AJ$4,0)),NA(),IF(SUMPRODUCT((Inputs!$A$5:$A$110=$B22)*ISNUMBER(INDEX(Inputs!$K$5:$AJ$110,0,MATCH(I$2,Inputs!$K$4:$AJ$4,0))))+SUMPRODUCT((Inputs!$C$5:$C$110=$B22)*ISNUMBER(INDEX(Inputs!$K$5:$AJ$110,0,MATCH(I$2,Inputs!$K$4:$AJ$4,0))))+SUMPRODUCT((Inputs!$E$5:$E$110=$B22)*ISNUMBER(INDEX(Inputs!$K$5:$AJ$110,0,MATCH(I$2,Inputs!$K$4:$AJ$4,0))))=0,NA(),SUMPRODUCT((Inputs!$A$5:$A$110=$B22)*Inputs!$B$5:$B$110*(((Inputs!$G$5:$G$110="moeda")+(Inputs!$G$5:$G$110="acoes"))*Inputs!$B$1+((Inputs!$G$5:$G$110&lt;&gt;"moeda")*(Inputs!$G$5:$G$110&lt;&gt;"acoes")))*INDEX(Inputs!$K$5:$AJ$110,0,MATCH(I$2,Inputs!$K$4:$AJ$4,0)))+SUMPRODUCT((Inputs!$C$5:$C$110=$B22)*Inputs!$D$5:$D$110*(((Inputs!$G$5:$G$110="moeda")+(Inputs!$G$5:$G$110="acoes"))*Inputs!$B$1+((Inputs!$G$5:$G$110&lt;&gt;"moeda")*(Inputs!$G$5:$G$110&lt;&gt;"acoes")))*INDEX(Inputs!$K$5:$AJ$110,0,MATCH(I$2,Inputs!$K$4:$AJ$4,0)))+SUMPRODUCT((Inputs!$E$5:$E$110=$B22)*Inputs!$F$5:$F$110*(((Inputs!$G$5:$G$110="moeda")+(Inputs!$G$5:$G$110="acoes"))*Inputs!$B$1+((Inputs!$G$5:$G$110&lt;&gt;"moeda")*(Inputs!$G$5:$G$110&lt;&gt;"acoes")))*INDEX(Inputs!$K$5:$AJ$110,0,MATCH(I$2,Inputs!$K$4:$AJ$4,0)))))</f>
        <v>24052</v>
      </c>
      <c r="J22" s="267">
        <f>IF(ISNA(MATCH(J$2,Inputs!$K$4:$AJ$4,0)),NA(),IF(SUMPRODUCT((Inputs!$A$5:$A$110=$B22)*ISNUMBER(INDEX(Inputs!$K$5:$AJ$110,0,MATCH(J$2,Inputs!$K$4:$AJ$4,0))))+SUMPRODUCT((Inputs!$C$5:$C$110=$B22)*ISNUMBER(INDEX(Inputs!$K$5:$AJ$110,0,MATCH(J$2,Inputs!$K$4:$AJ$4,0))))+SUMPRODUCT((Inputs!$E$5:$E$110=$B22)*ISNUMBER(INDEX(Inputs!$K$5:$AJ$110,0,MATCH(J$2,Inputs!$K$4:$AJ$4,0))))=0,NA(),SUMPRODUCT((Inputs!$A$5:$A$110=$B22)*Inputs!$B$5:$B$110*(((Inputs!$G$5:$G$110="moeda")+(Inputs!$G$5:$G$110="acoes"))*Inputs!$B$1+((Inputs!$G$5:$G$110&lt;&gt;"moeda")*(Inputs!$G$5:$G$110&lt;&gt;"acoes")))*INDEX(Inputs!$K$5:$AJ$110,0,MATCH(J$2,Inputs!$K$4:$AJ$4,0)))+SUMPRODUCT((Inputs!$C$5:$C$110=$B22)*Inputs!$D$5:$D$110*(((Inputs!$G$5:$G$110="moeda")+(Inputs!$G$5:$G$110="acoes"))*Inputs!$B$1+((Inputs!$G$5:$G$110&lt;&gt;"moeda")*(Inputs!$G$5:$G$110&lt;&gt;"acoes")))*INDEX(Inputs!$K$5:$AJ$110,0,MATCH(J$2,Inputs!$K$4:$AJ$4,0)))+SUMPRODUCT((Inputs!$E$5:$E$110=$B22)*Inputs!$F$5:$F$110*(((Inputs!$G$5:$G$110="moeda")+(Inputs!$G$5:$G$110="acoes"))*Inputs!$B$1+((Inputs!$G$5:$G$110&lt;&gt;"moeda")*(Inputs!$G$5:$G$110&lt;&gt;"acoes")))*INDEX(Inputs!$K$5:$AJ$110,0,MATCH(J$2,Inputs!$K$4:$AJ$4,0)))))</f>
        <v>24143</v>
      </c>
      <c r="K22" s="267">
        <f>IF(ISNA(MATCH(K$2,Inputs!$K$4:$AJ$4,0)),NA(),IF(SUMPRODUCT((Inputs!$A$5:$A$110=$B22)*ISNUMBER(INDEX(Inputs!$K$5:$AJ$110,0,MATCH(K$2,Inputs!$K$4:$AJ$4,0))))+SUMPRODUCT((Inputs!$C$5:$C$110=$B22)*ISNUMBER(INDEX(Inputs!$K$5:$AJ$110,0,MATCH(K$2,Inputs!$K$4:$AJ$4,0))))+SUMPRODUCT((Inputs!$E$5:$E$110=$B22)*ISNUMBER(INDEX(Inputs!$K$5:$AJ$110,0,MATCH(K$2,Inputs!$K$4:$AJ$4,0))))=0,NA(),SUMPRODUCT((Inputs!$A$5:$A$110=$B22)*Inputs!$B$5:$B$110*(((Inputs!$G$5:$G$110="moeda")+(Inputs!$G$5:$G$110="acoes"))*Inputs!$B$1+((Inputs!$G$5:$G$110&lt;&gt;"moeda")*(Inputs!$G$5:$G$110&lt;&gt;"acoes")))*INDEX(Inputs!$K$5:$AJ$110,0,MATCH(K$2,Inputs!$K$4:$AJ$4,0)))+SUMPRODUCT((Inputs!$C$5:$C$110=$B22)*Inputs!$D$5:$D$110*(((Inputs!$G$5:$G$110="moeda")+(Inputs!$G$5:$G$110="acoes"))*Inputs!$B$1+((Inputs!$G$5:$G$110&lt;&gt;"moeda")*(Inputs!$G$5:$G$110&lt;&gt;"acoes")))*INDEX(Inputs!$K$5:$AJ$110,0,MATCH(K$2,Inputs!$K$4:$AJ$4,0)))+SUMPRODUCT((Inputs!$E$5:$E$110=$B22)*Inputs!$F$5:$F$110*(((Inputs!$G$5:$G$110="moeda")+(Inputs!$G$5:$G$110="acoes"))*Inputs!$B$1+((Inputs!$G$5:$G$110&lt;&gt;"moeda")*(Inputs!$G$5:$G$110&lt;&gt;"acoes")))*INDEX(Inputs!$K$5:$AJ$110,0,MATCH(K$2,Inputs!$K$4:$AJ$4,0)))))</f>
        <v>24646</v>
      </c>
      <c r="L22" s="267">
        <f>IF(ISNA(MATCH(L$2,Inputs!$K$4:$AJ$4,0)),NA(),IF(SUMPRODUCT((Inputs!$A$5:$A$110=$B22)*ISNUMBER(INDEX(Inputs!$K$5:$AJ$110,0,MATCH(L$2,Inputs!$K$4:$AJ$4,0))))+SUMPRODUCT((Inputs!$C$5:$C$110=$B22)*ISNUMBER(INDEX(Inputs!$K$5:$AJ$110,0,MATCH(L$2,Inputs!$K$4:$AJ$4,0))))+SUMPRODUCT((Inputs!$E$5:$E$110=$B22)*ISNUMBER(INDEX(Inputs!$K$5:$AJ$110,0,MATCH(L$2,Inputs!$K$4:$AJ$4,0))))=0,NA(),SUMPRODUCT((Inputs!$A$5:$A$110=$B22)*Inputs!$B$5:$B$110*(((Inputs!$G$5:$G$110="moeda")+(Inputs!$G$5:$G$110="acoes"))*Inputs!$B$1+((Inputs!$G$5:$G$110&lt;&gt;"moeda")*(Inputs!$G$5:$G$110&lt;&gt;"acoes")))*INDEX(Inputs!$K$5:$AJ$110,0,MATCH(L$2,Inputs!$K$4:$AJ$4,0)))+SUMPRODUCT((Inputs!$C$5:$C$110=$B22)*Inputs!$D$5:$D$110*(((Inputs!$G$5:$G$110="moeda")+(Inputs!$G$5:$G$110="acoes"))*Inputs!$B$1+((Inputs!$G$5:$G$110&lt;&gt;"moeda")*(Inputs!$G$5:$G$110&lt;&gt;"acoes")))*INDEX(Inputs!$K$5:$AJ$110,0,MATCH(L$2,Inputs!$K$4:$AJ$4,0)))+SUMPRODUCT((Inputs!$E$5:$E$110=$B22)*Inputs!$F$5:$F$110*(((Inputs!$G$5:$G$110="moeda")+(Inputs!$G$5:$G$110="acoes"))*Inputs!$B$1+((Inputs!$G$5:$G$110&lt;&gt;"moeda")*(Inputs!$G$5:$G$110&lt;&gt;"acoes")))*INDEX(Inputs!$K$5:$AJ$110,0,MATCH(L$2,Inputs!$K$4:$AJ$4,0)))))</f>
        <v>25144</v>
      </c>
      <c r="M22" s="268">
        <f>L22</f>
        <v>25144</v>
      </c>
      <c r="N22" s="267">
        <f>IF(ISNA(MATCH(N$2,Inputs!$K$4:$AJ$4,0)),NA(),IF(SUMPRODUCT((Inputs!$A$5:$A$110=$B22)*ISNUMBER(INDEX(Inputs!$K$5:$AJ$110,0,MATCH(N$2,Inputs!$K$4:$AJ$4,0))))+SUMPRODUCT((Inputs!$C$5:$C$110=$B22)*ISNUMBER(INDEX(Inputs!$K$5:$AJ$110,0,MATCH(N$2,Inputs!$K$4:$AJ$4,0))))+SUMPRODUCT((Inputs!$E$5:$E$110=$B22)*ISNUMBER(INDEX(Inputs!$K$5:$AJ$110,0,MATCH(N$2,Inputs!$K$4:$AJ$4,0))))=0,NA(),SUMPRODUCT((Inputs!$A$5:$A$110=$B22)*Inputs!$B$5:$B$110*(((Inputs!$G$5:$G$110="moeda")+(Inputs!$G$5:$G$110="acoes"))*Inputs!$B$1+((Inputs!$G$5:$G$110&lt;&gt;"moeda")*(Inputs!$G$5:$G$110&lt;&gt;"acoes")))*INDEX(Inputs!$K$5:$AJ$110,0,MATCH(N$2,Inputs!$K$4:$AJ$4,0)))+SUMPRODUCT((Inputs!$C$5:$C$110=$B22)*Inputs!$D$5:$D$110*(((Inputs!$G$5:$G$110="moeda")+(Inputs!$G$5:$G$110="acoes"))*Inputs!$B$1+((Inputs!$G$5:$G$110&lt;&gt;"moeda")*(Inputs!$G$5:$G$110&lt;&gt;"acoes")))*INDEX(Inputs!$K$5:$AJ$110,0,MATCH(N$2,Inputs!$K$4:$AJ$4,0)))+SUMPRODUCT((Inputs!$E$5:$E$110=$B22)*Inputs!$F$5:$F$110*(((Inputs!$G$5:$G$110="moeda")+(Inputs!$G$5:$G$110="acoes"))*Inputs!$B$1+((Inputs!$G$5:$G$110&lt;&gt;"moeda")*(Inputs!$G$5:$G$110&lt;&gt;"acoes")))*INDEX(Inputs!$K$5:$AJ$110,0,MATCH(N$2,Inputs!$K$4:$AJ$4,0)))))</f>
        <v>25724</v>
      </c>
      <c r="O22" s="267">
        <f>IF(ISNA(MATCH(O$2,Inputs!$K$4:$AJ$4,0)),NA(),IF(SUMPRODUCT((Inputs!$A$5:$A$110=$B22)*ISNUMBER(INDEX(Inputs!$K$5:$AJ$110,0,MATCH(O$2,Inputs!$K$4:$AJ$4,0))))+SUMPRODUCT((Inputs!$C$5:$C$110=$B22)*ISNUMBER(INDEX(Inputs!$K$5:$AJ$110,0,MATCH(O$2,Inputs!$K$4:$AJ$4,0))))+SUMPRODUCT((Inputs!$E$5:$E$110=$B22)*ISNUMBER(INDEX(Inputs!$K$5:$AJ$110,0,MATCH(O$2,Inputs!$K$4:$AJ$4,0))))=0,NA(),SUMPRODUCT((Inputs!$A$5:$A$110=$B22)*Inputs!$B$5:$B$110*(((Inputs!$G$5:$G$110="moeda")+(Inputs!$G$5:$G$110="acoes"))*Inputs!$B$1+((Inputs!$G$5:$G$110&lt;&gt;"moeda")*(Inputs!$G$5:$G$110&lt;&gt;"acoes")))*INDEX(Inputs!$K$5:$AJ$110,0,MATCH(O$2,Inputs!$K$4:$AJ$4,0)))+SUMPRODUCT((Inputs!$C$5:$C$110=$B22)*Inputs!$D$5:$D$110*(((Inputs!$G$5:$G$110="moeda")+(Inputs!$G$5:$G$110="acoes"))*Inputs!$B$1+((Inputs!$G$5:$G$110&lt;&gt;"moeda")*(Inputs!$G$5:$G$110&lt;&gt;"acoes")))*INDEX(Inputs!$K$5:$AJ$110,0,MATCH(O$2,Inputs!$K$4:$AJ$4,0)))+SUMPRODUCT((Inputs!$E$5:$E$110=$B22)*Inputs!$F$5:$F$110*(((Inputs!$G$5:$G$110="moeda")+(Inputs!$G$5:$G$110="acoes"))*Inputs!$B$1+((Inputs!$G$5:$G$110&lt;&gt;"moeda")*(Inputs!$G$5:$G$110&lt;&gt;"acoes")))*INDEX(Inputs!$K$5:$AJ$110,0,MATCH(O$2,Inputs!$K$4:$AJ$4,0)))))</f>
        <v>25931</v>
      </c>
      <c r="P22" s="267">
        <f>IF(ISNA(MATCH(P$2,Inputs!$K$4:$AJ$4,0)),NA(),IF(SUMPRODUCT((Inputs!$A$5:$A$110=$B22)*ISNUMBER(INDEX(Inputs!$K$5:$AJ$110,0,MATCH(P$2,Inputs!$K$4:$AJ$4,0))))+SUMPRODUCT((Inputs!$C$5:$C$110=$B22)*ISNUMBER(INDEX(Inputs!$K$5:$AJ$110,0,MATCH(P$2,Inputs!$K$4:$AJ$4,0))))+SUMPRODUCT((Inputs!$E$5:$E$110=$B22)*ISNUMBER(INDEX(Inputs!$K$5:$AJ$110,0,MATCH(P$2,Inputs!$K$4:$AJ$4,0))))=0,NA(),SUMPRODUCT((Inputs!$A$5:$A$110=$B22)*Inputs!$B$5:$B$110*(((Inputs!$G$5:$G$110="moeda")+(Inputs!$G$5:$G$110="acoes"))*Inputs!$B$1+((Inputs!$G$5:$G$110&lt;&gt;"moeda")*(Inputs!$G$5:$G$110&lt;&gt;"acoes")))*INDEX(Inputs!$K$5:$AJ$110,0,MATCH(P$2,Inputs!$K$4:$AJ$4,0)))+SUMPRODUCT((Inputs!$C$5:$C$110=$B22)*Inputs!$D$5:$D$110*(((Inputs!$G$5:$G$110="moeda")+(Inputs!$G$5:$G$110="acoes"))*Inputs!$B$1+((Inputs!$G$5:$G$110&lt;&gt;"moeda")*(Inputs!$G$5:$G$110&lt;&gt;"acoes")))*INDEX(Inputs!$K$5:$AJ$110,0,MATCH(P$2,Inputs!$K$4:$AJ$4,0)))+SUMPRODUCT((Inputs!$E$5:$E$110=$B22)*Inputs!$F$5:$F$110*(((Inputs!$G$5:$G$110="moeda")+(Inputs!$G$5:$G$110="acoes"))*Inputs!$B$1+((Inputs!$G$5:$G$110&lt;&gt;"moeda")*(Inputs!$G$5:$G$110&lt;&gt;"acoes")))*INDEX(Inputs!$K$5:$AJ$110,0,MATCH(P$2,Inputs!$K$4:$AJ$4,0)))))</f>
        <v>26684</v>
      </c>
      <c r="Q22" s="267">
        <f>IF(ISNA(MATCH(Q$2,Inputs!$K$4:$AJ$4,0)),NA(),IF(SUMPRODUCT((Inputs!$A$5:$A$110=$B22)*ISNUMBER(INDEX(Inputs!$K$5:$AJ$110,0,MATCH(Q$2,Inputs!$K$4:$AJ$4,0))))+SUMPRODUCT((Inputs!$C$5:$C$110=$B22)*ISNUMBER(INDEX(Inputs!$K$5:$AJ$110,0,MATCH(Q$2,Inputs!$K$4:$AJ$4,0))))+SUMPRODUCT((Inputs!$E$5:$E$110=$B22)*ISNUMBER(INDEX(Inputs!$K$5:$AJ$110,0,MATCH(Q$2,Inputs!$K$4:$AJ$4,0))))=0,NA(),SUMPRODUCT((Inputs!$A$5:$A$110=$B22)*Inputs!$B$5:$B$110*(((Inputs!$G$5:$G$110="moeda")+(Inputs!$G$5:$G$110="acoes"))*Inputs!$B$1+((Inputs!$G$5:$G$110&lt;&gt;"moeda")*(Inputs!$G$5:$G$110&lt;&gt;"acoes")))*INDEX(Inputs!$K$5:$AJ$110,0,MATCH(Q$2,Inputs!$K$4:$AJ$4,0)))+SUMPRODUCT((Inputs!$C$5:$C$110=$B22)*Inputs!$D$5:$D$110*(((Inputs!$G$5:$G$110="moeda")+(Inputs!$G$5:$G$110="acoes"))*Inputs!$B$1+((Inputs!$G$5:$G$110&lt;&gt;"moeda")*(Inputs!$G$5:$G$110&lt;&gt;"acoes")))*INDEX(Inputs!$K$5:$AJ$110,0,MATCH(Q$2,Inputs!$K$4:$AJ$4,0)))+SUMPRODUCT((Inputs!$E$5:$E$110=$B22)*Inputs!$F$5:$F$110*(((Inputs!$G$5:$G$110="moeda")+(Inputs!$G$5:$G$110="acoes"))*Inputs!$B$1+((Inputs!$G$5:$G$110&lt;&gt;"moeda")*(Inputs!$G$5:$G$110&lt;&gt;"acoes")))*INDEX(Inputs!$K$5:$AJ$110,0,MATCH(Q$2,Inputs!$K$4:$AJ$4,0)))))</f>
        <v>27168</v>
      </c>
      <c r="R22" s="268">
        <f>Q22</f>
        <v>27168</v>
      </c>
      <c r="S22" s="267">
        <f>IF(ISNA(MATCH(S$2,Inputs!$K$4:$AJ$4,0)),NA(),IF(SUMPRODUCT((Inputs!$A$5:$A$110=$B22)*ISNUMBER(INDEX(Inputs!$K$5:$AJ$110,0,MATCH(S$2,Inputs!$K$4:$AJ$4,0))))+SUMPRODUCT((Inputs!$C$5:$C$110=$B22)*ISNUMBER(INDEX(Inputs!$K$5:$AJ$110,0,MATCH(S$2,Inputs!$K$4:$AJ$4,0))))+SUMPRODUCT((Inputs!$E$5:$E$110=$B22)*ISNUMBER(INDEX(Inputs!$K$5:$AJ$110,0,MATCH(S$2,Inputs!$K$4:$AJ$4,0))))=0,NA(),SUMPRODUCT((Inputs!$A$5:$A$110=$B22)*Inputs!$B$5:$B$110*(((Inputs!$G$5:$G$110="moeda")+(Inputs!$G$5:$G$110="acoes"))*Inputs!$B$1+((Inputs!$G$5:$G$110&lt;&gt;"moeda")*(Inputs!$G$5:$G$110&lt;&gt;"acoes")))*INDEX(Inputs!$K$5:$AJ$110,0,MATCH(S$2,Inputs!$K$4:$AJ$4,0)))+SUMPRODUCT((Inputs!$C$5:$C$110=$B22)*Inputs!$D$5:$D$110*(((Inputs!$G$5:$G$110="moeda")+(Inputs!$G$5:$G$110="acoes"))*Inputs!$B$1+((Inputs!$G$5:$G$110&lt;&gt;"moeda")*(Inputs!$G$5:$G$110&lt;&gt;"acoes")))*INDEX(Inputs!$K$5:$AJ$110,0,MATCH(S$2,Inputs!$K$4:$AJ$4,0)))+SUMPRODUCT((Inputs!$E$5:$E$110=$B22)*Inputs!$F$5:$F$110*(((Inputs!$G$5:$G$110="moeda")+(Inputs!$G$5:$G$110="acoes"))*Inputs!$B$1+((Inputs!$G$5:$G$110&lt;&gt;"moeda")*(Inputs!$G$5:$G$110&lt;&gt;"acoes")))*INDEX(Inputs!$K$5:$AJ$110,0,MATCH(S$2,Inputs!$K$4:$AJ$4,0)))))</f>
        <v>27601</v>
      </c>
      <c r="T22" s="267">
        <f>IF(ISNA(MATCH(T$2,Inputs!$K$4:$AJ$4,0)),NA(),IF(SUMPRODUCT((Inputs!$A$5:$A$110=$B22)*ISNUMBER(INDEX(Inputs!$K$5:$AJ$110,0,MATCH(T$2,Inputs!$K$4:$AJ$4,0))))+SUMPRODUCT((Inputs!$C$5:$C$110=$B22)*ISNUMBER(INDEX(Inputs!$K$5:$AJ$110,0,MATCH(T$2,Inputs!$K$4:$AJ$4,0))))+SUMPRODUCT((Inputs!$E$5:$E$110=$B22)*ISNUMBER(INDEX(Inputs!$K$5:$AJ$110,0,MATCH(T$2,Inputs!$K$4:$AJ$4,0))))=0,NA(),SUMPRODUCT((Inputs!$A$5:$A$110=$B22)*Inputs!$B$5:$B$110*(((Inputs!$G$5:$G$110="moeda")+(Inputs!$G$5:$G$110="acoes"))*Inputs!$B$1+((Inputs!$G$5:$G$110&lt;&gt;"moeda")*(Inputs!$G$5:$G$110&lt;&gt;"acoes")))*INDEX(Inputs!$K$5:$AJ$110,0,MATCH(T$2,Inputs!$K$4:$AJ$4,0)))+SUMPRODUCT((Inputs!$C$5:$C$110=$B22)*Inputs!$D$5:$D$110*(((Inputs!$G$5:$G$110="moeda")+(Inputs!$G$5:$G$110="acoes"))*Inputs!$B$1+((Inputs!$G$5:$G$110&lt;&gt;"moeda")*(Inputs!$G$5:$G$110&lt;&gt;"acoes")))*INDEX(Inputs!$K$5:$AJ$110,0,MATCH(T$2,Inputs!$K$4:$AJ$4,0)))+SUMPRODUCT((Inputs!$E$5:$E$110=$B22)*Inputs!$F$5:$F$110*(((Inputs!$G$5:$G$110="moeda")+(Inputs!$G$5:$G$110="acoes"))*Inputs!$B$1+((Inputs!$G$5:$G$110&lt;&gt;"moeda")*(Inputs!$G$5:$G$110&lt;&gt;"acoes")))*INDEX(Inputs!$K$5:$AJ$110,0,MATCH(T$2,Inputs!$K$4:$AJ$4,0)))))</f>
        <v>28062</v>
      </c>
      <c r="U22" s="267">
        <f>IF(ISNA(MATCH(U$2,Inputs!$K$4:$AJ$4,0)),NA(),IF(SUMPRODUCT((Inputs!$A$5:$A$110=$B22)*ISNUMBER(INDEX(Inputs!$K$5:$AJ$110,0,MATCH(U$2,Inputs!$K$4:$AJ$4,0))))+SUMPRODUCT((Inputs!$C$5:$C$110=$B22)*ISNUMBER(INDEX(Inputs!$K$5:$AJ$110,0,MATCH(U$2,Inputs!$K$4:$AJ$4,0))))+SUMPRODUCT((Inputs!$E$5:$E$110=$B22)*ISNUMBER(INDEX(Inputs!$K$5:$AJ$110,0,MATCH(U$2,Inputs!$K$4:$AJ$4,0))))=0,NA(),SUMPRODUCT((Inputs!$A$5:$A$110=$B22)*Inputs!$B$5:$B$110*(((Inputs!$G$5:$G$110="moeda")+(Inputs!$G$5:$G$110="acoes"))*Inputs!$B$1+((Inputs!$G$5:$G$110&lt;&gt;"moeda")*(Inputs!$G$5:$G$110&lt;&gt;"acoes")))*INDEX(Inputs!$K$5:$AJ$110,0,MATCH(U$2,Inputs!$K$4:$AJ$4,0)))+SUMPRODUCT((Inputs!$C$5:$C$110=$B22)*Inputs!$D$5:$D$110*(((Inputs!$G$5:$G$110="moeda")+(Inputs!$G$5:$G$110="acoes"))*Inputs!$B$1+((Inputs!$G$5:$G$110&lt;&gt;"moeda")*(Inputs!$G$5:$G$110&lt;&gt;"acoes")))*INDEX(Inputs!$K$5:$AJ$110,0,MATCH(U$2,Inputs!$K$4:$AJ$4,0)))+SUMPRODUCT((Inputs!$E$5:$E$110=$B22)*Inputs!$F$5:$F$110*(((Inputs!$G$5:$G$110="moeda")+(Inputs!$G$5:$G$110="acoes"))*Inputs!$B$1+((Inputs!$G$5:$G$110&lt;&gt;"moeda")*(Inputs!$G$5:$G$110&lt;&gt;"acoes")))*INDEX(Inputs!$K$5:$AJ$110,0,MATCH(U$2,Inputs!$K$4:$AJ$4,0)))))</f>
        <v>29032</v>
      </c>
      <c r="V22" s="267">
        <f>IF(ISNA(MATCH(V$2,Inputs!$K$4:$AJ$4,0)),NA(),IF(SUMPRODUCT((Inputs!$A$5:$A$110=$B22)*ISNUMBER(INDEX(Inputs!$K$5:$AJ$110,0,MATCH(V$2,Inputs!$K$4:$AJ$4,0))))+SUMPRODUCT((Inputs!$C$5:$C$110=$B22)*ISNUMBER(INDEX(Inputs!$K$5:$AJ$110,0,MATCH(V$2,Inputs!$K$4:$AJ$4,0))))+SUMPRODUCT((Inputs!$E$5:$E$110=$B22)*ISNUMBER(INDEX(Inputs!$K$5:$AJ$110,0,MATCH(V$2,Inputs!$K$4:$AJ$4,0))))=0,NA(),SUMPRODUCT((Inputs!$A$5:$A$110=$B22)*Inputs!$B$5:$B$110*(((Inputs!$G$5:$G$110="moeda")+(Inputs!$G$5:$G$110="acoes"))*Inputs!$B$1+((Inputs!$G$5:$G$110&lt;&gt;"moeda")*(Inputs!$G$5:$G$110&lt;&gt;"acoes")))*INDEX(Inputs!$K$5:$AJ$110,0,MATCH(V$2,Inputs!$K$4:$AJ$4,0)))+SUMPRODUCT((Inputs!$C$5:$C$110=$B22)*Inputs!$D$5:$D$110*(((Inputs!$G$5:$G$110="moeda")+(Inputs!$G$5:$G$110="acoes"))*Inputs!$B$1+((Inputs!$G$5:$G$110&lt;&gt;"moeda")*(Inputs!$G$5:$G$110&lt;&gt;"acoes")))*INDEX(Inputs!$K$5:$AJ$110,0,MATCH(V$2,Inputs!$K$4:$AJ$4,0)))+SUMPRODUCT((Inputs!$E$5:$E$110=$B22)*Inputs!$F$5:$F$110*(((Inputs!$G$5:$G$110="moeda")+(Inputs!$G$5:$G$110="acoes"))*Inputs!$B$1+((Inputs!$G$5:$G$110&lt;&gt;"moeda")*(Inputs!$G$5:$G$110&lt;&gt;"acoes")))*INDEX(Inputs!$K$5:$AJ$110,0,MATCH(V$2,Inputs!$K$4:$AJ$4,0)))))</f>
        <v>29336</v>
      </c>
      <c r="W22" s="268">
        <f>V22</f>
        <v>29336</v>
      </c>
      <c r="X22" s="267">
        <f>IF(ISNA(MATCH(X$2,Inputs!$K$4:$AJ$4,0)),NA(),IF(SUMPRODUCT((Inputs!$A$5:$A$110=$B22)*ISNUMBER(INDEX(Inputs!$K$5:$AJ$110,0,MATCH(X$2,Inputs!$K$4:$AJ$4,0))))+SUMPRODUCT((Inputs!$C$5:$C$110=$B22)*ISNUMBER(INDEX(Inputs!$K$5:$AJ$110,0,MATCH(X$2,Inputs!$K$4:$AJ$4,0))))+SUMPRODUCT((Inputs!$E$5:$E$110=$B22)*ISNUMBER(INDEX(Inputs!$K$5:$AJ$110,0,MATCH(X$2,Inputs!$K$4:$AJ$4,0))))=0,NA(),SUMPRODUCT((Inputs!$A$5:$A$110=$B22)*Inputs!$B$5:$B$110*(((Inputs!$G$5:$G$110="moeda")+(Inputs!$G$5:$G$110="acoes"))*Inputs!$B$1+((Inputs!$G$5:$G$110&lt;&gt;"moeda")*(Inputs!$G$5:$G$110&lt;&gt;"acoes")))*INDEX(Inputs!$K$5:$AJ$110,0,MATCH(X$2,Inputs!$K$4:$AJ$4,0)))+SUMPRODUCT((Inputs!$C$5:$C$110=$B22)*Inputs!$D$5:$D$110*(((Inputs!$G$5:$G$110="moeda")+(Inputs!$G$5:$G$110="acoes"))*Inputs!$B$1+((Inputs!$G$5:$G$110&lt;&gt;"moeda")*(Inputs!$G$5:$G$110&lt;&gt;"acoes")))*INDEX(Inputs!$K$5:$AJ$110,0,MATCH(X$2,Inputs!$K$4:$AJ$4,0)))+SUMPRODUCT((Inputs!$E$5:$E$110=$B22)*Inputs!$F$5:$F$110*(((Inputs!$G$5:$G$110="moeda")+(Inputs!$G$5:$G$110="acoes"))*Inputs!$B$1+((Inputs!$G$5:$G$110&lt;&gt;"moeda")*(Inputs!$G$5:$G$110&lt;&gt;"acoes")))*INDEX(Inputs!$K$5:$AJ$110,0,MATCH(X$2,Inputs!$K$4:$AJ$4,0)))))</f>
        <v>29809</v>
      </c>
      <c r="Y22" s="267">
        <f>IF(ISNA(MATCH(Y$2,Inputs!$K$4:$AJ$4,0)),NA(),IF(SUMPRODUCT((Inputs!$A$5:$A$110=$B22)*ISNUMBER(INDEX(Inputs!$K$5:$AJ$110,0,MATCH(Y$2,Inputs!$K$4:$AJ$4,0))))+SUMPRODUCT((Inputs!$C$5:$C$110=$B22)*ISNUMBER(INDEX(Inputs!$K$5:$AJ$110,0,MATCH(Y$2,Inputs!$K$4:$AJ$4,0))))+SUMPRODUCT((Inputs!$E$5:$E$110=$B22)*ISNUMBER(INDEX(Inputs!$K$5:$AJ$110,0,MATCH(Y$2,Inputs!$K$4:$AJ$4,0))))=0,NA(),SUMPRODUCT((Inputs!$A$5:$A$110=$B22)*Inputs!$B$5:$B$110*(((Inputs!$G$5:$G$110="moeda")+(Inputs!$G$5:$G$110="acoes"))*Inputs!$B$1+((Inputs!$G$5:$G$110&lt;&gt;"moeda")*(Inputs!$G$5:$G$110&lt;&gt;"acoes")))*INDEX(Inputs!$K$5:$AJ$110,0,MATCH(Y$2,Inputs!$K$4:$AJ$4,0)))+SUMPRODUCT((Inputs!$C$5:$C$110=$B22)*Inputs!$D$5:$D$110*(((Inputs!$G$5:$G$110="moeda")+(Inputs!$G$5:$G$110="acoes"))*Inputs!$B$1+((Inputs!$G$5:$G$110&lt;&gt;"moeda")*(Inputs!$G$5:$G$110&lt;&gt;"acoes")))*INDEX(Inputs!$K$5:$AJ$110,0,MATCH(Y$2,Inputs!$K$4:$AJ$4,0)))+SUMPRODUCT((Inputs!$E$5:$E$110=$B22)*Inputs!$F$5:$F$110*(((Inputs!$G$5:$G$110="moeda")+(Inputs!$G$5:$G$110="acoes"))*Inputs!$B$1+((Inputs!$G$5:$G$110&lt;&gt;"moeda")*(Inputs!$G$5:$G$110&lt;&gt;"acoes")))*INDEX(Inputs!$K$5:$AJ$110,0,MATCH(Y$2,Inputs!$K$4:$AJ$4,0)))))</f>
        <v>30582</v>
      </c>
      <c r="Z22" s="267">
        <f>IF(ISNA(MATCH(Z$2,Inputs!$K$4:$AJ$4,0)),NA(),IF(SUMPRODUCT((Inputs!$A$5:$A$110=$B22)*ISNUMBER(INDEX(Inputs!$K$5:$AJ$110,0,MATCH(Z$2,Inputs!$K$4:$AJ$4,0))))+SUMPRODUCT((Inputs!$C$5:$C$110=$B22)*ISNUMBER(INDEX(Inputs!$K$5:$AJ$110,0,MATCH(Z$2,Inputs!$K$4:$AJ$4,0))))+SUMPRODUCT((Inputs!$E$5:$E$110=$B22)*ISNUMBER(INDEX(Inputs!$K$5:$AJ$110,0,MATCH(Z$2,Inputs!$K$4:$AJ$4,0))))=0,NA(),SUMPRODUCT((Inputs!$A$5:$A$110=$B22)*Inputs!$B$5:$B$110*(((Inputs!$G$5:$G$110="moeda")+(Inputs!$G$5:$G$110="acoes"))*Inputs!$B$1+((Inputs!$G$5:$G$110&lt;&gt;"moeda")*(Inputs!$G$5:$G$110&lt;&gt;"acoes")))*INDEX(Inputs!$K$5:$AJ$110,0,MATCH(Z$2,Inputs!$K$4:$AJ$4,0)))+SUMPRODUCT((Inputs!$C$5:$C$110=$B22)*Inputs!$D$5:$D$110*(((Inputs!$G$5:$G$110="moeda")+(Inputs!$G$5:$G$110="acoes"))*Inputs!$B$1+((Inputs!$G$5:$G$110&lt;&gt;"moeda")*(Inputs!$G$5:$G$110&lt;&gt;"acoes")))*INDEX(Inputs!$K$5:$AJ$110,0,MATCH(Z$2,Inputs!$K$4:$AJ$4,0)))+SUMPRODUCT((Inputs!$E$5:$E$110=$B22)*Inputs!$F$5:$F$110*(((Inputs!$G$5:$G$110="moeda")+(Inputs!$G$5:$G$110="acoes"))*Inputs!$B$1+((Inputs!$G$5:$G$110&lt;&gt;"moeda")*(Inputs!$G$5:$G$110&lt;&gt;"acoes")))*INDEX(Inputs!$K$5:$AJ$110,0,MATCH(Z$2,Inputs!$K$4:$AJ$4,0)))))</f>
        <v>31909</v>
      </c>
      <c r="AA22" s="267">
        <f>IF(ISNA(MATCH(AA$2,Inputs!$K$4:$AJ$4,0)),NA(),IF(SUMPRODUCT((Inputs!$A$5:$A$110=$B22)*ISNUMBER(INDEX(Inputs!$K$5:$AJ$110,0,MATCH(AA$2,Inputs!$K$4:$AJ$4,0))))+SUMPRODUCT((Inputs!$C$5:$C$110=$B22)*ISNUMBER(INDEX(Inputs!$K$5:$AJ$110,0,MATCH(AA$2,Inputs!$K$4:$AJ$4,0))))+SUMPRODUCT((Inputs!$E$5:$E$110=$B22)*ISNUMBER(INDEX(Inputs!$K$5:$AJ$110,0,MATCH(AA$2,Inputs!$K$4:$AJ$4,0))))=0,NA(),SUMPRODUCT((Inputs!$A$5:$A$110=$B22)*Inputs!$B$5:$B$110*(((Inputs!$G$5:$G$110="moeda")+(Inputs!$G$5:$G$110="acoes"))*Inputs!$B$1+((Inputs!$G$5:$G$110&lt;&gt;"moeda")*(Inputs!$G$5:$G$110&lt;&gt;"acoes")))*INDEX(Inputs!$K$5:$AJ$110,0,MATCH(AA$2,Inputs!$K$4:$AJ$4,0)))+SUMPRODUCT((Inputs!$C$5:$C$110=$B22)*Inputs!$D$5:$D$110*(((Inputs!$G$5:$G$110="moeda")+(Inputs!$G$5:$G$110="acoes"))*Inputs!$B$1+((Inputs!$G$5:$G$110&lt;&gt;"moeda")*(Inputs!$G$5:$G$110&lt;&gt;"acoes")))*INDEX(Inputs!$K$5:$AJ$110,0,MATCH(AA$2,Inputs!$K$4:$AJ$4,0)))+SUMPRODUCT((Inputs!$E$5:$E$110=$B22)*Inputs!$F$5:$F$110*(((Inputs!$G$5:$G$110="moeda")+(Inputs!$G$5:$G$110="acoes"))*Inputs!$B$1+((Inputs!$G$5:$G$110&lt;&gt;"moeda")*(Inputs!$G$5:$G$110&lt;&gt;"acoes")))*INDEX(Inputs!$K$5:$AJ$110,0,MATCH(AA$2,Inputs!$K$4:$AJ$4,0)))))</f>
        <v>32616</v>
      </c>
      <c r="AB22" s="268">
        <f>AA22</f>
        <v>32616</v>
      </c>
      <c r="AC22" s="267">
        <f>IF(ISNA(MATCH(AC$2,Inputs!$K$4:$AJ$4,0)),NA(),IF(SUMPRODUCT((Inputs!$A$5:$A$110=$B22)*ISNUMBER(INDEX(Inputs!$K$5:$AJ$110,0,MATCH(AC$2,Inputs!$K$4:$AJ$4,0))))+SUMPRODUCT((Inputs!$C$5:$C$110=$B22)*ISNUMBER(INDEX(Inputs!$K$5:$AJ$110,0,MATCH(AC$2,Inputs!$K$4:$AJ$4,0))))+SUMPRODUCT((Inputs!$E$5:$E$110=$B22)*ISNUMBER(INDEX(Inputs!$K$5:$AJ$110,0,MATCH(AC$2,Inputs!$K$4:$AJ$4,0))))=0,NA(),SUMPRODUCT((Inputs!$A$5:$A$110=$B22)*Inputs!$B$5:$B$110*(((Inputs!$G$5:$G$110="moeda")+(Inputs!$G$5:$G$110="acoes"))*Inputs!$B$1+((Inputs!$G$5:$G$110&lt;&gt;"moeda")*(Inputs!$G$5:$G$110&lt;&gt;"acoes")))*INDEX(Inputs!$K$5:$AJ$110,0,MATCH(AC$2,Inputs!$K$4:$AJ$4,0)))+SUMPRODUCT((Inputs!$C$5:$C$110=$B22)*Inputs!$D$5:$D$110*(((Inputs!$G$5:$G$110="moeda")+(Inputs!$G$5:$G$110="acoes"))*Inputs!$B$1+((Inputs!$G$5:$G$110&lt;&gt;"moeda")*(Inputs!$G$5:$G$110&lt;&gt;"acoes")))*INDEX(Inputs!$K$5:$AJ$110,0,MATCH(AC$2,Inputs!$K$4:$AJ$4,0)))+SUMPRODUCT((Inputs!$E$5:$E$110=$B22)*Inputs!$F$5:$F$110*(((Inputs!$G$5:$G$110="moeda")+(Inputs!$G$5:$G$110="acoes"))*Inputs!$B$1+((Inputs!$G$5:$G$110&lt;&gt;"moeda")*(Inputs!$G$5:$G$110&lt;&gt;"acoes")))*INDEX(Inputs!$K$5:$AJ$110,0,MATCH(AC$2,Inputs!$K$4:$AJ$4,0)))))</f>
        <v>33645</v>
      </c>
      <c r="AD22" s="267">
        <f>IF(ISNA(MATCH(AD$2,Inputs!$K$4:$AJ$4,0)),NA(),IF(SUMPRODUCT((Inputs!$A$5:$A$110=$B22)*ISNUMBER(INDEX(Inputs!$K$5:$AJ$110,0,MATCH(AD$2,Inputs!$K$4:$AJ$4,0))))+SUMPRODUCT((Inputs!$C$5:$C$110=$B22)*ISNUMBER(INDEX(Inputs!$K$5:$AJ$110,0,MATCH(AD$2,Inputs!$K$4:$AJ$4,0))))+SUMPRODUCT((Inputs!$E$5:$E$110=$B22)*ISNUMBER(INDEX(Inputs!$K$5:$AJ$110,0,MATCH(AD$2,Inputs!$K$4:$AJ$4,0))))=0,NA(),SUMPRODUCT((Inputs!$A$5:$A$110=$B22)*Inputs!$B$5:$B$110*(((Inputs!$G$5:$G$110="moeda")+(Inputs!$G$5:$G$110="acoes"))*Inputs!$B$1+((Inputs!$G$5:$G$110&lt;&gt;"moeda")*(Inputs!$G$5:$G$110&lt;&gt;"acoes")))*INDEX(Inputs!$K$5:$AJ$110,0,MATCH(AD$2,Inputs!$K$4:$AJ$4,0)))+SUMPRODUCT((Inputs!$C$5:$C$110=$B22)*Inputs!$D$5:$D$110*(((Inputs!$G$5:$G$110="moeda")+(Inputs!$G$5:$G$110="acoes"))*Inputs!$B$1+((Inputs!$G$5:$G$110&lt;&gt;"moeda")*(Inputs!$G$5:$G$110&lt;&gt;"acoes")))*INDEX(Inputs!$K$5:$AJ$110,0,MATCH(AD$2,Inputs!$K$4:$AJ$4,0)))+SUMPRODUCT((Inputs!$E$5:$E$110=$B22)*Inputs!$F$5:$F$110*(((Inputs!$G$5:$G$110="moeda")+(Inputs!$G$5:$G$110="acoes"))*Inputs!$B$1+((Inputs!$G$5:$G$110&lt;&gt;"moeda")*(Inputs!$G$5:$G$110&lt;&gt;"acoes")))*INDEX(Inputs!$K$5:$AJ$110,0,MATCH(AD$2,Inputs!$K$4:$AJ$4,0)))))</f>
        <v>34293</v>
      </c>
      <c r="AE22" s="267" t="e">
        <f>IF(ISNA(MATCH(AE$2,Inputs!$K$4:$AJ$4,0)),NA(),IF(SUMPRODUCT((Inputs!$A$5:$A$110=$B22)*ISNUMBER(INDEX(Inputs!$K$5:$AJ$110,0,MATCH(AE$2,Inputs!$K$4:$AJ$4,0))))+SUMPRODUCT((Inputs!$C$5:$C$110=$B22)*ISNUMBER(INDEX(Inputs!$K$5:$AJ$110,0,MATCH(AE$2,Inputs!$K$4:$AJ$4,0))))+SUMPRODUCT((Inputs!$E$5:$E$110=$B22)*ISNUMBER(INDEX(Inputs!$K$5:$AJ$110,0,MATCH(AE$2,Inputs!$K$4:$AJ$4,0))))=0,NA(),SUMPRODUCT((Inputs!$A$5:$A$110=$B22)*Inputs!$B$5:$B$110*(((Inputs!$G$5:$G$110="moeda")+(Inputs!$G$5:$G$110="acoes"))*Inputs!$B$1+((Inputs!$G$5:$G$110&lt;&gt;"moeda")*(Inputs!$G$5:$G$110&lt;&gt;"acoes")))*INDEX(Inputs!$K$5:$AJ$110,0,MATCH(AE$2,Inputs!$K$4:$AJ$4,0)))+SUMPRODUCT((Inputs!$C$5:$C$110=$B22)*Inputs!$D$5:$D$110*(((Inputs!$G$5:$G$110="moeda")+(Inputs!$G$5:$G$110="acoes"))*Inputs!$B$1+((Inputs!$G$5:$G$110&lt;&gt;"moeda")*(Inputs!$G$5:$G$110&lt;&gt;"acoes")))*INDEX(Inputs!$K$5:$AJ$110,0,MATCH(AE$2,Inputs!$K$4:$AJ$4,0)))+SUMPRODUCT((Inputs!$E$5:$E$110=$B22)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2" s="267" t="e">
        <f>IF(ISNA(MATCH(AF$2,Inputs!$K$4:$AJ$4,0)),NA(),IF(SUMPRODUCT((Inputs!$A$5:$A$110=$B22)*ISNUMBER(INDEX(Inputs!$K$5:$AJ$110,0,MATCH(AF$2,Inputs!$K$4:$AJ$4,0))))+SUMPRODUCT((Inputs!$C$5:$C$110=$B22)*ISNUMBER(INDEX(Inputs!$K$5:$AJ$110,0,MATCH(AF$2,Inputs!$K$4:$AJ$4,0))))+SUMPRODUCT((Inputs!$E$5:$E$110=$B22)*ISNUMBER(INDEX(Inputs!$K$5:$AJ$110,0,MATCH(AF$2,Inputs!$K$4:$AJ$4,0))))=0,NA(),SUMPRODUCT((Inputs!$A$5:$A$110=$B22)*Inputs!$B$5:$B$110*(((Inputs!$G$5:$G$110="moeda")+(Inputs!$G$5:$G$110="acoes"))*Inputs!$B$1+((Inputs!$G$5:$G$110&lt;&gt;"moeda")*(Inputs!$G$5:$G$110&lt;&gt;"acoes")))*INDEX(Inputs!$K$5:$AJ$110,0,MATCH(AF$2,Inputs!$K$4:$AJ$4,0)))+SUMPRODUCT((Inputs!$C$5:$C$110=$B22)*Inputs!$D$5:$D$110*(((Inputs!$G$5:$G$110="moeda")+(Inputs!$G$5:$G$110="acoes"))*Inputs!$B$1+((Inputs!$G$5:$G$110&lt;&gt;"moeda")*(Inputs!$G$5:$G$110&lt;&gt;"acoes")))*INDEX(Inputs!$K$5:$AJ$110,0,MATCH(AF$2,Inputs!$K$4:$AJ$4,0)))+SUMPRODUCT((Inputs!$E$5:$E$110=$B22)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2" s="268" t="e">
        <f>AF22</f>
        <v>#N/A</v>
      </c>
      <c r="AH22" s="267">
        <f>IF(ISNA(MATCH(AH$2,Inputs!$K$4:$AJ$4,0)),NA(),IF(SUMPRODUCT((Inputs!$A$5:$A$110=$B22)*ISNUMBER(INDEX(Inputs!$K$5:$AJ$110,0,MATCH(AH$2,Inputs!$K$4:$AJ$4,0))))+SUMPRODUCT((Inputs!$C$5:$C$110=$B22)*ISNUMBER(INDEX(Inputs!$K$5:$AJ$110,0,MATCH(AH$2,Inputs!$K$4:$AJ$4,0))))+SUMPRODUCT((Inputs!$E$5:$E$110=$B22)*ISNUMBER(INDEX(Inputs!$K$5:$AJ$110,0,MATCH(AH$2,Inputs!$K$4:$AJ$4,0))))=0,NA(),SUMPRODUCT((Inputs!$A$5:$A$110=$B22)*Inputs!$B$5:$B$110*(((Inputs!$G$5:$G$110="moeda")+(Inputs!$G$5:$G$110="acoes"))*Inputs!$B$1+((Inputs!$G$5:$G$110&lt;&gt;"moeda")*(Inputs!$G$5:$G$110&lt;&gt;"acoes")))*INDEX(Inputs!$K$5:$AJ$110,0,MATCH(AH$2,Inputs!$K$4:$AJ$4,0)))+SUMPRODUCT((Inputs!$C$5:$C$110=$B22)*Inputs!$D$5:$D$110*(((Inputs!$G$5:$G$110="moeda")+(Inputs!$G$5:$G$110="acoes"))*Inputs!$B$1+((Inputs!$G$5:$G$110&lt;&gt;"moeda")*(Inputs!$G$5:$G$110&lt;&gt;"acoes")))*INDEX(Inputs!$K$5:$AJ$110,0,MATCH(AH$2,Inputs!$K$4:$AJ$4,0)))+SUMPRODUCT((Inputs!$E$5:$E$110=$B22)*Inputs!$F$5:$F$110*(((Inputs!$G$5:$G$110="moeda")+(Inputs!$G$5:$G$110="acoes"))*Inputs!$B$1+((Inputs!$G$5:$G$110&lt;&gt;"moeda")*(Inputs!$G$5:$G$110&lt;&gt;"acoes")))*INDEX(Inputs!$K$5:$AJ$110,0,MATCH(AH$2,Inputs!$K$4:$AJ$4,0)))))</f>
        <v>21481</v>
      </c>
      <c r="AI22" s="267">
        <f>IF(ISNA(MATCH(AI$2,Inputs!$K$4:$AJ$4,0)),NA(),IF(SUMPRODUCT((Inputs!$A$5:$A$110=$B22)*ISNUMBER(INDEX(Inputs!$K$5:$AJ$110,0,MATCH(AI$2,Inputs!$K$4:$AJ$4,0))))+SUMPRODUCT((Inputs!$C$5:$C$110=$B22)*ISNUMBER(INDEX(Inputs!$K$5:$AJ$110,0,MATCH(AI$2,Inputs!$K$4:$AJ$4,0))))+SUMPRODUCT((Inputs!$E$5:$E$110=$B22)*ISNUMBER(INDEX(Inputs!$K$5:$AJ$110,0,MATCH(AI$2,Inputs!$K$4:$AJ$4,0))))=0,NA(),SUMPRODUCT((Inputs!$A$5:$A$110=$B22)*Inputs!$B$5:$B$110*(((Inputs!$G$5:$G$110="moeda")+(Inputs!$G$5:$G$110="acoes"))*Inputs!$B$1+((Inputs!$G$5:$G$110&lt;&gt;"moeda")*(Inputs!$G$5:$G$110&lt;&gt;"acoes")))*INDEX(Inputs!$K$5:$AJ$110,0,MATCH(AI$2,Inputs!$K$4:$AJ$4,0)))+SUMPRODUCT((Inputs!$C$5:$C$110=$B22)*Inputs!$D$5:$D$110*(((Inputs!$G$5:$G$110="moeda")+(Inputs!$G$5:$G$110="acoes"))*Inputs!$B$1+((Inputs!$G$5:$G$110&lt;&gt;"moeda")*(Inputs!$G$5:$G$110&lt;&gt;"acoes")))*INDEX(Inputs!$K$5:$AJ$110,0,MATCH(AI$2,Inputs!$K$4:$AJ$4,0)))+SUMPRODUCT((Inputs!$E$5:$E$110=$B22)*Inputs!$F$5:$F$110*(((Inputs!$G$5:$G$110="moeda")+(Inputs!$G$5:$G$110="acoes"))*Inputs!$B$1+((Inputs!$G$5:$G$110&lt;&gt;"moeda")*(Inputs!$G$5:$G$110&lt;&gt;"acoes")))*INDEX(Inputs!$K$5:$AJ$110,0,MATCH(AI$2,Inputs!$K$4:$AJ$4,0)))))</f>
        <v>21527</v>
      </c>
      <c r="AJ22" s="267">
        <f>IF(ISNA(MATCH(AJ$2,Inputs!$K$4:$AJ$4,0)),NA(),IF(SUMPRODUCT((Inputs!$A$5:$A$110=$B22)*ISNUMBER(INDEX(Inputs!$K$5:$AJ$110,0,MATCH(AJ$2,Inputs!$K$4:$AJ$4,0))))+SUMPRODUCT((Inputs!$C$5:$C$110=$B22)*ISNUMBER(INDEX(Inputs!$K$5:$AJ$110,0,MATCH(AJ$2,Inputs!$K$4:$AJ$4,0))))+SUMPRODUCT((Inputs!$E$5:$E$110=$B22)*ISNUMBER(INDEX(Inputs!$K$5:$AJ$110,0,MATCH(AJ$2,Inputs!$K$4:$AJ$4,0))))=0,NA(),SUMPRODUCT((Inputs!$A$5:$A$110=$B22)*Inputs!$B$5:$B$110*(((Inputs!$G$5:$G$110="moeda")+(Inputs!$G$5:$G$110="acoes"))*Inputs!$B$1+((Inputs!$G$5:$G$110&lt;&gt;"moeda")*(Inputs!$G$5:$G$110&lt;&gt;"acoes")))*INDEX(Inputs!$K$5:$AJ$110,0,MATCH(AJ$2,Inputs!$K$4:$AJ$4,0)))+SUMPRODUCT((Inputs!$C$5:$C$110=$B22)*Inputs!$D$5:$D$110*(((Inputs!$G$5:$G$110="moeda")+(Inputs!$G$5:$G$110="acoes"))*Inputs!$B$1+((Inputs!$G$5:$G$110&lt;&gt;"moeda")*(Inputs!$G$5:$G$110&lt;&gt;"acoes")))*INDEX(Inputs!$K$5:$AJ$110,0,MATCH(AJ$2,Inputs!$K$4:$AJ$4,0)))+SUMPRODUCT((Inputs!$E$5:$E$110=$B22)*Inputs!$F$5:$F$110*(((Inputs!$G$5:$G$110="moeda")+(Inputs!$G$5:$G$110="acoes"))*Inputs!$B$1+((Inputs!$G$5:$G$110&lt;&gt;"moeda")*(Inputs!$G$5:$G$110&lt;&gt;"acoes")))*INDEX(Inputs!$K$5:$AJ$110,0,MATCH(AJ$2,Inputs!$K$4:$AJ$4,0)))))</f>
        <v>21807</v>
      </c>
      <c r="AK22" s="267">
        <f>IF(ISNA(MATCH(AK$2,Inputs!$K$4:$AJ$4,0)),NA(),IF(SUMPRODUCT((Inputs!$A$5:$A$110=$B22)*ISNUMBER(INDEX(Inputs!$K$5:$AJ$110,0,MATCH(AK$2,Inputs!$K$4:$AJ$4,0))))+SUMPRODUCT((Inputs!$C$5:$C$110=$B22)*ISNUMBER(INDEX(Inputs!$K$5:$AJ$110,0,MATCH(AK$2,Inputs!$K$4:$AJ$4,0))))+SUMPRODUCT((Inputs!$E$5:$E$110=$B22)*ISNUMBER(INDEX(Inputs!$K$5:$AJ$110,0,MATCH(AK$2,Inputs!$K$4:$AJ$4,0))))=0,NA(),SUMPRODUCT((Inputs!$A$5:$A$110=$B22)*Inputs!$B$5:$B$110*(((Inputs!$G$5:$G$110="moeda")+(Inputs!$G$5:$G$110="acoes"))*Inputs!$B$1+((Inputs!$G$5:$G$110&lt;&gt;"moeda")*(Inputs!$G$5:$G$110&lt;&gt;"acoes")))*INDEX(Inputs!$K$5:$AJ$110,0,MATCH(AK$2,Inputs!$K$4:$AJ$4,0)))+SUMPRODUCT((Inputs!$C$5:$C$110=$B22)*Inputs!$D$5:$D$110*(((Inputs!$G$5:$G$110="moeda")+(Inputs!$G$5:$G$110="acoes"))*Inputs!$B$1+((Inputs!$G$5:$G$110&lt;&gt;"moeda")*(Inputs!$G$5:$G$110&lt;&gt;"acoes")))*INDEX(Inputs!$K$5:$AJ$110,0,MATCH(AK$2,Inputs!$K$4:$AJ$4,0)))+SUMPRODUCT((Inputs!$E$5:$E$110=$B22)*Inputs!$F$5:$F$110*(((Inputs!$G$5:$G$110="moeda")+(Inputs!$G$5:$G$110="acoes"))*Inputs!$B$1+((Inputs!$G$5:$G$110&lt;&gt;"moeda")*(Inputs!$G$5:$G$110&lt;&gt;"acoes")))*INDEX(Inputs!$K$5:$AJ$110,0,MATCH(AK$2,Inputs!$K$4:$AJ$4,0)))))</f>
        <v>22288</v>
      </c>
      <c r="AL22" s="268">
        <f>AK22</f>
        <v>22288</v>
      </c>
    </row>
    <row r="23" ht="12.75" customHeight="1" s="255">
      <c r="B23" s="265" t="n">
        <v>19</v>
      </c>
      <c r="C23" s="270" t="inlineStr">
        <is>
          <t>Right-of-use-assets</t>
        </is>
      </c>
      <c r="D23" s="267">
        <f>IF(ISNA(MATCH(D$2,Inputs!$K$4:$AJ$4,0)),NA(),IF(SUMPRODUCT((Inputs!$A$5:$A$110=$B23)*ISNUMBER(INDEX(Inputs!$K$5:$AJ$110,0,MATCH(D$2,Inputs!$K$4:$AJ$4,0))))+SUMPRODUCT((Inputs!$C$5:$C$110=$B23)*ISNUMBER(INDEX(Inputs!$K$5:$AJ$110,0,MATCH(D$2,Inputs!$K$4:$AJ$4,0))))+SUMPRODUCT((Inputs!$E$5:$E$110=$B23)*ISNUMBER(INDEX(Inputs!$K$5:$AJ$110,0,MATCH(D$2,Inputs!$K$4:$AJ$4,0))))=0,NA(),SUMPRODUCT((Inputs!$A$5:$A$110=$B23)*Inputs!$B$5:$B$110*(((Inputs!$G$5:$G$110="moeda")+(Inputs!$G$5:$G$110="acoes"))*Inputs!$B$1+((Inputs!$G$5:$G$110&lt;&gt;"moeda")*(Inputs!$G$5:$G$110&lt;&gt;"acoes")))*INDEX(Inputs!$K$5:$AJ$110,0,MATCH(D$2,Inputs!$K$4:$AJ$4,0)))+SUMPRODUCT((Inputs!$C$5:$C$110=$B23)*Inputs!$D$5:$D$110*(((Inputs!$G$5:$G$110="moeda")+(Inputs!$G$5:$G$110="acoes"))*Inputs!$B$1+((Inputs!$G$5:$G$110&lt;&gt;"moeda")*(Inputs!$G$5:$G$110&lt;&gt;"acoes")))*INDEX(Inputs!$K$5:$AJ$110,0,MATCH(D$2,Inputs!$K$4:$AJ$4,0)))+SUMPRODUCT((Inputs!$E$5:$E$110=$B23)*Inputs!$F$5:$F$110*(((Inputs!$G$5:$G$110="moeda")+(Inputs!$G$5:$G$110="acoes"))*Inputs!$B$1+((Inputs!$G$5:$G$110&lt;&gt;"moeda")*(Inputs!$G$5:$G$110&lt;&gt;"acoes")))*INDEX(Inputs!$K$5:$AJ$110,0,MATCH(D$2,Inputs!$K$4:$AJ$4,0)))))</f>
        <v>2887</v>
      </c>
      <c r="E23" s="267">
        <f>IF(ISNA(MATCH(E$2,Inputs!$K$4:$AJ$4,0)),NA(),IF(SUMPRODUCT((Inputs!$A$5:$A$110=$B23)*ISNUMBER(INDEX(Inputs!$K$5:$AJ$110,0,MATCH(E$2,Inputs!$K$4:$AJ$4,0))))+SUMPRODUCT((Inputs!$C$5:$C$110=$B23)*ISNUMBER(INDEX(Inputs!$K$5:$AJ$110,0,MATCH(E$2,Inputs!$K$4:$AJ$4,0))))+SUMPRODUCT((Inputs!$E$5:$E$110=$B23)*ISNUMBER(INDEX(Inputs!$K$5:$AJ$110,0,MATCH(E$2,Inputs!$K$4:$AJ$4,0))))=0,NA(),SUMPRODUCT((Inputs!$A$5:$A$110=$B23)*Inputs!$B$5:$B$110*(((Inputs!$G$5:$G$110="moeda")+(Inputs!$G$5:$G$110="acoes"))*Inputs!$B$1+((Inputs!$G$5:$G$110&lt;&gt;"moeda")*(Inputs!$G$5:$G$110&lt;&gt;"acoes")))*INDEX(Inputs!$K$5:$AJ$110,0,MATCH(E$2,Inputs!$K$4:$AJ$4,0)))+SUMPRODUCT((Inputs!$C$5:$C$110=$B23)*Inputs!$D$5:$D$110*(((Inputs!$G$5:$G$110="moeda")+(Inputs!$G$5:$G$110="acoes"))*Inputs!$B$1+((Inputs!$G$5:$G$110&lt;&gt;"moeda")*(Inputs!$G$5:$G$110&lt;&gt;"acoes")))*INDEX(Inputs!$K$5:$AJ$110,0,MATCH(E$2,Inputs!$K$4:$AJ$4,0)))+SUMPRODUCT((Inputs!$E$5:$E$110=$B23)*Inputs!$F$5:$F$110*(((Inputs!$G$5:$G$110="moeda")+(Inputs!$G$5:$G$110="acoes"))*Inputs!$B$1+((Inputs!$G$5:$G$110&lt;&gt;"moeda")*(Inputs!$G$5:$G$110&lt;&gt;"acoes")))*INDEX(Inputs!$K$5:$AJ$110,0,MATCH(E$2,Inputs!$K$4:$AJ$4,0)))))</f>
        <v>2875</v>
      </c>
      <c r="F23" s="267">
        <f>IF(ISNA(MATCH(F$2,Inputs!$K$4:$AJ$4,0)),NA(),IF(SUMPRODUCT((Inputs!$A$5:$A$110=$B23)*ISNUMBER(INDEX(Inputs!$K$5:$AJ$110,0,MATCH(F$2,Inputs!$K$4:$AJ$4,0))))+SUMPRODUCT((Inputs!$C$5:$C$110=$B23)*ISNUMBER(INDEX(Inputs!$K$5:$AJ$110,0,MATCH(F$2,Inputs!$K$4:$AJ$4,0))))+SUMPRODUCT((Inputs!$E$5:$E$110=$B23)*ISNUMBER(INDEX(Inputs!$K$5:$AJ$110,0,MATCH(F$2,Inputs!$K$4:$AJ$4,0))))=0,NA(),SUMPRODUCT((Inputs!$A$5:$A$110=$B23)*Inputs!$B$5:$B$110*(((Inputs!$G$5:$G$110="moeda")+(Inputs!$G$5:$G$110="acoes"))*Inputs!$B$1+((Inputs!$G$5:$G$110&lt;&gt;"moeda")*(Inputs!$G$5:$G$110&lt;&gt;"acoes")))*INDEX(Inputs!$K$5:$AJ$110,0,MATCH(F$2,Inputs!$K$4:$AJ$4,0)))+SUMPRODUCT((Inputs!$C$5:$C$110=$B23)*Inputs!$D$5:$D$110*(((Inputs!$G$5:$G$110="moeda")+(Inputs!$G$5:$G$110="acoes"))*Inputs!$B$1+((Inputs!$G$5:$G$110&lt;&gt;"moeda")*(Inputs!$G$5:$G$110&lt;&gt;"acoes")))*INDEX(Inputs!$K$5:$AJ$110,0,MATCH(F$2,Inputs!$K$4:$AJ$4,0)))+SUMPRODUCT((Inputs!$E$5:$E$110=$B23)*Inputs!$F$5:$F$110*(((Inputs!$G$5:$G$110="moeda")+(Inputs!$G$5:$G$110="acoes"))*Inputs!$B$1+((Inputs!$G$5:$G$110&lt;&gt;"moeda")*(Inputs!$G$5:$G$110&lt;&gt;"acoes")))*INDEX(Inputs!$K$5:$AJ$110,0,MATCH(F$2,Inputs!$K$4:$AJ$4,0)))))</f>
        <v>2890</v>
      </c>
      <c r="G23" s="267">
        <f>IF(ISNA(MATCH(G$2,Inputs!$K$4:$AJ$4,0)),NA(),IF(SUMPRODUCT((Inputs!$A$5:$A$110=$B23)*ISNUMBER(INDEX(Inputs!$K$5:$AJ$110,0,MATCH(G$2,Inputs!$K$4:$AJ$4,0))))+SUMPRODUCT((Inputs!$C$5:$C$110=$B23)*ISNUMBER(INDEX(Inputs!$K$5:$AJ$110,0,MATCH(G$2,Inputs!$K$4:$AJ$4,0))))+SUMPRODUCT((Inputs!$E$5:$E$110=$B23)*ISNUMBER(INDEX(Inputs!$K$5:$AJ$110,0,MATCH(G$2,Inputs!$K$4:$AJ$4,0))))=0,NA(),SUMPRODUCT((Inputs!$A$5:$A$110=$B23)*Inputs!$B$5:$B$110*(((Inputs!$G$5:$G$110="moeda")+(Inputs!$G$5:$G$110="acoes"))*Inputs!$B$1+((Inputs!$G$5:$G$110&lt;&gt;"moeda")*(Inputs!$G$5:$G$110&lt;&gt;"acoes")))*INDEX(Inputs!$K$5:$AJ$110,0,MATCH(G$2,Inputs!$K$4:$AJ$4,0)))+SUMPRODUCT((Inputs!$C$5:$C$110=$B23)*Inputs!$D$5:$D$110*(((Inputs!$G$5:$G$110="moeda")+(Inputs!$G$5:$G$110="acoes"))*Inputs!$B$1+((Inputs!$G$5:$G$110&lt;&gt;"moeda")*(Inputs!$G$5:$G$110&lt;&gt;"acoes")))*INDEX(Inputs!$K$5:$AJ$110,0,MATCH(G$2,Inputs!$K$4:$AJ$4,0)))+SUMPRODUCT((Inputs!$E$5:$E$110=$B23)*Inputs!$F$5:$F$110*(((Inputs!$G$5:$G$110="moeda")+(Inputs!$G$5:$G$110="acoes"))*Inputs!$B$1+((Inputs!$G$5:$G$110&lt;&gt;"moeda")*(Inputs!$G$5:$G$110&lt;&gt;"acoes")))*INDEX(Inputs!$K$5:$AJ$110,0,MATCH(G$2,Inputs!$K$4:$AJ$4,0)))))</f>
        <v>2903</v>
      </c>
      <c r="H23" s="268">
        <f>G23</f>
        <v>2903</v>
      </c>
      <c r="I23" s="267">
        <f>IF(ISNA(MATCH(I$2,Inputs!$K$4:$AJ$4,0)),NA(),IF(SUMPRODUCT((Inputs!$A$5:$A$110=$B23)*ISNUMBER(INDEX(Inputs!$K$5:$AJ$110,0,MATCH(I$2,Inputs!$K$4:$AJ$4,0))))+SUMPRODUCT((Inputs!$C$5:$C$110=$B23)*ISNUMBER(INDEX(Inputs!$K$5:$AJ$110,0,MATCH(I$2,Inputs!$K$4:$AJ$4,0))))+SUMPRODUCT((Inputs!$E$5:$E$110=$B23)*ISNUMBER(INDEX(Inputs!$K$5:$AJ$110,0,MATCH(I$2,Inputs!$K$4:$AJ$4,0))))=0,NA(),SUMPRODUCT((Inputs!$A$5:$A$110=$B23)*Inputs!$B$5:$B$110*(((Inputs!$G$5:$G$110="moeda")+(Inputs!$G$5:$G$110="acoes"))*Inputs!$B$1+((Inputs!$G$5:$G$110&lt;&gt;"moeda")*(Inputs!$G$5:$G$110&lt;&gt;"acoes")))*INDEX(Inputs!$K$5:$AJ$110,0,MATCH(I$2,Inputs!$K$4:$AJ$4,0)))+SUMPRODUCT((Inputs!$C$5:$C$110=$B23)*Inputs!$D$5:$D$110*(((Inputs!$G$5:$G$110="moeda")+(Inputs!$G$5:$G$110="acoes"))*Inputs!$B$1+((Inputs!$G$5:$G$110&lt;&gt;"moeda")*(Inputs!$G$5:$G$110&lt;&gt;"acoes")))*INDEX(Inputs!$K$5:$AJ$110,0,MATCH(I$2,Inputs!$K$4:$AJ$4,0)))+SUMPRODUCT((Inputs!$E$5:$E$110=$B23)*Inputs!$F$5:$F$110*(((Inputs!$G$5:$G$110="moeda")+(Inputs!$G$5:$G$110="acoes"))*Inputs!$B$1+((Inputs!$G$5:$G$110&lt;&gt;"moeda")*(Inputs!$G$5:$G$110&lt;&gt;"acoes")))*INDEX(Inputs!$K$5:$AJ$110,0,MATCH(I$2,Inputs!$K$4:$AJ$4,0)))))</f>
        <v>2840</v>
      </c>
      <c r="J23" s="267">
        <f>IF(ISNA(MATCH(J$2,Inputs!$K$4:$AJ$4,0)),NA(),IF(SUMPRODUCT((Inputs!$A$5:$A$110=$B23)*ISNUMBER(INDEX(Inputs!$K$5:$AJ$110,0,MATCH(J$2,Inputs!$K$4:$AJ$4,0))))+SUMPRODUCT((Inputs!$C$5:$C$110=$B23)*ISNUMBER(INDEX(Inputs!$K$5:$AJ$110,0,MATCH(J$2,Inputs!$K$4:$AJ$4,0))))+SUMPRODUCT((Inputs!$E$5:$E$110=$B23)*ISNUMBER(INDEX(Inputs!$K$5:$AJ$110,0,MATCH(J$2,Inputs!$K$4:$AJ$4,0))))=0,NA(),SUMPRODUCT((Inputs!$A$5:$A$110=$B23)*Inputs!$B$5:$B$110*(((Inputs!$G$5:$G$110="moeda")+(Inputs!$G$5:$G$110="acoes"))*Inputs!$B$1+((Inputs!$G$5:$G$110&lt;&gt;"moeda")*(Inputs!$G$5:$G$110&lt;&gt;"acoes")))*INDEX(Inputs!$K$5:$AJ$110,0,MATCH(J$2,Inputs!$K$4:$AJ$4,0)))+SUMPRODUCT((Inputs!$C$5:$C$110=$B23)*Inputs!$D$5:$D$110*(((Inputs!$G$5:$G$110="moeda")+(Inputs!$G$5:$G$110="acoes"))*Inputs!$B$1+((Inputs!$G$5:$G$110&lt;&gt;"moeda")*(Inputs!$G$5:$G$110&lt;&gt;"acoes")))*INDEX(Inputs!$K$5:$AJ$110,0,MATCH(J$2,Inputs!$K$4:$AJ$4,0)))+SUMPRODUCT((Inputs!$E$5:$E$110=$B23)*Inputs!$F$5:$F$110*(((Inputs!$G$5:$G$110="moeda")+(Inputs!$G$5:$G$110="acoes"))*Inputs!$B$1+((Inputs!$G$5:$G$110&lt;&gt;"moeda")*(Inputs!$G$5:$G$110&lt;&gt;"acoes")))*INDEX(Inputs!$K$5:$AJ$110,0,MATCH(J$2,Inputs!$K$4:$AJ$4,0)))))</f>
        <v>2731</v>
      </c>
      <c r="K23" s="267">
        <f>IF(ISNA(MATCH(K$2,Inputs!$K$4:$AJ$4,0)),NA(),IF(SUMPRODUCT((Inputs!$A$5:$A$110=$B23)*ISNUMBER(INDEX(Inputs!$K$5:$AJ$110,0,MATCH(K$2,Inputs!$K$4:$AJ$4,0))))+SUMPRODUCT((Inputs!$C$5:$C$110=$B23)*ISNUMBER(INDEX(Inputs!$K$5:$AJ$110,0,MATCH(K$2,Inputs!$K$4:$AJ$4,0))))+SUMPRODUCT((Inputs!$E$5:$E$110=$B23)*ISNUMBER(INDEX(Inputs!$K$5:$AJ$110,0,MATCH(K$2,Inputs!$K$4:$AJ$4,0))))=0,NA(),SUMPRODUCT((Inputs!$A$5:$A$110=$B23)*Inputs!$B$5:$B$110*(((Inputs!$G$5:$G$110="moeda")+(Inputs!$G$5:$G$110="acoes"))*Inputs!$B$1+((Inputs!$G$5:$G$110&lt;&gt;"moeda")*(Inputs!$G$5:$G$110&lt;&gt;"acoes")))*INDEX(Inputs!$K$5:$AJ$110,0,MATCH(K$2,Inputs!$K$4:$AJ$4,0)))+SUMPRODUCT((Inputs!$C$5:$C$110=$B23)*Inputs!$D$5:$D$110*(((Inputs!$G$5:$G$110="moeda")+(Inputs!$G$5:$G$110="acoes"))*Inputs!$B$1+((Inputs!$G$5:$G$110&lt;&gt;"moeda")*(Inputs!$G$5:$G$110&lt;&gt;"acoes")))*INDEX(Inputs!$K$5:$AJ$110,0,MATCH(K$2,Inputs!$K$4:$AJ$4,0)))+SUMPRODUCT((Inputs!$E$5:$E$110=$B23)*Inputs!$F$5:$F$110*(((Inputs!$G$5:$G$110="moeda")+(Inputs!$G$5:$G$110="acoes"))*Inputs!$B$1+((Inputs!$G$5:$G$110&lt;&gt;"moeda")*(Inputs!$G$5:$G$110&lt;&gt;"acoes")))*INDEX(Inputs!$K$5:$AJ$110,0,MATCH(K$2,Inputs!$K$4:$AJ$4,0)))))</f>
        <v>2774</v>
      </c>
      <c r="L23" s="267">
        <f>IF(ISNA(MATCH(L$2,Inputs!$K$4:$AJ$4,0)),NA(),IF(SUMPRODUCT((Inputs!$A$5:$A$110=$B23)*ISNUMBER(INDEX(Inputs!$K$5:$AJ$110,0,MATCH(L$2,Inputs!$K$4:$AJ$4,0))))+SUMPRODUCT((Inputs!$C$5:$C$110=$B23)*ISNUMBER(INDEX(Inputs!$K$5:$AJ$110,0,MATCH(L$2,Inputs!$K$4:$AJ$4,0))))+SUMPRODUCT((Inputs!$E$5:$E$110=$B23)*ISNUMBER(INDEX(Inputs!$K$5:$AJ$110,0,MATCH(L$2,Inputs!$K$4:$AJ$4,0))))=0,NA(),SUMPRODUCT((Inputs!$A$5:$A$110=$B23)*Inputs!$B$5:$B$110*(((Inputs!$G$5:$G$110="moeda")+(Inputs!$G$5:$G$110="acoes"))*Inputs!$B$1+((Inputs!$G$5:$G$110&lt;&gt;"moeda")*(Inputs!$G$5:$G$110&lt;&gt;"acoes")))*INDEX(Inputs!$K$5:$AJ$110,0,MATCH(L$2,Inputs!$K$4:$AJ$4,0)))+SUMPRODUCT((Inputs!$C$5:$C$110=$B23)*Inputs!$D$5:$D$110*(((Inputs!$G$5:$G$110="moeda")+(Inputs!$G$5:$G$110="acoes"))*Inputs!$B$1+((Inputs!$G$5:$G$110&lt;&gt;"moeda")*(Inputs!$G$5:$G$110&lt;&gt;"acoes")))*INDEX(Inputs!$K$5:$AJ$110,0,MATCH(L$2,Inputs!$K$4:$AJ$4,0)))+SUMPRODUCT((Inputs!$E$5:$E$110=$B23)*Inputs!$F$5:$F$110*(((Inputs!$G$5:$G$110="moeda")+(Inputs!$G$5:$G$110="acoes"))*Inputs!$B$1+((Inputs!$G$5:$G$110&lt;&gt;"moeda")*(Inputs!$G$5:$G$110&lt;&gt;"acoes")))*INDEX(Inputs!$K$5:$AJ$110,0,MATCH(L$2,Inputs!$K$4:$AJ$4,0)))))</f>
        <v>2787</v>
      </c>
      <c r="M23" s="268">
        <f>L23</f>
        <v>2787</v>
      </c>
      <c r="N23" s="267">
        <f>IF(ISNA(MATCH(N$2,Inputs!$K$4:$AJ$4,0)),NA(),IF(SUMPRODUCT((Inputs!$A$5:$A$110=$B23)*ISNUMBER(INDEX(Inputs!$K$5:$AJ$110,0,MATCH(N$2,Inputs!$K$4:$AJ$4,0))))+SUMPRODUCT((Inputs!$C$5:$C$110=$B23)*ISNUMBER(INDEX(Inputs!$K$5:$AJ$110,0,MATCH(N$2,Inputs!$K$4:$AJ$4,0))))+SUMPRODUCT((Inputs!$E$5:$E$110=$B23)*ISNUMBER(INDEX(Inputs!$K$5:$AJ$110,0,MATCH(N$2,Inputs!$K$4:$AJ$4,0))))=0,NA(),SUMPRODUCT((Inputs!$A$5:$A$110=$B23)*Inputs!$B$5:$B$110*(((Inputs!$G$5:$G$110="moeda")+(Inputs!$G$5:$G$110="acoes"))*Inputs!$B$1+((Inputs!$G$5:$G$110&lt;&gt;"moeda")*(Inputs!$G$5:$G$110&lt;&gt;"acoes")))*INDEX(Inputs!$K$5:$AJ$110,0,MATCH(N$2,Inputs!$K$4:$AJ$4,0)))+SUMPRODUCT((Inputs!$C$5:$C$110=$B23)*Inputs!$D$5:$D$110*(((Inputs!$G$5:$G$110="moeda")+(Inputs!$G$5:$G$110="acoes"))*Inputs!$B$1+((Inputs!$G$5:$G$110&lt;&gt;"moeda")*(Inputs!$G$5:$G$110&lt;&gt;"acoes")))*INDEX(Inputs!$K$5:$AJ$110,0,MATCH(N$2,Inputs!$K$4:$AJ$4,0)))+SUMPRODUCT((Inputs!$E$5:$E$110=$B23)*Inputs!$F$5:$F$110*(((Inputs!$G$5:$G$110="moeda")+(Inputs!$G$5:$G$110="acoes"))*Inputs!$B$1+((Inputs!$G$5:$G$110&lt;&gt;"moeda")*(Inputs!$G$5:$G$110&lt;&gt;"acoes")))*INDEX(Inputs!$K$5:$AJ$110,0,MATCH(N$2,Inputs!$K$4:$AJ$4,0)))))</f>
        <v>2859</v>
      </c>
      <c r="O23" s="267">
        <f>IF(ISNA(MATCH(O$2,Inputs!$K$4:$AJ$4,0)),NA(),IF(SUMPRODUCT((Inputs!$A$5:$A$110=$B23)*ISNUMBER(INDEX(Inputs!$K$5:$AJ$110,0,MATCH(O$2,Inputs!$K$4:$AJ$4,0))))+SUMPRODUCT((Inputs!$C$5:$C$110=$B23)*ISNUMBER(INDEX(Inputs!$K$5:$AJ$110,0,MATCH(O$2,Inputs!$K$4:$AJ$4,0))))+SUMPRODUCT((Inputs!$E$5:$E$110=$B23)*ISNUMBER(INDEX(Inputs!$K$5:$AJ$110,0,MATCH(O$2,Inputs!$K$4:$AJ$4,0))))=0,NA(),SUMPRODUCT((Inputs!$A$5:$A$110=$B23)*Inputs!$B$5:$B$110*(((Inputs!$G$5:$G$110="moeda")+(Inputs!$G$5:$G$110="acoes"))*Inputs!$B$1+((Inputs!$G$5:$G$110&lt;&gt;"moeda")*(Inputs!$G$5:$G$110&lt;&gt;"acoes")))*INDEX(Inputs!$K$5:$AJ$110,0,MATCH(O$2,Inputs!$K$4:$AJ$4,0)))+SUMPRODUCT((Inputs!$C$5:$C$110=$B23)*Inputs!$D$5:$D$110*(((Inputs!$G$5:$G$110="moeda")+(Inputs!$G$5:$G$110="acoes"))*Inputs!$B$1+((Inputs!$G$5:$G$110&lt;&gt;"moeda")*(Inputs!$G$5:$G$110&lt;&gt;"acoes")))*INDEX(Inputs!$K$5:$AJ$110,0,MATCH(O$2,Inputs!$K$4:$AJ$4,0)))+SUMPRODUCT((Inputs!$E$5:$E$110=$B23)*Inputs!$F$5:$F$110*(((Inputs!$G$5:$G$110="moeda")+(Inputs!$G$5:$G$110="acoes"))*Inputs!$B$1+((Inputs!$G$5:$G$110&lt;&gt;"moeda")*(Inputs!$G$5:$G$110&lt;&gt;"acoes")))*INDEX(Inputs!$K$5:$AJ$110,0,MATCH(O$2,Inputs!$K$4:$AJ$4,0)))))</f>
        <v>2806</v>
      </c>
      <c r="P23" s="267">
        <f>IF(ISNA(MATCH(P$2,Inputs!$K$4:$AJ$4,0)),NA(),IF(SUMPRODUCT((Inputs!$A$5:$A$110=$B23)*ISNUMBER(INDEX(Inputs!$K$5:$AJ$110,0,MATCH(P$2,Inputs!$K$4:$AJ$4,0))))+SUMPRODUCT((Inputs!$C$5:$C$110=$B23)*ISNUMBER(INDEX(Inputs!$K$5:$AJ$110,0,MATCH(P$2,Inputs!$K$4:$AJ$4,0))))+SUMPRODUCT((Inputs!$E$5:$E$110=$B23)*ISNUMBER(INDEX(Inputs!$K$5:$AJ$110,0,MATCH(P$2,Inputs!$K$4:$AJ$4,0))))=0,NA(),SUMPRODUCT((Inputs!$A$5:$A$110=$B23)*Inputs!$B$5:$B$110*(((Inputs!$G$5:$G$110="moeda")+(Inputs!$G$5:$G$110="acoes"))*Inputs!$B$1+((Inputs!$G$5:$G$110&lt;&gt;"moeda")*(Inputs!$G$5:$G$110&lt;&gt;"acoes")))*INDEX(Inputs!$K$5:$AJ$110,0,MATCH(P$2,Inputs!$K$4:$AJ$4,0)))+SUMPRODUCT((Inputs!$C$5:$C$110=$B23)*Inputs!$D$5:$D$110*(((Inputs!$G$5:$G$110="moeda")+(Inputs!$G$5:$G$110="acoes"))*Inputs!$B$1+((Inputs!$G$5:$G$110&lt;&gt;"moeda")*(Inputs!$G$5:$G$110&lt;&gt;"acoes")))*INDEX(Inputs!$K$5:$AJ$110,0,MATCH(P$2,Inputs!$K$4:$AJ$4,0)))+SUMPRODUCT((Inputs!$E$5:$E$110=$B23)*Inputs!$F$5:$F$110*(((Inputs!$G$5:$G$110="moeda")+(Inputs!$G$5:$G$110="acoes"))*Inputs!$B$1+((Inputs!$G$5:$G$110&lt;&gt;"moeda")*(Inputs!$G$5:$G$110&lt;&gt;"acoes")))*INDEX(Inputs!$K$5:$AJ$110,0,MATCH(P$2,Inputs!$K$4:$AJ$4,0)))))</f>
        <v>2713</v>
      </c>
      <c r="Q23" s="267">
        <f>IF(ISNA(MATCH(Q$2,Inputs!$K$4:$AJ$4,0)),NA(),IF(SUMPRODUCT((Inputs!$A$5:$A$110=$B23)*ISNUMBER(INDEX(Inputs!$K$5:$AJ$110,0,MATCH(Q$2,Inputs!$K$4:$AJ$4,0))))+SUMPRODUCT((Inputs!$C$5:$C$110=$B23)*ISNUMBER(INDEX(Inputs!$K$5:$AJ$110,0,MATCH(Q$2,Inputs!$K$4:$AJ$4,0))))+SUMPRODUCT((Inputs!$E$5:$E$110=$B23)*ISNUMBER(INDEX(Inputs!$K$5:$AJ$110,0,MATCH(Q$2,Inputs!$K$4:$AJ$4,0))))=0,NA(),SUMPRODUCT((Inputs!$A$5:$A$110=$B23)*Inputs!$B$5:$B$110*(((Inputs!$G$5:$G$110="moeda")+(Inputs!$G$5:$G$110="acoes"))*Inputs!$B$1+((Inputs!$G$5:$G$110&lt;&gt;"moeda")*(Inputs!$G$5:$G$110&lt;&gt;"acoes")))*INDEX(Inputs!$K$5:$AJ$110,0,MATCH(Q$2,Inputs!$K$4:$AJ$4,0)))+SUMPRODUCT((Inputs!$C$5:$C$110=$B23)*Inputs!$D$5:$D$110*(((Inputs!$G$5:$G$110="moeda")+(Inputs!$G$5:$G$110="acoes"))*Inputs!$B$1+((Inputs!$G$5:$G$110&lt;&gt;"moeda")*(Inputs!$G$5:$G$110&lt;&gt;"acoes")))*INDEX(Inputs!$K$5:$AJ$110,0,MATCH(Q$2,Inputs!$K$4:$AJ$4,0)))+SUMPRODUCT((Inputs!$E$5:$E$110=$B23)*Inputs!$F$5:$F$110*(((Inputs!$G$5:$G$110="moeda")+(Inputs!$G$5:$G$110="acoes"))*Inputs!$B$1+((Inputs!$G$5:$G$110&lt;&gt;"moeda")*(Inputs!$G$5:$G$110&lt;&gt;"acoes")))*INDEX(Inputs!$K$5:$AJ$110,0,MATCH(Q$2,Inputs!$K$4:$AJ$4,0)))))</f>
        <v>2672</v>
      </c>
      <c r="R23" s="268">
        <f>Q23</f>
        <v>2672</v>
      </c>
      <c r="S23" s="267">
        <f>IF(ISNA(MATCH(S$2,Inputs!$K$4:$AJ$4,0)),NA(),IF(SUMPRODUCT((Inputs!$A$5:$A$110=$B23)*ISNUMBER(INDEX(Inputs!$K$5:$AJ$110,0,MATCH(S$2,Inputs!$K$4:$AJ$4,0))))+SUMPRODUCT((Inputs!$C$5:$C$110=$B23)*ISNUMBER(INDEX(Inputs!$K$5:$AJ$110,0,MATCH(S$2,Inputs!$K$4:$AJ$4,0))))+SUMPRODUCT((Inputs!$E$5:$E$110=$B23)*ISNUMBER(INDEX(Inputs!$K$5:$AJ$110,0,MATCH(S$2,Inputs!$K$4:$AJ$4,0))))=0,NA(),SUMPRODUCT((Inputs!$A$5:$A$110=$B23)*Inputs!$B$5:$B$110*(((Inputs!$G$5:$G$110="moeda")+(Inputs!$G$5:$G$110="acoes"))*Inputs!$B$1+((Inputs!$G$5:$G$110&lt;&gt;"moeda")*(Inputs!$G$5:$G$110&lt;&gt;"acoes")))*INDEX(Inputs!$K$5:$AJ$110,0,MATCH(S$2,Inputs!$K$4:$AJ$4,0)))+SUMPRODUCT((Inputs!$C$5:$C$110=$B23)*Inputs!$D$5:$D$110*(((Inputs!$G$5:$G$110="moeda")+(Inputs!$G$5:$G$110="acoes"))*Inputs!$B$1+((Inputs!$G$5:$G$110&lt;&gt;"moeda")*(Inputs!$G$5:$G$110&lt;&gt;"acoes")))*INDEX(Inputs!$K$5:$AJ$110,0,MATCH(S$2,Inputs!$K$4:$AJ$4,0)))+SUMPRODUCT((Inputs!$E$5:$E$110=$B23)*Inputs!$F$5:$F$110*(((Inputs!$G$5:$G$110="moeda")+(Inputs!$G$5:$G$110="acoes"))*Inputs!$B$1+((Inputs!$G$5:$G$110&lt;&gt;"moeda")*(Inputs!$G$5:$G$110&lt;&gt;"acoes")))*INDEX(Inputs!$K$5:$AJ$110,0,MATCH(S$2,Inputs!$K$4:$AJ$4,0)))))</f>
        <v>2740</v>
      </c>
      <c r="T23" s="267">
        <f>IF(ISNA(MATCH(T$2,Inputs!$K$4:$AJ$4,0)),NA(),IF(SUMPRODUCT((Inputs!$A$5:$A$110=$B23)*ISNUMBER(INDEX(Inputs!$K$5:$AJ$110,0,MATCH(T$2,Inputs!$K$4:$AJ$4,0))))+SUMPRODUCT((Inputs!$C$5:$C$110=$B23)*ISNUMBER(INDEX(Inputs!$K$5:$AJ$110,0,MATCH(T$2,Inputs!$K$4:$AJ$4,0))))+SUMPRODUCT((Inputs!$E$5:$E$110=$B23)*ISNUMBER(INDEX(Inputs!$K$5:$AJ$110,0,MATCH(T$2,Inputs!$K$4:$AJ$4,0))))=0,NA(),SUMPRODUCT((Inputs!$A$5:$A$110=$B23)*Inputs!$B$5:$B$110*(((Inputs!$G$5:$G$110="moeda")+(Inputs!$G$5:$G$110="acoes"))*Inputs!$B$1+((Inputs!$G$5:$G$110&lt;&gt;"moeda")*(Inputs!$G$5:$G$110&lt;&gt;"acoes")))*INDEX(Inputs!$K$5:$AJ$110,0,MATCH(T$2,Inputs!$K$4:$AJ$4,0)))+SUMPRODUCT((Inputs!$C$5:$C$110=$B23)*Inputs!$D$5:$D$110*(((Inputs!$G$5:$G$110="moeda")+(Inputs!$G$5:$G$110="acoes"))*Inputs!$B$1+((Inputs!$G$5:$G$110&lt;&gt;"moeda")*(Inputs!$G$5:$G$110&lt;&gt;"acoes")))*INDEX(Inputs!$K$5:$AJ$110,0,MATCH(T$2,Inputs!$K$4:$AJ$4,0)))+SUMPRODUCT((Inputs!$E$5:$E$110=$B23)*Inputs!$F$5:$F$110*(((Inputs!$G$5:$G$110="moeda")+(Inputs!$G$5:$G$110="acoes"))*Inputs!$B$1+((Inputs!$G$5:$G$110&lt;&gt;"moeda")*(Inputs!$G$5:$G$110&lt;&gt;"acoes")))*INDEX(Inputs!$K$5:$AJ$110,0,MATCH(T$2,Inputs!$K$4:$AJ$4,0)))))</f>
        <v>2643</v>
      </c>
      <c r="U23" s="267">
        <f>IF(ISNA(MATCH(U$2,Inputs!$K$4:$AJ$4,0)),NA(),IF(SUMPRODUCT((Inputs!$A$5:$A$110=$B23)*ISNUMBER(INDEX(Inputs!$K$5:$AJ$110,0,MATCH(U$2,Inputs!$K$4:$AJ$4,0))))+SUMPRODUCT((Inputs!$C$5:$C$110=$B23)*ISNUMBER(INDEX(Inputs!$K$5:$AJ$110,0,MATCH(U$2,Inputs!$K$4:$AJ$4,0))))+SUMPRODUCT((Inputs!$E$5:$E$110=$B23)*ISNUMBER(INDEX(Inputs!$K$5:$AJ$110,0,MATCH(U$2,Inputs!$K$4:$AJ$4,0))))=0,NA(),SUMPRODUCT((Inputs!$A$5:$A$110=$B23)*Inputs!$B$5:$B$110*(((Inputs!$G$5:$G$110="moeda")+(Inputs!$G$5:$G$110="acoes"))*Inputs!$B$1+((Inputs!$G$5:$G$110&lt;&gt;"moeda")*(Inputs!$G$5:$G$110&lt;&gt;"acoes")))*INDEX(Inputs!$K$5:$AJ$110,0,MATCH(U$2,Inputs!$K$4:$AJ$4,0)))+SUMPRODUCT((Inputs!$C$5:$C$110=$B23)*Inputs!$D$5:$D$110*(((Inputs!$G$5:$G$110="moeda")+(Inputs!$G$5:$G$110="acoes"))*Inputs!$B$1+((Inputs!$G$5:$G$110&lt;&gt;"moeda")*(Inputs!$G$5:$G$110&lt;&gt;"acoes")))*INDEX(Inputs!$K$5:$AJ$110,0,MATCH(U$2,Inputs!$K$4:$AJ$4,0)))+SUMPRODUCT((Inputs!$E$5:$E$110=$B23)*Inputs!$F$5:$F$110*(((Inputs!$G$5:$G$110="moeda")+(Inputs!$G$5:$G$110="acoes"))*Inputs!$B$1+((Inputs!$G$5:$G$110&lt;&gt;"moeda")*(Inputs!$G$5:$G$110&lt;&gt;"acoes")))*INDEX(Inputs!$K$5:$AJ$110,0,MATCH(U$2,Inputs!$K$4:$AJ$4,0)))))</f>
        <v>2617</v>
      </c>
      <c r="V23" s="267">
        <f>IF(ISNA(MATCH(V$2,Inputs!$K$4:$AJ$4,0)),NA(),IF(SUMPRODUCT((Inputs!$A$5:$A$110=$B23)*ISNUMBER(INDEX(Inputs!$K$5:$AJ$110,0,MATCH(V$2,Inputs!$K$4:$AJ$4,0))))+SUMPRODUCT((Inputs!$C$5:$C$110=$B23)*ISNUMBER(INDEX(Inputs!$K$5:$AJ$110,0,MATCH(V$2,Inputs!$K$4:$AJ$4,0))))+SUMPRODUCT((Inputs!$E$5:$E$110=$B23)*ISNUMBER(INDEX(Inputs!$K$5:$AJ$110,0,MATCH(V$2,Inputs!$K$4:$AJ$4,0))))=0,NA(),SUMPRODUCT((Inputs!$A$5:$A$110=$B23)*Inputs!$B$5:$B$110*(((Inputs!$G$5:$G$110="moeda")+(Inputs!$G$5:$G$110="acoes"))*Inputs!$B$1+((Inputs!$G$5:$G$110&lt;&gt;"moeda")*(Inputs!$G$5:$G$110&lt;&gt;"acoes")))*INDEX(Inputs!$K$5:$AJ$110,0,MATCH(V$2,Inputs!$K$4:$AJ$4,0)))+SUMPRODUCT((Inputs!$C$5:$C$110=$B23)*Inputs!$D$5:$D$110*(((Inputs!$G$5:$G$110="moeda")+(Inputs!$G$5:$G$110="acoes"))*Inputs!$B$1+((Inputs!$G$5:$G$110&lt;&gt;"moeda")*(Inputs!$G$5:$G$110&lt;&gt;"acoes")))*INDEX(Inputs!$K$5:$AJ$110,0,MATCH(V$2,Inputs!$K$4:$AJ$4,0)))+SUMPRODUCT((Inputs!$E$5:$E$110=$B23)*Inputs!$F$5:$F$110*(((Inputs!$G$5:$G$110="moeda")+(Inputs!$G$5:$G$110="acoes"))*Inputs!$B$1+((Inputs!$G$5:$G$110&lt;&gt;"moeda")*(Inputs!$G$5:$G$110&lt;&gt;"acoes")))*INDEX(Inputs!$K$5:$AJ$110,0,MATCH(V$2,Inputs!$K$4:$AJ$4,0)))))</f>
        <v>2539</v>
      </c>
      <c r="W23" s="268">
        <f>V23</f>
        <v>2539</v>
      </c>
      <c r="X23" s="267">
        <f>IF(ISNA(MATCH(X$2,Inputs!$K$4:$AJ$4,0)),NA(),IF(SUMPRODUCT((Inputs!$A$5:$A$110=$B23)*ISNUMBER(INDEX(Inputs!$K$5:$AJ$110,0,MATCH(X$2,Inputs!$K$4:$AJ$4,0))))+SUMPRODUCT((Inputs!$C$5:$C$110=$B23)*ISNUMBER(INDEX(Inputs!$K$5:$AJ$110,0,MATCH(X$2,Inputs!$K$4:$AJ$4,0))))+SUMPRODUCT((Inputs!$E$5:$E$110=$B23)*ISNUMBER(INDEX(Inputs!$K$5:$AJ$110,0,MATCH(X$2,Inputs!$K$4:$AJ$4,0))))=0,NA(),SUMPRODUCT((Inputs!$A$5:$A$110=$B23)*Inputs!$B$5:$B$110*(((Inputs!$G$5:$G$110="moeda")+(Inputs!$G$5:$G$110="acoes"))*Inputs!$B$1+((Inputs!$G$5:$G$110&lt;&gt;"moeda")*(Inputs!$G$5:$G$110&lt;&gt;"acoes")))*INDEX(Inputs!$K$5:$AJ$110,0,MATCH(X$2,Inputs!$K$4:$AJ$4,0)))+SUMPRODUCT((Inputs!$C$5:$C$110=$B23)*Inputs!$D$5:$D$110*(((Inputs!$G$5:$G$110="moeda")+(Inputs!$G$5:$G$110="acoes"))*Inputs!$B$1+((Inputs!$G$5:$G$110&lt;&gt;"moeda")*(Inputs!$G$5:$G$110&lt;&gt;"acoes")))*INDEX(Inputs!$K$5:$AJ$110,0,MATCH(X$2,Inputs!$K$4:$AJ$4,0)))+SUMPRODUCT((Inputs!$E$5:$E$110=$B23)*Inputs!$F$5:$F$110*(((Inputs!$G$5:$G$110="moeda")+(Inputs!$G$5:$G$110="acoes"))*Inputs!$B$1+((Inputs!$G$5:$G$110&lt;&gt;"moeda")*(Inputs!$G$5:$G$110&lt;&gt;"acoes")))*INDEX(Inputs!$K$5:$AJ$110,0,MATCH(X$2,Inputs!$K$4:$AJ$4,0)))))</f>
        <v>2531</v>
      </c>
      <c r="Y23" s="267">
        <f>IF(ISNA(MATCH(Y$2,Inputs!$K$4:$AJ$4,0)),NA(),IF(SUMPRODUCT((Inputs!$A$5:$A$110=$B23)*ISNUMBER(INDEX(Inputs!$K$5:$AJ$110,0,MATCH(Y$2,Inputs!$K$4:$AJ$4,0))))+SUMPRODUCT((Inputs!$C$5:$C$110=$B23)*ISNUMBER(INDEX(Inputs!$K$5:$AJ$110,0,MATCH(Y$2,Inputs!$K$4:$AJ$4,0))))+SUMPRODUCT((Inputs!$E$5:$E$110=$B23)*ISNUMBER(INDEX(Inputs!$K$5:$AJ$110,0,MATCH(Y$2,Inputs!$K$4:$AJ$4,0))))=0,NA(),SUMPRODUCT((Inputs!$A$5:$A$110=$B23)*Inputs!$B$5:$B$110*(((Inputs!$G$5:$G$110="moeda")+(Inputs!$G$5:$G$110="acoes"))*Inputs!$B$1+((Inputs!$G$5:$G$110&lt;&gt;"moeda")*(Inputs!$G$5:$G$110&lt;&gt;"acoes")))*INDEX(Inputs!$K$5:$AJ$110,0,MATCH(Y$2,Inputs!$K$4:$AJ$4,0)))+SUMPRODUCT((Inputs!$C$5:$C$110=$B23)*Inputs!$D$5:$D$110*(((Inputs!$G$5:$G$110="moeda")+(Inputs!$G$5:$G$110="acoes"))*Inputs!$B$1+((Inputs!$G$5:$G$110&lt;&gt;"moeda")*(Inputs!$G$5:$G$110&lt;&gt;"acoes")))*INDEX(Inputs!$K$5:$AJ$110,0,MATCH(Y$2,Inputs!$K$4:$AJ$4,0)))+SUMPRODUCT((Inputs!$E$5:$E$110=$B23)*Inputs!$F$5:$F$110*(((Inputs!$G$5:$G$110="moeda")+(Inputs!$G$5:$G$110="acoes"))*Inputs!$B$1+((Inputs!$G$5:$G$110&lt;&gt;"moeda")*(Inputs!$G$5:$G$110&lt;&gt;"acoes")))*INDEX(Inputs!$K$5:$AJ$110,0,MATCH(Y$2,Inputs!$K$4:$AJ$4,0)))))</f>
        <v>2718</v>
      </c>
      <c r="Z23" s="267">
        <f>IF(ISNA(MATCH(Z$2,Inputs!$K$4:$AJ$4,0)),NA(),IF(SUMPRODUCT((Inputs!$A$5:$A$110=$B23)*ISNUMBER(INDEX(Inputs!$K$5:$AJ$110,0,MATCH(Z$2,Inputs!$K$4:$AJ$4,0))))+SUMPRODUCT((Inputs!$C$5:$C$110=$B23)*ISNUMBER(INDEX(Inputs!$K$5:$AJ$110,0,MATCH(Z$2,Inputs!$K$4:$AJ$4,0))))+SUMPRODUCT((Inputs!$E$5:$E$110=$B23)*ISNUMBER(INDEX(Inputs!$K$5:$AJ$110,0,MATCH(Z$2,Inputs!$K$4:$AJ$4,0))))=0,NA(),SUMPRODUCT((Inputs!$A$5:$A$110=$B23)*Inputs!$B$5:$B$110*(((Inputs!$G$5:$G$110="moeda")+(Inputs!$G$5:$G$110="acoes"))*Inputs!$B$1+((Inputs!$G$5:$G$110&lt;&gt;"moeda")*(Inputs!$G$5:$G$110&lt;&gt;"acoes")))*INDEX(Inputs!$K$5:$AJ$110,0,MATCH(Z$2,Inputs!$K$4:$AJ$4,0)))+SUMPRODUCT((Inputs!$C$5:$C$110=$B23)*Inputs!$D$5:$D$110*(((Inputs!$G$5:$G$110="moeda")+(Inputs!$G$5:$G$110="acoes"))*Inputs!$B$1+((Inputs!$G$5:$G$110&lt;&gt;"moeda")*(Inputs!$G$5:$G$110&lt;&gt;"acoes")))*INDEX(Inputs!$K$5:$AJ$110,0,MATCH(Z$2,Inputs!$K$4:$AJ$4,0)))+SUMPRODUCT((Inputs!$E$5:$E$110=$B23)*Inputs!$F$5:$F$110*(((Inputs!$G$5:$G$110="moeda")+(Inputs!$G$5:$G$110="acoes"))*Inputs!$B$1+((Inputs!$G$5:$G$110&lt;&gt;"moeda")*(Inputs!$G$5:$G$110&lt;&gt;"acoes")))*INDEX(Inputs!$K$5:$AJ$110,0,MATCH(Z$2,Inputs!$K$4:$AJ$4,0)))))</f>
        <v>2725</v>
      </c>
      <c r="AA23" s="267">
        <f>IF(ISNA(MATCH(AA$2,Inputs!$K$4:$AJ$4,0)),NA(),IF(SUMPRODUCT((Inputs!$A$5:$A$110=$B23)*ISNUMBER(INDEX(Inputs!$K$5:$AJ$110,0,MATCH(AA$2,Inputs!$K$4:$AJ$4,0))))+SUMPRODUCT((Inputs!$C$5:$C$110=$B23)*ISNUMBER(INDEX(Inputs!$K$5:$AJ$110,0,MATCH(AA$2,Inputs!$K$4:$AJ$4,0))))+SUMPRODUCT((Inputs!$E$5:$E$110=$B23)*ISNUMBER(INDEX(Inputs!$K$5:$AJ$110,0,MATCH(AA$2,Inputs!$K$4:$AJ$4,0))))=0,NA(),SUMPRODUCT((Inputs!$A$5:$A$110=$B23)*Inputs!$B$5:$B$110*(((Inputs!$G$5:$G$110="moeda")+(Inputs!$G$5:$G$110="acoes"))*Inputs!$B$1+((Inputs!$G$5:$G$110&lt;&gt;"moeda")*(Inputs!$G$5:$G$110&lt;&gt;"acoes")))*INDEX(Inputs!$K$5:$AJ$110,0,MATCH(AA$2,Inputs!$K$4:$AJ$4,0)))+SUMPRODUCT((Inputs!$C$5:$C$110=$B23)*Inputs!$D$5:$D$110*(((Inputs!$G$5:$G$110="moeda")+(Inputs!$G$5:$G$110="acoes"))*Inputs!$B$1+((Inputs!$G$5:$G$110&lt;&gt;"moeda")*(Inputs!$G$5:$G$110&lt;&gt;"acoes")))*INDEX(Inputs!$K$5:$AJ$110,0,MATCH(AA$2,Inputs!$K$4:$AJ$4,0)))+SUMPRODUCT((Inputs!$E$5:$E$110=$B23)*Inputs!$F$5:$F$110*(((Inputs!$G$5:$G$110="moeda")+(Inputs!$G$5:$G$110="acoes"))*Inputs!$B$1+((Inputs!$G$5:$G$110&lt;&gt;"moeda")*(Inputs!$G$5:$G$110&lt;&gt;"acoes")))*INDEX(Inputs!$K$5:$AJ$110,0,MATCH(AA$2,Inputs!$K$4:$AJ$4,0)))))</f>
        <v>2730</v>
      </c>
      <c r="AB23" s="268">
        <f>AA23</f>
        <v>2730</v>
      </c>
      <c r="AC23" s="267">
        <f>IF(ISNA(MATCH(AC$2,Inputs!$K$4:$AJ$4,0)),NA(),IF(SUMPRODUCT((Inputs!$A$5:$A$110=$B23)*ISNUMBER(INDEX(Inputs!$K$5:$AJ$110,0,MATCH(AC$2,Inputs!$K$4:$AJ$4,0))))+SUMPRODUCT((Inputs!$C$5:$C$110=$B23)*ISNUMBER(INDEX(Inputs!$K$5:$AJ$110,0,MATCH(AC$2,Inputs!$K$4:$AJ$4,0))))+SUMPRODUCT((Inputs!$E$5:$E$110=$B23)*ISNUMBER(INDEX(Inputs!$K$5:$AJ$110,0,MATCH(AC$2,Inputs!$K$4:$AJ$4,0))))=0,NA(),SUMPRODUCT((Inputs!$A$5:$A$110=$B23)*Inputs!$B$5:$B$110*(((Inputs!$G$5:$G$110="moeda")+(Inputs!$G$5:$G$110="acoes"))*Inputs!$B$1+((Inputs!$G$5:$G$110&lt;&gt;"moeda")*(Inputs!$G$5:$G$110&lt;&gt;"acoes")))*INDEX(Inputs!$K$5:$AJ$110,0,MATCH(AC$2,Inputs!$K$4:$AJ$4,0)))+SUMPRODUCT((Inputs!$C$5:$C$110=$B23)*Inputs!$D$5:$D$110*(((Inputs!$G$5:$G$110="moeda")+(Inputs!$G$5:$G$110="acoes"))*Inputs!$B$1+((Inputs!$G$5:$G$110&lt;&gt;"moeda")*(Inputs!$G$5:$G$110&lt;&gt;"acoes")))*INDEX(Inputs!$K$5:$AJ$110,0,MATCH(AC$2,Inputs!$K$4:$AJ$4,0)))+SUMPRODUCT((Inputs!$E$5:$E$110=$B23)*Inputs!$F$5:$F$110*(((Inputs!$G$5:$G$110="moeda")+(Inputs!$G$5:$G$110="acoes"))*Inputs!$B$1+((Inputs!$G$5:$G$110&lt;&gt;"moeda")*(Inputs!$G$5:$G$110&lt;&gt;"acoes")))*INDEX(Inputs!$K$5:$AJ$110,0,MATCH(AC$2,Inputs!$K$4:$AJ$4,0)))))</f>
        <v>2759</v>
      </c>
      <c r="AD23" s="267">
        <f>IF(ISNA(MATCH(AD$2,Inputs!$K$4:$AJ$4,0)),NA(),IF(SUMPRODUCT((Inputs!$A$5:$A$110=$B23)*ISNUMBER(INDEX(Inputs!$K$5:$AJ$110,0,MATCH(AD$2,Inputs!$K$4:$AJ$4,0))))+SUMPRODUCT((Inputs!$C$5:$C$110=$B23)*ISNUMBER(INDEX(Inputs!$K$5:$AJ$110,0,MATCH(AD$2,Inputs!$K$4:$AJ$4,0))))+SUMPRODUCT((Inputs!$E$5:$E$110=$B23)*ISNUMBER(INDEX(Inputs!$K$5:$AJ$110,0,MATCH(AD$2,Inputs!$K$4:$AJ$4,0))))=0,NA(),SUMPRODUCT((Inputs!$A$5:$A$110=$B23)*Inputs!$B$5:$B$110*(((Inputs!$G$5:$G$110="moeda")+(Inputs!$G$5:$G$110="acoes"))*Inputs!$B$1+((Inputs!$G$5:$G$110&lt;&gt;"moeda")*(Inputs!$G$5:$G$110&lt;&gt;"acoes")))*INDEX(Inputs!$K$5:$AJ$110,0,MATCH(AD$2,Inputs!$K$4:$AJ$4,0)))+SUMPRODUCT((Inputs!$C$5:$C$110=$B23)*Inputs!$D$5:$D$110*(((Inputs!$G$5:$G$110="moeda")+(Inputs!$G$5:$G$110="acoes"))*Inputs!$B$1+((Inputs!$G$5:$G$110&lt;&gt;"moeda")*(Inputs!$G$5:$G$110&lt;&gt;"acoes")))*INDEX(Inputs!$K$5:$AJ$110,0,MATCH(AD$2,Inputs!$K$4:$AJ$4,0)))+SUMPRODUCT((Inputs!$E$5:$E$110=$B23)*Inputs!$F$5:$F$110*(((Inputs!$G$5:$G$110="moeda")+(Inputs!$G$5:$G$110="acoes"))*Inputs!$B$1+((Inputs!$G$5:$G$110&lt;&gt;"moeda")*(Inputs!$G$5:$G$110&lt;&gt;"acoes")))*INDEX(Inputs!$K$5:$AJ$110,0,MATCH(AD$2,Inputs!$K$4:$AJ$4,0)))))</f>
        <v>2747</v>
      </c>
      <c r="AE23" s="267" t="e">
        <f>IF(ISNA(MATCH(AE$2,Inputs!$K$4:$AJ$4,0)),NA(),IF(SUMPRODUCT((Inputs!$A$5:$A$110=$B23)*ISNUMBER(INDEX(Inputs!$K$5:$AJ$110,0,MATCH(AE$2,Inputs!$K$4:$AJ$4,0))))+SUMPRODUCT((Inputs!$C$5:$C$110=$B23)*ISNUMBER(INDEX(Inputs!$K$5:$AJ$110,0,MATCH(AE$2,Inputs!$K$4:$AJ$4,0))))+SUMPRODUCT((Inputs!$E$5:$E$110=$B23)*ISNUMBER(INDEX(Inputs!$K$5:$AJ$110,0,MATCH(AE$2,Inputs!$K$4:$AJ$4,0))))=0,NA(),SUMPRODUCT((Inputs!$A$5:$A$110=$B23)*Inputs!$B$5:$B$110*(((Inputs!$G$5:$G$110="moeda")+(Inputs!$G$5:$G$110="acoes"))*Inputs!$B$1+((Inputs!$G$5:$G$110&lt;&gt;"moeda")*(Inputs!$G$5:$G$110&lt;&gt;"acoes")))*INDEX(Inputs!$K$5:$AJ$110,0,MATCH(AE$2,Inputs!$K$4:$AJ$4,0)))+SUMPRODUCT((Inputs!$C$5:$C$110=$B23)*Inputs!$D$5:$D$110*(((Inputs!$G$5:$G$110="moeda")+(Inputs!$G$5:$G$110="acoes"))*Inputs!$B$1+((Inputs!$G$5:$G$110&lt;&gt;"moeda")*(Inputs!$G$5:$G$110&lt;&gt;"acoes")))*INDEX(Inputs!$K$5:$AJ$110,0,MATCH(AE$2,Inputs!$K$4:$AJ$4,0)))+SUMPRODUCT((Inputs!$E$5:$E$110=$B23)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3" s="267" t="e">
        <f>IF(ISNA(MATCH(AF$2,Inputs!$K$4:$AJ$4,0)),NA(),IF(SUMPRODUCT((Inputs!$A$5:$A$110=$B23)*ISNUMBER(INDEX(Inputs!$K$5:$AJ$110,0,MATCH(AF$2,Inputs!$K$4:$AJ$4,0))))+SUMPRODUCT((Inputs!$C$5:$C$110=$B23)*ISNUMBER(INDEX(Inputs!$K$5:$AJ$110,0,MATCH(AF$2,Inputs!$K$4:$AJ$4,0))))+SUMPRODUCT((Inputs!$E$5:$E$110=$B23)*ISNUMBER(INDEX(Inputs!$K$5:$AJ$110,0,MATCH(AF$2,Inputs!$K$4:$AJ$4,0))))=0,NA(),SUMPRODUCT((Inputs!$A$5:$A$110=$B23)*Inputs!$B$5:$B$110*(((Inputs!$G$5:$G$110="moeda")+(Inputs!$G$5:$G$110="acoes"))*Inputs!$B$1+((Inputs!$G$5:$G$110&lt;&gt;"moeda")*(Inputs!$G$5:$G$110&lt;&gt;"acoes")))*INDEX(Inputs!$K$5:$AJ$110,0,MATCH(AF$2,Inputs!$K$4:$AJ$4,0)))+SUMPRODUCT((Inputs!$C$5:$C$110=$B23)*Inputs!$D$5:$D$110*(((Inputs!$G$5:$G$110="moeda")+(Inputs!$G$5:$G$110="acoes"))*Inputs!$B$1+((Inputs!$G$5:$G$110&lt;&gt;"moeda")*(Inputs!$G$5:$G$110&lt;&gt;"acoes")))*INDEX(Inputs!$K$5:$AJ$110,0,MATCH(AF$2,Inputs!$K$4:$AJ$4,0)))+SUMPRODUCT((Inputs!$E$5:$E$110=$B23)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3" s="268" t="e">
        <f>AF23</f>
        <v>#N/A</v>
      </c>
      <c r="AH23" s="267">
        <f>IF(ISNA(MATCH(AH$2,Inputs!$K$4:$AJ$4,0)),NA(),IF(SUMPRODUCT((Inputs!$A$5:$A$110=$B23)*ISNUMBER(INDEX(Inputs!$K$5:$AJ$110,0,MATCH(AH$2,Inputs!$K$4:$AJ$4,0))))+SUMPRODUCT((Inputs!$C$5:$C$110=$B23)*ISNUMBER(INDEX(Inputs!$K$5:$AJ$110,0,MATCH(AH$2,Inputs!$K$4:$AJ$4,0))))+SUMPRODUCT((Inputs!$E$5:$E$110=$B23)*ISNUMBER(INDEX(Inputs!$K$5:$AJ$110,0,MATCH(AH$2,Inputs!$K$4:$AJ$4,0))))=0,NA(),SUMPRODUCT((Inputs!$A$5:$A$110=$B23)*Inputs!$B$5:$B$110*(((Inputs!$G$5:$G$110="moeda")+(Inputs!$G$5:$G$110="acoes"))*Inputs!$B$1+((Inputs!$G$5:$G$110&lt;&gt;"moeda")*(Inputs!$G$5:$G$110&lt;&gt;"acoes")))*INDEX(Inputs!$K$5:$AJ$110,0,MATCH(AH$2,Inputs!$K$4:$AJ$4,0)))+SUMPRODUCT((Inputs!$C$5:$C$110=$B23)*Inputs!$D$5:$D$110*(((Inputs!$G$5:$G$110="moeda")+(Inputs!$G$5:$G$110="acoes"))*Inputs!$B$1+((Inputs!$G$5:$G$110&lt;&gt;"moeda")*(Inputs!$G$5:$G$110&lt;&gt;"acoes")))*INDEX(Inputs!$K$5:$AJ$110,0,MATCH(AH$2,Inputs!$K$4:$AJ$4,0)))+SUMPRODUCT((Inputs!$E$5:$E$110=$B23)*Inputs!$F$5:$F$110*(((Inputs!$G$5:$G$110="moeda")+(Inputs!$G$5:$G$110="acoes"))*Inputs!$B$1+((Inputs!$G$5:$G$110&lt;&gt;"moeda")*(Inputs!$G$5:$G$110&lt;&gt;"acoes")))*INDEX(Inputs!$K$5:$AJ$110,0,MATCH(AH$2,Inputs!$K$4:$AJ$4,0)))))</f>
        <v>2596</v>
      </c>
      <c r="AI23" s="267">
        <f>IF(ISNA(MATCH(AI$2,Inputs!$K$4:$AJ$4,0)),NA(),IF(SUMPRODUCT((Inputs!$A$5:$A$110=$B23)*ISNUMBER(INDEX(Inputs!$K$5:$AJ$110,0,MATCH(AI$2,Inputs!$K$4:$AJ$4,0))))+SUMPRODUCT((Inputs!$C$5:$C$110=$B23)*ISNUMBER(INDEX(Inputs!$K$5:$AJ$110,0,MATCH(AI$2,Inputs!$K$4:$AJ$4,0))))+SUMPRODUCT((Inputs!$E$5:$E$110=$B23)*ISNUMBER(INDEX(Inputs!$K$5:$AJ$110,0,MATCH(AI$2,Inputs!$K$4:$AJ$4,0))))=0,NA(),SUMPRODUCT((Inputs!$A$5:$A$110=$B23)*Inputs!$B$5:$B$110*(((Inputs!$G$5:$G$110="moeda")+(Inputs!$G$5:$G$110="acoes"))*Inputs!$B$1+((Inputs!$G$5:$G$110&lt;&gt;"moeda")*(Inputs!$G$5:$G$110&lt;&gt;"acoes")))*INDEX(Inputs!$K$5:$AJ$110,0,MATCH(AI$2,Inputs!$K$4:$AJ$4,0)))+SUMPRODUCT((Inputs!$C$5:$C$110=$B23)*Inputs!$D$5:$D$110*(((Inputs!$G$5:$G$110="moeda")+(Inputs!$G$5:$G$110="acoes"))*Inputs!$B$1+((Inputs!$G$5:$G$110&lt;&gt;"moeda")*(Inputs!$G$5:$G$110&lt;&gt;"acoes")))*INDEX(Inputs!$K$5:$AJ$110,0,MATCH(AI$2,Inputs!$K$4:$AJ$4,0)))+SUMPRODUCT((Inputs!$E$5:$E$110=$B23)*Inputs!$F$5:$F$110*(((Inputs!$G$5:$G$110="moeda")+(Inputs!$G$5:$G$110="acoes"))*Inputs!$B$1+((Inputs!$G$5:$G$110&lt;&gt;"moeda")*(Inputs!$G$5:$G$110&lt;&gt;"acoes")))*INDEX(Inputs!$K$5:$AJ$110,0,MATCH(AI$2,Inputs!$K$4:$AJ$4,0)))))</f>
        <v>2749</v>
      </c>
      <c r="AJ23" s="267">
        <f>IF(ISNA(MATCH(AJ$2,Inputs!$K$4:$AJ$4,0)),NA(),IF(SUMPRODUCT((Inputs!$A$5:$A$110=$B23)*ISNUMBER(INDEX(Inputs!$K$5:$AJ$110,0,MATCH(AJ$2,Inputs!$K$4:$AJ$4,0))))+SUMPRODUCT((Inputs!$C$5:$C$110=$B23)*ISNUMBER(INDEX(Inputs!$K$5:$AJ$110,0,MATCH(AJ$2,Inputs!$K$4:$AJ$4,0))))+SUMPRODUCT((Inputs!$E$5:$E$110=$B23)*ISNUMBER(INDEX(Inputs!$K$5:$AJ$110,0,MATCH(AJ$2,Inputs!$K$4:$AJ$4,0))))=0,NA(),SUMPRODUCT((Inputs!$A$5:$A$110=$B23)*Inputs!$B$5:$B$110*(((Inputs!$G$5:$G$110="moeda")+(Inputs!$G$5:$G$110="acoes"))*Inputs!$B$1+((Inputs!$G$5:$G$110&lt;&gt;"moeda")*(Inputs!$G$5:$G$110&lt;&gt;"acoes")))*INDEX(Inputs!$K$5:$AJ$110,0,MATCH(AJ$2,Inputs!$K$4:$AJ$4,0)))+SUMPRODUCT((Inputs!$C$5:$C$110=$B23)*Inputs!$D$5:$D$110*(((Inputs!$G$5:$G$110="moeda")+(Inputs!$G$5:$G$110="acoes"))*Inputs!$B$1+((Inputs!$G$5:$G$110&lt;&gt;"moeda")*(Inputs!$G$5:$G$110&lt;&gt;"acoes")))*INDEX(Inputs!$K$5:$AJ$110,0,MATCH(AJ$2,Inputs!$K$4:$AJ$4,0)))+SUMPRODUCT((Inputs!$E$5:$E$110=$B23)*Inputs!$F$5:$F$110*(((Inputs!$G$5:$G$110="moeda")+(Inputs!$G$5:$G$110="acoes"))*Inputs!$B$1+((Inputs!$G$5:$G$110&lt;&gt;"moeda")*(Inputs!$G$5:$G$110&lt;&gt;"acoes")))*INDEX(Inputs!$K$5:$AJ$110,0,MATCH(AJ$2,Inputs!$K$4:$AJ$4,0)))))</f>
        <v>2788</v>
      </c>
      <c r="AK23" s="267">
        <f>IF(ISNA(MATCH(AK$2,Inputs!$K$4:$AJ$4,0)),NA(),IF(SUMPRODUCT((Inputs!$A$5:$A$110=$B23)*ISNUMBER(INDEX(Inputs!$K$5:$AJ$110,0,MATCH(AK$2,Inputs!$K$4:$AJ$4,0))))+SUMPRODUCT((Inputs!$C$5:$C$110=$B23)*ISNUMBER(INDEX(Inputs!$K$5:$AJ$110,0,MATCH(AK$2,Inputs!$K$4:$AJ$4,0))))+SUMPRODUCT((Inputs!$E$5:$E$110=$B23)*ISNUMBER(INDEX(Inputs!$K$5:$AJ$110,0,MATCH(AK$2,Inputs!$K$4:$AJ$4,0))))=0,NA(),SUMPRODUCT((Inputs!$A$5:$A$110=$B23)*Inputs!$B$5:$B$110*(((Inputs!$G$5:$G$110="moeda")+(Inputs!$G$5:$G$110="acoes"))*Inputs!$B$1+((Inputs!$G$5:$G$110&lt;&gt;"moeda")*(Inputs!$G$5:$G$110&lt;&gt;"acoes")))*INDEX(Inputs!$K$5:$AJ$110,0,MATCH(AK$2,Inputs!$K$4:$AJ$4,0)))+SUMPRODUCT((Inputs!$C$5:$C$110=$B23)*Inputs!$D$5:$D$110*(((Inputs!$G$5:$G$110="moeda")+(Inputs!$G$5:$G$110="acoes"))*Inputs!$B$1+((Inputs!$G$5:$G$110&lt;&gt;"moeda")*(Inputs!$G$5:$G$110&lt;&gt;"acoes")))*INDEX(Inputs!$K$5:$AJ$110,0,MATCH(AK$2,Inputs!$K$4:$AJ$4,0)))+SUMPRODUCT((Inputs!$E$5:$E$110=$B23)*Inputs!$F$5:$F$110*(((Inputs!$G$5:$G$110="moeda")+(Inputs!$G$5:$G$110="acoes"))*Inputs!$B$1+((Inputs!$G$5:$G$110&lt;&gt;"moeda")*(Inputs!$G$5:$G$110&lt;&gt;"acoes")))*INDEX(Inputs!$K$5:$AJ$110,0,MATCH(AK$2,Inputs!$K$4:$AJ$4,0)))))</f>
        <v>2785</v>
      </c>
      <c r="AL23" s="268">
        <f>AK23</f>
        <v>2785</v>
      </c>
    </row>
    <row r="24" ht="12.75" customHeight="1" s="255">
      <c r="B24" s="265" t="n">
        <v>20</v>
      </c>
      <c r="C24" s="270" t="inlineStr">
        <is>
          <t>Goodwill</t>
        </is>
      </c>
      <c r="D24" s="267">
        <f>IF(ISNA(MATCH(D$2,Inputs!$K$4:$AJ$4,0)),NA(),IF(SUMPRODUCT((Inputs!$A$5:$A$110=$B24)*ISNUMBER(INDEX(Inputs!$K$5:$AJ$110,0,MATCH(D$2,Inputs!$K$4:$AJ$4,0))))+SUMPRODUCT((Inputs!$C$5:$C$110=$B24)*ISNUMBER(INDEX(Inputs!$K$5:$AJ$110,0,MATCH(D$2,Inputs!$K$4:$AJ$4,0))))+SUMPRODUCT((Inputs!$E$5:$E$110=$B24)*ISNUMBER(INDEX(Inputs!$K$5:$AJ$110,0,MATCH(D$2,Inputs!$K$4:$AJ$4,0))))=0,NA(),SUMPRODUCT((Inputs!$A$5:$A$110=$B24)*Inputs!$B$5:$B$110*(((Inputs!$G$5:$G$110="moeda")+(Inputs!$G$5:$G$110="acoes"))*Inputs!$B$1+((Inputs!$G$5:$G$110&lt;&gt;"moeda")*(Inputs!$G$5:$G$110&lt;&gt;"acoes")))*INDEX(Inputs!$K$5:$AJ$110,0,MATCH(D$2,Inputs!$K$4:$AJ$4,0)))+SUMPRODUCT((Inputs!$C$5:$C$110=$B24)*Inputs!$D$5:$D$110*(((Inputs!$G$5:$G$110="moeda")+(Inputs!$G$5:$G$110="acoes"))*Inputs!$B$1+((Inputs!$G$5:$G$110&lt;&gt;"moeda")*(Inputs!$G$5:$G$110&lt;&gt;"acoes")))*INDEX(Inputs!$K$5:$AJ$110,0,MATCH(D$2,Inputs!$K$4:$AJ$4,0)))+SUMPRODUCT((Inputs!$E$5:$E$110=$B24)*Inputs!$F$5:$F$110*(((Inputs!$G$5:$G$110="moeda")+(Inputs!$G$5:$G$110="acoes"))*Inputs!$B$1+((Inputs!$G$5:$G$110&lt;&gt;"moeda")*(Inputs!$G$5:$G$110&lt;&gt;"acoes")))*INDEX(Inputs!$K$5:$AJ$110,0,MATCH(D$2,Inputs!$K$4:$AJ$4,0)))))</f>
        <v>0</v>
      </c>
      <c r="E24" s="267">
        <f>IF(ISNA(MATCH(E$2,Inputs!$K$4:$AJ$4,0)),NA(),IF(SUMPRODUCT((Inputs!$A$5:$A$110=$B24)*ISNUMBER(INDEX(Inputs!$K$5:$AJ$110,0,MATCH(E$2,Inputs!$K$4:$AJ$4,0))))+SUMPRODUCT((Inputs!$C$5:$C$110=$B24)*ISNUMBER(INDEX(Inputs!$K$5:$AJ$110,0,MATCH(E$2,Inputs!$K$4:$AJ$4,0))))+SUMPRODUCT((Inputs!$E$5:$E$110=$B24)*ISNUMBER(INDEX(Inputs!$K$5:$AJ$110,0,MATCH(E$2,Inputs!$K$4:$AJ$4,0))))=0,NA(),SUMPRODUCT((Inputs!$A$5:$A$110=$B24)*Inputs!$B$5:$B$110*(((Inputs!$G$5:$G$110="moeda")+(Inputs!$G$5:$G$110="acoes"))*Inputs!$B$1+((Inputs!$G$5:$G$110&lt;&gt;"moeda")*(Inputs!$G$5:$G$110&lt;&gt;"acoes")))*INDEX(Inputs!$K$5:$AJ$110,0,MATCH(E$2,Inputs!$K$4:$AJ$4,0)))+SUMPRODUCT((Inputs!$C$5:$C$110=$B24)*Inputs!$D$5:$D$110*(((Inputs!$G$5:$G$110="moeda")+(Inputs!$G$5:$G$110="acoes"))*Inputs!$B$1+((Inputs!$G$5:$G$110&lt;&gt;"moeda")*(Inputs!$G$5:$G$110&lt;&gt;"acoes")))*INDEX(Inputs!$K$5:$AJ$110,0,MATCH(E$2,Inputs!$K$4:$AJ$4,0)))+SUMPRODUCT((Inputs!$E$5:$E$110=$B24)*Inputs!$F$5:$F$110*(((Inputs!$G$5:$G$110="moeda")+(Inputs!$G$5:$G$110="acoes"))*Inputs!$B$1+((Inputs!$G$5:$G$110&lt;&gt;"moeda")*(Inputs!$G$5:$G$110&lt;&gt;"acoes")))*INDEX(Inputs!$K$5:$AJ$110,0,MATCH(E$2,Inputs!$K$4:$AJ$4,0)))))</f>
        <v>0</v>
      </c>
      <c r="F24" s="267">
        <f>IF(ISNA(MATCH(F$2,Inputs!$K$4:$AJ$4,0)),NA(),IF(SUMPRODUCT((Inputs!$A$5:$A$110=$B24)*ISNUMBER(INDEX(Inputs!$K$5:$AJ$110,0,MATCH(F$2,Inputs!$K$4:$AJ$4,0))))+SUMPRODUCT((Inputs!$C$5:$C$110=$B24)*ISNUMBER(INDEX(Inputs!$K$5:$AJ$110,0,MATCH(F$2,Inputs!$K$4:$AJ$4,0))))+SUMPRODUCT((Inputs!$E$5:$E$110=$B24)*ISNUMBER(INDEX(Inputs!$K$5:$AJ$110,0,MATCH(F$2,Inputs!$K$4:$AJ$4,0))))=0,NA(),SUMPRODUCT((Inputs!$A$5:$A$110=$B24)*Inputs!$B$5:$B$110*(((Inputs!$G$5:$G$110="moeda")+(Inputs!$G$5:$G$110="acoes"))*Inputs!$B$1+((Inputs!$G$5:$G$110&lt;&gt;"moeda")*(Inputs!$G$5:$G$110&lt;&gt;"acoes")))*INDEX(Inputs!$K$5:$AJ$110,0,MATCH(F$2,Inputs!$K$4:$AJ$4,0)))+SUMPRODUCT((Inputs!$C$5:$C$110=$B24)*Inputs!$D$5:$D$110*(((Inputs!$G$5:$G$110="moeda")+(Inputs!$G$5:$G$110="acoes"))*Inputs!$B$1+((Inputs!$G$5:$G$110&lt;&gt;"moeda")*(Inputs!$G$5:$G$110&lt;&gt;"acoes")))*INDEX(Inputs!$K$5:$AJ$110,0,MATCH(F$2,Inputs!$K$4:$AJ$4,0)))+SUMPRODUCT((Inputs!$E$5:$E$110=$B24)*Inputs!$F$5:$F$110*(((Inputs!$G$5:$G$110="moeda")+(Inputs!$G$5:$G$110="acoes"))*Inputs!$B$1+((Inputs!$G$5:$G$110&lt;&gt;"moeda")*(Inputs!$G$5:$G$110&lt;&gt;"acoes")))*INDEX(Inputs!$K$5:$AJ$110,0,MATCH(F$2,Inputs!$K$4:$AJ$4,0)))))</f>
        <v>0</v>
      </c>
      <c r="G24" s="267">
        <f>IF(ISNA(MATCH(G$2,Inputs!$K$4:$AJ$4,0)),NA(),IF(SUMPRODUCT((Inputs!$A$5:$A$110=$B24)*ISNUMBER(INDEX(Inputs!$K$5:$AJ$110,0,MATCH(G$2,Inputs!$K$4:$AJ$4,0))))+SUMPRODUCT((Inputs!$C$5:$C$110=$B24)*ISNUMBER(INDEX(Inputs!$K$5:$AJ$110,0,MATCH(G$2,Inputs!$K$4:$AJ$4,0))))+SUMPRODUCT((Inputs!$E$5:$E$110=$B24)*ISNUMBER(INDEX(Inputs!$K$5:$AJ$110,0,MATCH(G$2,Inputs!$K$4:$AJ$4,0))))=0,NA(),SUMPRODUCT((Inputs!$A$5:$A$110=$B24)*Inputs!$B$5:$B$110*(((Inputs!$G$5:$G$110="moeda")+(Inputs!$G$5:$G$110="acoes"))*Inputs!$B$1+((Inputs!$G$5:$G$110&lt;&gt;"moeda")*(Inputs!$G$5:$G$110&lt;&gt;"acoes")))*INDEX(Inputs!$K$5:$AJ$110,0,MATCH(G$2,Inputs!$K$4:$AJ$4,0)))+SUMPRODUCT((Inputs!$C$5:$C$110=$B24)*Inputs!$D$5:$D$110*(((Inputs!$G$5:$G$110="moeda")+(Inputs!$G$5:$G$110="acoes"))*Inputs!$B$1+((Inputs!$G$5:$G$110&lt;&gt;"moeda")*(Inputs!$G$5:$G$110&lt;&gt;"acoes")))*INDEX(Inputs!$K$5:$AJ$110,0,MATCH(G$2,Inputs!$K$4:$AJ$4,0)))+SUMPRODUCT((Inputs!$E$5:$E$110=$B24)*Inputs!$F$5:$F$110*(((Inputs!$G$5:$G$110="moeda")+(Inputs!$G$5:$G$110="acoes"))*Inputs!$B$1+((Inputs!$G$5:$G$110&lt;&gt;"moeda")*(Inputs!$G$5:$G$110&lt;&gt;"acoes")))*INDEX(Inputs!$K$5:$AJ$110,0,MATCH(G$2,Inputs!$K$4:$AJ$4,0)))))</f>
        <v>0</v>
      </c>
      <c r="H24" s="268">
        <f>G24</f>
        <v>0</v>
      </c>
      <c r="I24" s="267">
        <f>IF(ISNA(MATCH(I$2,Inputs!$K$4:$AJ$4,0)),NA(),IF(SUMPRODUCT((Inputs!$A$5:$A$110=$B24)*ISNUMBER(INDEX(Inputs!$K$5:$AJ$110,0,MATCH(I$2,Inputs!$K$4:$AJ$4,0))))+SUMPRODUCT((Inputs!$C$5:$C$110=$B24)*ISNUMBER(INDEX(Inputs!$K$5:$AJ$110,0,MATCH(I$2,Inputs!$K$4:$AJ$4,0))))+SUMPRODUCT((Inputs!$E$5:$E$110=$B24)*ISNUMBER(INDEX(Inputs!$K$5:$AJ$110,0,MATCH(I$2,Inputs!$K$4:$AJ$4,0))))=0,NA(),SUMPRODUCT((Inputs!$A$5:$A$110=$B24)*Inputs!$B$5:$B$110*(((Inputs!$G$5:$G$110="moeda")+(Inputs!$G$5:$G$110="acoes"))*Inputs!$B$1+((Inputs!$G$5:$G$110&lt;&gt;"moeda")*(Inputs!$G$5:$G$110&lt;&gt;"acoes")))*INDEX(Inputs!$K$5:$AJ$110,0,MATCH(I$2,Inputs!$K$4:$AJ$4,0)))+SUMPRODUCT((Inputs!$C$5:$C$110=$B24)*Inputs!$D$5:$D$110*(((Inputs!$G$5:$G$110="moeda")+(Inputs!$G$5:$G$110="acoes"))*Inputs!$B$1+((Inputs!$G$5:$G$110&lt;&gt;"moeda")*(Inputs!$G$5:$G$110&lt;&gt;"acoes")))*INDEX(Inputs!$K$5:$AJ$110,0,MATCH(I$2,Inputs!$K$4:$AJ$4,0)))+SUMPRODUCT((Inputs!$E$5:$E$110=$B24)*Inputs!$F$5:$F$110*(((Inputs!$G$5:$G$110="moeda")+(Inputs!$G$5:$G$110="acoes"))*Inputs!$B$1+((Inputs!$G$5:$G$110&lt;&gt;"moeda")*(Inputs!$G$5:$G$110&lt;&gt;"acoes")))*INDEX(Inputs!$K$5:$AJ$110,0,MATCH(I$2,Inputs!$K$4:$AJ$4,0)))))</f>
        <v>0</v>
      </c>
      <c r="J24" s="267">
        <f>IF(ISNA(MATCH(J$2,Inputs!$K$4:$AJ$4,0)),NA(),IF(SUMPRODUCT((Inputs!$A$5:$A$110=$B24)*ISNUMBER(INDEX(Inputs!$K$5:$AJ$110,0,MATCH(J$2,Inputs!$K$4:$AJ$4,0))))+SUMPRODUCT((Inputs!$C$5:$C$110=$B24)*ISNUMBER(INDEX(Inputs!$K$5:$AJ$110,0,MATCH(J$2,Inputs!$K$4:$AJ$4,0))))+SUMPRODUCT((Inputs!$E$5:$E$110=$B24)*ISNUMBER(INDEX(Inputs!$K$5:$AJ$110,0,MATCH(J$2,Inputs!$K$4:$AJ$4,0))))=0,NA(),SUMPRODUCT((Inputs!$A$5:$A$110=$B24)*Inputs!$B$5:$B$110*(((Inputs!$G$5:$G$110="moeda")+(Inputs!$G$5:$G$110="acoes"))*Inputs!$B$1+((Inputs!$G$5:$G$110&lt;&gt;"moeda")*(Inputs!$G$5:$G$110&lt;&gt;"acoes")))*INDEX(Inputs!$K$5:$AJ$110,0,MATCH(J$2,Inputs!$K$4:$AJ$4,0)))+SUMPRODUCT((Inputs!$C$5:$C$110=$B24)*Inputs!$D$5:$D$110*(((Inputs!$G$5:$G$110="moeda")+(Inputs!$G$5:$G$110="acoes"))*Inputs!$B$1+((Inputs!$G$5:$G$110&lt;&gt;"moeda")*(Inputs!$G$5:$G$110&lt;&gt;"acoes")))*INDEX(Inputs!$K$5:$AJ$110,0,MATCH(J$2,Inputs!$K$4:$AJ$4,0)))+SUMPRODUCT((Inputs!$E$5:$E$110=$B24)*Inputs!$F$5:$F$110*(((Inputs!$G$5:$G$110="moeda")+(Inputs!$G$5:$G$110="acoes"))*Inputs!$B$1+((Inputs!$G$5:$G$110&lt;&gt;"moeda")*(Inputs!$G$5:$G$110&lt;&gt;"acoes")))*INDEX(Inputs!$K$5:$AJ$110,0,MATCH(J$2,Inputs!$K$4:$AJ$4,0)))))</f>
        <v>0</v>
      </c>
      <c r="K24" s="267">
        <f>IF(ISNA(MATCH(K$2,Inputs!$K$4:$AJ$4,0)),NA(),IF(SUMPRODUCT((Inputs!$A$5:$A$110=$B24)*ISNUMBER(INDEX(Inputs!$K$5:$AJ$110,0,MATCH(K$2,Inputs!$K$4:$AJ$4,0))))+SUMPRODUCT((Inputs!$C$5:$C$110=$B24)*ISNUMBER(INDEX(Inputs!$K$5:$AJ$110,0,MATCH(K$2,Inputs!$K$4:$AJ$4,0))))+SUMPRODUCT((Inputs!$E$5:$E$110=$B24)*ISNUMBER(INDEX(Inputs!$K$5:$AJ$110,0,MATCH(K$2,Inputs!$K$4:$AJ$4,0))))=0,NA(),SUMPRODUCT((Inputs!$A$5:$A$110=$B24)*Inputs!$B$5:$B$110*(((Inputs!$G$5:$G$110="moeda")+(Inputs!$G$5:$G$110="acoes"))*Inputs!$B$1+((Inputs!$G$5:$G$110&lt;&gt;"moeda")*(Inputs!$G$5:$G$110&lt;&gt;"acoes")))*INDEX(Inputs!$K$5:$AJ$110,0,MATCH(K$2,Inputs!$K$4:$AJ$4,0)))+SUMPRODUCT((Inputs!$C$5:$C$110=$B24)*Inputs!$D$5:$D$110*(((Inputs!$G$5:$G$110="moeda")+(Inputs!$G$5:$G$110="acoes"))*Inputs!$B$1+((Inputs!$G$5:$G$110&lt;&gt;"moeda")*(Inputs!$G$5:$G$110&lt;&gt;"acoes")))*INDEX(Inputs!$K$5:$AJ$110,0,MATCH(K$2,Inputs!$K$4:$AJ$4,0)))+SUMPRODUCT((Inputs!$E$5:$E$110=$B24)*Inputs!$F$5:$F$110*(((Inputs!$G$5:$G$110="moeda")+(Inputs!$G$5:$G$110="acoes"))*Inputs!$B$1+((Inputs!$G$5:$G$110&lt;&gt;"moeda")*(Inputs!$G$5:$G$110&lt;&gt;"acoes")))*INDEX(Inputs!$K$5:$AJ$110,0,MATCH(K$2,Inputs!$K$4:$AJ$4,0)))))</f>
        <v>0</v>
      </c>
      <c r="L24" s="267">
        <f>IF(ISNA(MATCH(L$2,Inputs!$K$4:$AJ$4,0)),NA(),IF(SUMPRODUCT((Inputs!$A$5:$A$110=$B24)*ISNUMBER(INDEX(Inputs!$K$5:$AJ$110,0,MATCH(L$2,Inputs!$K$4:$AJ$4,0))))+SUMPRODUCT((Inputs!$C$5:$C$110=$B24)*ISNUMBER(INDEX(Inputs!$K$5:$AJ$110,0,MATCH(L$2,Inputs!$K$4:$AJ$4,0))))+SUMPRODUCT((Inputs!$E$5:$E$110=$B24)*ISNUMBER(INDEX(Inputs!$K$5:$AJ$110,0,MATCH(L$2,Inputs!$K$4:$AJ$4,0))))=0,NA(),SUMPRODUCT((Inputs!$A$5:$A$110=$B24)*Inputs!$B$5:$B$110*(((Inputs!$G$5:$G$110="moeda")+(Inputs!$G$5:$G$110="acoes"))*Inputs!$B$1+((Inputs!$G$5:$G$110&lt;&gt;"moeda")*(Inputs!$G$5:$G$110&lt;&gt;"acoes")))*INDEX(Inputs!$K$5:$AJ$110,0,MATCH(L$2,Inputs!$K$4:$AJ$4,0)))+SUMPRODUCT((Inputs!$C$5:$C$110=$B24)*Inputs!$D$5:$D$110*(((Inputs!$G$5:$G$110="moeda")+(Inputs!$G$5:$G$110="acoes"))*Inputs!$B$1+((Inputs!$G$5:$G$110&lt;&gt;"moeda")*(Inputs!$G$5:$G$110&lt;&gt;"acoes")))*INDEX(Inputs!$K$5:$AJ$110,0,MATCH(L$2,Inputs!$K$4:$AJ$4,0)))+SUMPRODUCT((Inputs!$E$5:$E$110=$B24)*Inputs!$F$5:$F$110*(((Inputs!$G$5:$G$110="moeda")+(Inputs!$G$5:$G$110="acoes"))*Inputs!$B$1+((Inputs!$G$5:$G$110&lt;&gt;"moeda")*(Inputs!$G$5:$G$110&lt;&gt;"acoes")))*INDEX(Inputs!$K$5:$AJ$110,0,MATCH(L$2,Inputs!$K$4:$AJ$4,0)))))</f>
        <v>0</v>
      </c>
      <c r="M24" s="268">
        <f>L24</f>
        <v>0</v>
      </c>
      <c r="N24" s="267">
        <f>IF(ISNA(MATCH(N$2,Inputs!$K$4:$AJ$4,0)),NA(),IF(SUMPRODUCT((Inputs!$A$5:$A$110=$B24)*ISNUMBER(INDEX(Inputs!$K$5:$AJ$110,0,MATCH(N$2,Inputs!$K$4:$AJ$4,0))))+SUMPRODUCT((Inputs!$C$5:$C$110=$B24)*ISNUMBER(INDEX(Inputs!$K$5:$AJ$110,0,MATCH(N$2,Inputs!$K$4:$AJ$4,0))))+SUMPRODUCT((Inputs!$E$5:$E$110=$B24)*ISNUMBER(INDEX(Inputs!$K$5:$AJ$110,0,MATCH(N$2,Inputs!$K$4:$AJ$4,0))))=0,NA(),SUMPRODUCT((Inputs!$A$5:$A$110=$B24)*Inputs!$B$5:$B$110*(((Inputs!$G$5:$G$110="moeda")+(Inputs!$G$5:$G$110="acoes"))*Inputs!$B$1+((Inputs!$G$5:$G$110&lt;&gt;"moeda")*(Inputs!$G$5:$G$110&lt;&gt;"acoes")))*INDEX(Inputs!$K$5:$AJ$110,0,MATCH(N$2,Inputs!$K$4:$AJ$4,0)))+SUMPRODUCT((Inputs!$C$5:$C$110=$B24)*Inputs!$D$5:$D$110*(((Inputs!$G$5:$G$110="moeda")+(Inputs!$G$5:$G$110="acoes"))*Inputs!$B$1+((Inputs!$G$5:$G$110&lt;&gt;"moeda")*(Inputs!$G$5:$G$110&lt;&gt;"acoes")))*INDEX(Inputs!$K$5:$AJ$110,0,MATCH(N$2,Inputs!$K$4:$AJ$4,0)))+SUMPRODUCT((Inputs!$E$5:$E$110=$B24)*Inputs!$F$5:$F$110*(((Inputs!$G$5:$G$110="moeda")+(Inputs!$G$5:$G$110="acoes"))*Inputs!$B$1+((Inputs!$G$5:$G$110&lt;&gt;"moeda")*(Inputs!$G$5:$G$110&lt;&gt;"acoes")))*INDEX(Inputs!$K$5:$AJ$110,0,MATCH(N$2,Inputs!$K$4:$AJ$4,0)))))</f>
        <v>0</v>
      </c>
      <c r="O24" s="267">
        <f>IF(ISNA(MATCH(O$2,Inputs!$K$4:$AJ$4,0)),NA(),IF(SUMPRODUCT((Inputs!$A$5:$A$110=$B24)*ISNUMBER(INDEX(Inputs!$K$5:$AJ$110,0,MATCH(O$2,Inputs!$K$4:$AJ$4,0))))+SUMPRODUCT((Inputs!$C$5:$C$110=$B24)*ISNUMBER(INDEX(Inputs!$K$5:$AJ$110,0,MATCH(O$2,Inputs!$K$4:$AJ$4,0))))+SUMPRODUCT((Inputs!$E$5:$E$110=$B24)*ISNUMBER(INDEX(Inputs!$K$5:$AJ$110,0,MATCH(O$2,Inputs!$K$4:$AJ$4,0))))=0,NA(),SUMPRODUCT((Inputs!$A$5:$A$110=$B24)*Inputs!$B$5:$B$110*(((Inputs!$G$5:$G$110="moeda")+(Inputs!$G$5:$G$110="acoes"))*Inputs!$B$1+((Inputs!$G$5:$G$110&lt;&gt;"moeda")*(Inputs!$G$5:$G$110&lt;&gt;"acoes")))*INDEX(Inputs!$K$5:$AJ$110,0,MATCH(O$2,Inputs!$K$4:$AJ$4,0)))+SUMPRODUCT((Inputs!$C$5:$C$110=$B24)*Inputs!$D$5:$D$110*(((Inputs!$G$5:$G$110="moeda")+(Inputs!$G$5:$G$110="acoes"))*Inputs!$B$1+((Inputs!$G$5:$G$110&lt;&gt;"moeda")*(Inputs!$G$5:$G$110&lt;&gt;"acoes")))*INDEX(Inputs!$K$5:$AJ$110,0,MATCH(O$2,Inputs!$K$4:$AJ$4,0)))+SUMPRODUCT((Inputs!$E$5:$E$110=$B24)*Inputs!$F$5:$F$110*(((Inputs!$G$5:$G$110="moeda")+(Inputs!$G$5:$G$110="acoes"))*Inputs!$B$1+((Inputs!$G$5:$G$110&lt;&gt;"moeda")*(Inputs!$G$5:$G$110&lt;&gt;"acoes")))*INDEX(Inputs!$K$5:$AJ$110,0,MATCH(O$2,Inputs!$K$4:$AJ$4,0)))))</f>
        <v>0</v>
      </c>
      <c r="P24" s="267">
        <f>IF(ISNA(MATCH(P$2,Inputs!$K$4:$AJ$4,0)),NA(),IF(SUMPRODUCT((Inputs!$A$5:$A$110=$B24)*ISNUMBER(INDEX(Inputs!$K$5:$AJ$110,0,MATCH(P$2,Inputs!$K$4:$AJ$4,0))))+SUMPRODUCT((Inputs!$C$5:$C$110=$B24)*ISNUMBER(INDEX(Inputs!$K$5:$AJ$110,0,MATCH(P$2,Inputs!$K$4:$AJ$4,0))))+SUMPRODUCT((Inputs!$E$5:$E$110=$B24)*ISNUMBER(INDEX(Inputs!$K$5:$AJ$110,0,MATCH(P$2,Inputs!$K$4:$AJ$4,0))))=0,NA(),SUMPRODUCT((Inputs!$A$5:$A$110=$B24)*Inputs!$B$5:$B$110*(((Inputs!$G$5:$G$110="moeda")+(Inputs!$G$5:$G$110="acoes"))*Inputs!$B$1+((Inputs!$G$5:$G$110&lt;&gt;"moeda")*(Inputs!$G$5:$G$110&lt;&gt;"acoes")))*INDEX(Inputs!$K$5:$AJ$110,0,MATCH(P$2,Inputs!$K$4:$AJ$4,0)))+SUMPRODUCT((Inputs!$C$5:$C$110=$B24)*Inputs!$D$5:$D$110*(((Inputs!$G$5:$G$110="moeda")+(Inputs!$G$5:$G$110="acoes"))*Inputs!$B$1+((Inputs!$G$5:$G$110&lt;&gt;"moeda")*(Inputs!$G$5:$G$110&lt;&gt;"acoes")))*INDEX(Inputs!$K$5:$AJ$110,0,MATCH(P$2,Inputs!$K$4:$AJ$4,0)))+SUMPRODUCT((Inputs!$E$5:$E$110=$B24)*Inputs!$F$5:$F$110*(((Inputs!$G$5:$G$110="moeda")+(Inputs!$G$5:$G$110="acoes"))*Inputs!$B$1+((Inputs!$G$5:$G$110&lt;&gt;"moeda")*(Inputs!$G$5:$G$110&lt;&gt;"acoes")))*INDEX(Inputs!$K$5:$AJ$110,0,MATCH(P$2,Inputs!$K$4:$AJ$4,0)))))</f>
        <v>0</v>
      </c>
      <c r="Q24" s="267">
        <f>IF(ISNA(MATCH(Q$2,Inputs!$K$4:$AJ$4,0)),NA(),IF(SUMPRODUCT((Inputs!$A$5:$A$110=$B24)*ISNUMBER(INDEX(Inputs!$K$5:$AJ$110,0,MATCH(Q$2,Inputs!$K$4:$AJ$4,0))))+SUMPRODUCT((Inputs!$C$5:$C$110=$B24)*ISNUMBER(INDEX(Inputs!$K$5:$AJ$110,0,MATCH(Q$2,Inputs!$K$4:$AJ$4,0))))+SUMPRODUCT((Inputs!$E$5:$E$110=$B24)*ISNUMBER(INDEX(Inputs!$K$5:$AJ$110,0,MATCH(Q$2,Inputs!$K$4:$AJ$4,0))))=0,NA(),SUMPRODUCT((Inputs!$A$5:$A$110=$B24)*Inputs!$B$5:$B$110*(((Inputs!$G$5:$G$110="moeda")+(Inputs!$G$5:$G$110="acoes"))*Inputs!$B$1+((Inputs!$G$5:$G$110&lt;&gt;"moeda")*(Inputs!$G$5:$G$110&lt;&gt;"acoes")))*INDEX(Inputs!$K$5:$AJ$110,0,MATCH(Q$2,Inputs!$K$4:$AJ$4,0)))+SUMPRODUCT((Inputs!$C$5:$C$110=$B24)*Inputs!$D$5:$D$110*(((Inputs!$G$5:$G$110="moeda")+(Inputs!$G$5:$G$110="acoes"))*Inputs!$B$1+((Inputs!$G$5:$G$110&lt;&gt;"moeda")*(Inputs!$G$5:$G$110&lt;&gt;"acoes")))*INDEX(Inputs!$K$5:$AJ$110,0,MATCH(Q$2,Inputs!$K$4:$AJ$4,0)))+SUMPRODUCT((Inputs!$E$5:$E$110=$B24)*Inputs!$F$5:$F$110*(((Inputs!$G$5:$G$110="moeda")+(Inputs!$G$5:$G$110="acoes"))*Inputs!$B$1+((Inputs!$G$5:$G$110&lt;&gt;"moeda")*(Inputs!$G$5:$G$110&lt;&gt;"acoes")))*INDEX(Inputs!$K$5:$AJ$110,0,MATCH(Q$2,Inputs!$K$4:$AJ$4,0)))))</f>
        <v>0</v>
      </c>
      <c r="R24" s="268">
        <f>Q24</f>
        <v>0</v>
      </c>
      <c r="S24" s="267">
        <f>IF(ISNA(MATCH(S$2,Inputs!$K$4:$AJ$4,0)),NA(),IF(SUMPRODUCT((Inputs!$A$5:$A$110=$B24)*ISNUMBER(INDEX(Inputs!$K$5:$AJ$110,0,MATCH(S$2,Inputs!$K$4:$AJ$4,0))))+SUMPRODUCT((Inputs!$C$5:$C$110=$B24)*ISNUMBER(INDEX(Inputs!$K$5:$AJ$110,0,MATCH(S$2,Inputs!$K$4:$AJ$4,0))))+SUMPRODUCT((Inputs!$E$5:$E$110=$B24)*ISNUMBER(INDEX(Inputs!$K$5:$AJ$110,0,MATCH(S$2,Inputs!$K$4:$AJ$4,0))))=0,NA(),SUMPRODUCT((Inputs!$A$5:$A$110=$B24)*Inputs!$B$5:$B$110*(((Inputs!$G$5:$G$110="moeda")+(Inputs!$G$5:$G$110="acoes"))*Inputs!$B$1+((Inputs!$G$5:$G$110&lt;&gt;"moeda")*(Inputs!$G$5:$G$110&lt;&gt;"acoes")))*INDEX(Inputs!$K$5:$AJ$110,0,MATCH(S$2,Inputs!$K$4:$AJ$4,0)))+SUMPRODUCT((Inputs!$C$5:$C$110=$B24)*Inputs!$D$5:$D$110*(((Inputs!$G$5:$G$110="moeda")+(Inputs!$G$5:$G$110="acoes"))*Inputs!$B$1+((Inputs!$G$5:$G$110&lt;&gt;"moeda")*(Inputs!$G$5:$G$110&lt;&gt;"acoes")))*INDEX(Inputs!$K$5:$AJ$110,0,MATCH(S$2,Inputs!$K$4:$AJ$4,0)))+SUMPRODUCT((Inputs!$E$5:$E$110=$B24)*Inputs!$F$5:$F$110*(((Inputs!$G$5:$G$110="moeda")+(Inputs!$G$5:$G$110="acoes"))*Inputs!$B$1+((Inputs!$G$5:$G$110&lt;&gt;"moeda")*(Inputs!$G$5:$G$110&lt;&gt;"acoes")))*INDEX(Inputs!$K$5:$AJ$110,0,MATCH(S$2,Inputs!$K$4:$AJ$4,0)))))</f>
        <v>0</v>
      </c>
      <c r="T24" s="267">
        <f>IF(ISNA(MATCH(T$2,Inputs!$K$4:$AJ$4,0)),NA(),IF(SUMPRODUCT((Inputs!$A$5:$A$110=$B24)*ISNUMBER(INDEX(Inputs!$K$5:$AJ$110,0,MATCH(T$2,Inputs!$K$4:$AJ$4,0))))+SUMPRODUCT((Inputs!$C$5:$C$110=$B24)*ISNUMBER(INDEX(Inputs!$K$5:$AJ$110,0,MATCH(T$2,Inputs!$K$4:$AJ$4,0))))+SUMPRODUCT((Inputs!$E$5:$E$110=$B24)*ISNUMBER(INDEX(Inputs!$K$5:$AJ$110,0,MATCH(T$2,Inputs!$K$4:$AJ$4,0))))=0,NA(),SUMPRODUCT((Inputs!$A$5:$A$110=$B24)*Inputs!$B$5:$B$110*(((Inputs!$G$5:$G$110="moeda")+(Inputs!$G$5:$G$110="acoes"))*Inputs!$B$1+((Inputs!$G$5:$G$110&lt;&gt;"moeda")*(Inputs!$G$5:$G$110&lt;&gt;"acoes")))*INDEX(Inputs!$K$5:$AJ$110,0,MATCH(T$2,Inputs!$K$4:$AJ$4,0)))+SUMPRODUCT((Inputs!$C$5:$C$110=$B24)*Inputs!$D$5:$D$110*(((Inputs!$G$5:$G$110="moeda")+(Inputs!$G$5:$G$110="acoes"))*Inputs!$B$1+((Inputs!$G$5:$G$110&lt;&gt;"moeda")*(Inputs!$G$5:$G$110&lt;&gt;"acoes")))*INDEX(Inputs!$K$5:$AJ$110,0,MATCH(T$2,Inputs!$K$4:$AJ$4,0)))+SUMPRODUCT((Inputs!$E$5:$E$110=$B24)*Inputs!$F$5:$F$110*(((Inputs!$G$5:$G$110="moeda")+(Inputs!$G$5:$G$110="acoes"))*Inputs!$B$1+((Inputs!$G$5:$G$110&lt;&gt;"moeda")*(Inputs!$G$5:$G$110&lt;&gt;"acoes")))*INDEX(Inputs!$K$5:$AJ$110,0,MATCH(T$2,Inputs!$K$4:$AJ$4,0)))))</f>
        <v>0</v>
      </c>
      <c r="U24" s="267">
        <f>IF(ISNA(MATCH(U$2,Inputs!$K$4:$AJ$4,0)),NA(),IF(SUMPRODUCT((Inputs!$A$5:$A$110=$B24)*ISNUMBER(INDEX(Inputs!$K$5:$AJ$110,0,MATCH(U$2,Inputs!$K$4:$AJ$4,0))))+SUMPRODUCT((Inputs!$C$5:$C$110=$B24)*ISNUMBER(INDEX(Inputs!$K$5:$AJ$110,0,MATCH(U$2,Inputs!$K$4:$AJ$4,0))))+SUMPRODUCT((Inputs!$E$5:$E$110=$B24)*ISNUMBER(INDEX(Inputs!$K$5:$AJ$110,0,MATCH(U$2,Inputs!$K$4:$AJ$4,0))))=0,NA(),SUMPRODUCT((Inputs!$A$5:$A$110=$B24)*Inputs!$B$5:$B$110*(((Inputs!$G$5:$G$110="moeda")+(Inputs!$G$5:$G$110="acoes"))*Inputs!$B$1+((Inputs!$G$5:$G$110&lt;&gt;"moeda")*(Inputs!$G$5:$G$110&lt;&gt;"acoes")))*INDEX(Inputs!$K$5:$AJ$110,0,MATCH(U$2,Inputs!$K$4:$AJ$4,0)))+SUMPRODUCT((Inputs!$C$5:$C$110=$B24)*Inputs!$D$5:$D$110*(((Inputs!$G$5:$G$110="moeda")+(Inputs!$G$5:$G$110="acoes"))*Inputs!$B$1+((Inputs!$G$5:$G$110&lt;&gt;"moeda")*(Inputs!$G$5:$G$110&lt;&gt;"acoes")))*INDEX(Inputs!$K$5:$AJ$110,0,MATCH(U$2,Inputs!$K$4:$AJ$4,0)))+SUMPRODUCT((Inputs!$E$5:$E$110=$B24)*Inputs!$F$5:$F$110*(((Inputs!$G$5:$G$110="moeda")+(Inputs!$G$5:$G$110="acoes"))*Inputs!$B$1+((Inputs!$G$5:$G$110&lt;&gt;"moeda")*(Inputs!$G$5:$G$110&lt;&gt;"acoes")))*INDEX(Inputs!$K$5:$AJ$110,0,MATCH(U$2,Inputs!$K$4:$AJ$4,0)))))</f>
        <v>0</v>
      </c>
      <c r="V24" s="267">
        <f>IF(ISNA(MATCH(V$2,Inputs!$K$4:$AJ$4,0)),NA(),IF(SUMPRODUCT((Inputs!$A$5:$A$110=$B24)*ISNUMBER(INDEX(Inputs!$K$5:$AJ$110,0,MATCH(V$2,Inputs!$K$4:$AJ$4,0))))+SUMPRODUCT((Inputs!$C$5:$C$110=$B24)*ISNUMBER(INDEX(Inputs!$K$5:$AJ$110,0,MATCH(V$2,Inputs!$K$4:$AJ$4,0))))+SUMPRODUCT((Inputs!$E$5:$E$110=$B24)*ISNUMBER(INDEX(Inputs!$K$5:$AJ$110,0,MATCH(V$2,Inputs!$K$4:$AJ$4,0))))=0,NA(),SUMPRODUCT((Inputs!$A$5:$A$110=$B24)*Inputs!$B$5:$B$110*(((Inputs!$G$5:$G$110="moeda")+(Inputs!$G$5:$G$110="acoes"))*Inputs!$B$1+((Inputs!$G$5:$G$110&lt;&gt;"moeda")*(Inputs!$G$5:$G$110&lt;&gt;"acoes")))*INDEX(Inputs!$K$5:$AJ$110,0,MATCH(V$2,Inputs!$K$4:$AJ$4,0)))+SUMPRODUCT((Inputs!$C$5:$C$110=$B24)*Inputs!$D$5:$D$110*(((Inputs!$G$5:$G$110="moeda")+(Inputs!$G$5:$G$110="acoes"))*Inputs!$B$1+((Inputs!$G$5:$G$110&lt;&gt;"moeda")*(Inputs!$G$5:$G$110&lt;&gt;"acoes")))*INDEX(Inputs!$K$5:$AJ$110,0,MATCH(V$2,Inputs!$K$4:$AJ$4,0)))+SUMPRODUCT((Inputs!$E$5:$E$110=$B24)*Inputs!$F$5:$F$110*(((Inputs!$G$5:$G$110="moeda")+(Inputs!$G$5:$G$110="acoes"))*Inputs!$B$1+((Inputs!$G$5:$G$110&lt;&gt;"moeda")*(Inputs!$G$5:$G$110&lt;&gt;"acoes")))*INDEX(Inputs!$K$5:$AJ$110,0,MATCH(V$2,Inputs!$K$4:$AJ$4,0)))))</f>
        <v>0</v>
      </c>
      <c r="W24" s="268">
        <f>V24</f>
        <v>0</v>
      </c>
      <c r="X24" s="267">
        <f>IF(ISNA(MATCH(X$2,Inputs!$K$4:$AJ$4,0)),NA(),IF(SUMPRODUCT((Inputs!$A$5:$A$110=$B24)*ISNUMBER(INDEX(Inputs!$K$5:$AJ$110,0,MATCH(X$2,Inputs!$K$4:$AJ$4,0))))+SUMPRODUCT((Inputs!$C$5:$C$110=$B24)*ISNUMBER(INDEX(Inputs!$K$5:$AJ$110,0,MATCH(X$2,Inputs!$K$4:$AJ$4,0))))+SUMPRODUCT((Inputs!$E$5:$E$110=$B24)*ISNUMBER(INDEX(Inputs!$K$5:$AJ$110,0,MATCH(X$2,Inputs!$K$4:$AJ$4,0))))=0,NA(),SUMPRODUCT((Inputs!$A$5:$A$110=$B24)*Inputs!$B$5:$B$110*(((Inputs!$G$5:$G$110="moeda")+(Inputs!$G$5:$G$110="acoes"))*Inputs!$B$1+((Inputs!$G$5:$G$110&lt;&gt;"moeda")*(Inputs!$G$5:$G$110&lt;&gt;"acoes")))*INDEX(Inputs!$K$5:$AJ$110,0,MATCH(X$2,Inputs!$K$4:$AJ$4,0)))+SUMPRODUCT((Inputs!$C$5:$C$110=$B24)*Inputs!$D$5:$D$110*(((Inputs!$G$5:$G$110="moeda")+(Inputs!$G$5:$G$110="acoes"))*Inputs!$B$1+((Inputs!$G$5:$G$110&lt;&gt;"moeda")*(Inputs!$G$5:$G$110&lt;&gt;"acoes")))*INDEX(Inputs!$K$5:$AJ$110,0,MATCH(X$2,Inputs!$K$4:$AJ$4,0)))+SUMPRODUCT((Inputs!$E$5:$E$110=$B24)*Inputs!$F$5:$F$110*(((Inputs!$G$5:$G$110="moeda")+(Inputs!$G$5:$G$110="acoes"))*Inputs!$B$1+((Inputs!$G$5:$G$110&lt;&gt;"moeda")*(Inputs!$G$5:$G$110&lt;&gt;"acoes")))*INDEX(Inputs!$K$5:$AJ$110,0,MATCH(X$2,Inputs!$K$4:$AJ$4,0)))))</f>
        <v>0</v>
      </c>
      <c r="Y24" s="267">
        <f>IF(ISNA(MATCH(Y$2,Inputs!$K$4:$AJ$4,0)),NA(),IF(SUMPRODUCT((Inputs!$A$5:$A$110=$B24)*ISNUMBER(INDEX(Inputs!$K$5:$AJ$110,0,MATCH(Y$2,Inputs!$K$4:$AJ$4,0))))+SUMPRODUCT((Inputs!$C$5:$C$110=$B24)*ISNUMBER(INDEX(Inputs!$K$5:$AJ$110,0,MATCH(Y$2,Inputs!$K$4:$AJ$4,0))))+SUMPRODUCT((Inputs!$E$5:$E$110=$B24)*ISNUMBER(INDEX(Inputs!$K$5:$AJ$110,0,MATCH(Y$2,Inputs!$K$4:$AJ$4,0))))=0,NA(),SUMPRODUCT((Inputs!$A$5:$A$110=$B24)*Inputs!$B$5:$B$110*(((Inputs!$G$5:$G$110="moeda")+(Inputs!$G$5:$G$110="acoes"))*Inputs!$B$1+((Inputs!$G$5:$G$110&lt;&gt;"moeda")*(Inputs!$G$5:$G$110&lt;&gt;"acoes")))*INDEX(Inputs!$K$5:$AJ$110,0,MATCH(Y$2,Inputs!$K$4:$AJ$4,0)))+SUMPRODUCT((Inputs!$C$5:$C$110=$B24)*Inputs!$D$5:$D$110*(((Inputs!$G$5:$G$110="moeda")+(Inputs!$G$5:$G$110="acoes"))*Inputs!$B$1+((Inputs!$G$5:$G$110&lt;&gt;"moeda")*(Inputs!$G$5:$G$110&lt;&gt;"acoes")))*INDEX(Inputs!$K$5:$AJ$110,0,MATCH(Y$2,Inputs!$K$4:$AJ$4,0)))+SUMPRODUCT((Inputs!$E$5:$E$110=$B24)*Inputs!$F$5:$F$110*(((Inputs!$G$5:$G$110="moeda")+(Inputs!$G$5:$G$110="acoes"))*Inputs!$B$1+((Inputs!$G$5:$G$110&lt;&gt;"moeda")*(Inputs!$G$5:$G$110&lt;&gt;"acoes")))*INDEX(Inputs!$K$5:$AJ$110,0,MATCH(Y$2,Inputs!$K$4:$AJ$4,0)))))</f>
        <v>0</v>
      </c>
      <c r="Z24" s="267">
        <f>IF(ISNA(MATCH(Z$2,Inputs!$K$4:$AJ$4,0)),NA(),IF(SUMPRODUCT((Inputs!$A$5:$A$110=$B24)*ISNUMBER(INDEX(Inputs!$K$5:$AJ$110,0,MATCH(Z$2,Inputs!$K$4:$AJ$4,0))))+SUMPRODUCT((Inputs!$C$5:$C$110=$B24)*ISNUMBER(INDEX(Inputs!$K$5:$AJ$110,0,MATCH(Z$2,Inputs!$K$4:$AJ$4,0))))+SUMPRODUCT((Inputs!$E$5:$E$110=$B24)*ISNUMBER(INDEX(Inputs!$K$5:$AJ$110,0,MATCH(Z$2,Inputs!$K$4:$AJ$4,0))))=0,NA(),SUMPRODUCT((Inputs!$A$5:$A$110=$B24)*Inputs!$B$5:$B$110*(((Inputs!$G$5:$G$110="moeda")+(Inputs!$G$5:$G$110="acoes"))*Inputs!$B$1+((Inputs!$G$5:$G$110&lt;&gt;"moeda")*(Inputs!$G$5:$G$110&lt;&gt;"acoes")))*INDEX(Inputs!$K$5:$AJ$110,0,MATCH(Z$2,Inputs!$K$4:$AJ$4,0)))+SUMPRODUCT((Inputs!$C$5:$C$110=$B24)*Inputs!$D$5:$D$110*(((Inputs!$G$5:$G$110="moeda")+(Inputs!$G$5:$G$110="acoes"))*Inputs!$B$1+((Inputs!$G$5:$G$110&lt;&gt;"moeda")*(Inputs!$G$5:$G$110&lt;&gt;"acoes")))*INDEX(Inputs!$K$5:$AJ$110,0,MATCH(Z$2,Inputs!$K$4:$AJ$4,0)))+SUMPRODUCT((Inputs!$E$5:$E$110=$B24)*Inputs!$F$5:$F$110*(((Inputs!$G$5:$G$110="moeda")+(Inputs!$G$5:$G$110="acoes"))*Inputs!$B$1+((Inputs!$G$5:$G$110&lt;&gt;"moeda")*(Inputs!$G$5:$G$110&lt;&gt;"acoes")))*INDEX(Inputs!$K$5:$AJ$110,0,MATCH(Z$2,Inputs!$K$4:$AJ$4,0)))))</f>
        <v>0</v>
      </c>
      <c r="AA24" s="267">
        <f>IF(ISNA(MATCH(AA$2,Inputs!$K$4:$AJ$4,0)),NA(),IF(SUMPRODUCT((Inputs!$A$5:$A$110=$B24)*ISNUMBER(INDEX(Inputs!$K$5:$AJ$110,0,MATCH(AA$2,Inputs!$K$4:$AJ$4,0))))+SUMPRODUCT((Inputs!$C$5:$C$110=$B24)*ISNUMBER(INDEX(Inputs!$K$5:$AJ$110,0,MATCH(AA$2,Inputs!$K$4:$AJ$4,0))))+SUMPRODUCT((Inputs!$E$5:$E$110=$B24)*ISNUMBER(INDEX(Inputs!$K$5:$AJ$110,0,MATCH(AA$2,Inputs!$K$4:$AJ$4,0))))=0,NA(),SUMPRODUCT((Inputs!$A$5:$A$110=$B24)*Inputs!$B$5:$B$110*(((Inputs!$G$5:$G$110="moeda")+(Inputs!$G$5:$G$110="acoes"))*Inputs!$B$1+((Inputs!$G$5:$G$110&lt;&gt;"moeda")*(Inputs!$G$5:$G$110&lt;&gt;"acoes")))*INDEX(Inputs!$K$5:$AJ$110,0,MATCH(AA$2,Inputs!$K$4:$AJ$4,0)))+SUMPRODUCT((Inputs!$C$5:$C$110=$B24)*Inputs!$D$5:$D$110*(((Inputs!$G$5:$G$110="moeda")+(Inputs!$G$5:$G$110="acoes"))*Inputs!$B$1+((Inputs!$G$5:$G$110&lt;&gt;"moeda")*(Inputs!$G$5:$G$110&lt;&gt;"acoes")))*INDEX(Inputs!$K$5:$AJ$110,0,MATCH(AA$2,Inputs!$K$4:$AJ$4,0)))+SUMPRODUCT((Inputs!$E$5:$E$110=$B24)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4" s="268">
        <f>AA24</f>
        <v>0</v>
      </c>
      <c r="AC24" s="267">
        <f>IF(ISNA(MATCH(AC$2,Inputs!$K$4:$AJ$4,0)),NA(),IF(SUMPRODUCT((Inputs!$A$5:$A$110=$B24)*ISNUMBER(INDEX(Inputs!$K$5:$AJ$110,0,MATCH(AC$2,Inputs!$K$4:$AJ$4,0))))+SUMPRODUCT((Inputs!$C$5:$C$110=$B24)*ISNUMBER(INDEX(Inputs!$K$5:$AJ$110,0,MATCH(AC$2,Inputs!$K$4:$AJ$4,0))))+SUMPRODUCT((Inputs!$E$5:$E$110=$B24)*ISNUMBER(INDEX(Inputs!$K$5:$AJ$110,0,MATCH(AC$2,Inputs!$K$4:$AJ$4,0))))=0,NA(),SUMPRODUCT((Inputs!$A$5:$A$110=$B24)*Inputs!$B$5:$B$110*(((Inputs!$G$5:$G$110="moeda")+(Inputs!$G$5:$G$110="acoes"))*Inputs!$B$1+((Inputs!$G$5:$G$110&lt;&gt;"moeda")*(Inputs!$G$5:$G$110&lt;&gt;"acoes")))*INDEX(Inputs!$K$5:$AJ$110,0,MATCH(AC$2,Inputs!$K$4:$AJ$4,0)))+SUMPRODUCT((Inputs!$C$5:$C$110=$B24)*Inputs!$D$5:$D$110*(((Inputs!$G$5:$G$110="moeda")+(Inputs!$G$5:$G$110="acoes"))*Inputs!$B$1+((Inputs!$G$5:$G$110&lt;&gt;"moeda")*(Inputs!$G$5:$G$110&lt;&gt;"acoes")))*INDEX(Inputs!$K$5:$AJ$110,0,MATCH(AC$2,Inputs!$K$4:$AJ$4,0)))+SUMPRODUCT((Inputs!$E$5:$E$110=$B24)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4" s="267">
        <f>IF(ISNA(MATCH(AD$2,Inputs!$K$4:$AJ$4,0)),NA(),IF(SUMPRODUCT((Inputs!$A$5:$A$110=$B24)*ISNUMBER(INDEX(Inputs!$K$5:$AJ$110,0,MATCH(AD$2,Inputs!$K$4:$AJ$4,0))))+SUMPRODUCT((Inputs!$C$5:$C$110=$B24)*ISNUMBER(INDEX(Inputs!$K$5:$AJ$110,0,MATCH(AD$2,Inputs!$K$4:$AJ$4,0))))+SUMPRODUCT((Inputs!$E$5:$E$110=$B24)*ISNUMBER(INDEX(Inputs!$K$5:$AJ$110,0,MATCH(AD$2,Inputs!$K$4:$AJ$4,0))))=0,NA(),SUMPRODUCT((Inputs!$A$5:$A$110=$B24)*Inputs!$B$5:$B$110*(((Inputs!$G$5:$G$110="moeda")+(Inputs!$G$5:$G$110="acoes"))*Inputs!$B$1+((Inputs!$G$5:$G$110&lt;&gt;"moeda")*(Inputs!$G$5:$G$110&lt;&gt;"acoes")))*INDEX(Inputs!$K$5:$AJ$110,0,MATCH(AD$2,Inputs!$K$4:$AJ$4,0)))+SUMPRODUCT((Inputs!$C$5:$C$110=$B24)*Inputs!$D$5:$D$110*(((Inputs!$G$5:$G$110="moeda")+(Inputs!$G$5:$G$110="acoes"))*Inputs!$B$1+((Inputs!$G$5:$G$110&lt;&gt;"moeda")*(Inputs!$G$5:$G$110&lt;&gt;"acoes")))*INDEX(Inputs!$K$5:$AJ$110,0,MATCH(AD$2,Inputs!$K$4:$AJ$4,0)))+SUMPRODUCT((Inputs!$E$5:$E$110=$B24)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4" s="267" t="e">
        <f>IF(ISNA(MATCH(AE$2,Inputs!$K$4:$AJ$4,0)),NA(),IF(SUMPRODUCT((Inputs!$A$5:$A$110=$B24)*ISNUMBER(INDEX(Inputs!$K$5:$AJ$110,0,MATCH(AE$2,Inputs!$K$4:$AJ$4,0))))+SUMPRODUCT((Inputs!$C$5:$C$110=$B24)*ISNUMBER(INDEX(Inputs!$K$5:$AJ$110,0,MATCH(AE$2,Inputs!$K$4:$AJ$4,0))))+SUMPRODUCT((Inputs!$E$5:$E$110=$B24)*ISNUMBER(INDEX(Inputs!$K$5:$AJ$110,0,MATCH(AE$2,Inputs!$K$4:$AJ$4,0))))=0,NA(),SUMPRODUCT((Inputs!$A$5:$A$110=$B24)*Inputs!$B$5:$B$110*(((Inputs!$G$5:$G$110="moeda")+(Inputs!$G$5:$G$110="acoes"))*Inputs!$B$1+((Inputs!$G$5:$G$110&lt;&gt;"moeda")*(Inputs!$G$5:$G$110&lt;&gt;"acoes")))*INDEX(Inputs!$K$5:$AJ$110,0,MATCH(AE$2,Inputs!$K$4:$AJ$4,0)))+SUMPRODUCT((Inputs!$C$5:$C$110=$B24)*Inputs!$D$5:$D$110*(((Inputs!$G$5:$G$110="moeda")+(Inputs!$G$5:$G$110="acoes"))*Inputs!$B$1+((Inputs!$G$5:$G$110&lt;&gt;"moeda")*(Inputs!$G$5:$G$110&lt;&gt;"acoes")))*INDEX(Inputs!$K$5:$AJ$110,0,MATCH(AE$2,Inputs!$K$4:$AJ$4,0)))+SUMPRODUCT((Inputs!$E$5:$E$110=$B24)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4" s="267" t="e">
        <f>IF(ISNA(MATCH(AF$2,Inputs!$K$4:$AJ$4,0)),NA(),IF(SUMPRODUCT((Inputs!$A$5:$A$110=$B24)*ISNUMBER(INDEX(Inputs!$K$5:$AJ$110,0,MATCH(AF$2,Inputs!$K$4:$AJ$4,0))))+SUMPRODUCT((Inputs!$C$5:$C$110=$B24)*ISNUMBER(INDEX(Inputs!$K$5:$AJ$110,0,MATCH(AF$2,Inputs!$K$4:$AJ$4,0))))+SUMPRODUCT((Inputs!$E$5:$E$110=$B24)*ISNUMBER(INDEX(Inputs!$K$5:$AJ$110,0,MATCH(AF$2,Inputs!$K$4:$AJ$4,0))))=0,NA(),SUMPRODUCT((Inputs!$A$5:$A$110=$B24)*Inputs!$B$5:$B$110*(((Inputs!$G$5:$G$110="moeda")+(Inputs!$G$5:$G$110="acoes"))*Inputs!$B$1+((Inputs!$G$5:$G$110&lt;&gt;"moeda")*(Inputs!$G$5:$G$110&lt;&gt;"acoes")))*INDEX(Inputs!$K$5:$AJ$110,0,MATCH(AF$2,Inputs!$K$4:$AJ$4,0)))+SUMPRODUCT((Inputs!$C$5:$C$110=$B24)*Inputs!$D$5:$D$110*(((Inputs!$G$5:$G$110="moeda")+(Inputs!$G$5:$G$110="acoes"))*Inputs!$B$1+((Inputs!$G$5:$G$110&lt;&gt;"moeda")*(Inputs!$G$5:$G$110&lt;&gt;"acoes")))*INDEX(Inputs!$K$5:$AJ$110,0,MATCH(AF$2,Inputs!$K$4:$AJ$4,0)))+SUMPRODUCT((Inputs!$E$5:$E$110=$B24)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4" s="268" t="e">
        <f>AF24</f>
        <v>#N/A</v>
      </c>
      <c r="AH24" s="267">
        <f>IF(ISNA(MATCH(AH$2,Inputs!$K$4:$AJ$4,0)),NA(),IF(SUMPRODUCT((Inputs!$A$5:$A$110=$B24)*ISNUMBER(INDEX(Inputs!$K$5:$AJ$110,0,MATCH(AH$2,Inputs!$K$4:$AJ$4,0))))+SUMPRODUCT((Inputs!$C$5:$C$110=$B24)*ISNUMBER(INDEX(Inputs!$K$5:$AJ$110,0,MATCH(AH$2,Inputs!$K$4:$AJ$4,0))))+SUMPRODUCT((Inputs!$E$5:$E$110=$B24)*ISNUMBER(INDEX(Inputs!$K$5:$AJ$110,0,MATCH(AH$2,Inputs!$K$4:$AJ$4,0))))=0,NA(),SUMPRODUCT((Inputs!$A$5:$A$110=$B24)*Inputs!$B$5:$B$110*(((Inputs!$G$5:$G$110="moeda")+(Inputs!$G$5:$G$110="acoes"))*Inputs!$B$1+((Inputs!$G$5:$G$110&lt;&gt;"moeda")*(Inputs!$G$5:$G$110&lt;&gt;"acoes")))*INDEX(Inputs!$K$5:$AJ$110,0,MATCH(AH$2,Inputs!$K$4:$AJ$4,0)))+SUMPRODUCT((Inputs!$C$5:$C$110=$B24)*Inputs!$D$5:$D$110*(((Inputs!$G$5:$G$110="moeda")+(Inputs!$G$5:$G$110="acoes"))*Inputs!$B$1+((Inputs!$G$5:$G$110&lt;&gt;"moeda")*(Inputs!$G$5:$G$110&lt;&gt;"acoes")))*INDEX(Inputs!$K$5:$AJ$110,0,MATCH(AH$2,Inputs!$K$4:$AJ$4,0)))+SUMPRODUCT((Inputs!$E$5:$E$110=$B24)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4" s="267">
        <f>IF(ISNA(MATCH(AI$2,Inputs!$K$4:$AJ$4,0)),NA(),IF(SUMPRODUCT((Inputs!$A$5:$A$110=$B24)*ISNUMBER(INDEX(Inputs!$K$5:$AJ$110,0,MATCH(AI$2,Inputs!$K$4:$AJ$4,0))))+SUMPRODUCT((Inputs!$C$5:$C$110=$B24)*ISNUMBER(INDEX(Inputs!$K$5:$AJ$110,0,MATCH(AI$2,Inputs!$K$4:$AJ$4,0))))+SUMPRODUCT((Inputs!$E$5:$E$110=$B24)*ISNUMBER(INDEX(Inputs!$K$5:$AJ$110,0,MATCH(AI$2,Inputs!$K$4:$AJ$4,0))))=0,NA(),SUMPRODUCT((Inputs!$A$5:$A$110=$B24)*Inputs!$B$5:$B$110*(((Inputs!$G$5:$G$110="moeda")+(Inputs!$G$5:$G$110="acoes"))*Inputs!$B$1+((Inputs!$G$5:$G$110&lt;&gt;"moeda")*(Inputs!$G$5:$G$110&lt;&gt;"acoes")))*INDEX(Inputs!$K$5:$AJ$110,0,MATCH(AI$2,Inputs!$K$4:$AJ$4,0)))+SUMPRODUCT((Inputs!$C$5:$C$110=$B24)*Inputs!$D$5:$D$110*(((Inputs!$G$5:$G$110="moeda")+(Inputs!$G$5:$G$110="acoes"))*Inputs!$B$1+((Inputs!$G$5:$G$110&lt;&gt;"moeda")*(Inputs!$G$5:$G$110&lt;&gt;"acoes")))*INDEX(Inputs!$K$5:$AJ$110,0,MATCH(AI$2,Inputs!$K$4:$AJ$4,0)))+SUMPRODUCT((Inputs!$E$5:$E$110=$B24)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4" s="267">
        <f>IF(ISNA(MATCH(AJ$2,Inputs!$K$4:$AJ$4,0)),NA(),IF(SUMPRODUCT((Inputs!$A$5:$A$110=$B24)*ISNUMBER(INDEX(Inputs!$K$5:$AJ$110,0,MATCH(AJ$2,Inputs!$K$4:$AJ$4,0))))+SUMPRODUCT((Inputs!$C$5:$C$110=$B24)*ISNUMBER(INDEX(Inputs!$K$5:$AJ$110,0,MATCH(AJ$2,Inputs!$K$4:$AJ$4,0))))+SUMPRODUCT((Inputs!$E$5:$E$110=$B24)*ISNUMBER(INDEX(Inputs!$K$5:$AJ$110,0,MATCH(AJ$2,Inputs!$K$4:$AJ$4,0))))=0,NA(),SUMPRODUCT((Inputs!$A$5:$A$110=$B24)*Inputs!$B$5:$B$110*(((Inputs!$G$5:$G$110="moeda")+(Inputs!$G$5:$G$110="acoes"))*Inputs!$B$1+((Inputs!$G$5:$G$110&lt;&gt;"moeda")*(Inputs!$G$5:$G$110&lt;&gt;"acoes")))*INDEX(Inputs!$K$5:$AJ$110,0,MATCH(AJ$2,Inputs!$K$4:$AJ$4,0)))+SUMPRODUCT((Inputs!$C$5:$C$110=$B24)*Inputs!$D$5:$D$110*(((Inputs!$G$5:$G$110="moeda")+(Inputs!$G$5:$G$110="acoes"))*Inputs!$B$1+((Inputs!$G$5:$G$110&lt;&gt;"moeda")*(Inputs!$G$5:$G$110&lt;&gt;"acoes")))*INDEX(Inputs!$K$5:$AJ$110,0,MATCH(AJ$2,Inputs!$K$4:$AJ$4,0)))+SUMPRODUCT((Inputs!$E$5:$E$110=$B24)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4" s="267">
        <f>IF(ISNA(MATCH(AK$2,Inputs!$K$4:$AJ$4,0)),NA(),IF(SUMPRODUCT((Inputs!$A$5:$A$110=$B24)*ISNUMBER(INDEX(Inputs!$K$5:$AJ$110,0,MATCH(AK$2,Inputs!$K$4:$AJ$4,0))))+SUMPRODUCT((Inputs!$C$5:$C$110=$B24)*ISNUMBER(INDEX(Inputs!$K$5:$AJ$110,0,MATCH(AK$2,Inputs!$K$4:$AJ$4,0))))+SUMPRODUCT((Inputs!$E$5:$E$110=$B24)*ISNUMBER(INDEX(Inputs!$K$5:$AJ$110,0,MATCH(AK$2,Inputs!$K$4:$AJ$4,0))))=0,NA(),SUMPRODUCT((Inputs!$A$5:$A$110=$B24)*Inputs!$B$5:$B$110*(((Inputs!$G$5:$G$110="moeda")+(Inputs!$G$5:$G$110="acoes"))*Inputs!$B$1+((Inputs!$G$5:$G$110&lt;&gt;"moeda")*(Inputs!$G$5:$G$110&lt;&gt;"acoes")))*INDEX(Inputs!$K$5:$AJ$110,0,MATCH(AK$2,Inputs!$K$4:$AJ$4,0)))+SUMPRODUCT((Inputs!$C$5:$C$110=$B24)*Inputs!$D$5:$D$110*(((Inputs!$G$5:$G$110="moeda")+(Inputs!$G$5:$G$110="acoes"))*Inputs!$B$1+((Inputs!$G$5:$G$110&lt;&gt;"moeda")*(Inputs!$G$5:$G$110&lt;&gt;"acoes")))*INDEX(Inputs!$K$5:$AJ$110,0,MATCH(AK$2,Inputs!$K$4:$AJ$4,0)))+SUMPRODUCT((Inputs!$E$5:$E$110=$B24)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4" s="268">
        <f>AK24</f>
        <v>0</v>
      </c>
    </row>
    <row r="25" ht="12.75" customHeight="1" s="255">
      <c r="B25" s="265" t="n">
        <v>21</v>
      </c>
      <c r="C25" s="270" t="inlineStr">
        <is>
          <t>Intangibles</t>
        </is>
      </c>
      <c r="D25" s="267">
        <f>IF(ISNA(MATCH(D$2,Inputs!$K$4:$AJ$4,0)),NA(),IF(SUMPRODUCT((Inputs!$A$5:$A$110=$B25)*ISNUMBER(INDEX(Inputs!$K$5:$AJ$110,0,MATCH(D$2,Inputs!$K$4:$AJ$4,0))))+SUMPRODUCT((Inputs!$C$5:$C$110=$B25)*ISNUMBER(INDEX(Inputs!$K$5:$AJ$110,0,MATCH(D$2,Inputs!$K$4:$AJ$4,0))))+SUMPRODUCT((Inputs!$E$5:$E$110=$B25)*ISNUMBER(INDEX(Inputs!$K$5:$AJ$110,0,MATCH(D$2,Inputs!$K$4:$AJ$4,0))))=0,NA(),SUMPRODUCT((Inputs!$A$5:$A$110=$B25)*Inputs!$B$5:$B$110*(((Inputs!$G$5:$G$110="moeda")+(Inputs!$G$5:$G$110="acoes"))*Inputs!$B$1+((Inputs!$G$5:$G$110&lt;&gt;"moeda")*(Inputs!$G$5:$G$110&lt;&gt;"acoes")))*INDEX(Inputs!$K$5:$AJ$110,0,MATCH(D$2,Inputs!$K$4:$AJ$4,0)))+SUMPRODUCT((Inputs!$C$5:$C$110=$B25)*Inputs!$D$5:$D$110*(((Inputs!$G$5:$G$110="moeda")+(Inputs!$G$5:$G$110="acoes"))*Inputs!$B$1+((Inputs!$G$5:$G$110&lt;&gt;"moeda")*(Inputs!$G$5:$G$110&lt;&gt;"acoes")))*INDEX(Inputs!$K$5:$AJ$110,0,MATCH(D$2,Inputs!$K$4:$AJ$4,0)))+SUMPRODUCT((Inputs!$E$5:$E$110=$B25)*Inputs!$F$5:$F$110*(((Inputs!$G$5:$G$110="moeda")+(Inputs!$G$5:$G$110="acoes"))*Inputs!$B$1+((Inputs!$G$5:$G$110&lt;&gt;"moeda")*(Inputs!$G$5:$G$110&lt;&gt;"acoes")))*INDEX(Inputs!$K$5:$AJ$110,0,MATCH(D$2,Inputs!$K$4:$AJ$4,0)))))</f>
        <v>0</v>
      </c>
      <c r="E25" s="267">
        <f>IF(ISNA(MATCH(E$2,Inputs!$K$4:$AJ$4,0)),NA(),IF(SUMPRODUCT((Inputs!$A$5:$A$110=$B25)*ISNUMBER(INDEX(Inputs!$K$5:$AJ$110,0,MATCH(E$2,Inputs!$K$4:$AJ$4,0))))+SUMPRODUCT((Inputs!$C$5:$C$110=$B25)*ISNUMBER(INDEX(Inputs!$K$5:$AJ$110,0,MATCH(E$2,Inputs!$K$4:$AJ$4,0))))+SUMPRODUCT((Inputs!$E$5:$E$110=$B25)*ISNUMBER(INDEX(Inputs!$K$5:$AJ$110,0,MATCH(E$2,Inputs!$K$4:$AJ$4,0))))=0,NA(),SUMPRODUCT((Inputs!$A$5:$A$110=$B25)*Inputs!$B$5:$B$110*(((Inputs!$G$5:$G$110="moeda")+(Inputs!$G$5:$G$110="acoes"))*Inputs!$B$1+((Inputs!$G$5:$G$110&lt;&gt;"moeda")*(Inputs!$G$5:$G$110&lt;&gt;"acoes")))*INDEX(Inputs!$K$5:$AJ$110,0,MATCH(E$2,Inputs!$K$4:$AJ$4,0)))+SUMPRODUCT((Inputs!$C$5:$C$110=$B25)*Inputs!$D$5:$D$110*(((Inputs!$G$5:$G$110="moeda")+(Inputs!$G$5:$G$110="acoes"))*Inputs!$B$1+((Inputs!$G$5:$G$110&lt;&gt;"moeda")*(Inputs!$G$5:$G$110&lt;&gt;"acoes")))*INDEX(Inputs!$K$5:$AJ$110,0,MATCH(E$2,Inputs!$K$4:$AJ$4,0)))+SUMPRODUCT((Inputs!$E$5:$E$110=$B25)*Inputs!$F$5:$F$110*(((Inputs!$G$5:$G$110="moeda")+(Inputs!$G$5:$G$110="acoes"))*Inputs!$B$1+((Inputs!$G$5:$G$110&lt;&gt;"moeda")*(Inputs!$G$5:$G$110&lt;&gt;"acoes")))*INDEX(Inputs!$K$5:$AJ$110,0,MATCH(E$2,Inputs!$K$4:$AJ$4,0)))))</f>
        <v>0</v>
      </c>
      <c r="F25" s="267">
        <f>IF(ISNA(MATCH(F$2,Inputs!$K$4:$AJ$4,0)),NA(),IF(SUMPRODUCT((Inputs!$A$5:$A$110=$B25)*ISNUMBER(INDEX(Inputs!$K$5:$AJ$110,0,MATCH(F$2,Inputs!$K$4:$AJ$4,0))))+SUMPRODUCT((Inputs!$C$5:$C$110=$B25)*ISNUMBER(INDEX(Inputs!$K$5:$AJ$110,0,MATCH(F$2,Inputs!$K$4:$AJ$4,0))))+SUMPRODUCT((Inputs!$E$5:$E$110=$B25)*ISNUMBER(INDEX(Inputs!$K$5:$AJ$110,0,MATCH(F$2,Inputs!$K$4:$AJ$4,0))))=0,NA(),SUMPRODUCT((Inputs!$A$5:$A$110=$B25)*Inputs!$B$5:$B$110*(((Inputs!$G$5:$G$110="moeda")+(Inputs!$G$5:$G$110="acoes"))*Inputs!$B$1+((Inputs!$G$5:$G$110&lt;&gt;"moeda")*(Inputs!$G$5:$G$110&lt;&gt;"acoes")))*INDEX(Inputs!$K$5:$AJ$110,0,MATCH(F$2,Inputs!$K$4:$AJ$4,0)))+SUMPRODUCT((Inputs!$C$5:$C$110=$B25)*Inputs!$D$5:$D$110*(((Inputs!$G$5:$G$110="moeda")+(Inputs!$G$5:$G$110="acoes"))*Inputs!$B$1+((Inputs!$G$5:$G$110&lt;&gt;"moeda")*(Inputs!$G$5:$G$110&lt;&gt;"acoes")))*INDEX(Inputs!$K$5:$AJ$110,0,MATCH(F$2,Inputs!$K$4:$AJ$4,0)))+SUMPRODUCT((Inputs!$E$5:$E$110=$B25)*Inputs!$F$5:$F$110*(((Inputs!$G$5:$G$110="moeda")+(Inputs!$G$5:$G$110="acoes"))*Inputs!$B$1+((Inputs!$G$5:$G$110&lt;&gt;"moeda")*(Inputs!$G$5:$G$110&lt;&gt;"acoes")))*INDEX(Inputs!$K$5:$AJ$110,0,MATCH(F$2,Inputs!$K$4:$AJ$4,0)))))</f>
        <v>0</v>
      </c>
      <c r="G25" s="267">
        <f>IF(ISNA(MATCH(G$2,Inputs!$K$4:$AJ$4,0)),NA(),IF(SUMPRODUCT((Inputs!$A$5:$A$110=$B25)*ISNUMBER(INDEX(Inputs!$K$5:$AJ$110,0,MATCH(G$2,Inputs!$K$4:$AJ$4,0))))+SUMPRODUCT((Inputs!$C$5:$C$110=$B25)*ISNUMBER(INDEX(Inputs!$K$5:$AJ$110,0,MATCH(G$2,Inputs!$K$4:$AJ$4,0))))+SUMPRODUCT((Inputs!$E$5:$E$110=$B25)*ISNUMBER(INDEX(Inputs!$K$5:$AJ$110,0,MATCH(G$2,Inputs!$K$4:$AJ$4,0))))=0,NA(),SUMPRODUCT((Inputs!$A$5:$A$110=$B25)*Inputs!$B$5:$B$110*(((Inputs!$G$5:$G$110="moeda")+(Inputs!$G$5:$G$110="acoes"))*Inputs!$B$1+((Inputs!$G$5:$G$110&lt;&gt;"moeda")*(Inputs!$G$5:$G$110&lt;&gt;"acoes")))*INDEX(Inputs!$K$5:$AJ$110,0,MATCH(G$2,Inputs!$K$4:$AJ$4,0)))+SUMPRODUCT((Inputs!$C$5:$C$110=$B25)*Inputs!$D$5:$D$110*(((Inputs!$G$5:$G$110="moeda")+(Inputs!$G$5:$G$110="acoes"))*Inputs!$B$1+((Inputs!$G$5:$G$110&lt;&gt;"moeda")*(Inputs!$G$5:$G$110&lt;&gt;"acoes")))*INDEX(Inputs!$K$5:$AJ$110,0,MATCH(G$2,Inputs!$K$4:$AJ$4,0)))+SUMPRODUCT((Inputs!$E$5:$E$110=$B25)*Inputs!$F$5:$F$110*(((Inputs!$G$5:$G$110="moeda")+(Inputs!$G$5:$G$110="acoes"))*Inputs!$B$1+((Inputs!$G$5:$G$110&lt;&gt;"moeda")*(Inputs!$G$5:$G$110&lt;&gt;"acoes")))*INDEX(Inputs!$K$5:$AJ$110,0,MATCH(G$2,Inputs!$K$4:$AJ$4,0)))))</f>
        <v>0</v>
      </c>
      <c r="H25" s="268">
        <f>G25</f>
        <v>0</v>
      </c>
      <c r="I25" s="267">
        <f>IF(ISNA(MATCH(I$2,Inputs!$K$4:$AJ$4,0)),NA(),IF(SUMPRODUCT((Inputs!$A$5:$A$110=$B25)*ISNUMBER(INDEX(Inputs!$K$5:$AJ$110,0,MATCH(I$2,Inputs!$K$4:$AJ$4,0))))+SUMPRODUCT((Inputs!$C$5:$C$110=$B25)*ISNUMBER(INDEX(Inputs!$K$5:$AJ$110,0,MATCH(I$2,Inputs!$K$4:$AJ$4,0))))+SUMPRODUCT((Inputs!$E$5:$E$110=$B25)*ISNUMBER(INDEX(Inputs!$K$5:$AJ$110,0,MATCH(I$2,Inputs!$K$4:$AJ$4,0))))=0,NA(),SUMPRODUCT((Inputs!$A$5:$A$110=$B25)*Inputs!$B$5:$B$110*(((Inputs!$G$5:$G$110="moeda")+(Inputs!$G$5:$G$110="acoes"))*Inputs!$B$1+((Inputs!$G$5:$G$110&lt;&gt;"moeda")*(Inputs!$G$5:$G$110&lt;&gt;"acoes")))*INDEX(Inputs!$K$5:$AJ$110,0,MATCH(I$2,Inputs!$K$4:$AJ$4,0)))+SUMPRODUCT((Inputs!$C$5:$C$110=$B25)*Inputs!$D$5:$D$110*(((Inputs!$G$5:$G$110="moeda")+(Inputs!$G$5:$G$110="acoes"))*Inputs!$B$1+((Inputs!$G$5:$G$110&lt;&gt;"moeda")*(Inputs!$G$5:$G$110&lt;&gt;"acoes")))*INDEX(Inputs!$K$5:$AJ$110,0,MATCH(I$2,Inputs!$K$4:$AJ$4,0)))+SUMPRODUCT((Inputs!$E$5:$E$110=$B25)*Inputs!$F$5:$F$110*(((Inputs!$G$5:$G$110="moeda")+(Inputs!$G$5:$G$110="acoes"))*Inputs!$B$1+((Inputs!$G$5:$G$110&lt;&gt;"moeda")*(Inputs!$G$5:$G$110&lt;&gt;"acoes")))*INDEX(Inputs!$K$5:$AJ$110,0,MATCH(I$2,Inputs!$K$4:$AJ$4,0)))))</f>
        <v>0</v>
      </c>
      <c r="J25" s="267">
        <f>IF(ISNA(MATCH(J$2,Inputs!$K$4:$AJ$4,0)),NA(),IF(SUMPRODUCT((Inputs!$A$5:$A$110=$B25)*ISNUMBER(INDEX(Inputs!$K$5:$AJ$110,0,MATCH(J$2,Inputs!$K$4:$AJ$4,0))))+SUMPRODUCT((Inputs!$C$5:$C$110=$B25)*ISNUMBER(INDEX(Inputs!$K$5:$AJ$110,0,MATCH(J$2,Inputs!$K$4:$AJ$4,0))))+SUMPRODUCT((Inputs!$E$5:$E$110=$B25)*ISNUMBER(INDEX(Inputs!$K$5:$AJ$110,0,MATCH(J$2,Inputs!$K$4:$AJ$4,0))))=0,NA(),SUMPRODUCT((Inputs!$A$5:$A$110=$B25)*Inputs!$B$5:$B$110*(((Inputs!$G$5:$G$110="moeda")+(Inputs!$G$5:$G$110="acoes"))*Inputs!$B$1+((Inputs!$G$5:$G$110&lt;&gt;"moeda")*(Inputs!$G$5:$G$110&lt;&gt;"acoes")))*INDEX(Inputs!$K$5:$AJ$110,0,MATCH(J$2,Inputs!$K$4:$AJ$4,0)))+SUMPRODUCT((Inputs!$C$5:$C$110=$B25)*Inputs!$D$5:$D$110*(((Inputs!$G$5:$G$110="moeda")+(Inputs!$G$5:$G$110="acoes"))*Inputs!$B$1+((Inputs!$G$5:$G$110&lt;&gt;"moeda")*(Inputs!$G$5:$G$110&lt;&gt;"acoes")))*INDEX(Inputs!$K$5:$AJ$110,0,MATCH(J$2,Inputs!$K$4:$AJ$4,0)))+SUMPRODUCT((Inputs!$E$5:$E$110=$B25)*Inputs!$F$5:$F$110*(((Inputs!$G$5:$G$110="moeda")+(Inputs!$G$5:$G$110="acoes"))*Inputs!$B$1+((Inputs!$G$5:$G$110&lt;&gt;"moeda")*(Inputs!$G$5:$G$110&lt;&gt;"acoes")))*INDEX(Inputs!$K$5:$AJ$110,0,MATCH(J$2,Inputs!$K$4:$AJ$4,0)))))</f>
        <v>0</v>
      </c>
      <c r="K25" s="267">
        <f>IF(ISNA(MATCH(K$2,Inputs!$K$4:$AJ$4,0)),NA(),IF(SUMPRODUCT((Inputs!$A$5:$A$110=$B25)*ISNUMBER(INDEX(Inputs!$K$5:$AJ$110,0,MATCH(K$2,Inputs!$K$4:$AJ$4,0))))+SUMPRODUCT((Inputs!$C$5:$C$110=$B25)*ISNUMBER(INDEX(Inputs!$K$5:$AJ$110,0,MATCH(K$2,Inputs!$K$4:$AJ$4,0))))+SUMPRODUCT((Inputs!$E$5:$E$110=$B25)*ISNUMBER(INDEX(Inputs!$K$5:$AJ$110,0,MATCH(K$2,Inputs!$K$4:$AJ$4,0))))=0,NA(),SUMPRODUCT((Inputs!$A$5:$A$110=$B25)*Inputs!$B$5:$B$110*(((Inputs!$G$5:$G$110="moeda")+(Inputs!$G$5:$G$110="acoes"))*Inputs!$B$1+((Inputs!$G$5:$G$110&lt;&gt;"moeda")*(Inputs!$G$5:$G$110&lt;&gt;"acoes")))*INDEX(Inputs!$K$5:$AJ$110,0,MATCH(K$2,Inputs!$K$4:$AJ$4,0)))+SUMPRODUCT((Inputs!$C$5:$C$110=$B25)*Inputs!$D$5:$D$110*(((Inputs!$G$5:$G$110="moeda")+(Inputs!$G$5:$G$110="acoes"))*Inputs!$B$1+((Inputs!$G$5:$G$110&lt;&gt;"moeda")*(Inputs!$G$5:$G$110&lt;&gt;"acoes")))*INDEX(Inputs!$K$5:$AJ$110,0,MATCH(K$2,Inputs!$K$4:$AJ$4,0)))+SUMPRODUCT((Inputs!$E$5:$E$110=$B25)*Inputs!$F$5:$F$110*(((Inputs!$G$5:$G$110="moeda")+(Inputs!$G$5:$G$110="acoes"))*Inputs!$B$1+((Inputs!$G$5:$G$110&lt;&gt;"moeda")*(Inputs!$G$5:$G$110&lt;&gt;"acoes")))*INDEX(Inputs!$K$5:$AJ$110,0,MATCH(K$2,Inputs!$K$4:$AJ$4,0)))))</f>
        <v>0</v>
      </c>
      <c r="L25" s="267">
        <f>IF(ISNA(MATCH(L$2,Inputs!$K$4:$AJ$4,0)),NA(),IF(SUMPRODUCT((Inputs!$A$5:$A$110=$B25)*ISNUMBER(INDEX(Inputs!$K$5:$AJ$110,0,MATCH(L$2,Inputs!$K$4:$AJ$4,0))))+SUMPRODUCT((Inputs!$C$5:$C$110=$B25)*ISNUMBER(INDEX(Inputs!$K$5:$AJ$110,0,MATCH(L$2,Inputs!$K$4:$AJ$4,0))))+SUMPRODUCT((Inputs!$E$5:$E$110=$B25)*ISNUMBER(INDEX(Inputs!$K$5:$AJ$110,0,MATCH(L$2,Inputs!$K$4:$AJ$4,0))))=0,NA(),SUMPRODUCT((Inputs!$A$5:$A$110=$B25)*Inputs!$B$5:$B$110*(((Inputs!$G$5:$G$110="moeda")+(Inputs!$G$5:$G$110="acoes"))*Inputs!$B$1+((Inputs!$G$5:$G$110&lt;&gt;"moeda")*(Inputs!$G$5:$G$110&lt;&gt;"acoes")))*INDEX(Inputs!$K$5:$AJ$110,0,MATCH(L$2,Inputs!$K$4:$AJ$4,0)))+SUMPRODUCT((Inputs!$C$5:$C$110=$B25)*Inputs!$D$5:$D$110*(((Inputs!$G$5:$G$110="moeda")+(Inputs!$G$5:$G$110="acoes"))*Inputs!$B$1+((Inputs!$G$5:$G$110&lt;&gt;"moeda")*(Inputs!$G$5:$G$110&lt;&gt;"acoes")))*INDEX(Inputs!$K$5:$AJ$110,0,MATCH(L$2,Inputs!$K$4:$AJ$4,0)))+SUMPRODUCT((Inputs!$E$5:$E$110=$B25)*Inputs!$F$5:$F$110*(((Inputs!$G$5:$G$110="moeda")+(Inputs!$G$5:$G$110="acoes"))*Inputs!$B$1+((Inputs!$G$5:$G$110&lt;&gt;"moeda")*(Inputs!$G$5:$G$110&lt;&gt;"acoes")))*INDEX(Inputs!$K$5:$AJ$110,0,MATCH(L$2,Inputs!$K$4:$AJ$4,0)))))</f>
        <v>0</v>
      </c>
      <c r="M25" s="268">
        <f>L25</f>
        <v>0</v>
      </c>
      <c r="N25" s="267">
        <f>IF(ISNA(MATCH(N$2,Inputs!$K$4:$AJ$4,0)),NA(),IF(SUMPRODUCT((Inputs!$A$5:$A$110=$B25)*ISNUMBER(INDEX(Inputs!$K$5:$AJ$110,0,MATCH(N$2,Inputs!$K$4:$AJ$4,0))))+SUMPRODUCT((Inputs!$C$5:$C$110=$B25)*ISNUMBER(INDEX(Inputs!$K$5:$AJ$110,0,MATCH(N$2,Inputs!$K$4:$AJ$4,0))))+SUMPRODUCT((Inputs!$E$5:$E$110=$B25)*ISNUMBER(INDEX(Inputs!$K$5:$AJ$110,0,MATCH(N$2,Inputs!$K$4:$AJ$4,0))))=0,NA(),SUMPRODUCT((Inputs!$A$5:$A$110=$B25)*Inputs!$B$5:$B$110*(((Inputs!$G$5:$G$110="moeda")+(Inputs!$G$5:$G$110="acoes"))*Inputs!$B$1+((Inputs!$G$5:$G$110&lt;&gt;"moeda")*(Inputs!$G$5:$G$110&lt;&gt;"acoes")))*INDEX(Inputs!$K$5:$AJ$110,0,MATCH(N$2,Inputs!$K$4:$AJ$4,0)))+SUMPRODUCT((Inputs!$C$5:$C$110=$B25)*Inputs!$D$5:$D$110*(((Inputs!$G$5:$G$110="moeda")+(Inputs!$G$5:$G$110="acoes"))*Inputs!$B$1+((Inputs!$G$5:$G$110&lt;&gt;"moeda")*(Inputs!$G$5:$G$110&lt;&gt;"acoes")))*INDEX(Inputs!$K$5:$AJ$110,0,MATCH(N$2,Inputs!$K$4:$AJ$4,0)))+SUMPRODUCT((Inputs!$E$5:$E$110=$B25)*Inputs!$F$5:$F$110*(((Inputs!$G$5:$G$110="moeda")+(Inputs!$G$5:$G$110="acoes"))*Inputs!$B$1+((Inputs!$G$5:$G$110&lt;&gt;"moeda")*(Inputs!$G$5:$G$110&lt;&gt;"acoes")))*INDEX(Inputs!$K$5:$AJ$110,0,MATCH(N$2,Inputs!$K$4:$AJ$4,0)))))</f>
        <v>0</v>
      </c>
      <c r="O25" s="267">
        <f>IF(ISNA(MATCH(O$2,Inputs!$K$4:$AJ$4,0)),NA(),IF(SUMPRODUCT((Inputs!$A$5:$A$110=$B25)*ISNUMBER(INDEX(Inputs!$K$5:$AJ$110,0,MATCH(O$2,Inputs!$K$4:$AJ$4,0))))+SUMPRODUCT((Inputs!$C$5:$C$110=$B25)*ISNUMBER(INDEX(Inputs!$K$5:$AJ$110,0,MATCH(O$2,Inputs!$K$4:$AJ$4,0))))+SUMPRODUCT((Inputs!$E$5:$E$110=$B25)*ISNUMBER(INDEX(Inputs!$K$5:$AJ$110,0,MATCH(O$2,Inputs!$K$4:$AJ$4,0))))=0,NA(),SUMPRODUCT((Inputs!$A$5:$A$110=$B25)*Inputs!$B$5:$B$110*(((Inputs!$G$5:$G$110="moeda")+(Inputs!$G$5:$G$110="acoes"))*Inputs!$B$1+((Inputs!$G$5:$G$110&lt;&gt;"moeda")*(Inputs!$G$5:$G$110&lt;&gt;"acoes")))*INDEX(Inputs!$K$5:$AJ$110,0,MATCH(O$2,Inputs!$K$4:$AJ$4,0)))+SUMPRODUCT((Inputs!$C$5:$C$110=$B25)*Inputs!$D$5:$D$110*(((Inputs!$G$5:$G$110="moeda")+(Inputs!$G$5:$G$110="acoes"))*Inputs!$B$1+((Inputs!$G$5:$G$110&lt;&gt;"moeda")*(Inputs!$G$5:$G$110&lt;&gt;"acoes")))*INDEX(Inputs!$K$5:$AJ$110,0,MATCH(O$2,Inputs!$K$4:$AJ$4,0)))+SUMPRODUCT((Inputs!$E$5:$E$110=$B25)*Inputs!$F$5:$F$110*(((Inputs!$G$5:$G$110="moeda")+(Inputs!$G$5:$G$110="acoes"))*Inputs!$B$1+((Inputs!$G$5:$G$110&lt;&gt;"moeda")*(Inputs!$G$5:$G$110&lt;&gt;"acoes")))*INDEX(Inputs!$K$5:$AJ$110,0,MATCH(O$2,Inputs!$K$4:$AJ$4,0)))))</f>
        <v>0</v>
      </c>
      <c r="P25" s="267">
        <f>IF(ISNA(MATCH(P$2,Inputs!$K$4:$AJ$4,0)),NA(),IF(SUMPRODUCT((Inputs!$A$5:$A$110=$B25)*ISNUMBER(INDEX(Inputs!$K$5:$AJ$110,0,MATCH(P$2,Inputs!$K$4:$AJ$4,0))))+SUMPRODUCT((Inputs!$C$5:$C$110=$B25)*ISNUMBER(INDEX(Inputs!$K$5:$AJ$110,0,MATCH(P$2,Inputs!$K$4:$AJ$4,0))))+SUMPRODUCT((Inputs!$E$5:$E$110=$B25)*ISNUMBER(INDEX(Inputs!$K$5:$AJ$110,0,MATCH(P$2,Inputs!$K$4:$AJ$4,0))))=0,NA(),SUMPRODUCT((Inputs!$A$5:$A$110=$B25)*Inputs!$B$5:$B$110*(((Inputs!$G$5:$G$110="moeda")+(Inputs!$G$5:$G$110="acoes"))*Inputs!$B$1+((Inputs!$G$5:$G$110&lt;&gt;"moeda")*(Inputs!$G$5:$G$110&lt;&gt;"acoes")))*INDEX(Inputs!$K$5:$AJ$110,0,MATCH(P$2,Inputs!$K$4:$AJ$4,0)))+SUMPRODUCT((Inputs!$C$5:$C$110=$B25)*Inputs!$D$5:$D$110*(((Inputs!$G$5:$G$110="moeda")+(Inputs!$G$5:$G$110="acoes"))*Inputs!$B$1+((Inputs!$G$5:$G$110&lt;&gt;"moeda")*(Inputs!$G$5:$G$110&lt;&gt;"acoes")))*INDEX(Inputs!$K$5:$AJ$110,0,MATCH(P$2,Inputs!$K$4:$AJ$4,0)))+SUMPRODUCT((Inputs!$E$5:$E$110=$B25)*Inputs!$F$5:$F$110*(((Inputs!$G$5:$G$110="moeda")+(Inputs!$G$5:$G$110="acoes"))*Inputs!$B$1+((Inputs!$G$5:$G$110&lt;&gt;"moeda")*(Inputs!$G$5:$G$110&lt;&gt;"acoes")))*INDEX(Inputs!$K$5:$AJ$110,0,MATCH(P$2,Inputs!$K$4:$AJ$4,0)))))</f>
        <v>0</v>
      </c>
      <c r="Q25" s="267">
        <f>IF(ISNA(MATCH(Q$2,Inputs!$K$4:$AJ$4,0)),NA(),IF(SUMPRODUCT((Inputs!$A$5:$A$110=$B25)*ISNUMBER(INDEX(Inputs!$K$5:$AJ$110,0,MATCH(Q$2,Inputs!$K$4:$AJ$4,0))))+SUMPRODUCT((Inputs!$C$5:$C$110=$B25)*ISNUMBER(INDEX(Inputs!$K$5:$AJ$110,0,MATCH(Q$2,Inputs!$K$4:$AJ$4,0))))+SUMPRODUCT((Inputs!$E$5:$E$110=$B25)*ISNUMBER(INDEX(Inputs!$K$5:$AJ$110,0,MATCH(Q$2,Inputs!$K$4:$AJ$4,0))))=0,NA(),SUMPRODUCT((Inputs!$A$5:$A$110=$B25)*Inputs!$B$5:$B$110*(((Inputs!$G$5:$G$110="moeda")+(Inputs!$G$5:$G$110="acoes"))*Inputs!$B$1+((Inputs!$G$5:$G$110&lt;&gt;"moeda")*(Inputs!$G$5:$G$110&lt;&gt;"acoes")))*INDEX(Inputs!$K$5:$AJ$110,0,MATCH(Q$2,Inputs!$K$4:$AJ$4,0)))+SUMPRODUCT((Inputs!$C$5:$C$110=$B25)*Inputs!$D$5:$D$110*(((Inputs!$G$5:$G$110="moeda")+(Inputs!$G$5:$G$110="acoes"))*Inputs!$B$1+((Inputs!$G$5:$G$110&lt;&gt;"moeda")*(Inputs!$G$5:$G$110&lt;&gt;"acoes")))*INDEX(Inputs!$K$5:$AJ$110,0,MATCH(Q$2,Inputs!$K$4:$AJ$4,0)))+SUMPRODUCT((Inputs!$E$5:$E$110=$B25)*Inputs!$F$5:$F$110*(((Inputs!$G$5:$G$110="moeda")+(Inputs!$G$5:$G$110="acoes"))*Inputs!$B$1+((Inputs!$G$5:$G$110&lt;&gt;"moeda")*(Inputs!$G$5:$G$110&lt;&gt;"acoes")))*INDEX(Inputs!$K$5:$AJ$110,0,MATCH(Q$2,Inputs!$K$4:$AJ$4,0)))))</f>
        <v>0</v>
      </c>
      <c r="R25" s="268">
        <f>Q25</f>
        <v>0</v>
      </c>
      <c r="S25" s="267">
        <f>IF(ISNA(MATCH(S$2,Inputs!$K$4:$AJ$4,0)),NA(),IF(SUMPRODUCT((Inputs!$A$5:$A$110=$B25)*ISNUMBER(INDEX(Inputs!$K$5:$AJ$110,0,MATCH(S$2,Inputs!$K$4:$AJ$4,0))))+SUMPRODUCT((Inputs!$C$5:$C$110=$B25)*ISNUMBER(INDEX(Inputs!$K$5:$AJ$110,0,MATCH(S$2,Inputs!$K$4:$AJ$4,0))))+SUMPRODUCT((Inputs!$E$5:$E$110=$B25)*ISNUMBER(INDEX(Inputs!$K$5:$AJ$110,0,MATCH(S$2,Inputs!$K$4:$AJ$4,0))))=0,NA(),SUMPRODUCT((Inputs!$A$5:$A$110=$B25)*Inputs!$B$5:$B$110*(((Inputs!$G$5:$G$110="moeda")+(Inputs!$G$5:$G$110="acoes"))*Inputs!$B$1+((Inputs!$G$5:$G$110&lt;&gt;"moeda")*(Inputs!$G$5:$G$110&lt;&gt;"acoes")))*INDEX(Inputs!$K$5:$AJ$110,0,MATCH(S$2,Inputs!$K$4:$AJ$4,0)))+SUMPRODUCT((Inputs!$C$5:$C$110=$B25)*Inputs!$D$5:$D$110*(((Inputs!$G$5:$G$110="moeda")+(Inputs!$G$5:$G$110="acoes"))*Inputs!$B$1+((Inputs!$G$5:$G$110&lt;&gt;"moeda")*(Inputs!$G$5:$G$110&lt;&gt;"acoes")))*INDEX(Inputs!$K$5:$AJ$110,0,MATCH(S$2,Inputs!$K$4:$AJ$4,0)))+SUMPRODUCT((Inputs!$E$5:$E$110=$B25)*Inputs!$F$5:$F$110*(((Inputs!$G$5:$G$110="moeda")+(Inputs!$G$5:$G$110="acoes"))*Inputs!$B$1+((Inputs!$G$5:$G$110&lt;&gt;"moeda")*(Inputs!$G$5:$G$110&lt;&gt;"acoes")))*INDEX(Inputs!$K$5:$AJ$110,0,MATCH(S$2,Inputs!$K$4:$AJ$4,0)))))</f>
        <v>0</v>
      </c>
      <c r="T25" s="267">
        <f>IF(ISNA(MATCH(T$2,Inputs!$K$4:$AJ$4,0)),NA(),IF(SUMPRODUCT((Inputs!$A$5:$A$110=$B25)*ISNUMBER(INDEX(Inputs!$K$5:$AJ$110,0,MATCH(T$2,Inputs!$K$4:$AJ$4,0))))+SUMPRODUCT((Inputs!$C$5:$C$110=$B25)*ISNUMBER(INDEX(Inputs!$K$5:$AJ$110,0,MATCH(T$2,Inputs!$K$4:$AJ$4,0))))+SUMPRODUCT((Inputs!$E$5:$E$110=$B25)*ISNUMBER(INDEX(Inputs!$K$5:$AJ$110,0,MATCH(T$2,Inputs!$K$4:$AJ$4,0))))=0,NA(),SUMPRODUCT((Inputs!$A$5:$A$110=$B25)*Inputs!$B$5:$B$110*(((Inputs!$G$5:$G$110="moeda")+(Inputs!$G$5:$G$110="acoes"))*Inputs!$B$1+((Inputs!$G$5:$G$110&lt;&gt;"moeda")*(Inputs!$G$5:$G$110&lt;&gt;"acoes")))*INDEX(Inputs!$K$5:$AJ$110,0,MATCH(T$2,Inputs!$K$4:$AJ$4,0)))+SUMPRODUCT((Inputs!$C$5:$C$110=$B25)*Inputs!$D$5:$D$110*(((Inputs!$G$5:$G$110="moeda")+(Inputs!$G$5:$G$110="acoes"))*Inputs!$B$1+((Inputs!$G$5:$G$110&lt;&gt;"moeda")*(Inputs!$G$5:$G$110&lt;&gt;"acoes")))*INDEX(Inputs!$K$5:$AJ$110,0,MATCH(T$2,Inputs!$K$4:$AJ$4,0)))+SUMPRODUCT((Inputs!$E$5:$E$110=$B25)*Inputs!$F$5:$F$110*(((Inputs!$G$5:$G$110="moeda")+(Inputs!$G$5:$G$110="acoes"))*Inputs!$B$1+((Inputs!$G$5:$G$110&lt;&gt;"moeda")*(Inputs!$G$5:$G$110&lt;&gt;"acoes")))*INDEX(Inputs!$K$5:$AJ$110,0,MATCH(T$2,Inputs!$K$4:$AJ$4,0)))))</f>
        <v>0</v>
      </c>
      <c r="U25" s="267">
        <f>IF(ISNA(MATCH(U$2,Inputs!$K$4:$AJ$4,0)),NA(),IF(SUMPRODUCT((Inputs!$A$5:$A$110=$B25)*ISNUMBER(INDEX(Inputs!$K$5:$AJ$110,0,MATCH(U$2,Inputs!$K$4:$AJ$4,0))))+SUMPRODUCT((Inputs!$C$5:$C$110=$B25)*ISNUMBER(INDEX(Inputs!$K$5:$AJ$110,0,MATCH(U$2,Inputs!$K$4:$AJ$4,0))))+SUMPRODUCT((Inputs!$E$5:$E$110=$B25)*ISNUMBER(INDEX(Inputs!$K$5:$AJ$110,0,MATCH(U$2,Inputs!$K$4:$AJ$4,0))))=0,NA(),SUMPRODUCT((Inputs!$A$5:$A$110=$B25)*Inputs!$B$5:$B$110*(((Inputs!$G$5:$G$110="moeda")+(Inputs!$G$5:$G$110="acoes"))*Inputs!$B$1+((Inputs!$G$5:$G$110&lt;&gt;"moeda")*(Inputs!$G$5:$G$110&lt;&gt;"acoes")))*INDEX(Inputs!$K$5:$AJ$110,0,MATCH(U$2,Inputs!$K$4:$AJ$4,0)))+SUMPRODUCT((Inputs!$C$5:$C$110=$B25)*Inputs!$D$5:$D$110*(((Inputs!$G$5:$G$110="moeda")+(Inputs!$G$5:$G$110="acoes"))*Inputs!$B$1+((Inputs!$G$5:$G$110&lt;&gt;"moeda")*(Inputs!$G$5:$G$110&lt;&gt;"acoes")))*INDEX(Inputs!$K$5:$AJ$110,0,MATCH(U$2,Inputs!$K$4:$AJ$4,0)))+SUMPRODUCT((Inputs!$E$5:$E$110=$B25)*Inputs!$F$5:$F$110*(((Inputs!$G$5:$G$110="moeda")+(Inputs!$G$5:$G$110="acoes"))*Inputs!$B$1+((Inputs!$G$5:$G$110&lt;&gt;"moeda")*(Inputs!$G$5:$G$110&lt;&gt;"acoes")))*INDEX(Inputs!$K$5:$AJ$110,0,MATCH(U$2,Inputs!$K$4:$AJ$4,0)))))</f>
        <v>0</v>
      </c>
      <c r="V25" s="267">
        <f>IF(ISNA(MATCH(V$2,Inputs!$K$4:$AJ$4,0)),NA(),IF(SUMPRODUCT((Inputs!$A$5:$A$110=$B25)*ISNUMBER(INDEX(Inputs!$K$5:$AJ$110,0,MATCH(V$2,Inputs!$K$4:$AJ$4,0))))+SUMPRODUCT((Inputs!$C$5:$C$110=$B25)*ISNUMBER(INDEX(Inputs!$K$5:$AJ$110,0,MATCH(V$2,Inputs!$K$4:$AJ$4,0))))+SUMPRODUCT((Inputs!$E$5:$E$110=$B25)*ISNUMBER(INDEX(Inputs!$K$5:$AJ$110,0,MATCH(V$2,Inputs!$K$4:$AJ$4,0))))=0,NA(),SUMPRODUCT((Inputs!$A$5:$A$110=$B25)*Inputs!$B$5:$B$110*(((Inputs!$G$5:$G$110="moeda")+(Inputs!$G$5:$G$110="acoes"))*Inputs!$B$1+((Inputs!$G$5:$G$110&lt;&gt;"moeda")*(Inputs!$G$5:$G$110&lt;&gt;"acoes")))*INDEX(Inputs!$K$5:$AJ$110,0,MATCH(V$2,Inputs!$K$4:$AJ$4,0)))+SUMPRODUCT((Inputs!$C$5:$C$110=$B25)*Inputs!$D$5:$D$110*(((Inputs!$G$5:$G$110="moeda")+(Inputs!$G$5:$G$110="acoes"))*Inputs!$B$1+((Inputs!$G$5:$G$110&lt;&gt;"moeda")*(Inputs!$G$5:$G$110&lt;&gt;"acoes")))*INDEX(Inputs!$K$5:$AJ$110,0,MATCH(V$2,Inputs!$K$4:$AJ$4,0)))+SUMPRODUCT((Inputs!$E$5:$E$110=$B25)*Inputs!$F$5:$F$110*(((Inputs!$G$5:$G$110="moeda")+(Inputs!$G$5:$G$110="acoes"))*Inputs!$B$1+((Inputs!$G$5:$G$110&lt;&gt;"moeda")*(Inputs!$G$5:$G$110&lt;&gt;"acoes")))*INDEX(Inputs!$K$5:$AJ$110,0,MATCH(V$2,Inputs!$K$4:$AJ$4,0)))))</f>
        <v>0</v>
      </c>
      <c r="W25" s="268">
        <f>V25</f>
        <v>0</v>
      </c>
      <c r="X25" s="267">
        <f>IF(ISNA(MATCH(X$2,Inputs!$K$4:$AJ$4,0)),NA(),IF(SUMPRODUCT((Inputs!$A$5:$A$110=$B25)*ISNUMBER(INDEX(Inputs!$K$5:$AJ$110,0,MATCH(X$2,Inputs!$K$4:$AJ$4,0))))+SUMPRODUCT((Inputs!$C$5:$C$110=$B25)*ISNUMBER(INDEX(Inputs!$K$5:$AJ$110,0,MATCH(X$2,Inputs!$K$4:$AJ$4,0))))+SUMPRODUCT((Inputs!$E$5:$E$110=$B25)*ISNUMBER(INDEX(Inputs!$K$5:$AJ$110,0,MATCH(X$2,Inputs!$K$4:$AJ$4,0))))=0,NA(),SUMPRODUCT((Inputs!$A$5:$A$110=$B25)*Inputs!$B$5:$B$110*(((Inputs!$G$5:$G$110="moeda")+(Inputs!$G$5:$G$110="acoes"))*Inputs!$B$1+((Inputs!$G$5:$G$110&lt;&gt;"moeda")*(Inputs!$G$5:$G$110&lt;&gt;"acoes")))*INDEX(Inputs!$K$5:$AJ$110,0,MATCH(X$2,Inputs!$K$4:$AJ$4,0)))+SUMPRODUCT((Inputs!$C$5:$C$110=$B25)*Inputs!$D$5:$D$110*(((Inputs!$G$5:$G$110="moeda")+(Inputs!$G$5:$G$110="acoes"))*Inputs!$B$1+((Inputs!$G$5:$G$110&lt;&gt;"moeda")*(Inputs!$G$5:$G$110&lt;&gt;"acoes")))*INDEX(Inputs!$K$5:$AJ$110,0,MATCH(X$2,Inputs!$K$4:$AJ$4,0)))+SUMPRODUCT((Inputs!$E$5:$E$110=$B25)*Inputs!$F$5:$F$110*(((Inputs!$G$5:$G$110="moeda")+(Inputs!$G$5:$G$110="acoes"))*Inputs!$B$1+((Inputs!$G$5:$G$110&lt;&gt;"moeda")*(Inputs!$G$5:$G$110&lt;&gt;"acoes")))*INDEX(Inputs!$K$5:$AJ$110,0,MATCH(X$2,Inputs!$K$4:$AJ$4,0)))))</f>
        <v>0</v>
      </c>
      <c r="Y25" s="267">
        <f>IF(ISNA(MATCH(Y$2,Inputs!$K$4:$AJ$4,0)),NA(),IF(SUMPRODUCT((Inputs!$A$5:$A$110=$B25)*ISNUMBER(INDEX(Inputs!$K$5:$AJ$110,0,MATCH(Y$2,Inputs!$K$4:$AJ$4,0))))+SUMPRODUCT((Inputs!$C$5:$C$110=$B25)*ISNUMBER(INDEX(Inputs!$K$5:$AJ$110,0,MATCH(Y$2,Inputs!$K$4:$AJ$4,0))))+SUMPRODUCT((Inputs!$E$5:$E$110=$B25)*ISNUMBER(INDEX(Inputs!$K$5:$AJ$110,0,MATCH(Y$2,Inputs!$K$4:$AJ$4,0))))=0,NA(),SUMPRODUCT((Inputs!$A$5:$A$110=$B25)*Inputs!$B$5:$B$110*(((Inputs!$G$5:$G$110="moeda")+(Inputs!$G$5:$G$110="acoes"))*Inputs!$B$1+((Inputs!$G$5:$G$110&lt;&gt;"moeda")*(Inputs!$G$5:$G$110&lt;&gt;"acoes")))*INDEX(Inputs!$K$5:$AJ$110,0,MATCH(Y$2,Inputs!$K$4:$AJ$4,0)))+SUMPRODUCT((Inputs!$C$5:$C$110=$B25)*Inputs!$D$5:$D$110*(((Inputs!$G$5:$G$110="moeda")+(Inputs!$G$5:$G$110="acoes"))*Inputs!$B$1+((Inputs!$G$5:$G$110&lt;&gt;"moeda")*(Inputs!$G$5:$G$110&lt;&gt;"acoes")))*INDEX(Inputs!$K$5:$AJ$110,0,MATCH(Y$2,Inputs!$K$4:$AJ$4,0)))+SUMPRODUCT((Inputs!$E$5:$E$110=$B25)*Inputs!$F$5:$F$110*(((Inputs!$G$5:$G$110="moeda")+(Inputs!$G$5:$G$110="acoes"))*Inputs!$B$1+((Inputs!$G$5:$G$110&lt;&gt;"moeda")*(Inputs!$G$5:$G$110&lt;&gt;"acoes")))*INDEX(Inputs!$K$5:$AJ$110,0,MATCH(Y$2,Inputs!$K$4:$AJ$4,0)))))</f>
        <v>0</v>
      </c>
      <c r="Z25" s="267">
        <f>IF(ISNA(MATCH(Z$2,Inputs!$K$4:$AJ$4,0)),NA(),IF(SUMPRODUCT((Inputs!$A$5:$A$110=$B25)*ISNUMBER(INDEX(Inputs!$K$5:$AJ$110,0,MATCH(Z$2,Inputs!$K$4:$AJ$4,0))))+SUMPRODUCT((Inputs!$C$5:$C$110=$B25)*ISNUMBER(INDEX(Inputs!$K$5:$AJ$110,0,MATCH(Z$2,Inputs!$K$4:$AJ$4,0))))+SUMPRODUCT((Inputs!$E$5:$E$110=$B25)*ISNUMBER(INDEX(Inputs!$K$5:$AJ$110,0,MATCH(Z$2,Inputs!$K$4:$AJ$4,0))))=0,NA(),SUMPRODUCT((Inputs!$A$5:$A$110=$B25)*Inputs!$B$5:$B$110*(((Inputs!$G$5:$G$110="moeda")+(Inputs!$G$5:$G$110="acoes"))*Inputs!$B$1+((Inputs!$G$5:$G$110&lt;&gt;"moeda")*(Inputs!$G$5:$G$110&lt;&gt;"acoes")))*INDEX(Inputs!$K$5:$AJ$110,0,MATCH(Z$2,Inputs!$K$4:$AJ$4,0)))+SUMPRODUCT((Inputs!$C$5:$C$110=$B25)*Inputs!$D$5:$D$110*(((Inputs!$G$5:$G$110="moeda")+(Inputs!$G$5:$G$110="acoes"))*Inputs!$B$1+((Inputs!$G$5:$G$110&lt;&gt;"moeda")*(Inputs!$G$5:$G$110&lt;&gt;"acoes")))*INDEX(Inputs!$K$5:$AJ$110,0,MATCH(Z$2,Inputs!$K$4:$AJ$4,0)))+SUMPRODUCT((Inputs!$E$5:$E$110=$B25)*Inputs!$F$5:$F$110*(((Inputs!$G$5:$G$110="moeda")+(Inputs!$G$5:$G$110="acoes"))*Inputs!$B$1+((Inputs!$G$5:$G$110&lt;&gt;"moeda")*(Inputs!$G$5:$G$110&lt;&gt;"acoes")))*INDEX(Inputs!$K$5:$AJ$110,0,MATCH(Z$2,Inputs!$K$4:$AJ$4,0)))))</f>
        <v>0</v>
      </c>
      <c r="AA25" s="267">
        <f>IF(ISNA(MATCH(AA$2,Inputs!$K$4:$AJ$4,0)),NA(),IF(SUMPRODUCT((Inputs!$A$5:$A$110=$B25)*ISNUMBER(INDEX(Inputs!$K$5:$AJ$110,0,MATCH(AA$2,Inputs!$K$4:$AJ$4,0))))+SUMPRODUCT((Inputs!$C$5:$C$110=$B25)*ISNUMBER(INDEX(Inputs!$K$5:$AJ$110,0,MATCH(AA$2,Inputs!$K$4:$AJ$4,0))))+SUMPRODUCT((Inputs!$E$5:$E$110=$B25)*ISNUMBER(INDEX(Inputs!$K$5:$AJ$110,0,MATCH(AA$2,Inputs!$K$4:$AJ$4,0))))=0,NA(),SUMPRODUCT((Inputs!$A$5:$A$110=$B25)*Inputs!$B$5:$B$110*(((Inputs!$G$5:$G$110="moeda")+(Inputs!$G$5:$G$110="acoes"))*Inputs!$B$1+((Inputs!$G$5:$G$110&lt;&gt;"moeda")*(Inputs!$G$5:$G$110&lt;&gt;"acoes")))*INDEX(Inputs!$K$5:$AJ$110,0,MATCH(AA$2,Inputs!$K$4:$AJ$4,0)))+SUMPRODUCT((Inputs!$C$5:$C$110=$B25)*Inputs!$D$5:$D$110*(((Inputs!$G$5:$G$110="moeda")+(Inputs!$G$5:$G$110="acoes"))*Inputs!$B$1+((Inputs!$G$5:$G$110&lt;&gt;"moeda")*(Inputs!$G$5:$G$110&lt;&gt;"acoes")))*INDEX(Inputs!$K$5:$AJ$110,0,MATCH(AA$2,Inputs!$K$4:$AJ$4,0)))+SUMPRODUCT((Inputs!$E$5:$E$110=$B25)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5" s="268">
        <f>AA25</f>
        <v>0</v>
      </c>
      <c r="AC25" s="267">
        <f>IF(ISNA(MATCH(AC$2,Inputs!$K$4:$AJ$4,0)),NA(),IF(SUMPRODUCT((Inputs!$A$5:$A$110=$B25)*ISNUMBER(INDEX(Inputs!$K$5:$AJ$110,0,MATCH(AC$2,Inputs!$K$4:$AJ$4,0))))+SUMPRODUCT((Inputs!$C$5:$C$110=$B25)*ISNUMBER(INDEX(Inputs!$K$5:$AJ$110,0,MATCH(AC$2,Inputs!$K$4:$AJ$4,0))))+SUMPRODUCT((Inputs!$E$5:$E$110=$B25)*ISNUMBER(INDEX(Inputs!$K$5:$AJ$110,0,MATCH(AC$2,Inputs!$K$4:$AJ$4,0))))=0,NA(),SUMPRODUCT((Inputs!$A$5:$A$110=$B25)*Inputs!$B$5:$B$110*(((Inputs!$G$5:$G$110="moeda")+(Inputs!$G$5:$G$110="acoes"))*Inputs!$B$1+((Inputs!$G$5:$G$110&lt;&gt;"moeda")*(Inputs!$G$5:$G$110&lt;&gt;"acoes")))*INDEX(Inputs!$K$5:$AJ$110,0,MATCH(AC$2,Inputs!$K$4:$AJ$4,0)))+SUMPRODUCT((Inputs!$C$5:$C$110=$B25)*Inputs!$D$5:$D$110*(((Inputs!$G$5:$G$110="moeda")+(Inputs!$G$5:$G$110="acoes"))*Inputs!$B$1+((Inputs!$G$5:$G$110&lt;&gt;"moeda")*(Inputs!$G$5:$G$110&lt;&gt;"acoes")))*INDEX(Inputs!$K$5:$AJ$110,0,MATCH(AC$2,Inputs!$K$4:$AJ$4,0)))+SUMPRODUCT((Inputs!$E$5:$E$110=$B25)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5" s="267">
        <f>IF(ISNA(MATCH(AD$2,Inputs!$K$4:$AJ$4,0)),NA(),IF(SUMPRODUCT((Inputs!$A$5:$A$110=$B25)*ISNUMBER(INDEX(Inputs!$K$5:$AJ$110,0,MATCH(AD$2,Inputs!$K$4:$AJ$4,0))))+SUMPRODUCT((Inputs!$C$5:$C$110=$B25)*ISNUMBER(INDEX(Inputs!$K$5:$AJ$110,0,MATCH(AD$2,Inputs!$K$4:$AJ$4,0))))+SUMPRODUCT((Inputs!$E$5:$E$110=$B25)*ISNUMBER(INDEX(Inputs!$K$5:$AJ$110,0,MATCH(AD$2,Inputs!$K$4:$AJ$4,0))))=0,NA(),SUMPRODUCT((Inputs!$A$5:$A$110=$B25)*Inputs!$B$5:$B$110*(((Inputs!$G$5:$G$110="moeda")+(Inputs!$G$5:$G$110="acoes"))*Inputs!$B$1+((Inputs!$G$5:$G$110&lt;&gt;"moeda")*(Inputs!$G$5:$G$110&lt;&gt;"acoes")))*INDEX(Inputs!$K$5:$AJ$110,0,MATCH(AD$2,Inputs!$K$4:$AJ$4,0)))+SUMPRODUCT((Inputs!$C$5:$C$110=$B25)*Inputs!$D$5:$D$110*(((Inputs!$G$5:$G$110="moeda")+(Inputs!$G$5:$G$110="acoes"))*Inputs!$B$1+((Inputs!$G$5:$G$110&lt;&gt;"moeda")*(Inputs!$G$5:$G$110&lt;&gt;"acoes")))*INDEX(Inputs!$K$5:$AJ$110,0,MATCH(AD$2,Inputs!$K$4:$AJ$4,0)))+SUMPRODUCT((Inputs!$E$5:$E$110=$B25)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5" s="267" t="e">
        <f>IF(ISNA(MATCH(AE$2,Inputs!$K$4:$AJ$4,0)),NA(),IF(SUMPRODUCT((Inputs!$A$5:$A$110=$B25)*ISNUMBER(INDEX(Inputs!$K$5:$AJ$110,0,MATCH(AE$2,Inputs!$K$4:$AJ$4,0))))+SUMPRODUCT((Inputs!$C$5:$C$110=$B25)*ISNUMBER(INDEX(Inputs!$K$5:$AJ$110,0,MATCH(AE$2,Inputs!$K$4:$AJ$4,0))))+SUMPRODUCT((Inputs!$E$5:$E$110=$B25)*ISNUMBER(INDEX(Inputs!$K$5:$AJ$110,0,MATCH(AE$2,Inputs!$K$4:$AJ$4,0))))=0,NA(),SUMPRODUCT((Inputs!$A$5:$A$110=$B25)*Inputs!$B$5:$B$110*(((Inputs!$G$5:$G$110="moeda")+(Inputs!$G$5:$G$110="acoes"))*Inputs!$B$1+((Inputs!$G$5:$G$110&lt;&gt;"moeda")*(Inputs!$G$5:$G$110&lt;&gt;"acoes")))*INDEX(Inputs!$K$5:$AJ$110,0,MATCH(AE$2,Inputs!$K$4:$AJ$4,0)))+SUMPRODUCT((Inputs!$C$5:$C$110=$B25)*Inputs!$D$5:$D$110*(((Inputs!$G$5:$G$110="moeda")+(Inputs!$G$5:$G$110="acoes"))*Inputs!$B$1+((Inputs!$G$5:$G$110&lt;&gt;"moeda")*(Inputs!$G$5:$G$110&lt;&gt;"acoes")))*INDEX(Inputs!$K$5:$AJ$110,0,MATCH(AE$2,Inputs!$K$4:$AJ$4,0)))+SUMPRODUCT((Inputs!$E$5:$E$110=$B25)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5" s="267" t="e">
        <f>IF(ISNA(MATCH(AF$2,Inputs!$K$4:$AJ$4,0)),NA(),IF(SUMPRODUCT((Inputs!$A$5:$A$110=$B25)*ISNUMBER(INDEX(Inputs!$K$5:$AJ$110,0,MATCH(AF$2,Inputs!$K$4:$AJ$4,0))))+SUMPRODUCT((Inputs!$C$5:$C$110=$B25)*ISNUMBER(INDEX(Inputs!$K$5:$AJ$110,0,MATCH(AF$2,Inputs!$K$4:$AJ$4,0))))+SUMPRODUCT((Inputs!$E$5:$E$110=$B25)*ISNUMBER(INDEX(Inputs!$K$5:$AJ$110,0,MATCH(AF$2,Inputs!$K$4:$AJ$4,0))))=0,NA(),SUMPRODUCT((Inputs!$A$5:$A$110=$B25)*Inputs!$B$5:$B$110*(((Inputs!$G$5:$G$110="moeda")+(Inputs!$G$5:$G$110="acoes"))*Inputs!$B$1+((Inputs!$G$5:$G$110&lt;&gt;"moeda")*(Inputs!$G$5:$G$110&lt;&gt;"acoes")))*INDEX(Inputs!$K$5:$AJ$110,0,MATCH(AF$2,Inputs!$K$4:$AJ$4,0)))+SUMPRODUCT((Inputs!$C$5:$C$110=$B25)*Inputs!$D$5:$D$110*(((Inputs!$G$5:$G$110="moeda")+(Inputs!$G$5:$G$110="acoes"))*Inputs!$B$1+((Inputs!$G$5:$G$110&lt;&gt;"moeda")*(Inputs!$G$5:$G$110&lt;&gt;"acoes")))*INDEX(Inputs!$K$5:$AJ$110,0,MATCH(AF$2,Inputs!$K$4:$AJ$4,0)))+SUMPRODUCT((Inputs!$E$5:$E$110=$B25)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5" s="268" t="e">
        <f>AF25</f>
        <v>#N/A</v>
      </c>
      <c r="AH25" s="267">
        <f>IF(ISNA(MATCH(AH$2,Inputs!$K$4:$AJ$4,0)),NA(),IF(SUMPRODUCT((Inputs!$A$5:$A$110=$B25)*ISNUMBER(INDEX(Inputs!$K$5:$AJ$110,0,MATCH(AH$2,Inputs!$K$4:$AJ$4,0))))+SUMPRODUCT((Inputs!$C$5:$C$110=$B25)*ISNUMBER(INDEX(Inputs!$K$5:$AJ$110,0,MATCH(AH$2,Inputs!$K$4:$AJ$4,0))))+SUMPRODUCT((Inputs!$E$5:$E$110=$B25)*ISNUMBER(INDEX(Inputs!$K$5:$AJ$110,0,MATCH(AH$2,Inputs!$K$4:$AJ$4,0))))=0,NA(),SUMPRODUCT((Inputs!$A$5:$A$110=$B25)*Inputs!$B$5:$B$110*(((Inputs!$G$5:$G$110="moeda")+(Inputs!$G$5:$G$110="acoes"))*Inputs!$B$1+((Inputs!$G$5:$G$110&lt;&gt;"moeda")*(Inputs!$G$5:$G$110&lt;&gt;"acoes")))*INDEX(Inputs!$K$5:$AJ$110,0,MATCH(AH$2,Inputs!$K$4:$AJ$4,0)))+SUMPRODUCT((Inputs!$C$5:$C$110=$B25)*Inputs!$D$5:$D$110*(((Inputs!$G$5:$G$110="moeda")+(Inputs!$G$5:$G$110="acoes"))*Inputs!$B$1+((Inputs!$G$5:$G$110&lt;&gt;"moeda")*(Inputs!$G$5:$G$110&lt;&gt;"acoes")))*INDEX(Inputs!$K$5:$AJ$110,0,MATCH(AH$2,Inputs!$K$4:$AJ$4,0)))+SUMPRODUCT((Inputs!$E$5:$E$110=$B25)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5" s="267">
        <f>IF(ISNA(MATCH(AI$2,Inputs!$K$4:$AJ$4,0)),NA(),IF(SUMPRODUCT((Inputs!$A$5:$A$110=$B25)*ISNUMBER(INDEX(Inputs!$K$5:$AJ$110,0,MATCH(AI$2,Inputs!$K$4:$AJ$4,0))))+SUMPRODUCT((Inputs!$C$5:$C$110=$B25)*ISNUMBER(INDEX(Inputs!$K$5:$AJ$110,0,MATCH(AI$2,Inputs!$K$4:$AJ$4,0))))+SUMPRODUCT((Inputs!$E$5:$E$110=$B25)*ISNUMBER(INDEX(Inputs!$K$5:$AJ$110,0,MATCH(AI$2,Inputs!$K$4:$AJ$4,0))))=0,NA(),SUMPRODUCT((Inputs!$A$5:$A$110=$B25)*Inputs!$B$5:$B$110*(((Inputs!$G$5:$G$110="moeda")+(Inputs!$G$5:$G$110="acoes"))*Inputs!$B$1+((Inputs!$G$5:$G$110&lt;&gt;"moeda")*(Inputs!$G$5:$G$110&lt;&gt;"acoes")))*INDEX(Inputs!$K$5:$AJ$110,0,MATCH(AI$2,Inputs!$K$4:$AJ$4,0)))+SUMPRODUCT((Inputs!$C$5:$C$110=$B25)*Inputs!$D$5:$D$110*(((Inputs!$G$5:$G$110="moeda")+(Inputs!$G$5:$G$110="acoes"))*Inputs!$B$1+((Inputs!$G$5:$G$110&lt;&gt;"moeda")*(Inputs!$G$5:$G$110&lt;&gt;"acoes")))*INDEX(Inputs!$K$5:$AJ$110,0,MATCH(AI$2,Inputs!$K$4:$AJ$4,0)))+SUMPRODUCT((Inputs!$E$5:$E$110=$B25)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5" s="267">
        <f>IF(ISNA(MATCH(AJ$2,Inputs!$K$4:$AJ$4,0)),NA(),IF(SUMPRODUCT((Inputs!$A$5:$A$110=$B25)*ISNUMBER(INDEX(Inputs!$K$5:$AJ$110,0,MATCH(AJ$2,Inputs!$K$4:$AJ$4,0))))+SUMPRODUCT((Inputs!$C$5:$C$110=$B25)*ISNUMBER(INDEX(Inputs!$K$5:$AJ$110,0,MATCH(AJ$2,Inputs!$K$4:$AJ$4,0))))+SUMPRODUCT((Inputs!$E$5:$E$110=$B25)*ISNUMBER(INDEX(Inputs!$K$5:$AJ$110,0,MATCH(AJ$2,Inputs!$K$4:$AJ$4,0))))=0,NA(),SUMPRODUCT((Inputs!$A$5:$A$110=$B25)*Inputs!$B$5:$B$110*(((Inputs!$G$5:$G$110="moeda")+(Inputs!$G$5:$G$110="acoes"))*Inputs!$B$1+((Inputs!$G$5:$G$110&lt;&gt;"moeda")*(Inputs!$G$5:$G$110&lt;&gt;"acoes")))*INDEX(Inputs!$K$5:$AJ$110,0,MATCH(AJ$2,Inputs!$K$4:$AJ$4,0)))+SUMPRODUCT((Inputs!$C$5:$C$110=$B25)*Inputs!$D$5:$D$110*(((Inputs!$G$5:$G$110="moeda")+(Inputs!$G$5:$G$110="acoes"))*Inputs!$B$1+((Inputs!$G$5:$G$110&lt;&gt;"moeda")*(Inputs!$G$5:$G$110&lt;&gt;"acoes")))*INDEX(Inputs!$K$5:$AJ$110,0,MATCH(AJ$2,Inputs!$K$4:$AJ$4,0)))+SUMPRODUCT((Inputs!$E$5:$E$110=$B25)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5" s="267">
        <f>IF(ISNA(MATCH(AK$2,Inputs!$K$4:$AJ$4,0)),NA(),IF(SUMPRODUCT((Inputs!$A$5:$A$110=$B25)*ISNUMBER(INDEX(Inputs!$K$5:$AJ$110,0,MATCH(AK$2,Inputs!$K$4:$AJ$4,0))))+SUMPRODUCT((Inputs!$C$5:$C$110=$B25)*ISNUMBER(INDEX(Inputs!$K$5:$AJ$110,0,MATCH(AK$2,Inputs!$K$4:$AJ$4,0))))+SUMPRODUCT((Inputs!$E$5:$E$110=$B25)*ISNUMBER(INDEX(Inputs!$K$5:$AJ$110,0,MATCH(AK$2,Inputs!$K$4:$AJ$4,0))))=0,NA(),SUMPRODUCT((Inputs!$A$5:$A$110=$B25)*Inputs!$B$5:$B$110*(((Inputs!$G$5:$G$110="moeda")+(Inputs!$G$5:$G$110="acoes"))*Inputs!$B$1+((Inputs!$G$5:$G$110&lt;&gt;"moeda")*(Inputs!$G$5:$G$110&lt;&gt;"acoes")))*INDEX(Inputs!$K$5:$AJ$110,0,MATCH(AK$2,Inputs!$K$4:$AJ$4,0)))+SUMPRODUCT((Inputs!$C$5:$C$110=$B25)*Inputs!$D$5:$D$110*(((Inputs!$G$5:$G$110="moeda")+(Inputs!$G$5:$G$110="acoes"))*Inputs!$B$1+((Inputs!$G$5:$G$110&lt;&gt;"moeda")*(Inputs!$G$5:$G$110&lt;&gt;"acoes")))*INDEX(Inputs!$K$5:$AJ$110,0,MATCH(AK$2,Inputs!$K$4:$AJ$4,0)))+SUMPRODUCT((Inputs!$E$5:$E$110=$B25)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5" s="268">
        <f>AK25</f>
        <v>0</v>
      </c>
    </row>
    <row r="26" ht="12.75" customHeight="1" s="255">
      <c r="B26" s="265" t="n">
        <v>22</v>
      </c>
      <c r="C26" s="270" t="inlineStr">
        <is>
          <t>Other non-current assets</t>
        </is>
      </c>
      <c r="D26" s="267">
        <f>IF(ISNA(MATCH(D$2,Inputs!$K$4:$AJ$4,0)),NA(),IF(SUMPRODUCT((Inputs!$A$5:$A$110=$B26)*ISNUMBER(INDEX(Inputs!$K$5:$AJ$110,0,MATCH(D$2,Inputs!$K$4:$AJ$4,0))))+SUMPRODUCT((Inputs!$C$5:$C$110=$B26)*ISNUMBER(INDEX(Inputs!$K$5:$AJ$110,0,MATCH(D$2,Inputs!$K$4:$AJ$4,0))))+SUMPRODUCT((Inputs!$E$5:$E$110=$B26)*ISNUMBER(INDEX(Inputs!$K$5:$AJ$110,0,MATCH(D$2,Inputs!$K$4:$AJ$4,0))))=0,NA(),SUMPRODUCT((Inputs!$A$5:$A$110=$B26)*Inputs!$B$5:$B$110*(((Inputs!$G$5:$G$110="moeda")+(Inputs!$G$5:$G$110="acoes"))*Inputs!$B$1+((Inputs!$G$5:$G$110&lt;&gt;"moeda")*(Inputs!$G$5:$G$110&lt;&gt;"acoes")))*INDEX(Inputs!$K$5:$AJ$110,0,MATCH(D$2,Inputs!$K$4:$AJ$4,0)))+SUMPRODUCT((Inputs!$C$5:$C$110=$B26)*Inputs!$D$5:$D$110*(((Inputs!$G$5:$G$110="moeda")+(Inputs!$G$5:$G$110="acoes"))*Inputs!$B$1+((Inputs!$G$5:$G$110&lt;&gt;"moeda")*(Inputs!$G$5:$G$110&lt;&gt;"acoes")))*INDEX(Inputs!$K$5:$AJ$110,0,MATCH(D$2,Inputs!$K$4:$AJ$4,0)))+SUMPRODUCT((Inputs!$E$5:$E$110=$B26)*Inputs!$F$5:$F$110*(((Inputs!$G$5:$G$110="moeda")+(Inputs!$G$5:$G$110="acoes"))*Inputs!$B$1+((Inputs!$G$5:$G$110&lt;&gt;"moeda")*(Inputs!$G$5:$G$110&lt;&gt;"acoes")))*INDEX(Inputs!$K$5:$AJ$110,0,MATCH(D$2,Inputs!$K$4:$AJ$4,0)))))</f>
        <v>3192</v>
      </c>
      <c r="E26" s="267">
        <f>IF(ISNA(MATCH(E$2,Inputs!$K$4:$AJ$4,0)),NA(),IF(SUMPRODUCT((Inputs!$A$5:$A$110=$B26)*ISNUMBER(INDEX(Inputs!$K$5:$AJ$110,0,MATCH(E$2,Inputs!$K$4:$AJ$4,0))))+SUMPRODUCT((Inputs!$C$5:$C$110=$B26)*ISNUMBER(INDEX(Inputs!$K$5:$AJ$110,0,MATCH(E$2,Inputs!$K$4:$AJ$4,0))))+SUMPRODUCT((Inputs!$E$5:$E$110=$B26)*ISNUMBER(INDEX(Inputs!$K$5:$AJ$110,0,MATCH(E$2,Inputs!$K$4:$AJ$4,0))))=0,NA(),SUMPRODUCT((Inputs!$A$5:$A$110=$B26)*Inputs!$B$5:$B$110*(((Inputs!$G$5:$G$110="moeda")+(Inputs!$G$5:$G$110="acoes"))*Inputs!$B$1+((Inputs!$G$5:$G$110&lt;&gt;"moeda")*(Inputs!$G$5:$G$110&lt;&gt;"acoes")))*INDEX(Inputs!$K$5:$AJ$110,0,MATCH(E$2,Inputs!$K$4:$AJ$4,0)))+SUMPRODUCT((Inputs!$C$5:$C$110=$B26)*Inputs!$D$5:$D$110*(((Inputs!$G$5:$G$110="moeda")+(Inputs!$G$5:$G$110="acoes"))*Inputs!$B$1+((Inputs!$G$5:$G$110&lt;&gt;"moeda")*(Inputs!$G$5:$G$110&lt;&gt;"acoes")))*INDEX(Inputs!$K$5:$AJ$110,0,MATCH(E$2,Inputs!$K$4:$AJ$4,0)))+SUMPRODUCT((Inputs!$E$5:$E$110=$B26)*Inputs!$F$5:$F$110*(((Inputs!$G$5:$G$110="moeda")+(Inputs!$G$5:$G$110="acoes"))*Inputs!$B$1+((Inputs!$G$5:$G$110&lt;&gt;"moeda")*(Inputs!$G$5:$G$110&lt;&gt;"acoes")))*INDEX(Inputs!$K$5:$AJ$110,0,MATCH(E$2,Inputs!$K$4:$AJ$4,0)))))</f>
        <v>3306</v>
      </c>
      <c r="F26" s="267">
        <f>IF(ISNA(MATCH(F$2,Inputs!$K$4:$AJ$4,0)),NA(),IF(SUMPRODUCT((Inputs!$A$5:$A$110=$B26)*ISNUMBER(INDEX(Inputs!$K$5:$AJ$110,0,MATCH(F$2,Inputs!$K$4:$AJ$4,0))))+SUMPRODUCT((Inputs!$C$5:$C$110=$B26)*ISNUMBER(INDEX(Inputs!$K$5:$AJ$110,0,MATCH(F$2,Inputs!$K$4:$AJ$4,0))))+SUMPRODUCT((Inputs!$E$5:$E$110=$B26)*ISNUMBER(INDEX(Inputs!$K$5:$AJ$110,0,MATCH(F$2,Inputs!$K$4:$AJ$4,0))))=0,NA(),SUMPRODUCT((Inputs!$A$5:$A$110=$B26)*Inputs!$B$5:$B$110*(((Inputs!$G$5:$G$110="moeda")+(Inputs!$G$5:$G$110="acoes"))*Inputs!$B$1+((Inputs!$G$5:$G$110&lt;&gt;"moeda")*(Inputs!$G$5:$G$110&lt;&gt;"acoes")))*INDEX(Inputs!$K$5:$AJ$110,0,MATCH(F$2,Inputs!$K$4:$AJ$4,0)))+SUMPRODUCT((Inputs!$C$5:$C$110=$B26)*Inputs!$D$5:$D$110*(((Inputs!$G$5:$G$110="moeda")+(Inputs!$G$5:$G$110="acoes"))*Inputs!$B$1+((Inputs!$G$5:$G$110&lt;&gt;"moeda")*(Inputs!$G$5:$G$110&lt;&gt;"acoes")))*INDEX(Inputs!$K$5:$AJ$110,0,MATCH(F$2,Inputs!$K$4:$AJ$4,0)))+SUMPRODUCT((Inputs!$E$5:$E$110=$B26)*Inputs!$F$5:$F$110*(((Inputs!$G$5:$G$110="moeda")+(Inputs!$G$5:$G$110="acoes"))*Inputs!$B$1+((Inputs!$G$5:$G$110&lt;&gt;"moeda")*(Inputs!$G$5:$G$110&lt;&gt;"acoes")))*INDEX(Inputs!$K$5:$AJ$110,0,MATCH(F$2,Inputs!$K$4:$AJ$4,0)))))</f>
        <v>3381</v>
      </c>
      <c r="G26" s="267">
        <f>IF(ISNA(MATCH(G$2,Inputs!$K$4:$AJ$4,0)),NA(),IF(SUMPRODUCT((Inputs!$A$5:$A$110=$B26)*ISNUMBER(INDEX(Inputs!$K$5:$AJ$110,0,MATCH(G$2,Inputs!$K$4:$AJ$4,0))))+SUMPRODUCT((Inputs!$C$5:$C$110=$B26)*ISNUMBER(INDEX(Inputs!$K$5:$AJ$110,0,MATCH(G$2,Inputs!$K$4:$AJ$4,0))))+SUMPRODUCT((Inputs!$E$5:$E$110=$B26)*ISNUMBER(INDEX(Inputs!$K$5:$AJ$110,0,MATCH(G$2,Inputs!$K$4:$AJ$4,0))))=0,NA(),SUMPRODUCT((Inputs!$A$5:$A$110=$B26)*Inputs!$B$5:$B$110*(((Inputs!$G$5:$G$110="moeda")+(Inputs!$G$5:$G$110="acoes"))*Inputs!$B$1+((Inputs!$G$5:$G$110&lt;&gt;"moeda")*(Inputs!$G$5:$G$110&lt;&gt;"acoes")))*INDEX(Inputs!$K$5:$AJ$110,0,MATCH(G$2,Inputs!$K$4:$AJ$4,0)))+SUMPRODUCT((Inputs!$C$5:$C$110=$B26)*Inputs!$D$5:$D$110*(((Inputs!$G$5:$G$110="moeda")+(Inputs!$G$5:$G$110="acoes"))*Inputs!$B$1+((Inputs!$G$5:$G$110&lt;&gt;"moeda")*(Inputs!$G$5:$G$110&lt;&gt;"acoes")))*INDEX(Inputs!$K$5:$AJ$110,0,MATCH(G$2,Inputs!$K$4:$AJ$4,0)))+SUMPRODUCT((Inputs!$E$5:$E$110=$B26)*Inputs!$F$5:$F$110*(((Inputs!$G$5:$G$110="moeda")+(Inputs!$G$5:$G$110="acoes"))*Inputs!$B$1+((Inputs!$G$5:$G$110&lt;&gt;"moeda")*(Inputs!$G$5:$G$110&lt;&gt;"acoes")))*INDEX(Inputs!$K$5:$AJ$110,0,MATCH(G$2,Inputs!$K$4:$AJ$4,0)))))</f>
        <v>3509</v>
      </c>
      <c r="H26" s="268">
        <f>G26</f>
        <v>3509</v>
      </c>
      <c r="I26" s="267">
        <f>IF(ISNA(MATCH(I$2,Inputs!$K$4:$AJ$4,0)),NA(),IF(SUMPRODUCT((Inputs!$A$5:$A$110=$B26)*ISNUMBER(INDEX(Inputs!$K$5:$AJ$110,0,MATCH(I$2,Inputs!$K$4:$AJ$4,0))))+SUMPRODUCT((Inputs!$C$5:$C$110=$B26)*ISNUMBER(INDEX(Inputs!$K$5:$AJ$110,0,MATCH(I$2,Inputs!$K$4:$AJ$4,0))))+SUMPRODUCT((Inputs!$E$5:$E$110=$B26)*ISNUMBER(INDEX(Inputs!$K$5:$AJ$110,0,MATCH(I$2,Inputs!$K$4:$AJ$4,0))))=0,NA(),SUMPRODUCT((Inputs!$A$5:$A$110=$B26)*Inputs!$B$5:$B$110*(((Inputs!$G$5:$G$110="moeda")+(Inputs!$G$5:$G$110="acoes"))*Inputs!$B$1+((Inputs!$G$5:$G$110&lt;&gt;"moeda")*(Inputs!$G$5:$G$110&lt;&gt;"acoes")))*INDEX(Inputs!$K$5:$AJ$110,0,MATCH(I$2,Inputs!$K$4:$AJ$4,0)))+SUMPRODUCT((Inputs!$C$5:$C$110=$B26)*Inputs!$D$5:$D$110*(((Inputs!$G$5:$G$110="moeda")+(Inputs!$G$5:$G$110="acoes"))*Inputs!$B$1+((Inputs!$G$5:$G$110&lt;&gt;"moeda")*(Inputs!$G$5:$G$110&lt;&gt;"acoes")))*INDEX(Inputs!$K$5:$AJ$110,0,MATCH(I$2,Inputs!$K$4:$AJ$4,0)))+SUMPRODUCT((Inputs!$E$5:$E$110=$B26)*Inputs!$F$5:$F$110*(((Inputs!$G$5:$G$110="moeda")+(Inputs!$G$5:$G$110="acoes"))*Inputs!$B$1+((Inputs!$G$5:$G$110&lt;&gt;"moeda")*(Inputs!$G$5:$G$110&lt;&gt;"acoes")))*INDEX(Inputs!$K$5:$AJ$110,0,MATCH(I$2,Inputs!$K$4:$AJ$4,0)))))</f>
        <v>3621</v>
      </c>
      <c r="J26" s="267">
        <f>IF(ISNA(MATCH(J$2,Inputs!$K$4:$AJ$4,0)),NA(),IF(SUMPRODUCT((Inputs!$A$5:$A$110=$B26)*ISNUMBER(INDEX(Inputs!$K$5:$AJ$110,0,MATCH(J$2,Inputs!$K$4:$AJ$4,0))))+SUMPRODUCT((Inputs!$C$5:$C$110=$B26)*ISNUMBER(INDEX(Inputs!$K$5:$AJ$110,0,MATCH(J$2,Inputs!$K$4:$AJ$4,0))))+SUMPRODUCT((Inputs!$E$5:$E$110=$B26)*ISNUMBER(INDEX(Inputs!$K$5:$AJ$110,0,MATCH(J$2,Inputs!$K$4:$AJ$4,0))))=0,NA(),SUMPRODUCT((Inputs!$A$5:$A$110=$B26)*Inputs!$B$5:$B$110*(((Inputs!$G$5:$G$110="moeda")+(Inputs!$G$5:$G$110="acoes"))*Inputs!$B$1+((Inputs!$G$5:$G$110&lt;&gt;"moeda")*(Inputs!$G$5:$G$110&lt;&gt;"acoes")))*INDEX(Inputs!$K$5:$AJ$110,0,MATCH(J$2,Inputs!$K$4:$AJ$4,0)))+SUMPRODUCT((Inputs!$C$5:$C$110=$B26)*Inputs!$D$5:$D$110*(((Inputs!$G$5:$G$110="moeda")+(Inputs!$G$5:$G$110="acoes"))*Inputs!$B$1+((Inputs!$G$5:$G$110&lt;&gt;"moeda")*(Inputs!$G$5:$G$110&lt;&gt;"acoes")))*INDEX(Inputs!$K$5:$AJ$110,0,MATCH(J$2,Inputs!$K$4:$AJ$4,0)))+SUMPRODUCT((Inputs!$E$5:$E$110=$B26)*Inputs!$F$5:$F$110*(((Inputs!$G$5:$G$110="moeda")+(Inputs!$G$5:$G$110="acoes"))*Inputs!$B$1+((Inputs!$G$5:$G$110&lt;&gt;"moeda")*(Inputs!$G$5:$G$110&lt;&gt;"acoes")))*INDEX(Inputs!$K$5:$AJ$110,0,MATCH(J$2,Inputs!$K$4:$AJ$4,0)))))</f>
        <v>3970</v>
      </c>
      <c r="K26" s="267">
        <f>IF(ISNA(MATCH(K$2,Inputs!$K$4:$AJ$4,0)),NA(),IF(SUMPRODUCT((Inputs!$A$5:$A$110=$B26)*ISNUMBER(INDEX(Inputs!$K$5:$AJ$110,0,MATCH(K$2,Inputs!$K$4:$AJ$4,0))))+SUMPRODUCT((Inputs!$C$5:$C$110=$B26)*ISNUMBER(INDEX(Inputs!$K$5:$AJ$110,0,MATCH(K$2,Inputs!$K$4:$AJ$4,0))))+SUMPRODUCT((Inputs!$E$5:$E$110=$B26)*ISNUMBER(INDEX(Inputs!$K$5:$AJ$110,0,MATCH(K$2,Inputs!$K$4:$AJ$4,0))))=0,NA(),SUMPRODUCT((Inputs!$A$5:$A$110=$B26)*Inputs!$B$5:$B$110*(((Inputs!$G$5:$G$110="moeda")+(Inputs!$G$5:$G$110="acoes"))*Inputs!$B$1+((Inputs!$G$5:$G$110&lt;&gt;"moeda")*(Inputs!$G$5:$G$110&lt;&gt;"acoes")))*INDEX(Inputs!$K$5:$AJ$110,0,MATCH(K$2,Inputs!$K$4:$AJ$4,0)))+SUMPRODUCT((Inputs!$C$5:$C$110=$B26)*Inputs!$D$5:$D$110*(((Inputs!$G$5:$G$110="moeda")+(Inputs!$G$5:$G$110="acoes"))*Inputs!$B$1+((Inputs!$G$5:$G$110&lt;&gt;"moeda")*(Inputs!$G$5:$G$110&lt;&gt;"acoes")))*INDEX(Inputs!$K$5:$AJ$110,0,MATCH(K$2,Inputs!$K$4:$AJ$4,0)))+SUMPRODUCT((Inputs!$E$5:$E$110=$B26)*Inputs!$F$5:$F$110*(((Inputs!$G$5:$G$110="moeda")+(Inputs!$G$5:$G$110="acoes"))*Inputs!$B$1+((Inputs!$G$5:$G$110&lt;&gt;"moeda")*(Inputs!$G$5:$G$110&lt;&gt;"acoes")))*INDEX(Inputs!$K$5:$AJ$110,0,MATCH(K$2,Inputs!$K$4:$AJ$4,0)))))</f>
        <v>4050</v>
      </c>
      <c r="L26" s="267">
        <f>IF(ISNA(MATCH(L$2,Inputs!$K$4:$AJ$4,0)),NA(),IF(SUMPRODUCT((Inputs!$A$5:$A$110=$B26)*ISNUMBER(INDEX(Inputs!$K$5:$AJ$110,0,MATCH(L$2,Inputs!$K$4:$AJ$4,0))))+SUMPRODUCT((Inputs!$C$5:$C$110=$B26)*ISNUMBER(INDEX(Inputs!$K$5:$AJ$110,0,MATCH(L$2,Inputs!$K$4:$AJ$4,0))))+SUMPRODUCT((Inputs!$E$5:$E$110=$B26)*ISNUMBER(INDEX(Inputs!$K$5:$AJ$110,0,MATCH(L$2,Inputs!$K$4:$AJ$4,0))))=0,NA(),SUMPRODUCT((Inputs!$A$5:$A$110=$B26)*Inputs!$B$5:$B$110*(((Inputs!$G$5:$G$110="moeda")+(Inputs!$G$5:$G$110="acoes"))*Inputs!$B$1+((Inputs!$G$5:$G$110&lt;&gt;"moeda")*(Inputs!$G$5:$G$110&lt;&gt;"acoes")))*INDEX(Inputs!$K$5:$AJ$110,0,MATCH(L$2,Inputs!$K$4:$AJ$4,0)))+SUMPRODUCT((Inputs!$C$5:$C$110=$B26)*Inputs!$D$5:$D$110*(((Inputs!$G$5:$G$110="moeda")+(Inputs!$G$5:$G$110="acoes"))*Inputs!$B$1+((Inputs!$G$5:$G$110&lt;&gt;"moeda")*(Inputs!$G$5:$G$110&lt;&gt;"acoes")))*INDEX(Inputs!$K$5:$AJ$110,0,MATCH(L$2,Inputs!$K$4:$AJ$4,0)))+SUMPRODUCT((Inputs!$E$5:$E$110=$B26)*Inputs!$F$5:$F$110*(((Inputs!$G$5:$G$110="moeda")+(Inputs!$G$5:$G$110="acoes"))*Inputs!$B$1+((Inputs!$G$5:$G$110&lt;&gt;"moeda")*(Inputs!$G$5:$G$110&lt;&gt;"acoes")))*INDEX(Inputs!$K$5:$AJ$110,0,MATCH(L$2,Inputs!$K$4:$AJ$4,0)))))</f>
        <v>3946</v>
      </c>
      <c r="M26" s="268">
        <f>L26</f>
        <v>3946</v>
      </c>
      <c r="N26" s="267">
        <f>IF(ISNA(MATCH(N$2,Inputs!$K$4:$AJ$4,0)),NA(),IF(SUMPRODUCT((Inputs!$A$5:$A$110=$B26)*ISNUMBER(INDEX(Inputs!$K$5:$AJ$110,0,MATCH(N$2,Inputs!$K$4:$AJ$4,0))))+SUMPRODUCT((Inputs!$C$5:$C$110=$B26)*ISNUMBER(INDEX(Inputs!$K$5:$AJ$110,0,MATCH(N$2,Inputs!$K$4:$AJ$4,0))))+SUMPRODUCT((Inputs!$E$5:$E$110=$B26)*ISNUMBER(INDEX(Inputs!$K$5:$AJ$110,0,MATCH(N$2,Inputs!$K$4:$AJ$4,0))))=0,NA(),SUMPRODUCT((Inputs!$A$5:$A$110=$B26)*Inputs!$B$5:$B$110*(((Inputs!$G$5:$G$110="moeda")+(Inputs!$G$5:$G$110="acoes"))*Inputs!$B$1+((Inputs!$G$5:$G$110&lt;&gt;"moeda")*(Inputs!$G$5:$G$110&lt;&gt;"acoes")))*INDEX(Inputs!$K$5:$AJ$110,0,MATCH(N$2,Inputs!$K$4:$AJ$4,0)))+SUMPRODUCT((Inputs!$C$5:$C$110=$B26)*Inputs!$D$5:$D$110*(((Inputs!$G$5:$G$110="moeda")+(Inputs!$G$5:$G$110="acoes"))*Inputs!$B$1+((Inputs!$G$5:$G$110&lt;&gt;"moeda")*(Inputs!$G$5:$G$110&lt;&gt;"acoes")))*INDEX(Inputs!$K$5:$AJ$110,0,MATCH(N$2,Inputs!$K$4:$AJ$4,0)))+SUMPRODUCT((Inputs!$E$5:$E$110=$B26)*Inputs!$F$5:$F$110*(((Inputs!$G$5:$G$110="moeda")+(Inputs!$G$5:$G$110="acoes"))*Inputs!$B$1+((Inputs!$G$5:$G$110&lt;&gt;"moeda")*(Inputs!$G$5:$G$110&lt;&gt;"acoes")))*INDEX(Inputs!$K$5:$AJ$110,0,MATCH(N$2,Inputs!$K$4:$AJ$4,0)))))</f>
        <v>3935</v>
      </c>
      <c r="O26" s="267">
        <f>IF(ISNA(MATCH(O$2,Inputs!$K$4:$AJ$4,0)),NA(),IF(SUMPRODUCT((Inputs!$A$5:$A$110=$B26)*ISNUMBER(INDEX(Inputs!$K$5:$AJ$110,0,MATCH(O$2,Inputs!$K$4:$AJ$4,0))))+SUMPRODUCT((Inputs!$C$5:$C$110=$B26)*ISNUMBER(INDEX(Inputs!$K$5:$AJ$110,0,MATCH(O$2,Inputs!$K$4:$AJ$4,0))))+SUMPRODUCT((Inputs!$E$5:$E$110=$B26)*ISNUMBER(INDEX(Inputs!$K$5:$AJ$110,0,MATCH(O$2,Inputs!$K$4:$AJ$4,0))))=0,NA(),SUMPRODUCT((Inputs!$A$5:$A$110=$B26)*Inputs!$B$5:$B$110*(((Inputs!$G$5:$G$110="moeda")+(Inputs!$G$5:$G$110="acoes"))*Inputs!$B$1+((Inputs!$G$5:$G$110&lt;&gt;"moeda")*(Inputs!$G$5:$G$110&lt;&gt;"acoes")))*INDEX(Inputs!$K$5:$AJ$110,0,MATCH(O$2,Inputs!$K$4:$AJ$4,0)))+SUMPRODUCT((Inputs!$C$5:$C$110=$B26)*Inputs!$D$5:$D$110*(((Inputs!$G$5:$G$110="moeda")+(Inputs!$G$5:$G$110="acoes"))*Inputs!$B$1+((Inputs!$G$5:$G$110&lt;&gt;"moeda")*(Inputs!$G$5:$G$110&lt;&gt;"acoes")))*INDEX(Inputs!$K$5:$AJ$110,0,MATCH(O$2,Inputs!$K$4:$AJ$4,0)))+SUMPRODUCT((Inputs!$E$5:$E$110=$B26)*Inputs!$F$5:$F$110*(((Inputs!$G$5:$G$110="moeda")+(Inputs!$G$5:$G$110="acoes"))*Inputs!$B$1+((Inputs!$G$5:$G$110&lt;&gt;"moeda")*(Inputs!$G$5:$G$110&lt;&gt;"acoes")))*INDEX(Inputs!$K$5:$AJ$110,0,MATCH(O$2,Inputs!$K$4:$AJ$4,0)))))</f>
        <v>3726</v>
      </c>
      <c r="P26" s="267">
        <f>IF(ISNA(MATCH(P$2,Inputs!$K$4:$AJ$4,0)),NA(),IF(SUMPRODUCT((Inputs!$A$5:$A$110=$B26)*ISNUMBER(INDEX(Inputs!$K$5:$AJ$110,0,MATCH(P$2,Inputs!$K$4:$AJ$4,0))))+SUMPRODUCT((Inputs!$C$5:$C$110=$B26)*ISNUMBER(INDEX(Inputs!$K$5:$AJ$110,0,MATCH(P$2,Inputs!$K$4:$AJ$4,0))))+SUMPRODUCT((Inputs!$E$5:$E$110=$B26)*ISNUMBER(INDEX(Inputs!$K$5:$AJ$110,0,MATCH(P$2,Inputs!$K$4:$AJ$4,0))))=0,NA(),SUMPRODUCT((Inputs!$A$5:$A$110=$B26)*Inputs!$B$5:$B$110*(((Inputs!$G$5:$G$110="moeda")+(Inputs!$G$5:$G$110="acoes"))*Inputs!$B$1+((Inputs!$G$5:$G$110&lt;&gt;"moeda")*(Inputs!$G$5:$G$110&lt;&gt;"acoes")))*INDEX(Inputs!$K$5:$AJ$110,0,MATCH(P$2,Inputs!$K$4:$AJ$4,0)))+SUMPRODUCT((Inputs!$C$5:$C$110=$B26)*Inputs!$D$5:$D$110*(((Inputs!$G$5:$G$110="moeda")+(Inputs!$G$5:$G$110="acoes"))*Inputs!$B$1+((Inputs!$G$5:$G$110&lt;&gt;"moeda")*(Inputs!$G$5:$G$110&lt;&gt;"acoes")))*INDEX(Inputs!$K$5:$AJ$110,0,MATCH(P$2,Inputs!$K$4:$AJ$4,0)))+SUMPRODUCT((Inputs!$E$5:$E$110=$B26)*Inputs!$F$5:$F$110*(((Inputs!$G$5:$G$110="moeda")+(Inputs!$G$5:$G$110="acoes"))*Inputs!$B$1+((Inputs!$G$5:$G$110&lt;&gt;"moeda")*(Inputs!$G$5:$G$110&lt;&gt;"acoes")))*INDEX(Inputs!$K$5:$AJ$110,0,MATCH(P$2,Inputs!$K$4:$AJ$4,0)))))</f>
        <v>3718</v>
      </c>
      <c r="Q26" s="267">
        <f>IF(ISNA(MATCH(Q$2,Inputs!$K$4:$AJ$4,0)),NA(),IF(SUMPRODUCT((Inputs!$A$5:$A$110=$B26)*ISNUMBER(INDEX(Inputs!$K$5:$AJ$110,0,MATCH(Q$2,Inputs!$K$4:$AJ$4,0))))+SUMPRODUCT((Inputs!$C$5:$C$110=$B26)*ISNUMBER(INDEX(Inputs!$K$5:$AJ$110,0,MATCH(Q$2,Inputs!$K$4:$AJ$4,0))))+SUMPRODUCT((Inputs!$E$5:$E$110=$B26)*ISNUMBER(INDEX(Inputs!$K$5:$AJ$110,0,MATCH(Q$2,Inputs!$K$4:$AJ$4,0))))=0,NA(),SUMPRODUCT((Inputs!$A$5:$A$110=$B26)*Inputs!$B$5:$B$110*(((Inputs!$G$5:$G$110="moeda")+(Inputs!$G$5:$G$110="acoes"))*Inputs!$B$1+((Inputs!$G$5:$G$110&lt;&gt;"moeda")*(Inputs!$G$5:$G$110&lt;&gt;"acoes")))*INDEX(Inputs!$K$5:$AJ$110,0,MATCH(Q$2,Inputs!$K$4:$AJ$4,0)))+SUMPRODUCT((Inputs!$C$5:$C$110=$B26)*Inputs!$D$5:$D$110*(((Inputs!$G$5:$G$110="moeda")+(Inputs!$G$5:$G$110="acoes"))*Inputs!$B$1+((Inputs!$G$5:$G$110&lt;&gt;"moeda")*(Inputs!$G$5:$G$110&lt;&gt;"acoes")))*INDEX(Inputs!$K$5:$AJ$110,0,MATCH(Q$2,Inputs!$K$4:$AJ$4,0)))+SUMPRODUCT((Inputs!$E$5:$E$110=$B26)*Inputs!$F$5:$F$110*(((Inputs!$G$5:$G$110="moeda")+(Inputs!$G$5:$G$110="acoes"))*Inputs!$B$1+((Inputs!$G$5:$G$110&lt;&gt;"moeda")*(Inputs!$G$5:$G$110&lt;&gt;"acoes")))*INDEX(Inputs!$K$5:$AJ$110,0,MATCH(Q$2,Inputs!$K$4:$AJ$4,0)))))</f>
        <v>3803</v>
      </c>
      <c r="R26" s="268">
        <f>Q26</f>
        <v>3803</v>
      </c>
      <c r="S26" s="267">
        <f>IF(ISNA(MATCH(S$2,Inputs!$K$4:$AJ$4,0)),NA(),IF(SUMPRODUCT((Inputs!$A$5:$A$110=$B26)*ISNUMBER(INDEX(Inputs!$K$5:$AJ$110,0,MATCH(S$2,Inputs!$K$4:$AJ$4,0))))+SUMPRODUCT((Inputs!$C$5:$C$110=$B26)*ISNUMBER(INDEX(Inputs!$K$5:$AJ$110,0,MATCH(S$2,Inputs!$K$4:$AJ$4,0))))+SUMPRODUCT((Inputs!$E$5:$E$110=$B26)*ISNUMBER(INDEX(Inputs!$K$5:$AJ$110,0,MATCH(S$2,Inputs!$K$4:$AJ$4,0))))=0,NA(),SUMPRODUCT((Inputs!$A$5:$A$110=$B26)*Inputs!$B$5:$B$110*(((Inputs!$G$5:$G$110="moeda")+(Inputs!$G$5:$G$110="acoes"))*Inputs!$B$1+((Inputs!$G$5:$G$110&lt;&gt;"moeda")*(Inputs!$G$5:$G$110&lt;&gt;"acoes")))*INDEX(Inputs!$K$5:$AJ$110,0,MATCH(S$2,Inputs!$K$4:$AJ$4,0)))+SUMPRODUCT((Inputs!$C$5:$C$110=$B26)*Inputs!$D$5:$D$110*(((Inputs!$G$5:$G$110="moeda")+(Inputs!$G$5:$G$110="acoes"))*Inputs!$B$1+((Inputs!$G$5:$G$110&lt;&gt;"moeda")*(Inputs!$G$5:$G$110&lt;&gt;"acoes")))*INDEX(Inputs!$K$5:$AJ$110,0,MATCH(S$2,Inputs!$K$4:$AJ$4,0)))+SUMPRODUCT((Inputs!$E$5:$E$110=$B26)*Inputs!$F$5:$F$110*(((Inputs!$G$5:$G$110="moeda")+(Inputs!$G$5:$G$110="acoes"))*Inputs!$B$1+((Inputs!$G$5:$G$110&lt;&gt;"moeda")*(Inputs!$G$5:$G$110&lt;&gt;"acoes")))*INDEX(Inputs!$K$5:$AJ$110,0,MATCH(S$2,Inputs!$K$4:$AJ$4,0)))))</f>
        <v>3836</v>
      </c>
      <c r="T26" s="267">
        <f>IF(ISNA(MATCH(T$2,Inputs!$K$4:$AJ$4,0)),NA(),IF(SUMPRODUCT((Inputs!$A$5:$A$110=$B26)*ISNUMBER(INDEX(Inputs!$K$5:$AJ$110,0,MATCH(T$2,Inputs!$K$4:$AJ$4,0))))+SUMPRODUCT((Inputs!$C$5:$C$110=$B26)*ISNUMBER(INDEX(Inputs!$K$5:$AJ$110,0,MATCH(T$2,Inputs!$K$4:$AJ$4,0))))+SUMPRODUCT((Inputs!$E$5:$E$110=$B26)*ISNUMBER(INDEX(Inputs!$K$5:$AJ$110,0,MATCH(T$2,Inputs!$K$4:$AJ$4,0))))=0,NA(),SUMPRODUCT((Inputs!$A$5:$A$110=$B26)*Inputs!$B$5:$B$110*(((Inputs!$G$5:$G$110="moeda")+(Inputs!$G$5:$G$110="acoes"))*Inputs!$B$1+((Inputs!$G$5:$G$110&lt;&gt;"moeda")*(Inputs!$G$5:$G$110&lt;&gt;"acoes")))*INDEX(Inputs!$K$5:$AJ$110,0,MATCH(T$2,Inputs!$K$4:$AJ$4,0)))+SUMPRODUCT((Inputs!$C$5:$C$110=$B26)*Inputs!$D$5:$D$110*(((Inputs!$G$5:$G$110="moeda")+(Inputs!$G$5:$G$110="acoes"))*Inputs!$B$1+((Inputs!$G$5:$G$110&lt;&gt;"moeda")*(Inputs!$G$5:$G$110&lt;&gt;"acoes")))*INDEX(Inputs!$K$5:$AJ$110,0,MATCH(T$2,Inputs!$K$4:$AJ$4,0)))+SUMPRODUCT((Inputs!$E$5:$E$110=$B26)*Inputs!$F$5:$F$110*(((Inputs!$G$5:$G$110="moeda")+(Inputs!$G$5:$G$110="acoes"))*Inputs!$B$1+((Inputs!$G$5:$G$110&lt;&gt;"moeda")*(Inputs!$G$5:$G$110&lt;&gt;"acoes")))*INDEX(Inputs!$K$5:$AJ$110,0,MATCH(T$2,Inputs!$K$4:$AJ$4,0)))))</f>
        <v>3918</v>
      </c>
      <c r="U26" s="267">
        <f>IF(ISNA(MATCH(U$2,Inputs!$K$4:$AJ$4,0)),NA(),IF(SUMPRODUCT((Inputs!$A$5:$A$110=$B26)*ISNUMBER(INDEX(Inputs!$K$5:$AJ$110,0,MATCH(U$2,Inputs!$K$4:$AJ$4,0))))+SUMPRODUCT((Inputs!$C$5:$C$110=$B26)*ISNUMBER(INDEX(Inputs!$K$5:$AJ$110,0,MATCH(U$2,Inputs!$K$4:$AJ$4,0))))+SUMPRODUCT((Inputs!$E$5:$E$110=$B26)*ISNUMBER(INDEX(Inputs!$K$5:$AJ$110,0,MATCH(U$2,Inputs!$K$4:$AJ$4,0))))=0,NA(),SUMPRODUCT((Inputs!$A$5:$A$110=$B26)*Inputs!$B$5:$B$110*(((Inputs!$G$5:$G$110="moeda")+(Inputs!$G$5:$G$110="acoes"))*Inputs!$B$1+((Inputs!$G$5:$G$110&lt;&gt;"moeda")*(Inputs!$G$5:$G$110&lt;&gt;"acoes")))*INDEX(Inputs!$K$5:$AJ$110,0,MATCH(U$2,Inputs!$K$4:$AJ$4,0)))+SUMPRODUCT((Inputs!$C$5:$C$110=$B26)*Inputs!$D$5:$D$110*(((Inputs!$G$5:$G$110="moeda")+(Inputs!$G$5:$G$110="acoes"))*Inputs!$B$1+((Inputs!$G$5:$G$110&lt;&gt;"moeda")*(Inputs!$G$5:$G$110&lt;&gt;"acoes")))*INDEX(Inputs!$K$5:$AJ$110,0,MATCH(U$2,Inputs!$K$4:$AJ$4,0)))+SUMPRODUCT((Inputs!$E$5:$E$110=$B26)*Inputs!$F$5:$F$110*(((Inputs!$G$5:$G$110="moeda")+(Inputs!$G$5:$G$110="acoes"))*Inputs!$B$1+((Inputs!$G$5:$G$110&lt;&gt;"moeda")*(Inputs!$G$5:$G$110&lt;&gt;"acoes")))*INDEX(Inputs!$K$5:$AJ$110,0,MATCH(U$2,Inputs!$K$4:$AJ$4,0)))))</f>
        <v>3936</v>
      </c>
      <c r="V26" s="267">
        <f>IF(ISNA(MATCH(V$2,Inputs!$K$4:$AJ$4,0)),NA(),IF(SUMPRODUCT((Inputs!$A$5:$A$110=$B26)*ISNUMBER(INDEX(Inputs!$K$5:$AJ$110,0,MATCH(V$2,Inputs!$K$4:$AJ$4,0))))+SUMPRODUCT((Inputs!$C$5:$C$110=$B26)*ISNUMBER(INDEX(Inputs!$K$5:$AJ$110,0,MATCH(V$2,Inputs!$K$4:$AJ$4,0))))+SUMPRODUCT((Inputs!$E$5:$E$110=$B26)*ISNUMBER(INDEX(Inputs!$K$5:$AJ$110,0,MATCH(V$2,Inputs!$K$4:$AJ$4,0))))=0,NA(),SUMPRODUCT((Inputs!$A$5:$A$110=$B26)*Inputs!$B$5:$B$110*(((Inputs!$G$5:$G$110="moeda")+(Inputs!$G$5:$G$110="acoes"))*Inputs!$B$1+((Inputs!$G$5:$G$110&lt;&gt;"moeda")*(Inputs!$G$5:$G$110&lt;&gt;"acoes")))*INDEX(Inputs!$K$5:$AJ$110,0,MATCH(V$2,Inputs!$K$4:$AJ$4,0)))+SUMPRODUCT((Inputs!$C$5:$C$110=$B26)*Inputs!$D$5:$D$110*(((Inputs!$G$5:$G$110="moeda")+(Inputs!$G$5:$G$110="acoes"))*Inputs!$B$1+((Inputs!$G$5:$G$110&lt;&gt;"moeda")*(Inputs!$G$5:$G$110&lt;&gt;"acoes")))*INDEX(Inputs!$K$5:$AJ$110,0,MATCH(V$2,Inputs!$K$4:$AJ$4,0)))+SUMPRODUCT((Inputs!$E$5:$E$110=$B26)*Inputs!$F$5:$F$110*(((Inputs!$G$5:$G$110="moeda")+(Inputs!$G$5:$G$110="acoes"))*Inputs!$B$1+((Inputs!$G$5:$G$110&lt;&gt;"moeda")*(Inputs!$G$5:$G$110&lt;&gt;"acoes")))*INDEX(Inputs!$K$5:$AJ$110,0,MATCH(V$2,Inputs!$K$4:$AJ$4,0)))))</f>
        <v>3988</v>
      </c>
      <c r="W26" s="268">
        <f>V26</f>
        <v>3988</v>
      </c>
      <c r="X26" s="267">
        <f>IF(ISNA(MATCH(X$2,Inputs!$K$4:$AJ$4,0)),NA(),IF(SUMPRODUCT((Inputs!$A$5:$A$110=$B26)*ISNUMBER(INDEX(Inputs!$K$5:$AJ$110,0,MATCH(X$2,Inputs!$K$4:$AJ$4,0))))+SUMPRODUCT((Inputs!$C$5:$C$110=$B26)*ISNUMBER(INDEX(Inputs!$K$5:$AJ$110,0,MATCH(X$2,Inputs!$K$4:$AJ$4,0))))+SUMPRODUCT((Inputs!$E$5:$E$110=$B26)*ISNUMBER(INDEX(Inputs!$K$5:$AJ$110,0,MATCH(X$2,Inputs!$K$4:$AJ$4,0))))=0,NA(),SUMPRODUCT((Inputs!$A$5:$A$110=$B26)*Inputs!$B$5:$B$110*(((Inputs!$G$5:$G$110="moeda")+(Inputs!$G$5:$G$110="acoes"))*Inputs!$B$1+((Inputs!$G$5:$G$110&lt;&gt;"moeda")*(Inputs!$G$5:$G$110&lt;&gt;"acoes")))*INDEX(Inputs!$K$5:$AJ$110,0,MATCH(X$2,Inputs!$K$4:$AJ$4,0)))+SUMPRODUCT((Inputs!$C$5:$C$110=$B26)*Inputs!$D$5:$D$110*(((Inputs!$G$5:$G$110="moeda")+(Inputs!$G$5:$G$110="acoes"))*Inputs!$B$1+((Inputs!$G$5:$G$110&lt;&gt;"moeda")*(Inputs!$G$5:$G$110&lt;&gt;"acoes")))*INDEX(Inputs!$K$5:$AJ$110,0,MATCH(X$2,Inputs!$K$4:$AJ$4,0)))+SUMPRODUCT((Inputs!$E$5:$E$110=$B26)*Inputs!$F$5:$F$110*(((Inputs!$G$5:$G$110="moeda")+(Inputs!$G$5:$G$110="acoes"))*Inputs!$B$1+((Inputs!$G$5:$G$110&lt;&gt;"moeda")*(Inputs!$G$5:$G$110&lt;&gt;"acoes")))*INDEX(Inputs!$K$5:$AJ$110,0,MATCH(X$2,Inputs!$K$4:$AJ$4,0)))))</f>
        <v>3987</v>
      </c>
      <c r="Y26" s="267">
        <f>IF(ISNA(MATCH(Y$2,Inputs!$K$4:$AJ$4,0)),NA(),IF(SUMPRODUCT((Inputs!$A$5:$A$110=$B26)*ISNUMBER(INDEX(Inputs!$K$5:$AJ$110,0,MATCH(Y$2,Inputs!$K$4:$AJ$4,0))))+SUMPRODUCT((Inputs!$C$5:$C$110=$B26)*ISNUMBER(INDEX(Inputs!$K$5:$AJ$110,0,MATCH(Y$2,Inputs!$K$4:$AJ$4,0))))+SUMPRODUCT((Inputs!$E$5:$E$110=$B26)*ISNUMBER(INDEX(Inputs!$K$5:$AJ$110,0,MATCH(Y$2,Inputs!$K$4:$AJ$4,0))))=0,NA(),SUMPRODUCT((Inputs!$A$5:$A$110=$B26)*Inputs!$B$5:$B$110*(((Inputs!$G$5:$G$110="moeda")+(Inputs!$G$5:$G$110="acoes"))*Inputs!$B$1+((Inputs!$G$5:$G$110&lt;&gt;"moeda")*(Inputs!$G$5:$G$110&lt;&gt;"acoes")))*INDEX(Inputs!$K$5:$AJ$110,0,MATCH(Y$2,Inputs!$K$4:$AJ$4,0)))+SUMPRODUCT((Inputs!$C$5:$C$110=$B26)*Inputs!$D$5:$D$110*(((Inputs!$G$5:$G$110="moeda")+(Inputs!$G$5:$G$110="acoes"))*Inputs!$B$1+((Inputs!$G$5:$G$110&lt;&gt;"moeda")*(Inputs!$G$5:$G$110&lt;&gt;"acoes")))*INDEX(Inputs!$K$5:$AJ$110,0,MATCH(Y$2,Inputs!$K$4:$AJ$4,0)))+SUMPRODUCT((Inputs!$E$5:$E$110=$B26)*Inputs!$F$5:$F$110*(((Inputs!$G$5:$G$110="moeda")+(Inputs!$G$5:$G$110="acoes"))*Inputs!$B$1+((Inputs!$G$5:$G$110&lt;&gt;"moeda")*(Inputs!$G$5:$G$110&lt;&gt;"acoes")))*INDEX(Inputs!$K$5:$AJ$110,0,MATCH(Y$2,Inputs!$K$4:$AJ$4,0)))))</f>
        <v>4031</v>
      </c>
      <c r="Z26" s="267">
        <f>IF(ISNA(MATCH(Z$2,Inputs!$K$4:$AJ$4,0)),NA(),IF(SUMPRODUCT((Inputs!$A$5:$A$110=$B26)*ISNUMBER(INDEX(Inputs!$K$5:$AJ$110,0,MATCH(Z$2,Inputs!$K$4:$AJ$4,0))))+SUMPRODUCT((Inputs!$C$5:$C$110=$B26)*ISNUMBER(INDEX(Inputs!$K$5:$AJ$110,0,MATCH(Z$2,Inputs!$K$4:$AJ$4,0))))+SUMPRODUCT((Inputs!$E$5:$E$110=$B26)*ISNUMBER(INDEX(Inputs!$K$5:$AJ$110,0,MATCH(Z$2,Inputs!$K$4:$AJ$4,0))))=0,NA(),SUMPRODUCT((Inputs!$A$5:$A$110=$B26)*Inputs!$B$5:$B$110*(((Inputs!$G$5:$G$110="moeda")+(Inputs!$G$5:$G$110="acoes"))*Inputs!$B$1+((Inputs!$G$5:$G$110&lt;&gt;"moeda")*(Inputs!$G$5:$G$110&lt;&gt;"acoes")))*INDEX(Inputs!$K$5:$AJ$110,0,MATCH(Z$2,Inputs!$K$4:$AJ$4,0)))+SUMPRODUCT((Inputs!$C$5:$C$110=$B26)*Inputs!$D$5:$D$110*(((Inputs!$G$5:$G$110="moeda")+(Inputs!$G$5:$G$110="acoes"))*Inputs!$B$1+((Inputs!$G$5:$G$110&lt;&gt;"moeda")*(Inputs!$G$5:$G$110&lt;&gt;"acoes")))*INDEX(Inputs!$K$5:$AJ$110,0,MATCH(Z$2,Inputs!$K$4:$AJ$4,0)))+SUMPRODUCT((Inputs!$E$5:$E$110=$B26)*Inputs!$F$5:$F$110*(((Inputs!$G$5:$G$110="moeda")+(Inputs!$G$5:$G$110="acoes"))*Inputs!$B$1+((Inputs!$G$5:$G$110&lt;&gt;"moeda")*(Inputs!$G$5:$G$110&lt;&gt;"acoes")))*INDEX(Inputs!$K$5:$AJ$110,0,MATCH(Z$2,Inputs!$K$4:$AJ$4,0)))))</f>
        <v>4085</v>
      </c>
      <c r="AA26" s="267">
        <f>IF(ISNA(MATCH(AA$2,Inputs!$K$4:$AJ$4,0)),NA(),IF(SUMPRODUCT((Inputs!$A$5:$A$110=$B26)*ISNUMBER(INDEX(Inputs!$K$5:$AJ$110,0,MATCH(AA$2,Inputs!$K$4:$AJ$4,0))))+SUMPRODUCT((Inputs!$C$5:$C$110=$B26)*ISNUMBER(INDEX(Inputs!$K$5:$AJ$110,0,MATCH(AA$2,Inputs!$K$4:$AJ$4,0))))+SUMPRODUCT((Inputs!$E$5:$E$110=$B26)*ISNUMBER(INDEX(Inputs!$K$5:$AJ$110,0,MATCH(AA$2,Inputs!$K$4:$AJ$4,0))))=0,NA(),SUMPRODUCT((Inputs!$A$5:$A$110=$B26)*Inputs!$B$5:$B$110*(((Inputs!$G$5:$G$110="moeda")+(Inputs!$G$5:$G$110="acoes"))*Inputs!$B$1+((Inputs!$G$5:$G$110&lt;&gt;"moeda")*(Inputs!$G$5:$G$110&lt;&gt;"acoes")))*INDEX(Inputs!$K$5:$AJ$110,0,MATCH(AA$2,Inputs!$K$4:$AJ$4,0)))+SUMPRODUCT((Inputs!$C$5:$C$110=$B26)*Inputs!$D$5:$D$110*(((Inputs!$G$5:$G$110="moeda")+(Inputs!$G$5:$G$110="acoes"))*Inputs!$B$1+((Inputs!$G$5:$G$110&lt;&gt;"moeda")*(Inputs!$G$5:$G$110&lt;&gt;"acoes")))*INDEX(Inputs!$K$5:$AJ$110,0,MATCH(AA$2,Inputs!$K$4:$AJ$4,0)))+SUMPRODUCT((Inputs!$E$5:$E$110=$B26)*Inputs!$F$5:$F$110*(((Inputs!$G$5:$G$110="moeda")+(Inputs!$G$5:$G$110="acoes"))*Inputs!$B$1+((Inputs!$G$5:$G$110&lt;&gt;"moeda")*(Inputs!$G$5:$G$110&lt;&gt;"acoes")))*INDEX(Inputs!$K$5:$AJ$110,0,MATCH(AA$2,Inputs!$K$4:$AJ$4,0)))))</f>
        <v>4033</v>
      </c>
      <c r="AB26" s="268">
        <f>AA26</f>
        <v>4033</v>
      </c>
      <c r="AC26" s="267">
        <f>IF(ISNA(MATCH(AC$2,Inputs!$K$4:$AJ$4,0)),NA(),IF(SUMPRODUCT((Inputs!$A$5:$A$110=$B26)*ISNUMBER(INDEX(Inputs!$K$5:$AJ$110,0,MATCH(AC$2,Inputs!$K$4:$AJ$4,0))))+SUMPRODUCT((Inputs!$C$5:$C$110=$B26)*ISNUMBER(INDEX(Inputs!$K$5:$AJ$110,0,MATCH(AC$2,Inputs!$K$4:$AJ$4,0))))+SUMPRODUCT((Inputs!$E$5:$E$110=$B26)*ISNUMBER(INDEX(Inputs!$K$5:$AJ$110,0,MATCH(AC$2,Inputs!$K$4:$AJ$4,0))))=0,NA(),SUMPRODUCT((Inputs!$A$5:$A$110=$B26)*Inputs!$B$5:$B$110*(((Inputs!$G$5:$G$110="moeda")+(Inputs!$G$5:$G$110="acoes"))*Inputs!$B$1+((Inputs!$G$5:$G$110&lt;&gt;"moeda")*(Inputs!$G$5:$G$110&lt;&gt;"acoes")))*INDEX(Inputs!$K$5:$AJ$110,0,MATCH(AC$2,Inputs!$K$4:$AJ$4,0)))+SUMPRODUCT((Inputs!$C$5:$C$110=$B26)*Inputs!$D$5:$D$110*(((Inputs!$G$5:$G$110="moeda")+(Inputs!$G$5:$G$110="acoes"))*Inputs!$B$1+((Inputs!$G$5:$G$110&lt;&gt;"moeda")*(Inputs!$G$5:$G$110&lt;&gt;"acoes")))*INDEX(Inputs!$K$5:$AJ$110,0,MATCH(AC$2,Inputs!$K$4:$AJ$4,0)))+SUMPRODUCT((Inputs!$E$5:$E$110=$B26)*Inputs!$F$5:$F$110*(((Inputs!$G$5:$G$110="moeda")+(Inputs!$G$5:$G$110="acoes"))*Inputs!$B$1+((Inputs!$G$5:$G$110&lt;&gt;"moeda")*(Inputs!$G$5:$G$110&lt;&gt;"acoes")))*INDEX(Inputs!$K$5:$AJ$110,0,MATCH(AC$2,Inputs!$K$4:$AJ$4,0)))))</f>
        <v>4102</v>
      </c>
      <c r="AD26" s="267">
        <f>IF(ISNA(MATCH(AD$2,Inputs!$K$4:$AJ$4,0)),NA(),IF(SUMPRODUCT((Inputs!$A$5:$A$110=$B26)*ISNUMBER(INDEX(Inputs!$K$5:$AJ$110,0,MATCH(AD$2,Inputs!$K$4:$AJ$4,0))))+SUMPRODUCT((Inputs!$C$5:$C$110=$B26)*ISNUMBER(INDEX(Inputs!$K$5:$AJ$110,0,MATCH(AD$2,Inputs!$K$4:$AJ$4,0))))+SUMPRODUCT((Inputs!$E$5:$E$110=$B26)*ISNUMBER(INDEX(Inputs!$K$5:$AJ$110,0,MATCH(AD$2,Inputs!$K$4:$AJ$4,0))))=0,NA(),SUMPRODUCT((Inputs!$A$5:$A$110=$B26)*Inputs!$B$5:$B$110*(((Inputs!$G$5:$G$110="moeda")+(Inputs!$G$5:$G$110="acoes"))*Inputs!$B$1+((Inputs!$G$5:$G$110&lt;&gt;"moeda")*(Inputs!$G$5:$G$110&lt;&gt;"acoes")))*INDEX(Inputs!$K$5:$AJ$110,0,MATCH(AD$2,Inputs!$K$4:$AJ$4,0)))+SUMPRODUCT((Inputs!$C$5:$C$110=$B26)*Inputs!$D$5:$D$110*(((Inputs!$G$5:$G$110="moeda")+(Inputs!$G$5:$G$110="acoes"))*Inputs!$B$1+((Inputs!$G$5:$G$110&lt;&gt;"moeda")*(Inputs!$G$5:$G$110&lt;&gt;"acoes")))*INDEX(Inputs!$K$5:$AJ$110,0,MATCH(AD$2,Inputs!$K$4:$AJ$4,0)))+SUMPRODUCT((Inputs!$E$5:$E$110=$B26)*Inputs!$F$5:$F$110*(((Inputs!$G$5:$G$110="moeda")+(Inputs!$G$5:$G$110="acoes"))*Inputs!$B$1+((Inputs!$G$5:$G$110&lt;&gt;"moeda")*(Inputs!$G$5:$G$110&lt;&gt;"acoes")))*INDEX(Inputs!$K$5:$AJ$110,0,MATCH(AD$2,Inputs!$K$4:$AJ$4,0)))))</f>
        <v>4213</v>
      </c>
      <c r="AE26" s="267" t="e">
        <f>IF(ISNA(MATCH(AE$2,Inputs!$K$4:$AJ$4,0)),NA(),IF(SUMPRODUCT((Inputs!$A$5:$A$110=$B26)*ISNUMBER(INDEX(Inputs!$K$5:$AJ$110,0,MATCH(AE$2,Inputs!$K$4:$AJ$4,0))))+SUMPRODUCT((Inputs!$C$5:$C$110=$B26)*ISNUMBER(INDEX(Inputs!$K$5:$AJ$110,0,MATCH(AE$2,Inputs!$K$4:$AJ$4,0))))+SUMPRODUCT((Inputs!$E$5:$E$110=$B26)*ISNUMBER(INDEX(Inputs!$K$5:$AJ$110,0,MATCH(AE$2,Inputs!$K$4:$AJ$4,0))))=0,NA(),SUMPRODUCT((Inputs!$A$5:$A$110=$B26)*Inputs!$B$5:$B$110*(((Inputs!$G$5:$G$110="moeda")+(Inputs!$G$5:$G$110="acoes"))*Inputs!$B$1+((Inputs!$G$5:$G$110&lt;&gt;"moeda")*(Inputs!$G$5:$G$110&lt;&gt;"acoes")))*INDEX(Inputs!$K$5:$AJ$110,0,MATCH(AE$2,Inputs!$K$4:$AJ$4,0)))+SUMPRODUCT((Inputs!$C$5:$C$110=$B26)*Inputs!$D$5:$D$110*(((Inputs!$G$5:$G$110="moeda")+(Inputs!$G$5:$G$110="acoes"))*Inputs!$B$1+((Inputs!$G$5:$G$110&lt;&gt;"moeda")*(Inputs!$G$5:$G$110&lt;&gt;"acoes")))*INDEX(Inputs!$K$5:$AJ$110,0,MATCH(AE$2,Inputs!$K$4:$AJ$4,0)))+SUMPRODUCT((Inputs!$E$5:$E$110=$B26)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6" s="267" t="e">
        <f>IF(ISNA(MATCH(AF$2,Inputs!$K$4:$AJ$4,0)),NA(),IF(SUMPRODUCT((Inputs!$A$5:$A$110=$B26)*ISNUMBER(INDEX(Inputs!$K$5:$AJ$110,0,MATCH(AF$2,Inputs!$K$4:$AJ$4,0))))+SUMPRODUCT((Inputs!$C$5:$C$110=$B26)*ISNUMBER(INDEX(Inputs!$K$5:$AJ$110,0,MATCH(AF$2,Inputs!$K$4:$AJ$4,0))))+SUMPRODUCT((Inputs!$E$5:$E$110=$B26)*ISNUMBER(INDEX(Inputs!$K$5:$AJ$110,0,MATCH(AF$2,Inputs!$K$4:$AJ$4,0))))=0,NA(),SUMPRODUCT((Inputs!$A$5:$A$110=$B26)*Inputs!$B$5:$B$110*(((Inputs!$G$5:$G$110="moeda")+(Inputs!$G$5:$G$110="acoes"))*Inputs!$B$1+((Inputs!$G$5:$G$110&lt;&gt;"moeda")*(Inputs!$G$5:$G$110&lt;&gt;"acoes")))*INDEX(Inputs!$K$5:$AJ$110,0,MATCH(AF$2,Inputs!$K$4:$AJ$4,0)))+SUMPRODUCT((Inputs!$C$5:$C$110=$B26)*Inputs!$D$5:$D$110*(((Inputs!$G$5:$G$110="moeda")+(Inputs!$G$5:$G$110="acoes"))*Inputs!$B$1+((Inputs!$G$5:$G$110&lt;&gt;"moeda")*(Inputs!$G$5:$G$110&lt;&gt;"acoes")))*INDEX(Inputs!$K$5:$AJ$110,0,MATCH(AF$2,Inputs!$K$4:$AJ$4,0)))+SUMPRODUCT((Inputs!$E$5:$E$110=$B26)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6" s="268" t="e">
        <f>AF26</f>
        <v>#N/A</v>
      </c>
      <c r="AH26" s="267">
        <f>IF(ISNA(MATCH(AH$2,Inputs!$K$4:$AJ$4,0)),NA(),IF(SUMPRODUCT((Inputs!$A$5:$A$110=$B26)*ISNUMBER(INDEX(Inputs!$K$5:$AJ$110,0,MATCH(AH$2,Inputs!$K$4:$AJ$4,0))))+SUMPRODUCT((Inputs!$C$5:$C$110=$B26)*ISNUMBER(INDEX(Inputs!$K$5:$AJ$110,0,MATCH(AH$2,Inputs!$K$4:$AJ$4,0))))+SUMPRODUCT((Inputs!$E$5:$E$110=$B26)*ISNUMBER(INDEX(Inputs!$K$5:$AJ$110,0,MATCH(AH$2,Inputs!$K$4:$AJ$4,0))))=0,NA(),SUMPRODUCT((Inputs!$A$5:$A$110=$B26)*Inputs!$B$5:$B$110*(((Inputs!$G$5:$G$110="moeda")+(Inputs!$G$5:$G$110="acoes"))*Inputs!$B$1+((Inputs!$G$5:$G$110&lt;&gt;"moeda")*(Inputs!$G$5:$G$110&lt;&gt;"acoes")))*INDEX(Inputs!$K$5:$AJ$110,0,MATCH(AH$2,Inputs!$K$4:$AJ$4,0)))+SUMPRODUCT((Inputs!$C$5:$C$110=$B26)*Inputs!$D$5:$D$110*(((Inputs!$G$5:$G$110="moeda")+(Inputs!$G$5:$G$110="acoes"))*Inputs!$B$1+((Inputs!$G$5:$G$110&lt;&gt;"moeda")*(Inputs!$G$5:$G$110&lt;&gt;"acoes")))*INDEX(Inputs!$K$5:$AJ$110,0,MATCH(AH$2,Inputs!$K$4:$AJ$4,0)))+SUMPRODUCT((Inputs!$E$5:$E$110=$B26)*Inputs!$F$5:$F$110*(((Inputs!$G$5:$G$110="moeda")+(Inputs!$G$5:$G$110="acoes"))*Inputs!$B$1+((Inputs!$G$5:$G$110&lt;&gt;"moeda")*(Inputs!$G$5:$G$110&lt;&gt;"acoes")))*INDEX(Inputs!$K$5:$AJ$110,0,MATCH(AH$2,Inputs!$K$4:$AJ$4,0)))))</f>
        <v>1002</v>
      </c>
      <c r="AI26" s="267">
        <f>IF(ISNA(MATCH(AI$2,Inputs!$K$4:$AJ$4,0)),NA(),IF(SUMPRODUCT((Inputs!$A$5:$A$110=$B26)*ISNUMBER(INDEX(Inputs!$K$5:$AJ$110,0,MATCH(AI$2,Inputs!$K$4:$AJ$4,0))))+SUMPRODUCT((Inputs!$C$5:$C$110=$B26)*ISNUMBER(INDEX(Inputs!$K$5:$AJ$110,0,MATCH(AI$2,Inputs!$K$4:$AJ$4,0))))+SUMPRODUCT((Inputs!$E$5:$E$110=$B26)*ISNUMBER(INDEX(Inputs!$K$5:$AJ$110,0,MATCH(AI$2,Inputs!$K$4:$AJ$4,0))))=0,NA(),SUMPRODUCT((Inputs!$A$5:$A$110=$B26)*Inputs!$B$5:$B$110*(((Inputs!$G$5:$G$110="moeda")+(Inputs!$G$5:$G$110="acoes"))*Inputs!$B$1+((Inputs!$G$5:$G$110&lt;&gt;"moeda")*(Inputs!$G$5:$G$110&lt;&gt;"acoes")))*INDEX(Inputs!$K$5:$AJ$110,0,MATCH(AI$2,Inputs!$K$4:$AJ$4,0)))+SUMPRODUCT((Inputs!$C$5:$C$110=$B26)*Inputs!$D$5:$D$110*(((Inputs!$G$5:$G$110="moeda")+(Inputs!$G$5:$G$110="acoes"))*Inputs!$B$1+((Inputs!$G$5:$G$110&lt;&gt;"moeda")*(Inputs!$G$5:$G$110&lt;&gt;"acoes")))*INDEX(Inputs!$K$5:$AJ$110,0,MATCH(AI$2,Inputs!$K$4:$AJ$4,0)))+SUMPRODUCT((Inputs!$E$5:$E$110=$B26)*Inputs!$F$5:$F$110*(((Inputs!$G$5:$G$110="moeda")+(Inputs!$G$5:$G$110="acoes"))*Inputs!$B$1+((Inputs!$G$5:$G$110&lt;&gt;"moeda")*(Inputs!$G$5:$G$110&lt;&gt;"acoes")))*INDEX(Inputs!$K$5:$AJ$110,0,MATCH(AI$2,Inputs!$K$4:$AJ$4,0)))))</f>
        <v>2202</v>
      </c>
      <c r="AJ26" s="267">
        <f>IF(ISNA(MATCH(AJ$2,Inputs!$K$4:$AJ$4,0)),NA(),IF(SUMPRODUCT((Inputs!$A$5:$A$110=$B26)*ISNUMBER(INDEX(Inputs!$K$5:$AJ$110,0,MATCH(AJ$2,Inputs!$K$4:$AJ$4,0))))+SUMPRODUCT((Inputs!$C$5:$C$110=$B26)*ISNUMBER(INDEX(Inputs!$K$5:$AJ$110,0,MATCH(AJ$2,Inputs!$K$4:$AJ$4,0))))+SUMPRODUCT((Inputs!$E$5:$E$110=$B26)*ISNUMBER(INDEX(Inputs!$K$5:$AJ$110,0,MATCH(AJ$2,Inputs!$K$4:$AJ$4,0))))=0,NA(),SUMPRODUCT((Inputs!$A$5:$A$110=$B26)*Inputs!$B$5:$B$110*(((Inputs!$G$5:$G$110="moeda")+(Inputs!$G$5:$G$110="acoes"))*Inputs!$B$1+((Inputs!$G$5:$G$110&lt;&gt;"moeda")*(Inputs!$G$5:$G$110&lt;&gt;"acoes")))*INDEX(Inputs!$K$5:$AJ$110,0,MATCH(AJ$2,Inputs!$K$4:$AJ$4,0)))+SUMPRODUCT((Inputs!$C$5:$C$110=$B26)*Inputs!$D$5:$D$110*(((Inputs!$G$5:$G$110="moeda")+(Inputs!$G$5:$G$110="acoes"))*Inputs!$B$1+((Inputs!$G$5:$G$110&lt;&gt;"moeda")*(Inputs!$G$5:$G$110&lt;&gt;"acoes")))*INDEX(Inputs!$K$5:$AJ$110,0,MATCH(AJ$2,Inputs!$K$4:$AJ$4,0)))+SUMPRODUCT((Inputs!$E$5:$E$110=$B26)*Inputs!$F$5:$F$110*(((Inputs!$G$5:$G$110="moeda")+(Inputs!$G$5:$G$110="acoes"))*Inputs!$B$1+((Inputs!$G$5:$G$110&lt;&gt;"moeda")*(Inputs!$G$5:$G$110&lt;&gt;"acoes")))*INDEX(Inputs!$K$5:$AJ$110,0,MATCH(AJ$2,Inputs!$K$4:$AJ$4,0)))))</f>
        <v>2841</v>
      </c>
      <c r="AK26" s="267">
        <f>IF(ISNA(MATCH(AK$2,Inputs!$K$4:$AJ$4,0)),NA(),IF(SUMPRODUCT((Inputs!$A$5:$A$110=$B26)*ISNUMBER(INDEX(Inputs!$K$5:$AJ$110,0,MATCH(AK$2,Inputs!$K$4:$AJ$4,0))))+SUMPRODUCT((Inputs!$C$5:$C$110=$B26)*ISNUMBER(INDEX(Inputs!$K$5:$AJ$110,0,MATCH(AK$2,Inputs!$K$4:$AJ$4,0))))+SUMPRODUCT((Inputs!$E$5:$E$110=$B26)*ISNUMBER(INDEX(Inputs!$K$5:$AJ$110,0,MATCH(AK$2,Inputs!$K$4:$AJ$4,0))))=0,NA(),SUMPRODUCT((Inputs!$A$5:$A$110=$B26)*Inputs!$B$5:$B$110*(((Inputs!$G$5:$G$110="moeda")+(Inputs!$G$5:$G$110="acoes"))*Inputs!$B$1+((Inputs!$G$5:$G$110&lt;&gt;"moeda")*(Inputs!$G$5:$G$110&lt;&gt;"acoes")))*INDEX(Inputs!$K$5:$AJ$110,0,MATCH(AK$2,Inputs!$K$4:$AJ$4,0)))+SUMPRODUCT((Inputs!$C$5:$C$110=$B26)*Inputs!$D$5:$D$110*(((Inputs!$G$5:$G$110="moeda")+(Inputs!$G$5:$G$110="acoes"))*Inputs!$B$1+((Inputs!$G$5:$G$110&lt;&gt;"moeda")*(Inputs!$G$5:$G$110&lt;&gt;"acoes")))*INDEX(Inputs!$K$5:$AJ$110,0,MATCH(AK$2,Inputs!$K$4:$AJ$4,0)))+SUMPRODUCT((Inputs!$E$5:$E$110=$B26)*Inputs!$F$5:$F$110*(((Inputs!$G$5:$G$110="moeda")+(Inputs!$G$5:$G$110="acoes"))*Inputs!$B$1+((Inputs!$G$5:$G$110&lt;&gt;"moeda")*(Inputs!$G$5:$G$110&lt;&gt;"acoes")))*INDEX(Inputs!$K$5:$AJ$110,0,MATCH(AK$2,Inputs!$K$4:$AJ$4,0)))))</f>
        <v>3048</v>
      </c>
      <c r="AL26" s="268">
        <f>AK26</f>
        <v>3048</v>
      </c>
    </row>
    <row r="27" ht="12.75" customHeight="1" s="255">
      <c r="C27" s="259" t="n"/>
    </row>
    <row r="28" ht="12.75" customHeight="1" s="255">
      <c r="B28" s="265" t="n">
        <v>23</v>
      </c>
      <c r="C28" s="270" t="inlineStr">
        <is>
          <t>Accounts payable</t>
        </is>
      </c>
      <c r="D28" s="267">
        <f>IF(ISNA(MATCH(D$2,Inputs!$K$4:$AJ$4,0)),NA(),IF(SUMPRODUCT((Inputs!$A$5:$A$110=$B28)*ISNUMBER(INDEX(Inputs!$K$5:$AJ$110,0,MATCH(D$2,Inputs!$K$4:$AJ$4,0))))+SUMPRODUCT((Inputs!$C$5:$C$110=$B28)*ISNUMBER(INDEX(Inputs!$K$5:$AJ$110,0,MATCH(D$2,Inputs!$K$4:$AJ$4,0))))+SUMPRODUCT((Inputs!$E$5:$E$110=$B28)*ISNUMBER(INDEX(Inputs!$K$5:$AJ$110,0,MATCH(D$2,Inputs!$K$4:$AJ$4,0))))=0,NA(),SUMPRODUCT((Inputs!$A$5:$A$110=$B28)*Inputs!$B$5:$B$110*(((Inputs!$G$5:$G$110="moeda")+(Inputs!$G$5:$G$110="acoes"))*Inputs!$B$1+((Inputs!$G$5:$G$110&lt;&gt;"moeda")*(Inputs!$G$5:$G$110&lt;&gt;"acoes")))*INDEX(Inputs!$K$5:$AJ$110,0,MATCH(D$2,Inputs!$K$4:$AJ$4,0)))+SUMPRODUCT((Inputs!$C$5:$C$110=$B28)*Inputs!$D$5:$D$110*(((Inputs!$G$5:$G$110="moeda")+(Inputs!$G$5:$G$110="acoes"))*Inputs!$B$1+((Inputs!$G$5:$G$110&lt;&gt;"moeda")*(Inputs!$G$5:$G$110&lt;&gt;"acoes")))*INDEX(Inputs!$K$5:$AJ$110,0,MATCH(D$2,Inputs!$K$4:$AJ$4,0)))+SUMPRODUCT((Inputs!$E$5:$E$110=$B28)*Inputs!$F$5:$F$110*(((Inputs!$G$5:$G$110="moeda")+(Inputs!$G$5:$G$110="acoes"))*Inputs!$B$1+((Inputs!$G$5:$G$110&lt;&gt;"moeda")*(Inputs!$G$5:$G$110&lt;&gt;"acoes")))*INDEX(Inputs!$K$5:$AJ$110,0,MATCH(D$2,Inputs!$K$4:$AJ$4,0)))))</f>
        <v>14383</v>
      </c>
      <c r="E28" s="267">
        <f>IF(ISNA(MATCH(E$2,Inputs!$K$4:$AJ$4,0)),NA(),IF(SUMPRODUCT((Inputs!$A$5:$A$110=$B28)*ISNUMBER(INDEX(Inputs!$K$5:$AJ$110,0,MATCH(E$2,Inputs!$K$4:$AJ$4,0))))+SUMPRODUCT((Inputs!$C$5:$C$110=$B28)*ISNUMBER(INDEX(Inputs!$K$5:$AJ$110,0,MATCH(E$2,Inputs!$K$4:$AJ$4,0))))+SUMPRODUCT((Inputs!$E$5:$E$110=$B28)*ISNUMBER(INDEX(Inputs!$K$5:$AJ$110,0,MATCH(E$2,Inputs!$K$4:$AJ$4,0))))=0,NA(),SUMPRODUCT((Inputs!$A$5:$A$110=$B28)*Inputs!$B$5:$B$110*(((Inputs!$G$5:$G$110="moeda")+(Inputs!$G$5:$G$110="acoes"))*Inputs!$B$1+((Inputs!$G$5:$G$110&lt;&gt;"moeda")*(Inputs!$G$5:$G$110&lt;&gt;"acoes")))*INDEX(Inputs!$K$5:$AJ$110,0,MATCH(E$2,Inputs!$K$4:$AJ$4,0)))+SUMPRODUCT((Inputs!$C$5:$C$110=$B28)*Inputs!$D$5:$D$110*(((Inputs!$G$5:$G$110="moeda")+(Inputs!$G$5:$G$110="acoes"))*Inputs!$B$1+((Inputs!$G$5:$G$110&lt;&gt;"moeda")*(Inputs!$G$5:$G$110&lt;&gt;"acoes")))*INDEX(Inputs!$K$5:$AJ$110,0,MATCH(E$2,Inputs!$K$4:$AJ$4,0)))+SUMPRODUCT((Inputs!$E$5:$E$110=$B28)*Inputs!$F$5:$F$110*(((Inputs!$G$5:$G$110="moeda")+(Inputs!$G$5:$G$110="acoes"))*Inputs!$B$1+((Inputs!$G$5:$G$110&lt;&gt;"moeda")*(Inputs!$G$5:$G$110&lt;&gt;"acoes")))*INDEX(Inputs!$K$5:$AJ$110,0,MATCH(E$2,Inputs!$K$4:$AJ$4,0)))))</f>
        <v>15538</v>
      </c>
      <c r="F28" s="267">
        <f>IF(ISNA(MATCH(F$2,Inputs!$K$4:$AJ$4,0)),NA(),IF(SUMPRODUCT((Inputs!$A$5:$A$110=$B28)*ISNUMBER(INDEX(Inputs!$K$5:$AJ$110,0,MATCH(F$2,Inputs!$K$4:$AJ$4,0))))+SUMPRODUCT((Inputs!$C$5:$C$110=$B28)*ISNUMBER(INDEX(Inputs!$K$5:$AJ$110,0,MATCH(F$2,Inputs!$K$4:$AJ$4,0))))+SUMPRODUCT((Inputs!$E$5:$E$110=$B28)*ISNUMBER(INDEX(Inputs!$K$5:$AJ$110,0,MATCH(F$2,Inputs!$K$4:$AJ$4,0))))=0,NA(),SUMPRODUCT((Inputs!$A$5:$A$110=$B28)*Inputs!$B$5:$B$110*(((Inputs!$G$5:$G$110="moeda")+(Inputs!$G$5:$G$110="acoes"))*Inputs!$B$1+((Inputs!$G$5:$G$110&lt;&gt;"moeda")*(Inputs!$G$5:$G$110&lt;&gt;"acoes")))*INDEX(Inputs!$K$5:$AJ$110,0,MATCH(F$2,Inputs!$K$4:$AJ$4,0)))+SUMPRODUCT((Inputs!$C$5:$C$110=$B28)*Inputs!$D$5:$D$110*(((Inputs!$G$5:$G$110="moeda")+(Inputs!$G$5:$G$110="acoes"))*Inputs!$B$1+((Inputs!$G$5:$G$110&lt;&gt;"moeda")*(Inputs!$G$5:$G$110&lt;&gt;"acoes")))*INDEX(Inputs!$K$5:$AJ$110,0,MATCH(F$2,Inputs!$K$4:$AJ$4,0)))+SUMPRODUCT((Inputs!$E$5:$E$110=$B28)*Inputs!$F$5:$F$110*(((Inputs!$G$5:$G$110="moeda")+(Inputs!$G$5:$G$110="acoes"))*Inputs!$B$1+((Inputs!$G$5:$G$110&lt;&gt;"moeda")*(Inputs!$G$5:$G$110&lt;&gt;"acoes")))*INDEX(Inputs!$K$5:$AJ$110,0,MATCH(F$2,Inputs!$K$4:$AJ$4,0)))))</f>
        <v>16278</v>
      </c>
      <c r="G28" s="267">
        <f>IF(ISNA(MATCH(G$2,Inputs!$K$4:$AJ$4,0)),NA(),IF(SUMPRODUCT((Inputs!$A$5:$A$110=$B28)*ISNUMBER(INDEX(Inputs!$K$5:$AJ$110,0,MATCH(G$2,Inputs!$K$4:$AJ$4,0))))+SUMPRODUCT((Inputs!$C$5:$C$110=$B28)*ISNUMBER(INDEX(Inputs!$K$5:$AJ$110,0,MATCH(G$2,Inputs!$K$4:$AJ$4,0))))+SUMPRODUCT((Inputs!$E$5:$E$110=$B28)*ISNUMBER(INDEX(Inputs!$K$5:$AJ$110,0,MATCH(G$2,Inputs!$K$4:$AJ$4,0))))=0,NA(),SUMPRODUCT((Inputs!$A$5:$A$110=$B28)*Inputs!$B$5:$B$110*(((Inputs!$G$5:$G$110="moeda")+(Inputs!$G$5:$G$110="acoes"))*Inputs!$B$1+((Inputs!$G$5:$G$110&lt;&gt;"moeda")*(Inputs!$G$5:$G$110&lt;&gt;"acoes")))*INDEX(Inputs!$K$5:$AJ$110,0,MATCH(G$2,Inputs!$K$4:$AJ$4,0)))+SUMPRODUCT((Inputs!$C$5:$C$110=$B28)*Inputs!$D$5:$D$110*(((Inputs!$G$5:$G$110="moeda")+(Inputs!$G$5:$G$110="acoes"))*Inputs!$B$1+((Inputs!$G$5:$G$110&lt;&gt;"moeda")*(Inputs!$G$5:$G$110&lt;&gt;"acoes")))*INDEX(Inputs!$K$5:$AJ$110,0,MATCH(G$2,Inputs!$K$4:$AJ$4,0)))+SUMPRODUCT((Inputs!$E$5:$E$110=$B28)*Inputs!$F$5:$F$110*(((Inputs!$G$5:$G$110="moeda")+(Inputs!$G$5:$G$110="acoes"))*Inputs!$B$1+((Inputs!$G$5:$G$110&lt;&gt;"moeda")*(Inputs!$G$5:$G$110&lt;&gt;"acoes")))*INDEX(Inputs!$K$5:$AJ$110,0,MATCH(G$2,Inputs!$K$4:$AJ$4,0)))))</f>
        <v>19561</v>
      </c>
      <c r="H28" s="268">
        <f>G28</f>
        <v>19561</v>
      </c>
      <c r="I28" s="267">
        <f>IF(ISNA(MATCH(I$2,Inputs!$K$4:$AJ$4,0)),NA(),IF(SUMPRODUCT((Inputs!$A$5:$A$110=$B28)*ISNUMBER(INDEX(Inputs!$K$5:$AJ$110,0,MATCH(I$2,Inputs!$K$4:$AJ$4,0))))+SUMPRODUCT((Inputs!$C$5:$C$110=$B28)*ISNUMBER(INDEX(Inputs!$K$5:$AJ$110,0,MATCH(I$2,Inputs!$K$4:$AJ$4,0))))+SUMPRODUCT((Inputs!$E$5:$E$110=$B28)*ISNUMBER(INDEX(Inputs!$K$5:$AJ$110,0,MATCH(I$2,Inputs!$K$4:$AJ$4,0))))=0,NA(),SUMPRODUCT((Inputs!$A$5:$A$110=$B28)*Inputs!$B$5:$B$110*(((Inputs!$G$5:$G$110="moeda")+(Inputs!$G$5:$G$110="acoes"))*Inputs!$B$1+((Inputs!$G$5:$G$110&lt;&gt;"moeda")*(Inputs!$G$5:$G$110&lt;&gt;"acoes")))*INDEX(Inputs!$K$5:$AJ$110,0,MATCH(I$2,Inputs!$K$4:$AJ$4,0)))+SUMPRODUCT((Inputs!$C$5:$C$110=$B28)*Inputs!$D$5:$D$110*(((Inputs!$G$5:$G$110="moeda")+(Inputs!$G$5:$G$110="acoes"))*Inputs!$B$1+((Inputs!$G$5:$G$110&lt;&gt;"moeda")*(Inputs!$G$5:$G$110&lt;&gt;"acoes")))*INDEX(Inputs!$K$5:$AJ$110,0,MATCH(I$2,Inputs!$K$4:$AJ$4,0)))+SUMPRODUCT((Inputs!$E$5:$E$110=$B28)*Inputs!$F$5:$F$110*(((Inputs!$G$5:$G$110="moeda")+(Inputs!$G$5:$G$110="acoes"))*Inputs!$B$1+((Inputs!$G$5:$G$110&lt;&gt;"moeda")*(Inputs!$G$5:$G$110&lt;&gt;"acoes")))*INDEX(Inputs!$K$5:$AJ$110,0,MATCH(I$2,Inputs!$K$4:$AJ$4,0)))))</f>
        <v>17089</v>
      </c>
      <c r="J28" s="267">
        <f>IF(ISNA(MATCH(J$2,Inputs!$K$4:$AJ$4,0)),NA(),IF(SUMPRODUCT((Inputs!$A$5:$A$110=$B28)*ISNUMBER(INDEX(Inputs!$K$5:$AJ$110,0,MATCH(J$2,Inputs!$K$4:$AJ$4,0))))+SUMPRODUCT((Inputs!$C$5:$C$110=$B28)*ISNUMBER(INDEX(Inputs!$K$5:$AJ$110,0,MATCH(J$2,Inputs!$K$4:$AJ$4,0))))+SUMPRODUCT((Inputs!$E$5:$E$110=$B28)*ISNUMBER(INDEX(Inputs!$K$5:$AJ$110,0,MATCH(J$2,Inputs!$K$4:$AJ$4,0))))=0,NA(),SUMPRODUCT((Inputs!$A$5:$A$110=$B28)*Inputs!$B$5:$B$110*(((Inputs!$G$5:$G$110="moeda")+(Inputs!$G$5:$G$110="acoes"))*Inputs!$B$1+((Inputs!$G$5:$G$110&lt;&gt;"moeda")*(Inputs!$G$5:$G$110&lt;&gt;"acoes")))*INDEX(Inputs!$K$5:$AJ$110,0,MATCH(J$2,Inputs!$K$4:$AJ$4,0)))+SUMPRODUCT((Inputs!$C$5:$C$110=$B28)*Inputs!$D$5:$D$110*(((Inputs!$G$5:$G$110="moeda")+(Inputs!$G$5:$G$110="acoes"))*Inputs!$B$1+((Inputs!$G$5:$G$110&lt;&gt;"moeda")*(Inputs!$G$5:$G$110&lt;&gt;"acoes")))*INDEX(Inputs!$K$5:$AJ$110,0,MATCH(J$2,Inputs!$K$4:$AJ$4,0)))+SUMPRODUCT((Inputs!$E$5:$E$110=$B28)*Inputs!$F$5:$F$110*(((Inputs!$G$5:$G$110="moeda")+(Inputs!$G$5:$G$110="acoes"))*Inputs!$B$1+((Inputs!$G$5:$G$110&lt;&gt;"moeda")*(Inputs!$G$5:$G$110&lt;&gt;"acoes")))*INDEX(Inputs!$K$5:$AJ$110,0,MATCH(J$2,Inputs!$K$4:$AJ$4,0)))))</f>
        <v>17651</v>
      </c>
      <c r="K28" s="267">
        <f>IF(ISNA(MATCH(K$2,Inputs!$K$4:$AJ$4,0)),NA(),IF(SUMPRODUCT((Inputs!$A$5:$A$110=$B28)*ISNUMBER(INDEX(Inputs!$K$5:$AJ$110,0,MATCH(K$2,Inputs!$K$4:$AJ$4,0))))+SUMPRODUCT((Inputs!$C$5:$C$110=$B28)*ISNUMBER(INDEX(Inputs!$K$5:$AJ$110,0,MATCH(K$2,Inputs!$K$4:$AJ$4,0))))+SUMPRODUCT((Inputs!$E$5:$E$110=$B28)*ISNUMBER(INDEX(Inputs!$K$5:$AJ$110,0,MATCH(K$2,Inputs!$K$4:$AJ$4,0))))=0,NA(),SUMPRODUCT((Inputs!$A$5:$A$110=$B28)*Inputs!$B$5:$B$110*(((Inputs!$G$5:$G$110="moeda")+(Inputs!$G$5:$G$110="acoes"))*Inputs!$B$1+((Inputs!$G$5:$G$110&lt;&gt;"moeda")*(Inputs!$G$5:$G$110&lt;&gt;"acoes")))*INDEX(Inputs!$K$5:$AJ$110,0,MATCH(K$2,Inputs!$K$4:$AJ$4,0)))+SUMPRODUCT((Inputs!$C$5:$C$110=$B28)*Inputs!$D$5:$D$110*(((Inputs!$G$5:$G$110="moeda")+(Inputs!$G$5:$G$110="acoes"))*Inputs!$B$1+((Inputs!$G$5:$G$110&lt;&gt;"moeda")*(Inputs!$G$5:$G$110&lt;&gt;"acoes")))*INDEX(Inputs!$K$5:$AJ$110,0,MATCH(K$2,Inputs!$K$4:$AJ$4,0)))+SUMPRODUCT((Inputs!$E$5:$E$110=$B28)*Inputs!$F$5:$F$110*(((Inputs!$G$5:$G$110="moeda")+(Inputs!$G$5:$G$110="acoes"))*Inputs!$B$1+((Inputs!$G$5:$G$110&lt;&gt;"moeda")*(Inputs!$G$5:$G$110&lt;&gt;"acoes")))*INDEX(Inputs!$K$5:$AJ$110,0,MATCH(K$2,Inputs!$K$4:$AJ$4,0)))))</f>
        <v>17848</v>
      </c>
      <c r="L28" s="267">
        <f>IF(ISNA(MATCH(L$2,Inputs!$K$4:$AJ$4,0)),NA(),IF(SUMPRODUCT((Inputs!$A$5:$A$110=$B28)*ISNUMBER(INDEX(Inputs!$K$5:$AJ$110,0,MATCH(L$2,Inputs!$K$4:$AJ$4,0))))+SUMPRODUCT((Inputs!$C$5:$C$110=$B28)*ISNUMBER(INDEX(Inputs!$K$5:$AJ$110,0,MATCH(L$2,Inputs!$K$4:$AJ$4,0))))+SUMPRODUCT((Inputs!$E$5:$E$110=$B28)*ISNUMBER(INDEX(Inputs!$K$5:$AJ$110,0,MATCH(L$2,Inputs!$K$4:$AJ$4,0))))=0,NA(),SUMPRODUCT((Inputs!$A$5:$A$110=$B28)*Inputs!$B$5:$B$110*(((Inputs!$G$5:$G$110="moeda")+(Inputs!$G$5:$G$110="acoes"))*Inputs!$B$1+((Inputs!$G$5:$G$110&lt;&gt;"moeda")*(Inputs!$G$5:$G$110&lt;&gt;"acoes")))*INDEX(Inputs!$K$5:$AJ$110,0,MATCH(L$2,Inputs!$K$4:$AJ$4,0)))+SUMPRODUCT((Inputs!$C$5:$C$110=$B28)*Inputs!$D$5:$D$110*(((Inputs!$G$5:$G$110="moeda")+(Inputs!$G$5:$G$110="acoes"))*Inputs!$B$1+((Inputs!$G$5:$G$110&lt;&gt;"moeda")*(Inputs!$G$5:$G$110&lt;&gt;"acoes")))*INDEX(Inputs!$K$5:$AJ$110,0,MATCH(L$2,Inputs!$K$4:$AJ$4,0)))+SUMPRODUCT((Inputs!$E$5:$E$110=$B28)*Inputs!$F$5:$F$110*(((Inputs!$G$5:$G$110="moeda")+(Inputs!$G$5:$G$110="acoes"))*Inputs!$B$1+((Inputs!$G$5:$G$110&lt;&gt;"moeda")*(Inputs!$G$5:$G$110&lt;&gt;"acoes")))*INDEX(Inputs!$K$5:$AJ$110,0,MATCH(L$2,Inputs!$K$4:$AJ$4,0)))))</f>
        <v>18348</v>
      </c>
      <c r="M28" s="268">
        <f>L28</f>
        <v>18348</v>
      </c>
      <c r="N28" s="267">
        <f>IF(ISNA(MATCH(N$2,Inputs!$K$4:$AJ$4,0)),NA(),IF(SUMPRODUCT((Inputs!$A$5:$A$110=$B28)*ISNUMBER(INDEX(Inputs!$K$5:$AJ$110,0,MATCH(N$2,Inputs!$K$4:$AJ$4,0))))+SUMPRODUCT((Inputs!$C$5:$C$110=$B28)*ISNUMBER(INDEX(Inputs!$K$5:$AJ$110,0,MATCH(N$2,Inputs!$K$4:$AJ$4,0))))+SUMPRODUCT((Inputs!$E$5:$E$110=$B28)*ISNUMBER(INDEX(Inputs!$K$5:$AJ$110,0,MATCH(N$2,Inputs!$K$4:$AJ$4,0))))=0,NA(),SUMPRODUCT((Inputs!$A$5:$A$110=$B28)*Inputs!$B$5:$B$110*(((Inputs!$G$5:$G$110="moeda")+(Inputs!$G$5:$G$110="acoes"))*Inputs!$B$1+((Inputs!$G$5:$G$110&lt;&gt;"moeda")*(Inputs!$G$5:$G$110&lt;&gt;"acoes")))*INDEX(Inputs!$K$5:$AJ$110,0,MATCH(N$2,Inputs!$K$4:$AJ$4,0)))+SUMPRODUCT((Inputs!$C$5:$C$110=$B28)*Inputs!$D$5:$D$110*(((Inputs!$G$5:$G$110="moeda")+(Inputs!$G$5:$G$110="acoes"))*Inputs!$B$1+((Inputs!$G$5:$G$110&lt;&gt;"moeda")*(Inputs!$G$5:$G$110&lt;&gt;"acoes")))*INDEX(Inputs!$K$5:$AJ$110,0,MATCH(N$2,Inputs!$K$4:$AJ$4,0)))+SUMPRODUCT((Inputs!$E$5:$E$110=$B28)*Inputs!$F$5:$F$110*(((Inputs!$G$5:$G$110="moeda")+(Inputs!$G$5:$G$110="acoes"))*Inputs!$B$1+((Inputs!$G$5:$G$110&lt;&gt;"moeda")*(Inputs!$G$5:$G$110&lt;&gt;"acoes")))*INDEX(Inputs!$K$5:$AJ$110,0,MATCH(N$2,Inputs!$K$4:$AJ$4,0)))))</f>
        <v>16407</v>
      </c>
      <c r="O28" s="267">
        <f>IF(ISNA(MATCH(O$2,Inputs!$K$4:$AJ$4,0)),NA(),IF(SUMPRODUCT((Inputs!$A$5:$A$110=$B28)*ISNUMBER(INDEX(Inputs!$K$5:$AJ$110,0,MATCH(O$2,Inputs!$K$4:$AJ$4,0))))+SUMPRODUCT((Inputs!$C$5:$C$110=$B28)*ISNUMBER(INDEX(Inputs!$K$5:$AJ$110,0,MATCH(O$2,Inputs!$K$4:$AJ$4,0))))+SUMPRODUCT((Inputs!$E$5:$E$110=$B28)*ISNUMBER(INDEX(Inputs!$K$5:$AJ$110,0,MATCH(O$2,Inputs!$K$4:$AJ$4,0))))=0,NA(),SUMPRODUCT((Inputs!$A$5:$A$110=$B28)*Inputs!$B$5:$B$110*(((Inputs!$G$5:$G$110="moeda")+(Inputs!$G$5:$G$110="acoes"))*Inputs!$B$1+((Inputs!$G$5:$G$110&lt;&gt;"moeda")*(Inputs!$G$5:$G$110&lt;&gt;"acoes")))*INDEX(Inputs!$K$5:$AJ$110,0,MATCH(O$2,Inputs!$K$4:$AJ$4,0)))+SUMPRODUCT((Inputs!$C$5:$C$110=$B28)*Inputs!$D$5:$D$110*(((Inputs!$G$5:$G$110="moeda")+(Inputs!$G$5:$G$110="acoes"))*Inputs!$B$1+((Inputs!$G$5:$G$110&lt;&gt;"moeda")*(Inputs!$G$5:$G$110&lt;&gt;"acoes")))*INDEX(Inputs!$K$5:$AJ$110,0,MATCH(O$2,Inputs!$K$4:$AJ$4,0)))+SUMPRODUCT((Inputs!$E$5:$E$110=$B28)*Inputs!$F$5:$F$110*(((Inputs!$G$5:$G$110="moeda")+(Inputs!$G$5:$G$110="acoes"))*Inputs!$B$1+((Inputs!$G$5:$G$110&lt;&gt;"moeda")*(Inputs!$G$5:$G$110&lt;&gt;"acoes")))*INDEX(Inputs!$K$5:$AJ$110,0,MATCH(O$2,Inputs!$K$4:$AJ$4,0)))))</f>
        <v>16853</v>
      </c>
      <c r="P28" s="267">
        <f>IF(ISNA(MATCH(P$2,Inputs!$K$4:$AJ$4,0)),NA(),IF(SUMPRODUCT((Inputs!$A$5:$A$110=$B28)*ISNUMBER(INDEX(Inputs!$K$5:$AJ$110,0,MATCH(P$2,Inputs!$K$4:$AJ$4,0))))+SUMPRODUCT((Inputs!$C$5:$C$110=$B28)*ISNUMBER(INDEX(Inputs!$K$5:$AJ$110,0,MATCH(P$2,Inputs!$K$4:$AJ$4,0))))+SUMPRODUCT((Inputs!$E$5:$E$110=$B28)*ISNUMBER(INDEX(Inputs!$K$5:$AJ$110,0,MATCH(P$2,Inputs!$K$4:$AJ$4,0))))=0,NA(),SUMPRODUCT((Inputs!$A$5:$A$110=$B28)*Inputs!$B$5:$B$110*(((Inputs!$G$5:$G$110="moeda")+(Inputs!$G$5:$G$110="acoes"))*Inputs!$B$1+((Inputs!$G$5:$G$110&lt;&gt;"moeda")*(Inputs!$G$5:$G$110&lt;&gt;"acoes")))*INDEX(Inputs!$K$5:$AJ$110,0,MATCH(P$2,Inputs!$K$4:$AJ$4,0)))+SUMPRODUCT((Inputs!$C$5:$C$110=$B28)*Inputs!$D$5:$D$110*(((Inputs!$G$5:$G$110="moeda")+(Inputs!$G$5:$G$110="acoes"))*Inputs!$B$1+((Inputs!$G$5:$G$110&lt;&gt;"moeda")*(Inputs!$G$5:$G$110&lt;&gt;"acoes")))*INDEX(Inputs!$K$5:$AJ$110,0,MATCH(P$2,Inputs!$K$4:$AJ$4,0)))+SUMPRODUCT((Inputs!$E$5:$E$110=$B28)*Inputs!$F$5:$F$110*(((Inputs!$G$5:$G$110="moeda")+(Inputs!$G$5:$G$110="acoes"))*Inputs!$B$1+((Inputs!$G$5:$G$110&lt;&gt;"moeda")*(Inputs!$G$5:$G$110&lt;&gt;"acoes")))*INDEX(Inputs!$K$5:$AJ$110,0,MATCH(P$2,Inputs!$K$4:$AJ$4,0)))))</f>
        <v>17483</v>
      </c>
      <c r="Q28" s="267">
        <f>IF(ISNA(MATCH(Q$2,Inputs!$K$4:$AJ$4,0)),NA(),IF(SUMPRODUCT((Inputs!$A$5:$A$110=$B28)*ISNUMBER(INDEX(Inputs!$K$5:$AJ$110,0,MATCH(Q$2,Inputs!$K$4:$AJ$4,0))))+SUMPRODUCT((Inputs!$C$5:$C$110=$B28)*ISNUMBER(INDEX(Inputs!$K$5:$AJ$110,0,MATCH(Q$2,Inputs!$K$4:$AJ$4,0))))+SUMPRODUCT((Inputs!$E$5:$E$110=$B28)*ISNUMBER(INDEX(Inputs!$K$5:$AJ$110,0,MATCH(Q$2,Inputs!$K$4:$AJ$4,0))))=0,NA(),SUMPRODUCT((Inputs!$A$5:$A$110=$B28)*Inputs!$B$5:$B$110*(((Inputs!$G$5:$G$110="moeda")+(Inputs!$G$5:$G$110="acoes"))*Inputs!$B$1+((Inputs!$G$5:$G$110&lt;&gt;"moeda")*(Inputs!$G$5:$G$110&lt;&gt;"acoes")))*INDEX(Inputs!$K$5:$AJ$110,0,MATCH(Q$2,Inputs!$K$4:$AJ$4,0)))+SUMPRODUCT((Inputs!$C$5:$C$110=$B28)*Inputs!$D$5:$D$110*(((Inputs!$G$5:$G$110="moeda")+(Inputs!$G$5:$G$110="acoes"))*Inputs!$B$1+((Inputs!$G$5:$G$110&lt;&gt;"moeda")*(Inputs!$G$5:$G$110&lt;&gt;"acoes")))*INDEX(Inputs!$K$5:$AJ$110,0,MATCH(Q$2,Inputs!$K$4:$AJ$4,0)))+SUMPRODUCT((Inputs!$E$5:$E$110=$B28)*Inputs!$F$5:$F$110*(((Inputs!$G$5:$G$110="moeda")+(Inputs!$G$5:$G$110="acoes"))*Inputs!$B$1+((Inputs!$G$5:$G$110&lt;&gt;"moeda")*(Inputs!$G$5:$G$110&lt;&gt;"acoes")))*INDEX(Inputs!$K$5:$AJ$110,0,MATCH(Q$2,Inputs!$K$4:$AJ$4,0)))))</f>
        <v>20357</v>
      </c>
      <c r="R28" s="268">
        <f>Q28</f>
        <v>20357</v>
      </c>
      <c r="S28" s="267">
        <f>IF(ISNA(MATCH(S$2,Inputs!$K$4:$AJ$4,0)),NA(),IF(SUMPRODUCT((Inputs!$A$5:$A$110=$B28)*ISNUMBER(INDEX(Inputs!$K$5:$AJ$110,0,MATCH(S$2,Inputs!$K$4:$AJ$4,0))))+SUMPRODUCT((Inputs!$C$5:$C$110=$B28)*ISNUMBER(INDEX(Inputs!$K$5:$AJ$110,0,MATCH(S$2,Inputs!$K$4:$AJ$4,0))))+SUMPRODUCT((Inputs!$E$5:$E$110=$B28)*ISNUMBER(INDEX(Inputs!$K$5:$AJ$110,0,MATCH(S$2,Inputs!$K$4:$AJ$4,0))))=0,NA(),SUMPRODUCT((Inputs!$A$5:$A$110=$B28)*Inputs!$B$5:$B$110*(((Inputs!$G$5:$G$110="moeda")+(Inputs!$G$5:$G$110="acoes"))*Inputs!$B$1+((Inputs!$G$5:$G$110&lt;&gt;"moeda")*(Inputs!$G$5:$G$110&lt;&gt;"acoes")))*INDEX(Inputs!$K$5:$AJ$110,0,MATCH(S$2,Inputs!$K$4:$AJ$4,0)))+SUMPRODUCT((Inputs!$C$5:$C$110=$B28)*Inputs!$D$5:$D$110*(((Inputs!$G$5:$G$110="moeda")+(Inputs!$G$5:$G$110="acoes"))*Inputs!$B$1+((Inputs!$G$5:$G$110&lt;&gt;"moeda")*(Inputs!$G$5:$G$110&lt;&gt;"acoes")))*INDEX(Inputs!$K$5:$AJ$110,0,MATCH(S$2,Inputs!$K$4:$AJ$4,0)))+SUMPRODUCT((Inputs!$E$5:$E$110=$B28)*Inputs!$F$5:$F$110*(((Inputs!$G$5:$G$110="moeda")+(Inputs!$G$5:$G$110="acoes"))*Inputs!$B$1+((Inputs!$G$5:$G$110&lt;&gt;"moeda")*(Inputs!$G$5:$G$110&lt;&gt;"acoes")))*INDEX(Inputs!$K$5:$AJ$110,0,MATCH(S$2,Inputs!$K$4:$AJ$4,0)))))</f>
        <v>17494</v>
      </c>
      <c r="T28" s="267">
        <f>IF(ISNA(MATCH(T$2,Inputs!$K$4:$AJ$4,0)),NA(),IF(SUMPRODUCT((Inputs!$A$5:$A$110=$B28)*ISNUMBER(INDEX(Inputs!$K$5:$AJ$110,0,MATCH(T$2,Inputs!$K$4:$AJ$4,0))))+SUMPRODUCT((Inputs!$C$5:$C$110=$B28)*ISNUMBER(INDEX(Inputs!$K$5:$AJ$110,0,MATCH(T$2,Inputs!$K$4:$AJ$4,0))))+SUMPRODUCT((Inputs!$E$5:$E$110=$B28)*ISNUMBER(INDEX(Inputs!$K$5:$AJ$110,0,MATCH(T$2,Inputs!$K$4:$AJ$4,0))))=0,NA(),SUMPRODUCT((Inputs!$A$5:$A$110=$B28)*Inputs!$B$5:$B$110*(((Inputs!$G$5:$G$110="moeda")+(Inputs!$G$5:$G$110="acoes"))*Inputs!$B$1+((Inputs!$G$5:$G$110&lt;&gt;"moeda")*(Inputs!$G$5:$G$110&lt;&gt;"acoes")))*INDEX(Inputs!$K$5:$AJ$110,0,MATCH(T$2,Inputs!$K$4:$AJ$4,0)))+SUMPRODUCT((Inputs!$C$5:$C$110=$B28)*Inputs!$D$5:$D$110*(((Inputs!$G$5:$G$110="moeda")+(Inputs!$G$5:$G$110="acoes"))*Inputs!$B$1+((Inputs!$G$5:$G$110&lt;&gt;"moeda")*(Inputs!$G$5:$G$110&lt;&gt;"acoes")))*INDEX(Inputs!$K$5:$AJ$110,0,MATCH(T$2,Inputs!$K$4:$AJ$4,0)))+SUMPRODUCT((Inputs!$E$5:$E$110=$B28)*Inputs!$F$5:$F$110*(((Inputs!$G$5:$G$110="moeda")+(Inputs!$G$5:$G$110="acoes"))*Inputs!$B$1+((Inputs!$G$5:$G$110&lt;&gt;"moeda")*(Inputs!$G$5:$G$110&lt;&gt;"acoes")))*INDEX(Inputs!$K$5:$AJ$110,0,MATCH(T$2,Inputs!$K$4:$AJ$4,0)))))</f>
        <v>18844</v>
      </c>
      <c r="U28" s="267">
        <f>IF(ISNA(MATCH(U$2,Inputs!$K$4:$AJ$4,0)),NA(),IF(SUMPRODUCT((Inputs!$A$5:$A$110=$B28)*ISNUMBER(INDEX(Inputs!$K$5:$AJ$110,0,MATCH(U$2,Inputs!$K$4:$AJ$4,0))))+SUMPRODUCT((Inputs!$C$5:$C$110=$B28)*ISNUMBER(INDEX(Inputs!$K$5:$AJ$110,0,MATCH(U$2,Inputs!$K$4:$AJ$4,0))))+SUMPRODUCT((Inputs!$E$5:$E$110=$B28)*ISNUMBER(INDEX(Inputs!$K$5:$AJ$110,0,MATCH(U$2,Inputs!$K$4:$AJ$4,0))))=0,NA(),SUMPRODUCT((Inputs!$A$5:$A$110=$B28)*Inputs!$B$5:$B$110*(((Inputs!$G$5:$G$110="moeda")+(Inputs!$G$5:$G$110="acoes"))*Inputs!$B$1+((Inputs!$G$5:$G$110&lt;&gt;"moeda")*(Inputs!$G$5:$G$110&lt;&gt;"acoes")))*INDEX(Inputs!$K$5:$AJ$110,0,MATCH(U$2,Inputs!$K$4:$AJ$4,0)))+SUMPRODUCT((Inputs!$C$5:$C$110=$B28)*Inputs!$D$5:$D$110*(((Inputs!$G$5:$G$110="moeda")+(Inputs!$G$5:$G$110="acoes"))*Inputs!$B$1+((Inputs!$G$5:$G$110&lt;&gt;"moeda")*(Inputs!$G$5:$G$110&lt;&gt;"acoes")))*INDEX(Inputs!$K$5:$AJ$110,0,MATCH(U$2,Inputs!$K$4:$AJ$4,0)))+SUMPRODUCT((Inputs!$E$5:$E$110=$B28)*Inputs!$F$5:$F$110*(((Inputs!$G$5:$G$110="moeda")+(Inputs!$G$5:$G$110="acoes"))*Inputs!$B$1+((Inputs!$G$5:$G$110&lt;&gt;"moeda")*(Inputs!$G$5:$G$110&lt;&gt;"acoes")))*INDEX(Inputs!$K$5:$AJ$110,0,MATCH(U$2,Inputs!$K$4:$AJ$4,0)))))</f>
        <v>19421</v>
      </c>
      <c r="V28" s="267">
        <f>IF(ISNA(MATCH(V$2,Inputs!$K$4:$AJ$4,0)),NA(),IF(SUMPRODUCT((Inputs!$A$5:$A$110=$B28)*ISNUMBER(INDEX(Inputs!$K$5:$AJ$110,0,MATCH(V$2,Inputs!$K$4:$AJ$4,0))))+SUMPRODUCT((Inputs!$C$5:$C$110=$B28)*ISNUMBER(INDEX(Inputs!$K$5:$AJ$110,0,MATCH(V$2,Inputs!$K$4:$AJ$4,0))))+SUMPRODUCT((Inputs!$E$5:$E$110=$B28)*ISNUMBER(INDEX(Inputs!$K$5:$AJ$110,0,MATCH(V$2,Inputs!$K$4:$AJ$4,0))))=0,NA(),SUMPRODUCT((Inputs!$A$5:$A$110=$B28)*Inputs!$B$5:$B$110*(((Inputs!$G$5:$G$110="moeda")+(Inputs!$G$5:$G$110="acoes"))*Inputs!$B$1+((Inputs!$G$5:$G$110&lt;&gt;"moeda")*(Inputs!$G$5:$G$110&lt;&gt;"acoes")))*INDEX(Inputs!$K$5:$AJ$110,0,MATCH(V$2,Inputs!$K$4:$AJ$4,0)))+SUMPRODUCT((Inputs!$C$5:$C$110=$B28)*Inputs!$D$5:$D$110*(((Inputs!$G$5:$G$110="moeda")+(Inputs!$G$5:$G$110="acoes"))*Inputs!$B$1+((Inputs!$G$5:$G$110&lt;&gt;"moeda")*(Inputs!$G$5:$G$110&lt;&gt;"acoes")))*INDEX(Inputs!$K$5:$AJ$110,0,MATCH(V$2,Inputs!$K$4:$AJ$4,0)))+SUMPRODUCT((Inputs!$E$5:$E$110=$B28)*Inputs!$F$5:$F$110*(((Inputs!$G$5:$G$110="moeda")+(Inputs!$G$5:$G$110="acoes"))*Inputs!$B$1+((Inputs!$G$5:$G$110&lt;&gt;"moeda")*(Inputs!$G$5:$G$110&lt;&gt;"acoes")))*INDEX(Inputs!$K$5:$AJ$110,0,MATCH(V$2,Inputs!$K$4:$AJ$4,0)))))</f>
        <v>21793</v>
      </c>
      <c r="W28" s="268">
        <f>V28</f>
        <v>21793</v>
      </c>
      <c r="X28" s="267">
        <f>IF(ISNA(MATCH(X$2,Inputs!$K$4:$AJ$4,0)),NA(),IF(SUMPRODUCT((Inputs!$A$5:$A$110=$B28)*ISNUMBER(INDEX(Inputs!$K$5:$AJ$110,0,MATCH(X$2,Inputs!$K$4:$AJ$4,0))))+SUMPRODUCT((Inputs!$C$5:$C$110=$B28)*ISNUMBER(INDEX(Inputs!$K$5:$AJ$110,0,MATCH(X$2,Inputs!$K$4:$AJ$4,0))))+SUMPRODUCT((Inputs!$E$5:$E$110=$B28)*ISNUMBER(INDEX(Inputs!$K$5:$AJ$110,0,MATCH(X$2,Inputs!$K$4:$AJ$4,0))))=0,NA(),SUMPRODUCT((Inputs!$A$5:$A$110=$B28)*Inputs!$B$5:$B$110*(((Inputs!$G$5:$G$110="moeda")+(Inputs!$G$5:$G$110="acoes"))*Inputs!$B$1+((Inputs!$G$5:$G$110&lt;&gt;"moeda")*(Inputs!$G$5:$G$110&lt;&gt;"acoes")))*INDEX(Inputs!$K$5:$AJ$110,0,MATCH(X$2,Inputs!$K$4:$AJ$4,0)))+SUMPRODUCT((Inputs!$C$5:$C$110=$B28)*Inputs!$D$5:$D$110*(((Inputs!$G$5:$G$110="moeda")+(Inputs!$G$5:$G$110="acoes"))*Inputs!$B$1+((Inputs!$G$5:$G$110&lt;&gt;"moeda")*(Inputs!$G$5:$G$110&lt;&gt;"acoes")))*INDEX(Inputs!$K$5:$AJ$110,0,MATCH(X$2,Inputs!$K$4:$AJ$4,0)))+SUMPRODUCT((Inputs!$E$5:$E$110=$B28)*Inputs!$F$5:$F$110*(((Inputs!$G$5:$G$110="moeda")+(Inputs!$G$5:$G$110="acoes"))*Inputs!$B$1+((Inputs!$G$5:$G$110&lt;&gt;"moeda")*(Inputs!$G$5:$G$110&lt;&gt;"acoes")))*INDEX(Inputs!$K$5:$AJ$110,0,MATCH(X$2,Inputs!$K$4:$AJ$4,0)))))</f>
        <v>18610</v>
      </c>
      <c r="Y28" s="267">
        <f>IF(ISNA(MATCH(Y$2,Inputs!$K$4:$AJ$4,0)),NA(),IF(SUMPRODUCT((Inputs!$A$5:$A$110=$B28)*ISNUMBER(INDEX(Inputs!$K$5:$AJ$110,0,MATCH(Y$2,Inputs!$K$4:$AJ$4,0))))+SUMPRODUCT((Inputs!$C$5:$C$110=$B28)*ISNUMBER(INDEX(Inputs!$K$5:$AJ$110,0,MATCH(Y$2,Inputs!$K$4:$AJ$4,0))))+SUMPRODUCT((Inputs!$E$5:$E$110=$B28)*ISNUMBER(INDEX(Inputs!$K$5:$AJ$110,0,MATCH(Y$2,Inputs!$K$4:$AJ$4,0))))=0,NA(),SUMPRODUCT((Inputs!$A$5:$A$110=$B28)*Inputs!$B$5:$B$110*(((Inputs!$G$5:$G$110="moeda")+(Inputs!$G$5:$G$110="acoes"))*Inputs!$B$1+((Inputs!$G$5:$G$110&lt;&gt;"moeda")*(Inputs!$G$5:$G$110&lt;&gt;"acoes")))*INDEX(Inputs!$K$5:$AJ$110,0,MATCH(Y$2,Inputs!$K$4:$AJ$4,0)))+SUMPRODUCT((Inputs!$C$5:$C$110=$B28)*Inputs!$D$5:$D$110*(((Inputs!$G$5:$G$110="moeda")+(Inputs!$G$5:$G$110="acoes"))*Inputs!$B$1+((Inputs!$G$5:$G$110&lt;&gt;"moeda")*(Inputs!$G$5:$G$110&lt;&gt;"acoes")))*INDEX(Inputs!$K$5:$AJ$110,0,MATCH(Y$2,Inputs!$K$4:$AJ$4,0)))+SUMPRODUCT((Inputs!$E$5:$E$110=$B28)*Inputs!$F$5:$F$110*(((Inputs!$G$5:$G$110="moeda")+(Inputs!$G$5:$G$110="acoes"))*Inputs!$B$1+((Inputs!$G$5:$G$110&lt;&gt;"moeda")*(Inputs!$G$5:$G$110&lt;&gt;"acoes")))*INDEX(Inputs!$K$5:$AJ$110,0,MATCH(Y$2,Inputs!$K$4:$AJ$4,0)))))</f>
        <v>19820</v>
      </c>
      <c r="Z28" s="267">
        <f>IF(ISNA(MATCH(Z$2,Inputs!$K$4:$AJ$4,0)),NA(),IF(SUMPRODUCT((Inputs!$A$5:$A$110=$B28)*ISNUMBER(INDEX(Inputs!$K$5:$AJ$110,0,MATCH(Z$2,Inputs!$K$4:$AJ$4,0))))+SUMPRODUCT((Inputs!$C$5:$C$110=$B28)*ISNUMBER(INDEX(Inputs!$K$5:$AJ$110,0,MATCH(Z$2,Inputs!$K$4:$AJ$4,0))))+SUMPRODUCT((Inputs!$E$5:$E$110=$B28)*ISNUMBER(INDEX(Inputs!$K$5:$AJ$110,0,MATCH(Z$2,Inputs!$K$4:$AJ$4,0))))=0,NA(),SUMPRODUCT((Inputs!$A$5:$A$110=$B28)*Inputs!$B$5:$B$110*(((Inputs!$G$5:$G$110="moeda")+(Inputs!$G$5:$G$110="acoes"))*Inputs!$B$1+((Inputs!$G$5:$G$110&lt;&gt;"moeda")*(Inputs!$G$5:$G$110&lt;&gt;"acoes")))*INDEX(Inputs!$K$5:$AJ$110,0,MATCH(Z$2,Inputs!$K$4:$AJ$4,0)))+SUMPRODUCT((Inputs!$C$5:$C$110=$B28)*Inputs!$D$5:$D$110*(((Inputs!$G$5:$G$110="moeda")+(Inputs!$G$5:$G$110="acoes"))*Inputs!$B$1+((Inputs!$G$5:$G$110&lt;&gt;"moeda")*(Inputs!$G$5:$G$110&lt;&gt;"acoes")))*INDEX(Inputs!$K$5:$AJ$110,0,MATCH(Z$2,Inputs!$K$4:$AJ$4,0)))+SUMPRODUCT((Inputs!$E$5:$E$110=$B28)*Inputs!$F$5:$F$110*(((Inputs!$G$5:$G$110="moeda")+(Inputs!$G$5:$G$110="acoes"))*Inputs!$B$1+((Inputs!$G$5:$G$110&lt;&gt;"moeda")*(Inputs!$G$5:$G$110&lt;&gt;"acoes")))*INDEX(Inputs!$K$5:$AJ$110,0,MATCH(Z$2,Inputs!$K$4:$AJ$4,0)))))</f>
        <v>19783</v>
      </c>
      <c r="AA28" s="267">
        <f>IF(ISNA(MATCH(AA$2,Inputs!$K$4:$AJ$4,0)),NA(),IF(SUMPRODUCT((Inputs!$A$5:$A$110=$B28)*ISNUMBER(INDEX(Inputs!$K$5:$AJ$110,0,MATCH(AA$2,Inputs!$K$4:$AJ$4,0))))+SUMPRODUCT((Inputs!$C$5:$C$110=$B28)*ISNUMBER(INDEX(Inputs!$K$5:$AJ$110,0,MATCH(AA$2,Inputs!$K$4:$AJ$4,0))))+SUMPRODUCT((Inputs!$E$5:$E$110=$B28)*ISNUMBER(INDEX(Inputs!$K$5:$AJ$110,0,MATCH(AA$2,Inputs!$K$4:$AJ$4,0))))=0,NA(),SUMPRODUCT((Inputs!$A$5:$A$110=$B28)*Inputs!$B$5:$B$110*(((Inputs!$G$5:$G$110="moeda")+(Inputs!$G$5:$G$110="acoes"))*Inputs!$B$1+((Inputs!$G$5:$G$110&lt;&gt;"moeda")*(Inputs!$G$5:$G$110&lt;&gt;"acoes")))*INDEX(Inputs!$K$5:$AJ$110,0,MATCH(AA$2,Inputs!$K$4:$AJ$4,0)))+SUMPRODUCT((Inputs!$C$5:$C$110=$B28)*Inputs!$D$5:$D$110*(((Inputs!$G$5:$G$110="moeda")+(Inputs!$G$5:$G$110="acoes"))*Inputs!$B$1+((Inputs!$G$5:$G$110&lt;&gt;"moeda")*(Inputs!$G$5:$G$110&lt;&gt;"acoes")))*INDEX(Inputs!$K$5:$AJ$110,0,MATCH(AA$2,Inputs!$K$4:$AJ$4,0)))+SUMPRODUCT((Inputs!$E$5:$E$110=$B28)*Inputs!$F$5:$F$110*(((Inputs!$G$5:$G$110="moeda")+(Inputs!$G$5:$G$110="acoes"))*Inputs!$B$1+((Inputs!$G$5:$G$110&lt;&gt;"moeda")*(Inputs!$G$5:$G$110&lt;&gt;"acoes")))*INDEX(Inputs!$K$5:$AJ$110,0,MATCH(AA$2,Inputs!$K$4:$AJ$4,0)))))</f>
        <v>23513</v>
      </c>
      <c r="AB28" s="268">
        <f>AA28</f>
        <v>23513</v>
      </c>
      <c r="AC28" s="267">
        <f>IF(ISNA(MATCH(AC$2,Inputs!$K$4:$AJ$4,0)),NA(),IF(SUMPRODUCT((Inputs!$A$5:$A$110=$B28)*ISNUMBER(INDEX(Inputs!$K$5:$AJ$110,0,MATCH(AC$2,Inputs!$K$4:$AJ$4,0))))+SUMPRODUCT((Inputs!$C$5:$C$110=$B28)*ISNUMBER(INDEX(Inputs!$K$5:$AJ$110,0,MATCH(AC$2,Inputs!$K$4:$AJ$4,0))))+SUMPRODUCT((Inputs!$E$5:$E$110=$B28)*ISNUMBER(INDEX(Inputs!$K$5:$AJ$110,0,MATCH(AC$2,Inputs!$K$4:$AJ$4,0))))=0,NA(),SUMPRODUCT((Inputs!$A$5:$A$110=$B28)*Inputs!$B$5:$B$110*(((Inputs!$G$5:$G$110="moeda")+(Inputs!$G$5:$G$110="acoes"))*Inputs!$B$1+((Inputs!$G$5:$G$110&lt;&gt;"moeda")*(Inputs!$G$5:$G$110&lt;&gt;"acoes")))*INDEX(Inputs!$K$5:$AJ$110,0,MATCH(AC$2,Inputs!$K$4:$AJ$4,0)))+SUMPRODUCT((Inputs!$C$5:$C$110=$B28)*Inputs!$D$5:$D$110*(((Inputs!$G$5:$G$110="moeda")+(Inputs!$G$5:$G$110="acoes"))*Inputs!$B$1+((Inputs!$G$5:$G$110&lt;&gt;"moeda")*(Inputs!$G$5:$G$110&lt;&gt;"acoes")))*INDEX(Inputs!$K$5:$AJ$110,0,MATCH(AC$2,Inputs!$K$4:$AJ$4,0)))+SUMPRODUCT((Inputs!$E$5:$E$110=$B28)*Inputs!$F$5:$F$110*(((Inputs!$G$5:$G$110="moeda")+(Inputs!$G$5:$G$110="acoes"))*Inputs!$B$1+((Inputs!$G$5:$G$110&lt;&gt;"moeda")*(Inputs!$G$5:$G$110&lt;&gt;"acoes")))*INDEX(Inputs!$K$5:$AJ$110,0,MATCH(AC$2,Inputs!$K$4:$AJ$4,0)))))</f>
        <v>20647</v>
      </c>
      <c r="AD28" s="267">
        <f>IF(ISNA(MATCH(AD$2,Inputs!$K$4:$AJ$4,0)),NA(),IF(SUMPRODUCT((Inputs!$A$5:$A$110=$B28)*ISNUMBER(INDEX(Inputs!$K$5:$AJ$110,0,MATCH(AD$2,Inputs!$K$4:$AJ$4,0))))+SUMPRODUCT((Inputs!$C$5:$C$110=$B28)*ISNUMBER(INDEX(Inputs!$K$5:$AJ$110,0,MATCH(AD$2,Inputs!$K$4:$AJ$4,0))))+SUMPRODUCT((Inputs!$E$5:$E$110=$B28)*ISNUMBER(INDEX(Inputs!$K$5:$AJ$110,0,MATCH(AD$2,Inputs!$K$4:$AJ$4,0))))=0,NA(),SUMPRODUCT((Inputs!$A$5:$A$110=$B28)*Inputs!$B$5:$B$110*(((Inputs!$G$5:$G$110="moeda")+(Inputs!$G$5:$G$110="acoes"))*Inputs!$B$1+((Inputs!$G$5:$G$110&lt;&gt;"moeda")*(Inputs!$G$5:$G$110&lt;&gt;"acoes")))*INDEX(Inputs!$K$5:$AJ$110,0,MATCH(AD$2,Inputs!$K$4:$AJ$4,0)))+SUMPRODUCT((Inputs!$C$5:$C$110=$B28)*Inputs!$D$5:$D$110*(((Inputs!$G$5:$G$110="moeda")+(Inputs!$G$5:$G$110="acoes"))*Inputs!$B$1+((Inputs!$G$5:$G$110&lt;&gt;"moeda")*(Inputs!$G$5:$G$110&lt;&gt;"acoes")))*INDEX(Inputs!$K$5:$AJ$110,0,MATCH(AD$2,Inputs!$K$4:$AJ$4,0)))+SUMPRODUCT((Inputs!$E$5:$E$110=$B28)*Inputs!$F$5:$F$110*(((Inputs!$G$5:$G$110="moeda")+(Inputs!$G$5:$G$110="acoes"))*Inputs!$B$1+((Inputs!$G$5:$G$110&lt;&gt;"moeda")*(Inputs!$G$5:$G$110&lt;&gt;"acoes")))*INDEX(Inputs!$K$5:$AJ$110,0,MATCH(AD$2,Inputs!$K$4:$AJ$4,0)))))</f>
        <v>22363</v>
      </c>
      <c r="AE28" s="267" t="e">
        <f>IF(ISNA(MATCH(AE$2,Inputs!$K$4:$AJ$4,0)),NA(),IF(SUMPRODUCT((Inputs!$A$5:$A$110=$B28)*ISNUMBER(INDEX(Inputs!$K$5:$AJ$110,0,MATCH(AE$2,Inputs!$K$4:$AJ$4,0))))+SUMPRODUCT((Inputs!$C$5:$C$110=$B28)*ISNUMBER(INDEX(Inputs!$K$5:$AJ$110,0,MATCH(AE$2,Inputs!$K$4:$AJ$4,0))))+SUMPRODUCT((Inputs!$E$5:$E$110=$B28)*ISNUMBER(INDEX(Inputs!$K$5:$AJ$110,0,MATCH(AE$2,Inputs!$K$4:$AJ$4,0))))=0,NA(),SUMPRODUCT((Inputs!$A$5:$A$110=$B28)*Inputs!$B$5:$B$110*(((Inputs!$G$5:$G$110="moeda")+(Inputs!$G$5:$G$110="acoes"))*Inputs!$B$1+((Inputs!$G$5:$G$110&lt;&gt;"moeda")*(Inputs!$G$5:$G$110&lt;&gt;"acoes")))*INDEX(Inputs!$K$5:$AJ$110,0,MATCH(AE$2,Inputs!$K$4:$AJ$4,0)))+SUMPRODUCT((Inputs!$C$5:$C$110=$B28)*Inputs!$D$5:$D$110*(((Inputs!$G$5:$G$110="moeda")+(Inputs!$G$5:$G$110="acoes"))*Inputs!$B$1+((Inputs!$G$5:$G$110&lt;&gt;"moeda")*(Inputs!$G$5:$G$110&lt;&gt;"acoes")))*INDEX(Inputs!$K$5:$AJ$110,0,MATCH(AE$2,Inputs!$K$4:$AJ$4,0)))+SUMPRODUCT((Inputs!$E$5:$E$110=$B28)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8" s="267" t="e">
        <f>IF(ISNA(MATCH(AF$2,Inputs!$K$4:$AJ$4,0)),NA(),IF(SUMPRODUCT((Inputs!$A$5:$A$110=$B28)*ISNUMBER(INDEX(Inputs!$K$5:$AJ$110,0,MATCH(AF$2,Inputs!$K$4:$AJ$4,0))))+SUMPRODUCT((Inputs!$C$5:$C$110=$B28)*ISNUMBER(INDEX(Inputs!$K$5:$AJ$110,0,MATCH(AF$2,Inputs!$K$4:$AJ$4,0))))+SUMPRODUCT((Inputs!$E$5:$E$110=$B28)*ISNUMBER(INDEX(Inputs!$K$5:$AJ$110,0,MATCH(AF$2,Inputs!$K$4:$AJ$4,0))))=0,NA(),SUMPRODUCT((Inputs!$A$5:$A$110=$B28)*Inputs!$B$5:$B$110*(((Inputs!$G$5:$G$110="moeda")+(Inputs!$G$5:$G$110="acoes"))*Inputs!$B$1+((Inputs!$G$5:$G$110&lt;&gt;"moeda")*(Inputs!$G$5:$G$110&lt;&gt;"acoes")))*INDEX(Inputs!$K$5:$AJ$110,0,MATCH(AF$2,Inputs!$K$4:$AJ$4,0)))+SUMPRODUCT((Inputs!$C$5:$C$110=$B28)*Inputs!$D$5:$D$110*(((Inputs!$G$5:$G$110="moeda")+(Inputs!$G$5:$G$110="acoes"))*Inputs!$B$1+((Inputs!$G$5:$G$110&lt;&gt;"moeda")*(Inputs!$G$5:$G$110&lt;&gt;"acoes")))*INDEX(Inputs!$K$5:$AJ$110,0,MATCH(AF$2,Inputs!$K$4:$AJ$4,0)))+SUMPRODUCT((Inputs!$E$5:$E$110=$B28)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8" s="268" t="e">
        <f>AF28</f>
        <v>#N/A</v>
      </c>
      <c r="AH28" s="267">
        <f>IF(ISNA(MATCH(AH$2,Inputs!$K$4:$AJ$4,0)),NA(),IF(SUMPRODUCT((Inputs!$A$5:$A$110=$B28)*ISNUMBER(INDEX(Inputs!$K$5:$AJ$110,0,MATCH(AH$2,Inputs!$K$4:$AJ$4,0))))+SUMPRODUCT((Inputs!$C$5:$C$110=$B28)*ISNUMBER(INDEX(Inputs!$K$5:$AJ$110,0,MATCH(AH$2,Inputs!$K$4:$AJ$4,0))))+SUMPRODUCT((Inputs!$E$5:$E$110=$B28)*ISNUMBER(INDEX(Inputs!$K$5:$AJ$110,0,MATCH(AH$2,Inputs!$K$4:$AJ$4,0))))=0,NA(),SUMPRODUCT((Inputs!$A$5:$A$110=$B28)*Inputs!$B$5:$B$110*(((Inputs!$G$5:$G$110="moeda")+(Inputs!$G$5:$G$110="acoes"))*Inputs!$B$1+((Inputs!$G$5:$G$110&lt;&gt;"moeda")*(Inputs!$G$5:$G$110&lt;&gt;"acoes")))*INDEX(Inputs!$K$5:$AJ$110,0,MATCH(AH$2,Inputs!$K$4:$AJ$4,0)))+SUMPRODUCT((Inputs!$C$5:$C$110=$B28)*Inputs!$D$5:$D$110*(((Inputs!$G$5:$G$110="moeda")+(Inputs!$G$5:$G$110="acoes"))*Inputs!$B$1+((Inputs!$G$5:$G$110&lt;&gt;"moeda")*(Inputs!$G$5:$G$110&lt;&gt;"acoes")))*INDEX(Inputs!$K$5:$AJ$110,0,MATCH(AH$2,Inputs!$K$4:$AJ$4,0)))+SUMPRODUCT((Inputs!$E$5:$E$110=$B28)*Inputs!$F$5:$F$110*(((Inputs!$G$5:$G$110="moeda")+(Inputs!$G$5:$G$110="acoes"))*Inputs!$B$1+((Inputs!$G$5:$G$110&lt;&gt;"moeda")*(Inputs!$G$5:$G$110&lt;&gt;"acoes")))*INDEX(Inputs!$K$5:$AJ$110,0,MATCH(AH$2,Inputs!$K$4:$AJ$4,0)))))</f>
        <v>11072</v>
      </c>
      <c r="AI28" s="267">
        <f>IF(ISNA(MATCH(AI$2,Inputs!$K$4:$AJ$4,0)),NA(),IF(SUMPRODUCT((Inputs!$A$5:$A$110=$B28)*ISNUMBER(INDEX(Inputs!$K$5:$AJ$110,0,MATCH(AI$2,Inputs!$K$4:$AJ$4,0))))+SUMPRODUCT((Inputs!$C$5:$C$110=$B28)*ISNUMBER(INDEX(Inputs!$K$5:$AJ$110,0,MATCH(AI$2,Inputs!$K$4:$AJ$4,0))))+SUMPRODUCT((Inputs!$E$5:$E$110=$B28)*ISNUMBER(INDEX(Inputs!$K$5:$AJ$110,0,MATCH(AI$2,Inputs!$K$4:$AJ$4,0))))=0,NA(),SUMPRODUCT((Inputs!$A$5:$A$110=$B28)*Inputs!$B$5:$B$110*(((Inputs!$G$5:$G$110="moeda")+(Inputs!$G$5:$G$110="acoes"))*Inputs!$B$1+((Inputs!$G$5:$G$110&lt;&gt;"moeda")*(Inputs!$G$5:$G$110&lt;&gt;"acoes")))*INDEX(Inputs!$K$5:$AJ$110,0,MATCH(AI$2,Inputs!$K$4:$AJ$4,0)))+SUMPRODUCT((Inputs!$C$5:$C$110=$B28)*Inputs!$D$5:$D$110*(((Inputs!$G$5:$G$110="moeda")+(Inputs!$G$5:$G$110="acoes"))*Inputs!$B$1+((Inputs!$G$5:$G$110&lt;&gt;"moeda")*(Inputs!$G$5:$G$110&lt;&gt;"acoes")))*INDEX(Inputs!$K$5:$AJ$110,0,MATCH(AI$2,Inputs!$K$4:$AJ$4,0)))+SUMPRODUCT((Inputs!$E$5:$E$110=$B28)*Inputs!$F$5:$F$110*(((Inputs!$G$5:$G$110="moeda")+(Inputs!$G$5:$G$110="acoes"))*Inputs!$B$1+((Inputs!$G$5:$G$110&lt;&gt;"moeda")*(Inputs!$G$5:$G$110&lt;&gt;"acoes")))*INDEX(Inputs!$K$5:$AJ$110,0,MATCH(AI$2,Inputs!$K$4:$AJ$4,0)))))</f>
        <v>10813</v>
      </c>
      <c r="AJ28" s="267">
        <f>IF(ISNA(MATCH(AJ$2,Inputs!$K$4:$AJ$4,0)),NA(),IF(SUMPRODUCT((Inputs!$A$5:$A$110=$B28)*ISNUMBER(INDEX(Inputs!$K$5:$AJ$110,0,MATCH(AJ$2,Inputs!$K$4:$AJ$4,0))))+SUMPRODUCT((Inputs!$C$5:$C$110=$B28)*ISNUMBER(INDEX(Inputs!$K$5:$AJ$110,0,MATCH(AJ$2,Inputs!$K$4:$AJ$4,0))))+SUMPRODUCT((Inputs!$E$5:$E$110=$B28)*ISNUMBER(INDEX(Inputs!$K$5:$AJ$110,0,MATCH(AJ$2,Inputs!$K$4:$AJ$4,0))))=0,NA(),SUMPRODUCT((Inputs!$A$5:$A$110=$B28)*Inputs!$B$5:$B$110*(((Inputs!$G$5:$G$110="moeda")+(Inputs!$G$5:$G$110="acoes"))*Inputs!$B$1+((Inputs!$G$5:$G$110&lt;&gt;"moeda")*(Inputs!$G$5:$G$110&lt;&gt;"acoes")))*INDEX(Inputs!$K$5:$AJ$110,0,MATCH(AJ$2,Inputs!$K$4:$AJ$4,0)))+SUMPRODUCT((Inputs!$C$5:$C$110=$B28)*Inputs!$D$5:$D$110*(((Inputs!$G$5:$G$110="moeda")+(Inputs!$G$5:$G$110="acoes"))*Inputs!$B$1+((Inputs!$G$5:$G$110&lt;&gt;"moeda")*(Inputs!$G$5:$G$110&lt;&gt;"acoes")))*INDEX(Inputs!$K$5:$AJ$110,0,MATCH(AJ$2,Inputs!$K$4:$AJ$4,0)))+SUMPRODUCT((Inputs!$E$5:$E$110=$B28)*Inputs!$F$5:$F$110*(((Inputs!$G$5:$G$110="moeda")+(Inputs!$G$5:$G$110="acoes"))*Inputs!$B$1+((Inputs!$G$5:$G$110&lt;&gt;"moeda")*(Inputs!$G$5:$G$110&lt;&gt;"acoes")))*INDEX(Inputs!$K$5:$AJ$110,0,MATCH(AJ$2,Inputs!$K$4:$AJ$4,0)))))</f>
        <v>14172</v>
      </c>
      <c r="AK28" s="267">
        <f>IF(ISNA(MATCH(AK$2,Inputs!$K$4:$AJ$4,0)),NA(),IF(SUMPRODUCT((Inputs!$A$5:$A$110=$B28)*ISNUMBER(INDEX(Inputs!$K$5:$AJ$110,0,MATCH(AK$2,Inputs!$K$4:$AJ$4,0))))+SUMPRODUCT((Inputs!$C$5:$C$110=$B28)*ISNUMBER(INDEX(Inputs!$K$5:$AJ$110,0,MATCH(AK$2,Inputs!$K$4:$AJ$4,0))))+SUMPRODUCT((Inputs!$E$5:$E$110=$B28)*ISNUMBER(INDEX(Inputs!$K$5:$AJ$110,0,MATCH(AK$2,Inputs!$K$4:$AJ$4,0))))=0,NA(),SUMPRODUCT((Inputs!$A$5:$A$110=$B28)*Inputs!$B$5:$B$110*(((Inputs!$G$5:$G$110="moeda")+(Inputs!$G$5:$G$110="acoes"))*Inputs!$B$1+((Inputs!$G$5:$G$110&lt;&gt;"moeda")*(Inputs!$G$5:$G$110&lt;&gt;"acoes")))*INDEX(Inputs!$K$5:$AJ$110,0,MATCH(AK$2,Inputs!$K$4:$AJ$4,0)))+SUMPRODUCT((Inputs!$C$5:$C$110=$B28)*Inputs!$D$5:$D$110*(((Inputs!$G$5:$G$110="moeda")+(Inputs!$G$5:$G$110="acoes"))*Inputs!$B$1+((Inputs!$G$5:$G$110&lt;&gt;"moeda")*(Inputs!$G$5:$G$110&lt;&gt;"acoes")))*INDEX(Inputs!$K$5:$AJ$110,0,MATCH(AK$2,Inputs!$K$4:$AJ$4,0)))+SUMPRODUCT((Inputs!$E$5:$E$110=$B28)*Inputs!$F$5:$F$110*(((Inputs!$G$5:$G$110="moeda")+(Inputs!$G$5:$G$110="acoes"))*Inputs!$B$1+((Inputs!$G$5:$G$110&lt;&gt;"moeda")*(Inputs!$G$5:$G$110&lt;&gt;"acoes")))*INDEX(Inputs!$K$5:$AJ$110,0,MATCH(AK$2,Inputs!$K$4:$AJ$4,0)))))</f>
        <v>17014</v>
      </c>
      <c r="AL28" s="268">
        <f>AK28</f>
        <v>17014</v>
      </c>
    </row>
    <row r="29" ht="12.75" customHeight="1" s="255">
      <c r="B29" s="265" t="n">
        <v>24</v>
      </c>
      <c r="C29" s="270" t="inlineStr">
        <is>
          <t>Accrued expenses</t>
        </is>
      </c>
      <c r="D29" s="267">
        <f>IF(ISNA(MATCH(D$2,Inputs!$K$4:$AJ$4,0)),NA(),IF(SUMPRODUCT((Inputs!$A$5:$A$110=$B29)*ISNUMBER(INDEX(Inputs!$K$5:$AJ$110,0,MATCH(D$2,Inputs!$K$4:$AJ$4,0))))+SUMPRODUCT((Inputs!$C$5:$C$110=$B29)*ISNUMBER(INDEX(Inputs!$K$5:$AJ$110,0,MATCH(D$2,Inputs!$K$4:$AJ$4,0))))+SUMPRODUCT((Inputs!$E$5:$E$110=$B29)*ISNUMBER(INDEX(Inputs!$K$5:$AJ$110,0,MATCH(D$2,Inputs!$K$4:$AJ$4,0))))=0,NA(),SUMPRODUCT((Inputs!$A$5:$A$110=$B29)*Inputs!$B$5:$B$110*(((Inputs!$G$5:$G$110="moeda")+(Inputs!$G$5:$G$110="acoes"))*Inputs!$B$1+((Inputs!$G$5:$G$110&lt;&gt;"moeda")*(Inputs!$G$5:$G$110&lt;&gt;"acoes")))*INDEX(Inputs!$K$5:$AJ$110,0,MATCH(D$2,Inputs!$K$4:$AJ$4,0)))+SUMPRODUCT((Inputs!$C$5:$C$110=$B29)*Inputs!$D$5:$D$110*(((Inputs!$G$5:$G$110="moeda")+(Inputs!$G$5:$G$110="acoes"))*Inputs!$B$1+((Inputs!$G$5:$G$110&lt;&gt;"moeda")*(Inputs!$G$5:$G$110&lt;&gt;"acoes")))*INDEX(Inputs!$K$5:$AJ$110,0,MATCH(D$2,Inputs!$K$4:$AJ$4,0)))+SUMPRODUCT((Inputs!$E$5:$E$110=$B29)*Inputs!$F$5:$F$110*(((Inputs!$G$5:$G$110="moeda")+(Inputs!$G$5:$G$110="acoes"))*Inputs!$B$1+((Inputs!$G$5:$G$110&lt;&gt;"moeda")*(Inputs!$G$5:$G$110&lt;&gt;"acoes")))*INDEX(Inputs!$K$5:$AJ$110,0,MATCH(D$2,Inputs!$K$4:$AJ$4,0)))))</f>
        <v>5673</v>
      </c>
      <c r="E29" s="267">
        <f>IF(ISNA(MATCH(E$2,Inputs!$K$4:$AJ$4,0)),NA(),IF(SUMPRODUCT((Inputs!$A$5:$A$110=$B29)*ISNUMBER(INDEX(Inputs!$K$5:$AJ$110,0,MATCH(E$2,Inputs!$K$4:$AJ$4,0))))+SUMPRODUCT((Inputs!$C$5:$C$110=$B29)*ISNUMBER(INDEX(Inputs!$K$5:$AJ$110,0,MATCH(E$2,Inputs!$K$4:$AJ$4,0))))+SUMPRODUCT((Inputs!$E$5:$E$110=$B29)*ISNUMBER(INDEX(Inputs!$K$5:$AJ$110,0,MATCH(E$2,Inputs!$K$4:$AJ$4,0))))=0,NA(),SUMPRODUCT((Inputs!$A$5:$A$110=$B29)*Inputs!$B$5:$B$110*(((Inputs!$G$5:$G$110="moeda")+(Inputs!$G$5:$G$110="acoes"))*Inputs!$B$1+((Inputs!$G$5:$G$110&lt;&gt;"moeda")*(Inputs!$G$5:$G$110&lt;&gt;"acoes")))*INDEX(Inputs!$K$5:$AJ$110,0,MATCH(E$2,Inputs!$K$4:$AJ$4,0)))+SUMPRODUCT((Inputs!$C$5:$C$110=$B29)*Inputs!$D$5:$D$110*(((Inputs!$G$5:$G$110="moeda")+(Inputs!$G$5:$G$110="acoes"))*Inputs!$B$1+((Inputs!$G$5:$G$110&lt;&gt;"moeda")*(Inputs!$G$5:$G$110&lt;&gt;"acoes")))*INDEX(Inputs!$K$5:$AJ$110,0,MATCH(E$2,Inputs!$K$4:$AJ$4,0)))+SUMPRODUCT((Inputs!$E$5:$E$110=$B29)*Inputs!$F$5:$F$110*(((Inputs!$G$5:$G$110="moeda")+(Inputs!$G$5:$G$110="acoes"))*Inputs!$B$1+((Inputs!$G$5:$G$110&lt;&gt;"moeda")*(Inputs!$G$5:$G$110&lt;&gt;"acoes")))*INDEX(Inputs!$K$5:$AJ$110,0,MATCH(E$2,Inputs!$K$4:$AJ$4,0)))))</f>
        <v>5443</v>
      </c>
      <c r="F29" s="267">
        <f>IF(ISNA(MATCH(F$2,Inputs!$K$4:$AJ$4,0)),NA(),IF(SUMPRODUCT((Inputs!$A$5:$A$110=$B29)*ISNUMBER(INDEX(Inputs!$K$5:$AJ$110,0,MATCH(F$2,Inputs!$K$4:$AJ$4,0))))+SUMPRODUCT((Inputs!$C$5:$C$110=$B29)*ISNUMBER(INDEX(Inputs!$K$5:$AJ$110,0,MATCH(F$2,Inputs!$K$4:$AJ$4,0))))+SUMPRODUCT((Inputs!$E$5:$E$110=$B29)*ISNUMBER(INDEX(Inputs!$K$5:$AJ$110,0,MATCH(F$2,Inputs!$K$4:$AJ$4,0))))=0,NA(),SUMPRODUCT((Inputs!$A$5:$A$110=$B29)*Inputs!$B$5:$B$110*(((Inputs!$G$5:$G$110="moeda")+(Inputs!$G$5:$G$110="acoes"))*Inputs!$B$1+((Inputs!$G$5:$G$110&lt;&gt;"moeda")*(Inputs!$G$5:$G$110&lt;&gt;"acoes")))*INDEX(Inputs!$K$5:$AJ$110,0,MATCH(F$2,Inputs!$K$4:$AJ$4,0)))+SUMPRODUCT((Inputs!$C$5:$C$110=$B29)*Inputs!$D$5:$D$110*(((Inputs!$G$5:$G$110="moeda")+(Inputs!$G$5:$G$110="acoes"))*Inputs!$B$1+((Inputs!$G$5:$G$110&lt;&gt;"moeda")*(Inputs!$G$5:$G$110&lt;&gt;"acoes")))*INDEX(Inputs!$K$5:$AJ$110,0,MATCH(F$2,Inputs!$K$4:$AJ$4,0)))+SUMPRODUCT((Inputs!$E$5:$E$110=$B29)*Inputs!$F$5:$F$110*(((Inputs!$G$5:$G$110="moeda")+(Inputs!$G$5:$G$110="acoes"))*Inputs!$B$1+((Inputs!$G$5:$G$110&lt;&gt;"moeda")*(Inputs!$G$5:$G$110&lt;&gt;"acoes")))*INDEX(Inputs!$K$5:$AJ$110,0,MATCH(F$2,Inputs!$K$4:$AJ$4,0)))))</f>
        <v>5761</v>
      </c>
      <c r="G29" s="267">
        <f>IF(ISNA(MATCH(G$2,Inputs!$K$4:$AJ$4,0)),NA(),IF(SUMPRODUCT((Inputs!$A$5:$A$110=$B29)*ISNUMBER(INDEX(Inputs!$K$5:$AJ$110,0,MATCH(G$2,Inputs!$K$4:$AJ$4,0))))+SUMPRODUCT((Inputs!$C$5:$C$110=$B29)*ISNUMBER(INDEX(Inputs!$K$5:$AJ$110,0,MATCH(G$2,Inputs!$K$4:$AJ$4,0))))+SUMPRODUCT((Inputs!$E$5:$E$110=$B29)*ISNUMBER(INDEX(Inputs!$K$5:$AJ$110,0,MATCH(G$2,Inputs!$K$4:$AJ$4,0))))=0,NA(),SUMPRODUCT((Inputs!$A$5:$A$110=$B29)*Inputs!$B$5:$B$110*(((Inputs!$G$5:$G$110="moeda")+(Inputs!$G$5:$G$110="acoes"))*Inputs!$B$1+((Inputs!$G$5:$G$110&lt;&gt;"moeda")*(Inputs!$G$5:$G$110&lt;&gt;"acoes")))*INDEX(Inputs!$K$5:$AJ$110,0,MATCH(G$2,Inputs!$K$4:$AJ$4,0)))+SUMPRODUCT((Inputs!$C$5:$C$110=$B29)*Inputs!$D$5:$D$110*(((Inputs!$G$5:$G$110="moeda")+(Inputs!$G$5:$G$110="acoes"))*Inputs!$B$1+((Inputs!$G$5:$G$110&lt;&gt;"moeda")*(Inputs!$G$5:$G$110&lt;&gt;"acoes")))*INDEX(Inputs!$K$5:$AJ$110,0,MATCH(G$2,Inputs!$K$4:$AJ$4,0)))+SUMPRODUCT((Inputs!$E$5:$E$110=$B29)*Inputs!$F$5:$F$110*(((Inputs!$G$5:$G$110="moeda")+(Inputs!$G$5:$G$110="acoes"))*Inputs!$B$1+((Inputs!$G$5:$G$110&lt;&gt;"moeda")*(Inputs!$G$5:$G$110&lt;&gt;"acoes")))*INDEX(Inputs!$K$5:$AJ$110,0,MATCH(G$2,Inputs!$K$4:$AJ$4,0)))))</f>
        <v>5711</v>
      </c>
      <c r="H29" s="268">
        <f>G29</f>
        <v>5711</v>
      </c>
      <c r="I29" s="267">
        <f>IF(ISNA(MATCH(I$2,Inputs!$K$4:$AJ$4,0)),NA(),IF(SUMPRODUCT((Inputs!$A$5:$A$110=$B29)*ISNUMBER(INDEX(Inputs!$K$5:$AJ$110,0,MATCH(I$2,Inputs!$K$4:$AJ$4,0))))+SUMPRODUCT((Inputs!$C$5:$C$110=$B29)*ISNUMBER(INDEX(Inputs!$K$5:$AJ$110,0,MATCH(I$2,Inputs!$K$4:$AJ$4,0))))+SUMPRODUCT((Inputs!$E$5:$E$110=$B29)*ISNUMBER(INDEX(Inputs!$K$5:$AJ$110,0,MATCH(I$2,Inputs!$K$4:$AJ$4,0))))=0,NA(),SUMPRODUCT((Inputs!$A$5:$A$110=$B29)*Inputs!$B$5:$B$110*(((Inputs!$G$5:$G$110="moeda")+(Inputs!$G$5:$G$110="acoes"))*Inputs!$B$1+((Inputs!$G$5:$G$110&lt;&gt;"moeda")*(Inputs!$G$5:$G$110&lt;&gt;"acoes")))*INDEX(Inputs!$K$5:$AJ$110,0,MATCH(I$2,Inputs!$K$4:$AJ$4,0)))+SUMPRODUCT((Inputs!$C$5:$C$110=$B29)*Inputs!$D$5:$D$110*(((Inputs!$G$5:$G$110="moeda")+(Inputs!$G$5:$G$110="acoes"))*Inputs!$B$1+((Inputs!$G$5:$G$110&lt;&gt;"moeda")*(Inputs!$G$5:$G$110&lt;&gt;"acoes")))*INDEX(Inputs!$K$5:$AJ$110,0,MATCH(I$2,Inputs!$K$4:$AJ$4,0)))+SUMPRODUCT((Inputs!$E$5:$E$110=$B29)*Inputs!$F$5:$F$110*(((Inputs!$G$5:$G$110="moeda")+(Inputs!$G$5:$G$110="acoes"))*Inputs!$B$1+((Inputs!$G$5:$G$110&lt;&gt;"moeda")*(Inputs!$G$5:$G$110&lt;&gt;"acoes")))*INDEX(Inputs!$K$5:$AJ$110,0,MATCH(I$2,Inputs!$K$4:$AJ$4,0)))))</f>
        <v>6145</v>
      </c>
      <c r="J29" s="267">
        <f>IF(ISNA(MATCH(J$2,Inputs!$K$4:$AJ$4,0)),NA(),IF(SUMPRODUCT((Inputs!$A$5:$A$110=$B29)*ISNUMBER(INDEX(Inputs!$K$5:$AJ$110,0,MATCH(J$2,Inputs!$K$4:$AJ$4,0))))+SUMPRODUCT((Inputs!$C$5:$C$110=$B29)*ISNUMBER(INDEX(Inputs!$K$5:$AJ$110,0,MATCH(J$2,Inputs!$K$4:$AJ$4,0))))+SUMPRODUCT((Inputs!$E$5:$E$110=$B29)*ISNUMBER(INDEX(Inputs!$K$5:$AJ$110,0,MATCH(J$2,Inputs!$K$4:$AJ$4,0))))=0,NA(),SUMPRODUCT((Inputs!$A$5:$A$110=$B29)*Inputs!$B$5:$B$110*(((Inputs!$G$5:$G$110="moeda")+(Inputs!$G$5:$G$110="acoes"))*Inputs!$B$1+((Inputs!$G$5:$G$110&lt;&gt;"moeda")*(Inputs!$G$5:$G$110&lt;&gt;"acoes")))*INDEX(Inputs!$K$5:$AJ$110,0,MATCH(J$2,Inputs!$K$4:$AJ$4,0)))+SUMPRODUCT((Inputs!$C$5:$C$110=$B29)*Inputs!$D$5:$D$110*(((Inputs!$G$5:$G$110="moeda")+(Inputs!$G$5:$G$110="acoes"))*Inputs!$B$1+((Inputs!$G$5:$G$110&lt;&gt;"moeda")*(Inputs!$G$5:$G$110&lt;&gt;"acoes")))*INDEX(Inputs!$K$5:$AJ$110,0,MATCH(J$2,Inputs!$K$4:$AJ$4,0)))+SUMPRODUCT((Inputs!$E$5:$E$110=$B29)*Inputs!$F$5:$F$110*(((Inputs!$G$5:$G$110="moeda")+(Inputs!$G$5:$G$110="acoes"))*Inputs!$B$1+((Inputs!$G$5:$G$110&lt;&gt;"moeda")*(Inputs!$G$5:$G$110&lt;&gt;"acoes")))*INDEX(Inputs!$K$5:$AJ$110,0,MATCH(J$2,Inputs!$K$4:$AJ$4,0)))))</f>
        <v>5918</v>
      </c>
      <c r="K29" s="267">
        <f>IF(ISNA(MATCH(K$2,Inputs!$K$4:$AJ$4,0)),NA(),IF(SUMPRODUCT((Inputs!$A$5:$A$110=$B29)*ISNUMBER(INDEX(Inputs!$K$5:$AJ$110,0,MATCH(K$2,Inputs!$K$4:$AJ$4,0))))+SUMPRODUCT((Inputs!$C$5:$C$110=$B29)*ISNUMBER(INDEX(Inputs!$K$5:$AJ$110,0,MATCH(K$2,Inputs!$K$4:$AJ$4,0))))+SUMPRODUCT((Inputs!$E$5:$E$110=$B29)*ISNUMBER(INDEX(Inputs!$K$5:$AJ$110,0,MATCH(K$2,Inputs!$K$4:$AJ$4,0))))=0,NA(),SUMPRODUCT((Inputs!$A$5:$A$110=$B29)*Inputs!$B$5:$B$110*(((Inputs!$G$5:$G$110="moeda")+(Inputs!$G$5:$G$110="acoes"))*Inputs!$B$1+((Inputs!$G$5:$G$110&lt;&gt;"moeda")*(Inputs!$G$5:$G$110&lt;&gt;"acoes")))*INDEX(Inputs!$K$5:$AJ$110,0,MATCH(K$2,Inputs!$K$4:$AJ$4,0)))+SUMPRODUCT((Inputs!$C$5:$C$110=$B29)*Inputs!$D$5:$D$110*(((Inputs!$G$5:$G$110="moeda")+(Inputs!$G$5:$G$110="acoes"))*Inputs!$B$1+((Inputs!$G$5:$G$110&lt;&gt;"moeda")*(Inputs!$G$5:$G$110&lt;&gt;"acoes")))*INDEX(Inputs!$K$5:$AJ$110,0,MATCH(K$2,Inputs!$K$4:$AJ$4,0)))+SUMPRODUCT((Inputs!$E$5:$E$110=$B29)*Inputs!$F$5:$F$110*(((Inputs!$G$5:$G$110="moeda")+(Inputs!$G$5:$G$110="acoes"))*Inputs!$B$1+((Inputs!$G$5:$G$110&lt;&gt;"moeda")*(Inputs!$G$5:$G$110&lt;&gt;"acoes")))*INDEX(Inputs!$K$5:$AJ$110,0,MATCH(K$2,Inputs!$K$4:$AJ$4,0)))))</f>
        <v>6292</v>
      </c>
      <c r="L29" s="267">
        <f>IF(ISNA(MATCH(L$2,Inputs!$K$4:$AJ$4,0)),NA(),IF(SUMPRODUCT((Inputs!$A$5:$A$110=$B29)*ISNUMBER(INDEX(Inputs!$K$5:$AJ$110,0,MATCH(L$2,Inputs!$K$4:$AJ$4,0))))+SUMPRODUCT((Inputs!$C$5:$C$110=$B29)*ISNUMBER(INDEX(Inputs!$K$5:$AJ$110,0,MATCH(L$2,Inputs!$K$4:$AJ$4,0))))+SUMPRODUCT((Inputs!$E$5:$E$110=$B29)*ISNUMBER(INDEX(Inputs!$K$5:$AJ$110,0,MATCH(L$2,Inputs!$K$4:$AJ$4,0))))=0,NA(),SUMPRODUCT((Inputs!$A$5:$A$110=$B29)*Inputs!$B$5:$B$110*(((Inputs!$G$5:$G$110="moeda")+(Inputs!$G$5:$G$110="acoes"))*Inputs!$B$1+((Inputs!$G$5:$G$110&lt;&gt;"moeda")*(Inputs!$G$5:$G$110&lt;&gt;"acoes")))*INDEX(Inputs!$K$5:$AJ$110,0,MATCH(L$2,Inputs!$K$4:$AJ$4,0)))+SUMPRODUCT((Inputs!$C$5:$C$110=$B29)*Inputs!$D$5:$D$110*(((Inputs!$G$5:$G$110="moeda")+(Inputs!$G$5:$G$110="acoes"))*Inputs!$B$1+((Inputs!$G$5:$G$110&lt;&gt;"moeda")*(Inputs!$G$5:$G$110&lt;&gt;"acoes")))*INDEX(Inputs!$K$5:$AJ$110,0,MATCH(L$2,Inputs!$K$4:$AJ$4,0)))+SUMPRODUCT((Inputs!$E$5:$E$110=$B29)*Inputs!$F$5:$F$110*(((Inputs!$G$5:$G$110="moeda")+(Inputs!$G$5:$G$110="acoes"))*Inputs!$B$1+((Inputs!$G$5:$G$110&lt;&gt;"moeda")*(Inputs!$G$5:$G$110&lt;&gt;"acoes")))*INDEX(Inputs!$K$5:$AJ$110,0,MATCH(L$2,Inputs!$K$4:$AJ$4,0)))))</f>
        <v>6276</v>
      </c>
      <c r="M29" s="268">
        <f>L29</f>
        <v>6276</v>
      </c>
      <c r="N29" s="267">
        <f>IF(ISNA(MATCH(N$2,Inputs!$K$4:$AJ$4,0)),NA(),IF(SUMPRODUCT((Inputs!$A$5:$A$110=$B29)*ISNUMBER(INDEX(Inputs!$K$5:$AJ$110,0,MATCH(N$2,Inputs!$K$4:$AJ$4,0))))+SUMPRODUCT((Inputs!$C$5:$C$110=$B29)*ISNUMBER(INDEX(Inputs!$K$5:$AJ$110,0,MATCH(N$2,Inputs!$K$4:$AJ$4,0))))+SUMPRODUCT((Inputs!$E$5:$E$110=$B29)*ISNUMBER(INDEX(Inputs!$K$5:$AJ$110,0,MATCH(N$2,Inputs!$K$4:$AJ$4,0))))=0,NA(),SUMPRODUCT((Inputs!$A$5:$A$110=$B29)*Inputs!$B$5:$B$110*(((Inputs!$G$5:$G$110="moeda")+(Inputs!$G$5:$G$110="acoes"))*Inputs!$B$1+((Inputs!$G$5:$G$110&lt;&gt;"moeda")*(Inputs!$G$5:$G$110&lt;&gt;"acoes")))*INDEX(Inputs!$K$5:$AJ$110,0,MATCH(N$2,Inputs!$K$4:$AJ$4,0)))+SUMPRODUCT((Inputs!$C$5:$C$110=$B29)*Inputs!$D$5:$D$110*(((Inputs!$G$5:$G$110="moeda")+(Inputs!$G$5:$G$110="acoes"))*Inputs!$B$1+((Inputs!$G$5:$G$110&lt;&gt;"moeda")*(Inputs!$G$5:$G$110&lt;&gt;"acoes")))*INDEX(Inputs!$K$5:$AJ$110,0,MATCH(N$2,Inputs!$K$4:$AJ$4,0)))+SUMPRODUCT((Inputs!$E$5:$E$110=$B29)*Inputs!$F$5:$F$110*(((Inputs!$G$5:$G$110="moeda")+(Inputs!$G$5:$G$110="acoes"))*Inputs!$B$1+((Inputs!$G$5:$G$110&lt;&gt;"moeda")*(Inputs!$G$5:$G$110&lt;&gt;"acoes")))*INDEX(Inputs!$K$5:$AJ$110,0,MATCH(N$2,Inputs!$K$4:$AJ$4,0)))))</f>
        <v>6499</v>
      </c>
      <c r="O29" s="267">
        <f>IF(ISNA(MATCH(O$2,Inputs!$K$4:$AJ$4,0)),NA(),IF(SUMPRODUCT((Inputs!$A$5:$A$110=$B29)*ISNUMBER(INDEX(Inputs!$K$5:$AJ$110,0,MATCH(O$2,Inputs!$K$4:$AJ$4,0))))+SUMPRODUCT((Inputs!$C$5:$C$110=$B29)*ISNUMBER(INDEX(Inputs!$K$5:$AJ$110,0,MATCH(O$2,Inputs!$K$4:$AJ$4,0))))+SUMPRODUCT((Inputs!$E$5:$E$110=$B29)*ISNUMBER(INDEX(Inputs!$K$5:$AJ$110,0,MATCH(O$2,Inputs!$K$4:$AJ$4,0))))=0,NA(),SUMPRODUCT((Inputs!$A$5:$A$110=$B29)*Inputs!$B$5:$B$110*(((Inputs!$G$5:$G$110="moeda")+(Inputs!$G$5:$G$110="acoes"))*Inputs!$B$1+((Inputs!$G$5:$G$110&lt;&gt;"moeda")*(Inputs!$G$5:$G$110&lt;&gt;"acoes")))*INDEX(Inputs!$K$5:$AJ$110,0,MATCH(O$2,Inputs!$K$4:$AJ$4,0)))+SUMPRODUCT((Inputs!$C$5:$C$110=$B29)*Inputs!$D$5:$D$110*(((Inputs!$G$5:$G$110="moeda")+(Inputs!$G$5:$G$110="acoes"))*Inputs!$B$1+((Inputs!$G$5:$G$110&lt;&gt;"moeda")*(Inputs!$G$5:$G$110&lt;&gt;"acoes")))*INDEX(Inputs!$K$5:$AJ$110,0,MATCH(O$2,Inputs!$K$4:$AJ$4,0)))+SUMPRODUCT((Inputs!$E$5:$E$110=$B29)*Inputs!$F$5:$F$110*(((Inputs!$G$5:$G$110="moeda")+(Inputs!$G$5:$G$110="acoes"))*Inputs!$B$1+((Inputs!$G$5:$G$110&lt;&gt;"moeda")*(Inputs!$G$5:$G$110&lt;&gt;"acoes")))*INDEX(Inputs!$K$5:$AJ$110,0,MATCH(O$2,Inputs!$K$4:$AJ$4,0)))))</f>
        <v>6193</v>
      </c>
      <c r="P29" s="267">
        <f>IF(ISNA(MATCH(P$2,Inputs!$K$4:$AJ$4,0)),NA(),IF(SUMPRODUCT((Inputs!$A$5:$A$110=$B29)*ISNUMBER(INDEX(Inputs!$K$5:$AJ$110,0,MATCH(P$2,Inputs!$K$4:$AJ$4,0))))+SUMPRODUCT((Inputs!$C$5:$C$110=$B29)*ISNUMBER(INDEX(Inputs!$K$5:$AJ$110,0,MATCH(P$2,Inputs!$K$4:$AJ$4,0))))+SUMPRODUCT((Inputs!$E$5:$E$110=$B29)*ISNUMBER(INDEX(Inputs!$K$5:$AJ$110,0,MATCH(P$2,Inputs!$K$4:$AJ$4,0))))=0,NA(),SUMPRODUCT((Inputs!$A$5:$A$110=$B29)*Inputs!$B$5:$B$110*(((Inputs!$G$5:$G$110="moeda")+(Inputs!$G$5:$G$110="acoes"))*Inputs!$B$1+((Inputs!$G$5:$G$110&lt;&gt;"moeda")*(Inputs!$G$5:$G$110&lt;&gt;"acoes")))*INDEX(Inputs!$K$5:$AJ$110,0,MATCH(P$2,Inputs!$K$4:$AJ$4,0)))+SUMPRODUCT((Inputs!$C$5:$C$110=$B29)*Inputs!$D$5:$D$110*(((Inputs!$G$5:$G$110="moeda")+(Inputs!$G$5:$G$110="acoes"))*Inputs!$B$1+((Inputs!$G$5:$G$110&lt;&gt;"moeda")*(Inputs!$G$5:$G$110&lt;&gt;"acoes")))*INDEX(Inputs!$K$5:$AJ$110,0,MATCH(P$2,Inputs!$K$4:$AJ$4,0)))+SUMPRODUCT((Inputs!$E$5:$E$110=$B29)*Inputs!$F$5:$F$110*(((Inputs!$G$5:$G$110="moeda")+(Inputs!$G$5:$G$110="acoes"))*Inputs!$B$1+((Inputs!$G$5:$G$110&lt;&gt;"moeda")*(Inputs!$G$5:$G$110&lt;&gt;"acoes")))*INDEX(Inputs!$K$5:$AJ$110,0,MATCH(P$2,Inputs!$K$4:$AJ$4,0)))))</f>
        <v>6428</v>
      </c>
      <c r="Q29" s="267">
        <f>IF(ISNA(MATCH(Q$2,Inputs!$K$4:$AJ$4,0)),NA(),IF(SUMPRODUCT((Inputs!$A$5:$A$110=$B29)*ISNUMBER(INDEX(Inputs!$K$5:$AJ$110,0,MATCH(Q$2,Inputs!$K$4:$AJ$4,0))))+SUMPRODUCT((Inputs!$C$5:$C$110=$B29)*ISNUMBER(INDEX(Inputs!$K$5:$AJ$110,0,MATCH(Q$2,Inputs!$K$4:$AJ$4,0))))+SUMPRODUCT((Inputs!$E$5:$E$110=$B29)*ISNUMBER(INDEX(Inputs!$K$5:$AJ$110,0,MATCH(Q$2,Inputs!$K$4:$AJ$4,0))))=0,NA(),SUMPRODUCT((Inputs!$A$5:$A$110=$B29)*Inputs!$B$5:$B$110*(((Inputs!$G$5:$G$110="moeda")+(Inputs!$G$5:$G$110="acoes"))*Inputs!$B$1+((Inputs!$G$5:$G$110&lt;&gt;"moeda")*(Inputs!$G$5:$G$110&lt;&gt;"acoes")))*INDEX(Inputs!$K$5:$AJ$110,0,MATCH(Q$2,Inputs!$K$4:$AJ$4,0)))+SUMPRODUCT((Inputs!$C$5:$C$110=$B29)*Inputs!$D$5:$D$110*(((Inputs!$G$5:$G$110="moeda")+(Inputs!$G$5:$G$110="acoes"))*Inputs!$B$1+((Inputs!$G$5:$G$110&lt;&gt;"moeda")*(Inputs!$G$5:$G$110&lt;&gt;"acoes")))*INDEX(Inputs!$K$5:$AJ$110,0,MATCH(Q$2,Inputs!$K$4:$AJ$4,0)))+SUMPRODUCT((Inputs!$E$5:$E$110=$B29)*Inputs!$F$5:$F$110*(((Inputs!$G$5:$G$110="moeda")+(Inputs!$G$5:$G$110="acoes"))*Inputs!$B$1+((Inputs!$G$5:$G$110&lt;&gt;"moeda")*(Inputs!$G$5:$G$110&lt;&gt;"acoes")))*INDEX(Inputs!$K$5:$AJ$110,0,MATCH(Q$2,Inputs!$K$4:$AJ$4,0)))))</f>
        <v>6681</v>
      </c>
      <c r="R29" s="268">
        <f>Q29</f>
        <v>6681</v>
      </c>
      <c r="S29" s="267">
        <f>IF(ISNA(MATCH(S$2,Inputs!$K$4:$AJ$4,0)),NA(),IF(SUMPRODUCT((Inputs!$A$5:$A$110=$B29)*ISNUMBER(INDEX(Inputs!$K$5:$AJ$110,0,MATCH(S$2,Inputs!$K$4:$AJ$4,0))))+SUMPRODUCT((Inputs!$C$5:$C$110=$B29)*ISNUMBER(INDEX(Inputs!$K$5:$AJ$110,0,MATCH(S$2,Inputs!$K$4:$AJ$4,0))))+SUMPRODUCT((Inputs!$E$5:$E$110=$B29)*ISNUMBER(INDEX(Inputs!$K$5:$AJ$110,0,MATCH(S$2,Inputs!$K$4:$AJ$4,0))))=0,NA(),SUMPRODUCT((Inputs!$A$5:$A$110=$B29)*Inputs!$B$5:$B$110*(((Inputs!$G$5:$G$110="moeda")+(Inputs!$G$5:$G$110="acoes"))*Inputs!$B$1+((Inputs!$G$5:$G$110&lt;&gt;"moeda")*(Inputs!$G$5:$G$110&lt;&gt;"acoes")))*INDEX(Inputs!$K$5:$AJ$110,0,MATCH(S$2,Inputs!$K$4:$AJ$4,0)))+SUMPRODUCT((Inputs!$C$5:$C$110=$B29)*Inputs!$D$5:$D$110*(((Inputs!$G$5:$G$110="moeda")+(Inputs!$G$5:$G$110="acoes"))*Inputs!$B$1+((Inputs!$G$5:$G$110&lt;&gt;"moeda")*(Inputs!$G$5:$G$110&lt;&gt;"acoes")))*INDEX(Inputs!$K$5:$AJ$110,0,MATCH(S$2,Inputs!$K$4:$AJ$4,0)))+SUMPRODUCT((Inputs!$E$5:$E$110=$B29)*Inputs!$F$5:$F$110*(((Inputs!$G$5:$G$110="moeda")+(Inputs!$G$5:$G$110="acoes"))*Inputs!$B$1+((Inputs!$G$5:$G$110&lt;&gt;"moeda")*(Inputs!$G$5:$G$110&lt;&gt;"acoes")))*INDEX(Inputs!$K$5:$AJ$110,0,MATCH(S$2,Inputs!$K$4:$AJ$4,0)))))</f>
        <v>7069</v>
      </c>
      <c r="T29" s="267">
        <f>IF(ISNA(MATCH(T$2,Inputs!$K$4:$AJ$4,0)),NA(),IF(SUMPRODUCT((Inputs!$A$5:$A$110=$B29)*ISNUMBER(INDEX(Inputs!$K$5:$AJ$110,0,MATCH(T$2,Inputs!$K$4:$AJ$4,0))))+SUMPRODUCT((Inputs!$C$5:$C$110=$B29)*ISNUMBER(INDEX(Inputs!$K$5:$AJ$110,0,MATCH(T$2,Inputs!$K$4:$AJ$4,0))))+SUMPRODUCT((Inputs!$E$5:$E$110=$B29)*ISNUMBER(INDEX(Inputs!$K$5:$AJ$110,0,MATCH(T$2,Inputs!$K$4:$AJ$4,0))))=0,NA(),SUMPRODUCT((Inputs!$A$5:$A$110=$B29)*Inputs!$B$5:$B$110*(((Inputs!$G$5:$G$110="moeda")+(Inputs!$G$5:$G$110="acoes"))*Inputs!$B$1+((Inputs!$G$5:$G$110&lt;&gt;"moeda")*(Inputs!$G$5:$G$110&lt;&gt;"acoes")))*INDEX(Inputs!$K$5:$AJ$110,0,MATCH(T$2,Inputs!$K$4:$AJ$4,0)))+SUMPRODUCT((Inputs!$C$5:$C$110=$B29)*Inputs!$D$5:$D$110*(((Inputs!$G$5:$G$110="moeda")+(Inputs!$G$5:$G$110="acoes"))*Inputs!$B$1+((Inputs!$G$5:$G$110&lt;&gt;"moeda")*(Inputs!$G$5:$G$110&lt;&gt;"acoes")))*INDEX(Inputs!$K$5:$AJ$110,0,MATCH(T$2,Inputs!$K$4:$AJ$4,0)))+SUMPRODUCT((Inputs!$E$5:$E$110=$B29)*Inputs!$F$5:$F$110*(((Inputs!$G$5:$G$110="moeda")+(Inputs!$G$5:$G$110="acoes"))*Inputs!$B$1+((Inputs!$G$5:$G$110&lt;&gt;"moeda")*(Inputs!$G$5:$G$110&lt;&gt;"acoes")))*INDEX(Inputs!$K$5:$AJ$110,0,MATCH(T$2,Inputs!$K$4:$AJ$4,0)))))</f>
        <v>6704</v>
      </c>
      <c r="U29" s="267">
        <f>IF(ISNA(MATCH(U$2,Inputs!$K$4:$AJ$4,0)),NA(),IF(SUMPRODUCT((Inputs!$A$5:$A$110=$B29)*ISNUMBER(INDEX(Inputs!$K$5:$AJ$110,0,MATCH(U$2,Inputs!$K$4:$AJ$4,0))))+SUMPRODUCT((Inputs!$C$5:$C$110=$B29)*ISNUMBER(INDEX(Inputs!$K$5:$AJ$110,0,MATCH(U$2,Inputs!$K$4:$AJ$4,0))))+SUMPRODUCT((Inputs!$E$5:$E$110=$B29)*ISNUMBER(INDEX(Inputs!$K$5:$AJ$110,0,MATCH(U$2,Inputs!$K$4:$AJ$4,0))))=0,NA(),SUMPRODUCT((Inputs!$A$5:$A$110=$B29)*Inputs!$B$5:$B$110*(((Inputs!$G$5:$G$110="moeda")+(Inputs!$G$5:$G$110="acoes"))*Inputs!$B$1+((Inputs!$G$5:$G$110&lt;&gt;"moeda")*(Inputs!$G$5:$G$110&lt;&gt;"acoes")))*INDEX(Inputs!$K$5:$AJ$110,0,MATCH(U$2,Inputs!$K$4:$AJ$4,0)))+SUMPRODUCT((Inputs!$C$5:$C$110=$B29)*Inputs!$D$5:$D$110*(((Inputs!$G$5:$G$110="moeda")+(Inputs!$G$5:$G$110="acoes"))*Inputs!$B$1+((Inputs!$G$5:$G$110&lt;&gt;"moeda")*(Inputs!$G$5:$G$110&lt;&gt;"acoes")))*INDEX(Inputs!$K$5:$AJ$110,0,MATCH(U$2,Inputs!$K$4:$AJ$4,0)))+SUMPRODUCT((Inputs!$E$5:$E$110=$B29)*Inputs!$F$5:$F$110*(((Inputs!$G$5:$G$110="moeda")+(Inputs!$G$5:$G$110="acoes"))*Inputs!$B$1+((Inputs!$G$5:$G$110&lt;&gt;"moeda")*(Inputs!$G$5:$G$110&lt;&gt;"acoes")))*INDEX(Inputs!$K$5:$AJ$110,0,MATCH(U$2,Inputs!$K$4:$AJ$4,0)))))</f>
        <v>7229</v>
      </c>
      <c r="V29" s="267">
        <f>IF(ISNA(MATCH(V$2,Inputs!$K$4:$AJ$4,0)),NA(),IF(SUMPRODUCT((Inputs!$A$5:$A$110=$B29)*ISNUMBER(INDEX(Inputs!$K$5:$AJ$110,0,MATCH(V$2,Inputs!$K$4:$AJ$4,0))))+SUMPRODUCT((Inputs!$C$5:$C$110=$B29)*ISNUMBER(INDEX(Inputs!$K$5:$AJ$110,0,MATCH(V$2,Inputs!$K$4:$AJ$4,0))))+SUMPRODUCT((Inputs!$E$5:$E$110=$B29)*ISNUMBER(INDEX(Inputs!$K$5:$AJ$110,0,MATCH(V$2,Inputs!$K$4:$AJ$4,0))))=0,NA(),SUMPRODUCT((Inputs!$A$5:$A$110=$B29)*Inputs!$B$5:$B$110*(((Inputs!$G$5:$G$110="moeda")+(Inputs!$G$5:$G$110="acoes"))*Inputs!$B$1+((Inputs!$G$5:$G$110&lt;&gt;"moeda")*(Inputs!$G$5:$G$110&lt;&gt;"acoes")))*INDEX(Inputs!$K$5:$AJ$110,0,MATCH(V$2,Inputs!$K$4:$AJ$4,0)))+SUMPRODUCT((Inputs!$C$5:$C$110=$B29)*Inputs!$D$5:$D$110*(((Inputs!$G$5:$G$110="moeda")+(Inputs!$G$5:$G$110="acoes"))*Inputs!$B$1+((Inputs!$G$5:$G$110&lt;&gt;"moeda")*(Inputs!$G$5:$G$110&lt;&gt;"acoes")))*INDEX(Inputs!$K$5:$AJ$110,0,MATCH(V$2,Inputs!$K$4:$AJ$4,0)))+SUMPRODUCT((Inputs!$E$5:$E$110=$B29)*Inputs!$F$5:$F$110*(((Inputs!$G$5:$G$110="moeda")+(Inputs!$G$5:$G$110="acoes"))*Inputs!$B$1+((Inputs!$G$5:$G$110&lt;&gt;"moeda")*(Inputs!$G$5:$G$110&lt;&gt;"acoes")))*INDEX(Inputs!$K$5:$AJ$110,0,MATCH(V$2,Inputs!$K$4:$AJ$4,0)))))</f>
        <v>7229</v>
      </c>
      <c r="W29" s="268">
        <f>V29</f>
        <v>7229</v>
      </c>
      <c r="X29" s="267">
        <f>IF(ISNA(MATCH(X$2,Inputs!$K$4:$AJ$4,0)),NA(),IF(SUMPRODUCT((Inputs!$A$5:$A$110=$B29)*ISNUMBER(INDEX(Inputs!$K$5:$AJ$110,0,MATCH(X$2,Inputs!$K$4:$AJ$4,0))))+SUMPRODUCT((Inputs!$C$5:$C$110=$B29)*ISNUMBER(INDEX(Inputs!$K$5:$AJ$110,0,MATCH(X$2,Inputs!$K$4:$AJ$4,0))))+SUMPRODUCT((Inputs!$E$5:$E$110=$B29)*ISNUMBER(INDEX(Inputs!$K$5:$AJ$110,0,MATCH(X$2,Inputs!$K$4:$AJ$4,0))))=0,NA(),SUMPRODUCT((Inputs!$A$5:$A$110=$B29)*Inputs!$B$5:$B$110*(((Inputs!$G$5:$G$110="moeda")+(Inputs!$G$5:$G$110="acoes"))*Inputs!$B$1+((Inputs!$G$5:$G$110&lt;&gt;"moeda")*(Inputs!$G$5:$G$110&lt;&gt;"acoes")))*INDEX(Inputs!$K$5:$AJ$110,0,MATCH(X$2,Inputs!$K$4:$AJ$4,0)))+SUMPRODUCT((Inputs!$C$5:$C$110=$B29)*Inputs!$D$5:$D$110*(((Inputs!$G$5:$G$110="moeda")+(Inputs!$G$5:$G$110="acoes"))*Inputs!$B$1+((Inputs!$G$5:$G$110&lt;&gt;"moeda")*(Inputs!$G$5:$G$110&lt;&gt;"acoes")))*INDEX(Inputs!$K$5:$AJ$110,0,MATCH(X$2,Inputs!$K$4:$AJ$4,0)))+SUMPRODUCT((Inputs!$E$5:$E$110=$B29)*Inputs!$F$5:$F$110*(((Inputs!$G$5:$G$110="moeda")+(Inputs!$G$5:$G$110="acoes"))*Inputs!$B$1+((Inputs!$G$5:$G$110&lt;&gt;"moeda")*(Inputs!$G$5:$G$110&lt;&gt;"acoes")))*INDEX(Inputs!$K$5:$AJ$110,0,MATCH(X$2,Inputs!$K$4:$AJ$4,0)))))</f>
        <v>7641</v>
      </c>
      <c r="Y29" s="267">
        <f>IF(ISNA(MATCH(Y$2,Inputs!$K$4:$AJ$4,0)),NA(),IF(SUMPRODUCT((Inputs!$A$5:$A$110=$B29)*ISNUMBER(INDEX(Inputs!$K$5:$AJ$110,0,MATCH(Y$2,Inputs!$K$4:$AJ$4,0))))+SUMPRODUCT((Inputs!$C$5:$C$110=$B29)*ISNUMBER(INDEX(Inputs!$K$5:$AJ$110,0,MATCH(Y$2,Inputs!$K$4:$AJ$4,0))))+SUMPRODUCT((Inputs!$E$5:$E$110=$B29)*ISNUMBER(INDEX(Inputs!$K$5:$AJ$110,0,MATCH(Y$2,Inputs!$K$4:$AJ$4,0))))=0,NA(),SUMPRODUCT((Inputs!$A$5:$A$110=$B29)*Inputs!$B$5:$B$110*(((Inputs!$G$5:$G$110="moeda")+(Inputs!$G$5:$G$110="acoes"))*Inputs!$B$1+((Inputs!$G$5:$G$110&lt;&gt;"moeda")*(Inputs!$G$5:$G$110&lt;&gt;"acoes")))*INDEX(Inputs!$K$5:$AJ$110,0,MATCH(Y$2,Inputs!$K$4:$AJ$4,0)))+SUMPRODUCT((Inputs!$C$5:$C$110=$B29)*Inputs!$D$5:$D$110*(((Inputs!$G$5:$G$110="moeda")+(Inputs!$G$5:$G$110="acoes"))*Inputs!$B$1+((Inputs!$G$5:$G$110&lt;&gt;"moeda")*(Inputs!$G$5:$G$110&lt;&gt;"acoes")))*INDEX(Inputs!$K$5:$AJ$110,0,MATCH(Y$2,Inputs!$K$4:$AJ$4,0)))+SUMPRODUCT((Inputs!$E$5:$E$110=$B29)*Inputs!$F$5:$F$110*(((Inputs!$G$5:$G$110="moeda")+(Inputs!$G$5:$G$110="acoes"))*Inputs!$B$1+((Inputs!$G$5:$G$110&lt;&gt;"moeda")*(Inputs!$G$5:$G$110&lt;&gt;"acoes")))*INDEX(Inputs!$K$5:$AJ$110,0,MATCH(Y$2,Inputs!$K$4:$AJ$4,0)))))</f>
        <v>7396</v>
      </c>
      <c r="Z29" s="267">
        <f>IF(ISNA(MATCH(Z$2,Inputs!$K$4:$AJ$4,0)),NA(),IF(SUMPRODUCT((Inputs!$A$5:$A$110=$B29)*ISNUMBER(INDEX(Inputs!$K$5:$AJ$110,0,MATCH(Z$2,Inputs!$K$4:$AJ$4,0))))+SUMPRODUCT((Inputs!$C$5:$C$110=$B29)*ISNUMBER(INDEX(Inputs!$K$5:$AJ$110,0,MATCH(Z$2,Inputs!$K$4:$AJ$4,0))))+SUMPRODUCT((Inputs!$E$5:$E$110=$B29)*ISNUMBER(INDEX(Inputs!$K$5:$AJ$110,0,MATCH(Z$2,Inputs!$K$4:$AJ$4,0))))=0,NA(),SUMPRODUCT((Inputs!$A$5:$A$110=$B29)*Inputs!$B$5:$B$110*(((Inputs!$G$5:$G$110="moeda")+(Inputs!$G$5:$G$110="acoes"))*Inputs!$B$1+((Inputs!$G$5:$G$110&lt;&gt;"moeda")*(Inputs!$G$5:$G$110&lt;&gt;"acoes")))*INDEX(Inputs!$K$5:$AJ$110,0,MATCH(Z$2,Inputs!$K$4:$AJ$4,0)))+SUMPRODUCT((Inputs!$C$5:$C$110=$B29)*Inputs!$D$5:$D$110*(((Inputs!$G$5:$G$110="moeda")+(Inputs!$G$5:$G$110="acoes"))*Inputs!$B$1+((Inputs!$G$5:$G$110&lt;&gt;"moeda")*(Inputs!$G$5:$G$110&lt;&gt;"acoes")))*INDEX(Inputs!$K$5:$AJ$110,0,MATCH(Z$2,Inputs!$K$4:$AJ$4,0)))+SUMPRODUCT((Inputs!$E$5:$E$110=$B29)*Inputs!$F$5:$F$110*(((Inputs!$G$5:$G$110="moeda")+(Inputs!$G$5:$G$110="acoes"))*Inputs!$B$1+((Inputs!$G$5:$G$110&lt;&gt;"moeda")*(Inputs!$G$5:$G$110&lt;&gt;"acoes")))*INDEX(Inputs!$K$5:$AJ$110,0,MATCH(Z$2,Inputs!$K$4:$AJ$4,0)))))</f>
        <v>7882</v>
      </c>
      <c r="AA29" s="267">
        <f>IF(ISNA(MATCH(AA$2,Inputs!$K$4:$AJ$4,0)),NA(),IF(SUMPRODUCT((Inputs!$A$5:$A$110=$B29)*ISNUMBER(INDEX(Inputs!$K$5:$AJ$110,0,MATCH(AA$2,Inputs!$K$4:$AJ$4,0))))+SUMPRODUCT((Inputs!$C$5:$C$110=$B29)*ISNUMBER(INDEX(Inputs!$K$5:$AJ$110,0,MATCH(AA$2,Inputs!$K$4:$AJ$4,0))))+SUMPRODUCT((Inputs!$E$5:$E$110=$B29)*ISNUMBER(INDEX(Inputs!$K$5:$AJ$110,0,MATCH(AA$2,Inputs!$K$4:$AJ$4,0))))=0,NA(),SUMPRODUCT((Inputs!$A$5:$A$110=$B29)*Inputs!$B$5:$B$110*(((Inputs!$G$5:$G$110="moeda")+(Inputs!$G$5:$G$110="acoes"))*Inputs!$B$1+((Inputs!$G$5:$G$110&lt;&gt;"moeda")*(Inputs!$G$5:$G$110&lt;&gt;"acoes")))*INDEX(Inputs!$K$5:$AJ$110,0,MATCH(AA$2,Inputs!$K$4:$AJ$4,0)))+SUMPRODUCT((Inputs!$C$5:$C$110=$B29)*Inputs!$D$5:$D$110*(((Inputs!$G$5:$G$110="moeda")+(Inputs!$G$5:$G$110="acoes"))*Inputs!$B$1+((Inputs!$G$5:$G$110&lt;&gt;"moeda")*(Inputs!$G$5:$G$110&lt;&gt;"acoes")))*INDEX(Inputs!$K$5:$AJ$110,0,MATCH(AA$2,Inputs!$K$4:$AJ$4,0)))+SUMPRODUCT((Inputs!$E$5:$E$110=$B29)*Inputs!$F$5:$F$110*(((Inputs!$G$5:$G$110="moeda")+(Inputs!$G$5:$G$110="acoes"))*Inputs!$B$1+((Inputs!$G$5:$G$110&lt;&gt;"moeda")*(Inputs!$G$5:$G$110&lt;&gt;"acoes")))*INDEX(Inputs!$K$5:$AJ$110,0,MATCH(AA$2,Inputs!$K$4:$AJ$4,0)))))</f>
        <v>7884</v>
      </c>
      <c r="AB29" s="268">
        <f>AA29</f>
        <v>7884</v>
      </c>
      <c r="AC29" s="267">
        <f>IF(ISNA(MATCH(AC$2,Inputs!$K$4:$AJ$4,0)),NA(),IF(SUMPRODUCT((Inputs!$A$5:$A$110=$B29)*ISNUMBER(INDEX(Inputs!$K$5:$AJ$110,0,MATCH(AC$2,Inputs!$K$4:$AJ$4,0))))+SUMPRODUCT((Inputs!$C$5:$C$110=$B29)*ISNUMBER(INDEX(Inputs!$K$5:$AJ$110,0,MATCH(AC$2,Inputs!$K$4:$AJ$4,0))))+SUMPRODUCT((Inputs!$E$5:$E$110=$B29)*ISNUMBER(INDEX(Inputs!$K$5:$AJ$110,0,MATCH(AC$2,Inputs!$K$4:$AJ$4,0))))=0,NA(),SUMPRODUCT((Inputs!$A$5:$A$110=$B29)*Inputs!$B$5:$B$110*(((Inputs!$G$5:$G$110="moeda")+(Inputs!$G$5:$G$110="acoes"))*Inputs!$B$1+((Inputs!$G$5:$G$110&lt;&gt;"moeda")*(Inputs!$G$5:$G$110&lt;&gt;"acoes")))*INDEX(Inputs!$K$5:$AJ$110,0,MATCH(AC$2,Inputs!$K$4:$AJ$4,0)))+SUMPRODUCT((Inputs!$C$5:$C$110=$B29)*Inputs!$D$5:$D$110*(((Inputs!$G$5:$G$110="moeda")+(Inputs!$G$5:$G$110="acoes"))*Inputs!$B$1+((Inputs!$G$5:$G$110&lt;&gt;"moeda")*(Inputs!$G$5:$G$110&lt;&gt;"acoes")))*INDEX(Inputs!$K$5:$AJ$110,0,MATCH(AC$2,Inputs!$K$4:$AJ$4,0)))+SUMPRODUCT((Inputs!$E$5:$E$110=$B29)*Inputs!$F$5:$F$110*(((Inputs!$G$5:$G$110="moeda")+(Inputs!$G$5:$G$110="acoes"))*Inputs!$B$1+((Inputs!$G$5:$G$110&lt;&gt;"moeda")*(Inputs!$G$5:$G$110&lt;&gt;"acoes")))*INDEX(Inputs!$K$5:$AJ$110,0,MATCH(AC$2,Inputs!$K$4:$AJ$4,0)))))</f>
        <v>8468</v>
      </c>
      <c r="AD29" s="267">
        <f>IF(ISNA(MATCH(AD$2,Inputs!$K$4:$AJ$4,0)),NA(),IF(SUMPRODUCT((Inputs!$A$5:$A$110=$B29)*ISNUMBER(INDEX(Inputs!$K$5:$AJ$110,0,MATCH(AD$2,Inputs!$K$4:$AJ$4,0))))+SUMPRODUCT((Inputs!$C$5:$C$110=$B29)*ISNUMBER(INDEX(Inputs!$K$5:$AJ$110,0,MATCH(AD$2,Inputs!$K$4:$AJ$4,0))))+SUMPRODUCT((Inputs!$E$5:$E$110=$B29)*ISNUMBER(INDEX(Inputs!$K$5:$AJ$110,0,MATCH(AD$2,Inputs!$K$4:$AJ$4,0))))=0,NA(),SUMPRODUCT((Inputs!$A$5:$A$110=$B29)*Inputs!$B$5:$B$110*(((Inputs!$G$5:$G$110="moeda")+(Inputs!$G$5:$G$110="acoes"))*Inputs!$B$1+((Inputs!$G$5:$G$110&lt;&gt;"moeda")*(Inputs!$G$5:$G$110&lt;&gt;"acoes")))*INDEX(Inputs!$K$5:$AJ$110,0,MATCH(AD$2,Inputs!$K$4:$AJ$4,0)))+SUMPRODUCT((Inputs!$C$5:$C$110=$B29)*Inputs!$D$5:$D$110*(((Inputs!$G$5:$G$110="moeda")+(Inputs!$G$5:$G$110="acoes"))*Inputs!$B$1+((Inputs!$G$5:$G$110&lt;&gt;"moeda")*(Inputs!$G$5:$G$110&lt;&gt;"acoes")))*INDEX(Inputs!$K$5:$AJ$110,0,MATCH(AD$2,Inputs!$K$4:$AJ$4,0)))+SUMPRODUCT((Inputs!$E$5:$E$110=$B29)*Inputs!$F$5:$F$110*(((Inputs!$G$5:$G$110="moeda")+(Inputs!$G$5:$G$110="acoes"))*Inputs!$B$1+((Inputs!$G$5:$G$110&lt;&gt;"moeda")*(Inputs!$G$5:$G$110&lt;&gt;"acoes")))*INDEX(Inputs!$K$5:$AJ$110,0,MATCH(AD$2,Inputs!$K$4:$AJ$4,0)))))</f>
        <v>8166</v>
      </c>
      <c r="AE29" s="267" t="e">
        <f>IF(ISNA(MATCH(AE$2,Inputs!$K$4:$AJ$4,0)),NA(),IF(SUMPRODUCT((Inputs!$A$5:$A$110=$B29)*ISNUMBER(INDEX(Inputs!$K$5:$AJ$110,0,MATCH(AE$2,Inputs!$K$4:$AJ$4,0))))+SUMPRODUCT((Inputs!$C$5:$C$110=$B29)*ISNUMBER(INDEX(Inputs!$K$5:$AJ$110,0,MATCH(AE$2,Inputs!$K$4:$AJ$4,0))))+SUMPRODUCT((Inputs!$E$5:$E$110=$B29)*ISNUMBER(INDEX(Inputs!$K$5:$AJ$110,0,MATCH(AE$2,Inputs!$K$4:$AJ$4,0))))=0,NA(),SUMPRODUCT((Inputs!$A$5:$A$110=$B29)*Inputs!$B$5:$B$110*(((Inputs!$G$5:$G$110="moeda")+(Inputs!$G$5:$G$110="acoes"))*Inputs!$B$1+((Inputs!$G$5:$G$110&lt;&gt;"moeda")*(Inputs!$G$5:$G$110&lt;&gt;"acoes")))*INDEX(Inputs!$K$5:$AJ$110,0,MATCH(AE$2,Inputs!$K$4:$AJ$4,0)))+SUMPRODUCT((Inputs!$C$5:$C$110=$B29)*Inputs!$D$5:$D$110*(((Inputs!$G$5:$G$110="moeda")+(Inputs!$G$5:$G$110="acoes"))*Inputs!$B$1+((Inputs!$G$5:$G$110&lt;&gt;"moeda")*(Inputs!$G$5:$G$110&lt;&gt;"acoes")))*INDEX(Inputs!$K$5:$AJ$110,0,MATCH(AE$2,Inputs!$K$4:$AJ$4,0)))+SUMPRODUCT((Inputs!$E$5:$E$110=$B29)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9" s="267" t="e">
        <f>IF(ISNA(MATCH(AF$2,Inputs!$K$4:$AJ$4,0)),NA(),IF(SUMPRODUCT((Inputs!$A$5:$A$110=$B29)*ISNUMBER(INDEX(Inputs!$K$5:$AJ$110,0,MATCH(AF$2,Inputs!$K$4:$AJ$4,0))))+SUMPRODUCT((Inputs!$C$5:$C$110=$B29)*ISNUMBER(INDEX(Inputs!$K$5:$AJ$110,0,MATCH(AF$2,Inputs!$K$4:$AJ$4,0))))+SUMPRODUCT((Inputs!$E$5:$E$110=$B29)*ISNUMBER(INDEX(Inputs!$K$5:$AJ$110,0,MATCH(AF$2,Inputs!$K$4:$AJ$4,0))))=0,NA(),SUMPRODUCT((Inputs!$A$5:$A$110=$B29)*Inputs!$B$5:$B$110*(((Inputs!$G$5:$G$110="moeda")+(Inputs!$G$5:$G$110="acoes"))*Inputs!$B$1+((Inputs!$G$5:$G$110&lt;&gt;"moeda")*(Inputs!$G$5:$G$110&lt;&gt;"acoes")))*INDEX(Inputs!$K$5:$AJ$110,0,MATCH(AF$2,Inputs!$K$4:$AJ$4,0)))+SUMPRODUCT((Inputs!$C$5:$C$110=$B29)*Inputs!$D$5:$D$110*(((Inputs!$G$5:$G$110="moeda")+(Inputs!$G$5:$G$110="acoes"))*Inputs!$B$1+((Inputs!$G$5:$G$110&lt;&gt;"moeda")*(Inputs!$G$5:$G$110&lt;&gt;"acoes")))*INDEX(Inputs!$K$5:$AJ$110,0,MATCH(AF$2,Inputs!$K$4:$AJ$4,0)))+SUMPRODUCT((Inputs!$E$5:$E$110=$B29)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9" s="268" t="e">
        <f>AF29</f>
        <v>#N/A</v>
      </c>
      <c r="AH29" s="267">
        <f>IF(ISNA(MATCH(AH$2,Inputs!$K$4:$AJ$4,0)),NA(),IF(SUMPRODUCT((Inputs!$A$5:$A$110=$B29)*ISNUMBER(INDEX(Inputs!$K$5:$AJ$110,0,MATCH(AH$2,Inputs!$K$4:$AJ$4,0))))+SUMPRODUCT((Inputs!$C$5:$C$110=$B29)*ISNUMBER(INDEX(Inputs!$K$5:$AJ$110,0,MATCH(AH$2,Inputs!$K$4:$AJ$4,0))))+SUMPRODUCT((Inputs!$E$5:$E$110=$B29)*ISNUMBER(INDEX(Inputs!$K$5:$AJ$110,0,MATCH(AH$2,Inputs!$K$4:$AJ$4,0))))=0,NA(),SUMPRODUCT((Inputs!$A$5:$A$110=$B29)*Inputs!$B$5:$B$110*(((Inputs!$G$5:$G$110="moeda")+(Inputs!$G$5:$G$110="acoes"))*Inputs!$B$1+((Inputs!$G$5:$G$110&lt;&gt;"moeda")*(Inputs!$G$5:$G$110&lt;&gt;"acoes")))*INDEX(Inputs!$K$5:$AJ$110,0,MATCH(AH$2,Inputs!$K$4:$AJ$4,0)))+SUMPRODUCT((Inputs!$C$5:$C$110=$B29)*Inputs!$D$5:$D$110*(((Inputs!$G$5:$G$110="moeda")+(Inputs!$G$5:$G$110="acoes"))*Inputs!$B$1+((Inputs!$G$5:$G$110&lt;&gt;"moeda")*(Inputs!$G$5:$G$110&lt;&gt;"acoes")))*INDEX(Inputs!$K$5:$AJ$110,0,MATCH(AH$2,Inputs!$K$4:$AJ$4,0)))+SUMPRODUCT((Inputs!$E$5:$E$110=$B29)*Inputs!$F$5:$F$110*(((Inputs!$G$5:$G$110="moeda")+(Inputs!$G$5:$G$110="acoes"))*Inputs!$B$1+((Inputs!$G$5:$G$110&lt;&gt;"moeda")*(Inputs!$G$5:$G$110&lt;&gt;"acoes")))*INDEX(Inputs!$K$5:$AJ$110,0,MATCH(AH$2,Inputs!$K$4:$AJ$4,0)))))</f>
        <v>3415</v>
      </c>
      <c r="AI29" s="267">
        <f>IF(ISNA(MATCH(AI$2,Inputs!$K$4:$AJ$4,0)),NA(),IF(SUMPRODUCT((Inputs!$A$5:$A$110=$B29)*ISNUMBER(INDEX(Inputs!$K$5:$AJ$110,0,MATCH(AI$2,Inputs!$K$4:$AJ$4,0))))+SUMPRODUCT((Inputs!$C$5:$C$110=$B29)*ISNUMBER(INDEX(Inputs!$K$5:$AJ$110,0,MATCH(AI$2,Inputs!$K$4:$AJ$4,0))))+SUMPRODUCT((Inputs!$E$5:$E$110=$B29)*ISNUMBER(INDEX(Inputs!$K$5:$AJ$110,0,MATCH(AI$2,Inputs!$K$4:$AJ$4,0))))=0,NA(),SUMPRODUCT((Inputs!$A$5:$A$110=$B29)*Inputs!$B$5:$B$110*(((Inputs!$G$5:$G$110="moeda")+(Inputs!$G$5:$G$110="acoes"))*Inputs!$B$1+((Inputs!$G$5:$G$110&lt;&gt;"moeda")*(Inputs!$G$5:$G$110&lt;&gt;"acoes")))*INDEX(Inputs!$K$5:$AJ$110,0,MATCH(AI$2,Inputs!$K$4:$AJ$4,0)))+SUMPRODUCT((Inputs!$C$5:$C$110=$B29)*Inputs!$D$5:$D$110*(((Inputs!$G$5:$G$110="moeda")+(Inputs!$G$5:$G$110="acoes"))*Inputs!$B$1+((Inputs!$G$5:$G$110&lt;&gt;"moeda")*(Inputs!$G$5:$G$110&lt;&gt;"acoes")))*INDEX(Inputs!$K$5:$AJ$110,0,MATCH(AI$2,Inputs!$K$4:$AJ$4,0)))+SUMPRODUCT((Inputs!$E$5:$E$110=$B29)*Inputs!$F$5:$F$110*(((Inputs!$G$5:$G$110="moeda")+(Inputs!$G$5:$G$110="acoes"))*Inputs!$B$1+((Inputs!$G$5:$G$110&lt;&gt;"moeda")*(Inputs!$G$5:$G$110&lt;&gt;"acoes")))*INDEX(Inputs!$K$5:$AJ$110,0,MATCH(AI$2,Inputs!$K$4:$AJ$4,0)))))</f>
        <v>3246</v>
      </c>
      <c r="AJ29" s="267">
        <f>IF(ISNA(MATCH(AJ$2,Inputs!$K$4:$AJ$4,0)),NA(),IF(SUMPRODUCT((Inputs!$A$5:$A$110=$B29)*ISNUMBER(INDEX(Inputs!$K$5:$AJ$110,0,MATCH(AJ$2,Inputs!$K$4:$AJ$4,0))))+SUMPRODUCT((Inputs!$C$5:$C$110=$B29)*ISNUMBER(INDEX(Inputs!$K$5:$AJ$110,0,MATCH(AJ$2,Inputs!$K$4:$AJ$4,0))))+SUMPRODUCT((Inputs!$E$5:$E$110=$B29)*ISNUMBER(INDEX(Inputs!$K$5:$AJ$110,0,MATCH(AJ$2,Inputs!$K$4:$AJ$4,0))))=0,NA(),SUMPRODUCT((Inputs!$A$5:$A$110=$B29)*Inputs!$B$5:$B$110*(((Inputs!$G$5:$G$110="moeda")+(Inputs!$G$5:$G$110="acoes"))*Inputs!$B$1+((Inputs!$G$5:$G$110&lt;&gt;"moeda")*(Inputs!$G$5:$G$110&lt;&gt;"acoes")))*INDEX(Inputs!$K$5:$AJ$110,0,MATCH(AJ$2,Inputs!$K$4:$AJ$4,0)))+SUMPRODUCT((Inputs!$C$5:$C$110=$B29)*Inputs!$D$5:$D$110*(((Inputs!$G$5:$G$110="moeda")+(Inputs!$G$5:$G$110="acoes"))*Inputs!$B$1+((Inputs!$G$5:$G$110&lt;&gt;"moeda")*(Inputs!$G$5:$G$110&lt;&gt;"acoes")))*INDEX(Inputs!$K$5:$AJ$110,0,MATCH(AJ$2,Inputs!$K$4:$AJ$4,0)))+SUMPRODUCT((Inputs!$E$5:$E$110=$B29)*Inputs!$F$5:$F$110*(((Inputs!$G$5:$G$110="moeda")+(Inputs!$G$5:$G$110="acoes"))*Inputs!$B$1+((Inputs!$G$5:$G$110&lt;&gt;"moeda")*(Inputs!$G$5:$G$110&lt;&gt;"acoes")))*INDEX(Inputs!$K$5:$AJ$110,0,MATCH(AJ$2,Inputs!$K$4:$AJ$4,0)))))</f>
        <v>3605</v>
      </c>
      <c r="AK29" s="267">
        <f>IF(ISNA(MATCH(AK$2,Inputs!$K$4:$AJ$4,0)),NA(),IF(SUMPRODUCT((Inputs!$A$5:$A$110=$B29)*ISNUMBER(INDEX(Inputs!$K$5:$AJ$110,0,MATCH(AK$2,Inputs!$K$4:$AJ$4,0))))+SUMPRODUCT((Inputs!$C$5:$C$110=$B29)*ISNUMBER(INDEX(Inputs!$K$5:$AJ$110,0,MATCH(AK$2,Inputs!$K$4:$AJ$4,0))))+SUMPRODUCT((Inputs!$E$5:$E$110=$B29)*ISNUMBER(INDEX(Inputs!$K$5:$AJ$110,0,MATCH(AK$2,Inputs!$K$4:$AJ$4,0))))=0,NA(),SUMPRODUCT((Inputs!$A$5:$A$110=$B29)*Inputs!$B$5:$B$110*(((Inputs!$G$5:$G$110="moeda")+(Inputs!$G$5:$G$110="acoes"))*Inputs!$B$1+((Inputs!$G$5:$G$110&lt;&gt;"moeda")*(Inputs!$G$5:$G$110&lt;&gt;"acoes")))*INDEX(Inputs!$K$5:$AJ$110,0,MATCH(AK$2,Inputs!$K$4:$AJ$4,0)))+SUMPRODUCT((Inputs!$C$5:$C$110=$B29)*Inputs!$D$5:$D$110*(((Inputs!$G$5:$G$110="moeda")+(Inputs!$G$5:$G$110="acoes"))*Inputs!$B$1+((Inputs!$G$5:$G$110&lt;&gt;"moeda")*(Inputs!$G$5:$G$110&lt;&gt;"acoes")))*INDEX(Inputs!$K$5:$AJ$110,0,MATCH(AK$2,Inputs!$K$4:$AJ$4,0)))+SUMPRODUCT((Inputs!$E$5:$E$110=$B29)*Inputs!$F$5:$F$110*(((Inputs!$G$5:$G$110="moeda")+(Inputs!$G$5:$G$110="acoes"))*Inputs!$B$1+((Inputs!$G$5:$G$110&lt;&gt;"moeda")*(Inputs!$G$5:$G$110&lt;&gt;"acoes")))*INDEX(Inputs!$K$5:$AJ$110,0,MATCH(AK$2,Inputs!$K$4:$AJ$4,0)))))</f>
        <v>5037</v>
      </c>
      <c r="AL29" s="268">
        <f>AK29</f>
        <v>5037</v>
      </c>
    </row>
    <row r="30" ht="12.75" customHeight="1" s="255">
      <c r="B30" s="265" t="n">
        <v>25</v>
      </c>
      <c r="C30" s="270" t="inlineStr">
        <is>
          <t>Taxes payable</t>
        </is>
      </c>
      <c r="D30" s="267">
        <f>IF(ISNA(MATCH(D$2,Inputs!$K$4:$AJ$4,0)),NA(),IF(SUMPRODUCT((Inputs!$A$5:$A$110=$B30)*ISNUMBER(INDEX(Inputs!$K$5:$AJ$110,0,MATCH(D$2,Inputs!$K$4:$AJ$4,0))))+SUMPRODUCT((Inputs!$C$5:$C$110=$B30)*ISNUMBER(INDEX(Inputs!$K$5:$AJ$110,0,MATCH(D$2,Inputs!$K$4:$AJ$4,0))))+SUMPRODUCT((Inputs!$E$5:$E$110=$B30)*ISNUMBER(INDEX(Inputs!$K$5:$AJ$110,0,MATCH(D$2,Inputs!$K$4:$AJ$4,0))))=0,NA(),SUMPRODUCT((Inputs!$A$5:$A$110=$B30)*Inputs!$B$5:$B$110*(((Inputs!$G$5:$G$110="moeda")+(Inputs!$G$5:$G$110="acoes"))*Inputs!$B$1+((Inputs!$G$5:$G$110&lt;&gt;"moeda")*(Inputs!$G$5:$G$110&lt;&gt;"acoes")))*INDEX(Inputs!$K$5:$AJ$110,0,MATCH(D$2,Inputs!$K$4:$AJ$4,0)))+SUMPRODUCT((Inputs!$C$5:$C$110=$B30)*Inputs!$D$5:$D$110*(((Inputs!$G$5:$G$110="moeda")+(Inputs!$G$5:$G$110="acoes"))*Inputs!$B$1+((Inputs!$G$5:$G$110&lt;&gt;"moeda")*(Inputs!$G$5:$G$110&lt;&gt;"acoes")))*INDEX(Inputs!$K$5:$AJ$110,0,MATCH(D$2,Inputs!$K$4:$AJ$4,0)))+SUMPRODUCT((Inputs!$E$5:$E$110=$B30)*Inputs!$F$5:$F$110*(((Inputs!$G$5:$G$110="moeda")+(Inputs!$G$5:$G$110="acoes"))*Inputs!$B$1+((Inputs!$G$5:$G$110&lt;&gt;"moeda")*(Inputs!$G$5:$G$110&lt;&gt;"acoes")))*INDEX(Inputs!$K$5:$AJ$110,0,MATCH(D$2,Inputs!$K$4:$AJ$4,0)))))</f>
        <v>0</v>
      </c>
      <c r="E30" s="267">
        <f>IF(ISNA(MATCH(E$2,Inputs!$K$4:$AJ$4,0)),NA(),IF(SUMPRODUCT((Inputs!$A$5:$A$110=$B30)*ISNUMBER(INDEX(Inputs!$K$5:$AJ$110,0,MATCH(E$2,Inputs!$K$4:$AJ$4,0))))+SUMPRODUCT((Inputs!$C$5:$C$110=$B30)*ISNUMBER(INDEX(Inputs!$K$5:$AJ$110,0,MATCH(E$2,Inputs!$K$4:$AJ$4,0))))+SUMPRODUCT((Inputs!$E$5:$E$110=$B30)*ISNUMBER(INDEX(Inputs!$K$5:$AJ$110,0,MATCH(E$2,Inputs!$K$4:$AJ$4,0))))=0,NA(),SUMPRODUCT((Inputs!$A$5:$A$110=$B30)*Inputs!$B$5:$B$110*(((Inputs!$G$5:$G$110="moeda")+(Inputs!$G$5:$G$110="acoes"))*Inputs!$B$1+((Inputs!$G$5:$G$110&lt;&gt;"moeda")*(Inputs!$G$5:$G$110&lt;&gt;"acoes")))*INDEX(Inputs!$K$5:$AJ$110,0,MATCH(E$2,Inputs!$K$4:$AJ$4,0)))+SUMPRODUCT((Inputs!$C$5:$C$110=$B30)*Inputs!$D$5:$D$110*(((Inputs!$G$5:$G$110="moeda")+(Inputs!$G$5:$G$110="acoes"))*Inputs!$B$1+((Inputs!$G$5:$G$110&lt;&gt;"moeda")*(Inputs!$G$5:$G$110&lt;&gt;"acoes")))*INDEX(Inputs!$K$5:$AJ$110,0,MATCH(E$2,Inputs!$K$4:$AJ$4,0)))+SUMPRODUCT((Inputs!$E$5:$E$110=$B30)*Inputs!$F$5:$F$110*(((Inputs!$G$5:$G$110="moeda")+(Inputs!$G$5:$G$110="acoes"))*Inputs!$B$1+((Inputs!$G$5:$G$110&lt;&gt;"moeda")*(Inputs!$G$5:$G$110&lt;&gt;"acoes")))*INDEX(Inputs!$K$5:$AJ$110,0,MATCH(E$2,Inputs!$K$4:$AJ$4,0)))))</f>
        <v>0</v>
      </c>
      <c r="F30" s="267">
        <f>IF(ISNA(MATCH(F$2,Inputs!$K$4:$AJ$4,0)),NA(),IF(SUMPRODUCT((Inputs!$A$5:$A$110=$B30)*ISNUMBER(INDEX(Inputs!$K$5:$AJ$110,0,MATCH(F$2,Inputs!$K$4:$AJ$4,0))))+SUMPRODUCT((Inputs!$C$5:$C$110=$B30)*ISNUMBER(INDEX(Inputs!$K$5:$AJ$110,0,MATCH(F$2,Inputs!$K$4:$AJ$4,0))))+SUMPRODUCT((Inputs!$E$5:$E$110=$B30)*ISNUMBER(INDEX(Inputs!$K$5:$AJ$110,0,MATCH(F$2,Inputs!$K$4:$AJ$4,0))))=0,NA(),SUMPRODUCT((Inputs!$A$5:$A$110=$B30)*Inputs!$B$5:$B$110*(((Inputs!$G$5:$G$110="moeda")+(Inputs!$G$5:$G$110="acoes"))*Inputs!$B$1+((Inputs!$G$5:$G$110&lt;&gt;"moeda")*(Inputs!$G$5:$G$110&lt;&gt;"acoes")))*INDEX(Inputs!$K$5:$AJ$110,0,MATCH(F$2,Inputs!$K$4:$AJ$4,0)))+SUMPRODUCT((Inputs!$C$5:$C$110=$B30)*Inputs!$D$5:$D$110*(((Inputs!$G$5:$G$110="moeda")+(Inputs!$G$5:$G$110="acoes"))*Inputs!$B$1+((Inputs!$G$5:$G$110&lt;&gt;"moeda")*(Inputs!$G$5:$G$110&lt;&gt;"acoes")))*INDEX(Inputs!$K$5:$AJ$110,0,MATCH(F$2,Inputs!$K$4:$AJ$4,0)))+SUMPRODUCT((Inputs!$E$5:$E$110=$B30)*Inputs!$F$5:$F$110*(((Inputs!$G$5:$G$110="moeda")+(Inputs!$G$5:$G$110="acoes"))*Inputs!$B$1+((Inputs!$G$5:$G$110&lt;&gt;"moeda")*(Inputs!$G$5:$G$110&lt;&gt;"acoes")))*INDEX(Inputs!$K$5:$AJ$110,0,MATCH(F$2,Inputs!$K$4:$AJ$4,0)))))</f>
        <v>0</v>
      </c>
      <c r="G30" s="267">
        <f>IF(ISNA(MATCH(G$2,Inputs!$K$4:$AJ$4,0)),NA(),IF(SUMPRODUCT((Inputs!$A$5:$A$110=$B30)*ISNUMBER(INDEX(Inputs!$K$5:$AJ$110,0,MATCH(G$2,Inputs!$K$4:$AJ$4,0))))+SUMPRODUCT((Inputs!$C$5:$C$110=$B30)*ISNUMBER(INDEX(Inputs!$K$5:$AJ$110,0,MATCH(G$2,Inputs!$K$4:$AJ$4,0))))+SUMPRODUCT((Inputs!$E$5:$E$110=$B30)*ISNUMBER(INDEX(Inputs!$K$5:$AJ$110,0,MATCH(G$2,Inputs!$K$4:$AJ$4,0))))=0,NA(),SUMPRODUCT((Inputs!$A$5:$A$110=$B30)*Inputs!$B$5:$B$110*(((Inputs!$G$5:$G$110="moeda")+(Inputs!$G$5:$G$110="acoes"))*Inputs!$B$1+((Inputs!$G$5:$G$110&lt;&gt;"moeda")*(Inputs!$G$5:$G$110&lt;&gt;"acoes")))*INDEX(Inputs!$K$5:$AJ$110,0,MATCH(G$2,Inputs!$K$4:$AJ$4,0)))+SUMPRODUCT((Inputs!$C$5:$C$110=$B30)*Inputs!$D$5:$D$110*(((Inputs!$G$5:$G$110="moeda")+(Inputs!$G$5:$G$110="acoes"))*Inputs!$B$1+((Inputs!$G$5:$G$110&lt;&gt;"moeda")*(Inputs!$G$5:$G$110&lt;&gt;"acoes")))*INDEX(Inputs!$K$5:$AJ$110,0,MATCH(G$2,Inputs!$K$4:$AJ$4,0)))+SUMPRODUCT((Inputs!$E$5:$E$110=$B30)*Inputs!$F$5:$F$110*(((Inputs!$G$5:$G$110="moeda")+(Inputs!$G$5:$G$110="acoes"))*Inputs!$B$1+((Inputs!$G$5:$G$110&lt;&gt;"moeda")*(Inputs!$G$5:$G$110&lt;&gt;"acoes")))*INDEX(Inputs!$K$5:$AJ$110,0,MATCH(G$2,Inputs!$K$4:$AJ$4,0)))))</f>
        <v>0</v>
      </c>
      <c r="H30" s="268">
        <f>G30</f>
        <v>0</v>
      </c>
      <c r="I30" s="267">
        <f>IF(ISNA(MATCH(I$2,Inputs!$K$4:$AJ$4,0)),NA(),IF(SUMPRODUCT((Inputs!$A$5:$A$110=$B30)*ISNUMBER(INDEX(Inputs!$K$5:$AJ$110,0,MATCH(I$2,Inputs!$K$4:$AJ$4,0))))+SUMPRODUCT((Inputs!$C$5:$C$110=$B30)*ISNUMBER(INDEX(Inputs!$K$5:$AJ$110,0,MATCH(I$2,Inputs!$K$4:$AJ$4,0))))+SUMPRODUCT((Inputs!$E$5:$E$110=$B30)*ISNUMBER(INDEX(Inputs!$K$5:$AJ$110,0,MATCH(I$2,Inputs!$K$4:$AJ$4,0))))=0,NA(),SUMPRODUCT((Inputs!$A$5:$A$110=$B30)*Inputs!$B$5:$B$110*(((Inputs!$G$5:$G$110="moeda")+(Inputs!$G$5:$G$110="acoes"))*Inputs!$B$1+((Inputs!$G$5:$G$110&lt;&gt;"moeda")*(Inputs!$G$5:$G$110&lt;&gt;"acoes")))*INDEX(Inputs!$K$5:$AJ$110,0,MATCH(I$2,Inputs!$K$4:$AJ$4,0)))+SUMPRODUCT((Inputs!$C$5:$C$110=$B30)*Inputs!$D$5:$D$110*(((Inputs!$G$5:$G$110="moeda")+(Inputs!$G$5:$G$110="acoes"))*Inputs!$B$1+((Inputs!$G$5:$G$110&lt;&gt;"moeda")*(Inputs!$G$5:$G$110&lt;&gt;"acoes")))*INDEX(Inputs!$K$5:$AJ$110,0,MATCH(I$2,Inputs!$K$4:$AJ$4,0)))+SUMPRODUCT((Inputs!$E$5:$E$110=$B30)*Inputs!$F$5:$F$110*(((Inputs!$G$5:$G$110="moeda")+(Inputs!$G$5:$G$110="acoes"))*Inputs!$B$1+((Inputs!$G$5:$G$110&lt;&gt;"moeda")*(Inputs!$G$5:$G$110&lt;&gt;"acoes")))*INDEX(Inputs!$K$5:$AJ$110,0,MATCH(I$2,Inputs!$K$4:$AJ$4,0)))))</f>
        <v>0</v>
      </c>
      <c r="J30" s="267">
        <f>IF(ISNA(MATCH(J$2,Inputs!$K$4:$AJ$4,0)),NA(),IF(SUMPRODUCT((Inputs!$A$5:$A$110=$B30)*ISNUMBER(INDEX(Inputs!$K$5:$AJ$110,0,MATCH(J$2,Inputs!$K$4:$AJ$4,0))))+SUMPRODUCT((Inputs!$C$5:$C$110=$B30)*ISNUMBER(INDEX(Inputs!$K$5:$AJ$110,0,MATCH(J$2,Inputs!$K$4:$AJ$4,0))))+SUMPRODUCT((Inputs!$E$5:$E$110=$B30)*ISNUMBER(INDEX(Inputs!$K$5:$AJ$110,0,MATCH(J$2,Inputs!$K$4:$AJ$4,0))))=0,NA(),SUMPRODUCT((Inputs!$A$5:$A$110=$B30)*Inputs!$B$5:$B$110*(((Inputs!$G$5:$G$110="moeda")+(Inputs!$G$5:$G$110="acoes"))*Inputs!$B$1+((Inputs!$G$5:$G$110&lt;&gt;"moeda")*(Inputs!$G$5:$G$110&lt;&gt;"acoes")))*INDEX(Inputs!$K$5:$AJ$110,0,MATCH(J$2,Inputs!$K$4:$AJ$4,0)))+SUMPRODUCT((Inputs!$C$5:$C$110=$B30)*Inputs!$D$5:$D$110*(((Inputs!$G$5:$G$110="moeda")+(Inputs!$G$5:$G$110="acoes"))*Inputs!$B$1+((Inputs!$G$5:$G$110&lt;&gt;"moeda")*(Inputs!$G$5:$G$110&lt;&gt;"acoes")))*INDEX(Inputs!$K$5:$AJ$110,0,MATCH(J$2,Inputs!$K$4:$AJ$4,0)))+SUMPRODUCT((Inputs!$E$5:$E$110=$B30)*Inputs!$F$5:$F$110*(((Inputs!$G$5:$G$110="moeda")+(Inputs!$G$5:$G$110="acoes"))*Inputs!$B$1+((Inputs!$G$5:$G$110&lt;&gt;"moeda")*(Inputs!$G$5:$G$110&lt;&gt;"acoes")))*INDEX(Inputs!$K$5:$AJ$110,0,MATCH(J$2,Inputs!$K$4:$AJ$4,0)))))</f>
        <v>0</v>
      </c>
      <c r="K30" s="267">
        <f>IF(ISNA(MATCH(K$2,Inputs!$K$4:$AJ$4,0)),NA(),IF(SUMPRODUCT((Inputs!$A$5:$A$110=$B30)*ISNUMBER(INDEX(Inputs!$K$5:$AJ$110,0,MATCH(K$2,Inputs!$K$4:$AJ$4,0))))+SUMPRODUCT((Inputs!$C$5:$C$110=$B30)*ISNUMBER(INDEX(Inputs!$K$5:$AJ$110,0,MATCH(K$2,Inputs!$K$4:$AJ$4,0))))+SUMPRODUCT((Inputs!$E$5:$E$110=$B30)*ISNUMBER(INDEX(Inputs!$K$5:$AJ$110,0,MATCH(K$2,Inputs!$K$4:$AJ$4,0))))=0,NA(),SUMPRODUCT((Inputs!$A$5:$A$110=$B30)*Inputs!$B$5:$B$110*(((Inputs!$G$5:$G$110="moeda")+(Inputs!$G$5:$G$110="acoes"))*Inputs!$B$1+((Inputs!$G$5:$G$110&lt;&gt;"moeda")*(Inputs!$G$5:$G$110&lt;&gt;"acoes")))*INDEX(Inputs!$K$5:$AJ$110,0,MATCH(K$2,Inputs!$K$4:$AJ$4,0)))+SUMPRODUCT((Inputs!$C$5:$C$110=$B30)*Inputs!$D$5:$D$110*(((Inputs!$G$5:$G$110="moeda")+(Inputs!$G$5:$G$110="acoes"))*Inputs!$B$1+((Inputs!$G$5:$G$110&lt;&gt;"moeda")*(Inputs!$G$5:$G$110&lt;&gt;"acoes")))*INDEX(Inputs!$K$5:$AJ$110,0,MATCH(K$2,Inputs!$K$4:$AJ$4,0)))+SUMPRODUCT((Inputs!$E$5:$E$110=$B30)*Inputs!$F$5:$F$110*(((Inputs!$G$5:$G$110="moeda")+(Inputs!$G$5:$G$110="acoes"))*Inputs!$B$1+((Inputs!$G$5:$G$110&lt;&gt;"moeda")*(Inputs!$G$5:$G$110&lt;&gt;"acoes")))*INDEX(Inputs!$K$5:$AJ$110,0,MATCH(K$2,Inputs!$K$4:$AJ$4,0)))))</f>
        <v>0</v>
      </c>
      <c r="L30" s="267">
        <f>IF(ISNA(MATCH(L$2,Inputs!$K$4:$AJ$4,0)),NA(),IF(SUMPRODUCT((Inputs!$A$5:$A$110=$B30)*ISNUMBER(INDEX(Inputs!$K$5:$AJ$110,0,MATCH(L$2,Inputs!$K$4:$AJ$4,0))))+SUMPRODUCT((Inputs!$C$5:$C$110=$B30)*ISNUMBER(INDEX(Inputs!$K$5:$AJ$110,0,MATCH(L$2,Inputs!$K$4:$AJ$4,0))))+SUMPRODUCT((Inputs!$E$5:$E$110=$B30)*ISNUMBER(INDEX(Inputs!$K$5:$AJ$110,0,MATCH(L$2,Inputs!$K$4:$AJ$4,0))))=0,NA(),SUMPRODUCT((Inputs!$A$5:$A$110=$B30)*Inputs!$B$5:$B$110*(((Inputs!$G$5:$G$110="moeda")+(Inputs!$G$5:$G$110="acoes"))*Inputs!$B$1+((Inputs!$G$5:$G$110&lt;&gt;"moeda")*(Inputs!$G$5:$G$110&lt;&gt;"acoes")))*INDEX(Inputs!$K$5:$AJ$110,0,MATCH(L$2,Inputs!$K$4:$AJ$4,0)))+SUMPRODUCT((Inputs!$C$5:$C$110=$B30)*Inputs!$D$5:$D$110*(((Inputs!$G$5:$G$110="moeda")+(Inputs!$G$5:$G$110="acoes"))*Inputs!$B$1+((Inputs!$G$5:$G$110&lt;&gt;"moeda")*(Inputs!$G$5:$G$110&lt;&gt;"acoes")))*INDEX(Inputs!$K$5:$AJ$110,0,MATCH(L$2,Inputs!$K$4:$AJ$4,0)))+SUMPRODUCT((Inputs!$E$5:$E$110=$B30)*Inputs!$F$5:$F$110*(((Inputs!$G$5:$G$110="moeda")+(Inputs!$G$5:$G$110="acoes"))*Inputs!$B$1+((Inputs!$G$5:$G$110&lt;&gt;"moeda")*(Inputs!$G$5:$G$110&lt;&gt;"acoes")))*INDEX(Inputs!$K$5:$AJ$110,0,MATCH(L$2,Inputs!$K$4:$AJ$4,0)))))</f>
        <v>0</v>
      </c>
      <c r="M30" s="268">
        <f>L30</f>
        <v>0</v>
      </c>
      <c r="N30" s="267">
        <f>IF(ISNA(MATCH(N$2,Inputs!$K$4:$AJ$4,0)),NA(),IF(SUMPRODUCT((Inputs!$A$5:$A$110=$B30)*ISNUMBER(INDEX(Inputs!$K$5:$AJ$110,0,MATCH(N$2,Inputs!$K$4:$AJ$4,0))))+SUMPRODUCT((Inputs!$C$5:$C$110=$B30)*ISNUMBER(INDEX(Inputs!$K$5:$AJ$110,0,MATCH(N$2,Inputs!$K$4:$AJ$4,0))))+SUMPRODUCT((Inputs!$E$5:$E$110=$B30)*ISNUMBER(INDEX(Inputs!$K$5:$AJ$110,0,MATCH(N$2,Inputs!$K$4:$AJ$4,0))))=0,NA(),SUMPRODUCT((Inputs!$A$5:$A$110=$B30)*Inputs!$B$5:$B$110*(((Inputs!$G$5:$G$110="moeda")+(Inputs!$G$5:$G$110="acoes"))*Inputs!$B$1+((Inputs!$G$5:$G$110&lt;&gt;"moeda")*(Inputs!$G$5:$G$110&lt;&gt;"acoes")))*INDEX(Inputs!$K$5:$AJ$110,0,MATCH(N$2,Inputs!$K$4:$AJ$4,0)))+SUMPRODUCT((Inputs!$C$5:$C$110=$B30)*Inputs!$D$5:$D$110*(((Inputs!$G$5:$G$110="moeda")+(Inputs!$G$5:$G$110="acoes"))*Inputs!$B$1+((Inputs!$G$5:$G$110&lt;&gt;"moeda")*(Inputs!$G$5:$G$110&lt;&gt;"acoes")))*INDEX(Inputs!$K$5:$AJ$110,0,MATCH(N$2,Inputs!$K$4:$AJ$4,0)))+SUMPRODUCT((Inputs!$E$5:$E$110=$B30)*Inputs!$F$5:$F$110*(((Inputs!$G$5:$G$110="moeda")+(Inputs!$G$5:$G$110="acoes"))*Inputs!$B$1+((Inputs!$G$5:$G$110&lt;&gt;"moeda")*(Inputs!$G$5:$G$110&lt;&gt;"acoes")))*INDEX(Inputs!$K$5:$AJ$110,0,MATCH(N$2,Inputs!$K$4:$AJ$4,0)))))</f>
        <v>0</v>
      </c>
      <c r="O30" s="267">
        <f>IF(ISNA(MATCH(O$2,Inputs!$K$4:$AJ$4,0)),NA(),IF(SUMPRODUCT((Inputs!$A$5:$A$110=$B30)*ISNUMBER(INDEX(Inputs!$K$5:$AJ$110,0,MATCH(O$2,Inputs!$K$4:$AJ$4,0))))+SUMPRODUCT((Inputs!$C$5:$C$110=$B30)*ISNUMBER(INDEX(Inputs!$K$5:$AJ$110,0,MATCH(O$2,Inputs!$K$4:$AJ$4,0))))+SUMPRODUCT((Inputs!$E$5:$E$110=$B30)*ISNUMBER(INDEX(Inputs!$K$5:$AJ$110,0,MATCH(O$2,Inputs!$K$4:$AJ$4,0))))=0,NA(),SUMPRODUCT((Inputs!$A$5:$A$110=$B30)*Inputs!$B$5:$B$110*(((Inputs!$G$5:$G$110="moeda")+(Inputs!$G$5:$G$110="acoes"))*Inputs!$B$1+((Inputs!$G$5:$G$110&lt;&gt;"moeda")*(Inputs!$G$5:$G$110&lt;&gt;"acoes")))*INDEX(Inputs!$K$5:$AJ$110,0,MATCH(O$2,Inputs!$K$4:$AJ$4,0)))+SUMPRODUCT((Inputs!$C$5:$C$110=$B30)*Inputs!$D$5:$D$110*(((Inputs!$G$5:$G$110="moeda")+(Inputs!$G$5:$G$110="acoes"))*Inputs!$B$1+((Inputs!$G$5:$G$110&lt;&gt;"moeda")*(Inputs!$G$5:$G$110&lt;&gt;"acoes")))*INDEX(Inputs!$K$5:$AJ$110,0,MATCH(O$2,Inputs!$K$4:$AJ$4,0)))+SUMPRODUCT((Inputs!$E$5:$E$110=$B30)*Inputs!$F$5:$F$110*(((Inputs!$G$5:$G$110="moeda")+(Inputs!$G$5:$G$110="acoes"))*Inputs!$B$1+((Inputs!$G$5:$G$110&lt;&gt;"moeda")*(Inputs!$G$5:$G$110&lt;&gt;"acoes")))*INDEX(Inputs!$K$5:$AJ$110,0,MATCH(O$2,Inputs!$K$4:$AJ$4,0)))))</f>
        <v>0</v>
      </c>
      <c r="P30" s="267">
        <f>IF(ISNA(MATCH(P$2,Inputs!$K$4:$AJ$4,0)),NA(),IF(SUMPRODUCT((Inputs!$A$5:$A$110=$B30)*ISNUMBER(INDEX(Inputs!$K$5:$AJ$110,0,MATCH(P$2,Inputs!$K$4:$AJ$4,0))))+SUMPRODUCT((Inputs!$C$5:$C$110=$B30)*ISNUMBER(INDEX(Inputs!$K$5:$AJ$110,0,MATCH(P$2,Inputs!$K$4:$AJ$4,0))))+SUMPRODUCT((Inputs!$E$5:$E$110=$B30)*ISNUMBER(INDEX(Inputs!$K$5:$AJ$110,0,MATCH(P$2,Inputs!$K$4:$AJ$4,0))))=0,NA(),SUMPRODUCT((Inputs!$A$5:$A$110=$B30)*Inputs!$B$5:$B$110*(((Inputs!$G$5:$G$110="moeda")+(Inputs!$G$5:$G$110="acoes"))*Inputs!$B$1+((Inputs!$G$5:$G$110&lt;&gt;"moeda")*(Inputs!$G$5:$G$110&lt;&gt;"acoes")))*INDEX(Inputs!$K$5:$AJ$110,0,MATCH(P$2,Inputs!$K$4:$AJ$4,0)))+SUMPRODUCT((Inputs!$C$5:$C$110=$B30)*Inputs!$D$5:$D$110*(((Inputs!$G$5:$G$110="moeda")+(Inputs!$G$5:$G$110="acoes"))*Inputs!$B$1+((Inputs!$G$5:$G$110&lt;&gt;"moeda")*(Inputs!$G$5:$G$110&lt;&gt;"acoes")))*INDEX(Inputs!$K$5:$AJ$110,0,MATCH(P$2,Inputs!$K$4:$AJ$4,0)))+SUMPRODUCT((Inputs!$E$5:$E$110=$B30)*Inputs!$F$5:$F$110*(((Inputs!$G$5:$G$110="moeda")+(Inputs!$G$5:$G$110="acoes"))*Inputs!$B$1+((Inputs!$G$5:$G$110&lt;&gt;"moeda")*(Inputs!$G$5:$G$110&lt;&gt;"acoes")))*INDEX(Inputs!$K$5:$AJ$110,0,MATCH(P$2,Inputs!$K$4:$AJ$4,0)))))</f>
        <v>0</v>
      </c>
      <c r="Q30" s="267">
        <f>IF(ISNA(MATCH(Q$2,Inputs!$K$4:$AJ$4,0)),NA(),IF(SUMPRODUCT((Inputs!$A$5:$A$110=$B30)*ISNUMBER(INDEX(Inputs!$K$5:$AJ$110,0,MATCH(Q$2,Inputs!$K$4:$AJ$4,0))))+SUMPRODUCT((Inputs!$C$5:$C$110=$B30)*ISNUMBER(INDEX(Inputs!$K$5:$AJ$110,0,MATCH(Q$2,Inputs!$K$4:$AJ$4,0))))+SUMPRODUCT((Inputs!$E$5:$E$110=$B30)*ISNUMBER(INDEX(Inputs!$K$5:$AJ$110,0,MATCH(Q$2,Inputs!$K$4:$AJ$4,0))))=0,NA(),SUMPRODUCT((Inputs!$A$5:$A$110=$B30)*Inputs!$B$5:$B$110*(((Inputs!$G$5:$G$110="moeda")+(Inputs!$G$5:$G$110="acoes"))*Inputs!$B$1+((Inputs!$G$5:$G$110&lt;&gt;"moeda")*(Inputs!$G$5:$G$110&lt;&gt;"acoes")))*INDEX(Inputs!$K$5:$AJ$110,0,MATCH(Q$2,Inputs!$K$4:$AJ$4,0)))+SUMPRODUCT((Inputs!$C$5:$C$110=$B30)*Inputs!$D$5:$D$110*(((Inputs!$G$5:$G$110="moeda")+(Inputs!$G$5:$G$110="acoes"))*Inputs!$B$1+((Inputs!$G$5:$G$110&lt;&gt;"moeda")*(Inputs!$G$5:$G$110&lt;&gt;"acoes")))*INDEX(Inputs!$K$5:$AJ$110,0,MATCH(Q$2,Inputs!$K$4:$AJ$4,0)))+SUMPRODUCT((Inputs!$E$5:$E$110=$B30)*Inputs!$F$5:$F$110*(((Inputs!$G$5:$G$110="moeda")+(Inputs!$G$5:$G$110="acoes"))*Inputs!$B$1+((Inputs!$G$5:$G$110&lt;&gt;"moeda")*(Inputs!$G$5:$G$110&lt;&gt;"acoes")))*INDEX(Inputs!$K$5:$AJ$110,0,MATCH(Q$2,Inputs!$K$4:$AJ$4,0)))))</f>
        <v>0</v>
      </c>
      <c r="R30" s="268">
        <f>Q30</f>
        <v>0</v>
      </c>
      <c r="S30" s="267">
        <f>IF(ISNA(MATCH(S$2,Inputs!$K$4:$AJ$4,0)),NA(),IF(SUMPRODUCT((Inputs!$A$5:$A$110=$B30)*ISNUMBER(INDEX(Inputs!$K$5:$AJ$110,0,MATCH(S$2,Inputs!$K$4:$AJ$4,0))))+SUMPRODUCT((Inputs!$C$5:$C$110=$B30)*ISNUMBER(INDEX(Inputs!$K$5:$AJ$110,0,MATCH(S$2,Inputs!$K$4:$AJ$4,0))))+SUMPRODUCT((Inputs!$E$5:$E$110=$B30)*ISNUMBER(INDEX(Inputs!$K$5:$AJ$110,0,MATCH(S$2,Inputs!$K$4:$AJ$4,0))))=0,NA(),SUMPRODUCT((Inputs!$A$5:$A$110=$B30)*Inputs!$B$5:$B$110*(((Inputs!$G$5:$G$110="moeda")+(Inputs!$G$5:$G$110="acoes"))*Inputs!$B$1+((Inputs!$G$5:$G$110&lt;&gt;"moeda")*(Inputs!$G$5:$G$110&lt;&gt;"acoes")))*INDEX(Inputs!$K$5:$AJ$110,0,MATCH(S$2,Inputs!$K$4:$AJ$4,0)))+SUMPRODUCT((Inputs!$C$5:$C$110=$B30)*Inputs!$D$5:$D$110*(((Inputs!$G$5:$G$110="moeda")+(Inputs!$G$5:$G$110="acoes"))*Inputs!$B$1+((Inputs!$G$5:$G$110&lt;&gt;"moeda")*(Inputs!$G$5:$G$110&lt;&gt;"acoes")))*INDEX(Inputs!$K$5:$AJ$110,0,MATCH(S$2,Inputs!$K$4:$AJ$4,0)))+SUMPRODUCT((Inputs!$E$5:$E$110=$B30)*Inputs!$F$5:$F$110*(((Inputs!$G$5:$G$110="moeda")+(Inputs!$G$5:$G$110="acoes"))*Inputs!$B$1+((Inputs!$G$5:$G$110&lt;&gt;"moeda")*(Inputs!$G$5:$G$110&lt;&gt;"acoes")))*INDEX(Inputs!$K$5:$AJ$110,0,MATCH(S$2,Inputs!$K$4:$AJ$4,0)))))</f>
        <v>0</v>
      </c>
      <c r="T30" s="267">
        <f>IF(ISNA(MATCH(T$2,Inputs!$K$4:$AJ$4,0)),NA(),IF(SUMPRODUCT((Inputs!$A$5:$A$110=$B30)*ISNUMBER(INDEX(Inputs!$K$5:$AJ$110,0,MATCH(T$2,Inputs!$K$4:$AJ$4,0))))+SUMPRODUCT((Inputs!$C$5:$C$110=$B30)*ISNUMBER(INDEX(Inputs!$K$5:$AJ$110,0,MATCH(T$2,Inputs!$K$4:$AJ$4,0))))+SUMPRODUCT((Inputs!$E$5:$E$110=$B30)*ISNUMBER(INDEX(Inputs!$K$5:$AJ$110,0,MATCH(T$2,Inputs!$K$4:$AJ$4,0))))=0,NA(),SUMPRODUCT((Inputs!$A$5:$A$110=$B30)*Inputs!$B$5:$B$110*(((Inputs!$G$5:$G$110="moeda")+(Inputs!$G$5:$G$110="acoes"))*Inputs!$B$1+((Inputs!$G$5:$G$110&lt;&gt;"moeda")*(Inputs!$G$5:$G$110&lt;&gt;"acoes")))*INDEX(Inputs!$K$5:$AJ$110,0,MATCH(T$2,Inputs!$K$4:$AJ$4,0)))+SUMPRODUCT((Inputs!$C$5:$C$110=$B30)*Inputs!$D$5:$D$110*(((Inputs!$G$5:$G$110="moeda")+(Inputs!$G$5:$G$110="acoes"))*Inputs!$B$1+((Inputs!$G$5:$G$110&lt;&gt;"moeda")*(Inputs!$G$5:$G$110&lt;&gt;"acoes")))*INDEX(Inputs!$K$5:$AJ$110,0,MATCH(T$2,Inputs!$K$4:$AJ$4,0)))+SUMPRODUCT((Inputs!$E$5:$E$110=$B30)*Inputs!$F$5:$F$110*(((Inputs!$G$5:$G$110="moeda")+(Inputs!$G$5:$G$110="acoes"))*Inputs!$B$1+((Inputs!$G$5:$G$110&lt;&gt;"moeda")*(Inputs!$G$5:$G$110&lt;&gt;"acoes")))*INDEX(Inputs!$K$5:$AJ$110,0,MATCH(T$2,Inputs!$K$4:$AJ$4,0)))))</f>
        <v>0</v>
      </c>
      <c r="U30" s="267">
        <f>IF(ISNA(MATCH(U$2,Inputs!$K$4:$AJ$4,0)),NA(),IF(SUMPRODUCT((Inputs!$A$5:$A$110=$B30)*ISNUMBER(INDEX(Inputs!$K$5:$AJ$110,0,MATCH(U$2,Inputs!$K$4:$AJ$4,0))))+SUMPRODUCT((Inputs!$C$5:$C$110=$B30)*ISNUMBER(INDEX(Inputs!$K$5:$AJ$110,0,MATCH(U$2,Inputs!$K$4:$AJ$4,0))))+SUMPRODUCT((Inputs!$E$5:$E$110=$B30)*ISNUMBER(INDEX(Inputs!$K$5:$AJ$110,0,MATCH(U$2,Inputs!$K$4:$AJ$4,0))))=0,NA(),SUMPRODUCT((Inputs!$A$5:$A$110=$B30)*Inputs!$B$5:$B$110*(((Inputs!$G$5:$G$110="moeda")+(Inputs!$G$5:$G$110="acoes"))*Inputs!$B$1+((Inputs!$G$5:$G$110&lt;&gt;"moeda")*(Inputs!$G$5:$G$110&lt;&gt;"acoes")))*INDEX(Inputs!$K$5:$AJ$110,0,MATCH(U$2,Inputs!$K$4:$AJ$4,0)))+SUMPRODUCT((Inputs!$C$5:$C$110=$B30)*Inputs!$D$5:$D$110*(((Inputs!$G$5:$G$110="moeda")+(Inputs!$G$5:$G$110="acoes"))*Inputs!$B$1+((Inputs!$G$5:$G$110&lt;&gt;"moeda")*(Inputs!$G$5:$G$110&lt;&gt;"acoes")))*INDEX(Inputs!$K$5:$AJ$110,0,MATCH(U$2,Inputs!$K$4:$AJ$4,0)))+SUMPRODUCT((Inputs!$E$5:$E$110=$B30)*Inputs!$F$5:$F$110*(((Inputs!$G$5:$G$110="moeda")+(Inputs!$G$5:$G$110="acoes"))*Inputs!$B$1+((Inputs!$G$5:$G$110&lt;&gt;"moeda")*(Inputs!$G$5:$G$110&lt;&gt;"acoes")))*INDEX(Inputs!$K$5:$AJ$110,0,MATCH(U$2,Inputs!$K$4:$AJ$4,0)))))</f>
        <v>0</v>
      </c>
      <c r="V30" s="267">
        <f>IF(ISNA(MATCH(V$2,Inputs!$K$4:$AJ$4,0)),NA(),IF(SUMPRODUCT((Inputs!$A$5:$A$110=$B30)*ISNUMBER(INDEX(Inputs!$K$5:$AJ$110,0,MATCH(V$2,Inputs!$K$4:$AJ$4,0))))+SUMPRODUCT((Inputs!$C$5:$C$110=$B30)*ISNUMBER(INDEX(Inputs!$K$5:$AJ$110,0,MATCH(V$2,Inputs!$K$4:$AJ$4,0))))+SUMPRODUCT((Inputs!$E$5:$E$110=$B30)*ISNUMBER(INDEX(Inputs!$K$5:$AJ$110,0,MATCH(V$2,Inputs!$K$4:$AJ$4,0))))=0,NA(),SUMPRODUCT((Inputs!$A$5:$A$110=$B30)*Inputs!$B$5:$B$110*(((Inputs!$G$5:$G$110="moeda")+(Inputs!$G$5:$G$110="acoes"))*Inputs!$B$1+((Inputs!$G$5:$G$110&lt;&gt;"moeda")*(Inputs!$G$5:$G$110&lt;&gt;"acoes")))*INDEX(Inputs!$K$5:$AJ$110,0,MATCH(V$2,Inputs!$K$4:$AJ$4,0)))+SUMPRODUCT((Inputs!$C$5:$C$110=$B30)*Inputs!$D$5:$D$110*(((Inputs!$G$5:$G$110="moeda")+(Inputs!$G$5:$G$110="acoes"))*Inputs!$B$1+((Inputs!$G$5:$G$110&lt;&gt;"moeda")*(Inputs!$G$5:$G$110&lt;&gt;"acoes")))*INDEX(Inputs!$K$5:$AJ$110,0,MATCH(V$2,Inputs!$K$4:$AJ$4,0)))+SUMPRODUCT((Inputs!$E$5:$E$110=$B30)*Inputs!$F$5:$F$110*(((Inputs!$G$5:$G$110="moeda")+(Inputs!$G$5:$G$110="acoes"))*Inputs!$B$1+((Inputs!$G$5:$G$110&lt;&gt;"moeda")*(Inputs!$G$5:$G$110&lt;&gt;"acoes")))*INDEX(Inputs!$K$5:$AJ$110,0,MATCH(V$2,Inputs!$K$4:$AJ$4,0)))))</f>
        <v>0</v>
      </c>
      <c r="W30" s="268">
        <f>V30</f>
        <v>0</v>
      </c>
      <c r="X30" s="267">
        <f>IF(ISNA(MATCH(X$2,Inputs!$K$4:$AJ$4,0)),NA(),IF(SUMPRODUCT((Inputs!$A$5:$A$110=$B30)*ISNUMBER(INDEX(Inputs!$K$5:$AJ$110,0,MATCH(X$2,Inputs!$K$4:$AJ$4,0))))+SUMPRODUCT((Inputs!$C$5:$C$110=$B30)*ISNUMBER(INDEX(Inputs!$K$5:$AJ$110,0,MATCH(X$2,Inputs!$K$4:$AJ$4,0))))+SUMPRODUCT((Inputs!$E$5:$E$110=$B30)*ISNUMBER(INDEX(Inputs!$K$5:$AJ$110,0,MATCH(X$2,Inputs!$K$4:$AJ$4,0))))=0,NA(),SUMPRODUCT((Inputs!$A$5:$A$110=$B30)*Inputs!$B$5:$B$110*(((Inputs!$G$5:$G$110="moeda")+(Inputs!$G$5:$G$110="acoes"))*Inputs!$B$1+((Inputs!$G$5:$G$110&lt;&gt;"moeda")*(Inputs!$G$5:$G$110&lt;&gt;"acoes")))*INDEX(Inputs!$K$5:$AJ$110,0,MATCH(X$2,Inputs!$K$4:$AJ$4,0)))+SUMPRODUCT((Inputs!$C$5:$C$110=$B30)*Inputs!$D$5:$D$110*(((Inputs!$G$5:$G$110="moeda")+(Inputs!$G$5:$G$110="acoes"))*Inputs!$B$1+((Inputs!$G$5:$G$110&lt;&gt;"moeda")*(Inputs!$G$5:$G$110&lt;&gt;"acoes")))*INDEX(Inputs!$K$5:$AJ$110,0,MATCH(X$2,Inputs!$K$4:$AJ$4,0)))+SUMPRODUCT((Inputs!$E$5:$E$110=$B30)*Inputs!$F$5:$F$110*(((Inputs!$G$5:$G$110="moeda")+(Inputs!$G$5:$G$110="acoes"))*Inputs!$B$1+((Inputs!$G$5:$G$110&lt;&gt;"moeda")*(Inputs!$G$5:$G$110&lt;&gt;"acoes")))*INDEX(Inputs!$K$5:$AJ$110,0,MATCH(X$2,Inputs!$K$4:$AJ$4,0)))))</f>
        <v>0</v>
      </c>
      <c r="Y30" s="267">
        <f>IF(ISNA(MATCH(Y$2,Inputs!$K$4:$AJ$4,0)),NA(),IF(SUMPRODUCT((Inputs!$A$5:$A$110=$B30)*ISNUMBER(INDEX(Inputs!$K$5:$AJ$110,0,MATCH(Y$2,Inputs!$K$4:$AJ$4,0))))+SUMPRODUCT((Inputs!$C$5:$C$110=$B30)*ISNUMBER(INDEX(Inputs!$K$5:$AJ$110,0,MATCH(Y$2,Inputs!$K$4:$AJ$4,0))))+SUMPRODUCT((Inputs!$E$5:$E$110=$B30)*ISNUMBER(INDEX(Inputs!$K$5:$AJ$110,0,MATCH(Y$2,Inputs!$K$4:$AJ$4,0))))=0,NA(),SUMPRODUCT((Inputs!$A$5:$A$110=$B30)*Inputs!$B$5:$B$110*(((Inputs!$G$5:$G$110="moeda")+(Inputs!$G$5:$G$110="acoes"))*Inputs!$B$1+((Inputs!$G$5:$G$110&lt;&gt;"moeda")*(Inputs!$G$5:$G$110&lt;&gt;"acoes")))*INDEX(Inputs!$K$5:$AJ$110,0,MATCH(Y$2,Inputs!$K$4:$AJ$4,0)))+SUMPRODUCT((Inputs!$C$5:$C$110=$B30)*Inputs!$D$5:$D$110*(((Inputs!$G$5:$G$110="moeda")+(Inputs!$G$5:$G$110="acoes"))*Inputs!$B$1+((Inputs!$G$5:$G$110&lt;&gt;"moeda")*(Inputs!$G$5:$G$110&lt;&gt;"acoes")))*INDEX(Inputs!$K$5:$AJ$110,0,MATCH(Y$2,Inputs!$K$4:$AJ$4,0)))+SUMPRODUCT((Inputs!$E$5:$E$110=$B30)*Inputs!$F$5:$F$110*(((Inputs!$G$5:$G$110="moeda")+(Inputs!$G$5:$G$110="acoes"))*Inputs!$B$1+((Inputs!$G$5:$G$110&lt;&gt;"moeda")*(Inputs!$G$5:$G$110&lt;&gt;"acoes")))*INDEX(Inputs!$K$5:$AJ$110,0,MATCH(Y$2,Inputs!$K$4:$AJ$4,0)))))</f>
        <v>0</v>
      </c>
      <c r="Z30" s="267">
        <f>IF(ISNA(MATCH(Z$2,Inputs!$K$4:$AJ$4,0)),NA(),IF(SUMPRODUCT((Inputs!$A$5:$A$110=$B30)*ISNUMBER(INDEX(Inputs!$K$5:$AJ$110,0,MATCH(Z$2,Inputs!$K$4:$AJ$4,0))))+SUMPRODUCT((Inputs!$C$5:$C$110=$B30)*ISNUMBER(INDEX(Inputs!$K$5:$AJ$110,0,MATCH(Z$2,Inputs!$K$4:$AJ$4,0))))+SUMPRODUCT((Inputs!$E$5:$E$110=$B30)*ISNUMBER(INDEX(Inputs!$K$5:$AJ$110,0,MATCH(Z$2,Inputs!$K$4:$AJ$4,0))))=0,NA(),SUMPRODUCT((Inputs!$A$5:$A$110=$B30)*Inputs!$B$5:$B$110*(((Inputs!$G$5:$G$110="moeda")+(Inputs!$G$5:$G$110="acoes"))*Inputs!$B$1+((Inputs!$G$5:$G$110&lt;&gt;"moeda")*(Inputs!$G$5:$G$110&lt;&gt;"acoes")))*INDEX(Inputs!$K$5:$AJ$110,0,MATCH(Z$2,Inputs!$K$4:$AJ$4,0)))+SUMPRODUCT((Inputs!$C$5:$C$110=$B30)*Inputs!$D$5:$D$110*(((Inputs!$G$5:$G$110="moeda")+(Inputs!$G$5:$G$110="acoes"))*Inputs!$B$1+((Inputs!$G$5:$G$110&lt;&gt;"moeda")*(Inputs!$G$5:$G$110&lt;&gt;"acoes")))*INDEX(Inputs!$K$5:$AJ$110,0,MATCH(Z$2,Inputs!$K$4:$AJ$4,0)))+SUMPRODUCT((Inputs!$E$5:$E$110=$B30)*Inputs!$F$5:$F$110*(((Inputs!$G$5:$G$110="moeda")+(Inputs!$G$5:$G$110="acoes"))*Inputs!$B$1+((Inputs!$G$5:$G$110&lt;&gt;"moeda")*(Inputs!$G$5:$G$110&lt;&gt;"acoes")))*INDEX(Inputs!$K$5:$AJ$110,0,MATCH(Z$2,Inputs!$K$4:$AJ$4,0)))))</f>
        <v>0</v>
      </c>
      <c r="AA30" s="267">
        <f>IF(ISNA(MATCH(AA$2,Inputs!$K$4:$AJ$4,0)),NA(),IF(SUMPRODUCT((Inputs!$A$5:$A$110=$B30)*ISNUMBER(INDEX(Inputs!$K$5:$AJ$110,0,MATCH(AA$2,Inputs!$K$4:$AJ$4,0))))+SUMPRODUCT((Inputs!$C$5:$C$110=$B30)*ISNUMBER(INDEX(Inputs!$K$5:$AJ$110,0,MATCH(AA$2,Inputs!$K$4:$AJ$4,0))))+SUMPRODUCT((Inputs!$E$5:$E$110=$B30)*ISNUMBER(INDEX(Inputs!$K$5:$AJ$110,0,MATCH(AA$2,Inputs!$K$4:$AJ$4,0))))=0,NA(),SUMPRODUCT((Inputs!$A$5:$A$110=$B30)*Inputs!$B$5:$B$110*(((Inputs!$G$5:$G$110="moeda")+(Inputs!$G$5:$G$110="acoes"))*Inputs!$B$1+((Inputs!$G$5:$G$110&lt;&gt;"moeda")*(Inputs!$G$5:$G$110&lt;&gt;"acoes")))*INDEX(Inputs!$K$5:$AJ$110,0,MATCH(AA$2,Inputs!$K$4:$AJ$4,0)))+SUMPRODUCT((Inputs!$C$5:$C$110=$B30)*Inputs!$D$5:$D$110*(((Inputs!$G$5:$G$110="moeda")+(Inputs!$G$5:$G$110="acoes"))*Inputs!$B$1+((Inputs!$G$5:$G$110&lt;&gt;"moeda")*(Inputs!$G$5:$G$110&lt;&gt;"acoes")))*INDEX(Inputs!$K$5:$AJ$110,0,MATCH(AA$2,Inputs!$K$4:$AJ$4,0)))+SUMPRODUCT((Inputs!$E$5:$E$110=$B30)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0" s="268">
        <f>AA30</f>
        <v>0</v>
      </c>
      <c r="AC30" s="267">
        <f>IF(ISNA(MATCH(AC$2,Inputs!$K$4:$AJ$4,0)),NA(),IF(SUMPRODUCT((Inputs!$A$5:$A$110=$B30)*ISNUMBER(INDEX(Inputs!$K$5:$AJ$110,0,MATCH(AC$2,Inputs!$K$4:$AJ$4,0))))+SUMPRODUCT((Inputs!$C$5:$C$110=$B30)*ISNUMBER(INDEX(Inputs!$K$5:$AJ$110,0,MATCH(AC$2,Inputs!$K$4:$AJ$4,0))))+SUMPRODUCT((Inputs!$E$5:$E$110=$B30)*ISNUMBER(INDEX(Inputs!$K$5:$AJ$110,0,MATCH(AC$2,Inputs!$K$4:$AJ$4,0))))=0,NA(),SUMPRODUCT((Inputs!$A$5:$A$110=$B30)*Inputs!$B$5:$B$110*(((Inputs!$G$5:$G$110="moeda")+(Inputs!$G$5:$G$110="acoes"))*Inputs!$B$1+((Inputs!$G$5:$G$110&lt;&gt;"moeda")*(Inputs!$G$5:$G$110&lt;&gt;"acoes")))*INDEX(Inputs!$K$5:$AJ$110,0,MATCH(AC$2,Inputs!$K$4:$AJ$4,0)))+SUMPRODUCT((Inputs!$C$5:$C$110=$B30)*Inputs!$D$5:$D$110*(((Inputs!$G$5:$G$110="moeda")+(Inputs!$G$5:$G$110="acoes"))*Inputs!$B$1+((Inputs!$G$5:$G$110&lt;&gt;"moeda")*(Inputs!$G$5:$G$110&lt;&gt;"acoes")))*INDEX(Inputs!$K$5:$AJ$110,0,MATCH(AC$2,Inputs!$K$4:$AJ$4,0)))+SUMPRODUCT((Inputs!$E$5:$E$110=$B30)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0" s="267">
        <f>IF(ISNA(MATCH(AD$2,Inputs!$K$4:$AJ$4,0)),NA(),IF(SUMPRODUCT((Inputs!$A$5:$A$110=$B30)*ISNUMBER(INDEX(Inputs!$K$5:$AJ$110,0,MATCH(AD$2,Inputs!$K$4:$AJ$4,0))))+SUMPRODUCT((Inputs!$C$5:$C$110=$B30)*ISNUMBER(INDEX(Inputs!$K$5:$AJ$110,0,MATCH(AD$2,Inputs!$K$4:$AJ$4,0))))+SUMPRODUCT((Inputs!$E$5:$E$110=$B30)*ISNUMBER(INDEX(Inputs!$K$5:$AJ$110,0,MATCH(AD$2,Inputs!$K$4:$AJ$4,0))))=0,NA(),SUMPRODUCT((Inputs!$A$5:$A$110=$B30)*Inputs!$B$5:$B$110*(((Inputs!$G$5:$G$110="moeda")+(Inputs!$G$5:$G$110="acoes"))*Inputs!$B$1+((Inputs!$G$5:$G$110&lt;&gt;"moeda")*(Inputs!$G$5:$G$110&lt;&gt;"acoes")))*INDEX(Inputs!$K$5:$AJ$110,0,MATCH(AD$2,Inputs!$K$4:$AJ$4,0)))+SUMPRODUCT((Inputs!$C$5:$C$110=$B30)*Inputs!$D$5:$D$110*(((Inputs!$G$5:$G$110="moeda")+(Inputs!$G$5:$G$110="acoes"))*Inputs!$B$1+((Inputs!$G$5:$G$110&lt;&gt;"moeda")*(Inputs!$G$5:$G$110&lt;&gt;"acoes")))*INDEX(Inputs!$K$5:$AJ$110,0,MATCH(AD$2,Inputs!$K$4:$AJ$4,0)))+SUMPRODUCT((Inputs!$E$5:$E$110=$B30)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0" s="267" t="e">
        <f>IF(ISNA(MATCH(AE$2,Inputs!$K$4:$AJ$4,0)),NA(),IF(SUMPRODUCT((Inputs!$A$5:$A$110=$B30)*ISNUMBER(INDEX(Inputs!$K$5:$AJ$110,0,MATCH(AE$2,Inputs!$K$4:$AJ$4,0))))+SUMPRODUCT((Inputs!$C$5:$C$110=$B30)*ISNUMBER(INDEX(Inputs!$K$5:$AJ$110,0,MATCH(AE$2,Inputs!$K$4:$AJ$4,0))))+SUMPRODUCT((Inputs!$E$5:$E$110=$B30)*ISNUMBER(INDEX(Inputs!$K$5:$AJ$110,0,MATCH(AE$2,Inputs!$K$4:$AJ$4,0))))=0,NA(),SUMPRODUCT((Inputs!$A$5:$A$110=$B30)*Inputs!$B$5:$B$110*(((Inputs!$G$5:$G$110="moeda")+(Inputs!$G$5:$G$110="acoes"))*Inputs!$B$1+((Inputs!$G$5:$G$110&lt;&gt;"moeda")*(Inputs!$G$5:$G$110&lt;&gt;"acoes")))*INDEX(Inputs!$K$5:$AJ$110,0,MATCH(AE$2,Inputs!$K$4:$AJ$4,0)))+SUMPRODUCT((Inputs!$C$5:$C$110=$B30)*Inputs!$D$5:$D$110*(((Inputs!$G$5:$G$110="moeda")+(Inputs!$G$5:$G$110="acoes"))*Inputs!$B$1+((Inputs!$G$5:$G$110&lt;&gt;"moeda")*(Inputs!$G$5:$G$110&lt;&gt;"acoes")))*INDEX(Inputs!$K$5:$AJ$110,0,MATCH(AE$2,Inputs!$K$4:$AJ$4,0)))+SUMPRODUCT((Inputs!$E$5:$E$110=$B30)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0" s="267" t="e">
        <f>IF(ISNA(MATCH(AF$2,Inputs!$K$4:$AJ$4,0)),NA(),IF(SUMPRODUCT((Inputs!$A$5:$A$110=$B30)*ISNUMBER(INDEX(Inputs!$K$5:$AJ$110,0,MATCH(AF$2,Inputs!$K$4:$AJ$4,0))))+SUMPRODUCT((Inputs!$C$5:$C$110=$B30)*ISNUMBER(INDEX(Inputs!$K$5:$AJ$110,0,MATCH(AF$2,Inputs!$K$4:$AJ$4,0))))+SUMPRODUCT((Inputs!$E$5:$E$110=$B30)*ISNUMBER(INDEX(Inputs!$K$5:$AJ$110,0,MATCH(AF$2,Inputs!$K$4:$AJ$4,0))))=0,NA(),SUMPRODUCT((Inputs!$A$5:$A$110=$B30)*Inputs!$B$5:$B$110*(((Inputs!$G$5:$G$110="moeda")+(Inputs!$G$5:$G$110="acoes"))*Inputs!$B$1+((Inputs!$G$5:$G$110&lt;&gt;"moeda")*(Inputs!$G$5:$G$110&lt;&gt;"acoes")))*INDEX(Inputs!$K$5:$AJ$110,0,MATCH(AF$2,Inputs!$K$4:$AJ$4,0)))+SUMPRODUCT((Inputs!$C$5:$C$110=$B30)*Inputs!$D$5:$D$110*(((Inputs!$G$5:$G$110="moeda")+(Inputs!$G$5:$G$110="acoes"))*Inputs!$B$1+((Inputs!$G$5:$G$110&lt;&gt;"moeda")*(Inputs!$G$5:$G$110&lt;&gt;"acoes")))*INDEX(Inputs!$K$5:$AJ$110,0,MATCH(AF$2,Inputs!$K$4:$AJ$4,0)))+SUMPRODUCT((Inputs!$E$5:$E$110=$B30)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0" s="268" t="e">
        <f>AF30</f>
        <v>#N/A</v>
      </c>
      <c r="AH30" s="267">
        <f>IF(ISNA(MATCH(AH$2,Inputs!$K$4:$AJ$4,0)),NA(),IF(SUMPRODUCT((Inputs!$A$5:$A$110=$B30)*ISNUMBER(INDEX(Inputs!$K$5:$AJ$110,0,MATCH(AH$2,Inputs!$K$4:$AJ$4,0))))+SUMPRODUCT((Inputs!$C$5:$C$110=$B30)*ISNUMBER(INDEX(Inputs!$K$5:$AJ$110,0,MATCH(AH$2,Inputs!$K$4:$AJ$4,0))))+SUMPRODUCT((Inputs!$E$5:$E$110=$B30)*ISNUMBER(INDEX(Inputs!$K$5:$AJ$110,0,MATCH(AH$2,Inputs!$K$4:$AJ$4,0))))=0,NA(),SUMPRODUCT((Inputs!$A$5:$A$110=$B30)*Inputs!$B$5:$B$110*(((Inputs!$G$5:$G$110="moeda")+(Inputs!$G$5:$G$110="acoes"))*Inputs!$B$1+((Inputs!$G$5:$G$110&lt;&gt;"moeda")*(Inputs!$G$5:$G$110&lt;&gt;"acoes")))*INDEX(Inputs!$K$5:$AJ$110,0,MATCH(AH$2,Inputs!$K$4:$AJ$4,0)))+SUMPRODUCT((Inputs!$C$5:$C$110=$B30)*Inputs!$D$5:$D$110*(((Inputs!$G$5:$G$110="moeda")+(Inputs!$G$5:$G$110="acoes"))*Inputs!$B$1+((Inputs!$G$5:$G$110&lt;&gt;"moeda")*(Inputs!$G$5:$G$110&lt;&gt;"acoes")))*INDEX(Inputs!$K$5:$AJ$110,0,MATCH(AH$2,Inputs!$K$4:$AJ$4,0)))+SUMPRODUCT((Inputs!$E$5:$E$110=$B30)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0" s="267">
        <f>IF(ISNA(MATCH(AI$2,Inputs!$K$4:$AJ$4,0)),NA(),IF(SUMPRODUCT((Inputs!$A$5:$A$110=$B30)*ISNUMBER(INDEX(Inputs!$K$5:$AJ$110,0,MATCH(AI$2,Inputs!$K$4:$AJ$4,0))))+SUMPRODUCT((Inputs!$C$5:$C$110=$B30)*ISNUMBER(INDEX(Inputs!$K$5:$AJ$110,0,MATCH(AI$2,Inputs!$K$4:$AJ$4,0))))+SUMPRODUCT((Inputs!$E$5:$E$110=$B30)*ISNUMBER(INDEX(Inputs!$K$5:$AJ$110,0,MATCH(AI$2,Inputs!$K$4:$AJ$4,0))))=0,NA(),SUMPRODUCT((Inputs!$A$5:$A$110=$B30)*Inputs!$B$5:$B$110*(((Inputs!$G$5:$G$110="moeda")+(Inputs!$G$5:$G$110="acoes"))*Inputs!$B$1+((Inputs!$G$5:$G$110&lt;&gt;"moeda")*(Inputs!$G$5:$G$110&lt;&gt;"acoes")))*INDEX(Inputs!$K$5:$AJ$110,0,MATCH(AI$2,Inputs!$K$4:$AJ$4,0)))+SUMPRODUCT((Inputs!$C$5:$C$110=$B30)*Inputs!$D$5:$D$110*(((Inputs!$G$5:$G$110="moeda")+(Inputs!$G$5:$G$110="acoes"))*Inputs!$B$1+((Inputs!$G$5:$G$110&lt;&gt;"moeda")*(Inputs!$G$5:$G$110&lt;&gt;"acoes")))*INDEX(Inputs!$K$5:$AJ$110,0,MATCH(AI$2,Inputs!$K$4:$AJ$4,0)))+SUMPRODUCT((Inputs!$E$5:$E$110=$B30)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0" s="267">
        <f>IF(ISNA(MATCH(AJ$2,Inputs!$K$4:$AJ$4,0)),NA(),IF(SUMPRODUCT((Inputs!$A$5:$A$110=$B30)*ISNUMBER(INDEX(Inputs!$K$5:$AJ$110,0,MATCH(AJ$2,Inputs!$K$4:$AJ$4,0))))+SUMPRODUCT((Inputs!$C$5:$C$110=$B30)*ISNUMBER(INDEX(Inputs!$K$5:$AJ$110,0,MATCH(AJ$2,Inputs!$K$4:$AJ$4,0))))+SUMPRODUCT((Inputs!$E$5:$E$110=$B30)*ISNUMBER(INDEX(Inputs!$K$5:$AJ$110,0,MATCH(AJ$2,Inputs!$K$4:$AJ$4,0))))=0,NA(),SUMPRODUCT((Inputs!$A$5:$A$110=$B30)*Inputs!$B$5:$B$110*(((Inputs!$G$5:$G$110="moeda")+(Inputs!$G$5:$G$110="acoes"))*Inputs!$B$1+((Inputs!$G$5:$G$110&lt;&gt;"moeda")*(Inputs!$G$5:$G$110&lt;&gt;"acoes")))*INDEX(Inputs!$K$5:$AJ$110,0,MATCH(AJ$2,Inputs!$K$4:$AJ$4,0)))+SUMPRODUCT((Inputs!$C$5:$C$110=$B30)*Inputs!$D$5:$D$110*(((Inputs!$G$5:$G$110="moeda")+(Inputs!$G$5:$G$110="acoes"))*Inputs!$B$1+((Inputs!$G$5:$G$110&lt;&gt;"moeda")*(Inputs!$G$5:$G$110&lt;&gt;"acoes")))*INDEX(Inputs!$K$5:$AJ$110,0,MATCH(AJ$2,Inputs!$K$4:$AJ$4,0)))+SUMPRODUCT((Inputs!$E$5:$E$110=$B30)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0" s="267">
        <f>IF(ISNA(MATCH(AK$2,Inputs!$K$4:$AJ$4,0)),NA(),IF(SUMPRODUCT((Inputs!$A$5:$A$110=$B30)*ISNUMBER(INDEX(Inputs!$K$5:$AJ$110,0,MATCH(AK$2,Inputs!$K$4:$AJ$4,0))))+SUMPRODUCT((Inputs!$C$5:$C$110=$B30)*ISNUMBER(INDEX(Inputs!$K$5:$AJ$110,0,MATCH(AK$2,Inputs!$K$4:$AJ$4,0))))+SUMPRODUCT((Inputs!$E$5:$E$110=$B30)*ISNUMBER(INDEX(Inputs!$K$5:$AJ$110,0,MATCH(AK$2,Inputs!$K$4:$AJ$4,0))))=0,NA(),SUMPRODUCT((Inputs!$A$5:$A$110=$B30)*Inputs!$B$5:$B$110*(((Inputs!$G$5:$G$110="moeda")+(Inputs!$G$5:$G$110="acoes"))*Inputs!$B$1+((Inputs!$G$5:$G$110&lt;&gt;"moeda")*(Inputs!$G$5:$G$110&lt;&gt;"acoes")))*INDEX(Inputs!$K$5:$AJ$110,0,MATCH(AK$2,Inputs!$K$4:$AJ$4,0)))+SUMPRODUCT((Inputs!$C$5:$C$110=$B30)*Inputs!$D$5:$D$110*(((Inputs!$G$5:$G$110="moeda")+(Inputs!$G$5:$G$110="acoes"))*Inputs!$B$1+((Inputs!$G$5:$G$110&lt;&gt;"moeda")*(Inputs!$G$5:$G$110&lt;&gt;"acoes")))*INDEX(Inputs!$K$5:$AJ$110,0,MATCH(AK$2,Inputs!$K$4:$AJ$4,0)))+SUMPRODUCT((Inputs!$E$5:$E$110=$B30)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0" s="268">
        <f>AK30</f>
        <v>0</v>
      </c>
    </row>
    <row r="31" ht="12.75" customHeight="1" s="255">
      <c r="B31" s="265" t="n">
        <v>26</v>
      </c>
      <c r="C31" s="270" t="inlineStr">
        <is>
          <t>Other current liabilities (non-debt)</t>
        </is>
      </c>
      <c r="D31" s="267">
        <f>IF(ISNA(MATCH(D$2,Inputs!$K$4:$AJ$4,0)),NA(),IF(SUMPRODUCT((Inputs!$A$5:$A$110=$B31)*ISNUMBER(INDEX(Inputs!$K$5:$AJ$110,0,MATCH(D$2,Inputs!$K$4:$AJ$4,0))))+SUMPRODUCT((Inputs!$C$5:$C$110=$B31)*ISNUMBER(INDEX(Inputs!$K$5:$AJ$110,0,MATCH(D$2,Inputs!$K$4:$AJ$4,0))))+SUMPRODUCT((Inputs!$E$5:$E$110=$B31)*ISNUMBER(INDEX(Inputs!$K$5:$AJ$110,0,MATCH(D$2,Inputs!$K$4:$AJ$4,0))))=0,NA(),SUMPRODUCT((Inputs!$A$5:$A$110=$B31)*Inputs!$B$5:$B$110*(((Inputs!$G$5:$G$110="moeda")+(Inputs!$G$5:$G$110="acoes"))*Inputs!$B$1+((Inputs!$G$5:$G$110&lt;&gt;"moeda")*(Inputs!$G$5:$G$110&lt;&gt;"acoes")))*INDEX(Inputs!$K$5:$AJ$110,0,MATCH(D$2,Inputs!$K$4:$AJ$4,0)))+SUMPRODUCT((Inputs!$C$5:$C$110=$B31)*Inputs!$D$5:$D$110*(((Inputs!$G$5:$G$110="moeda")+(Inputs!$G$5:$G$110="acoes"))*Inputs!$B$1+((Inputs!$G$5:$G$110&lt;&gt;"moeda")*(Inputs!$G$5:$G$110&lt;&gt;"acoes")))*INDEX(Inputs!$K$5:$AJ$110,0,MATCH(D$2,Inputs!$K$4:$AJ$4,0)))+SUMPRODUCT((Inputs!$E$5:$E$110=$B31)*Inputs!$F$5:$F$110*(((Inputs!$G$5:$G$110="moeda")+(Inputs!$G$5:$G$110="acoes"))*Inputs!$B$1+((Inputs!$G$5:$G$110&lt;&gt;"moeda")*(Inputs!$G$5:$G$110&lt;&gt;"acoes")))*INDEX(Inputs!$K$5:$AJ$110,0,MATCH(D$2,Inputs!$K$4:$AJ$4,0)))))</f>
        <v>6413</v>
      </c>
      <c r="E31" s="267">
        <f>IF(ISNA(MATCH(E$2,Inputs!$K$4:$AJ$4,0)),NA(),IF(SUMPRODUCT((Inputs!$A$5:$A$110=$B31)*ISNUMBER(INDEX(Inputs!$K$5:$AJ$110,0,MATCH(E$2,Inputs!$K$4:$AJ$4,0))))+SUMPRODUCT((Inputs!$C$5:$C$110=$B31)*ISNUMBER(INDEX(Inputs!$K$5:$AJ$110,0,MATCH(E$2,Inputs!$K$4:$AJ$4,0))))+SUMPRODUCT((Inputs!$E$5:$E$110=$B31)*ISNUMBER(INDEX(Inputs!$K$5:$AJ$110,0,MATCH(E$2,Inputs!$K$4:$AJ$4,0))))=0,NA(),SUMPRODUCT((Inputs!$A$5:$A$110=$B31)*Inputs!$B$5:$B$110*(((Inputs!$G$5:$G$110="moeda")+(Inputs!$G$5:$G$110="acoes"))*Inputs!$B$1+((Inputs!$G$5:$G$110&lt;&gt;"moeda")*(Inputs!$G$5:$G$110&lt;&gt;"acoes")))*INDEX(Inputs!$K$5:$AJ$110,0,MATCH(E$2,Inputs!$K$4:$AJ$4,0)))+SUMPRODUCT((Inputs!$C$5:$C$110=$B31)*Inputs!$D$5:$D$110*(((Inputs!$G$5:$G$110="moeda")+(Inputs!$G$5:$G$110="acoes"))*Inputs!$B$1+((Inputs!$G$5:$G$110&lt;&gt;"moeda")*(Inputs!$G$5:$G$110&lt;&gt;"acoes")))*INDEX(Inputs!$K$5:$AJ$110,0,MATCH(E$2,Inputs!$K$4:$AJ$4,0)))+SUMPRODUCT((Inputs!$E$5:$E$110=$B31)*Inputs!$F$5:$F$110*(((Inputs!$G$5:$G$110="moeda")+(Inputs!$G$5:$G$110="acoes"))*Inputs!$B$1+((Inputs!$G$5:$G$110&lt;&gt;"moeda")*(Inputs!$G$5:$G$110&lt;&gt;"acoes")))*INDEX(Inputs!$K$5:$AJ$110,0,MATCH(E$2,Inputs!$K$4:$AJ$4,0)))))</f>
        <v>6909</v>
      </c>
      <c r="F31" s="267">
        <f>IF(ISNA(MATCH(F$2,Inputs!$K$4:$AJ$4,0)),NA(),IF(SUMPRODUCT((Inputs!$A$5:$A$110=$B31)*ISNUMBER(INDEX(Inputs!$K$5:$AJ$110,0,MATCH(F$2,Inputs!$K$4:$AJ$4,0))))+SUMPRODUCT((Inputs!$C$5:$C$110=$B31)*ISNUMBER(INDEX(Inputs!$K$5:$AJ$110,0,MATCH(F$2,Inputs!$K$4:$AJ$4,0))))+SUMPRODUCT((Inputs!$E$5:$E$110=$B31)*ISNUMBER(INDEX(Inputs!$K$5:$AJ$110,0,MATCH(F$2,Inputs!$K$4:$AJ$4,0))))=0,NA(),SUMPRODUCT((Inputs!$A$5:$A$110=$B31)*Inputs!$B$5:$B$110*(((Inputs!$G$5:$G$110="moeda")+(Inputs!$G$5:$G$110="acoes"))*Inputs!$B$1+((Inputs!$G$5:$G$110&lt;&gt;"moeda")*(Inputs!$G$5:$G$110&lt;&gt;"acoes")))*INDEX(Inputs!$K$5:$AJ$110,0,MATCH(F$2,Inputs!$K$4:$AJ$4,0)))+SUMPRODUCT((Inputs!$C$5:$C$110=$B31)*Inputs!$D$5:$D$110*(((Inputs!$G$5:$G$110="moeda")+(Inputs!$G$5:$G$110="acoes"))*Inputs!$B$1+((Inputs!$G$5:$G$110&lt;&gt;"moeda")*(Inputs!$G$5:$G$110&lt;&gt;"acoes")))*INDEX(Inputs!$K$5:$AJ$110,0,MATCH(F$2,Inputs!$K$4:$AJ$4,0)))+SUMPRODUCT((Inputs!$E$5:$E$110=$B31)*Inputs!$F$5:$F$110*(((Inputs!$G$5:$G$110="moeda")+(Inputs!$G$5:$G$110="acoes"))*Inputs!$B$1+((Inputs!$G$5:$G$110&lt;&gt;"moeda")*(Inputs!$G$5:$G$110&lt;&gt;"acoes")))*INDEX(Inputs!$K$5:$AJ$110,0,MATCH(F$2,Inputs!$K$4:$AJ$4,0)))))</f>
        <v>6603</v>
      </c>
      <c r="G31" s="267">
        <f>IF(ISNA(MATCH(G$2,Inputs!$K$4:$AJ$4,0)),NA(),IF(SUMPRODUCT((Inputs!$A$5:$A$110=$B31)*ISNUMBER(INDEX(Inputs!$K$5:$AJ$110,0,MATCH(G$2,Inputs!$K$4:$AJ$4,0))))+SUMPRODUCT((Inputs!$C$5:$C$110=$B31)*ISNUMBER(INDEX(Inputs!$K$5:$AJ$110,0,MATCH(G$2,Inputs!$K$4:$AJ$4,0))))+SUMPRODUCT((Inputs!$E$5:$E$110=$B31)*ISNUMBER(INDEX(Inputs!$K$5:$AJ$110,0,MATCH(G$2,Inputs!$K$4:$AJ$4,0))))=0,NA(),SUMPRODUCT((Inputs!$A$5:$A$110=$B31)*Inputs!$B$5:$B$110*(((Inputs!$G$5:$G$110="moeda")+(Inputs!$G$5:$G$110="acoes"))*Inputs!$B$1+((Inputs!$G$5:$G$110&lt;&gt;"moeda")*(Inputs!$G$5:$G$110&lt;&gt;"acoes")))*INDEX(Inputs!$K$5:$AJ$110,0,MATCH(G$2,Inputs!$K$4:$AJ$4,0)))+SUMPRODUCT((Inputs!$C$5:$C$110=$B31)*Inputs!$D$5:$D$110*(((Inputs!$G$5:$G$110="moeda")+(Inputs!$G$5:$G$110="acoes"))*Inputs!$B$1+((Inputs!$G$5:$G$110&lt;&gt;"moeda")*(Inputs!$G$5:$G$110&lt;&gt;"acoes")))*INDEX(Inputs!$K$5:$AJ$110,0,MATCH(G$2,Inputs!$K$4:$AJ$4,0)))+SUMPRODUCT((Inputs!$E$5:$E$110=$B31)*Inputs!$F$5:$F$110*(((Inputs!$G$5:$G$110="moeda")+(Inputs!$G$5:$G$110="acoes"))*Inputs!$B$1+((Inputs!$G$5:$G$110&lt;&gt;"moeda")*(Inputs!$G$5:$G$110&lt;&gt;"acoes")))*INDEX(Inputs!$K$5:$AJ$110,0,MATCH(G$2,Inputs!$K$4:$AJ$4,0)))))</f>
        <v>7271</v>
      </c>
      <c r="H31" s="268">
        <f>G31</f>
        <v>7271</v>
      </c>
      <c r="I31" s="267">
        <f>IF(ISNA(MATCH(I$2,Inputs!$K$4:$AJ$4,0)),NA(),IF(SUMPRODUCT((Inputs!$A$5:$A$110=$B31)*ISNUMBER(INDEX(Inputs!$K$5:$AJ$110,0,MATCH(I$2,Inputs!$K$4:$AJ$4,0))))+SUMPRODUCT((Inputs!$C$5:$C$110=$B31)*ISNUMBER(INDEX(Inputs!$K$5:$AJ$110,0,MATCH(I$2,Inputs!$K$4:$AJ$4,0))))+SUMPRODUCT((Inputs!$E$5:$E$110=$B31)*ISNUMBER(INDEX(Inputs!$K$5:$AJ$110,0,MATCH(I$2,Inputs!$K$4:$AJ$4,0))))=0,NA(),SUMPRODUCT((Inputs!$A$5:$A$110=$B31)*Inputs!$B$5:$B$110*(((Inputs!$G$5:$G$110="moeda")+(Inputs!$G$5:$G$110="acoes"))*Inputs!$B$1+((Inputs!$G$5:$G$110&lt;&gt;"moeda")*(Inputs!$G$5:$G$110&lt;&gt;"acoes")))*INDEX(Inputs!$K$5:$AJ$110,0,MATCH(I$2,Inputs!$K$4:$AJ$4,0)))+SUMPRODUCT((Inputs!$C$5:$C$110=$B31)*Inputs!$D$5:$D$110*(((Inputs!$G$5:$G$110="moeda")+(Inputs!$G$5:$G$110="acoes"))*Inputs!$B$1+((Inputs!$G$5:$G$110&lt;&gt;"moeda")*(Inputs!$G$5:$G$110&lt;&gt;"acoes")))*INDEX(Inputs!$K$5:$AJ$110,0,MATCH(I$2,Inputs!$K$4:$AJ$4,0)))+SUMPRODUCT((Inputs!$E$5:$E$110=$B31)*Inputs!$F$5:$F$110*(((Inputs!$G$5:$G$110="moeda")+(Inputs!$G$5:$G$110="acoes"))*Inputs!$B$1+((Inputs!$G$5:$G$110&lt;&gt;"moeda")*(Inputs!$G$5:$G$110&lt;&gt;"acoes")))*INDEX(Inputs!$K$5:$AJ$110,0,MATCH(I$2,Inputs!$K$4:$AJ$4,0)))))</f>
        <v>8311</v>
      </c>
      <c r="J31" s="267">
        <f>IF(ISNA(MATCH(J$2,Inputs!$K$4:$AJ$4,0)),NA(),IF(SUMPRODUCT((Inputs!$A$5:$A$110=$B31)*ISNUMBER(INDEX(Inputs!$K$5:$AJ$110,0,MATCH(J$2,Inputs!$K$4:$AJ$4,0))))+SUMPRODUCT((Inputs!$C$5:$C$110=$B31)*ISNUMBER(INDEX(Inputs!$K$5:$AJ$110,0,MATCH(J$2,Inputs!$K$4:$AJ$4,0))))+SUMPRODUCT((Inputs!$E$5:$E$110=$B31)*ISNUMBER(INDEX(Inputs!$K$5:$AJ$110,0,MATCH(J$2,Inputs!$K$4:$AJ$4,0))))=0,NA(),SUMPRODUCT((Inputs!$A$5:$A$110=$B31)*Inputs!$B$5:$B$110*(((Inputs!$G$5:$G$110="moeda")+(Inputs!$G$5:$G$110="acoes"))*Inputs!$B$1+((Inputs!$G$5:$G$110&lt;&gt;"moeda")*(Inputs!$G$5:$G$110&lt;&gt;"acoes")))*INDEX(Inputs!$K$5:$AJ$110,0,MATCH(J$2,Inputs!$K$4:$AJ$4,0)))+SUMPRODUCT((Inputs!$C$5:$C$110=$B31)*Inputs!$D$5:$D$110*(((Inputs!$G$5:$G$110="moeda")+(Inputs!$G$5:$G$110="acoes"))*Inputs!$B$1+((Inputs!$G$5:$G$110&lt;&gt;"moeda")*(Inputs!$G$5:$G$110&lt;&gt;"acoes")))*INDEX(Inputs!$K$5:$AJ$110,0,MATCH(J$2,Inputs!$K$4:$AJ$4,0)))+SUMPRODUCT((Inputs!$E$5:$E$110=$B31)*Inputs!$F$5:$F$110*(((Inputs!$G$5:$G$110="moeda")+(Inputs!$G$5:$G$110="acoes"))*Inputs!$B$1+((Inputs!$G$5:$G$110&lt;&gt;"moeda")*(Inputs!$G$5:$G$110&lt;&gt;"acoes")))*INDEX(Inputs!$K$5:$AJ$110,0,MATCH(J$2,Inputs!$K$4:$AJ$4,0)))))</f>
        <v>8199</v>
      </c>
      <c r="K31" s="267">
        <f>IF(ISNA(MATCH(K$2,Inputs!$K$4:$AJ$4,0)),NA(),IF(SUMPRODUCT((Inputs!$A$5:$A$110=$B31)*ISNUMBER(INDEX(Inputs!$K$5:$AJ$110,0,MATCH(K$2,Inputs!$K$4:$AJ$4,0))))+SUMPRODUCT((Inputs!$C$5:$C$110=$B31)*ISNUMBER(INDEX(Inputs!$K$5:$AJ$110,0,MATCH(K$2,Inputs!$K$4:$AJ$4,0))))+SUMPRODUCT((Inputs!$E$5:$E$110=$B31)*ISNUMBER(INDEX(Inputs!$K$5:$AJ$110,0,MATCH(K$2,Inputs!$K$4:$AJ$4,0))))=0,NA(),SUMPRODUCT((Inputs!$A$5:$A$110=$B31)*Inputs!$B$5:$B$110*(((Inputs!$G$5:$G$110="moeda")+(Inputs!$G$5:$G$110="acoes"))*Inputs!$B$1+((Inputs!$G$5:$G$110&lt;&gt;"moeda")*(Inputs!$G$5:$G$110&lt;&gt;"acoes")))*INDEX(Inputs!$K$5:$AJ$110,0,MATCH(K$2,Inputs!$K$4:$AJ$4,0)))+SUMPRODUCT((Inputs!$C$5:$C$110=$B31)*Inputs!$D$5:$D$110*(((Inputs!$G$5:$G$110="moeda")+(Inputs!$G$5:$G$110="acoes"))*Inputs!$B$1+((Inputs!$G$5:$G$110&lt;&gt;"moeda")*(Inputs!$G$5:$G$110&lt;&gt;"acoes")))*INDEX(Inputs!$K$5:$AJ$110,0,MATCH(K$2,Inputs!$K$4:$AJ$4,0)))+SUMPRODUCT((Inputs!$E$5:$E$110=$B31)*Inputs!$F$5:$F$110*(((Inputs!$G$5:$G$110="moeda")+(Inputs!$G$5:$G$110="acoes"))*Inputs!$B$1+((Inputs!$G$5:$G$110&lt;&gt;"moeda")*(Inputs!$G$5:$G$110&lt;&gt;"acoes")))*INDEX(Inputs!$K$5:$AJ$110,0,MATCH(K$2,Inputs!$K$4:$AJ$4,0)))))</f>
        <v>7785</v>
      </c>
      <c r="L31" s="267">
        <f>IF(ISNA(MATCH(L$2,Inputs!$K$4:$AJ$4,0)),NA(),IF(SUMPRODUCT((Inputs!$A$5:$A$110=$B31)*ISNUMBER(INDEX(Inputs!$K$5:$AJ$110,0,MATCH(L$2,Inputs!$K$4:$AJ$4,0))))+SUMPRODUCT((Inputs!$C$5:$C$110=$B31)*ISNUMBER(INDEX(Inputs!$K$5:$AJ$110,0,MATCH(L$2,Inputs!$K$4:$AJ$4,0))))+SUMPRODUCT((Inputs!$E$5:$E$110=$B31)*ISNUMBER(INDEX(Inputs!$K$5:$AJ$110,0,MATCH(L$2,Inputs!$K$4:$AJ$4,0))))=0,NA(),SUMPRODUCT((Inputs!$A$5:$A$110=$B31)*Inputs!$B$5:$B$110*(((Inputs!$G$5:$G$110="moeda")+(Inputs!$G$5:$G$110="acoes"))*Inputs!$B$1+((Inputs!$G$5:$G$110&lt;&gt;"moeda")*(Inputs!$G$5:$G$110&lt;&gt;"acoes")))*INDEX(Inputs!$K$5:$AJ$110,0,MATCH(L$2,Inputs!$K$4:$AJ$4,0)))+SUMPRODUCT((Inputs!$C$5:$C$110=$B31)*Inputs!$D$5:$D$110*(((Inputs!$G$5:$G$110="moeda")+(Inputs!$G$5:$G$110="acoes"))*Inputs!$B$1+((Inputs!$G$5:$G$110&lt;&gt;"moeda")*(Inputs!$G$5:$G$110&lt;&gt;"acoes")))*INDEX(Inputs!$K$5:$AJ$110,0,MATCH(L$2,Inputs!$K$4:$AJ$4,0)))+SUMPRODUCT((Inputs!$E$5:$E$110=$B31)*Inputs!$F$5:$F$110*(((Inputs!$G$5:$G$110="moeda")+(Inputs!$G$5:$G$110="acoes"))*Inputs!$B$1+((Inputs!$G$5:$G$110&lt;&gt;"moeda")*(Inputs!$G$5:$G$110&lt;&gt;"acoes")))*INDEX(Inputs!$K$5:$AJ$110,0,MATCH(L$2,Inputs!$K$4:$AJ$4,0)))))</f>
        <v>8372</v>
      </c>
      <c r="M31" s="268">
        <f>L31</f>
        <v>8372</v>
      </c>
      <c r="N31" s="267">
        <f>IF(ISNA(MATCH(N$2,Inputs!$K$4:$AJ$4,0)),NA(),IF(SUMPRODUCT((Inputs!$A$5:$A$110=$B31)*ISNUMBER(INDEX(Inputs!$K$5:$AJ$110,0,MATCH(N$2,Inputs!$K$4:$AJ$4,0))))+SUMPRODUCT((Inputs!$C$5:$C$110=$B31)*ISNUMBER(INDEX(Inputs!$K$5:$AJ$110,0,MATCH(N$2,Inputs!$K$4:$AJ$4,0))))+SUMPRODUCT((Inputs!$E$5:$E$110=$B31)*ISNUMBER(INDEX(Inputs!$K$5:$AJ$110,0,MATCH(N$2,Inputs!$K$4:$AJ$4,0))))=0,NA(),SUMPRODUCT((Inputs!$A$5:$A$110=$B31)*Inputs!$B$5:$B$110*(((Inputs!$G$5:$G$110="moeda")+(Inputs!$G$5:$G$110="acoes"))*Inputs!$B$1+((Inputs!$G$5:$G$110&lt;&gt;"moeda")*(Inputs!$G$5:$G$110&lt;&gt;"acoes")))*INDEX(Inputs!$K$5:$AJ$110,0,MATCH(N$2,Inputs!$K$4:$AJ$4,0)))+SUMPRODUCT((Inputs!$C$5:$C$110=$B31)*Inputs!$D$5:$D$110*(((Inputs!$G$5:$G$110="moeda")+(Inputs!$G$5:$G$110="acoes"))*Inputs!$B$1+((Inputs!$G$5:$G$110&lt;&gt;"moeda")*(Inputs!$G$5:$G$110&lt;&gt;"acoes")))*INDEX(Inputs!$K$5:$AJ$110,0,MATCH(N$2,Inputs!$K$4:$AJ$4,0)))+SUMPRODUCT((Inputs!$E$5:$E$110=$B31)*Inputs!$F$5:$F$110*(((Inputs!$G$5:$G$110="moeda")+(Inputs!$G$5:$G$110="acoes"))*Inputs!$B$1+((Inputs!$G$5:$G$110&lt;&gt;"moeda")*(Inputs!$G$5:$G$110&lt;&gt;"acoes")))*INDEX(Inputs!$K$5:$AJ$110,0,MATCH(N$2,Inputs!$K$4:$AJ$4,0)))))</f>
        <v>9534</v>
      </c>
      <c r="O31" s="267">
        <f>IF(ISNA(MATCH(O$2,Inputs!$K$4:$AJ$4,0)),NA(),IF(SUMPRODUCT((Inputs!$A$5:$A$110=$B31)*ISNUMBER(INDEX(Inputs!$K$5:$AJ$110,0,MATCH(O$2,Inputs!$K$4:$AJ$4,0))))+SUMPRODUCT((Inputs!$C$5:$C$110=$B31)*ISNUMBER(INDEX(Inputs!$K$5:$AJ$110,0,MATCH(O$2,Inputs!$K$4:$AJ$4,0))))+SUMPRODUCT((Inputs!$E$5:$E$110=$B31)*ISNUMBER(INDEX(Inputs!$K$5:$AJ$110,0,MATCH(O$2,Inputs!$K$4:$AJ$4,0))))=0,NA(),SUMPRODUCT((Inputs!$A$5:$A$110=$B31)*Inputs!$B$5:$B$110*(((Inputs!$G$5:$G$110="moeda")+(Inputs!$G$5:$G$110="acoes"))*Inputs!$B$1+((Inputs!$G$5:$G$110&lt;&gt;"moeda")*(Inputs!$G$5:$G$110&lt;&gt;"acoes")))*INDEX(Inputs!$K$5:$AJ$110,0,MATCH(O$2,Inputs!$K$4:$AJ$4,0)))+SUMPRODUCT((Inputs!$C$5:$C$110=$B31)*Inputs!$D$5:$D$110*(((Inputs!$G$5:$G$110="moeda")+(Inputs!$G$5:$G$110="acoes"))*Inputs!$B$1+((Inputs!$G$5:$G$110&lt;&gt;"moeda")*(Inputs!$G$5:$G$110&lt;&gt;"acoes")))*INDEX(Inputs!$K$5:$AJ$110,0,MATCH(O$2,Inputs!$K$4:$AJ$4,0)))+SUMPRODUCT((Inputs!$E$5:$E$110=$B31)*Inputs!$F$5:$F$110*(((Inputs!$G$5:$G$110="moeda")+(Inputs!$G$5:$G$110="acoes"))*Inputs!$B$1+((Inputs!$G$5:$G$110&lt;&gt;"moeda")*(Inputs!$G$5:$G$110&lt;&gt;"acoes")))*INDEX(Inputs!$K$5:$AJ$110,0,MATCH(O$2,Inputs!$K$4:$AJ$4,0)))))</f>
        <v>8662</v>
      </c>
      <c r="P31" s="267">
        <f>IF(ISNA(MATCH(P$2,Inputs!$K$4:$AJ$4,0)),NA(),IF(SUMPRODUCT((Inputs!$A$5:$A$110=$B31)*ISNUMBER(INDEX(Inputs!$K$5:$AJ$110,0,MATCH(P$2,Inputs!$K$4:$AJ$4,0))))+SUMPRODUCT((Inputs!$C$5:$C$110=$B31)*ISNUMBER(INDEX(Inputs!$K$5:$AJ$110,0,MATCH(P$2,Inputs!$K$4:$AJ$4,0))))+SUMPRODUCT((Inputs!$E$5:$E$110=$B31)*ISNUMBER(INDEX(Inputs!$K$5:$AJ$110,0,MATCH(P$2,Inputs!$K$4:$AJ$4,0))))=0,NA(),SUMPRODUCT((Inputs!$A$5:$A$110=$B31)*Inputs!$B$5:$B$110*(((Inputs!$G$5:$G$110="moeda")+(Inputs!$G$5:$G$110="acoes"))*Inputs!$B$1+((Inputs!$G$5:$G$110&lt;&gt;"moeda")*(Inputs!$G$5:$G$110&lt;&gt;"acoes")))*INDEX(Inputs!$K$5:$AJ$110,0,MATCH(P$2,Inputs!$K$4:$AJ$4,0)))+SUMPRODUCT((Inputs!$C$5:$C$110=$B31)*Inputs!$D$5:$D$110*(((Inputs!$G$5:$G$110="moeda")+(Inputs!$G$5:$G$110="acoes"))*Inputs!$B$1+((Inputs!$G$5:$G$110&lt;&gt;"moeda")*(Inputs!$G$5:$G$110&lt;&gt;"acoes")))*INDEX(Inputs!$K$5:$AJ$110,0,MATCH(P$2,Inputs!$K$4:$AJ$4,0)))+SUMPRODUCT((Inputs!$E$5:$E$110=$B31)*Inputs!$F$5:$F$110*(((Inputs!$G$5:$G$110="moeda")+(Inputs!$G$5:$G$110="acoes"))*Inputs!$B$1+((Inputs!$G$5:$G$110&lt;&gt;"moeda")*(Inputs!$G$5:$G$110&lt;&gt;"acoes")))*INDEX(Inputs!$K$5:$AJ$110,0,MATCH(P$2,Inputs!$K$4:$AJ$4,0)))))</f>
        <v>8591</v>
      </c>
      <c r="Q31" s="267">
        <f>IF(ISNA(MATCH(Q$2,Inputs!$K$4:$AJ$4,0)),NA(),IF(SUMPRODUCT((Inputs!$A$5:$A$110=$B31)*ISNUMBER(INDEX(Inputs!$K$5:$AJ$110,0,MATCH(Q$2,Inputs!$K$4:$AJ$4,0))))+SUMPRODUCT((Inputs!$C$5:$C$110=$B31)*ISNUMBER(INDEX(Inputs!$K$5:$AJ$110,0,MATCH(Q$2,Inputs!$K$4:$AJ$4,0))))+SUMPRODUCT((Inputs!$E$5:$E$110=$B31)*ISNUMBER(INDEX(Inputs!$K$5:$AJ$110,0,MATCH(Q$2,Inputs!$K$4:$AJ$4,0))))=0,NA(),SUMPRODUCT((Inputs!$A$5:$A$110=$B31)*Inputs!$B$5:$B$110*(((Inputs!$G$5:$G$110="moeda")+(Inputs!$G$5:$G$110="acoes"))*Inputs!$B$1+((Inputs!$G$5:$G$110&lt;&gt;"moeda")*(Inputs!$G$5:$G$110&lt;&gt;"acoes")))*INDEX(Inputs!$K$5:$AJ$110,0,MATCH(Q$2,Inputs!$K$4:$AJ$4,0)))+SUMPRODUCT((Inputs!$C$5:$C$110=$B31)*Inputs!$D$5:$D$110*(((Inputs!$G$5:$G$110="moeda")+(Inputs!$G$5:$G$110="acoes"))*Inputs!$B$1+((Inputs!$G$5:$G$110&lt;&gt;"moeda")*(Inputs!$G$5:$G$110&lt;&gt;"acoes")))*INDEX(Inputs!$K$5:$AJ$110,0,MATCH(Q$2,Inputs!$K$4:$AJ$4,0)))+SUMPRODUCT((Inputs!$E$5:$E$110=$B31)*Inputs!$F$5:$F$110*(((Inputs!$G$5:$G$110="moeda")+(Inputs!$G$5:$G$110="acoes"))*Inputs!$B$1+((Inputs!$G$5:$G$110&lt;&gt;"moeda")*(Inputs!$G$5:$G$110&lt;&gt;"acoes")))*INDEX(Inputs!$K$5:$AJ$110,0,MATCH(Q$2,Inputs!$K$4:$AJ$4,0)))))</f>
        <v>8650</v>
      </c>
      <c r="R31" s="268">
        <f>Q31</f>
        <v>8650</v>
      </c>
      <c r="S31" s="267">
        <f>IF(ISNA(MATCH(S$2,Inputs!$K$4:$AJ$4,0)),NA(),IF(SUMPRODUCT((Inputs!$A$5:$A$110=$B31)*ISNUMBER(INDEX(Inputs!$K$5:$AJ$110,0,MATCH(S$2,Inputs!$K$4:$AJ$4,0))))+SUMPRODUCT((Inputs!$C$5:$C$110=$B31)*ISNUMBER(INDEX(Inputs!$K$5:$AJ$110,0,MATCH(S$2,Inputs!$K$4:$AJ$4,0))))+SUMPRODUCT((Inputs!$E$5:$E$110=$B31)*ISNUMBER(INDEX(Inputs!$K$5:$AJ$110,0,MATCH(S$2,Inputs!$K$4:$AJ$4,0))))=0,NA(),SUMPRODUCT((Inputs!$A$5:$A$110=$B31)*Inputs!$B$5:$B$110*(((Inputs!$G$5:$G$110="moeda")+(Inputs!$G$5:$G$110="acoes"))*Inputs!$B$1+((Inputs!$G$5:$G$110&lt;&gt;"moeda")*(Inputs!$G$5:$G$110&lt;&gt;"acoes")))*INDEX(Inputs!$K$5:$AJ$110,0,MATCH(S$2,Inputs!$K$4:$AJ$4,0)))+SUMPRODUCT((Inputs!$C$5:$C$110=$B31)*Inputs!$D$5:$D$110*(((Inputs!$G$5:$G$110="moeda")+(Inputs!$G$5:$G$110="acoes"))*Inputs!$B$1+((Inputs!$G$5:$G$110&lt;&gt;"moeda")*(Inputs!$G$5:$G$110&lt;&gt;"acoes")))*INDEX(Inputs!$K$5:$AJ$110,0,MATCH(S$2,Inputs!$K$4:$AJ$4,0)))+SUMPRODUCT((Inputs!$E$5:$E$110=$B31)*Inputs!$F$5:$F$110*(((Inputs!$G$5:$G$110="moeda")+(Inputs!$G$5:$G$110="acoes"))*Inputs!$B$1+((Inputs!$G$5:$G$110&lt;&gt;"moeda")*(Inputs!$G$5:$G$110&lt;&gt;"acoes")))*INDEX(Inputs!$K$5:$AJ$110,0,MATCH(S$2,Inputs!$K$4:$AJ$4,0)))))</f>
        <v>9045</v>
      </c>
      <c r="T31" s="267">
        <f>IF(ISNA(MATCH(T$2,Inputs!$K$4:$AJ$4,0)),NA(),IF(SUMPRODUCT((Inputs!$A$5:$A$110=$B31)*ISNUMBER(INDEX(Inputs!$K$5:$AJ$110,0,MATCH(T$2,Inputs!$K$4:$AJ$4,0))))+SUMPRODUCT((Inputs!$C$5:$C$110=$B31)*ISNUMBER(INDEX(Inputs!$K$5:$AJ$110,0,MATCH(T$2,Inputs!$K$4:$AJ$4,0))))+SUMPRODUCT((Inputs!$E$5:$E$110=$B31)*ISNUMBER(INDEX(Inputs!$K$5:$AJ$110,0,MATCH(T$2,Inputs!$K$4:$AJ$4,0))))=0,NA(),SUMPRODUCT((Inputs!$A$5:$A$110=$B31)*Inputs!$B$5:$B$110*(((Inputs!$G$5:$G$110="moeda")+(Inputs!$G$5:$G$110="acoes"))*Inputs!$B$1+((Inputs!$G$5:$G$110&lt;&gt;"moeda")*(Inputs!$G$5:$G$110&lt;&gt;"acoes")))*INDEX(Inputs!$K$5:$AJ$110,0,MATCH(T$2,Inputs!$K$4:$AJ$4,0)))+SUMPRODUCT((Inputs!$C$5:$C$110=$B31)*Inputs!$D$5:$D$110*(((Inputs!$G$5:$G$110="moeda")+(Inputs!$G$5:$G$110="acoes"))*Inputs!$B$1+((Inputs!$G$5:$G$110&lt;&gt;"moeda")*(Inputs!$G$5:$G$110&lt;&gt;"acoes")))*INDEX(Inputs!$K$5:$AJ$110,0,MATCH(T$2,Inputs!$K$4:$AJ$4,0)))+SUMPRODUCT((Inputs!$E$5:$E$110=$B31)*Inputs!$F$5:$F$110*(((Inputs!$G$5:$G$110="moeda")+(Inputs!$G$5:$G$110="acoes"))*Inputs!$B$1+((Inputs!$G$5:$G$110&lt;&gt;"moeda")*(Inputs!$G$5:$G$110&lt;&gt;"acoes")))*INDEX(Inputs!$K$5:$AJ$110,0,MATCH(T$2,Inputs!$K$4:$AJ$4,0)))))</f>
        <v>8736</v>
      </c>
      <c r="U31" s="267">
        <f>IF(ISNA(MATCH(U$2,Inputs!$K$4:$AJ$4,0)),NA(),IF(SUMPRODUCT((Inputs!$A$5:$A$110=$B31)*ISNUMBER(INDEX(Inputs!$K$5:$AJ$110,0,MATCH(U$2,Inputs!$K$4:$AJ$4,0))))+SUMPRODUCT((Inputs!$C$5:$C$110=$B31)*ISNUMBER(INDEX(Inputs!$K$5:$AJ$110,0,MATCH(U$2,Inputs!$K$4:$AJ$4,0))))+SUMPRODUCT((Inputs!$E$5:$E$110=$B31)*ISNUMBER(INDEX(Inputs!$K$5:$AJ$110,0,MATCH(U$2,Inputs!$K$4:$AJ$4,0))))=0,NA(),SUMPRODUCT((Inputs!$A$5:$A$110=$B31)*Inputs!$B$5:$B$110*(((Inputs!$G$5:$G$110="moeda")+(Inputs!$G$5:$G$110="acoes"))*Inputs!$B$1+((Inputs!$G$5:$G$110&lt;&gt;"moeda")*(Inputs!$G$5:$G$110&lt;&gt;"acoes")))*INDEX(Inputs!$K$5:$AJ$110,0,MATCH(U$2,Inputs!$K$4:$AJ$4,0)))+SUMPRODUCT((Inputs!$C$5:$C$110=$B31)*Inputs!$D$5:$D$110*(((Inputs!$G$5:$G$110="moeda")+(Inputs!$G$5:$G$110="acoes"))*Inputs!$B$1+((Inputs!$G$5:$G$110&lt;&gt;"moeda")*(Inputs!$G$5:$G$110&lt;&gt;"acoes")))*INDEX(Inputs!$K$5:$AJ$110,0,MATCH(U$2,Inputs!$K$4:$AJ$4,0)))+SUMPRODUCT((Inputs!$E$5:$E$110=$B31)*Inputs!$F$5:$F$110*(((Inputs!$G$5:$G$110="moeda")+(Inputs!$G$5:$G$110="acoes"))*Inputs!$B$1+((Inputs!$G$5:$G$110&lt;&gt;"moeda")*(Inputs!$G$5:$G$110&lt;&gt;"acoes")))*INDEX(Inputs!$K$5:$AJ$110,0,MATCH(U$2,Inputs!$K$4:$AJ$4,0)))))</f>
        <v>8711</v>
      </c>
      <c r="V31" s="267">
        <f>IF(ISNA(MATCH(V$2,Inputs!$K$4:$AJ$4,0)),NA(),IF(SUMPRODUCT((Inputs!$A$5:$A$110=$B31)*ISNUMBER(INDEX(Inputs!$K$5:$AJ$110,0,MATCH(V$2,Inputs!$K$4:$AJ$4,0))))+SUMPRODUCT((Inputs!$C$5:$C$110=$B31)*ISNUMBER(INDEX(Inputs!$K$5:$AJ$110,0,MATCH(V$2,Inputs!$K$4:$AJ$4,0))))+SUMPRODUCT((Inputs!$E$5:$E$110=$B31)*ISNUMBER(INDEX(Inputs!$K$5:$AJ$110,0,MATCH(V$2,Inputs!$K$4:$AJ$4,0))))=0,NA(),SUMPRODUCT((Inputs!$A$5:$A$110=$B31)*Inputs!$B$5:$B$110*(((Inputs!$G$5:$G$110="moeda")+(Inputs!$G$5:$G$110="acoes"))*Inputs!$B$1+((Inputs!$G$5:$G$110&lt;&gt;"moeda")*(Inputs!$G$5:$G$110&lt;&gt;"acoes")))*INDEX(Inputs!$K$5:$AJ$110,0,MATCH(V$2,Inputs!$K$4:$AJ$4,0)))+SUMPRODUCT((Inputs!$C$5:$C$110=$B31)*Inputs!$D$5:$D$110*(((Inputs!$G$5:$G$110="moeda")+(Inputs!$G$5:$G$110="acoes"))*Inputs!$B$1+((Inputs!$G$5:$G$110&lt;&gt;"moeda")*(Inputs!$G$5:$G$110&lt;&gt;"acoes")))*INDEX(Inputs!$K$5:$AJ$110,0,MATCH(V$2,Inputs!$K$4:$AJ$4,0)))+SUMPRODUCT((Inputs!$E$5:$E$110=$B31)*Inputs!$F$5:$F$110*(((Inputs!$G$5:$G$110="moeda")+(Inputs!$G$5:$G$110="acoes"))*Inputs!$B$1+((Inputs!$G$5:$G$110&lt;&gt;"moeda")*(Inputs!$G$5:$G$110&lt;&gt;"acoes")))*INDEX(Inputs!$K$5:$AJ$110,0,MATCH(V$2,Inputs!$K$4:$AJ$4,0)))))</f>
        <v>9267</v>
      </c>
      <c r="W31" s="268">
        <f>V31</f>
        <v>9267</v>
      </c>
      <c r="X31" s="267">
        <f>IF(ISNA(MATCH(X$2,Inputs!$K$4:$AJ$4,0)),NA(),IF(SUMPRODUCT((Inputs!$A$5:$A$110=$B31)*ISNUMBER(INDEX(Inputs!$K$5:$AJ$110,0,MATCH(X$2,Inputs!$K$4:$AJ$4,0))))+SUMPRODUCT((Inputs!$C$5:$C$110=$B31)*ISNUMBER(INDEX(Inputs!$K$5:$AJ$110,0,MATCH(X$2,Inputs!$K$4:$AJ$4,0))))+SUMPRODUCT((Inputs!$E$5:$E$110=$B31)*ISNUMBER(INDEX(Inputs!$K$5:$AJ$110,0,MATCH(X$2,Inputs!$K$4:$AJ$4,0))))=0,NA(),SUMPRODUCT((Inputs!$A$5:$A$110=$B31)*Inputs!$B$5:$B$110*(((Inputs!$G$5:$G$110="moeda")+(Inputs!$G$5:$G$110="acoes"))*Inputs!$B$1+((Inputs!$G$5:$G$110&lt;&gt;"moeda")*(Inputs!$G$5:$G$110&lt;&gt;"acoes")))*INDEX(Inputs!$K$5:$AJ$110,0,MATCH(X$2,Inputs!$K$4:$AJ$4,0)))+SUMPRODUCT((Inputs!$C$5:$C$110=$B31)*Inputs!$D$5:$D$110*(((Inputs!$G$5:$G$110="moeda")+(Inputs!$G$5:$G$110="acoes"))*Inputs!$B$1+((Inputs!$G$5:$G$110&lt;&gt;"moeda")*(Inputs!$G$5:$G$110&lt;&gt;"acoes")))*INDEX(Inputs!$K$5:$AJ$110,0,MATCH(X$2,Inputs!$K$4:$AJ$4,0)))+SUMPRODUCT((Inputs!$E$5:$E$110=$B31)*Inputs!$F$5:$F$110*(((Inputs!$G$5:$G$110="moeda")+(Inputs!$G$5:$G$110="acoes"))*Inputs!$B$1+((Inputs!$G$5:$G$110&lt;&gt;"moeda")*(Inputs!$G$5:$G$110&lt;&gt;"acoes")))*INDEX(Inputs!$K$5:$AJ$110,0,MATCH(X$2,Inputs!$K$4:$AJ$4,0)))))</f>
        <v>10748</v>
      </c>
      <c r="Y31" s="267">
        <f>IF(ISNA(MATCH(Y$2,Inputs!$K$4:$AJ$4,0)),NA(),IF(SUMPRODUCT((Inputs!$A$5:$A$110=$B31)*ISNUMBER(INDEX(Inputs!$K$5:$AJ$110,0,MATCH(Y$2,Inputs!$K$4:$AJ$4,0))))+SUMPRODUCT((Inputs!$C$5:$C$110=$B31)*ISNUMBER(INDEX(Inputs!$K$5:$AJ$110,0,MATCH(Y$2,Inputs!$K$4:$AJ$4,0))))+SUMPRODUCT((Inputs!$E$5:$E$110=$B31)*ISNUMBER(INDEX(Inputs!$K$5:$AJ$110,0,MATCH(Y$2,Inputs!$K$4:$AJ$4,0))))=0,NA(),SUMPRODUCT((Inputs!$A$5:$A$110=$B31)*Inputs!$B$5:$B$110*(((Inputs!$G$5:$G$110="moeda")+(Inputs!$G$5:$G$110="acoes"))*Inputs!$B$1+((Inputs!$G$5:$G$110&lt;&gt;"moeda")*(Inputs!$G$5:$G$110&lt;&gt;"acoes")))*INDEX(Inputs!$K$5:$AJ$110,0,MATCH(Y$2,Inputs!$K$4:$AJ$4,0)))+SUMPRODUCT((Inputs!$C$5:$C$110=$B31)*Inputs!$D$5:$D$110*(((Inputs!$G$5:$G$110="moeda")+(Inputs!$G$5:$G$110="acoes"))*Inputs!$B$1+((Inputs!$G$5:$G$110&lt;&gt;"moeda")*(Inputs!$G$5:$G$110&lt;&gt;"acoes")))*INDEX(Inputs!$K$5:$AJ$110,0,MATCH(Y$2,Inputs!$K$4:$AJ$4,0)))+SUMPRODUCT((Inputs!$E$5:$E$110=$B31)*Inputs!$F$5:$F$110*(((Inputs!$G$5:$G$110="moeda")+(Inputs!$G$5:$G$110="acoes"))*Inputs!$B$1+((Inputs!$G$5:$G$110&lt;&gt;"moeda")*(Inputs!$G$5:$G$110&lt;&gt;"acoes")))*INDEX(Inputs!$K$5:$AJ$110,0,MATCH(Y$2,Inputs!$K$4:$AJ$4,0)))))</f>
        <v>10363</v>
      </c>
      <c r="Z31" s="267">
        <f>IF(ISNA(MATCH(Z$2,Inputs!$K$4:$AJ$4,0)),NA(),IF(SUMPRODUCT((Inputs!$A$5:$A$110=$B31)*ISNUMBER(INDEX(Inputs!$K$5:$AJ$110,0,MATCH(Z$2,Inputs!$K$4:$AJ$4,0))))+SUMPRODUCT((Inputs!$C$5:$C$110=$B31)*ISNUMBER(INDEX(Inputs!$K$5:$AJ$110,0,MATCH(Z$2,Inputs!$K$4:$AJ$4,0))))+SUMPRODUCT((Inputs!$E$5:$E$110=$B31)*ISNUMBER(INDEX(Inputs!$K$5:$AJ$110,0,MATCH(Z$2,Inputs!$K$4:$AJ$4,0))))=0,NA(),SUMPRODUCT((Inputs!$A$5:$A$110=$B31)*Inputs!$B$5:$B$110*(((Inputs!$G$5:$G$110="moeda")+(Inputs!$G$5:$G$110="acoes"))*Inputs!$B$1+((Inputs!$G$5:$G$110&lt;&gt;"moeda")*(Inputs!$G$5:$G$110&lt;&gt;"acoes")))*INDEX(Inputs!$K$5:$AJ$110,0,MATCH(Z$2,Inputs!$K$4:$AJ$4,0)))+SUMPRODUCT((Inputs!$C$5:$C$110=$B31)*Inputs!$D$5:$D$110*(((Inputs!$G$5:$G$110="moeda")+(Inputs!$G$5:$G$110="acoes"))*Inputs!$B$1+((Inputs!$G$5:$G$110&lt;&gt;"moeda")*(Inputs!$G$5:$G$110&lt;&gt;"acoes")))*INDEX(Inputs!$K$5:$AJ$110,0,MATCH(Z$2,Inputs!$K$4:$AJ$4,0)))+SUMPRODUCT((Inputs!$E$5:$E$110=$B31)*Inputs!$F$5:$F$110*(((Inputs!$G$5:$G$110="moeda")+(Inputs!$G$5:$G$110="acoes"))*Inputs!$B$1+((Inputs!$G$5:$G$110&lt;&gt;"moeda")*(Inputs!$G$5:$G$110&lt;&gt;"acoes")))*INDEX(Inputs!$K$5:$AJ$110,0,MATCH(Z$2,Inputs!$K$4:$AJ$4,0)))))</f>
        <v>9443</v>
      </c>
      <c r="AA31" s="267">
        <f>IF(ISNA(MATCH(AA$2,Inputs!$K$4:$AJ$4,0)),NA(),IF(SUMPRODUCT((Inputs!$A$5:$A$110=$B31)*ISNUMBER(INDEX(Inputs!$K$5:$AJ$110,0,MATCH(AA$2,Inputs!$K$4:$AJ$4,0))))+SUMPRODUCT((Inputs!$C$5:$C$110=$B31)*ISNUMBER(INDEX(Inputs!$K$5:$AJ$110,0,MATCH(AA$2,Inputs!$K$4:$AJ$4,0))))+SUMPRODUCT((Inputs!$E$5:$E$110=$B31)*ISNUMBER(INDEX(Inputs!$K$5:$AJ$110,0,MATCH(AA$2,Inputs!$K$4:$AJ$4,0))))=0,NA(),SUMPRODUCT((Inputs!$A$5:$A$110=$B31)*Inputs!$B$5:$B$110*(((Inputs!$G$5:$G$110="moeda")+(Inputs!$G$5:$G$110="acoes"))*Inputs!$B$1+((Inputs!$G$5:$G$110&lt;&gt;"moeda")*(Inputs!$G$5:$G$110&lt;&gt;"acoes")))*INDEX(Inputs!$K$5:$AJ$110,0,MATCH(AA$2,Inputs!$K$4:$AJ$4,0)))+SUMPRODUCT((Inputs!$C$5:$C$110=$B31)*Inputs!$D$5:$D$110*(((Inputs!$G$5:$G$110="moeda")+(Inputs!$G$5:$G$110="acoes"))*Inputs!$B$1+((Inputs!$G$5:$G$110&lt;&gt;"moeda")*(Inputs!$G$5:$G$110&lt;&gt;"acoes")))*INDEX(Inputs!$K$5:$AJ$110,0,MATCH(AA$2,Inputs!$K$4:$AJ$4,0)))+SUMPRODUCT((Inputs!$E$5:$E$110=$B31)*Inputs!$F$5:$F$110*(((Inputs!$G$5:$G$110="moeda")+(Inputs!$G$5:$G$110="acoes"))*Inputs!$B$1+((Inputs!$G$5:$G$110&lt;&gt;"moeda")*(Inputs!$G$5:$G$110&lt;&gt;"acoes")))*INDEX(Inputs!$K$5:$AJ$110,0,MATCH(AA$2,Inputs!$K$4:$AJ$4,0)))))</f>
        <v>10408</v>
      </c>
      <c r="AB31" s="268">
        <f>AA31</f>
        <v>10408</v>
      </c>
      <c r="AC31" s="267">
        <f>IF(ISNA(MATCH(AC$2,Inputs!$K$4:$AJ$4,0)),NA(),IF(SUMPRODUCT((Inputs!$A$5:$A$110=$B31)*ISNUMBER(INDEX(Inputs!$K$5:$AJ$110,0,MATCH(AC$2,Inputs!$K$4:$AJ$4,0))))+SUMPRODUCT((Inputs!$C$5:$C$110=$B31)*ISNUMBER(INDEX(Inputs!$K$5:$AJ$110,0,MATCH(AC$2,Inputs!$K$4:$AJ$4,0))))+SUMPRODUCT((Inputs!$E$5:$E$110=$B31)*ISNUMBER(INDEX(Inputs!$K$5:$AJ$110,0,MATCH(AC$2,Inputs!$K$4:$AJ$4,0))))=0,NA(),SUMPRODUCT((Inputs!$A$5:$A$110=$B31)*Inputs!$B$5:$B$110*(((Inputs!$G$5:$G$110="moeda")+(Inputs!$G$5:$G$110="acoes"))*Inputs!$B$1+((Inputs!$G$5:$G$110&lt;&gt;"moeda")*(Inputs!$G$5:$G$110&lt;&gt;"acoes")))*INDEX(Inputs!$K$5:$AJ$110,0,MATCH(AC$2,Inputs!$K$4:$AJ$4,0)))+SUMPRODUCT((Inputs!$C$5:$C$110=$B31)*Inputs!$D$5:$D$110*(((Inputs!$G$5:$G$110="moeda")+(Inputs!$G$5:$G$110="acoes"))*Inputs!$B$1+((Inputs!$G$5:$G$110&lt;&gt;"moeda")*(Inputs!$G$5:$G$110&lt;&gt;"acoes")))*INDEX(Inputs!$K$5:$AJ$110,0,MATCH(AC$2,Inputs!$K$4:$AJ$4,0)))+SUMPRODUCT((Inputs!$E$5:$E$110=$B31)*Inputs!$F$5:$F$110*(((Inputs!$G$5:$G$110="moeda")+(Inputs!$G$5:$G$110="acoes"))*Inputs!$B$1+((Inputs!$G$5:$G$110&lt;&gt;"moeda")*(Inputs!$G$5:$G$110&lt;&gt;"acoes")))*INDEX(Inputs!$K$5:$AJ$110,0,MATCH(AC$2,Inputs!$K$4:$AJ$4,0)))))</f>
        <v>11648</v>
      </c>
      <c r="AD31" s="267">
        <f>IF(ISNA(MATCH(AD$2,Inputs!$K$4:$AJ$4,0)),NA(),IF(SUMPRODUCT((Inputs!$A$5:$A$110=$B31)*ISNUMBER(INDEX(Inputs!$K$5:$AJ$110,0,MATCH(AD$2,Inputs!$K$4:$AJ$4,0))))+SUMPRODUCT((Inputs!$C$5:$C$110=$B31)*ISNUMBER(INDEX(Inputs!$K$5:$AJ$110,0,MATCH(AD$2,Inputs!$K$4:$AJ$4,0))))+SUMPRODUCT((Inputs!$E$5:$E$110=$B31)*ISNUMBER(INDEX(Inputs!$K$5:$AJ$110,0,MATCH(AD$2,Inputs!$K$4:$AJ$4,0))))=0,NA(),SUMPRODUCT((Inputs!$A$5:$A$110=$B31)*Inputs!$B$5:$B$110*(((Inputs!$G$5:$G$110="moeda")+(Inputs!$G$5:$G$110="acoes"))*Inputs!$B$1+((Inputs!$G$5:$G$110&lt;&gt;"moeda")*(Inputs!$G$5:$G$110&lt;&gt;"acoes")))*INDEX(Inputs!$K$5:$AJ$110,0,MATCH(AD$2,Inputs!$K$4:$AJ$4,0)))+SUMPRODUCT((Inputs!$C$5:$C$110=$B31)*Inputs!$D$5:$D$110*(((Inputs!$G$5:$G$110="moeda")+(Inputs!$G$5:$G$110="acoes"))*Inputs!$B$1+((Inputs!$G$5:$G$110&lt;&gt;"moeda")*(Inputs!$G$5:$G$110&lt;&gt;"acoes")))*INDEX(Inputs!$K$5:$AJ$110,0,MATCH(AD$2,Inputs!$K$4:$AJ$4,0)))+SUMPRODUCT((Inputs!$E$5:$E$110=$B31)*Inputs!$F$5:$F$110*(((Inputs!$G$5:$G$110="moeda")+(Inputs!$G$5:$G$110="acoes"))*Inputs!$B$1+((Inputs!$G$5:$G$110&lt;&gt;"moeda")*(Inputs!$G$5:$G$110&lt;&gt;"acoes")))*INDEX(Inputs!$K$5:$AJ$110,0,MATCH(AD$2,Inputs!$K$4:$AJ$4,0)))))</f>
        <v>11596</v>
      </c>
      <c r="AE31" s="267" t="e">
        <f>IF(ISNA(MATCH(AE$2,Inputs!$K$4:$AJ$4,0)),NA(),IF(SUMPRODUCT((Inputs!$A$5:$A$110=$B31)*ISNUMBER(INDEX(Inputs!$K$5:$AJ$110,0,MATCH(AE$2,Inputs!$K$4:$AJ$4,0))))+SUMPRODUCT((Inputs!$C$5:$C$110=$B31)*ISNUMBER(INDEX(Inputs!$K$5:$AJ$110,0,MATCH(AE$2,Inputs!$K$4:$AJ$4,0))))+SUMPRODUCT((Inputs!$E$5:$E$110=$B31)*ISNUMBER(INDEX(Inputs!$K$5:$AJ$110,0,MATCH(AE$2,Inputs!$K$4:$AJ$4,0))))=0,NA(),SUMPRODUCT((Inputs!$A$5:$A$110=$B31)*Inputs!$B$5:$B$110*(((Inputs!$G$5:$G$110="moeda")+(Inputs!$G$5:$G$110="acoes"))*Inputs!$B$1+((Inputs!$G$5:$G$110&lt;&gt;"moeda")*(Inputs!$G$5:$G$110&lt;&gt;"acoes")))*INDEX(Inputs!$K$5:$AJ$110,0,MATCH(AE$2,Inputs!$K$4:$AJ$4,0)))+SUMPRODUCT((Inputs!$C$5:$C$110=$B31)*Inputs!$D$5:$D$110*(((Inputs!$G$5:$G$110="moeda")+(Inputs!$G$5:$G$110="acoes"))*Inputs!$B$1+((Inputs!$G$5:$G$110&lt;&gt;"moeda")*(Inputs!$G$5:$G$110&lt;&gt;"acoes")))*INDEX(Inputs!$K$5:$AJ$110,0,MATCH(AE$2,Inputs!$K$4:$AJ$4,0)))+SUMPRODUCT((Inputs!$E$5:$E$110=$B31)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1" s="267" t="e">
        <f>IF(ISNA(MATCH(AF$2,Inputs!$K$4:$AJ$4,0)),NA(),IF(SUMPRODUCT((Inputs!$A$5:$A$110=$B31)*ISNUMBER(INDEX(Inputs!$K$5:$AJ$110,0,MATCH(AF$2,Inputs!$K$4:$AJ$4,0))))+SUMPRODUCT((Inputs!$C$5:$C$110=$B31)*ISNUMBER(INDEX(Inputs!$K$5:$AJ$110,0,MATCH(AF$2,Inputs!$K$4:$AJ$4,0))))+SUMPRODUCT((Inputs!$E$5:$E$110=$B31)*ISNUMBER(INDEX(Inputs!$K$5:$AJ$110,0,MATCH(AF$2,Inputs!$K$4:$AJ$4,0))))=0,NA(),SUMPRODUCT((Inputs!$A$5:$A$110=$B31)*Inputs!$B$5:$B$110*(((Inputs!$G$5:$G$110="moeda")+(Inputs!$G$5:$G$110="acoes"))*Inputs!$B$1+((Inputs!$G$5:$G$110&lt;&gt;"moeda")*(Inputs!$G$5:$G$110&lt;&gt;"acoes")))*INDEX(Inputs!$K$5:$AJ$110,0,MATCH(AF$2,Inputs!$K$4:$AJ$4,0)))+SUMPRODUCT((Inputs!$C$5:$C$110=$B31)*Inputs!$D$5:$D$110*(((Inputs!$G$5:$G$110="moeda")+(Inputs!$G$5:$G$110="acoes"))*Inputs!$B$1+((Inputs!$G$5:$G$110&lt;&gt;"moeda")*(Inputs!$G$5:$G$110&lt;&gt;"acoes")))*INDEX(Inputs!$K$5:$AJ$110,0,MATCH(AF$2,Inputs!$K$4:$AJ$4,0)))+SUMPRODUCT((Inputs!$E$5:$E$110=$B31)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1" s="268" t="e">
        <f>AF31</f>
        <v>#N/A</v>
      </c>
      <c r="AH31" s="267">
        <f>IF(ISNA(MATCH(AH$2,Inputs!$K$4:$AJ$4,0)),NA(),IF(SUMPRODUCT((Inputs!$A$5:$A$110=$B31)*ISNUMBER(INDEX(Inputs!$K$5:$AJ$110,0,MATCH(AH$2,Inputs!$K$4:$AJ$4,0))))+SUMPRODUCT((Inputs!$C$5:$C$110=$B31)*ISNUMBER(INDEX(Inputs!$K$5:$AJ$110,0,MATCH(AH$2,Inputs!$K$4:$AJ$4,0))))+SUMPRODUCT((Inputs!$E$5:$E$110=$B31)*ISNUMBER(INDEX(Inputs!$K$5:$AJ$110,0,MATCH(AH$2,Inputs!$K$4:$AJ$4,0))))=0,NA(),SUMPRODUCT((Inputs!$A$5:$A$110=$B31)*Inputs!$B$5:$B$110*(((Inputs!$G$5:$G$110="moeda")+(Inputs!$G$5:$G$110="acoes"))*Inputs!$B$1+((Inputs!$G$5:$G$110&lt;&gt;"moeda")*(Inputs!$G$5:$G$110&lt;&gt;"acoes")))*INDEX(Inputs!$K$5:$AJ$110,0,MATCH(AH$2,Inputs!$K$4:$AJ$4,0)))+SUMPRODUCT((Inputs!$C$5:$C$110=$B31)*Inputs!$D$5:$D$110*(((Inputs!$G$5:$G$110="moeda")+(Inputs!$G$5:$G$110="acoes"))*Inputs!$B$1+((Inputs!$G$5:$G$110&lt;&gt;"moeda")*(Inputs!$G$5:$G$110&lt;&gt;"acoes")))*INDEX(Inputs!$K$5:$AJ$110,0,MATCH(AH$2,Inputs!$K$4:$AJ$4,0)))+SUMPRODUCT((Inputs!$E$5:$E$110=$B31)*Inputs!$F$5:$F$110*(((Inputs!$G$5:$G$110="moeda")+(Inputs!$G$5:$G$110="acoes"))*Inputs!$B$1+((Inputs!$G$5:$G$110&lt;&gt;"moeda")*(Inputs!$G$5:$G$110&lt;&gt;"acoes")))*INDEX(Inputs!$K$5:$AJ$110,0,MATCH(AH$2,Inputs!$K$4:$AJ$4,0)))))</f>
        <v>7708</v>
      </c>
      <c r="AI31" s="267">
        <f>IF(ISNA(MATCH(AI$2,Inputs!$K$4:$AJ$4,0)),NA(),IF(SUMPRODUCT((Inputs!$A$5:$A$110=$B31)*ISNUMBER(INDEX(Inputs!$K$5:$AJ$110,0,MATCH(AI$2,Inputs!$K$4:$AJ$4,0))))+SUMPRODUCT((Inputs!$C$5:$C$110=$B31)*ISNUMBER(INDEX(Inputs!$K$5:$AJ$110,0,MATCH(AI$2,Inputs!$K$4:$AJ$4,0))))+SUMPRODUCT((Inputs!$E$5:$E$110=$B31)*ISNUMBER(INDEX(Inputs!$K$5:$AJ$110,0,MATCH(AI$2,Inputs!$K$4:$AJ$4,0))))=0,NA(),SUMPRODUCT((Inputs!$A$5:$A$110=$B31)*Inputs!$B$5:$B$110*(((Inputs!$G$5:$G$110="moeda")+(Inputs!$G$5:$G$110="acoes"))*Inputs!$B$1+((Inputs!$G$5:$G$110&lt;&gt;"moeda")*(Inputs!$G$5:$G$110&lt;&gt;"acoes")))*INDEX(Inputs!$K$5:$AJ$110,0,MATCH(AI$2,Inputs!$K$4:$AJ$4,0)))+SUMPRODUCT((Inputs!$C$5:$C$110=$B31)*Inputs!$D$5:$D$110*(((Inputs!$G$5:$G$110="moeda")+(Inputs!$G$5:$G$110="acoes"))*Inputs!$B$1+((Inputs!$G$5:$G$110&lt;&gt;"moeda")*(Inputs!$G$5:$G$110&lt;&gt;"acoes")))*INDEX(Inputs!$K$5:$AJ$110,0,MATCH(AI$2,Inputs!$K$4:$AJ$4,0)))+SUMPRODUCT((Inputs!$E$5:$E$110=$B31)*Inputs!$F$5:$F$110*(((Inputs!$G$5:$G$110="moeda")+(Inputs!$G$5:$G$110="acoes"))*Inputs!$B$1+((Inputs!$G$5:$G$110&lt;&gt;"moeda")*(Inputs!$G$5:$G$110&lt;&gt;"acoes")))*INDEX(Inputs!$K$5:$AJ$110,0,MATCH(AI$2,Inputs!$K$4:$AJ$4,0)))))</f>
        <v>7223</v>
      </c>
      <c r="AJ31" s="267">
        <f>IF(ISNA(MATCH(AJ$2,Inputs!$K$4:$AJ$4,0)),NA(),IF(SUMPRODUCT((Inputs!$A$5:$A$110=$B31)*ISNUMBER(INDEX(Inputs!$K$5:$AJ$110,0,MATCH(AJ$2,Inputs!$K$4:$AJ$4,0))))+SUMPRODUCT((Inputs!$C$5:$C$110=$B31)*ISNUMBER(INDEX(Inputs!$K$5:$AJ$110,0,MATCH(AJ$2,Inputs!$K$4:$AJ$4,0))))+SUMPRODUCT((Inputs!$E$5:$E$110=$B31)*ISNUMBER(INDEX(Inputs!$K$5:$AJ$110,0,MATCH(AJ$2,Inputs!$K$4:$AJ$4,0))))=0,NA(),SUMPRODUCT((Inputs!$A$5:$A$110=$B31)*Inputs!$B$5:$B$110*(((Inputs!$G$5:$G$110="moeda")+(Inputs!$G$5:$G$110="acoes"))*Inputs!$B$1+((Inputs!$G$5:$G$110&lt;&gt;"moeda")*(Inputs!$G$5:$G$110&lt;&gt;"acoes")))*INDEX(Inputs!$K$5:$AJ$110,0,MATCH(AJ$2,Inputs!$K$4:$AJ$4,0)))+SUMPRODUCT((Inputs!$C$5:$C$110=$B31)*Inputs!$D$5:$D$110*(((Inputs!$G$5:$G$110="moeda")+(Inputs!$G$5:$G$110="acoes"))*Inputs!$B$1+((Inputs!$G$5:$G$110&lt;&gt;"moeda")*(Inputs!$G$5:$G$110&lt;&gt;"acoes")))*INDEX(Inputs!$K$5:$AJ$110,0,MATCH(AJ$2,Inputs!$K$4:$AJ$4,0)))+SUMPRODUCT((Inputs!$E$5:$E$110=$B31)*Inputs!$F$5:$F$110*(((Inputs!$G$5:$G$110="moeda")+(Inputs!$G$5:$G$110="acoes"))*Inputs!$B$1+((Inputs!$G$5:$G$110&lt;&gt;"moeda")*(Inputs!$G$5:$G$110&lt;&gt;"acoes")))*INDEX(Inputs!$K$5:$AJ$110,0,MATCH(AJ$2,Inputs!$K$4:$AJ$4,0)))))</f>
        <v>6972</v>
      </c>
      <c r="AK31" s="267">
        <f>IF(ISNA(MATCH(AK$2,Inputs!$K$4:$AJ$4,0)),NA(),IF(SUMPRODUCT((Inputs!$A$5:$A$110=$B31)*ISNUMBER(INDEX(Inputs!$K$5:$AJ$110,0,MATCH(AK$2,Inputs!$K$4:$AJ$4,0))))+SUMPRODUCT((Inputs!$C$5:$C$110=$B31)*ISNUMBER(INDEX(Inputs!$K$5:$AJ$110,0,MATCH(AK$2,Inputs!$K$4:$AJ$4,0))))+SUMPRODUCT((Inputs!$E$5:$E$110=$B31)*ISNUMBER(INDEX(Inputs!$K$5:$AJ$110,0,MATCH(AK$2,Inputs!$K$4:$AJ$4,0))))=0,NA(),SUMPRODUCT((Inputs!$A$5:$A$110=$B31)*Inputs!$B$5:$B$110*(((Inputs!$G$5:$G$110="moeda")+(Inputs!$G$5:$G$110="acoes"))*Inputs!$B$1+((Inputs!$G$5:$G$110&lt;&gt;"moeda")*(Inputs!$G$5:$G$110&lt;&gt;"acoes")))*INDEX(Inputs!$K$5:$AJ$110,0,MATCH(AK$2,Inputs!$K$4:$AJ$4,0)))+SUMPRODUCT((Inputs!$C$5:$C$110=$B31)*Inputs!$D$5:$D$110*(((Inputs!$G$5:$G$110="moeda")+(Inputs!$G$5:$G$110="acoes"))*Inputs!$B$1+((Inputs!$G$5:$G$110&lt;&gt;"moeda")*(Inputs!$G$5:$G$110&lt;&gt;"acoes")))*INDEX(Inputs!$K$5:$AJ$110,0,MATCH(AK$2,Inputs!$K$4:$AJ$4,0)))+SUMPRODUCT((Inputs!$E$5:$E$110=$B31)*Inputs!$F$5:$F$110*(((Inputs!$G$5:$G$110="moeda")+(Inputs!$G$5:$G$110="acoes"))*Inputs!$B$1+((Inputs!$G$5:$G$110&lt;&gt;"moeda")*(Inputs!$G$5:$G$110&lt;&gt;"acoes")))*INDEX(Inputs!$K$5:$AJ$110,0,MATCH(AK$2,Inputs!$K$4:$AJ$4,0)))))</f>
        <v>10520</v>
      </c>
      <c r="AL31" s="268">
        <f>AK31</f>
        <v>10520</v>
      </c>
    </row>
    <row r="32" ht="12.75" customHeight="1" s="255">
      <c r="B32" s="265" t="n">
        <v>27</v>
      </c>
      <c r="C32" s="270" t="inlineStr">
        <is>
          <t>Current portion of long-term debt</t>
        </is>
      </c>
      <c r="D32" s="267">
        <f>IF(ISNA(MATCH(D$2,Inputs!$K$4:$AJ$4,0)),NA(),IF(SUMPRODUCT((Inputs!$A$5:$A$110=$B32)*ISNUMBER(INDEX(Inputs!$K$5:$AJ$110,0,MATCH(D$2,Inputs!$K$4:$AJ$4,0))))+SUMPRODUCT((Inputs!$C$5:$C$110=$B32)*ISNUMBER(INDEX(Inputs!$K$5:$AJ$110,0,MATCH(D$2,Inputs!$K$4:$AJ$4,0))))+SUMPRODUCT((Inputs!$E$5:$E$110=$B32)*ISNUMBER(INDEX(Inputs!$K$5:$AJ$110,0,MATCH(D$2,Inputs!$K$4:$AJ$4,0))))=0,NA(),SUMPRODUCT((Inputs!$A$5:$A$110=$B32)*Inputs!$B$5:$B$110*(((Inputs!$G$5:$G$110="moeda")+(Inputs!$G$5:$G$110="acoes"))*Inputs!$B$1+((Inputs!$G$5:$G$110&lt;&gt;"moeda")*(Inputs!$G$5:$G$110&lt;&gt;"acoes")))*INDEX(Inputs!$K$5:$AJ$110,0,MATCH(D$2,Inputs!$K$4:$AJ$4,0)))+SUMPRODUCT((Inputs!$C$5:$C$110=$B32)*Inputs!$D$5:$D$110*(((Inputs!$G$5:$G$110="moeda")+(Inputs!$G$5:$G$110="acoes"))*Inputs!$B$1+((Inputs!$G$5:$G$110&lt;&gt;"moeda")*(Inputs!$G$5:$G$110&lt;&gt;"acoes")))*INDEX(Inputs!$K$5:$AJ$110,0,MATCH(D$2,Inputs!$K$4:$AJ$4,0)))+SUMPRODUCT((Inputs!$E$5:$E$110=$B32)*Inputs!$F$5:$F$110*(((Inputs!$G$5:$G$110="moeda")+(Inputs!$G$5:$G$110="acoes"))*Inputs!$B$1+((Inputs!$G$5:$G$110&lt;&gt;"moeda")*(Inputs!$G$5:$G$110&lt;&gt;"acoes")))*INDEX(Inputs!$K$5:$AJ$110,0,MATCH(D$2,Inputs!$K$4:$AJ$4,0)))))</f>
        <v>95</v>
      </c>
      <c r="E32" s="267">
        <f>IF(ISNA(MATCH(E$2,Inputs!$K$4:$AJ$4,0)),NA(),IF(SUMPRODUCT((Inputs!$A$5:$A$110=$B32)*ISNUMBER(INDEX(Inputs!$K$5:$AJ$110,0,MATCH(E$2,Inputs!$K$4:$AJ$4,0))))+SUMPRODUCT((Inputs!$C$5:$C$110=$B32)*ISNUMBER(INDEX(Inputs!$K$5:$AJ$110,0,MATCH(E$2,Inputs!$K$4:$AJ$4,0))))+SUMPRODUCT((Inputs!$E$5:$E$110=$B32)*ISNUMBER(INDEX(Inputs!$K$5:$AJ$110,0,MATCH(E$2,Inputs!$K$4:$AJ$4,0))))=0,NA(),SUMPRODUCT((Inputs!$A$5:$A$110=$B32)*Inputs!$B$5:$B$110*(((Inputs!$G$5:$G$110="moeda")+(Inputs!$G$5:$G$110="acoes"))*Inputs!$B$1+((Inputs!$G$5:$G$110&lt;&gt;"moeda")*(Inputs!$G$5:$G$110&lt;&gt;"acoes")))*INDEX(Inputs!$K$5:$AJ$110,0,MATCH(E$2,Inputs!$K$4:$AJ$4,0)))+SUMPRODUCT((Inputs!$C$5:$C$110=$B32)*Inputs!$D$5:$D$110*(((Inputs!$G$5:$G$110="moeda")+(Inputs!$G$5:$G$110="acoes"))*Inputs!$B$1+((Inputs!$G$5:$G$110&lt;&gt;"moeda")*(Inputs!$G$5:$G$110&lt;&gt;"acoes")))*INDEX(Inputs!$K$5:$AJ$110,0,MATCH(E$2,Inputs!$K$4:$AJ$4,0)))+SUMPRODUCT((Inputs!$E$5:$E$110=$B32)*Inputs!$F$5:$F$110*(((Inputs!$G$5:$G$110="moeda")+(Inputs!$G$5:$G$110="acoes"))*Inputs!$B$1+((Inputs!$G$5:$G$110&lt;&gt;"moeda")*(Inputs!$G$5:$G$110&lt;&gt;"acoes")))*INDEX(Inputs!$K$5:$AJ$110,0,MATCH(E$2,Inputs!$K$4:$AJ$4,0)))))</f>
        <v>92</v>
      </c>
      <c r="F32" s="267">
        <f>IF(ISNA(MATCH(F$2,Inputs!$K$4:$AJ$4,0)),NA(),IF(SUMPRODUCT((Inputs!$A$5:$A$110=$B32)*ISNUMBER(INDEX(Inputs!$K$5:$AJ$110,0,MATCH(F$2,Inputs!$K$4:$AJ$4,0))))+SUMPRODUCT((Inputs!$C$5:$C$110=$B32)*ISNUMBER(INDEX(Inputs!$K$5:$AJ$110,0,MATCH(F$2,Inputs!$K$4:$AJ$4,0))))+SUMPRODUCT((Inputs!$E$5:$E$110=$B32)*ISNUMBER(INDEX(Inputs!$K$5:$AJ$110,0,MATCH(F$2,Inputs!$K$4:$AJ$4,0))))=0,NA(),SUMPRODUCT((Inputs!$A$5:$A$110=$B32)*Inputs!$B$5:$B$110*(((Inputs!$G$5:$G$110="moeda")+(Inputs!$G$5:$G$110="acoes"))*Inputs!$B$1+((Inputs!$G$5:$G$110&lt;&gt;"moeda")*(Inputs!$G$5:$G$110&lt;&gt;"acoes")))*INDEX(Inputs!$K$5:$AJ$110,0,MATCH(F$2,Inputs!$K$4:$AJ$4,0)))+SUMPRODUCT((Inputs!$C$5:$C$110=$B32)*Inputs!$D$5:$D$110*(((Inputs!$G$5:$G$110="moeda")+(Inputs!$G$5:$G$110="acoes"))*Inputs!$B$1+((Inputs!$G$5:$G$110&lt;&gt;"moeda")*(Inputs!$G$5:$G$110&lt;&gt;"acoes")))*INDEX(Inputs!$K$5:$AJ$110,0,MATCH(F$2,Inputs!$K$4:$AJ$4,0)))+SUMPRODUCT((Inputs!$E$5:$E$110=$B32)*Inputs!$F$5:$F$110*(((Inputs!$G$5:$G$110="moeda")+(Inputs!$G$5:$G$110="acoes"))*Inputs!$B$1+((Inputs!$G$5:$G$110&lt;&gt;"moeda")*(Inputs!$G$5:$G$110&lt;&gt;"acoes")))*INDEX(Inputs!$K$5:$AJ$110,0,MATCH(F$2,Inputs!$K$4:$AJ$4,0)))))</f>
        <v>799</v>
      </c>
      <c r="G32" s="267">
        <f>IF(ISNA(MATCH(G$2,Inputs!$K$4:$AJ$4,0)),NA(),IF(SUMPRODUCT((Inputs!$A$5:$A$110=$B32)*ISNUMBER(INDEX(Inputs!$K$5:$AJ$110,0,MATCH(G$2,Inputs!$K$4:$AJ$4,0))))+SUMPRODUCT((Inputs!$C$5:$C$110=$B32)*ISNUMBER(INDEX(Inputs!$K$5:$AJ$110,0,MATCH(G$2,Inputs!$K$4:$AJ$4,0))))+SUMPRODUCT((Inputs!$E$5:$E$110=$B32)*ISNUMBER(INDEX(Inputs!$K$5:$AJ$110,0,MATCH(G$2,Inputs!$K$4:$AJ$4,0))))=0,NA(),SUMPRODUCT((Inputs!$A$5:$A$110=$B32)*Inputs!$B$5:$B$110*(((Inputs!$G$5:$G$110="moeda")+(Inputs!$G$5:$G$110="acoes"))*Inputs!$B$1+((Inputs!$G$5:$G$110&lt;&gt;"moeda")*(Inputs!$G$5:$G$110&lt;&gt;"acoes")))*INDEX(Inputs!$K$5:$AJ$110,0,MATCH(G$2,Inputs!$K$4:$AJ$4,0)))+SUMPRODUCT((Inputs!$C$5:$C$110=$B32)*Inputs!$D$5:$D$110*(((Inputs!$G$5:$G$110="moeda")+(Inputs!$G$5:$G$110="acoes"))*Inputs!$B$1+((Inputs!$G$5:$G$110&lt;&gt;"moeda")*(Inputs!$G$5:$G$110&lt;&gt;"acoes")))*INDEX(Inputs!$K$5:$AJ$110,0,MATCH(G$2,Inputs!$K$4:$AJ$4,0)))+SUMPRODUCT((Inputs!$E$5:$E$110=$B32)*Inputs!$F$5:$F$110*(((Inputs!$G$5:$G$110="moeda")+(Inputs!$G$5:$G$110="acoes"))*Inputs!$B$1+((Inputs!$G$5:$G$110&lt;&gt;"moeda")*(Inputs!$G$5:$G$110&lt;&gt;"acoes")))*INDEX(Inputs!$K$5:$AJ$110,0,MATCH(G$2,Inputs!$K$4:$AJ$4,0)))))</f>
        <v>799</v>
      </c>
      <c r="H32" s="268">
        <f>G32</f>
        <v>799</v>
      </c>
      <c r="I32" s="267">
        <f>IF(ISNA(MATCH(I$2,Inputs!$K$4:$AJ$4,0)),NA(),IF(SUMPRODUCT((Inputs!$A$5:$A$110=$B32)*ISNUMBER(INDEX(Inputs!$K$5:$AJ$110,0,MATCH(I$2,Inputs!$K$4:$AJ$4,0))))+SUMPRODUCT((Inputs!$C$5:$C$110=$B32)*ISNUMBER(INDEX(Inputs!$K$5:$AJ$110,0,MATCH(I$2,Inputs!$K$4:$AJ$4,0))))+SUMPRODUCT((Inputs!$E$5:$E$110=$B32)*ISNUMBER(INDEX(Inputs!$K$5:$AJ$110,0,MATCH(I$2,Inputs!$K$4:$AJ$4,0))))=0,NA(),SUMPRODUCT((Inputs!$A$5:$A$110=$B32)*Inputs!$B$5:$B$110*(((Inputs!$G$5:$G$110="moeda")+(Inputs!$G$5:$G$110="acoes"))*Inputs!$B$1+((Inputs!$G$5:$G$110&lt;&gt;"moeda")*(Inputs!$G$5:$G$110&lt;&gt;"acoes")))*INDEX(Inputs!$K$5:$AJ$110,0,MATCH(I$2,Inputs!$K$4:$AJ$4,0)))+SUMPRODUCT((Inputs!$C$5:$C$110=$B32)*Inputs!$D$5:$D$110*(((Inputs!$G$5:$G$110="moeda")+(Inputs!$G$5:$G$110="acoes"))*Inputs!$B$1+((Inputs!$G$5:$G$110&lt;&gt;"moeda")*(Inputs!$G$5:$G$110&lt;&gt;"acoes")))*INDEX(Inputs!$K$5:$AJ$110,0,MATCH(I$2,Inputs!$K$4:$AJ$4,0)))+SUMPRODUCT((Inputs!$E$5:$E$110=$B32)*Inputs!$F$5:$F$110*(((Inputs!$G$5:$G$110="moeda")+(Inputs!$G$5:$G$110="acoes"))*Inputs!$B$1+((Inputs!$G$5:$G$110&lt;&gt;"moeda")*(Inputs!$G$5:$G$110&lt;&gt;"acoes")))*INDEX(Inputs!$K$5:$AJ$110,0,MATCH(I$2,Inputs!$K$4:$AJ$4,0)))))</f>
        <v>0</v>
      </c>
      <c r="J32" s="267">
        <f>IF(ISNA(MATCH(J$2,Inputs!$K$4:$AJ$4,0)),NA(),IF(SUMPRODUCT((Inputs!$A$5:$A$110=$B32)*ISNUMBER(INDEX(Inputs!$K$5:$AJ$110,0,MATCH(J$2,Inputs!$K$4:$AJ$4,0))))+SUMPRODUCT((Inputs!$C$5:$C$110=$B32)*ISNUMBER(INDEX(Inputs!$K$5:$AJ$110,0,MATCH(J$2,Inputs!$K$4:$AJ$4,0))))+SUMPRODUCT((Inputs!$E$5:$E$110=$B32)*ISNUMBER(INDEX(Inputs!$K$5:$AJ$110,0,MATCH(J$2,Inputs!$K$4:$AJ$4,0))))=0,NA(),SUMPRODUCT((Inputs!$A$5:$A$110=$B32)*Inputs!$B$5:$B$110*(((Inputs!$G$5:$G$110="moeda")+(Inputs!$G$5:$G$110="acoes"))*Inputs!$B$1+((Inputs!$G$5:$G$110&lt;&gt;"moeda")*(Inputs!$G$5:$G$110&lt;&gt;"acoes")))*INDEX(Inputs!$K$5:$AJ$110,0,MATCH(J$2,Inputs!$K$4:$AJ$4,0)))+SUMPRODUCT((Inputs!$C$5:$C$110=$B32)*Inputs!$D$5:$D$110*(((Inputs!$G$5:$G$110="moeda")+(Inputs!$G$5:$G$110="acoes"))*Inputs!$B$1+((Inputs!$G$5:$G$110&lt;&gt;"moeda")*(Inputs!$G$5:$G$110&lt;&gt;"acoes")))*INDEX(Inputs!$K$5:$AJ$110,0,MATCH(J$2,Inputs!$K$4:$AJ$4,0)))+SUMPRODUCT((Inputs!$E$5:$E$110=$B32)*Inputs!$F$5:$F$110*(((Inputs!$G$5:$G$110="moeda")+(Inputs!$G$5:$G$110="acoes"))*Inputs!$B$1+((Inputs!$G$5:$G$110&lt;&gt;"moeda")*(Inputs!$G$5:$G$110&lt;&gt;"acoes")))*INDEX(Inputs!$K$5:$AJ$110,0,MATCH(J$2,Inputs!$K$4:$AJ$4,0)))))</f>
        <v>77</v>
      </c>
      <c r="K32" s="267">
        <f>IF(ISNA(MATCH(K$2,Inputs!$K$4:$AJ$4,0)),NA(),IF(SUMPRODUCT((Inputs!$A$5:$A$110=$B32)*ISNUMBER(INDEX(Inputs!$K$5:$AJ$110,0,MATCH(K$2,Inputs!$K$4:$AJ$4,0))))+SUMPRODUCT((Inputs!$C$5:$C$110=$B32)*ISNUMBER(INDEX(Inputs!$K$5:$AJ$110,0,MATCH(K$2,Inputs!$K$4:$AJ$4,0))))+SUMPRODUCT((Inputs!$E$5:$E$110=$B32)*ISNUMBER(INDEX(Inputs!$K$5:$AJ$110,0,MATCH(K$2,Inputs!$K$4:$AJ$4,0))))=0,NA(),SUMPRODUCT((Inputs!$A$5:$A$110=$B32)*Inputs!$B$5:$B$110*(((Inputs!$G$5:$G$110="moeda")+(Inputs!$G$5:$G$110="acoes"))*Inputs!$B$1+((Inputs!$G$5:$G$110&lt;&gt;"moeda")*(Inputs!$G$5:$G$110&lt;&gt;"acoes")))*INDEX(Inputs!$K$5:$AJ$110,0,MATCH(K$2,Inputs!$K$4:$AJ$4,0)))+SUMPRODUCT((Inputs!$C$5:$C$110=$B32)*Inputs!$D$5:$D$110*(((Inputs!$G$5:$G$110="moeda")+(Inputs!$G$5:$G$110="acoes"))*Inputs!$B$1+((Inputs!$G$5:$G$110&lt;&gt;"moeda")*(Inputs!$G$5:$G$110&lt;&gt;"acoes")))*INDEX(Inputs!$K$5:$AJ$110,0,MATCH(K$2,Inputs!$K$4:$AJ$4,0)))+SUMPRODUCT((Inputs!$E$5:$E$110=$B32)*Inputs!$F$5:$F$110*(((Inputs!$G$5:$G$110="moeda")+(Inputs!$G$5:$G$110="acoes"))*Inputs!$B$1+((Inputs!$G$5:$G$110&lt;&gt;"moeda")*(Inputs!$G$5:$G$110&lt;&gt;"acoes")))*INDEX(Inputs!$K$5:$AJ$110,0,MATCH(K$2,Inputs!$K$4:$AJ$4,0)))))</f>
        <v>73</v>
      </c>
      <c r="L32" s="267">
        <f>IF(ISNA(MATCH(L$2,Inputs!$K$4:$AJ$4,0)),NA(),IF(SUMPRODUCT((Inputs!$A$5:$A$110=$B32)*ISNUMBER(INDEX(Inputs!$K$5:$AJ$110,0,MATCH(L$2,Inputs!$K$4:$AJ$4,0))))+SUMPRODUCT((Inputs!$C$5:$C$110=$B32)*ISNUMBER(INDEX(Inputs!$K$5:$AJ$110,0,MATCH(L$2,Inputs!$K$4:$AJ$4,0))))+SUMPRODUCT((Inputs!$E$5:$E$110=$B32)*ISNUMBER(INDEX(Inputs!$K$5:$AJ$110,0,MATCH(L$2,Inputs!$K$4:$AJ$4,0))))=0,NA(),SUMPRODUCT((Inputs!$A$5:$A$110=$B32)*Inputs!$B$5:$B$110*(((Inputs!$G$5:$G$110="moeda")+(Inputs!$G$5:$G$110="acoes"))*Inputs!$B$1+((Inputs!$G$5:$G$110&lt;&gt;"moeda")*(Inputs!$G$5:$G$110&lt;&gt;"acoes")))*INDEX(Inputs!$K$5:$AJ$110,0,MATCH(L$2,Inputs!$K$4:$AJ$4,0)))+SUMPRODUCT((Inputs!$C$5:$C$110=$B32)*Inputs!$D$5:$D$110*(((Inputs!$G$5:$G$110="moeda")+(Inputs!$G$5:$G$110="acoes"))*Inputs!$B$1+((Inputs!$G$5:$G$110&lt;&gt;"moeda")*(Inputs!$G$5:$G$110&lt;&gt;"acoes")))*INDEX(Inputs!$K$5:$AJ$110,0,MATCH(L$2,Inputs!$K$4:$AJ$4,0)))+SUMPRODUCT((Inputs!$E$5:$E$110=$B32)*Inputs!$F$5:$F$110*(((Inputs!$G$5:$G$110="moeda")+(Inputs!$G$5:$G$110="acoes"))*Inputs!$B$1+((Inputs!$G$5:$G$110&lt;&gt;"moeda")*(Inputs!$G$5:$G$110&lt;&gt;"acoes")))*INDEX(Inputs!$K$5:$AJ$110,0,MATCH(L$2,Inputs!$K$4:$AJ$4,0)))))</f>
        <v>71</v>
      </c>
      <c r="M32" s="268">
        <f>L32</f>
        <v>71</v>
      </c>
      <c r="N32" s="267">
        <f>IF(ISNA(MATCH(N$2,Inputs!$K$4:$AJ$4,0)),NA(),IF(SUMPRODUCT((Inputs!$A$5:$A$110=$B32)*ISNUMBER(INDEX(Inputs!$K$5:$AJ$110,0,MATCH(N$2,Inputs!$K$4:$AJ$4,0))))+SUMPRODUCT((Inputs!$C$5:$C$110=$B32)*ISNUMBER(INDEX(Inputs!$K$5:$AJ$110,0,MATCH(N$2,Inputs!$K$4:$AJ$4,0))))+SUMPRODUCT((Inputs!$E$5:$E$110=$B32)*ISNUMBER(INDEX(Inputs!$K$5:$AJ$110,0,MATCH(N$2,Inputs!$K$4:$AJ$4,0))))=0,NA(),SUMPRODUCT((Inputs!$A$5:$A$110=$B32)*Inputs!$B$5:$B$110*(((Inputs!$G$5:$G$110="moeda")+(Inputs!$G$5:$G$110="acoes"))*Inputs!$B$1+((Inputs!$G$5:$G$110&lt;&gt;"moeda")*(Inputs!$G$5:$G$110&lt;&gt;"acoes")))*INDEX(Inputs!$K$5:$AJ$110,0,MATCH(N$2,Inputs!$K$4:$AJ$4,0)))+SUMPRODUCT((Inputs!$C$5:$C$110=$B32)*Inputs!$D$5:$D$110*(((Inputs!$G$5:$G$110="moeda")+(Inputs!$G$5:$G$110="acoes"))*Inputs!$B$1+((Inputs!$G$5:$G$110&lt;&gt;"moeda")*(Inputs!$G$5:$G$110&lt;&gt;"acoes")))*INDEX(Inputs!$K$5:$AJ$110,0,MATCH(N$2,Inputs!$K$4:$AJ$4,0)))+SUMPRODUCT((Inputs!$E$5:$E$110=$B32)*Inputs!$F$5:$F$110*(((Inputs!$G$5:$G$110="moeda")+(Inputs!$G$5:$G$110="acoes"))*Inputs!$B$1+((Inputs!$G$5:$G$110&lt;&gt;"moeda")*(Inputs!$G$5:$G$110&lt;&gt;"acoes")))*INDEX(Inputs!$K$5:$AJ$110,0,MATCH(N$2,Inputs!$K$4:$AJ$4,0)))))</f>
        <v>76</v>
      </c>
      <c r="O32" s="267">
        <f>IF(ISNA(MATCH(O$2,Inputs!$K$4:$AJ$4,0)),NA(),IF(SUMPRODUCT((Inputs!$A$5:$A$110=$B32)*ISNUMBER(INDEX(Inputs!$K$5:$AJ$110,0,MATCH(O$2,Inputs!$K$4:$AJ$4,0))))+SUMPRODUCT((Inputs!$C$5:$C$110=$B32)*ISNUMBER(INDEX(Inputs!$K$5:$AJ$110,0,MATCH(O$2,Inputs!$K$4:$AJ$4,0))))+SUMPRODUCT((Inputs!$E$5:$E$110=$B32)*ISNUMBER(INDEX(Inputs!$K$5:$AJ$110,0,MATCH(O$2,Inputs!$K$4:$AJ$4,0))))=0,NA(),SUMPRODUCT((Inputs!$A$5:$A$110=$B32)*Inputs!$B$5:$B$110*(((Inputs!$G$5:$G$110="moeda")+(Inputs!$G$5:$G$110="acoes"))*Inputs!$B$1+((Inputs!$G$5:$G$110&lt;&gt;"moeda")*(Inputs!$G$5:$G$110&lt;&gt;"acoes")))*INDEX(Inputs!$K$5:$AJ$110,0,MATCH(O$2,Inputs!$K$4:$AJ$4,0)))+SUMPRODUCT((Inputs!$C$5:$C$110=$B32)*Inputs!$D$5:$D$110*(((Inputs!$G$5:$G$110="moeda")+(Inputs!$G$5:$G$110="acoes"))*Inputs!$B$1+((Inputs!$G$5:$G$110&lt;&gt;"moeda")*(Inputs!$G$5:$G$110&lt;&gt;"acoes")))*INDEX(Inputs!$K$5:$AJ$110,0,MATCH(O$2,Inputs!$K$4:$AJ$4,0)))+SUMPRODUCT((Inputs!$E$5:$E$110=$B32)*Inputs!$F$5:$F$110*(((Inputs!$G$5:$G$110="moeda")+(Inputs!$G$5:$G$110="acoes"))*Inputs!$B$1+((Inputs!$G$5:$G$110&lt;&gt;"moeda")*(Inputs!$G$5:$G$110&lt;&gt;"acoes")))*INDEX(Inputs!$K$5:$AJ$110,0,MATCH(O$2,Inputs!$K$4:$AJ$4,0)))))</f>
        <v>0</v>
      </c>
      <c r="P32" s="267">
        <f>IF(ISNA(MATCH(P$2,Inputs!$K$4:$AJ$4,0)),NA(),IF(SUMPRODUCT((Inputs!$A$5:$A$110=$B32)*ISNUMBER(INDEX(Inputs!$K$5:$AJ$110,0,MATCH(P$2,Inputs!$K$4:$AJ$4,0))))+SUMPRODUCT((Inputs!$C$5:$C$110=$B32)*ISNUMBER(INDEX(Inputs!$K$5:$AJ$110,0,MATCH(P$2,Inputs!$K$4:$AJ$4,0))))+SUMPRODUCT((Inputs!$E$5:$E$110=$B32)*ISNUMBER(INDEX(Inputs!$K$5:$AJ$110,0,MATCH(P$2,Inputs!$K$4:$AJ$4,0))))=0,NA(),SUMPRODUCT((Inputs!$A$5:$A$110=$B32)*Inputs!$B$5:$B$110*(((Inputs!$G$5:$G$110="moeda")+(Inputs!$G$5:$G$110="acoes"))*Inputs!$B$1+((Inputs!$G$5:$G$110&lt;&gt;"moeda")*(Inputs!$G$5:$G$110&lt;&gt;"acoes")))*INDEX(Inputs!$K$5:$AJ$110,0,MATCH(P$2,Inputs!$K$4:$AJ$4,0)))+SUMPRODUCT((Inputs!$C$5:$C$110=$B32)*Inputs!$D$5:$D$110*(((Inputs!$G$5:$G$110="moeda")+(Inputs!$G$5:$G$110="acoes"))*Inputs!$B$1+((Inputs!$G$5:$G$110&lt;&gt;"moeda")*(Inputs!$G$5:$G$110&lt;&gt;"acoes")))*INDEX(Inputs!$K$5:$AJ$110,0,MATCH(P$2,Inputs!$K$4:$AJ$4,0)))+SUMPRODUCT((Inputs!$E$5:$E$110=$B32)*Inputs!$F$5:$F$110*(((Inputs!$G$5:$G$110="moeda")+(Inputs!$G$5:$G$110="acoes"))*Inputs!$B$1+((Inputs!$G$5:$G$110&lt;&gt;"moeda")*(Inputs!$G$5:$G$110&lt;&gt;"acoes")))*INDEX(Inputs!$K$5:$AJ$110,0,MATCH(P$2,Inputs!$K$4:$AJ$4,0)))))</f>
        <v>1081</v>
      </c>
      <c r="Q32" s="267">
        <f>IF(ISNA(MATCH(Q$2,Inputs!$K$4:$AJ$4,0)),NA(),IF(SUMPRODUCT((Inputs!$A$5:$A$110=$B32)*ISNUMBER(INDEX(Inputs!$K$5:$AJ$110,0,MATCH(Q$2,Inputs!$K$4:$AJ$4,0))))+SUMPRODUCT((Inputs!$C$5:$C$110=$B32)*ISNUMBER(INDEX(Inputs!$K$5:$AJ$110,0,MATCH(Q$2,Inputs!$K$4:$AJ$4,0))))+SUMPRODUCT((Inputs!$E$5:$E$110=$B32)*ISNUMBER(INDEX(Inputs!$K$5:$AJ$110,0,MATCH(Q$2,Inputs!$K$4:$AJ$4,0))))=0,NA(),SUMPRODUCT((Inputs!$A$5:$A$110=$B32)*Inputs!$B$5:$B$110*(((Inputs!$G$5:$G$110="moeda")+(Inputs!$G$5:$G$110="acoes"))*Inputs!$B$1+((Inputs!$G$5:$G$110&lt;&gt;"moeda")*(Inputs!$G$5:$G$110&lt;&gt;"acoes")))*INDEX(Inputs!$K$5:$AJ$110,0,MATCH(Q$2,Inputs!$K$4:$AJ$4,0)))+SUMPRODUCT((Inputs!$C$5:$C$110=$B32)*Inputs!$D$5:$D$110*(((Inputs!$G$5:$G$110="moeda")+(Inputs!$G$5:$G$110="acoes"))*Inputs!$B$1+((Inputs!$G$5:$G$110&lt;&gt;"moeda")*(Inputs!$G$5:$G$110&lt;&gt;"acoes")))*INDEX(Inputs!$K$5:$AJ$110,0,MATCH(Q$2,Inputs!$K$4:$AJ$4,0)))+SUMPRODUCT((Inputs!$E$5:$E$110=$B32)*Inputs!$F$5:$F$110*(((Inputs!$G$5:$G$110="moeda")+(Inputs!$G$5:$G$110="acoes"))*Inputs!$B$1+((Inputs!$G$5:$G$110&lt;&gt;"moeda")*(Inputs!$G$5:$G$110&lt;&gt;"acoes")))*INDEX(Inputs!$K$5:$AJ$110,0,MATCH(Q$2,Inputs!$K$4:$AJ$4,0)))))</f>
        <v>1080</v>
      </c>
      <c r="R32" s="268">
        <f>Q32</f>
        <v>1080</v>
      </c>
      <c r="S32" s="267">
        <f>IF(ISNA(MATCH(S$2,Inputs!$K$4:$AJ$4,0)),NA(),IF(SUMPRODUCT((Inputs!$A$5:$A$110=$B32)*ISNUMBER(INDEX(Inputs!$K$5:$AJ$110,0,MATCH(S$2,Inputs!$K$4:$AJ$4,0))))+SUMPRODUCT((Inputs!$C$5:$C$110=$B32)*ISNUMBER(INDEX(Inputs!$K$5:$AJ$110,0,MATCH(S$2,Inputs!$K$4:$AJ$4,0))))+SUMPRODUCT((Inputs!$E$5:$E$110=$B32)*ISNUMBER(INDEX(Inputs!$K$5:$AJ$110,0,MATCH(S$2,Inputs!$K$4:$AJ$4,0))))=0,NA(),SUMPRODUCT((Inputs!$A$5:$A$110=$B32)*Inputs!$B$5:$B$110*(((Inputs!$G$5:$G$110="moeda")+(Inputs!$G$5:$G$110="acoes"))*Inputs!$B$1+((Inputs!$G$5:$G$110&lt;&gt;"moeda")*(Inputs!$G$5:$G$110&lt;&gt;"acoes")))*INDEX(Inputs!$K$5:$AJ$110,0,MATCH(S$2,Inputs!$K$4:$AJ$4,0)))+SUMPRODUCT((Inputs!$C$5:$C$110=$B32)*Inputs!$D$5:$D$110*(((Inputs!$G$5:$G$110="moeda")+(Inputs!$G$5:$G$110="acoes"))*Inputs!$B$1+((Inputs!$G$5:$G$110&lt;&gt;"moeda")*(Inputs!$G$5:$G$110&lt;&gt;"acoes")))*INDEX(Inputs!$K$5:$AJ$110,0,MATCH(S$2,Inputs!$K$4:$AJ$4,0)))+SUMPRODUCT((Inputs!$E$5:$E$110=$B32)*Inputs!$F$5:$F$110*(((Inputs!$G$5:$G$110="moeda")+(Inputs!$G$5:$G$110="acoes"))*Inputs!$B$1+((Inputs!$G$5:$G$110&lt;&gt;"moeda")*(Inputs!$G$5:$G$110&lt;&gt;"acoes")))*INDEX(Inputs!$K$5:$AJ$110,0,MATCH(S$2,Inputs!$K$4:$AJ$4,0)))))</f>
        <v>1080</v>
      </c>
      <c r="T32" s="267">
        <f>IF(ISNA(MATCH(T$2,Inputs!$K$4:$AJ$4,0)),NA(),IF(SUMPRODUCT((Inputs!$A$5:$A$110=$B32)*ISNUMBER(INDEX(Inputs!$K$5:$AJ$110,0,MATCH(T$2,Inputs!$K$4:$AJ$4,0))))+SUMPRODUCT((Inputs!$C$5:$C$110=$B32)*ISNUMBER(INDEX(Inputs!$K$5:$AJ$110,0,MATCH(T$2,Inputs!$K$4:$AJ$4,0))))+SUMPRODUCT((Inputs!$E$5:$E$110=$B32)*ISNUMBER(INDEX(Inputs!$K$5:$AJ$110,0,MATCH(T$2,Inputs!$K$4:$AJ$4,0))))=0,NA(),SUMPRODUCT((Inputs!$A$5:$A$110=$B32)*Inputs!$B$5:$B$110*(((Inputs!$G$5:$G$110="moeda")+(Inputs!$G$5:$G$110="acoes"))*Inputs!$B$1+((Inputs!$G$5:$G$110&lt;&gt;"moeda")*(Inputs!$G$5:$G$110&lt;&gt;"acoes")))*INDEX(Inputs!$K$5:$AJ$110,0,MATCH(T$2,Inputs!$K$4:$AJ$4,0)))+SUMPRODUCT((Inputs!$C$5:$C$110=$B32)*Inputs!$D$5:$D$110*(((Inputs!$G$5:$G$110="moeda")+(Inputs!$G$5:$G$110="acoes"))*Inputs!$B$1+((Inputs!$G$5:$G$110&lt;&gt;"moeda")*(Inputs!$G$5:$G$110&lt;&gt;"acoes")))*INDEX(Inputs!$K$5:$AJ$110,0,MATCH(T$2,Inputs!$K$4:$AJ$4,0)))+SUMPRODUCT((Inputs!$E$5:$E$110=$B32)*Inputs!$F$5:$F$110*(((Inputs!$G$5:$G$110="moeda")+(Inputs!$G$5:$G$110="acoes"))*Inputs!$B$1+((Inputs!$G$5:$G$110&lt;&gt;"moeda")*(Inputs!$G$5:$G$110&lt;&gt;"acoes")))*INDEX(Inputs!$K$5:$AJ$110,0,MATCH(T$2,Inputs!$K$4:$AJ$4,0)))))</f>
        <v>1077</v>
      </c>
      <c r="U32" s="267">
        <f>IF(ISNA(MATCH(U$2,Inputs!$K$4:$AJ$4,0)),NA(),IF(SUMPRODUCT((Inputs!$A$5:$A$110=$B32)*ISNUMBER(INDEX(Inputs!$K$5:$AJ$110,0,MATCH(U$2,Inputs!$K$4:$AJ$4,0))))+SUMPRODUCT((Inputs!$C$5:$C$110=$B32)*ISNUMBER(INDEX(Inputs!$K$5:$AJ$110,0,MATCH(U$2,Inputs!$K$4:$AJ$4,0))))+SUMPRODUCT((Inputs!$E$5:$E$110=$B32)*ISNUMBER(INDEX(Inputs!$K$5:$AJ$110,0,MATCH(U$2,Inputs!$K$4:$AJ$4,0))))=0,NA(),SUMPRODUCT((Inputs!$A$5:$A$110=$B32)*Inputs!$B$5:$B$110*(((Inputs!$G$5:$G$110="moeda")+(Inputs!$G$5:$G$110="acoes"))*Inputs!$B$1+((Inputs!$G$5:$G$110&lt;&gt;"moeda")*(Inputs!$G$5:$G$110&lt;&gt;"acoes")))*INDEX(Inputs!$K$5:$AJ$110,0,MATCH(U$2,Inputs!$K$4:$AJ$4,0)))+SUMPRODUCT((Inputs!$C$5:$C$110=$B32)*Inputs!$D$5:$D$110*(((Inputs!$G$5:$G$110="moeda")+(Inputs!$G$5:$G$110="acoes"))*Inputs!$B$1+((Inputs!$G$5:$G$110&lt;&gt;"moeda")*(Inputs!$G$5:$G$110&lt;&gt;"acoes")))*INDEX(Inputs!$K$5:$AJ$110,0,MATCH(U$2,Inputs!$K$4:$AJ$4,0)))+SUMPRODUCT((Inputs!$E$5:$E$110=$B32)*Inputs!$F$5:$F$110*(((Inputs!$G$5:$G$110="moeda")+(Inputs!$G$5:$G$110="acoes"))*Inputs!$B$1+((Inputs!$G$5:$G$110&lt;&gt;"moeda")*(Inputs!$G$5:$G$110&lt;&gt;"acoes")))*INDEX(Inputs!$K$5:$AJ$110,0,MATCH(U$2,Inputs!$K$4:$AJ$4,0)))))</f>
        <v>103</v>
      </c>
      <c r="V32" s="267">
        <f>IF(ISNA(MATCH(V$2,Inputs!$K$4:$AJ$4,0)),NA(),IF(SUMPRODUCT((Inputs!$A$5:$A$110=$B32)*ISNUMBER(INDEX(Inputs!$K$5:$AJ$110,0,MATCH(V$2,Inputs!$K$4:$AJ$4,0))))+SUMPRODUCT((Inputs!$C$5:$C$110=$B32)*ISNUMBER(INDEX(Inputs!$K$5:$AJ$110,0,MATCH(V$2,Inputs!$K$4:$AJ$4,0))))+SUMPRODUCT((Inputs!$E$5:$E$110=$B32)*ISNUMBER(INDEX(Inputs!$K$5:$AJ$110,0,MATCH(V$2,Inputs!$K$4:$AJ$4,0))))=0,NA(),SUMPRODUCT((Inputs!$A$5:$A$110=$B32)*Inputs!$B$5:$B$110*(((Inputs!$G$5:$G$110="moeda")+(Inputs!$G$5:$G$110="acoes"))*Inputs!$B$1+((Inputs!$G$5:$G$110&lt;&gt;"moeda")*(Inputs!$G$5:$G$110&lt;&gt;"acoes")))*INDEX(Inputs!$K$5:$AJ$110,0,MATCH(V$2,Inputs!$K$4:$AJ$4,0)))+SUMPRODUCT((Inputs!$C$5:$C$110=$B32)*Inputs!$D$5:$D$110*(((Inputs!$G$5:$G$110="moeda")+(Inputs!$G$5:$G$110="acoes"))*Inputs!$B$1+((Inputs!$G$5:$G$110&lt;&gt;"moeda")*(Inputs!$G$5:$G$110&lt;&gt;"acoes")))*INDEX(Inputs!$K$5:$AJ$110,0,MATCH(V$2,Inputs!$K$4:$AJ$4,0)))+SUMPRODUCT((Inputs!$E$5:$E$110=$B32)*Inputs!$F$5:$F$110*(((Inputs!$G$5:$G$110="moeda")+(Inputs!$G$5:$G$110="acoes"))*Inputs!$B$1+((Inputs!$G$5:$G$110&lt;&gt;"moeda")*(Inputs!$G$5:$G$110&lt;&gt;"acoes")))*INDEX(Inputs!$K$5:$AJ$110,0,MATCH(V$2,Inputs!$K$4:$AJ$4,0)))))</f>
        <v>0</v>
      </c>
      <c r="W32" s="268">
        <f>V32</f>
        <v>0</v>
      </c>
      <c r="X32" s="267">
        <f>IF(ISNA(MATCH(X$2,Inputs!$K$4:$AJ$4,0)),NA(),IF(SUMPRODUCT((Inputs!$A$5:$A$110=$B32)*ISNUMBER(INDEX(Inputs!$K$5:$AJ$110,0,MATCH(X$2,Inputs!$K$4:$AJ$4,0))))+SUMPRODUCT((Inputs!$C$5:$C$110=$B32)*ISNUMBER(INDEX(Inputs!$K$5:$AJ$110,0,MATCH(X$2,Inputs!$K$4:$AJ$4,0))))+SUMPRODUCT((Inputs!$E$5:$E$110=$B32)*ISNUMBER(INDEX(Inputs!$K$5:$AJ$110,0,MATCH(X$2,Inputs!$K$4:$AJ$4,0))))=0,NA(),SUMPRODUCT((Inputs!$A$5:$A$110=$B32)*Inputs!$B$5:$B$110*(((Inputs!$G$5:$G$110="moeda")+(Inputs!$G$5:$G$110="acoes"))*Inputs!$B$1+((Inputs!$G$5:$G$110&lt;&gt;"moeda")*(Inputs!$G$5:$G$110&lt;&gt;"acoes")))*INDEX(Inputs!$K$5:$AJ$110,0,MATCH(X$2,Inputs!$K$4:$AJ$4,0)))+SUMPRODUCT((Inputs!$C$5:$C$110=$B32)*Inputs!$D$5:$D$110*(((Inputs!$G$5:$G$110="moeda")+(Inputs!$G$5:$G$110="acoes"))*Inputs!$B$1+((Inputs!$G$5:$G$110&lt;&gt;"moeda")*(Inputs!$G$5:$G$110&lt;&gt;"acoes")))*INDEX(Inputs!$K$5:$AJ$110,0,MATCH(X$2,Inputs!$K$4:$AJ$4,0)))+SUMPRODUCT((Inputs!$E$5:$E$110=$B32)*Inputs!$F$5:$F$110*(((Inputs!$G$5:$G$110="moeda")+(Inputs!$G$5:$G$110="acoes"))*Inputs!$B$1+((Inputs!$G$5:$G$110&lt;&gt;"moeda")*(Inputs!$G$5:$G$110&lt;&gt;"acoes")))*INDEX(Inputs!$K$5:$AJ$110,0,MATCH(X$2,Inputs!$K$4:$AJ$4,0)))))</f>
        <v>0</v>
      </c>
      <c r="Y32" s="267">
        <f>IF(ISNA(MATCH(Y$2,Inputs!$K$4:$AJ$4,0)),NA(),IF(SUMPRODUCT((Inputs!$A$5:$A$110=$B32)*ISNUMBER(INDEX(Inputs!$K$5:$AJ$110,0,MATCH(Y$2,Inputs!$K$4:$AJ$4,0))))+SUMPRODUCT((Inputs!$C$5:$C$110=$B32)*ISNUMBER(INDEX(Inputs!$K$5:$AJ$110,0,MATCH(Y$2,Inputs!$K$4:$AJ$4,0))))+SUMPRODUCT((Inputs!$E$5:$E$110=$B32)*ISNUMBER(INDEX(Inputs!$K$5:$AJ$110,0,MATCH(Y$2,Inputs!$K$4:$AJ$4,0))))=0,NA(),SUMPRODUCT((Inputs!$A$5:$A$110=$B32)*Inputs!$B$5:$B$110*(((Inputs!$G$5:$G$110="moeda")+(Inputs!$G$5:$G$110="acoes"))*Inputs!$B$1+((Inputs!$G$5:$G$110&lt;&gt;"moeda")*(Inputs!$G$5:$G$110&lt;&gt;"acoes")))*INDEX(Inputs!$K$5:$AJ$110,0,MATCH(Y$2,Inputs!$K$4:$AJ$4,0)))+SUMPRODUCT((Inputs!$C$5:$C$110=$B32)*Inputs!$D$5:$D$110*(((Inputs!$G$5:$G$110="moeda")+(Inputs!$G$5:$G$110="acoes"))*Inputs!$B$1+((Inputs!$G$5:$G$110&lt;&gt;"moeda")*(Inputs!$G$5:$G$110&lt;&gt;"acoes")))*INDEX(Inputs!$K$5:$AJ$110,0,MATCH(Y$2,Inputs!$K$4:$AJ$4,0)))+SUMPRODUCT((Inputs!$E$5:$E$110=$B32)*Inputs!$F$5:$F$110*(((Inputs!$G$5:$G$110="moeda")+(Inputs!$G$5:$G$110="acoes"))*Inputs!$B$1+((Inputs!$G$5:$G$110&lt;&gt;"moeda")*(Inputs!$G$5:$G$110&lt;&gt;"acoes")))*INDEX(Inputs!$K$5:$AJ$110,0,MATCH(Y$2,Inputs!$K$4:$AJ$4,0)))))</f>
        <v>0</v>
      </c>
      <c r="Z32" s="267">
        <f>IF(ISNA(MATCH(Z$2,Inputs!$K$4:$AJ$4,0)),NA(),IF(SUMPRODUCT((Inputs!$A$5:$A$110=$B32)*ISNUMBER(INDEX(Inputs!$K$5:$AJ$110,0,MATCH(Z$2,Inputs!$K$4:$AJ$4,0))))+SUMPRODUCT((Inputs!$C$5:$C$110=$B32)*ISNUMBER(INDEX(Inputs!$K$5:$AJ$110,0,MATCH(Z$2,Inputs!$K$4:$AJ$4,0))))+SUMPRODUCT((Inputs!$E$5:$E$110=$B32)*ISNUMBER(INDEX(Inputs!$K$5:$AJ$110,0,MATCH(Z$2,Inputs!$K$4:$AJ$4,0))))=0,NA(),SUMPRODUCT((Inputs!$A$5:$A$110=$B32)*Inputs!$B$5:$B$110*(((Inputs!$G$5:$G$110="moeda")+(Inputs!$G$5:$G$110="acoes"))*Inputs!$B$1+((Inputs!$G$5:$G$110&lt;&gt;"moeda")*(Inputs!$G$5:$G$110&lt;&gt;"acoes")))*INDEX(Inputs!$K$5:$AJ$110,0,MATCH(Z$2,Inputs!$K$4:$AJ$4,0)))+SUMPRODUCT((Inputs!$C$5:$C$110=$B32)*Inputs!$D$5:$D$110*(((Inputs!$G$5:$G$110="moeda")+(Inputs!$G$5:$G$110="acoes"))*Inputs!$B$1+((Inputs!$G$5:$G$110&lt;&gt;"moeda")*(Inputs!$G$5:$G$110&lt;&gt;"acoes")))*INDEX(Inputs!$K$5:$AJ$110,0,MATCH(Z$2,Inputs!$K$4:$AJ$4,0)))+SUMPRODUCT((Inputs!$E$5:$E$110=$B32)*Inputs!$F$5:$F$110*(((Inputs!$G$5:$G$110="moeda")+(Inputs!$G$5:$G$110="acoes"))*Inputs!$B$1+((Inputs!$G$5:$G$110&lt;&gt;"moeda")*(Inputs!$G$5:$G$110&lt;&gt;"acoes")))*INDEX(Inputs!$K$5:$AJ$110,0,MATCH(Z$2,Inputs!$K$4:$AJ$4,0)))))</f>
        <v>0</v>
      </c>
      <c r="AA32" s="267">
        <f>IF(ISNA(MATCH(AA$2,Inputs!$K$4:$AJ$4,0)),NA(),IF(SUMPRODUCT((Inputs!$A$5:$A$110=$B32)*ISNUMBER(INDEX(Inputs!$K$5:$AJ$110,0,MATCH(AA$2,Inputs!$K$4:$AJ$4,0))))+SUMPRODUCT((Inputs!$C$5:$C$110=$B32)*ISNUMBER(INDEX(Inputs!$K$5:$AJ$110,0,MATCH(AA$2,Inputs!$K$4:$AJ$4,0))))+SUMPRODUCT((Inputs!$E$5:$E$110=$B32)*ISNUMBER(INDEX(Inputs!$K$5:$AJ$110,0,MATCH(AA$2,Inputs!$K$4:$AJ$4,0))))=0,NA(),SUMPRODUCT((Inputs!$A$5:$A$110=$B32)*Inputs!$B$5:$B$110*(((Inputs!$G$5:$G$110="moeda")+(Inputs!$G$5:$G$110="acoes"))*Inputs!$B$1+((Inputs!$G$5:$G$110&lt;&gt;"moeda")*(Inputs!$G$5:$G$110&lt;&gt;"acoes")))*INDEX(Inputs!$K$5:$AJ$110,0,MATCH(AA$2,Inputs!$K$4:$AJ$4,0)))+SUMPRODUCT((Inputs!$C$5:$C$110=$B32)*Inputs!$D$5:$D$110*(((Inputs!$G$5:$G$110="moeda")+(Inputs!$G$5:$G$110="acoes"))*Inputs!$B$1+((Inputs!$G$5:$G$110&lt;&gt;"moeda")*(Inputs!$G$5:$G$110&lt;&gt;"acoes")))*INDEX(Inputs!$K$5:$AJ$110,0,MATCH(AA$2,Inputs!$K$4:$AJ$4,0)))+SUMPRODUCT((Inputs!$E$5:$E$110=$B32)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2" s="268">
        <f>AA32</f>
        <v>0</v>
      </c>
      <c r="AC32" s="267">
        <f>IF(ISNA(MATCH(AC$2,Inputs!$K$4:$AJ$4,0)),NA(),IF(SUMPRODUCT((Inputs!$A$5:$A$110=$B32)*ISNUMBER(INDEX(Inputs!$K$5:$AJ$110,0,MATCH(AC$2,Inputs!$K$4:$AJ$4,0))))+SUMPRODUCT((Inputs!$C$5:$C$110=$B32)*ISNUMBER(INDEX(Inputs!$K$5:$AJ$110,0,MATCH(AC$2,Inputs!$K$4:$AJ$4,0))))+SUMPRODUCT((Inputs!$E$5:$E$110=$B32)*ISNUMBER(INDEX(Inputs!$K$5:$AJ$110,0,MATCH(AC$2,Inputs!$K$4:$AJ$4,0))))=0,NA(),SUMPRODUCT((Inputs!$A$5:$A$110=$B32)*Inputs!$B$5:$B$110*(((Inputs!$G$5:$G$110="moeda")+(Inputs!$G$5:$G$110="acoes"))*Inputs!$B$1+((Inputs!$G$5:$G$110&lt;&gt;"moeda")*(Inputs!$G$5:$G$110&lt;&gt;"acoes")))*INDEX(Inputs!$K$5:$AJ$110,0,MATCH(AC$2,Inputs!$K$4:$AJ$4,0)))+SUMPRODUCT((Inputs!$C$5:$C$110=$B32)*Inputs!$D$5:$D$110*(((Inputs!$G$5:$G$110="moeda")+(Inputs!$G$5:$G$110="acoes"))*Inputs!$B$1+((Inputs!$G$5:$G$110&lt;&gt;"moeda")*(Inputs!$G$5:$G$110&lt;&gt;"acoes")))*INDEX(Inputs!$K$5:$AJ$110,0,MATCH(AC$2,Inputs!$K$4:$AJ$4,0)))+SUMPRODUCT((Inputs!$E$5:$E$110=$B32)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2" s="267">
        <f>IF(ISNA(MATCH(AD$2,Inputs!$K$4:$AJ$4,0)),NA(),IF(SUMPRODUCT((Inputs!$A$5:$A$110=$B32)*ISNUMBER(INDEX(Inputs!$K$5:$AJ$110,0,MATCH(AD$2,Inputs!$K$4:$AJ$4,0))))+SUMPRODUCT((Inputs!$C$5:$C$110=$B32)*ISNUMBER(INDEX(Inputs!$K$5:$AJ$110,0,MATCH(AD$2,Inputs!$K$4:$AJ$4,0))))+SUMPRODUCT((Inputs!$E$5:$E$110=$B32)*ISNUMBER(INDEX(Inputs!$K$5:$AJ$110,0,MATCH(AD$2,Inputs!$K$4:$AJ$4,0))))=0,NA(),SUMPRODUCT((Inputs!$A$5:$A$110=$B32)*Inputs!$B$5:$B$110*(((Inputs!$G$5:$G$110="moeda")+(Inputs!$G$5:$G$110="acoes"))*Inputs!$B$1+((Inputs!$G$5:$G$110&lt;&gt;"moeda")*(Inputs!$G$5:$G$110&lt;&gt;"acoes")))*INDEX(Inputs!$K$5:$AJ$110,0,MATCH(AD$2,Inputs!$K$4:$AJ$4,0)))+SUMPRODUCT((Inputs!$C$5:$C$110=$B32)*Inputs!$D$5:$D$110*(((Inputs!$G$5:$G$110="moeda")+(Inputs!$G$5:$G$110="acoes"))*Inputs!$B$1+((Inputs!$G$5:$G$110&lt;&gt;"moeda")*(Inputs!$G$5:$G$110&lt;&gt;"acoes")))*INDEX(Inputs!$K$5:$AJ$110,0,MATCH(AD$2,Inputs!$K$4:$AJ$4,0)))+SUMPRODUCT((Inputs!$E$5:$E$110=$B32)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2" s="267" t="e">
        <f>IF(ISNA(MATCH(AE$2,Inputs!$K$4:$AJ$4,0)),NA(),IF(SUMPRODUCT((Inputs!$A$5:$A$110=$B32)*ISNUMBER(INDEX(Inputs!$K$5:$AJ$110,0,MATCH(AE$2,Inputs!$K$4:$AJ$4,0))))+SUMPRODUCT((Inputs!$C$5:$C$110=$B32)*ISNUMBER(INDEX(Inputs!$K$5:$AJ$110,0,MATCH(AE$2,Inputs!$K$4:$AJ$4,0))))+SUMPRODUCT((Inputs!$E$5:$E$110=$B32)*ISNUMBER(INDEX(Inputs!$K$5:$AJ$110,0,MATCH(AE$2,Inputs!$K$4:$AJ$4,0))))=0,NA(),SUMPRODUCT((Inputs!$A$5:$A$110=$B32)*Inputs!$B$5:$B$110*(((Inputs!$G$5:$G$110="moeda")+(Inputs!$G$5:$G$110="acoes"))*Inputs!$B$1+((Inputs!$G$5:$G$110&lt;&gt;"moeda")*(Inputs!$G$5:$G$110&lt;&gt;"acoes")))*INDEX(Inputs!$K$5:$AJ$110,0,MATCH(AE$2,Inputs!$K$4:$AJ$4,0)))+SUMPRODUCT((Inputs!$C$5:$C$110=$B32)*Inputs!$D$5:$D$110*(((Inputs!$G$5:$G$110="moeda")+(Inputs!$G$5:$G$110="acoes"))*Inputs!$B$1+((Inputs!$G$5:$G$110&lt;&gt;"moeda")*(Inputs!$G$5:$G$110&lt;&gt;"acoes")))*INDEX(Inputs!$K$5:$AJ$110,0,MATCH(AE$2,Inputs!$K$4:$AJ$4,0)))+SUMPRODUCT((Inputs!$E$5:$E$110=$B32)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2" s="267" t="e">
        <f>IF(ISNA(MATCH(AF$2,Inputs!$K$4:$AJ$4,0)),NA(),IF(SUMPRODUCT((Inputs!$A$5:$A$110=$B32)*ISNUMBER(INDEX(Inputs!$K$5:$AJ$110,0,MATCH(AF$2,Inputs!$K$4:$AJ$4,0))))+SUMPRODUCT((Inputs!$C$5:$C$110=$B32)*ISNUMBER(INDEX(Inputs!$K$5:$AJ$110,0,MATCH(AF$2,Inputs!$K$4:$AJ$4,0))))+SUMPRODUCT((Inputs!$E$5:$E$110=$B32)*ISNUMBER(INDEX(Inputs!$K$5:$AJ$110,0,MATCH(AF$2,Inputs!$K$4:$AJ$4,0))))=0,NA(),SUMPRODUCT((Inputs!$A$5:$A$110=$B32)*Inputs!$B$5:$B$110*(((Inputs!$G$5:$G$110="moeda")+(Inputs!$G$5:$G$110="acoes"))*Inputs!$B$1+((Inputs!$G$5:$G$110&lt;&gt;"moeda")*(Inputs!$G$5:$G$110&lt;&gt;"acoes")))*INDEX(Inputs!$K$5:$AJ$110,0,MATCH(AF$2,Inputs!$K$4:$AJ$4,0)))+SUMPRODUCT((Inputs!$C$5:$C$110=$B32)*Inputs!$D$5:$D$110*(((Inputs!$G$5:$G$110="moeda")+(Inputs!$G$5:$G$110="acoes"))*Inputs!$B$1+((Inputs!$G$5:$G$110&lt;&gt;"moeda")*(Inputs!$G$5:$G$110&lt;&gt;"acoes")))*INDEX(Inputs!$K$5:$AJ$110,0,MATCH(AF$2,Inputs!$K$4:$AJ$4,0)))+SUMPRODUCT((Inputs!$E$5:$E$110=$B32)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2" s="268" t="e">
        <f>AF32</f>
        <v>#N/A</v>
      </c>
      <c r="AH32" s="267">
        <f>IF(ISNA(MATCH(AH$2,Inputs!$K$4:$AJ$4,0)),NA(),IF(SUMPRODUCT((Inputs!$A$5:$A$110=$B32)*ISNUMBER(INDEX(Inputs!$K$5:$AJ$110,0,MATCH(AH$2,Inputs!$K$4:$AJ$4,0))))+SUMPRODUCT((Inputs!$C$5:$C$110=$B32)*ISNUMBER(INDEX(Inputs!$K$5:$AJ$110,0,MATCH(AH$2,Inputs!$K$4:$AJ$4,0))))+SUMPRODUCT((Inputs!$E$5:$E$110=$B32)*ISNUMBER(INDEX(Inputs!$K$5:$AJ$110,0,MATCH(AH$2,Inputs!$K$4:$AJ$4,0))))=0,NA(),SUMPRODUCT((Inputs!$A$5:$A$110=$B32)*Inputs!$B$5:$B$110*(((Inputs!$G$5:$G$110="moeda")+(Inputs!$G$5:$G$110="acoes"))*Inputs!$B$1+((Inputs!$G$5:$G$110&lt;&gt;"moeda")*(Inputs!$G$5:$G$110&lt;&gt;"acoes")))*INDEX(Inputs!$K$5:$AJ$110,0,MATCH(AH$2,Inputs!$K$4:$AJ$4,0)))+SUMPRODUCT((Inputs!$C$5:$C$110=$B32)*Inputs!$D$5:$D$110*(((Inputs!$G$5:$G$110="moeda")+(Inputs!$G$5:$G$110="acoes"))*Inputs!$B$1+((Inputs!$G$5:$G$110&lt;&gt;"moeda")*(Inputs!$G$5:$G$110&lt;&gt;"acoes")))*INDEX(Inputs!$K$5:$AJ$110,0,MATCH(AH$2,Inputs!$K$4:$AJ$4,0)))+SUMPRODUCT((Inputs!$E$5:$E$110=$B32)*Inputs!$F$5:$F$110*(((Inputs!$G$5:$G$110="moeda")+(Inputs!$G$5:$G$110="acoes"))*Inputs!$B$1+((Inputs!$G$5:$G$110&lt;&gt;"moeda")*(Inputs!$G$5:$G$110&lt;&gt;"acoes")))*INDEX(Inputs!$K$5:$AJ$110,0,MATCH(AH$2,Inputs!$K$4:$AJ$4,0)))))</f>
        <v>500</v>
      </c>
      <c r="AI32" s="267">
        <f>IF(ISNA(MATCH(AI$2,Inputs!$K$4:$AJ$4,0)),NA(),IF(SUMPRODUCT((Inputs!$A$5:$A$110=$B32)*ISNUMBER(INDEX(Inputs!$K$5:$AJ$110,0,MATCH(AI$2,Inputs!$K$4:$AJ$4,0))))+SUMPRODUCT((Inputs!$C$5:$C$110=$B32)*ISNUMBER(INDEX(Inputs!$K$5:$AJ$110,0,MATCH(AI$2,Inputs!$K$4:$AJ$4,0))))+SUMPRODUCT((Inputs!$E$5:$E$110=$B32)*ISNUMBER(INDEX(Inputs!$K$5:$AJ$110,0,MATCH(AI$2,Inputs!$K$4:$AJ$4,0))))=0,NA(),SUMPRODUCT((Inputs!$A$5:$A$110=$B32)*Inputs!$B$5:$B$110*(((Inputs!$G$5:$G$110="moeda")+(Inputs!$G$5:$G$110="acoes"))*Inputs!$B$1+((Inputs!$G$5:$G$110&lt;&gt;"moeda")*(Inputs!$G$5:$G$110&lt;&gt;"acoes")))*INDEX(Inputs!$K$5:$AJ$110,0,MATCH(AI$2,Inputs!$K$4:$AJ$4,0)))+SUMPRODUCT((Inputs!$C$5:$C$110=$B32)*Inputs!$D$5:$D$110*(((Inputs!$G$5:$G$110="moeda")+(Inputs!$G$5:$G$110="acoes"))*Inputs!$B$1+((Inputs!$G$5:$G$110&lt;&gt;"moeda")*(Inputs!$G$5:$G$110&lt;&gt;"acoes")))*INDEX(Inputs!$K$5:$AJ$110,0,MATCH(AI$2,Inputs!$K$4:$AJ$4,0)))+SUMPRODUCT((Inputs!$E$5:$E$110=$B32)*Inputs!$F$5:$F$110*(((Inputs!$G$5:$G$110="moeda")+(Inputs!$G$5:$G$110="acoes"))*Inputs!$B$1+((Inputs!$G$5:$G$110&lt;&gt;"moeda")*(Inputs!$G$5:$G$110&lt;&gt;"acoes")))*INDEX(Inputs!$K$5:$AJ$110,0,MATCH(AI$2,Inputs!$K$4:$AJ$4,0)))))</f>
        <v>1497</v>
      </c>
      <c r="AJ32" s="267">
        <f>IF(ISNA(MATCH(AJ$2,Inputs!$K$4:$AJ$4,0)),NA(),IF(SUMPRODUCT((Inputs!$A$5:$A$110=$B32)*ISNUMBER(INDEX(Inputs!$K$5:$AJ$110,0,MATCH(AJ$2,Inputs!$K$4:$AJ$4,0))))+SUMPRODUCT((Inputs!$C$5:$C$110=$B32)*ISNUMBER(INDEX(Inputs!$K$5:$AJ$110,0,MATCH(AJ$2,Inputs!$K$4:$AJ$4,0))))+SUMPRODUCT((Inputs!$E$5:$E$110=$B32)*ISNUMBER(INDEX(Inputs!$K$5:$AJ$110,0,MATCH(AJ$2,Inputs!$K$4:$AJ$4,0))))=0,NA(),SUMPRODUCT((Inputs!$A$5:$A$110=$B32)*Inputs!$B$5:$B$110*(((Inputs!$G$5:$G$110="moeda")+(Inputs!$G$5:$G$110="acoes"))*Inputs!$B$1+((Inputs!$G$5:$G$110&lt;&gt;"moeda")*(Inputs!$G$5:$G$110&lt;&gt;"acoes")))*INDEX(Inputs!$K$5:$AJ$110,0,MATCH(AJ$2,Inputs!$K$4:$AJ$4,0)))+SUMPRODUCT((Inputs!$C$5:$C$110=$B32)*Inputs!$D$5:$D$110*(((Inputs!$G$5:$G$110="moeda")+(Inputs!$G$5:$G$110="acoes"))*Inputs!$B$1+((Inputs!$G$5:$G$110&lt;&gt;"moeda")*(Inputs!$G$5:$G$110&lt;&gt;"acoes")))*INDEX(Inputs!$K$5:$AJ$110,0,MATCH(AJ$2,Inputs!$K$4:$AJ$4,0)))+SUMPRODUCT((Inputs!$E$5:$E$110=$B32)*Inputs!$F$5:$F$110*(((Inputs!$G$5:$G$110="moeda")+(Inputs!$G$5:$G$110="acoes"))*Inputs!$B$1+((Inputs!$G$5:$G$110&lt;&gt;"moeda")*(Inputs!$G$5:$G$110&lt;&gt;"acoes")))*INDEX(Inputs!$K$5:$AJ$110,0,MATCH(AJ$2,Inputs!$K$4:$AJ$4,0)))))</f>
        <v>95</v>
      </c>
      <c r="AK32" s="267">
        <f>IF(ISNA(MATCH(AK$2,Inputs!$K$4:$AJ$4,0)),NA(),IF(SUMPRODUCT((Inputs!$A$5:$A$110=$B32)*ISNUMBER(INDEX(Inputs!$K$5:$AJ$110,0,MATCH(AK$2,Inputs!$K$4:$AJ$4,0))))+SUMPRODUCT((Inputs!$C$5:$C$110=$B32)*ISNUMBER(INDEX(Inputs!$K$5:$AJ$110,0,MATCH(AK$2,Inputs!$K$4:$AJ$4,0))))+SUMPRODUCT((Inputs!$E$5:$E$110=$B32)*ISNUMBER(INDEX(Inputs!$K$5:$AJ$110,0,MATCH(AK$2,Inputs!$K$4:$AJ$4,0))))=0,NA(),SUMPRODUCT((Inputs!$A$5:$A$110=$B32)*Inputs!$B$5:$B$110*(((Inputs!$G$5:$G$110="moeda")+(Inputs!$G$5:$G$110="acoes"))*Inputs!$B$1+((Inputs!$G$5:$G$110&lt;&gt;"moeda")*(Inputs!$G$5:$G$110&lt;&gt;"acoes")))*INDEX(Inputs!$K$5:$AJ$110,0,MATCH(AK$2,Inputs!$K$4:$AJ$4,0)))+SUMPRODUCT((Inputs!$C$5:$C$110=$B32)*Inputs!$D$5:$D$110*(((Inputs!$G$5:$G$110="moeda")+(Inputs!$G$5:$G$110="acoes"))*Inputs!$B$1+((Inputs!$G$5:$G$110&lt;&gt;"moeda")*(Inputs!$G$5:$G$110&lt;&gt;"acoes")))*INDEX(Inputs!$K$5:$AJ$110,0,MATCH(AK$2,Inputs!$K$4:$AJ$4,0)))+SUMPRODUCT((Inputs!$E$5:$E$110=$B32)*Inputs!$F$5:$F$110*(((Inputs!$G$5:$G$110="moeda")+(Inputs!$G$5:$G$110="acoes"))*Inputs!$B$1+((Inputs!$G$5:$G$110&lt;&gt;"moeda")*(Inputs!$G$5:$G$110&lt;&gt;"acoes")))*INDEX(Inputs!$K$5:$AJ$110,0,MATCH(AK$2,Inputs!$K$4:$AJ$4,0)))))</f>
        <v>96</v>
      </c>
      <c r="AL32" s="268">
        <f>AK32</f>
        <v>96</v>
      </c>
    </row>
    <row r="33" ht="12.75" customHeight="1" s="255">
      <c r="B33" s="265" t="n">
        <v>28</v>
      </c>
      <c r="C33" s="270" t="inlineStr">
        <is>
          <t>Short term debt (Revolving credit facility)</t>
        </is>
      </c>
      <c r="D33" s="267">
        <f>IF(ISNA(MATCH(D$2,Inputs!$K$4:$AJ$4,0)),NA(),IF(SUMPRODUCT((Inputs!$A$5:$A$110=$B33)*ISNUMBER(INDEX(Inputs!$K$5:$AJ$110,0,MATCH(D$2,Inputs!$K$4:$AJ$4,0))))+SUMPRODUCT((Inputs!$C$5:$C$110=$B33)*ISNUMBER(INDEX(Inputs!$K$5:$AJ$110,0,MATCH(D$2,Inputs!$K$4:$AJ$4,0))))+SUMPRODUCT((Inputs!$E$5:$E$110=$B33)*ISNUMBER(INDEX(Inputs!$K$5:$AJ$110,0,MATCH(D$2,Inputs!$K$4:$AJ$4,0))))=0,NA(),SUMPRODUCT((Inputs!$A$5:$A$110=$B33)*Inputs!$B$5:$B$110*(((Inputs!$G$5:$G$110="moeda")+(Inputs!$G$5:$G$110="acoes"))*Inputs!$B$1+((Inputs!$G$5:$G$110&lt;&gt;"moeda")*(Inputs!$G$5:$G$110&lt;&gt;"acoes")))*INDEX(Inputs!$K$5:$AJ$110,0,MATCH(D$2,Inputs!$K$4:$AJ$4,0)))+SUMPRODUCT((Inputs!$C$5:$C$110=$B33)*Inputs!$D$5:$D$110*(((Inputs!$G$5:$G$110="moeda")+(Inputs!$G$5:$G$110="acoes"))*Inputs!$B$1+((Inputs!$G$5:$G$110&lt;&gt;"moeda")*(Inputs!$G$5:$G$110&lt;&gt;"acoes")))*INDEX(Inputs!$K$5:$AJ$110,0,MATCH(D$2,Inputs!$K$4:$AJ$4,0)))+SUMPRODUCT((Inputs!$E$5:$E$110=$B33)*Inputs!$F$5:$F$110*(((Inputs!$G$5:$G$110="moeda")+(Inputs!$G$5:$G$110="acoes"))*Inputs!$B$1+((Inputs!$G$5:$G$110&lt;&gt;"moeda")*(Inputs!$G$5:$G$110&lt;&gt;"acoes")))*INDEX(Inputs!$K$5:$AJ$110,0,MATCH(D$2,Inputs!$K$4:$AJ$4,0)))))</f>
        <v>0</v>
      </c>
      <c r="E33" s="267">
        <f>IF(ISNA(MATCH(E$2,Inputs!$K$4:$AJ$4,0)),NA(),IF(SUMPRODUCT((Inputs!$A$5:$A$110=$B33)*ISNUMBER(INDEX(Inputs!$K$5:$AJ$110,0,MATCH(E$2,Inputs!$K$4:$AJ$4,0))))+SUMPRODUCT((Inputs!$C$5:$C$110=$B33)*ISNUMBER(INDEX(Inputs!$K$5:$AJ$110,0,MATCH(E$2,Inputs!$K$4:$AJ$4,0))))+SUMPRODUCT((Inputs!$E$5:$E$110=$B33)*ISNUMBER(INDEX(Inputs!$K$5:$AJ$110,0,MATCH(E$2,Inputs!$K$4:$AJ$4,0))))=0,NA(),SUMPRODUCT((Inputs!$A$5:$A$110=$B33)*Inputs!$B$5:$B$110*(((Inputs!$G$5:$G$110="moeda")+(Inputs!$G$5:$G$110="acoes"))*Inputs!$B$1+((Inputs!$G$5:$G$110&lt;&gt;"moeda")*(Inputs!$G$5:$G$110&lt;&gt;"acoes")))*INDEX(Inputs!$K$5:$AJ$110,0,MATCH(E$2,Inputs!$K$4:$AJ$4,0)))+SUMPRODUCT((Inputs!$C$5:$C$110=$B33)*Inputs!$D$5:$D$110*(((Inputs!$G$5:$G$110="moeda")+(Inputs!$G$5:$G$110="acoes"))*Inputs!$B$1+((Inputs!$G$5:$G$110&lt;&gt;"moeda")*(Inputs!$G$5:$G$110&lt;&gt;"acoes")))*INDEX(Inputs!$K$5:$AJ$110,0,MATCH(E$2,Inputs!$K$4:$AJ$4,0)))+SUMPRODUCT((Inputs!$E$5:$E$110=$B33)*Inputs!$F$5:$F$110*(((Inputs!$G$5:$G$110="moeda")+(Inputs!$G$5:$G$110="acoes"))*Inputs!$B$1+((Inputs!$G$5:$G$110&lt;&gt;"moeda")*(Inputs!$G$5:$G$110&lt;&gt;"acoes")))*INDEX(Inputs!$K$5:$AJ$110,0,MATCH(E$2,Inputs!$K$4:$AJ$4,0)))))</f>
        <v>0</v>
      </c>
      <c r="F33" s="267">
        <f>IF(ISNA(MATCH(F$2,Inputs!$K$4:$AJ$4,0)),NA(),IF(SUMPRODUCT((Inputs!$A$5:$A$110=$B33)*ISNUMBER(INDEX(Inputs!$K$5:$AJ$110,0,MATCH(F$2,Inputs!$K$4:$AJ$4,0))))+SUMPRODUCT((Inputs!$C$5:$C$110=$B33)*ISNUMBER(INDEX(Inputs!$K$5:$AJ$110,0,MATCH(F$2,Inputs!$K$4:$AJ$4,0))))+SUMPRODUCT((Inputs!$E$5:$E$110=$B33)*ISNUMBER(INDEX(Inputs!$K$5:$AJ$110,0,MATCH(F$2,Inputs!$K$4:$AJ$4,0))))=0,NA(),SUMPRODUCT((Inputs!$A$5:$A$110=$B33)*Inputs!$B$5:$B$110*(((Inputs!$G$5:$G$110="moeda")+(Inputs!$G$5:$G$110="acoes"))*Inputs!$B$1+((Inputs!$G$5:$G$110&lt;&gt;"moeda")*(Inputs!$G$5:$G$110&lt;&gt;"acoes")))*INDEX(Inputs!$K$5:$AJ$110,0,MATCH(F$2,Inputs!$K$4:$AJ$4,0)))+SUMPRODUCT((Inputs!$C$5:$C$110=$B33)*Inputs!$D$5:$D$110*(((Inputs!$G$5:$G$110="moeda")+(Inputs!$G$5:$G$110="acoes"))*Inputs!$B$1+((Inputs!$G$5:$G$110&lt;&gt;"moeda")*(Inputs!$G$5:$G$110&lt;&gt;"acoes")))*INDEX(Inputs!$K$5:$AJ$110,0,MATCH(F$2,Inputs!$K$4:$AJ$4,0)))+SUMPRODUCT((Inputs!$E$5:$E$110=$B33)*Inputs!$F$5:$F$110*(((Inputs!$G$5:$G$110="moeda")+(Inputs!$G$5:$G$110="acoes"))*Inputs!$B$1+((Inputs!$G$5:$G$110&lt;&gt;"moeda")*(Inputs!$G$5:$G$110&lt;&gt;"acoes")))*INDEX(Inputs!$K$5:$AJ$110,0,MATCH(F$2,Inputs!$K$4:$AJ$4,0)))))</f>
        <v>0</v>
      </c>
      <c r="G33" s="267">
        <f>IF(ISNA(MATCH(G$2,Inputs!$K$4:$AJ$4,0)),NA(),IF(SUMPRODUCT((Inputs!$A$5:$A$110=$B33)*ISNUMBER(INDEX(Inputs!$K$5:$AJ$110,0,MATCH(G$2,Inputs!$K$4:$AJ$4,0))))+SUMPRODUCT((Inputs!$C$5:$C$110=$B33)*ISNUMBER(INDEX(Inputs!$K$5:$AJ$110,0,MATCH(G$2,Inputs!$K$4:$AJ$4,0))))+SUMPRODUCT((Inputs!$E$5:$E$110=$B33)*ISNUMBER(INDEX(Inputs!$K$5:$AJ$110,0,MATCH(G$2,Inputs!$K$4:$AJ$4,0))))=0,NA(),SUMPRODUCT((Inputs!$A$5:$A$110=$B33)*Inputs!$B$5:$B$110*(((Inputs!$G$5:$G$110="moeda")+(Inputs!$G$5:$G$110="acoes"))*Inputs!$B$1+((Inputs!$G$5:$G$110&lt;&gt;"moeda")*(Inputs!$G$5:$G$110&lt;&gt;"acoes")))*INDEX(Inputs!$K$5:$AJ$110,0,MATCH(G$2,Inputs!$K$4:$AJ$4,0)))+SUMPRODUCT((Inputs!$C$5:$C$110=$B33)*Inputs!$D$5:$D$110*(((Inputs!$G$5:$G$110="moeda")+(Inputs!$G$5:$G$110="acoes"))*Inputs!$B$1+((Inputs!$G$5:$G$110&lt;&gt;"moeda")*(Inputs!$G$5:$G$110&lt;&gt;"acoes")))*INDEX(Inputs!$K$5:$AJ$110,0,MATCH(G$2,Inputs!$K$4:$AJ$4,0)))+SUMPRODUCT((Inputs!$E$5:$E$110=$B33)*Inputs!$F$5:$F$110*(((Inputs!$G$5:$G$110="moeda")+(Inputs!$G$5:$G$110="acoes"))*Inputs!$B$1+((Inputs!$G$5:$G$110&lt;&gt;"moeda")*(Inputs!$G$5:$G$110&lt;&gt;"acoes")))*INDEX(Inputs!$K$5:$AJ$110,0,MATCH(G$2,Inputs!$K$4:$AJ$4,0)))))</f>
        <v>0</v>
      </c>
      <c r="H33" s="268">
        <f>G33</f>
        <v>0</v>
      </c>
      <c r="I33" s="267">
        <f>IF(ISNA(MATCH(I$2,Inputs!$K$4:$AJ$4,0)),NA(),IF(SUMPRODUCT((Inputs!$A$5:$A$110=$B33)*ISNUMBER(INDEX(Inputs!$K$5:$AJ$110,0,MATCH(I$2,Inputs!$K$4:$AJ$4,0))))+SUMPRODUCT((Inputs!$C$5:$C$110=$B33)*ISNUMBER(INDEX(Inputs!$K$5:$AJ$110,0,MATCH(I$2,Inputs!$K$4:$AJ$4,0))))+SUMPRODUCT((Inputs!$E$5:$E$110=$B33)*ISNUMBER(INDEX(Inputs!$K$5:$AJ$110,0,MATCH(I$2,Inputs!$K$4:$AJ$4,0))))=0,NA(),SUMPRODUCT((Inputs!$A$5:$A$110=$B33)*Inputs!$B$5:$B$110*(((Inputs!$G$5:$G$110="moeda")+(Inputs!$G$5:$G$110="acoes"))*Inputs!$B$1+((Inputs!$G$5:$G$110&lt;&gt;"moeda")*(Inputs!$G$5:$G$110&lt;&gt;"acoes")))*INDEX(Inputs!$K$5:$AJ$110,0,MATCH(I$2,Inputs!$K$4:$AJ$4,0)))+SUMPRODUCT((Inputs!$C$5:$C$110=$B33)*Inputs!$D$5:$D$110*(((Inputs!$G$5:$G$110="moeda")+(Inputs!$G$5:$G$110="acoes"))*Inputs!$B$1+((Inputs!$G$5:$G$110&lt;&gt;"moeda")*(Inputs!$G$5:$G$110&lt;&gt;"acoes")))*INDEX(Inputs!$K$5:$AJ$110,0,MATCH(I$2,Inputs!$K$4:$AJ$4,0)))+SUMPRODUCT((Inputs!$E$5:$E$110=$B33)*Inputs!$F$5:$F$110*(((Inputs!$G$5:$G$110="moeda")+(Inputs!$G$5:$G$110="acoes"))*Inputs!$B$1+((Inputs!$G$5:$G$110&lt;&gt;"moeda")*(Inputs!$G$5:$G$110&lt;&gt;"acoes")))*INDEX(Inputs!$K$5:$AJ$110,0,MATCH(I$2,Inputs!$K$4:$AJ$4,0)))))</f>
        <v>0</v>
      </c>
      <c r="J33" s="267">
        <f>IF(ISNA(MATCH(J$2,Inputs!$K$4:$AJ$4,0)),NA(),IF(SUMPRODUCT((Inputs!$A$5:$A$110=$B33)*ISNUMBER(INDEX(Inputs!$K$5:$AJ$110,0,MATCH(J$2,Inputs!$K$4:$AJ$4,0))))+SUMPRODUCT((Inputs!$C$5:$C$110=$B33)*ISNUMBER(INDEX(Inputs!$K$5:$AJ$110,0,MATCH(J$2,Inputs!$K$4:$AJ$4,0))))+SUMPRODUCT((Inputs!$E$5:$E$110=$B33)*ISNUMBER(INDEX(Inputs!$K$5:$AJ$110,0,MATCH(J$2,Inputs!$K$4:$AJ$4,0))))=0,NA(),SUMPRODUCT((Inputs!$A$5:$A$110=$B33)*Inputs!$B$5:$B$110*(((Inputs!$G$5:$G$110="moeda")+(Inputs!$G$5:$G$110="acoes"))*Inputs!$B$1+((Inputs!$G$5:$G$110&lt;&gt;"moeda")*(Inputs!$G$5:$G$110&lt;&gt;"acoes")))*INDEX(Inputs!$K$5:$AJ$110,0,MATCH(J$2,Inputs!$K$4:$AJ$4,0)))+SUMPRODUCT((Inputs!$C$5:$C$110=$B33)*Inputs!$D$5:$D$110*(((Inputs!$G$5:$G$110="moeda")+(Inputs!$G$5:$G$110="acoes"))*Inputs!$B$1+((Inputs!$G$5:$G$110&lt;&gt;"moeda")*(Inputs!$G$5:$G$110&lt;&gt;"acoes")))*INDEX(Inputs!$K$5:$AJ$110,0,MATCH(J$2,Inputs!$K$4:$AJ$4,0)))+SUMPRODUCT((Inputs!$E$5:$E$110=$B33)*Inputs!$F$5:$F$110*(((Inputs!$G$5:$G$110="moeda")+(Inputs!$G$5:$G$110="acoes"))*Inputs!$B$1+((Inputs!$G$5:$G$110&lt;&gt;"moeda")*(Inputs!$G$5:$G$110&lt;&gt;"acoes")))*INDEX(Inputs!$K$5:$AJ$110,0,MATCH(J$2,Inputs!$K$4:$AJ$4,0)))))</f>
        <v>0</v>
      </c>
      <c r="K33" s="267">
        <f>IF(ISNA(MATCH(K$2,Inputs!$K$4:$AJ$4,0)),NA(),IF(SUMPRODUCT((Inputs!$A$5:$A$110=$B33)*ISNUMBER(INDEX(Inputs!$K$5:$AJ$110,0,MATCH(K$2,Inputs!$K$4:$AJ$4,0))))+SUMPRODUCT((Inputs!$C$5:$C$110=$B33)*ISNUMBER(INDEX(Inputs!$K$5:$AJ$110,0,MATCH(K$2,Inputs!$K$4:$AJ$4,0))))+SUMPRODUCT((Inputs!$E$5:$E$110=$B33)*ISNUMBER(INDEX(Inputs!$K$5:$AJ$110,0,MATCH(K$2,Inputs!$K$4:$AJ$4,0))))=0,NA(),SUMPRODUCT((Inputs!$A$5:$A$110=$B33)*Inputs!$B$5:$B$110*(((Inputs!$G$5:$G$110="moeda")+(Inputs!$G$5:$G$110="acoes"))*Inputs!$B$1+((Inputs!$G$5:$G$110&lt;&gt;"moeda")*(Inputs!$G$5:$G$110&lt;&gt;"acoes")))*INDEX(Inputs!$K$5:$AJ$110,0,MATCH(K$2,Inputs!$K$4:$AJ$4,0)))+SUMPRODUCT((Inputs!$C$5:$C$110=$B33)*Inputs!$D$5:$D$110*(((Inputs!$G$5:$G$110="moeda")+(Inputs!$G$5:$G$110="acoes"))*Inputs!$B$1+((Inputs!$G$5:$G$110&lt;&gt;"moeda")*(Inputs!$G$5:$G$110&lt;&gt;"acoes")))*INDEX(Inputs!$K$5:$AJ$110,0,MATCH(K$2,Inputs!$K$4:$AJ$4,0)))+SUMPRODUCT((Inputs!$E$5:$E$110=$B33)*Inputs!$F$5:$F$110*(((Inputs!$G$5:$G$110="moeda")+(Inputs!$G$5:$G$110="acoes"))*Inputs!$B$1+((Inputs!$G$5:$G$110&lt;&gt;"moeda")*(Inputs!$G$5:$G$110&lt;&gt;"acoes")))*INDEX(Inputs!$K$5:$AJ$110,0,MATCH(K$2,Inputs!$K$4:$AJ$4,0)))))</f>
        <v>0</v>
      </c>
      <c r="L33" s="267">
        <f>IF(ISNA(MATCH(L$2,Inputs!$K$4:$AJ$4,0)),NA(),IF(SUMPRODUCT((Inputs!$A$5:$A$110=$B33)*ISNUMBER(INDEX(Inputs!$K$5:$AJ$110,0,MATCH(L$2,Inputs!$K$4:$AJ$4,0))))+SUMPRODUCT((Inputs!$C$5:$C$110=$B33)*ISNUMBER(INDEX(Inputs!$K$5:$AJ$110,0,MATCH(L$2,Inputs!$K$4:$AJ$4,0))))+SUMPRODUCT((Inputs!$E$5:$E$110=$B33)*ISNUMBER(INDEX(Inputs!$K$5:$AJ$110,0,MATCH(L$2,Inputs!$K$4:$AJ$4,0))))=0,NA(),SUMPRODUCT((Inputs!$A$5:$A$110=$B33)*Inputs!$B$5:$B$110*(((Inputs!$G$5:$G$110="moeda")+(Inputs!$G$5:$G$110="acoes"))*Inputs!$B$1+((Inputs!$G$5:$G$110&lt;&gt;"moeda")*(Inputs!$G$5:$G$110&lt;&gt;"acoes")))*INDEX(Inputs!$K$5:$AJ$110,0,MATCH(L$2,Inputs!$K$4:$AJ$4,0)))+SUMPRODUCT((Inputs!$C$5:$C$110=$B33)*Inputs!$D$5:$D$110*(((Inputs!$G$5:$G$110="moeda")+(Inputs!$G$5:$G$110="acoes"))*Inputs!$B$1+((Inputs!$G$5:$G$110&lt;&gt;"moeda")*(Inputs!$G$5:$G$110&lt;&gt;"acoes")))*INDEX(Inputs!$K$5:$AJ$110,0,MATCH(L$2,Inputs!$K$4:$AJ$4,0)))+SUMPRODUCT((Inputs!$E$5:$E$110=$B33)*Inputs!$F$5:$F$110*(((Inputs!$G$5:$G$110="moeda")+(Inputs!$G$5:$G$110="acoes"))*Inputs!$B$1+((Inputs!$G$5:$G$110&lt;&gt;"moeda")*(Inputs!$G$5:$G$110&lt;&gt;"acoes")))*INDEX(Inputs!$K$5:$AJ$110,0,MATCH(L$2,Inputs!$K$4:$AJ$4,0)))))</f>
        <v>0</v>
      </c>
      <c r="M33" s="268">
        <f>L33</f>
        <v>0</v>
      </c>
      <c r="N33" s="267">
        <f>IF(ISNA(MATCH(N$2,Inputs!$K$4:$AJ$4,0)),NA(),IF(SUMPRODUCT((Inputs!$A$5:$A$110=$B33)*ISNUMBER(INDEX(Inputs!$K$5:$AJ$110,0,MATCH(N$2,Inputs!$K$4:$AJ$4,0))))+SUMPRODUCT((Inputs!$C$5:$C$110=$B33)*ISNUMBER(INDEX(Inputs!$K$5:$AJ$110,0,MATCH(N$2,Inputs!$K$4:$AJ$4,0))))+SUMPRODUCT((Inputs!$E$5:$E$110=$B33)*ISNUMBER(INDEX(Inputs!$K$5:$AJ$110,0,MATCH(N$2,Inputs!$K$4:$AJ$4,0))))=0,NA(),SUMPRODUCT((Inputs!$A$5:$A$110=$B33)*Inputs!$B$5:$B$110*(((Inputs!$G$5:$G$110="moeda")+(Inputs!$G$5:$G$110="acoes"))*Inputs!$B$1+((Inputs!$G$5:$G$110&lt;&gt;"moeda")*(Inputs!$G$5:$G$110&lt;&gt;"acoes")))*INDEX(Inputs!$K$5:$AJ$110,0,MATCH(N$2,Inputs!$K$4:$AJ$4,0)))+SUMPRODUCT((Inputs!$C$5:$C$110=$B33)*Inputs!$D$5:$D$110*(((Inputs!$G$5:$G$110="moeda")+(Inputs!$G$5:$G$110="acoes"))*Inputs!$B$1+((Inputs!$G$5:$G$110&lt;&gt;"moeda")*(Inputs!$G$5:$G$110&lt;&gt;"acoes")))*INDEX(Inputs!$K$5:$AJ$110,0,MATCH(N$2,Inputs!$K$4:$AJ$4,0)))+SUMPRODUCT((Inputs!$E$5:$E$110=$B33)*Inputs!$F$5:$F$110*(((Inputs!$G$5:$G$110="moeda")+(Inputs!$G$5:$G$110="acoes"))*Inputs!$B$1+((Inputs!$G$5:$G$110&lt;&gt;"moeda")*(Inputs!$G$5:$G$110&lt;&gt;"acoes")))*INDEX(Inputs!$K$5:$AJ$110,0,MATCH(N$2,Inputs!$K$4:$AJ$4,0)))))</f>
        <v>0</v>
      </c>
      <c r="O33" s="267">
        <f>IF(ISNA(MATCH(O$2,Inputs!$K$4:$AJ$4,0)),NA(),IF(SUMPRODUCT((Inputs!$A$5:$A$110=$B33)*ISNUMBER(INDEX(Inputs!$K$5:$AJ$110,0,MATCH(O$2,Inputs!$K$4:$AJ$4,0))))+SUMPRODUCT((Inputs!$C$5:$C$110=$B33)*ISNUMBER(INDEX(Inputs!$K$5:$AJ$110,0,MATCH(O$2,Inputs!$K$4:$AJ$4,0))))+SUMPRODUCT((Inputs!$E$5:$E$110=$B33)*ISNUMBER(INDEX(Inputs!$K$5:$AJ$110,0,MATCH(O$2,Inputs!$K$4:$AJ$4,0))))=0,NA(),SUMPRODUCT((Inputs!$A$5:$A$110=$B33)*Inputs!$B$5:$B$110*(((Inputs!$G$5:$G$110="moeda")+(Inputs!$G$5:$G$110="acoes"))*Inputs!$B$1+((Inputs!$G$5:$G$110&lt;&gt;"moeda")*(Inputs!$G$5:$G$110&lt;&gt;"acoes")))*INDEX(Inputs!$K$5:$AJ$110,0,MATCH(O$2,Inputs!$K$4:$AJ$4,0)))+SUMPRODUCT((Inputs!$C$5:$C$110=$B33)*Inputs!$D$5:$D$110*(((Inputs!$G$5:$G$110="moeda")+(Inputs!$G$5:$G$110="acoes"))*Inputs!$B$1+((Inputs!$G$5:$G$110&lt;&gt;"moeda")*(Inputs!$G$5:$G$110&lt;&gt;"acoes")))*INDEX(Inputs!$K$5:$AJ$110,0,MATCH(O$2,Inputs!$K$4:$AJ$4,0)))+SUMPRODUCT((Inputs!$E$5:$E$110=$B33)*Inputs!$F$5:$F$110*(((Inputs!$G$5:$G$110="moeda")+(Inputs!$G$5:$G$110="acoes"))*Inputs!$B$1+((Inputs!$G$5:$G$110&lt;&gt;"moeda")*(Inputs!$G$5:$G$110&lt;&gt;"acoes")))*INDEX(Inputs!$K$5:$AJ$110,0,MATCH(O$2,Inputs!$K$4:$AJ$4,0)))))</f>
        <v>0</v>
      </c>
      <c r="P33" s="267">
        <f>IF(ISNA(MATCH(P$2,Inputs!$K$4:$AJ$4,0)),NA(),IF(SUMPRODUCT((Inputs!$A$5:$A$110=$B33)*ISNUMBER(INDEX(Inputs!$K$5:$AJ$110,0,MATCH(P$2,Inputs!$K$4:$AJ$4,0))))+SUMPRODUCT((Inputs!$C$5:$C$110=$B33)*ISNUMBER(INDEX(Inputs!$K$5:$AJ$110,0,MATCH(P$2,Inputs!$K$4:$AJ$4,0))))+SUMPRODUCT((Inputs!$E$5:$E$110=$B33)*ISNUMBER(INDEX(Inputs!$K$5:$AJ$110,0,MATCH(P$2,Inputs!$K$4:$AJ$4,0))))=0,NA(),SUMPRODUCT((Inputs!$A$5:$A$110=$B33)*Inputs!$B$5:$B$110*(((Inputs!$G$5:$G$110="moeda")+(Inputs!$G$5:$G$110="acoes"))*Inputs!$B$1+((Inputs!$G$5:$G$110&lt;&gt;"moeda")*(Inputs!$G$5:$G$110&lt;&gt;"acoes")))*INDEX(Inputs!$K$5:$AJ$110,0,MATCH(P$2,Inputs!$K$4:$AJ$4,0)))+SUMPRODUCT((Inputs!$C$5:$C$110=$B33)*Inputs!$D$5:$D$110*(((Inputs!$G$5:$G$110="moeda")+(Inputs!$G$5:$G$110="acoes"))*Inputs!$B$1+((Inputs!$G$5:$G$110&lt;&gt;"moeda")*(Inputs!$G$5:$G$110&lt;&gt;"acoes")))*INDEX(Inputs!$K$5:$AJ$110,0,MATCH(P$2,Inputs!$K$4:$AJ$4,0)))+SUMPRODUCT((Inputs!$E$5:$E$110=$B33)*Inputs!$F$5:$F$110*(((Inputs!$G$5:$G$110="moeda")+(Inputs!$G$5:$G$110="acoes"))*Inputs!$B$1+((Inputs!$G$5:$G$110&lt;&gt;"moeda")*(Inputs!$G$5:$G$110&lt;&gt;"acoes")))*INDEX(Inputs!$K$5:$AJ$110,0,MATCH(P$2,Inputs!$K$4:$AJ$4,0)))))</f>
        <v>0</v>
      </c>
      <c r="Q33" s="267">
        <f>IF(ISNA(MATCH(Q$2,Inputs!$K$4:$AJ$4,0)),NA(),IF(SUMPRODUCT((Inputs!$A$5:$A$110=$B33)*ISNUMBER(INDEX(Inputs!$K$5:$AJ$110,0,MATCH(Q$2,Inputs!$K$4:$AJ$4,0))))+SUMPRODUCT((Inputs!$C$5:$C$110=$B33)*ISNUMBER(INDEX(Inputs!$K$5:$AJ$110,0,MATCH(Q$2,Inputs!$K$4:$AJ$4,0))))+SUMPRODUCT((Inputs!$E$5:$E$110=$B33)*ISNUMBER(INDEX(Inputs!$K$5:$AJ$110,0,MATCH(Q$2,Inputs!$K$4:$AJ$4,0))))=0,NA(),SUMPRODUCT((Inputs!$A$5:$A$110=$B33)*Inputs!$B$5:$B$110*(((Inputs!$G$5:$G$110="moeda")+(Inputs!$G$5:$G$110="acoes"))*Inputs!$B$1+((Inputs!$G$5:$G$110&lt;&gt;"moeda")*(Inputs!$G$5:$G$110&lt;&gt;"acoes")))*INDEX(Inputs!$K$5:$AJ$110,0,MATCH(Q$2,Inputs!$K$4:$AJ$4,0)))+SUMPRODUCT((Inputs!$C$5:$C$110=$B33)*Inputs!$D$5:$D$110*(((Inputs!$G$5:$G$110="moeda")+(Inputs!$G$5:$G$110="acoes"))*Inputs!$B$1+((Inputs!$G$5:$G$110&lt;&gt;"moeda")*(Inputs!$G$5:$G$110&lt;&gt;"acoes")))*INDEX(Inputs!$K$5:$AJ$110,0,MATCH(Q$2,Inputs!$K$4:$AJ$4,0)))+SUMPRODUCT((Inputs!$E$5:$E$110=$B33)*Inputs!$F$5:$F$110*(((Inputs!$G$5:$G$110="moeda")+(Inputs!$G$5:$G$110="acoes"))*Inputs!$B$1+((Inputs!$G$5:$G$110&lt;&gt;"moeda")*(Inputs!$G$5:$G$110&lt;&gt;"acoes")))*INDEX(Inputs!$K$5:$AJ$110,0,MATCH(Q$2,Inputs!$K$4:$AJ$4,0)))))</f>
        <v>0</v>
      </c>
      <c r="R33" s="268">
        <f>Q33</f>
        <v>0</v>
      </c>
      <c r="S33" s="267">
        <f>IF(ISNA(MATCH(S$2,Inputs!$K$4:$AJ$4,0)),NA(),IF(SUMPRODUCT((Inputs!$A$5:$A$110=$B33)*ISNUMBER(INDEX(Inputs!$K$5:$AJ$110,0,MATCH(S$2,Inputs!$K$4:$AJ$4,0))))+SUMPRODUCT((Inputs!$C$5:$C$110=$B33)*ISNUMBER(INDEX(Inputs!$K$5:$AJ$110,0,MATCH(S$2,Inputs!$K$4:$AJ$4,0))))+SUMPRODUCT((Inputs!$E$5:$E$110=$B33)*ISNUMBER(INDEX(Inputs!$K$5:$AJ$110,0,MATCH(S$2,Inputs!$K$4:$AJ$4,0))))=0,NA(),SUMPRODUCT((Inputs!$A$5:$A$110=$B33)*Inputs!$B$5:$B$110*(((Inputs!$G$5:$G$110="moeda")+(Inputs!$G$5:$G$110="acoes"))*Inputs!$B$1+((Inputs!$G$5:$G$110&lt;&gt;"moeda")*(Inputs!$G$5:$G$110&lt;&gt;"acoes")))*INDEX(Inputs!$K$5:$AJ$110,0,MATCH(S$2,Inputs!$K$4:$AJ$4,0)))+SUMPRODUCT((Inputs!$C$5:$C$110=$B33)*Inputs!$D$5:$D$110*(((Inputs!$G$5:$G$110="moeda")+(Inputs!$G$5:$G$110="acoes"))*Inputs!$B$1+((Inputs!$G$5:$G$110&lt;&gt;"moeda")*(Inputs!$G$5:$G$110&lt;&gt;"acoes")))*INDEX(Inputs!$K$5:$AJ$110,0,MATCH(S$2,Inputs!$K$4:$AJ$4,0)))+SUMPRODUCT((Inputs!$E$5:$E$110=$B33)*Inputs!$F$5:$F$110*(((Inputs!$G$5:$G$110="moeda")+(Inputs!$G$5:$G$110="acoes"))*Inputs!$B$1+((Inputs!$G$5:$G$110&lt;&gt;"moeda")*(Inputs!$G$5:$G$110&lt;&gt;"acoes")))*INDEX(Inputs!$K$5:$AJ$110,0,MATCH(S$2,Inputs!$K$4:$AJ$4,0)))))</f>
        <v>0</v>
      </c>
      <c r="T33" s="267">
        <f>IF(ISNA(MATCH(T$2,Inputs!$K$4:$AJ$4,0)),NA(),IF(SUMPRODUCT((Inputs!$A$5:$A$110=$B33)*ISNUMBER(INDEX(Inputs!$K$5:$AJ$110,0,MATCH(T$2,Inputs!$K$4:$AJ$4,0))))+SUMPRODUCT((Inputs!$C$5:$C$110=$B33)*ISNUMBER(INDEX(Inputs!$K$5:$AJ$110,0,MATCH(T$2,Inputs!$K$4:$AJ$4,0))))+SUMPRODUCT((Inputs!$E$5:$E$110=$B33)*ISNUMBER(INDEX(Inputs!$K$5:$AJ$110,0,MATCH(T$2,Inputs!$K$4:$AJ$4,0))))=0,NA(),SUMPRODUCT((Inputs!$A$5:$A$110=$B33)*Inputs!$B$5:$B$110*(((Inputs!$G$5:$G$110="moeda")+(Inputs!$G$5:$G$110="acoes"))*Inputs!$B$1+((Inputs!$G$5:$G$110&lt;&gt;"moeda")*(Inputs!$G$5:$G$110&lt;&gt;"acoes")))*INDEX(Inputs!$K$5:$AJ$110,0,MATCH(T$2,Inputs!$K$4:$AJ$4,0)))+SUMPRODUCT((Inputs!$C$5:$C$110=$B33)*Inputs!$D$5:$D$110*(((Inputs!$G$5:$G$110="moeda")+(Inputs!$G$5:$G$110="acoes"))*Inputs!$B$1+((Inputs!$G$5:$G$110&lt;&gt;"moeda")*(Inputs!$G$5:$G$110&lt;&gt;"acoes")))*INDEX(Inputs!$K$5:$AJ$110,0,MATCH(T$2,Inputs!$K$4:$AJ$4,0)))+SUMPRODUCT((Inputs!$E$5:$E$110=$B33)*Inputs!$F$5:$F$110*(((Inputs!$G$5:$G$110="moeda")+(Inputs!$G$5:$G$110="acoes"))*Inputs!$B$1+((Inputs!$G$5:$G$110&lt;&gt;"moeda")*(Inputs!$G$5:$G$110&lt;&gt;"acoes")))*INDEX(Inputs!$K$5:$AJ$110,0,MATCH(T$2,Inputs!$K$4:$AJ$4,0)))))</f>
        <v>0</v>
      </c>
      <c r="U33" s="267">
        <f>IF(ISNA(MATCH(U$2,Inputs!$K$4:$AJ$4,0)),NA(),IF(SUMPRODUCT((Inputs!$A$5:$A$110=$B33)*ISNUMBER(INDEX(Inputs!$K$5:$AJ$110,0,MATCH(U$2,Inputs!$K$4:$AJ$4,0))))+SUMPRODUCT((Inputs!$C$5:$C$110=$B33)*ISNUMBER(INDEX(Inputs!$K$5:$AJ$110,0,MATCH(U$2,Inputs!$K$4:$AJ$4,0))))+SUMPRODUCT((Inputs!$E$5:$E$110=$B33)*ISNUMBER(INDEX(Inputs!$K$5:$AJ$110,0,MATCH(U$2,Inputs!$K$4:$AJ$4,0))))=0,NA(),SUMPRODUCT((Inputs!$A$5:$A$110=$B33)*Inputs!$B$5:$B$110*(((Inputs!$G$5:$G$110="moeda")+(Inputs!$G$5:$G$110="acoes"))*Inputs!$B$1+((Inputs!$G$5:$G$110&lt;&gt;"moeda")*(Inputs!$G$5:$G$110&lt;&gt;"acoes")))*INDEX(Inputs!$K$5:$AJ$110,0,MATCH(U$2,Inputs!$K$4:$AJ$4,0)))+SUMPRODUCT((Inputs!$C$5:$C$110=$B33)*Inputs!$D$5:$D$110*(((Inputs!$G$5:$G$110="moeda")+(Inputs!$G$5:$G$110="acoes"))*Inputs!$B$1+((Inputs!$G$5:$G$110&lt;&gt;"moeda")*(Inputs!$G$5:$G$110&lt;&gt;"acoes")))*INDEX(Inputs!$K$5:$AJ$110,0,MATCH(U$2,Inputs!$K$4:$AJ$4,0)))+SUMPRODUCT((Inputs!$E$5:$E$110=$B33)*Inputs!$F$5:$F$110*(((Inputs!$G$5:$G$110="moeda")+(Inputs!$G$5:$G$110="acoes"))*Inputs!$B$1+((Inputs!$G$5:$G$110&lt;&gt;"moeda")*(Inputs!$G$5:$G$110&lt;&gt;"acoes")))*INDEX(Inputs!$K$5:$AJ$110,0,MATCH(U$2,Inputs!$K$4:$AJ$4,0)))))</f>
        <v>0</v>
      </c>
      <c r="V33" s="267">
        <f>IF(ISNA(MATCH(V$2,Inputs!$K$4:$AJ$4,0)),NA(),IF(SUMPRODUCT((Inputs!$A$5:$A$110=$B33)*ISNUMBER(INDEX(Inputs!$K$5:$AJ$110,0,MATCH(V$2,Inputs!$K$4:$AJ$4,0))))+SUMPRODUCT((Inputs!$C$5:$C$110=$B33)*ISNUMBER(INDEX(Inputs!$K$5:$AJ$110,0,MATCH(V$2,Inputs!$K$4:$AJ$4,0))))+SUMPRODUCT((Inputs!$E$5:$E$110=$B33)*ISNUMBER(INDEX(Inputs!$K$5:$AJ$110,0,MATCH(V$2,Inputs!$K$4:$AJ$4,0))))=0,NA(),SUMPRODUCT((Inputs!$A$5:$A$110=$B33)*Inputs!$B$5:$B$110*(((Inputs!$G$5:$G$110="moeda")+(Inputs!$G$5:$G$110="acoes"))*Inputs!$B$1+((Inputs!$G$5:$G$110&lt;&gt;"moeda")*(Inputs!$G$5:$G$110&lt;&gt;"acoes")))*INDEX(Inputs!$K$5:$AJ$110,0,MATCH(V$2,Inputs!$K$4:$AJ$4,0)))+SUMPRODUCT((Inputs!$C$5:$C$110=$B33)*Inputs!$D$5:$D$110*(((Inputs!$G$5:$G$110="moeda")+(Inputs!$G$5:$G$110="acoes"))*Inputs!$B$1+((Inputs!$G$5:$G$110&lt;&gt;"moeda")*(Inputs!$G$5:$G$110&lt;&gt;"acoes")))*INDEX(Inputs!$K$5:$AJ$110,0,MATCH(V$2,Inputs!$K$4:$AJ$4,0)))+SUMPRODUCT((Inputs!$E$5:$E$110=$B33)*Inputs!$F$5:$F$110*(((Inputs!$G$5:$G$110="moeda")+(Inputs!$G$5:$G$110="acoes"))*Inputs!$B$1+((Inputs!$G$5:$G$110&lt;&gt;"moeda")*(Inputs!$G$5:$G$110&lt;&gt;"acoes")))*INDEX(Inputs!$K$5:$AJ$110,0,MATCH(V$2,Inputs!$K$4:$AJ$4,0)))))</f>
        <v>0</v>
      </c>
      <c r="W33" s="268">
        <f>V33</f>
        <v>0</v>
      </c>
      <c r="X33" s="267">
        <f>IF(ISNA(MATCH(X$2,Inputs!$K$4:$AJ$4,0)),NA(),IF(SUMPRODUCT((Inputs!$A$5:$A$110=$B33)*ISNUMBER(INDEX(Inputs!$K$5:$AJ$110,0,MATCH(X$2,Inputs!$K$4:$AJ$4,0))))+SUMPRODUCT((Inputs!$C$5:$C$110=$B33)*ISNUMBER(INDEX(Inputs!$K$5:$AJ$110,0,MATCH(X$2,Inputs!$K$4:$AJ$4,0))))+SUMPRODUCT((Inputs!$E$5:$E$110=$B33)*ISNUMBER(INDEX(Inputs!$K$5:$AJ$110,0,MATCH(X$2,Inputs!$K$4:$AJ$4,0))))=0,NA(),SUMPRODUCT((Inputs!$A$5:$A$110=$B33)*Inputs!$B$5:$B$110*(((Inputs!$G$5:$G$110="moeda")+(Inputs!$G$5:$G$110="acoes"))*Inputs!$B$1+((Inputs!$G$5:$G$110&lt;&gt;"moeda")*(Inputs!$G$5:$G$110&lt;&gt;"acoes")))*INDEX(Inputs!$K$5:$AJ$110,0,MATCH(X$2,Inputs!$K$4:$AJ$4,0)))+SUMPRODUCT((Inputs!$C$5:$C$110=$B33)*Inputs!$D$5:$D$110*(((Inputs!$G$5:$G$110="moeda")+(Inputs!$G$5:$G$110="acoes"))*Inputs!$B$1+((Inputs!$G$5:$G$110&lt;&gt;"moeda")*(Inputs!$G$5:$G$110&lt;&gt;"acoes")))*INDEX(Inputs!$K$5:$AJ$110,0,MATCH(X$2,Inputs!$K$4:$AJ$4,0)))+SUMPRODUCT((Inputs!$E$5:$E$110=$B33)*Inputs!$F$5:$F$110*(((Inputs!$G$5:$G$110="moeda")+(Inputs!$G$5:$G$110="acoes"))*Inputs!$B$1+((Inputs!$G$5:$G$110&lt;&gt;"moeda")*(Inputs!$G$5:$G$110&lt;&gt;"acoes")))*INDEX(Inputs!$K$5:$AJ$110,0,MATCH(X$2,Inputs!$K$4:$AJ$4,0)))))</f>
        <v>0</v>
      </c>
      <c r="Y33" s="267">
        <f>IF(ISNA(MATCH(Y$2,Inputs!$K$4:$AJ$4,0)),NA(),IF(SUMPRODUCT((Inputs!$A$5:$A$110=$B33)*ISNUMBER(INDEX(Inputs!$K$5:$AJ$110,0,MATCH(Y$2,Inputs!$K$4:$AJ$4,0))))+SUMPRODUCT((Inputs!$C$5:$C$110=$B33)*ISNUMBER(INDEX(Inputs!$K$5:$AJ$110,0,MATCH(Y$2,Inputs!$K$4:$AJ$4,0))))+SUMPRODUCT((Inputs!$E$5:$E$110=$B33)*ISNUMBER(INDEX(Inputs!$K$5:$AJ$110,0,MATCH(Y$2,Inputs!$K$4:$AJ$4,0))))=0,NA(),SUMPRODUCT((Inputs!$A$5:$A$110=$B33)*Inputs!$B$5:$B$110*(((Inputs!$G$5:$G$110="moeda")+(Inputs!$G$5:$G$110="acoes"))*Inputs!$B$1+((Inputs!$G$5:$G$110&lt;&gt;"moeda")*(Inputs!$G$5:$G$110&lt;&gt;"acoes")))*INDEX(Inputs!$K$5:$AJ$110,0,MATCH(Y$2,Inputs!$K$4:$AJ$4,0)))+SUMPRODUCT((Inputs!$C$5:$C$110=$B33)*Inputs!$D$5:$D$110*(((Inputs!$G$5:$G$110="moeda")+(Inputs!$G$5:$G$110="acoes"))*Inputs!$B$1+((Inputs!$G$5:$G$110&lt;&gt;"moeda")*(Inputs!$G$5:$G$110&lt;&gt;"acoes")))*INDEX(Inputs!$K$5:$AJ$110,0,MATCH(Y$2,Inputs!$K$4:$AJ$4,0)))+SUMPRODUCT((Inputs!$E$5:$E$110=$B33)*Inputs!$F$5:$F$110*(((Inputs!$G$5:$G$110="moeda")+(Inputs!$G$5:$G$110="acoes"))*Inputs!$B$1+((Inputs!$G$5:$G$110&lt;&gt;"moeda")*(Inputs!$G$5:$G$110&lt;&gt;"acoes")))*INDEX(Inputs!$K$5:$AJ$110,0,MATCH(Y$2,Inputs!$K$4:$AJ$4,0)))))</f>
        <v>0</v>
      </c>
      <c r="Z33" s="267">
        <f>IF(ISNA(MATCH(Z$2,Inputs!$K$4:$AJ$4,0)),NA(),IF(SUMPRODUCT((Inputs!$A$5:$A$110=$B33)*ISNUMBER(INDEX(Inputs!$K$5:$AJ$110,0,MATCH(Z$2,Inputs!$K$4:$AJ$4,0))))+SUMPRODUCT((Inputs!$C$5:$C$110=$B33)*ISNUMBER(INDEX(Inputs!$K$5:$AJ$110,0,MATCH(Z$2,Inputs!$K$4:$AJ$4,0))))+SUMPRODUCT((Inputs!$E$5:$E$110=$B33)*ISNUMBER(INDEX(Inputs!$K$5:$AJ$110,0,MATCH(Z$2,Inputs!$K$4:$AJ$4,0))))=0,NA(),SUMPRODUCT((Inputs!$A$5:$A$110=$B33)*Inputs!$B$5:$B$110*(((Inputs!$G$5:$G$110="moeda")+(Inputs!$G$5:$G$110="acoes"))*Inputs!$B$1+((Inputs!$G$5:$G$110&lt;&gt;"moeda")*(Inputs!$G$5:$G$110&lt;&gt;"acoes")))*INDEX(Inputs!$K$5:$AJ$110,0,MATCH(Z$2,Inputs!$K$4:$AJ$4,0)))+SUMPRODUCT((Inputs!$C$5:$C$110=$B33)*Inputs!$D$5:$D$110*(((Inputs!$G$5:$G$110="moeda")+(Inputs!$G$5:$G$110="acoes"))*Inputs!$B$1+((Inputs!$G$5:$G$110&lt;&gt;"moeda")*(Inputs!$G$5:$G$110&lt;&gt;"acoes")))*INDEX(Inputs!$K$5:$AJ$110,0,MATCH(Z$2,Inputs!$K$4:$AJ$4,0)))+SUMPRODUCT((Inputs!$E$5:$E$110=$B33)*Inputs!$F$5:$F$110*(((Inputs!$G$5:$G$110="moeda")+(Inputs!$G$5:$G$110="acoes"))*Inputs!$B$1+((Inputs!$G$5:$G$110&lt;&gt;"moeda")*(Inputs!$G$5:$G$110&lt;&gt;"acoes")))*INDEX(Inputs!$K$5:$AJ$110,0,MATCH(Z$2,Inputs!$K$4:$AJ$4,0)))))</f>
        <v>0</v>
      </c>
      <c r="AA33" s="267">
        <f>IF(ISNA(MATCH(AA$2,Inputs!$K$4:$AJ$4,0)),NA(),IF(SUMPRODUCT((Inputs!$A$5:$A$110=$B33)*ISNUMBER(INDEX(Inputs!$K$5:$AJ$110,0,MATCH(AA$2,Inputs!$K$4:$AJ$4,0))))+SUMPRODUCT((Inputs!$C$5:$C$110=$B33)*ISNUMBER(INDEX(Inputs!$K$5:$AJ$110,0,MATCH(AA$2,Inputs!$K$4:$AJ$4,0))))+SUMPRODUCT((Inputs!$E$5:$E$110=$B33)*ISNUMBER(INDEX(Inputs!$K$5:$AJ$110,0,MATCH(AA$2,Inputs!$K$4:$AJ$4,0))))=0,NA(),SUMPRODUCT((Inputs!$A$5:$A$110=$B33)*Inputs!$B$5:$B$110*(((Inputs!$G$5:$G$110="moeda")+(Inputs!$G$5:$G$110="acoes"))*Inputs!$B$1+((Inputs!$G$5:$G$110&lt;&gt;"moeda")*(Inputs!$G$5:$G$110&lt;&gt;"acoes")))*INDEX(Inputs!$K$5:$AJ$110,0,MATCH(AA$2,Inputs!$K$4:$AJ$4,0)))+SUMPRODUCT((Inputs!$C$5:$C$110=$B33)*Inputs!$D$5:$D$110*(((Inputs!$G$5:$G$110="moeda")+(Inputs!$G$5:$G$110="acoes"))*Inputs!$B$1+((Inputs!$G$5:$G$110&lt;&gt;"moeda")*(Inputs!$G$5:$G$110&lt;&gt;"acoes")))*INDEX(Inputs!$K$5:$AJ$110,0,MATCH(AA$2,Inputs!$K$4:$AJ$4,0)))+SUMPRODUCT((Inputs!$E$5:$E$110=$B33)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3" s="268">
        <f>AA33</f>
        <v>0</v>
      </c>
      <c r="AC33" s="267">
        <f>IF(ISNA(MATCH(AC$2,Inputs!$K$4:$AJ$4,0)),NA(),IF(SUMPRODUCT((Inputs!$A$5:$A$110=$B33)*ISNUMBER(INDEX(Inputs!$K$5:$AJ$110,0,MATCH(AC$2,Inputs!$K$4:$AJ$4,0))))+SUMPRODUCT((Inputs!$C$5:$C$110=$B33)*ISNUMBER(INDEX(Inputs!$K$5:$AJ$110,0,MATCH(AC$2,Inputs!$K$4:$AJ$4,0))))+SUMPRODUCT((Inputs!$E$5:$E$110=$B33)*ISNUMBER(INDEX(Inputs!$K$5:$AJ$110,0,MATCH(AC$2,Inputs!$K$4:$AJ$4,0))))=0,NA(),SUMPRODUCT((Inputs!$A$5:$A$110=$B33)*Inputs!$B$5:$B$110*(((Inputs!$G$5:$G$110="moeda")+(Inputs!$G$5:$G$110="acoes"))*Inputs!$B$1+((Inputs!$G$5:$G$110&lt;&gt;"moeda")*(Inputs!$G$5:$G$110&lt;&gt;"acoes")))*INDEX(Inputs!$K$5:$AJ$110,0,MATCH(AC$2,Inputs!$K$4:$AJ$4,0)))+SUMPRODUCT((Inputs!$C$5:$C$110=$B33)*Inputs!$D$5:$D$110*(((Inputs!$G$5:$G$110="moeda")+(Inputs!$G$5:$G$110="acoes"))*Inputs!$B$1+((Inputs!$G$5:$G$110&lt;&gt;"moeda")*(Inputs!$G$5:$G$110&lt;&gt;"acoes")))*INDEX(Inputs!$K$5:$AJ$110,0,MATCH(AC$2,Inputs!$K$4:$AJ$4,0)))+SUMPRODUCT((Inputs!$E$5:$E$110=$B33)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3" s="267">
        <f>IF(ISNA(MATCH(AD$2,Inputs!$K$4:$AJ$4,0)),NA(),IF(SUMPRODUCT((Inputs!$A$5:$A$110=$B33)*ISNUMBER(INDEX(Inputs!$K$5:$AJ$110,0,MATCH(AD$2,Inputs!$K$4:$AJ$4,0))))+SUMPRODUCT((Inputs!$C$5:$C$110=$B33)*ISNUMBER(INDEX(Inputs!$K$5:$AJ$110,0,MATCH(AD$2,Inputs!$K$4:$AJ$4,0))))+SUMPRODUCT((Inputs!$E$5:$E$110=$B33)*ISNUMBER(INDEX(Inputs!$K$5:$AJ$110,0,MATCH(AD$2,Inputs!$K$4:$AJ$4,0))))=0,NA(),SUMPRODUCT((Inputs!$A$5:$A$110=$B33)*Inputs!$B$5:$B$110*(((Inputs!$G$5:$G$110="moeda")+(Inputs!$G$5:$G$110="acoes"))*Inputs!$B$1+((Inputs!$G$5:$G$110&lt;&gt;"moeda")*(Inputs!$G$5:$G$110&lt;&gt;"acoes")))*INDEX(Inputs!$K$5:$AJ$110,0,MATCH(AD$2,Inputs!$K$4:$AJ$4,0)))+SUMPRODUCT((Inputs!$C$5:$C$110=$B33)*Inputs!$D$5:$D$110*(((Inputs!$G$5:$G$110="moeda")+(Inputs!$G$5:$G$110="acoes"))*Inputs!$B$1+((Inputs!$G$5:$G$110&lt;&gt;"moeda")*(Inputs!$G$5:$G$110&lt;&gt;"acoes")))*INDEX(Inputs!$K$5:$AJ$110,0,MATCH(AD$2,Inputs!$K$4:$AJ$4,0)))+SUMPRODUCT((Inputs!$E$5:$E$110=$B33)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3" s="267" t="e">
        <f>IF(ISNA(MATCH(AE$2,Inputs!$K$4:$AJ$4,0)),NA(),IF(SUMPRODUCT((Inputs!$A$5:$A$110=$B33)*ISNUMBER(INDEX(Inputs!$K$5:$AJ$110,0,MATCH(AE$2,Inputs!$K$4:$AJ$4,0))))+SUMPRODUCT((Inputs!$C$5:$C$110=$B33)*ISNUMBER(INDEX(Inputs!$K$5:$AJ$110,0,MATCH(AE$2,Inputs!$K$4:$AJ$4,0))))+SUMPRODUCT((Inputs!$E$5:$E$110=$B33)*ISNUMBER(INDEX(Inputs!$K$5:$AJ$110,0,MATCH(AE$2,Inputs!$K$4:$AJ$4,0))))=0,NA(),SUMPRODUCT((Inputs!$A$5:$A$110=$B33)*Inputs!$B$5:$B$110*(((Inputs!$G$5:$G$110="moeda")+(Inputs!$G$5:$G$110="acoes"))*Inputs!$B$1+((Inputs!$G$5:$G$110&lt;&gt;"moeda")*(Inputs!$G$5:$G$110&lt;&gt;"acoes")))*INDEX(Inputs!$K$5:$AJ$110,0,MATCH(AE$2,Inputs!$K$4:$AJ$4,0)))+SUMPRODUCT((Inputs!$C$5:$C$110=$B33)*Inputs!$D$5:$D$110*(((Inputs!$G$5:$G$110="moeda")+(Inputs!$G$5:$G$110="acoes"))*Inputs!$B$1+((Inputs!$G$5:$G$110&lt;&gt;"moeda")*(Inputs!$G$5:$G$110&lt;&gt;"acoes")))*INDEX(Inputs!$K$5:$AJ$110,0,MATCH(AE$2,Inputs!$K$4:$AJ$4,0)))+SUMPRODUCT((Inputs!$E$5:$E$110=$B33)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3" s="267" t="e">
        <f>IF(ISNA(MATCH(AF$2,Inputs!$K$4:$AJ$4,0)),NA(),IF(SUMPRODUCT((Inputs!$A$5:$A$110=$B33)*ISNUMBER(INDEX(Inputs!$K$5:$AJ$110,0,MATCH(AF$2,Inputs!$K$4:$AJ$4,0))))+SUMPRODUCT((Inputs!$C$5:$C$110=$B33)*ISNUMBER(INDEX(Inputs!$K$5:$AJ$110,0,MATCH(AF$2,Inputs!$K$4:$AJ$4,0))))+SUMPRODUCT((Inputs!$E$5:$E$110=$B33)*ISNUMBER(INDEX(Inputs!$K$5:$AJ$110,0,MATCH(AF$2,Inputs!$K$4:$AJ$4,0))))=0,NA(),SUMPRODUCT((Inputs!$A$5:$A$110=$B33)*Inputs!$B$5:$B$110*(((Inputs!$G$5:$G$110="moeda")+(Inputs!$G$5:$G$110="acoes"))*Inputs!$B$1+((Inputs!$G$5:$G$110&lt;&gt;"moeda")*(Inputs!$G$5:$G$110&lt;&gt;"acoes")))*INDEX(Inputs!$K$5:$AJ$110,0,MATCH(AF$2,Inputs!$K$4:$AJ$4,0)))+SUMPRODUCT((Inputs!$C$5:$C$110=$B33)*Inputs!$D$5:$D$110*(((Inputs!$G$5:$G$110="moeda")+(Inputs!$G$5:$G$110="acoes"))*Inputs!$B$1+((Inputs!$G$5:$G$110&lt;&gt;"moeda")*(Inputs!$G$5:$G$110&lt;&gt;"acoes")))*INDEX(Inputs!$K$5:$AJ$110,0,MATCH(AF$2,Inputs!$K$4:$AJ$4,0)))+SUMPRODUCT((Inputs!$E$5:$E$110=$B33)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3" s="268" t="e">
        <f>AF33</f>
        <v>#N/A</v>
      </c>
      <c r="AH33" s="267">
        <f>IF(ISNA(MATCH(AH$2,Inputs!$K$4:$AJ$4,0)),NA(),IF(SUMPRODUCT((Inputs!$A$5:$A$110=$B33)*ISNUMBER(INDEX(Inputs!$K$5:$AJ$110,0,MATCH(AH$2,Inputs!$K$4:$AJ$4,0))))+SUMPRODUCT((Inputs!$C$5:$C$110=$B33)*ISNUMBER(INDEX(Inputs!$K$5:$AJ$110,0,MATCH(AH$2,Inputs!$K$4:$AJ$4,0))))+SUMPRODUCT((Inputs!$E$5:$E$110=$B33)*ISNUMBER(INDEX(Inputs!$K$5:$AJ$110,0,MATCH(AH$2,Inputs!$K$4:$AJ$4,0))))=0,NA(),SUMPRODUCT((Inputs!$A$5:$A$110=$B33)*Inputs!$B$5:$B$110*(((Inputs!$G$5:$G$110="moeda")+(Inputs!$G$5:$G$110="acoes"))*Inputs!$B$1+((Inputs!$G$5:$G$110&lt;&gt;"moeda")*(Inputs!$G$5:$G$110&lt;&gt;"acoes")))*INDEX(Inputs!$K$5:$AJ$110,0,MATCH(AH$2,Inputs!$K$4:$AJ$4,0)))+SUMPRODUCT((Inputs!$C$5:$C$110=$B33)*Inputs!$D$5:$D$110*(((Inputs!$G$5:$G$110="moeda")+(Inputs!$G$5:$G$110="acoes"))*Inputs!$B$1+((Inputs!$G$5:$G$110&lt;&gt;"moeda")*(Inputs!$G$5:$G$110&lt;&gt;"acoes")))*INDEX(Inputs!$K$5:$AJ$110,0,MATCH(AH$2,Inputs!$K$4:$AJ$4,0)))+SUMPRODUCT((Inputs!$E$5:$E$110=$B33)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3" s="267">
        <f>IF(ISNA(MATCH(AI$2,Inputs!$K$4:$AJ$4,0)),NA(),IF(SUMPRODUCT((Inputs!$A$5:$A$110=$B33)*ISNUMBER(INDEX(Inputs!$K$5:$AJ$110,0,MATCH(AI$2,Inputs!$K$4:$AJ$4,0))))+SUMPRODUCT((Inputs!$C$5:$C$110=$B33)*ISNUMBER(INDEX(Inputs!$K$5:$AJ$110,0,MATCH(AI$2,Inputs!$K$4:$AJ$4,0))))+SUMPRODUCT((Inputs!$E$5:$E$110=$B33)*ISNUMBER(INDEX(Inputs!$K$5:$AJ$110,0,MATCH(AI$2,Inputs!$K$4:$AJ$4,0))))=0,NA(),SUMPRODUCT((Inputs!$A$5:$A$110=$B33)*Inputs!$B$5:$B$110*(((Inputs!$G$5:$G$110="moeda")+(Inputs!$G$5:$G$110="acoes"))*Inputs!$B$1+((Inputs!$G$5:$G$110&lt;&gt;"moeda")*(Inputs!$G$5:$G$110&lt;&gt;"acoes")))*INDEX(Inputs!$K$5:$AJ$110,0,MATCH(AI$2,Inputs!$K$4:$AJ$4,0)))+SUMPRODUCT((Inputs!$C$5:$C$110=$B33)*Inputs!$D$5:$D$110*(((Inputs!$G$5:$G$110="moeda")+(Inputs!$G$5:$G$110="acoes"))*Inputs!$B$1+((Inputs!$G$5:$G$110&lt;&gt;"moeda")*(Inputs!$G$5:$G$110&lt;&gt;"acoes")))*INDEX(Inputs!$K$5:$AJ$110,0,MATCH(AI$2,Inputs!$K$4:$AJ$4,0)))+SUMPRODUCT((Inputs!$E$5:$E$110=$B33)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3" s="267">
        <f>IF(ISNA(MATCH(AJ$2,Inputs!$K$4:$AJ$4,0)),NA(),IF(SUMPRODUCT((Inputs!$A$5:$A$110=$B33)*ISNUMBER(INDEX(Inputs!$K$5:$AJ$110,0,MATCH(AJ$2,Inputs!$K$4:$AJ$4,0))))+SUMPRODUCT((Inputs!$C$5:$C$110=$B33)*ISNUMBER(INDEX(Inputs!$K$5:$AJ$110,0,MATCH(AJ$2,Inputs!$K$4:$AJ$4,0))))+SUMPRODUCT((Inputs!$E$5:$E$110=$B33)*ISNUMBER(INDEX(Inputs!$K$5:$AJ$110,0,MATCH(AJ$2,Inputs!$K$4:$AJ$4,0))))=0,NA(),SUMPRODUCT((Inputs!$A$5:$A$110=$B33)*Inputs!$B$5:$B$110*(((Inputs!$G$5:$G$110="moeda")+(Inputs!$G$5:$G$110="acoes"))*Inputs!$B$1+((Inputs!$G$5:$G$110&lt;&gt;"moeda")*(Inputs!$G$5:$G$110&lt;&gt;"acoes")))*INDEX(Inputs!$K$5:$AJ$110,0,MATCH(AJ$2,Inputs!$K$4:$AJ$4,0)))+SUMPRODUCT((Inputs!$C$5:$C$110=$B33)*Inputs!$D$5:$D$110*(((Inputs!$G$5:$G$110="moeda")+(Inputs!$G$5:$G$110="acoes"))*Inputs!$B$1+((Inputs!$G$5:$G$110&lt;&gt;"moeda")*(Inputs!$G$5:$G$110&lt;&gt;"acoes")))*INDEX(Inputs!$K$5:$AJ$110,0,MATCH(AJ$2,Inputs!$K$4:$AJ$4,0)))+SUMPRODUCT((Inputs!$E$5:$E$110=$B33)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3" s="267">
        <f>IF(ISNA(MATCH(AK$2,Inputs!$K$4:$AJ$4,0)),NA(),IF(SUMPRODUCT((Inputs!$A$5:$A$110=$B33)*ISNUMBER(INDEX(Inputs!$K$5:$AJ$110,0,MATCH(AK$2,Inputs!$K$4:$AJ$4,0))))+SUMPRODUCT((Inputs!$C$5:$C$110=$B33)*ISNUMBER(INDEX(Inputs!$K$5:$AJ$110,0,MATCH(AK$2,Inputs!$K$4:$AJ$4,0))))+SUMPRODUCT((Inputs!$E$5:$E$110=$B33)*ISNUMBER(INDEX(Inputs!$K$5:$AJ$110,0,MATCH(AK$2,Inputs!$K$4:$AJ$4,0))))=0,NA(),SUMPRODUCT((Inputs!$A$5:$A$110=$B33)*Inputs!$B$5:$B$110*(((Inputs!$G$5:$G$110="moeda")+(Inputs!$G$5:$G$110="acoes"))*Inputs!$B$1+((Inputs!$G$5:$G$110&lt;&gt;"moeda")*(Inputs!$G$5:$G$110&lt;&gt;"acoes")))*INDEX(Inputs!$K$5:$AJ$110,0,MATCH(AK$2,Inputs!$K$4:$AJ$4,0)))+SUMPRODUCT((Inputs!$C$5:$C$110=$B33)*Inputs!$D$5:$D$110*(((Inputs!$G$5:$G$110="moeda")+(Inputs!$G$5:$G$110="acoes"))*Inputs!$B$1+((Inputs!$G$5:$G$110&lt;&gt;"moeda")*(Inputs!$G$5:$G$110&lt;&gt;"acoes")))*INDEX(Inputs!$K$5:$AJ$110,0,MATCH(AK$2,Inputs!$K$4:$AJ$4,0)))+SUMPRODUCT((Inputs!$E$5:$E$110=$B33)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3" s="268">
        <f>AK33</f>
        <v>0</v>
      </c>
    </row>
    <row r="34" ht="12.75" customHeight="1" s="255">
      <c r="B34" s="265" t="n">
        <v>29</v>
      </c>
      <c r="C34" s="270" t="inlineStr">
        <is>
          <t>Short term operating leases</t>
        </is>
      </c>
      <c r="D34" s="267">
        <f>IF(ISNA(MATCH(D$2,Inputs!$K$4:$AJ$4,0)),NA(),IF(SUMPRODUCT((Inputs!$A$5:$A$110=$B34)*ISNUMBER(INDEX(Inputs!$K$5:$AJ$110,0,MATCH(D$2,Inputs!$K$4:$AJ$4,0))))+SUMPRODUCT((Inputs!$C$5:$C$110=$B34)*ISNUMBER(INDEX(Inputs!$K$5:$AJ$110,0,MATCH(D$2,Inputs!$K$4:$AJ$4,0))))+SUMPRODUCT((Inputs!$E$5:$E$110=$B34)*ISNUMBER(INDEX(Inputs!$K$5:$AJ$110,0,MATCH(D$2,Inputs!$K$4:$AJ$4,0))))=0,NA(),SUMPRODUCT((Inputs!$A$5:$A$110=$B34)*Inputs!$B$5:$B$110*(((Inputs!$G$5:$G$110="moeda")+(Inputs!$G$5:$G$110="acoes"))*Inputs!$B$1+((Inputs!$G$5:$G$110&lt;&gt;"moeda")*(Inputs!$G$5:$G$110&lt;&gt;"acoes")))*INDEX(Inputs!$K$5:$AJ$110,0,MATCH(D$2,Inputs!$K$4:$AJ$4,0)))+SUMPRODUCT((Inputs!$C$5:$C$110=$B34)*Inputs!$D$5:$D$110*(((Inputs!$G$5:$G$110="moeda")+(Inputs!$G$5:$G$110="acoes"))*Inputs!$B$1+((Inputs!$G$5:$G$110&lt;&gt;"moeda")*(Inputs!$G$5:$G$110&lt;&gt;"acoes")))*INDEX(Inputs!$K$5:$AJ$110,0,MATCH(D$2,Inputs!$K$4:$AJ$4,0)))+SUMPRODUCT((Inputs!$E$5:$E$110=$B34)*Inputs!$F$5:$F$110*(((Inputs!$G$5:$G$110="moeda")+(Inputs!$G$5:$G$110="acoes"))*Inputs!$B$1+((Inputs!$G$5:$G$110&lt;&gt;"moeda")*(Inputs!$G$5:$G$110&lt;&gt;"acoes")))*INDEX(Inputs!$K$5:$AJ$110,0,MATCH(D$2,Inputs!$K$4:$AJ$4,0)))))</f>
        <v>0</v>
      </c>
      <c r="E34" s="267">
        <f>IF(ISNA(MATCH(E$2,Inputs!$K$4:$AJ$4,0)),NA(),IF(SUMPRODUCT((Inputs!$A$5:$A$110=$B34)*ISNUMBER(INDEX(Inputs!$K$5:$AJ$110,0,MATCH(E$2,Inputs!$K$4:$AJ$4,0))))+SUMPRODUCT((Inputs!$C$5:$C$110=$B34)*ISNUMBER(INDEX(Inputs!$K$5:$AJ$110,0,MATCH(E$2,Inputs!$K$4:$AJ$4,0))))+SUMPRODUCT((Inputs!$E$5:$E$110=$B34)*ISNUMBER(INDEX(Inputs!$K$5:$AJ$110,0,MATCH(E$2,Inputs!$K$4:$AJ$4,0))))=0,NA(),SUMPRODUCT((Inputs!$A$5:$A$110=$B34)*Inputs!$B$5:$B$110*(((Inputs!$G$5:$G$110="moeda")+(Inputs!$G$5:$G$110="acoes"))*Inputs!$B$1+((Inputs!$G$5:$G$110&lt;&gt;"moeda")*(Inputs!$G$5:$G$110&lt;&gt;"acoes")))*INDEX(Inputs!$K$5:$AJ$110,0,MATCH(E$2,Inputs!$K$4:$AJ$4,0)))+SUMPRODUCT((Inputs!$C$5:$C$110=$B34)*Inputs!$D$5:$D$110*(((Inputs!$G$5:$G$110="moeda")+(Inputs!$G$5:$G$110="acoes"))*Inputs!$B$1+((Inputs!$G$5:$G$110&lt;&gt;"moeda")*(Inputs!$G$5:$G$110&lt;&gt;"acoes")))*INDEX(Inputs!$K$5:$AJ$110,0,MATCH(E$2,Inputs!$K$4:$AJ$4,0)))+SUMPRODUCT((Inputs!$E$5:$E$110=$B34)*Inputs!$F$5:$F$110*(((Inputs!$G$5:$G$110="moeda")+(Inputs!$G$5:$G$110="acoes"))*Inputs!$B$1+((Inputs!$G$5:$G$110&lt;&gt;"moeda")*(Inputs!$G$5:$G$110&lt;&gt;"acoes")))*INDEX(Inputs!$K$5:$AJ$110,0,MATCH(E$2,Inputs!$K$4:$AJ$4,0)))))</f>
        <v>0</v>
      </c>
      <c r="F34" s="267">
        <f>IF(ISNA(MATCH(F$2,Inputs!$K$4:$AJ$4,0)),NA(),IF(SUMPRODUCT((Inputs!$A$5:$A$110=$B34)*ISNUMBER(INDEX(Inputs!$K$5:$AJ$110,0,MATCH(F$2,Inputs!$K$4:$AJ$4,0))))+SUMPRODUCT((Inputs!$C$5:$C$110=$B34)*ISNUMBER(INDEX(Inputs!$K$5:$AJ$110,0,MATCH(F$2,Inputs!$K$4:$AJ$4,0))))+SUMPRODUCT((Inputs!$E$5:$E$110=$B34)*ISNUMBER(INDEX(Inputs!$K$5:$AJ$110,0,MATCH(F$2,Inputs!$K$4:$AJ$4,0))))=0,NA(),SUMPRODUCT((Inputs!$A$5:$A$110=$B34)*Inputs!$B$5:$B$110*(((Inputs!$G$5:$G$110="moeda")+(Inputs!$G$5:$G$110="acoes"))*Inputs!$B$1+((Inputs!$G$5:$G$110&lt;&gt;"moeda")*(Inputs!$G$5:$G$110&lt;&gt;"acoes")))*INDEX(Inputs!$K$5:$AJ$110,0,MATCH(F$2,Inputs!$K$4:$AJ$4,0)))+SUMPRODUCT((Inputs!$C$5:$C$110=$B34)*Inputs!$D$5:$D$110*(((Inputs!$G$5:$G$110="moeda")+(Inputs!$G$5:$G$110="acoes"))*Inputs!$B$1+((Inputs!$G$5:$G$110&lt;&gt;"moeda")*(Inputs!$G$5:$G$110&lt;&gt;"acoes")))*INDEX(Inputs!$K$5:$AJ$110,0,MATCH(F$2,Inputs!$K$4:$AJ$4,0)))+SUMPRODUCT((Inputs!$E$5:$E$110=$B34)*Inputs!$F$5:$F$110*(((Inputs!$G$5:$G$110="moeda")+(Inputs!$G$5:$G$110="acoes"))*Inputs!$B$1+((Inputs!$G$5:$G$110&lt;&gt;"moeda")*(Inputs!$G$5:$G$110&lt;&gt;"acoes")))*INDEX(Inputs!$K$5:$AJ$110,0,MATCH(F$2,Inputs!$K$4:$AJ$4,0)))))</f>
        <v>0</v>
      </c>
      <c r="G34" s="267">
        <f>IF(ISNA(MATCH(G$2,Inputs!$K$4:$AJ$4,0)),NA(),IF(SUMPRODUCT((Inputs!$A$5:$A$110=$B34)*ISNUMBER(INDEX(Inputs!$K$5:$AJ$110,0,MATCH(G$2,Inputs!$K$4:$AJ$4,0))))+SUMPRODUCT((Inputs!$C$5:$C$110=$B34)*ISNUMBER(INDEX(Inputs!$K$5:$AJ$110,0,MATCH(G$2,Inputs!$K$4:$AJ$4,0))))+SUMPRODUCT((Inputs!$E$5:$E$110=$B34)*ISNUMBER(INDEX(Inputs!$K$5:$AJ$110,0,MATCH(G$2,Inputs!$K$4:$AJ$4,0))))=0,NA(),SUMPRODUCT((Inputs!$A$5:$A$110=$B34)*Inputs!$B$5:$B$110*(((Inputs!$G$5:$G$110="moeda")+(Inputs!$G$5:$G$110="acoes"))*Inputs!$B$1+((Inputs!$G$5:$G$110&lt;&gt;"moeda")*(Inputs!$G$5:$G$110&lt;&gt;"acoes")))*INDEX(Inputs!$K$5:$AJ$110,0,MATCH(G$2,Inputs!$K$4:$AJ$4,0)))+SUMPRODUCT((Inputs!$C$5:$C$110=$B34)*Inputs!$D$5:$D$110*(((Inputs!$G$5:$G$110="moeda")+(Inputs!$G$5:$G$110="acoes"))*Inputs!$B$1+((Inputs!$G$5:$G$110&lt;&gt;"moeda")*(Inputs!$G$5:$G$110&lt;&gt;"acoes")))*INDEX(Inputs!$K$5:$AJ$110,0,MATCH(G$2,Inputs!$K$4:$AJ$4,0)))+SUMPRODUCT((Inputs!$E$5:$E$110=$B34)*Inputs!$F$5:$F$110*(((Inputs!$G$5:$G$110="moeda")+(Inputs!$G$5:$G$110="acoes"))*Inputs!$B$1+((Inputs!$G$5:$G$110&lt;&gt;"moeda")*(Inputs!$G$5:$G$110&lt;&gt;"acoes")))*INDEX(Inputs!$K$5:$AJ$110,0,MATCH(G$2,Inputs!$K$4:$AJ$4,0)))))</f>
        <v>0</v>
      </c>
      <c r="H34" s="268">
        <f>G34</f>
        <v>0</v>
      </c>
      <c r="I34" s="267">
        <f>IF(ISNA(MATCH(I$2,Inputs!$K$4:$AJ$4,0)),NA(),IF(SUMPRODUCT((Inputs!$A$5:$A$110=$B34)*ISNUMBER(INDEX(Inputs!$K$5:$AJ$110,0,MATCH(I$2,Inputs!$K$4:$AJ$4,0))))+SUMPRODUCT((Inputs!$C$5:$C$110=$B34)*ISNUMBER(INDEX(Inputs!$K$5:$AJ$110,0,MATCH(I$2,Inputs!$K$4:$AJ$4,0))))+SUMPRODUCT((Inputs!$E$5:$E$110=$B34)*ISNUMBER(INDEX(Inputs!$K$5:$AJ$110,0,MATCH(I$2,Inputs!$K$4:$AJ$4,0))))=0,NA(),SUMPRODUCT((Inputs!$A$5:$A$110=$B34)*Inputs!$B$5:$B$110*(((Inputs!$G$5:$G$110="moeda")+(Inputs!$G$5:$G$110="acoes"))*Inputs!$B$1+((Inputs!$G$5:$G$110&lt;&gt;"moeda")*(Inputs!$G$5:$G$110&lt;&gt;"acoes")))*INDEX(Inputs!$K$5:$AJ$110,0,MATCH(I$2,Inputs!$K$4:$AJ$4,0)))+SUMPRODUCT((Inputs!$C$5:$C$110=$B34)*Inputs!$D$5:$D$110*(((Inputs!$G$5:$G$110="moeda")+(Inputs!$G$5:$G$110="acoes"))*Inputs!$B$1+((Inputs!$G$5:$G$110&lt;&gt;"moeda")*(Inputs!$G$5:$G$110&lt;&gt;"acoes")))*INDEX(Inputs!$K$5:$AJ$110,0,MATCH(I$2,Inputs!$K$4:$AJ$4,0)))+SUMPRODUCT((Inputs!$E$5:$E$110=$B34)*Inputs!$F$5:$F$110*(((Inputs!$G$5:$G$110="moeda")+(Inputs!$G$5:$G$110="acoes"))*Inputs!$B$1+((Inputs!$G$5:$G$110&lt;&gt;"moeda")*(Inputs!$G$5:$G$110&lt;&gt;"acoes")))*INDEX(Inputs!$K$5:$AJ$110,0,MATCH(I$2,Inputs!$K$4:$AJ$4,0)))))</f>
        <v>0</v>
      </c>
      <c r="J34" s="267">
        <f>IF(ISNA(MATCH(J$2,Inputs!$K$4:$AJ$4,0)),NA(),IF(SUMPRODUCT((Inputs!$A$5:$A$110=$B34)*ISNUMBER(INDEX(Inputs!$K$5:$AJ$110,0,MATCH(J$2,Inputs!$K$4:$AJ$4,0))))+SUMPRODUCT((Inputs!$C$5:$C$110=$B34)*ISNUMBER(INDEX(Inputs!$K$5:$AJ$110,0,MATCH(J$2,Inputs!$K$4:$AJ$4,0))))+SUMPRODUCT((Inputs!$E$5:$E$110=$B34)*ISNUMBER(INDEX(Inputs!$K$5:$AJ$110,0,MATCH(J$2,Inputs!$K$4:$AJ$4,0))))=0,NA(),SUMPRODUCT((Inputs!$A$5:$A$110=$B34)*Inputs!$B$5:$B$110*(((Inputs!$G$5:$G$110="moeda")+(Inputs!$G$5:$G$110="acoes"))*Inputs!$B$1+((Inputs!$G$5:$G$110&lt;&gt;"moeda")*(Inputs!$G$5:$G$110&lt;&gt;"acoes")))*INDEX(Inputs!$K$5:$AJ$110,0,MATCH(J$2,Inputs!$K$4:$AJ$4,0)))+SUMPRODUCT((Inputs!$C$5:$C$110=$B34)*Inputs!$D$5:$D$110*(((Inputs!$G$5:$G$110="moeda")+(Inputs!$G$5:$G$110="acoes"))*Inputs!$B$1+((Inputs!$G$5:$G$110&lt;&gt;"moeda")*(Inputs!$G$5:$G$110&lt;&gt;"acoes")))*INDEX(Inputs!$K$5:$AJ$110,0,MATCH(J$2,Inputs!$K$4:$AJ$4,0)))+SUMPRODUCT((Inputs!$E$5:$E$110=$B34)*Inputs!$F$5:$F$110*(((Inputs!$G$5:$G$110="moeda")+(Inputs!$G$5:$G$110="acoes"))*Inputs!$B$1+((Inputs!$G$5:$G$110&lt;&gt;"moeda")*(Inputs!$G$5:$G$110&lt;&gt;"acoes")))*INDEX(Inputs!$K$5:$AJ$110,0,MATCH(J$2,Inputs!$K$4:$AJ$4,0)))))</f>
        <v>0</v>
      </c>
      <c r="K34" s="267">
        <f>IF(ISNA(MATCH(K$2,Inputs!$K$4:$AJ$4,0)),NA(),IF(SUMPRODUCT((Inputs!$A$5:$A$110=$B34)*ISNUMBER(INDEX(Inputs!$K$5:$AJ$110,0,MATCH(K$2,Inputs!$K$4:$AJ$4,0))))+SUMPRODUCT((Inputs!$C$5:$C$110=$B34)*ISNUMBER(INDEX(Inputs!$K$5:$AJ$110,0,MATCH(K$2,Inputs!$K$4:$AJ$4,0))))+SUMPRODUCT((Inputs!$E$5:$E$110=$B34)*ISNUMBER(INDEX(Inputs!$K$5:$AJ$110,0,MATCH(K$2,Inputs!$K$4:$AJ$4,0))))=0,NA(),SUMPRODUCT((Inputs!$A$5:$A$110=$B34)*Inputs!$B$5:$B$110*(((Inputs!$G$5:$G$110="moeda")+(Inputs!$G$5:$G$110="acoes"))*Inputs!$B$1+((Inputs!$G$5:$G$110&lt;&gt;"moeda")*(Inputs!$G$5:$G$110&lt;&gt;"acoes")))*INDEX(Inputs!$K$5:$AJ$110,0,MATCH(K$2,Inputs!$K$4:$AJ$4,0)))+SUMPRODUCT((Inputs!$C$5:$C$110=$B34)*Inputs!$D$5:$D$110*(((Inputs!$G$5:$G$110="moeda")+(Inputs!$G$5:$G$110="acoes"))*Inputs!$B$1+((Inputs!$G$5:$G$110&lt;&gt;"moeda")*(Inputs!$G$5:$G$110&lt;&gt;"acoes")))*INDEX(Inputs!$K$5:$AJ$110,0,MATCH(K$2,Inputs!$K$4:$AJ$4,0)))+SUMPRODUCT((Inputs!$E$5:$E$110=$B34)*Inputs!$F$5:$F$110*(((Inputs!$G$5:$G$110="moeda")+(Inputs!$G$5:$G$110="acoes"))*Inputs!$B$1+((Inputs!$G$5:$G$110&lt;&gt;"moeda")*(Inputs!$G$5:$G$110&lt;&gt;"acoes")))*INDEX(Inputs!$K$5:$AJ$110,0,MATCH(K$2,Inputs!$K$4:$AJ$4,0)))))</f>
        <v>0</v>
      </c>
      <c r="L34" s="267">
        <f>IF(ISNA(MATCH(L$2,Inputs!$K$4:$AJ$4,0)),NA(),IF(SUMPRODUCT((Inputs!$A$5:$A$110=$B34)*ISNUMBER(INDEX(Inputs!$K$5:$AJ$110,0,MATCH(L$2,Inputs!$K$4:$AJ$4,0))))+SUMPRODUCT((Inputs!$C$5:$C$110=$B34)*ISNUMBER(INDEX(Inputs!$K$5:$AJ$110,0,MATCH(L$2,Inputs!$K$4:$AJ$4,0))))+SUMPRODUCT((Inputs!$E$5:$E$110=$B34)*ISNUMBER(INDEX(Inputs!$K$5:$AJ$110,0,MATCH(L$2,Inputs!$K$4:$AJ$4,0))))=0,NA(),SUMPRODUCT((Inputs!$A$5:$A$110=$B34)*Inputs!$B$5:$B$110*(((Inputs!$G$5:$G$110="moeda")+(Inputs!$G$5:$G$110="acoes"))*Inputs!$B$1+((Inputs!$G$5:$G$110&lt;&gt;"moeda")*(Inputs!$G$5:$G$110&lt;&gt;"acoes")))*INDEX(Inputs!$K$5:$AJ$110,0,MATCH(L$2,Inputs!$K$4:$AJ$4,0)))+SUMPRODUCT((Inputs!$C$5:$C$110=$B34)*Inputs!$D$5:$D$110*(((Inputs!$G$5:$G$110="moeda")+(Inputs!$G$5:$G$110="acoes"))*Inputs!$B$1+((Inputs!$G$5:$G$110&lt;&gt;"moeda")*(Inputs!$G$5:$G$110&lt;&gt;"acoes")))*INDEX(Inputs!$K$5:$AJ$110,0,MATCH(L$2,Inputs!$K$4:$AJ$4,0)))+SUMPRODUCT((Inputs!$E$5:$E$110=$B34)*Inputs!$F$5:$F$110*(((Inputs!$G$5:$G$110="moeda")+(Inputs!$G$5:$G$110="acoes"))*Inputs!$B$1+((Inputs!$G$5:$G$110&lt;&gt;"moeda")*(Inputs!$G$5:$G$110&lt;&gt;"acoes")))*INDEX(Inputs!$K$5:$AJ$110,0,MATCH(L$2,Inputs!$K$4:$AJ$4,0)))))</f>
        <v>0</v>
      </c>
      <c r="M34" s="268">
        <f>L34</f>
        <v>0</v>
      </c>
      <c r="N34" s="267">
        <f>IF(ISNA(MATCH(N$2,Inputs!$K$4:$AJ$4,0)),NA(),IF(SUMPRODUCT((Inputs!$A$5:$A$110=$B34)*ISNUMBER(INDEX(Inputs!$K$5:$AJ$110,0,MATCH(N$2,Inputs!$K$4:$AJ$4,0))))+SUMPRODUCT((Inputs!$C$5:$C$110=$B34)*ISNUMBER(INDEX(Inputs!$K$5:$AJ$110,0,MATCH(N$2,Inputs!$K$4:$AJ$4,0))))+SUMPRODUCT((Inputs!$E$5:$E$110=$B34)*ISNUMBER(INDEX(Inputs!$K$5:$AJ$110,0,MATCH(N$2,Inputs!$K$4:$AJ$4,0))))=0,NA(),SUMPRODUCT((Inputs!$A$5:$A$110=$B34)*Inputs!$B$5:$B$110*(((Inputs!$G$5:$G$110="moeda")+(Inputs!$G$5:$G$110="acoes"))*Inputs!$B$1+((Inputs!$G$5:$G$110&lt;&gt;"moeda")*(Inputs!$G$5:$G$110&lt;&gt;"acoes")))*INDEX(Inputs!$K$5:$AJ$110,0,MATCH(N$2,Inputs!$K$4:$AJ$4,0)))+SUMPRODUCT((Inputs!$C$5:$C$110=$B34)*Inputs!$D$5:$D$110*(((Inputs!$G$5:$G$110="moeda")+(Inputs!$G$5:$G$110="acoes"))*Inputs!$B$1+((Inputs!$G$5:$G$110&lt;&gt;"moeda")*(Inputs!$G$5:$G$110&lt;&gt;"acoes")))*INDEX(Inputs!$K$5:$AJ$110,0,MATCH(N$2,Inputs!$K$4:$AJ$4,0)))+SUMPRODUCT((Inputs!$E$5:$E$110=$B34)*Inputs!$F$5:$F$110*(((Inputs!$G$5:$G$110="moeda")+(Inputs!$G$5:$G$110="acoes"))*Inputs!$B$1+((Inputs!$G$5:$G$110&lt;&gt;"moeda")*(Inputs!$G$5:$G$110&lt;&gt;"acoes")))*INDEX(Inputs!$K$5:$AJ$110,0,MATCH(N$2,Inputs!$K$4:$AJ$4,0)))))</f>
        <v>0</v>
      </c>
      <c r="O34" s="267">
        <f>IF(ISNA(MATCH(O$2,Inputs!$K$4:$AJ$4,0)),NA(),IF(SUMPRODUCT((Inputs!$A$5:$A$110=$B34)*ISNUMBER(INDEX(Inputs!$K$5:$AJ$110,0,MATCH(O$2,Inputs!$K$4:$AJ$4,0))))+SUMPRODUCT((Inputs!$C$5:$C$110=$B34)*ISNUMBER(INDEX(Inputs!$K$5:$AJ$110,0,MATCH(O$2,Inputs!$K$4:$AJ$4,0))))+SUMPRODUCT((Inputs!$E$5:$E$110=$B34)*ISNUMBER(INDEX(Inputs!$K$5:$AJ$110,0,MATCH(O$2,Inputs!$K$4:$AJ$4,0))))=0,NA(),SUMPRODUCT((Inputs!$A$5:$A$110=$B34)*Inputs!$B$5:$B$110*(((Inputs!$G$5:$G$110="moeda")+(Inputs!$G$5:$G$110="acoes"))*Inputs!$B$1+((Inputs!$G$5:$G$110&lt;&gt;"moeda")*(Inputs!$G$5:$G$110&lt;&gt;"acoes")))*INDEX(Inputs!$K$5:$AJ$110,0,MATCH(O$2,Inputs!$K$4:$AJ$4,0)))+SUMPRODUCT((Inputs!$C$5:$C$110=$B34)*Inputs!$D$5:$D$110*(((Inputs!$G$5:$G$110="moeda")+(Inputs!$G$5:$G$110="acoes"))*Inputs!$B$1+((Inputs!$G$5:$G$110&lt;&gt;"moeda")*(Inputs!$G$5:$G$110&lt;&gt;"acoes")))*INDEX(Inputs!$K$5:$AJ$110,0,MATCH(O$2,Inputs!$K$4:$AJ$4,0)))+SUMPRODUCT((Inputs!$E$5:$E$110=$B34)*Inputs!$F$5:$F$110*(((Inputs!$G$5:$G$110="moeda")+(Inputs!$G$5:$G$110="acoes"))*Inputs!$B$1+((Inputs!$G$5:$G$110&lt;&gt;"moeda")*(Inputs!$G$5:$G$110&lt;&gt;"acoes")))*INDEX(Inputs!$K$5:$AJ$110,0,MATCH(O$2,Inputs!$K$4:$AJ$4,0)))))</f>
        <v>0</v>
      </c>
      <c r="P34" s="267">
        <f>IF(ISNA(MATCH(P$2,Inputs!$K$4:$AJ$4,0)),NA(),IF(SUMPRODUCT((Inputs!$A$5:$A$110=$B34)*ISNUMBER(INDEX(Inputs!$K$5:$AJ$110,0,MATCH(P$2,Inputs!$K$4:$AJ$4,0))))+SUMPRODUCT((Inputs!$C$5:$C$110=$B34)*ISNUMBER(INDEX(Inputs!$K$5:$AJ$110,0,MATCH(P$2,Inputs!$K$4:$AJ$4,0))))+SUMPRODUCT((Inputs!$E$5:$E$110=$B34)*ISNUMBER(INDEX(Inputs!$K$5:$AJ$110,0,MATCH(P$2,Inputs!$K$4:$AJ$4,0))))=0,NA(),SUMPRODUCT((Inputs!$A$5:$A$110=$B34)*Inputs!$B$5:$B$110*(((Inputs!$G$5:$G$110="moeda")+(Inputs!$G$5:$G$110="acoes"))*Inputs!$B$1+((Inputs!$G$5:$G$110&lt;&gt;"moeda")*(Inputs!$G$5:$G$110&lt;&gt;"acoes")))*INDEX(Inputs!$K$5:$AJ$110,0,MATCH(P$2,Inputs!$K$4:$AJ$4,0)))+SUMPRODUCT((Inputs!$C$5:$C$110=$B34)*Inputs!$D$5:$D$110*(((Inputs!$G$5:$G$110="moeda")+(Inputs!$G$5:$G$110="acoes"))*Inputs!$B$1+((Inputs!$G$5:$G$110&lt;&gt;"moeda")*(Inputs!$G$5:$G$110&lt;&gt;"acoes")))*INDEX(Inputs!$K$5:$AJ$110,0,MATCH(P$2,Inputs!$K$4:$AJ$4,0)))+SUMPRODUCT((Inputs!$E$5:$E$110=$B34)*Inputs!$F$5:$F$110*(((Inputs!$G$5:$G$110="moeda")+(Inputs!$G$5:$G$110="acoes"))*Inputs!$B$1+((Inputs!$G$5:$G$110&lt;&gt;"moeda")*(Inputs!$G$5:$G$110&lt;&gt;"acoes")))*INDEX(Inputs!$K$5:$AJ$110,0,MATCH(P$2,Inputs!$K$4:$AJ$4,0)))))</f>
        <v>0</v>
      </c>
      <c r="Q34" s="267">
        <f>IF(ISNA(MATCH(Q$2,Inputs!$K$4:$AJ$4,0)),NA(),IF(SUMPRODUCT((Inputs!$A$5:$A$110=$B34)*ISNUMBER(INDEX(Inputs!$K$5:$AJ$110,0,MATCH(Q$2,Inputs!$K$4:$AJ$4,0))))+SUMPRODUCT((Inputs!$C$5:$C$110=$B34)*ISNUMBER(INDEX(Inputs!$K$5:$AJ$110,0,MATCH(Q$2,Inputs!$K$4:$AJ$4,0))))+SUMPRODUCT((Inputs!$E$5:$E$110=$B34)*ISNUMBER(INDEX(Inputs!$K$5:$AJ$110,0,MATCH(Q$2,Inputs!$K$4:$AJ$4,0))))=0,NA(),SUMPRODUCT((Inputs!$A$5:$A$110=$B34)*Inputs!$B$5:$B$110*(((Inputs!$G$5:$G$110="moeda")+(Inputs!$G$5:$G$110="acoes"))*Inputs!$B$1+((Inputs!$G$5:$G$110&lt;&gt;"moeda")*(Inputs!$G$5:$G$110&lt;&gt;"acoes")))*INDEX(Inputs!$K$5:$AJ$110,0,MATCH(Q$2,Inputs!$K$4:$AJ$4,0)))+SUMPRODUCT((Inputs!$C$5:$C$110=$B34)*Inputs!$D$5:$D$110*(((Inputs!$G$5:$G$110="moeda")+(Inputs!$G$5:$G$110="acoes"))*Inputs!$B$1+((Inputs!$G$5:$G$110&lt;&gt;"moeda")*(Inputs!$G$5:$G$110&lt;&gt;"acoes")))*INDEX(Inputs!$K$5:$AJ$110,0,MATCH(Q$2,Inputs!$K$4:$AJ$4,0)))+SUMPRODUCT((Inputs!$E$5:$E$110=$B34)*Inputs!$F$5:$F$110*(((Inputs!$G$5:$G$110="moeda")+(Inputs!$G$5:$G$110="acoes"))*Inputs!$B$1+((Inputs!$G$5:$G$110&lt;&gt;"moeda")*(Inputs!$G$5:$G$110&lt;&gt;"acoes")))*INDEX(Inputs!$K$5:$AJ$110,0,MATCH(Q$2,Inputs!$K$4:$AJ$4,0)))))</f>
        <v>0</v>
      </c>
      <c r="R34" s="268">
        <f>Q34</f>
        <v>0</v>
      </c>
      <c r="S34" s="267">
        <f>IF(ISNA(MATCH(S$2,Inputs!$K$4:$AJ$4,0)),NA(),IF(SUMPRODUCT((Inputs!$A$5:$A$110=$B34)*ISNUMBER(INDEX(Inputs!$K$5:$AJ$110,0,MATCH(S$2,Inputs!$K$4:$AJ$4,0))))+SUMPRODUCT((Inputs!$C$5:$C$110=$B34)*ISNUMBER(INDEX(Inputs!$K$5:$AJ$110,0,MATCH(S$2,Inputs!$K$4:$AJ$4,0))))+SUMPRODUCT((Inputs!$E$5:$E$110=$B34)*ISNUMBER(INDEX(Inputs!$K$5:$AJ$110,0,MATCH(S$2,Inputs!$K$4:$AJ$4,0))))=0,NA(),SUMPRODUCT((Inputs!$A$5:$A$110=$B34)*Inputs!$B$5:$B$110*(((Inputs!$G$5:$G$110="moeda")+(Inputs!$G$5:$G$110="acoes"))*Inputs!$B$1+((Inputs!$G$5:$G$110&lt;&gt;"moeda")*(Inputs!$G$5:$G$110&lt;&gt;"acoes")))*INDEX(Inputs!$K$5:$AJ$110,0,MATCH(S$2,Inputs!$K$4:$AJ$4,0)))+SUMPRODUCT((Inputs!$C$5:$C$110=$B34)*Inputs!$D$5:$D$110*(((Inputs!$G$5:$G$110="moeda")+(Inputs!$G$5:$G$110="acoes"))*Inputs!$B$1+((Inputs!$G$5:$G$110&lt;&gt;"moeda")*(Inputs!$G$5:$G$110&lt;&gt;"acoes")))*INDEX(Inputs!$K$5:$AJ$110,0,MATCH(S$2,Inputs!$K$4:$AJ$4,0)))+SUMPRODUCT((Inputs!$E$5:$E$110=$B34)*Inputs!$F$5:$F$110*(((Inputs!$G$5:$G$110="moeda")+(Inputs!$G$5:$G$110="acoes"))*Inputs!$B$1+((Inputs!$G$5:$G$110&lt;&gt;"moeda")*(Inputs!$G$5:$G$110&lt;&gt;"acoes")))*INDEX(Inputs!$K$5:$AJ$110,0,MATCH(S$2,Inputs!$K$4:$AJ$4,0)))))</f>
        <v>0</v>
      </c>
      <c r="T34" s="267">
        <f>IF(ISNA(MATCH(T$2,Inputs!$K$4:$AJ$4,0)),NA(),IF(SUMPRODUCT((Inputs!$A$5:$A$110=$B34)*ISNUMBER(INDEX(Inputs!$K$5:$AJ$110,0,MATCH(T$2,Inputs!$K$4:$AJ$4,0))))+SUMPRODUCT((Inputs!$C$5:$C$110=$B34)*ISNUMBER(INDEX(Inputs!$K$5:$AJ$110,0,MATCH(T$2,Inputs!$K$4:$AJ$4,0))))+SUMPRODUCT((Inputs!$E$5:$E$110=$B34)*ISNUMBER(INDEX(Inputs!$K$5:$AJ$110,0,MATCH(T$2,Inputs!$K$4:$AJ$4,0))))=0,NA(),SUMPRODUCT((Inputs!$A$5:$A$110=$B34)*Inputs!$B$5:$B$110*(((Inputs!$G$5:$G$110="moeda")+(Inputs!$G$5:$G$110="acoes"))*Inputs!$B$1+((Inputs!$G$5:$G$110&lt;&gt;"moeda")*(Inputs!$G$5:$G$110&lt;&gt;"acoes")))*INDEX(Inputs!$K$5:$AJ$110,0,MATCH(T$2,Inputs!$K$4:$AJ$4,0)))+SUMPRODUCT((Inputs!$C$5:$C$110=$B34)*Inputs!$D$5:$D$110*(((Inputs!$G$5:$G$110="moeda")+(Inputs!$G$5:$G$110="acoes"))*Inputs!$B$1+((Inputs!$G$5:$G$110&lt;&gt;"moeda")*(Inputs!$G$5:$G$110&lt;&gt;"acoes")))*INDEX(Inputs!$K$5:$AJ$110,0,MATCH(T$2,Inputs!$K$4:$AJ$4,0)))+SUMPRODUCT((Inputs!$E$5:$E$110=$B34)*Inputs!$F$5:$F$110*(((Inputs!$G$5:$G$110="moeda")+(Inputs!$G$5:$G$110="acoes"))*Inputs!$B$1+((Inputs!$G$5:$G$110&lt;&gt;"moeda")*(Inputs!$G$5:$G$110&lt;&gt;"acoes")))*INDEX(Inputs!$K$5:$AJ$110,0,MATCH(T$2,Inputs!$K$4:$AJ$4,0)))))</f>
        <v>0</v>
      </c>
      <c r="U34" s="267">
        <f>IF(ISNA(MATCH(U$2,Inputs!$K$4:$AJ$4,0)),NA(),IF(SUMPRODUCT((Inputs!$A$5:$A$110=$B34)*ISNUMBER(INDEX(Inputs!$K$5:$AJ$110,0,MATCH(U$2,Inputs!$K$4:$AJ$4,0))))+SUMPRODUCT((Inputs!$C$5:$C$110=$B34)*ISNUMBER(INDEX(Inputs!$K$5:$AJ$110,0,MATCH(U$2,Inputs!$K$4:$AJ$4,0))))+SUMPRODUCT((Inputs!$E$5:$E$110=$B34)*ISNUMBER(INDEX(Inputs!$K$5:$AJ$110,0,MATCH(U$2,Inputs!$K$4:$AJ$4,0))))=0,NA(),SUMPRODUCT((Inputs!$A$5:$A$110=$B34)*Inputs!$B$5:$B$110*(((Inputs!$G$5:$G$110="moeda")+(Inputs!$G$5:$G$110="acoes"))*Inputs!$B$1+((Inputs!$G$5:$G$110&lt;&gt;"moeda")*(Inputs!$G$5:$G$110&lt;&gt;"acoes")))*INDEX(Inputs!$K$5:$AJ$110,0,MATCH(U$2,Inputs!$K$4:$AJ$4,0)))+SUMPRODUCT((Inputs!$C$5:$C$110=$B34)*Inputs!$D$5:$D$110*(((Inputs!$G$5:$G$110="moeda")+(Inputs!$G$5:$G$110="acoes"))*Inputs!$B$1+((Inputs!$G$5:$G$110&lt;&gt;"moeda")*(Inputs!$G$5:$G$110&lt;&gt;"acoes")))*INDEX(Inputs!$K$5:$AJ$110,0,MATCH(U$2,Inputs!$K$4:$AJ$4,0)))+SUMPRODUCT((Inputs!$E$5:$E$110=$B34)*Inputs!$F$5:$F$110*(((Inputs!$G$5:$G$110="moeda")+(Inputs!$G$5:$G$110="acoes"))*Inputs!$B$1+((Inputs!$G$5:$G$110&lt;&gt;"moeda")*(Inputs!$G$5:$G$110&lt;&gt;"acoes")))*INDEX(Inputs!$K$5:$AJ$110,0,MATCH(U$2,Inputs!$K$4:$AJ$4,0)))))</f>
        <v>0</v>
      </c>
      <c r="V34" s="267">
        <f>IF(ISNA(MATCH(V$2,Inputs!$K$4:$AJ$4,0)),NA(),IF(SUMPRODUCT((Inputs!$A$5:$A$110=$B34)*ISNUMBER(INDEX(Inputs!$K$5:$AJ$110,0,MATCH(V$2,Inputs!$K$4:$AJ$4,0))))+SUMPRODUCT((Inputs!$C$5:$C$110=$B34)*ISNUMBER(INDEX(Inputs!$K$5:$AJ$110,0,MATCH(V$2,Inputs!$K$4:$AJ$4,0))))+SUMPRODUCT((Inputs!$E$5:$E$110=$B34)*ISNUMBER(INDEX(Inputs!$K$5:$AJ$110,0,MATCH(V$2,Inputs!$K$4:$AJ$4,0))))=0,NA(),SUMPRODUCT((Inputs!$A$5:$A$110=$B34)*Inputs!$B$5:$B$110*(((Inputs!$G$5:$G$110="moeda")+(Inputs!$G$5:$G$110="acoes"))*Inputs!$B$1+((Inputs!$G$5:$G$110&lt;&gt;"moeda")*(Inputs!$G$5:$G$110&lt;&gt;"acoes")))*INDEX(Inputs!$K$5:$AJ$110,0,MATCH(V$2,Inputs!$K$4:$AJ$4,0)))+SUMPRODUCT((Inputs!$C$5:$C$110=$B34)*Inputs!$D$5:$D$110*(((Inputs!$G$5:$G$110="moeda")+(Inputs!$G$5:$G$110="acoes"))*Inputs!$B$1+((Inputs!$G$5:$G$110&lt;&gt;"moeda")*(Inputs!$G$5:$G$110&lt;&gt;"acoes")))*INDEX(Inputs!$K$5:$AJ$110,0,MATCH(V$2,Inputs!$K$4:$AJ$4,0)))+SUMPRODUCT((Inputs!$E$5:$E$110=$B34)*Inputs!$F$5:$F$110*(((Inputs!$G$5:$G$110="moeda")+(Inputs!$G$5:$G$110="acoes"))*Inputs!$B$1+((Inputs!$G$5:$G$110&lt;&gt;"moeda")*(Inputs!$G$5:$G$110&lt;&gt;"acoes")))*INDEX(Inputs!$K$5:$AJ$110,0,MATCH(V$2,Inputs!$K$4:$AJ$4,0)))))</f>
        <v>0</v>
      </c>
      <c r="W34" s="268">
        <f>V34</f>
        <v>0</v>
      </c>
      <c r="X34" s="267">
        <f>IF(ISNA(MATCH(X$2,Inputs!$K$4:$AJ$4,0)),NA(),IF(SUMPRODUCT((Inputs!$A$5:$A$110=$B34)*ISNUMBER(INDEX(Inputs!$K$5:$AJ$110,0,MATCH(X$2,Inputs!$K$4:$AJ$4,0))))+SUMPRODUCT((Inputs!$C$5:$C$110=$B34)*ISNUMBER(INDEX(Inputs!$K$5:$AJ$110,0,MATCH(X$2,Inputs!$K$4:$AJ$4,0))))+SUMPRODUCT((Inputs!$E$5:$E$110=$B34)*ISNUMBER(INDEX(Inputs!$K$5:$AJ$110,0,MATCH(X$2,Inputs!$K$4:$AJ$4,0))))=0,NA(),SUMPRODUCT((Inputs!$A$5:$A$110=$B34)*Inputs!$B$5:$B$110*(((Inputs!$G$5:$G$110="moeda")+(Inputs!$G$5:$G$110="acoes"))*Inputs!$B$1+((Inputs!$G$5:$G$110&lt;&gt;"moeda")*(Inputs!$G$5:$G$110&lt;&gt;"acoes")))*INDEX(Inputs!$K$5:$AJ$110,0,MATCH(X$2,Inputs!$K$4:$AJ$4,0)))+SUMPRODUCT((Inputs!$C$5:$C$110=$B34)*Inputs!$D$5:$D$110*(((Inputs!$G$5:$G$110="moeda")+(Inputs!$G$5:$G$110="acoes"))*Inputs!$B$1+((Inputs!$G$5:$G$110&lt;&gt;"moeda")*(Inputs!$G$5:$G$110&lt;&gt;"acoes")))*INDEX(Inputs!$K$5:$AJ$110,0,MATCH(X$2,Inputs!$K$4:$AJ$4,0)))+SUMPRODUCT((Inputs!$E$5:$E$110=$B34)*Inputs!$F$5:$F$110*(((Inputs!$G$5:$G$110="moeda")+(Inputs!$G$5:$G$110="acoes"))*Inputs!$B$1+((Inputs!$G$5:$G$110&lt;&gt;"moeda")*(Inputs!$G$5:$G$110&lt;&gt;"acoes")))*INDEX(Inputs!$K$5:$AJ$110,0,MATCH(X$2,Inputs!$K$4:$AJ$4,0)))))</f>
        <v>0</v>
      </c>
      <c r="Y34" s="267">
        <f>IF(ISNA(MATCH(Y$2,Inputs!$K$4:$AJ$4,0)),NA(),IF(SUMPRODUCT((Inputs!$A$5:$A$110=$B34)*ISNUMBER(INDEX(Inputs!$K$5:$AJ$110,0,MATCH(Y$2,Inputs!$K$4:$AJ$4,0))))+SUMPRODUCT((Inputs!$C$5:$C$110=$B34)*ISNUMBER(INDEX(Inputs!$K$5:$AJ$110,0,MATCH(Y$2,Inputs!$K$4:$AJ$4,0))))+SUMPRODUCT((Inputs!$E$5:$E$110=$B34)*ISNUMBER(INDEX(Inputs!$K$5:$AJ$110,0,MATCH(Y$2,Inputs!$K$4:$AJ$4,0))))=0,NA(),SUMPRODUCT((Inputs!$A$5:$A$110=$B34)*Inputs!$B$5:$B$110*(((Inputs!$G$5:$G$110="moeda")+(Inputs!$G$5:$G$110="acoes"))*Inputs!$B$1+((Inputs!$G$5:$G$110&lt;&gt;"moeda")*(Inputs!$G$5:$G$110&lt;&gt;"acoes")))*INDEX(Inputs!$K$5:$AJ$110,0,MATCH(Y$2,Inputs!$K$4:$AJ$4,0)))+SUMPRODUCT((Inputs!$C$5:$C$110=$B34)*Inputs!$D$5:$D$110*(((Inputs!$G$5:$G$110="moeda")+(Inputs!$G$5:$G$110="acoes"))*Inputs!$B$1+((Inputs!$G$5:$G$110&lt;&gt;"moeda")*(Inputs!$G$5:$G$110&lt;&gt;"acoes")))*INDEX(Inputs!$K$5:$AJ$110,0,MATCH(Y$2,Inputs!$K$4:$AJ$4,0)))+SUMPRODUCT((Inputs!$E$5:$E$110=$B34)*Inputs!$F$5:$F$110*(((Inputs!$G$5:$G$110="moeda")+(Inputs!$G$5:$G$110="acoes"))*Inputs!$B$1+((Inputs!$G$5:$G$110&lt;&gt;"moeda")*(Inputs!$G$5:$G$110&lt;&gt;"acoes")))*INDEX(Inputs!$K$5:$AJ$110,0,MATCH(Y$2,Inputs!$K$4:$AJ$4,0)))))</f>
        <v>0</v>
      </c>
      <c r="Z34" s="267">
        <f>IF(ISNA(MATCH(Z$2,Inputs!$K$4:$AJ$4,0)),NA(),IF(SUMPRODUCT((Inputs!$A$5:$A$110=$B34)*ISNUMBER(INDEX(Inputs!$K$5:$AJ$110,0,MATCH(Z$2,Inputs!$K$4:$AJ$4,0))))+SUMPRODUCT((Inputs!$C$5:$C$110=$B34)*ISNUMBER(INDEX(Inputs!$K$5:$AJ$110,0,MATCH(Z$2,Inputs!$K$4:$AJ$4,0))))+SUMPRODUCT((Inputs!$E$5:$E$110=$B34)*ISNUMBER(INDEX(Inputs!$K$5:$AJ$110,0,MATCH(Z$2,Inputs!$K$4:$AJ$4,0))))=0,NA(),SUMPRODUCT((Inputs!$A$5:$A$110=$B34)*Inputs!$B$5:$B$110*(((Inputs!$G$5:$G$110="moeda")+(Inputs!$G$5:$G$110="acoes"))*Inputs!$B$1+((Inputs!$G$5:$G$110&lt;&gt;"moeda")*(Inputs!$G$5:$G$110&lt;&gt;"acoes")))*INDEX(Inputs!$K$5:$AJ$110,0,MATCH(Z$2,Inputs!$K$4:$AJ$4,0)))+SUMPRODUCT((Inputs!$C$5:$C$110=$B34)*Inputs!$D$5:$D$110*(((Inputs!$G$5:$G$110="moeda")+(Inputs!$G$5:$G$110="acoes"))*Inputs!$B$1+((Inputs!$G$5:$G$110&lt;&gt;"moeda")*(Inputs!$G$5:$G$110&lt;&gt;"acoes")))*INDEX(Inputs!$K$5:$AJ$110,0,MATCH(Z$2,Inputs!$K$4:$AJ$4,0)))+SUMPRODUCT((Inputs!$E$5:$E$110=$B34)*Inputs!$F$5:$F$110*(((Inputs!$G$5:$G$110="moeda")+(Inputs!$G$5:$G$110="acoes"))*Inputs!$B$1+((Inputs!$G$5:$G$110&lt;&gt;"moeda")*(Inputs!$G$5:$G$110&lt;&gt;"acoes")))*INDEX(Inputs!$K$5:$AJ$110,0,MATCH(Z$2,Inputs!$K$4:$AJ$4,0)))))</f>
        <v>0</v>
      </c>
      <c r="AA34" s="267">
        <f>IF(ISNA(MATCH(AA$2,Inputs!$K$4:$AJ$4,0)),NA(),IF(SUMPRODUCT((Inputs!$A$5:$A$110=$B34)*ISNUMBER(INDEX(Inputs!$K$5:$AJ$110,0,MATCH(AA$2,Inputs!$K$4:$AJ$4,0))))+SUMPRODUCT((Inputs!$C$5:$C$110=$B34)*ISNUMBER(INDEX(Inputs!$K$5:$AJ$110,0,MATCH(AA$2,Inputs!$K$4:$AJ$4,0))))+SUMPRODUCT((Inputs!$E$5:$E$110=$B34)*ISNUMBER(INDEX(Inputs!$K$5:$AJ$110,0,MATCH(AA$2,Inputs!$K$4:$AJ$4,0))))=0,NA(),SUMPRODUCT((Inputs!$A$5:$A$110=$B34)*Inputs!$B$5:$B$110*(((Inputs!$G$5:$G$110="moeda")+(Inputs!$G$5:$G$110="acoes"))*Inputs!$B$1+((Inputs!$G$5:$G$110&lt;&gt;"moeda")*(Inputs!$G$5:$G$110&lt;&gt;"acoes")))*INDEX(Inputs!$K$5:$AJ$110,0,MATCH(AA$2,Inputs!$K$4:$AJ$4,0)))+SUMPRODUCT((Inputs!$C$5:$C$110=$B34)*Inputs!$D$5:$D$110*(((Inputs!$G$5:$G$110="moeda")+(Inputs!$G$5:$G$110="acoes"))*Inputs!$B$1+((Inputs!$G$5:$G$110&lt;&gt;"moeda")*(Inputs!$G$5:$G$110&lt;&gt;"acoes")))*INDEX(Inputs!$K$5:$AJ$110,0,MATCH(AA$2,Inputs!$K$4:$AJ$4,0)))+SUMPRODUCT((Inputs!$E$5:$E$110=$B34)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4" s="268">
        <f>AA34</f>
        <v>0</v>
      </c>
      <c r="AC34" s="267">
        <f>IF(ISNA(MATCH(AC$2,Inputs!$K$4:$AJ$4,0)),NA(),IF(SUMPRODUCT((Inputs!$A$5:$A$110=$B34)*ISNUMBER(INDEX(Inputs!$K$5:$AJ$110,0,MATCH(AC$2,Inputs!$K$4:$AJ$4,0))))+SUMPRODUCT((Inputs!$C$5:$C$110=$B34)*ISNUMBER(INDEX(Inputs!$K$5:$AJ$110,0,MATCH(AC$2,Inputs!$K$4:$AJ$4,0))))+SUMPRODUCT((Inputs!$E$5:$E$110=$B34)*ISNUMBER(INDEX(Inputs!$K$5:$AJ$110,0,MATCH(AC$2,Inputs!$K$4:$AJ$4,0))))=0,NA(),SUMPRODUCT((Inputs!$A$5:$A$110=$B34)*Inputs!$B$5:$B$110*(((Inputs!$G$5:$G$110="moeda")+(Inputs!$G$5:$G$110="acoes"))*Inputs!$B$1+((Inputs!$G$5:$G$110&lt;&gt;"moeda")*(Inputs!$G$5:$G$110&lt;&gt;"acoes")))*INDEX(Inputs!$K$5:$AJ$110,0,MATCH(AC$2,Inputs!$K$4:$AJ$4,0)))+SUMPRODUCT((Inputs!$C$5:$C$110=$B34)*Inputs!$D$5:$D$110*(((Inputs!$G$5:$G$110="moeda")+(Inputs!$G$5:$G$110="acoes"))*Inputs!$B$1+((Inputs!$G$5:$G$110&lt;&gt;"moeda")*(Inputs!$G$5:$G$110&lt;&gt;"acoes")))*INDEX(Inputs!$K$5:$AJ$110,0,MATCH(AC$2,Inputs!$K$4:$AJ$4,0)))+SUMPRODUCT((Inputs!$E$5:$E$110=$B34)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4" s="267">
        <f>IF(ISNA(MATCH(AD$2,Inputs!$K$4:$AJ$4,0)),NA(),IF(SUMPRODUCT((Inputs!$A$5:$A$110=$B34)*ISNUMBER(INDEX(Inputs!$K$5:$AJ$110,0,MATCH(AD$2,Inputs!$K$4:$AJ$4,0))))+SUMPRODUCT((Inputs!$C$5:$C$110=$B34)*ISNUMBER(INDEX(Inputs!$K$5:$AJ$110,0,MATCH(AD$2,Inputs!$K$4:$AJ$4,0))))+SUMPRODUCT((Inputs!$E$5:$E$110=$B34)*ISNUMBER(INDEX(Inputs!$K$5:$AJ$110,0,MATCH(AD$2,Inputs!$K$4:$AJ$4,0))))=0,NA(),SUMPRODUCT((Inputs!$A$5:$A$110=$B34)*Inputs!$B$5:$B$110*(((Inputs!$G$5:$G$110="moeda")+(Inputs!$G$5:$G$110="acoes"))*Inputs!$B$1+((Inputs!$G$5:$G$110&lt;&gt;"moeda")*(Inputs!$G$5:$G$110&lt;&gt;"acoes")))*INDEX(Inputs!$K$5:$AJ$110,0,MATCH(AD$2,Inputs!$K$4:$AJ$4,0)))+SUMPRODUCT((Inputs!$C$5:$C$110=$B34)*Inputs!$D$5:$D$110*(((Inputs!$G$5:$G$110="moeda")+(Inputs!$G$5:$G$110="acoes"))*Inputs!$B$1+((Inputs!$G$5:$G$110&lt;&gt;"moeda")*(Inputs!$G$5:$G$110&lt;&gt;"acoes")))*INDEX(Inputs!$K$5:$AJ$110,0,MATCH(AD$2,Inputs!$K$4:$AJ$4,0)))+SUMPRODUCT((Inputs!$E$5:$E$110=$B34)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4" s="267" t="e">
        <f>IF(ISNA(MATCH(AE$2,Inputs!$K$4:$AJ$4,0)),NA(),IF(SUMPRODUCT((Inputs!$A$5:$A$110=$B34)*ISNUMBER(INDEX(Inputs!$K$5:$AJ$110,0,MATCH(AE$2,Inputs!$K$4:$AJ$4,0))))+SUMPRODUCT((Inputs!$C$5:$C$110=$B34)*ISNUMBER(INDEX(Inputs!$K$5:$AJ$110,0,MATCH(AE$2,Inputs!$K$4:$AJ$4,0))))+SUMPRODUCT((Inputs!$E$5:$E$110=$B34)*ISNUMBER(INDEX(Inputs!$K$5:$AJ$110,0,MATCH(AE$2,Inputs!$K$4:$AJ$4,0))))=0,NA(),SUMPRODUCT((Inputs!$A$5:$A$110=$B34)*Inputs!$B$5:$B$110*(((Inputs!$G$5:$G$110="moeda")+(Inputs!$G$5:$G$110="acoes"))*Inputs!$B$1+((Inputs!$G$5:$G$110&lt;&gt;"moeda")*(Inputs!$G$5:$G$110&lt;&gt;"acoes")))*INDEX(Inputs!$K$5:$AJ$110,0,MATCH(AE$2,Inputs!$K$4:$AJ$4,0)))+SUMPRODUCT((Inputs!$C$5:$C$110=$B34)*Inputs!$D$5:$D$110*(((Inputs!$G$5:$G$110="moeda")+(Inputs!$G$5:$G$110="acoes"))*Inputs!$B$1+((Inputs!$G$5:$G$110&lt;&gt;"moeda")*(Inputs!$G$5:$G$110&lt;&gt;"acoes")))*INDEX(Inputs!$K$5:$AJ$110,0,MATCH(AE$2,Inputs!$K$4:$AJ$4,0)))+SUMPRODUCT((Inputs!$E$5:$E$110=$B34)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4" s="267" t="e">
        <f>IF(ISNA(MATCH(AF$2,Inputs!$K$4:$AJ$4,0)),NA(),IF(SUMPRODUCT((Inputs!$A$5:$A$110=$B34)*ISNUMBER(INDEX(Inputs!$K$5:$AJ$110,0,MATCH(AF$2,Inputs!$K$4:$AJ$4,0))))+SUMPRODUCT((Inputs!$C$5:$C$110=$B34)*ISNUMBER(INDEX(Inputs!$K$5:$AJ$110,0,MATCH(AF$2,Inputs!$K$4:$AJ$4,0))))+SUMPRODUCT((Inputs!$E$5:$E$110=$B34)*ISNUMBER(INDEX(Inputs!$K$5:$AJ$110,0,MATCH(AF$2,Inputs!$K$4:$AJ$4,0))))=0,NA(),SUMPRODUCT((Inputs!$A$5:$A$110=$B34)*Inputs!$B$5:$B$110*(((Inputs!$G$5:$G$110="moeda")+(Inputs!$G$5:$G$110="acoes"))*Inputs!$B$1+((Inputs!$G$5:$G$110&lt;&gt;"moeda")*(Inputs!$G$5:$G$110&lt;&gt;"acoes")))*INDEX(Inputs!$K$5:$AJ$110,0,MATCH(AF$2,Inputs!$K$4:$AJ$4,0)))+SUMPRODUCT((Inputs!$C$5:$C$110=$B34)*Inputs!$D$5:$D$110*(((Inputs!$G$5:$G$110="moeda")+(Inputs!$G$5:$G$110="acoes"))*Inputs!$B$1+((Inputs!$G$5:$G$110&lt;&gt;"moeda")*(Inputs!$G$5:$G$110&lt;&gt;"acoes")))*INDEX(Inputs!$K$5:$AJ$110,0,MATCH(AF$2,Inputs!$K$4:$AJ$4,0)))+SUMPRODUCT((Inputs!$E$5:$E$110=$B34)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4" s="268" t="e">
        <f>AF34</f>
        <v>#N/A</v>
      </c>
      <c r="AH34" s="267">
        <f>IF(ISNA(MATCH(AH$2,Inputs!$K$4:$AJ$4,0)),NA(),IF(SUMPRODUCT((Inputs!$A$5:$A$110=$B34)*ISNUMBER(INDEX(Inputs!$K$5:$AJ$110,0,MATCH(AH$2,Inputs!$K$4:$AJ$4,0))))+SUMPRODUCT((Inputs!$C$5:$C$110=$B34)*ISNUMBER(INDEX(Inputs!$K$5:$AJ$110,0,MATCH(AH$2,Inputs!$K$4:$AJ$4,0))))+SUMPRODUCT((Inputs!$E$5:$E$110=$B34)*ISNUMBER(INDEX(Inputs!$K$5:$AJ$110,0,MATCH(AH$2,Inputs!$K$4:$AJ$4,0))))=0,NA(),SUMPRODUCT((Inputs!$A$5:$A$110=$B34)*Inputs!$B$5:$B$110*(((Inputs!$G$5:$G$110="moeda")+(Inputs!$G$5:$G$110="acoes"))*Inputs!$B$1+((Inputs!$G$5:$G$110&lt;&gt;"moeda")*(Inputs!$G$5:$G$110&lt;&gt;"acoes")))*INDEX(Inputs!$K$5:$AJ$110,0,MATCH(AH$2,Inputs!$K$4:$AJ$4,0)))+SUMPRODUCT((Inputs!$C$5:$C$110=$B34)*Inputs!$D$5:$D$110*(((Inputs!$G$5:$G$110="moeda")+(Inputs!$G$5:$G$110="acoes"))*Inputs!$B$1+((Inputs!$G$5:$G$110&lt;&gt;"moeda")*(Inputs!$G$5:$G$110&lt;&gt;"acoes")))*INDEX(Inputs!$K$5:$AJ$110,0,MATCH(AH$2,Inputs!$K$4:$AJ$4,0)))+SUMPRODUCT((Inputs!$E$5:$E$110=$B34)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4" s="267">
        <f>IF(ISNA(MATCH(AI$2,Inputs!$K$4:$AJ$4,0)),NA(),IF(SUMPRODUCT((Inputs!$A$5:$A$110=$B34)*ISNUMBER(INDEX(Inputs!$K$5:$AJ$110,0,MATCH(AI$2,Inputs!$K$4:$AJ$4,0))))+SUMPRODUCT((Inputs!$C$5:$C$110=$B34)*ISNUMBER(INDEX(Inputs!$K$5:$AJ$110,0,MATCH(AI$2,Inputs!$K$4:$AJ$4,0))))+SUMPRODUCT((Inputs!$E$5:$E$110=$B34)*ISNUMBER(INDEX(Inputs!$K$5:$AJ$110,0,MATCH(AI$2,Inputs!$K$4:$AJ$4,0))))=0,NA(),SUMPRODUCT((Inputs!$A$5:$A$110=$B34)*Inputs!$B$5:$B$110*(((Inputs!$G$5:$G$110="moeda")+(Inputs!$G$5:$G$110="acoes"))*Inputs!$B$1+((Inputs!$G$5:$G$110&lt;&gt;"moeda")*(Inputs!$G$5:$G$110&lt;&gt;"acoes")))*INDEX(Inputs!$K$5:$AJ$110,0,MATCH(AI$2,Inputs!$K$4:$AJ$4,0)))+SUMPRODUCT((Inputs!$C$5:$C$110=$B34)*Inputs!$D$5:$D$110*(((Inputs!$G$5:$G$110="moeda")+(Inputs!$G$5:$G$110="acoes"))*Inputs!$B$1+((Inputs!$G$5:$G$110&lt;&gt;"moeda")*(Inputs!$G$5:$G$110&lt;&gt;"acoes")))*INDEX(Inputs!$K$5:$AJ$110,0,MATCH(AI$2,Inputs!$K$4:$AJ$4,0)))+SUMPRODUCT((Inputs!$E$5:$E$110=$B34)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4" s="267">
        <f>IF(ISNA(MATCH(AJ$2,Inputs!$K$4:$AJ$4,0)),NA(),IF(SUMPRODUCT((Inputs!$A$5:$A$110=$B34)*ISNUMBER(INDEX(Inputs!$K$5:$AJ$110,0,MATCH(AJ$2,Inputs!$K$4:$AJ$4,0))))+SUMPRODUCT((Inputs!$C$5:$C$110=$B34)*ISNUMBER(INDEX(Inputs!$K$5:$AJ$110,0,MATCH(AJ$2,Inputs!$K$4:$AJ$4,0))))+SUMPRODUCT((Inputs!$E$5:$E$110=$B34)*ISNUMBER(INDEX(Inputs!$K$5:$AJ$110,0,MATCH(AJ$2,Inputs!$K$4:$AJ$4,0))))=0,NA(),SUMPRODUCT((Inputs!$A$5:$A$110=$B34)*Inputs!$B$5:$B$110*(((Inputs!$G$5:$G$110="moeda")+(Inputs!$G$5:$G$110="acoes"))*Inputs!$B$1+((Inputs!$G$5:$G$110&lt;&gt;"moeda")*(Inputs!$G$5:$G$110&lt;&gt;"acoes")))*INDEX(Inputs!$K$5:$AJ$110,0,MATCH(AJ$2,Inputs!$K$4:$AJ$4,0)))+SUMPRODUCT((Inputs!$C$5:$C$110=$B34)*Inputs!$D$5:$D$110*(((Inputs!$G$5:$G$110="moeda")+(Inputs!$G$5:$G$110="acoes"))*Inputs!$B$1+((Inputs!$G$5:$G$110&lt;&gt;"moeda")*(Inputs!$G$5:$G$110&lt;&gt;"acoes")))*INDEX(Inputs!$K$5:$AJ$110,0,MATCH(AJ$2,Inputs!$K$4:$AJ$4,0)))+SUMPRODUCT((Inputs!$E$5:$E$110=$B34)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4" s="267">
        <f>IF(ISNA(MATCH(AK$2,Inputs!$K$4:$AJ$4,0)),NA(),IF(SUMPRODUCT((Inputs!$A$5:$A$110=$B34)*ISNUMBER(INDEX(Inputs!$K$5:$AJ$110,0,MATCH(AK$2,Inputs!$K$4:$AJ$4,0))))+SUMPRODUCT((Inputs!$C$5:$C$110=$B34)*ISNUMBER(INDEX(Inputs!$K$5:$AJ$110,0,MATCH(AK$2,Inputs!$K$4:$AJ$4,0))))+SUMPRODUCT((Inputs!$E$5:$E$110=$B34)*ISNUMBER(INDEX(Inputs!$K$5:$AJ$110,0,MATCH(AK$2,Inputs!$K$4:$AJ$4,0))))=0,NA(),SUMPRODUCT((Inputs!$A$5:$A$110=$B34)*Inputs!$B$5:$B$110*(((Inputs!$G$5:$G$110="moeda")+(Inputs!$G$5:$G$110="acoes"))*Inputs!$B$1+((Inputs!$G$5:$G$110&lt;&gt;"moeda")*(Inputs!$G$5:$G$110&lt;&gt;"acoes")))*INDEX(Inputs!$K$5:$AJ$110,0,MATCH(AK$2,Inputs!$K$4:$AJ$4,0)))+SUMPRODUCT((Inputs!$C$5:$C$110=$B34)*Inputs!$D$5:$D$110*(((Inputs!$G$5:$G$110="moeda")+(Inputs!$G$5:$G$110="acoes"))*Inputs!$B$1+((Inputs!$G$5:$G$110&lt;&gt;"moeda")*(Inputs!$G$5:$G$110&lt;&gt;"acoes")))*INDEX(Inputs!$K$5:$AJ$110,0,MATCH(AK$2,Inputs!$K$4:$AJ$4,0)))+SUMPRODUCT((Inputs!$E$5:$E$110=$B34)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4" s="268">
        <f>AK34</f>
        <v>0</v>
      </c>
    </row>
    <row r="35" ht="12.75" customHeight="1" s="255">
      <c r="B35" s="265" t="n">
        <v>30</v>
      </c>
      <c r="C35" s="270" t="inlineStr">
        <is>
          <t>Long term debt</t>
        </is>
      </c>
      <c r="D35" s="267">
        <f>IF(ISNA(MATCH(D$2,Inputs!$K$4:$AJ$4,0)),NA(),IF(SUMPRODUCT((Inputs!$A$5:$A$110=$B35)*ISNUMBER(INDEX(Inputs!$K$5:$AJ$110,0,MATCH(D$2,Inputs!$K$4:$AJ$4,0))))+SUMPRODUCT((Inputs!$C$5:$C$110=$B35)*ISNUMBER(INDEX(Inputs!$K$5:$AJ$110,0,MATCH(D$2,Inputs!$K$4:$AJ$4,0))))+SUMPRODUCT((Inputs!$E$5:$E$110=$B35)*ISNUMBER(INDEX(Inputs!$K$5:$AJ$110,0,MATCH(D$2,Inputs!$K$4:$AJ$4,0))))=0,NA(),SUMPRODUCT((Inputs!$A$5:$A$110=$B35)*Inputs!$B$5:$B$110*(((Inputs!$G$5:$G$110="moeda")+(Inputs!$G$5:$G$110="acoes"))*Inputs!$B$1+((Inputs!$G$5:$G$110&lt;&gt;"moeda")*(Inputs!$G$5:$G$110&lt;&gt;"acoes")))*INDEX(Inputs!$K$5:$AJ$110,0,MATCH(D$2,Inputs!$K$4:$AJ$4,0)))+SUMPRODUCT((Inputs!$C$5:$C$110=$B35)*Inputs!$D$5:$D$110*(((Inputs!$G$5:$G$110="moeda")+(Inputs!$G$5:$G$110="acoes"))*Inputs!$B$1+((Inputs!$G$5:$G$110&lt;&gt;"moeda")*(Inputs!$G$5:$G$110&lt;&gt;"acoes")))*INDEX(Inputs!$K$5:$AJ$110,0,MATCH(D$2,Inputs!$K$4:$AJ$4,0)))+SUMPRODUCT((Inputs!$E$5:$E$110=$B35)*Inputs!$F$5:$F$110*(((Inputs!$G$5:$G$110="moeda")+(Inputs!$G$5:$G$110="acoes"))*Inputs!$B$1+((Inputs!$G$5:$G$110&lt;&gt;"moeda")*(Inputs!$G$5:$G$110&lt;&gt;"acoes")))*INDEX(Inputs!$K$5:$AJ$110,0,MATCH(D$2,Inputs!$K$4:$AJ$4,0)))))</f>
        <v>7522</v>
      </c>
      <c r="E35" s="267">
        <f>IF(ISNA(MATCH(E$2,Inputs!$K$4:$AJ$4,0)),NA(),IF(SUMPRODUCT((Inputs!$A$5:$A$110=$B35)*ISNUMBER(INDEX(Inputs!$K$5:$AJ$110,0,MATCH(E$2,Inputs!$K$4:$AJ$4,0))))+SUMPRODUCT((Inputs!$C$5:$C$110=$B35)*ISNUMBER(INDEX(Inputs!$K$5:$AJ$110,0,MATCH(E$2,Inputs!$K$4:$AJ$4,0))))+SUMPRODUCT((Inputs!$E$5:$E$110=$B35)*ISNUMBER(INDEX(Inputs!$K$5:$AJ$110,0,MATCH(E$2,Inputs!$K$4:$AJ$4,0))))=0,NA(),SUMPRODUCT((Inputs!$A$5:$A$110=$B35)*Inputs!$B$5:$B$110*(((Inputs!$G$5:$G$110="moeda")+(Inputs!$G$5:$G$110="acoes"))*Inputs!$B$1+((Inputs!$G$5:$G$110&lt;&gt;"moeda")*(Inputs!$G$5:$G$110&lt;&gt;"acoes")))*INDEX(Inputs!$K$5:$AJ$110,0,MATCH(E$2,Inputs!$K$4:$AJ$4,0)))+SUMPRODUCT((Inputs!$C$5:$C$110=$B35)*Inputs!$D$5:$D$110*(((Inputs!$G$5:$G$110="moeda")+(Inputs!$G$5:$G$110="acoes"))*Inputs!$B$1+((Inputs!$G$5:$G$110&lt;&gt;"moeda")*(Inputs!$G$5:$G$110&lt;&gt;"acoes")))*INDEX(Inputs!$K$5:$AJ$110,0,MATCH(E$2,Inputs!$K$4:$AJ$4,0)))+SUMPRODUCT((Inputs!$E$5:$E$110=$B35)*Inputs!$F$5:$F$110*(((Inputs!$G$5:$G$110="moeda")+(Inputs!$G$5:$G$110="acoes"))*Inputs!$B$1+((Inputs!$G$5:$G$110&lt;&gt;"moeda")*(Inputs!$G$5:$G$110&lt;&gt;"acoes")))*INDEX(Inputs!$K$5:$AJ$110,0,MATCH(E$2,Inputs!$K$4:$AJ$4,0)))))</f>
        <v>7495</v>
      </c>
      <c r="F35" s="267">
        <f>IF(ISNA(MATCH(F$2,Inputs!$K$4:$AJ$4,0)),NA(),IF(SUMPRODUCT((Inputs!$A$5:$A$110=$B35)*ISNUMBER(INDEX(Inputs!$K$5:$AJ$110,0,MATCH(F$2,Inputs!$K$4:$AJ$4,0))))+SUMPRODUCT((Inputs!$C$5:$C$110=$B35)*ISNUMBER(INDEX(Inputs!$K$5:$AJ$110,0,MATCH(F$2,Inputs!$K$4:$AJ$4,0))))+SUMPRODUCT((Inputs!$E$5:$E$110=$B35)*ISNUMBER(INDEX(Inputs!$K$5:$AJ$110,0,MATCH(F$2,Inputs!$K$4:$AJ$4,0))))=0,NA(),SUMPRODUCT((Inputs!$A$5:$A$110=$B35)*Inputs!$B$5:$B$110*(((Inputs!$G$5:$G$110="moeda")+(Inputs!$G$5:$G$110="acoes"))*Inputs!$B$1+((Inputs!$G$5:$G$110&lt;&gt;"moeda")*(Inputs!$G$5:$G$110&lt;&gt;"acoes")))*INDEX(Inputs!$K$5:$AJ$110,0,MATCH(F$2,Inputs!$K$4:$AJ$4,0)))+SUMPRODUCT((Inputs!$C$5:$C$110=$B35)*Inputs!$D$5:$D$110*(((Inputs!$G$5:$G$110="moeda")+(Inputs!$G$5:$G$110="acoes"))*Inputs!$B$1+((Inputs!$G$5:$G$110&lt;&gt;"moeda")*(Inputs!$G$5:$G$110&lt;&gt;"acoes")))*INDEX(Inputs!$K$5:$AJ$110,0,MATCH(F$2,Inputs!$K$4:$AJ$4,0)))+SUMPRODUCT((Inputs!$E$5:$E$110=$B35)*Inputs!$F$5:$F$110*(((Inputs!$G$5:$G$110="moeda")+(Inputs!$G$5:$G$110="acoes"))*Inputs!$B$1+((Inputs!$G$5:$G$110&lt;&gt;"moeda")*(Inputs!$G$5:$G$110&lt;&gt;"acoes")))*INDEX(Inputs!$K$5:$AJ$110,0,MATCH(F$2,Inputs!$K$4:$AJ$4,0)))))</f>
        <v>6692</v>
      </c>
      <c r="G35" s="267">
        <f>IF(ISNA(MATCH(G$2,Inputs!$K$4:$AJ$4,0)),NA(),IF(SUMPRODUCT((Inputs!$A$5:$A$110=$B35)*ISNUMBER(INDEX(Inputs!$K$5:$AJ$110,0,MATCH(G$2,Inputs!$K$4:$AJ$4,0))))+SUMPRODUCT((Inputs!$C$5:$C$110=$B35)*ISNUMBER(INDEX(Inputs!$K$5:$AJ$110,0,MATCH(G$2,Inputs!$K$4:$AJ$4,0))))+SUMPRODUCT((Inputs!$E$5:$E$110=$B35)*ISNUMBER(INDEX(Inputs!$K$5:$AJ$110,0,MATCH(G$2,Inputs!$K$4:$AJ$4,0))))=0,NA(),SUMPRODUCT((Inputs!$A$5:$A$110=$B35)*Inputs!$B$5:$B$110*(((Inputs!$G$5:$G$110="moeda")+(Inputs!$G$5:$G$110="acoes"))*Inputs!$B$1+((Inputs!$G$5:$G$110&lt;&gt;"moeda")*(Inputs!$G$5:$G$110&lt;&gt;"acoes")))*INDEX(Inputs!$K$5:$AJ$110,0,MATCH(G$2,Inputs!$K$4:$AJ$4,0)))+SUMPRODUCT((Inputs!$C$5:$C$110=$B35)*Inputs!$D$5:$D$110*(((Inputs!$G$5:$G$110="moeda")+(Inputs!$G$5:$G$110="acoes"))*Inputs!$B$1+((Inputs!$G$5:$G$110&lt;&gt;"moeda")*(Inputs!$G$5:$G$110&lt;&gt;"acoes")))*INDEX(Inputs!$K$5:$AJ$110,0,MATCH(G$2,Inputs!$K$4:$AJ$4,0)))+SUMPRODUCT((Inputs!$E$5:$E$110=$B35)*Inputs!$F$5:$F$110*(((Inputs!$G$5:$G$110="moeda")+(Inputs!$G$5:$G$110="acoes"))*Inputs!$B$1+((Inputs!$G$5:$G$110&lt;&gt;"moeda")*(Inputs!$G$5:$G$110&lt;&gt;"acoes")))*INDEX(Inputs!$K$5:$AJ$110,0,MATCH(G$2,Inputs!$K$4:$AJ$4,0)))))</f>
        <v>6667</v>
      </c>
      <c r="H35" s="268">
        <f>G35</f>
        <v>6667</v>
      </c>
      <c r="I35" s="267">
        <f>IF(ISNA(MATCH(I$2,Inputs!$K$4:$AJ$4,0)),NA(),IF(SUMPRODUCT((Inputs!$A$5:$A$110=$B35)*ISNUMBER(INDEX(Inputs!$K$5:$AJ$110,0,MATCH(I$2,Inputs!$K$4:$AJ$4,0))))+SUMPRODUCT((Inputs!$C$5:$C$110=$B35)*ISNUMBER(INDEX(Inputs!$K$5:$AJ$110,0,MATCH(I$2,Inputs!$K$4:$AJ$4,0))))+SUMPRODUCT((Inputs!$E$5:$E$110=$B35)*ISNUMBER(INDEX(Inputs!$K$5:$AJ$110,0,MATCH(I$2,Inputs!$K$4:$AJ$4,0))))=0,NA(),SUMPRODUCT((Inputs!$A$5:$A$110=$B35)*Inputs!$B$5:$B$110*(((Inputs!$G$5:$G$110="moeda")+(Inputs!$G$5:$G$110="acoes"))*Inputs!$B$1+((Inputs!$G$5:$G$110&lt;&gt;"moeda")*(Inputs!$G$5:$G$110&lt;&gt;"acoes")))*INDEX(Inputs!$K$5:$AJ$110,0,MATCH(I$2,Inputs!$K$4:$AJ$4,0)))+SUMPRODUCT((Inputs!$C$5:$C$110=$B35)*Inputs!$D$5:$D$110*(((Inputs!$G$5:$G$110="moeda")+(Inputs!$G$5:$G$110="acoes"))*Inputs!$B$1+((Inputs!$G$5:$G$110&lt;&gt;"moeda")*(Inputs!$G$5:$G$110&lt;&gt;"acoes")))*INDEX(Inputs!$K$5:$AJ$110,0,MATCH(I$2,Inputs!$K$4:$AJ$4,0)))+SUMPRODUCT((Inputs!$E$5:$E$110=$B35)*Inputs!$F$5:$F$110*(((Inputs!$G$5:$G$110="moeda")+(Inputs!$G$5:$G$110="acoes"))*Inputs!$B$1+((Inputs!$G$5:$G$110&lt;&gt;"moeda")*(Inputs!$G$5:$G$110&lt;&gt;"acoes")))*INDEX(Inputs!$K$5:$AJ$110,0,MATCH(I$2,Inputs!$K$4:$AJ$4,0)))))</f>
        <v>6658</v>
      </c>
      <c r="J35" s="267">
        <f>IF(ISNA(MATCH(J$2,Inputs!$K$4:$AJ$4,0)),NA(),IF(SUMPRODUCT((Inputs!$A$5:$A$110=$B35)*ISNUMBER(INDEX(Inputs!$K$5:$AJ$110,0,MATCH(J$2,Inputs!$K$4:$AJ$4,0))))+SUMPRODUCT((Inputs!$C$5:$C$110=$B35)*ISNUMBER(INDEX(Inputs!$K$5:$AJ$110,0,MATCH(J$2,Inputs!$K$4:$AJ$4,0))))+SUMPRODUCT((Inputs!$E$5:$E$110=$B35)*ISNUMBER(INDEX(Inputs!$K$5:$AJ$110,0,MATCH(J$2,Inputs!$K$4:$AJ$4,0))))=0,NA(),SUMPRODUCT((Inputs!$A$5:$A$110=$B35)*Inputs!$B$5:$B$110*(((Inputs!$G$5:$G$110="moeda")+(Inputs!$G$5:$G$110="acoes"))*Inputs!$B$1+((Inputs!$G$5:$G$110&lt;&gt;"moeda")*(Inputs!$G$5:$G$110&lt;&gt;"acoes")))*INDEX(Inputs!$K$5:$AJ$110,0,MATCH(J$2,Inputs!$K$4:$AJ$4,0)))+SUMPRODUCT((Inputs!$C$5:$C$110=$B35)*Inputs!$D$5:$D$110*(((Inputs!$G$5:$G$110="moeda")+(Inputs!$G$5:$G$110="acoes"))*Inputs!$B$1+((Inputs!$G$5:$G$110&lt;&gt;"moeda")*(Inputs!$G$5:$G$110&lt;&gt;"acoes")))*INDEX(Inputs!$K$5:$AJ$110,0,MATCH(J$2,Inputs!$K$4:$AJ$4,0)))+SUMPRODUCT((Inputs!$E$5:$E$110=$B35)*Inputs!$F$5:$F$110*(((Inputs!$G$5:$G$110="moeda")+(Inputs!$G$5:$G$110="acoes"))*Inputs!$B$1+((Inputs!$G$5:$G$110&lt;&gt;"moeda")*(Inputs!$G$5:$G$110&lt;&gt;"acoes")))*INDEX(Inputs!$K$5:$AJ$110,0,MATCH(J$2,Inputs!$K$4:$AJ$4,0)))))</f>
        <v>6507</v>
      </c>
      <c r="K35" s="267">
        <f>IF(ISNA(MATCH(K$2,Inputs!$K$4:$AJ$4,0)),NA(),IF(SUMPRODUCT((Inputs!$A$5:$A$110=$B35)*ISNUMBER(INDEX(Inputs!$K$5:$AJ$110,0,MATCH(K$2,Inputs!$K$4:$AJ$4,0))))+SUMPRODUCT((Inputs!$C$5:$C$110=$B35)*ISNUMBER(INDEX(Inputs!$K$5:$AJ$110,0,MATCH(K$2,Inputs!$K$4:$AJ$4,0))))+SUMPRODUCT((Inputs!$E$5:$E$110=$B35)*ISNUMBER(INDEX(Inputs!$K$5:$AJ$110,0,MATCH(K$2,Inputs!$K$4:$AJ$4,0))))=0,NA(),SUMPRODUCT((Inputs!$A$5:$A$110=$B35)*Inputs!$B$5:$B$110*(((Inputs!$G$5:$G$110="moeda")+(Inputs!$G$5:$G$110="acoes"))*Inputs!$B$1+((Inputs!$G$5:$G$110&lt;&gt;"moeda")*(Inputs!$G$5:$G$110&lt;&gt;"acoes")))*INDEX(Inputs!$K$5:$AJ$110,0,MATCH(K$2,Inputs!$K$4:$AJ$4,0)))+SUMPRODUCT((Inputs!$C$5:$C$110=$B35)*Inputs!$D$5:$D$110*(((Inputs!$G$5:$G$110="moeda")+(Inputs!$G$5:$G$110="acoes"))*Inputs!$B$1+((Inputs!$G$5:$G$110&lt;&gt;"moeda")*(Inputs!$G$5:$G$110&lt;&gt;"acoes")))*INDEX(Inputs!$K$5:$AJ$110,0,MATCH(K$2,Inputs!$K$4:$AJ$4,0)))+SUMPRODUCT((Inputs!$E$5:$E$110=$B35)*Inputs!$F$5:$F$110*(((Inputs!$G$5:$G$110="moeda")+(Inputs!$G$5:$G$110="acoes"))*Inputs!$B$1+((Inputs!$G$5:$G$110&lt;&gt;"moeda")*(Inputs!$G$5:$G$110&lt;&gt;"acoes")))*INDEX(Inputs!$K$5:$AJ$110,0,MATCH(K$2,Inputs!$K$4:$AJ$4,0)))))</f>
        <v>6484</v>
      </c>
      <c r="L35" s="267">
        <f>IF(ISNA(MATCH(L$2,Inputs!$K$4:$AJ$4,0)),NA(),IF(SUMPRODUCT((Inputs!$A$5:$A$110=$B35)*ISNUMBER(INDEX(Inputs!$K$5:$AJ$110,0,MATCH(L$2,Inputs!$K$4:$AJ$4,0))))+SUMPRODUCT((Inputs!$C$5:$C$110=$B35)*ISNUMBER(INDEX(Inputs!$K$5:$AJ$110,0,MATCH(L$2,Inputs!$K$4:$AJ$4,0))))+SUMPRODUCT((Inputs!$E$5:$E$110=$B35)*ISNUMBER(INDEX(Inputs!$K$5:$AJ$110,0,MATCH(L$2,Inputs!$K$4:$AJ$4,0))))=0,NA(),SUMPRODUCT((Inputs!$A$5:$A$110=$B35)*Inputs!$B$5:$B$110*(((Inputs!$G$5:$G$110="moeda")+(Inputs!$G$5:$G$110="acoes"))*Inputs!$B$1+((Inputs!$G$5:$G$110&lt;&gt;"moeda")*(Inputs!$G$5:$G$110&lt;&gt;"acoes")))*INDEX(Inputs!$K$5:$AJ$110,0,MATCH(L$2,Inputs!$K$4:$AJ$4,0)))+SUMPRODUCT((Inputs!$C$5:$C$110=$B35)*Inputs!$D$5:$D$110*(((Inputs!$G$5:$G$110="moeda")+(Inputs!$G$5:$G$110="acoes"))*Inputs!$B$1+((Inputs!$G$5:$G$110&lt;&gt;"moeda")*(Inputs!$G$5:$G$110&lt;&gt;"acoes")))*INDEX(Inputs!$K$5:$AJ$110,0,MATCH(L$2,Inputs!$K$4:$AJ$4,0)))+SUMPRODUCT((Inputs!$E$5:$E$110=$B35)*Inputs!$F$5:$F$110*(((Inputs!$G$5:$G$110="moeda")+(Inputs!$G$5:$G$110="acoes"))*Inputs!$B$1+((Inputs!$G$5:$G$110&lt;&gt;"moeda")*(Inputs!$G$5:$G$110&lt;&gt;"acoes")))*INDEX(Inputs!$K$5:$AJ$110,0,MATCH(L$2,Inputs!$K$4:$AJ$4,0)))))</f>
        <v>6472</v>
      </c>
      <c r="M35" s="268">
        <f>L35</f>
        <v>6472</v>
      </c>
      <c r="N35" s="267">
        <f>IF(ISNA(MATCH(N$2,Inputs!$K$4:$AJ$4,0)),NA(),IF(SUMPRODUCT((Inputs!$A$5:$A$110=$B35)*ISNUMBER(INDEX(Inputs!$K$5:$AJ$110,0,MATCH(N$2,Inputs!$K$4:$AJ$4,0))))+SUMPRODUCT((Inputs!$C$5:$C$110=$B35)*ISNUMBER(INDEX(Inputs!$K$5:$AJ$110,0,MATCH(N$2,Inputs!$K$4:$AJ$4,0))))+SUMPRODUCT((Inputs!$E$5:$E$110=$B35)*ISNUMBER(INDEX(Inputs!$K$5:$AJ$110,0,MATCH(N$2,Inputs!$K$4:$AJ$4,0))))=0,NA(),SUMPRODUCT((Inputs!$A$5:$A$110=$B35)*Inputs!$B$5:$B$110*(((Inputs!$G$5:$G$110="moeda")+(Inputs!$G$5:$G$110="acoes"))*Inputs!$B$1+((Inputs!$G$5:$G$110&lt;&gt;"moeda")*(Inputs!$G$5:$G$110&lt;&gt;"acoes")))*INDEX(Inputs!$K$5:$AJ$110,0,MATCH(N$2,Inputs!$K$4:$AJ$4,0)))+SUMPRODUCT((Inputs!$C$5:$C$110=$B35)*Inputs!$D$5:$D$110*(((Inputs!$G$5:$G$110="moeda")+(Inputs!$G$5:$G$110="acoes"))*Inputs!$B$1+((Inputs!$G$5:$G$110&lt;&gt;"moeda")*(Inputs!$G$5:$G$110&lt;&gt;"acoes")))*INDEX(Inputs!$K$5:$AJ$110,0,MATCH(N$2,Inputs!$K$4:$AJ$4,0)))+SUMPRODUCT((Inputs!$E$5:$E$110=$B35)*Inputs!$F$5:$F$110*(((Inputs!$G$5:$G$110="moeda")+(Inputs!$G$5:$G$110="acoes"))*Inputs!$B$1+((Inputs!$G$5:$G$110&lt;&gt;"moeda")*(Inputs!$G$5:$G$110&lt;&gt;"acoes")))*INDEX(Inputs!$K$5:$AJ$110,0,MATCH(N$2,Inputs!$K$4:$AJ$4,0)))))</f>
        <v>6506</v>
      </c>
      <c r="O35" s="267">
        <f>IF(ISNA(MATCH(O$2,Inputs!$K$4:$AJ$4,0)),NA(),IF(SUMPRODUCT((Inputs!$A$5:$A$110=$B35)*ISNUMBER(INDEX(Inputs!$K$5:$AJ$110,0,MATCH(O$2,Inputs!$K$4:$AJ$4,0))))+SUMPRODUCT((Inputs!$C$5:$C$110=$B35)*ISNUMBER(INDEX(Inputs!$K$5:$AJ$110,0,MATCH(O$2,Inputs!$K$4:$AJ$4,0))))+SUMPRODUCT((Inputs!$E$5:$E$110=$B35)*ISNUMBER(INDEX(Inputs!$K$5:$AJ$110,0,MATCH(O$2,Inputs!$K$4:$AJ$4,0))))=0,NA(),SUMPRODUCT((Inputs!$A$5:$A$110=$B35)*Inputs!$B$5:$B$110*(((Inputs!$G$5:$G$110="moeda")+(Inputs!$G$5:$G$110="acoes"))*Inputs!$B$1+((Inputs!$G$5:$G$110&lt;&gt;"moeda")*(Inputs!$G$5:$G$110&lt;&gt;"acoes")))*INDEX(Inputs!$K$5:$AJ$110,0,MATCH(O$2,Inputs!$K$4:$AJ$4,0)))+SUMPRODUCT((Inputs!$C$5:$C$110=$B35)*Inputs!$D$5:$D$110*(((Inputs!$G$5:$G$110="moeda")+(Inputs!$G$5:$G$110="acoes"))*Inputs!$B$1+((Inputs!$G$5:$G$110&lt;&gt;"moeda")*(Inputs!$G$5:$G$110&lt;&gt;"acoes")))*INDEX(Inputs!$K$5:$AJ$110,0,MATCH(O$2,Inputs!$K$4:$AJ$4,0)))+SUMPRODUCT((Inputs!$E$5:$E$110=$B35)*Inputs!$F$5:$F$110*(((Inputs!$G$5:$G$110="moeda")+(Inputs!$G$5:$G$110="acoes"))*Inputs!$B$1+((Inputs!$G$5:$G$110&lt;&gt;"moeda")*(Inputs!$G$5:$G$110&lt;&gt;"acoes")))*INDEX(Inputs!$K$5:$AJ$110,0,MATCH(O$2,Inputs!$K$4:$AJ$4,0)))))</f>
        <v>6497</v>
      </c>
      <c r="P35" s="267">
        <f>IF(ISNA(MATCH(P$2,Inputs!$K$4:$AJ$4,0)),NA(),IF(SUMPRODUCT((Inputs!$A$5:$A$110=$B35)*ISNUMBER(INDEX(Inputs!$K$5:$AJ$110,0,MATCH(P$2,Inputs!$K$4:$AJ$4,0))))+SUMPRODUCT((Inputs!$C$5:$C$110=$B35)*ISNUMBER(INDEX(Inputs!$K$5:$AJ$110,0,MATCH(P$2,Inputs!$K$4:$AJ$4,0))))+SUMPRODUCT((Inputs!$E$5:$E$110=$B35)*ISNUMBER(INDEX(Inputs!$K$5:$AJ$110,0,MATCH(P$2,Inputs!$K$4:$AJ$4,0))))=0,NA(),SUMPRODUCT((Inputs!$A$5:$A$110=$B35)*Inputs!$B$5:$B$110*(((Inputs!$G$5:$G$110="moeda")+(Inputs!$G$5:$G$110="acoes"))*Inputs!$B$1+((Inputs!$G$5:$G$110&lt;&gt;"moeda")*(Inputs!$G$5:$G$110&lt;&gt;"acoes")))*INDEX(Inputs!$K$5:$AJ$110,0,MATCH(P$2,Inputs!$K$4:$AJ$4,0)))+SUMPRODUCT((Inputs!$C$5:$C$110=$B35)*Inputs!$D$5:$D$110*(((Inputs!$G$5:$G$110="moeda")+(Inputs!$G$5:$G$110="acoes"))*Inputs!$B$1+((Inputs!$G$5:$G$110&lt;&gt;"moeda")*(Inputs!$G$5:$G$110&lt;&gt;"acoes")))*INDEX(Inputs!$K$5:$AJ$110,0,MATCH(P$2,Inputs!$K$4:$AJ$4,0)))+SUMPRODUCT((Inputs!$E$5:$E$110=$B35)*Inputs!$F$5:$F$110*(((Inputs!$G$5:$G$110="moeda")+(Inputs!$G$5:$G$110="acoes"))*Inputs!$B$1+((Inputs!$G$5:$G$110&lt;&gt;"moeda")*(Inputs!$G$5:$G$110&lt;&gt;"acoes")))*INDEX(Inputs!$K$5:$AJ$110,0,MATCH(P$2,Inputs!$K$4:$AJ$4,0)))))</f>
        <v>5377</v>
      </c>
      <c r="Q35" s="267">
        <f>IF(ISNA(MATCH(Q$2,Inputs!$K$4:$AJ$4,0)),NA(),IF(SUMPRODUCT((Inputs!$A$5:$A$110=$B35)*ISNUMBER(INDEX(Inputs!$K$5:$AJ$110,0,MATCH(Q$2,Inputs!$K$4:$AJ$4,0))))+SUMPRODUCT((Inputs!$C$5:$C$110=$B35)*ISNUMBER(INDEX(Inputs!$K$5:$AJ$110,0,MATCH(Q$2,Inputs!$K$4:$AJ$4,0))))+SUMPRODUCT((Inputs!$E$5:$E$110=$B35)*ISNUMBER(INDEX(Inputs!$K$5:$AJ$110,0,MATCH(Q$2,Inputs!$K$4:$AJ$4,0))))=0,NA(),SUMPRODUCT((Inputs!$A$5:$A$110=$B35)*Inputs!$B$5:$B$110*(((Inputs!$G$5:$G$110="moeda")+(Inputs!$G$5:$G$110="acoes"))*Inputs!$B$1+((Inputs!$G$5:$G$110&lt;&gt;"moeda")*(Inputs!$G$5:$G$110&lt;&gt;"acoes")))*INDEX(Inputs!$K$5:$AJ$110,0,MATCH(Q$2,Inputs!$K$4:$AJ$4,0)))+SUMPRODUCT((Inputs!$C$5:$C$110=$B35)*Inputs!$D$5:$D$110*(((Inputs!$G$5:$G$110="moeda")+(Inputs!$G$5:$G$110="acoes"))*Inputs!$B$1+((Inputs!$G$5:$G$110&lt;&gt;"moeda")*(Inputs!$G$5:$G$110&lt;&gt;"acoes")))*INDEX(Inputs!$K$5:$AJ$110,0,MATCH(Q$2,Inputs!$K$4:$AJ$4,0)))+SUMPRODUCT((Inputs!$E$5:$E$110=$B35)*Inputs!$F$5:$F$110*(((Inputs!$G$5:$G$110="moeda")+(Inputs!$G$5:$G$110="acoes"))*Inputs!$B$1+((Inputs!$G$5:$G$110&lt;&gt;"moeda")*(Inputs!$G$5:$G$110&lt;&gt;"acoes")))*INDEX(Inputs!$K$5:$AJ$110,0,MATCH(Q$2,Inputs!$K$4:$AJ$4,0)))))</f>
        <v>5866</v>
      </c>
      <c r="R35" s="268">
        <f>Q35</f>
        <v>5866</v>
      </c>
      <c r="S35" s="267">
        <f>IF(ISNA(MATCH(S$2,Inputs!$K$4:$AJ$4,0)),NA(),IF(SUMPRODUCT((Inputs!$A$5:$A$110=$B35)*ISNUMBER(INDEX(Inputs!$K$5:$AJ$110,0,MATCH(S$2,Inputs!$K$4:$AJ$4,0))))+SUMPRODUCT((Inputs!$C$5:$C$110=$B35)*ISNUMBER(INDEX(Inputs!$K$5:$AJ$110,0,MATCH(S$2,Inputs!$K$4:$AJ$4,0))))+SUMPRODUCT((Inputs!$E$5:$E$110=$B35)*ISNUMBER(INDEX(Inputs!$K$5:$AJ$110,0,MATCH(S$2,Inputs!$K$4:$AJ$4,0))))=0,NA(),SUMPRODUCT((Inputs!$A$5:$A$110=$B35)*Inputs!$B$5:$B$110*(((Inputs!$G$5:$G$110="moeda")+(Inputs!$G$5:$G$110="acoes"))*Inputs!$B$1+((Inputs!$G$5:$G$110&lt;&gt;"moeda")*(Inputs!$G$5:$G$110&lt;&gt;"acoes")))*INDEX(Inputs!$K$5:$AJ$110,0,MATCH(S$2,Inputs!$K$4:$AJ$4,0)))+SUMPRODUCT((Inputs!$C$5:$C$110=$B35)*Inputs!$D$5:$D$110*(((Inputs!$G$5:$G$110="moeda")+(Inputs!$G$5:$G$110="acoes"))*Inputs!$B$1+((Inputs!$G$5:$G$110&lt;&gt;"moeda")*(Inputs!$G$5:$G$110&lt;&gt;"acoes")))*INDEX(Inputs!$K$5:$AJ$110,0,MATCH(S$2,Inputs!$K$4:$AJ$4,0)))+SUMPRODUCT((Inputs!$E$5:$E$110=$B35)*Inputs!$F$5:$F$110*(((Inputs!$G$5:$G$110="moeda")+(Inputs!$G$5:$G$110="acoes"))*Inputs!$B$1+((Inputs!$G$5:$G$110&lt;&gt;"moeda")*(Inputs!$G$5:$G$110&lt;&gt;"acoes")))*INDEX(Inputs!$K$5:$AJ$110,0,MATCH(S$2,Inputs!$K$4:$AJ$4,0)))))</f>
        <v>5865</v>
      </c>
      <c r="T35" s="267">
        <f>IF(ISNA(MATCH(T$2,Inputs!$K$4:$AJ$4,0)),NA(),IF(SUMPRODUCT((Inputs!$A$5:$A$110=$B35)*ISNUMBER(INDEX(Inputs!$K$5:$AJ$110,0,MATCH(T$2,Inputs!$K$4:$AJ$4,0))))+SUMPRODUCT((Inputs!$C$5:$C$110=$B35)*ISNUMBER(INDEX(Inputs!$K$5:$AJ$110,0,MATCH(T$2,Inputs!$K$4:$AJ$4,0))))+SUMPRODUCT((Inputs!$E$5:$E$110=$B35)*ISNUMBER(INDEX(Inputs!$K$5:$AJ$110,0,MATCH(T$2,Inputs!$K$4:$AJ$4,0))))=0,NA(),SUMPRODUCT((Inputs!$A$5:$A$110=$B35)*Inputs!$B$5:$B$110*(((Inputs!$G$5:$G$110="moeda")+(Inputs!$G$5:$G$110="acoes"))*Inputs!$B$1+((Inputs!$G$5:$G$110&lt;&gt;"moeda")*(Inputs!$G$5:$G$110&lt;&gt;"acoes")))*INDEX(Inputs!$K$5:$AJ$110,0,MATCH(T$2,Inputs!$K$4:$AJ$4,0)))+SUMPRODUCT((Inputs!$C$5:$C$110=$B35)*Inputs!$D$5:$D$110*(((Inputs!$G$5:$G$110="moeda")+(Inputs!$G$5:$G$110="acoes"))*Inputs!$B$1+((Inputs!$G$5:$G$110&lt;&gt;"moeda")*(Inputs!$G$5:$G$110&lt;&gt;"acoes")))*INDEX(Inputs!$K$5:$AJ$110,0,MATCH(T$2,Inputs!$K$4:$AJ$4,0)))+SUMPRODUCT((Inputs!$E$5:$E$110=$B35)*Inputs!$F$5:$F$110*(((Inputs!$G$5:$G$110="moeda")+(Inputs!$G$5:$G$110="acoes"))*Inputs!$B$1+((Inputs!$G$5:$G$110&lt;&gt;"moeda")*(Inputs!$G$5:$G$110&lt;&gt;"acoes")))*INDEX(Inputs!$K$5:$AJ$110,0,MATCH(T$2,Inputs!$K$4:$AJ$4,0)))))</f>
        <v>5834</v>
      </c>
      <c r="U35" s="267">
        <f>IF(ISNA(MATCH(U$2,Inputs!$K$4:$AJ$4,0)),NA(),IF(SUMPRODUCT((Inputs!$A$5:$A$110=$B35)*ISNUMBER(INDEX(Inputs!$K$5:$AJ$110,0,MATCH(U$2,Inputs!$K$4:$AJ$4,0))))+SUMPRODUCT((Inputs!$C$5:$C$110=$B35)*ISNUMBER(INDEX(Inputs!$K$5:$AJ$110,0,MATCH(U$2,Inputs!$K$4:$AJ$4,0))))+SUMPRODUCT((Inputs!$E$5:$E$110=$B35)*ISNUMBER(INDEX(Inputs!$K$5:$AJ$110,0,MATCH(U$2,Inputs!$K$4:$AJ$4,0))))=0,NA(),SUMPRODUCT((Inputs!$A$5:$A$110=$B35)*Inputs!$B$5:$B$110*(((Inputs!$G$5:$G$110="moeda")+(Inputs!$G$5:$G$110="acoes"))*Inputs!$B$1+((Inputs!$G$5:$G$110&lt;&gt;"moeda")*(Inputs!$G$5:$G$110&lt;&gt;"acoes")))*INDEX(Inputs!$K$5:$AJ$110,0,MATCH(U$2,Inputs!$K$4:$AJ$4,0)))+SUMPRODUCT((Inputs!$C$5:$C$110=$B35)*Inputs!$D$5:$D$110*(((Inputs!$G$5:$G$110="moeda")+(Inputs!$G$5:$G$110="acoes"))*Inputs!$B$1+((Inputs!$G$5:$G$110&lt;&gt;"moeda")*(Inputs!$G$5:$G$110&lt;&gt;"acoes")))*INDEX(Inputs!$K$5:$AJ$110,0,MATCH(U$2,Inputs!$K$4:$AJ$4,0)))+SUMPRODUCT((Inputs!$E$5:$E$110=$B35)*Inputs!$F$5:$F$110*(((Inputs!$G$5:$G$110="moeda")+(Inputs!$G$5:$G$110="acoes"))*Inputs!$B$1+((Inputs!$G$5:$G$110&lt;&gt;"moeda")*(Inputs!$G$5:$G$110&lt;&gt;"acoes")))*INDEX(Inputs!$K$5:$AJ$110,0,MATCH(U$2,Inputs!$K$4:$AJ$4,0)))))</f>
        <v>5794</v>
      </c>
      <c r="V35" s="267">
        <f>IF(ISNA(MATCH(V$2,Inputs!$K$4:$AJ$4,0)),NA(),IF(SUMPRODUCT((Inputs!$A$5:$A$110=$B35)*ISNUMBER(INDEX(Inputs!$K$5:$AJ$110,0,MATCH(V$2,Inputs!$K$4:$AJ$4,0))))+SUMPRODUCT((Inputs!$C$5:$C$110=$B35)*ISNUMBER(INDEX(Inputs!$K$5:$AJ$110,0,MATCH(V$2,Inputs!$K$4:$AJ$4,0))))+SUMPRODUCT((Inputs!$E$5:$E$110=$B35)*ISNUMBER(INDEX(Inputs!$K$5:$AJ$110,0,MATCH(V$2,Inputs!$K$4:$AJ$4,0))))=0,NA(),SUMPRODUCT((Inputs!$A$5:$A$110=$B35)*Inputs!$B$5:$B$110*(((Inputs!$G$5:$G$110="moeda")+(Inputs!$G$5:$G$110="acoes"))*Inputs!$B$1+((Inputs!$G$5:$G$110&lt;&gt;"moeda")*(Inputs!$G$5:$G$110&lt;&gt;"acoes")))*INDEX(Inputs!$K$5:$AJ$110,0,MATCH(V$2,Inputs!$K$4:$AJ$4,0)))+SUMPRODUCT((Inputs!$C$5:$C$110=$B35)*Inputs!$D$5:$D$110*(((Inputs!$G$5:$G$110="moeda")+(Inputs!$G$5:$G$110="acoes"))*Inputs!$B$1+((Inputs!$G$5:$G$110&lt;&gt;"moeda")*(Inputs!$G$5:$G$110&lt;&gt;"acoes")))*INDEX(Inputs!$K$5:$AJ$110,0,MATCH(V$2,Inputs!$K$4:$AJ$4,0)))+SUMPRODUCT((Inputs!$E$5:$E$110=$B35)*Inputs!$F$5:$F$110*(((Inputs!$G$5:$G$110="moeda")+(Inputs!$G$5:$G$110="acoes"))*Inputs!$B$1+((Inputs!$G$5:$G$110&lt;&gt;"moeda")*(Inputs!$G$5:$G$110&lt;&gt;"acoes")))*INDEX(Inputs!$K$5:$AJ$110,0,MATCH(V$2,Inputs!$K$4:$AJ$4,0)))))</f>
        <v>5745</v>
      </c>
      <c r="W35" s="268">
        <f>V35</f>
        <v>5745</v>
      </c>
      <c r="X35" s="267">
        <f>IF(ISNA(MATCH(X$2,Inputs!$K$4:$AJ$4,0)),NA(),IF(SUMPRODUCT((Inputs!$A$5:$A$110=$B35)*ISNUMBER(INDEX(Inputs!$K$5:$AJ$110,0,MATCH(X$2,Inputs!$K$4:$AJ$4,0))))+SUMPRODUCT((Inputs!$C$5:$C$110=$B35)*ISNUMBER(INDEX(Inputs!$K$5:$AJ$110,0,MATCH(X$2,Inputs!$K$4:$AJ$4,0))))+SUMPRODUCT((Inputs!$E$5:$E$110=$B35)*ISNUMBER(INDEX(Inputs!$K$5:$AJ$110,0,MATCH(X$2,Inputs!$K$4:$AJ$4,0))))=0,NA(),SUMPRODUCT((Inputs!$A$5:$A$110=$B35)*Inputs!$B$5:$B$110*(((Inputs!$G$5:$G$110="moeda")+(Inputs!$G$5:$G$110="acoes"))*Inputs!$B$1+((Inputs!$G$5:$G$110&lt;&gt;"moeda")*(Inputs!$G$5:$G$110&lt;&gt;"acoes")))*INDEX(Inputs!$K$5:$AJ$110,0,MATCH(X$2,Inputs!$K$4:$AJ$4,0)))+SUMPRODUCT((Inputs!$C$5:$C$110=$B35)*Inputs!$D$5:$D$110*(((Inputs!$G$5:$G$110="moeda")+(Inputs!$G$5:$G$110="acoes"))*Inputs!$B$1+((Inputs!$G$5:$G$110&lt;&gt;"moeda")*(Inputs!$G$5:$G$110&lt;&gt;"acoes")))*INDEX(Inputs!$K$5:$AJ$110,0,MATCH(X$2,Inputs!$K$4:$AJ$4,0)))+SUMPRODUCT((Inputs!$E$5:$E$110=$B35)*Inputs!$F$5:$F$110*(((Inputs!$G$5:$G$110="moeda")+(Inputs!$G$5:$G$110="acoes"))*Inputs!$B$1+((Inputs!$G$5:$G$110&lt;&gt;"moeda")*(Inputs!$G$5:$G$110&lt;&gt;"acoes")))*INDEX(Inputs!$K$5:$AJ$110,0,MATCH(X$2,Inputs!$K$4:$AJ$4,0)))))</f>
        <v>5755</v>
      </c>
      <c r="Y35" s="267">
        <f>IF(ISNA(MATCH(Y$2,Inputs!$K$4:$AJ$4,0)),NA(),IF(SUMPRODUCT((Inputs!$A$5:$A$110=$B35)*ISNUMBER(INDEX(Inputs!$K$5:$AJ$110,0,MATCH(Y$2,Inputs!$K$4:$AJ$4,0))))+SUMPRODUCT((Inputs!$C$5:$C$110=$B35)*ISNUMBER(INDEX(Inputs!$K$5:$AJ$110,0,MATCH(Y$2,Inputs!$K$4:$AJ$4,0))))+SUMPRODUCT((Inputs!$E$5:$E$110=$B35)*ISNUMBER(INDEX(Inputs!$K$5:$AJ$110,0,MATCH(Y$2,Inputs!$K$4:$AJ$4,0))))=0,NA(),SUMPRODUCT((Inputs!$A$5:$A$110=$B35)*Inputs!$B$5:$B$110*(((Inputs!$G$5:$G$110="moeda")+(Inputs!$G$5:$G$110="acoes"))*Inputs!$B$1+((Inputs!$G$5:$G$110&lt;&gt;"moeda")*(Inputs!$G$5:$G$110&lt;&gt;"acoes")))*INDEX(Inputs!$K$5:$AJ$110,0,MATCH(Y$2,Inputs!$K$4:$AJ$4,0)))+SUMPRODUCT((Inputs!$C$5:$C$110=$B35)*Inputs!$D$5:$D$110*(((Inputs!$G$5:$G$110="moeda")+(Inputs!$G$5:$G$110="acoes"))*Inputs!$B$1+((Inputs!$G$5:$G$110&lt;&gt;"moeda")*(Inputs!$G$5:$G$110&lt;&gt;"acoes")))*INDEX(Inputs!$K$5:$AJ$110,0,MATCH(Y$2,Inputs!$K$4:$AJ$4,0)))+SUMPRODUCT((Inputs!$E$5:$E$110=$B35)*Inputs!$F$5:$F$110*(((Inputs!$G$5:$G$110="moeda")+(Inputs!$G$5:$G$110="acoes"))*Inputs!$B$1+((Inputs!$G$5:$G$110&lt;&gt;"moeda")*(Inputs!$G$5:$G$110&lt;&gt;"acoes")))*INDEX(Inputs!$K$5:$AJ$110,0,MATCH(Y$2,Inputs!$K$4:$AJ$4,0)))))</f>
        <v>5717</v>
      </c>
      <c r="Z35" s="267">
        <f>IF(ISNA(MATCH(Z$2,Inputs!$K$4:$AJ$4,0)),NA(),IF(SUMPRODUCT((Inputs!$A$5:$A$110=$B35)*ISNUMBER(INDEX(Inputs!$K$5:$AJ$110,0,MATCH(Z$2,Inputs!$K$4:$AJ$4,0))))+SUMPRODUCT((Inputs!$C$5:$C$110=$B35)*ISNUMBER(INDEX(Inputs!$K$5:$AJ$110,0,MATCH(Z$2,Inputs!$K$4:$AJ$4,0))))+SUMPRODUCT((Inputs!$E$5:$E$110=$B35)*ISNUMBER(INDEX(Inputs!$K$5:$AJ$110,0,MATCH(Z$2,Inputs!$K$4:$AJ$4,0))))=0,NA(),SUMPRODUCT((Inputs!$A$5:$A$110=$B35)*Inputs!$B$5:$B$110*(((Inputs!$G$5:$G$110="moeda")+(Inputs!$G$5:$G$110="acoes"))*Inputs!$B$1+((Inputs!$G$5:$G$110&lt;&gt;"moeda")*(Inputs!$G$5:$G$110&lt;&gt;"acoes")))*INDEX(Inputs!$K$5:$AJ$110,0,MATCH(Z$2,Inputs!$K$4:$AJ$4,0)))+SUMPRODUCT((Inputs!$C$5:$C$110=$B35)*Inputs!$D$5:$D$110*(((Inputs!$G$5:$G$110="moeda")+(Inputs!$G$5:$G$110="acoes"))*Inputs!$B$1+((Inputs!$G$5:$G$110&lt;&gt;"moeda")*(Inputs!$G$5:$G$110&lt;&gt;"acoes")))*INDEX(Inputs!$K$5:$AJ$110,0,MATCH(Z$2,Inputs!$K$4:$AJ$4,0)))+SUMPRODUCT((Inputs!$E$5:$E$110=$B35)*Inputs!$F$5:$F$110*(((Inputs!$G$5:$G$110="moeda")+(Inputs!$G$5:$G$110="acoes"))*Inputs!$B$1+((Inputs!$G$5:$G$110&lt;&gt;"moeda")*(Inputs!$G$5:$G$110&lt;&gt;"acoes")))*INDEX(Inputs!$K$5:$AJ$110,0,MATCH(Z$2,Inputs!$K$4:$AJ$4,0)))))</f>
        <v>5713</v>
      </c>
      <c r="AA35" s="267">
        <f>IF(ISNA(MATCH(AA$2,Inputs!$K$4:$AJ$4,0)),NA(),IF(SUMPRODUCT((Inputs!$A$5:$A$110=$B35)*ISNUMBER(INDEX(Inputs!$K$5:$AJ$110,0,MATCH(AA$2,Inputs!$K$4:$AJ$4,0))))+SUMPRODUCT((Inputs!$C$5:$C$110=$B35)*ISNUMBER(INDEX(Inputs!$K$5:$AJ$110,0,MATCH(AA$2,Inputs!$K$4:$AJ$4,0))))+SUMPRODUCT((Inputs!$E$5:$E$110=$B35)*ISNUMBER(INDEX(Inputs!$K$5:$AJ$110,0,MATCH(AA$2,Inputs!$K$4:$AJ$4,0))))=0,NA(),SUMPRODUCT((Inputs!$A$5:$A$110=$B35)*Inputs!$B$5:$B$110*(((Inputs!$G$5:$G$110="moeda")+(Inputs!$G$5:$G$110="acoes"))*Inputs!$B$1+((Inputs!$G$5:$G$110&lt;&gt;"moeda")*(Inputs!$G$5:$G$110&lt;&gt;"acoes")))*INDEX(Inputs!$K$5:$AJ$110,0,MATCH(AA$2,Inputs!$K$4:$AJ$4,0)))+SUMPRODUCT((Inputs!$C$5:$C$110=$B35)*Inputs!$D$5:$D$110*(((Inputs!$G$5:$G$110="moeda")+(Inputs!$G$5:$G$110="acoes"))*Inputs!$B$1+((Inputs!$G$5:$G$110&lt;&gt;"moeda")*(Inputs!$G$5:$G$110&lt;&gt;"acoes")))*INDEX(Inputs!$K$5:$AJ$110,0,MATCH(AA$2,Inputs!$K$4:$AJ$4,0)))+SUMPRODUCT((Inputs!$E$5:$E$110=$B35)*Inputs!$F$5:$F$110*(((Inputs!$G$5:$G$110="moeda")+(Inputs!$G$5:$G$110="acoes"))*Inputs!$B$1+((Inputs!$G$5:$G$110&lt;&gt;"moeda")*(Inputs!$G$5:$G$110&lt;&gt;"acoes")))*INDEX(Inputs!$K$5:$AJ$110,0,MATCH(AA$2,Inputs!$K$4:$AJ$4,0)))))</f>
        <v>5666</v>
      </c>
      <c r="AB35" s="268">
        <f>AA35</f>
        <v>5666</v>
      </c>
      <c r="AC35" s="267">
        <f>IF(ISNA(MATCH(AC$2,Inputs!$K$4:$AJ$4,0)),NA(),IF(SUMPRODUCT((Inputs!$A$5:$A$110=$B35)*ISNUMBER(INDEX(Inputs!$K$5:$AJ$110,0,MATCH(AC$2,Inputs!$K$4:$AJ$4,0))))+SUMPRODUCT((Inputs!$C$5:$C$110=$B35)*ISNUMBER(INDEX(Inputs!$K$5:$AJ$110,0,MATCH(AC$2,Inputs!$K$4:$AJ$4,0))))+SUMPRODUCT((Inputs!$E$5:$E$110=$B35)*ISNUMBER(INDEX(Inputs!$K$5:$AJ$110,0,MATCH(AC$2,Inputs!$K$4:$AJ$4,0))))=0,NA(),SUMPRODUCT((Inputs!$A$5:$A$110=$B35)*Inputs!$B$5:$B$110*(((Inputs!$G$5:$G$110="moeda")+(Inputs!$G$5:$G$110="acoes"))*Inputs!$B$1+((Inputs!$G$5:$G$110&lt;&gt;"moeda")*(Inputs!$G$5:$G$110&lt;&gt;"acoes")))*INDEX(Inputs!$K$5:$AJ$110,0,MATCH(AC$2,Inputs!$K$4:$AJ$4,0)))+SUMPRODUCT((Inputs!$C$5:$C$110=$B35)*Inputs!$D$5:$D$110*(((Inputs!$G$5:$G$110="moeda")+(Inputs!$G$5:$G$110="acoes"))*Inputs!$B$1+((Inputs!$G$5:$G$110&lt;&gt;"moeda")*(Inputs!$G$5:$G$110&lt;&gt;"acoes")))*INDEX(Inputs!$K$5:$AJ$110,0,MATCH(AC$2,Inputs!$K$4:$AJ$4,0)))+SUMPRODUCT((Inputs!$E$5:$E$110=$B35)*Inputs!$F$5:$F$110*(((Inputs!$G$5:$G$110="moeda")+(Inputs!$G$5:$G$110="acoes"))*Inputs!$B$1+((Inputs!$G$5:$G$110&lt;&gt;"moeda")*(Inputs!$G$5:$G$110&lt;&gt;"acoes")))*INDEX(Inputs!$K$5:$AJ$110,0,MATCH(AC$2,Inputs!$K$4:$AJ$4,0)))))</f>
        <v>5688</v>
      </c>
      <c r="AD35" s="267">
        <f>IF(ISNA(MATCH(AD$2,Inputs!$K$4:$AJ$4,0)),NA(),IF(SUMPRODUCT((Inputs!$A$5:$A$110=$B35)*ISNUMBER(INDEX(Inputs!$K$5:$AJ$110,0,MATCH(AD$2,Inputs!$K$4:$AJ$4,0))))+SUMPRODUCT((Inputs!$C$5:$C$110=$B35)*ISNUMBER(INDEX(Inputs!$K$5:$AJ$110,0,MATCH(AD$2,Inputs!$K$4:$AJ$4,0))))+SUMPRODUCT((Inputs!$E$5:$E$110=$B35)*ISNUMBER(INDEX(Inputs!$K$5:$AJ$110,0,MATCH(AD$2,Inputs!$K$4:$AJ$4,0))))=0,NA(),SUMPRODUCT((Inputs!$A$5:$A$110=$B35)*Inputs!$B$5:$B$110*(((Inputs!$G$5:$G$110="moeda")+(Inputs!$G$5:$G$110="acoes"))*Inputs!$B$1+((Inputs!$G$5:$G$110&lt;&gt;"moeda")*(Inputs!$G$5:$G$110&lt;&gt;"acoes")))*INDEX(Inputs!$K$5:$AJ$110,0,MATCH(AD$2,Inputs!$K$4:$AJ$4,0)))+SUMPRODUCT((Inputs!$C$5:$C$110=$B35)*Inputs!$D$5:$D$110*(((Inputs!$G$5:$G$110="moeda")+(Inputs!$G$5:$G$110="acoes"))*Inputs!$B$1+((Inputs!$G$5:$G$110&lt;&gt;"moeda")*(Inputs!$G$5:$G$110&lt;&gt;"acoes")))*INDEX(Inputs!$K$5:$AJ$110,0,MATCH(AD$2,Inputs!$K$4:$AJ$4,0)))+SUMPRODUCT((Inputs!$E$5:$E$110=$B35)*Inputs!$F$5:$F$110*(((Inputs!$G$5:$G$110="moeda")+(Inputs!$G$5:$G$110="acoes"))*Inputs!$B$1+((Inputs!$G$5:$G$110&lt;&gt;"moeda")*(Inputs!$G$5:$G$110&lt;&gt;"acoes")))*INDEX(Inputs!$K$5:$AJ$110,0,MATCH(AD$2,Inputs!$K$4:$AJ$4,0)))))</f>
        <v>5670</v>
      </c>
      <c r="AE35" s="267" t="e">
        <f>IF(ISNA(MATCH(AE$2,Inputs!$K$4:$AJ$4,0)),NA(),IF(SUMPRODUCT((Inputs!$A$5:$A$110=$B35)*ISNUMBER(INDEX(Inputs!$K$5:$AJ$110,0,MATCH(AE$2,Inputs!$K$4:$AJ$4,0))))+SUMPRODUCT((Inputs!$C$5:$C$110=$B35)*ISNUMBER(INDEX(Inputs!$K$5:$AJ$110,0,MATCH(AE$2,Inputs!$K$4:$AJ$4,0))))+SUMPRODUCT((Inputs!$E$5:$E$110=$B35)*ISNUMBER(INDEX(Inputs!$K$5:$AJ$110,0,MATCH(AE$2,Inputs!$K$4:$AJ$4,0))))=0,NA(),SUMPRODUCT((Inputs!$A$5:$A$110=$B35)*Inputs!$B$5:$B$110*(((Inputs!$G$5:$G$110="moeda")+(Inputs!$G$5:$G$110="acoes"))*Inputs!$B$1+((Inputs!$G$5:$G$110&lt;&gt;"moeda")*(Inputs!$G$5:$G$110&lt;&gt;"acoes")))*INDEX(Inputs!$K$5:$AJ$110,0,MATCH(AE$2,Inputs!$K$4:$AJ$4,0)))+SUMPRODUCT((Inputs!$C$5:$C$110=$B35)*Inputs!$D$5:$D$110*(((Inputs!$G$5:$G$110="moeda")+(Inputs!$G$5:$G$110="acoes"))*Inputs!$B$1+((Inputs!$G$5:$G$110&lt;&gt;"moeda")*(Inputs!$G$5:$G$110&lt;&gt;"acoes")))*INDEX(Inputs!$K$5:$AJ$110,0,MATCH(AE$2,Inputs!$K$4:$AJ$4,0)))+SUMPRODUCT((Inputs!$E$5:$E$110=$B35)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5" s="267" t="e">
        <f>IF(ISNA(MATCH(AF$2,Inputs!$K$4:$AJ$4,0)),NA(),IF(SUMPRODUCT((Inputs!$A$5:$A$110=$B35)*ISNUMBER(INDEX(Inputs!$K$5:$AJ$110,0,MATCH(AF$2,Inputs!$K$4:$AJ$4,0))))+SUMPRODUCT((Inputs!$C$5:$C$110=$B35)*ISNUMBER(INDEX(Inputs!$K$5:$AJ$110,0,MATCH(AF$2,Inputs!$K$4:$AJ$4,0))))+SUMPRODUCT((Inputs!$E$5:$E$110=$B35)*ISNUMBER(INDEX(Inputs!$K$5:$AJ$110,0,MATCH(AF$2,Inputs!$K$4:$AJ$4,0))))=0,NA(),SUMPRODUCT((Inputs!$A$5:$A$110=$B35)*Inputs!$B$5:$B$110*(((Inputs!$G$5:$G$110="moeda")+(Inputs!$G$5:$G$110="acoes"))*Inputs!$B$1+((Inputs!$G$5:$G$110&lt;&gt;"moeda")*(Inputs!$G$5:$G$110&lt;&gt;"acoes")))*INDEX(Inputs!$K$5:$AJ$110,0,MATCH(AF$2,Inputs!$K$4:$AJ$4,0)))+SUMPRODUCT((Inputs!$C$5:$C$110=$B35)*Inputs!$D$5:$D$110*(((Inputs!$G$5:$G$110="moeda")+(Inputs!$G$5:$G$110="acoes"))*Inputs!$B$1+((Inputs!$G$5:$G$110&lt;&gt;"moeda")*(Inputs!$G$5:$G$110&lt;&gt;"acoes")))*INDEX(Inputs!$K$5:$AJ$110,0,MATCH(AF$2,Inputs!$K$4:$AJ$4,0)))+SUMPRODUCT((Inputs!$E$5:$E$110=$B35)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5" s="268" t="e">
        <f>AF35</f>
        <v>#N/A</v>
      </c>
      <c r="AH35" s="267">
        <f>IF(ISNA(MATCH(AH$2,Inputs!$K$4:$AJ$4,0)),NA(),IF(SUMPRODUCT((Inputs!$A$5:$A$110=$B35)*ISNUMBER(INDEX(Inputs!$K$5:$AJ$110,0,MATCH(AH$2,Inputs!$K$4:$AJ$4,0))))+SUMPRODUCT((Inputs!$C$5:$C$110=$B35)*ISNUMBER(INDEX(Inputs!$K$5:$AJ$110,0,MATCH(AH$2,Inputs!$K$4:$AJ$4,0))))+SUMPRODUCT((Inputs!$E$5:$E$110=$B35)*ISNUMBER(INDEX(Inputs!$K$5:$AJ$110,0,MATCH(AH$2,Inputs!$K$4:$AJ$4,0))))=0,NA(),SUMPRODUCT((Inputs!$A$5:$A$110=$B35)*Inputs!$B$5:$B$110*(((Inputs!$G$5:$G$110="moeda")+(Inputs!$G$5:$G$110="acoes"))*Inputs!$B$1+((Inputs!$G$5:$G$110&lt;&gt;"moeda")*(Inputs!$G$5:$G$110&lt;&gt;"acoes")))*INDEX(Inputs!$K$5:$AJ$110,0,MATCH(AH$2,Inputs!$K$4:$AJ$4,0)))+SUMPRODUCT((Inputs!$C$5:$C$110=$B35)*Inputs!$D$5:$D$110*(((Inputs!$G$5:$G$110="moeda")+(Inputs!$G$5:$G$110="acoes"))*Inputs!$B$1+((Inputs!$G$5:$G$110&lt;&gt;"moeda")*(Inputs!$G$5:$G$110&lt;&gt;"acoes")))*INDEX(Inputs!$K$5:$AJ$110,0,MATCH(AH$2,Inputs!$K$4:$AJ$4,0)))+SUMPRODUCT((Inputs!$E$5:$E$110=$B35)*Inputs!$F$5:$F$110*(((Inputs!$G$5:$G$110="moeda")+(Inputs!$G$5:$G$110="acoes"))*Inputs!$B$1+((Inputs!$G$5:$G$110&lt;&gt;"moeda")*(Inputs!$G$5:$G$110&lt;&gt;"acoes")))*INDEX(Inputs!$K$5:$AJ$110,0,MATCH(AH$2,Inputs!$K$4:$AJ$4,0)))))</f>
        <v>5099</v>
      </c>
      <c r="AI35" s="267">
        <f>IF(ISNA(MATCH(AI$2,Inputs!$K$4:$AJ$4,0)),NA(),IF(SUMPRODUCT((Inputs!$A$5:$A$110=$B35)*ISNUMBER(INDEX(Inputs!$K$5:$AJ$110,0,MATCH(AI$2,Inputs!$K$4:$AJ$4,0))))+SUMPRODUCT((Inputs!$C$5:$C$110=$B35)*ISNUMBER(INDEX(Inputs!$K$5:$AJ$110,0,MATCH(AI$2,Inputs!$K$4:$AJ$4,0))))+SUMPRODUCT((Inputs!$E$5:$E$110=$B35)*ISNUMBER(INDEX(Inputs!$K$5:$AJ$110,0,MATCH(AI$2,Inputs!$K$4:$AJ$4,0))))=0,NA(),SUMPRODUCT((Inputs!$A$5:$A$110=$B35)*Inputs!$B$5:$B$110*(((Inputs!$G$5:$G$110="moeda")+(Inputs!$G$5:$G$110="acoes"))*Inputs!$B$1+((Inputs!$G$5:$G$110&lt;&gt;"moeda")*(Inputs!$G$5:$G$110&lt;&gt;"acoes")))*INDEX(Inputs!$K$5:$AJ$110,0,MATCH(AI$2,Inputs!$K$4:$AJ$4,0)))+SUMPRODUCT((Inputs!$C$5:$C$110=$B35)*Inputs!$D$5:$D$110*(((Inputs!$G$5:$G$110="moeda")+(Inputs!$G$5:$G$110="acoes"))*Inputs!$B$1+((Inputs!$G$5:$G$110&lt;&gt;"moeda")*(Inputs!$G$5:$G$110&lt;&gt;"acoes")))*INDEX(Inputs!$K$5:$AJ$110,0,MATCH(AI$2,Inputs!$K$4:$AJ$4,0)))+SUMPRODUCT((Inputs!$E$5:$E$110=$B35)*Inputs!$F$5:$F$110*(((Inputs!$G$5:$G$110="moeda")+(Inputs!$G$5:$G$110="acoes"))*Inputs!$B$1+((Inputs!$G$5:$G$110&lt;&gt;"moeda")*(Inputs!$G$5:$G$110&lt;&gt;"acoes")))*INDEX(Inputs!$K$5:$AJ$110,0,MATCH(AI$2,Inputs!$K$4:$AJ$4,0)))))</f>
        <v>7598</v>
      </c>
      <c r="AJ35" s="267">
        <f>IF(ISNA(MATCH(AJ$2,Inputs!$K$4:$AJ$4,0)),NA(),IF(SUMPRODUCT((Inputs!$A$5:$A$110=$B35)*ISNUMBER(INDEX(Inputs!$K$5:$AJ$110,0,MATCH(AJ$2,Inputs!$K$4:$AJ$4,0))))+SUMPRODUCT((Inputs!$C$5:$C$110=$B35)*ISNUMBER(INDEX(Inputs!$K$5:$AJ$110,0,MATCH(AJ$2,Inputs!$K$4:$AJ$4,0))))+SUMPRODUCT((Inputs!$E$5:$E$110=$B35)*ISNUMBER(INDEX(Inputs!$K$5:$AJ$110,0,MATCH(AJ$2,Inputs!$K$4:$AJ$4,0))))=0,NA(),SUMPRODUCT((Inputs!$A$5:$A$110=$B35)*Inputs!$B$5:$B$110*(((Inputs!$G$5:$G$110="moeda")+(Inputs!$G$5:$G$110="acoes"))*Inputs!$B$1+((Inputs!$G$5:$G$110&lt;&gt;"moeda")*(Inputs!$G$5:$G$110&lt;&gt;"acoes")))*INDEX(Inputs!$K$5:$AJ$110,0,MATCH(AJ$2,Inputs!$K$4:$AJ$4,0)))+SUMPRODUCT((Inputs!$C$5:$C$110=$B35)*Inputs!$D$5:$D$110*(((Inputs!$G$5:$G$110="moeda")+(Inputs!$G$5:$G$110="acoes"))*Inputs!$B$1+((Inputs!$G$5:$G$110&lt;&gt;"moeda")*(Inputs!$G$5:$G$110&lt;&gt;"acoes")))*INDEX(Inputs!$K$5:$AJ$110,0,MATCH(AJ$2,Inputs!$K$4:$AJ$4,0)))+SUMPRODUCT((Inputs!$E$5:$E$110=$B35)*Inputs!$F$5:$F$110*(((Inputs!$G$5:$G$110="moeda")+(Inputs!$G$5:$G$110="acoes"))*Inputs!$B$1+((Inputs!$G$5:$G$110&lt;&gt;"moeda")*(Inputs!$G$5:$G$110&lt;&gt;"acoes")))*INDEX(Inputs!$K$5:$AJ$110,0,MATCH(AJ$2,Inputs!$K$4:$AJ$4,0)))))</f>
        <v>7514</v>
      </c>
      <c r="AK35" s="267">
        <f>IF(ISNA(MATCH(AK$2,Inputs!$K$4:$AJ$4,0)),NA(),IF(SUMPRODUCT((Inputs!$A$5:$A$110=$B35)*ISNUMBER(INDEX(Inputs!$K$5:$AJ$110,0,MATCH(AK$2,Inputs!$K$4:$AJ$4,0))))+SUMPRODUCT((Inputs!$C$5:$C$110=$B35)*ISNUMBER(INDEX(Inputs!$K$5:$AJ$110,0,MATCH(AK$2,Inputs!$K$4:$AJ$4,0))))+SUMPRODUCT((Inputs!$E$5:$E$110=$B35)*ISNUMBER(INDEX(Inputs!$K$5:$AJ$110,0,MATCH(AK$2,Inputs!$K$4:$AJ$4,0))))=0,NA(),SUMPRODUCT((Inputs!$A$5:$A$110=$B35)*Inputs!$B$5:$B$110*(((Inputs!$G$5:$G$110="moeda")+(Inputs!$G$5:$G$110="acoes"))*Inputs!$B$1+((Inputs!$G$5:$G$110&lt;&gt;"moeda")*(Inputs!$G$5:$G$110&lt;&gt;"acoes")))*INDEX(Inputs!$K$5:$AJ$110,0,MATCH(AK$2,Inputs!$K$4:$AJ$4,0)))+SUMPRODUCT((Inputs!$C$5:$C$110=$B35)*Inputs!$D$5:$D$110*(((Inputs!$G$5:$G$110="moeda")+(Inputs!$G$5:$G$110="acoes"))*Inputs!$B$1+((Inputs!$G$5:$G$110&lt;&gt;"moeda")*(Inputs!$G$5:$G$110&lt;&gt;"acoes")))*INDEX(Inputs!$K$5:$AJ$110,0,MATCH(AK$2,Inputs!$K$4:$AJ$4,0)))+SUMPRODUCT((Inputs!$E$5:$E$110=$B35)*Inputs!$F$5:$F$110*(((Inputs!$G$5:$G$110="moeda")+(Inputs!$G$5:$G$110="acoes"))*Inputs!$B$1+((Inputs!$G$5:$G$110&lt;&gt;"moeda")*(Inputs!$G$5:$G$110&lt;&gt;"acoes")))*INDEX(Inputs!$K$5:$AJ$110,0,MATCH(AK$2,Inputs!$K$4:$AJ$4,0)))))</f>
        <v>7529</v>
      </c>
      <c r="AL35" s="268">
        <f>AK35</f>
        <v>7529</v>
      </c>
    </row>
    <row r="36" ht="12.75" customHeight="1" s="255">
      <c r="B36" s="265" t="n">
        <v>31</v>
      </c>
      <c r="C36" s="270" t="inlineStr">
        <is>
          <t>Long term operating leases</t>
        </is>
      </c>
      <c r="D36" s="267">
        <f>IF(ISNA(MATCH(D$2,Inputs!$K$4:$AJ$4,0)),NA(),IF(SUMPRODUCT((Inputs!$A$5:$A$110=$B36)*ISNUMBER(INDEX(Inputs!$K$5:$AJ$110,0,MATCH(D$2,Inputs!$K$4:$AJ$4,0))))+SUMPRODUCT((Inputs!$C$5:$C$110=$B36)*ISNUMBER(INDEX(Inputs!$K$5:$AJ$110,0,MATCH(D$2,Inputs!$K$4:$AJ$4,0))))+SUMPRODUCT((Inputs!$E$5:$E$110=$B36)*ISNUMBER(INDEX(Inputs!$K$5:$AJ$110,0,MATCH(D$2,Inputs!$K$4:$AJ$4,0))))=0,NA(),SUMPRODUCT((Inputs!$A$5:$A$110=$B36)*Inputs!$B$5:$B$110*(((Inputs!$G$5:$G$110="moeda")+(Inputs!$G$5:$G$110="acoes"))*Inputs!$B$1+((Inputs!$G$5:$G$110&lt;&gt;"moeda")*(Inputs!$G$5:$G$110&lt;&gt;"acoes")))*INDEX(Inputs!$K$5:$AJ$110,0,MATCH(D$2,Inputs!$K$4:$AJ$4,0)))+SUMPRODUCT((Inputs!$C$5:$C$110=$B36)*Inputs!$D$5:$D$110*(((Inputs!$G$5:$G$110="moeda")+(Inputs!$G$5:$G$110="acoes"))*Inputs!$B$1+((Inputs!$G$5:$G$110&lt;&gt;"moeda")*(Inputs!$G$5:$G$110&lt;&gt;"acoes")))*INDEX(Inputs!$K$5:$AJ$110,0,MATCH(D$2,Inputs!$K$4:$AJ$4,0)))+SUMPRODUCT((Inputs!$E$5:$E$110=$B36)*Inputs!$F$5:$F$110*(((Inputs!$G$5:$G$110="moeda")+(Inputs!$G$5:$G$110="acoes"))*Inputs!$B$1+((Inputs!$G$5:$G$110&lt;&gt;"moeda")*(Inputs!$G$5:$G$110&lt;&gt;"acoes")))*INDEX(Inputs!$K$5:$AJ$110,0,MATCH(D$2,Inputs!$K$4:$AJ$4,0)))))</f>
        <v>2651</v>
      </c>
      <c r="E36" s="267">
        <f>IF(ISNA(MATCH(E$2,Inputs!$K$4:$AJ$4,0)),NA(),IF(SUMPRODUCT((Inputs!$A$5:$A$110=$B36)*ISNUMBER(INDEX(Inputs!$K$5:$AJ$110,0,MATCH(E$2,Inputs!$K$4:$AJ$4,0))))+SUMPRODUCT((Inputs!$C$5:$C$110=$B36)*ISNUMBER(INDEX(Inputs!$K$5:$AJ$110,0,MATCH(E$2,Inputs!$K$4:$AJ$4,0))))+SUMPRODUCT((Inputs!$E$5:$E$110=$B36)*ISNUMBER(INDEX(Inputs!$K$5:$AJ$110,0,MATCH(E$2,Inputs!$K$4:$AJ$4,0))))=0,NA(),SUMPRODUCT((Inputs!$A$5:$A$110=$B36)*Inputs!$B$5:$B$110*(((Inputs!$G$5:$G$110="moeda")+(Inputs!$G$5:$G$110="acoes"))*Inputs!$B$1+((Inputs!$G$5:$G$110&lt;&gt;"moeda")*(Inputs!$G$5:$G$110&lt;&gt;"acoes")))*INDEX(Inputs!$K$5:$AJ$110,0,MATCH(E$2,Inputs!$K$4:$AJ$4,0)))+SUMPRODUCT((Inputs!$C$5:$C$110=$B36)*Inputs!$D$5:$D$110*(((Inputs!$G$5:$G$110="moeda")+(Inputs!$G$5:$G$110="acoes"))*Inputs!$B$1+((Inputs!$G$5:$G$110&lt;&gt;"moeda")*(Inputs!$G$5:$G$110&lt;&gt;"acoes")))*INDEX(Inputs!$K$5:$AJ$110,0,MATCH(E$2,Inputs!$K$4:$AJ$4,0)))+SUMPRODUCT((Inputs!$E$5:$E$110=$B36)*Inputs!$F$5:$F$110*(((Inputs!$G$5:$G$110="moeda")+(Inputs!$G$5:$G$110="acoes"))*Inputs!$B$1+((Inputs!$G$5:$G$110&lt;&gt;"moeda")*(Inputs!$G$5:$G$110&lt;&gt;"acoes")))*INDEX(Inputs!$K$5:$AJ$110,0,MATCH(E$2,Inputs!$K$4:$AJ$4,0)))))</f>
        <v>2641</v>
      </c>
      <c r="F36" s="267">
        <f>IF(ISNA(MATCH(F$2,Inputs!$K$4:$AJ$4,0)),NA(),IF(SUMPRODUCT((Inputs!$A$5:$A$110=$B36)*ISNUMBER(INDEX(Inputs!$K$5:$AJ$110,0,MATCH(F$2,Inputs!$K$4:$AJ$4,0))))+SUMPRODUCT((Inputs!$C$5:$C$110=$B36)*ISNUMBER(INDEX(Inputs!$K$5:$AJ$110,0,MATCH(F$2,Inputs!$K$4:$AJ$4,0))))+SUMPRODUCT((Inputs!$E$5:$E$110=$B36)*ISNUMBER(INDEX(Inputs!$K$5:$AJ$110,0,MATCH(F$2,Inputs!$K$4:$AJ$4,0))))=0,NA(),SUMPRODUCT((Inputs!$A$5:$A$110=$B36)*Inputs!$B$5:$B$110*(((Inputs!$G$5:$G$110="moeda")+(Inputs!$G$5:$G$110="acoes"))*Inputs!$B$1+((Inputs!$G$5:$G$110&lt;&gt;"moeda")*(Inputs!$G$5:$G$110&lt;&gt;"acoes")))*INDEX(Inputs!$K$5:$AJ$110,0,MATCH(F$2,Inputs!$K$4:$AJ$4,0)))+SUMPRODUCT((Inputs!$C$5:$C$110=$B36)*Inputs!$D$5:$D$110*(((Inputs!$G$5:$G$110="moeda")+(Inputs!$G$5:$G$110="acoes"))*Inputs!$B$1+((Inputs!$G$5:$G$110&lt;&gt;"moeda")*(Inputs!$G$5:$G$110&lt;&gt;"acoes")))*INDEX(Inputs!$K$5:$AJ$110,0,MATCH(F$2,Inputs!$K$4:$AJ$4,0)))+SUMPRODUCT((Inputs!$E$5:$E$110=$B36)*Inputs!$F$5:$F$110*(((Inputs!$G$5:$G$110="moeda")+(Inputs!$G$5:$G$110="acoes"))*Inputs!$B$1+((Inputs!$G$5:$G$110&lt;&gt;"moeda")*(Inputs!$G$5:$G$110&lt;&gt;"acoes")))*INDEX(Inputs!$K$5:$AJ$110,0,MATCH(F$2,Inputs!$K$4:$AJ$4,0)))))</f>
        <v>2642</v>
      </c>
      <c r="G36" s="267">
        <f>IF(ISNA(MATCH(G$2,Inputs!$K$4:$AJ$4,0)),NA(),IF(SUMPRODUCT((Inputs!$A$5:$A$110=$B36)*ISNUMBER(INDEX(Inputs!$K$5:$AJ$110,0,MATCH(G$2,Inputs!$K$4:$AJ$4,0))))+SUMPRODUCT((Inputs!$C$5:$C$110=$B36)*ISNUMBER(INDEX(Inputs!$K$5:$AJ$110,0,MATCH(G$2,Inputs!$K$4:$AJ$4,0))))+SUMPRODUCT((Inputs!$E$5:$E$110=$B36)*ISNUMBER(INDEX(Inputs!$K$5:$AJ$110,0,MATCH(G$2,Inputs!$K$4:$AJ$4,0))))=0,NA(),SUMPRODUCT((Inputs!$A$5:$A$110=$B36)*Inputs!$B$5:$B$110*(((Inputs!$G$5:$G$110="moeda")+(Inputs!$G$5:$G$110="acoes"))*Inputs!$B$1+((Inputs!$G$5:$G$110&lt;&gt;"moeda")*(Inputs!$G$5:$G$110&lt;&gt;"acoes")))*INDEX(Inputs!$K$5:$AJ$110,0,MATCH(G$2,Inputs!$K$4:$AJ$4,0)))+SUMPRODUCT((Inputs!$C$5:$C$110=$B36)*Inputs!$D$5:$D$110*(((Inputs!$G$5:$G$110="moeda")+(Inputs!$G$5:$G$110="acoes"))*Inputs!$B$1+((Inputs!$G$5:$G$110&lt;&gt;"moeda")*(Inputs!$G$5:$G$110&lt;&gt;"acoes")))*INDEX(Inputs!$K$5:$AJ$110,0,MATCH(G$2,Inputs!$K$4:$AJ$4,0)))+SUMPRODUCT((Inputs!$E$5:$E$110=$B36)*Inputs!$F$5:$F$110*(((Inputs!$G$5:$G$110="moeda")+(Inputs!$G$5:$G$110="acoes"))*Inputs!$B$1+((Inputs!$G$5:$G$110&lt;&gt;"moeda")*(Inputs!$G$5:$G$110&lt;&gt;"acoes")))*INDEX(Inputs!$K$5:$AJ$110,0,MATCH(G$2,Inputs!$K$4:$AJ$4,0)))))</f>
        <v>2649</v>
      </c>
      <c r="H36" s="268">
        <f>G36</f>
        <v>2649</v>
      </c>
      <c r="I36" s="267">
        <f>IF(ISNA(MATCH(I$2,Inputs!$K$4:$AJ$4,0)),NA(),IF(SUMPRODUCT((Inputs!$A$5:$A$110=$B36)*ISNUMBER(INDEX(Inputs!$K$5:$AJ$110,0,MATCH(I$2,Inputs!$K$4:$AJ$4,0))))+SUMPRODUCT((Inputs!$C$5:$C$110=$B36)*ISNUMBER(INDEX(Inputs!$K$5:$AJ$110,0,MATCH(I$2,Inputs!$K$4:$AJ$4,0))))+SUMPRODUCT((Inputs!$E$5:$E$110=$B36)*ISNUMBER(INDEX(Inputs!$K$5:$AJ$110,0,MATCH(I$2,Inputs!$K$4:$AJ$4,0))))=0,NA(),SUMPRODUCT((Inputs!$A$5:$A$110=$B36)*Inputs!$B$5:$B$110*(((Inputs!$G$5:$G$110="moeda")+(Inputs!$G$5:$G$110="acoes"))*Inputs!$B$1+((Inputs!$G$5:$G$110&lt;&gt;"moeda")*(Inputs!$G$5:$G$110&lt;&gt;"acoes")))*INDEX(Inputs!$K$5:$AJ$110,0,MATCH(I$2,Inputs!$K$4:$AJ$4,0)))+SUMPRODUCT((Inputs!$C$5:$C$110=$B36)*Inputs!$D$5:$D$110*(((Inputs!$G$5:$G$110="moeda")+(Inputs!$G$5:$G$110="acoes"))*Inputs!$B$1+((Inputs!$G$5:$G$110&lt;&gt;"moeda")*(Inputs!$G$5:$G$110&lt;&gt;"acoes")))*INDEX(Inputs!$K$5:$AJ$110,0,MATCH(I$2,Inputs!$K$4:$AJ$4,0)))+SUMPRODUCT((Inputs!$E$5:$E$110=$B36)*Inputs!$F$5:$F$110*(((Inputs!$G$5:$G$110="moeda")+(Inputs!$G$5:$G$110="acoes"))*Inputs!$B$1+((Inputs!$G$5:$G$110&lt;&gt;"moeda")*(Inputs!$G$5:$G$110&lt;&gt;"acoes")))*INDEX(Inputs!$K$5:$AJ$110,0,MATCH(I$2,Inputs!$K$4:$AJ$4,0)))))</f>
        <v>2588</v>
      </c>
      <c r="J36" s="267">
        <f>IF(ISNA(MATCH(J$2,Inputs!$K$4:$AJ$4,0)),NA(),IF(SUMPRODUCT((Inputs!$A$5:$A$110=$B36)*ISNUMBER(INDEX(Inputs!$K$5:$AJ$110,0,MATCH(J$2,Inputs!$K$4:$AJ$4,0))))+SUMPRODUCT((Inputs!$C$5:$C$110=$B36)*ISNUMBER(INDEX(Inputs!$K$5:$AJ$110,0,MATCH(J$2,Inputs!$K$4:$AJ$4,0))))+SUMPRODUCT((Inputs!$E$5:$E$110=$B36)*ISNUMBER(INDEX(Inputs!$K$5:$AJ$110,0,MATCH(J$2,Inputs!$K$4:$AJ$4,0))))=0,NA(),SUMPRODUCT((Inputs!$A$5:$A$110=$B36)*Inputs!$B$5:$B$110*(((Inputs!$G$5:$G$110="moeda")+(Inputs!$G$5:$G$110="acoes"))*Inputs!$B$1+((Inputs!$G$5:$G$110&lt;&gt;"moeda")*(Inputs!$G$5:$G$110&lt;&gt;"acoes")))*INDEX(Inputs!$K$5:$AJ$110,0,MATCH(J$2,Inputs!$K$4:$AJ$4,0)))+SUMPRODUCT((Inputs!$C$5:$C$110=$B36)*Inputs!$D$5:$D$110*(((Inputs!$G$5:$G$110="moeda")+(Inputs!$G$5:$G$110="acoes"))*Inputs!$B$1+((Inputs!$G$5:$G$110&lt;&gt;"moeda")*(Inputs!$G$5:$G$110&lt;&gt;"acoes")))*INDEX(Inputs!$K$5:$AJ$110,0,MATCH(J$2,Inputs!$K$4:$AJ$4,0)))+SUMPRODUCT((Inputs!$E$5:$E$110=$B36)*Inputs!$F$5:$F$110*(((Inputs!$G$5:$G$110="moeda")+(Inputs!$G$5:$G$110="acoes"))*Inputs!$B$1+((Inputs!$G$5:$G$110&lt;&gt;"moeda")*(Inputs!$G$5:$G$110&lt;&gt;"acoes")))*INDEX(Inputs!$K$5:$AJ$110,0,MATCH(J$2,Inputs!$K$4:$AJ$4,0)))))</f>
        <v>2452</v>
      </c>
      <c r="K36" s="267">
        <f>IF(ISNA(MATCH(K$2,Inputs!$K$4:$AJ$4,0)),NA(),IF(SUMPRODUCT((Inputs!$A$5:$A$110=$B36)*ISNUMBER(INDEX(Inputs!$K$5:$AJ$110,0,MATCH(K$2,Inputs!$K$4:$AJ$4,0))))+SUMPRODUCT((Inputs!$C$5:$C$110=$B36)*ISNUMBER(INDEX(Inputs!$K$5:$AJ$110,0,MATCH(K$2,Inputs!$K$4:$AJ$4,0))))+SUMPRODUCT((Inputs!$E$5:$E$110=$B36)*ISNUMBER(INDEX(Inputs!$K$5:$AJ$110,0,MATCH(K$2,Inputs!$K$4:$AJ$4,0))))=0,NA(),SUMPRODUCT((Inputs!$A$5:$A$110=$B36)*Inputs!$B$5:$B$110*(((Inputs!$G$5:$G$110="moeda")+(Inputs!$G$5:$G$110="acoes"))*Inputs!$B$1+((Inputs!$G$5:$G$110&lt;&gt;"moeda")*(Inputs!$G$5:$G$110&lt;&gt;"acoes")))*INDEX(Inputs!$K$5:$AJ$110,0,MATCH(K$2,Inputs!$K$4:$AJ$4,0)))+SUMPRODUCT((Inputs!$C$5:$C$110=$B36)*Inputs!$D$5:$D$110*(((Inputs!$G$5:$G$110="moeda")+(Inputs!$G$5:$G$110="acoes"))*Inputs!$B$1+((Inputs!$G$5:$G$110&lt;&gt;"moeda")*(Inputs!$G$5:$G$110&lt;&gt;"acoes")))*INDEX(Inputs!$K$5:$AJ$110,0,MATCH(K$2,Inputs!$K$4:$AJ$4,0)))+SUMPRODUCT((Inputs!$E$5:$E$110=$B36)*Inputs!$F$5:$F$110*(((Inputs!$G$5:$G$110="moeda")+(Inputs!$G$5:$G$110="acoes"))*Inputs!$B$1+((Inputs!$G$5:$G$110&lt;&gt;"moeda")*(Inputs!$G$5:$G$110&lt;&gt;"acoes")))*INDEX(Inputs!$K$5:$AJ$110,0,MATCH(K$2,Inputs!$K$4:$AJ$4,0)))))</f>
        <v>2482</v>
      </c>
      <c r="L36" s="267">
        <f>IF(ISNA(MATCH(L$2,Inputs!$K$4:$AJ$4,0)),NA(),IF(SUMPRODUCT((Inputs!$A$5:$A$110=$B36)*ISNUMBER(INDEX(Inputs!$K$5:$AJ$110,0,MATCH(L$2,Inputs!$K$4:$AJ$4,0))))+SUMPRODUCT((Inputs!$C$5:$C$110=$B36)*ISNUMBER(INDEX(Inputs!$K$5:$AJ$110,0,MATCH(L$2,Inputs!$K$4:$AJ$4,0))))+SUMPRODUCT((Inputs!$E$5:$E$110=$B36)*ISNUMBER(INDEX(Inputs!$K$5:$AJ$110,0,MATCH(L$2,Inputs!$K$4:$AJ$4,0))))=0,NA(),SUMPRODUCT((Inputs!$A$5:$A$110=$B36)*Inputs!$B$5:$B$110*(((Inputs!$G$5:$G$110="moeda")+(Inputs!$G$5:$G$110="acoes"))*Inputs!$B$1+((Inputs!$G$5:$G$110&lt;&gt;"moeda")*(Inputs!$G$5:$G$110&lt;&gt;"acoes")))*INDEX(Inputs!$K$5:$AJ$110,0,MATCH(L$2,Inputs!$K$4:$AJ$4,0)))+SUMPRODUCT((Inputs!$C$5:$C$110=$B36)*Inputs!$D$5:$D$110*(((Inputs!$G$5:$G$110="moeda")+(Inputs!$G$5:$G$110="acoes"))*Inputs!$B$1+((Inputs!$G$5:$G$110&lt;&gt;"moeda")*(Inputs!$G$5:$G$110&lt;&gt;"acoes")))*INDEX(Inputs!$K$5:$AJ$110,0,MATCH(L$2,Inputs!$K$4:$AJ$4,0)))+SUMPRODUCT((Inputs!$E$5:$E$110=$B36)*Inputs!$F$5:$F$110*(((Inputs!$G$5:$G$110="moeda")+(Inputs!$G$5:$G$110="acoes"))*Inputs!$B$1+((Inputs!$G$5:$G$110&lt;&gt;"moeda")*(Inputs!$G$5:$G$110&lt;&gt;"acoes")))*INDEX(Inputs!$K$5:$AJ$110,0,MATCH(L$2,Inputs!$K$4:$AJ$4,0)))))</f>
        <v>2503</v>
      </c>
      <c r="M36" s="268">
        <f>L36</f>
        <v>2503</v>
      </c>
      <c r="N36" s="267">
        <f>IF(ISNA(MATCH(N$2,Inputs!$K$4:$AJ$4,0)),NA(),IF(SUMPRODUCT((Inputs!$A$5:$A$110=$B36)*ISNUMBER(INDEX(Inputs!$K$5:$AJ$110,0,MATCH(N$2,Inputs!$K$4:$AJ$4,0))))+SUMPRODUCT((Inputs!$C$5:$C$110=$B36)*ISNUMBER(INDEX(Inputs!$K$5:$AJ$110,0,MATCH(N$2,Inputs!$K$4:$AJ$4,0))))+SUMPRODUCT((Inputs!$E$5:$E$110=$B36)*ISNUMBER(INDEX(Inputs!$K$5:$AJ$110,0,MATCH(N$2,Inputs!$K$4:$AJ$4,0))))=0,NA(),SUMPRODUCT((Inputs!$A$5:$A$110=$B36)*Inputs!$B$5:$B$110*(((Inputs!$G$5:$G$110="moeda")+(Inputs!$G$5:$G$110="acoes"))*Inputs!$B$1+((Inputs!$G$5:$G$110&lt;&gt;"moeda")*(Inputs!$G$5:$G$110&lt;&gt;"acoes")))*INDEX(Inputs!$K$5:$AJ$110,0,MATCH(N$2,Inputs!$K$4:$AJ$4,0)))+SUMPRODUCT((Inputs!$C$5:$C$110=$B36)*Inputs!$D$5:$D$110*(((Inputs!$G$5:$G$110="moeda")+(Inputs!$G$5:$G$110="acoes"))*Inputs!$B$1+((Inputs!$G$5:$G$110&lt;&gt;"moeda")*(Inputs!$G$5:$G$110&lt;&gt;"acoes")))*INDEX(Inputs!$K$5:$AJ$110,0,MATCH(N$2,Inputs!$K$4:$AJ$4,0)))+SUMPRODUCT((Inputs!$E$5:$E$110=$B36)*Inputs!$F$5:$F$110*(((Inputs!$G$5:$G$110="moeda")+(Inputs!$G$5:$G$110="acoes"))*Inputs!$B$1+((Inputs!$G$5:$G$110&lt;&gt;"moeda")*(Inputs!$G$5:$G$110&lt;&gt;"acoes")))*INDEX(Inputs!$K$5:$AJ$110,0,MATCH(N$2,Inputs!$K$4:$AJ$4,0)))))</f>
        <v>2557</v>
      </c>
      <c r="O36" s="267">
        <f>IF(ISNA(MATCH(O$2,Inputs!$K$4:$AJ$4,0)),NA(),IF(SUMPRODUCT((Inputs!$A$5:$A$110=$B36)*ISNUMBER(INDEX(Inputs!$K$5:$AJ$110,0,MATCH(O$2,Inputs!$K$4:$AJ$4,0))))+SUMPRODUCT((Inputs!$C$5:$C$110=$B36)*ISNUMBER(INDEX(Inputs!$K$5:$AJ$110,0,MATCH(O$2,Inputs!$K$4:$AJ$4,0))))+SUMPRODUCT((Inputs!$E$5:$E$110=$B36)*ISNUMBER(INDEX(Inputs!$K$5:$AJ$110,0,MATCH(O$2,Inputs!$K$4:$AJ$4,0))))=0,NA(),SUMPRODUCT((Inputs!$A$5:$A$110=$B36)*Inputs!$B$5:$B$110*(((Inputs!$G$5:$G$110="moeda")+(Inputs!$G$5:$G$110="acoes"))*Inputs!$B$1+((Inputs!$G$5:$G$110&lt;&gt;"moeda")*(Inputs!$G$5:$G$110&lt;&gt;"acoes")))*INDEX(Inputs!$K$5:$AJ$110,0,MATCH(O$2,Inputs!$K$4:$AJ$4,0)))+SUMPRODUCT((Inputs!$C$5:$C$110=$B36)*Inputs!$D$5:$D$110*(((Inputs!$G$5:$G$110="moeda")+(Inputs!$G$5:$G$110="acoes"))*Inputs!$B$1+((Inputs!$G$5:$G$110&lt;&gt;"moeda")*(Inputs!$G$5:$G$110&lt;&gt;"acoes")))*INDEX(Inputs!$K$5:$AJ$110,0,MATCH(O$2,Inputs!$K$4:$AJ$4,0)))+SUMPRODUCT((Inputs!$E$5:$E$110=$B36)*Inputs!$F$5:$F$110*(((Inputs!$G$5:$G$110="moeda")+(Inputs!$G$5:$G$110="acoes"))*Inputs!$B$1+((Inputs!$G$5:$G$110&lt;&gt;"moeda")*(Inputs!$G$5:$G$110&lt;&gt;"acoes")))*INDEX(Inputs!$K$5:$AJ$110,0,MATCH(O$2,Inputs!$K$4:$AJ$4,0)))))</f>
        <v>2507</v>
      </c>
      <c r="P36" s="267">
        <f>IF(ISNA(MATCH(P$2,Inputs!$K$4:$AJ$4,0)),NA(),IF(SUMPRODUCT((Inputs!$A$5:$A$110=$B36)*ISNUMBER(INDEX(Inputs!$K$5:$AJ$110,0,MATCH(P$2,Inputs!$K$4:$AJ$4,0))))+SUMPRODUCT((Inputs!$C$5:$C$110=$B36)*ISNUMBER(INDEX(Inputs!$K$5:$AJ$110,0,MATCH(P$2,Inputs!$K$4:$AJ$4,0))))+SUMPRODUCT((Inputs!$E$5:$E$110=$B36)*ISNUMBER(INDEX(Inputs!$K$5:$AJ$110,0,MATCH(P$2,Inputs!$K$4:$AJ$4,0))))=0,NA(),SUMPRODUCT((Inputs!$A$5:$A$110=$B36)*Inputs!$B$5:$B$110*(((Inputs!$G$5:$G$110="moeda")+(Inputs!$G$5:$G$110="acoes"))*Inputs!$B$1+((Inputs!$G$5:$G$110&lt;&gt;"moeda")*(Inputs!$G$5:$G$110&lt;&gt;"acoes")))*INDEX(Inputs!$K$5:$AJ$110,0,MATCH(P$2,Inputs!$K$4:$AJ$4,0)))+SUMPRODUCT((Inputs!$C$5:$C$110=$B36)*Inputs!$D$5:$D$110*(((Inputs!$G$5:$G$110="moeda")+(Inputs!$G$5:$G$110="acoes"))*Inputs!$B$1+((Inputs!$G$5:$G$110&lt;&gt;"moeda")*(Inputs!$G$5:$G$110&lt;&gt;"acoes")))*INDEX(Inputs!$K$5:$AJ$110,0,MATCH(P$2,Inputs!$K$4:$AJ$4,0)))+SUMPRODUCT((Inputs!$E$5:$E$110=$B36)*Inputs!$F$5:$F$110*(((Inputs!$G$5:$G$110="moeda")+(Inputs!$G$5:$G$110="acoes"))*Inputs!$B$1+((Inputs!$G$5:$G$110&lt;&gt;"moeda")*(Inputs!$G$5:$G$110&lt;&gt;"acoes")))*INDEX(Inputs!$K$5:$AJ$110,0,MATCH(P$2,Inputs!$K$4:$AJ$4,0)))))</f>
        <v>2426</v>
      </c>
      <c r="Q36" s="267">
        <f>IF(ISNA(MATCH(Q$2,Inputs!$K$4:$AJ$4,0)),NA(),IF(SUMPRODUCT((Inputs!$A$5:$A$110=$B36)*ISNUMBER(INDEX(Inputs!$K$5:$AJ$110,0,MATCH(Q$2,Inputs!$K$4:$AJ$4,0))))+SUMPRODUCT((Inputs!$C$5:$C$110=$B36)*ISNUMBER(INDEX(Inputs!$K$5:$AJ$110,0,MATCH(Q$2,Inputs!$K$4:$AJ$4,0))))+SUMPRODUCT((Inputs!$E$5:$E$110=$B36)*ISNUMBER(INDEX(Inputs!$K$5:$AJ$110,0,MATCH(Q$2,Inputs!$K$4:$AJ$4,0))))=0,NA(),SUMPRODUCT((Inputs!$A$5:$A$110=$B36)*Inputs!$B$5:$B$110*(((Inputs!$G$5:$G$110="moeda")+(Inputs!$G$5:$G$110="acoes"))*Inputs!$B$1+((Inputs!$G$5:$G$110&lt;&gt;"moeda")*(Inputs!$G$5:$G$110&lt;&gt;"acoes")))*INDEX(Inputs!$K$5:$AJ$110,0,MATCH(Q$2,Inputs!$K$4:$AJ$4,0)))+SUMPRODUCT((Inputs!$C$5:$C$110=$B36)*Inputs!$D$5:$D$110*(((Inputs!$G$5:$G$110="moeda")+(Inputs!$G$5:$G$110="acoes"))*Inputs!$B$1+((Inputs!$G$5:$G$110&lt;&gt;"moeda")*(Inputs!$G$5:$G$110&lt;&gt;"acoes")))*INDEX(Inputs!$K$5:$AJ$110,0,MATCH(Q$2,Inputs!$K$4:$AJ$4,0)))+SUMPRODUCT((Inputs!$E$5:$E$110=$B36)*Inputs!$F$5:$F$110*(((Inputs!$G$5:$G$110="moeda")+(Inputs!$G$5:$G$110="acoes"))*Inputs!$B$1+((Inputs!$G$5:$G$110&lt;&gt;"moeda")*(Inputs!$G$5:$G$110&lt;&gt;"acoes")))*INDEX(Inputs!$K$5:$AJ$110,0,MATCH(Q$2,Inputs!$K$4:$AJ$4,0)))))</f>
        <v>2401</v>
      </c>
      <c r="R36" s="268">
        <f>Q36</f>
        <v>2401</v>
      </c>
      <c r="S36" s="267">
        <f>IF(ISNA(MATCH(S$2,Inputs!$K$4:$AJ$4,0)),NA(),IF(SUMPRODUCT((Inputs!$A$5:$A$110=$B36)*ISNUMBER(INDEX(Inputs!$K$5:$AJ$110,0,MATCH(S$2,Inputs!$K$4:$AJ$4,0))))+SUMPRODUCT((Inputs!$C$5:$C$110=$B36)*ISNUMBER(INDEX(Inputs!$K$5:$AJ$110,0,MATCH(S$2,Inputs!$K$4:$AJ$4,0))))+SUMPRODUCT((Inputs!$E$5:$E$110=$B36)*ISNUMBER(INDEX(Inputs!$K$5:$AJ$110,0,MATCH(S$2,Inputs!$K$4:$AJ$4,0))))=0,NA(),SUMPRODUCT((Inputs!$A$5:$A$110=$B36)*Inputs!$B$5:$B$110*(((Inputs!$G$5:$G$110="moeda")+(Inputs!$G$5:$G$110="acoes"))*Inputs!$B$1+((Inputs!$G$5:$G$110&lt;&gt;"moeda")*(Inputs!$G$5:$G$110&lt;&gt;"acoes")))*INDEX(Inputs!$K$5:$AJ$110,0,MATCH(S$2,Inputs!$K$4:$AJ$4,0)))+SUMPRODUCT((Inputs!$C$5:$C$110=$B36)*Inputs!$D$5:$D$110*(((Inputs!$G$5:$G$110="moeda")+(Inputs!$G$5:$G$110="acoes"))*Inputs!$B$1+((Inputs!$G$5:$G$110&lt;&gt;"moeda")*(Inputs!$G$5:$G$110&lt;&gt;"acoes")))*INDEX(Inputs!$K$5:$AJ$110,0,MATCH(S$2,Inputs!$K$4:$AJ$4,0)))+SUMPRODUCT((Inputs!$E$5:$E$110=$B36)*Inputs!$F$5:$F$110*(((Inputs!$G$5:$G$110="moeda")+(Inputs!$G$5:$G$110="acoes"))*Inputs!$B$1+((Inputs!$G$5:$G$110&lt;&gt;"moeda")*(Inputs!$G$5:$G$110&lt;&gt;"acoes")))*INDEX(Inputs!$K$5:$AJ$110,0,MATCH(S$2,Inputs!$K$4:$AJ$4,0)))))</f>
        <v>2488</v>
      </c>
      <c r="T36" s="267">
        <f>IF(ISNA(MATCH(T$2,Inputs!$K$4:$AJ$4,0)),NA(),IF(SUMPRODUCT((Inputs!$A$5:$A$110=$B36)*ISNUMBER(INDEX(Inputs!$K$5:$AJ$110,0,MATCH(T$2,Inputs!$K$4:$AJ$4,0))))+SUMPRODUCT((Inputs!$C$5:$C$110=$B36)*ISNUMBER(INDEX(Inputs!$K$5:$AJ$110,0,MATCH(T$2,Inputs!$K$4:$AJ$4,0))))+SUMPRODUCT((Inputs!$E$5:$E$110=$B36)*ISNUMBER(INDEX(Inputs!$K$5:$AJ$110,0,MATCH(T$2,Inputs!$K$4:$AJ$4,0))))=0,NA(),SUMPRODUCT((Inputs!$A$5:$A$110=$B36)*Inputs!$B$5:$B$110*(((Inputs!$G$5:$G$110="moeda")+(Inputs!$G$5:$G$110="acoes"))*Inputs!$B$1+((Inputs!$G$5:$G$110&lt;&gt;"moeda")*(Inputs!$G$5:$G$110&lt;&gt;"acoes")))*INDEX(Inputs!$K$5:$AJ$110,0,MATCH(T$2,Inputs!$K$4:$AJ$4,0)))+SUMPRODUCT((Inputs!$C$5:$C$110=$B36)*Inputs!$D$5:$D$110*(((Inputs!$G$5:$G$110="moeda")+(Inputs!$G$5:$G$110="acoes"))*Inputs!$B$1+((Inputs!$G$5:$G$110&lt;&gt;"moeda")*(Inputs!$G$5:$G$110&lt;&gt;"acoes")))*INDEX(Inputs!$K$5:$AJ$110,0,MATCH(T$2,Inputs!$K$4:$AJ$4,0)))+SUMPRODUCT((Inputs!$E$5:$E$110=$B36)*Inputs!$F$5:$F$110*(((Inputs!$G$5:$G$110="moeda")+(Inputs!$G$5:$G$110="acoes"))*Inputs!$B$1+((Inputs!$G$5:$G$110&lt;&gt;"moeda")*(Inputs!$G$5:$G$110&lt;&gt;"acoes")))*INDEX(Inputs!$K$5:$AJ$110,0,MATCH(T$2,Inputs!$K$4:$AJ$4,0)))))</f>
        <v>2386</v>
      </c>
      <c r="U36" s="267">
        <f>IF(ISNA(MATCH(U$2,Inputs!$K$4:$AJ$4,0)),NA(),IF(SUMPRODUCT((Inputs!$A$5:$A$110=$B36)*ISNUMBER(INDEX(Inputs!$K$5:$AJ$110,0,MATCH(U$2,Inputs!$K$4:$AJ$4,0))))+SUMPRODUCT((Inputs!$C$5:$C$110=$B36)*ISNUMBER(INDEX(Inputs!$K$5:$AJ$110,0,MATCH(U$2,Inputs!$K$4:$AJ$4,0))))+SUMPRODUCT((Inputs!$E$5:$E$110=$B36)*ISNUMBER(INDEX(Inputs!$K$5:$AJ$110,0,MATCH(U$2,Inputs!$K$4:$AJ$4,0))))=0,NA(),SUMPRODUCT((Inputs!$A$5:$A$110=$B36)*Inputs!$B$5:$B$110*(((Inputs!$G$5:$G$110="moeda")+(Inputs!$G$5:$G$110="acoes"))*Inputs!$B$1+((Inputs!$G$5:$G$110&lt;&gt;"moeda")*(Inputs!$G$5:$G$110&lt;&gt;"acoes")))*INDEX(Inputs!$K$5:$AJ$110,0,MATCH(U$2,Inputs!$K$4:$AJ$4,0)))+SUMPRODUCT((Inputs!$C$5:$C$110=$B36)*Inputs!$D$5:$D$110*(((Inputs!$G$5:$G$110="moeda")+(Inputs!$G$5:$G$110="acoes"))*Inputs!$B$1+((Inputs!$G$5:$G$110&lt;&gt;"moeda")*(Inputs!$G$5:$G$110&lt;&gt;"acoes")))*INDEX(Inputs!$K$5:$AJ$110,0,MATCH(U$2,Inputs!$K$4:$AJ$4,0)))+SUMPRODUCT((Inputs!$E$5:$E$110=$B36)*Inputs!$F$5:$F$110*(((Inputs!$G$5:$G$110="moeda")+(Inputs!$G$5:$G$110="acoes"))*Inputs!$B$1+((Inputs!$G$5:$G$110&lt;&gt;"moeda")*(Inputs!$G$5:$G$110&lt;&gt;"acoes")))*INDEX(Inputs!$K$5:$AJ$110,0,MATCH(U$2,Inputs!$K$4:$AJ$4,0)))))</f>
        <v>2375</v>
      </c>
      <c r="V36" s="267">
        <f>IF(ISNA(MATCH(V$2,Inputs!$K$4:$AJ$4,0)),NA(),IF(SUMPRODUCT((Inputs!$A$5:$A$110=$B36)*ISNUMBER(INDEX(Inputs!$K$5:$AJ$110,0,MATCH(V$2,Inputs!$K$4:$AJ$4,0))))+SUMPRODUCT((Inputs!$C$5:$C$110=$B36)*ISNUMBER(INDEX(Inputs!$K$5:$AJ$110,0,MATCH(V$2,Inputs!$K$4:$AJ$4,0))))+SUMPRODUCT((Inputs!$E$5:$E$110=$B36)*ISNUMBER(INDEX(Inputs!$K$5:$AJ$110,0,MATCH(V$2,Inputs!$K$4:$AJ$4,0))))=0,NA(),SUMPRODUCT((Inputs!$A$5:$A$110=$B36)*Inputs!$B$5:$B$110*(((Inputs!$G$5:$G$110="moeda")+(Inputs!$G$5:$G$110="acoes"))*Inputs!$B$1+((Inputs!$G$5:$G$110&lt;&gt;"moeda")*(Inputs!$G$5:$G$110&lt;&gt;"acoes")))*INDEX(Inputs!$K$5:$AJ$110,0,MATCH(V$2,Inputs!$K$4:$AJ$4,0)))+SUMPRODUCT((Inputs!$C$5:$C$110=$B36)*Inputs!$D$5:$D$110*(((Inputs!$G$5:$G$110="moeda")+(Inputs!$G$5:$G$110="acoes"))*Inputs!$B$1+((Inputs!$G$5:$G$110&lt;&gt;"moeda")*(Inputs!$G$5:$G$110&lt;&gt;"acoes")))*INDEX(Inputs!$K$5:$AJ$110,0,MATCH(V$2,Inputs!$K$4:$AJ$4,0)))+SUMPRODUCT((Inputs!$E$5:$E$110=$B36)*Inputs!$F$5:$F$110*(((Inputs!$G$5:$G$110="moeda")+(Inputs!$G$5:$G$110="acoes"))*Inputs!$B$1+((Inputs!$G$5:$G$110&lt;&gt;"moeda")*(Inputs!$G$5:$G$110&lt;&gt;"acoes")))*INDEX(Inputs!$K$5:$AJ$110,0,MATCH(V$2,Inputs!$K$4:$AJ$4,0)))))</f>
        <v>2288</v>
      </c>
      <c r="W36" s="268">
        <f>V36</f>
        <v>2288</v>
      </c>
      <c r="X36" s="267">
        <f>IF(ISNA(MATCH(X$2,Inputs!$K$4:$AJ$4,0)),NA(),IF(SUMPRODUCT((Inputs!$A$5:$A$110=$B36)*ISNUMBER(INDEX(Inputs!$K$5:$AJ$110,0,MATCH(X$2,Inputs!$K$4:$AJ$4,0))))+SUMPRODUCT((Inputs!$C$5:$C$110=$B36)*ISNUMBER(INDEX(Inputs!$K$5:$AJ$110,0,MATCH(X$2,Inputs!$K$4:$AJ$4,0))))+SUMPRODUCT((Inputs!$E$5:$E$110=$B36)*ISNUMBER(INDEX(Inputs!$K$5:$AJ$110,0,MATCH(X$2,Inputs!$K$4:$AJ$4,0))))=0,NA(),SUMPRODUCT((Inputs!$A$5:$A$110=$B36)*Inputs!$B$5:$B$110*(((Inputs!$G$5:$G$110="moeda")+(Inputs!$G$5:$G$110="acoes"))*Inputs!$B$1+((Inputs!$G$5:$G$110&lt;&gt;"moeda")*(Inputs!$G$5:$G$110&lt;&gt;"acoes")))*INDEX(Inputs!$K$5:$AJ$110,0,MATCH(X$2,Inputs!$K$4:$AJ$4,0)))+SUMPRODUCT((Inputs!$C$5:$C$110=$B36)*Inputs!$D$5:$D$110*(((Inputs!$G$5:$G$110="moeda")+(Inputs!$G$5:$G$110="acoes"))*Inputs!$B$1+((Inputs!$G$5:$G$110&lt;&gt;"moeda")*(Inputs!$G$5:$G$110&lt;&gt;"acoes")))*INDEX(Inputs!$K$5:$AJ$110,0,MATCH(X$2,Inputs!$K$4:$AJ$4,0)))+SUMPRODUCT((Inputs!$E$5:$E$110=$B36)*Inputs!$F$5:$F$110*(((Inputs!$G$5:$G$110="moeda")+(Inputs!$G$5:$G$110="acoes"))*Inputs!$B$1+((Inputs!$G$5:$G$110&lt;&gt;"moeda")*(Inputs!$G$5:$G$110&lt;&gt;"acoes")))*INDEX(Inputs!$K$5:$AJ$110,0,MATCH(X$2,Inputs!$K$4:$AJ$4,0)))))</f>
        <v>2284</v>
      </c>
      <c r="Y36" s="267">
        <f>IF(ISNA(MATCH(Y$2,Inputs!$K$4:$AJ$4,0)),NA(),IF(SUMPRODUCT((Inputs!$A$5:$A$110=$B36)*ISNUMBER(INDEX(Inputs!$K$5:$AJ$110,0,MATCH(Y$2,Inputs!$K$4:$AJ$4,0))))+SUMPRODUCT((Inputs!$C$5:$C$110=$B36)*ISNUMBER(INDEX(Inputs!$K$5:$AJ$110,0,MATCH(Y$2,Inputs!$K$4:$AJ$4,0))))+SUMPRODUCT((Inputs!$E$5:$E$110=$B36)*ISNUMBER(INDEX(Inputs!$K$5:$AJ$110,0,MATCH(Y$2,Inputs!$K$4:$AJ$4,0))))=0,NA(),SUMPRODUCT((Inputs!$A$5:$A$110=$B36)*Inputs!$B$5:$B$110*(((Inputs!$G$5:$G$110="moeda")+(Inputs!$G$5:$G$110="acoes"))*Inputs!$B$1+((Inputs!$G$5:$G$110&lt;&gt;"moeda")*(Inputs!$G$5:$G$110&lt;&gt;"acoes")))*INDEX(Inputs!$K$5:$AJ$110,0,MATCH(Y$2,Inputs!$K$4:$AJ$4,0)))+SUMPRODUCT((Inputs!$C$5:$C$110=$B36)*Inputs!$D$5:$D$110*(((Inputs!$G$5:$G$110="moeda")+(Inputs!$G$5:$G$110="acoes"))*Inputs!$B$1+((Inputs!$G$5:$G$110&lt;&gt;"moeda")*(Inputs!$G$5:$G$110&lt;&gt;"acoes")))*INDEX(Inputs!$K$5:$AJ$110,0,MATCH(Y$2,Inputs!$K$4:$AJ$4,0)))+SUMPRODUCT((Inputs!$E$5:$E$110=$B36)*Inputs!$F$5:$F$110*(((Inputs!$G$5:$G$110="moeda")+(Inputs!$G$5:$G$110="acoes"))*Inputs!$B$1+((Inputs!$G$5:$G$110&lt;&gt;"moeda")*(Inputs!$G$5:$G$110&lt;&gt;"acoes")))*INDEX(Inputs!$K$5:$AJ$110,0,MATCH(Y$2,Inputs!$K$4:$AJ$4,0)))))</f>
        <v>2463</v>
      </c>
      <c r="Z36" s="267">
        <f>IF(ISNA(MATCH(Z$2,Inputs!$K$4:$AJ$4,0)),NA(),IF(SUMPRODUCT((Inputs!$A$5:$A$110=$B36)*ISNUMBER(INDEX(Inputs!$K$5:$AJ$110,0,MATCH(Z$2,Inputs!$K$4:$AJ$4,0))))+SUMPRODUCT((Inputs!$C$5:$C$110=$B36)*ISNUMBER(INDEX(Inputs!$K$5:$AJ$110,0,MATCH(Z$2,Inputs!$K$4:$AJ$4,0))))+SUMPRODUCT((Inputs!$E$5:$E$110=$B36)*ISNUMBER(INDEX(Inputs!$K$5:$AJ$110,0,MATCH(Z$2,Inputs!$K$4:$AJ$4,0))))=0,NA(),SUMPRODUCT((Inputs!$A$5:$A$110=$B36)*Inputs!$B$5:$B$110*(((Inputs!$G$5:$G$110="moeda")+(Inputs!$G$5:$G$110="acoes"))*Inputs!$B$1+((Inputs!$G$5:$G$110&lt;&gt;"moeda")*(Inputs!$G$5:$G$110&lt;&gt;"acoes")))*INDEX(Inputs!$K$5:$AJ$110,0,MATCH(Z$2,Inputs!$K$4:$AJ$4,0)))+SUMPRODUCT((Inputs!$C$5:$C$110=$B36)*Inputs!$D$5:$D$110*(((Inputs!$G$5:$G$110="moeda")+(Inputs!$G$5:$G$110="acoes"))*Inputs!$B$1+((Inputs!$G$5:$G$110&lt;&gt;"moeda")*(Inputs!$G$5:$G$110&lt;&gt;"acoes")))*INDEX(Inputs!$K$5:$AJ$110,0,MATCH(Z$2,Inputs!$K$4:$AJ$4,0)))+SUMPRODUCT((Inputs!$E$5:$E$110=$B36)*Inputs!$F$5:$F$110*(((Inputs!$G$5:$G$110="moeda")+(Inputs!$G$5:$G$110="acoes"))*Inputs!$B$1+((Inputs!$G$5:$G$110&lt;&gt;"moeda")*(Inputs!$G$5:$G$110&lt;&gt;"acoes")))*INDEX(Inputs!$K$5:$AJ$110,0,MATCH(Z$2,Inputs!$K$4:$AJ$4,0)))))</f>
        <v>2460</v>
      </c>
      <c r="AA36" s="267">
        <f>IF(ISNA(MATCH(AA$2,Inputs!$K$4:$AJ$4,0)),NA(),IF(SUMPRODUCT((Inputs!$A$5:$A$110=$B36)*ISNUMBER(INDEX(Inputs!$K$5:$AJ$110,0,MATCH(AA$2,Inputs!$K$4:$AJ$4,0))))+SUMPRODUCT((Inputs!$C$5:$C$110=$B36)*ISNUMBER(INDEX(Inputs!$K$5:$AJ$110,0,MATCH(AA$2,Inputs!$K$4:$AJ$4,0))))+SUMPRODUCT((Inputs!$E$5:$E$110=$B36)*ISNUMBER(INDEX(Inputs!$K$5:$AJ$110,0,MATCH(AA$2,Inputs!$K$4:$AJ$4,0))))=0,NA(),SUMPRODUCT((Inputs!$A$5:$A$110=$B36)*Inputs!$B$5:$B$110*(((Inputs!$G$5:$G$110="moeda")+(Inputs!$G$5:$G$110="acoes"))*Inputs!$B$1+((Inputs!$G$5:$G$110&lt;&gt;"moeda")*(Inputs!$G$5:$G$110&lt;&gt;"acoes")))*INDEX(Inputs!$K$5:$AJ$110,0,MATCH(AA$2,Inputs!$K$4:$AJ$4,0)))+SUMPRODUCT((Inputs!$C$5:$C$110=$B36)*Inputs!$D$5:$D$110*(((Inputs!$G$5:$G$110="moeda")+(Inputs!$G$5:$G$110="acoes"))*Inputs!$B$1+((Inputs!$G$5:$G$110&lt;&gt;"moeda")*(Inputs!$G$5:$G$110&lt;&gt;"acoes")))*INDEX(Inputs!$K$5:$AJ$110,0,MATCH(AA$2,Inputs!$K$4:$AJ$4,0)))+SUMPRODUCT((Inputs!$E$5:$E$110=$B36)*Inputs!$F$5:$F$110*(((Inputs!$G$5:$G$110="moeda")+(Inputs!$G$5:$G$110="acoes"))*Inputs!$B$1+((Inputs!$G$5:$G$110&lt;&gt;"moeda")*(Inputs!$G$5:$G$110&lt;&gt;"acoes")))*INDEX(Inputs!$K$5:$AJ$110,0,MATCH(AA$2,Inputs!$K$4:$AJ$4,0)))))</f>
        <v>2436</v>
      </c>
      <c r="AB36" s="268">
        <f>AA36</f>
        <v>2436</v>
      </c>
      <c r="AC36" s="267">
        <f>IF(ISNA(MATCH(AC$2,Inputs!$K$4:$AJ$4,0)),NA(),IF(SUMPRODUCT((Inputs!$A$5:$A$110=$B36)*ISNUMBER(INDEX(Inputs!$K$5:$AJ$110,0,MATCH(AC$2,Inputs!$K$4:$AJ$4,0))))+SUMPRODUCT((Inputs!$C$5:$C$110=$B36)*ISNUMBER(INDEX(Inputs!$K$5:$AJ$110,0,MATCH(AC$2,Inputs!$K$4:$AJ$4,0))))+SUMPRODUCT((Inputs!$E$5:$E$110=$B36)*ISNUMBER(INDEX(Inputs!$K$5:$AJ$110,0,MATCH(AC$2,Inputs!$K$4:$AJ$4,0))))=0,NA(),SUMPRODUCT((Inputs!$A$5:$A$110=$B36)*Inputs!$B$5:$B$110*(((Inputs!$G$5:$G$110="moeda")+(Inputs!$G$5:$G$110="acoes"))*Inputs!$B$1+((Inputs!$G$5:$G$110&lt;&gt;"moeda")*(Inputs!$G$5:$G$110&lt;&gt;"acoes")))*INDEX(Inputs!$K$5:$AJ$110,0,MATCH(AC$2,Inputs!$K$4:$AJ$4,0)))+SUMPRODUCT((Inputs!$C$5:$C$110=$B36)*Inputs!$D$5:$D$110*(((Inputs!$G$5:$G$110="moeda")+(Inputs!$G$5:$G$110="acoes"))*Inputs!$B$1+((Inputs!$G$5:$G$110&lt;&gt;"moeda")*(Inputs!$G$5:$G$110&lt;&gt;"acoes")))*INDEX(Inputs!$K$5:$AJ$110,0,MATCH(AC$2,Inputs!$K$4:$AJ$4,0)))+SUMPRODUCT((Inputs!$E$5:$E$110=$B36)*Inputs!$F$5:$F$110*(((Inputs!$G$5:$G$110="moeda")+(Inputs!$G$5:$G$110="acoes"))*Inputs!$B$1+((Inputs!$G$5:$G$110&lt;&gt;"moeda")*(Inputs!$G$5:$G$110&lt;&gt;"acoes")))*INDEX(Inputs!$K$5:$AJ$110,0,MATCH(AC$2,Inputs!$K$4:$AJ$4,0)))))</f>
        <v>2477</v>
      </c>
      <c r="AD36" s="267">
        <f>IF(ISNA(MATCH(AD$2,Inputs!$K$4:$AJ$4,0)),NA(),IF(SUMPRODUCT((Inputs!$A$5:$A$110=$B36)*ISNUMBER(INDEX(Inputs!$K$5:$AJ$110,0,MATCH(AD$2,Inputs!$K$4:$AJ$4,0))))+SUMPRODUCT((Inputs!$C$5:$C$110=$B36)*ISNUMBER(INDEX(Inputs!$K$5:$AJ$110,0,MATCH(AD$2,Inputs!$K$4:$AJ$4,0))))+SUMPRODUCT((Inputs!$E$5:$E$110=$B36)*ISNUMBER(INDEX(Inputs!$K$5:$AJ$110,0,MATCH(AD$2,Inputs!$K$4:$AJ$4,0))))=0,NA(),SUMPRODUCT((Inputs!$A$5:$A$110=$B36)*Inputs!$B$5:$B$110*(((Inputs!$G$5:$G$110="moeda")+(Inputs!$G$5:$G$110="acoes"))*Inputs!$B$1+((Inputs!$G$5:$G$110&lt;&gt;"moeda")*(Inputs!$G$5:$G$110&lt;&gt;"acoes")))*INDEX(Inputs!$K$5:$AJ$110,0,MATCH(AD$2,Inputs!$K$4:$AJ$4,0)))+SUMPRODUCT((Inputs!$C$5:$C$110=$B36)*Inputs!$D$5:$D$110*(((Inputs!$G$5:$G$110="moeda")+(Inputs!$G$5:$G$110="acoes"))*Inputs!$B$1+((Inputs!$G$5:$G$110&lt;&gt;"moeda")*(Inputs!$G$5:$G$110&lt;&gt;"acoes")))*INDEX(Inputs!$K$5:$AJ$110,0,MATCH(AD$2,Inputs!$K$4:$AJ$4,0)))+SUMPRODUCT((Inputs!$E$5:$E$110=$B36)*Inputs!$F$5:$F$110*(((Inputs!$G$5:$G$110="moeda")+(Inputs!$G$5:$G$110="acoes"))*Inputs!$B$1+((Inputs!$G$5:$G$110&lt;&gt;"moeda")*(Inputs!$G$5:$G$110&lt;&gt;"acoes")))*INDEX(Inputs!$K$5:$AJ$110,0,MATCH(AD$2,Inputs!$K$4:$AJ$4,0)))))</f>
        <v>2466</v>
      </c>
      <c r="AE36" s="267" t="e">
        <f>IF(ISNA(MATCH(AE$2,Inputs!$K$4:$AJ$4,0)),NA(),IF(SUMPRODUCT((Inputs!$A$5:$A$110=$B36)*ISNUMBER(INDEX(Inputs!$K$5:$AJ$110,0,MATCH(AE$2,Inputs!$K$4:$AJ$4,0))))+SUMPRODUCT((Inputs!$C$5:$C$110=$B36)*ISNUMBER(INDEX(Inputs!$K$5:$AJ$110,0,MATCH(AE$2,Inputs!$K$4:$AJ$4,0))))+SUMPRODUCT((Inputs!$E$5:$E$110=$B36)*ISNUMBER(INDEX(Inputs!$K$5:$AJ$110,0,MATCH(AE$2,Inputs!$K$4:$AJ$4,0))))=0,NA(),SUMPRODUCT((Inputs!$A$5:$A$110=$B36)*Inputs!$B$5:$B$110*(((Inputs!$G$5:$G$110="moeda")+(Inputs!$G$5:$G$110="acoes"))*Inputs!$B$1+((Inputs!$G$5:$G$110&lt;&gt;"moeda")*(Inputs!$G$5:$G$110&lt;&gt;"acoes")))*INDEX(Inputs!$K$5:$AJ$110,0,MATCH(AE$2,Inputs!$K$4:$AJ$4,0)))+SUMPRODUCT((Inputs!$C$5:$C$110=$B36)*Inputs!$D$5:$D$110*(((Inputs!$G$5:$G$110="moeda")+(Inputs!$G$5:$G$110="acoes"))*Inputs!$B$1+((Inputs!$G$5:$G$110&lt;&gt;"moeda")*(Inputs!$G$5:$G$110&lt;&gt;"acoes")))*INDEX(Inputs!$K$5:$AJ$110,0,MATCH(AE$2,Inputs!$K$4:$AJ$4,0)))+SUMPRODUCT((Inputs!$E$5:$E$110=$B36)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6" s="267" t="e">
        <f>IF(ISNA(MATCH(AF$2,Inputs!$K$4:$AJ$4,0)),NA(),IF(SUMPRODUCT((Inputs!$A$5:$A$110=$B36)*ISNUMBER(INDEX(Inputs!$K$5:$AJ$110,0,MATCH(AF$2,Inputs!$K$4:$AJ$4,0))))+SUMPRODUCT((Inputs!$C$5:$C$110=$B36)*ISNUMBER(INDEX(Inputs!$K$5:$AJ$110,0,MATCH(AF$2,Inputs!$K$4:$AJ$4,0))))+SUMPRODUCT((Inputs!$E$5:$E$110=$B36)*ISNUMBER(INDEX(Inputs!$K$5:$AJ$110,0,MATCH(AF$2,Inputs!$K$4:$AJ$4,0))))=0,NA(),SUMPRODUCT((Inputs!$A$5:$A$110=$B36)*Inputs!$B$5:$B$110*(((Inputs!$G$5:$G$110="moeda")+(Inputs!$G$5:$G$110="acoes"))*Inputs!$B$1+((Inputs!$G$5:$G$110&lt;&gt;"moeda")*(Inputs!$G$5:$G$110&lt;&gt;"acoes")))*INDEX(Inputs!$K$5:$AJ$110,0,MATCH(AF$2,Inputs!$K$4:$AJ$4,0)))+SUMPRODUCT((Inputs!$C$5:$C$110=$B36)*Inputs!$D$5:$D$110*(((Inputs!$G$5:$G$110="moeda")+(Inputs!$G$5:$G$110="acoes"))*Inputs!$B$1+((Inputs!$G$5:$G$110&lt;&gt;"moeda")*(Inputs!$G$5:$G$110&lt;&gt;"acoes")))*INDEX(Inputs!$K$5:$AJ$110,0,MATCH(AF$2,Inputs!$K$4:$AJ$4,0)))+SUMPRODUCT((Inputs!$E$5:$E$110=$B36)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6" s="268" t="e">
        <f>AF36</f>
        <v>#N/A</v>
      </c>
      <c r="AH36" s="267">
        <f>IF(ISNA(MATCH(AH$2,Inputs!$K$4:$AJ$4,0)),NA(),IF(SUMPRODUCT((Inputs!$A$5:$A$110=$B36)*ISNUMBER(INDEX(Inputs!$K$5:$AJ$110,0,MATCH(AH$2,Inputs!$K$4:$AJ$4,0))))+SUMPRODUCT((Inputs!$C$5:$C$110=$B36)*ISNUMBER(INDEX(Inputs!$K$5:$AJ$110,0,MATCH(AH$2,Inputs!$K$4:$AJ$4,0))))+SUMPRODUCT((Inputs!$E$5:$E$110=$B36)*ISNUMBER(INDEX(Inputs!$K$5:$AJ$110,0,MATCH(AH$2,Inputs!$K$4:$AJ$4,0))))=0,NA(),SUMPRODUCT((Inputs!$A$5:$A$110=$B36)*Inputs!$B$5:$B$110*(((Inputs!$G$5:$G$110="moeda")+(Inputs!$G$5:$G$110="acoes"))*Inputs!$B$1+((Inputs!$G$5:$G$110&lt;&gt;"moeda")*(Inputs!$G$5:$G$110&lt;&gt;"acoes")))*INDEX(Inputs!$K$5:$AJ$110,0,MATCH(AH$2,Inputs!$K$4:$AJ$4,0)))+SUMPRODUCT((Inputs!$C$5:$C$110=$B36)*Inputs!$D$5:$D$110*(((Inputs!$G$5:$G$110="moeda")+(Inputs!$G$5:$G$110="acoes"))*Inputs!$B$1+((Inputs!$G$5:$G$110&lt;&gt;"moeda")*(Inputs!$G$5:$G$110&lt;&gt;"acoes")))*INDEX(Inputs!$K$5:$AJ$110,0,MATCH(AH$2,Inputs!$K$4:$AJ$4,0)))+SUMPRODUCT((Inputs!$E$5:$E$110=$B36)*Inputs!$F$5:$F$110*(((Inputs!$G$5:$G$110="moeda")+(Inputs!$G$5:$G$110="acoes"))*Inputs!$B$1+((Inputs!$G$5:$G$110&lt;&gt;"moeda")*(Inputs!$G$5:$G$110&lt;&gt;"acoes")))*INDEX(Inputs!$K$5:$AJ$110,0,MATCH(AH$2,Inputs!$K$4:$AJ$4,0)))))</f>
        <v>2446</v>
      </c>
      <c r="AI36" s="267">
        <f>IF(ISNA(MATCH(AI$2,Inputs!$K$4:$AJ$4,0)),NA(),IF(SUMPRODUCT((Inputs!$A$5:$A$110=$B36)*ISNUMBER(INDEX(Inputs!$K$5:$AJ$110,0,MATCH(AI$2,Inputs!$K$4:$AJ$4,0))))+SUMPRODUCT((Inputs!$C$5:$C$110=$B36)*ISNUMBER(INDEX(Inputs!$K$5:$AJ$110,0,MATCH(AI$2,Inputs!$K$4:$AJ$4,0))))+SUMPRODUCT((Inputs!$E$5:$E$110=$B36)*ISNUMBER(INDEX(Inputs!$K$5:$AJ$110,0,MATCH(AI$2,Inputs!$K$4:$AJ$4,0))))=0,NA(),SUMPRODUCT((Inputs!$A$5:$A$110=$B36)*Inputs!$B$5:$B$110*(((Inputs!$G$5:$G$110="moeda")+(Inputs!$G$5:$G$110="acoes"))*Inputs!$B$1+((Inputs!$G$5:$G$110&lt;&gt;"moeda")*(Inputs!$G$5:$G$110&lt;&gt;"acoes")))*INDEX(Inputs!$K$5:$AJ$110,0,MATCH(AI$2,Inputs!$K$4:$AJ$4,0)))+SUMPRODUCT((Inputs!$C$5:$C$110=$B36)*Inputs!$D$5:$D$110*(((Inputs!$G$5:$G$110="moeda")+(Inputs!$G$5:$G$110="acoes"))*Inputs!$B$1+((Inputs!$G$5:$G$110&lt;&gt;"moeda")*(Inputs!$G$5:$G$110&lt;&gt;"acoes")))*INDEX(Inputs!$K$5:$AJ$110,0,MATCH(AI$2,Inputs!$K$4:$AJ$4,0)))+SUMPRODUCT((Inputs!$E$5:$E$110=$B36)*Inputs!$F$5:$F$110*(((Inputs!$G$5:$G$110="moeda")+(Inputs!$G$5:$G$110="acoes"))*Inputs!$B$1+((Inputs!$G$5:$G$110&lt;&gt;"moeda")*(Inputs!$G$5:$G$110&lt;&gt;"acoes")))*INDEX(Inputs!$K$5:$AJ$110,0,MATCH(AI$2,Inputs!$K$4:$AJ$4,0)))))</f>
        <v>2535</v>
      </c>
      <c r="AJ36" s="267">
        <f>IF(ISNA(MATCH(AJ$2,Inputs!$K$4:$AJ$4,0)),NA(),IF(SUMPRODUCT((Inputs!$A$5:$A$110=$B36)*ISNUMBER(INDEX(Inputs!$K$5:$AJ$110,0,MATCH(AJ$2,Inputs!$K$4:$AJ$4,0))))+SUMPRODUCT((Inputs!$C$5:$C$110=$B36)*ISNUMBER(INDEX(Inputs!$K$5:$AJ$110,0,MATCH(AJ$2,Inputs!$K$4:$AJ$4,0))))+SUMPRODUCT((Inputs!$E$5:$E$110=$B36)*ISNUMBER(INDEX(Inputs!$K$5:$AJ$110,0,MATCH(AJ$2,Inputs!$K$4:$AJ$4,0))))=0,NA(),SUMPRODUCT((Inputs!$A$5:$A$110=$B36)*Inputs!$B$5:$B$110*(((Inputs!$G$5:$G$110="moeda")+(Inputs!$G$5:$G$110="acoes"))*Inputs!$B$1+((Inputs!$G$5:$G$110&lt;&gt;"moeda")*(Inputs!$G$5:$G$110&lt;&gt;"acoes")))*INDEX(Inputs!$K$5:$AJ$110,0,MATCH(AJ$2,Inputs!$K$4:$AJ$4,0)))+SUMPRODUCT((Inputs!$C$5:$C$110=$B36)*Inputs!$D$5:$D$110*(((Inputs!$G$5:$G$110="moeda")+(Inputs!$G$5:$G$110="acoes"))*Inputs!$B$1+((Inputs!$G$5:$G$110&lt;&gt;"moeda")*(Inputs!$G$5:$G$110&lt;&gt;"acoes")))*INDEX(Inputs!$K$5:$AJ$110,0,MATCH(AJ$2,Inputs!$K$4:$AJ$4,0)))+SUMPRODUCT((Inputs!$E$5:$E$110=$B36)*Inputs!$F$5:$F$110*(((Inputs!$G$5:$G$110="moeda")+(Inputs!$G$5:$G$110="acoes"))*Inputs!$B$1+((Inputs!$G$5:$G$110&lt;&gt;"moeda")*(Inputs!$G$5:$G$110&lt;&gt;"acoes")))*INDEX(Inputs!$K$5:$AJ$110,0,MATCH(AJ$2,Inputs!$K$4:$AJ$4,0)))))</f>
        <v>2558</v>
      </c>
      <c r="AK36" s="267">
        <f>IF(ISNA(MATCH(AK$2,Inputs!$K$4:$AJ$4,0)),NA(),IF(SUMPRODUCT((Inputs!$A$5:$A$110=$B36)*ISNUMBER(INDEX(Inputs!$K$5:$AJ$110,0,MATCH(AK$2,Inputs!$K$4:$AJ$4,0))))+SUMPRODUCT((Inputs!$C$5:$C$110=$B36)*ISNUMBER(INDEX(Inputs!$K$5:$AJ$110,0,MATCH(AK$2,Inputs!$K$4:$AJ$4,0))))+SUMPRODUCT((Inputs!$E$5:$E$110=$B36)*ISNUMBER(INDEX(Inputs!$K$5:$AJ$110,0,MATCH(AK$2,Inputs!$K$4:$AJ$4,0))))=0,NA(),SUMPRODUCT((Inputs!$A$5:$A$110=$B36)*Inputs!$B$5:$B$110*(((Inputs!$G$5:$G$110="moeda")+(Inputs!$G$5:$G$110="acoes"))*Inputs!$B$1+((Inputs!$G$5:$G$110&lt;&gt;"moeda")*(Inputs!$G$5:$G$110&lt;&gt;"acoes")))*INDEX(Inputs!$K$5:$AJ$110,0,MATCH(AK$2,Inputs!$K$4:$AJ$4,0)))+SUMPRODUCT((Inputs!$C$5:$C$110=$B36)*Inputs!$D$5:$D$110*(((Inputs!$G$5:$G$110="moeda")+(Inputs!$G$5:$G$110="acoes"))*Inputs!$B$1+((Inputs!$G$5:$G$110&lt;&gt;"moeda")*(Inputs!$G$5:$G$110&lt;&gt;"acoes")))*INDEX(Inputs!$K$5:$AJ$110,0,MATCH(AK$2,Inputs!$K$4:$AJ$4,0)))+SUMPRODUCT((Inputs!$E$5:$E$110=$B36)*Inputs!$F$5:$F$110*(((Inputs!$G$5:$G$110="moeda")+(Inputs!$G$5:$G$110="acoes"))*Inputs!$B$1+((Inputs!$G$5:$G$110&lt;&gt;"moeda")*(Inputs!$G$5:$G$110&lt;&gt;"acoes")))*INDEX(Inputs!$K$5:$AJ$110,0,MATCH(AK$2,Inputs!$K$4:$AJ$4,0)))))</f>
        <v>2574</v>
      </c>
      <c r="AL36" s="268">
        <f>AK36</f>
        <v>2574</v>
      </c>
    </row>
    <row r="37" ht="12.75" customHeight="1" s="255">
      <c r="B37" s="265" t="n">
        <v>32</v>
      </c>
      <c r="C37" s="270" t="inlineStr">
        <is>
          <t>Convertible debt</t>
        </is>
      </c>
      <c r="D37" s="267">
        <f>IF(ISNA(MATCH(D$2,Inputs!$K$4:$AJ$4,0)),NA(),IF(SUMPRODUCT((Inputs!$A$5:$A$110=$B37)*ISNUMBER(INDEX(Inputs!$K$5:$AJ$110,0,MATCH(D$2,Inputs!$K$4:$AJ$4,0))))+SUMPRODUCT((Inputs!$C$5:$C$110=$B37)*ISNUMBER(INDEX(Inputs!$K$5:$AJ$110,0,MATCH(D$2,Inputs!$K$4:$AJ$4,0))))+SUMPRODUCT((Inputs!$E$5:$E$110=$B37)*ISNUMBER(INDEX(Inputs!$K$5:$AJ$110,0,MATCH(D$2,Inputs!$K$4:$AJ$4,0))))=0,NA(),SUMPRODUCT((Inputs!$A$5:$A$110=$B37)*Inputs!$B$5:$B$110*(((Inputs!$G$5:$G$110="moeda")+(Inputs!$G$5:$G$110="acoes"))*Inputs!$B$1+((Inputs!$G$5:$G$110&lt;&gt;"moeda")*(Inputs!$G$5:$G$110&lt;&gt;"acoes")))*INDEX(Inputs!$K$5:$AJ$110,0,MATCH(D$2,Inputs!$K$4:$AJ$4,0)))+SUMPRODUCT((Inputs!$C$5:$C$110=$B37)*Inputs!$D$5:$D$110*(((Inputs!$G$5:$G$110="moeda")+(Inputs!$G$5:$G$110="acoes"))*Inputs!$B$1+((Inputs!$G$5:$G$110&lt;&gt;"moeda")*(Inputs!$G$5:$G$110&lt;&gt;"acoes")))*INDEX(Inputs!$K$5:$AJ$110,0,MATCH(D$2,Inputs!$K$4:$AJ$4,0)))+SUMPRODUCT((Inputs!$E$5:$E$110=$B37)*Inputs!$F$5:$F$110*(((Inputs!$G$5:$G$110="moeda")+(Inputs!$G$5:$G$110="acoes"))*Inputs!$B$1+((Inputs!$G$5:$G$110&lt;&gt;"moeda")*(Inputs!$G$5:$G$110&lt;&gt;"acoes")))*INDEX(Inputs!$K$5:$AJ$110,0,MATCH(D$2,Inputs!$K$4:$AJ$4,0)))))</f>
        <v>0</v>
      </c>
      <c r="E37" s="267">
        <f>IF(ISNA(MATCH(E$2,Inputs!$K$4:$AJ$4,0)),NA(),IF(SUMPRODUCT((Inputs!$A$5:$A$110=$B37)*ISNUMBER(INDEX(Inputs!$K$5:$AJ$110,0,MATCH(E$2,Inputs!$K$4:$AJ$4,0))))+SUMPRODUCT((Inputs!$C$5:$C$110=$B37)*ISNUMBER(INDEX(Inputs!$K$5:$AJ$110,0,MATCH(E$2,Inputs!$K$4:$AJ$4,0))))+SUMPRODUCT((Inputs!$E$5:$E$110=$B37)*ISNUMBER(INDEX(Inputs!$K$5:$AJ$110,0,MATCH(E$2,Inputs!$K$4:$AJ$4,0))))=0,NA(),SUMPRODUCT((Inputs!$A$5:$A$110=$B37)*Inputs!$B$5:$B$110*(((Inputs!$G$5:$G$110="moeda")+(Inputs!$G$5:$G$110="acoes"))*Inputs!$B$1+((Inputs!$G$5:$G$110&lt;&gt;"moeda")*(Inputs!$G$5:$G$110&lt;&gt;"acoes")))*INDEX(Inputs!$K$5:$AJ$110,0,MATCH(E$2,Inputs!$K$4:$AJ$4,0)))+SUMPRODUCT((Inputs!$C$5:$C$110=$B37)*Inputs!$D$5:$D$110*(((Inputs!$G$5:$G$110="moeda")+(Inputs!$G$5:$G$110="acoes"))*Inputs!$B$1+((Inputs!$G$5:$G$110&lt;&gt;"moeda")*(Inputs!$G$5:$G$110&lt;&gt;"acoes")))*INDEX(Inputs!$K$5:$AJ$110,0,MATCH(E$2,Inputs!$K$4:$AJ$4,0)))+SUMPRODUCT((Inputs!$E$5:$E$110=$B37)*Inputs!$F$5:$F$110*(((Inputs!$G$5:$G$110="moeda")+(Inputs!$G$5:$G$110="acoes"))*Inputs!$B$1+((Inputs!$G$5:$G$110&lt;&gt;"moeda")*(Inputs!$G$5:$G$110&lt;&gt;"acoes")))*INDEX(Inputs!$K$5:$AJ$110,0,MATCH(E$2,Inputs!$K$4:$AJ$4,0)))))</f>
        <v>0</v>
      </c>
      <c r="F37" s="267">
        <f>IF(ISNA(MATCH(F$2,Inputs!$K$4:$AJ$4,0)),NA(),IF(SUMPRODUCT((Inputs!$A$5:$A$110=$B37)*ISNUMBER(INDEX(Inputs!$K$5:$AJ$110,0,MATCH(F$2,Inputs!$K$4:$AJ$4,0))))+SUMPRODUCT((Inputs!$C$5:$C$110=$B37)*ISNUMBER(INDEX(Inputs!$K$5:$AJ$110,0,MATCH(F$2,Inputs!$K$4:$AJ$4,0))))+SUMPRODUCT((Inputs!$E$5:$E$110=$B37)*ISNUMBER(INDEX(Inputs!$K$5:$AJ$110,0,MATCH(F$2,Inputs!$K$4:$AJ$4,0))))=0,NA(),SUMPRODUCT((Inputs!$A$5:$A$110=$B37)*Inputs!$B$5:$B$110*(((Inputs!$G$5:$G$110="moeda")+(Inputs!$G$5:$G$110="acoes"))*Inputs!$B$1+((Inputs!$G$5:$G$110&lt;&gt;"moeda")*(Inputs!$G$5:$G$110&lt;&gt;"acoes")))*INDEX(Inputs!$K$5:$AJ$110,0,MATCH(F$2,Inputs!$K$4:$AJ$4,0)))+SUMPRODUCT((Inputs!$C$5:$C$110=$B37)*Inputs!$D$5:$D$110*(((Inputs!$G$5:$G$110="moeda")+(Inputs!$G$5:$G$110="acoes"))*Inputs!$B$1+((Inputs!$G$5:$G$110&lt;&gt;"moeda")*(Inputs!$G$5:$G$110&lt;&gt;"acoes")))*INDEX(Inputs!$K$5:$AJ$110,0,MATCH(F$2,Inputs!$K$4:$AJ$4,0)))+SUMPRODUCT((Inputs!$E$5:$E$110=$B37)*Inputs!$F$5:$F$110*(((Inputs!$G$5:$G$110="moeda")+(Inputs!$G$5:$G$110="acoes"))*Inputs!$B$1+((Inputs!$G$5:$G$110&lt;&gt;"moeda")*(Inputs!$G$5:$G$110&lt;&gt;"acoes")))*INDEX(Inputs!$K$5:$AJ$110,0,MATCH(F$2,Inputs!$K$4:$AJ$4,0)))))</f>
        <v>0</v>
      </c>
      <c r="G37" s="267">
        <f>IF(ISNA(MATCH(G$2,Inputs!$K$4:$AJ$4,0)),NA(),IF(SUMPRODUCT((Inputs!$A$5:$A$110=$B37)*ISNUMBER(INDEX(Inputs!$K$5:$AJ$110,0,MATCH(G$2,Inputs!$K$4:$AJ$4,0))))+SUMPRODUCT((Inputs!$C$5:$C$110=$B37)*ISNUMBER(INDEX(Inputs!$K$5:$AJ$110,0,MATCH(G$2,Inputs!$K$4:$AJ$4,0))))+SUMPRODUCT((Inputs!$E$5:$E$110=$B37)*ISNUMBER(INDEX(Inputs!$K$5:$AJ$110,0,MATCH(G$2,Inputs!$K$4:$AJ$4,0))))=0,NA(),SUMPRODUCT((Inputs!$A$5:$A$110=$B37)*Inputs!$B$5:$B$110*(((Inputs!$G$5:$G$110="moeda")+(Inputs!$G$5:$G$110="acoes"))*Inputs!$B$1+((Inputs!$G$5:$G$110&lt;&gt;"moeda")*(Inputs!$G$5:$G$110&lt;&gt;"acoes")))*INDEX(Inputs!$K$5:$AJ$110,0,MATCH(G$2,Inputs!$K$4:$AJ$4,0)))+SUMPRODUCT((Inputs!$C$5:$C$110=$B37)*Inputs!$D$5:$D$110*(((Inputs!$G$5:$G$110="moeda")+(Inputs!$G$5:$G$110="acoes"))*Inputs!$B$1+((Inputs!$G$5:$G$110&lt;&gt;"moeda")*(Inputs!$G$5:$G$110&lt;&gt;"acoes")))*INDEX(Inputs!$K$5:$AJ$110,0,MATCH(G$2,Inputs!$K$4:$AJ$4,0)))+SUMPRODUCT((Inputs!$E$5:$E$110=$B37)*Inputs!$F$5:$F$110*(((Inputs!$G$5:$G$110="moeda")+(Inputs!$G$5:$G$110="acoes"))*Inputs!$B$1+((Inputs!$G$5:$G$110&lt;&gt;"moeda")*(Inputs!$G$5:$G$110&lt;&gt;"acoes")))*INDEX(Inputs!$K$5:$AJ$110,0,MATCH(G$2,Inputs!$K$4:$AJ$4,0)))))</f>
        <v>0</v>
      </c>
      <c r="H37" s="268">
        <f>G37</f>
        <v>0</v>
      </c>
      <c r="I37" s="267">
        <f>IF(ISNA(MATCH(I$2,Inputs!$K$4:$AJ$4,0)),NA(),IF(SUMPRODUCT((Inputs!$A$5:$A$110=$B37)*ISNUMBER(INDEX(Inputs!$K$5:$AJ$110,0,MATCH(I$2,Inputs!$K$4:$AJ$4,0))))+SUMPRODUCT((Inputs!$C$5:$C$110=$B37)*ISNUMBER(INDEX(Inputs!$K$5:$AJ$110,0,MATCH(I$2,Inputs!$K$4:$AJ$4,0))))+SUMPRODUCT((Inputs!$E$5:$E$110=$B37)*ISNUMBER(INDEX(Inputs!$K$5:$AJ$110,0,MATCH(I$2,Inputs!$K$4:$AJ$4,0))))=0,NA(),SUMPRODUCT((Inputs!$A$5:$A$110=$B37)*Inputs!$B$5:$B$110*(((Inputs!$G$5:$G$110="moeda")+(Inputs!$G$5:$G$110="acoes"))*Inputs!$B$1+((Inputs!$G$5:$G$110&lt;&gt;"moeda")*(Inputs!$G$5:$G$110&lt;&gt;"acoes")))*INDEX(Inputs!$K$5:$AJ$110,0,MATCH(I$2,Inputs!$K$4:$AJ$4,0)))+SUMPRODUCT((Inputs!$C$5:$C$110=$B37)*Inputs!$D$5:$D$110*(((Inputs!$G$5:$G$110="moeda")+(Inputs!$G$5:$G$110="acoes"))*Inputs!$B$1+((Inputs!$G$5:$G$110&lt;&gt;"moeda")*(Inputs!$G$5:$G$110&lt;&gt;"acoes")))*INDEX(Inputs!$K$5:$AJ$110,0,MATCH(I$2,Inputs!$K$4:$AJ$4,0)))+SUMPRODUCT((Inputs!$E$5:$E$110=$B37)*Inputs!$F$5:$F$110*(((Inputs!$G$5:$G$110="moeda")+(Inputs!$G$5:$G$110="acoes"))*Inputs!$B$1+((Inputs!$G$5:$G$110&lt;&gt;"moeda")*(Inputs!$G$5:$G$110&lt;&gt;"acoes")))*INDEX(Inputs!$K$5:$AJ$110,0,MATCH(I$2,Inputs!$K$4:$AJ$4,0)))))</f>
        <v>0</v>
      </c>
      <c r="J37" s="267">
        <f>IF(ISNA(MATCH(J$2,Inputs!$K$4:$AJ$4,0)),NA(),IF(SUMPRODUCT((Inputs!$A$5:$A$110=$B37)*ISNUMBER(INDEX(Inputs!$K$5:$AJ$110,0,MATCH(J$2,Inputs!$K$4:$AJ$4,0))))+SUMPRODUCT((Inputs!$C$5:$C$110=$B37)*ISNUMBER(INDEX(Inputs!$K$5:$AJ$110,0,MATCH(J$2,Inputs!$K$4:$AJ$4,0))))+SUMPRODUCT((Inputs!$E$5:$E$110=$B37)*ISNUMBER(INDEX(Inputs!$K$5:$AJ$110,0,MATCH(J$2,Inputs!$K$4:$AJ$4,0))))=0,NA(),SUMPRODUCT((Inputs!$A$5:$A$110=$B37)*Inputs!$B$5:$B$110*(((Inputs!$G$5:$G$110="moeda")+(Inputs!$G$5:$G$110="acoes"))*Inputs!$B$1+((Inputs!$G$5:$G$110&lt;&gt;"moeda")*(Inputs!$G$5:$G$110&lt;&gt;"acoes")))*INDEX(Inputs!$K$5:$AJ$110,0,MATCH(J$2,Inputs!$K$4:$AJ$4,0)))+SUMPRODUCT((Inputs!$C$5:$C$110=$B37)*Inputs!$D$5:$D$110*(((Inputs!$G$5:$G$110="moeda")+(Inputs!$G$5:$G$110="acoes"))*Inputs!$B$1+((Inputs!$G$5:$G$110&lt;&gt;"moeda")*(Inputs!$G$5:$G$110&lt;&gt;"acoes")))*INDEX(Inputs!$K$5:$AJ$110,0,MATCH(J$2,Inputs!$K$4:$AJ$4,0)))+SUMPRODUCT((Inputs!$E$5:$E$110=$B37)*Inputs!$F$5:$F$110*(((Inputs!$G$5:$G$110="moeda")+(Inputs!$G$5:$G$110="acoes"))*Inputs!$B$1+((Inputs!$G$5:$G$110&lt;&gt;"moeda")*(Inputs!$G$5:$G$110&lt;&gt;"acoes")))*INDEX(Inputs!$K$5:$AJ$110,0,MATCH(J$2,Inputs!$K$4:$AJ$4,0)))))</f>
        <v>0</v>
      </c>
      <c r="K37" s="267">
        <f>IF(ISNA(MATCH(K$2,Inputs!$K$4:$AJ$4,0)),NA(),IF(SUMPRODUCT((Inputs!$A$5:$A$110=$B37)*ISNUMBER(INDEX(Inputs!$K$5:$AJ$110,0,MATCH(K$2,Inputs!$K$4:$AJ$4,0))))+SUMPRODUCT((Inputs!$C$5:$C$110=$B37)*ISNUMBER(INDEX(Inputs!$K$5:$AJ$110,0,MATCH(K$2,Inputs!$K$4:$AJ$4,0))))+SUMPRODUCT((Inputs!$E$5:$E$110=$B37)*ISNUMBER(INDEX(Inputs!$K$5:$AJ$110,0,MATCH(K$2,Inputs!$K$4:$AJ$4,0))))=0,NA(),SUMPRODUCT((Inputs!$A$5:$A$110=$B37)*Inputs!$B$5:$B$110*(((Inputs!$G$5:$G$110="moeda")+(Inputs!$G$5:$G$110="acoes"))*Inputs!$B$1+((Inputs!$G$5:$G$110&lt;&gt;"moeda")*(Inputs!$G$5:$G$110&lt;&gt;"acoes")))*INDEX(Inputs!$K$5:$AJ$110,0,MATCH(K$2,Inputs!$K$4:$AJ$4,0)))+SUMPRODUCT((Inputs!$C$5:$C$110=$B37)*Inputs!$D$5:$D$110*(((Inputs!$G$5:$G$110="moeda")+(Inputs!$G$5:$G$110="acoes"))*Inputs!$B$1+((Inputs!$G$5:$G$110&lt;&gt;"moeda")*(Inputs!$G$5:$G$110&lt;&gt;"acoes")))*INDEX(Inputs!$K$5:$AJ$110,0,MATCH(K$2,Inputs!$K$4:$AJ$4,0)))+SUMPRODUCT((Inputs!$E$5:$E$110=$B37)*Inputs!$F$5:$F$110*(((Inputs!$G$5:$G$110="moeda")+(Inputs!$G$5:$G$110="acoes"))*Inputs!$B$1+((Inputs!$G$5:$G$110&lt;&gt;"moeda")*(Inputs!$G$5:$G$110&lt;&gt;"acoes")))*INDEX(Inputs!$K$5:$AJ$110,0,MATCH(K$2,Inputs!$K$4:$AJ$4,0)))))</f>
        <v>0</v>
      </c>
      <c r="L37" s="267">
        <f>IF(ISNA(MATCH(L$2,Inputs!$K$4:$AJ$4,0)),NA(),IF(SUMPRODUCT((Inputs!$A$5:$A$110=$B37)*ISNUMBER(INDEX(Inputs!$K$5:$AJ$110,0,MATCH(L$2,Inputs!$K$4:$AJ$4,0))))+SUMPRODUCT((Inputs!$C$5:$C$110=$B37)*ISNUMBER(INDEX(Inputs!$K$5:$AJ$110,0,MATCH(L$2,Inputs!$K$4:$AJ$4,0))))+SUMPRODUCT((Inputs!$E$5:$E$110=$B37)*ISNUMBER(INDEX(Inputs!$K$5:$AJ$110,0,MATCH(L$2,Inputs!$K$4:$AJ$4,0))))=0,NA(),SUMPRODUCT((Inputs!$A$5:$A$110=$B37)*Inputs!$B$5:$B$110*(((Inputs!$G$5:$G$110="moeda")+(Inputs!$G$5:$G$110="acoes"))*Inputs!$B$1+((Inputs!$G$5:$G$110&lt;&gt;"moeda")*(Inputs!$G$5:$G$110&lt;&gt;"acoes")))*INDEX(Inputs!$K$5:$AJ$110,0,MATCH(L$2,Inputs!$K$4:$AJ$4,0)))+SUMPRODUCT((Inputs!$C$5:$C$110=$B37)*Inputs!$D$5:$D$110*(((Inputs!$G$5:$G$110="moeda")+(Inputs!$G$5:$G$110="acoes"))*Inputs!$B$1+((Inputs!$G$5:$G$110&lt;&gt;"moeda")*(Inputs!$G$5:$G$110&lt;&gt;"acoes")))*INDEX(Inputs!$K$5:$AJ$110,0,MATCH(L$2,Inputs!$K$4:$AJ$4,0)))+SUMPRODUCT((Inputs!$E$5:$E$110=$B37)*Inputs!$F$5:$F$110*(((Inputs!$G$5:$G$110="moeda")+(Inputs!$G$5:$G$110="acoes"))*Inputs!$B$1+((Inputs!$G$5:$G$110&lt;&gt;"moeda")*(Inputs!$G$5:$G$110&lt;&gt;"acoes")))*INDEX(Inputs!$K$5:$AJ$110,0,MATCH(L$2,Inputs!$K$4:$AJ$4,0)))))</f>
        <v>0</v>
      </c>
      <c r="M37" s="268">
        <f>L37</f>
        <v>0</v>
      </c>
      <c r="N37" s="267">
        <f>IF(ISNA(MATCH(N$2,Inputs!$K$4:$AJ$4,0)),NA(),IF(SUMPRODUCT((Inputs!$A$5:$A$110=$B37)*ISNUMBER(INDEX(Inputs!$K$5:$AJ$110,0,MATCH(N$2,Inputs!$K$4:$AJ$4,0))))+SUMPRODUCT((Inputs!$C$5:$C$110=$B37)*ISNUMBER(INDEX(Inputs!$K$5:$AJ$110,0,MATCH(N$2,Inputs!$K$4:$AJ$4,0))))+SUMPRODUCT((Inputs!$E$5:$E$110=$B37)*ISNUMBER(INDEX(Inputs!$K$5:$AJ$110,0,MATCH(N$2,Inputs!$K$4:$AJ$4,0))))=0,NA(),SUMPRODUCT((Inputs!$A$5:$A$110=$B37)*Inputs!$B$5:$B$110*(((Inputs!$G$5:$G$110="moeda")+(Inputs!$G$5:$G$110="acoes"))*Inputs!$B$1+((Inputs!$G$5:$G$110&lt;&gt;"moeda")*(Inputs!$G$5:$G$110&lt;&gt;"acoes")))*INDEX(Inputs!$K$5:$AJ$110,0,MATCH(N$2,Inputs!$K$4:$AJ$4,0)))+SUMPRODUCT((Inputs!$C$5:$C$110=$B37)*Inputs!$D$5:$D$110*(((Inputs!$G$5:$G$110="moeda")+(Inputs!$G$5:$G$110="acoes"))*Inputs!$B$1+((Inputs!$G$5:$G$110&lt;&gt;"moeda")*(Inputs!$G$5:$G$110&lt;&gt;"acoes")))*INDEX(Inputs!$K$5:$AJ$110,0,MATCH(N$2,Inputs!$K$4:$AJ$4,0)))+SUMPRODUCT((Inputs!$E$5:$E$110=$B37)*Inputs!$F$5:$F$110*(((Inputs!$G$5:$G$110="moeda")+(Inputs!$G$5:$G$110="acoes"))*Inputs!$B$1+((Inputs!$G$5:$G$110&lt;&gt;"moeda")*(Inputs!$G$5:$G$110&lt;&gt;"acoes")))*INDEX(Inputs!$K$5:$AJ$110,0,MATCH(N$2,Inputs!$K$4:$AJ$4,0)))))</f>
        <v>0</v>
      </c>
      <c r="O37" s="267">
        <f>IF(ISNA(MATCH(O$2,Inputs!$K$4:$AJ$4,0)),NA(),IF(SUMPRODUCT((Inputs!$A$5:$A$110=$B37)*ISNUMBER(INDEX(Inputs!$K$5:$AJ$110,0,MATCH(O$2,Inputs!$K$4:$AJ$4,0))))+SUMPRODUCT((Inputs!$C$5:$C$110=$B37)*ISNUMBER(INDEX(Inputs!$K$5:$AJ$110,0,MATCH(O$2,Inputs!$K$4:$AJ$4,0))))+SUMPRODUCT((Inputs!$E$5:$E$110=$B37)*ISNUMBER(INDEX(Inputs!$K$5:$AJ$110,0,MATCH(O$2,Inputs!$K$4:$AJ$4,0))))=0,NA(),SUMPRODUCT((Inputs!$A$5:$A$110=$B37)*Inputs!$B$5:$B$110*(((Inputs!$G$5:$G$110="moeda")+(Inputs!$G$5:$G$110="acoes"))*Inputs!$B$1+((Inputs!$G$5:$G$110&lt;&gt;"moeda")*(Inputs!$G$5:$G$110&lt;&gt;"acoes")))*INDEX(Inputs!$K$5:$AJ$110,0,MATCH(O$2,Inputs!$K$4:$AJ$4,0)))+SUMPRODUCT((Inputs!$C$5:$C$110=$B37)*Inputs!$D$5:$D$110*(((Inputs!$G$5:$G$110="moeda")+(Inputs!$G$5:$G$110="acoes"))*Inputs!$B$1+((Inputs!$G$5:$G$110&lt;&gt;"moeda")*(Inputs!$G$5:$G$110&lt;&gt;"acoes")))*INDEX(Inputs!$K$5:$AJ$110,0,MATCH(O$2,Inputs!$K$4:$AJ$4,0)))+SUMPRODUCT((Inputs!$E$5:$E$110=$B37)*Inputs!$F$5:$F$110*(((Inputs!$G$5:$G$110="moeda")+(Inputs!$G$5:$G$110="acoes"))*Inputs!$B$1+((Inputs!$G$5:$G$110&lt;&gt;"moeda")*(Inputs!$G$5:$G$110&lt;&gt;"acoes")))*INDEX(Inputs!$K$5:$AJ$110,0,MATCH(O$2,Inputs!$K$4:$AJ$4,0)))))</f>
        <v>0</v>
      </c>
      <c r="P37" s="267">
        <f>IF(ISNA(MATCH(P$2,Inputs!$K$4:$AJ$4,0)),NA(),IF(SUMPRODUCT((Inputs!$A$5:$A$110=$B37)*ISNUMBER(INDEX(Inputs!$K$5:$AJ$110,0,MATCH(P$2,Inputs!$K$4:$AJ$4,0))))+SUMPRODUCT((Inputs!$C$5:$C$110=$B37)*ISNUMBER(INDEX(Inputs!$K$5:$AJ$110,0,MATCH(P$2,Inputs!$K$4:$AJ$4,0))))+SUMPRODUCT((Inputs!$E$5:$E$110=$B37)*ISNUMBER(INDEX(Inputs!$K$5:$AJ$110,0,MATCH(P$2,Inputs!$K$4:$AJ$4,0))))=0,NA(),SUMPRODUCT((Inputs!$A$5:$A$110=$B37)*Inputs!$B$5:$B$110*(((Inputs!$G$5:$G$110="moeda")+(Inputs!$G$5:$G$110="acoes"))*Inputs!$B$1+((Inputs!$G$5:$G$110&lt;&gt;"moeda")*(Inputs!$G$5:$G$110&lt;&gt;"acoes")))*INDEX(Inputs!$K$5:$AJ$110,0,MATCH(P$2,Inputs!$K$4:$AJ$4,0)))+SUMPRODUCT((Inputs!$C$5:$C$110=$B37)*Inputs!$D$5:$D$110*(((Inputs!$G$5:$G$110="moeda")+(Inputs!$G$5:$G$110="acoes"))*Inputs!$B$1+((Inputs!$G$5:$G$110&lt;&gt;"moeda")*(Inputs!$G$5:$G$110&lt;&gt;"acoes")))*INDEX(Inputs!$K$5:$AJ$110,0,MATCH(P$2,Inputs!$K$4:$AJ$4,0)))+SUMPRODUCT((Inputs!$E$5:$E$110=$B37)*Inputs!$F$5:$F$110*(((Inputs!$G$5:$G$110="moeda")+(Inputs!$G$5:$G$110="acoes"))*Inputs!$B$1+((Inputs!$G$5:$G$110&lt;&gt;"moeda")*(Inputs!$G$5:$G$110&lt;&gt;"acoes")))*INDEX(Inputs!$K$5:$AJ$110,0,MATCH(P$2,Inputs!$K$4:$AJ$4,0)))))</f>
        <v>0</v>
      </c>
      <c r="Q37" s="267">
        <f>IF(ISNA(MATCH(Q$2,Inputs!$K$4:$AJ$4,0)),NA(),IF(SUMPRODUCT((Inputs!$A$5:$A$110=$B37)*ISNUMBER(INDEX(Inputs!$K$5:$AJ$110,0,MATCH(Q$2,Inputs!$K$4:$AJ$4,0))))+SUMPRODUCT((Inputs!$C$5:$C$110=$B37)*ISNUMBER(INDEX(Inputs!$K$5:$AJ$110,0,MATCH(Q$2,Inputs!$K$4:$AJ$4,0))))+SUMPRODUCT((Inputs!$E$5:$E$110=$B37)*ISNUMBER(INDEX(Inputs!$K$5:$AJ$110,0,MATCH(Q$2,Inputs!$K$4:$AJ$4,0))))=0,NA(),SUMPRODUCT((Inputs!$A$5:$A$110=$B37)*Inputs!$B$5:$B$110*(((Inputs!$G$5:$G$110="moeda")+(Inputs!$G$5:$G$110="acoes"))*Inputs!$B$1+((Inputs!$G$5:$G$110&lt;&gt;"moeda")*(Inputs!$G$5:$G$110&lt;&gt;"acoes")))*INDEX(Inputs!$K$5:$AJ$110,0,MATCH(Q$2,Inputs!$K$4:$AJ$4,0)))+SUMPRODUCT((Inputs!$C$5:$C$110=$B37)*Inputs!$D$5:$D$110*(((Inputs!$G$5:$G$110="moeda")+(Inputs!$G$5:$G$110="acoes"))*Inputs!$B$1+((Inputs!$G$5:$G$110&lt;&gt;"moeda")*(Inputs!$G$5:$G$110&lt;&gt;"acoes")))*INDEX(Inputs!$K$5:$AJ$110,0,MATCH(Q$2,Inputs!$K$4:$AJ$4,0)))+SUMPRODUCT((Inputs!$E$5:$E$110=$B37)*Inputs!$F$5:$F$110*(((Inputs!$G$5:$G$110="moeda")+(Inputs!$G$5:$G$110="acoes"))*Inputs!$B$1+((Inputs!$G$5:$G$110&lt;&gt;"moeda")*(Inputs!$G$5:$G$110&lt;&gt;"acoes")))*INDEX(Inputs!$K$5:$AJ$110,0,MATCH(Q$2,Inputs!$K$4:$AJ$4,0)))))</f>
        <v>0</v>
      </c>
      <c r="R37" s="268">
        <f>Q37</f>
        <v>0</v>
      </c>
      <c r="S37" s="267">
        <f>IF(ISNA(MATCH(S$2,Inputs!$K$4:$AJ$4,0)),NA(),IF(SUMPRODUCT((Inputs!$A$5:$A$110=$B37)*ISNUMBER(INDEX(Inputs!$K$5:$AJ$110,0,MATCH(S$2,Inputs!$K$4:$AJ$4,0))))+SUMPRODUCT((Inputs!$C$5:$C$110=$B37)*ISNUMBER(INDEX(Inputs!$K$5:$AJ$110,0,MATCH(S$2,Inputs!$K$4:$AJ$4,0))))+SUMPRODUCT((Inputs!$E$5:$E$110=$B37)*ISNUMBER(INDEX(Inputs!$K$5:$AJ$110,0,MATCH(S$2,Inputs!$K$4:$AJ$4,0))))=0,NA(),SUMPRODUCT((Inputs!$A$5:$A$110=$B37)*Inputs!$B$5:$B$110*(((Inputs!$G$5:$G$110="moeda")+(Inputs!$G$5:$G$110="acoes"))*Inputs!$B$1+((Inputs!$G$5:$G$110&lt;&gt;"moeda")*(Inputs!$G$5:$G$110&lt;&gt;"acoes")))*INDEX(Inputs!$K$5:$AJ$110,0,MATCH(S$2,Inputs!$K$4:$AJ$4,0)))+SUMPRODUCT((Inputs!$C$5:$C$110=$B37)*Inputs!$D$5:$D$110*(((Inputs!$G$5:$G$110="moeda")+(Inputs!$G$5:$G$110="acoes"))*Inputs!$B$1+((Inputs!$G$5:$G$110&lt;&gt;"moeda")*(Inputs!$G$5:$G$110&lt;&gt;"acoes")))*INDEX(Inputs!$K$5:$AJ$110,0,MATCH(S$2,Inputs!$K$4:$AJ$4,0)))+SUMPRODUCT((Inputs!$E$5:$E$110=$B37)*Inputs!$F$5:$F$110*(((Inputs!$G$5:$G$110="moeda")+(Inputs!$G$5:$G$110="acoes"))*Inputs!$B$1+((Inputs!$G$5:$G$110&lt;&gt;"moeda")*(Inputs!$G$5:$G$110&lt;&gt;"acoes")))*INDEX(Inputs!$K$5:$AJ$110,0,MATCH(S$2,Inputs!$K$4:$AJ$4,0)))))</f>
        <v>0</v>
      </c>
      <c r="T37" s="267">
        <f>IF(ISNA(MATCH(T$2,Inputs!$K$4:$AJ$4,0)),NA(),IF(SUMPRODUCT((Inputs!$A$5:$A$110=$B37)*ISNUMBER(INDEX(Inputs!$K$5:$AJ$110,0,MATCH(T$2,Inputs!$K$4:$AJ$4,0))))+SUMPRODUCT((Inputs!$C$5:$C$110=$B37)*ISNUMBER(INDEX(Inputs!$K$5:$AJ$110,0,MATCH(T$2,Inputs!$K$4:$AJ$4,0))))+SUMPRODUCT((Inputs!$E$5:$E$110=$B37)*ISNUMBER(INDEX(Inputs!$K$5:$AJ$110,0,MATCH(T$2,Inputs!$K$4:$AJ$4,0))))=0,NA(),SUMPRODUCT((Inputs!$A$5:$A$110=$B37)*Inputs!$B$5:$B$110*(((Inputs!$G$5:$G$110="moeda")+(Inputs!$G$5:$G$110="acoes"))*Inputs!$B$1+((Inputs!$G$5:$G$110&lt;&gt;"moeda")*(Inputs!$G$5:$G$110&lt;&gt;"acoes")))*INDEX(Inputs!$K$5:$AJ$110,0,MATCH(T$2,Inputs!$K$4:$AJ$4,0)))+SUMPRODUCT((Inputs!$C$5:$C$110=$B37)*Inputs!$D$5:$D$110*(((Inputs!$G$5:$G$110="moeda")+(Inputs!$G$5:$G$110="acoes"))*Inputs!$B$1+((Inputs!$G$5:$G$110&lt;&gt;"moeda")*(Inputs!$G$5:$G$110&lt;&gt;"acoes")))*INDEX(Inputs!$K$5:$AJ$110,0,MATCH(T$2,Inputs!$K$4:$AJ$4,0)))+SUMPRODUCT((Inputs!$E$5:$E$110=$B37)*Inputs!$F$5:$F$110*(((Inputs!$G$5:$G$110="moeda")+(Inputs!$G$5:$G$110="acoes"))*Inputs!$B$1+((Inputs!$G$5:$G$110&lt;&gt;"moeda")*(Inputs!$G$5:$G$110&lt;&gt;"acoes")))*INDEX(Inputs!$K$5:$AJ$110,0,MATCH(T$2,Inputs!$K$4:$AJ$4,0)))))</f>
        <v>0</v>
      </c>
      <c r="U37" s="267">
        <f>IF(ISNA(MATCH(U$2,Inputs!$K$4:$AJ$4,0)),NA(),IF(SUMPRODUCT((Inputs!$A$5:$A$110=$B37)*ISNUMBER(INDEX(Inputs!$K$5:$AJ$110,0,MATCH(U$2,Inputs!$K$4:$AJ$4,0))))+SUMPRODUCT((Inputs!$C$5:$C$110=$B37)*ISNUMBER(INDEX(Inputs!$K$5:$AJ$110,0,MATCH(U$2,Inputs!$K$4:$AJ$4,0))))+SUMPRODUCT((Inputs!$E$5:$E$110=$B37)*ISNUMBER(INDEX(Inputs!$K$5:$AJ$110,0,MATCH(U$2,Inputs!$K$4:$AJ$4,0))))=0,NA(),SUMPRODUCT((Inputs!$A$5:$A$110=$B37)*Inputs!$B$5:$B$110*(((Inputs!$G$5:$G$110="moeda")+(Inputs!$G$5:$G$110="acoes"))*Inputs!$B$1+((Inputs!$G$5:$G$110&lt;&gt;"moeda")*(Inputs!$G$5:$G$110&lt;&gt;"acoes")))*INDEX(Inputs!$K$5:$AJ$110,0,MATCH(U$2,Inputs!$K$4:$AJ$4,0)))+SUMPRODUCT((Inputs!$C$5:$C$110=$B37)*Inputs!$D$5:$D$110*(((Inputs!$G$5:$G$110="moeda")+(Inputs!$G$5:$G$110="acoes"))*Inputs!$B$1+((Inputs!$G$5:$G$110&lt;&gt;"moeda")*(Inputs!$G$5:$G$110&lt;&gt;"acoes")))*INDEX(Inputs!$K$5:$AJ$110,0,MATCH(U$2,Inputs!$K$4:$AJ$4,0)))+SUMPRODUCT((Inputs!$E$5:$E$110=$B37)*Inputs!$F$5:$F$110*(((Inputs!$G$5:$G$110="moeda")+(Inputs!$G$5:$G$110="acoes"))*Inputs!$B$1+((Inputs!$G$5:$G$110&lt;&gt;"moeda")*(Inputs!$G$5:$G$110&lt;&gt;"acoes")))*INDEX(Inputs!$K$5:$AJ$110,0,MATCH(U$2,Inputs!$K$4:$AJ$4,0)))))</f>
        <v>0</v>
      </c>
      <c r="V37" s="267">
        <f>IF(ISNA(MATCH(V$2,Inputs!$K$4:$AJ$4,0)),NA(),IF(SUMPRODUCT((Inputs!$A$5:$A$110=$B37)*ISNUMBER(INDEX(Inputs!$K$5:$AJ$110,0,MATCH(V$2,Inputs!$K$4:$AJ$4,0))))+SUMPRODUCT((Inputs!$C$5:$C$110=$B37)*ISNUMBER(INDEX(Inputs!$K$5:$AJ$110,0,MATCH(V$2,Inputs!$K$4:$AJ$4,0))))+SUMPRODUCT((Inputs!$E$5:$E$110=$B37)*ISNUMBER(INDEX(Inputs!$K$5:$AJ$110,0,MATCH(V$2,Inputs!$K$4:$AJ$4,0))))=0,NA(),SUMPRODUCT((Inputs!$A$5:$A$110=$B37)*Inputs!$B$5:$B$110*(((Inputs!$G$5:$G$110="moeda")+(Inputs!$G$5:$G$110="acoes"))*Inputs!$B$1+((Inputs!$G$5:$G$110&lt;&gt;"moeda")*(Inputs!$G$5:$G$110&lt;&gt;"acoes")))*INDEX(Inputs!$K$5:$AJ$110,0,MATCH(V$2,Inputs!$K$4:$AJ$4,0)))+SUMPRODUCT((Inputs!$C$5:$C$110=$B37)*Inputs!$D$5:$D$110*(((Inputs!$G$5:$G$110="moeda")+(Inputs!$G$5:$G$110="acoes"))*Inputs!$B$1+((Inputs!$G$5:$G$110&lt;&gt;"moeda")*(Inputs!$G$5:$G$110&lt;&gt;"acoes")))*INDEX(Inputs!$K$5:$AJ$110,0,MATCH(V$2,Inputs!$K$4:$AJ$4,0)))+SUMPRODUCT((Inputs!$E$5:$E$110=$B37)*Inputs!$F$5:$F$110*(((Inputs!$G$5:$G$110="moeda")+(Inputs!$G$5:$G$110="acoes"))*Inputs!$B$1+((Inputs!$G$5:$G$110&lt;&gt;"moeda")*(Inputs!$G$5:$G$110&lt;&gt;"acoes")))*INDEX(Inputs!$K$5:$AJ$110,0,MATCH(V$2,Inputs!$K$4:$AJ$4,0)))))</f>
        <v>0</v>
      </c>
      <c r="W37" s="268">
        <f>V37</f>
        <v>0</v>
      </c>
      <c r="X37" s="267">
        <f>IF(ISNA(MATCH(X$2,Inputs!$K$4:$AJ$4,0)),NA(),IF(SUMPRODUCT((Inputs!$A$5:$A$110=$B37)*ISNUMBER(INDEX(Inputs!$K$5:$AJ$110,0,MATCH(X$2,Inputs!$K$4:$AJ$4,0))))+SUMPRODUCT((Inputs!$C$5:$C$110=$B37)*ISNUMBER(INDEX(Inputs!$K$5:$AJ$110,0,MATCH(X$2,Inputs!$K$4:$AJ$4,0))))+SUMPRODUCT((Inputs!$E$5:$E$110=$B37)*ISNUMBER(INDEX(Inputs!$K$5:$AJ$110,0,MATCH(X$2,Inputs!$K$4:$AJ$4,0))))=0,NA(),SUMPRODUCT((Inputs!$A$5:$A$110=$B37)*Inputs!$B$5:$B$110*(((Inputs!$G$5:$G$110="moeda")+(Inputs!$G$5:$G$110="acoes"))*Inputs!$B$1+((Inputs!$G$5:$G$110&lt;&gt;"moeda")*(Inputs!$G$5:$G$110&lt;&gt;"acoes")))*INDEX(Inputs!$K$5:$AJ$110,0,MATCH(X$2,Inputs!$K$4:$AJ$4,0)))+SUMPRODUCT((Inputs!$C$5:$C$110=$B37)*Inputs!$D$5:$D$110*(((Inputs!$G$5:$G$110="moeda")+(Inputs!$G$5:$G$110="acoes"))*Inputs!$B$1+((Inputs!$G$5:$G$110&lt;&gt;"moeda")*(Inputs!$G$5:$G$110&lt;&gt;"acoes")))*INDEX(Inputs!$K$5:$AJ$110,0,MATCH(X$2,Inputs!$K$4:$AJ$4,0)))+SUMPRODUCT((Inputs!$E$5:$E$110=$B37)*Inputs!$F$5:$F$110*(((Inputs!$G$5:$G$110="moeda")+(Inputs!$G$5:$G$110="acoes"))*Inputs!$B$1+((Inputs!$G$5:$G$110&lt;&gt;"moeda")*(Inputs!$G$5:$G$110&lt;&gt;"acoes")))*INDEX(Inputs!$K$5:$AJ$110,0,MATCH(X$2,Inputs!$K$4:$AJ$4,0)))))</f>
        <v>0</v>
      </c>
      <c r="Y37" s="267">
        <f>IF(ISNA(MATCH(Y$2,Inputs!$K$4:$AJ$4,0)),NA(),IF(SUMPRODUCT((Inputs!$A$5:$A$110=$B37)*ISNUMBER(INDEX(Inputs!$K$5:$AJ$110,0,MATCH(Y$2,Inputs!$K$4:$AJ$4,0))))+SUMPRODUCT((Inputs!$C$5:$C$110=$B37)*ISNUMBER(INDEX(Inputs!$K$5:$AJ$110,0,MATCH(Y$2,Inputs!$K$4:$AJ$4,0))))+SUMPRODUCT((Inputs!$E$5:$E$110=$B37)*ISNUMBER(INDEX(Inputs!$K$5:$AJ$110,0,MATCH(Y$2,Inputs!$K$4:$AJ$4,0))))=0,NA(),SUMPRODUCT((Inputs!$A$5:$A$110=$B37)*Inputs!$B$5:$B$110*(((Inputs!$G$5:$G$110="moeda")+(Inputs!$G$5:$G$110="acoes"))*Inputs!$B$1+((Inputs!$G$5:$G$110&lt;&gt;"moeda")*(Inputs!$G$5:$G$110&lt;&gt;"acoes")))*INDEX(Inputs!$K$5:$AJ$110,0,MATCH(Y$2,Inputs!$K$4:$AJ$4,0)))+SUMPRODUCT((Inputs!$C$5:$C$110=$B37)*Inputs!$D$5:$D$110*(((Inputs!$G$5:$G$110="moeda")+(Inputs!$G$5:$G$110="acoes"))*Inputs!$B$1+((Inputs!$G$5:$G$110&lt;&gt;"moeda")*(Inputs!$G$5:$G$110&lt;&gt;"acoes")))*INDEX(Inputs!$K$5:$AJ$110,0,MATCH(Y$2,Inputs!$K$4:$AJ$4,0)))+SUMPRODUCT((Inputs!$E$5:$E$110=$B37)*Inputs!$F$5:$F$110*(((Inputs!$G$5:$G$110="moeda")+(Inputs!$G$5:$G$110="acoes"))*Inputs!$B$1+((Inputs!$G$5:$G$110&lt;&gt;"moeda")*(Inputs!$G$5:$G$110&lt;&gt;"acoes")))*INDEX(Inputs!$K$5:$AJ$110,0,MATCH(Y$2,Inputs!$K$4:$AJ$4,0)))))</f>
        <v>0</v>
      </c>
      <c r="Z37" s="267">
        <f>IF(ISNA(MATCH(Z$2,Inputs!$K$4:$AJ$4,0)),NA(),IF(SUMPRODUCT((Inputs!$A$5:$A$110=$B37)*ISNUMBER(INDEX(Inputs!$K$5:$AJ$110,0,MATCH(Z$2,Inputs!$K$4:$AJ$4,0))))+SUMPRODUCT((Inputs!$C$5:$C$110=$B37)*ISNUMBER(INDEX(Inputs!$K$5:$AJ$110,0,MATCH(Z$2,Inputs!$K$4:$AJ$4,0))))+SUMPRODUCT((Inputs!$E$5:$E$110=$B37)*ISNUMBER(INDEX(Inputs!$K$5:$AJ$110,0,MATCH(Z$2,Inputs!$K$4:$AJ$4,0))))=0,NA(),SUMPRODUCT((Inputs!$A$5:$A$110=$B37)*Inputs!$B$5:$B$110*(((Inputs!$G$5:$G$110="moeda")+(Inputs!$G$5:$G$110="acoes"))*Inputs!$B$1+((Inputs!$G$5:$G$110&lt;&gt;"moeda")*(Inputs!$G$5:$G$110&lt;&gt;"acoes")))*INDEX(Inputs!$K$5:$AJ$110,0,MATCH(Z$2,Inputs!$K$4:$AJ$4,0)))+SUMPRODUCT((Inputs!$C$5:$C$110=$B37)*Inputs!$D$5:$D$110*(((Inputs!$G$5:$G$110="moeda")+(Inputs!$G$5:$G$110="acoes"))*Inputs!$B$1+((Inputs!$G$5:$G$110&lt;&gt;"moeda")*(Inputs!$G$5:$G$110&lt;&gt;"acoes")))*INDEX(Inputs!$K$5:$AJ$110,0,MATCH(Z$2,Inputs!$K$4:$AJ$4,0)))+SUMPRODUCT((Inputs!$E$5:$E$110=$B37)*Inputs!$F$5:$F$110*(((Inputs!$G$5:$G$110="moeda")+(Inputs!$G$5:$G$110="acoes"))*Inputs!$B$1+((Inputs!$G$5:$G$110&lt;&gt;"moeda")*(Inputs!$G$5:$G$110&lt;&gt;"acoes")))*INDEX(Inputs!$K$5:$AJ$110,0,MATCH(Z$2,Inputs!$K$4:$AJ$4,0)))))</f>
        <v>0</v>
      </c>
      <c r="AA37" s="267">
        <f>IF(ISNA(MATCH(AA$2,Inputs!$K$4:$AJ$4,0)),NA(),IF(SUMPRODUCT((Inputs!$A$5:$A$110=$B37)*ISNUMBER(INDEX(Inputs!$K$5:$AJ$110,0,MATCH(AA$2,Inputs!$K$4:$AJ$4,0))))+SUMPRODUCT((Inputs!$C$5:$C$110=$B37)*ISNUMBER(INDEX(Inputs!$K$5:$AJ$110,0,MATCH(AA$2,Inputs!$K$4:$AJ$4,0))))+SUMPRODUCT((Inputs!$E$5:$E$110=$B37)*ISNUMBER(INDEX(Inputs!$K$5:$AJ$110,0,MATCH(AA$2,Inputs!$K$4:$AJ$4,0))))=0,NA(),SUMPRODUCT((Inputs!$A$5:$A$110=$B37)*Inputs!$B$5:$B$110*(((Inputs!$G$5:$G$110="moeda")+(Inputs!$G$5:$G$110="acoes"))*Inputs!$B$1+((Inputs!$G$5:$G$110&lt;&gt;"moeda")*(Inputs!$G$5:$G$110&lt;&gt;"acoes")))*INDEX(Inputs!$K$5:$AJ$110,0,MATCH(AA$2,Inputs!$K$4:$AJ$4,0)))+SUMPRODUCT((Inputs!$C$5:$C$110=$B37)*Inputs!$D$5:$D$110*(((Inputs!$G$5:$G$110="moeda")+(Inputs!$G$5:$G$110="acoes"))*Inputs!$B$1+((Inputs!$G$5:$G$110&lt;&gt;"moeda")*(Inputs!$G$5:$G$110&lt;&gt;"acoes")))*INDEX(Inputs!$K$5:$AJ$110,0,MATCH(AA$2,Inputs!$K$4:$AJ$4,0)))+SUMPRODUCT((Inputs!$E$5:$E$110=$B37)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7" s="268">
        <f>AA37</f>
        <v>0</v>
      </c>
      <c r="AC37" s="267">
        <f>IF(ISNA(MATCH(AC$2,Inputs!$K$4:$AJ$4,0)),NA(),IF(SUMPRODUCT((Inputs!$A$5:$A$110=$B37)*ISNUMBER(INDEX(Inputs!$K$5:$AJ$110,0,MATCH(AC$2,Inputs!$K$4:$AJ$4,0))))+SUMPRODUCT((Inputs!$C$5:$C$110=$B37)*ISNUMBER(INDEX(Inputs!$K$5:$AJ$110,0,MATCH(AC$2,Inputs!$K$4:$AJ$4,0))))+SUMPRODUCT((Inputs!$E$5:$E$110=$B37)*ISNUMBER(INDEX(Inputs!$K$5:$AJ$110,0,MATCH(AC$2,Inputs!$K$4:$AJ$4,0))))=0,NA(),SUMPRODUCT((Inputs!$A$5:$A$110=$B37)*Inputs!$B$5:$B$110*(((Inputs!$G$5:$G$110="moeda")+(Inputs!$G$5:$G$110="acoes"))*Inputs!$B$1+((Inputs!$G$5:$G$110&lt;&gt;"moeda")*(Inputs!$G$5:$G$110&lt;&gt;"acoes")))*INDEX(Inputs!$K$5:$AJ$110,0,MATCH(AC$2,Inputs!$K$4:$AJ$4,0)))+SUMPRODUCT((Inputs!$C$5:$C$110=$B37)*Inputs!$D$5:$D$110*(((Inputs!$G$5:$G$110="moeda")+(Inputs!$G$5:$G$110="acoes"))*Inputs!$B$1+((Inputs!$G$5:$G$110&lt;&gt;"moeda")*(Inputs!$G$5:$G$110&lt;&gt;"acoes")))*INDEX(Inputs!$K$5:$AJ$110,0,MATCH(AC$2,Inputs!$K$4:$AJ$4,0)))+SUMPRODUCT((Inputs!$E$5:$E$110=$B37)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7" s="267">
        <f>IF(ISNA(MATCH(AD$2,Inputs!$K$4:$AJ$4,0)),NA(),IF(SUMPRODUCT((Inputs!$A$5:$A$110=$B37)*ISNUMBER(INDEX(Inputs!$K$5:$AJ$110,0,MATCH(AD$2,Inputs!$K$4:$AJ$4,0))))+SUMPRODUCT((Inputs!$C$5:$C$110=$B37)*ISNUMBER(INDEX(Inputs!$K$5:$AJ$110,0,MATCH(AD$2,Inputs!$K$4:$AJ$4,0))))+SUMPRODUCT((Inputs!$E$5:$E$110=$B37)*ISNUMBER(INDEX(Inputs!$K$5:$AJ$110,0,MATCH(AD$2,Inputs!$K$4:$AJ$4,0))))=0,NA(),SUMPRODUCT((Inputs!$A$5:$A$110=$B37)*Inputs!$B$5:$B$110*(((Inputs!$G$5:$G$110="moeda")+(Inputs!$G$5:$G$110="acoes"))*Inputs!$B$1+((Inputs!$G$5:$G$110&lt;&gt;"moeda")*(Inputs!$G$5:$G$110&lt;&gt;"acoes")))*INDEX(Inputs!$K$5:$AJ$110,0,MATCH(AD$2,Inputs!$K$4:$AJ$4,0)))+SUMPRODUCT((Inputs!$C$5:$C$110=$B37)*Inputs!$D$5:$D$110*(((Inputs!$G$5:$G$110="moeda")+(Inputs!$G$5:$G$110="acoes"))*Inputs!$B$1+((Inputs!$G$5:$G$110&lt;&gt;"moeda")*(Inputs!$G$5:$G$110&lt;&gt;"acoes")))*INDEX(Inputs!$K$5:$AJ$110,0,MATCH(AD$2,Inputs!$K$4:$AJ$4,0)))+SUMPRODUCT((Inputs!$E$5:$E$110=$B37)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7" s="267" t="e">
        <f>IF(ISNA(MATCH(AE$2,Inputs!$K$4:$AJ$4,0)),NA(),IF(SUMPRODUCT((Inputs!$A$5:$A$110=$B37)*ISNUMBER(INDEX(Inputs!$K$5:$AJ$110,0,MATCH(AE$2,Inputs!$K$4:$AJ$4,0))))+SUMPRODUCT((Inputs!$C$5:$C$110=$B37)*ISNUMBER(INDEX(Inputs!$K$5:$AJ$110,0,MATCH(AE$2,Inputs!$K$4:$AJ$4,0))))+SUMPRODUCT((Inputs!$E$5:$E$110=$B37)*ISNUMBER(INDEX(Inputs!$K$5:$AJ$110,0,MATCH(AE$2,Inputs!$K$4:$AJ$4,0))))=0,NA(),SUMPRODUCT((Inputs!$A$5:$A$110=$B37)*Inputs!$B$5:$B$110*(((Inputs!$G$5:$G$110="moeda")+(Inputs!$G$5:$G$110="acoes"))*Inputs!$B$1+((Inputs!$G$5:$G$110&lt;&gt;"moeda")*(Inputs!$G$5:$G$110&lt;&gt;"acoes")))*INDEX(Inputs!$K$5:$AJ$110,0,MATCH(AE$2,Inputs!$K$4:$AJ$4,0)))+SUMPRODUCT((Inputs!$C$5:$C$110=$B37)*Inputs!$D$5:$D$110*(((Inputs!$G$5:$G$110="moeda")+(Inputs!$G$5:$G$110="acoes"))*Inputs!$B$1+((Inputs!$G$5:$G$110&lt;&gt;"moeda")*(Inputs!$G$5:$G$110&lt;&gt;"acoes")))*INDEX(Inputs!$K$5:$AJ$110,0,MATCH(AE$2,Inputs!$K$4:$AJ$4,0)))+SUMPRODUCT((Inputs!$E$5:$E$110=$B37)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7" s="267" t="e">
        <f>IF(ISNA(MATCH(AF$2,Inputs!$K$4:$AJ$4,0)),NA(),IF(SUMPRODUCT((Inputs!$A$5:$A$110=$B37)*ISNUMBER(INDEX(Inputs!$K$5:$AJ$110,0,MATCH(AF$2,Inputs!$K$4:$AJ$4,0))))+SUMPRODUCT((Inputs!$C$5:$C$110=$B37)*ISNUMBER(INDEX(Inputs!$K$5:$AJ$110,0,MATCH(AF$2,Inputs!$K$4:$AJ$4,0))))+SUMPRODUCT((Inputs!$E$5:$E$110=$B37)*ISNUMBER(INDEX(Inputs!$K$5:$AJ$110,0,MATCH(AF$2,Inputs!$K$4:$AJ$4,0))))=0,NA(),SUMPRODUCT((Inputs!$A$5:$A$110=$B37)*Inputs!$B$5:$B$110*(((Inputs!$G$5:$G$110="moeda")+(Inputs!$G$5:$G$110="acoes"))*Inputs!$B$1+((Inputs!$G$5:$G$110&lt;&gt;"moeda")*(Inputs!$G$5:$G$110&lt;&gt;"acoes")))*INDEX(Inputs!$K$5:$AJ$110,0,MATCH(AF$2,Inputs!$K$4:$AJ$4,0)))+SUMPRODUCT((Inputs!$C$5:$C$110=$B37)*Inputs!$D$5:$D$110*(((Inputs!$G$5:$G$110="moeda")+(Inputs!$G$5:$G$110="acoes"))*Inputs!$B$1+((Inputs!$G$5:$G$110&lt;&gt;"moeda")*(Inputs!$G$5:$G$110&lt;&gt;"acoes")))*INDEX(Inputs!$K$5:$AJ$110,0,MATCH(AF$2,Inputs!$K$4:$AJ$4,0)))+SUMPRODUCT((Inputs!$E$5:$E$110=$B37)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7" s="268" t="e">
        <f>AF37</f>
        <v>#N/A</v>
      </c>
      <c r="AH37" s="267">
        <f>IF(ISNA(MATCH(AH$2,Inputs!$K$4:$AJ$4,0)),NA(),IF(SUMPRODUCT((Inputs!$A$5:$A$110=$B37)*ISNUMBER(INDEX(Inputs!$K$5:$AJ$110,0,MATCH(AH$2,Inputs!$K$4:$AJ$4,0))))+SUMPRODUCT((Inputs!$C$5:$C$110=$B37)*ISNUMBER(INDEX(Inputs!$K$5:$AJ$110,0,MATCH(AH$2,Inputs!$K$4:$AJ$4,0))))+SUMPRODUCT((Inputs!$E$5:$E$110=$B37)*ISNUMBER(INDEX(Inputs!$K$5:$AJ$110,0,MATCH(AH$2,Inputs!$K$4:$AJ$4,0))))=0,NA(),SUMPRODUCT((Inputs!$A$5:$A$110=$B37)*Inputs!$B$5:$B$110*(((Inputs!$G$5:$G$110="moeda")+(Inputs!$G$5:$G$110="acoes"))*Inputs!$B$1+((Inputs!$G$5:$G$110&lt;&gt;"moeda")*(Inputs!$G$5:$G$110&lt;&gt;"acoes")))*INDEX(Inputs!$K$5:$AJ$110,0,MATCH(AH$2,Inputs!$K$4:$AJ$4,0)))+SUMPRODUCT((Inputs!$C$5:$C$110=$B37)*Inputs!$D$5:$D$110*(((Inputs!$G$5:$G$110="moeda")+(Inputs!$G$5:$G$110="acoes"))*Inputs!$B$1+((Inputs!$G$5:$G$110&lt;&gt;"moeda")*(Inputs!$G$5:$G$110&lt;&gt;"acoes")))*INDEX(Inputs!$K$5:$AJ$110,0,MATCH(AH$2,Inputs!$K$4:$AJ$4,0)))+SUMPRODUCT((Inputs!$E$5:$E$110=$B37)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7" s="267">
        <f>IF(ISNA(MATCH(AI$2,Inputs!$K$4:$AJ$4,0)),NA(),IF(SUMPRODUCT((Inputs!$A$5:$A$110=$B37)*ISNUMBER(INDEX(Inputs!$K$5:$AJ$110,0,MATCH(AI$2,Inputs!$K$4:$AJ$4,0))))+SUMPRODUCT((Inputs!$C$5:$C$110=$B37)*ISNUMBER(INDEX(Inputs!$K$5:$AJ$110,0,MATCH(AI$2,Inputs!$K$4:$AJ$4,0))))+SUMPRODUCT((Inputs!$E$5:$E$110=$B37)*ISNUMBER(INDEX(Inputs!$K$5:$AJ$110,0,MATCH(AI$2,Inputs!$K$4:$AJ$4,0))))=0,NA(),SUMPRODUCT((Inputs!$A$5:$A$110=$B37)*Inputs!$B$5:$B$110*(((Inputs!$G$5:$G$110="moeda")+(Inputs!$G$5:$G$110="acoes"))*Inputs!$B$1+((Inputs!$G$5:$G$110&lt;&gt;"moeda")*(Inputs!$G$5:$G$110&lt;&gt;"acoes")))*INDEX(Inputs!$K$5:$AJ$110,0,MATCH(AI$2,Inputs!$K$4:$AJ$4,0)))+SUMPRODUCT((Inputs!$C$5:$C$110=$B37)*Inputs!$D$5:$D$110*(((Inputs!$G$5:$G$110="moeda")+(Inputs!$G$5:$G$110="acoes"))*Inputs!$B$1+((Inputs!$G$5:$G$110&lt;&gt;"moeda")*(Inputs!$G$5:$G$110&lt;&gt;"acoes")))*INDEX(Inputs!$K$5:$AJ$110,0,MATCH(AI$2,Inputs!$K$4:$AJ$4,0)))+SUMPRODUCT((Inputs!$E$5:$E$110=$B37)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7" s="267">
        <f>IF(ISNA(MATCH(AJ$2,Inputs!$K$4:$AJ$4,0)),NA(),IF(SUMPRODUCT((Inputs!$A$5:$A$110=$B37)*ISNUMBER(INDEX(Inputs!$K$5:$AJ$110,0,MATCH(AJ$2,Inputs!$K$4:$AJ$4,0))))+SUMPRODUCT((Inputs!$C$5:$C$110=$B37)*ISNUMBER(INDEX(Inputs!$K$5:$AJ$110,0,MATCH(AJ$2,Inputs!$K$4:$AJ$4,0))))+SUMPRODUCT((Inputs!$E$5:$E$110=$B37)*ISNUMBER(INDEX(Inputs!$K$5:$AJ$110,0,MATCH(AJ$2,Inputs!$K$4:$AJ$4,0))))=0,NA(),SUMPRODUCT((Inputs!$A$5:$A$110=$B37)*Inputs!$B$5:$B$110*(((Inputs!$G$5:$G$110="moeda")+(Inputs!$G$5:$G$110="acoes"))*Inputs!$B$1+((Inputs!$G$5:$G$110&lt;&gt;"moeda")*(Inputs!$G$5:$G$110&lt;&gt;"acoes")))*INDEX(Inputs!$K$5:$AJ$110,0,MATCH(AJ$2,Inputs!$K$4:$AJ$4,0)))+SUMPRODUCT((Inputs!$C$5:$C$110=$B37)*Inputs!$D$5:$D$110*(((Inputs!$G$5:$G$110="moeda")+(Inputs!$G$5:$G$110="acoes"))*Inputs!$B$1+((Inputs!$G$5:$G$110&lt;&gt;"moeda")*(Inputs!$G$5:$G$110&lt;&gt;"acoes")))*INDEX(Inputs!$K$5:$AJ$110,0,MATCH(AJ$2,Inputs!$K$4:$AJ$4,0)))+SUMPRODUCT((Inputs!$E$5:$E$110=$B37)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7" s="267">
        <f>IF(ISNA(MATCH(AK$2,Inputs!$K$4:$AJ$4,0)),NA(),IF(SUMPRODUCT((Inputs!$A$5:$A$110=$B37)*ISNUMBER(INDEX(Inputs!$K$5:$AJ$110,0,MATCH(AK$2,Inputs!$K$4:$AJ$4,0))))+SUMPRODUCT((Inputs!$C$5:$C$110=$B37)*ISNUMBER(INDEX(Inputs!$K$5:$AJ$110,0,MATCH(AK$2,Inputs!$K$4:$AJ$4,0))))+SUMPRODUCT((Inputs!$E$5:$E$110=$B37)*ISNUMBER(INDEX(Inputs!$K$5:$AJ$110,0,MATCH(AK$2,Inputs!$K$4:$AJ$4,0))))=0,NA(),SUMPRODUCT((Inputs!$A$5:$A$110=$B37)*Inputs!$B$5:$B$110*(((Inputs!$G$5:$G$110="moeda")+(Inputs!$G$5:$G$110="acoes"))*Inputs!$B$1+((Inputs!$G$5:$G$110&lt;&gt;"moeda")*(Inputs!$G$5:$G$110&lt;&gt;"acoes")))*INDEX(Inputs!$K$5:$AJ$110,0,MATCH(AK$2,Inputs!$K$4:$AJ$4,0)))+SUMPRODUCT((Inputs!$C$5:$C$110=$B37)*Inputs!$D$5:$D$110*(((Inputs!$G$5:$G$110="moeda")+(Inputs!$G$5:$G$110="acoes"))*Inputs!$B$1+((Inputs!$G$5:$G$110&lt;&gt;"moeda")*(Inputs!$G$5:$G$110&lt;&gt;"acoes")))*INDEX(Inputs!$K$5:$AJ$110,0,MATCH(AK$2,Inputs!$K$4:$AJ$4,0)))+SUMPRODUCT((Inputs!$E$5:$E$110=$B37)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7" s="268">
        <f>AK37</f>
        <v>0</v>
      </c>
    </row>
    <row r="38" ht="12.75" customHeight="1" s="255">
      <c r="B38" s="265" t="n">
        <v>33</v>
      </c>
      <c r="C38" s="270" t="inlineStr">
        <is>
          <t>Deferred income taxes</t>
        </is>
      </c>
      <c r="D38" s="267">
        <f>IF(ISNA(MATCH(D$2,Inputs!$K$4:$AJ$4,0)),NA(),IF(SUMPRODUCT((Inputs!$A$5:$A$110=$B38)*ISNUMBER(INDEX(Inputs!$K$5:$AJ$110,0,MATCH(D$2,Inputs!$K$4:$AJ$4,0))))+SUMPRODUCT((Inputs!$C$5:$C$110=$B38)*ISNUMBER(INDEX(Inputs!$K$5:$AJ$110,0,MATCH(D$2,Inputs!$K$4:$AJ$4,0))))+SUMPRODUCT((Inputs!$E$5:$E$110=$B38)*ISNUMBER(INDEX(Inputs!$K$5:$AJ$110,0,MATCH(D$2,Inputs!$K$4:$AJ$4,0))))=0,NA(),SUMPRODUCT((Inputs!$A$5:$A$110=$B38)*Inputs!$B$5:$B$110*(((Inputs!$G$5:$G$110="moeda")+(Inputs!$G$5:$G$110="acoes"))*Inputs!$B$1+((Inputs!$G$5:$G$110&lt;&gt;"moeda")*(Inputs!$G$5:$G$110&lt;&gt;"acoes")))*INDEX(Inputs!$K$5:$AJ$110,0,MATCH(D$2,Inputs!$K$4:$AJ$4,0)))+SUMPRODUCT((Inputs!$C$5:$C$110=$B38)*Inputs!$D$5:$D$110*(((Inputs!$G$5:$G$110="moeda")+(Inputs!$G$5:$G$110="acoes"))*Inputs!$B$1+((Inputs!$G$5:$G$110&lt;&gt;"moeda")*(Inputs!$G$5:$G$110&lt;&gt;"acoes")))*INDEX(Inputs!$K$5:$AJ$110,0,MATCH(D$2,Inputs!$K$4:$AJ$4,0)))+SUMPRODUCT((Inputs!$E$5:$E$110=$B38)*Inputs!$F$5:$F$110*(((Inputs!$G$5:$G$110="moeda")+(Inputs!$G$5:$G$110="acoes"))*Inputs!$B$1+((Inputs!$G$5:$G$110&lt;&gt;"moeda")*(Inputs!$G$5:$G$110&lt;&gt;"acoes")))*INDEX(Inputs!$K$5:$AJ$110,0,MATCH(D$2,Inputs!$K$4:$AJ$4,0)))))</f>
        <v>0</v>
      </c>
      <c r="E38" s="267">
        <f>IF(ISNA(MATCH(E$2,Inputs!$K$4:$AJ$4,0)),NA(),IF(SUMPRODUCT((Inputs!$A$5:$A$110=$B38)*ISNUMBER(INDEX(Inputs!$K$5:$AJ$110,0,MATCH(E$2,Inputs!$K$4:$AJ$4,0))))+SUMPRODUCT((Inputs!$C$5:$C$110=$B38)*ISNUMBER(INDEX(Inputs!$K$5:$AJ$110,0,MATCH(E$2,Inputs!$K$4:$AJ$4,0))))+SUMPRODUCT((Inputs!$E$5:$E$110=$B38)*ISNUMBER(INDEX(Inputs!$K$5:$AJ$110,0,MATCH(E$2,Inputs!$K$4:$AJ$4,0))))=0,NA(),SUMPRODUCT((Inputs!$A$5:$A$110=$B38)*Inputs!$B$5:$B$110*(((Inputs!$G$5:$G$110="moeda")+(Inputs!$G$5:$G$110="acoes"))*Inputs!$B$1+((Inputs!$G$5:$G$110&lt;&gt;"moeda")*(Inputs!$G$5:$G$110&lt;&gt;"acoes")))*INDEX(Inputs!$K$5:$AJ$110,0,MATCH(E$2,Inputs!$K$4:$AJ$4,0)))+SUMPRODUCT((Inputs!$C$5:$C$110=$B38)*Inputs!$D$5:$D$110*(((Inputs!$G$5:$G$110="moeda")+(Inputs!$G$5:$G$110="acoes"))*Inputs!$B$1+((Inputs!$G$5:$G$110&lt;&gt;"moeda")*(Inputs!$G$5:$G$110&lt;&gt;"acoes")))*INDEX(Inputs!$K$5:$AJ$110,0,MATCH(E$2,Inputs!$K$4:$AJ$4,0)))+SUMPRODUCT((Inputs!$E$5:$E$110=$B38)*Inputs!$F$5:$F$110*(((Inputs!$G$5:$G$110="moeda")+(Inputs!$G$5:$G$110="acoes"))*Inputs!$B$1+((Inputs!$G$5:$G$110&lt;&gt;"moeda")*(Inputs!$G$5:$G$110&lt;&gt;"acoes")))*INDEX(Inputs!$K$5:$AJ$110,0,MATCH(E$2,Inputs!$K$4:$AJ$4,0)))))</f>
        <v>0</v>
      </c>
      <c r="F38" s="267">
        <f>IF(ISNA(MATCH(F$2,Inputs!$K$4:$AJ$4,0)),NA(),IF(SUMPRODUCT((Inputs!$A$5:$A$110=$B38)*ISNUMBER(INDEX(Inputs!$K$5:$AJ$110,0,MATCH(F$2,Inputs!$K$4:$AJ$4,0))))+SUMPRODUCT((Inputs!$C$5:$C$110=$B38)*ISNUMBER(INDEX(Inputs!$K$5:$AJ$110,0,MATCH(F$2,Inputs!$K$4:$AJ$4,0))))+SUMPRODUCT((Inputs!$E$5:$E$110=$B38)*ISNUMBER(INDEX(Inputs!$K$5:$AJ$110,0,MATCH(F$2,Inputs!$K$4:$AJ$4,0))))=0,NA(),SUMPRODUCT((Inputs!$A$5:$A$110=$B38)*Inputs!$B$5:$B$110*(((Inputs!$G$5:$G$110="moeda")+(Inputs!$G$5:$G$110="acoes"))*Inputs!$B$1+((Inputs!$G$5:$G$110&lt;&gt;"moeda")*(Inputs!$G$5:$G$110&lt;&gt;"acoes")))*INDEX(Inputs!$K$5:$AJ$110,0,MATCH(F$2,Inputs!$K$4:$AJ$4,0)))+SUMPRODUCT((Inputs!$C$5:$C$110=$B38)*Inputs!$D$5:$D$110*(((Inputs!$G$5:$G$110="moeda")+(Inputs!$G$5:$G$110="acoes"))*Inputs!$B$1+((Inputs!$G$5:$G$110&lt;&gt;"moeda")*(Inputs!$G$5:$G$110&lt;&gt;"acoes")))*INDEX(Inputs!$K$5:$AJ$110,0,MATCH(F$2,Inputs!$K$4:$AJ$4,0)))+SUMPRODUCT((Inputs!$E$5:$E$110=$B38)*Inputs!$F$5:$F$110*(((Inputs!$G$5:$G$110="moeda")+(Inputs!$G$5:$G$110="acoes"))*Inputs!$B$1+((Inputs!$G$5:$G$110&lt;&gt;"moeda")*(Inputs!$G$5:$G$110&lt;&gt;"acoes")))*INDEX(Inputs!$K$5:$AJ$110,0,MATCH(F$2,Inputs!$K$4:$AJ$4,0)))))</f>
        <v>0</v>
      </c>
      <c r="G38" s="267">
        <f>IF(ISNA(MATCH(G$2,Inputs!$K$4:$AJ$4,0)),NA(),IF(SUMPRODUCT((Inputs!$A$5:$A$110=$B38)*ISNUMBER(INDEX(Inputs!$K$5:$AJ$110,0,MATCH(G$2,Inputs!$K$4:$AJ$4,0))))+SUMPRODUCT((Inputs!$C$5:$C$110=$B38)*ISNUMBER(INDEX(Inputs!$K$5:$AJ$110,0,MATCH(G$2,Inputs!$K$4:$AJ$4,0))))+SUMPRODUCT((Inputs!$E$5:$E$110=$B38)*ISNUMBER(INDEX(Inputs!$K$5:$AJ$110,0,MATCH(G$2,Inputs!$K$4:$AJ$4,0))))=0,NA(),SUMPRODUCT((Inputs!$A$5:$A$110=$B38)*Inputs!$B$5:$B$110*(((Inputs!$G$5:$G$110="moeda")+(Inputs!$G$5:$G$110="acoes"))*Inputs!$B$1+((Inputs!$G$5:$G$110&lt;&gt;"moeda")*(Inputs!$G$5:$G$110&lt;&gt;"acoes")))*INDEX(Inputs!$K$5:$AJ$110,0,MATCH(G$2,Inputs!$K$4:$AJ$4,0)))+SUMPRODUCT((Inputs!$C$5:$C$110=$B38)*Inputs!$D$5:$D$110*(((Inputs!$G$5:$G$110="moeda")+(Inputs!$G$5:$G$110="acoes"))*Inputs!$B$1+((Inputs!$G$5:$G$110&lt;&gt;"moeda")*(Inputs!$G$5:$G$110&lt;&gt;"acoes")))*INDEX(Inputs!$K$5:$AJ$110,0,MATCH(G$2,Inputs!$K$4:$AJ$4,0)))+SUMPRODUCT((Inputs!$E$5:$E$110=$B38)*Inputs!$F$5:$F$110*(((Inputs!$G$5:$G$110="moeda")+(Inputs!$G$5:$G$110="acoes"))*Inputs!$B$1+((Inputs!$G$5:$G$110&lt;&gt;"moeda")*(Inputs!$G$5:$G$110&lt;&gt;"acoes")))*INDEX(Inputs!$K$5:$AJ$110,0,MATCH(G$2,Inputs!$K$4:$AJ$4,0)))))</f>
        <v>0</v>
      </c>
      <c r="H38" s="268">
        <f>G38</f>
        <v>0</v>
      </c>
      <c r="I38" s="267">
        <f>IF(ISNA(MATCH(I$2,Inputs!$K$4:$AJ$4,0)),NA(),IF(SUMPRODUCT((Inputs!$A$5:$A$110=$B38)*ISNUMBER(INDEX(Inputs!$K$5:$AJ$110,0,MATCH(I$2,Inputs!$K$4:$AJ$4,0))))+SUMPRODUCT((Inputs!$C$5:$C$110=$B38)*ISNUMBER(INDEX(Inputs!$K$5:$AJ$110,0,MATCH(I$2,Inputs!$K$4:$AJ$4,0))))+SUMPRODUCT((Inputs!$E$5:$E$110=$B38)*ISNUMBER(INDEX(Inputs!$K$5:$AJ$110,0,MATCH(I$2,Inputs!$K$4:$AJ$4,0))))=0,NA(),SUMPRODUCT((Inputs!$A$5:$A$110=$B38)*Inputs!$B$5:$B$110*(((Inputs!$G$5:$G$110="moeda")+(Inputs!$G$5:$G$110="acoes"))*Inputs!$B$1+((Inputs!$G$5:$G$110&lt;&gt;"moeda")*(Inputs!$G$5:$G$110&lt;&gt;"acoes")))*INDEX(Inputs!$K$5:$AJ$110,0,MATCH(I$2,Inputs!$K$4:$AJ$4,0)))+SUMPRODUCT((Inputs!$C$5:$C$110=$B38)*Inputs!$D$5:$D$110*(((Inputs!$G$5:$G$110="moeda")+(Inputs!$G$5:$G$110="acoes"))*Inputs!$B$1+((Inputs!$G$5:$G$110&lt;&gt;"moeda")*(Inputs!$G$5:$G$110&lt;&gt;"acoes")))*INDEX(Inputs!$K$5:$AJ$110,0,MATCH(I$2,Inputs!$K$4:$AJ$4,0)))+SUMPRODUCT((Inputs!$E$5:$E$110=$B38)*Inputs!$F$5:$F$110*(((Inputs!$G$5:$G$110="moeda")+(Inputs!$G$5:$G$110="acoes"))*Inputs!$B$1+((Inputs!$G$5:$G$110&lt;&gt;"moeda")*(Inputs!$G$5:$G$110&lt;&gt;"acoes")))*INDEX(Inputs!$K$5:$AJ$110,0,MATCH(I$2,Inputs!$K$4:$AJ$4,0)))))</f>
        <v>0</v>
      </c>
      <c r="J38" s="267">
        <f>IF(ISNA(MATCH(J$2,Inputs!$K$4:$AJ$4,0)),NA(),IF(SUMPRODUCT((Inputs!$A$5:$A$110=$B38)*ISNUMBER(INDEX(Inputs!$K$5:$AJ$110,0,MATCH(J$2,Inputs!$K$4:$AJ$4,0))))+SUMPRODUCT((Inputs!$C$5:$C$110=$B38)*ISNUMBER(INDEX(Inputs!$K$5:$AJ$110,0,MATCH(J$2,Inputs!$K$4:$AJ$4,0))))+SUMPRODUCT((Inputs!$E$5:$E$110=$B38)*ISNUMBER(INDEX(Inputs!$K$5:$AJ$110,0,MATCH(J$2,Inputs!$K$4:$AJ$4,0))))=0,NA(),SUMPRODUCT((Inputs!$A$5:$A$110=$B38)*Inputs!$B$5:$B$110*(((Inputs!$G$5:$G$110="moeda")+(Inputs!$G$5:$G$110="acoes"))*Inputs!$B$1+((Inputs!$G$5:$G$110&lt;&gt;"moeda")*(Inputs!$G$5:$G$110&lt;&gt;"acoes")))*INDEX(Inputs!$K$5:$AJ$110,0,MATCH(J$2,Inputs!$K$4:$AJ$4,0)))+SUMPRODUCT((Inputs!$C$5:$C$110=$B38)*Inputs!$D$5:$D$110*(((Inputs!$G$5:$G$110="moeda")+(Inputs!$G$5:$G$110="acoes"))*Inputs!$B$1+((Inputs!$G$5:$G$110&lt;&gt;"moeda")*(Inputs!$G$5:$G$110&lt;&gt;"acoes")))*INDEX(Inputs!$K$5:$AJ$110,0,MATCH(J$2,Inputs!$K$4:$AJ$4,0)))+SUMPRODUCT((Inputs!$E$5:$E$110=$B38)*Inputs!$F$5:$F$110*(((Inputs!$G$5:$G$110="moeda")+(Inputs!$G$5:$G$110="acoes"))*Inputs!$B$1+((Inputs!$G$5:$G$110&lt;&gt;"moeda")*(Inputs!$G$5:$G$110&lt;&gt;"acoes")))*INDEX(Inputs!$K$5:$AJ$110,0,MATCH(J$2,Inputs!$K$4:$AJ$4,0)))))</f>
        <v>0</v>
      </c>
      <c r="K38" s="267">
        <f>IF(ISNA(MATCH(K$2,Inputs!$K$4:$AJ$4,0)),NA(),IF(SUMPRODUCT((Inputs!$A$5:$A$110=$B38)*ISNUMBER(INDEX(Inputs!$K$5:$AJ$110,0,MATCH(K$2,Inputs!$K$4:$AJ$4,0))))+SUMPRODUCT((Inputs!$C$5:$C$110=$B38)*ISNUMBER(INDEX(Inputs!$K$5:$AJ$110,0,MATCH(K$2,Inputs!$K$4:$AJ$4,0))))+SUMPRODUCT((Inputs!$E$5:$E$110=$B38)*ISNUMBER(INDEX(Inputs!$K$5:$AJ$110,0,MATCH(K$2,Inputs!$K$4:$AJ$4,0))))=0,NA(),SUMPRODUCT((Inputs!$A$5:$A$110=$B38)*Inputs!$B$5:$B$110*(((Inputs!$G$5:$G$110="moeda")+(Inputs!$G$5:$G$110="acoes"))*Inputs!$B$1+((Inputs!$G$5:$G$110&lt;&gt;"moeda")*(Inputs!$G$5:$G$110&lt;&gt;"acoes")))*INDEX(Inputs!$K$5:$AJ$110,0,MATCH(K$2,Inputs!$K$4:$AJ$4,0)))+SUMPRODUCT((Inputs!$C$5:$C$110=$B38)*Inputs!$D$5:$D$110*(((Inputs!$G$5:$G$110="moeda")+(Inputs!$G$5:$G$110="acoes"))*Inputs!$B$1+((Inputs!$G$5:$G$110&lt;&gt;"moeda")*(Inputs!$G$5:$G$110&lt;&gt;"acoes")))*INDEX(Inputs!$K$5:$AJ$110,0,MATCH(K$2,Inputs!$K$4:$AJ$4,0)))+SUMPRODUCT((Inputs!$E$5:$E$110=$B38)*Inputs!$F$5:$F$110*(((Inputs!$G$5:$G$110="moeda")+(Inputs!$G$5:$G$110="acoes"))*Inputs!$B$1+((Inputs!$G$5:$G$110&lt;&gt;"moeda")*(Inputs!$G$5:$G$110&lt;&gt;"acoes")))*INDEX(Inputs!$K$5:$AJ$110,0,MATCH(K$2,Inputs!$K$4:$AJ$4,0)))))</f>
        <v>0</v>
      </c>
      <c r="L38" s="267">
        <f>IF(ISNA(MATCH(L$2,Inputs!$K$4:$AJ$4,0)),NA(),IF(SUMPRODUCT((Inputs!$A$5:$A$110=$B38)*ISNUMBER(INDEX(Inputs!$K$5:$AJ$110,0,MATCH(L$2,Inputs!$K$4:$AJ$4,0))))+SUMPRODUCT((Inputs!$C$5:$C$110=$B38)*ISNUMBER(INDEX(Inputs!$K$5:$AJ$110,0,MATCH(L$2,Inputs!$K$4:$AJ$4,0))))+SUMPRODUCT((Inputs!$E$5:$E$110=$B38)*ISNUMBER(INDEX(Inputs!$K$5:$AJ$110,0,MATCH(L$2,Inputs!$K$4:$AJ$4,0))))=0,NA(),SUMPRODUCT((Inputs!$A$5:$A$110=$B38)*Inputs!$B$5:$B$110*(((Inputs!$G$5:$G$110="moeda")+(Inputs!$G$5:$G$110="acoes"))*Inputs!$B$1+((Inputs!$G$5:$G$110&lt;&gt;"moeda")*(Inputs!$G$5:$G$110&lt;&gt;"acoes")))*INDEX(Inputs!$K$5:$AJ$110,0,MATCH(L$2,Inputs!$K$4:$AJ$4,0)))+SUMPRODUCT((Inputs!$C$5:$C$110=$B38)*Inputs!$D$5:$D$110*(((Inputs!$G$5:$G$110="moeda")+(Inputs!$G$5:$G$110="acoes"))*Inputs!$B$1+((Inputs!$G$5:$G$110&lt;&gt;"moeda")*(Inputs!$G$5:$G$110&lt;&gt;"acoes")))*INDEX(Inputs!$K$5:$AJ$110,0,MATCH(L$2,Inputs!$K$4:$AJ$4,0)))+SUMPRODUCT((Inputs!$E$5:$E$110=$B38)*Inputs!$F$5:$F$110*(((Inputs!$G$5:$G$110="moeda")+(Inputs!$G$5:$G$110="acoes"))*Inputs!$B$1+((Inputs!$G$5:$G$110&lt;&gt;"moeda")*(Inputs!$G$5:$G$110&lt;&gt;"acoes")))*INDEX(Inputs!$K$5:$AJ$110,0,MATCH(L$2,Inputs!$K$4:$AJ$4,0)))))</f>
        <v>0</v>
      </c>
      <c r="M38" s="268">
        <f>L38</f>
        <v>0</v>
      </c>
      <c r="N38" s="267">
        <f>IF(ISNA(MATCH(N$2,Inputs!$K$4:$AJ$4,0)),NA(),IF(SUMPRODUCT((Inputs!$A$5:$A$110=$B38)*ISNUMBER(INDEX(Inputs!$K$5:$AJ$110,0,MATCH(N$2,Inputs!$K$4:$AJ$4,0))))+SUMPRODUCT((Inputs!$C$5:$C$110=$B38)*ISNUMBER(INDEX(Inputs!$K$5:$AJ$110,0,MATCH(N$2,Inputs!$K$4:$AJ$4,0))))+SUMPRODUCT((Inputs!$E$5:$E$110=$B38)*ISNUMBER(INDEX(Inputs!$K$5:$AJ$110,0,MATCH(N$2,Inputs!$K$4:$AJ$4,0))))=0,NA(),SUMPRODUCT((Inputs!$A$5:$A$110=$B38)*Inputs!$B$5:$B$110*(((Inputs!$G$5:$G$110="moeda")+(Inputs!$G$5:$G$110="acoes"))*Inputs!$B$1+((Inputs!$G$5:$G$110&lt;&gt;"moeda")*(Inputs!$G$5:$G$110&lt;&gt;"acoes")))*INDEX(Inputs!$K$5:$AJ$110,0,MATCH(N$2,Inputs!$K$4:$AJ$4,0)))+SUMPRODUCT((Inputs!$C$5:$C$110=$B38)*Inputs!$D$5:$D$110*(((Inputs!$G$5:$G$110="moeda")+(Inputs!$G$5:$G$110="acoes"))*Inputs!$B$1+((Inputs!$G$5:$G$110&lt;&gt;"moeda")*(Inputs!$G$5:$G$110&lt;&gt;"acoes")))*INDEX(Inputs!$K$5:$AJ$110,0,MATCH(N$2,Inputs!$K$4:$AJ$4,0)))+SUMPRODUCT((Inputs!$E$5:$E$110=$B38)*Inputs!$F$5:$F$110*(((Inputs!$G$5:$G$110="moeda")+(Inputs!$G$5:$G$110="acoes"))*Inputs!$B$1+((Inputs!$G$5:$G$110&lt;&gt;"moeda")*(Inputs!$G$5:$G$110&lt;&gt;"acoes")))*INDEX(Inputs!$K$5:$AJ$110,0,MATCH(N$2,Inputs!$K$4:$AJ$4,0)))))</f>
        <v>0</v>
      </c>
      <c r="O38" s="267">
        <f>IF(ISNA(MATCH(O$2,Inputs!$K$4:$AJ$4,0)),NA(),IF(SUMPRODUCT((Inputs!$A$5:$A$110=$B38)*ISNUMBER(INDEX(Inputs!$K$5:$AJ$110,0,MATCH(O$2,Inputs!$K$4:$AJ$4,0))))+SUMPRODUCT((Inputs!$C$5:$C$110=$B38)*ISNUMBER(INDEX(Inputs!$K$5:$AJ$110,0,MATCH(O$2,Inputs!$K$4:$AJ$4,0))))+SUMPRODUCT((Inputs!$E$5:$E$110=$B38)*ISNUMBER(INDEX(Inputs!$K$5:$AJ$110,0,MATCH(O$2,Inputs!$K$4:$AJ$4,0))))=0,NA(),SUMPRODUCT((Inputs!$A$5:$A$110=$B38)*Inputs!$B$5:$B$110*(((Inputs!$G$5:$G$110="moeda")+(Inputs!$G$5:$G$110="acoes"))*Inputs!$B$1+((Inputs!$G$5:$G$110&lt;&gt;"moeda")*(Inputs!$G$5:$G$110&lt;&gt;"acoes")))*INDEX(Inputs!$K$5:$AJ$110,0,MATCH(O$2,Inputs!$K$4:$AJ$4,0)))+SUMPRODUCT((Inputs!$C$5:$C$110=$B38)*Inputs!$D$5:$D$110*(((Inputs!$G$5:$G$110="moeda")+(Inputs!$G$5:$G$110="acoes"))*Inputs!$B$1+((Inputs!$G$5:$G$110&lt;&gt;"moeda")*(Inputs!$G$5:$G$110&lt;&gt;"acoes")))*INDEX(Inputs!$K$5:$AJ$110,0,MATCH(O$2,Inputs!$K$4:$AJ$4,0)))+SUMPRODUCT((Inputs!$E$5:$E$110=$B38)*Inputs!$F$5:$F$110*(((Inputs!$G$5:$G$110="moeda")+(Inputs!$G$5:$G$110="acoes"))*Inputs!$B$1+((Inputs!$G$5:$G$110&lt;&gt;"moeda")*(Inputs!$G$5:$G$110&lt;&gt;"acoes")))*INDEX(Inputs!$K$5:$AJ$110,0,MATCH(O$2,Inputs!$K$4:$AJ$4,0)))))</f>
        <v>0</v>
      </c>
      <c r="P38" s="267">
        <f>IF(ISNA(MATCH(P$2,Inputs!$K$4:$AJ$4,0)),NA(),IF(SUMPRODUCT((Inputs!$A$5:$A$110=$B38)*ISNUMBER(INDEX(Inputs!$K$5:$AJ$110,0,MATCH(P$2,Inputs!$K$4:$AJ$4,0))))+SUMPRODUCT((Inputs!$C$5:$C$110=$B38)*ISNUMBER(INDEX(Inputs!$K$5:$AJ$110,0,MATCH(P$2,Inputs!$K$4:$AJ$4,0))))+SUMPRODUCT((Inputs!$E$5:$E$110=$B38)*ISNUMBER(INDEX(Inputs!$K$5:$AJ$110,0,MATCH(P$2,Inputs!$K$4:$AJ$4,0))))=0,NA(),SUMPRODUCT((Inputs!$A$5:$A$110=$B38)*Inputs!$B$5:$B$110*(((Inputs!$G$5:$G$110="moeda")+(Inputs!$G$5:$G$110="acoes"))*Inputs!$B$1+((Inputs!$G$5:$G$110&lt;&gt;"moeda")*(Inputs!$G$5:$G$110&lt;&gt;"acoes")))*INDEX(Inputs!$K$5:$AJ$110,0,MATCH(P$2,Inputs!$K$4:$AJ$4,0)))+SUMPRODUCT((Inputs!$C$5:$C$110=$B38)*Inputs!$D$5:$D$110*(((Inputs!$G$5:$G$110="moeda")+(Inputs!$G$5:$G$110="acoes"))*Inputs!$B$1+((Inputs!$G$5:$G$110&lt;&gt;"moeda")*(Inputs!$G$5:$G$110&lt;&gt;"acoes")))*INDEX(Inputs!$K$5:$AJ$110,0,MATCH(P$2,Inputs!$K$4:$AJ$4,0)))+SUMPRODUCT((Inputs!$E$5:$E$110=$B38)*Inputs!$F$5:$F$110*(((Inputs!$G$5:$G$110="moeda")+(Inputs!$G$5:$G$110="acoes"))*Inputs!$B$1+((Inputs!$G$5:$G$110&lt;&gt;"moeda")*(Inputs!$G$5:$G$110&lt;&gt;"acoes")))*INDEX(Inputs!$K$5:$AJ$110,0,MATCH(P$2,Inputs!$K$4:$AJ$4,0)))))</f>
        <v>0</v>
      </c>
      <c r="Q38" s="267">
        <f>IF(ISNA(MATCH(Q$2,Inputs!$K$4:$AJ$4,0)),NA(),IF(SUMPRODUCT((Inputs!$A$5:$A$110=$B38)*ISNUMBER(INDEX(Inputs!$K$5:$AJ$110,0,MATCH(Q$2,Inputs!$K$4:$AJ$4,0))))+SUMPRODUCT((Inputs!$C$5:$C$110=$B38)*ISNUMBER(INDEX(Inputs!$K$5:$AJ$110,0,MATCH(Q$2,Inputs!$K$4:$AJ$4,0))))+SUMPRODUCT((Inputs!$E$5:$E$110=$B38)*ISNUMBER(INDEX(Inputs!$K$5:$AJ$110,0,MATCH(Q$2,Inputs!$K$4:$AJ$4,0))))=0,NA(),SUMPRODUCT((Inputs!$A$5:$A$110=$B38)*Inputs!$B$5:$B$110*(((Inputs!$G$5:$G$110="moeda")+(Inputs!$G$5:$G$110="acoes"))*Inputs!$B$1+((Inputs!$G$5:$G$110&lt;&gt;"moeda")*(Inputs!$G$5:$G$110&lt;&gt;"acoes")))*INDEX(Inputs!$K$5:$AJ$110,0,MATCH(Q$2,Inputs!$K$4:$AJ$4,0)))+SUMPRODUCT((Inputs!$C$5:$C$110=$B38)*Inputs!$D$5:$D$110*(((Inputs!$G$5:$G$110="moeda")+(Inputs!$G$5:$G$110="acoes"))*Inputs!$B$1+((Inputs!$G$5:$G$110&lt;&gt;"moeda")*(Inputs!$G$5:$G$110&lt;&gt;"acoes")))*INDEX(Inputs!$K$5:$AJ$110,0,MATCH(Q$2,Inputs!$K$4:$AJ$4,0)))+SUMPRODUCT((Inputs!$E$5:$E$110=$B38)*Inputs!$F$5:$F$110*(((Inputs!$G$5:$G$110="moeda")+(Inputs!$G$5:$G$110="acoes"))*Inputs!$B$1+((Inputs!$G$5:$G$110&lt;&gt;"moeda")*(Inputs!$G$5:$G$110&lt;&gt;"acoes")))*INDEX(Inputs!$K$5:$AJ$110,0,MATCH(Q$2,Inputs!$K$4:$AJ$4,0)))))</f>
        <v>0</v>
      </c>
      <c r="R38" s="268">
        <f>Q38</f>
        <v>0</v>
      </c>
      <c r="S38" s="267">
        <f>IF(ISNA(MATCH(S$2,Inputs!$K$4:$AJ$4,0)),NA(),IF(SUMPRODUCT((Inputs!$A$5:$A$110=$B38)*ISNUMBER(INDEX(Inputs!$K$5:$AJ$110,0,MATCH(S$2,Inputs!$K$4:$AJ$4,0))))+SUMPRODUCT((Inputs!$C$5:$C$110=$B38)*ISNUMBER(INDEX(Inputs!$K$5:$AJ$110,0,MATCH(S$2,Inputs!$K$4:$AJ$4,0))))+SUMPRODUCT((Inputs!$E$5:$E$110=$B38)*ISNUMBER(INDEX(Inputs!$K$5:$AJ$110,0,MATCH(S$2,Inputs!$K$4:$AJ$4,0))))=0,NA(),SUMPRODUCT((Inputs!$A$5:$A$110=$B38)*Inputs!$B$5:$B$110*(((Inputs!$G$5:$G$110="moeda")+(Inputs!$G$5:$G$110="acoes"))*Inputs!$B$1+((Inputs!$G$5:$G$110&lt;&gt;"moeda")*(Inputs!$G$5:$G$110&lt;&gt;"acoes")))*INDEX(Inputs!$K$5:$AJ$110,0,MATCH(S$2,Inputs!$K$4:$AJ$4,0)))+SUMPRODUCT((Inputs!$C$5:$C$110=$B38)*Inputs!$D$5:$D$110*(((Inputs!$G$5:$G$110="moeda")+(Inputs!$G$5:$G$110="acoes"))*Inputs!$B$1+((Inputs!$G$5:$G$110&lt;&gt;"moeda")*(Inputs!$G$5:$G$110&lt;&gt;"acoes")))*INDEX(Inputs!$K$5:$AJ$110,0,MATCH(S$2,Inputs!$K$4:$AJ$4,0)))+SUMPRODUCT((Inputs!$E$5:$E$110=$B38)*Inputs!$F$5:$F$110*(((Inputs!$G$5:$G$110="moeda")+(Inputs!$G$5:$G$110="acoes"))*Inputs!$B$1+((Inputs!$G$5:$G$110&lt;&gt;"moeda")*(Inputs!$G$5:$G$110&lt;&gt;"acoes")))*INDEX(Inputs!$K$5:$AJ$110,0,MATCH(S$2,Inputs!$K$4:$AJ$4,0)))))</f>
        <v>0</v>
      </c>
      <c r="T38" s="267">
        <f>IF(ISNA(MATCH(T$2,Inputs!$K$4:$AJ$4,0)),NA(),IF(SUMPRODUCT((Inputs!$A$5:$A$110=$B38)*ISNUMBER(INDEX(Inputs!$K$5:$AJ$110,0,MATCH(T$2,Inputs!$K$4:$AJ$4,0))))+SUMPRODUCT((Inputs!$C$5:$C$110=$B38)*ISNUMBER(INDEX(Inputs!$K$5:$AJ$110,0,MATCH(T$2,Inputs!$K$4:$AJ$4,0))))+SUMPRODUCT((Inputs!$E$5:$E$110=$B38)*ISNUMBER(INDEX(Inputs!$K$5:$AJ$110,0,MATCH(T$2,Inputs!$K$4:$AJ$4,0))))=0,NA(),SUMPRODUCT((Inputs!$A$5:$A$110=$B38)*Inputs!$B$5:$B$110*(((Inputs!$G$5:$G$110="moeda")+(Inputs!$G$5:$G$110="acoes"))*Inputs!$B$1+((Inputs!$G$5:$G$110&lt;&gt;"moeda")*(Inputs!$G$5:$G$110&lt;&gt;"acoes")))*INDEX(Inputs!$K$5:$AJ$110,0,MATCH(T$2,Inputs!$K$4:$AJ$4,0)))+SUMPRODUCT((Inputs!$C$5:$C$110=$B38)*Inputs!$D$5:$D$110*(((Inputs!$G$5:$G$110="moeda")+(Inputs!$G$5:$G$110="acoes"))*Inputs!$B$1+((Inputs!$G$5:$G$110&lt;&gt;"moeda")*(Inputs!$G$5:$G$110&lt;&gt;"acoes")))*INDEX(Inputs!$K$5:$AJ$110,0,MATCH(T$2,Inputs!$K$4:$AJ$4,0)))+SUMPRODUCT((Inputs!$E$5:$E$110=$B38)*Inputs!$F$5:$F$110*(((Inputs!$G$5:$G$110="moeda")+(Inputs!$G$5:$G$110="acoes"))*Inputs!$B$1+((Inputs!$G$5:$G$110&lt;&gt;"moeda")*(Inputs!$G$5:$G$110&lt;&gt;"acoes")))*INDEX(Inputs!$K$5:$AJ$110,0,MATCH(T$2,Inputs!$K$4:$AJ$4,0)))))</f>
        <v>0</v>
      </c>
      <c r="U38" s="267">
        <f>IF(ISNA(MATCH(U$2,Inputs!$K$4:$AJ$4,0)),NA(),IF(SUMPRODUCT((Inputs!$A$5:$A$110=$B38)*ISNUMBER(INDEX(Inputs!$K$5:$AJ$110,0,MATCH(U$2,Inputs!$K$4:$AJ$4,0))))+SUMPRODUCT((Inputs!$C$5:$C$110=$B38)*ISNUMBER(INDEX(Inputs!$K$5:$AJ$110,0,MATCH(U$2,Inputs!$K$4:$AJ$4,0))))+SUMPRODUCT((Inputs!$E$5:$E$110=$B38)*ISNUMBER(INDEX(Inputs!$K$5:$AJ$110,0,MATCH(U$2,Inputs!$K$4:$AJ$4,0))))=0,NA(),SUMPRODUCT((Inputs!$A$5:$A$110=$B38)*Inputs!$B$5:$B$110*(((Inputs!$G$5:$G$110="moeda")+(Inputs!$G$5:$G$110="acoes"))*Inputs!$B$1+((Inputs!$G$5:$G$110&lt;&gt;"moeda")*(Inputs!$G$5:$G$110&lt;&gt;"acoes")))*INDEX(Inputs!$K$5:$AJ$110,0,MATCH(U$2,Inputs!$K$4:$AJ$4,0)))+SUMPRODUCT((Inputs!$C$5:$C$110=$B38)*Inputs!$D$5:$D$110*(((Inputs!$G$5:$G$110="moeda")+(Inputs!$G$5:$G$110="acoes"))*Inputs!$B$1+((Inputs!$G$5:$G$110&lt;&gt;"moeda")*(Inputs!$G$5:$G$110&lt;&gt;"acoes")))*INDEX(Inputs!$K$5:$AJ$110,0,MATCH(U$2,Inputs!$K$4:$AJ$4,0)))+SUMPRODUCT((Inputs!$E$5:$E$110=$B38)*Inputs!$F$5:$F$110*(((Inputs!$G$5:$G$110="moeda")+(Inputs!$G$5:$G$110="acoes"))*Inputs!$B$1+((Inputs!$G$5:$G$110&lt;&gt;"moeda")*(Inputs!$G$5:$G$110&lt;&gt;"acoes")))*INDEX(Inputs!$K$5:$AJ$110,0,MATCH(U$2,Inputs!$K$4:$AJ$4,0)))))</f>
        <v>0</v>
      </c>
      <c r="V38" s="267">
        <f>IF(ISNA(MATCH(V$2,Inputs!$K$4:$AJ$4,0)),NA(),IF(SUMPRODUCT((Inputs!$A$5:$A$110=$B38)*ISNUMBER(INDEX(Inputs!$K$5:$AJ$110,0,MATCH(V$2,Inputs!$K$4:$AJ$4,0))))+SUMPRODUCT((Inputs!$C$5:$C$110=$B38)*ISNUMBER(INDEX(Inputs!$K$5:$AJ$110,0,MATCH(V$2,Inputs!$K$4:$AJ$4,0))))+SUMPRODUCT((Inputs!$E$5:$E$110=$B38)*ISNUMBER(INDEX(Inputs!$K$5:$AJ$110,0,MATCH(V$2,Inputs!$K$4:$AJ$4,0))))=0,NA(),SUMPRODUCT((Inputs!$A$5:$A$110=$B38)*Inputs!$B$5:$B$110*(((Inputs!$G$5:$G$110="moeda")+(Inputs!$G$5:$G$110="acoes"))*Inputs!$B$1+((Inputs!$G$5:$G$110&lt;&gt;"moeda")*(Inputs!$G$5:$G$110&lt;&gt;"acoes")))*INDEX(Inputs!$K$5:$AJ$110,0,MATCH(V$2,Inputs!$K$4:$AJ$4,0)))+SUMPRODUCT((Inputs!$C$5:$C$110=$B38)*Inputs!$D$5:$D$110*(((Inputs!$G$5:$G$110="moeda")+(Inputs!$G$5:$G$110="acoes"))*Inputs!$B$1+((Inputs!$G$5:$G$110&lt;&gt;"moeda")*(Inputs!$G$5:$G$110&lt;&gt;"acoes")))*INDEX(Inputs!$K$5:$AJ$110,0,MATCH(V$2,Inputs!$K$4:$AJ$4,0)))+SUMPRODUCT((Inputs!$E$5:$E$110=$B38)*Inputs!$F$5:$F$110*(((Inputs!$G$5:$G$110="moeda")+(Inputs!$G$5:$G$110="acoes"))*Inputs!$B$1+((Inputs!$G$5:$G$110&lt;&gt;"moeda")*(Inputs!$G$5:$G$110&lt;&gt;"acoes")))*INDEX(Inputs!$K$5:$AJ$110,0,MATCH(V$2,Inputs!$K$4:$AJ$4,0)))))</f>
        <v>0</v>
      </c>
      <c r="W38" s="268">
        <f>V38</f>
        <v>0</v>
      </c>
      <c r="X38" s="267">
        <f>IF(ISNA(MATCH(X$2,Inputs!$K$4:$AJ$4,0)),NA(),IF(SUMPRODUCT((Inputs!$A$5:$A$110=$B38)*ISNUMBER(INDEX(Inputs!$K$5:$AJ$110,0,MATCH(X$2,Inputs!$K$4:$AJ$4,0))))+SUMPRODUCT((Inputs!$C$5:$C$110=$B38)*ISNUMBER(INDEX(Inputs!$K$5:$AJ$110,0,MATCH(X$2,Inputs!$K$4:$AJ$4,0))))+SUMPRODUCT((Inputs!$E$5:$E$110=$B38)*ISNUMBER(INDEX(Inputs!$K$5:$AJ$110,0,MATCH(X$2,Inputs!$K$4:$AJ$4,0))))=0,NA(),SUMPRODUCT((Inputs!$A$5:$A$110=$B38)*Inputs!$B$5:$B$110*(((Inputs!$G$5:$G$110="moeda")+(Inputs!$G$5:$G$110="acoes"))*Inputs!$B$1+((Inputs!$G$5:$G$110&lt;&gt;"moeda")*(Inputs!$G$5:$G$110&lt;&gt;"acoes")))*INDEX(Inputs!$K$5:$AJ$110,0,MATCH(X$2,Inputs!$K$4:$AJ$4,0)))+SUMPRODUCT((Inputs!$C$5:$C$110=$B38)*Inputs!$D$5:$D$110*(((Inputs!$G$5:$G$110="moeda")+(Inputs!$G$5:$G$110="acoes"))*Inputs!$B$1+((Inputs!$G$5:$G$110&lt;&gt;"moeda")*(Inputs!$G$5:$G$110&lt;&gt;"acoes")))*INDEX(Inputs!$K$5:$AJ$110,0,MATCH(X$2,Inputs!$K$4:$AJ$4,0)))+SUMPRODUCT((Inputs!$E$5:$E$110=$B38)*Inputs!$F$5:$F$110*(((Inputs!$G$5:$G$110="moeda")+(Inputs!$G$5:$G$110="acoes"))*Inputs!$B$1+((Inputs!$G$5:$G$110&lt;&gt;"moeda")*(Inputs!$G$5:$G$110&lt;&gt;"acoes")))*INDEX(Inputs!$K$5:$AJ$110,0,MATCH(X$2,Inputs!$K$4:$AJ$4,0)))))</f>
        <v>0</v>
      </c>
      <c r="Y38" s="267">
        <f>IF(ISNA(MATCH(Y$2,Inputs!$K$4:$AJ$4,0)),NA(),IF(SUMPRODUCT((Inputs!$A$5:$A$110=$B38)*ISNUMBER(INDEX(Inputs!$K$5:$AJ$110,0,MATCH(Y$2,Inputs!$K$4:$AJ$4,0))))+SUMPRODUCT((Inputs!$C$5:$C$110=$B38)*ISNUMBER(INDEX(Inputs!$K$5:$AJ$110,0,MATCH(Y$2,Inputs!$K$4:$AJ$4,0))))+SUMPRODUCT((Inputs!$E$5:$E$110=$B38)*ISNUMBER(INDEX(Inputs!$K$5:$AJ$110,0,MATCH(Y$2,Inputs!$K$4:$AJ$4,0))))=0,NA(),SUMPRODUCT((Inputs!$A$5:$A$110=$B38)*Inputs!$B$5:$B$110*(((Inputs!$G$5:$G$110="moeda")+(Inputs!$G$5:$G$110="acoes"))*Inputs!$B$1+((Inputs!$G$5:$G$110&lt;&gt;"moeda")*(Inputs!$G$5:$G$110&lt;&gt;"acoes")))*INDEX(Inputs!$K$5:$AJ$110,0,MATCH(Y$2,Inputs!$K$4:$AJ$4,0)))+SUMPRODUCT((Inputs!$C$5:$C$110=$B38)*Inputs!$D$5:$D$110*(((Inputs!$G$5:$G$110="moeda")+(Inputs!$G$5:$G$110="acoes"))*Inputs!$B$1+((Inputs!$G$5:$G$110&lt;&gt;"moeda")*(Inputs!$G$5:$G$110&lt;&gt;"acoes")))*INDEX(Inputs!$K$5:$AJ$110,0,MATCH(Y$2,Inputs!$K$4:$AJ$4,0)))+SUMPRODUCT((Inputs!$E$5:$E$110=$B38)*Inputs!$F$5:$F$110*(((Inputs!$G$5:$G$110="moeda")+(Inputs!$G$5:$G$110="acoes"))*Inputs!$B$1+((Inputs!$G$5:$G$110&lt;&gt;"moeda")*(Inputs!$G$5:$G$110&lt;&gt;"acoes")))*INDEX(Inputs!$K$5:$AJ$110,0,MATCH(Y$2,Inputs!$K$4:$AJ$4,0)))))</f>
        <v>0</v>
      </c>
      <c r="Z38" s="267">
        <f>IF(ISNA(MATCH(Z$2,Inputs!$K$4:$AJ$4,0)),NA(),IF(SUMPRODUCT((Inputs!$A$5:$A$110=$B38)*ISNUMBER(INDEX(Inputs!$K$5:$AJ$110,0,MATCH(Z$2,Inputs!$K$4:$AJ$4,0))))+SUMPRODUCT((Inputs!$C$5:$C$110=$B38)*ISNUMBER(INDEX(Inputs!$K$5:$AJ$110,0,MATCH(Z$2,Inputs!$K$4:$AJ$4,0))))+SUMPRODUCT((Inputs!$E$5:$E$110=$B38)*ISNUMBER(INDEX(Inputs!$K$5:$AJ$110,0,MATCH(Z$2,Inputs!$K$4:$AJ$4,0))))=0,NA(),SUMPRODUCT((Inputs!$A$5:$A$110=$B38)*Inputs!$B$5:$B$110*(((Inputs!$G$5:$G$110="moeda")+(Inputs!$G$5:$G$110="acoes"))*Inputs!$B$1+((Inputs!$G$5:$G$110&lt;&gt;"moeda")*(Inputs!$G$5:$G$110&lt;&gt;"acoes")))*INDEX(Inputs!$K$5:$AJ$110,0,MATCH(Z$2,Inputs!$K$4:$AJ$4,0)))+SUMPRODUCT((Inputs!$C$5:$C$110=$B38)*Inputs!$D$5:$D$110*(((Inputs!$G$5:$G$110="moeda")+(Inputs!$G$5:$G$110="acoes"))*Inputs!$B$1+((Inputs!$G$5:$G$110&lt;&gt;"moeda")*(Inputs!$G$5:$G$110&lt;&gt;"acoes")))*INDEX(Inputs!$K$5:$AJ$110,0,MATCH(Z$2,Inputs!$K$4:$AJ$4,0)))+SUMPRODUCT((Inputs!$E$5:$E$110=$B38)*Inputs!$F$5:$F$110*(((Inputs!$G$5:$G$110="moeda")+(Inputs!$G$5:$G$110="acoes"))*Inputs!$B$1+((Inputs!$G$5:$G$110&lt;&gt;"moeda")*(Inputs!$G$5:$G$110&lt;&gt;"acoes")))*INDEX(Inputs!$K$5:$AJ$110,0,MATCH(Z$2,Inputs!$K$4:$AJ$4,0)))))</f>
        <v>0</v>
      </c>
      <c r="AA38" s="267">
        <f>IF(ISNA(MATCH(AA$2,Inputs!$K$4:$AJ$4,0)),NA(),IF(SUMPRODUCT((Inputs!$A$5:$A$110=$B38)*ISNUMBER(INDEX(Inputs!$K$5:$AJ$110,0,MATCH(AA$2,Inputs!$K$4:$AJ$4,0))))+SUMPRODUCT((Inputs!$C$5:$C$110=$B38)*ISNUMBER(INDEX(Inputs!$K$5:$AJ$110,0,MATCH(AA$2,Inputs!$K$4:$AJ$4,0))))+SUMPRODUCT((Inputs!$E$5:$E$110=$B38)*ISNUMBER(INDEX(Inputs!$K$5:$AJ$110,0,MATCH(AA$2,Inputs!$K$4:$AJ$4,0))))=0,NA(),SUMPRODUCT((Inputs!$A$5:$A$110=$B38)*Inputs!$B$5:$B$110*(((Inputs!$G$5:$G$110="moeda")+(Inputs!$G$5:$G$110="acoes"))*Inputs!$B$1+((Inputs!$G$5:$G$110&lt;&gt;"moeda")*(Inputs!$G$5:$G$110&lt;&gt;"acoes")))*INDEX(Inputs!$K$5:$AJ$110,0,MATCH(AA$2,Inputs!$K$4:$AJ$4,0)))+SUMPRODUCT((Inputs!$C$5:$C$110=$B38)*Inputs!$D$5:$D$110*(((Inputs!$G$5:$G$110="moeda")+(Inputs!$G$5:$G$110="acoes"))*Inputs!$B$1+((Inputs!$G$5:$G$110&lt;&gt;"moeda")*(Inputs!$G$5:$G$110&lt;&gt;"acoes")))*INDEX(Inputs!$K$5:$AJ$110,0,MATCH(AA$2,Inputs!$K$4:$AJ$4,0)))+SUMPRODUCT((Inputs!$E$5:$E$110=$B38)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8" s="268">
        <f>AA38</f>
        <v>0</v>
      </c>
      <c r="AC38" s="267">
        <f>IF(ISNA(MATCH(AC$2,Inputs!$K$4:$AJ$4,0)),NA(),IF(SUMPRODUCT((Inputs!$A$5:$A$110=$B38)*ISNUMBER(INDEX(Inputs!$K$5:$AJ$110,0,MATCH(AC$2,Inputs!$K$4:$AJ$4,0))))+SUMPRODUCT((Inputs!$C$5:$C$110=$B38)*ISNUMBER(INDEX(Inputs!$K$5:$AJ$110,0,MATCH(AC$2,Inputs!$K$4:$AJ$4,0))))+SUMPRODUCT((Inputs!$E$5:$E$110=$B38)*ISNUMBER(INDEX(Inputs!$K$5:$AJ$110,0,MATCH(AC$2,Inputs!$K$4:$AJ$4,0))))=0,NA(),SUMPRODUCT((Inputs!$A$5:$A$110=$B38)*Inputs!$B$5:$B$110*(((Inputs!$G$5:$G$110="moeda")+(Inputs!$G$5:$G$110="acoes"))*Inputs!$B$1+((Inputs!$G$5:$G$110&lt;&gt;"moeda")*(Inputs!$G$5:$G$110&lt;&gt;"acoes")))*INDEX(Inputs!$K$5:$AJ$110,0,MATCH(AC$2,Inputs!$K$4:$AJ$4,0)))+SUMPRODUCT((Inputs!$C$5:$C$110=$B38)*Inputs!$D$5:$D$110*(((Inputs!$G$5:$G$110="moeda")+(Inputs!$G$5:$G$110="acoes"))*Inputs!$B$1+((Inputs!$G$5:$G$110&lt;&gt;"moeda")*(Inputs!$G$5:$G$110&lt;&gt;"acoes")))*INDEX(Inputs!$K$5:$AJ$110,0,MATCH(AC$2,Inputs!$K$4:$AJ$4,0)))+SUMPRODUCT((Inputs!$E$5:$E$110=$B38)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8" s="267">
        <f>IF(ISNA(MATCH(AD$2,Inputs!$K$4:$AJ$4,0)),NA(),IF(SUMPRODUCT((Inputs!$A$5:$A$110=$B38)*ISNUMBER(INDEX(Inputs!$K$5:$AJ$110,0,MATCH(AD$2,Inputs!$K$4:$AJ$4,0))))+SUMPRODUCT((Inputs!$C$5:$C$110=$B38)*ISNUMBER(INDEX(Inputs!$K$5:$AJ$110,0,MATCH(AD$2,Inputs!$K$4:$AJ$4,0))))+SUMPRODUCT((Inputs!$E$5:$E$110=$B38)*ISNUMBER(INDEX(Inputs!$K$5:$AJ$110,0,MATCH(AD$2,Inputs!$K$4:$AJ$4,0))))=0,NA(),SUMPRODUCT((Inputs!$A$5:$A$110=$B38)*Inputs!$B$5:$B$110*(((Inputs!$G$5:$G$110="moeda")+(Inputs!$G$5:$G$110="acoes"))*Inputs!$B$1+((Inputs!$G$5:$G$110&lt;&gt;"moeda")*(Inputs!$G$5:$G$110&lt;&gt;"acoes")))*INDEX(Inputs!$K$5:$AJ$110,0,MATCH(AD$2,Inputs!$K$4:$AJ$4,0)))+SUMPRODUCT((Inputs!$C$5:$C$110=$B38)*Inputs!$D$5:$D$110*(((Inputs!$G$5:$G$110="moeda")+(Inputs!$G$5:$G$110="acoes"))*Inputs!$B$1+((Inputs!$G$5:$G$110&lt;&gt;"moeda")*(Inputs!$G$5:$G$110&lt;&gt;"acoes")))*INDEX(Inputs!$K$5:$AJ$110,0,MATCH(AD$2,Inputs!$K$4:$AJ$4,0)))+SUMPRODUCT((Inputs!$E$5:$E$110=$B38)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8" s="267" t="e">
        <f>IF(ISNA(MATCH(AE$2,Inputs!$K$4:$AJ$4,0)),NA(),IF(SUMPRODUCT((Inputs!$A$5:$A$110=$B38)*ISNUMBER(INDEX(Inputs!$K$5:$AJ$110,0,MATCH(AE$2,Inputs!$K$4:$AJ$4,0))))+SUMPRODUCT((Inputs!$C$5:$C$110=$B38)*ISNUMBER(INDEX(Inputs!$K$5:$AJ$110,0,MATCH(AE$2,Inputs!$K$4:$AJ$4,0))))+SUMPRODUCT((Inputs!$E$5:$E$110=$B38)*ISNUMBER(INDEX(Inputs!$K$5:$AJ$110,0,MATCH(AE$2,Inputs!$K$4:$AJ$4,0))))=0,NA(),SUMPRODUCT((Inputs!$A$5:$A$110=$B38)*Inputs!$B$5:$B$110*(((Inputs!$G$5:$G$110="moeda")+(Inputs!$G$5:$G$110="acoes"))*Inputs!$B$1+((Inputs!$G$5:$G$110&lt;&gt;"moeda")*(Inputs!$G$5:$G$110&lt;&gt;"acoes")))*INDEX(Inputs!$K$5:$AJ$110,0,MATCH(AE$2,Inputs!$K$4:$AJ$4,0)))+SUMPRODUCT((Inputs!$C$5:$C$110=$B38)*Inputs!$D$5:$D$110*(((Inputs!$G$5:$G$110="moeda")+(Inputs!$G$5:$G$110="acoes"))*Inputs!$B$1+((Inputs!$G$5:$G$110&lt;&gt;"moeda")*(Inputs!$G$5:$G$110&lt;&gt;"acoes")))*INDEX(Inputs!$K$5:$AJ$110,0,MATCH(AE$2,Inputs!$K$4:$AJ$4,0)))+SUMPRODUCT((Inputs!$E$5:$E$110=$B38)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8" s="267" t="e">
        <f>IF(ISNA(MATCH(AF$2,Inputs!$K$4:$AJ$4,0)),NA(),IF(SUMPRODUCT((Inputs!$A$5:$A$110=$B38)*ISNUMBER(INDEX(Inputs!$K$5:$AJ$110,0,MATCH(AF$2,Inputs!$K$4:$AJ$4,0))))+SUMPRODUCT((Inputs!$C$5:$C$110=$B38)*ISNUMBER(INDEX(Inputs!$K$5:$AJ$110,0,MATCH(AF$2,Inputs!$K$4:$AJ$4,0))))+SUMPRODUCT((Inputs!$E$5:$E$110=$B38)*ISNUMBER(INDEX(Inputs!$K$5:$AJ$110,0,MATCH(AF$2,Inputs!$K$4:$AJ$4,0))))=0,NA(),SUMPRODUCT((Inputs!$A$5:$A$110=$B38)*Inputs!$B$5:$B$110*(((Inputs!$G$5:$G$110="moeda")+(Inputs!$G$5:$G$110="acoes"))*Inputs!$B$1+((Inputs!$G$5:$G$110&lt;&gt;"moeda")*(Inputs!$G$5:$G$110&lt;&gt;"acoes")))*INDEX(Inputs!$K$5:$AJ$110,0,MATCH(AF$2,Inputs!$K$4:$AJ$4,0)))+SUMPRODUCT((Inputs!$C$5:$C$110=$B38)*Inputs!$D$5:$D$110*(((Inputs!$G$5:$G$110="moeda")+(Inputs!$G$5:$G$110="acoes"))*Inputs!$B$1+((Inputs!$G$5:$G$110&lt;&gt;"moeda")*(Inputs!$G$5:$G$110&lt;&gt;"acoes")))*INDEX(Inputs!$K$5:$AJ$110,0,MATCH(AF$2,Inputs!$K$4:$AJ$4,0)))+SUMPRODUCT((Inputs!$E$5:$E$110=$B38)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8" s="268" t="e">
        <f>AF38</f>
        <v>#N/A</v>
      </c>
      <c r="AH38" s="267">
        <f>IF(ISNA(MATCH(AH$2,Inputs!$K$4:$AJ$4,0)),NA(),IF(SUMPRODUCT((Inputs!$A$5:$A$110=$B38)*ISNUMBER(INDEX(Inputs!$K$5:$AJ$110,0,MATCH(AH$2,Inputs!$K$4:$AJ$4,0))))+SUMPRODUCT((Inputs!$C$5:$C$110=$B38)*ISNUMBER(INDEX(Inputs!$K$5:$AJ$110,0,MATCH(AH$2,Inputs!$K$4:$AJ$4,0))))+SUMPRODUCT((Inputs!$E$5:$E$110=$B38)*ISNUMBER(INDEX(Inputs!$K$5:$AJ$110,0,MATCH(AH$2,Inputs!$K$4:$AJ$4,0))))=0,NA(),SUMPRODUCT((Inputs!$A$5:$A$110=$B38)*Inputs!$B$5:$B$110*(((Inputs!$G$5:$G$110="moeda")+(Inputs!$G$5:$G$110="acoes"))*Inputs!$B$1+((Inputs!$G$5:$G$110&lt;&gt;"moeda")*(Inputs!$G$5:$G$110&lt;&gt;"acoes")))*INDEX(Inputs!$K$5:$AJ$110,0,MATCH(AH$2,Inputs!$K$4:$AJ$4,0)))+SUMPRODUCT((Inputs!$C$5:$C$110=$B38)*Inputs!$D$5:$D$110*(((Inputs!$G$5:$G$110="moeda")+(Inputs!$G$5:$G$110="acoes"))*Inputs!$B$1+((Inputs!$G$5:$G$110&lt;&gt;"moeda")*(Inputs!$G$5:$G$110&lt;&gt;"acoes")))*INDEX(Inputs!$K$5:$AJ$110,0,MATCH(AH$2,Inputs!$K$4:$AJ$4,0)))+SUMPRODUCT((Inputs!$E$5:$E$110=$B38)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8" s="267">
        <f>IF(ISNA(MATCH(AI$2,Inputs!$K$4:$AJ$4,0)),NA(),IF(SUMPRODUCT((Inputs!$A$5:$A$110=$B38)*ISNUMBER(INDEX(Inputs!$K$5:$AJ$110,0,MATCH(AI$2,Inputs!$K$4:$AJ$4,0))))+SUMPRODUCT((Inputs!$C$5:$C$110=$B38)*ISNUMBER(INDEX(Inputs!$K$5:$AJ$110,0,MATCH(AI$2,Inputs!$K$4:$AJ$4,0))))+SUMPRODUCT((Inputs!$E$5:$E$110=$B38)*ISNUMBER(INDEX(Inputs!$K$5:$AJ$110,0,MATCH(AI$2,Inputs!$K$4:$AJ$4,0))))=0,NA(),SUMPRODUCT((Inputs!$A$5:$A$110=$B38)*Inputs!$B$5:$B$110*(((Inputs!$G$5:$G$110="moeda")+(Inputs!$G$5:$G$110="acoes"))*Inputs!$B$1+((Inputs!$G$5:$G$110&lt;&gt;"moeda")*(Inputs!$G$5:$G$110&lt;&gt;"acoes")))*INDEX(Inputs!$K$5:$AJ$110,0,MATCH(AI$2,Inputs!$K$4:$AJ$4,0)))+SUMPRODUCT((Inputs!$C$5:$C$110=$B38)*Inputs!$D$5:$D$110*(((Inputs!$G$5:$G$110="moeda")+(Inputs!$G$5:$G$110="acoes"))*Inputs!$B$1+((Inputs!$G$5:$G$110&lt;&gt;"moeda")*(Inputs!$G$5:$G$110&lt;&gt;"acoes")))*INDEX(Inputs!$K$5:$AJ$110,0,MATCH(AI$2,Inputs!$K$4:$AJ$4,0)))+SUMPRODUCT((Inputs!$E$5:$E$110=$B38)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8" s="267">
        <f>IF(ISNA(MATCH(AJ$2,Inputs!$K$4:$AJ$4,0)),NA(),IF(SUMPRODUCT((Inputs!$A$5:$A$110=$B38)*ISNUMBER(INDEX(Inputs!$K$5:$AJ$110,0,MATCH(AJ$2,Inputs!$K$4:$AJ$4,0))))+SUMPRODUCT((Inputs!$C$5:$C$110=$B38)*ISNUMBER(INDEX(Inputs!$K$5:$AJ$110,0,MATCH(AJ$2,Inputs!$K$4:$AJ$4,0))))+SUMPRODUCT((Inputs!$E$5:$E$110=$B38)*ISNUMBER(INDEX(Inputs!$K$5:$AJ$110,0,MATCH(AJ$2,Inputs!$K$4:$AJ$4,0))))=0,NA(),SUMPRODUCT((Inputs!$A$5:$A$110=$B38)*Inputs!$B$5:$B$110*(((Inputs!$G$5:$G$110="moeda")+(Inputs!$G$5:$G$110="acoes"))*Inputs!$B$1+((Inputs!$G$5:$G$110&lt;&gt;"moeda")*(Inputs!$G$5:$G$110&lt;&gt;"acoes")))*INDEX(Inputs!$K$5:$AJ$110,0,MATCH(AJ$2,Inputs!$K$4:$AJ$4,0)))+SUMPRODUCT((Inputs!$C$5:$C$110=$B38)*Inputs!$D$5:$D$110*(((Inputs!$G$5:$G$110="moeda")+(Inputs!$G$5:$G$110="acoes"))*Inputs!$B$1+((Inputs!$G$5:$G$110&lt;&gt;"moeda")*(Inputs!$G$5:$G$110&lt;&gt;"acoes")))*INDEX(Inputs!$K$5:$AJ$110,0,MATCH(AJ$2,Inputs!$K$4:$AJ$4,0)))+SUMPRODUCT((Inputs!$E$5:$E$110=$B38)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8" s="267">
        <f>IF(ISNA(MATCH(AK$2,Inputs!$K$4:$AJ$4,0)),NA(),IF(SUMPRODUCT((Inputs!$A$5:$A$110=$B38)*ISNUMBER(INDEX(Inputs!$K$5:$AJ$110,0,MATCH(AK$2,Inputs!$K$4:$AJ$4,0))))+SUMPRODUCT((Inputs!$C$5:$C$110=$B38)*ISNUMBER(INDEX(Inputs!$K$5:$AJ$110,0,MATCH(AK$2,Inputs!$K$4:$AJ$4,0))))+SUMPRODUCT((Inputs!$E$5:$E$110=$B38)*ISNUMBER(INDEX(Inputs!$K$5:$AJ$110,0,MATCH(AK$2,Inputs!$K$4:$AJ$4,0))))=0,NA(),SUMPRODUCT((Inputs!$A$5:$A$110=$B38)*Inputs!$B$5:$B$110*(((Inputs!$G$5:$G$110="moeda")+(Inputs!$G$5:$G$110="acoes"))*Inputs!$B$1+((Inputs!$G$5:$G$110&lt;&gt;"moeda")*(Inputs!$G$5:$G$110&lt;&gt;"acoes")))*INDEX(Inputs!$K$5:$AJ$110,0,MATCH(AK$2,Inputs!$K$4:$AJ$4,0)))+SUMPRODUCT((Inputs!$C$5:$C$110=$B38)*Inputs!$D$5:$D$110*(((Inputs!$G$5:$G$110="moeda")+(Inputs!$G$5:$G$110="acoes"))*Inputs!$B$1+((Inputs!$G$5:$G$110&lt;&gt;"moeda")*(Inputs!$G$5:$G$110&lt;&gt;"acoes")))*INDEX(Inputs!$K$5:$AJ$110,0,MATCH(AK$2,Inputs!$K$4:$AJ$4,0)))+SUMPRODUCT((Inputs!$E$5:$E$110=$B38)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8" s="268">
        <f>AK38</f>
        <v>0</v>
      </c>
    </row>
    <row r="39" ht="12.75" customHeight="1" s="255">
      <c r="B39" s="265" t="n">
        <v>34</v>
      </c>
      <c r="C39" s="270" t="inlineStr">
        <is>
          <t>Other non-current liabilities</t>
        </is>
      </c>
      <c r="D39" s="267">
        <f>IF(ISNA(MATCH(D$2,Inputs!$K$4:$AJ$4,0)),NA(),IF(SUMPRODUCT((Inputs!$A$5:$A$110=$B39)*ISNUMBER(INDEX(Inputs!$K$5:$AJ$110,0,MATCH(D$2,Inputs!$K$4:$AJ$4,0))))+SUMPRODUCT((Inputs!$C$5:$C$110=$B39)*ISNUMBER(INDEX(Inputs!$K$5:$AJ$110,0,MATCH(D$2,Inputs!$K$4:$AJ$4,0))))+SUMPRODUCT((Inputs!$E$5:$E$110=$B39)*ISNUMBER(INDEX(Inputs!$K$5:$AJ$110,0,MATCH(D$2,Inputs!$K$4:$AJ$4,0))))=0,NA(),SUMPRODUCT((Inputs!$A$5:$A$110=$B39)*Inputs!$B$5:$B$110*(((Inputs!$G$5:$G$110="moeda")+(Inputs!$G$5:$G$110="acoes"))*Inputs!$B$1+((Inputs!$G$5:$G$110&lt;&gt;"moeda")*(Inputs!$G$5:$G$110&lt;&gt;"acoes")))*INDEX(Inputs!$K$5:$AJ$110,0,MATCH(D$2,Inputs!$K$4:$AJ$4,0)))+SUMPRODUCT((Inputs!$C$5:$C$110=$B39)*Inputs!$D$5:$D$110*(((Inputs!$G$5:$G$110="moeda")+(Inputs!$G$5:$G$110="acoes"))*Inputs!$B$1+((Inputs!$G$5:$G$110&lt;&gt;"moeda")*(Inputs!$G$5:$G$110&lt;&gt;"acoes")))*INDEX(Inputs!$K$5:$AJ$110,0,MATCH(D$2,Inputs!$K$4:$AJ$4,0)))+SUMPRODUCT((Inputs!$E$5:$E$110=$B39)*Inputs!$F$5:$F$110*(((Inputs!$G$5:$G$110="moeda")+(Inputs!$G$5:$G$110="acoes"))*Inputs!$B$1+((Inputs!$G$5:$G$110&lt;&gt;"moeda")*(Inputs!$G$5:$G$110&lt;&gt;"acoes")))*INDEX(Inputs!$K$5:$AJ$110,0,MATCH(D$2,Inputs!$K$4:$AJ$4,0)))))</f>
        <v>2052</v>
      </c>
      <c r="E39" s="267">
        <f>IF(ISNA(MATCH(E$2,Inputs!$K$4:$AJ$4,0)),NA(),IF(SUMPRODUCT((Inputs!$A$5:$A$110=$B39)*ISNUMBER(INDEX(Inputs!$K$5:$AJ$110,0,MATCH(E$2,Inputs!$K$4:$AJ$4,0))))+SUMPRODUCT((Inputs!$C$5:$C$110=$B39)*ISNUMBER(INDEX(Inputs!$K$5:$AJ$110,0,MATCH(E$2,Inputs!$K$4:$AJ$4,0))))+SUMPRODUCT((Inputs!$E$5:$E$110=$B39)*ISNUMBER(INDEX(Inputs!$K$5:$AJ$110,0,MATCH(E$2,Inputs!$K$4:$AJ$4,0))))=0,NA(),SUMPRODUCT((Inputs!$A$5:$A$110=$B39)*Inputs!$B$5:$B$110*(((Inputs!$G$5:$G$110="moeda")+(Inputs!$G$5:$G$110="acoes"))*Inputs!$B$1+((Inputs!$G$5:$G$110&lt;&gt;"moeda")*(Inputs!$G$5:$G$110&lt;&gt;"acoes")))*INDEX(Inputs!$K$5:$AJ$110,0,MATCH(E$2,Inputs!$K$4:$AJ$4,0)))+SUMPRODUCT((Inputs!$C$5:$C$110=$B39)*Inputs!$D$5:$D$110*(((Inputs!$G$5:$G$110="moeda")+(Inputs!$G$5:$G$110="acoes"))*Inputs!$B$1+((Inputs!$G$5:$G$110&lt;&gt;"moeda")*(Inputs!$G$5:$G$110&lt;&gt;"acoes")))*INDEX(Inputs!$K$5:$AJ$110,0,MATCH(E$2,Inputs!$K$4:$AJ$4,0)))+SUMPRODUCT((Inputs!$E$5:$E$110=$B39)*Inputs!$F$5:$F$110*(((Inputs!$G$5:$G$110="moeda")+(Inputs!$G$5:$G$110="acoes"))*Inputs!$B$1+((Inputs!$G$5:$G$110&lt;&gt;"moeda")*(Inputs!$G$5:$G$110&lt;&gt;"acoes")))*INDEX(Inputs!$K$5:$AJ$110,0,MATCH(E$2,Inputs!$K$4:$AJ$4,0)))))</f>
        <v>2182</v>
      </c>
      <c r="F39" s="267">
        <f>IF(ISNA(MATCH(F$2,Inputs!$K$4:$AJ$4,0)),NA(),IF(SUMPRODUCT((Inputs!$A$5:$A$110=$B39)*ISNUMBER(INDEX(Inputs!$K$5:$AJ$110,0,MATCH(F$2,Inputs!$K$4:$AJ$4,0))))+SUMPRODUCT((Inputs!$C$5:$C$110=$B39)*ISNUMBER(INDEX(Inputs!$K$5:$AJ$110,0,MATCH(F$2,Inputs!$K$4:$AJ$4,0))))+SUMPRODUCT((Inputs!$E$5:$E$110=$B39)*ISNUMBER(INDEX(Inputs!$K$5:$AJ$110,0,MATCH(F$2,Inputs!$K$4:$AJ$4,0))))=0,NA(),SUMPRODUCT((Inputs!$A$5:$A$110=$B39)*Inputs!$B$5:$B$110*(((Inputs!$G$5:$G$110="moeda")+(Inputs!$G$5:$G$110="acoes"))*Inputs!$B$1+((Inputs!$G$5:$G$110&lt;&gt;"moeda")*(Inputs!$G$5:$G$110&lt;&gt;"acoes")))*INDEX(Inputs!$K$5:$AJ$110,0,MATCH(F$2,Inputs!$K$4:$AJ$4,0)))+SUMPRODUCT((Inputs!$C$5:$C$110=$B39)*Inputs!$D$5:$D$110*(((Inputs!$G$5:$G$110="moeda")+(Inputs!$G$5:$G$110="acoes"))*Inputs!$B$1+((Inputs!$G$5:$G$110&lt;&gt;"moeda")*(Inputs!$G$5:$G$110&lt;&gt;"acoes")))*INDEX(Inputs!$K$5:$AJ$110,0,MATCH(F$2,Inputs!$K$4:$AJ$4,0)))+SUMPRODUCT((Inputs!$E$5:$E$110=$B39)*Inputs!$F$5:$F$110*(((Inputs!$G$5:$G$110="moeda")+(Inputs!$G$5:$G$110="acoes"))*Inputs!$B$1+((Inputs!$G$5:$G$110&lt;&gt;"moeda")*(Inputs!$G$5:$G$110&lt;&gt;"acoes")))*INDEX(Inputs!$K$5:$AJ$110,0,MATCH(F$2,Inputs!$K$4:$AJ$4,0)))))</f>
        <v>2415</v>
      </c>
      <c r="G39" s="267">
        <f>IF(ISNA(MATCH(G$2,Inputs!$K$4:$AJ$4,0)),NA(),IF(SUMPRODUCT((Inputs!$A$5:$A$110=$B39)*ISNUMBER(INDEX(Inputs!$K$5:$AJ$110,0,MATCH(G$2,Inputs!$K$4:$AJ$4,0))))+SUMPRODUCT((Inputs!$C$5:$C$110=$B39)*ISNUMBER(INDEX(Inputs!$K$5:$AJ$110,0,MATCH(G$2,Inputs!$K$4:$AJ$4,0))))+SUMPRODUCT((Inputs!$E$5:$E$110=$B39)*ISNUMBER(INDEX(Inputs!$K$5:$AJ$110,0,MATCH(G$2,Inputs!$K$4:$AJ$4,0))))=0,NA(),SUMPRODUCT((Inputs!$A$5:$A$110=$B39)*Inputs!$B$5:$B$110*(((Inputs!$G$5:$G$110="moeda")+(Inputs!$G$5:$G$110="acoes"))*Inputs!$B$1+((Inputs!$G$5:$G$110&lt;&gt;"moeda")*(Inputs!$G$5:$G$110&lt;&gt;"acoes")))*INDEX(Inputs!$K$5:$AJ$110,0,MATCH(G$2,Inputs!$K$4:$AJ$4,0)))+SUMPRODUCT((Inputs!$C$5:$C$110=$B39)*Inputs!$D$5:$D$110*(((Inputs!$G$5:$G$110="moeda")+(Inputs!$G$5:$G$110="acoes"))*Inputs!$B$1+((Inputs!$G$5:$G$110&lt;&gt;"moeda")*(Inputs!$G$5:$G$110&lt;&gt;"acoes")))*INDEX(Inputs!$K$5:$AJ$110,0,MATCH(G$2,Inputs!$K$4:$AJ$4,0)))+SUMPRODUCT((Inputs!$E$5:$E$110=$B39)*Inputs!$F$5:$F$110*(((Inputs!$G$5:$G$110="moeda")+(Inputs!$G$5:$G$110="acoes"))*Inputs!$B$1+((Inputs!$G$5:$G$110&lt;&gt;"moeda")*(Inputs!$G$5:$G$110&lt;&gt;"acoes")))*INDEX(Inputs!$K$5:$AJ$110,0,MATCH(G$2,Inputs!$K$4:$AJ$4,0)))))</f>
        <v>2491</v>
      </c>
      <c r="H39" s="268">
        <f>G39</f>
        <v>2491</v>
      </c>
      <c r="I39" s="267">
        <f>IF(ISNA(MATCH(I$2,Inputs!$K$4:$AJ$4,0)),NA(),IF(SUMPRODUCT((Inputs!$A$5:$A$110=$B39)*ISNUMBER(INDEX(Inputs!$K$5:$AJ$110,0,MATCH(I$2,Inputs!$K$4:$AJ$4,0))))+SUMPRODUCT((Inputs!$C$5:$C$110=$B39)*ISNUMBER(INDEX(Inputs!$K$5:$AJ$110,0,MATCH(I$2,Inputs!$K$4:$AJ$4,0))))+SUMPRODUCT((Inputs!$E$5:$E$110=$B39)*ISNUMBER(INDEX(Inputs!$K$5:$AJ$110,0,MATCH(I$2,Inputs!$K$4:$AJ$4,0))))=0,NA(),SUMPRODUCT((Inputs!$A$5:$A$110=$B39)*Inputs!$B$5:$B$110*(((Inputs!$G$5:$G$110="moeda")+(Inputs!$G$5:$G$110="acoes"))*Inputs!$B$1+((Inputs!$G$5:$G$110&lt;&gt;"moeda")*(Inputs!$G$5:$G$110&lt;&gt;"acoes")))*INDEX(Inputs!$K$5:$AJ$110,0,MATCH(I$2,Inputs!$K$4:$AJ$4,0)))+SUMPRODUCT((Inputs!$C$5:$C$110=$B39)*Inputs!$D$5:$D$110*(((Inputs!$G$5:$G$110="moeda")+(Inputs!$G$5:$G$110="acoes"))*Inputs!$B$1+((Inputs!$G$5:$G$110&lt;&gt;"moeda")*(Inputs!$G$5:$G$110&lt;&gt;"acoes")))*INDEX(Inputs!$K$5:$AJ$110,0,MATCH(I$2,Inputs!$K$4:$AJ$4,0)))+SUMPRODUCT((Inputs!$E$5:$E$110=$B39)*Inputs!$F$5:$F$110*(((Inputs!$G$5:$G$110="moeda")+(Inputs!$G$5:$G$110="acoes"))*Inputs!$B$1+((Inputs!$G$5:$G$110&lt;&gt;"moeda")*(Inputs!$G$5:$G$110&lt;&gt;"acoes")))*INDEX(Inputs!$K$5:$AJ$110,0,MATCH(I$2,Inputs!$K$4:$AJ$4,0)))))</f>
        <v>2311</v>
      </c>
      <c r="J39" s="267">
        <f>IF(ISNA(MATCH(J$2,Inputs!$K$4:$AJ$4,0)),NA(),IF(SUMPRODUCT((Inputs!$A$5:$A$110=$B39)*ISNUMBER(INDEX(Inputs!$K$5:$AJ$110,0,MATCH(J$2,Inputs!$K$4:$AJ$4,0))))+SUMPRODUCT((Inputs!$C$5:$C$110=$B39)*ISNUMBER(INDEX(Inputs!$K$5:$AJ$110,0,MATCH(J$2,Inputs!$K$4:$AJ$4,0))))+SUMPRODUCT((Inputs!$E$5:$E$110=$B39)*ISNUMBER(INDEX(Inputs!$K$5:$AJ$110,0,MATCH(J$2,Inputs!$K$4:$AJ$4,0))))=0,NA(),SUMPRODUCT((Inputs!$A$5:$A$110=$B39)*Inputs!$B$5:$B$110*(((Inputs!$G$5:$G$110="moeda")+(Inputs!$G$5:$G$110="acoes"))*Inputs!$B$1+((Inputs!$G$5:$G$110&lt;&gt;"moeda")*(Inputs!$G$5:$G$110&lt;&gt;"acoes")))*INDEX(Inputs!$K$5:$AJ$110,0,MATCH(J$2,Inputs!$K$4:$AJ$4,0)))+SUMPRODUCT((Inputs!$C$5:$C$110=$B39)*Inputs!$D$5:$D$110*(((Inputs!$G$5:$G$110="moeda")+(Inputs!$G$5:$G$110="acoes"))*Inputs!$B$1+((Inputs!$G$5:$G$110&lt;&gt;"moeda")*(Inputs!$G$5:$G$110&lt;&gt;"acoes")))*INDEX(Inputs!$K$5:$AJ$110,0,MATCH(J$2,Inputs!$K$4:$AJ$4,0)))+SUMPRODUCT((Inputs!$E$5:$E$110=$B39)*Inputs!$F$5:$F$110*(((Inputs!$G$5:$G$110="moeda")+(Inputs!$G$5:$G$110="acoes"))*Inputs!$B$1+((Inputs!$G$5:$G$110&lt;&gt;"moeda")*(Inputs!$G$5:$G$110&lt;&gt;"acoes")))*INDEX(Inputs!$K$5:$AJ$110,0,MATCH(J$2,Inputs!$K$4:$AJ$4,0)))))</f>
        <v>2535</v>
      </c>
      <c r="K39" s="267">
        <f>IF(ISNA(MATCH(K$2,Inputs!$K$4:$AJ$4,0)),NA(),IF(SUMPRODUCT((Inputs!$A$5:$A$110=$B39)*ISNUMBER(INDEX(Inputs!$K$5:$AJ$110,0,MATCH(K$2,Inputs!$K$4:$AJ$4,0))))+SUMPRODUCT((Inputs!$C$5:$C$110=$B39)*ISNUMBER(INDEX(Inputs!$K$5:$AJ$110,0,MATCH(K$2,Inputs!$K$4:$AJ$4,0))))+SUMPRODUCT((Inputs!$E$5:$E$110=$B39)*ISNUMBER(INDEX(Inputs!$K$5:$AJ$110,0,MATCH(K$2,Inputs!$K$4:$AJ$4,0))))=0,NA(),SUMPRODUCT((Inputs!$A$5:$A$110=$B39)*Inputs!$B$5:$B$110*(((Inputs!$G$5:$G$110="moeda")+(Inputs!$G$5:$G$110="acoes"))*Inputs!$B$1+((Inputs!$G$5:$G$110&lt;&gt;"moeda")*(Inputs!$G$5:$G$110&lt;&gt;"acoes")))*INDEX(Inputs!$K$5:$AJ$110,0,MATCH(K$2,Inputs!$K$4:$AJ$4,0)))+SUMPRODUCT((Inputs!$C$5:$C$110=$B39)*Inputs!$D$5:$D$110*(((Inputs!$G$5:$G$110="moeda")+(Inputs!$G$5:$G$110="acoes"))*Inputs!$B$1+((Inputs!$G$5:$G$110&lt;&gt;"moeda")*(Inputs!$G$5:$G$110&lt;&gt;"acoes")))*INDEX(Inputs!$K$5:$AJ$110,0,MATCH(K$2,Inputs!$K$4:$AJ$4,0)))+SUMPRODUCT((Inputs!$E$5:$E$110=$B39)*Inputs!$F$5:$F$110*(((Inputs!$G$5:$G$110="moeda")+(Inputs!$G$5:$G$110="acoes"))*Inputs!$B$1+((Inputs!$G$5:$G$110&lt;&gt;"moeda")*(Inputs!$G$5:$G$110&lt;&gt;"acoes")))*INDEX(Inputs!$K$5:$AJ$110,0,MATCH(K$2,Inputs!$K$4:$AJ$4,0)))))</f>
        <v>2555</v>
      </c>
      <c r="L39" s="267">
        <f>IF(ISNA(MATCH(L$2,Inputs!$K$4:$AJ$4,0)),NA(),IF(SUMPRODUCT((Inputs!$A$5:$A$110=$B39)*ISNUMBER(INDEX(Inputs!$K$5:$AJ$110,0,MATCH(L$2,Inputs!$K$4:$AJ$4,0))))+SUMPRODUCT((Inputs!$C$5:$C$110=$B39)*ISNUMBER(INDEX(Inputs!$K$5:$AJ$110,0,MATCH(L$2,Inputs!$K$4:$AJ$4,0))))+SUMPRODUCT((Inputs!$E$5:$E$110=$B39)*ISNUMBER(INDEX(Inputs!$K$5:$AJ$110,0,MATCH(L$2,Inputs!$K$4:$AJ$4,0))))=0,NA(),SUMPRODUCT((Inputs!$A$5:$A$110=$B39)*Inputs!$B$5:$B$110*(((Inputs!$G$5:$G$110="moeda")+(Inputs!$G$5:$G$110="acoes"))*Inputs!$B$1+((Inputs!$G$5:$G$110&lt;&gt;"moeda")*(Inputs!$G$5:$G$110&lt;&gt;"acoes")))*INDEX(Inputs!$K$5:$AJ$110,0,MATCH(L$2,Inputs!$K$4:$AJ$4,0)))+SUMPRODUCT((Inputs!$C$5:$C$110=$B39)*Inputs!$D$5:$D$110*(((Inputs!$G$5:$G$110="moeda")+(Inputs!$G$5:$G$110="acoes"))*Inputs!$B$1+((Inputs!$G$5:$G$110&lt;&gt;"moeda")*(Inputs!$G$5:$G$110&lt;&gt;"acoes")))*INDEX(Inputs!$K$5:$AJ$110,0,MATCH(L$2,Inputs!$K$4:$AJ$4,0)))+SUMPRODUCT((Inputs!$E$5:$E$110=$B39)*Inputs!$F$5:$F$110*(((Inputs!$G$5:$G$110="moeda")+(Inputs!$G$5:$G$110="acoes"))*Inputs!$B$1+((Inputs!$G$5:$G$110&lt;&gt;"moeda")*(Inputs!$G$5:$G$110&lt;&gt;"acoes")))*INDEX(Inputs!$K$5:$AJ$110,0,MATCH(L$2,Inputs!$K$4:$AJ$4,0)))))</f>
        <v>2509</v>
      </c>
      <c r="M39" s="268">
        <f>L39</f>
        <v>2509</v>
      </c>
      <c r="N39" s="267">
        <f>IF(ISNA(MATCH(N$2,Inputs!$K$4:$AJ$4,0)),NA(),IF(SUMPRODUCT((Inputs!$A$5:$A$110=$B39)*ISNUMBER(INDEX(Inputs!$K$5:$AJ$110,0,MATCH(N$2,Inputs!$K$4:$AJ$4,0))))+SUMPRODUCT((Inputs!$C$5:$C$110=$B39)*ISNUMBER(INDEX(Inputs!$K$5:$AJ$110,0,MATCH(N$2,Inputs!$K$4:$AJ$4,0))))+SUMPRODUCT((Inputs!$E$5:$E$110=$B39)*ISNUMBER(INDEX(Inputs!$K$5:$AJ$110,0,MATCH(N$2,Inputs!$K$4:$AJ$4,0))))=0,NA(),SUMPRODUCT((Inputs!$A$5:$A$110=$B39)*Inputs!$B$5:$B$110*(((Inputs!$G$5:$G$110="moeda")+(Inputs!$G$5:$G$110="acoes"))*Inputs!$B$1+((Inputs!$G$5:$G$110&lt;&gt;"moeda")*(Inputs!$G$5:$G$110&lt;&gt;"acoes")))*INDEX(Inputs!$K$5:$AJ$110,0,MATCH(N$2,Inputs!$K$4:$AJ$4,0)))+SUMPRODUCT((Inputs!$C$5:$C$110=$B39)*Inputs!$D$5:$D$110*(((Inputs!$G$5:$G$110="moeda")+(Inputs!$G$5:$G$110="acoes"))*Inputs!$B$1+((Inputs!$G$5:$G$110&lt;&gt;"moeda")*(Inputs!$G$5:$G$110&lt;&gt;"acoes")))*INDEX(Inputs!$K$5:$AJ$110,0,MATCH(N$2,Inputs!$K$4:$AJ$4,0)))+SUMPRODUCT((Inputs!$E$5:$E$110=$B39)*Inputs!$F$5:$F$110*(((Inputs!$G$5:$G$110="moeda")+(Inputs!$G$5:$G$110="acoes"))*Inputs!$B$1+((Inputs!$G$5:$G$110&lt;&gt;"moeda")*(Inputs!$G$5:$G$110&lt;&gt;"acoes")))*INDEX(Inputs!$K$5:$AJ$110,0,MATCH(N$2,Inputs!$K$4:$AJ$4,0)))))</f>
        <v>2470</v>
      </c>
      <c r="O39" s="267">
        <f>IF(ISNA(MATCH(O$2,Inputs!$K$4:$AJ$4,0)),NA(),IF(SUMPRODUCT((Inputs!$A$5:$A$110=$B39)*ISNUMBER(INDEX(Inputs!$K$5:$AJ$110,0,MATCH(O$2,Inputs!$K$4:$AJ$4,0))))+SUMPRODUCT((Inputs!$C$5:$C$110=$B39)*ISNUMBER(INDEX(Inputs!$K$5:$AJ$110,0,MATCH(O$2,Inputs!$K$4:$AJ$4,0))))+SUMPRODUCT((Inputs!$E$5:$E$110=$B39)*ISNUMBER(INDEX(Inputs!$K$5:$AJ$110,0,MATCH(O$2,Inputs!$K$4:$AJ$4,0))))=0,NA(),SUMPRODUCT((Inputs!$A$5:$A$110=$B39)*Inputs!$B$5:$B$110*(((Inputs!$G$5:$G$110="moeda")+(Inputs!$G$5:$G$110="acoes"))*Inputs!$B$1+((Inputs!$G$5:$G$110&lt;&gt;"moeda")*(Inputs!$G$5:$G$110&lt;&gt;"acoes")))*INDEX(Inputs!$K$5:$AJ$110,0,MATCH(O$2,Inputs!$K$4:$AJ$4,0)))+SUMPRODUCT((Inputs!$C$5:$C$110=$B39)*Inputs!$D$5:$D$110*(((Inputs!$G$5:$G$110="moeda")+(Inputs!$G$5:$G$110="acoes"))*Inputs!$B$1+((Inputs!$G$5:$G$110&lt;&gt;"moeda")*(Inputs!$G$5:$G$110&lt;&gt;"acoes")))*INDEX(Inputs!$K$5:$AJ$110,0,MATCH(O$2,Inputs!$K$4:$AJ$4,0)))+SUMPRODUCT((Inputs!$E$5:$E$110=$B39)*Inputs!$F$5:$F$110*(((Inputs!$G$5:$G$110="moeda")+(Inputs!$G$5:$G$110="acoes"))*Inputs!$B$1+((Inputs!$G$5:$G$110&lt;&gt;"moeda")*(Inputs!$G$5:$G$110&lt;&gt;"acoes")))*INDEX(Inputs!$K$5:$AJ$110,0,MATCH(O$2,Inputs!$K$4:$AJ$4,0)))))</f>
        <v>2467</v>
      </c>
      <c r="P39" s="267">
        <f>IF(ISNA(MATCH(P$2,Inputs!$K$4:$AJ$4,0)),NA(),IF(SUMPRODUCT((Inputs!$A$5:$A$110=$B39)*ISNUMBER(INDEX(Inputs!$K$5:$AJ$110,0,MATCH(P$2,Inputs!$K$4:$AJ$4,0))))+SUMPRODUCT((Inputs!$C$5:$C$110=$B39)*ISNUMBER(INDEX(Inputs!$K$5:$AJ$110,0,MATCH(P$2,Inputs!$K$4:$AJ$4,0))))+SUMPRODUCT((Inputs!$E$5:$E$110=$B39)*ISNUMBER(INDEX(Inputs!$K$5:$AJ$110,0,MATCH(P$2,Inputs!$K$4:$AJ$4,0))))=0,NA(),SUMPRODUCT((Inputs!$A$5:$A$110=$B39)*Inputs!$B$5:$B$110*(((Inputs!$G$5:$G$110="moeda")+(Inputs!$G$5:$G$110="acoes"))*Inputs!$B$1+((Inputs!$G$5:$G$110&lt;&gt;"moeda")*(Inputs!$G$5:$G$110&lt;&gt;"acoes")))*INDEX(Inputs!$K$5:$AJ$110,0,MATCH(P$2,Inputs!$K$4:$AJ$4,0)))+SUMPRODUCT((Inputs!$C$5:$C$110=$B39)*Inputs!$D$5:$D$110*(((Inputs!$G$5:$G$110="moeda")+(Inputs!$G$5:$G$110="acoes"))*Inputs!$B$1+((Inputs!$G$5:$G$110&lt;&gt;"moeda")*(Inputs!$G$5:$G$110&lt;&gt;"acoes")))*INDEX(Inputs!$K$5:$AJ$110,0,MATCH(P$2,Inputs!$K$4:$AJ$4,0)))+SUMPRODUCT((Inputs!$E$5:$E$110=$B39)*Inputs!$F$5:$F$110*(((Inputs!$G$5:$G$110="moeda")+(Inputs!$G$5:$G$110="acoes"))*Inputs!$B$1+((Inputs!$G$5:$G$110&lt;&gt;"moeda")*(Inputs!$G$5:$G$110&lt;&gt;"acoes")))*INDEX(Inputs!$K$5:$AJ$110,0,MATCH(P$2,Inputs!$K$4:$AJ$4,0)))))</f>
        <v>2550</v>
      </c>
      <c r="Q39" s="267">
        <f>IF(ISNA(MATCH(Q$2,Inputs!$K$4:$AJ$4,0)),NA(),IF(SUMPRODUCT((Inputs!$A$5:$A$110=$B39)*ISNUMBER(INDEX(Inputs!$K$5:$AJ$110,0,MATCH(Q$2,Inputs!$K$4:$AJ$4,0))))+SUMPRODUCT((Inputs!$C$5:$C$110=$B39)*ISNUMBER(INDEX(Inputs!$K$5:$AJ$110,0,MATCH(Q$2,Inputs!$K$4:$AJ$4,0))))+SUMPRODUCT((Inputs!$E$5:$E$110=$B39)*ISNUMBER(INDEX(Inputs!$K$5:$AJ$110,0,MATCH(Q$2,Inputs!$K$4:$AJ$4,0))))=0,NA(),SUMPRODUCT((Inputs!$A$5:$A$110=$B39)*Inputs!$B$5:$B$110*(((Inputs!$G$5:$G$110="moeda")+(Inputs!$G$5:$G$110="acoes"))*Inputs!$B$1+((Inputs!$G$5:$G$110&lt;&gt;"moeda")*(Inputs!$G$5:$G$110&lt;&gt;"acoes")))*INDEX(Inputs!$K$5:$AJ$110,0,MATCH(Q$2,Inputs!$K$4:$AJ$4,0)))+SUMPRODUCT((Inputs!$C$5:$C$110=$B39)*Inputs!$D$5:$D$110*(((Inputs!$G$5:$G$110="moeda")+(Inputs!$G$5:$G$110="acoes"))*Inputs!$B$1+((Inputs!$G$5:$G$110&lt;&gt;"moeda")*(Inputs!$G$5:$G$110&lt;&gt;"acoes")))*INDEX(Inputs!$K$5:$AJ$110,0,MATCH(Q$2,Inputs!$K$4:$AJ$4,0)))+SUMPRODUCT((Inputs!$E$5:$E$110=$B39)*Inputs!$F$5:$F$110*(((Inputs!$G$5:$G$110="moeda")+(Inputs!$G$5:$G$110="acoes"))*Inputs!$B$1+((Inputs!$G$5:$G$110&lt;&gt;"moeda")*(Inputs!$G$5:$G$110&lt;&gt;"acoes")))*INDEX(Inputs!$K$5:$AJ$110,0,MATCH(Q$2,Inputs!$K$4:$AJ$4,0)))))</f>
        <v>2541</v>
      </c>
      <c r="R39" s="268">
        <f>Q39</f>
        <v>2541</v>
      </c>
      <c r="S39" s="267">
        <f>IF(ISNA(MATCH(S$2,Inputs!$K$4:$AJ$4,0)),NA(),IF(SUMPRODUCT((Inputs!$A$5:$A$110=$B39)*ISNUMBER(INDEX(Inputs!$K$5:$AJ$110,0,MATCH(S$2,Inputs!$K$4:$AJ$4,0))))+SUMPRODUCT((Inputs!$C$5:$C$110=$B39)*ISNUMBER(INDEX(Inputs!$K$5:$AJ$110,0,MATCH(S$2,Inputs!$K$4:$AJ$4,0))))+SUMPRODUCT((Inputs!$E$5:$E$110=$B39)*ISNUMBER(INDEX(Inputs!$K$5:$AJ$110,0,MATCH(S$2,Inputs!$K$4:$AJ$4,0))))=0,NA(),SUMPRODUCT((Inputs!$A$5:$A$110=$B39)*Inputs!$B$5:$B$110*(((Inputs!$G$5:$G$110="moeda")+(Inputs!$G$5:$G$110="acoes"))*Inputs!$B$1+((Inputs!$G$5:$G$110&lt;&gt;"moeda")*(Inputs!$G$5:$G$110&lt;&gt;"acoes")))*INDEX(Inputs!$K$5:$AJ$110,0,MATCH(S$2,Inputs!$K$4:$AJ$4,0)))+SUMPRODUCT((Inputs!$C$5:$C$110=$B39)*Inputs!$D$5:$D$110*(((Inputs!$G$5:$G$110="moeda")+(Inputs!$G$5:$G$110="acoes"))*Inputs!$B$1+((Inputs!$G$5:$G$110&lt;&gt;"moeda")*(Inputs!$G$5:$G$110&lt;&gt;"acoes")))*INDEX(Inputs!$K$5:$AJ$110,0,MATCH(S$2,Inputs!$K$4:$AJ$4,0)))+SUMPRODUCT((Inputs!$E$5:$E$110=$B39)*Inputs!$F$5:$F$110*(((Inputs!$G$5:$G$110="moeda")+(Inputs!$G$5:$G$110="acoes"))*Inputs!$B$1+((Inputs!$G$5:$G$110&lt;&gt;"moeda")*(Inputs!$G$5:$G$110&lt;&gt;"acoes")))*INDEX(Inputs!$K$5:$AJ$110,0,MATCH(S$2,Inputs!$K$4:$AJ$4,0)))))</f>
        <v>2522</v>
      </c>
      <c r="T39" s="267">
        <f>IF(ISNA(MATCH(T$2,Inputs!$K$4:$AJ$4,0)),NA(),IF(SUMPRODUCT((Inputs!$A$5:$A$110=$B39)*ISNUMBER(INDEX(Inputs!$K$5:$AJ$110,0,MATCH(T$2,Inputs!$K$4:$AJ$4,0))))+SUMPRODUCT((Inputs!$C$5:$C$110=$B39)*ISNUMBER(INDEX(Inputs!$K$5:$AJ$110,0,MATCH(T$2,Inputs!$K$4:$AJ$4,0))))+SUMPRODUCT((Inputs!$E$5:$E$110=$B39)*ISNUMBER(INDEX(Inputs!$K$5:$AJ$110,0,MATCH(T$2,Inputs!$K$4:$AJ$4,0))))=0,NA(),SUMPRODUCT((Inputs!$A$5:$A$110=$B39)*Inputs!$B$5:$B$110*(((Inputs!$G$5:$G$110="moeda")+(Inputs!$G$5:$G$110="acoes"))*Inputs!$B$1+((Inputs!$G$5:$G$110&lt;&gt;"moeda")*(Inputs!$G$5:$G$110&lt;&gt;"acoes")))*INDEX(Inputs!$K$5:$AJ$110,0,MATCH(T$2,Inputs!$K$4:$AJ$4,0)))+SUMPRODUCT((Inputs!$C$5:$C$110=$B39)*Inputs!$D$5:$D$110*(((Inputs!$G$5:$G$110="moeda")+(Inputs!$G$5:$G$110="acoes"))*Inputs!$B$1+((Inputs!$G$5:$G$110&lt;&gt;"moeda")*(Inputs!$G$5:$G$110&lt;&gt;"acoes")))*INDEX(Inputs!$K$5:$AJ$110,0,MATCH(T$2,Inputs!$K$4:$AJ$4,0)))+SUMPRODUCT((Inputs!$E$5:$E$110=$B39)*Inputs!$F$5:$F$110*(((Inputs!$G$5:$G$110="moeda")+(Inputs!$G$5:$G$110="acoes"))*Inputs!$B$1+((Inputs!$G$5:$G$110&lt;&gt;"moeda")*(Inputs!$G$5:$G$110&lt;&gt;"acoes")))*INDEX(Inputs!$K$5:$AJ$110,0,MATCH(T$2,Inputs!$K$4:$AJ$4,0)))))</f>
        <v>2559</v>
      </c>
      <c r="U39" s="267">
        <f>IF(ISNA(MATCH(U$2,Inputs!$K$4:$AJ$4,0)),NA(),IF(SUMPRODUCT((Inputs!$A$5:$A$110=$B39)*ISNUMBER(INDEX(Inputs!$K$5:$AJ$110,0,MATCH(U$2,Inputs!$K$4:$AJ$4,0))))+SUMPRODUCT((Inputs!$C$5:$C$110=$B39)*ISNUMBER(INDEX(Inputs!$K$5:$AJ$110,0,MATCH(U$2,Inputs!$K$4:$AJ$4,0))))+SUMPRODUCT((Inputs!$E$5:$E$110=$B39)*ISNUMBER(INDEX(Inputs!$K$5:$AJ$110,0,MATCH(U$2,Inputs!$K$4:$AJ$4,0))))=0,NA(),SUMPRODUCT((Inputs!$A$5:$A$110=$B39)*Inputs!$B$5:$B$110*(((Inputs!$G$5:$G$110="moeda")+(Inputs!$G$5:$G$110="acoes"))*Inputs!$B$1+((Inputs!$G$5:$G$110&lt;&gt;"moeda")*(Inputs!$G$5:$G$110&lt;&gt;"acoes")))*INDEX(Inputs!$K$5:$AJ$110,0,MATCH(U$2,Inputs!$K$4:$AJ$4,0)))+SUMPRODUCT((Inputs!$C$5:$C$110=$B39)*Inputs!$D$5:$D$110*(((Inputs!$G$5:$G$110="moeda")+(Inputs!$G$5:$G$110="acoes"))*Inputs!$B$1+((Inputs!$G$5:$G$110&lt;&gt;"moeda")*(Inputs!$G$5:$G$110&lt;&gt;"acoes")))*INDEX(Inputs!$K$5:$AJ$110,0,MATCH(U$2,Inputs!$K$4:$AJ$4,0)))+SUMPRODUCT((Inputs!$E$5:$E$110=$B39)*Inputs!$F$5:$F$110*(((Inputs!$G$5:$G$110="moeda")+(Inputs!$G$5:$G$110="acoes"))*Inputs!$B$1+((Inputs!$G$5:$G$110&lt;&gt;"moeda")*(Inputs!$G$5:$G$110&lt;&gt;"acoes")))*INDEX(Inputs!$K$5:$AJ$110,0,MATCH(U$2,Inputs!$K$4:$AJ$4,0)))))</f>
        <v>2576</v>
      </c>
      <c r="V39" s="267">
        <f>IF(ISNA(MATCH(V$2,Inputs!$K$4:$AJ$4,0)),NA(),IF(SUMPRODUCT((Inputs!$A$5:$A$110=$B39)*ISNUMBER(INDEX(Inputs!$K$5:$AJ$110,0,MATCH(V$2,Inputs!$K$4:$AJ$4,0))))+SUMPRODUCT((Inputs!$C$5:$C$110=$B39)*ISNUMBER(INDEX(Inputs!$K$5:$AJ$110,0,MATCH(V$2,Inputs!$K$4:$AJ$4,0))))+SUMPRODUCT((Inputs!$E$5:$E$110=$B39)*ISNUMBER(INDEX(Inputs!$K$5:$AJ$110,0,MATCH(V$2,Inputs!$K$4:$AJ$4,0))))=0,NA(),SUMPRODUCT((Inputs!$A$5:$A$110=$B39)*Inputs!$B$5:$B$110*(((Inputs!$G$5:$G$110="moeda")+(Inputs!$G$5:$G$110="acoes"))*Inputs!$B$1+((Inputs!$G$5:$G$110&lt;&gt;"moeda")*(Inputs!$G$5:$G$110&lt;&gt;"acoes")))*INDEX(Inputs!$K$5:$AJ$110,0,MATCH(V$2,Inputs!$K$4:$AJ$4,0)))+SUMPRODUCT((Inputs!$C$5:$C$110=$B39)*Inputs!$D$5:$D$110*(((Inputs!$G$5:$G$110="moeda")+(Inputs!$G$5:$G$110="acoes"))*Inputs!$B$1+((Inputs!$G$5:$G$110&lt;&gt;"moeda")*(Inputs!$G$5:$G$110&lt;&gt;"acoes")))*INDEX(Inputs!$K$5:$AJ$110,0,MATCH(V$2,Inputs!$K$4:$AJ$4,0)))+SUMPRODUCT((Inputs!$E$5:$E$110=$B39)*Inputs!$F$5:$F$110*(((Inputs!$G$5:$G$110="moeda")+(Inputs!$G$5:$G$110="acoes"))*Inputs!$B$1+((Inputs!$G$5:$G$110&lt;&gt;"moeda")*(Inputs!$G$5:$G$110&lt;&gt;"acoes")))*INDEX(Inputs!$K$5:$AJ$110,0,MATCH(V$2,Inputs!$K$4:$AJ$4,0)))))</f>
        <v>2613</v>
      </c>
      <c r="W39" s="268">
        <f>V39</f>
        <v>2613</v>
      </c>
      <c r="X39" s="267">
        <f>IF(ISNA(MATCH(X$2,Inputs!$K$4:$AJ$4,0)),NA(),IF(SUMPRODUCT((Inputs!$A$5:$A$110=$B39)*ISNUMBER(INDEX(Inputs!$K$5:$AJ$110,0,MATCH(X$2,Inputs!$K$4:$AJ$4,0))))+SUMPRODUCT((Inputs!$C$5:$C$110=$B39)*ISNUMBER(INDEX(Inputs!$K$5:$AJ$110,0,MATCH(X$2,Inputs!$K$4:$AJ$4,0))))+SUMPRODUCT((Inputs!$E$5:$E$110=$B39)*ISNUMBER(INDEX(Inputs!$K$5:$AJ$110,0,MATCH(X$2,Inputs!$K$4:$AJ$4,0))))=0,NA(),SUMPRODUCT((Inputs!$A$5:$A$110=$B39)*Inputs!$B$5:$B$110*(((Inputs!$G$5:$G$110="moeda")+(Inputs!$G$5:$G$110="acoes"))*Inputs!$B$1+((Inputs!$G$5:$G$110&lt;&gt;"moeda")*(Inputs!$G$5:$G$110&lt;&gt;"acoes")))*INDEX(Inputs!$K$5:$AJ$110,0,MATCH(X$2,Inputs!$K$4:$AJ$4,0)))+SUMPRODUCT((Inputs!$C$5:$C$110=$B39)*Inputs!$D$5:$D$110*(((Inputs!$G$5:$G$110="moeda")+(Inputs!$G$5:$G$110="acoes"))*Inputs!$B$1+((Inputs!$G$5:$G$110&lt;&gt;"moeda")*(Inputs!$G$5:$G$110&lt;&gt;"acoes")))*INDEX(Inputs!$K$5:$AJ$110,0,MATCH(X$2,Inputs!$K$4:$AJ$4,0)))+SUMPRODUCT((Inputs!$E$5:$E$110=$B39)*Inputs!$F$5:$F$110*(((Inputs!$G$5:$G$110="moeda")+(Inputs!$G$5:$G$110="acoes"))*Inputs!$B$1+((Inputs!$G$5:$G$110&lt;&gt;"moeda")*(Inputs!$G$5:$G$110&lt;&gt;"acoes")))*INDEX(Inputs!$K$5:$AJ$110,0,MATCH(X$2,Inputs!$K$4:$AJ$4,0)))))</f>
        <v>2609</v>
      </c>
      <c r="Y39" s="267">
        <f>IF(ISNA(MATCH(Y$2,Inputs!$K$4:$AJ$4,0)),NA(),IF(SUMPRODUCT((Inputs!$A$5:$A$110=$B39)*ISNUMBER(INDEX(Inputs!$K$5:$AJ$110,0,MATCH(Y$2,Inputs!$K$4:$AJ$4,0))))+SUMPRODUCT((Inputs!$C$5:$C$110=$B39)*ISNUMBER(INDEX(Inputs!$K$5:$AJ$110,0,MATCH(Y$2,Inputs!$K$4:$AJ$4,0))))+SUMPRODUCT((Inputs!$E$5:$E$110=$B39)*ISNUMBER(INDEX(Inputs!$K$5:$AJ$110,0,MATCH(Y$2,Inputs!$K$4:$AJ$4,0))))=0,NA(),SUMPRODUCT((Inputs!$A$5:$A$110=$B39)*Inputs!$B$5:$B$110*(((Inputs!$G$5:$G$110="moeda")+(Inputs!$G$5:$G$110="acoes"))*Inputs!$B$1+((Inputs!$G$5:$G$110&lt;&gt;"moeda")*(Inputs!$G$5:$G$110&lt;&gt;"acoes")))*INDEX(Inputs!$K$5:$AJ$110,0,MATCH(Y$2,Inputs!$K$4:$AJ$4,0)))+SUMPRODUCT((Inputs!$C$5:$C$110=$B39)*Inputs!$D$5:$D$110*(((Inputs!$G$5:$G$110="moeda")+(Inputs!$G$5:$G$110="acoes"))*Inputs!$B$1+((Inputs!$G$5:$G$110&lt;&gt;"moeda")*(Inputs!$G$5:$G$110&lt;&gt;"acoes")))*INDEX(Inputs!$K$5:$AJ$110,0,MATCH(Y$2,Inputs!$K$4:$AJ$4,0)))+SUMPRODUCT((Inputs!$E$5:$E$110=$B39)*Inputs!$F$5:$F$110*(((Inputs!$G$5:$G$110="moeda")+(Inputs!$G$5:$G$110="acoes"))*Inputs!$B$1+((Inputs!$G$5:$G$110&lt;&gt;"moeda")*(Inputs!$G$5:$G$110&lt;&gt;"acoes")))*INDEX(Inputs!$K$5:$AJ$110,0,MATCH(Y$2,Inputs!$K$4:$AJ$4,0)))))</f>
        <v>2598</v>
      </c>
      <c r="Z39" s="267">
        <f>IF(ISNA(MATCH(Z$2,Inputs!$K$4:$AJ$4,0)),NA(),IF(SUMPRODUCT((Inputs!$A$5:$A$110=$B39)*ISNUMBER(INDEX(Inputs!$K$5:$AJ$110,0,MATCH(Z$2,Inputs!$K$4:$AJ$4,0))))+SUMPRODUCT((Inputs!$C$5:$C$110=$B39)*ISNUMBER(INDEX(Inputs!$K$5:$AJ$110,0,MATCH(Z$2,Inputs!$K$4:$AJ$4,0))))+SUMPRODUCT((Inputs!$E$5:$E$110=$B39)*ISNUMBER(INDEX(Inputs!$K$5:$AJ$110,0,MATCH(Z$2,Inputs!$K$4:$AJ$4,0))))=0,NA(),SUMPRODUCT((Inputs!$A$5:$A$110=$B39)*Inputs!$B$5:$B$110*(((Inputs!$G$5:$G$110="moeda")+(Inputs!$G$5:$G$110="acoes"))*Inputs!$B$1+((Inputs!$G$5:$G$110&lt;&gt;"moeda")*(Inputs!$G$5:$G$110&lt;&gt;"acoes")))*INDEX(Inputs!$K$5:$AJ$110,0,MATCH(Z$2,Inputs!$K$4:$AJ$4,0)))+SUMPRODUCT((Inputs!$C$5:$C$110=$B39)*Inputs!$D$5:$D$110*(((Inputs!$G$5:$G$110="moeda")+(Inputs!$G$5:$G$110="acoes"))*Inputs!$B$1+((Inputs!$G$5:$G$110&lt;&gt;"moeda")*(Inputs!$G$5:$G$110&lt;&gt;"acoes")))*INDEX(Inputs!$K$5:$AJ$110,0,MATCH(Z$2,Inputs!$K$4:$AJ$4,0)))+SUMPRODUCT((Inputs!$E$5:$E$110=$B39)*Inputs!$F$5:$F$110*(((Inputs!$G$5:$G$110="moeda")+(Inputs!$G$5:$G$110="acoes"))*Inputs!$B$1+((Inputs!$G$5:$G$110&lt;&gt;"moeda")*(Inputs!$G$5:$G$110&lt;&gt;"acoes")))*INDEX(Inputs!$K$5:$AJ$110,0,MATCH(Z$2,Inputs!$K$4:$AJ$4,0)))))</f>
        <v>2654</v>
      </c>
      <c r="AA39" s="267">
        <f>IF(ISNA(MATCH(AA$2,Inputs!$K$4:$AJ$4,0)),NA(),IF(SUMPRODUCT((Inputs!$A$5:$A$110=$B39)*ISNUMBER(INDEX(Inputs!$K$5:$AJ$110,0,MATCH(AA$2,Inputs!$K$4:$AJ$4,0))))+SUMPRODUCT((Inputs!$C$5:$C$110=$B39)*ISNUMBER(INDEX(Inputs!$K$5:$AJ$110,0,MATCH(AA$2,Inputs!$K$4:$AJ$4,0))))+SUMPRODUCT((Inputs!$E$5:$E$110=$B39)*ISNUMBER(INDEX(Inputs!$K$5:$AJ$110,0,MATCH(AA$2,Inputs!$K$4:$AJ$4,0))))=0,NA(),SUMPRODUCT((Inputs!$A$5:$A$110=$B39)*Inputs!$B$5:$B$110*(((Inputs!$G$5:$G$110="moeda")+(Inputs!$G$5:$G$110="acoes"))*Inputs!$B$1+((Inputs!$G$5:$G$110&lt;&gt;"moeda")*(Inputs!$G$5:$G$110&lt;&gt;"acoes")))*INDEX(Inputs!$K$5:$AJ$110,0,MATCH(AA$2,Inputs!$K$4:$AJ$4,0)))+SUMPRODUCT((Inputs!$C$5:$C$110=$B39)*Inputs!$D$5:$D$110*(((Inputs!$G$5:$G$110="moeda")+(Inputs!$G$5:$G$110="acoes"))*Inputs!$B$1+((Inputs!$G$5:$G$110&lt;&gt;"moeda")*(Inputs!$G$5:$G$110&lt;&gt;"acoes")))*INDEX(Inputs!$K$5:$AJ$110,0,MATCH(AA$2,Inputs!$K$4:$AJ$4,0)))+SUMPRODUCT((Inputs!$E$5:$E$110=$B39)*Inputs!$F$5:$F$110*(((Inputs!$G$5:$G$110="moeda")+(Inputs!$G$5:$G$110="acoes"))*Inputs!$B$1+((Inputs!$G$5:$G$110&lt;&gt;"moeda")*(Inputs!$G$5:$G$110&lt;&gt;"acoes")))*INDEX(Inputs!$K$5:$AJ$110,0,MATCH(AA$2,Inputs!$K$4:$AJ$4,0)))))</f>
        <v>2580</v>
      </c>
      <c r="AB39" s="268">
        <f>AA39</f>
        <v>2580</v>
      </c>
      <c r="AC39" s="267">
        <f>IF(ISNA(MATCH(AC$2,Inputs!$K$4:$AJ$4,0)),NA(),IF(SUMPRODUCT((Inputs!$A$5:$A$110=$B39)*ISNUMBER(INDEX(Inputs!$K$5:$AJ$110,0,MATCH(AC$2,Inputs!$K$4:$AJ$4,0))))+SUMPRODUCT((Inputs!$C$5:$C$110=$B39)*ISNUMBER(INDEX(Inputs!$K$5:$AJ$110,0,MATCH(AC$2,Inputs!$K$4:$AJ$4,0))))+SUMPRODUCT((Inputs!$E$5:$E$110=$B39)*ISNUMBER(INDEX(Inputs!$K$5:$AJ$110,0,MATCH(AC$2,Inputs!$K$4:$AJ$4,0))))=0,NA(),SUMPRODUCT((Inputs!$A$5:$A$110=$B39)*Inputs!$B$5:$B$110*(((Inputs!$G$5:$G$110="moeda")+(Inputs!$G$5:$G$110="acoes"))*Inputs!$B$1+((Inputs!$G$5:$G$110&lt;&gt;"moeda")*(Inputs!$G$5:$G$110&lt;&gt;"acoes")))*INDEX(Inputs!$K$5:$AJ$110,0,MATCH(AC$2,Inputs!$K$4:$AJ$4,0)))+SUMPRODUCT((Inputs!$C$5:$C$110=$B39)*Inputs!$D$5:$D$110*(((Inputs!$G$5:$G$110="moeda")+(Inputs!$G$5:$G$110="acoes"))*Inputs!$B$1+((Inputs!$G$5:$G$110&lt;&gt;"moeda")*(Inputs!$G$5:$G$110&lt;&gt;"acoes")))*INDEX(Inputs!$K$5:$AJ$110,0,MATCH(AC$2,Inputs!$K$4:$AJ$4,0)))+SUMPRODUCT((Inputs!$E$5:$E$110=$B39)*Inputs!$F$5:$F$110*(((Inputs!$G$5:$G$110="moeda")+(Inputs!$G$5:$G$110="acoes"))*Inputs!$B$1+((Inputs!$G$5:$G$110&lt;&gt;"moeda")*(Inputs!$G$5:$G$110&lt;&gt;"acoes")))*INDEX(Inputs!$K$5:$AJ$110,0,MATCH(AC$2,Inputs!$K$4:$AJ$4,0)))))</f>
        <v>2624</v>
      </c>
      <c r="AD39" s="267">
        <f>IF(ISNA(MATCH(AD$2,Inputs!$K$4:$AJ$4,0)),NA(),IF(SUMPRODUCT((Inputs!$A$5:$A$110=$B39)*ISNUMBER(INDEX(Inputs!$K$5:$AJ$110,0,MATCH(AD$2,Inputs!$K$4:$AJ$4,0))))+SUMPRODUCT((Inputs!$C$5:$C$110=$B39)*ISNUMBER(INDEX(Inputs!$K$5:$AJ$110,0,MATCH(AD$2,Inputs!$K$4:$AJ$4,0))))+SUMPRODUCT((Inputs!$E$5:$E$110=$B39)*ISNUMBER(INDEX(Inputs!$K$5:$AJ$110,0,MATCH(AD$2,Inputs!$K$4:$AJ$4,0))))=0,NA(),SUMPRODUCT((Inputs!$A$5:$A$110=$B39)*Inputs!$B$5:$B$110*(((Inputs!$G$5:$G$110="moeda")+(Inputs!$G$5:$G$110="acoes"))*Inputs!$B$1+((Inputs!$G$5:$G$110&lt;&gt;"moeda")*(Inputs!$G$5:$G$110&lt;&gt;"acoes")))*INDEX(Inputs!$K$5:$AJ$110,0,MATCH(AD$2,Inputs!$K$4:$AJ$4,0)))+SUMPRODUCT((Inputs!$C$5:$C$110=$B39)*Inputs!$D$5:$D$110*(((Inputs!$G$5:$G$110="moeda")+(Inputs!$G$5:$G$110="acoes"))*Inputs!$B$1+((Inputs!$G$5:$G$110&lt;&gt;"moeda")*(Inputs!$G$5:$G$110&lt;&gt;"acoes")))*INDEX(Inputs!$K$5:$AJ$110,0,MATCH(AD$2,Inputs!$K$4:$AJ$4,0)))+SUMPRODUCT((Inputs!$E$5:$E$110=$B39)*Inputs!$F$5:$F$110*(((Inputs!$G$5:$G$110="moeda")+(Inputs!$G$5:$G$110="acoes"))*Inputs!$B$1+((Inputs!$G$5:$G$110&lt;&gt;"moeda")*(Inputs!$G$5:$G$110&lt;&gt;"acoes")))*INDEX(Inputs!$K$5:$AJ$110,0,MATCH(AD$2,Inputs!$K$4:$AJ$4,0)))))</f>
        <v>2660</v>
      </c>
      <c r="AE39" s="267" t="e">
        <f>IF(ISNA(MATCH(AE$2,Inputs!$K$4:$AJ$4,0)),NA(),IF(SUMPRODUCT((Inputs!$A$5:$A$110=$B39)*ISNUMBER(INDEX(Inputs!$K$5:$AJ$110,0,MATCH(AE$2,Inputs!$K$4:$AJ$4,0))))+SUMPRODUCT((Inputs!$C$5:$C$110=$B39)*ISNUMBER(INDEX(Inputs!$K$5:$AJ$110,0,MATCH(AE$2,Inputs!$K$4:$AJ$4,0))))+SUMPRODUCT((Inputs!$E$5:$E$110=$B39)*ISNUMBER(INDEX(Inputs!$K$5:$AJ$110,0,MATCH(AE$2,Inputs!$K$4:$AJ$4,0))))=0,NA(),SUMPRODUCT((Inputs!$A$5:$A$110=$B39)*Inputs!$B$5:$B$110*(((Inputs!$G$5:$G$110="moeda")+(Inputs!$G$5:$G$110="acoes"))*Inputs!$B$1+((Inputs!$G$5:$G$110&lt;&gt;"moeda")*(Inputs!$G$5:$G$110&lt;&gt;"acoes")))*INDEX(Inputs!$K$5:$AJ$110,0,MATCH(AE$2,Inputs!$K$4:$AJ$4,0)))+SUMPRODUCT((Inputs!$C$5:$C$110=$B39)*Inputs!$D$5:$D$110*(((Inputs!$G$5:$G$110="moeda")+(Inputs!$G$5:$G$110="acoes"))*Inputs!$B$1+((Inputs!$G$5:$G$110&lt;&gt;"moeda")*(Inputs!$G$5:$G$110&lt;&gt;"acoes")))*INDEX(Inputs!$K$5:$AJ$110,0,MATCH(AE$2,Inputs!$K$4:$AJ$4,0)))+SUMPRODUCT((Inputs!$E$5:$E$110=$B39)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9" s="267" t="e">
        <f>IF(ISNA(MATCH(AF$2,Inputs!$K$4:$AJ$4,0)),NA(),IF(SUMPRODUCT((Inputs!$A$5:$A$110=$B39)*ISNUMBER(INDEX(Inputs!$K$5:$AJ$110,0,MATCH(AF$2,Inputs!$K$4:$AJ$4,0))))+SUMPRODUCT((Inputs!$C$5:$C$110=$B39)*ISNUMBER(INDEX(Inputs!$K$5:$AJ$110,0,MATCH(AF$2,Inputs!$K$4:$AJ$4,0))))+SUMPRODUCT((Inputs!$E$5:$E$110=$B39)*ISNUMBER(INDEX(Inputs!$K$5:$AJ$110,0,MATCH(AF$2,Inputs!$K$4:$AJ$4,0))))=0,NA(),SUMPRODUCT((Inputs!$A$5:$A$110=$B39)*Inputs!$B$5:$B$110*(((Inputs!$G$5:$G$110="moeda")+(Inputs!$G$5:$G$110="acoes"))*Inputs!$B$1+((Inputs!$G$5:$G$110&lt;&gt;"moeda")*(Inputs!$G$5:$G$110&lt;&gt;"acoes")))*INDEX(Inputs!$K$5:$AJ$110,0,MATCH(AF$2,Inputs!$K$4:$AJ$4,0)))+SUMPRODUCT((Inputs!$C$5:$C$110=$B39)*Inputs!$D$5:$D$110*(((Inputs!$G$5:$G$110="moeda")+(Inputs!$G$5:$G$110="acoes"))*Inputs!$B$1+((Inputs!$G$5:$G$110&lt;&gt;"moeda")*(Inputs!$G$5:$G$110&lt;&gt;"acoes")))*INDEX(Inputs!$K$5:$AJ$110,0,MATCH(AF$2,Inputs!$K$4:$AJ$4,0)))+SUMPRODUCT((Inputs!$E$5:$E$110=$B39)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9" s="268" t="e">
        <f>AF39</f>
        <v>#N/A</v>
      </c>
      <c r="AH39" s="267">
        <f>IF(ISNA(MATCH(AH$2,Inputs!$K$4:$AJ$4,0)),NA(),IF(SUMPRODUCT((Inputs!$A$5:$A$110=$B39)*ISNUMBER(INDEX(Inputs!$K$5:$AJ$110,0,MATCH(AH$2,Inputs!$K$4:$AJ$4,0))))+SUMPRODUCT((Inputs!$C$5:$C$110=$B39)*ISNUMBER(INDEX(Inputs!$K$5:$AJ$110,0,MATCH(AH$2,Inputs!$K$4:$AJ$4,0))))+SUMPRODUCT((Inputs!$E$5:$E$110=$B39)*ISNUMBER(INDEX(Inputs!$K$5:$AJ$110,0,MATCH(AH$2,Inputs!$K$4:$AJ$4,0))))=0,NA(),SUMPRODUCT((Inputs!$A$5:$A$110=$B39)*Inputs!$B$5:$B$110*(((Inputs!$G$5:$G$110="moeda")+(Inputs!$G$5:$G$110="acoes"))*Inputs!$B$1+((Inputs!$G$5:$G$110&lt;&gt;"moeda")*(Inputs!$G$5:$G$110&lt;&gt;"acoes")))*INDEX(Inputs!$K$5:$AJ$110,0,MATCH(AH$2,Inputs!$K$4:$AJ$4,0)))+SUMPRODUCT((Inputs!$C$5:$C$110=$B39)*Inputs!$D$5:$D$110*(((Inputs!$G$5:$G$110="moeda")+(Inputs!$G$5:$G$110="acoes"))*Inputs!$B$1+((Inputs!$G$5:$G$110&lt;&gt;"moeda")*(Inputs!$G$5:$G$110&lt;&gt;"acoes")))*INDEX(Inputs!$K$5:$AJ$110,0,MATCH(AH$2,Inputs!$K$4:$AJ$4,0)))+SUMPRODUCT((Inputs!$E$5:$E$110=$B39)*Inputs!$F$5:$F$110*(((Inputs!$G$5:$G$110="moeda")+(Inputs!$G$5:$G$110="acoes"))*Inputs!$B$1+((Inputs!$G$5:$G$110&lt;&gt;"moeda")*(Inputs!$G$5:$G$110&lt;&gt;"acoes")))*INDEX(Inputs!$K$5:$AJ$110,0,MATCH(AH$2,Inputs!$K$4:$AJ$4,0)))))</f>
        <v>1543</v>
      </c>
      <c r="AI39" s="267">
        <f>IF(ISNA(MATCH(AI$2,Inputs!$K$4:$AJ$4,0)),NA(),IF(SUMPRODUCT((Inputs!$A$5:$A$110=$B39)*ISNUMBER(INDEX(Inputs!$K$5:$AJ$110,0,MATCH(AI$2,Inputs!$K$4:$AJ$4,0))))+SUMPRODUCT((Inputs!$C$5:$C$110=$B39)*ISNUMBER(INDEX(Inputs!$K$5:$AJ$110,0,MATCH(AI$2,Inputs!$K$4:$AJ$4,0))))+SUMPRODUCT((Inputs!$E$5:$E$110=$B39)*ISNUMBER(INDEX(Inputs!$K$5:$AJ$110,0,MATCH(AI$2,Inputs!$K$4:$AJ$4,0))))=0,NA(),SUMPRODUCT((Inputs!$A$5:$A$110=$B39)*Inputs!$B$5:$B$110*(((Inputs!$G$5:$G$110="moeda")+(Inputs!$G$5:$G$110="acoes"))*Inputs!$B$1+((Inputs!$G$5:$G$110&lt;&gt;"moeda")*(Inputs!$G$5:$G$110&lt;&gt;"acoes")))*INDEX(Inputs!$K$5:$AJ$110,0,MATCH(AI$2,Inputs!$K$4:$AJ$4,0)))+SUMPRODUCT((Inputs!$C$5:$C$110=$B39)*Inputs!$D$5:$D$110*(((Inputs!$G$5:$G$110="moeda")+(Inputs!$G$5:$G$110="acoes"))*Inputs!$B$1+((Inputs!$G$5:$G$110&lt;&gt;"moeda")*(Inputs!$G$5:$G$110&lt;&gt;"acoes")))*INDEX(Inputs!$K$5:$AJ$110,0,MATCH(AI$2,Inputs!$K$4:$AJ$4,0)))+SUMPRODUCT((Inputs!$E$5:$E$110=$B39)*Inputs!$F$5:$F$110*(((Inputs!$G$5:$G$110="moeda")+(Inputs!$G$5:$G$110="acoes"))*Inputs!$B$1+((Inputs!$G$5:$G$110&lt;&gt;"moeda")*(Inputs!$G$5:$G$110&lt;&gt;"acoes")))*INDEX(Inputs!$K$5:$AJ$110,0,MATCH(AI$2,Inputs!$K$4:$AJ$4,0)))))</f>
        <v>1617</v>
      </c>
      <c r="AJ39" s="267">
        <f>IF(ISNA(MATCH(AJ$2,Inputs!$K$4:$AJ$4,0)),NA(),IF(SUMPRODUCT((Inputs!$A$5:$A$110=$B39)*ISNUMBER(INDEX(Inputs!$K$5:$AJ$110,0,MATCH(AJ$2,Inputs!$K$4:$AJ$4,0))))+SUMPRODUCT((Inputs!$C$5:$C$110=$B39)*ISNUMBER(INDEX(Inputs!$K$5:$AJ$110,0,MATCH(AJ$2,Inputs!$K$4:$AJ$4,0))))+SUMPRODUCT((Inputs!$E$5:$E$110=$B39)*ISNUMBER(INDEX(Inputs!$K$5:$AJ$110,0,MATCH(AJ$2,Inputs!$K$4:$AJ$4,0))))=0,NA(),SUMPRODUCT((Inputs!$A$5:$A$110=$B39)*Inputs!$B$5:$B$110*(((Inputs!$G$5:$G$110="moeda")+(Inputs!$G$5:$G$110="acoes"))*Inputs!$B$1+((Inputs!$G$5:$G$110&lt;&gt;"moeda")*(Inputs!$G$5:$G$110&lt;&gt;"acoes")))*INDEX(Inputs!$K$5:$AJ$110,0,MATCH(AJ$2,Inputs!$K$4:$AJ$4,0)))+SUMPRODUCT((Inputs!$C$5:$C$110=$B39)*Inputs!$D$5:$D$110*(((Inputs!$G$5:$G$110="moeda")+(Inputs!$G$5:$G$110="acoes"))*Inputs!$B$1+((Inputs!$G$5:$G$110&lt;&gt;"moeda")*(Inputs!$G$5:$G$110&lt;&gt;"acoes")))*INDEX(Inputs!$K$5:$AJ$110,0,MATCH(AJ$2,Inputs!$K$4:$AJ$4,0)))+SUMPRODUCT((Inputs!$E$5:$E$110=$B39)*Inputs!$F$5:$F$110*(((Inputs!$G$5:$G$110="moeda")+(Inputs!$G$5:$G$110="acoes"))*Inputs!$B$1+((Inputs!$G$5:$G$110&lt;&gt;"moeda")*(Inputs!$G$5:$G$110&lt;&gt;"acoes")))*INDEX(Inputs!$K$5:$AJ$110,0,MATCH(AJ$2,Inputs!$K$4:$AJ$4,0)))))</f>
        <v>1935</v>
      </c>
      <c r="AK39" s="267">
        <f>IF(ISNA(MATCH(AK$2,Inputs!$K$4:$AJ$4,0)),NA(),IF(SUMPRODUCT((Inputs!$A$5:$A$110=$B39)*ISNUMBER(INDEX(Inputs!$K$5:$AJ$110,0,MATCH(AK$2,Inputs!$K$4:$AJ$4,0))))+SUMPRODUCT((Inputs!$C$5:$C$110=$B39)*ISNUMBER(INDEX(Inputs!$K$5:$AJ$110,0,MATCH(AK$2,Inputs!$K$4:$AJ$4,0))))+SUMPRODUCT((Inputs!$E$5:$E$110=$B39)*ISNUMBER(INDEX(Inputs!$K$5:$AJ$110,0,MATCH(AK$2,Inputs!$K$4:$AJ$4,0))))=0,NA(),SUMPRODUCT((Inputs!$A$5:$A$110=$B39)*Inputs!$B$5:$B$110*(((Inputs!$G$5:$G$110="moeda")+(Inputs!$G$5:$G$110="acoes"))*Inputs!$B$1+((Inputs!$G$5:$G$110&lt;&gt;"moeda")*(Inputs!$G$5:$G$110&lt;&gt;"acoes")))*INDEX(Inputs!$K$5:$AJ$110,0,MATCH(AK$2,Inputs!$K$4:$AJ$4,0)))+SUMPRODUCT((Inputs!$C$5:$C$110=$B39)*Inputs!$D$5:$D$110*(((Inputs!$G$5:$G$110="moeda")+(Inputs!$G$5:$G$110="acoes"))*Inputs!$B$1+((Inputs!$G$5:$G$110&lt;&gt;"moeda")*(Inputs!$G$5:$G$110&lt;&gt;"acoes")))*INDEX(Inputs!$K$5:$AJ$110,0,MATCH(AK$2,Inputs!$K$4:$AJ$4,0)))+SUMPRODUCT((Inputs!$E$5:$E$110=$B39)*Inputs!$F$5:$F$110*(((Inputs!$G$5:$G$110="moeda")+(Inputs!$G$5:$G$110="acoes"))*Inputs!$B$1+((Inputs!$G$5:$G$110&lt;&gt;"moeda")*(Inputs!$G$5:$G$110&lt;&gt;"acoes")))*INDEX(Inputs!$K$5:$AJ$110,0,MATCH(AK$2,Inputs!$K$4:$AJ$4,0)))))</f>
        <v>2138</v>
      </c>
      <c r="AL39" s="268">
        <f>AK39</f>
        <v>2138</v>
      </c>
    </row>
    <row r="40" ht="12.75" customHeight="1" s="255">
      <c r="C40" s="259" t="n"/>
    </row>
    <row r="41" ht="12.75" customHeight="1" s="255">
      <c r="B41" s="265" t="n">
        <v>35</v>
      </c>
      <c r="C41" s="270" t="inlineStr">
        <is>
          <t>Minority interest</t>
        </is>
      </c>
      <c r="D41" s="267">
        <f>IF(ISNA(MATCH(D$2,Inputs!$K$4:$AJ$4,0)),NA(),IF(SUMPRODUCT((Inputs!$A$5:$A$110=$B41)*ISNUMBER(INDEX(Inputs!$K$5:$AJ$110,0,MATCH(D$2,Inputs!$K$4:$AJ$4,0))))+SUMPRODUCT((Inputs!$C$5:$C$110=$B41)*ISNUMBER(INDEX(Inputs!$K$5:$AJ$110,0,MATCH(D$2,Inputs!$K$4:$AJ$4,0))))+SUMPRODUCT((Inputs!$E$5:$E$110=$B41)*ISNUMBER(INDEX(Inputs!$K$5:$AJ$110,0,MATCH(D$2,Inputs!$K$4:$AJ$4,0))))=0,NA(),SUMPRODUCT((Inputs!$A$5:$A$110=$B41)*Inputs!$B$5:$B$110*(((Inputs!$G$5:$G$110="moeda")+(Inputs!$G$5:$G$110="acoes"))*Inputs!$B$1+((Inputs!$G$5:$G$110&lt;&gt;"moeda")*(Inputs!$G$5:$G$110&lt;&gt;"acoes")))*INDEX(Inputs!$K$5:$AJ$110,0,MATCH(D$2,Inputs!$K$4:$AJ$4,0)))+SUMPRODUCT((Inputs!$C$5:$C$110=$B41)*Inputs!$D$5:$D$110*(((Inputs!$G$5:$G$110="moeda")+(Inputs!$G$5:$G$110="acoes"))*Inputs!$B$1+((Inputs!$G$5:$G$110&lt;&gt;"moeda")*(Inputs!$G$5:$G$110&lt;&gt;"acoes")))*INDEX(Inputs!$K$5:$AJ$110,0,MATCH(D$2,Inputs!$K$4:$AJ$4,0)))+SUMPRODUCT((Inputs!$E$5:$E$110=$B41)*Inputs!$F$5:$F$110*(((Inputs!$G$5:$G$110="moeda")+(Inputs!$G$5:$G$110="acoes"))*Inputs!$B$1+((Inputs!$G$5:$G$110&lt;&gt;"moeda")*(Inputs!$G$5:$G$110&lt;&gt;"acoes")))*INDEX(Inputs!$K$5:$AJ$110,0,MATCH(D$2,Inputs!$K$4:$AJ$4,0)))))</f>
        <v>477</v>
      </c>
      <c r="E41" s="267">
        <f>IF(ISNA(MATCH(E$2,Inputs!$K$4:$AJ$4,0)),NA(),IF(SUMPRODUCT((Inputs!$A$5:$A$110=$B41)*ISNUMBER(INDEX(Inputs!$K$5:$AJ$110,0,MATCH(E$2,Inputs!$K$4:$AJ$4,0))))+SUMPRODUCT((Inputs!$C$5:$C$110=$B41)*ISNUMBER(INDEX(Inputs!$K$5:$AJ$110,0,MATCH(E$2,Inputs!$K$4:$AJ$4,0))))+SUMPRODUCT((Inputs!$E$5:$E$110=$B41)*ISNUMBER(INDEX(Inputs!$K$5:$AJ$110,0,MATCH(E$2,Inputs!$K$4:$AJ$4,0))))=0,NA(),SUMPRODUCT((Inputs!$A$5:$A$110=$B41)*Inputs!$B$5:$B$110*(((Inputs!$G$5:$G$110="moeda")+(Inputs!$G$5:$G$110="acoes"))*Inputs!$B$1+((Inputs!$G$5:$G$110&lt;&gt;"moeda")*(Inputs!$G$5:$G$110&lt;&gt;"acoes")))*INDEX(Inputs!$K$5:$AJ$110,0,MATCH(E$2,Inputs!$K$4:$AJ$4,0)))+SUMPRODUCT((Inputs!$C$5:$C$110=$B41)*Inputs!$D$5:$D$110*(((Inputs!$G$5:$G$110="moeda")+(Inputs!$G$5:$G$110="acoes"))*Inputs!$B$1+((Inputs!$G$5:$G$110&lt;&gt;"moeda")*(Inputs!$G$5:$G$110&lt;&gt;"acoes")))*INDEX(Inputs!$K$5:$AJ$110,0,MATCH(E$2,Inputs!$K$4:$AJ$4,0)))+SUMPRODUCT((Inputs!$E$5:$E$110=$B41)*Inputs!$F$5:$F$110*(((Inputs!$G$5:$G$110="moeda")+(Inputs!$G$5:$G$110="acoes"))*Inputs!$B$1+((Inputs!$G$5:$G$110&lt;&gt;"moeda")*(Inputs!$G$5:$G$110&lt;&gt;"acoes")))*INDEX(Inputs!$K$5:$AJ$110,0,MATCH(E$2,Inputs!$K$4:$AJ$4,0)))))</f>
        <v>492</v>
      </c>
      <c r="F41" s="267">
        <f>IF(ISNA(MATCH(F$2,Inputs!$K$4:$AJ$4,0)),NA(),IF(SUMPRODUCT((Inputs!$A$5:$A$110=$B41)*ISNUMBER(INDEX(Inputs!$K$5:$AJ$110,0,MATCH(F$2,Inputs!$K$4:$AJ$4,0))))+SUMPRODUCT((Inputs!$C$5:$C$110=$B41)*ISNUMBER(INDEX(Inputs!$K$5:$AJ$110,0,MATCH(F$2,Inputs!$K$4:$AJ$4,0))))+SUMPRODUCT((Inputs!$E$5:$E$110=$B41)*ISNUMBER(INDEX(Inputs!$K$5:$AJ$110,0,MATCH(F$2,Inputs!$K$4:$AJ$4,0))))=0,NA(),SUMPRODUCT((Inputs!$A$5:$A$110=$B41)*Inputs!$B$5:$B$110*(((Inputs!$G$5:$G$110="moeda")+(Inputs!$G$5:$G$110="acoes"))*Inputs!$B$1+((Inputs!$G$5:$G$110&lt;&gt;"moeda")*(Inputs!$G$5:$G$110&lt;&gt;"acoes")))*INDEX(Inputs!$K$5:$AJ$110,0,MATCH(F$2,Inputs!$K$4:$AJ$4,0)))+SUMPRODUCT((Inputs!$C$5:$C$110=$B41)*Inputs!$D$5:$D$110*(((Inputs!$G$5:$G$110="moeda")+(Inputs!$G$5:$G$110="acoes"))*Inputs!$B$1+((Inputs!$G$5:$G$110&lt;&gt;"moeda")*(Inputs!$G$5:$G$110&lt;&gt;"acoes")))*INDEX(Inputs!$K$5:$AJ$110,0,MATCH(F$2,Inputs!$K$4:$AJ$4,0)))+SUMPRODUCT((Inputs!$E$5:$E$110=$B41)*Inputs!$F$5:$F$110*(((Inputs!$G$5:$G$110="moeda")+(Inputs!$G$5:$G$110="acoes"))*Inputs!$B$1+((Inputs!$G$5:$G$110&lt;&gt;"moeda")*(Inputs!$G$5:$G$110&lt;&gt;"acoes")))*INDEX(Inputs!$K$5:$AJ$110,0,MATCH(F$2,Inputs!$K$4:$AJ$4,0)))))</f>
        <v>514</v>
      </c>
      <c r="G41" s="267">
        <f>IF(ISNA(MATCH(G$2,Inputs!$K$4:$AJ$4,0)),NA(),IF(SUMPRODUCT((Inputs!$A$5:$A$110=$B41)*ISNUMBER(INDEX(Inputs!$K$5:$AJ$110,0,MATCH(G$2,Inputs!$K$4:$AJ$4,0))))+SUMPRODUCT((Inputs!$C$5:$C$110=$B41)*ISNUMBER(INDEX(Inputs!$K$5:$AJ$110,0,MATCH(G$2,Inputs!$K$4:$AJ$4,0))))+SUMPRODUCT((Inputs!$E$5:$E$110=$B41)*ISNUMBER(INDEX(Inputs!$K$5:$AJ$110,0,MATCH(G$2,Inputs!$K$4:$AJ$4,0))))=0,NA(),SUMPRODUCT((Inputs!$A$5:$A$110=$B41)*Inputs!$B$5:$B$110*(((Inputs!$G$5:$G$110="moeda")+(Inputs!$G$5:$G$110="acoes"))*Inputs!$B$1+((Inputs!$G$5:$G$110&lt;&gt;"moeda")*(Inputs!$G$5:$G$110&lt;&gt;"acoes")))*INDEX(Inputs!$K$5:$AJ$110,0,MATCH(G$2,Inputs!$K$4:$AJ$4,0)))+SUMPRODUCT((Inputs!$C$5:$C$110=$B41)*Inputs!$D$5:$D$110*(((Inputs!$G$5:$G$110="moeda")+(Inputs!$G$5:$G$110="acoes"))*Inputs!$B$1+((Inputs!$G$5:$G$110&lt;&gt;"moeda")*(Inputs!$G$5:$G$110&lt;&gt;"acoes")))*INDEX(Inputs!$K$5:$AJ$110,0,MATCH(G$2,Inputs!$K$4:$AJ$4,0)))+SUMPRODUCT((Inputs!$E$5:$E$110=$B41)*Inputs!$F$5:$F$110*(((Inputs!$G$5:$G$110="moeda")+(Inputs!$G$5:$G$110="acoes"))*Inputs!$B$1+((Inputs!$G$5:$G$110&lt;&gt;"moeda")*(Inputs!$G$5:$G$110&lt;&gt;"acoes")))*INDEX(Inputs!$K$5:$AJ$110,0,MATCH(G$2,Inputs!$K$4:$AJ$4,0)))))</f>
        <v>537</v>
      </c>
      <c r="H41" s="268">
        <f>G41</f>
        <v>537</v>
      </c>
      <c r="I41" s="267">
        <f>IF(ISNA(MATCH(I$2,Inputs!$K$4:$AJ$4,0)),NA(),IF(SUMPRODUCT((Inputs!$A$5:$A$110=$B41)*ISNUMBER(INDEX(Inputs!$K$5:$AJ$110,0,MATCH(I$2,Inputs!$K$4:$AJ$4,0))))+SUMPRODUCT((Inputs!$C$5:$C$110=$B41)*ISNUMBER(INDEX(Inputs!$K$5:$AJ$110,0,MATCH(I$2,Inputs!$K$4:$AJ$4,0))))+SUMPRODUCT((Inputs!$E$5:$E$110=$B41)*ISNUMBER(INDEX(Inputs!$K$5:$AJ$110,0,MATCH(I$2,Inputs!$K$4:$AJ$4,0))))=0,NA(),SUMPRODUCT((Inputs!$A$5:$A$110=$B41)*Inputs!$B$5:$B$110*(((Inputs!$G$5:$G$110="moeda")+(Inputs!$G$5:$G$110="acoes"))*Inputs!$B$1+((Inputs!$G$5:$G$110&lt;&gt;"moeda")*(Inputs!$G$5:$G$110&lt;&gt;"acoes")))*INDEX(Inputs!$K$5:$AJ$110,0,MATCH(I$2,Inputs!$K$4:$AJ$4,0)))+SUMPRODUCT((Inputs!$C$5:$C$110=$B41)*Inputs!$D$5:$D$110*(((Inputs!$G$5:$G$110="moeda")+(Inputs!$G$5:$G$110="acoes"))*Inputs!$B$1+((Inputs!$G$5:$G$110&lt;&gt;"moeda")*(Inputs!$G$5:$G$110&lt;&gt;"acoes")))*INDEX(Inputs!$K$5:$AJ$110,0,MATCH(I$2,Inputs!$K$4:$AJ$4,0)))+SUMPRODUCT((Inputs!$E$5:$E$110=$B41)*Inputs!$F$5:$F$110*(((Inputs!$G$5:$G$110="moeda")+(Inputs!$G$5:$G$110="acoes"))*Inputs!$B$1+((Inputs!$G$5:$G$110&lt;&gt;"moeda")*(Inputs!$G$5:$G$110&lt;&gt;"acoes")))*INDEX(Inputs!$K$5:$AJ$110,0,MATCH(I$2,Inputs!$K$4:$AJ$4,0)))))</f>
        <v>558</v>
      </c>
      <c r="J41" s="267">
        <f>IF(ISNA(MATCH(J$2,Inputs!$K$4:$AJ$4,0)),NA(),IF(SUMPRODUCT((Inputs!$A$5:$A$110=$B41)*ISNUMBER(INDEX(Inputs!$K$5:$AJ$110,0,MATCH(J$2,Inputs!$K$4:$AJ$4,0))))+SUMPRODUCT((Inputs!$C$5:$C$110=$B41)*ISNUMBER(INDEX(Inputs!$K$5:$AJ$110,0,MATCH(J$2,Inputs!$K$4:$AJ$4,0))))+SUMPRODUCT((Inputs!$E$5:$E$110=$B41)*ISNUMBER(INDEX(Inputs!$K$5:$AJ$110,0,MATCH(J$2,Inputs!$K$4:$AJ$4,0))))=0,NA(),SUMPRODUCT((Inputs!$A$5:$A$110=$B41)*Inputs!$B$5:$B$110*(((Inputs!$G$5:$G$110="moeda")+(Inputs!$G$5:$G$110="acoes"))*Inputs!$B$1+((Inputs!$G$5:$G$110&lt;&gt;"moeda")*(Inputs!$G$5:$G$110&lt;&gt;"acoes")))*INDEX(Inputs!$K$5:$AJ$110,0,MATCH(J$2,Inputs!$K$4:$AJ$4,0)))+SUMPRODUCT((Inputs!$C$5:$C$110=$B41)*Inputs!$D$5:$D$110*(((Inputs!$G$5:$G$110="moeda")+(Inputs!$G$5:$G$110="acoes"))*Inputs!$B$1+((Inputs!$G$5:$G$110&lt;&gt;"moeda")*(Inputs!$G$5:$G$110&lt;&gt;"acoes")))*INDEX(Inputs!$K$5:$AJ$110,0,MATCH(J$2,Inputs!$K$4:$AJ$4,0)))+SUMPRODUCT((Inputs!$E$5:$E$110=$B41)*Inputs!$F$5:$F$110*(((Inputs!$G$5:$G$110="moeda")+(Inputs!$G$5:$G$110="acoes"))*Inputs!$B$1+((Inputs!$G$5:$G$110&lt;&gt;"moeda")*(Inputs!$G$5:$G$110&lt;&gt;"acoes")))*INDEX(Inputs!$K$5:$AJ$110,0,MATCH(J$2,Inputs!$K$4:$AJ$4,0)))))</f>
        <v>545</v>
      </c>
      <c r="K41" s="267">
        <f>IF(ISNA(MATCH(K$2,Inputs!$K$4:$AJ$4,0)),NA(),IF(SUMPRODUCT((Inputs!$A$5:$A$110=$B41)*ISNUMBER(INDEX(Inputs!$K$5:$AJ$110,0,MATCH(K$2,Inputs!$K$4:$AJ$4,0))))+SUMPRODUCT((Inputs!$C$5:$C$110=$B41)*ISNUMBER(INDEX(Inputs!$K$5:$AJ$110,0,MATCH(K$2,Inputs!$K$4:$AJ$4,0))))+SUMPRODUCT((Inputs!$E$5:$E$110=$B41)*ISNUMBER(INDEX(Inputs!$K$5:$AJ$110,0,MATCH(K$2,Inputs!$K$4:$AJ$4,0))))=0,NA(),SUMPRODUCT((Inputs!$A$5:$A$110=$B41)*Inputs!$B$5:$B$110*(((Inputs!$G$5:$G$110="moeda")+(Inputs!$G$5:$G$110="acoes"))*Inputs!$B$1+((Inputs!$G$5:$G$110&lt;&gt;"moeda")*(Inputs!$G$5:$G$110&lt;&gt;"acoes")))*INDEX(Inputs!$K$5:$AJ$110,0,MATCH(K$2,Inputs!$K$4:$AJ$4,0)))+SUMPRODUCT((Inputs!$C$5:$C$110=$B41)*Inputs!$D$5:$D$110*(((Inputs!$G$5:$G$110="moeda")+(Inputs!$G$5:$G$110="acoes"))*Inputs!$B$1+((Inputs!$G$5:$G$110&lt;&gt;"moeda")*(Inputs!$G$5:$G$110&lt;&gt;"acoes")))*INDEX(Inputs!$K$5:$AJ$110,0,MATCH(K$2,Inputs!$K$4:$AJ$4,0)))+SUMPRODUCT((Inputs!$E$5:$E$110=$B41)*Inputs!$F$5:$F$110*(((Inputs!$G$5:$G$110="moeda")+(Inputs!$G$5:$G$110="acoes"))*Inputs!$B$1+((Inputs!$G$5:$G$110&lt;&gt;"moeda")*(Inputs!$G$5:$G$110&lt;&gt;"acoes")))*INDEX(Inputs!$K$5:$AJ$110,0,MATCH(K$2,Inputs!$K$4:$AJ$4,0)))))</f>
        <v>5</v>
      </c>
      <c r="L41" s="267">
        <f>IF(ISNA(MATCH(L$2,Inputs!$K$4:$AJ$4,0)),NA(),IF(SUMPRODUCT((Inputs!$A$5:$A$110=$B41)*ISNUMBER(INDEX(Inputs!$K$5:$AJ$110,0,MATCH(L$2,Inputs!$K$4:$AJ$4,0))))+SUMPRODUCT((Inputs!$C$5:$C$110=$B41)*ISNUMBER(INDEX(Inputs!$K$5:$AJ$110,0,MATCH(L$2,Inputs!$K$4:$AJ$4,0))))+SUMPRODUCT((Inputs!$E$5:$E$110=$B41)*ISNUMBER(INDEX(Inputs!$K$5:$AJ$110,0,MATCH(L$2,Inputs!$K$4:$AJ$4,0))))=0,NA(),SUMPRODUCT((Inputs!$A$5:$A$110=$B41)*Inputs!$B$5:$B$110*(((Inputs!$G$5:$G$110="moeda")+(Inputs!$G$5:$G$110="acoes"))*Inputs!$B$1+((Inputs!$G$5:$G$110&lt;&gt;"moeda")*(Inputs!$G$5:$G$110&lt;&gt;"acoes")))*INDEX(Inputs!$K$5:$AJ$110,0,MATCH(L$2,Inputs!$K$4:$AJ$4,0)))+SUMPRODUCT((Inputs!$C$5:$C$110=$B41)*Inputs!$D$5:$D$110*(((Inputs!$G$5:$G$110="moeda")+(Inputs!$G$5:$G$110="acoes"))*Inputs!$B$1+((Inputs!$G$5:$G$110&lt;&gt;"moeda")*(Inputs!$G$5:$G$110&lt;&gt;"acoes")))*INDEX(Inputs!$K$5:$AJ$110,0,MATCH(L$2,Inputs!$K$4:$AJ$4,0)))+SUMPRODUCT((Inputs!$E$5:$E$110=$B41)*Inputs!$F$5:$F$110*(((Inputs!$G$5:$G$110="moeda")+(Inputs!$G$5:$G$110="acoes"))*Inputs!$B$1+((Inputs!$G$5:$G$110&lt;&gt;"moeda")*(Inputs!$G$5:$G$110&lt;&gt;"acoes")))*INDEX(Inputs!$K$5:$AJ$110,0,MATCH(L$2,Inputs!$K$4:$AJ$4,0)))))</f>
        <v>5</v>
      </c>
      <c r="M41" s="268">
        <f>L41</f>
        <v>5</v>
      </c>
      <c r="N41" s="267">
        <f>IF(ISNA(MATCH(N$2,Inputs!$K$4:$AJ$4,0)),NA(),IF(SUMPRODUCT((Inputs!$A$5:$A$110=$B41)*ISNUMBER(INDEX(Inputs!$K$5:$AJ$110,0,MATCH(N$2,Inputs!$K$4:$AJ$4,0))))+SUMPRODUCT((Inputs!$C$5:$C$110=$B41)*ISNUMBER(INDEX(Inputs!$K$5:$AJ$110,0,MATCH(N$2,Inputs!$K$4:$AJ$4,0))))+SUMPRODUCT((Inputs!$E$5:$E$110=$B41)*ISNUMBER(INDEX(Inputs!$K$5:$AJ$110,0,MATCH(N$2,Inputs!$K$4:$AJ$4,0))))=0,NA(),SUMPRODUCT((Inputs!$A$5:$A$110=$B41)*Inputs!$B$5:$B$110*(((Inputs!$G$5:$G$110="moeda")+(Inputs!$G$5:$G$110="acoes"))*Inputs!$B$1+((Inputs!$G$5:$G$110&lt;&gt;"moeda")*(Inputs!$G$5:$G$110&lt;&gt;"acoes")))*INDEX(Inputs!$K$5:$AJ$110,0,MATCH(N$2,Inputs!$K$4:$AJ$4,0)))+SUMPRODUCT((Inputs!$C$5:$C$110=$B41)*Inputs!$D$5:$D$110*(((Inputs!$G$5:$G$110="moeda")+(Inputs!$G$5:$G$110="acoes"))*Inputs!$B$1+((Inputs!$G$5:$G$110&lt;&gt;"moeda")*(Inputs!$G$5:$G$110&lt;&gt;"acoes")))*INDEX(Inputs!$K$5:$AJ$110,0,MATCH(N$2,Inputs!$K$4:$AJ$4,0)))+SUMPRODUCT((Inputs!$E$5:$E$110=$B41)*Inputs!$F$5:$F$110*(((Inputs!$G$5:$G$110="moeda")+(Inputs!$G$5:$G$110="acoes"))*Inputs!$B$1+((Inputs!$G$5:$G$110&lt;&gt;"moeda")*(Inputs!$G$5:$G$110&lt;&gt;"acoes")))*INDEX(Inputs!$K$5:$AJ$110,0,MATCH(N$2,Inputs!$K$4:$AJ$4,0)))))</f>
        <v>5</v>
      </c>
      <c r="O41" s="267">
        <f>IF(ISNA(MATCH(O$2,Inputs!$K$4:$AJ$4,0)),NA(),IF(SUMPRODUCT((Inputs!$A$5:$A$110=$B41)*ISNUMBER(INDEX(Inputs!$K$5:$AJ$110,0,MATCH(O$2,Inputs!$K$4:$AJ$4,0))))+SUMPRODUCT((Inputs!$C$5:$C$110=$B41)*ISNUMBER(INDEX(Inputs!$K$5:$AJ$110,0,MATCH(O$2,Inputs!$K$4:$AJ$4,0))))+SUMPRODUCT((Inputs!$E$5:$E$110=$B41)*ISNUMBER(INDEX(Inputs!$K$5:$AJ$110,0,MATCH(O$2,Inputs!$K$4:$AJ$4,0))))=0,NA(),SUMPRODUCT((Inputs!$A$5:$A$110=$B41)*Inputs!$B$5:$B$110*(((Inputs!$G$5:$G$110="moeda")+(Inputs!$G$5:$G$110="acoes"))*Inputs!$B$1+((Inputs!$G$5:$G$110&lt;&gt;"moeda")*(Inputs!$G$5:$G$110&lt;&gt;"acoes")))*INDEX(Inputs!$K$5:$AJ$110,0,MATCH(O$2,Inputs!$K$4:$AJ$4,0)))+SUMPRODUCT((Inputs!$C$5:$C$110=$B41)*Inputs!$D$5:$D$110*(((Inputs!$G$5:$G$110="moeda")+(Inputs!$G$5:$G$110="acoes"))*Inputs!$B$1+((Inputs!$G$5:$G$110&lt;&gt;"moeda")*(Inputs!$G$5:$G$110&lt;&gt;"acoes")))*INDEX(Inputs!$K$5:$AJ$110,0,MATCH(O$2,Inputs!$K$4:$AJ$4,0)))+SUMPRODUCT((Inputs!$E$5:$E$110=$B41)*Inputs!$F$5:$F$110*(((Inputs!$G$5:$G$110="moeda")+(Inputs!$G$5:$G$110="acoes"))*Inputs!$B$1+((Inputs!$G$5:$G$110&lt;&gt;"moeda")*(Inputs!$G$5:$G$110&lt;&gt;"acoes")))*INDEX(Inputs!$K$5:$AJ$110,0,MATCH(O$2,Inputs!$K$4:$AJ$4,0)))))</f>
        <v>5</v>
      </c>
      <c r="P41" s="267">
        <f>IF(ISNA(MATCH(P$2,Inputs!$K$4:$AJ$4,0)),NA(),IF(SUMPRODUCT((Inputs!$A$5:$A$110=$B41)*ISNUMBER(INDEX(Inputs!$K$5:$AJ$110,0,MATCH(P$2,Inputs!$K$4:$AJ$4,0))))+SUMPRODUCT((Inputs!$C$5:$C$110=$B41)*ISNUMBER(INDEX(Inputs!$K$5:$AJ$110,0,MATCH(P$2,Inputs!$K$4:$AJ$4,0))))+SUMPRODUCT((Inputs!$E$5:$E$110=$B41)*ISNUMBER(INDEX(Inputs!$K$5:$AJ$110,0,MATCH(P$2,Inputs!$K$4:$AJ$4,0))))=0,NA(),SUMPRODUCT((Inputs!$A$5:$A$110=$B41)*Inputs!$B$5:$B$110*(((Inputs!$G$5:$G$110="moeda")+(Inputs!$G$5:$G$110="acoes"))*Inputs!$B$1+((Inputs!$G$5:$G$110&lt;&gt;"moeda")*(Inputs!$G$5:$G$110&lt;&gt;"acoes")))*INDEX(Inputs!$K$5:$AJ$110,0,MATCH(P$2,Inputs!$K$4:$AJ$4,0)))+SUMPRODUCT((Inputs!$C$5:$C$110=$B41)*Inputs!$D$5:$D$110*(((Inputs!$G$5:$G$110="moeda")+(Inputs!$G$5:$G$110="acoes"))*Inputs!$B$1+((Inputs!$G$5:$G$110&lt;&gt;"moeda")*(Inputs!$G$5:$G$110&lt;&gt;"acoes")))*INDEX(Inputs!$K$5:$AJ$110,0,MATCH(P$2,Inputs!$K$4:$AJ$4,0)))+SUMPRODUCT((Inputs!$E$5:$E$110=$B41)*Inputs!$F$5:$F$110*(((Inputs!$G$5:$G$110="moeda")+(Inputs!$G$5:$G$110="acoes"))*Inputs!$B$1+((Inputs!$G$5:$G$110&lt;&gt;"moeda")*(Inputs!$G$5:$G$110&lt;&gt;"acoes")))*INDEX(Inputs!$K$5:$AJ$110,0,MATCH(P$2,Inputs!$K$4:$AJ$4,0)))))</f>
        <v>0</v>
      </c>
      <c r="Q41" s="267">
        <f>IF(ISNA(MATCH(Q$2,Inputs!$K$4:$AJ$4,0)),NA(),IF(SUMPRODUCT((Inputs!$A$5:$A$110=$B41)*ISNUMBER(INDEX(Inputs!$K$5:$AJ$110,0,MATCH(Q$2,Inputs!$K$4:$AJ$4,0))))+SUMPRODUCT((Inputs!$C$5:$C$110=$B41)*ISNUMBER(INDEX(Inputs!$K$5:$AJ$110,0,MATCH(Q$2,Inputs!$K$4:$AJ$4,0))))+SUMPRODUCT((Inputs!$E$5:$E$110=$B41)*ISNUMBER(INDEX(Inputs!$K$5:$AJ$110,0,MATCH(Q$2,Inputs!$K$4:$AJ$4,0))))=0,NA(),SUMPRODUCT((Inputs!$A$5:$A$110=$B41)*Inputs!$B$5:$B$110*(((Inputs!$G$5:$G$110="moeda")+(Inputs!$G$5:$G$110="acoes"))*Inputs!$B$1+((Inputs!$G$5:$G$110&lt;&gt;"moeda")*(Inputs!$G$5:$G$110&lt;&gt;"acoes")))*INDEX(Inputs!$K$5:$AJ$110,0,MATCH(Q$2,Inputs!$K$4:$AJ$4,0)))+SUMPRODUCT((Inputs!$C$5:$C$110=$B41)*Inputs!$D$5:$D$110*(((Inputs!$G$5:$G$110="moeda")+(Inputs!$G$5:$G$110="acoes"))*Inputs!$B$1+((Inputs!$G$5:$G$110&lt;&gt;"moeda")*(Inputs!$G$5:$G$110&lt;&gt;"acoes")))*INDEX(Inputs!$K$5:$AJ$110,0,MATCH(Q$2,Inputs!$K$4:$AJ$4,0)))+SUMPRODUCT((Inputs!$E$5:$E$110=$B41)*Inputs!$F$5:$F$110*(((Inputs!$G$5:$G$110="moeda")+(Inputs!$G$5:$G$110="acoes"))*Inputs!$B$1+((Inputs!$G$5:$G$110&lt;&gt;"moeda")*(Inputs!$G$5:$G$110&lt;&gt;"acoes")))*INDEX(Inputs!$K$5:$AJ$110,0,MATCH(Q$2,Inputs!$K$4:$AJ$4,0)))))</f>
        <v>0</v>
      </c>
      <c r="R41" s="268">
        <f>Q41</f>
        <v>0</v>
      </c>
      <c r="S41" s="267">
        <f>IF(ISNA(MATCH(S$2,Inputs!$K$4:$AJ$4,0)),NA(),IF(SUMPRODUCT((Inputs!$A$5:$A$110=$B41)*ISNUMBER(INDEX(Inputs!$K$5:$AJ$110,0,MATCH(S$2,Inputs!$K$4:$AJ$4,0))))+SUMPRODUCT((Inputs!$C$5:$C$110=$B41)*ISNUMBER(INDEX(Inputs!$K$5:$AJ$110,0,MATCH(S$2,Inputs!$K$4:$AJ$4,0))))+SUMPRODUCT((Inputs!$E$5:$E$110=$B41)*ISNUMBER(INDEX(Inputs!$K$5:$AJ$110,0,MATCH(S$2,Inputs!$K$4:$AJ$4,0))))=0,NA(),SUMPRODUCT((Inputs!$A$5:$A$110=$B41)*Inputs!$B$5:$B$110*(((Inputs!$G$5:$G$110="moeda")+(Inputs!$G$5:$G$110="acoes"))*Inputs!$B$1+((Inputs!$G$5:$G$110&lt;&gt;"moeda")*(Inputs!$G$5:$G$110&lt;&gt;"acoes")))*INDEX(Inputs!$K$5:$AJ$110,0,MATCH(S$2,Inputs!$K$4:$AJ$4,0)))+SUMPRODUCT((Inputs!$C$5:$C$110=$B41)*Inputs!$D$5:$D$110*(((Inputs!$G$5:$G$110="moeda")+(Inputs!$G$5:$G$110="acoes"))*Inputs!$B$1+((Inputs!$G$5:$G$110&lt;&gt;"moeda")*(Inputs!$G$5:$G$110&lt;&gt;"acoes")))*INDEX(Inputs!$K$5:$AJ$110,0,MATCH(S$2,Inputs!$K$4:$AJ$4,0)))+SUMPRODUCT((Inputs!$E$5:$E$110=$B41)*Inputs!$F$5:$F$110*(((Inputs!$G$5:$G$110="moeda")+(Inputs!$G$5:$G$110="acoes"))*Inputs!$B$1+((Inputs!$G$5:$G$110&lt;&gt;"moeda")*(Inputs!$G$5:$G$110&lt;&gt;"acoes")))*INDEX(Inputs!$K$5:$AJ$110,0,MATCH(S$2,Inputs!$K$4:$AJ$4,0)))))</f>
        <v>0</v>
      </c>
      <c r="T41" s="267">
        <f>IF(ISNA(MATCH(T$2,Inputs!$K$4:$AJ$4,0)),NA(),IF(SUMPRODUCT((Inputs!$A$5:$A$110=$B41)*ISNUMBER(INDEX(Inputs!$K$5:$AJ$110,0,MATCH(T$2,Inputs!$K$4:$AJ$4,0))))+SUMPRODUCT((Inputs!$C$5:$C$110=$B41)*ISNUMBER(INDEX(Inputs!$K$5:$AJ$110,0,MATCH(T$2,Inputs!$K$4:$AJ$4,0))))+SUMPRODUCT((Inputs!$E$5:$E$110=$B41)*ISNUMBER(INDEX(Inputs!$K$5:$AJ$110,0,MATCH(T$2,Inputs!$K$4:$AJ$4,0))))=0,NA(),SUMPRODUCT((Inputs!$A$5:$A$110=$B41)*Inputs!$B$5:$B$110*(((Inputs!$G$5:$G$110="moeda")+(Inputs!$G$5:$G$110="acoes"))*Inputs!$B$1+((Inputs!$G$5:$G$110&lt;&gt;"moeda")*(Inputs!$G$5:$G$110&lt;&gt;"acoes")))*INDEX(Inputs!$K$5:$AJ$110,0,MATCH(T$2,Inputs!$K$4:$AJ$4,0)))+SUMPRODUCT((Inputs!$C$5:$C$110=$B41)*Inputs!$D$5:$D$110*(((Inputs!$G$5:$G$110="moeda")+(Inputs!$G$5:$G$110="acoes"))*Inputs!$B$1+((Inputs!$G$5:$G$110&lt;&gt;"moeda")*(Inputs!$G$5:$G$110&lt;&gt;"acoes")))*INDEX(Inputs!$K$5:$AJ$110,0,MATCH(T$2,Inputs!$K$4:$AJ$4,0)))+SUMPRODUCT((Inputs!$E$5:$E$110=$B41)*Inputs!$F$5:$F$110*(((Inputs!$G$5:$G$110="moeda")+(Inputs!$G$5:$G$110="acoes"))*Inputs!$B$1+((Inputs!$G$5:$G$110&lt;&gt;"moeda")*(Inputs!$G$5:$G$110&lt;&gt;"acoes")))*INDEX(Inputs!$K$5:$AJ$110,0,MATCH(T$2,Inputs!$K$4:$AJ$4,0)))))</f>
        <v>0</v>
      </c>
      <c r="U41" s="267">
        <f>IF(ISNA(MATCH(U$2,Inputs!$K$4:$AJ$4,0)),NA(),IF(SUMPRODUCT((Inputs!$A$5:$A$110=$B41)*ISNUMBER(INDEX(Inputs!$K$5:$AJ$110,0,MATCH(U$2,Inputs!$K$4:$AJ$4,0))))+SUMPRODUCT((Inputs!$C$5:$C$110=$B41)*ISNUMBER(INDEX(Inputs!$K$5:$AJ$110,0,MATCH(U$2,Inputs!$K$4:$AJ$4,0))))+SUMPRODUCT((Inputs!$E$5:$E$110=$B41)*ISNUMBER(INDEX(Inputs!$K$5:$AJ$110,0,MATCH(U$2,Inputs!$K$4:$AJ$4,0))))=0,NA(),SUMPRODUCT((Inputs!$A$5:$A$110=$B41)*Inputs!$B$5:$B$110*(((Inputs!$G$5:$G$110="moeda")+(Inputs!$G$5:$G$110="acoes"))*Inputs!$B$1+((Inputs!$G$5:$G$110&lt;&gt;"moeda")*(Inputs!$G$5:$G$110&lt;&gt;"acoes")))*INDEX(Inputs!$K$5:$AJ$110,0,MATCH(U$2,Inputs!$K$4:$AJ$4,0)))+SUMPRODUCT((Inputs!$C$5:$C$110=$B41)*Inputs!$D$5:$D$110*(((Inputs!$G$5:$G$110="moeda")+(Inputs!$G$5:$G$110="acoes"))*Inputs!$B$1+((Inputs!$G$5:$G$110&lt;&gt;"moeda")*(Inputs!$G$5:$G$110&lt;&gt;"acoes")))*INDEX(Inputs!$K$5:$AJ$110,0,MATCH(U$2,Inputs!$K$4:$AJ$4,0)))+SUMPRODUCT((Inputs!$E$5:$E$110=$B41)*Inputs!$F$5:$F$110*(((Inputs!$G$5:$G$110="moeda")+(Inputs!$G$5:$G$110="acoes"))*Inputs!$B$1+((Inputs!$G$5:$G$110&lt;&gt;"moeda")*(Inputs!$G$5:$G$110&lt;&gt;"acoes")))*INDEX(Inputs!$K$5:$AJ$110,0,MATCH(U$2,Inputs!$K$4:$AJ$4,0)))))</f>
        <v>0</v>
      </c>
      <c r="V41" s="267">
        <f>IF(ISNA(MATCH(V$2,Inputs!$K$4:$AJ$4,0)),NA(),IF(SUMPRODUCT((Inputs!$A$5:$A$110=$B41)*ISNUMBER(INDEX(Inputs!$K$5:$AJ$110,0,MATCH(V$2,Inputs!$K$4:$AJ$4,0))))+SUMPRODUCT((Inputs!$C$5:$C$110=$B41)*ISNUMBER(INDEX(Inputs!$K$5:$AJ$110,0,MATCH(V$2,Inputs!$K$4:$AJ$4,0))))+SUMPRODUCT((Inputs!$E$5:$E$110=$B41)*ISNUMBER(INDEX(Inputs!$K$5:$AJ$110,0,MATCH(V$2,Inputs!$K$4:$AJ$4,0))))=0,NA(),SUMPRODUCT((Inputs!$A$5:$A$110=$B41)*Inputs!$B$5:$B$110*(((Inputs!$G$5:$G$110="moeda")+(Inputs!$G$5:$G$110="acoes"))*Inputs!$B$1+((Inputs!$G$5:$G$110&lt;&gt;"moeda")*(Inputs!$G$5:$G$110&lt;&gt;"acoes")))*INDEX(Inputs!$K$5:$AJ$110,0,MATCH(V$2,Inputs!$K$4:$AJ$4,0)))+SUMPRODUCT((Inputs!$C$5:$C$110=$B41)*Inputs!$D$5:$D$110*(((Inputs!$G$5:$G$110="moeda")+(Inputs!$G$5:$G$110="acoes"))*Inputs!$B$1+((Inputs!$G$5:$G$110&lt;&gt;"moeda")*(Inputs!$G$5:$G$110&lt;&gt;"acoes")))*INDEX(Inputs!$K$5:$AJ$110,0,MATCH(V$2,Inputs!$K$4:$AJ$4,0)))+SUMPRODUCT((Inputs!$E$5:$E$110=$B41)*Inputs!$F$5:$F$110*(((Inputs!$G$5:$G$110="moeda")+(Inputs!$G$5:$G$110="acoes"))*Inputs!$B$1+((Inputs!$G$5:$G$110&lt;&gt;"moeda")*(Inputs!$G$5:$G$110&lt;&gt;"acoes")))*INDEX(Inputs!$K$5:$AJ$110,0,MATCH(V$2,Inputs!$K$4:$AJ$4,0)))))</f>
        <v>0</v>
      </c>
      <c r="W41" s="268">
        <f>V41</f>
        <v>0</v>
      </c>
      <c r="X41" s="267">
        <f>IF(ISNA(MATCH(X$2,Inputs!$K$4:$AJ$4,0)),NA(),IF(SUMPRODUCT((Inputs!$A$5:$A$110=$B41)*ISNUMBER(INDEX(Inputs!$K$5:$AJ$110,0,MATCH(X$2,Inputs!$K$4:$AJ$4,0))))+SUMPRODUCT((Inputs!$C$5:$C$110=$B41)*ISNUMBER(INDEX(Inputs!$K$5:$AJ$110,0,MATCH(X$2,Inputs!$K$4:$AJ$4,0))))+SUMPRODUCT((Inputs!$E$5:$E$110=$B41)*ISNUMBER(INDEX(Inputs!$K$5:$AJ$110,0,MATCH(X$2,Inputs!$K$4:$AJ$4,0))))=0,NA(),SUMPRODUCT((Inputs!$A$5:$A$110=$B41)*Inputs!$B$5:$B$110*(((Inputs!$G$5:$G$110="moeda")+(Inputs!$G$5:$G$110="acoes"))*Inputs!$B$1+((Inputs!$G$5:$G$110&lt;&gt;"moeda")*(Inputs!$G$5:$G$110&lt;&gt;"acoes")))*INDEX(Inputs!$K$5:$AJ$110,0,MATCH(X$2,Inputs!$K$4:$AJ$4,0)))+SUMPRODUCT((Inputs!$C$5:$C$110=$B41)*Inputs!$D$5:$D$110*(((Inputs!$G$5:$G$110="moeda")+(Inputs!$G$5:$G$110="acoes"))*Inputs!$B$1+((Inputs!$G$5:$G$110&lt;&gt;"moeda")*(Inputs!$G$5:$G$110&lt;&gt;"acoes")))*INDEX(Inputs!$K$5:$AJ$110,0,MATCH(X$2,Inputs!$K$4:$AJ$4,0)))+SUMPRODUCT((Inputs!$E$5:$E$110=$B41)*Inputs!$F$5:$F$110*(((Inputs!$G$5:$G$110="moeda")+(Inputs!$G$5:$G$110="acoes"))*Inputs!$B$1+((Inputs!$G$5:$G$110&lt;&gt;"moeda")*(Inputs!$G$5:$G$110&lt;&gt;"acoes")))*INDEX(Inputs!$K$5:$AJ$110,0,MATCH(X$2,Inputs!$K$4:$AJ$4,0)))))</f>
        <v>0</v>
      </c>
      <c r="Y41" s="267">
        <f>IF(ISNA(MATCH(Y$2,Inputs!$K$4:$AJ$4,0)),NA(),IF(SUMPRODUCT((Inputs!$A$5:$A$110=$B41)*ISNUMBER(INDEX(Inputs!$K$5:$AJ$110,0,MATCH(Y$2,Inputs!$K$4:$AJ$4,0))))+SUMPRODUCT((Inputs!$C$5:$C$110=$B41)*ISNUMBER(INDEX(Inputs!$K$5:$AJ$110,0,MATCH(Y$2,Inputs!$K$4:$AJ$4,0))))+SUMPRODUCT((Inputs!$E$5:$E$110=$B41)*ISNUMBER(INDEX(Inputs!$K$5:$AJ$110,0,MATCH(Y$2,Inputs!$K$4:$AJ$4,0))))=0,NA(),SUMPRODUCT((Inputs!$A$5:$A$110=$B41)*Inputs!$B$5:$B$110*(((Inputs!$G$5:$G$110="moeda")+(Inputs!$G$5:$G$110="acoes"))*Inputs!$B$1+((Inputs!$G$5:$G$110&lt;&gt;"moeda")*(Inputs!$G$5:$G$110&lt;&gt;"acoes")))*INDEX(Inputs!$K$5:$AJ$110,0,MATCH(Y$2,Inputs!$K$4:$AJ$4,0)))+SUMPRODUCT((Inputs!$C$5:$C$110=$B41)*Inputs!$D$5:$D$110*(((Inputs!$G$5:$G$110="moeda")+(Inputs!$G$5:$G$110="acoes"))*Inputs!$B$1+((Inputs!$G$5:$G$110&lt;&gt;"moeda")*(Inputs!$G$5:$G$110&lt;&gt;"acoes")))*INDEX(Inputs!$K$5:$AJ$110,0,MATCH(Y$2,Inputs!$K$4:$AJ$4,0)))+SUMPRODUCT((Inputs!$E$5:$E$110=$B41)*Inputs!$F$5:$F$110*(((Inputs!$G$5:$G$110="moeda")+(Inputs!$G$5:$G$110="acoes"))*Inputs!$B$1+((Inputs!$G$5:$G$110&lt;&gt;"moeda")*(Inputs!$G$5:$G$110&lt;&gt;"acoes")))*INDEX(Inputs!$K$5:$AJ$110,0,MATCH(Y$2,Inputs!$K$4:$AJ$4,0)))))</f>
        <v>0</v>
      </c>
      <c r="Z41" s="267">
        <f>IF(ISNA(MATCH(Z$2,Inputs!$K$4:$AJ$4,0)),NA(),IF(SUMPRODUCT((Inputs!$A$5:$A$110=$B41)*ISNUMBER(INDEX(Inputs!$K$5:$AJ$110,0,MATCH(Z$2,Inputs!$K$4:$AJ$4,0))))+SUMPRODUCT((Inputs!$C$5:$C$110=$B41)*ISNUMBER(INDEX(Inputs!$K$5:$AJ$110,0,MATCH(Z$2,Inputs!$K$4:$AJ$4,0))))+SUMPRODUCT((Inputs!$E$5:$E$110=$B41)*ISNUMBER(INDEX(Inputs!$K$5:$AJ$110,0,MATCH(Z$2,Inputs!$K$4:$AJ$4,0))))=0,NA(),SUMPRODUCT((Inputs!$A$5:$A$110=$B41)*Inputs!$B$5:$B$110*(((Inputs!$G$5:$G$110="moeda")+(Inputs!$G$5:$G$110="acoes"))*Inputs!$B$1+((Inputs!$G$5:$G$110&lt;&gt;"moeda")*(Inputs!$G$5:$G$110&lt;&gt;"acoes")))*INDEX(Inputs!$K$5:$AJ$110,0,MATCH(Z$2,Inputs!$K$4:$AJ$4,0)))+SUMPRODUCT((Inputs!$C$5:$C$110=$B41)*Inputs!$D$5:$D$110*(((Inputs!$G$5:$G$110="moeda")+(Inputs!$G$5:$G$110="acoes"))*Inputs!$B$1+((Inputs!$G$5:$G$110&lt;&gt;"moeda")*(Inputs!$G$5:$G$110&lt;&gt;"acoes")))*INDEX(Inputs!$K$5:$AJ$110,0,MATCH(Z$2,Inputs!$K$4:$AJ$4,0)))+SUMPRODUCT((Inputs!$E$5:$E$110=$B41)*Inputs!$F$5:$F$110*(((Inputs!$G$5:$G$110="moeda")+(Inputs!$G$5:$G$110="acoes"))*Inputs!$B$1+((Inputs!$G$5:$G$110&lt;&gt;"moeda")*(Inputs!$G$5:$G$110&lt;&gt;"acoes")))*INDEX(Inputs!$K$5:$AJ$110,0,MATCH(Z$2,Inputs!$K$4:$AJ$4,0)))))</f>
        <v>0</v>
      </c>
      <c r="AA41" s="267">
        <f>IF(ISNA(MATCH(AA$2,Inputs!$K$4:$AJ$4,0)),NA(),IF(SUMPRODUCT((Inputs!$A$5:$A$110=$B41)*ISNUMBER(INDEX(Inputs!$K$5:$AJ$110,0,MATCH(AA$2,Inputs!$K$4:$AJ$4,0))))+SUMPRODUCT((Inputs!$C$5:$C$110=$B41)*ISNUMBER(INDEX(Inputs!$K$5:$AJ$110,0,MATCH(AA$2,Inputs!$K$4:$AJ$4,0))))+SUMPRODUCT((Inputs!$E$5:$E$110=$B41)*ISNUMBER(INDEX(Inputs!$K$5:$AJ$110,0,MATCH(AA$2,Inputs!$K$4:$AJ$4,0))))=0,NA(),SUMPRODUCT((Inputs!$A$5:$A$110=$B41)*Inputs!$B$5:$B$110*(((Inputs!$G$5:$G$110="moeda")+(Inputs!$G$5:$G$110="acoes"))*Inputs!$B$1+((Inputs!$G$5:$G$110&lt;&gt;"moeda")*(Inputs!$G$5:$G$110&lt;&gt;"acoes")))*INDEX(Inputs!$K$5:$AJ$110,0,MATCH(AA$2,Inputs!$K$4:$AJ$4,0)))+SUMPRODUCT((Inputs!$C$5:$C$110=$B41)*Inputs!$D$5:$D$110*(((Inputs!$G$5:$G$110="moeda")+(Inputs!$G$5:$G$110="acoes"))*Inputs!$B$1+((Inputs!$G$5:$G$110&lt;&gt;"moeda")*(Inputs!$G$5:$G$110&lt;&gt;"acoes")))*INDEX(Inputs!$K$5:$AJ$110,0,MATCH(AA$2,Inputs!$K$4:$AJ$4,0)))+SUMPRODUCT((Inputs!$E$5:$E$110=$B41)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1" s="268">
        <f>AA41</f>
        <v>0</v>
      </c>
      <c r="AC41" s="267">
        <f>IF(ISNA(MATCH(AC$2,Inputs!$K$4:$AJ$4,0)),NA(),IF(SUMPRODUCT((Inputs!$A$5:$A$110=$B41)*ISNUMBER(INDEX(Inputs!$K$5:$AJ$110,0,MATCH(AC$2,Inputs!$K$4:$AJ$4,0))))+SUMPRODUCT((Inputs!$C$5:$C$110=$B41)*ISNUMBER(INDEX(Inputs!$K$5:$AJ$110,0,MATCH(AC$2,Inputs!$K$4:$AJ$4,0))))+SUMPRODUCT((Inputs!$E$5:$E$110=$B41)*ISNUMBER(INDEX(Inputs!$K$5:$AJ$110,0,MATCH(AC$2,Inputs!$K$4:$AJ$4,0))))=0,NA(),SUMPRODUCT((Inputs!$A$5:$A$110=$B41)*Inputs!$B$5:$B$110*(((Inputs!$G$5:$G$110="moeda")+(Inputs!$G$5:$G$110="acoes"))*Inputs!$B$1+((Inputs!$G$5:$G$110&lt;&gt;"moeda")*(Inputs!$G$5:$G$110&lt;&gt;"acoes")))*INDEX(Inputs!$K$5:$AJ$110,0,MATCH(AC$2,Inputs!$K$4:$AJ$4,0)))+SUMPRODUCT((Inputs!$C$5:$C$110=$B41)*Inputs!$D$5:$D$110*(((Inputs!$G$5:$G$110="moeda")+(Inputs!$G$5:$G$110="acoes"))*Inputs!$B$1+((Inputs!$G$5:$G$110&lt;&gt;"moeda")*(Inputs!$G$5:$G$110&lt;&gt;"acoes")))*INDEX(Inputs!$K$5:$AJ$110,0,MATCH(AC$2,Inputs!$K$4:$AJ$4,0)))+SUMPRODUCT((Inputs!$E$5:$E$110=$B41)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1" s="267">
        <f>IF(ISNA(MATCH(AD$2,Inputs!$K$4:$AJ$4,0)),NA(),IF(SUMPRODUCT((Inputs!$A$5:$A$110=$B41)*ISNUMBER(INDEX(Inputs!$K$5:$AJ$110,0,MATCH(AD$2,Inputs!$K$4:$AJ$4,0))))+SUMPRODUCT((Inputs!$C$5:$C$110=$B41)*ISNUMBER(INDEX(Inputs!$K$5:$AJ$110,0,MATCH(AD$2,Inputs!$K$4:$AJ$4,0))))+SUMPRODUCT((Inputs!$E$5:$E$110=$B41)*ISNUMBER(INDEX(Inputs!$K$5:$AJ$110,0,MATCH(AD$2,Inputs!$K$4:$AJ$4,0))))=0,NA(),SUMPRODUCT((Inputs!$A$5:$A$110=$B41)*Inputs!$B$5:$B$110*(((Inputs!$G$5:$G$110="moeda")+(Inputs!$G$5:$G$110="acoes"))*Inputs!$B$1+((Inputs!$G$5:$G$110&lt;&gt;"moeda")*(Inputs!$G$5:$G$110&lt;&gt;"acoes")))*INDEX(Inputs!$K$5:$AJ$110,0,MATCH(AD$2,Inputs!$K$4:$AJ$4,0)))+SUMPRODUCT((Inputs!$C$5:$C$110=$B41)*Inputs!$D$5:$D$110*(((Inputs!$G$5:$G$110="moeda")+(Inputs!$G$5:$G$110="acoes"))*Inputs!$B$1+((Inputs!$G$5:$G$110&lt;&gt;"moeda")*(Inputs!$G$5:$G$110&lt;&gt;"acoes")))*INDEX(Inputs!$K$5:$AJ$110,0,MATCH(AD$2,Inputs!$K$4:$AJ$4,0)))+SUMPRODUCT((Inputs!$E$5:$E$110=$B41)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1" s="267" t="e">
        <f>IF(ISNA(MATCH(AE$2,Inputs!$K$4:$AJ$4,0)),NA(),IF(SUMPRODUCT((Inputs!$A$5:$A$110=$B41)*ISNUMBER(INDEX(Inputs!$K$5:$AJ$110,0,MATCH(AE$2,Inputs!$K$4:$AJ$4,0))))+SUMPRODUCT((Inputs!$C$5:$C$110=$B41)*ISNUMBER(INDEX(Inputs!$K$5:$AJ$110,0,MATCH(AE$2,Inputs!$K$4:$AJ$4,0))))+SUMPRODUCT((Inputs!$E$5:$E$110=$B41)*ISNUMBER(INDEX(Inputs!$K$5:$AJ$110,0,MATCH(AE$2,Inputs!$K$4:$AJ$4,0))))=0,NA(),SUMPRODUCT((Inputs!$A$5:$A$110=$B41)*Inputs!$B$5:$B$110*(((Inputs!$G$5:$G$110="moeda")+(Inputs!$G$5:$G$110="acoes"))*Inputs!$B$1+((Inputs!$G$5:$G$110&lt;&gt;"moeda")*(Inputs!$G$5:$G$110&lt;&gt;"acoes")))*INDEX(Inputs!$K$5:$AJ$110,0,MATCH(AE$2,Inputs!$K$4:$AJ$4,0)))+SUMPRODUCT((Inputs!$C$5:$C$110=$B41)*Inputs!$D$5:$D$110*(((Inputs!$G$5:$G$110="moeda")+(Inputs!$G$5:$G$110="acoes"))*Inputs!$B$1+((Inputs!$G$5:$G$110&lt;&gt;"moeda")*(Inputs!$G$5:$G$110&lt;&gt;"acoes")))*INDEX(Inputs!$K$5:$AJ$110,0,MATCH(AE$2,Inputs!$K$4:$AJ$4,0)))+SUMPRODUCT((Inputs!$E$5:$E$110=$B41)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1" s="267" t="e">
        <f>IF(ISNA(MATCH(AF$2,Inputs!$K$4:$AJ$4,0)),NA(),IF(SUMPRODUCT((Inputs!$A$5:$A$110=$B41)*ISNUMBER(INDEX(Inputs!$K$5:$AJ$110,0,MATCH(AF$2,Inputs!$K$4:$AJ$4,0))))+SUMPRODUCT((Inputs!$C$5:$C$110=$B41)*ISNUMBER(INDEX(Inputs!$K$5:$AJ$110,0,MATCH(AF$2,Inputs!$K$4:$AJ$4,0))))+SUMPRODUCT((Inputs!$E$5:$E$110=$B41)*ISNUMBER(INDEX(Inputs!$K$5:$AJ$110,0,MATCH(AF$2,Inputs!$K$4:$AJ$4,0))))=0,NA(),SUMPRODUCT((Inputs!$A$5:$A$110=$B41)*Inputs!$B$5:$B$110*(((Inputs!$G$5:$G$110="moeda")+(Inputs!$G$5:$G$110="acoes"))*Inputs!$B$1+((Inputs!$G$5:$G$110&lt;&gt;"moeda")*(Inputs!$G$5:$G$110&lt;&gt;"acoes")))*INDEX(Inputs!$K$5:$AJ$110,0,MATCH(AF$2,Inputs!$K$4:$AJ$4,0)))+SUMPRODUCT((Inputs!$C$5:$C$110=$B41)*Inputs!$D$5:$D$110*(((Inputs!$G$5:$G$110="moeda")+(Inputs!$G$5:$G$110="acoes"))*Inputs!$B$1+((Inputs!$G$5:$G$110&lt;&gt;"moeda")*(Inputs!$G$5:$G$110&lt;&gt;"acoes")))*INDEX(Inputs!$K$5:$AJ$110,0,MATCH(AF$2,Inputs!$K$4:$AJ$4,0)))+SUMPRODUCT((Inputs!$E$5:$E$110=$B41)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1" s="268" t="e">
        <f>AF41</f>
        <v>#N/A</v>
      </c>
      <c r="AH41" s="267">
        <f>IF(ISNA(MATCH(AH$2,Inputs!$K$4:$AJ$4,0)),NA(),IF(SUMPRODUCT((Inputs!$A$5:$A$110=$B41)*ISNUMBER(INDEX(Inputs!$K$5:$AJ$110,0,MATCH(AH$2,Inputs!$K$4:$AJ$4,0))))+SUMPRODUCT((Inputs!$C$5:$C$110=$B41)*ISNUMBER(INDEX(Inputs!$K$5:$AJ$110,0,MATCH(AH$2,Inputs!$K$4:$AJ$4,0))))+SUMPRODUCT((Inputs!$E$5:$E$110=$B41)*ISNUMBER(INDEX(Inputs!$K$5:$AJ$110,0,MATCH(AH$2,Inputs!$K$4:$AJ$4,0))))=0,NA(),SUMPRODUCT((Inputs!$A$5:$A$110=$B41)*Inputs!$B$5:$B$110*(((Inputs!$G$5:$G$110="moeda")+(Inputs!$G$5:$G$110="acoes"))*Inputs!$B$1+((Inputs!$G$5:$G$110&lt;&gt;"moeda")*(Inputs!$G$5:$G$110&lt;&gt;"acoes")))*INDEX(Inputs!$K$5:$AJ$110,0,MATCH(AH$2,Inputs!$K$4:$AJ$4,0)))+SUMPRODUCT((Inputs!$C$5:$C$110=$B41)*Inputs!$D$5:$D$110*(((Inputs!$G$5:$G$110="moeda")+(Inputs!$G$5:$G$110="acoes"))*Inputs!$B$1+((Inputs!$G$5:$G$110&lt;&gt;"moeda")*(Inputs!$G$5:$G$110&lt;&gt;"acoes")))*INDEX(Inputs!$K$5:$AJ$110,0,MATCH(AH$2,Inputs!$K$4:$AJ$4,0)))+SUMPRODUCT((Inputs!$E$5:$E$110=$B41)*Inputs!$F$5:$F$110*(((Inputs!$G$5:$G$110="moeda")+(Inputs!$G$5:$G$110="acoes"))*Inputs!$B$1+((Inputs!$G$5:$G$110&lt;&gt;"moeda")*(Inputs!$G$5:$G$110&lt;&gt;"acoes")))*INDEX(Inputs!$K$5:$AJ$110,0,MATCH(AH$2,Inputs!$K$4:$AJ$4,0)))))</f>
        <v>385</v>
      </c>
      <c r="AI41" s="267">
        <f>IF(ISNA(MATCH(AI$2,Inputs!$K$4:$AJ$4,0)),NA(),IF(SUMPRODUCT((Inputs!$A$5:$A$110=$B41)*ISNUMBER(INDEX(Inputs!$K$5:$AJ$110,0,MATCH(AI$2,Inputs!$K$4:$AJ$4,0))))+SUMPRODUCT((Inputs!$C$5:$C$110=$B41)*ISNUMBER(INDEX(Inputs!$K$5:$AJ$110,0,MATCH(AI$2,Inputs!$K$4:$AJ$4,0))))+SUMPRODUCT((Inputs!$E$5:$E$110=$B41)*ISNUMBER(INDEX(Inputs!$K$5:$AJ$110,0,MATCH(AI$2,Inputs!$K$4:$AJ$4,0))))=0,NA(),SUMPRODUCT((Inputs!$A$5:$A$110=$B41)*Inputs!$B$5:$B$110*(((Inputs!$G$5:$G$110="moeda")+(Inputs!$G$5:$G$110="acoes"))*Inputs!$B$1+((Inputs!$G$5:$G$110&lt;&gt;"moeda")*(Inputs!$G$5:$G$110&lt;&gt;"acoes")))*INDEX(Inputs!$K$5:$AJ$110,0,MATCH(AI$2,Inputs!$K$4:$AJ$4,0)))+SUMPRODUCT((Inputs!$C$5:$C$110=$B41)*Inputs!$D$5:$D$110*(((Inputs!$G$5:$G$110="moeda")+(Inputs!$G$5:$G$110="acoes"))*Inputs!$B$1+((Inputs!$G$5:$G$110&lt;&gt;"moeda")*(Inputs!$G$5:$G$110&lt;&gt;"acoes")))*INDEX(Inputs!$K$5:$AJ$110,0,MATCH(AI$2,Inputs!$K$4:$AJ$4,0)))+SUMPRODUCT((Inputs!$E$5:$E$110=$B41)*Inputs!$F$5:$F$110*(((Inputs!$G$5:$G$110="moeda")+(Inputs!$G$5:$G$110="acoes"))*Inputs!$B$1+((Inputs!$G$5:$G$110&lt;&gt;"moeda")*(Inputs!$G$5:$G$110&lt;&gt;"acoes")))*INDEX(Inputs!$K$5:$AJ$110,0,MATCH(AI$2,Inputs!$K$4:$AJ$4,0)))))</f>
        <v>401</v>
      </c>
      <c r="AJ41" s="267">
        <f>IF(ISNA(MATCH(AJ$2,Inputs!$K$4:$AJ$4,0)),NA(),IF(SUMPRODUCT((Inputs!$A$5:$A$110=$B41)*ISNUMBER(INDEX(Inputs!$K$5:$AJ$110,0,MATCH(AJ$2,Inputs!$K$4:$AJ$4,0))))+SUMPRODUCT((Inputs!$C$5:$C$110=$B41)*ISNUMBER(INDEX(Inputs!$K$5:$AJ$110,0,MATCH(AJ$2,Inputs!$K$4:$AJ$4,0))))+SUMPRODUCT((Inputs!$E$5:$E$110=$B41)*ISNUMBER(INDEX(Inputs!$K$5:$AJ$110,0,MATCH(AJ$2,Inputs!$K$4:$AJ$4,0))))=0,NA(),SUMPRODUCT((Inputs!$A$5:$A$110=$B41)*Inputs!$B$5:$B$110*(((Inputs!$G$5:$G$110="moeda")+(Inputs!$G$5:$G$110="acoes"))*Inputs!$B$1+((Inputs!$G$5:$G$110&lt;&gt;"moeda")*(Inputs!$G$5:$G$110&lt;&gt;"acoes")))*INDEX(Inputs!$K$5:$AJ$110,0,MATCH(AJ$2,Inputs!$K$4:$AJ$4,0)))+SUMPRODUCT((Inputs!$C$5:$C$110=$B41)*Inputs!$D$5:$D$110*(((Inputs!$G$5:$G$110="moeda")+(Inputs!$G$5:$G$110="acoes"))*Inputs!$B$1+((Inputs!$G$5:$G$110&lt;&gt;"moeda")*(Inputs!$G$5:$G$110&lt;&gt;"acoes")))*INDEX(Inputs!$K$5:$AJ$110,0,MATCH(AJ$2,Inputs!$K$4:$AJ$4,0)))+SUMPRODUCT((Inputs!$E$5:$E$110=$B41)*Inputs!$F$5:$F$110*(((Inputs!$G$5:$G$110="moeda")+(Inputs!$G$5:$G$110="acoes"))*Inputs!$B$1+((Inputs!$G$5:$G$110&lt;&gt;"moeda")*(Inputs!$G$5:$G$110&lt;&gt;"acoes")))*INDEX(Inputs!$K$5:$AJ$110,0,MATCH(AJ$2,Inputs!$K$4:$AJ$4,0)))))</f>
        <v>421</v>
      </c>
      <c r="AK41" s="267">
        <f>IF(ISNA(MATCH(AK$2,Inputs!$K$4:$AJ$4,0)),NA(),IF(SUMPRODUCT((Inputs!$A$5:$A$110=$B41)*ISNUMBER(INDEX(Inputs!$K$5:$AJ$110,0,MATCH(AK$2,Inputs!$K$4:$AJ$4,0))))+SUMPRODUCT((Inputs!$C$5:$C$110=$B41)*ISNUMBER(INDEX(Inputs!$K$5:$AJ$110,0,MATCH(AK$2,Inputs!$K$4:$AJ$4,0))))+SUMPRODUCT((Inputs!$E$5:$E$110=$B41)*ISNUMBER(INDEX(Inputs!$K$5:$AJ$110,0,MATCH(AK$2,Inputs!$K$4:$AJ$4,0))))=0,NA(),SUMPRODUCT((Inputs!$A$5:$A$110=$B41)*Inputs!$B$5:$B$110*(((Inputs!$G$5:$G$110="moeda")+(Inputs!$G$5:$G$110="acoes"))*Inputs!$B$1+((Inputs!$G$5:$G$110&lt;&gt;"moeda")*(Inputs!$G$5:$G$110&lt;&gt;"acoes")))*INDEX(Inputs!$K$5:$AJ$110,0,MATCH(AK$2,Inputs!$K$4:$AJ$4,0)))+SUMPRODUCT((Inputs!$C$5:$C$110=$B41)*Inputs!$D$5:$D$110*(((Inputs!$G$5:$G$110="moeda")+(Inputs!$G$5:$G$110="acoes"))*Inputs!$B$1+((Inputs!$G$5:$G$110&lt;&gt;"moeda")*(Inputs!$G$5:$G$110&lt;&gt;"acoes")))*INDEX(Inputs!$K$5:$AJ$110,0,MATCH(AK$2,Inputs!$K$4:$AJ$4,0)))+SUMPRODUCT((Inputs!$E$5:$E$110=$B41)*Inputs!$F$5:$F$110*(((Inputs!$G$5:$G$110="moeda")+(Inputs!$G$5:$G$110="acoes"))*Inputs!$B$1+((Inputs!$G$5:$G$110&lt;&gt;"moeda")*(Inputs!$G$5:$G$110&lt;&gt;"acoes")))*INDEX(Inputs!$K$5:$AJ$110,0,MATCH(AK$2,Inputs!$K$4:$AJ$4,0)))))</f>
        <v>449</v>
      </c>
      <c r="AL41" s="268">
        <f>AK41</f>
        <v>449</v>
      </c>
    </row>
    <row r="42" ht="12.75" customHeight="1" s="255">
      <c r="B42" s="265" t="n">
        <v>36</v>
      </c>
      <c r="C42" s="270" t="inlineStr">
        <is>
          <t>Convertible Preferred Stock</t>
        </is>
      </c>
      <c r="D42" s="267" t="e">
        <f>IF(ISNA(MATCH(D$2,Inputs!$K$4:$AJ$4,0)),NA(),IF(SUMPRODUCT((Inputs!$A$5:$A$110=$B42)*ISNUMBER(INDEX(Inputs!$K$5:$AJ$110,0,MATCH(D$2,Inputs!$K$4:$AJ$4,0))))+SUMPRODUCT((Inputs!$C$5:$C$110=$B42)*ISNUMBER(INDEX(Inputs!$K$5:$AJ$110,0,MATCH(D$2,Inputs!$K$4:$AJ$4,0))))+SUMPRODUCT((Inputs!$E$5:$E$110=$B42)*ISNUMBER(INDEX(Inputs!$K$5:$AJ$110,0,MATCH(D$2,Inputs!$K$4:$AJ$4,0))))=0,NA(),SUMPRODUCT((Inputs!$A$5:$A$110=$B42)*Inputs!$B$5:$B$110*(((Inputs!$G$5:$G$110="moeda")+(Inputs!$G$5:$G$110="acoes"))*Inputs!$B$1+((Inputs!$G$5:$G$110&lt;&gt;"moeda")*(Inputs!$G$5:$G$110&lt;&gt;"acoes")))*INDEX(Inputs!$K$5:$AJ$110,0,MATCH(D$2,Inputs!$K$4:$AJ$4,0)))+SUMPRODUCT((Inputs!$C$5:$C$110=$B42)*Inputs!$D$5:$D$110*(((Inputs!$G$5:$G$110="moeda")+(Inputs!$G$5:$G$110="acoes"))*Inputs!$B$1+((Inputs!$G$5:$G$110&lt;&gt;"moeda")*(Inputs!$G$5:$G$110&lt;&gt;"acoes")))*INDEX(Inputs!$K$5:$AJ$110,0,MATCH(D$2,Inputs!$K$4:$AJ$4,0)))+SUMPRODUCT((Inputs!$E$5:$E$110=$B42)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42" s="267" t="e">
        <f>IF(ISNA(MATCH(E$2,Inputs!$K$4:$AJ$4,0)),NA(),IF(SUMPRODUCT((Inputs!$A$5:$A$110=$B42)*ISNUMBER(INDEX(Inputs!$K$5:$AJ$110,0,MATCH(E$2,Inputs!$K$4:$AJ$4,0))))+SUMPRODUCT((Inputs!$C$5:$C$110=$B42)*ISNUMBER(INDEX(Inputs!$K$5:$AJ$110,0,MATCH(E$2,Inputs!$K$4:$AJ$4,0))))+SUMPRODUCT((Inputs!$E$5:$E$110=$B42)*ISNUMBER(INDEX(Inputs!$K$5:$AJ$110,0,MATCH(E$2,Inputs!$K$4:$AJ$4,0))))=0,NA(),SUMPRODUCT((Inputs!$A$5:$A$110=$B42)*Inputs!$B$5:$B$110*(((Inputs!$G$5:$G$110="moeda")+(Inputs!$G$5:$G$110="acoes"))*Inputs!$B$1+((Inputs!$G$5:$G$110&lt;&gt;"moeda")*(Inputs!$G$5:$G$110&lt;&gt;"acoes")))*INDEX(Inputs!$K$5:$AJ$110,0,MATCH(E$2,Inputs!$K$4:$AJ$4,0)))+SUMPRODUCT((Inputs!$C$5:$C$110=$B42)*Inputs!$D$5:$D$110*(((Inputs!$G$5:$G$110="moeda")+(Inputs!$G$5:$G$110="acoes"))*Inputs!$B$1+((Inputs!$G$5:$G$110&lt;&gt;"moeda")*(Inputs!$G$5:$G$110&lt;&gt;"acoes")))*INDEX(Inputs!$K$5:$AJ$110,0,MATCH(E$2,Inputs!$K$4:$AJ$4,0)))+SUMPRODUCT((Inputs!$E$5:$E$110=$B42)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42" s="267" t="e">
        <f>IF(ISNA(MATCH(F$2,Inputs!$K$4:$AJ$4,0)),NA(),IF(SUMPRODUCT((Inputs!$A$5:$A$110=$B42)*ISNUMBER(INDEX(Inputs!$K$5:$AJ$110,0,MATCH(F$2,Inputs!$K$4:$AJ$4,0))))+SUMPRODUCT((Inputs!$C$5:$C$110=$B42)*ISNUMBER(INDEX(Inputs!$K$5:$AJ$110,0,MATCH(F$2,Inputs!$K$4:$AJ$4,0))))+SUMPRODUCT((Inputs!$E$5:$E$110=$B42)*ISNUMBER(INDEX(Inputs!$K$5:$AJ$110,0,MATCH(F$2,Inputs!$K$4:$AJ$4,0))))=0,NA(),SUMPRODUCT((Inputs!$A$5:$A$110=$B42)*Inputs!$B$5:$B$110*(((Inputs!$G$5:$G$110="moeda")+(Inputs!$G$5:$G$110="acoes"))*Inputs!$B$1+((Inputs!$G$5:$G$110&lt;&gt;"moeda")*(Inputs!$G$5:$G$110&lt;&gt;"acoes")))*INDEX(Inputs!$K$5:$AJ$110,0,MATCH(F$2,Inputs!$K$4:$AJ$4,0)))+SUMPRODUCT((Inputs!$C$5:$C$110=$B42)*Inputs!$D$5:$D$110*(((Inputs!$G$5:$G$110="moeda")+(Inputs!$G$5:$G$110="acoes"))*Inputs!$B$1+((Inputs!$G$5:$G$110&lt;&gt;"moeda")*(Inputs!$G$5:$G$110&lt;&gt;"acoes")))*INDEX(Inputs!$K$5:$AJ$110,0,MATCH(F$2,Inputs!$K$4:$AJ$4,0)))+SUMPRODUCT((Inputs!$E$5:$E$110=$B42)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42" s="267" t="e">
        <f>IF(ISNA(MATCH(G$2,Inputs!$K$4:$AJ$4,0)),NA(),IF(SUMPRODUCT((Inputs!$A$5:$A$110=$B42)*ISNUMBER(INDEX(Inputs!$K$5:$AJ$110,0,MATCH(G$2,Inputs!$K$4:$AJ$4,0))))+SUMPRODUCT((Inputs!$C$5:$C$110=$B42)*ISNUMBER(INDEX(Inputs!$K$5:$AJ$110,0,MATCH(G$2,Inputs!$K$4:$AJ$4,0))))+SUMPRODUCT((Inputs!$E$5:$E$110=$B42)*ISNUMBER(INDEX(Inputs!$K$5:$AJ$110,0,MATCH(G$2,Inputs!$K$4:$AJ$4,0))))=0,NA(),SUMPRODUCT((Inputs!$A$5:$A$110=$B42)*Inputs!$B$5:$B$110*(((Inputs!$G$5:$G$110="moeda")+(Inputs!$G$5:$G$110="acoes"))*Inputs!$B$1+((Inputs!$G$5:$G$110&lt;&gt;"moeda")*(Inputs!$G$5:$G$110&lt;&gt;"acoes")))*INDEX(Inputs!$K$5:$AJ$110,0,MATCH(G$2,Inputs!$K$4:$AJ$4,0)))+SUMPRODUCT((Inputs!$C$5:$C$110=$B42)*Inputs!$D$5:$D$110*(((Inputs!$G$5:$G$110="moeda")+(Inputs!$G$5:$G$110="acoes"))*Inputs!$B$1+((Inputs!$G$5:$G$110&lt;&gt;"moeda")*(Inputs!$G$5:$G$110&lt;&gt;"acoes")))*INDEX(Inputs!$K$5:$AJ$110,0,MATCH(G$2,Inputs!$K$4:$AJ$4,0)))+SUMPRODUCT((Inputs!$E$5:$E$110=$B42)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42" s="268" t="e">
        <f>G42</f>
        <v>#N/A</v>
      </c>
      <c r="I42" s="267" t="e">
        <f>IF(ISNA(MATCH(I$2,Inputs!$K$4:$AJ$4,0)),NA(),IF(SUMPRODUCT((Inputs!$A$5:$A$110=$B42)*ISNUMBER(INDEX(Inputs!$K$5:$AJ$110,0,MATCH(I$2,Inputs!$K$4:$AJ$4,0))))+SUMPRODUCT((Inputs!$C$5:$C$110=$B42)*ISNUMBER(INDEX(Inputs!$K$5:$AJ$110,0,MATCH(I$2,Inputs!$K$4:$AJ$4,0))))+SUMPRODUCT((Inputs!$E$5:$E$110=$B42)*ISNUMBER(INDEX(Inputs!$K$5:$AJ$110,0,MATCH(I$2,Inputs!$K$4:$AJ$4,0))))=0,NA(),SUMPRODUCT((Inputs!$A$5:$A$110=$B42)*Inputs!$B$5:$B$110*(((Inputs!$G$5:$G$110="moeda")+(Inputs!$G$5:$G$110="acoes"))*Inputs!$B$1+((Inputs!$G$5:$G$110&lt;&gt;"moeda")*(Inputs!$G$5:$G$110&lt;&gt;"acoes")))*INDEX(Inputs!$K$5:$AJ$110,0,MATCH(I$2,Inputs!$K$4:$AJ$4,0)))+SUMPRODUCT((Inputs!$C$5:$C$110=$B42)*Inputs!$D$5:$D$110*(((Inputs!$G$5:$G$110="moeda")+(Inputs!$G$5:$G$110="acoes"))*Inputs!$B$1+((Inputs!$G$5:$G$110&lt;&gt;"moeda")*(Inputs!$G$5:$G$110&lt;&gt;"acoes")))*INDEX(Inputs!$K$5:$AJ$110,0,MATCH(I$2,Inputs!$K$4:$AJ$4,0)))+SUMPRODUCT((Inputs!$E$5:$E$110=$B42)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42" s="267" t="e">
        <f>IF(ISNA(MATCH(J$2,Inputs!$K$4:$AJ$4,0)),NA(),IF(SUMPRODUCT((Inputs!$A$5:$A$110=$B42)*ISNUMBER(INDEX(Inputs!$K$5:$AJ$110,0,MATCH(J$2,Inputs!$K$4:$AJ$4,0))))+SUMPRODUCT((Inputs!$C$5:$C$110=$B42)*ISNUMBER(INDEX(Inputs!$K$5:$AJ$110,0,MATCH(J$2,Inputs!$K$4:$AJ$4,0))))+SUMPRODUCT((Inputs!$E$5:$E$110=$B42)*ISNUMBER(INDEX(Inputs!$K$5:$AJ$110,0,MATCH(J$2,Inputs!$K$4:$AJ$4,0))))=0,NA(),SUMPRODUCT((Inputs!$A$5:$A$110=$B42)*Inputs!$B$5:$B$110*(((Inputs!$G$5:$G$110="moeda")+(Inputs!$G$5:$G$110="acoes"))*Inputs!$B$1+((Inputs!$G$5:$G$110&lt;&gt;"moeda")*(Inputs!$G$5:$G$110&lt;&gt;"acoes")))*INDEX(Inputs!$K$5:$AJ$110,0,MATCH(J$2,Inputs!$K$4:$AJ$4,0)))+SUMPRODUCT((Inputs!$C$5:$C$110=$B42)*Inputs!$D$5:$D$110*(((Inputs!$G$5:$G$110="moeda")+(Inputs!$G$5:$G$110="acoes"))*Inputs!$B$1+((Inputs!$G$5:$G$110&lt;&gt;"moeda")*(Inputs!$G$5:$G$110&lt;&gt;"acoes")))*INDEX(Inputs!$K$5:$AJ$110,0,MATCH(J$2,Inputs!$K$4:$AJ$4,0)))+SUMPRODUCT((Inputs!$E$5:$E$110=$B42)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42" s="267" t="e">
        <f>IF(ISNA(MATCH(K$2,Inputs!$K$4:$AJ$4,0)),NA(),IF(SUMPRODUCT((Inputs!$A$5:$A$110=$B42)*ISNUMBER(INDEX(Inputs!$K$5:$AJ$110,0,MATCH(K$2,Inputs!$K$4:$AJ$4,0))))+SUMPRODUCT((Inputs!$C$5:$C$110=$B42)*ISNUMBER(INDEX(Inputs!$K$5:$AJ$110,0,MATCH(K$2,Inputs!$K$4:$AJ$4,0))))+SUMPRODUCT((Inputs!$E$5:$E$110=$B42)*ISNUMBER(INDEX(Inputs!$K$5:$AJ$110,0,MATCH(K$2,Inputs!$K$4:$AJ$4,0))))=0,NA(),SUMPRODUCT((Inputs!$A$5:$A$110=$B42)*Inputs!$B$5:$B$110*(((Inputs!$G$5:$G$110="moeda")+(Inputs!$G$5:$G$110="acoes"))*Inputs!$B$1+((Inputs!$G$5:$G$110&lt;&gt;"moeda")*(Inputs!$G$5:$G$110&lt;&gt;"acoes")))*INDEX(Inputs!$K$5:$AJ$110,0,MATCH(K$2,Inputs!$K$4:$AJ$4,0)))+SUMPRODUCT((Inputs!$C$5:$C$110=$B42)*Inputs!$D$5:$D$110*(((Inputs!$G$5:$G$110="moeda")+(Inputs!$G$5:$G$110="acoes"))*Inputs!$B$1+((Inputs!$G$5:$G$110&lt;&gt;"moeda")*(Inputs!$G$5:$G$110&lt;&gt;"acoes")))*INDEX(Inputs!$K$5:$AJ$110,0,MATCH(K$2,Inputs!$K$4:$AJ$4,0)))+SUMPRODUCT((Inputs!$E$5:$E$110=$B42)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42" s="267" t="e">
        <f>IF(ISNA(MATCH(L$2,Inputs!$K$4:$AJ$4,0)),NA(),IF(SUMPRODUCT((Inputs!$A$5:$A$110=$B42)*ISNUMBER(INDEX(Inputs!$K$5:$AJ$110,0,MATCH(L$2,Inputs!$K$4:$AJ$4,0))))+SUMPRODUCT((Inputs!$C$5:$C$110=$B42)*ISNUMBER(INDEX(Inputs!$K$5:$AJ$110,0,MATCH(L$2,Inputs!$K$4:$AJ$4,0))))+SUMPRODUCT((Inputs!$E$5:$E$110=$B42)*ISNUMBER(INDEX(Inputs!$K$5:$AJ$110,0,MATCH(L$2,Inputs!$K$4:$AJ$4,0))))=0,NA(),SUMPRODUCT((Inputs!$A$5:$A$110=$B42)*Inputs!$B$5:$B$110*(((Inputs!$G$5:$G$110="moeda")+(Inputs!$G$5:$G$110="acoes"))*Inputs!$B$1+((Inputs!$G$5:$G$110&lt;&gt;"moeda")*(Inputs!$G$5:$G$110&lt;&gt;"acoes")))*INDEX(Inputs!$K$5:$AJ$110,0,MATCH(L$2,Inputs!$K$4:$AJ$4,0)))+SUMPRODUCT((Inputs!$C$5:$C$110=$B42)*Inputs!$D$5:$D$110*(((Inputs!$G$5:$G$110="moeda")+(Inputs!$G$5:$G$110="acoes"))*Inputs!$B$1+((Inputs!$G$5:$G$110&lt;&gt;"moeda")*(Inputs!$G$5:$G$110&lt;&gt;"acoes")))*INDEX(Inputs!$K$5:$AJ$110,0,MATCH(L$2,Inputs!$K$4:$AJ$4,0)))+SUMPRODUCT((Inputs!$E$5:$E$110=$B42)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42" s="268" t="e">
        <f>L42</f>
        <v>#N/A</v>
      </c>
      <c r="N42" s="267" t="e">
        <f>IF(ISNA(MATCH(N$2,Inputs!$K$4:$AJ$4,0)),NA(),IF(SUMPRODUCT((Inputs!$A$5:$A$110=$B42)*ISNUMBER(INDEX(Inputs!$K$5:$AJ$110,0,MATCH(N$2,Inputs!$K$4:$AJ$4,0))))+SUMPRODUCT((Inputs!$C$5:$C$110=$B42)*ISNUMBER(INDEX(Inputs!$K$5:$AJ$110,0,MATCH(N$2,Inputs!$K$4:$AJ$4,0))))+SUMPRODUCT((Inputs!$E$5:$E$110=$B42)*ISNUMBER(INDEX(Inputs!$K$5:$AJ$110,0,MATCH(N$2,Inputs!$K$4:$AJ$4,0))))=0,NA(),SUMPRODUCT((Inputs!$A$5:$A$110=$B42)*Inputs!$B$5:$B$110*(((Inputs!$G$5:$G$110="moeda")+(Inputs!$G$5:$G$110="acoes"))*Inputs!$B$1+((Inputs!$G$5:$G$110&lt;&gt;"moeda")*(Inputs!$G$5:$G$110&lt;&gt;"acoes")))*INDEX(Inputs!$K$5:$AJ$110,0,MATCH(N$2,Inputs!$K$4:$AJ$4,0)))+SUMPRODUCT((Inputs!$C$5:$C$110=$B42)*Inputs!$D$5:$D$110*(((Inputs!$G$5:$G$110="moeda")+(Inputs!$G$5:$G$110="acoes"))*Inputs!$B$1+((Inputs!$G$5:$G$110&lt;&gt;"moeda")*(Inputs!$G$5:$G$110&lt;&gt;"acoes")))*INDEX(Inputs!$K$5:$AJ$110,0,MATCH(N$2,Inputs!$K$4:$AJ$4,0)))+SUMPRODUCT((Inputs!$E$5:$E$110=$B42)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42" s="267" t="e">
        <f>IF(ISNA(MATCH(O$2,Inputs!$K$4:$AJ$4,0)),NA(),IF(SUMPRODUCT((Inputs!$A$5:$A$110=$B42)*ISNUMBER(INDEX(Inputs!$K$5:$AJ$110,0,MATCH(O$2,Inputs!$K$4:$AJ$4,0))))+SUMPRODUCT((Inputs!$C$5:$C$110=$B42)*ISNUMBER(INDEX(Inputs!$K$5:$AJ$110,0,MATCH(O$2,Inputs!$K$4:$AJ$4,0))))+SUMPRODUCT((Inputs!$E$5:$E$110=$B42)*ISNUMBER(INDEX(Inputs!$K$5:$AJ$110,0,MATCH(O$2,Inputs!$K$4:$AJ$4,0))))=0,NA(),SUMPRODUCT((Inputs!$A$5:$A$110=$B42)*Inputs!$B$5:$B$110*(((Inputs!$G$5:$G$110="moeda")+(Inputs!$G$5:$G$110="acoes"))*Inputs!$B$1+((Inputs!$G$5:$G$110&lt;&gt;"moeda")*(Inputs!$G$5:$G$110&lt;&gt;"acoes")))*INDEX(Inputs!$K$5:$AJ$110,0,MATCH(O$2,Inputs!$K$4:$AJ$4,0)))+SUMPRODUCT((Inputs!$C$5:$C$110=$B42)*Inputs!$D$5:$D$110*(((Inputs!$G$5:$G$110="moeda")+(Inputs!$G$5:$G$110="acoes"))*Inputs!$B$1+((Inputs!$G$5:$G$110&lt;&gt;"moeda")*(Inputs!$G$5:$G$110&lt;&gt;"acoes")))*INDEX(Inputs!$K$5:$AJ$110,0,MATCH(O$2,Inputs!$K$4:$AJ$4,0)))+SUMPRODUCT((Inputs!$E$5:$E$110=$B42)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42" s="267" t="e">
        <f>IF(ISNA(MATCH(P$2,Inputs!$K$4:$AJ$4,0)),NA(),IF(SUMPRODUCT((Inputs!$A$5:$A$110=$B42)*ISNUMBER(INDEX(Inputs!$K$5:$AJ$110,0,MATCH(P$2,Inputs!$K$4:$AJ$4,0))))+SUMPRODUCT((Inputs!$C$5:$C$110=$B42)*ISNUMBER(INDEX(Inputs!$K$5:$AJ$110,0,MATCH(P$2,Inputs!$K$4:$AJ$4,0))))+SUMPRODUCT((Inputs!$E$5:$E$110=$B42)*ISNUMBER(INDEX(Inputs!$K$5:$AJ$110,0,MATCH(P$2,Inputs!$K$4:$AJ$4,0))))=0,NA(),SUMPRODUCT((Inputs!$A$5:$A$110=$B42)*Inputs!$B$5:$B$110*(((Inputs!$G$5:$G$110="moeda")+(Inputs!$G$5:$G$110="acoes"))*Inputs!$B$1+((Inputs!$G$5:$G$110&lt;&gt;"moeda")*(Inputs!$G$5:$G$110&lt;&gt;"acoes")))*INDEX(Inputs!$K$5:$AJ$110,0,MATCH(P$2,Inputs!$K$4:$AJ$4,0)))+SUMPRODUCT((Inputs!$C$5:$C$110=$B42)*Inputs!$D$5:$D$110*(((Inputs!$G$5:$G$110="moeda")+(Inputs!$G$5:$G$110="acoes"))*Inputs!$B$1+((Inputs!$G$5:$G$110&lt;&gt;"moeda")*(Inputs!$G$5:$G$110&lt;&gt;"acoes")))*INDEX(Inputs!$K$5:$AJ$110,0,MATCH(P$2,Inputs!$K$4:$AJ$4,0)))+SUMPRODUCT((Inputs!$E$5:$E$110=$B42)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42" s="267" t="e">
        <f>IF(ISNA(MATCH(Q$2,Inputs!$K$4:$AJ$4,0)),NA(),IF(SUMPRODUCT((Inputs!$A$5:$A$110=$B42)*ISNUMBER(INDEX(Inputs!$K$5:$AJ$110,0,MATCH(Q$2,Inputs!$K$4:$AJ$4,0))))+SUMPRODUCT((Inputs!$C$5:$C$110=$B42)*ISNUMBER(INDEX(Inputs!$K$5:$AJ$110,0,MATCH(Q$2,Inputs!$K$4:$AJ$4,0))))+SUMPRODUCT((Inputs!$E$5:$E$110=$B42)*ISNUMBER(INDEX(Inputs!$K$5:$AJ$110,0,MATCH(Q$2,Inputs!$K$4:$AJ$4,0))))=0,NA(),SUMPRODUCT((Inputs!$A$5:$A$110=$B42)*Inputs!$B$5:$B$110*(((Inputs!$G$5:$G$110="moeda")+(Inputs!$G$5:$G$110="acoes"))*Inputs!$B$1+((Inputs!$G$5:$G$110&lt;&gt;"moeda")*(Inputs!$G$5:$G$110&lt;&gt;"acoes")))*INDEX(Inputs!$K$5:$AJ$110,0,MATCH(Q$2,Inputs!$K$4:$AJ$4,0)))+SUMPRODUCT((Inputs!$C$5:$C$110=$B42)*Inputs!$D$5:$D$110*(((Inputs!$G$5:$G$110="moeda")+(Inputs!$G$5:$G$110="acoes"))*Inputs!$B$1+((Inputs!$G$5:$G$110&lt;&gt;"moeda")*(Inputs!$G$5:$G$110&lt;&gt;"acoes")))*INDEX(Inputs!$K$5:$AJ$110,0,MATCH(Q$2,Inputs!$K$4:$AJ$4,0)))+SUMPRODUCT((Inputs!$E$5:$E$110=$B42)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42" s="268" t="e">
        <f>Q42</f>
        <v>#N/A</v>
      </c>
      <c r="S42" s="267" t="e">
        <f>IF(ISNA(MATCH(S$2,Inputs!$K$4:$AJ$4,0)),NA(),IF(SUMPRODUCT((Inputs!$A$5:$A$110=$B42)*ISNUMBER(INDEX(Inputs!$K$5:$AJ$110,0,MATCH(S$2,Inputs!$K$4:$AJ$4,0))))+SUMPRODUCT((Inputs!$C$5:$C$110=$B42)*ISNUMBER(INDEX(Inputs!$K$5:$AJ$110,0,MATCH(S$2,Inputs!$K$4:$AJ$4,0))))+SUMPRODUCT((Inputs!$E$5:$E$110=$B42)*ISNUMBER(INDEX(Inputs!$K$5:$AJ$110,0,MATCH(S$2,Inputs!$K$4:$AJ$4,0))))=0,NA(),SUMPRODUCT((Inputs!$A$5:$A$110=$B42)*Inputs!$B$5:$B$110*(((Inputs!$G$5:$G$110="moeda")+(Inputs!$G$5:$G$110="acoes"))*Inputs!$B$1+((Inputs!$G$5:$G$110&lt;&gt;"moeda")*(Inputs!$G$5:$G$110&lt;&gt;"acoes")))*INDEX(Inputs!$K$5:$AJ$110,0,MATCH(S$2,Inputs!$K$4:$AJ$4,0)))+SUMPRODUCT((Inputs!$C$5:$C$110=$B42)*Inputs!$D$5:$D$110*(((Inputs!$G$5:$G$110="moeda")+(Inputs!$G$5:$G$110="acoes"))*Inputs!$B$1+((Inputs!$G$5:$G$110&lt;&gt;"moeda")*(Inputs!$G$5:$G$110&lt;&gt;"acoes")))*INDEX(Inputs!$K$5:$AJ$110,0,MATCH(S$2,Inputs!$K$4:$AJ$4,0)))+SUMPRODUCT((Inputs!$E$5:$E$110=$B42)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42" s="267" t="e">
        <f>IF(ISNA(MATCH(T$2,Inputs!$K$4:$AJ$4,0)),NA(),IF(SUMPRODUCT((Inputs!$A$5:$A$110=$B42)*ISNUMBER(INDEX(Inputs!$K$5:$AJ$110,0,MATCH(T$2,Inputs!$K$4:$AJ$4,0))))+SUMPRODUCT((Inputs!$C$5:$C$110=$B42)*ISNUMBER(INDEX(Inputs!$K$5:$AJ$110,0,MATCH(T$2,Inputs!$K$4:$AJ$4,0))))+SUMPRODUCT((Inputs!$E$5:$E$110=$B42)*ISNUMBER(INDEX(Inputs!$K$5:$AJ$110,0,MATCH(T$2,Inputs!$K$4:$AJ$4,0))))=0,NA(),SUMPRODUCT((Inputs!$A$5:$A$110=$B42)*Inputs!$B$5:$B$110*(((Inputs!$G$5:$G$110="moeda")+(Inputs!$G$5:$G$110="acoes"))*Inputs!$B$1+((Inputs!$G$5:$G$110&lt;&gt;"moeda")*(Inputs!$G$5:$G$110&lt;&gt;"acoes")))*INDEX(Inputs!$K$5:$AJ$110,0,MATCH(T$2,Inputs!$K$4:$AJ$4,0)))+SUMPRODUCT((Inputs!$C$5:$C$110=$B42)*Inputs!$D$5:$D$110*(((Inputs!$G$5:$G$110="moeda")+(Inputs!$G$5:$G$110="acoes"))*Inputs!$B$1+((Inputs!$G$5:$G$110&lt;&gt;"moeda")*(Inputs!$G$5:$G$110&lt;&gt;"acoes")))*INDEX(Inputs!$K$5:$AJ$110,0,MATCH(T$2,Inputs!$K$4:$AJ$4,0)))+SUMPRODUCT((Inputs!$E$5:$E$110=$B42)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42" s="267" t="e">
        <f>IF(ISNA(MATCH(U$2,Inputs!$K$4:$AJ$4,0)),NA(),IF(SUMPRODUCT((Inputs!$A$5:$A$110=$B42)*ISNUMBER(INDEX(Inputs!$K$5:$AJ$110,0,MATCH(U$2,Inputs!$K$4:$AJ$4,0))))+SUMPRODUCT((Inputs!$C$5:$C$110=$B42)*ISNUMBER(INDEX(Inputs!$K$5:$AJ$110,0,MATCH(U$2,Inputs!$K$4:$AJ$4,0))))+SUMPRODUCT((Inputs!$E$5:$E$110=$B42)*ISNUMBER(INDEX(Inputs!$K$5:$AJ$110,0,MATCH(U$2,Inputs!$K$4:$AJ$4,0))))=0,NA(),SUMPRODUCT((Inputs!$A$5:$A$110=$B42)*Inputs!$B$5:$B$110*(((Inputs!$G$5:$G$110="moeda")+(Inputs!$G$5:$G$110="acoes"))*Inputs!$B$1+((Inputs!$G$5:$G$110&lt;&gt;"moeda")*(Inputs!$G$5:$G$110&lt;&gt;"acoes")))*INDEX(Inputs!$K$5:$AJ$110,0,MATCH(U$2,Inputs!$K$4:$AJ$4,0)))+SUMPRODUCT((Inputs!$C$5:$C$110=$B42)*Inputs!$D$5:$D$110*(((Inputs!$G$5:$G$110="moeda")+(Inputs!$G$5:$G$110="acoes"))*Inputs!$B$1+((Inputs!$G$5:$G$110&lt;&gt;"moeda")*(Inputs!$G$5:$G$110&lt;&gt;"acoes")))*INDEX(Inputs!$K$5:$AJ$110,0,MATCH(U$2,Inputs!$K$4:$AJ$4,0)))+SUMPRODUCT((Inputs!$E$5:$E$110=$B42)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42" s="267" t="e">
        <f>IF(ISNA(MATCH(V$2,Inputs!$K$4:$AJ$4,0)),NA(),IF(SUMPRODUCT((Inputs!$A$5:$A$110=$B42)*ISNUMBER(INDEX(Inputs!$K$5:$AJ$110,0,MATCH(V$2,Inputs!$K$4:$AJ$4,0))))+SUMPRODUCT((Inputs!$C$5:$C$110=$B42)*ISNUMBER(INDEX(Inputs!$K$5:$AJ$110,0,MATCH(V$2,Inputs!$K$4:$AJ$4,0))))+SUMPRODUCT((Inputs!$E$5:$E$110=$B42)*ISNUMBER(INDEX(Inputs!$K$5:$AJ$110,0,MATCH(V$2,Inputs!$K$4:$AJ$4,0))))=0,NA(),SUMPRODUCT((Inputs!$A$5:$A$110=$B42)*Inputs!$B$5:$B$110*(((Inputs!$G$5:$G$110="moeda")+(Inputs!$G$5:$G$110="acoes"))*Inputs!$B$1+((Inputs!$G$5:$G$110&lt;&gt;"moeda")*(Inputs!$G$5:$G$110&lt;&gt;"acoes")))*INDEX(Inputs!$K$5:$AJ$110,0,MATCH(V$2,Inputs!$K$4:$AJ$4,0)))+SUMPRODUCT((Inputs!$C$5:$C$110=$B42)*Inputs!$D$5:$D$110*(((Inputs!$G$5:$G$110="moeda")+(Inputs!$G$5:$G$110="acoes"))*Inputs!$B$1+((Inputs!$G$5:$G$110&lt;&gt;"moeda")*(Inputs!$G$5:$G$110&lt;&gt;"acoes")))*INDEX(Inputs!$K$5:$AJ$110,0,MATCH(V$2,Inputs!$K$4:$AJ$4,0)))+SUMPRODUCT((Inputs!$E$5:$E$110=$B42)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42" s="268" t="e">
        <f>V42</f>
        <v>#N/A</v>
      </c>
      <c r="X42" s="267" t="e">
        <f>IF(ISNA(MATCH(X$2,Inputs!$K$4:$AJ$4,0)),NA(),IF(SUMPRODUCT((Inputs!$A$5:$A$110=$B42)*ISNUMBER(INDEX(Inputs!$K$5:$AJ$110,0,MATCH(X$2,Inputs!$K$4:$AJ$4,0))))+SUMPRODUCT((Inputs!$C$5:$C$110=$B42)*ISNUMBER(INDEX(Inputs!$K$5:$AJ$110,0,MATCH(X$2,Inputs!$K$4:$AJ$4,0))))+SUMPRODUCT((Inputs!$E$5:$E$110=$B42)*ISNUMBER(INDEX(Inputs!$K$5:$AJ$110,0,MATCH(X$2,Inputs!$K$4:$AJ$4,0))))=0,NA(),SUMPRODUCT((Inputs!$A$5:$A$110=$B42)*Inputs!$B$5:$B$110*(((Inputs!$G$5:$G$110="moeda")+(Inputs!$G$5:$G$110="acoes"))*Inputs!$B$1+((Inputs!$G$5:$G$110&lt;&gt;"moeda")*(Inputs!$G$5:$G$110&lt;&gt;"acoes")))*INDEX(Inputs!$K$5:$AJ$110,0,MATCH(X$2,Inputs!$K$4:$AJ$4,0)))+SUMPRODUCT((Inputs!$C$5:$C$110=$B42)*Inputs!$D$5:$D$110*(((Inputs!$G$5:$G$110="moeda")+(Inputs!$G$5:$G$110="acoes"))*Inputs!$B$1+((Inputs!$G$5:$G$110&lt;&gt;"moeda")*(Inputs!$G$5:$G$110&lt;&gt;"acoes")))*INDEX(Inputs!$K$5:$AJ$110,0,MATCH(X$2,Inputs!$K$4:$AJ$4,0)))+SUMPRODUCT((Inputs!$E$5:$E$110=$B42)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42" s="267" t="e">
        <f>IF(ISNA(MATCH(Y$2,Inputs!$K$4:$AJ$4,0)),NA(),IF(SUMPRODUCT((Inputs!$A$5:$A$110=$B42)*ISNUMBER(INDEX(Inputs!$K$5:$AJ$110,0,MATCH(Y$2,Inputs!$K$4:$AJ$4,0))))+SUMPRODUCT((Inputs!$C$5:$C$110=$B42)*ISNUMBER(INDEX(Inputs!$K$5:$AJ$110,0,MATCH(Y$2,Inputs!$K$4:$AJ$4,0))))+SUMPRODUCT((Inputs!$E$5:$E$110=$B42)*ISNUMBER(INDEX(Inputs!$K$5:$AJ$110,0,MATCH(Y$2,Inputs!$K$4:$AJ$4,0))))=0,NA(),SUMPRODUCT((Inputs!$A$5:$A$110=$B42)*Inputs!$B$5:$B$110*(((Inputs!$G$5:$G$110="moeda")+(Inputs!$G$5:$G$110="acoes"))*Inputs!$B$1+((Inputs!$G$5:$G$110&lt;&gt;"moeda")*(Inputs!$G$5:$G$110&lt;&gt;"acoes")))*INDEX(Inputs!$K$5:$AJ$110,0,MATCH(Y$2,Inputs!$K$4:$AJ$4,0)))+SUMPRODUCT((Inputs!$C$5:$C$110=$B42)*Inputs!$D$5:$D$110*(((Inputs!$G$5:$G$110="moeda")+(Inputs!$G$5:$G$110="acoes"))*Inputs!$B$1+((Inputs!$G$5:$G$110&lt;&gt;"moeda")*(Inputs!$G$5:$G$110&lt;&gt;"acoes")))*INDEX(Inputs!$K$5:$AJ$110,0,MATCH(Y$2,Inputs!$K$4:$AJ$4,0)))+SUMPRODUCT((Inputs!$E$5:$E$110=$B42)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42" s="267" t="e">
        <f>IF(ISNA(MATCH(Z$2,Inputs!$K$4:$AJ$4,0)),NA(),IF(SUMPRODUCT((Inputs!$A$5:$A$110=$B42)*ISNUMBER(INDEX(Inputs!$K$5:$AJ$110,0,MATCH(Z$2,Inputs!$K$4:$AJ$4,0))))+SUMPRODUCT((Inputs!$C$5:$C$110=$B42)*ISNUMBER(INDEX(Inputs!$K$5:$AJ$110,0,MATCH(Z$2,Inputs!$K$4:$AJ$4,0))))+SUMPRODUCT((Inputs!$E$5:$E$110=$B42)*ISNUMBER(INDEX(Inputs!$K$5:$AJ$110,0,MATCH(Z$2,Inputs!$K$4:$AJ$4,0))))=0,NA(),SUMPRODUCT((Inputs!$A$5:$A$110=$B42)*Inputs!$B$5:$B$110*(((Inputs!$G$5:$G$110="moeda")+(Inputs!$G$5:$G$110="acoes"))*Inputs!$B$1+((Inputs!$G$5:$G$110&lt;&gt;"moeda")*(Inputs!$G$5:$G$110&lt;&gt;"acoes")))*INDEX(Inputs!$K$5:$AJ$110,0,MATCH(Z$2,Inputs!$K$4:$AJ$4,0)))+SUMPRODUCT((Inputs!$C$5:$C$110=$B42)*Inputs!$D$5:$D$110*(((Inputs!$G$5:$G$110="moeda")+(Inputs!$G$5:$G$110="acoes"))*Inputs!$B$1+((Inputs!$G$5:$G$110&lt;&gt;"moeda")*(Inputs!$G$5:$G$110&lt;&gt;"acoes")))*INDEX(Inputs!$K$5:$AJ$110,0,MATCH(Z$2,Inputs!$K$4:$AJ$4,0)))+SUMPRODUCT((Inputs!$E$5:$E$110=$B42)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42" s="267" t="e">
        <f>IF(ISNA(MATCH(AA$2,Inputs!$K$4:$AJ$4,0)),NA(),IF(SUMPRODUCT((Inputs!$A$5:$A$110=$B42)*ISNUMBER(INDEX(Inputs!$K$5:$AJ$110,0,MATCH(AA$2,Inputs!$K$4:$AJ$4,0))))+SUMPRODUCT((Inputs!$C$5:$C$110=$B42)*ISNUMBER(INDEX(Inputs!$K$5:$AJ$110,0,MATCH(AA$2,Inputs!$K$4:$AJ$4,0))))+SUMPRODUCT((Inputs!$E$5:$E$110=$B42)*ISNUMBER(INDEX(Inputs!$K$5:$AJ$110,0,MATCH(AA$2,Inputs!$K$4:$AJ$4,0))))=0,NA(),SUMPRODUCT((Inputs!$A$5:$A$110=$B42)*Inputs!$B$5:$B$110*(((Inputs!$G$5:$G$110="moeda")+(Inputs!$G$5:$G$110="acoes"))*Inputs!$B$1+((Inputs!$G$5:$G$110&lt;&gt;"moeda")*(Inputs!$G$5:$G$110&lt;&gt;"acoes")))*INDEX(Inputs!$K$5:$AJ$110,0,MATCH(AA$2,Inputs!$K$4:$AJ$4,0)))+SUMPRODUCT((Inputs!$C$5:$C$110=$B42)*Inputs!$D$5:$D$110*(((Inputs!$G$5:$G$110="moeda")+(Inputs!$G$5:$G$110="acoes"))*Inputs!$B$1+((Inputs!$G$5:$G$110&lt;&gt;"moeda")*(Inputs!$G$5:$G$110&lt;&gt;"acoes")))*INDEX(Inputs!$K$5:$AJ$110,0,MATCH(AA$2,Inputs!$K$4:$AJ$4,0)))+SUMPRODUCT((Inputs!$E$5:$E$110=$B42)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42" s="268" t="e">
        <f>AA42</f>
        <v>#N/A</v>
      </c>
      <c r="AC42" s="267" t="e">
        <f>IF(ISNA(MATCH(AC$2,Inputs!$K$4:$AJ$4,0)),NA(),IF(SUMPRODUCT((Inputs!$A$5:$A$110=$B42)*ISNUMBER(INDEX(Inputs!$K$5:$AJ$110,0,MATCH(AC$2,Inputs!$K$4:$AJ$4,0))))+SUMPRODUCT((Inputs!$C$5:$C$110=$B42)*ISNUMBER(INDEX(Inputs!$K$5:$AJ$110,0,MATCH(AC$2,Inputs!$K$4:$AJ$4,0))))+SUMPRODUCT((Inputs!$E$5:$E$110=$B42)*ISNUMBER(INDEX(Inputs!$K$5:$AJ$110,0,MATCH(AC$2,Inputs!$K$4:$AJ$4,0))))=0,NA(),SUMPRODUCT((Inputs!$A$5:$A$110=$B42)*Inputs!$B$5:$B$110*(((Inputs!$G$5:$G$110="moeda")+(Inputs!$G$5:$G$110="acoes"))*Inputs!$B$1+((Inputs!$G$5:$G$110&lt;&gt;"moeda")*(Inputs!$G$5:$G$110&lt;&gt;"acoes")))*INDEX(Inputs!$K$5:$AJ$110,0,MATCH(AC$2,Inputs!$K$4:$AJ$4,0)))+SUMPRODUCT((Inputs!$C$5:$C$110=$B42)*Inputs!$D$5:$D$110*(((Inputs!$G$5:$G$110="moeda")+(Inputs!$G$5:$G$110="acoes"))*Inputs!$B$1+((Inputs!$G$5:$G$110&lt;&gt;"moeda")*(Inputs!$G$5:$G$110&lt;&gt;"acoes")))*INDEX(Inputs!$K$5:$AJ$110,0,MATCH(AC$2,Inputs!$K$4:$AJ$4,0)))+SUMPRODUCT((Inputs!$E$5:$E$110=$B42)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42" s="267" t="e">
        <f>IF(ISNA(MATCH(AD$2,Inputs!$K$4:$AJ$4,0)),NA(),IF(SUMPRODUCT((Inputs!$A$5:$A$110=$B42)*ISNUMBER(INDEX(Inputs!$K$5:$AJ$110,0,MATCH(AD$2,Inputs!$K$4:$AJ$4,0))))+SUMPRODUCT((Inputs!$C$5:$C$110=$B42)*ISNUMBER(INDEX(Inputs!$K$5:$AJ$110,0,MATCH(AD$2,Inputs!$K$4:$AJ$4,0))))+SUMPRODUCT((Inputs!$E$5:$E$110=$B42)*ISNUMBER(INDEX(Inputs!$K$5:$AJ$110,0,MATCH(AD$2,Inputs!$K$4:$AJ$4,0))))=0,NA(),SUMPRODUCT((Inputs!$A$5:$A$110=$B42)*Inputs!$B$5:$B$110*(((Inputs!$G$5:$G$110="moeda")+(Inputs!$G$5:$G$110="acoes"))*Inputs!$B$1+((Inputs!$G$5:$G$110&lt;&gt;"moeda")*(Inputs!$G$5:$G$110&lt;&gt;"acoes")))*INDEX(Inputs!$K$5:$AJ$110,0,MATCH(AD$2,Inputs!$K$4:$AJ$4,0)))+SUMPRODUCT((Inputs!$C$5:$C$110=$B42)*Inputs!$D$5:$D$110*(((Inputs!$G$5:$G$110="moeda")+(Inputs!$G$5:$G$110="acoes"))*Inputs!$B$1+((Inputs!$G$5:$G$110&lt;&gt;"moeda")*(Inputs!$G$5:$G$110&lt;&gt;"acoes")))*INDEX(Inputs!$K$5:$AJ$110,0,MATCH(AD$2,Inputs!$K$4:$AJ$4,0)))+SUMPRODUCT((Inputs!$E$5:$E$110=$B42)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42" s="267" t="e">
        <f>IF(ISNA(MATCH(AE$2,Inputs!$K$4:$AJ$4,0)),NA(),IF(SUMPRODUCT((Inputs!$A$5:$A$110=$B42)*ISNUMBER(INDEX(Inputs!$K$5:$AJ$110,0,MATCH(AE$2,Inputs!$K$4:$AJ$4,0))))+SUMPRODUCT((Inputs!$C$5:$C$110=$B42)*ISNUMBER(INDEX(Inputs!$K$5:$AJ$110,0,MATCH(AE$2,Inputs!$K$4:$AJ$4,0))))+SUMPRODUCT((Inputs!$E$5:$E$110=$B42)*ISNUMBER(INDEX(Inputs!$K$5:$AJ$110,0,MATCH(AE$2,Inputs!$K$4:$AJ$4,0))))=0,NA(),SUMPRODUCT((Inputs!$A$5:$A$110=$B42)*Inputs!$B$5:$B$110*(((Inputs!$G$5:$G$110="moeda")+(Inputs!$G$5:$G$110="acoes"))*Inputs!$B$1+((Inputs!$G$5:$G$110&lt;&gt;"moeda")*(Inputs!$G$5:$G$110&lt;&gt;"acoes")))*INDEX(Inputs!$K$5:$AJ$110,0,MATCH(AE$2,Inputs!$K$4:$AJ$4,0)))+SUMPRODUCT((Inputs!$C$5:$C$110=$B42)*Inputs!$D$5:$D$110*(((Inputs!$G$5:$G$110="moeda")+(Inputs!$G$5:$G$110="acoes"))*Inputs!$B$1+((Inputs!$G$5:$G$110&lt;&gt;"moeda")*(Inputs!$G$5:$G$110&lt;&gt;"acoes")))*INDEX(Inputs!$K$5:$AJ$110,0,MATCH(AE$2,Inputs!$K$4:$AJ$4,0)))+SUMPRODUCT((Inputs!$E$5:$E$110=$B42)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2" s="267" t="e">
        <f>IF(ISNA(MATCH(AF$2,Inputs!$K$4:$AJ$4,0)),NA(),IF(SUMPRODUCT((Inputs!$A$5:$A$110=$B42)*ISNUMBER(INDEX(Inputs!$K$5:$AJ$110,0,MATCH(AF$2,Inputs!$K$4:$AJ$4,0))))+SUMPRODUCT((Inputs!$C$5:$C$110=$B42)*ISNUMBER(INDEX(Inputs!$K$5:$AJ$110,0,MATCH(AF$2,Inputs!$K$4:$AJ$4,0))))+SUMPRODUCT((Inputs!$E$5:$E$110=$B42)*ISNUMBER(INDEX(Inputs!$K$5:$AJ$110,0,MATCH(AF$2,Inputs!$K$4:$AJ$4,0))))=0,NA(),SUMPRODUCT((Inputs!$A$5:$A$110=$B42)*Inputs!$B$5:$B$110*(((Inputs!$G$5:$G$110="moeda")+(Inputs!$G$5:$G$110="acoes"))*Inputs!$B$1+((Inputs!$G$5:$G$110&lt;&gt;"moeda")*(Inputs!$G$5:$G$110&lt;&gt;"acoes")))*INDEX(Inputs!$K$5:$AJ$110,0,MATCH(AF$2,Inputs!$K$4:$AJ$4,0)))+SUMPRODUCT((Inputs!$C$5:$C$110=$B42)*Inputs!$D$5:$D$110*(((Inputs!$G$5:$G$110="moeda")+(Inputs!$G$5:$G$110="acoes"))*Inputs!$B$1+((Inputs!$G$5:$G$110&lt;&gt;"moeda")*(Inputs!$G$5:$G$110&lt;&gt;"acoes")))*INDEX(Inputs!$K$5:$AJ$110,0,MATCH(AF$2,Inputs!$K$4:$AJ$4,0)))+SUMPRODUCT((Inputs!$E$5:$E$110=$B42)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2" s="268" t="e">
        <f>AF42</f>
        <v>#N/A</v>
      </c>
      <c r="AH42" s="267" t="e">
        <f>IF(ISNA(MATCH(AH$2,Inputs!$K$4:$AJ$4,0)),NA(),IF(SUMPRODUCT((Inputs!$A$5:$A$110=$B42)*ISNUMBER(INDEX(Inputs!$K$5:$AJ$110,0,MATCH(AH$2,Inputs!$K$4:$AJ$4,0))))+SUMPRODUCT((Inputs!$C$5:$C$110=$B42)*ISNUMBER(INDEX(Inputs!$K$5:$AJ$110,0,MATCH(AH$2,Inputs!$K$4:$AJ$4,0))))+SUMPRODUCT((Inputs!$E$5:$E$110=$B42)*ISNUMBER(INDEX(Inputs!$K$5:$AJ$110,0,MATCH(AH$2,Inputs!$K$4:$AJ$4,0))))=0,NA(),SUMPRODUCT((Inputs!$A$5:$A$110=$B42)*Inputs!$B$5:$B$110*(((Inputs!$G$5:$G$110="moeda")+(Inputs!$G$5:$G$110="acoes"))*Inputs!$B$1+((Inputs!$G$5:$G$110&lt;&gt;"moeda")*(Inputs!$G$5:$G$110&lt;&gt;"acoes")))*INDEX(Inputs!$K$5:$AJ$110,0,MATCH(AH$2,Inputs!$K$4:$AJ$4,0)))+SUMPRODUCT((Inputs!$C$5:$C$110=$B42)*Inputs!$D$5:$D$110*(((Inputs!$G$5:$G$110="moeda")+(Inputs!$G$5:$G$110="acoes"))*Inputs!$B$1+((Inputs!$G$5:$G$110&lt;&gt;"moeda")*(Inputs!$G$5:$G$110&lt;&gt;"acoes")))*INDEX(Inputs!$K$5:$AJ$110,0,MATCH(AH$2,Inputs!$K$4:$AJ$4,0)))+SUMPRODUCT((Inputs!$E$5:$E$110=$B42)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42" s="267" t="e">
        <f>IF(ISNA(MATCH(AI$2,Inputs!$K$4:$AJ$4,0)),NA(),IF(SUMPRODUCT((Inputs!$A$5:$A$110=$B42)*ISNUMBER(INDEX(Inputs!$K$5:$AJ$110,0,MATCH(AI$2,Inputs!$K$4:$AJ$4,0))))+SUMPRODUCT((Inputs!$C$5:$C$110=$B42)*ISNUMBER(INDEX(Inputs!$K$5:$AJ$110,0,MATCH(AI$2,Inputs!$K$4:$AJ$4,0))))+SUMPRODUCT((Inputs!$E$5:$E$110=$B42)*ISNUMBER(INDEX(Inputs!$K$5:$AJ$110,0,MATCH(AI$2,Inputs!$K$4:$AJ$4,0))))=0,NA(),SUMPRODUCT((Inputs!$A$5:$A$110=$B42)*Inputs!$B$5:$B$110*(((Inputs!$G$5:$G$110="moeda")+(Inputs!$G$5:$G$110="acoes"))*Inputs!$B$1+((Inputs!$G$5:$G$110&lt;&gt;"moeda")*(Inputs!$G$5:$G$110&lt;&gt;"acoes")))*INDEX(Inputs!$K$5:$AJ$110,0,MATCH(AI$2,Inputs!$K$4:$AJ$4,0)))+SUMPRODUCT((Inputs!$C$5:$C$110=$B42)*Inputs!$D$5:$D$110*(((Inputs!$G$5:$G$110="moeda")+(Inputs!$G$5:$G$110="acoes"))*Inputs!$B$1+((Inputs!$G$5:$G$110&lt;&gt;"moeda")*(Inputs!$G$5:$G$110&lt;&gt;"acoes")))*INDEX(Inputs!$K$5:$AJ$110,0,MATCH(AI$2,Inputs!$K$4:$AJ$4,0)))+SUMPRODUCT((Inputs!$E$5:$E$110=$B42)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42" s="267" t="e">
        <f>IF(ISNA(MATCH(AJ$2,Inputs!$K$4:$AJ$4,0)),NA(),IF(SUMPRODUCT((Inputs!$A$5:$A$110=$B42)*ISNUMBER(INDEX(Inputs!$K$5:$AJ$110,0,MATCH(AJ$2,Inputs!$K$4:$AJ$4,0))))+SUMPRODUCT((Inputs!$C$5:$C$110=$B42)*ISNUMBER(INDEX(Inputs!$K$5:$AJ$110,0,MATCH(AJ$2,Inputs!$K$4:$AJ$4,0))))+SUMPRODUCT((Inputs!$E$5:$E$110=$B42)*ISNUMBER(INDEX(Inputs!$K$5:$AJ$110,0,MATCH(AJ$2,Inputs!$K$4:$AJ$4,0))))=0,NA(),SUMPRODUCT((Inputs!$A$5:$A$110=$B42)*Inputs!$B$5:$B$110*(((Inputs!$G$5:$G$110="moeda")+(Inputs!$G$5:$G$110="acoes"))*Inputs!$B$1+((Inputs!$G$5:$G$110&lt;&gt;"moeda")*(Inputs!$G$5:$G$110&lt;&gt;"acoes")))*INDEX(Inputs!$K$5:$AJ$110,0,MATCH(AJ$2,Inputs!$K$4:$AJ$4,0)))+SUMPRODUCT((Inputs!$C$5:$C$110=$B42)*Inputs!$D$5:$D$110*(((Inputs!$G$5:$G$110="moeda")+(Inputs!$G$5:$G$110="acoes"))*Inputs!$B$1+((Inputs!$G$5:$G$110&lt;&gt;"moeda")*(Inputs!$G$5:$G$110&lt;&gt;"acoes")))*INDEX(Inputs!$K$5:$AJ$110,0,MATCH(AJ$2,Inputs!$K$4:$AJ$4,0)))+SUMPRODUCT((Inputs!$E$5:$E$110=$B42)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42" s="267" t="e">
        <f>IF(ISNA(MATCH(AK$2,Inputs!$K$4:$AJ$4,0)),NA(),IF(SUMPRODUCT((Inputs!$A$5:$A$110=$B42)*ISNUMBER(INDEX(Inputs!$K$5:$AJ$110,0,MATCH(AK$2,Inputs!$K$4:$AJ$4,0))))+SUMPRODUCT((Inputs!$C$5:$C$110=$B42)*ISNUMBER(INDEX(Inputs!$K$5:$AJ$110,0,MATCH(AK$2,Inputs!$K$4:$AJ$4,0))))+SUMPRODUCT((Inputs!$E$5:$E$110=$B42)*ISNUMBER(INDEX(Inputs!$K$5:$AJ$110,0,MATCH(AK$2,Inputs!$K$4:$AJ$4,0))))=0,NA(),SUMPRODUCT((Inputs!$A$5:$A$110=$B42)*Inputs!$B$5:$B$110*(((Inputs!$G$5:$G$110="moeda")+(Inputs!$G$5:$G$110="acoes"))*Inputs!$B$1+((Inputs!$G$5:$G$110&lt;&gt;"moeda")*(Inputs!$G$5:$G$110&lt;&gt;"acoes")))*INDEX(Inputs!$K$5:$AJ$110,0,MATCH(AK$2,Inputs!$K$4:$AJ$4,0)))+SUMPRODUCT((Inputs!$C$5:$C$110=$B42)*Inputs!$D$5:$D$110*(((Inputs!$G$5:$G$110="moeda")+(Inputs!$G$5:$G$110="acoes"))*Inputs!$B$1+((Inputs!$G$5:$G$110&lt;&gt;"moeda")*(Inputs!$G$5:$G$110&lt;&gt;"acoes")))*INDEX(Inputs!$K$5:$AJ$110,0,MATCH(AK$2,Inputs!$K$4:$AJ$4,0)))+SUMPRODUCT((Inputs!$E$5:$E$110=$B42)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42" s="268" t="e">
        <f>AK42</f>
        <v>#N/A</v>
      </c>
    </row>
    <row r="43" ht="12.75" customHeight="1" s="255">
      <c r="B43" s="265" t="n">
        <v>37</v>
      </c>
      <c r="C43" s="269" t="inlineStr">
        <is>
          <t>Common Stock and APIC</t>
        </is>
      </c>
      <c r="D43" s="267">
        <f>IF(ISNA(MATCH(D$2,Inputs!$K$4:$AJ$4,0)),NA(),IF(SUMPRODUCT((Inputs!$A$5:$A$110=$B43)*ISNUMBER(INDEX(Inputs!$K$5:$AJ$110,0,MATCH(D$2,Inputs!$K$4:$AJ$4,0))))+SUMPRODUCT((Inputs!$C$5:$C$110=$B43)*ISNUMBER(INDEX(Inputs!$K$5:$AJ$110,0,MATCH(D$2,Inputs!$K$4:$AJ$4,0))))+SUMPRODUCT((Inputs!$E$5:$E$110=$B43)*ISNUMBER(INDEX(Inputs!$K$5:$AJ$110,0,MATCH(D$2,Inputs!$K$4:$AJ$4,0))))=0,NA(),SUMPRODUCT((Inputs!$A$5:$A$110=$B43)*Inputs!$B$5:$B$110*(((Inputs!$G$5:$G$110="moeda")+(Inputs!$G$5:$G$110="acoes"))*Inputs!$B$1+((Inputs!$G$5:$G$110&lt;&gt;"moeda")*(Inputs!$G$5:$G$110&lt;&gt;"acoes")))*INDEX(Inputs!$K$5:$AJ$110,0,MATCH(D$2,Inputs!$K$4:$AJ$4,0)))+SUMPRODUCT((Inputs!$C$5:$C$110=$B43)*Inputs!$D$5:$D$110*(((Inputs!$G$5:$G$110="moeda")+(Inputs!$G$5:$G$110="acoes"))*Inputs!$B$1+((Inputs!$G$5:$G$110&lt;&gt;"moeda")*(Inputs!$G$5:$G$110&lt;&gt;"acoes")))*INDEX(Inputs!$K$5:$AJ$110,0,MATCH(D$2,Inputs!$K$4:$AJ$4,0)))+SUMPRODUCT((Inputs!$E$5:$E$110=$B43)*Inputs!$F$5:$F$110*(((Inputs!$G$5:$G$110="moeda")+(Inputs!$G$5:$G$110="acoes"))*Inputs!$B$1+((Inputs!$G$5:$G$110&lt;&gt;"moeda")*(Inputs!$G$5:$G$110&lt;&gt;"acoes")))*INDEX(Inputs!$K$5:$AJ$110,0,MATCH(D$2,Inputs!$K$4:$AJ$4,0)))))</f>
        <v>6847</v>
      </c>
      <c r="E43" s="267">
        <f>IF(ISNA(MATCH(E$2,Inputs!$K$4:$AJ$4,0)),NA(),IF(SUMPRODUCT((Inputs!$A$5:$A$110=$B43)*ISNUMBER(INDEX(Inputs!$K$5:$AJ$110,0,MATCH(E$2,Inputs!$K$4:$AJ$4,0))))+SUMPRODUCT((Inputs!$C$5:$C$110=$B43)*ISNUMBER(INDEX(Inputs!$K$5:$AJ$110,0,MATCH(E$2,Inputs!$K$4:$AJ$4,0))))+SUMPRODUCT((Inputs!$E$5:$E$110=$B43)*ISNUMBER(INDEX(Inputs!$K$5:$AJ$110,0,MATCH(E$2,Inputs!$K$4:$AJ$4,0))))=0,NA(),SUMPRODUCT((Inputs!$A$5:$A$110=$B43)*Inputs!$B$5:$B$110*(((Inputs!$G$5:$G$110="moeda")+(Inputs!$G$5:$G$110="acoes"))*Inputs!$B$1+((Inputs!$G$5:$G$110&lt;&gt;"moeda")*(Inputs!$G$5:$G$110&lt;&gt;"acoes")))*INDEX(Inputs!$K$5:$AJ$110,0,MATCH(E$2,Inputs!$K$4:$AJ$4,0)))+SUMPRODUCT((Inputs!$C$5:$C$110=$B43)*Inputs!$D$5:$D$110*(((Inputs!$G$5:$G$110="moeda")+(Inputs!$G$5:$G$110="acoes"))*Inputs!$B$1+((Inputs!$G$5:$G$110&lt;&gt;"moeda")*(Inputs!$G$5:$G$110&lt;&gt;"acoes")))*INDEX(Inputs!$K$5:$AJ$110,0,MATCH(E$2,Inputs!$K$4:$AJ$4,0)))+SUMPRODUCT((Inputs!$E$5:$E$110=$B43)*Inputs!$F$5:$F$110*(((Inputs!$G$5:$G$110="moeda")+(Inputs!$G$5:$G$110="acoes"))*Inputs!$B$1+((Inputs!$G$5:$G$110&lt;&gt;"moeda")*(Inputs!$G$5:$G$110&lt;&gt;"acoes")))*INDEX(Inputs!$K$5:$AJ$110,0,MATCH(E$2,Inputs!$K$4:$AJ$4,0)))))</f>
        <v>6925</v>
      </c>
      <c r="F43" s="267">
        <f>IF(ISNA(MATCH(F$2,Inputs!$K$4:$AJ$4,0)),NA(),IF(SUMPRODUCT((Inputs!$A$5:$A$110=$B43)*ISNUMBER(INDEX(Inputs!$K$5:$AJ$110,0,MATCH(F$2,Inputs!$K$4:$AJ$4,0))))+SUMPRODUCT((Inputs!$C$5:$C$110=$B43)*ISNUMBER(INDEX(Inputs!$K$5:$AJ$110,0,MATCH(F$2,Inputs!$K$4:$AJ$4,0))))+SUMPRODUCT((Inputs!$E$5:$E$110=$B43)*ISNUMBER(INDEX(Inputs!$K$5:$AJ$110,0,MATCH(F$2,Inputs!$K$4:$AJ$4,0))))=0,NA(),SUMPRODUCT((Inputs!$A$5:$A$110=$B43)*Inputs!$B$5:$B$110*(((Inputs!$G$5:$G$110="moeda")+(Inputs!$G$5:$G$110="acoes"))*Inputs!$B$1+((Inputs!$G$5:$G$110&lt;&gt;"moeda")*(Inputs!$G$5:$G$110&lt;&gt;"acoes")))*INDEX(Inputs!$K$5:$AJ$110,0,MATCH(F$2,Inputs!$K$4:$AJ$4,0)))+SUMPRODUCT((Inputs!$C$5:$C$110=$B43)*Inputs!$D$5:$D$110*(((Inputs!$G$5:$G$110="moeda")+(Inputs!$G$5:$G$110="acoes"))*Inputs!$B$1+((Inputs!$G$5:$G$110&lt;&gt;"moeda")*(Inputs!$G$5:$G$110&lt;&gt;"acoes")))*INDEX(Inputs!$K$5:$AJ$110,0,MATCH(F$2,Inputs!$K$4:$AJ$4,0)))+SUMPRODUCT((Inputs!$E$5:$E$110=$B43)*Inputs!$F$5:$F$110*(((Inputs!$G$5:$G$110="moeda")+(Inputs!$G$5:$G$110="acoes"))*Inputs!$B$1+((Inputs!$G$5:$G$110&lt;&gt;"moeda")*(Inputs!$G$5:$G$110&lt;&gt;"acoes")))*INDEX(Inputs!$K$5:$AJ$110,0,MATCH(F$2,Inputs!$K$4:$AJ$4,0)))))</f>
        <v>7035</v>
      </c>
      <c r="G43" s="267">
        <f>IF(ISNA(MATCH(G$2,Inputs!$K$4:$AJ$4,0)),NA(),IF(SUMPRODUCT((Inputs!$A$5:$A$110=$B43)*ISNUMBER(INDEX(Inputs!$K$5:$AJ$110,0,MATCH(G$2,Inputs!$K$4:$AJ$4,0))))+SUMPRODUCT((Inputs!$C$5:$C$110=$B43)*ISNUMBER(INDEX(Inputs!$K$5:$AJ$110,0,MATCH(G$2,Inputs!$K$4:$AJ$4,0))))+SUMPRODUCT((Inputs!$E$5:$E$110=$B43)*ISNUMBER(INDEX(Inputs!$K$5:$AJ$110,0,MATCH(G$2,Inputs!$K$4:$AJ$4,0))))=0,NA(),SUMPRODUCT((Inputs!$A$5:$A$110=$B43)*Inputs!$B$5:$B$110*(((Inputs!$G$5:$G$110="moeda")+(Inputs!$G$5:$G$110="acoes"))*Inputs!$B$1+((Inputs!$G$5:$G$110&lt;&gt;"moeda")*(Inputs!$G$5:$G$110&lt;&gt;"acoes")))*INDEX(Inputs!$K$5:$AJ$110,0,MATCH(G$2,Inputs!$K$4:$AJ$4,0)))+SUMPRODUCT((Inputs!$C$5:$C$110=$B43)*Inputs!$D$5:$D$110*(((Inputs!$G$5:$G$110="moeda")+(Inputs!$G$5:$G$110="acoes"))*Inputs!$B$1+((Inputs!$G$5:$G$110&lt;&gt;"moeda")*(Inputs!$G$5:$G$110&lt;&gt;"acoes")))*INDEX(Inputs!$K$5:$AJ$110,0,MATCH(G$2,Inputs!$K$4:$AJ$4,0)))+SUMPRODUCT((Inputs!$E$5:$E$110=$B43)*Inputs!$F$5:$F$110*(((Inputs!$G$5:$G$110="moeda")+(Inputs!$G$5:$G$110="acoes"))*Inputs!$B$1+((Inputs!$G$5:$G$110&lt;&gt;"moeda")*(Inputs!$G$5:$G$110&lt;&gt;"acoes")))*INDEX(Inputs!$K$5:$AJ$110,0,MATCH(G$2,Inputs!$K$4:$AJ$4,0)))))</f>
        <v>7068</v>
      </c>
      <c r="H43" s="268">
        <f>G43</f>
        <v>7068</v>
      </c>
      <c r="I43" s="267">
        <f>IF(ISNA(MATCH(I$2,Inputs!$K$4:$AJ$4,0)),NA(),IF(SUMPRODUCT((Inputs!$A$5:$A$110=$B43)*ISNUMBER(INDEX(Inputs!$K$5:$AJ$110,0,MATCH(I$2,Inputs!$K$4:$AJ$4,0))))+SUMPRODUCT((Inputs!$C$5:$C$110=$B43)*ISNUMBER(INDEX(Inputs!$K$5:$AJ$110,0,MATCH(I$2,Inputs!$K$4:$AJ$4,0))))+SUMPRODUCT((Inputs!$E$5:$E$110=$B43)*ISNUMBER(INDEX(Inputs!$K$5:$AJ$110,0,MATCH(I$2,Inputs!$K$4:$AJ$4,0))))=0,NA(),SUMPRODUCT((Inputs!$A$5:$A$110=$B43)*Inputs!$B$5:$B$110*(((Inputs!$G$5:$G$110="moeda")+(Inputs!$G$5:$G$110="acoes"))*Inputs!$B$1+((Inputs!$G$5:$G$110&lt;&gt;"moeda")*(Inputs!$G$5:$G$110&lt;&gt;"acoes")))*INDEX(Inputs!$K$5:$AJ$110,0,MATCH(I$2,Inputs!$K$4:$AJ$4,0)))+SUMPRODUCT((Inputs!$C$5:$C$110=$B43)*Inputs!$D$5:$D$110*(((Inputs!$G$5:$G$110="moeda")+(Inputs!$G$5:$G$110="acoes"))*Inputs!$B$1+((Inputs!$G$5:$G$110&lt;&gt;"moeda")*(Inputs!$G$5:$G$110&lt;&gt;"acoes")))*INDEX(Inputs!$K$5:$AJ$110,0,MATCH(I$2,Inputs!$K$4:$AJ$4,0)))+SUMPRODUCT((Inputs!$E$5:$E$110=$B43)*Inputs!$F$5:$F$110*(((Inputs!$G$5:$G$110="moeda")+(Inputs!$G$5:$G$110="acoes"))*Inputs!$B$1+((Inputs!$G$5:$G$110&lt;&gt;"moeda")*(Inputs!$G$5:$G$110&lt;&gt;"acoes")))*INDEX(Inputs!$K$5:$AJ$110,0,MATCH(I$2,Inputs!$K$4:$AJ$4,0)))))</f>
        <v>7190</v>
      </c>
      <c r="J43" s="267">
        <f>IF(ISNA(MATCH(J$2,Inputs!$K$4:$AJ$4,0)),NA(),IF(SUMPRODUCT((Inputs!$A$5:$A$110=$B43)*ISNUMBER(INDEX(Inputs!$K$5:$AJ$110,0,MATCH(J$2,Inputs!$K$4:$AJ$4,0))))+SUMPRODUCT((Inputs!$C$5:$C$110=$B43)*ISNUMBER(INDEX(Inputs!$K$5:$AJ$110,0,MATCH(J$2,Inputs!$K$4:$AJ$4,0))))+SUMPRODUCT((Inputs!$E$5:$E$110=$B43)*ISNUMBER(INDEX(Inputs!$K$5:$AJ$110,0,MATCH(J$2,Inputs!$K$4:$AJ$4,0))))=0,NA(),SUMPRODUCT((Inputs!$A$5:$A$110=$B43)*Inputs!$B$5:$B$110*(((Inputs!$G$5:$G$110="moeda")+(Inputs!$G$5:$G$110="acoes"))*Inputs!$B$1+((Inputs!$G$5:$G$110&lt;&gt;"moeda")*(Inputs!$G$5:$G$110&lt;&gt;"acoes")))*INDEX(Inputs!$K$5:$AJ$110,0,MATCH(J$2,Inputs!$K$4:$AJ$4,0)))+SUMPRODUCT((Inputs!$C$5:$C$110=$B43)*Inputs!$D$5:$D$110*(((Inputs!$G$5:$G$110="moeda")+(Inputs!$G$5:$G$110="acoes"))*Inputs!$B$1+((Inputs!$G$5:$G$110&lt;&gt;"moeda")*(Inputs!$G$5:$G$110&lt;&gt;"acoes")))*INDEX(Inputs!$K$5:$AJ$110,0,MATCH(J$2,Inputs!$K$4:$AJ$4,0)))+SUMPRODUCT((Inputs!$E$5:$E$110=$B43)*Inputs!$F$5:$F$110*(((Inputs!$G$5:$G$110="moeda")+(Inputs!$G$5:$G$110="acoes"))*Inputs!$B$1+((Inputs!$G$5:$G$110&lt;&gt;"moeda")*(Inputs!$G$5:$G$110&lt;&gt;"acoes")))*INDEX(Inputs!$K$5:$AJ$110,0,MATCH(J$2,Inputs!$K$4:$AJ$4,0)))))</f>
        <v>7276</v>
      </c>
      <c r="K43" s="267">
        <f>IF(ISNA(MATCH(K$2,Inputs!$K$4:$AJ$4,0)),NA(),IF(SUMPRODUCT((Inputs!$A$5:$A$110=$B43)*ISNUMBER(INDEX(Inputs!$K$5:$AJ$110,0,MATCH(K$2,Inputs!$K$4:$AJ$4,0))))+SUMPRODUCT((Inputs!$C$5:$C$110=$B43)*ISNUMBER(INDEX(Inputs!$K$5:$AJ$110,0,MATCH(K$2,Inputs!$K$4:$AJ$4,0))))+SUMPRODUCT((Inputs!$E$5:$E$110=$B43)*ISNUMBER(INDEX(Inputs!$K$5:$AJ$110,0,MATCH(K$2,Inputs!$K$4:$AJ$4,0))))=0,NA(),SUMPRODUCT((Inputs!$A$5:$A$110=$B43)*Inputs!$B$5:$B$110*(((Inputs!$G$5:$G$110="moeda")+(Inputs!$G$5:$G$110="acoes"))*Inputs!$B$1+((Inputs!$G$5:$G$110&lt;&gt;"moeda")*(Inputs!$G$5:$G$110&lt;&gt;"acoes")))*INDEX(Inputs!$K$5:$AJ$110,0,MATCH(K$2,Inputs!$K$4:$AJ$4,0)))+SUMPRODUCT((Inputs!$C$5:$C$110=$B43)*Inputs!$D$5:$D$110*(((Inputs!$G$5:$G$110="moeda")+(Inputs!$G$5:$G$110="acoes"))*Inputs!$B$1+((Inputs!$G$5:$G$110&lt;&gt;"moeda")*(Inputs!$G$5:$G$110&lt;&gt;"acoes")))*INDEX(Inputs!$K$5:$AJ$110,0,MATCH(K$2,Inputs!$K$4:$AJ$4,0)))+SUMPRODUCT((Inputs!$E$5:$E$110=$B43)*Inputs!$F$5:$F$110*(((Inputs!$G$5:$G$110="moeda")+(Inputs!$G$5:$G$110="acoes"))*Inputs!$B$1+((Inputs!$G$5:$G$110&lt;&gt;"moeda")*(Inputs!$G$5:$G$110&lt;&gt;"acoes")))*INDEX(Inputs!$K$5:$AJ$110,0,MATCH(K$2,Inputs!$K$4:$AJ$4,0)))))</f>
        <v>6886</v>
      </c>
      <c r="L43" s="267">
        <f>IF(ISNA(MATCH(L$2,Inputs!$K$4:$AJ$4,0)),NA(),IF(SUMPRODUCT((Inputs!$A$5:$A$110=$B43)*ISNUMBER(INDEX(Inputs!$K$5:$AJ$110,0,MATCH(L$2,Inputs!$K$4:$AJ$4,0))))+SUMPRODUCT((Inputs!$C$5:$C$110=$B43)*ISNUMBER(INDEX(Inputs!$K$5:$AJ$110,0,MATCH(L$2,Inputs!$K$4:$AJ$4,0))))+SUMPRODUCT((Inputs!$E$5:$E$110=$B43)*ISNUMBER(INDEX(Inputs!$K$5:$AJ$110,0,MATCH(L$2,Inputs!$K$4:$AJ$4,0))))=0,NA(),SUMPRODUCT((Inputs!$A$5:$A$110=$B43)*Inputs!$B$5:$B$110*(((Inputs!$G$5:$G$110="moeda")+(Inputs!$G$5:$G$110="acoes"))*Inputs!$B$1+((Inputs!$G$5:$G$110&lt;&gt;"moeda")*(Inputs!$G$5:$G$110&lt;&gt;"acoes")))*INDEX(Inputs!$K$5:$AJ$110,0,MATCH(L$2,Inputs!$K$4:$AJ$4,0)))+SUMPRODUCT((Inputs!$C$5:$C$110=$B43)*Inputs!$D$5:$D$110*(((Inputs!$G$5:$G$110="moeda")+(Inputs!$G$5:$G$110="acoes"))*Inputs!$B$1+((Inputs!$G$5:$G$110&lt;&gt;"moeda")*(Inputs!$G$5:$G$110&lt;&gt;"acoes")))*INDEX(Inputs!$K$5:$AJ$110,0,MATCH(L$2,Inputs!$K$4:$AJ$4,0)))+SUMPRODUCT((Inputs!$E$5:$E$110=$B43)*Inputs!$F$5:$F$110*(((Inputs!$G$5:$G$110="moeda")+(Inputs!$G$5:$G$110="acoes"))*Inputs!$B$1+((Inputs!$G$5:$G$110&lt;&gt;"moeda")*(Inputs!$G$5:$G$110&lt;&gt;"acoes")))*INDEX(Inputs!$K$5:$AJ$110,0,MATCH(L$2,Inputs!$K$4:$AJ$4,0)))))</f>
        <v>6984</v>
      </c>
      <c r="M43" s="268">
        <f>L43</f>
        <v>6984</v>
      </c>
      <c r="N43" s="267">
        <f>IF(ISNA(MATCH(N$2,Inputs!$K$4:$AJ$4,0)),NA(),IF(SUMPRODUCT((Inputs!$A$5:$A$110=$B43)*ISNUMBER(INDEX(Inputs!$K$5:$AJ$110,0,MATCH(N$2,Inputs!$K$4:$AJ$4,0))))+SUMPRODUCT((Inputs!$C$5:$C$110=$B43)*ISNUMBER(INDEX(Inputs!$K$5:$AJ$110,0,MATCH(N$2,Inputs!$K$4:$AJ$4,0))))+SUMPRODUCT((Inputs!$E$5:$E$110=$B43)*ISNUMBER(INDEX(Inputs!$K$5:$AJ$110,0,MATCH(N$2,Inputs!$K$4:$AJ$4,0))))=0,NA(),SUMPRODUCT((Inputs!$A$5:$A$110=$B43)*Inputs!$B$5:$B$110*(((Inputs!$G$5:$G$110="moeda")+(Inputs!$G$5:$G$110="acoes"))*Inputs!$B$1+((Inputs!$G$5:$G$110&lt;&gt;"moeda")*(Inputs!$G$5:$G$110&lt;&gt;"acoes")))*INDEX(Inputs!$K$5:$AJ$110,0,MATCH(N$2,Inputs!$K$4:$AJ$4,0)))+SUMPRODUCT((Inputs!$C$5:$C$110=$B43)*Inputs!$D$5:$D$110*(((Inputs!$G$5:$G$110="moeda")+(Inputs!$G$5:$G$110="acoes"))*Inputs!$B$1+((Inputs!$G$5:$G$110&lt;&gt;"moeda")*(Inputs!$G$5:$G$110&lt;&gt;"acoes")))*INDEX(Inputs!$K$5:$AJ$110,0,MATCH(N$2,Inputs!$K$4:$AJ$4,0)))+SUMPRODUCT((Inputs!$E$5:$E$110=$B43)*Inputs!$F$5:$F$110*(((Inputs!$G$5:$G$110="moeda")+(Inputs!$G$5:$G$110="acoes"))*Inputs!$B$1+((Inputs!$G$5:$G$110&lt;&gt;"moeda")*(Inputs!$G$5:$G$110&lt;&gt;"acoes")))*INDEX(Inputs!$K$5:$AJ$110,0,MATCH(N$2,Inputs!$K$4:$AJ$4,0)))))</f>
        <v>7125</v>
      </c>
      <c r="O43" s="267">
        <f>IF(ISNA(MATCH(O$2,Inputs!$K$4:$AJ$4,0)),NA(),IF(SUMPRODUCT((Inputs!$A$5:$A$110=$B43)*ISNUMBER(INDEX(Inputs!$K$5:$AJ$110,0,MATCH(O$2,Inputs!$K$4:$AJ$4,0))))+SUMPRODUCT((Inputs!$C$5:$C$110=$B43)*ISNUMBER(INDEX(Inputs!$K$5:$AJ$110,0,MATCH(O$2,Inputs!$K$4:$AJ$4,0))))+SUMPRODUCT((Inputs!$E$5:$E$110=$B43)*ISNUMBER(INDEX(Inputs!$K$5:$AJ$110,0,MATCH(O$2,Inputs!$K$4:$AJ$4,0))))=0,NA(),SUMPRODUCT((Inputs!$A$5:$A$110=$B43)*Inputs!$B$5:$B$110*(((Inputs!$G$5:$G$110="moeda")+(Inputs!$G$5:$G$110="acoes"))*Inputs!$B$1+((Inputs!$G$5:$G$110&lt;&gt;"moeda")*(Inputs!$G$5:$G$110&lt;&gt;"acoes")))*INDEX(Inputs!$K$5:$AJ$110,0,MATCH(O$2,Inputs!$K$4:$AJ$4,0)))+SUMPRODUCT((Inputs!$C$5:$C$110=$B43)*Inputs!$D$5:$D$110*(((Inputs!$G$5:$G$110="moeda")+(Inputs!$G$5:$G$110="acoes"))*Inputs!$B$1+((Inputs!$G$5:$G$110&lt;&gt;"moeda")*(Inputs!$G$5:$G$110&lt;&gt;"acoes")))*INDEX(Inputs!$K$5:$AJ$110,0,MATCH(O$2,Inputs!$K$4:$AJ$4,0)))+SUMPRODUCT((Inputs!$E$5:$E$110=$B43)*Inputs!$F$5:$F$110*(((Inputs!$G$5:$G$110="moeda")+(Inputs!$G$5:$G$110="acoes"))*Inputs!$B$1+((Inputs!$G$5:$G$110&lt;&gt;"moeda")*(Inputs!$G$5:$G$110&lt;&gt;"acoes")))*INDEX(Inputs!$K$5:$AJ$110,0,MATCH(O$2,Inputs!$K$4:$AJ$4,0)))))</f>
        <v>7213</v>
      </c>
      <c r="P43" s="267">
        <f>IF(ISNA(MATCH(P$2,Inputs!$K$4:$AJ$4,0)),NA(),IF(SUMPRODUCT((Inputs!$A$5:$A$110=$B43)*ISNUMBER(INDEX(Inputs!$K$5:$AJ$110,0,MATCH(P$2,Inputs!$K$4:$AJ$4,0))))+SUMPRODUCT((Inputs!$C$5:$C$110=$B43)*ISNUMBER(INDEX(Inputs!$K$5:$AJ$110,0,MATCH(P$2,Inputs!$K$4:$AJ$4,0))))+SUMPRODUCT((Inputs!$E$5:$E$110=$B43)*ISNUMBER(INDEX(Inputs!$K$5:$AJ$110,0,MATCH(P$2,Inputs!$K$4:$AJ$4,0))))=0,NA(),SUMPRODUCT((Inputs!$A$5:$A$110=$B43)*Inputs!$B$5:$B$110*(((Inputs!$G$5:$G$110="moeda")+(Inputs!$G$5:$G$110="acoes"))*Inputs!$B$1+((Inputs!$G$5:$G$110&lt;&gt;"moeda")*(Inputs!$G$5:$G$110&lt;&gt;"acoes")))*INDEX(Inputs!$K$5:$AJ$110,0,MATCH(P$2,Inputs!$K$4:$AJ$4,0)))+SUMPRODUCT((Inputs!$C$5:$C$110=$B43)*Inputs!$D$5:$D$110*(((Inputs!$G$5:$G$110="moeda")+(Inputs!$G$5:$G$110="acoes"))*Inputs!$B$1+((Inputs!$G$5:$G$110&lt;&gt;"moeda")*(Inputs!$G$5:$G$110&lt;&gt;"acoes")))*INDEX(Inputs!$K$5:$AJ$110,0,MATCH(P$2,Inputs!$K$4:$AJ$4,0)))+SUMPRODUCT((Inputs!$E$5:$E$110=$B43)*Inputs!$F$5:$F$110*(((Inputs!$G$5:$G$110="moeda")+(Inputs!$G$5:$G$110="acoes"))*Inputs!$B$1+((Inputs!$G$5:$G$110&lt;&gt;"moeda")*(Inputs!$G$5:$G$110&lt;&gt;"acoes")))*INDEX(Inputs!$K$5:$AJ$110,0,MATCH(P$2,Inputs!$K$4:$AJ$4,0)))))</f>
        <v>7342</v>
      </c>
      <c r="Q43" s="267">
        <f>IF(ISNA(MATCH(Q$2,Inputs!$K$4:$AJ$4,0)),NA(),IF(SUMPRODUCT((Inputs!$A$5:$A$110=$B43)*ISNUMBER(INDEX(Inputs!$K$5:$AJ$110,0,MATCH(Q$2,Inputs!$K$4:$AJ$4,0))))+SUMPRODUCT((Inputs!$C$5:$C$110=$B43)*ISNUMBER(INDEX(Inputs!$K$5:$AJ$110,0,MATCH(Q$2,Inputs!$K$4:$AJ$4,0))))+SUMPRODUCT((Inputs!$E$5:$E$110=$B43)*ISNUMBER(INDEX(Inputs!$K$5:$AJ$110,0,MATCH(Q$2,Inputs!$K$4:$AJ$4,0))))=0,NA(),SUMPRODUCT((Inputs!$A$5:$A$110=$B43)*Inputs!$B$5:$B$110*(((Inputs!$G$5:$G$110="moeda")+(Inputs!$G$5:$G$110="acoes"))*Inputs!$B$1+((Inputs!$G$5:$G$110&lt;&gt;"moeda")*(Inputs!$G$5:$G$110&lt;&gt;"acoes")))*INDEX(Inputs!$K$5:$AJ$110,0,MATCH(Q$2,Inputs!$K$4:$AJ$4,0)))+SUMPRODUCT((Inputs!$C$5:$C$110=$B43)*Inputs!$D$5:$D$110*(((Inputs!$G$5:$G$110="moeda")+(Inputs!$G$5:$G$110="acoes"))*Inputs!$B$1+((Inputs!$G$5:$G$110&lt;&gt;"moeda")*(Inputs!$G$5:$G$110&lt;&gt;"acoes")))*INDEX(Inputs!$K$5:$AJ$110,0,MATCH(Q$2,Inputs!$K$4:$AJ$4,0)))+SUMPRODUCT((Inputs!$E$5:$E$110=$B43)*Inputs!$F$5:$F$110*(((Inputs!$G$5:$G$110="moeda")+(Inputs!$G$5:$G$110="acoes"))*Inputs!$B$1+((Inputs!$G$5:$G$110&lt;&gt;"moeda")*(Inputs!$G$5:$G$110&lt;&gt;"acoes")))*INDEX(Inputs!$K$5:$AJ$110,0,MATCH(Q$2,Inputs!$K$4:$AJ$4,0)))))</f>
        <v>7491</v>
      </c>
      <c r="R43" s="268">
        <f>Q43</f>
        <v>7491</v>
      </c>
      <c r="S43" s="267">
        <f>IF(ISNA(MATCH(S$2,Inputs!$K$4:$AJ$4,0)),NA(),IF(SUMPRODUCT((Inputs!$A$5:$A$110=$B43)*ISNUMBER(INDEX(Inputs!$K$5:$AJ$110,0,MATCH(S$2,Inputs!$K$4:$AJ$4,0))))+SUMPRODUCT((Inputs!$C$5:$C$110=$B43)*ISNUMBER(INDEX(Inputs!$K$5:$AJ$110,0,MATCH(S$2,Inputs!$K$4:$AJ$4,0))))+SUMPRODUCT((Inputs!$E$5:$E$110=$B43)*ISNUMBER(INDEX(Inputs!$K$5:$AJ$110,0,MATCH(S$2,Inputs!$K$4:$AJ$4,0))))=0,NA(),SUMPRODUCT((Inputs!$A$5:$A$110=$B43)*Inputs!$B$5:$B$110*(((Inputs!$G$5:$G$110="moeda")+(Inputs!$G$5:$G$110="acoes"))*Inputs!$B$1+((Inputs!$G$5:$G$110&lt;&gt;"moeda")*(Inputs!$G$5:$G$110&lt;&gt;"acoes")))*INDEX(Inputs!$K$5:$AJ$110,0,MATCH(S$2,Inputs!$K$4:$AJ$4,0)))+SUMPRODUCT((Inputs!$C$5:$C$110=$B43)*Inputs!$D$5:$D$110*(((Inputs!$G$5:$G$110="moeda")+(Inputs!$G$5:$G$110="acoes"))*Inputs!$B$1+((Inputs!$G$5:$G$110&lt;&gt;"moeda")*(Inputs!$G$5:$G$110&lt;&gt;"acoes")))*INDEX(Inputs!$K$5:$AJ$110,0,MATCH(S$2,Inputs!$K$4:$AJ$4,0)))+SUMPRODUCT((Inputs!$E$5:$E$110=$B43)*Inputs!$F$5:$F$110*(((Inputs!$G$5:$G$110="moeda")+(Inputs!$G$5:$G$110="acoes"))*Inputs!$B$1+((Inputs!$G$5:$G$110&lt;&gt;"moeda")*(Inputs!$G$5:$G$110&lt;&gt;"acoes")))*INDEX(Inputs!$K$5:$AJ$110,0,MATCH(S$2,Inputs!$K$4:$AJ$4,0)))))</f>
        <v>7622</v>
      </c>
      <c r="T43" s="267">
        <f>IF(ISNA(MATCH(T$2,Inputs!$K$4:$AJ$4,0)),NA(),IF(SUMPRODUCT((Inputs!$A$5:$A$110=$B43)*ISNUMBER(INDEX(Inputs!$K$5:$AJ$110,0,MATCH(T$2,Inputs!$K$4:$AJ$4,0))))+SUMPRODUCT((Inputs!$C$5:$C$110=$B43)*ISNUMBER(INDEX(Inputs!$K$5:$AJ$110,0,MATCH(T$2,Inputs!$K$4:$AJ$4,0))))+SUMPRODUCT((Inputs!$E$5:$E$110=$B43)*ISNUMBER(INDEX(Inputs!$K$5:$AJ$110,0,MATCH(T$2,Inputs!$K$4:$AJ$4,0))))=0,NA(),SUMPRODUCT((Inputs!$A$5:$A$110=$B43)*Inputs!$B$5:$B$110*(((Inputs!$G$5:$G$110="moeda")+(Inputs!$G$5:$G$110="acoes"))*Inputs!$B$1+((Inputs!$G$5:$G$110&lt;&gt;"moeda")*(Inputs!$G$5:$G$110&lt;&gt;"acoes")))*INDEX(Inputs!$K$5:$AJ$110,0,MATCH(T$2,Inputs!$K$4:$AJ$4,0)))+SUMPRODUCT((Inputs!$C$5:$C$110=$B43)*Inputs!$D$5:$D$110*(((Inputs!$G$5:$G$110="moeda")+(Inputs!$G$5:$G$110="acoes"))*Inputs!$B$1+((Inputs!$G$5:$G$110&lt;&gt;"moeda")*(Inputs!$G$5:$G$110&lt;&gt;"acoes")))*INDEX(Inputs!$K$5:$AJ$110,0,MATCH(T$2,Inputs!$K$4:$AJ$4,0)))+SUMPRODUCT((Inputs!$E$5:$E$110=$B43)*Inputs!$F$5:$F$110*(((Inputs!$G$5:$G$110="moeda")+(Inputs!$G$5:$G$110="acoes"))*Inputs!$B$1+((Inputs!$G$5:$G$110&lt;&gt;"moeda")*(Inputs!$G$5:$G$110&lt;&gt;"acoes")))*INDEX(Inputs!$K$5:$AJ$110,0,MATCH(T$2,Inputs!$K$4:$AJ$4,0)))))</f>
        <v>7704</v>
      </c>
      <c r="U43" s="267">
        <f>IF(ISNA(MATCH(U$2,Inputs!$K$4:$AJ$4,0)),NA(),IF(SUMPRODUCT((Inputs!$A$5:$A$110=$B43)*ISNUMBER(INDEX(Inputs!$K$5:$AJ$110,0,MATCH(U$2,Inputs!$K$4:$AJ$4,0))))+SUMPRODUCT((Inputs!$C$5:$C$110=$B43)*ISNUMBER(INDEX(Inputs!$K$5:$AJ$110,0,MATCH(U$2,Inputs!$K$4:$AJ$4,0))))+SUMPRODUCT((Inputs!$E$5:$E$110=$B43)*ISNUMBER(INDEX(Inputs!$K$5:$AJ$110,0,MATCH(U$2,Inputs!$K$4:$AJ$4,0))))=0,NA(),SUMPRODUCT((Inputs!$A$5:$A$110=$B43)*Inputs!$B$5:$B$110*(((Inputs!$G$5:$G$110="moeda")+(Inputs!$G$5:$G$110="acoes"))*Inputs!$B$1+((Inputs!$G$5:$G$110&lt;&gt;"moeda")*(Inputs!$G$5:$G$110&lt;&gt;"acoes")))*INDEX(Inputs!$K$5:$AJ$110,0,MATCH(U$2,Inputs!$K$4:$AJ$4,0)))+SUMPRODUCT((Inputs!$C$5:$C$110=$B43)*Inputs!$D$5:$D$110*(((Inputs!$G$5:$G$110="moeda")+(Inputs!$G$5:$G$110="acoes"))*Inputs!$B$1+((Inputs!$G$5:$G$110&lt;&gt;"moeda")*(Inputs!$G$5:$G$110&lt;&gt;"acoes")))*INDEX(Inputs!$K$5:$AJ$110,0,MATCH(U$2,Inputs!$K$4:$AJ$4,0)))+SUMPRODUCT((Inputs!$E$5:$E$110=$B43)*Inputs!$F$5:$F$110*(((Inputs!$G$5:$G$110="moeda")+(Inputs!$G$5:$G$110="acoes"))*Inputs!$B$1+((Inputs!$G$5:$G$110&lt;&gt;"moeda")*(Inputs!$G$5:$G$110&lt;&gt;"acoes")))*INDEX(Inputs!$K$5:$AJ$110,0,MATCH(U$2,Inputs!$K$4:$AJ$4,0)))))</f>
        <v>7831</v>
      </c>
      <c r="V43" s="267">
        <f>IF(ISNA(MATCH(V$2,Inputs!$K$4:$AJ$4,0)),NA(),IF(SUMPRODUCT((Inputs!$A$5:$A$110=$B43)*ISNUMBER(INDEX(Inputs!$K$5:$AJ$110,0,MATCH(V$2,Inputs!$K$4:$AJ$4,0))))+SUMPRODUCT((Inputs!$C$5:$C$110=$B43)*ISNUMBER(INDEX(Inputs!$K$5:$AJ$110,0,MATCH(V$2,Inputs!$K$4:$AJ$4,0))))+SUMPRODUCT((Inputs!$E$5:$E$110=$B43)*ISNUMBER(INDEX(Inputs!$K$5:$AJ$110,0,MATCH(V$2,Inputs!$K$4:$AJ$4,0))))=0,NA(),SUMPRODUCT((Inputs!$A$5:$A$110=$B43)*Inputs!$B$5:$B$110*(((Inputs!$G$5:$G$110="moeda")+(Inputs!$G$5:$G$110="acoes"))*Inputs!$B$1+((Inputs!$G$5:$G$110&lt;&gt;"moeda")*(Inputs!$G$5:$G$110&lt;&gt;"acoes")))*INDEX(Inputs!$K$5:$AJ$110,0,MATCH(V$2,Inputs!$K$4:$AJ$4,0)))+SUMPRODUCT((Inputs!$C$5:$C$110=$B43)*Inputs!$D$5:$D$110*(((Inputs!$G$5:$G$110="moeda")+(Inputs!$G$5:$G$110="acoes"))*Inputs!$B$1+((Inputs!$G$5:$G$110&lt;&gt;"moeda")*(Inputs!$G$5:$G$110&lt;&gt;"acoes")))*INDEX(Inputs!$K$5:$AJ$110,0,MATCH(V$2,Inputs!$K$4:$AJ$4,0)))+SUMPRODUCT((Inputs!$E$5:$E$110=$B43)*Inputs!$F$5:$F$110*(((Inputs!$G$5:$G$110="moeda")+(Inputs!$G$5:$G$110="acoes"))*Inputs!$B$1+((Inputs!$G$5:$G$110&lt;&gt;"moeda")*(Inputs!$G$5:$G$110&lt;&gt;"acoes")))*INDEX(Inputs!$K$5:$AJ$110,0,MATCH(V$2,Inputs!$K$4:$AJ$4,0)))))</f>
        <v>7903</v>
      </c>
      <c r="W43" s="268">
        <f>V43</f>
        <v>7903</v>
      </c>
      <c r="X43" s="267">
        <f>IF(ISNA(MATCH(X$2,Inputs!$K$4:$AJ$4,0)),NA(),IF(SUMPRODUCT((Inputs!$A$5:$A$110=$B43)*ISNUMBER(INDEX(Inputs!$K$5:$AJ$110,0,MATCH(X$2,Inputs!$K$4:$AJ$4,0))))+SUMPRODUCT((Inputs!$C$5:$C$110=$B43)*ISNUMBER(INDEX(Inputs!$K$5:$AJ$110,0,MATCH(X$2,Inputs!$K$4:$AJ$4,0))))+SUMPRODUCT((Inputs!$E$5:$E$110=$B43)*ISNUMBER(INDEX(Inputs!$K$5:$AJ$110,0,MATCH(X$2,Inputs!$K$4:$AJ$4,0))))=0,NA(),SUMPRODUCT((Inputs!$A$5:$A$110=$B43)*Inputs!$B$5:$B$110*(((Inputs!$G$5:$G$110="moeda")+(Inputs!$G$5:$G$110="acoes"))*Inputs!$B$1+((Inputs!$G$5:$G$110&lt;&gt;"moeda")*(Inputs!$G$5:$G$110&lt;&gt;"acoes")))*INDEX(Inputs!$K$5:$AJ$110,0,MATCH(X$2,Inputs!$K$4:$AJ$4,0)))+SUMPRODUCT((Inputs!$C$5:$C$110=$B43)*Inputs!$D$5:$D$110*(((Inputs!$G$5:$G$110="moeda")+(Inputs!$G$5:$G$110="acoes"))*Inputs!$B$1+((Inputs!$G$5:$G$110&lt;&gt;"moeda")*(Inputs!$G$5:$G$110&lt;&gt;"acoes")))*INDEX(Inputs!$K$5:$AJ$110,0,MATCH(X$2,Inputs!$K$4:$AJ$4,0)))+SUMPRODUCT((Inputs!$E$5:$E$110=$B43)*Inputs!$F$5:$F$110*(((Inputs!$G$5:$G$110="moeda")+(Inputs!$G$5:$G$110="acoes"))*Inputs!$B$1+((Inputs!$G$5:$G$110&lt;&gt;"moeda")*(Inputs!$G$5:$G$110&lt;&gt;"acoes")))*INDEX(Inputs!$K$5:$AJ$110,0,MATCH(X$2,Inputs!$K$4:$AJ$4,0)))))</f>
        <v>8049</v>
      </c>
      <c r="Y43" s="267">
        <f>IF(ISNA(MATCH(Y$2,Inputs!$K$4:$AJ$4,0)),NA(),IF(SUMPRODUCT((Inputs!$A$5:$A$110=$B43)*ISNUMBER(INDEX(Inputs!$K$5:$AJ$110,0,MATCH(Y$2,Inputs!$K$4:$AJ$4,0))))+SUMPRODUCT((Inputs!$C$5:$C$110=$B43)*ISNUMBER(INDEX(Inputs!$K$5:$AJ$110,0,MATCH(Y$2,Inputs!$K$4:$AJ$4,0))))+SUMPRODUCT((Inputs!$E$5:$E$110=$B43)*ISNUMBER(INDEX(Inputs!$K$5:$AJ$110,0,MATCH(Y$2,Inputs!$K$4:$AJ$4,0))))=0,NA(),SUMPRODUCT((Inputs!$A$5:$A$110=$B43)*Inputs!$B$5:$B$110*(((Inputs!$G$5:$G$110="moeda")+(Inputs!$G$5:$G$110="acoes"))*Inputs!$B$1+((Inputs!$G$5:$G$110&lt;&gt;"moeda")*(Inputs!$G$5:$G$110&lt;&gt;"acoes")))*INDEX(Inputs!$K$5:$AJ$110,0,MATCH(Y$2,Inputs!$K$4:$AJ$4,0)))+SUMPRODUCT((Inputs!$C$5:$C$110=$B43)*Inputs!$D$5:$D$110*(((Inputs!$G$5:$G$110="moeda")+(Inputs!$G$5:$G$110="acoes"))*Inputs!$B$1+((Inputs!$G$5:$G$110&lt;&gt;"moeda")*(Inputs!$G$5:$G$110&lt;&gt;"acoes")))*INDEX(Inputs!$K$5:$AJ$110,0,MATCH(Y$2,Inputs!$K$4:$AJ$4,0)))+SUMPRODUCT((Inputs!$E$5:$E$110=$B43)*Inputs!$F$5:$F$110*(((Inputs!$G$5:$G$110="moeda")+(Inputs!$G$5:$G$110="acoes"))*Inputs!$B$1+((Inputs!$G$5:$G$110&lt;&gt;"moeda")*(Inputs!$G$5:$G$110&lt;&gt;"acoes")))*INDEX(Inputs!$K$5:$AJ$110,0,MATCH(Y$2,Inputs!$K$4:$AJ$4,0)))))</f>
        <v>8150</v>
      </c>
      <c r="Z43" s="267">
        <f>IF(ISNA(MATCH(Z$2,Inputs!$K$4:$AJ$4,0)),NA(),IF(SUMPRODUCT((Inputs!$A$5:$A$110=$B43)*ISNUMBER(INDEX(Inputs!$K$5:$AJ$110,0,MATCH(Z$2,Inputs!$K$4:$AJ$4,0))))+SUMPRODUCT((Inputs!$C$5:$C$110=$B43)*ISNUMBER(INDEX(Inputs!$K$5:$AJ$110,0,MATCH(Z$2,Inputs!$K$4:$AJ$4,0))))+SUMPRODUCT((Inputs!$E$5:$E$110=$B43)*ISNUMBER(INDEX(Inputs!$K$5:$AJ$110,0,MATCH(Z$2,Inputs!$K$4:$AJ$4,0))))=0,NA(),SUMPRODUCT((Inputs!$A$5:$A$110=$B43)*Inputs!$B$5:$B$110*(((Inputs!$G$5:$G$110="moeda")+(Inputs!$G$5:$G$110="acoes"))*Inputs!$B$1+((Inputs!$G$5:$G$110&lt;&gt;"moeda")*(Inputs!$G$5:$G$110&lt;&gt;"acoes")))*INDEX(Inputs!$K$5:$AJ$110,0,MATCH(Z$2,Inputs!$K$4:$AJ$4,0)))+SUMPRODUCT((Inputs!$C$5:$C$110=$B43)*Inputs!$D$5:$D$110*(((Inputs!$G$5:$G$110="moeda")+(Inputs!$G$5:$G$110="acoes"))*Inputs!$B$1+((Inputs!$G$5:$G$110&lt;&gt;"moeda")*(Inputs!$G$5:$G$110&lt;&gt;"acoes")))*INDEX(Inputs!$K$5:$AJ$110,0,MATCH(Z$2,Inputs!$K$4:$AJ$4,0)))+SUMPRODUCT((Inputs!$E$5:$E$110=$B43)*Inputs!$F$5:$F$110*(((Inputs!$G$5:$G$110="moeda")+(Inputs!$G$5:$G$110="acoes"))*Inputs!$B$1+((Inputs!$G$5:$G$110&lt;&gt;"moeda")*(Inputs!$G$5:$G$110&lt;&gt;"acoes")))*INDEX(Inputs!$K$5:$AJ$110,0,MATCH(Z$2,Inputs!$K$4:$AJ$4,0)))))</f>
        <v>8284</v>
      </c>
      <c r="AA43" s="267">
        <f>IF(ISNA(MATCH(AA$2,Inputs!$K$4:$AJ$4,0)),NA(),IF(SUMPRODUCT((Inputs!$A$5:$A$110=$B43)*ISNUMBER(INDEX(Inputs!$K$5:$AJ$110,0,MATCH(AA$2,Inputs!$K$4:$AJ$4,0))))+SUMPRODUCT((Inputs!$C$5:$C$110=$B43)*ISNUMBER(INDEX(Inputs!$K$5:$AJ$110,0,MATCH(AA$2,Inputs!$K$4:$AJ$4,0))))+SUMPRODUCT((Inputs!$E$5:$E$110=$B43)*ISNUMBER(INDEX(Inputs!$K$5:$AJ$110,0,MATCH(AA$2,Inputs!$K$4:$AJ$4,0))))=0,NA(),SUMPRODUCT((Inputs!$A$5:$A$110=$B43)*Inputs!$B$5:$B$110*(((Inputs!$G$5:$G$110="moeda")+(Inputs!$G$5:$G$110="acoes"))*Inputs!$B$1+((Inputs!$G$5:$G$110&lt;&gt;"moeda")*(Inputs!$G$5:$G$110&lt;&gt;"acoes")))*INDEX(Inputs!$K$5:$AJ$110,0,MATCH(AA$2,Inputs!$K$4:$AJ$4,0)))+SUMPRODUCT((Inputs!$C$5:$C$110=$B43)*Inputs!$D$5:$D$110*(((Inputs!$G$5:$G$110="moeda")+(Inputs!$G$5:$G$110="acoes"))*Inputs!$B$1+((Inputs!$G$5:$G$110&lt;&gt;"moeda")*(Inputs!$G$5:$G$110&lt;&gt;"acoes")))*INDEX(Inputs!$K$5:$AJ$110,0,MATCH(AA$2,Inputs!$K$4:$AJ$4,0)))+SUMPRODUCT((Inputs!$E$5:$E$110=$B43)*Inputs!$F$5:$F$110*(((Inputs!$G$5:$G$110="moeda")+(Inputs!$G$5:$G$110="acoes"))*Inputs!$B$1+((Inputs!$G$5:$G$110&lt;&gt;"moeda")*(Inputs!$G$5:$G$110&lt;&gt;"acoes")))*INDEX(Inputs!$K$5:$AJ$110,0,MATCH(AA$2,Inputs!$K$4:$AJ$4,0)))))</f>
        <v>8410</v>
      </c>
      <c r="AB43" s="268">
        <f>AA43</f>
        <v>8410</v>
      </c>
      <c r="AC43" s="267">
        <f>IF(ISNA(MATCH(AC$2,Inputs!$K$4:$AJ$4,0)),NA(),IF(SUMPRODUCT((Inputs!$A$5:$A$110=$B43)*ISNUMBER(INDEX(Inputs!$K$5:$AJ$110,0,MATCH(AC$2,Inputs!$K$4:$AJ$4,0))))+SUMPRODUCT((Inputs!$C$5:$C$110=$B43)*ISNUMBER(INDEX(Inputs!$K$5:$AJ$110,0,MATCH(AC$2,Inputs!$K$4:$AJ$4,0))))+SUMPRODUCT((Inputs!$E$5:$E$110=$B43)*ISNUMBER(INDEX(Inputs!$K$5:$AJ$110,0,MATCH(AC$2,Inputs!$K$4:$AJ$4,0))))=0,NA(),SUMPRODUCT((Inputs!$A$5:$A$110=$B43)*Inputs!$B$5:$B$110*(((Inputs!$G$5:$G$110="moeda")+(Inputs!$G$5:$G$110="acoes"))*Inputs!$B$1+((Inputs!$G$5:$G$110&lt;&gt;"moeda")*(Inputs!$G$5:$G$110&lt;&gt;"acoes")))*INDEX(Inputs!$K$5:$AJ$110,0,MATCH(AC$2,Inputs!$K$4:$AJ$4,0)))+SUMPRODUCT((Inputs!$C$5:$C$110=$B43)*Inputs!$D$5:$D$110*(((Inputs!$G$5:$G$110="moeda")+(Inputs!$G$5:$G$110="acoes"))*Inputs!$B$1+((Inputs!$G$5:$G$110&lt;&gt;"moeda")*(Inputs!$G$5:$G$110&lt;&gt;"acoes")))*INDEX(Inputs!$K$5:$AJ$110,0,MATCH(AC$2,Inputs!$K$4:$AJ$4,0)))+SUMPRODUCT((Inputs!$E$5:$E$110=$B43)*Inputs!$F$5:$F$110*(((Inputs!$G$5:$G$110="moeda")+(Inputs!$G$5:$G$110="acoes"))*Inputs!$B$1+((Inputs!$G$5:$G$110&lt;&gt;"moeda")*(Inputs!$G$5:$G$110&lt;&gt;"acoes")))*INDEX(Inputs!$K$5:$AJ$110,0,MATCH(AC$2,Inputs!$K$4:$AJ$4,0)))))</f>
        <v>8572</v>
      </c>
      <c r="AD43" s="267">
        <f>IF(ISNA(MATCH(AD$2,Inputs!$K$4:$AJ$4,0)),NA(),IF(SUMPRODUCT((Inputs!$A$5:$A$110=$B43)*ISNUMBER(INDEX(Inputs!$K$5:$AJ$110,0,MATCH(AD$2,Inputs!$K$4:$AJ$4,0))))+SUMPRODUCT((Inputs!$C$5:$C$110=$B43)*ISNUMBER(INDEX(Inputs!$K$5:$AJ$110,0,MATCH(AD$2,Inputs!$K$4:$AJ$4,0))))+SUMPRODUCT((Inputs!$E$5:$E$110=$B43)*ISNUMBER(INDEX(Inputs!$K$5:$AJ$110,0,MATCH(AD$2,Inputs!$K$4:$AJ$4,0))))=0,NA(),SUMPRODUCT((Inputs!$A$5:$A$110=$B43)*Inputs!$B$5:$B$110*(((Inputs!$G$5:$G$110="moeda")+(Inputs!$G$5:$G$110="acoes"))*Inputs!$B$1+((Inputs!$G$5:$G$110&lt;&gt;"moeda")*(Inputs!$G$5:$G$110&lt;&gt;"acoes")))*INDEX(Inputs!$K$5:$AJ$110,0,MATCH(AD$2,Inputs!$K$4:$AJ$4,0)))+SUMPRODUCT((Inputs!$C$5:$C$110=$B43)*Inputs!$D$5:$D$110*(((Inputs!$G$5:$G$110="moeda")+(Inputs!$G$5:$G$110="acoes"))*Inputs!$B$1+((Inputs!$G$5:$G$110&lt;&gt;"moeda")*(Inputs!$G$5:$G$110&lt;&gt;"acoes")))*INDEX(Inputs!$K$5:$AJ$110,0,MATCH(AD$2,Inputs!$K$4:$AJ$4,0)))+SUMPRODUCT((Inputs!$E$5:$E$110=$B43)*Inputs!$F$5:$F$110*(((Inputs!$G$5:$G$110="moeda")+(Inputs!$G$5:$G$110="acoes"))*Inputs!$B$1+((Inputs!$G$5:$G$110&lt;&gt;"moeda")*(Inputs!$G$5:$G$110&lt;&gt;"acoes")))*INDEX(Inputs!$K$5:$AJ$110,0,MATCH(AD$2,Inputs!$K$4:$AJ$4,0)))))</f>
        <v>8685</v>
      </c>
      <c r="AE43" s="267" t="e">
        <f>IF(ISNA(MATCH(AE$2,Inputs!$K$4:$AJ$4,0)),NA(),IF(SUMPRODUCT((Inputs!$A$5:$A$110=$B43)*ISNUMBER(INDEX(Inputs!$K$5:$AJ$110,0,MATCH(AE$2,Inputs!$K$4:$AJ$4,0))))+SUMPRODUCT((Inputs!$C$5:$C$110=$B43)*ISNUMBER(INDEX(Inputs!$K$5:$AJ$110,0,MATCH(AE$2,Inputs!$K$4:$AJ$4,0))))+SUMPRODUCT((Inputs!$E$5:$E$110=$B43)*ISNUMBER(INDEX(Inputs!$K$5:$AJ$110,0,MATCH(AE$2,Inputs!$K$4:$AJ$4,0))))=0,NA(),SUMPRODUCT((Inputs!$A$5:$A$110=$B43)*Inputs!$B$5:$B$110*(((Inputs!$G$5:$G$110="moeda")+(Inputs!$G$5:$G$110="acoes"))*Inputs!$B$1+((Inputs!$G$5:$G$110&lt;&gt;"moeda")*(Inputs!$G$5:$G$110&lt;&gt;"acoes")))*INDEX(Inputs!$K$5:$AJ$110,0,MATCH(AE$2,Inputs!$K$4:$AJ$4,0)))+SUMPRODUCT((Inputs!$C$5:$C$110=$B43)*Inputs!$D$5:$D$110*(((Inputs!$G$5:$G$110="moeda")+(Inputs!$G$5:$G$110="acoes"))*Inputs!$B$1+((Inputs!$G$5:$G$110&lt;&gt;"moeda")*(Inputs!$G$5:$G$110&lt;&gt;"acoes")))*INDEX(Inputs!$K$5:$AJ$110,0,MATCH(AE$2,Inputs!$K$4:$AJ$4,0)))+SUMPRODUCT((Inputs!$E$5:$E$110=$B43)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3" s="267" t="e">
        <f>IF(ISNA(MATCH(AF$2,Inputs!$K$4:$AJ$4,0)),NA(),IF(SUMPRODUCT((Inputs!$A$5:$A$110=$B43)*ISNUMBER(INDEX(Inputs!$K$5:$AJ$110,0,MATCH(AF$2,Inputs!$K$4:$AJ$4,0))))+SUMPRODUCT((Inputs!$C$5:$C$110=$B43)*ISNUMBER(INDEX(Inputs!$K$5:$AJ$110,0,MATCH(AF$2,Inputs!$K$4:$AJ$4,0))))+SUMPRODUCT((Inputs!$E$5:$E$110=$B43)*ISNUMBER(INDEX(Inputs!$K$5:$AJ$110,0,MATCH(AF$2,Inputs!$K$4:$AJ$4,0))))=0,NA(),SUMPRODUCT((Inputs!$A$5:$A$110=$B43)*Inputs!$B$5:$B$110*(((Inputs!$G$5:$G$110="moeda")+(Inputs!$G$5:$G$110="acoes"))*Inputs!$B$1+((Inputs!$G$5:$G$110&lt;&gt;"moeda")*(Inputs!$G$5:$G$110&lt;&gt;"acoes")))*INDEX(Inputs!$K$5:$AJ$110,0,MATCH(AF$2,Inputs!$K$4:$AJ$4,0)))+SUMPRODUCT((Inputs!$C$5:$C$110=$B43)*Inputs!$D$5:$D$110*(((Inputs!$G$5:$G$110="moeda")+(Inputs!$G$5:$G$110="acoes"))*Inputs!$B$1+((Inputs!$G$5:$G$110&lt;&gt;"moeda")*(Inputs!$G$5:$G$110&lt;&gt;"acoes")))*INDEX(Inputs!$K$5:$AJ$110,0,MATCH(AF$2,Inputs!$K$4:$AJ$4,0)))+SUMPRODUCT((Inputs!$E$5:$E$110=$B43)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3" s="268" t="e">
        <f>AF43</f>
        <v>#N/A</v>
      </c>
      <c r="AH43" s="267">
        <f>IF(ISNA(MATCH(AH$2,Inputs!$K$4:$AJ$4,0)),NA(),IF(SUMPRODUCT((Inputs!$A$5:$A$110=$B43)*ISNUMBER(INDEX(Inputs!$K$5:$AJ$110,0,MATCH(AH$2,Inputs!$K$4:$AJ$4,0))))+SUMPRODUCT((Inputs!$C$5:$C$110=$B43)*ISNUMBER(INDEX(Inputs!$K$5:$AJ$110,0,MATCH(AH$2,Inputs!$K$4:$AJ$4,0))))+SUMPRODUCT((Inputs!$E$5:$E$110=$B43)*ISNUMBER(INDEX(Inputs!$K$5:$AJ$110,0,MATCH(AH$2,Inputs!$K$4:$AJ$4,0))))=0,NA(),SUMPRODUCT((Inputs!$A$5:$A$110=$B43)*Inputs!$B$5:$B$110*(((Inputs!$G$5:$G$110="moeda")+(Inputs!$G$5:$G$110="acoes"))*Inputs!$B$1+((Inputs!$G$5:$G$110&lt;&gt;"moeda")*(Inputs!$G$5:$G$110&lt;&gt;"acoes")))*INDEX(Inputs!$K$5:$AJ$110,0,MATCH(AH$2,Inputs!$K$4:$AJ$4,0)))+SUMPRODUCT((Inputs!$C$5:$C$110=$B43)*Inputs!$D$5:$D$110*(((Inputs!$G$5:$G$110="moeda")+(Inputs!$G$5:$G$110="acoes"))*Inputs!$B$1+((Inputs!$G$5:$G$110&lt;&gt;"moeda")*(Inputs!$G$5:$G$110&lt;&gt;"acoes")))*INDEX(Inputs!$K$5:$AJ$110,0,MATCH(AH$2,Inputs!$K$4:$AJ$4,0)))+SUMPRODUCT((Inputs!$E$5:$E$110=$B43)*Inputs!$F$5:$F$110*(((Inputs!$G$5:$G$110="moeda")+(Inputs!$G$5:$G$110="acoes"))*Inputs!$B$1+((Inputs!$G$5:$G$110&lt;&gt;"moeda")*(Inputs!$G$5:$G$110&lt;&gt;"acoes")))*INDEX(Inputs!$K$5:$AJ$110,0,MATCH(AH$2,Inputs!$K$4:$AJ$4,0)))))</f>
        <v>6510</v>
      </c>
      <c r="AI43" s="267">
        <f>IF(ISNA(MATCH(AI$2,Inputs!$K$4:$AJ$4,0)),NA(),IF(SUMPRODUCT((Inputs!$A$5:$A$110=$B43)*ISNUMBER(INDEX(Inputs!$K$5:$AJ$110,0,MATCH(AI$2,Inputs!$K$4:$AJ$4,0))))+SUMPRODUCT((Inputs!$C$5:$C$110=$B43)*ISNUMBER(INDEX(Inputs!$K$5:$AJ$110,0,MATCH(AI$2,Inputs!$K$4:$AJ$4,0))))+SUMPRODUCT((Inputs!$E$5:$E$110=$B43)*ISNUMBER(INDEX(Inputs!$K$5:$AJ$110,0,MATCH(AI$2,Inputs!$K$4:$AJ$4,0))))=0,NA(),SUMPRODUCT((Inputs!$A$5:$A$110=$B43)*Inputs!$B$5:$B$110*(((Inputs!$G$5:$G$110="moeda")+(Inputs!$G$5:$G$110="acoes"))*Inputs!$B$1+((Inputs!$G$5:$G$110&lt;&gt;"moeda")*(Inputs!$G$5:$G$110&lt;&gt;"acoes")))*INDEX(Inputs!$K$5:$AJ$110,0,MATCH(AI$2,Inputs!$K$4:$AJ$4,0)))+SUMPRODUCT((Inputs!$C$5:$C$110=$B43)*Inputs!$D$5:$D$110*(((Inputs!$G$5:$G$110="moeda")+(Inputs!$G$5:$G$110="acoes"))*Inputs!$B$1+((Inputs!$G$5:$G$110&lt;&gt;"moeda")*(Inputs!$G$5:$G$110&lt;&gt;"acoes")))*INDEX(Inputs!$K$5:$AJ$110,0,MATCH(AI$2,Inputs!$K$4:$AJ$4,0)))+SUMPRODUCT((Inputs!$E$5:$E$110=$B43)*Inputs!$F$5:$F$110*(((Inputs!$G$5:$G$110="moeda")+(Inputs!$G$5:$G$110="acoes"))*Inputs!$B$1+((Inputs!$G$5:$G$110&lt;&gt;"moeda")*(Inputs!$G$5:$G$110&lt;&gt;"acoes")))*INDEX(Inputs!$K$5:$AJ$110,0,MATCH(AI$2,Inputs!$K$4:$AJ$4,0)))))</f>
        <v>6597</v>
      </c>
      <c r="AJ43" s="267">
        <f>IF(ISNA(MATCH(AJ$2,Inputs!$K$4:$AJ$4,0)),NA(),IF(SUMPRODUCT((Inputs!$A$5:$A$110=$B43)*ISNUMBER(INDEX(Inputs!$K$5:$AJ$110,0,MATCH(AJ$2,Inputs!$K$4:$AJ$4,0))))+SUMPRODUCT((Inputs!$C$5:$C$110=$B43)*ISNUMBER(INDEX(Inputs!$K$5:$AJ$110,0,MATCH(AJ$2,Inputs!$K$4:$AJ$4,0))))+SUMPRODUCT((Inputs!$E$5:$E$110=$B43)*ISNUMBER(INDEX(Inputs!$K$5:$AJ$110,0,MATCH(AJ$2,Inputs!$K$4:$AJ$4,0))))=0,NA(),SUMPRODUCT((Inputs!$A$5:$A$110=$B43)*Inputs!$B$5:$B$110*(((Inputs!$G$5:$G$110="moeda")+(Inputs!$G$5:$G$110="acoes"))*Inputs!$B$1+((Inputs!$G$5:$G$110&lt;&gt;"moeda")*(Inputs!$G$5:$G$110&lt;&gt;"acoes")))*INDEX(Inputs!$K$5:$AJ$110,0,MATCH(AJ$2,Inputs!$K$4:$AJ$4,0)))+SUMPRODUCT((Inputs!$C$5:$C$110=$B43)*Inputs!$D$5:$D$110*(((Inputs!$G$5:$G$110="moeda")+(Inputs!$G$5:$G$110="acoes"))*Inputs!$B$1+((Inputs!$G$5:$G$110&lt;&gt;"moeda")*(Inputs!$G$5:$G$110&lt;&gt;"acoes")))*INDEX(Inputs!$K$5:$AJ$110,0,MATCH(AJ$2,Inputs!$K$4:$AJ$4,0)))+SUMPRODUCT((Inputs!$E$5:$E$110=$B43)*Inputs!$F$5:$F$110*(((Inputs!$G$5:$G$110="moeda")+(Inputs!$G$5:$G$110="acoes"))*Inputs!$B$1+((Inputs!$G$5:$G$110&lt;&gt;"moeda")*(Inputs!$G$5:$G$110&lt;&gt;"acoes")))*INDEX(Inputs!$K$5:$AJ$110,0,MATCH(AJ$2,Inputs!$K$4:$AJ$4,0)))))</f>
        <v>6702</v>
      </c>
      <c r="AK43" s="267">
        <f>IF(ISNA(MATCH(AK$2,Inputs!$K$4:$AJ$4,0)),NA(),IF(SUMPRODUCT((Inputs!$A$5:$A$110=$B43)*ISNUMBER(INDEX(Inputs!$K$5:$AJ$110,0,MATCH(AK$2,Inputs!$K$4:$AJ$4,0))))+SUMPRODUCT((Inputs!$C$5:$C$110=$B43)*ISNUMBER(INDEX(Inputs!$K$5:$AJ$110,0,MATCH(AK$2,Inputs!$K$4:$AJ$4,0))))+SUMPRODUCT((Inputs!$E$5:$E$110=$B43)*ISNUMBER(INDEX(Inputs!$K$5:$AJ$110,0,MATCH(AK$2,Inputs!$K$4:$AJ$4,0))))=0,NA(),SUMPRODUCT((Inputs!$A$5:$A$110=$B43)*Inputs!$B$5:$B$110*(((Inputs!$G$5:$G$110="moeda")+(Inputs!$G$5:$G$110="acoes"))*Inputs!$B$1+((Inputs!$G$5:$G$110&lt;&gt;"moeda")*(Inputs!$G$5:$G$110&lt;&gt;"acoes")))*INDEX(Inputs!$K$5:$AJ$110,0,MATCH(AK$2,Inputs!$K$4:$AJ$4,0)))+SUMPRODUCT((Inputs!$C$5:$C$110=$B43)*Inputs!$D$5:$D$110*(((Inputs!$G$5:$G$110="moeda")+(Inputs!$G$5:$G$110="acoes"))*Inputs!$B$1+((Inputs!$G$5:$G$110&lt;&gt;"moeda")*(Inputs!$G$5:$G$110&lt;&gt;"acoes")))*INDEX(Inputs!$K$5:$AJ$110,0,MATCH(AK$2,Inputs!$K$4:$AJ$4,0)))+SUMPRODUCT((Inputs!$E$5:$E$110=$B43)*Inputs!$F$5:$F$110*(((Inputs!$G$5:$G$110="moeda")+(Inputs!$G$5:$G$110="acoes"))*Inputs!$B$1+((Inputs!$G$5:$G$110&lt;&gt;"moeda")*(Inputs!$G$5:$G$110&lt;&gt;"acoes")))*INDEX(Inputs!$K$5:$AJ$110,0,MATCH(AK$2,Inputs!$K$4:$AJ$4,0)))))</f>
        <v>6729</v>
      </c>
      <c r="AL43" s="268">
        <f>AK43</f>
        <v>6729</v>
      </c>
    </row>
    <row r="44" ht="12.75" customHeight="1" s="255">
      <c r="B44" s="265" t="n">
        <v>38</v>
      </c>
      <c r="C44" s="270" t="inlineStr">
        <is>
          <t>Treasury stock (contra account)</t>
        </is>
      </c>
      <c r="D44" s="267">
        <f>IF(ISNA(MATCH(D$2,Inputs!$K$4:$AJ$4,0)),NA(),IF(SUMPRODUCT((Inputs!$A$5:$A$110=$B44)*ISNUMBER(INDEX(Inputs!$K$5:$AJ$110,0,MATCH(D$2,Inputs!$K$4:$AJ$4,0))))+SUMPRODUCT((Inputs!$C$5:$C$110=$B44)*ISNUMBER(INDEX(Inputs!$K$5:$AJ$110,0,MATCH(D$2,Inputs!$K$4:$AJ$4,0))))+SUMPRODUCT((Inputs!$E$5:$E$110=$B44)*ISNUMBER(INDEX(Inputs!$K$5:$AJ$110,0,MATCH(D$2,Inputs!$K$4:$AJ$4,0))))=0,NA(),SUMPRODUCT((Inputs!$A$5:$A$110=$B44)*Inputs!$B$5:$B$110*(((Inputs!$G$5:$G$110="moeda")+(Inputs!$G$5:$G$110="acoes"))*Inputs!$B$1+((Inputs!$G$5:$G$110&lt;&gt;"moeda")*(Inputs!$G$5:$G$110&lt;&gt;"acoes")))*INDEX(Inputs!$K$5:$AJ$110,0,MATCH(D$2,Inputs!$K$4:$AJ$4,0)))+SUMPRODUCT((Inputs!$C$5:$C$110=$B44)*Inputs!$D$5:$D$110*(((Inputs!$G$5:$G$110="moeda")+(Inputs!$G$5:$G$110="acoes"))*Inputs!$B$1+((Inputs!$G$5:$G$110&lt;&gt;"moeda")*(Inputs!$G$5:$G$110&lt;&gt;"acoes")))*INDEX(Inputs!$K$5:$AJ$110,0,MATCH(D$2,Inputs!$K$4:$AJ$4,0)))+SUMPRODUCT((Inputs!$E$5:$E$110=$B44)*Inputs!$F$5:$F$110*(((Inputs!$G$5:$G$110="moeda")+(Inputs!$G$5:$G$110="acoes"))*Inputs!$B$1+((Inputs!$G$5:$G$110&lt;&gt;"moeda")*(Inputs!$G$5:$G$110&lt;&gt;"acoes")))*INDEX(Inputs!$K$5:$AJ$110,0,MATCH(D$2,Inputs!$K$4:$AJ$4,0)))))</f>
        <v>0</v>
      </c>
      <c r="E44" s="267">
        <f>IF(ISNA(MATCH(E$2,Inputs!$K$4:$AJ$4,0)),NA(),IF(SUMPRODUCT((Inputs!$A$5:$A$110=$B44)*ISNUMBER(INDEX(Inputs!$K$5:$AJ$110,0,MATCH(E$2,Inputs!$K$4:$AJ$4,0))))+SUMPRODUCT((Inputs!$C$5:$C$110=$B44)*ISNUMBER(INDEX(Inputs!$K$5:$AJ$110,0,MATCH(E$2,Inputs!$K$4:$AJ$4,0))))+SUMPRODUCT((Inputs!$E$5:$E$110=$B44)*ISNUMBER(INDEX(Inputs!$K$5:$AJ$110,0,MATCH(E$2,Inputs!$K$4:$AJ$4,0))))=0,NA(),SUMPRODUCT((Inputs!$A$5:$A$110=$B44)*Inputs!$B$5:$B$110*(((Inputs!$G$5:$G$110="moeda")+(Inputs!$G$5:$G$110="acoes"))*Inputs!$B$1+((Inputs!$G$5:$G$110&lt;&gt;"moeda")*(Inputs!$G$5:$G$110&lt;&gt;"acoes")))*INDEX(Inputs!$K$5:$AJ$110,0,MATCH(E$2,Inputs!$K$4:$AJ$4,0)))+SUMPRODUCT((Inputs!$C$5:$C$110=$B44)*Inputs!$D$5:$D$110*(((Inputs!$G$5:$G$110="moeda")+(Inputs!$G$5:$G$110="acoes"))*Inputs!$B$1+((Inputs!$G$5:$G$110&lt;&gt;"moeda")*(Inputs!$G$5:$G$110&lt;&gt;"acoes")))*INDEX(Inputs!$K$5:$AJ$110,0,MATCH(E$2,Inputs!$K$4:$AJ$4,0)))+SUMPRODUCT((Inputs!$E$5:$E$110=$B44)*Inputs!$F$5:$F$110*(((Inputs!$G$5:$G$110="moeda")+(Inputs!$G$5:$G$110="acoes"))*Inputs!$B$1+((Inputs!$G$5:$G$110&lt;&gt;"moeda")*(Inputs!$G$5:$G$110&lt;&gt;"acoes")))*INDEX(Inputs!$K$5:$AJ$110,0,MATCH(E$2,Inputs!$K$4:$AJ$4,0)))))</f>
        <v>0</v>
      </c>
      <c r="F44" s="267">
        <f>IF(ISNA(MATCH(F$2,Inputs!$K$4:$AJ$4,0)),NA(),IF(SUMPRODUCT((Inputs!$A$5:$A$110=$B44)*ISNUMBER(INDEX(Inputs!$K$5:$AJ$110,0,MATCH(F$2,Inputs!$K$4:$AJ$4,0))))+SUMPRODUCT((Inputs!$C$5:$C$110=$B44)*ISNUMBER(INDEX(Inputs!$K$5:$AJ$110,0,MATCH(F$2,Inputs!$K$4:$AJ$4,0))))+SUMPRODUCT((Inputs!$E$5:$E$110=$B44)*ISNUMBER(INDEX(Inputs!$K$5:$AJ$110,0,MATCH(F$2,Inputs!$K$4:$AJ$4,0))))=0,NA(),SUMPRODUCT((Inputs!$A$5:$A$110=$B44)*Inputs!$B$5:$B$110*(((Inputs!$G$5:$G$110="moeda")+(Inputs!$G$5:$G$110="acoes"))*Inputs!$B$1+((Inputs!$G$5:$G$110&lt;&gt;"moeda")*(Inputs!$G$5:$G$110&lt;&gt;"acoes")))*INDEX(Inputs!$K$5:$AJ$110,0,MATCH(F$2,Inputs!$K$4:$AJ$4,0)))+SUMPRODUCT((Inputs!$C$5:$C$110=$B44)*Inputs!$D$5:$D$110*(((Inputs!$G$5:$G$110="moeda")+(Inputs!$G$5:$G$110="acoes"))*Inputs!$B$1+((Inputs!$G$5:$G$110&lt;&gt;"moeda")*(Inputs!$G$5:$G$110&lt;&gt;"acoes")))*INDEX(Inputs!$K$5:$AJ$110,0,MATCH(F$2,Inputs!$K$4:$AJ$4,0)))+SUMPRODUCT((Inputs!$E$5:$E$110=$B44)*Inputs!$F$5:$F$110*(((Inputs!$G$5:$G$110="moeda")+(Inputs!$G$5:$G$110="acoes"))*Inputs!$B$1+((Inputs!$G$5:$G$110&lt;&gt;"moeda")*(Inputs!$G$5:$G$110&lt;&gt;"acoes")))*INDEX(Inputs!$K$5:$AJ$110,0,MATCH(F$2,Inputs!$K$4:$AJ$4,0)))))</f>
        <v>0</v>
      </c>
      <c r="G44" s="267">
        <f>IF(ISNA(MATCH(G$2,Inputs!$K$4:$AJ$4,0)),NA(),IF(SUMPRODUCT((Inputs!$A$5:$A$110=$B44)*ISNUMBER(INDEX(Inputs!$K$5:$AJ$110,0,MATCH(G$2,Inputs!$K$4:$AJ$4,0))))+SUMPRODUCT((Inputs!$C$5:$C$110=$B44)*ISNUMBER(INDEX(Inputs!$K$5:$AJ$110,0,MATCH(G$2,Inputs!$K$4:$AJ$4,0))))+SUMPRODUCT((Inputs!$E$5:$E$110=$B44)*ISNUMBER(INDEX(Inputs!$K$5:$AJ$110,0,MATCH(G$2,Inputs!$K$4:$AJ$4,0))))=0,NA(),SUMPRODUCT((Inputs!$A$5:$A$110=$B44)*Inputs!$B$5:$B$110*(((Inputs!$G$5:$G$110="moeda")+(Inputs!$G$5:$G$110="acoes"))*Inputs!$B$1+((Inputs!$G$5:$G$110&lt;&gt;"moeda")*(Inputs!$G$5:$G$110&lt;&gt;"acoes")))*INDEX(Inputs!$K$5:$AJ$110,0,MATCH(G$2,Inputs!$K$4:$AJ$4,0)))+SUMPRODUCT((Inputs!$C$5:$C$110=$B44)*Inputs!$D$5:$D$110*(((Inputs!$G$5:$G$110="moeda")+(Inputs!$G$5:$G$110="acoes"))*Inputs!$B$1+((Inputs!$G$5:$G$110&lt;&gt;"moeda")*(Inputs!$G$5:$G$110&lt;&gt;"acoes")))*INDEX(Inputs!$K$5:$AJ$110,0,MATCH(G$2,Inputs!$K$4:$AJ$4,0)))+SUMPRODUCT((Inputs!$E$5:$E$110=$B44)*Inputs!$F$5:$F$110*(((Inputs!$G$5:$G$110="moeda")+(Inputs!$G$5:$G$110="acoes"))*Inputs!$B$1+((Inputs!$G$5:$G$110&lt;&gt;"moeda")*(Inputs!$G$5:$G$110&lt;&gt;"acoes")))*INDEX(Inputs!$K$5:$AJ$110,0,MATCH(G$2,Inputs!$K$4:$AJ$4,0)))))</f>
        <v>0</v>
      </c>
      <c r="H44" s="268">
        <f>G44</f>
        <v>0</v>
      </c>
      <c r="I44" s="267">
        <f>IF(ISNA(MATCH(I$2,Inputs!$K$4:$AJ$4,0)),NA(),IF(SUMPRODUCT((Inputs!$A$5:$A$110=$B44)*ISNUMBER(INDEX(Inputs!$K$5:$AJ$110,0,MATCH(I$2,Inputs!$K$4:$AJ$4,0))))+SUMPRODUCT((Inputs!$C$5:$C$110=$B44)*ISNUMBER(INDEX(Inputs!$K$5:$AJ$110,0,MATCH(I$2,Inputs!$K$4:$AJ$4,0))))+SUMPRODUCT((Inputs!$E$5:$E$110=$B44)*ISNUMBER(INDEX(Inputs!$K$5:$AJ$110,0,MATCH(I$2,Inputs!$K$4:$AJ$4,0))))=0,NA(),SUMPRODUCT((Inputs!$A$5:$A$110=$B44)*Inputs!$B$5:$B$110*(((Inputs!$G$5:$G$110="moeda")+(Inputs!$G$5:$G$110="acoes"))*Inputs!$B$1+((Inputs!$G$5:$G$110&lt;&gt;"moeda")*(Inputs!$G$5:$G$110&lt;&gt;"acoes")))*INDEX(Inputs!$K$5:$AJ$110,0,MATCH(I$2,Inputs!$K$4:$AJ$4,0)))+SUMPRODUCT((Inputs!$C$5:$C$110=$B44)*Inputs!$D$5:$D$110*(((Inputs!$G$5:$G$110="moeda")+(Inputs!$G$5:$G$110="acoes"))*Inputs!$B$1+((Inputs!$G$5:$G$110&lt;&gt;"moeda")*(Inputs!$G$5:$G$110&lt;&gt;"acoes")))*INDEX(Inputs!$K$5:$AJ$110,0,MATCH(I$2,Inputs!$K$4:$AJ$4,0)))+SUMPRODUCT((Inputs!$E$5:$E$110=$B44)*Inputs!$F$5:$F$110*(((Inputs!$G$5:$G$110="moeda")+(Inputs!$G$5:$G$110="acoes"))*Inputs!$B$1+((Inputs!$G$5:$G$110&lt;&gt;"moeda")*(Inputs!$G$5:$G$110&lt;&gt;"acoes")))*INDEX(Inputs!$K$5:$AJ$110,0,MATCH(I$2,Inputs!$K$4:$AJ$4,0)))))</f>
        <v>0</v>
      </c>
      <c r="J44" s="267">
        <f>IF(ISNA(MATCH(J$2,Inputs!$K$4:$AJ$4,0)),NA(),IF(SUMPRODUCT((Inputs!$A$5:$A$110=$B44)*ISNUMBER(INDEX(Inputs!$K$5:$AJ$110,0,MATCH(J$2,Inputs!$K$4:$AJ$4,0))))+SUMPRODUCT((Inputs!$C$5:$C$110=$B44)*ISNUMBER(INDEX(Inputs!$K$5:$AJ$110,0,MATCH(J$2,Inputs!$K$4:$AJ$4,0))))+SUMPRODUCT((Inputs!$E$5:$E$110=$B44)*ISNUMBER(INDEX(Inputs!$K$5:$AJ$110,0,MATCH(J$2,Inputs!$K$4:$AJ$4,0))))=0,NA(),SUMPRODUCT((Inputs!$A$5:$A$110=$B44)*Inputs!$B$5:$B$110*(((Inputs!$G$5:$G$110="moeda")+(Inputs!$G$5:$G$110="acoes"))*Inputs!$B$1+((Inputs!$G$5:$G$110&lt;&gt;"moeda")*(Inputs!$G$5:$G$110&lt;&gt;"acoes")))*INDEX(Inputs!$K$5:$AJ$110,0,MATCH(J$2,Inputs!$K$4:$AJ$4,0)))+SUMPRODUCT((Inputs!$C$5:$C$110=$B44)*Inputs!$D$5:$D$110*(((Inputs!$G$5:$G$110="moeda")+(Inputs!$G$5:$G$110="acoes"))*Inputs!$B$1+((Inputs!$G$5:$G$110&lt;&gt;"moeda")*(Inputs!$G$5:$G$110&lt;&gt;"acoes")))*INDEX(Inputs!$K$5:$AJ$110,0,MATCH(J$2,Inputs!$K$4:$AJ$4,0)))+SUMPRODUCT((Inputs!$E$5:$E$110=$B44)*Inputs!$F$5:$F$110*(((Inputs!$G$5:$G$110="moeda")+(Inputs!$G$5:$G$110="acoes"))*Inputs!$B$1+((Inputs!$G$5:$G$110&lt;&gt;"moeda")*(Inputs!$G$5:$G$110&lt;&gt;"acoes")))*INDEX(Inputs!$K$5:$AJ$110,0,MATCH(J$2,Inputs!$K$4:$AJ$4,0)))))</f>
        <v>0</v>
      </c>
      <c r="K44" s="267">
        <f>IF(ISNA(MATCH(K$2,Inputs!$K$4:$AJ$4,0)),NA(),IF(SUMPRODUCT((Inputs!$A$5:$A$110=$B44)*ISNUMBER(INDEX(Inputs!$K$5:$AJ$110,0,MATCH(K$2,Inputs!$K$4:$AJ$4,0))))+SUMPRODUCT((Inputs!$C$5:$C$110=$B44)*ISNUMBER(INDEX(Inputs!$K$5:$AJ$110,0,MATCH(K$2,Inputs!$K$4:$AJ$4,0))))+SUMPRODUCT((Inputs!$E$5:$E$110=$B44)*ISNUMBER(INDEX(Inputs!$K$5:$AJ$110,0,MATCH(K$2,Inputs!$K$4:$AJ$4,0))))=0,NA(),SUMPRODUCT((Inputs!$A$5:$A$110=$B44)*Inputs!$B$5:$B$110*(((Inputs!$G$5:$G$110="moeda")+(Inputs!$G$5:$G$110="acoes"))*Inputs!$B$1+((Inputs!$G$5:$G$110&lt;&gt;"moeda")*(Inputs!$G$5:$G$110&lt;&gt;"acoes")))*INDEX(Inputs!$K$5:$AJ$110,0,MATCH(K$2,Inputs!$K$4:$AJ$4,0)))+SUMPRODUCT((Inputs!$C$5:$C$110=$B44)*Inputs!$D$5:$D$110*(((Inputs!$G$5:$G$110="moeda")+(Inputs!$G$5:$G$110="acoes"))*Inputs!$B$1+((Inputs!$G$5:$G$110&lt;&gt;"moeda")*(Inputs!$G$5:$G$110&lt;&gt;"acoes")))*INDEX(Inputs!$K$5:$AJ$110,0,MATCH(K$2,Inputs!$K$4:$AJ$4,0)))+SUMPRODUCT((Inputs!$E$5:$E$110=$B44)*Inputs!$F$5:$F$110*(((Inputs!$G$5:$G$110="moeda")+(Inputs!$G$5:$G$110="acoes"))*Inputs!$B$1+((Inputs!$G$5:$G$110&lt;&gt;"moeda")*(Inputs!$G$5:$G$110&lt;&gt;"acoes")))*INDEX(Inputs!$K$5:$AJ$110,0,MATCH(K$2,Inputs!$K$4:$AJ$4,0)))))</f>
        <v>0</v>
      </c>
      <c r="L44" s="267">
        <f>IF(ISNA(MATCH(L$2,Inputs!$K$4:$AJ$4,0)),NA(),IF(SUMPRODUCT((Inputs!$A$5:$A$110=$B44)*ISNUMBER(INDEX(Inputs!$K$5:$AJ$110,0,MATCH(L$2,Inputs!$K$4:$AJ$4,0))))+SUMPRODUCT((Inputs!$C$5:$C$110=$B44)*ISNUMBER(INDEX(Inputs!$K$5:$AJ$110,0,MATCH(L$2,Inputs!$K$4:$AJ$4,0))))+SUMPRODUCT((Inputs!$E$5:$E$110=$B44)*ISNUMBER(INDEX(Inputs!$K$5:$AJ$110,0,MATCH(L$2,Inputs!$K$4:$AJ$4,0))))=0,NA(),SUMPRODUCT((Inputs!$A$5:$A$110=$B44)*Inputs!$B$5:$B$110*(((Inputs!$G$5:$G$110="moeda")+(Inputs!$G$5:$G$110="acoes"))*Inputs!$B$1+((Inputs!$G$5:$G$110&lt;&gt;"moeda")*(Inputs!$G$5:$G$110&lt;&gt;"acoes")))*INDEX(Inputs!$K$5:$AJ$110,0,MATCH(L$2,Inputs!$K$4:$AJ$4,0)))+SUMPRODUCT((Inputs!$C$5:$C$110=$B44)*Inputs!$D$5:$D$110*(((Inputs!$G$5:$G$110="moeda")+(Inputs!$G$5:$G$110="acoes"))*Inputs!$B$1+((Inputs!$G$5:$G$110&lt;&gt;"moeda")*(Inputs!$G$5:$G$110&lt;&gt;"acoes")))*INDEX(Inputs!$K$5:$AJ$110,0,MATCH(L$2,Inputs!$K$4:$AJ$4,0)))+SUMPRODUCT((Inputs!$E$5:$E$110=$B44)*Inputs!$F$5:$F$110*(((Inputs!$G$5:$G$110="moeda")+(Inputs!$G$5:$G$110="acoes"))*Inputs!$B$1+((Inputs!$G$5:$G$110&lt;&gt;"moeda")*(Inputs!$G$5:$G$110&lt;&gt;"acoes")))*INDEX(Inputs!$K$5:$AJ$110,0,MATCH(L$2,Inputs!$K$4:$AJ$4,0)))))</f>
        <v>0</v>
      </c>
      <c r="M44" s="268">
        <f>L44</f>
        <v>0</v>
      </c>
      <c r="N44" s="267">
        <f>IF(ISNA(MATCH(N$2,Inputs!$K$4:$AJ$4,0)),NA(),IF(SUMPRODUCT((Inputs!$A$5:$A$110=$B44)*ISNUMBER(INDEX(Inputs!$K$5:$AJ$110,0,MATCH(N$2,Inputs!$K$4:$AJ$4,0))))+SUMPRODUCT((Inputs!$C$5:$C$110=$B44)*ISNUMBER(INDEX(Inputs!$K$5:$AJ$110,0,MATCH(N$2,Inputs!$K$4:$AJ$4,0))))+SUMPRODUCT((Inputs!$E$5:$E$110=$B44)*ISNUMBER(INDEX(Inputs!$K$5:$AJ$110,0,MATCH(N$2,Inputs!$K$4:$AJ$4,0))))=0,NA(),SUMPRODUCT((Inputs!$A$5:$A$110=$B44)*Inputs!$B$5:$B$110*(((Inputs!$G$5:$G$110="moeda")+(Inputs!$G$5:$G$110="acoes"))*Inputs!$B$1+((Inputs!$G$5:$G$110&lt;&gt;"moeda")*(Inputs!$G$5:$G$110&lt;&gt;"acoes")))*INDEX(Inputs!$K$5:$AJ$110,0,MATCH(N$2,Inputs!$K$4:$AJ$4,0)))+SUMPRODUCT((Inputs!$C$5:$C$110=$B44)*Inputs!$D$5:$D$110*(((Inputs!$G$5:$G$110="moeda")+(Inputs!$G$5:$G$110="acoes"))*Inputs!$B$1+((Inputs!$G$5:$G$110&lt;&gt;"moeda")*(Inputs!$G$5:$G$110&lt;&gt;"acoes")))*INDEX(Inputs!$K$5:$AJ$110,0,MATCH(N$2,Inputs!$K$4:$AJ$4,0)))+SUMPRODUCT((Inputs!$E$5:$E$110=$B44)*Inputs!$F$5:$F$110*(((Inputs!$G$5:$G$110="moeda")+(Inputs!$G$5:$G$110="acoes"))*Inputs!$B$1+((Inputs!$G$5:$G$110&lt;&gt;"moeda")*(Inputs!$G$5:$G$110&lt;&gt;"acoes")))*INDEX(Inputs!$K$5:$AJ$110,0,MATCH(N$2,Inputs!$K$4:$AJ$4,0)))))</f>
        <v>0</v>
      </c>
      <c r="O44" s="267">
        <f>IF(ISNA(MATCH(O$2,Inputs!$K$4:$AJ$4,0)),NA(),IF(SUMPRODUCT((Inputs!$A$5:$A$110=$B44)*ISNUMBER(INDEX(Inputs!$K$5:$AJ$110,0,MATCH(O$2,Inputs!$K$4:$AJ$4,0))))+SUMPRODUCT((Inputs!$C$5:$C$110=$B44)*ISNUMBER(INDEX(Inputs!$K$5:$AJ$110,0,MATCH(O$2,Inputs!$K$4:$AJ$4,0))))+SUMPRODUCT((Inputs!$E$5:$E$110=$B44)*ISNUMBER(INDEX(Inputs!$K$5:$AJ$110,0,MATCH(O$2,Inputs!$K$4:$AJ$4,0))))=0,NA(),SUMPRODUCT((Inputs!$A$5:$A$110=$B44)*Inputs!$B$5:$B$110*(((Inputs!$G$5:$G$110="moeda")+(Inputs!$G$5:$G$110="acoes"))*Inputs!$B$1+((Inputs!$G$5:$G$110&lt;&gt;"moeda")*(Inputs!$G$5:$G$110&lt;&gt;"acoes")))*INDEX(Inputs!$K$5:$AJ$110,0,MATCH(O$2,Inputs!$K$4:$AJ$4,0)))+SUMPRODUCT((Inputs!$C$5:$C$110=$B44)*Inputs!$D$5:$D$110*(((Inputs!$G$5:$G$110="moeda")+(Inputs!$G$5:$G$110="acoes"))*Inputs!$B$1+((Inputs!$G$5:$G$110&lt;&gt;"moeda")*(Inputs!$G$5:$G$110&lt;&gt;"acoes")))*INDEX(Inputs!$K$5:$AJ$110,0,MATCH(O$2,Inputs!$K$4:$AJ$4,0)))+SUMPRODUCT((Inputs!$E$5:$E$110=$B44)*Inputs!$F$5:$F$110*(((Inputs!$G$5:$G$110="moeda")+(Inputs!$G$5:$G$110="acoes"))*Inputs!$B$1+((Inputs!$G$5:$G$110&lt;&gt;"moeda")*(Inputs!$G$5:$G$110&lt;&gt;"acoes")))*INDEX(Inputs!$K$5:$AJ$110,0,MATCH(O$2,Inputs!$K$4:$AJ$4,0)))))</f>
        <v>0</v>
      </c>
      <c r="P44" s="267">
        <f>IF(ISNA(MATCH(P$2,Inputs!$K$4:$AJ$4,0)),NA(),IF(SUMPRODUCT((Inputs!$A$5:$A$110=$B44)*ISNUMBER(INDEX(Inputs!$K$5:$AJ$110,0,MATCH(P$2,Inputs!$K$4:$AJ$4,0))))+SUMPRODUCT((Inputs!$C$5:$C$110=$B44)*ISNUMBER(INDEX(Inputs!$K$5:$AJ$110,0,MATCH(P$2,Inputs!$K$4:$AJ$4,0))))+SUMPRODUCT((Inputs!$E$5:$E$110=$B44)*ISNUMBER(INDEX(Inputs!$K$5:$AJ$110,0,MATCH(P$2,Inputs!$K$4:$AJ$4,0))))=0,NA(),SUMPRODUCT((Inputs!$A$5:$A$110=$B44)*Inputs!$B$5:$B$110*(((Inputs!$G$5:$G$110="moeda")+(Inputs!$G$5:$G$110="acoes"))*Inputs!$B$1+((Inputs!$G$5:$G$110&lt;&gt;"moeda")*(Inputs!$G$5:$G$110&lt;&gt;"acoes")))*INDEX(Inputs!$K$5:$AJ$110,0,MATCH(P$2,Inputs!$K$4:$AJ$4,0)))+SUMPRODUCT((Inputs!$C$5:$C$110=$B44)*Inputs!$D$5:$D$110*(((Inputs!$G$5:$G$110="moeda")+(Inputs!$G$5:$G$110="acoes"))*Inputs!$B$1+((Inputs!$G$5:$G$110&lt;&gt;"moeda")*(Inputs!$G$5:$G$110&lt;&gt;"acoes")))*INDEX(Inputs!$K$5:$AJ$110,0,MATCH(P$2,Inputs!$K$4:$AJ$4,0)))+SUMPRODUCT((Inputs!$E$5:$E$110=$B44)*Inputs!$F$5:$F$110*(((Inputs!$G$5:$G$110="moeda")+(Inputs!$G$5:$G$110="acoes"))*Inputs!$B$1+((Inputs!$G$5:$G$110&lt;&gt;"moeda")*(Inputs!$G$5:$G$110&lt;&gt;"acoes")))*INDEX(Inputs!$K$5:$AJ$110,0,MATCH(P$2,Inputs!$K$4:$AJ$4,0)))))</f>
        <v>0</v>
      </c>
      <c r="Q44" s="267">
        <f>IF(ISNA(MATCH(Q$2,Inputs!$K$4:$AJ$4,0)),NA(),IF(SUMPRODUCT((Inputs!$A$5:$A$110=$B44)*ISNUMBER(INDEX(Inputs!$K$5:$AJ$110,0,MATCH(Q$2,Inputs!$K$4:$AJ$4,0))))+SUMPRODUCT((Inputs!$C$5:$C$110=$B44)*ISNUMBER(INDEX(Inputs!$K$5:$AJ$110,0,MATCH(Q$2,Inputs!$K$4:$AJ$4,0))))+SUMPRODUCT((Inputs!$E$5:$E$110=$B44)*ISNUMBER(INDEX(Inputs!$K$5:$AJ$110,0,MATCH(Q$2,Inputs!$K$4:$AJ$4,0))))=0,NA(),SUMPRODUCT((Inputs!$A$5:$A$110=$B44)*Inputs!$B$5:$B$110*(((Inputs!$G$5:$G$110="moeda")+(Inputs!$G$5:$G$110="acoes"))*Inputs!$B$1+((Inputs!$G$5:$G$110&lt;&gt;"moeda")*(Inputs!$G$5:$G$110&lt;&gt;"acoes")))*INDEX(Inputs!$K$5:$AJ$110,0,MATCH(Q$2,Inputs!$K$4:$AJ$4,0)))+SUMPRODUCT((Inputs!$C$5:$C$110=$B44)*Inputs!$D$5:$D$110*(((Inputs!$G$5:$G$110="moeda")+(Inputs!$G$5:$G$110="acoes"))*Inputs!$B$1+((Inputs!$G$5:$G$110&lt;&gt;"moeda")*(Inputs!$G$5:$G$110&lt;&gt;"acoes")))*INDEX(Inputs!$K$5:$AJ$110,0,MATCH(Q$2,Inputs!$K$4:$AJ$4,0)))+SUMPRODUCT((Inputs!$E$5:$E$110=$B44)*Inputs!$F$5:$F$110*(((Inputs!$G$5:$G$110="moeda")+(Inputs!$G$5:$G$110="acoes"))*Inputs!$B$1+((Inputs!$G$5:$G$110&lt;&gt;"moeda")*(Inputs!$G$5:$G$110&lt;&gt;"acoes")))*INDEX(Inputs!$K$5:$AJ$110,0,MATCH(Q$2,Inputs!$K$4:$AJ$4,0)))))</f>
        <v>0</v>
      </c>
      <c r="R44" s="268">
        <f>Q44</f>
        <v>0</v>
      </c>
      <c r="S44" s="267">
        <f>IF(ISNA(MATCH(S$2,Inputs!$K$4:$AJ$4,0)),NA(),IF(SUMPRODUCT((Inputs!$A$5:$A$110=$B44)*ISNUMBER(INDEX(Inputs!$K$5:$AJ$110,0,MATCH(S$2,Inputs!$K$4:$AJ$4,0))))+SUMPRODUCT((Inputs!$C$5:$C$110=$B44)*ISNUMBER(INDEX(Inputs!$K$5:$AJ$110,0,MATCH(S$2,Inputs!$K$4:$AJ$4,0))))+SUMPRODUCT((Inputs!$E$5:$E$110=$B44)*ISNUMBER(INDEX(Inputs!$K$5:$AJ$110,0,MATCH(S$2,Inputs!$K$4:$AJ$4,0))))=0,NA(),SUMPRODUCT((Inputs!$A$5:$A$110=$B44)*Inputs!$B$5:$B$110*(((Inputs!$G$5:$G$110="moeda")+(Inputs!$G$5:$G$110="acoes"))*Inputs!$B$1+((Inputs!$G$5:$G$110&lt;&gt;"moeda")*(Inputs!$G$5:$G$110&lt;&gt;"acoes")))*INDEX(Inputs!$K$5:$AJ$110,0,MATCH(S$2,Inputs!$K$4:$AJ$4,0)))+SUMPRODUCT((Inputs!$C$5:$C$110=$B44)*Inputs!$D$5:$D$110*(((Inputs!$G$5:$G$110="moeda")+(Inputs!$G$5:$G$110="acoes"))*Inputs!$B$1+((Inputs!$G$5:$G$110&lt;&gt;"moeda")*(Inputs!$G$5:$G$110&lt;&gt;"acoes")))*INDEX(Inputs!$K$5:$AJ$110,0,MATCH(S$2,Inputs!$K$4:$AJ$4,0)))+SUMPRODUCT((Inputs!$E$5:$E$110=$B44)*Inputs!$F$5:$F$110*(((Inputs!$G$5:$G$110="moeda")+(Inputs!$G$5:$G$110="acoes"))*Inputs!$B$1+((Inputs!$G$5:$G$110&lt;&gt;"moeda")*(Inputs!$G$5:$G$110&lt;&gt;"acoes")))*INDEX(Inputs!$K$5:$AJ$110,0,MATCH(S$2,Inputs!$K$4:$AJ$4,0)))))</f>
        <v>0</v>
      </c>
      <c r="T44" s="267">
        <f>IF(ISNA(MATCH(T$2,Inputs!$K$4:$AJ$4,0)),NA(),IF(SUMPRODUCT((Inputs!$A$5:$A$110=$B44)*ISNUMBER(INDEX(Inputs!$K$5:$AJ$110,0,MATCH(T$2,Inputs!$K$4:$AJ$4,0))))+SUMPRODUCT((Inputs!$C$5:$C$110=$B44)*ISNUMBER(INDEX(Inputs!$K$5:$AJ$110,0,MATCH(T$2,Inputs!$K$4:$AJ$4,0))))+SUMPRODUCT((Inputs!$E$5:$E$110=$B44)*ISNUMBER(INDEX(Inputs!$K$5:$AJ$110,0,MATCH(T$2,Inputs!$K$4:$AJ$4,0))))=0,NA(),SUMPRODUCT((Inputs!$A$5:$A$110=$B44)*Inputs!$B$5:$B$110*(((Inputs!$G$5:$G$110="moeda")+(Inputs!$G$5:$G$110="acoes"))*Inputs!$B$1+((Inputs!$G$5:$G$110&lt;&gt;"moeda")*(Inputs!$G$5:$G$110&lt;&gt;"acoes")))*INDEX(Inputs!$K$5:$AJ$110,0,MATCH(T$2,Inputs!$K$4:$AJ$4,0)))+SUMPRODUCT((Inputs!$C$5:$C$110=$B44)*Inputs!$D$5:$D$110*(((Inputs!$G$5:$G$110="moeda")+(Inputs!$G$5:$G$110="acoes"))*Inputs!$B$1+((Inputs!$G$5:$G$110&lt;&gt;"moeda")*(Inputs!$G$5:$G$110&lt;&gt;"acoes")))*INDEX(Inputs!$K$5:$AJ$110,0,MATCH(T$2,Inputs!$K$4:$AJ$4,0)))+SUMPRODUCT((Inputs!$E$5:$E$110=$B44)*Inputs!$F$5:$F$110*(((Inputs!$G$5:$G$110="moeda")+(Inputs!$G$5:$G$110="acoes"))*Inputs!$B$1+((Inputs!$G$5:$G$110&lt;&gt;"moeda")*(Inputs!$G$5:$G$110&lt;&gt;"acoes")))*INDEX(Inputs!$K$5:$AJ$110,0,MATCH(T$2,Inputs!$K$4:$AJ$4,0)))))</f>
        <v>0</v>
      </c>
      <c r="U44" s="267">
        <f>IF(ISNA(MATCH(U$2,Inputs!$K$4:$AJ$4,0)),NA(),IF(SUMPRODUCT((Inputs!$A$5:$A$110=$B44)*ISNUMBER(INDEX(Inputs!$K$5:$AJ$110,0,MATCH(U$2,Inputs!$K$4:$AJ$4,0))))+SUMPRODUCT((Inputs!$C$5:$C$110=$B44)*ISNUMBER(INDEX(Inputs!$K$5:$AJ$110,0,MATCH(U$2,Inputs!$K$4:$AJ$4,0))))+SUMPRODUCT((Inputs!$E$5:$E$110=$B44)*ISNUMBER(INDEX(Inputs!$K$5:$AJ$110,0,MATCH(U$2,Inputs!$K$4:$AJ$4,0))))=0,NA(),SUMPRODUCT((Inputs!$A$5:$A$110=$B44)*Inputs!$B$5:$B$110*(((Inputs!$G$5:$G$110="moeda")+(Inputs!$G$5:$G$110="acoes"))*Inputs!$B$1+((Inputs!$G$5:$G$110&lt;&gt;"moeda")*(Inputs!$G$5:$G$110&lt;&gt;"acoes")))*INDEX(Inputs!$K$5:$AJ$110,0,MATCH(U$2,Inputs!$K$4:$AJ$4,0)))+SUMPRODUCT((Inputs!$C$5:$C$110=$B44)*Inputs!$D$5:$D$110*(((Inputs!$G$5:$G$110="moeda")+(Inputs!$G$5:$G$110="acoes"))*Inputs!$B$1+((Inputs!$G$5:$G$110&lt;&gt;"moeda")*(Inputs!$G$5:$G$110&lt;&gt;"acoes")))*INDEX(Inputs!$K$5:$AJ$110,0,MATCH(U$2,Inputs!$K$4:$AJ$4,0)))+SUMPRODUCT((Inputs!$E$5:$E$110=$B44)*Inputs!$F$5:$F$110*(((Inputs!$G$5:$G$110="moeda")+(Inputs!$G$5:$G$110="acoes"))*Inputs!$B$1+((Inputs!$G$5:$G$110&lt;&gt;"moeda")*(Inputs!$G$5:$G$110&lt;&gt;"acoes")))*INDEX(Inputs!$K$5:$AJ$110,0,MATCH(U$2,Inputs!$K$4:$AJ$4,0)))))</f>
        <v>0</v>
      </c>
      <c r="V44" s="267">
        <f>IF(ISNA(MATCH(V$2,Inputs!$K$4:$AJ$4,0)),NA(),IF(SUMPRODUCT((Inputs!$A$5:$A$110=$B44)*ISNUMBER(INDEX(Inputs!$K$5:$AJ$110,0,MATCH(V$2,Inputs!$K$4:$AJ$4,0))))+SUMPRODUCT((Inputs!$C$5:$C$110=$B44)*ISNUMBER(INDEX(Inputs!$K$5:$AJ$110,0,MATCH(V$2,Inputs!$K$4:$AJ$4,0))))+SUMPRODUCT((Inputs!$E$5:$E$110=$B44)*ISNUMBER(INDEX(Inputs!$K$5:$AJ$110,0,MATCH(V$2,Inputs!$K$4:$AJ$4,0))))=0,NA(),SUMPRODUCT((Inputs!$A$5:$A$110=$B44)*Inputs!$B$5:$B$110*(((Inputs!$G$5:$G$110="moeda")+(Inputs!$G$5:$G$110="acoes"))*Inputs!$B$1+((Inputs!$G$5:$G$110&lt;&gt;"moeda")*(Inputs!$G$5:$G$110&lt;&gt;"acoes")))*INDEX(Inputs!$K$5:$AJ$110,0,MATCH(V$2,Inputs!$K$4:$AJ$4,0)))+SUMPRODUCT((Inputs!$C$5:$C$110=$B44)*Inputs!$D$5:$D$110*(((Inputs!$G$5:$G$110="moeda")+(Inputs!$G$5:$G$110="acoes"))*Inputs!$B$1+((Inputs!$G$5:$G$110&lt;&gt;"moeda")*(Inputs!$G$5:$G$110&lt;&gt;"acoes")))*INDEX(Inputs!$K$5:$AJ$110,0,MATCH(V$2,Inputs!$K$4:$AJ$4,0)))+SUMPRODUCT((Inputs!$E$5:$E$110=$B44)*Inputs!$F$5:$F$110*(((Inputs!$G$5:$G$110="moeda")+(Inputs!$G$5:$G$110="acoes"))*Inputs!$B$1+((Inputs!$G$5:$G$110&lt;&gt;"moeda")*(Inputs!$G$5:$G$110&lt;&gt;"acoes")))*INDEX(Inputs!$K$5:$AJ$110,0,MATCH(V$2,Inputs!$K$4:$AJ$4,0)))))</f>
        <v>0</v>
      </c>
      <c r="W44" s="268">
        <f>V44</f>
        <v>0</v>
      </c>
      <c r="X44" s="267">
        <f>IF(ISNA(MATCH(X$2,Inputs!$K$4:$AJ$4,0)),NA(),IF(SUMPRODUCT((Inputs!$A$5:$A$110=$B44)*ISNUMBER(INDEX(Inputs!$K$5:$AJ$110,0,MATCH(X$2,Inputs!$K$4:$AJ$4,0))))+SUMPRODUCT((Inputs!$C$5:$C$110=$B44)*ISNUMBER(INDEX(Inputs!$K$5:$AJ$110,0,MATCH(X$2,Inputs!$K$4:$AJ$4,0))))+SUMPRODUCT((Inputs!$E$5:$E$110=$B44)*ISNUMBER(INDEX(Inputs!$K$5:$AJ$110,0,MATCH(X$2,Inputs!$K$4:$AJ$4,0))))=0,NA(),SUMPRODUCT((Inputs!$A$5:$A$110=$B44)*Inputs!$B$5:$B$110*(((Inputs!$G$5:$G$110="moeda")+(Inputs!$G$5:$G$110="acoes"))*Inputs!$B$1+((Inputs!$G$5:$G$110&lt;&gt;"moeda")*(Inputs!$G$5:$G$110&lt;&gt;"acoes")))*INDEX(Inputs!$K$5:$AJ$110,0,MATCH(X$2,Inputs!$K$4:$AJ$4,0)))+SUMPRODUCT((Inputs!$C$5:$C$110=$B44)*Inputs!$D$5:$D$110*(((Inputs!$G$5:$G$110="moeda")+(Inputs!$G$5:$G$110="acoes"))*Inputs!$B$1+((Inputs!$G$5:$G$110&lt;&gt;"moeda")*(Inputs!$G$5:$G$110&lt;&gt;"acoes")))*INDEX(Inputs!$K$5:$AJ$110,0,MATCH(X$2,Inputs!$K$4:$AJ$4,0)))+SUMPRODUCT((Inputs!$E$5:$E$110=$B44)*Inputs!$F$5:$F$110*(((Inputs!$G$5:$G$110="moeda")+(Inputs!$G$5:$G$110="acoes"))*Inputs!$B$1+((Inputs!$G$5:$G$110&lt;&gt;"moeda")*(Inputs!$G$5:$G$110&lt;&gt;"acoes")))*INDEX(Inputs!$K$5:$AJ$110,0,MATCH(X$2,Inputs!$K$4:$AJ$4,0)))))</f>
        <v>0</v>
      </c>
      <c r="Y44" s="267">
        <f>IF(ISNA(MATCH(Y$2,Inputs!$K$4:$AJ$4,0)),NA(),IF(SUMPRODUCT((Inputs!$A$5:$A$110=$B44)*ISNUMBER(INDEX(Inputs!$K$5:$AJ$110,0,MATCH(Y$2,Inputs!$K$4:$AJ$4,0))))+SUMPRODUCT((Inputs!$C$5:$C$110=$B44)*ISNUMBER(INDEX(Inputs!$K$5:$AJ$110,0,MATCH(Y$2,Inputs!$K$4:$AJ$4,0))))+SUMPRODUCT((Inputs!$E$5:$E$110=$B44)*ISNUMBER(INDEX(Inputs!$K$5:$AJ$110,0,MATCH(Y$2,Inputs!$K$4:$AJ$4,0))))=0,NA(),SUMPRODUCT((Inputs!$A$5:$A$110=$B44)*Inputs!$B$5:$B$110*(((Inputs!$G$5:$G$110="moeda")+(Inputs!$G$5:$G$110="acoes"))*Inputs!$B$1+((Inputs!$G$5:$G$110&lt;&gt;"moeda")*(Inputs!$G$5:$G$110&lt;&gt;"acoes")))*INDEX(Inputs!$K$5:$AJ$110,0,MATCH(Y$2,Inputs!$K$4:$AJ$4,0)))+SUMPRODUCT((Inputs!$C$5:$C$110=$B44)*Inputs!$D$5:$D$110*(((Inputs!$G$5:$G$110="moeda")+(Inputs!$G$5:$G$110="acoes"))*Inputs!$B$1+((Inputs!$G$5:$G$110&lt;&gt;"moeda")*(Inputs!$G$5:$G$110&lt;&gt;"acoes")))*INDEX(Inputs!$K$5:$AJ$110,0,MATCH(Y$2,Inputs!$K$4:$AJ$4,0)))+SUMPRODUCT((Inputs!$E$5:$E$110=$B44)*Inputs!$F$5:$F$110*(((Inputs!$G$5:$G$110="moeda")+(Inputs!$G$5:$G$110="acoes"))*Inputs!$B$1+((Inputs!$G$5:$G$110&lt;&gt;"moeda")*(Inputs!$G$5:$G$110&lt;&gt;"acoes")))*INDEX(Inputs!$K$5:$AJ$110,0,MATCH(Y$2,Inputs!$K$4:$AJ$4,0)))))</f>
        <v>0</v>
      </c>
      <c r="Z44" s="267">
        <f>IF(ISNA(MATCH(Z$2,Inputs!$K$4:$AJ$4,0)),NA(),IF(SUMPRODUCT((Inputs!$A$5:$A$110=$B44)*ISNUMBER(INDEX(Inputs!$K$5:$AJ$110,0,MATCH(Z$2,Inputs!$K$4:$AJ$4,0))))+SUMPRODUCT((Inputs!$C$5:$C$110=$B44)*ISNUMBER(INDEX(Inputs!$K$5:$AJ$110,0,MATCH(Z$2,Inputs!$K$4:$AJ$4,0))))+SUMPRODUCT((Inputs!$E$5:$E$110=$B44)*ISNUMBER(INDEX(Inputs!$K$5:$AJ$110,0,MATCH(Z$2,Inputs!$K$4:$AJ$4,0))))=0,NA(),SUMPRODUCT((Inputs!$A$5:$A$110=$B44)*Inputs!$B$5:$B$110*(((Inputs!$G$5:$G$110="moeda")+(Inputs!$G$5:$G$110="acoes"))*Inputs!$B$1+((Inputs!$G$5:$G$110&lt;&gt;"moeda")*(Inputs!$G$5:$G$110&lt;&gt;"acoes")))*INDEX(Inputs!$K$5:$AJ$110,0,MATCH(Z$2,Inputs!$K$4:$AJ$4,0)))+SUMPRODUCT((Inputs!$C$5:$C$110=$B44)*Inputs!$D$5:$D$110*(((Inputs!$G$5:$G$110="moeda")+(Inputs!$G$5:$G$110="acoes"))*Inputs!$B$1+((Inputs!$G$5:$G$110&lt;&gt;"moeda")*(Inputs!$G$5:$G$110&lt;&gt;"acoes")))*INDEX(Inputs!$K$5:$AJ$110,0,MATCH(Z$2,Inputs!$K$4:$AJ$4,0)))+SUMPRODUCT((Inputs!$E$5:$E$110=$B44)*Inputs!$F$5:$F$110*(((Inputs!$G$5:$G$110="moeda")+(Inputs!$G$5:$G$110="acoes"))*Inputs!$B$1+((Inputs!$G$5:$G$110&lt;&gt;"moeda")*(Inputs!$G$5:$G$110&lt;&gt;"acoes")))*INDEX(Inputs!$K$5:$AJ$110,0,MATCH(Z$2,Inputs!$K$4:$AJ$4,0)))))</f>
        <v>0</v>
      </c>
      <c r="AA44" s="267">
        <f>IF(ISNA(MATCH(AA$2,Inputs!$K$4:$AJ$4,0)),NA(),IF(SUMPRODUCT((Inputs!$A$5:$A$110=$B44)*ISNUMBER(INDEX(Inputs!$K$5:$AJ$110,0,MATCH(AA$2,Inputs!$K$4:$AJ$4,0))))+SUMPRODUCT((Inputs!$C$5:$C$110=$B44)*ISNUMBER(INDEX(Inputs!$K$5:$AJ$110,0,MATCH(AA$2,Inputs!$K$4:$AJ$4,0))))+SUMPRODUCT((Inputs!$E$5:$E$110=$B44)*ISNUMBER(INDEX(Inputs!$K$5:$AJ$110,0,MATCH(AA$2,Inputs!$K$4:$AJ$4,0))))=0,NA(),SUMPRODUCT((Inputs!$A$5:$A$110=$B44)*Inputs!$B$5:$B$110*(((Inputs!$G$5:$G$110="moeda")+(Inputs!$G$5:$G$110="acoes"))*Inputs!$B$1+((Inputs!$G$5:$G$110&lt;&gt;"moeda")*(Inputs!$G$5:$G$110&lt;&gt;"acoes")))*INDEX(Inputs!$K$5:$AJ$110,0,MATCH(AA$2,Inputs!$K$4:$AJ$4,0)))+SUMPRODUCT((Inputs!$C$5:$C$110=$B44)*Inputs!$D$5:$D$110*(((Inputs!$G$5:$G$110="moeda")+(Inputs!$G$5:$G$110="acoes"))*Inputs!$B$1+((Inputs!$G$5:$G$110&lt;&gt;"moeda")*(Inputs!$G$5:$G$110&lt;&gt;"acoes")))*INDEX(Inputs!$K$5:$AJ$110,0,MATCH(AA$2,Inputs!$K$4:$AJ$4,0)))+SUMPRODUCT((Inputs!$E$5:$E$110=$B44)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4" s="268">
        <f>AA44</f>
        <v>0</v>
      </c>
      <c r="AC44" s="267">
        <f>IF(ISNA(MATCH(AC$2,Inputs!$K$4:$AJ$4,0)),NA(),IF(SUMPRODUCT((Inputs!$A$5:$A$110=$B44)*ISNUMBER(INDEX(Inputs!$K$5:$AJ$110,0,MATCH(AC$2,Inputs!$K$4:$AJ$4,0))))+SUMPRODUCT((Inputs!$C$5:$C$110=$B44)*ISNUMBER(INDEX(Inputs!$K$5:$AJ$110,0,MATCH(AC$2,Inputs!$K$4:$AJ$4,0))))+SUMPRODUCT((Inputs!$E$5:$E$110=$B44)*ISNUMBER(INDEX(Inputs!$K$5:$AJ$110,0,MATCH(AC$2,Inputs!$K$4:$AJ$4,0))))=0,NA(),SUMPRODUCT((Inputs!$A$5:$A$110=$B44)*Inputs!$B$5:$B$110*(((Inputs!$G$5:$G$110="moeda")+(Inputs!$G$5:$G$110="acoes"))*Inputs!$B$1+((Inputs!$G$5:$G$110&lt;&gt;"moeda")*(Inputs!$G$5:$G$110&lt;&gt;"acoes")))*INDEX(Inputs!$K$5:$AJ$110,0,MATCH(AC$2,Inputs!$K$4:$AJ$4,0)))+SUMPRODUCT((Inputs!$C$5:$C$110=$B44)*Inputs!$D$5:$D$110*(((Inputs!$G$5:$G$110="moeda")+(Inputs!$G$5:$G$110="acoes"))*Inputs!$B$1+((Inputs!$G$5:$G$110&lt;&gt;"moeda")*(Inputs!$G$5:$G$110&lt;&gt;"acoes")))*INDEX(Inputs!$K$5:$AJ$110,0,MATCH(AC$2,Inputs!$K$4:$AJ$4,0)))+SUMPRODUCT((Inputs!$E$5:$E$110=$B44)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4" s="267">
        <f>IF(ISNA(MATCH(AD$2,Inputs!$K$4:$AJ$4,0)),NA(),IF(SUMPRODUCT((Inputs!$A$5:$A$110=$B44)*ISNUMBER(INDEX(Inputs!$K$5:$AJ$110,0,MATCH(AD$2,Inputs!$K$4:$AJ$4,0))))+SUMPRODUCT((Inputs!$C$5:$C$110=$B44)*ISNUMBER(INDEX(Inputs!$K$5:$AJ$110,0,MATCH(AD$2,Inputs!$K$4:$AJ$4,0))))+SUMPRODUCT((Inputs!$E$5:$E$110=$B44)*ISNUMBER(INDEX(Inputs!$K$5:$AJ$110,0,MATCH(AD$2,Inputs!$K$4:$AJ$4,0))))=0,NA(),SUMPRODUCT((Inputs!$A$5:$A$110=$B44)*Inputs!$B$5:$B$110*(((Inputs!$G$5:$G$110="moeda")+(Inputs!$G$5:$G$110="acoes"))*Inputs!$B$1+((Inputs!$G$5:$G$110&lt;&gt;"moeda")*(Inputs!$G$5:$G$110&lt;&gt;"acoes")))*INDEX(Inputs!$K$5:$AJ$110,0,MATCH(AD$2,Inputs!$K$4:$AJ$4,0)))+SUMPRODUCT((Inputs!$C$5:$C$110=$B44)*Inputs!$D$5:$D$110*(((Inputs!$G$5:$G$110="moeda")+(Inputs!$G$5:$G$110="acoes"))*Inputs!$B$1+((Inputs!$G$5:$G$110&lt;&gt;"moeda")*(Inputs!$G$5:$G$110&lt;&gt;"acoes")))*INDEX(Inputs!$K$5:$AJ$110,0,MATCH(AD$2,Inputs!$K$4:$AJ$4,0)))+SUMPRODUCT((Inputs!$E$5:$E$110=$B44)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4" s="267" t="e">
        <f>IF(ISNA(MATCH(AE$2,Inputs!$K$4:$AJ$4,0)),NA(),IF(SUMPRODUCT((Inputs!$A$5:$A$110=$B44)*ISNUMBER(INDEX(Inputs!$K$5:$AJ$110,0,MATCH(AE$2,Inputs!$K$4:$AJ$4,0))))+SUMPRODUCT((Inputs!$C$5:$C$110=$B44)*ISNUMBER(INDEX(Inputs!$K$5:$AJ$110,0,MATCH(AE$2,Inputs!$K$4:$AJ$4,0))))+SUMPRODUCT((Inputs!$E$5:$E$110=$B44)*ISNUMBER(INDEX(Inputs!$K$5:$AJ$110,0,MATCH(AE$2,Inputs!$K$4:$AJ$4,0))))=0,NA(),SUMPRODUCT((Inputs!$A$5:$A$110=$B44)*Inputs!$B$5:$B$110*(((Inputs!$G$5:$G$110="moeda")+(Inputs!$G$5:$G$110="acoes"))*Inputs!$B$1+((Inputs!$G$5:$G$110&lt;&gt;"moeda")*(Inputs!$G$5:$G$110&lt;&gt;"acoes")))*INDEX(Inputs!$K$5:$AJ$110,0,MATCH(AE$2,Inputs!$K$4:$AJ$4,0)))+SUMPRODUCT((Inputs!$C$5:$C$110=$B44)*Inputs!$D$5:$D$110*(((Inputs!$G$5:$G$110="moeda")+(Inputs!$G$5:$G$110="acoes"))*Inputs!$B$1+((Inputs!$G$5:$G$110&lt;&gt;"moeda")*(Inputs!$G$5:$G$110&lt;&gt;"acoes")))*INDEX(Inputs!$K$5:$AJ$110,0,MATCH(AE$2,Inputs!$K$4:$AJ$4,0)))+SUMPRODUCT((Inputs!$E$5:$E$110=$B44)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4" s="267" t="e">
        <f>IF(ISNA(MATCH(AF$2,Inputs!$K$4:$AJ$4,0)),NA(),IF(SUMPRODUCT((Inputs!$A$5:$A$110=$B44)*ISNUMBER(INDEX(Inputs!$K$5:$AJ$110,0,MATCH(AF$2,Inputs!$K$4:$AJ$4,0))))+SUMPRODUCT((Inputs!$C$5:$C$110=$B44)*ISNUMBER(INDEX(Inputs!$K$5:$AJ$110,0,MATCH(AF$2,Inputs!$K$4:$AJ$4,0))))+SUMPRODUCT((Inputs!$E$5:$E$110=$B44)*ISNUMBER(INDEX(Inputs!$K$5:$AJ$110,0,MATCH(AF$2,Inputs!$K$4:$AJ$4,0))))=0,NA(),SUMPRODUCT((Inputs!$A$5:$A$110=$B44)*Inputs!$B$5:$B$110*(((Inputs!$G$5:$G$110="moeda")+(Inputs!$G$5:$G$110="acoes"))*Inputs!$B$1+((Inputs!$G$5:$G$110&lt;&gt;"moeda")*(Inputs!$G$5:$G$110&lt;&gt;"acoes")))*INDEX(Inputs!$K$5:$AJ$110,0,MATCH(AF$2,Inputs!$K$4:$AJ$4,0)))+SUMPRODUCT((Inputs!$C$5:$C$110=$B44)*Inputs!$D$5:$D$110*(((Inputs!$G$5:$G$110="moeda")+(Inputs!$G$5:$G$110="acoes"))*Inputs!$B$1+((Inputs!$G$5:$G$110&lt;&gt;"moeda")*(Inputs!$G$5:$G$110&lt;&gt;"acoes")))*INDEX(Inputs!$K$5:$AJ$110,0,MATCH(AF$2,Inputs!$K$4:$AJ$4,0)))+SUMPRODUCT((Inputs!$E$5:$E$110=$B44)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4" s="268" t="e">
        <f>AF44</f>
        <v>#N/A</v>
      </c>
      <c r="AH44" s="267">
        <f>IF(ISNA(MATCH(AH$2,Inputs!$K$4:$AJ$4,0)),NA(),IF(SUMPRODUCT((Inputs!$A$5:$A$110=$B44)*ISNUMBER(INDEX(Inputs!$K$5:$AJ$110,0,MATCH(AH$2,Inputs!$K$4:$AJ$4,0))))+SUMPRODUCT((Inputs!$C$5:$C$110=$B44)*ISNUMBER(INDEX(Inputs!$K$5:$AJ$110,0,MATCH(AH$2,Inputs!$K$4:$AJ$4,0))))+SUMPRODUCT((Inputs!$E$5:$E$110=$B44)*ISNUMBER(INDEX(Inputs!$K$5:$AJ$110,0,MATCH(AH$2,Inputs!$K$4:$AJ$4,0))))=0,NA(),SUMPRODUCT((Inputs!$A$5:$A$110=$B44)*Inputs!$B$5:$B$110*(((Inputs!$G$5:$G$110="moeda")+(Inputs!$G$5:$G$110="acoes"))*Inputs!$B$1+((Inputs!$G$5:$G$110&lt;&gt;"moeda")*(Inputs!$G$5:$G$110&lt;&gt;"acoes")))*INDEX(Inputs!$K$5:$AJ$110,0,MATCH(AH$2,Inputs!$K$4:$AJ$4,0)))+SUMPRODUCT((Inputs!$C$5:$C$110=$B44)*Inputs!$D$5:$D$110*(((Inputs!$G$5:$G$110="moeda")+(Inputs!$G$5:$G$110="acoes"))*Inputs!$B$1+((Inputs!$G$5:$G$110&lt;&gt;"moeda")*(Inputs!$G$5:$G$110&lt;&gt;"acoes")))*INDEX(Inputs!$K$5:$AJ$110,0,MATCH(AH$2,Inputs!$K$4:$AJ$4,0)))+SUMPRODUCT((Inputs!$E$5:$E$110=$B44)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4" s="267">
        <f>IF(ISNA(MATCH(AI$2,Inputs!$K$4:$AJ$4,0)),NA(),IF(SUMPRODUCT((Inputs!$A$5:$A$110=$B44)*ISNUMBER(INDEX(Inputs!$K$5:$AJ$110,0,MATCH(AI$2,Inputs!$K$4:$AJ$4,0))))+SUMPRODUCT((Inputs!$C$5:$C$110=$B44)*ISNUMBER(INDEX(Inputs!$K$5:$AJ$110,0,MATCH(AI$2,Inputs!$K$4:$AJ$4,0))))+SUMPRODUCT((Inputs!$E$5:$E$110=$B44)*ISNUMBER(INDEX(Inputs!$K$5:$AJ$110,0,MATCH(AI$2,Inputs!$K$4:$AJ$4,0))))=0,NA(),SUMPRODUCT((Inputs!$A$5:$A$110=$B44)*Inputs!$B$5:$B$110*(((Inputs!$G$5:$G$110="moeda")+(Inputs!$G$5:$G$110="acoes"))*Inputs!$B$1+((Inputs!$G$5:$G$110&lt;&gt;"moeda")*(Inputs!$G$5:$G$110&lt;&gt;"acoes")))*INDEX(Inputs!$K$5:$AJ$110,0,MATCH(AI$2,Inputs!$K$4:$AJ$4,0)))+SUMPRODUCT((Inputs!$C$5:$C$110=$B44)*Inputs!$D$5:$D$110*(((Inputs!$G$5:$G$110="moeda")+(Inputs!$G$5:$G$110="acoes"))*Inputs!$B$1+((Inputs!$G$5:$G$110&lt;&gt;"moeda")*(Inputs!$G$5:$G$110&lt;&gt;"acoes")))*INDEX(Inputs!$K$5:$AJ$110,0,MATCH(AI$2,Inputs!$K$4:$AJ$4,0)))+SUMPRODUCT((Inputs!$E$5:$E$110=$B44)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4" s="267">
        <f>IF(ISNA(MATCH(AJ$2,Inputs!$K$4:$AJ$4,0)),NA(),IF(SUMPRODUCT((Inputs!$A$5:$A$110=$B44)*ISNUMBER(INDEX(Inputs!$K$5:$AJ$110,0,MATCH(AJ$2,Inputs!$K$4:$AJ$4,0))))+SUMPRODUCT((Inputs!$C$5:$C$110=$B44)*ISNUMBER(INDEX(Inputs!$K$5:$AJ$110,0,MATCH(AJ$2,Inputs!$K$4:$AJ$4,0))))+SUMPRODUCT((Inputs!$E$5:$E$110=$B44)*ISNUMBER(INDEX(Inputs!$K$5:$AJ$110,0,MATCH(AJ$2,Inputs!$K$4:$AJ$4,0))))=0,NA(),SUMPRODUCT((Inputs!$A$5:$A$110=$B44)*Inputs!$B$5:$B$110*(((Inputs!$G$5:$G$110="moeda")+(Inputs!$G$5:$G$110="acoes"))*Inputs!$B$1+((Inputs!$G$5:$G$110&lt;&gt;"moeda")*(Inputs!$G$5:$G$110&lt;&gt;"acoes")))*INDEX(Inputs!$K$5:$AJ$110,0,MATCH(AJ$2,Inputs!$K$4:$AJ$4,0)))+SUMPRODUCT((Inputs!$C$5:$C$110=$B44)*Inputs!$D$5:$D$110*(((Inputs!$G$5:$G$110="moeda")+(Inputs!$G$5:$G$110="acoes"))*Inputs!$B$1+((Inputs!$G$5:$G$110&lt;&gt;"moeda")*(Inputs!$G$5:$G$110&lt;&gt;"acoes")))*INDEX(Inputs!$K$5:$AJ$110,0,MATCH(AJ$2,Inputs!$K$4:$AJ$4,0)))+SUMPRODUCT((Inputs!$E$5:$E$110=$B44)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4" s="267">
        <f>IF(ISNA(MATCH(AK$2,Inputs!$K$4:$AJ$4,0)),NA(),IF(SUMPRODUCT((Inputs!$A$5:$A$110=$B44)*ISNUMBER(INDEX(Inputs!$K$5:$AJ$110,0,MATCH(AK$2,Inputs!$K$4:$AJ$4,0))))+SUMPRODUCT((Inputs!$C$5:$C$110=$B44)*ISNUMBER(INDEX(Inputs!$K$5:$AJ$110,0,MATCH(AK$2,Inputs!$K$4:$AJ$4,0))))+SUMPRODUCT((Inputs!$E$5:$E$110=$B44)*ISNUMBER(INDEX(Inputs!$K$5:$AJ$110,0,MATCH(AK$2,Inputs!$K$4:$AJ$4,0))))=0,NA(),SUMPRODUCT((Inputs!$A$5:$A$110=$B44)*Inputs!$B$5:$B$110*(((Inputs!$G$5:$G$110="moeda")+(Inputs!$G$5:$G$110="acoes"))*Inputs!$B$1+((Inputs!$G$5:$G$110&lt;&gt;"moeda")*(Inputs!$G$5:$G$110&lt;&gt;"acoes")))*INDEX(Inputs!$K$5:$AJ$110,0,MATCH(AK$2,Inputs!$K$4:$AJ$4,0)))+SUMPRODUCT((Inputs!$C$5:$C$110=$B44)*Inputs!$D$5:$D$110*(((Inputs!$G$5:$G$110="moeda")+(Inputs!$G$5:$G$110="acoes"))*Inputs!$B$1+((Inputs!$G$5:$G$110&lt;&gt;"moeda")*(Inputs!$G$5:$G$110&lt;&gt;"acoes")))*INDEX(Inputs!$K$5:$AJ$110,0,MATCH(AK$2,Inputs!$K$4:$AJ$4,0)))+SUMPRODUCT((Inputs!$E$5:$E$110=$B44)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4" s="268">
        <f>AK44</f>
        <v>0</v>
      </c>
    </row>
    <row r="45" ht="12.75" customHeight="1" s="255">
      <c r="B45" s="265" t="n">
        <v>39</v>
      </c>
      <c r="C45" s="270" t="inlineStr">
        <is>
          <t>Comprehensive (accumulated) loss</t>
        </is>
      </c>
      <c r="D45" s="267">
        <f>IF(ISNA(MATCH(D$2,Inputs!$K$4:$AJ$4,0)),NA(),IF(SUMPRODUCT((Inputs!$A$5:$A$110=$B45)*ISNUMBER(INDEX(Inputs!$K$5:$AJ$110,0,MATCH(D$2,Inputs!$K$4:$AJ$4,0))))+SUMPRODUCT((Inputs!$C$5:$C$110=$B45)*ISNUMBER(INDEX(Inputs!$K$5:$AJ$110,0,MATCH(D$2,Inputs!$K$4:$AJ$4,0))))+SUMPRODUCT((Inputs!$E$5:$E$110=$B45)*ISNUMBER(INDEX(Inputs!$K$5:$AJ$110,0,MATCH(D$2,Inputs!$K$4:$AJ$4,0))))=0,NA(),SUMPRODUCT((Inputs!$A$5:$A$110=$B45)*Inputs!$B$5:$B$110*(((Inputs!$G$5:$G$110="moeda")+(Inputs!$G$5:$G$110="acoes"))*Inputs!$B$1+((Inputs!$G$5:$G$110&lt;&gt;"moeda")*(Inputs!$G$5:$G$110&lt;&gt;"acoes")))*INDEX(Inputs!$K$5:$AJ$110,0,MATCH(D$2,Inputs!$K$4:$AJ$4,0)))+SUMPRODUCT((Inputs!$C$5:$C$110=$B45)*Inputs!$D$5:$D$110*(((Inputs!$G$5:$G$110="moeda")+(Inputs!$G$5:$G$110="acoes"))*Inputs!$B$1+((Inputs!$G$5:$G$110&lt;&gt;"moeda")*(Inputs!$G$5:$G$110&lt;&gt;"acoes")))*INDEX(Inputs!$K$5:$AJ$110,0,MATCH(D$2,Inputs!$K$4:$AJ$4,0)))+SUMPRODUCT((Inputs!$E$5:$E$110=$B45)*Inputs!$F$5:$F$110*(((Inputs!$G$5:$G$110="moeda")+(Inputs!$G$5:$G$110="acoes"))*Inputs!$B$1+((Inputs!$G$5:$G$110&lt;&gt;"moeda")*(Inputs!$G$5:$G$110&lt;&gt;"acoes")))*INDEX(Inputs!$K$5:$AJ$110,0,MATCH(D$2,Inputs!$K$4:$AJ$4,0)))))</f>
        <v>-961</v>
      </c>
      <c r="E45" s="267">
        <f>IF(ISNA(MATCH(E$2,Inputs!$K$4:$AJ$4,0)),NA(),IF(SUMPRODUCT((Inputs!$A$5:$A$110=$B45)*ISNUMBER(INDEX(Inputs!$K$5:$AJ$110,0,MATCH(E$2,Inputs!$K$4:$AJ$4,0))))+SUMPRODUCT((Inputs!$C$5:$C$110=$B45)*ISNUMBER(INDEX(Inputs!$K$5:$AJ$110,0,MATCH(E$2,Inputs!$K$4:$AJ$4,0))))+SUMPRODUCT((Inputs!$E$5:$E$110=$B45)*ISNUMBER(INDEX(Inputs!$K$5:$AJ$110,0,MATCH(E$2,Inputs!$K$4:$AJ$4,0))))=0,NA(),SUMPRODUCT((Inputs!$A$5:$A$110=$B45)*Inputs!$B$5:$B$110*(((Inputs!$G$5:$G$110="moeda")+(Inputs!$G$5:$G$110="acoes"))*Inputs!$B$1+((Inputs!$G$5:$G$110&lt;&gt;"moeda")*(Inputs!$G$5:$G$110&lt;&gt;"acoes")))*INDEX(Inputs!$K$5:$AJ$110,0,MATCH(E$2,Inputs!$K$4:$AJ$4,0)))+SUMPRODUCT((Inputs!$C$5:$C$110=$B45)*Inputs!$D$5:$D$110*(((Inputs!$G$5:$G$110="moeda")+(Inputs!$G$5:$G$110="acoes"))*Inputs!$B$1+((Inputs!$G$5:$G$110&lt;&gt;"moeda")*(Inputs!$G$5:$G$110&lt;&gt;"acoes")))*INDEX(Inputs!$K$5:$AJ$110,0,MATCH(E$2,Inputs!$K$4:$AJ$4,0)))+SUMPRODUCT((Inputs!$E$5:$E$110=$B45)*Inputs!$F$5:$F$110*(((Inputs!$G$5:$G$110="moeda")+(Inputs!$G$5:$G$110="acoes"))*Inputs!$B$1+((Inputs!$G$5:$G$110&lt;&gt;"moeda")*(Inputs!$G$5:$G$110&lt;&gt;"acoes")))*INDEX(Inputs!$K$5:$AJ$110,0,MATCH(E$2,Inputs!$K$4:$AJ$4,0)))))</f>
        <v>-909</v>
      </c>
      <c r="F45" s="267">
        <f>IF(ISNA(MATCH(F$2,Inputs!$K$4:$AJ$4,0)),NA(),IF(SUMPRODUCT((Inputs!$A$5:$A$110=$B45)*ISNUMBER(INDEX(Inputs!$K$5:$AJ$110,0,MATCH(F$2,Inputs!$K$4:$AJ$4,0))))+SUMPRODUCT((Inputs!$C$5:$C$110=$B45)*ISNUMBER(INDEX(Inputs!$K$5:$AJ$110,0,MATCH(F$2,Inputs!$K$4:$AJ$4,0))))+SUMPRODUCT((Inputs!$E$5:$E$110=$B45)*ISNUMBER(INDEX(Inputs!$K$5:$AJ$110,0,MATCH(F$2,Inputs!$K$4:$AJ$4,0))))=0,NA(),SUMPRODUCT((Inputs!$A$5:$A$110=$B45)*Inputs!$B$5:$B$110*(((Inputs!$G$5:$G$110="moeda")+(Inputs!$G$5:$G$110="acoes"))*Inputs!$B$1+((Inputs!$G$5:$G$110&lt;&gt;"moeda")*(Inputs!$G$5:$G$110&lt;&gt;"acoes")))*INDEX(Inputs!$K$5:$AJ$110,0,MATCH(F$2,Inputs!$K$4:$AJ$4,0)))+SUMPRODUCT((Inputs!$C$5:$C$110=$B45)*Inputs!$D$5:$D$110*(((Inputs!$G$5:$G$110="moeda")+(Inputs!$G$5:$G$110="acoes"))*Inputs!$B$1+((Inputs!$G$5:$G$110&lt;&gt;"moeda")*(Inputs!$G$5:$G$110&lt;&gt;"acoes")))*INDEX(Inputs!$K$5:$AJ$110,0,MATCH(F$2,Inputs!$K$4:$AJ$4,0)))+SUMPRODUCT((Inputs!$E$5:$E$110=$B45)*Inputs!$F$5:$F$110*(((Inputs!$G$5:$G$110="moeda")+(Inputs!$G$5:$G$110="acoes"))*Inputs!$B$1+((Inputs!$G$5:$G$110&lt;&gt;"moeda")*(Inputs!$G$5:$G$110&lt;&gt;"acoes")))*INDEX(Inputs!$K$5:$AJ$110,0,MATCH(F$2,Inputs!$K$4:$AJ$4,0)))))</f>
        <v>-1137</v>
      </c>
      <c r="G45" s="267">
        <f>IF(ISNA(MATCH(G$2,Inputs!$K$4:$AJ$4,0)),NA(),IF(SUMPRODUCT((Inputs!$A$5:$A$110=$B45)*ISNUMBER(INDEX(Inputs!$K$5:$AJ$110,0,MATCH(G$2,Inputs!$K$4:$AJ$4,0))))+SUMPRODUCT((Inputs!$C$5:$C$110=$B45)*ISNUMBER(INDEX(Inputs!$K$5:$AJ$110,0,MATCH(G$2,Inputs!$K$4:$AJ$4,0))))+SUMPRODUCT((Inputs!$E$5:$E$110=$B45)*ISNUMBER(INDEX(Inputs!$K$5:$AJ$110,0,MATCH(G$2,Inputs!$K$4:$AJ$4,0))))=0,NA(),SUMPRODUCT((Inputs!$A$5:$A$110=$B45)*Inputs!$B$5:$B$110*(((Inputs!$G$5:$G$110="moeda")+(Inputs!$G$5:$G$110="acoes"))*Inputs!$B$1+((Inputs!$G$5:$G$110&lt;&gt;"moeda")*(Inputs!$G$5:$G$110&lt;&gt;"acoes")))*INDEX(Inputs!$K$5:$AJ$110,0,MATCH(G$2,Inputs!$K$4:$AJ$4,0)))+SUMPRODUCT((Inputs!$C$5:$C$110=$B45)*Inputs!$D$5:$D$110*(((Inputs!$G$5:$G$110="moeda")+(Inputs!$G$5:$G$110="acoes"))*Inputs!$B$1+((Inputs!$G$5:$G$110&lt;&gt;"moeda")*(Inputs!$G$5:$G$110&lt;&gt;"acoes")))*INDEX(Inputs!$K$5:$AJ$110,0,MATCH(G$2,Inputs!$K$4:$AJ$4,0)))+SUMPRODUCT((Inputs!$E$5:$E$110=$B45)*Inputs!$F$5:$F$110*(((Inputs!$G$5:$G$110="moeda")+(Inputs!$G$5:$G$110="acoes"))*Inputs!$B$1+((Inputs!$G$5:$G$110&lt;&gt;"moeda")*(Inputs!$G$5:$G$110&lt;&gt;"acoes")))*INDEX(Inputs!$K$5:$AJ$110,0,MATCH(G$2,Inputs!$K$4:$AJ$4,0)))))</f>
        <v>-1211</v>
      </c>
      <c r="H45" s="268">
        <f>G45</f>
        <v>-1211</v>
      </c>
      <c r="I45" s="267">
        <f>IF(ISNA(MATCH(I$2,Inputs!$K$4:$AJ$4,0)),NA(),IF(SUMPRODUCT((Inputs!$A$5:$A$110=$B45)*ISNUMBER(INDEX(Inputs!$K$5:$AJ$110,0,MATCH(I$2,Inputs!$K$4:$AJ$4,0))))+SUMPRODUCT((Inputs!$C$5:$C$110=$B45)*ISNUMBER(INDEX(Inputs!$K$5:$AJ$110,0,MATCH(I$2,Inputs!$K$4:$AJ$4,0))))+SUMPRODUCT((Inputs!$E$5:$E$110=$B45)*ISNUMBER(INDEX(Inputs!$K$5:$AJ$110,0,MATCH(I$2,Inputs!$K$4:$AJ$4,0))))=0,NA(),SUMPRODUCT((Inputs!$A$5:$A$110=$B45)*Inputs!$B$5:$B$110*(((Inputs!$G$5:$G$110="moeda")+(Inputs!$G$5:$G$110="acoes"))*Inputs!$B$1+((Inputs!$G$5:$G$110&lt;&gt;"moeda")*(Inputs!$G$5:$G$110&lt;&gt;"acoes")))*INDEX(Inputs!$K$5:$AJ$110,0,MATCH(I$2,Inputs!$K$4:$AJ$4,0)))+SUMPRODUCT((Inputs!$C$5:$C$110=$B45)*Inputs!$D$5:$D$110*(((Inputs!$G$5:$G$110="moeda")+(Inputs!$G$5:$G$110="acoes"))*Inputs!$B$1+((Inputs!$G$5:$G$110&lt;&gt;"moeda")*(Inputs!$G$5:$G$110&lt;&gt;"acoes")))*INDEX(Inputs!$K$5:$AJ$110,0,MATCH(I$2,Inputs!$K$4:$AJ$4,0)))+SUMPRODUCT((Inputs!$E$5:$E$110=$B45)*Inputs!$F$5:$F$110*(((Inputs!$G$5:$G$110="moeda")+(Inputs!$G$5:$G$110="acoes"))*Inputs!$B$1+((Inputs!$G$5:$G$110&lt;&gt;"moeda")*(Inputs!$G$5:$G$110&lt;&gt;"acoes")))*INDEX(Inputs!$K$5:$AJ$110,0,MATCH(I$2,Inputs!$K$4:$AJ$4,0)))))</f>
        <v>-1246</v>
      </c>
      <c r="J45" s="267">
        <f>IF(ISNA(MATCH(J$2,Inputs!$K$4:$AJ$4,0)),NA(),IF(SUMPRODUCT((Inputs!$A$5:$A$110=$B45)*ISNUMBER(INDEX(Inputs!$K$5:$AJ$110,0,MATCH(J$2,Inputs!$K$4:$AJ$4,0))))+SUMPRODUCT((Inputs!$C$5:$C$110=$B45)*ISNUMBER(INDEX(Inputs!$K$5:$AJ$110,0,MATCH(J$2,Inputs!$K$4:$AJ$4,0))))+SUMPRODUCT((Inputs!$E$5:$E$110=$B45)*ISNUMBER(INDEX(Inputs!$K$5:$AJ$110,0,MATCH(J$2,Inputs!$K$4:$AJ$4,0))))=0,NA(),SUMPRODUCT((Inputs!$A$5:$A$110=$B45)*Inputs!$B$5:$B$110*(((Inputs!$G$5:$G$110="moeda")+(Inputs!$G$5:$G$110="acoes"))*Inputs!$B$1+((Inputs!$G$5:$G$110&lt;&gt;"moeda")*(Inputs!$G$5:$G$110&lt;&gt;"acoes")))*INDEX(Inputs!$K$5:$AJ$110,0,MATCH(J$2,Inputs!$K$4:$AJ$4,0)))+SUMPRODUCT((Inputs!$C$5:$C$110=$B45)*Inputs!$D$5:$D$110*(((Inputs!$G$5:$G$110="moeda")+(Inputs!$G$5:$G$110="acoes"))*Inputs!$B$1+((Inputs!$G$5:$G$110&lt;&gt;"moeda")*(Inputs!$G$5:$G$110&lt;&gt;"acoes")))*INDEX(Inputs!$K$5:$AJ$110,0,MATCH(J$2,Inputs!$K$4:$AJ$4,0)))+SUMPRODUCT((Inputs!$E$5:$E$110=$B45)*Inputs!$F$5:$F$110*(((Inputs!$G$5:$G$110="moeda")+(Inputs!$G$5:$G$110="acoes"))*Inputs!$B$1+((Inputs!$G$5:$G$110&lt;&gt;"moeda")*(Inputs!$G$5:$G$110&lt;&gt;"acoes")))*INDEX(Inputs!$K$5:$AJ$110,0,MATCH(J$2,Inputs!$K$4:$AJ$4,0)))))</f>
        <v>-1602</v>
      </c>
      <c r="K45" s="267">
        <f>IF(ISNA(MATCH(K$2,Inputs!$K$4:$AJ$4,0)),NA(),IF(SUMPRODUCT((Inputs!$A$5:$A$110=$B45)*ISNUMBER(INDEX(Inputs!$K$5:$AJ$110,0,MATCH(K$2,Inputs!$K$4:$AJ$4,0))))+SUMPRODUCT((Inputs!$C$5:$C$110=$B45)*ISNUMBER(INDEX(Inputs!$K$5:$AJ$110,0,MATCH(K$2,Inputs!$K$4:$AJ$4,0))))+SUMPRODUCT((Inputs!$E$5:$E$110=$B45)*ISNUMBER(INDEX(Inputs!$K$5:$AJ$110,0,MATCH(K$2,Inputs!$K$4:$AJ$4,0))))=0,NA(),SUMPRODUCT((Inputs!$A$5:$A$110=$B45)*Inputs!$B$5:$B$110*(((Inputs!$G$5:$G$110="moeda")+(Inputs!$G$5:$G$110="acoes"))*Inputs!$B$1+((Inputs!$G$5:$G$110&lt;&gt;"moeda")*(Inputs!$G$5:$G$110&lt;&gt;"acoes")))*INDEX(Inputs!$K$5:$AJ$110,0,MATCH(K$2,Inputs!$K$4:$AJ$4,0)))+SUMPRODUCT((Inputs!$C$5:$C$110=$B45)*Inputs!$D$5:$D$110*(((Inputs!$G$5:$G$110="moeda")+(Inputs!$G$5:$G$110="acoes"))*Inputs!$B$1+((Inputs!$G$5:$G$110&lt;&gt;"moeda")*(Inputs!$G$5:$G$110&lt;&gt;"acoes")))*INDEX(Inputs!$K$5:$AJ$110,0,MATCH(K$2,Inputs!$K$4:$AJ$4,0)))+SUMPRODUCT((Inputs!$E$5:$E$110=$B45)*Inputs!$F$5:$F$110*(((Inputs!$G$5:$G$110="moeda")+(Inputs!$G$5:$G$110="acoes"))*Inputs!$B$1+((Inputs!$G$5:$G$110&lt;&gt;"moeda")*(Inputs!$G$5:$G$110&lt;&gt;"acoes")))*INDEX(Inputs!$K$5:$AJ$110,0,MATCH(K$2,Inputs!$K$4:$AJ$4,0)))))</f>
        <v>-1829</v>
      </c>
      <c r="L45" s="267">
        <f>IF(ISNA(MATCH(L$2,Inputs!$K$4:$AJ$4,0)),NA(),IF(SUMPRODUCT((Inputs!$A$5:$A$110=$B45)*ISNUMBER(INDEX(Inputs!$K$5:$AJ$110,0,MATCH(L$2,Inputs!$K$4:$AJ$4,0))))+SUMPRODUCT((Inputs!$C$5:$C$110=$B45)*ISNUMBER(INDEX(Inputs!$K$5:$AJ$110,0,MATCH(L$2,Inputs!$K$4:$AJ$4,0))))+SUMPRODUCT((Inputs!$E$5:$E$110=$B45)*ISNUMBER(INDEX(Inputs!$K$5:$AJ$110,0,MATCH(L$2,Inputs!$K$4:$AJ$4,0))))=0,NA(),SUMPRODUCT((Inputs!$A$5:$A$110=$B45)*Inputs!$B$5:$B$110*(((Inputs!$G$5:$G$110="moeda")+(Inputs!$G$5:$G$110="acoes"))*Inputs!$B$1+((Inputs!$G$5:$G$110&lt;&gt;"moeda")*(Inputs!$G$5:$G$110&lt;&gt;"acoes")))*INDEX(Inputs!$K$5:$AJ$110,0,MATCH(L$2,Inputs!$K$4:$AJ$4,0)))+SUMPRODUCT((Inputs!$C$5:$C$110=$B45)*Inputs!$D$5:$D$110*(((Inputs!$G$5:$G$110="moeda")+(Inputs!$G$5:$G$110="acoes"))*Inputs!$B$1+((Inputs!$G$5:$G$110&lt;&gt;"moeda")*(Inputs!$G$5:$G$110&lt;&gt;"acoes")))*INDEX(Inputs!$K$5:$AJ$110,0,MATCH(L$2,Inputs!$K$4:$AJ$4,0)))+SUMPRODUCT((Inputs!$E$5:$E$110=$B45)*Inputs!$F$5:$F$110*(((Inputs!$G$5:$G$110="moeda")+(Inputs!$G$5:$G$110="acoes"))*Inputs!$B$1+((Inputs!$G$5:$G$110&lt;&gt;"moeda")*(Inputs!$G$5:$G$110&lt;&gt;"acoes")))*INDEX(Inputs!$K$5:$AJ$110,0,MATCH(L$2,Inputs!$K$4:$AJ$4,0)))))</f>
        <v>-1925</v>
      </c>
      <c r="M45" s="268">
        <f>L45</f>
        <v>-1925</v>
      </c>
      <c r="N45" s="267">
        <f>IF(ISNA(MATCH(N$2,Inputs!$K$4:$AJ$4,0)),NA(),IF(SUMPRODUCT((Inputs!$A$5:$A$110=$B45)*ISNUMBER(INDEX(Inputs!$K$5:$AJ$110,0,MATCH(N$2,Inputs!$K$4:$AJ$4,0))))+SUMPRODUCT((Inputs!$C$5:$C$110=$B45)*ISNUMBER(INDEX(Inputs!$K$5:$AJ$110,0,MATCH(N$2,Inputs!$K$4:$AJ$4,0))))+SUMPRODUCT((Inputs!$E$5:$E$110=$B45)*ISNUMBER(INDEX(Inputs!$K$5:$AJ$110,0,MATCH(N$2,Inputs!$K$4:$AJ$4,0))))=0,NA(),SUMPRODUCT((Inputs!$A$5:$A$110=$B45)*Inputs!$B$5:$B$110*(((Inputs!$G$5:$G$110="moeda")+(Inputs!$G$5:$G$110="acoes"))*Inputs!$B$1+((Inputs!$G$5:$G$110&lt;&gt;"moeda")*(Inputs!$G$5:$G$110&lt;&gt;"acoes")))*INDEX(Inputs!$K$5:$AJ$110,0,MATCH(N$2,Inputs!$K$4:$AJ$4,0)))+SUMPRODUCT((Inputs!$C$5:$C$110=$B45)*Inputs!$D$5:$D$110*(((Inputs!$G$5:$G$110="moeda")+(Inputs!$G$5:$G$110="acoes"))*Inputs!$B$1+((Inputs!$G$5:$G$110&lt;&gt;"moeda")*(Inputs!$G$5:$G$110&lt;&gt;"acoes")))*INDEX(Inputs!$K$5:$AJ$110,0,MATCH(N$2,Inputs!$K$4:$AJ$4,0)))+SUMPRODUCT((Inputs!$E$5:$E$110=$B45)*Inputs!$F$5:$F$110*(((Inputs!$G$5:$G$110="moeda")+(Inputs!$G$5:$G$110="acoes"))*Inputs!$B$1+((Inputs!$G$5:$G$110&lt;&gt;"moeda")*(Inputs!$G$5:$G$110&lt;&gt;"acoes")))*INDEX(Inputs!$K$5:$AJ$110,0,MATCH(N$2,Inputs!$K$4:$AJ$4,0)))))</f>
        <v>-1672</v>
      </c>
      <c r="O45" s="267">
        <f>IF(ISNA(MATCH(O$2,Inputs!$K$4:$AJ$4,0)),NA(),IF(SUMPRODUCT((Inputs!$A$5:$A$110=$B45)*ISNUMBER(INDEX(Inputs!$K$5:$AJ$110,0,MATCH(O$2,Inputs!$K$4:$AJ$4,0))))+SUMPRODUCT((Inputs!$C$5:$C$110=$B45)*ISNUMBER(INDEX(Inputs!$K$5:$AJ$110,0,MATCH(O$2,Inputs!$K$4:$AJ$4,0))))+SUMPRODUCT((Inputs!$E$5:$E$110=$B45)*ISNUMBER(INDEX(Inputs!$K$5:$AJ$110,0,MATCH(O$2,Inputs!$K$4:$AJ$4,0))))=0,NA(),SUMPRODUCT((Inputs!$A$5:$A$110=$B45)*Inputs!$B$5:$B$110*(((Inputs!$G$5:$G$110="moeda")+(Inputs!$G$5:$G$110="acoes"))*Inputs!$B$1+((Inputs!$G$5:$G$110&lt;&gt;"moeda")*(Inputs!$G$5:$G$110&lt;&gt;"acoes")))*INDEX(Inputs!$K$5:$AJ$110,0,MATCH(O$2,Inputs!$K$4:$AJ$4,0)))+SUMPRODUCT((Inputs!$C$5:$C$110=$B45)*Inputs!$D$5:$D$110*(((Inputs!$G$5:$G$110="moeda")+(Inputs!$G$5:$G$110="acoes"))*Inputs!$B$1+((Inputs!$G$5:$G$110&lt;&gt;"moeda")*(Inputs!$G$5:$G$110&lt;&gt;"acoes")))*INDEX(Inputs!$K$5:$AJ$110,0,MATCH(O$2,Inputs!$K$4:$AJ$4,0)))+SUMPRODUCT((Inputs!$E$5:$E$110=$B45)*Inputs!$F$5:$F$110*(((Inputs!$G$5:$G$110="moeda")+(Inputs!$G$5:$G$110="acoes"))*Inputs!$B$1+((Inputs!$G$5:$G$110&lt;&gt;"moeda")*(Inputs!$G$5:$G$110&lt;&gt;"acoes")))*INDEX(Inputs!$K$5:$AJ$110,0,MATCH(O$2,Inputs!$K$4:$AJ$4,0)))))</f>
        <v>-1680</v>
      </c>
      <c r="P45" s="267">
        <f>IF(ISNA(MATCH(P$2,Inputs!$K$4:$AJ$4,0)),NA(),IF(SUMPRODUCT((Inputs!$A$5:$A$110=$B45)*ISNUMBER(INDEX(Inputs!$K$5:$AJ$110,0,MATCH(P$2,Inputs!$K$4:$AJ$4,0))))+SUMPRODUCT((Inputs!$C$5:$C$110=$B45)*ISNUMBER(INDEX(Inputs!$K$5:$AJ$110,0,MATCH(P$2,Inputs!$K$4:$AJ$4,0))))+SUMPRODUCT((Inputs!$E$5:$E$110=$B45)*ISNUMBER(INDEX(Inputs!$K$5:$AJ$110,0,MATCH(P$2,Inputs!$K$4:$AJ$4,0))))=0,NA(),SUMPRODUCT((Inputs!$A$5:$A$110=$B45)*Inputs!$B$5:$B$110*(((Inputs!$G$5:$G$110="moeda")+(Inputs!$G$5:$G$110="acoes"))*Inputs!$B$1+((Inputs!$G$5:$G$110&lt;&gt;"moeda")*(Inputs!$G$5:$G$110&lt;&gt;"acoes")))*INDEX(Inputs!$K$5:$AJ$110,0,MATCH(P$2,Inputs!$K$4:$AJ$4,0)))+SUMPRODUCT((Inputs!$C$5:$C$110=$B45)*Inputs!$D$5:$D$110*(((Inputs!$G$5:$G$110="moeda")+(Inputs!$G$5:$G$110="acoes"))*Inputs!$B$1+((Inputs!$G$5:$G$110&lt;&gt;"moeda")*(Inputs!$G$5:$G$110&lt;&gt;"acoes")))*INDEX(Inputs!$K$5:$AJ$110,0,MATCH(P$2,Inputs!$K$4:$AJ$4,0)))+SUMPRODUCT((Inputs!$E$5:$E$110=$B45)*Inputs!$F$5:$F$110*(((Inputs!$G$5:$G$110="moeda")+(Inputs!$G$5:$G$110="acoes"))*Inputs!$B$1+((Inputs!$G$5:$G$110&lt;&gt;"moeda")*(Inputs!$G$5:$G$110&lt;&gt;"acoes")))*INDEX(Inputs!$K$5:$AJ$110,0,MATCH(P$2,Inputs!$K$4:$AJ$4,0)))))</f>
        <v>-1805</v>
      </c>
      <c r="Q45" s="267">
        <f>IF(ISNA(MATCH(Q$2,Inputs!$K$4:$AJ$4,0)),NA(),IF(SUMPRODUCT((Inputs!$A$5:$A$110=$B45)*ISNUMBER(INDEX(Inputs!$K$5:$AJ$110,0,MATCH(Q$2,Inputs!$K$4:$AJ$4,0))))+SUMPRODUCT((Inputs!$C$5:$C$110=$B45)*ISNUMBER(INDEX(Inputs!$K$5:$AJ$110,0,MATCH(Q$2,Inputs!$K$4:$AJ$4,0))))+SUMPRODUCT((Inputs!$E$5:$E$110=$B45)*ISNUMBER(INDEX(Inputs!$K$5:$AJ$110,0,MATCH(Q$2,Inputs!$K$4:$AJ$4,0))))=0,NA(),SUMPRODUCT((Inputs!$A$5:$A$110=$B45)*Inputs!$B$5:$B$110*(((Inputs!$G$5:$G$110="moeda")+(Inputs!$G$5:$G$110="acoes"))*Inputs!$B$1+((Inputs!$G$5:$G$110&lt;&gt;"moeda")*(Inputs!$G$5:$G$110&lt;&gt;"acoes")))*INDEX(Inputs!$K$5:$AJ$110,0,MATCH(Q$2,Inputs!$K$4:$AJ$4,0)))+SUMPRODUCT((Inputs!$C$5:$C$110=$B45)*Inputs!$D$5:$D$110*(((Inputs!$G$5:$G$110="moeda")+(Inputs!$G$5:$G$110="acoes"))*Inputs!$B$1+((Inputs!$G$5:$G$110&lt;&gt;"moeda")*(Inputs!$G$5:$G$110&lt;&gt;"acoes")))*INDEX(Inputs!$K$5:$AJ$110,0,MATCH(Q$2,Inputs!$K$4:$AJ$4,0)))+SUMPRODUCT((Inputs!$E$5:$E$110=$B45)*Inputs!$F$5:$F$110*(((Inputs!$G$5:$G$110="moeda")+(Inputs!$G$5:$G$110="acoes"))*Inputs!$B$1+((Inputs!$G$5:$G$110&lt;&gt;"moeda")*(Inputs!$G$5:$G$110&lt;&gt;"acoes")))*INDEX(Inputs!$K$5:$AJ$110,0,MATCH(Q$2,Inputs!$K$4:$AJ$4,0)))))</f>
        <v>-1843</v>
      </c>
      <c r="R45" s="268">
        <f>Q45</f>
        <v>-1843</v>
      </c>
      <c r="S45" s="267">
        <f>IF(ISNA(MATCH(S$2,Inputs!$K$4:$AJ$4,0)),NA(),IF(SUMPRODUCT((Inputs!$A$5:$A$110=$B45)*ISNUMBER(INDEX(Inputs!$K$5:$AJ$110,0,MATCH(S$2,Inputs!$K$4:$AJ$4,0))))+SUMPRODUCT((Inputs!$C$5:$C$110=$B45)*ISNUMBER(INDEX(Inputs!$K$5:$AJ$110,0,MATCH(S$2,Inputs!$K$4:$AJ$4,0))))+SUMPRODUCT((Inputs!$E$5:$E$110=$B45)*ISNUMBER(INDEX(Inputs!$K$5:$AJ$110,0,MATCH(S$2,Inputs!$K$4:$AJ$4,0))))=0,NA(),SUMPRODUCT((Inputs!$A$5:$A$110=$B45)*Inputs!$B$5:$B$110*(((Inputs!$G$5:$G$110="moeda")+(Inputs!$G$5:$G$110="acoes"))*Inputs!$B$1+((Inputs!$G$5:$G$110&lt;&gt;"moeda")*(Inputs!$G$5:$G$110&lt;&gt;"acoes")))*INDEX(Inputs!$K$5:$AJ$110,0,MATCH(S$2,Inputs!$K$4:$AJ$4,0)))+SUMPRODUCT((Inputs!$C$5:$C$110=$B45)*Inputs!$D$5:$D$110*(((Inputs!$G$5:$G$110="moeda")+(Inputs!$G$5:$G$110="acoes"))*Inputs!$B$1+((Inputs!$G$5:$G$110&lt;&gt;"moeda")*(Inputs!$G$5:$G$110&lt;&gt;"acoes")))*INDEX(Inputs!$K$5:$AJ$110,0,MATCH(S$2,Inputs!$K$4:$AJ$4,0)))+SUMPRODUCT((Inputs!$E$5:$E$110=$B45)*Inputs!$F$5:$F$110*(((Inputs!$G$5:$G$110="moeda")+(Inputs!$G$5:$G$110="acoes"))*Inputs!$B$1+((Inputs!$G$5:$G$110&lt;&gt;"moeda")*(Inputs!$G$5:$G$110&lt;&gt;"acoes")))*INDEX(Inputs!$K$5:$AJ$110,0,MATCH(S$2,Inputs!$K$4:$AJ$4,0)))))</f>
        <v>-1842</v>
      </c>
      <c r="T45" s="267">
        <f>IF(ISNA(MATCH(T$2,Inputs!$K$4:$AJ$4,0)),NA(),IF(SUMPRODUCT((Inputs!$A$5:$A$110=$B45)*ISNUMBER(INDEX(Inputs!$K$5:$AJ$110,0,MATCH(T$2,Inputs!$K$4:$AJ$4,0))))+SUMPRODUCT((Inputs!$C$5:$C$110=$B45)*ISNUMBER(INDEX(Inputs!$K$5:$AJ$110,0,MATCH(T$2,Inputs!$K$4:$AJ$4,0))))+SUMPRODUCT((Inputs!$E$5:$E$110=$B45)*ISNUMBER(INDEX(Inputs!$K$5:$AJ$110,0,MATCH(T$2,Inputs!$K$4:$AJ$4,0))))=0,NA(),SUMPRODUCT((Inputs!$A$5:$A$110=$B45)*Inputs!$B$5:$B$110*(((Inputs!$G$5:$G$110="moeda")+(Inputs!$G$5:$G$110="acoes"))*Inputs!$B$1+((Inputs!$G$5:$G$110&lt;&gt;"moeda")*(Inputs!$G$5:$G$110&lt;&gt;"acoes")))*INDEX(Inputs!$K$5:$AJ$110,0,MATCH(T$2,Inputs!$K$4:$AJ$4,0)))+SUMPRODUCT((Inputs!$C$5:$C$110=$B45)*Inputs!$D$5:$D$110*(((Inputs!$G$5:$G$110="moeda")+(Inputs!$G$5:$G$110="acoes"))*Inputs!$B$1+((Inputs!$G$5:$G$110&lt;&gt;"moeda")*(Inputs!$G$5:$G$110&lt;&gt;"acoes")))*INDEX(Inputs!$K$5:$AJ$110,0,MATCH(T$2,Inputs!$K$4:$AJ$4,0)))+SUMPRODUCT((Inputs!$E$5:$E$110=$B45)*Inputs!$F$5:$F$110*(((Inputs!$G$5:$G$110="moeda")+(Inputs!$G$5:$G$110="acoes"))*Inputs!$B$1+((Inputs!$G$5:$G$110&lt;&gt;"moeda")*(Inputs!$G$5:$G$110&lt;&gt;"acoes")))*INDEX(Inputs!$K$5:$AJ$110,0,MATCH(T$2,Inputs!$K$4:$AJ$4,0)))))</f>
        <v>-1922</v>
      </c>
      <c r="U45" s="267">
        <f>IF(ISNA(MATCH(U$2,Inputs!$K$4:$AJ$4,0)),NA(),IF(SUMPRODUCT((Inputs!$A$5:$A$110=$B45)*ISNUMBER(INDEX(Inputs!$K$5:$AJ$110,0,MATCH(U$2,Inputs!$K$4:$AJ$4,0))))+SUMPRODUCT((Inputs!$C$5:$C$110=$B45)*ISNUMBER(INDEX(Inputs!$K$5:$AJ$110,0,MATCH(U$2,Inputs!$K$4:$AJ$4,0))))+SUMPRODUCT((Inputs!$E$5:$E$110=$B45)*ISNUMBER(INDEX(Inputs!$K$5:$AJ$110,0,MATCH(U$2,Inputs!$K$4:$AJ$4,0))))=0,NA(),SUMPRODUCT((Inputs!$A$5:$A$110=$B45)*Inputs!$B$5:$B$110*(((Inputs!$G$5:$G$110="moeda")+(Inputs!$G$5:$G$110="acoes"))*Inputs!$B$1+((Inputs!$G$5:$G$110&lt;&gt;"moeda")*(Inputs!$G$5:$G$110&lt;&gt;"acoes")))*INDEX(Inputs!$K$5:$AJ$110,0,MATCH(U$2,Inputs!$K$4:$AJ$4,0)))+SUMPRODUCT((Inputs!$C$5:$C$110=$B45)*Inputs!$D$5:$D$110*(((Inputs!$G$5:$G$110="moeda")+(Inputs!$G$5:$G$110="acoes"))*Inputs!$B$1+((Inputs!$G$5:$G$110&lt;&gt;"moeda")*(Inputs!$G$5:$G$110&lt;&gt;"acoes")))*INDEX(Inputs!$K$5:$AJ$110,0,MATCH(U$2,Inputs!$K$4:$AJ$4,0)))+SUMPRODUCT((Inputs!$E$5:$E$110=$B45)*Inputs!$F$5:$F$110*(((Inputs!$G$5:$G$110="moeda")+(Inputs!$G$5:$G$110="acoes"))*Inputs!$B$1+((Inputs!$G$5:$G$110&lt;&gt;"moeda")*(Inputs!$G$5:$G$110&lt;&gt;"acoes")))*INDEX(Inputs!$K$5:$AJ$110,0,MATCH(U$2,Inputs!$K$4:$AJ$4,0)))))</f>
        <v>-1828</v>
      </c>
      <c r="V45" s="267">
        <f>IF(ISNA(MATCH(V$2,Inputs!$K$4:$AJ$4,0)),NA(),IF(SUMPRODUCT((Inputs!$A$5:$A$110=$B45)*ISNUMBER(INDEX(Inputs!$K$5:$AJ$110,0,MATCH(V$2,Inputs!$K$4:$AJ$4,0))))+SUMPRODUCT((Inputs!$C$5:$C$110=$B45)*ISNUMBER(INDEX(Inputs!$K$5:$AJ$110,0,MATCH(V$2,Inputs!$K$4:$AJ$4,0))))+SUMPRODUCT((Inputs!$E$5:$E$110=$B45)*ISNUMBER(INDEX(Inputs!$K$5:$AJ$110,0,MATCH(V$2,Inputs!$K$4:$AJ$4,0))))=0,NA(),SUMPRODUCT((Inputs!$A$5:$A$110=$B45)*Inputs!$B$5:$B$110*(((Inputs!$G$5:$G$110="moeda")+(Inputs!$G$5:$G$110="acoes"))*Inputs!$B$1+((Inputs!$G$5:$G$110&lt;&gt;"moeda")*(Inputs!$G$5:$G$110&lt;&gt;"acoes")))*INDEX(Inputs!$K$5:$AJ$110,0,MATCH(V$2,Inputs!$K$4:$AJ$4,0)))+SUMPRODUCT((Inputs!$C$5:$C$110=$B45)*Inputs!$D$5:$D$110*(((Inputs!$G$5:$G$110="moeda")+(Inputs!$G$5:$G$110="acoes"))*Inputs!$B$1+((Inputs!$G$5:$G$110&lt;&gt;"moeda")*(Inputs!$G$5:$G$110&lt;&gt;"acoes")))*INDEX(Inputs!$K$5:$AJ$110,0,MATCH(V$2,Inputs!$K$4:$AJ$4,0)))+SUMPRODUCT((Inputs!$E$5:$E$110=$B45)*Inputs!$F$5:$F$110*(((Inputs!$G$5:$G$110="moeda")+(Inputs!$G$5:$G$110="acoes"))*Inputs!$B$1+((Inputs!$G$5:$G$110&lt;&gt;"moeda")*(Inputs!$G$5:$G$110&lt;&gt;"acoes")))*INDEX(Inputs!$K$5:$AJ$110,0,MATCH(V$2,Inputs!$K$4:$AJ$4,0)))))</f>
        <v>-2152</v>
      </c>
      <c r="W45" s="268">
        <f>V45</f>
        <v>-2152</v>
      </c>
      <c r="X45" s="267">
        <f>IF(ISNA(MATCH(X$2,Inputs!$K$4:$AJ$4,0)),NA(),IF(SUMPRODUCT((Inputs!$A$5:$A$110=$B45)*ISNUMBER(INDEX(Inputs!$K$5:$AJ$110,0,MATCH(X$2,Inputs!$K$4:$AJ$4,0))))+SUMPRODUCT((Inputs!$C$5:$C$110=$B45)*ISNUMBER(INDEX(Inputs!$K$5:$AJ$110,0,MATCH(X$2,Inputs!$K$4:$AJ$4,0))))+SUMPRODUCT((Inputs!$E$5:$E$110=$B45)*ISNUMBER(INDEX(Inputs!$K$5:$AJ$110,0,MATCH(X$2,Inputs!$K$4:$AJ$4,0))))=0,NA(),SUMPRODUCT((Inputs!$A$5:$A$110=$B45)*Inputs!$B$5:$B$110*(((Inputs!$G$5:$G$110="moeda")+(Inputs!$G$5:$G$110="acoes"))*Inputs!$B$1+((Inputs!$G$5:$G$110&lt;&gt;"moeda")*(Inputs!$G$5:$G$110&lt;&gt;"acoes")))*INDEX(Inputs!$K$5:$AJ$110,0,MATCH(X$2,Inputs!$K$4:$AJ$4,0)))+SUMPRODUCT((Inputs!$C$5:$C$110=$B45)*Inputs!$D$5:$D$110*(((Inputs!$G$5:$G$110="moeda")+(Inputs!$G$5:$G$110="acoes"))*Inputs!$B$1+((Inputs!$G$5:$G$110&lt;&gt;"moeda")*(Inputs!$G$5:$G$110&lt;&gt;"acoes")))*INDEX(Inputs!$K$5:$AJ$110,0,MATCH(X$2,Inputs!$K$4:$AJ$4,0)))+SUMPRODUCT((Inputs!$E$5:$E$110=$B45)*Inputs!$F$5:$F$110*(((Inputs!$G$5:$G$110="moeda")+(Inputs!$G$5:$G$110="acoes"))*Inputs!$B$1+((Inputs!$G$5:$G$110&lt;&gt;"moeda")*(Inputs!$G$5:$G$110&lt;&gt;"acoes")))*INDEX(Inputs!$K$5:$AJ$110,0,MATCH(X$2,Inputs!$K$4:$AJ$4,0)))))</f>
        <v>-2242</v>
      </c>
      <c r="Y45" s="267">
        <f>IF(ISNA(MATCH(Y$2,Inputs!$K$4:$AJ$4,0)),NA(),IF(SUMPRODUCT((Inputs!$A$5:$A$110=$B45)*ISNUMBER(INDEX(Inputs!$K$5:$AJ$110,0,MATCH(Y$2,Inputs!$K$4:$AJ$4,0))))+SUMPRODUCT((Inputs!$C$5:$C$110=$B45)*ISNUMBER(INDEX(Inputs!$K$5:$AJ$110,0,MATCH(Y$2,Inputs!$K$4:$AJ$4,0))))+SUMPRODUCT((Inputs!$E$5:$E$110=$B45)*ISNUMBER(INDEX(Inputs!$K$5:$AJ$110,0,MATCH(Y$2,Inputs!$K$4:$AJ$4,0))))=0,NA(),SUMPRODUCT((Inputs!$A$5:$A$110=$B45)*Inputs!$B$5:$B$110*(((Inputs!$G$5:$G$110="moeda")+(Inputs!$G$5:$G$110="acoes"))*Inputs!$B$1+((Inputs!$G$5:$G$110&lt;&gt;"moeda")*(Inputs!$G$5:$G$110&lt;&gt;"acoes")))*INDEX(Inputs!$K$5:$AJ$110,0,MATCH(Y$2,Inputs!$K$4:$AJ$4,0)))+SUMPRODUCT((Inputs!$C$5:$C$110=$B45)*Inputs!$D$5:$D$110*(((Inputs!$G$5:$G$110="moeda")+(Inputs!$G$5:$G$110="acoes"))*Inputs!$B$1+((Inputs!$G$5:$G$110&lt;&gt;"moeda")*(Inputs!$G$5:$G$110&lt;&gt;"acoes")))*INDEX(Inputs!$K$5:$AJ$110,0,MATCH(Y$2,Inputs!$K$4:$AJ$4,0)))+SUMPRODUCT((Inputs!$E$5:$E$110=$B45)*Inputs!$F$5:$F$110*(((Inputs!$G$5:$G$110="moeda")+(Inputs!$G$5:$G$110="acoes"))*Inputs!$B$1+((Inputs!$G$5:$G$110&lt;&gt;"moeda")*(Inputs!$G$5:$G$110&lt;&gt;"acoes")))*INDEX(Inputs!$K$5:$AJ$110,0,MATCH(Y$2,Inputs!$K$4:$AJ$4,0)))))</f>
        <v>-1915</v>
      </c>
      <c r="Z45" s="267">
        <f>IF(ISNA(MATCH(Z$2,Inputs!$K$4:$AJ$4,0)),NA(),IF(SUMPRODUCT((Inputs!$A$5:$A$110=$B45)*ISNUMBER(INDEX(Inputs!$K$5:$AJ$110,0,MATCH(Z$2,Inputs!$K$4:$AJ$4,0))))+SUMPRODUCT((Inputs!$C$5:$C$110=$B45)*ISNUMBER(INDEX(Inputs!$K$5:$AJ$110,0,MATCH(Z$2,Inputs!$K$4:$AJ$4,0))))+SUMPRODUCT((Inputs!$E$5:$E$110=$B45)*ISNUMBER(INDEX(Inputs!$K$5:$AJ$110,0,MATCH(Z$2,Inputs!$K$4:$AJ$4,0))))=0,NA(),SUMPRODUCT((Inputs!$A$5:$A$110=$B45)*Inputs!$B$5:$B$110*(((Inputs!$G$5:$G$110="moeda")+(Inputs!$G$5:$G$110="acoes"))*Inputs!$B$1+((Inputs!$G$5:$G$110&lt;&gt;"moeda")*(Inputs!$G$5:$G$110&lt;&gt;"acoes")))*INDEX(Inputs!$K$5:$AJ$110,0,MATCH(Z$2,Inputs!$K$4:$AJ$4,0)))+SUMPRODUCT((Inputs!$C$5:$C$110=$B45)*Inputs!$D$5:$D$110*(((Inputs!$G$5:$G$110="moeda")+(Inputs!$G$5:$G$110="acoes"))*Inputs!$B$1+((Inputs!$G$5:$G$110&lt;&gt;"moeda")*(Inputs!$G$5:$G$110&lt;&gt;"acoes")))*INDEX(Inputs!$K$5:$AJ$110,0,MATCH(Z$2,Inputs!$K$4:$AJ$4,0)))+SUMPRODUCT((Inputs!$E$5:$E$110=$B45)*Inputs!$F$5:$F$110*(((Inputs!$G$5:$G$110="moeda")+(Inputs!$G$5:$G$110="acoes"))*Inputs!$B$1+((Inputs!$G$5:$G$110&lt;&gt;"moeda")*(Inputs!$G$5:$G$110&lt;&gt;"acoes")))*INDEX(Inputs!$K$5:$AJ$110,0,MATCH(Z$2,Inputs!$K$4:$AJ$4,0)))))</f>
        <v>-1770</v>
      </c>
      <c r="AA45" s="267">
        <f>IF(ISNA(MATCH(AA$2,Inputs!$K$4:$AJ$4,0)),NA(),IF(SUMPRODUCT((Inputs!$A$5:$A$110=$B45)*ISNUMBER(INDEX(Inputs!$K$5:$AJ$110,0,MATCH(AA$2,Inputs!$K$4:$AJ$4,0))))+SUMPRODUCT((Inputs!$C$5:$C$110=$B45)*ISNUMBER(INDEX(Inputs!$K$5:$AJ$110,0,MATCH(AA$2,Inputs!$K$4:$AJ$4,0))))+SUMPRODUCT((Inputs!$E$5:$E$110=$B45)*ISNUMBER(INDEX(Inputs!$K$5:$AJ$110,0,MATCH(AA$2,Inputs!$K$4:$AJ$4,0))))=0,NA(),SUMPRODUCT((Inputs!$A$5:$A$110=$B45)*Inputs!$B$5:$B$110*(((Inputs!$G$5:$G$110="moeda")+(Inputs!$G$5:$G$110="acoes"))*Inputs!$B$1+((Inputs!$G$5:$G$110&lt;&gt;"moeda")*(Inputs!$G$5:$G$110&lt;&gt;"acoes")))*INDEX(Inputs!$K$5:$AJ$110,0,MATCH(AA$2,Inputs!$K$4:$AJ$4,0)))+SUMPRODUCT((Inputs!$C$5:$C$110=$B45)*Inputs!$D$5:$D$110*(((Inputs!$G$5:$G$110="moeda")+(Inputs!$G$5:$G$110="acoes"))*Inputs!$B$1+((Inputs!$G$5:$G$110&lt;&gt;"moeda")*(Inputs!$G$5:$G$110&lt;&gt;"acoes")))*INDEX(Inputs!$K$5:$AJ$110,0,MATCH(AA$2,Inputs!$K$4:$AJ$4,0)))+SUMPRODUCT((Inputs!$E$5:$E$110=$B45)*Inputs!$F$5:$F$110*(((Inputs!$G$5:$G$110="moeda")+(Inputs!$G$5:$G$110="acoes"))*Inputs!$B$1+((Inputs!$G$5:$G$110&lt;&gt;"moeda")*(Inputs!$G$5:$G$110&lt;&gt;"acoes")))*INDEX(Inputs!$K$5:$AJ$110,0,MATCH(AA$2,Inputs!$K$4:$AJ$4,0)))))</f>
        <v>-1976</v>
      </c>
      <c r="AB45" s="268">
        <f>AA45</f>
        <v>-1976</v>
      </c>
      <c r="AC45" s="267">
        <f>IF(ISNA(MATCH(AC$2,Inputs!$K$4:$AJ$4,0)),NA(),IF(SUMPRODUCT((Inputs!$A$5:$A$110=$B45)*ISNUMBER(INDEX(Inputs!$K$5:$AJ$110,0,MATCH(AC$2,Inputs!$K$4:$AJ$4,0))))+SUMPRODUCT((Inputs!$C$5:$C$110=$B45)*ISNUMBER(INDEX(Inputs!$K$5:$AJ$110,0,MATCH(AC$2,Inputs!$K$4:$AJ$4,0))))+SUMPRODUCT((Inputs!$E$5:$E$110=$B45)*ISNUMBER(INDEX(Inputs!$K$5:$AJ$110,0,MATCH(AC$2,Inputs!$K$4:$AJ$4,0))))=0,NA(),SUMPRODUCT((Inputs!$A$5:$A$110=$B45)*Inputs!$B$5:$B$110*(((Inputs!$G$5:$G$110="moeda")+(Inputs!$G$5:$G$110="acoes"))*Inputs!$B$1+((Inputs!$G$5:$G$110&lt;&gt;"moeda")*(Inputs!$G$5:$G$110&lt;&gt;"acoes")))*INDEX(Inputs!$K$5:$AJ$110,0,MATCH(AC$2,Inputs!$K$4:$AJ$4,0)))+SUMPRODUCT((Inputs!$C$5:$C$110=$B45)*Inputs!$D$5:$D$110*(((Inputs!$G$5:$G$110="moeda")+(Inputs!$G$5:$G$110="acoes"))*Inputs!$B$1+((Inputs!$G$5:$G$110&lt;&gt;"moeda")*(Inputs!$G$5:$G$110&lt;&gt;"acoes")))*INDEX(Inputs!$K$5:$AJ$110,0,MATCH(AC$2,Inputs!$K$4:$AJ$4,0)))+SUMPRODUCT((Inputs!$E$5:$E$110=$B45)*Inputs!$F$5:$F$110*(((Inputs!$G$5:$G$110="moeda")+(Inputs!$G$5:$G$110="acoes"))*Inputs!$B$1+((Inputs!$G$5:$G$110&lt;&gt;"moeda")*(Inputs!$G$5:$G$110&lt;&gt;"acoes")))*INDEX(Inputs!$K$5:$AJ$110,0,MATCH(AC$2,Inputs!$K$4:$AJ$4,0)))))</f>
        <v>-1606</v>
      </c>
      <c r="AD45" s="267">
        <f>IF(ISNA(MATCH(AD$2,Inputs!$K$4:$AJ$4,0)),NA(),IF(SUMPRODUCT((Inputs!$A$5:$A$110=$B45)*ISNUMBER(INDEX(Inputs!$K$5:$AJ$110,0,MATCH(AD$2,Inputs!$K$4:$AJ$4,0))))+SUMPRODUCT((Inputs!$C$5:$C$110=$B45)*ISNUMBER(INDEX(Inputs!$K$5:$AJ$110,0,MATCH(AD$2,Inputs!$K$4:$AJ$4,0))))+SUMPRODUCT((Inputs!$E$5:$E$110=$B45)*ISNUMBER(INDEX(Inputs!$K$5:$AJ$110,0,MATCH(AD$2,Inputs!$K$4:$AJ$4,0))))=0,NA(),SUMPRODUCT((Inputs!$A$5:$A$110=$B45)*Inputs!$B$5:$B$110*(((Inputs!$G$5:$G$110="moeda")+(Inputs!$G$5:$G$110="acoes"))*Inputs!$B$1+((Inputs!$G$5:$G$110&lt;&gt;"moeda")*(Inputs!$G$5:$G$110&lt;&gt;"acoes")))*INDEX(Inputs!$K$5:$AJ$110,0,MATCH(AD$2,Inputs!$K$4:$AJ$4,0)))+SUMPRODUCT((Inputs!$C$5:$C$110=$B45)*Inputs!$D$5:$D$110*(((Inputs!$G$5:$G$110="moeda")+(Inputs!$G$5:$G$110="acoes"))*Inputs!$B$1+((Inputs!$G$5:$G$110&lt;&gt;"moeda")*(Inputs!$G$5:$G$110&lt;&gt;"acoes")))*INDEX(Inputs!$K$5:$AJ$110,0,MATCH(AD$2,Inputs!$K$4:$AJ$4,0)))+SUMPRODUCT((Inputs!$E$5:$E$110=$B45)*Inputs!$F$5:$F$110*(((Inputs!$G$5:$G$110="moeda")+(Inputs!$G$5:$G$110="acoes"))*Inputs!$B$1+((Inputs!$G$5:$G$110&lt;&gt;"moeda")*(Inputs!$G$5:$G$110&lt;&gt;"acoes")))*INDEX(Inputs!$K$5:$AJ$110,0,MATCH(AD$2,Inputs!$K$4:$AJ$4,0)))))</f>
        <v>-1658</v>
      </c>
      <c r="AE45" s="267" t="e">
        <f>IF(ISNA(MATCH(AE$2,Inputs!$K$4:$AJ$4,0)),NA(),IF(SUMPRODUCT((Inputs!$A$5:$A$110=$B45)*ISNUMBER(INDEX(Inputs!$K$5:$AJ$110,0,MATCH(AE$2,Inputs!$K$4:$AJ$4,0))))+SUMPRODUCT((Inputs!$C$5:$C$110=$B45)*ISNUMBER(INDEX(Inputs!$K$5:$AJ$110,0,MATCH(AE$2,Inputs!$K$4:$AJ$4,0))))+SUMPRODUCT((Inputs!$E$5:$E$110=$B45)*ISNUMBER(INDEX(Inputs!$K$5:$AJ$110,0,MATCH(AE$2,Inputs!$K$4:$AJ$4,0))))=0,NA(),SUMPRODUCT((Inputs!$A$5:$A$110=$B45)*Inputs!$B$5:$B$110*(((Inputs!$G$5:$G$110="moeda")+(Inputs!$G$5:$G$110="acoes"))*Inputs!$B$1+((Inputs!$G$5:$G$110&lt;&gt;"moeda")*(Inputs!$G$5:$G$110&lt;&gt;"acoes")))*INDEX(Inputs!$K$5:$AJ$110,0,MATCH(AE$2,Inputs!$K$4:$AJ$4,0)))+SUMPRODUCT((Inputs!$C$5:$C$110=$B45)*Inputs!$D$5:$D$110*(((Inputs!$G$5:$G$110="moeda")+(Inputs!$G$5:$G$110="acoes"))*Inputs!$B$1+((Inputs!$G$5:$G$110&lt;&gt;"moeda")*(Inputs!$G$5:$G$110&lt;&gt;"acoes")))*INDEX(Inputs!$K$5:$AJ$110,0,MATCH(AE$2,Inputs!$K$4:$AJ$4,0)))+SUMPRODUCT((Inputs!$E$5:$E$110=$B45)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5" s="267" t="e">
        <f>IF(ISNA(MATCH(AF$2,Inputs!$K$4:$AJ$4,0)),NA(),IF(SUMPRODUCT((Inputs!$A$5:$A$110=$B45)*ISNUMBER(INDEX(Inputs!$K$5:$AJ$110,0,MATCH(AF$2,Inputs!$K$4:$AJ$4,0))))+SUMPRODUCT((Inputs!$C$5:$C$110=$B45)*ISNUMBER(INDEX(Inputs!$K$5:$AJ$110,0,MATCH(AF$2,Inputs!$K$4:$AJ$4,0))))+SUMPRODUCT((Inputs!$E$5:$E$110=$B45)*ISNUMBER(INDEX(Inputs!$K$5:$AJ$110,0,MATCH(AF$2,Inputs!$K$4:$AJ$4,0))))=0,NA(),SUMPRODUCT((Inputs!$A$5:$A$110=$B45)*Inputs!$B$5:$B$110*(((Inputs!$G$5:$G$110="moeda")+(Inputs!$G$5:$G$110="acoes"))*Inputs!$B$1+((Inputs!$G$5:$G$110&lt;&gt;"moeda")*(Inputs!$G$5:$G$110&lt;&gt;"acoes")))*INDEX(Inputs!$K$5:$AJ$110,0,MATCH(AF$2,Inputs!$K$4:$AJ$4,0)))+SUMPRODUCT((Inputs!$C$5:$C$110=$B45)*Inputs!$D$5:$D$110*(((Inputs!$G$5:$G$110="moeda")+(Inputs!$G$5:$G$110="acoes"))*Inputs!$B$1+((Inputs!$G$5:$G$110&lt;&gt;"moeda")*(Inputs!$G$5:$G$110&lt;&gt;"acoes")))*INDEX(Inputs!$K$5:$AJ$110,0,MATCH(AF$2,Inputs!$K$4:$AJ$4,0)))+SUMPRODUCT((Inputs!$E$5:$E$110=$B45)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5" s="268" t="e">
        <f>AF45</f>
        <v>#N/A</v>
      </c>
      <c r="AH45" s="267">
        <f>IF(ISNA(MATCH(AH$2,Inputs!$K$4:$AJ$4,0)),NA(),IF(SUMPRODUCT((Inputs!$A$5:$A$110=$B45)*ISNUMBER(INDEX(Inputs!$K$5:$AJ$110,0,MATCH(AH$2,Inputs!$K$4:$AJ$4,0))))+SUMPRODUCT((Inputs!$C$5:$C$110=$B45)*ISNUMBER(INDEX(Inputs!$K$5:$AJ$110,0,MATCH(AH$2,Inputs!$K$4:$AJ$4,0))))+SUMPRODUCT((Inputs!$E$5:$E$110=$B45)*ISNUMBER(INDEX(Inputs!$K$5:$AJ$110,0,MATCH(AH$2,Inputs!$K$4:$AJ$4,0))))=0,NA(),SUMPRODUCT((Inputs!$A$5:$A$110=$B45)*Inputs!$B$5:$B$110*(((Inputs!$G$5:$G$110="moeda")+(Inputs!$G$5:$G$110="acoes"))*Inputs!$B$1+((Inputs!$G$5:$G$110&lt;&gt;"moeda")*(Inputs!$G$5:$G$110&lt;&gt;"acoes")))*INDEX(Inputs!$K$5:$AJ$110,0,MATCH(AH$2,Inputs!$K$4:$AJ$4,0)))+SUMPRODUCT((Inputs!$C$5:$C$110=$B45)*Inputs!$D$5:$D$110*(((Inputs!$G$5:$G$110="moeda")+(Inputs!$G$5:$G$110="acoes"))*Inputs!$B$1+((Inputs!$G$5:$G$110&lt;&gt;"moeda")*(Inputs!$G$5:$G$110&lt;&gt;"acoes")))*INDEX(Inputs!$K$5:$AJ$110,0,MATCH(AH$2,Inputs!$K$4:$AJ$4,0)))+SUMPRODUCT((Inputs!$E$5:$E$110=$B45)*Inputs!$F$5:$F$110*(((Inputs!$G$5:$G$110="moeda")+(Inputs!$G$5:$G$110="acoes"))*Inputs!$B$1+((Inputs!$G$5:$G$110&lt;&gt;"moeda")*(Inputs!$G$5:$G$110&lt;&gt;"acoes")))*INDEX(Inputs!$K$5:$AJ$110,0,MATCH(AH$2,Inputs!$K$4:$AJ$4,0)))))</f>
        <v>-1280</v>
      </c>
      <c r="AI45" s="267">
        <f>IF(ISNA(MATCH(AI$2,Inputs!$K$4:$AJ$4,0)),NA(),IF(SUMPRODUCT((Inputs!$A$5:$A$110=$B45)*ISNUMBER(INDEX(Inputs!$K$5:$AJ$110,0,MATCH(AI$2,Inputs!$K$4:$AJ$4,0))))+SUMPRODUCT((Inputs!$C$5:$C$110=$B45)*ISNUMBER(INDEX(Inputs!$K$5:$AJ$110,0,MATCH(AI$2,Inputs!$K$4:$AJ$4,0))))+SUMPRODUCT((Inputs!$E$5:$E$110=$B45)*ISNUMBER(INDEX(Inputs!$K$5:$AJ$110,0,MATCH(AI$2,Inputs!$K$4:$AJ$4,0))))=0,NA(),SUMPRODUCT((Inputs!$A$5:$A$110=$B45)*Inputs!$B$5:$B$110*(((Inputs!$G$5:$G$110="moeda")+(Inputs!$G$5:$G$110="acoes"))*Inputs!$B$1+((Inputs!$G$5:$G$110&lt;&gt;"moeda")*(Inputs!$G$5:$G$110&lt;&gt;"acoes")))*INDEX(Inputs!$K$5:$AJ$110,0,MATCH(AI$2,Inputs!$K$4:$AJ$4,0)))+SUMPRODUCT((Inputs!$C$5:$C$110=$B45)*Inputs!$D$5:$D$110*(((Inputs!$G$5:$G$110="moeda")+(Inputs!$G$5:$G$110="acoes"))*Inputs!$B$1+((Inputs!$G$5:$G$110&lt;&gt;"moeda")*(Inputs!$G$5:$G$110&lt;&gt;"acoes")))*INDEX(Inputs!$K$5:$AJ$110,0,MATCH(AI$2,Inputs!$K$4:$AJ$4,0)))+SUMPRODUCT((Inputs!$E$5:$E$110=$B45)*Inputs!$F$5:$F$110*(((Inputs!$G$5:$G$110="moeda")+(Inputs!$G$5:$G$110="acoes"))*Inputs!$B$1+((Inputs!$G$5:$G$110&lt;&gt;"moeda")*(Inputs!$G$5:$G$110&lt;&gt;"acoes")))*INDEX(Inputs!$K$5:$AJ$110,0,MATCH(AI$2,Inputs!$K$4:$AJ$4,0)))))</f>
        <v>-1678</v>
      </c>
      <c r="AJ45" s="267">
        <f>IF(ISNA(MATCH(AJ$2,Inputs!$K$4:$AJ$4,0)),NA(),IF(SUMPRODUCT((Inputs!$A$5:$A$110=$B45)*ISNUMBER(INDEX(Inputs!$K$5:$AJ$110,0,MATCH(AJ$2,Inputs!$K$4:$AJ$4,0))))+SUMPRODUCT((Inputs!$C$5:$C$110=$B45)*ISNUMBER(INDEX(Inputs!$K$5:$AJ$110,0,MATCH(AJ$2,Inputs!$K$4:$AJ$4,0))))+SUMPRODUCT((Inputs!$E$5:$E$110=$B45)*ISNUMBER(INDEX(Inputs!$K$5:$AJ$110,0,MATCH(AJ$2,Inputs!$K$4:$AJ$4,0))))=0,NA(),SUMPRODUCT((Inputs!$A$5:$A$110=$B45)*Inputs!$B$5:$B$110*(((Inputs!$G$5:$G$110="moeda")+(Inputs!$G$5:$G$110="acoes"))*Inputs!$B$1+((Inputs!$G$5:$G$110&lt;&gt;"moeda")*(Inputs!$G$5:$G$110&lt;&gt;"acoes")))*INDEX(Inputs!$K$5:$AJ$110,0,MATCH(AJ$2,Inputs!$K$4:$AJ$4,0)))+SUMPRODUCT((Inputs!$C$5:$C$110=$B45)*Inputs!$D$5:$D$110*(((Inputs!$G$5:$G$110="moeda")+(Inputs!$G$5:$G$110="acoes"))*Inputs!$B$1+((Inputs!$G$5:$G$110&lt;&gt;"moeda")*(Inputs!$G$5:$G$110&lt;&gt;"acoes")))*INDEX(Inputs!$K$5:$AJ$110,0,MATCH(AJ$2,Inputs!$K$4:$AJ$4,0)))+SUMPRODUCT((Inputs!$E$5:$E$110=$B45)*Inputs!$F$5:$F$110*(((Inputs!$G$5:$G$110="moeda")+(Inputs!$G$5:$G$110="acoes"))*Inputs!$B$1+((Inputs!$G$5:$G$110&lt;&gt;"moeda")*(Inputs!$G$5:$G$110&lt;&gt;"acoes")))*INDEX(Inputs!$K$5:$AJ$110,0,MATCH(AJ$2,Inputs!$K$4:$AJ$4,0)))))</f>
        <v>-1297</v>
      </c>
      <c r="AK45" s="267">
        <f>IF(ISNA(MATCH(AK$2,Inputs!$K$4:$AJ$4,0)),NA(),IF(SUMPRODUCT((Inputs!$A$5:$A$110=$B45)*ISNUMBER(INDEX(Inputs!$K$5:$AJ$110,0,MATCH(AK$2,Inputs!$K$4:$AJ$4,0))))+SUMPRODUCT((Inputs!$C$5:$C$110=$B45)*ISNUMBER(INDEX(Inputs!$K$5:$AJ$110,0,MATCH(AK$2,Inputs!$K$4:$AJ$4,0))))+SUMPRODUCT((Inputs!$E$5:$E$110=$B45)*ISNUMBER(INDEX(Inputs!$K$5:$AJ$110,0,MATCH(AK$2,Inputs!$K$4:$AJ$4,0))))=0,NA(),SUMPRODUCT((Inputs!$A$5:$A$110=$B45)*Inputs!$B$5:$B$110*(((Inputs!$G$5:$G$110="moeda")+(Inputs!$G$5:$G$110="acoes"))*Inputs!$B$1+((Inputs!$G$5:$G$110&lt;&gt;"moeda")*(Inputs!$G$5:$G$110&lt;&gt;"acoes")))*INDEX(Inputs!$K$5:$AJ$110,0,MATCH(AK$2,Inputs!$K$4:$AJ$4,0)))+SUMPRODUCT((Inputs!$C$5:$C$110=$B45)*Inputs!$D$5:$D$110*(((Inputs!$G$5:$G$110="moeda")+(Inputs!$G$5:$G$110="acoes"))*Inputs!$B$1+((Inputs!$G$5:$G$110&lt;&gt;"moeda")*(Inputs!$G$5:$G$110&lt;&gt;"acoes")))*INDEX(Inputs!$K$5:$AJ$110,0,MATCH(AK$2,Inputs!$K$4:$AJ$4,0)))+SUMPRODUCT((Inputs!$E$5:$E$110=$B45)*Inputs!$F$5:$F$110*(((Inputs!$G$5:$G$110="moeda")+(Inputs!$G$5:$G$110="acoes"))*Inputs!$B$1+((Inputs!$G$5:$G$110&lt;&gt;"moeda")*(Inputs!$G$5:$G$110&lt;&gt;"acoes")))*INDEX(Inputs!$K$5:$AJ$110,0,MATCH(AK$2,Inputs!$K$4:$AJ$4,0)))))</f>
        <v>-1101</v>
      </c>
      <c r="AL45" s="268">
        <f>AK45</f>
        <v>-1101</v>
      </c>
    </row>
    <row r="46" ht="12.75" customHeight="1" s="255">
      <c r="B46" s="265" t="n">
        <v>40</v>
      </c>
      <c r="C46" s="270" t="inlineStr">
        <is>
          <t>Other equity account</t>
        </is>
      </c>
      <c r="D46" s="267">
        <f>IF(ISNA(MATCH(D$2,Inputs!$K$4:$AJ$4,0)),NA(),IF(SUMPRODUCT((Inputs!$A$5:$A$110=$B46)*ISNUMBER(INDEX(Inputs!$K$5:$AJ$110,0,MATCH(D$2,Inputs!$K$4:$AJ$4,0))))+SUMPRODUCT((Inputs!$C$5:$C$110=$B46)*ISNUMBER(INDEX(Inputs!$K$5:$AJ$110,0,MATCH(D$2,Inputs!$K$4:$AJ$4,0))))+SUMPRODUCT((Inputs!$E$5:$E$110=$B46)*ISNUMBER(INDEX(Inputs!$K$5:$AJ$110,0,MATCH(D$2,Inputs!$K$4:$AJ$4,0))))=0,NA(),SUMPRODUCT((Inputs!$A$5:$A$110=$B46)*Inputs!$B$5:$B$110*(((Inputs!$G$5:$G$110="moeda")+(Inputs!$G$5:$G$110="acoes"))*Inputs!$B$1+((Inputs!$G$5:$G$110&lt;&gt;"moeda")*(Inputs!$G$5:$G$110&lt;&gt;"acoes")))*INDEX(Inputs!$K$5:$AJ$110,0,MATCH(D$2,Inputs!$K$4:$AJ$4,0)))+SUMPRODUCT((Inputs!$C$5:$C$110=$B46)*Inputs!$D$5:$D$110*(((Inputs!$G$5:$G$110="moeda")+(Inputs!$G$5:$G$110="acoes"))*Inputs!$B$1+((Inputs!$G$5:$G$110&lt;&gt;"moeda")*(Inputs!$G$5:$G$110&lt;&gt;"acoes")))*INDEX(Inputs!$K$5:$AJ$110,0,MATCH(D$2,Inputs!$K$4:$AJ$4,0)))+SUMPRODUCT((Inputs!$E$5:$E$110=$B46)*Inputs!$F$5:$F$110*(((Inputs!$G$5:$G$110="moeda")+(Inputs!$G$5:$G$110="acoes"))*Inputs!$B$1+((Inputs!$G$5:$G$110&lt;&gt;"moeda")*(Inputs!$G$5:$G$110&lt;&gt;"acoes")))*INDEX(Inputs!$K$5:$AJ$110,0,MATCH(D$2,Inputs!$K$4:$AJ$4,0)))))</f>
        <v>0</v>
      </c>
      <c r="E46" s="267">
        <f>IF(ISNA(MATCH(E$2,Inputs!$K$4:$AJ$4,0)),NA(),IF(SUMPRODUCT((Inputs!$A$5:$A$110=$B46)*ISNUMBER(INDEX(Inputs!$K$5:$AJ$110,0,MATCH(E$2,Inputs!$K$4:$AJ$4,0))))+SUMPRODUCT((Inputs!$C$5:$C$110=$B46)*ISNUMBER(INDEX(Inputs!$K$5:$AJ$110,0,MATCH(E$2,Inputs!$K$4:$AJ$4,0))))+SUMPRODUCT((Inputs!$E$5:$E$110=$B46)*ISNUMBER(INDEX(Inputs!$K$5:$AJ$110,0,MATCH(E$2,Inputs!$K$4:$AJ$4,0))))=0,NA(),SUMPRODUCT((Inputs!$A$5:$A$110=$B46)*Inputs!$B$5:$B$110*(((Inputs!$G$5:$G$110="moeda")+(Inputs!$G$5:$G$110="acoes"))*Inputs!$B$1+((Inputs!$G$5:$G$110&lt;&gt;"moeda")*(Inputs!$G$5:$G$110&lt;&gt;"acoes")))*INDEX(Inputs!$K$5:$AJ$110,0,MATCH(E$2,Inputs!$K$4:$AJ$4,0)))+SUMPRODUCT((Inputs!$C$5:$C$110=$B46)*Inputs!$D$5:$D$110*(((Inputs!$G$5:$G$110="moeda")+(Inputs!$G$5:$G$110="acoes"))*Inputs!$B$1+((Inputs!$G$5:$G$110&lt;&gt;"moeda")*(Inputs!$G$5:$G$110&lt;&gt;"acoes")))*INDEX(Inputs!$K$5:$AJ$110,0,MATCH(E$2,Inputs!$K$4:$AJ$4,0)))+SUMPRODUCT((Inputs!$E$5:$E$110=$B46)*Inputs!$F$5:$F$110*(((Inputs!$G$5:$G$110="moeda")+(Inputs!$G$5:$G$110="acoes"))*Inputs!$B$1+((Inputs!$G$5:$G$110&lt;&gt;"moeda")*(Inputs!$G$5:$G$110&lt;&gt;"acoes")))*INDEX(Inputs!$K$5:$AJ$110,0,MATCH(E$2,Inputs!$K$4:$AJ$4,0)))))</f>
        <v>0</v>
      </c>
      <c r="F46" s="267">
        <f>IF(ISNA(MATCH(F$2,Inputs!$K$4:$AJ$4,0)),NA(),IF(SUMPRODUCT((Inputs!$A$5:$A$110=$B46)*ISNUMBER(INDEX(Inputs!$K$5:$AJ$110,0,MATCH(F$2,Inputs!$K$4:$AJ$4,0))))+SUMPRODUCT((Inputs!$C$5:$C$110=$B46)*ISNUMBER(INDEX(Inputs!$K$5:$AJ$110,0,MATCH(F$2,Inputs!$K$4:$AJ$4,0))))+SUMPRODUCT((Inputs!$E$5:$E$110=$B46)*ISNUMBER(INDEX(Inputs!$K$5:$AJ$110,0,MATCH(F$2,Inputs!$K$4:$AJ$4,0))))=0,NA(),SUMPRODUCT((Inputs!$A$5:$A$110=$B46)*Inputs!$B$5:$B$110*(((Inputs!$G$5:$G$110="moeda")+(Inputs!$G$5:$G$110="acoes"))*Inputs!$B$1+((Inputs!$G$5:$G$110&lt;&gt;"moeda")*(Inputs!$G$5:$G$110&lt;&gt;"acoes")))*INDEX(Inputs!$K$5:$AJ$110,0,MATCH(F$2,Inputs!$K$4:$AJ$4,0)))+SUMPRODUCT((Inputs!$C$5:$C$110=$B46)*Inputs!$D$5:$D$110*(((Inputs!$G$5:$G$110="moeda")+(Inputs!$G$5:$G$110="acoes"))*Inputs!$B$1+((Inputs!$G$5:$G$110&lt;&gt;"moeda")*(Inputs!$G$5:$G$110&lt;&gt;"acoes")))*INDEX(Inputs!$K$5:$AJ$110,0,MATCH(F$2,Inputs!$K$4:$AJ$4,0)))+SUMPRODUCT((Inputs!$E$5:$E$110=$B46)*Inputs!$F$5:$F$110*(((Inputs!$G$5:$G$110="moeda")+(Inputs!$G$5:$G$110="acoes"))*Inputs!$B$1+((Inputs!$G$5:$G$110&lt;&gt;"moeda")*(Inputs!$G$5:$G$110&lt;&gt;"acoes")))*INDEX(Inputs!$K$5:$AJ$110,0,MATCH(F$2,Inputs!$K$4:$AJ$4,0)))))</f>
        <v>0</v>
      </c>
      <c r="G46" s="267">
        <f>IF(ISNA(MATCH(G$2,Inputs!$K$4:$AJ$4,0)),NA(),IF(SUMPRODUCT((Inputs!$A$5:$A$110=$B46)*ISNUMBER(INDEX(Inputs!$K$5:$AJ$110,0,MATCH(G$2,Inputs!$K$4:$AJ$4,0))))+SUMPRODUCT((Inputs!$C$5:$C$110=$B46)*ISNUMBER(INDEX(Inputs!$K$5:$AJ$110,0,MATCH(G$2,Inputs!$K$4:$AJ$4,0))))+SUMPRODUCT((Inputs!$E$5:$E$110=$B46)*ISNUMBER(INDEX(Inputs!$K$5:$AJ$110,0,MATCH(G$2,Inputs!$K$4:$AJ$4,0))))=0,NA(),SUMPRODUCT((Inputs!$A$5:$A$110=$B46)*Inputs!$B$5:$B$110*(((Inputs!$G$5:$G$110="moeda")+(Inputs!$G$5:$G$110="acoes"))*Inputs!$B$1+((Inputs!$G$5:$G$110&lt;&gt;"moeda")*(Inputs!$G$5:$G$110&lt;&gt;"acoes")))*INDEX(Inputs!$K$5:$AJ$110,0,MATCH(G$2,Inputs!$K$4:$AJ$4,0)))+SUMPRODUCT((Inputs!$C$5:$C$110=$B46)*Inputs!$D$5:$D$110*(((Inputs!$G$5:$G$110="moeda")+(Inputs!$G$5:$G$110="acoes"))*Inputs!$B$1+((Inputs!$G$5:$G$110&lt;&gt;"moeda")*(Inputs!$G$5:$G$110&lt;&gt;"acoes")))*INDEX(Inputs!$K$5:$AJ$110,0,MATCH(G$2,Inputs!$K$4:$AJ$4,0)))+SUMPRODUCT((Inputs!$E$5:$E$110=$B46)*Inputs!$F$5:$F$110*(((Inputs!$G$5:$G$110="moeda")+(Inputs!$G$5:$G$110="acoes"))*Inputs!$B$1+((Inputs!$G$5:$G$110&lt;&gt;"moeda")*(Inputs!$G$5:$G$110&lt;&gt;"acoes")))*INDEX(Inputs!$K$5:$AJ$110,0,MATCH(G$2,Inputs!$K$4:$AJ$4,0)))))</f>
        <v>0</v>
      </c>
      <c r="H46" s="268">
        <f>G46</f>
        <v>0</v>
      </c>
      <c r="I46" s="267">
        <f>IF(ISNA(MATCH(I$2,Inputs!$K$4:$AJ$4,0)),NA(),IF(SUMPRODUCT((Inputs!$A$5:$A$110=$B46)*ISNUMBER(INDEX(Inputs!$K$5:$AJ$110,0,MATCH(I$2,Inputs!$K$4:$AJ$4,0))))+SUMPRODUCT((Inputs!$C$5:$C$110=$B46)*ISNUMBER(INDEX(Inputs!$K$5:$AJ$110,0,MATCH(I$2,Inputs!$K$4:$AJ$4,0))))+SUMPRODUCT((Inputs!$E$5:$E$110=$B46)*ISNUMBER(INDEX(Inputs!$K$5:$AJ$110,0,MATCH(I$2,Inputs!$K$4:$AJ$4,0))))=0,NA(),SUMPRODUCT((Inputs!$A$5:$A$110=$B46)*Inputs!$B$5:$B$110*(((Inputs!$G$5:$G$110="moeda")+(Inputs!$G$5:$G$110="acoes"))*Inputs!$B$1+((Inputs!$G$5:$G$110&lt;&gt;"moeda")*(Inputs!$G$5:$G$110&lt;&gt;"acoes")))*INDEX(Inputs!$K$5:$AJ$110,0,MATCH(I$2,Inputs!$K$4:$AJ$4,0)))+SUMPRODUCT((Inputs!$C$5:$C$110=$B46)*Inputs!$D$5:$D$110*(((Inputs!$G$5:$G$110="moeda")+(Inputs!$G$5:$G$110="acoes"))*Inputs!$B$1+((Inputs!$G$5:$G$110&lt;&gt;"moeda")*(Inputs!$G$5:$G$110&lt;&gt;"acoes")))*INDEX(Inputs!$K$5:$AJ$110,0,MATCH(I$2,Inputs!$K$4:$AJ$4,0)))+SUMPRODUCT((Inputs!$E$5:$E$110=$B46)*Inputs!$F$5:$F$110*(((Inputs!$G$5:$G$110="moeda")+(Inputs!$G$5:$G$110="acoes"))*Inputs!$B$1+((Inputs!$G$5:$G$110&lt;&gt;"moeda")*(Inputs!$G$5:$G$110&lt;&gt;"acoes")))*INDEX(Inputs!$K$5:$AJ$110,0,MATCH(I$2,Inputs!$K$4:$AJ$4,0)))))</f>
        <v>0</v>
      </c>
      <c r="J46" s="267">
        <f>IF(ISNA(MATCH(J$2,Inputs!$K$4:$AJ$4,0)),NA(),IF(SUMPRODUCT((Inputs!$A$5:$A$110=$B46)*ISNUMBER(INDEX(Inputs!$K$5:$AJ$110,0,MATCH(J$2,Inputs!$K$4:$AJ$4,0))))+SUMPRODUCT((Inputs!$C$5:$C$110=$B46)*ISNUMBER(INDEX(Inputs!$K$5:$AJ$110,0,MATCH(J$2,Inputs!$K$4:$AJ$4,0))))+SUMPRODUCT((Inputs!$E$5:$E$110=$B46)*ISNUMBER(INDEX(Inputs!$K$5:$AJ$110,0,MATCH(J$2,Inputs!$K$4:$AJ$4,0))))=0,NA(),SUMPRODUCT((Inputs!$A$5:$A$110=$B46)*Inputs!$B$5:$B$110*(((Inputs!$G$5:$G$110="moeda")+(Inputs!$G$5:$G$110="acoes"))*Inputs!$B$1+((Inputs!$G$5:$G$110&lt;&gt;"moeda")*(Inputs!$G$5:$G$110&lt;&gt;"acoes")))*INDEX(Inputs!$K$5:$AJ$110,0,MATCH(J$2,Inputs!$K$4:$AJ$4,0)))+SUMPRODUCT((Inputs!$C$5:$C$110=$B46)*Inputs!$D$5:$D$110*(((Inputs!$G$5:$G$110="moeda")+(Inputs!$G$5:$G$110="acoes"))*Inputs!$B$1+((Inputs!$G$5:$G$110&lt;&gt;"moeda")*(Inputs!$G$5:$G$110&lt;&gt;"acoes")))*INDEX(Inputs!$K$5:$AJ$110,0,MATCH(J$2,Inputs!$K$4:$AJ$4,0)))+SUMPRODUCT((Inputs!$E$5:$E$110=$B46)*Inputs!$F$5:$F$110*(((Inputs!$G$5:$G$110="moeda")+(Inputs!$G$5:$G$110="acoes"))*Inputs!$B$1+((Inputs!$G$5:$G$110&lt;&gt;"moeda")*(Inputs!$G$5:$G$110&lt;&gt;"acoes")))*INDEX(Inputs!$K$5:$AJ$110,0,MATCH(J$2,Inputs!$K$4:$AJ$4,0)))))</f>
        <v>0</v>
      </c>
      <c r="K46" s="267">
        <f>IF(ISNA(MATCH(K$2,Inputs!$K$4:$AJ$4,0)),NA(),IF(SUMPRODUCT((Inputs!$A$5:$A$110=$B46)*ISNUMBER(INDEX(Inputs!$K$5:$AJ$110,0,MATCH(K$2,Inputs!$K$4:$AJ$4,0))))+SUMPRODUCT((Inputs!$C$5:$C$110=$B46)*ISNUMBER(INDEX(Inputs!$K$5:$AJ$110,0,MATCH(K$2,Inputs!$K$4:$AJ$4,0))))+SUMPRODUCT((Inputs!$E$5:$E$110=$B46)*ISNUMBER(INDEX(Inputs!$K$5:$AJ$110,0,MATCH(K$2,Inputs!$K$4:$AJ$4,0))))=0,NA(),SUMPRODUCT((Inputs!$A$5:$A$110=$B46)*Inputs!$B$5:$B$110*(((Inputs!$G$5:$G$110="moeda")+(Inputs!$G$5:$G$110="acoes"))*Inputs!$B$1+((Inputs!$G$5:$G$110&lt;&gt;"moeda")*(Inputs!$G$5:$G$110&lt;&gt;"acoes")))*INDEX(Inputs!$K$5:$AJ$110,0,MATCH(K$2,Inputs!$K$4:$AJ$4,0)))+SUMPRODUCT((Inputs!$C$5:$C$110=$B46)*Inputs!$D$5:$D$110*(((Inputs!$G$5:$G$110="moeda")+(Inputs!$G$5:$G$110="acoes"))*Inputs!$B$1+((Inputs!$G$5:$G$110&lt;&gt;"moeda")*(Inputs!$G$5:$G$110&lt;&gt;"acoes")))*INDEX(Inputs!$K$5:$AJ$110,0,MATCH(K$2,Inputs!$K$4:$AJ$4,0)))+SUMPRODUCT((Inputs!$E$5:$E$110=$B46)*Inputs!$F$5:$F$110*(((Inputs!$G$5:$G$110="moeda")+(Inputs!$G$5:$G$110="acoes"))*Inputs!$B$1+((Inputs!$G$5:$G$110&lt;&gt;"moeda")*(Inputs!$G$5:$G$110&lt;&gt;"acoes")))*INDEX(Inputs!$K$5:$AJ$110,0,MATCH(K$2,Inputs!$K$4:$AJ$4,0)))))</f>
        <v>0</v>
      </c>
      <c r="L46" s="267">
        <f>IF(ISNA(MATCH(L$2,Inputs!$K$4:$AJ$4,0)),NA(),IF(SUMPRODUCT((Inputs!$A$5:$A$110=$B46)*ISNUMBER(INDEX(Inputs!$K$5:$AJ$110,0,MATCH(L$2,Inputs!$K$4:$AJ$4,0))))+SUMPRODUCT((Inputs!$C$5:$C$110=$B46)*ISNUMBER(INDEX(Inputs!$K$5:$AJ$110,0,MATCH(L$2,Inputs!$K$4:$AJ$4,0))))+SUMPRODUCT((Inputs!$E$5:$E$110=$B46)*ISNUMBER(INDEX(Inputs!$K$5:$AJ$110,0,MATCH(L$2,Inputs!$K$4:$AJ$4,0))))=0,NA(),SUMPRODUCT((Inputs!$A$5:$A$110=$B46)*Inputs!$B$5:$B$110*(((Inputs!$G$5:$G$110="moeda")+(Inputs!$G$5:$G$110="acoes"))*Inputs!$B$1+((Inputs!$G$5:$G$110&lt;&gt;"moeda")*(Inputs!$G$5:$G$110&lt;&gt;"acoes")))*INDEX(Inputs!$K$5:$AJ$110,0,MATCH(L$2,Inputs!$K$4:$AJ$4,0)))+SUMPRODUCT((Inputs!$C$5:$C$110=$B46)*Inputs!$D$5:$D$110*(((Inputs!$G$5:$G$110="moeda")+(Inputs!$G$5:$G$110="acoes"))*Inputs!$B$1+((Inputs!$G$5:$G$110&lt;&gt;"moeda")*(Inputs!$G$5:$G$110&lt;&gt;"acoes")))*INDEX(Inputs!$K$5:$AJ$110,0,MATCH(L$2,Inputs!$K$4:$AJ$4,0)))+SUMPRODUCT((Inputs!$E$5:$E$110=$B46)*Inputs!$F$5:$F$110*(((Inputs!$G$5:$G$110="moeda")+(Inputs!$G$5:$G$110="acoes"))*Inputs!$B$1+((Inputs!$G$5:$G$110&lt;&gt;"moeda")*(Inputs!$G$5:$G$110&lt;&gt;"acoes")))*INDEX(Inputs!$K$5:$AJ$110,0,MATCH(L$2,Inputs!$K$4:$AJ$4,0)))))</f>
        <v>0</v>
      </c>
      <c r="M46" s="268">
        <f>L46</f>
        <v>0</v>
      </c>
      <c r="N46" s="267">
        <f>IF(ISNA(MATCH(N$2,Inputs!$K$4:$AJ$4,0)),NA(),IF(SUMPRODUCT((Inputs!$A$5:$A$110=$B46)*ISNUMBER(INDEX(Inputs!$K$5:$AJ$110,0,MATCH(N$2,Inputs!$K$4:$AJ$4,0))))+SUMPRODUCT((Inputs!$C$5:$C$110=$B46)*ISNUMBER(INDEX(Inputs!$K$5:$AJ$110,0,MATCH(N$2,Inputs!$K$4:$AJ$4,0))))+SUMPRODUCT((Inputs!$E$5:$E$110=$B46)*ISNUMBER(INDEX(Inputs!$K$5:$AJ$110,0,MATCH(N$2,Inputs!$K$4:$AJ$4,0))))=0,NA(),SUMPRODUCT((Inputs!$A$5:$A$110=$B46)*Inputs!$B$5:$B$110*(((Inputs!$G$5:$G$110="moeda")+(Inputs!$G$5:$G$110="acoes"))*Inputs!$B$1+((Inputs!$G$5:$G$110&lt;&gt;"moeda")*(Inputs!$G$5:$G$110&lt;&gt;"acoes")))*INDEX(Inputs!$K$5:$AJ$110,0,MATCH(N$2,Inputs!$K$4:$AJ$4,0)))+SUMPRODUCT((Inputs!$C$5:$C$110=$B46)*Inputs!$D$5:$D$110*(((Inputs!$G$5:$G$110="moeda")+(Inputs!$G$5:$G$110="acoes"))*Inputs!$B$1+((Inputs!$G$5:$G$110&lt;&gt;"moeda")*(Inputs!$G$5:$G$110&lt;&gt;"acoes")))*INDEX(Inputs!$K$5:$AJ$110,0,MATCH(N$2,Inputs!$K$4:$AJ$4,0)))+SUMPRODUCT((Inputs!$E$5:$E$110=$B46)*Inputs!$F$5:$F$110*(((Inputs!$G$5:$G$110="moeda")+(Inputs!$G$5:$G$110="acoes"))*Inputs!$B$1+((Inputs!$G$5:$G$110&lt;&gt;"moeda")*(Inputs!$G$5:$G$110&lt;&gt;"acoes")))*INDEX(Inputs!$K$5:$AJ$110,0,MATCH(N$2,Inputs!$K$4:$AJ$4,0)))))</f>
        <v>0</v>
      </c>
      <c r="O46" s="267">
        <f>IF(ISNA(MATCH(O$2,Inputs!$K$4:$AJ$4,0)),NA(),IF(SUMPRODUCT((Inputs!$A$5:$A$110=$B46)*ISNUMBER(INDEX(Inputs!$K$5:$AJ$110,0,MATCH(O$2,Inputs!$K$4:$AJ$4,0))))+SUMPRODUCT((Inputs!$C$5:$C$110=$B46)*ISNUMBER(INDEX(Inputs!$K$5:$AJ$110,0,MATCH(O$2,Inputs!$K$4:$AJ$4,0))))+SUMPRODUCT((Inputs!$E$5:$E$110=$B46)*ISNUMBER(INDEX(Inputs!$K$5:$AJ$110,0,MATCH(O$2,Inputs!$K$4:$AJ$4,0))))=0,NA(),SUMPRODUCT((Inputs!$A$5:$A$110=$B46)*Inputs!$B$5:$B$110*(((Inputs!$G$5:$G$110="moeda")+(Inputs!$G$5:$G$110="acoes"))*Inputs!$B$1+((Inputs!$G$5:$G$110&lt;&gt;"moeda")*(Inputs!$G$5:$G$110&lt;&gt;"acoes")))*INDEX(Inputs!$K$5:$AJ$110,0,MATCH(O$2,Inputs!$K$4:$AJ$4,0)))+SUMPRODUCT((Inputs!$C$5:$C$110=$B46)*Inputs!$D$5:$D$110*(((Inputs!$G$5:$G$110="moeda")+(Inputs!$G$5:$G$110="acoes"))*Inputs!$B$1+((Inputs!$G$5:$G$110&lt;&gt;"moeda")*(Inputs!$G$5:$G$110&lt;&gt;"acoes")))*INDEX(Inputs!$K$5:$AJ$110,0,MATCH(O$2,Inputs!$K$4:$AJ$4,0)))+SUMPRODUCT((Inputs!$E$5:$E$110=$B46)*Inputs!$F$5:$F$110*(((Inputs!$G$5:$G$110="moeda")+(Inputs!$G$5:$G$110="acoes"))*Inputs!$B$1+((Inputs!$G$5:$G$110&lt;&gt;"moeda")*(Inputs!$G$5:$G$110&lt;&gt;"acoes")))*INDEX(Inputs!$K$5:$AJ$110,0,MATCH(O$2,Inputs!$K$4:$AJ$4,0)))))</f>
        <v>0</v>
      </c>
      <c r="P46" s="267">
        <f>IF(ISNA(MATCH(P$2,Inputs!$K$4:$AJ$4,0)),NA(),IF(SUMPRODUCT((Inputs!$A$5:$A$110=$B46)*ISNUMBER(INDEX(Inputs!$K$5:$AJ$110,0,MATCH(P$2,Inputs!$K$4:$AJ$4,0))))+SUMPRODUCT((Inputs!$C$5:$C$110=$B46)*ISNUMBER(INDEX(Inputs!$K$5:$AJ$110,0,MATCH(P$2,Inputs!$K$4:$AJ$4,0))))+SUMPRODUCT((Inputs!$E$5:$E$110=$B46)*ISNUMBER(INDEX(Inputs!$K$5:$AJ$110,0,MATCH(P$2,Inputs!$K$4:$AJ$4,0))))=0,NA(),SUMPRODUCT((Inputs!$A$5:$A$110=$B46)*Inputs!$B$5:$B$110*(((Inputs!$G$5:$G$110="moeda")+(Inputs!$G$5:$G$110="acoes"))*Inputs!$B$1+((Inputs!$G$5:$G$110&lt;&gt;"moeda")*(Inputs!$G$5:$G$110&lt;&gt;"acoes")))*INDEX(Inputs!$K$5:$AJ$110,0,MATCH(P$2,Inputs!$K$4:$AJ$4,0)))+SUMPRODUCT((Inputs!$C$5:$C$110=$B46)*Inputs!$D$5:$D$110*(((Inputs!$G$5:$G$110="moeda")+(Inputs!$G$5:$G$110="acoes"))*Inputs!$B$1+((Inputs!$G$5:$G$110&lt;&gt;"moeda")*(Inputs!$G$5:$G$110&lt;&gt;"acoes")))*INDEX(Inputs!$K$5:$AJ$110,0,MATCH(P$2,Inputs!$K$4:$AJ$4,0)))+SUMPRODUCT((Inputs!$E$5:$E$110=$B46)*Inputs!$F$5:$F$110*(((Inputs!$G$5:$G$110="moeda")+(Inputs!$G$5:$G$110="acoes"))*Inputs!$B$1+((Inputs!$G$5:$G$110&lt;&gt;"moeda")*(Inputs!$G$5:$G$110&lt;&gt;"acoes")))*INDEX(Inputs!$K$5:$AJ$110,0,MATCH(P$2,Inputs!$K$4:$AJ$4,0)))))</f>
        <v>0</v>
      </c>
      <c r="Q46" s="267">
        <f>IF(ISNA(MATCH(Q$2,Inputs!$K$4:$AJ$4,0)),NA(),IF(SUMPRODUCT((Inputs!$A$5:$A$110=$B46)*ISNUMBER(INDEX(Inputs!$K$5:$AJ$110,0,MATCH(Q$2,Inputs!$K$4:$AJ$4,0))))+SUMPRODUCT((Inputs!$C$5:$C$110=$B46)*ISNUMBER(INDEX(Inputs!$K$5:$AJ$110,0,MATCH(Q$2,Inputs!$K$4:$AJ$4,0))))+SUMPRODUCT((Inputs!$E$5:$E$110=$B46)*ISNUMBER(INDEX(Inputs!$K$5:$AJ$110,0,MATCH(Q$2,Inputs!$K$4:$AJ$4,0))))=0,NA(),SUMPRODUCT((Inputs!$A$5:$A$110=$B46)*Inputs!$B$5:$B$110*(((Inputs!$G$5:$G$110="moeda")+(Inputs!$G$5:$G$110="acoes"))*Inputs!$B$1+((Inputs!$G$5:$G$110&lt;&gt;"moeda")*(Inputs!$G$5:$G$110&lt;&gt;"acoes")))*INDEX(Inputs!$K$5:$AJ$110,0,MATCH(Q$2,Inputs!$K$4:$AJ$4,0)))+SUMPRODUCT((Inputs!$C$5:$C$110=$B46)*Inputs!$D$5:$D$110*(((Inputs!$G$5:$G$110="moeda")+(Inputs!$G$5:$G$110="acoes"))*Inputs!$B$1+((Inputs!$G$5:$G$110&lt;&gt;"moeda")*(Inputs!$G$5:$G$110&lt;&gt;"acoes")))*INDEX(Inputs!$K$5:$AJ$110,0,MATCH(Q$2,Inputs!$K$4:$AJ$4,0)))+SUMPRODUCT((Inputs!$E$5:$E$110=$B46)*Inputs!$F$5:$F$110*(((Inputs!$G$5:$G$110="moeda")+(Inputs!$G$5:$G$110="acoes"))*Inputs!$B$1+((Inputs!$G$5:$G$110&lt;&gt;"moeda")*(Inputs!$G$5:$G$110&lt;&gt;"acoes")))*INDEX(Inputs!$K$5:$AJ$110,0,MATCH(Q$2,Inputs!$K$4:$AJ$4,0)))))</f>
        <v>0</v>
      </c>
      <c r="R46" s="268">
        <f>Q46</f>
        <v>0</v>
      </c>
      <c r="S46" s="267">
        <f>IF(ISNA(MATCH(S$2,Inputs!$K$4:$AJ$4,0)),NA(),IF(SUMPRODUCT((Inputs!$A$5:$A$110=$B46)*ISNUMBER(INDEX(Inputs!$K$5:$AJ$110,0,MATCH(S$2,Inputs!$K$4:$AJ$4,0))))+SUMPRODUCT((Inputs!$C$5:$C$110=$B46)*ISNUMBER(INDEX(Inputs!$K$5:$AJ$110,0,MATCH(S$2,Inputs!$K$4:$AJ$4,0))))+SUMPRODUCT((Inputs!$E$5:$E$110=$B46)*ISNUMBER(INDEX(Inputs!$K$5:$AJ$110,0,MATCH(S$2,Inputs!$K$4:$AJ$4,0))))=0,NA(),SUMPRODUCT((Inputs!$A$5:$A$110=$B46)*Inputs!$B$5:$B$110*(((Inputs!$G$5:$G$110="moeda")+(Inputs!$G$5:$G$110="acoes"))*Inputs!$B$1+((Inputs!$G$5:$G$110&lt;&gt;"moeda")*(Inputs!$G$5:$G$110&lt;&gt;"acoes")))*INDEX(Inputs!$K$5:$AJ$110,0,MATCH(S$2,Inputs!$K$4:$AJ$4,0)))+SUMPRODUCT((Inputs!$C$5:$C$110=$B46)*Inputs!$D$5:$D$110*(((Inputs!$G$5:$G$110="moeda")+(Inputs!$G$5:$G$110="acoes"))*Inputs!$B$1+((Inputs!$G$5:$G$110&lt;&gt;"moeda")*(Inputs!$G$5:$G$110&lt;&gt;"acoes")))*INDEX(Inputs!$K$5:$AJ$110,0,MATCH(S$2,Inputs!$K$4:$AJ$4,0)))+SUMPRODUCT((Inputs!$E$5:$E$110=$B46)*Inputs!$F$5:$F$110*(((Inputs!$G$5:$G$110="moeda")+(Inputs!$G$5:$G$110="acoes"))*Inputs!$B$1+((Inputs!$G$5:$G$110&lt;&gt;"moeda")*(Inputs!$G$5:$G$110&lt;&gt;"acoes")))*INDEX(Inputs!$K$5:$AJ$110,0,MATCH(S$2,Inputs!$K$4:$AJ$4,0)))))</f>
        <v>0</v>
      </c>
      <c r="T46" s="267">
        <f>IF(ISNA(MATCH(T$2,Inputs!$K$4:$AJ$4,0)),NA(),IF(SUMPRODUCT((Inputs!$A$5:$A$110=$B46)*ISNUMBER(INDEX(Inputs!$K$5:$AJ$110,0,MATCH(T$2,Inputs!$K$4:$AJ$4,0))))+SUMPRODUCT((Inputs!$C$5:$C$110=$B46)*ISNUMBER(INDEX(Inputs!$K$5:$AJ$110,0,MATCH(T$2,Inputs!$K$4:$AJ$4,0))))+SUMPRODUCT((Inputs!$E$5:$E$110=$B46)*ISNUMBER(INDEX(Inputs!$K$5:$AJ$110,0,MATCH(T$2,Inputs!$K$4:$AJ$4,0))))=0,NA(),SUMPRODUCT((Inputs!$A$5:$A$110=$B46)*Inputs!$B$5:$B$110*(((Inputs!$G$5:$G$110="moeda")+(Inputs!$G$5:$G$110="acoes"))*Inputs!$B$1+((Inputs!$G$5:$G$110&lt;&gt;"moeda")*(Inputs!$G$5:$G$110&lt;&gt;"acoes")))*INDEX(Inputs!$K$5:$AJ$110,0,MATCH(T$2,Inputs!$K$4:$AJ$4,0)))+SUMPRODUCT((Inputs!$C$5:$C$110=$B46)*Inputs!$D$5:$D$110*(((Inputs!$G$5:$G$110="moeda")+(Inputs!$G$5:$G$110="acoes"))*Inputs!$B$1+((Inputs!$G$5:$G$110&lt;&gt;"moeda")*(Inputs!$G$5:$G$110&lt;&gt;"acoes")))*INDEX(Inputs!$K$5:$AJ$110,0,MATCH(T$2,Inputs!$K$4:$AJ$4,0)))+SUMPRODUCT((Inputs!$E$5:$E$110=$B46)*Inputs!$F$5:$F$110*(((Inputs!$G$5:$G$110="moeda")+(Inputs!$G$5:$G$110="acoes"))*Inputs!$B$1+((Inputs!$G$5:$G$110&lt;&gt;"moeda")*(Inputs!$G$5:$G$110&lt;&gt;"acoes")))*INDEX(Inputs!$K$5:$AJ$110,0,MATCH(T$2,Inputs!$K$4:$AJ$4,0)))))</f>
        <v>0</v>
      </c>
      <c r="U46" s="267">
        <f>IF(ISNA(MATCH(U$2,Inputs!$K$4:$AJ$4,0)),NA(),IF(SUMPRODUCT((Inputs!$A$5:$A$110=$B46)*ISNUMBER(INDEX(Inputs!$K$5:$AJ$110,0,MATCH(U$2,Inputs!$K$4:$AJ$4,0))))+SUMPRODUCT((Inputs!$C$5:$C$110=$B46)*ISNUMBER(INDEX(Inputs!$K$5:$AJ$110,0,MATCH(U$2,Inputs!$K$4:$AJ$4,0))))+SUMPRODUCT((Inputs!$E$5:$E$110=$B46)*ISNUMBER(INDEX(Inputs!$K$5:$AJ$110,0,MATCH(U$2,Inputs!$K$4:$AJ$4,0))))=0,NA(),SUMPRODUCT((Inputs!$A$5:$A$110=$B46)*Inputs!$B$5:$B$110*(((Inputs!$G$5:$G$110="moeda")+(Inputs!$G$5:$G$110="acoes"))*Inputs!$B$1+((Inputs!$G$5:$G$110&lt;&gt;"moeda")*(Inputs!$G$5:$G$110&lt;&gt;"acoes")))*INDEX(Inputs!$K$5:$AJ$110,0,MATCH(U$2,Inputs!$K$4:$AJ$4,0)))+SUMPRODUCT((Inputs!$C$5:$C$110=$B46)*Inputs!$D$5:$D$110*(((Inputs!$G$5:$G$110="moeda")+(Inputs!$G$5:$G$110="acoes"))*Inputs!$B$1+((Inputs!$G$5:$G$110&lt;&gt;"moeda")*(Inputs!$G$5:$G$110&lt;&gt;"acoes")))*INDEX(Inputs!$K$5:$AJ$110,0,MATCH(U$2,Inputs!$K$4:$AJ$4,0)))+SUMPRODUCT((Inputs!$E$5:$E$110=$B46)*Inputs!$F$5:$F$110*(((Inputs!$G$5:$G$110="moeda")+(Inputs!$G$5:$G$110="acoes"))*Inputs!$B$1+((Inputs!$G$5:$G$110&lt;&gt;"moeda")*(Inputs!$G$5:$G$110&lt;&gt;"acoes")))*INDEX(Inputs!$K$5:$AJ$110,0,MATCH(U$2,Inputs!$K$4:$AJ$4,0)))))</f>
        <v>0</v>
      </c>
      <c r="V46" s="267">
        <f>IF(ISNA(MATCH(V$2,Inputs!$K$4:$AJ$4,0)),NA(),IF(SUMPRODUCT((Inputs!$A$5:$A$110=$B46)*ISNUMBER(INDEX(Inputs!$K$5:$AJ$110,0,MATCH(V$2,Inputs!$K$4:$AJ$4,0))))+SUMPRODUCT((Inputs!$C$5:$C$110=$B46)*ISNUMBER(INDEX(Inputs!$K$5:$AJ$110,0,MATCH(V$2,Inputs!$K$4:$AJ$4,0))))+SUMPRODUCT((Inputs!$E$5:$E$110=$B46)*ISNUMBER(INDEX(Inputs!$K$5:$AJ$110,0,MATCH(V$2,Inputs!$K$4:$AJ$4,0))))=0,NA(),SUMPRODUCT((Inputs!$A$5:$A$110=$B46)*Inputs!$B$5:$B$110*(((Inputs!$G$5:$G$110="moeda")+(Inputs!$G$5:$G$110="acoes"))*Inputs!$B$1+((Inputs!$G$5:$G$110&lt;&gt;"moeda")*(Inputs!$G$5:$G$110&lt;&gt;"acoes")))*INDEX(Inputs!$K$5:$AJ$110,0,MATCH(V$2,Inputs!$K$4:$AJ$4,0)))+SUMPRODUCT((Inputs!$C$5:$C$110=$B46)*Inputs!$D$5:$D$110*(((Inputs!$G$5:$G$110="moeda")+(Inputs!$G$5:$G$110="acoes"))*Inputs!$B$1+((Inputs!$G$5:$G$110&lt;&gt;"moeda")*(Inputs!$G$5:$G$110&lt;&gt;"acoes")))*INDEX(Inputs!$K$5:$AJ$110,0,MATCH(V$2,Inputs!$K$4:$AJ$4,0)))+SUMPRODUCT((Inputs!$E$5:$E$110=$B46)*Inputs!$F$5:$F$110*(((Inputs!$G$5:$G$110="moeda")+(Inputs!$G$5:$G$110="acoes"))*Inputs!$B$1+((Inputs!$G$5:$G$110&lt;&gt;"moeda")*(Inputs!$G$5:$G$110&lt;&gt;"acoes")))*INDEX(Inputs!$K$5:$AJ$110,0,MATCH(V$2,Inputs!$K$4:$AJ$4,0)))))</f>
        <v>0</v>
      </c>
      <c r="W46" s="268">
        <f>V46</f>
        <v>0</v>
      </c>
      <c r="X46" s="267">
        <f>IF(ISNA(MATCH(X$2,Inputs!$K$4:$AJ$4,0)),NA(),IF(SUMPRODUCT((Inputs!$A$5:$A$110=$B46)*ISNUMBER(INDEX(Inputs!$K$5:$AJ$110,0,MATCH(X$2,Inputs!$K$4:$AJ$4,0))))+SUMPRODUCT((Inputs!$C$5:$C$110=$B46)*ISNUMBER(INDEX(Inputs!$K$5:$AJ$110,0,MATCH(X$2,Inputs!$K$4:$AJ$4,0))))+SUMPRODUCT((Inputs!$E$5:$E$110=$B46)*ISNUMBER(INDEX(Inputs!$K$5:$AJ$110,0,MATCH(X$2,Inputs!$K$4:$AJ$4,0))))=0,NA(),SUMPRODUCT((Inputs!$A$5:$A$110=$B46)*Inputs!$B$5:$B$110*(((Inputs!$G$5:$G$110="moeda")+(Inputs!$G$5:$G$110="acoes"))*Inputs!$B$1+((Inputs!$G$5:$G$110&lt;&gt;"moeda")*(Inputs!$G$5:$G$110&lt;&gt;"acoes")))*INDEX(Inputs!$K$5:$AJ$110,0,MATCH(X$2,Inputs!$K$4:$AJ$4,0)))+SUMPRODUCT((Inputs!$C$5:$C$110=$B46)*Inputs!$D$5:$D$110*(((Inputs!$G$5:$G$110="moeda")+(Inputs!$G$5:$G$110="acoes"))*Inputs!$B$1+((Inputs!$G$5:$G$110&lt;&gt;"moeda")*(Inputs!$G$5:$G$110&lt;&gt;"acoes")))*INDEX(Inputs!$K$5:$AJ$110,0,MATCH(X$2,Inputs!$K$4:$AJ$4,0)))+SUMPRODUCT((Inputs!$E$5:$E$110=$B46)*Inputs!$F$5:$F$110*(((Inputs!$G$5:$G$110="moeda")+(Inputs!$G$5:$G$110="acoes"))*Inputs!$B$1+((Inputs!$G$5:$G$110&lt;&gt;"moeda")*(Inputs!$G$5:$G$110&lt;&gt;"acoes")))*INDEX(Inputs!$K$5:$AJ$110,0,MATCH(X$2,Inputs!$K$4:$AJ$4,0)))))</f>
        <v>0</v>
      </c>
      <c r="Y46" s="267">
        <f>IF(ISNA(MATCH(Y$2,Inputs!$K$4:$AJ$4,0)),NA(),IF(SUMPRODUCT((Inputs!$A$5:$A$110=$B46)*ISNUMBER(INDEX(Inputs!$K$5:$AJ$110,0,MATCH(Y$2,Inputs!$K$4:$AJ$4,0))))+SUMPRODUCT((Inputs!$C$5:$C$110=$B46)*ISNUMBER(INDEX(Inputs!$K$5:$AJ$110,0,MATCH(Y$2,Inputs!$K$4:$AJ$4,0))))+SUMPRODUCT((Inputs!$E$5:$E$110=$B46)*ISNUMBER(INDEX(Inputs!$K$5:$AJ$110,0,MATCH(Y$2,Inputs!$K$4:$AJ$4,0))))=0,NA(),SUMPRODUCT((Inputs!$A$5:$A$110=$B46)*Inputs!$B$5:$B$110*(((Inputs!$G$5:$G$110="moeda")+(Inputs!$G$5:$G$110="acoes"))*Inputs!$B$1+((Inputs!$G$5:$G$110&lt;&gt;"moeda")*(Inputs!$G$5:$G$110&lt;&gt;"acoes")))*INDEX(Inputs!$K$5:$AJ$110,0,MATCH(Y$2,Inputs!$K$4:$AJ$4,0)))+SUMPRODUCT((Inputs!$C$5:$C$110=$B46)*Inputs!$D$5:$D$110*(((Inputs!$G$5:$G$110="moeda")+(Inputs!$G$5:$G$110="acoes"))*Inputs!$B$1+((Inputs!$G$5:$G$110&lt;&gt;"moeda")*(Inputs!$G$5:$G$110&lt;&gt;"acoes")))*INDEX(Inputs!$K$5:$AJ$110,0,MATCH(Y$2,Inputs!$K$4:$AJ$4,0)))+SUMPRODUCT((Inputs!$E$5:$E$110=$B46)*Inputs!$F$5:$F$110*(((Inputs!$G$5:$G$110="moeda")+(Inputs!$G$5:$G$110="acoes"))*Inputs!$B$1+((Inputs!$G$5:$G$110&lt;&gt;"moeda")*(Inputs!$G$5:$G$110&lt;&gt;"acoes")))*INDEX(Inputs!$K$5:$AJ$110,0,MATCH(Y$2,Inputs!$K$4:$AJ$4,0)))))</f>
        <v>0</v>
      </c>
      <c r="Z46" s="267">
        <f>IF(ISNA(MATCH(Z$2,Inputs!$K$4:$AJ$4,0)),NA(),IF(SUMPRODUCT((Inputs!$A$5:$A$110=$B46)*ISNUMBER(INDEX(Inputs!$K$5:$AJ$110,0,MATCH(Z$2,Inputs!$K$4:$AJ$4,0))))+SUMPRODUCT((Inputs!$C$5:$C$110=$B46)*ISNUMBER(INDEX(Inputs!$K$5:$AJ$110,0,MATCH(Z$2,Inputs!$K$4:$AJ$4,0))))+SUMPRODUCT((Inputs!$E$5:$E$110=$B46)*ISNUMBER(INDEX(Inputs!$K$5:$AJ$110,0,MATCH(Z$2,Inputs!$K$4:$AJ$4,0))))=0,NA(),SUMPRODUCT((Inputs!$A$5:$A$110=$B46)*Inputs!$B$5:$B$110*(((Inputs!$G$5:$G$110="moeda")+(Inputs!$G$5:$G$110="acoes"))*Inputs!$B$1+((Inputs!$G$5:$G$110&lt;&gt;"moeda")*(Inputs!$G$5:$G$110&lt;&gt;"acoes")))*INDEX(Inputs!$K$5:$AJ$110,0,MATCH(Z$2,Inputs!$K$4:$AJ$4,0)))+SUMPRODUCT((Inputs!$C$5:$C$110=$B46)*Inputs!$D$5:$D$110*(((Inputs!$G$5:$G$110="moeda")+(Inputs!$G$5:$G$110="acoes"))*Inputs!$B$1+((Inputs!$G$5:$G$110&lt;&gt;"moeda")*(Inputs!$G$5:$G$110&lt;&gt;"acoes")))*INDEX(Inputs!$K$5:$AJ$110,0,MATCH(Z$2,Inputs!$K$4:$AJ$4,0)))+SUMPRODUCT((Inputs!$E$5:$E$110=$B46)*Inputs!$F$5:$F$110*(((Inputs!$G$5:$G$110="moeda")+(Inputs!$G$5:$G$110="acoes"))*Inputs!$B$1+((Inputs!$G$5:$G$110&lt;&gt;"moeda")*(Inputs!$G$5:$G$110&lt;&gt;"acoes")))*INDEX(Inputs!$K$5:$AJ$110,0,MATCH(Z$2,Inputs!$K$4:$AJ$4,0)))))</f>
        <v>0</v>
      </c>
      <c r="AA46" s="267">
        <f>IF(ISNA(MATCH(AA$2,Inputs!$K$4:$AJ$4,0)),NA(),IF(SUMPRODUCT((Inputs!$A$5:$A$110=$B46)*ISNUMBER(INDEX(Inputs!$K$5:$AJ$110,0,MATCH(AA$2,Inputs!$K$4:$AJ$4,0))))+SUMPRODUCT((Inputs!$C$5:$C$110=$B46)*ISNUMBER(INDEX(Inputs!$K$5:$AJ$110,0,MATCH(AA$2,Inputs!$K$4:$AJ$4,0))))+SUMPRODUCT((Inputs!$E$5:$E$110=$B46)*ISNUMBER(INDEX(Inputs!$K$5:$AJ$110,0,MATCH(AA$2,Inputs!$K$4:$AJ$4,0))))=0,NA(),SUMPRODUCT((Inputs!$A$5:$A$110=$B46)*Inputs!$B$5:$B$110*(((Inputs!$G$5:$G$110="moeda")+(Inputs!$G$5:$G$110="acoes"))*Inputs!$B$1+((Inputs!$G$5:$G$110&lt;&gt;"moeda")*(Inputs!$G$5:$G$110&lt;&gt;"acoes")))*INDEX(Inputs!$K$5:$AJ$110,0,MATCH(AA$2,Inputs!$K$4:$AJ$4,0)))+SUMPRODUCT((Inputs!$C$5:$C$110=$B46)*Inputs!$D$5:$D$110*(((Inputs!$G$5:$G$110="moeda")+(Inputs!$G$5:$G$110="acoes"))*Inputs!$B$1+((Inputs!$G$5:$G$110&lt;&gt;"moeda")*(Inputs!$G$5:$G$110&lt;&gt;"acoes")))*INDEX(Inputs!$K$5:$AJ$110,0,MATCH(AA$2,Inputs!$K$4:$AJ$4,0)))+SUMPRODUCT((Inputs!$E$5:$E$110=$B46)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6" s="268">
        <f>AA46</f>
        <v>0</v>
      </c>
      <c r="AC46" s="267">
        <f>IF(ISNA(MATCH(AC$2,Inputs!$K$4:$AJ$4,0)),NA(),IF(SUMPRODUCT((Inputs!$A$5:$A$110=$B46)*ISNUMBER(INDEX(Inputs!$K$5:$AJ$110,0,MATCH(AC$2,Inputs!$K$4:$AJ$4,0))))+SUMPRODUCT((Inputs!$C$5:$C$110=$B46)*ISNUMBER(INDEX(Inputs!$K$5:$AJ$110,0,MATCH(AC$2,Inputs!$K$4:$AJ$4,0))))+SUMPRODUCT((Inputs!$E$5:$E$110=$B46)*ISNUMBER(INDEX(Inputs!$K$5:$AJ$110,0,MATCH(AC$2,Inputs!$K$4:$AJ$4,0))))=0,NA(),SUMPRODUCT((Inputs!$A$5:$A$110=$B46)*Inputs!$B$5:$B$110*(((Inputs!$G$5:$G$110="moeda")+(Inputs!$G$5:$G$110="acoes"))*Inputs!$B$1+((Inputs!$G$5:$G$110&lt;&gt;"moeda")*(Inputs!$G$5:$G$110&lt;&gt;"acoes")))*INDEX(Inputs!$K$5:$AJ$110,0,MATCH(AC$2,Inputs!$K$4:$AJ$4,0)))+SUMPRODUCT((Inputs!$C$5:$C$110=$B46)*Inputs!$D$5:$D$110*(((Inputs!$G$5:$G$110="moeda")+(Inputs!$G$5:$G$110="acoes"))*Inputs!$B$1+((Inputs!$G$5:$G$110&lt;&gt;"moeda")*(Inputs!$G$5:$G$110&lt;&gt;"acoes")))*INDEX(Inputs!$K$5:$AJ$110,0,MATCH(AC$2,Inputs!$K$4:$AJ$4,0)))+SUMPRODUCT((Inputs!$E$5:$E$110=$B46)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6" s="267">
        <f>IF(ISNA(MATCH(AD$2,Inputs!$K$4:$AJ$4,0)),NA(),IF(SUMPRODUCT((Inputs!$A$5:$A$110=$B46)*ISNUMBER(INDEX(Inputs!$K$5:$AJ$110,0,MATCH(AD$2,Inputs!$K$4:$AJ$4,0))))+SUMPRODUCT((Inputs!$C$5:$C$110=$B46)*ISNUMBER(INDEX(Inputs!$K$5:$AJ$110,0,MATCH(AD$2,Inputs!$K$4:$AJ$4,0))))+SUMPRODUCT((Inputs!$E$5:$E$110=$B46)*ISNUMBER(INDEX(Inputs!$K$5:$AJ$110,0,MATCH(AD$2,Inputs!$K$4:$AJ$4,0))))=0,NA(),SUMPRODUCT((Inputs!$A$5:$A$110=$B46)*Inputs!$B$5:$B$110*(((Inputs!$G$5:$G$110="moeda")+(Inputs!$G$5:$G$110="acoes"))*Inputs!$B$1+((Inputs!$G$5:$G$110&lt;&gt;"moeda")*(Inputs!$G$5:$G$110&lt;&gt;"acoes")))*INDEX(Inputs!$K$5:$AJ$110,0,MATCH(AD$2,Inputs!$K$4:$AJ$4,0)))+SUMPRODUCT((Inputs!$C$5:$C$110=$B46)*Inputs!$D$5:$D$110*(((Inputs!$G$5:$G$110="moeda")+(Inputs!$G$5:$G$110="acoes"))*Inputs!$B$1+((Inputs!$G$5:$G$110&lt;&gt;"moeda")*(Inputs!$G$5:$G$110&lt;&gt;"acoes")))*INDEX(Inputs!$K$5:$AJ$110,0,MATCH(AD$2,Inputs!$K$4:$AJ$4,0)))+SUMPRODUCT((Inputs!$E$5:$E$110=$B46)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6" s="267" t="e">
        <f>IF(ISNA(MATCH(AE$2,Inputs!$K$4:$AJ$4,0)),NA(),IF(SUMPRODUCT((Inputs!$A$5:$A$110=$B46)*ISNUMBER(INDEX(Inputs!$K$5:$AJ$110,0,MATCH(AE$2,Inputs!$K$4:$AJ$4,0))))+SUMPRODUCT((Inputs!$C$5:$C$110=$B46)*ISNUMBER(INDEX(Inputs!$K$5:$AJ$110,0,MATCH(AE$2,Inputs!$K$4:$AJ$4,0))))+SUMPRODUCT((Inputs!$E$5:$E$110=$B46)*ISNUMBER(INDEX(Inputs!$K$5:$AJ$110,0,MATCH(AE$2,Inputs!$K$4:$AJ$4,0))))=0,NA(),SUMPRODUCT((Inputs!$A$5:$A$110=$B46)*Inputs!$B$5:$B$110*(((Inputs!$G$5:$G$110="moeda")+(Inputs!$G$5:$G$110="acoes"))*Inputs!$B$1+((Inputs!$G$5:$G$110&lt;&gt;"moeda")*(Inputs!$G$5:$G$110&lt;&gt;"acoes")))*INDEX(Inputs!$K$5:$AJ$110,0,MATCH(AE$2,Inputs!$K$4:$AJ$4,0)))+SUMPRODUCT((Inputs!$C$5:$C$110=$B46)*Inputs!$D$5:$D$110*(((Inputs!$G$5:$G$110="moeda")+(Inputs!$G$5:$G$110="acoes"))*Inputs!$B$1+((Inputs!$G$5:$G$110&lt;&gt;"moeda")*(Inputs!$G$5:$G$110&lt;&gt;"acoes")))*INDEX(Inputs!$K$5:$AJ$110,0,MATCH(AE$2,Inputs!$K$4:$AJ$4,0)))+SUMPRODUCT((Inputs!$E$5:$E$110=$B46)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6" s="267" t="e">
        <f>IF(ISNA(MATCH(AF$2,Inputs!$K$4:$AJ$4,0)),NA(),IF(SUMPRODUCT((Inputs!$A$5:$A$110=$B46)*ISNUMBER(INDEX(Inputs!$K$5:$AJ$110,0,MATCH(AF$2,Inputs!$K$4:$AJ$4,0))))+SUMPRODUCT((Inputs!$C$5:$C$110=$B46)*ISNUMBER(INDEX(Inputs!$K$5:$AJ$110,0,MATCH(AF$2,Inputs!$K$4:$AJ$4,0))))+SUMPRODUCT((Inputs!$E$5:$E$110=$B46)*ISNUMBER(INDEX(Inputs!$K$5:$AJ$110,0,MATCH(AF$2,Inputs!$K$4:$AJ$4,0))))=0,NA(),SUMPRODUCT((Inputs!$A$5:$A$110=$B46)*Inputs!$B$5:$B$110*(((Inputs!$G$5:$G$110="moeda")+(Inputs!$G$5:$G$110="acoes"))*Inputs!$B$1+((Inputs!$G$5:$G$110&lt;&gt;"moeda")*(Inputs!$G$5:$G$110&lt;&gt;"acoes")))*INDEX(Inputs!$K$5:$AJ$110,0,MATCH(AF$2,Inputs!$K$4:$AJ$4,0)))+SUMPRODUCT((Inputs!$C$5:$C$110=$B46)*Inputs!$D$5:$D$110*(((Inputs!$G$5:$G$110="moeda")+(Inputs!$G$5:$G$110="acoes"))*Inputs!$B$1+((Inputs!$G$5:$G$110&lt;&gt;"moeda")*(Inputs!$G$5:$G$110&lt;&gt;"acoes")))*INDEX(Inputs!$K$5:$AJ$110,0,MATCH(AF$2,Inputs!$K$4:$AJ$4,0)))+SUMPRODUCT((Inputs!$E$5:$E$110=$B46)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6" s="268" t="e">
        <f>AF46</f>
        <v>#N/A</v>
      </c>
      <c r="AH46" s="267">
        <f>IF(ISNA(MATCH(AH$2,Inputs!$K$4:$AJ$4,0)),NA(),IF(SUMPRODUCT((Inputs!$A$5:$A$110=$B46)*ISNUMBER(INDEX(Inputs!$K$5:$AJ$110,0,MATCH(AH$2,Inputs!$K$4:$AJ$4,0))))+SUMPRODUCT((Inputs!$C$5:$C$110=$B46)*ISNUMBER(INDEX(Inputs!$K$5:$AJ$110,0,MATCH(AH$2,Inputs!$K$4:$AJ$4,0))))+SUMPRODUCT((Inputs!$E$5:$E$110=$B46)*ISNUMBER(INDEX(Inputs!$K$5:$AJ$110,0,MATCH(AH$2,Inputs!$K$4:$AJ$4,0))))=0,NA(),SUMPRODUCT((Inputs!$A$5:$A$110=$B46)*Inputs!$B$5:$B$110*(((Inputs!$G$5:$G$110="moeda")+(Inputs!$G$5:$G$110="acoes"))*Inputs!$B$1+((Inputs!$G$5:$G$110&lt;&gt;"moeda")*(Inputs!$G$5:$G$110&lt;&gt;"acoes")))*INDEX(Inputs!$K$5:$AJ$110,0,MATCH(AH$2,Inputs!$K$4:$AJ$4,0)))+SUMPRODUCT((Inputs!$C$5:$C$110=$B46)*Inputs!$D$5:$D$110*(((Inputs!$G$5:$G$110="moeda")+(Inputs!$G$5:$G$110="acoes"))*Inputs!$B$1+((Inputs!$G$5:$G$110&lt;&gt;"moeda")*(Inputs!$G$5:$G$110&lt;&gt;"acoes")))*INDEX(Inputs!$K$5:$AJ$110,0,MATCH(AH$2,Inputs!$K$4:$AJ$4,0)))+SUMPRODUCT((Inputs!$E$5:$E$110=$B46)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6" s="267">
        <f>IF(ISNA(MATCH(AI$2,Inputs!$K$4:$AJ$4,0)),NA(),IF(SUMPRODUCT((Inputs!$A$5:$A$110=$B46)*ISNUMBER(INDEX(Inputs!$K$5:$AJ$110,0,MATCH(AI$2,Inputs!$K$4:$AJ$4,0))))+SUMPRODUCT((Inputs!$C$5:$C$110=$B46)*ISNUMBER(INDEX(Inputs!$K$5:$AJ$110,0,MATCH(AI$2,Inputs!$K$4:$AJ$4,0))))+SUMPRODUCT((Inputs!$E$5:$E$110=$B46)*ISNUMBER(INDEX(Inputs!$K$5:$AJ$110,0,MATCH(AI$2,Inputs!$K$4:$AJ$4,0))))=0,NA(),SUMPRODUCT((Inputs!$A$5:$A$110=$B46)*Inputs!$B$5:$B$110*(((Inputs!$G$5:$G$110="moeda")+(Inputs!$G$5:$G$110="acoes"))*Inputs!$B$1+((Inputs!$G$5:$G$110&lt;&gt;"moeda")*(Inputs!$G$5:$G$110&lt;&gt;"acoes")))*INDEX(Inputs!$K$5:$AJ$110,0,MATCH(AI$2,Inputs!$K$4:$AJ$4,0)))+SUMPRODUCT((Inputs!$C$5:$C$110=$B46)*Inputs!$D$5:$D$110*(((Inputs!$G$5:$G$110="moeda")+(Inputs!$G$5:$G$110="acoes"))*Inputs!$B$1+((Inputs!$G$5:$G$110&lt;&gt;"moeda")*(Inputs!$G$5:$G$110&lt;&gt;"acoes")))*INDEX(Inputs!$K$5:$AJ$110,0,MATCH(AI$2,Inputs!$K$4:$AJ$4,0)))+SUMPRODUCT((Inputs!$E$5:$E$110=$B46)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6" s="267">
        <f>IF(ISNA(MATCH(AJ$2,Inputs!$K$4:$AJ$4,0)),NA(),IF(SUMPRODUCT((Inputs!$A$5:$A$110=$B46)*ISNUMBER(INDEX(Inputs!$K$5:$AJ$110,0,MATCH(AJ$2,Inputs!$K$4:$AJ$4,0))))+SUMPRODUCT((Inputs!$C$5:$C$110=$B46)*ISNUMBER(INDEX(Inputs!$K$5:$AJ$110,0,MATCH(AJ$2,Inputs!$K$4:$AJ$4,0))))+SUMPRODUCT((Inputs!$E$5:$E$110=$B46)*ISNUMBER(INDEX(Inputs!$K$5:$AJ$110,0,MATCH(AJ$2,Inputs!$K$4:$AJ$4,0))))=0,NA(),SUMPRODUCT((Inputs!$A$5:$A$110=$B46)*Inputs!$B$5:$B$110*(((Inputs!$G$5:$G$110="moeda")+(Inputs!$G$5:$G$110="acoes"))*Inputs!$B$1+((Inputs!$G$5:$G$110&lt;&gt;"moeda")*(Inputs!$G$5:$G$110&lt;&gt;"acoes")))*INDEX(Inputs!$K$5:$AJ$110,0,MATCH(AJ$2,Inputs!$K$4:$AJ$4,0)))+SUMPRODUCT((Inputs!$C$5:$C$110=$B46)*Inputs!$D$5:$D$110*(((Inputs!$G$5:$G$110="moeda")+(Inputs!$G$5:$G$110="acoes"))*Inputs!$B$1+((Inputs!$G$5:$G$110&lt;&gt;"moeda")*(Inputs!$G$5:$G$110&lt;&gt;"acoes")))*INDEX(Inputs!$K$5:$AJ$110,0,MATCH(AJ$2,Inputs!$K$4:$AJ$4,0)))+SUMPRODUCT((Inputs!$E$5:$E$110=$B46)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6" s="267">
        <f>IF(ISNA(MATCH(AK$2,Inputs!$K$4:$AJ$4,0)),NA(),IF(SUMPRODUCT((Inputs!$A$5:$A$110=$B46)*ISNUMBER(INDEX(Inputs!$K$5:$AJ$110,0,MATCH(AK$2,Inputs!$K$4:$AJ$4,0))))+SUMPRODUCT((Inputs!$C$5:$C$110=$B46)*ISNUMBER(INDEX(Inputs!$K$5:$AJ$110,0,MATCH(AK$2,Inputs!$K$4:$AJ$4,0))))+SUMPRODUCT((Inputs!$E$5:$E$110=$B46)*ISNUMBER(INDEX(Inputs!$K$5:$AJ$110,0,MATCH(AK$2,Inputs!$K$4:$AJ$4,0))))=0,NA(),SUMPRODUCT((Inputs!$A$5:$A$110=$B46)*Inputs!$B$5:$B$110*(((Inputs!$G$5:$G$110="moeda")+(Inputs!$G$5:$G$110="acoes"))*Inputs!$B$1+((Inputs!$G$5:$G$110&lt;&gt;"moeda")*(Inputs!$G$5:$G$110&lt;&gt;"acoes")))*INDEX(Inputs!$K$5:$AJ$110,0,MATCH(AK$2,Inputs!$K$4:$AJ$4,0)))+SUMPRODUCT((Inputs!$C$5:$C$110=$B46)*Inputs!$D$5:$D$110*(((Inputs!$G$5:$G$110="moeda")+(Inputs!$G$5:$G$110="acoes"))*Inputs!$B$1+((Inputs!$G$5:$G$110&lt;&gt;"moeda")*(Inputs!$G$5:$G$110&lt;&gt;"acoes")))*INDEX(Inputs!$K$5:$AJ$110,0,MATCH(AK$2,Inputs!$K$4:$AJ$4,0)))+SUMPRODUCT((Inputs!$E$5:$E$110=$B46)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6" s="268">
        <f>AK46</f>
        <v>0</v>
      </c>
    </row>
    <row r="47" ht="12.75" customHeight="1" s="255">
      <c r="B47" s="265" t="n">
        <v>41</v>
      </c>
      <c r="C47" s="271" t="inlineStr">
        <is>
          <t>Retained earnings</t>
        </is>
      </c>
      <c r="D47" s="267">
        <f>IF(ISNA(MATCH(D$2,Inputs!$K$4:$AJ$4,0)),NA(),IF(SUMPRODUCT((Inputs!$A$5:$A$110=$B47)*ISNUMBER(INDEX(Inputs!$K$5:$AJ$110,0,MATCH(D$2,Inputs!$K$4:$AJ$4,0))))+SUMPRODUCT((Inputs!$C$5:$C$110=$B47)*ISNUMBER(INDEX(Inputs!$K$5:$AJ$110,0,MATCH(D$2,Inputs!$K$4:$AJ$4,0))))+SUMPRODUCT((Inputs!$E$5:$E$110=$B47)*ISNUMBER(INDEX(Inputs!$K$5:$AJ$110,0,MATCH(D$2,Inputs!$K$4:$AJ$4,0))))=0,NA(),SUMPRODUCT((Inputs!$A$5:$A$110=$B47)*Inputs!$B$5:$B$110*(((Inputs!$G$5:$G$110="moeda")+(Inputs!$G$5:$G$110="acoes"))*Inputs!$B$1+((Inputs!$G$5:$G$110&lt;&gt;"moeda")*(Inputs!$G$5:$G$110&lt;&gt;"acoes")))*INDEX(Inputs!$K$5:$AJ$110,0,MATCH(D$2,Inputs!$K$4:$AJ$4,0)))+SUMPRODUCT((Inputs!$C$5:$C$110=$B47)*Inputs!$D$5:$D$110*(((Inputs!$G$5:$G$110="moeda")+(Inputs!$G$5:$G$110="acoes"))*Inputs!$B$1+((Inputs!$G$5:$G$110&lt;&gt;"moeda")*(Inputs!$G$5:$G$110&lt;&gt;"acoes")))*INDEX(Inputs!$K$5:$AJ$110,0,MATCH(D$2,Inputs!$K$4:$AJ$4,0)))+SUMPRODUCT((Inputs!$E$5:$E$110=$B47)*Inputs!$F$5:$F$110*(((Inputs!$G$5:$G$110="moeda")+(Inputs!$G$5:$G$110="acoes"))*Inputs!$B$1+((Inputs!$G$5:$G$110&lt;&gt;"moeda")*(Inputs!$G$5:$G$110&lt;&gt;"acoes")))*INDEX(Inputs!$K$5:$AJ$110,0,MATCH(D$2,Inputs!$K$4:$AJ$4,0)))))</f>
        <v>9766</v>
      </c>
      <c r="E47" s="267">
        <f>IF(ISNA(MATCH(E$2,Inputs!$K$4:$AJ$4,0)),NA(),IF(SUMPRODUCT((Inputs!$A$5:$A$110=$B47)*ISNUMBER(INDEX(Inputs!$K$5:$AJ$110,0,MATCH(E$2,Inputs!$K$4:$AJ$4,0))))+SUMPRODUCT((Inputs!$C$5:$C$110=$B47)*ISNUMBER(INDEX(Inputs!$K$5:$AJ$110,0,MATCH(E$2,Inputs!$K$4:$AJ$4,0))))+SUMPRODUCT((Inputs!$E$5:$E$110=$B47)*ISNUMBER(INDEX(Inputs!$K$5:$AJ$110,0,MATCH(E$2,Inputs!$K$4:$AJ$4,0))))=0,NA(),SUMPRODUCT((Inputs!$A$5:$A$110=$B47)*Inputs!$B$5:$B$110*(((Inputs!$G$5:$G$110="moeda")+(Inputs!$G$5:$G$110="acoes"))*Inputs!$B$1+((Inputs!$G$5:$G$110&lt;&gt;"moeda")*(Inputs!$G$5:$G$110&lt;&gt;"acoes")))*INDEX(Inputs!$K$5:$AJ$110,0,MATCH(E$2,Inputs!$K$4:$AJ$4,0)))+SUMPRODUCT((Inputs!$C$5:$C$110=$B47)*Inputs!$D$5:$D$110*(((Inputs!$G$5:$G$110="moeda")+(Inputs!$G$5:$G$110="acoes"))*Inputs!$B$1+((Inputs!$G$5:$G$110&lt;&gt;"moeda")*(Inputs!$G$5:$G$110&lt;&gt;"acoes")))*INDEX(Inputs!$K$5:$AJ$110,0,MATCH(E$2,Inputs!$K$4:$AJ$4,0)))+SUMPRODUCT((Inputs!$E$5:$E$110=$B47)*Inputs!$F$5:$F$110*(((Inputs!$G$5:$G$110="moeda")+(Inputs!$G$5:$G$110="acoes"))*Inputs!$B$1+((Inputs!$G$5:$G$110&lt;&gt;"moeda")*(Inputs!$G$5:$G$110&lt;&gt;"acoes")))*INDEX(Inputs!$K$5:$AJ$110,0,MATCH(E$2,Inputs!$K$4:$AJ$4,0)))))</f>
        <v>10466</v>
      </c>
      <c r="F47" s="267">
        <f>IF(ISNA(MATCH(F$2,Inputs!$K$4:$AJ$4,0)),NA(),IF(SUMPRODUCT((Inputs!$A$5:$A$110=$B47)*ISNUMBER(INDEX(Inputs!$K$5:$AJ$110,0,MATCH(F$2,Inputs!$K$4:$AJ$4,0))))+SUMPRODUCT((Inputs!$C$5:$C$110=$B47)*ISNUMBER(INDEX(Inputs!$K$5:$AJ$110,0,MATCH(F$2,Inputs!$K$4:$AJ$4,0))))+SUMPRODUCT((Inputs!$E$5:$E$110=$B47)*ISNUMBER(INDEX(Inputs!$K$5:$AJ$110,0,MATCH(F$2,Inputs!$K$4:$AJ$4,0))))=0,NA(),SUMPRODUCT((Inputs!$A$5:$A$110=$B47)*Inputs!$B$5:$B$110*(((Inputs!$G$5:$G$110="moeda")+(Inputs!$G$5:$G$110="acoes"))*Inputs!$B$1+((Inputs!$G$5:$G$110&lt;&gt;"moeda")*(Inputs!$G$5:$G$110&lt;&gt;"acoes")))*INDEX(Inputs!$K$5:$AJ$110,0,MATCH(F$2,Inputs!$K$4:$AJ$4,0)))+SUMPRODUCT((Inputs!$C$5:$C$110=$B47)*Inputs!$D$5:$D$110*(((Inputs!$G$5:$G$110="moeda")+(Inputs!$G$5:$G$110="acoes"))*Inputs!$B$1+((Inputs!$G$5:$G$110&lt;&gt;"moeda")*(Inputs!$G$5:$G$110&lt;&gt;"acoes")))*INDEX(Inputs!$K$5:$AJ$110,0,MATCH(F$2,Inputs!$K$4:$AJ$4,0)))+SUMPRODUCT((Inputs!$E$5:$E$110=$B47)*Inputs!$F$5:$F$110*(((Inputs!$G$5:$G$110="moeda")+(Inputs!$G$5:$G$110="acoes"))*Inputs!$B$1+((Inputs!$G$5:$G$110&lt;&gt;"moeda")*(Inputs!$G$5:$G$110&lt;&gt;"acoes")))*INDEX(Inputs!$K$5:$AJ$110,0,MATCH(F$2,Inputs!$K$4:$AJ$4,0)))))</f>
        <v>11666</v>
      </c>
      <c r="G47" s="267">
        <f>IF(ISNA(MATCH(G$2,Inputs!$K$4:$AJ$4,0)),NA(),IF(SUMPRODUCT((Inputs!$A$5:$A$110=$B47)*ISNUMBER(INDEX(Inputs!$K$5:$AJ$110,0,MATCH(G$2,Inputs!$K$4:$AJ$4,0))))+SUMPRODUCT((Inputs!$C$5:$C$110=$B47)*ISNUMBER(INDEX(Inputs!$K$5:$AJ$110,0,MATCH(G$2,Inputs!$K$4:$AJ$4,0))))+SUMPRODUCT((Inputs!$E$5:$E$110=$B47)*ISNUMBER(INDEX(Inputs!$K$5:$AJ$110,0,MATCH(G$2,Inputs!$K$4:$AJ$4,0))))=0,NA(),SUMPRODUCT((Inputs!$A$5:$A$110=$B47)*Inputs!$B$5:$B$110*(((Inputs!$G$5:$G$110="moeda")+(Inputs!$G$5:$G$110="acoes"))*Inputs!$B$1+((Inputs!$G$5:$G$110&lt;&gt;"moeda")*(Inputs!$G$5:$G$110&lt;&gt;"acoes")))*INDEX(Inputs!$K$5:$AJ$110,0,MATCH(G$2,Inputs!$K$4:$AJ$4,0)))+SUMPRODUCT((Inputs!$C$5:$C$110=$B47)*Inputs!$D$5:$D$110*(((Inputs!$G$5:$G$110="moeda")+(Inputs!$G$5:$G$110="acoes"))*Inputs!$B$1+((Inputs!$G$5:$G$110&lt;&gt;"moeda")*(Inputs!$G$5:$G$110&lt;&gt;"acoes")))*INDEX(Inputs!$K$5:$AJ$110,0,MATCH(G$2,Inputs!$K$4:$AJ$4,0)))+SUMPRODUCT((Inputs!$E$5:$E$110=$B47)*Inputs!$F$5:$F$110*(((Inputs!$G$5:$G$110="moeda")+(Inputs!$G$5:$G$110="acoes"))*Inputs!$B$1+((Inputs!$G$5:$G$110&lt;&gt;"moeda")*(Inputs!$G$5:$G$110&lt;&gt;"acoes")))*INDEX(Inputs!$K$5:$AJ$110,0,MATCH(G$2,Inputs!$K$4:$AJ$4,0)))))</f>
        <v>12606</v>
      </c>
      <c r="H47" s="268">
        <f>G47</f>
        <v>12606</v>
      </c>
      <c r="I47" s="267">
        <f>IF(ISNA(MATCH(I$2,Inputs!$K$4:$AJ$4,0)),NA(),IF(SUMPRODUCT((Inputs!$A$5:$A$110=$B47)*ISNUMBER(INDEX(Inputs!$K$5:$AJ$110,0,MATCH(I$2,Inputs!$K$4:$AJ$4,0))))+SUMPRODUCT((Inputs!$C$5:$C$110=$B47)*ISNUMBER(INDEX(Inputs!$K$5:$AJ$110,0,MATCH(I$2,Inputs!$K$4:$AJ$4,0))))+SUMPRODUCT((Inputs!$E$5:$E$110=$B47)*ISNUMBER(INDEX(Inputs!$K$5:$AJ$110,0,MATCH(I$2,Inputs!$K$4:$AJ$4,0))))=0,NA(),SUMPRODUCT((Inputs!$A$5:$A$110=$B47)*Inputs!$B$5:$B$110*(((Inputs!$G$5:$G$110="moeda")+(Inputs!$G$5:$G$110="acoes"))*Inputs!$B$1+((Inputs!$G$5:$G$110&lt;&gt;"moeda")*(Inputs!$G$5:$G$110&lt;&gt;"acoes")))*INDEX(Inputs!$K$5:$AJ$110,0,MATCH(I$2,Inputs!$K$4:$AJ$4,0)))+SUMPRODUCT((Inputs!$C$5:$C$110=$B47)*Inputs!$D$5:$D$110*(((Inputs!$G$5:$G$110="moeda")+(Inputs!$G$5:$G$110="acoes"))*Inputs!$B$1+((Inputs!$G$5:$G$110&lt;&gt;"moeda")*(Inputs!$G$5:$G$110&lt;&gt;"acoes")))*INDEX(Inputs!$K$5:$AJ$110,0,MATCH(I$2,Inputs!$K$4:$AJ$4,0)))+SUMPRODUCT((Inputs!$E$5:$E$110=$B47)*Inputs!$F$5:$F$110*(((Inputs!$G$5:$G$110="moeda")+(Inputs!$G$5:$G$110="acoes"))*Inputs!$B$1+((Inputs!$G$5:$G$110&lt;&gt;"moeda")*(Inputs!$G$5:$G$110&lt;&gt;"acoes")))*INDEX(Inputs!$K$5:$AJ$110,0,MATCH(I$2,Inputs!$K$4:$AJ$4,0)))))</f>
        <v>13474</v>
      </c>
      <c r="J47" s="267">
        <f>IF(ISNA(MATCH(J$2,Inputs!$K$4:$AJ$4,0)),NA(),IF(SUMPRODUCT((Inputs!$A$5:$A$110=$B47)*ISNUMBER(INDEX(Inputs!$K$5:$AJ$110,0,MATCH(J$2,Inputs!$K$4:$AJ$4,0))))+SUMPRODUCT((Inputs!$C$5:$C$110=$B47)*ISNUMBER(INDEX(Inputs!$K$5:$AJ$110,0,MATCH(J$2,Inputs!$K$4:$AJ$4,0))))+SUMPRODUCT((Inputs!$E$5:$E$110=$B47)*ISNUMBER(INDEX(Inputs!$K$5:$AJ$110,0,MATCH(J$2,Inputs!$K$4:$AJ$4,0))))=0,NA(),SUMPRODUCT((Inputs!$A$5:$A$110=$B47)*Inputs!$B$5:$B$110*(((Inputs!$G$5:$G$110="moeda")+(Inputs!$G$5:$G$110="acoes"))*Inputs!$B$1+((Inputs!$G$5:$G$110&lt;&gt;"moeda")*(Inputs!$G$5:$G$110&lt;&gt;"acoes")))*INDEX(Inputs!$K$5:$AJ$110,0,MATCH(J$2,Inputs!$K$4:$AJ$4,0)))+SUMPRODUCT((Inputs!$C$5:$C$110=$B47)*Inputs!$D$5:$D$110*(((Inputs!$G$5:$G$110="moeda")+(Inputs!$G$5:$G$110="acoes"))*Inputs!$B$1+((Inputs!$G$5:$G$110&lt;&gt;"moeda")*(Inputs!$G$5:$G$110&lt;&gt;"acoes")))*INDEX(Inputs!$K$5:$AJ$110,0,MATCH(J$2,Inputs!$K$4:$AJ$4,0)))+SUMPRODUCT((Inputs!$E$5:$E$110=$B47)*Inputs!$F$5:$F$110*(((Inputs!$G$5:$G$110="moeda")+(Inputs!$G$5:$G$110="acoes"))*Inputs!$B$1+((Inputs!$G$5:$G$110&lt;&gt;"moeda")*(Inputs!$G$5:$G$110&lt;&gt;"acoes")))*INDEX(Inputs!$K$5:$AJ$110,0,MATCH(J$2,Inputs!$K$4:$AJ$4,0)))))</f>
        <v>14294</v>
      </c>
      <c r="K47" s="267">
        <f>IF(ISNA(MATCH(K$2,Inputs!$K$4:$AJ$4,0)),NA(),IF(SUMPRODUCT((Inputs!$A$5:$A$110=$B47)*ISNUMBER(INDEX(Inputs!$K$5:$AJ$110,0,MATCH(K$2,Inputs!$K$4:$AJ$4,0))))+SUMPRODUCT((Inputs!$C$5:$C$110=$B47)*ISNUMBER(INDEX(Inputs!$K$5:$AJ$110,0,MATCH(K$2,Inputs!$K$4:$AJ$4,0))))+SUMPRODUCT((Inputs!$E$5:$E$110=$B47)*ISNUMBER(INDEX(Inputs!$K$5:$AJ$110,0,MATCH(K$2,Inputs!$K$4:$AJ$4,0))))=0,NA(),SUMPRODUCT((Inputs!$A$5:$A$110=$B47)*Inputs!$B$5:$B$110*(((Inputs!$G$5:$G$110="moeda")+(Inputs!$G$5:$G$110="acoes"))*Inputs!$B$1+((Inputs!$G$5:$G$110&lt;&gt;"moeda")*(Inputs!$G$5:$G$110&lt;&gt;"acoes")))*INDEX(Inputs!$K$5:$AJ$110,0,MATCH(K$2,Inputs!$K$4:$AJ$4,0)))+SUMPRODUCT((Inputs!$C$5:$C$110=$B47)*Inputs!$D$5:$D$110*(((Inputs!$G$5:$G$110="moeda")+(Inputs!$G$5:$G$110="acoes"))*Inputs!$B$1+((Inputs!$G$5:$G$110&lt;&gt;"moeda")*(Inputs!$G$5:$G$110&lt;&gt;"acoes")))*INDEX(Inputs!$K$5:$AJ$110,0,MATCH(K$2,Inputs!$K$4:$AJ$4,0)))+SUMPRODUCT((Inputs!$E$5:$E$110=$B47)*Inputs!$F$5:$F$110*(((Inputs!$G$5:$G$110="moeda")+(Inputs!$G$5:$G$110="acoes"))*Inputs!$B$1+((Inputs!$G$5:$G$110&lt;&gt;"moeda")*(Inputs!$G$5:$G$110&lt;&gt;"acoes")))*INDEX(Inputs!$K$5:$AJ$110,0,MATCH(K$2,Inputs!$K$4:$AJ$4,0)))))</f>
        <v>15585</v>
      </c>
      <c r="L47" s="267">
        <f>IF(ISNA(MATCH(L$2,Inputs!$K$4:$AJ$4,0)),NA(),IF(SUMPRODUCT((Inputs!$A$5:$A$110=$B47)*ISNUMBER(INDEX(Inputs!$K$5:$AJ$110,0,MATCH(L$2,Inputs!$K$4:$AJ$4,0))))+SUMPRODUCT((Inputs!$C$5:$C$110=$B47)*ISNUMBER(INDEX(Inputs!$K$5:$AJ$110,0,MATCH(L$2,Inputs!$K$4:$AJ$4,0))))+SUMPRODUCT((Inputs!$E$5:$E$110=$B47)*ISNUMBER(INDEX(Inputs!$K$5:$AJ$110,0,MATCH(L$2,Inputs!$K$4:$AJ$4,0))))=0,NA(),SUMPRODUCT((Inputs!$A$5:$A$110=$B47)*Inputs!$B$5:$B$110*(((Inputs!$G$5:$G$110="moeda")+(Inputs!$G$5:$G$110="acoes"))*Inputs!$B$1+((Inputs!$G$5:$G$110&lt;&gt;"moeda")*(Inputs!$G$5:$G$110&lt;&gt;"acoes")))*INDEX(Inputs!$K$5:$AJ$110,0,MATCH(L$2,Inputs!$K$4:$AJ$4,0)))+SUMPRODUCT((Inputs!$C$5:$C$110=$B47)*Inputs!$D$5:$D$110*(((Inputs!$G$5:$G$110="moeda")+(Inputs!$G$5:$G$110="acoes"))*Inputs!$B$1+((Inputs!$G$5:$G$110&lt;&gt;"moeda")*(Inputs!$G$5:$G$110&lt;&gt;"acoes")))*INDEX(Inputs!$K$5:$AJ$110,0,MATCH(L$2,Inputs!$K$4:$AJ$4,0)))+SUMPRODUCT((Inputs!$E$5:$E$110=$B47)*Inputs!$F$5:$F$110*(((Inputs!$G$5:$G$110="moeda")+(Inputs!$G$5:$G$110="acoes"))*Inputs!$B$1+((Inputs!$G$5:$G$110&lt;&gt;"moeda")*(Inputs!$G$5:$G$110&lt;&gt;"acoes")))*INDEX(Inputs!$K$5:$AJ$110,0,MATCH(L$2,Inputs!$K$4:$AJ$4,0)))))</f>
        <v>16412</v>
      </c>
      <c r="M47" s="268">
        <f>L47</f>
        <v>16412</v>
      </c>
      <c r="N47" s="267">
        <f>IF(ISNA(MATCH(N$2,Inputs!$K$4:$AJ$4,0)),NA(),IF(SUMPRODUCT((Inputs!$A$5:$A$110=$B47)*ISNUMBER(INDEX(Inputs!$K$5:$AJ$110,0,MATCH(N$2,Inputs!$K$4:$AJ$4,0))))+SUMPRODUCT((Inputs!$C$5:$C$110=$B47)*ISNUMBER(INDEX(Inputs!$K$5:$AJ$110,0,MATCH(N$2,Inputs!$K$4:$AJ$4,0))))+SUMPRODUCT((Inputs!$E$5:$E$110=$B47)*ISNUMBER(INDEX(Inputs!$K$5:$AJ$110,0,MATCH(N$2,Inputs!$K$4:$AJ$4,0))))=0,NA(),SUMPRODUCT((Inputs!$A$5:$A$110=$B47)*Inputs!$B$5:$B$110*(((Inputs!$G$5:$G$110="moeda")+(Inputs!$G$5:$G$110="acoes"))*Inputs!$B$1+((Inputs!$G$5:$G$110&lt;&gt;"moeda")*(Inputs!$G$5:$G$110&lt;&gt;"acoes")))*INDEX(Inputs!$K$5:$AJ$110,0,MATCH(N$2,Inputs!$K$4:$AJ$4,0)))+SUMPRODUCT((Inputs!$C$5:$C$110=$B47)*Inputs!$D$5:$D$110*(((Inputs!$G$5:$G$110="moeda")+(Inputs!$G$5:$G$110="acoes"))*Inputs!$B$1+((Inputs!$G$5:$G$110&lt;&gt;"moeda")*(Inputs!$G$5:$G$110&lt;&gt;"acoes")))*INDEX(Inputs!$K$5:$AJ$110,0,MATCH(N$2,Inputs!$K$4:$AJ$4,0)))+SUMPRODUCT((Inputs!$E$5:$E$110=$B47)*Inputs!$F$5:$F$110*(((Inputs!$G$5:$G$110="moeda")+(Inputs!$G$5:$G$110="acoes"))*Inputs!$B$1+((Inputs!$G$5:$G$110&lt;&gt;"moeda")*(Inputs!$G$5:$G$110&lt;&gt;"acoes")))*INDEX(Inputs!$K$5:$AJ$110,0,MATCH(N$2,Inputs!$K$4:$AJ$4,0)))))</f>
        <v>17341</v>
      </c>
      <c r="O47" s="267">
        <f>IF(ISNA(MATCH(O$2,Inputs!$K$4:$AJ$4,0)),NA(),IF(SUMPRODUCT((Inputs!$A$5:$A$110=$B47)*ISNUMBER(INDEX(Inputs!$K$5:$AJ$110,0,MATCH(O$2,Inputs!$K$4:$AJ$4,0))))+SUMPRODUCT((Inputs!$C$5:$C$110=$B47)*ISNUMBER(INDEX(Inputs!$K$5:$AJ$110,0,MATCH(O$2,Inputs!$K$4:$AJ$4,0))))+SUMPRODUCT((Inputs!$E$5:$E$110=$B47)*ISNUMBER(INDEX(Inputs!$K$5:$AJ$110,0,MATCH(O$2,Inputs!$K$4:$AJ$4,0))))=0,NA(),SUMPRODUCT((Inputs!$A$5:$A$110=$B47)*Inputs!$B$5:$B$110*(((Inputs!$G$5:$G$110="moeda")+(Inputs!$G$5:$G$110="acoes"))*Inputs!$B$1+((Inputs!$G$5:$G$110&lt;&gt;"moeda")*(Inputs!$G$5:$G$110&lt;&gt;"acoes")))*INDEX(Inputs!$K$5:$AJ$110,0,MATCH(O$2,Inputs!$K$4:$AJ$4,0)))+SUMPRODUCT((Inputs!$C$5:$C$110=$B47)*Inputs!$D$5:$D$110*(((Inputs!$G$5:$G$110="moeda")+(Inputs!$G$5:$G$110="acoes"))*Inputs!$B$1+((Inputs!$G$5:$G$110&lt;&gt;"moeda")*(Inputs!$G$5:$G$110&lt;&gt;"acoes")))*INDEX(Inputs!$K$5:$AJ$110,0,MATCH(O$2,Inputs!$K$4:$AJ$4,0)))+SUMPRODUCT((Inputs!$E$5:$E$110=$B47)*Inputs!$F$5:$F$110*(((Inputs!$G$5:$G$110="moeda")+(Inputs!$G$5:$G$110="acoes"))*Inputs!$B$1+((Inputs!$G$5:$G$110&lt;&gt;"moeda")*(Inputs!$G$5:$G$110&lt;&gt;"acoes")))*INDEX(Inputs!$K$5:$AJ$110,0,MATCH(O$2,Inputs!$K$4:$AJ$4,0)))))</f>
        <v>18035</v>
      </c>
      <c r="P47" s="267">
        <f>IF(ISNA(MATCH(P$2,Inputs!$K$4:$AJ$4,0)),NA(),IF(SUMPRODUCT((Inputs!$A$5:$A$110=$B47)*ISNUMBER(INDEX(Inputs!$K$5:$AJ$110,0,MATCH(P$2,Inputs!$K$4:$AJ$4,0))))+SUMPRODUCT((Inputs!$C$5:$C$110=$B47)*ISNUMBER(INDEX(Inputs!$K$5:$AJ$110,0,MATCH(P$2,Inputs!$K$4:$AJ$4,0))))+SUMPRODUCT((Inputs!$E$5:$E$110=$B47)*ISNUMBER(INDEX(Inputs!$K$5:$AJ$110,0,MATCH(P$2,Inputs!$K$4:$AJ$4,0))))=0,NA(),SUMPRODUCT((Inputs!$A$5:$A$110=$B47)*Inputs!$B$5:$B$110*(((Inputs!$G$5:$G$110="moeda")+(Inputs!$G$5:$G$110="acoes"))*Inputs!$B$1+((Inputs!$G$5:$G$110&lt;&gt;"moeda")*(Inputs!$G$5:$G$110&lt;&gt;"acoes")))*INDEX(Inputs!$K$5:$AJ$110,0,MATCH(P$2,Inputs!$K$4:$AJ$4,0)))+SUMPRODUCT((Inputs!$C$5:$C$110=$B47)*Inputs!$D$5:$D$110*(((Inputs!$G$5:$G$110="moeda")+(Inputs!$G$5:$G$110="acoes"))*Inputs!$B$1+((Inputs!$G$5:$G$110&lt;&gt;"moeda")*(Inputs!$G$5:$G$110&lt;&gt;"acoes")))*INDEX(Inputs!$K$5:$AJ$110,0,MATCH(P$2,Inputs!$K$4:$AJ$4,0)))+SUMPRODUCT((Inputs!$E$5:$E$110=$B47)*Inputs!$F$5:$F$110*(((Inputs!$G$5:$G$110="moeda")+(Inputs!$G$5:$G$110="acoes"))*Inputs!$B$1+((Inputs!$G$5:$G$110&lt;&gt;"moeda")*(Inputs!$G$5:$G$110&lt;&gt;"acoes")))*INDEX(Inputs!$K$5:$AJ$110,0,MATCH(P$2,Inputs!$K$4:$AJ$4,0)))))</f>
        <v>19521</v>
      </c>
      <c r="Q47" s="267">
        <f>IF(ISNA(MATCH(Q$2,Inputs!$K$4:$AJ$4,0)),NA(),IF(SUMPRODUCT((Inputs!$A$5:$A$110=$B47)*ISNUMBER(INDEX(Inputs!$K$5:$AJ$110,0,MATCH(Q$2,Inputs!$K$4:$AJ$4,0))))+SUMPRODUCT((Inputs!$C$5:$C$110=$B47)*ISNUMBER(INDEX(Inputs!$K$5:$AJ$110,0,MATCH(Q$2,Inputs!$K$4:$AJ$4,0))))+SUMPRODUCT((Inputs!$E$5:$E$110=$B47)*ISNUMBER(INDEX(Inputs!$K$5:$AJ$110,0,MATCH(Q$2,Inputs!$K$4:$AJ$4,0))))=0,NA(),SUMPRODUCT((Inputs!$A$5:$A$110=$B47)*Inputs!$B$5:$B$110*(((Inputs!$G$5:$G$110="moeda")+(Inputs!$G$5:$G$110="acoes"))*Inputs!$B$1+((Inputs!$G$5:$G$110&lt;&gt;"moeda")*(Inputs!$G$5:$G$110&lt;&gt;"acoes")))*INDEX(Inputs!$K$5:$AJ$110,0,MATCH(Q$2,Inputs!$K$4:$AJ$4,0)))+SUMPRODUCT((Inputs!$C$5:$C$110=$B47)*Inputs!$D$5:$D$110*(((Inputs!$G$5:$G$110="moeda")+(Inputs!$G$5:$G$110="acoes"))*Inputs!$B$1+((Inputs!$G$5:$G$110&lt;&gt;"moeda")*(Inputs!$G$5:$G$110&lt;&gt;"acoes")))*INDEX(Inputs!$K$5:$AJ$110,0,MATCH(Q$2,Inputs!$K$4:$AJ$4,0)))+SUMPRODUCT((Inputs!$E$5:$E$110=$B47)*Inputs!$F$5:$F$110*(((Inputs!$G$5:$G$110="moeda")+(Inputs!$G$5:$G$110="acoes"))*Inputs!$B$1+((Inputs!$G$5:$G$110&lt;&gt;"moeda")*(Inputs!$G$5:$G$110&lt;&gt;"acoes")))*INDEX(Inputs!$K$5:$AJ$110,0,MATCH(Q$2,Inputs!$K$4:$AJ$4,0)))))</f>
        <v>20499</v>
      </c>
      <c r="R47" s="268">
        <f>Q47</f>
        <v>20499</v>
      </c>
      <c r="S47" s="267">
        <f>IF(ISNA(MATCH(S$2,Inputs!$K$4:$AJ$4,0)),NA(),IF(SUMPRODUCT((Inputs!$A$5:$A$110=$B47)*ISNUMBER(INDEX(Inputs!$K$5:$AJ$110,0,MATCH(S$2,Inputs!$K$4:$AJ$4,0))))+SUMPRODUCT((Inputs!$C$5:$C$110=$B47)*ISNUMBER(INDEX(Inputs!$K$5:$AJ$110,0,MATCH(S$2,Inputs!$K$4:$AJ$4,0))))+SUMPRODUCT((Inputs!$E$5:$E$110=$B47)*ISNUMBER(INDEX(Inputs!$K$5:$AJ$110,0,MATCH(S$2,Inputs!$K$4:$AJ$4,0))))=0,NA(),SUMPRODUCT((Inputs!$A$5:$A$110=$B47)*Inputs!$B$5:$B$110*(((Inputs!$G$5:$G$110="moeda")+(Inputs!$G$5:$G$110="acoes"))*Inputs!$B$1+((Inputs!$G$5:$G$110&lt;&gt;"moeda")*(Inputs!$G$5:$G$110&lt;&gt;"acoes")))*INDEX(Inputs!$K$5:$AJ$110,0,MATCH(S$2,Inputs!$K$4:$AJ$4,0)))+SUMPRODUCT((Inputs!$C$5:$C$110=$B47)*Inputs!$D$5:$D$110*(((Inputs!$G$5:$G$110="moeda")+(Inputs!$G$5:$G$110="acoes"))*Inputs!$B$1+((Inputs!$G$5:$G$110&lt;&gt;"moeda")*(Inputs!$G$5:$G$110&lt;&gt;"acoes")))*INDEX(Inputs!$K$5:$AJ$110,0,MATCH(S$2,Inputs!$K$4:$AJ$4,0)))+SUMPRODUCT((Inputs!$E$5:$E$110=$B47)*Inputs!$F$5:$F$110*(((Inputs!$G$5:$G$110="moeda")+(Inputs!$G$5:$G$110="acoes"))*Inputs!$B$1+((Inputs!$G$5:$G$110&lt;&gt;"moeda")*(Inputs!$G$5:$G$110&lt;&gt;"acoes")))*INDEX(Inputs!$K$5:$AJ$110,0,MATCH(S$2,Inputs!$K$4:$AJ$4,0)))))</f>
        <v>14980</v>
      </c>
      <c r="T47" s="267">
        <f>IF(ISNA(MATCH(T$2,Inputs!$K$4:$AJ$4,0)),NA(),IF(SUMPRODUCT((Inputs!$A$5:$A$110=$B47)*ISNUMBER(INDEX(Inputs!$K$5:$AJ$110,0,MATCH(T$2,Inputs!$K$4:$AJ$4,0))))+SUMPRODUCT((Inputs!$C$5:$C$110=$B47)*ISNUMBER(INDEX(Inputs!$K$5:$AJ$110,0,MATCH(T$2,Inputs!$K$4:$AJ$4,0))))+SUMPRODUCT((Inputs!$E$5:$E$110=$B47)*ISNUMBER(INDEX(Inputs!$K$5:$AJ$110,0,MATCH(T$2,Inputs!$K$4:$AJ$4,0))))=0,NA(),SUMPRODUCT((Inputs!$A$5:$A$110=$B47)*Inputs!$B$5:$B$110*(((Inputs!$G$5:$G$110="moeda")+(Inputs!$G$5:$G$110="acoes"))*Inputs!$B$1+((Inputs!$G$5:$G$110&lt;&gt;"moeda")*(Inputs!$G$5:$G$110&lt;&gt;"acoes")))*INDEX(Inputs!$K$5:$AJ$110,0,MATCH(T$2,Inputs!$K$4:$AJ$4,0)))+SUMPRODUCT((Inputs!$C$5:$C$110=$B47)*Inputs!$D$5:$D$110*(((Inputs!$G$5:$G$110="moeda")+(Inputs!$G$5:$G$110="acoes"))*Inputs!$B$1+((Inputs!$G$5:$G$110&lt;&gt;"moeda")*(Inputs!$G$5:$G$110&lt;&gt;"acoes")))*INDEX(Inputs!$K$5:$AJ$110,0,MATCH(T$2,Inputs!$K$4:$AJ$4,0)))+SUMPRODUCT((Inputs!$E$5:$E$110=$B47)*Inputs!$F$5:$F$110*(((Inputs!$G$5:$G$110="moeda")+(Inputs!$G$5:$G$110="acoes"))*Inputs!$B$1+((Inputs!$G$5:$G$110&lt;&gt;"moeda")*(Inputs!$G$5:$G$110&lt;&gt;"acoes")))*INDEX(Inputs!$K$5:$AJ$110,0,MATCH(T$2,Inputs!$K$4:$AJ$4,0)))))</f>
        <v>15989</v>
      </c>
      <c r="U47" s="267">
        <f>IF(ISNA(MATCH(U$2,Inputs!$K$4:$AJ$4,0)),NA(),IF(SUMPRODUCT((Inputs!$A$5:$A$110=$B47)*ISNUMBER(INDEX(Inputs!$K$5:$AJ$110,0,MATCH(U$2,Inputs!$K$4:$AJ$4,0))))+SUMPRODUCT((Inputs!$C$5:$C$110=$B47)*ISNUMBER(INDEX(Inputs!$K$5:$AJ$110,0,MATCH(U$2,Inputs!$K$4:$AJ$4,0))))+SUMPRODUCT((Inputs!$E$5:$E$110=$B47)*ISNUMBER(INDEX(Inputs!$K$5:$AJ$110,0,MATCH(U$2,Inputs!$K$4:$AJ$4,0))))=0,NA(),SUMPRODUCT((Inputs!$A$5:$A$110=$B47)*Inputs!$B$5:$B$110*(((Inputs!$G$5:$G$110="moeda")+(Inputs!$G$5:$G$110="acoes"))*Inputs!$B$1+((Inputs!$G$5:$G$110&lt;&gt;"moeda")*(Inputs!$G$5:$G$110&lt;&gt;"acoes")))*INDEX(Inputs!$K$5:$AJ$110,0,MATCH(U$2,Inputs!$K$4:$AJ$4,0)))+SUMPRODUCT((Inputs!$C$5:$C$110=$B47)*Inputs!$D$5:$D$110*(((Inputs!$G$5:$G$110="moeda")+(Inputs!$G$5:$G$110="acoes"))*Inputs!$B$1+((Inputs!$G$5:$G$110&lt;&gt;"moeda")*(Inputs!$G$5:$G$110&lt;&gt;"acoes")))*INDEX(Inputs!$K$5:$AJ$110,0,MATCH(U$2,Inputs!$K$4:$AJ$4,0)))+SUMPRODUCT((Inputs!$E$5:$E$110=$B47)*Inputs!$F$5:$F$110*(((Inputs!$G$5:$G$110="moeda")+(Inputs!$G$5:$G$110="acoes"))*Inputs!$B$1+((Inputs!$G$5:$G$110&lt;&gt;"moeda")*(Inputs!$G$5:$G$110&lt;&gt;"acoes")))*INDEX(Inputs!$K$5:$AJ$110,0,MATCH(U$2,Inputs!$K$4:$AJ$4,0)))))</f>
        <v>17619</v>
      </c>
      <c r="V47" s="267">
        <f>IF(ISNA(MATCH(V$2,Inputs!$K$4:$AJ$4,0)),NA(),IF(SUMPRODUCT((Inputs!$A$5:$A$110=$B47)*ISNUMBER(INDEX(Inputs!$K$5:$AJ$110,0,MATCH(V$2,Inputs!$K$4:$AJ$4,0))))+SUMPRODUCT((Inputs!$C$5:$C$110=$B47)*ISNUMBER(INDEX(Inputs!$K$5:$AJ$110,0,MATCH(V$2,Inputs!$K$4:$AJ$4,0))))+SUMPRODUCT((Inputs!$E$5:$E$110=$B47)*ISNUMBER(INDEX(Inputs!$K$5:$AJ$110,0,MATCH(V$2,Inputs!$K$4:$AJ$4,0))))=0,NA(),SUMPRODUCT((Inputs!$A$5:$A$110=$B47)*Inputs!$B$5:$B$110*(((Inputs!$G$5:$G$110="moeda")+(Inputs!$G$5:$G$110="acoes"))*Inputs!$B$1+((Inputs!$G$5:$G$110&lt;&gt;"moeda")*(Inputs!$G$5:$G$110&lt;&gt;"acoes")))*INDEX(Inputs!$K$5:$AJ$110,0,MATCH(V$2,Inputs!$K$4:$AJ$4,0)))+SUMPRODUCT((Inputs!$C$5:$C$110=$B47)*Inputs!$D$5:$D$110*(((Inputs!$G$5:$G$110="moeda")+(Inputs!$G$5:$G$110="acoes"))*Inputs!$B$1+((Inputs!$G$5:$G$110&lt;&gt;"moeda")*(Inputs!$G$5:$G$110&lt;&gt;"acoes")))*INDEX(Inputs!$K$5:$AJ$110,0,MATCH(V$2,Inputs!$K$4:$AJ$4,0)))+SUMPRODUCT((Inputs!$E$5:$E$110=$B47)*Inputs!$F$5:$F$110*(((Inputs!$G$5:$G$110="moeda")+(Inputs!$G$5:$G$110="acoes"))*Inputs!$B$1+((Inputs!$G$5:$G$110&lt;&gt;"moeda")*(Inputs!$G$5:$G$110&lt;&gt;"acoes")))*INDEX(Inputs!$K$5:$AJ$110,0,MATCH(V$2,Inputs!$K$4:$AJ$4,0)))))</f>
        <v>18700</v>
      </c>
      <c r="W47" s="268">
        <f>V47</f>
        <v>18700</v>
      </c>
      <c r="X47" s="267">
        <f>IF(ISNA(MATCH(X$2,Inputs!$K$4:$AJ$4,0)),NA(),IF(SUMPRODUCT((Inputs!$A$5:$A$110=$B47)*ISNUMBER(INDEX(Inputs!$K$5:$AJ$110,0,MATCH(X$2,Inputs!$K$4:$AJ$4,0))))+SUMPRODUCT((Inputs!$C$5:$C$110=$B47)*ISNUMBER(INDEX(Inputs!$K$5:$AJ$110,0,MATCH(X$2,Inputs!$K$4:$AJ$4,0))))+SUMPRODUCT((Inputs!$E$5:$E$110=$B47)*ISNUMBER(INDEX(Inputs!$K$5:$AJ$110,0,MATCH(X$2,Inputs!$K$4:$AJ$4,0))))=0,NA(),SUMPRODUCT((Inputs!$A$5:$A$110=$B47)*Inputs!$B$5:$B$110*(((Inputs!$G$5:$G$110="moeda")+(Inputs!$G$5:$G$110="acoes"))*Inputs!$B$1+((Inputs!$G$5:$G$110&lt;&gt;"moeda")*(Inputs!$G$5:$G$110&lt;&gt;"acoes")))*INDEX(Inputs!$K$5:$AJ$110,0,MATCH(X$2,Inputs!$K$4:$AJ$4,0)))+SUMPRODUCT((Inputs!$C$5:$C$110=$B47)*Inputs!$D$5:$D$110*(((Inputs!$G$5:$G$110="moeda")+(Inputs!$G$5:$G$110="acoes"))*Inputs!$B$1+((Inputs!$G$5:$G$110&lt;&gt;"moeda")*(Inputs!$G$5:$G$110&lt;&gt;"acoes")))*INDEX(Inputs!$K$5:$AJ$110,0,MATCH(X$2,Inputs!$K$4:$AJ$4,0)))+SUMPRODUCT((Inputs!$E$5:$E$110=$B47)*Inputs!$F$5:$F$110*(((Inputs!$G$5:$G$110="moeda")+(Inputs!$G$5:$G$110="acoes"))*Inputs!$B$1+((Inputs!$G$5:$G$110&lt;&gt;"moeda")*(Inputs!$G$5:$G$110&lt;&gt;"acoes")))*INDEX(Inputs!$K$5:$AJ$110,0,MATCH(X$2,Inputs!$K$4:$AJ$4,0)))))</f>
        <v>19770</v>
      </c>
      <c r="Y47" s="267">
        <f>IF(ISNA(MATCH(Y$2,Inputs!$K$4:$AJ$4,0)),NA(),IF(SUMPRODUCT((Inputs!$A$5:$A$110=$B47)*ISNUMBER(INDEX(Inputs!$K$5:$AJ$110,0,MATCH(Y$2,Inputs!$K$4:$AJ$4,0))))+SUMPRODUCT((Inputs!$C$5:$C$110=$B47)*ISNUMBER(INDEX(Inputs!$K$5:$AJ$110,0,MATCH(Y$2,Inputs!$K$4:$AJ$4,0))))+SUMPRODUCT((Inputs!$E$5:$E$110=$B47)*ISNUMBER(INDEX(Inputs!$K$5:$AJ$110,0,MATCH(Y$2,Inputs!$K$4:$AJ$4,0))))=0,NA(),SUMPRODUCT((Inputs!$A$5:$A$110=$B47)*Inputs!$B$5:$B$110*(((Inputs!$G$5:$G$110="moeda")+(Inputs!$G$5:$G$110="acoes"))*Inputs!$B$1+((Inputs!$G$5:$G$110&lt;&gt;"moeda")*(Inputs!$G$5:$G$110&lt;&gt;"acoes")))*INDEX(Inputs!$K$5:$AJ$110,0,MATCH(Y$2,Inputs!$K$4:$AJ$4,0)))+SUMPRODUCT((Inputs!$C$5:$C$110=$B47)*Inputs!$D$5:$D$110*(((Inputs!$G$5:$G$110="moeda")+(Inputs!$G$5:$G$110="acoes"))*Inputs!$B$1+((Inputs!$G$5:$G$110&lt;&gt;"moeda")*(Inputs!$G$5:$G$110&lt;&gt;"acoes")))*INDEX(Inputs!$K$5:$AJ$110,0,MATCH(Y$2,Inputs!$K$4:$AJ$4,0)))+SUMPRODUCT((Inputs!$E$5:$E$110=$B47)*Inputs!$F$5:$F$110*(((Inputs!$G$5:$G$110="moeda")+(Inputs!$G$5:$G$110="acoes"))*Inputs!$B$1+((Inputs!$G$5:$G$110&lt;&gt;"moeda")*(Inputs!$G$5:$G$110&lt;&gt;"acoes")))*INDEX(Inputs!$K$5:$AJ$110,0,MATCH(Y$2,Inputs!$K$4:$AJ$4,0)))))</f>
        <v>20890</v>
      </c>
      <c r="Z47" s="267">
        <f>IF(ISNA(MATCH(Z$2,Inputs!$K$4:$AJ$4,0)),NA(),IF(SUMPRODUCT((Inputs!$A$5:$A$110=$B47)*ISNUMBER(INDEX(Inputs!$K$5:$AJ$110,0,MATCH(Z$2,Inputs!$K$4:$AJ$4,0))))+SUMPRODUCT((Inputs!$C$5:$C$110=$B47)*ISNUMBER(INDEX(Inputs!$K$5:$AJ$110,0,MATCH(Z$2,Inputs!$K$4:$AJ$4,0))))+SUMPRODUCT((Inputs!$E$5:$E$110=$B47)*ISNUMBER(INDEX(Inputs!$K$5:$AJ$110,0,MATCH(Z$2,Inputs!$K$4:$AJ$4,0))))=0,NA(),SUMPRODUCT((Inputs!$A$5:$A$110=$B47)*Inputs!$B$5:$B$110*(((Inputs!$G$5:$G$110="moeda")+(Inputs!$G$5:$G$110="acoes"))*Inputs!$B$1+((Inputs!$G$5:$G$110&lt;&gt;"moeda")*(Inputs!$G$5:$G$110&lt;&gt;"acoes")))*INDEX(Inputs!$K$5:$AJ$110,0,MATCH(Z$2,Inputs!$K$4:$AJ$4,0)))+SUMPRODUCT((Inputs!$C$5:$C$110=$B47)*Inputs!$D$5:$D$110*(((Inputs!$G$5:$G$110="moeda")+(Inputs!$G$5:$G$110="acoes"))*Inputs!$B$1+((Inputs!$G$5:$G$110&lt;&gt;"moeda")*(Inputs!$G$5:$G$110&lt;&gt;"acoes")))*INDEX(Inputs!$K$5:$AJ$110,0,MATCH(Z$2,Inputs!$K$4:$AJ$4,0)))+SUMPRODUCT((Inputs!$E$5:$E$110=$B47)*Inputs!$F$5:$F$110*(((Inputs!$G$5:$G$110="moeda")+(Inputs!$G$5:$G$110="acoes"))*Inputs!$B$1+((Inputs!$G$5:$G$110&lt;&gt;"moeda")*(Inputs!$G$5:$G$110&lt;&gt;"acoes")))*INDEX(Inputs!$K$5:$AJ$110,0,MATCH(Z$2,Inputs!$K$4:$AJ$4,0)))))</f>
        <v>22650</v>
      </c>
      <c r="AA47" s="267">
        <f>IF(ISNA(MATCH(AA$2,Inputs!$K$4:$AJ$4,0)),NA(),IF(SUMPRODUCT((Inputs!$A$5:$A$110=$B47)*ISNUMBER(INDEX(Inputs!$K$5:$AJ$110,0,MATCH(AA$2,Inputs!$K$4:$AJ$4,0))))+SUMPRODUCT((Inputs!$C$5:$C$110=$B47)*ISNUMBER(INDEX(Inputs!$K$5:$AJ$110,0,MATCH(AA$2,Inputs!$K$4:$AJ$4,0))))+SUMPRODUCT((Inputs!$E$5:$E$110=$B47)*ISNUMBER(INDEX(Inputs!$K$5:$AJ$110,0,MATCH(AA$2,Inputs!$K$4:$AJ$4,0))))=0,NA(),SUMPRODUCT((Inputs!$A$5:$A$110=$B47)*Inputs!$B$5:$B$110*(((Inputs!$G$5:$G$110="moeda")+(Inputs!$G$5:$G$110="acoes"))*Inputs!$B$1+((Inputs!$G$5:$G$110&lt;&gt;"moeda")*(Inputs!$G$5:$G$110&lt;&gt;"acoes")))*INDEX(Inputs!$K$5:$AJ$110,0,MATCH(AA$2,Inputs!$K$4:$AJ$4,0)))+SUMPRODUCT((Inputs!$C$5:$C$110=$B47)*Inputs!$D$5:$D$110*(((Inputs!$G$5:$G$110="moeda")+(Inputs!$G$5:$G$110="acoes"))*Inputs!$B$1+((Inputs!$G$5:$G$110&lt;&gt;"moeda")*(Inputs!$G$5:$G$110&lt;&gt;"acoes")))*INDEX(Inputs!$K$5:$AJ$110,0,MATCH(AA$2,Inputs!$K$4:$AJ$4,0)))+SUMPRODUCT((Inputs!$E$5:$E$110=$B47)*Inputs!$F$5:$F$110*(((Inputs!$G$5:$G$110="moeda")+(Inputs!$G$5:$G$110="acoes"))*Inputs!$B$1+((Inputs!$G$5:$G$110&lt;&gt;"moeda")*(Inputs!$G$5:$G$110&lt;&gt;"acoes")))*INDEX(Inputs!$K$5:$AJ$110,0,MATCH(AA$2,Inputs!$K$4:$AJ$4,0)))))</f>
        <v>23869</v>
      </c>
      <c r="AB47" s="268">
        <f>AA47</f>
        <v>23869</v>
      </c>
      <c r="AC47" s="267">
        <f>IF(ISNA(MATCH(AC$2,Inputs!$K$4:$AJ$4,0)),NA(),IF(SUMPRODUCT((Inputs!$A$5:$A$110=$B47)*ISNUMBER(INDEX(Inputs!$K$5:$AJ$110,0,MATCH(AC$2,Inputs!$K$4:$AJ$4,0))))+SUMPRODUCT((Inputs!$C$5:$C$110=$B47)*ISNUMBER(INDEX(Inputs!$K$5:$AJ$110,0,MATCH(AC$2,Inputs!$K$4:$AJ$4,0))))+SUMPRODUCT((Inputs!$E$5:$E$110=$B47)*ISNUMBER(INDEX(Inputs!$K$5:$AJ$110,0,MATCH(AC$2,Inputs!$K$4:$AJ$4,0))))=0,NA(),SUMPRODUCT((Inputs!$A$5:$A$110=$B47)*Inputs!$B$5:$B$110*(((Inputs!$G$5:$G$110="moeda")+(Inputs!$G$5:$G$110="acoes"))*Inputs!$B$1+((Inputs!$G$5:$G$110&lt;&gt;"moeda")*(Inputs!$G$5:$G$110&lt;&gt;"acoes")))*INDEX(Inputs!$K$5:$AJ$110,0,MATCH(AC$2,Inputs!$K$4:$AJ$4,0)))+SUMPRODUCT((Inputs!$C$5:$C$110=$B47)*Inputs!$D$5:$D$110*(((Inputs!$G$5:$G$110="moeda")+(Inputs!$G$5:$G$110="acoes"))*Inputs!$B$1+((Inputs!$G$5:$G$110&lt;&gt;"moeda")*(Inputs!$G$5:$G$110&lt;&gt;"acoes")))*INDEX(Inputs!$K$5:$AJ$110,0,MATCH(AC$2,Inputs!$K$4:$AJ$4,0)))+SUMPRODUCT((Inputs!$E$5:$E$110=$B47)*Inputs!$F$5:$F$110*(((Inputs!$G$5:$G$110="moeda")+(Inputs!$G$5:$G$110="acoes"))*Inputs!$B$1+((Inputs!$G$5:$G$110&lt;&gt;"moeda")*(Inputs!$G$5:$G$110&lt;&gt;"acoes")))*INDEX(Inputs!$K$5:$AJ$110,0,MATCH(AC$2,Inputs!$K$4:$AJ$4,0)))))</f>
        <v>25121</v>
      </c>
      <c r="AD47" s="267">
        <f>IF(ISNA(MATCH(AD$2,Inputs!$K$4:$AJ$4,0)),NA(),IF(SUMPRODUCT((Inputs!$A$5:$A$110=$B47)*ISNUMBER(INDEX(Inputs!$K$5:$AJ$110,0,MATCH(AD$2,Inputs!$K$4:$AJ$4,0))))+SUMPRODUCT((Inputs!$C$5:$C$110=$B47)*ISNUMBER(INDEX(Inputs!$K$5:$AJ$110,0,MATCH(AD$2,Inputs!$K$4:$AJ$4,0))))+SUMPRODUCT((Inputs!$E$5:$E$110=$B47)*ISNUMBER(INDEX(Inputs!$K$5:$AJ$110,0,MATCH(AD$2,Inputs!$K$4:$AJ$4,0))))=0,NA(),SUMPRODUCT((Inputs!$A$5:$A$110=$B47)*Inputs!$B$5:$B$110*(((Inputs!$G$5:$G$110="moeda")+(Inputs!$G$5:$G$110="acoes"))*Inputs!$B$1+((Inputs!$G$5:$G$110&lt;&gt;"moeda")*(Inputs!$G$5:$G$110&lt;&gt;"acoes")))*INDEX(Inputs!$K$5:$AJ$110,0,MATCH(AD$2,Inputs!$K$4:$AJ$4,0)))+SUMPRODUCT((Inputs!$C$5:$C$110=$B47)*Inputs!$D$5:$D$110*(((Inputs!$G$5:$G$110="moeda")+(Inputs!$G$5:$G$110="acoes"))*Inputs!$B$1+((Inputs!$G$5:$G$110&lt;&gt;"moeda")*(Inputs!$G$5:$G$110&lt;&gt;"acoes")))*INDEX(Inputs!$K$5:$AJ$110,0,MATCH(AD$2,Inputs!$K$4:$AJ$4,0)))+SUMPRODUCT((Inputs!$E$5:$E$110=$B47)*Inputs!$F$5:$F$110*(((Inputs!$G$5:$G$110="moeda")+(Inputs!$G$5:$G$110="acoes"))*Inputs!$B$1+((Inputs!$G$5:$G$110&lt;&gt;"moeda")*(Inputs!$G$5:$G$110&lt;&gt;"acoes")))*INDEX(Inputs!$K$5:$AJ$110,0,MATCH(AD$2,Inputs!$K$4:$AJ$4,0)))))</f>
        <v>26482</v>
      </c>
      <c r="AE47" s="267" t="e">
        <f>IF(ISNA(MATCH(AE$2,Inputs!$K$4:$AJ$4,0)),NA(),IF(SUMPRODUCT((Inputs!$A$5:$A$110=$B47)*ISNUMBER(INDEX(Inputs!$K$5:$AJ$110,0,MATCH(AE$2,Inputs!$K$4:$AJ$4,0))))+SUMPRODUCT((Inputs!$C$5:$C$110=$B47)*ISNUMBER(INDEX(Inputs!$K$5:$AJ$110,0,MATCH(AE$2,Inputs!$K$4:$AJ$4,0))))+SUMPRODUCT((Inputs!$E$5:$E$110=$B47)*ISNUMBER(INDEX(Inputs!$K$5:$AJ$110,0,MATCH(AE$2,Inputs!$K$4:$AJ$4,0))))=0,NA(),SUMPRODUCT((Inputs!$A$5:$A$110=$B47)*Inputs!$B$5:$B$110*(((Inputs!$G$5:$G$110="moeda")+(Inputs!$G$5:$G$110="acoes"))*Inputs!$B$1+((Inputs!$G$5:$G$110&lt;&gt;"moeda")*(Inputs!$G$5:$G$110&lt;&gt;"acoes")))*INDEX(Inputs!$K$5:$AJ$110,0,MATCH(AE$2,Inputs!$K$4:$AJ$4,0)))+SUMPRODUCT((Inputs!$C$5:$C$110=$B47)*Inputs!$D$5:$D$110*(((Inputs!$G$5:$G$110="moeda")+(Inputs!$G$5:$G$110="acoes"))*Inputs!$B$1+((Inputs!$G$5:$G$110&lt;&gt;"moeda")*(Inputs!$G$5:$G$110&lt;&gt;"acoes")))*INDEX(Inputs!$K$5:$AJ$110,0,MATCH(AE$2,Inputs!$K$4:$AJ$4,0)))+SUMPRODUCT((Inputs!$E$5:$E$110=$B47)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7" s="267" t="e">
        <f>IF(ISNA(MATCH(AF$2,Inputs!$K$4:$AJ$4,0)),NA(),IF(SUMPRODUCT((Inputs!$A$5:$A$110=$B47)*ISNUMBER(INDEX(Inputs!$K$5:$AJ$110,0,MATCH(AF$2,Inputs!$K$4:$AJ$4,0))))+SUMPRODUCT((Inputs!$C$5:$C$110=$B47)*ISNUMBER(INDEX(Inputs!$K$5:$AJ$110,0,MATCH(AF$2,Inputs!$K$4:$AJ$4,0))))+SUMPRODUCT((Inputs!$E$5:$E$110=$B47)*ISNUMBER(INDEX(Inputs!$K$5:$AJ$110,0,MATCH(AF$2,Inputs!$K$4:$AJ$4,0))))=0,NA(),SUMPRODUCT((Inputs!$A$5:$A$110=$B47)*Inputs!$B$5:$B$110*(((Inputs!$G$5:$G$110="moeda")+(Inputs!$G$5:$G$110="acoes"))*Inputs!$B$1+((Inputs!$G$5:$G$110&lt;&gt;"moeda")*(Inputs!$G$5:$G$110&lt;&gt;"acoes")))*INDEX(Inputs!$K$5:$AJ$110,0,MATCH(AF$2,Inputs!$K$4:$AJ$4,0)))+SUMPRODUCT((Inputs!$C$5:$C$110=$B47)*Inputs!$D$5:$D$110*(((Inputs!$G$5:$G$110="moeda")+(Inputs!$G$5:$G$110="acoes"))*Inputs!$B$1+((Inputs!$G$5:$G$110&lt;&gt;"moeda")*(Inputs!$G$5:$G$110&lt;&gt;"acoes")))*INDEX(Inputs!$K$5:$AJ$110,0,MATCH(AF$2,Inputs!$K$4:$AJ$4,0)))+SUMPRODUCT((Inputs!$E$5:$E$110=$B47)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7" s="268" t="e">
        <f>AF47</f>
        <v>#N/A</v>
      </c>
      <c r="AH47" s="267">
        <f>IF(ISNA(MATCH(AH$2,Inputs!$K$4:$AJ$4,0)),NA(),IF(SUMPRODUCT((Inputs!$A$5:$A$110=$B47)*ISNUMBER(INDEX(Inputs!$K$5:$AJ$110,0,MATCH(AH$2,Inputs!$K$4:$AJ$4,0))))+SUMPRODUCT((Inputs!$C$5:$C$110=$B47)*ISNUMBER(INDEX(Inputs!$K$5:$AJ$110,0,MATCH(AH$2,Inputs!$K$4:$AJ$4,0))))+SUMPRODUCT((Inputs!$E$5:$E$110=$B47)*ISNUMBER(INDEX(Inputs!$K$5:$AJ$110,0,MATCH(AH$2,Inputs!$K$4:$AJ$4,0))))=0,NA(),SUMPRODUCT((Inputs!$A$5:$A$110=$B47)*Inputs!$B$5:$B$110*(((Inputs!$G$5:$G$110="moeda")+(Inputs!$G$5:$G$110="acoes"))*Inputs!$B$1+((Inputs!$G$5:$G$110&lt;&gt;"moeda")*(Inputs!$G$5:$G$110&lt;&gt;"acoes")))*INDEX(Inputs!$K$5:$AJ$110,0,MATCH(AH$2,Inputs!$K$4:$AJ$4,0)))+SUMPRODUCT((Inputs!$C$5:$C$110=$B47)*Inputs!$D$5:$D$110*(((Inputs!$G$5:$G$110="moeda")+(Inputs!$G$5:$G$110="acoes"))*Inputs!$B$1+((Inputs!$G$5:$G$110&lt;&gt;"moeda")*(Inputs!$G$5:$G$110&lt;&gt;"acoes")))*INDEX(Inputs!$K$5:$AJ$110,0,MATCH(AH$2,Inputs!$K$4:$AJ$4,0)))+SUMPRODUCT((Inputs!$E$5:$E$110=$B47)*Inputs!$F$5:$F$110*(((Inputs!$G$5:$G$110="moeda")+(Inputs!$G$5:$G$110="acoes"))*Inputs!$B$1+((Inputs!$G$5:$G$110&lt;&gt;"moeda")*(Inputs!$G$5:$G$110&lt;&gt;"acoes")))*INDEX(Inputs!$K$5:$AJ$110,0,MATCH(AH$2,Inputs!$K$4:$AJ$4,0)))))</f>
        <v>11384</v>
      </c>
      <c r="AI47" s="267">
        <f>IF(ISNA(MATCH(AI$2,Inputs!$K$4:$AJ$4,0)),NA(),IF(SUMPRODUCT((Inputs!$A$5:$A$110=$B47)*ISNUMBER(INDEX(Inputs!$K$5:$AJ$110,0,MATCH(AI$2,Inputs!$K$4:$AJ$4,0))))+SUMPRODUCT((Inputs!$C$5:$C$110=$B47)*ISNUMBER(INDEX(Inputs!$K$5:$AJ$110,0,MATCH(AI$2,Inputs!$K$4:$AJ$4,0))))+SUMPRODUCT((Inputs!$E$5:$E$110=$B47)*ISNUMBER(INDEX(Inputs!$K$5:$AJ$110,0,MATCH(AI$2,Inputs!$K$4:$AJ$4,0))))=0,NA(),SUMPRODUCT((Inputs!$A$5:$A$110=$B47)*Inputs!$B$5:$B$110*(((Inputs!$G$5:$G$110="moeda")+(Inputs!$G$5:$G$110="acoes"))*Inputs!$B$1+((Inputs!$G$5:$G$110&lt;&gt;"moeda")*(Inputs!$G$5:$G$110&lt;&gt;"acoes")))*INDEX(Inputs!$K$5:$AJ$110,0,MATCH(AI$2,Inputs!$K$4:$AJ$4,0)))+SUMPRODUCT((Inputs!$C$5:$C$110=$B47)*Inputs!$D$5:$D$110*(((Inputs!$G$5:$G$110="moeda")+(Inputs!$G$5:$G$110="acoes"))*Inputs!$B$1+((Inputs!$G$5:$G$110&lt;&gt;"moeda")*(Inputs!$G$5:$G$110&lt;&gt;"acoes")))*INDEX(Inputs!$K$5:$AJ$110,0,MATCH(AI$2,Inputs!$K$4:$AJ$4,0)))+SUMPRODUCT((Inputs!$E$5:$E$110=$B47)*Inputs!$F$5:$F$110*(((Inputs!$G$5:$G$110="moeda")+(Inputs!$G$5:$G$110="acoes"))*Inputs!$B$1+((Inputs!$G$5:$G$110&lt;&gt;"moeda")*(Inputs!$G$5:$G$110&lt;&gt;"acoes")))*INDEX(Inputs!$K$5:$AJ$110,0,MATCH(AI$2,Inputs!$K$4:$AJ$4,0)))))</f>
        <v>11883</v>
      </c>
      <c r="AJ47" s="267">
        <f>IF(ISNA(MATCH(AJ$2,Inputs!$K$4:$AJ$4,0)),NA(),IF(SUMPRODUCT((Inputs!$A$5:$A$110=$B47)*ISNUMBER(INDEX(Inputs!$K$5:$AJ$110,0,MATCH(AJ$2,Inputs!$K$4:$AJ$4,0))))+SUMPRODUCT((Inputs!$C$5:$C$110=$B47)*ISNUMBER(INDEX(Inputs!$K$5:$AJ$110,0,MATCH(AJ$2,Inputs!$K$4:$AJ$4,0))))+SUMPRODUCT((Inputs!$E$5:$E$110=$B47)*ISNUMBER(INDEX(Inputs!$K$5:$AJ$110,0,MATCH(AJ$2,Inputs!$K$4:$AJ$4,0))))=0,NA(),SUMPRODUCT((Inputs!$A$5:$A$110=$B47)*Inputs!$B$5:$B$110*(((Inputs!$G$5:$G$110="moeda")+(Inputs!$G$5:$G$110="acoes"))*Inputs!$B$1+((Inputs!$G$5:$G$110&lt;&gt;"moeda")*(Inputs!$G$5:$G$110&lt;&gt;"acoes")))*INDEX(Inputs!$K$5:$AJ$110,0,MATCH(AJ$2,Inputs!$K$4:$AJ$4,0)))+SUMPRODUCT((Inputs!$C$5:$C$110=$B47)*Inputs!$D$5:$D$110*(((Inputs!$G$5:$G$110="moeda")+(Inputs!$G$5:$G$110="acoes"))*Inputs!$B$1+((Inputs!$G$5:$G$110&lt;&gt;"moeda")*(Inputs!$G$5:$G$110&lt;&gt;"acoes")))*INDEX(Inputs!$K$5:$AJ$110,0,MATCH(AJ$2,Inputs!$K$4:$AJ$4,0)))+SUMPRODUCT((Inputs!$E$5:$E$110=$B47)*Inputs!$F$5:$F$110*(((Inputs!$G$5:$G$110="moeda")+(Inputs!$G$5:$G$110="acoes"))*Inputs!$B$1+((Inputs!$G$5:$G$110&lt;&gt;"moeda")*(Inputs!$G$5:$G$110&lt;&gt;"acoes")))*INDEX(Inputs!$K$5:$AJ$110,0,MATCH(AJ$2,Inputs!$K$4:$AJ$4,0)))))</f>
        <v>12879</v>
      </c>
      <c r="AK47" s="267">
        <f>IF(ISNA(MATCH(AK$2,Inputs!$K$4:$AJ$4,0)),NA(),IF(SUMPRODUCT((Inputs!$A$5:$A$110=$B47)*ISNUMBER(INDEX(Inputs!$K$5:$AJ$110,0,MATCH(AK$2,Inputs!$K$4:$AJ$4,0))))+SUMPRODUCT((Inputs!$C$5:$C$110=$B47)*ISNUMBER(INDEX(Inputs!$K$5:$AJ$110,0,MATCH(AK$2,Inputs!$K$4:$AJ$4,0))))+SUMPRODUCT((Inputs!$E$5:$E$110=$B47)*ISNUMBER(INDEX(Inputs!$K$5:$AJ$110,0,MATCH(AK$2,Inputs!$K$4:$AJ$4,0))))=0,NA(),SUMPRODUCT((Inputs!$A$5:$A$110=$B47)*Inputs!$B$5:$B$110*(((Inputs!$G$5:$G$110="moeda")+(Inputs!$G$5:$G$110="acoes"))*Inputs!$B$1+((Inputs!$G$5:$G$110&lt;&gt;"moeda")*(Inputs!$G$5:$G$110&lt;&gt;"acoes")))*INDEX(Inputs!$K$5:$AJ$110,0,MATCH(AK$2,Inputs!$K$4:$AJ$4,0)))+SUMPRODUCT((Inputs!$C$5:$C$110=$B47)*Inputs!$D$5:$D$110*(((Inputs!$G$5:$G$110="moeda")+(Inputs!$G$5:$G$110="acoes"))*Inputs!$B$1+((Inputs!$G$5:$G$110&lt;&gt;"moeda")*(Inputs!$G$5:$G$110&lt;&gt;"acoes")))*INDEX(Inputs!$K$5:$AJ$110,0,MATCH(AK$2,Inputs!$K$4:$AJ$4,0)))+SUMPRODUCT((Inputs!$E$5:$E$110=$B47)*Inputs!$F$5:$F$110*(((Inputs!$G$5:$G$110="moeda")+(Inputs!$G$5:$G$110="acoes"))*Inputs!$B$1+((Inputs!$G$5:$G$110&lt;&gt;"moeda")*(Inputs!$G$5:$G$110&lt;&gt;"acoes")))*INDEX(Inputs!$K$5:$AJ$110,0,MATCH(AK$2,Inputs!$K$4:$AJ$4,0)))))</f>
        <v>9232</v>
      </c>
      <c r="AL47" s="268">
        <f>AK47</f>
        <v>9232</v>
      </c>
    </row>
    <row r="48"/>
    <row r="49" ht="12.75" customFormat="1" customHeight="1" s="259">
      <c r="C49" s="260" t="n"/>
      <c r="D49" s="272" t="n"/>
      <c r="E49" s="272" t="n"/>
      <c r="F49" s="272" t="n"/>
      <c r="G49" s="272" t="n"/>
      <c r="H49" s="268" t="n"/>
      <c r="I49" s="272" t="n"/>
      <c r="J49" s="272" t="n"/>
      <c r="K49" s="272" t="n"/>
      <c r="L49" s="272" t="n"/>
      <c r="M49" s="268" t="n"/>
      <c r="N49" s="272" t="n"/>
      <c r="O49" s="272" t="n"/>
      <c r="P49" s="272" t="n"/>
      <c r="Q49" s="272" t="n"/>
      <c r="R49" s="268" t="n"/>
      <c r="S49" s="272" t="n"/>
      <c r="T49" s="272" t="n"/>
      <c r="U49" s="272" t="n"/>
      <c r="V49" s="272" t="n"/>
      <c r="W49" s="268" t="n"/>
      <c r="X49" s="272" t="n"/>
      <c r="Y49" s="272" t="n"/>
      <c r="Z49" s="272" t="n"/>
      <c r="AA49" s="272" t="n"/>
      <c r="AC49" s="272" t="n"/>
      <c r="AD49" s="272" t="n"/>
      <c r="AE49" s="272" t="n"/>
      <c r="AF49" s="272" t="n"/>
    </row>
    <row r="50" ht="12.75" customHeight="1" s="255">
      <c r="B50" s="265" t="n">
        <v>44</v>
      </c>
      <c r="C50" s="269" t="inlineStr">
        <is>
          <t>Net income reported (lucro liquido) - memo p/ check IS [Model linha 4]</t>
        </is>
      </c>
      <c r="D50" s="267">
        <f>IF(ISNA(MATCH(D$2,Inputs!$K$4:$AJ$4,0)),NA(),IF(SUMPRODUCT((Inputs!$A$5:$A$110=$B50)*ISNUMBER(INDEX(Inputs!$K$5:$AJ$110,0,MATCH(D$2,Inputs!$K$4:$AJ$4,0))))+SUMPRODUCT((Inputs!$C$5:$C$110=$B50)*ISNUMBER(INDEX(Inputs!$K$5:$AJ$110,0,MATCH(D$2,Inputs!$K$4:$AJ$4,0))))+SUMPRODUCT((Inputs!$E$5:$E$110=$B50)*ISNUMBER(INDEX(Inputs!$K$5:$AJ$110,0,MATCH(D$2,Inputs!$K$4:$AJ$4,0))))=0,NA(),SUMPRODUCT((Inputs!$A$5:$A$110=$B50)*Inputs!$B$5:$B$110*(((Inputs!$G$5:$G$110="moeda")+(Inputs!$G$5:$G$110="acoes"))*Inputs!$B$1+((Inputs!$G$5:$G$110&lt;&gt;"moeda")*(Inputs!$G$5:$G$110&lt;&gt;"acoes")))*INDEX(Inputs!$K$5:$AJ$110,0,MATCH(D$2,Inputs!$K$4:$AJ$4,0)))+SUMPRODUCT((Inputs!$C$5:$C$110=$B50)*Inputs!$D$5:$D$110*(((Inputs!$G$5:$G$110="moeda")+(Inputs!$G$5:$G$110="acoes"))*Inputs!$B$1+((Inputs!$G$5:$G$110&lt;&gt;"moeda")*(Inputs!$G$5:$G$110&lt;&gt;"acoes")))*INDEX(Inputs!$K$5:$AJ$110,0,MATCH(D$2,Inputs!$K$4:$AJ$4,0)))+SUMPRODUCT((Inputs!$E$5:$E$110=$B50)*Inputs!$F$5:$F$110*(((Inputs!$G$5:$G$110="moeda")+(Inputs!$G$5:$G$110="acoes"))*Inputs!$B$1+((Inputs!$G$5:$G$110&lt;&gt;"moeda")*(Inputs!$G$5:$G$110&lt;&gt;"acoes")))*INDEX(Inputs!$K$5:$AJ$110,0,MATCH(D$2,Inputs!$K$4:$AJ$4,0)))))</f>
        <v>951</v>
      </c>
      <c r="E50" s="267">
        <f>IF(ISNA(MATCH(E$2,Inputs!$K$4:$AJ$4,0)),NA(),IF(SUMPRODUCT((Inputs!$A$5:$A$110=$B50)*ISNUMBER(INDEX(Inputs!$K$5:$AJ$110,0,MATCH(E$2,Inputs!$K$4:$AJ$4,0))))+SUMPRODUCT((Inputs!$C$5:$C$110=$B50)*ISNUMBER(INDEX(Inputs!$K$5:$AJ$110,0,MATCH(E$2,Inputs!$K$4:$AJ$4,0))))+SUMPRODUCT((Inputs!$E$5:$E$110=$B50)*ISNUMBER(INDEX(Inputs!$K$5:$AJ$110,0,MATCH(E$2,Inputs!$K$4:$AJ$4,0))))=0,NA(),SUMPRODUCT((Inputs!$A$5:$A$110=$B50)*Inputs!$B$5:$B$110*(((Inputs!$G$5:$G$110="moeda")+(Inputs!$G$5:$G$110="acoes"))*Inputs!$B$1+((Inputs!$G$5:$G$110&lt;&gt;"moeda")*(Inputs!$G$5:$G$110&lt;&gt;"acoes")))*INDEX(Inputs!$K$5:$AJ$110,0,MATCH(E$2,Inputs!$K$4:$AJ$4,0)))+SUMPRODUCT((Inputs!$C$5:$C$110=$B50)*Inputs!$D$5:$D$110*(((Inputs!$G$5:$G$110="moeda")+(Inputs!$G$5:$G$110="acoes"))*Inputs!$B$1+((Inputs!$G$5:$G$110&lt;&gt;"moeda")*(Inputs!$G$5:$G$110&lt;&gt;"acoes")))*INDEX(Inputs!$K$5:$AJ$110,0,MATCH(E$2,Inputs!$K$4:$AJ$4,0)))+SUMPRODUCT((Inputs!$E$5:$E$110=$B50)*Inputs!$F$5:$F$110*(((Inputs!$G$5:$G$110="moeda")+(Inputs!$G$5:$G$110="acoes"))*Inputs!$B$1+((Inputs!$G$5:$G$110&lt;&gt;"moeda")*(Inputs!$G$5:$G$110&lt;&gt;"acoes")))*INDEX(Inputs!$K$5:$AJ$110,0,MATCH(E$2,Inputs!$K$4:$AJ$4,0)))))</f>
        <v>1220</v>
      </c>
      <c r="F50" s="267">
        <f>IF(ISNA(MATCH(F$2,Inputs!$K$4:$AJ$4,0)),NA(),IF(SUMPRODUCT((Inputs!$A$5:$A$110=$B50)*ISNUMBER(INDEX(Inputs!$K$5:$AJ$110,0,MATCH(F$2,Inputs!$K$4:$AJ$4,0))))+SUMPRODUCT((Inputs!$C$5:$C$110=$B50)*ISNUMBER(INDEX(Inputs!$K$5:$AJ$110,0,MATCH(F$2,Inputs!$K$4:$AJ$4,0))))+SUMPRODUCT((Inputs!$E$5:$E$110=$B50)*ISNUMBER(INDEX(Inputs!$K$5:$AJ$110,0,MATCH(F$2,Inputs!$K$4:$AJ$4,0))))=0,NA(),SUMPRODUCT((Inputs!$A$5:$A$110=$B50)*Inputs!$B$5:$B$110*(((Inputs!$G$5:$G$110="moeda")+(Inputs!$G$5:$G$110="acoes"))*Inputs!$B$1+((Inputs!$G$5:$G$110&lt;&gt;"moeda")*(Inputs!$G$5:$G$110&lt;&gt;"acoes")))*INDEX(Inputs!$K$5:$AJ$110,0,MATCH(F$2,Inputs!$K$4:$AJ$4,0)))+SUMPRODUCT((Inputs!$C$5:$C$110=$B50)*Inputs!$D$5:$D$110*(((Inputs!$G$5:$G$110="moeda")+(Inputs!$G$5:$G$110="acoes"))*Inputs!$B$1+((Inputs!$G$5:$G$110&lt;&gt;"moeda")*(Inputs!$G$5:$G$110&lt;&gt;"acoes")))*INDEX(Inputs!$K$5:$AJ$110,0,MATCH(F$2,Inputs!$K$4:$AJ$4,0)))+SUMPRODUCT((Inputs!$E$5:$E$110=$B50)*Inputs!$F$5:$F$110*(((Inputs!$G$5:$G$110="moeda")+(Inputs!$G$5:$G$110="acoes"))*Inputs!$B$1+((Inputs!$G$5:$G$110&lt;&gt;"moeda")*(Inputs!$G$5:$G$110&lt;&gt;"acoes")))*INDEX(Inputs!$K$5:$AJ$110,0,MATCH(F$2,Inputs!$K$4:$AJ$4,0)))))</f>
        <v>1670</v>
      </c>
      <c r="G50" s="267">
        <f>IF(ISNA(MATCH(G$2,Inputs!$K$4:$AJ$4,0)),NA(),IF(SUMPRODUCT((Inputs!$A$5:$A$110=$B50)*ISNUMBER(INDEX(Inputs!$K$5:$AJ$110,0,MATCH(G$2,Inputs!$K$4:$AJ$4,0))))+SUMPRODUCT((Inputs!$C$5:$C$110=$B50)*ISNUMBER(INDEX(Inputs!$K$5:$AJ$110,0,MATCH(G$2,Inputs!$K$4:$AJ$4,0))))+SUMPRODUCT((Inputs!$E$5:$E$110=$B50)*ISNUMBER(INDEX(Inputs!$K$5:$AJ$110,0,MATCH(G$2,Inputs!$K$4:$AJ$4,0))))=0,NA(),SUMPRODUCT((Inputs!$A$5:$A$110=$B50)*Inputs!$B$5:$B$110*(((Inputs!$G$5:$G$110="moeda")+(Inputs!$G$5:$G$110="acoes"))*Inputs!$B$1+((Inputs!$G$5:$G$110&lt;&gt;"moeda")*(Inputs!$G$5:$G$110&lt;&gt;"acoes")))*INDEX(Inputs!$K$5:$AJ$110,0,MATCH(G$2,Inputs!$K$4:$AJ$4,0)))+SUMPRODUCT((Inputs!$C$5:$C$110=$B50)*Inputs!$D$5:$D$110*(((Inputs!$G$5:$G$110="moeda")+(Inputs!$G$5:$G$110="acoes"))*Inputs!$B$1+((Inputs!$G$5:$G$110&lt;&gt;"moeda")*(Inputs!$G$5:$G$110&lt;&gt;"acoes")))*INDEX(Inputs!$K$5:$AJ$110,0,MATCH(G$2,Inputs!$K$4:$AJ$4,0)))+SUMPRODUCT((Inputs!$E$5:$E$110=$B50)*Inputs!$F$5:$F$110*(((Inputs!$G$5:$G$110="moeda")+(Inputs!$G$5:$G$110="acoes"))*Inputs!$B$1+((Inputs!$G$5:$G$110&lt;&gt;"moeda")*(Inputs!$G$5:$G$110&lt;&gt;"acoes")))*INDEX(Inputs!$K$5:$AJ$110,0,MATCH(G$2,Inputs!$K$4:$AJ$4,0)))))</f>
        <v>1324</v>
      </c>
      <c r="H50" s="268">
        <f>SUM(D50:G50)</f>
        <v>5165</v>
      </c>
      <c r="I50" s="267">
        <f>IF(ISNA(MATCH(I$2,Inputs!$K$4:$AJ$4,0)),NA(),IF(SUMPRODUCT((Inputs!$A$5:$A$110=$B50)*ISNUMBER(INDEX(Inputs!$K$5:$AJ$110,0,MATCH(I$2,Inputs!$K$4:$AJ$4,0))))+SUMPRODUCT((Inputs!$C$5:$C$110=$B50)*ISNUMBER(INDEX(Inputs!$K$5:$AJ$110,0,MATCH(I$2,Inputs!$K$4:$AJ$4,0))))+SUMPRODUCT((Inputs!$E$5:$E$110=$B50)*ISNUMBER(INDEX(Inputs!$K$5:$AJ$110,0,MATCH(I$2,Inputs!$K$4:$AJ$4,0))))=0,NA(),SUMPRODUCT((Inputs!$A$5:$A$110=$B50)*Inputs!$B$5:$B$110*(((Inputs!$G$5:$G$110="moeda")+(Inputs!$G$5:$G$110="acoes"))*Inputs!$B$1+((Inputs!$G$5:$G$110&lt;&gt;"moeda")*(Inputs!$G$5:$G$110&lt;&gt;"acoes")))*INDEX(Inputs!$K$5:$AJ$110,0,MATCH(I$2,Inputs!$K$4:$AJ$4,0)))+SUMPRODUCT((Inputs!$C$5:$C$110=$B50)*Inputs!$D$5:$D$110*(((Inputs!$G$5:$G$110="moeda")+(Inputs!$G$5:$G$110="acoes"))*Inputs!$B$1+((Inputs!$G$5:$G$110&lt;&gt;"moeda")*(Inputs!$G$5:$G$110&lt;&gt;"acoes")))*INDEX(Inputs!$K$5:$AJ$110,0,MATCH(I$2,Inputs!$K$4:$AJ$4,0)))+SUMPRODUCT((Inputs!$E$5:$E$110=$B50)*Inputs!$F$5:$F$110*(((Inputs!$G$5:$G$110="moeda")+(Inputs!$G$5:$G$110="acoes"))*Inputs!$B$1+((Inputs!$G$5:$G$110&lt;&gt;"moeda")*(Inputs!$G$5:$G$110&lt;&gt;"acoes")))*INDEX(Inputs!$K$5:$AJ$110,0,MATCH(I$2,Inputs!$K$4:$AJ$4,0)))))</f>
        <v>1299</v>
      </c>
      <c r="J50" s="267">
        <f>IF(ISNA(MATCH(J$2,Inputs!$K$4:$AJ$4,0)),NA(),IF(SUMPRODUCT((Inputs!$A$5:$A$110=$B50)*ISNUMBER(INDEX(Inputs!$K$5:$AJ$110,0,MATCH(J$2,Inputs!$K$4:$AJ$4,0))))+SUMPRODUCT((Inputs!$C$5:$C$110=$B50)*ISNUMBER(INDEX(Inputs!$K$5:$AJ$110,0,MATCH(J$2,Inputs!$K$4:$AJ$4,0))))+SUMPRODUCT((Inputs!$E$5:$E$110=$B50)*ISNUMBER(INDEX(Inputs!$K$5:$AJ$110,0,MATCH(J$2,Inputs!$K$4:$AJ$4,0))))=0,NA(),SUMPRODUCT((Inputs!$A$5:$A$110=$B50)*Inputs!$B$5:$B$110*(((Inputs!$G$5:$G$110="moeda")+(Inputs!$G$5:$G$110="acoes"))*Inputs!$B$1+((Inputs!$G$5:$G$110&lt;&gt;"moeda")*(Inputs!$G$5:$G$110&lt;&gt;"acoes")))*INDEX(Inputs!$K$5:$AJ$110,0,MATCH(J$2,Inputs!$K$4:$AJ$4,0)))+SUMPRODUCT((Inputs!$C$5:$C$110=$B50)*Inputs!$D$5:$D$110*(((Inputs!$G$5:$G$110="moeda")+(Inputs!$G$5:$G$110="acoes"))*Inputs!$B$1+((Inputs!$G$5:$G$110&lt;&gt;"moeda")*(Inputs!$G$5:$G$110&lt;&gt;"acoes")))*INDEX(Inputs!$K$5:$AJ$110,0,MATCH(J$2,Inputs!$K$4:$AJ$4,0)))+SUMPRODUCT((Inputs!$E$5:$E$110=$B50)*Inputs!$F$5:$F$110*(((Inputs!$G$5:$G$110="moeda")+(Inputs!$G$5:$G$110="acoes"))*Inputs!$B$1+((Inputs!$G$5:$G$110&lt;&gt;"moeda")*(Inputs!$G$5:$G$110&lt;&gt;"acoes")))*INDEX(Inputs!$K$5:$AJ$110,0,MATCH(J$2,Inputs!$K$4:$AJ$4,0)))))</f>
        <v>1353</v>
      </c>
      <c r="K50" s="267">
        <f>IF(ISNA(MATCH(K$2,Inputs!$K$4:$AJ$4,0)),NA(),IF(SUMPRODUCT((Inputs!$A$5:$A$110=$B50)*ISNUMBER(INDEX(Inputs!$K$5:$AJ$110,0,MATCH(K$2,Inputs!$K$4:$AJ$4,0))))+SUMPRODUCT((Inputs!$C$5:$C$110=$B50)*ISNUMBER(INDEX(Inputs!$K$5:$AJ$110,0,MATCH(K$2,Inputs!$K$4:$AJ$4,0))))+SUMPRODUCT((Inputs!$E$5:$E$110=$B50)*ISNUMBER(INDEX(Inputs!$K$5:$AJ$110,0,MATCH(K$2,Inputs!$K$4:$AJ$4,0))))=0,NA(),SUMPRODUCT((Inputs!$A$5:$A$110=$B50)*Inputs!$B$5:$B$110*(((Inputs!$G$5:$G$110="moeda")+(Inputs!$G$5:$G$110="acoes"))*Inputs!$B$1+((Inputs!$G$5:$G$110&lt;&gt;"moeda")*(Inputs!$G$5:$G$110&lt;&gt;"acoes")))*INDEX(Inputs!$K$5:$AJ$110,0,MATCH(K$2,Inputs!$K$4:$AJ$4,0)))+SUMPRODUCT((Inputs!$C$5:$C$110=$B50)*Inputs!$D$5:$D$110*(((Inputs!$G$5:$G$110="moeda")+(Inputs!$G$5:$G$110="acoes"))*Inputs!$B$1+((Inputs!$G$5:$G$110&lt;&gt;"moeda")*(Inputs!$G$5:$G$110&lt;&gt;"acoes")))*INDEX(Inputs!$K$5:$AJ$110,0,MATCH(K$2,Inputs!$K$4:$AJ$4,0)))+SUMPRODUCT((Inputs!$E$5:$E$110=$B50)*Inputs!$F$5:$F$110*(((Inputs!$G$5:$G$110="moeda")+(Inputs!$G$5:$G$110="acoes"))*Inputs!$B$1+((Inputs!$G$5:$G$110&lt;&gt;"moeda")*(Inputs!$G$5:$G$110&lt;&gt;"acoes")))*INDEX(Inputs!$K$5:$AJ$110,0,MATCH(K$2,Inputs!$K$4:$AJ$4,0)))))</f>
        <v>1868</v>
      </c>
      <c r="L50" s="267">
        <f>IF(ISNA(MATCH(L$2,Inputs!$K$4:$AJ$4,0)),NA(),IF(SUMPRODUCT((Inputs!$A$5:$A$110=$B50)*ISNUMBER(INDEX(Inputs!$K$5:$AJ$110,0,MATCH(L$2,Inputs!$K$4:$AJ$4,0))))+SUMPRODUCT((Inputs!$C$5:$C$110=$B50)*ISNUMBER(INDEX(Inputs!$K$5:$AJ$110,0,MATCH(L$2,Inputs!$K$4:$AJ$4,0))))+SUMPRODUCT((Inputs!$E$5:$E$110=$B50)*ISNUMBER(INDEX(Inputs!$K$5:$AJ$110,0,MATCH(L$2,Inputs!$K$4:$AJ$4,0))))=0,NA(),SUMPRODUCT((Inputs!$A$5:$A$110=$B50)*Inputs!$B$5:$B$110*(((Inputs!$G$5:$G$110="moeda")+(Inputs!$G$5:$G$110="acoes"))*Inputs!$B$1+((Inputs!$G$5:$G$110&lt;&gt;"moeda")*(Inputs!$G$5:$G$110&lt;&gt;"acoes")))*INDEX(Inputs!$K$5:$AJ$110,0,MATCH(L$2,Inputs!$K$4:$AJ$4,0)))+SUMPRODUCT((Inputs!$C$5:$C$110=$B50)*Inputs!$D$5:$D$110*(((Inputs!$G$5:$G$110="moeda")+(Inputs!$G$5:$G$110="acoes"))*Inputs!$B$1+((Inputs!$G$5:$G$110&lt;&gt;"moeda")*(Inputs!$G$5:$G$110&lt;&gt;"acoes")))*INDEX(Inputs!$K$5:$AJ$110,0,MATCH(L$2,Inputs!$K$4:$AJ$4,0)))+SUMPRODUCT((Inputs!$E$5:$E$110=$B50)*Inputs!$F$5:$F$110*(((Inputs!$G$5:$G$110="moeda")+(Inputs!$G$5:$G$110="acoes"))*Inputs!$B$1+((Inputs!$G$5:$G$110&lt;&gt;"moeda")*(Inputs!$G$5:$G$110&lt;&gt;"acoes")))*INDEX(Inputs!$K$5:$AJ$110,0,MATCH(L$2,Inputs!$K$4:$AJ$4,0)))))</f>
        <v>1364</v>
      </c>
      <c r="M50" s="268">
        <f>SUM(I50:L50)</f>
        <v>5884</v>
      </c>
      <c r="N50" s="267">
        <f>IF(ISNA(MATCH(N$2,Inputs!$K$4:$AJ$4,0)),NA(),IF(SUMPRODUCT((Inputs!$A$5:$A$110=$B50)*ISNUMBER(INDEX(Inputs!$K$5:$AJ$110,0,MATCH(N$2,Inputs!$K$4:$AJ$4,0))))+SUMPRODUCT((Inputs!$C$5:$C$110=$B50)*ISNUMBER(INDEX(Inputs!$K$5:$AJ$110,0,MATCH(N$2,Inputs!$K$4:$AJ$4,0))))+SUMPRODUCT((Inputs!$E$5:$E$110=$B50)*ISNUMBER(INDEX(Inputs!$K$5:$AJ$110,0,MATCH(N$2,Inputs!$K$4:$AJ$4,0))))=0,NA(),SUMPRODUCT((Inputs!$A$5:$A$110=$B50)*Inputs!$B$5:$B$110*(((Inputs!$G$5:$G$110="moeda")+(Inputs!$G$5:$G$110="acoes"))*Inputs!$B$1+((Inputs!$G$5:$G$110&lt;&gt;"moeda")*(Inputs!$G$5:$G$110&lt;&gt;"acoes")))*INDEX(Inputs!$K$5:$AJ$110,0,MATCH(N$2,Inputs!$K$4:$AJ$4,0)))+SUMPRODUCT((Inputs!$C$5:$C$110=$B50)*Inputs!$D$5:$D$110*(((Inputs!$G$5:$G$110="moeda")+(Inputs!$G$5:$G$110="acoes"))*Inputs!$B$1+((Inputs!$G$5:$G$110&lt;&gt;"moeda")*(Inputs!$G$5:$G$110&lt;&gt;"acoes")))*INDEX(Inputs!$K$5:$AJ$110,0,MATCH(N$2,Inputs!$K$4:$AJ$4,0)))+SUMPRODUCT((Inputs!$E$5:$E$110=$B50)*Inputs!$F$5:$F$110*(((Inputs!$G$5:$G$110="moeda")+(Inputs!$G$5:$G$110="acoes"))*Inputs!$B$1+((Inputs!$G$5:$G$110&lt;&gt;"moeda")*(Inputs!$G$5:$G$110&lt;&gt;"acoes")))*INDEX(Inputs!$K$5:$AJ$110,0,MATCH(N$2,Inputs!$K$4:$AJ$4,0)))))</f>
        <v>1466</v>
      </c>
      <c r="O50" s="267">
        <f>IF(ISNA(MATCH(O$2,Inputs!$K$4:$AJ$4,0)),NA(),IF(SUMPRODUCT((Inputs!$A$5:$A$110=$B50)*ISNUMBER(INDEX(Inputs!$K$5:$AJ$110,0,MATCH(O$2,Inputs!$K$4:$AJ$4,0))))+SUMPRODUCT((Inputs!$C$5:$C$110=$B50)*ISNUMBER(INDEX(Inputs!$K$5:$AJ$110,0,MATCH(O$2,Inputs!$K$4:$AJ$4,0))))+SUMPRODUCT((Inputs!$E$5:$E$110=$B50)*ISNUMBER(INDEX(Inputs!$K$5:$AJ$110,0,MATCH(O$2,Inputs!$K$4:$AJ$4,0))))=0,NA(),SUMPRODUCT((Inputs!$A$5:$A$110=$B50)*Inputs!$B$5:$B$110*(((Inputs!$G$5:$G$110="moeda")+(Inputs!$G$5:$G$110="acoes"))*Inputs!$B$1+((Inputs!$G$5:$G$110&lt;&gt;"moeda")*(Inputs!$G$5:$G$110&lt;&gt;"acoes")))*INDEX(Inputs!$K$5:$AJ$110,0,MATCH(O$2,Inputs!$K$4:$AJ$4,0)))+SUMPRODUCT((Inputs!$C$5:$C$110=$B50)*Inputs!$D$5:$D$110*(((Inputs!$G$5:$G$110="moeda")+(Inputs!$G$5:$G$110="acoes"))*Inputs!$B$1+((Inputs!$G$5:$G$110&lt;&gt;"moeda")*(Inputs!$G$5:$G$110&lt;&gt;"acoes")))*INDEX(Inputs!$K$5:$AJ$110,0,MATCH(O$2,Inputs!$K$4:$AJ$4,0)))+SUMPRODUCT((Inputs!$E$5:$E$110=$B50)*Inputs!$F$5:$F$110*(((Inputs!$G$5:$G$110="moeda")+(Inputs!$G$5:$G$110="acoes"))*Inputs!$B$1+((Inputs!$G$5:$G$110&lt;&gt;"moeda")*(Inputs!$G$5:$G$110&lt;&gt;"acoes")))*INDEX(Inputs!$K$5:$AJ$110,0,MATCH(O$2,Inputs!$K$4:$AJ$4,0)))))</f>
        <v>1302</v>
      </c>
      <c r="P50" s="267">
        <f>IF(ISNA(MATCH(P$2,Inputs!$K$4:$AJ$4,0)),NA(),IF(SUMPRODUCT((Inputs!$A$5:$A$110=$B50)*ISNUMBER(INDEX(Inputs!$K$5:$AJ$110,0,MATCH(P$2,Inputs!$K$4:$AJ$4,0))))+SUMPRODUCT((Inputs!$C$5:$C$110=$B50)*ISNUMBER(INDEX(Inputs!$K$5:$AJ$110,0,MATCH(P$2,Inputs!$K$4:$AJ$4,0))))+SUMPRODUCT((Inputs!$E$5:$E$110=$B50)*ISNUMBER(INDEX(Inputs!$K$5:$AJ$110,0,MATCH(P$2,Inputs!$K$4:$AJ$4,0))))=0,NA(),SUMPRODUCT((Inputs!$A$5:$A$110=$B50)*Inputs!$B$5:$B$110*(((Inputs!$G$5:$G$110="moeda")+(Inputs!$G$5:$G$110="acoes"))*Inputs!$B$1+((Inputs!$G$5:$G$110&lt;&gt;"moeda")*(Inputs!$G$5:$G$110&lt;&gt;"acoes")))*INDEX(Inputs!$K$5:$AJ$110,0,MATCH(P$2,Inputs!$K$4:$AJ$4,0)))+SUMPRODUCT((Inputs!$C$5:$C$110=$B50)*Inputs!$D$5:$D$110*(((Inputs!$G$5:$G$110="moeda")+(Inputs!$G$5:$G$110="acoes"))*Inputs!$B$1+((Inputs!$G$5:$G$110&lt;&gt;"moeda")*(Inputs!$G$5:$G$110&lt;&gt;"acoes")))*INDEX(Inputs!$K$5:$AJ$110,0,MATCH(P$2,Inputs!$K$4:$AJ$4,0)))+SUMPRODUCT((Inputs!$E$5:$E$110=$B50)*Inputs!$F$5:$F$110*(((Inputs!$G$5:$G$110="moeda")+(Inputs!$G$5:$G$110="acoes"))*Inputs!$B$1+((Inputs!$G$5:$G$110&lt;&gt;"moeda")*(Inputs!$G$5:$G$110&lt;&gt;"acoes")))*INDEX(Inputs!$K$5:$AJ$110,0,MATCH(P$2,Inputs!$K$4:$AJ$4,0)))))</f>
        <v>2160</v>
      </c>
      <c r="Q50" s="267">
        <f>IF(ISNA(MATCH(Q$2,Inputs!$K$4:$AJ$4,0)),NA(),IF(SUMPRODUCT((Inputs!$A$5:$A$110=$B50)*ISNUMBER(INDEX(Inputs!$K$5:$AJ$110,0,MATCH(Q$2,Inputs!$K$4:$AJ$4,0))))+SUMPRODUCT((Inputs!$C$5:$C$110=$B50)*ISNUMBER(INDEX(Inputs!$K$5:$AJ$110,0,MATCH(Q$2,Inputs!$K$4:$AJ$4,0))))+SUMPRODUCT((Inputs!$E$5:$E$110=$B50)*ISNUMBER(INDEX(Inputs!$K$5:$AJ$110,0,MATCH(Q$2,Inputs!$K$4:$AJ$4,0))))=0,NA(),SUMPRODUCT((Inputs!$A$5:$A$110=$B50)*Inputs!$B$5:$B$110*(((Inputs!$G$5:$G$110="moeda")+(Inputs!$G$5:$G$110="acoes"))*Inputs!$B$1+((Inputs!$G$5:$G$110&lt;&gt;"moeda")*(Inputs!$G$5:$G$110&lt;&gt;"acoes")))*INDEX(Inputs!$K$5:$AJ$110,0,MATCH(Q$2,Inputs!$K$4:$AJ$4,0)))+SUMPRODUCT((Inputs!$C$5:$C$110=$B50)*Inputs!$D$5:$D$110*(((Inputs!$G$5:$G$110="moeda")+(Inputs!$G$5:$G$110="acoes"))*Inputs!$B$1+((Inputs!$G$5:$G$110&lt;&gt;"moeda")*(Inputs!$G$5:$G$110&lt;&gt;"acoes")))*INDEX(Inputs!$K$5:$AJ$110,0,MATCH(Q$2,Inputs!$K$4:$AJ$4,0)))+SUMPRODUCT((Inputs!$E$5:$E$110=$B50)*Inputs!$F$5:$F$110*(((Inputs!$G$5:$G$110="moeda")+(Inputs!$G$5:$G$110="acoes"))*Inputs!$B$1+((Inputs!$G$5:$G$110&lt;&gt;"moeda")*(Inputs!$G$5:$G$110&lt;&gt;"acoes")))*INDEX(Inputs!$K$5:$AJ$110,0,MATCH(Q$2,Inputs!$K$4:$AJ$4,0)))))</f>
        <v>1589</v>
      </c>
      <c r="R50" s="268">
        <f>SUM(N50:Q50)</f>
        <v>6517</v>
      </c>
      <c r="S50" s="267">
        <f>IF(ISNA(MATCH(S$2,Inputs!$K$4:$AJ$4,0)),NA(),IF(SUMPRODUCT((Inputs!$A$5:$A$110=$B50)*ISNUMBER(INDEX(Inputs!$K$5:$AJ$110,0,MATCH(S$2,Inputs!$K$4:$AJ$4,0))))+SUMPRODUCT((Inputs!$C$5:$C$110=$B50)*ISNUMBER(INDEX(Inputs!$K$5:$AJ$110,0,MATCH(S$2,Inputs!$K$4:$AJ$4,0))))+SUMPRODUCT((Inputs!$E$5:$E$110=$B50)*ISNUMBER(INDEX(Inputs!$K$5:$AJ$110,0,MATCH(S$2,Inputs!$K$4:$AJ$4,0))))=0,NA(),SUMPRODUCT((Inputs!$A$5:$A$110=$B50)*Inputs!$B$5:$B$110*(((Inputs!$G$5:$G$110="moeda")+(Inputs!$G$5:$G$110="acoes"))*Inputs!$B$1+((Inputs!$G$5:$G$110&lt;&gt;"moeda")*(Inputs!$G$5:$G$110&lt;&gt;"acoes")))*INDEX(Inputs!$K$5:$AJ$110,0,MATCH(S$2,Inputs!$K$4:$AJ$4,0)))+SUMPRODUCT((Inputs!$C$5:$C$110=$B50)*Inputs!$D$5:$D$110*(((Inputs!$G$5:$G$110="moeda")+(Inputs!$G$5:$G$110="acoes"))*Inputs!$B$1+((Inputs!$G$5:$G$110&lt;&gt;"moeda")*(Inputs!$G$5:$G$110&lt;&gt;"acoes")))*INDEX(Inputs!$K$5:$AJ$110,0,MATCH(S$2,Inputs!$K$4:$AJ$4,0)))+SUMPRODUCT((Inputs!$E$5:$E$110=$B50)*Inputs!$F$5:$F$110*(((Inputs!$G$5:$G$110="moeda")+(Inputs!$G$5:$G$110="acoes"))*Inputs!$B$1+((Inputs!$G$5:$G$110&lt;&gt;"moeda")*(Inputs!$G$5:$G$110&lt;&gt;"acoes")))*INDEX(Inputs!$K$5:$AJ$110,0,MATCH(S$2,Inputs!$K$4:$AJ$4,0)))))</f>
        <v>1743</v>
      </c>
      <c r="T50" s="267">
        <f>IF(ISNA(MATCH(T$2,Inputs!$K$4:$AJ$4,0)),NA(),IF(SUMPRODUCT((Inputs!$A$5:$A$110=$B50)*ISNUMBER(INDEX(Inputs!$K$5:$AJ$110,0,MATCH(T$2,Inputs!$K$4:$AJ$4,0))))+SUMPRODUCT((Inputs!$C$5:$C$110=$B50)*ISNUMBER(INDEX(Inputs!$K$5:$AJ$110,0,MATCH(T$2,Inputs!$K$4:$AJ$4,0))))+SUMPRODUCT((Inputs!$E$5:$E$110=$B50)*ISNUMBER(INDEX(Inputs!$K$5:$AJ$110,0,MATCH(T$2,Inputs!$K$4:$AJ$4,0))))=0,NA(),SUMPRODUCT((Inputs!$A$5:$A$110=$B50)*Inputs!$B$5:$B$110*(((Inputs!$G$5:$G$110="moeda")+(Inputs!$G$5:$G$110="acoes"))*Inputs!$B$1+((Inputs!$G$5:$G$110&lt;&gt;"moeda")*(Inputs!$G$5:$G$110&lt;&gt;"acoes")))*INDEX(Inputs!$K$5:$AJ$110,0,MATCH(T$2,Inputs!$K$4:$AJ$4,0)))+SUMPRODUCT((Inputs!$C$5:$C$110=$B50)*Inputs!$D$5:$D$110*(((Inputs!$G$5:$G$110="moeda")+(Inputs!$G$5:$G$110="acoes"))*Inputs!$B$1+((Inputs!$G$5:$G$110&lt;&gt;"moeda")*(Inputs!$G$5:$G$110&lt;&gt;"acoes")))*INDEX(Inputs!$K$5:$AJ$110,0,MATCH(T$2,Inputs!$K$4:$AJ$4,0)))+SUMPRODUCT((Inputs!$E$5:$E$110=$B50)*Inputs!$F$5:$F$110*(((Inputs!$G$5:$G$110="moeda")+(Inputs!$G$5:$G$110="acoes"))*Inputs!$B$1+((Inputs!$G$5:$G$110&lt;&gt;"moeda")*(Inputs!$G$5:$G$110&lt;&gt;"acoes")))*INDEX(Inputs!$K$5:$AJ$110,0,MATCH(T$2,Inputs!$K$4:$AJ$4,0)))))</f>
        <v>1681</v>
      </c>
      <c r="U50" s="267">
        <f>IF(ISNA(MATCH(U$2,Inputs!$K$4:$AJ$4,0)),NA(),IF(SUMPRODUCT((Inputs!$A$5:$A$110=$B50)*ISNUMBER(INDEX(Inputs!$K$5:$AJ$110,0,MATCH(U$2,Inputs!$K$4:$AJ$4,0))))+SUMPRODUCT((Inputs!$C$5:$C$110=$B50)*ISNUMBER(INDEX(Inputs!$K$5:$AJ$110,0,MATCH(U$2,Inputs!$K$4:$AJ$4,0))))+SUMPRODUCT((Inputs!$E$5:$E$110=$B50)*ISNUMBER(INDEX(Inputs!$K$5:$AJ$110,0,MATCH(U$2,Inputs!$K$4:$AJ$4,0))))=0,NA(),SUMPRODUCT((Inputs!$A$5:$A$110=$B50)*Inputs!$B$5:$B$110*(((Inputs!$G$5:$G$110="moeda")+(Inputs!$G$5:$G$110="acoes"))*Inputs!$B$1+((Inputs!$G$5:$G$110&lt;&gt;"moeda")*(Inputs!$G$5:$G$110&lt;&gt;"acoes")))*INDEX(Inputs!$K$5:$AJ$110,0,MATCH(U$2,Inputs!$K$4:$AJ$4,0)))+SUMPRODUCT((Inputs!$C$5:$C$110=$B50)*Inputs!$D$5:$D$110*(((Inputs!$G$5:$G$110="moeda")+(Inputs!$G$5:$G$110="acoes"))*Inputs!$B$1+((Inputs!$G$5:$G$110&lt;&gt;"moeda")*(Inputs!$G$5:$G$110&lt;&gt;"acoes")))*INDEX(Inputs!$K$5:$AJ$110,0,MATCH(U$2,Inputs!$K$4:$AJ$4,0)))+SUMPRODUCT((Inputs!$E$5:$E$110=$B50)*Inputs!$F$5:$F$110*(((Inputs!$G$5:$G$110="moeda")+(Inputs!$G$5:$G$110="acoes"))*Inputs!$B$1+((Inputs!$G$5:$G$110&lt;&gt;"moeda")*(Inputs!$G$5:$G$110&lt;&gt;"acoes")))*INDEX(Inputs!$K$5:$AJ$110,0,MATCH(U$2,Inputs!$K$4:$AJ$4,0)))))</f>
        <v>2354</v>
      </c>
      <c r="V50" s="267">
        <f>IF(ISNA(MATCH(V$2,Inputs!$K$4:$AJ$4,0)),NA(),IF(SUMPRODUCT((Inputs!$A$5:$A$110=$B50)*ISNUMBER(INDEX(Inputs!$K$5:$AJ$110,0,MATCH(V$2,Inputs!$K$4:$AJ$4,0))))+SUMPRODUCT((Inputs!$C$5:$C$110=$B50)*ISNUMBER(INDEX(Inputs!$K$5:$AJ$110,0,MATCH(V$2,Inputs!$K$4:$AJ$4,0))))+SUMPRODUCT((Inputs!$E$5:$E$110=$B50)*ISNUMBER(INDEX(Inputs!$K$5:$AJ$110,0,MATCH(V$2,Inputs!$K$4:$AJ$4,0))))=0,NA(),SUMPRODUCT((Inputs!$A$5:$A$110=$B50)*Inputs!$B$5:$B$110*(((Inputs!$G$5:$G$110="moeda")+(Inputs!$G$5:$G$110="acoes"))*Inputs!$B$1+((Inputs!$G$5:$G$110&lt;&gt;"moeda")*(Inputs!$G$5:$G$110&lt;&gt;"acoes")))*INDEX(Inputs!$K$5:$AJ$110,0,MATCH(V$2,Inputs!$K$4:$AJ$4,0)))+SUMPRODUCT((Inputs!$C$5:$C$110=$B50)*Inputs!$D$5:$D$110*(((Inputs!$G$5:$G$110="moeda")+(Inputs!$G$5:$G$110="acoes"))*Inputs!$B$1+((Inputs!$G$5:$G$110&lt;&gt;"moeda")*(Inputs!$G$5:$G$110&lt;&gt;"acoes")))*INDEX(Inputs!$K$5:$AJ$110,0,MATCH(V$2,Inputs!$K$4:$AJ$4,0)))+SUMPRODUCT((Inputs!$E$5:$E$110=$B50)*Inputs!$F$5:$F$110*(((Inputs!$G$5:$G$110="moeda")+(Inputs!$G$5:$G$110="acoes"))*Inputs!$B$1+((Inputs!$G$5:$G$110&lt;&gt;"moeda")*(Inputs!$G$5:$G$110&lt;&gt;"acoes")))*INDEX(Inputs!$K$5:$AJ$110,0,MATCH(V$2,Inputs!$K$4:$AJ$4,0)))))</f>
        <v>1798</v>
      </c>
      <c r="W50" s="268">
        <f>SUM(S50:V50)</f>
        <v>7576</v>
      </c>
      <c r="X50" s="267">
        <f>IF(ISNA(MATCH(X$2,Inputs!$K$4:$AJ$4,0)),NA(),IF(SUMPRODUCT((Inputs!$A$5:$A$110=$B50)*ISNUMBER(INDEX(Inputs!$K$5:$AJ$110,0,MATCH(X$2,Inputs!$K$4:$AJ$4,0))))+SUMPRODUCT((Inputs!$C$5:$C$110=$B50)*ISNUMBER(INDEX(Inputs!$K$5:$AJ$110,0,MATCH(X$2,Inputs!$K$4:$AJ$4,0))))+SUMPRODUCT((Inputs!$E$5:$E$110=$B50)*ISNUMBER(INDEX(Inputs!$K$5:$AJ$110,0,MATCH(X$2,Inputs!$K$4:$AJ$4,0))))=0,NA(),SUMPRODUCT((Inputs!$A$5:$A$110=$B50)*Inputs!$B$5:$B$110*(((Inputs!$G$5:$G$110="moeda")+(Inputs!$G$5:$G$110="acoes"))*Inputs!$B$1+((Inputs!$G$5:$G$110&lt;&gt;"moeda")*(Inputs!$G$5:$G$110&lt;&gt;"acoes")))*INDEX(Inputs!$K$5:$AJ$110,0,MATCH(X$2,Inputs!$K$4:$AJ$4,0)))+SUMPRODUCT((Inputs!$C$5:$C$110=$B50)*Inputs!$D$5:$D$110*(((Inputs!$G$5:$G$110="moeda")+(Inputs!$G$5:$G$110="acoes"))*Inputs!$B$1+((Inputs!$G$5:$G$110&lt;&gt;"moeda")*(Inputs!$G$5:$G$110&lt;&gt;"acoes")))*INDEX(Inputs!$K$5:$AJ$110,0,MATCH(X$2,Inputs!$K$4:$AJ$4,0)))+SUMPRODUCT((Inputs!$E$5:$E$110=$B50)*Inputs!$F$5:$F$110*(((Inputs!$G$5:$G$110="moeda")+(Inputs!$G$5:$G$110="acoes"))*Inputs!$B$1+((Inputs!$G$5:$G$110&lt;&gt;"moeda")*(Inputs!$G$5:$G$110&lt;&gt;"acoes")))*INDEX(Inputs!$K$5:$AJ$110,0,MATCH(X$2,Inputs!$K$4:$AJ$4,0)))))</f>
        <v>1788</v>
      </c>
      <c r="Y50" s="267">
        <f>IF(ISNA(MATCH(Y$2,Inputs!$K$4:$AJ$4,0)),NA(),IF(SUMPRODUCT((Inputs!$A$5:$A$110=$B50)*ISNUMBER(INDEX(Inputs!$K$5:$AJ$110,0,MATCH(Y$2,Inputs!$K$4:$AJ$4,0))))+SUMPRODUCT((Inputs!$C$5:$C$110=$B50)*ISNUMBER(INDEX(Inputs!$K$5:$AJ$110,0,MATCH(Y$2,Inputs!$K$4:$AJ$4,0))))+SUMPRODUCT((Inputs!$E$5:$E$110=$B50)*ISNUMBER(INDEX(Inputs!$K$5:$AJ$110,0,MATCH(Y$2,Inputs!$K$4:$AJ$4,0))))=0,NA(),SUMPRODUCT((Inputs!$A$5:$A$110=$B50)*Inputs!$B$5:$B$110*(((Inputs!$G$5:$G$110="moeda")+(Inputs!$G$5:$G$110="acoes"))*Inputs!$B$1+((Inputs!$G$5:$G$110&lt;&gt;"moeda")*(Inputs!$G$5:$G$110&lt;&gt;"acoes")))*INDEX(Inputs!$K$5:$AJ$110,0,MATCH(Y$2,Inputs!$K$4:$AJ$4,0)))+SUMPRODUCT((Inputs!$C$5:$C$110=$B50)*Inputs!$D$5:$D$110*(((Inputs!$G$5:$G$110="moeda")+(Inputs!$G$5:$G$110="acoes"))*Inputs!$B$1+((Inputs!$G$5:$G$110&lt;&gt;"moeda")*(Inputs!$G$5:$G$110&lt;&gt;"acoes")))*INDEX(Inputs!$K$5:$AJ$110,0,MATCH(Y$2,Inputs!$K$4:$AJ$4,0)))+SUMPRODUCT((Inputs!$E$5:$E$110=$B50)*Inputs!$F$5:$F$110*(((Inputs!$G$5:$G$110="moeda")+(Inputs!$G$5:$G$110="acoes"))*Inputs!$B$1+((Inputs!$G$5:$G$110&lt;&gt;"moeda")*(Inputs!$G$5:$G$110&lt;&gt;"acoes")))*INDEX(Inputs!$K$5:$AJ$110,0,MATCH(Y$2,Inputs!$K$4:$AJ$4,0)))))</f>
        <v>1903</v>
      </c>
      <c r="Z50" s="267">
        <f>IF(ISNA(MATCH(Z$2,Inputs!$K$4:$AJ$4,0)),NA(),IF(SUMPRODUCT((Inputs!$A$5:$A$110=$B50)*ISNUMBER(INDEX(Inputs!$K$5:$AJ$110,0,MATCH(Z$2,Inputs!$K$4:$AJ$4,0))))+SUMPRODUCT((Inputs!$C$5:$C$110=$B50)*ISNUMBER(INDEX(Inputs!$K$5:$AJ$110,0,MATCH(Z$2,Inputs!$K$4:$AJ$4,0))))+SUMPRODUCT((Inputs!$E$5:$E$110=$B50)*ISNUMBER(INDEX(Inputs!$K$5:$AJ$110,0,MATCH(Z$2,Inputs!$K$4:$AJ$4,0))))=0,NA(),SUMPRODUCT((Inputs!$A$5:$A$110=$B50)*Inputs!$B$5:$B$110*(((Inputs!$G$5:$G$110="moeda")+(Inputs!$G$5:$G$110="acoes"))*Inputs!$B$1+((Inputs!$G$5:$G$110&lt;&gt;"moeda")*(Inputs!$G$5:$G$110&lt;&gt;"acoes")))*INDEX(Inputs!$K$5:$AJ$110,0,MATCH(Z$2,Inputs!$K$4:$AJ$4,0)))+SUMPRODUCT((Inputs!$C$5:$C$110=$B50)*Inputs!$D$5:$D$110*(((Inputs!$G$5:$G$110="moeda")+(Inputs!$G$5:$G$110="acoes"))*Inputs!$B$1+((Inputs!$G$5:$G$110&lt;&gt;"moeda")*(Inputs!$G$5:$G$110&lt;&gt;"acoes")))*INDEX(Inputs!$K$5:$AJ$110,0,MATCH(Z$2,Inputs!$K$4:$AJ$4,0)))+SUMPRODUCT((Inputs!$E$5:$E$110=$B50)*Inputs!$F$5:$F$110*(((Inputs!$G$5:$G$110="moeda")+(Inputs!$G$5:$G$110="acoes"))*Inputs!$B$1+((Inputs!$G$5:$G$110&lt;&gt;"moeda")*(Inputs!$G$5:$G$110&lt;&gt;"acoes")))*INDEX(Inputs!$K$5:$AJ$110,0,MATCH(Z$2,Inputs!$K$4:$AJ$4,0)))))</f>
        <v>2610</v>
      </c>
      <c r="AA50" s="267">
        <f>IF(ISNA(MATCH(AA$2,Inputs!$K$4:$AJ$4,0)),NA(),IF(SUMPRODUCT((Inputs!$A$5:$A$110=$B50)*ISNUMBER(INDEX(Inputs!$K$5:$AJ$110,0,MATCH(AA$2,Inputs!$K$4:$AJ$4,0))))+SUMPRODUCT((Inputs!$C$5:$C$110=$B50)*ISNUMBER(INDEX(Inputs!$K$5:$AJ$110,0,MATCH(AA$2,Inputs!$K$4:$AJ$4,0))))+SUMPRODUCT((Inputs!$E$5:$E$110=$B50)*ISNUMBER(INDEX(Inputs!$K$5:$AJ$110,0,MATCH(AA$2,Inputs!$K$4:$AJ$4,0))))=0,NA(),SUMPRODUCT((Inputs!$A$5:$A$110=$B50)*Inputs!$B$5:$B$110*(((Inputs!$G$5:$G$110="moeda")+(Inputs!$G$5:$G$110="acoes"))*Inputs!$B$1+((Inputs!$G$5:$G$110&lt;&gt;"moeda")*(Inputs!$G$5:$G$110&lt;&gt;"acoes")))*INDEX(Inputs!$K$5:$AJ$110,0,MATCH(AA$2,Inputs!$K$4:$AJ$4,0)))+SUMPRODUCT((Inputs!$C$5:$C$110=$B50)*Inputs!$D$5:$D$110*(((Inputs!$G$5:$G$110="moeda")+(Inputs!$G$5:$G$110="acoes"))*Inputs!$B$1+((Inputs!$G$5:$G$110&lt;&gt;"moeda")*(Inputs!$G$5:$G$110&lt;&gt;"acoes")))*INDEX(Inputs!$K$5:$AJ$110,0,MATCH(AA$2,Inputs!$K$4:$AJ$4,0)))+SUMPRODUCT((Inputs!$E$5:$E$110=$B50)*Inputs!$F$5:$F$110*(((Inputs!$G$5:$G$110="moeda")+(Inputs!$G$5:$G$110="acoes"))*Inputs!$B$1+((Inputs!$G$5:$G$110&lt;&gt;"moeda")*(Inputs!$G$5:$G$110&lt;&gt;"acoes")))*INDEX(Inputs!$K$5:$AJ$110,0,MATCH(AA$2,Inputs!$K$4:$AJ$4,0)))))</f>
        <v>2001</v>
      </c>
      <c r="AB50" s="268">
        <f>SUM(X50:AA50)</f>
        <v>8302</v>
      </c>
      <c r="AC50" s="267">
        <f>IF(ISNA(MATCH(AC$2,Inputs!$K$4:$AJ$4,0)),NA(),IF(SUMPRODUCT((Inputs!$A$5:$A$110=$B50)*ISNUMBER(INDEX(Inputs!$K$5:$AJ$110,0,MATCH(AC$2,Inputs!$K$4:$AJ$4,0))))+SUMPRODUCT((Inputs!$C$5:$C$110=$B50)*ISNUMBER(INDEX(Inputs!$K$5:$AJ$110,0,MATCH(AC$2,Inputs!$K$4:$AJ$4,0))))+SUMPRODUCT((Inputs!$E$5:$E$110=$B50)*ISNUMBER(INDEX(Inputs!$K$5:$AJ$110,0,MATCH(AC$2,Inputs!$K$4:$AJ$4,0))))=0,NA(),SUMPRODUCT((Inputs!$A$5:$A$110=$B50)*Inputs!$B$5:$B$110*(((Inputs!$G$5:$G$110="moeda")+(Inputs!$G$5:$G$110="acoes"))*Inputs!$B$1+((Inputs!$G$5:$G$110&lt;&gt;"moeda")*(Inputs!$G$5:$G$110&lt;&gt;"acoes")))*INDEX(Inputs!$K$5:$AJ$110,0,MATCH(AC$2,Inputs!$K$4:$AJ$4,0)))+SUMPRODUCT((Inputs!$C$5:$C$110=$B50)*Inputs!$D$5:$D$110*(((Inputs!$G$5:$G$110="moeda")+(Inputs!$G$5:$G$110="acoes"))*Inputs!$B$1+((Inputs!$G$5:$G$110&lt;&gt;"moeda")*(Inputs!$G$5:$G$110&lt;&gt;"acoes")))*INDEX(Inputs!$K$5:$AJ$110,0,MATCH(AC$2,Inputs!$K$4:$AJ$4,0)))+SUMPRODUCT((Inputs!$E$5:$E$110=$B50)*Inputs!$F$5:$F$110*(((Inputs!$G$5:$G$110="moeda")+(Inputs!$G$5:$G$110="acoes"))*Inputs!$B$1+((Inputs!$G$5:$G$110&lt;&gt;"moeda")*(Inputs!$G$5:$G$110&lt;&gt;"acoes")))*INDEX(Inputs!$K$5:$AJ$110,0,MATCH(AC$2,Inputs!$K$4:$AJ$4,0)))))</f>
        <v>2035</v>
      </c>
      <c r="AD50" s="267">
        <f>IF(ISNA(MATCH(AD$2,Inputs!$K$4:$AJ$4,0)),NA(),IF(SUMPRODUCT((Inputs!$A$5:$A$110=$B50)*ISNUMBER(INDEX(Inputs!$K$5:$AJ$110,0,MATCH(AD$2,Inputs!$K$4:$AJ$4,0))))+SUMPRODUCT((Inputs!$C$5:$C$110=$B50)*ISNUMBER(INDEX(Inputs!$K$5:$AJ$110,0,MATCH(AD$2,Inputs!$K$4:$AJ$4,0))))+SUMPRODUCT((Inputs!$E$5:$E$110=$B50)*ISNUMBER(INDEX(Inputs!$K$5:$AJ$110,0,MATCH(AD$2,Inputs!$K$4:$AJ$4,0))))=0,NA(),SUMPRODUCT((Inputs!$A$5:$A$110=$B50)*Inputs!$B$5:$B$110*(((Inputs!$G$5:$G$110="moeda")+(Inputs!$G$5:$G$110="acoes"))*Inputs!$B$1+((Inputs!$G$5:$G$110&lt;&gt;"moeda")*(Inputs!$G$5:$G$110&lt;&gt;"acoes")))*INDEX(Inputs!$K$5:$AJ$110,0,MATCH(AD$2,Inputs!$K$4:$AJ$4,0)))+SUMPRODUCT((Inputs!$C$5:$C$110=$B50)*Inputs!$D$5:$D$110*(((Inputs!$G$5:$G$110="moeda")+(Inputs!$G$5:$G$110="acoes"))*Inputs!$B$1+((Inputs!$G$5:$G$110&lt;&gt;"moeda")*(Inputs!$G$5:$G$110&lt;&gt;"acoes")))*INDEX(Inputs!$K$5:$AJ$110,0,MATCH(AD$2,Inputs!$K$4:$AJ$4,0)))+SUMPRODUCT((Inputs!$E$5:$E$110=$B50)*Inputs!$F$5:$F$110*(((Inputs!$G$5:$G$110="moeda")+(Inputs!$G$5:$G$110="acoes"))*Inputs!$B$1+((Inputs!$G$5:$G$110&lt;&gt;"moeda")*(Inputs!$G$5:$G$110&lt;&gt;"acoes")))*INDEX(Inputs!$K$5:$AJ$110,0,MATCH(AD$2,Inputs!$K$4:$AJ$4,0)))))</f>
        <v>2192</v>
      </c>
      <c r="AE50" s="267" t="e">
        <f>IF(ISNA(MATCH(AE$2,Inputs!$K$4:$AJ$4,0)),NA(),IF(SUMPRODUCT((Inputs!$A$5:$A$110=$B50)*ISNUMBER(INDEX(Inputs!$K$5:$AJ$110,0,MATCH(AE$2,Inputs!$K$4:$AJ$4,0))))+SUMPRODUCT((Inputs!$C$5:$C$110=$B50)*ISNUMBER(INDEX(Inputs!$K$5:$AJ$110,0,MATCH(AE$2,Inputs!$K$4:$AJ$4,0))))+SUMPRODUCT((Inputs!$E$5:$E$110=$B50)*ISNUMBER(INDEX(Inputs!$K$5:$AJ$110,0,MATCH(AE$2,Inputs!$K$4:$AJ$4,0))))=0,NA(),SUMPRODUCT((Inputs!$A$5:$A$110=$B50)*Inputs!$B$5:$B$110*(((Inputs!$G$5:$G$110="moeda")+(Inputs!$G$5:$G$110="acoes"))*Inputs!$B$1+((Inputs!$G$5:$G$110&lt;&gt;"moeda")*(Inputs!$G$5:$G$110&lt;&gt;"acoes")))*INDEX(Inputs!$K$5:$AJ$110,0,MATCH(AE$2,Inputs!$K$4:$AJ$4,0)))+SUMPRODUCT((Inputs!$C$5:$C$110=$B50)*Inputs!$D$5:$D$110*(((Inputs!$G$5:$G$110="moeda")+(Inputs!$G$5:$G$110="acoes"))*Inputs!$B$1+((Inputs!$G$5:$G$110&lt;&gt;"moeda")*(Inputs!$G$5:$G$110&lt;&gt;"acoes")))*INDEX(Inputs!$K$5:$AJ$110,0,MATCH(AE$2,Inputs!$K$4:$AJ$4,0)))+SUMPRODUCT((Inputs!$E$5:$E$110=$B50)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0" s="267" t="e">
        <f>IF(ISNA(MATCH(AF$2,Inputs!$K$4:$AJ$4,0)),NA(),IF(SUMPRODUCT((Inputs!$A$5:$A$110=$B50)*ISNUMBER(INDEX(Inputs!$K$5:$AJ$110,0,MATCH(AF$2,Inputs!$K$4:$AJ$4,0))))+SUMPRODUCT((Inputs!$C$5:$C$110=$B50)*ISNUMBER(INDEX(Inputs!$K$5:$AJ$110,0,MATCH(AF$2,Inputs!$K$4:$AJ$4,0))))+SUMPRODUCT((Inputs!$E$5:$E$110=$B50)*ISNUMBER(INDEX(Inputs!$K$5:$AJ$110,0,MATCH(AF$2,Inputs!$K$4:$AJ$4,0))))=0,NA(),SUMPRODUCT((Inputs!$A$5:$A$110=$B50)*Inputs!$B$5:$B$110*(((Inputs!$G$5:$G$110="moeda")+(Inputs!$G$5:$G$110="acoes"))*Inputs!$B$1+((Inputs!$G$5:$G$110&lt;&gt;"moeda")*(Inputs!$G$5:$G$110&lt;&gt;"acoes")))*INDEX(Inputs!$K$5:$AJ$110,0,MATCH(AF$2,Inputs!$K$4:$AJ$4,0)))+SUMPRODUCT((Inputs!$C$5:$C$110=$B50)*Inputs!$D$5:$D$110*(((Inputs!$G$5:$G$110="moeda")+(Inputs!$G$5:$G$110="acoes"))*Inputs!$B$1+((Inputs!$G$5:$G$110&lt;&gt;"moeda")*(Inputs!$G$5:$G$110&lt;&gt;"acoes")))*INDEX(Inputs!$K$5:$AJ$110,0,MATCH(AF$2,Inputs!$K$4:$AJ$4,0)))+SUMPRODUCT((Inputs!$E$5:$E$110=$B50)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0" s="268" t="e">
        <f>SUM(AC50:AF50)</f>
        <v>#N/A</v>
      </c>
      <c r="AH50" s="260">
        <f>IF(ISNA(MATCH(AH$2,Inputs!$K$4:$AJ$4,0)),NA(),IF(SUMPRODUCT((Inputs!$A$5:$A$110=$B50)*ISNUMBER(INDEX(Inputs!$K$5:$AJ$110,0,MATCH(AH$2,Inputs!$K$4:$AJ$4,0))))+SUMPRODUCT((Inputs!$C$5:$C$110=$B50)*ISNUMBER(INDEX(Inputs!$K$5:$AJ$110,0,MATCH(AH$2,Inputs!$K$4:$AJ$4,0))))+SUMPRODUCT((Inputs!$E$5:$E$110=$B50)*ISNUMBER(INDEX(Inputs!$K$5:$AJ$110,0,MATCH(AH$2,Inputs!$K$4:$AJ$4,0))))=0,NA(),SUMPRODUCT((Inputs!$A$5:$A$110=$B50)*Inputs!$B$5:$B$110*(((Inputs!$G$5:$G$110="moeda")+(Inputs!$G$5:$G$110="acoes"))*Inputs!$B$1+((Inputs!$G$5:$G$110&lt;&gt;"moeda")*(Inputs!$G$5:$G$110&lt;&gt;"acoes")))*INDEX(Inputs!$K$5:$AJ$110,0,MATCH(AH$2,Inputs!$K$4:$AJ$4,0)))+SUMPRODUCT((Inputs!$C$5:$C$110=$B50)*Inputs!$D$5:$D$110*(((Inputs!$G$5:$G$110="moeda")+(Inputs!$G$5:$G$110="acoes"))*Inputs!$B$1+((Inputs!$G$5:$G$110&lt;&gt;"moeda")*(Inputs!$G$5:$G$110&lt;&gt;"acoes")))*INDEX(Inputs!$K$5:$AJ$110,0,MATCH(AH$2,Inputs!$K$4:$AJ$4,0)))+SUMPRODUCT((Inputs!$E$5:$E$110=$B50)*Inputs!$F$5:$F$110*(((Inputs!$G$5:$G$110="moeda")+(Inputs!$G$5:$G$110="acoes"))*Inputs!$B$1+((Inputs!$G$5:$G$110&lt;&gt;"moeda")*(Inputs!$G$5:$G$110&lt;&gt;"acoes")))*INDEX(Inputs!$K$5:$AJ$110,0,MATCH(AH$2,Inputs!$K$4:$AJ$4,0)))))</f>
        <v>931</v>
      </c>
      <c r="AI50" s="260">
        <f>IF(ISNA(MATCH(AI$2,Inputs!$K$4:$AJ$4,0)),NA(),IF(SUMPRODUCT((Inputs!$A$5:$A$110=$B50)*ISNUMBER(INDEX(Inputs!$K$5:$AJ$110,0,MATCH(AI$2,Inputs!$K$4:$AJ$4,0))))+SUMPRODUCT((Inputs!$C$5:$C$110=$B50)*ISNUMBER(INDEX(Inputs!$K$5:$AJ$110,0,MATCH(AI$2,Inputs!$K$4:$AJ$4,0))))+SUMPRODUCT((Inputs!$E$5:$E$110=$B50)*ISNUMBER(INDEX(Inputs!$K$5:$AJ$110,0,MATCH(AI$2,Inputs!$K$4:$AJ$4,0))))=0,NA(),SUMPRODUCT((Inputs!$A$5:$A$110=$B50)*Inputs!$B$5:$B$110*(((Inputs!$G$5:$G$110="moeda")+(Inputs!$G$5:$G$110="acoes"))*Inputs!$B$1+((Inputs!$G$5:$G$110&lt;&gt;"moeda")*(Inputs!$G$5:$G$110&lt;&gt;"acoes")))*INDEX(Inputs!$K$5:$AJ$110,0,MATCH(AI$2,Inputs!$K$4:$AJ$4,0)))+SUMPRODUCT((Inputs!$C$5:$C$110=$B50)*Inputs!$D$5:$D$110*(((Inputs!$G$5:$G$110="moeda")+(Inputs!$G$5:$G$110="acoes"))*Inputs!$B$1+((Inputs!$G$5:$G$110&lt;&gt;"moeda")*(Inputs!$G$5:$G$110&lt;&gt;"acoes")))*INDEX(Inputs!$K$5:$AJ$110,0,MATCH(AI$2,Inputs!$K$4:$AJ$4,0)))+SUMPRODUCT((Inputs!$E$5:$E$110=$B50)*Inputs!$F$5:$F$110*(((Inputs!$G$5:$G$110="moeda")+(Inputs!$G$5:$G$110="acoes"))*Inputs!$B$1+((Inputs!$G$5:$G$110&lt;&gt;"moeda")*(Inputs!$G$5:$G$110&lt;&gt;"acoes")))*INDEX(Inputs!$K$5:$AJ$110,0,MATCH(AI$2,Inputs!$K$4:$AJ$4,0)))))</f>
        <v>838</v>
      </c>
      <c r="AJ50" s="260">
        <f>IF(ISNA(MATCH(AJ$2,Inputs!$K$4:$AJ$4,0)),NA(),IF(SUMPRODUCT((Inputs!$A$5:$A$110=$B50)*ISNUMBER(INDEX(Inputs!$K$5:$AJ$110,0,MATCH(AJ$2,Inputs!$K$4:$AJ$4,0))))+SUMPRODUCT((Inputs!$C$5:$C$110=$B50)*ISNUMBER(INDEX(Inputs!$K$5:$AJ$110,0,MATCH(AJ$2,Inputs!$K$4:$AJ$4,0))))+SUMPRODUCT((Inputs!$E$5:$E$110=$B50)*ISNUMBER(INDEX(Inputs!$K$5:$AJ$110,0,MATCH(AJ$2,Inputs!$K$4:$AJ$4,0))))=0,NA(),SUMPRODUCT((Inputs!$A$5:$A$110=$B50)*Inputs!$B$5:$B$110*(((Inputs!$G$5:$G$110="moeda")+(Inputs!$G$5:$G$110="acoes"))*Inputs!$B$1+((Inputs!$G$5:$G$110&lt;&gt;"moeda")*(Inputs!$G$5:$G$110&lt;&gt;"acoes")))*INDEX(Inputs!$K$5:$AJ$110,0,MATCH(AJ$2,Inputs!$K$4:$AJ$4,0)))+SUMPRODUCT((Inputs!$C$5:$C$110=$B50)*Inputs!$D$5:$D$110*(((Inputs!$G$5:$G$110="moeda")+(Inputs!$G$5:$G$110="acoes"))*Inputs!$B$1+((Inputs!$G$5:$G$110&lt;&gt;"moeda")*(Inputs!$G$5:$G$110&lt;&gt;"acoes")))*INDEX(Inputs!$K$5:$AJ$110,0,MATCH(AJ$2,Inputs!$K$4:$AJ$4,0)))+SUMPRODUCT((Inputs!$E$5:$E$110=$B50)*Inputs!$F$5:$F$110*(((Inputs!$G$5:$G$110="moeda")+(Inputs!$G$5:$G$110="acoes"))*Inputs!$B$1+((Inputs!$G$5:$G$110&lt;&gt;"moeda")*(Inputs!$G$5:$G$110&lt;&gt;"acoes")))*INDEX(Inputs!$K$5:$AJ$110,0,MATCH(AJ$2,Inputs!$K$4:$AJ$4,0)))))</f>
        <v>1389</v>
      </c>
      <c r="AK50" s="260">
        <f>IF(ISNA(MATCH(AK$2,Inputs!$K$4:$AJ$4,0)),NA(),IF(SUMPRODUCT((Inputs!$A$5:$A$110=$B50)*ISNUMBER(INDEX(Inputs!$K$5:$AJ$110,0,MATCH(AK$2,Inputs!$K$4:$AJ$4,0))))+SUMPRODUCT((Inputs!$C$5:$C$110=$B50)*ISNUMBER(INDEX(Inputs!$K$5:$AJ$110,0,MATCH(AK$2,Inputs!$K$4:$AJ$4,0))))+SUMPRODUCT((Inputs!$E$5:$E$110=$B50)*ISNUMBER(INDEX(Inputs!$K$5:$AJ$110,0,MATCH(AK$2,Inputs!$K$4:$AJ$4,0))))=0,NA(),SUMPRODUCT((Inputs!$A$5:$A$110=$B50)*Inputs!$B$5:$B$110*(((Inputs!$G$5:$G$110="moeda")+(Inputs!$G$5:$G$110="acoes"))*Inputs!$B$1+((Inputs!$G$5:$G$110&lt;&gt;"moeda")*(Inputs!$G$5:$G$110&lt;&gt;"acoes")))*INDEX(Inputs!$K$5:$AJ$110,0,MATCH(AK$2,Inputs!$K$4:$AJ$4,0)))+SUMPRODUCT((Inputs!$C$5:$C$110=$B50)*Inputs!$D$5:$D$110*(((Inputs!$G$5:$G$110="moeda")+(Inputs!$G$5:$G$110="acoes"))*Inputs!$B$1+((Inputs!$G$5:$G$110&lt;&gt;"moeda")*(Inputs!$G$5:$G$110&lt;&gt;"acoes")))*INDEX(Inputs!$K$5:$AJ$110,0,MATCH(AK$2,Inputs!$K$4:$AJ$4,0)))+SUMPRODUCT((Inputs!$E$5:$E$110=$B50)*Inputs!$F$5:$F$110*(((Inputs!$G$5:$G$110="moeda")+(Inputs!$G$5:$G$110="acoes"))*Inputs!$B$1+((Inputs!$G$5:$G$110&lt;&gt;"moeda")*(Inputs!$G$5:$G$110&lt;&gt;"acoes")))*INDEX(Inputs!$K$5:$AJ$110,0,MATCH(AK$2,Inputs!$K$4:$AJ$4,0)))))</f>
        <v>1166</v>
      </c>
      <c r="AL50" s="260">
        <f>SUM(AH50:AK50)</f>
        <v>4324</v>
      </c>
    </row>
    <row r="52">
      <c r="C52" s="511" t="inlineStr">
        <is>
          <t>Drivers de receita (memo) - codigos 45+ [Model, bloco abaixo da receita liquida]</t>
        </is>
      </c>
    </row>
    <row r="53">
      <c r="B53" s="265" t="n">
        <v>45</v>
      </c>
      <c r="C53" s="266" t="inlineStr">
        <is>
          <t>Vendas líquidas (USD)</t>
        </is>
      </c>
      <c r="D53" s="513">
        <f>IF(ISNA(MATCH(D$2,Inputs!$K$4:$AJ$4,0)),NA(),IF(SUMPRODUCT((Inputs!$A$5:$A$110=$B53)*ISNUMBER(INDEX(Inputs!$K$5:$AJ$110,0,MATCH(D$2,Inputs!$K$4:$AJ$4,0))))+SUMPRODUCT((Inputs!$C$5:$C$110=$B53)*ISNUMBER(INDEX(Inputs!$K$5:$AJ$110,0,MATCH(D$2,Inputs!$K$4:$AJ$4,0))))+SUMPRODUCT((Inputs!$E$5:$E$110=$B53)*ISNUMBER(INDEX(Inputs!$K$5:$AJ$110,0,MATCH(D$2,Inputs!$K$4:$AJ$4,0))))=0,NA(),SUMPRODUCT((Inputs!$A$5:$A$110=$B53)*Inputs!$B$5:$B$110*(((Inputs!$G$5:$G$110="moeda")+(Inputs!$G$5:$G$110="acoes"))*Inputs!$B$1+((Inputs!$G$5:$G$110&lt;&gt;"moeda")*(Inputs!$G$5:$G$110&lt;&gt;"acoes")))*INDEX(Inputs!$K$5:$AJ$110,0,MATCH(D$2,Inputs!$K$4:$AJ$4,0)))+SUMPRODUCT((Inputs!$C$5:$C$110=$B53)*Inputs!$D$5:$D$110*(((Inputs!$G$5:$G$110="moeda")+(Inputs!$G$5:$G$110="acoes"))*Inputs!$B$1+((Inputs!$G$5:$G$110&lt;&gt;"moeda")*(Inputs!$G$5:$G$110&lt;&gt;"acoes")))*INDEX(Inputs!$K$5:$AJ$110,0,MATCH(D$2,Inputs!$K$4:$AJ$4,0)))+SUMPRODUCT((Inputs!$E$5:$E$110=$B53)*Inputs!$F$5:$F$110*(((Inputs!$G$5:$G$110="moeda")+(Inputs!$G$5:$G$110="acoes"))*Inputs!$B$1+((Inputs!$G$5:$G$110&lt;&gt;"moeda")*(Inputs!$G$5:$G$110&lt;&gt;"acoes")))*INDEX(Inputs!$K$5:$AJ$110,0,MATCH(D$2,Inputs!$K$4:$AJ$4,0)))))</f>
        <v>43888</v>
      </c>
      <c r="E53" s="513">
        <f>IF(ISNA(MATCH(E$2,Inputs!$K$4:$AJ$4,0)),NA(),IF(SUMPRODUCT((Inputs!$A$5:$A$110=$B53)*ISNUMBER(INDEX(Inputs!$K$5:$AJ$110,0,MATCH(E$2,Inputs!$K$4:$AJ$4,0))))+SUMPRODUCT((Inputs!$C$5:$C$110=$B53)*ISNUMBER(INDEX(Inputs!$K$5:$AJ$110,0,MATCH(E$2,Inputs!$K$4:$AJ$4,0))))+SUMPRODUCT((Inputs!$E$5:$E$110=$B53)*ISNUMBER(INDEX(Inputs!$K$5:$AJ$110,0,MATCH(E$2,Inputs!$K$4:$AJ$4,0))))=0,NA(),SUMPRODUCT((Inputs!$A$5:$A$110=$B53)*Inputs!$B$5:$B$110*(((Inputs!$G$5:$G$110="moeda")+(Inputs!$G$5:$G$110="acoes"))*Inputs!$B$1+((Inputs!$G$5:$G$110&lt;&gt;"moeda")*(Inputs!$G$5:$G$110&lt;&gt;"acoes")))*INDEX(Inputs!$K$5:$AJ$110,0,MATCH(E$2,Inputs!$K$4:$AJ$4,0)))+SUMPRODUCT((Inputs!$C$5:$C$110=$B53)*Inputs!$D$5:$D$110*(((Inputs!$G$5:$G$110="moeda")+(Inputs!$G$5:$G$110="acoes"))*Inputs!$B$1+((Inputs!$G$5:$G$110&lt;&gt;"moeda")*(Inputs!$G$5:$G$110&lt;&gt;"acoes")))*INDEX(Inputs!$K$5:$AJ$110,0,MATCH(E$2,Inputs!$K$4:$AJ$4,0)))+SUMPRODUCT((Inputs!$E$5:$E$110=$B53)*Inputs!$F$5:$F$110*(((Inputs!$G$5:$G$110="moeda")+(Inputs!$G$5:$G$110="acoes"))*Inputs!$B$1+((Inputs!$G$5:$G$110&lt;&gt;"moeda")*(Inputs!$G$5:$G$110&lt;&gt;"acoes")))*INDEX(Inputs!$K$5:$AJ$110,0,MATCH(E$2,Inputs!$K$4:$AJ$4,0)))))</f>
        <v>44376</v>
      </c>
      <c r="F53" s="513">
        <f>IF(ISNA(MATCH(F$2,Inputs!$K$4:$AJ$4,0)),NA(),IF(SUMPRODUCT((Inputs!$A$5:$A$110=$B53)*ISNUMBER(INDEX(Inputs!$K$5:$AJ$110,0,MATCH(F$2,Inputs!$K$4:$AJ$4,0))))+SUMPRODUCT((Inputs!$C$5:$C$110=$B53)*ISNUMBER(INDEX(Inputs!$K$5:$AJ$110,0,MATCH(F$2,Inputs!$K$4:$AJ$4,0))))+SUMPRODUCT((Inputs!$E$5:$E$110=$B53)*ISNUMBER(INDEX(Inputs!$K$5:$AJ$110,0,MATCH(F$2,Inputs!$K$4:$AJ$4,0))))=0,NA(),SUMPRODUCT((Inputs!$A$5:$A$110=$B53)*Inputs!$B$5:$B$110*(((Inputs!$G$5:$G$110="moeda")+(Inputs!$G$5:$G$110="acoes"))*Inputs!$B$1+((Inputs!$G$5:$G$110&lt;&gt;"moeda")*(Inputs!$G$5:$G$110&lt;&gt;"acoes")))*INDEX(Inputs!$K$5:$AJ$110,0,MATCH(F$2,Inputs!$K$4:$AJ$4,0)))+SUMPRODUCT((Inputs!$C$5:$C$110=$B53)*Inputs!$D$5:$D$110*(((Inputs!$G$5:$G$110="moeda")+(Inputs!$G$5:$G$110="acoes"))*Inputs!$B$1+((Inputs!$G$5:$G$110&lt;&gt;"moeda")*(Inputs!$G$5:$G$110&lt;&gt;"acoes")))*INDEX(Inputs!$K$5:$AJ$110,0,MATCH(F$2,Inputs!$K$4:$AJ$4,0)))+SUMPRODUCT((Inputs!$E$5:$E$110=$B53)*Inputs!$F$5:$F$110*(((Inputs!$G$5:$G$110="moeda")+(Inputs!$G$5:$G$110="acoes"))*Inputs!$B$1+((Inputs!$G$5:$G$110&lt;&gt;"moeda")*(Inputs!$G$5:$G$110&lt;&gt;"acoes")))*INDEX(Inputs!$K$5:$AJ$110,0,MATCH(F$2,Inputs!$K$4:$AJ$4,0)))))</f>
        <v>61441</v>
      </c>
      <c r="G53" s="513">
        <f>IF(ISNA(MATCH(G$2,Inputs!$K$4:$AJ$4,0)),NA(),IF(SUMPRODUCT((Inputs!$A$5:$A$110=$B53)*ISNUMBER(INDEX(Inputs!$K$5:$AJ$110,0,MATCH(G$2,Inputs!$K$4:$AJ$4,0))))+SUMPRODUCT((Inputs!$C$5:$C$110=$B53)*ISNUMBER(INDEX(Inputs!$K$5:$AJ$110,0,MATCH(G$2,Inputs!$K$4:$AJ$4,0))))+SUMPRODUCT((Inputs!$E$5:$E$110=$B53)*ISNUMBER(INDEX(Inputs!$K$5:$AJ$110,0,MATCH(G$2,Inputs!$K$4:$AJ$4,0))))=0,NA(),SUMPRODUCT((Inputs!$A$5:$A$110=$B53)*Inputs!$B$5:$B$110*(((Inputs!$G$5:$G$110="moeda")+(Inputs!$G$5:$G$110="acoes"))*Inputs!$B$1+((Inputs!$G$5:$G$110&lt;&gt;"moeda")*(Inputs!$G$5:$G$110&lt;&gt;"acoes")))*INDEX(Inputs!$K$5:$AJ$110,0,MATCH(G$2,Inputs!$K$4:$AJ$4,0)))+SUMPRODUCT((Inputs!$C$5:$C$110=$B53)*Inputs!$D$5:$D$110*(((Inputs!$G$5:$G$110="moeda")+(Inputs!$G$5:$G$110="acoes"))*Inputs!$B$1+((Inputs!$G$5:$G$110&lt;&gt;"moeda")*(Inputs!$G$5:$G$110&lt;&gt;"acoes")))*INDEX(Inputs!$K$5:$AJ$110,0,MATCH(G$2,Inputs!$K$4:$AJ$4,0)))+SUMPRODUCT((Inputs!$E$5:$E$110=$B53)*Inputs!$F$5:$F$110*(((Inputs!$G$5:$G$110="moeda")+(Inputs!$G$5:$G$110="acoes"))*Inputs!$B$1+((Inputs!$G$5:$G$110&lt;&gt;"moeda")*(Inputs!$G$5:$G$110&lt;&gt;"acoes")))*INDEX(Inputs!$K$5:$AJ$110,0,MATCH(G$2,Inputs!$K$4:$AJ$4,0)))))</f>
        <v>49417</v>
      </c>
      <c r="H53" s="514">
        <f>SUM(D53:G53)</f>
        <v>199122</v>
      </c>
      <c r="I53" s="513">
        <f>IF(ISNA(MATCH(I$2,Inputs!$K$4:$AJ$4,0)),NA(),IF(SUMPRODUCT((Inputs!$A$5:$A$110=$B53)*ISNUMBER(INDEX(Inputs!$K$5:$AJ$110,0,MATCH(I$2,Inputs!$K$4:$AJ$4,0))))+SUMPRODUCT((Inputs!$C$5:$C$110=$B53)*ISNUMBER(INDEX(Inputs!$K$5:$AJ$110,0,MATCH(I$2,Inputs!$K$4:$AJ$4,0))))+SUMPRODUCT((Inputs!$E$5:$E$110=$B53)*ISNUMBER(INDEX(Inputs!$K$5:$AJ$110,0,MATCH(I$2,Inputs!$K$4:$AJ$4,0))))=0,NA(),SUMPRODUCT((Inputs!$A$5:$A$110=$B53)*Inputs!$B$5:$B$110*(((Inputs!$G$5:$G$110="moeda")+(Inputs!$G$5:$G$110="acoes"))*Inputs!$B$1+((Inputs!$G$5:$G$110&lt;&gt;"moeda")*(Inputs!$G$5:$G$110&lt;&gt;"acoes")))*INDEX(Inputs!$K$5:$AJ$110,0,MATCH(I$2,Inputs!$K$4:$AJ$4,0)))+SUMPRODUCT((Inputs!$C$5:$C$110=$B53)*Inputs!$D$5:$D$110*(((Inputs!$G$5:$G$110="moeda")+(Inputs!$G$5:$G$110="acoes"))*Inputs!$B$1+((Inputs!$G$5:$G$110&lt;&gt;"moeda")*(Inputs!$G$5:$G$110&lt;&gt;"acoes")))*INDEX(Inputs!$K$5:$AJ$110,0,MATCH(I$2,Inputs!$K$4:$AJ$4,0)))+SUMPRODUCT((Inputs!$E$5:$E$110=$B53)*Inputs!$F$5:$F$110*(((Inputs!$G$5:$G$110="moeda")+(Inputs!$G$5:$G$110="acoes"))*Inputs!$B$1+((Inputs!$G$5:$G$110&lt;&gt;"moeda")*(Inputs!$G$5:$G$110&lt;&gt;"acoes")))*INDEX(Inputs!$K$5:$AJ$110,0,MATCH(I$2,Inputs!$K$4:$AJ$4,0)))))</f>
        <v>50937</v>
      </c>
      <c r="J53" s="513">
        <f>IF(ISNA(MATCH(J$2,Inputs!$K$4:$AJ$4,0)),NA(),IF(SUMPRODUCT((Inputs!$A$5:$A$110=$B53)*ISNUMBER(INDEX(Inputs!$K$5:$AJ$110,0,MATCH(J$2,Inputs!$K$4:$AJ$4,0))))+SUMPRODUCT((Inputs!$C$5:$C$110=$B53)*ISNUMBER(INDEX(Inputs!$K$5:$AJ$110,0,MATCH(J$2,Inputs!$K$4:$AJ$4,0))))+SUMPRODUCT((Inputs!$E$5:$E$110=$B53)*ISNUMBER(INDEX(Inputs!$K$5:$AJ$110,0,MATCH(J$2,Inputs!$K$4:$AJ$4,0))))=0,NA(),SUMPRODUCT((Inputs!$A$5:$A$110=$B53)*Inputs!$B$5:$B$110*(((Inputs!$G$5:$G$110="moeda")+(Inputs!$G$5:$G$110="acoes"))*Inputs!$B$1+((Inputs!$G$5:$G$110&lt;&gt;"moeda")*(Inputs!$G$5:$G$110&lt;&gt;"acoes")))*INDEX(Inputs!$K$5:$AJ$110,0,MATCH(J$2,Inputs!$K$4:$AJ$4,0)))+SUMPRODUCT((Inputs!$C$5:$C$110=$B53)*Inputs!$D$5:$D$110*(((Inputs!$G$5:$G$110="moeda")+(Inputs!$G$5:$G$110="acoes"))*Inputs!$B$1+((Inputs!$G$5:$G$110&lt;&gt;"moeda")*(Inputs!$G$5:$G$110&lt;&gt;"acoes")))*INDEX(Inputs!$K$5:$AJ$110,0,MATCH(J$2,Inputs!$K$4:$AJ$4,0)))+SUMPRODUCT((Inputs!$E$5:$E$110=$B53)*Inputs!$F$5:$F$110*(((Inputs!$G$5:$G$110="moeda")+(Inputs!$G$5:$G$110="acoes"))*Inputs!$B$1+((Inputs!$G$5:$G$110&lt;&gt;"moeda")*(Inputs!$G$5:$G$110&lt;&gt;"acoes")))*INDEX(Inputs!$K$5:$AJ$110,0,MATCH(J$2,Inputs!$K$4:$AJ$4,0)))))</f>
        <v>51612</v>
      </c>
      <c r="K53" s="513">
        <f>IF(ISNA(MATCH(K$2,Inputs!$K$4:$AJ$4,0)),NA(),IF(SUMPRODUCT((Inputs!$A$5:$A$110=$B53)*ISNUMBER(INDEX(Inputs!$K$5:$AJ$110,0,MATCH(K$2,Inputs!$K$4:$AJ$4,0))))+SUMPRODUCT((Inputs!$C$5:$C$110=$B53)*ISNUMBER(INDEX(Inputs!$K$5:$AJ$110,0,MATCH(K$2,Inputs!$K$4:$AJ$4,0))))+SUMPRODUCT((Inputs!$E$5:$E$110=$B53)*ISNUMBER(INDEX(Inputs!$K$5:$AJ$110,0,MATCH(K$2,Inputs!$K$4:$AJ$4,0))))=0,NA(),SUMPRODUCT((Inputs!$A$5:$A$110=$B53)*Inputs!$B$5:$B$110*(((Inputs!$G$5:$G$110="moeda")+(Inputs!$G$5:$G$110="acoes"))*Inputs!$B$1+((Inputs!$G$5:$G$110&lt;&gt;"moeda")*(Inputs!$G$5:$G$110&lt;&gt;"acoes")))*INDEX(Inputs!$K$5:$AJ$110,0,MATCH(K$2,Inputs!$K$4:$AJ$4,0)))+SUMPRODUCT((Inputs!$C$5:$C$110=$B53)*Inputs!$D$5:$D$110*(((Inputs!$G$5:$G$110="moeda")+(Inputs!$G$5:$G$110="acoes"))*Inputs!$B$1+((Inputs!$G$5:$G$110&lt;&gt;"moeda")*(Inputs!$G$5:$G$110&lt;&gt;"acoes")))*INDEX(Inputs!$K$5:$AJ$110,0,MATCH(K$2,Inputs!$K$4:$AJ$4,0)))+SUMPRODUCT((Inputs!$E$5:$E$110=$B53)*Inputs!$F$5:$F$110*(((Inputs!$G$5:$G$110="moeda")+(Inputs!$G$5:$G$110="acoes"))*Inputs!$B$1+((Inputs!$G$5:$G$110&lt;&gt;"moeda")*(Inputs!$G$5:$G$110&lt;&gt;"acoes")))*INDEX(Inputs!$K$5:$AJ$110,0,MATCH(K$2,Inputs!$K$4:$AJ$4,0)))))</f>
        <v>70764</v>
      </c>
      <c r="L53" s="513">
        <f>IF(ISNA(MATCH(L$2,Inputs!$K$4:$AJ$4,0)),NA(),IF(SUMPRODUCT((Inputs!$A$5:$A$110=$B53)*ISNUMBER(INDEX(Inputs!$K$5:$AJ$110,0,MATCH(L$2,Inputs!$K$4:$AJ$4,0))))+SUMPRODUCT((Inputs!$C$5:$C$110=$B53)*ISNUMBER(INDEX(Inputs!$K$5:$AJ$110,0,MATCH(L$2,Inputs!$K$4:$AJ$4,0))))+SUMPRODUCT((Inputs!$E$5:$E$110=$B53)*ISNUMBER(INDEX(Inputs!$K$5:$AJ$110,0,MATCH(L$2,Inputs!$K$4:$AJ$4,0))))=0,NA(),SUMPRODUCT((Inputs!$A$5:$A$110=$B53)*Inputs!$B$5:$B$110*(((Inputs!$G$5:$G$110="moeda")+(Inputs!$G$5:$G$110="acoes"))*Inputs!$B$1+((Inputs!$G$5:$G$110&lt;&gt;"moeda")*(Inputs!$G$5:$G$110&lt;&gt;"acoes")))*INDEX(Inputs!$K$5:$AJ$110,0,MATCH(L$2,Inputs!$K$4:$AJ$4,0)))+SUMPRODUCT((Inputs!$C$5:$C$110=$B53)*Inputs!$D$5:$D$110*(((Inputs!$G$5:$G$110="moeda")+(Inputs!$G$5:$G$110="acoes"))*Inputs!$B$1+((Inputs!$G$5:$G$110&lt;&gt;"moeda")*(Inputs!$G$5:$G$110&lt;&gt;"acoes")))*INDEX(Inputs!$K$5:$AJ$110,0,MATCH(L$2,Inputs!$K$4:$AJ$4,0)))+SUMPRODUCT((Inputs!$E$5:$E$110=$B53)*Inputs!$F$5:$F$110*(((Inputs!$G$5:$G$110="moeda")+(Inputs!$G$5:$G$110="acoes"))*Inputs!$B$1+((Inputs!$G$5:$G$110&lt;&gt;"moeda")*(Inputs!$G$5:$G$110&lt;&gt;"acoes")))*INDEX(Inputs!$K$5:$AJ$110,0,MATCH(L$2,Inputs!$K$4:$AJ$4,0)))))</f>
        <v>53437</v>
      </c>
      <c r="M53" s="514">
        <f>SUM(I53:L53)</f>
        <v>226750</v>
      </c>
      <c r="N53" s="513">
        <f>IF(ISNA(MATCH(N$2,Inputs!$K$4:$AJ$4,0)),NA(),IF(SUMPRODUCT((Inputs!$A$5:$A$110=$B53)*ISNUMBER(INDEX(Inputs!$K$5:$AJ$110,0,MATCH(N$2,Inputs!$K$4:$AJ$4,0))))+SUMPRODUCT((Inputs!$C$5:$C$110=$B53)*ISNUMBER(INDEX(Inputs!$K$5:$AJ$110,0,MATCH(N$2,Inputs!$K$4:$AJ$4,0))))+SUMPRODUCT((Inputs!$E$5:$E$110=$B53)*ISNUMBER(INDEX(Inputs!$K$5:$AJ$110,0,MATCH(N$2,Inputs!$K$4:$AJ$4,0))))=0,NA(),SUMPRODUCT((Inputs!$A$5:$A$110=$B53)*Inputs!$B$5:$B$110*(((Inputs!$G$5:$G$110="moeda")+(Inputs!$G$5:$G$110="acoes"))*Inputs!$B$1+((Inputs!$G$5:$G$110&lt;&gt;"moeda")*(Inputs!$G$5:$G$110&lt;&gt;"acoes")))*INDEX(Inputs!$K$5:$AJ$110,0,MATCH(N$2,Inputs!$K$4:$AJ$4,0)))+SUMPRODUCT((Inputs!$C$5:$C$110=$B53)*Inputs!$D$5:$D$110*(((Inputs!$G$5:$G$110="moeda")+(Inputs!$G$5:$G$110="acoes"))*Inputs!$B$1+((Inputs!$G$5:$G$110&lt;&gt;"moeda")*(Inputs!$G$5:$G$110&lt;&gt;"acoes")))*INDEX(Inputs!$K$5:$AJ$110,0,MATCH(N$2,Inputs!$K$4:$AJ$4,0)))+SUMPRODUCT((Inputs!$E$5:$E$110=$B53)*Inputs!$F$5:$F$110*(((Inputs!$G$5:$G$110="moeda")+(Inputs!$G$5:$G$110="acoes"))*Inputs!$B$1+((Inputs!$G$5:$G$110&lt;&gt;"moeda")*(Inputs!$G$5:$G$110&lt;&gt;"acoes")))*INDEX(Inputs!$K$5:$AJ$110,0,MATCH(N$2,Inputs!$K$4:$AJ$4,0)))))</f>
        <v>54239</v>
      </c>
      <c r="O53" s="513">
        <f>IF(ISNA(MATCH(O$2,Inputs!$K$4:$AJ$4,0)),NA(),IF(SUMPRODUCT((Inputs!$A$5:$A$110=$B53)*ISNUMBER(INDEX(Inputs!$K$5:$AJ$110,0,MATCH(O$2,Inputs!$K$4:$AJ$4,0))))+SUMPRODUCT((Inputs!$C$5:$C$110=$B53)*ISNUMBER(INDEX(Inputs!$K$5:$AJ$110,0,MATCH(O$2,Inputs!$K$4:$AJ$4,0))))+SUMPRODUCT((Inputs!$E$5:$E$110=$B53)*ISNUMBER(INDEX(Inputs!$K$5:$AJ$110,0,MATCH(O$2,Inputs!$K$4:$AJ$4,0))))=0,NA(),SUMPRODUCT((Inputs!$A$5:$A$110=$B53)*Inputs!$B$5:$B$110*(((Inputs!$G$5:$G$110="moeda")+(Inputs!$G$5:$G$110="acoes"))*Inputs!$B$1+((Inputs!$G$5:$G$110&lt;&gt;"moeda")*(Inputs!$G$5:$G$110&lt;&gt;"acoes")))*INDEX(Inputs!$K$5:$AJ$110,0,MATCH(O$2,Inputs!$K$4:$AJ$4,0)))+SUMPRODUCT((Inputs!$C$5:$C$110=$B53)*Inputs!$D$5:$D$110*(((Inputs!$G$5:$G$110="moeda")+(Inputs!$G$5:$G$110="acoes"))*Inputs!$B$1+((Inputs!$G$5:$G$110&lt;&gt;"moeda")*(Inputs!$G$5:$G$110&lt;&gt;"acoes")))*INDEX(Inputs!$K$5:$AJ$110,0,MATCH(O$2,Inputs!$K$4:$AJ$4,0)))+SUMPRODUCT((Inputs!$E$5:$E$110=$B53)*Inputs!$F$5:$F$110*(((Inputs!$G$5:$G$110="moeda")+(Inputs!$G$5:$G$110="acoes"))*Inputs!$B$1+((Inputs!$G$5:$G$110&lt;&gt;"moeda")*(Inputs!$G$5:$G$110&lt;&gt;"acoes")))*INDEX(Inputs!$K$5:$AJ$110,0,MATCH(O$2,Inputs!$K$4:$AJ$4,0)))))</f>
        <v>52604</v>
      </c>
      <c r="P53" s="513">
        <f>IF(ISNA(MATCH(P$2,Inputs!$K$4:$AJ$4,0)),NA(),IF(SUMPRODUCT((Inputs!$A$5:$A$110=$B53)*ISNUMBER(INDEX(Inputs!$K$5:$AJ$110,0,MATCH(P$2,Inputs!$K$4:$AJ$4,0))))+SUMPRODUCT((Inputs!$C$5:$C$110=$B53)*ISNUMBER(INDEX(Inputs!$K$5:$AJ$110,0,MATCH(P$2,Inputs!$K$4:$AJ$4,0))))+SUMPRODUCT((Inputs!$E$5:$E$110=$B53)*ISNUMBER(INDEX(Inputs!$K$5:$AJ$110,0,MATCH(P$2,Inputs!$K$4:$AJ$4,0))))=0,NA(),SUMPRODUCT((Inputs!$A$5:$A$110=$B53)*Inputs!$B$5:$B$110*(((Inputs!$G$5:$G$110="moeda")+(Inputs!$G$5:$G$110="acoes"))*Inputs!$B$1+((Inputs!$G$5:$G$110&lt;&gt;"moeda")*(Inputs!$G$5:$G$110&lt;&gt;"acoes")))*INDEX(Inputs!$K$5:$AJ$110,0,MATCH(P$2,Inputs!$K$4:$AJ$4,0)))+SUMPRODUCT((Inputs!$C$5:$C$110=$B53)*Inputs!$D$5:$D$110*(((Inputs!$G$5:$G$110="moeda")+(Inputs!$G$5:$G$110="acoes"))*Inputs!$B$1+((Inputs!$G$5:$G$110&lt;&gt;"moeda")*(Inputs!$G$5:$G$110&lt;&gt;"acoes")))*INDEX(Inputs!$K$5:$AJ$110,0,MATCH(P$2,Inputs!$K$4:$AJ$4,0)))+SUMPRODUCT((Inputs!$E$5:$E$110=$B53)*Inputs!$F$5:$F$110*(((Inputs!$G$5:$G$110="moeda")+(Inputs!$G$5:$G$110="acoes"))*Inputs!$B$1+((Inputs!$G$5:$G$110&lt;&gt;"moeda")*(Inputs!$G$5:$G$110&lt;&gt;"acoes")))*INDEX(Inputs!$K$5:$AJ$110,0,MATCH(P$2,Inputs!$K$4:$AJ$4,0)))))</f>
        <v>77430</v>
      </c>
      <c r="Q53" s="513">
        <f>IF(ISNA(MATCH(Q$2,Inputs!$K$4:$AJ$4,0)),NA(),IF(SUMPRODUCT((Inputs!$A$5:$A$110=$B53)*ISNUMBER(INDEX(Inputs!$K$5:$AJ$110,0,MATCH(Q$2,Inputs!$K$4:$AJ$4,0))))+SUMPRODUCT((Inputs!$C$5:$C$110=$B53)*ISNUMBER(INDEX(Inputs!$K$5:$AJ$110,0,MATCH(Q$2,Inputs!$K$4:$AJ$4,0))))+SUMPRODUCT((Inputs!$E$5:$E$110=$B53)*ISNUMBER(INDEX(Inputs!$K$5:$AJ$110,0,MATCH(Q$2,Inputs!$K$4:$AJ$4,0))))=0,NA(),SUMPRODUCT((Inputs!$A$5:$A$110=$B53)*Inputs!$B$5:$B$110*(((Inputs!$G$5:$G$110="moeda")+(Inputs!$G$5:$G$110="acoes"))*Inputs!$B$1+((Inputs!$G$5:$G$110&lt;&gt;"moeda")*(Inputs!$G$5:$G$110&lt;&gt;"acoes")))*INDEX(Inputs!$K$5:$AJ$110,0,MATCH(Q$2,Inputs!$K$4:$AJ$4,0)))+SUMPRODUCT((Inputs!$C$5:$C$110=$B53)*Inputs!$D$5:$D$110*(((Inputs!$G$5:$G$110="moeda")+(Inputs!$G$5:$G$110="acoes"))*Inputs!$B$1+((Inputs!$G$5:$G$110&lt;&gt;"moeda")*(Inputs!$G$5:$G$110&lt;&gt;"acoes")))*INDEX(Inputs!$K$5:$AJ$110,0,MATCH(Q$2,Inputs!$K$4:$AJ$4,0)))+SUMPRODUCT((Inputs!$E$5:$E$110=$B53)*Inputs!$F$5:$F$110*(((Inputs!$G$5:$G$110="moeda")+(Inputs!$G$5:$G$110="acoes"))*Inputs!$B$1+((Inputs!$G$5:$G$110&lt;&gt;"moeda")*(Inputs!$G$5:$G$110&lt;&gt;"acoes")))*INDEX(Inputs!$K$5:$AJ$110,0,MATCH(Q$2,Inputs!$K$4:$AJ$4,0)))))</f>
        <v>56717</v>
      </c>
      <c r="R53" s="514">
        <f>SUM(N53:Q53)</f>
        <v>240990</v>
      </c>
      <c r="S53" s="513">
        <f>IF(ISNA(MATCH(S$2,Inputs!$K$4:$AJ$4,0)),NA(),IF(SUMPRODUCT((Inputs!$A$5:$A$110=$B53)*ISNUMBER(INDEX(Inputs!$K$5:$AJ$110,0,MATCH(S$2,Inputs!$K$4:$AJ$4,0))))+SUMPRODUCT((Inputs!$C$5:$C$110=$B53)*ISNUMBER(INDEX(Inputs!$K$5:$AJ$110,0,MATCH(S$2,Inputs!$K$4:$AJ$4,0))))+SUMPRODUCT((Inputs!$E$5:$E$110=$B53)*ISNUMBER(INDEX(Inputs!$K$5:$AJ$110,0,MATCH(S$2,Inputs!$K$4:$AJ$4,0))))=0,NA(),SUMPRODUCT((Inputs!$A$5:$A$110=$B53)*Inputs!$B$5:$B$110*(((Inputs!$G$5:$G$110="moeda")+(Inputs!$G$5:$G$110="acoes"))*Inputs!$B$1+((Inputs!$G$5:$G$110&lt;&gt;"moeda")*(Inputs!$G$5:$G$110&lt;&gt;"acoes")))*INDEX(Inputs!$K$5:$AJ$110,0,MATCH(S$2,Inputs!$K$4:$AJ$4,0)))+SUMPRODUCT((Inputs!$C$5:$C$110=$B53)*Inputs!$D$5:$D$110*(((Inputs!$G$5:$G$110="moeda")+(Inputs!$G$5:$G$110="acoes"))*Inputs!$B$1+((Inputs!$G$5:$G$110&lt;&gt;"moeda")*(Inputs!$G$5:$G$110&lt;&gt;"acoes")))*INDEX(Inputs!$K$5:$AJ$110,0,MATCH(S$2,Inputs!$K$4:$AJ$4,0)))+SUMPRODUCT((Inputs!$E$5:$E$110=$B53)*Inputs!$F$5:$F$110*(((Inputs!$G$5:$G$110="moeda")+(Inputs!$G$5:$G$110="acoes"))*Inputs!$B$1+((Inputs!$G$5:$G$110&lt;&gt;"moeda")*(Inputs!$G$5:$G$110&lt;&gt;"acoes")))*INDEX(Inputs!$K$5:$AJ$110,0,MATCH(S$2,Inputs!$K$4:$AJ$4,0)))))</f>
        <v>57331</v>
      </c>
      <c r="T53" s="513">
        <f>IF(ISNA(MATCH(T$2,Inputs!$K$4:$AJ$4,0)),NA(),IF(SUMPRODUCT((Inputs!$A$5:$A$110=$B53)*ISNUMBER(INDEX(Inputs!$K$5:$AJ$110,0,MATCH(T$2,Inputs!$K$4:$AJ$4,0))))+SUMPRODUCT((Inputs!$C$5:$C$110=$B53)*ISNUMBER(INDEX(Inputs!$K$5:$AJ$110,0,MATCH(T$2,Inputs!$K$4:$AJ$4,0))))+SUMPRODUCT((Inputs!$E$5:$E$110=$B53)*ISNUMBER(INDEX(Inputs!$K$5:$AJ$110,0,MATCH(T$2,Inputs!$K$4:$AJ$4,0))))=0,NA(),SUMPRODUCT((Inputs!$A$5:$A$110=$B53)*Inputs!$B$5:$B$110*(((Inputs!$G$5:$G$110="moeda")+(Inputs!$G$5:$G$110="acoes"))*Inputs!$B$1+((Inputs!$G$5:$G$110&lt;&gt;"moeda")*(Inputs!$G$5:$G$110&lt;&gt;"acoes")))*INDEX(Inputs!$K$5:$AJ$110,0,MATCH(T$2,Inputs!$K$4:$AJ$4,0)))+SUMPRODUCT((Inputs!$C$5:$C$110=$B53)*Inputs!$D$5:$D$110*(((Inputs!$G$5:$G$110="moeda")+(Inputs!$G$5:$G$110="acoes"))*Inputs!$B$1+((Inputs!$G$5:$G$110&lt;&gt;"moeda")*(Inputs!$G$5:$G$110&lt;&gt;"acoes")))*INDEX(Inputs!$K$5:$AJ$110,0,MATCH(T$2,Inputs!$K$4:$AJ$4,0)))+SUMPRODUCT((Inputs!$E$5:$E$110=$B53)*Inputs!$F$5:$F$110*(((Inputs!$G$5:$G$110="moeda")+(Inputs!$G$5:$G$110="acoes"))*Inputs!$B$1+((Inputs!$G$5:$G$110&lt;&gt;"moeda")*(Inputs!$G$5:$G$110&lt;&gt;"acoes")))*INDEX(Inputs!$K$5:$AJ$110,0,MATCH(T$2,Inputs!$K$4:$AJ$4,0)))))</f>
        <v>57392</v>
      </c>
      <c r="U53" s="513">
        <f>IF(ISNA(MATCH(U$2,Inputs!$K$4:$AJ$4,0)),NA(),IF(SUMPRODUCT((Inputs!$A$5:$A$110=$B53)*ISNUMBER(INDEX(Inputs!$K$5:$AJ$110,0,MATCH(U$2,Inputs!$K$4:$AJ$4,0))))+SUMPRODUCT((Inputs!$C$5:$C$110=$B53)*ISNUMBER(INDEX(Inputs!$K$5:$AJ$110,0,MATCH(U$2,Inputs!$K$4:$AJ$4,0))))+SUMPRODUCT((Inputs!$E$5:$E$110=$B53)*ISNUMBER(INDEX(Inputs!$K$5:$AJ$110,0,MATCH(U$2,Inputs!$K$4:$AJ$4,0))))=0,NA(),SUMPRODUCT((Inputs!$A$5:$A$110=$B53)*Inputs!$B$5:$B$110*(((Inputs!$G$5:$G$110="moeda")+(Inputs!$G$5:$G$110="acoes"))*Inputs!$B$1+((Inputs!$G$5:$G$110&lt;&gt;"moeda")*(Inputs!$G$5:$G$110&lt;&gt;"acoes")))*INDEX(Inputs!$K$5:$AJ$110,0,MATCH(U$2,Inputs!$K$4:$AJ$4,0)))+SUMPRODUCT((Inputs!$C$5:$C$110=$B53)*Inputs!$D$5:$D$110*(((Inputs!$G$5:$G$110="moeda")+(Inputs!$G$5:$G$110="acoes"))*Inputs!$B$1+((Inputs!$G$5:$G$110&lt;&gt;"moeda")*(Inputs!$G$5:$G$110&lt;&gt;"acoes")))*INDEX(Inputs!$K$5:$AJ$110,0,MATCH(U$2,Inputs!$K$4:$AJ$4,0)))+SUMPRODUCT((Inputs!$E$5:$E$110=$B53)*Inputs!$F$5:$F$110*(((Inputs!$G$5:$G$110="moeda")+(Inputs!$G$5:$G$110="acoes"))*Inputs!$B$1+((Inputs!$G$5:$G$110&lt;&gt;"moeda")*(Inputs!$G$5:$G$110&lt;&gt;"acoes")))*INDEX(Inputs!$K$5:$AJ$110,0,MATCH(U$2,Inputs!$K$4:$AJ$4,0)))))</f>
        <v>78185</v>
      </c>
      <c r="V53" s="513">
        <f>IF(ISNA(MATCH(V$2,Inputs!$K$4:$AJ$4,0)),NA(),IF(SUMPRODUCT((Inputs!$A$5:$A$110=$B53)*ISNUMBER(INDEX(Inputs!$K$5:$AJ$110,0,MATCH(V$2,Inputs!$K$4:$AJ$4,0))))+SUMPRODUCT((Inputs!$C$5:$C$110=$B53)*ISNUMBER(INDEX(Inputs!$K$5:$AJ$110,0,MATCH(V$2,Inputs!$K$4:$AJ$4,0))))+SUMPRODUCT((Inputs!$E$5:$E$110=$B53)*ISNUMBER(INDEX(Inputs!$K$5:$AJ$110,0,MATCH(V$2,Inputs!$K$4:$AJ$4,0))))=0,NA(),SUMPRODUCT((Inputs!$A$5:$A$110=$B53)*Inputs!$B$5:$B$110*(((Inputs!$G$5:$G$110="moeda")+(Inputs!$G$5:$G$110="acoes"))*Inputs!$B$1+((Inputs!$G$5:$G$110&lt;&gt;"moeda")*(Inputs!$G$5:$G$110&lt;&gt;"acoes")))*INDEX(Inputs!$K$5:$AJ$110,0,MATCH(V$2,Inputs!$K$4:$AJ$4,0)))+SUMPRODUCT((Inputs!$C$5:$C$110=$B53)*Inputs!$D$5:$D$110*(((Inputs!$G$5:$G$110="moeda")+(Inputs!$G$5:$G$110="acoes"))*Inputs!$B$1+((Inputs!$G$5:$G$110&lt;&gt;"moeda")*(Inputs!$G$5:$G$110&lt;&gt;"acoes")))*INDEX(Inputs!$K$5:$AJ$110,0,MATCH(V$2,Inputs!$K$4:$AJ$4,0)))+SUMPRODUCT((Inputs!$E$5:$E$110=$B53)*Inputs!$F$5:$F$110*(((Inputs!$G$5:$G$110="moeda")+(Inputs!$G$5:$G$110="acoes"))*Inputs!$B$1+((Inputs!$G$5:$G$110&lt;&gt;"moeda")*(Inputs!$G$5:$G$110&lt;&gt;"acoes")))*INDEX(Inputs!$K$5:$AJ$110,0,MATCH(V$2,Inputs!$K$4:$AJ$4,0)))))</f>
        <v>60985</v>
      </c>
      <c r="W53" s="514">
        <f>SUM(S53:V53)</f>
        <v>253893</v>
      </c>
      <c r="X53" s="513">
        <f>IF(ISNA(MATCH(X$2,Inputs!$K$4:$AJ$4,0)),NA(),IF(SUMPRODUCT((Inputs!$A$5:$A$110=$B53)*ISNUMBER(INDEX(Inputs!$K$5:$AJ$110,0,MATCH(X$2,Inputs!$K$4:$AJ$4,0))))+SUMPRODUCT((Inputs!$C$5:$C$110=$B53)*ISNUMBER(INDEX(Inputs!$K$5:$AJ$110,0,MATCH(X$2,Inputs!$K$4:$AJ$4,0))))+SUMPRODUCT((Inputs!$E$5:$E$110=$B53)*ISNUMBER(INDEX(Inputs!$K$5:$AJ$110,0,MATCH(X$2,Inputs!$K$4:$AJ$4,0))))=0,NA(),SUMPRODUCT((Inputs!$A$5:$A$110=$B53)*Inputs!$B$5:$B$110*(((Inputs!$G$5:$G$110="moeda")+(Inputs!$G$5:$G$110="acoes"))*Inputs!$B$1+((Inputs!$G$5:$G$110&lt;&gt;"moeda")*(Inputs!$G$5:$G$110&lt;&gt;"acoes")))*INDEX(Inputs!$K$5:$AJ$110,0,MATCH(X$2,Inputs!$K$4:$AJ$4,0)))+SUMPRODUCT((Inputs!$C$5:$C$110=$B53)*Inputs!$D$5:$D$110*(((Inputs!$G$5:$G$110="moeda")+(Inputs!$G$5:$G$110="acoes"))*Inputs!$B$1+((Inputs!$G$5:$G$110&lt;&gt;"moeda")*(Inputs!$G$5:$G$110&lt;&gt;"acoes")))*INDEX(Inputs!$K$5:$AJ$110,0,MATCH(X$2,Inputs!$K$4:$AJ$4,0)))+SUMPRODUCT((Inputs!$E$5:$E$110=$B53)*Inputs!$F$5:$F$110*(((Inputs!$G$5:$G$110="moeda")+(Inputs!$G$5:$G$110="acoes"))*Inputs!$B$1+((Inputs!$G$5:$G$110&lt;&gt;"moeda")*(Inputs!$G$5:$G$110&lt;&gt;"acoes")))*INDEX(Inputs!$K$5:$AJ$110,0,MATCH(X$2,Inputs!$K$4:$AJ$4,0)))))</f>
        <v>62530</v>
      </c>
      <c r="Y53" s="513">
        <f>IF(ISNA(MATCH(Y$2,Inputs!$K$4:$AJ$4,0)),NA(),IF(SUMPRODUCT((Inputs!$A$5:$A$110=$B53)*ISNUMBER(INDEX(Inputs!$K$5:$AJ$110,0,MATCH(Y$2,Inputs!$K$4:$AJ$4,0))))+SUMPRODUCT((Inputs!$C$5:$C$110=$B53)*ISNUMBER(INDEX(Inputs!$K$5:$AJ$110,0,MATCH(Y$2,Inputs!$K$4:$AJ$4,0))))+SUMPRODUCT((Inputs!$E$5:$E$110=$B53)*ISNUMBER(INDEX(Inputs!$K$5:$AJ$110,0,MATCH(Y$2,Inputs!$K$4:$AJ$4,0))))=0,NA(),SUMPRODUCT((Inputs!$A$5:$A$110=$B53)*Inputs!$B$5:$B$110*(((Inputs!$G$5:$G$110="moeda")+(Inputs!$G$5:$G$110="acoes"))*Inputs!$B$1+((Inputs!$G$5:$G$110&lt;&gt;"moeda")*(Inputs!$G$5:$G$110&lt;&gt;"acoes")))*INDEX(Inputs!$K$5:$AJ$110,0,MATCH(Y$2,Inputs!$K$4:$AJ$4,0)))+SUMPRODUCT((Inputs!$C$5:$C$110=$B53)*Inputs!$D$5:$D$110*(((Inputs!$G$5:$G$110="moeda")+(Inputs!$G$5:$G$110="acoes"))*Inputs!$B$1+((Inputs!$G$5:$G$110&lt;&gt;"moeda")*(Inputs!$G$5:$G$110&lt;&gt;"acoes")))*INDEX(Inputs!$K$5:$AJ$110,0,MATCH(Y$2,Inputs!$K$4:$AJ$4,0)))+SUMPRODUCT((Inputs!$E$5:$E$110=$B53)*Inputs!$F$5:$F$110*(((Inputs!$G$5:$G$110="moeda")+(Inputs!$G$5:$G$110="acoes"))*Inputs!$B$1+((Inputs!$G$5:$G$110&lt;&gt;"moeda")*(Inputs!$G$5:$G$110&lt;&gt;"acoes")))*INDEX(Inputs!$K$5:$AJ$110,0,MATCH(Y$2,Inputs!$K$4:$AJ$4,0)))))</f>
        <v>61965</v>
      </c>
      <c r="Z53" s="513">
        <f>IF(ISNA(MATCH(Z$2,Inputs!$K$4:$AJ$4,0)),NA(),IF(SUMPRODUCT((Inputs!$A$5:$A$110=$B53)*ISNUMBER(INDEX(Inputs!$K$5:$AJ$110,0,MATCH(Z$2,Inputs!$K$4:$AJ$4,0))))+SUMPRODUCT((Inputs!$C$5:$C$110=$B53)*ISNUMBER(INDEX(Inputs!$K$5:$AJ$110,0,MATCH(Z$2,Inputs!$K$4:$AJ$4,0))))+SUMPRODUCT((Inputs!$E$5:$E$110=$B53)*ISNUMBER(INDEX(Inputs!$K$5:$AJ$110,0,MATCH(Z$2,Inputs!$K$4:$AJ$4,0))))=0,NA(),SUMPRODUCT((Inputs!$A$5:$A$110=$B53)*Inputs!$B$5:$B$110*(((Inputs!$G$5:$G$110="moeda")+(Inputs!$G$5:$G$110="acoes"))*Inputs!$B$1+((Inputs!$G$5:$G$110&lt;&gt;"moeda")*(Inputs!$G$5:$G$110&lt;&gt;"acoes")))*INDEX(Inputs!$K$5:$AJ$110,0,MATCH(Z$2,Inputs!$K$4:$AJ$4,0)))+SUMPRODUCT((Inputs!$C$5:$C$110=$B53)*Inputs!$D$5:$D$110*(((Inputs!$G$5:$G$110="moeda")+(Inputs!$G$5:$G$110="acoes"))*Inputs!$B$1+((Inputs!$G$5:$G$110&lt;&gt;"moeda")*(Inputs!$G$5:$G$110&lt;&gt;"acoes")))*INDEX(Inputs!$K$5:$AJ$110,0,MATCH(Z$2,Inputs!$K$4:$AJ$4,0)))+SUMPRODUCT((Inputs!$E$5:$E$110=$B53)*Inputs!$F$5:$F$110*(((Inputs!$G$5:$G$110="moeda")+(Inputs!$G$5:$G$110="acoes"))*Inputs!$B$1+((Inputs!$G$5:$G$110&lt;&gt;"moeda")*(Inputs!$G$5:$G$110&lt;&gt;"acoes")))*INDEX(Inputs!$K$5:$AJ$110,0,MATCH(Z$2,Inputs!$K$4:$AJ$4,0)))))</f>
        <v>84432</v>
      </c>
      <c r="AA53" s="513">
        <f>IF(ISNA(MATCH(AA$2,Inputs!$K$4:$AJ$4,0)),NA(),IF(SUMPRODUCT((Inputs!$A$5:$A$110=$B53)*ISNUMBER(INDEX(Inputs!$K$5:$AJ$110,0,MATCH(AA$2,Inputs!$K$4:$AJ$4,0))))+SUMPRODUCT((Inputs!$C$5:$C$110=$B53)*ISNUMBER(INDEX(Inputs!$K$5:$AJ$110,0,MATCH(AA$2,Inputs!$K$4:$AJ$4,0))))+SUMPRODUCT((Inputs!$E$5:$E$110=$B53)*ISNUMBER(INDEX(Inputs!$K$5:$AJ$110,0,MATCH(AA$2,Inputs!$K$4:$AJ$4,0))))=0,NA(),SUMPRODUCT((Inputs!$A$5:$A$110=$B53)*Inputs!$B$5:$B$110*(((Inputs!$G$5:$G$110="moeda")+(Inputs!$G$5:$G$110="acoes"))*Inputs!$B$1+((Inputs!$G$5:$G$110&lt;&gt;"moeda")*(Inputs!$G$5:$G$110&lt;&gt;"acoes")))*INDEX(Inputs!$K$5:$AJ$110,0,MATCH(AA$2,Inputs!$K$4:$AJ$4,0)))+SUMPRODUCT((Inputs!$C$5:$C$110=$B53)*Inputs!$D$5:$D$110*(((Inputs!$G$5:$G$110="moeda")+(Inputs!$G$5:$G$110="acoes"))*Inputs!$B$1+((Inputs!$G$5:$G$110&lt;&gt;"moeda")*(Inputs!$G$5:$G$110&lt;&gt;"acoes")))*INDEX(Inputs!$K$5:$AJ$110,0,MATCH(AA$2,Inputs!$K$4:$AJ$4,0)))+SUMPRODUCT((Inputs!$E$5:$E$110=$B53)*Inputs!$F$5:$F$110*(((Inputs!$G$5:$G$110="moeda")+(Inputs!$G$5:$G$110="acoes"))*Inputs!$B$1+((Inputs!$G$5:$G$110&lt;&gt;"moeda")*(Inputs!$G$5:$G$110&lt;&gt;"acoes")))*INDEX(Inputs!$K$5:$AJ$110,0,MATCH(AA$2,Inputs!$K$4:$AJ$4,0)))))</f>
        <v>65978</v>
      </c>
      <c r="AB53" s="514">
        <f>SUM(X53:AA53)</f>
        <v>274905</v>
      </c>
      <c r="AC53" s="513">
        <f>IF(ISNA(MATCH(AC$2,Inputs!$K$4:$AJ$4,0)),NA(),IF(SUMPRODUCT((Inputs!$A$5:$A$110=$B53)*ISNUMBER(INDEX(Inputs!$K$5:$AJ$110,0,MATCH(AC$2,Inputs!$K$4:$AJ$4,0))))+SUMPRODUCT((Inputs!$C$5:$C$110=$B53)*ISNUMBER(INDEX(Inputs!$K$5:$AJ$110,0,MATCH(AC$2,Inputs!$K$4:$AJ$4,0))))+SUMPRODUCT((Inputs!$E$5:$E$110=$B53)*ISNUMBER(INDEX(Inputs!$K$5:$AJ$110,0,MATCH(AC$2,Inputs!$K$4:$AJ$4,0))))=0,NA(),SUMPRODUCT((Inputs!$A$5:$A$110=$B53)*Inputs!$B$5:$B$110*(((Inputs!$G$5:$G$110="moeda")+(Inputs!$G$5:$G$110="acoes"))*Inputs!$B$1+((Inputs!$G$5:$G$110&lt;&gt;"moeda")*(Inputs!$G$5:$G$110&lt;&gt;"acoes")))*INDEX(Inputs!$K$5:$AJ$110,0,MATCH(AC$2,Inputs!$K$4:$AJ$4,0)))+SUMPRODUCT((Inputs!$C$5:$C$110=$B53)*Inputs!$D$5:$D$110*(((Inputs!$G$5:$G$110="moeda")+(Inputs!$G$5:$G$110="acoes"))*Inputs!$B$1+((Inputs!$G$5:$G$110&lt;&gt;"moeda")*(Inputs!$G$5:$G$110&lt;&gt;"acoes")))*INDEX(Inputs!$K$5:$AJ$110,0,MATCH(AC$2,Inputs!$K$4:$AJ$4,0)))+SUMPRODUCT((Inputs!$E$5:$E$110=$B53)*Inputs!$F$5:$F$110*(((Inputs!$G$5:$G$110="moeda")+(Inputs!$G$5:$G$110="acoes"))*Inputs!$B$1+((Inputs!$G$5:$G$110&lt;&gt;"moeda")*(Inputs!$G$5:$G$110&lt;&gt;"acoes")))*INDEX(Inputs!$K$5:$AJ$110,0,MATCH(AC$2,Inputs!$K$4:$AJ$4,0)))))</f>
        <v>68242</v>
      </c>
      <c r="AD53" s="513">
        <f>IF(ISNA(MATCH(AD$2,Inputs!$K$4:$AJ$4,0)),NA(),IF(SUMPRODUCT((Inputs!$A$5:$A$110=$B53)*ISNUMBER(INDEX(Inputs!$K$5:$AJ$110,0,MATCH(AD$2,Inputs!$K$4:$AJ$4,0))))+SUMPRODUCT((Inputs!$C$5:$C$110=$B53)*ISNUMBER(INDEX(Inputs!$K$5:$AJ$110,0,MATCH(AD$2,Inputs!$K$4:$AJ$4,0))))+SUMPRODUCT((Inputs!$E$5:$E$110=$B53)*ISNUMBER(INDEX(Inputs!$K$5:$AJ$110,0,MATCH(AD$2,Inputs!$K$4:$AJ$4,0))))=0,NA(),SUMPRODUCT((Inputs!$A$5:$A$110=$B53)*Inputs!$B$5:$B$110*(((Inputs!$G$5:$G$110="moeda")+(Inputs!$G$5:$G$110="acoes"))*Inputs!$B$1+((Inputs!$G$5:$G$110&lt;&gt;"moeda")*(Inputs!$G$5:$G$110&lt;&gt;"acoes")))*INDEX(Inputs!$K$5:$AJ$110,0,MATCH(AD$2,Inputs!$K$4:$AJ$4,0)))+SUMPRODUCT((Inputs!$C$5:$C$110=$B53)*Inputs!$D$5:$D$110*(((Inputs!$G$5:$G$110="moeda")+(Inputs!$G$5:$G$110="acoes"))*Inputs!$B$1+((Inputs!$G$5:$G$110&lt;&gt;"moeda")*(Inputs!$G$5:$G$110&lt;&gt;"acoes")))*INDEX(Inputs!$K$5:$AJ$110,0,MATCH(AD$2,Inputs!$K$4:$AJ$4,0)))+SUMPRODUCT((Inputs!$E$5:$E$110=$B53)*Inputs!$F$5:$F$110*(((Inputs!$G$5:$G$110="moeda")+(Inputs!$G$5:$G$110="acoes"))*Inputs!$B$1+((Inputs!$G$5:$G$110&lt;&gt;"moeda")*(Inputs!$G$5:$G$110&lt;&gt;"acoes")))*INDEX(Inputs!$K$5:$AJ$110,0,MATCH(AD$2,Inputs!$K$4:$AJ$4,0)))))</f>
        <v>69154</v>
      </c>
      <c r="AE53" s="513" t="e">
        <f>IF(ISNA(MATCH(AE$2,Inputs!$K$4:$AJ$4,0)),NA(),IF(SUMPRODUCT((Inputs!$A$5:$A$110=$B53)*ISNUMBER(INDEX(Inputs!$K$5:$AJ$110,0,MATCH(AE$2,Inputs!$K$4:$AJ$4,0))))+SUMPRODUCT((Inputs!$C$5:$C$110=$B53)*ISNUMBER(INDEX(Inputs!$K$5:$AJ$110,0,MATCH(AE$2,Inputs!$K$4:$AJ$4,0))))+SUMPRODUCT((Inputs!$E$5:$E$110=$B53)*ISNUMBER(INDEX(Inputs!$K$5:$AJ$110,0,MATCH(AE$2,Inputs!$K$4:$AJ$4,0))))=0,NA(),SUMPRODUCT((Inputs!$A$5:$A$110=$B53)*Inputs!$B$5:$B$110*(((Inputs!$G$5:$G$110="moeda")+(Inputs!$G$5:$G$110="acoes"))*Inputs!$B$1+((Inputs!$G$5:$G$110&lt;&gt;"moeda")*(Inputs!$G$5:$G$110&lt;&gt;"acoes")))*INDEX(Inputs!$K$5:$AJ$110,0,MATCH(AE$2,Inputs!$K$4:$AJ$4,0)))+SUMPRODUCT((Inputs!$C$5:$C$110=$B53)*Inputs!$D$5:$D$110*(((Inputs!$G$5:$G$110="moeda")+(Inputs!$G$5:$G$110="acoes"))*Inputs!$B$1+((Inputs!$G$5:$G$110&lt;&gt;"moeda")*(Inputs!$G$5:$G$110&lt;&gt;"acoes")))*INDEX(Inputs!$K$5:$AJ$110,0,MATCH(AE$2,Inputs!$K$4:$AJ$4,0)))+SUMPRODUCT((Inputs!$E$5:$E$110=$B53)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3" s="513" t="e">
        <f>IF(ISNA(MATCH(AF$2,Inputs!$K$4:$AJ$4,0)),NA(),IF(SUMPRODUCT((Inputs!$A$5:$A$110=$B53)*ISNUMBER(INDEX(Inputs!$K$5:$AJ$110,0,MATCH(AF$2,Inputs!$K$4:$AJ$4,0))))+SUMPRODUCT((Inputs!$C$5:$C$110=$B53)*ISNUMBER(INDEX(Inputs!$K$5:$AJ$110,0,MATCH(AF$2,Inputs!$K$4:$AJ$4,0))))+SUMPRODUCT((Inputs!$E$5:$E$110=$B53)*ISNUMBER(INDEX(Inputs!$K$5:$AJ$110,0,MATCH(AF$2,Inputs!$K$4:$AJ$4,0))))=0,NA(),SUMPRODUCT((Inputs!$A$5:$A$110=$B53)*Inputs!$B$5:$B$110*(((Inputs!$G$5:$G$110="moeda")+(Inputs!$G$5:$G$110="acoes"))*Inputs!$B$1+((Inputs!$G$5:$G$110&lt;&gt;"moeda")*(Inputs!$G$5:$G$110&lt;&gt;"acoes")))*INDEX(Inputs!$K$5:$AJ$110,0,MATCH(AF$2,Inputs!$K$4:$AJ$4,0)))+SUMPRODUCT((Inputs!$C$5:$C$110=$B53)*Inputs!$D$5:$D$110*(((Inputs!$G$5:$G$110="moeda")+(Inputs!$G$5:$G$110="acoes"))*Inputs!$B$1+((Inputs!$G$5:$G$110&lt;&gt;"moeda")*(Inputs!$G$5:$G$110&lt;&gt;"acoes")))*INDEX(Inputs!$K$5:$AJ$110,0,MATCH(AF$2,Inputs!$K$4:$AJ$4,0)))+SUMPRODUCT((Inputs!$E$5:$E$110=$B53)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3" s="514" t="e">
        <f>SUM(AC53:AF53)</f>
        <v>#N/A</v>
      </c>
      <c r="AH53" s="513">
        <f>IF(ISNA(MATCH(AH$2,Inputs!$K$4:$AJ$4,0)),NA(),IF(SUMPRODUCT((Inputs!$A$5:$A$110=$B53)*ISNUMBER(INDEX(Inputs!$K$5:$AJ$110,0,MATCH(AH$2,Inputs!$K$4:$AJ$4,0))))+SUMPRODUCT((Inputs!$C$5:$C$110=$B53)*ISNUMBER(INDEX(Inputs!$K$5:$AJ$110,0,MATCH(AH$2,Inputs!$K$4:$AJ$4,0))))+SUMPRODUCT((Inputs!$E$5:$E$110=$B53)*ISNUMBER(INDEX(Inputs!$K$5:$AJ$110,0,MATCH(AH$2,Inputs!$K$4:$AJ$4,0))))=0,NA(),SUMPRODUCT((Inputs!$A$5:$A$110=$B53)*Inputs!$B$5:$B$110*(((Inputs!$G$5:$G$110="moeda")+(Inputs!$G$5:$G$110="acoes"))*Inputs!$B$1+((Inputs!$G$5:$G$110&lt;&gt;"moeda")*(Inputs!$G$5:$G$110&lt;&gt;"acoes")))*INDEX(Inputs!$K$5:$AJ$110,0,MATCH(AH$2,Inputs!$K$4:$AJ$4,0)))+SUMPRODUCT((Inputs!$C$5:$C$110=$B53)*Inputs!$D$5:$D$110*(((Inputs!$G$5:$G$110="moeda")+(Inputs!$G$5:$G$110="acoes"))*Inputs!$B$1+((Inputs!$G$5:$G$110&lt;&gt;"moeda")*(Inputs!$G$5:$G$110&lt;&gt;"acoes")))*INDEX(Inputs!$K$5:$AJ$110,0,MATCH(AH$2,Inputs!$K$4:$AJ$4,0)))+SUMPRODUCT((Inputs!$E$5:$E$110=$B53)*Inputs!$F$5:$F$110*(((Inputs!$G$5:$G$110="moeda")+(Inputs!$G$5:$G$110="acoes"))*Inputs!$B$1+((Inputs!$G$5:$G$110&lt;&gt;"moeda")*(Inputs!$G$5:$G$110&lt;&gt;"acoes")))*INDEX(Inputs!$K$5:$AJ$110,0,MATCH(AH$2,Inputs!$K$4:$AJ$4,0)))))</f>
        <v>38256</v>
      </c>
      <c r="AI53" s="513">
        <f>IF(ISNA(MATCH(AI$2,Inputs!$K$4:$AJ$4,0)),NA(),IF(SUMPRODUCT((Inputs!$A$5:$A$110=$B53)*ISNUMBER(INDEX(Inputs!$K$5:$AJ$110,0,MATCH(AI$2,Inputs!$K$4:$AJ$4,0))))+SUMPRODUCT((Inputs!$C$5:$C$110=$B53)*ISNUMBER(INDEX(Inputs!$K$5:$AJ$110,0,MATCH(AI$2,Inputs!$K$4:$AJ$4,0))))+SUMPRODUCT((Inputs!$E$5:$E$110=$B53)*ISNUMBER(INDEX(Inputs!$K$5:$AJ$110,0,MATCH(AI$2,Inputs!$K$4:$AJ$4,0))))=0,NA(),SUMPRODUCT((Inputs!$A$5:$A$110=$B53)*Inputs!$B$5:$B$110*(((Inputs!$G$5:$G$110="moeda")+(Inputs!$G$5:$G$110="acoes"))*Inputs!$B$1+((Inputs!$G$5:$G$110&lt;&gt;"moeda")*(Inputs!$G$5:$G$110&lt;&gt;"acoes")))*INDEX(Inputs!$K$5:$AJ$110,0,MATCH(AI$2,Inputs!$K$4:$AJ$4,0)))+SUMPRODUCT((Inputs!$C$5:$C$110=$B53)*Inputs!$D$5:$D$110*(((Inputs!$G$5:$G$110="moeda")+(Inputs!$G$5:$G$110="acoes"))*Inputs!$B$1+((Inputs!$G$5:$G$110&lt;&gt;"moeda")*(Inputs!$G$5:$G$110&lt;&gt;"acoes")))*INDEX(Inputs!$K$5:$AJ$110,0,MATCH(AI$2,Inputs!$K$4:$AJ$4,0)))+SUMPRODUCT((Inputs!$E$5:$E$110=$B53)*Inputs!$F$5:$F$110*(((Inputs!$G$5:$G$110="moeda")+(Inputs!$G$5:$G$110="acoes"))*Inputs!$B$1+((Inputs!$G$5:$G$110&lt;&gt;"moeda")*(Inputs!$G$5:$G$110&lt;&gt;"acoes")))*INDEX(Inputs!$K$5:$AJ$110,0,MATCH(AI$2,Inputs!$K$4:$AJ$4,0)))))</f>
        <v>36451</v>
      </c>
      <c r="AJ53" s="513">
        <f>IF(ISNA(MATCH(AJ$2,Inputs!$K$4:$AJ$4,0)),NA(),IF(SUMPRODUCT((Inputs!$A$5:$A$110=$B53)*ISNUMBER(INDEX(Inputs!$K$5:$AJ$110,0,MATCH(AJ$2,Inputs!$K$4:$AJ$4,0))))+SUMPRODUCT((Inputs!$C$5:$C$110=$B53)*ISNUMBER(INDEX(Inputs!$K$5:$AJ$110,0,MATCH(AJ$2,Inputs!$K$4:$AJ$4,0))))+SUMPRODUCT((Inputs!$E$5:$E$110=$B53)*ISNUMBER(INDEX(Inputs!$K$5:$AJ$110,0,MATCH(AJ$2,Inputs!$K$4:$AJ$4,0))))=0,NA(),SUMPRODUCT((Inputs!$A$5:$A$110=$B53)*Inputs!$B$5:$B$110*(((Inputs!$G$5:$G$110="moeda")+(Inputs!$G$5:$G$110="acoes"))*Inputs!$B$1+((Inputs!$G$5:$G$110&lt;&gt;"moeda")*(Inputs!$G$5:$G$110&lt;&gt;"acoes")))*INDEX(Inputs!$K$5:$AJ$110,0,MATCH(AJ$2,Inputs!$K$4:$AJ$4,0)))+SUMPRODUCT((Inputs!$C$5:$C$110=$B53)*Inputs!$D$5:$D$110*(((Inputs!$G$5:$G$110="moeda")+(Inputs!$G$5:$G$110="acoes"))*Inputs!$B$1+((Inputs!$G$5:$G$110&lt;&gt;"moeda")*(Inputs!$G$5:$G$110&lt;&gt;"acoes")))*INDEX(Inputs!$K$5:$AJ$110,0,MATCH(AJ$2,Inputs!$K$4:$AJ$4,0)))+SUMPRODUCT((Inputs!$E$5:$E$110=$B53)*Inputs!$F$5:$F$110*(((Inputs!$G$5:$G$110="moeda")+(Inputs!$G$5:$G$110="acoes"))*Inputs!$B$1+((Inputs!$G$5:$G$110&lt;&gt;"moeda")*(Inputs!$G$5:$G$110&lt;&gt;"acoes")))*INDEX(Inputs!$K$5:$AJ$110,0,MATCH(AJ$2,Inputs!$K$4:$AJ$4,0)))))</f>
        <v>52277</v>
      </c>
      <c r="AK53" s="513">
        <f>IF(ISNA(MATCH(AK$2,Inputs!$K$4:$AJ$4,0)),NA(),IF(SUMPRODUCT((Inputs!$A$5:$A$110=$B53)*ISNUMBER(INDEX(Inputs!$K$5:$AJ$110,0,MATCH(AK$2,Inputs!$K$4:$AJ$4,0))))+SUMPRODUCT((Inputs!$C$5:$C$110=$B53)*ISNUMBER(INDEX(Inputs!$K$5:$AJ$110,0,MATCH(AK$2,Inputs!$K$4:$AJ$4,0))))+SUMPRODUCT((Inputs!$E$5:$E$110=$B53)*ISNUMBER(INDEX(Inputs!$K$5:$AJ$110,0,MATCH(AK$2,Inputs!$K$4:$AJ$4,0))))=0,NA(),SUMPRODUCT((Inputs!$A$5:$A$110=$B53)*Inputs!$B$5:$B$110*(((Inputs!$G$5:$G$110="moeda")+(Inputs!$G$5:$G$110="acoes"))*Inputs!$B$1+((Inputs!$G$5:$G$110&lt;&gt;"moeda")*(Inputs!$G$5:$G$110&lt;&gt;"acoes")))*INDEX(Inputs!$K$5:$AJ$110,0,MATCH(AK$2,Inputs!$K$4:$AJ$4,0)))+SUMPRODUCT((Inputs!$C$5:$C$110=$B53)*Inputs!$D$5:$D$110*(((Inputs!$G$5:$G$110="moeda")+(Inputs!$G$5:$G$110="acoes"))*Inputs!$B$1+((Inputs!$G$5:$G$110&lt;&gt;"moeda")*(Inputs!$G$5:$G$110&lt;&gt;"acoes")))*INDEX(Inputs!$K$5:$AJ$110,0,MATCH(AK$2,Inputs!$K$4:$AJ$4,0)))+SUMPRODUCT((Inputs!$E$5:$E$110=$B53)*Inputs!$F$5:$F$110*(((Inputs!$G$5:$G$110="moeda")+(Inputs!$G$5:$G$110="acoes"))*Inputs!$B$1+((Inputs!$G$5:$G$110&lt;&gt;"moeda")*(Inputs!$G$5:$G$110&lt;&gt;"acoes")))*INDEX(Inputs!$K$5:$AJ$110,0,MATCH(AK$2,Inputs!$K$4:$AJ$4,0)))))</f>
        <v>42347</v>
      </c>
      <c r="AL53" s="514">
        <f>SUM(AH53:AK53)</f>
        <v>169331</v>
      </c>
    </row>
    <row r="54">
      <c r="B54" s="265" t="n">
        <v>46</v>
      </c>
      <c r="C54" s="266" t="inlineStr">
        <is>
          <t>Taxas de associação (USD)</t>
        </is>
      </c>
      <c r="D54" s="513">
        <f>IF(ISNA(MATCH(D$2,Inputs!$K$4:$AJ$4,0)),NA(),IF(SUMPRODUCT((Inputs!$A$5:$A$110=$B54)*ISNUMBER(INDEX(Inputs!$K$5:$AJ$110,0,MATCH(D$2,Inputs!$K$4:$AJ$4,0))))+SUMPRODUCT((Inputs!$C$5:$C$110=$B54)*ISNUMBER(INDEX(Inputs!$K$5:$AJ$110,0,MATCH(D$2,Inputs!$K$4:$AJ$4,0))))+SUMPRODUCT((Inputs!$E$5:$E$110=$B54)*ISNUMBER(INDEX(Inputs!$K$5:$AJ$110,0,MATCH(D$2,Inputs!$K$4:$AJ$4,0))))=0,NA(),SUMPRODUCT((Inputs!$A$5:$A$110=$B54)*Inputs!$B$5:$B$110*(((Inputs!$G$5:$G$110="moeda")+(Inputs!$G$5:$G$110="acoes"))*Inputs!$B$1+((Inputs!$G$5:$G$110&lt;&gt;"moeda")*(Inputs!$G$5:$G$110&lt;&gt;"acoes")))*INDEX(Inputs!$K$5:$AJ$110,0,MATCH(D$2,Inputs!$K$4:$AJ$4,0)))+SUMPRODUCT((Inputs!$C$5:$C$110=$B54)*Inputs!$D$5:$D$110*(((Inputs!$G$5:$G$110="moeda")+(Inputs!$G$5:$G$110="acoes"))*Inputs!$B$1+((Inputs!$G$5:$G$110&lt;&gt;"moeda")*(Inputs!$G$5:$G$110&lt;&gt;"acoes")))*INDEX(Inputs!$K$5:$AJ$110,0,MATCH(D$2,Inputs!$K$4:$AJ$4,0)))+SUMPRODUCT((Inputs!$E$5:$E$110=$B54)*Inputs!$F$5:$F$110*(((Inputs!$G$5:$G$110="moeda")+(Inputs!$G$5:$G$110="acoes"))*Inputs!$B$1+((Inputs!$G$5:$G$110&lt;&gt;"moeda")*(Inputs!$G$5:$G$110&lt;&gt;"acoes")))*INDEX(Inputs!$K$5:$AJ$110,0,MATCH(D$2,Inputs!$K$4:$AJ$4,0)))))</f>
        <v>881</v>
      </c>
      <c r="E54" s="513">
        <f>IF(ISNA(MATCH(E$2,Inputs!$K$4:$AJ$4,0)),NA(),IF(SUMPRODUCT((Inputs!$A$5:$A$110=$B54)*ISNUMBER(INDEX(Inputs!$K$5:$AJ$110,0,MATCH(E$2,Inputs!$K$4:$AJ$4,0))))+SUMPRODUCT((Inputs!$C$5:$C$110=$B54)*ISNUMBER(INDEX(Inputs!$K$5:$AJ$110,0,MATCH(E$2,Inputs!$K$4:$AJ$4,0))))+SUMPRODUCT((Inputs!$E$5:$E$110=$B54)*ISNUMBER(INDEX(Inputs!$K$5:$AJ$110,0,MATCH(E$2,Inputs!$K$4:$AJ$4,0))))=0,NA(),SUMPRODUCT((Inputs!$A$5:$A$110=$B54)*Inputs!$B$5:$B$110*(((Inputs!$G$5:$G$110="moeda")+(Inputs!$G$5:$G$110="acoes"))*Inputs!$B$1+((Inputs!$G$5:$G$110&lt;&gt;"moeda")*(Inputs!$G$5:$G$110&lt;&gt;"acoes")))*INDEX(Inputs!$K$5:$AJ$110,0,MATCH(E$2,Inputs!$K$4:$AJ$4,0)))+SUMPRODUCT((Inputs!$C$5:$C$110=$B54)*Inputs!$D$5:$D$110*(((Inputs!$G$5:$G$110="moeda")+(Inputs!$G$5:$G$110="acoes"))*Inputs!$B$1+((Inputs!$G$5:$G$110&lt;&gt;"moeda")*(Inputs!$G$5:$G$110&lt;&gt;"acoes")))*INDEX(Inputs!$K$5:$AJ$110,0,MATCH(E$2,Inputs!$K$4:$AJ$4,0)))+SUMPRODUCT((Inputs!$E$5:$E$110=$B54)*Inputs!$F$5:$F$110*(((Inputs!$G$5:$G$110="moeda")+(Inputs!$G$5:$G$110="acoes"))*Inputs!$B$1+((Inputs!$G$5:$G$110&lt;&gt;"moeda")*(Inputs!$G$5:$G$110&lt;&gt;"acoes")))*INDEX(Inputs!$K$5:$AJ$110,0,MATCH(E$2,Inputs!$K$4:$AJ$4,0)))))</f>
        <v>901</v>
      </c>
      <c r="F54" s="513">
        <f>IF(ISNA(MATCH(F$2,Inputs!$K$4:$AJ$4,0)),NA(),IF(SUMPRODUCT((Inputs!$A$5:$A$110=$B54)*ISNUMBER(INDEX(Inputs!$K$5:$AJ$110,0,MATCH(F$2,Inputs!$K$4:$AJ$4,0))))+SUMPRODUCT((Inputs!$C$5:$C$110=$B54)*ISNUMBER(INDEX(Inputs!$K$5:$AJ$110,0,MATCH(F$2,Inputs!$K$4:$AJ$4,0))))+SUMPRODUCT((Inputs!$E$5:$E$110=$B54)*ISNUMBER(INDEX(Inputs!$K$5:$AJ$110,0,MATCH(F$2,Inputs!$K$4:$AJ$4,0))))=0,NA(),SUMPRODUCT((Inputs!$A$5:$A$110=$B54)*Inputs!$B$5:$B$110*(((Inputs!$G$5:$G$110="moeda")+(Inputs!$G$5:$G$110="acoes"))*Inputs!$B$1+((Inputs!$G$5:$G$110&lt;&gt;"moeda")*(Inputs!$G$5:$G$110&lt;&gt;"acoes")))*INDEX(Inputs!$K$5:$AJ$110,0,MATCH(F$2,Inputs!$K$4:$AJ$4,0)))+SUMPRODUCT((Inputs!$C$5:$C$110=$B54)*Inputs!$D$5:$D$110*(((Inputs!$G$5:$G$110="moeda")+(Inputs!$G$5:$G$110="acoes"))*Inputs!$B$1+((Inputs!$G$5:$G$110&lt;&gt;"moeda")*(Inputs!$G$5:$G$110&lt;&gt;"acoes")))*INDEX(Inputs!$K$5:$AJ$110,0,MATCH(F$2,Inputs!$K$4:$AJ$4,0)))+SUMPRODUCT((Inputs!$E$5:$E$110=$B54)*Inputs!$F$5:$F$110*(((Inputs!$G$5:$G$110="moeda")+(Inputs!$G$5:$G$110="acoes"))*Inputs!$B$1+((Inputs!$G$5:$G$110&lt;&gt;"moeda")*(Inputs!$G$5:$G$110&lt;&gt;"acoes")))*INDEX(Inputs!$K$5:$AJ$110,0,MATCH(F$2,Inputs!$K$4:$AJ$4,0)))))</f>
        <v>1234</v>
      </c>
      <c r="G54" s="513">
        <f>IF(ISNA(MATCH(G$2,Inputs!$K$4:$AJ$4,0)),NA(),IF(SUMPRODUCT((Inputs!$A$5:$A$110=$B54)*ISNUMBER(INDEX(Inputs!$K$5:$AJ$110,0,MATCH(G$2,Inputs!$K$4:$AJ$4,0))))+SUMPRODUCT((Inputs!$C$5:$C$110=$B54)*ISNUMBER(INDEX(Inputs!$K$5:$AJ$110,0,MATCH(G$2,Inputs!$K$4:$AJ$4,0))))+SUMPRODUCT((Inputs!$E$5:$E$110=$B54)*ISNUMBER(INDEX(Inputs!$K$5:$AJ$110,0,MATCH(G$2,Inputs!$K$4:$AJ$4,0))))=0,NA(),SUMPRODUCT((Inputs!$A$5:$A$110=$B54)*Inputs!$B$5:$B$110*(((Inputs!$G$5:$G$110="moeda")+(Inputs!$G$5:$G$110="acoes"))*Inputs!$B$1+((Inputs!$G$5:$G$110&lt;&gt;"moeda")*(Inputs!$G$5:$G$110&lt;&gt;"acoes")))*INDEX(Inputs!$K$5:$AJ$110,0,MATCH(G$2,Inputs!$K$4:$AJ$4,0)))+SUMPRODUCT((Inputs!$C$5:$C$110=$B54)*Inputs!$D$5:$D$110*(((Inputs!$G$5:$G$110="moeda")+(Inputs!$G$5:$G$110="acoes"))*Inputs!$B$1+((Inputs!$G$5:$G$110&lt;&gt;"moeda")*(Inputs!$G$5:$G$110&lt;&gt;"acoes")))*INDEX(Inputs!$K$5:$AJ$110,0,MATCH(G$2,Inputs!$K$4:$AJ$4,0)))+SUMPRODUCT((Inputs!$E$5:$E$110=$B54)*Inputs!$F$5:$F$110*(((Inputs!$G$5:$G$110="moeda")+(Inputs!$G$5:$G$110="acoes"))*Inputs!$B$1+((Inputs!$G$5:$G$110&lt;&gt;"moeda")*(Inputs!$G$5:$G$110&lt;&gt;"acoes")))*INDEX(Inputs!$K$5:$AJ$110,0,MATCH(G$2,Inputs!$K$4:$AJ$4,0)))))</f>
        <v>946</v>
      </c>
      <c r="H54" s="514">
        <f>SUM(D54:G54)</f>
        <v>3962</v>
      </c>
      <c r="I54" s="513">
        <f>IF(ISNA(MATCH(I$2,Inputs!$K$4:$AJ$4,0)),NA(),IF(SUMPRODUCT((Inputs!$A$5:$A$110=$B54)*ISNUMBER(INDEX(Inputs!$K$5:$AJ$110,0,MATCH(I$2,Inputs!$K$4:$AJ$4,0))))+SUMPRODUCT((Inputs!$C$5:$C$110=$B54)*ISNUMBER(INDEX(Inputs!$K$5:$AJ$110,0,MATCH(I$2,Inputs!$K$4:$AJ$4,0))))+SUMPRODUCT((Inputs!$E$5:$E$110=$B54)*ISNUMBER(INDEX(Inputs!$K$5:$AJ$110,0,MATCH(I$2,Inputs!$K$4:$AJ$4,0))))=0,NA(),SUMPRODUCT((Inputs!$A$5:$A$110=$B54)*Inputs!$B$5:$B$110*(((Inputs!$G$5:$G$110="moeda")+(Inputs!$G$5:$G$110="acoes"))*Inputs!$B$1+((Inputs!$G$5:$G$110&lt;&gt;"moeda")*(Inputs!$G$5:$G$110&lt;&gt;"acoes")))*INDEX(Inputs!$K$5:$AJ$110,0,MATCH(I$2,Inputs!$K$4:$AJ$4,0)))+SUMPRODUCT((Inputs!$C$5:$C$110=$B54)*Inputs!$D$5:$D$110*(((Inputs!$G$5:$G$110="moeda")+(Inputs!$G$5:$G$110="acoes"))*Inputs!$B$1+((Inputs!$G$5:$G$110&lt;&gt;"moeda")*(Inputs!$G$5:$G$110&lt;&gt;"acoes")))*INDEX(Inputs!$K$5:$AJ$110,0,MATCH(I$2,Inputs!$K$4:$AJ$4,0)))+SUMPRODUCT((Inputs!$E$5:$E$110=$B54)*Inputs!$F$5:$F$110*(((Inputs!$G$5:$G$110="moeda")+(Inputs!$G$5:$G$110="acoes"))*Inputs!$B$1+((Inputs!$G$5:$G$110&lt;&gt;"moeda")*(Inputs!$G$5:$G$110&lt;&gt;"acoes")))*INDEX(Inputs!$K$5:$AJ$110,0,MATCH(I$2,Inputs!$K$4:$AJ$4,0)))))</f>
        <v>967</v>
      </c>
      <c r="J54" s="513">
        <f>IF(ISNA(MATCH(J$2,Inputs!$K$4:$AJ$4,0)),NA(),IF(SUMPRODUCT((Inputs!$A$5:$A$110=$B54)*ISNUMBER(INDEX(Inputs!$K$5:$AJ$110,0,MATCH(J$2,Inputs!$K$4:$AJ$4,0))))+SUMPRODUCT((Inputs!$C$5:$C$110=$B54)*ISNUMBER(INDEX(Inputs!$K$5:$AJ$110,0,MATCH(J$2,Inputs!$K$4:$AJ$4,0))))+SUMPRODUCT((Inputs!$E$5:$E$110=$B54)*ISNUMBER(INDEX(Inputs!$K$5:$AJ$110,0,MATCH(J$2,Inputs!$K$4:$AJ$4,0))))=0,NA(),SUMPRODUCT((Inputs!$A$5:$A$110=$B54)*Inputs!$B$5:$B$110*(((Inputs!$G$5:$G$110="moeda")+(Inputs!$G$5:$G$110="acoes"))*Inputs!$B$1+((Inputs!$G$5:$G$110&lt;&gt;"moeda")*(Inputs!$G$5:$G$110&lt;&gt;"acoes")))*INDEX(Inputs!$K$5:$AJ$110,0,MATCH(J$2,Inputs!$K$4:$AJ$4,0)))+SUMPRODUCT((Inputs!$C$5:$C$110=$B54)*Inputs!$D$5:$D$110*(((Inputs!$G$5:$G$110="moeda")+(Inputs!$G$5:$G$110="acoes"))*Inputs!$B$1+((Inputs!$G$5:$G$110&lt;&gt;"moeda")*(Inputs!$G$5:$G$110&lt;&gt;"acoes")))*INDEX(Inputs!$K$5:$AJ$110,0,MATCH(J$2,Inputs!$K$4:$AJ$4,0)))+SUMPRODUCT((Inputs!$E$5:$E$110=$B54)*Inputs!$F$5:$F$110*(((Inputs!$G$5:$G$110="moeda")+(Inputs!$G$5:$G$110="acoes"))*Inputs!$B$1+((Inputs!$G$5:$G$110&lt;&gt;"moeda")*(Inputs!$G$5:$G$110&lt;&gt;"acoes")))*INDEX(Inputs!$K$5:$AJ$110,0,MATCH(J$2,Inputs!$K$4:$AJ$4,0)))))</f>
        <v>984</v>
      </c>
      <c r="K54" s="513">
        <f>IF(ISNA(MATCH(K$2,Inputs!$K$4:$AJ$4,0)),NA(),IF(SUMPRODUCT((Inputs!$A$5:$A$110=$B54)*ISNUMBER(INDEX(Inputs!$K$5:$AJ$110,0,MATCH(K$2,Inputs!$K$4:$AJ$4,0))))+SUMPRODUCT((Inputs!$C$5:$C$110=$B54)*ISNUMBER(INDEX(Inputs!$K$5:$AJ$110,0,MATCH(K$2,Inputs!$K$4:$AJ$4,0))))+SUMPRODUCT((Inputs!$E$5:$E$110=$B54)*ISNUMBER(INDEX(Inputs!$K$5:$AJ$110,0,MATCH(K$2,Inputs!$K$4:$AJ$4,0))))=0,NA(),SUMPRODUCT((Inputs!$A$5:$A$110=$B54)*Inputs!$B$5:$B$110*(((Inputs!$G$5:$G$110="moeda")+(Inputs!$G$5:$G$110="acoes"))*Inputs!$B$1+((Inputs!$G$5:$G$110&lt;&gt;"moeda")*(Inputs!$G$5:$G$110&lt;&gt;"acoes")))*INDEX(Inputs!$K$5:$AJ$110,0,MATCH(K$2,Inputs!$K$4:$AJ$4,0)))+SUMPRODUCT((Inputs!$C$5:$C$110=$B54)*Inputs!$D$5:$D$110*(((Inputs!$G$5:$G$110="moeda")+(Inputs!$G$5:$G$110="acoes"))*Inputs!$B$1+((Inputs!$G$5:$G$110&lt;&gt;"moeda")*(Inputs!$G$5:$G$110&lt;&gt;"acoes")))*INDEX(Inputs!$K$5:$AJ$110,0,MATCH(K$2,Inputs!$K$4:$AJ$4,0)))+SUMPRODUCT((Inputs!$E$5:$E$110=$B54)*Inputs!$F$5:$F$110*(((Inputs!$G$5:$G$110="moeda")+(Inputs!$G$5:$G$110="acoes"))*Inputs!$B$1+((Inputs!$G$5:$G$110&lt;&gt;"moeda")*(Inputs!$G$5:$G$110&lt;&gt;"acoes")))*INDEX(Inputs!$K$5:$AJ$110,0,MATCH(K$2,Inputs!$K$4:$AJ$4,0)))))</f>
        <v>1327</v>
      </c>
      <c r="L54" s="513">
        <f>IF(ISNA(MATCH(L$2,Inputs!$K$4:$AJ$4,0)),NA(),IF(SUMPRODUCT((Inputs!$A$5:$A$110=$B54)*ISNUMBER(INDEX(Inputs!$K$5:$AJ$110,0,MATCH(L$2,Inputs!$K$4:$AJ$4,0))))+SUMPRODUCT((Inputs!$C$5:$C$110=$B54)*ISNUMBER(INDEX(Inputs!$K$5:$AJ$110,0,MATCH(L$2,Inputs!$K$4:$AJ$4,0))))+SUMPRODUCT((Inputs!$E$5:$E$110=$B54)*ISNUMBER(INDEX(Inputs!$K$5:$AJ$110,0,MATCH(L$2,Inputs!$K$4:$AJ$4,0))))=0,NA(),SUMPRODUCT((Inputs!$A$5:$A$110=$B54)*Inputs!$B$5:$B$110*(((Inputs!$G$5:$G$110="moeda")+(Inputs!$G$5:$G$110="acoes"))*Inputs!$B$1+((Inputs!$G$5:$G$110&lt;&gt;"moeda")*(Inputs!$G$5:$G$110&lt;&gt;"acoes")))*INDEX(Inputs!$K$5:$AJ$110,0,MATCH(L$2,Inputs!$K$4:$AJ$4,0)))+SUMPRODUCT((Inputs!$C$5:$C$110=$B54)*Inputs!$D$5:$D$110*(((Inputs!$G$5:$G$110="moeda")+(Inputs!$G$5:$G$110="acoes"))*Inputs!$B$1+((Inputs!$G$5:$G$110&lt;&gt;"moeda")*(Inputs!$G$5:$G$110&lt;&gt;"acoes")))*INDEX(Inputs!$K$5:$AJ$110,0,MATCH(L$2,Inputs!$K$4:$AJ$4,0)))+SUMPRODUCT((Inputs!$E$5:$E$110=$B54)*Inputs!$F$5:$F$110*(((Inputs!$G$5:$G$110="moeda")+(Inputs!$G$5:$G$110="acoes"))*Inputs!$B$1+((Inputs!$G$5:$G$110&lt;&gt;"moeda")*(Inputs!$G$5:$G$110&lt;&gt;"acoes")))*INDEX(Inputs!$K$5:$AJ$110,0,MATCH(L$2,Inputs!$K$4:$AJ$4,0)))))</f>
        <v>1000</v>
      </c>
      <c r="M54" s="514">
        <f>SUM(I54:L54)</f>
        <v>4278</v>
      </c>
      <c r="N54" s="513">
        <f>IF(ISNA(MATCH(N$2,Inputs!$K$4:$AJ$4,0)),NA(),IF(SUMPRODUCT((Inputs!$A$5:$A$110=$B54)*ISNUMBER(INDEX(Inputs!$K$5:$AJ$110,0,MATCH(N$2,Inputs!$K$4:$AJ$4,0))))+SUMPRODUCT((Inputs!$C$5:$C$110=$B54)*ISNUMBER(INDEX(Inputs!$K$5:$AJ$110,0,MATCH(N$2,Inputs!$K$4:$AJ$4,0))))+SUMPRODUCT((Inputs!$E$5:$E$110=$B54)*ISNUMBER(INDEX(Inputs!$K$5:$AJ$110,0,MATCH(N$2,Inputs!$K$4:$AJ$4,0))))=0,NA(),SUMPRODUCT((Inputs!$A$5:$A$110=$B54)*Inputs!$B$5:$B$110*(((Inputs!$G$5:$G$110="moeda")+(Inputs!$G$5:$G$110="acoes"))*Inputs!$B$1+((Inputs!$G$5:$G$110&lt;&gt;"moeda")*(Inputs!$G$5:$G$110&lt;&gt;"acoes")))*INDEX(Inputs!$K$5:$AJ$110,0,MATCH(N$2,Inputs!$K$4:$AJ$4,0)))+SUMPRODUCT((Inputs!$C$5:$C$110=$B54)*Inputs!$D$5:$D$110*(((Inputs!$G$5:$G$110="moeda")+(Inputs!$G$5:$G$110="acoes"))*Inputs!$B$1+((Inputs!$G$5:$G$110&lt;&gt;"moeda")*(Inputs!$G$5:$G$110&lt;&gt;"acoes")))*INDEX(Inputs!$K$5:$AJ$110,0,MATCH(N$2,Inputs!$K$4:$AJ$4,0)))+SUMPRODUCT((Inputs!$E$5:$E$110=$B54)*Inputs!$F$5:$F$110*(((Inputs!$G$5:$G$110="moeda")+(Inputs!$G$5:$G$110="acoes"))*Inputs!$B$1+((Inputs!$G$5:$G$110&lt;&gt;"moeda")*(Inputs!$G$5:$G$110&lt;&gt;"acoes")))*INDEX(Inputs!$K$5:$AJ$110,0,MATCH(N$2,Inputs!$K$4:$AJ$4,0)))))</f>
        <v>1027</v>
      </c>
      <c r="O54" s="513">
        <f>IF(ISNA(MATCH(O$2,Inputs!$K$4:$AJ$4,0)),NA(),IF(SUMPRODUCT((Inputs!$A$5:$A$110=$B54)*ISNUMBER(INDEX(Inputs!$K$5:$AJ$110,0,MATCH(O$2,Inputs!$K$4:$AJ$4,0))))+SUMPRODUCT((Inputs!$C$5:$C$110=$B54)*ISNUMBER(INDEX(Inputs!$K$5:$AJ$110,0,MATCH(O$2,Inputs!$K$4:$AJ$4,0))))+SUMPRODUCT((Inputs!$E$5:$E$110=$B54)*ISNUMBER(INDEX(Inputs!$K$5:$AJ$110,0,MATCH(O$2,Inputs!$K$4:$AJ$4,0))))=0,NA(),SUMPRODUCT((Inputs!$A$5:$A$110=$B54)*Inputs!$B$5:$B$110*(((Inputs!$G$5:$G$110="moeda")+(Inputs!$G$5:$G$110="acoes"))*Inputs!$B$1+((Inputs!$G$5:$G$110&lt;&gt;"moeda")*(Inputs!$G$5:$G$110&lt;&gt;"acoes")))*INDEX(Inputs!$K$5:$AJ$110,0,MATCH(O$2,Inputs!$K$4:$AJ$4,0)))+SUMPRODUCT((Inputs!$C$5:$C$110=$B54)*Inputs!$D$5:$D$110*(((Inputs!$G$5:$G$110="moeda")+(Inputs!$G$5:$G$110="acoes"))*Inputs!$B$1+((Inputs!$G$5:$G$110&lt;&gt;"moeda")*(Inputs!$G$5:$G$110&lt;&gt;"acoes")))*INDEX(Inputs!$K$5:$AJ$110,0,MATCH(O$2,Inputs!$K$4:$AJ$4,0)))+SUMPRODUCT((Inputs!$E$5:$E$110=$B54)*Inputs!$F$5:$F$110*(((Inputs!$G$5:$G$110="moeda")+(Inputs!$G$5:$G$110="acoes"))*Inputs!$B$1+((Inputs!$G$5:$G$110&lt;&gt;"moeda")*(Inputs!$G$5:$G$110&lt;&gt;"acoes")))*INDEX(Inputs!$K$5:$AJ$110,0,MATCH(O$2,Inputs!$K$4:$AJ$4,0)))))</f>
        <v>1044</v>
      </c>
      <c r="P54" s="513">
        <f>IF(ISNA(MATCH(P$2,Inputs!$K$4:$AJ$4,0)),NA(),IF(SUMPRODUCT((Inputs!$A$5:$A$110=$B54)*ISNUMBER(INDEX(Inputs!$K$5:$AJ$110,0,MATCH(P$2,Inputs!$K$4:$AJ$4,0))))+SUMPRODUCT((Inputs!$C$5:$C$110=$B54)*ISNUMBER(INDEX(Inputs!$K$5:$AJ$110,0,MATCH(P$2,Inputs!$K$4:$AJ$4,0))))+SUMPRODUCT((Inputs!$E$5:$E$110=$B54)*ISNUMBER(INDEX(Inputs!$K$5:$AJ$110,0,MATCH(P$2,Inputs!$K$4:$AJ$4,0))))=0,NA(),SUMPRODUCT((Inputs!$A$5:$A$110=$B54)*Inputs!$B$5:$B$110*(((Inputs!$G$5:$G$110="moeda")+(Inputs!$G$5:$G$110="acoes"))*Inputs!$B$1+((Inputs!$G$5:$G$110&lt;&gt;"moeda")*(Inputs!$G$5:$G$110&lt;&gt;"acoes")))*INDEX(Inputs!$K$5:$AJ$110,0,MATCH(P$2,Inputs!$K$4:$AJ$4,0)))+SUMPRODUCT((Inputs!$C$5:$C$110=$B54)*Inputs!$D$5:$D$110*(((Inputs!$G$5:$G$110="moeda")+(Inputs!$G$5:$G$110="acoes"))*Inputs!$B$1+((Inputs!$G$5:$G$110&lt;&gt;"moeda")*(Inputs!$G$5:$G$110&lt;&gt;"acoes")))*INDEX(Inputs!$K$5:$AJ$110,0,MATCH(P$2,Inputs!$K$4:$AJ$4,0)))+SUMPRODUCT((Inputs!$E$5:$E$110=$B54)*Inputs!$F$5:$F$110*(((Inputs!$G$5:$G$110="moeda")+(Inputs!$G$5:$G$110="acoes"))*Inputs!$B$1+((Inputs!$G$5:$G$110&lt;&gt;"moeda")*(Inputs!$G$5:$G$110&lt;&gt;"acoes")))*INDEX(Inputs!$K$5:$AJ$110,0,MATCH(P$2,Inputs!$K$4:$AJ$4,0)))))</f>
        <v>1509</v>
      </c>
      <c r="Q54" s="513">
        <f>IF(ISNA(MATCH(Q$2,Inputs!$K$4:$AJ$4,0)),NA(),IF(SUMPRODUCT((Inputs!$A$5:$A$110=$B54)*ISNUMBER(INDEX(Inputs!$K$5:$AJ$110,0,MATCH(Q$2,Inputs!$K$4:$AJ$4,0))))+SUMPRODUCT((Inputs!$C$5:$C$110=$B54)*ISNUMBER(INDEX(Inputs!$K$5:$AJ$110,0,MATCH(Q$2,Inputs!$K$4:$AJ$4,0))))+SUMPRODUCT((Inputs!$E$5:$E$110=$B54)*ISNUMBER(INDEX(Inputs!$K$5:$AJ$110,0,MATCH(Q$2,Inputs!$K$4:$AJ$4,0))))=0,NA(),SUMPRODUCT((Inputs!$A$5:$A$110=$B54)*Inputs!$B$5:$B$110*(((Inputs!$G$5:$G$110="moeda")+(Inputs!$G$5:$G$110="acoes"))*Inputs!$B$1+((Inputs!$G$5:$G$110&lt;&gt;"moeda")*(Inputs!$G$5:$G$110&lt;&gt;"acoes")))*INDEX(Inputs!$K$5:$AJ$110,0,MATCH(Q$2,Inputs!$K$4:$AJ$4,0)))+SUMPRODUCT((Inputs!$C$5:$C$110=$B54)*Inputs!$D$5:$D$110*(((Inputs!$G$5:$G$110="moeda")+(Inputs!$G$5:$G$110="acoes"))*Inputs!$B$1+((Inputs!$G$5:$G$110&lt;&gt;"moeda")*(Inputs!$G$5:$G$110&lt;&gt;"acoes")))*INDEX(Inputs!$K$5:$AJ$110,0,MATCH(Q$2,Inputs!$K$4:$AJ$4,0)))+SUMPRODUCT((Inputs!$E$5:$E$110=$B54)*Inputs!$F$5:$F$110*(((Inputs!$G$5:$G$110="moeda")+(Inputs!$G$5:$G$110="acoes"))*Inputs!$B$1+((Inputs!$G$5:$G$110&lt;&gt;"moeda")*(Inputs!$G$5:$G$110&lt;&gt;"acoes")))*INDEX(Inputs!$K$5:$AJ$110,0,MATCH(Q$2,Inputs!$K$4:$AJ$4,0)))))</f>
        <v>1082</v>
      </c>
      <c r="R54" s="514">
        <f>SUM(N54:Q54)</f>
        <v>4662</v>
      </c>
      <c r="S54" s="513">
        <f>IF(ISNA(MATCH(S$2,Inputs!$K$4:$AJ$4,0)),NA(),IF(SUMPRODUCT((Inputs!$A$5:$A$110=$B54)*ISNUMBER(INDEX(Inputs!$K$5:$AJ$110,0,MATCH(S$2,Inputs!$K$4:$AJ$4,0))))+SUMPRODUCT((Inputs!$C$5:$C$110=$B54)*ISNUMBER(INDEX(Inputs!$K$5:$AJ$110,0,MATCH(S$2,Inputs!$K$4:$AJ$4,0))))+SUMPRODUCT((Inputs!$E$5:$E$110=$B54)*ISNUMBER(INDEX(Inputs!$K$5:$AJ$110,0,MATCH(S$2,Inputs!$K$4:$AJ$4,0))))=0,NA(),SUMPRODUCT((Inputs!$A$5:$A$110=$B54)*Inputs!$B$5:$B$110*(((Inputs!$G$5:$G$110="moeda")+(Inputs!$G$5:$G$110="acoes"))*Inputs!$B$1+((Inputs!$G$5:$G$110&lt;&gt;"moeda")*(Inputs!$G$5:$G$110&lt;&gt;"acoes")))*INDEX(Inputs!$K$5:$AJ$110,0,MATCH(S$2,Inputs!$K$4:$AJ$4,0)))+SUMPRODUCT((Inputs!$C$5:$C$110=$B54)*Inputs!$D$5:$D$110*(((Inputs!$G$5:$G$110="moeda")+(Inputs!$G$5:$G$110="acoes"))*Inputs!$B$1+((Inputs!$G$5:$G$110&lt;&gt;"moeda")*(Inputs!$G$5:$G$110&lt;&gt;"acoes")))*INDEX(Inputs!$K$5:$AJ$110,0,MATCH(S$2,Inputs!$K$4:$AJ$4,0)))+SUMPRODUCT((Inputs!$E$5:$E$110=$B54)*Inputs!$F$5:$F$110*(((Inputs!$G$5:$G$110="moeda")+(Inputs!$G$5:$G$110="acoes"))*Inputs!$B$1+((Inputs!$G$5:$G$110&lt;&gt;"moeda")*(Inputs!$G$5:$G$110&lt;&gt;"acoes")))*INDEX(Inputs!$K$5:$AJ$110,0,MATCH(S$2,Inputs!$K$4:$AJ$4,0)))))</f>
        <v>1111</v>
      </c>
      <c r="T54" s="513">
        <f>IF(ISNA(MATCH(T$2,Inputs!$K$4:$AJ$4,0)),NA(),IF(SUMPRODUCT((Inputs!$A$5:$A$110=$B54)*ISNUMBER(INDEX(Inputs!$K$5:$AJ$110,0,MATCH(T$2,Inputs!$K$4:$AJ$4,0))))+SUMPRODUCT((Inputs!$C$5:$C$110=$B54)*ISNUMBER(INDEX(Inputs!$K$5:$AJ$110,0,MATCH(T$2,Inputs!$K$4:$AJ$4,0))))+SUMPRODUCT((Inputs!$E$5:$E$110=$B54)*ISNUMBER(INDEX(Inputs!$K$5:$AJ$110,0,MATCH(T$2,Inputs!$K$4:$AJ$4,0))))=0,NA(),SUMPRODUCT((Inputs!$A$5:$A$110=$B54)*Inputs!$B$5:$B$110*(((Inputs!$G$5:$G$110="moeda")+(Inputs!$G$5:$G$110="acoes"))*Inputs!$B$1+((Inputs!$G$5:$G$110&lt;&gt;"moeda")*(Inputs!$G$5:$G$110&lt;&gt;"acoes")))*INDEX(Inputs!$K$5:$AJ$110,0,MATCH(T$2,Inputs!$K$4:$AJ$4,0)))+SUMPRODUCT((Inputs!$C$5:$C$110=$B54)*Inputs!$D$5:$D$110*(((Inputs!$G$5:$G$110="moeda")+(Inputs!$G$5:$G$110="acoes"))*Inputs!$B$1+((Inputs!$G$5:$G$110&lt;&gt;"moeda")*(Inputs!$G$5:$G$110&lt;&gt;"acoes")))*INDEX(Inputs!$K$5:$AJ$110,0,MATCH(T$2,Inputs!$K$4:$AJ$4,0)))+SUMPRODUCT((Inputs!$E$5:$E$110=$B54)*Inputs!$F$5:$F$110*(((Inputs!$G$5:$G$110="moeda")+(Inputs!$G$5:$G$110="acoes"))*Inputs!$B$1+((Inputs!$G$5:$G$110&lt;&gt;"moeda")*(Inputs!$G$5:$G$110&lt;&gt;"acoes")))*INDEX(Inputs!$K$5:$AJ$110,0,MATCH(T$2,Inputs!$K$4:$AJ$4,0)))))</f>
        <v>1123</v>
      </c>
      <c r="U54" s="513">
        <f>IF(ISNA(MATCH(U$2,Inputs!$K$4:$AJ$4,0)),NA(),IF(SUMPRODUCT((Inputs!$A$5:$A$110=$B54)*ISNUMBER(INDEX(Inputs!$K$5:$AJ$110,0,MATCH(U$2,Inputs!$K$4:$AJ$4,0))))+SUMPRODUCT((Inputs!$C$5:$C$110=$B54)*ISNUMBER(INDEX(Inputs!$K$5:$AJ$110,0,MATCH(U$2,Inputs!$K$4:$AJ$4,0))))+SUMPRODUCT((Inputs!$E$5:$E$110=$B54)*ISNUMBER(INDEX(Inputs!$K$5:$AJ$110,0,MATCH(U$2,Inputs!$K$4:$AJ$4,0))))=0,NA(),SUMPRODUCT((Inputs!$A$5:$A$110=$B54)*Inputs!$B$5:$B$110*(((Inputs!$G$5:$G$110="moeda")+(Inputs!$G$5:$G$110="acoes"))*Inputs!$B$1+((Inputs!$G$5:$G$110&lt;&gt;"moeda")*(Inputs!$G$5:$G$110&lt;&gt;"acoes")))*INDEX(Inputs!$K$5:$AJ$110,0,MATCH(U$2,Inputs!$K$4:$AJ$4,0)))+SUMPRODUCT((Inputs!$C$5:$C$110=$B54)*Inputs!$D$5:$D$110*(((Inputs!$G$5:$G$110="moeda")+(Inputs!$G$5:$G$110="acoes"))*Inputs!$B$1+((Inputs!$G$5:$G$110&lt;&gt;"moeda")*(Inputs!$G$5:$G$110&lt;&gt;"acoes")))*INDEX(Inputs!$K$5:$AJ$110,0,MATCH(U$2,Inputs!$K$4:$AJ$4,0)))+SUMPRODUCT((Inputs!$E$5:$E$110=$B54)*Inputs!$F$5:$F$110*(((Inputs!$G$5:$G$110="moeda")+(Inputs!$G$5:$G$110="acoes"))*Inputs!$B$1+((Inputs!$G$5:$G$110&lt;&gt;"moeda")*(Inputs!$G$5:$G$110&lt;&gt;"acoes")))*INDEX(Inputs!$K$5:$AJ$110,0,MATCH(U$2,Inputs!$K$4:$AJ$4,0)))))</f>
        <v>1512</v>
      </c>
      <c r="V54" s="513">
        <f>IF(ISNA(MATCH(V$2,Inputs!$K$4:$AJ$4,0)),NA(),IF(SUMPRODUCT((Inputs!$A$5:$A$110=$B54)*ISNUMBER(INDEX(Inputs!$K$5:$AJ$110,0,MATCH(V$2,Inputs!$K$4:$AJ$4,0))))+SUMPRODUCT((Inputs!$C$5:$C$110=$B54)*ISNUMBER(INDEX(Inputs!$K$5:$AJ$110,0,MATCH(V$2,Inputs!$K$4:$AJ$4,0))))+SUMPRODUCT((Inputs!$E$5:$E$110=$B54)*ISNUMBER(INDEX(Inputs!$K$5:$AJ$110,0,MATCH(V$2,Inputs!$K$4:$AJ$4,0))))=0,NA(),SUMPRODUCT((Inputs!$A$5:$A$110=$B54)*Inputs!$B$5:$B$110*(((Inputs!$G$5:$G$110="moeda")+(Inputs!$G$5:$G$110="acoes"))*Inputs!$B$1+((Inputs!$G$5:$G$110&lt;&gt;"moeda")*(Inputs!$G$5:$G$110&lt;&gt;"acoes")))*INDEX(Inputs!$K$5:$AJ$110,0,MATCH(V$2,Inputs!$K$4:$AJ$4,0)))+SUMPRODUCT((Inputs!$C$5:$C$110=$B54)*Inputs!$D$5:$D$110*(((Inputs!$G$5:$G$110="moeda")+(Inputs!$G$5:$G$110="acoes"))*Inputs!$B$1+((Inputs!$G$5:$G$110&lt;&gt;"moeda")*(Inputs!$G$5:$G$110&lt;&gt;"acoes")))*INDEX(Inputs!$K$5:$AJ$110,0,MATCH(V$2,Inputs!$K$4:$AJ$4,0)))+SUMPRODUCT((Inputs!$E$5:$E$110=$B54)*Inputs!$F$5:$F$110*(((Inputs!$G$5:$G$110="moeda")+(Inputs!$G$5:$G$110="acoes"))*Inputs!$B$1+((Inputs!$G$5:$G$110&lt;&gt;"moeda")*(Inputs!$G$5:$G$110&lt;&gt;"acoes")))*INDEX(Inputs!$K$5:$AJ$110,0,MATCH(V$2,Inputs!$K$4:$AJ$4,0)))))</f>
        <v>1166</v>
      </c>
      <c r="W54" s="514">
        <f>SUM(S54:V54)</f>
        <v>4912</v>
      </c>
      <c r="X54" s="513">
        <f>IF(ISNA(MATCH(X$2,Inputs!$K$4:$AJ$4,0)),NA(),IF(SUMPRODUCT((Inputs!$A$5:$A$110=$B54)*ISNUMBER(INDEX(Inputs!$K$5:$AJ$110,0,MATCH(X$2,Inputs!$K$4:$AJ$4,0))))+SUMPRODUCT((Inputs!$C$5:$C$110=$B54)*ISNUMBER(INDEX(Inputs!$K$5:$AJ$110,0,MATCH(X$2,Inputs!$K$4:$AJ$4,0))))+SUMPRODUCT((Inputs!$E$5:$E$110=$B54)*ISNUMBER(INDEX(Inputs!$K$5:$AJ$110,0,MATCH(X$2,Inputs!$K$4:$AJ$4,0))))=0,NA(),SUMPRODUCT((Inputs!$A$5:$A$110=$B54)*Inputs!$B$5:$B$110*(((Inputs!$G$5:$G$110="moeda")+(Inputs!$G$5:$G$110="acoes"))*Inputs!$B$1+((Inputs!$G$5:$G$110&lt;&gt;"moeda")*(Inputs!$G$5:$G$110&lt;&gt;"acoes")))*INDEX(Inputs!$K$5:$AJ$110,0,MATCH(X$2,Inputs!$K$4:$AJ$4,0)))+SUMPRODUCT((Inputs!$C$5:$C$110=$B54)*Inputs!$D$5:$D$110*(((Inputs!$G$5:$G$110="moeda")+(Inputs!$G$5:$G$110="acoes"))*Inputs!$B$1+((Inputs!$G$5:$G$110&lt;&gt;"moeda")*(Inputs!$G$5:$G$110&lt;&gt;"acoes")))*INDEX(Inputs!$K$5:$AJ$110,0,MATCH(X$2,Inputs!$K$4:$AJ$4,0)))+SUMPRODUCT((Inputs!$E$5:$E$110=$B54)*Inputs!$F$5:$F$110*(((Inputs!$G$5:$G$110="moeda")+(Inputs!$G$5:$G$110="acoes"))*Inputs!$B$1+((Inputs!$G$5:$G$110&lt;&gt;"moeda")*(Inputs!$G$5:$G$110&lt;&gt;"acoes")))*INDEX(Inputs!$K$5:$AJ$110,0,MATCH(X$2,Inputs!$K$4:$AJ$4,0)))))</f>
        <v>1193</v>
      </c>
      <c r="Y54" s="513">
        <f>IF(ISNA(MATCH(Y$2,Inputs!$K$4:$AJ$4,0)),NA(),IF(SUMPRODUCT((Inputs!$A$5:$A$110=$B54)*ISNUMBER(INDEX(Inputs!$K$5:$AJ$110,0,MATCH(Y$2,Inputs!$K$4:$AJ$4,0))))+SUMPRODUCT((Inputs!$C$5:$C$110=$B54)*ISNUMBER(INDEX(Inputs!$K$5:$AJ$110,0,MATCH(Y$2,Inputs!$K$4:$AJ$4,0))))+SUMPRODUCT((Inputs!$E$5:$E$110=$B54)*ISNUMBER(INDEX(Inputs!$K$5:$AJ$110,0,MATCH(Y$2,Inputs!$K$4:$AJ$4,0))))=0,NA(),SUMPRODUCT((Inputs!$A$5:$A$110=$B54)*Inputs!$B$5:$B$110*(((Inputs!$G$5:$G$110="moeda")+(Inputs!$G$5:$G$110="acoes"))*Inputs!$B$1+((Inputs!$G$5:$G$110&lt;&gt;"moeda")*(Inputs!$G$5:$G$110&lt;&gt;"acoes")))*INDEX(Inputs!$K$5:$AJ$110,0,MATCH(Y$2,Inputs!$K$4:$AJ$4,0)))+SUMPRODUCT((Inputs!$C$5:$C$110=$B54)*Inputs!$D$5:$D$110*(((Inputs!$G$5:$G$110="moeda")+(Inputs!$G$5:$G$110="acoes"))*Inputs!$B$1+((Inputs!$G$5:$G$110&lt;&gt;"moeda")*(Inputs!$G$5:$G$110&lt;&gt;"acoes")))*INDEX(Inputs!$K$5:$AJ$110,0,MATCH(Y$2,Inputs!$K$4:$AJ$4,0)))+SUMPRODUCT((Inputs!$E$5:$E$110=$B54)*Inputs!$F$5:$F$110*(((Inputs!$G$5:$G$110="moeda")+(Inputs!$G$5:$G$110="acoes"))*Inputs!$B$1+((Inputs!$G$5:$G$110&lt;&gt;"moeda")*(Inputs!$G$5:$G$110&lt;&gt;"acoes")))*INDEX(Inputs!$K$5:$AJ$110,0,MATCH(Y$2,Inputs!$K$4:$AJ$4,0)))))</f>
        <v>1240</v>
      </c>
      <c r="Z54" s="513">
        <f>IF(ISNA(MATCH(Z$2,Inputs!$K$4:$AJ$4,0)),NA(),IF(SUMPRODUCT((Inputs!$A$5:$A$110=$B54)*ISNUMBER(INDEX(Inputs!$K$5:$AJ$110,0,MATCH(Z$2,Inputs!$K$4:$AJ$4,0))))+SUMPRODUCT((Inputs!$C$5:$C$110=$B54)*ISNUMBER(INDEX(Inputs!$K$5:$AJ$110,0,MATCH(Z$2,Inputs!$K$4:$AJ$4,0))))+SUMPRODUCT((Inputs!$E$5:$E$110=$B54)*ISNUMBER(INDEX(Inputs!$K$5:$AJ$110,0,MATCH(Z$2,Inputs!$K$4:$AJ$4,0))))=0,NA(),SUMPRODUCT((Inputs!$A$5:$A$110=$B54)*Inputs!$B$5:$B$110*(((Inputs!$G$5:$G$110="moeda")+(Inputs!$G$5:$G$110="acoes"))*Inputs!$B$1+((Inputs!$G$5:$G$110&lt;&gt;"moeda")*(Inputs!$G$5:$G$110&lt;&gt;"acoes")))*INDEX(Inputs!$K$5:$AJ$110,0,MATCH(Z$2,Inputs!$K$4:$AJ$4,0)))+SUMPRODUCT((Inputs!$C$5:$C$110=$B54)*Inputs!$D$5:$D$110*(((Inputs!$G$5:$G$110="moeda")+(Inputs!$G$5:$G$110="acoes"))*Inputs!$B$1+((Inputs!$G$5:$G$110&lt;&gt;"moeda")*(Inputs!$G$5:$G$110&lt;&gt;"acoes")))*INDEX(Inputs!$K$5:$AJ$110,0,MATCH(Z$2,Inputs!$K$4:$AJ$4,0)))+SUMPRODUCT((Inputs!$E$5:$E$110=$B54)*Inputs!$F$5:$F$110*(((Inputs!$G$5:$G$110="moeda")+(Inputs!$G$5:$G$110="acoes"))*Inputs!$B$1+((Inputs!$G$5:$G$110&lt;&gt;"moeda")*(Inputs!$G$5:$G$110&lt;&gt;"acoes")))*INDEX(Inputs!$K$5:$AJ$110,0,MATCH(Z$2,Inputs!$K$4:$AJ$4,0)))))</f>
        <v>1724</v>
      </c>
      <c r="AA54" s="513">
        <f>IF(ISNA(MATCH(AA$2,Inputs!$K$4:$AJ$4,0)),NA(),IF(SUMPRODUCT((Inputs!$A$5:$A$110=$B54)*ISNUMBER(INDEX(Inputs!$K$5:$AJ$110,0,MATCH(AA$2,Inputs!$K$4:$AJ$4,0))))+SUMPRODUCT((Inputs!$C$5:$C$110=$B54)*ISNUMBER(INDEX(Inputs!$K$5:$AJ$110,0,MATCH(AA$2,Inputs!$K$4:$AJ$4,0))))+SUMPRODUCT((Inputs!$E$5:$E$110=$B54)*ISNUMBER(INDEX(Inputs!$K$5:$AJ$110,0,MATCH(AA$2,Inputs!$K$4:$AJ$4,0))))=0,NA(),SUMPRODUCT((Inputs!$A$5:$A$110=$B54)*Inputs!$B$5:$B$110*(((Inputs!$G$5:$G$110="moeda")+(Inputs!$G$5:$G$110="acoes"))*Inputs!$B$1+((Inputs!$G$5:$G$110&lt;&gt;"moeda")*(Inputs!$G$5:$G$110&lt;&gt;"acoes")))*INDEX(Inputs!$K$5:$AJ$110,0,MATCH(AA$2,Inputs!$K$4:$AJ$4,0)))+SUMPRODUCT((Inputs!$C$5:$C$110=$B54)*Inputs!$D$5:$D$110*(((Inputs!$G$5:$G$110="moeda")+(Inputs!$G$5:$G$110="acoes"))*Inputs!$B$1+((Inputs!$G$5:$G$110&lt;&gt;"moeda")*(Inputs!$G$5:$G$110&lt;&gt;"acoes")))*INDEX(Inputs!$K$5:$AJ$110,0,MATCH(AA$2,Inputs!$K$4:$AJ$4,0)))+SUMPRODUCT((Inputs!$E$5:$E$110=$B54)*Inputs!$F$5:$F$110*(((Inputs!$G$5:$G$110="moeda")+(Inputs!$G$5:$G$110="acoes"))*Inputs!$B$1+((Inputs!$G$5:$G$110&lt;&gt;"moeda")*(Inputs!$G$5:$G$110&lt;&gt;"acoes")))*INDEX(Inputs!$K$5:$AJ$110,0,MATCH(AA$2,Inputs!$K$4:$AJ$4,0)))))</f>
        <v>1329</v>
      </c>
      <c r="AB54" s="514">
        <f>SUM(X54:AA54)</f>
        <v>5486</v>
      </c>
      <c r="AC54" s="513">
        <f>IF(ISNA(MATCH(AC$2,Inputs!$K$4:$AJ$4,0)),NA(),IF(SUMPRODUCT((Inputs!$A$5:$A$110=$B54)*ISNUMBER(INDEX(Inputs!$K$5:$AJ$110,0,MATCH(AC$2,Inputs!$K$4:$AJ$4,0))))+SUMPRODUCT((Inputs!$C$5:$C$110=$B54)*ISNUMBER(INDEX(Inputs!$K$5:$AJ$110,0,MATCH(AC$2,Inputs!$K$4:$AJ$4,0))))+SUMPRODUCT((Inputs!$E$5:$E$110=$B54)*ISNUMBER(INDEX(Inputs!$K$5:$AJ$110,0,MATCH(AC$2,Inputs!$K$4:$AJ$4,0))))=0,NA(),SUMPRODUCT((Inputs!$A$5:$A$110=$B54)*Inputs!$B$5:$B$110*(((Inputs!$G$5:$G$110="moeda")+(Inputs!$G$5:$G$110="acoes"))*Inputs!$B$1+((Inputs!$G$5:$G$110&lt;&gt;"moeda")*(Inputs!$G$5:$G$110&lt;&gt;"acoes")))*INDEX(Inputs!$K$5:$AJ$110,0,MATCH(AC$2,Inputs!$K$4:$AJ$4,0)))+SUMPRODUCT((Inputs!$C$5:$C$110=$B54)*Inputs!$D$5:$D$110*(((Inputs!$G$5:$G$110="moeda")+(Inputs!$G$5:$G$110="acoes"))*Inputs!$B$1+((Inputs!$G$5:$G$110&lt;&gt;"moeda")*(Inputs!$G$5:$G$110&lt;&gt;"acoes")))*INDEX(Inputs!$K$5:$AJ$110,0,MATCH(AC$2,Inputs!$K$4:$AJ$4,0)))+SUMPRODUCT((Inputs!$E$5:$E$110=$B54)*Inputs!$F$5:$F$110*(((Inputs!$G$5:$G$110="moeda")+(Inputs!$G$5:$G$110="acoes"))*Inputs!$B$1+((Inputs!$G$5:$G$110&lt;&gt;"moeda")*(Inputs!$G$5:$G$110&lt;&gt;"acoes")))*INDEX(Inputs!$K$5:$AJ$110,0,MATCH(AC$2,Inputs!$K$4:$AJ$4,0)))))</f>
        <v>1355</v>
      </c>
      <c r="AD54" s="513">
        <f>IF(ISNA(MATCH(AD$2,Inputs!$K$4:$AJ$4,0)),NA(),IF(SUMPRODUCT((Inputs!$A$5:$A$110=$B54)*ISNUMBER(INDEX(Inputs!$K$5:$AJ$110,0,MATCH(AD$2,Inputs!$K$4:$AJ$4,0))))+SUMPRODUCT((Inputs!$C$5:$C$110=$B54)*ISNUMBER(INDEX(Inputs!$K$5:$AJ$110,0,MATCH(AD$2,Inputs!$K$4:$AJ$4,0))))+SUMPRODUCT((Inputs!$E$5:$E$110=$B54)*ISNUMBER(INDEX(Inputs!$K$5:$AJ$110,0,MATCH(AD$2,Inputs!$K$4:$AJ$4,0))))=0,NA(),SUMPRODUCT((Inputs!$A$5:$A$110=$B54)*Inputs!$B$5:$B$110*(((Inputs!$G$5:$G$110="moeda")+(Inputs!$G$5:$G$110="acoes"))*Inputs!$B$1+((Inputs!$G$5:$G$110&lt;&gt;"moeda")*(Inputs!$G$5:$G$110&lt;&gt;"acoes")))*INDEX(Inputs!$K$5:$AJ$110,0,MATCH(AD$2,Inputs!$K$4:$AJ$4,0)))+SUMPRODUCT((Inputs!$C$5:$C$110=$B54)*Inputs!$D$5:$D$110*(((Inputs!$G$5:$G$110="moeda")+(Inputs!$G$5:$G$110="acoes"))*Inputs!$B$1+((Inputs!$G$5:$G$110&lt;&gt;"moeda")*(Inputs!$G$5:$G$110&lt;&gt;"acoes")))*INDEX(Inputs!$K$5:$AJ$110,0,MATCH(AD$2,Inputs!$K$4:$AJ$4,0)))+SUMPRODUCT((Inputs!$E$5:$E$110=$B54)*Inputs!$F$5:$F$110*(((Inputs!$G$5:$G$110="moeda")+(Inputs!$G$5:$G$110="acoes"))*Inputs!$B$1+((Inputs!$G$5:$G$110&lt;&gt;"moeda")*(Inputs!$G$5:$G$110&lt;&gt;"acoes")))*INDEX(Inputs!$K$5:$AJ$110,0,MATCH(AD$2,Inputs!$K$4:$AJ$4,0)))))</f>
        <v>1373</v>
      </c>
      <c r="AE54" s="513" t="e">
        <f>IF(ISNA(MATCH(AE$2,Inputs!$K$4:$AJ$4,0)),NA(),IF(SUMPRODUCT((Inputs!$A$5:$A$110=$B54)*ISNUMBER(INDEX(Inputs!$K$5:$AJ$110,0,MATCH(AE$2,Inputs!$K$4:$AJ$4,0))))+SUMPRODUCT((Inputs!$C$5:$C$110=$B54)*ISNUMBER(INDEX(Inputs!$K$5:$AJ$110,0,MATCH(AE$2,Inputs!$K$4:$AJ$4,0))))+SUMPRODUCT((Inputs!$E$5:$E$110=$B54)*ISNUMBER(INDEX(Inputs!$K$5:$AJ$110,0,MATCH(AE$2,Inputs!$K$4:$AJ$4,0))))=0,NA(),SUMPRODUCT((Inputs!$A$5:$A$110=$B54)*Inputs!$B$5:$B$110*(((Inputs!$G$5:$G$110="moeda")+(Inputs!$G$5:$G$110="acoes"))*Inputs!$B$1+((Inputs!$G$5:$G$110&lt;&gt;"moeda")*(Inputs!$G$5:$G$110&lt;&gt;"acoes")))*INDEX(Inputs!$K$5:$AJ$110,0,MATCH(AE$2,Inputs!$K$4:$AJ$4,0)))+SUMPRODUCT((Inputs!$C$5:$C$110=$B54)*Inputs!$D$5:$D$110*(((Inputs!$G$5:$G$110="moeda")+(Inputs!$G$5:$G$110="acoes"))*Inputs!$B$1+((Inputs!$G$5:$G$110&lt;&gt;"moeda")*(Inputs!$G$5:$G$110&lt;&gt;"acoes")))*INDEX(Inputs!$K$5:$AJ$110,0,MATCH(AE$2,Inputs!$K$4:$AJ$4,0)))+SUMPRODUCT((Inputs!$E$5:$E$110=$B54)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4" s="513" t="e">
        <f>IF(ISNA(MATCH(AF$2,Inputs!$K$4:$AJ$4,0)),NA(),IF(SUMPRODUCT((Inputs!$A$5:$A$110=$B54)*ISNUMBER(INDEX(Inputs!$K$5:$AJ$110,0,MATCH(AF$2,Inputs!$K$4:$AJ$4,0))))+SUMPRODUCT((Inputs!$C$5:$C$110=$B54)*ISNUMBER(INDEX(Inputs!$K$5:$AJ$110,0,MATCH(AF$2,Inputs!$K$4:$AJ$4,0))))+SUMPRODUCT((Inputs!$E$5:$E$110=$B54)*ISNUMBER(INDEX(Inputs!$K$5:$AJ$110,0,MATCH(AF$2,Inputs!$K$4:$AJ$4,0))))=0,NA(),SUMPRODUCT((Inputs!$A$5:$A$110=$B54)*Inputs!$B$5:$B$110*(((Inputs!$G$5:$G$110="moeda")+(Inputs!$G$5:$G$110="acoes"))*Inputs!$B$1+((Inputs!$G$5:$G$110&lt;&gt;"moeda")*(Inputs!$G$5:$G$110&lt;&gt;"acoes")))*INDEX(Inputs!$K$5:$AJ$110,0,MATCH(AF$2,Inputs!$K$4:$AJ$4,0)))+SUMPRODUCT((Inputs!$C$5:$C$110=$B54)*Inputs!$D$5:$D$110*(((Inputs!$G$5:$G$110="moeda")+(Inputs!$G$5:$G$110="acoes"))*Inputs!$B$1+((Inputs!$G$5:$G$110&lt;&gt;"moeda")*(Inputs!$G$5:$G$110&lt;&gt;"acoes")))*INDEX(Inputs!$K$5:$AJ$110,0,MATCH(AF$2,Inputs!$K$4:$AJ$4,0)))+SUMPRODUCT((Inputs!$E$5:$E$110=$B54)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4" s="514" t="e">
        <f>SUM(AC54:AF54)</f>
        <v>#N/A</v>
      </c>
      <c r="AH54" s="513">
        <f>IF(ISNA(MATCH(AH$2,Inputs!$K$4:$AJ$4,0)),NA(),IF(SUMPRODUCT((Inputs!$A$5:$A$110=$B54)*ISNUMBER(INDEX(Inputs!$K$5:$AJ$110,0,MATCH(AH$2,Inputs!$K$4:$AJ$4,0))))+SUMPRODUCT((Inputs!$C$5:$C$110=$B54)*ISNUMBER(INDEX(Inputs!$K$5:$AJ$110,0,MATCH(AH$2,Inputs!$K$4:$AJ$4,0))))+SUMPRODUCT((Inputs!$E$5:$E$110=$B54)*ISNUMBER(INDEX(Inputs!$K$5:$AJ$110,0,MATCH(AH$2,Inputs!$K$4:$AJ$4,0))))=0,NA(),SUMPRODUCT((Inputs!$A$5:$A$110=$B54)*Inputs!$B$5:$B$110*(((Inputs!$G$5:$G$110="moeda")+(Inputs!$G$5:$G$110="acoes"))*Inputs!$B$1+((Inputs!$G$5:$G$110&lt;&gt;"moeda")*(Inputs!$G$5:$G$110&lt;&gt;"acoes")))*INDEX(Inputs!$K$5:$AJ$110,0,MATCH(AH$2,Inputs!$K$4:$AJ$4,0)))+SUMPRODUCT((Inputs!$C$5:$C$110=$B54)*Inputs!$D$5:$D$110*(((Inputs!$G$5:$G$110="moeda")+(Inputs!$G$5:$G$110="acoes"))*Inputs!$B$1+((Inputs!$G$5:$G$110&lt;&gt;"moeda")*(Inputs!$G$5:$G$110&lt;&gt;"acoes")))*INDEX(Inputs!$K$5:$AJ$110,0,MATCH(AH$2,Inputs!$K$4:$AJ$4,0)))+SUMPRODUCT((Inputs!$E$5:$E$110=$B54)*Inputs!$F$5:$F$110*(((Inputs!$G$5:$G$110="moeda")+(Inputs!$G$5:$G$110="acoes"))*Inputs!$B$1+((Inputs!$G$5:$G$110&lt;&gt;"moeda")*(Inputs!$G$5:$G$110&lt;&gt;"acoes")))*INDEX(Inputs!$K$5:$AJ$110,0,MATCH(AH$2,Inputs!$K$4:$AJ$4,0)))))</f>
        <v>816</v>
      </c>
      <c r="AI54" s="513">
        <f>IF(ISNA(MATCH(AI$2,Inputs!$K$4:$AJ$4,0)),NA(),IF(SUMPRODUCT((Inputs!$A$5:$A$110=$B54)*ISNUMBER(INDEX(Inputs!$K$5:$AJ$110,0,MATCH(AI$2,Inputs!$K$4:$AJ$4,0))))+SUMPRODUCT((Inputs!$C$5:$C$110=$B54)*ISNUMBER(INDEX(Inputs!$K$5:$AJ$110,0,MATCH(AI$2,Inputs!$K$4:$AJ$4,0))))+SUMPRODUCT((Inputs!$E$5:$E$110=$B54)*ISNUMBER(INDEX(Inputs!$K$5:$AJ$110,0,MATCH(AI$2,Inputs!$K$4:$AJ$4,0))))=0,NA(),SUMPRODUCT((Inputs!$A$5:$A$110=$B54)*Inputs!$B$5:$B$110*(((Inputs!$G$5:$G$110="moeda")+(Inputs!$G$5:$G$110="acoes"))*Inputs!$B$1+((Inputs!$G$5:$G$110&lt;&gt;"moeda")*(Inputs!$G$5:$G$110&lt;&gt;"acoes")))*INDEX(Inputs!$K$5:$AJ$110,0,MATCH(AI$2,Inputs!$K$4:$AJ$4,0)))+SUMPRODUCT((Inputs!$C$5:$C$110=$B54)*Inputs!$D$5:$D$110*(((Inputs!$G$5:$G$110="moeda")+(Inputs!$G$5:$G$110="acoes"))*Inputs!$B$1+((Inputs!$G$5:$G$110&lt;&gt;"moeda")*(Inputs!$G$5:$G$110&lt;&gt;"acoes")))*INDEX(Inputs!$K$5:$AJ$110,0,MATCH(AI$2,Inputs!$K$4:$AJ$4,0)))+SUMPRODUCT((Inputs!$E$5:$E$110=$B54)*Inputs!$F$5:$F$110*(((Inputs!$G$5:$G$110="moeda")+(Inputs!$G$5:$G$110="acoes"))*Inputs!$B$1+((Inputs!$G$5:$G$110&lt;&gt;"moeda")*(Inputs!$G$5:$G$110&lt;&gt;"acoes")))*INDEX(Inputs!$K$5:$AJ$110,0,MATCH(AI$2,Inputs!$K$4:$AJ$4,0)))))</f>
        <v>815</v>
      </c>
      <c r="AJ54" s="513">
        <f>IF(ISNA(MATCH(AJ$2,Inputs!$K$4:$AJ$4,0)),NA(),IF(SUMPRODUCT((Inputs!$A$5:$A$110=$B54)*ISNUMBER(INDEX(Inputs!$K$5:$AJ$110,0,MATCH(AJ$2,Inputs!$K$4:$AJ$4,0))))+SUMPRODUCT((Inputs!$C$5:$C$110=$B54)*ISNUMBER(INDEX(Inputs!$K$5:$AJ$110,0,MATCH(AJ$2,Inputs!$K$4:$AJ$4,0))))+SUMPRODUCT((Inputs!$E$5:$E$110=$B54)*ISNUMBER(INDEX(Inputs!$K$5:$AJ$110,0,MATCH(AJ$2,Inputs!$K$4:$AJ$4,0))))=0,NA(),SUMPRODUCT((Inputs!$A$5:$A$110=$B54)*Inputs!$B$5:$B$110*(((Inputs!$G$5:$G$110="moeda")+(Inputs!$G$5:$G$110="acoes"))*Inputs!$B$1+((Inputs!$G$5:$G$110&lt;&gt;"moeda")*(Inputs!$G$5:$G$110&lt;&gt;"acoes")))*INDEX(Inputs!$K$5:$AJ$110,0,MATCH(AJ$2,Inputs!$K$4:$AJ$4,0)))+SUMPRODUCT((Inputs!$C$5:$C$110=$B54)*Inputs!$D$5:$D$110*(((Inputs!$G$5:$G$110="moeda")+(Inputs!$G$5:$G$110="acoes"))*Inputs!$B$1+((Inputs!$G$5:$G$110&lt;&gt;"moeda")*(Inputs!$G$5:$G$110&lt;&gt;"acoes")))*INDEX(Inputs!$K$5:$AJ$110,0,MATCH(AJ$2,Inputs!$K$4:$AJ$4,0)))+SUMPRODUCT((Inputs!$E$5:$E$110=$B54)*Inputs!$F$5:$F$110*(((Inputs!$G$5:$G$110="moeda")+(Inputs!$G$5:$G$110="acoes"))*Inputs!$B$1+((Inputs!$G$5:$G$110&lt;&gt;"moeda")*(Inputs!$G$5:$G$110&lt;&gt;"acoes")))*INDEX(Inputs!$K$5:$AJ$110,0,MATCH(AJ$2,Inputs!$K$4:$AJ$4,0)))))</f>
        <v>1106</v>
      </c>
      <c r="AK54" s="513">
        <f>IF(ISNA(MATCH(AK$2,Inputs!$K$4:$AJ$4,0)),NA(),IF(SUMPRODUCT((Inputs!$A$5:$A$110=$B54)*ISNUMBER(INDEX(Inputs!$K$5:$AJ$110,0,MATCH(AK$2,Inputs!$K$4:$AJ$4,0))))+SUMPRODUCT((Inputs!$C$5:$C$110=$B54)*ISNUMBER(INDEX(Inputs!$K$5:$AJ$110,0,MATCH(AK$2,Inputs!$K$4:$AJ$4,0))))+SUMPRODUCT((Inputs!$E$5:$E$110=$B54)*ISNUMBER(INDEX(Inputs!$K$5:$AJ$110,0,MATCH(AK$2,Inputs!$K$4:$AJ$4,0))))=0,NA(),SUMPRODUCT((Inputs!$A$5:$A$110=$B54)*Inputs!$B$5:$B$110*(((Inputs!$G$5:$G$110="moeda")+(Inputs!$G$5:$G$110="acoes"))*Inputs!$B$1+((Inputs!$G$5:$G$110&lt;&gt;"moeda")*(Inputs!$G$5:$G$110&lt;&gt;"acoes")))*INDEX(Inputs!$K$5:$AJ$110,0,MATCH(AK$2,Inputs!$K$4:$AJ$4,0)))+SUMPRODUCT((Inputs!$C$5:$C$110=$B54)*Inputs!$D$5:$D$110*(((Inputs!$G$5:$G$110="moeda")+(Inputs!$G$5:$G$110="acoes"))*Inputs!$B$1+((Inputs!$G$5:$G$110&lt;&gt;"moeda")*(Inputs!$G$5:$G$110&lt;&gt;"acoes")))*INDEX(Inputs!$K$5:$AJ$110,0,MATCH(AK$2,Inputs!$K$4:$AJ$4,0)))+SUMPRODUCT((Inputs!$E$5:$E$110=$B54)*Inputs!$F$5:$F$110*(((Inputs!$G$5:$G$110="moeda")+(Inputs!$G$5:$G$110="acoes"))*Inputs!$B$1+((Inputs!$G$5:$G$110&lt;&gt;"moeda")*(Inputs!$G$5:$G$110&lt;&gt;"acoes")))*INDEX(Inputs!$K$5:$AJ$110,0,MATCH(AK$2,Inputs!$K$4:$AJ$4,0)))))</f>
        <v>861</v>
      </c>
      <c r="AL54" s="514">
        <f>SUM(AH54:AK54)</f>
        <v>3598</v>
      </c>
    </row>
    <row r="55">
      <c r="B55" s="265" t="n">
        <v>47</v>
      </c>
      <c r="C55" s="266" t="inlineStr">
        <is>
          <t>Receita EUA (USD)</t>
        </is>
      </c>
      <c r="D55" s="513">
        <f>IF(ISNA(MATCH(D$2,Inputs!$K$4:$AJ$4,0)),NA(),IF(SUMPRODUCT((Inputs!$A$5:$A$110=$B55)*ISNUMBER(INDEX(Inputs!$K$5:$AJ$110,0,MATCH(D$2,Inputs!$K$4:$AJ$4,0))))+SUMPRODUCT((Inputs!$C$5:$C$110=$B55)*ISNUMBER(INDEX(Inputs!$K$5:$AJ$110,0,MATCH(D$2,Inputs!$K$4:$AJ$4,0))))+SUMPRODUCT((Inputs!$E$5:$E$110=$B55)*ISNUMBER(INDEX(Inputs!$K$5:$AJ$110,0,MATCH(D$2,Inputs!$K$4:$AJ$4,0))))=0,NA(),SUMPRODUCT((Inputs!$A$5:$A$110=$B55)*Inputs!$B$5:$B$110*(((Inputs!$G$5:$G$110="moeda")+(Inputs!$G$5:$G$110="acoes"))*Inputs!$B$1+((Inputs!$G$5:$G$110&lt;&gt;"moeda")*(Inputs!$G$5:$G$110&lt;&gt;"acoes")))*INDEX(Inputs!$K$5:$AJ$110,0,MATCH(D$2,Inputs!$K$4:$AJ$4,0)))+SUMPRODUCT((Inputs!$C$5:$C$110=$B55)*Inputs!$D$5:$D$110*(((Inputs!$G$5:$G$110="moeda")+(Inputs!$G$5:$G$110="acoes"))*Inputs!$B$1+((Inputs!$G$5:$G$110&lt;&gt;"moeda")*(Inputs!$G$5:$G$110&lt;&gt;"acoes")))*INDEX(Inputs!$K$5:$AJ$110,0,MATCH(D$2,Inputs!$K$4:$AJ$4,0)))+SUMPRODUCT((Inputs!$E$5:$E$110=$B55)*Inputs!$F$5:$F$110*(((Inputs!$G$5:$G$110="moeda")+(Inputs!$G$5:$G$110="acoes"))*Inputs!$B$1+((Inputs!$G$5:$G$110&lt;&gt;"moeda")*(Inputs!$G$5:$G$110&lt;&gt;"acoes")))*INDEX(Inputs!$K$5:$AJ$110,0,MATCH(D$2,Inputs!$K$4:$AJ$4,0)))))</f>
        <v>32127</v>
      </c>
      <c r="E55" s="513">
        <f>IF(ISNA(MATCH(E$2,Inputs!$K$4:$AJ$4,0)),NA(),IF(SUMPRODUCT((Inputs!$A$5:$A$110=$B55)*ISNUMBER(INDEX(Inputs!$K$5:$AJ$110,0,MATCH(E$2,Inputs!$K$4:$AJ$4,0))))+SUMPRODUCT((Inputs!$C$5:$C$110=$B55)*ISNUMBER(INDEX(Inputs!$K$5:$AJ$110,0,MATCH(E$2,Inputs!$K$4:$AJ$4,0))))+SUMPRODUCT((Inputs!$E$5:$E$110=$B55)*ISNUMBER(INDEX(Inputs!$K$5:$AJ$110,0,MATCH(E$2,Inputs!$K$4:$AJ$4,0))))=0,NA(),SUMPRODUCT((Inputs!$A$5:$A$110=$B55)*Inputs!$B$5:$B$110*(((Inputs!$G$5:$G$110="moeda")+(Inputs!$G$5:$G$110="acoes"))*Inputs!$B$1+((Inputs!$G$5:$G$110&lt;&gt;"moeda")*(Inputs!$G$5:$G$110&lt;&gt;"acoes")))*INDEX(Inputs!$K$5:$AJ$110,0,MATCH(E$2,Inputs!$K$4:$AJ$4,0)))+SUMPRODUCT((Inputs!$C$5:$C$110=$B55)*Inputs!$D$5:$D$110*(((Inputs!$G$5:$G$110="moeda")+(Inputs!$G$5:$G$110="acoes"))*Inputs!$B$1+((Inputs!$G$5:$G$110&lt;&gt;"moeda")*(Inputs!$G$5:$G$110&lt;&gt;"acoes")))*INDEX(Inputs!$K$5:$AJ$110,0,MATCH(E$2,Inputs!$K$4:$AJ$4,0)))+SUMPRODUCT((Inputs!$E$5:$E$110=$B55)*Inputs!$F$5:$F$110*(((Inputs!$G$5:$G$110="moeda")+(Inputs!$G$5:$G$110="acoes"))*Inputs!$B$1+((Inputs!$G$5:$G$110&lt;&gt;"moeda")*(Inputs!$G$5:$G$110&lt;&gt;"acoes")))*INDEX(Inputs!$K$5:$AJ$110,0,MATCH(E$2,Inputs!$K$4:$AJ$4,0)))))</f>
        <v>32759</v>
      </c>
      <c r="F55" s="513">
        <f>IF(ISNA(MATCH(F$2,Inputs!$K$4:$AJ$4,0)),NA(),IF(SUMPRODUCT((Inputs!$A$5:$A$110=$B55)*ISNUMBER(INDEX(Inputs!$K$5:$AJ$110,0,MATCH(F$2,Inputs!$K$4:$AJ$4,0))))+SUMPRODUCT((Inputs!$C$5:$C$110=$B55)*ISNUMBER(INDEX(Inputs!$K$5:$AJ$110,0,MATCH(F$2,Inputs!$K$4:$AJ$4,0))))+SUMPRODUCT((Inputs!$E$5:$E$110=$B55)*ISNUMBER(INDEX(Inputs!$K$5:$AJ$110,0,MATCH(F$2,Inputs!$K$4:$AJ$4,0))))=0,NA(),SUMPRODUCT((Inputs!$A$5:$A$110=$B55)*Inputs!$B$5:$B$110*(((Inputs!$G$5:$G$110="moeda")+(Inputs!$G$5:$G$110="acoes"))*Inputs!$B$1+((Inputs!$G$5:$G$110&lt;&gt;"moeda")*(Inputs!$G$5:$G$110&lt;&gt;"acoes")))*INDEX(Inputs!$K$5:$AJ$110,0,MATCH(F$2,Inputs!$K$4:$AJ$4,0)))+SUMPRODUCT((Inputs!$C$5:$C$110=$B55)*Inputs!$D$5:$D$110*(((Inputs!$G$5:$G$110="moeda")+(Inputs!$G$5:$G$110="acoes"))*Inputs!$B$1+((Inputs!$G$5:$G$110&lt;&gt;"moeda")*(Inputs!$G$5:$G$110&lt;&gt;"acoes")))*INDEX(Inputs!$K$5:$AJ$110,0,MATCH(F$2,Inputs!$K$4:$AJ$4,0)))+SUMPRODUCT((Inputs!$E$5:$E$110=$B55)*Inputs!$F$5:$F$110*(((Inputs!$G$5:$G$110="moeda")+(Inputs!$G$5:$G$110="acoes"))*Inputs!$B$1+((Inputs!$G$5:$G$110&lt;&gt;"moeda")*(Inputs!$G$5:$G$110&lt;&gt;"acoes")))*INDEX(Inputs!$K$5:$AJ$110,0,MATCH(F$2,Inputs!$K$4:$AJ$4,0)))))</f>
        <v>45220</v>
      </c>
      <c r="G55" s="513">
        <f>IF(ISNA(MATCH(G$2,Inputs!$K$4:$AJ$4,0)),NA(),IF(SUMPRODUCT((Inputs!$A$5:$A$110=$B55)*ISNUMBER(INDEX(Inputs!$K$5:$AJ$110,0,MATCH(G$2,Inputs!$K$4:$AJ$4,0))))+SUMPRODUCT((Inputs!$C$5:$C$110=$B55)*ISNUMBER(INDEX(Inputs!$K$5:$AJ$110,0,MATCH(G$2,Inputs!$K$4:$AJ$4,0))))+SUMPRODUCT((Inputs!$E$5:$E$110=$B55)*ISNUMBER(INDEX(Inputs!$K$5:$AJ$110,0,MATCH(G$2,Inputs!$K$4:$AJ$4,0))))=0,NA(),SUMPRODUCT((Inputs!$A$5:$A$110=$B55)*Inputs!$B$5:$B$110*(((Inputs!$G$5:$G$110="moeda")+(Inputs!$G$5:$G$110="acoes"))*Inputs!$B$1+((Inputs!$G$5:$G$110&lt;&gt;"moeda")*(Inputs!$G$5:$G$110&lt;&gt;"acoes")))*INDEX(Inputs!$K$5:$AJ$110,0,MATCH(G$2,Inputs!$K$4:$AJ$4,0)))+SUMPRODUCT((Inputs!$C$5:$C$110=$B55)*Inputs!$D$5:$D$110*(((Inputs!$G$5:$G$110="moeda")+(Inputs!$G$5:$G$110="acoes"))*Inputs!$B$1+((Inputs!$G$5:$G$110&lt;&gt;"moeda")*(Inputs!$G$5:$G$110&lt;&gt;"acoes")))*INDEX(Inputs!$K$5:$AJ$110,0,MATCH(G$2,Inputs!$K$4:$AJ$4,0)))+SUMPRODUCT((Inputs!$E$5:$E$110=$B55)*Inputs!$F$5:$F$110*(((Inputs!$G$5:$G$110="moeda")+(Inputs!$G$5:$G$110="acoes"))*Inputs!$B$1+((Inputs!$G$5:$G$110&lt;&gt;"moeda")*(Inputs!$G$5:$G$110&lt;&gt;"acoes")))*INDEX(Inputs!$K$5:$AJ$110,0,MATCH(G$2,Inputs!$K$4:$AJ$4,0)))))</f>
        <v>36317</v>
      </c>
      <c r="H55" s="514">
        <f>SUM(D55:G55)</f>
        <v>146423</v>
      </c>
      <c r="I55" s="513">
        <f>IF(ISNA(MATCH(I$2,Inputs!$K$4:$AJ$4,0)),NA(),IF(SUMPRODUCT((Inputs!$A$5:$A$110=$B55)*ISNUMBER(INDEX(Inputs!$K$5:$AJ$110,0,MATCH(I$2,Inputs!$K$4:$AJ$4,0))))+SUMPRODUCT((Inputs!$C$5:$C$110=$B55)*ISNUMBER(INDEX(Inputs!$K$5:$AJ$110,0,MATCH(I$2,Inputs!$K$4:$AJ$4,0))))+SUMPRODUCT((Inputs!$E$5:$E$110=$B55)*ISNUMBER(INDEX(Inputs!$K$5:$AJ$110,0,MATCH(I$2,Inputs!$K$4:$AJ$4,0))))=0,NA(),SUMPRODUCT((Inputs!$A$5:$A$110=$B55)*Inputs!$B$5:$B$110*(((Inputs!$G$5:$G$110="moeda")+(Inputs!$G$5:$G$110="acoes"))*Inputs!$B$1+((Inputs!$G$5:$G$110&lt;&gt;"moeda")*(Inputs!$G$5:$G$110&lt;&gt;"acoes")))*INDEX(Inputs!$K$5:$AJ$110,0,MATCH(I$2,Inputs!$K$4:$AJ$4,0)))+SUMPRODUCT((Inputs!$C$5:$C$110=$B55)*Inputs!$D$5:$D$110*(((Inputs!$G$5:$G$110="moeda")+(Inputs!$G$5:$G$110="acoes"))*Inputs!$B$1+((Inputs!$G$5:$G$110&lt;&gt;"moeda")*(Inputs!$G$5:$G$110&lt;&gt;"acoes")))*INDEX(Inputs!$K$5:$AJ$110,0,MATCH(I$2,Inputs!$K$4:$AJ$4,0)))+SUMPRODUCT((Inputs!$E$5:$E$110=$B55)*Inputs!$F$5:$F$110*(((Inputs!$G$5:$G$110="moeda")+(Inputs!$G$5:$G$110="acoes"))*Inputs!$B$1+((Inputs!$G$5:$G$110&lt;&gt;"moeda")*(Inputs!$G$5:$G$110&lt;&gt;"acoes")))*INDEX(Inputs!$K$5:$AJ$110,0,MATCH(I$2,Inputs!$K$4:$AJ$4,0)))))</f>
        <v>37567</v>
      </c>
      <c r="J55" s="513">
        <f>IF(ISNA(MATCH(J$2,Inputs!$K$4:$AJ$4,0)),NA(),IF(SUMPRODUCT((Inputs!$A$5:$A$110=$B55)*ISNUMBER(INDEX(Inputs!$K$5:$AJ$110,0,MATCH(J$2,Inputs!$K$4:$AJ$4,0))))+SUMPRODUCT((Inputs!$C$5:$C$110=$B55)*ISNUMBER(INDEX(Inputs!$K$5:$AJ$110,0,MATCH(J$2,Inputs!$K$4:$AJ$4,0))))+SUMPRODUCT((Inputs!$E$5:$E$110=$B55)*ISNUMBER(INDEX(Inputs!$K$5:$AJ$110,0,MATCH(J$2,Inputs!$K$4:$AJ$4,0))))=0,NA(),SUMPRODUCT((Inputs!$A$5:$A$110=$B55)*Inputs!$B$5:$B$110*(((Inputs!$G$5:$G$110="moeda")+(Inputs!$G$5:$G$110="acoes"))*Inputs!$B$1+((Inputs!$G$5:$G$110&lt;&gt;"moeda")*(Inputs!$G$5:$G$110&lt;&gt;"acoes")))*INDEX(Inputs!$K$5:$AJ$110,0,MATCH(J$2,Inputs!$K$4:$AJ$4,0)))+SUMPRODUCT((Inputs!$C$5:$C$110=$B55)*Inputs!$D$5:$D$110*(((Inputs!$G$5:$G$110="moeda")+(Inputs!$G$5:$G$110="acoes"))*Inputs!$B$1+((Inputs!$G$5:$G$110&lt;&gt;"moeda")*(Inputs!$G$5:$G$110&lt;&gt;"acoes")))*INDEX(Inputs!$K$5:$AJ$110,0,MATCH(J$2,Inputs!$K$4:$AJ$4,0)))+SUMPRODUCT((Inputs!$E$5:$E$110=$B55)*Inputs!$F$5:$F$110*(((Inputs!$G$5:$G$110="moeda")+(Inputs!$G$5:$G$110="acoes"))*Inputs!$B$1+((Inputs!$G$5:$G$110&lt;&gt;"moeda")*(Inputs!$G$5:$G$110&lt;&gt;"acoes")))*INDEX(Inputs!$K$5:$AJ$110,0,MATCH(J$2,Inputs!$K$4:$AJ$4,0)))))</f>
        <v>38534</v>
      </c>
      <c r="K55" s="513">
        <f>IF(ISNA(MATCH(K$2,Inputs!$K$4:$AJ$4,0)),NA(),IF(SUMPRODUCT((Inputs!$A$5:$A$110=$B55)*ISNUMBER(INDEX(Inputs!$K$5:$AJ$110,0,MATCH(K$2,Inputs!$K$4:$AJ$4,0))))+SUMPRODUCT((Inputs!$C$5:$C$110=$B55)*ISNUMBER(INDEX(Inputs!$K$5:$AJ$110,0,MATCH(K$2,Inputs!$K$4:$AJ$4,0))))+SUMPRODUCT((Inputs!$E$5:$E$110=$B55)*ISNUMBER(INDEX(Inputs!$K$5:$AJ$110,0,MATCH(K$2,Inputs!$K$4:$AJ$4,0))))=0,NA(),SUMPRODUCT((Inputs!$A$5:$A$110=$B55)*Inputs!$B$5:$B$110*(((Inputs!$G$5:$G$110="moeda")+(Inputs!$G$5:$G$110="acoes"))*Inputs!$B$1+((Inputs!$G$5:$G$110&lt;&gt;"moeda")*(Inputs!$G$5:$G$110&lt;&gt;"acoes")))*INDEX(Inputs!$K$5:$AJ$110,0,MATCH(K$2,Inputs!$K$4:$AJ$4,0)))+SUMPRODUCT((Inputs!$C$5:$C$110=$B55)*Inputs!$D$5:$D$110*(((Inputs!$G$5:$G$110="moeda")+(Inputs!$G$5:$G$110="acoes"))*Inputs!$B$1+((Inputs!$G$5:$G$110&lt;&gt;"moeda")*(Inputs!$G$5:$G$110&lt;&gt;"acoes")))*INDEX(Inputs!$K$5:$AJ$110,0,MATCH(K$2,Inputs!$K$4:$AJ$4,0)))+SUMPRODUCT((Inputs!$E$5:$E$110=$B55)*Inputs!$F$5:$F$110*(((Inputs!$G$5:$G$110="moeda")+(Inputs!$G$5:$G$110="acoes"))*Inputs!$B$1+((Inputs!$G$5:$G$110&lt;&gt;"moeda")*(Inputs!$G$5:$G$110&lt;&gt;"acoes")))*INDEX(Inputs!$K$5:$AJ$110,0,MATCH(K$2,Inputs!$K$4:$AJ$4,0)))))</f>
        <v>52876</v>
      </c>
      <c r="L55" s="513">
        <f>IF(ISNA(MATCH(L$2,Inputs!$K$4:$AJ$4,0)),NA(),IF(SUMPRODUCT((Inputs!$A$5:$A$110=$B55)*ISNUMBER(INDEX(Inputs!$K$5:$AJ$110,0,MATCH(L$2,Inputs!$K$4:$AJ$4,0))))+SUMPRODUCT((Inputs!$C$5:$C$110=$B55)*ISNUMBER(INDEX(Inputs!$K$5:$AJ$110,0,MATCH(L$2,Inputs!$K$4:$AJ$4,0))))+SUMPRODUCT((Inputs!$E$5:$E$110=$B55)*ISNUMBER(INDEX(Inputs!$K$5:$AJ$110,0,MATCH(L$2,Inputs!$K$4:$AJ$4,0))))=0,NA(),SUMPRODUCT((Inputs!$A$5:$A$110=$B55)*Inputs!$B$5:$B$110*(((Inputs!$G$5:$G$110="moeda")+(Inputs!$G$5:$G$110="acoes"))*Inputs!$B$1+((Inputs!$G$5:$G$110&lt;&gt;"moeda")*(Inputs!$G$5:$G$110&lt;&gt;"acoes")))*INDEX(Inputs!$K$5:$AJ$110,0,MATCH(L$2,Inputs!$K$4:$AJ$4,0)))+SUMPRODUCT((Inputs!$C$5:$C$110=$B55)*Inputs!$D$5:$D$110*(((Inputs!$G$5:$G$110="moeda")+(Inputs!$G$5:$G$110="acoes"))*Inputs!$B$1+((Inputs!$G$5:$G$110&lt;&gt;"moeda")*(Inputs!$G$5:$G$110&lt;&gt;"acoes")))*INDEX(Inputs!$K$5:$AJ$110,0,MATCH(L$2,Inputs!$K$4:$AJ$4,0)))+SUMPRODUCT((Inputs!$E$5:$E$110=$B55)*Inputs!$F$5:$F$110*(((Inputs!$G$5:$G$110="moeda")+(Inputs!$G$5:$G$110="acoes"))*Inputs!$B$1+((Inputs!$G$5:$G$110&lt;&gt;"moeda")*(Inputs!$G$5:$G$110&lt;&gt;"acoes")))*INDEX(Inputs!$K$5:$AJ$110,0,MATCH(L$2,Inputs!$K$4:$AJ$4,0)))))</f>
        <v>40145</v>
      </c>
      <c r="M55" s="514">
        <f>SUM(I55:L55)</f>
        <v>169122</v>
      </c>
      <c r="N55" s="513">
        <f>IF(ISNA(MATCH(N$2,Inputs!$K$4:$AJ$4,0)),NA(),IF(SUMPRODUCT((Inputs!$A$5:$A$110=$B55)*ISNUMBER(INDEX(Inputs!$K$5:$AJ$110,0,MATCH(N$2,Inputs!$K$4:$AJ$4,0))))+SUMPRODUCT((Inputs!$C$5:$C$110=$B55)*ISNUMBER(INDEX(Inputs!$K$5:$AJ$110,0,MATCH(N$2,Inputs!$K$4:$AJ$4,0))))+SUMPRODUCT((Inputs!$E$5:$E$110=$B55)*ISNUMBER(INDEX(Inputs!$K$5:$AJ$110,0,MATCH(N$2,Inputs!$K$4:$AJ$4,0))))=0,NA(),SUMPRODUCT((Inputs!$A$5:$A$110=$B55)*Inputs!$B$5:$B$110*(((Inputs!$G$5:$G$110="moeda")+(Inputs!$G$5:$G$110="acoes"))*Inputs!$B$1+((Inputs!$G$5:$G$110&lt;&gt;"moeda")*(Inputs!$G$5:$G$110&lt;&gt;"acoes")))*INDEX(Inputs!$K$5:$AJ$110,0,MATCH(N$2,Inputs!$K$4:$AJ$4,0)))+SUMPRODUCT((Inputs!$C$5:$C$110=$B55)*Inputs!$D$5:$D$110*(((Inputs!$G$5:$G$110="moeda")+(Inputs!$G$5:$G$110="acoes"))*Inputs!$B$1+((Inputs!$G$5:$G$110&lt;&gt;"moeda")*(Inputs!$G$5:$G$110&lt;&gt;"acoes")))*INDEX(Inputs!$K$5:$AJ$110,0,MATCH(N$2,Inputs!$K$4:$AJ$4,0)))+SUMPRODUCT((Inputs!$E$5:$E$110=$B55)*Inputs!$F$5:$F$110*(((Inputs!$G$5:$G$110="moeda")+(Inputs!$G$5:$G$110="acoes"))*Inputs!$B$1+((Inputs!$G$5:$G$110&lt;&gt;"moeda")*(Inputs!$G$5:$G$110&lt;&gt;"acoes")))*INDEX(Inputs!$K$5:$AJ$110,0,MATCH(N$2,Inputs!$K$4:$AJ$4,0)))))</f>
        <v>40145</v>
      </c>
      <c r="O55" s="513">
        <f>IF(ISNA(MATCH(O$2,Inputs!$K$4:$AJ$4,0)),NA(),IF(SUMPRODUCT((Inputs!$A$5:$A$110=$B55)*ISNUMBER(INDEX(Inputs!$K$5:$AJ$110,0,MATCH(O$2,Inputs!$K$4:$AJ$4,0))))+SUMPRODUCT((Inputs!$C$5:$C$110=$B55)*ISNUMBER(INDEX(Inputs!$K$5:$AJ$110,0,MATCH(O$2,Inputs!$K$4:$AJ$4,0))))+SUMPRODUCT((Inputs!$E$5:$E$110=$B55)*ISNUMBER(INDEX(Inputs!$K$5:$AJ$110,0,MATCH(O$2,Inputs!$K$4:$AJ$4,0))))=0,NA(),SUMPRODUCT((Inputs!$A$5:$A$110=$B55)*Inputs!$B$5:$B$110*(((Inputs!$G$5:$G$110="moeda")+(Inputs!$G$5:$G$110="acoes"))*Inputs!$B$1+((Inputs!$G$5:$G$110&lt;&gt;"moeda")*(Inputs!$G$5:$G$110&lt;&gt;"acoes")))*INDEX(Inputs!$K$5:$AJ$110,0,MATCH(O$2,Inputs!$K$4:$AJ$4,0)))+SUMPRODUCT((Inputs!$C$5:$C$110=$B55)*Inputs!$D$5:$D$110*(((Inputs!$G$5:$G$110="moeda")+(Inputs!$G$5:$G$110="acoes"))*Inputs!$B$1+((Inputs!$G$5:$G$110&lt;&gt;"moeda")*(Inputs!$G$5:$G$110&lt;&gt;"acoes")))*INDEX(Inputs!$K$5:$AJ$110,0,MATCH(O$2,Inputs!$K$4:$AJ$4,0)))+SUMPRODUCT((Inputs!$E$5:$E$110=$B55)*Inputs!$F$5:$F$110*(((Inputs!$G$5:$G$110="moeda")+(Inputs!$G$5:$G$110="acoes"))*Inputs!$B$1+((Inputs!$G$5:$G$110&lt;&gt;"moeda")*(Inputs!$G$5:$G$110&lt;&gt;"acoes")))*INDEX(Inputs!$K$5:$AJ$110,0,MATCH(O$2,Inputs!$K$4:$AJ$4,0)))))</f>
        <v>39049</v>
      </c>
      <c r="P55" s="513">
        <f>IF(ISNA(MATCH(P$2,Inputs!$K$4:$AJ$4,0)),NA(),IF(SUMPRODUCT((Inputs!$A$5:$A$110=$B55)*ISNUMBER(INDEX(Inputs!$K$5:$AJ$110,0,MATCH(P$2,Inputs!$K$4:$AJ$4,0))))+SUMPRODUCT((Inputs!$C$5:$C$110=$B55)*ISNUMBER(INDEX(Inputs!$K$5:$AJ$110,0,MATCH(P$2,Inputs!$K$4:$AJ$4,0))))+SUMPRODUCT((Inputs!$E$5:$E$110=$B55)*ISNUMBER(INDEX(Inputs!$K$5:$AJ$110,0,MATCH(P$2,Inputs!$K$4:$AJ$4,0))))=0,NA(),SUMPRODUCT((Inputs!$A$5:$A$110=$B55)*Inputs!$B$5:$B$110*(((Inputs!$G$5:$G$110="moeda")+(Inputs!$G$5:$G$110="acoes"))*Inputs!$B$1+((Inputs!$G$5:$G$110&lt;&gt;"moeda")*(Inputs!$G$5:$G$110&lt;&gt;"acoes")))*INDEX(Inputs!$K$5:$AJ$110,0,MATCH(P$2,Inputs!$K$4:$AJ$4,0)))+SUMPRODUCT((Inputs!$C$5:$C$110=$B55)*Inputs!$D$5:$D$110*(((Inputs!$G$5:$G$110="moeda")+(Inputs!$G$5:$G$110="acoes"))*Inputs!$B$1+((Inputs!$G$5:$G$110&lt;&gt;"moeda")*(Inputs!$G$5:$G$110&lt;&gt;"acoes")))*INDEX(Inputs!$K$5:$AJ$110,0,MATCH(P$2,Inputs!$K$4:$AJ$4,0)))+SUMPRODUCT((Inputs!$E$5:$E$110=$B55)*Inputs!$F$5:$F$110*(((Inputs!$G$5:$G$110="moeda")+(Inputs!$G$5:$G$110="acoes"))*Inputs!$B$1+((Inputs!$G$5:$G$110&lt;&gt;"moeda")*(Inputs!$G$5:$G$110&lt;&gt;"acoes")))*INDEX(Inputs!$K$5:$AJ$110,0,MATCH(P$2,Inputs!$K$4:$AJ$4,0)))))</f>
        <v>57291</v>
      </c>
      <c r="Q55" s="513">
        <f>IF(ISNA(MATCH(Q$2,Inputs!$K$4:$AJ$4,0)),NA(),IF(SUMPRODUCT((Inputs!$A$5:$A$110=$B55)*ISNUMBER(INDEX(Inputs!$K$5:$AJ$110,0,MATCH(Q$2,Inputs!$K$4:$AJ$4,0))))+SUMPRODUCT((Inputs!$C$5:$C$110=$B55)*ISNUMBER(INDEX(Inputs!$K$5:$AJ$110,0,MATCH(Q$2,Inputs!$K$4:$AJ$4,0))))+SUMPRODUCT((Inputs!$E$5:$E$110=$B55)*ISNUMBER(INDEX(Inputs!$K$5:$AJ$110,0,MATCH(Q$2,Inputs!$K$4:$AJ$4,0))))=0,NA(),SUMPRODUCT((Inputs!$A$5:$A$110=$B55)*Inputs!$B$5:$B$110*(((Inputs!$G$5:$G$110="moeda")+(Inputs!$G$5:$G$110="acoes"))*Inputs!$B$1+((Inputs!$G$5:$G$110&lt;&gt;"moeda")*(Inputs!$G$5:$G$110&lt;&gt;"acoes")))*INDEX(Inputs!$K$5:$AJ$110,0,MATCH(Q$2,Inputs!$K$4:$AJ$4,0)))+SUMPRODUCT((Inputs!$C$5:$C$110=$B55)*Inputs!$D$5:$D$110*(((Inputs!$G$5:$G$110="moeda")+(Inputs!$G$5:$G$110="acoes"))*Inputs!$B$1+((Inputs!$G$5:$G$110&lt;&gt;"moeda")*(Inputs!$G$5:$G$110&lt;&gt;"acoes")))*INDEX(Inputs!$K$5:$AJ$110,0,MATCH(Q$2,Inputs!$K$4:$AJ$4,0)))+SUMPRODUCT((Inputs!$E$5:$E$110=$B55)*Inputs!$F$5:$F$110*(((Inputs!$G$5:$G$110="moeda")+(Inputs!$G$5:$G$110="acoes"))*Inputs!$B$1+((Inputs!$G$5:$G$110&lt;&gt;"moeda")*(Inputs!$G$5:$G$110&lt;&gt;"acoes")))*INDEX(Inputs!$K$5:$AJ$110,0,MATCH(Q$2,Inputs!$K$4:$AJ$4,0)))))</f>
        <v>41833</v>
      </c>
      <c r="R55" s="514">
        <f>SUM(N55:Q55)</f>
        <v>178318</v>
      </c>
      <c r="S55" s="513">
        <f>IF(ISNA(MATCH(S$2,Inputs!$K$4:$AJ$4,0)),NA(),IF(SUMPRODUCT((Inputs!$A$5:$A$110=$B55)*ISNUMBER(INDEX(Inputs!$K$5:$AJ$110,0,MATCH(S$2,Inputs!$K$4:$AJ$4,0))))+SUMPRODUCT((Inputs!$C$5:$C$110=$B55)*ISNUMBER(INDEX(Inputs!$K$5:$AJ$110,0,MATCH(S$2,Inputs!$K$4:$AJ$4,0))))+SUMPRODUCT((Inputs!$E$5:$E$110=$B55)*ISNUMBER(INDEX(Inputs!$K$5:$AJ$110,0,MATCH(S$2,Inputs!$K$4:$AJ$4,0))))=0,NA(),SUMPRODUCT((Inputs!$A$5:$A$110=$B55)*Inputs!$B$5:$B$110*(((Inputs!$G$5:$G$110="moeda")+(Inputs!$G$5:$G$110="acoes"))*Inputs!$B$1+((Inputs!$G$5:$G$110&lt;&gt;"moeda")*(Inputs!$G$5:$G$110&lt;&gt;"acoes")))*INDEX(Inputs!$K$5:$AJ$110,0,MATCH(S$2,Inputs!$K$4:$AJ$4,0)))+SUMPRODUCT((Inputs!$C$5:$C$110=$B55)*Inputs!$D$5:$D$110*(((Inputs!$G$5:$G$110="moeda")+(Inputs!$G$5:$G$110="acoes"))*Inputs!$B$1+((Inputs!$G$5:$G$110&lt;&gt;"moeda")*(Inputs!$G$5:$G$110&lt;&gt;"acoes")))*INDEX(Inputs!$K$5:$AJ$110,0,MATCH(S$2,Inputs!$K$4:$AJ$4,0)))+SUMPRODUCT((Inputs!$E$5:$E$110=$B55)*Inputs!$F$5:$F$110*(((Inputs!$G$5:$G$110="moeda")+(Inputs!$G$5:$G$110="acoes"))*Inputs!$B$1+((Inputs!$G$5:$G$110&lt;&gt;"moeda")*(Inputs!$G$5:$G$110&lt;&gt;"acoes")))*INDEX(Inputs!$K$5:$AJ$110,0,MATCH(S$2,Inputs!$K$4:$AJ$4,0)))))</f>
        <v>41952</v>
      </c>
      <c r="T55" s="513">
        <f>IF(ISNA(MATCH(T$2,Inputs!$K$4:$AJ$4,0)),NA(),IF(SUMPRODUCT((Inputs!$A$5:$A$110=$B55)*ISNUMBER(INDEX(Inputs!$K$5:$AJ$110,0,MATCH(T$2,Inputs!$K$4:$AJ$4,0))))+SUMPRODUCT((Inputs!$C$5:$C$110=$B55)*ISNUMBER(INDEX(Inputs!$K$5:$AJ$110,0,MATCH(T$2,Inputs!$K$4:$AJ$4,0))))+SUMPRODUCT((Inputs!$E$5:$E$110=$B55)*ISNUMBER(INDEX(Inputs!$K$5:$AJ$110,0,MATCH(T$2,Inputs!$K$4:$AJ$4,0))))=0,NA(),SUMPRODUCT((Inputs!$A$5:$A$110=$B55)*Inputs!$B$5:$B$110*(((Inputs!$G$5:$G$110="moeda")+(Inputs!$G$5:$G$110="acoes"))*Inputs!$B$1+((Inputs!$G$5:$G$110&lt;&gt;"moeda")*(Inputs!$G$5:$G$110&lt;&gt;"acoes")))*INDEX(Inputs!$K$5:$AJ$110,0,MATCH(T$2,Inputs!$K$4:$AJ$4,0)))+SUMPRODUCT((Inputs!$C$5:$C$110=$B55)*Inputs!$D$5:$D$110*(((Inputs!$G$5:$G$110="moeda")+(Inputs!$G$5:$G$110="acoes"))*Inputs!$B$1+((Inputs!$G$5:$G$110&lt;&gt;"moeda")*(Inputs!$G$5:$G$110&lt;&gt;"acoes")))*INDEX(Inputs!$K$5:$AJ$110,0,MATCH(T$2,Inputs!$K$4:$AJ$4,0)))+SUMPRODUCT((Inputs!$E$5:$E$110=$B55)*Inputs!$F$5:$F$110*(((Inputs!$G$5:$G$110="moeda")+(Inputs!$G$5:$G$110="acoes"))*Inputs!$B$1+((Inputs!$G$5:$G$110&lt;&gt;"moeda")*(Inputs!$G$5:$G$110&lt;&gt;"acoes")))*INDEX(Inputs!$K$5:$AJ$110,0,MATCH(T$2,Inputs!$K$4:$AJ$4,0)))))</f>
        <v>42449</v>
      </c>
      <c r="U55" s="513">
        <f>IF(ISNA(MATCH(U$2,Inputs!$K$4:$AJ$4,0)),NA(),IF(SUMPRODUCT((Inputs!$A$5:$A$110=$B55)*ISNUMBER(INDEX(Inputs!$K$5:$AJ$110,0,MATCH(U$2,Inputs!$K$4:$AJ$4,0))))+SUMPRODUCT((Inputs!$C$5:$C$110=$B55)*ISNUMBER(INDEX(Inputs!$K$5:$AJ$110,0,MATCH(U$2,Inputs!$K$4:$AJ$4,0))))+SUMPRODUCT((Inputs!$E$5:$E$110=$B55)*ISNUMBER(INDEX(Inputs!$K$5:$AJ$110,0,MATCH(U$2,Inputs!$K$4:$AJ$4,0))))=0,NA(),SUMPRODUCT((Inputs!$A$5:$A$110=$B55)*Inputs!$B$5:$B$110*(((Inputs!$G$5:$G$110="moeda")+(Inputs!$G$5:$G$110="acoes"))*Inputs!$B$1+((Inputs!$G$5:$G$110&lt;&gt;"moeda")*(Inputs!$G$5:$G$110&lt;&gt;"acoes")))*INDEX(Inputs!$K$5:$AJ$110,0,MATCH(U$2,Inputs!$K$4:$AJ$4,0)))+SUMPRODUCT((Inputs!$C$5:$C$110=$B55)*Inputs!$D$5:$D$110*(((Inputs!$G$5:$G$110="moeda")+(Inputs!$G$5:$G$110="acoes"))*Inputs!$B$1+((Inputs!$G$5:$G$110&lt;&gt;"moeda")*(Inputs!$G$5:$G$110&lt;&gt;"acoes")))*INDEX(Inputs!$K$5:$AJ$110,0,MATCH(U$2,Inputs!$K$4:$AJ$4,0)))+SUMPRODUCT((Inputs!$E$5:$E$110=$B55)*Inputs!$F$5:$F$110*(((Inputs!$G$5:$G$110="moeda")+(Inputs!$G$5:$G$110="acoes"))*Inputs!$B$1+((Inputs!$G$5:$G$110&lt;&gt;"moeda")*(Inputs!$G$5:$G$110&lt;&gt;"acoes")))*INDEX(Inputs!$K$5:$AJ$110,0,MATCH(U$2,Inputs!$K$4:$AJ$4,0)))))</f>
        <v>57909</v>
      </c>
      <c r="V55" s="513">
        <f>IF(ISNA(MATCH(V$2,Inputs!$K$4:$AJ$4,0)),NA(),IF(SUMPRODUCT((Inputs!$A$5:$A$110=$B55)*ISNUMBER(INDEX(Inputs!$K$5:$AJ$110,0,MATCH(V$2,Inputs!$K$4:$AJ$4,0))))+SUMPRODUCT((Inputs!$C$5:$C$110=$B55)*ISNUMBER(INDEX(Inputs!$K$5:$AJ$110,0,MATCH(V$2,Inputs!$K$4:$AJ$4,0))))+SUMPRODUCT((Inputs!$E$5:$E$110=$B55)*ISNUMBER(INDEX(Inputs!$K$5:$AJ$110,0,MATCH(V$2,Inputs!$K$4:$AJ$4,0))))=0,NA(),SUMPRODUCT((Inputs!$A$5:$A$110=$B55)*Inputs!$B$5:$B$110*(((Inputs!$G$5:$G$110="moeda")+(Inputs!$G$5:$G$110="acoes"))*Inputs!$B$1+((Inputs!$G$5:$G$110&lt;&gt;"moeda")*(Inputs!$G$5:$G$110&lt;&gt;"acoes")))*INDEX(Inputs!$K$5:$AJ$110,0,MATCH(V$2,Inputs!$K$4:$AJ$4,0)))+SUMPRODUCT((Inputs!$C$5:$C$110=$B55)*Inputs!$D$5:$D$110*(((Inputs!$G$5:$G$110="moeda")+(Inputs!$G$5:$G$110="acoes"))*Inputs!$B$1+((Inputs!$G$5:$G$110&lt;&gt;"moeda")*(Inputs!$G$5:$G$110&lt;&gt;"acoes")))*INDEX(Inputs!$K$5:$AJ$110,0,MATCH(V$2,Inputs!$K$4:$AJ$4,0)))+SUMPRODUCT((Inputs!$E$5:$E$110=$B55)*Inputs!$F$5:$F$110*(((Inputs!$G$5:$G$110="moeda")+(Inputs!$G$5:$G$110="acoes"))*Inputs!$B$1+((Inputs!$G$5:$G$110&lt;&gt;"moeda")*(Inputs!$G$5:$G$110&lt;&gt;"acoes")))*INDEX(Inputs!$K$5:$AJ$110,0,MATCH(V$2,Inputs!$K$4:$AJ$4,0)))))</f>
        <v>45088</v>
      </c>
      <c r="W55" s="514">
        <f>SUM(S55:V55)</f>
        <v>187398</v>
      </c>
      <c r="X55" s="513">
        <f>IF(ISNA(MATCH(X$2,Inputs!$K$4:$AJ$4,0)),NA(),IF(SUMPRODUCT((Inputs!$A$5:$A$110=$B55)*ISNUMBER(INDEX(Inputs!$K$5:$AJ$110,0,MATCH(X$2,Inputs!$K$4:$AJ$4,0))))+SUMPRODUCT((Inputs!$C$5:$C$110=$B55)*ISNUMBER(INDEX(Inputs!$K$5:$AJ$110,0,MATCH(X$2,Inputs!$K$4:$AJ$4,0))))+SUMPRODUCT((Inputs!$E$5:$E$110=$B55)*ISNUMBER(INDEX(Inputs!$K$5:$AJ$110,0,MATCH(X$2,Inputs!$K$4:$AJ$4,0))))=0,NA(),SUMPRODUCT((Inputs!$A$5:$A$110=$B55)*Inputs!$B$5:$B$110*(((Inputs!$G$5:$G$110="moeda")+(Inputs!$G$5:$G$110="acoes"))*Inputs!$B$1+((Inputs!$G$5:$G$110&lt;&gt;"moeda")*(Inputs!$G$5:$G$110&lt;&gt;"acoes")))*INDEX(Inputs!$K$5:$AJ$110,0,MATCH(X$2,Inputs!$K$4:$AJ$4,0)))+SUMPRODUCT((Inputs!$C$5:$C$110=$B55)*Inputs!$D$5:$D$110*(((Inputs!$G$5:$G$110="moeda")+(Inputs!$G$5:$G$110="acoes"))*Inputs!$B$1+((Inputs!$G$5:$G$110&lt;&gt;"moeda")*(Inputs!$G$5:$G$110&lt;&gt;"acoes")))*INDEX(Inputs!$K$5:$AJ$110,0,MATCH(X$2,Inputs!$K$4:$AJ$4,0)))+SUMPRODUCT((Inputs!$E$5:$E$110=$B55)*Inputs!$F$5:$F$110*(((Inputs!$G$5:$G$110="moeda")+(Inputs!$G$5:$G$110="acoes"))*Inputs!$B$1+((Inputs!$G$5:$G$110&lt;&gt;"moeda")*(Inputs!$G$5:$G$110&lt;&gt;"acoes")))*INDEX(Inputs!$K$5:$AJ$110,0,MATCH(X$2,Inputs!$K$4:$AJ$4,0)))))</f>
        <v>46413</v>
      </c>
      <c r="Y55" s="513">
        <f>IF(ISNA(MATCH(Y$2,Inputs!$K$4:$AJ$4,0)),NA(),IF(SUMPRODUCT((Inputs!$A$5:$A$110=$B55)*ISNUMBER(INDEX(Inputs!$K$5:$AJ$110,0,MATCH(Y$2,Inputs!$K$4:$AJ$4,0))))+SUMPRODUCT((Inputs!$C$5:$C$110=$B55)*ISNUMBER(INDEX(Inputs!$K$5:$AJ$110,0,MATCH(Y$2,Inputs!$K$4:$AJ$4,0))))+SUMPRODUCT((Inputs!$E$5:$E$110=$B55)*ISNUMBER(INDEX(Inputs!$K$5:$AJ$110,0,MATCH(Y$2,Inputs!$K$4:$AJ$4,0))))=0,NA(),SUMPRODUCT((Inputs!$A$5:$A$110=$B55)*Inputs!$B$5:$B$110*(((Inputs!$G$5:$G$110="moeda")+(Inputs!$G$5:$G$110="acoes"))*Inputs!$B$1+((Inputs!$G$5:$G$110&lt;&gt;"moeda")*(Inputs!$G$5:$G$110&lt;&gt;"acoes")))*INDEX(Inputs!$K$5:$AJ$110,0,MATCH(Y$2,Inputs!$K$4:$AJ$4,0)))+SUMPRODUCT((Inputs!$C$5:$C$110=$B55)*Inputs!$D$5:$D$110*(((Inputs!$G$5:$G$110="moeda")+(Inputs!$G$5:$G$110="acoes"))*Inputs!$B$1+((Inputs!$G$5:$G$110&lt;&gt;"moeda")*(Inputs!$G$5:$G$110&lt;&gt;"acoes")))*INDEX(Inputs!$K$5:$AJ$110,0,MATCH(Y$2,Inputs!$K$4:$AJ$4,0)))+SUMPRODUCT((Inputs!$E$5:$E$110=$B55)*Inputs!$F$5:$F$110*(((Inputs!$G$5:$G$110="moeda")+(Inputs!$G$5:$G$110="acoes"))*Inputs!$B$1+((Inputs!$G$5:$G$110&lt;&gt;"moeda")*(Inputs!$G$5:$G$110&lt;&gt;"acoes")))*INDEX(Inputs!$K$5:$AJ$110,0,MATCH(Y$2,Inputs!$K$4:$AJ$4,0)))))</f>
        <v>46318</v>
      </c>
      <c r="Z55" s="513">
        <f>IF(ISNA(MATCH(Z$2,Inputs!$K$4:$AJ$4,0)),NA(),IF(SUMPRODUCT((Inputs!$A$5:$A$110=$B55)*ISNUMBER(INDEX(Inputs!$K$5:$AJ$110,0,MATCH(Z$2,Inputs!$K$4:$AJ$4,0))))+SUMPRODUCT((Inputs!$C$5:$C$110=$B55)*ISNUMBER(INDEX(Inputs!$K$5:$AJ$110,0,MATCH(Z$2,Inputs!$K$4:$AJ$4,0))))+SUMPRODUCT((Inputs!$E$5:$E$110=$B55)*ISNUMBER(INDEX(Inputs!$K$5:$AJ$110,0,MATCH(Z$2,Inputs!$K$4:$AJ$4,0))))=0,NA(),SUMPRODUCT((Inputs!$A$5:$A$110=$B55)*Inputs!$B$5:$B$110*(((Inputs!$G$5:$G$110="moeda")+(Inputs!$G$5:$G$110="acoes"))*Inputs!$B$1+((Inputs!$G$5:$G$110&lt;&gt;"moeda")*(Inputs!$G$5:$G$110&lt;&gt;"acoes")))*INDEX(Inputs!$K$5:$AJ$110,0,MATCH(Z$2,Inputs!$K$4:$AJ$4,0)))+SUMPRODUCT((Inputs!$C$5:$C$110=$B55)*Inputs!$D$5:$D$110*(((Inputs!$G$5:$G$110="moeda")+(Inputs!$G$5:$G$110="acoes"))*Inputs!$B$1+((Inputs!$G$5:$G$110&lt;&gt;"moeda")*(Inputs!$G$5:$G$110&lt;&gt;"acoes")))*INDEX(Inputs!$K$5:$AJ$110,0,MATCH(Z$2,Inputs!$K$4:$AJ$4,0)))+SUMPRODUCT((Inputs!$E$5:$E$110=$B55)*Inputs!$F$5:$F$110*(((Inputs!$G$5:$G$110="moeda")+(Inputs!$G$5:$G$110="acoes"))*Inputs!$B$1+((Inputs!$G$5:$G$110&lt;&gt;"moeda")*(Inputs!$G$5:$G$110&lt;&gt;"acoes")))*INDEX(Inputs!$K$5:$AJ$110,0,MATCH(Z$2,Inputs!$K$4:$AJ$4,0)))))</f>
        <v>62227</v>
      </c>
      <c r="AA55" s="513">
        <f>IF(ISNA(MATCH(AA$2,Inputs!$K$4:$AJ$4,0)),NA(),IF(SUMPRODUCT((Inputs!$A$5:$A$110=$B55)*ISNUMBER(INDEX(Inputs!$K$5:$AJ$110,0,MATCH(AA$2,Inputs!$K$4:$AJ$4,0))))+SUMPRODUCT((Inputs!$C$5:$C$110=$B55)*ISNUMBER(INDEX(Inputs!$K$5:$AJ$110,0,MATCH(AA$2,Inputs!$K$4:$AJ$4,0))))+SUMPRODUCT((Inputs!$E$5:$E$110=$B55)*ISNUMBER(INDEX(Inputs!$K$5:$AJ$110,0,MATCH(AA$2,Inputs!$K$4:$AJ$4,0))))=0,NA(),SUMPRODUCT((Inputs!$A$5:$A$110=$B55)*Inputs!$B$5:$B$110*(((Inputs!$G$5:$G$110="moeda")+(Inputs!$G$5:$G$110="acoes"))*Inputs!$B$1+((Inputs!$G$5:$G$110&lt;&gt;"moeda")*(Inputs!$G$5:$G$110&lt;&gt;"acoes")))*INDEX(Inputs!$K$5:$AJ$110,0,MATCH(AA$2,Inputs!$K$4:$AJ$4,0)))+SUMPRODUCT((Inputs!$C$5:$C$110=$B55)*Inputs!$D$5:$D$110*(((Inputs!$G$5:$G$110="moeda")+(Inputs!$G$5:$G$110="acoes"))*Inputs!$B$1+((Inputs!$G$5:$G$110&lt;&gt;"moeda")*(Inputs!$G$5:$G$110&lt;&gt;"acoes")))*INDEX(Inputs!$K$5:$AJ$110,0,MATCH(AA$2,Inputs!$K$4:$AJ$4,0)))+SUMPRODUCT((Inputs!$E$5:$E$110=$B55)*Inputs!$F$5:$F$110*(((Inputs!$G$5:$G$110="moeda")+(Inputs!$G$5:$G$110="acoes"))*Inputs!$B$1+((Inputs!$G$5:$G$110&lt;&gt;"moeda")*(Inputs!$G$5:$G$110&lt;&gt;"acoes")))*INDEX(Inputs!$K$5:$AJ$110,0,MATCH(AA$2,Inputs!$K$4:$AJ$4,0)))))</f>
        <v>48569</v>
      </c>
      <c r="AB55" s="514">
        <f>SUM(X55:AA55)</f>
        <v>203527</v>
      </c>
      <c r="AC55" s="513">
        <f>IF(ISNA(MATCH(AC$2,Inputs!$K$4:$AJ$4,0)),NA(),IF(SUMPRODUCT((Inputs!$A$5:$A$110=$B55)*ISNUMBER(INDEX(Inputs!$K$5:$AJ$110,0,MATCH(AC$2,Inputs!$K$4:$AJ$4,0))))+SUMPRODUCT((Inputs!$C$5:$C$110=$B55)*ISNUMBER(INDEX(Inputs!$K$5:$AJ$110,0,MATCH(AC$2,Inputs!$K$4:$AJ$4,0))))+SUMPRODUCT((Inputs!$E$5:$E$110=$B55)*ISNUMBER(INDEX(Inputs!$K$5:$AJ$110,0,MATCH(AC$2,Inputs!$K$4:$AJ$4,0))))=0,NA(),SUMPRODUCT((Inputs!$A$5:$A$110=$B55)*Inputs!$B$5:$B$110*(((Inputs!$G$5:$G$110="moeda")+(Inputs!$G$5:$G$110="acoes"))*Inputs!$B$1+((Inputs!$G$5:$G$110&lt;&gt;"moeda")*(Inputs!$G$5:$G$110&lt;&gt;"acoes")))*INDEX(Inputs!$K$5:$AJ$110,0,MATCH(AC$2,Inputs!$K$4:$AJ$4,0)))+SUMPRODUCT((Inputs!$C$5:$C$110=$B55)*Inputs!$D$5:$D$110*(((Inputs!$G$5:$G$110="moeda")+(Inputs!$G$5:$G$110="acoes"))*Inputs!$B$1+((Inputs!$G$5:$G$110&lt;&gt;"moeda")*(Inputs!$G$5:$G$110&lt;&gt;"acoes")))*INDEX(Inputs!$K$5:$AJ$110,0,MATCH(AC$2,Inputs!$K$4:$AJ$4,0)))+SUMPRODUCT((Inputs!$E$5:$E$110=$B55)*Inputs!$F$5:$F$110*(((Inputs!$G$5:$G$110="moeda")+(Inputs!$G$5:$G$110="acoes"))*Inputs!$B$1+((Inputs!$G$5:$G$110&lt;&gt;"moeda")*(Inputs!$G$5:$G$110&lt;&gt;"acoes")))*INDEX(Inputs!$K$5:$AJ$110,0,MATCH(AC$2,Inputs!$K$4:$AJ$4,0)))))</f>
        <v>49931</v>
      </c>
      <c r="AD55" s="513">
        <f>IF(ISNA(MATCH(AD$2,Inputs!$K$4:$AJ$4,0)),NA(),IF(SUMPRODUCT((Inputs!$A$5:$A$110=$B55)*ISNUMBER(INDEX(Inputs!$K$5:$AJ$110,0,MATCH(AD$2,Inputs!$K$4:$AJ$4,0))))+SUMPRODUCT((Inputs!$C$5:$C$110=$B55)*ISNUMBER(INDEX(Inputs!$K$5:$AJ$110,0,MATCH(AD$2,Inputs!$K$4:$AJ$4,0))))+SUMPRODUCT((Inputs!$E$5:$E$110=$B55)*ISNUMBER(INDEX(Inputs!$K$5:$AJ$110,0,MATCH(AD$2,Inputs!$K$4:$AJ$4,0))))=0,NA(),SUMPRODUCT((Inputs!$A$5:$A$110=$B55)*Inputs!$B$5:$B$110*(((Inputs!$G$5:$G$110="moeda")+(Inputs!$G$5:$G$110="acoes"))*Inputs!$B$1+((Inputs!$G$5:$G$110&lt;&gt;"moeda")*(Inputs!$G$5:$G$110&lt;&gt;"acoes")))*INDEX(Inputs!$K$5:$AJ$110,0,MATCH(AD$2,Inputs!$K$4:$AJ$4,0)))+SUMPRODUCT((Inputs!$C$5:$C$110=$B55)*Inputs!$D$5:$D$110*(((Inputs!$G$5:$G$110="moeda")+(Inputs!$G$5:$G$110="acoes"))*Inputs!$B$1+((Inputs!$G$5:$G$110&lt;&gt;"moeda")*(Inputs!$G$5:$G$110&lt;&gt;"acoes")))*INDEX(Inputs!$K$5:$AJ$110,0,MATCH(AD$2,Inputs!$K$4:$AJ$4,0)))+SUMPRODUCT((Inputs!$E$5:$E$110=$B55)*Inputs!$F$5:$F$110*(((Inputs!$G$5:$G$110="moeda")+(Inputs!$G$5:$G$110="acoes"))*Inputs!$B$1+((Inputs!$G$5:$G$110&lt;&gt;"moeda")*(Inputs!$G$5:$G$110&lt;&gt;"acoes")))*INDEX(Inputs!$K$5:$AJ$110,0,MATCH(AD$2,Inputs!$K$4:$AJ$4,0)))))</f>
        <v>51434</v>
      </c>
      <c r="AE55" s="513" t="e">
        <f>IF(ISNA(MATCH(AE$2,Inputs!$K$4:$AJ$4,0)),NA(),IF(SUMPRODUCT((Inputs!$A$5:$A$110=$B55)*ISNUMBER(INDEX(Inputs!$K$5:$AJ$110,0,MATCH(AE$2,Inputs!$K$4:$AJ$4,0))))+SUMPRODUCT((Inputs!$C$5:$C$110=$B55)*ISNUMBER(INDEX(Inputs!$K$5:$AJ$110,0,MATCH(AE$2,Inputs!$K$4:$AJ$4,0))))+SUMPRODUCT((Inputs!$E$5:$E$110=$B55)*ISNUMBER(INDEX(Inputs!$K$5:$AJ$110,0,MATCH(AE$2,Inputs!$K$4:$AJ$4,0))))=0,NA(),SUMPRODUCT((Inputs!$A$5:$A$110=$B55)*Inputs!$B$5:$B$110*(((Inputs!$G$5:$G$110="moeda")+(Inputs!$G$5:$G$110="acoes"))*Inputs!$B$1+((Inputs!$G$5:$G$110&lt;&gt;"moeda")*(Inputs!$G$5:$G$110&lt;&gt;"acoes")))*INDEX(Inputs!$K$5:$AJ$110,0,MATCH(AE$2,Inputs!$K$4:$AJ$4,0)))+SUMPRODUCT((Inputs!$C$5:$C$110=$B55)*Inputs!$D$5:$D$110*(((Inputs!$G$5:$G$110="moeda")+(Inputs!$G$5:$G$110="acoes"))*Inputs!$B$1+((Inputs!$G$5:$G$110&lt;&gt;"moeda")*(Inputs!$G$5:$G$110&lt;&gt;"acoes")))*INDEX(Inputs!$K$5:$AJ$110,0,MATCH(AE$2,Inputs!$K$4:$AJ$4,0)))+SUMPRODUCT((Inputs!$E$5:$E$110=$B55)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5" s="513" t="e">
        <f>IF(ISNA(MATCH(AF$2,Inputs!$K$4:$AJ$4,0)),NA(),IF(SUMPRODUCT((Inputs!$A$5:$A$110=$B55)*ISNUMBER(INDEX(Inputs!$K$5:$AJ$110,0,MATCH(AF$2,Inputs!$K$4:$AJ$4,0))))+SUMPRODUCT((Inputs!$C$5:$C$110=$B55)*ISNUMBER(INDEX(Inputs!$K$5:$AJ$110,0,MATCH(AF$2,Inputs!$K$4:$AJ$4,0))))+SUMPRODUCT((Inputs!$E$5:$E$110=$B55)*ISNUMBER(INDEX(Inputs!$K$5:$AJ$110,0,MATCH(AF$2,Inputs!$K$4:$AJ$4,0))))=0,NA(),SUMPRODUCT((Inputs!$A$5:$A$110=$B55)*Inputs!$B$5:$B$110*(((Inputs!$G$5:$G$110="moeda")+(Inputs!$G$5:$G$110="acoes"))*Inputs!$B$1+((Inputs!$G$5:$G$110&lt;&gt;"moeda")*(Inputs!$G$5:$G$110&lt;&gt;"acoes")))*INDEX(Inputs!$K$5:$AJ$110,0,MATCH(AF$2,Inputs!$K$4:$AJ$4,0)))+SUMPRODUCT((Inputs!$C$5:$C$110=$B55)*Inputs!$D$5:$D$110*(((Inputs!$G$5:$G$110="moeda")+(Inputs!$G$5:$G$110="acoes"))*Inputs!$B$1+((Inputs!$G$5:$G$110&lt;&gt;"moeda")*(Inputs!$G$5:$G$110&lt;&gt;"acoes")))*INDEX(Inputs!$K$5:$AJ$110,0,MATCH(AF$2,Inputs!$K$4:$AJ$4,0)))+SUMPRODUCT((Inputs!$E$5:$E$110=$B55)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5" s="514" t="e">
        <f>SUM(AC55:AF55)</f>
        <v>#N/A</v>
      </c>
      <c r="AH55" s="513">
        <f>IF(ISNA(MATCH(AH$2,Inputs!$K$4:$AJ$4,0)),NA(),IF(SUMPRODUCT((Inputs!$A$5:$A$110=$B55)*ISNUMBER(INDEX(Inputs!$K$5:$AJ$110,0,MATCH(AH$2,Inputs!$K$4:$AJ$4,0))))+SUMPRODUCT((Inputs!$C$5:$C$110=$B55)*ISNUMBER(INDEX(Inputs!$K$5:$AJ$110,0,MATCH(AH$2,Inputs!$K$4:$AJ$4,0))))+SUMPRODUCT((Inputs!$E$5:$E$110=$B55)*ISNUMBER(INDEX(Inputs!$K$5:$AJ$110,0,MATCH(AH$2,Inputs!$K$4:$AJ$4,0))))=0,NA(),SUMPRODUCT((Inputs!$A$5:$A$110=$B55)*Inputs!$B$5:$B$110*(((Inputs!$G$5:$G$110="moeda")+(Inputs!$G$5:$G$110="acoes"))*Inputs!$B$1+((Inputs!$G$5:$G$110&lt;&gt;"moeda")*(Inputs!$G$5:$G$110&lt;&gt;"acoes")))*INDEX(Inputs!$K$5:$AJ$110,0,MATCH(AH$2,Inputs!$K$4:$AJ$4,0)))+SUMPRODUCT((Inputs!$C$5:$C$110=$B55)*Inputs!$D$5:$D$110*(((Inputs!$G$5:$G$110="moeda")+(Inputs!$G$5:$G$110="acoes"))*Inputs!$B$1+((Inputs!$G$5:$G$110&lt;&gt;"moeda")*(Inputs!$G$5:$G$110&lt;&gt;"acoes")))*INDEX(Inputs!$K$5:$AJ$110,0,MATCH(AH$2,Inputs!$K$4:$AJ$4,0)))+SUMPRODUCT((Inputs!$E$5:$E$110=$B55)*Inputs!$F$5:$F$110*(((Inputs!$G$5:$G$110="moeda")+(Inputs!$G$5:$G$110="acoes"))*Inputs!$B$1+((Inputs!$G$5:$G$110&lt;&gt;"moeda")*(Inputs!$G$5:$G$110&lt;&gt;"acoes")))*INDEX(Inputs!$K$5:$AJ$110,0,MATCH(AH$2,Inputs!$K$4:$AJ$4,0)))))</f>
        <v>28523</v>
      </c>
      <c r="AI55" s="513">
        <f>IF(ISNA(MATCH(AI$2,Inputs!$K$4:$AJ$4,0)),NA(),IF(SUMPRODUCT((Inputs!$A$5:$A$110=$B55)*ISNUMBER(INDEX(Inputs!$K$5:$AJ$110,0,MATCH(AI$2,Inputs!$K$4:$AJ$4,0))))+SUMPRODUCT((Inputs!$C$5:$C$110=$B55)*ISNUMBER(INDEX(Inputs!$K$5:$AJ$110,0,MATCH(AI$2,Inputs!$K$4:$AJ$4,0))))+SUMPRODUCT((Inputs!$E$5:$E$110=$B55)*ISNUMBER(INDEX(Inputs!$K$5:$AJ$110,0,MATCH(AI$2,Inputs!$K$4:$AJ$4,0))))=0,NA(),SUMPRODUCT((Inputs!$A$5:$A$110=$B55)*Inputs!$B$5:$B$110*(((Inputs!$G$5:$G$110="moeda")+(Inputs!$G$5:$G$110="acoes"))*Inputs!$B$1+((Inputs!$G$5:$G$110&lt;&gt;"moeda")*(Inputs!$G$5:$G$110&lt;&gt;"acoes")))*INDEX(Inputs!$K$5:$AJ$110,0,MATCH(AI$2,Inputs!$K$4:$AJ$4,0)))+SUMPRODUCT((Inputs!$C$5:$C$110=$B55)*Inputs!$D$5:$D$110*(((Inputs!$G$5:$G$110="moeda")+(Inputs!$G$5:$G$110="acoes"))*Inputs!$B$1+((Inputs!$G$5:$G$110&lt;&gt;"moeda")*(Inputs!$G$5:$G$110&lt;&gt;"acoes")))*INDEX(Inputs!$K$5:$AJ$110,0,MATCH(AI$2,Inputs!$K$4:$AJ$4,0)))+SUMPRODUCT((Inputs!$E$5:$E$110=$B55)*Inputs!$F$5:$F$110*(((Inputs!$G$5:$G$110="moeda")+(Inputs!$G$5:$G$110="acoes"))*Inputs!$B$1+((Inputs!$G$5:$G$110&lt;&gt;"moeda")*(Inputs!$G$5:$G$110&lt;&gt;"acoes")))*INDEX(Inputs!$K$5:$AJ$110,0,MATCH(AI$2,Inputs!$K$4:$AJ$4,0)))))</f>
        <v>27626</v>
      </c>
      <c r="AJ55" s="513">
        <f>IF(ISNA(MATCH(AJ$2,Inputs!$K$4:$AJ$4,0)),NA(),IF(SUMPRODUCT((Inputs!$A$5:$A$110=$B55)*ISNUMBER(INDEX(Inputs!$K$5:$AJ$110,0,MATCH(AJ$2,Inputs!$K$4:$AJ$4,0))))+SUMPRODUCT((Inputs!$C$5:$C$110=$B55)*ISNUMBER(INDEX(Inputs!$K$5:$AJ$110,0,MATCH(AJ$2,Inputs!$K$4:$AJ$4,0))))+SUMPRODUCT((Inputs!$E$5:$E$110=$B55)*ISNUMBER(INDEX(Inputs!$K$5:$AJ$110,0,MATCH(AJ$2,Inputs!$K$4:$AJ$4,0))))=0,NA(),SUMPRODUCT((Inputs!$A$5:$A$110=$B55)*Inputs!$B$5:$B$110*(((Inputs!$G$5:$G$110="moeda")+(Inputs!$G$5:$G$110="acoes"))*Inputs!$B$1+((Inputs!$G$5:$G$110&lt;&gt;"moeda")*(Inputs!$G$5:$G$110&lt;&gt;"acoes")))*INDEX(Inputs!$K$5:$AJ$110,0,MATCH(AJ$2,Inputs!$K$4:$AJ$4,0)))+SUMPRODUCT((Inputs!$C$5:$C$110=$B55)*Inputs!$D$5:$D$110*(((Inputs!$G$5:$G$110="moeda")+(Inputs!$G$5:$G$110="acoes"))*Inputs!$B$1+((Inputs!$G$5:$G$110&lt;&gt;"moeda")*(Inputs!$G$5:$G$110&lt;&gt;"acoes")))*INDEX(Inputs!$K$5:$AJ$110,0,MATCH(AJ$2,Inputs!$K$4:$AJ$4,0)))+SUMPRODUCT((Inputs!$E$5:$E$110=$B55)*Inputs!$F$5:$F$110*(((Inputs!$G$5:$G$110="moeda")+(Inputs!$G$5:$G$110="acoes"))*Inputs!$B$1+((Inputs!$G$5:$G$110&lt;&gt;"moeda")*(Inputs!$G$5:$G$110&lt;&gt;"acoes")))*INDEX(Inputs!$K$5:$AJ$110,0,MATCH(AJ$2,Inputs!$K$4:$AJ$4,0)))))</f>
        <v>38928</v>
      </c>
      <c r="AK55" s="513">
        <f>IF(ISNA(MATCH(AK$2,Inputs!$K$4:$AJ$4,0)),NA(),IF(SUMPRODUCT((Inputs!$A$5:$A$110=$B55)*ISNUMBER(INDEX(Inputs!$K$5:$AJ$110,0,MATCH(AK$2,Inputs!$K$4:$AJ$4,0))))+SUMPRODUCT((Inputs!$C$5:$C$110=$B55)*ISNUMBER(INDEX(Inputs!$K$5:$AJ$110,0,MATCH(AK$2,Inputs!$K$4:$AJ$4,0))))+SUMPRODUCT((Inputs!$E$5:$E$110=$B55)*ISNUMBER(INDEX(Inputs!$K$5:$AJ$110,0,MATCH(AK$2,Inputs!$K$4:$AJ$4,0))))=0,NA(),SUMPRODUCT((Inputs!$A$5:$A$110=$B55)*Inputs!$B$5:$B$110*(((Inputs!$G$5:$G$110="moeda")+(Inputs!$G$5:$G$110="acoes"))*Inputs!$B$1+((Inputs!$G$5:$G$110&lt;&gt;"moeda")*(Inputs!$G$5:$G$110&lt;&gt;"acoes")))*INDEX(Inputs!$K$5:$AJ$110,0,MATCH(AK$2,Inputs!$K$4:$AJ$4,0)))+SUMPRODUCT((Inputs!$C$5:$C$110=$B55)*Inputs!$D$5:$D$110*(((Inputs!$G$5:$G$110="moeda")+(Inputs!$G$5:$G$110="acoes"))*Inputs!$B$1+((Inputs!$G$5:$G$110&lt;&gt;"moeda")*(Inputs!$G$5:$G$110&lt;&gt;"acoes")))*INDEX(Inputs!$K$5:$AJ$110,0,MATCH(AK$2,Inputs!$K$4:$AJ$4,0)))+SUMPRODUCT((Inputs!$E$5:$E$110=$B55)*Inputs!$F$5:$F$110*(((Inputs!$G$5:$G$110="moeda")+(Inputs!$G$5:$G$110="acoes"))*Inputs!$B$1+((Inputs!$G$5:$G$110&lt;&gt;"moeda")*(Inputs!$G$5:$G$110&lt;&gt;"acoes")))*INDEX(Inputs!$K$5:$AJ$110,0,MATCH(AK$2,Inputs!$K$4:$AJ$4,0)))))</f>
        <v>31292</v>
      </c>
      <c r="AL55" s="514">
        <f>SUM(AH55:AK55)</f>
        <v>126369</v>
      </c>
    </row>
    <row r="56">
      <c r="B56" s="265" t="n">
        <v>48</v>
      </c>
      <c r="C56" s="266" t="inlineStr">
        <is>
          <t>Receita Canadá (USD)</t>
        </is>
      </c>
      <c r="D56" s="513">
        <f>IF(ISNA(MATCH(D$2,Inputs!$K$4:$AJ$4,0)),NA(),IF(SUMPRODUCT((Inputs!$A$5:$A$110=$B56)*ISNUMBER(INDEX(Inputs!$K$5:$AJ$110,0,MATCH(D$2,Inputs!$K$4:$AJ$4,0))))+SUMPRODUCT((Inputs!$C$5:$C$110=$B56)*ISNUMBER(INDEX(Inputs!$K$5:$AJ$110,0,MATCH(D$2,Inputs!$K$4:$AJ$4,0))))+SUMPRODUCT((Inputs!$E$5:$E$110=$B56)*ISNUMBER(INDEX(Inputs!$K$5:$AJ$110,0,MATCH(D$2,Inputs!$K$4:$AJ$4,0))))=0,NA(),SUMPRODUCT((Inputs!$A$5:$A$110=$B56)*Inputs!$B$5:$B$110*(((Inputs!$G$5:$G$110="moeda")+(Inputs!$G$5:$G$110="acoes"))*Inputs!$B$1+((Inputs!$G$5:$G$110&lt;&gt;"moeda")*(Inputs!$G$5:$G$110&lt;&gt;"acoes")))*INDEX(Inputs!$K$5:$AJ$110,0,MATCH(D$2,Inputs!$K$4:$AJ$4,0)))+SUMPRODUCT((Inputs!$C$5:$C$110=$B56)*Inputs!$D$5:$D$110*(((Inputs!$G$5:$G$110="moeda")+(Inputs!$G$5:$G$110="acoes"))*Inputs!$B$1+((Inputs!$G$5:$G$110&lt;&gt;"moeda")*(Inputs!$G$5:$G$110&lt;&gt;"acoes")))*INDEX(Inputs!$K$5:$AJ$110,0,MATCH(D$2,Inputs!$K$4:$AJ$4,0)))+SUMPRODUCT((Inputs!$E$5:$E$110=$B56)*Inputs!$F$5:$F$110*(((Inputs!$G$5:$G$110="moeda")+(Inputs!$G$5:$G$110="acoes"))*Inputs!$B$1+((Inputs!$G$5:$G$110&lt;&gt;"moeda")*(Inputs!$G$5:$G$110&lt;&gt;"acoes")))*INDEX(Inputs!$K$5:$AJ$110,0,MATCH(D$2,Inputs!$K$4:$AJ$4,0)))))</f>
        <v>6001</v>
      </c>
      <c r="E56" s="513">
        <f>IF(ISNA(MATCH(E$2,Inputs!$K$4:$AJ$4,0)),NA(),IF(SUMPRODUCT((Inputs!$A$5:$A$110=$B56)*ISNUMBER(INDEX(Inputs!$K$5:$AJ$110,0,MATCH(E$2,Inputs!$K$4:$AJ$4,0))))+SUMPRODUCT((Inputs!$C$5:$C$110=$B56)*ISNUMBER(INDEX(Inputs!$K$5:$AJ$110,0,MATCH(E$2,Inputs!$K$4:$AJ$4,0))))+SUMPRODUCT((Inputs!$E$5:$E$110=$B56)*ISNUMBER(INDEX(Inputs!$K$5:$AJ$110,0,MATCH(E$2,Inputs!$K$4:$AJ$4,0))))=0,NA(),SUMPRODUCT((Inputs!$A$5:$A$110=$B56)*Inputs!$B$5:$B$110*(((Inputs!$G$5:$G$110="moeda")+(Inputs!$G$5:$G$110="acoes"))*Inputs!$B$1+((Inputs!$G$5:$G$110&lt;&gt;"moeda")*(Inputs!$G$5:$G$110&lt;&gt;"acoes")))*INDEX(Inputs!$K$5:$AJ$110,0,MATCH(E$2,Inputs!$K$4:$AJ$4,0)))+SUMPRODUCT((Inputs!$C$5:$C$110=$B56)*Inputs!$D$5:$D$110*(((Inputs!$G$5:$G$110="moeda")+(Inputs!$G$5:$G$110="acoes"))*Inputs!$B$1+((Inputs!$G$5:$G$110&lt;&gt;"moeda")*(Inputs!$G$5:$G$110&lt;&gt;"acoes")))*INDEX(Inputs!$K$5:$AJ$110,0,MATCH(E$2,Inputs!$K$4:$AJ$4,0)))+SUMPRODUCT((Inputs!$E$5:$E$110=$B56)*Inputs!$F$5:$F$110*(((Inputs!$G$5:$G$110="moeda")+(Inputs!$G$5:$G$110="acoes"))*Inputs!$B$1+((Inputs!$G$5:$G$110&lt;&gt;"moeda")*(Inputs!$G$5:$G$110&lt;&gt;"acoes")))*INDEX(Inputs!$K$5:$AJ$110,0,MATCH(E$2,Inputs!$K$4:$AJ$4,0)))))</f>
        <v>6299</v>
      </c>
      <c r="F56" s="513">
        <f>IF(ISNA(MATCH(F$2,Inputs!$K$4:$AJ$4,0)),NA(),IF(SUMPRODUCT((Inputs!$A$5:$A$110=$B56)*ISNUMBER(INDEX(Inputs!$K$5:$AJ$110,0,MATCH(F$2,Inputs!$K$4:$AJ$4,0))))+SUMPRODUCT((Inputs!$C$5:$C$110=$B56)*ISNUMBER(INDEX(Inputs!$K$5:$AJ$110,0,MATCH(F$2,Inputs!$K$4:$AJ$4,0))))+SUMPRODUCT((Inputs!$E$5:$E$110=$B56)*ISNUMBER(INDEX(Inputs!$K$5:$AJ$110,0,MATCH(F$2,Inputs!$K$4:$AJ$4,0))))=0,NA(),SUMPRODUCT((Inputs!$A$5:$A$110=$B56)*Inputs!$B$5:$B$110*(((Inputs!$G$5:$G$110="moeda")+(Inputs!$G$5:$G$110="acoes"))*Inputs!$B$1+((Inputs!$G$5:$G$110&lt;&gt;"moeda")*(Inputs!$G$5:$G$110&lt;&gt;"acoes")))*INDEX(Inputs!$K$5:$AJ$110,0,MATCH(F$2,Inputs!$K$4:$AJ$4,0)))+SUMPRODUCT((Inputs!$C$5:$C$110=$B56)*Inputs!$D$5:$D$110*(((Inputs!$G$5:$G$110="moeda")+(Inputs!$G$5:$G$110="acoes"))*Inputs!$B$1+((Inputs!$G$5:$G$110&lt;&gt;"moeda")*(Inputs!$G$5:$G$110&lt;&gt;"acoes")))*INDEX(Inputs!$K$5:$AJ$110,0,MATCH(F$2,Inputs!$K$4:$AJ$4,0)))+SUMPRODUCT((Inputs!$E$5:$E$110=$B56)*Inputs!$F$5:$F$110*(((Inputs!$G$5:$G$110="moeda")+(Inputs!$G$5:$G$110="acoes"))*Inputs!$B$1+((Inputs!$G$5:$G$110&lt;&gt;"moeda")*(Inputs!$G$5:$G$110&lt;&gt;"acoes")))*INDEX(Inputs!$K$5:$AJ$110,0,MATCH(F$2,Inputs!$K$4:$AJ$4,0)))))</f>
        <v>8987</v>
      </c>
      <c r="G56" s="513">
        <f>IF(ISNA(MATCH(G$2,Inputs!$K$4:$AJ$4,0)),NA(),IF(SUMPRODUCT((Inputs!$A$5:$A$110=$B56)*ISNUMBER(INDEX(Inputs!$K$5:$AJ$110,0,MATCH(G$2,Inputs!$K$4:$AJ$4,0))))+SUMPRODUCT((Inputs!$C$5:$C$110=$B56)*ISNUMBER(INDEX(Inputs!$K$5:$AJ$110,0,MATCH(G$2,Inputs!$K$4:$AJ$4,0))))+SUMPRODUCT((Inputs!$E$5:$E$110=$B56)*ISNUMBER(INDEX(Inputs!$K$5:$AJ$110,0,MATCH(G$2,Inputs!$K$4:$AJ$4,0))))=0,NA(),SUMPRODUCT((Inputs!$A$5:$A$110=$B56)*Inputs!$B$5:$B$110*(((Inputs!$G$5:$G$110="moeda")+(Inputs!$G$5:$G$110="acoes"))*Inputs!$B$1+((Inputs!$G$5:$G$110&lt;&gt;"moeda")*(Inputs!$G$5:$G$110&lt;&gt;"acoes")))*INDEX(Inputs!$K$5:$AJ$110,0,MATCH(G$2,Inputs!$K$4:$AJ$4,0)))+SUMPRODUCT((Inputs!$C$5:$C$110=$B56)*Inputs!$D$5:$D$110*(((Inputs!$G$5:$G$110="moeda")+(Inputs!$G$5:$G$110="acoes"))*Inputs!$B$1+((Inputs!$G$5:$G$110&lt;&gt;"moeda")*(Inputs!$G$5:$G$110&lt;&gt;"acoes")))*INDEX(Inputs!$K$5:$AJ$110,0,MATCH(G$2,Inputs!$K$4:$AJ$4,0)))+SUMPRODUCT((Inputs!$E$5:$E$110=$B56)*Inputs!$F$5:$F$110*(((Inputs!$G$5:$G$110="moeda")+(Inputs!$G$5:$G$110="acoes"))*Inputs!$B$1+((Inputs!$G$5:$G$110&lt;&gt;"moeda")*(Inputs!$G$5:$G$110&lt;&gt;"acoes")))*INDEX(Inputs!$K$5:$AJ$110,0,MATCH(G$2,Inputs!$K$4:$AJ$4,0)))))</f>
        <v>7121</v>
      </c>
      <c r="H56" s="514">
        <f>SUM(D56:G56)</f>
        <v>28408</v>
      </c>
      <c r="I56" s="513">
        <f>IF(ISNA(MATCH(I$2,Inputs!$K$4:$AJ$4,0)),NA(),IF(SUMPRODUCT((Inputs!$A$5:$A$110=$B56)*ISNUMBER(INDEX(Inputs!$K$5:$AJ$110,0,MATCH(I$2,Inputs!$K$4:$AJ$4,0))))+SUMPRODUCT((Inputs!$C$5:$C$110=$B56)*ISNUMBER(INDEX(Inputs!$K$5:$AJ$110,0,MATCH(I$2,Inputs!$K$4:$AJ$4,0))))+SUMPRODUCT((Inputs!$E$5:$E$110=$B56)*ISNUMBER(INDEX(Inputs!$K$5:$AJ$110,0,MATCH(I$2,Inputs!$K$4:$AJ$4,0))))=0,NA(),SUMPRODUCT((Inputs!$A$5:$A$110=$B56)*Inputs!$B$5:$B$110*(((Inputs!$G$5:$G$110="moeda")+(Inputs!$G$5:$G$110="acoes"))*Inputs!$B$1+((Inputs!$G$5:$G$110&lt;&gt;"moeda")*(Inputs!$G$5:$G$110&lt;&gt;"acoes")))*INDEX(Inputs!$K$5:$AJ$110,0,MATCH(I$2,Inputs!$K$4:$AJ$4,0)))+SUMPRODUCT((Inputs!$C$5:$C$110=$B56)*Inputs!$D$5:$D$110*(((Inputs!$G$5:$G$110="moeda")+(Inputs!$G$5:$G$110="acoes"))*Inputs!$B$1+((Inputs!$G$5:$G$110&lt;&gt;"moeda")*(Inputs!$G$5:$G$110&lt;&gt;"acoes")))*INDEX(Inputs!$K$5:$AJ$110,0,MATCH(I$2,Inputs!$K$4:$AJ$4,0)))+SUMPRODUCT((Inputs!$E$5:$E$110=$B56)*Inputs!$F$5:$F$110*(((Inputs!$G$5:$G$110="moeda")+(Inputs!$G$5:$G$110="acoes"))*Inputs!$B$1+((Inputs!$G$5:$G$110&lt;&gt;"moeda")*(Inputs!$G$5:$G$110&lt;&gt;"acoes")))*INDEX(Inputs!$K$5:$AJ$110,0,MATCH(I$2,Inputs!$K$4:$AJ$4,0)))))</f>
        <v>7017</v>
      </c>
      <c r="J56" s="513">
        <f>IF(ISNA(MATCH(J$2,Inputs!$K$4:$AJ$4,0)),NA(),IF(SUMPRODUCT((Inputs!$A$5:$A$110=$B56)*ISNUMBER(INDEX(Inputs!$K$5:$AJ$110,0,MATCH(J$2,Inputs!$K$4:$AJ$4,0))))+SUMPRODUCT((Inputs!$C$5:$C$110=$B56)*ISNUMBER(INDEX(Inputs!$K$5:$AJ$110,0,MATCH(J$2,Inputs!$K$4:$AJ$4,0))))+SUMPRODUCT((Inputs!$E$5:$E$110=$B56)*ISNUMBER(INDEX(Inputs!$K$5:$AJ$110,0,MATCH(J$2,Inputs!$K$4:$AJ$4,0))))=0,NA(),SUMPRODUCT((Inputs!$A$5:$A$110=$B56)*Inputs!$B$5:$B$110*(((Inputs!$G$5:$G$110="moeda")+(Inputs!$G$5:$G$110="acoes"))*Inputs!$B$1+((Inputs!$G$5:$G$110&lt;&gt;"moeda")*(Inputs!$G$5:$G$110&lt;&gt;"acoes")))*INDEX(Inputs!$K$5:$AJ$110,0,MATCH(J$2,Inputs!$K$4:$AJ$4,0)))+SUMPRODUCT((Inputs!$C$5:$C$110=$B56)*Inputs!$D$5:$D$110*(((Inputs!$G$5:$G$110="moeda")+(Inputs!$G$5:$G$110="acoes"))*Inputs!$B$1+((Inputs!$G$5:$G$110&lt;&gt;"moeda")*(Inputs!$G$5:$G$110&lt;&gt;"acoes")))*INDEX(Inputs!$K$5:$AJ$110,0,MATCH(J$2,Inputs!$K$4:$AJ$4,0)))+SUMPRODUCT((Inputs!$E$5:$E$110=$B56)*Inputs!$F$5:$F$110*(((Inputs!$G$5:$G$110="moeda")+(Inputs!$G$5:$G$110="acoes"))*Inputs!$B$1+((Inputs!$G$5:$G$110&lt;&gt;"moeda")*(Inputs!$G$5:$G$110&lt;&gt;"acoes")))*INDEX(Inputs!$K$5:$AJ$110,0,MATCH(J$2,Inputs!$K$4:$AJ$4,0)))))</f>
        <v>7268</v>
      </c>
      <c r="K56" s="513">
        <f>IF(ISNA(MATCH(K$2,Inputs!$K$4:$AJ$4,0)),NA(),IF(SUMPRODUCT((Inputs!$A$5:$A$110=$B56)*ISNUMBER(INDEX(Inputs!$K$5:$AJ$110,0,MATCH(K$2,Inputs!$K$4:$AJ$4,0))))+SUMPRODUCT((Inputs!$C$5:$C$110=$B56)*ISNUMBER(INDEX(Inputs!$K$5:$AJ$110,0,MATCH(K$2,Inputs!$K$4:$AJ$4,0))))+SUMPRODUCT((Inputs!$E$5:$E$110=$B56)*ISNUMBER(INDEX(Inputs!$K$5:$AJ$110,0,MATCH(K$2,Inputs!$K$4:$AJ$4,0))))=0,NA(),SUMPRODUCT((Inputs!$A$5:$A$110=$B56)*Inputs!$B$5:$B$110*(((Inputs!$G$5:$G$110="moeda")+(Inputs!$G$5:$G$110="acoes"))*Inputs!$B$1+((Inputs!$G$5:$G$110&lt;&gt;"moeda")*(Inputs!$G$5:$G$110&lt;&gt;"acoes")))*INDEX(Inputs!$K$5:$AJ$110,0,MATCH(K$2,Inputs!$K$4:$AJ$4,0)))+SUMPRODUCT((Inputs!$C$5:$C$110=$B56)*Inputs!$D$5:$D$110*(((Inputs!$G$5:$G$110="moeda")+(Inputs!$G$5:$G$110="acoes"))*Inputs!$B$1+((Inputs!$G$5:$G$110&lt;&gt;"moeda")*(Inputs!$G$5:$G$110&lt;&gt;"acoes")))*INDEX(Inputs!$K$5:$AJ$110,0,MATCH(K$2,Inputs!$K$4:$AJ$4,0)))+SUMPRODUCT((Inputs!$E$5:$E$110=$B56)*Inputs!$F$5:$F$110*(((Inputs!$G$5:$G$110="moeda")+(Inputs!$G$5:$G$110="acoes"))*Inputs!$B$1+((Inputs!$G$5:$G$110&lt;&gt;"moeda")*(Inputs!$G$5:$G$110&lt;&gt;"acoes")))*INDEX(Inputs!$K$5:$AJ$110,0,MATCH(K$2,Inputs!$K$4:$AJ$4,0)))))</f>
        <v>10269</v>
      </c>
      <c r="L56" s="513">
        <f>IF(ISNA(MATCH(L$2,Inputs!$K$4:$AJ$4,0)),NA(),IF(SUMPRODUCT((Inputs!$A$5:$A$110=$B56)*ISNUMBER(INDEX(Inputs!$K$5:$AJ$110,0,MATCH(L$2,Inputs!$K$4:$AJ$4,0))))+SUMPRODUCT((Inputs!$C$5:$C$110=$B56)*ISNUMBER(INDEX(Inputs!$K$5:$AJ$110,0,MATCH(L$2,Inputs!$K$4:$AJ$4,0))))+SUMPRODUCT((Inputs!$E$5:$E$110=$B56)*ISNUMBER(INDEX(Inputs!$K$5:$AJ$110,0,MATCH(L$2,Inputs!$K$4:$AJ$4,0))))=0,NA(),SUMPRODUCT((Inputs!$A$5:$A$110=$B56)*Inputs!$B$5:$B$110*(((Inputs!$G$5:$G$110="moeda")+(Inputs!$G$5:$G$110="acoes"))*Inputs!$B$1+((Inputs!$G$5:$G$110&lt;&gt;"moeda")*(Inputs!$G$5:$G$110&lt;&gt;"acoes")))*INDEX(Inputs!$K$5:$AJ$110,0,MATCH(L$2,Inputs!$K$4:$AJ$4,0)))+SUMPRODUCT((Inputs!$C$5:$C$110=$B56)*Inputs!$D$5:$D$110*(((Inputs!$G$5:$G$110="moeda")+(Inputs!$G$5:$G$110="acoes"))*Inputs!$B$1+((Inputs!$G$5:$G$110&lt;&gt;"moeda")*(Inputs!$G$5:$G$110&lt;&gt;"acoes")))*INDEX(Inputs!$K$5:$AJ$110,0,MATCH(L$2,Inputs!$K$4:$AJ$4,0)))+SUMPRODUCT((Inputs!$E$5:$E$110=$B56)*Inputs!$F$5:$F$110*(((Inputs!$G$5:$G$110="moeda")+(Inputs!$G$5:$G$110="acoes"))*Inputs!$B$1+((Inputs!$G$5:$G$110&lt;&gt;"moeda")*(Inputs!$G$5:$G$110&lt;&gt;"acoes")))*INDEX(Inputs!$K$5:$AJ$110,0,MATCH(L$2,Inputs!$K$4:$AJ$4,0)))))</f>
        <v>7356</v>
      </c>
      <c r="M56" s="514">
        <f>SUM(I56:L56)</f>
        <v>31910</v>
      </c>
      <c r="N56" s="513">
        <f>IF(ISNA(MATCH(N$2,Inputs!$K$4:$AJ$4,0)),NA(),IF(SUMPRODUCT((Inputs!$A$5:$A$110=$B56)*ISNUMBER(INDEX(Inputs!$K$5:$AJ$110,0,MATCH(N$2,Inputs!$K$4:$AJ$4,0))))+SUMPRODUCT((Inputs!$C$5:$C$110=$B56)*ISNUMBER(INDEX(Inputs!$K$5:$AJ$110,0,MATCH(N$2,Inputs!$K$4:$AJ$4,0))))+SUMPRODUCT((Inputs!$E$5:$E$110=$B56)*ISNUMBER(INDEX(Inputs!$K$5:$AJ$110,0,MATCH(N$2,Inputs!$K$4:$AJ$4,0))))=0,NA(),SUMPRODUCT((Inputs!$A$5:$A$110=$B56)*Inputs!$B$5:$B$110*(((Inputs!$G$5:$G$110="moeda")+(Inputs!$G$5:$G$110="acoes"))*Inputs!$B$1+((Inputs!$G$5:$G$110&lt;&gt;"moeda")*(Inputs!$G$5:$G$110&lt;&gt;"acoes")))*INDEX(Inputs!$K$5:$AJ$110,0,MATCH(N$2,Inputs!$K$4:$AJ$4,0)))+SUMPRODUCT((Inputs!$C$5:$C$110=$B56)*Inputs!$D$5:$D$110*(((Inputs!$G$5:$G$110="moeda")+(Inputs!$G$5:$G$110="acoes"))*Inputs!$B$1+((Inputs!$G$5:$G$110&lt;&gt;"moeda")*(Inputs!$G$5:$G$110&lt;&gt;"acoes")))*INDEX(Inputs!$K$5:$AJ$110,0,MATCH(N$2,Inputs!$K$4:$AJ$4,0)))+SUMPRODUCT((Inputs!$E$5:$E$110=$B56)*Inputs!$F$5:$F$110*(((Inputs!$G$5:$G$110="moeda")+(Inputs!$G$5:$G$110="acoes"))*Inputs!$B$1+((Inputs!$G$5:$G$110&lt;&gt;"moeda")*(Inputs!$G$5:$G$110&lt;&gt;"acoes")))*INDEX(Inputs!$K$5:$AJ$110,0,MATCH(N$2,Inputs!$K$4:$AJ$4,0)))))</f>
        <v>7299</v>
      </c>
      <c r="O56" s="513">
        <f>IF(ISNA(MATCH(O$2,Inputs!$K$4:$AJ$4,0)),NA(),IF(SUMPRODUCT((Inputs!$A$5:$A$110=$B56)*ISNUMBER(INDEX(Inputs!$K$5:$AJ$110,0,MATCH(O$2,Inputs!$K$4:$AJ$4,0))))+SUMPRODUCT((Inputs!$C$5:$C$110=$B56)*ISNUMBER(INDEX(Inputs!$K$5:$AJ$110,0,MATCH(O$2,Inputs!$K$4:$AJ$4,0))))+SUMPRODUCT((Inputs!$E$5:$E$110=$B56)*ISNUMBER(INDEX(Inputs!$K$5:$AJ$110,0,MATCH(O$2,Inputs!$K$4:$AJ$4,0))))=0,NA(),SUMPRODUCT((Inputs!$A$5:$A$110=$B56)*Inputs!$B$5:$B$110*(((Inputs!$G$5:$G$110="moeda")+(Inputs!$G$5:$G$110="acoes"))*Inputs!$B$1+((Inputs!$G$5:$G$110&lt;&gt;"moeda")*(Inputs!$G$5:$G$110&lt;&gt;"acoes")))*INDEX(Inputs!$K$5:$AJ$110,0,MATCH(O$2,Inputs!$K$4:$AJ$4,0)))+SUMPRODUCT((Inputs!$C$5:$C$110=$B56)*Inputs!$D$5:$D$110*(((Inputs!$G$5:$G$110="moeda")+(Inputs!$G$5:$G$110="acoes"))*Inputs!$B$1+((Inputs!$G$5:$G$110&lt;&gt;"moeda")*(Inputs!$G$5:$G$110&lt;&gt;"acoes")))*INDEX(Inputs!$K$5:$AJ$110,0,MATCH(O$2,Inputs!$K$4:$AJ$4,0)))+SUMPRODUCT((Inputs!$E$5:$E$110=$B56)*Inputs!$F$5:$F$110*(((Inputs!$G$5:$G$110="moeda")+(Inputs!$G$5:$G$110="acoes"))*Inputs!$B$1+((Inputs!$G$5:$G$110&lt;&gt;"moeda")*(Inputs!$G$5:$G$110&lt;&gt;"acoes")))*INDEX(Inputs!$K$5:$AJ$110,0,MATCH(O$2,Inputs!$K$4:$AJ$4,0)))))</f>
        <v>7268</v>
      </c>
      <c r="P56" s="513">
        <f>IF(ISNA(MATCH(P$2,Inputs!$K$4:$AJ$4,0)),NA(),IF(SUMPRODUCT((Inputs!$A$5:$A$110=$B56)*ISNUMBER(INDEX(Inputs!$K$5:$AJ$110,0,MATCH(P$2,Inputs!$K$4:$AJ$4,0))))+SUMPRODUCT((Inputs!$C$5:$C$110=$B56)*ISNUMBER(INDEX(Inputs!$K$5:$AJ$110,0,MATCH(P$2,Inputs!$K$4:$AJ$4,0))))+SUMPRODUCT((Inputs!$E$5:$E$110=$B56)*ISNUMBER(INDEX(Inputs!$K$5:$AJ$110,0,MATCH(P$2,Inputs!$K$4:$AJ$4,0))))=0,NA(),SUMPRODUCT((Inputs!$A$5:$A$110=$B56)*Inputs!$B$5:$B$110*(((Inputs!$G$5:$G$110="moeda")+(Inputs!$G$5:$G$110="acoes"))*Inputs!$B$1+((Inputs!$G$5:$G$110&lt;&gt;"moeda")*(Inputs!$G$5:$G$110&lt;&gt;"acoes")))*INDEX(Inputs!$K$5:$AJ$110,0,MATCH(P$2,Inputs!$K$4:$AJ$4,0)))+SUMPRODUCT((Inputs!$C$5:$C$110=$B56)*Inputs!$D$5:$D$110*(((Inputs!$G$5:$G$110="moeda")+(Inputs!$G$5:$G$110="acoes"))*Inputs!$B$1+((Inputs!$G$5:$G$110&lt;&gt;"moeda")*(Inputs!$G$5:$G$110&lt;&gt;"acoes")))*INDEX(Inputs!$K$5:$AJ$110,0,MATCH(P$2,Inputs!$K$4:$AJ$4,0)))+SUMPRODUCT((Inputs!$E$5:$E$110=$B56)*Inputs!$F$5:$F$110*(((Inputs!$G$5:$G$110="moeda")+(Inputs!$G$5:$G$110="acoes"))*Inputs!$B$1+((Inputs!$G$5:$G$110&lt;&gt;"moeda")*(Inputs!$G$5:$G$110&lt;&gt;"acoes")))*INDEX(Inputs!$K$5:$AJ$110,0,MATCH(P$2,Inputs!$K$4:$AJ$4,0)))))</f>
        <v>11133</v>
      </c>
      <c r="Q56" s="513">
        <f>IF(ISNA(MATCH(Q$2,Inputs!$K$4:$AJ$4,0)),NA(),IF(SUMPRODUCT((Inputs!$A$5:$A$110=$B56)*ISNUMBER(INDEX(Inputs!$K$5:$AJ$110,0,MATCH(Q$2,Inputs!$K$4:$AJ$4,0))))+SUMPRODUCT((Inputs!$C$5:$C$110=$B56)*ISNUMBER(INDEX(Inputs!$K$5:$AJ$110,0,MATCH(Q$2,Inputs!$K$4:$AJ$4,0))))+SUMPRODUCT((Inputs!$E$5:$E$110=$B56)*ISNUMBER(INDEX(Inputs!$K$5:$AJ$110,0,MATCH(Q$2,Inputs!$K$4:$AJ$4,0))))=0,NA(),SUMPRODUCT((Inputs!$A$5:$A$110=$B56)*Inputs!$B$5:$B$110*(((Inputs!$G$5:$G$110="moeda")+(Inputs!$G$5:$G$110="acoes"))*Inputs!$B$1+((Inputs!$G$5:$G$110&lt;&gt;"moeda")*(Inputs!$G$5:$G$110&lt;&gt;"acoes")))*INDEX(Inputs!$K$5:$AJ$110,0,MATCH(Q$2,Inputs!$K$4:$AJ$4,0)))+SUMPRODUCT((Inputs!$C$5:$C$110=$B56)*Inputs!$D$5:$D$110*(((Inputs!$G$5:$G$110="moeda")+(Inputs!$G$5:$G$110="acoes"))*Inputs!$B$1+((Inputs!$G$5:$G$110&lt;&gt;"moeda")*(Inputs!$G$5:$G$110&lt;&gt;"acoes")))*INDEX(Inputs!$K$5:$AJ$110,0,MATCH(Q$2,Inputs!$K$4:$AJ$4,0)))+SUMPRODUCT((Inputs!$E$5:$E$110=$B56)*Inputs!$F$5:$F$110*(((Inputs!$G$5:$G$110="moeda")+(Inputs!$G$5:$G$110="acoes"))*Inputs!$B$1+((Inputs!$G$5:$G$110&lt;&gt;"moeda")*(Inputs!$G$5:$G$110&lt;&gt;"acoes")))*INDEX(Inputs!$K$5:$AJ$110,0,MATCH(Q$2,Inputs!$K$4:$AJ$4,0)))))</f>
        <v>7901</v>
      </c>
      <c r="R56" s="514">
        <f>SUM(N56:Q56)</f>
        <v>33601</v>
      </c>
      <c r="S56" s="513">
        <f>IF(ISNA(MATCH(S$2,Inputs!$K$4:$AJ$4,0)),NA(),IF(SUMPRODUCT((Inputs!$A$5:$A$110=$B56)*ISNUMBER(INDEX(Inputs!$K$5:$AJ$110,0,MATCH(S$2,Inputs!$K$4:$AJ$4,0))))+SUMPRODUCT((Inputs!$C$5:$C$110=$B56)*ISNUMBER(INDEX(Inputs!$K$5:$AJ$110,0,MATCH(S$2,Inputs!$K$4:$AJ$4,0))))+SUMPRODUCT((Inputs!$E$5:$E$110=$B56)*ISNUMBER(INDEX(Inputs!$K$5:$AJ$110,0,MATCH(S$2,Inputs!$K$4:$AJ$4,0))))=0,NA(),SUMPRODUCT((Inputs!$A$5:$A$110=$B56)*Inputs!$B$5:$B$110*(((Inputs!$G$5:$G$110="moeda")+(Inputs!$G$5:$G$110="acoes"))*Inputs!$B$1+((Inputs!$G$5:$G$110&lt;&gt;"moeda")*(Inputs!$G$5:$G$110&lt;&gt;"acoes")))*INDEX(Inputs!$K$5:$AJ$110,0,MATCH(S$2,Inputs!$K$4:$AJ$4,0)))+SUMPRODUCT((Inputs!$C$5:$C$110=$B56)*Inputs!$D$5:$D$110*(((Inputs!$G$5:$G$110="moeda")+(Inputs!$G$5:$G$110="acoes"))*Inputs!$B$1+((Inputs!$G$5:$G$110&lt;&gt;"moeda")*(Inputs!$G$5:$G$110&lt;&gt;"acoes")))*INDEX(Inputs!$K$5:$AJ$110,0,MATCH(S$2,Inputs!$K$4:$AJ$4,0)))+SUMPRODUCT((Inputs!$E$5:$E$110=$B56)*Inputs!$F$5:$F$110*(((Inputs!$G$5:$G$110="moeda")+(Inputs!$G$5:$G$110="acoes"))*Inputs!$B$1+((Inputs!$G$5:$G$110&lt;&gt;"moeda")*(Inputs!$G$5:$G$110&lt;&gt;"acoes")))*INDEX(Inputs!$K$5:$AJ$110,0,MATCH(S$2,Inputs!$K$4:$AJ$4,0)))))</f>
        <v>7874</v>
      </c>
      <c r="T56" s="513">
        <f>IF(ISNA(MATCH(T$2,Inputs!$K$4:$AJ$4,0)),NA(),IF(SUMPRODUCT((Inputs!$A$5:$A$110=$B56)*ISNUMBER(INDEX(Inputs!$K$5:$AJ$110,0,MATCH(T$2,Inputs!$K$4:$AJ$4,0))))+SUMPRODUCT((Inputs!$C$5:$C$110=$B56)*ISNUMBER(INDEX(Inputs!$K$5:$AJ$110,0,MATCH(T$2,Inputs!$K$4:$AJ$4,0))))+SUMPRODUCT((Inputs!$E$5:$E$110=$B56)*ISNUMBER(INDEX(Inputs!$K$5:$AJ$110,0,MATCH(T$2,Inputs!$K$4:$AJ$4,0))))=0,NA(),SUMPRODUCT((Inputs!$A$5:$A$110=$B56)*Inputs!$B$5:$B$110*(((Inputs!$G$5:$G$110="moeda")+(Inputs!$G$5:$G$110="acoes"))*Inputs!$B$1+((Inputs!$G$5:$G$110&lt;&gt;"moeda")*(Inputs!$G$5:$G$110&lt;&gt;"acoes")))*INDEX(Inputs!$K$5:$AJ$110,0,MATCH(T$2,Inputs!$K$4:$AJ$4,0)))+SUMPRODUCT((Inputs!$C$5:$C$110=$B56)*Inputs!$D$5:$D$110*(((Inputs!$G$5:$G$110="moeda")+(Inputs!$G$5:$G$110="acoes"))*Inputs!$B$1+((Inputs!$G$5:$G$110&lt;&gt;"moeda")*(Inputs!$G$5:$G$110&lt;&gt;"acoes")))*INDEX(Inputs!$K$5:$AJ$110,0,MATCH(T$2,Inputs!$K$4:$AJ$4,0)))+SUMPRODUCT((Inputs!$E$5:$E$110=$B56)*Inputs!$F$5:$F$110*(((Inputs!$G$5:$G$110="moeda")+(Inputs!$G$5:$G$110="acoes"))*Inputs!$B$1+((Inputs!$G$5:$G$110&lt;&gt;"moeda")*(Inputs!$G$5:$G$110&lt;&gt;"acoes")))*INDEX(Inputs!$K$5:$AJ$110,0,MATCH(T$2,Inputs!$K$4:$AJ$4,0)))))</f>
        <v>8014</v>
      </c>
      <c r="U56" s="513">
        <f>IF(ISNA(MATCH(U$2,Inputs!$K$4:$AJ$4,0)),NA(),IF(SUMPRODUCT((Inputs!$A$5:$A$110=$B56)*ISNUMBER(INDEX(Inputs!$K$5:$AJ$110,0,MATCH(U$2,Inputs!$K$4:$AJ$4,0))))+SUMPRODUCT((Inputs!$C$5:$C$110=$B56)*ISNUMBER(INDEX(Inputs!$K$5:$AJ$110,0,MATCH(U$2,Inputs!$K$4:$AJ$4,0))))+SUMPRODUCT((Inputs!$E$5:$E$110=$B56)*ISNUMBER(INDEX(Inputs!$K$5:$AJ$110,0,MATCH(U$2,Inputs!$K$4:$AJ$4,0))))=0,NA(),SUMPRODUCT((Inputs!$A$5:$A$110=$B56)*Inputs!$B$5:$B$110*(((Inputs!$G$5:$G$110="moeda")+(Inputs!$G$5:$G$110="acoes"))*Inputs!$B$1+((Inputs!$G$5:$G$110&lt;&gt;"moeda")*(Inputs!$G$5:$G$110&lt;&gt;"acoes")))*INDEX(Inputs!$K$5:$AJ$110,0,MATCH(U$2,Inputs!$K$4:$AJ$4,0)))+SUMPRODUCT((Inputs!$C$5:$C$110=$B56)*Inputs!$D$5:$D$110*(((Inputs!$G$5:$G$110="moeda")+(Inputs!$G$5:$G$110="acoes"))*Inputs!$B$1+((Inputs!$G$5:$G$110&lt;&gt;"moeda")*(Inputs!$G$5:$G$110&lt;&gt;"acoes")))*INDEX(Inputs!$K$5:$AJ$110,0,MATCH(U$2,Inputs!$K$4:$AJ$4,0)))+SUMPRODUCT((Inputs!$E$5:$E$110=$B56)*Inputs!$F$5:$F$110*(((Inputs!$G$5:$G$110="moeda")+(Inputs!$G$5:$G$110="acoes"))*Inputs!$B$1+((Inputs!$G$5:$G$110&lt;&gt;"moeda")*(Inputs!$G$5:$G$110&lt;&gt;"acoes")))*INDEX(Inputs!$K$5:$AJ$110,0,MATCH(U$2,Inputs!$K$4:$AJ$4,0)))))</f>
        <v>11085</v>
      </c>
      <c r="V56" s="513">
        <f>IF(ISNA(MATCH(V$2,Inputs!$K$4:$AJ$4,0)),NA(),IF(SUMPRODUCT((Inputs!$A$5:$A$110=$B56)*ISNUMBER(INDEX(Inputs!$K$5:$AJ$110,0,MATCH(V$2,Inputs!$K$4:$AJ$4,0))))+SUMPRODUCT((Inputs!$C$5:$C$110=$B56)*ISNUMBER(INDEX(Inputs!$K$5:$AJ$110,0,MATCH(V$2,Inputs!$K$4:$AJ$4,0))))+SUMPRODUCT((Inputs!$E$5:$E$110=$B56)*ISNUMBER(INDEX(Inputs!$K$5:$AJ$110,0,MATCH(V$2,Inputs!$K$4:$AJ$4,0))))=0,NA(),SUMPRODUCT((Inputs!$A$5:$A$110=$B56)*Inputs!$B$5:$B$110*(((Inputs!$G$5:$G$110="moeda")+(Inputs!$G$5:$G$110="acoes"))*Inputs!$B$1+((Inputs!$G$5:$G$110&lt;&gt;"moeda")*(Inputs!$G$5:$G$110&lt;&gt;"acoes")))*INDEX(Inputs!$K$5:$AJ$110,0,MATCH(V$2,Inputs!$K$4:$AJ$4,0)))+SUMPRODUCT((Inputs!$C$5:$C$110=$B56)*Inputs!$D$5:$D$110*(((Inputs!$G$5:$G$110="moeda")+(Inputs!$G$5:$G$110="acoes"))*Inputs!$B$1+((Inputs!$G$5:$G$110&lt;&gt;"moeda")*(Inputs!$G$5:$G$110&lt;&gt;"acoes")))*INDEX(Inputs!$K$5:$AJ$110,0,MATCH(V$2,Inputs!$K$4:$AJ$4,0)))+SUMPRODUCT((Inputs!$E$5:$E$110=$B56)*Inputs!$F$5:$F$110*(((Inputs!$G$5:$G$110="moeda")+(Inputs!$G$5:$G$110="acoes"))*Inputs!$B$1+((Inputs!$G$5:$G$110&lt;&gt;"moeda")*(Inputs!$G$5:$G$110&lt;&gt;"acoes")))*INDEX(Inputs!$K$5:$AJ$110,0,MATCH(V$2,Inputs!$K$4:$AJ$4,0)))))</f>
        <v>8404</v>
      </c>
      <c r="W56" s="514">
        <f>SUM(S56:V56)</f>
        <v>35377</v>
      </c>
      <c r="X56" s="513">
        <f>IF(ISNA(MATCH(X$2,Inputs!$K$4:$AJ$4,0)),NA(),IF(SUMPRODUCT((Inputs!$A$5:$A$110=$B56)*ISNUMBER(INDEX(Inputs!$K$5:$AJ$110,0,MATCH(X$2,Inputs!$K$4:$AJ$4,0))))+SUMPRODUCT((Inputs!$C$5:$C$110=$B56)*ISNUMBER(INDEX(Inputs!$K$5:$AJ$110,0,MATCH(X$2,Inputs!$K$4:$AJ$4,0))))+SUMPRODUCT((Inputs!$E$5:$E$110=$B56)*ISNUMBER(INDEX(Inputs!$K$5:$AJ$110,0,MATCH(X$2,Inputs!$K$4:$AJ$4,0))))=0,NA(),SUMPRODUCT((Inputs!$A$5:$A$110=$B56)*Inputs!$B$5:$B$110*(((Inputs!$G$5:$G$110="moeda")+(Inputs!$G$5:$G$110="acoes"))*Inputs!$B$1+((Inputs!$G$5:$G$110&lt;&gt;"moeda")*(Inputs!$G$5:$G$110&lt;&gt;"acoes")))*INDEX(Inputs!$K$5:$AJ$110,0,MATCH(X$2,Inputs!$K$4:$AJ$4,0)))+SUMPRODUCT((Inputs!$C$5:$C$110=$B56)*Inputs!$D$5:$D$110*(((Inputs!$G$5:$G$110="moeda")+(Inputs!$G$5:$G$110="acoes"))*Inputs!$B$1+((Inputs!$G$5:$G$110&lt;&gt;"moeda")*(Inputs!$G$5:$G$110&lt;&gt;"acoes")))*INDEX(Inputs!$K$5:$AJ$110,0,MATCH(X$2,Inputs!$K$4:$AJ$4,0)))+SUMPRODUCT((Inputs!$E$5:$E$110=$B56)*Inputs!$F$5:$F$110*(((Inputs!$G$5:$G$110="moeda")+(Inputs!$G$5:$G$110="acoes"))*Inputs!$B$1+((Inputs!$G$5:$G$110&lt;&gt;"moeda")*(Inputs!$G$5:$G$110&lt;&gt;"acoes")))*INDEX(Inputs!$K$5:$AJ$110,0,MATCH(X$2,Inputs!$K$4:$AJ$4,0)))))</f>
        <v>8296</v>
      </c>
      <c r="Y56" s="513">
        <f>IF(ISNA(MATCH(Y$2,Inputs!$K$4:$AJ$4,0)),NA(),IF(SUMPRODUCT((Inputs!$A$5:$A$110=$B56)*ISNUMBER(INDEX(Inputs!$K$5:$AJ$110,0,MATCH(Y$2,Inputs!$K$4:$AJ$4,0))))+SUMPRODUCT((Inputs!$C$5:$C$110=$B56)*ISNUMBER(INDEX(Inputs!$K$5:$AJ$110,0,MATCH(Y$2,Inputs!$K$4:$AJ$4,0))))+SUMPRODUCT((Inputs!$E$5:$E$110=$B56)*ISNUMBER(INDEX(Inputs!$K$5:$AJ$110,0,MATCH(Y$2,Inputs!$K$4:$AJ$4,0))))=0,NA(),SUMPRODUCT((Inputs!$A$5:$A$110=$B56)*Inputs!$B$5:$B$110*(((Inputs!$G$5:$G$110="moeda")+(Inputs!$G$5:$G$110="acoes"))*Inputs!$B$1+((Inputs!$G$5:$G$110&lt;&gt;"moeda")*(Inputs!$G$5:$G$110&lt;&gt;"acoes")))*INDEX(Inputs!$K$5:$AJ$110,0,MATCH(Y$2,Inputs!$K$4:$AJ$4,0)))+SUMPRODUCT((Inputs!$C$5:$C$110=$B56)*Inputs!$D$5:$D$110*(((Inputs!$G$5:$G$110="moeda")+(Inputs!$G$5:$G$110="acoes"))*Inputs!$B$1+((Inputs!$G$5:$G$110&lt;&gt;"moeda")*(Inputs!$G$5:$G$110&lt;&gt;"acoes")))*INDEX(Inputs!$K$5:$AJ$110,0,MATCH(Y$2,Inputs!$K$4:$AJ$4,0)))+SUMPRODUCT((Inputs!$E$5:$E$110=$B56)*Inputs!$F$5:$F$110*(((Inputs!$G$5:$G$110="moeda")+(Inputs!$G$5:$G$110="acoes"))*Inputs!$B$1+((Inputs!$G$5:$G$110&lt;&gt;"moeda")*(Inputs!$G$5:$G$110&lt;&gt;"acoes")))*INDEX(Inputs!$K$5:$AJ$110,0,MATCH(Y$2,Inputs!$K$4:$AJ$4,0)))))</f>
        <v>8321</v>
      </c>
      <c r="Z56" s="513">
        <f>IF(ISNA(MATCH(Z$2,Inputs!$K$4:$AJ$4,0)),NA(),IF(SUMPRODUCT((Inputs!$A$5:$A$110=$B56)*ISNUMBER(INDEX(Inputs!$K$5:$AJ$110,0,MATCH(Z$2,Inputs!$K$4:$AJ$4,0))))+SUMPRODUCT((Inputs!$C$5:$C$110=$B56)*ISNUMBER(INDEX(Inputs!$K$5:$AJ$110,0,MATCH(Z$2,Inputs!$K$4:$AJ$4,0))))+SUMPRODUCT((Inputs!$E$5:$E$110=$B56)*ISNUMBER(INDEX(Inputs!$K$5:$AJ$110,0,MATCH(Z$2,Inputs!$K$4:$AJ$4,0))))=0,NA(),SUMPRODUCT((Inputs!$A$5:$A$110=$B56)*Inputs!$B$5:$B$110*(((Inputs!$G$5:$G$110="moeda")+(Inputs!$G$5:$G$110="acoes"))*Inputs!$B$1+((Inputs!$G$5:$G$110&lt;&gt;"moeda")*(Inputs!$G$5:$G$110&lt;&gt;"acoes")))*INDEX(Inputs!$K$5:$AJ$110,0,MATCH(Z$2,Inputs!$K$4:$AJ$4,0)))+SUMPRODUCT((Inputs!$C$5:$C$110=$B56)*Inputs!$D$5:$D$110*(((Inputs!$G$5:$G$110="moeda")+(Inputs!$G$5:$G$110="acoes"))*Inputs!$B$1+((Inputs!$G$5:$G$110&lt;&gt;"moeda")*(Inputs!$G$5:$G$110&lt;&gt;"acoes")))*INDEX(Inputs!$K$5:$AJ$110,0,MATCH(Z$2,Inputs!$K$4:$AJ$4,0)))+SUMPRODUCT((Inputs!$E$5:$E$110=$B56)*Inputs!$F$5:$F$110*(((Inputs!$G$5:$G$110="moeda")+(Inputs!$G$5:$G$110="acoes"))*Inputs!$B$1+((Inputs!$G$5:$G$110&lt;&gt;"moeda")*(Inputs!$G$5:$G$110&lt;&gt;"acoes")))*INDEX(Inputs!$K$5:$AJ$110,0,MATCH(Z$2,Inputs!$K$4:$AJ$4,0)))))</f>
        <v>11902</v>
      </c>
      <c r="AA56" s="513">
        <f>IF(ISNA(MATCH(AA$2,Inputs!$K$4:$AJ$4,0)),NA(),IF(SUMPRODUCT((Inputs!$A$5:$A$110=$B56)*ISNUMBER(INDEX(Inputs!$K$5:$AJ$110,0,MATCH(AA$2,Inputs!$K$4:$AJ$4,0))))+SUMPRODUCT((Inputs!$C$5:$C$110=$B56)*ISNUMBER(INDEX(Inputs!$K$5:$AJ$110,0,MATCH(AA$2,Inputs!$K$4:$AJ$4,0))))+SUMPRODUCT((Inputs!$E$5:$E$110=$B56)*ISNUMBER(INDEX(Inputs!$K$5:$AJ$110,0,MATCH(AA$2,Inputs!$K$4:$AJ$4,0))))=0,NA(),SUMPRODUCT((Inputs!$A$5:$A$110=$B56)*Inputs!$B$5:$B$110*(((Inputs!$G$5:$G$110="moeda")+(Inputs!$G$5:$G$110="acoes"))*Inputs!$B$1+((Inputs!$G$5:$G$110&lt;&gt;"moeda")*(Inputs!$G$5:$G$110&lt;&gt;"acoes")))*INDEX(Inputs!$K$5:$AJ$110,0,MATCH(AA$2,Inputs!$K$4:$AJ$4,0)))+SUMPRODUCT((Inputs!$C$5:$C$110=$B56)*Inputs!$D$5:$D$110*(((Inputs!$G$5:$G$110="moeda")+(Inputs!$G$5:$G$110="acoes"))*Inputs!$B$1+((Inputs!$G$5:$G$110&lt;&gt;"moeda")*(Inputs!$G$5:$G$110&lt;&gt;"acoes")))*INDEX(Inputs!$K$5:$AJ$110,0,MATCH(AA$2,Inputs!$K$4:$AJ$4,0)))+SUMPRODUCT((Inputs!$E$5:$E$110=$B56)*Inputs!$F$5:$F$110*(((Inputs!$G$5:$G$110="moeda")+(Inputs!$G$5:$G$110="acoes"))*Inputs!$B$1+((Inputs!$G$5:$G$110&lt;&gt;"moeda")*(Inputs!$G$5:$G$110&lt;&gt;"acoes")))*INDEX(Inputs!$K$5:$AJ$110,0,MATCH(AA$2,Inputs!$K$4:$AJ$4,0)))))</f>
        <v>9073</v>
      </c>
      <c r="AB56" s="514">
        <f>SUM(X56:AA56)</f>
        <v>37592</v>
      </c>
      <c r="AC56" s="513">
        <f>IF(ISNA(MATCH(AC$2,Inputs!$K$4:$AJ$4,0)),NA(),IF(SUMPRODUCT((Inputs!$A$5:$A$110=$B56)*ISNUMBER(INDEX(Inputs!$K$5:$AJ$110,0,MATCH(AC$2,Inputs!$K$4:$AJ$4,0))))+SUMPRODUCT((Inputs!$C$5:$C$110=$B56)*ISNUMBER(INDEX(Inputs!$K$5:$AJ$110,0,MATCH(AC$2,Inputs!$K$4:$AJ$4,0))))+SUMPRODUCT((Inputs!$E$5:$E$110=$B56)*ISNUMBER(INDEX(Inputs!$K$5:$AJ$110,0,MATCH(AC$2,Inputs!$K$4:$AJ$4,0))))=0,NA(),SUMPRODUCT((Inputs!$A$5:$A$110=$B56)*Inputs!$B$5:$B$110*(((Inputs!$G$5:$G$110="moeda")+(Inputs!$G$5:$G$110="acoes"))*Inputs!$B$1+((Inputs!$G$5:$G$110&lt;&gt;"moeda")*(Inputs!$G$5:$G$110&lt;&gt;"acoes")))*INDEX(Inputs!$K$5:$AJ$110,0,MATCH(AC$2,Inputs!$K$4:$AJ$4,0)))+SUMPRODUCT((Inputs!$C$5:$C$110=$B56)*Inputs!$D$5:$D$110*(((Inputs!$G$5:$G$110="moeda")+(Inputs!$G$5:$G$110="acoes"))*Inputs!$B$1+((Inputs!$G$5:$G$110&lt;&gt;"moeda")*(Inputs!$G$5:$G$110&lt;&gt;"acoes")))*INDEX(Inputs!$K$5:$AJ$110,0,MATCH(AC$2,Inputs!$K$4:$AJ$4,0)))+SUMPRODUCT((Inputs!$E$5:$E$110=$B56)*Inputs!$F$5:$F$110*(((Inputs!$G$5:$G$110="moeda")+(Inputs!$G$5:$G$110="acoes"))*Inputs!$B$1+((Inputs!$G$5:$G$110&lt;&gt;"moeda")*(Inputs!$G$5:$G$110&lt;&gt;"acoes")))*INDEX(Inputs!$K$5:$AJ$110,0,MATCH(AC$2,Inputs!$K$4:$AJ$4,0)))))</f>
        <v>9291</v>
      </c>
      <c r="AD56" s="513">
        <f>IF(ISNA(MATCH(AD$2,Inputs!$K$4:$AJ$4,0)),NA(),IF(SUMPRODUCT((Inputs!$A$5:$A$110=$B56)*ISNUMBER(INDEX(Inputs!$K$5:$AJ$110,0,MATCH(AD$2,Inputs!$K$4:$AJ$4,0))))+SUMPRODUCT((Inputs!$C$5:$C$110=$B56)*ISNUMBER(INDEX(Inputs!$K$5:$AJ$110,0,MATCH(AD$2,Inputs!$K$4:$AJ$4,0))))+SUMPRODUCT((Inputs!$E$5:$E$110=$B56)*ISNUMBER(INDEX(Inputs!$K$5:$AJ$110,0,MATCH(AD$2,Inputs!$K$4:$AJ$4,0))))=0,NA(),SUMPRODUCT((Inputs!$A$5:$A$110=$B56)*Inputs!$B$5:$B$110*(((Inputs!$G$5:$G$110="moeda")+(Inputs!$G$5:$G$110="acoes"))*Inputs!$B$1+((Inputs!$G$5:$G$110&lt;&gt;"moeda")*(Inputs!$G$5:$G$110&lt;&gt;"acoes")))*INDEX(Inputs!$K$5:$AJ$110,0,MATCH(AD$2,Inputs!$K$4:$AJ$4,0)))+SUMPRODUCT((Inputs!$C$5:$C$110=$B56)*Inputs!$D$5:$D$110*(((Inputs!$G$5:$G$110="moeda")+(Inputs!$G$5:$G$110="acoes"))*Inputs!$B$1+((Inputs!$G$5:$G$110&lt;&gt;"moeda")*(Inputs!$G$5:$G$110&lt;&gt;"acoes")))*INDEX(Inputs!$K$5:$AJ$110,0,MATCH(AD$2,Inputs!$K$4:$AJ$4,0)))+SUMPRODUCT((Inputs!$E$5:$E$110=$B56)*Inputs!$F$5:$F$110*(((Inputs!$G$5:$G$110="moeda")+(Inputs!$G$5:$G$110="acoes"))*Inputs!$B$1+((Inputs!$G$5:$G$110&lt;&gt;"moeda")*(Inputs!$G$5:$G$110&lt;&gt;"acoes")))*INDEX(Inputs!$K$5:$AJ$110,0,MATCH(AD$2,Inputs!$K$4:$AJ$4,0)))))</f>
        <v>9410</v>
      </c>
      <c r="AE56" s="513" t="e">
        <f>IF(ISNA(MATCH(AE$2,Inputs!$K$4:$AJ$4,0)),NA(),IF(SUMPRODUCT((Inputs!$A$5:$A$110=$B56)*ISNUMBER(INDEX(Inputs!$K$5:$AJ$110,0,MATCH(AE$2,Inputs!$K$4:$AJ$4,0))))+SUMPRODUCT((Inputs!$C$5:$C$110=$B56)*ISNUMBER(INDEX(Inputs!$K$5:$AJ$110,0,MATCH(AE$2,Inputs!$K$4:$AJ$4,0))))+SUMPRODUCT((Inputs!$E$5:$E$110=$B56)*ISNUMBER(INDEX(Inputs!$K$5:$AJ$110,0,MATCH(AE$2,Inputs!$K$4:$AJ$4,0))))=0,NA(),SUMPRODUCT((Inputs!$A$5:$A$110=$B56)*Inputs!$B$5:$B$110*(((Inputs!$G$5:$G$110="moeda")+(Inputs!$G$5:$G$110="acoes"))*Inputs!$B$1+((Inputs!$G$5:$G$110&lt;&gt;"moeda")*(Inputs!$G$5:$G$110&lt;&gt;"acoes")))*INDEX(Inputs!$K$5:$AJ$110,0,MATCH(AE$2,Inputs!$K$4:$AJ$4,0)))+SUMPRODUCT((Inputs!$C$5:$C$110=$B56)*Inputs!$D$5:$D$110*(((Inputs!$G$5:$G$110="moeda")+(Inputs!$G$5:$G$110="acoes"))*Inputs!$B$1+((Inputs!$G$5:$G$110&lt;&gt;"moeda")*(Inputs!$G$5:$G$110&lt;&gt;"acoes")))*INDEX(Inputs!$K$5:$AJ$110,0,MATCH(AE$2,Inputs!$K$4:$AJ$4,0)))+SUMPRODUCT((Inputs!$E$5:$E$110=$B56)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6" s="513" t="e">
        <f>IF(ISNA(MATCH(AF$2,Inputs!$K$4:$AJ$4,0)),NA(),IF(SUMPRODUCT((Inputs!$A$5:$A$110=$B56)*ISNUMBER(INDEX(Inputs!$K$5:$AJ$110,0,MATCH(AF$2,Inputs!$K$4:$AJ$4,0))))+SUMPRODUCT((Inputs!$C$5:$C$110=$B56)*ISNUMBER(INDEX(Inputs!$K$5:$AJ$110,0,MATCH(AF$2,Inputs!$K$4:$AJ$4,0))))+SUMPRODUCT((Inputs!$E$5:$E$110=$B56)*ISNUMBER(INDEX(Inputs!$K$5:$AJ$110,0,MATCH(AF$2,Inputs!$K$4:$AJ$4,0))))=0,NA(),SUMPRODUCT((Inputs!$A$5:$A$110=$B56)*Inputs!$B$5:$B$110*(((Inputs!$G$5:$G$110="moeda")+(Inputs!$G$5:$G$110="acoes"))*Inputs!$B$1+((Inputs!$G$5:$G$110&lt;&gt;"moeda")*(Inputs!$G$5:$G$110&lt;&gt;"acoes")))*INDEX(Inputs!$K$5:$AJ$110,0,MATCH(AF$2,Inputs!$K$4:$AJ$4,0)))+SUMPRODUCT((Inputs!$C$5:$C$110=$B56)*Inputs!$D$5:$D$110*(((Inputs!$G$5:$G$110="moeda")+(Inputs!$G$5:$G$110="acoes"))*Inputs!$B$1+((Inputs!$G$5:$G$110&lt;&gt;"moeda")*(Inputs!$G$5:$G$110&lt;&gt;"acoes")))*INDEX(Inputs!$K$5:$AJ$110,0,MATCH(AF$2,Inputs!$K$4:$AJ$4,0)))+SUMPRODUCT((Inputs!$E$5:$E$110=$B56)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6" s="514" t="e">
        <f>SUM(AC56:AF56)</f>
        <v>#N/A</v>
      </c>
      <c r="AH56" s="513">
        <f>IF(ISNA(MATCH(AH$2,Inputs!$K$4:$AJ$4,0)),NA(),IF(SUMPRODUCT((Inputs!$A$5:$A$110=$B56)*ISNUMBER(INDEX(Inputs!$K$5:$AJ$110,0,MATCH(AH$2,Inputs!$K$4:$AJ$4,0))))+SUMPRODUCT((Inputs!$C$5:$C$110=$B56)*ISNUMBER(INDEX(Inputs!$K$5:$AJ$110,0,MATCH(AH$2,Inputs!$K$4:$AJ$4,0))))+SUMPRODUCT((Inputs!$E$5:$E$110=$B56)*ISNUMBER(INDEX(Inputs!$K$5:$AJ$110,0,MATCH(AH$2,Inputs!$K$4:$AJ$4,0))))=0,NA(),SUMPRODUCT((Inputs!$A$5:$A$110=$B56)*Inputs!$B$5:$B$110*(((Inputs!$G$5:$G$110="moeda")+(Inputs!$G$5:$G$110="acoes"))*Inputs!$B$1+((Inputs!$G$5:$G$110&lt;&gt;"moeda")*(Inputs!$G$5:$G$110&lt;&gt;"acoes")))*INDEX(Inputs!$K$5:$AJ$110,0,MATCH(AH$2,Inputs!$K$4:$AJ$4,0)))+SUMPRODUCT((Inputs!$C$5:$C$110=$B56)*Inputs!$D$5:$D$110*(((Inputs!$G$5:$G$110="moeda")+(Inputs!$G$5:$G$110="acoes"))*Inputs!$B$1+((Inputs!$G$5:$G$110&lt;&gt;"moeda")*(Inputs!$G$5:$G$110&lt;&gt;"acoes")))*INDEX(Inputs!$K$5:$AJ$110,0,MATCH(AH$2,Inputs!$K$4:$AJ$4,0)))+SUMPRODUCT((Inputs!$E$5:$E$110=$B56)*Inputs!$F$5:$F$110*(((Inputs!$G$5:$G$110="moeda")+(Inputs!$G$5:$G$110="acoes"))*Inputs!$B$1+((Inputs!$G$5:$G$110&lt;&gt;"moeda")*(Inputs!$G$5:$G$110&lt;&gt;"acoes")))*INDEX(Inputs!$K$5:$AJ$110,0,MATCH(AH$2,Inputs!$K$4:$AJ$4,0)))))</f>
        <v>5231</v>
      </c>
      <c r="AI56" s="513">
        <f>IF(ISNA(MATCH(AI$2,Inputs!$K$4:$AJ$4,0)),NA(),IF(SUMPRODUCT((Inputs!$A$5:$A$110=$B56)*ISNUMBER(INDEX(Inputs!$K$5:$AJ$110,0,MATCH(AI$2,Inputs!$K$4:$AJ$4,0))))+SUMPRODUCT((Inputs!$C$5:$C$110=$B56)*ISNUMBER(INDEX(Inputs!$K$5:$AJ$110,0,MATCH(AI$2,Inputs!$K$4:$AJ$4,0))))+SUMPRODUCT((Inputs!$E$5:$E$110=$B56)*ISNUMBER(INDEX(Inputs!$K$5:$AJ$110,0,MATCH(AI$2,Inputs!$K$4:$AJ$4,0))))=0,NA(),SUMPRODUCT((Inputs!$A$5:$A$110=$B56)*Inputs!$B$5:$B$110*(((Inputs!$G$5:$G$110="moeda")+(Inputs!$G$5:$G$110="acoes"))*Inputs!$B$1+((Inputs!$G$5:$G$110&lt;&gt;"moeda")*(Inputs!$G$5:$G$110&lt;&gt;"acoes")))*INDEX(Inputs!$K$5:$AJ$110,0,MATCH(AI$2,Inputs!$K$4:$AJ$4,0)))+SUMPRODUCT((Inputs!$C$5:$C$110=$B56)*Inputs!$D$5:$D$110*(((Inputs!$G$5:$G$110="moeda")+(Inputs!$G$5:$G$110="acoes"))*Inputs!$B$1+((Inputs!$G$5:$G$110&lt;&gt;"moeda")*(Inputs!$G$5:$G$110&lt;&gt;"acoes")))*INDEX(Inputs!$K$5:$AJ$110,0,MATCH(AI$2,Inputs!$K$4:$AJ$4,0)))+SUMPRODUCT((Inputs!$E$5:$E$110=$B56)*Inputs!$F$5:$F$110*(((Inputs!$G$5:$G$110="moeda")+(Inputs!$G$5:$G$110="acoes"))*Inputs!$B$1+((Inputs!$G$5:$G$110&lt;&gt;"moeda")*(Inputs!$G$5:$G$110&lt;&gt;"acoes")))*INDEX(Inputs!$K$5:$AJ$110,0,MATCH(AI$2,Inputs!$K$4:$AJ$4,0)))))</f>
        <v>4722</v>
      </c>
      <c r="AJ56" s="513">
        <f>IF(ISNA(MATCH(AJ$2,Inputs!$K$4:$AJ$4,0)),NA(),IF(SUMPRODUCT((Inputs!$A$5:$A$110=$B56)*ISNUMBER(INDEX(Inputs!$K$5:$AJ$110,0,MATCH(AJ$2,Inputs!$K$4:$AJ$4,0))))+SUMPRODUCT((Inputs!$C$5:$C$110=$B56)*ISNUMBER(INDEX(Inputs!$K$5:$AJ$110,0,MATCH(AJ$2,Inputs!$K$4:$AJ$4,0))))+SUMPRODUCT((Inputs!$E$5:$E$110=$B56)*ISNUMBER(INDEX(Inputs!$K$5:$AJ$110,0,MATCH(AJ$2,Inputs!$K$4:$AJ$4,0))))=0,NA(),SUMPRODUCT((Inputs!$A$5:$A$110=$B56)*Inputs!$B$5:$B$110*(((Inputs!$G$5:$G$110="moeda")+(Inputs!$G$5:$G$110="acoes"))*Inputs!$B$1+((Inputs!$G$5:$G$110&lt;&gt;"moeda")*(Inputs!$G$5:$G$110&lt;&gt;"acoes")))*INDEX(Inputs!$K$5:$AJ$110,0,MATCH(AJ$2,Inputs!$K$4:$AJ$4,0)))+SUMPRODUCT((Inputs!$C$5:$C$110=$B56)*Inputs!$D$5:$D$110*(((Inputs!$G$5:$G$110="moeda")+(Inputs!$G$5:$G$110="acoes"))*Inputs!$B$1+((Inputs!$G$5:$G$110&lt;&gt;"moeda")*(Inputs!$G$5:$G$110&lt;&gt;"acoes")))*INDEX(Inputs!$K$5:$AJ$110,0,MATCH(AJ$2,Inputs!$K$4:$AJ$4,0)))+SUMPRODUCT((Inputs!$E$5:$E$110=$B56)*Inputs!$F$5:$F$110*(((Inputs!$G$5:$G$110="moeda")+(Inputs!$G$5:$G$110="acoes"))*Inputs!$B$1+((Inputs!$G$5:$G$110&lt;&gt;"moeda")*(Inputs!$G$5:$G$110&lt;&gt;"acoes")))*INDEX(Inputs!$K$5:$AJ$110,0,MATCH(AJ$2,Inputs!$K$4:$AJ$4,0)))))</f>
        <v>7354</v>
      </c>
      <c r="AK56" s="513">
        <f>IF(ISNA(MATCH(AK$2,Inputs!$K$4:$AJ$4,0)),NA(),IF(SUMPRODUCT((Inputs!$A$5:$A$110=$B56)*ISNUMBER(INDEX(Inputs!$K$5:$AJ$110,0,MATCH(AK$2,Inputs!$K$4:$AJ$4,0))))+SUMPRODUCT((Inputs!$C$5:$C$110=$B56)*ISNUMBER(INDEX(Inputs!$K$5:$AJ$110,0,MATCH(AK$2,Inputs!$K$4:$AJ$4,0))))+SUMPRODUCT((Inputs!$E$5:$E$110=$B56)*ISNUMBER(INDEX(Inputs!$K$5:$AJ$110,0,MATCH(AK$2,Inputs!$K$4:$AJ$4,0))))=0,NA(),SUMPRODUCT((Inputs!$A$5:$A$110=$B56)*Inputs!$B$5:$B$110*(((Inputs!$G$5:$G$110="moeda")+(Inputs!$G$5:$G$110="acoes"))*Inputs!$B$1+((Inputs!$G$5:$G$110&lt;&gt;"moeda")*(Inputs!$G$5:$G$110&lt;&gt;"acoes")))*INDEX(Inputs!$K$5:$AJ$110,0,MATCH(AK$2,Inputs!$K$4:$AJ$4,0)))+SUMPRODUCT((Inputs!$C$5:$C$110=$B56)*Inputs!$D$5:$D$110*(((Inputs!$G$5:$G$110="moeda")+(Inputs!$G$5:$G$110="acoes"))*Inputs!$B$1+((Inputs!$G$5:$G$110&lt;&gt;"moeda")*(Inputs!$G$5:$G$110&lt;&gt;"acoes")))*INDEX(Inputs!$K$5:$AJ$110,0,MATCH(AK$2,Inputs!$K$4:$AJ$4,0)))+SUMPRODUCT((Inputs!$E$5:$E$110=$B56)*Inputs!$F$5:$F$110*(((Inputs!$G$5:$G$110="moeda")+(Inputs!$G$5:$G$110="acoes"))*Inputs!$B$1+((Inputs!$G$5:$G$110&lt;&gt;"moeda")*(Inputs!$G$5:$G$110&lt;&gt;"acoes")))*INDEX(Inputs!$K$5:$AJ$110,0,MATCH(AK$2,Inputs!$K$4:$AJ$4,0)))))</f>
        <v>6011</v>
      </c>
      <c r="AL56" s="514">
        <f>SUM(AH56:AK56)</f>
        <v>23318</v>
      </c>
    </row>
    <row r="57">
      <c r="B57" s="265" t="n">
        <v>49</v>
      </c>
      <c r="C57" s="266" t="inlineStr">
        <is>
          <t>Receita outros internacionais (USD)</t>
        </is>
      </c>
      <c r="D57" s="513">
        <f>IF(ISNA(MATCH(D$2,Inputs!$K$4:$AJ$4,0)),NA(),IF(SUMPRODUCT((Inputs!$A$5:$A$110=$B57)*ISNUMBER(INDEX(Inputs!$K$5:$AJ$110,0,MATCH(D$2,Inputs!$K$4:$AJ$4,0))))+SUMPRODUCT((Inputs!$C$5:$C$110=$B57)*ISNUMBER(INDEX(Inputs!$K$5:$AJ$110,0,MATCH(D$2,Inputs!$K$4:$AJ$4,0))))+SUMPRODUCT((Inputs!$E$5:$E$110=$B57)*ISNUMBER(INDEX(Inputs!$K$5:$AJ$110,0,MATCH(D$2,Inputs!$K$4:$AJ$4,0))))=0,NA(),SUMPRODUCT((Inputs!$A$5:$A$110=$B57)*Inputs!$B$5:$B$110*(((Inputs!$G$5:$G$110="moeda")+(Inputs!$G$5:$G$110="acoes"))*Inputs!$B$1+((Inputs!$G$5:$G$110&lt;&gt;"moeda")*(Inputs!$G$5:$G$110&lt;&gt;"acoes")))*INDEX(Inputs!$K$5:$AJ$110,0,MATCH(D$2,Inputs!$K$4:$AJ$4,0)))+SUMPRODUCT((Inputs!$C$5:$C$110=$B57)*Inputs!$D$5:$D$110*(((Inputs!$G$5:$G$110="moeda")+(Inputs!$G$5:$G$110="acoes"))*Inputs!$B$1+((Inputs!$G$5:$G$110&lt;&gt;"moeda")*(Inputs!$G$5:$G$110&lt;&gt;"acoes")))*INDEX(Inputs!$K$5:$AJ$110,0,MATCH(D$2,Inputs!$K$4:$AJ$4,0)))+SUMPRODUCT((Inputs!$E$5:$E$110=$B57)*Inputs!$F$5:$F$110*(((Inputs!$G$5:$G$110="moeda")+(Inputs!$G$5:$G$110="acoes"))*Inputs!$B$1+((Inputs!$G$5:$G$110&lt;&gt;"moeda")*(Inputs!$G$5:$G$110&lt;&gt;"acoes")))*INDEX(Inputs!$K$5:$AJ$110,0,MATCH(D$2,Inputs!$K$4:$AJ$4,0)))))</f>
        <v>6641</v>
      </c>
      <c r="E57" s="513">
        <f>IF(ISNA(MATCH(E$2,Inputs!$K$4:$AJ$4,0)),NA(),IF(SUMPRODUCT((Inputs!$A$5:$A$110=$B57)*ISNUMBER(INDEX(Inputs!$K$5:$AJ$110,0,MATCH(E$2,Inputs!$K$4:$AJ$4,0))))+SUMPRODUCT((Inputs!$C$5:$C$110=$B57)*ISNUMBER(INDEX(Inputs!$K$5:$AJ$110,0,MATCH(E$2,Inputs!$K$4:$AJ$4,0))))+SUMPRODUCT((Inputs!$E$5:$E$110=$B57)*ISNUMBER(INDEX(Inputs!$K$5:$AJ$110,0,MATCH(E$2,Inputs!$K$4:$AJ$4,0))))=0,NA(),SUMPRODUCT((Inputs!$A$5:$A$110=$B57)*Inputs!$B$5:$B$110*(((Inputs!$G$5:$G$110="moeda")+(Inputs!$G$5:$G$110="acoes"))*Inputs!$B$1+((Inputs!$G$5:$G$110&lt;&gt;"moeda")*(Inputs!$G$5:$G$110&lt;&gt;"acoes")))*INDEX(Inputs!$K$5:$AJ$110,0,MATCH(E$2,Inputs!$K$4:$AJ$4,0)))+SUMPRODUCT((Inputs!$C$5:$C$110=$B57)*Inputs!$D$5:$D$110*(((Inputs!$G$5:$G$110="moeda")+(Inputs!$G$5:$G$110="acoes"))*Inputs!$B$1+((Inputs!$G$5:$G$110&lt;&gt;"moeda")*(Inputs!$G$5:$G$110&lt;&gt;"acoes")))*INDEX(Inputs!$K$5:$AJ$110,0,MATCH(E$2,Inputs!$K$4:$AJ$4,0)))+SUMPRODUCT((Inputs!$E$5:$E$110=$B57)*Inputs!$F$5:$F$110*(((Inputs!$G$5:$G$110="moeda")+(Inputs!$G$5:$G$110="acoes"))*Inputs!$B$1+((Inputs!$G$5:$G$110&lt;&gt;"moeda")*(Inputs!$G$5:$G$110&lt;&gt;"acoes")))*INDEX(Inputs!$K$5:$AJ$110,0,MATCH(E$2,Inputs!$K$4:$AJ$4,0)))))</f>
        <v>6219</v>
      </c>
      <c r="F57" s="513">
        <f>IF(ISNA(MATCH(F$2,Inputs!$K$4:$AJ$4,0)),NA(),IF(SUMPRODUCT((Inputs!$A$5:$A$110=$B57)*ISNUMBER(INDEX(Inputs!$K$5:$AJ$110,0,MATCH(F$2,Inputs!$K$4:$AJ$4,0))))+SUMPRODUCT((Inputs!$C$5:$C$110=$B57)*ISNUMBER(INDEX(Inputs!$K$5:$AJ$110,0,MATCH(F$2,Inputs!$K$4:$AJ$4,0))))+SUMPRODUCT((Inputs!$E$5:$E$110=$B57)*ISNUMBER(INDEX(Inputs!$K$5:$AJ$110,0,MATCH(F$2,Inputs!$K$4:$AJ$4,0))))=0,NA(),SUMPRODUCT((Inputs!$A$5:$A$110=$B57)*Inputs!$B$5:$B$110*(((Inputs!$G$5:$G$110="moeda")+(Inputs!$G$5:$G$110="acoes"))*Inputs!$B$1+((Inputs!$G$5:$G$110&lt;&gt;"moeda")*(Inputs!$G$5:$G$110&lt;&gt;"acoes")))*INDEX(Inputs!$K$5:$AJ$110,0,MATCH(F$2,Inputs!$K$4:$AJ$4,0)))+SUMPRODUCT((Inputs!$C$5:$C$110=$B57)*Inputs!$D$5:$D$110*(((Inputs!$G$5:$G$110="moeda")+(Inputs!$G$5:$G$110="acoes"))*Inputs!$B$1+((Inputs!$G$5:$G$110&lt;&gt;"moeda")*(Inputs!$G$5:$G$110&lt;&gt;"acoes")))*INDEX(Inputs!$K$5:$AJ$110,0,MATCH(F$2,Inputs!$K$4:$AJ$4,0)))+SUMPRODUCT((Inputs!$E$5:$E$110=$B57)*Inputs!$F$5:$F$110*(((Inputs!$G$5:$G$110="moeda")+(Inputs!$G$5:$G$110="acoes"))*Inputs!$B$1+((Inputs!$G$5:$G$110&lt;&gt;"moeda")*(Inputs!$G$5:$G$110&lt;&gt;"acoes")))*INDEX(Inputs!$K$5:$AJ$110,0,MATCH(F$2,Inputs!$K$4:$AJ$4,0)))))</f>
        <v>8468</v>
      </c>
      <c r="G57" s="513">
        <f>IF(ISNA(MATCH(G$2,Inputs!$K$4:$AJ$4,0)),NA(),IF(SUMPRODUCT((Inputs!$A$5:$A$110=$B57)*ISNUMBER(INDEX(Inputs!$K$5:$AJ$110,0,MATCH(G$2,Inputs!$K$4:$AJ$4,0))))+SUMPRODUCT((Inputs!$C$5:$C$110=$B57)*ISNUMBER(INDEX(Inputs!$K$5:$AJ$110,0,MATCH(G$2,Inputs!$K$4:$AJ$4,0))))+SUMPRODUCT((Inputs!$E$5:$E$110=$B57)*ISNUMBER(INDEX(Inputs!$K$5:$AJ$110,0,MATCH(G$2,Inputs!$K$4:$AJ$4,0))))=0,NA(),SUMPRODUCT((Inputs!$A$5:$A$110=$B57)*Inputs!$B$5:$B$110*(((Inputs!$G$5:$G$110="moeda")+(Inputs!$G$5:$G$110="acoes"))*Inputs!$B$1+((Inputs!$G$5:$G$110&lt;&gt;"moeda")*(Inputs!$G$5:$G$110&lt;&gt;"acoes")))*INDEX(Inputs!$K$5:$AJ$110,0,MATCH(G$2,Inputs!$K$4:$AJ$4,0)))+SUMPRODUCT((Inputs!$C$5:$C$110=$B57)*Inputs!$D$5:$D$110*(((Inputs!$G$5:$G$110="moeda")+(Inputs!$G$5:$G$110="acoes"))*Inputs!$B$1+((Inputs!$G$5:$G$110&lt;&gt;"moeda")*(Inputs!$G$5:$G$110&lt;&gt;"acoes")))*INDEX(Inputs!$K$5:$AJ$110,0,MATCH(G$2,Inputs!$K$4:$AJ$4,0)))+SUMPRODUCT((Inputs!$E$5:$E$110=$B57)*Inputs!$F$5:$F$110*(((Inputs!$G$5:$G$110="moeda")+(Inputs!$G$5:$G$110="acoes"))*Inputs!$B$1+((Inputs!$G$5:$G$110&lt;&gt;"moeda")*(Inputs!$G$5:$G$110&lt;&gt;"acoes")))*INDEX(Inputs!$K$5:$AJ$110,0,MATCH(G$2,Inputs!$K$4:$AJ$4,0)))))</f>
        <v>6925</v>
      </c>
      <c r="H57" s="514">
        <f>SUM(D57:G57)</f>
        <v>28253</v>
      </c>
      <c r="I57" s="513">
        <f>IF(ISNA(MATCH(I$2,Inputs!$K$4:$AJ$4,0)),NA(),IF(SUMPRODUCT((Inputs!$A$5:$A$110=$B57)*ISNUMBER(INDEX(Inputs!$K$5:$AJ$110,0,MATCH(I$2,Inputs!$K$4:$AJ$4,0))))+SUMPRODUCT((Inputs!$C$5:$C$110=$B57)*ISNUMBER(INDEX(Inputs!$K$5:$AJ$110,0,MATCH(I$2,Inputs!$K$4:$AJ$4,0))))+SUMPRODUCT((Inputs!$E$5:$E$110=$B57)*ISNUMBER(INDEX(Inputs!$K$5:$AJ$110,0,MATCH(I$2,Inputs!$K$4:$AJ$4,0))))=0,NA(),SUMPRODUCT((Inputs!$A$5:$A$110=$B57)*Inputs!$B$5:$B$110*(((Inputs!$G$5:$G$110="moeda")+(Inputs!$G$5:$G$110="acoes"))*Inputs!$B$1+((Inputs!$G$5:$G$110&lt;&gt;"moeda")*(Inputs!$G$5:$G$110&lt;&gt;"acoes")))*INDEX(Inputs!$K$5:$AJ$110,0,MATCH(I$2,Inputs!$K$4:$AJ$4,0)))+SUMPRODUCT((Inputs!$C$5:$C$110=$B57)*Inputs!$D$5:$D$110*(((Inputs!$G$5:$G$110="moeda")+(Inputs!$G$5:$G$110="acoes"))*Inputs!$B$1+((Inputs!$G$5:$G$110&lt;&gt;"moeda")*(Inputs!$G$5:$G$110&lt;&gt;"acoes")))*INDEX(Inputs!$K$5:$AJ$110,0,MATCH(I$2,Inputs!$K$4:$AJ$4,0)))+SUMPRODUCT((Inputs!$E$5:$E$110=$B57)*Inputs!$F$5:$F$110*(((Inputs!$G$5:$G$110="moeda")+(Inputs!$G$5:$G$110="acoes"))*Inputs!$B$1+((Inputs!$G$5:$G$110&lt;&gt;"moeda")*(Inputs!$G$5:$G$110&lt;&gt;"acoes")))*INDEX(Inputs!$K$5:$AJ$110,0,MATCH(I$2,Inputs!$K$4:$AJ$4,0)))))</f>
        <v>7320</v>
      </c>
      <c r="J57" s="513">
        <f>IF(ISNA(MATCH(J$2,Inputs!$K$4:$AJ$4,0)),NA(),IF(SUMPRODUCT((Inputs!$A$5:$A$110=$B57)*ISNUMBER(INDEX(Inputs!$K$5:$AJ$110,0,MATCH(J$2,Inputs!$K$4:$AJ$4,0))))+SUMPRODUCT((Inputs!$C$5:$C$110=$B57)*ISNUMBER(INDEX(Inputs!$K$5:$AJ$110,0,MATCH(J$2,Inputs!$K$4:$AJ$4,0))))+SUMPRODUCT((Inputs!$E$5:$E$110=$B57)*ISNUMBER(INDEX(Inputs!$K$5:$AJ$110,0,MATCH(J$2,Inputs!$K$4:$AJ$4,0))))=0,NA(),SUMPRODUCT((Inputs!$A$5:$A$110=$B57)*Inputs!$B$5:$B$110*(((Inputs!$G$5:$G$110="moeda")+(Inputs!$G$5:$G$110="acoes"))*Inputs!$B$1+((Inputs!$G$5:$G$110&lt;&gt;"moeda")*(Inputs!$G$5:$G$110&lt;&gt;"acoes")))*INDEX(Inputs!$K$5:$AJ$110,0,MATCH(J$2,Inputs!$K$4:$AJ$4,0)))+SUMPRODUCT((Inputs!$C$5:$C$110=$B57)*Inputs!$D$5:$D$110*(((Inputs!$G$5:$G$110="moeda")+(Inputs!$G$5:$G$110="acoes"))*Inputs!$B$1+((Inputs!$G$5:$G$110&lt;&gt;"moeda")*(Inputs!$G$5:$G$110&lt;&gt;"acoes")))*INDEX(Inputs!$K$5:$AJ$110,0,MATCH(J$2,Inputs!$K$4:$AJ$4,0)))+SUMPRODUCT((Inputs!$E$5:$E$110=$B57)*Inputs!$F$5:$F$110*(((Inputs!$G$5:$G$110="moeda")+(Inputs!$G$5:$G$110="acoes"))*Inputs!$B$1+((Inputs!$G$5:$G$110&lt;&gt;"moeda")*(Inputs!$G$5:$G$110&lt;&gt;"acoes")))*INDEX(Inputs!$K$5:$AJ$110,0,MATCH(J$2,Inputs!$K$4:$AJ$4,0)))))</f>
        <v>6794</v>
      </c>
      <c r="K57" s="513">
        <f>IF(ISNA(MATCH(K$2,Inputs!$K$4:$AJ$4,0)),NA(),IF(SUMPRODUCT((Inputs!$A$5:$A$110=$B57)*ISNUMBER(INDEX(Inputs!$K$5:$AJ$110,0,MATCH(K$2,Inputs!$K$4:$AJ$4,0))))+SUMPRODUCT((Inputs!$C$5:$C$110=$B57)*ISNUMBER(INDEX(Inputs!$K$5:$AJ$110,0,MATCH(K$2,Inputs!$K$4:$AJ$4,0))))+SUMPRODUCT((Inputs!$E$5:$E$110=$B57)*ISNUMBER(INDEX(Inputs!$K$5:$AJ$110,0,MATCH(K$2,Inputs!$K$4:$AJ$4,0))))=0,NA(),SUMPRODUCT((Inputs!$A$5:$A$110=$B57)*Inputs!$B$5:$B$110*(((Inputs!$G$5:$G$110="moeda")+(Inputs!$G$5:$G$110="acoes"))*Inputs!$B$1+((Inputs!$G$5:$G$110&lt;&gt;"moeda")*(Inputs!$G$5:$G$110&lt;&gt;"acoes")))*INDEX(Inputs!$K$5:$AJ$110,0,MATCH(K$2,Inputs!$K$4:$AJ$4,0)))+SUMPRODUCT((Inputs!$C$5:$C$110=$B57)*Inputs!$D$5:$D$110*(((Inputs!$G$5:$G$110="moeda")+(Inputs!$G$5:$G$110="acoes"))*Inputs!$B$1+((Inputs!$G$5:$G$110&lt;&gt;"moeda")*(Inputs!$G$5:$G$110&lt;&gt;"acoes")))*INDEX(Inputs!$K$5:$AJ$110,0,MATCH(K$2,Inputs!$K$4:$AJ$4,0)))+SUMPRODUCT((Inputs!$E$5:$E$110=$B57)*Inputs!$F$5:$F$110*(((Inputs!$G$5:$G$110="moeda")+(Inputs!$G$5:$G$110="acoes"))*Inputs!$B$1+((Inputs!$G$5:$G$110&lt;&gt;"moeda")*(Inputs!$G$5:$G$110&lt;&gt;"acoes")))*INDEX(Inputs!$K$5:$AJ$110,0,MATCH(K$2,Inputs!$K$4:$AJ$4,0)))))</f>
        <v>8946</v>
      </c>
      <c r="L57" s="513">
        <f>IF(ISNA(MATCH(L$2,Inputs!$K$4:$AJ$4,0)),NA(),IF(SUMPRODUCT((Inputs!$A$5:$A$110=$B57)*ISNUMBER(INDEX(Inputs!$K$5:$AJ$110,0,MATCH(L$2,Inputs!$K$4:$AJ$4,0))))+SUMPRODUCT((Inputs!$C$5:$C$110=$B57)*ISNUMBER(INDEX(Inputs!$K$5:$AJ$110,0,MATCH(L$2,Inputs!$K$4:$AJ$4,0))))+SUMPRODUCT((Inputs!$E$5:$E$110=$B57)*ISNUMBER(INDEX(Inputs!$K$5:$AJ$110,0,MATCH(L$2,Inputs!$K$4:$AJ$4,0))))=0,NA(),SUMPRODUCT((Inputs!$A$5:$A$110=$B57)*Inputs!$B$5:$B$110*(((Inputs!$G$5:$G$110="moeda")+(Inputs!$G$5:$G$110="acoes"))*Inputs!$B$1+((Inputs!$G$5:$G$110&lt;&gt;"moeda")*(Inputs!$G$5:$G$110&lt;&gt;"acoes")))*INDEX(Inputs!$K$5:$AJ$110,0,MATCH(L$2,Inputs!$K$4:$AJ$4,0)))+SUMPRODUCT((Inputs!$C$5:$C$110=$B57)*Inputs!$D$5:$D$110*(((Inputs!$G$5:$G$110="moeda")+(Inputs!$G$5:$G$110="acoes"))*Inputs!$B$1+((Inputs!$G$5:$G$110&lt;&gt;"moeda")*(Inputs!$G$5:$G$110&lt;&gt;"acoes")))*INDEX(Inputs!$K$5:$AJ$110,0,MATCH(L$2,Inputs!$K$4:$AJ$4,0)))+SUMPRODUCT((Inputs!$E$5:$E$110=$B57)*Inputs!$F$5:$F$110*(((Inputs!$G$5:$G$110="moeda")+(Inputs!$G$5:$G$110="acoes"))*Inputs!$B$1+((Inputs!$G$5:$G$110&lt;&gt;"moeda")*(Inputs!$G$5:$G$110&lt;&gt;"acoes")))*INDEX(Inputs!$K$5:$AJ$110,0,MATCH(L$2,Inputs!$K$4:$AJ$4,0)))))</f>
        <v>6936</v>
      </c>
      <c r="M57" s="514">
        <f>SUM(I57:L57)</f>
        <v>29996</v>
      </c>
      <c r="N57" s="513">
        <f>IF(ISNA(MATCH(N$2,Inputs!$K$4:$AJ$4,0)),NA(),IF(SUMPRODUCT((Inputs!$A$5:$A$110=$B57)*ISNUMBER(INDEX(Inputs!$K$5:$AJ$110,0,MATCH(N$2,Inputs!$K$4:$AJ$4,0))))+SUMPRODUCT((Inputs!$C$5:$C$110=$B57)*ISNUMBER(INDEX(Inputs!$K$5:$AJ$110,0,MATCH(N$2,Inputs!$K$4:$AJ$4,0))))+SUMPRODUCT((Inputs!$E$5:$E$110=$B57)*ISNUMBER(INDEX(Inputs!$K$5:$AJ$110,0,MATCH(N$2,Inputs!$K$4:$AJ$4,0))))=0,NA(),SUMPRODUCT((Inputs!$A$5:$A$110=$B57)*Inputs!$B$5:$B$110*(((Inputs!$G$5:$G$110="moeda")+(Inputs!$G$5:$G$110="acoes"))*Inputs!$B$1+((Inputs!$G$5:$G$110&lt;&gt;"moeda")*(Inputs!$G$5:$G$110&lt;&gt;"acoes")))*INDEX(Inputs!$K$5:$AJ$110,0,MATCH(N$2,Inputs!$K$4:$AJ$4,0)))+SUMPRODUCT((Inputs!$C$5:$C$110=$B57)*Inputs!$D$5:$D$110*(((Inputs!$G$5:$G$110="moeda")+(Inputs!$G$5:$G$110="acoes"))*Inputs!$B$1+((Inputs!$G$5:$G$110&lt;&gt;"moeda")*(Inputs!$G$5:$G$110&lt;&gt;"acoes")))*INDEX(Inputs!$K$5:$AJ$110,0,MATCH(N$2,Inputs!$K$4:$AJ$4,0)))+SUMPRODUCT((Inputs!$E$5:$E$110=$B57)*Inputs!$F$5:$F$110*(((Inputs!$G$5:$G$110="moeda")+(Inputs!$G$5:$G$110="acoes"))*Inputs!$B$1+((Inputs!$G$5:$G$110&lt;&gt;"moeda")*(Inputs!$G$5:$G$110&lt;&gt;"acoes")))*INDEX(Inputs!$K$5:$AJ$110,0,MATCH(N$2,Inputs!$K$4:$AJ$4,0)))))</f>
        <v>7822</v>
      </c>
      <c r="O57" s="513">
        <f>IF(ISNA(MATCH(O$2,Inputs!$K$4:$AJ$4,0)),NA(),IF(SUMPRODUCT((Inputs!$A$5:$A$110=$B57)*ISNUMBER(INDEX(Inputs!$K$5:$AJ$110,0,MATCH(O$2,Inputs!$K$4:$AJ$4,0))))+SUMPRODUCT((Inputs!$C$5:$C$110=$B57)*ISNUMBER(INDEX(Inputs!$K$5:$AJ$110,0,MATCH(O$2,Inputs!$K$4:$AJ$4,0))))+SUMPRODUCT((Inputs!$E$5:$E$110=$B57)*ISNUMBER(INDEX(Inputs!$K$5:$AJ$110,0,MATCH(O$2,Inputs!$K$4:$AJ$4,0))))=0,NA(),SUMPRODUCT((Inputs!$A$5:$A$110=$B57)*Inputs!$B$5:$B$110*(((Inputs!$G$5:$G$110="moeda")+(Inputs!$G$5:$G$110="acoes"))*Inputs!$B$1+((Inputs!$G$5:$G$110&lt;&gt;"moeda")*(Inputs!$G$5:$G$110&lt;&gt;"acoes")))*INDEX(Inputs!$K$5:$AJ$110,0,MATCH(O$2,Inputs!$K$4:$AJ$4,0)))+SUMPRODUCT((Inputs!$C$5:$C$110=$B57)*Inputs!$D$5:$D$110*(((Inputs!$G$5:$G$110="moeda")+(Inputs!$G$5:$G$110="acoes"))*Inputs!$B$1+((Inputs!$G$5:$G$110&lt;&gt;"moeda")*(Inputs!$G$5:$G$110&lt;&gt;"acoes")))*INDEX(Inputs!$K$5:$AJ$110,0,MATCH(O$2,Inputs!$K$4:$AJ$4,0)))+SUMPRODUCT((Inputs!$E$5:$E$110=$B57)*Inputs!$F$5:$F$110*(((Inputs!$G$5:$G$110="moeda")+(Inputs!$G$5:$G$110="acoes"))*Inputs!$B$1+((Inputs!$G$5:$G$110&lt;&gt;"moeda")*(Inputs!$G$5:$G$110&lt;&gt;"acoes")))*INDEX(Inputs!$K$5:$AJ$110,0,MATCH(O$2,Inputs!$K$4:$AJ$4,0)))))</f>
        <v>7331</v>
      </c>
      <c r="P57" s="513">
        <f>IF(ISNA(MATCH(P$2,Inputs!$K$4:$AJ$4,0)),NA(),IF(SUMPRODUCT((Inputs!$A$5:$A$110=$B57)*ISNUMBER(INDEX(Inputs!$K$5:$AJ$110,0,MATCH(P$2,Inputs!$K$4:$AJ$4,0))))+SUMPRODUCT((Inputs!$C$5:$C$110=$B57)*ISNUMBER(INDEX(Inputs!$K$5:$AJ$110,0,MATCH(P$2,Inputs!$K$4:$AJ$4,0))))+SUMPRODUCT((Inputs!$E$5:$E$110=$B57)*ISNUMBER(INDEX(Inputs!$K$5:$AJ$110,0,MATCH(P$2,Inputs!$K$4:$AJ$4,0))))=0,NA(),SUMPRODUCT((Inputs!$A$5:$A$110=$B57)*Inputs!$B$5:$B$110*(((Inputs!$G$5:$G$110="moeda")+(Inputs!$G$5:$G$110="acoes"))*Inputs!$B$1+((Inputs!$G$5:$G$110&lt;&gt;"moeda")*(Inputs!$G$5:$G$110&lt;&gt;"acoes")))*INDEX(Inputs!$K$5:$AJ$110,0,MATCH(P$2,Inputs!$K$4:$AJ$4,0)))+SUMPRODUCT((Inputs!$C$5:$C$110=$B57)*Inputs!$D$5:$D$110*(((Inputs!$G$5:$G$110="moeda")+(Inputs!$G$5:$G$110="acoes"))*Inputs!$B$1+((Inputs!$G$5:$G$110&lt;&gt;"moeda")*(Inputs!$G$5:$G$110&lt;&gt;"acoes")))*INDEX(Inputs!$K$5:$AJ$110,0,MATCH(P$2,Inputs!$K$4:$AJ$4,0)))+SUMPRODUCT((Inputs!$E$5:$E$110=$B57)*Inputs!$F$5:$F$110*(((Inputs!$G$5:$G$110="moeda")+(Inputs!$G$5:$G$110="acoes"))*Inputs!$B$1+((Inputs!$G$5:$G$110&lt;&gt;"moeda")*(Inputs!$G$5:$G$110&lt;&gt;"acoes")))*INDEX(Inputs!$K$5:$AJ$110,0,MATCH(P$2,Inputs!$K$4:$AJ$4,0)))))</f>
        <v>10515</v>
      </c>
      <c r="Q57" s="513">
        <f>IF(ISNA(MATCH(Q$2,Inputs!$K$4:$AJ$4,0)),NA(),IF(SUMPRODUCT((Inputs!$A$5:$A$110=$B57)*ISNUMBER(INDEX(Inputs!$K$5:$AJ$110,0,MATCH(Q$2,Inputs!$K$4:$AJ$4,0))))+SUMPRODUCT((Inputs!$C$5:$C$110=$B57)*ISNUMBER(INDEX(Inputs!$K$5:$AJ$110,0,MATCH(Q$2,Inputs!$K$4:$AJ$4,0))))+SUMPRODUCT((Inputs!$E$5:$E$110=$B57)*ISNUMBER(INDEX(Inputs!$K$5:$AJ$110,0,MATCH(Q$2,Inputs!$K$4:$AJ$4,0))))=0,NA(),SUMPRODUCT((Inputs!$A$5:$A$110=$B57)*Inputs!$B$5:$B$110*(((Inputs!$G$5:$G$110="moeda")+(Inputs!$G$5:$G$110="acoes"))*Inputs!$B$1+((Inputs!$G$5:$G$110&lt;&gt;"moeda")*(Inputs!$G$5:$G$110&lt;&gt;"acoes")))*INDEX(Inputs!$K$5:$AJ$110,0,MATCH(Q$2,Inputs!$K$4:$AJ$4,0)))+SUMPRODUCT((Inputs!$C$5:$C$110=$B57)*Inputs!$D$5:$D$110*(((Inputs!$G$5:$G$110="moeda")+(Inputs!$G$5:$G$110="acoes"))*Inputs!$B$1+((Inputs!$G$5:$G$110&lt;&gt;"moeda")*(Inputs!$G$5:$G$110&lt;&gt;"acoes")))*INDEX(Inputs!$K$5:$AJ$110,0,MATCH(Q$2,Inputs!$K$4:$AJ$4,0)))+SUMPRODUCT((Inputs!$E$5:$E$110=$B57)*Inputs!$F$5:$F$110*(((Inputs!$G$5:$G$110="moeda")+(Inputs!$G$5:$G$110="acoes"))*Inputs!$B$1+((Inputs!$G$5:$G$110&lt;&gt;"moeda")*(Inputs!$G$5:$G$110&lt;&gt;"acoes")))*INDEX(Inputs!$K$5:$AJ$110,0,MATCH(Q$2,Inputs!$K$4:$AJ$4,0)))))</f>
        <v>8065</v>
      </c>
      <c r="R57" s="514">
        <f>SUM(N57:Q57)</f>
        <v>33733</v>
      </c>
      <c r="S57" s="513">
        <f>IF(ISNA(MATCH(S$2,Inputs!$K$4:$AJ$4,0)),NA(),IF(SUMPRODUCT((Inputs!$A$5:$A$110=$B57)*ISNUMBER(INDEX(Inputs!$K$5:$AJ$110,0,MATCH(S$2,Inputs!$K$4:$AJ$4,0))))+SUMPRODUCT((Inputs!$C$5:$C$110=$B57)*ISNUMBER(INDEX(Inputs!$K$5:$AJ$110,0,MATCH(S$2,Inputs!$K$4:$AJ$4,0))))+SUMPRODUCT((Inputs!$E$5:$E$110=$B57)*ISNUMBER(INDEX(Inputs!$K$5:$AJ$110,0,MATCH(S$2,Inputs!$K$4:$AJ$4,0))))=0,NA(),SUMPRODUCT((Inputs!$A$5:$A$110=$B57)*Inputs!$B$5:$B$110*(((Inputs!$G$5:$G$110="moeda")+(Inputs!$G$5:$G$110="acoes"))*Inputs!$B$1+((Inputs!$G$5:$G$110&lt;&gt;"moeda")*(Inputs!$G$5:$G$110&lt;&gt;"acoes")))*INDEX(Inputs!$K$5:$AJ$110,0,MATCH(S$2,Inputs!$K$4:$AJ$4,0)))+SUMPRODUCT((Inputs!$C$5:$C$110=$B57)*Inputs!$D$5:$D$110*(((Inputs!$G$5:$G$110="moeda")+(Inputs!$G$5:$G$110="acoes"))*Inputs!$B$1+((Inputs!$G$5:$G$110&lt;&gt;"moeda")*(Inputs!$G$5:$G$110&lt;&gt;"acoes")))*INDEX(Inputs!$K$5:$AJ$110,0,MATCH(S$2,Inputs!$K$4:$AJ$4,0)))+SUMPRODUCT((Inputs!$E$5:$E$110=$B57)*Inputs!$F$5:$F$110*(((Inputs!$G$5:$G$110="moeda")+(Inputs!$G$5:$G$110="acoes"))*Inputs!$B$1+((Inputs!$G$5:$G$110&lt;&gt;"moeda")*(Inputs!$G$5:$G$110&lt;&gt;"acoes")))*INDEX(Inputs!$K$5:$AJ$110,0,MATCH(S$2,Inputs!$K$4:$AJ$4,0)))))</f>
        <v>8616</v>
      </c>
      <c r="T57" s="513">
        <f>IF(ISNA(MATCH(T$2,Inputs!$K$4:$AJ$4,0)),NA(),IF(SUMPRODUCT((Inputs!$A$5:$A$110=$B57)*ISNUMBER(INDEX(Inputs!$K$5:$AJ$110,0,MATCH(T$2,Inputs!$K$4:$AJ$4,0))))+SUMPRODUCT((Inputs!$C$5:$C$110=$B57)*ISNUMBER(INDEX(Inputs!$K$5:$AJ$110,0,MATCH(T$2,Inputs!$K$4:$AJ$4,0))))+SUMPRODUCT((Inputs!$E$5:$E$110=$B57)*ISNUMBER(INDEX(Inputs!$K$5:$AJ$110,0,MATCH(T$2,Inputs!$K$4:$AJ$4,0))))=0,NA(),SUMPRODUCT((Inputs!$A$5:$A$110=$B57)*Inputs!$B$5:$B$110*(((Inputs!$G$5:$G$110="moeda")+(Inputs!$G$5:$G$110="acoes"))*Inputs!$B$1+((Inputs!$G$5:$G$110&lt;&gt;"moeda")*(Inputs!$G$5:$G$110&lt;&gt;"acoes")))*INDEX(Inputs!$K$5:$AJ$110,0,MATCH(T$2,Inputs!$K$4:$AJ$4,0)))+SUMPRODUCT((Inputs!$C$5:$C$110=$B57)*Inputs!$D$5:$D$110*(((Inputs!$G$5:$G$110="moeda")+(Inputs!$G$5:$G$110="acoes"))*Inputs!$B$1+((Inputs!$G$5:$G$110&lt;&gt;"moeda")*(Inputs!$G$5:$G$110&lt;&gt;"acoes")))*INDEX(Inputs!$K$5:$AJ$110,0,MATCH(T$2,Inputs!$K$4:$AJ$4,0)))+SUMPRODUCT((Inputs!$E$5:$E$110=$B57)*Inputs!$F$5:$F$110*(((Inputs!$G$5:$G$110="moeda")+(Inputs!$G$5:$G$110="acoes"))*Inputs!$B$1+((Inputs!$G$5:$G$110&lt;&gt;"moeda")*(Inputs!$G$5:$G$110&lt;&gt;"acoes")))*INDEX(Inputs!$K$5:$AJ$110,0,MATCH(T$2,Inputs!$K$4:$AJ$4,0)))))</f>
        <v>8052</v>
      </c>
      <c r="U57" s="513">
        <f>IF(ISNA(MATCH(U$2,Inputs!$K$4:$AJ$4,0)),NA(),IF(SUMPRODUCT((Inputs!$A$5:$A$110=$B57)*ISNUMBER(INDEX(Inputs!$K$5:$AJ$110,0,MATCH(U$2,Inputs!$K$4:$AJ$4,0))))+SUMPRODUCT((Inputs!$C$5:$C$110=$B57)*ISNUMBER(INDEX(Inputs!$K$5:$AJ$110,0,MATCH(U$2,Inputs!$K$4:$AJ$4,0))))+SUMPRODUCT((Inputs!$E$5:$E$110=$B57)*ISNUMBER(INDEX(Inputs!$K$5:$AJ$110,0,MATCH(U$2,Inputs!$K$4:$AJ$4,0))))=0,NA(),SUMPRODUCT((Inputs!$A$5:$A$110=$B57)*Inputs!$B$5:$B$110*(((Inputs!$G$5:$G$110="moeda")+(Inputs!$G$5:$G$110="acoes"))*Inputs!$B$1+((Inputs!$G$5:$G$110&lt;&gt;"moeda")*(Inputs!$G$5:$G$110&lt;&gt;"acoes")))*INDEX(Inputs!$K$5:$AJ$110,0,MATCH(U$2,Inputs!$K$4:$AJ$4,0)))+SUMPRODUCT((Inputs!$C$5:$C$110=$B57)*Inputs!$D$5:$D$110*(((Inputs!$G$5:$G$110="moeda")+(Inputs!$G$5:$G$110="acoes"))*Inputs!$B$1+((Inputs!$G$5:$G$110&lt;&gt;"moeda")*(Inputs!$G$5:$G$110&lt;&gt;"acoes")))*INDEX(Inputs!$K$5:$AJ$110,0,MATCH(U$2,Inputs!$K$4:$AJ$4,0)))+SUMPRODUCT((Inputs!$E$5:$E$110=$B57)*Inputs!$F$5:$F$110*(((Inputs!$G$5:$G$110="moeda")+(Inputs!$G$5:$G$110="acoes"))*Inputs!$B$1+((Inputs!$G$5:$G$110&lt;&gt;"moeda")*(Inputs!$G$5:$G$110&lt;&gt;"acoes")))*INDEX(Inputs!$K$5:$AJ$110,0,MATCH(U$2,Inputs!$K$4:$AJ$4,0)))))</f>
        <v>10703</v>
      </c>
      <c r="V57" s="513">
        <f>IF(ISNA(MATCH(V$2,Inputs!$K$4:$AJ$4,0)),NA(),IF(SUMPRODUCT((Inputs!$A$5:$A$110=$B57)*ISNUMBER(INDEX(Inputs!$K$5:$AJ$110,0,MATCH(V$2,Inputs!$K$4:$AJ$4,0))))+SUMPRODUCT((Inputs!$C$5:$C$110=$B57)*ISNUMBER(INDEX(Inputs!$K$5:$AJ$110,0,MATCH(V$2,Inputs!$K$4:$AJ$4,0))))+SUMPRODUCT((Inputs!$E$5:$E$110=$B57)*ISNUMBER(INDEX(Inputs!$K$5:$AJ$110,0,MATCH(V$2,Inputs!$K$4:$AJ$4,0))))=0,NA(),SUMPRODUCT((Inputs!$A$5:$A$110=$B57)*Inputs!$B$5:$B$110*(((Inputs!$G$5:$G$110="moeda")+(Inputs!$G$5:$G$110="acoes"))*Inputs!$B$1+((Inputs!$G$5:$G$110&lt;&gt;"moeda")*(Inputs!$G$5:$G$110&lt;&gt;"acoes")))*INDEX(Inputs!$K$5:$AJ$110,0,MATCH(V$2,Inputs!$K$4:$AJ$4,0)))+SUMPRODUCT((Inputs!$C$5:$C$110=$B57)*Inputs!$D$5:$D$110*(((Inputs!$G$5:$G$110="moeda")+(Inputs!$G$5:$G$110="acoes"))*Inputs!$B$1+((Inputs!$G$5:$G$110&lt;&gt;"moeda")*(Inputs!$G$5:$G$110&lt;&gt;"acoes")))*INDEX(Inputs!$K$5:$AJ$110,0,MATCH(V$2,Inputs!$K$4:$AJ$4,0)))+SUMPRODUCT((Inputs!$E$5:$E$110=$B57)*Inputs!$F$5:$F$110*(((Inputs!$G$5:$G$110="moeda")+(Inputs!$G$5:$G$110="acoes"))*Inputs!$B$1+((Inputs!$G$5:$G$110&lt;&gt;"moeda")*(Inputs!$G$5:$G$110&lt;&gt;"acoes")))*INDEX(Inputs!$K$5:$AJ$110,0,MATCH(V$2,Inputs!$K$4:$AJ$4,0)))))</f>
        <v>8659</v>
      </c>
      <c r="W57" s="514">
        <f>SUM(S57:V57)</f>
        <v>36030</v>
      </c>
      <c r="X57" s="513">
        <f>IF(ISNA(MATCH(X$2,Inputs!$K$4:$AJ$4,0)),NA(),IF(SUMPRODUCT((Inputs!$A$5:$A$110=$B57)*ISNUMBER(INDEX(Inputs!$K$5:$AJ$110,0,MATCH(X$2,Inputs!$K$4:$AJ$4,0))))+SUMPRODUCT((Inputs!$C$5:$C$110=$B57)*ISNUMBER(INDEX(Inputs!$K$5:$AJ$110,0,MATCH(X$2,Inputs!$K$4:$AJ$4,0))))+SUMPRODUCT((Inputs!$E$5:$E$110=$B57)*ISNUMBER(INDEX(Inputs!$K$5:$AJ$110,0,MATCH(X$2,Inputs!$K$4:$AJ$4,0))))=0,NA(),SUMPRODUCT((Inputs!$A$5:$A$110=$B57)*Inputs!$B$5:$B$110*(((Inputs!$G$5:$G$110="moeda")+(Inputs!$G$5:$G$110="acoes"))*Inputs!$B$1+((Inputs!$G$5:$G$110&lt;&gt;"moeda")*(Inputs!$G$5:$G$110&lt;&gt;"acoes")))*INDEX(Inputs!$K$5:$AJ$110,0,MATCH(X$2,Inputs!$K$4:$AJ$4,0)))+SUMPRODUCT((Inputs!$C$5:$C$110=$B57)*Inputs!$D$5:$D$110*(((Inputs!$G$5:$G$110="moeda")+(Inputs!$G$5:$G$110="acoes"))*Inputs!$B$1+((Inputs!$G$5:$G$110&lt;&gt;"moeda")*(Inputs!$G$5:$G$110&lt;&gt;"acoes")))*INDEX(Inputs!$K$5:$AJ$110,0,MATCH(X$2,Inputs!$K$4:$AJ$4,0)))+SUMPRODUCT((Inputs!$E$5:$E$110=$B57)*Inputs!$F$5:$F$110*(((Inputs!$G$5:$G$110="moeda")+(Inputs!$G$5:$G$110="acoes"))*Inputs!$B$1+((Inputs!$G$5:$G$110&lt;&gt;"moeda")*(Inputs!$G$5:$G$110&lt;&gt;"acoes")))*INDEX(Inputs!$K$5:$AJ$110,0,MATCH(X$2,Inputs!$K$4:$AJ$4,0)))))</f>
        <v>9014</v>
      </c>
      <c r="Y57" s="513">
        <f>IF(ISNA(MATCH(Y$2,Inputs!$K$4:$AJ$4,0)),NA(),IF(SUMPRODUCT((Inputs!$A$5:$A$110=$B57)*ISNUMBER(INDEX(Inputs!$K$5:$AJ$110,0,MATCH(Y$2,Inputs!$K$4:$AJ$4,0))))+SUMPRODUCT((Inputs!$C$5:$C$110=$B57)*ISNUMBER(INDEX(Inputs!$K$5:$AJ$110,0,MATCH(Y$2,Inputs!$K$4:$AJ$4,0))))+SUMPRODUCT((Inputs!$E$5:$E$110=$B57)*ISNUMBER(INDEX(Inputs!$K$5:$AJ$110,0,MATCH(Y$2,Inputs!$K$4:$AJ$4,0))))=0,NA(),SUMPRODUCT((Inputs!$A$5:$A$110=$B57)*Inputs!$B$5:$B$110*(((Inputs!$G$5:$G$110="moeda")+(Inputs!$G$5:$G$110="acoes"))*Inputs!$B$1+((Inputs!$G$5:$G$110&lt;&gt;"moeda")*(Inputs!$G$5:$G$110&lt;&gt;"acoes")))*INDEX(Inputs!$K$5:$AJ$110,0,MATCH(Y$2,Inputs!$K$4:$AJ$4,0)))+SUMPRODUCT((Inputs!$C$5:$C$110=$B57)*Inputs!$D$5:$D$110*(((Inputs!$G$5:$G$110="moeda")+(Inputs!$G$5:$G$110="acoes"))*Inputs!$B$1+((Inputs!$G$5:$G$110&lt;&gt;"moeda")*(Inputs!$G$5:$G$110&lt;&gt;"acoes")))*INDEX(Inputs!$K$5:$AJ$110,0,MATCH(Y$2,Inputs!$K$4:$AJ$4,0)))+SUMPRODUCT((Inputs!$E$5:$E$110=$B57)*Inputs!$F$5:$F$110*(((Inputs!$G$5:$G$110="moeda")+(Inputs!$G$5:$G$110="acoes"))*Inputs!$B$1+((Inputs!$G$5:$G$110&lt;&gt;"moeda")*(Inputs!$G$5:$G$110&lt;&gt;"acoes")))*INDEX(Inputs!$K$5:$AJ$110,0,MATCH(Y$2,Inputs!$K$4:$AJ$4,0)))))</f>
        <v>8566</v>
      </c>
      <c r="Z57" s="513">
        <f>IF(ISNA(MATCH(Z$2,Inputs!$K$4:$AJ$4,0)),NA(),IF(SUMPRODUCT((Inputs!$A$5:$A$110=$B57)*ISNUMBER(INDEX(Inputs!$K$5:$AJ$110,0,MATCH(Z$2,Inputs!$K$4:$AJ$4,0))))+SUMPRODUCT((Inputs!$C$5:$C$110=$B57)*ISNUMBER(INDEX(Inputs!$K$5:$AJ$110,0,MATCH(Z$2,Inputs!$K$4:$AJ$4,0))))+SUMPRODUCT((Inputs!$E$5:$E$110=$B57)*ISNUMBER(INDEX(Inputs!$K$5:$AJ$110,0,MATCH(Z$2,Inputs!$K$4:$AJ$4,0))))=0,NA(),SUMPRODUCT((Inputs!$A$5:$A$110=$B57)*Inputs!$B$5:$B$110*(((Inputs!$G$5:$G$110="moeda")+(Inputs!$G$5:$G$110="acoes"))*Inputs!$B$1+((Inputs!$G$5:$G$110&lt;&gt;"moeda")*(Inputs!$G$5:$G$110&lt;&gt;"acoes")))*INDEX(Inputs!$K$5:$AJ$110,0,MATCH(Z$2,Inputs!$K$4:$AJ$4,0)))+SUMPRODUCT((Inputs!$C$5:$C$110=$B57)*Inputs!$D$5:$D$110*(((Inputs!$G$5:$G$110="moeda")+(Inputs!$G$5:$G$110="acoes"))*Inputs!$B$1+((Inputs!$G$5:$G$110&lt;&gt;"moeda")*(Inputs!$G$5:$G$110&lt;&gt;"acoes")))*INDEX(Inputs!$K$5:$AJ$110,0,MATCH(Z$2,Inputs!$K$4:$AJ$4,0)))+SUMPRODUCT((Inputs!$E$5:$E$110=$B57)*Inputs!$F$5:$F$110*(((Inputs!$G$5:$G$110="moeda")+(Inputs!$G$5:$G$110="acoes"))*Inputs!$B$1+((Inputs!$G$5:$G$110&lt;&gt;"moeda")*(Inputs!$G$5:$G$110&lt;&gt;"acoes")))*INDEX(Inputs!$K$5:$AJ$110,0,MATCH(Z$2,Inputs!$K$4:$AJ$4,0)))))</f>
        <v>12027</v>
      </c>
      <c r="AA57" s="513">
        <f>IF(ISNA(MATCH(AA$2,Inputs!$K$4:$AJ$4,0)),NA(),IF(SUMPRODUCT((Inputs!$A$5:$A$110=$B57)*ISNUMBER(INDEX(Inputs!$K$5:$AJ$110,0,MATCH(AA$2,Inputs!$K$4:$AJ$4,0))))+SUMPRODUCT((Inputs!$C$5:$C$110=$B57)*ISNUMBER(INDEX(Inputs!$K$5:$AJ$110,0,MATCH(AA$2,Inputs!$K$4:$AJ$4,0))))+SUMPRODUCT((Inputs!$E$5:$E$110=$B57)*ISNUMBER(INDEX(Inputs!$K$5:$AJ$110,0,MATCH(AA$2,Inputs!$K$4:$AJ$4,0))))=0,NA(),SUMPRODUCT((Inputs!$A$5:$A$110=$B57)*Inputs!$B$5:$B$110*(((Inputs!$G$5:$G$110="moeda")+(Inputs!$G$5:$G$110="acoes"))*Inputs!$B$1+((Inputs!$G$5:$G$110&lt;&gt;"moeda")*(Inputs!$G$5:$G$110&lt;&gt;"acoes")))*INDEX(Inputs!$K$5:$AJ$110,0,MATCH(AA$2,Inputs!$K$4:$AJ$4,0)))+SUMPRODUCT((Inputs!$C$5:$C$110=$B57)*Inputs!$D$5:$D$110*(((Inputs!$G$5:$G$110="moeda")+(Inputs!$G$5:$G$110="acoes"))*Inputs!$B$1+((Inputs!$G$5:$G$110&lt;&gt;"moeda")*(Inputs!$G$5:$G$110&lt;&gt;"acoes")))*INDEX(Inputs!$K$5:$AJ$110,0,MATCH(AA$2,Inputs!$K$4:$AJ$4,0)))+SUMPRODUCT((Inputs!$E$5:$E$110=$B57)*Inputs!$F$5:$F$110*(((Inputs!$G$5:$G$110="moeda")+(Inputs!$G$5:$G$110="acoes"))*Inputs!$B$1+((Inputs!$G$5:$G$110&lt;&gt;"moeda")*(Inputs!$G$5:$G$110&lt;&gt;"acoes")))*INDEX(Inputs!$K$5:$AJ$110,0,MATCH(AA$2,Inputs!$K$4:$AJ$4,0)))))</f>
        <v>9665</v>
      </c>
      <c r="AB57" s="514">
        <f>SUM(X57:AA57)</f>
        <v>39272</v>
      </c>
      <c r="AC57" s="513">
        <f>IF(ISNA(MATCH(AC$2,Inputs!$K$4:$AJ$4,0)),NA(),IF(SUMPRODUCT((Inputs!$A$5:$A$110=$B57)*ISNUMBER(INDEX(Inputs!$K$5:$AJ$110,0,MATCH(AC$2,Inputs!$K$4:$AJ$4,0))))+SUMPRODUCT((Inputs!$C$5:$C$110=$B57)*ISNUMBER(INDEX(Inputs!$K$5:$AJ$110,0,MATCH(AC$2,Inputs!$K$4:$AJ$4,0))))+SUMPRODUCT((Inputs!$E$5:$E$110=$B57)*ISNUMBER(INDEX(Inputs!$K$5:$AJ$110,0,MATCH(AC$2,Inputs!$K$4:$AJ$4,0))))=0,NA(),SUMPRODUCT((Inputs!$A$5:$A$110=$B57)*Inputs!$B$5:$B$110*(((Inputs!$G$5:$G$110="moeda")+(Inputs!$G$5:$G$110="acoes"))*Inputs!$B$1+((Inputs!$G$5:$G$110&lt;&gt;"moeda")*(Inputs!$G$5:$G$110&lt;&gt;"acoes")))*INDEX(Inputs!$K$5:$AJ$110,0,MATCH(AC$2,Inputs!$K$4:$AJ$4,0)))+SUMPRODUCT((Inputs!$C$5:$C$110=$B57)*Inputs!$D$5:$D$110*(((Inputs!$G$5:$G$110="moeda")+(Inputs!$G$5:$G$110="acoes"))*Inputs!$B$1+((Inputs!$G$5:$G$110&lt;&gt;"moeda")*(Inputs!$G$5:$G$110&lt;&gt;"acoes")))*INDEX(Inputs!$K$5:$AJ$110,0,MATCH(AC$2,Inputs!$K$4:$AJ$4,0)))+SUMPRODUCT((Inputs!$E$5:$E$110=$B57)*Inputs!$F$5:$F$110*(((Inputs!$G$5:$G$110="moeda")+(Inputs!$G$5:$G$110="acoes"))*Inputs!$B$1+((Inputs!$G$5:$G$110&lt;&gt;"moeda")*(Inputs!$G$5:$G$110&lt;&gt;"acoes")))*INDEX(Inputs!$K$5:$AJ$110,0,MATCH(AC$2,Inputs!$K$4:$AJ$4,0)))))</f>
        <v>10375</v>
      </c>
      <c r="AD57" s="513">
        <f>IF(ISNA(MATCH(AD$2,Inputs!$K$4:$AJ$4,0)),NA(),IF(SUMPRODUCT((Inputs!$A$5:$A$110=$B57)*ISNUMBER(INDEX(Inputs!$K$5:$AJ$110,0,MATCH(AD$2,Inputs!$K$4:$AJ$4,0))))+SUMPRODUCT((Inputs!$C$5:$C$110=$B57)*ISNUMBER(INDEX(Inputs!$K$5:$AJ$110,0,MATCH(AD$2,Inputs!$K$4:$AJ$4,0))))+SUMPRODUCT((Inputs!$E$5:$E$110=$B57)*ISNUMBER(INDEX(Inputs!$K$5:$AJ$110,0,MATCH(AD$2,Inputs!$K$4:$AJ$4,0))))=0,NA(),SUMPRODUCT((Inputs!$A$5:$A$110=$B57)*Inputs!$B$5:$B$110*(((Inputs!$G$5:$G$110="moeda")+(Inputs!$G$5:$G$110="acoes"))*Inputs!$B$1+((Inputs!$G$5:$G$110&lt;&gt;"moeda")*(Inputs!$G$5:$G$110&lt;&gt;"acoes")))*INDEX(Inputs!$K$5:$AJ$110,0,MATCH(AD$2,Inputs!$K$4:$AJ$4,0)))+SUMPRODUCT((Inputs!$C$5:$C$110=$B57)*Inputs!$D$5:$D$110*(((Inputs!$G$5:$G$110="moeda")+(Inputs!$G$5:$G$110="acoes"))*Inputs!$B$1+((Inputs!$G$5:$G$110&lt;&gt;"moeda")*(Inputs!$G$5:$G$110&lt;&gt;"acoes")))*INDEX(Inputs!$K$5:$AJ$110,0,MATCH(AD$2,Inputs!$K$4:$AJ$4,0)))+SUMPRODUCT((Inputs!$E$5:$E$110=$B57)*Inputs!$F$5:$F$110*(((Inputs!$G$5:$G$110="moeda")+(Inputs!$G$5:$G$110="acoes"))*Inputs!$B$1+((Inputs!$G$5:$G$110&lt;&gt;"moeda")*(Inputs!$G$5:$G$110&lt;&gt;"acoes")))*INDEX(Inputs!$K$5:$AJ$110,0,MATCH(AD$2,Inputs!$K$4:$AJ$4,0)))))</f>
        <v>9683</v>
      </c>
      <c r="AE57" s="513" t="e">
        <f>IF(ISNA(MATCH(AE$2,Inputs!$K$4:$AJ$4,0)),NA(),IF(SUMPRODUCT((Inputs!$A$5:$A$110=$B57)*ISNUMBER(INDEX(Inputs!$K$5:$AJ$110,0,MATCH(AE$2,Inputs!$K$4:$AJ$4,0))))+SUMPRODUCT((Inputs!$C$5:$C$110=$B57)*ISNUMBER(INDEX(Inputs!$K$5:$AJ$110,0,MATCH(AE$2,Inputs!$K$4:$AJ$4,0))))+SUMPRODUCT((Inputs!$E$5:$E$110=$B57)*ISNUMBER(INDEX(Inputs!$K$5:$AJ$110,0,MATCH(AE$2,Inputs!$K$4:$AJ$4,0))))=0,NA(),SUMPRODUCT((Inputs!$A$5:$A$110=$B57)*Inputs!$B$5:$B$110*(((Inputs!$G$5:$G$110="moeda")+(Inputs!$G$5:$G$110="acoes"))*Inputs!$B$1+((Inputs!$G$5:$G$110&lt;&gt;"moeda")*(Inputs!$G$5:$G$110&lt;&gt;"acoes")))*INDEX(Inputs!$K$5:$AJ$110,0,MATCH(AE$2,Inputs!$K$4:$AJ$4,0)))+SUMPRODUCT((Inputs!$C$5:$C$110=$B57)*Inputs!$D$5:$D$110*(((Inputs!$G$5:$G$110="moeda")+(Inputs!$G$5:$G$110="acoes"))*Inputs!$B$1+((Inputs!$G$5:$G$110&lt;&gt;"moeda")*(Inputs!$G$5:$G$110&lt;&gt;"acoes")))*INDEX(Inputs!$K$5:$AJ$110,0,MATCH(AE$2,Inputs!$K$4:$AJ$4,0)))+SUMPRODUCT((Inputs!$E$5:$E$110=$B57)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7" s="513" t="e">
        <f>IF(ISNA(MATCH(AF$2,Inputs!$K$4:$AJ$4,0)),NA(),IF(SUMPRODUCT((Inputs!$A$5:$A$110=$B57)*ISNUMBER(INDEX(Inputs!$K$5:$AJ$110,0,MATCH(AF$2,Inputs!$K$4:$AJ$4,0))))+SUMPRODUCT((Inputs!$C$5:$C$110=$B57)*ISNUMBER(INDEX(Inputs!$K$5:$AJ$110,0,MATCH(AF$2,Inputs!$K$4:$AJ$4,0))))+SUMPRODUCT((Inputs!$E$5:$E$110=$B57)*ISNUMBER(INDEX(Inputs!$K$5:$AJ$110,0,MATCH(AF$2,Inputs!$K$4:$AJ$4,0))))=0,NA(),SUMPRODUCT((Inputs!$A$5:$A$110=$B57)*Inputs!$B$5:$B$110*(((Inputs!$G$5:$G$110="moeda")+(Inputs!$G$5:$G$110="acoes"))*Inputs!$B$1+((Inputs!$G$5:$G$110&lt;&gt;"moeda")*(Inputs!$G$5:$G$110&lt;&gt;"acoes")))*INDEX(Inputs!$K$5:$AJ$110,0,MATCH(AF$2,Inputs!$K$4:$AJ$4,0)))+SUMPRODUCT((Inputs!$C$5:$C$110=$B57)*Inputs!$D$5:$D$110*(((Inputs!$G$5:$G$110="moeda")+(Inputs!$G$5:$G$110="acoes"))*Inputs!$B$1+((Inputs!$G$5:$G$110&lt;&gt;"moeda")*(Inputs!$G$5:$G$110&lt;&gt;"acoes")))*INDEX(Inputs!$K$5:$AJ$110,0,MATCH(AF$2,Inputs!$K$4:$AJ$4,0)))+SUMPRODUCT((Inputs!$E$5:$E$110=$B57)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7" s="514" t="e">
        <f>SUM(AC57:AF57)</f>
        <v>#N/A</v>
      </c>
      <c r="AH57" s="513">
        <f>IF(ISNA(MATCH(AH$2,Inputs!$K$4:$AJ$4,0)),NA(),IF(SUMPRODUCT((Inputs!$A$5:$A$110=$B57)*ISNUMBER(INDEX(Inputs!$K$5:$AJ$110,0,MATCH(AH$2,Inputs!$K$4:$AJ$4,0))))+SUMPRODUCT((Inputs!$C$5:$C$110=$B57)*ISNUMBER(INDEX(Inputs!$K$5:$AJ$110,0,MATCH(AH$2,Inputs!$K$4:$AJ$4,0))))+SUMPRODUCT((Inputs!$E$5:$E$110=$B57)*ISNUMBER(INDEX(Inputs!$K$5:$AJ$110,0,MATCH(AH$2,Inputs!$K$4:$AJ$4,0))))=0,NA(),SUMPRODUCT((Inputs!$A$5:$A$110=$B57)*Inputs!$B$5:$B$110*(((Inputs!$G$5:$G$110="moeda")+(Inputs!$G$5:$G$110="acoes"))*Inputs!$B$1+((Inputs!$G$5:$G$110&lt;&gt;"moeda")*(Inputs!$G$5:$G$110&lt;&gt;"acoes")))*INDEX(Inputs!$K$5:$AJ$110,0,MATCH(AH$2,Inputs!$K$4:$AJ$4,0)))+SUMPRODUCT((Inputs!$C$5:$C$110=$B57)*Inputs!$D$5:$D$110*(((Inputs!$G$5:$G$110="moeda")+(Inputs!$G$5:$G$110="acoes"))*Inputs!$B$1+((Inputs!$G$5:$G$110&lt;&gt;"moeda")*(Inputs!$G$5:$G$110&lt;&gt;"acoes")))*INDEX(Inputs!$K$5:$AJ$110,0,MATCH(AH$2,Inputs!$K$4:$AJ$4,0)))+SUMPRODUCT((Inputs!$E$5:$E$110=$B57)*Inputs!$F$5:$F$110*(((Inputs!$G$5:$G$110="moeda")+(Inputs!$G$5:$G$110="acoes"))*Inputs!$B$1+((Inputs!$G$5:$G$110&lt;&gt;"moeda")*(Inputs!$G$5:$G$110&lt;&gt;"acoes")))*INDEX(Inputs!$K$5:$AJ$110,0,MATCH(AH$2,Inputs!$K$4:$AJ$4,0)))))</f>
        <v>5318</v>
      </c>
      <c r="AI57" s="513">
        <f>IF(ISNA(MATCH(AI$2,Inputs!$K$4:$AJ$4,0)),NA(),IF(SUMPRODUCT((Inputs!$A$5:$A$110=$B57)*ISNUMBER(INDEX(Inputs!$K$5:$AJ$110,0,MATCH(AI$2,Inputs!$K$4:$AJ$4,0))))+SUMPRODUCT((Inputs!$C$5:$C$110=$B57)*ISNUMBER(INDEX(Inputs!$K$5:$AJ$110,0,MATCH(AI$2,Inputs!$K$4:$AJ$4,0))))+SUMPRODUCT((Inputs!$E$5:$E$110=$B57)*ISNUMBER(INDEX(Inputs!$K$5:$AJ$110,0,MATCH(AI$2,Inputs!$K$4:$AJ$4,0))))=0,NA(),SUMPRODUCT((Inputs!$A$5:$A$110=$B57)*Inputs!$B$5:$B$110*(((Inputs!$G$5:$G$110="moeda")+(Inputs!$G$5:$G$110="acoes"))*Inputs!$B$1+((Inputs!$G$5:$G$110&lt;&gt;"moeda")*(Inputs!$G$5:$G$110&lt;&gt;"acoes")))*INDEX(Inputs!$K$5:$AJ$110,0,MATCH(AI$2,Inputs!$K$4:$AJ$4,0)))+SUMPRODUCT((Inputs!$C$5:$C$110=$B57)*Inputs!$D$5:$D$110*(((Inputs!$G$5:$G$110="moeda")+(Inputs!$G$5:$G$110="acoes"))*Inputs!$B$1+((Inputs!$G$5:$G$110&lt;&gt;"moeda")*(Inputs!$G$5:$G$110&lt;&gt;"acoes")))*INDEX(Inputs!$K$5:$AJ$110,0,MATCH(AI$2,Inputs!$K$4:$AJ$4,0)))+SUMPRODUCT((Inputs!$E$5:$E$110=$B57)*Inputs!$F$5:$F$110*(((Inputs!$G$5:$G$110="moeda")+(Inputs!$G$5:$G$110="acoes"))*Inputs!$B$1+((Inputs!$G$5:$G$110&lt;&gt;"moeda")*(Inputs!$G$5:$G$110&lt;&gt;"acoes")))*INDEX(Inputs!$K$5:$AJ$110,0,MATCH(AI$2,Inputs!$K$4:$AJ$4,0)))))</f>
        <v>4918</v>
      </c>
      <c r="AJ57" s="513">
        <f>IF(ISNA(MATCH(AJ$2,Inputs!$K$4:$AJ$4,0)),NA(),IF(SUMPRODUCT((Inputs!$A$5:$A$110=$B57)*ISNUMBER(INDEX(Inputs!$K$5:$AJ$110,0,MATCH(AJ$2,Inputs!$K$4:$AJ$4,0))))+SUMPRODUCT((Inputs!$C$5:$C$110=$B57)*ISNUMBER(INDEX(Inputs!$K$5:$AJ$110,0,MATCH(AJ$2,Inputs!$K$4:$AJ$4,0))))+SUMPRODUCT((Inputs!$E$5:$E$110=$B57)*ISNUMBER(INDEX(Inputs!$K$5:$AJ$110,0,MATCH(AJ$2,Inputs!$K$4:$AJ$4,0))))=0,NA(),SUMPRODUCT((Inputs!$A$5:$A$110=$B57)*Inputs!$B$5:$B$110*(((Inputs!$G$5:$G$110="moeda")+(Inputs!$G$5:$G$110="acoes"))*Inputs!$B$1+((Inputs!$G$5:$G$110&lt;&gt;"moeda")*(Inputs!$G$5:$G$110&lt;&gt;"acoes")))*INDEX(Inputs!$K$5:$AJ$110,0,MATCH(AJ$2,Inputs!$K$4:$AJ$4,0)))+SUMPRODUCT((Inputs!$C$5:$C$110=$B57)*Inputs!$D$5:$D$110*(((Inputs!$G$5:$G$110="moeda")+(Inputs!$G$5:$G$110="acoes"))*Inputs!$B$1+((Inputs!$G$5:$G$110&lt;&gt;"moeda")*(Inputs!$G$5:$G$110&lt;&gt;"acoes")))*INDEX(Inputs!$K$5:$AJ$110,0,MATCH(AJ$2,Inputs!$K$4:$AJ$4,0)))+SUMPRODUCT((Inputs!$E$5:$E$110=$B57)*Inputs!$F$5:$F$110*(((Inputs!$G$5:$G$110="moeda")+(Inputs!$G$5:$G$110="acoes"))*Inputs!$B$1+((Inputs!$G$5:$G$110&lt;&gt;"moeda")*(Inputs!$G$5:$G$110&lt;&gt;"acoes")))*INDEX(Inputs!$K$5:$AJ$110,0,MATCH(AJ$2,Inputs!$K$4:$AJ$4,0)))))</f>
        <v>7101</v>
      </c>
      <c r="AK57" s="513">
        <f>IF(ISNA(MATCH(AK$2,Inputs!$K$4:$AJ$4,0)),NA(),IF(SUMPRODUCT((Inputs!$A$5:$A$110=$B57)*ISNUMBER(INDEX(Inputs!$K$5:$AJ$110,0,MATCH(AK$2,Inputs!$K$4:$AJ$4,0))))+SUMPRODUCT((Inputs!$C$5:$C$110=$B57)*ISNUMBER(INDEX(Inputs!$K$5:$AJ$110,0,MATCH(AK$2,Inputs!$K$4:$AJ$4,0))))+SUMPRODUCT((Inputs!$E$5:$E$110=$B57)*ISNUMBER(INDEX(Inputs!$K$5:$AJ$110,0,MATCH(AK$2,Inputs!$K$4:$AJ$4,0))))=0,NA(),SUMPRODUCT((Inputs!$A$5:$A$110=$B57)*Inputs!$B$5:$B$110*(((Inputs!$G$5:$G$110="moeda")+(Inputs!$G$5:$G$110="acoes"))*Inputs!$B$1+((Inputs!$G$5:$G$110&lt;&gt;"moeda")*(Inputs!$G$5:$G$110&lt;&gt;"acoes")))*INDEX(Inputs!$K$5:$AJ$110,0,MATCH(AK$2,Inputs!$K$4:$AJ$4,0)))+SUMPRODUCT((Inputs!$C$5:$C$110=$B57)*Inputs!$D$5:$D$110*(((Inputs!$G$5:$G$110="moeda")+(Inputs!$G$5:$G$110="acoes"))*Inputs!$B$1+((Inputs!$G$5:$G$110&lt;&gt;"moeda")*(Inputs!$G$5:$G$110&lt;&gt;"acoes")))*INDEX(Inputs!$K$5:$AJ$110,0,MATCH(AK$2,Inputs!$K$4:$AJ$4,0)))+SUMPRODUCT((Inputs!$E$5:$E$110=$B57)*Inputs!$F$5:$F$110*(((Inputs!$G$5:$G$110="moeda")+(Inputs!$G$5:$G$110="acoes"))*Inputs!$B$1+((Inputs!$G$5:$G$110&lt;&gt;"moeda")*(Inputs!$G$5:$G$110&lt;&gt;"acoes")))*INDEX(Inputs!$K$5:$AJ$110,0,MATCH(AK$2,Inputs!$K$4:$AJ$4,0)))))</f>
        <v>5905</v>
      </c>
      <c r="AL57" s="514">
        <f>SUM(AH57:AK57)</f>
        <v>23242</v>
      </c>
    </row>
    <row r="58">
      <c r="B58" s="265" t="n">
        <v>50</v>
      </c>
      <c r="C58" s="266" t="inlineStr">
        <is>
          <t>Lucro operacional EUA (USD)</t>
        </is>
      </c>
      <c r="D58" s="513">
        <f>IF(ISNA(MATCH(D$2,Inputs!$K$4:$AJ$4,0)),NA(),IF(SUMPRODUCT((Inputs!$A$5:$A$110=$B58)*ISNUMBER(INDEX(Inputs!$K$5:$AJ$110,0,MATCH(D$2,Inputs!$K$4:$AJ$4,0))))+SUMPRODUCT((Inputs!$C$5:$C$110=$B58)*ISNUMBER(INDEX(Inputs!$K$5:$AJ$110,0,MATCH(D$2,Inputs!$K$4:$AJ$4,0))))+SUMPRODUCT((Inputs!$E$5:$E$110=$B58)*ISNUMBER(INDEX(Inputs!$K$5:$AJ$110,0,MATCH(D$2,Inputs!$K$4:$AJ$4,0))))=0,NA(),SUMPRODUCT((Inputs!$A$5:$A$110=$B58)*Inputs!$B$5:$B$110*(((Inputs!$G$5:$G$110="moeda")+(Inputs!$G$5:$G$110="acoes"))*Inputs!$B$1+((Inputs!$G$5:$G$110&lt;&gt;"moeda")*(Inputs!$G$5:$G$110&lt;&gt;"acoes")))*INDEX(Inputs!$K$5:$AJ$110,0,MATCH(D$2,Inputs!$K$4:$AJ$4,0)))+SUMPRODUCT((Inputs!$C$5:$C$110=$B58)*Inputs!$D$5:$D$110*(((Inputs!$G$5:$G$110="moeda")+(Inputs!$G$5:$G$110="acoes"))*Inputs!$B$1+((Inputs!$G$5:$G$110&lt;&gt;"moeda")*(Inputs!$G$5:$G$110&lt;&gt;"acoes")))*INDEX(Inputs!$K$5:$AJ$110,0,MATCH(D$2,Inputs!$K$4:$AJ$4,0)))+SUMPRODUCT((Inputs!$E$5:$E$110=$B58)*Inputs!$F$5:$F$110*(((Inputs!$G$5:$G$110="moeda")+(Inputs!$G$5:$G$110="acoes"))*Inputs!$B$1+((Inputs!$G$5:$G$110&lt;&gt;"moeda")*(Inputs!$G$5:$G$110&lt;&gt;"acoes")))*INDEX(Inputs!$K$5:$AJ$110,0,MATCH(D$2,Inputs!$K$4:$AJ$4,0)))))</f>
        <v>826</v>
      </c>
      <c r="E58" s="513">
        <f>IF(ISNA(MATCH(E$2,Inputs!$K$4:$AJ$4,0)),NA(),IF(SUMPRODUCT((Inputs!$A$5:$A$110=$B58)*ISNUMBER(INDEX(Inputs!$K$5:$AJ$110,0,MATCH(E$2,Inputs!$K$4:$AJ$4,0))))+SUMPRODUCT((Inputs!$C$5:$C$110=$B58)*ISNUMBER(INDEX(Inputs!$K$5:$AJ$110,0,MATCH(E$2,Inputs!$K$4:$AJ$4,0))))+SUMPRODUCT((Inputs!$E$5:$E$110=$B58)*ISNUMBER(INDEX(Inputs!$K$5:$AJ$110,0,MATCH(E$2,Inputs!$K$4:$AJ$4,0))))=0,NA(),SUMPRODUCT((Inputs!$A$5:$A$110=$B58)*Inputs!$B$5:$B$110*(((Inputs!$G$5:$G$110="moeda")+(Inputs!$G$5:$G$110="acoes"))*Inputs!$B$1+((Inputs!$G$5:$G$110&lt;&gt;"moeda")*(Inputs!$G$5:$G$110&lt;&gt;"acoes")))*INDEX(Inputs!$K$5:$AJ$110,0,MATCH(E$2,Inputs!$K$4:$AJ$4,0)))+SUMPRODUCT((Inputs!$C$5:$C$110=$B58)*Inputs!$D$5:$D$110*(((Inputs!$G$5:$G$110="moeda")+(Inputs!$G$5:$G$110="acoes"))*Inputs!$B$1+((Inputs!$G$5:$G$110&lt;&gt;"moeda")*(Inputs!$G$5:$G$110&lt;&gt;"acoes")))*INDEX(Inputs!$K$5:$AJ$110,0,MATCH(E$2,Inputs!$K$4:$AJ$4,0)))+SUMPRODUCT((Inputs!$E$5:$E$110=$B58)*Inputs!$F$5:$F$110*(((Inputs!$G$5:$G$110="moeda")+(Inputs!$G$5:$G$110="acoes"))*Inputs!$B$1+((Inputs!$G$5:$G$110&lt;&gt;"moeda")*(Inputs!$G$5:$G$110&lt;&gt;"acoes")))*INDEX(Inputs!$K$5:$AJ$110,0,MATCH(E$2,Inputs!$K$4:$AJ$4,0)))))</f>
        <v>1135</v>
      </c>
      <c r="F58" s="513">
        <f>IF(ISNA(MATCH(F$2,Inputs!$K$4:$AJ$4,0)),NA(),IF(SUMPRODUCT((Inputs!$A$5:$A$110=$B58)*ISNUMBER(INDEX(Inputs!$K$5:$AJ$110,0,MATCH(F$2,Inputs!$K$4:$AJ$4,0))))+SUMPRODUCT((Inputs!$C$5:$C$110=$B58)*ISNUMBER(INDEX(Inputs!$K$5:$AJ$110,0,MATCH(F$2,Inputs!$K$4:$AJ$4,0))))+SUMPRODUCT((Inputs!$E$5:$E$110=$B58)*ISNUMBER(INDEX(Inputs!$K$5:$AJ$110,0,MATCH(F$2,Inputs!$K$4:$AJ$4,0))))=0,NA(),SUMPRODUCT((Inputs!$A$5:$A$110=$B58)*Inputs!$B$5:$B$110*(((Inputs!$G$5:$G$110="moeda")+(Inputs!$G$5:$G$110="acoes"))*Inputs!$B$1+((Inputs!$G$5:$G$110&lt;&gt;"moeda")*(Inputs!$G$5:$G$110&lt;&gt;"acoes")))*INDEX(Inputs!$K$5:$AJ$110,0,MATCH(F$2,Inputs!$K$4:$AJ$4,0)))+SUMPRODUCT((Inputs!$C$5:$C$110=$B58)*Inputs!$D$5:$D$110*(((Inputs!$G$5:$G$110="moeda")+(Inputs!$G$5:$G$110="acoes"))*Inputs!$B$1+((Inputs!$G$5:$G$110&lt;&gt;"moeda")*(Inputs!$G$5:$G$110&lt;&gt;"acoes")))*INDEX(Inputs!$K$5:$AJ$110,0,MATCH(F$2,Inputs!$K$4:$AJ$4,0)))+SUMPRODUCT((Inputs!$E$5:$E$110=$B58)*Inputs!$F$5:$F$110*(((Inputs!$G$5:$G$110="moeda")+(Inputs!$G$5:$G$110="acoes"))*Inputs!$B$1+((Inputs!$G$5:$G$110&lt;&gt;"moeda")*(Inputs!$G$5:$G$110&lt;&gt;"acoes")))*INDEX(Inputs!$K$5:$AJ$110,0,MATCH(F$2,Inputs!$K$4:$AJ$4,0)))))</f>
        <v>1525</v>
      </c>
      <c r="G58" s="513">
        <f>IF(ISNA(MATCH(G$2,Inputs!$K$4:$AJ$4,0)),NA(),IF(SUMPRODUCT((Inputs!$A$5:$A$110=$B58)*ISNUMBER(INDEX(Inputs!$K$5:$AJ$110,0,MATCH(G$2,Inputs!$K$4:$AJ$4,0))))+SUMPRODUCT((Inputs!$C$5:$C$110=$B58)*ISNUMBER(INDEX(Inputs!$K$5:$AJ$110,0,MATCH(G$2,Inputs!$K$4:$AJ$4,0))))+SUMPRODUCT((Inputs!$E$5:$E$110=$B58)*ISNUMBER(INDEX(Inputs!$K$5:$AJ$110,0,MATCH(G$2,Inputs!$K$4:$AJ$4,0))))=0,NA(),SUMPRODUCT((Inputs!$A$5:$A$110=$B58)*Inputs!$B$5:$B$110*(((Inputs!$G$5:$G$110="moeda")+(Inputs!$G$5:$G$110="acoes"))*Inputs!$B$1+((Inputs!$G$5:$G$110&lt;&gt;"moeda")*(Inputs!$G$5:$G$110&lt;&gt;"acoes")))*INDEX(Inputs!$K$5:$AJ$110,0,MATCH(G$2,Inputs!$K$4:$AJ$4,0)))+SUMPRODUCT((Inputs!$C$5:$C$110=$B58)*Inputs!$D$5:$D$110*(((Inputs!$G$5:$G$110="moeda")+(Inputs!$G$5:$G$110="acoes"))*Inputs!$B$1+((Inputs!$G$5:$G$110&lt;&gt;"moeda")*(Inputs!$G$5:$G$110&lt;&gt;"acoes")))*INDEX(Inputs!$K$5:$AJ$110,0,MATCH(G$2,Inputs!$K$4:$AJ$4,0)))+SUMPRODUCT((Inputs!$E$5:$E$110=$B58)*Inputs!$F$5:$F$110*(((Inputs!$G$5:$G$110="moeda")+(Inputs!$G$5:$G$110="acoes"))*Inputs!$B$1+((Inputs!$G$5:$G$110&lt;&gt;"moeda")*(Inputs!$G$5:$G$110&lt;&gt;"acoes")))*INDEX(Inputs!$K$5:$AJ$110,0,MATCH(G$2,Inputs!$K$4:$AJ$4,0)))))</f>
        <v>1118</v>
      </c>
      <c r="H58" s="514">
        <f>SUM(D58:G58)</f>
        <v>4604</v>
      </c>
      <c r="I58" s="513">
        <f>IF(ISNA(MATCH(I$2,Inputs!$K$4:$AJ$4,0)),NA(),IF(SUMPRODUCT((Inputs!$A$5:$A$110=$B58)*ISNUMBER(INDEX(Inputs!$K$5:$AJ$110,0,MATCH(I$2,Inputs!$K$4:$AJ$4,0))))+SUMPRODUCT((Inputs!$C$5:$C$110=$B58)*ISNUMBER(INDEX(Inputs!$K$5:$AJ$110,0,MATCH(I$2,Inputs!$K$4:$AJ$4,0))))+SUMPRODUCT((Inputs!$E$5:$E$110=$B58)*ISNUMBER(INDEX(Inputs!$K$5:$AJ$110,0,MATCH(I$2,Inputs!$K$4:$AJ$4,0))))=0,NA(),SUMPRODUCT((Inputs!$A$5:$A$110=$B58)*Inputs!$B$5:$B$110*(((Inputs!$G$5:$G$110="moeda")+(Inputs!$G$5:$G$110="acoes"))*Inputs!$B$1+((Inputs!$G$5:$G$110&lt;&gt;"moeda")*(Inputs!$G$5:$G$110&lt;&gt;"acoes")))*INDEX(Inputs!$K$5:$AJ$110,0,MATCH(I$2,Inputs!$K$4:$AJ$4,0)))+SUMPRODUCT((Inputs!$C$5:$C$110=$B58)*Inputs!$D$5:$D$110*(((Inputs!$G$5:$G$110="moeda")+(Inputs!$G$5:$G$110="acoes"))*Inputs!$B$1+((Inputs!$G$5:$G$110&lt;&gt;"moeda")*(Inputs!$G$5:$G$110&lt;&gt;"acoes")))*INDEX(Inputs!$K$5:$AJ$110,0,MATCH(I$2,Inputs!$K$4:$AJ$4,0)))+SUMPRODUCT((Inputs!$E$5:$E$110=$B58)*Inputs!$F$5:$F$110*(((Inputs!$G$5:$G$110="moeda")+(Inputs!$G$5:$G$110="acoes"))*Inputs!$B$1+((Inputs!$G$5:$G$110&lt;&gt;"moeda")*(Inputs!$G$5:$G$110&lt;&gt;"acoes")))*INDEX(Inputs!$K$5:$AJ$110,0,MATCH(I$2,Inputs!$K$4:$AJ$4,0)))))</f>
        <v>1179</v>
      </c>
      <c r="J58" s="513">
        <f>IF(ISNA(MATCH(J$2,Inputs!$K$4:$AJ$4,0)),NA(),IF(SUMPRODUCT((Inputs!$A$5:$A$110=$B58)*ISNUMBER(INDEX(Inputs!$K$5:$AJ$110,0,MATCH(J$2,Inputs!$K$4:$AJ$4,0))))+SUMPRODUCT((Inputs!$C$5:$C$110=$B58)*ISNUMBER(INDEX(Inputs!$K$5:$AJ$110,0,MATCH(J$2,Inputs!$K$4:$AJ$4,0))))+SUMPRODUCT((Inputs!$E$5:$E$110=$B58)*ISNUMBER(INDEX(Inputs!$K$5:$AJ$110,0,MATCH(J$2,Inputs!$K$4:$AJ$4,0))))=0,NA(),SUMPRODUCT((Inputs!$A$5:$A$110=$B58)*Inputs!$B$5:$B$110*(((Inputs!$G$5:$G$110="moeda")+(Inputs!$G$5:$G$110="acoes"))*Inputs!$B$1+((Inputs!$G$5:$G$110&lt;&gt;"moeda")*(Inputs!$G$5:$G$110&lt;&gt;"acoes")))*INDEX(Inputs!$K$5:$AJ$110,0,MATCH(J$2,Inputs!$K$4:$AJ$4,0)))+SUMPRODUCT((Inputs!$C$5:$C$110=$B58)*Inputs!$D$5:$D$110*(((Inputs!$G$5:$G$110="moeda")+(Inputs!$G$5:$G$110="acoes"))*Inputs!$B$1+((Inputs!$G$5:$G$110&lt;&gt;"moeda")*(Inputs!$G$5:$G$110&lt;&gt;"acoes")))*INDEX(Inputs!$K$5:$AJ$110,0,MATCH(J$2,Inputs!$K$4:$AJ$4,0)))+SUMPRODUCT((Inputs!$E$5:$E$110=$B58)*Inputs!$F$5:$F$110*(((Inputs!$G$5:$G$110="moeda")+(Inputs!$G$5:$G$110="acoes"))*Inputs!$B$1+((Inputs!$G$5:$G$110&lt;&gt;"moeda")*(Inputs!$G$5:$G$110&lt;&gt;"acoes")))*INDEX(Inputs!$K$5:$AJ$110,0,MATCH(J$2,Inputs!$K$4:$AJ$4,0)))))</f>
        <v>1205</v>
      </c>
      <c r="K58" s="513">
        <f>IF(ISNA(MATCH(K$2,Inputs!$K$4:$AJ$4,0)),NA(),IF(SUMPRODUCT((Inputs!$A$5:$A$110=$B58)*ISNUMBER(INDEX(Inputs!$K$5:$AJ$110,0,MATCH(K$2,Inputs!$K$4:$AJ$4,0))))+SUMPRODUCT((Inputs!$C$5:$C$110=$B58)*ISNUMBER(INDEX(Inputs!$K$5:$AJ$110,0,MATCH(K$2,Inputs!$K$4:$AJ$4,0))))+SUMPRODUCT((Inputs!$E$5:$E$110=$B58)*ISNUMBER(INDEX(Inputs!$K$5:$AJ$110,0,MATCH(K$2,Inputs!$K$4:$AJ$4,0))))=0,NA(),SUMPRODUCT((Inputs!$A$5:$A$110=$B58)*Inputs!$B$5:$B$110*(((Inputs!$G$5:$G$110="moeda")+(Inputs!$G$5:$G$110="acoes"))*Inputs!$B$1+((Inputs!$G$5:$G$110&lt;&gt;"moeda")*(Inputs!$G$5:$G$110&lt;&gt;"acoes")))*INDEX(Inputs!$K$5:$AJ$110,0,MATCH(K$2,Inputs!$K$4:$AJ$4,0)))+SUMPRODUCT((Inputs!$C$5:$C$110=$B58)*Inputs!$D$5:$D$110*(((Inputs!$G$5:$G$110="moeda")+(Inputs!$G$5:$G$110="acoes"))*Inputs!$B$1+((Inputs!$G$5:$G$110&lt;&gt;"moeda")*(Inputs!$G$5:$G$110&lt;&gt;"acoes")))*INDEX(Inputs!$K$5:$AJ$110,0,MATCH(K$2,Inputs!$K$4:$AJ$4,0)))+SUMPRODUCT((Inputs!$E$5:$E$110=$B58)*Inputs!$F$5:$F$110*(((Inputs!$G$5:$G$110="moeda")+(Inputs!$G$5:$G$110="acoes"))*Inputs!$B$1+((Inputs!$G$5:$G$110&lt;&gt;"moeda")*(Inputs!$G$5:$G$110&lt;&gt;"acoes")))*INDEX(Inputs!$K$5:$AJ$110,0,MATCH(K$2,Inputs!$K$4:$AJ$4,0)))))</f>
        <v>1766</v>
      </c>
      <c r="L58" s="513">
        <f>IF(ISNA(MATCH(L$2,Inputs!$K$4:$AJ$4,0)),NA(),IF(SUMPRODUCT((Inputs!$A$5:$A$110=$B58)*ISNUMBER(INDEX(Inputs!$K$5:$AJ$110,0,MATCH(L$2,Inputs!$K$4:$AJ$4,0))))+SUMPRODUCT((Inputs!$C$5:$C$110=$B58)*ISNUMBER(INDEX(Inputs!$K$5:$AJ$110,0,MATCH(L$2,Inputs!$K$4:$AJ$4,0))))+SUMPRODUCT((Inputs!$E$5:$E$110=$B58)*ISNUMBER(INDEX(Inputs!$K$5:$AJ$110,0,MATCH(L$2,Inputs!$K$4:$AJ$4,0))))=0,NA(),SUMPRODUCT((Inputs!$A$5:$A$110=$B58)*Inputs!$B$5:$B$110*(((Inputs!$G$5:$G$110="moeda")+(Inputs!$G$5:$G$110="acoes"))*Inputs!$B$1+((Inputs!$G$5:$G$110&lt;&gt;"moeda")*(Inputs!$G$5:$G$110&lt;&gt;"acoes")))*INDEX(Inputs!$K$5:$AJ$110,0,MATCH(L$2,Inputs!$K$4:$AJ$4,0)))+SUMPRODUCT((Inputs!$C$5:$C$110=$B58)*Inputs!$D$5:$D$110*(((Inputs!$G$5:$G$110="moeda")+(Inputs!$G$5:$G$110="acoes"))*Inputs!$B$1+((Inputs!$G$5:$G$110&lt;&gt;"moeda")*(Inputs!$G$5:$G$110&lt;&gt;"acoes")))*INDEX(Inputs!$K$5:$AJ$110,0,MATCH(L$2,Inputs!$K$4:$AJ$4,0)))+SUMPRODUCT((Inputs!$E$5:$E$110=$B58)*Inputs!$F$5:$F$110*(((Inputs!$G$5:$G$110="moeda")+(Inputs!$G$5:$G$110="acoes"))*Inputs!$B$1+((Inputs!$G$5:$G$110&lt;&gt;"moeda")*(Inputs!$G$5:$G$110&lt;&gt;"acoes")))*INDEX(Inputs!$K$5:$AJ$110,0,MATCH(L$2,Inputs!$K$4:$AJ$4,0)))))</f>
        <v>1236</v>
      </c>
      <c r="M58" s="514">
        <f>SUM(I58:L58)</f>
        <v>5386</v>
      </c>
      <c r="N58" s="513">
        <f>IF(ISNA(MATCH(N$2,Inputs!$K$4:$AJ$4,0)),NA(),IF(SUMPRODUCT((Inputs!$A$5:$A$110=$B58)*ISNUMBER(INDEX(Inputs!$K$5:$AJ$110,0,MATCH(N$2,Inputs!$K$4:$AJ$4,0))))+SUMPRODUCT((Inputs!$C$5:$C$110=$B58)*ISNUMBER(INDEX(Inputs!$K$5:$AJ$110,0,MATCH(N$2,Inputs!$K$4:$AJ$4,0))))+SUMPRODUCT((Inputs!$E$5:$E$110=$B58)*ISNUMBER(INDEX(Inputs!$K$5:$AJ$110,0,MATCH(N$2,Inputs!$K$4:$AJ$4,0))))=0,NA(),SUMPRODUCT((Inputs!$A$5:$A$110=$B58)*Inputs!$B$5:$B$110*(((Inputs!$G$5:$G$110="moeda")+(Inputs!$G$5:$G$110="acoes"))*Inputs!$B$1+((Inputs!$G$5:$G$110&lt;&gt;"moeda")*(Inputs!$G$5:$G$110&lt;&gt;"acoes")))*INDEX(Inputs!$K$5:$AJ$110,0,MATCH(N$2,Inputs!$K$4:$AJ$4,0)))+SUMPRODUCT((Inputs!$C$5:$C$110=$B58)*Inputs!$D$5:$D$110*(((Inputs!$G$5:$G$110="moeda")+(Inputs!$G$5:$G$110="acoes"))*Inputs!$B$1+((Inputs!$G$5:$G$110&lt;&gt;"moeda")*(Inputs!$G$5:$G$110&lt;&gt;"acoes")))*INDEX(Inputs!$K$5:$AJ$110,0,MATCH(N$2,Inputs!$K$4:$AJ$4,0)))+SUMPRODUCT((Inputs!$E$5:$E$110=$B58)*Inputs!$F$5:$F$110*(((Inputs!$G$5:$G$110="moeda")+(Inputs!$G$5:$G$110="acoes"))*Inputs!$B$1+((Inputs!$G$5:$G$110&lt;&gt;"moeda")*(Inputs!$G$5:$G$110&lt;&gt;"acoes")))*INDEX(Inputs!$K$5:$AJ$110,0,MATCH(N$2,Inputs!$K$4:$AJ$4,0)))))</f>
        <v>1295</v>
      </c>
      <c r="O58" s="513">
        <f>IF(ISNA(MATCH(O$2,Inputs!$K$4:$AJ$4,0)),NA(),IF(SUMPRODUCT((Inputs!$A$5:$A$110=$B58)*ISNUMBER(INDEX(Inputs!$K$5:$AJ$110,0,MATCH(O$2,Inputs!$K$4:$AJ$4,0))))+SUMPRODUCT((Inputs!$C$5:$C$110=$B58)*ISNUMBER(INDEX(Inputs!$K$5:$AJ$110,0,MATCH(O$2,Inputs!$K$4:$AJ$4,0))))+SUMPRODUCT((Inputs!$E$5:$E$110=$B58)*ISNUMBER(INDEX(Inputs!$K$5:$AJ$110,0,MATCH(O$2,Inputs!$K$4:$AJ$4,0))))=0,NA(),SUMPRODUCT((Inputs!$A$5:$A$110=$B58)*Inputs!$B$5:$B$110*(((Inputs!$G$5:$G$110="moeda")+(Inputs!$G$5:$G$110="acoes"))*Inputs!$B$1+((Inputs!$G$5:$G$110&lt;&gt;"moeda")*(Inputs!$G$5:$G$110&lt;&gt;"acoes")))*INDEX(Inputs!$K$5:$AJ$110,0,MATCH(O$2,Inputs!$K$4:$AJ$4,0)))+SUMPRODUCT((Inputs!$C$5:$C$110=$B58)*Inputs!$D$5:$D$110*(((Inputs!$G$5:$G$110="moeda")+(Inputs!$G$5:$G$110="acoes"))*Inputs!$B$1+((Inputs!$G$5:$G$110&lt;&gt;"moeda")*(Inputs!$G$5:$G$110&lt;&gt;"acoes")))*INDEX(Inputs!$K$5:$AJ$110,0,MATCH(O$2,Inputs!$K$4:$AJ$4,0)))+SUMPRODUCT((Inputs!$E$5:$E$110=$B58)*Inputs!$F$5:$F$110*(((Inputs!$G$5:$G$110="moeda")+(Inputs!$G$5:$G$110="acoes"))*Inputs!$B$1+((Inputs!$G$5:$G$110&lt;&gt;"moeda")*(Inputs!$G$5:$G$110&lt;&gt;"acoes")))*INDEX(Inputs!$K$5:$AJ$110,0,MATCH(O$2,Inputs!$K$4:$AJ$4,0)))))</f>
        <v>1027</v>
      </c>
      <c r="P58" s="513">
        <f>IF(ISNA(MATCH(P$2,Inputs!$K$4:$AJ$4,0)),NA(),IF(SUMPRODUCT((Inputs!$A$5:$A$110=$B58)*ISNUMBER(INDEX(Inputs!$K$5:$AJ$110,0,MATCH(P$2,Inputs!$K$4:$AJ$4,0))))+SUMPRODUCT((Inputs!$C$5:$C$110=$B58)*ISNUMBER(INDEX(Inputs!$K$5:$AJ$110,0,MATCH(P$2,Inputs!$K$4:$AJ$4,0))))+SUMPRODUCT((Inputs!$E$5:$E$110=$B58)*ISNUMBER(INDEX(Inputs!$K$5:$AJ$110,0,MATCH(P$2,Inputs!$K$4:$AJ$4,0))))=0,NA(),SUMPRODUCT((Inputs!$A$5:$A$110=$B58)*Inputs!$B$5:$B$110*(((Inputs!$G$5:$G$110="moeda")+(Inputs!$G$5:$G$110="acoes"))*Inputs!$B$1+((Inputs!$G$5:$G$110&lt;&gt;"moeda")*(Inputs!$G$5:$G$110&lt;&gt;"acoes")))*INDEX(Inputs!$K$5:$AJ$110,0,MATCH(P$2,Inputs!$K$4:$AJ$4,0)))+SUMPRODUCT((Inputs!$C$5:$C$110=$B58)*Inputs!$D$5:$D$110*(((Inputs!$G$5:$G$110="moeda")+(Inputs!$G$5:$G$110="acoes"))*Inputs!$B$1+((Inputs!$G$5:$G$110&lt;&gt;"moeda")*(Inputs!$G$5:$G$110&lt;&gt;"acoes")))*INDEX(Inputs!$K$5:$AJ$110,0,MATCH(P$2,Inputs!$K$4:$AJ$4,0)))+SUMPRODUCT((Inputs!$E$5:$E$110=$B58)*Inputs!$F$5:$F$110*(((Inputs!$G$5:$G$110="moeda")+(Inputs!$G$5:$G$110="acoes"))*Inputs!$B$1+((Inputs!$G$5:$G$110&lt;&gt;"moeda")*(Inputs!$G$5:$G$110&lt;&gt;"acoes")))*INDEX(Inputs!$K$5:$AJ$110,0,MATCH(P$2,Inputs!$K$4:$AJ$4,0)))))</f>
        <v>1834</v>
      </c>
      <c r="Q58" s="513">
        <f>IF(ISNA(MATCH(Q$2,Inputs!$K$4:$AJ$4,0)),NA(),IF(SUMPRODUCT((Inputs!$A$5:$A$110=$B58)*ISNUMBER(INDEX(Inputs!$K$5:$AJ$110,0,MATCH(Q$2,Inputs!$K$4:$AJ$4,0))))+SUMPRODUCT((Inputs!$C$5:$C$110=$B58)*ISNUMBER(INDEX(Inputs!$K$5:$AJ$110,0,MATCH(Q$2,Inputs!$K$4:$AJ$4,0))))+SUMPRODUCT((Inputs!$E$5:$E$110=$B58)*ISNUMBER(INDEX(Inputs!$K$5:$AJ$110,0,MATCH(Q$2,Inputs!$K$4:$AJ$4,0))))=0,NA(),SUMPRODUCT((Inputs!$A$5:$A$110=$B58)*Inputs!$B$5:$B$110*(((Inputs!$G$5:$G$110="moeda")+(Inputs!$G$5:$G$110="acoes"))*Inputs!$B$1+((Inputs!$G$5:$G$110&lt;&gt;"moeda")*(Inputs!$G$5:$G$110&lt;&gt;"acoes")))*INDEX(Inputs!$K$5:$AJ$110,0,MATCH(Q$2,Inputs!$K$4:$AJ$4,0)))+SUMPRODUCT((Inputs!$C$5:$C$110=$B58)*Inputs!$D$5:$D$110*(((Inputs!$G$5:$G$110="moeda")+(Inputs!$G$5:$G$110="acoes"))*Inputs!$B$1+((Inputs!$G$5:$G$110&lt;&gt;"moeda")*(Inputs!$G$5:$G$110&lt;&gt;"acoes")))*INDEX(Inputs!$K$5:$AJ$110,0,MATCH(Q$2,Inputs!$K$4:$AJ$4,0)))+SUMPRODUCT((Inputs!$E$5:$E$110=$B58)*Inputs!$F$5:$F$110*(((Inputs!$G$5:$G$110="moeda")+(Inputs!$G$5:$G$110="acoes"))*Inputs!$B$1+((Inputs!$G$5:$G$110&lt;&gt;"moeda")*(Inputs!$G$5:$G$110&lt;&gt;"acoes")))*INDEX(Inputs!$K$5:$AJ$110,0,MATCH(Q$2,Inputs!$K$4:$AJ$4,0)))))</f>
        <v>1358</v>
      </c>
      <c r="R58" s="514">
        <f>SUM(N58:Q58)</f>
        <v>5514</v>
      </c>
      <c r="S58" s="513">
        <f>IF(ISNA(MATCH(S$2,Inputs!$K$4:$AJ$4,0)),NA(),IF(SUMPRODUCT((Inputs!$A$5:$A$110=$B58)*ISNUMBER(INDEX(Inputs!$K$5:$AJ$110,0,MATCH(S$2,Inputs!$K$4:$AJ$4,0))))+SUMPRODUCT((Inputs!$C$5:$C$110=$B58)*ISNUMBER(INDEX(Inputs!$K$5:$AJ$110,0,MATCH(S$2,Inputs!$K$4:$AJ$4,0))))+SUMPRODUCT((Inputs!$E$5:$E$110=$B58)*ISNUMBER(INDEX(Inputs!$K$5:$AJ$110,0,MATCH(S$2,Inputs!$K$4:$AJ$4,0))))=0,NA(),SUMPRODUCT((Inputs!$A$5:$A$110=$B58)*Inputs!$B$5:$B$110*(((Inputs!$G$5:$G$110="moeda")+(Inputs!$G$5:$G$110="acoes"))*Inputs!$B$1+((Inputs!$G$5:$G$110&lt;&gt;"moeda")*(Inputs!$G$5:$G$110&lt;&gt;"acoes")))*INDEX(Inputs!$K$5:$AJ$110,0,MATCH(S$2,Inputs!$K$4:$AJ$4,0)))+SUMPRODUCT((Inputs!$C$5:$C$110=$B58)*Inputs!$D$5:$D$110*(((Inputs!$G$5:$G$110="moeda")+(Inputs!$G$5:$G$110="acoes"))*Inputs!$B$1+((Inputs!$G$5:$G$110&lt;&gt;"moeda")*(Inputs!$G$5:$G$110&lt;&gt;"acoes")))*INDEX(Inputs!$K$5:$AJ$110,0,MATCH(S$2,Inputs!$K$4:$AJ$4,0)))+SUMPRODUCT((Inputs!$E$5:$E$110=$B58)*Inputs!$F$5:$F$110*(((Inputs!$G$5:$G$110="moeda")+(Inputs!$G$5:$G$110="acoes"))*Inputs!$B$1+((Inputs!$G$5:$G$110&lt;&gt;"moeda")*(Inputs!$G$5:$G$110&lt;&gt;"acoes")))*INDEX(Inputs!$K$5:$AJ$110,0,MATCH(S$2,Inputs!$K$4:$AJ$4,0)))))</f>
        <v>1294</v>
      </c>
      <c r="T58" s="513">
        <f>IF(ISNA(MATCH(T$2,Inputs!$K$4:$AJ$4,0)),NA(),IF(SUMPRODUCT((Inputs!$A$5:$A$110=$B58)*ISNUMBER(INDEX(Inputs!$K$5:$AJ$110,0,MATCH(T$2,Inputs!$K$4:$AJ$4,0))))+SUMPRODUCT((Inputs!$C$5:$C$110=$B58)*ISNUMBER(INDEX(Inputs!$K$5:$AJ$110,0,MATCH(T$2,Inputs!$K$4:$AJ$4,0))))+SUMPRODUCT((Inputs!$E$5:$E$110=$B58)*ISNUMBER(INDEX(Inputs!$K$5:$AJ$110,0,MATCH(T$2,Inputs!$K$4:$AJ$4,0))))=0,NA(),SUMPRODUCT((Inputs!$A$5:$A$110=$B58)*Inputs!$B$5:$B$110*(((Inputs!$G$5:$G$110="moeda")+(Inputs!$G$5:$G$110="acoes"))*Inputs!$B$1+((Inputs!$G$5:$G$110&lt;&gt;"moeda")*(Inputs!$G$5:$G$110&lt;&gt;"acoes")))*INDEX(Inputs!$K$5:$AJ$110,0,MATCH(T$2,Inputs!$K$4:$AJ$4,0)))+SUMPRODUCT((Inputs!$C$5:$C$110=$B58)*Inputs!$D$5:$D$110*(((Inputs!$G$5:$G$110="moeda")+(Inputs!$G$5:$G$110="acoes"))*Inputs!$B$1+((Inputs!$G$5:$G$110&lt;&gt;"moeda")*(Inputs!$G$5:$G$110&lt;&gt;"acoes")))*INDEX(Inputs!$K$5:$AJ$110,0,MATCH(T$2,Inputs!$K$4:$AJ$4,0)))+SUMPRODUCT((Inputs!$E$5:$E$110=$B58)*Inputs!$F$5:$F$110*(((Inputs!$G$5:$G$110="moeda")+(Inputs!$G$5:$G$110="acoes"))*Inputs!$B$1+((Inputs!$G$5:$G$110&lt;&gt;"moeda")*(Inputs!$G$5:$G$110&lt;&gt;"acoes")))*INDEX(Inputs!$K$5:$AJ$110,0,MATCH(T$2,Inputs!$K$4:$AJ$4,0)))))</f>
        <v>1476</v>
      </c>
      <c r="U58" s="513">
        <f>IF(ISNA(MATCH(U$2,Inputs!$K$4:$AJ$4,0)),NA(),IF(SUMPRODUCT((Inputs!$A$5:$A$110=$B58)*ISNUMBER(INDEX(Inputs!$K$5:$AJ$110,0,MATCH(U$2,Inputs!$K$4:$AJ$4,0))))+SUMPRODUCT((Inputs!$C$5:$C$110=$B58)*ISNUMBER(INDEX(Inputs!$K$5:$AJ$110,0,MATCH(U$2,Inputs!$K$4:$AJ$4,0))))+SUMPRODUCT((Inputs!$E$5:$E$110=$B58)*ISNUMBER(INDEX(Inputs!$K$5:$AJ$110,0,MATCH(U$2,Inputs!$K$4:$AJ$4,0))))=0,NA(),SUMPRODUCT((Inputs!$A$5:$A$110=$B58)*Inputs!$B$5:$B$110*(((Inputs!$G$5:$G$110="moeda")+(Inputs!$G$5:$G$110="acoes"))*Inputs!$B$1+((Inputs!$G$5:$G$110&lt;&gt;"moeda")*(Inputs!$G$5:$G$110&lt;&gt;"acoes")))*INDEX(Inputs!$K$5:$AJ$110,0,MATCH(U$2,Inputs!$K$4:$AJ$4,0)))+SUMPRODUCT((Inputs!$C$5:$C$110=$B58)*Inputs!$D$5:$D$110*(((Inputs!$G$5:$G$110="moeda")+(Inputs!$G$5:$G$110="acoes"))*Inputs!$B$1+((Inputs!$G$5:$G$110&lt;&gt;"moeda")*(Inputs!$G$5:$G$110&lt;&gt;"acoes")))*INDEX(Inputs!$K$5:$AJ$110,0,MATCH(U$2,Inputs!$K$4:$AJ$4,0)))+SUMPRODUCT((Inputs!$E$5:$E$110=$B58)*Inputs!$F$5:$F$110*(((Inputs!$G$5:$G$110="moeda")+(Inputs!$G$5:$G$110="acoes"))*Inputs!$B$1+((Inputs!$G$5:$G$110&lt;&gt;"moeda")*(Inputs!$G$5:$G$110&lt;&gt;"acoes")))*INDEX(Inputs!$K$5:$AJ$110,0,MATCH(U$2,Inputs!$K$4:$AJ$4,0)))))</f>
        <v>2089</v>
      </c>
      <c r="V58" s="513">
        <f>IF(ISNA(MATCH(V$2,Inputs!$K$4:$AJ$4,0)),NA(),IF(SUMPRODUCT((Inputs!$A$5:$A$110=$B58)*ISNUMBER(INDEX(Inputs!$K$5:$AJ$110,0,MATCH(V$2,Inputs!$K$4:$AJ$4,0))))+SUMPRODUCT((Inputs!$C$5:$C$110=$B58)*ISNUMBER(INDEX(Inputs!$K$5:$AJ$110,0,MATCH(V$2,Inputs!$K$4:$AJ$4,0))))+SUMPRODUCT((Inputs!$E$5:$E$110=$B58)*ISNUMBER(INDEX(Inputs!$K$5:$AJ$110,0,MATCH(V$2,Inputs!$K$4:$AJ$4,0))))=0,NA(),SUMPRODUCT((Inputs!$A$5:$A$110=$B58)*Inputs!$B$5:$B$110*(((Inputs!$G$5:$G$110="moeda")+(Inputs!$G$5:$G$110="acoes"))*Inputs!$B$1+((Inputs!$G$5:$G$110&lt;&gt;"moeda")*(Inputs!$G$5:$G$110&lt;&gt;"acoes")))*INDEX(Inputs!$K$5:$AJ$110,0,MATCH(V$2,Inputs!$K$4:$AJ$4,0)))+SUMPRODUCT((Inputs!$C$5:$C$110=$B58)*Inputs!$D$5:$D$110*(((Inputs!$G$5:$G$110="moeda")+(Inputs!$G$5:$G$110="acoes"))*Inputs!$B$1+((Inputs!$G$5:$G$110&lt;&gt;"moeda")*(Inputs!$G$5:$G$110&lt;&gt;"acoes")))*INDEX(Inputs!$K$5:$AJ$110,0,MATCH(V$2,Inputs!$K$4:$AJ$4,0)))+SUMPRODUCT((Inputs!$E$5:$E$110=$B58)*Inputs!$F$5:$F$110*(((Inputs!$G$5:$G$110="moeda")+(Inputs!$G$5:$G$110="acoes"))*Inputs!$B$1+((Inputs!$G$5:$G$110&lt;&gt;"moeda")*(Inputs!$G$5:$G$110&lt;&gt;"acoes")))*INDEX(Inputs!$K$5:$AJ$110,0,MATCH(V$2,Inputs!$K$4:$AJ$4,0)))))</f>
        <v>1498</v>
      </c>
      <c r="W58" s="514">
        <f>SUM(S58:V58)</f>
        <v>6357</v>
      </c>
      <c r="X58" s="513">
        <f>IF(ISNA(MATCH(X$2,Inputs!$K$4:$AJ$4,0)),NA(),IF(SUMPRODUCT((Inputs!$A$5:$A$110=$B58)*ISNUMBER(INDEX(Inputs!$K$5:$AJ$110,0,MATCH(X$2,Inputs!$K$4:$AJ$4,0))))+SUMPRODUCT((Inputs!$C$5:$C$110=$B58)*ISNUMBER(INDEX(Inputs!$K$5:$AJ$110,0,MATCH(X$2,Inputs!$K$4:$AJ$4,0))))+SUMPRODUCT((Inputs!$E$5:$E$110=$B58)*ISNUMBER(INDEX(Inputs!$K$5:$AJ$110,0,MATCH(X$2,Inputs!$K$4:$AJ$4,0))))=0,NA(),SUMPRODUCT((Inputs!$A$5:$A$110=$B58)*Inputs!$B$5:$B$110*(((Inputs!$G$5:$G$110="moeda")+(Inputs!$G$5:$G$110="acoes"))*Inputs!$B$1+((Inputs!$G$5:$G$110&lt;&gt;"moeda")*(Inputs!$G$5:$G$110&lt;&gt;"acoes")))*INDEX(Inputs!$K$5:$AJ$110,0,MATCH(X$2,Inputs!$K$4:$AJ$4,0)))+SUMPRODUCT((Inputs!$C$5:$C$110=$B58)*Inputs!$D$5:$D$110*(((Inputs!$G$5:$G$110="moeda")+(Inputs!$G$5:$G$110="acoes"))*Inputs!$B$1+((Inputs!$G$5:$G$110&lt;&gt;"moeda")*(Inputs!$G$5:$G$110&lt;&gt;"acoes")))*INDEX(Inputs!$K$5:$AJ$110,0,MATCH(X$2,Inputs!$K$4:$AJ$4,0)))+SUMPRODUCT((Inputs!$E$5:$E$110=$B58)*Inputs!$F$5:$F$110*(((Inputs!$G$5:$G$110="moeda")+(Inputs!$G$5:$G$110="acoes"))*Inputs!$B$1+((Inputs!$G$5:$G$110&lt;&gt;"moeda")*(Inputs!$G$5:$G$110&lt;&gt;"acoes")))*INDEX(Inputs!$K$5:$AJ$110,0,MATCH(X$2,Inputs!$K$4:$AJ$4,0)))))</f>
        <v>1515</v>
      </c>
      <c r="Y58" s="513">
        <f>IF(ISNA(MATCH(Y$2,Inputs!$K$4:$AJ$4,0)),NA(),IF(SUMPRODUCT((Inputs!$A$5:$A$110=$B58)*ISNUMBER(INDEX(Inputs!$K$5:$AJ$110,0,MATCH(Y$2,Inputs!$K$4:$AJ$4,0))))+SUMPRODUCT((Inputs!$C$5:$C$110=$B58)*ISNUMBER(INDEX(Inputs!$K$5:$AJ$110,0,MATCH(Y$2,Inputs!$K$4:$AJ$4,0))))+SUMPRODUCT((Inputs!$E$5:$E$110=$B58)*ISNUMBER(INDEX(Inputs!$K$5:$AJ$110,0,MATCH(Y$2,Inputs!$K$4:$AJ$4,0))))=0,NA(),SUMPRODUCT((Inputs!$A$5:$A$110=$B58)*Inputs!$B$5:$B$110*(((Inputs!$G$5:$G$110="moeda")+(Inputs!$G$5:$G$110="acoes"))*Inputs!$B$1+((Inputs!$G$5:$G$110&lt;&gt;"moeda")*(Inputs!$G$5:$G$110&lt;&gt;"acoes")))*INDEX(Inputs!$K$5:$AJ$110,0,MATCH(Y$2,Inputs!$K$4:$AJ$4,0)))+SUMPRODUCT((Inputs!$C$5:$C$110=$B58)*Inputs!$D$5:$D$110*(((Inputs!$G$5:$G$110="moeda")+(Inputs!$G$5:$G$110="acoes"))*Inputs!$B$1+((Inputs!$G$5:$G$110&lt;&gt;"moeda")*(Inputs!$G$5:$G$110&lt;&gt;"acoes")))*INDEX(Inputs!$K$5:$AJ$110,0,MATCH(Y$2,Inputs!$K$4:$AJ$4,0)))+SUMPRODUCT((Inputs!$E$5:$E$110=$B58)*Inputs!$F$5:$F$110*(((Inputs!$G$5:$G$110="moeda")+(Inputs!$G$5:$G$110="acoes"))*Inputs!$B$1+((Inputs!$G$5:$G$110&lt;&gt;"moeda")*(Inputs!$G$5:$G$110&lt;&gt;"acoes")))*INDEX(Inputs!$K$5:$AJ$110,0,MATCH(Y$2,Inputs!$K$4:$AJ$4,0)))))</f>
        <v>1713</v>
      </c>
      <c r="Z58" s="513">
        <f>IF(ISNA(MATCH(Z$2,Inputs!$K$4:$AJ$4,0)),NA(),IF(SUMPRODUCT((Inputs!$A$5:$A$110=$B58)*ISNUMBER(INDEX(Inputs!$K$5:$AJ$110,0,MATCH(Z$2,Inputs!$K$4:$AJ$4,0))))+SUMPRODUCT((Inputs!$C$5:$C$110=$B58)*ISNUMBER(INDEX(Inputs!$K$5:$AJ$110,0,MATCH(Z$2,Inputs!$K$4:$AJ$4,0))))+SUMPRODUCT((Inputs!$E$5:$E$110=$B58)*ISNUMBER(INDEX(Inputs!$K$5:$AJ$110,0,MATCH(Z$2,Inputs!$K$4:$AJ$4,0))))=0,NA(),SUMPRODUCT((Inputs!$A$5:$A$110=$B58)*Inputs!$B$5:$B$110*(((Inputs!$G$5:$G$110="moeda")+(Inputs!$G$5:$G$110="acoes"))*Inputs!$B$1+((Inputs!$G$5:$G$110&lt;&gt;"moeda")*(Inputs!$G$5:$G$110&lt;&gt;"acoes")))*INDEX(Inputs!$K$5:$AJ$110,0,MATCH(Z$2,Inputs!$K$4:$AJ$4,0)))+SUMPRODUCT((Inputs!$C$5:$C$110=$B58)*Inputs!$D$5:$D$110*(((Inputs!$G$5:$G$110="moeda")+(Inputs!$G$5:$G$110="acoes"))*Inputs!$B$1+((Inputs!$G$5:$G$110&lt;&gt;"moeda")*(Inputs!$G$5:$G$110&lt;&gt;"acoes")))*INDEX(Inputs!$K$5:$AJ$110,0,MATCH(Z$2,Inputs!$K$4:$AJ$4,0)))+SUMPRODUCT((Inputs!$E$5:$E$110=$B58)*Inputs!$F$5:$F$110*(((Inputs!$G$5:$G$110="moeda")+(Inputs!$G$5:$G$110="acoes"))*Inputs!$B$1+((Inputs!$G$5:$G$110&lt;&gt;"moeda")*(Inputs!$G$5:$G$110&lt;&gt;"acoes")))*INDEX(Inputs!$K$5:$AJ$110,0,MATCH(Z$2,Inputs!$K$4:$AJ$4,0)))))</f>
        <v>2152</v>
      </c>
      <c r="AA58" s="513">
        <f>IF(ISNA(MATCH(AA$2,Inputs!$K$4:$AJ$4,0)),NA(),IF(SUMPRODUCT((Inputs!$A$5:$A$110=$B58)*ISNUMBER(INDEX(Inputs!$K$5:$AJ$110,0,MATCH(AA$2,Inputs!$K$4:$AJ$4,0))))+SUMPRODUCT((Inputs!$C$5:$C$110=$B58)*ISNUMBER(INDEX(Inputs!$K$5:$AJ$110,0,MATCH(AA$2,Inputs!$K$4:$AJ$4,0))))+SUMPRODUCT((Inputs!$E$5:$E$110=$B58)*ISNUMBER(INDEX(Inputs!$K$5:$AJ$110,0,MATCH(AA$2,Inputs!$K$4:$AJ$4,0))))=0,NA(),SUMPRODUCT((Inputs!$A$5:$A$110=$B58)*Inputs!$B$5:$B$110*(((Inputs!$G$5:$G$110="moeda")+(Inputs!$G$5:$G$110="acoes"))*Inputs!$B$1+((Inputs!$G$5:$G$110&lt;&gt;"moeda")*(Inputs!$G$5:$G$110&lt;&gt;"acoes")))*INDEX(Inputs!$K$5:$AJ$110,0,MATCH(AA$2,Inputs!$K$4:$AJ$4,0)))+SUMPRODUCT((Inputs!$C$5:$C$110=$B58)*Inputs!$D$5:$D$110*(((Inputs!$G$5:$G$110="moeda")+(Inputs!$G$5:$G$110="acoes"))*Inputs!$B$1+((Inputs!$G$5:$G$110&lt;&gt;"moeda")*(Inputs!$G$5:$G$110&lt;&gt;"acoes")))*INDEX(Inputs!$K$5:$AJ$110,0,MATCH(AA$2,Inputs!$K$4:$AJ$4,0)))+SUMPRODUCT((Inputs!$E$5:$E$110=$B58)*Inputs!$F$5:$F$110*(((Inputs!$G$5:$G$110="moeda")+(Inputs!$G$5:$G$110="acoes"))*Inputs!$B$1+((Inputs!$G$5:$G$110&lt;&gt;"moeda")*(Inputs!$G$5:$G$110&lt;&gt;"acoes")))*INDEX(Inputs!$K$5:$AJ$110,0,MATCH(AA$2,Inputs!$K$4:$AJ$4,0)))))</f>
        <v>1616</v>
      </c>
      <c r="AB58" s="514">
        <f>SUM(X58:AA58)</f>
        <v>6996</v>
      </c>
      <c r="AC58" s="513">
        <f>IF(ISNA(MATCH(AC$2,Inputs!$K$4:$AJ$4,0)),NA(),IF(SUMPRODUCT((Inputs!$A$5:$A$110=$B58)*ISNUMBER(INDEX(Inputs!$K$5:$AJ$110,0,MATCH(AC$2,Inputs!$K$4:$AJ$4,0))))+SUMPRODUCT((Inputs!$C$5:$C$110=$B58)*ISNUMBER(INDEX(Inputs!$K$5:$AJ$110,0,MATCH(AC$2,Inputs!$K$4:$AJ$4,0))))+SUMPRODUCT((Inputs!$E$5:$E$110=$B58)*ISNUMBER(INDEX(Inputs!$K$5:$AJ$110,0,MATCH(AC$2,Inputs!$K$4:$AJ$4,0))))=0,NA(),SUMPRODUCT((Inputs!$A$5:$A$110=$B58)*Inputs!$B$5:$B$110*(((Inputs!$G$5:$G$110="moeda")+(Inputs!$G$5:$G$110="acoes"))*Inputs!$B$1+((Inputs!$G$5:$G$110&lt;&gt;"moeda")*(Inputs!$G$5:$G$110&lt;&gt;"acoes")))*INDEX(Inputs!$K$5:$AJ$110,0,MATCH(AC$2,Inputs!$K$4:$AJ$4,0)))+SUMPRODUCT((Inputs!$C$5:$C$110=$B58)*Inputs!$D$5:$D$110*(((Inputs!$G$5:$G$110="moeda")+(Inputs!$G$5:$G$110="acoes"))*Inputs!$B$1+((Inputs!$G$5:$G$110&lt;&gt;"moeda")*(Inputs!$G$5:$G$110&lt;&gt;"acoes")))*INDEX(Inputs!$K$5:$AJ$110,0,MATCH(AC$2,Inputs!$K$4:$AJ$4,0)))+SUMPRODUCT((Inputs!$E$5:$E$110=$B58)*Inputs!$F$5:$F$110*(((Inputs!$G$5:$G$110="moeda")+(Inputs!$G$5:$G$110="acoes"))*Inputs!$B$1+((Inputs!$G$5:$G$110&lt;&gt;"moeda")*(Inputs!$G$5:$G$110&lt;&gt;"acoes")))*INDEX(Inputs!$K$5:$AJ$110,0,MATCH(AC$2,Inputs!$K$4:$AJ$4,0)))))</f>
        <v>1635</v>
      </c>
      <c r="AD58" s="513">
        <f>IF(ISNA(MATCH(AD$2,Inputs!$K$4:$AJ$4,0)),NA(),IF(SUMPRODUCT((Inputs!$A$5:$A$110=$B58)*ISNUMBER(INDEX(Inputs!$K$5:$AJ$110,0,MATCH(AD$2,Inputs!$K$4:$AJ$4,0))))+SUMPRODUCT((Inputs!$C$5:$C$110=$B58)*ISNUMBER(INDEX(Inputs!$K$5:$AJ$110,0,MATCH(AD$2,Inputs!$K$4:$AJ$4,0))))+SUMPRODUCT((Inputs!$E$5:$E$110=$B58)*ISNUMBER(INDEX(Inputs!$K$5:$AJ$110,0,MATCH(AD$2,Inputs!$K$4:$AJ$4,0))))=0,NA(),SUMPRODUCT((Inputs!$A$5:$A$110=$B58)*Inputs!$B$5:$B$110*(((Inputs!$G$5:$G$110="moeda")+(Inputs!$G$5:$G$110="acoes"))*Inputs!$B$1+((Inputs!$G$5:$G$110&lt;&gt;"moeda")*(Inputs!$G$5:$G$110&lt;&gt;"acoes")))*INDEX(Inputs!$K$5:$AJ$110,0,MATCH(AD$2,Inputs!$K$4:$AJ$4,0)))+SUMPRODUCT((Inputs!$C$5:$C$110=$B58)*Inputs!$D$5:$D$110*(((Inputs!$G$5:$G$110="moeda")+(Inputs!$G$5:$G$110="acoes"))*Inputs!$B$1+((Inputs!$G$5:$G$110&lt;&gt;"moeda")*(Inputs!$G$5:$G$110&lt;&gt;"acoes")))*INDEX(Inputs!$K$5:$AJ$110,0,MATCH(AD$2,Inputs!$K$4:$AJ$4,0)))+SUMPRODUCT((Inputs!$E$5:$E$110=$B58)*Inputs!$F$5:$F$110*(((Inputs!$G$5:$G$110="moeda")+(Inputs!$G$5:$G$110="acoes"))*Inputs!$B$1+((Inputs!$G$5:$G$110&lt;&gt;"moeda")*(Inputs!$G$5:$G$110&lt;&gt;"acoes")))*INDEX(Inputs!$K$5:$AJ$110,0,MATCH(AD$2,Inputs!$K$4:$AJ$4,0)))))</f>
        <v>1873</v>
      </c>
      <c r="AE58" s="513" t="e">
        <f>IF(ISNA(MATCH(AE$2,Inputs!$K$4:$AJ$4,0)),NA(),IF(SUMPRODUCT((Inputs!$A$5:$A$110=$B58)*ISNUMBER(INDEX(Inputs!$K$5:$AJ$110,0,MATCH(AE$2,Inputs!$K$4:$AJ$4,0))))+SUMPRODUCT((Inputs!$C$5:$C$110=$B58)*ISNUMBER(INDEX(Inputs!$K$5:$AJ$110,0,MATCH(AE$2,Inputs!$K$4:$AJ$4,0))))+SUMPRODUCT((Inputs!$E$5:$E$110=$B58)*ISNUMBER(INDEX(Inputs!$K$5:$AJ$110,0,MATCH(AE$2,Inputs!$K$4:$AJ$4,0))))=0,NA(),SUMPRODUCT((Inputs!$A$5:$A$110=$B58)*Inputs!$B$5:$B$110*(((Inputs!$G$5:$G$110="moeda")+(Inputs!$G$5:$G$110="acoes"))*Inputs!$B$1+((Inputs!$G$5:$G$110&lt;&gt;"moeda")*(Inputs!$G$5:$G$110&lt;&gt;"acoes")))*INDEX(Inputs!$K$5:$AJ$110,0,MATCH(AE$2,Inputs!$K$4:$AJ$4,0)))+SUMPRODUCT((Inputs!$C$5:$C$110=$B58)*Inputs!$D$5:$D$110*(((Inputs!$G$5:$G$110="moeda")+(Inputs!$G$5:$G$110="acoes"))*Inputs!$B$1+((Inputs!$G$5:$G$110&lt;&gt;"moeda")*(Inputs!$G$5:$G$110&lt;&gt;"acoes")))*INDEX(Inputs!$K$5:$AJ$110,0,MATCH(AE$2,Inputs!$K$4:$AJ$4,0)))+SUMPRODUCT((Inputs!$E$5:$E$110=$B58)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8" s="513" t="e">
        <f>IF(ISNA(MATCH(AF$2,Inputs!$K$4:$AJ$4,0)),NA(),IF(SUMPRODUCT((Inputs!$A$5:$A$110=$B58)*ISNUMBER(INDEX(Inputs!$K$5:$AJ$110,0,MATCH(AF$2,Inputs!$K$4:$AJ$4,0))))+SUMPRODUCT((Inputs!$C$5:$C$110=$B58)*ISNUMBER(INDEX(Inputs!$K$5:$AJ$110,0,MATCH(AF$2,Inputs!$K$4:$AJ$4,0))))+SUMPRODUCT((Inputs!$E$5:$E$110=$B58)*ISNUMBER(INDEX(Inputs!$K$5:$AJ$110,0,MATCH(AF$2,Inputs!$K$4:$AJ$4,0))))=0,NA(),SUMPRODUCT((Inputs!$A$5:$A$110=$B58)*Inputs!$B$5:$B$110*(((Inputs!$G$5:$G$110="moeda")+(Inputs!$G$5:$G$110="acoes"))*Inputs!$B$1+((Inputs!$G$5:$G$110&lt;&gt;"moeda")*(Inputs!$G$5:$G$110&lt;&gt;"acoes")))*INDEX(Inputs!$K$5:$AJ$110,0,MATCH(AF$2,Inputs!$K$4:$AJ$4,0)))+SUMPRODUCT((Inputs!$C$5:$C$110=$B58)*Inputs!$D$5:$D$110*(((Inputs!$G$5:$G$110="moeda")+(Inputs!$G$5:$G$110="acoes"))*Inputs!$B$1+((Inputs!$G$5:$G$110&lt;&gt;"moeda")*(Inputs!$G$5:$G$110&lt;&gt;"acoes")))*INDEX(Inputs!$K$5:$AJ$110,0,MATCH(AF$2,Inputs!$K$4:$AJ$4,0)))+SUMPRODUCT((Inputs!$E$5:$E$110=$B58)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8" s="514" t="e">
        <f>SUM(AC58:AF58)</f>
        <v>#N/A</v>
      </c>
      <c r="AH58" s="513">
        <f>IF(ISNA(MATCH(AH$2,Inputs!$K$4:$AJ$4,0)),NA(),IF(SUMPRODUCT((Inputs!$A$5:$A$110=$B58)*ISNUMBER(INDEX(Inputs!$K$5:$AJ$110,0,MATCH(AH$2,Inputs!$K$4:$AJ$4,0))))+SUMPRODUCT((Inputs!$C$5:$C$110=$B58)*ISNUMBER(INDEX(Inputs!$K$5:$AJ$110,0,MATCH(AH$2,Inputs!$K$4:$AJ$4,0))))+SUMPRODUCT((Inputs!$E$5:$E$110=$B58)*ISNUMBER(INDEX(Inputs!$K$5:$AJ$110,0,MATCH(AH$2,Inputs!$K$4:$AJ$4,0))))=0,NA(),SUMPRODUCT((Inputs!$A$5:$A$110=$B58)*Inputs!$B$5:$B$110*(((Inputs!$G$5:$G$110="moeda")+(Inputs!$G$5:$G$110="acoes"))*Inputs!$B$1+((Inputs!$G$5:$G$110&lt;&gt;"moeda")*(Inputs!$G$5:$G$110&lt;&gt;"acoes")))*INDEX(Inputs!$K$5:$AJ$110,0,MATCH(AH$2,Inputs!$K$4:$AJ$4,0)))+SUMPRODUCT((Inputs!$C$5:$C$110=$B58)*Inputs!$D$5:$D$110*(((Inputs!$G$5:$G$110="moeda")+(Inputs!$G$5:$G$110="acoes"))*Inputs!$B$1+((Inputs!$G$5:$G$110&lt;&gt;"moeda")*(Inputs!$G$5:$G$110&lt;&gt;"acoes")))*INDEX(Inputs!$K$5:$AJ$110,0,MATCH(AH$2,Inputs!$K$4:$AJ$4,0)))+SUMPRODUCT((Inputs!$E$5:$E$110=$B58)*Inputs!$F$5:$F$110*(((Inputs!$G$5:$G$110="moeda")+(Inputs!$G$5:$G$110="acoes"))*Inputs!$B$1+((Inputs!$G$5:$G$110&lt;&gt;"moeda")*(Inputs!$G$5:$G$110&lt;&gt;"acoes")))*INDEX(Inputs!$K$5:$AJ$110,0,MATCH(AH$2,Inputs!$K$4:$AJ$4,0)))))</f>
        <v>821</v>
      </c>
      <c r="AI58" s="513">
        <f>IF(ISNA(MATCH(AI$2,Inputs!$K$4:$AJ$4,0)),NA(),IF(SUMPRODUCT((Inputs!$A$5:$A$110=$B58)*ISNUMBER(INDEX(Inputs!$K$5:$AJ$110,0,MATCH(AI$2,Inputs!$K$4:$AJ$4,0))))+SUMPRODUCT((Inputs!$C$5:$C$110=$B58)*ISNUMBER(INDEX(Inputs!$K$5:$AJ$110,0,MATCH(AI$2,Inputs!$K$4:$AJ$4,0))))+SUMPRODUCT((Inputs!$E$5:$E$110=$B58)*ISNUMBER(INDEX(Inputs!$K$5:$AJ$110,0,MATCH(AI$2,Inputs!$K$4:$AJ$4,0))))=0,NA(),SUMPRODUCT((Inputs!$A$5:$A$110=$B58)*Inputs!$B$5:$B$110*(((Inputs!$G$5:$G$110="moeda")+(Inputs!$G$5:$G$110="acoes"))*Inputs!$B$1+((Inputs!$G$5:$G$110&lt;&gt;"moeda")*(Inputs!$G$5:$G$110&lt;&gt;"acoes")))*INDEX(Inputs!$K$5:$AJ$110,0,MATCH(AI$2,Inputs!$K$4:$AJ$4,0)))+SUMPRODUCT((Inputs!$C$5:$C$110=$B58)*Inputs!$D$5:$D$110*(((Inputs!$G$5:$G$110="moeda")+(Inputs!$G$5:$G$110="acoes"))*Inputs!$B$1+((Inputs!$G$5:$G$110&lt;&gt;"moeda")*(Inputs!$G$5:$G$110&lt;&gt;"acoes")))*INDEX(Inputs!$K$5:$AJ$110,0,MATCH(AI$2,Inputs!$K$4:$AJ$4,0)))+SUMPRODUCT((Inputs!$E$5:$E$110=$B58)*Inputs!$F$5:$F$110*(((Inputs!$G$5:$G$110="moeda")+(Inputs!$G$5:$G$110="acoes"))*Inputs!$B$1+((Inputs!$G$5:$G$110&lt;&gt;"moeda")*(Inputs!$G$5:$G$110&lt;&gt;"acoes")))*INDEX(Inputs!$K$5:$AJ$110,0,MATCH(AI$2,Inputs!$K$4:$AJ$4,0)))))</f>
        <v>853</v>
      </c>
      <c r="AJ58" s="513">
        <f>IF(ISNA(MATCH(AJ$2,Inputs!$K$4:$AJ$4,0)),NA(),IF(SUMPRODUCT((Inputs!$A$5:$A$110=$B58)*ISNUMBER(INDEX(Inputs!$K$5:$AJ$110,0,MATCH(AJ$2,Inputs!$K$4:$AJ$4,0))))+SUMPRODUCT((Inputs!$C$5:$C$110=$B58)*ISNUMBER(INDEX(Inputs!$K$5:$AJ$110,0,MATCH(AJ$2,Inputs!$K$4:$AJ$4,0))))+SUMPRODUCT((Inputs!$E$5:$E$110=$B58)*ISNUMBER(INDEX(Inputs!$K$5:$AJ$110,0,MATCH(AJ$2,Inputs!$K$4:$AJ$4,0))))=0,NA(),SUMPRODUCT((Inputs!$A$5:$A$110=$B58)*Inputs!$B$5:$B$110*(((Inputs!$G$5:$G$110="moeda")+(Inputs!$G$5:$G$110="acoes"))*Inputs!$B$1+((Inputs!$G$5:$G$110&lt;&gt;"moeda")*(Inputs!$G$5:$G$110&lt;&gt;"acoes")))*INDEX(Inputs!$K$5:$AJ$110,0,MATCH(AJ$2,Inputs!$K$4:$AJ$4,0)))+SUMPRODUCT((Inputs!$C$5:$C$110=$B58)*Inputs!$D$5:$D$110*(((Inputs!$G$5:$G$110="moeda")+(Inputs!$G$5:$G$110="acoes"))*Inputs!$B$1+((Inputs!$G$5:$G$110&lt;&gt;"moeda")*(Inputs!$G$5:$G$110&lt;&gt;"acoes")))*INDEX(Inputs!$K$5:$AJ$110,0,MATCH(AJ$2,Inputs!$K$4:$AJ$4,0)))+SUMPRODUCT((Inputs!$E$5:$E$110=$B58)*Inputs!$F$5:$F$110*(((Inputs!$G$5:$G$110="moeda")+(Inputs!$G$5:$G$110="acoes"))*Inputs!$B$1+((Inputs!$G$5:$G$110&lt;&gt;"moeda")*(Inputs!$G$5:$G$110&lt;&gt;"acoes")))*INDEX(Inputs!$K$5:$AJ$110,0,MATCH(AJ$2,Inputs!$K$4:$AJ$4,0)))))</f>
        <v>1324</v>
      </c>
      <c r="AK58" s="513">
        <f>IF(ISNA(MATCH(AK$2,Inputs!$K$4:$AJ$4,0)),NA(),IF(SUMPRODUCT((Inputs!$A$5:$A$110=$B58)*ISNUMBER(INDEX(Inputs!$K$5:$AJ$110,0,MATCH(AK$2,Inputs!$K$4:$AJ$4,0))))+SUMPRODUCT((Inputs!$C$5:$C$110=$B58)*ISNUMBER(INDEX(Inputs!$K$5:$AJ$110,0,MATCH(AK$2,Inputs!$K$4:$AJ$4,0))))+SUMPRODUCT((Inputs!$E$5:$E$110=$B58)*ISNUMBER(INDEX(Inputs!$K$5:$AJ$110,0,MATCH(AK$2,Inputs!$K$4:$AJ$4,0))))=0,NA(),SUMPRODUCT((Inputs!$A$5:$A$110=$B58)*Inputs!$B$5:$B$110*(((Inputs!$G$5:$G$110="moeda")+(Inputs!$G$5:$G$110="acoes"))*Inputs!$B$1+((Inputs!$G$5:$G$110&lt;&gt;"moeda")*(Inputs!$G$5:$G$110&lt;&gt;"acoes")))*INDEX(Inputs!$K$5:$AJ$110,0,MATCH(AK$2,Inputs!$K$4:$AJ$4,0)))+SUMPRODUCT((Inputs!$C$5:$C$110=$B58)*Inputs!$D$5:$D$110*(((Inputs!$G$5:$G$110="moeda")+(Inputs!$G$5:$G$110="acoes"))*Inputs!$B$1+((Inputs!$G$5:$G$110&lt;&gt;"moeda")*(Inputs!$G$5:$G$110&lt;&gt;"acoes")))*INDEX(Inputs!$K$5:$AJ$110,0,MATCH(AK$2,Inputs!$K$4:$AJ$4,0)))+SUMPRODUCT((Inputs!$E$5:$E$110=$B58)*Inputs!$F$5:$F$110*(((Inputs!$G$5:$G$110="moeda")+(Inputs!$G$5:$G$110="acoes"))*Inputs!$B$1+((Inputs!$G$5:$G$110&lt;&gt;"moeda")*(Inputs!$G$5:$G$110&lt;&gt;"acoes")))*INDEX(Inputs!$K$5:$AJ$110,0,MATCH(AK$2,Inputs!$K$4:$AJ$4,0)))))</f>
        <v>937</v>
      </c>
      <c r="AL58" s="514">
        <f>SUM(AH58:AK58)</f>
        <v>3935</v>
      </c>
    </row>
    <row r="59">
      <c r="B59" s="265" t="n">
        <v>51</v>
      </c>
      <c r="C59" s="266" t="inlineStr">
        <is>
          <t>Lucro operacional Canadá (USD)</t>
        </is>
      </c>
      <c r="D59" s="513">
        <f>IF(ISNA(MATCH(D$2,Inputs!$K$4:$AJ$4,0)),NA(),IF(SUMPRODUCT((Inputs!$A$5:$A$110=$B59)*ISNUMBER(INDEX(Inputs!$K$5:$AJ$110,0,MATCH(D$2,Inputs!$K$4:$AJ$4,0))))+SUMPRODUCT((Inputs!$C$5:$C$110=$B59)*ISNUMBER(INDEX(Inputs!$K$5:$AJ$110,0,MATCH(D$2,Inputs!$K$4:$AJ$4,0))))+SUMPRODUCT((Inputs!$E$5:$E$110=$B59)*ISNUMBER(INDEX(Inputs!$K$5:$AJ$110,0,MATCH(D$2,Inputs!$K$4:$AJ$4,0))))=0,NA(),SUMPRODUCT((Inputs!$A$5:$A$110=$B59)*Inputs!$B$5:$B$110*(((Inputs!$G$5:$G$110="moeda")+(Inputs!$G$5:$G$110="acoes"))*Inputs!$B$1+((Inputs!$G$5:$G$110&lt;&gt;"moeda")*(Inputs!$G$5:$G$110&lt;&gt;"acoes")))*INDEX(Inputs!$K$5:$AJ$110,0,MATCH(D$2,Inputs!$K$4:$AJ$4,0)))+SUMPRODUCT((Inputs!$C$5:$C$110=$B59)*Inputs!$D$5:$D$110*(((Inputs!$G$5:$G$110="moeda")+(Inputs!$G$5:$G$110="acoes"))*Inputs!$B$1+((Inputs!$G$5:$G$110&lt;&gt;"moeda")*(Inputs!$G$5:$G$110&lt;&gt;"acoes")))*INDEX(Inputs!$K$5:$AJ$110,0,MATCH(D$2,Inputs!$K$4:$AJ$4,0)))+SUMPRODUCT((Inputs!$E$5:$E$110=$B59)*Inputs!$F$5:$F$110*(((Inputs!$G$5:$G$110="moeda")+(Inputs!$G$5:$G$110="acoes"))*Inputs!$B$1+((Inputs!$G$5:$G$110&lt;&gt;"moeda")*(Inputs!$G$5:$G$110&lt;&gt;"acoes")))*INDEX(Inputs!$K$5:$AJ$110,0,MATCH(D$2,Inputs!$K$4:$AJ$4,0)))))</f>
        <v>226</v>
      </c>
      <c r="E59" s="513">
        <f>IF(ISNA(MATCH(E$2,Inputs!$K$4:$AJ$4,0)),NA(),IF(SUMPRODUCT((Inputs!$A$5:$A$110=$B59)*ISNUMBER(INDEX(Inputs!$K$5:$AJ$110,0,MATCH(E$2,Inputs!$K$4:$AJ$4,0))))+SUMPRODUCT((Inputs!$C$5:$C$110=$B59)*ISNUMBER(INDEX(Inputs!$K$5:$AJ$110,0,MATCH(E$2,Inputs!$K$4:$AJ$4,0))))+SUMPRODUCT((Inputs!$E$5:$E$110=$B59)*ISNUMBER(INDEX(Inputs!$K$5:$AJ$110,0,MATCH(E$2,Inputs!$K$4:$AJ$4,0))))=0,NA(),SUMPRODUCT((Inputs!$A$5:$A$110=$B59)*Inputs!$B$5:$B$110*(((Inputs!$G$5:$G$110="moeda")+(Inputs!$G$5:$G$110="acoes"))*Inputs!$B$1+((Inputs!$G$5:$G$110&lt;&gt;"moeda")*(Inputs!$G$5:$G$110&lt;&gt;"acoes")))*INDEX(Inputs!$K$5:$AJ$110,0,MATCH(E$2,Inputs!$K$4:$AJ$4,0)))+SUMPRODUCT((Inputs!$C$5:$C$110=$B59)*Inputs!$D$5:$D$110*(((Inputs!$G$5:$G$110="moeda")+(Inputs!$G$5:$G$110="acoes"))*Inputs!$B$1+((Inputs!$G$5:$G$110&lt;&gt;"moeda")*(Inputs!$G$5:$G$110&lt;&gt;"acoes")))*INDEX(Inputs!$K$5:$AJ$110,0,MATCH(E$2,Inputs!$K$4:$AJ$4,0)))+SUMPRODUCT((Inputs!$E$5:$E$110=$B59)*Inputs!$F$5:$F$110*(((Inputs!$G$5:$G$110="moeda")+(Inputs!$G$5:$G$110="acoes"))*Inputs!$B$1+((Inputs!$G$5:$G$110&lt;&gt;"moeda")*(Inputs!$G$5:$G$110&lt;&gt;"acoes")))*INDEX(Inputs!$K$5:$AJ$110,0,MATCH(E$2,Inputs!$K$4:$AJ$4,0)))))</f>
        <v>260</v>
      </c>
      <c r="F59" s="513">
        <f>IF(ISNA(MATCH(F$2,Inputs!$K$4:$AJ$4,0)),NA(),IF(SUMPRODUCT((Inputs!$A$5:$A$110=$B59)*ISNUMBER(INDEX(Inputs!$K$5:$AJ$110,0,MATCH(F$2,Inputs!$K$4:$AJ$4,0))))+SUMPRODUCT((Inputs!$C$5:$C$110=$B59)*ISNUMBER(INDEX(Inputs!$K$5:$AJ$110,0,MATCH(F$2,Inputs!$K$4:$AJ$4,0))))+SUMPRODUCT((Inputs!$E$5:$E$110=$B59)*ISNUMBER(INDEX(Inputs!$K$5:$AJ$110,0,MATCH(F$2,Inputs!$K$4:$AJ$4,0))))=0,NA(),SUMPRODUCT((Inputs!$A$5:$A$110=$B59)*Inputs!$B$5:$B$110*(((Inputs!$G$5:$G$110="moeda")+(Inputs!$G$5:$G$110="acoes"))*Inputs!$B$1+((Inputs!$G$5:$G$110&lt;&gt;"moeda")*(Inputs!$G$5:$G$110&lt;&gt;"acoes")))*INDEX(Inputs!$K$5:$AJ$110,0,MATCH(F$2,Inputs!$K$4:$AJ$4,0)))+SUMPRODUCT((Inputs!$C$5:$C$110=$B59)*Inputs!$D$5:$D$110*(((Inputs!$G$5:$G$110="moeda")+(Inputs!$G$5:$G$110="acoes"))*Inputs!$B$1+((Inputs!$G$5:$G$110&lt;&gt;"moeda")*(Inputs!$G$5:$G$110&lt;&gt;"acoes")))*INDEX(Inputs!$K$5:$AJ$110,0,MATCH(F$2,Inputs!$K$4:$AJ$4,0)))+SUMPRODUCT((Inputs!$E$5:$E$110=$B59)*Inputs!$F$5:$F$110*(((Inputs!$G$5:$G$110="moeda")+(Inputs!$G$5:$G$110="acoes"))*Inputs!$B$1+((Inputs!$G$5:$G$110&lt;&gt;"moeda")*(Inputs!$G$5:$G$110&lt;&gt;"acoes")))*INDEX(Inputs!$K$5:$AJ$110,0,MATCH(F$2,Inputs!$K$4:$AJ$4,0)))))</f>
        <v>376</v>
      </c>
      <c r="G59" s="513">
        <f>IF(ISNA(MATCH(G$2,Inputs!$K$4:$AJ$4,0)),NA(),IF(SUMPRODUCT((Inputs!$A$5:$A$110=$B59)*ISNUMBER(INDEX(Inputs!$K$5:$AJ$110,0,MATCH(G$2,Inputs!$K$4:$AJ$4,0))))+SUMPRODUCT((Inputs!$C$5:$C$110=$B59)*ISNUMBER(INDEX(Inputs!$K$5:$AJ$110,0,MATCH(G$2,Inputs!$K$4:$AJ$4,0))))+SUMPRODUCT((Inputs!$E$5:$E$110=$B59)*ISNUMBER(INDEX(Inputs!$K$5:$AJ$110,0,MATCH(G$2,Inputs!$K$4:$AJ$4,0))))=0,NA(),SUMPRODUCT((Inputs!$A$5:$A$110=$B59)*Inputs!$B$5:$B$110*(((Inputs!$G$5:$G$110="moeda")+(Inputs!$G$5:$G$110="acoes"))*Inputs!$B$1+((Inputs!$G$5:$G$110&lt;&gt;"moeda")*(Inputs!$G$5:$G$110&lt;&gt;"acoes")))*INDEX(Inputs!$K$5:$AJ$110,0,MATCH(G$2,Inputs!$K$4:$AJ$4,0)))+SUMPRODUCT((Inputs!$C$5:$C$110=$B59)*Inputs!$D$5:$D$110*(((Inputs!$G$5:$G$110="moeda")+(Inputs!$G$5:$G$110="acoes"))*Inputs!$B$1+((Inputs!$G$5:$G$110&lt;&gt;"moeda")*(Inputs!$G$5:$G$110&lt;&gt;"acoes")))*INDEX(Inputs!$K$5:$AJ$110,0,MATCH(G$2,Inputs!$K$4:$AJ$4,0)))+SUMPRODUCT((Inputs!$E$5:$E$110=$B59)*Inputs!$F$5:$F$110*(((Inputs!$G$5:$G$110="moeda")+(Inputs!$G$5:$G$110="acoes"))*Inputs!$B$1+((Inputs!$G$5:$G$110&lt;&gt;"moeda")*(Inputs!$G$5:$G$110&lt;&gt;"acoes")))*INDEX(Inputs!$K$5:$AJ$110,0,MATCH(G$2,Inputs!$K$4:$AJ$4,0)))))</f>
        <v>293</v>
      </c>
      <c r="H59" s="514">
        <f>SUM(D59:G59)</f>
        <v>1155</v>
      </c>
      <c r="I59" s="513">
        <f>IF(ISNA(MATCH(I$2,Inputs!$K$4:$AJ$4,0)),NA(),IF(SUMPRODUCT((Inputs!$A$5:$A$110=$B59)*ISNUMBER(INDEX(Inputs!$K$5:$AJ$110,0,MATCH(I$2,Inputs!$K$4:$AJ$4,0))))+SUMPRODUCT((Inputs!$C$5:$C$110=$B59)*ISNUMBER(INDEX(Inputs!$K$5:$AJ$110,0,MATCH(I$2,Inputs!$K$4:$AJ$4,0))))+SUMPRODUCT((Inputs!$E$5:$E$110=$B59)*ISNUMBER(INDEX(Inputs!$K$5:$AJ$110,0,MATCH(I$2,Inputs!$K$4:$AJ$4,0))))=0,NA(),SUMPRODUCT((Inputs!$A$5:$A$110=$B59)*Inputs!$B$5:$B$110*(((Inputs!$G$5:$G$110="moeda")+(Inputs!$G$5:$G$110="acoes"))*Inputs!$B$1+((Inputs!$G$5:$G$110&lt;&gt;"moeda")*(Inputs!$G$5:$G$110&lt;&gt;"acoes")))*INDEX(Inputs!$K$5:$AJ$110,0,MATCH(I$2,Inputs!$K$4:$AJ$4,0)))+SUMPRODUCT((Inputs!$C$5:$C$110=$B59)*Inputs!$D$5:$D$110*(((Inputs!$G$5:$G$110="moeda")+(Inputs!$G$5:$G$110="acoes"))*Inputs!$B$1+((Inputs!$G$5:$G$110&lt;&gt;"moeda")*(Inputs!$G$5:$G$110&lt;&gt;"acoes")))*INDEX(Inputs!$K$5:$AJ$110,0,MATCH(I$2,Inputs!$K$4:$AJ$4,0)))+SUMPRODUCT((Inputs!$E$5:$E$110=$B59)*Inputs!$F$5:$F$110*(((Inputs!$G$5:$G$110="moeda")+(Inputs!$G$5:$G$110="acoes"))*Inputs!$B$1+((Inputs!$G$5:$G$110&lt;&gt;"moeda")*(Inputs!$G$5:$G$110&lt;&gt;"acoes")))*INDEX(Inputs!$K$5:$AJ$110,0,MATCH(I$2,Inputs!$K$4:$AJ$4,0)))))</f>
        <v>301</v>
      </c>
      <c r="J59" s="513">
        <f>IF(ISNA(MATCH(J$2,Inputs!$K$4:$AJ$4,0)),NA(),IF(SUMPRODUCT((Inputs!$A$5:$A$110=$B59)*ISNUMBER(INDEX(Inputs!$K$5:$AJ$110,0,MATCH(J$2,Inputs!$K$4:$AJ$4,0))))+SUMPRODUCT((Inputs!$C$5:$C$110=$B59)*ISNUMBER(INDEX(Inputs!$K$5:$AJ$110,0,MATCH(J$2,Inputs!$K$4:$AJ$4,0))))+SUMPRODUCT((Inputs!$E$5:$E$110=$B59)*ISNUMBER(INDEX(Inputs!$K$5:$AJ$110,0,MATCH(J$2,Inputs!$K$4:$AJ$4,0))))=0,NA(),SUMPRODUCT((Inputs!$A$5:$A$110=$B59)*Inputs!$B$5:$B$110*(((Inputs!$G$5:$G$110="moeda")+(Inputs!$G$5:$G$110="acoes"))*Inputs!$B$1+((Inputs!$G$5:$G$110&lt;&gt;"moeda")*(Inputs!$G$5:$G$110&lt;&gt;"acoes")))*INDEX(Inputs!$K$5:$AJ$110,0,MATCH(J$2,Inputs!$K$4:$AJ$4,0)))+SUMPRODUCT((Inputs!$C$5:$C$110=$B59)*Inputs!$D$5:$D$110*(((Inputs!$G$5:$G$110="moeda")+(Inputs!$G$5:$G$110="acoes"))*Inputs!$B$1+((Inputs!$G$5:$G$110&lt;&gt;"moeda")*(Inputs!$G$5:$G$110&lt;&gt;"acoes")))*INDEX(Inputs!$K$5:$AJ$110,0,MATCH(J$2,Inputs!$K$4:$AJ$4,0)))+SUMPRODUCT((Inputs!$E$5:$E$110=$B59)*Inputs!$F$5:$F$110*(((Inputs!$G$5:$G$110="moeda")+(Inputs!$G$5:$G$110="acoes"))*Inputs!$B$1+((Inputs!$G$5:$G$110&lt;&gt;"moeda")*(Inputs!$G$5:$G$110&lt;&gt;"acoes")))*INDEX(Inputs!$K$5:$AJ$110,0,MATCH(J$2,Inputs!$K$4:$AJ$4,0)))))</f>
        <v>324</v>
      </c>
      <c r="K59" s="513">
        <f>IF(ISNA(MATCH(K$2,Inputs!$K$4:$AJ$4,0)),NA(),IF(SUMPRODUCT((Inputs!$A$5:$A$110=$B59)*ISNUMBER(INDEX(Inputs!$K$5:$AJ$110,0,MATCH(K$2,Inputs!$K$4:$AJ$4,0))))+SUMPRODUCT((Inputs!$C$5:$C$110=$B59)*ISNUMBER(INDEX(Inputs!$K$5:$AJ$110,0,MATCH(K$2,Inputs!$K$4:$AJ$4,0))))+SUMPRODUCT((Inputs!$E$5:$E$110=$B59)*ISNUMBER(INDEX(Inputs!$K$5:$AJ$110,0,MATCH(K$2,Inputs!$K$4:$AJ$4,0))))=0,NA(),SUMPRODUCT((Inputs!$A$5:$A$110=$B59)*Inputs!$B$5:$B$110*(((Inputs!$G$5:$G$110="moeda")+(Inputs!$G$5:$G$110="acoes"))*Inputs!$B$1+((Inputs!$G$5:$G$110&lt;&gt;"moeda")*(Inputs!$G$5:$G$110&lt;&gt;"acoes")))*INDEX(Inputs!$K$5:$AJ$110,0,MATCH(K$2,Inputs!$K$4:$AJ$4,0)))+SUMPRODUCT((Inputs!$C$5:$C$110=$B59)*Inputs!$D$5:$D$110*(((Inputs!$G$5:$G$110="moeda")+(Inputs!$G$5:$G$110="acoes"))*Inputs!$B$1+((Inputs!$G$5:$G$110&lt;&gt;"moeda")*(Inputs!$G$5:$G$110&lt;&gt;"acoes")))*INDEX(Inputs!$K$5:$AJ$110,0,MATCH(K$2,Inputs!$K$4:$AJ$4,0)))+SUMPRODUCT((Inputs!$E$5:$E$110=$B59)*Inputs!$F$5:$F$110*(((Inputs!$G$5:$G$110="moeda")+(Inputs!$G$5:$G$110="acoes"))*Inputs!$B$1+((Inputs!$G$5:$G$110&lt;&gt;"moeda")*(Inputs!$G$5:$G$110&lt;&gt;"acoes")))*INDEX(Inputs!$K$5:$AJ$110,0,MATCH(K$2,Inputs!$K$4:$AJ$4,0)))))</f>
        <v>428</v>
      </c>
      <c r="L59" s="513">
        <f>IF(ISNA(MATCH(L$2,Inputs!$K$4:$AJ$4,0)),NA(),IF(SUMPRODUCT((Inputs!$A$5:$A$110=$B59)*ISNUMBER(INDEX(Inputs!$K$5:$AJ$110,0,MATCH(L$2,Inputs!$K$4:$AJ$4,0))))+SUMPRODUCT((Inputs!$C$5:$C$110=$B59)*ISNUMBER(INDEX(Inputs!$K$5:$AJ$110,0,MATCH(L$2,Inputs!$K$4:$AJ$4,0))))+SUMPRODUCT((Inputs!$E$5:$E$110=$B59)*ISNUMBER(INDEX(Inputs!$K$5:$AJ$110,0,MATCH(L$2,Inputs!$K$4:$AJ$4,0))))=0,NA(),SUMPRODUCT((Inputs!$A$5:$A$110=$B59)*Inputs!$B$5:$B$110*(((Inputs!$G$5:$G$110="moeda")+(Inputs!$G$5:$G$110="acoes"))*Inputs!$B$1+((Inputs!$G$5:$G$110&lt;&gt;"moeda")*(Inputs!$G$5:$G$110&lt;&gt;"acoes")))*INDEX(Inputs!$K$5:$AJ$110,0,MATCH(L$2,Inputs!$K$4:$AJ$4,0)))+SUMPRODUCT((Inputs!$C$5:$C$110=$B59)*Inputs!$D$5:$D$110*(((Inputs!$G$5:$G$110="moeda")+(Inputs!$G$5:$G$110="acoes"))*Inputs!$B$1+((Inputs!$G$5:$G$110&lt;&gt;"moeda")*(Inputs!$G$5:$G$110&lt;&gt;"acoes")))*INDEX(Inputs!$K$5:$AJ$110,0,MATCH(L$2,Inputs!$K$4:$AJ$4,0)))+SUMPRODUCT((Inputs!$E$5:$E$110=$B59)*Inputs!$F$5:$F$110*(((Inputs!$G$5:$G$110="moeda")+(Inputs!$G$5:$G$110="acoes"))*Inputs!$B$1+((Inputs!$G$5:$G$110&lt;&gt;"moeda")*(Inputs!$G$5:$G$110&lt;&gt;"acoes")))*INDEX(Inputs!$K$5:$AJ$110,0,MATCH(L$2,Inputs!$K$4:$AJ$4,0)))))</f>
        <v>288</v>
      </c>
      <c r="M59" s="514">
        <f>SUM(I59:L59)</f>
        <v>1341</v>
      </c>
      <c r="N59" s="513">
        <f>IF(ISNA(MATCH(N$2,Inputs!$K$4:$AJ$4,0)),NA(),IF(SUMPRODUCT((Inputs!$A$5:$A$110=$B59)*ISNUMBER(INDEX(Inputs!$K$5:$AJ$110,0,MATCH(N$2,Inputs!$K$4:$AJ$4,0))))+SUMPRODUCT((Inputs!$C$5:$C$110=$B59)*ISNUMBER(INDEX(Inputs!$K$5:$AJ$110,0,MATCH(N$2,Inputs!$K$4:$AJ$4,0))))+SUMPRODUCT((Inputs!$E$5:$E$110=$B59)*ISNUMBER(INDEX(Inputs!$K$5:$AJ$110,0,MATCH(N$2,Inputs!$K$4:$AJ$4,0))))=0,NA(),SUMPRODUCT((Inputs!$A$5:$A$110=$B59)*Inputs!$B$5:$B$110*(((Inputs!$G$5:$G$110="moeda")+(Inputs!$G$5:$G$110="acoes"))*Inputs!$B$1+((Inputs!$G$5:$G$110&lt;&gt;"moeda")*(Inputs!$G$5:$G$110&lt;&gt;"acoes")))*INDEX(Inputs!$K$5:$AJ$110,0,MATCH(N$2,Inputs!$K$4:$AJ$4,0)))+SUMPRODUCT((Inputs!$C$5:$C$110=$B59)*Inputs!$D$5:$D$110*(((Inputs!$G$5:$G$110="moeda")+(Inputs!$G$5:$G$110="acoes"))*Inputs!$B$1+((Inputs!$G$5:$G$110&lt;&gt;"moeda")*(Inputs!$G$5:$G$110&lt;&gt;"acoes")))*INDEX(Inputs!$K$5:$AJ$110,0,MATCH(N$2,Inputs!$K$4:$AJ$4,0)))+SUMPRODUCT((Inputs!$E$5:$E$110=$B59)*Inputs!$F$5:$F$110*(((Inputs!$G$5:$G$110="moeda")+(Inputs!$G$5:$G$110="acoes"))*Inputs!$B$1+((Inputs!$G$5:$G$110&lt;&gt;"moeda")*(Inputs!$G$5:$G$110&lt;&gt;"acoes")))*INDEX(Inputs!$K$5:$AJ$110,0,MATCH(N$2,Inputs!$K$4:$AJ$4,0)))))</f>
        <v>284</v>
      </c>
      <c r="O59" s="513">
        <f>IF(ISNA(MATCH(O$2,Inputs!$K$4:$AJ$4,0)),NA(),IF(SUMPRODUCT((Inputs!$A$5:$A$110=$B59)*ISNUMBER(INDEX(Inputs!$K$5:$AJ$110,0,MATCH(O$2,Inputs!$K$4:$AJ$4,0))))+SUMPRODUCT((Inputs!$C$5:$C$110=$B59)*ISNUMBER(INDEX(Inputs!$K$5:$AJ$110,0,MATCH(O$2,Inputs!$K$4:$AJ$4,0))))+SUMPRODUCT((Inputs!$E$5:$E$110=$B59)*ISNUMBER(INDEX(Inputs!$K$5:$AJ$110,0,MATCH(O$2,Inputs!$K$4:$AJ$4,0))))=0,NA(),SUMPRODUCT((Inputs!$A$5:$A$110=$B59)*Inputs!$B$5:$B$110*(((Inputs!$G$5:$G$110="moeda")+(Inputs!$G$5:$G$110="acoes"))*Inputs!$B$1+((Inputs!$G$5:$G$110&lt;&gt;"moeda")*(Inputs!$G$5:$G$110&lt;&gt;"acoes")))*INDEX(Inputs!$K$5:$AJ$110,0,MATCH(O$2,Inputs!$K$4:$AJ$4,0)))+SUMPRODUCT((Inputs!$C$5:$C$110=$B59)*Inputs!$D$5:$D$110*(((Inputs!$G$5:$G$110="moeda")+(Inputs!$G$5:$G$110="acoes"))*Inputs!$B$1+((Inputs!$G$5:$G$110&lt;&gt;"moeda")*(Inputs!$G$5:$G$110&lt;&gt;"acoes")))*INDEX(Inputs!$K$5:$AJ$110,0,MATCH(O$2,Inputs!$K$4:$AJ$4,0)))+SUMPRODUCT((Inputs!$E$5:$E$110=$B59)*Inputs!$F$5:$F$110*(((Inputs!$G$5:$G$110="moeda")+(Inputs!$G$5:$G$110="acoes"))*Inputs!$B$1+((Inputs!$G$5:$G$110&lt;&gt;"moeda")*(Inputs!$G$5:$G$110&lt;&gt;"acoes")))*INDEX(Inputs!$K$5:$AJ$110,0,MATCH(O$2,Inputs!$K$4:$AJ$4,0)))))</f>
        <v>327</v>
      </c>
      <c r="P59" s="513">
        <f>IF(ISNA(MATCH(P$2,Inputs!$K$4:$AJ$4,0)),NA(),IF(SUMPRODUCT((Inputs!$A$5:$A$110=$B59)*ISNUMBER(INDEX(Inputs!$K$5:$AJ$110,0,MATCH(P$2,Inputs!$K$4:$AJ$4,0))))+SUMPRODUCT((Inputs!$C$5:$C$110=$B59)*ISNUMBER(INDEX(Inputs!$K$5:$AJ$110,0,MATCH(P$2,Inputs!$K$4:$AJ$4,0))))+SUMPRODUCT((Inputs!$E$5:$E$110=$B59)*ISNUMBER(INDEX(Inputs!$K$5:$AJ$110,0,MATCH(P$2,Inputs!$K$4:$AJ$4,0))))=0,NA(),SUMPRODUCT((Inputs!$A$5:$A$110=$B59)*Inputs!$B$5:$B$110*(((Inputs!$G$5:$G$110="moeda")+(Inputs!$G$5:$G$110="acoes"))*Inputs!$B$1+((Inputs!$G$5:$G$110&lt;&gt;"moeda")*(Inputs!$G$5:$G$110&lt;&gt;"acoes")))*INDEX(Inputs!$K$5:$AJ$110,0,MATCH(P$2,Inputs!$K$4:$AJ$4,0)))+SUMPRODUCT((Inputs!$C$5:$C$110=$B59)*Inputs!$D$5:$D$110*(((Inputs!$G$5:$G$110="moeda")+(Inputs!$G$5:$G$110="acoes"))*Inputs!$B$1+((Inputs!$G$5:$G$110&lt;&gt;"moeda")*(Inputs!$G$5:$G$110&lt;&gt;"acoes")))*INDEX(Inputs!$K$5:$AJ$110,0,MATCH(P$2,Inputs!$K$4:$AJ$4,0)))+SUMPRODUCT((Inputs!$E$5:$E$110=$B59)*Inputs!$F$5:$F$110*(((Inputs!$G$5:$G$110="moeda")+(Inputs!$G$5:$G$110="acoes"))*Inputs!$B$1+((Inputs!$G$5:$G$110&lt;&gt;"moeda")*(Inputs!$G$5:$G$110&lt;&gt;"acoes")))*INDEX(Inputs!$K$5:$AJ$110,0,MATCH(P$2,Inputs!$K$4:$AJ$4,0)))))</f>
        <v>549</v>
      </c>
      <c r="Q59" s="513">
        <f>IF(ISNA(MATCH(Q$2,Inputs!$K$4:$AJ$4,0)),NA(),IF(SUMPRODUCT((Inputs!$A$5:$A$110=$B59)*ISNUMBER(INDEX(Inputs!$K$5:$AJ$110,0,MATCH(Q$2,Inputs!$K$4:$AJ$4,0))))+SUMPRODUCT((Inputs!$C$5:$C$110=$B59)*ISNUMBER(INDEX(Inputs!$K$5:$AJ$110,0,MATCH(Q$2,Inputs!$K$4:$AJ$4,0))))+SUMPRODUCT((Inputs!$E$5:$E$110=$B59)*ISNUMBER(INDEX(Inputs!$K$5:$AJ$110,0,MATCH(Q$2,Inputs!$K$4:$AJ$4,0))))=0,NA(),SUMPRODUCT((Inputs!$A$5:$A$110=$B59)*Inputs!$B$5:$B$110*(((Inputs!$G$5:$G$110="moeda")+(Inputs!$G$5:$G$110="acoes"))*Inputs!$B$1+((Inputs!$G$5:$G$110&lt;&gt;"moeda")*(Inputs!$G$5:$G$110&lt;&gt;"acoes")))*INDEX(Inputs!$K$5:$AJ$110,0,MATCH(Q$2,Inputs!$K$4:$AJ$4,0)))+SUMPRODUCT((Inputs!$C$5:$C$110=$B59)*Inputs!$D$5:$D$110*(((Inputs!$G$5:$G$110="moeda")+(Inputs!$G$5:$G$110="acoes"))*Inputs!$B$1+((Inputs!$G$5:$G$110&lt;&gt;"moeda")*(Inputs!$G$5:$G$110&lt;&gt;"acoes")))*INDEX(Inputs!$K$5:$AJ$110,0,MATCH(Q$2,Inputs!$K$4:$AJ$4,0)))+SUMPRODUCT((Inputs!$E$5:$E$110=$B59)*Inputs!$F$5:$F$110*(((Inputs!$G$5:$G$110="moeda")+(Inputs!$G$5:$G$110="acoes"))*Inputs!$B$1+((Inputs!$G$5:$G$110&lt;&gt;"moeda")*(Inputs!$G$5:$G$110&lt;&gt;"acoes")))*INDEX(Inputs!$K$5:$AJ$110,0,MATCH(Q$2,Inputs!$K$4:$AJ$4,0)))))</f>
        <v>325</v>
      </c>
      <c r="R59" s="514">
        <f>SUM(N59:Q59)</f>
        <v>1485</v>
      </c>
      <c r="S59" s="513">
        <f>IF(ISNA(MATCH(S$2,Inputs!$K$4:$AJ$4,0)),NA(),IF(SUMPRODUCT((Inputs!$A$5:$A$110=$B59)*ISNUMBER(INDEX(Inputs!$K$5:$AJ$110,0,MATCH(S$2,Inputs!$K$4:$AJ$4,0))))+SUMPRODUCT((Inputs!$C$5:$C$110=$B59)*ISNUMBER(INDEX(Inputs!$K$5:$AJ$110,0,MATCH(S$2,Inputs!$K$4:$AJ$4,0))))+SUMPRODUCT((Inputs!$E$5:$E$110=$B59)*ISNUMBER(INDEX(Inputs!$K$5:$AJ$110,0,MATCH(S$2,Inputs!$K$4:$AJ$4,0))))=0,NA(),SUMPRODUCT((Inputs!$A$5:$A$110=$B59)*Inputs!$B$5:$B$110*(((Inputs!$G$5:$G$110="moeda")+(Inputs!$G$5:$G$110="acoes"))*Inputs!$B$1+((Inputs!$G$5:$G$110&lt;&gt;"moeda")*(Inputs!$G$5:$G$110&lt;&gt;"acoes")))*INDEX(Inputs!$K$5:$AJ$110,0,MATCH(S$2,Inputs!$K$4:$AJ$4,0)))+SUMPRODUCT((Inputs!$C$5:$C$110=$B59)*Inputs!$D$5:$D$110*(((Inputs!$G$5:$G$110="moeda")+(Inputs!$G$5:$G$110="acoes"))*Inputs!$B$1+((Inputs!$G$5:$G$110&lt;&gt;"moeda")*(Inputs!$G$5:$G$110&lt;&gt;"acoes")))*INDEX(Inputs!$K$5:$AJ$110,0,MATCH(S$2,Inputs!$K$4:$AJ$4,0)))+SUMPRODUCT((Inputs!$E$5:$E$110=$B59)*Inputs!$F$5:$F$110*(((Inputs!$G$5:$G$110="moeda")+(Inputs!$G$5:$G$110="acoes"))*Inputs!$B$1+((Inputs!$G$5:$G$110&lt;&gt;"moeda")*(Inputs!$G$5:$G$110&lt;&gt;"acoes")))*INDEX(Inputs!$K$5:$AJ$110,0,MATCH(S$2,Inputs!$K$4:$AJ$4,0)))))</f>
        <v>390</v>
      </c>
      <c r="T59" s="513">
        <f>IF(ISNA(MATCH(T$2,Inputs!$K$4:$AJ$4,0)),NA(),IF(SUMPRODUCT((Inputs!$A$5:$A$110=$B59)*ISNUMBER(INDEX(Inputs!$K$5:$AJ$110,0,MATCH(T$2,Inputs!$K$4:$AJ$4,0))))+SUMPRODUCT((Inputs!$C$5:$C$110=$B59)*ISNUMBER(INDEX(Inputs!$K$5:$AJ$110,0,MATCH(T$2,Inputs!$K$4:$AJ$4,0))))+SUMPRODUCT((Inputs!$E$5:$E$110=$B59)*ISNUMBER(INDEX(Inputs!$K$5:$AJ$110,0,MATCH(T$2,Inputs!$K$4:$AJ$4,0))))=0,NA(),SUMPRODUCT((Inputs!$A$5:$A$110=$B59)*Inputs!$B$5:$B$110*(((Inputs!$G$5:$G$110="moeda")+(Inputs!$G$5:$G$110="acoes"))*Inputs!$B$1+((Inputs!$G$5:$G$110&lt;&gt;"moeda")*(Inputs!$G$5:$G$110&lt;&gt;"acoes")))*INDEX(Inputs!$K$5:$AJ$110,0,MATCH(T$2,Inputs!$K$4:$AJ$4,0)))+SUMPRODUCT((Inputs!$C$5:$C$110=$B59)*Inputs!$D$5:$D$110*(((Inputs!$G$5:$G$110="moeda")+(Inputs!$G$5:$G$110="acoes"))*Inputs!$B$1+((Inputs!$G$5:$G$110&lt;&gt;"moeda")*(Inputs!$G$5:$G$110&lt;&gt;"acoes")))*INDEX(Inputs!$K$5:$AJ$110,0,MATCH(T$2,Inputs!$K$4:$AJ$4,0)))+SUMPRODUCT((Inputs!$E$5:$E$110=$B59)*Inputs!$F$5:$F$110*(((Inputs!$G$5:$G$110="moeda")+(Inputs!$G$5:$G$110="acoes"))*Inputs!$B$1+((Inputs!$G$5:$G$110&lt;&gt;"moeda")*(Inputs!$G$5:$G$110&lt;&gt;"acoes")))*INDEX(Inputs!$K$5:$AJ$110,0,MATCH(T$2,Inputs!$K$4:$AJ$4,0)))))</f>
        <v>394</v>
      </c>
      <c r="U59" s="513">
        <f>IF(ISNA(MATCH(U$2,Inputs!$K$4:$AJ$4,0)),NA(),IF(SUMPRODUCT((Inputs!$A$5:$A$110=$B59)*ISNUMBER(INDEX(Inputs!$K$5:$AJ$110,0,MATCH(U$2,Inputs!$K$4:$AJ$4,0))))+SUMPRODUCT((Inputs!$C$5:$C$110=$B59)*ISNUMBER(INDEX(Inputs!$K$5:$AJ$110,0,MATCH(U$2,Inputs!$K$4:$AJ$4,0))))+SUMPRODUCT((Inputs!$E$5:$E$110=$B59)*ISNUMBER(INDEX(Inputs!$K$5:$AJ$110,0,MATCH(U$2,Inputs!$K$4:$AJ$4,0))))=0,NA(),SUMPRODUCT((Inputs!$A$5:$A$110=$B59)*Inputs!$B$5:$B$110*(((Inputs!$G$5:$G$110="moeda")+(Inputs!$G$5:$G$110="acoes"))*Inputs!$B$1+((Inputs!$G$5:$G$110&lt;&gt;"moeda")*(Inputs!$G$5:$G$110&lt;&gt;"acoes")))*INDEX(Inputs!$K$5:$AJ$110,0,MATCH(U$2,Inputs!$K$4:$AJ$4,0)))+SUMPRODUCT((Inputs!$C$5:$C$110=$B59)*Inputs!$D$5:$D$110*(((Inputs!$G$5:$G$110="moeda")+(Inputs!$G$5:$G$110="acoes"))*Inputs!$B$1+((Inputs!$G$5:$G$110&lt;&gt;"moeda")*(Inputs!$G$5:$G$110&lt;&gt;"acoes")))*INDEX(Inputs!$K$5:$AJ$110,0,MATCH(U$2,Inputs!$K$4:$AJ$4,0)))+SUMPRODUCT((Inputs!$E$5:$E$110=$B59)*Inputs!$F$5:$F$110*(((Inputs!$G$5:$G$110="moeda")+(Inputs!$G$5:$G$110="acoes"))*Inputs!$B$1+((Inputs!$G$5:$G$110&lt;&gt;"moeda")*(Inputs!$G$5:$G$110&lt;&gt;"acoes")))*INDEX(Inputs!$K$5:$AJ$110,0,MATCH(U$2,Inputs!$K$4:$AJ$4,0)))))</f>
        <v>539</v>
      </c>
      <c r="V59" s="513">
        <f>IF(ISNA(MATCH(V$2,Inputs!$K$4:$AJ$4,0)),NA(),IF(SUMPRODUCT((Inputs!$A$5:$A$110=$B59)*ISNUMBER(INDEX(Inputs!$K$5:$AJ$110,0,MATCH(V$2,Inputs!$K$4:$AJ$4,0))))+SUMPRODUCT((Inputs!$C$5:$C$110=$B59)*ISNUMBER(INDEX(Inputs!$K$5:$AJ$110,0,MATCH(V$2,Inputs!$K$4:$AJ$4,0))))+SUMPRODUCT((Inputs!$E$5:$E$110=$B59)*ISNUMBER(INDEX(Inputs!$K$5:$AJ$110,0,MATCH(V$2,Inputs!$K$4:$AJ$4,0))))=0,NA(),SUMPRODUCT((Inputs!$A$5:$A$110=$B59)*Inputs!$B$5:$B$110*(((Inputs!$G$5:$G$110="moeda")+(Inputs!$G$5:$G$110="acoes"))*Inputs!$B$1+((Inputs!$G$5:$G$110&lt;&gt;"moeda")*(Inputs!$G$5:$G$110&lt;&gt;"acoes")))*INDEX(Inputs!$K$5:$AJ$110,0,MATCH(V$2,Inputs!$K$4:$AJ$4,0)))+SUMPRODUCT((Inputs!$C$5:$C$110=$B59)*Inputs!$D$5:$D$110*(((Inputs!$G$5:$G$110="moeda")+(Inputs!$G$5:$G$110="acoes"))*Inputs!$B$1+((Inputs!$G$5:$G$110&lt;&gt;"moeda")*(Inputs!$G$5:$G$110&lt;&gt;"acoes")))*INDEX(Inputs!$K$5:$AJ$110,0,MATCH(V$2,Inputs!$K$4:$AJ$4,0)))+SUMPRODUCT((Inputs!$E$5:$E$110=$B59)*Inputs!$F$5:$F$110*(((Inputs!$G$5:$G$110="moeda")+(Inputs!$G$5:$G$110="acoes"))*Inputs!$B$1+((Inputs!$G$5:$G$110&lt;&gt;"moeda")*(Inputs!$G$5:$G$110&lt;&gt;"acoes")))*INDEX(Inputs!$K$5:$AJ$110,0,MATCH(V$2,Inputs!$K$4:$AJ$4,0)))))</f>
        <v>362</v>
      </c>
      <c r="W59" s="514">
        <f>SUM(S59:V59)</f>
        <v>1685</v>
      </c>
      <c r="X59" s="513">
        <f>IF(ISNA(MATCH(X$2,Inputs!$K$4:$AJ$4,0)),NA(),IF(SUMPRODUCT((Inputs!$A$5:$A$110=$B59)*ISNUMBER(INDEX(Inputs!$K$5:$AJ$110,0,MATCH(X$2,Inputs!$K$4:$AJ$4,0))))+SUMPRODUCT((Inputs!$C$5:$C$110=$B59)*ISNUMBER(INDEX(Inputs!$K$5:$AJ$110,0,MATCH(X$2,Inputs!$K$4:$AJ$4,0))))+SUMPRODUCT((Inputs!$E$5:$E$110=$B59)*ISNUMBER(INDEX(Inputs!$K$5:$AJ$110,0,MATCH(X$2,Inputs!$K$4:$AJ$4,0))))=0,NA(),SUMPRODUCT((Inputs!$A$5:$A$110=$B59)*Inputs!$B$5:$B$110*(((Inputs!$G$5:$G$110="moeda")+(Inputs!$G$5:$G$110="acoes"))*Inputs!$B$1+((Inputs!$G$5:$G$110&lt;&gt;"moeda")*(Inputs!$G$5:$G$110&lt;&gt;"acoes")))*INDEX(Inputs!$K$5:$AJ$110,0,MATCH(X$2,Inputs!$K$4:$AJ$4,0)))+SUMPRODUCT((Inputs!$C$5:$C$110=$B59)*Inputs!$D$5:$D$110*(((Inputs!$G$5:$G$110="moeda")+(Inputs!$G$5:$G$110="acoes"))*Inputs!$B$1+((Inputs!$G$5:$G$110&lt;&gt;"moeda")*(Inputs!$G$5:$G$110&lt;&gt;"acoes")))*INDEX(Inputs!$K$5:$AJ$110,0,MATCH(X$2,Inputs!$K$4:$AJ$4,0)))+SUMPRODUCT((Inputs!$E$5:$E$110=$B59)*Inputs!$F$5:$F$110*(((Inputs!$G$5:$G$110="moeda")+(Inputs!$G$5:$G$110="acoes"))*Inputs!$B$1+((Inputs!$G$5:$G$110&lt;&gt;"moeda")*(Inputs!$G$5:$G$110&lt;&gt;"acoes")))*INDEX(Inputs!$K$5:$AJ$110,0,MATCH(X$2,Inputs!$K$4:$AJ$4,0)))))</f>
        <v>403</v>
      </c>
      <c r="Y59" s="513">
        <f>IF(ISNA(MATCH(Y$2,Inputs!$K$4:$AJ$4,0)),NA(),IF(SUMPRODUCT((Inputs!$A$5:$A$110=$B59)*ISNUMBER(INDEX(Inputs!$K$5:$AJ$110,0,MATCH(Y$2,Inputs!$K$4:$AJ$4,0))))+SUMPRODUCT((Inputs!$C$5:$C$110=$B59)*ISNUMBER(INDEX(Inputs!$K$5:$AJ$110,0,MATCH(Y$2,Inputs!$K$4:$AJ$4,0))))+SUMPRODUCT((Inputs!$E$5:$E$110=$B59)*ISNUMBER(INDEX(Inputs!$K$5:$AJ$110,0,MATCH(Y$2,Inputs!$K$4:$AJ$4,0))))=0,NA(),SUMPRODUCT((Inputs!$A$5:$A$110=$B59)*Inputs!$B$5:$B$110*(((Inputs!$G$5:$G$110="moeda")+(Inputs!$G$5:$G$110="acoes"))*Inputs!$B$1+((Inputs!$G$5:$G$110&lt;&gt;"moeda")*(Inputs!$G$5:$G$110&lt;&gt;"acoes")))*INDEX(Inputs!$K$5:$AJ$110,0,MATCH(Y$2,Inputs!$K$4:$AJ$4,0)))+SUMPRODUCT((Inputs!$C$5:$C$110=$B59)*Inputs!$D$5:$D$110*(((Inputs!$G$5:$G$110="moeda")+(Inputs!$G$5:$G$110="acoes"))*Inputs!$B$1+((Inputs!$G$5:$G$110&lt;&gt;"moeda")*(Inputs!$G$5:$G$110&lt;&gt;"acoes")))*INDEX(Inputs!$K$5:$AJ$110,0,MATCH(Y$2,Inputs!$K$4:$AJ$4,0)))+SUMPRODUCT((Inputs!$E$5:$E$110=$B59)*Inputs!$F$5:$F$110*(((Inputs!$G$5:$G$110="moeda")+(Inputs!$G$5:$G$110="acoes"))*Inputs!$B$1+((Inputs!$G$5:$G$110&lt;&gt;"moeda")*(Inputs!$G$5:$G$110&lt;&gt;"acoes")))*INDEX(Inputs!$K$5:$AJ$110,0,MATCH(Y$2,Inputs!$K$4:$AJ$4,0)))))</f>
        <v>450</v>
      </c>
      <c r="Z59" s="513">
        <f>IF(ISNA(MATCH(Z$2,Inputs!$K$4:$AJ$4,0)),NA(),IF(SUMPRODUCT((Inputs!$A$5:$A$110=$B59)*ISNUMBER(INDEX(Inputs!$K$5:$AJ$110,0,MATCH(Z$2,Inputs!$K$4:$AJ$4,0))))+SUMPRODUCT((Inputs!$C$5:$C$110=$B59)*ISNUMBER(INDEX(Inputs!$K$5:$AJ$110,0,MATCH(Z$2,Inputs!$K$4:$AJ$4,0))))+SUMPRODUCT((Inputs!$E$5:$E$110=$B59)*ISNUMBER(INDEX(Inputs!$K$5:$AJ$110,0,MATCH(Z$2,Inputs!$K$4:$AJ$4,0))))=0,NA(),SUMPRODUCT((Inputs!$A$5:$A$110=$B59)*Inputs!$B$5:$B$110*(((Inputs!$G$5:$G$110="moeda")+(Inputs!$G$5:$G$110="acoes"))*Inputs!$B$1+((Inputs!$G$5:$G$110&lt;&gt;"moeda")*(Inputs!$G$5:$G$110&lt;&gt;"acoes")))*INDEX(Inputs!$K$5:$AJ$110,0,MATCH(Z$2,Inputs!$K$4:$AJ$4,0)))+SUMPRODUCT((Inputs!$C$5:$C$110=$B59)*Inputs!$D$5:$D$110*(((Inputs!$G$5:$G$110="moeda")+(Inputs!$G$5:$G$110="acoes"))*Inputs!$B$1+((Inputs!$G$5:$G$110&lt;&gt;"moeda")*(Inputs!$G$5:$G$110&lt;&gt;"acoes")))*INDEX(Inputs!$K$5:$AJ$110,0,MATCH(Z$2,Inputs!$K$4:$AJ$4,0)))+SUMPRODUCT((Inputs!$E$5:$E$110=$B59)*Inputs!$F$5:$F$110*(((Inputs!$G$5:$G$110="moeda")+(Inputs!$G$5:$G$110="acoes"))*Inputs!$B$1+((Inputs!$G$5:$G$110&lt;&gt;"moeda")*(Inputs!$G$5:$G$110&lt;&gt;"acoes")))*INDEX(Inputs!$K$5:$AJ$110,0,MATCH(Z$2,Inputs!$K$4:$AJ$4,0)))))</f>
        <v>634</v>
      </c>
      <c r="AA59" s="513">
        <f>IF(ISNA(MATCH(AA$2,Inputs!$K$4:$AJ$4,0)),NA(),IF(SUMPRODUCT((Inputs!$A$5:$A$110=$B59)*ISNUMBER(INDEX(Inputs!$K$5:$AJ$110,0,MATCH(AA$2,Inputs!$K$4:$AJ$4,0))))+SUMPRODUCT((Inputs!$C$5:$C$110=$B59)*ISNUMBER(INDEX(Inputs!$K$5:$AJ$110,0,MATCH(AA$2,Inputs!$K$4:$AJ$4,0))))+SUMPRODUCT((Inputs!$E$5:$E$110=$B59)*ISNUMBER(INDEX(Inputs!$K$5:$AJ$110,0,MATCH(AA$2,Inputs!$K$4:$AJ$4,0))))=0,NA(),SUMPRODUCT((Inputs!$A$5:$A$110=$B59)*Inputs!$B$5:$B$110*(((Inputs!$G$5:$G$110="moeda")+(Inputs!$G$5:$G$110="acoes"))*Inputs!$B$1+((Inputs!$G$5:$G$110&lt;&gt;"moeda")*(Inputs!$G$5:$G$110&lt;&gt;"acoes")))*INDEX(Inputs!$K$5:$AJ$110,0,MATCH(AA$2,Inputs!$K$4:$AJ$4,0)))+SUMPRODUCT((Inputs!$C$5:$C$110=$B59)*Inputs!$D$5:$D$110*(((Inputs!$G$5:$G$110="moeda")+(Inputs!$G$5:$G$110="acoes"))*Inputs!$B$1+((Inputs!$G$5:$G$110&lt;&gt;"moeda")*(Inputs!$G$5:$G$110&lt;&gt;"acoes")))*INDEX(Inputs!$K$5:$AJ$110,0,MATCH(AA$2,Inputs!$K$4:$AJ$4,0)))+SUMPRODUCT((Inputs!$E$5:$E$110=$B59)*Inputs!$F$5:$F$110*(((Inputs!$G$5:$G$110="moeda")+(Inputs!$G$5:$G$110="acoes"))*Inputs!$B$1+((Inputs!$G$5:$G$110&lt;&gt;"moeda")*(Inputs!$G$5:$G$110&lt;&gt;"acoes")))*INDEX(Inputs!$K$5:$AJ$110,0,MATCH(AA$2,Inputs!$K$4:$AJ$4,0)))))</f>
        <v>434</v>
      </c>
      <c r="AB59" s="514">
        <f>SUM(X59:AA59)</f>
        <v>1921</v>
      </c>
      <c r="AC59" s="513">
        <f>IF(ISNA(MATCH(AC$2,Inputs!$K$4:$AJ$4,0)),NA(),IF(SUMPRODUCT((Inputs!$A$5:$A$110=$B59)*ISNUMBER(INDEX(Inputs!$K$5:$AJ$110,0,MATCH(AC$2,Inputs!$K$4:$AJ$4,0))))+SUMPRODUCT((Inputs!$C$5:$C$110=$B59)*ISNUMBER(INDEX(Inputs!$K$5:$AJ$110,0,MATCH(AC$2,Inputs!$K$4:$AJ$4,0))))+SUMPRODUCT((Inputs!$E$5:$E$110=$B59)*ISNUMBER(INDEX(Inputs!$K$5:$AJ$110,0,MATCH(AC$2,Inputs!$K$4:$AJ$4,0))))=0,NA(),SUMPRODUCT((Inputs!$A$5:$A$110=$B59)*Inputs!$B$5:$B$110*(((Inputs!$G$5:$G$110="moeda")+(Inputs!$G$5:$G$110="acoes"))*Inputs!$B$1+((Inputs!$G$5:$G$110&lt;&gt;"moeda")*(Inputs!$G$5:$G$110&lt;&gt;"acoes")))*INDEX(Inputs!$K$5:$AJ$110,0,MATCH(AC$2,Inputs!$K$4:$AJ$4,0)))+SUMPRODUCT((Inputs!$C$5:$C$110=$B59)*Inputs!$D$5:$D$110*(((Inputs!$G$5:$G$110="moeda")+(Inputs!$G$5:$G$110="acoes"))*Inputs!$B$1+((Inputs!$G$5:$G$110&lt;&gt;"moeda")*(Inputs!$G$5:$G$110&lt;&gt;"acoes")))*INDEX(Inputs!$K$5:$AJ$110,0,MATCH(AC$2,Inputs!$K$4:$AJ$4,0)))+SUMPRODUCT((Inputs!$E$5:$E$110=$B59)*Inputs!$F$5:$F$110*(((Inputs!$G$5:$G$110="moeda")+(Inputs!$G$5:$G$110="acoes"))*Inputs!$B$1+((Inputs!$G$5:$G$110&lt;&gt;"moeda")*(Inputs!$G$5:$G$110&lt;&gt;"acoes")))*INDEX(Inputs!$K$5:$AJ$110,0,MATCH(AC$2,Inputs!$K$4:$AJ$4,0)))))</f>
        <v>476</v>
      </c>
      <c r="AD59" s="513">
        <f>IF(ISNA(MATCH(AD$2,Inputs!$K$4:$AJ$4,0)),NA(),IF(SUMPRODUCT((Inputs!$A$5:$A$110=$B59)*ISNUMBER(INDEX(Inputs!$K$5:$AJ$110,0,MATCH(AD$2,Inputs!$K$4:$AJ$4,0))))+SUMPRODUCT((Inputs!$C$5:$C$110=$B59)*ISNUMBER(INDEX(Inputs!$K$5:$AJ$110,0,MATCH(AD$2,Inputs!$K$4:$AJ$4,0))))+SUMPRODUCT((Inputs!$E$5:$E$110=$B59)*ISNUMBER(INDEX(Inputs!$K$5:$AJ$110,0,MATCH(AD$2,Inputs!$K$4:$AJ$4,0))))=0,NA(),SUMPRODUCT((Inputs!$A$5:$A$110=$B59)*Inputs!$B$5:$B$110*(((Inputs!$G$5:$G$110="moeda")+(Inputs!$G$5:$G$110="acoes"))*Inputs!$B$1+((Inputs!$G$5:$G$110&lt;&gt;"moeda")*(Inputs!$G$5:$G$110&lt;&gt;"acoes")))*INDEX(Inputs!$K$5:$AJ$110,0,MATCH(AD$2,Inputs!$K$4:$AJ$4,0)))+SUMPRODUCT((Inputs!$C$5:$C$110=$B59)*Inputs!$D$5:$D$110*(((Inputs!$G$5:$G$110="moeda")+(Inputs!$G$5:$G$110="acoes"))*Inputs!$B$1+((Inputs!$G$5:$G$110&lt;&gt;"moeda")*(Inputs!$G$5:$G$110&lt;&gt;"acoes")))*INDEX(Inputs!$K$5:$AJ$110,0,MATCH(AD$2,Inputs!$K$4:$AJ$4,0)))+SUMPRODUCT((Inputs!$E$5:$E$110=$B59)*Inputs!$F$5:$F$110*(((Inputs!$G$5:$G$110="moeda")+(Inputs!$G$5:$G$110="acoes"))*Inputs!$B$1+((Inputs!$G$5:$G$110&lt;&gt;"moeda")*(Inputs!$G$5:$G$110&lt;&gt;"acoes")))*INDEX(Inputs!$K$5:$AJ$110,0,MATCH(AD$2,Inputs!$K$4:$AJ$4,0)))))</f>
        <v>506</v>
      </c>
      <c r="AE59" s="513" t="e">
        <f>IF(ISNA(MATCH(AE$2,Inputs!$K$4:$AJ$4,0)),NA(),IF(SUMPRODUCT((Inputs!$A$5:$A$110=$B59)*ISNUMBER(INDEX(Inputs!$K$5:$AJ$110,0,MATCH(AE$2,Inputs!$K$4:$AJ$4,0))))+SUMPRODUCT((Inputs!$C$5:$C$110=$B59)*ISNUMBER(INDEX(Inputs!$K$5:$AJ$110,0,MATCH(AE$2,Inputs!$K$4:$AJ$4,0))))+SUMPRODUCT((Inputs!$E$5:$E$110=$B59)*ISNUMBER(INDEX(Inputs!$K$5:$AJ$110,0,MATCH(AE$2,Inputs!$K$4:$AJ$4,0))))=0,NA(),SUMPRODUCT((Inputs!$A$5:$A$110=$B59)*Inputs!$B$5:$B$110*(((Inputs!$G$5:$G$110="moeda")+(Inputs!$G$5:$G$110="acoes"))*Inputs!$B$1+((Inputs!$G$5:$G$110&lt;&gt;"moeda")*(Inputs!$G$5:$G$110&lt;&gt;"acoes")))*INDEX(Inputs!$K$5:$AJ$110,0,MATCH(AE$2,Inputs!$K$4:$AJ$4,0)))+SUMPRODUCT((Inputs!$C$5:$C$110=$B59)*Inputs!$D$5:$D$110*(((Inputs!$G$5:$G$110="moeda")+(Inputs!$G$5:$G$110="acoes"))*Inputs!$B$1+((Inputs!$G$5:$G$110&lt;&gt;"moeda")*(Inputs!$G$5:$G$110&lt;&gt;"acoes")))*INDEX(Inputs!$K$5:$AJ$110,0,MATCH(AE$2,Inputs!$K$4:$AJ$4,0)))+SUMPRODUCT((Inputs!$E$5:$E$110=$B59)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9" s="513" t="e">
        <f>IF(ISNA(MATCH(AF$2,Inputs!$K$4:$AJ$4,0)),NA(),IF(SUMPRODUCT((Inputs!$A$5:$A$110=$B59)*ISNUMBER(INDEX(Inputs!$K$5:$AJ$110,0,MATCH(AF$2,Inputs!$K$4:$AJ$4,0))))+SUMPRODUCT((Inputs!$C$5:$C$110=$B59)*ISNUMBER(INDEX(Inputs!$K$5:$AJ$110,0,MATCH(AF$2,Inputs!$K$4:$AJ$4,0))))+SUMPRODUCT((Inputs!$E$5:$E$110=$B59)*ISNUMBER(INDEX(Inputs!$K$5:$AJ$110,0,MATCH(AF$2,Inputs!$K$4:$AJ$4,0))))=0,NA(),SUMPRODUCT((Inputs!$A$5:$A$110=$B59)*Inputs!$B$5:$B$110*(((Inputs!$G$5:$G$110="moeda")+(Inputs!$G$5:$G$110="acoes"))*Inputs!$B$1+((Inputs!$G$5:$G$110&lt;&gt;"moeda")*(Inputs!$G$5:$G$110&lt;&gt;"acoes")))*INDEX(Inputs!$K$5:$AJ$110,0,MATCH(AF$2,Inputs!$K$4:$AJ$4,0)))+SUMPRODUCT((Inputs!$C$5:$C$110=$B59)*Inputs!$D$5:$D$110*(((Inputs!$G$5:$G$110="moeda")+(Inputs!$G$5:$G$110="acoes"))*Inputs!$B$1+((Inputs!$G$5:$G$110&lt;&gt;"moeda")*(Inputs!$G$5:$G$110&lt;&gt;"acoes")))*INDEX(Inputs!$K$5:$AJ$110,0,MATCH(AF$2,Inputs!$K$4:$AJ$4,0)))+SUMPRODUCT((Inputs!$E$5:$E$110=$B59)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9" s="514" t="e">
        <f>SUM(AC59:AF59)</f>
        <v>#N/A</v>
      </c>
      <c r="AH59" s="513">
        <f>IF(ISNA(MATCH(AH$2,Inputs!$K$4:$AJ$4,0)),NA(),IF(SUMPRODUCT((Inputs!$A$5:$A$110=$B59)*ISNUMBER(INDEX(Inputs!$K$5:$AJ$110,0,MATCH(AH$2,Inputs!$K$4:$AJ$4,0))))+SUMPRODUCT((Inputs!$C$5:$C$110=$B59)*ISNUMBER(INDEX(Inputs!$K$5:$AJ$110,0,MATCH(AH$2,Inputs!$K$4:$AJ$4,0))))+SUMPRODUCT((Inputs!$E$5:$E$110=$B59)*ISNUMBER(INDEX(Inputs!$K$5:$AJ$110,0,MATCH(AH$2,Inputs!$K$4:$AJ$4,0))))=0,NA(),SUMPRODUCT((Inputs!$A$5:$A$110=$B59)*Inputs!$B$5:$B$110*(((Inputs!$G$5:$G$110="moeda")+(Inputs!$G$5:$G$110="acoes"))*Inputs!$B$1+((Inputs!$G$5:$G$110&lt;&gt;"moeda")*(Inputs!$G$5:$G$110&lt;&gt;"acoes")))*INDEX(Inputs!$K$5:$AJ$110,0,MATCH(AH$2,Inputs!$K$4:$AJ$4,0)))+SUMPRODUCT((Inputs!$C$5:$C$110=$B59)*Inputs!$D$5:$D$110*(((Inputs!$G$5:$G$110="moeda")+(Inputs!$G$5:$G$110="acoes"))*Inputs!$B$1+((Inputs!$G$5:$G$110&lt;&gt;"moeda")*(Inputs!$G$5:$G$110&lt;&gt;"acoes")))*INDEX(Inputs!$K$5:$AJ$110,0,MATCH(AH$2,Inputs!$K$4:$AJ$4,0)))+SUMPRODUCT((Inputs!$E$5:$E$110=$B59)*Inputs!$F$5:$F$110*(((Inputs!$G$5:$G$110="moeda")+(Inputs!$G$5:$G$110="acoes"))*Inputs!$B$1+((Inputs!$G$5:$G$110&lt;&gt;"moeda")*(Inputs!$G$5:$G$110&lt;&gt;"acoes")))*INDEX(Inputs!$K$5:$AJ$110,0,MATCH(AH$2,Inputs!$K$4:$AJ$4,0)))))</f>
        <v>202</v>
      </c>
      <c r="AI59" s="513">
        <f>IF(ISNA(MATCH(AI$2,Inputs!$K$4:$AJ$4,0)),NA(),IF(SUMPRODUCT((Inputs!$A$5:$A$110=$B59)*ISNUMBER(INDEX(Inputs!$K$5:$AJ$110,0,MATCH(AI$2,Inputs!$K$4:$AJ$4,0))))+SUMPRODUCT((Inputs!$C$5:$C$110=$B59)*ISNUMBER(INDEX(Inputs!$K$5:$AJ$110,0,MATCH(AI$2,Inputs!$K$4:$AJ$4,0))))+SUMPRODUCT((Inputs!$E$5:$E$110=$B59)*ISNUMBER(INDEX(Inputs!$K$5:$AJ$110,0,MATCH(AI$2,Inputs!$K$4:$AJ$4,0))))=0,NA(),SUMPRODUCT((Inputs!$A$5:$A$110=$B59)*Inputs!$B$5:$B$110*(((Inputs!$G$5:$G$110="moeda")+(Inputs!$G$5:$G$110="acoes"))*Inputs!$B$1+((Inputs!$G$5:$G$110&lt;&gt;"moeda")*(Inputs!$G$5:$G$110&lt;&gt;"acoes")))*INDEX(Inputs!$K$5:$AJ$110,0,MATCH(AI$2,Inputs!$K$4:$AJ$4,0)))+SUMPRODUCT((Inputs!$C$5:$C$110=$B59)*Inputs!$D$5:$D$110*(((Inputs!$G$5:$G$110="moeda")+(Inputs!$G$5:$G$110="acoes"))*Inputs!$B$1+((Inputs!$G$5:$G$110&lt;&gt;"moeda")*(Inputs!$G$5:$G$110&lt;&gt;"acoes")))*INDEX(Inputs!$K$5:$AJ$110,0,MATCH(AI$2,Inputs!$K$4:$AJ$4,0)))+SUMPRODUCT((Inputs!$E$5:$E$110=$B59)*Inputs!$F$5:$F$110*(((Inputs!$G$5:$G$110="moeda")+(Inputs!$G$5:$G$110="acoes"))*Inputs!$B$1+((Inputs!$G$5:$G$110&lt;&gt;"moeda")*(Inputs!$G$5:$G$110&lt;&gt;"acoes")))*INDEX(Inputs!$K$5:$AJ$110,0,MATCH(AI$2,Inputs!$K$4:$AJ$4,0)))))</f>
        <v>129</v>
      </c>
      <c r="AJ59" s="513">
        <f>IF(ISNA(MATCH(AJ$2,Inputs!$K$4:$AJ$4,0)),NA(),IF(SUMPRODUCT((Inputs!$A$5:$A$110=$B59)*ISNUMBER(INDEX(Inputs!$K$5:$AJ$110,0,MATCH(AJ$2,Inputs!$K$4:$AJ$4,0))))+SUMPRODUCT((Inputs!$C$5:$C$110=$B59)*ISNUMBER(INDEX(Inputs!$K$5:$AJ$110,0,MATCH(AJ$2,Inputs!$K$4:$AJ$4,0))))+SUMPRODUCT((Inputs!$E$5:$E$110=$B59)*ISNUMBER(INDEX(Inputs!$K$5:$AJ$110,0,MATCH(AJ$2,Inputs!$K$4:$AJ$4,0))))=0,NA(),SUMPRODUCT((Inputs!$A$5:$A$110=$B59)*Inputs!$B$5:$B$110*(((Inputs!$G$5:$G$110="moeda")+(Inputs!$G$5:$G$110="acoes"))*Inputs!$B$1+((Inputs!$G$5:$G$110&lt;&gt;"moeda")*(Inputs!$G$5:$G$110&lt;&gt;"acoes")))*INDEX(Inputs!$K$5:$AJ$110,0,MATCH(AJ$2,Inputs!$K$4:$AJ$4,0)))+SUMPRODUCT((Inputs!$C$5:$C$110=$B59)*Inputs!$D$5:$D$110*(((Inputs!$G$5:$G$110="moeda")+(Inputs!$G$5:$G$110="acoes"))*Inputs!$B$1+((Inputs!$G$5:$G$110&lt;&gt;"moeda")*(Inputs!$G$5:$G$110&lt;&gt;"acoes")))*INDEX(Inputs!$K$5:$AJ$110,0,MATCH(AJ$2,Inputs!$K$4:$AJ$4,0)))+SUMPRODUCT((Inputs!$E$5:$E$110=$B59)*Inputs!$F$5:$F$110*(((Inputs!$G$5:$G$110="moeda")+(Inputs!$G$5:$G$110="acoes"))*Inputs!$B$1+((Inputs!$G$5:$G$110&lt;&gt;"moeda")*(Inputs!$G$5:$G$110&lt;&gt;"acoes")))*INDEX(Inputs!$K$5:$AJ$110,0,MATCH(AJ$2,Inputs!$K$4:$AJ$4,0)))))</f>
        <v>301</v>
      </c>
      <c r="AK59" s="513">
        <f>IF(ISNA(MATCH(AK$2,Inputs!$K$4:$AJ$4,0)),NA(),IF(SUMPRODUCT((Inputs!$A$5:$A$110=$B59)*ISNUMBER(INDEX(Inputs!$K$5:$AJ$110,0,MATCH(AK$2,Inputs!$K$4:$AJ$4,0))))+SUMPRODUCT((Inputs!$C$5:$C$110=$B59)*ISNUMBER(INDEX(Inputs!$K$5:$AJ$110,0,MATCH(AK$2,Inputs!$K$4:$AJ$4,0))))+SUMPRODUCT((Inputs!$E$5:$E$110=$B59)*ISNUMBER(INDEX(Inputs!$K$5:$AJ$110,0,MATCH(AK$2,Inputs!$K$4:$AJ$4,0))))=0,NA(),SUMPRODUCT((Inputs!$A$5:$A$110=$B59)*Inputs!$B$5:$B$110*(((Inputs!$G$5:$G$110="moeda")+(Inputs!$G$5:$G$110="acoes"))*Inputs!$B$1+((Inputs!$G$5:$G$110&lt;&gt;"moeda")*(Inputs!$G$5:$G$110&lt;&gt;"acoes")))*INDEX(Inputs!$K$5:$AJ$110,0,MATCH(AK$2,Inputs!$K$4:$AJ$4,0)))+SUMPRODUCT((Inputs!$C$5:$C$110=$B59)*Inputs!$D$5:$D$110*(((Inputs!$G$5:$G$110="moeda")+(Inputs!$G$5:$G$110="acoes"))*Inputs!$B$1+((Inputs!$G$5:$G$110&lt;&gt;"moeda")*(Inputs!$G$5:$G$110&lt;&gt;"acoes")))*INDEX(Inputs!$K$5:$AJ$110,0,MATCH(AK$2,Inputs!$K$4:$AJ$4,0)))+SUMPRODUCT((Inputs!$E$5:$E$110=$B59)*Inputs!$F$5:$F$110*(((Inputs!$G$5:$G$110="moeda")+(Inputs!$G$5:$G$110="acoes"))*Inputs!$B$1+((Inputs!$G$5:$G$110&lt;&gt;"moeda")*(Inputs!$G$5:$G$110&lt;&gt;"acoes")))*INDEX(Inputs!$K$5:$AJ$110,0,MATCH(AK$2,Inputs!$K$4:$AJ$4,0)))))</f>
        <v>247</v>
      </c>
      <c r="AL59" s="514">
        <f>SUM(AH59:AK59)</f>
        <v>879</v>
      </c>
    </row>
    <row r="60">
      <c r="B60" s="265" t="n">
        <v>52</v>
      </c>
      <c r="C60" s="266" t="inlineStr">
        <is>
          <t>Lucro operacional outros internacionais (USD)</t>
        </is>
      </c>
      <c r="D60" s="513">
        <f>IF(ISNA(MATCH(D$2,Inputs!$K$4:$AJ$4,0)),NA(),IF(SUMPRODUCT((Inputs!$A$5:$A$110=$B60)*ISNUMBER(INDEX(Inputs!$K$5:$AJ$110,0,MATCH(D$2,Inputs!$K$4:$AJ$4,0))))+SUMPRODUCT((Inputs!$C$5:$C$110=$B60)*ISNUMBER(INDEX(Inputs!$K$5:$AJ$110,0,MATCH(D$2,Inputs!$K$4:$AJ$4,0))))+SUMPRODUCT((Inputs!$E$5:$E$110=$B60)*ISNUMBER(INDEX(Inputs!$K$5:$AJ$110,0,MATCH(D$2,Inputs!$K$4:$AJ$4,0))))=0,NA(),SUMPRODUCT((Inputs!$A$5:$A$110=$B60)*Inputs!$B$5:$B$110*(((Inputs!$G$5:$G$110="moeda")+(Inputs!$G$5:$G$110="acoes"))*Inputs!$B$1+((Inputs!$G$5:$G$110&lt;&gt;"moeda")*(Inputs!$G$5:$G$110&lt;&gt;"acoes")))*INDEX(Inputs!$K$5:$AJ$110,0,MATCH(D$2,Inputs!$K$4:$AJ$4,0)))+SUMPRODUCT((Inputs!$C$5:$C$110=$B60)*Inputs!$D$5:$D$110*(((Inputs!$G$5:$G$110="moeda")+(Inputs!$G$5:$G$110="acoes"))*Inputs!$B$1+((Inputs!$G$5:$G$110&lt;&gt;"moeda")*(Inputs!$G$5:$G$110&lt;&gt;"acoes")))*INDEX(Inputs!$K$5:$AJ$110,0,MATCH(D$2,Inputs!$K$4:$AJ$4,0)))+SUMPRODUCT((Inputs!$E$5:$E$110=$B60)*Inputs!$F$5:$F$110*(((Inputs!$G$5:$G$110="moeda")+(Inputs!$G$5:$G$110="acoes"))*Inputs!$B$1+((Inputs!$G$5:$G$110&lt;&gt;"moeda")*(Inputs!$G$5:$G$110&lt;&gt;"acoes")))*INDEX(Inputs!$K$5:$AJ$110,0,MATCH(D$2,Inputs!$K$4:$AJ$4,0)))))</f>
        <v>288</v>
      </c>
      <c r="E60" s="513">
        <f>IF(ISNA(MATCH(E$2,Inputs!$K$4:$AJ$4,0)),NA(),IF(SUMPRODUCT((Inputs!$A$5:$A$110=$B60)*ISNUMBER(INDEX(Inputs!$K$5:$AJ$110,0,MATCH(E$2,Inputs!$K$4:$AJ$4,0))))+SUMPRODUCT((Inputs!$C$5:$C$110=$B60)*ISNUMBER(INDEX(Inputs!$K$5:$AJ$110,0,MATCH(E$2,Inputs!$K$4:$AJ$4,0))))+SUMPRODUCT((Inputs!$E$5:$E$110=$B60)*ISNUMBER(INDEX(Inputs!$K$5:$AJ$110,0,MATCH(E$2,Inputs!$K$4:$AJ$4,0))))=0,NA(),SUMPRODUCT((Inputs!$A$5:$A$110=$B60)*Inputs!$B$5:$B$110*(((Inputs!$G$5:$G$110="moeda")+(Inputs!$G$5:$G$110="acoes"))*Inputs!$B$1+((Inputs!$G$5:$G$110&lt;&gt;"moeda")*(Inputs!$G$5:$G$110&lt;&gt;"acoes")))*INDEX(Inputs!$K$5:$AJ$110,0,MATCH(E$2,Inputs!$K$4:$AJ$4,0)))+SUMPRODUCT((Inputs!$C$5:$C$110=$B60)*Inputs!$D$5:$D$110*(((Inputs!$G$5:$G$110="moeda")+(Inputs!$G$5:$G$110="acoes"))*Inputs!$B$1+((Inputs!$G$5:$G$110&lt;&gt;"moeda")*(Inputs!$G$5:$G$110&lt;&gt;"acoes")))*INDEX(Inputs!$K$5:$AJ$110,0,MATCH(E$2,Inputs!$K$4:$AJ$4,0)))+SUMPRODUCT((Inputs!$E$5:$E$110=$B60)*Inputs!$F$5:$F$110*(((Inputs!$G$5:$G$110="moeda")+(Inputs!$G$5:$G$110="acoes"))*Inputs!$B$1+((Inputs!$G$5:$G$110&lt;&gt;"moeda")*(Inputs!$G$5:$G$110&lt;&gt;"acoes")))*INDEX(Inputs!$K$5:$AJ$110,0,MATCH(E$2,Inputs!$K$4:$AJ$4,0)))))</f>
        <v>268</v>
      </c>
      <c r="F60" s="513">
        <f>IF(ISNA(MATCH(F$2,Inputs!$K$4:$AJ$4,0)),NA(),IF(SUMPRODUCT((Inputs!$A$5:$A$110=$B60)*ISNUMBER(INDEX(Inputs!$K$5:$AJ$110,0,MATCH(F$2,Inputs!$K$4:$AJ$4,0))))+SUMPRODUCT((Inputs!$C$5:$C$110=$B60)*ISNUMBER(INDEX(Inputs!$K$5:$AJ$110,0,MATCH(F$2,Inputs!$K$4:$AJ$4,0))))+SUMPRODUCT((Inputs!$E$5:$E$110=$B60)*ISNUMBER(INDEX(Inputs!$K$5:$AJ$110,0,MATCH(F$2,Inputs!$K$4:$AJ$4,0))))=0,NA(),SUMPRODUCT((Inputs!$A$5:$A$110=$B60)*Inputs!$B$5:$B$110*(((Inputs!$G$5:$G$110="moeda")+(Inputs!$G$5:$G$110="acoes"))*Inputs!$B$1+((Inputs!$G$5:$G$110&lt;&gt;"moeda")*(Inputs!$G$5:$G$110&lt;&gt;"acoes")))*INDEX(Inputs!$K$5:$AJ$110,0,MATCH(F$2,Inputs!$K$4:$AJ$4,0)))+SUMPRODUCT((Inputs!$C$5:$C$110=$B60)*Inputs!$D$5:$D$110*(((Inputs!$G$5:$G$110="moeda")+(Inputs!$G$5:$G$110="acoes"))*Inputs!$B$1+((Inputs!$G$5:$G$110&lt;&gt;"moeda")*(Inputs!$G$5:$G$110&lt;&gt;"acoes")))*INDEX(Inputs!$K$5:$AJ$110,0,MATCH(F$2,Inputs!$K$4:$AJ$4,0)))+SUMPRODUCT((Inputs!$E$5:$E$110=$B60)*Inputs!$F$5:$F$110*(((Inputs!$G$5:$G$110="moeda")+(Inputs!$G$5:$G$110="acoes"))*Inputs!$B$1+((Inputs!$G$5:$G$110&lt;&gt;"moeda")*(Inputs!$G$5:$G$110&lt;&gt;"acoes")))*INDEX(Inputs!$K$5:$AJ$110,0,MATCH(F$2,Inputs!$K$4:$AJ$4,0)))))</f>
        <v>343</v>
      </c>
      <c r="G60" s="513">
        <f>IF(ISNA(MATCH(G$2,Inputs!$K$4:$AJ$4,0)),NA(),IF(SUMPRODUCT((Inputs!$A$5:$A$110=$B60)*ISNUMBER(INDEX(Inputs!$K$5:$AJ$110,0,MATCH(G$2,Inputs!$K$4:$AJ$4,0))))+SUMPRODUCT((Inputs!$C$5:$C$110=$B60)*ISNUMBER(INDEX(Inputs!$K$5:$AJ$110,0,MATCH(G$2,Inputs!$K$4:$AJ$4,0))))+SUMPRODUCT((Inputs!$E$5:$E$110=$B60)*ISNUMBER(INDEX(Inputs!$K$5:$AJ$110,0,MATCH(G$2,Inputs!$K$4:$AJ$4,0))))=0,NA(),SUMPRODUCT((Inputs!$A$5:$A$110=$B60)*Inputs!$B$5:$B$110*(((Inputs!$G$5:$G$110="moeda")+(Inputs!$G$5:$G$110="acoes"))*Inputs!$B$1+((Inputs!$G$5:$G$110&lt;&gt;"moeda")*(Inputs!$G$5:$G$110&lt;&gt;"acoes")))*INDEX(Inputs!$K$5:$AJ$110,0,MATCH(G$2,Inputs!$K$4:$AJ$4,0)))+SUMPRODUCT((Inputs!$C$5:$C$110=$B60)*Inputs!$D$5:$D$110*(((Inputs!$G$5:$G$110="moeda")+(Inputs!$G$5:$G$110="acoes"))*Inputs!$B$1+((Inputs!$G$5:$G$110&lt;&gt;"moeda")*(Inputs!$G$5:$G$110&lt;&gt;"acoes")))*INDEX(Inputs!$K$5:$AJ$110,0,MATCH(G$2,Inputs!$K$4:$AJ$4,0)))+SUMPRODUCT((Inputs!$E$5:$E$110=$B60)*Inputs!$F$5:$F$110*(((Inputs!$G$5:$G$110="moeda")+(Inputs!$G$5:$G$110="acoes"))*Inputs!$B$1+((Inputs!$G$5:$G$110&lt;&gt;"moeda")*(Inputs!$G$5:$G$110&lt;&gt;"acoes")))*INDEX(Inputs!$K$5:$AJ$110,0,MATCH(G$2,Inputs!$K$4:$AJ$4,0)))))</f>
        <v>282</v>
      </c>
      <c r="H60" s="514">
        <f>SUM(D60:G60)</f>
        <v>1181</v>
      </c>
      <c r="I60" s="513">
        <f>IF(ISNA(MATCH(I$2,Inputs!$K$4:$AJ$4,0)),NA(),IF(SUMPRODUCT((Inputs!$A$5:$A$110=$B60)*ISNUMBER(INDEX(Inputs!$K$5:$AJ$110,0,MATCH(I$2,Inputs!$K$4:$AJ$4,0))))+SUMPRODUCT((Inputs!$C$5:$C$110=$B60)*ISNUMBER(INDEX(Inputs!$K$5:$AJ$110,0,MATCH(I$2,Inputs!$K$4:$AJ$4,0))))+SUMPRODUCT((Inputs!$E$5:$E$110=$B60)*ISNUMBER(INDEX(Inputs!$K$5:$AJ$110,0,MATCH(I$2,Inputs!$K$4:$AJ$4,0))))=0,NA(),SUMPRODUCT((Inputs!$A$5:$A$110=$B60)*Inputs!$B$5:$B$110*(((Inputs!$G$5:$G$110="moeda")+(Inputs!$G$5:$G$110="acoes"))*Inputs!$B$1+((Inputs!$G$5:$G$110&lt;&gt;"moeda")*(Inputs!$G$5:$G$110&lt;&gt;"acoes")))*INDEX(Inputs!$K$5:$AJ$110,0,MATCH(I$2,Inputs!$K$4:$AJ$4,0)))+SUMPRODUCT((Inputs!$C$5:$C$110=$B60)*Inputs!$D$5:$D$110*(((Inputs!$G$5:$G$110="moeda")+(Inputs!$G$5:$G$110="acoes"))*Inputs!$B$1+((Inputs!$G$5:$G$110&lt;&gt;"moeda")*(Inputs!$G$5:$G$110&lt;&gt;"acoes")))*INDEX(Inputs!$K$5:$AJ$110,0,MATCH(I$2,Inputs!$K$4:$AJ$4,0)))+SUMPRODUCT((Inputs!$E$5:$E$110=$B60)*Inputs!$F$5:$F$110*(((Inputs!$G$5:$G$110="moeda")+(Inputs!$G$5:$G$110="acoes"))*Inputs!$B$1+((Inputs!$G$5:$G$110&lt;&gt;"moeda")*(Inputs!$G$5:$G$110&lt;&gt;"acoes")))*INDEX(Inputs!$K$5:$AJ$110,0,MATCH(I$2,Inputs!$K$4:$AJ$4,0)))))</f>
        <v>332</v>
      </c>
      <c r="J60" s="513">
        <f>IF(ISNA(MATCH(J$2,Inputs!$K$4:$AJ$4,0)),NA(),IF(SUMPRODUCT((Inputs!$A$5:$A$110=$B60)*ISNUMBER(INDEX(Inputs!$K$5:$AJ$110,0,MATCH(J$2,Inputs!$K$4:$AJ$4,0))))+SUMPRODUCT((Inputs!$C$5:$C$110=$B60)*ISNUMBER(INDEX(Inputs!$K$5:$AJ$110,0,MATCH(J$2,Inputs!$K$4:$AJ$4,0))))+SUMPRODUCT((Inputs!$E$5:$E$110=$B60)*ISNUMBER(INDEX(Inputs!$K$5:$AJ$110,0,MATCH(J$2,Inputs!$K$4:$AJ$4,0))))=0,NA(),SUMPRODUCT((Inputs!$A$5:$A$110=$B60)*Inputs!$B$5:$B$110*(((Inputs!$G$5:$G$110="moeda")+(Inputs!$G$5:$G$110="acoes"))*Inputs!$B$1+((Inputs!$G$5:$G$110&lt;&gt;"moeda")*(Inputs!$G$5:$G$110&lt;&gt;"acoes")))*INDEX(Inputs!$K$5:$AJ$110,0,MATCH(J$2,Inputs!$K$4:$AJ$4,0)))+SUMPRODUCT((Inputs!$C$5:$C$110=$B60)*Inputs!$D$5:$D$110*(((Inputs!$G$5:$G$110="moeda")+(Inputs!$G$5:$G$110="acoes"))*Inputs!$B$1+((Inputs!$G$5:$G$110&lt;&gt;"moeda")*(Inputs!$G$5:$G$110&lt;&gt;"acoes")))*INDEX(Inputs!$K$5:$AJ$110,0,MATCH(J$2,Inputs!$K$4:$AJ$4,0)))+SUMPRODUCT((Inputs!$E$5:$E$110=$B60)*Inputs!$F$5:$F$110*(((Inputs!$G$5:$G$110="moeda")+(Inputs!$G$5:$G$110="acoes"))*Inputs!$B$1+((Inputs!$G$5:$G$110&lt;&gt;"moeda")*(Inputs!$G$5:$G$110&lt;&gt;"acoes")))*INDEX(Inputs!$K$5:$AJ$110,0,MATCH(J$2,Inputs!$K$4:$AJ$4,0)))))</f>
        <v>262</v>
      </c>
      <c r="K60" s="513">
        <f>IF(ISNA(MATCH(K$2,Inputs!$K$4:$AJ$4,0)),NA(),IF(SUMPRODUCT((Inputs!$A$5:$A$110=$B60)*ISNUMBER(INDEX(Inputs!$K$5:$AJ$110,0,MATCH(K$2,Inputs!$K$4:$AJ$4,0))))+SUMPRODUCT((Inputs!$C$5:$C$110=$B60)*ISNUMBER(INDEX(Inputs!$K$5:$AJ$110,0,MATCH(K$2,Inputs!$K$4:$AJ$4,0))))+SUMPRODUCT((Inputs!$E$5:$E$110=$B60)*ISNUMBER(INDEX(Inputs!$K$5:$AJ$110,0,MATCH(K$2,Inputs!$K$4:$AJ$4,0))))=0,NA(),SUMPRODUCT((Inputs!$A$5:$A$110=$B60)*Inputs!$B$5:$B$110*(((Inputs!$G$5:$G$110="moeda")+(Inputs!$G$5:$G$110="acoes"))*Inputs!$B$1+((Inputs!$G$5:$G$110&lt;&gt;"moeda")*(Inputs!$G$5:$G$110&lt;&gt;"acoes")))*INDEX(Inputs!$K$5:$AJ$110,0,MATCH(K$2,Inputs!$K$4:$AJ$4,0)))+SUMPRODUCT((Inputs!$C$5:$C$110=$B60)*Inputs!$D$5:$D$110*(((Inputs!$G$5:$G$110="moeda")+(Inputs!$G$5:$G$110="acoes"))*Inputs!$B$1+((Inputs!$G$5:$G$110&lt;&gt;"moeda")*(Inputs!$G$5:$G$110&lt;&gt;"acoes")))*INDEX(Inputs!$K$5:$AJ$110,0,MATCH(K$2,Inputs!$K$4:$AJ$4,0)))+SUMPRODUCT((Inputs!$E$5:$E$110=$B60)*Inputs!$F$5:$F$110*(((Inputs!$G$5:$G$110="moeda")+(Inputs!$G$5:$G$110="acoes"))*Inputs!$B$1+((Inputs!$G$5:$G$110&lt;&gt;"moeda")*(Inputs!$G$5:$G$110&lt;&gt;"acoes")))*INDEX(Inputs!$K$5:$AJ$110,0,MATCH(K$2,Inputs!$K$4:$AJ$4,0)))))</f>
        <v>303</v>
      </c>
      <c r="L60" s="513">
        <f>IF(ISNA(MATCH(L$2,Inputs!$K$4:$AJ$4,0)),NA(),IF(SUMPRODUCT((Inputs!$A$5:$A$110=$B60)*ISNUMBER(INDEX(Inputs!$K$5:$AJ$110,0,MATCH(L$2,Inputs!$K$4:$AJ$4,0))))+SUMPRODUCT((Inputs!$C$5:$C$110=$B60)*ISNUMBER(INDEX(Inputs!$K$5:$AJ$110,0,MATCH(L$2,Inputs!$K$4:$AJ$4,0))))+SUMPRODUCT((Inputs!$E$5:$E$110=$B60)*ISNUMBER(INDEX(Inputs!$K$5:$AJ$110,0,MATCH(L$2,Inputs!$K$4:$AJ$4,0))))=0,NA(),SUMPRODUCT((Inputs!$A$5:$A$110=$B60)*Inputs!$B$5:$B$110*(((Inputs!$G$5:$G$110="moeda")+(Inputs!$G$5:$G$110="acoes"))*Inputs!$B$1+((Inputs!$G$5:$G$110&lt;&gt;"moeda")*(Inputs!$G$5:$G$110&lt;&gt;"acoes")))*INDEX(Inputs!$K$5:$AJ$110,0,MATCH(L$2,Inputs!$K$4:$AJ$4,0)))+SUMPRODUCT((Inputs!$C$5:$C$110=$B60)*Inputs!$D$5:$D$110*(((Inputs!$G$5:$G$110="moeda")+(Inputs!$G$5:$G$110="acoes"))*Inputs!$B$1+((Inputs!$G$5:$G$110&lt;&gt;"moeda")*(Inputs!$G$5:$G$110&lt;&gt;"acoes")))*INDEX(Inputs!$K$5:$AJ$110,0,MATCH(L$2,Inputs!$K$4:$AJ$4,0)))+SUMPRODUCT((Inputs!$E$5:$E$110=$B60)*Inputs!$F$5:$F$110*(((Inputs!$G$5:$G$110="moeda")+(Inputs!$G$5:$G$110="acoes"))*Inputs!$B$1+((Inputs!$G$5:$G$110&lt;&gt;"moeda")*(Inputs!$G$5:$G$110&lt;&gt;"acoes")))*INDEX(Inputs!$K$5:$AJ$110,0,MATCH(L$2,Inputs!$K$4:$AJ$4,0)))))</f>
        <v>227</v>
      </c>
      <c r="M60" s="514">
        <f>SUM(I60:L60)</f>
        <v>1124</v>
      </c>
      <c r="N60" s="513">
        <f>IF(ISNA(MATCH(N$2,Inputs!$K$4:$AJ$4,0)),NA(),IF(SUMPRODUCT((Inputs!$A$5:$A$110=$B60)*ISNUMBER(INDEX(Inputs!$K$5:$AJ$110,0,MATCH(N$2,Inputs!$K$4:$AJ$4,0))))+SUMPRODUCT((Inputs!$C$5:$C$110=$B60)*ISNUMBER(INDEX(Inputs!$K$5:$AJ$110,0,MATCH(N$2,Inputs!$K$4:$AJ$4,0))))+SUMPRODUCT((Inputs!$E$5:$E$110=$B60)*ISNUMBER(INDEX(Inputs!$K$5:$AJ$110,0,MATCH(N$2,Inputs!$K$4:$AJ$4,0))))=0,NA(),SUMPRODUCT((Inputs!$A$5:$A$110=$B60)*Inputs!$B$5:$B$110*(((Inputs!$G$5:$G$110="moeda")+(Inputs!$G$5:$G$110="acoes"))*Inputs!$B$1+((Inputs!$G$5:$G$110&lt;&gt;"moeda")*(Inputs!$G$5:$G$110&lt;&gt;"acoes")))*INDEX(Inputs!$K$5:$AJ$110,0,MATCH(N$2,Inputs!$K$4:$AJ$4,0)))+SUMPRODUCT((Inputs!$C$5:$C$110=$B60)*Inputs!$D$5:$D$110*(((Inputs!$G$5:$G$110="moeda")+(Inputs!$G$5:$G$110="acoes"))*Inputs!$B$1+((Inputs!$G$5:$G$110&lt;&gt;"moeda")*(Inputs!$G$5:$G$110&lt;&gt;"acoes")))*INDEX(Inputs!$K$5:$AJ$110,0,MATCH(N$2,Inputs!$K$4:$AJ$4,0)))+SUMPRODUCT((Inputs!$E$5:$E$110=$B60)*Inputs!$F$5:$F$110*(((Inputs!$G$5:$G$110="moeda")+(Inputs!$G$5:$G$110="acoes"))*Inputs!$B$1+((Inputs!$G$5:$G$110&lt;&gt;"moeda")*(Inputs!$G$5:$G$110&lt;&gt;"acoes")))*INDEX(Inputs!$K$5:$AJ$110,0,MATCH(N$2,Inputs!$K$4:$AJ$4,0)))))</f>
        <v>324</v>
      </c>
      <c r="O60" s="513">
        <f>IF(ISNA(MATCH(O$2,Inputs!$K$4:$AJ$4,0)),NA(),IF(SUMPRODUCT((Inputs!$A$5:$A$110=$B60)*ISNUMBER(INDEX(Inputs!$K$5:$AJ$110,0,MATCH(O$2,Inputs!$K$4:$AJ$4,0))))+SUMPRODUCT((Inputs!$C$5:$C$110=$B60)*ISNUMBER(INDEX(Inputs!$K$5:$AJ$110,0,MATCH(O$2,Inputs!$K$4:$AJ$4,0))))+SUMPRODUCT((Inputs!$E$5:$E$110=$B60)*ISNUMBER(INDEX(Inputs!$K$5:$AJ$110,0,MATCH(O$2,Inputs!$K$4:$AJ$4,0))))=0,NA(),SUMPRODUCT((Inputs!$A$5:$A$110=$B60)*Inputs!$B$5:$B$110*(((Inputs!$G$5:$G$110="moeda")+(Inputs!$G$5:$G$110="acoes"))*Inputs!$B$1+((Inputs!$G$5:$G$110&lt;&gt;"moeda")*(Inputs!$G$5:$G$110&lt;&gt;"acoes")))*INDEX(Inputs!$K$5:$AJ$110,0,MATCH(O$2,Inputs!$K$4:$AJ$4,0)))+SUMPRODUCT((Inputs!$C$5:$C$110=$B60)*Inputs!$D$5:$D$110*(((Inputs!$G$5:$G$110="moeda")+(Inputs!$G$5:$G$110="acoes"))*Inputs!$B$1+((Inputs!$G$5:$G$110&lt;&gt;"moeda")*(Inputs!$G$5:$G$110&lt;&gt;"acoes")))*INDEX(Inputs!$K$5:$AJ$110,0,MATCH(O$2,Inputs!$K$4:$AJ$4,0)))+SUMPRODUCT((Inputs!$E$5:$E$110=$B60)*Inputs!$F$5:$F$110*(((Inputs!$G$5:$G$110="moeda")+(Inputs!$G$5:$G$110="acoes"))*Inputs!$B$1+((Inputs!$G$5:$G$110&lt;&gt;"moeda")*(Inputs!$G$5:$G$110&lt;&gt;"acoes")))*INDEX(Inputs!$K$5:$AJ$110,0,MATCH(O$2,Inputs!$K$4:$AJ$4,0)))))</f>
        <v>325</v>
      </c>
      <c r="P60" s="513">
        <f>IF(ISNA(MATCH(P$2,Inputs!$K$4:$AJ$4,0)),NA(),IF(SUMPRODUCT((Inputs!$A$5:$A$110=$B60)*ISNUMBER(INDEX(Inputs!$K$5:$AJ$110,0,MATCH(P$2,Inputs!$K$4:$AJ$4,0))))+SUMPRODUCT((Inputs!$C$5:$C$110=$B60)*ISNUMBER(INDEX(Inputs!$K$5:$AJ$110,0,MATCH(P$2,Inputs!$K$4:$AJ$4,0))))+SUMPRODUCT((Inputs!$E$5:$E$110=$B60)*ISNUMBER(INDEX(Inputs!$K$5:$AJ$110,0,MATCH(P$2,Inputs!$K$4:$AJ$4,0))))=0,NA(),SUMPRODUCT((Inputs!$A$5:$A$110=$B60)*Inputs!$B$5:$B$110*(((Inputs!$G$5:$G$110="moeda")+(Inputs!$G$5:$G$110="acoes"))*Inputs!$B$1+((Inputs!$G$5:$G$110&lt;&gt;"moeda")*(Inputs!$G$5:$G$110&lt;&gt;"acoes")))*INDEX(Inputs!$K$5:$AJ$110,0,MATCH(P$2,Inputs!$K$4:$AJ$4,0)))+SUMPRODUCT((Inputs!$C$5:$C$110=$B60)*Inputs!$D$5:$D$110*(((Inputs!$G$5:$G$110="moeda")+(Inputs!$G$5:$G$110="acoes"))*Inputs!$B$1+((Inputs!$G$5:$G$110&lt;&gt;"moeda")*(Inputs!$G$5:$G$110&lt;&gt;"acoes")))*INDEX(Inputs!$K$5:$AJ$110,0,MATCH(P$2,Inputs!$K$4:$AJ$4,0)))+SUMPRODUCT((Inputs!$E$5:$E$110=$B60)*Inputs!$F$5:$F$110*(((Inputs!$G$5:$G$110="moeda")+(Inputs!$G$5:$G$110="acoes"))*Inputs!$B$1+((Inputs!$G$5:$G$110&lt;&gt;"moeda")*(Inputs!$G$5:$G$110&lt;&gt;"acoes")))*INDEX(Inputs!$K$5:$AJ$110,0,MATCH(P$2,Inputs!$K$4:$AJ$4,0)))))</f>
        <v>398</v>
      </c>
      <c r="Q60" s="513">
        <f>IF(ISNA(MATCH(Q$2,Inputs!$K$4:$AJ$4,0)),NA(),IF(SUMPRODUCT((Inputs!$A$5:$A$110=$B60)*ISNUMBER(INDEX(Inputs!$K$5:$AJ$110,0,MATCH(Q$2,Inputs!$K$4:$AJ$4,0))))+SUMPRODUCT((Inputs!$C$5:$C$110=$B60)*ISNUMBER(INDEX(Inputs!$K$5:$AJ$110,0,MATCH(Q$2,Inputs!$K$4:$AJ$4,0))))+SUMPRODUCT((Inputs!$E$5:$E$110=$B60)*ISNUMBER(INDEX(Inputs!$K$5:$AJ$110,0,MATCH(Q$2,Inputs!$K$4:$AJ$4,0))))=0,NA(),SUMPRODUCT((Inputs!$A$5:$A$110=$B60)*Inputs!$B$5:$B$110*(((Inputs!$G$5:$G$110="moeda")+(Inputs!$G$5:$G$110="acoes"))*Inputs!$B$1+((Inputs!$G$5:$G$110&lt;&gt;"moeda")*(Inputs!$G$5:$G$110&lt;&gt;"acoes")))*INDEX(Inputs!$K$5:$AJ$110,0,MATCH(Q$2,Inputs!$K$4:$AJ$4,0)))+SUMPRODUCT((Inputs!$C$5:$C$110=$B60)*Inputs!$D$5:$D$110*(((Inputs!$G$5:$G$110="moeda")+(Inputs!$G$5:$G$110="acoes"))*Inputs!$B$1+((Inputs!$G$5:$G$110&lt;&gt;"moeda")*(Inputs!$G$5:$G$110&lt;&gt;"acoes")))*INDEX(Inputs!$K$5:$AJ$110,0,MATCH(Q$2,Inputs!$K$4:$AJ$4,0)))+SUMPRODUCT((Inputs!$E$5:$E$110=$B60)*Inputs!$F$5:$F$110*(((Inputs!$G$5:$G$110="moeda")+(Inputs!$G$5:$G$110="acoes"))*Inputs!$B$1+((Inputs!$G$5:$G$110&lt;&gt;"moeda")*(Inputs!$G$5:$G$110&lt;&gt;"acoes")))*INDEX(Inputs!$K$5:$AJ$110,0,MATCH(Q$2,Inputs!$K$4:$AJ$4,0)))))</f>
        <v>301</v>
      </c>
      <c r="R60" s="514">
        <f>SUM(N60:Q60)</f>
        <v>1348</v>
      </c>
      <c r="S60" s="513">
        <f>IF(ISNA(MATCH(S$2,Inputs!$K$4:$AJ$4,0)),NA(),IF(SUMPRODUCT((Inputs!$A$5:$A$110=$B60)*ISNUMBER(INDEX(Inputs!$K$5:$AJ$110,0,MATCH(S$2,Inputs!$K$4:$AJ$4,0))))+SUMPRODUCT((Inputs!$C$5:$C$110=$B60)*ISNUMBER(INDEX(Inputs!$K$5:$AJ$110,0,MATCH(S$2,Inputs!$K$4:$AJ$4,0))))+SUMPRODUCT((Inputs!$E$5:$E$110=$B60)*ISNUMBER(INDEX(Inputs!$K$5:$AJ$110,0,MATCH(S$2,Inputs!$K$4:$AJ$4,0))))=0,NA(),SUMPRODUCT((Inputs!$A$5:$A$110=$B60)*Inputs!$B$5:$B$110*(((Inputs!$G$5:$G$110="moeda")+(Inputs!$G$5:$G$110="acoes"))*Inputs!$B$1+((Inputs!$G$5:$G$110&lt;&gt;"moeda")*(Inputs!$G$5:$G$110&lt;&gt;"acoes")))*INDEX(Inputs!$K$5:$AJ$110,0,MATCH(S$2,Inputs!$K$4:$AJ$4,0)))+SUMPRODUCT((Inputs!$C$5:$C$110=$B60)*Inputs!$D$5:$D$110*(((Inputs!$G$5:$G$110="moeda")+(Inputs!$G$5:$G$110="acoes"))*Inputs!$B$1+((Inputs!$G$5:$G$110&lt;&gt;"moeda")*(Inputs!$G$5:$G$110&lt;&gt;"acoes")))*INDEX(Inputs!$K$5:$AJ$110,0,MATCH(S$2,Inputs!$K$4:$AJ$4,0)))+SUMPRODUCT((Inputs!$E$5:$E$110=$B60)*Inputs!$F$5:$F$110*(((Inputs!$G$5:$G$110="moeda")+(Inputs!$G$5:$G$110="acoes"))*Inputs!$B$1+((Inputs!$G$5:$G$110&lt;&gt;"moeda")*(Inputs!$G$5:$G$110&lt;&gt;"acoes")))*INDEX(Inputs!$K$5:$AJ$110,0,MATCH(S$2,Inputs!$K$4:$AJ$4,0)))))</f>
        <v>378</v>
      </c>
      <c r="T60" s="513">
        <f>IF(ISNA(MATCH(T$2,Inputs!$K$4:$AJ$4,0)),NA(),IF(SUMPRODUCT((Inputs!$A$5:$A$110=$B60)*ISNUMBER(INDEX(Inputs!$K$5:$AJ$110,0,MATCH(T$2,Inputs!$K$4:$AJ$4,0))))+SUMPRODUCT((Inputs!$C$5:$C$110=$B60)*ISNUMBER(INDEX(Inputs!$K$5:$AJ$110,0,MATCH(T$2,Inputs!$K$4:$AJ$4,0))))+SUMPRODUCT((Inputs!$E$5:$E$110=$B60)*ISNUMBER(INDEX(Inputs!$K$5:$AJ$110,0,MATCH(T$2,Inputs!$K$4:$AJ$4,0))))=0,NA(),SUMPRODUCT((Inputs!$A$5:$A$110=$B60)*Inputs!$B$5:$B$110*(((Inputs!$G$5:$G$110="moeda")+(Inputs!$G$5:$G$110="acoes"))*Inputs!$B$1+((Inputs!$G$5:$G$110&lt;&gt;"moeda")*(Inputs!$G$5:$G$110&lt;&gt;"acoes")))*INDEX(Inputs!$K$5:$AJ$110,0,MATCH(T$2,Inputs!$K$4:$AJ$4,0)))+SUMPRODUCT((Inputs!$C$5:$C$110=$B60)*Inputs!$D$5:$D$110*(((Inputs!$G$5:$G$110="moeda")+(Inputs!$G$5:$G$110="acoes"))*Inputs!$B$1+((Inputs!$G$5:$G$110&lt;&gt;"moeda")*(Inputs!$G$5:$G$110&lt;&gt;"acoes")))*INDEX(Inputs!$K$5:$AJ$110,0,MATCH(T$2,Inputs!$K$4:$AJ$4,0)))+SUMPRODUCT((Inputs!$E$5:$E$110=$B60)*Inputs!$F$5:$F$110*(((Inputs!$G$5:$G$110="moeda")+(Inputs!$G$5:$G$110="acoes"))*Inputs!$B$1+((Inputs!$G$5:$G$110&lt;&gt;"moeda")*(Inputs!$G$5:$G$110&lt;&gt;"acoes")))*INDEX(Inputs!$K$5:$AJ$110,0,MATCH(T$2,Inputs!$K$4:$AJ$4,0)))))</f>
        <v>327</v>
      </c>
      <c r="U60" s="513">
        <f>IF(ISNA(MATCH(U$2,Inputs!$K$4:$AJ$4,0)),NA(),IF(SUMPRODUCT((Inputs!$A$5:$A$110=$B60)*ISNUMBER(INDEX(Inputs!$K$5:$AJ$110,0,MATCH(U$2,Inputs!$K$4:$AJ$4,0))))+SUMPRODUCT((Inputs!$C$5:$C$110=$B60)*ISNUMBER(INDEX(Inputs!$K$5:$AJ$110,0,MATCH(U$2,Inputs!$K$4:$AJ$4,0))))+SUMPRODUCT((Inputs!$E$5:$E$110=$B60)*ISNUMBER(INDEX(Inputs!$K$5:$AJ$110,0,MATCH(U$2,Inputs!$K$4:$AJ$4,0))))=0,NA(),SUMPRODUCT((Inputs!$A$5:$A$110=$B60)*Inputs!$B$5:$B$110*(((Inputs!$G$5:$G$110="moeda")+(Inputs!$G$5:$G$110="acoes"))*Inputs!$B$1+((Inputs!$G$5:$G$110&lt;&gt;"moeda")*(Inputs!$G$5:$G$110&lt;&gt;"acoes")))*INDEX(Inputs!$K$5:$AJ$110,0,MATCH(U$2,Inputs!$K$4:$AJ$4,0)))+SUMPRODUCT((Inputs!$C$5:$C$110=$B60)*Inputs!$D$5:$D$110*(((Inputs!$G$5:$G$110="moeda")+(Inputs!$G$5:$G$110="acoes"))*Inputs!$B$1+((Inputs!$G$5:$G$110&lt;&gt;"moeda")*(Inputs!$G$5:$G$110&lt;&gt;"acoes")))*INDEX(Inputs!$K$5:$AJ$110,0,MATCH(U$2,Inputs!$K$4:$AJ$4,0)))+SUMPRODUCT((Inputs!$E$5:$E$110=$B60)*Inputs!$F$5:$F$110*(((Inputs!$G$5:$G$110="moeda")+(Inputs!$G$5:$G$110="acoes"))*Inputs!$B$1+((Inputs!$G$5:$G$110&lt;&gt;"moeda")*(Inputs!$G$5:$G$110&lt;&gt;"acoes")))*INDEX(Inputs!$K$5:$AJ$110,0,MATCH(U$2,Inputs!$K$4:$AJ$4,0)))))</f>
        <v>414</v>
      </c>
      <c r="V60" s="513">
        <f>IF(ISNA(MATCH(V$2,Inputs!$K$4:$AJ$4,0)),NA(),IF(SUMPRODUCT((Inputs!$A$5:$A$110=$B60)*ISNUMBER(INDEX(Inputs!$K$5:$AJ$110,0,MATCH(V$2,Inputs!$K$4:$AJ$4,0))))+SUMPRODUCT((Inputs!$C$5:$C$110=$B60)*ISNUMBER(INDEX(Inputs!$K$5:$AJ$110,0,MATCH(V$2,Inputs!$K$4:$AJ$4,0))))+SUMPRODUCT((Inputs!$E$5:$E$110=$B60)*ISNUMBER(INDEX(Inputs!$K$5:$AJ$110,0,MATCH(V$2,Inputs!$K$4:$AJ$4,0))))=0,NA(),SUMPRODUCT((Inputs!$A$5:$A$110=$B60)*Inputs!$B$5:$B$110*(((Inputs!$G$5:$G$110="moeda")+(Inputs!$G$5:$G$110="acoes"))*Inputs!$B$1+((Inputs!$G$5:$G$110&lt;&gt;"moeda")*(Inputs!$G$5:$G$110&lt;&gt;"acoes")))*INDEX(Inputs!$K$5:$AJ$110,0,MATCH(V$2,Inputs!$K$4:$AJ$4,0)))+SUMPRODUCT((Inputs!$C$5:$C$110=$B60)*Inputs!$D$5:$D$110*(((Inputs!$G$5:$G$110="moeda")+(Inputs!$G$5:$G$110="acoes"))*Inputs!$B$1+((Inputs!$G$5:$G$110&lt;&gt;"moeda")*(Inputs!$G$5:$G$110&lt;&gt;"acoes")))*INDEX(Inputs!$K$5:$AJ$110,0,MATCH(V$2,Inputs!$K$4:$AJ$4,0)))+SUMPRODUCT((Inputs!$E$5:$E$110=$B60)*Inputs!$F$5:$F$110*(((Inputs!$G$5:$G$110="moeda")+(Inputs!$G$5:$G$110="acoes"))*Inputs!$B$1+((Inputs!$G$5:$G$110&lt;&gt;"moeda")*(Inputs!$G$5:$G$110&lt;&gt;"acoes")))*INDEX(Inputs!$K$5:$AJ$110,0,MATCH(V$2,Inputs!$K$4:$AJ$4,0)))))</f>
        <v>336</v>
      </c>
      <c r="W60" s="514">
        <f>SUM(S60:V60)</f>
        <v>1455</v>
      </c>
      <c r="X60" s="513">
        <f>IF(ISNA(MATCH(X$2,Inputs!$K$4:$AJ$4,0)),NA(),IF(SUMPRODUCT((Inputs!$A$5:$A$110=$B60)*ISNUMBER(INDEX(Inputs!$K$5:$AJ$110,0,MATCH(X$2,Inputs!$K$4:$AJ$4,0))))+SUMPRODUCT((Inputs!$C$5:$C$110=$B60)*ISNUMBER(INDEX(Inputs!$K$5:$AJ$110,0,MATCH(X$2,Inputs!$K$4:$AJ$4,0))))+SUMPRODUCT((Inputs!$E$5:$E$110=$B60)*ISNUMBER(INDEX(Inputs!$K$5:$AJ$110,0,MATCH(X$2,Inputs!$K$4:$AJ$4,0))))=0,NA(),SUMPRODUCT((Inputs!$A$5:$A$110=$B60)*Inputs!$B$5:$B$110*(((Inputs!$G$5:$G$110="moeda")+(Inputs!$G$5:$G$110="acoes"))*Inputs!$B$1+((Inputs!$G$5:$G$110&lt;&gt;"moeda")*(Inputs!$G$5:$G$110&lt;&gt;"acoes")))*INDEX(Inputs!$K$5:$AJ$110,0,MATCH(X$2,Inputs!$K$4:$AJ$4,0)))+SUMPRODUCT((Inputs!$C$5:$C$110=$B60)*Inputs!$D$5:$D$110*(((Inputs!$G$5:$G$110="moeda")+(Inputs!$G$5:$G$110="acoes"))*Inputs!$B$1+((Inputs!$G$5:$G$110&lt;&gt;"moeda")*(Inputs!$G$5:$G$110&lt;&gt;"acoes")))*INDEX(Inputs!$K$5:$AJ$110,0,MATCH(X$2,Inputs!$K$4:$AJ$4,0)))+SUMPRODUCT((Inputs!$E$5:$E$110=$B60)*Inputs!$F$5:$F$110*(((Inputs!$G$5:$G$110="moeda")+(Inputs!$G$5:$G$110="acoes"))*Inputs!$B$1+((Inputs!$G$5:$G$110&lt;&gt;"moeda")*(Inputs!$G$5:$G$110&lt;&gt;"acoes")))*INDEX(Inputs!$K$5:$AJ$110,0,MATCH(X$2,Inputs!$K$4:$AJ$4,0)))))</f>
        <v>398</v>
      </c>
      <c r="Y60" s="513">
        <f>IF(ISNA(MATCH(Y$2,Inputs!$K$4:$AJ$4,0)),NA(),IF(SUMPRODUCT((Inputs!$A$5:$A$110=$B60)*ISNUMBER(INDEX(Inputs!$K$5:$AJ$110,0,MATCH(Y$2,Inputs!$K$4:$AJ$4,0))))+SUMPRODUCT((Inputs!$C$5:$C$110=$B60)*ISNUMBER(INDEX(Inputs!$K$5:$AJ$110,0,MATCH(Y$2,Inputs!$K$4:$AJ$4,0))))+SUMPRODUCT((Inputs!$E$5:$E$110=$B60)*ISNUMBER(INDEX(Inputs!$K$5:$AJ$110,0,MATCH(Y$2,Inputs!$K$4:$AJ$4,0))))=0,NA(),SUMPRODUCT((Inputs!$A$5:$A$110=$B60)*Inputs!$B$5:$B$110*(((Inputs!$G$5:$G$110="moeda")+(Inputs!$G$5:$G$110="acoes"))*Inputs!$B$1+((Inputs!$G$5:$G$110&lt;&gt;"moeda")*(Inputs!$G$5:$G$110&lt;&gt;"acoes")))*INDEX(Inputs!$K$5:$AJ$110,0,MATCH(Y$2,Inputs!$K$4:$AJ$4,0)))+SUMPRODUCT((Inputs!$C$5:$C$110=$B60)*Inputs!$D$5:$D$110*(((Inputs!$G$5:$G$110="moeda")+(Inputs!$G$5:$G$110="acoes"))*Inputs!$B$1+((Inputs!$G$5:$G$110&lt;&gt;"moeda")*(Inputs!$G$5:$G$110&lt;&gt;"acoes")))*INDEX(Inputs!$K$5:$AJ$110,0,MATCH(Y$2,Inputs!$K$4:$AJ$4,0)))+SUMPRODUCT((Inputs!$E$5:$E$110=$B60)*Inputs!$F$5:$F$110*(((Inputs!$G$5:$G$110="moeda")+(Inputs!$G$5:$G$110="acoes"))*Inputs!$B$1+((Inputs!$G$5:$G$110&lt;&gt;"moeda")*(Inputs!$G$5:$G$110&lt;&gt;"acoes")))*INDEX(Inputs!$K$5:$AJ$110,0,MATCH(Y$2,Inputs!$K$4:$AJ$4,0)))))</f>
        <v>367</v>
      </c>
      <c r="Z60" s="513">
        <f>IF(ISNA(MATCH(Z$2,Inputs!$K$4:$AJ$4,0)),NA(),IF(SUMPRODUCT((Inputs!$A$5:$A$110=$B60)*ISNUMBER(INDEX(Inputs!$K$5:$AJ$110,0,MATCH(Z$2,Inputs!$K$4:$AJ$4,0))))+SUMPRODUCT((Inputs!$C$5:$C$110=$B60)*ISNUMBER(INDEX(Inputs!$K$5:$AJ$110,0,MATCH(Z$2,Inputs!$K$4:$AJ$4,0))))+SUMPRODUCT((Inputs!$E$5:$E$110=$B60)*ISNUMBER(INDEX(Inputs!$K$5:$AJ$110,0,MATCH(Z$2,Inputs!$K$4:$AJ$4,0))))=0,NA(),SUMPRODUCT((Inputs!$A$5:$A$110=$B60)*Inputs!$B$5:$B$110*(((Inputs!$G$5:$G$110="moeda")+(Inputs!$G$5:$G$110="acoes"))*Inputs!$B$1+((Inputs!$G$5:$G$110&lt;&gt;"moeda")*(Inputs!$G$5:$G$110&lt;&gt;"acoes")))*INDEX(Inputs!$K$5:$AJ$110,0,MATCH(Z$2,Inputs!$K$4:$AJ$4,0)))+SUMPRODUCT((Inputs!$C$5:$C$110=$B60)*Inputs!$D$5:$D$110*(((Inputs!$G$5:$G$110="moeda")+(Inputs!$G$5:$G$110="acoes"))*Inputs!$B$1+((Inputs!$G$5:$G$110&lt;&gt;"moeda")*(Inputs!$G$5:$G$110&lt;&gt;"acoes")))*INDEX(Inputs!$K$5:$AJ$110,0,MATCH(Z$2,Inputs!$K$4:$AJ$4,0)))+SUMPRODUCT((Inputs!$E$5:$E$110=$B60)*Inputs!$F$5:$F$110*(((Inputs!$G$5:$G$110="moeda")+(Inputs!$G$5:$G$110="acoes"))*Inputs!$B$1+((Inputs!$G$5:$G$110&lt;&gt;"moeda")*(Inputs!$G$5:$G$110&lt;&gt;"acoes")))*INDEX(Inputs!$K$5:$AJ$110,0,MATCH(Z$2,Inputs!$K$4:$AJ$4,0)))))</f>
        <v>555</v>
      </c>
      <c r="AA60" s="513">
        <f>IF(ISNA(MATCH(AA$2,Inputs!$K$4:$AJ$4,0)),NA(),IF(SUMPRODUCT((Inputs!$A$5:$A$110=$B60)*ISNUMBER(INDEX(Inputs!$K$5:$AJ$110,0,MATCH(AA$2,Inputs!$K$4:$AJ$4,0))))+SUMPRODUCT((Inputs!$C$5:$C$110=$B60)*ISNUMBER(INDEX(Inputs!$K$5:$AJ$110,0,MATCH(AA$2,Inputs!$K$4:$AJ$4,0))))+SUMPRODUCT((Inputs!$E$5:$E$110=$B60)*ISNUMBER(INDEX(Inputs!$K$5:$AJ$110,0,MATCH(AA$2,Inputs!$K$4:$AJ$4,0))))=0,NA(),SUMPRODUCT((Inputs!$A$5:$A$110=$B60)*Inputs!$B$5:$B$110*(((Inputs!$G$5:$G$110="moeda")+(Inputs!$G$5:$G$110="acoes"))*Inputs!$B$1+((Inputs!$G$5:$G$110&lt;&gt;"moeda")*(Inputs!$G$5:$G$110&lt;&gt;"acoes")))*INDEX(Inputs!$K$5:$AJ$110,0,MATCH(AA$2,Inputs!$K$4:$AJ$4,0)))+SUMPRODUCT((Inputs!$C$5:$C$110=$B60)*Inputs!$D$5:$D$110*(((Inputs!$G$5:$G$110="moeda")+(Inputs!$G$5:$G$110="acoes"))*Inputs!$B$1+((Inputs!$G$5:$G$110&lt;&gt;"moeda")*(Inputs!$G$5:$G$110&lt;&gt;"acoes")))*INDEX(Inputs!$K$5:$AJ$110,0,MATCH(AA$2,Inputs!$K$4:$AJ$4,0)))+SUMPRODUCT((Inputs!$E$5:$E$110=$B60)*Inputs!$F$5:$F$110*(((Inputs!$G$5:$G$110="moeda")+(Inputs!$G$5:$G$110="acoes"))*Inputs!$B$1+((Inputs!$G$5:$G$110&lt;&gt;"moeda")*(Inputs!$G$5:$G$110&lt;&gt;"acoes")))*INDEX(Inputs!$K$5:$AJ$110,0,MATCH(AA$2,Inputs!$K$4:$AJ$4,0)))))</f>
        <v>413</v>
      </c>
      <c r="AB60" s="514">
        <f>SUM(X60:AA60)</f>
        <v>1733</v>
      </c>
      <c r="AC60" s="513">
        <f>IF(ISNA(MATCH(AC$2,Inputs!$K$4:$AJ$4,0)),NA(),IF(SUMPRODUCT((Inputs!$A$5:$A$110=$B60)*ISNUMBER(INDEX(Inputs!$K$5:$AJ$110,0,MATCH(AC$2,Inputs!$K$4:$AJ$4,0))))+SUMPRODUCT((Inputs!$C$5:$C$110=$B60)*ISNUMBER(INDEX(Inputs!$K$5:$AJ$110,0,MATCH(AC$2,Inputs!$K$4:$AJ$4,0))))+SUMPRODUCT((Inputs!$E$5:$E$110=$B60)*ISNUMBER(INDEX(Inputs!$K$5:$AJ$110,0,MATCH(AC$2,Inputs!$K$4:$AJ$4,0))))=0,NA(),SUMPRODUCT((Inputs!$A$5:$A$110=$B60)*Inputs!$B$5:$B$110*(((Inputs!$G$5:$G$110="moeda")+(Inputs!$G$5:$G$110="acoes"))*Inputs!$B$1+((Inputs!$G$5:$G$110&lt;&gt;"moeda")*(Inputs!$G$5:$G$110&lt;&gt;"acoes")))*INDEX(Inputs!$K$5:$AJ$110,0,MATCH(AC$2,Inputs!$K$4:$AJ$4,0)))+SUMPRODUCT((Inputs!$C$5:$C$110=$B60)*Inputs!$D$5:$D$110*(((Inputs!$G$5:$G$110="moeda")+(Inputs!$G$5:$G$110="acoes"))*Inputs!$B$1+((Inputs!$G$5:$G$110&lt;&gt;"moeda")*(Inputs!$G$5:$G$110&lt;&gt;"acoes")))*INDEX(Inputs!$K$5:$AJ$110,0,MATCH(AC$2,Inputs!$K$4:$AJ$4,0)))+SUMPRODUCT((Inputs!$E$5:$E$110=$B60)*Inputs!$F$5:$F$110*(((Inputs!$G$5:$G$110="moeda")+(Inputs!$G$5:$G$110="acoes"))*Inputs!$B$1+((Inputs!$G$5:$G$110&lt;&gt;"moeda")*(Inputs!$G$5:$G$110&lt;&gt;"acoes")))*INDEX(Inputs!$K$5:$AJ$110,0,MATCH(AC$2,Inputs!$K$4:$AJ$4,0)))))</f>
        <v>495</v>
      </c>
      <c r="AD60" s="513">
        <f>IF(ISNA(MATCH(AD$2,Inputs!$K$4:$AJ$4,0)),NA(),IF(SUMPRODUCT((Inputs!$A$5:$A$110=$B60)*ISNUMBER(INDEX(Inputs!$K$5:$AJ$110,0,MATCH(AD$2,Inputs!$K$4:$AJ$4,0))))+SUMPRODUCT((Inputs!$C$5:$C$110=$B60)*ISNUMBER(INDEX(Inputs!$K$5:$AJ$110,0,MATCH(AD$2,Inputs!$K$4:$AJ$4,0))))+SUMPRODUCT((Inputs!$E$5:$E$110=$B60)*ISNUMBER(INDEX(Inputs!$K$5:$AJ$110,0,MATCH(AD$2,Inputs!$K$4:$AJ$4,0))))=0,NA(),SUMPRODUCT((Inputs!$A$5:$A$110=$B60)*Inputs!$B$5:$B$110*(((Inputs!$G$5:$G$110="moeda")+(Inputs!$G$5:$G$110="acoes"))*Inputs!$B$1+((Inputs!$G$5:$G$110&lt;&gt;"moeda")*(Inputs!$G$5:$G$110&lt;&gt;"acoes")))*INDEX(Inputs!$K$5:$AJ$110,0,MATCH(AD$2,Inputs!$K$4:$AJ$4,0)))+SUMPRODUCT((Inputs!$C$5:$C$110=$B60)*Inputs!$D$5:$D$110*(((Inputs!$G$5:$G$110="moeda")+(Inputs!$G$5:$G$110="acoes"))*Inputs!$B$1+((Inputs!$G$5:$G$110&lt;&gt;"moeda")*(Inputs!$G$5:$G$110&lt;&gt;"acoes")))*INDEX(Inputs!$K$5:$AJ$110,0,MATCH(AD$2,Inputs!$K$4:$AJ$4,0)))+SUMPRODUCT((Inputs!$E$5:$E$110=$B60)*Inputs!$F$5:$F$110*(((Inputs!$G$5:$G$110="moeda")+(Inputs!$G$5:$G$110="acoes"))*Inputs!$B$1+((Inputs!$G$5:$G$110&lt;&gt;"moeda")*(Inputs!$G$5:$G$110&lt;&gt;"acoes")))*INDEX(Inputs!$K$5:$AJ$110,0,MATCH(AD$2,Inputs!$K$4:$AJ$4,0)))))</f>
        <v>436</v>
      </c>
      <c r="AE60" s="513" t="e">
        <f>IF(ISNA(MATCH(AE$2,Inputs!$K$4:$AJ$4,0)),NA(),IF(SUMPRODUCT((Inputs!$A$5:$A$110=$B60)*ISNUMBER(INDEX(Inputs!$K$5:$AJ$110,0,MATCH(AE$2,Inputs!$K$4:$AJ$4,0))))+SUMPRODUCT((Inputs!$C$5:$C$110=$B60)*ISNUMBER(INDEX(Inputs!$K$5:$AJ$110,0,MATCH(AE$2,Inputs!$K$4:$AJ$4,0))))+SUMPRODUCT((Inputs!$E$5:$E$110=$B60)*ISNUMBER(INDEX(Inputs!$K$5:$AJ$110,0,MATCH(AE$2,Inputs!$K$4:$AJ$4,0))))=0,NA(),SUMPRODUCT((Inputs!$A$5:$A$110=$B60)*Inputs!$B$5:$B$110*(((Inputs!$G$5:$G$110="moeda")+(Inputs!$G$5:$G$110="acoes"))*Inputs!$B$1+((Inputs!$G$5:$G$110&lt;&gt;"moeda")*(Inputs!$G$5:$G$110&lt;&gt;"acoes")))*INDEX(Inputs!$K$5:$AJ$110,0,MATCH(AE$2,Inputs!$K$4:$AJ$4,0)))+SUMPRODUCT((Inputs!$C$5:$C$110=$B60)*Inputs!$D$5:$D$110*(((Inputs!$G$5:$G$110="moeda")+(Inputs!$G$5:$G$110="acoes"))*Inputs!$B$1+((Inputs!$G$5:$G$110&lt;&gt;"moeda")*(Inputs!$G$5:$G$110&lt;&gt;"acoes")))*INDEX(Inputs!$K$5:$AJ$110,0,MATCH(AE$2,Inputs!$K$4:$AJ$4,0)))+SUMPRODUCT((Inputs!$E$5:$E$110=$B60)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0" s="513" t="e">
        <f>IF(ISNA(MATCH(AF$2,Inputs!$K$4:$AJ$4,0)),NA(),IF(SUMPRODUCT((Inputs!$A$5:$A$110=$B60)*ISNUMBER(INDEX(Inputs!$K$5:$AJ$110,0,MATCH(AF$2,Inputs!$K$4:$AJ$4,0))))+SUMPRODUCT((Inputs!$C$5:$C$110=$B60)*ISNUMBER(INDEX(Inputs!$K$5:$AJ$110,0,MATCH(AF$2,Inputs!$K$4:$AJ$4,0))))+SUMPRODUCT((Inputs!$E$5:$E$110=$B60)*ISNUMBER(INDEX(Inputs!$K$5:$AJ$110,0,MATCH(AF$2,Inputs!$K$4:$AJ$4,0))))=0,NA(),SUMPRODUCT((Inputs!$A$5:$A$110=$B60)*Inputs!$B$5:$B$110*(((Inputs!$G$5:$G$110="moeda")+(Inputs!$G$5:$G$110="acoes"))*Inputs!$B$1+((Inputs!$G$5:$G$110&lt;&gt;"moeda")*(Inputs!$G$5:$G$110&lt;&gt;"acoes")))*INDEX(Inputs!$K$5:$AJ$110,0,MATCH(AF$2,Inputs!$K$4:$AJ$4,0)))+SUMPRODUCT((Inputs!$C$5:$C$110=$B60)*Inputs!$D$5:$D$110*(((Inputs!$G$5:$G$110="moeda")+(Inputs!$G$5:$G$110="acoes"))*Inputs!$B$1+((Inputs!$G$5:$G$110&lt;&gt;"moeda")*(Inputs!$G$5:$G$110&lt;&gt;"acoes")))*INDEX(Inputs!$K$5:$AJ$110,0,MATCH(AF$2,Inputs!$K$4:$AJ$4,0)))+SUMPRODUCT((Inputs!$E$5:$E$110=$B60)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0" s="514" t="e">
        <f>SUM(AC60:AF60)</f>
        <v>#N/A</v>
      </c>
      <c r="AH60" s="513">
        <f>IF(ISNA(MATCH(AH$2,Inputs!$K$4:$AJ$4,0)),NA(),IF(SUMPRODUCT((Inputs!$A$5:$A$110=$B60)*ISNUMBER(INDEX(Inputs!$K$5:$AJ$110,0,MATCH(AH$2,Inputs!$K$4:$AJ$4,0))))+SUMPRODUCT((Inputs!$C$5:$C$110=$B60)*ISNUMBER(INDEX(Inputs!$K$5:$AJ$110,0,MATCH(AH$2,Inputs!$K$4:$AJ$4,0))))+SUMPRODUCT((Inputs!$E$5:$E$110=$B60)*ISNUMBER(INDEX(Inputs!$K$5:$AJ$110,0,MATCH(AH$2,Inputs!$K$4:$AJ$4,0))))=0,NA(),SUMPRODUCT((Inputs!$A$5:$A$110=$B60)*Inputs!$B$5:$B$110*(((Inputs!$G$5:$G$110="moeda")+(Inputs!$G$5:$G$110="acoes"))*Inputs!$B$1+((Inputs!$G$5:$G$110&lt;&gt;"moeda")*(Inputs!$G$5:$G$110&lt;&gt;"acoes")))*INDEX(Inputs!$K$5:$AJ$110,0,MATCH(AH$2,Inputs!$K$4:$AJ$4,0)))+SUMPRODUCT((Inputs!$C$5:$C$110=$B60)*Inputs!$D$5:$D$110*(((Inputs!$G$5:$G$110="moeda")+(Inputs!$G$5:$G$110="acoes"))*Inputs!$B$1+((Inputs!$G$5:$G$110&lt;&gt;"moeda")*(Inputs!$G$5:$G$110&lt;&gt;"acoes")))*INDEX(Inputs!$K$5:$AJ$110,0,MATCH(AH$2,Inputs!$K$4:$AJ$4,0)))+SUMPRODUCT((Inputs!$E$5:$E$110=$B60)*Inputs!$F$5:$F$110*(((Inputs!$G$5:$G$110="moeda")+(Inputs!$G$5:$G$110="acoes"))*Inputs!$B$1+((Inputs!$G$5:$G$110&lt;&gt;"moeda")*(Inputs!$G$5:$G$110&lt;&gt;"acoes")))*INDEX(Inputs!$K$5:$AJ$110,0,MATCH(AH$2,Inputs!$K$4:$AJ$4,0)))))</f>
        <v>243</v>
      </c>
      <c r="AI60" s="513">
        <f>IF(ISNA(MATCH(AI$2,Inputs!$K$4:$AJ$4,0)),NA(),IF(SUMPRODUCT((Inputs!$A$5:$A$110=$B60)*ISNUMBER(INDEX(Inputs!$K$5:$AJ$110,0,MATCH(AI$2,Inputs!$K$4:$AJ$4,0))))+SUMPRODUCT((Inputs!$C$5:$C$110=$B60)*ISNUMBER(INDEX(Inputs!$K$5:$AJ$110,0,MATCH(AI$2,Inputs!$K$4:$AJ$4,0))))+SUMPRODUCT((Inputs!$E$5:$E$110=$B60)*ISNUMBER(INDEX(Inputs!$K$5:$AJ$110,0,MATCH(AI$2,Inputs!$K$4:$AJ$4,0))))=0,NA(),SUMPRODUCT((Inputs!$A$5:$A$110=$B60)*Inputs!$B$5:$B$110*(((Inputs!$G$5:$G$110="moeda")+(Inputs!$G$5:$G$110="acoes"))*Inputs!$B$1+((Inputs!$G$5:$G$110&lt;&gt;"moeda")*(Inputs!$G$5:$G$110&lt;&gt;"acoes")))*INDEX(Inputs!$K$5:$AJ$110,0,MATCH(AI$2,Inputs!$K$4:$AJ$4,0)))+SUMPRODUCT((Inputs!$C$5:$C$110=$B60)*Inputs!$D$5:$D$110*(((Inputs!$G$5:$G$110="moeda")+(Inputs!$G$5:$G$110="acoes"))*Inputs!$B$1+((Inputs!$G$5:$G$110&lt;&gt;"moeda")*(Inputs!$G$5:$G$110&lt;&gt;"acoes")))*INDEX(Inputs!$K$5:$AJ$110,0,MATCH(AI$2,Inputs!$K$4:$AJ$4,0)))+SUMPRODUCT((Inputs!$E$5:$E$110=$B60)*Inputs!$F$5:$F$110*(((Inputs!$G$5:$G$110="moeda")+(Inputs!$G$5:$G$110="acoes"))*Inputs!$B$1+((Inputs!$G$5:$G$110&lt;&gt;"moeda")*(Inputs!$G$5:$G$110&lt;&gt;"acoes")))*INDEX(Inputs!$K$5:$AJ$110,0,MATCH(AI$2,Inputs!$K$4:$AJ$4,0)))))</f>
        <v>197</v>
      </c>
      <c r="AJ60" s="513">
        <f>IF(ISNA(MATCH(AJ$2,Inputs!$K$4:$AJ$4,0)),NA(),IF(SUMPRODUCT((Inputs!$A$5:$A$110=$B60)*ISNUMBER(INDEX(Inputs!$K$5:$AJ$110,0,MATCH(AJ$2,Inputs!$K$4:$AJ$4,0))))+SUMPRODUCT((Inputs!$C$5:$C$110=$B60)*ISNUMBER(INDEX(Inputs!$K$5:$AJ$110,0,MATCH(AJ$2,Inputs!$K$4:$AJ$4,0))))+SUMPRODUCT((Inputs!$E$5:$E$110=$B60)*ISNUMBER(INDEX(Inputs!$K$5:$AJ$110,0,MATCH(AJ$2,Inputs!$K$4:$AJ$4,0))))=0,NA(),SUMPRODUCT((Inputs!$A$5:$A$110=$B60)*Inputs!$B$5:$B$110*(((Inputs!$G$5:$G$110="moeda")+(Inputs!$G$5:$G$110="acoes"))*Inputs!$B$1+((Inputs!$G$5:$G$110&lt;&gt;"moeda")*(Inputs!$G$5:$G$110&lt;&gt;"acoes")))*INDEX(Inputs!$K$5:$AJ$110,0,MATCH(AJ$2,Inputs!$K$4:$AJ$4,0)))+SUMPRODUCT((Inputs!$C$5:$C$110=$B60)*Inputs!$D$5:$D$110*(((Inputs!$G$5:$G$110="moeda")+(Inputs!$G$5:$G$110="acoes"))*Inputs!$B$1+((Inputs!$G$5:$G$110&lt;&gt;"moeda")*(Inputs!$G$5:$G$110&lt;&gt;"acoes")))*INDEX(Inputs!$K$5:$AJ$110,0,MATCH(AJ$2,Inputs!$K$4:$AJ$4,0)))+SUMPRODUCT((Inputs!$E$5:$E$110=$B60)*Inputs!$F$5:$F$110*(((Inputs!$G$5:$G$110="moeda")+(Inputs!$G$5:$G$110="acoes"))*Inputs!$B$1+((Inputs!$G$5:$G$110&lt;&gt;"moeda")*(Inputs!$G$5:$G$110&lt;&gt;"acoes")))*INDEX(Inputs!$K$5:$AJ$110,0,MATCH(AJ$2,Inputs!$K$4:$AJ$4,0)))))</f>
        <v>197</v>
      </c>
      <c r="AK60" s="513">
        <f>IF(ISNA(MATCH(AK$2,Inputs!$K$4:$AJ$4,0)),NA(),IF(SUMPRODUCT((Inputs!$A$5:$A$110=$B60)*ISNUMBER(INDEX(Inputs!$K$5:$AJ$110,0,MATCH(AK$2,Inputs!$K$4:$AJ$4,0))))+SUMPRODUCT((Inputs!$C$5:$C$110=$B60)*ISNUMBER(INDEX(Inputs!$K$5:$AJ$110,0,MATCH(AK$2,Inputs!$K$4:$AJ$4,0))))+SUMPRODUCT((Inputs!$E$5:$E$110=$B60)*ISNUMBER(INDEX(Inputs!$K$5:$AJ$110,0,MATCH(AK$2,Inputs!$K$4:$AJ$4,0))))=0,NA(),SUMPRODUCT((Inputs!$A$5:$A$110=$B60)*Inputs!$B$5:$B$110*(((Inputs!$G$5:$G$110="moeda")+(Inputs!$G$5:$G$110="acoes"))*Inputs!$B$1+((Inputs!$G$5:$G$110&lt;&gt;"moeda")*(Inputs!$G$5:$G$110&lt;&gt;"acoes")))*INDEX(Inputs!$K$5:$AJ$110,0,MATCH(AK$2,Inputs!$K$4:$AJ$4,0)))+SUMPRODUCT((Inputs!$C$5:$C$110=$B60)*Inputs!$D$5:$D$110*(((Inputs!$G$5:$G$110="moeda")+(Inputs!$G$5:$G$110="acoes"))*Inputs!$B$1+((Inputs!$G$5:$G$110&lt;&gt;"moeda")*(Inputs!$G$5:$G$110&lt;&gt;"acoes")))*INDEX(Inputs!$K$5:$AJ$110,0,MATCH(AK$2,Inputs!$K$4:$AJ$4,0)))+SUMPRODUCT((Inputs!$E$5:$E$110=$B60)*Inputs!$F$5:$F$110*(((Inputs!$G$5:$G$110="moeda")+(Inputs!$G$5:$G$110="acoes"))*Inputs!$B$1+((Inputs!$G$5:$G$110&lt;&gt;"moeda")*(Inputs!$G$5:$G$110&lt;&gt;"acoes")))*INDEX(Inputs!$K$5:$AJ$110,0,MATCH(AK$2,Inputs!$K$4:$AJ$4,0)))))</f>
        <v>246</v>
      </c>
      <c r="AL60" s="514">
        <f>SUM(AH60:AK60)</f>
        <v>883</v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C377"/>
  <sheetViews>
    <sheetView showFormulas="0" showGridLines="0" showRowColHeaders="1" showZeros="1" rightToLeft="0" tabSelected="1" showOutlineSymbols="1" defaultGridColor="1" view="normal" topLeftCell="A1" colorId="64" zoomScale="85" zoomScaleNormal="85" zoomScalePageLayoutView="100" workbookViewId="0">
      <pane xSplit="3" ySplit="354" topLeftCell="D355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D1" activeCellId="0" sqref="D1"/>
      <selection pane="bottomLeft" activeCell="A336" activeCellId="0" sqref="A336"/>
      <selection pane="bottomRight" activeCell="D298" activeCellId="0" sqref="D298"/>
    </sheetView>
  </sheetViews>
  <sheetFormatPr baseColWidth="8" defaultColWidth="9.140625" defaultRowHeight="12.75" zeroHeight="0" outlineLevelRow="1"/>
  <cols>
    <col width="1.71" customWidth="1" style="259" min="1" max="1"/>
    <col outlineLevel="1" width="7.85" customWidth="1" style="259" min="2" max="2"/>
    <col width="84.70999999999999" customWidth="1" style="260" min="3" max="3"/>
    <col outlineLevel="1" width="11.42" customWidth="1" style="260" min="4" max="7"/>
    <col width="11.42" customWidth="1" style="260" min="8" max="8"/>
    <col outlineLevel="1" width="11.42" customWidth="1" style="260" min="9" max="12"/>
    <col width="11.42" customWidth="1" style="260" min="13" max="13"/>
    <col outlineLevel="1" width="11.42" customWidth="1" style="260" min="14" max="17"/>
    <col width="11.42" customWidth="1" style="260" min="18" max="18"/>
    <col outlineLevel="1" width="11.42" customWidth="1" style="260" min="19" max="22"/>
    <col width="11.42" customWidth="1" style="260" min="23" max="23"/>
    <col outlineLevel="1" width="11.42" customWidth="1" style="260" min="24" max="24"/>
    <col outlineLevel="1" width="11.14" customWidth="1" style="260" min="25" max="25"/>
    <col outlineLevel="1" width="11.42" customWidth="1" style="260" min="26" max="27"/>
    <col width="11.14" customWidth="1" style="260" min="28" max="28"/>
    <col outlineLevel="1" width="12.28" customWidth="1" style="260" min="29" max="29"/>
    <col outlineLevel="1" width="13.28" customWidth="1" style="260" min="30" max="30"/>
    <col outlineLevel="1" width="11" customWidth="1" style="260" min="31" max="31"/>
    <col outlineLevel="1" width="10.14" customWidth="1" style="260" min="32" max="32"/>
    <col width="11" customWidth="1" style="260" min="33" max="33"/>
    <col outlineLevel="1" width="10.14" customWidth="1" style="260" min="34" max="34"/>
    <col outlineLevel="1" width="11.14" customWidth="1" style="260" min="35" max="35"/>
    <col outlineLevel="1" width="10.14" customWidth="1" style="260" min="36" max="37"/>
    <col width="10" customWidth="1" style="260" min="38" max="38"/>
    <col outlineLevel="1" width="10.14" customWidth="1" style="260" min="39" max="39"/>
    <col outlineLevel="1" width="11.14" customWidth="1" style="260" min="40" max="40"/>
    <col outlineLevel="1" width="10.14" customWidth="1" style="260" min="41" max="42"/>
    <col width="10" customWidth="1" style="260" min="43" max="43"/>
    <col outlineLevel="1" width="10.14" customWidth="1" style="260" min="44" max="44"/>
    <col outlineLevel="1" width="11.14" customWidth="1" style="260" min="45" max="45"/>
    <col outlineLevel="1" width="10.14" customWidth="1" style="260" min="46" max="47"/>
    <col width="10" customWidth="1" style="260" min="48" max="48"/>
    <col outlineLevel="1" width="10.14" customWidth="1" style="260" min="49" max="49"/>
    <col outlineLevel="1" width="11.14" customWidth="1" style="260" min="50" max="50"/>
    <col outlineLevel="1" width="10.14" customWidth="1" style="260" min="51" max="52"/>
    <col width="10" customWidth="1" style="260" min="53" max="53"/>
    <col outlineLevel="1" width="10.14" customWidth="1" style="260" min="54" max="54"/>
    <col outlineLevel="1" width="11.14" customWidth="1" style="260" min="55" max="55"/>
    <col outlineLevel="1" width="10.14" customWidth="1" style="260" min="56" max="57"/>
    <col width="10" customWidth="1" style="260" min="58" max="58"/>
    <col outlineLevel="1" width="10.14" customWidth="1" style="260" min="59" max="59"/>
    <col outlineLevel="1" width="11.14" customWidth="1" style="260" min="60" max="60"/>
    <col outlineLevel="1" width="10.14" customWidth="1" style="260" min="61" max="62"/>
    <col width="10" customWidth="1" style="260" min="63" max="63"/>
    <col outlineLevel="1" width="10.14" customWidth="1" style="260" min="64" max="64"/>
    <col outlineLevel="1" width="11.14" customWidth="1" style="260" min="65" max="65"/>
    <col outlineLevel="1" width="10.14" customWidth="1" style="260" min="66" max="67"/>
    <col width="10" customWidth="1" style="260" min="68" max="68"/>
    <col outlineLevel="1" width="10.14" customWidth="1" style="260" min="69" max="69"/>
    <col outlineLevel="1" width="11.14" customWidth="1" style="260" min="70" max="70"/>
    <col outlineLevel="1" width="10.14" customWidth="1" style="260" min="71" max="72"/>
    <col width="10" customWidth="1" style="260" min="73" max="73"/>
    <col outlineLevel="1" width="10.14" customWidth="1" style="260" min="74" max="74"/>
    <col outlineLevel="1" width="11.14" customWidth="1" style="260" min="75" max="75"/>
    <col outlineLevel="1" width="10.14" customWidth="1" style="260" min="76" max="77"/>
    <col width="10" customWidth="1" style="260" min="78" max="78"/>
    <col outlineLevel="1" width="10.14" customWidth="1" style="260" min="79" max="79"/>
    <col outlineLevel="1" width="11.14" customWidth="1" style="260" min="80" max="80"/>
    <col outlineLevel="1" width="10.14" customWidth="1" style="260" min="81" max="82"/>
    <col width="10" customWidth="1" style="260" min="83" max="83"/>
    <col outlineLevel="1" width="10.14" customWidth="1" style="260" min="84" max="84"/>
    <col outlineLevel="1" width="11.14" customWidth="1" style="260" min="85" max="85"/>
    <col outlineLevel="1" width="10.14" customWidth="1" style="260" min="86" max="87"/>
    <col width="10" customWidth="1" style="260" min="88" max="88"/>
    <col outlineLevel="1" width="10.14" customWidth="1" style="260" min="89" max="89"/>
    <col outlineLevel="1" width="11.14" customWidth="1" style="260" min="90" max="90"/>
    <col outlineLevel="1" width="10.14" customWidth="1" style="260" min="91" max="92"/>
    <col width="10" customWidth="1" style="260" min="93" max="93"/>
    <col outlineLevel="1" width="10.14" customWidth="1" style="260" min="94" max="94"/>
    <col outlineLevel="1" width="11.14" customWidth="1" style="260" min="95" max="95"/>
    <col outlineLevel="1" width="10.14" customWidth="1" style="260" min="96" max="97"/>
    <col width="10" customWidth="1" style="260" min="98" max="98"/>
    <col outlineLevel="1" width="10.14" customWidth="1" style="260" min="99" max="99"/>
    <col outlineLevel="1" width="11.14" customWidth="1" style="260" min="100" max="100"/>
    <col outlineLevel="1" width="10.14" customWidth="1" style="260" min="101" max="102"/>
    <col width="10" customWidth="1" style="260" min="103" max="103"/>
    <col width="9.140000000000001" customWidth="1" style="260" min="104" max="16384"/>
  </cols>
  <sheetData>
    <row r="1" ht="12.75" customHeight="1" s="255">
      <c r="C1" s="273" t="inlineStr">
        <is>
          <t>CHECKS</t>
        </is>
      </c>
      <c r="D1" s="268">
        <f>SUM(D2,D3)</f>
        <v>0</v>
      </c>
      <c r="E1" s="268">
        <f>SUM(E2,E3)</f>
        <v>0</v>
      </c>
      <c r="F1" s="268">
        <f>SUM(F2,F3)</f>
        <v>0</v>
      </c>
      <c r="G1" s="268">
        <f>SUM(G2,G3)</f>
        <v>0</v>
      </c>
      <c r="H1" s="268">
        <f>SUM(H2,H3)</f>
        <v>0</v>
      </c>
      <c r="I1" s="268">
        <f>SUM(I2,I3)</f>
        <v>0</v>
      </c>
      <c r="J1" s="268">
        <f>SUM(J2,J3)</f>
        <v>0</v>
      </c>
      <c r="K1" s="268">
        <f>SUM(K2,K3)</f>
        <v>0</v>
      </c>
      <c r="L1" s="268">
        <f>SUM(L2,L3)</f>
        <v>0</v>
      </c>
      <c r="M1" s="268">
        <f>SUM(M2,M3)</f>
        <v>0</v>
      </c>
      <c r="N1" s="268">
        <f>SUM(N2,N3)</f>
        <v>0</v>
      </c>
      <c r="O1" s="268">
        <f>SUM(O2,O3)</f>
        <v>0</v>
      </c>
      <c r="P1" s="268">
        <f>SUM(P2,P3)</f>
        <v>0</v>
      </c>
      <c r="Q1" s="268">
        <f>SUM(Q2,Q3)</f>
        <v>0</v>
      </c>
      <c r="R1" s="268">
        <f>SUM(R2,R3)</f>
        <v>0</v>
      </c>
      <c r="S1" s="268">
        <f>SUM(S2,S3)</f>
        <v>0</v>
      </c>
      <c r="T1" s="268">
        <f>SUM(T2,T3)</f>
        <v>0</v>
      </c>
      <c r="U1" s="268">
        <f>SUM(U2,U3)</f>
        <v>0</v>
      </c>
      <c r="V1" s="268">
        <f>SUM(V2,V3)</f>
        <v>0</v>
      </c>
      <c r="W1" s="268">
        <f>SUM(W2,W3)</f>
        <v>0</v>
      </c>
      <c r="X1" s="268">
        <f>SUM(X2,X3)</f>
        <v>0</v>
      </c>
      <c r="Y1" s="268">
        <f>SUM(Y2,Y3)</f>
        <v>0</v>
      </c>
      <c r="Z1" s="268">
        <f>SUM(Z2,Z3)</f>
        <v>0</v>
      </c>
      <c r="AA1" s="268">
        <f>SUM(AA2,AA3)</f>
        <v>0</v>
      </c>
      <c r="AB1" s="268">
        <f>SUM(AB2,AB3)</f>
        <v>0</v>
      </c>
      <c r="AC1" s="268">
        <f>SUM(AC2,AC3)</f>
        <v>0</v>
      </c>
      <c r="AD1" s="268">
        <f>SUM(AD2,AD3)</f>
        <v>0</v>
      </c>
      <c r="AE1" s="268">
        <f>SUM(AE2,AE3)</f>
        <v>0</v>
      </c>
      <c r="AF1" s="268">
        <f>SUM(AF2,AF3)</f>
        <v>0</v>
      </c>
      <c r="AG1" s="268">
        <f>SUM(AG2,AG3)</f>
        <v>0</v>
      </c>
      <c r="AH1" s="268">
        <f>SUM(AH2,AH3)</f>
        <v>0</v>
      </c>
      <c r="AI1" s="268">
        <f>SUM(AI2,AI3)</f>
        <v>0</v>
      </c>
      <c r="AJ1" s="268">
        <f>SUM(AJ2,AJ3)</f>
        <v>0</v>
      </c>
      <c r="AK1" s="268">
        <f>SUM(AK2,AK3)</f>
        <v>0</v>
      </c>
      <c r="AL1" s="268">
        <f>SUM(AL2,AL3)</f>
        <v>0</v>
      </c>
      <c r="AM1" s="268" t="e">
        <f>SUM(AM2,AM3)</f>
        <v>#DIV/0!</v>
      </c>
      <c r="AN1" s="268" t="e">
        <f>SUM(AN2,AN3)</f>
        <v>#DIV/0!</v>
      </c>
      <c r="AO1" s="268" t="e">
        <f>SUM(AO2,AO3)</f>
        <v>#DIV/0!</v>
      </c>
      <c r="AP1" s="268" t="e">
        <f>SUM(AP2,AP3)</f>
        <v>#DIV/0!</v>
      </c>
      <c r="AQ1" s="268" t="e">
        <f>SUM(AQ2,AQ3)</f>
        <v>#DIV/0!</v>
      </c>
      <c r="AR1" s="268" t="e">
        <f>SUM(AR2,AR3)</f>
        <v>#DIV/0!</v>
      </c>
      <c r="AS1" s="268" t="e">
        <f>SUM(AS2,AS3)</f>
        <v>#DIV/0!</v>
      </c>
      <c r="AT1" s="268" t="e">
        <f>SUM(AT2,AT3)</f>
        <v>#DIV/0!</v>
      </c>
      <c r="AU1" s="268" t="e">
        <f>SUM(AU2,AU3)</f>
        <v>#DIV/0!</v>
      </c>
      <c r="AV1" s="268" t="e">
        <f>SUM(AV2,AV3)</f>
        <v>#DIV/0!</v>
      </c>
      <c r="AW1" s="268" t="e">
        <f>SUM(AW2,AW3)</f>
        <v>#DIV/0!</v>
      </c>
      <c r="AX1" s="268" t="e">
        <f>SUM(AX2,AX3)</f>
        <v>#DIV/0!</v>
      </c>
      <c r="AY1" s="268" t="e">
        <f>SUM(AY2,AY3)</f>
        <v>#DIV/0!</v>
      </c>
      <c r="AZ1" s="268" t="e">
        <f>SUM(AZ2,AZ3)</f>
        <v>#DIV/0!</v>
      </c>
      <c r="BA1" s="268" t="e">
        <f>SUM(BA2,BA3)</f>
        <v>#DIV/0!</v>
      </c>
      <c r="BB1" s="268" t="e">
        <f>SUM(BB2,BB3)</f>
        <v>#DIV/0!</v>
      </c>
      <c r="BC1" s="268" t="e">
        <f>SUM(BC2,BC3)</f>
        <v>#DIV/0!</v>
      </c>
      <c r="BD1" s="268" t="e">
        <f>SUM(BD2,BD3)</f>
        <v>#DIV/0!</v>
      </c>
      <c r="BE1" s="268" t="e">
        <f>SUM(BE2,BE3)</f>
        <v>#DIV/0!</v>
      </c>
      <c r="BF1" s="268" t="e">
        <f>SUM(BF2,BF3)</f>
        <v>#DIV/0!</v>
      </c>
      <c r="BG1" s="268" t="e">
        <f>SUM(BG2,BG3)</f>
        <v>#DIV/0!</v>
      </c>
      <c r="BH1" s="268" t="e">
        <f>SUM(BH2,BH3)</f>
        <v>#DIV/0!</v>
      </c>
      <c r="BI1" s="268" t="e">
        <f>SUM(BI2,BI3)</f>
        <v>#DIV/0!</v>
      </c>
      <c r="BJ1" s="268" t="e">
        <f>SUM(BJ2,BJ3)</f>
        <v>#DIV/0!</v>
      </c>
      <c r="BK1" s="268" t="e">
        <f>SUM(BK2,BK3)</f>
        <v>#DIV/0!</v>
      </c>
      <c r="BL1" s="268" t="e">
        <f>SUM(BL2,BL3)</f>
        <v>#DIV/0!</v>
      </c>
      <c r="BM1" s="268" t="e">
        <f>SUM(BM2,BM3)</f>
        <v>#DIV/0!</v>
      </c>
      <c r="BN1" s="268" t="e">
        <f>SUM(BN2,BN3)</f>
        <v>#DIV/0!</v>
      </c>
      <c r="BO1" s="268" t="e">
        <f>SUM(BO2,BO3)</f>
        <v>#DIV/0!</v>
      </c>
      <c r="BP1" s="268" t="e">
        <f>SUM(BP2,BP3)</f>
        <v>#DIV/0!</v>
      </c>
      <c r="BQ1" s="268" t="e">
        <f>SUM(BQ2,BQ3)</f>
        <v>#DIV/0!</v>
      </c>
      <c r="BR1" s="268" t="e">
        <f>SUM(BR2,BR3)</f>
        <v>#DIV/0!</v>
      </c>
      <c r="BS1" s="268" t="e">
        <f>SUM(BS2,BS3)</f>
        <v>#DIV/0!</v>
      </c>
      <c r="BT1" s="268" t="e">
        <f>SUM(BT2,BT3)</f>
        <v>#DIV/0!</v>
      </c>
      <c r="BU1" s="268" t="e">
        <f>SUM(BU2,BU3)</f>
        <v>#DIV/0!</v>
      </c>
      <c r="BV1" s="268" t="e">
        <f>SUM(BV2,BV3)</f>
        <v>#DIV/0!</v>
      </c>
      <c r="BW1" s="268" t="e">
        <f>SUM(BW2,BW3)</f>
        <v>#DIV/0!</v>
      </c>
      <c r="BX1" s="268" t="e">
        <f>SUM(BX2,BX3)</f>
        <v>#DIV/0!</v>
      </c>
      <c r="BY1" s="268" t="e">
        <f>SUM(BY2,BY3)</f>
        <v>#DIV/0!</v>
      </c>
      <c r="BZ1" s="268" t="e">
        <f>SUM(BZ2,BZ3)</f>
        <v>#DIV/0!</v>
      </c>
      <c r="CA1" s="268" t="e">
        <f>SUM(CA2,CA3)</f>
        <v>#DIV/0!</v>
      </c>
      <c r="CB1" s="268" t="e">
        <f>SUM(CB2,CB3)</f>
        <v>#DIV/0!</v>
      </c>
      <c r="CC1" s="268" t="e">
        <f>SUM(CC2,CC3)</f>
        <v>#DIV/0!</v>
      </c>
      <c r="CD1" s="268" t="e">
        <f>SUM(CD2,CD3)</f>
        <v>#DIV/0!</v>
      </c>
      <c r="CE1" s="268" t="e">
        <f>SUM(CE2,CE3)</f>
        <v>#DIV/0!</v>
      </c>
      <c r="CF1" s="268" t="e">
        <f>SUM(CF2,CF3)</f>
        <v>#DIV/0!</v>
      </c>
      <c r="CG1" s="268" t="e">
        <f>SUM(CG2,CG3)</f>
        <v>#DIV/0!</v>
      </c>
      <c r="CH1" s="268" t="e">
        <f>SUM(CH2,CH3)</f>
        <v>#DIV/0!</v>
      </c>
      <c r="CI1" s="268" t="e">
        <f>SUM(CI2,CI3)</f>
        <v>#DIV/0!</v>
      </c>
      <c r="CJ1" s="268" t="e">
        <f>SUM(CJ2,CJ3)</f>
        <v>#DIV/0!</v>
      </c>
      <c r="CK1" s="268" t="e">
        <f>SUM(CK2,CK3)</f>
        <v>#DIV/0!</v>
      </c>
      <c r="CL1" s="268" t="e">
        <f>SUM(CL2,CL3)</f>
        <v>#DIV/0!</v>
      </c>
      <c r="CM1" s="268" t="e">
        <f>SUM(CM2,CM3)</f>
        <v>#DIV/0!</v>
      </c>
      <c r="CN1" s="268" t="e">
        <f>SUM(CN2,CN3)</f>
        <v>#DIV/0!</v>
      </c>
      <c r="CO1" s="268" t="e">
        <f>SUM(CO2,CO3)</f>
        <v>#DIV/0!</v>
      </c>
      <c r="CP1" s="268" t="e">
        <f>SUM(CP2,CP3)</f>
        <v>#DIV/0!</v>
      </c>
      <c r="CQ1" s="268" t="e">
        <f>SUM(CQ2,CQ3)</f>
        <v>#DIV/0!</v>
      </c>
      <c r="CR1" s="268" t="e">
        <f>SUM(CR2,CR3)</f>
        <v>#DIV/0!</v>
      </c>
      <c r="CS1" s="268" t="e">
        <f>SUM(CS2,CS3)</f>
        <v>#DIV/0!</v>
      </c>
      <c r="CT1" s="268" t="e">
        <f>SUM(CT2,CT3)</f>
        <v>#DIV/0!</v>
      </c>
      <c r="CU1" s="268" t="e">
        <f>SUM(CU2,CU3)</f>
        <v>#DIV/0!</v>
      </c>
      <c r="CV1" s="268" t="e">
        <f>SUM(CV2,CV3)</f>
        <v>#DIV/0!</v>
      </c>
      <c r="CW1" s="268" t="e">
        <f>SUM(CW2,CW3)</f>
        <v>#DIV/0!</v>
      </c>
      <c r="CX1" s="268" t="e">
        <f>SUM(CX2,CX3)</f>
        <v>#DIV/0!</v>
      </c>
      <c r="CY1" s="268" t="e">
        <f>SUM(CY2,CY3)</f>
        <v>#DIV/0!</v>
      </c>
    </row>
    <row r="2" outlineLevel="1" ht="12.75" customHeight="1" s="255">
      <c r="C2" s="274" t="inlineStr">
        <is>
          <t>BS</t>
        </is>
      </c>
      <c r="D2" s="268">
        <f>ABS(D182-D258)</f>
        <v>0</v>
      </c>
      <c r="E2" s="268">
        <f>ABS(E182-E258)</f>
        <v>0</v>
      </c>
      <c r="F2" s="268">
        <f>ABS(F182-F258)</f>
        <v>0</v>
      </c>
      <c r="G2" s="268">
        <f>ABS(G182-G258)</f>
        <v>0</v>
      </c>
      <c r="H2" s="268">
        <f>ABS(H182-H258)</f>
        <v>0</v>
      </c>
      <c r="I2" s="268">
        <f>ABS(I182-I258)</f>
        <v>0</v>
      </c>
      <c r="J2" s="268">
        <f>ABS(J182-J258)</f>
        <v>0</v>
      </c>
      <c r="K2" s="268">
        <f>ABS(K182-K258)</f>
        <v>0</v>
      </c>
      <c r="L2" s="268">
        <f>ABS(L182-L258)</f>
        <v>0</v>
      </c>
      <c r="M2" s="268">
        <f>ABS(M182-M258)</f>
        <v>0</v>
      </c>
      <c r="N2" s="268">
        <f>ABS(N182-N258)</f>
        <v>0</v>
      </c>
      <c r="O2" s="268">
        <f>ABS(O182-O258)</f>
        <v>0</v>
      </c>
      <c r="P2" s="268">
        <f>ABS(P182-P258)</f>
        <v>0</v>
      </c>
      <c r="Q2" s="268">
        <f>ABS(Q182-Q258)</f>
        <v>0</v>
      </c>
      <c r="R2" s="268">
        <f>ABS(R182-R258)</f>
        <v>0</v>
      </c>
      <c r="S2" s="268">
        <f>ABS(S182-S258)</f>
        <v>0</v>
      </c>
      <c r="T2" s="268">
        <f>ABS(T182-T258)</f>
        <v>0</v>
      </c>
      <c r="U2" s="268">
        <f>ABS(U182-U258)</f>
        <v>0</v>
      </c>
      <c r="V2" s="268">
        <f>ABS(V182-V258)</f>
        <v>0</v>
      </c>
      <c r="W2" s="268">
        <f>ABS(W182-W258)</f>
        <v>0</v>
      </c>
      <c r="X2" s="268">
        <f>ABS(X182-X258)</f>
        <v>0</v>
      </c>
      <c r="Y2" s="268">
        <f>ABS(Y182-Y258)</f>
        <v>0</v>
      </c>
      <c r="Z2" s="268">
        <f>ABS(Z182-Z258)</f>
        <v>0</v>
      </c>
      <c r="AA2" s="268">
        <f>ABS(AA182-AA258)</f>
        <v>0</v>
      </c>
      <c r="AB2" s="268">
        <f>ABS(AB182-AB258)</f>
        <v>0</v>
      </c>
      <c r="AC2" s="268">
        <f>ABS(AC182-AC258)</f>
        <v>0</v>
      </c>
      <c r="AD2" s="268">
        <f>ABS(AD182-AD258)</f>
        <v>0</v>
      </c>
      <c r="AE2" s="268">
        <f>ABS(AE182-AE258)</f>
        <v>0</v>
      </c>
      <c r="AF2" s="268">
        <f>ABS(AF182-AF258)</f>
        <v>0</v>
      </c>
      <c r="AG2" s="268">
        <f>ABS(AG182-AG258)</f>
        <v>0</v>
      </c>
      <c r="AH2" s="268">
        <f>ABS(AH182-AH258)</f>
        <v>0</v>
      </c>
      <c r="AI2" s="268">
        <f>ABS(AI182-AI258)</f>
        <v>0</v>
      </c>
      <c r="AJ2" s="268">
        <f>ABS(AJ182-AJ258)</f>
        <v>0</v>
      </c>
      <c r="AK2" s="268">
        <f>ABS(AK182-AK258)</f>
        <v>0</v>
      </c>
      <c r="AL2" s="268">
        <f>ABS(AL182-AL258)</f>
        <v>0</v>
      </c>
      <c r="AM2" s="268" t="e">
        <f>ABS(AM182-AM258)</f>
        <v>#DIV/0!</v>
      </c>
      <c r="AN2" s="268" t="e">
        <f>ABS(AN182-AN258)</f>
        <v>#DIV/0!</v>
      </c>
      <c r="AO2" s="268" t="e">
        <f>ABS(AO182-AO258)</f>
        <v>#DIV/0!</v>
      </c>
      <c r="AP2" s="268" t="e">
        <f>ABS(AP182-AP258)</f>
        <v>#DIV/0!</v>
      </c>
      <c r="AQ2" s="268" t="e">
        <f>ABS(AQ182-AQ258)</f>
        <v>#DIV/0!</v>
      </c>
      <c r="AR2" s="268" t="e">
        <f>ABS(AR182-AR258)</f>
        <v>#DIV/0!</v>
      </c>
      <c r="AS2" s="268" t="e">
        <f>ABS(AS182-AS258)</f>
        <v>#DIV/0!</v>
      </c>
      <c r="AT2" s="268" t="e">
        <f>ABS(AT182-AT258)</f>
        <v>#DIV/0!</v>
      </c>
      <c r="AU2" s="268" t="e">
        <f>ABS(AU182-AU258)</f>
        <v>#DIV/0!</v>
      </c>
      <c r="AV2" s="268" t="e">
        <f>ABS(AV182-AV258)</f>
        <v>#DIV/0!</v>
      </c>
      <c r="AW2" s="268" t="e">
        <f>ABS(AW182-AW258)</f>
        <v>#DIV/0!</v>
      </c>
      <c r="AX2" s="268" t="e">
        <f>ABS(AX182-AX258)</f>
        <v>#DIV/0!</v>
      </c>
      <c r="AY2" s="268" t="e">
        <f>ABS(AY182-AY258)</f>
        <v>#DIV/0!</v>
      </c>
      <c r="AZ2" s="268" t="e">
        <f>ABS(AZ182-AZ258)</f>
        <v>#DIV/0!</v>
      </c>
      <c r="BA2" s="268" t="e">
        <f>ABS(BA182-BA258)</f>
        <v>#DIV/0!</v>
      </c>
      <c r="BB2" s="268" t="e">
        <f>ABS(BB182-BB258)</f>
        <v>#DIV/0!</v>
      </c>
      <c r="BC2" s="268" t="e">
        <f>ABS(BC182-BC258)</f>
        <v>#DIV/0!</v>
      </c>
      <c r="BD2" s="268" t="e">
        <f>ABS(BD182-BD258)</f>
        <v>#DIV/0!</v>
      </c>
      <c r="BE2" s="268" t="e">
        <f>ABS(BE182-BE258)</f>
        <v>#DIV/0!</v>
      </c>
      <c r="BF2" s="268" t="e">
        <f>ABS(BF182-BF258)</f>
        <v>#DIV/0!</v>
      </c>
      <c r="BG2" s="268" t="e">
        <f>ABS(BG182-BG258)</f>
        <v>#DIV/0!</v>
      </c>
      <c r="BH2" s="268" t="e">
        <f>ABS(BH182-BH258)</f>
        <v>#DIV/0!</v>
      </c>
      <c r="BI2" s="268" t="e">
        <f>ABS(BI182-BI258)</f>
        <v>#DIV/0!</v>
      </c>
      <c r="BJ2" s="268" t="e">
        <f>ABS(BJ182-BJ258)</f>
        <v>#DIV/0!</v>
      </c>
      <c r="BK2" s="268" t="e">
        <f>ABS(BK182-BK258)</f>
        <v>#DIV/0!</v>
      </c>
      <c r="BL2" s="268" t="e">
        <f>ABS(BL182-BL258)</f>
        <v>#DIV/0!</v>
      </c>
      <c r="BM2" s="268" t="e">
        <f>ABS(BM182-BM258)</f>
        <v>#DIV/0!</v>
      </c>
      <c r="BN2" s="268" t="e">
        <f>ABS(BN182-BN258)</f>
        <v>#DIV/0!</v>
      </c>
      <c r="BO2" s="268" t="e">
        <f>ABS(BO182-BO258)</f>
        <v>#DIV/0!</v>
      </c>
      <c r="BP2" s="268" t="e">
        <f>ABS(BP182-BP258)</f>
        <v>#DIV/0!</v>
      </c>
      <c r="BQ2" s="268" t="e">
        <f>ABS(BQ182-BQ258)</f>
        <v>#DIV/0!</v>
      </c>
      <c r="BR2" s="268" t="e">
        <f>ABS(BR182-BR258)</f>
        <v>#DIV/0!</v>
      </c>
      <c r="BS2" s="268" t="e">
        <f>ABS(BS182-BS258)</f>
        <v>#DIV/0!</v>
      </c>
      <c r="BT2" s="268" t="e">
        <f>ABS(BT182-BT258)</f>
        <v>#DIV/0!</v>
      </c>
      <c r="BU2" s="268" t="e">
        <f>ABS(BU182-BU258)</f>
        <v>#DIV/0!</v>
      </c>
      <c r="BV2" s="268" t="e">
        <f>ABS(BV182-BV258)</f>
        <v>#DIV/0!</v>
      </c>
      <c r="BW2" s="268" t="e">
        <f>ABS(BW182-BW258)</f>
        <v>#DIV/0!</v>
      </c>
      <c r="BX2" s="268" t="e">
        <f>ABS(BX182-BX258)</f>
        <v>#DIV/0!</v>
      </c>
      <c r="BY2" s="268" t="e">
        <f>ABS(BY182-BY258)</f>
        <v>#DIV/0!</v>
      </c>
      <c r="BZ2" s="268" t="e">
        <f>ABS(BZ182-BZ258)</f>
        <v>#DIV/0!</v>
      </c>
      <c r="CA2" s="268" t="e">
        <f>ABS(CA182-CA258)</f>
        <v>#DIV/0!</v>
      </c>
      <c r="CB2" s="268" t="e">
        <f>ABS(CB182-CB258)</f>
        <v>#DIV/0!</v>
      </c>
      <c r="CC2" s="268" t="e">
        <f>ABS(CC182-CC258)</f>
        <v>#DIV/0!</v>
      </c>
      <c r="CD2" s="268" t="e">
        <f>ABS(CD182-CD258)</f>
        <v>#DIV/0!</v>
      </c>
      <c r="CE2" s="268" t="e">
        <f>ABS(CE182-CE258)</f>
        <v>#DIV/0!</v>
      </c>
      <c r="CF2" s="268" t="e">
        <f>ABS(CF182-CF258)</f>
        <v>#DIV/0!</v>
      </c>
      <c r="CG2" s="268" t="e">
        <f>ABS(CG182-CG258)</f>
        <v>#DIV/0!</v>
      </c>
      <c r="CH2" s="268" t="e">
        <f>ABS(CH182-CH258)</f>
        <v>#DIV/0!</v>
      </c>
      <c r="CI2" s="268" t="e">
        <f>ABS(CI182-CI258)</f>
        <v>#DIV/0!</v>
      </c>
      <c r="CJ2" s="268" t="e">
        <f>ABS(CJ182-CJ258)</f>
        <v>#DIV/0!</v>
      </c>
      <c r="CK2" s="268" t="e">
        <f>ABS(CK182-CK258)</f>
        <v>#DIV/0!</v>
      </c>
      <c r="CL2" s="268" t="e">
        <f>ABS(CL182-CL258)</f>
        <v>#DIV/0!</v>
      </c>
      <c r="CM2" s="268" t="e">
        <f>ABS(CM182-CM258)</f>
        <v>#DIV/0!</v>
      </c>
      <c r="CN2" s="268" t="e">
        <f>ABS(CN182-CN258)</f>
        <v>#DIV/0!</v>
      </c>
      <c r="CO2" s="268" t="e">
        <f>ABS(CO182-CO258)</f>
        <v>#DIV/0!</v>
      </c>
      <c r="CP2" s="268" t="e">
        <f>ABS(CP182-CP258)</f>
        <v>#DIV/0!</v>
      </c>
      <c r="CQ2" s="268" t="e">
        <f>ABS(CQ182-CQ258)</f>
        <v>#DIV/0!</v>
      </c>
      <c r="CR2" s="268" t="e">
        <f>ABS(CR182-CR258)</f>
        <v>#DIV/0!</v>
      </c>
      <c r="CS2" s="268" t="e">
        <f>ABS(CS182-CS258)</f>
        <v>#DIV/0!</v>
      </c>
      <c r="CT2" s="268" t="e">
        <f>ABS(CT182-CT258)</f>
        <v>#DIV/0!</v>
      </c>
      <c r="CU2" s="268" t="e">
        <f>ABS(CU182-CU258)</f>
        <v>#DIV/0!</v>
      </c>
      <c r="CV2" s="268" t="e">
        <f>ABS(CV182-CV258)</f>
        <v>#DIV/0!</v>
      </c>
      <c r="CW2" s="268" t="e">
        <f>ABS(CW182-CW258)</f>
        <v>#DIV/0!</v>
      </c>
      <c r="CX2" s="268" t="e">
        <f>ABS(CX182-CX258)</f>
        <v>#DIV/0!</v>
      </c>
      <c r="CY2" s="268" t="e">
        <f>ABS(CY182-CY258)</f>
        <v>#DIV/0!</v>
      </c>
    </row>
    <row r="3" outlineLevel="1" ht="12.75" customHeight="1" s="255">
      <c r="C3" s="274" t="inlineStr">
        <is>
          <t>IS</t>
        </is>
      </c>
      <c r="D3" s="268">
        <f>IF(COUNT(D4)=0,"",ABS(D122-D4))</f>
        <v>0</v>
      </c>
      <c r="E3" s="268">
        <f>IF(COUNT(E4)=0,"",ABS(E122-E4))</f>
        <v>0</v>
      </c>
      <c r="F3" s="268">
        <f>IF(COUNT(F4)=0,"",ABS(F122-F4))</f>
        <v>0</v>
      </c>
      <c r="G3" s="268">
        <f>IF(COUNT(G4)=0,"",ABS(G122-G4))</f>
        <v>0</v>
      </c>
      <c r="H3" s="268">
        <f>IF(COUNT(H4)=0,"",ABS(H122-H4))</f>
        <v>0</v>
      </c>
      <c r="I3" s="268">
        <f>IF(COUNT(I4)=0,"",ABS(I122-I4))</f>
        <v>0</v>
      </c>
      <c r="J3" s="268">
        <f>IF(COUNT(J4)=0,"",ABS(J122-J4))</f>
        <v>0</v>
      </c>
      <c r="K3" s="268">
        <f>IF(COUNT(K4)=0,"",ABS(K122-K4))</f>
        <v>0</v>
      </c>
      <c r="L3" s="268">
        <f>IF(COUNT(L4)=0,"",ABS(L122-L4))</f>
        <v>0</v>
      </c>
      <c r="M3" s="268">
        <f>IF(COUNT(M4)=0,"",ABS(M122-M4))</f>
        <v>0</v>
      </c>
      <c r="N3" s="268">
        <f>IF(COUNT(N4)=0,"",ABS(N122-N4))</f>
        <v>0</v>
      </c>
      <c r="O3" s="268">
        <f>IF(COUNT(O4)=0,"",ABS(O122-O4))</f>
        <v>0</v>
      </c>
      <c r="P3" s="268">
        <f>IF(COUNT(P4)=0,"",ABS(P122-P4))</f>
        <v>0</v>
      </c>
      <c r="Q3" s="268">
        <f>IF(COUNT(Q4)=0,"",ABS(Q122-Q4))</f>
        <v>0</v>
      </c>
      <c r="R3" s="268">
        <f>IF(COUNT(R4)=0,"",ABS(R122-R4))</f>
        <v>0</v>
      </c>
      <c r="S3" s="268">
        <f>IF(COUNT(S4)=0,"",ABS(S122-S4))</f>
        <v>0</v>
      </c>
      <c r="T3" s="268">
        <f>IF(COUNT(T4)=0,"",ABS(T122-T4))</f>
        <v>0</v>
      </c>
      <c r="U3" s="268">
        <f>IF(COUNT(U4)=0,"",ABS(U122-U4))</f>
        <v>0</v>
      </c>
      <c r="V3" s="268">
        <f>IF(COUNT(V4)=0,"",ABS(V122-V4))</f>
        <v>0</v>
      </c>
      <c r="W3" s="268">
        <f>IF(COUNT(W4)=0,"",ABS(W122-W4))</f>
        <v>0</v>
      </c>
      <c r="X3" s="268">
        <f>IF(COUNT(X4)=0,"",ABS(X122-X4))</f>
        <v>0</v>
      </c>
      <c r="Y3" s="268">
        <f>IF(COUNT(Y4)=0,"",ABS(Y122-Y4))</f>
        <v>0</v>
      </c>
      <c r="Z3" s="268">
        <f>IF(COUNT(Z4)=0,"",ABS(Z122-Z4))</f>
        <v>0</v>
      </c>
      <c r="AA3" s="268">
        <f>IF(COUNT(AA4)=0,"",ABS(AA122-AA4))</f>
        <v>0</v>
      </c>
      <c r="AB3" s="268">
        <f>IF(COUNT(AB4)=0,"",ABS(AB122-AB4))</f>
        <v>0</v>
      </c>
      <c r="AC3" s="268">
        <f>IF(COUNT(AC4)=0,"",ABS(AC122-AC4))</f>
        <v>0</v>
      </c>
      <c r="AD3" s="268">
        <f>IF(COUNT(AD4)=0,"",ABS(AD122-AD4))</f>
        <v>0</v>
      </c>
      <c r="AE3" s="268">
        <f>IF(COUNT(AE4)=0,"",ABS(AE122-AE4))</f>
        <v>0</v>
      </c>
      <c r="AF3" s="268">
        <f>IF(COUNT(AF4)=0,"",ABS(AF122-AF4))</f>
        <v>0</v>
      </c>
      <c r="AG3" s="268">
        <f>IF(COUNT(AG4)=0,"",ABS(AG122-AG4))</f>
        <v>0</v>
      </c>
      <c r="AH3" s="268">
        <f>IF(COUNT(AH4)=0,"",ABS(AH122-AH4))</f>
        <v>0</v>
      </c>
      <c r="AI3" s="268">
        <f>IF(COUNT(AI4)=0,"",ABS(AI122-AI4))</f>
        <v>0</v>
      </c>
      <c r="AJ3" s="268" t="str">
        <f>IF(COUNT(AJ4)=0,"",ABS(AJ122-AJ4))</f>
        <v/>
      </c>
      <c r="AK3" s="268" t="str">
        <f>IF(COUNT(AK4)=0,"",ABS(AK122-AK4))</f>
        <v/>
      </c>
      <c r="AL3" s="268" t="str">
        <f>IF(COUNT(AL4)=0,"",ABS(AL122-AL4))</f>
        <v/>
      </c>
      <c r="AM3" s="268" t="str">
        <f>IF(COUNT(AM4)=0,"",ABS(AM122-AM4))</f>
        <v/>
      </c>
      <c r="AN3" s="268" t="str">
        <f>IF(COUNT(AN4)=0,"",ABS(AN122-AN4))</f>
        <v/>
      </c>
      <c r="AO3" s="268" t="str">
        <f>IF(COUNT(AO4)=0,"",ABS(AO122-AO4))</f>
        <v/>
      </c>
      <c r="AP3" s="268" t="str">
        <f>IF(COUNT(AP4)=0,"",ABS(AP122-AP4))</f>
        <v/>
      </c>
      <c r="AQ3" s="268" t="str">
        <f>IF(COUNT(AQ4)=0,"",ABS(AQ122-AQ4))</f>
        <v/>
      </c>
      <c r="AR3" s="268" t="str">
        <f>IF(COUNT(AR4)=0,"",ABS(AR122-AR4))</f>
        <v/>
      </c>
      <c r="AS3" s="268" t="str">
        <f>IF(COUNT(AS4)=0,"",ABS(AS122-AS4))</f>
        <v/>
      </c>
      <c r="AT3" s="268" t="str">
        <f>IF(COUNT(AT4)=0,"",ABS(AT122-AT4))</f>
        <v/>
      </c>
      <c r="AU3" s="268" t="str">
        <f>IF(COUNT(AU4)=0,"",ABS(AU122-AU4))</f>
        <v/>
      </c>
      <c r="AV3" s="268" t="str">
        <f>IF(COUNT(AV4)=0,"",ABS(AV122-AV4))</f>
        <v/>
      </c>
      <c r="AW3" s="268" t="str">
        <f>IF(COUNT(AW4)=0,"",ABS(AW122-AW4))</f>
        <v/>
      </c>
      <c r="AX3" s="268" t="str">
        <f>IF(COUNT(AX4)=0,"",ABS(AX122-AX4))</f>
        <v/>
      </c>
      <c r="AY3" s="268" t="str">
        <f>IF(COUNT(AY4)=0,"",ABS(AY122-AY4))</f>
        <v/>
      </c>
      <c r="AZ3" s="268" t="str">
        <f>IF(COUNT(AZ4)=0,"",ABS(AZ122-AZ4))</f>
        <v/>
      </c>
      <c r="BA3" s="268" t="str">
        <f>IF(COUNT(BA4)=0,"",ABS(BA122-BA4))</f>
        <v/>
      </c>
      <c r="BB3" s="268" t="str">
        <f>IF(COUNT(BB4)=0,"",ABS(BB122-BB4))</f>
        <v/>
      </c>
      <c r="BC3" s="268" t="str">
        <f>IF(COUNT(BC4)=0,"",ABS(BC122-BC4))</f>
        <v/>
      </c>
      <c r="BD3" s="268" t="str">
        <f>IF(COUNT(BD4)=0,"",ABS(BD122-BD4))</f>
        <v/>
      </c>
      <c r="BE3" s="268" t="str">
        <f>IF(COUNT(BE4)=0,"",ABS(BE122-BE4))</f>
        <v/>
      </c>
      <c r="BF3" s="268" t="str">
        <f>IF(COUNT(BF4)=0,"",ABS(BF122-BF4))</f>
        <v/>
      </c>
      <c r="BG3" s="268" t="str">
        <f>IF(COUNT(BG4)=0,"",ABS(BG122-BG4))</f>
        <v/>
      </c>
      <c r="BH3" s="268" t="str">
        <f>IF(COUNT(BH4)=0,"",ABS(BH122-BH4))</f>
        <v/>
      </c>
      <c r="BI3" s="268" t="str">
        <f>IF(COUNT(BI4)=0,"",ABS(BI122-BI4))</f>
        <v/>
      </c>
      <c r="BJ3" s="268" t="str">
        <f>IF(COUNT(BJ4)=0,"",ABS(BJ122-BJ4))</f>
        <v/>
      </c>
      <c r="BK3" s="268" t="str">
        <f>IF(COUNT(BK4)=0,"",ABS(BK122-BK4))</f>
        <v/>
      </c>
      <c r="BL3" s="268" t="str">
        <f>IF(COUNT(BL4)=0,"",ABS(BL122-BL4))</f>
        <v/>
      </c>
      <c r="BM3" s="268" t="str">
        <f>IF(COUNT(BM4)=0,"",ABS(BM122-BM4))</f>
        <v/>
      </c>
      <c r="BN3" s="268" t="str">
        <f>IF(COUNT(BN4)=0,"",ABS(BN122-BN4))</f>
        <v/>
      </c>
      <c r="BO3" s="268" t="str">
        <f>IF(COUNT(BO4)=0,"",ABS(BO122-BO4))</f>
        <v/>
      </c>
      <c r="BP3" s="268" t="str">
        <f>IF(COUNT(BP4)=0,"",ABS(BP122-BP4))</f>
        <v/>
      </c>
      <c r="BQ3" s="268" t="str">
        <f>IF(COUNT(BQ4)=0,"",ABS(BQ122-BQ4))</f>
        <v/>
      </c>
      <c r="BR3" s="268" t="str">
        <f>IF(COUNT(BR4)=0,"",ABS(BR122-BR4))</f>
        <v/>
      </c>
      <c r="BS3" s="268" t="str">
        <f>IF(COUNT(BS4)=0,"",ABS(BS122-BS4))</f>
        <v/>
      </c>
      <c r="BT3" s="268" t="str">
        <f>IF(COUNT(BT4)=0,"",ABS(BT122-BT4))</f>
        <v/>
      </c>
      <c r="BU3" s="268" t="str">
        <f>IF(COUNT(BU4)=0,"",ABS(BU122-BU4))</f>
        <v/>
      </c>
      <c r="BV3" s="268" t="str">
        <f>IF(COUNT(BV4)=0,"",ABS(BV122-BV4))</f>
        <v/>
      </c>
      <c r="BW3" s="268" t="str">
        <f>IF(COUNT(BW4)=0,"",ABS(BW122-BW4))</f>
        <v/>
      </c>
      <c r="BX3" s="268" t="str">
        <f>IF(COUNT(BX4)=0,"",ABS(BX122-BX4))</f>
        <v/>
      </c>
      <c r="BY3" s="268" t="str">
        <f>IF(COUNT(BY4)=0,"",ABS(BY122-BY4))</f>
        <v/>
      </c>
      <c r="BZ3" s="268" t="str">
        <f>IF(COUNT(BZ4)=0,"",ABS(BZ122-BZ4))</f>
        <v/>
      </c>
      <c r="CA3" s="268" t="str">
        <f>IF(COUNT(CA4)=0,"",ABS(CA122-CA4))</f>
        <v/>
      </c>
      <c r="CB3" s="268" t="str">
        <f>IF(COUNT(CB4)=0,"",ABS(CB122-CB4))</f>
        <v/>
      </c>
      <c r="CC3" s="268" t="str">
        <f>IF(COUNT(CC4)=0,"",ABS(CC122-CC4))</f>
        <v/>
      </c>
      <c r="CD3" s="268" t="str">
        <f>IF(COUNT(CD4)=0,"",ABS(CD122-CD4))</f>
        <v/>
      </c>
      <c r="CE3" s="268" t="str">
        <f>IF(COUNT(CE4)=0,"",ABS(CE122-CE4))</f>
        <v/>
      </c>
      <c r="CF3" s="268" t="str">
        <f>IF(COUNT(CF4)=0,"",ABS(CF122-CF4))</f>
        <v/>
      </c>
      <c r="CG3" s="268" t="str">
        <f>IF(COUNT(CG4)=0,"",ABS(CG122-CG4))</f>
        <v/>
      </c>
      <c r="CH3" s="268" t="str">
        <f>IF(COUNT(CH4)=0,"",ABS(CH122-CH4))</f>
        <v/>
      </c>
      <c r="CI3" s="268" t="str">
        <f>IF(COUNT(CI4)=0,"",ABS(CI122-CI4))</f>
        <v/>
      </c>
      <c r="CJ3" s="268" t="str">
        <f>IF(COUNT(CJ4)=0,"",ABS(CJ122-CJ4))</f>
        <v/>
      </c>
      <c r="CK3" s="268" t="str">
        <f>IF(COUNT(CK4)=0,"",ABS(CK122-CK4))</f>
        <v/>
      </c>
      <c r="CL3" s="268" t="str">
        <f>IF(COUNT(CL4)=0,"",ABS(CL122-CL4))</f>
        <v/>
      </c>
      <c r="CM3" s="268" t="str">
        <f>IF(COUNT(CM4)=0,"",ABS(CM122-CM4))</f>
        <v/>
      </c>
      <c r="CN3" s="268" t="str">
        <f>IF(COUNT(CN4)=0,"",ABS(CN122-CN4))</f>
        <v/>
      </c>
      <c r="CO3" s="268" t="str">
        <f>IF(COUNT(CO4)=0,"",ABS(CO122-CO4))</f>
        <v/>
      </c>
      <c r="CP3" s="268" t="str">
        <f>IF(COUNT(CP4)=0,"",ABS(CP122-CP4))</f>
        <v/>
      </c>
      <c r="CQ3" s="268" t="str">
        <f>IF(COUNT(CQ4)=0,"",ABS(CQ122-CQ4))</f>
        <v/>
      </c>
      <c r="CR3" s="268" t="str">
        <f>IF(COUNT(CR4)=0,"",ABS(CR122-CR4))</f>
        <v/>
      </c>
      <c r="CS3" s="268" t="str">
        <f>IF(COUNT(CS4)=0,"",ABS(CS122-CS4))</f>
        <v/>
      </c>
      <c r="CT3" s="268" t="str">
        <f>IF(COUNT(CT4)=0,"",ABS(CT122-CT4))</f>
        <v/>
      </c>
      <c r="CU3" s="268" t="str">
        <f>IF(COUNT(CU4)=0,"",ABS(CU122-CU4))</f>
        <v/>
      </c>
      <c r="CV3" s="268" t="str">
        <f>IF(COUNT(CV4)=0,"",ABS(CV122-CV4))</f>
        <v/>
      </c>
      <c r="CW3" s="268" t="str">
        <f>IF(COUNT(CW4)=0,"",ABS(CW122-CW4))</f>
        <v/>
      </c>
      <c r="CX3" s="268" t="str">
        <f>IF(COUNT(CX4)=0,"",ABS(CX122-CX4))</f>
        <v/>
      </c>
      <c r="CY3" s="268" t="str">
        <f>IF(COUNT(CY4)=0,"",ABS(CY122-CY4))</f>
        <v/>
      </c>
    </row>
    <row r="4" outlineLevel="1" ht="12.75" customHeight="1" s="255">
      <c r="C4" s="275" t="inlineStr">
        <is>
          <t>Net Income reportado (lucro liquido) - base do check IS</t>
        </is>
      </c>
      <c r="D4" s="276">
        <f>INDEX('Inputs (2)'!$D$50:$AL$50,MATCH(D$7,'Inputs (2)'!$D$2:$AL$2,0))</f>
        <v>931</v>
      </c>
      <c r="E4" s="276">
        <f>INDEX('Inputs (2)'!$D$50:$AL$50,MATCH(E$7,'Inputs (2)'!$D$2:$AL$2,0))</f>
        <v>838</v>
      </c>
      <c r="F4" s="276">
        <f>INDEX('Inputs (2)'!$D$50:$AL$50,MATCH(F$7,'Inputs (2)'!$D$2:$AL$2,0))</f>
        <v>1389</v>
      </c>
      <c r="G4" s="276">
        <f>INDEX('Inputs (2)'!$D$50:$AL$50,MATCH(G$7,'Inputs (2)'!$D$2:$AL$2,0))</f>
        <v>1166</v>
      </c>
      <c r="H4" s="276">
        <f>IF(COUNT(D4:G4)=4,SUM(D4:G4),"")</f>
        <v>4324</v>
      </c>
      <c r="I4" s="276">
        <f>INDEX('Inputs (2)'!$D$50:$AL$50,MATCH(I$7,'Inputs (2)'!$D$2:$AL$2,0))</f>
        <v>951</v>
      </c>
      <c r="J4" s="276">
        <f>INDEX('Inputs (2)'!$D$50:$AL$50,MATCH(J$7,'Inputs (2)'!$D$2:$AL$2,0))</f>
        <v>1220</v>
      </c>
      <c r="K4" s="276">
        <f>INDEX('Inputs (2)'!$D$50:$AL$50,MATCH(K$7,'Inputs (2)'!$D$2:$AL$2,0))</f>
        <v>1670</v>
      </c>
      <c r="L4" s="276">
        <f>INDEX('Inputs (2)'!$D$50:$AL$50,MATCH(L$7,'Inputs (2)'!$D$2:$AL$2,0))</f>
        <v>1324</v>
      </c>
      <c r="M4" s="276">
        <f>IF(COUNT(I4:L4)=4,SUM(I4:L4),"")</f>
        <v>5165</v>
      </c>
      <c r="N4" s="276">
        <f>INDEX('Inputs (2)'!$D$50:$AL$50,MATCH(N$7,'Inputs (2)'!$D$2:$AL$2,0))</f>
        <v>1299</v>
      </c>
      <c r="O4" s="276">
        <f>INDEX('Inputs (2)'!$D$50:$AL$50,MATCH(O$7,'Inputs (2)'!$D$2:$AL$2,0))</f>
        <v>1353</v>
      </c>
      <c r="P4" s="276">
        <f>INDEX('Inputs (2)'!$D$50:$AL$50,MATCH(P$7,'Inputs (2)'!$D$2:$AL$2,0))</f>
        <v>1868</v>
      </c>
      <c r="Q4" s="276">
        <f>INDEX('Inputs (2)'!$D$50:$AL$50,MATCH(Q$7,'Inputs (2)'!$D$2:$AL$2,0))</f>
        <v>1364</v>
      </c>
      <c r="R4" s="276">
        <f>IF(COUNT(N4:Q4)=4,SUM(N4:Q4),"")</f>
        <v>5884</v>
      </c>
      <c r="S4" s="276">
        <f>INDEX('Inputs (2)'!$D$50:$AL$50,MATCH(S$7,'Inputs (2)'!$D$2:$AL$2,0))</f>
        <v>1466</v>
      </c>
      <c r="T4" s="276">
        <f>INDEX('Inputs (2)'!$D$50:$AL$50,MATCH(T$7,'Inputs (2)'!$D$2:$AL$2,0))</f>
        <v>1302</v>
      </c>
      <c r="U4" s="276">
        <f>INDEX('Inputs (2)'!$D$50:$AL$50,MATCH(U$7,'Inputs (2)'!$D$2:$AL$2,0))</f>
        <v>2160</v>
      </c>
      <c r="V4" s="276">
        <f>INDEX('Inputs (2)'!$D$50:$AL$50,MATCH(V$7,'Inputs (2)'!$D$2:$AL$2,0))</f>
        <v>1589</v>
      </c>
      <c r="W4" s="276">
        <f>IF(COUNT(S4:V4)=4,SUM(S4:V4),"")</f>
        <v>6517</v>
      </c>
      <c r="X4" s="276">
        <f>INDEX('Inputs (2)'!$D$50:$AL$50,MATCH(X$7,'Inputs (2)'!$D$2:$AL$2,0))</f>
        <v>1743</v>
      </c>
      <c r="Y4" s="276">
        <f>INDEX('Inputs (2)'!$D$50:$AL$50,MATCH(Y$7,'Inputs (2)'!$D$2:$AL$2,0))</f>
        <v>1681</v>
      </c>
      <c r="Z4" s="276">
        <f>INDEX('Inputs (2)'!$D$50:$AL$50,MATCH(Z$7,'Inputs (2)'!$D$2:$AL$2,0))</f>
        <v>2354</v>
      </c>
      <c r="AA4" s="276">
        <f>INDEX('Inputs (2)'!$D$50:$AL$50,MATCH(AA$7,'Inputs (2)'!$D$2:$AL$2,0))</f>
        <v>1798</v>
      </c>
      <c r="AB4" s="276">
        <f>IF(COUNT(X4:AA4)=4,SUM(X4:AA4),"")</f>
        <v>7576</v>
      </c>
      <c r="AC4" s="276">
        <f>INDEX('Inputs (2)'!$D$50:$AL$50,MATCH(AC$7,'Inputs (2)'!$D$2:$AL$2,0))</f>
        <v>1788</v>
      </c>
      <c r="AD4" s="276">
        <f>INDEX('Inputs (2)'!$D$50:$AL$50,MATCH(AD$7,'Inputs (2)'!$D$2:$AL$2,0))</f>
        <v>1903</v>
      </c>
      <c r="AE4" s="276">
        <f>INDEX('Inputs (2)'!$D$50:$AL$50,MATCH(AE$7,'Inputs (2)'!$D$2:$AL$2,0))</f>
        <v>2610</v>
      </c>
      <c r="AF4" s="276">
        <f>INDEX('Inputs (2)'!$D$50:$AL$50,MATCH(AF$7,'Inputs (2)'!$D$2:$AL$2,0))</f>
        <v>2001</v>
      </c>
      <c r="AG4" s="276">
        <f>IF(COUNT(AC4:AF4)=4,SUM(AC4:AF4),"")</f>
        <v>8302</v>
      </c>
      <c r="AH4" s="267">
        <f>INDEX('Inputs (2)'!$D$50:$AL$50,MATCH(AH$7,'Inputs (2)'!$D$2:$AL$2,0))</f>
        <v>2035</v>
      </c>
      <c r="AI4" s="267">
        <f>INDEX('Inputs (2)'!$D$50:$AL$50,MATCH(AI$7,'Inputs (2)'!$D$2:$AL$2,0))</f>
        <v>2192</v>
      </c>
      <c r="AJ4" s="267" t="n"/>
      <c r="AK4" s="267" t="n"/>
      <c r="AL4" s="267" t="n"/>
      <c r="AM4" s="267" t="n"/>
      <c r="AN4" s="267" t="n"/>
      <c r="AO4" s="267" t="n"/>
      <c r="AP4" s="267" t="n"/>
      <c r="AQ4" s="267" t="n"/>
      <c r="AR4" s="267" t="n"/>
      <c r="AS4" s="267" t="n"/>
      <c r="AT4" s="267" t="n"/>
      <c r="AU4" s="267" t="n"/>
      <c r="AV4" s="267" t="n"/>
      <c r="AW4" s="267" t="n"/>
      <c r="AX4" s="267" t="n"/>
      <c r="AY4" s="267" t="n"/>
      <c r="AZ4" s="267" t="n"/>
      <c r="BA4" s="267" t="n"/>
      <c r="BB4" s="267" t="n"/>
      <c r="BC4" s="267" t="n"/>
      <c r="BD4" s="267" t="n"/>
      <c r="BE4" s="267" t="n"/>
      <c r="BF4" s="267" t="n"/>
      <c r="BG4" s="267" t="n"/>
      <c r="BH4" s="267" t="n"/>
      <c r="BI4" s="267" t="n"/>
      <c r="BJ4" s="267" t="n"/>
      <c r="BK4" s="267" t="n"/>
      <c r="BL4" s="267" t="n"/>
      <c r="BM4" s="267" t="n"/>
      <c r="BN4" s="267" t="n"/>
      <c r="BO4" s="267" t="n"/>
      <c r="BP4" s="267" t="n"/>
      <c r="BQ4" s="267" t="n"/>
      <c r="BR4" s="267" t="n"/>
      <c r="BS4" s="267" t="n"/>
      <c r="BT4" s="267" t="n"/>
      <c r="BU4" s="267" t="n"/>
      <c r="BV4" s="267" t="n"/>
      <c r="BW4" s="267" t="n"/>
      <c r="BX4" s="267" t="n"/>
      <c r="BY4" s="267" t="n"/>
      <c r="BZ4" s="267" t="n"/>
      <c r="CA4" s="267" t="n"/>
      <c r="CB4" s="267" t="n"/>
      <c r="CC4" s="267" t="n"/>
      <c r="CD4" s="267" t="n"/>
      <c r="CE4" s="267" t="n"/>
      <c r="CF4" s="267" t="n"/>
      <c r="CG4" s="267" t="n"/>
      <c r="CH4" s="267" t="n"/>
      <c r="CI4" s="267" t="n"/>
      <c r="CJ4" s="267" t="n"/>
      <c r="CK4" s="267" t="n"/>
      <c r="CL4" s="267" t="n"/>
      <c r="CM4" s="267" t="n"/>
      <c r="CN4" s="267" t="n"/>
      <c r="CO4" s="267" t="n"/>
      <c r="CP4" s="267" t="n"/>
      <c r="CQ4" s="267" t="n"/>
      <c r="CR4" s="267" t="n"/>
      <c r="CS4" s="267" t="n"/>
      <c r="CT4" s="267" t="n"/>
      <c r="CU4" s="267" t="n"/>
      <c r="CV4" s="267" t="n"/>
      <c r="CW4" s="267" t="n"/>
      <c r="CX4" s="267" t="n"/>
      <c r="CY4" s="267" t="n"/>
    </row>
    <row r="5" ht="12.75" customHeight="1" s="255">
      <c r="B5" s="277" t="n">
        <v>45930</v>
      </c>
      <c r="D5" s="278" t="n">
        <v>43921</v>
      </c>
      <c r="E5" s="279">
        <f>DATE(YEAR(D5),MONTH(D5)+3,DAY(D5)-1)</f>
        <v>44012.0</v>
      </c>
      <c r="F5" s="279">
        <f>DATE(YEAR(E5),MONTH(E5)+3,DAY(E5))</f>
        <v>44104.0</v>
      </c>
      <c r="G5" s="279">
        <f>DATE(YEAR(F5),MONTH(F5)+3,DAY(F5)+1)</f>
        <v>44196.0</v>
      </c>
      <c r="H5" s="280">
        <f>G5</f>
        <v>44196.0</v>
      </c>
      <c r="I5" s="278" t="n">
        <v>44286</v>
      </c>
      <c r="J5" s="279">
        <f>DATE(YEAR(I5),MONTH(I5)+3,DAY(I5)-1)</f>
        <v>44377.0</v>
      </c>
      <c r="K5" s="279">
        <f>DATE(YEAR(J5),MONTH(J5)+3,DAY(J5))</f>
        <v>44469.0</v>
      </c>
      <c r="L5" s="279">
        <f>DATE(YEAR(K5),MONTH(K5)+3,DAY(K5)+1)</f>
        <v>44561.0</v>
      </c>
      <c r="M5" s="280">
        <f>L5</f>
        <v>44561.0</v>
      </c>
      <c r="N5" s="279">
        <f>DATE(YEAR(M5),MONTH(M5)+3,DAY(M5))</f>
        <v>44651.0</v>
      </c>
      <c r="O5" s="279">
        <f>DATE(YEAR(N5),MONTH(N5)+3,DAY(N5)-1)</f>
        <v>44742.0</v>
      </c>
      <c r="P5" s="279">
        <f>DATE(YEAR(O5),MONTH(O5)+3,DAY(O5))</f>
        <v>44834.0</v>
      </c>
      <c r="Q5" s="279">
        <f>DATE(YEAR(P5),MONTH(P5)+3,DAY(P5)+1)</f>
        <v>44926.0</v>
      </c>
      <c r="R5" s="280">
        <f>Q5</f>
        <v>44926.0</v>
      </c>
      <c r="S5" s="279">
        <f>DATE(YEAR(R5),MONTH(R5)+3,DAY(R5))</f>
        <v>45016.0</v>
      </c>
      <c r="T5" s="279">
        <f>DATE(YEAR(S5),MONTH(S5)+3,DAY(S5))-1</f>
        <v>45107.0</v>
      </c>
      <c r="U5" s="279">
        <f>DATE(YEAR(T5),MONTH(T5)+3,DAY(T5))</f>
        <v>45199.0</v>
      </c>
      <c r="V5" s="279">
        <f>DATE(YEAR(U5),MONTH(U5)+3,DAY(U5))+1</f>
        <v>45291.0</v>
      </c>
      <c r="W5" s="280">
        <f>V5</f>
        <v>45291.0</v>
      </c>
      <c r="X5" s="279">
        <f>DATE(YEAR(W5),MONTH(W5)+3,DAY(W5))</f>
        <v>45382.0</v>
      </c>
      <c r="Y5" s="279">
        <f>DATE(YEAR(X5),MONTH(X5)+3,DAY(X5))-1</f>
        <v>45473.0</v>
      </c>
      <c r="Z5" s="279">
        <f>DATE(YEAR(Y5),MONTH(Y5)+3,DAY(Y5))</f>
        <v>45565.0</v>
      </c>
      <c r="AA5" s="279">
        <f>DATE(YEAR(Z5),MONTH(Z5)+3,DAY(Z5))+1</f>
        <v>45657.0</v>
      </c>
      <c r="AB5" s="280">
        <f>AA5</f>
        <v>45657.0</v>
      </c>
      <c r="AC5" s="279">
        <f>DATE(YEAR(AB5),MONTH(AB5)+3,DAY(AB5))</f>
        <v>45747.0</v>
      </c>
      <c r="AD5" s="279">
        <f>DATE(YEAR(AC5),MONTH(AC5)+3,DAY(AC5))-1</f>
        <v>45838.0</v>
      </c>
      <c r="AE5" s="279">
        <f>DATE(YEAR(AD5),MONTH(AD5)+3,DAY(AD5))</f>
        <v>45930.0</v>
      </c>
      <c r="AF5" s="279">
        <f>DATE(YEAR(AE5),MONTH(AE5)+3,DAY(AE5))+1</f>
        <v>46022.0</v>
      </c>
      <c r="AG5" s="280">
        <f>AF5</f>
        <v>46022.0</v>
      </c>
      <c r="AH5" s="279">
        <f>DATE(YEAR(AG5),MONTH(AG5)+3,DAY(AG5))</f>
        <v>46112.0</v>
      </c>
      <c r="AI5" s="279">
        <f>DATE(YEAR(AH5),MONTH(AH5)+3,DAY(AH5))-1</f>
        <v>46203.0</v>
      </c>
      <c r="AJ5" s="279">
        <f>DATE(YEAR(AI5),MONTH(AI5)+3,DAY(AI5))</f>
        <v>46295.0</v>
      </c>
      <c r="AK5" s="279">
        <f>DATE(YEAR(AJ5),MONTH(AJ5)+3,DAY(AJ5))+1</f>
        <v>46387.0</v>
      </c>
      <c r="AL5" s="280">
        <f>AK5</f>
        <v>46387.0</v>
      </c>
      <c r="AM5" s="279">
        <f>DATE(YEAR(AL5),MONTH(AL5)+3,DAY(AL5))</f>
        <v>46477.0</v>
      </c>
      <c r="AN5" s="279">
        <f>DATE(YEAR(AM5),MONTH(AM5)+3,DAY(AM5))-1</f>
        <v>46568.0</v>
      </c>
      <c r="AO5" s="279">
        <f>DATE(YEAR(AN5),MONTH(AN5)+3,DAY(AN5))</f>
        <v>46660.0</v>
      </c>
      <c r="AP5" s="279">
        <f>DATE(YEAR(AO5),MONTH(AO5)+3,DAY(AO5))+1</f>
        <v>46752.0</v>
      </c>
      <c r="AQ5" s="280">
        <f>AP5</f>
        <v>46752.0</v>
      </c>
      <c r="AR5" s="279">
        <f>DATE(YEAR(AQ5),MONTH(AQ5)+3,DAY(AQ5))</f>
        <v>46843.0</v>
      </c>
      <c r="AS5" s="279">
        <f>DATE(YEAR(AR5),MONTH(AR5)+3,DAY(AR5))-1</f>
        <v>46934.0</v>
      </c>
      <c r="AT5" s="279">
        <f>DATE(YEAR(AS5),MONTH(AS5)+3,DAY(AS5))</f>
        <v>47026.0</v>
      </c>
      <c r="AU5" s="279">
        <f>DATE(YEAR(AT5),MONTH(AT5)+3,DAY(AT5))+1</f>
        <v>47118.0</v>
      </c>
      <c r="AV5" s="280">
        <f>AU5</f>
        <v>47118.0</v>
      </c>
      <c r="AW5" s="279">
        <f>DATE(YEAR(AV5),MONTH(AV5)+3,DAY(AV5))</f>
        <v>47208.0</v>
      </c>
      <c r="AX5" s="279">
        <f>DATE(YEAR(AW5),MONTH(AW5)+3,DAY(AW5))-1</f>
        <v>47299.0</v>
      </c>
      <c r="AY5" s="279">
        <f>DATE(YEAR(AX5),MONTH(AX5)+3,DAY(AX5))</f>
        <v>47391.0</v>
      </c>
      <c r="AZ5" s="279">
        <f>DATE(YEAR(AY5),MONTH(AY5)+3,DAY(AY5))+1</f>
        <v>47483.0</v>
      </c>
      <c r="BA5" s="280">
        <f>AZ5</f>
        <v>47483.0</v>
      </c>
      <c r="BB5" s="279">
        <f>DATE(YEAR(BA5),MONTH(BA5)+3,DAY(BA5))</f>
        <v>47573.0</v>
      </c>
      <c r="BC5" s="279">
        <f>DATE(YEAR(BB5),MONTH(BB5)+3,DAY(BB5))-1</f>
        <v>47664.0</v>
      </c>
      <c r="BD5" s="279">
        <f>DATE(YEAR(BC5),MONTH(BC5)+3,DAY(BC5))</f>
        <v>47756.0</v>
      </c>
      <c r="BE5" s="279">
        <f>DATE(YEAR(BD5),MONTH(BD5)+3,DAY(BD5))+1</f>
        <v>47848.0</v>
      </c>
      <c r="BF5" s="280">
        <f>BE5</f>
        <v>47848.0</v>
      </c>
      <c r="BG5" s="279">
        <f>DATE(YEAR(BF5),MONTH(BF5)+3,DAY(BF5))</f>
        <v>47938.0</v>
      </c>
      <c r="BH5" s="279">
        <f>DATE(YEAR(BG5),MONTH(BG5)+3,DAY(BG5))-1</f>
        <v>48029.0</v>
      </c>
      <c r="BI5" s="279">
        <f>DATE(YEAR(BH5),MONTH(BH5)+3,DAY(BH5))</f>
        <v>48121.0</v>
      </c>
      <c r="BJ5" s="279">
        <f>DATE(YEAR(BI5),MONTH(BI5)+3,DAY(BI5))+1</f>
        <v>48213.0</v>
      </c>
      <c r="BK5" s="280">
        <f>BJ5</f>
        <v>48213.0</v>
      </c>
      <c r="BL5" s="279">
        <f>DATE(YEAR(BK5),MONTH(BK5)+3,DAY(BK5))</f>
        <v>48304.0</v>
      </c>
      <c r="BM5" s="279">
        <f>DATE(YEAR(BL5),MONTH(BL5)+3,DAY(BL5))-1</f>
        <v>48395.0</v>
      </c>
      <c r="BN5" s="279">
        <f>DATE(YEAR(BM5),MONTH(BM5)+3,DAY(BM5))</f>
        <v>48487.0</v>
      </c>
      <c r="BO5" s="279">
        <f>DATE(YEAR(BN5),MONTH(BN5)+3,DAY(BN5))+1</f>
        <v>48579.0</v>
      </c>
      <c r="BP5" s="280">
        <f>BO5</f>
        <v>48579.0</v>
      </c>
      <c r="BQ5" s="279">
        <f>DATE(YEAR(BP5),MONTH(BP5)+3,DAY(BP5))</f>
        <v>48669.0</v>
      </c>
      <c r="BR5" s="279">
        <f>DATE(YEAR(BQ5),MONTH(BQ5)+3,DAY(BQ5))-1</f>
        <v>48760.0</v>
      </c>
      <c r="BS5" s="279">
        <f>DATE(YEAR(BR5),MONTH(BR5)+3,DAY(BR5))</f>
        <v>48852.0</v>
      </c>
      <c r="BT5" s="279">
        <f>DATE(YEAR(BS5),MONTH(BS5)+3,DAY(BS5))+1</f>
        <v>48944.0</v>
      </c>
      <c r="BU5" s="280">
        <f>BT5</f>
        <v>48944.0</v>
      </c>
      <c r="BV5" s="279">
        <f>DATE(YEAR(BU5),MONTH(BU5)+3,DAY(BU5))</f>
        <v>49034.0</v>
      </c>
      <c r="BW5" s="279">
        <f>DATE(YEAR(BV5),MONTH(BV5)+3,DAY(BV5))-1</f>
        <v>49125.0</v>
      </c>
      <c r="BX5" s="279">
        <f>DATE(YEAR(BW5),MONTH(BW5)+3,DAY(BW5))</f>
        <v>49217.0</v>
      </c>
      <c r="BY5" s="279">
        <f>DATE(YEAR(BX5),MONTH(BX5)+3,DAY(BX5))+1</f>
        <v>49309.0</v>
      </c>
      <c r="BZ5" s="280">
        <f>BY5</f>
        <v>49309.0</v>
      </c>
      <c r="CA5" s="279">
        <f>DATE(YEAR(BZ5),MONTH(BZ5)+3,DAY(BZ5))</f>
        <v>49399.0</v>
      </c>
      <c r="CB5" s="279">
        <f>DATE(YEAR(CA5),MONTH(CA5)+3,DAY(CA5))-1</f>
        <v>49490.0</v>
      </c>
      <c r="CC5" s="279">
        <f>DATE(YEAR(CB5),MONTH(CB5)+3,DAY(CB5))</f>
        <v>49582.0</v>
      </c>
      <c r="CD5" s="279">
        <f>DATE(YEAR(CC5),MONTH(CC5)+3,DAY(CC5))+1</f>
        <v>49674.0</v>
      </c>
      <c r="CE5" s="280">
        <f>CD5</f>
        <v>49674.0</v>
      </c>
      <c r="CF5" s="279">
        <f>DATE(YEAR(CE5),MONTH(CE5)+3,DAY(CE5))</f>
        <v>49765.0</v>
      </c>
      <c r="CG5" s="279">
        <f>DATE(YEAR(CF5),MONTH(CF5)+3,DAY(CF5))-1</f>
        <v>49856.0</v>
      </c>
      <c r="CH5" s="279">
        <f>DATE(YEAR(CG5),MONTH(CG5)+3,DAY(CG5))</f>
        <v>49948.0</v>
      </c>
      <c r="CI5" s="279">
        <f>DATE(YEAR(CH5),MONTH(CH5)+3,DAY(CH5))+1</f>
        <v>50040.0</v>
      </c>
      <c r="CJ5" s="280">
        <f>CI5</f>
        <v>50040.0</v>
      </c>
      <c r="CK5" s="279">
        <f>DATE(YEAR(CJ5),MONTH(CJ5)+3,DAY(CJ5))</f>
        <v>50130.0</v>
      </c>
      <c r="CL5" s="279">
        <f>DATE(YEAR(CK5),MONTH(CK5)+3,DAY(CK5))-1</f>
        <v>50221.0</v>
      </c>
      <c r="CM5" s="279">
        <f>DATE(YEAR(CL5),MONTH(CL5)+3,DAY(CL5))</f>
        <v>50313.0</v>
      </c>
      <c r="CN5" s="279">
        <f>DATE(YEAR(CM5),MONTH(CM5)+3,DAY(CM5))+1</f>
        <v>50405.0</v>
      </c>
      <c r="CO5" s="280">
        <f>CN5</f>
        <v>50405.0</v>
      </c>
      <c r="CP5" s="279">
        <f>DATE(YEAR(CO5),MONTH(CO5)+3,DAY(CO5))</f>
        <v>50495.0</v>
      </c>
      <c r="CQ5" s="279">
        <f>DATE(YEAR(CP5),MONTH(CP5)+3,DAY(CP5))-1</f>
        <v>50586.0</v>
      </c>
      <c r="CR5" s="279">
        <f>DATE(YEAR(CQ5),MONTH(CQ5)+3,DAY(CQ5))</f>
        <v>50678.0</v>
      </c>
      <c r="CS5" s="279">
        <f>DATE(YEAR(CR5),MONTH(CR5)+3,DAY(CR5))+1</f>
        <v>50770.0</v>
      </c>
      <c r="CT5" s="280">
        <f>CS5</f>
        <v>50770.0</v>
      </c>
      <c r="CU5" s="279">
        <f>DATE(YEAR(CT5),MONTH(CT5)+3,DAY(CT5))</f>
        <v>50860.0</v>
      </c>
      <c r="CV5" s="279">
        <f>DATE(YEAR(CU5),MONTH(CU5)+3,DAY(CU5))-1</f>
        <v>50951.0</v>
      </c>
      <c r="CW5" s="279">
        <f>DATE(YEAR(CV5),MONTH(CV5)+3,DAY(CV5))</f>
        <v>51043.0</v>
      </c>
      <c r="CX5" s="279">
        <f>DATE(YEAR(CW5),MONTH(CW5)+3,DAY(CW5))+1</f>
        <v>51135.0</v>
      </c>
      <c r="CY5" s="280">
        <f>CX5</f>
        <v>51135.0</v>
      </c>
    </row>
    <row r="6" ht="12.75" customHeight="1" s="255">
      <c r="B6" s="281" t="n"/>
      <c r="D6" s="282">
        <f>YEAR(D5)</f>
        <v>2020</v>
      </c>
      <c r="E6" s="282">
        <f>YEAR(E5)</f>
        <v>2020</v>
      </c>
      <c r="F6" s="282">
        <f>YEAR(F5)</f>
        <v>2020</v>
      </c>
      <c r="G6" s="282">
        <f>YEAR(G5)</f>
        <v>2020</v>
      </c>
      <c r="H6" s="282">
        <f>YEAR(H5)</f>
        <v>2020</v>
      </c>
      <c r="I6" s="282">
        <f>YEAR(I5)</f>
        <v>2021</v>
      </c>
      <c r="J6" s="282">
        <f>YEAR(J5)</f>
        <v>2021</v>
      </c>
      <c r="K6" s="282">
        <f>YEAR(K5)</f>
        <v>2021</v>
      </c>
      <c r="L6" s="282">
        <f>YEAR(L5)</f>
        <v>2021</v>
      </c>
      <c r="M6" s="282">
        <f>YEAR(M5)</f>
        <v>2021</v>
      </c>
      <c r="N6" s="282">
        <f>YEAR(N5)</f>
        <v>2022</v>
      </c>
      <c r="O6" s="282">
        <f>YEAR(O5)</f>
        <v>2022</v>
      </c>
      <c r="P6" s="282">
        <f>YEAR(P5)</f>
        <v>2022</v>
      </c>
      <c r="Q6" s="282">
        <f>YEAR(Q5)</f>
        <v>2022</v>
      </c>
      <c r="R6" s="282">
        <f>YEAR(R5)</f>
        <v>2022</v>
      </c>
      <c r="S6" s="282">
        <f>YEAR(S5)</f>
        <v>2023</v>
      </c>
      <c r="T6" s="282">
        <f>YEAR(T5)</f>
        <v>2023</v>
      </c>
      <c r="U6" s="282">
        <f>YEAR(U5)</f>
        <v>2023</v>
      </c>
      <c r="V6" s="282">
        <f>YEAR(V5)</f>
        <v>2023</v>
      </c>
      <c r="W6" s="282">
        <f>YEAR(W5)</f>
        <v>2023</v>
      </c>
      <c r="X6" s="282">
        <f>YEAR(X5)</f>
        <v>2024</v>
      </c>
      <c r="Y6" s="282">
        <f>YEAR(Y5)</f>
        <v>2024</v>
      </c>
      <c r="Z6" s="282">
        <f>YEAR(Z5)</f>
        <v>2024</v>
      </c>
      <c r="AA6" s="282">
        <f>YEAR(AA5)</f>
        <v>2024</v>
      </c>
      <c r="AB6" s="282">
        <f>YEAR(AB5)</f>
        <v>2024</v>
      </c>
      <c r="AC6" s="282">
        <f>YEAR(AC5)</f>
        <v>2025</v>
      </c>
      <c r="AD6" s="282">
        <f>YEAR(AD5)</f>
        <v>2025</v>
      </c>
      <c r="AE6" s="282">
        <f>YEAR(AE5)</f>
        <v>2025</v>
      </c>
      <c r="AF6" s="282">
        <f>YEAR(AF5)</f>
        <v>2025</v>
      </c>
      <c r="AG6" s="282">
        <f>YEAR(AG5)</f>
        <v>2025</v>
      </c>
      <c r="AH6" s="282">
        <f>YEAR(AH5)</f>
        <v>2026</v>
      </c>
      <c r="AI6" s="282">
        <f>YEAR(AI5)</f>
        <v>2026</v>
      </c>
      <c r="AJ6" s="282">
        <f>YEAR(AJ5)</f>
        <v>2026</v>
      </c>
      <c r="AK6" s="282">
        <f>YEAR(AK5)</f>
        <v>2026</v>
      </c>
      <c r="AL6" s="282">
        <f>YEAR(AL5)</f>
        <v>2026</v>
      </c>
      <c r="AM6" s="282">
        <f>YEAR(AM5)</f>
        <v>2027</v>
      </c>
      <c r="AN6" s="282">
        <f>YEAR(AN5)</f>
        <v>2027</v>
      </c>
      <c r="AO6" s="282">
        <f>YEAR(AO5)</f>
        <v>2027</v>
      </c>
      <c r="AP6" s="282">
        <f>YEAR(AP5)</f>
        <v>2027</v>
      </c>
      <c r="AQ6" s="282">
        <f>YEAR(AQ5)</f>
        <v>2027</v>
      </c>
      <c r="AR6" s="282">
        <f>YEAR(AR5)</f>
        <v>2028</v>
      </c>
      <c r="AS6" s="282">
        <f>YEAR(AS5)</f>
        <v>2028</v>
      </c>
      <c r="AT6" s="282">
        <f>YEAR(AT5)</f>
        <v>2028</v>
      </c>
      <c r="AU6" s="282">
        <f>YEAR(AU5)</f>
        <v>2028</v>
      </c>
      <c r="AV6" s="282">
        <f>YEAR(AV5)</f>
        <v>2028</v>
      </c>
      <c r="AW6" s="282">
        <f>YEAR(AW5)</f>
        <v>2029</v>
      </c>
      <c r="AX6" s="282">
        <f>YEAR(AX5)</f>
        <v>2029</v>
      </c>
      <c r="AY6" s="282">
        <f>YEAR(AY5)</f>
        <v>2029</v>
      </c>
      <c r="AZ6" s="282">
        <f>YEAR(AZ5)</f>
        <v>2029</v>
      </c>
      <c r="BA6" s="282">
        <f>YEAR(BA5)</f>
        <v>2029</v>
      </c>
      <c r="BB6" s="282">
        <f>YEAR(BB5)</f>
        <v>2030</v>
      </c>
      <c r="BC6" s="282">
        <f>YEAR(BC5)</f>
        <v>2030</v>
      </c>
      <c r="BD6" s="282">
        <f>YEAR(BD5)</f>
        <v>2030</v>
      </c>
      <c r="BE6" s="282">
        <f>YEAR(BE5)</f>
        <v>2030</v>
      </c>
      <c r="BF6" s="282">
        <f>YEAR(BF5)</f>
        <v>2030</v>
      </c>
      <c r="BG6" s="282">
        <f>YEAR(BG5)</f>
        <v>2031</v>
      </c>
      <c r="BH6" s="282">
        <f>YEAR(BH5)</f>
        <v>2031</v>
      </c>
      <c r="BI6" s="282">
        <f>YEAR(BI5)</f>
        <v>2031</v>
      </c>
      <c r="BJ6" s="282">
        <f>YEAR(BJ5)</f>
        <v>2031</v>
      </c>
      <c r="BK6" s="282">
        <f>YEAR(BK5)</f>
        <v>2031</v>
      </c>
      <c r="BL6" s="282">
        <f>YEAR(BL5)</f>
        <v>2032</v>
      </c>
      <c r="BM6" s="282">
        <f>YEAR(BM5)</f>
        <v>2032</v>
      </c>
      <c r="BN6" s="282">
        <f>YEAR(BN5)</f>
        <v>2032</v>
      </c>
      <c r="BO6" s="282">
        <f>YEAR(BO5)</f>
        <v>2032</v>
      </c>
      <c r="BP6" s="282">
        <f>YEAR(BP5)</f>
        <v>2032</v>
      </c>
      <c r="BQ6" s="282">
        <f>YEAR(BQ5)</f>
        <v>2033</v>
      </c>
      <c r="BR6" s="282">
        <f>YEAR(BR5)</f>
        <v>2033</v>
      </c>
      <c r="BS6" s="282">
        <f>YEAR(BS5)</f>
        <v>2033</v>
      </c>
      <c r="BT6" s="282">
        <f>YEAR(BT5)</f>
        <v>2033</v>
      </c>
      <c r="BU6" s="282">
        <f>YEAR(BU5)</f>
        <v>2033</v>
      </c>
      <c r="BV6" s="282">
        <f>YEAR(BV5)</f>
        <v>2034</v>
      </c>
      <c r="BW6" s="282">
        <f>YEAR(BW5)</f>
        <v>2034</v>
      </c>
      <c r="BX6" s="282">
        <f>YEAR(BX5)</f>
        <v>2034</v>
      </c>
      <c r="BY6" s="282">
        <f>YEAR(BY5)</f>
        <v>2034</v>
      </c>
      <c r="BZ6" s="282">
        <f>YEAR(BZ5)</f>
        <v>2034</v>
      </c>
      <c r="CA6" s="282">
        <f>YEAR(CA5)</f>
        <v>2035</v>
      </c>
      <c r="CB6" s="282">
        <f>YEAR(CB5)</f>
        <v>2035</v>
      </c>
      <c r="CC6" s="282">
        <f>YEAR(CC5)</f>
        <v>2035</v>
      </c>
      <c r="CD6" s="282">
        <f>YEAR(CD5)</f>
        <v>2035</v>
      </c>
      <c r="CE6" s="282">
        <f>YEAR(CE5)</f>
        <v>2035</v>
      </c>
      <c r="CF6" s="282">
        <f>YEAR(CF5)</f>
        <v>2036</v>
      </c>
      <c r="CG6" s="282">
        <f>YEAR(CG5)</f>
        <v>2036</v>
      </c>
      <c r="CH6" s="282">
        <f>YEAR(CH5)</f>
        <v>2036</v>
      </c>
      <c r="CI6" s="282">
        <f>YEAR(CI5)</f>
        <v>2036</v>
      </c>
      <c r="CJ6" s="282">
        <f>YEAR(CJ5)</f>
        <v>2036</v>
      </c>
      <c r="CK6" s="282">
        <f>YEAR(CK5)</f>
        <v>2037</v>
      </c>
      <c r="CL6" s="282">
        <f>YEAR(CL5)</f>
        <v>2037</v>
      </c>
      <c r="CM6" s="282">
        <f>YEAR(CM5)</f>
        <v>2037</v>
      </c>
      <c r="CN6" s="282">
        <f>YEAR(CN5)</f>
        <v>2037</v>
      </c>
      <c r="CO6" s="282">
        <f>YEAR(CO5)</f>
        <v>2037</v>
      </c>
      <c r="CP6" s="282">
        <f>YEAR(CP5)</f>
        <v>2038</v>
      </c>
      <c r="CQ6" s="282">
        <f>YEAR(CQ5)</f>
        <v>2038</v>
      </c>
      <c r="CR6" s="282">
        <f>YEAR(CR5)</f>
        <v>2038</v>
      </c>
      <c r="CS6" s="282">
        <f>YEAR(CS5)</f>
        <v>2038</v>
      </c>
      <c r="CT6" s="282">
        <f>YEAR(CT5)</f>
        <v>2038</v>
      </c>
      <c r="CU6" s="282">
        <f>YEAR(CU5)</f>
        <v>2039</v>
      </c>
      <c r="CV6" s="282">
        <f>YEAR(CV5)</f>
        <v>2039</v>
      </c>
      <c r="CW6" s="282">
        <f>YEAR(CW5)</f>
        <v>2039</v>
      </c>
      <c r="CX6" s="282">
        <f>YEAR(CX5)</f>
        <v>2039</v>
      </c>
      <c r="CY6" s="282">
        <f>YEAR(CY5)</f>
        <v>2039</v>
      </c>
    </row>
    <row r="7" ht="12.75" customHeight="1" s="255">
      <c r="B7" s="260" t="n"/>
      <c r="D7" s="261" t="str">
        <f>"1Q"&amp;RIGHT(D6,2)</f>
        <v>1Q20</v>
      </c>
      <c r="E7" s="261" t="str">
        <f>"2Q"&amp;RIGHT(E6,2)</f>
        <v>2Q20</v>
      </c>
      <c r="F7" s="261" t="str">
        <f>"3Q"&amp;RIGHT(F6,2)</f>
        <v>3Q20</v>
      </c>
      <c r="G7" s="261" t="str">
        <f>"4Q"&amp;RIGHT(G6,2)</f>
        <v>4Q20</v>
      </c>
      <c r="H7" s="283" t="n">
        <v>2020</v>
      </c>
      <c r="I7" s="261" t="str">
        <f>"1Q"&amp;RIGHT(I6,2)</f>
        <v>1Q21</v>
      </c>
      <c r="J7" s="261" t="str">
        <f>"2Q"&amp;RIGHT(J6,2)</f>
        <v>2Q21</v>
      </c>
      <c r="K7" s="261" t="str">
        <f>"3Q"&amp;RIGHT(K6,2)</f>
        <v>3Q21</v>
      </c>
      <c r="L7" s="261" t="str">
        <f>"4Q"&amp;RIGHT(L6,2)</f>
        <v>4Q21</v>
      </c>
      <c r="M7" s="283">
        <f>H7+1</f>
        <v>2021</v>
      </c>
      <c r="N7" s="261" t="str">
        <f>"1Q"&amp;RIGHT(N6,2)</f>
        <v>1Q22</v>
      </c>
      <c r="O7" s="261" t="str">
        <f>"2Q"&amp;RIGHT(O6,2)</f>
        <v>2Q22</v>
      </c>
      <c r="P7" s="261" t="str">
        <f>"3Q"&amp;RIGHT(P6,2)</f>
        <v>3Q22</v>
      </c>
      <c r="Q7" s="261" t="str">
        <f>"4Q"&amp;RIGHT(Q6,2)</f>
        <v>4Q22</v>
      </c>
      <c r="R7" s="283">
        <f>M7+1</f>
        <v>2022</v>
      </c>
      <c r="S7" s="261" t="str">
        <f>"1Q"&amp;RIGHT(S6,2)</f>
        <v>1Q23</v>
      </c>
      <c r="T7" s="261" t="str">
        <f>"2Q"&amp;RIGHT(T6,2)</f>
        <v>2Q23</v>
      </c>
      <c r="U7" s="261" t="str">
        <f>"3Q"&amp;RIGHT(U6,2)</f>
        <v>3Q23</v>
      </c>
      <c r="V7" s="261" t="str">
        <f>"4Q"&amp;RIGHT(V6,2)</f>
        <v>4Q23</v>
      </c>
      <c r="W7" s="283">
        <f>R7+1</f>
        <v>2023</v>
      </c>
      <c r="X7" s="261" t="str">
        <f>"1Q"&amp;RIGHT(X6,2)</f>
        <v>1Q24</v>
      </c>
      <c r="Y7" s="261" t="str">
        <f>"2Q"&amp;RIGHT(Y6,2)</f>
        <v>2Q24</v>
      </c>
      <c r="Z7" s="261" t="str">
        <f>"3Q"&amp;RIGHT(Z6,2)</f>
        <v>3Q24</v>
      </c>
      <c r="AA7" s="261" t="str">
        <f>"4Q"&amp;RIGHT(AA6,2)</f>
        <v>4Q24</v>
      </c>
      <c r="AB7" s="283">
        <f>W7+1</f>
        <v>2024</v>
      </c>
      <c r="AC7" s="261" t="str">
        <f>"1Q"&amp;RIGHT(AC6,2)</f>
        <v>1Q25</v>
      </c>
      <c r="AD7" s="261" t="str">
        <f>"2Q"&amp;RIGHT(AD6,2)</f>
        <v>2Q25</v>
      </c>
      <c r="AE7" s="261" t="str">
        <f>"3Q"&amp;RIGHT(AE6,2)</f>
        <v>3Q25</v>
      </c>
      <c r="AF7" s="261" t="str">
        <f>"4Q"&amp;RIGHT(AF6,2)</f>
        <v>4Q25</v>
      </c>
      <c r="AG7" s="283">
        <f>AB7+1</f>
        <v>2025</v>
      </c>
      <c r="AH7" s="261" t="str">
        <f>"1Q"&amp;RIGHT(AH6,2)</f>
        <v>1Q26</v>
      </c>
      <c r="AI7" s="261" t="str">
        <f>"2Q"&amp;RIGHT(AI6,2)</f>
        <v>2Q26</v>
      </c>
      <c r="AJ7" s="261" t="str">
        <f>"3Q"&amp;RIGHT(AJ6,2)</f>
        <v>3Q26</v>
      </c>
      <c r="AK7" s="261" t="str">
        <f>"4Q"&amp;RIGHT(AK6,2)</f>
        <v>4Q26</v>
      </c>
      <c r="AL7" s="283">
        <f>AG7+1</f>
        <v>2026</v>
      </c>
      <c r="AM7" s="261" t="str">
        <f>"1Q"&amp;RIGHT(AM6,2)</f>
        <v>1Q27</v>
      </c>
      <c r="AN7" s="261" t="str">
        <f>"2Q"&amp;RIGHT(AN6,2)</f>
        <v>2Q27</v>
      </c>
      <c r="AO7" s="261" t="str">
        <f>"3Q"&amp;RIGHT(AO6,2)</f>
        <v>3Q27</v>
      </c>
      <c r="AP7" s="261" t="str">
        <f>"4Q"&amp;RIGHT(AP6,2)</f>
        <v>4Q27</v>
      </c>
      <c r="AQ7" s="283">
        <f>AL7+1</f>
        <v>2027</v>
      </c>
      <c r="AR7" s="261" t="str">
        <f>"1Q"&amp;RIGHT(AR6,2)</f>
        <v>1Q28</v>
      </c>
      <c r="AS7" s="261" t="str">
        <f>"2Q"&amp;RIGHT(AS6,2)</f>
        <v>2Q28</v>
      </c>
      <c r="AT7" s="261" t="str">
        <f>"3Q"&amp;RIGHT(AT6,2)</f>
        <v>3Q28</v>
      </c>
      <c r="AU7" s="261" t="str">
        <f>"4Q"&amp;RIGHT(AU6,2)</f>
        <v>4Q28</v>
      </c>
      <c r="AV7" s="283">
        <f>AQ7+1</f>
        <v>2028</v>
      </c>
      <c r="AW7" s="261" t="str">
        <f>"1Q"&amp;RIGHT(AW6,2)</f>
        <v>1Q29</v>
      </c>
      <c r="AX7" s="261" t="str">
        <f>"2Q"&amp;RIGHT(AX6,2)</f>
        <v>2Q29</v>
      </c>
      <c r="AY7" s="261" t="str">
        <f>"3Q"&amp;RIGHT(AY6,2)</f>
        <v>3Q29</v>
      </c>
      <c r="AZ7" s="261" t="str">
        <f>"4Q"&amp;RIGHT(AZ6,2)</f>
        <v>4Q29</v>
      </c>
      <c r="BA7" s="283">
        <f>AV7+1</f>
        <v>2029</v>
      </c>
      <c r="BB7" s="261" t="str">
        <f>"1Q"&amp;RIGHT(BB6,2)</f>
        <v>1Q30</v>
      </c>
      <c r="BC7" s="261" t="str">
        <f>"2Q"&amp;RIGHT(BC6,2)</f>
        <v>2Q30</v>
      </c>
      <c r="BD7" s="261" t="str">
        <f>"3Q"&amp;RIGHT(BD6,2)</f>
        <v>3Q30</v>
      </c>
      <c r="BE7" s="261" t="str">
        <f>"4Q"&amp;RIGHT(BE6,2)</f>
        <v>4Q30</v>
      </c>
      <c r="BF7" s="283">
        <f>BA7+1</f>
        <v>2030</v>
      </c>
      <c r="BG7" s="261" t="str">
        <f>"1Q"&amp;RIGHT(BG6,2)</f>
        <v>1Q31</v>
      </c>
      <c r="BH7" s="261" t="str">
        <f>"2Q"&amp;RIGHT(BH6,2)</f>
        <v>2Q31</v>
      </c>
      <c r="BI7" s="261" t="str">
        <f>"3Q"&amp;RIGHT(BI6,2)</f>
        <v>3Q31</v>
      </c>
      <c r="BJ7" s="261" t="str">
        <f>"4Q"&amp;RIGHT(BJ6,2)</f>
        <v>4Q31</v>
      </c>
      <c r="BK7" s="283">
        <f>BF7+1</f>
        <v>2031</v>
      </c>
      <c r="BL7" s="261" t="str">
        <f>"1Q"&amp;RIGHT(BL6,2)</f>
        <v>1Q32</v>
      </c>
      <c r="BM7" s="261" t="str">
        <f>"2Q"&amp;RIGHT(BM6,2)</f>
        <v>2Q32</v>
      </c>
      <c r="BN7" s="261" t="str">
        <f>"3Q"&amp;RIGHT(BN6,2)</f>
        <v>3Q32</v>
      </c>
      <c r="BO7" s="261" t="str">
        <f>"4Q"&amp;RIGHT(BO6,2)</f>
        <v>4Q32</v>
      </c>
      <c r="BP7" s="283">
        <f>BK7+1</f>
        <v>2032</v>
      </c>
      <c r="BQ7" s="261" t="str">
        <f>"1Q"&amp;RIGHT(BQ6,2)</f>
        <v>1Q33</v>
      </c>
      <c r="BR7" s="261" t="str">
        <f>"2Q"&amp;RIGHT(BR6,2)</f>
        <v>2Q33</v>
      </c>
      <c r="BS7" s="261" t="str">
        <f>"3Q"&amp;RIGHT(BS6,2)</f>
        <v>3Q33</v>
      </c>
      <c r="BT7" s="261" t="str">
        <f>"4Q"&amp;RIGHT(BT6,2)</f>
        <v>4Q33</v>
      </c>
      <c r="BU7" s="283">
        <f>BP7+1</f>
        <v>2033</v>
      </c>
      <c r="BV7" s="261" t="str">
        <f>"1Q"&amp;RIGHT(BV6,2)</f>
        <v>1Q34</v>
      </c>
      <c r="BW7" s="261" t="str">
        <f>"2Q"&amp;RIGHT(BW6,2)</f>
        <v>2Q34</v>
      </c>
      <c r="BX7" s="261" t="str">
        <f>"3Q"&amp;RIGHT(BX6,2)</f>
        <v>3Q34</v>
      </c>
      <c r="BY7" s="261" t="str">
        <f>"4Q"&amp;RIGHT(BY6,2)</f>
        <v>4Q34</v>
      </c>
      <c r="BZ7" s="283">
        <f>BU7+1</f>
        <v>2034</v>
      </c>
      <c r="CA7" s="261" t="str">
        <f>"1Q"&amp;RIGHT(CA6,2)</f>
        <v>1Q35</v>
      </c>
      <c r="CB7" s="261" t="str">
        <f>"2Q"&amp;RIGHT(CB6,2)</f>
        <v>2Q35</v>
      </c>
      <c r="CC7" s="261" t="str">
        <f>"3Q"&amp;RIGHT(CC6,2)</f>
        <v>3Q35</v>
      </c>
      <c r="CD7" s="261" t="str">
        <f>"4Q"&amp;RIGHT(CD6,2)</f>
        <v>4Q35</v>
      </c>
      <c r="CE7" s="283">
        <f>BZ7+1</f>
        <v>2035</v>
      </c>
      <c r="CF7" s="261" t="str">
        <f>"1Q"&amp;RIGHT(CF6,2)</f>
        <v>1Q36</v>
      </c>
      <c r="CG7" s="261" t="str">
        <f>"2Q"&amp;RIGHT(CG6,2)</f>
        <v>2Q36</v>
      </c>
      <c r="CH7" s="261" t="str">
        <f>"3Q"&amp;RIGHT(CH6,2)</f>
        <v>3Q36</v>
      </c>
      <c r="CI7" s="261" t="str">
        <f>"4Q"&amp;RIGHT(CI6,2)</f>
        <v>4Q36</v>
      </c>
      <c r="CJ7" s="283">
        <f>CE7+1</f>
        <v>2036</v>
      </c>
      <c r="CK7" s="261" t="str">
        <f>"1Q"&amp;RIGHT(CK6,2)</f>
        <v>1Q37</v>
      </c>
      <c r="CL7" s="261" t="str">
        <f>"2Q"&amp;RIGHT(CL6,2)</f>
        <v>2Q37</v>
      </c>
      <c r="CM7" s="261" t="str">
        <f>"3Q"&amp;RIGHT(CM6,2)</f>
        <v>3Q37</v>
      </c>
      <c r="CN7" s="261" t="str">
        <f>"4Q"&amp;RIGHT(CN6,2)</f>
        <v>4Q37</v>
      </c>
      <c r="CO7" s="283">
        <f>CJ7+1</f>
        <v>2037</v>
      </c>
      <c r="CP7" s="261" t="str">
        <f>"1Q"&amp;RIGHT(CP6,2)</f>
        <v>1Q38</v>
      </c>
      <c r="CQ7" s="261" t="str">
        <f>"2Q"&amp;RIGHT(CQ6,2)</f>
        <v>2Q38</v>
      </c>
      <c r="CR7" s="261" t="str">
        <f>"3Q"&amp;RIGHT(CR6,2)</f>
        <v>3Q38</v>
      </c>
      <c r="CS7" s="261" t="str">
        <f>"4Q"&amp;RIGHT(CS6,2)</f>
        <v>4Q38</v>
      </c>
      <c r="CT7" s="283">
        <f>CO7+1</f>
        <v>2038</v>
      </c>
      <c r="CU7" s="261" t="str">
        <f>"1Q"&amp;RIGHT(CU6,2)</f>
        <v>1Q39</v>
      </c>
      <c r="CV7" s="261" t="str">
        <f>"2Q"&amp;RIGHT(CV6,2)</f>
        <v>2Q39</v>
      </c>
      <c r="CW7" s="261" t="str">
        <f>"3Q"&amp;RIGHT(CW6,2)</f>
        <v>3Q39</v>
      </c>
      <c r="CX7" s="261" t="str">
        <f>"4Q"&amp;RIGHT(CX6,2)</f>
        <v>4Q39</v>
      </c>
      <c r="CY7" s="283">
        <f>CT7+1</f>
        <v>2039</v>
      </c>
    </row>
    <row r="8" ht="12.75" customHeight="1" s="255">
      <c r="B8" s="260" t="n"/>
      <c r="C8" s="260" t="inlineStr">
        <is>
          <t>IPCA</t>
        </is>
      </c>
      <c r="D8" s="261" t="n"/>
      <c r="E8" s="261" t="n"/>
      <c r="F8" s="261" t="n"/>
      <c r="G8" s="261" t="n"/>
      <c r="H8" s="284" t="n">
        <v>0.0485</v>
      </c>
      <c r="I8" s="261" t="n"/>
      <c r="J8" s="261" t="n"/>
      <c r="K8" s="261" t="n"/>
      <c r="L8" s="261" t="n"/>
      <c r="M8" s="284" t="n">
        <v>0.1006</v>
      </c>
      <c r="N8" s="261" t="n"/>
      <c r="O8" s="261" t="n"/>
      <c r="P8" s="261" t="n"/>
      <c r="Q8" s="261" t="n"/>
      <c r="R8" s="284" t="n">
        <v>0.0579</v>
      </c>
      <c r="S8" s="261" t="n"/>
      <c r="T8" s="261" t="n"/>
      <c r="U8" s="261" t="n"/>
      <c r="V8" s="261" t="n"/>
      <c r="W8" s="284" t="n">
        <v>0.0468</v>
      </c>
      <c r="X8" s="261" t="n"/>
      <c r="Y8" s="261" t="n"/>
      <c r="Z8" s="261" t="n"/>
      <c r="AA8" s="261" t="n"/>
      <c r="AB8" s="284" t="n">
        <v>0.0483</v>
      </c>
      <c r="AC8" s="261" t="n"/>
      <c r="AD8" s="261" t="n"/>
      <c r="AE8" s="261" t="n"/>
      <c r="AF8" s="261" t="n"/>
      <c r="AG8" s="284" t="n">
        <v>0.0468</v>
      </c>
      <c r="AH8" s="261" t="n"/>
      <c r="AI8" s="261" t="n"/>
      <c r="AJ8" s="261" t="n"/>
      <c r="AK8" s="261" t="n"/>
      <c r="AL8" s="285" t="n"/>
      <c r="AM8" s="261" t="n"/>
      <c r="AN8" s="261" t="n"/>
      <c r="AO8" s="261" t="n"/>
      <c r="AP8" s="261" t="n"/>
      <c r="AQ8" s="285" t="n"/>
      <c r="AR8" s="261" t="n"/>
      <c r="AS8" s="261" t="n"/>
      <c r="AT8" s="261" t="n"/>
      <c r="AU8" s="261" t="n"/>
      <c r="AV8" s="285" t="n"/>
      <c r="AW8" s="261" t="n"/>
      <c r="AX8" s="261" t="n"/>
      <c r="AY8" s="261" t="n"/>
      <c r="AZ8" s="261" t="n"/>
      <c r="BA8" s="285" t="n"/>
      <c r="BB8" s="261" t="n"/>
      <c r="BC8" s="261" t="n"/>
      <c r="BD8" s="261" t="n"/>
      <c r="BE8" s="261" t="n"/>
      <c r="BF8" s="285" t="n"/>
      <c r="BG8" s="261" t="n"/>
      <c r="BH8" s="261" t="n"/>
      <c r="BI8" s="261" t="n"/>
      <c r="BJ8" s="261" t="n"/>
      <c r="BK8" s="285" t="n"/>
      <c r="BL8" s="261" t="n"/>
      <c r="BM8" s="261" t="n"/>
      <c r="BN8" s="261" t="n"/>
      <c r="BO8" s="261" t="n"/>
      <c r="BP8" s="285" t="n"/>
      <c r="BQ8" s="261" t="n"/>
      <c r="BR8" s="261" t="n"/>
      <c r="BS8" s="261" t="n"/>
      <c r="BT8" s="261" t="n"/>
      <c r="BU8" s="285" t="n"/>
      <c r="BV8" s="261" t="n"/>
      <c r="BW8" s="261" t="n"/>
      <c r="BX8" s="261" t="n"/>
      <c r="BY8" s="261" t="n"/>
      <c r="BZ8" s="285" t="n"/>
      <c r="CA8" s="261" t="n"/>
      <c r="CB8" s="261" t="n"/>
      <c r="CC8" s="261" t="n"/>
      <c r="CD8" s="261" t="n"/>
      <c r="CE8" s="285" t="n"/>
      <c r="CF8" s="261" t="n"/>
      <c r="CG8" s="261" t="n"/>
      <c r="CH8" s="261" t="n"/>
      <c r="CI8" s="261" t="n"/>
      <c r="CJ8" s="285" t="n"/>
      <c r="CK8" s="261" t="n"/>
      <c r="CL8" s="261" t="n"/>
      <c r="CM8" s="261" t="n"/>
      <c r="CN8" s="261" t="n"/>
      <c r="CO8" s="285" t="n"/>
      <c r="CP8" s="261" t="n"/>
      <c r="CQ8" s="261" t="n"/>
      <c r="CR8" s="261" t="n"/>
      <c r="CS8" s="261" t="n"/>
      <c r="CT8" s="285" t="n"/>
      <c r="CU8" s="261" t="n"/>
      <c r="CV8" s="261" t="n"/>
      <c r="CW8" s="261" t="n"/>
      <c r="CX8" s="261" t="n"/>
      <c r="CY8" s="285" t="n"/>
    </row>
    <row r="9" ht="12.75" customHeight="1" s="255">
      <c r="B9" s="260" t="n"/>
      <c r="C9" s="260" t="inlineStr">
        <is>
          <t>GDP BRAZIL</t>
        </is>
      </c>
      <c r="D9" s="261" t="n"/>
      <c r="E9" s="261" t="n"/>
      <c r="F9" s="261" t="n"/>
      <c r="G9" s="261" t="n"/>
      <c r="H9" s="286" t="n">
        <v>-0.046</v>
      </c>
      <c r="I9" s="261" t="n"/>
      <c r="J9" s="261" t="n"/>
      <c r="K9" s="261" t="n"/>
      <c r="L9" s="261" t="n"/>
      <c r="M9" s="286" t="n">
        <v>0.046</v>
      </c>
      <c r="N9" s="261" t="n"/>
      <c r="O9" s="261" t="n"/>
      <c r="P9" s="261" t="n"/>
      <c r="Q9" s="261" t="n"/>
      <c r="R9" s="286" t="n"/>
      <c r="S9" s="261" t="n"/>
      <c r="T9" s="261" t="n"/>
      <c r="U9" s="261" t="n"/>
      <c r="V9" s="261" t="n"/>
      <c r="W9" s="286" t="n"/>
      <c r="X9" s="261" t="n"/>
      <c r="Y9" s="261" t="n"/>
      <c r="Z9" s="261" t="n"/>
      <c r="AA9" s="261" t="n"/>
      <c r="AB9" s="286" t="n"/>
      <c r="AC9" s="261" t="n"/>
      <c r="AD9" s="261" t="n"/>
      <c r="AE9" s="261" t="n"/>
      <c r="AF9" s="261" t="n"/>
      <c r="AG9" s="286" t="n"/>
      <c r="AH9" s="261" t="n"/>
      <c r="AI9" s="261" t="n"/>
      <c r="AJ9" s="261" t="n"/>
      <c r="AK9" s="261" t="n"/>
      <c r="AL9" s="285" t="n"/>
      <c r="AM9" s="261" t="n"/>
      <c r="AN9" s="261" t="n"/>
      <c r="AO9" s="261" t="n"/>
      <c r="AP9" s="261" t="n"/>
      <c r="AQ9" s="285" t="n"/>
      <c r="AR9" s="261" t="n"/>
      <c r="AS9" s="261" t="n"/>
      <c r="AT9" s="261" t="n"/>
      <c r="AU9" s="261" t="n"/>
      <c r="AV9" s="285" t="n"/>
      <c r="AW9" s="261" t="n"/>
      <c r="AX9" s="261" t="n"/>
      <c r="AY9" s="261" t="n"/>
      <c r="AZ9" s="261" t="n"/>
      <c r="BA9" s="285" t="n"/>
      <c r="BB9" s="261" t="n"/>
      <c r="BC9" s="261" t="n"/>
      <c r="BD9" s="261" t="n"/>
      <c r="BE9" s="261" t="n"/>
      <c r="BF9" s="285" t="n"/>
      <c r="BG9" s="261" t="n"/>
      <c r="BH9" s="261" t="n"/>
      <c r="BI9" s="261" t="n"/>
      <c r="BJ9" s="261" t="n"/>
      <c r="BK9" s="285" t="n"/>
      <c r="BL9" s="261" t="n"/>
      <c r="BM9" s="261" t="n"/>
      <c r="BN9" s="261" t="n"/>
      <c r="BO9" s="261" t="n"/>
      <c r="BP9" s="285" t="n"/>
      <c r="BQ9" s="261" t="n"/>
      <c r="BR9" s="261" t="n"/>
      <c r="BS9" s="261" t="n"/>
      <c r="BT9" s="261" t="n"/>
      <c r="BU9" s="285" t="n"/>
      <c r="BV9" s="261" t="n"/>
      <c r="BW9" s="261" t="n"/>
      <c r="BX9" s="261" t="n"/>
      <c r="BY9" s="261" t="n"/>
      <c r="BZ9" s="285" t="n"/>
      <c r="CA9" s="261" t="n"/>
      <c r="CB9" s="261" t="n"/>
      <c r="CC9" s="261" t="n"/>
      <c r="CD9" s="261" t="n"/>
      <c r="CE9" s="285" t="n"/>
      <c r="CF9" s="261" t="n"/>
      <c r="CG9" s="261" t="n"/>
      <c r="CH9" s="261" t="n"/>
      <c r="CI9" s="261" t="n"/>
      <c r="CJ9" s="285" t="n"/>
      <c r="CK9" s="261" t="n"/>
      <c r="CL9" s="261" t="n"/>
      <c r="CM9" s="261" t="n"/>
      <c r="CN9" s="261" t="n"/>
      <c r="CO9" s="285" t="n"/>
      <c r="CP9" s="261" t="n"/>
      <c r="CQ9" s="261" t="n"/>
      <c r="CR9" s="261" t="n"/>
      <c r="CS9" s="261" t="n"/>
      <c r="CT9" s="285" t="n"/>
      <c r="CU9" s="261" t="n"/>
      <c r="CV9" s="261" t="n"/>
      <c r="CW9" s="261" t="n"/>
      <c r="CX9" s="261" t="n"/>
      <c r="CY9" s="285" t="n"/>
    </row>
    <row r="10" ht="12.75" customHeight="1" s="255">
      <c r="C10" s="260" t="inlineStr">
        <is>
          <t>CDI</t>
        </is>
      </c>
      <c r="H10" s="286" t="n">
        <v>0.0275</v>
      </c>
      <c r="M10" s="286" t="n">
        <v>0.0442</v>
      </c>
      <c r="R10" s="286" t="n">
        <v>0.1239</v>
      </c>
      <c r="W10" s="286" t="n">
        <v>0.1304</v>
      </c>
      <c r="AB10" s="286" t="n">
        <v>0.1064</v>
      </c>
      <c r="AG10" s="286" t="n">
        <v>0.1464</v>
      </c>
    </row>
    <row r="13" ht="12.75" customFormat="1" customHeight="1" s="287">
      <c r="A13" s="288" t="n"/>
      <c r="B13" s="288" t="n"/>
      <c r="C13" s="289" t="inlineStr">
        <is>
          <t>Income Statement</t>
        </is>
      </c>
      <c r="D13" s="289" t="str">
        <f>D7</f>
        <v>1Q20</v>
      </c>
      <c r="E13" s="289" t="str">
        <f>E7</f>
        <v>2Q20</v>
      </c>
      <c r="F13" s="289" t="str">
        <f>F7</f>
        <v>3Q20</v>
      </c>
      <c r="G13" s="289" t="str">
        <f>G7</f>
        <v>4Q20</v>
      </c>
      <c r="H13" s="289">
        <f>H7</f>
        <v>2020</v>
      </c>
      <c r="I13" s="289" t="str">
        <f>I7</f>
        <v>1Q21</v>
      </c>
      <c r="J13" s="289" t="str">
        <f>J7</f>
        <v>2Q21</v>
      </c>
      <c r="K13" s="289" t="str">
        <f>K7</f>
        <v>3Q21</v>
      </c>
      <c r="L13" s="289" t="str">
        <f>L7</f>
        <v>4Q21</v>
      </c>
      <c r="M13" s="289">
        <f>M7</f>
        <v>2021</v>
      </c>
      <c r="N13" s="289" t="str">
        <f>N7</f>
        <v>1Q22</v>
      </c>
      <c r="O13" s="289" t="str">
        <f>O7</f>
        <v>2Q22</v>
      </c>
      <c r="P13" s="289" t="str">
        <f>P7</f>
        <v>3Q22</v>
      </c>
      <c r="Q13" s="289" t="str">
        <f>Q7</f>
        <v>4Q22</v>
      </c>
      <c r="R13" s="289">
        <f>R7</f>
        <v>2022</v>
      </c>
      <c r="S13" s="289" t="str">
        <f>S7</f>
        <v>1Q23</v>
      </c>
      <c r="T13" s="289" t="str">
        <f>T7</f>
        <v>2Q23</v>
      </c>
      <c r="U13" s="289" t="str">
        <f>U7</f>
        <v>3Q23</v>
      </c>
      <c r="V13" s="289" t="str">
        <f>V7</f>
        <v>4Q23</v>
      </c>
      <c r="W13" s="289">
        <f>W7</f>
        <v>2023</v>
      </c>
      <c r="X13" s="289" t="str">
        <f>X7</f>
        <v>1Q24</v>
      </c>
      <c r="Y13" s="289" t="str">
        <f>Y7</f>
        <v>2Q24</v>
      </c>
      <c r="Z13" s="289" t="str">
        <f>Z7</f>
        <v>3Q24</v>
      </c>
      <c r="AA13" s="289" t="str">
        <f>AA7</f>
        <v>4Q24</v>
      </c>
      <c r="AB13" s="289">
        <f>AB7</f>
        <v>2024</v>
      </c>
      <c r="AC13" s="289" t="str">
        <f>AC7</f>
        <v>1Q25</v>
      </c>
      <c r="AD13" s="289" t="str">
        <f>AD7</f>
        <v>2Q25</v>
      </c>
      <c r="AE13" s="289" t="str">
        <f>AE7</f>
        <v>3Q25</v>
      </c>
      <c r="AF13" s="289" t="str">
        <f>AF7</f>
        <v>4Q25</v>
      </c>
      <c r="AG13" s="289">
        <f>AG7</f>
        <v>2025</v>
      </c>
      <c r="AH13" s="289" t="str">
        <f>AH7</f>
        <v>1Q26</v>
      </c>
      <c r="AI13" s="289" t="str">
        <f>AI7</f>
        <v>2Q26</v>
      </c>
      <c r="AJ13" s="289" t="str">
        <f>AJ7</f>
        <v>3Q26</v>
      </c>
      <c r="AK13" s="289" t="str">
        <f>AK7</f>
        <v>4Q26</v>
      </c>
      <c r="AL13" s="289">
        <f>AL7</f>
        <v>2026</v>
      </c>
      <c r="AM13" s="289" t="str">
        <f>AM7</f>
        <v>1Q27</v>
      </c>
      <c r="AN13" s="289" t="str">
        <f>AN7</f>
        <v>2Q27</v>
      </c>
      <c r="AO13" s="289" t="str">
        <f>AO7</f>
        <v>3Q27</v>
      </c>
      <c r="AP13" s="289" t="str">
        <f>AP7</f>
        <v>4Q27</v>
      </c>
      <c r="AQ13" s="289">
        <f>AQ7</f>
        <v>2027</v>
      </c>
      <c r="AR13" s="289" t="str">
        <f>AR7</f>
        <v>1Q28</v>
      </c>
      <c r="AS13" s="289" t="str">
        <f>AS7</f>
        <v>2Q28</v>
      </c>
      <c r="AT13" s="289" t="str">
        <f>AT7</f>
        <v>3Q28</v>
      </c>
      <c r="AU13" s="289" t="str">
        <f>AU7</f>
        <v>4Q28</v>
      </c>
      <c r="AV13" s="289">
        <f>AV7</f>
        <v>2028</v>
      </c>
      <c r="AW13" s="289" t="str">
        <f>AW7</f>
        <v>1Q29</v>
      </c>
      <c r="AX13" s="289" t="str">
        <f>AX7</f>
        <v>2Q29</v>
      </c>
      <c r="AY13" s="289" t="str">
        <f>AY7</f>
        <v>3Q29</v>
      </c>
      <c r="AZ13" s="289" t="str">
        <f>AZ7</f>
        <v>4Q29</v>
      </c>
      <c r="BA13" s="289">
        <f>BA7</f>
        <v>2029</v>
      </c>
      <c r="BB13" s="289" t="str">
        <f>BB7</f>
        <v>1Q30</v>
      </c>
      <c r="BC13" s="289" t="str">
        <f>BC7</f>
        <v>2Q30</v>
      </c>
      <c r="BD13" s="289" t="str">
        <f>BD7</f>
        <v>3Q30</v>
      </c>
      <c r="BE13" s="289" t="str">
        <f>BE7</f>
        <v>4Q30</v>
      </c>
      <c r="BF13" s="289">
        <f>BF7</f>
        <v>2030</v>
      </c>
      <c r="BG13" s="289" t="str">
        <f>BG7</f>
        <v>1Q31</v>
      </c>
      <c r="BH13" s="289" t="str">
        <f>BH7</f>
        <v>2Q31</v>
      </c>
      <c r="BI13" s="289" t="str">
        <f>BI7</f>
        <v>3Q31</v>
      </c>
      <c r="BJ13" s="289" t="str">
        <f>BJ7</f>
        <v>4Q31</v>
      </c>
      <c r="BK13" s="289">
        <f>BK7</f>
        <v>2031</v>
      </c>
      <c r="BL13" s="289" t="str">
        <f>BL7</f>
        <v>1Q32</v>
      </c>
      <c r="BM13" s="289" t="str">
        <f>BM7</f>
        <v>2Q32</v>
      </c>
      <c r="BN13" s="289" t="str">
        <f>BN7</f>
        <v>3Q32</v>
      </c>
      <c r="BO13" s="289" t="str">
        <f>BO7</f>
        <v>4Q32</v>
      </c>
      <c r="BP13" s="289">
        <f>BP7</f>
        <v>2032</v>
      </c>
      <c r="BQ13" s="289" t="str">
        <f>BQ7</f>
        <v>1Q33</v>
      </c>
      <c r="BR13" s="289" t="str">
        <f>BR7</f>
        <v>2Q33</v>
      </c>
      <c r="BS13" s="289" t="str">
        <f>BS7</f>
        <v>3Q33</v>
      </c>
      <c r="BT13" s="289" t="str">
        <f>BT7</f>
        <v>4Q33</v>
      </c>
      <c r="BU13" s="289">
        <f>BU7</f>
        <v>2033</v>
      </c>
      <c r="BV13" s="289" t="str">
        <f>BV7</f>
        <v>1Q34</v>
      </c>
      <c r="BW13" s="289" t="str">
        <f>BW7</f>
        <v>2Q34</v>
      </c>
      <c r="BX13" s="289" t="str">
        <f>BX7</f>
        <v>3Q34</v>
      </c>
      <c r="BY13" s="289" t="str">
        <f>BY7</f>
        <v>4Q34</v>
      </c>
      <c r="BZ13" s="289">
        <f>BZ7</f>
        <v>2034</v>
      </c>
      <c r="CA13" s="289" t="str">
        <f>CA7</f>
        <v>1Q35</v>
      </c>
      <c r="CB13" s="289" t="str">
        <f>CB7</f>
        <v>2Q35</v>
      </c>
      <c r="CC13" s="289" t="str">
        <f>CC7</f>
        <v>3Q35</v>
      </c>
      <c r="CD13" s="289" t="str">
        <f>CD7</f>
        <v>4Q35</v>
      </c>
      <c r="CE13" s="289">
        <f>CE7</f>
        <v>2035</v>
      </c>
      <c r="CF13" s="289" t="str">
        <f>CF7</f>
        <v>1Q36</v>
      </c>
      <c r="CG13" s="289" t="str">
        <f>CG7</f>
        <v>2Q36</v>
      </c>
      <c r="CH13" s="289" t="str">
        <f>CH7</f>
        <v>3Q36</v>
      </c>
      <c r="CI13" s="289" t="str">
        <f>CI7</f>
        <v>4Q36</v>
      </c>
      <c r="CJ13" s="289">
        <f>CJ7</f>
        <v>2036</v>
      </c>
      <c r="CK13" s="289" t="str">
        <f>CK7</f>
        <v>1Q37</v>
      </c>
      <c r="CL13" s="289" t="str">
        <f>CL7</f>
        <v>2Q37</v>
      </c>
      <c r="CM13" s="289" t="str">
        <f>CM7</f>
        <v>3Q37</v>
      </c>
      <c r="CN13" s="289" t="str">
        <f>CN7</f>
        <v>4Q37</v>
      </c>
      <c r="CO13" s="289">
        <f>CO7</f>
        <v>2037</v>
      </c>
      <c r="CP13" s="289" t="str">
        <f>CP7</f>
        <v>1Q38</v>
      </c>
      <c r="CQ13" s="289" t="str">
        <f>CQ7</f>
        <v>2Q38</v>
      </c>
      <c r="CR13" s="289" t="str">
        <f>CR7</f>
        <v>3Q38</v>
      </c>
      <c r="CS13" s="289" t="str">
        <f>CS7</f>
        <v>4Q38</v>
      </c>
      <c r="CT13" s="289">
        <f>CT7</f>
        <v>2038</v>
      </c>
      <c r="CU13" s="289" t="str">
        <f>CU7</f>
        <v>1Q39</v>
      </c>
      <c r="CV13" s="289" t="str">
        <f>CV7</f>
        <v>2Q39</v>
      </c>
      <c r="CW13" s="289" t="str">
        <f>CW7</f>
        <v>3Q39</v>
      </c>
      <c r="CX13" s="289" t="str">
        <f>CX7</f>
        <v>4Q39</v>
      </c>
      <c r="CY13" s="289">
        <f>CY7</f>
        <v>2039</v>
      </c>
    </row>
    <row r="14" ht="12.75" customHeight="1" s="255">
      <c r="C14" s="273" t="n"/>
    </row>
    <row r="15" ht="12.75" customFormat="1" customHeight="1" s="287">
      <c r="A15" s="288" t="n"/>
      <c r="B15" s="259" t="n"/>
      <c r="C15" s="275" t="inlineStr">
        <is>
          <t>Net Revenues</t>
        </is>
      </c>
      <c r="D15" s="290">
        <f>INDEX('Inputs (2)'!$D$4:$AL$4,MATCH(D$7,'Inputs (2)'!$D$2:$AL$2,0))</f>
        <v>39072</v>
      </c>
      <c r="E15" s="290">
        <f>INDEX('Inputs (2)'!$D$4:$AL$4,MATCH(E$7,'Inputs (2)'!$D$2:$AL$2,0))</f>
        <v>37266</v>
      </c>
      <c r="F15" s="290">
        <f>INDEX('Inputs (2)'!$D$4:$AL$4,MATCH(F$7,'Inputs (2)'!$D$2:$AL$2,0))</f>
        <v>53383</v>
      </c>
      <c r="G15" s="290">
        <f>INDEX('Inputs (2)'!$D$4:$AL$4,MATCH(G$7,'Inputs (2)'!$D$2:$AL$2,0))</f>
        <v>43208</v>
      </c>
      <c r="H15" s="276">
        <f>SUM(D15:G15)</f>
        <v>172929</v>
      </c>
      <c r="I15" s="290">
        <f>INDEX('Inputs (2)'!$D$4:$AL$4,MATCH(I$7,'Inputs (2)'!$D$2:$AL$2,0))</f>
        <v>44769</v>
      </c>
      <c r="J15" s="290">
        <f>INDEX('Inputs (2)'!$D$4:$AL$4,MATCH(J$7,'Inputs (2)'!$D$2:$AL$2,0))</f>
        <v>45277</v>
      </c>
      <c r="K15" s="290">
        <f>INDEX('Inputs (2)'!$D$4:$AL$4,MATCH(K$7,'Inputs (2)'!$D$2:$AL$2,0))</f>
        <v>62675</v>
      </c>
      <c r="L15" s="290">
        <f>INDEX('Inputs (2)'!$D$4:$AL$4,MATCH(L$7,'Inputs (2)'!$D$2:$AL$2,0))</f>
        <v>50363</v>
      </c>
      <c r="M15" s="276">
        <f>SUM(I15:L15)</f>
        <v>203084</v>
      </c>
      <c r="N15" s="290">
        <f>INDEX('Inputs (2)'!$D$4:$AL$4,MATCH(N$7,'Inputs (2)'!$D$2:$AL$2,0))</f>
        <v>51904</v>
      </c>
      <c r="O15" s="290">
        <f>INDEX('Inputs (2)'!$D$4:$AL$4,MATCH(O$7,'Inputs (2)'!$D$2:$AL$2,0))</f>
        <v>52596</v>
      </c>
      <c r="P15" s="290">
        <f>INDEX('Inputs (2)'!$D$4:$AL$4,MATCH(P$7,'Inputs (2)'!$D$2:$AL$2,0))</f>
        <v>72091</v>
      </c>
      <c r="Q15" s="290">
        <f>INDEX('Inputs (2)'!$D$4:$AL$4,MATCH(Q$7,'Inputs (2)'!$D$2:$AL$2,0))</f>
        <v>54437</v>
      </c>
      <c r="R15" s="276">
        <f>SUM(N15:Q15)</f>
        <v>231028</v>
      </c>
      <c r="S15" s="290">
        <f>INDEX('Inputs (2)'!$D$4:$AL$4,MATCH(S$7,'Inputs (2)'!$D$2:$AL$2,0))</f>
        <v>55266</v>
      </c>
      <c r="T15" s="290">
        <f>INDEX('Inputs (2)'!$D$4:$AL$4,MATCH(T$7,'Inputs (2)'!$D$2:$AL$2,0))</f>
        <v>53648</v>
      </c>
      <c r="U15" s="290">
        <f>INDEX('Inputs (2)'!$D$4:$AL$4,MATCH(U$7,'Inputs (2)'!$D$2:$AL$2,0))</f>
        <v>78939</v>
      </c>
      <c r="V15" s="290">
        <f>INDEX('Inputs (2)'!$D$4:$AL$4,MATCH(V$7,'Inputs (2)'!$D$2:$AL$2,0))</f>
        <v>57799</v>
      </c>
      <c r="W15" s="276">
        <f>SUM(S15:V15)</f>
        <v>245652</v>
      </c>
      <c r="X15" s="290">
        <f>INDEX('Inputs (2)'!$D$4:$AL$4,MATCH(X$7,'Inputs (2)'!$D$2:$AL$2,0))</f>
        <v>58442</v>
      </c>
      <c r="Y15" s="290">
        <f>INDEX('Inputs (2)'!$D$4:$AL$4,MATCH(Y$7,'Inputs (2)'!$D$2:$AL$2,0))</f>
        <v>58515</v>
      </c>
      <c r="Z15" s="290">
        <f>INDEX('Inputs (2)'!$D$4:$AL$4,MATCH(Z$7,'Inputs (2)'!$D$2:$AL$2,0))</f>
        <v>79697</v>
      </c>
      <c r="AA15" s="290">
        <f>INDEX('Inputs (2)'!$D$4:$AL$4,MATCH(AA$7,'Inputs (2)'!$D$2:$AL$2,0))</f>
        <v>62151</v>
      </c>
      <c r="AB15" s="276">
        <f>SUM(X15:AA15)</f>
        <v>258805</v>
      </c>
      <c r="AC15" s="290">
        <f>INDEX('Inputs (2)'!$D$4:$AL$4,MATCH(AC$7,'Inputs (2)'!$D$2:$AL$2,0))</f>
        <v>63723</v>
      </c>
      <c r="AD15" s="290">
        <f>INDEX('Inputs (2)'!$D$4:$AL$4,MATCH(AD$7,'Inputs (2)'!$D$2:$AL$2,0))</f>
        <v>63205</v>
      </c>
      <c r="AE15" s="290">
        <f>INDEX('Inputs (2)'!$D$4:$AL$4,MATCH(AE$7,'Inputs (2)'!$D$2:$AL$2,0))</f>
        <v>86156</v>
      </c>
      <c r="AF15" s="290">
        <f>INDEX('Inputs (2)'!$D$4:$AL$4,MATCH(AF$7,'Inputs (2)'!$D$2:$AL$2,0))</f>
        <v>67307</v>
      </c>
      <c r="AG15" s="276">
        <f>SUM(AC15:AF15)</f>
        <v>280391</v>
      </c>
      <c r="AH15" s="276">
        <f>INDEX('Inputs (2)'!$D$4:$AL$4,MATCH(AH$7,'Inputs (2)'!$D$2:$AL$2,0))</f>
        <v>69597</v>
      </c>
      <c r="AI15" s="276">
        <f>INDEX('Inputs (2)'!$D$4:$AL$4,MATCH(AI$7,'Inputs (2)'!$D$2:$AL$2,0))</f>
        <v>70527</v>
      </c>
      <c r="AJ15" s="276">
        <f>AE15*(1+AJ16)</f>
        <v>86156</v>
      </c>
      <c r="AK15" s="276">
        <f>AF15*(1+AK16)</f>
        <v>67307</v>
      </c>
      <c r="AL15" s="276">
        <f>SUM(AH15:AK15)</f>
        <v>293587</v>
      </c>
      <c r="AM15" s="276">
        <f>AH15*(1+AM16)</f>
        <v>69597</v>
      </c>
      <c r="AN15" s="276">
        <f>AI15*(1+AN16)</f>
        <v>70527</v>
      </c>
      <c r="AO15" s="276">
        <f>AJ15*(1+AO16)</f>
        <v>86156</v>
      </c>
      <c r="AP15" s="276">
        <f>AK15*(1+AP16)</f>
        <v>67307</v>
      </c>
      <c r="AQ15" s="276">
        <f>SUM(AM15:AP15)</f>
        <v>293587</v>
      </c>
      <c r="AR15" s="276">
        <f>AM15*(1+AR16)</f>
        <v>69597</v>
      </c>
      <c r="AS15" s="276">
        <f>AN15*(1+AS16)</f>
        <v>70527</v>
      </c>
      <c r="AT15" s="276">
        <f>AO15*(1+AT16)</f>
        <v>86156</v>
      </c>
      <c r="AU15" s="276">
        <f>AP15*(1+AU16)</f>
        <v>67307</v>
      </c>
      <c r="AV15" s="276">
        <f>SUM(AR15:AU15)</f>
        <v>293587</v>
      </c>
      <c r="AW15" s="276">
        <f>AR15*(1+AW16)</f>
        <v>69597</v>
      </c>
      <c r="AX15" s="276">
        <f>AS15*(1+AX16)</f>
        <v>70527</v>
      </c>
      <c r="AY15" s="276">
        <f>AT15*(1+AY16)</f>
        <v>86156</v>
      </c>
      <c r="AZ15" s="276">
        <f>AU15*(1+AZ16)</f>
        <v>67307</v>
      </c>
      <c r="BA15" s="276">
        <f>SUM(AW15:AZ15)</f>
        <v>293587</v>
      </c>
      <c r="BB15" s="276">
        <f>AW15*(1+BB16)</f>
        <v>69597</v>
      </c>
      <c r="BC15" s="276">
        <f>AX15*(1+BC16)</f>
        <v>70527</v>
      </c>
      <c r="BD15" s="276">
        <f>AY15*(1+BD16)</f>
        <v>86156</v>
      </c>
      <c r="BE15" s="276">
        <f>AZ15*(1+BE16)</f>
        <v>67307</v>
      </c>
      <c r="BF15" s="276">
        <f>SUM(BB15:BE15)</f>
        <v>293587</v>
      </c>
      <c r="BG15" s="276">
        <f>BB15*(1+BG16)</f>
        <v>69597</v>
      </c>
      <c r="BH15" s="276">
        <f>BC15*(1+BH16)</f>
        <v>70527</v>
      </c>
      <c r="BI15" s="276">
        <f>BD15*(1+BI16)</f>
        <v>86156</v>
      </c>
      <c r="BJ15" s="276">
        <f>BE15*(1+BJ16)</f>
        <v>67307</v>
      </c>
      <c r="BK15" s="276">
        <f>SUM(BG15:BJ15)</f>
        <v>293587</v>
      </c>
      <c r="BL15" s="276">
        <f>BG15*(1+BL16)</f>
        <v>69597</v>
      </c>
      <c r="BM15" s="276">
        <f>BH15*(1+BM16)</f>
        <v>70527</v>
      </c>
      <c r="BN15" s="276">
        <f>BI15*(1+BN16)</f>
        <v>86156</v>
      </c>
      <c r="BO15" s="276">
        <f>BJ15*(1+BO16)</f>
        <v>67307</v>
      </c>
      <c r="BP15" s="276">
        <f>SUM(BL15:BO15)</f>
        <v>293587</v>
      </c>
      <c r="BQ15" s="276">
        <f>BL15*(1+BQ16)</f>
        <v>69597</v>
      </c>
      <c r="BR15" s="276">
        <f>BM15*(1+BR16)</f>
        <v>70527</v>
      </c>
      <c r="BS15" s="276">
        <f>BN15*(1+BS16)</f>
        <v>86156</v>
      </c>
      <c r="BT15" s="276">
        <f>BO15*(1+BT16)</f>
        <v>67307</v>
      </c>
      <c r="BU15" s="276">
        <f>SUM(BQ15:BT15)</f>
        <v>293587</v>
      </c>
      <c r="BV15" s="276">
        <f>BQ15*(1+BV16)</f>
        <v>69597</v>
      </c>
      <c r="BW15" s="276">
        <f>BR15*(1+BW16)</f>
        <v>70527</v>
      </c>
      <c r="BX15" s="276">
        <f>BS15*(1+BX16)</f>
        <v>86156</v>
      </c>
      <c r="BY15" s="276">
        <f>BT15*(1+BY16)</f>
        <v>67307</v>
      </c>
      <c r="BZ15" s="276">
        <f>SUM(BV15:BY15)</f>
        <v>293587</v>
      </c>
      <c r="CA15" s="276">
        <f>BV15*(1+CA16)</f>
        <v>69597</v>
      </c>
      <c r="CB15" s="276">
        <f>BW15*(1+CB16)</f>
        <v>70527</v>
      </c>
      <c r="CC15" s="276">
        <f>BX15*(1+CC16)</f>
        <v>86156</v>
      </c>
      <c r="CD15" s="276">
        <f>BY15*(1+CD16)</f>
        <v>67307</v>
      </c>
      <c r="CE15" s="276">
        <f>SUM(CA15:CD15)</f>
        <v>293587</v>
      </c>
      <c r="CF15" s="276">
        <f>CA15*(1+CF16)</f>
        <v>69597</v>
      </c>
      <c r="CG15" s="276">
        <f>CB15*(1+CG16)</f>
        <v>70527</v>
      </c>
      <c r="CH15" s="276">
        <f>CC15*(1+CH16)</f>
        <v>86156</v>
      </c>
      <c r="CI15" s="276">
        <f>CD15*(1+CI16)</f>
        <v>67307</v>
      </c>
      <c r="CJ15" s="276">
        <f>SUM(CF15:CI15)</f>
        <v>293587</v>
      </c>
      <c r="CK15" s="276">
        <f>CF15*(1+CK16)</f>
        <v>69597</v>
      </c>
      <c r="CL15" s="276">
        <f>CG15*(1+CL16)</f>
        <v>70527</v>
      </c>
      <c r="CM15" s="276">
        <f>CH15*(1+CM16)</f>
        <v>86156</v>
      </c>
      <c r="CN15" s="276">
        <f>CI15*(1+CN16)</f>
        <v>67307</v>
      </c>
      <c r="CO15" s="276">
        <f>SUM(CK15:CN15)</f>
        <v>293587</v>
      </c>
      <c r="CP15" s="276">
        <f>CK15*(1+CP16)</f>
        <v>69597</v>
      </c>
      <c r="CQ15" s="276">
        <f>CL15*(1+CQ16)</f>
        <v>70527</v>
      </c>
      <c r="CR15" s="276">
        <f>CM15*(1+CR16)</f>
        <v>86156</v>
      </c>
      <c r="CS15" s="276">
        <f>CN15*(1+CS16)</f>
        <v>67307</v>
      </c>
      <c r="CT15" s="276">
        <f>SUM(CP15:CS15)</f>
        <v>293587</v>
      </c>
      <c r="CU15" s="276">
        <f>CP15*(1+CU16)</f>
        <v>69597</v>
      </c>
      <c r="CV15" s="276">
        <f>CQ15*(1+CV16)</f>
        <v>70527</v>
      </c>
      <c r="CW15" s="276">
        <f>CR15*(1+CW16)</f>
        <v>86156</v>
      </c>
      <c r="CX15" s="276">
        <f>CS15*(1+CX16)</f>
        <v>67307</v>
      </c>
      <c r="CY15" s="276">
        <f>SUM(CU15:CX15)</f>
        <v>293587</v>
      </c>
    </row>
    <row r="16" hidden="1" outlineLevel="1" ht="12.75" customFormat="1" customHeight="1" s="291">
      <c r="A16" s="292" t="n"/>
      <c r="B16" s="293" t="n"/>
      <c r="C16" s="294" t="inlineStr">
        <is>
          <t>% YoY</t>
        </is>
      </c>
      <c r="D16" s="295" t="n"/>
      <c r="E16" s="296" t="n"/>
      <c r="F16" s="296" t="n"/>
      <c r="G16" s="296" t="n"/>
      <c r="H16" s="295" t="n"/>
      <c r="I16" s="295" t="n"/>
      <c r="J16" s="296" t="n"/>
      <c r="K16" s="296" t="n"/>
      <c r="L16" s="296" t="n"/>
      <c r="M16" s="295" t="n"/>
      <c r="N16" s="296">
        <f>N15/I15-1</f>
        <v>0.159373673747459</v>
      </c>
      <c r="O16" s="296">
        <f>O15/J15-1</f>
        <v>0.161649402566424</v>
      </c>
      <c r="P16" s="296">
        <f>P15/K15-1</f>
        <v>0.150235341045074</v>
      </c>
      <c r="Q16" s="296">
        <f>Q15/L15-1</f>
        <v>0.0808927188610686</v>
      </c>
      <c r="R16" s="296">
        <f>R15/M15-1</f>
        <v>0.137598235213015</v>
      </c>
      <c r="S16" s="296">
        <f>S15/N15-1</f>
        <v>0.0647734278668311</v>
      </c>
      <c r="T16" s="296">
        <f>T15/O15-1</f>
        <v>0.0200015210282152</v>
      </c>
      <c r="U16" s="296">
        <f>U15/P15-1</f>
        <v>0.0949910529747124</v>
      </c>
      <c r="V16" s="296">
        <f>V15/Q15-1</f>
        <v>0.0617594650697135</v>
      </c>
      <c r="W16" s="296">
        <f>W15/R15-1</f>
        <v>0.0632996866180722</v>
      </c>
      <c r="X16" s="296">
        <f>X15/S15-1</f>
        <v>0.0574675207179822</v>
      </c>
      <c r="Y16" s="296">
        <f>Y15/T15-1</f>
        <v>0.090720996122875</v>
      </c>
      <c r="Z16" s="296">
        <f>Z15/U15-1</f>
        <v>0.0096023511825587</v>
      </c>
      <c r="AA16" s="296">
        <f>AA15/V15-1</f>
        <v>0.0752954203359919</v>
      </c>
      <c r="AB16" s="296">
        <f>AB15/W15-1</f>
        <v>0.0535432237474149</v>
      </c>
      <c r="AC16" s="296">
        <f>AC15/X15-1</f>
        <v>0.090363095034393</v>
      </c>
      <c r="AD16" s="296">
        <f>AD15/Y15-1</f>
        <v>0.0801503887891994</v>
      </c>
      <c r="AE16" s="296">
        <f>AE15/Z15-1</f>
        <v>0.0810444558766328</v>
      </c>
      <c r="AF16" s="297">
        <f>AF15/AA15-1</f>
        <v>0.082959244420846</v>
      </c>
      <c r="AG16" s="296">
        <f>AG15/AB15-1</f>
        <v>0.0834064256872935</v>
      </c>
      <c r="AH16" s="297">
        <f>AH15/AC15-1</f>
        <v>0.0921802175038839</v>
      </c>
      <c r="AI16" s="297">
        <f>AI15/AD15-1</f>
        <v>0.115845265406218</v>
      </c>
      <c r="AJ16" s="297" t="n"/>
      <c r="AK16" s="297" t="n"/>
      <c r="AL16" s="298">
        <f>AL15/AG15-1</f>
        <v>0.0470628515180587</v>
      </c>
      <c r="AM16" s="297" t="n"/>
      <c r="AN16" s="297" t="n"/>
      <c r="AO16" s="297" t="n"/>
      <c r="AP16" s="297" t="n"/>
      <c r="AQ16" s="298">
        <f>AQ15/AL15-1</f>
        <v>0</v>
      </c>
      <c r="AR16" s="297" t="n"/>
      <c r="AS16" s="297" t="n"/>
      <c r="AT16" s="297" t="n"/>
      <c r="AU16" s="297" t="n"/>
      <c r="AV16" s="298">
        <f>AV15/AQ15-1</f>
        <v>0</v>
      </c>
      <c r="AW16" s="297" t="n"/>
      <c r="AX16" s="297" t="n"/>
      <c r="AY16" s="297" t="n"/>
      <c r="AZ16" s="297" t="n"/>
      <c r="BA16" s="298">
        <f>BA15/AV15-1</f>
        <v>0</v>
      </c>
      <c r="BB16" s="297" t="n"/>
      <c r="BC16" s="297" t="n"/>
      <c r="BD16" s="297" t="n"/>
      <c r="BE16" s="297" t="n"/>
      <c r="BF16" s="298">
        <f>BF15/BA15-1</f>
        <v>0</v>
      </c>
      <c r="BG16" s="297" t="n"/>
      <c r="BH16" s="297" t="n"/>
      <c r="BI16" s="297" t="n"/>
      <c r="BJ16" s="297" t="n"/>
      <c r="BK16" s="298">
        <f>BK15/BF15-1</f>
        <v>0</v>
      </c>
      <c r="BL16" s="297" t="n"/>
      <c r="BM16" s="297" t="n"/>
      <c r="BN16" s="297" t="n"/>
      <c r="BO16" s="297" t="n"/>
      <c r="BP16" s="298">
        <f>BP15/BK15-1</f>
        <v>0</v>
      </c>
      <c r="BQ16" s="297" t="n"/>
      <c r="BR16" s="297" t="n"/>
      <c r="BS16" s="297" t="n"/>
      <c r="BT16" s="297" t="n"/>
      <c r="BU16" s="298">
        <f>BU15/BP15-1</f>
        <v>0</v>
      </c>
      <c r="BV16" s="297" t="n"/>
      <c r="BW16" s="297" t="n"/>
      <c r="BX16" s="297" t="n"/>
      <c r="BY16" s="297" t="n"/>
      <c r="BZ16" s="298">
        <f>BZ15/BU15-1</f>
        <v>0</v>
      </c>
      <c r="CA16" s="297" t="n"/>
      <c r="CB16" s="297" t="n"/>
      <c r="CC16" s="297" t="n"/>
      <c r="CD16" s="297" t="n"/>
      <c r="CE16" s="298">
        <f>CE15/BZ15-1</f>
        <v>0</v>
      </c>
      <c r="CF16" s="297" t="n"/>
      <c r="CG16" s="297" t="n"/>
      <c r="CH16" s="297" t="n"/>
      <c r="CI16" s="297" t="n"/>
      <c r="CJ16" s="298">
        <f>CJ15/CE15-1</f>
        <v>0</v>
      </c>
      <c r="CK16" s="297" t="n"/>
      <c r="CL16" s="297" t="n"/>
      <c r="CM16" s="297" t="n"/>
      <c r="CN16" s="297" t="n"/>
      <c r="CO16" s="298">
        <f>CO15/CJ15-1</f>
        <v>0</v>
      </c>
      <c r="CP16" s="297" t="n"/>
      <c r="CQ16" s="297" t="n"/>
      <c r="CR16" s="297" t="n"/>
      <c r="CS16" s="297" t="n"/>
      <c r="CT16" s="298">
        <f>CT15/CO15-1</f>
        <v>0</v>
      </c>
      <c r="CU16" s="297" t="n"/>
      <c r="CV16" s="297" t="n"/>
      <c r="CW16" s="297" t="n"/>
      <c r="CX16" s="297" t="n"/>
      <c r="CY16" s="298">
        <f>CY15/CT15-1</f>
        <v>0</v>
      </c>
    </row>
    <row r="17" hidden="1" outlineLevel="1" ht="12.75" customFormat="1" customHeight="1" s="291">
      <c r="A17" s="292" t="n"/>
      <c r="B17" s="293" t="n"/>
      <c r="C17" s="299" t="inlineStr">
        <is>
          <t>Check Receita (linha 15 - vendas + associação)</t>
        </is>
      </c>
      <c r="D17" s="290">
        <f>IF(COUNT(D22)=0,"",D22)</f>
        <v>0</v>
      </c>
      <c r="E17" s="290">
        <f>IF(COUNT(E22)=0,"",E22)</f>
        <v>0</v>
      </c>
      <c r="F17" s="290">
        <f>IF(COUNT(F22)=0,"",F22)</f>
        <v>0</v>
      </c>
      <c r="G17" s="290">
        <f>IF(COUNT(G22)=0,"",G22)</f>
        <v>0</v>
      </c>
      <c r="H17" s="276">
        <f>IF(COUNT(H22)=0,"",H22)</f>
        <v>0</v>
      </c>
      <c r="I17" s="290">
        <f>IF(COUNT(I22)=0,"",I22)</f>
        <v>0</v>
      </c>
      <c r="J17" s="290">
        <f>IF(COUNT(J22)=0,"",J22)</f>
        <v>0</v>
      </c>
      <c r="K17" s="290">
        <f>IF(COUNT(K22)=0,"",K22)</f>
        <v>0</v>
      </c>
      <c r="L17" s="290">
        <f>IF(COUNT(L22)=0,"",L22)</f>
        <v>0</v>
      </c>
      <c r="M17" s="276">
        <f>IF(COUNT(M22)=0,"",M22)</f>
        <v>0</v>
      </c>
      <c r="N17" s="290">
        <f>IF(COUNT(N22)=0,"",N22)</f>
        <v>0</v>
      </c>
      <c r="O17" s="290">
        <f>IF(COUNT(O22)=0,"",O22)</f>
        <v>0</v>
      </c>
      <c r="P17" s="290">
        <f>IF(COUNT(P22)=0,"",P22)</f>
        <v>0</v>
      </c>
      <c r="Q17" s="290">
        <f>IF(COUNT(Q22)=0,"",Q22)</f>
        <v>0</v>
      </c>
      <c r="R17" s="276">
        <f>IF(COUNT(R22)=0,"",R22)</f>
        <v>0</v>
      </c>
      <c r="S17" s="290">
        <f>IF(COUNT(S22)=0,"",S22)</f>
        <v>0</v>
      </c>
      <c r="T17" s="290">
        <f>IF(COUNT(T22)=0,"",T22)</f>
        <v>0</v>
      </c>
      <c r="U17" s="290">
        <f>IF(COUNT(U22)=0,"",U22)</f>
        <v>0</v>
      </c>
      <c r="V17" s="290">
        <f>IF(COUNT(V22)=0,"",V22)</f>
        <v>0</v>
      </c>
      <c r="W17" s="276">
        <f>IF(COUNT(W22)=0,"",W22)</f>
        <v>0</v>
      </c>
      <c r="X17" s="290">
        <f>IF(COUNT(X22)=0,"",X22)</f>
        <v>0</v>
      </c>
      <c r="Y17" s="290">
        <f>IF(COUNT(Y22)=0,"",Y22)</f>
        <v>0</v>
      </c>
      <c r="Z17" s="290">
        <f>IF(COUNT(Z22)=0,"",Z22)</f>
        <v>0</v>
      </c>
      <c r="AA17" s="290">
        <f>IF(COUNT(AA22)=0,"",AA22)</f>
        <v>0</v>
      </c>
      <c r="AB17" s="276">
        <f>IF(COUNT(AB22)=0,"",AB22)</f>
        <v>0</v>
      </c>
      <c r="AC17" s="290">
        <f>IF(COUNT(AC22)=0,"",AC22)</f>
        <v>0</v>
      </c>
      <c r="AD17" s="290">
        <f>IF(COUNT(AD22)=0,"",AD22)</f>
        <v>0</v>
      </c>
      <c r="AE17" s="290">
        <f>IF(COUNT(AE22)=0,"",AE22)</f>
        <v>0</v>
      </c>
      <c r="AF17" s="290">
        <f>IF(COUNT(AF22)=0,"",AF22)</f>
        <v>0</v>
      </c>
      <c r="AG17" s="276">
        <f>IF(COUNT(AG22)=0,"",AG22)</f>
        <v>0</v>
      </c>
      <c r="AH17" s="276">
        <f>IF(COUNT(AH22)=0,"",AH22)</f>
        <v>0</v>
      </c>
      <c r="AI17" s="276">
        <f>IF(COUNT(AI22)=0,"",AI22)</f>
        <v>0</v>
      </c>
      <c r="AJ17" s="297" t="n"/>
      <c r="AK17" s="297" t="n"/>
      <c r="AL17" s="298" t="n"/>
      <c r="AM17" s="297" t="n"/>
      <c r="AN17" s="297" t="n"/>
      <c r="AO17" s="297" t="n"/>
      <c r="AP17" s="297" t="n"/>
      <c r="AQ17" s="298" t="n"/>
      <c r="AR17" s="297" t="n"/>
      <c r="AS17" s="297" t="n"/>
      <c r="AT17" s="297" t="n"/>
      <c r="AU17" s="297" t="n"/>
      <c r="AV17" s="298" t="n"/>
      <c r="AW17" s="297" t="n"/>
      <c r="AX17" s="297" t="n"/>
      <c r="AY17" s="297" t="n"/>
      <c r="AZ17" s="297" t="n"/>
      <c r="BA17" s="298" t="n"/>
      <c r="BB17" s="297" t="n"/>
      <c r="BC17" s="297" t="n"/>
      <c r="BD17" s="297" t="n"/>
      <c r="BE17" s="297" t="n"/>
      <c r="BF17" s="298" t="n"/>
      <c r="BG17" s="297" t="n"/>
      <c r="BH17" s="297" t="n"/>
      <c r="BI17" s="297" t="n"/>
      <c r="BJ17" s="297" t="n"/>
      <c r="BK17" s="298" t="n"/>
      <c r="BL17" s="297" t="n"/>
      <c r="BM17" s="297" t="n"/>
      <c r="BN17" s="297" t="n"/>
      <c r="BO17" s="297" t="n"/>
      <c r="BP17" s="298" t="n"/>
      <c r="BQ17" s="297" t="n"/>
      <c r="BR17" s="297" t="n"/>
      <c r="BS17" s="297" t="n"/>
      <c r="BT17" s="297" t="n"/>
      <c r="BU17" s="298" t="n"/>
      <c r="BV17" s="297" t="n"/>
      <c r="BW17" s="297" t="n"/>
      <c r="BX17" s="297" t="n"/>
      <c r="BY17" s="297" t="n"/>
      <c r="BZ17" s="298" t="n"/>
      <c r="CA17" s="297" t="n"/>
      <c r="CB17" s="297" t="n"/>
      <c r="CC17" s="297" t="n"/>
      <c r="CD17" s="297" t="n"/>
      <c r="CE17" s="298" t="n"/>
      <c r="CF17" s="297" t="n"/>
      <c r="CG17" s="297" t="n"/>
      <c r="CH17" s="297" t="n"/>
      <c r="CI17" s="297" t="n"/>
      <c r="CJ17" s="298" t="n"/>
      <c r="CK17" s="297" t="n"/>
      <c r="CL17" s="297" t="n"/>
      <c r="CM17" s="297" t="n"/>
      <c r="CN17" s="297" t="n"/>
      <c r="CO17" s="298" t="n"/>
      <c r="CP17" s="297" t="n"/>
      <c r="CQ17" s="297" t="n"/>
      <c r="CR17" s="297" t="n"/>
      <c r="CS17" s="297" t="n"/>
      <c r="CT17" s="298" t="n"/>
      <c r="CU17" s="297" t="n"/>
      <c r="CV17" s="297" t="n"/>
      <c r="CW17" s="297" t="n"/>
      <c r="CX17" s="297" t="n"/>
      <c r="CY17" s="298" t="n"/>
    </row>
    <row r="18" s="255">
      <c r="C18" s="289" t="inlineStr">
        <is>
          <t>Receita - como a Costco divulga (USD milhões)</t>
        </is>
      </c>
      <c r="D18" s="289" t="str">
        <f>D7</f>
        <v>1Q20</v>
      </c>
      <c r="E18" s="289" t="str">
        <f>E7</f>
        <v>2Q20</v>
      </c>
      <c r="F18" s="289" t="str">
        <f>F7</f>
        <v>3Q20</v>
      </c>
      <c r="G18" s="289" t="str">
        <f>G7</f>
        <v>4Q20</v>
      </c>
      <c r="H18" s="289">
        <f>H7</f>
        <v>2020</v>
      </c>
      <c r="I18" s="289" t="str">
        <f>I7</f>
        <v>1Q21</v>
      </c>
      <c r="J18" s="289" t="str">
        <f>J7</f>
        <v>2Q21</v>
      </c>
      <c r="K18" s="289" t="str">
        <f>K7</f>
        <v>3Q21</v>
      </c>
      <c r="L18" s="289" t="str">
        <f>L7</f>
        <v>4Q21</v>
      </c>
      <c r="M18" s="289">
        <f>M7</f>
        <v>2021</v>
      </c>
      <c r="N18" s="289" t="str">
        <f>N7</f>
        <v>1Q22</v>
      </c>
      <c r="O18" s="289" t="str">
        <f>O7</f>
        <v>2Q22</v>
      </c>
      <c r="P18" s="289" t="str">
        <f>P7</f>
        <v>3Q22</v>
      </c>
      <c r="Q18" s="289" t="str">
        <f>Q7</f>
        <v>4Q22</v>
      </c>
      <c r="R18" s="289">
        <f>R7</f>
        <v>2022</v>
      </c>
      <c r="S18" s="289" t="str">
        <f>S7</f>
        <v>1Q23</v>
      </c>
      <c r="T18" s="289" t="str">
        <f>T7</f>
        <v>2Q23</v>
      </c>
      <c r="U18" s="289" t="str">
        <f>U7</f>
        <v>3Q23</v>
      </c>
      <c r="V18" s="289" t="str">
        <f>V7</f>
        <v>4Q23</v>
      </c>
      <c r="W18" s="289">
        <f>W7</f>
        <v>2023</v>
      </c>
      <c r="X18" s="289" t="str">
        <f>X7</f>
        <v>1Q24</v>
      </c>
      <c r="Y18" s="289" t="str">
        <f>Y7</f>
        <v>2Q24</v>
      </c>
      <c r="Z18" s="289" t="str">
        <f>Z7</f>
        <v>3Q24</v>
      </c>
      <c r="AA18" s="289" t="str">
        <f>AA7</f>
        <v>4Q24</v>
      </c>
      <c r="AB18" s="289">
        <f>AB7</f>
        <v>2024</v>
      </c>
      <c r="AC18" s="289" t="str">
        <f>AC7</f>
        <v>1Q25</v>
      </c>
      <c r="AD18" s="289" t="str">
        <f>AD7</f>
        <v>2Q25</v>
      </c>
      <c r="AE18" s="289" t="str">
        <f>AE7</f>
        <v>3Q25</v>
      </c>
      <c r="AF18" s="289" t="str">
        <f>AF7</f>
        <v>4Q25</v>
      </c>
      <c r="AG18" s="289">
        <f>AG7</f>
        <v>2025</v>
      </c>
      <c r="AH18" s="289" t="str">
        <f>AH7</f>
        <v>1Q26</v>
      </c>
      <c r="AI18" s="289" t="str">
        <f>AI7</f>
        <v>2Q26</v>
      </c>
    </row>
    <row r="19" s="255">
      <c r="C19" s="275" t="inlineStr">
        <is>
          <t xml:space="preserve">   Vendas líquidas</t>
        </is>
      </c>
      <c r="D19" s="515">
        <f>IFERROR(INDEX('Inputs (2)'!$D$53:$AL$53,MATCH(D$7,'Inputs (2)'!$D$2:$AL$2,0)),"")</f>
        <v>38256</v>
      </c>
      <c r="E19" s="515">
        <f>IFERROR(INDEX('Inputs (2)'!$D$53:$AL$53,MATCH(E$7,'Inputs (2)'!$D$2:$AL$2,0)),"")</f>
        <v>36451</v>
      </c>
      <c r="F19" s="515">
        <f>IFERROR(INDEX('Inputs (2)'!$D$53:$AL$53,MATCH(F$7,'Inputs (2)'!$D$2:$AL$2,0)),"")</f>
        <v>52277</v>
      </c>
      <c r="G19" s="515">
        <f>IFERROR(INDEX('Inputs (2)'!$D$53:$AL$53,MATCH(G$7,'Inputs (2)'!$D$2:$AL$2,0)),"")</f>
        <v>42347</v>
      </c>
      <c r="H19" s="516">
        <f>IF(COUNT(D19:G19)=4,SUM(D19:G19),"")</f>
        <v>169331</v>
      </c>
      <c r="I19" s="515">
        <f>IFERROR(INDEX('Inputs (2)'!$D$53:$AL$53,MATCH(I$7,'Inputs (2)'!$D$2:$AL$2,0)),"")</f>
        <v>43888</v>
      </c>
      <c r="J19" s="515">
        <f>IFERROR(INDEX('Inputs (2)'!$D$53:$AL$53,MATCH(J$7,'Inputs (2)'!$D$2:$AL$2,0)),"")</f>
        <v>44376</v>
      </c>
      <c r="K19" s="515">
        <f>IFERROR(INDEX('Inputs (2)'!$D$53:$AL$53,MATCH(K$7,'Inputs (2)'!$D$2:$AL$2,0)),"")</f>
        <v>61441</v>
      </c>
      <c r="L19" s="515">
        <f>IFERROR(INDEX('Inputs (2)'!$D$53:$AL$53,MATCH(L$7,'Inputs (2)'!$D$2:$AL$2,0)),"")</f>
        <v>49417</v>
      </c>
      <c r="M19" s="516">
        <f>IF(COUNT(I19:L19)=4,SUM(I19:L19),"")</f>
        <v>199122</v>
      </c>
      <c r="N19" s="515">
        <f>IFERROR(INDEX('Inputs (2)'!$D$53:$AL$53,MATCH(N$7,'Inputs (2)'!$D$2:$AL$2,0)),"")</f>
        <v>50937</v>
      </c>
      <c r="O19" s="515">
        <f>IFERROR(INDEX('Inputs (2)'!$D$53:$AL$53,MATCH(O$7,'Inputs (2)'!$D$2:$AL$2,0)),"")</f>
        <v>51612</v>
      </c>
      <c r="P19" s="515">
        <f>IFERROR(INDEX('Inputs (2)'!$D$53:$AL$53,MATCH(P$7,'Inputs (2)'!$D$2:$AL$2,0)),"")</f>
        <v>70764</v>
      </c>
      <c r="Q19" s="515">
        <f>IFERROR(INDEX('Inputs (2)'!$D$53:$AL$53,MATCH(Q$7,'Inputs (2)'!$D$2:$AL$2,0)),"")</f>
        <v>53437</v>
      </c>
      <c r="R19" s="516">
        <f>IF(COUNT(N19:Q19)=4,SUM(N19:Q19),"")</f>
        <v>226750</v>
      </c>
      <c r="S19" s="515">
        <f>IFERROR(INDEX('Inputs (2)'!$D$53:$AL$53,MATCH(S$7,'Inputs (2)'!$D$2:$AL$2,0)),"")</f>
        <v>54239</v>
      </c>
      <c r="T19" s="515">
        <f>IFERROR(INDEX('Inputs (2)'!$D$53:$AL$53,MATCH(T$7,'Inputs (2)'!$D$2:$AL$2,0)),"")</f>
        <v>52604</v>
      </c>
      <c r="U19" s="515">
        <f>IFERROR(INDEX('Inputs (2)'!$D$53:$AL$53,MATCH(U$7,'Inputs (2)'!$D$2:$AL$2,0)),"")</f>
        <v>77430</v>
      </c>
      <c r="V19" s="515">
        <f>IFERROR(INDEX('Inputs (2)'!$D$53:$AL$53,MATCH(V$7,'Inputs (2)'!$D$2:$AL$2,0)),"")</f>
        <v>56717</v>
      </c>
      <c r="W19" s="516">
        <f>IF(COUNT(S19:V19)=4,SUM(S19:V19),"")</f>
        <v>240990</v>
      </c>
      <c r="X19" s="515">
        <f>IFERROR(INDEX('Inputs (2)'!$D$53:$AL$53,MATCH(X$7,'Inputs (2)'!$D$2:$AL$2,0)),"")</f>
        <v>57331</v>
      </c>
      <c r="Y19" s="515">
        <f>IFERROR(INDEX('Inputs (2)'!$D$53:$AL$53,MATCH(Y$7,'Inputs (2)'!$D$2:$AL$2,0)),"")</f>
        <v>57392</v>
      </c>
      <c r="Z19" s="515">
        <f>IFERROR(INDEX('Inputs (2)'!$D$53:$AL$53,MATCH(Z$7,'Inputs (2)'!$D$2:$AL$2,0)),"")</f>
        <v>78185</v>
      </c>
      <c r="AA19" s="515">
        <f>IFERROR(INDEX('Inputs (2)'!$D$53:$AL$53,MATCH(AA$7,'Inputs (2)'!$D$2:$AL$2,0)),"")</f>
        <v>60985</v>
      </c>
      <c r="AB19" s="516">
        <f>IF(COUNT(X19:AA19)=4,SUM(X19:AA19),"")</f>
        <v>253893</v>
      </c>
      <c r="AC19" s="515">
        <f>IFERROR(INDEX('Inputs (2)'!$D$53:$AL$53,MATCH(AC$7,'Inputs (2)'!$D$2:$AL$2,0)),"")</f>
        <v>62530</v>
      </c>
      <c r="AD19" s="515">
        <f>IFERROR(INDEX('Inputs (2)'!$D$53:$AL$53,MATCH(AD$7,'Inputs (2)'!$D$2:$AL$2,0)),"")</f>
        <v>61965</v>
      </c>
      <c r="AE19" s="515">
        <f>IFERROR(INDEX('Inputs (2)'!$D$53:$AL$53,MATCH(AE$7,'Inputs (2)'!$D$2:$AL$2,0)),"")</f>
        <v>84432</v>
      </c>
      <c r="AF19" s="515">
        <f>IFERROR(INDEX('Inputs (2)'!$D$53:$AL$53,MATCH(AF$7,'Inputs (2)'!$D$2:$AL$2,0)),"")</f>
        <v>65978</v>
      </c>
      <c r="AG19" s="516">
        <f>IF(COUNT(AC19:AF19)=4,SUM(AC19:AF19),"")</f>
        <v>274905</v>
      </c>
      <c r="AH19" s="516">
        <f>IFERROR(INDEX('Inputs (2)'!$D$53:$AL$53,MATCH(AH$7,'Inputs (2)'!$D$2:$AL$2,0)),"")</f>
        <v>68242</v>
      </c>
      <c r="AI19" s="516">
        <f>IFERROR(INDEX('Inputs (2)'!$D$53:$AL$53,MATCH(AI$7,'Inputs (2)'!$D$2:$AL$2,0)),"")</f>
        <v>69154</v>
      </c>
    </row>
    <row r="20" s="255">
      <c r="C20" s="275" t="inlineStr">
        <is>
          <t xml:space="preserve">   Taxas de associação</t>
        </is>
      </c>
      <c r="D20" s="515">
        <f>IFERROR(INDEX('Inputs (2)'!$D$54:$AL$54,MATCH(D$7,'Inputs (2)'!$D$2:$AL$2,0)),"")</f>
        <v>816</v>
      </c>
      <c r="E20" s="515">
        <f>IFERROR(INDEX('Inputs (2)'!$D$54:$AL$54,MATCH(E$7,'Inputs (2)'!$D$2:$AL$2,0)),"")</f>
        <v>815</v>
      </c>
      <c r="F20" s="515">
        <f>IFERROR(INDEX('Inputs (2)'!$D$54:$AL$54,MATCH(F$7,'Inputs (2)'!$D$2:$AL$2,0)),"")</f>
        <v>1106</v>
      </c>
      <c r="G20" s="515">
        <f>IFERROR(INDEX('Inputs (2)'!$D$54:$AL$54,MATCH(G$7,'Inputs (2)'!$D$2:$AL$2,0)),"")</f>
        <v>861</v>
      </c>
      <c r="H20" s="516">
        <f>IF(COUNT(D20:G20)=4,SUM(D20:G20),"")</f>
        <v>3598</v>
      </c>
      <c r="I20" s="515">
        <f>IFERROR(INDEX('Inputs (2)'!$D$54:$AL$54,MATCH(I$7,'Inputs (2)'!$D$2:$AL$2,0)),"")</f>
        <v>881</v>
      </c>
      <c r="J20" s="515">
        <f>IFERROR(INDEX('Inputs (2)'!$D$54:$AL$54,MATCH(J$7,'Inputs (2)'!$D$2:$AL$2,0)),"")</f>
        <v>901</v>
      </c>
      <c r="K20" s="515">
        <f>IFERROR(INDEX('Inputs (2)'!$D$54:$AL$54,MATCH(K$7,'Inputs (2)'!$D$2:$AL$2,0)),"")</f>
        <v>1234</v>
      </c>
      <c r="L20" s="515">
        <f>IFERROR(INDEX('Inputs (2)'!$D$54:$AL$54,MATCH(L$7,'Inputs (2)'!$D$2:$AL$2,0)),"")</f>
        <v>946</v>
      </c>
      <c r="M20" s="516">
        <f>IF(COUNT(I20:L20)=4,SUM(I20:L20),"")</f>
        <v>3962</v>
      </c>
      <c r="N20" s="515">
        <f>IFERROR(INDEX('Inputs (2)'!$D$54:$AL$54,MATCH(N$7,'Inputs (2)'!$D$2:$AL$2,0)),"")</f>
        <v>967</v>
      </c>
      <c r="O20" s="515">
        <f>IFERROR(INDEX('Inputs (2)'!$D$54:$AL$54,MATCH(O$7,'Inputs (2)'!$D$2:$AL$2,0)),"")</f>
        <v>984</v>
      </c>
      <c r="P20" s="515">
        <f>IFERROR(INDEX('Inputs (2)'!$D$54:$AL$54,MATCH(P$7,'Inputs (2)'!$D$2:$AL$2,0)),"")</f>
        <v>1327</v>
      </c>
      <c r="Q20" s="515">
        <f>IFERROR(INDEX('Inputs (2)'!$D$54:$AL$54,MATCH(Q$7,'Inputs (2)'!$D$2:$AL$2,0)),"")</f>
        <v>1000</v>
      </c>
      <c r="R20" s="516">
        <f>IF(COUNT(N20:Q20)=4,SUM(N20:Q20),"")</f>
        <v>4278</v>
      </c>
      <c r="S20" s="515">
        <f>IFERROR(INDEX('Inputs (2)'!$D$54:$AL$54,MATCH(S$7,'Inputs (2)'!$D$2:$AL$2,0)),"")</f>
        <v>1027</v>
      </c>
      <c r="T20" s="515">
        <f>IFERROR(INDEX('Inputs (2)'!$D$54:$AL$54,MATCH(T$7,'Inputs (2)'!$D$2:$AL$2,0)),"")</f>
        <v>1044</v>
      </c>
      <c r="U20" s="515">
        <f>IFERROR(INDEX('Inputs (2)'!$D$54:$AL$54,MATCH(U$7,'Inputs (2)'!$D$2:$AL$2,0)),"")</f>
        <v>1509</v>
      </c>
      <c r="V20" s="515">
        <f>IFERROR(INDEX('Inputs (2)'!$D$54:$AL$54,MATCH(V$7,'Inputs (2)'!$D$2:$AL$2,0)),"")</f>
        <v>1082</v>
      </c>
      <c r="W20" s="516">
        <f>IF(COUNT(S20:V20)=4,SUM(S20:V20),"")</f>
        <v>4662</v>
      </c>
      <c r="X20" s="515">
        <f>IFERROR(INDEX('Inputs (2)'!$D$54:$AL$54,MATCH(X$7,'Inputs (2)'!$D$2:$AL$2,0)),"")</f>
        <v>1111</v>
      </c>
      <c r="Y20" s="515">
        <f>IFERROR(INDEX('Inputs (2)'!$D$54:$AL$54,MATCH(Y$7,'Inputs (2)'!$D$2:$AL$2,0)),"")</f>
        <v>1123</v>
      </c>
      <c r="Z20" s="515">
        <f>IFERROR(INDEX('Inputs (2)'!$D$54:$AL$54,MATCH(Z$7,'Inputs (2)'!$D$2:$AL$2,0)),"")</f>
        <v>1512</v>
      </c>
      <c r="AA20" s="515">
        <f>IFERROR(INDEX('Inputs (2)'!$D$54:$AL$54,MATCH(AA$7,'Inputs (2)'!$D$2:$AL$2,0)),"")</f>
        <v>1166</v>
      </c>
      <c r="AB20" s="516">
        <f>IF(COUNT(X20:AA20)=4,SUM(X20:AA20),"")</f>
        <v>4912</v>
      </c>
      <c r="AC20" s="515">
        <f>IFERROR(INDEX('Inputs (2)'!$D$54:$AL$54,MATCH(AC$7,'Inputs (2)'!$D$2:$AL$2,0)),"")</f>
        <v>1193</v>
      </c>
      <c r="AD20" s="515">
        <f>IFERROR(INDEX('Inputs (2)'!$D$54:$AL$54,MATCH(AD$7,'Inputs (2)'!$D$2:$AL$2,0)),"")</f>
        <v>1240</v>
      </c>
      <c r="AE20" s="515">
        <f>IFERROR(INDEX('Inputs (2)'!$D$54:$AL$54,MATCH(AE$7,'Inputs (2)'!$D$2:$AL$2,0)),"")</f>
        <v>1724</v>
      </c>
      <c r="AF20" s="515">
        <f>IFERROR(INDEX('Inputs (2)'!$D$54:$AL$54,MATCH(AF$7,'Inputs (2)'!$D$2:$AL$2,0)),"")</f>
        <v>1329</v>
      </c>
      <c r="AG20" s="516">
        <f>IF(COUNT(AC20:AF20)=4,SUM(AC20:AF20),"")</f>
        <v>5486</v>
      </c>
      <c r="AH20" s="516">
        <f>IFERROR(INDEX('Inputs (2)'!$D$54:$AL$54,MATCH(AH$7,'Inputs (2)'!$D$2:$AL$2,0)),"")</f>
        <v>1355</v>
      </c>
      <c r="AI20" s="516">
        <f>IFERROR(INDEX('Inputs (2)'!$D$54:$AL$54,MATCH(AI$7,'Inputs (2)'!$D$2:$AL$2,0)),"")</f>
        <v>1373</v>
      </c>
    </row>
    <row r="21" s="255">
      <c r="C21" s="517" t="inlineStr">
        <is>
          <t>Receita total (soma)</t>
        </is>
      </c>
      <c r="D21" s="515">
        <f>IF(COUNT(D19,D20)=0,"",N(D19)+N(D20))</f>
        <v>39072</v>
      </c>
      <c r="E21" s="515">
        <f>IF(COUNT(E19,E20)=0,"",N(E19)+N(E20))</f>
        <v>37266</v>
      </c>
      <c r="F21" s="515">
        <f>IF(COUNT(F19,F20)=0,"",N(F19)+N(F20))</f>
        <v>53383</v>
      </c>
      <c r="G21" s="515">
        <f>IF(COUNT(G19,G20)=0,"",N(G19)+N(G20))</f>
        <v>43208</v>
      </c>
      <c r="H21" s="516">
        <f>IF(COUNT(H19,H20)=0,"",N(H19)+N(H20))</f>
        <v>172929</v>
      </c>
      <c r="I21" s="515">
        <f>IF(COUNT(I19,I20)=0,"",N(I19)+N(I20))</f>
        <v>44769</v>
      </c>
      <c r="J21" s="515">
        <f>IF(COUNT(J19,J20)=0,"",N(J19)+N(J20))</f>
        <v>45277</v>
      </c>
      <c r="K21" s="515">
        <f>IF(COUNT(K19,K20)=0,"",N(K19)+N(K20))</f>
        <v>62675</v>
      </c>
      <c r="L21" s="515">
        <f>IF(COUNT(L19,L20)=0,"",N(L19)+N(L20))</f>
        <v>50363</v>
      </c>
      <c r="M21" s="516">
        <f>IF(COUNT(M19,M20)=0,"",N(M19)+N(M20))</f>
        <v>203084</v>
      </c>
      <c r="N21" s="515">
        <f>IF(COUNT(N19,N20)=0,"",N(N19)+N(N20))</f>
        <v>51904</v>
      </c>
      <c r="O21" s="515">
        <f>IF(COUNT(O19,O20)=0,"",N(O19)+N(O20))</f>
        <v>52596</v>
      </c>
      <c r="P21" s="515">
        <f>IF(COUNT(P19,P20)=0,"",N(P19)+N(P20))</f>
        <v>72091</v>
      </c>
      <c r="Q21" s="515">
        <f>IF(COUNT(Q19,Q20)=0,"",N(Q19)+N(Q20))</f>
        <v>54437</v>
      </c>
      <c r="R21" s="516">
        <f>IF(COUNT(R19,R20)=0,"",N(R19)+N(R20))</f>
        <v>231028</v>
      </c>
      <c r="S21" s="515">
        <f>IF(COUNT(S19,S20)=0,"",N(S19)+N(S20))</f>
        <v>55266</v>
      </c>
      <c r="T21" s="515">
        <f>IF(COUNT(T19,T20)=0,"",N(T19)+N(T20))</f>
        <v>53648</v>
      </c>
      <c r="U21" s="515">
        <f>IF(COUNT(U19,U20)=0,"",N(U19)+N(U20))</f>
        <v>78939</v>
      </c>
      <c r="V21" s="515">
        <f>IF(COUNT(V19,V20)=0,"",N(V19)+N(V20))</f>
        <v>57799</v>
      </c>
      <c r="W21" s="516">
        <f>IF(COUNT(W19,W20)=0,"",N(W19)+N(W20))</f>
        <v>245652</v>
      </c>
      <c r="X21" s="515">
        <f>IF(COUNT(X19,X20)=0,"",N(X19)+N(X20))</f>
        <v>58442</v>
      </c>
      <c r="Y21" s="515">
        <f>IF(COUNT(Y19,Y20)=0,"",N(Y19)+N(Y20))</f>
        <v>58515</v>
      </c>
      <c r="Z21" s="515">
        <f>IF(COUNT(Z19,Z20)=0,"",N(Z19)+N(Z20))</f>
        <v>79697</v>
      </c>
      <c r="AA21" s="515">
        <f>IF(COUNT(AA19,AA20)=0,"",N(AA19)+N(AA20))</f>
        <v>62151</v>
      </c>
      <c r="AB21" s="516">
        <f>IF(COUNT(AB19,AB20)=0,"",N(AB19)+N(AB20))</f>
        <v>258805</v>
      </c>
      <c r="AC21" s="515">
        <f>IF(COUNT(AC19,AC20)=0,"",N(AC19)+N(AC20))</f>
        <v>63723</v>
      </c>
      <c r="AD21" s="515">
        <f>IF(COUNT(AD19,AD20)=0,"",N(AD19)+N(AD20))</f>
        <v>63205</v>
      </c>
      <c r="AE21" s="515">
        <f>IF(COUNT(AE19,AE20)=0,"",N(AE19)+N(AE20))</f>
        <v>86156</v>
      </c>
      <c r="AF21" s="515">
        <f>IF(COUNT(AF19,AF20)=0,"",N(AF19)+N(AF20))</f>
        <v>67307</v>
      </c>
      <c r="AG21" s="516">
        <f>IF(COUNT(AG19,AG20)=0,"",N(AG19)+N(AG20))</f>
        <v>280391</v>
      </c>
      <c r="AH21" s="516">
        <f>IF(COUNT(AH19,AH20)=0,"",N(AH19)+N(AH20))</f>
        <v>69597</v>
      </c>
      <c r="AI21" s="516">
        <f>IF(COUNT(AI19,AI20)=0,"",N(AI19)+N(AI20))</f>
        <v>70527</v>
      </c>
    </row>
    <row r="22" s="255">
      <c r="C22" s="275" t="inlineStr">
        <is>
          <t>Check vs Net Revenues (linha 15)</t>
        </is>
      </c>
      <c r="D22" s="515">
        <f>IF(COUNT(D21)=0,"",ROUND(D15-D21,1))</f>
        <v>0</v>
      </c>
      <c r="E22" s="515">
        <f>IF(COUNT(E21)=0,"",ROUND(E15-E21,1))</f>
        <v>0</v>
      </c>
      <c r="F22" s="515">
        <f>IF(COUNT(F21)=0,"",ROUND(F15-F21,1))</f>
        <v>0</v>
      </c>
      <c r="G22" s="515">
        <f>IF(COUNT(G21)=0,"",ROUND(G15-G21,1))</f>
        <v>0</v>
      </c>
      <c r="H22" s="516">
        <f>IF(COUNT(H21)=0,"",ROUND(H15-H21,1))</f>
        <v>0</v>
      </c>
      <c r="I22" s="515">
        <f>IF(COUNT(I21)=0,"",ROUND(I15-I21,1))</f>
        <v>0</v>
      </c>
      <c r="J22" s="515">
        <f>IF(COUNT(J21)=0,"",ROUND(J15-J21,1))</f>
        <v>0</v>
      </c>
      <c r="K22" s="515">
        <f>IF(COUNT(K21)=0,"",ROUND(K15-K21,1))</f>
        <v>0</v>
      </c>
      <c r="L22" s="515">
        <f>IF(COUNT(L21)=0,"",ROUND(L15-L21,1))</f>
        <v>0</v>
      </c>
      <c r="M22" s="516">
        <f>IF(COUNT(M21)=0,"",ROUND(M15-M21,1))</f>
        <v>0</v>
      </c>
      <c r="N22" s="515">
        <f>IF(COUNT(N21)=0,"",ROUND(N15-N21,1))</f>
        <v>0</v>
      </c>
      <c r="O22" s="515">
        <f>IF(COUNT(O21)=0,"",ROUND(O15-O21,1))</f>
        <v>0</v>
      </c>
      <c r="P22" s="515">
        <f>IF(COUNT(P21)=0,"",ROUND(P15-P21,1))</f>
        <v>0</v>
      </c>
      <c r="Q22" s="515">
        <f>IF(COUNT(Q21)=0,"",ROUND(Q15-Q21,1))</f>
        <v>0</v>
      </c>
      <c r="R22" s="516">
        <f>IF(COUNT(R21)=0,"",ROUND(R15-R21,1))</f>
        <v>0</v>
      </c>
      <c r="S22" s="515">
        <f>IF(COUNT(S21)=0,"",ROUND(S15-S21,1))</f>
        <v>0</v>
      </c>
      <c r="T22" s="515">
        <f>IF(COUNT(T21)=0,"",ROUND(T15-T21,1))</f>
        <v>0</v>
      </c>
      <c r="U22" s="515">
        <f>IF(COUNT(U21)=0,"",ROUND(U15-U21,1))</f>
        <v>0</v>
      </c>
      <c r="V22" s="515">
        <f>IF(COUNT(V21)=0,"",ROUND(V15-V21,1))</f>
        <v>0</v>
      </c>
      <c r="W22" s="516">
        <f>IF(COUNT(W21)=0,"",ROUND(W15-W21,1))</f>
        <v>0</v>
      </c>
      <c r="X22" s="515">
        <f>IF(COUNT(X21)=0,"",ROUND(X15-X21,1))</f>
        <v>0</v>
      </c>
      <c r="Y22" s="515">
        <f>IF(COUNT(Y21)=0,"",ROUND(Y15-Y21,1))</f>
        <v>0</v>
      </c>
      <c r="Z22" s="515">
        <f>IF(COUNT(Z21)=0,"",ROUND(Z15-Z21,1))</f>
        <v>0</v>
      </c>
      <c r="AA22" s="515">
        <f>IF(COUNT(AA21)=0,"",ROUND(AA15-AA21,1))</f>
        <v>0</v>
      </c>
      <c r="AB22" s="516">
        <f>IF(COUNT(AB21)=0,"",ROUND(AB15-AB21,1))</f>
        <v>0</v>
      </c>
      <c r="AC22" s="515">
        <f>IF(COUNT(AC21)=0,"",ROUND(AC15-AC21,1))</f>
        <v>0</v>
      </c>
      <c r="AD22" s="515">
        <f>IF(COUNT(AD21)=0,"",ROUND(AD15-AD21,1))</f>
        <v>0</v>
      </c>
      <c r="AE22" s="515">
        <f>IF(COUNT(AE21)=0,"",ROUND(AE15-AE21,1))</f>
        <v>0</v>
      </c>
      <c r="AF22" s="515">
        <f>IF(COUNT(AF21)=0,"",ROUND(AF15-AF21,1))</f>
        <v>0</v>
      </c>
      <c r="AG22" s="516">
        <f>IF(COUNT(AG21)=0,"",ROUND(AG15-AG21,1))</f>
        <v>0</v>
      </c>
      <c r="AH22" s="516">
        <f>IF(COUNT(AH21)=0,"",ROUND(AH15-AH21,1))</f>
        <v>0</v>
      </c>
      <c r="AI22" s="516">
        <f>IF(COUNT(AI21)=0,"",ROUND(AI15-AI21,1))</f>
        <v>0</v>
      </c>
    </row>
    <row r="23" s="255">
      <c r="C23" s="275" t="inlineStr">
        <is>
          <t xml:space="preserve">   % YoY taxas de associação</t>
        </is>
      </c>
      <c r="D23" s="518" t="str">
        <f>""</f>
        <v/>
      </c>
      <c r="E23" s="518" t="str">
        <f>""</f>
        <v/>
      </c>
      <c r="F23" s="518" t="str">
        <f>""</f>
        <v/>
      </c>
      <c r="G23" s="518" t="str">
        <f>""</f>
        <v/>
      </c>
      <c r="H23" s="519" t="str">
        <f>""</f>
        <v/>
      </c>
      <c r="I23" s="518">
        <f>IFERROR(I20/D20-1,"")</f>
        <v>0.079656862745098</v>
      </c>
      <c r="J23" s="518">
        <f>IFERROR(J20/E20-1,"")</f>
        <v>0.105521472392638</v>
      </c>
      <c r="K23" s="518">
        <f>IFERROR(K20/F20-1,"")</f>
        <v>0.115732368896926</v>
      </c>
      <c r="L23" s="518">
        <f>IFERROR(L20/G20-1,"")</f>
        <v>0.0987224157955866</v>
      </c>
      <c r="M23" s="519">
        <f>IFERROR(M20/H20-1,"")</f>
        <v>0.101167315175097</v>
      </c>
      <c r="N23" s="518">
        <f>IFERROR(N20/I20-1,"")</f>
        <v>0.097616345062429</v>
      </c>
      <c r="O23" s="518">
        <f>IFERROR(O20/J20-1,"")</f>
        <v>0.0921198668146503</v>
      </c>
      <c r="P23" s="518">
        <f>IFERROR(P20/K20-1,"")</f>
        <v>0.0753646677471638</v>
      </c>
      <c r="Q23" s="518">
        <f>IFERROR(Q20/L20-1,"")</f>
        <v>0.0570824524312896</v>
      </c>
      <c r="R23" s="519">
        <f>IFERROR(R20/M20-1,"")</f>
        <v>0.0797576981322565</v>
      </c>
      <c r="S23" s="518">
        <f>IFERROR(S20/N20-1,"")</f>
        <v>0.0620475698035161</v>
      </c>
      <c r="T23" s="518">
        <f>IFERROR(T20/O20-1,"")</f>
        <v>0.0609756097560976</v>
      </c>
      <c r="U23" s="518">
        <f>IFERROR(U20/P20-1,"")</f>
        <v>0.13715146948003</v>
      </c>
      <c r="V23" s="518">
        <f>IFERROR(V20/Q20-1,"")</f>
        <v>0.0820000000000001</v>
      </c>
      <c r="W23" s="519">
        <f>IFERROR(W20/R20-1,"")</f>
        <v>0.0897615708274895</v>
      </c>
      <c r="X23" s="518">
        <f>IFERROR(X20/S20-1,"")</f>
        <v>0.0817916260954235</v>
      </c>
      <c r="Y23" s="518">
        <f>IFERROR(Y20/T20-1,"")</f>
        <v>0.0756704980842913</v>
      </c>
      <c r="Z23" s="518">
        <f>IFERROR(Z20/U20-1,"")</f>
        <v>0.00198807157057646</v>
      </c>
      <c r="AA23" s="518">
        <f>IFERROR(AA20/V20-1,"")</f>
        <v>0.0776340110905731</v>
      </c>
      <c r="AB23" s="519">
        <f>IFERROR(AB20/W20-1,"")</f>
        <v>0.0536250536250535</v>
      </c>
      <c r="AC23" s="518">
        <f>IFERROR(AC20/X20-1,"")</f>
        <v>0.0738073807380739</v>
      </c>
      <c r="AD23" s="518">
        <f>IFERROR(AD20/Y20-1,"")</f>
        <v>0.104185218165628</v>
      </c>
      <c r="AE23" s="518">
        <f>IFERROR(AE20/Z20-1,"")</f>
        <v>0.14021164021164</v>
      </c>
      <c r="AF23" s="518">
        <f>IFERROR(AF20/AA20-1,"")</f>
        <v>0.139794168096055</v>
      </c>
      <c r="AG23" s="519">
        <f>IFERROR(AG20/AB20-1,"")</f>
        <v>0.11685667752443</v>
      </c>
      <c r="AH23" s="519">
        <f>IFERROR(AH20/AC20-1,"")</f>
        <v>0.135792120704107</v>
      </c>
      <c r="AI23" s="519">
        <f>IFERROR(AI20/AD20-1,"")</f>
        <v>0.107258064516129</v>
      </c>
    </row>
    <row r="24" s="255">
      <c r="C24" s="275" t="inlineStr">
        <is>
          <t xml:space="preserve">   % associação na receita</t>
        </is>
      </c>
      <c r="D24" s="518">
        <f>IFERROR(D20/D21,"")</f>
        <v>0.0208845208845209</v>
      </c>
      <c r="E24" s="518">
        <f>IFERROR(E20/E21,"")</f>
        <v>0.0218698008908925</v>
      </c>
      <c r="F24" s="518">
        <f>IFERROR(F20/F21,"")</f>
        <v>0.0207182061705037</v>
      </c>
      <c r="G24" s="518">
        <f>IFERROR(G20/G21,"")</f>
        <v>0.0199268653952972</v>
      </c>
      <c r="H24" s="519">
        <f>IFERROR(H20/H21,"")</f>
        <v>0.0208062268329777</v>
      </c>
      <c r="I24" s="518">
        <f>IFERROR(I20/I21,"")</f>
        <v>0.0196787955951663</v>
      </c>
      <c r="J24" s="518">
        <f>IFERROR(J20/J21,"")</f>
        <v>0.0198997283388917</v>
      </c>
      <c r="K24" s="518">
        <f>IFERROR(K20/K21,"")</f>
        <v>0.0196888711607499</v>
      </c>
      <c r="L24" s="518">
        <f>IFERROR(L20/L21,"")</f>
        <v>0.0187836308401009</v>
      </c>
      <c r="M24" s="519">
        <f>IFERROR(M20/M21,"")</f>
        <v>0.0195091686198814</v>
      </c>
      <c r="N24" s="518">
        <f>IFERROR(N20/N21,"")</f>
        <v>0.0186305487053021</v>
      </c>
      <c r="O24" s="518">
        <f>IFERROR(O20/O21,"")</f>
        <v>0.0187086470454027</v>
      </c>
      <c r="P24" s="518">
        <f>IFERROR(P20/P21,"")</f>
        <v>0.0184072907852575</v>
      </c>
      <c r="Q24" s="518">
        <f>IFERROR(Q20/Q21,"")</f>
        <v>0.0183698587357863</v>
      </c>
      <c r="R24" s="519">
        <f>IFERROR(R20/R21,"")</f>
        <v>0.0185172360060252</v>
      </c>
      <c r="S24" s="518">
        <f>IFERROR(S20/S21,"")</f>
        <v>0.0185828538341838</v>
      </c>
      <c r="T24" s="518">
        <f>IFERROR(T20/T21,"")</f>
        <v>0.0194601849090367</v>
      </c>
      <c r="U24" s="518">
        <f>IFERROR(U20/U21,"")</f>
        <v>0.0191160262987877</v>
      </c>
      <c r="V24" s="518">
        <f>IFERROR(V20/V21,"")</f>
        <v>0.0187200470596377</v>
      </c>
      <c r="W24" s="519">
        <f>IFERROR(W20/W21,"")</f>
        <v>0.0189780665331444</v>
      </c>
      <c r="X24" s="518">
        <f>IFERROR(X20/X21,"")</f>
        <v>0.0190103008110605</v>
      </c>
      <c r="Y24" s="518">
        <f>IFERROR(Y20/Y21,"")</f>
        <v>0.0191916602580535</v>
      </c>
      <c r="Z24" s="518">
        <f>IFERROR(Z20/Z21,"")</f>
        <v>0.0189718559042373</v>
      </c>
      <c r="AA24" s="518">
        <f>IFERROR(AA20/AA21,"")</f>
        <v>0.0187607600843108</v>
      </c>
      <c r="AB24" s="519">
        <f>IFERROR(AB20/AB21,"")</f>
        <v>0.0189795405807461</v>
      </c>
      <c r="AC24" s="518">
        <f>IFERROR(AC20/AC21,"")</f>
        <v>0.0187216546615822</v>
      </c>
      <c r="AD24" s="518">
        <f>IFERROR(AD20/AD21,"")</f>
        <v>0.019618701052132</v>
      </c>
      <c r="AE24" s="518">
        <f>IFERROR(AE20/AE21,"")</f>
        <v>0.0200102140303635</v>
      </c>
      <c r="AF24" s="518">
        <f>IFERROR(AF20/AF21,"")</f>
        <v>0.0197453459521298</v>
      </c>
      <c r="AG24" s="519">
        <f>IFERROR(AG20/AG21,"")</f>
        <v>0.0195655352703903</v>
      </c>
      <c r="AH24" s="519">
        <f>IFERROR(AH20/AH21,"")</f>
        <v>0.0194692299955458</v>
      </c>
      <c r="AI24" s="519">
        <f>IFERROR(AI20/AI21,"")</f>
        <v>0.0194677215818056</v>
      </c>
    </row>
    <row r="25" s="255"/>
    <row r="26" s="255">
      <c r="C26" s="289" t="inlineStr">
        <is>
          <t>Segmentos geográficos (USD milhões)</t>
        </is>
      </c>
      <c r="D26" s="289" t="str">
        <f>D7</f>
        <v>1Q20</v>
      </c>
      <c r="E26" s="289" t="str">
        <f>E7</f>
        <v>2Q20</v>
      </c>
      <c r="F26" s="289" t="str">
        <f>F7</f>
        <v>3Q20</v>
      </c>
      <c r="G26" s="289" t="str">
        <f>G7</f>
        <v>4Q20</v>
      </c>
      <c r="H26" s="289">
        <f>H7</f>
        <v>2020</v>
      </c>
      <c r="I26" s="289" t="str">
        <f>I7</f>
        <v>1Q21</v>
      </c>
      <c r="J26" s="289" t="str">
        <f>J7</f>
        <v>2Q21</v>
      </c>
      <c r="K26" s="289" t="str">
        <f>K7</f>
        <v>3Q21</v>
      </c>
      <c r="L26" s="289" t="str">
        <f>L7</f>
        <v>4Q21</v>
      </c>
      <c r="M26" s="289">
        <f>M7</f>
        <v>2021</v>
      </c>
      <c r="N26" s="289" t="str">
        <f>N7</f>
        <v>1Q22</v>
      </c>
      <c r="O26" s="289" t="str">
        <f>O7</f>
        <v>2Q22</v>
      </c>
      <c r="P26" s="289" t="str">
        <f>P7</f>
        <v>3Q22</v>
      </c>
      <c r="Q26" s="289" t="str">
        <f>Q7</f>
        <v>4Q22</v>
      </c>
      <c r="R26" s="289">
        <f>R7</f>
        <v>2022</v>
      </c>
      <c r="S26" s="289" t="str">
        <f>S7</f>
        <v>1Q23</v>
      </c>
      <c r="T26" s="289" t="str">
        <f>T7</f>
        <v>2Q23</v>
      </c>
      <c r="U26" s="289" t="str">
        <f>U7</f>
        <v>3Q23</v>
      </c>
      <c r="V26" s="289" t="str">
        <f>V7</f>
        <v>4Q23</v>
      </c>
      <c r="W26" s="289">
        <f>W7</f>
        <v>2023</v>
      </c>
      <c r="X26" s="289" t="str">
        <f>X7</f>
        <v>1Q24</v>
      </c>
      <c r="Y26" s="289" t="str">
        <f>Y7</f>
        <v>2Q24</v>
      </c>
      <c r="Z26" s="289" t="str">
        <f>Z7</f>
        <v>3Q24</v>
      </c>
      <c r="AA26" s="289" t="str">
        <f>AA7</f>
        <v>4Q24</v>
      </c>
      <c r="AB26" s="289">
        <f>AB7</f>
        <v>2024</v>
      </c>
      <c r="AC26" s="289" t="str">
        <f>AC7</f>
        <v>1Q25</v>
      </c>
      <c r="AD26" s="289" t="str">
        <f>AD7</f>
        <v>2Q25</v>
      </c>
      <c r="AE26" s="289" t="str">
        <f>AE7</f>
        <v>3Q25</v>
      </c>
      <c r="AF26" s="289" t="str">
        <f>AF7</f>
        <v>4Q25</v>
      </c>
      <c r="AG26" s="289">
        <f>AG7</f>
        <v>2025</v>
      </c>
      <c r="AH26" s="289" t="str">
        <f>AH7</f>
        <v>1Q26</v>
      </c>
      <c r="AI26" s="289" t="str">
        <f>AI7</f>
        <v>2Q26</v>
      </c>
    </row>
    <row r="27" s="255">
      <c r="C27" s="275" t="inlineStr">
        <is>
          <t xml:space="preserve">   Receita EUA</t>
        </is>
      </c>
      <c r="D27" s="515">
        <f>IFERROR(INDEX('Inputs (2)'!$D$55:$AL$55,MATCH(D$7,'Inputs (2)'!$D$2:$AL$2,0)),"")</f>
        <v>28523</v>
      </c>
      <c r="E27" s="515">
        <f>IFERROR(INDEX('Inputs (2)'!$D$55:$AL$55,MATCH(E$7,'Inputs (2)'!$D$2:$AL$2,0)),"")</f>
        <v>27626</v>
      </c>
      <c r="F27" s="515">
        <f>IFERROR(INDEX('Inputs (2)'!$D$55:$AL$55,MATCH(F$7,'Inputs (2)'!$D$2:$AL$2,0)),"")</f>
        <v>38928</v>
      </c>
      <c r="G27" s="515">
        <f>IFERROR(INDEX('Inputs (2)'!$D$55:$AL$55,MATCH(G$7,'Inputs (2)'!$D$2:$AL$2,0)),"")</f>
        <v>31292</v>
      </c>
      <c r="H27" s="516">
        <f>IF(COUNT(D27:G27)=4,SUM(D27:G27),"")</f>
        <v>126369</v>
      </c>
      <c r="I27" s="515">
        <f>IFERROR(INDEX('Inputs (2)'!$D$55:$AL$55,MATCH(I$7,'Inputs (2)'!$D$2:$AL$2,0)),"")</f>
        <v>32127</v>
      </c>
      <c r="J27" s="515">
        <f>IFERROR(INDEX('Inputs (2)'!$D$55:$AL$55,MATCH(J$7,'Inputs (2)'!$D$2:$AL$2,0)),"")</f>
        <v>32759</v>
      </c>
      <c r="K27" s="515">
        <f>IFERROR(INDEX('Inputs (2)'!$D$55:$AL$55,MATCH(K$7,'Inputs (2)'!$D$2:$AL$2,0)),"")</f>
        <v>45220</v>
      </c>
      <c r="L27" s="515">
        <f>IFERROR(INDEX('Inputs (2)'!$D$55:$AL$55,MATCH(L$7,'Inputs (2)'!$D$2:$AL$2,0)),"")</f>
        <v>36317</v>
      </c>
      <c r="M27" s="516">
        <f>IF(COUNT(I27:L27)=4,SUM(I27:L27),"")</f>
        <v>146423</v>
      </c>
      <c r="N27" s="515">
        <f>IFERROR(INDEX('Inputs (2)'!$D$55:$AL$55,MATCH(N$7,'Inputs (2)'!$D$2:$AL$2,0)),"")</f>
        <v>37567</v>
      </c>
      <c r="O27" s="515">
        <f>IFERROR(INDEX('Inputs (2)'!$D$55:$AL$55,MATCH(O$7,'Inputs (2)'!$D$2:$AL$2,0)),"")</f>
        <v>38534</v>
      </c>
      <c r="P27" s="515">
        <f>IFERROR(INDEX('Inputs (2)'!$D$55:$AL$55,MATCH(P$7,'Inputs (2)'!$D$2:$AL$2,0)),"")</f>
        <v>52876</v>
      </c>
      <c r="Q27" s="515">
        <f>IFERROR(INDEX('Inputs (2)'!$D$55:$AL$55,MATCH(Q$7,'Inputs (2)'!$D$2:$AL$2,0)),"")</f>
        <v>40145</v>
      </c>
      <c r="R27" s="516">
        <f>IF(COUNT(N27:Q27)=4,SUM(N27:Q27),"")</f>
        <v>169122</v>
      </c>
      <c r="S27" s="515">
        <f>IFERROR(INDEX('Inputs (2)'!$D$55:$AL$55,MATCH(S$7,'Inputs (2)'!$D$2:$AL$2,0)),"")</f>
        <v>40145</v>
      </c>
      <c r="T27" s="515">
        <f>IFERROR(INDEX('Inputs (2)'!$D$55:$AL$55,MATCH(T$7,'Inputs (2)'!$D$2:$AL$2,0)),"")</f>
        <v>39049</v>
      </c>
      <c r="U27" s="515">
        <f>IFERROR(INDEX('Inputs (2)'!$D$55:$AL$55,MATCH(U$7,'Inputs (2)'!$D$2:$AL$2,0)),"")</f>
        <v>57291</v>
      </c>
      <c r="V27" s="515">
        <f>IFERROR(INDEX('Inputs (2)'!$D$55:$AL$55,MATCH(V$7,'Inputs (2)'!$D$2:$AL$2,0)),"")</f>
        <v>41833</v>
      </c>
      <c r="W27" s="516">
        <f>IF(COUNT(S27:V27)=4,SUM(S27:V27),"")</f>
        <v>178318</v>
      </c>
      <c r="X27" s="515">
        <f>IFERROR(INDEX('Inputs (2)'!$D$55:$AL$55,MATCH(X$7,'Inputs (2)'!$D$2:$AL$2,0)),"")</f>
        <v>41952</v>
      </c>
      <c r="Y27" s="515">
        <f>IFERROR(INDEX('Inputs (2)'!$D$55:$AL$55,MATCH(Y$7,'Inputs (2)'!$D$2:$AL$2,0)),"")</f>
        <v>42449</v>
      </c>
      <c r="Z27" s="515">
        <f>IFERROR(INDEX('Inputs (2)'!$D$55:$AL$55,MATCH(Z$7,'Inputs (2)'!$D$2:$AL$2,0)),"")</f>
        <v>57909</v>
      </c>
      <c r="AA27" s="515">
        <f>IFERROR(INDEX('Inputs (2)'!$D$55:$AL$55,MATCH(AA$7,'Inputs (2)'!$D$2:$AL$2,0)),"")</f>
        <v>45088</v>
      </c>
      <c r="AB27" s="516">
        <f>IF(COUNT(X27:AA27)=4,SUM(X27:AA27),"")</f>
        <v>187398</v>
      </c>
      <c r="AC27" s="515">
        <f>IFERROR(INDEX('Inputs (2)'!$D$55:$AL$55,MATCH(AC$7,'Inputs (2)'!$D$2:$AL$2,0)),"")</f>
        <v>46413</v>
      </c>
      <c r="AD27" s="515">
        <f>IFERROR(INDEX('Inputs (2)'!$D$55:$AL$55,MATCH(AD$7,'Inputs (2)'!$D$2:$AL$2,0)),"")</f>
        <v>46318</v>
      </c>
      <c r="AE27" s="515">
        <f>IFERROR(INDEX('Inputs (2)'!$D$55:$AL$55,MATCH(AE$7,'Inputs (2)'!$D$2:$AL$2,0)),"")</f>
        <v>62227</v>
      </c>
      <c r="AF27" s="515">
        <f>IFERROR(INDEX('Inputs (2)'!$D$55:$AL$55,MATCH(AF$7,'Inputs (2)'!$D$2:$AL$2,0)),"")</f>
        <v>48569</v>
      </c>
      <c r="AG27" s="516">
        <f>IF(COUNT(AC27:AF27)=4,SUM(AC27:AF27),"")</f>
        <v>203527</v>
      </c>
      <c r="AH27" s="516">
        <f>IFERROR(INDEX('Inputs (2)'!$D$55:$AL$55,MATCH(AH$7,'Inputs (2)'!$D$2:$AL$2,0)),"")</f>
        <v>49931</v>
      </c>
      <c r="AI27" s="516">
        <f>IFERROR(INDEX('Inputs (2)'!$D$55:$AL$55,MATCH(AI$7,'Inputs (2)'!$D$2:$AL$2,0)),"")</f>
        <v>51434</v>
      </c>
    </row>
    <row r="28" s="255">
      <c r="C28" s="275" t="inlineStr">
        <is>
          <t xml:space="preserve">   Receita Canadá</t>
        </is>
      </c>
      <c r="D28" s="515">
        <f>IFERROR(INDEX('Inputs (2)'!$D$56:$AL$56,MATCH(D$7,'Inputs (2)'!$D$2:$AL$2,0)),"")</f>
        <v>5231</v>
      </c>
      <c r="E28" s="515">
        <f>IFERROR(INDEX('Inputs (2)'!$D$56:$AL$56,MATCH(E$7,'Inputs (2)'!$D$2:$AL$2,0)),"")</f>
        <v>4722</v>
      </c>
      <c r="F28" s="515">
        <f>IFERROR(INDEX('Inputs (2)'!$D$56:$AL$56,MATCH(F$7,'Inputs (2)'!$D$2:$AL$2,0)),"")</f>
        <v>7354</v>
      </c>
      <c r="G28" s="515">
        <f>IFERROR(INDEX('Inputs (2)'!$D$56:$AL$56,MATCH(G$7,'Inputs (2)'!$D$2:$AL$2,0)),"")</f>
        <v>6011</v>
      </c>
      <c r="H28" s="516">
        <f>IF(COUNT(D28:G28)=4,SUM(D28:G28),"")</f>
        <v>23318</v>
      </c>
      <c r="I28" s="515">
        <f>IFERROR(INDEX('Inputs (2)'!$D$56:$AL$56,MATCH(I$7,'Inputs (2)'!$D$2:$AL$2,0)),"")</f>
        <v>6001</v>
      </c>
      <c r="J28" s="515">
        <f>IFERROR(INDEX('Inputs (2)'!$D$56:$AL$56,MATCH(J$7,'Inputs (2)'!$D$2:$AL$2,0)),"")</f>
        <v>6299</v>
      </c>
      <c r="K28" s="515">
        <f>IFERROR(INDEX('Inputs (2)'!$D$56:$AL$56,MATCH(K$7,'Inputs (2)'!$D$2:$AL$2,0)),"")</f>
        <v>8987</v>
      </c>
      <c r="L28" s="515">
        <f>IFERROR(INDEX('Inputs (2)'!$D$56:$AL$56,MATCH(L$7,'Inputs (2)'!$D$2:$AL$2,0)),"")</f>
        <v>7121</v>
      </c>
      <c r="M28" s="516">
        <f>IF(COUNT(I28:L28)=4,SUM(I28:L28),"")</f>
        <v>28408</v>
      </c>
      <c r="N28" s="515">
        <f>IFERROR(INDEX('Inputs (2)'!$D$56:$AL$56,MATCH(N$7,'Inputs (2)'!$D$2:$AL$2,0)),"")</f>
        <v>7017</v>
      </c>
      <c r="O28" s="515">
        <f>IFERROR(INDEX('Inputs (2)'!$D$56:$AL$56,MATCH(O$7,'Inputs (2)'!$D$2:$AL$2,0)),"")</f>
        <v>7268</v>
      </c>
      <c r="P28" s="515">
        <f>IFERROR(INDEX('Inputs (2)'!$D$56:$AL$56,MATCH(P$7,'Inputs (2)'!$D$2:$AL$2,0)),"")</f>
        <v>10269</v>
      </c>
      <c r="Q28" s="515">
        <f>IFERROR(INDEX('Inputs (2)'!$D$56:$AL$56,MATCH(Q$7,'Inputs (2)'!$D$2:$AL$2,0)),"")</f>
        <v>7356</v>
      </c>
      <c r="R28" s="516">
        <f>IF(COUNT(N28:Q28)=4,SUM(N28:Q28),"")</f>
        <v>31910</v>
      </c>
      <c r="S28" s="515">
        <f>IFERROR(INDEX('Inputs (2)'!$D$56:$AL$56,MATCH(S$7,'Inputs (2)'!$D$2:$AL$2,0)),"")</f>
        <v>7299</v>
      </c>
      <c r="T28" s="515">
        <f>IFERROR(INDEX('Inputs (2)'!$D$56:$AL$56,MATCH(T$7,'Inputs (2)'!$D$2:$AL$2,0)),"")</f>
        <v>7268</v>
      </c>
      <c r="U28" s="515">
        <f>IFERROR(INDEX('Inputs (2)'!$D$56:$AL$56,MATCH(U$7,'Inputs (2)'!$D$2:$AL$2,0)),"")</f>
        <v>11133</v>
      </c>
      <c r="V28" s="515">
        <f>IFERROR(INDEX('Inputs (2)'!$D$56:$AL$56,MATCH(V$7,'Inputs (2)'!$D$2:$AL$2,0)),"")</f>
        <v>7901</v>
      </c>
      <c r="W28" s="516">
        <f>IF(COUNT(S28:V28)=4,SUM(S28:V28),"")</f>
        <v>33601</v>
      </c>
      <c r="X28" s="515">
        <f>IFERROR(INDEX('Inputs (2)'!$D$56:$AL$56,MATCH(X$7,'Inputs (2)'!$D$2:$AL$2,0)),"")</f>
        <v>7874</v>
      </c>
      <c r="Y28" s="515">
        <f>IFERROR(INDEX('Inputs (2)'!$D$56:$AL$56,MATCH(Y$7,'Inputs (2)'!$D$2:$AL$2,0)),"")</f>
        <v>8014</v>
      </c>
      <c r="Z28" s="515">
        <f>IFERROR(INDEX('Inputs (2)'!$D$56:$AL$56,MATCH(Z$7,'Inputs (2)'!$D$2:$AL$2,0)),"")</f>
        <v>11085</v>
      </c>
      <c r="AA28" s="515">
        <f>IFERROR(INDEX('Inputs (2)'!$D$56:$AL$56,MATCH(AA$7,'Inputs (2)'!$D$2:$AL$2,0)),"")</f>
        <v>8404</v>
      </c>
      <c r="AB28" s="516">
        <f>IF(COUNT(X28:AA28)=4,SUM(X28:AA28),"")</f>
        <v>35377</v>
      </c>
      <c r="AC28" s="515">
        <f>IFERROR(INDEX('Inputs (2)'!$D$56:$AL$56,MATCH(AC$7,'Inputs (2)'!$D$2:$AL$2,0)),"")</f>
        <v>8296</v>
      </c>
      <c r="AD28" s="515">
        <f>IFERROR(INDEX('Inputs (2)'!$D$56:$AL$56,MATCH(AD$7,'Inputs (2)'!$D$2:$AL$2,0)),"")</f>
        <v>8321</v>
      </c>
      <c r="AE28" s="515">
        <f>IFERROR(INDEX('Inputs (2)'!$D$56:$AL$56,MATCH(AE$7,'Inputs (2)'!$D$2:$AL$2,0)),"")</f>
        <v>11902</v>
      </c>
      <c r="AF28" s="515">
        <f>IFERROR(INDEX('Inputs (2)'!$D$56:$AL$56,MATCH(AF$7,'Inputs (2)'!$D$2:$AL$2,0)),"")</f>
        <v>9073</v>
      </c>
      <c r="AG28" s="516">
        <f>IF(COUNT(AC28:AF28)=4,SUM(AC28:AF28),"")</f>
        <v>37592</v>
      </c>
      <c r="AH28" s="516">
        <f>IFERROR(INDEX('Inputs (2)'!$D$56:$AL$56,MATCH(AH$7,'Inputs (2)'!$D$2:$AL$2,0)),"")</f>
        <v>9291</v>
      </c>
      <c r="AI28" s="516">
        <f>IFERROR(INDEX('Inputs (2)'!$D$56:$AL$56,MATCH(AI$7,'Inputs (2)'!$D$2:$AL$2,0)),"")</f>
        <v>9410</v>
      </c>
    </row>
    <row r="29" s="255">
      <c r="C29" s="275" t="inlineStr">
        <is>
          <t xml:space="preserve">   Receita outros internacionais</t>
        </is>
      </c>
      <c r="D29" s="515">
        <f>IFERROR(INDEX('Inputs (2)'!$D$57:$AL$57,MATCH(D$7,'Inputs (2)'!$D$2:$AL$2,0)),"")</f>
        <v>5318</v>
      </c>
      <c r="E29" s="515">
        <f>IFERROR(INDEX('Inputs (2)'!$D$57:$AL$57,MATCH(E$7,'Inputs (2)'!$D$2:$AL$2,0)),"")</f>
        <v>4918</v>
      </c>
      <c r="F29" s="515">
        <f>IFERROR(INDEX('Inputs (2)'!$D$57:$AL$57,MATCH(F$7,'Inputs (2)'!$D$2:$AL$2,0)),"")</f>
        <v>7101</v>
      </c>
      <c r="G29" s="515">
        <f>IFERROR(INDEX('Inputs (2)'!$D$57:$AL$57,MATCH(G$7,'Inputs (2)'!$D$2:$AL$2,0)),"")</f>
        <v>5905</v>
      </c>
      <c r="H29" s="516">
        <f>IF(COUNT(D29:G29)=4,SUM(D29:G29),"")</f>
        <v>23242</v>
      </c>
      <c r="I29" s="515">
        <f>IFERROR(INDEX('Inputs (2)'!$D$57:$AL$57,MATCH(I$7,'Inputs (2)'!$D$2:$AL$2,0)),"")</f>
        <v>6641</v>
      </c>
      <c r="J29" s="515">
        <f>IFERROR(INDEX('Inputs (2)'!$D$57:$AL$57,MATCH(J$7,'Inputs (2)'!$D$2:$AL$2,0)),"")</f>
        <v>6219</v>
      </c>
      <c r="K29" s="515">
        <f>IFERROR(INDEX('Inputs (2)'!$D$57:$AL$57,MATCH(K$7,'Inputs (2)'!$D$2:$AL$2,0)),"")</f>
        <v>8468</v>
      </c>
      <c r="L29" s="515">
        <f>IFERROR(INDEX('Inputs (2)'!$D$57:$AL$57,MATCH(L$7,'Inputs (2)'!$D$2:$AL$2,0)),"")</f>
        <v>6925</v>
      </c>
      <c r="M29" s="516">
        <f>IF(COUNT(I29:L29)=4,SUM(I29:L29),"")</f>
        <v>28253</v>
      </c>
      <c r="N29" s="515">
        <f>IFERROR(INDEX('Inputs (2)'!$D$57:$AL$57,MATCH(N$7,'Inputs (2)'!$D$2:$AL$2,0)),"")</f>
        <v>7320</v>
      </c>
      <c r="O29" s="515">
        <f>IFERROR(INDEX('Inputs (2)'!$D$57:$AL$57,MATCH(O$7,'Inputs (2)'!$D$2:$AL$2,0)),"")</f>
        <v>6794</v>
      </c>
      <c r="P29" s="515">
        <f>IFERROR(INDEX('Inputs (2)'!$D$57:$AL$57,MATCH(P$7,'Inputs (2)'!$D$2:$AL$2,0)),"")</f>
        <v>8946</v>
      </c>
      <c r="Q29" s="515">
        <f>IFERROR(INDEX('Inputs (2)'!$D$57:$AL$57,MATCH(Q$7,'Inputs (2)'!$D$2:$AL$2,0)),"")</f>
        <v>6936</v>
      </c>
      <c r="R29" s="516">
        <f>IF(COUNT(N29:Q29)=4,SUM(N29:Q29),"")</f>
        <v>29996</v>
      </c>
      <c r="S29" s="515">
        <f>IFERROR(INDEX('Inputs (2)'!$D$57:$AL$57,MATCH(S$7,'Inputs (2)'!$D$2:$AL$2,0)),"")</f>
        <v>7822</v>
      </c>
      <c r="T29" s="515">
        <f>IFERROR(INDEX('Inputs (2)'!$D$57:$AL$57,MATCH(T$7,'Inputs (2)'!$D$2:$AL$2,0)),"")</f>
        <v>7331</v>
      </c>
      <c r="U29" s="515">
        <f>IFERROR(INDEX('Inputs (2)'!$D$57:$AL$57,MATCH(U$7,'Inputs (2)'!$D$2:$AL$2,0)),"")</f>
        <v>10515</v>
      </c>
      <c r="V29" s="515">
        <f>IFERROR(INDEX('Inputs (2)'!$D$57:$AL$57,MATCH(V$7,'Inputs (2)'!$D$2:$AL$2,0)),"")</f>
        <v>8065</v>
      </c>
      <c r="W29" s="516">
        <f>IF(COUNT(S29:V29)=4,SUM(S29:V29),"")</f>
        <v>33733</v>
      </c>
      <c r="X29" s="515">
        <f>IFERROR(INDEX('Inputs (2)'!$D$57:$AL$57,MATCH(X$7,'Inputs (2)'!$D$2:$AL$2,0)),"")</f>
        <v>8616</v>
      </c>
      <c r="Y29" s="515">
        <f>IFERROR(INDEX('Inputs (2)'!$D$57:$AL$57,MATCH(Y$7,'Inputs (2)'!$D$2:$AL$2,0)),"")</f>
        <v>8052</v>
      </c>
      <c r="Z29" s="515">
        <f>IFERROR(INDEX('Inputs (2)'!$D$57:$AL$57,MATCH(Z$7,'Inputs (2)'!$D$2:$AL$2,0)),"")</f>
        <v>10703</v>
      </c>
      <c r="AA29" s="515">
        <f>IFERROR(INDEX('Inputs (2)'!$D$57:$AL$57,MATCH(AA$7,'Inputs (2)'!$D$2:$AL$2,0)),"")</f>
        <v>8659</v>
      </c>
      <c r="AB29" s="516">
        <f>IF(COUNT(X29:AA29)=4,SUM(X29:AA29),"")</f>
        <v>36030</v>
      </c>
      <c r="AC29" s="515">
        <f>IFERROR(INDEX('Inputs (2)'!$D$57:$AL$57,MATCH(AC$7,'Inputs (2)'!$D$2:$AL$2,0)),"")</f>
        <v>9014</v>
      </c>
      <c r="AD29" s="515">
        <f>IFERROR(INDEX('Inputs (2)'!$D$57:$AL$57,MATCH(AD$7,'Inputs (2)'!$D$2:$AL$2,0)),"")</f>
        <v>8566</v>
      </c>
      <c r="AE29" s="515">
        <f>IFERROR(INDEX('Inputs (2)'!$D$57:$AL$57,MATCH(AE$7,'Inputs (2)'!$D$2:$AL$2,0)),"")</f>
        <v>12027</v>
      </c>
      <c r="AF29" s="515">
        <f>IFERROR(INDEX('Inputs (2)'!$D$57:$AL$57,MATCH(AF$7,'Inputs (2)'!$D$2:$AL$2,0)),"")</f>
        <v>9665</v>
      </c>
      <c r="AG29" s="516">
        <f>IF(COUNT(AC29:AF29)=4,SUM(AC29:AF29),"")</f>
        <v>39272</v>
      </c>
      <c r="AH29" s="516">
        <f>IFERROR(INDEX('Inputs (2)'!$D$57:$AL$57,MATCH(AH$7,'Inputs (2)'!$D$2:$AL$2,0)),"")</f>
        <v>10375</v>
      </c>
      <c r="AI29" s="516">
        <f>IFERROR(INDEX('Inputs (2)'!$D$57:$AL$57,MATCH(AI$7,'Inputs (2)'!$D$2:$AL$2,0)),"")</f>
        <v>9683</v>
      </c>
    </row>
    <row r="30" s="255">
      <c r="C30" s="275" t="inlineStr">
        <is>
          <t xml:space="preserve">   Lucro operacional EUA</t>
        </is>
      </c>
      <c r="D30" s="515">
        <f>IFERROR(INDEX('Inputs (2)'!$D$58:$AL$58,MATCH(D$7,'Inputs (2)'!$D$2:$AL$2,0)),"")</f>
        <v>821</v>
      </c>
      <c r="E30" s="515">
        <f>IFERROR(INDEX('Inputs (2)'!$D$58:$AL$58,MATCH(E$7,'Inputs (2)'!$D$2:$AL$2,0)),"")</f>
        <v>853</v>
      </c>
      <c r="F30" s="515">
        <f>IFERROR(INDEX('Inputs (2)'!$D$58:$AL$58,MATCH(F$7,'Inputs (2)'!$D$2:$AL$2,0)),"")</f>
        <v>1324</v>
      </c>
      <c r="G30" s="515">
        <f>IFERROR(INDEX('Inputs (2)'!$D$58:$AL$58,MATCH(G$7,'Inputs (2)'!$D$2:$AL$2,0)),"")</f>
        <v>937</v>
      </c>
      <c r="H30" s="516">
        <f>IF(COUNT(D30:G30)=4,SUM(D30:G30),"")</f>
        <v>3935</v>
      </c>
      <c r="I30" s="515">
        <f>IFERROR(INDEX('Inputs (2)'!$D$58:$AL$58,MATCH(I$7,'Inputs (2)'!$D$2:$AL$2,0)),"")</f>
        <v>826</v>
      </c>
      <c r="J30" s="515">
        <f>IFERROR(INDEX('Inputs (2)'!$D$58:$AL$58,MATCH(J$7,'Inputs (2)'!$D$2:$AL$2,0)),"")</f>
        <v>1135</v>
      </c>
      <c r="K30" s="515">
        <f>IFERROR(INDEX('Inputs (2)'!$D$58:$AL$58,MATCH(K$7,'Inputs (2)'!$D$2:$AL$2,0)),"")</f>
        <v>1525</v>
      </c>
      <c r="L30" s="515">
        <f>IFERROR(INDEX('Inputs (2)'!$D$58:$AL$58,MATCH(L$7,'Inputs (2)'!$D$2:$AL$2,0)),"")</f>
        <v>1118</v>
      </c>
      <c r="M30" s="516">
        <f>IF(COUNT(I30:L30)=4,SUM(I30:L30),"")</f>
        <v>4604</v>
      </c>
      <c r="N30" s="515">
        <f>IFERROR(INDEX('Inputs (2)'!$D$58:$AL$58,MATCH(N$7,'Inputs (2)'!$D$2:$AL$2,0)),"")</f>
        <v>1179</v>
      </c>
      <c r="O30" s="515">
        <f>IFERROR(INDEX('Inputs (2)'!$D$58:$AL$58,MATCH(O$7,'Inputs (2)'!$D$2:$AL$2,0)),"")</f>
        <v>1205</v>
      </c>
      <c r="P30" s="515">
        <f>IFERROR(INDEX('Inputs (2)'!$D$58:$AL$58,MATCH(P$7,'Inputs (2)'!$D$2:$AL$2,0)),"")</f>
        <v>1766</v>
      </c>
      <c r="Q30" s="515">
        <f>IFERROR(INDEX('Inputs (2)'!$D$58:$AL$58,MATCH(Q$7,'Inputs (2)'!$D$2:$AL$2,0)),"")</f>
        <v>1236</v>
      </c>
      <c r="R30" s="516">
        <f>IF(COUNT(N30:Q30)=4,SUM(N30:Q30),"")</f>
        <v>5386</v>
      </c>
      <c r="S30" s="515">
        <f>IFERROR(INDEX('Inputs (2)'!$D$58:$AL$58,MATCH(S$7,'Inputs (2)'!$D$2:$AL$2,0)),"")</f>
        <v>1295</v>
      </c>
      <c r="T30" s="515">
        <f>IFERROR(INDEX('Inputs (2)'!$D$58:$AL$58,MATCH(T$7,'Inputs (2)'!$D$2:$AL$2,0)),"")</f>
        <v>1027</v>
      </c>
      <c r="U30" s="515">
        <f>IFERROR(INDEX('Inputs (2)'!$D$58:$AL$58,MATCH(U$7,'Inputs (2)'!$D$2:$AL$2,0)),"")</f>
        <v>1834</v>
      </c>
      <c r="V30" s="515">
        <f>IFERROR(INDEX('Inputs (2)'!$D$58:$AL$58,MATCH(V$7,'Inputs (2)'!$D$2:$AL$2,0)),"")</f>
        <v>1358</v>
      </c>
      <c r="W30" s="516">
        <f>IF(COUNT(S30:V30)=4,SUM(S30:V30),"")</f>
        <v>5514</v>
      </c>
      <c r="X30" s="515">
        <f>IFERROR(INDEX('Inputs (2)'!$D$58:$AL$58,MATCH(X$7,'Inputs (2)'!$D$2:$AL$2,0)),"")</f>
        <v>1294</v>
      </c>
      <c r="Y30" s="515">
        <f>IFERROR(INDEX('Inputs (2)'!$D$58:$AL$58,MATCH(Y$7,'Inputs (2)'!$D$2:$AL$2,0)),"")</f>
        <v>1476</v>
      </c>
      <c r="Z30" s="515">
        <f>IFERROR(INDEX('Inputs (2)'!$D$58:$AL$58,MATCH(Z$7,'Inputs (2)'!$D$2:$AL$2,0)),"")</f>
        <v>2089</v>
      </c>
      <c r="AA30" s="515">
        <f>IFERROR(INDEX('Inputs (2)'!$D$58:$AL$58,MATCH(AA$7,'Inputs (2)'!$D$2:$AL$2,0)),"")</f>
        <v>1498</v>
      </c>
      <c r="AB30" s="516">
        <f>IF(COUNT(X30:AA30)=4,SUM(X30:AA30),"")</f>
        <v>6357</v>
      </c>
      <c r="AC30" s="515">
        <f>IFERROR(INDEX('Inputs (2)'!$D$58:$AL$58,MATCH(AC$7,'Inputs (2)'!$D$2:$AL$2,0)),"")</f>
        <v>1515</v>
      </c>
      <c r="AD30" s="515">
        <f>IFERROR(INDEX('Inputs (2)'!$D$58:$AL$58,MATCH(AD$7,'Inputs (2)'!$D$2:$AL$2,0)),"")</f>
        <v>1713</v>
      </c>
      <c r="AE30" s="515">
        <f>IFERROR(INDEX('Inputs (2)'!$D$58:$AL$58,MATCH(AE$7,'Inputs (2)'!$D$2:$AL$2,0)),"")</f>
        <v>2152</v>
      </c>
      <c r="AF30" s="515">
        <f>IFERROR(INDEX('Inputs (2)'!$D$58:$AL$58,MATCH(AF$7,'Inputs (2)'!$D$2:$AL$2,0)),"")</f>
        <v>1616</v>
      </c>
      <c r="AG30" s="516">
        <f>IF(COUNT(AC30:AF30)=4,SUM(AC30:AF30),"")</f>
        <v>6996</v>
      </c>
      <c r="AH30" s="516">
        <f>IFERROR(INDEX('Inputs (2)'!$D$58:$AL$58,MATCH(AH$7,'Inputs (2)'!$D$2:$AL$2,0)),"")</f>
        <v>1635</v>
      </c>
      <c r="AI30" s="516">
        <f>IFERROR(INDEX('Inputs (2)'!$D$58:$AL$58,MATCH(AI$7,'Inputs (2)'!$D$2:$AL$2,0)),"")</f>
        <v>1873</v>
      </c>
    </row>
    <row r="31" s="255">
      <c r="C31" s="275" t="inlineStr">
        <is>
          <t xml:space="preserve">   Lucro operacional Canadá</t>
        </is>
      </c>
      <c r="D31" s="515">
        <f>IFERROR(INDEX('Inputs (2)'!$D$59:$AL$59,MATCH(D$7,'Inputs (2)'!$D$2:$AL$2,0)),"")</f>
        <v>202</v>
      </c>
      <c r="E31" s="515">
        <f>IFERROR(INDEX('Inputs (2)'!$D$59:$AL$59,MATCH(E$7,'Inputs (2)'!$D$2:$AL$2,0)),"")</f>
        <v>129</v>
      </c>
      <c r="F31" s="515">
        <f>IFERROR(INDEX('Inputs (2)'!$D$59:$AL$59,MATCH(F$7,'Inputs (2)'!$D$2:$AL$2,0)),"")</f>
        <v>301</v>
      </c>
      <c r="G31" s="515">
        <f>IFERROR(INDEX('Inputs (2)'!$D$59:$AL$59,MATCH(G$7,'Inputs (2)'!$D$2:$AL$2,0)),"")</f>
        <v>247</v>
      </c>
      <c r="H31" s="516">
        <f>IF(COUNT(D31:G31)=4,SUM(D31:G31),"")</f>
        <v>879</v>
      </c>
      <c r="I31" s="515">
        <f>IFERROR(INDEX('Inputs (2)'!$D$59:$AL$59,MATCH(I$7,'Inputs (2)'!$D$2:$AL$2,0)),"")</f>
        <v>226</v>
      </c>
      <c r="J31" s="515">
        <f>IFERROR(INDEX('Inputs (2)'!$D$59:$AL$59,MATCH(J$7,'Inputs (2)'!$D$2:$AL$2,0)),"")</f>
        <v>260</v>
      </c>
      <c r="K31" s="515">
        <f>IFERROR(INDEX('Inputs (2)'!$D$59:$AL$59,MATCH(K$7,'Inputs (2)'!$D$2:$AL$2,0)),"")</f>
        <v>376</v>
      </c>
      <c r="L31" s="515">
        <f>IFERROR(INDEX('Inputs (2)'!$D$59:$AL$59,MATCH(L$7,'Inputs (2)'!$D$2:$AL$2,0)),"")</f>
        <v>293</v>
      </c>
      <c r="M31" s="516">
        <f>IF(COUNT(I31:L31)=4,SUM(I31:L31),"")</f>
        <v>1155</v>
      </c>
      <c r="N31" s="515">
        <f>IFERROR(INDEX('Inputs (2)'!$D$59:$AL$59,MATCH(N$7,'Inputs (2)'!$D$2:$AL$2,0)),"")</f>
        <v>301</v>
      </c>
      <c r="O31" s="515">
        <f>IFERROR(INDEX('Inputs (2)'!$D$59:$AL$59,MATCH(O$7,'Inputs (2)'!$D$2:$AL$2,0)),"")</f>
        <v>324</v>
      </c>
      <c r="P31" s="515">
        <f>IFERROR(INDEX('Inputs (2)'!$D$59:$AL$59,MATCH(P$7,'Inputs (2)'!$D$2:$AL$2,0)),"")</f>
        <v>428</v>
      </c>
      <c r="Q31" s="515">
        <f>IFERROR(INDEX('Inputs (2)'!$D$59:$AL$59,MATCH(Q$7,'Inputs (2)'!$D$2:$AL$2,0)),"")</f>
        <v>288</v>
      </c>
      <c r="R31" s="516">
        <f>IF(COUNT(N31:Q31)=4,SUM(N31:Q31),"")</f>
        <v>1341</v>
      </c>
      <c r="S31" s="515">
        <f>IFERROR(INDEX('Inputs (2)'!$D$59:$AL$59,MATCH(S$7,'Inputs (2)'!$D$2:$AL$2,0)),"")</f>
        <v>284</v>
      </c>
      <c r="T31" s="515">
        <f>IFERROR(INDEX('Inputs (2)'!$D$59:$AL$59,MATCH(T$7,'Inputs (2)'!$D$2:$AL$2,0)),"")</f>
        <v>327</v>
      </c>
      <c r="U31" s="515">
        <f>IFERROR(INDEX('Inputs (2)'!$D$59:$AL$59,MATCH(U$7,'Inputs (2)'!$D$2:$AL$2,0)),"")</f>
        <v>549</v>
      </c>
      <c r="V31" s="515">
        <f>IFERROR(INDEX('Inputs (2)'!$D$59:$AL$59,MATCH(V$7,'Inputs (2)'!$D$2:$AL$2,0)),"")</f>
        <v>325</v>
      </c>
      <c r="W31" s="516">
        <f>IF(COUNT(S31:V31)=4,SUM(S31:V31),"")</f>
        <v>1485</v>
      </c>
      <c r="X31" s="515">
        <f>IFERROR(INDEX('Inputs (2)'!$D$59:$AL$59,MATCH(X$7,'Inputs (2)'!$D$2:$AL$2,0)),"")</f>
        <v>390</v>
      </c>
      <c r="Y31" s="515">
        <f>IFERROR(INDEX('Inputs (2)'!$D$59:$AL$59,MATCH(Y$7,'Inputs (2)'!$D$2:$AL$2,0)),"")</f>
        <v>394</v>
      </c>
      <c r="Z31" s="515">
        <f>IFERROR(INDEX('Inputs (2)'!$D$59:$AL$59,MATCH(Z$7,'Inputs (2)'!$D$2:$AL$2,0)),"")</f>
        <v>539</v>
      </c>
      <c r="AA31" s="515">
        <f>IFERROR(INDEX('Inputs (2)'!$D$59:$AL$59,MATCH(AA$7,'Inputs (2)'!$D$2:$AL$2,0)),"")</f>
        <v>362</v>
      </c>
      <c r="AB31" s="516">
        <f>IF(COUNT(X31:AA31)=4,SUM(X31:AA31),"")</f>
        <v>1685</v>
      </c>
      <c r="AC31" s="515">
        <f>IFERROR(INDEX('Inputs (2)'!$D$59:$AL$59,MATCH(AC$7,'Inputs (2)'!$D$2:$AL$2,0)),"")</f>
        <v>403</v>
      </c>
      <c r="AD31" s="515">
        <f>IFERROR(INDEX('Inputs (2)'!$D$59:$AL$59,MATCH(AD$7,'Inputs (2)'!$D$2:$AL$2,0)),"")</f>
        <v>450</v>
      </c>
      <c r="AE31" s="515">
        <f>IFERROR(INDEX('Inputs (2)'!$D$59:$AL$59,MATCH(AE$7,'Inputs (2)'!$D$2:$AL$2,0)),"")</f>
        <v>634</v>
      </c>
      <c r="AF31" s="515">
        <f>IFERROR(INDEX('Inputs (2)'!$D$59:$AL$59,MATCH(AF$7,'Inputs (2)'!$D$2:$AL$2,0)),"")</f>
        <v>434</v>
      </c>
      <c r="AG31" s="516">
        <f>IF(COUNT(AC31:AF31)=4,SUM(AC31:AF31),"")</f>
        <v>1921</v>
      </c>
      <c r="AH31" s="516">
        <f>IFERROR(INDEX('Inputs (2)'!$D$59:$AL$59,MATCH(AH$7,'Inputs (2)'!$D$2:$AL$2,0)),"")</f>
        <v>476</v>
      </c>
      <c r="AI31" s="516">
        <f>IFERROR(INDEX('Inputs (2)'!$D$59:$AL$59,MATCH(AI$7,'Inputs (2)'!$D$2:$AL$2,0)),"")</f>
        <v>506</v>
      </c>
    </row>
    <row r="32" s="255">
      <c r="C32" s="275" t="inlineStr">
        <is>
          <t xml:space="preserve">   Lucro operacional outros internacionais</t>
        </is>
      </c>
      <c r="D32" s="515">
        <f>IFERROR(INDEX('Inputs (2)'!$D$60:$AL$60,MATCH(D$7,'Inputs (2)'!$D$2:$AL$2,0)),"")</f>
        <v>243</v>
      </c>
      <c r="E32" s="515">
        <f>IFERROR(INDEX('Inputs (2)'!$D$60:$AL$60,MATCH(E$7,'Inputs (2)'!$D$2:$AL$2,0)),"")</f>
        <v>197</v>
      </c>
      <c r="F32" s="515">
        <f>IFERROR(INDEX('Inputs (2)'!$D$60:$AL$60,MATCH(F$7,'Inputs (2)'!$D$2:$AL$2,0)),"")</f>
        <v>197</v>
      </c>
      <c r="G32" s="515">
        <f>IFERROR(INDEX('Inputs (2)'!$D$60:$AL$60,MATCH(G$7,'Inputs (2)'!$D$2:$AL$2,0)),"")</f>
        <v>246</v>
      </c>
      <c r="H32" s="516">
        <f>IF(COUNT(D32:G32)=4,SUM(D32:G32),"")</f>
        <v>883</v>
      </c>
      <c r="I32" s="515">
        <f>IFERROR(INDEX('Inputs (2)'!$D$60:$AL$60,MATCH(I$7,'Inputs (2)'!$D$2:$AL$2,0)),"")</f>
        <v>288</v>
      </c>
      <c r="J32" s="515">
        <f>IFERROR(INDEX('Inputs (2)'!$D$60:$AL$60,MATCH(J$7,'Inputs (2)'!$D$2:$AL$2,0)),"")</f>
        <v>268</v>
      </c>
      <c r="K32" s="515">
        <f>IFERROR(INDEX('Inputs (2)'!$D$60:$AL$60,MATCH(K$7,'Inputs (2)'!$D$2:$AL$2,0)),"")</f>
        <v>343</v>
      </c>
      <c r="L32" s="515">
        <f>IFERROR(INDEX('Inputs (2)'!$D$60:$AL$60,MATCH(L$7,'Inputs (2)'!$D$2:$AL$2,0)),"")</f>
        <v>282</v>
      </c>
      <c r="M32" s="516">
        <f>IF(COUNT(I32:L32)=4,SUM(I32:L32),"")</f>
        <v>1181</v>
      </c>
      <c r="N32" s="515">
        <f>IFERROR(INDEX('Inputs (2)'!$D$60:$AL$60,MATCH(N$7,'Inputs (2)'!$D$2:$AL$2,0)),"")</f>
        <v>332</v>
      </c>
      <c r="O32" s="515">
        <f>IFERROR(INDEX('Inputs (2)'!$D$60:$AL$60,MATCH(O$7,'Inputs (2)'!$D$2:$AL$2,0)),"")</f>
        <v>262</v>
      </c>
      <c r="P32" s="515">
        <f>IFERROR(INDEX('Inputs (2)'!$D$60:$AL$60,MATCH(P$7,'Inputs (2)'!$D$2:$AL$2,0)),"")</f>
        <v>303</v>
      </c>
      <c r="Q32" s="515">
        <f>IFERROR(INDEX('Inputs (2)'!$D$60:$AL$60,MATCH(Q$7,'Inputs (2)'!$D$2:$AL$2,0)),"")</f>
        <v>227</v>
      </c>
      <c r="R32" s="516">
        <f>IF(COUNT(N32:Q32)=4,SUM(N32:Q32),"")</f>
        <v>1124</v>
      </c>
      <c r="S32" s="515">
        <f>IFERROR(INDEX('Inputs (2)'!$D$60:$AL$60,MATCH(S$7,'Inputs (2)'!$D$2:$AL$2,0)),"")</f>
        <v>324</v>
      </c>
      <c r="T32" s="515">
        <f>IFERROR(INDEX('Inputs (2)'!$D$60:$AL$60,MATCH(T$7,'Inputs (2)'!$D$2:$AL$2,0)),"")</f>
        <v>325</v>
      </c>
      <c r="U32" s="515">
        <f>IFERROR(INDEX('Inputs (2)'!$D$60:$AL$60,MATCH(U$7,'Inputs (2)'!$D$2:$AL$2,0)),"")</f>
        <v>398</v>
      </c>
      <c r="V32" s="515">
        <f>IFERROR(INDEX('Inputs (2)'!$D$60:$AL$60,MATCH(V$7,'Inputs (2)'!$D$2:$AL$2,0)),"")</f>
        <v>301</v>
      </c>
      <c r="W32" s="516">
        <f>IF(COUNT(S32:V32)=4,SUM(S32:V32),"")</f>
        <v>1348</v>
      </c>
      <c r="X32" s="515">
        <f>IFERROR(INDEX('Inputs (2)'!$D$60:$AL$60,MATCH(X$7,'Inputs (2)'!$D$2:$AL$2,0)),"")</f>
        <v>378</v>
      </c>
      <c r="Y32" s="515">
        <f>IFERROR(INDEX('Inputs (2)'!$D$60:$AL$60,MATCH(Y$7,'Inputs (2)'!$D$2:$AL$2,0)),"")</f>
        <v>327</v>
      </c>
      <c r="Z32" s="515">
        <f>IFERROR(INDEX('Inputs (2)'!$D$60:$AL$60,MATCH(Z$7,'Inputs (2)'!$D$2:$AL$2,0)),"")</f>
        <v>414</v>
      </c>
      <c r="AA32" s="515">
        <f>IFERROR(INDEX('Inputs (2)'!$D$60:$AL$60,MATCH(AA$7,'Inputs (2)'!$D$2:$AL$2,0)),"")</f>
        <v>336</v>
      </c>
      <c r="AB32" s="516">
        <f>IF(COUNT(X32:AA32)=4,SUM(X32:AA32),"")</f>
        <v>1455</v>
      </c>
      <c r="AC32" s="515">
        <f>IFERROR(INDEX('Inputs (2)'!$D$60:$AL$60,MATCH(AC$7,'Inputs (2)'!$D$2:$AL$2,0)),"")</f>
        <v>398</v>
      </c>
      <c r="AD32" s="515">
        <f>IFERROR(INDEX('Inputs (2)'!$D$60:$AL$60,MATCH(AD$7,'Inputs (2)'!$D$2:$AL$2,0)),"")</f>
        <v>367</v>
      </c>
      <c r="AE32" s="515">
        <f>IFERROR(INDEX('Inputs (2)'!$D$60:$AL$60,MATCH(AE$7,'Inputs (2)'!$D$2:$AL$2,0)),"")</f>
        <v>555</v>
      </c>
      <c r="AF32" s="515">
        <f>IFERROR(INDEX('Inputs (2)'!$D$60:$AL$60,MATCH(AF$7,'Inputs (2)'!$D$2:$AL$2,0)),"")</f>
        <v>413</v>
      </c>
      <c r="AG32" s="516">
        <f>IF(COUNT(AC32:AF32)=4,SUM(AC32:AF32),"")</f>
        <v>1733</v>
      </c>
      <c r="AH32" s="516">
        <f>IFERROR(INDEX('Inputs (2)'!$D$60:$AL$60,MATCH(AH$7,'Inputs (2)'!$D$2:$AL$2,0)),"")</f>
        <v>495</v>
      </c>
      <c r="AI32" s="516">
        <f>IFERROR(INDEX('Inputs (2)'!$D$60:$AL$60,MATCH(AI$7,'Inputs (2)'!$D$2:$AL$2,0)),"")</f>
        <v>436</v>
      </c>
    </row>
    <row r="33" s="255">
      <c r="C33" s="275" t="inlineStr">
        <is>
          <t xml:space="preserve">   Margem operacional EUA</t>
        </is>
      </c>
      <c r="D33" s="518">
        <f>IFERROR(D30/D27,"")</f>
        <v>0.028783788521544</v>
      </c>
      <c r="E33" s="518">
        <f>IFERROR(E30/E27,"")</f>
        <v>0.0308767103453269</v>
      </c>
      <c r="F33" s="518">
        <f>IFERROR(F30/F27,"")</f>
        <v>0.0340115084258118</v>
      </c>
      <c r="G33" s="518">
        <f>IFERROR(G30/G27,"")</f>
        <v>0.0299437555924837</v>
      </c>
      <c r="H33" s="519">
        <f>IFERROR(H30/H27,"")</f>
        <v>0.0311389660438873</v>
      </c>
      <c r="I33" s="518">
        <f>IFERROR(I30/I27,"")</f>
        <v>0.0257104616055032</v>
      </c>
      <c r="J33" s="518">
        <f>IFERROR(J30/J27,"")</f>
        <v>0.0346469672456424</v>
      </c>
      <c r="K33" s="518">
        <f>IFERROR(K30/K27,"")</f>
        <v>0.0337240159221583</v>
      </c>
      <c r="L33" s="518">
        <f>IFERROR(L30/L27,"")</f>
        <v>0.0307844810970069</v>
      </c>
      <c r="M33" s="519">
        <f>IFERROR(M30/M27,"")</f>
        <v>0.0314431475929328</v>
      </c>
      <c r="N33" s="518">
        <f>IFERROR(N30/N27,"")</f>
        <v>0.0313839273830756</v>
      </c>
      <c r="O33" s="518">
        <f>IFERROR(O30/O27,"")</f>
        <v>0.0312710852753413</v>
      </c>
      <c r="P33" s="518">
        <f>IFERROR(P30/P27,"")</f>
        <v>0.0333988955291626</v>
      </c>
      <c r="Q33" s="518">
        <f>IFERROR(Q30/Q27,"")</f>
        <v>0.0307883920787147</v>
      </c>
      <c r="R33" s="519">
        <f>IFERROR(R30/R27,"")</f>
        <v>0.0318468324641383</v>
      </c>
      <c r="S33" s="518">
        <f>IFERROR(S30/S27,"")</f>
        <v>0.032258064516129</v>
      </c>
      <c r="T33" s="518">
        <f>IFERROR(T30/T27,"")</f>
        <v>0.0263002893800097</v>
      </c>
      <c r="U33" s="518">
        <f>IFERROR(U30/U27,"")</f>
        <v>0.0320120088670123</v>
      </c>
      <c r="V33" s="518">
        <f>IFERROR(V30/V27,"")</f>
        <v>0.0324624100590443</v>
      </c>
      <c r="W33" s="519">
        <f>IFERROR(W30/W27,"")</f>
        <v>0.0309222849067396</v>
      </c>
      <c r="X33" s="518">
        <f>IFERROR(X30/X27,"")</f>
        <v>0.0308447749809306</v>
      </c>
      <c r="Y33" s="518">
        <f>IFERROR(Y30/Y27,"")</f>
        <v>0.034771137129261</v>
      </c>
      <c r="Z33" s="518">
        <f>IFERROR(Z30/Z27,"")</f>
        <v>0.0360738399903297</v>
      </c>
      <c r="AA33" s="518">
        <f>IFERROR(AA30/AA27,"")</f>
        <v>0.0332239176721079</v>
      </c>
      <c r="AB33" s="519">
        <f>IFERROR(AB30/AB27,"")</f>
        <v>0.0339224538148753</v>
      </c>
      <c r="AC33" s="518">
        <f>IFERROR(AC30/AC27,"")</f>
        <v>0.0326417167603904</v>
      </c>
      <c r="AD33" s="518">
        <f>IFERROR(AD30/AD27,"")</f>
        <v>0.0369834621529427</v>
      </c>
      <c r="AE33" s="518">
        <f>IFERROR(AE30/AE27,"")</f>
        <v>0.0345830588008421</v>
      </c>
      <c r="AF33" s="518">
        <f>IFERROR(AF30/AF27,"")</f>
        <v>0.0332722518478865</v>
      </c>
      <c r="AG33" s="519">
        <f>IFERROR(AG30/AG27,"")</f>
        <v>0.0343738177244297</v>
      </c>
      <c r="AH33" s="519">
        <f>IFERROR(AH30/AH27,"")</f>
        <v>0.0327451883599367</v>
      </c>
      <c r="AI33" s="519">
        <f>IFERROR(AI30/AI27,"")</f>
        <v>0.0364156005754948</v>
      </c>
    </row>
    <row r="34" s="255"/>
    <row r="35" s="255"/>
    <row r="36" s="255"/>
    <row r="37" hidden="1" outlineLevel="1" ht="12.75" customFormat="1" customHeight="1" s="291">
      <c r="A37" s="292" t="n"/>
      <c r="B37" s="293" t="n"/>
      <c r="C37" s="300" t="n"/>
      <c r="D37" s="295" t="n"/>
      <c r="E37" s="295" t="n"/>
      <c r="F37" s="295" t="n"/>
      <c r="G37" s="295" t="n"/>
      <c r="H37" s="295" t="n"/>
      <c r="I37" s="295" t="n"/>
      <c r="J37" s="295" t="n"/>
      <c r="K37" s="295" t="n"/>
      <c r="L37" s="295" t="n"/>
      <c r="M37" s="295" t="n"/>
      <c r="N37" s="295" t="n"/>
      <c r="O37" s="295" t="n"/>
      <c r="P37" s="295" t="n"/>
      <c r="Q37" s="295" t="n"/>
      <c r="R37" s="295" t="n"/>
      <c r="S37" s="295" t="n"/>
      <c r="T37" s="295" t="n"/>
      <c r="U37" s="295" t="n"/>
      <c r="V37" s="295" t="n"/>
      <c r="W37" s="295" t="n"/>
      <c r="X37" s="295" t="n"/>
      <c r="Y37" s="295" t="n"/>
      <c r="Z37" s="295" t="n"/>
      <c r="AA37" s="295" t="n"/>
      <c r="AB37" s="295" t="n"/>
      <c r="AC37" s="295" t="n"/>
      <c r="AD37" s="295" t="n"/>
      <c r="AE37" s="295" t="n"/>
      <c r="AF37" s="295" t="n"/>
      <c r="AG37" s="295" t="n"/>
      <c r="AH37" s="295" t="n"/>
      <c r="AI37" s="295" t="n"/>
      <c r="AJ37" s="295" t="n"/>
      <c r="AK37" s="295" t="n"/>
      <c r="AL37" s="295" t="n"/>
      <c r="AM37" s="295" t="n"/>
      <c r="AN37" s="295" t="n"/>
      <c r="AO37" s="295" t="n"/>
      <c r="AP37" s="295" t="n"/>
      <c r="AQ37" s="295" t="n"/>
      <c r="AR37" s="295" t="n"/>
      <c r="AS37" s="295" t="n"/>
      <c r="AT37" s="295" t="n"/>
      <c r="AU37" s="295" t="n"/>
      <c r="AV37" s="295" t="n"/>
      <c r="AW37" s="295" t="n"/>
      <c r="AX37" s="295" t="n"/>
      <c r="AY37" s="295" t="n"/>
      <c r="AZ37" s="295" t="n"/>
      <c r="BA37" s="295" t="n"/>
      <c r="BB37" s="295" t="n"/>
      <c r="BC37" s="295" t="n"/>
      <c r="BD37" s="295" t="n"/>
      <c r="BE37" s="295" t="n"/>
      <c r="BF37" s="295" t="n"/>
      <c r="BG37" s="295" t="n"/>
      <c r="BH37" s="295" t="n"/>
      <c r="BI37" s="295" t="n"/>
      <c r="BJ37" s="295" t="n"/>
      <c r="BK37" s="295" t="n"/>
      <c r="BL37" s="295" t="n"/>
      <c r="BM37" s="295" t="n"/>
      <c r="BN37" s="295" t="n"/>
      <c r="BO37" s="295" t="n"/>
      <c r="BP37" s="295" t="n"/>
      <c r="BQ37" s="295" t="n"/>
      <c r="BR37" s="295" t="n"/>
      <c r="BS37" s="295" t="n"/>
      <c r="BT37" s="295" t="n"/>
      <c r="BU37" s="295" t="n"/>
      <c r="BV37" s="295" t="n"/>
      <c r="BW37" s="295" t="n"/>
      <c r="BX37" s="295" t="n"/>
      <c r="BY37" s="295" t="n"/>
      <c r="BZ37" s="295" t="n"/>
      <c r="CA37" s="295" t="n"/>
      <c r="CB37" s="295" t="n"/>
      <c r="CC37" s="295" t="n"/>
      <c r="CD37" s="295" t="n"/>
      <c r="CE37" s="295" t="n"/>
      <c r="CF37" s="295" t="n"/>
      <c r="CG37" s="295" t="n"/>
      <c r="CH37" s="295" t="n"/>
      <c r="CI37" s="295" t="n"/>
      <c r="CJ37" s="295" t="n"/>
      <c r="CK37" s="295" t="n"/>
      <c r="CL37" s="295" t="n"/>
      <c r="CM37" s="295" t="n"/>
      <c r="CN37" s="295" t="n"/>
      <c r="CO37" s="295" t="n"/>
      <c r="CP37" s="295" t="n"/>
      <c r="CQ37" s="295" t="n"/>
      <c r="CR37" s="295" t="n"/>
      <c r="CS37" s="295" t="n"/>
      <c r="CT37" s="295" t="n"/>
      <c r="CU37" s="295" t="n"/>
      <c r="CV37" s="295" t="n"/>
      <c r="CW37" s="295" t="n"/>
      <c r="CX37" s="295" t="n"/>
      <c r="CY37" s="295" t="n"/>
    </row>
    <row r="38" hidden="1" outlineLevel="1" ht="12.75" customFormat="1" customHeight="1" s="291">
      <c r="A38" s="292" t="n"/>
      <c r="B38" s="293" t="n"/>
      <c r="C38" s="300" t="n"/>
      <c r="D38" s="295" t="n"/>
      <c r="E38" s="295" t="n"/>
      <c r="F38" s="295" t="n"/>
      <c r="G38" s="295" t="n"/>
      <c r="H38" s="295" t="n"/>
      <c r="I38" s="295" t="n"/>
      <c r="J38" s="295" t="n"/>
      <c r="K38" s="295" t="n"/>
      <c r="L38" s="295" t="n"/>
      <c r="M38" s="295" t="n"/>
      <c r="N38" s="295" t="n"/>
      <c r="O38" s="295" t="n"/>
      <c r="P38" s="295" t="n"/>
      <c r="Q38" s="295" t="n"/>
      <c r="R38" s="295" t="n"/>
      <c r="S38" s="295" t="n"/>
      <c r="T38" s="295" t="n"/>
      <c r="U38" s="295" t="n"/>
      <c r="V38" s="295" t="n"/>
      <c r="W38" s="295" t="n"/>
      <c r="X38" s="295" t="n"/>
      <c r="Y38" s="295" t="n"/>
      <c r="Z38" s="295" t="n"/>
      <c r="AA38" s="295" t="n"/>
      <c r="AB38" s="295" t="n"/>
      <c r="AC38" s="295" t="n"/>
      <c r="AD38" s="295" t="n"/>
      <c r="AE38" s="295" t="n"/>
      <c r="AF38" s="295" t="n"/>
      <c r="AG38" s="295" t="n"/>
      <c r="AH38" s="295" t="n"/>
      <c r="AI38" s="295" t="n"/>
      <c r="AJ38" s="295" t="n"/>
      <c r="AK38" s="295" t="n"/>
      <c r="AL38" s="295" t="n"/>
      <c r="AM38" s="295" t="n"/>
      <c r="AN38" s="295" t="n"/>
      <c r="AO38" s="295" t="n"/>
      <c r="AP38" s="295" t="n"/>
      <c r="AQ38" s="295" t="n"/>
      <c r="AR38" s="295" t="n"/>
      <c r="AS38" s="295" t="n"/>
      <c r="AT38" s="295" t="n"/>
      <c r="AU38" s="295" t="n"/>
      <c r="AV38" s="295" t="n"/>
      <c r="AW38" s="295" t="n"/>
      <c r="AX38" s="295" t="n"/>
      <c r="AY38" s="295" t="n"/>
      <c r="AZ38" s="295" t="n"/>
      <c r="BA38" s="295" t="n"/>
      <c r="BB38" s="295" t="n"/>
      <c r="BC38" s="295" t="n"/>
      <c r="BD38" s="295" t="n"/>
      <c r="BE38" s="295" t="n"/>
      <c r="BF38" s="295" t="n"/>
      <c r="BG38" s="295" t="n"/>
      <c r="BH38" s="295" t="n"/>
      <c r="BI38" s="295" t="n"/>
      <c r="BJ38" s="295" t="n"/>
      <c r="BK38" s="295" t="n"/>
      <c r="BL38" s="295" t="n"/>
      <c r="BM38" s="295" t="n"/>
      <c r="BN38" s="295" t="n"/>
      <c r="BO38" s="295" t="n"/>
      <c r="BP38" s="295" t="n"/>
      <c r="BQ38" s="295" t="n"/>
      <c r="BR38" s="295" t="n"/>
      <c r="BS38" s="295" t="n"/>
      <c r="BT38" s="295" t="n"/>
      <c r="BU38" s="295" t="n"/>
      <c r="BV38" s="295" t="n"/>
      <c r="BW38" s="295" t="n"/>
      <c r="BX38" s="295" t="n"/>
      <c r="BY38" s="295" t="n"/>
      <c r="BZ38" s="295" t="n"/>
      <c r="CA38" s="295" t="n"/>
      <c r="CB38" s="295" t="n"/>
      <c r="CC38" s="295" t="n"/>
      <c r="CD38" s="295" t="n"/>
      <c r="CE38" s="295" t="n"/>
      <c r="CF38" s="295" t="n"/>
      <c r="CG38" s="295" t="n"/>
      <c r="CH38" s="295" t="n"/>
      <c r="CI38" s="295" t="n"/>
      <c r="CJ38" s="295" t="n"/>
      <c r="CK38" s="295" t="n"/>
      <c r="CL38" s="295" t="n"/>
      <c r="CM38" s="295" t="n"/>
      <c r="CN38" s="295" t="n"/>
      <c r="CO38" s="295" t="n"/>
      <c r="CP38" s="295" t="n"/>
      <c r="CQ38" s="295" t="n"/>
      <c r="CR38" s="295" t="n"/>
      <c r="CS38" s="295" t="n"/>
      <c r="CT38" s="295" t="n"/>
      <c r="CU38" s="295" t="n"/>
      <c r="CV38" s="295" t="n"/>
      <c r="CW38" s="295" t="n"/>
      <c r="CX38" s="295" t="n"/>
      <c r="CY38" s="295" t="n"/>
    </row>
    <row r="39" ht="12.75" customHeight="1" s="255">
      <c r="C39" s="269" t="inlineStr">
        <is>
          <t>COGS (cash)</t>
        </is>
      </c>
      <c r="D39" s="301">
        <f>INDEX('Inputs (2)'!$D$5:$AL$5,MATCH(D$7,'Inputs (2)'!$D$2:$AL$2,0))</f>
        <v>-34056</v>
      </c>
      <c r="E39" s="301">
        <f>INDEX('Inputs (2)'!$D$5:$AL$5,MATCH(E$7,'Inputs (2)'!$D$2:$AL$2,0))</f>
        <v>-32249</v>
      </c>
      <c r="F39" s="301">
        <f>INDEX('Inputs (2)'!$D$5:$AL$5,MATCH(F$7,'Inputs (2)'!$D$2:$AL$2,0))</f>
        <v>-46401</v>
      </c>
      <c r="G39" s="301">
        <f>INDEX('Inputs (2)'!$D$5:$AL$5,MATCH(G$7,'Inputs (2)'!$D$2:$AL$2,0))</f>
        <v>-37458</v>
      </c>
      <c r="H39" s="268">
        <f>SUM(D39:G39)</f>
        <v>-150164</v>
      </c>
      <c r="I39" s="301">
        <f>INDEX('Inputs (2)'!$D$5:$AL$5,MATCH(I$7,'Inputs (2)'!$D$2:$AL$2,0))</f>
        <v>-39078</v>
      </c>
      <c r="J39" s="301">
        <f>INDEX('Inputs (2)'!$D$5:$AL$5,MATCH(J$7,'Inputs (2)'!$D$2:$AL$2,0))</f>
        <v>-39415</v>
      </c>
      <c r="K39" s="301">
        <f>INDEX('Inputs (2)'!$D$5:$AL$5,MATCH(K$7,'Inputs (2)'!$D$2:$AL$2,0))</f>
        <v>-54733</v>
      </c>
      <c r="L39" s="301">
        <f>INDEX('Inputs (2)'!$D$5:$AL$5,MATCH(L$7,'Inputs (2)'!$D$2:$AL$2,0))</f>
        <v>-43952</v>
      </c>
      <c r="M39" s="268">
        <f>SUM(I39:L39)</f>
        <v>-177178</v>
      </c>
      <c r="N39" s="301">
        <f>INDEX('Inputs (2)'!$D$5:$AL$5,MATCH(N$7,'Inputs (2)'!$D$2:$AL$2,0))</f>
        <v>-45517</v>
      </c>
      <c r="O39" s="301">
        <f>INDEX('Inputs (2)'!$D$5:$AL$5,MATCH(O$7,'Inputs (2)'!$D$2:$AL$2,0))</f>
        <v>-46355</v>
      </c>
      <c r="P39" s="301">
        <f>INDEX('Inputs (2)'!$D$5:$AL$5,MATCH(P$7,'Inputs (2)'!$D$2:$AL$2,0))</f>
        <v>-63558</v>
      </c>
      <c r="Q39" s="301">
        <f>INDEX('Inputs (2)'!$D$5:$AL$5,MATCH(Q$7,'Inputs (2)'!$D$2:$AL$2,0))</f>
        <v>-47769</v>
      </c>
      <c r="R39" s="268">
        <f>SUM(N39:Q39)</f>
        <v>-203199</v>
      </c>
      <c r="S39" s="301">
        <f>INDEX('Inputs (2)'!$D$5:$AL$5,MATCH(S$7,'Inputs (2)'!$D$2:$AL$2,0))</f>
        <v>-48423</v>
      </c>
      <c r="T39" s="301">
        <f>INDEX('Inputs (2)'!$D$5:$AL$5,MATCH(T$7,'Inputs (2)'!$D$2:$AL$2,0))</f>
        <v>-47175</v>
      </c>
      <c r="U39" s="301">
        <f>INDEX('Inputs (2)'!$D$5:$AL$5,MATCH(U$7,'Inputs (2)'!$D$2:$AL$2,0))</f>
        <v>-69219</v>
      </c>
      <c r="V39" s="301">
        <f>INDEX('Inputs (2)'!$D$5:$AL$5,MATCH(V$7,'Inputs (2)'!$D$2:$AL$2,0))</f>
        <v>-50457</v>
      </c>
      <c r="W39" s="268">
        <f>SUM(S39:V39)</f>
        <v>-215274</v>
      </c>
      <c r="X39" s="301">
        <f>INDEX('Inputs (2)'!$D$5:$AL$5,MATCH(X$7,'Inputs (2)'!$D$2:$AL$2,0))</f>
        <v>-51140</v>
      </c>
      <c r="Y39" s="301">
        <f>INDEX('Inputs (2)'!$D$5:$AL$5,MATCH(Y$7,'Inputs (2)'!$D$2:$AL$2,0))</f>
        <v>-51173</v>
      </c>
      <c r="Z39" s="301">
        <f>INDEX('Inputs (2)'!$D$5:$AL$5,MATCH(Z$7,'Inputs (2)'!$D$2:$AL$2,0))</f>
        <v>-69588</v>
      </c>
      <c r="AA39" s="301">
        <f>INDEX('Inputs (2)'!$D$5:$AL$5,MATCH(AA$7,'Inputs (2)'!$D$2:$AL$2,0))</f>
        <v>-54109</v>
      </c>
      <c r="AB39" s="268">
        <f>SUM(X39:AA39)</f>
        <v>-226010</v>
      </c>
      <c r="AC39" s="301">
        <f>INDEX('Inputs (2)'!$D$5:$AL$5,MATCH(AC$7,'Inputs (2)'!$D$2:$AL$2,0))</f>
        <v>-55744</v>
      </c>
      <c r="AD39" s="301">
        <f>INDEX('Inputs (2)'!$D$5:$AL$5,MATCH(AD$7,'Inputs (2)'!$D$2:$AL$2,0))</f>
        <v>-54996</v>
      </c>
      <c r="AE39" s="301">
        <f>INDEX('Inputs (2)'!$D$5:$AL$5,MATCH(AE$7,'Inputs (2)'!$D$2:$AL$2,0))</f>
        <v>-75037</v>
      </c>
      <c r="AF39" s="301">
        <f>INDEX('Inputs (2)'!$D$5:$AL$5,MATCH(AF$7,'Inputs (2)'!$D$2:$AL$2,0))</f>
        <v>-58510</v>
      </c>
      <c r="AG39" s="268">
        <f>SUM(AC39:AF39)</f>
        <v>-244287</v>
      </c>
      <c r="AH39" s="268">
        <f>INDEX('Inputs (2)'!$D$5:$AL$5,MATCH(AH$7,'Inputs (2)'!$D$2:$AL$2,0))</f>
        <v>-60719</v>
      </c>
      <c r="AI39" s="268">
        <f>INDEX('Inputs (2)'!$D$5:$AL$5,MATCH(AI$7,'Inputs (2)'!$D$2:$AL$2,0))</f>
        <v>-61519</v>
      </c>
      <c r="AJ39" s="268">
        <f>(100%-AJ40)*-AJ15</f>
        <v>-86156</v>
      </c>
      <c r="AK39" s="268">
        <f>(100%-AK40)*-AK15</f>
        <v>-67307</v>
      </c>
      <c r="AL39" s="268">
        <f>SUM(AH39:AK39)</f>
        <v>-275701</v>
      </c>
      <c r="AM39" s="268">
        <f>(100%-AM40)*-AM15</f>
        <v>-69597</v>
      </c>
      <c r="AN39" s="268">
        <f>(100%-AN40)*-AN15</f>
        <v>-70527</v>
      </c>
      <c r="AO39" s="268">
        <f>(100%-AO40)*-AO15</f>
        <v>-86156</v>
      </c>
      <c r="AP39" s="268">
        <f>(100%-AP40)*-AP15</f>
        <v>-67307</v>
      </c>
      <c r="AQ39" s="268">
        <f>SUM(AM39:AP39)</f>
        <v>-293587</v>
      </c>
      <c r="AR39" s="268">
        <f>(100%-AR40)*-AR15</f>
        <v>-69597</v>
      </c>
      <c r="AS39" s="268">
        <f>(100%-AS40)*-AS15</f>
        <v>-70527</v>
      </c>
      <c r="AT39" s="268">
        <f>(100%-AT40)*-AT15</f>
        <v>-86156</v>
      </c>
      <c r="AU39" s="268">
        <f>(100%-AU40)*-AU15</f>
        <v>-67307</v>
      </c>
      <c r="AV39" s="268">
        <f>SUM(AR39:AU39)</f>
        <v>-293587</v>
      </c>
      <c r="AW39" s="268">
        <f>(100%-AW40)*-AW15</f>
        <v>-69597</v>
      </c>
      <c r="AX39" s="268">
        <f>(100%-AX40)*-AX15</f>
        <v>-70527</v>
      </c>
      <c r="AY39" s="268">
        <f>(100%-AY40)*-AY15</f>
        <v>-86156</v>
      </c>
      <c r="AZ39" s="268">
        <f>(100%-AZ40)*-AZ15</f>
        <v>-67307</v>
      </c>
      <c r="BA39" s="268">
        <f>SUM(AW39:AZ39)</f>
        <v>-293587</v>
      </c>
      <c r="BB39" s="268">
        <f>(100%-BB40)*-BB15</f>
        <v>-69597</v>
      </c>
      <c r="BC39" s="268">
        <f>(100%-BC40)*-BC15</f>
        <v>-70527</v>
      </c>
      <c r="BD39" s="268">
        <f>(100%-BD40)*-BD15</f>
        <v>-86156</v>
      </c>
      <c r="BE39" s="268">
        <f>(100%-BE40)*-BE15</f>
        <v>-67307</v>
      </c>
      <c r="BF39" s="268">
        <f>SUM(BB39:BE39)</f>
        <v>-293587</v>
      </c>
      <c r="BG39" s="268">
        <f>(100%-BG40)*-BG15</f>
        <v>-69597</v>
      </c>
      <c r="BH39" s="268">
        <f>(100%-BH40)*-BH15</f>
        <v>-70527</v>
      </c>
      <c r="BI39" s="268">
        <f>(100%-BI40)*-BI15</f>
        <v>-86156</v>
      </c>
      <c r="BJ39" s="268">
        <f>(100%-BJ40)*-BJ15</f>
        <v>-67307</v>
      </c>
      <c r="BK39" s="268">
        <f>SUM(BG39:BJ39)</f>
        <v>-293587</v>
      </c>
      <c r="BL39" s="268">
        <f>(100%-BL40)*-BL15</f>
        <v>-69597</v>
      </c>
      <c r="BM39" s="268">
        <f>(100%-BM40)*-BM15</f>
        <v>-70527</v>
      </c>
      <c r="BN39" s="268">
        <f>(100%-BN40)*-BN15</f>
        <v>-86156</v>
      </c>
      <c r="BO39" s="268">
        <f>(100%-BO40)*-BO15</f>
        <v>-67307</v>
      </c>
      <c r="BP39" s="268">
        <f>SUM(BL39:BO39)</f>
        <v>-293587</v>
      </c>
      <c r="BQ39" s="268">
        <f>(100%-BQ40)*-BQ15</f>
        <v>-69597</v>
      </c>
      <c r="BR39" s="268">
        <f>(100%-BR40)*-BR15</f>
        <v>-70527</v>
      </c>
      <c r="BS39" s="268">
        <f>(100%-BS40)*-BS15</f>
        <v>-86156</v>
      </c>
      <c r="BT39" s="268">
        <f>(100%-BT40)*-BT15</f>
        <v>-67307</v>
      </c>
      <c r="BU39" s="268">
        <f>SUM(BQ39:BT39)</f>
        <v>-293587</v>
      </c>
      <c r="BV39" s="268">
        <f>(100%-BV40)*-BV15</f>
        <v>-69597</v>
      </c>
      <c r="BW39" s="268">
        <f>(100%-BW40)*-BW15</f>
        <v>-70527</v>
      </c>
      <c r="BX39" s="268">
        <f>(100%-BX40)*-BX15</f>
        <v>-86156</v>
      </c>
      <c r="BY39" s="268">
        <f>(100%-BY40)*-BY15</f>
        <v>-67307</v>
      </c>
      <c r="BZ39" s="268">
        <f>SUM(BV39:BY39)</f>
        <v>-293587</v>
      </c>
      <c r="CA39" s="268">
        <f>(100%-CA40)*-CA15</f>
        <v>-69597</v>
      </c>
      <c r="CB39" s="268">
        <f>(100%-CB40)*-CB15</f>
        <v>-70527</v>
      </c>
      <c r="CC39" s="268">
        <f>(100%-CC40)*-CC15</f>
        <v>-86156</v>
      </c>
      <c r="CD39" s="268">
        <f>(100%-CD40)*-CD15</f>
        <v>-67307</v>
      </c>
      <c r="CE39" s="268">
        <f>SUM(CA39:CD39)</f>
        <v>-293587</v>
      </c>
      <c r="CF39" s="268">
        <f>(100%-CF40)*-CF15</f>
        <v>-69597</v>
      </c>
      <c r="CG39" s="268">
        <f>(100%-CG40)*-CG15</f>
        <v>-70527</v>
      </c>
      <c r="CH39" s="268">
        <f>(100%-CH40)*-CH15</f>
        <v>-86156</v>
      </c>
      <c r="CI39" s="268">
        <f>(100%-CI40)*-CI15</f>
        <v>-67307</v>
      </c>
      <c r="CJ39" s="268">
        <f>SUM(CF39:CI39)</f>
        <v>-293587</v>
      </c>
      <c r="CK39" s="268">
        <f>(100%-CK40)*-CK15</f>
        <v>-69597</v>
      </c>
      <c r="CL39" s="268">
        <f>(100%-CL40)*-CL15</f>
        <v>-70527</v>
      </c>
      <c r="CM39" s="268">
        <f>(100%-CM40)*-CM15</f>
        <v>-86156</v>
      </c>
      <c r="CN39" s="268">
        <f>(100%-CN40)*-CN15</f>
        <v>-67307</v>
      </c>
      <c r="CO39" s="268">
        <f>SUM(CK39:CN39)</f>
        <v>-293587</v>
      </c>
      <c r="CP39" s="268">
        <f>(100%-CP40)*-CP15</f>
        <v>-69597</v>
      </c>
      <c r="CQ39" s="268">
        <f>(100%-CQ40)*-CQ15</f>
        <v>-70527</v>
      </c>
      <c r="CR39" s="268">
        <f>(100%-CR40)*-CR15</f>
        <v>-86156</v>
      </c>
      <c r="CS39" s="268">
        <f>(100%-CS40)*-CS15</f>
        <v>-67307</v>
      </c>
      <c r="CT39" s="268">
        <f>SUM(CP39:CS39)</f>
        <v>-293587</v>
      </c>
      <c r="CU39" s="268">
        <f>(100%-CU40)*-CU15</f>
        <v>-69597</v>
      </c>
      <c r="CV39" s="268">
        <f>(100%-CV40)*-CV15</f>
        <v>-70527</v>
      </c>
      <c r="CW39" s="268">
        <f>(100%-CW40)*-CW15</f>
        <v>-86156</v>
      </c>
      <c r="CX39" s="268">
        <f>(100%-CX40)*-CX15</f>
        <v>-67307</v>
      </c>
      <c r="CY39" s="268">
        <f>SUM(CU39:CX39)</f>
        <v>-293587</v>
      </c>
    </row>
    <row r="40" hidden="1" outlineLevel="1" ht="12.75" customFormat="1" customHeight="1" s="259">
      <c r="C40" s="302" t="inlineStr">
        <is>
          <t>% Gross Margin</t>
        </is>
      </c>
      <c r="D40" s="303">
        <f>(D15+D39)/D$15</f>
        <v>0.128378378378378</v>
      </c>
      <c r="E40" s="303">
        <f>(E15+E39)/E$15</f>
        <v>0.134626737508721</v>
      </c>
      <c r="F40" s="303">
        <f>(F15+F39)/F$15</f>
        <v>0.130790701159545</v>
      </c>
      <c r="G40" s="303">
        <f>(G15+G39)/G$15</f>
        <v>0.133077207924458</v>
      </c>
      <c r="H40" s="303">
        <f>(H15+H39)/H$15</f>
        <v>0.131643622527164</v>
      </c>
      <c r="I40" s="303">
        <f>(I15+I39)/I$15</f>
        <v>0.127119211954701</v>
      </c>
      <c r="J40" s="303">
        <f>(J15+J39)/J$15</f>
        <v>0.129469708682112</v>
      </c>
      <c r="K40" s="303">
        <f>(K15+K39)/K$15</f>
        <v>0.126717191862784</v>
      </c>
      <c r="L40" s="303">
        <f>(L15+L39)/L$15</f>
        <v>0.127295832257808</v>
      </c>
      <c r="M40" s="303">
        <f>(M15+M39)/M$15</f>
        <v>0.127562978865888</v>
      </c>
      <c r="N40" s="303">
        <f>(N15+N39)/N$15</f>
        <v>0.123054099876695</v>
      </c>
      <c r="O40" s="303">
        <f>(O15+O39)/O$15</f>
        <v>0.118659213628413</v>
      </c>
      <c r="P40" s="303">
        <f>(P15+P39)/P$15</f>
        <v>0.118364289578449</v>
      </c>
      <c r="Q40" s="303">
        <f>(Q15+Q39)/Q$15</f>
        <v>0.122490218050223</v>
      </c>
      <c r="R40" s="303">
        <f>(R15+R39)/R$15</f>
        <v>0.12045726059179</v>
      </c>
      <c r="S40" s="303">
        <f>(S15+S39)/S$15</f>
        <v>0.123819346433612</v>
      </c>
      <c r="T40" s="303">
        <f>(T15+T39)/T$15</f>
        <v>0.120656874440799</v>
      </c>
      <c r="U40" s="303">
        <f>(U15+U39)/U$15</f>
        <v>0.123133052103523</v>
      </c>
      <c r="V40" s="303">
        <f>(V15+V39)/V$15</f>
        <v>0.1270264191422</v>
      </c>
      <c r="W40" s="303">
        <f>(W15+W39)/W$15</f>
        <v>0.123662742416101</v>
      </c>
      <c r="X40" s="303">
        <f>(X15+X39)/X$15</f>
        <v>0.124944389309059</v>
      </c>
      <c r="Y40" s="303">
        <f>(Y15+Y39)/Y$15</f>
        <v>0.12547210117064</v>
      </c>
      <c r="Z40" s="303">
        <f>(Z15+Z39)/Z$15</f>
        <v>0.126842917550221</v>
      </c>
      <c r="AA40" s="303">
        <f>(AA15+AA39)/AA$15</f>
        <v>0.12939453910637</v>
      </c>
      <c r="AB40" s="303">
        <f>(AB15+AB39)/AB$15</f>
        <v>0.126717026332567</v>
      </c>
      <c r="AC40" s="303">
        <f>(AC15+AC39)/AC$15</f>
        <v>0.125213816047581</v>
      </c>
      <c r="AD40" s="303">
        <f>(AD15+AD39)/AD$15</f>
        <v>0.129878965271735</v>
      </c>
      <c r="AE40" s="303">
        <f>(AE15+AE39)/AE$15</f>
        <v>0.129056595013696</v>
      </c>
      <c r="AF40" s="297">
        <f>(AF15+AF39)/AF$15</f>
        <v>0.130699630053338</v>
      </c>
      <c r="AG40" s="303">
        <f>(AG15+AG39)/AG$15</f>
        <v>0.128763048742649</v>
      </c>
      <c r="AH40" s="304">
        <f>(AH15+AH39)/AH$15</f>
        <v>0.127562969668233</v>
      </c>
      <c r="AI40" s="304">
        <f>(AI15+AI39)/AI$15</f>
        <v>0.127724134019595</v>
      </c>
      <c r="AJ40" s="304" t="n"/>
      <c r="AK40" s="304" t="n"/>
      <c r="AL40" s="303">
        <f>(AL15+AL39)/AL$15</f>
        <v>0.0609223160426041</v>
      </c>
      <c r="AM40" s="304" t="n"/>
      <c r="AN40" s="304" t="n"/>
      <c r="AO40" s="304" t="n"/>
      <c r="AP40" s="304" t="n"/>
      <c r="AQ40" s="303">
        <f>(AQ15+AQ39)/AQ$15</f>
        <v>0</v>
      </c>
      <c r="AR40" s="304" t="n"/>
      <c r="AS40" s="304" t="n"/>
      <c r="AT40" s="304" t="n"/>
      <c r="AU40" s="304" t="n"/>
      <c r="AV40" s="303">
        <f>(AV15+AV39)/AV$15</f>
        <v>0</v>
      </c>
      <c r="AW40" s="304" t="n"/>
      <c r="AX40" s="304" t="n"/>
      <c r="AY40" s="304" t="n"/>
      <c r="AZ40" s="304" t="n"/>
      <c r="BA40" s="303">
        <f>(BA15+BA39)/BA$15</f>
        <v>0</v>
      </c>
      <c r="BB40" s="304" t="n"/>
      <c r="BC40" s="304" t="n"/>
      <c r="BD40" s="304" t="n"/>
      <c r="BE40" s="304" t="n"/>
      <c r="BF40" s="303">
        <f>(BF15+BF39)/BF$15</f>
        <v>0</v>
      </c>
      <c r="BG40" s="304" t="n"/>
      <c r="BH40" s="304" t="n"/>
      <c r="BI40" s="304" t="n"/>
      <c r="BJ40" s="304" t="n"/>
      <c r="BK40" s="303">
        <f>(BK15+BK39)/BK$15</f>
        <v>0</v>
      </c>
      <c r="BL40" s="304" t="n"/>
      <c r="BM40" s="304" t="n"/>
      <c r="BN40" s="304" t="n"/>
      <c r="BO40" s="304" t="n"/>
      <c r="BP40" s="303">
        <f>(BP15+BP39)/BP$15</f>
        <v>0</v>
      </c>
      <c r="BQ40" s="304" t="n"/>
      <c r="BR40" s="304" t="n"/>
      <c r="BS40" s="304" t="n"/>
      <c r="BT40" s="304" t="n"/>
      <c r="BU40" s="303">
        <f>(BU15+BU39)/BU$15</f>
        <v>0</v>
      </c>
      <c r="BV40" s="304" t="n"/>
      <c r="BW40" s="304" t="n"/>
      <c r="BX40" s="304" t="n"/>
      <c r="BY40" s="304" t="n"/>
      <c r="BZ40" s="303">
        <f>(BZ15+BZ39)/BZ$15</f>
        <v>0</v>
      </c>
      <c r="CA40" s="304" t="n"/>
      <c r="CB40" s="304" t="n"/>
      <c r="CC40" s="304" t="n"/>
      <c r="CD40" s="304" t="n"/>
      <c r="CE40" s="303">
        <f>(CE15+CE39)/CE$15</f>
        <v>0</v>
      </c>
      <c r="CF40" s="304" t="n"/>
      <c r="CG40" s="304" t="n"/>
      <c r="CH40" s="304" t="n"/>
      <c r="CI40" s="304" t="n"/>
      <c r="CJ40" s="303">
        <f>(CJ15+CJ39)/CJ$15</f>
        <v>0</v>
      </c>
      <c r="CK40" s="304" t="n"/>
      <c r="CL40" s="304" t="n"/>
      <c r="CM40" s="304" t="n"/>
      <c r="CN40" s="304" t="n"/>
      <c r="CO40" s="303">
        <f>(CO15+CO39)/CO$15</f>
        <v>0</v>
      </c>
      <c r="CP40" s="304" t="n"/>
      <c r="CQ40" s="304" t="n"/>
      <c r="CR40" s="304" t="n"/>
      <c r="CS40" s="304" t="n"/>
      <c r="CT40" s="303">
        <f>(CT15+CT39)/CT$15</f>
        <v>0</v>
      </c>
      <c r="CU40" s="304" t="n"/>
      <c r="CV40" s="304" t="n"/>
      <c r="CW40" s="304" t="n"/>
      <c r="CX40" s="304" t="n"/>
      <c r="CY40" s="303">
        <f>(CY15+CY39)/CY$15</f>
        <v>0</v>
      </c>
    </row>
    <row r="41" hidden="1" outlineLevel="1" ht="12.75" customHeight="1" s="255">
      <c r="C41" s="305" t="n"/>
      <c r="D41" s="305" t="n"/>
      <c r="E41" s="305" t="n"/>
      <c r="F41" s="305" t="n"/>
      <c r="G41" s="305" t="n"/>
      <c r="H41" s="305" t="n"/>
      <c r="I41" s="305" t="n"/>
      <c r="J41" s="305" t="n"/>
      <c r="K41" s="305" t="n"/>
      <c r="L41" s="305" t="n"/>
      <c r="M41" s="305" t="n"/>
      <c r="N41" s="305" t="n"/>
      <c r="O41" s="305" t="n"/>
      <c r="P41" s="305" t="n"/>
      <c r="Q41" s="305" t="n"/>
      <c r="R41" s="305" t="n"/>
      <c r="S41" s="305" t="n"/>
      <c r="T41" s="305" t="n"/>
      <c r="U41" s="305" t="n"/>
      <c r="V41" s="305" t="n"/>
      <c r="W41" s="305" t="n"/>
      <c r="X41" s="305" t="n"/>
      <c r="Y41" s="305" t="n"/>
      <c r="Z41" s="305" t="n"/>
      <c r="AA41" s="305" t="n"/>
      <c r="AB41" s="305" t="n"/>
      <c r="AC41" s="305" t="n"/>
      <c r="AD41" s="305" t="n"/>
      <c r="AE41" s="305" t="n"/>
      <c r="AF41" s="305" t="n"/>
      <c r="AG41" s="305" t="n"/>
      <c r="AH41" s="305" t="n"/>
      <c r="AI41" s="305" t="n"/>
      <c r="AJ41" s="305" t="n"/>
      <c r="AK41" s="305" t="n"/>
      <c r="AL41" s="305" t="n"/>
      <c r="AM41" s="305" t="n"/>
      <c r="AN41" s="305" t="n"/>
      <c r="AO41" s="305" t="n"/>
      <c r="AP41" s="305" t="n"/>
      <c r="AQ41" s="305" t="n"/>
      <c r="AR41" s="305" t="n"/>
      <c r="AS41" s="305" t="n"/>
      <c r="AT41" s="305" t="n"/>
      <c r="AU41" s="305" t="n"/>
      <c r="AV41" s="305" t="n"/>
      <c r="AW41" s="305" t="n"/>
      <c r="AX41" s="305" t="n"/>
      <c r="AY41" s="305" t="n"/>
      <c r="AZ41" s="305" t="n"/>
      <c r="BA41" s="305" t="n"/>
      <c r="BB41" s="305" t="n"/>
      <c r="BC41" s="305" t="n"/>
      <c r="BD41" s="305" t="n"/>
      <c r="BE41" s="305" t="n"/>
      <c r="BF41" s="305" t="n"/>
      <c r="BG41" s="305" t="n"/>
      <c r="BH41" s="305" t="n"/>
      <c r="BI41" s="305" t="n"/>
      <c r="BJ41" s="305" t="n"/>
      <c r="BK41" s="305" t="n"/>
      <c r="BL41" s="305" t="n"/>
      <c r="BM41" s="305" t="n"/>
      <c r="BN41" s="305" t="n"/>
      <c r="BO41" s="305" t="n"/>
      <c r="BP41" s="305" t="n"/>
      <c r="BQ41" s="305" t="n"/>
      <c r="BR41" s="305" t="n"/>
      <c r="BS41" s="305" t="n"/>
      <c r="BT41" s="305" t="n"/>
      <c r="BU41" s="305" t="n"/>
      <c r="BV41" s="305" t="n"/>
      <c r="BW41" s="305" t="n"/>
      <c r="BX41" s="305" t="n"/>
      <c r="BY41" s="305" t="n"/>
      <c r="BZ41" s="305" t="n"/>
      <c r="CA41" s="305" t="n"/>
      <c r="CB41" s="305" t="n"/>
      <c r="CC41" s="305" t="n"/>
      <c r="CD41" s="305" t="n"/>
      <c r="CE41" s="305" t="n"/>
      <c r="CF41" s="305" t="n"/>
      <c r="CG41" s="305" t="n"/>
      <c r="CH41" s="305" t="n"/>
      <c r="CI41" s="305" t="n"/>
      <c r="CJ41" s="305" t="n"/>
      <c r="CK41" s="305" t="n"/>
      <c r="CL41" s="305" t="n"/>
      <c r="CM41" s="305" t="n"/>
      <c r="CN41" s="305" t="n"/>
      <c r="CO41" s="305" t="n"/>
      <c r="CP41" s="305" t="n"/>
      <c r="CQ41" s="305" t="n"/>
      <c r="CR41" s="305" t="n"/>
      <c r="CS41" s="305" t="n"/>
      <c r="CT41" s="305" t="n"/>
      <c r="CU41" s="305" t="n"/>
      <c r="CV41" s="305" t="n"/>
      <c r="CW41" s="305" t="n"/>
      <c r="CX41" s="305" t="n"/>
      <c r="CY41" s="305" t="n"/>
    </row>
    <row r="42" hidden="1" outlineLevel="1" ht="12.75" customHeight="1" s="255">
      <c r="C42" s="305" t="n"/>
      <c r="D42" s="305" t="n"/>
      <c r="E42" s="305" t="n"/>
      <c r="F42" s="305" t="n"/>
      <c r="G42" s="305" t="n"/>
      <c r="H42" s="305" t="n"/>
      <c r="I42" s="305" t="n"/>
      <c r="J42" s="305" t="n"/>
      <c r="K42" s="305" t="n"/>
      <c r="L42" s="305" t="n"/>
      <c r="M42" s="305" t="n"/>
      <c r="N42" s="305" t="n"/>
      <c r="O42" s="305" t="n"/>
      <c r="P42" s="305" t="n"/>
      <c r="Q42" s="305" t="n"/>
      <c r="R42" s="305" t="n"/>
      <c r="S42" s="305" t="n"/>
      <c r="T42" s="305" t="n"/>
      <c r="U42" s="305" t="n"/>
      <c r="V42" s="305" t="n"/>
      <c r="W42" s="305" t="n"/>
      <c r="X42" s="305" t="n"/>
      <c r="Y42" s="305" t="n"/>
      <c r="Z42" s="305" t="n"/>
      <c r="AA42" s="305" t="n"/>
      <c r="AB42" s="305" t="n"/>
      <c r="AC42" s="305" t="n"/>
      <c r="AD42" s="305" t="n"/>
      <c r="AE42" s="305" t="n"/>
      <c r="AF42" s="305" t="n"/>
      <c r="AG42" s="305" t="n"/>
      <c r="AH42" s="305" t="n"/>
      <c r="AI42" s="305" t="n"/>
      <c r="AJ42" s="305" t="n"/>
      <c r="AK42" s="305" t="n"/>
      <c r="AL42" s="305" t="n"/>
      <c r="AM42" s="305" t="n"/>
      <c r="AN42" s="305" t="n"/>
      <c r="AO42" s="305" t="n"/>
      <c r="AP42" s="305" t="n"/>
      <c r="AQ42" s="305" t="n"/>
      <c r="AR42" s="305" t="n"/>
      <c r="AS42" s="305" t="n"/>
      <c r="AT42" s="305" t="n"/>
      <c r="AU42" s="305" t="n"/>
      <c r="AV42" s="305" t="n"/>
      <c r="AW42" s="305" t="n"/>
      <c r="AX42" s="305" t="n"/>
      <c r="AY42" s="305" t="n"/>
      <c r="AZ42" s="305" t="n"/>
      <c r="BA42" s="305" t="n"/>
      <c r="BB42" s="305" t="n"/>
      <c r="BC42" s="305" t="n"/>
      <c r="BD42" s="305" t="n"/>
      <c r="BE42" s="305" t="n"/>
      <c r="BF42" s="305" t="n"/>
      <c r="BG42" s="305" t="n"/>
      <c r="BH42" s="305" t="n"/>
      <c r="BI42" s="305" t="n"/>
      <c r="BJ42" s="305" t="n"/>
      <c r="BK42" s="305" t="n"/>
      <c r="BL42" s="305" t="n"/>
      <c r="BM42" s="305" t="n"/>
      <c r="BN42" s="305" t="n"/>
      <c r="BO42" s="305" t="n"/>
      <c r="BP42" s="305" t="n"/>
      <c r="BQ42" s="305" t="n"/>
      <c r="BR42" s="305" t="n"/>
      <c r="BS42" s="305" t="n"/>
      <c r="BT42" s="305" t="n"/>
      <c r="BU42" s="305" t="n"/>
      <c r="BV42" s="305" t="n"/>
      <c r="BW42" s="305" t="n"/>
      <c r="BX42" s="305" t="n"/>
      <c r="BY42" s="305" t="n"/>
      <c r="BZ42" s="305" t="n"/>
      <c r="CA42" s="305" t="n"/>
      <c r="CB42" s="305" t="n"/>
      <c r="CC42" s="305" t="n"/>
      <c r="CD42" s="305" t="n"/>
      <c r="CE42" s="305" t="n"/>
      <c r="CF42" s="305" t="n"/>
      <c r="CG42" s="305" t="n"/>
      <c r="CH42" s="305" t="n"/>
      <c r="CI42" s="305" t="n"/>
      <c r="CJ42" s="305" t="n"/>
      <c r="CK42" s="305" t="n"/>
      <c r="CL42" s="305" t="n"/>
      <c r="CM42" s="305" t="n"/>
      <c r="CN42" s="305" t="n"/>
      <c r="CO42" s="305" t="n"/>
      <c r="CP42" s="305" t="n"/>
      <c r="CQ42" s="305" t="n"/>
      <c r="CR42" s="305" t="n"/>
      <c r="CS42" s="305" t="n"/>
      <c r="CT42" s="305" t="n"/>
      <c r="CU42" s="305" t="n"/>
      <c r="CV42" s="305" t="n"/>
      <c r="CW42" s="305" t="n"/>
      <c r="CX42" s="305" t="n"/>
      <c r="CY42" s="305" t="n"/>
    </row>
    <row r="43" ht="12.75" customHeight="1" s="255">
      <c r="C43" s="269" t="inlineStr">
        <is>
          <t>SG&amp;A and Other (cash)</t>
        </is>
      </c>
      <c r="D43" s="301">
        <f>INDEX('Inputs (2)'!$D$6:$AL$6,MATCH(D$7,'Inputs (2)'!$D$2:$AL$2,0))</f>
        <v>-3361</v>
      </c>
      <c r="E43" s="301">
        <f>INDEX('Inputs (2)'!$D$6:$AL$6,MATCH(E$7,'Inputs (2)'!$D$2:$AL$2,0))</f>
        <v>-3456</v>
      </c>
      <c r="F43" s="301">
        <f>INDEX('Inputs (2)'!$D$6:$AL$6,MATCH(F$7,'Inputs (2)'!$D$2:$AL$2,0))</f>
        <v>-4548</v>
      </c>
      <c r="G43" s="301">
        <f>INDEX('Inputs (2)'!$D$6:$AL$6,MATCH(G$7,'Inputs (2)'!$D$2:$AL$2,0))</f>
        <v>-3916</v>
      </c>
      <c r="H43" s="268">
        <f>SUM(D43:G43)</f>
        <v>-15281</v>
      </c>
      <c r="I43" s="301">
        <f>INDEX('Inputs (2)'!$D$6:$AL$6,MATCH(I$7,'Inputs (2)'!$D$2:$AL$2,0))</f>
        <v>-3935</v>
      </c>
      <c r="J43" s="301">
        <f>INDEX('Inputs (2)'!$D$6:$AL$6,MATCH(J$7,'Inputs (2)'!$D$2:$AL$2,0))</f>
        <v>-3797</v>
      </c>
      <c r="K43" s="301">
        <f>INDEX('Inputs (2)'!$D$6:$AL$6,MATCH(K$7,'Inputs (2)'!$D$2:$AL$2,0))</f>
        <v>-5108</v>
      </c>
      <c r="L43" s="301">
        <f>INDEX('Inputs (2)'!$D$6:$AL$6,MATCH(L$7,'Inputs (2)'!$D$2:$AL$2,0))</f>
        <v>-4286</v>
      </c>
      <c r="M43" s="268">
        <f>SUM(I43:L43)</f>
        <v>-17126</v>
      </c>
      <c r="N43" s="301">
        <f>INDEX('Inputs (2)'!$D$6:$AL$6,MATCH(N$7,'Inputs (2)'!$D$2:$AL$2,0))</f>
        <v>-4139</v>
      </c>
      <c r="O43" s="301">
        <f>INDEX('Inputs (2)'!$D$6:$AL$6,MATCH(O$7,'Inputs (2)'!$D$2:$AL$2,0))</f>
        <v>-4012</v>
      </c>
      <c r="P43" s="301">
        <f>INDEX('Inputs (2)'!$D$6:$AL$6,MATCH(P$7,'Inputs (2)'!$D$2:$AL$2,0))</f>
        <v>-5442</v>
      </c>
      <c r="Q43" s="301">
        <f>INDEX('Inputs (2)'!$D$6:$AL$6,MATCH(Q$7,'Inputs (2)'!$D$2:$AL$2,0))</f>
        <v>-4470</v>
      </c>
      <c r="R43" s="268">
        <f>SUM(N43:Q43)</f>
        <v>-18063</v>
      </c>
      <c r="S43" s="301">
        <f>INDEX('Inputs (2)'!$D$6:$AL$6,MATCH(S$7,'Inputs (2)'!$D$2:$AL$2,0))</f>
        <v>-4470</v>
      </c>
      <c r="T43" s="301">
        <f>INDEX('Inputs (2)'!$D$6:$AL$6,MATCH(T$7,'Inputs (2)'!$D$2:$AL$2,0))</f>
        <v>-4322</v>
      </c>
      <c r="U43" s="301">
        <f>INDEX('Inputs (2)'!$D$6:$AL$6,MATCH(U$7,'Inputs (2)'!$D$2:$AL$2,0))</f>
        <v>-6251</v>
      </c>
      <c r="V43" s="301">
        <f>INDEX('Inputs (2)'!$D$6:$AL$6,MATCH(V$7,'Inputs (2)'!$D$2:$AL$2,0))</f>
        <v>-4857</v>
      </c>
      <c r="W43" s="268">
        <f>SUM(S43:V43)</f>
        <v>-19900</v>
      </c>
      <c r="X43" s="301">
        <f>INDEX('Inputs (2)'!$D$6:$AL$6,MATCH(X$7,'Inputs (2)'!$D$2:$AL$2,0))</f>
        <v>-4726</v>
      </c>
      <c r="Y43" s="301">
        <f>INDEX('Inputs (2)'!$D$6:$AL$6,MATCH(Y$7,'Inputs (2)'!$D$2:$AL$2,0))</f>
        <v>-4629</v>
      </c>
      <c r="Z43" s="301">
        <f>INDEX('Inputs (2)'!$D$6:$AL$6,MATCH(Z$7,'Inputs (2)'!$D$2:$AL$2,0))</f>
        <v>-6361</v>
      </c>
      <c r="AA43" s="301">
        <f>INDEX('Inputs (2)'!$D$6:$AL$6,MATCH(AA$7,'Inputs (2)'!$D$2:$AL$2,0))</f>
        <v>-5298</v>
      </c>
      <c r="AB43" s="268">
        <f>SUM(X43:AA43)</f>
        <v>-21014</v>
      </c>
      <c r="AC43" s="301">
        <f>INDEX('Inputs (2)'!$D$6:$AL$6,MATCH(AC$7,'Inputs (2)'!$D$2:$AL$2,0))</f>
        <v>-5111</v>
      </c>
      <c r="AD43" s="301">
        <f>INDEX('Inputs (2)'!$D$6:$AL$6,MATCH(AD$7,'Inputs (2)'!$D$2:$AL$2,0))</f>
        <v>-5127</v>
      </c>
      <c r="AE43" s="301">
        <f>INDEX('Inputs (2)'!$D$6:$AL$6,MATCH(AE$7,'Inputs (2)'!$D$2:$AL$2,0))</f>
        <v>-7004</v>
      </c>
      <c r="AF43" s="301">
        <f>INDEX('Inputs (2)'!$D$6:$AL$6,MATCH(AF$7,'Inputs (2)'!$D$2:$AL$2,0))</f>
        <v>-5737</v>
      </c>
      <c r="AG43" s="268">
        <f>SUM(AC43:AF43)</f>
        <v>-22979</v>
      </c>
      <c r="AH43" s="268">
        <f>INDEX('Inputs (2)'!$D$6:$AL$6,MATCH(AH$7,'Inputs (2)'!$D$2:$AL$2,0))</f>
        <v>-5675</v>
      </c>
      <c r="AI43" s="268">
        <f>INDEX('Inputs (2)'!$D$6:$AL$6,MATCH(AI$7,'Inputs (2)'!$D$2:$AL$2,0))</f>
        <v>-5596</v>
      </c>
      <c r="AJ43" s="268">
        <f>-AJ15*AJ44</f>
        <v>0</v>
      </c>
      <c r="AK43" s="268">
        <f>-AK15*AK44</f>
        <v>0</v>
      </c>
      <c r="AL43" s="268">
        <f>SUM(AH43:AK43)</f>
        <v>-11271</v>
      </c>
      <c r="AM43" s="268">
        <f>-AM15*AM44</f>
        <v>0</v>
      </c>
      <c r="AN43" s="268">
        <f>-AN15*AN44</f>
        <v>0</v>
      </c>
      <c r="AO43" s="268">
        <f>-AO15*AO44</f>
        <v>0</v>
      </c>
      <c r="AP43" s="268">
        <f>-AP15*AP44</f>
        <v>0</v>
      </c>
      <c r="AQ43" s="268">
        <f>SUM(AM43:AP43)</f>
        <v>0</v>
      </c>
      <c r="AR43" s="268">
        <f>-AR15*AR44</f>
        <v>0</v>
      </c>
      <c r="AS43" s="268">
        <f>-AS15*AS44</f>
        <v>0</v>
      </c>
      <c r="AT43" s="268">
        <f>-AT15*AT44</f>
        <v>0</v>
      </c>
      <c r="AU43" s="268">
        <f>-AU15*AU44</f>
        <v>0</v>
      </c>
      <c r="AV43" s="268">
        <f>SUM(AR43:AU43)</f>
        <v>0</v>
      </c>
      <c r="AW43" s="268">
        <f>-AW15*AW44</f>
        <v>0</v>
      </c>
      <c r="AX43" s="268">
        <f>-AX15*AX44</f>
        <v>0</v>
      </c>
      <c r="AY43" s="268">
        <f>-AY15*AY44</f>
        <v>0</v>
      </c>
      <c r="AZ43" s="268">
        <f>-AZ15*AZ44</f>
        <v>0</v>
      </c>
      <c r="BA43" s="268">
        <f>SUM(AW43:AZ43)</f>
        <v>0</v>
      </c>
      <c r="BB43" s="268">
        <f>-BB15*BB44</f>
        <v>0</v>
      </c>
      <c r="BC43" s="268">
        <f>-BC15*BC44</f>
        <v>0</v>
      </c>
      <c r="BD43" s="268">
        <f>-BD15*BD44</f>
        <v>0</v>
      </c>
      <c r="BE43" s="268">
        <f>-BE15*BE44</f>
        <v>0</v>
      </c>
      <c r="BF43" s="268">
        <f>SUM(BB43:BE43)</f>
        <v>0</v>
      </c>
      <c r="BG43" s="268">
        <f>-BG15*BG44</f>
        <v>0</v>
      </c>
      <c r="BH43" s="268">
        <f>-BH15*BH44</f>
        <v>0</v>
      </c>
      <c r="BI43" s="268">
        <f>-BI15*BI44</f>
        <v>0</v>
      </c>
      <c r="BJ43" s="268">
        <f>-BJ15*BJ44</f>
        <v>0</v>
      </c>
      <c r="BK43" s="268">
        <f>SUM(BG43:BJ43)</f>
        <v>0</v>
      </c>
      <c r="BL43" s="268">
        <f>-BL15*BL44</f>
        <v>0</v>
      </c>
      <c r="BM43" s="268">
        <f>-BM15*BM44</f>
        <v>0</v>
      </c>
      <c r="BN43" s="268">
        <f>-BN15*BN44</f>
        <v>0</v>
      </c>
      <c r="BO43" s="268">
        <f>-BO15*BO44</f>
        <v>0</v>
      </c>
      <c r="BP43" s="268">
        <f>SUM(BL43:BO43)</f>
        <v>0</v>
      </c>
      <c r="BQ43" s="268">
        <f>-BQ15*BQ44</f>
        <v>0</v>
      </c>
      <c r="BR43" s="268">
        <f>-BR15*BR44</f>
        <v>0</v>
      </c>
      <c r="BS43" s="268">
        <f>-BS15*BS44</f>
        <v>0</v>
      </c>
      <c r="BT43" s="268">
        <f>-BT15*BT44</f>
        <v>0</v>
      </c>
      <c r="BU43" s="268">
        <f>SUM(BQ43:BT43)</f>
        <v>0</v>
      </c>
      <c r="BV43" s="268">
        <f>-BV15*BV44</f>
        <v>0</v>
      </c>
      <c r="BW43" s="268">
        <f>-BW15*BW44</f>
        <v>0</v>
      </c>
      <c r="BX43" s="268">
        <f>-BX15*BX44</f>
        <v>0</v>
      </c>
      <c r="BY43" s="268">
        <f>-BY15*BY44</f>
        <v>0</v>
      </c>
      <c r="BZ43" s="268">
        <f>SUM(BV43:BY43)</f>
        <v>0</v>
      </c>
      <c r="CA43" s="268">
        <f>-CA15*CA44</f>
        <v>0</v>
      </c>
      <c r="CB43" s="268">
        <f>-CB15*CB44</f>
        <v>0</v>
      </c>
      <c r="CC43" s="268">
        <f>-CC15*CC44</f>
        <v>0</v>
      </c>
      <c r="CD43" s="268">
        <f>-CD15*CD44</f>
        <v>0</v>
      </c>
      <c r="CE43" s="268">
        <f>SUM(CA43:CD43)</f>
        <v>0</v>
      </c>
      <c r="CF43" s="268">
        <f>-CF15*CF44</f>
        <v>0</v>
      </c>
      <c r="CG43" s="268">
        <f>-CG15*CG44</f>
        <v>0</v>
      </c>
      <c r="CH43" s="268">
        <f>-CH15*CH44</f>
        <v>0</v>
      </c>
      <c r="CI43" s="268">
        <f>-CI15*CI44</f>
        <v>0</v>
      </c>
      <c r="CJ43" s="268">
        <f>SUM(CF43:CI43)</f>
        <v>0</v>
      </c>
      <c r="CK43" s="268">
        <f>-CK15*CK44</f>
        <v>0</v>
      </c>
      <c r="CL43" s="268">
        <f>-CL15*CL44</f>
        <v>0</v>
      </c>
      <c r="CM43" s="268">
        <f>-CM15*CM44</f>
        <v>0</v>
      </c>
      <c r="CN43" s="268">
        <f>-CN15*CN44</f>
        <v>0</v>
      </c>
      <c r="CO43" s="268">
        <f>SUM(CK43:CN43)</f>
        <v>0</v>
      </c>
      <c r="CP43" s="268">
        <f>-CP15*CP44</f>
        <v>0</v>
      </c>
      <c r="CQ43" s="268">
        <f>-CQ15*CQ44</f>
        <v>0</v>
      </c>
      <c r="CR43" s="268">
        <f>-CR15*CR44</f>
        <v>0</v>
      </c>
      <c r="CS43" s="268">
        <f>-CS15*CS44</f>
        <v>0</v>
      </c>
      <c r="CT43" s="268">
        <f>SUM(CP43:CS43)</f>
        <v>0</v>
      </c>
      <c r="CU43" s="268">
        <f>-CU15*CU44</f>
        <v>0</v>
      </c>
      <c r="CV43" s="268">
        <f>-CV15*CV44</f>
        <v>0</v>
      </c>
      <c r="CW43" s="268">
        <f>-CW15*CW44</f>
        <v>0</v>
      </c>
      <c r="CX43" s="268">
        <f>-CX15*CX44</f>
        <v>0</v>
      </c>
      <c r="CY43" s="268">
        <f>SUM(CU43:CX43)</f>
        <v>0</v>
      </c>
    </row>
    <row r="44" hidden="1" outlineLevel="1" ht="12.75" customHeight="1" s="255">
      <c r="C44" s="294" t="inlineStr">
        <is>
          <t>% SG&amp;A and Other Margin</t>
        </is>
      </c>
      <c r="D44" s="306">
        <f>-(D43/D$15)</f>
        <v>0.0860206797706798</v>
      </c>
      <c r="E44" s="306">
        <f>-(E43/E$15)</f>
        <v>0.0927386894219932</v>
      </c>
      <c r="F44" s="306">
        <f>-(F43/F$15)</f>
        <v>0.0851956615401907</v>
      </c>
      <c r="G44" s="306">
        <f>-(G43/G$15)</f>
        <v>0.0906313645621181</v>
      </c>
      <c r="H44" s="306">
        <f>-(H43/H$15)</f>
        <v>0.0883657454793586</v>
      </c>
      <c r="I44" s="306">
        <f>-(I43/I$15)</f>
        <v>0.0878956420737564</v>
      </c>
      <c r="J44" s="306">
        <f>-(J43/J$15)</f>
        <v>0.0838615632661175</v>
      </c>
      <c r="K44" s="306">
        <f>-(K43/K$15)</f>
        <v>0.0814998005584364</v>
      </c>
      <c r="L44" s="306">
        <f>-(L43/L$15)</f>
        <v>0.0851021583305204</v>
      </c>
      <c r="M44" s="306">
        <f>-(M43/M$15)</f>
        <v>0.0843296369974986</v>
      </c>
      <c r="N44" s="306">
        <f>-(N43/N$15)</f>
        <v>0.0797433723797781</v>
      </c>
      <c r="O44" s="306">
        <f>-(O43/O$15)</f>
        <v>0.0762795649859305</v>
      </c>
      <c r="P44" s="306">
        <f>-(P43/P$15)</f>
        <v>0.0754879249837012</v>
      </c>
      <c r="Q44" s="306">
        <f>-(Q43/Q$15)</f>
        <v>0.0821132685489649</v>
      </c>
      <c r="R44" s="306">
        <f>-(R43/R$15)</f>
        <v>0.0781853281853282</v>
      </c>
      <c r="S44" s="306">
        <f>-(S43/S$15)</f>
        <v>0.0808815546629031</v>
      </c>
      <c r="T44" s="306">
        <f>-(T43/T$15)</f>
        <v>0.0805621831195944</v>
      </c>
      <c r="U44" s="306">
        <f>-(U43/U$15)</f>
        <v>0.07918772723242</v>
      </c>
      <c r="V44" s="306">
        <f>-(V43/V$15)</f>
        <v>0.0840325957196491</v>
      </c>
      <c r="W44" s="306">
        <f>-(W43/W$15)</f>
        <v>0.0810089069089607</v>
      </c>
      <c r="X44" s="306">
        <f>-(X43/X$15)</f>
        <v>0.0808665001197769</v>
      </c>
      <c r="Y44" s="306">
        <f>-(Y43/Y$15)</f>
        <v>0.0791079210458857</v>
      </c>
      <c r="Z44" s="306">
        <f>-(Z43/Z$15)</f>
        <v>0.0798147985495063</v>
      </c>
      <c r="AA44" s="306">
        <f>-(AA43/AA$15)</f>
        <v>0.0852440025100159</v>
      </c>
      <c r="AB44" s="306">
        <f>-(AB43/AB$15)</f>
        <v>0.0811962674600568</v>
      </c>
      <c r="AC44" s="306">
        <f>-(AC43/AC$15)</f>
        <v>0.0802065188393516</v>
      </c>
      <c r="AD44" s="306">
        <f>-(AD43/AD$15)</f>
        <v>0.081117000237323</v>
      </c>
      <c r="AE44" s="306">
        <f>-(AE43/AE$15)</f>
        <v>0.0812943962115233</v>
      </c>
      <c r="AF44" s="297">
        <f>-(AF43/AF$15)</f>
        <v>0.0852363052877115</v>
      </c>
      <c r="AG44" s="306">
        <f>-(AG43/AG$15)</f>
        <v>0.0819534150525516</v>
      </c>
      <c r="AH44" s="307">
        <f>-(AH43/AH$15)</f>
        <v>0.0815408710145552</v>
      </c>
      <c r="AI44" s="307">
        <f>-(AI43/AI$15)</f>
        <v>0.0793454988869511</v>
      </c>
      <c r="AJ44" s="307" t="n"/>
      <c r="AK44" s="307" t="n"/>
      <c r="AL44" s="306">
        <f>-(AL43/AL$15)</f>
        <v>0.0383906644367768</v>
      </c>
      <c r="AM44" s="307" t="n"/>
      <c r="AN44" s="307" t="n"/>
      <c r="AO44" s="307" t="n"/>
      <c r="AP44" s="307" t="n"/>
      <c r="AQ44" s="306">
        <f>-(AQ43/AQ$15)</f>
        <v>0</v>
      </c>
      <c r="AR44" s="307" t="n"/>
      <c r="AS44" s="307" t="n"/>
      <c r="AT44" s="307" t="n"/>
      <c r="AU44" s="307" t="n"/>
      <c r="AV44" s="306">
        <f>-(AV43/AV$15)</f>
        <v>0</v>
      </c>
      <c r="AW44" s="307" t="n"/>
      <c r="AX44" s="307" t="n"/>
      <c r="AY44" s="307" t="n"/>
      <c r="AZ44" s="307" t="n"/>
      <c r="BA44" s="306">
        <f>-(BA43/BA$15)</f>
        <v>0</v>
      </c>
      <c r="BB44" s="307" t="n"/>
      <c r="BC44" s="307" t="n"/>
      <c r="BD44" s="307" t="n"/>
      <c r="BE44" s="307" t="n"/>
      <c r="BF44" s="306">
        <f>-(BF43/BF$15)</f>
        <v>0</v>
      </c>
      <c r="BG44" s="307" t="n"/>
      <c r="BH44" s="307" t="n"/>
      <c r="BI44" s="307" t="n"/>
      <c r="BJ44" s="307" t="n"/>
      <c r="BK44" s="306">
        <f>-(BK43/BK$15)</f>
        <v>0</v>
      </c>
      <c r="BL44" s="307" t="n"/>
      <c r="BM44" s="307" t="n"/>
      <c r="BN44" s="307" t="n"/>
      <c r="BO44" s="307" t="n"/>
      <c r="BP44" s="306">
        <f>-(BP43/BP$15)</f>
        <v>0</v>
      </c>
      <c r="BQ44" s="307" t="n"/>
      <c r="BR44" s="307" t="n"/>
      <c r="BS44" s="307" t="n"/>
      <c r="BT44" s="307" t="n"/>
      <c r="BU44" s="306">
        <f>-(BU43/BU$15)</f>
        <v>0</v>
      </c>
      <c r="BV44" s="307" t="n"/>
      <c r="BW44" s="307" t="n"/>
      <c r="BX44" s="307" t="n"/>
      <c r="BY44" s="307" t="n"/>
      <c r="BZ44" s="306">
        <f>-(BZ43/BZ$15)</f>
        <v>0</v>
      </c>
      <c r="CA44" s="307" t="n"/>
      <c r="CB44" s="307" t="n"/>
      <c r="CC44" s="307" t="n"/>
      <c r="CD44" s="307" t="n"/>
      <c r="CE44" s="306">
        <f>-(CE43/CE$15)</f>
        <v>0</v>
      </c>
      <c r="CF44" s="307" t="n"/>
      <c r="CG44" s="307" t="n"/>
      <c r="CH44" s="307" t="n"/>
      <c r="CI44" s="307" t="n"/>
      <c r="CJ44" s="306">
        <f>-(CJ43/CJ$15)</f>
        <v>0</v>
      </c>
      <c r="CK44" s="307" t="n"/>
      <c r="CL44" s="307" t="n"/>
      <c r="CM44" s="307" t="n"/>
      <c r="CN44" s="307" t="n"/>
      <c r="CO44" s="306">
        <f>-(CO43/CO$15)</f>
        <v>0</v>
      </c>
      <c r="CP44" s="307" t="n"/>
      <c r="CQ44" s="307" t="n"/>
      <c r="CR44" s="307" t="n"/>
      <c r="CS44" s="307" t="n"/>
      <c r="CT44" s="306">
        <f>-(CT43/CT$15)</f>
        <v>0</v>
      </c>
      <c r="CU44" s="307" t="n"/>
      <c r="CV44" s="307" t="n"/>
      <c r="CW44" s="307" t="n"/>
      <c r="CX44" s="307" t="n"/>
      <c r="CY44" s="306">
        <f>-(CY43/CY$15)</f>
        <v>0</v>
      </c>
    </row>
    <row r="45" hidden="1" outlineLevel="1" ht="12.75" customHeight="1" s="255">
      <c r="C45" s="305" t="n"/>
      <c r="D45" s="305" t="n"/>
      <c r="E45" s="305" t="n"/>
      <c r="F45" s="305" t="n"/>
      <c r="G45" s="305" t="n"/>
      <c r="H45" s="305" t="n"/>
      <c r="I45" s="305" t="n"/>
      <c r="J45" s="305" t="n"/>
      <c r="K45" s="305" t="n"/>
      <c r="L45" s="305" t="n"/>
      <c r="M45" s="305" t="n"/>
      <c r="N45" s="305" t="n"/>
      <c r="O45" s="305" t="n"/>
      <c r="P45" s="305" t="n"/>
      <c r="Q45" s="305" t="n"/>
      <c r="R45" s="305" t="n"/>
      <c r="S45" s="305" t="n"/>
      <c r="T45" s="305" t="n"/>
      <c r="U45" s="305" t="n"/>
      <c r="V45" s="305" t="n"/>
      <c r="W45" s="305" t="n"/>
      <c r="X45" s="305" t="n"/>
      <c r="Y45" s="305" t="n"/>
      <c r="Z45" s="305" t="n"/>
      <c r="AA45" s="305" t="n"/>
      <c r="AB45" s="305" t="n"/>
      <c r="AC45" s="305" t="n"/>
      <c r="AD45" s="305" t="n"/>
      <c r="AE45" s="305" t="n"/>
      <c r="AF45" s="305" t="n"/>
      <c r="AG45" s="305" t="n"/>
      <c r="AH45" s="305" t="n"/>
      <c r="AI45" s="305" t="n"/>
      <c r="AJ45" s="305" t="n"/>
      <c r="AK45" s="305" t="n"/>
      <c r="AL45" s="305" t="n"/>
      <c r="AM45" s="305" t="n"/>
      <c r="AN45" s="305" t="n"/>
      <c r="AO45" s="305" t="n"/>
      <c r="AP45" s="305" t="n"/>
      <c r="AQ45" s="305" t="n"/>
      <c r="AR45" s="305" t="n"/>
      <c r="AS45" s="305" t="n"/>
      <c r="AT45" s="305" t="n"/>
      <c r="AU45" s="305" t="n"/>
      <c r="AV45" s="305" t="n"/>
      <c r="AW45" s="305" t="n"/>
      <c r="AX45" s="305" t="n"/>
      <c r="AY45" s="305" t="n"/>
      <c r="AZ45" s="305" t="n"/>
      <c r="BA45" s="305" t="n"/>
      <c r="BB45" s="305" t="n"/>
      <c r="BC45" s="305" t="n"/>
      <c r="BD45" s="305" t="n"/>
      <c r="BE45" s="305" t="n"/>
      <c r="BF45" s="305" t="n"/>
      <c r="BG45" s="305" t="n"/>
      <c r="BH45" s="305" t="n"/>
      <c r="BI45" s="305" t="n"/>
      <c r="BJ45" s="305" t="n"/>
      <c r="BK45" s="305" t="n"/>
      <c r="BL45" s="305" t="n"/>
      <c r="BM45" s="305" t="n"/>
      <c r="BN45" s="305" t="n"/>
      <c r="BO45" s="305" t="n"/>
      <c r="BP45" s="305" t="n"/>
      <c r="BQ45" s="305" t="n"/>
      <c r="BR45" s="305" t="n"/>
      <c r="BS45" s="305" t="n"/>
      <c r="BT45" s="305" t="n"/>
      <c r="BU45" s="305" t="n"/>
      <c r="BV45" s="305" t="n"/>
      <c r="BW45" s="305" t="n"/>
      <c r="BX45" s="305" t="n"/>
      <c r="BY45" s="305" t="n"/>
      <c r="BZ45" s="305" t="n"/>
      <c r="CA45" s="305" t="n"/>
      <c r="CB45" s="305" t="n"/>
      <c r="CC45" s="305" t="n"/>
      <c r="CD45" s="305" t="n"/>
      <c r="CE45" s="305" t="n"/>
      <c r="CF45" s="305" t="n"/>
      <c r="CG45" s="305" t="n"/>
      <c r="CH45" s="305" t="n"/>
      <c r="CI45" s="305" t="n"/>
      <c r="CJ45" s="305" t="n"/>
      <c r="CK45" s="305" t="n"/>
      <c r="CL45" s="305" t="n"/>
      <c r="CM45" s="305" t="n"/>
      <c r="CN45" s="305" t="n"/>
      <c r="CO45" s="305" t="n"/>
      <c r="CP45" s="305" t="n"/>
      <c r="CQ45" s="305" t="n"/>
      <c r="CR45" s="305" t="n"/>
      <c r="CS45" s="305" t="n"/>
      <c r="CT45" s="305" t="n"/>
      <c r="CU45" s="305" t="n"/>
      <c r="CV45" s="305" t="n"/>
      <c r="CW45" s="305" t="n"/>
      <c r="CX45" s="305" t="n"/>
      <c r="CY45" s="305" t="n"/>
    </row>
    <row r="46" hidden="1" outlineLevel="1" ht="12.75" customHeight="1" s="255">
      <c r="C46" s="305" t="inlineStr">
        <is>
          <t>Com Vendas</t>
        </is>
      </c>
      <c r="D46" s="267" t="n"/>
      <c r="E46" s="267" t="n"/>
      <c r="F46" s="267" t="n"/>
      <c r="G46" s="267" t="n"/>
      <c r="H46" s="305" t="n"/>
      <c r="I46" s="267" t="n"/>
      <c r="J46" s="267" t="n"/>
      <c r="K46" s="267" t="n"/>
      <c r="L46" s="267" t="n"/>
      <c r="M46" s="305" t="n"/>
      <c r="N46" s="267" t="n"/>
      <c r="O46" s="267" t="n"/>
      <c r="P46" s="267" t="n"/>
      <c r="Q46" s="267" t="n"/>
      <c r="R46" s="305" t="n"/>
      <c r="S46" s="267" t="n"/>
      <c r="T46" s="267" t="n"/>
      <c r="U46" s="267" t="n"/>
      <c r="V46" s="267" t="n"/>
      <c r="W46" s="305" t="n"/>
      <c r="X46" s="267" t="n"/>
      <c r="Y46" s="267" t="n"/>
      <c r="Z46" s="267" t="n"/>
      <c r="AA46" s="267" t="n"/>
      <c r="AB46" s="305" t="n"/>
      <c r="AC46" s="267" t="n"/>
      <c r="AD46" s="267" t="n"/>
      <c r="AE46" s="267" t="n"/>
      <c r="AF46" s="267" t="n"/>
      <c r="AG46" s="305" t="n"/>
      <c r="AH46" s="305" t="n"/>
      <c r="AI46" s="305" t="n"/>
      <c r="AJ46" s="305" t="n"/>
      <c r="AK46" s="305" t="n"/>
      <c r="AL46" s="305" t="n"/>
      <c r="AM46" s="305" t="n"/>
      <c r="AN46" s="305" t="n"/>
      <c r="AO46" s="305" t="n"/>
      <c r="AP46" s="305" t="n"/>
      <c r="AQ46" s="305" t="n"/>
      <c r="AR46" s="305" t="n"/>
      <c r="AS46" s="305" t="n"/>
      <c r="AT46" s="305" t="n"/>
      <c r="AU46" s="305" t="n"/>
      <c r="AV46" s="305" t="n"/>
      <c r="AW46" s="305" t="n"/>
      <c r="AX46" s="305" t="n"/>
      <c r="AY46" s="305" t="n"/>
      <c r="AZ46" s="305" t="n"/>
      <c r="BA46" s="305" t="n"/>
      <c r="BB46" s="305" t="n"/>
      <c r="BC46" s="305" t="n"/>
      <c r="BD46" s="305" t="n"/>
      <c r="BE46" s="305" t="n"/>
      <c r="BF46" s="305" t="n"/>
      <c r="BG46" s="305" t="n"/>
      <c r="BH46" s="305" t="n"/>
      <c r="BI46" s="305" t="n"/>
      <c r="BJ46" s="305" t="n"/>
      <c r="BK46" s="305" t="n"/>
      <c r="BL46" s="305" t="n"/>
      <c r="BM46" s="305" t="n"/>
      <c r="BN46" s="305" t="n"/>
      <c r="BO46" s="305" t="n"/>
      <c r="BP46" s="305" t="n"/>
      <c r="BQ46" s="305" t="n"/>
      <c r="BR46" s="305" t="n"/>
      <c r="BS46" s="305" t="n"/>
      <c r="BT46" s="305" t="n"/>
      <c r="BU46" s="305" t="n"/>
      <c r="BV46" s="305" t="n"/>
      <c r="BW46" s="305" t="n"/>
      <c r="BX46" s="305" t="n"/>
      <c r="BY46" s="305" t="n"/>
      <c r="BZ46" s="305" t="n"/>
      <c r="CA46" s="305" t="n"/>
      <c r="CB46" s="305" t="n"/>
      <c r="CC46" s="305" t="n"/>
      <c r="CD46" s="305" t="n"/>
      <c r="CE46" s="305" t="n"/>
      <c r="CF46" s="305" t="n"/>
      <c r="CG46" s="305" t="n"/>
      <c r="CH46" s="305" t="n"/>
      <c r="CI46" s="305" t="n"/>
      <c r="CJ46" s="305" t="n"/>
      <c r="CK46" s="305" t="n"/>
      <c r="CL46" s="305" t="n"/>
      <c r="CM46" s="305" t="n"/>
      <c r="CN46" s="305" t="n"/>
      <c r="CO46" s="305" t="n"/>
      <c r="CP46" s="305" t="n"/>
      <c r="CQ46" s="305" t="n"/>
      <c r="CR46" s="305" t="n"/>
      <c r="CS46" s="305" t="n"/>
      <c r="CT46" s="305" t="n"/>
      <c r="CU46" s="305" t="n"/>
      <c r="CV46" s="305" t="n"/>
      <c r="CW46" s="305" t="n"/>
      <c r="CX46" s="305" t="n"/>
      <c r="CY46" s="305" t="n"/>
    </row>
    <row r="47" hidden="1" outlineLevel="1" ht="12.75" customHeight="1" s="255">
      <c r="C47" s="305" t="inlineStr">
        <is>
          <t>Gerais &amp; Administrativas</t>
        </is>
      </c>
      <c r="D47" s="267" t="n"/>
      <c r="E47" s="267" t="n"/>
      <c r="F47" s="267" t="n"/>
      <c r="G47" s="267" t="n"/>
      <c r="H47" s="305" t="n"/>
      <c r="I47" s="267" t="n"/>
      <c r="J47" s="267" t="n"/>
      <c r="K47" s="267" t="n"/>
      <c r="L47" s="267" t="n"/>
      <c r="M47" s="305" t="n"/>
      <c r="N47" s="267" t="n"/>
      <c r="O47" s="267" t="n"/>
      <c r="P47" s="267" t="n"/>
      <c r="Q47" s="267" t="n"/>
      <c r="R47" s="305" t="n"/>
      <c r="S47" s="267" t="n"/>
      <c r="T47" s="267" t="n"/>
      <c r="U47" s="267" t="n"/>
      <c r="V47" s="267" t="n"/>
      <c r="W47" s="305" t="n"/>
      <c r="X47" s="267" t="n"/>
      <c r="Y47" s="267" t="n"/>
      <c r="Z47" s="267" t="n"/>
      <c r="AA47" s="267" t="n"/>
      <c r="AB47" s="305" t="n"/>
      <c r="AC47" s="267" t="n"/>
      <c r="AD47" s="267" t="n"/>
      <c r="AE47" s="267" t="n"/>
      <c r="AF47" s="267" t="n"/>
      <c r="AG47" s="305" t="n"/>
      <c r="AH47" s="305" t="n"/>
      <c r="AI47" s="305" t="n"/>
      <c r="AJ47" s="305" t="n"/>
      <c r="AK47" s="305" t="n"/>
      <c r="AL47" s="305" t="n"/>
      <c r="AM47" s="305" t="n"/>
      <c r="AN47" s="305" t="n"/>
      <c r="AO47" s="305" t="n"/>
      <c r="AP47" s="305" t="n"/>
      <c r="AQ47" s="305" t="n"/>
      <c r="AR47" s="305" t="n"/>
      <c r="AS47" s="305" t="n"/>
      <c r="AT47" s="305" t="n"/>
      <c r="AU47" s="305" t="n"/>
      <c r="AV47" s="305" t="n"/>
      <c r="AW47" s="305" t="n"/>
      <c r="AX47" s="305" t="n"/>
      <c r="AY47" s="305" t="n"/>
      <c r="AZ47" s="305" t="n"/>
      <c r="BA47" s="305" t="n"/>
      <c r="BB47" s="305" t="n"/>
      <c r="BC47" s="305" t="n"/>
      <c r="BD47" s="305" t="n"/>
      <c r="BE47" s="305" t="n"/>
      <c r="BF47" s="305" t="n"/>
      <c r="BG47" s="305" t="n"/>
      <c r="BH47" s="305" t="n"/>
      <c r="BI47" s="305" t="n"/>
      <c r="BJ47" s="305" t="n"/>
      <c r="BK47" s="305" t="n"/>
      <c r="BL47" s="305" t="n"/>
      <c r="BM47" s="305" t="n"/>
      <c r="BN47" s="305" t="n"/>
      <c r="BO47" s="305" t="n"/>
      <c r="BP47" s="305" t="n"/>
      <c r="BQ47" s="305" t="n"/>
      <c r="BR47" s="305" t="n"/>
      <c r="BS47" s="305" t="n"/>
      <c r="BT47" s="305" t="n"/>
      <c r="BU47" s="305" t="n"/>
      <c r="BV47" s="305" t="n"/>
      <c r="BW47" s="305" t="n"/>
      <c r="BX47" s="305" t="n"/>
      <c r="BY47" s="305" t="n"/>
      <c r="BZ47" s="305" t="n"/>
      <c r="CA47" s="305" t="n"/>
      <c r="CB47" s="305" t="n"/>
      <c r="CC47" s="305" t="n"/>
      <c r="CD47" s="305" t="n"/>
      <c r="CE47" s="305" t="n"/>
      <c r="CF47" s="305" t="n"/>
      <c r="CG47" s="305" t="n"/>
      <c r="CH47" s="305" t="n"/>
      <c r="CI47" s="305" t="n"/>
      <c r="CJ47" s="305" t="n"/>
      <c r="CK47" s="305" t="n"/>
      <c r="CL47" s="305" t="n"/>
      <c r="CM47" s="305" t="n"/>
      <c r="CN47" s="305" t="n"/>
      <c r="CO47" s="305" t="n"/>
      <c r="CP47" s="305" t="n"/>
      <c r="CQ47" s="305" t="n"/>
      <c r="CR47" s="305" t="n"/>
      <c r="CS47" s="305" t="n"/>
      <c r="CT47" s="305" t="n"/>
      <c r="CU47" s="305" t="n"/>
      <c r="CV47" s="305" t="n"/>
      <c r="CW47" s="305" t="n"/>
      <c r="CX47" s="305" t="n"/>
      <c r="CY47" s="305" t="n"/>
    </row>
    <row r="48" hidden="1" outlineLevel="1" ht="12.75" customHeight="1" s="255">
      <c r="C48" s="305" t="inlineStr">
        <is>
          <t>Outras Receitas (Despesas) Operacionais, Líquidas</t>
        </is>
      </c>
      <c r="D48" s="267" t="n"/>
      <c r="E48" s="267" t="n"/>
      <c r="F48" s="267" t="n"/>
      <c r="G48" s="267" t="n"/>
      <c r="H48" s="305" t="n"/>
      <c r="I48" s="267" t="n"/>
      <c r="J48" s="267" t="n"/>
      <c r="K48" s="267" t="n"/>
      <c r="L48" s="267" t="n"/>
      <c r="M48" s="305" t="n"/>
      <c r="N48" s="267" t="n"/>
      <c r="O48" s="267" t="n"/>
      <c r="P48" s="267" t="n"/>
      <c r="Q48" s="267" t="n"/>
      <c r="R48" s="305" t="n"/>
      <c r="S48" s="267" t="n"/>
      <c r="T48" s="267" t="n"/>
      <c r="U48" s="267" t="n"/>
      <c r="V48" s="267" t="n"/>
      <c r="W48" s="305" t="n"/>
      <c r="X48" s="267" t="n"/>
      <c r="Y48" s="267" t="n"/>
      <c r="Z48" s="267" t="n"/>
      <c r="AA48" s="267" t="n"/>
      <c r="AB48" s="305" t="n"/>
      <c r="AC48" s="267" t="n"/>
      <c r="AD48" s="267" t="n"/>
      <c r="AE48" s="267" t="n"/>
      <c r="AF48" s="267" t="n"/>
      <c r="AG48" s="305" t="n"/>
      <c r="AH48" s="305" t="n"/>
      <c r="AI48" s="305" t="n"/>
      <c r="AJ48" s="305" t="n"/>
      <c r="AK48" s="305" t="n"/>
      <c r="AL48" s="305" t="n"/>
      <c r="AM48" s="305" t="n"/>
      <c r="AN48" s="305" t="n"/>
      <c r="AO48" s="305" t="n"/>
      <c r="AP48" s="305" t="n"/>
      <c r="AQ48" s="305" t="n"/>
      <c r="AR48" s="305" t="n"/>
      <c r="AS48" s="305" t="n"/>
      <c r="AT48" s="305" t="n"/>
      <c r="AU48" s="305" t="n"/>
      <c r="AV48" s="305" t="n"/>
      <c r="AW48" s="305" t="n"/>
      <c r="AX48" s="305" t="n"/>
      <c r="AY48" s="305" t="n"/>
      <c r="AZ48" s="305" t="n"/>
      <c r="BA48" s="305" t="n"/>
      <c r="BB48" s="305" t="n"/>
      <c r="BC48" s="305" t="n"/>
      <c r="BD48" s="305" t="n"/>
      <c r="BE48" s="305" t="n"/>
      <c r="BF48" s="305" t="n"/>
      <c r="BG48" s="305" t="n"/>
      <c r="BH48" s="305" t="n"/>
      <c r="BI48" s="305" t="n"/>
      <c r="BJ48" s="305" t="n"/>
      <c r="BK48" s="305" t="n"/>
      <c r="BL48" s="305" t="n"/>
      <c r="BM48" s="305" t="n"/>
      <c r="BN48" s="305" t="n"/>
      <c r="BO48" s="305" t="n"/>
      <c r="BP48" s="305" t="n"/>
      <c r="BQ48" s="305" t="n"/>
      <c r="BR48" s="305" t="n"/>
      <c r="BS48" s="305" t="n"/>
      <c r="BT48" s="305" t="n"/>
      <c r="BU48" s="305" t="n"/>
      <c r="BV48" s="305" t="n"/>
      <c r="BW48" s="305" t="n"/>
      <c r="BX48" s="305" t="n"/>
      <c r="BY48" s="305" t="n"/>
      <c r="BZ48" s="305" t="n"/>
      <c r="CA48" s="305" t="n"/>
      <c r="CB48" s="305" t="n"/>
      <c r="CC48" s="305" t="n"/>
      <c r="CD48" s="305" t="n"/>
      <c r="CE48" s="305" t="n"/>
      <c r="CF48" s="305" t="n"/>
      <c r="CG48" s="305" t="n"/>
      <c r="CH48" s="305" t="n"/>
      <c r="CI48" s="305" t="n"/>
      <c r="CJ48" s="305" t="n"/>
      <c r="CK48" s="305" t="n"/>
      <c r="CL48" s="305" t="n"/>
      <c r="CM48" s="305" t="n"/>
      <c r="CN48" s="305" t="n"/>
      <c r="CO48" s="305" t="n"/>
      <c r="CP48" s="305" t="n"/>
      <c r="CQ48" s="305" t="n"/>
      <c r="CR48" s="305" t="n"/>
      <c r="CS48" s="305" t="n"/>
      <c r="CT48" s="305" t="n"/>
      <c r="CU48" s="305" t="n"/>
      <c r="CV48" s="305" t="n"/>
      <c r="CW48" s="305" t="n"/>
      <c r="CX48" s="305" t="n"/>
      <c r="CY48" s="305" t="n"/>
    </row>
    <row r="49" hidden="1" outlineLevel="1" ht="12.75" customHeight="1" s="255">
      <c r="C49" s="305" t="n"/>
      <c r="D49" s="305" t="n"/>
      <c r="E49" s="305" t="n"/>
      <c r="F49" s="305" t="n"/>
      <c r="G49" s="305" t="n"/>
      <c r="H49" s="305" t="n"/>
      <c r="I49" s="305" t="n"/>
      <c r="J49" s="305" t="n"/>
      <c r="K49" s="305" t="n"/>
      <c r="L49" s="305" t="n"/>
      <c r="M49" s="305" t="n"/>
      <c r="N49" s="305" t="n"/>
      <c r="O49" s="305" t="n"/>
      <c r="P49" s="305" t="n"/>
      <c r="Q49" s="305" t="n"/>
      <c r="R49" s="305" t="n"/>
      <c r="S49" s="305" t="n"/>
      <c r="T49" s="305" t="n"/>
      <c r="U49" s="305" t="n"/>
      <c r="V49" s="305" t="n"/>
      <c r="W49" s="305" t="n"/>
      <c r="X49" s="305" t="n"/>
      <c r="Y49" s="305" t="n"/>
      <c r="Z49" s="305" t="n"/>
      <c r="AA49" s="305" t="n"/>
      <c r="AB49" s="305" t="n"/>
      <c r="AC49" s="305" t="n"/>
      <c r="AD49" s="305" t="n"/>
      <c r="AE49" s="305" t="n"/>
      <c r="AF49" s="305" t="n"/>
      <c r="AG49" s="305" t="n"/>
      <c r="AH49" s="305" t="n"/>
      <c r="AI49" s="305" t="n"/>
      <c r="AJ49" s="305" t="n"/>
      <c r="AK49" s="305" t="n"/>
      <c r="AL49" s="305" t="n"/>
      <c r="AM49" s="305" t="n"/>
      <c r="AN49" s="305" t="n"/>
      <c r="AO49" s="305" t="n"/>
      <c r="AP49" s="305" t="n"/>
      <c r="AQ49" s="305" t="n"/>
      <c r="AR49" s="305" t="n"/>
      <c r="AS49" s="305" t="n"/>
      <c r="AT49" s="305" t="n"/>
      <c r="AU49" s="305" t="n"/>
      <c r="AV49" s="305" t="n"/>
      <c r="AW49" s="305" t="n"/>
      <c r="AX49" s="305" t="n"/>
      <c r="AY49" s="305" t="n"/>
      <c r="AZ49" s="305" t="n"/>
      <c r="BA49" s="305" t="n"/>
      <c r="BB49" s="305" t="n"/>
      <c r="BC49" s="305" t="n"/>
      <c r="BD49" s="305" t="n"/>
      <c r="BE49" s="305" t="n"/>
      <c r="BF49" s="305" t="n"/>
      <c r="BG49" s="305" t="n"/>
      <c r="BH49" s="305" t="n"/>
      <c r="BI49" s="305" t="n"/>
      <c r="BJ49" s="305" t="n"/>
      <c r="BK49" s="305" t="n"/>
      <c r="BL49" s="305" t="n"/>
      <c r="BM49" s="305" t="n"/>
      <c r="BN49" s="305" t="n"/>
      <c r="BO49" s="305" t="n"/>
      <c r="BP49" s="305" t="n"/>
      <c r="BQ49" s="305" t="n"/>
      <c r="BR49" s="305" t="n"/>
      <c r="BS49" s="305" t="n"/>
      <c r="BT49" s="305" t="n"/>
      <c r="BU49" s="305" t="n"/>
      <c r="BV49" s="305" t="n"/>
      <c r="BW49" s="305" t="n"/>
      <c r="BX49" s="305" t="n"/>
      <c r="BY49" s="305" t="n"/>
      <c r="BZ49" s="305" t="n"/>
      <c r="CA49" s="305" t="n"/>
      <c r="CB49" s="305" t="n"/>
      <c r="CC49" s="305" t="n"/>
      <c r="CD49" s="305" t="n"/>
      <c r="CE49" s="305" t="n"/>
      <c r="CF49" s="305" t="n"/>
      <c r="CG49" s="305" t="n"/>
      <c r="CH49" s="305" t="n"/>
      <c r="CI49" s="305" t="n"/>
      <c r="CJ49" s="305" t="n"/>
      <c r="CK49" s="305" t="n"/>
      <c r="CL49" s="305" t="n"/>
      <c r="CM49" s="305" t="n"/>
      <c r="CN49" s="305" t="n"/>
      <c r="CO49" s="305" t="n"/>
      <c r="CP49" s="305" t="n"/>
      <c r="CQ49" s="305" t="n"/>
      <c r="CR49" s="305" t="n"/>
      <c r="CS49" s="305" t="n"/>
      <c r="CT49" s="305" t="n"/>
      <c r="CU49" s="305" t="n"/>
      <c r="CV49" s="305" t="n"/>
      <c r="CW49" s="305" t="n"/>
      <c r="CX49" s="305" t="n"/>
      <c r="CY49" s="305" t="n"/>
    </row>
    <row r="50" hidden="1" outlineLevel="1" ht="12.75" customHeight="1" s="255">
      <c r="C50" s="305" t="inlineStr">
        <is>
          <t>Com Vendas (%)</t>
        </is>
      </c>
      <c r="D50" s="305" t="n"/>
      <c r="E50" s="305" t="n"/>
      <c r="F50" s="305" t="n"/>
      <c r="G50" s="305" t="n"/>
      <c r="H50" s="305" t="n"/>
      <c r="I50" s="305" t="n"/>
      <c r="J50" s="305" t="n"/>
      <c r="K50" s="305" t="n"/>
      <c r="L50" s="305" t="n"/>
      <c r="M50" s="305" t="n"/>
      <c r="N50" s="305" t="n"/>
      <c r="O50" s="305" t="n"/>
      <c r="P50" s="305" t="n"/>
      <c r="Q50" s="305" t="n"/>
      <c r="R50" s="305" t="n"/>
      <c r="S50" s="305" t="n"/>
      <c r="T50" s="305" t="n"/>
      <c r="U50" s="305" t="n"/>
      <c r="V50" s="305" t="n"/>
      <c r="W50" s="305" t="n"/>
      <c r="X50" s="305" t="n"/>
      <c r="Y50" s="305" t="n"/>
      <c r="Z50" s="305" t="n"/>
      <c r="AA50" s="305" t="n"/>
      <c r="AB50" s="305" t="n"/>
      <c r="AC50" s="305" t="n"/>
      <c r="AD50" s="305" t="n"/>
      <c r="AE50" s="305" t="n"/>
      <c r="AF50" s="305" t="n"/>
      <c r="AG50" s="305" t="n"/>
      <c r="AH50" s="305" t="n"/>
      <c r="AI50" s="305" t="n"/>
      <c r="AJ50" s="305" t="n"/>
      <c r="AK50" s="305" t="n"/>
      <c r="AL50" s="305" t="n"/>
      <c r="AM50" s="305" t="n"/>
      <c r="AN50" s="305" t="n"/>
      <c r="AO50" s="305" t="n"/>
      <c r="AP50" s="305" t="n"/>
      <c r="AQ50" s="305" t="n"/>
      <c r="AR50" s="305" t="n"/>
      <c r="AS50" s="305" t="n"/>
      <c r="AT50" s="305" t="n"/>
      <c r="AU50" s="305" t="n"/>
      <c r="AV50" s="305" t="n"/>
      <c r="AW50" s="305" t="n"/>
      <c r="AX50" s="305" t="n"/>
      <c r="AY50" s="305" t="n"/>
      <c r="AZ50" s="305" t="n"/>
      <c r="BA50" s="305" t="n"/>
      <c r="BB50" s="305" t="n"/>
      <c r="BC50" s="305" t="n"/>
      <c r="BD50" s="305" t="n"/>
      <c r="BE50" s="305" t="n"/>
      <c r="BF50" s="305" t="n"/>
      <c r="BG50" s="305" t="n"/>
      <c r="BH50" s="305" t="n"/>
      <c r="BI50" s="305" t="n"/>
      <c r="BJ50" s="305" t="n"/>
      <c r="BK50" s="305" t="n"/>
      <c r="BL50" s="305" t="n"/>
      <c r="BM50" s="305" t="n"/>
      <c r="BN50" s="305" t="n"/>
      <c r="BO50" s="305" t="n"/>
      <c r="BP50" s="305" t="n"/>
      <c r="BQ50" s="305" t="n"/>
      <c r="BR50" s="305" t="n"/>
      <c r="BS50" s="305" t="n"/>
      <c r="BT50" s="305" t="n"/>
      <c r="BU50" s="305" t="n"/>
      <c r="BV50" s="305" t="n"/>
      <c r="BW50" s="305" t="n"/>
      <c r="BX50" s="305" t="n"/>
      <c r="BY50" s="305" t="n"/>
      <c r="BZ50" s="305" t="n"/>
      <c r="CA50" s="305" t="n"/>
      <c r="CB50" s="305" t="n"/>
      <c r="CC50" s="305" t="n"/>
      <c r="CD50" s="305" t="n"/>
      <c r="CE50" s="305" t="n"/>
      <c r="CF50" s="305" t="n"/>
      <c r="CG50" s="305" t="n"/>
      <c r="CH50" s="305" t="n"/>
      <c r="CI50" s="305" t="n"/>
      <c r="CJ50" s="305" t="n"/>
      <c r="CK50" s="305" t="n"/>
      <c r="CL50" s="305" t="n"/>
      <c r="CM50" s="305" t="n"/>
      <c r="CN50" s="305" t="n"/>
      <c r="CO50" s="305" t="n"/>
      <c r="CP50" s="305" t="n"/>
      <c r="CQ50" s="305" t="n"/>
      <c r="CR50" s="305" t="n"/>
      <c r="CS50" s="305" t="n"/>
      <c r="CT50" s="305" t="n"/>
      <c r="CU50" s="305" t="n"/>
      <c r="CV50" s="305" t="n"/>
      <c r="CW50" s="305" t="n"/>
      <c r="CX50" s="305" t="n"/>
      <c r="CY50" s="305" t="n"/>
    </row>
    <row r="51" hidden="1" outlineLevel="1" ht="12.75" customHeight="1" s="255">
      <c r="C51" s="305" t="inlineStr">
        <is>
          <t>Gerais &amp; Administrativas (%)</t>
        </is>
      </c>
      <c r="D51" s="305" t="n"/>
      <c r="E51" s="305" t="n"/>
      <c r="F51" s="305" t="n"/>
      <c r="G51" s="305" t="n"/>
      <c r="H51" s="305" t="n"/>
      <c r="I51" s="305" t="n"/>
      <c r="J51" s="305" t="n"/>
      <c r="K51" s="305" t="n"/>
      <c r="L51" s="305" t="n"/>
      <c r="M51" s="305" t="n"/>
      <c r="N51" s="305" t="n"/>
      <c r="O51" s="305" t="n"/>
      <c r="P51" s="305" t="n"/>
      <c r="Q51" s="305" t="n"/>
      <c r="R51" s="305" t="n"/>
      <c r="S51" s="305" t="n"/>
      <c r="T51" s="305" t="n"/>
      <c r="U51" s="305" t="n"/>
      <c r="V51" s="305" t="n"/>
      <c r="W51" s="305" t="n"/>
      <c r="X51" s="305" t="n"/>
      <c r="Y51" s="305" t="n"/>
      <c r="Z51" s="305" t="n"/>
      <c r="AA51" s="305" t="n"/>
      <c r="AB51" s="305" t="n"/>
      <c r="AC51" s="305" t="n"/>
      <c r="AD51" s="305" t="n"/>
      <c r="AE51" s="305" t="n"/>
      <c r="AF51" s="305" t="n"/>
      <c r="AG51" s="305" t="n"/>
      <c r="AH51" s="305" t="n"/>
      <c r="AI51" s="305" t="n"/>
      <c r="AJ51" s="305" t="n"/>
      <c r="AK51" s="305" t="n"/>
      <c r="AL51" s="305" t="n"/>
      <c r="AM51" s="305" t="n"/>
      <c r="AN51" s="305" t="n"/>
      <c r="AO51" s="305" t="n"/>
      <c r="AP51" s="305" t="n"/>
      <c r="AQ51" s="305" t="n"/>
      <c r="AR51" s="305" t="n"/>
      <c r="AS51" s="305" t="n"/>
      <c r="AT51" s="305" t="n"/>
      <c r="AU51" s="305" t="n"/>
      <c r="AV51" s="305" t="n"/>
      <c r="AW51" s="305" t="n"/>
      <c r="AX51" s="305" t="n"/>
      <c r="AY51" s="305" t="n"/>
      <c r="AZ51" s="305" t="n"/>
      <c r="BA51" s="305" t="n"/>
      <c r="BB51" s="305" t="n"/>
      <c r="BC51" s="305" t="n"/>
      <c r="BD51" s="305" t="n"/>
      <c r="BE51" s="305" t="n"/>
      <c r="BF51" s="305" t="n"/>
      <c r="BG51" s="305" t="n"/>
      <c r="BH51" s="305" t="n"/>
      <c r="BI51" s="305" t="n"/>
      <c r="BJ51" s="305" t="n"/>
      <c r="BK51" s="305" t="n"/>
      <c r="BL51" s="305" t="n"/>
      <c r="BM51" s="305" t="n"/>
      <c r="BN51" s="305" t="n"/>
      <c r="BO51" s="305" t="n"/>
      <c r="BP51" s="305" t="n"/>
      <c r="BQ51" s="305" t="n"/>
      <c r="BR51" s="305" t="n"/>
      <c r="BS51" s="305" t="n"/>
      <c r="BT51" s="305" t="n"/>
      <c r="BU51" s="305" t="n"/>
      <c r="BV51" s="305" t="n"/>
      <c r="BW51" s="305" t="n"/>
      <c r="BX51" s="305" t="n"/>
      <c r="BY51" s="305" t="n"/>
      <c r="BZ51" s="305" t="n"/>
      <c r="CA51" s="305" t="n"/>
      <c r="CB51" s="305" t="n"/>
      <c r="CC51" s="305" t="n"/>
      <c r="CD51" s="305" t="n"/>
      <c r="CE51" s="305" t="n"/>
      <c r="CF51" s="305" t="n"/>
      <c r="CG51" s="305" t="n"/>
      <c r="CH51" s="305" t="n"/>
      <c r="CI51" s="305" t="n"/>
      <c r="CJ51" s="305" t="n"/>
      <c r="CK51" s="305" t="n"/>
      <c r="CL51" s="305" t="n"/>
      <c r="CM51" s="305" t="n"/>
      <c r="CN51" s="305" t="n"/>
      <c r="CO51" s="305" t="n"/>
      <c r="CP51" s="305" t="n"/>
      <c r="CQ51" s="305" t="n"/>
      <c r="CR51" s="305" t="n"/>
      <c r="CS51" s="305" t="n"/>
      <c r="CT51" s="305" t="n"/>
      <c r="CU51" s="305" t="n"/>
      <c r="CV51" s="305" t="n"/>
      <c r="CW51" s="305" t="n"/>
      <c r="CX51" s="305" t="n"/>
      <c r="CY51" s="305" t="n"/>
    </row>
    <row r="52" hidden="1" outlineLevel="1" ht="12.75" customHeight="1" s="255">
      <c r="C52" s="305" t="inlineStr">
        <is>
          <t>Outras Receitas (Despesas) Operacionais, Líquidas (%)</t>
        </is>
      </c>
      <c r="D52" s="305" t="n"/>
      <c r="E52" s="305" t="n"/>
      <c r="F52" s="305" t="n"/>
      <c r="G52" s="305" t="n"/>
      <c r="H52" s="305" t="n"/>
      <c r="I52" s="305" t="n"/>
      <c r="J52" s="305" t="n"/>
      <c r="K52" s="305" t="n"/>
      <c r="L52" s="305" t="n"/>
      <c r="M52" s="305" t="n"/>
      <c r="N52" s="305" t="n"/>
      <c r="O52" s="305" t="n"/>
      <c r="P52" s="305" t="n"/>
      <c r="Q52" s="305" t="n"/>
      <c r="R52" s="305" t="n"/>
      <c r="S52" s="305" t="n"/>
      <c r="T52" s="305" t="n"/>
      <c r="U52" s="305" t="n"/>
      <c r="V52" s="305" t="n"/>
      <c r="W52" s="305" t="n"/>
      <c r="X52" s="305" t="n"/>
      <c r="Y52" s="305" t="n"/>
      <c r="Z52" s="305" t="n"/>
      <c r="AA52" s="305" t="n"/>
      <c r="AB52" s="305" t="n"/>
      <c r="AC52" s="305" t="n"/>
      <c r="AD52" s="305" t="n"/>
      <c r="AE52" s="305" t="n"/>
      <c r="AF52" s="305" t="n"/>
      <c r="AG52" s="305" t="n"/>
      <c r="AH52" s="305" t="n"/>
      <c r="AI52" s="305" t="n"/>
      <c r="AJ52" s="305" t="n"/>
      <c r="AK52" s="305" t="n"/>
      <c r="AL52" s="305" t="n"/>
      <c r="AM52" s="305" t="n"/>
      <c r="AN52" s="305" t="n"/>
      <c r="AO52" s="305" t="n"/>
      <c r="AP52" s="305" t="n"/>
      <c r="AQ52" s="305" t="n"/>
      <c r="AR52" s="305" t="n"/>
      <c r="AS52" s="305" t="n"/>
      <c r="AT52" s="305" t="n"/>
      <c r="AU52" s="305" t="n"/>
      <c r="AV52" s="305" t="n"/>
      <c r="AW52" s="305" t="n"/>
      <c r="AX52" s="305" t="n"/>
      <c r="AY52" s="305" t="n"/>
      <c r="AZ52" s="305" t="n"/>
      <c r="BA52" s="305" t="n"/>
      <c r="BB52" s="305" t="n"/>
      <c r="BC52" s="305" t="n"/>
      <c r="BD52" s="305" t="n"/>
      <c r="BE52" s="305" t="n"/>
      <c r="BF52" s="305" t="n"/>
      <c r="BG52" s="305" t="n"/>
      <c r="BH52" s="305" t="n"/>
      <c r="BI52" s="305" t="n"/>
      <c r="BJ52" s="305" t="n"/>
      <c r="BK52" s="305" t="n"/>
      <c r="BL52" s="305" t="n"/>
      <c r="BM52" s="305" t="n"/>
      <c r="BN52" s="305" t="n"/>
      <c r="BO52" s="305" t="n"/>
      <c r="BP52" s="305" t="n"/>
      <c r="BQ52" s="305" t="n"/>
      <c r="BR52" s="305" t="n"/>
      <c r="BS52" s="305" t="n"/>
      <c r="BT52" s="305" t="n"/>
      <c r="BU52" s="305" t="n"/>
      <c r="BV52" s="305" t="n"/>
      <c r="BW52" s="305" t="n"/>
      <c r="BX52" s="305" t="n"/>
      <c r="BY52" s="305" t="n"/>
      <c r="BZ52" s="305" t="n"/>
      <c r="CA52" s="305" t="n"/>
      <c r="CB52" s="305" t="n"/>
      <c r="CC52" s="305" t="n"/>
      <c r="CD52" s="305" t="n"/>
      <c r="CE52" s="305" t="n"/>
      <c r="CF52" s="305" t="n"/>
      <c r="CG52" s="305" t="n"/>
      <c r="CH52" s="305" t="n"/>
      <c r="CI52" s="305" t="n"/>
      <c r="CJ52" s="305" t="n"/>
      <c r="CK52" s="305" t="n"/>
      <c r="CL52" s="305" t="n"/>
      <c r="CM52" s="305" t="n"/>
      <c r="CN52" s="305" t="n"/>
      <c r="CO52" s="305" t="n"/>
      <c r="CP52" s="305" t="n"/>
      <c r="CQ52" s="305" t="n"/>
      <c r="CR52" s="305" t="n"/>
      <c r="CS52" s="305" t="n"/>
      <c r="CT52" s="305" t="n"/>
      <c r="CU52" s="305" t="n"/>
      <c r="CV52" s="305" t="n"/>
      <c r="CW52" s="305" t="n"/>
      <c r="CX52" s="305" t="n"/>
      <c r="CY52" s="305" t="n"/>
    </row>
    <row r="53" hidden="1" outlineLevel="1" ht="12.75" customHeight="1" s="255">
      <c r="C53" s="305" t="n"/>
      <c r="D53" s="305" t="n"/>
      <c r="E53" s="305" t="n"/>
      <c r="F53" s="305" t="n"/>
      <c r="G53" s="305" t="n"/>
      <c r="H53" s="305" t="n"/>
      <c r="I53" s="305" t="n"/>
      <c r="J53" s="305" t="n"/>
      <c r="K53" s="305" t="n"/>
      <c r="L53" s="305" t="n"/>
      <c r="M53" s="305" t="n"/>
      <c r="N53" s="305" t="n"/>
      <c r="O53" s="305" t="n"/>
      <c r="P53" s="305" t="n"/>
      <c r="Q53" s="305" t="n"/>
      <c r="R53" s="305" t="n"/>
      <c r="S53" s="305" t="n"/>
      <c r="T53" s="305" t="n"/>
      <c r="U53" s="305" t="n"/>
      <c r="V53" s="305" t="n"/>
      <c r="W53" s="305" t="n"/>
      <c r="X53" s="305" t="n"/>
      <c r="Y53" s="305" t="n"/>
      <c r="Z53" s="305" t="n"/>
      <c r="AA53" s="305" t="n"/>
      <c r="AB53" s="305" t="n"/>
      <c r="AC53" s="305" t="n"/>
      <c r="AD53" s="305" t="n"/>
      <c r="AE53" s="305" t="n"/>
      <c r="AF53" s="305" t="n"/>
      <c r="AG53" s="305" t="n"/>
      <c r="AH53" s="305" t="n"/>
      <c r="AI53" s="305" t="n"/>
      <c r="AJ53" s="305" t="n"/>
      <c r="AK53" s="305" t="n"/>
      <c r="AL53" s="305" t="n"/>
      <c r="AM53" s="305" t="n"/>
      <c r="AN53" s="305" t="n"/>
      <c r="AO53" s="305" t="n"/>
      <c r="AP53" s="305" t="n"/>
      <c r="AQ53" s="305" t="n"/>
      <c r="AR53" s="305" t="n"/>
      <c r="AS53" s="305" t="n"/>
      <c r="AT53" s="305" t="n"/>
      <c r="AU53" s="305" t="n"/>
      <c r="AV53" s="305" t="n"/>
      <c r="AW53" s="305" t="n"/>
      <c r="AX53" s="305" t="n"/>
      <c r="AY53" s="305" t="n"/>
      <c r="AZ53" s="305" t="n"/>
      <c r="BA53" s="305" t="n"/>
      <c r="BB53" s="305" t="n"/>
      <c r="BC53" s="305" t="n"/>
      <c r="BD53" s="305" t="n"/>
      <c r="BE53" s="305" t="n"/>
      <c r="BF53" s="305" t="n"/>
      <c r="BG53" s="305" t="n"/>
      <c r="BH53" s="305" t="n"/>
      <c r="BI53" s="305" t="n"/>
      <c r="BJ53" s="305" t="n"/>
      <c r="BK53" s="305" t="n"/>
      <c r="BL53" s="305" t="n"/>
      <c r="BM53" s="305" t="n"/>
      <c r="BN53" s="305" t="n"/>
      <c r="BO53" s="305" t="n"/>
      <c r="BP53" s="305" t="n"/>
      <c r="BQ53" s="305" t="n"/>
      <c r="BR53" s="305" t="n"/>
      <c r="BS53" s="305" t="n"/>
      <c r="BT53" s="305" t="n"/>
      <c r="BU53" s="305" t="n"/>
      <c r="BV53" s="305" t="n"/>
      <c r="BW53" s="305" t="n"/>
      <c r="BX53" s="305" t="n"/>
      <c r="BY53" s="305" t="n"/>
      <c r="BZ53" s="305" t="n"/>
      <c r="CA53" s="305" t="n"/>
      <c r="CB53" s="305" t="n"/>
      <c r="CC53" s="305" t="n"/>
      <c r="CD53" s="305" t="n"/>
      <c r="CE53" s="305" t="n"/>
      <c r="CF53" s="305" t="n"/>
      <c r="CG53" s="305" t="n"/>
      <c r="CH53" s="305" t="n"/>
      <c r="CI53" s="305" t="n"/>
      <c r="CJ53" s="305" t="n"/>
      <c r="CK53" s="305" t="n"/>
      <c r="CL53" s="305" t="n"/>
      <c r="CM53" s="305" t="n"/>
      <c r="CN53" s="305" t="n"/>
      <c r="CO53" s="305" t="n"/>
      <c r="CP53" s="305" t="n"/>
      <c r="CQ53" s="305" t="n"/>
      <c r="CR53" s="305" t="n"/>
      <c r="CS53" s="305" t="n"/>
      <c r="CT53" s="305" t="n"/>
      <c r="CU53" s="305" t="n"/>
      <c r="CV53" s="305" t="n"/>
      <c r="CW53" s="305" t="n"/>
      <c r="CX53" s="305" t="n"/>
      <c r="CY53" s="305" t="n"/>
    </row>
    <row r="54" ht="12.75" customFormat="1" customHeight="1" s="287">
      <c r="A54" s="288" t="n"/>
      <c r="B54" s="259" t="n"/>
      <c r="C54" s="275" t="inlineStr">
        <is>
          <t>EBITDA</t>
        </is>
      </c>
      <c r="D54" s="276">
        <f>SUM(D15,D39,D43)</f>
        <v>1655</v>
      </c>
      <c r="E54" s="276">
        <f>SUM(E15,E39,E43)</f>
        <v>1561</v>
      </c>
      <c r="F54" s="276">
        <f>SUM(F15,F39,F43)</f>
        <v>2434</v>
      </c>
      <c r="G54" s="276">
        <f>SUM(G15,G39,G43)</f>
        <v>1834</v>
      </c>
      <c r="H54" s="276">
        <f>SUM(D54:G54)</f>
        <v>7484</v>
      </c>
      <c r="I54" s="276">
        <f>SUM(I15,I39,I43)</f>
        <v>1756</v>
      </c>
      <c r="J54" s="276">
        <f>SUM(J15,J39,J43)</f>
        <v>2065</v>
      </c>
      <c r="K54" s="276">
        <f>SUM(K15,K39,K43)</f>
        <v>2834</v>
      </c>
      <c r="L54" s="276">
        <f>SUM(L15,L39,L43)</f>
        <v>2125</v>
      </c>
      <c r="M54" s="276">
        <f>SUM(I54:L54)</f>
        <v>8780</v>
      </c>
      <c r="N54" s="276">
        <f>SUM(N15,N39,N43)</f>
        <v>2248</v>
      </c>
      <c r="O54" s="276">
        <f>SUM(O15,O39,O43)</f>
        <v>2229</v>
      </c>
      <c r="P54" s="276">
        <f>SUM(P15,P39,P43)</f>
        <v>3091</v>
      </c>
      <c r="Q54" s="276">
        <f>SUM(Q15,Q39,Q43)</f>
        <v>2198</v>
      </c>
      <c r="R54" s="276">
        <f>SUM(N54:Q54)</f>
        <v>9766</v>
      </c>
      <c r="S54" s="276">
        <f>SUM(S15,S39,S43)</f>
        <v>2373</v>
      </c>
      <c r="T54" s="276">
        <f>SUM(T15,T39,T43)</f>
        <v>2151</v>
      </c>
      <c r="U54" s="276">
        <f>SUM(U15,U39,U43)</f>
        <v>3469</v>
      </c>
      <c r="V54" s="276">
        <f>SUM(V15,V39,V43)</f>
        <v>2485</v>
      </c>
      <c r="W54" s="276">
        <f>SUM(S54:V54)</f>
        <v>10478</v>
      </c>
      <c r="X54" s="276">
        <f>SUM(X15,X39,X43)</f>
        <v>2576</v>
      </c>
      <c r="Y54" s="276">
        <f>SUM(Y15,Y39,Y43)</f>
        <v>2713</v>
      </c>
      <c r="Z54" s="276">
        <f>SUM(Z15,Z39,Z43)</f>
        <v>3748</v>
      </c>
      <c r="AA54" s="276">
        <f>SUM(AA15,AA39,AA43)</f>
        <v>2744</v>
      </c>
      <c r="AB54" s="276">
        <f>SUM(X54:AA54)</f>
        <v>11781</v>
      </c>
      <c r="AC54" s="276">
        <f>SUM(AC15,AC39,AC43)</f>
        <v>2868</v>
      </c>
      <c r="AD54" s="276">
        <f>SUM(AD15,AD39,AD43)</f>
        <v>3082</v>
      </c>
      <c r="AE54" s="276">
        <f>SUM(AE15,AE39,AE43)</f>
        <v>4115</v>
      </c>
      <c r="AF54" s="276">
        <f>SUM(AF15,AF39,AF43)</f>
        <v>3060</v>
      </c>
      <c r="AG54" s="276">
        <f>SUM(AC54:AF54)</f>
        <v>13125</v>
      </c>
      <c r="AH54" s="276">
        <f>SUM(AH15,AH39,AH43)</f>
        <v>3203</v>
      </c>
      <c r="AI54" s="276">
        <f>SUM(AI15,AI39,AI43)</f>
        <v>3412</v>
      </c>
      <c r="AJ54" s="276">
        <f>SUM(AJ15,AJ39,AJ43)</f>
        <v>0</v>
      </c>
      <c r="AK54" s="276">
        <f>SUM(AK15,AK39,AK43)</f>
        <v>0</v>
      </c>
      <c r="AL54" s="276">
        <f>SUM(AH54:AK54)</f>
        <v>6615</v>
      </c>
      <c r="AM54" s="276">
        <f>SUM(AM15,AM39,AM43)</f>
        <v>0</v>
      </c>
      <c r="AN54" s="276">
        <f>SUM(AN15,AN39,AN43)</f>
        <v>0</v>
      </c>
      <c r="AO54" s="276">
        <f>SUM(AO15,AO39,AO43)</f>
        <v>0</v>
      </c>
      <c r="AP54" s="276">
        <f>SUM(AP15,AP39,AP43)</f>
        <v>0</v>
      </c>
      <c r="AQ54" s="276">
        <f>SUM(AM54:AP54)</f>
        <v>0</v>
      </c>
      <c r="AR54" s="276">
        <f>SUM(AR15,AR39,AR43)</f>
        <v>0</v>
      </c>
      <c r="AS54" s="276">
        <f>SUM(AS15,AS39,AS43)</f>
        <v>0</v>
      </c>
      <c r="AT54" s="276">
        <f>SUM(AT15,AT39,AT43)</f>
        <v>0</v>
      </c>
      <c r="AU54" s="276">
        <f>SUM(AU15,AU39,AU43)</f>
        <v>0</v>
      </c>
      <c r="AV54" s="276">
        <f>SUM(AR54:AU54)</f>
        <v>0</v>
      </c>
      <c r="AW54" s="276">
        <f>SUM(AW15,AW39,AW43)</f>
        <v>0</v>
      </c>
      <c r="AX54" s="276">
        <f>SUM(AX15,AX39,AX43)</f>
        <v>0</v>
      </c>
      <c r="AY54" s="276">
        <f>SUM(AY15,AY39,AY43)</f>
        <v>0</v>
      </c>
      <c r="AZ54" s="276">
        <f>SUM(AZ15,AZ39,AZ43)</f>
        <v>0</v>
      </c>
      <c r="BA54" s="276">
        <f>SUM(AW54:AZ54)</f>
        <v>0</v>
      </c>
      <c r="BB54" s="276">
        <f>SUM(BB15,BB39,BB43)</f>
        <v>0</v>
      </c>
      <c r="BC54" s="276">
        <f>SUM(BC15,BC39,BC43)</f>
        <v>0</v>
      </c>
      <c r="BD54" s="276">
        <f>SUM(BD15,BD39,BD43)</f>
        <v>0</v>
      </c>
      <c r="BE54" s="276">
        <f>SUM(BE15,BE39,BE43)</f>
        <v>0</v>
      </c>
      <c r="BF54" s="276">
        <f>SUM(BB54:BE54)</f>
        <v>0</v>
      </c>
      <c r="BG54" s="276">
        <f>SUM(BG15,BG39,BG43)</f>
        <v>0</v>
      </c>
      <c r="BH54" s="276">
        <f>SUM(BH15,BH39,BH43)</f>
        <v>0</v>
      </c>
      <c r="BI54" s="276">
        <f>SUM(BI15,BI39,BI43)</f>
        <v>0</v>
      </c>
      <c r="BJ54" s="276">
        <f>SUM(BJ15,BJ39,BJ43)</f>
        <v>0</v>
      </c>
      <c r="BK54" s="276">
        <f>SUM(BG54:BJ54)</f>
        <v>0</v>
      </c>
      <c r="BL54" s="276">
        <f>SUM(BL15,BL39,BL43)</f>
        <v>0</v>
      </c>
      <c r="BM54" s="276">
        <f>SUM(BM15,BM39,BM43)</f>
        <v>0</v>
      </c>
      <c r="BN54" s="276">
        <f>SUM(BN15,BN39,BN43)</f>
        <v>0</v>
      </c>
      <c r="BO54" s="276">
        <f>SUM(BO15,BO39,BO43)</f>
        <v>0</v>
      </c>
      <c r="BP54" s="276">
        <f>SUM(BL54:BO54)</f>
        <v>0</v>
      </c>
      <c r="BQ54" s="276">
        <f>SUM(BQ15,BQ39,BQ43)</f>
        <v>0</v>
      </c>
      <c r="BR54" s="276">
        <f>SUM(BR15,BR39,BR43)</f>
        <v>0</v>
      </c>
      <c r="BS54" s="276">
        <f>SUM(BS15,BS39,BS43)</f>
        <v>0</v>
      </c>
      <c r="BT54" s="276">
        <f>SUM(BT15,BT39,BT43)</f>
        <v>0</v>
      </c>
      <c r="BU54" s="276">
        <f>SUM(BQ54:BT54)</f>
        <v>0</v>
      </c>
      <c r="BV54" s="276">
        <f>SUM(BV15,BV39,BV43)</f>
        <v>0</v>
      </c>
      <c r="BW54" s="276">
        <f>SUM(BW15,BW39,BW43)</f>
        <v>0</v>
      </c>
      <c r="BX54" s="276">
        <f>SUM(BX15,BX39,BX43)</f>
        <v>0</v>
      </c>
      <c r="BY54" s="276">
        <f>SUM(BY15,BY39,BY43)</f>
        <v>0</v>
      </c>
      <c r="BZ54" s="276">
        <f>SUM(BV54:BY54)</f>
        <v>0</v>
      </c>
      <c r="CA54" s="276">
        <f>SUM(CA15,CA39,CA43)</f>
        <v>0</v>
      </c>
      <c r="CB54" s="276">
        <f>SUM(CB15,CB39,CB43)</f>
        <v>0</v>
      </c>
      <c r="CC54" s="276">
        <f>SUM(CC15,CC39,CC43)</f>
        <v>0</v>
      </c>
      <c r="CD54" s="276">
        <f>SUM(CD15,CD39,CD43)</f>
        <v>0</v>
      </c>
      <c r="CE54" s="276">
        <f>SUM(CA54:CD54)</f>
        <v>0</v>
      </c>
      <c r="CF54" s="276">
        <f>SUM(CF15,CF39,CF43)</f>
        <v>0</v>
      </c>
      <c r="CG54" s="276">
        <f>SUM(CG15,CG39,CG43)</f>
        <v>0</v>
      </c>
      <c r="CH54" s="276">
        <f>SUM(CH15,CH39,CH43)</f>
        <v>0</v>
      </c>
      <c r="CI54" s="276">
        <f>SUM(CI15,CI39,CI43)</f>
        <v>0</v>
      </c>
      <c r="CJ54" s="276">
        <f>SUM(CF54:CI54)</f>
        <v>0</v>
      </c>
      <c r="CK54" s="276">
        <f>SUM(CK15,CK39,CK43)</f>
        <v>0</v>
      </c>
      <c r="CL54" s="276">
        <f>SUM(CL15,CL39,CL43)</f>
        <v>0</v>
      </c>
      <c r="CM54" s="276">
        <f>SUM(CM15,CM39,CM43)</f>
        <v>0</v>
      </c>
      <c r="CN54" s="276">
        <f>SUM(CN15,CN39,CN43)</f>
        <v>0</v>
      </c>
      <c r="CO54" s="276">
        <f>SUM(CK54:CN54)</f>
        <v>0</v>
      </c>
      <c r="CP54" s="276">
        <f>SUM(CP15,CP39,CP43)</f>
        <v>0</v>
      </c>
      <c r="CQ54" s="276">
        <f>SUM(CQ15,CQ39,CQ43)</f>
        <v>0</v>
      </c>
      <c r="CR54" s="276">
        <f>SUM(CR15,CR39,CR43)</f>
        <v>0</v>
      </c>
      <c r="CS54" s="276">
        <f>SUM(CS15,CS39,CS43)</f>
        <v>0</v>
      </c>
      <c r="CT54" s="276">
        <f>SUM(CP54:CS54)</f>
        <v>0</v>
      </c>
      <c r="CU54" s="276">
        <f>SUM(CU15,CU39,CU43)</f>
        <v>0</v>
      </c>
      <c r="CV54" s="276">
        <f>SUM(CV15,CV39,CV43)</f>
        <v>0</v>
      </c>
      <c r="CW54" s="276">
        <f>SUM(CW15,CW39,CW43)</f>
        <v>0</v>
      </c>
      <c r="CX54" s="276">
        <f>SUM(CX15,CX39,CX43)</f>
        <v>0</v>
      </c>
      <c r="CY54" s="276">
        <f>SUM(CU54:CX54)</f>
        <v>0</v>
      </c>
    </row>
    <row r="55" ht="13.5" customHeight="1" s="255">
      <c r="C55" s="269" t="inlineStr">
        <is>
          <t>D&amp;A</t>
        </is>
      </c>
      <c r="D55" s="301">
        <f>INDEX('Inputs (2)'!$D$7:$AL$7,MATCH(D$7,'Inputs (2)'!$D$2:$AL$2,0))</f>
        <v>-389</v>
      </c>
      <c r="E55" s="301">
        <f>INDEX('Inputs (2)'!$D$7:$AL$7,MATCH(E$7,'Inputs (2)'!$D$2:$AL$2,0))</f>
        <v>-382</v>
      </c>
      <c r="F55" s="301">
        <f>INDEX('Inputs (2)'!$D$7:$AL$7,MATCH(F$7,'Inputs (2)'!$D$2:$AL$2,0))</f>
        <v>-505</v>
      </c>
      <c r="G55" s="301">
        <f>INDEX('Inputs (2)'!$D$7:$AL$7,MATCH(G$7,'Inputs (2)'!$D$2:$AL$2,0))</f>
        <v>-404</v>
      </c>
      <c r="H55" s="268">
        <f>SUM(D55:G55)</f>
        <v>-1680</v>
      </c>
      <c r="I55" s="301">
        <f>INDEX('Inputs (2)'!$D$7:$AL$7,MATCH(I$7,'Inputs (2)'!$D$2:$AL$2,0))</f>
        <v>-416</v>
      </c>
      <c r="J55" s="301">
        <f>INDEX('Inputs (2)'!$D$7:$AL$7,MATCH(J$7,'Inputs (2)'!$D$2:$AL$2,0))</f>
        <v>-402</v>
      </c>
      <c r="K55" s="301">
        <f>INDEX('Inputs (2)'!$D$7:$AL$7,MATCH(K$7,'Inputs (2)'!$D$2:$AL$2,0))</f>
        <v>-559</v>
      </c>
      <c r="L55" s="301">
        <f>INDEX('Inputs (2)'!$D$7:$AL$7,MATCH(L$7,'Inputs (2)'!$D$2:$AL$2,0))</f>
        <v>-432</v>
      </c>
      <c r="M55" s="268">
        <f>SUM(I55:L55)</f>
        <v>-1809</v>
      </c>
      <c r="N55" s="301">
        <f>INDEX('Inputs (2)'!$D$7:$AL$7,MATCH(N$7,'Inputs (2)'!$D$2:$AL$2,0))</f>
        <v>-436</v>
      </c>
      <c r="O55" s="301">
        <f>INDEX('Inputs (2)'!$D$7:$AL$7,MATCH(O$7,'Inputs (2)'!$D$2:$AL$2,0))</f>
        <v>-438</v>
      </c>
      <c r="P55" s="301">
        <f>INDEX('Inputs (2)'!$D$7:$AL$7,MATCH(P$7,'Inputs (2)'!$D$2:$AL$2,0))</f>
        <v>-594</v>
      </c>
      <c r="Q55" s="301">
        <f>INDEX('Inputs (2)'!$D$7:$AL$7,MATCH(Q$7,'Inputs (2)'!$D$2:$AL$2,0))</f>
        <v>-447</v>
      </c>
      <c r="R55" s="268">
        <f>SUM(N55:Q55)</f>
        <v>-1915</v>
      </c>
      <c r="S55" s="301">
        <f>INDEX('Inputs (2)'!$D$7:$AL$7,MATCH(S$7,'Inputs (2)'!$D$2:$AL$2,0))</f>
        <v>-470</v>
      </c>
      <c r="T55" s="301">
        <f>INDEX('Inputs (2)'!$D$7:$AL$7,MATCH(T$7,'Inputs (2)'!$D$2:$AL$2,0))</f>
        <v>-472</v>
      </c>
      <c r="U55" s="301">
        <f>INDEX('Inputs (2)'!$D$7:$AL$7,MATCH(U$7,'Inputs (2)'!$D$2:$AL$2,0))</f>
        <v>-688</v>
      </c>
      <c r="V55" s="301">
        <f>INDEX('Inputs (2)'!$D$7:$AL$7,MATCH(V$7,'Inputs (2)'!$D$2:$AL$2,0))</f>
        <v>-501</v>
      </c>
      <c r="W55" s="268">
        <f>SUM(S55:V55)</f>
        <v>-2131</v>
      </c>
      <c r="X55" s="301">
        <f>INDEX('Inputs (2)'!$D$7:$AL$7,MATCH(X$7,'Inputs (2)'!$D$2:$AL$2,0))</f>
        <v>-514</v>
      </c>
      <c r="Y55" s="301">
        <f>INDEX('Inputs (2)'!$D$7:$AL$7,MATCH(Y$7,'Inputs (2)'!$D$2:$AL$2,0))</f>
        <v>-516</v>
      </c>
      <c r="Z55" s="301">
        <f>INDEX('Inputs (2)'!$D$7:$AL$7,MATCH(Z$7,'Inputs (2)'!$D$2:$AL$2,0))</f>
        <v>-706</v>
      </c>
      <c r="AA55" s="301">
        <f>INDEX('Inputs (2)'!$D$7:$AL$7,MATCH(AA$7,'Inputs (2)'!$D$2:$AL$2,0))</f>
        <v>-548</v>
      </c>
      <c r="AB55" s="268">
        <f>SUM(X55:AA55)</f>
        <v>-2284</v>
      </c>
      <c r="AC55" s="301">
        <f>INDEX('Inputs (2)'!$D$7:$AL$7,MATCH(AC$7,'Inputs (2)'!$D$2:$AL$2,0))</f>
        <v>-552</v>
      </c>
      <c r="AD55" s="301">
        <f>INDEX('Inputs (2)'!$D$7:$AL$7,MATCH(AD$7,'Inputs (2)'!$D$2:$AL$2,0))</f>
        <v>-552</v>
      </c>
      <c r="AE55" s="301">
        <f>INDEX('Inputs (2)'!$D$7:$AL$7,MATCH(AE$7,'Inputs (2)'!$D$2:$AL$2,0))</f>
        <v>-774</v>
      </c>
      <c r="AF55" s="301">
        <f>INDEX('Inputs (2)'!$D$7:$AL$7,MATCH(AF$7,'Inputs (2)'!$D$2:$AL$2,0))</f>
        <v>-597</v>
      </c>
      <c r="AG55" s="268">
        <f>SUM(AC55:AF55)</f>
        <v>-2475</v>
      </c>
      <c r="AH55" s="268">
        <f>INDEX('Inputs (2)'!$D$7:$AL$7,MATCH(AH$7,'Inputs (2)'!$D$2:$AL$2,0))</f>
        <v>-597</v>
      </c>
      <c r="AI55" s="268">
        <f>INDEX('Inputs (2)'!$D$7:$AL$7,MATCH(AI$7,'Inputs (2)'!$D$2:$AL$2,0))</f>
        <v>-597</v>
      </c>
      <c r="AJ55" s="268">
        <f>-AJ56*AJ15</f>
        <v>0</v>
      </c>
      <c r="AK55" s="268">
        <f>-AK56*AK15</f>
        <v>0</v>
      </c>
      <c r="AL55" s="268">
        <f>SUM(AH55:AK55)</f>
        <v>-1194</v>
      </c>
      <c r="AM55" s="268">
        <f>-AM56*AM15</f>
        <v>0</v>
      </c>
      <c r="AN55" s="268">
        <f>-AN56*AN15</f>
        <v>0</v>
      </c>
      <c r="AO55" s="268">
        <f>-AO56*AO15</f>
        <v>0</v>
      </c>
      <c r="AP55" s="268">
        <f>-AP56*AP15</f>
        <v>0</v>
      </c>
      <c r="AQ55" s="268">
        <f>SUM(AM55:AP55)</f>
        <v>0</v>
      </c>
      <c r="AR55" s="268">
        <f>-AR56*AR15</f>
        <v>0</v>
      </c>
      <c r="AS55" s="268">
        <f>-AS56*AS15</f>
        <v>0</v>
      </c>
      <c r="AT55" s="268">
        <f>-AT56*AT15</f>
        <v>0</v>
      </c>
      <c r="AU55" s="268">
        <f>-AU56*AU15</f>
        <v>0</v>
      </c>
      <c r="AV55" s="268">
        <f>SUM(AR55:AU55)</f>
        <v>0</v>
      </c>
      <c r="AW55" s="268">
        <f>-AW56*AW15</f>
        <v>0</v>
      </c>
      <c r="AX55" s="268">
        <f>-AX56*AX15</f>
        <v>0</v>
      </c>
      <c r="AY55" s="268">
        <f>-AY56*AY15</f>
        <v>0</v>
      </c>
      <c r="AZ55" s="268">
        <f>-AZ56*AZ15</f>
        <v>0</v>
      </c>
      <c r="BA55" s="268">
        <f>SUM(AW55:AZ55)</f>
        <v>0</v>
      </c>
      <c r="BB55" s="268">
        <f>-BB56*BB15</f>
        <v>0</v>
      </c>
      <c r="BC55" s="268">
        <f>-BC56*BC15</f>
        <v>0</v>
      </c>
      <c r="BD55" s="268">
        <f>-BD56*BD15</f>
        <v>0</v>
      </c>
      <c r="BE55" s="268">
        <f>-BE56*BE15</f>
        <v>0</v>
      </c>
      <c r="BF55" s="268">
        <f>SUM(BB55:BE55)</f>
        <v>0</v>
      </c>
      <c r="BG55" s="268">
        <f>-BG56*BG15</f>
        <v>0</v>
      </c>
      <c r="BH55" s="268">
        <f>-BH56*BH15</f>
        <v>0</v>
      </c>
      <c r="BI55" s="268">
        <f>-BI56*BI15</f>
        <v>0</v>
      </c>
      <c r="BJ55" s="268">
        <f>-BJ56*BJ15</f>
        <v>0</v>
      </c>
      <c r="BK55" s="268">
        <f>SUM(BG55:BJ55)</f>
        <v>0</v>
      </c>
      <c r="BL55" s="268">
        <f>-BL56*BL15</f>
        <v>0</v>
      </c>
      <c r="BM55" s="268">
        <f>-BM56*BM15</f>
        <v>0</v>
      </c>
      <c r="BN55" s="268">
        <f>-BN56*BN15</f>
        <v>0</v>
      </c>
      <c r="BO55" s="268">
        <f>-BO56*BO15</f>
        <v>0</v>
      </c>
      <c r="BP55" s="268">
        <f>SUM(BL55:BO55)</f>
        <v>0</v>
      </c>
      <c r="BQ55" s="268">
        <f>-BQ56*BQ15</f>
        <v>0</v>
      </c>
      <c r="BR55" s="268">
        <f>-BR56*BR15</f>
        <v>0</v>
      </c>
      <c r="BS55" s="268">
        <f>-BS56*BS15</f>
        <v>0</v>
      </c>
      <c r="BT55" s="268">
        <f>-BT56*BT15</f>
        <v>0</v>
      </c>
      <c r="BU55" s="268">
        <f>SUM(BQ55:BT55)</f>
        <v>0</v>
      </c>
      <c r="BV55" s="268">
        <f>-BV56*BV15</f>
        <v>0</v>
      </c>
      <c r="BW55" s="268">
        <f>-BW56*BW15</f>
        <v>0</v>
      </c>
      <c r="BX55" s="268">
        <f>-BX56*BX15</f>
        <v>0</v>
      </c>
      <c r="BY55" s="268">
        <f>-BY56*BY15</f>
        <v>0</v>
      </c>
      <c r="BZ55" s="268">
        <f>SUM(BV55:BY55)</f>
        <v>0</v>
      </c>
      <c r="CA55" s="268">
        <f>-CA56*CA15</f>
        <v>0</v>
      </c>
      <c r="CB55" s="268">
        <f>-CB56*CB15</f>
        <v>0</v>
      </c>
      <c r="CC55" s="268">
        <f>-CC56*CC15</f>
        <v>0</v>
      </c>
      <c r="CD55" s="268">
        <f>-CD56*CD15</f>
        <v>0</v>
      </c>
      <c r="CE55" s="268">
        <f>SUM(CA55:CD55)</f>
        <v>0</v>
      </c>
      <c r="CF55" s="268">
        <f>-CF56*CF15</f>
        <v>0</v>
      </c>
      <c r="CG55" s="268">
        <f>-CG56*CG15</f>
        <v>0</v>
      </c>
      <c r="CH55" s="268">
        <f>-CH56*CH15</f>
        <v>0</v>
      </c>
      <c r="CI55" s="268">
        <f>-CI56*CI15</f>
        <v>0</v>
      </c>
      <c r="CJ55" s="268">
        <f>SUM(CF55:CI55)</f>
        <v>0</v>
      </c>
      <c r="CK55" s="268">
        <f>-CK56*CK15</f>
        <v>0</v>
      </c>
      <c r="CL55" s="268">
        <f>-CL56*CL15</f>
        <v>0</v>
      </c>
      <c r="CM55" s="268">
        <f>-CM56*CM15</f>
        <v>0</v>
      </c>
      <c r="CN55" s="268">
        <f>-CN56*CN15</f>
        <v>0</v>
      </c>
      <c r="CO55" s="268">
        <f>SUM(CK55:CN55)</f>
        <v>0</v>
      </c>
      <c r="CP55" s="268">
        <f>-CP56*CP15</f>
        <v>0</v>
      </c>
      <c r="CQ55" s="268">
        <f>-CQ56*CQ15</f>
        <v>0</v>
      </c>
      <c r="CR55" s="268">
        <f>-CR56*CR15</f>
        <v>0</v>
      </c>
      <c r="CS55" s="268">
        <f>-CS56*CS15</f>
        <v>0</v>
      </c>
      <c r="CT55" s="268">
        <f>SUM(CP55:CS55)</f>
        <v>0</v>
      </c>
      <c r="CU55" s="268">
        <f>-CU56*CU15</f>
        <v>0</v>
      </c>
      <c r="CV55" s="268">
        <f>-CV56*CV15</f>
        <v>0</v>
      </c>
      <c r="CW55" s="268">
        <f>-CW56*CW15</f>
        <v>0</v>
      </c>
      <c r="CX55" s="268">
        <f>-CX56*CX15</f>
        <v>0</v>
      </c>
      <c r="CY55" s="268">
        <f>SUM(CU55:CX55)</f>
        <v>0</v>
      </c>
    </row>
    <row r="56" hidden="1" outlineLevel="1" ht="12.75" customFormat="1" customHeight="1" s="308">
      <c r="A56" s="309" t="n"/>
      <c r="B56" s="309" t="n"/>
      <c r="C56" s="310" t="inlineStr">
        <is>
          <t>% of Revenue</t>
        </is>
      </c>
      <c r="D56" s="309">
        <f>-D55/D15</f>
        <v>0.00995597870597871</v>
      </c>
      <c r="E56" s="309">
        <f>-E55/E15</f>
        <v>0.0102506306016208</v>
      </c>
      <c r="F56" s="309">
        <f>-F55/F15</f>
        <v>0.00945994043047412</v>
      </c>
      <c r="G56" s="309">
        <f>-G55/G15</f>
        <v>0.00935012034808369</v>
      </c>
      <c r="H56" s="309" t="n"/>
      <c r="I56" s="309">
        <f>-I55/I15</f>
        <v>0.00929214411758136</v>
      </c>
      <c r="J56" s="309">
        <f>-J55/J15</f>
        <v>0.00887868012456656</v>
      </c>
      <c r="K56" s="309">
        <f>-K55/K15</f>
        <v>0.00891902672516953</v>
      </c>
      <c r="L56" s="309">
        <f>-L55/L15</f>
        <v>0.0085777257113357</v>
      </c>
      <c r="M56" s="309" t="n"/>
      <c r="N56" s="309">
        <f>-N55/N15</f>
        <v>0.00840012330456227</v>
      </c>
      <c r="O56" s="309">
        <f>-O55/O15</f>
        <v>0.00832762947752681</v>
      </c>
      <c r="P56" s="309">
        <f>-P55/P15</f>
        <v>0.00823958607870608</v>
      </c>
      <c r="Q56" s="309">
        <f>-Q55/Q15</f>
        <v>0.00821132685489649</v>
      </c>
      <c r="R56" s="309" t="n"/>
      <c r="S56" s="309">
        <f>-S55/S15</f>
        <v>0.00850432453949987</v>
      </c>
      <c r="T56" s="309">
        <f>-T55/T15</f>
        <v>0.00879809126155682</v>
      </c>
      <c r="U56" s="309">
        <f>-U55/U15</f>
        <v>0.00871559051926171</v>
      </c>
      <c r="V56" s="309">
        <f>-V55/V15</f>
        <v>0.00866797003408363</v>
      </c>
      <c r="W56" s="309" t="n"/>
      <c r="X56" s="309">
        <f>-X55/X15</f>
        <v>0.00879504465966257</v>
      </c>
      <c r="Y56" s="309">
        <f>-Y55/Y15</f>
        <v>0.00881825173032556</v>
      </c>
      <c r="Z56" s="309">
        <f>-Z55/Z15</f>
        <v>0.00885855176480922</v>
      </c>
      <c r="AA56" s="309">
        <f>-AA55/AA15</f>
        <v>0.0088172354427121</v>
      </c>
      <c r="AB56" s="309" t="n"/>
      <c r="AC56" s="309">
        <f>-AC55/AC15</f>
        <v>0.00866249234970105</v>
      </c>
      <c r="AD56" s="309">
        <f>-AD55/AD15</f>
        <v>0.00873348627482003</v>
      </c>
      <c r="AE56" s="309">
        <f>-AE55/AE15</f>
        <v>0.0089837039788291</v>
      </c>
      <c r="AF56" s="311">
        <f>-AF55/AF15</f>
        <v>0.00886980551799961</v>
      </c>
      <c r="AG56" s="309" t="n"/>
      <c r="AH56" s="311">
        <f>-AH55/AH15</f>
        <v>0.008577955946377</v>
      </c>
      <c r="AI56" s="311">
        <f>-AI55/AI15</f>
        <v>0.0084648432515207</v>
      </c>
      <c r="AJ56" s="311" t="n"/>
      <c r="AK56" s="311" t="n"/>
      <c r="AL56" s="309" t="n"/>
      <c r="AM56" s="311" t="n"/>
      <c r="AN56" s="311" t="n"/>
      <c r="AO56" s="311" t="n"/>
      <c r="AP56" s="311" t="n"/>
      <c r="AQ56" s="309" t="n"/>
      <c r="AR56" s="311" t="n"/>
      <c r="AS56" s="311" t="n"/>
      <c r="AT56" s="311" t="n"/>
      <c r="AU56" s="311" t="n"/>
      <c r="AV56" s="309" t="n"/>
      <c r="AW56" s="311" t="n"/>
      <c r="AX56" s="311" t="n"/>
      <c r="AY56" s="311" t="n"/>
      <c r="AZ56" s="311" t="n"/>
      <c r="BA56" s="309" t="n"/>
      <c r="BB56" s="311" t="n"/>
      <c r="BC56" s="311" t="n"/>
      <c r="BD56" s="311" t="n"/>
      <c r="BE56" s="311" t="n"/>
      <c r="BF56" s="309" t="n"/>
      <c r="BG56" s="311" t="n"/>
      <c r="BH56" s="311" t="n"/>
      <c r="BI56" s="311" t="n"/>
      <c r="BJ56" s="311" t="n"/>
      <c r="BK56" s="309" t="n"/>
      <c r="BL56" s="311" t="n"/>
      <c r="BM56" s="311" t="n"/>
      <c r="BN56" s="311" t="n"/>
      <c r="BO56" s="311" t="n"/>
      <c r="BP56" s="309" t="n"/>
      <c r="BQ56" s="311" t="n"/>
      <c r="BR56" s="311" t="n"/>
      <c r="BS56" s="311" t="n"/>
      <c r="BT56" s="311" t="n"/>
      <c r="BU56" s="309" t="n"/>
      <c r="BV56" s="311" t="n"/>
      <c r="BW56" s="311" t="n"/>
      <c r="BX56" s="311" t="n"/>
      <c r="BY56" s="311" t="n"/>
      <c r="BZ56" s="309" t="n"/>
      <c r="CA56" s="311" t="n"/>
      <c r="CB56" s="311" t="n"/>
      <c r="CC56" s="311" t="n"/>
      <c r="CD56" s="311" t="n"/>
      <c r="CE56" s="309" t="n"/>
      <c r="CF56" s="311" t="n"/>
      <c r="CG56" s="311" t="n"/>
      <c r="CH56" s="311" t="n"/>
      <c r="CI56" s="311" t="n"/>
      <c r="CJ56" s="309" t="n"/>
      <c r="CK56" s="311" t="n"/>
      <c r="CL56" s="311" t="n"/>
      <c r="CM56" s="311" t="n"/>
      <c r="CN56" s="311" t="n"/>
      <c r="CO56" s="309" t="n"/>
      <c r="CP56" s="311" t="n"/>
      <c r="CQ56" s="311" t="n"/>
      <c r="CR56" s="311" t="n"/>
      <c r="CS56" s="311" t="n"/>
      <c r="CT56" s="309" t="n"/>
      <c r="CU56" s="311" t="n"/>
      <c r="CV56" s="311" t="n"/>
      <c r="CW56" s="311" t="n"/>
      <c r="CX56" s="311" t="n"/>
      <c r="CY56" s="309" t="n"/>
    </row>
    <row r="57" hidden="1" outlineLevel="1" ht="12.75" customHeight="1" s="255">
      <c r="C57" s="305" t="n"/>
      <c r="D57" s="268" t="n"/>
      <c r="E57" s="268" t="n"/>
      <c r="F57" s="268" t="n"/>
      <c r="G57" s="268" t="n"/>
      <c r="H57" s="268" t="n"/>
      <c r="I57" s="268" t="n"/>
      <c r="J57" s="268" t="n"/>
      <c r="K57" s="268" t="n"/>
      <c r="L57" s="268" t="n"/>
      <c r="M57" s="268" t="n"/>
      <c r="N57" s="268" t="n"/>
      <c r="O57" s="268" t="n"/>
      <c r="P57" s="268" t="n"/>
      <c r="Q57" s="268" t="n"/>
      <c r="R57" s="268" t="n"/>
      <c r="S57" s="268" t="n"/>
      <c r="T57" s="268" t="n"/>
      <c r="U57" s="268" t="n"/>
      <c r="V57" s="268" t="n"/>
      <c r="W57" s="268" t="n"/>
      <c r="X57" s="268" t="n"/>
      <c r="Y57" s="268" t="n"/>
      <c r="Z57" s="268" t="n"/>
      <c r="AA57" s="268" t="n"/>
      <c r="AB57" s="268" t="n"/>
      <c r="AC57" s="268" t="n"/>
      <c r="AD57" s="268" t="n"/>
      <c r="AE57" s="268" t="n"/>
      <c r="AF57" s="268" t="n"/>
      <c r="AG57" s="268" t="n"/>
      <c r="AH57" s="268" t="n"/>
      <c r="AI57" s="268" t="n"/>
      <c r="AJ57" s="268" t="n"/>
      <c r="AK57" s="268" t="n"/>
      <c r="AL57" s="268" t="n"/>
      <c r="AM57" s="268" t="n"/>
      <c r="AN57" s="268" t="n"/>
      <c r="AO57" s="268" t="n"/>
      <c r="AP57" s="268" t="n"/>
      <c r="AQ57" s="268" t="n"/>
      <c r="AR57" s="268" t="n"/>
      <c r="AS57" s="268" t="n"/>
      <c r="AT57" s="268" t="n"/>
      <c r="AU57" s="268" t="n"/>
      <c r="AV57" s="268" t="n"/>
      <c r="AW57" s="268" t="n"/>
      <c r="AX57" s="268" t="n"/>
      <c r="AY57" s="268" t="n"/>
      <c r="AZ57" s="268" t="n"/>
      <c r="BA57" s="268" t="n"/>
      <c r="BB57" s="268" t="n"/>
      <c r="BC57" s="268" t="n"/>
      <c r="BD57" s="268" t="n"/>
      <c r="BE57" s="268" t="n"/>
      <c r="BF57" s="268" t="n"/>
      <c r="BG57" s="268" t="n"/>
      <c r="BH57" s="268" t="n"/>
      <c r="BI57" s="268" t="n"/>
      <c r="BJ57" s="268" t="n"/>
      <c r="BK57" s="268" t="n"/>
      <c r="BL57" s="268" t="n"/>
      <c r="BM57" s="268" t="n"/>
      <c r="BN57" s="268" t="n"/>
      <c r="BO57" s="268" t="n"/>
      <c r="BP57" s="268" t="n"/>
      <c r="BQ57" s="268" t="n"/>
      <c r="BR57" s="268" t="n"/>
      <c r="BS57" s="268" t="n"/>
      <c r="BT57" s="268" t="n"/>
      <c r="BU57" s="268" t="n"/>
      <c r="BV57" s="268" t="n"/>
      <c r="BW57" s="268" t="n"/>
      <c r="BX57" s="268" t="n"/>
      <c r="BY57" s="268" t="n"/>
      <c r="BZ57" s="268" t="n"/>
      <c r="CA57" s="268" t="n"/>
      <c r="CB57" s="268" t="n"/>
      <c r="CC57" s="268" t="n"/>
      <c r="CD57" s="268" t="n"/>
      <c r="CE57" s="268" t="n"/>
      <c r="CF57" s="268" t="n"/>
      <c r="CG57" s="268" t="n"/>
      <c r="CH57" s="268" t="n"/>
      <c r="CI57" s="268" t="n"/>
      <c r="CJ57" s="268" t="n"/>
      <c r="CK57" s="268" t="n"/>
      <c r="CL57" s="268" t="n"/>
      <c r="CM57" s="268" t="n"/>
      <c r="CN57" s="268" t="n"/>
      <c r="CO57" s="268" t="n"/>
      <c r="CP57" s="268" t="n"/>
      <c r="CQ57" s="268" t="n"/>
      <c r="CR57" s="268" t="n"/>
      <c r="CS57" s="268" t="n"/>
      <c r="CT57" s="268" t="n"/>
      <c r="CU57" s="268" t="n"/>
      <c r="CV57" s="268" t="n"/>
      <c r="CW57" s="268" t="n"/>
      <c r="CX57" s="268" t="n"/>
      <c r="CY57" s="268" t="n"/>
    </row>
    <row r="58" ht="12.75" customFormat="1" customHeight="1" s="287">
      <c r="A58" s="288" t="n"/>
      <c r="B58" s="259" t="n"/>
      <c r="C58" s="275" t="inlineStr">
        <is>
          <t>Operating Profit - EBIT</t>
        </is>
      </c>
      <c r="D58" s="276">
        <f>SUM(D54,D55)</f>
        <v>1266</v>
      </c>
      <c r="E58" s="276">
        <f>SUM(E54,E55)</f>
        <v>1179</v>
      </c>
      <c r="F58" s="276">
        <f>SUM(F54,F55)</f>
        <v>1929</v>
      </c>
      <c r="G58" s="276">
        <f>SUM(G54,G55)</f>
        <v>1430</v>
      </c>
      <c r="H58" s="276">
        <f>SUM(D58:G58)</f>
        <v>5804</v>
      </c>
      <c r="I58" s="276">
        <f>SUM(I54,I55)</f>
        <v>1340</v>
      </c>
      <c r="J58" s="276">
        <f>SUM(J54,J55)</f>
        <v>1663</v>
      </c>
      <c r="K58" s="276">
        <f>SUM(K54,K55)</f>
        <v>2275</v>
      </c>
      <c r="L58" s="276">
        <f>SUM(L54,L55)</f>
        <v>1693</v>
      </c>
      <c r="M58" s="276">
        <f>SUM(I58:L58)</f>
        <v>6971</v>
      </c>
      <c r="N58" s="276">
        <f>SUM(N54,N55)</f>
        <v>1812</v>
      </c>
      <c r="O58" s="276">
        <f>SUM(O54,O55)</f>
        <v>1791</v>
      </c>
      <c r="P58" s="276">
        <f>SUM(P54,P55)</f>
        <v>2497</v>
      </c>
      <c r="Q58" s="276">
        <f>SUM(Q54,Q55)</f>
        <v>1751</v>
      </c>
      <c r="R58" s="276">
        <f>SUM(N58:Q58)</f>
        <v>7851</v>
      </c>
      <c r="S58" s="276">
        <f>SUM(S54,S55)</f>
        <v>1903</v>
      </c>
      <c r="T58" s="276">
        <f>SUM(T54,T55)</f>
        <v>1679</v>
      </c>
      <c r="U58" s="276">
        <f>SUM(U54,U55)</f>
        <v>2781</v>
      </c>
      <c r="V58" s="276">
        <f>SUM(V54,V55)</f>
        <v>1984</v>
      </c>
      <c r="W58" s="276">
        <f>SUM(S58:V58)</f>
        <v>8347</v>
      </c>
      <c r="X58" s="276">
        <f>SUM(X54,X55)</f>
        <v>2062</v>
      </c>
      <c r="Y58" s="276">
        <f>SUM(Y54,Y55)</f>
        <v>2197</v>
      </c>
      <c r="Z58" s="276">
        <f>SUM(Z54,Z55)</f>
        <v>3042</v>
      </c>
      <c r="AA58" s="276">
        <f>SUM(AA54,AA55)</f>
        <v>2196</v>
      </c>
      <c r="AB58" s="276">
        <f>SUM(X58:AA58)</f>
        <v>9497</v>
      </c>
      <c r="AC58" s="276">
        <f>SUM(AC54,AC55)</f>
        <v>2316</v>
      </c>
      <c r="AD58" s="276">
        <f>SUM(AD54,AD55)</f>
        <v>2530</v>
      </c>
      <c r="AE58" s="276">
        <f>SUM(AE54,AE55)</f>
        <v>3341</v>
      </c>
      <c r="AF58" s="276">
        <f>SUM(AF54,AF55)</f>
        <v>2463</v>
      </c>
      <c r="AG58" s="276">
        <f>SUM(AC58:AF58)</f>
        <v>10650</v>
      </c>
      <c r="AH58" s="276">
        <f>SUM(AH54,AH55)</f>
        <v>2606</v>
      </c>
      <c r="AI58" s="276">
        <f>SUM(AI54,AI55)</f>
        <v>2815</v>
      </c>
      <c r="AJ58" s="276">
        <f>SUM(AJ54,AJ55)</f>
        <v>0</v>
      </c>
      <c r="AK58" s="276">
        <f>SUM(AK54,AK55)</f>
        <v>0</v>
      </c>
      <c r="AL58" s="276">
        <f>SUM(AL54,AL55)</f>
        <v>5421</v>
      </c>
      <c r="AM58" s="276">
        <f>SUM(AM54,AM55)</f>
        <v>0</v>
      </c>
      <c r="AN58" s="276">
        <f>SUM(AN54,AN55)</f>
        <v>0</v>
      </c>
      <c r="AO58" s="276">
        <f>SUM(AO54,AO55)</f>
        <v>0</v>
      </c>
      <c r="AP58" s="276">
        <f>SUM(AP54,AP55)</f>
        <v>0</v>
      </c>
      <c r="AQ58" s="276">
        <f>SUM(AQ54,AQ55)</f>
        <v>0</v>
      </c>
      <c r="AR58" s="276">
        <f>SUM(AR54,AR55)</f>
        <v>0</v>
      </c>
      <c r="AS58" s="276">
        <f>SUM(AS54,AS55)</f>
        <v>0</v>
      </c>
      <c r="AT58" s="276">
        <f>SUM(AT54,AT55)</f>
        <v>0</v>
      </c>
      <c r="AU58" s="276">
        <f>SUM(AU54,AU55)</f>
        <v>0</v>
      </c>
      <c r="AV58" s="276">
        <f>SUM(AV54,AV55)</f>
        <v>0</v>
      </c>
      <c r="AW58" s="276">
        <f>SUM(AW54,AW55)</f>
        <v>0</v>
      </c>
      <c r="AX58" s="276">
        <f>SUM(AX54,AX55)</f>
        <v>0</v>
      </c>
      <c r="AY58" s="276">
        <f>SUM(AY54,AY55)</f>
        <v>0</v>
      </c>
      <c r="AZ58" s="276">
        <f>SUM(AZ54,AZ55)</f>
        <v>0</v>
      </c>
      <c r="BA58" s="276">
        <f>SUM(BA54,BA55)</f>
        <v>0</v>
      </c>
      <c r="BB58" s="276">
        <f>SUM(BB54,BB55)</f>
        <v>0</v>
      </c>
      <c r="BC58" s="276">
        <f>SUM(BC54,BC55)</f>
        <v>0</v>
      </c>
      <c r="BD58" s="276">
        <f>SUM(BD54,BD55)</f>
        <v>0</v>
      </c>
      <c r="BE58" s="276">
        <f>SUM(BE54,BE55)</f>
        <v>0</v>
      </c>
      <c r="BF58" s="276">
        <f>SUM(BF54,BF55)</f>
        <v>0</v>
      </c>
      <c r="BG58" s="276">
        <f>SUM(BG54,BG55)</f>
        <v>0</v>
      </c>
      <c r="BH58" s="276">
        <f>SUM(BH54,BH55)</f>
        <v>0</v>
      </c>
      <c r="BI58" s="276">
        <f>SUM(BI54,BI55)</f>
        <v>0</v>
      </c>
      <c r="BJ58" s="276">
        <f>SUM(BJ54,BJ55)</f>
        <v>0</v>
      </c>
      <c r="BK58" s="276">
        <f>SUM(BK54,BK55)</f>
        <v>0</v>
      </c>
      <c r="BL58" s="276">
        <f>SUM(BL54,BL55)</f>
        <v>0</v>
      </c>
      <c r="BM58" s="276">
        <f>SUM(BM54,BM55)</f>
        <v>0</v>
      </c>
      <c r="BN58" s="276">
        <f>SUM(BN54,BN55)</f>
        <v>0</v>
      </c>
      <c r="BO58" s="276">
        <f>SUM(BO54,BO55)</f>
        <v>0</v>
      </c>
      <c r="BP58" s="276">
        <f>SUM(BP54,BP55)</f>
        <v>0</v>
      </c>
      <c r="BQ58" s="276">
        <f>SUM(BQ54,BQ55)</f>
        <v>0</v>
      </c>
      <c r="BR58" s="276">
        <f>SUM(BR54,BR55)</f>
        <v>0</v>
      </c>
      <c r="BS58" s="276">
        <f>SUM(BS54,BS55)</f>
        <v>0</v>
      </c>
      <c r="BT58" s="276">
        <f>SUM(BT54,BT55)</f>
        <v>0</v>
      </c>
      <c r="BU58" s="276">
        <f>SUM(BU54,BU55)</f>
        <v>0</v>
      </c>
      <c r="BV58" s="276">
        <f>SUM(BV54,BV55)</f>
        <v>0</v>
      </c>
      <c r="BW58" s="276">
        <f>SUM(BW54,BW55)</f>
        <v>0</v>
      </c>
      <c r="BX58" s="276">
        <f>SUM(BX54,BX55)</f>
        <v>0</v>
      </c>
      <c r="BY58" s="276">
        <f>SUM(BY54,BY55)</f>
        <v>0</v>
      </c>
      <c r="BZ58" s="276">
        <f>SUM(BZ54,BZ55)</f>
        <v>0</v>
      </c>
      <c r="CA58" s="276">
        <f>SUM(CA54,CA55)</f>
        <v>0</v>
      </c>
      <c r="CB58" s="276">
        <f>SUM(CB54,CB55)</f>
        <v>0</v>
      </c>
      <c r="CC58" s="276">
        <f>SUM(CC54,CC55)</f>
        <v>0</v>
      </c>
      <c r="CD58" s="276">
        <f>SUM(CD54,CD55)</f>
        <v>0</v>
      </c>
      <c r="CE58" s="276">
        <f>SUM(CE54,CE55)</f>
        <v>0</v>
      </c>
      <c r="CF58" s="276">
        <f>SUM(CF54,CF55)</f>
        <v>0</v>
      </c>
      <c r="CG58" s="276">
        <f>SUM(CG54,CG55)</f>
        <v>0</v>
      </c>
      <c r="CH58" s="276">
        <f>SUM(CH54,CH55)</f>
        <v>0</v>
      </c>
      <c r="CI58" s="276">
        <f>SUM(CI54,CI55)</f>
        <v>0</v>
      </c>
      <c r="CJ58" s="276">
        <f>SUM(CJ54,CJ55)</f>
        <v>0</v>
      </c>
      <c r="CK58" s="276">
        <f>SUM(CK54,CK55)</f>
        <v>0</v>
      </c>
      <c r="CL58" s="276">
        <f>SUM(CL54,CL55)</f>
        <v>0</v>
      </c>
      <c r="CM58" s="276">
        <f>SUM(CM54,CM55)</f>
        <v>0</v>
      </c>
      <c r="CN58" s="276">
        <f>SUM(CN54,CN55)</f>
        <v>0</v>
      </c>
      <c r="CO58" s="276">
        <f>SUM(CO54,CO55)</f>
        <v>0</v>
      </c>
      <c r="CP58" s="276">
        <f>SUM(CP54,CP55)</f>
        <v>0</v>
      </c>
      <c r="CQ58" s="276">
        <f>SUM(CQ54,CQ55)</f>
        <v>0</v>
      </c>
      <c r="CR58" s="276">
        <f>SUM(CR54,CR55)</f>
        <v>0</v>
      </c>
      <c r="CS58" s="276">
        <f>SUM(CS54,CS55)</f>
        <v>0</v>
      </c>
      <c r="CT58" s="276">
        <f>SUM(CT54,CT55)</f>
        <v>0</v>
      </c>
      <c r="CU58" s="276">
        <f>SUM(CU54,CU55)</f>
        <v>0</v>
      </c>
      <c r="CV58" s="276">
        <f>SUM(CV54,CV55)</f>
        <v>0</v>
      </c>
      <c r="CW58" s="276">
        <f>SUM(CW54,CW55)</f>
        <v>0</v>
      </c>
      <c r="CX58" s="276">
        <f>SUM(CX54,CX55)</f>
        <v>0</v>
      </c>
      <c r="CY58" s="276">
        <f>SUM(CY54,CY55)</f>
        <v>0</v>
      </c>
    </row>
    <row r="59" ht="12.75" customHeight="1" s="255">
      <c r="C59" s="270" t="inlineStr">
        <is>
          <t>Interest Expense</t>
        </is>
      </c>
      <c r="D59" s="301">
        <f>INDEX('Inputs (2)'!$D$8:$AL$8,MATCH(D$7,'Inputs (2)'!$D$2:$AL$2,0))</f>
        <v>-34</v>
      </c>
      <c r="E59" s="301">
        <f>INDEX('Inputs (2)'!$D$8:$AL$8,MATCH(E$7,'Inputs (2)'!$D$2:$AL$2,0))</f>
        <v>-37</v>
      </c>
      <c r="F59" s="301">
        <f>INDEX('Inputs (2)'!$D$8:$AL$8,MATCH(F$7,'Inputs (2)'!$D$2:$AL$2,0))</f>
        <v>-51</v>
      </c>
      <c r="G59" s="301">
        <f>INDEX('Inputs (2)'!$D$8:$AL$8,MATCH(G$7,'Inputs (2)'!$D$2:$AL$2,0))</f>
        <v>-39</v>
      </c>
      <c r="H59" s="268">
        <f>SUM(D59:G59)</f>
        <v>-161</v>
      </c>
      <c r="I59" s="301">
        <f>INDEX('Inputs (2)'!$D$8:$AL$8,MATCH(I$7,'Inputs (2)'!$D$2:$AL$2,0))</f>
        <v>-40</v>
      </c>
      <c r="J59" s="301">
        <f>INDEX('Inputs (2)'!$D$8:$AL$8,MATCH(J$7,'Inputs (2)'!$D$2:$AL$2,0))</f>
        <v>-40</v>
      </c>
      <c r="K59" s="301">
        <f>INDEX('Inputs (2)'!$D$8:$AL$8,MATCH(K$7,'Inputs (2)'!$D$2:$AL$2,0))</f>
        <v>-52</v>
      </c>
      <c r="L59" s="301">
        <f>INDEX('Inputs (2)'!$D$8:$AL$8,MATCH(L$7,'Inputs (2)'!$D$2:$AL$2,0))</f>
        <v>-39</v>
      </c>
      <c r="M59" s="268">
        <f>SUM(I59:L59)</f>
        <v>-171</v>
      </c>
      <c r="N59" s="301">
        <f>INDEX('Inputs (2)'!$D$8:$AL$8,MATCH(N$7,'Inputs (2)'!$D$2:$AL$2,0))</f>
        <v>-36</v>
      </c>
      <c r="O59" s="301">
        <f>INDEX('Inputs (2)'!$D$8:$AL$8,MATCH(O$7,'Inputs (2)'!$D$2:$AL$2,0))</f>
        <v>-35</v>
      </c>
      <c r="P59" s="301">
        <f>INDEX('Inputs (2)'!$D$8:$AL$8,MATCH(P$7,'Inputs (2)'!$D$2:$AL$2,0))</f>
        <v>-48</v>
      </c>
      <c r="Q59" s="301">
        <f>INDEX('Inputs (2)'!$D$8:$AL$8,MATCH(Q$7,'Inputs (2)'!$D$2:$AL$2,0))</f>
        <v>-34</v>
      </c>
      <c r="R59" s="268">
        <f>SUM(N59:Q59)</f>
        <v>-153</v>
      </c>
      <c r="S59" s="301">
        <f>INDEX('Inputs (2)'!$D$8:$AL$8,MATCH(S$7,'Inputs (2)'!$D$2:$AL$2,0))</f>
        <v>-34</v>
      </c>
      <c r="T59" s="301">
        <f>INDEX('Inputs (2)'!$D$8:$AL$8,MATCH(T$7,'Inputs (2)'!$D$2:$AL$2,0))</f>
        <v>-36</v>
      </c>
      <c r="U59" s="301">
        <f>INDEX('Inputs (2)'!$D$8:$AL$8,MATCH(U$7,'Inputs (2)'!$D$2:$AL$2,0))</f>
        <v>-56</v>
      </c>
      <c r="V59" s="301">
        <f>INDEX('Inputs (2)'!$D$8:$AL$8,MATCH(V$7,'Inputs (2)'!$D$2:$AL$2,0))</f>
        <v>-38</v>
      </c>
      <c r="W59" s="268">
        <f>SUM(S59:V59)</f>
        <v>-164</v>
      </c>
      <c r="X59" s="301">
        <f>INDEX('Inputs (2)'!$D$8:$AL$8,MATCH(X$7,'Inputs (2)'!$D$2:$AL$2,0))</f>
        <v>-41</v>
      </c>
      <c r="Y59" s="301">
        <f>INDEX('Inputs (2)'!$D$8:$AL$8,MATCH(Y$7,'Inputs (2)'!$D$2:$AL$2,0))</f>
        <v>-41</v>
      </c>
      <c r="Z59" s="301">
        <f>INDEX('Inputs (2)'!$D$8:$AL$8,MATCH(Z$7,'Inputs (2)'!$D$2:$AL$2,0))</f>
        <v>-49</v>
      </c>
      <c r="AA59" s="301">
        <f>INDEX('Inputs (2)'!$D$8:$AL$8,MATCH(AA$7,'Inputs (2)'!$D$2:$AL$2,0))</f>
        <v>-37</v>
      </c>
      <c r="AB59" s="268">
        <f>SUM(X59:AA59)</f>
        <v>-168</v>
      </c>
      <c r="AC59" s="301">
        <f>INDEX('Inputs (2)'!$D$8:$AL$8,MATCH(AC$7,'Inputs (2)'!$D$2:$AL$2,0))</f>
        <v>-36</v>
      </c>
      <c r="AD59" s="301">
        <f>INDEX('Inputs (2)'!$D$8:$AL$8,MATCH(AD$7,'Inputs (2)'!$D$2:$AL$2,0))</f>
        <v>-35</v>
      </c>
      <c r="AE59" s="301">
        <f>INDEX('Inputs (2)'!$D$8:$AL$8,MATCH(AE$7,'Inputs (2)'!$D$2:$AL$2,0))</f>
        <v>-46</v>
      </c>
      <c r="AF59" s="301">
        <f>INDEX('Inputs (2)'!$D$8:$AL$8,MATCH(AF$7,'Inputs (2)'!$D$2:$AL$2,0))</f>
        <v>-35</v>
      </c>
      <c r="AG59" s="268">
        <f>SUM(AC59:AF59)</f>
        <v>-152</v>
      </c>
      <c r="AH59" s="268">
        <f>INDEX('Inputs (2)'!$D$8:$AL$8,MATCH(AH$7,'Inputs (2)'!$D$2:$AL$2,0))</f>
        <v>-33</v>
      </c>
      <c r="AI59" s="268">
        <f>INDEX('Inputs (2)'!$D$8:$AL$8,MATCH(AI$7,'Inputs (2)'!$D$2:$AL$2,0))</f>
        <v>-32</v>
      </c>
      <c r="AJ59" s="268" t="n"/>
      <c r="AK59" s="268" t="n"/>
      <c r="AL59" s="268">
        <f>SUM(AH59:AK59)</f>
        <v>-65</v>
      </c>
      <c r="AM59" s="268" t="n"/>
      <c r="AN59" s="268" t="n"/>
      <c r="AO59" s="268" t="n"/>
      <c r="AP59" s="268" t="n"/>
      <c r="AQ59" s="268">
        <f>SUM(AM59:AP59)</f>
        <v>0</v>
      </c>
      <c r="AR59" s="268" t="n"/>
      <c r="AS59" s="268" t="n"/>
      <c r="AT59" s="268" t="n"/>
      <c r="AU59" s="268" t="n"/>
      <c r="AV59" s="268">
        <f>SUM(AR59:AU59)</f>
        <v>0</v>
      </c>
      <c r="AW59" s="268" t="n"/>
      <c r="AX59" s="268" t="n"/>
      <c r="AY59" s="268" t="n"/>
      <c r="AZ59" s="268" t="n"/>
      <c r="BA59" s="268">
        <f>SUM(AW59:AZ59)</f>
        <v>0</v>
      </c>
      <c r="BB59" s="268" t="n"/>
      <c r="BC59" s="268" t="n"/>
      <c r="BD59" s="268" t="n"/>
      <c r="BE59" s="268" t="n"/>
      <c r="BF59" s="268">
        <f>SUM(BB59:BE59)</f>
        <v>0</v>
      </c>
      <c r="BG59" s="268" t="n"/>
      <c r="BH59" s="268" t="n"/>
      <c r="BI59" s="268" t="n"/>
      <c r="BJ59" s="268" t="n"/>
      <c r="BK59" s="268">
        <f>SUM(BG59:BJ59)</f>
        <v>0</v>
      </c>
      <c r="BL59" s="268" t="n"/>
      <c r="BM59" s="268" t="n"/>
      <c r="BN59" s="268" t="n"/>
      <c r="BO59" s="268" t="n"/>
      <c r="BP59" s="268">
        <f>SUM(BL59:BO59)</f>
        <v>0</v>
      </c>
      <c r="BQ59" s="268" t="n"/>
      <c r="BR59" s="268" t="n"/>
      <c r="BS59" s="268" t="n"/>
      <c r="BT59" s="268" t="n"/>
      <c r="BU59" s="268">
        <f>SUM(BQ59:BT59)</f>
        <v>0</v>
      </c>
      <c r="BV59" s="268" t="n"/>
      <c r="BW59" s="268" t="n"/>
      <c r="BX59" s="268" t="n"/>
      <c r="BY59" s="268" t="n"/>
      <c r="BZ59" s="268">
        <f>SUM(BV59:BY59)</f>
        <v>0</v>
      </c>
      <c r="CA59" s="268" t="n"/>
      <c r="CB59" s="268" t="n"/>
      <c r="CC59" s="268" t="n"/>
      <c r="CD59" s="268" t="n"/>
      <c r="CE59" s="268">
        <f>SUM(CA59:CD59)</f>
        <v>0</v>
      </c>
      <c r="CF59" s="268" t="n"/>
      <c r="CG59" s="268" t="n"/>
      <c r="CH59" s="268" t="n"/>
      <c r="CI59" s="268" t="n"/>
      <c r="CJ59" s="268">
        <f>SUM(CF59:CI59)</f>
        <v>0</v>
      </c>
      <c r="CK59" s="268" t="n"/>
      <c r="CL59" s="268" t="n"/>
      <c r="CM59" s="268" t="n"/>
      <c r="CN59" s="268" t="n"/>
      <c r="CO59" s="268">
        <f>SUM(CK59:CN59)</f>
        <v>0</v>
      </c>
      <c r="CP59" s="268" t="n"/>
      <c r="CQ59" s="268" t="n"/>
      <c r="CR59" s="268" t="n"/>
      <c r="CS59" s="268" t="n"/>
      <c r="CT59" s="268">
        <f>SUM(CP59:CS59)</f>
        <v>0</v>
      </c>
      <c r="CU59" s="268" t="n"/>
      <c r="CV59" s="268" t="n"/>
      <c r="CW59" s="268" t="n"/>
      <c r="CX59" s="268" t="n"/>
      <c r="CY59" s="268">
        <f>SUM(CU59:CX59)</f>
        <v>0</v>
      </c>
    </row>
    <row r="60" hidden="1" outlineLevel="1" ht="12.75" customHeight="1" s="255">
      <c r="C60" s="305" t="inlineStr">
        <is>
          <t>% of Debt</t>
        </is>
      </c>
      <c r="D60" s="309">
        <f>IFERROR(-D59/SUM(D197+D202),0)</f>
        <v>0.00607251294874085</v>
      </c>
      <c r="E60" s="309">
        <f>IFERROR(-E59/SUM(E197+E202),0)</f>
        <v>0.00406816932380429</v>
      </c>
      <c r="F60" s="309">
        <f>IFERROR(-F59/SUM(F197+F202),0)</f>
        <v>0.00670258903929557</v>
      </c>
      <c r="G60" s="309">
        <f>IFERROR(-G59/SUM(G197+G202),0)</f>
        <v>0.00511475409836066</v>
      </c>
      <c r="H60" s="268" t="n"/>
      <c r="I60" s="309">
        <f>IFERROR(-I59/SUM(I197+I202),0)</f>
        <v>0.00525141131679139</v>
      </c>
      <c r="J60" s="309">
        <f>IFERROR(-J59/SUM(J197+J202),0)</f>
        <v>0.00527217609068143</v>
      </c>
      <c r="K60" s="309">
        <f>IFERROR(-K59/SUM(K197+K202),0)</f>
        <v>0.00694166332932853</v>
      </c>
      <c r="L60" s="309">
        <f>IFERROR(-L59/SUM(L197+L202),0)</f>
        <v>0.00522368068577552</v>
      </c>
      <c r="M60" s="268" t="n"/>
      <c r="N60" s="309">
        <f>IFERROR(-N59/SUM(N197+N202),0)</f>
        <v>0.00540702913787924</v>
      </c>
      <c r="O60" s="309">
        <f>IFERROR(-O59/SUM(O197+O202),0)</f>
        <v>0.00531591737545565</v>
      </c>
      <c r="P60" s="309">
        <f>IFERROR(-P59/SUM(P197+P202),0)</f>
        <v>0.00732042092420314</v>
      </c>
      <c r="Q60" s="309">
        <f>IFERROR(-Q59/SUM(Q197+Q202),0)</f>
        <v>0.00519639309185389</v>
      </c>
      <c r="R60" s="268" t="n"/>
      <c r="S60" s="309">
        <f>IFERROR(-S59/SUM(S197+S202),0)</f>
        <v>0.0051656031601337</v>
      </c>
      <c r="T60" s="309">
        <f>IFERROR(-T59/SUM(T197+T202),0)</f>
        <v>0.00554101893181468</v>
      </c>
      <c r="U60" s="309">
        <f>IFERROR(-U59/SUM(U197+U202),0)</f>
        <v>0.00867141529885413</v>
      </c>
      <c r="V60" s="309">
        <f>IFERROR(-V59/SUM(V197+V202),0)</f>
        <v>0.00547077454650158</v>
      </c>
      <c r="W60" s="268" t="n"/>
      <c r="X60" s="309">
        <f>IFERROR(-X59/SUM(X197+X202),0)</f>
        <v>0.00590352771778258</v>
      </c>
      <c r="Y60" s="309">
        <f>IFERROR(-Y59/SUM(Y197+Y202),0)</f>
        <v>0.00593257126320359</v>
      </c>
      <c r="Z60" s="309">
        <f>IFERROR(-Z59/SUM(Z197+Z202),0)</f>
        <v>0.00830930981855181</v>
      </c>
      <c r="AA60" s="309">
        <f>IFERROR(-AA59/SUM(AA197+AA202),0)</f>
        <v>0.00644038294168843</v>
      </c>
      <c r="AB60" s="268" t="n"/>
      <c r="AC60" s="309">
        <f>IFERROR(-AC59/SUM(AC197+AC202),0)</f>
        <v>0.00625543006081668</v>
      </c>
      <c r="AD60" s="309">
        <f>IFERROR(-AD59/SUM(AD197+AD202),0)</f>
        <v>0.00612209200629701</v>
      </c>
      <c r="AE60" s="309">
        <f>IFERROR(-AE59/SUM(AE197+AE202),0)</f>
        <v>0.00805181165762297</v>
      </c>
      <c r="AF60" s="311">
        <f>IFERROR(-AF59/SUM(AF197+AF202),0)</f>
        <v>0.00617719731733145</v>
      </c>
      <c r="AG60" s="268" t="n"/>
      <c r="AH60" s="267">
        <f>IFERROR(-AH59/SUM(AH197+AH202),0)</f>
        <v>0.00580168776371308</v>
      </c>
      <c r="AI60" s="267">
        <f>IFERROR(-AI59/SUM(AI197+AI202),0)</f>
        <v>0.00564373897707231</v>
      </c>
      <c r="AJ60" s="267" t="n"/>
      <c r="AK60" s="267" t="n"/>
      <c r="AL60" s="268" t="n"/>
      <c r="AM60" s="267" t="n"/>
      <c r="AN60" s="267" t="n"/>
      <c r="AO60" s="267" t="n"/>
      <c r="AP60" s="267" t="n"/>
      <c r="AQ60" s="268" t="n"/>
      <c r="AR60" s="267" t="n"/>
      <c r="AS60" s="267" t="n"/>
      <c r="AT60" s="267" t="n"/>
      <c r="AU60" s="267" t="n"/>
      <c r="AV60" s="268" t="n"/>
      <c r="AW60" s="267" t="n"/>
      <c r="AX60" s="267" t="n"/>
      <c r="AY60" s="267" t="n"/>
      <c r="AZ60" s="267" t="n"/>
      <c r="BA60" s="268" t="n"/>
      <c r="BB60" s="267" t="n"/>
      <c r="BC60" s="267" t="n"/>
      <c r="BD60" s="267" t="n"/>
      <c r="BE60" s="267" t="n"/>
      <c r="BF60" s="268" t="n"/>
      <c r="BG60" s="267" t="n"/>
      <c r="BH60" s="267" t="n"/>
      <c r="BI60" s="267" t="n"/>
      <c r="BJ60" s="267" t="n"/>
      <c r="BK60" s="268" t="n"/>
      <c r="BL60" s="267" t="n"/>
      <c r="BM60" s="267" t="n"/>
      <c r="BN60" s="267" t="n"/>
      <c r="BO60" s="267" t="n"/>
      <c r="BP60" s="268" t="n"/>
      <c r="BQ60" s="267" t="n"/>
      <c r="BR60" s="267" t="n"/>
      <c r="BS60" s="267" t="n"/>
      <c r="BT60" s="267" t="n"/>
      <c r="BU60" s="268" t="n"/>
      <c r="BV60" s="267" t="n"/>
      <c r="BW60" s="267" t="n"/>
      <c r="BX60" s="267" t="n"/>
      <c r="BY60" s="267" t="n"/>
      <c r="BZ60" s="268" t="n"/>
      <c r="CA60" s="267" t="n"/>
      <c r="CB60" s="267" t="n"/>
      <c r="CC60" s="267" t="n"/>
      <c r="CD60" s="267" t="n"/>
      <c r="CE60" s="268" t="n"/>
      <c r="CF60" s="267" t="n"/>
      <c r="CG60" s="267" t="n"/>
      <c r="CH60" s="267" t="n"/>
      <c r="CI60" s="267" t="n"/>
      <c r="CJ60" s="268" t="n"/>
      <c r="CK60" s="267" t="n"/>
      <c r="CL60" s="267" t="n"/>
      <c r="CM60" s="267" t="n"/>
      <c r="CN60" s="267" t="n"/>
      <c r="CO60" s="268" t="n"/>
      <c r="CP60" s="267" t="n"/>
      <c r="CQ60" s="267" t="n"/>
      <c r="CR60" s="267" t="n"/>
      <c r="CS60" s="267" t="n"/>
      <c r="CT60" s="268" t="n"/>
      <c r="CU60" s="267" t="n"/>
      <c r="CV60" s="267" t="n"/>
      <c r="CW60" s="267" t="n"/>
      <c r="CX60" s="267" t="n"/>
      <c r="CY60" s="268" t="n"/>
    </row>
    <row r="61" hidden="1" outlineLevel="1" ht="12.75" customHeight="1" s="255">
      <c r="C61" s="305" t="inlineStr">
        <is>
          <t>%CDI</t>
        </is>
      </c>
      <c r="D61" s="267" t="n"/>
      <c r="E61" s="267" t="n"/>
      <c r="F61" s="267" t="n"/>
      <c r="G61" s="267" t="n"/>
      <c r="H61" s="268" t="n"/>
      <c r="I61" s="267" t="n"/>
      <c r="J61" s="267" t="n"/>
      <c r="K61" s="267" t="n"/>
      <c r="L61" s="267" t="n"/>
      <c r="M61" s="268" t="n"/>
      <c r="N61" s="267" t="n"/>
      <c r="O61" s="267" t="n"/>
      <c r="P61" s="267" t="n"/>
      <c r="Q61" s="267" t="n"/>
      <c r="R61" s="268" t="n"/>
      <c r="S61" s="267" t="n"/>
      <c r="T61" s="267" t="n"/>
      <c r="U61" s="267" t="n"/>
      <c r="V61" s="267" t="n"/>
      <c r="W61" s="268" t="n"/>
      <c r="X61" s="267" t="n"/>
      <c r="Y61" s="267" t="n"/>
      <c r="Z61" s="267" t="n"/>
      <c r="AA61" s="267" t="n"/>
      <c r="AB61" s="268" t="n"/>
      <c r="AC61" s="267" t="n"/>
      <c r="AD61" s="267" t="n"/>
      <c r="AE61" s="267" t="n"/>
      <c r="AF61" s="267" t="n"/>
      <c r="AG61" s="268" t="n"/>
      <c r="AH61" s="267" t="n"/>
      <c r="AI61" s="267" t="n"/>
      <c r="AJ61" s="267" t="n"/>
      <c r="AK61" s="267" t="n"/>
      <c r="AL61" s="268" t="n"/>
      <c r="AM61" s="267" t="n"/>
      <c r="AN61" s="267" t="n"/>
      <c r="AO61" s="267" t="n"/>
      <c r="AP61" s="267" t="n"/>
      <c r="AQ61" s="268" t="n"/>
      <c r="AR61" s="267" t="n"/>
      <c r="AS61" s="267" t="n"/>
      <c r="AT61" s="267" t="n"/>
      <c r="AU61" s="267" t="n"/>
      <c r="AV61" s="268" t="n"/>
      <c r="AW61" s="267" t="n"/>
      <c r="AX61" s="267" t="n"/>
      <c r="AY61" s="267" t="n"/>
      <c r="AZ61" s="267" t="n"/>
      <c r="BA61" s="268" t="n"/>
      <c r="BB61" s="267" t="n"/>
      <c r="BC61" s="267" t="n"/>
      <c r="BD61" s="267" t="n"/>
      <c r="BE61" s="267" t="n"/>
      <c r="BF61" s="268" t="n"/>
      <c r="BG61" s="267" t="n"/>
      <c r="BH61" s="267" t="n"/>
      <c r="BI61" s="267" t="n"/>
      <c r="BJ61" s="267" t="n"/>
      <c r="BK61" s="268" t="n"/>
      <c r="BL61" s="267" t="n"/>
      <c r="BM61" s="267" t="n"/>
      <c r="BN61" s="267" t="n"/>
      <c r="BO61" s="267" t="n"/>
      <c r="BP61" s="268" t="n"/>
      <c r="BQ61" s="267" t="n"/>
      <c r="BR61" s="267" t="n"/>
      <c r="BS61" s="267" t="n"/>
      <c r="BT61" s="267" t="n"/>
      <c r="BU61" s="268" t="n"/>
      <c r="BV61" s="267" t="n"/>
      <c r="BW61" s="267" t="n"/>
      <c r="BX61" s="267" t="n"/>
      <c r="BY61" s="267" t="n"/>
      <c r="BZ61" s="268" t="n"/>
      <c r="CA61" s="267" t="n"/>
      <c r="CB61" s="267" t="n"/>
      <c r="CC61" s="267" t="n"/>
      <c r="CD61" s="267" t="n"/>
      <c r="CE61" s="268" t="n"/>
      <c r="CF61" s="267" t="n"/>
      <c r="CG61" s="267" t="n"/>
      <c r="CH61" s="267" t="n"/>
      <c r="CI61" s="267" t="n"/>
      <c r="CJ61" s="268" t="n"/>
      <c r="CK61" s="267" t="n"/>
      <c r="CL61" s="267" t="n"/>
      <c r="CM61" s="267" t="n"/>
      <c r="CN61" s="267" t="n"/>
      <c r="CO61" s="268" t="n"/>
      <c r="CP61" s="267" t="n"/>
      <c r="CQ61" s="267" t="n"/>
      <c r="CR61" s="267" t="n"/>
      <c r="CS61" s="267" t="n"/>
      <c r="CT61" s="268" t="n"/>
      <c r="CU61" s="267" t="n"/>
      <c r="CV61" s="267" t="n"/>
      <c r="CW61" s="267" t="n"/>
      <c r="CX61" s="267" t="n"/>
      <c r="CY61" s="268" t="n"/>
    </row>
    <row r="62" hidden="1" outlineLevel="1" ht="12.75" customHeight="1" s="255">
      <c r="C62" s="312" t="n"/>
      <c r="D62" s="268" t="n"/>
      <c r="E62" s="268" t="n"/>
      <c r="F62" s="268" t="n"/>
      <c r="G62" s="268" t="n"/>
      <c r="H62" s="268" t="n"/>
      <c r="I62" s="268" t="n"/>
      <c r="J62" s="268" t="n"/>
      <c r="K62" s="268" t="n"/>
      <c r="L62" s="268" t="n"/>
      <c r="M62" s="268" t="n"/>
      <c r="N62" s="268" t="n"/>
      <c r="O62" s="268" t="n"/>
      <c r="P62" s="268" t="n"/>
      <c r="Q62" s="268" t="n"/>
      <c r="R62" s="268" t="n"/>
      <c r="S62" s="268" t="n"/>
      <c r="T62" s="268" t="n"/>
      <c r="U62" s="268" t="n"/>
      <c r="V62" s="268" t="n"/>
      <c r="W62" s="268" t="n"/>
      <c r="X62" s="268" t="n"/>
      <c r="Y62" s="268" t="n"/>
      <c r="Z62" s="268" t="n"/>
      <c r="AA62" s="268" t="n"/>
      <c r="AB62" s="268" t="n"/>
      <c r="AC62" s="268" t="n"/>
      <c r="AD62" s="268" t="n"/>
      <c r="AE62" s="268" t="n"/>
      <c r="AF62" s="268" t="n"/>
      <c r="AG62" s="268" t="n"/>
      <c r="AH62" s="268" t="n"/>
      <c r="AI62" s="268" t="n"/>
      <c r="AJ62" s="268" t="n"/>
      <c r="AK62" s="268" t="n"/>
      <c r="AL62" s="268" t="n"/>
      <c r="AM62" s="268" t="n"/>
      <c r="AN62" s="268" t="n"/>
      <c r="AO62" s="268" t="n"/>
      <c r="AP62" s="268" t="n"/>
      <c r="AQ62" s="268" t="n"/>
      <c r="AR62" s="268" t="n"/>
      <c r="AS62" s="268" t="n"/>
      <c r="AT62" s="268" t="n"/>
      <c r="AU62" s="268" t="n"/>
      <c r="AV62" s="268" t="n"/>
      <c r="AW62" s="268" t="n"/>
      <c r="AX62" s="268" t="n"/>
      <c r="AY62" s="268" t="n"/>
      <c r="AZ62" s="268" t="n"/>
      <c r="BA62" s="268" t="n"/>
      <c r="BB62" s="268" t="n"/>
      <c r="BC62" s="268" t="n"/>
      <c r="BD62" s="268" t="n"/>
      <c r="BE62" s="268" t="n"/>
      <c r="BF62" s="268" t="n"/>
      <c r="BG62" s="268" t="n"/>
      <c r="BH62" s="268" t="n"/>
      <c r="BI62" s="268" t="n"/>
      <c r="BJ62" s="268" t="n"/>
      <c r="BK62" s="268" t="n"/>
      <c r="BL62" s="268" t="n"/>
      <c r="BM62" s="268" t="n"/>
      <c r="BN62" s="268" t="n"/>
      <c r="BO62" s="268" t="n"/>
      <c r="BP62" s="268" t="n"/>
      <c r="BQ62" s="268" t="n"/>
      <c r="BR62" s="268" t="n"/>
      <c r="BS62" s="268" t="n"/>
      <c r="BT62" s="268" t="n"/>
      <c r="BU62" s="268" t="n"/>
      <c r="BV62" s="268" t="n"/>
      <c r="BW62" s="268" t="n"/>
      <c r="BX62" s="268" t="n"/>
      <c r="BY62" s="268" t="n"/>
      <c r="BZ62" s="268" t="n"/>
      <c r="CA62" s="268" t="n"/>
      <c r="CB62" s="268" t="n"/>
      <c r="CC62" s="268" t="n"/>
      <c r="CD62" s="268" t="n"/>
      <c r="CE62" s="268" t="n"/>
      <c r="CF62" s="268" t="n"/>
      <c r="CG62" s="268" t="n"/>
      <c r="CH62" s="268" t="n"/>
      <c r="CI62" s="268" t="n"/>
      <c r="CJ62" s="268" t="n"/>
      <c r="CK62" s="268" t="n"/>
      <c r="CL62" s="268" t="n"/>
      <c r="CM62" s="268" t="n"/>
      <c r="CN62" s="268" t="n"/>
      <c r="CO62" s="268" t="n"/>
      <c r="CP62" s="268" t="n"/>
      <c r="CQ62" s="268" t="n"/>
      <c r="CR62" s="268" t="n"/>
      <c r="CS62" s="268" t="n"/>
      <c r="CT62" s="268" t="n"/>
      <c r="CU62" s="268" t="n"/>
      <c r="CV62" s="268" t="n"/>
      <c r="CW62" s="268" t="n"/>
      <c r="CX62" s="268" t="n"/>
      <c r="CY62" s="268" t="n"/>
    </row>
    <row r="63" hidden="1" outlineLevel="1" ht="12.75" customHeight="1" s="255">
      <c r="C63" s="312" t="n"/>
      <c r="D63" s="268" t="n"/>
      <c r="E63" s="268" t="n"/>
      <c r="F63" s="268" t="n"/>
      <c r="G63" s="268" t="n"/>
      <c r="H63" s="268" t="n"/>
      <c r="I63" s="268" t="n"/>
      <c r="J63" s="268" t="n"/>
      <c r="K63" s="268" t="n"/>
      <c r="L63" s="268" t="n"/>
      <c r="M63" s="268" t="n"/>
      <c r="N63" s="268" t="n"/>
      <c r="O63" s="268" t="n"/>
      <c r="P63" s="268" t="n"/>
      <c r="Q63" s="268" t="n"/>
      <c r="R63" s="268" t="n"/>
      <c r="S63" s="268" t="n"/>
      <c r="T63" s="268" t="n"/>
      <c r="U63" s="268" t="n"/>
      <c r="V63" s="268" t="n"/>
      <c r="W63" s="268" t="n"/>
      <c r="X63" s="268" t="n"/>
      <c r="Y63" s="268" t="n"/>
      <c r="Z63" s="268" t="n"/>
      <c r="AA63" s="268" t="n"/>
      <c r="AB63" s="268" t="n"/>
      <c r="AC63" s="268" t="n"/>
      <c r="AD63" s="268" t="n"/>
      <c r="AE63" s="268" t="n"/>
      <c r="AF63" s="268" t="n"/>
      <c r="AG63" s="268" t="n"/>
      <c r="AH63" s="268" t="n"/>
      <c r="AI63" s="268" t="n"/>
      <c r="AJ63" s="268" t="n"/>
      <c r="AK63" s="268" t="n"/>
      <c r="AL63" s="268" t="n"/>
      <c r="AM63" s="268" t="n"/>
      <c r="AN63" s="268" t="n"/>
      <c r="AO63" s="268" t="n"/>
      <c r="AP63" s="268" t="n"/>
      <c r="AQ63" s="268" t="n"/>
      <c r="AR63" s="268" t="n"/>
      <c r="AS63" s="268" t="n"/>
      <c r="AT63" s="268" t="n"/>
      <c r="AU63" s="268" t="n"/>
      <c r="AV63" s="268" t="n"/>
      <c r="AW63" s="268" t="n"/>
      <c r="AX63" s="268" t="n"/>
      <c r="AY63" s="268" t="n"/>
      <c r="AZ63" s="268" t="n"/>
      <c r="BA63" s="268" t="n"/>
      <c r="BB63" s="268" t="n"/>
      <c r="BC63" s="268" t="n"/>
      <c r="BD63" s="268" t="n"/>
      <c r="BE63" s="268" t="n"/>
      <c r="BF63" s="268" t="n"/>
      <c r="BG63" s="268" t="n"/>
      <c r="BH63" s="268" t="n"/>
      <c r="BI63" s="268" t="n"/>
      <c r="BJ63" s="268" t="n"/>
      <c r="BK63" s="268" t="n"/>
      <c r="BL63" s="268" t="n"/>
      <c r="BM63" s="268" t="n"/>
      <c r="BN63" s="268" t="n"/>
      <c r="BO63" s="268" t="n"/>
      <c r="BP63" s="268" t="n"/>
      <c r="BQ63" s="268" t="n"/>
      <c r="BR63" s="268" t="n"/>
      <c r="BS63" s="268" t="n"/>
      <c r="BT63" s="268" t="n"/>
      <c r="BU63" s="268" t="n"/>
      <c r="BV63" s="268" t="n"/>
      <c r="BW63" s="268" t="n"/>
      <c r="BX63" s="268" t="n"/>
      <c r="BY63" s="268" t="n"/>
      <c r="BZ63" s="268" t="n"/>
      <c r="CA63" s="268" t="n"/>
      <c r="CB63" s="268" t="n"/>
      <c r="CC63" s="268" t="n"/>
      <c r="CD63" s="268" t="n"/>
      <c r="CE63" s="268" t="n"/>
      <c r="CF63" s="268" t="n"/>
      <c r="CG63" s="268" t="n"/>
      <c r="CH63" s="268" t="n"/>
      <c r="CI63" s="268" t="n"/>
      <c r="CJ63" s="268" t="n"/>
      <c r="CK63" s="268" t="n"/>
      <c r="CL63" s="268" t="n"/>
      <c r="CM63" s="268" t="n"/>
      <c r="CN63" s="268" t="n"/>
      <c r="CO63" s="268" t="n"/>
      <c r="CP63" s="268" t="n"/>
      <c r="CQ63" s="268" t="n"/>
      <c r="CR63" s="268" t="n"/>
      <c r="CS63" s="268" t="n"/>
      <c r="CT63" s="268" t="n"/>
      <c r="CU63" s="268" t="n"/>
      <c r="CV63" s="268" t="n"/>
      <c r="CW63" s="268" t="n"/>
      <c r="CX63" s="268" t="n"/>
      <c r="CY63" s="268" t="n"/>
    </row>
    <row r="64" hidden="1" outlineLevel="1" ht="12.75" customHeight="1" s="255">
      <c r="C64" s="312" t="inlineStr">
        <is>
          <t>RECEITA FINANCEIRA</t>
        </is>
      </c>
      <c r="D64" s="268" t="n"/>
      <c r="E64" s="268" t="n"/>
      <c r="F64" s="268" t="n"/>
      <c r="G64" s="268" t="n"/>
      <c r="H64" s="268" t="n"/>
      <c r="I64" s="268" t="n"/>
      <c r="J64" s="268" t="n"/>
      <c r="K64" s="268" t="n"/>
      <c r="L64" s="268" t="n"/>
      <c r="M64" s="268" t="n"/>
      <c r="N64" s="268" t="n"/>
      <c r="O64" s="268" t="n"/>
      <c r="P64" s="268" t="n"/>
      <c r="Q64" s="268" t="n"/>
      <c r="R64" s="268" t="n"/>
      <c r="S64" s="268" t="n"/>
      <c r="T64" s="268" t="n"/>
      <c r="U64" s="268" t="n"/>
      <c r="V64" s="268" t="n"/>
      <c r="W64" s="268" t="n"/>
      <c r="X64" s="268" t="n"/>
      <c r="Y64" s="268" t="n"/>
      <c r="Z64" s="268" t="n"/>
      <c r="AA64" s="268" t="n"/>
      <c r="AB64" s="268" t="n"/>
      <c r="AC64" s="268" t="n"/>
      <c r="AD64" s="268" t="n"/>
      <c r="AE64" s="268" t="n"/>
      <c r="AF64" s="268" t="n"/>
      <c r="AG64" s="268" t="n"/>
      <c r="AH64" s="268" t="n"/>
      <c r="AI64" s="268" t="n"/>
      <c r="AJ64" s="268" t="n"/>
      <c r="AK64" s="268" t="n"/>
      <c r="AL64" s="268" t="n"/>
      <c r="AM64" s="268" t="n"/>
      <c r="AN64" s="268" t="n"/>
      <c r="AO64" s="268" t="n"/>
      <c r="AP64" s="268" t="n"/>
      <c r="AQ64" s="268" t="n"/>
      <c r="AR64" s="268" t="n"/>
      <c r="AS64" s="268" t="n"/>
      <c r="AT64" s="268" t="n"/>
      <c r="AU64" s="268" t="n"/>
      <c r="AV64" s="268" t="n"/>
      <c r="AW64" s="268" t="n"/>
      <c r="AX64" s="268" t="n"/>
      <c r="AY64" s="268" t="n"/>
      <c r="AZ64" s="268" t="n"/>
      <c r="BA64" s="268" t="n"/>
      <c r="BB64" s="268" t="n"/>
      <c r="BC64" s="268" t="n"/>
      <c r="BD64" s="268" t="n"/>
      <c r="BE64" s="268" t="n"/>
      <c r="BF64" s="268" t="n"/>
      <c r="BG64" s="268" t="n"/>
      <c r="BH64" s="268" t="n"/>
      <c r="BI64" s="268" t="n"/>
      <c r="BJ64" s="268" t="n"/>
      <c r="BK64" s="268" t="n"/>
      <c r="BL64" s="268" t="n"/>
      <c r="BM64" s="268" t="n"/>
      <c r="BN64" s="268" t="n"/>
      <c r="BO64" s="268" t="n"/>
      <c r="BP64" s="268" t="n"/>
      <c r="BQ64" s="268" t="n"/>
      <c r="BR64" s="268" t="n"/>
      <c r="BS64" s="268" t="n"/>
      <c r="BT64" s="268" t="n"/>
      <c r="BU64" s="268" t="n"/>
      <c r="BV64" s="268" t="n"/>
      <c r="BW64" s="268" t="n"/>
      <c r="BX64" s="268" t="n"/>
      <c r="BY64" s="268" t="n"/>
      <c r="BZ64" s="268" t="n"/>
      <c r="CA64" s="268" t="n"/>
      <c r="CB64" s="268" t="n"/>
      <c r="CC64" s="268" t="n"/>
      <c r="CD64" s="268" t="n"/>
      <c r="CE64" s="268" t="n"/>
      <c r="CF64" s="268" t="n"/>
      <c r="CG64" s="268" t="n"/>
      <c r="CH64" s="268" t="n"/>
      <c r="CI64" s="268" t="n"/>
      <c r="CJ64" s="268" t="n"/>
      <c r="CK64" s="268" t="n"/>
      <c r="CL64" s="268" t="n"/>
      <c r="CM64" s="268" t="n"/>
      <c r="CN64" s="268" t="n"/>
      <c r="CO64" s="268" t="n"/>
      <c r="CP64" s="268" t="n"/>
      <c r="CQ64" s="268" t="n"/>
      <c r="CR64" s="268" t="n"/>
      <c r="CS64" s="268" t="n"/>
      <c r="CT64" s="268" t="n"/>
      <c r="CU64" s="268" t="n"/>
      <c r="CV64" s="268" t="n"/>
      <c r="CW64" s="268" t="n"/>
      <c r="CX64" s="268" t="n"/>
      <c r="CY64" s="268" t="n"/>
    </row>
    <row r="65" hidden="1" outlineLevel="1" ht="12.75" customHeight="1" s="255">
      <c r="C65" s="312" t="inlineStr">
        <is>
          <t>DESPESA FINANCEIRA</t>
        </is>
      </c>
      <c r="D65" s="268" t="n"/>
      <c r="E65" s="268" t="n"/>
      <c r="F65" s="268" t="n"/>
      <c r="G65" s="268" t="n"/>
      <c r="H65" s="268" t="n"/>
      <c r="I65" s="268" t="n"/>
      <c r="J65" s="268" t="n"/>
      <c r="K65" s="268" t="n"/>
      <c r="L65" s="268" t="n"/>
      <c r="M65" s="268" t="n"/>
      <c r="N65" s="268" t="n"/>
      <c r="O65" s="268" t="n"/>
      <c r="P65" s="268" t="n"/>
      <c r="Q65" s="268" t="n"/>
      <c r="R65" s="268" t="n"/>
      <c r="S65" s="268" t="n"/>
      <c r="T65" s="268" t="n"/>
      <c r="U65" s="268" t="n"/>
      <c r="V65" s="268" t="n"/>
      <c r="W65" s="268" t="n"/>
      <c r="X65" s="268" t="n"/>
      <c r="Y65" s="268" t="n"/>
      <c r="Z65" s="268" t="n"/>
      <c r="AA65" s="268" t="n"/>
      <c r="AB65" s="268" t="n"/>
      <c r="AC65" s="268" t="n"/>
      <c r="AD65" s="268" t="n"/>
      <c r="AE65" s="268" t="n"/>
      <c r="AF65" s="268" t="n"/>
      <c r="AG65" s="268" t="n"/>
      <c r="AH65" s="268" t="n"/>
      <c r="AI65" s="268" t="n"/>
      <c r="AJ65" s="268" t="n"/>
      <c r="AK65" s="268" t="n"/>
      <c r="AL65" s="268" t="n"/>
      <c r="AM65" s="268" t="n"/>
      <c r="AN65" s="268" t="n"/>
      <c r="AO65" s="268" t="n"/>
      <c r="AP65" s="268" t="n"/>
      <c r="AQ65" s="268" t="n"/>
      <c r="AR65" s="268" t="n"/>
      <c r="AS65" s="268" t="n"/>
      <c r="AT65" s="268" t="n"/>
      <c r="AU65" s="268" t="n"/>
      <c r="AV65" s="268" t="n"/>
      <c r="AW65" s="268" t="n"/>
      <c r="AX65" s="268" t="n"/>
      <c r="AY65" s="268" t="n"/>
      <c r="AZ65" s="268" t="n"/>
      <c r="BA65" s="268" t="n"/>
      <c r="BB65" s="268" t="n"/>
      <c r="BC65" s="268" t="n"/>
      <c r="BD65" s="268" t="n"/>
      <c r="BE65" s="268" t="n"/>
      <c r="BF65" s="268" t="n"/>
      <c r="BG65" s="268" t="n"/>
      <c r="BH65" s="268" t="n"/>
      <c r="BI65" s="268" t="n"/>
      <c r="BJ65" s="268" t="n"/>
      <c r="BK65" s="268" t="n"/>
      <c r="BL65" s="268" t="n"/>
      <c r="BM65" s="268" t="n"/>
      <c r="BN65" s="268" t="n"/>
      <c r="BO65" s="268" t="n"/>
      <c r="BP65" s="268" t="n"/>
      <c r="BQ65" s="268" t="n"/>
      <c r="BR65" s="268" t="n"/>
      <c r="BS65" s="268" t="n"/>
      <c r="BT65" s="268" t="n"/>
      <c r="BU65" s="268" t="n"/>
      <c r="BV65" s="268" t="n"/>
      <c r="BW65" s="268" t="n"/>
      <c r="BX65" s="268" t="n"/>
      <c r="BY65" s="268" t="n"/>
      <c r="BZ65" s="268" t="n"/>
      <c r="CA65" s="268" t="n"/>
      <c r="CB65" s="268" t="n"/>
      <c r="CC65" s="268" t="n"/>
      <c r="CD65" s="268" t="n"/>
      <c r="CE65" s="268" t="n"/>
      <c r="CF65" s="268" t="n"/>
      <c r="CG65" s="268" t="n"/>
      <c r="CH65" s="268" t="n"/>
      <c r="CI65" s="268" t="n"/>
      <c r="CJ65" s="268" t="n"/>
      <c r="CK65" s="268" t="n"/>
      <c r="CL65" s="268" t="n"/>
      <c r="CM65" s="268" t="n"/>
      <c r="CN65" s="268" t="n"/>
      <c r="CO65" s="268" t="n"/>
      <c r="CP65" s="268" t="n"/>
      <c r="CQ65" s="268" t="n"/>
      <c r="CR65" s="268" t="n"/>
      <c r="CS65" s="268" t="n"/>
      <c r="CT65" s="268" t="n"/>
      <c r="CU65" s="268" t="n"/>
      <c r="CV65" s="268" t="n"/>
      <c r="CW65" s="268" t="n"/>
      <c r="CX65" s="268" t="n"/>
      <c r="CY65" s="268" t="n"/>
    </row>
    <row r="66" hidden="1" outlineLevel="1" ht="12.75" customHeight="1" s="255">
      <c r="C66" s="312" t="inlineStr">
        <is>
          <t>OUTROS</t>
        </is>
      </c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68" t="n"/>
      <c r="T66" s="268" t="n"/>
      <c r="U66" s="268" t="n"/>
      <c r="V66" s="268" t="n"/>
      <c r="W66" s="268" t="n"/>
      <c r="X66" s="268" t="n"/>
      <c r="Y66" s="268" t="n"/>
      <c r="Z66" s="268" t="n"/>
      <c r="AA66" s="268" t="n"/>
      <c r="AB66" s="268" t="n"/>
      <c r="AC66" s="268" t="n"/>
      <c r="AD66" s="268" t="n"/>
      <c r="AE66" s="268" t="n"/>
      <c r="AF66" s="268" t="n"/>
      <c r="AG66" s="268" t="n"/>
      <c r="AH66" s="268" t="n"/>
      <c r="AI66" s="268" t="n"/>
      <c r="AJ66" s="268" t="n"/>
      <c r="AK66" s="268" t="n"/>
      <c r="AL66" s="268" t="n"/>
      <c r="AM66" s="268" t="n"/>
      <c r="AN66" s="268" t="n"/>
      <c r="AO66" s="268" t="n"/>
      <c r="AP66" s="268" t="n"/>
      <c r="AQ66" s="268" t="n"/>
      <c r="AR66" s="268" t="n"/>
      <c r="AS66" s="268" t="n"/>
      <c r="AT66" s="268" t="n"/>
      <c r="AU66" s="268" t="n"/>
      <c r="AV66" s="268" t="n"/>
      <c r="AW66" s="268" t="n"/>
      <c r="AX66" s="268" t="n"/>
      <c r="AY66" s="268" t="n"/>
      <c r="AZ66" s="268" t="n"/>
      <c r="BA66" s="268" t="n"/>
      <c r="BB66" s="268" t="n"/>
      <c r="BC66" s="268" t="n"/>
      <c r="BD66" s="268" t="n"/>
      <c r="BE66" s="268" t="n"/>
      <c r="BF66" s="268" t="n"/>
      <c r="BG66" s="268" t="n"/>
      <c r="BH66" s="268" t="n"/>
      <c r="BI66" s="268" t="n"/>
      <c r="BJ66" s="268" t="n"/>
      <c r="BK66" s="268" t="n"/>
      <c r="BL66" s="268" t="n"/>
      <c r="BM66" s="268" t="n"/>
      <c r="BN66" s="268" t="n"/>
      <c r="BO66" s="268" t="n"/>
      <c r="BP66" s="268" t="n"/>
      <c r="BQ66" s="268" t="n"/>
      <c r="BR66" s="268" t="n"/>
      <c r="BS66" s="268" t="n"/>
      <c r="BT66" s="268" t="n"/>
      <c r="BU66" s="268" t="n"/>
      <c r="BV66" s="268" t="n"/>
      <c r="BW66" s="268" t="n"/>
      <c r="BX66" s="268" t="n"/>
      <c r="BY66" s="268" t="n"/>
      <c r="BZ66" s="268" t="n"/>
      <c r="CA66" s="268" t="n"/>
      <c r="CB66" s="268" t="n"/>
      <c r="CC66" s="268" t="n"/>
      <c r="CD66" s="268" t="n"/>
      <c r="CE66" s="268" t="n"/>
      <c r="CF66" s="268" t="n"/>
      <c r="CG66" s="268" t="n"/>
      <c r="CH66" s="268" t="n"/>
      <c r="CI66" s="268" t="n"/>
      <c r="CJ66" s="268" t="n"/>
      <c r="CK66" s="268" t="n"/>
      <c r="CL66" s="268" t="n"/>
      <c r="CM66" s="268" t="n"/>
      <c r="CN66" s="268" t="n"/>
      <c r="CO66" s="268" t="n"/>
      <c r="CP66" s="268" t="n"/>
      <c r="CQ66" s="268" t="n"/>
      <c r="CR66" s="268" t="n"/>
      <c r="CS66" s="268" t="n"/>
      <c r="CT66" s="268" t="n"/>
      <c r="CU66" s="268" t="n"/>
      <c r="CV66" s="268" t="n"/>
      <c r="CW66" s="268" t="n"/>
      <c r="CX66" s="268" t="n"/>
      <c r="CY66" s="268" t="n"/>
    </row>
    <row r="67" hidden="1" outlineLevel="1" ht="12.75" customHeight="1" s="255">
      <c r="C67" s="312" t="n"/>
      <c r="D67" s="268" t="n"/>
      <c r="E67" s="268" t="n"/>
      <c r="F67" s="268" t="n"/>
      <c r="G67" s="268" t="n"/>
      <c r="H67" s="268" t="n"/>
      <c r="I67" s="268" t="n"/>
      <c r="J67" s="268" t="n"/>
      <c r="K67" s="268" t="n"/>
      <c r="L67" s="268" t="n"/>
      <c r="M67" s="268" t="n"/>
      <c r="N67" s="268" t="n"/>
      <c r="O67" s="268" t="n"/>
      <c r="P67" s="268" t="n"/>
      <c r="Q67" s="268" t="n"/>
      <c r="R67" s="268" t="n"/>
      <c r="S67" s="268" t="n"/>
      <c r="T67" s="268" t="n"/>
      <c r="U67" s="268" t="n"/>
      <c r="V67" s="268" t="n"/>
      <c r="W67" s="268" t="n"/>
      <c r="X67" s="268" t="n"/>
      <c r="Y67" s="268" t="n"/>
      <c r="Z67" s="268" t="n"/>
      <c r="AA67" s="268" t="n"/>
      <c r="AB67" s="268" t="n"/>
      <c r="AC67" s="268" t="n"/>
      <c r="AD67" s="268" t="n"/>
      <c r="AE67" s="268" t="n"/>
      <c r="AF67" s="268" t="n"/>
      <c r="AG67" s="268" t="n"/>
      <c r="AH67" s="268" t="n"/>
      <c r="AI67" s="268" t="n"/>
      <c r="AJ67" s="268" t="n"/>
      <c r="AK67" s="268" t="n"/>
      <c r="AL67" s="268" t="n"/>
      <c r="AM67" s="268" t="n"/>
      <c r="AN67" s="268" t="n"/>
      <c r="AO67" s="268" t="n"/>
      <c r="AP67" s="268" t="n"/>
      <c r="AQ67" s="268" t="n"/>
      <c r="AR67" s="268" t="n"/>
      <c r="AS67" s="268" t="n"/>
      <c r="AT67" s="268" t="n"/>
      <c r="AU67" s="268" t="n"/>
      <c r="AV67" s="268" t="n"/>
      <c r="AW67" s="268" t="n"/>
      <c r="AX67" s="268" t="n"/>
      <c r="AY67" s="268" t="n"/>
      <c r="AZ67" s="268" t="n"/>
      <c r="BA67" s="268" t="n"/>
      <c r="BB67" s="268" t="n"/>
      <c r="BC67" s="268" t="n"/>
      <c r="BD67" s="268" t="n"/>
      <c r="BE67" s="268" t="n"/>
      <c r="BF67" s="268" t="n"/>
      <c r="BG67" s="268" t="n"/>
      <c r="BH67" s="268" t="n"/>
      <c r="BI67" s="268" t="n"/>
      <c r="BJ67" s="268" t="n"/>
      <c r="BK67" s="268" t="n"/>
      <c r="BL67" s="268" t="n"/>
      <c r="BM67" s="268" t="n"/>
      <c r="BN67" s="268" t="n"/>
      <c r="BO67" s="268" t="n"/>
      <c r="BP67" s="268" t="n"/>
      <c r="BQ67" s="268" t="n"/>
      <c r="BR67" s="268" t="n"/>
      <c r="BS67" s="268" t="n"/>
      <c r="BT67" s="268" t="n"/>
      <c r="BU67" s="268" t="n"/>
      <c r="BV67" s="268" t="n"/>
      <c r="BW67" s="268" t="n"/>
      <c r="BX67" s="268" t="n"/>
      <c r="BY67" s="268" t="n"/>
      <c r="BZ67" s="268" t="n"/>
      <c r="CA67" s="268" t="n"/>
      <c r="CB67" s="268" t="n"/>
      <c r="CC67" s="268" t="n"/>
      <c r="CD67" s="268" t="n"/>
      <c r="CE67" s="268" t="n"/>
      <c r="CF67" s="268" t="n"/>
      <c r="CG67" s="268" t="n"/>
      <c r="CH67" s="268" t="n"/>
      <c r="CI67" s="268" t="n"/>
      <c r="CJ67" s="268" t="n"/>
      <c r="CK67" s="268" t="n"/>
      <c r="CL67" s="268" t="n"/>
      <c r="CM67" s="268" t="n"/>
      <c r="CN67" s="268" t="n"/>
      <c r="CO67" s="268" t="n"/>
      <c r="CP67" s="268" t="n"/>
      <c r="CQ67" s="268" t="n"/>
      <c r="CR67" s="268" t="n"/>
      <c r="CS67" s="268" t="n"/>
      <c r="CT67" s="268" t="n"/>
      <c r="CU67" s="268" t="n"/>
      <c r="CV67" s="268" t="n"/>
      <c r="CW67" s="268" t="n"/>
      <c r="CX67" s="268" t="n"/>
      <c r="CY67" s="268" t="n"/>
    </row>
    <row r="68" hidden="1" outlineLevel="1" ht="12.75" customHeight="1" s="255">
      <c r="C68" s="312" t="inlineStr">
        <is>
          <t>Cash and equivalents (inc. investment securities)</t>
        </is>
      </c>
      <c r="D68" s="268" t="n"/>
      <c r="E68" s="268" t="n"/>
      <c r="F68" s="268" t="n"/>
      <c r="G68" s="268" t="n"/>
      <c r="H68" s="268" t="n"/>
      <c r="I68" s="268" t="n"/>
      <c r="J68" s="268" t="n"/>
      <c r="K68" s="268" t="n"/>
      <c r="L68" s="268" t="n"/>
      <c r="M68" s="268" t="n"/>
      <c r="N68" s="268" t="n"/>
      <c r="O68" s="268" t="n"/>
      <c r="P68" s="268" t="n"/>
      <c r="Q68" s="268" t="n"/>
      <c r="R68" s="268" t="n"/>
      <c r="S68" s="268" t="n"/>
      <c r="T68" s="268" t="n"/>
      <c r="U68" s="268" t="n"/>
      <c r="V68" s="268" t="n"/>
      <c r="W68" s="268" t="n"/>
      <c r="X68" s="268" t="n"/>
      <c r="Y68" s="268" t="n"/>
      <c r="Z68" s="268" t="n"/>
      <c r="AA68" s="268" t="n"/>
      <c r="AB68" s="268" t="n"/>
      <c r="AC68" s="268" t="n"/>
      <c r="AD68" s="268" t="n"/>
      <c r="AE68" s="268" t="n"/>
      <c r="AF68" s="268" t="n"/>
      <c r="AG68" s="268" t="n"/>
      <c r="AH68" s="268" t="n"/>
      <c r="AI68" s="268" t="n"/>
      <c r="AJ68" s="268" t="n"/>
      <c r="AK68" s="268" t="n"/>
      <c r="AL68" s="268" t="n"/>
      <c r="AM68" s="268" t="n"/>
      <c r="AN68" s="268" t="n"/>
      <c r="AO68" s="268" t="n"/>
      <c r="AP68" s="268" t="n"/>
      <c r="AQ68" s="268" t="n"/>
      <c r="AR68" s="268" t="n"/>
      <c r="AS68" s="268" t="n"/>
      <c r="AT68" s="268" t="n"/>
      <c r="AU68" s="268" t="n"/>
      <c r="AV68" s="268" t="n"/>
      <c r="AW68" s="268" t="n"/>
      <c r="AX68" s="268" t="n"/>
      <c r="AY68" s="268" t="n"/>
      <c r="AZ68" s="268" t="n"/>
      <c r="BA68" s="268" t="n"/>
      <c r="BB68" s="268" t="n"/>
      <c r="BC68" s="268" t="n"/>
      <c r="BD68" s="268" t="n"/>
      <c r="BE68" s="268" t="n"/>
      <c r="BF68" s="268" t="n"/>
      <c r="BG68" s="268" t="n"/>
      <c r="BH68" s="268" t="n"/>
      <c r="BI68" s="268" t="n"/>
      <c r="BJ68" s="268" t="n"/>
      <c r="BK68" s="268" t="n"/>
      <c r="BL68" s="268" t="n"/>
      <c r="BM68" s="268" t="n"/>
      <c r="BN68" s="268" t="n"/>
      <c r="BO68" s="268" t="n"/>
      <c r="BP68" s="268" t="n"/>
      <c r="BQ68" s="268" t="n"/>
      <c r="BR68" s="268" t="n"/>
      <c r="BS68" s="268" t="n"/>
      <c r="BT68" s="268" t="n"/>
      <c r="BU68" s="268" t="n"/>
      <c r="BV68" s="268" t="n"/>
      <c r="BW68" s="268" t="n"/>
      <c r="BX68" s="268" t="n"/>
      <c r="BY68" s="268" t="n"/>
      <c r="BZ68" s="268" t="n"/>
      <c r="CA68" s="268" t="n"/>
      <c r="CB68" s="268" t="n"/>
      <c r="CC68" s="268" t="n"/>
      <c r="CD68" s="268" t="n"/>
      <c r="CE68" s="268" t="n"/>
      <c r="CF68" s="268" t="n"/>
      <c r="CG68" s="268" t="n"/>
      <c r="CH68" s="268" t="n"/>
      <c r="CI68" s="268" t="n"/>
      <c r="CJ68" s="268" t="n"/>
      <c r="CK68" s="268" t="n"/>
      <c r="CL68" s="268" t="n"/>
      <c r="CM68" s="268" t="n"/>
      <c r="CN68" s="268" t="n"/>
      <c r="CO68" s="268" t="n"/>
      <c r="CP68" s="268" t="n"/>
      <c r="CQ68" s="268" t="n"/>
      <c r="CR68" s="268" t="n"/>
      <c r="CS68" s="268" t="n"/>
      <c r="CT68" s="268" t="n"/>
      <c r="CU68" s="268" t="n"/>
      <c r="CV68" s="268" t="n"/>
      <c r="CW68" s="268" t="n"/>
      <c r="CX68" s="268" t="n"/>
      <c r="CY68" s="268" t="n"/>
    </row>
    <row r="69" hidden="1" outlineLevel="1" ht="12.75" customHeight="1" s="255">
      <c r="C69" s="312" t="inlineStr">
        <is>
          <t>Interest on cash</t>
        </is>
      </c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  <c r="P69" s="268" t="n"/>
      <c r="Q69" s="268" t="n"/>
      <c r="R69" s="268" t="n"/>
      <c r="S69" s="268" t="n"/>
      <c r="T69" s="268" t="n"/>
      <c r="U69" s="268" t="n"/>
      <c r="V69" s="268" t="n"/>
      <c r="W69" s="268" t="n"/>
      <c r="X69" s="268" t="n"/>
      <c r="Y69" s="268" t="n"/>
      <c r="Z69" s="268" t="n"/>
      <c r="AA69" s="268" t="n"/>
      <c r="AB69" s="268" t="n"/>
      <c r="AC69" s="268" t="n"/>
      <c r="AD69" s="268" t="n"/>
      <c r="AE69" s="268" t="n"/>
      <c r="AF69" s="268" t="n"/>
      <c r="AG69" s="268" t="n"/>
      <c r="AH69" s="268" t="n"/>
      <c r="AI69" s="268" t="n"/>
      <c r="AJ69" s="268" t="n"/>
      <c r="AK69" s="268" t="n"/>
      <c r="AL69" s="268" t="n"/>
      <c r="AM69" s="268" t="n"/>
      <c r="AN69" s="268" t="n"/>
      <c r="AO69" s="268" t="n"/>
      <c r="AP69" s="268" t="n"/>
      <c r="AQ69" s="268" t="n"/>
      <c r="AR69" s="268" t="n"/>
      <c r="AS69" s="268" t="n"/>
      <c r="AT69" s="268" t="n"/>
      <c r="AU69" s="268" t="n"/>
      <c r="AV69" s="268" t="n"/>
      <c r="AW69" s="268" t="n"/>
      <c r="AX69" s="268" t="n"/>
      <c r="AY69" s="268" t="n"/>
      <c r="AZ69" s="268" t="n"/>
      <c r="BA69" s="268" t="n"/>
      <c r="BB69" s="268" t="n"/>
      <c r="BC69" s="268" t="n"/>
      <c r="BD69" s="268" t="n"/>
      <c r="BE69" s="268" t="n"/>
      <c r="BF69" s="268" t="n"/>
      <c r="BG69" s="268" t="n"/>
      <c r="BH69" s="268" t="n"/>
      <c r="BI69" s="268" t="n"/>
      <c r="BJ69" s="268" t="n"/>
      <c r="BK69" s="268" t="n"/>
      <c r="BL69" s="268" t="n"/>
      <c r="BM69" s="268" t="n"/>
      <c r="BN69" s="268" t="n"/>
      <c r="BO69" s="268" t="n"/>
      <c r="BP69" s="268" t="n"/>
      <c r="BQ69" s="268" t="n"/>
      <c r="BR69" s="268" t="n"/>
      <c r="BS69" s="268" t="n"/>
      <c r="BT69" s="268" t="n"/>
      <c r="BU69" s="268" t="n"/>
      <c r="BV69" s="268" t="n"/>
      <c r="BW69" s="268" t="n"/>
      <c r="BX69" s="268" t="n"/>
      <c r="BY69" s="268" t="n"/>
      <c r="BZ69" s="268" t="n"/>
      <c r="CA69" s="268" t="n"/>
      <c r="CB69" s="268" t="n"/>
      <c r="CC69" s="268" t="n"/>
      <c r="CD69" s="268" t="n"/>
      <c r="CE69" s="268" t="n"/>
      <c r="CF69" s="268" t="n"/>
      <c r="CG69" s="268" t="n"/>
      <c r="CH69" s="268" t="n"/>
      <c r="CI69" s="268" t="n"/>
      <c r="CJ69" s="268" t="n"/>
      <c r="CK69" s="268" t="n"/>
      <c r="CL69" s="268" t="n"/>
      <c r="CM69" s="268" t="n"/>
      <c r="CN69" s="268" t="n"/>
      <c r="CO69" s="268" t="n"/>
      <c r="CP69" s="268" t="n"/>
      <c r="CQ69" s="268" t="n"/>
      <c r="CR69" s="268" t="n"/>
      <c r="CS69" s="268" t="n"/>
      <c r="CT69" s="268" t="n"/>
      <c r="CU69" s="268" t="n"/>
      <c r="CV69" s="268" t="n"/>
      <c r="CW69" s="268" t="n"/>
      <c r="CX69" s="268" t="n"/>
      <c r="CY69" s="268" t="n"/>
    </row>
    <row r="70" hidden="1" outlineLevel="1" ht="12.75" customHeight="1" s="255">
      <c r="C70" s="312" t="inlineStr">
        <is>
          <t>Average interest rate</t>
        </is>
      </c>
      <c r="D70" s="268" t="n"/>
      <c r="E70" s="268" t="n"/>
      <c r="F70" s="268" t="n"/>
      <c r="G70" s="268" t="n"/>
      <c r="H70" s="268" t="n"/>
      <c r="I70" s="268" t="n"/>
      <c r="J70" s="268" t="n"/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  <c r="W70" s="268" t="n"/>
      <c r="X70" s="268" t="n"/>
      <c r="Y70" s="268" t="n"/>
      <c r="Z70" s="268" t="n"/>
      <c r="AA70" s="268" t="n"/>
      <c r="AB70" s="268" t="n"/>
      <c r="AC70" s="268" t="n"/>
      <c r="AD70" s="268" t="n"/>
      <c r="AE70" s="268" t="n"/>
      <c r="AF70" s="268" t="n"/>
      <c r="AG70" s="268" t="n"/>
      <c r="AH70" s="268" t="n"/>
      <c r="AI70" s="268" t="n"/>
      <c r="AJ70" s="268" t="n"/>
      <c r="AK70" s="268" t="n"/>
      <c r="AL70" s="268" t="n"/>
      <c r="AM70" s="268" t="n"/>
      <c r="AN70" s="268" t="n"/>
      <c r="AO70" s="268" t="n"/>
      <c r="AP70" s="268" t="n"/>
      <c r="AQ70" s="268" t="n"/>
      <c r="AR70" s="268" t="n"/>
      <c r="AS70" s="268" t="n"/>
      <c r="AT70" s="268" t="n"/>
      <c r="AU70" s="268" t="n"/>
      <c r="AV70" s="268" t="n"/>
      <c r="AW70" s="268" t="n"/>
      <c r="AX70" s="268" t="n"/>
      <c r="AY70" s="268" t="n"/>
      <c r="AZ70" s="268" t="n"/>
      <c r="BA70" s="268" t="n"/>
      <c r="BB70" s="268" t="n"/>
      <c r="BC70" s="268" t="n"/>
      <c r="BD70" s="268" t="n"/>
      <c r="BE70" s="268" t="n"/>
      <c r="BF70" s="268" t="n"/>
      <c r="BG70" s="268" t="n"/>
      <c r="BH70" s="268" t="n"/>
      <c r="BI70" s="268" t="n"/>
      <c r="BJ70" s="268" t="n"/>
      <c r="BK70" s="268" t="n"/>
      <c r="BL70" s="268" t="n"/>
      <c r="BM70" s="268" t="n"/>
      <c r="BN70" s="268" t="n"/>
      <c r="BO70" s="268" t="n"/>
      <c r="BP70" s="268" t="n"/>
      <c r="BQ70" s="268" t="n"/>
      <c r="BR70" s="268" t="n"/>
      <c r="BS70" s="268" t="n"/>
      <c r="BT70" s="268" t="n"/>
      <c r="BU70" s="268" t="n"/>
      <c r="BV70" s="268" t="n"/>
      <c r="BW70" s="268" t="n"/>
      <c r="BX70" s="268" t="n"/>
      <c r="BY70" s="268" t="n"/>
      <c r="BZ70" s="268" t="n"/>
      <c r="CA70" s="268" t="n"/>
      <c r="CB70" s="268" t="n"/>
      <c r="CC70" s="268" t="n"/>
      <c r="CD70" s="268" t="n"/>
      <c r="CE70" s="268" t="n"/>
      <c r="CF70" s="268" t="n"/>
      <c r="CG70" s="268" t="n"/>
      <c r="CH70" s="268" t="n"/>
      <c r="CI70" s="268" t="n"/>
      <c r="CJ70" s="268" t="n"/>
      <c r="CK70" s="268" t="n"/>
      <c r="CL70" s="268" t="n"/>
      <c r="CM70" s="268" t="n"/>
      <c r="CN70" s="268" t="n"/>
      <c r="CO70" s="268" t="n"/>
      <c r="CP70" s="268" t="n"/>
      <c r="CQ70" s="268" t="n"/>
      <c r="CR70" s="268" t="n"/>
      <c r="CS70" s="268" t="n"/>
      <c r="CT70" s="268" t="n"/>
      <c r="CU70" s="268" t="n"/>
      <c r="CV70" s="268" t="n"/>
      <c r="CW70" s="268" t="n"/>
      <c r="CX70" s="268" t="n"/>
      <c r="CY70" s="268" t="n"/>
    </row>
    <row r="71" hidden="1" outlineLevel="1" ht="12.75" customHeight="1" s="255">
      <c r="C71" s="312" t="inlineStr">
        <is>
          <t>% CDI</t>
        </is>
      </c>
      <c r="D71" s="268" t="n"/>
      <c r="E71" s="268" t="n"/>
      <c r="F71" s="268" t="n"/>
      <c r="G71" s="268" t="n"/>
      <c r="H71" s="268" t="n"/>
      <c r="I71" s="268" t="n"/>
      <c r="J71" s="268" t="n"/>
      <c r="K71" s="268" t="n"/>
      <c r="L71" s="268" t="n"/>
      <c r="M71" s="268" t="n"/>
      <c r="N71" s="268" t="n"/>
      <c r="O71" s="268" t="n"/>
      <c r="P71" s="268" t="n"/>
      <c r="Q71" s="268" t="n"/>
      <c r="R71" s="268" t="n"/>
      <c r="S71" s="268" t="n"/>
      <c r="T71" s="268" t="n"/>
      <c r="U71" s="268" t="n"/>
      <c r="V71" s="268" t="n"/>
      <c r="W71" s="268" t="n"/>
      <c r="X71" s="268" t="n"/>
      <c r="Y71" s="268" t="n"/>
      <c r="Z71" s="268" t="n"/>
      <c r="AA71" s="268" t="n"/>
      <c r="AB71" s="268" t="n"/>
      <c r="AC71" s="268" t="n"/>
      <c r="AD71" s="268" t="n"/>
      <c r="AE71" s="268" t="n"/>
      <c r="AF71" s="268" t="n"/>
      <c r="AG71" s="268" t="n"/>
      <c r="AH71" s="268" t="n"/>
      <c r="AI71" s="268" t="n"/>
      <c r="AJ71" s="268" t="n"/>
      <c r="AK71" s="268" t="n"/>
      <c r="AL71" s="268" t="n"/>
      <c r="AM71" s="268" t="n"/>
      <c r="AN71" s="268" t="n"/>
      <c r="AO71" s="268" t="n"/>
      <c r="AP71" s="268" t="n"/>
      <c r="AQ71" s="268" t="n"/>
      <c r="AR71" s="268" t="n"/>
      <c r="AS71" s="268" t="n"/>
      <c r="AT71" s="268" t="n"/>
      <c r="AU71" s="268" t="n"/>
      <c r="AV71" s="268" t="n"/>
      <c r="AW71" s="268" t="n"/>
      <c r="AX71" s="268" t="n"/>
      <c r="AY71" s="268" t="n"/>
      <c r="AZ71" s="268" t="n"/>
      <c r="BA71" s="268" t="n"/>
      <c r="BB71" s="268" t="n"/>
      <c r="BC71" s="268" t="n"/>
      <c r="BD71" s="268" t="n"/>
      <c r="BE71" s="268" t="n"/>
      <c r="BF71" s="268" t="n"/>
      <c r="BG71" s="268" t="n"/>
      <c r="BH71" s="268" t="n"/>
      <c r="BI71" s="268" t="n"/>
      <c r="BJ71" s="268" t="n"/>
      <c r="BK71" s="268" t="n"/>
      <c r="BL71" s="268" t="n"/>
      <c r="BM71" s="268" t="n"/>
      <c r="BN71" s="268" t="n"/>
      <c r="BO71" s="268" t="n"/>
      <c r="BP71" s="268" t="n"/>
      <c r="BQ71" s="268" t="n"/>
      <c r="BR71" s="268" t="n"/>
      <c r="BS71" s="268" t="n"/>
      <c r="BT71" s="268" t="n"/>
      <c r="BU71" s="268" t="n"/>
      <c r="BV71" s="268" t="n"/>
      <c r="BW71" s="268" t="n"/>
      <c r="BX71" s="268" t="n"/>
      <c r="BY71" s="268" t="n"/>
      <c r="BZ71" s="268" t="n"/>
      <c r="CA71" s="268" t="n"/>
      <c r="CB71" s="268" t="n"/>
      <c r="CC71" s="268" t="n"/>
      <c r="CD71" s="268" t="n"/>
      <c r="CE71" s="268" t="n"/>
      <c r="CF71" s="268" t="n"/>
      <c r="CG71" s="268" t="n"/>
      <c r="CH71" s="268" t="n"/>
      <c r="CI71" s="268" t="n"/>
      <c r="CJ71" s="268" t="n"/>
      <c r="CK71" s="268" t="n"/>
      <c r="CL71" s="268" t="n"/>
      <c r="CM71" s="268" t="n"/>
      <c r="CN71" s="268" t="n"/>
      <c r="CO71" s="268" t="n"/>
      <c r="CP71" s="268" t="n"/>
      <c r="CQ71" s="268" t="n"/>
      <c r="CR71" s="268" t="n"/>
      <c r="CS71" s="268" t="n"/>
      <c r="CT71" s="268" t="n"/>
      <c r="CU71" s="268" t="n"/>
      <c r="CV71" s="268" t="n"/>
      <c r="CW71" s="268" t="n"/>
      <c r="CX71" s="268" t="n"/>
      <c r="CY71" s="268" t="n"/>
    </row>
    <row r="72" hidden="1" outlineLevel="1" ht="12.75" customHeight="1" s="255">
      <c r="C72" s="312" t="n"/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268" t="n"/>
      <c r="M72" s="268" t="n"/>
      <c r="N72" s="268" t="n"/>
      <c r="O72" s="268" t="n"/>
      <c r="P72" s="268" t="n"/>
      <c r="Q72" s="268" t="n"/>
      <c r="R72" s="268" t="n"/>
      <c r="S72" s="268" t="n"/>
      <c r="T72" s="268" t="n"/>
      <c r="U72" s="268" t="n"/>
      <c r="V72" s="268" t="n"/>
      <c r="W72" s="268" t="n"/>
      <c r="X72" s="268" t="n"/>
      <c r="Y72" s="268" t="n"/>
      <c r="Z72" s="268" t="n"/>
      <c r="AA72" s="268" t="n"/>
      <c r="AB72" s="268" t="n"/>
      <c r="AC72" s="268" t="n"/>
      <c r="AD72" s="268" t="n"/>
      <c r="AE72" s="268" t="n"/>
      <c r="AF72" s="268" t="n"/>
      <c r="AG72" s="268" t="n"/>
      <c r="AH72" s="268" t="n"/>
      <c r="AI72" s="268" t="n"/>
      <c r="AJ72" s="268" t="n"/>
      <c r="AK72" s="268" t="n"/>
      <c r="AL72" s="268" t="n"/>
      <c r="AM72" s="268" t="n"/>
      <c r="AN72" s="268" t="n"/>
      <c r="AO72" s="268" t="n"/>
      <c r="AP72" s="268" t="n"/>
      <c r="AQ72" s="268" t="n"/>
      <c r="AR72" s="268" t="n"/>
      <c r="AS72" s="268" t="n"/>
      <c r="AT72" s="268" t="n"/>
      <c r="AU72" s="268" t="n"/>
      <c r="AV72" s="268" t="n"/>
      <c r="AW72" s="268" t="n"/>
      <c r="AX72" s="268" t="n"/>
      <c r="AY72" s="268" t="n"/>
      <c r="AZ72" s="268" t="n"/>
      <c r="BA72" s="268" t="n"/>
      <c r="BB72" s="268" t="n"/>
      <c r="BC72" s="268" t="n"/>
      <c r="BD72" s="268" t="n"/>
      <c r="BE72" s="268" t="n"/>
      <c r="BF72" s="268" t="n"/>
      <c r="BG72" s="268" t="n"/>
      <c r="BH72" s="268" t="n"/>
      <c r="BI72" s="268" t="n"/>
      <c r="BJ72" s="268" t="n"/>
      <c r="BK72" s="268" t="n"/>
      <c r="BL72" s="268" t="n"/>
      <c r="BM72" s="268" t="n"/>
      <c r="BN72" s="268" t="n"/>
      <c r="BO72" s="268" t="n"/>
      <c r="BP72" s="268" t="n"/>
      <c r="BQ72" s="268" t="n"/>
      <c r="BR72" s="268" t="n"/>
      <c r="BS72" s="268" t="n"/>
      <c r="BT72" s="268" t="n"/>
      <c r="BU72" s="268" t="n"/>
      <c r="BV72" s="268" t="n"/>
      <c r="BW72" s="268" t="n"/>
      <c r="BX72" s="268" t="n"/>
      <c r="BY72" s="268" t="n"/>
      <c r="BZ72" s="268" t="n"/>
      <c r="CA72" s="268" t="n"/>
      <c r="CB72" s="268" t="n"/>
      <c r="CC72" s="268" t="n"/>
      <c r="CD72" s="268" t="n"/>
      <c r="CE72" s="268" t="n"/>
      <c r="CF72" s="268" t="n"/>
      <c r="CG72" s="268" t="n"/>
      <c r="CH72" s="268" t="n"/>
      <c r="CI72" s="268" t="n"/>
      <c r="CJ72" s="268" t="n"/>
      <c r="CK72" s="268" t="n"/>
      <c r="CL72" s="268" t="n"/>
      <c r="CM72" s="268" t="n"/>
      <c r="CN72" s="268" t="n"/>
      <c r="CO72" s="268" t="n"/>
      <c r="CP72" s="268" t="n"/>
      <c r="CQ72" s="268" t="n"/>
      <c r="CR72" s="268" t="n"/>
      <c r="CS72" s="268" t="n"/>
      <c r="CT72" s="268" t="n"/>
      <c r="CU72" s="268" t="n"/>
      <c r="CV72" s="268" t="n"/>
      <c r="CW72" s="268" t="n"/>
      <c r="CX72" s="268" t="n"/>
      <c r="CY72" s="268" t="n"/>
    </row>
    <row r="73" hidden="1" outlineLevel="1" ht="12.75" customHeight="1" s="255">
      <c r="C73" s="312" t="inlineStr">
        <is>
          <t>Current portion of long-term debt</t>
        </is>
      </c>
      <c r="D73" s="268" t="n"/>
      <c r="E73" s="268" t="n"/>
      <c r="F73" s="268" t="n"/>
      <c r="G73" s="268" t="n"/>
      <c r="H73" s="268" t="n"/>
      <c r="I73" s="268" t="n"/>
      <c r="J73" s="268" t="n"/>
      <c r="K73" s="268" t="n"/>
      <c r="L73" s="268" t="n"/>
      <c r="M73" s="268" t="n"/>
      <c r="N73" s="268" t="n"/>
      <c r="O73" s="268" t="n"/>
      <c r="P73" s="268" t="n"/>
      <c r="Q73" s="268" t="n"/>
      <c r="R73" s="268" t="n"/>
      <c r="S73" s="268" t="n"/>
      <c r="T73" s="268" t="n"/>
      <c r="U73" s="268" t="n"/>
      <c r="V73" s="268" t="n"/>
      <c r="W73" s="268" t="n"/>
      <c r="X73" s="268" t="n"/>
      <c r="Y73" s="268" t="n"/>
      <c r="Z73" s="268" t="n"/>
      <c r="AA73" s="268" t="n"/>
      <c r="AB73" s="268" t="n"/>
      <c r="AC73" s="268" t="n"/>
      <c r="AD73" s="268" t="n"/>
      <c r="AE73" s="268" t="n"/>
      <c r="AF73" s="268" t="n"/>
      <c r="AG73" s="268" t="n"/>
      <c r="AH73" s="268" t="n"/>
      <c r="AI73" s="268" t="n"/>
      <c r="AJ73" s="268" t="n"/>
      <c r="AK73" s="268" t="n"/>
      <c r="AL73" s="268" t="n"/>
      <c r="AM73" s="268" t="n"/>
      <c r="AN73" s="268" t="n"/>
      <c r="AO73" s="268" t="n"/>
      <c r="AP73" s="268" t="n"/>
      <c r="AQ73" s="268" t="n"/>
      <c r="AR73" s="268" t="n"/>
      <c r="AS73" s="268" t="n"/>
      <c r="AT73" s="268" t="n"/>
      <c r="AU73" s="268" t="n"/>
      <c r="AV73" s="268" t="n"/>
      <c r="AW73" s="268" t="n"/>
      <c r="AX73" s="268" t="n"/>
      <c r="AY73" s="268" t="n"/>
      <c r="AZ73" s="268" t="n"/>
      <c r="BA73" s="268" t="n"/>
      <c r="BB73" s="268" t="n"/>
      <c r="BC73" s="268" t="n"/>
      <c r="BD73" s="268" t="n"/>
      <c r="BE73" s="268" t="n"/>
      <c r="BF73" s="268" t="n"/>
      <c r="BG73" s="268" t="n"/>
      <c r="BH73" s="268" t="n"/>
      <c r="BI73" s="268" t="n"/>
      <c r="BJ73" s="268" t="n"/>
      <c r="BK73" s="268" t="n"/>
      <c r="BL73" s="268" t="n"/>
      <c r="BM73" s="268" t="n"/>
      <c r="BN73" s="268" t="n"/>
      <c r="BO73" s="268" t="n"/>
      <c r="BP73" s="268" t="n"/>
      <c r="BQ73" s="268" t="n"/>
      <c r="BR73" s="268" t="n"/>
      <c r="BS73" s="268" t="n"/>
      <c r="BT73" s="268" t="n"/>
      <c r="BU73" s="268" t="n"/>
      <c r="BV73" s="268" t="n"/>
      <c r="BW73" s="268" t="n"/>
      <c r="BX73" s="268" t="n"/>
      <c r="BY73" s="268" t="n"/>
      <c r="BZ73" s="268" t="n"/>
      <c r="CA73" s="268" t="n"/>
      <c r="CB73" s="268" t="n"/>
      <c r="CC73" s="268" t="n"/>
      <c r="CD73" s="268" t="n"/>
      <c r="CE73" s="268" t="n"/>
      <c r="CF73" s="268" t="n"/>
      <c r="CG73" s="268" t="n"/>
      <c r="CH73" s="268" t="n"/>
      <c r="CI73" s="268" t="n"/>
      <c r="CJ73" s="268" t="n"/>
      <c r="CK73" s="268" t="n"/>
      <c r="CL73" s="268" t="n"/>
      <c r="CM73" s="268" t="n"/>
      <c r="CN73" s="268" t="n"/>
      <c r="CO73" s="268" t="n"/>
      <c r="CP73" s="268" t="n"/>
      <c r="CQ73" s="268" t="n"/>
      <c r="CR73" s="268" t="n"/>
      <c r="CS73" s="268" t="n"/>
      <c r="CT73" s="268" t="n"/>
      <c r="CU73" s="268" t="n"/>
      <c r="CV73" s="268" t="n"/>
      <c r="CW73" s="268" t="n"/>
      <c r="CX73" s="268" t="n"/>
      <c r="CY73" s="268" t="n"/>
    </row>
    <row r="74" hidden="1" outlineLevel="1" ht="12.75" customHeight="1" s="255">
      <c r="C74" s="312" t="inlineStr">
        <is>
          <t>Short term debt (Revolving credit facility)</t>
        </is>
      </c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  <c r="W74" s="268" t="n"/>
      <c r="X74" s="268" t="n"/>
      <c r="Y74" s="268" t="n"/>
      <c r="Z74" s="268" t="n"/>
      <c r="AA74" s="268" t="n"/>
      <c r="AB74" s="268" t="n"/>
      <c r="AC74" s="268" t="n"/>
      <c r="AD74" s="268" t="n"/>
      <c r="AE74" s="268" t="n"/>
      <c r="AF74" s="268" t="n"/>
      <c r="AG74" s="268" t="n"/>
      <c r="AH74" s="268" t="n"/>
      <c r="AI74" s="268" t="n"/>
      <c r="AJ74" s="268" t="n"/>
      <c r="AK74" s="268" t="n"/>
      <c r="AL74" s="268" t="n"/>
      <c r="AM74" s="268" t="n"/>
      <c r="AN74" s="268" t="n"/>
      <c r="AO74" s="268" t="n"/>
      <c r="AP74" s="268" t="n"/>
      <c r="AQ74" s="268" t="n"/>
      <c r="AR74" s="268" t="n"/>
      <c r="AS74" s="268" t="n"/>
      <c r="AT74" s="268" t="n"/>
      <c r="AU74" s="268" t="n"/>
      <c r="AV74" s="268" t="n"/>
      <c r="AW74" s="268" t="n"/>
      <c r="AX74" s="268" t="n"/>
      <c r="AY74" s="268" t="n"/>
      <c r="AZ74" s="268" t="n"/>
      <c r="BA74" s="268" t="n"/>
      <c r="BB74" s="268" t="n"/>
      <c r="BC74" s="268" t="n"/>
      <c r="BD74" s="268" t="n"/>
      <c r="BE74" s="268" t="n"/>
      <c r="BF74" s="268" t="n"/>
      <c r="BG74" s="268" t="n"/>
      <c r="BH74" s="268" t="n"/>
      <c r="BI74" s="268" t="n"/>
      <c r="BJ74" s="268" t="n"/>
      <c r="BK74" s="268" t="n"/>
      <c r="BL74" s="268" t="n"/>
      <c r="BM74" s="268" t="n"/>
      <c r="BN74" s="268" t="n"/>
      <c r="BO74" s="268" t="n"/>
      <c r="BP74" s="268" t="n"/>
      <c r="BQ74" s="268" t="n"/>
      <c r="BR74" s="268" t="n"/>
      <c r="BS74" s="268" t="n"/>
      <c r="BT74" s="268" t="n"/>
      <c r="BU74" s="268" t="n"/>
      <c r="BV74" s="268" t="n"/>
      <c r="BW74" s="268" t="n"/>
      <c r="BX74" s="268" t="n"/>
      <c r="BY74" s="268" t="n"/>
      <c r="BZ74" s="268" t="n"/>
      <c r="CA74" s="268" t="n"/>
      <c r="CB74" s="268" t="n"/>
      <c r="CC74" s="268" t="n"/>
      <c r="CD74" s="268" t="n"/>
      <c r="CE74" s="268" t="n"/>
      <c r="CF74" s="268" t="n"/>
      <c r="CG74" s="268" t="n"/>
      <c r="CH74" s="268" t="n"/>
      <c r="CI74" s="268" t="n"/>
      <c r="CJ74" s="268" t="n"/>
      <c r="CK74" s="268" t="n"/>
      <c r="CL74" s="268" t="n"/>
      <c r="CM74" s="268" t="n"/>
      <c r="CN74" s="268" t="n"/>
      <c r="CO74" s="268" t="n"/>
      <c r="CP74" s="268" t="n"/>
      <c r="CQ74" s="268" t="n"/>
      <c r="CR74" s="268" t="n"/>
      <c r="CS74" s="268" t="n"/>
      <c r="CT74" s="268" t="n"/>
      <c r="CU74" s="268" t="n"/>
      <c r="CV74" s="268" t="n"/>
      <c r="CW74" s="268" t="n"/>
      <c r="CX74" s="268" t="n"/>
      <c r="CY74" s="268" t="n"/>
    </row>
    <row r="75" hidden="1" outlineLevel="1" ht="12.75" customHeight="1" s="255">
      <c r="C75" s="312" t="inlineStr">
        <is>
          <t>Long term debt</t>
        </is>
      </c>
      <c r="D75" s="268" t="n"/>
      <c r="E75" s="268" t="n"/>
      <c r="F75" s="268" t="n"/>
      <c r="G75" s="268" t="n"/>
      <c r="H75" s="268" t="n"/>
      <c r="I75" s="268" t="n"/>
      <c r="J75" s="268" t="n"/>
      <c r="K75" s="268" t="n"/>
      <c r="L75" s="268" t="n"/>
      <c r="M75" s="268" t="n"/>
      <c r="N75" s="268" t="n"/>
      <c r="O75" s="268" t="n"/>
      <c r="P75" s="268" t="n"/>
      <c r="Q75" s="268" t="n"/>
      <c r="R75" s="268" t="n"/>
      <c r="S75" s="268" t="n"/>
      <c r="T75" s="268" t="n"/>
      <c r="U75" s="268" t="n"/>
      <c r="V75" s="268" t="n"/>
      <c r="W75" s="268" t="n"/>
      <c r="X75" s="268" t="n"/>
      <c r="Y75" s="268" t="n"/>
      <c r="Z75" s="268" t="n"/>
      <c r="AA75" s="268" t="n"/>
      <c r="AB75" s="268" t="n"/>
      <c r="AC75" s="268" t="n"/>
      <c r="AD75" s="268" t="n"/>
      <c r="AE75" s="268" t="n"/>
      <c r="AF75" s="268" t="n"/>
      <c r="AG75" s="268" t="n"/>
      <c r="AH75" s="268" t="n"/>
      <c r="AI75" s="268" t="n"/>
      <c r="AJ75" s="268" t="n"/>
      <c r="AK75" s="268" t="n"/>
      <c r="AL75" s="268" t="n"/>
      <c r="AM75" s="268" t="n"/>
      <c r="AN75" s="268" t="n"/>
      <c r="AO75" s="268" t="n"/>
      <c r="AP75" s="268" t="n"/>
      <c r="AQ75" s="268" t="n"/>
      <c r="AR75" s="268" t="n"/>
      <c r="AS75" s="268" t="n"/>
      <c r="AT75" s="268" t="n"/>
      <c r="AU75" s="268" t="n"/>
      <c r="AV75" s="268" t="n"/>
      <c r="AW75" s="268" t="n"/>
      <c r="AX75" s="268" t="n"/>
      <c r="AY75" s="268" t="n"/>
      <c r="AZ75" s="268" t="n"/>
      <c r="BA75" s="268" t="n"/>
      <c r="BB75" s="268" t="n"/>
      <c r="BC75" s="268" t="n"/>
      <c r="BD75" s="268" t="n"/>
      <c r="BE75" s="268" t="n"/>
      <c r="BF75" s="268" t="n"/>
      <c r="BG75" s="268" t="n"/>
      <c r="BH75" s="268" t="n"/>
      <c r="BI75" s="268" t="n"/>
      <c r="BJ75" s="268" t="n"/>
      <c r="BK75" s="268" t="n"/>
      <c r="BL75" s="268" t="n"/>
      <c r="BM75" s="268" t="n"/>
      <c r="BN75" s="268" t="n"/>
      <c r="BO75" s="268" t="n"/>
      <c r="BP75" s="268" t="n"/>
      <c r="BQ75" s="268" t="n"/>
      <c r="BR75" s="268" t="n"/>
      <c r="BS75" s="268" t="n"/>
      <c r="BT75" s="268" t="n"/>
      <c r="BU75" s="268" t="n"/>
      <c r="BV75" s="268" t="n"/>
      <c r="BW75" s="268" t="n"/>
      <c r="BX75" s="268" t="n"/>
      <c r="BY75" s="268" t="n"/>
      <c r="BZ75" s="268" t="n"/>
      <c r="CA75" s="268" t="n"/>
      <c r="CB75" s="268" t="n"/>
      <c r="CC75" s="268" t="n"/>
      <c r="CD75" s="268" t="n"/>
      <c r="CE75" s="268" t="n"/>
      <c r="CF75" s="268" t="n"/>
      <c r="CG75" s="268" t="n"/>
      <c r="CH75" s="268" t="n"/>
      <c r="CI75" s="268" t="n"/>
      <c r="CJ75" s="268" t="n"/>
      <c r="CK75" s="268" t="n"/>
      <c r="CL75" s="268" t="n"/>
      <c r="CM75" s="268" t="n"/>
      <c r="CN75" s="268" t="n"/>
      <c r="CO75" s="268" t="n"/>
      <c r="CP75" s="268" t="n"/>
      <c r="CQ75" s="268" t="n"/>
      <c r="CR75" s="268" t="n"/>
      <c r="CS75" s="268" t="n"/>
      <c r="CT75" s="268" t="n"/>
      <c r="CU75" s="268" t="n"/>
      <c r="CV75" s="268" t="n"/>
      <c r="CW75" s="268" t="n"/>
      <c r="CX75" s="268" t="n"/>
      <c r="CY75" s="268" t="n"/>
    </row>
    <row r="76" hidden="1" outlineLevel="1" ht="12.75" customHeight="1" s="255">
      <c r="C76" s="312" t="inlineStr">
        <is>
          <t>Convertible debt</t>
        </is>
      </c>
      <c r="D76" s="268" t="n"/>
      <c r="E76" s="268" t="n"/>
      <c r="F76" s="268" t="n"/>
      <c r="G76" s="268" t="n"/>
      <c r="H76" s="268" t="n"/>
      <c r="I76" s="268" t="n"/>
      <c r="J76" s="268" t="n"/>
      <c r="K76" s="268" t="n"/>
      <c r="L76" s="268" t="n"/>
      <c r="M76" s="268" t="n"/>
      <c r="N76" s="268" t="n"/>
      <c r="O76" s="268" t="n"/>
      <c r="P76" s="268" t="n"/>
      <c r="Q76" s="268" t="n"/>
      <c r="R76" s="268" t="n"/>
      <c r="S76" s="268" t="n"/>
      <c r="T76" s="268" t="n"/>
      <c r="U76" s="268" t="n"/>
      <c r="V76" s="268" t="n"/>
      <c r="W76" s="268" t="n"/>
      <c r="X76" s="268" t="n"/>
      <c r="Y76" s="268" t="n"/>
      <c r="Z76" s="268" t="n"/>
      <c r="AA76" s="268" t="n"/>
      <c r="AB76" s="268" t="n"/>
      <c r="AC76" s="268" t="n"/>
      <c r="AD76" s="268" t="n"/>
      <c r="AE76" s="268" t="n"/>
      <c r="AF76" s="268" t="n"/>
      <c r="AG76" s="268" t="n"/>
      <c r="AH76" s="268" t="n"/>
      <c r="AI76" s="268" t="n"/>
      <c r="AJ76" s="268" t="n"/>
      <c r="AK76" s="268" t="n"/>
      <c r="AL76" s="268" t="n"/>
      <c r="AM76" s="268" t="n"/>
      <c r="AN76" s="268" t="n"/>
      <c r="AO76" s="268" t="n"/>
      <c r="AP76" s="268" t="n"/>
      <c r="AQ76" s="268" t="n"/>
      <c r="AR76" s="268" t="n"/>
      <c r="AS76" s="268" t="n"/>
      <c r="AT76" s="268" t="n"/>
      <c r="AU76" s="268" t="n"/>
      <c r="AV76" s="268" t="n"/>
      <c r="AW76" s="268" t="n"/>
      <c r="AX76" s="268" t="n"/>
      <c r="AY76" s="268" t="n"/>
      <c r="AZ76" s="268" t="n"/>
      <c r="BA76" s="268" t="n"/>
      <c r="BB76" s="268" t="n"/>
      <c r="BC76" s="268" t="n"/>
      <c r="BD76" s="268" t="n"/>
      <c r="BE76" s="268" t="n"/>
      <c r="BF76" s="268" t="n"/>
      <c r="BG76" s="268" t="n"/>
      <c r="BH76" s="268" t="n"/>
      <c r="BI76" s="268" t="n"/>
      <c r="BJ76" s="268" t="n"/>
      <c r="BK76" s="268" t="n"/>
      <c r="BL76" s="268" t="n"/>
      <c r="BM76" s="268" t="n"/>
      <c r="BN76" s="268" t="n"/>
      <c r="BO76" s="268" t="n"/>
      <c r="BP76" s="268" t="n"/>
      <c r="BQ76" s="268" t="n"/>
      <c r="BR76" s="268" t="n"/>
      <c r="BS76" s="268" t="n"/>
      <c r="BT76" s="268" t="n"/>
      <c r="BU76" s="268" t="n"/>
      <c r="BV76" s="268" t="n"/>
      <c r="BW76" s="268" t="n"/>
      <c r="BX76" s="268" t="n"/>
      <c r="BY76" s="268" t="n"/>
      <c r="BZ76" s="268" t="n"/>
      <c r="CA76" s="268" t="n"/>
      <c r="CB76" s="268" t="n"/>
      <c r="CC76" s="268" t="n"/>
      <c r="CD76" s="268" t="n"/>
      <c r="CE76" s="268" t="n"/>
      <c r="CF76" s="268" t="n"/>
      <c r="CG76" s="268" t="n"/>
      <c r="CH76" s="268" t="n"/>
      <c r="CI76" s="268" t="n"/>
      <c r="CJ76" s="268" t="n"/>
      <c r="CK76" s="268" t="n"/>
      <c r="CL76" s="268" t="n"/>
      <c r="CM76" s="268" t="n"/>
      <c r="CN76" s="268" t="n"/>
      <c r="CO76" s="268" t="n"/>
      <c r="CP76" s="268" t="n"/>
      <c r="CQ76" s="268" t="n"/>
      <c r="CR76" s="268" t="n"/>
      <c r="CS76" s="268" t="n"/>
      <c r="CT76" s="268" t="n"/>
      <c r="CU76" s="268" t="n"/>
      <c r="CV76" s="268" t="n"/>
      <c r="CW76" s="268" t="n"/>
      <c r="CX76" s="268" t="n"/>
      <c r="CY76" s="268" t="n"/>
    </row>
    <row r="77" hidden="1" outlineLevel="1" ht="12.75" customHeight="1" s="255">
      <c r="C77" s="312" t="inlineStr">
        <is>
          <t>Total debt</t>
        </is>
      </c>
      <c r="D77" s="268" t="n"/>
      <c r="E77" s="268" t="n"/>
      <c r="F77" s="268" t="n"/>
      <c r="G77" s="268" t="n"/>
      <c r="H77" s="268" t="n"/>
      <c r="I77" s="268" t="n"/>
      <c r="J77" s="268" t="n"/>
      <c r="K77" s="268" t="n"/>
      <c r="L77" s="268" t="n"/>
      <c r="M77" s="268" t="n"/>
      <c r="N77" s="268" t="n"/>
      <c r="O77" s="268" t="n"/>
      <c r="P77" s="268" t="n"/>
      <c r="Q77" s="268" t="n"/>
      <c r="R77" s="268" t="n"/>
      <c r="S77" s="268" t="n"/>
      <c r="T77" s="268" t="n"/>
      <c r="U77" s="268" t="n"/>
      <c r="V77" s="268" t="n"/>
      <c r="W77" s="268" t="n"/>
      <c r="X77" s="268" t="n"/>
      <c r="Y77" s="268" t="n"/>
      <c r="Z77" s="268" t="n"/>
      <c r="AA77" s="268" t="n"/>
      <c r="AB77" s="268" t="n"/>
      <c r="AC77" s="268" t="n"/>
      <c r="AD77" s="268" t="n"/>
      <c r="AE77" s="268" t="n"/>
      <c r="AF77" s="268" t="n"/>
      <c r="AG77" s="268" t="n"/>
      <c r="AH77" s="268" t="n"/>
      <c r="AI77" s="268" t="n"/>
      <c r="AJ77" s="268" t="n"/>
      <c r="AK77" s="268" t="n"/>
      <c r="AL77" s="268" t="n"/>
      <c r="AM77" s="268" t="n"/>
      <c r="AN77" s="268" t="n"/>
      <c r="AO77" s="268" t="n"/>
      <c r="AP77" s="268" t="n"/>
      <c r="AQ77" s="268" t="n"/>
      <c r="AR77" s="268" t="n"/>
      <c r="AS77" s="268" t="n"/>
      <c r="AT77" s="268" t="n"/>
      <c r="AU77" s="268" t="n"/>
      <c r="AV77" s="268" t="n"/>
      <c r="AW77" s="268" t="n"/>
      <c r="AX77" s="268" t="n"/>
      <c r="AY77" s="268" t="n"/>
      <c r="AZ77" s="268" t="n"/>
      <c r="BA77" s="268" t="n"/>
      <c r="BB77" s="268" t="n"/>
      <c r="BC77" s="268" t="n"/>
      <c r="BD77" s="268" t="n"/>
      <c r="BE77" s="268" t="n"/>
      <c r="BF77" s="268" t="n"/>
      <c r="BG77" s="268" t="n"/>
      <c r="BH77" s="268" t="n"/>
      <c r="BI77" s="268" t="n"/>
      <c r="BJ77" s="268" t="n"/>
      <c r="BK77" s="268" t="n"/>
      <c r="BL77" s="268" t="n"/>
      <c r="BM77" s="268" t="n"/>
      <c r="BN77" s="268" t="n"/>
      <c r="BO77" s="268" t="n"/>
      <c r="BP77" s="268" t="n"/>
      <c r="BQ77" s="268" t="n"/>
      <c r="BR77" s="268" t="n"/>
      <c r="BS77" s="268" t="n"/>
      <c r="BT77" s="268" t="n"/>
      <c r="BU77" s="268" t="n"/>
      <c r="BV77" s="268" t="n"/>
      <c r="BW77" s="268" t="n"/>
      <c r="BX77" s="268" t="n"/>
      <c r="BY77" s="268" t="n"/>
      <c r="BZ77" s="268" t="n"/>
      <c r="CA77" s="268" t="n"/>
      <c r="CB77" s="268" t="n"/>
      <c r="CC77" s="268" t="n"/>
      <c r="CD77" s="268" t="n"/>
      <c r="CE77" s="268" t="n"/>
      <c r="CF77" s="268" t="n"/>
      <c r="CG77" s="268" t="n"/>
      <c r="CH77" s="268" t="n"/>
      <c r="CI77" s="268" t="n"/>
      <c r="CJ77" s="268" t="n"/>
      <c r="CK77" s="268" t="n"/>
      <c r="CL77" s="268" t="n"/>
      <c r="CM77" s="268" t="n"/>
      <c r="CN77" s="268" t="n"/>
      <c r="CO77" s="268" t="n"/>
      <c r="CP77" s="268" t="n"/>
      <c r="CQ77" s="268" t="n"/>
      <c r="CR77" s="268" t="n"/>
      <c r="CS77" s="268" t="n"/>
      <c r="CT77" s="268" t="n"/>
      <c r="CU77" s="268" t="n"/>
      <c r="CV77" s="268" t="n"/>
      <c r="CW77" s="268" t="n"/>
      <c r="CX77" s="268" t="n"/>
      <c r="CY77" s="268" t="n"/>
    </row>
    <row r="78" hidden="1" outlineLevel="1" ht="12.75" customHeight="1" s="255">
      <c r="C78" s="312" t="inlineStr">
        <is>
          <t>Interest expense</t>
        </is>
      </c>
      <c r="D78" s="268" t="n"/>
      <c r="E78" s="268" t="n"/>
      <c r="F78" s="268" t="n"/>
      <c r="G78" s="268" t="n"/>
      <c r="H78" s="268" t="n"/>
      <c r="I78" s="268" t="n"/>
      <c r="J78" s="268" t="n"/>
      <c r="K78" s="268" t="n"/>
      <c r="L78" s="268" t="n"/>
      <c r="M78" s="268" t="n"/>
      <c r="N78" s="268" t="n"/>
      <c r="O78" s="268" t="n"/>
      <c r="P78" s="268" t="n"/>
      <c r="Q78" s="268" t="n"/>
      <c r="R78" s="268" t="n"/>
      <c r="S78" s="268" t="n"/>
      <c r="T78" s="268" t="n"/>
      <c r="U78" s="268" t="n"/>
      <c r="V78" s="268" t="n"/>
      <c r="W78" s="268" t="n"/>
      <c r="X78" s="268" t="n"/>
      <c r="Y78" s="268" t="n"/>
      <c r="Z78" s="268" t="n"/>
      <c r="AA78" s="268" t="n"/>
      <c r="AB78" s="268" t="n"/>
      <c r="AC78" s="268" t="n"/>
      <c r="AD78" s="268" t="n"/>
      <c r="AE78" s="268" t="n"/>
      <c r="AF78" s="268" t="n"/>
      <c r="AG78" s="268" t="n"/>
      <c r="AH78" s="268" t="n"/>
      <c r="AI78" s="268" t="n"/>
      <c r="AJ78" s="268" t="n"/>
      <c r="AK78" s="268" t="n"/>
      <c r="AL78" s="268" t="n"/>
      <c r="AM78" s="268" t="n"/>
      <c r="AN78" s="268" t="n"/>
      <c r="AO78" s="268" t="n"/>
      <c r="AP78" s="268" t="n"/>
      <c r="AQ78" s="268" t="n"/>
      <c r="AR78" s="268" t="n"/>
      <c r="AS78" s="268" t="n"/>
      <c r="AT78" s="268" t="n"/>
      <c r="AU78" s="268" t="n"/>
      <c r="AV78" s="268" t="n"/>
      <c r="AW78" s="268" t="n"/>
      <c r="AX78" s="268" t="n"/>
      <c r="AY78" s="268" t="n"/>
      <c r="AZ78" s="268" t="n"/>
      <c r="BA78" s="268" t="n"/>
      <c r="BB78" s="268" t="n"/>
      <c r="BC78" s="268" t="n"/>
      <c r="BD78" s="268" t="n"/>
      <c r="BE78" s="268" t="n"/>
      <c r="BF78" s="268" t="n"/>
      <c r="BG78" s="268" t="n"/>
      <c r="BH78" s="268" t="n"/>
      <c r="BI78" s="268" t="n"/>
      <c r="BJ78" s="268" t="n"/>
      <c r="BK78" s="268" t="n"/>
      <c r="BL78" s="268" t="n"/>
      <c r="BM78" s="268" t="n"/>
      <c r="BN78" s="268" t="n"/>
      <c r="BO78" s="268" t="n"/>
      <c r="BP78" s="268" t="n"/>
      <c r="BQ78" s="268" t="n"/>
      <c r="BR78" s="268" t="n"/>
      <c r="BS78" s="268" t="n"/>
      <c r="BT78" s="268" t="n"/>
      <c r="BU78" s="268" t="n"/>
      <c r="BV78" s="268" t="n"/>
      <c r="BW78" s="268" t="n"/>
      <c r="BX78" s="268" t="n"/>
      <c r="BY78" s="268" t="n"/>
      <c r="BZ78" s="268" t="n"/>
      <c r="CA78" s="268" t="n"/>
      <c r="CB78" s="268" t="n"/>
      <c r="CC78" s="268" t="n"/>
      <c r="CD78" s="268" t="n"/>
      <c r="CE78" s="268" t="n"/>
      <c r="CF78" s="268" t="n"/>
      <c r="CG78" s="268" t="n"/>
      <c r="CH78" s="268" t="n"/>
      <c r="CI78" s="268" t="n"/>
      <c r="CJ78" s="268" t="n"/>
      <c r="CK78" s="268" t="n"/>
      <c r="CL78" s="268" t="n"/>
      <c r="CM78" s="268" t="n"/>
      <c r="CN78" s="268" t="n"/>
      <c r="CO78" s="268" t="n"/>
      <c r="CP78" s="268" t="n"/>
      <c r="CQ78" s="268" t="n"/>
      <c r="CR78" s="268" t="n"/>
      <c r="CS78" s="268" t="n"/>
      <c r="CT78" s="268" t="n"/>
      <c r="CU78" s="268" t="n"/>
      <c r="CV78" s="268" t="n"/>
      <c r="CW78" s="268" t="n"/>
      <c r="CX78" s="268" t="n"/>
      <c r="CY78" s="268" t="n"/>
    </row>
    <row r="79" hidden="1" outlineLevel="1" ht="12.75" customHeight="1" s="255">
      <c r="C79" s="312" t="inlineStr">
        <is>
          <t>Average interest rate</t>
        </is>
      </c>
      <c r="D79" s="268" t="n"/>
      <c r="E79" s="268" t="n"/>
      <c r="F79" s="268" t="n"/>
      <c r="G79" s="268" t="n"/>
      <c r="H79" s="268" t="n"/>
      <c r="I79" s="268" t="n"/>
      <c r="J79" s="268" t="n"/>
      <c r="K79" s="268" t="n"/>
      <c r="L79" s="268" t="n"/>
      <c r="M79" s="268" t="n"/>
      <c r="N79" s="268" t="n"/>
      <c r="O79" s="268" t="n"/>
      <c r="P79" s="268" t="n"/>
      <c r="Q79" s="268" t="n"/>
      <c r="R79" s="268" t="n"/>
      <c r="S79" s="268" t="n"/>
      <c r="T79" s="268" t="n"/>
      <c r="U79" s="268" t="n"/>
      <c r="V79" s="268" t="n"/>
      <c r="W79" s="268" t="n"/>
      <c r="X79" s="268" t="n"/>
      <c r="Y79" s="268" t="n"/>
      <c r="Z79" s="268" t="n"/>
      <c r="AA79" s="268" t="n"/>
      <c r="AB79" s="268" t="n"/>
      <c r="AC79" s="268" t="n"/>
      <c r="AD79" s="268" t="n"/>
      <c r="AE79" s="268" t="n"/>
      <c r="AF79" s="268" t="n"/>
      <c r="AG79" s="268" t="n"/>
      <c r="AH79" s="268" t="n"/>
      <c r="AI79" s="268" t="n"/>
      <c r="AJ79" s="268" t="n"/>
      <c r="AK79" s="268" t="n"/>
      <c r="AL79" s="268" t="n"/>
      <c r="AM79" s="268" t="n"/>
      <c r="AN79" s="268" t="n"/>
      <c r="AO79" s="268" t="n"/>
      <c r="AP79" s="268" t="n"/>
      <c r="AQ79" s="268" t="n"/>
      <c r="AR79" s="268" t="n"/>
      <c r="AS79" s="268" t="n"/>
      <c r="AT79" s="268" t="n"/>
      <c r="AU79" s="268" t="n"/>
      <c r="AV79" s="268" t="n"/>
      <c r="AW79" s="268" t="n"/>
      <c r="AX79" s="268" t="n"/>
      <c r="AY79" s="268" t="n"/>
      <c r="AZ79" s="268" t="n"/>
      <c r="BA79" s="268" t="n"/>
      <c r="BB79" s="268" t="n"/>
      <c r="BC79" s="268" t="n"/>
      <c r="BD79" s="268" t="n"/>
      <c r="BE79" s="268" t="n"/>
      <c r="BF79" s="268" t="n"/>
      <c r="BG79" s="268" t="n"/>
      <c r="BH79" s="268" t="n"/>
      <c r="BI79" s="268" t="n"/>
      <c r="BJ79" s="268" t="n"/>
      <c r="BK79" s="268" t="n"/>
      <c r="BL79" s="268" t="n"/>
      <c r="BM79" s="268" t="n"/>
      <c r="BN79" s="268" t="n"/>
      <c r="BO79" s="268" t="n"/>
      <c r="BP79" s="268" t="n"/>
      <c r="BQ79" s="268" t="n"/>
      <c r="BR79" s="268" t="n"/>
      <c r="BS79" s="268" t="n"/>
      <c r="BT79" s="268" t="n"/>
      <c r="BU79" s="268" t="n"/>
      <c r="BV79" s="268" t="n"/>
      <c r="BW79" s="268" t="n"/>
      <c r="BX79" s="268" t="n"/>
      <c r="BY79" s="268" t="n"/>
      <c r="BZ79" s="268" t="n"/>
      <c r="CA79" s="268" t="n"/>
      <c r="CB79" s="268" t="n"/>
      <c r="CC79" s="268" t="n"/>
      <c r="CD79" s="268" t="n"/>
      <c r="CE79" s="268" t="n"/>
      <c r="CF79" s="268" t="n"/>
      <c r="CG79" s="268" t="n"/>
      <c r="CH79" s="268" t="n"/>
      <c r="CI79" s="268" t="n"/>
      <c r="CJ79" s="268" t="n"/>
      <c r="CK79" s="268" t="n"/>
      <c r="CL79" s="268" t="n"/>
      <c r="CM79" s="268" t="n"/>
      <c r="CN79" s="268" t="n"/>
      <c r="CO79" s="268" t="n"/>
      <c r="CP79" s="268" t="n"/>
      <c r="CQ79" s="268" t="n"/>
      <c r="CR79" s="268" t="n"/>
      <c r="CS79" s="268" t="n"/>
      <c r="CT79" s="268" t="n"/>
      <c r="CU79" s="268" t="n"/>
      <c r="CV79" s="268" t="n"/>
      <c r="CW79" s="268" t="n"/>
      <c r="CX79" s="268" t="n"/>
      <c r="CY79" s="268" t="n"/>
    </row>
    <row r="80" hidden="1" outlineLevel="1" ht="12.75" customHeight="1" s="255">
      <c r="C80" s="312" t="n"/>
      <c r="D80" s="268" t="n"/>
      <c r="E80" s="268" t="n"/>
      <c r="F80" s="268" t="n"/>
      <c r="G80" s="268" t="n"/>
      <c r="H80" s="268" t="n"/>
      <c r="I80" s="268" t="n"/>
      <c r="J80" s="268" t="n"/>
      <c r="K80" s="268" t="n"/>
      <c r="L80" s="268" t="n"/>
      <c r="M80" s="268" t="n"/>
      <c r="N80" s="268" t="n"/>
      <c r="O80" s="268" t="n"/>
      <c r="P80" s="268" t="n"/>
      <c r="Q80" s="268" t="n"/>
      <c r="R80" s="268" t="n"/>
      <c r="S80" s="268" t="n"/>
      <c r="T80" s="268" t="n"/>
      <c r="U80" s="268" t="n"/>
      <c r="V80" s="268" t="n"/>
      <c r="W80" s="268" t="n"/>
      <c r="X80" s="268" t="n"/>
      <c r="Y80" s="268" t="n"/>
      <c r="Z80" s="268" t="n"/>
      <c r="AA80" s="268" t="n"/>
      <c r="AB80" s="268" t="n"/>
      <c r="AC80" s="268" t="n"/>
      <c r="AD80" s="268" t="n"/>
      <c r="AE80" s="268" t="n"/>
      <c r="AF80" s="268" t="n"/>
      <c r="AG80" s="268" t="n"/>
      <c r="AH80" s="268" t="n"/>
      <c r="AI80" s="268" t="n"/>
      <c r="AJ80" s="268" t="n"/>
      <c r="AK80" s="268" t="n"/>
      <c r="AL80" s="268" t="n"/>
      <c r="AM80" s="268" t="n"/>
      <c r="AN80" s="268" t="n"/>
      <c r="AO80" s="268" t="n"/>
      <c r="AP80" s="268" t="n"/>
      <c r="AQ80" s="268" t="n"/>
      <c r="AR80" s="268" t="n"/>
      <c r="AS80" s="268" t="n"/>
      <c r="AT80" s="268" t="n"/>
      <c r="AU80" s="268" t="n"/>
      <c r="AV80" s="268" t="n"/>
      <c r="AW80" s="268" t="n"/>
      <c r="AX80" s="268" t="n"/>
      <c r="AY80" s="268" t="n"/>
      <c r="AZ80" s="268" t="n"/>
      <c r="BA80" s="268" t="n"/>
      <c r="BB80" s="268" t="n"/>
      <c r="BC80" s="268" t="n"/>
      <c r="BD80" s="268" t="n"/>
      <c r="BE80" s="268" t="n"/>
      <c r="BF80" s="268" t="n"/>
      <c r="BG80" s="268" t="n"/>
      <c r="BH80" s="268" t="n"/>
      <c r="BI80" s="268" t="n"/>
      <c r="BJ80" s="268" t="n"/>
      <c r="BK80" s="268" t="n"/>
      <c r="BL80" s="268" t="n"/>
      <c r="BM80" s="268" t="n"/>
      <c r="BN80" s="268" t="n"/>
      <c r="BO80" s="268" t="n"/>
      <c r="BP80" s="268" t="n"/>
      <c r="BQ80" s="268" t="n"/>
      <c r="BR80" s="268" t="n"/>
      <c r="BS80" s="268" t="n"/>
      <c r="BT80" s="268" t="n"/>
      <c r="BU80" s="268" t="n"/>
      <c r="BV80" s="268" t="n"/>
      <c r="BW80" s="268" t="n"/>
      <c r="BX80" s="268" t="n"/>
      <c r="BY80" s="268" t="n"/>
      <c r="BZ80" s="268" t="n"/>
      <c r="CA80" s="268" t="n"/>
      <c r="CB80" s="268" t="n"/>
      <c r="CC80" s="268" t="n"/>
      <c r="CD80" s="268" t="n"/>
      <c r="CE80" s="268" t="n"/>
      <c r="CF80" s="268" t="n"/>
      <c r="CG80" s="268" t="n"/>
      <c r="CH80" s="268" t="n"/>
      <c r="CI80" s="268" t="n"/>
      <c r="CJ80" s="268" t="n"/>
      <c r="CK80" s="268" t="n"/>
      <c r="CL80" s="268" t="n"/>
      <c r="CM80" s="268" t="n"/>
      <c r="CN80" s="268" t="n"/>
      <c r="CO80" s="268" t="n"/>
      <c r="CP80" s="268" t="n"/>
      <c r="CQ80" s="268" t="n"/>
      <c r="CR80" s="268" t="n"/>
      <c r="CS80" s="268" t="n"/>
      <c r="CT80" s="268" t="n"/>
      <c r="CU80" s="268" t="n"/>
      <c r="CV80" s="268" t="n"/>
      <c r="CW80" s="268" t="n"/>
      <c r="CX80" s="268" t="n"/>
      <c r="CY80" s="268" t="n"/>
    </row>
    <row r="81" hidden="1" outlineLevel="1" ht="12.75" customHeight="1" s="255">
      <c r="C81" s="312" t="inlineStr">
        <is>
          <t>Stake</t>
        </is>
      </c>
      <c r="D81" s="268" t="n"/>
      <c r="E81" s="268" t="n"/>
      <c r="F81" s="268" t="n"/>
      <c r="G81" s="268" t="n"/>
      <c r="H81" s="268" t="n"/>
      <c r="I81" s="268" t="n"/>
      <c r="J81" s="268" t="n"/>
      <c r="K81" s="268" t="n"/>
      <c r="L81" s="268" t="n"/>
      <c r="M81" s="268" t="n"/>
      <c r="N81" s="268" t="n"/>
      <c r="O81" s="268" t="n"/>
      <c r="P81" s="268" t="n"/>
      <c r="Q81" s="268" t="n"/>
      <c r="R81" s="268" t="n"/>
      <c r="S81" s="268" t="n"/>
      <c r="T81" s="268" t="n"/>
      <c r="U81" s="268" t="n"/>
      <c r="V81" s="268" t="n"/>
      <c r="W81" s="268" t="n"/>
      <c r="X81" s="268" t="n"/>
      <c r="Y81" s="268" t="n"/>
      <c r="Z81" s="268" t="n"/>
      <c r="AA81" s="268" t="n"/>
      <c r="AB81" s="268" t="n"/>
      <c r="AC81" s="268" t="n"/>
      <c r="AD81" s="268" t="n"/>
      <c r="AE81" s="268" t="n"/>
      <c r="AF81" s="268" t="n"/>
      <c r="AG81" s="268" t="n"/>
      <c r="AH81" s="268" t="n"/>
      <c r="AI81" s="268" t="n"/>
      <c r="AJ81" s="268" t="n"/>
      <c r="AK81" s="268" t="n"/>
      <c r="AL81" s="268" t="n"/>
      <c r="AM81" s="268" t="n"/>
      <c r="AN81" s="268" t="n"/>
      <c r="AO81" s="268" t="n"/>
      <c r="AP81" s="268" t="n"/>
      <c r="AQ81" s="268" t="n"/>
      <c r="AR81" s="268" t="n"/>
      <c r="AS81" s="268" t="n"/>
      <c r="AT81" s="268" t="n"/>
      <c r="AU81" s="268" t="n"/>
      <c r="AV81" s="268" t="n"/>
      <c r="AW81" s="268" t="n"/>
      <c r="AX81" s="268" t="n"/>
      <c r="AY81" s="268" t="n"/>
      <c r="AZ81" s="268" t="n"/>
      <c r="BA81" s="268" t="n"/>
      <c r="BB81" s="268" t="n"/>
      <c r="BC81" s="268" t="n"/>
      <c r="BD81" s="268" t="n"/>
      <c r="BE81" s="268" t="n"/>
      <c r="BF81" s="268" t="n"/>
      <c r="BG81" s="268" t="n"/>
      <c r="BH81" s="268" t="n"/>
      <c r="BI81" s="268" t="n"/>
      <c r="BJ81" s="268" t="n"/>
      <c r="BK81" s="268" t="n"/>
      <c r="BL81" s="268" t="n"/>
      <c r="BM81" s="268" t="n"/>
      <c r="BN81" s="268" t="n"/>
      <c r="BO81" s="268" t="n"/>
      <c r="BP81" s="268" t="n"/>
      <c r="BQ81" s="268" t="n"/>
      <c r="BR81" s="268" t="n"/>
      <c r="BS81" s="268" t="n"/>
      <c r="BT81" s="268" t="n"/>
      <c r="BU81" s="268" t="n"/>
      <c r="BV81" s="268" t="n"/>
      <c r="BW81" s="268" t="n"/>
      <c r="BX81" s="268" t="n"/>
      <c r="BY81" s="268" t="n"/>
      <c r="BZ81" s="268" t="n"/>
      <c r="CA81" s="268" t="n"/>
      <c r="CB81" s="268" t="n"/>
      <c r="CC81" s="268" t="n"/>
      <c r="CD81" s="268" t="n"/>
      <c r="CE81" s="268" t="n"/>
      <c r="CF81" s="268" t="n"/>
      <c r="CG81" s="268" t="n"/>
      <c r="CH81" s="268" t="n"/>
      <c r="CI81" s="268" t="n"/>
      <c r="CJ81" s="268" t="n"/>
      <c r="CK81" s="268" t="n"/>
      <c r="CL81" s="268" t="n"/>
      <c r="CM81" s="268" t="n"/>
      <c r="CN81" s="268" t="n"/>
      <c r="CO81" s="268" t="n"/>
      <c r="CP81" s="268" t="n"/>
      <c r="CQ81" s="268" t="n"/>
      <c r="CR81" s="268" t="n"/>
      <c r="CS81" s="268" t="n"/>
      <c r="CT81" s="268" t="n"/>
      <c r="CU81" s="268" t="n"/>
      <c r="CV81" s="268" t="n"/>
      <c r="CW81" s="268" t="n"/>
      <c r="CX81" s="268" t="n"/>
      <c r="CY81" s="268" t="n"/>
    </row>
    <row r="82" hidden="1" outlineLevel="1" ht="12.75" customHeight="1" s="255">
      <c r="C82" s="312" t="inlineStr">
        <is>
          <t>PRE</t>
        </is>
      </c>
      <c r="D82" s="268" t="n"/>
      <c r="E82" s="268" t="n"/>
      <c r="F82" s="268" t="n"/>
      <c r="G82" s="268" t="n"/>
      <c r="H82" s="268" t="n"/>
      <c r="I82" s="268" t="n"/>
      <c r="J82" s="268" t="n"/>
      <c r="K82" s="268" t="n"/>
      <c r="L82" s="268" t="n"/>
      <c r="M82" s="268" t="n"/>
      <c r="N82" s="268" t="n"/>
      <c r="O82" s="268" t="n"/>
      <c r="P82" s="268" t="n"/>
      <c r="Q82" s="268" t="n"/>
      <c r="R82" s="268" t="n"/>
      <c r="S82" s="268" t="n"/>
      <c r="T82" s="268" t="n"/>
      <c r="U82" s="268" t="n"/>
      <c r="V82" s="268" t="n"/>
      <c r="W82" s="268" t="n"/>
      <c r="X82" s="268" t="n"/>
      <c r="Y82" s="268" t="n"/>
      <c r="Z82" s="268" t="n"/>
      <c r="AA82" s="268" t="n"/>
      <c r="AB82" s="268" t="n"/>
      <c r="AC82" s="268" t="n"/>
      <c r="AD82" s="268" t="n"/>
      <c r="AE82" s="268" t="n"/>
      <c r="AF82" s="268" t="n"/>
      <c r="AG82" s="268" t="n"/>
      <c r="AH82" s="268" t="n"/>
      <c r="AI82" s="268" t="n"/>
      <c r="AJ82" s="268" t="n"/>
      <c r="AK82" s="268" t="n"/>
      <c r="AL82" s="268" t="n"/>
      <c r="AM82" s="268" t="n"/>
      <c r="AN82" s="268" t="n"/>
      <c r="AO82" s="268" t="n"/>
      <c r="AP82" s="268" t="n"/>
      <c r="AQ82" s="268" t="n"/>
      <c r="AR82" s="268" t="n"/>
      <c r="AS82" s="268" t="n"/>
      <c r="AT82" s="268" t="n"/>
      <c r="AU82" s="268" t="n"/>
      <c r="AV82" s="268" t="n"/>
      <c r="AW82" s="268" t="n"/>
      <c r="AX82" s="268" t="n"/>
      <c r="AY82" s="268" t="n"/>
      <c r="AZ82" s="268" t="n"/>
      <c r="BA82" s="268" t="n"/>
      <c r="BB82" s="268" t="n"/>
      <c r="BC82" s="268" t="n"/>
      <c r="BD82" s="268" t="n"/>
      <c r="BE82" s="268" t="n"/>
      <c r="BF82" s="268" t="n"/>
      <c r="BG82" s="268" t="n"/>
      <c r="BH82" s="268" t="n"/>
      <c r="BI82" s="268" t="n"/>
      <c r="BJ82" s="268" t="n"/>
      <c r="BK82" s="268" t="n"/>
      <c r="BL82" s="268" t="n"/>
      <c r="BM82" s="268" t="n"/>
      <c r="BN82" s="268" t="n"/>
      <c r="BO82" s="268" t="n"/>
      <c r="BP82" s="268" t="n"/>
      <c r="BQ82" s="268" t="n"/>
      <c r="BR82" s="268" t="n"/>
      <c r="BS82" s="268" t="n"/>
      <c r="BT82" s="268" t="n"/>
      <c r="BU82" s="268" t="n"/>
      <c r="BV82" s="268" t="n"/>
      <c r="BW82" s="268" t="n"/>
      <c r="BX82" s="268" t="n"/>
      <c r="BY82" s="268" t="n"/>
      <c r="BZ82" s="268" t="n"/>
      <c r="CA82" s="268" t="n"/>
      <c r="CB82" s="268" t="n"/>
      <c r="CC82" s="268" t="n"/>
      <c r="CD82" s="268" t="n"/>
      <c r="CE82" s="268" t="n"/>
      <c r="CF82" s="268" t="n"/>
      <c r="CG82" s="268" t="n"/>
      <c r="CH82" s="268" t="n"/>
      <c r="CI82" s="268" t="n"/>
      <c r="CJ82" s="268" t="n"/>
      <c r="CK82" s="268" t="n"/>
      <c r="CL82" s="268" t="n"/>
      <c r="CM82" s="268" t="n"/>
      <c r="CN82" s="268" t="n"/>
      <c r="CO82" s="268" t="n"/>
      <c r="CP82" s="268" t="n"/>
      <c r="CQ82" s="268" t="n"/>
      <c r="CR82" s="268" t="n"/>
      <c r="CS82" s="268" t="n"/>
      <c r="CT82" s="268" t="n"/>
      <c r="CU82" s="268" t="n"/>
      <c r="CV82" s="268" t="n"/>
      <c r="CW82" s="268" t="n"/>
      <c r="CX82" s="268" t="n"/>
      <c r="CY82" s="268" t="n"/>
    </row>
    <row r="83" hidden="1" outlineLevel="1" ht="12.75" customHeight="1" s="255">
      <c r="C83" s="312" t="inlineStr">
        <is>
          <t>CDI+</t>
        </is>
      </c>
      <c r="D83" s="268" t="n"/>
      <c r="E83" s="268" t="n"/>
      <c r="F83" s="268" t="n"/>
      <c r="G83" s="268" t="n"/>
      <c r="H83" s="268" t="n"/>
      <c r="I83" s="268" t="n"/>
      <c r="J83" s="268" t="n"/>
      <c r="K83" s="268" t="n"/>
      <c r="L83" s="268" t="n"/>
      <c r="M83" s="268" t="n"/>
      <c r="N83" s="268" t="n"/>
      <c r="O83" s="268" t="n"/>
      <c r="P83" s="268" t="n"/>
      <c r="Q83" s="268" t="n"/>
      <c r="R83" s="268" t="n"/>
      <c r="S83" s="268" t="n"/>
      <c r="T83" s="268" t="n"/>
      <c r="U83" s="268" t="n"/>
      <c r="V83" s="268" t="n"/>
      <c r="W83" s="268" t="n"/>
      <c r="X83" s="268" t="n"/>
      <c r="Y83" s="268" t="n"/>
      <c r="Z83" s="268" t="n"/>
      <c r="AA83" s="268" t="n"/>
      <c r="AB83" s="268" t="n"/>
      <c r="AC83" s="268" t="n"/>
      <c r="AD83" s="268" t="n"/>
      <c r="AE83" s="268" t="n"/>
      <c r="AF83" s="268" t="n"/>
      <c r="AG83" s="268" t="n"/>
      <c r="AH83" s="268" t="n"/>
      <c r="AI83" s="268" t="n"/>
      <c r="AJ83" s="268" t="n"/>
      <c r="AK83" s="268" t="n"/>
      <c r="AL83" s="268" t="n"/>
      <c r="AM83" s="268" t="n"/>
      <c r="AN83" s="268" t="n"/>
      <c r="AO83" s="268" t="n"/>
      <c r="AP83" s="268" t="n"/>
      <c r="AQ83" s="268" t="n"/>
      <c r="AR83" s="268" t="n"/>
      <c r="AS83" s="268" t="n"/>
      <c r="AT83" s="268" t="n"/>
      <c r="AU83" s="268" t="n"/>
      <c r="AV83" s="268" t="n"/>
      <c r="AW83" s="268" t="n"/>
      <c r="AX83" s="268" t="n"/>
      <c r="AY83" s="268" t="n"/>
      <c r="AZ83" s="268" t="n"/>
      <c r="BA83" s="268" t="n"/>
      <c r="BB83" s="268" t="n"/>
      <c r="BC83" s="268" t="n"/>
      <c r="BD83" s="268" t="n"/>
      <c r="BE83" s="268" t="n"/>
      <c r="BF83" s="268" t="n"/>
      <c r="BG83" s="268" t="n"/>
      <c r="BH83" s="268" t="n"/>
      <c r="BI83" s="268" t="n"/>
      <c r="BJ83" s="268" t="n"/>
      <c r="BK83" s="268" t="n"/>
      <c r="BL83" s="268" t="n"/>
      <c r="BM83" s="268" t="n"/>
      <c r="BN83" s="268" t="n"/>
      <c r="BO83" s="268" t="n"/>
      <c r="BP83" s="268" t="n"/>
      <c r="BQ83" s="268" t="n"/>
      <c r="BR83" s="268" t="n"/>
      <c r="BS83" s="268" t="n"/>
      <c r="BT83" s="268" t="n"/>
      <c r="BU83" s="268" t="n"/>
      <c r="BV83" s="268" t="n"/>
      <c r="BW83" s="268" t="n"/>
      <c r="BX83" s="268" t="n"/>
      <c r="BY83" s="268" t="n"/>
      <c r="BZ83" s="268" t="n"/>
      <c r="CA83" s="268" t="n"/>
      <c r="CB83" s="268" t="n"/>
      <c r="CC83" s="268" t="n"/>
      <c r="CD83" s="268" t="n"/>
      <c r="CE83" s="268" t="n"/>
      <c r="CF83" s="268" t="n"/>
      <c r="CG83" s="268" t="n"/>
      <c r="CH83" s="268" t="n"/>
      <c r="CI83" s="268" t="n"/>
      <c r="CJ83" s="268" t="n"/>
      <c r="CK83" s="268" t="n"/>
      <c r="CL83" s="268" t="n"/>
      <c r="CM83" s="268" t="n"/>
      <c r="CN83" s="268" t="n"/>
      <c r="CO83" s="268" t="n"/>
      <c r="CP83" s="268" t="n"/>
      <c r="CQ83" s="268" t="n"/>
      <c r="CR83" s="268" t="n"/>
      <c r="CS83" s="268" t="n"/>
      <c r="CT83" s="268" t="n"/>
      <c r="CU83" s="268" t="n"/>
      <c r="CV83" s="268" t="n"/>
      <c r="CW83" s="268" t="n"/>
      <c r="CX83" s="268" t="n"/>
      <c r="CY83" s="268" t="n"/>
    </row>
    <row r="84" hidden="1" outlineLevel="1" ht="12.75" customHeight="1" s="255">
      <c r="C84" s="312" t="n"/>
      <c r="D84" s="268" t="n"/>
      <c r="E84" s="268" t="n"/>
      <c r="F84" s="268" t="n"/>
      <c r="G84" s="268" t="n"/>
      <c r="H84" s="268" t="n"/>
      <c r="I84" s="268" t="n"/>
      <c r="J84" s="268" t="n"/>
      <c r="K84" s="268" t="n"/>
      <c r="L84" s="268" t="n"/>
      <c r="M84" s="268" t="n"/>
      <c r="N84" s="268" t="n"/>
      <c r="O84" s="268" t="n"/>
      <c r="P84" s="268" t="n"/>
      <c r="Q84" s="268" t="n"/>
      <c r="R84" s="268" t="n"/>
      <c r="S84" s="268" t="n"/>
      <c r="T84" s="268" t="n"/>
      <c r="U84" s="268" t="n"/>
      <c r="V84" s="268" t="n"/>
      <c r="W84" s="268" t="n"/>
      <c r="X84" s="268" t="n"/>
      <c r="Y84" s="268" t="n"/>
      <c r="Z84" s="268" t="n"/>
      <c r="AA84" s="268" t="n"/>
      <c r="AB84" s="268" t="n"/>
      <c r="AC84" s="268" t="n"/>
      <c r="AD84" s="268" t="n"/>
      <c r="AE84" s="268" t="n"/>
      <c r="AF84" s="268" t="n"/>
      <c r="AG84" s="268" t="n"/>
      <c r="AH84" s="268" t="n"/>
      <c r="AI84" s="268" t="n"/>
      <c r="AJ84" s="268" t="n"/>
      <c r="AK84" s="268" t="n"/>
      <c r="AL84" s="268" t="n"/>
      <c r="AM84" s="268" t="n"/>
      <c r="AN84" s="268" t="n"/>
      <c r="AO84" s="268" t="n"/>
      <c r="AP84" s="268" t="n"/>
      <c r="AQ84" s="268" t="n"/>
      <c r="AR84" s="268" t="n"/>
      <c r="AS84" s="268" t="n"/>
      <c r="AT84" s="268" t="n"/>
      <c r="AU84" s="268" t="n"/>
      <c r="AV84" s="268" t="n"/>
      <c r="AW84" s="268" t="n"/>
      <c r="AX84" s="268" t="n"/>
      <c r="AY84" s="268" t="n"/>
      <c r="AZ84" s="268" t="n"/>
      <c r="BA84" s="268" t="n"/>
      <c r="BB84" s="268" t="n"/>
      <c r="BC84" s="268" t="n"/>
      <c r="BD84" s="268" t="n"/>
      <c r="BE84" s="268" t="n"/>
      <c r="BF84" s="268" t="n"/>
      <c r="BG84" s="268" t="n"/>
      <c r="BH84" s="268" t="n"/>
      <c r="BI84" s="268" t="n"/>
      <c r="BJ84" s="268" t="n"/>
      <c r="BK84" s="268" t="n"/>
      <c r="BL84" s="268" t="n"/>
      <c r="BM84" s="268" t="n"/>
      <c r="BN84" s="268" t="n"/>
      <c r="BO84" s="268" t="n"/>
      <c r="BP84" s="268" t="n"/>
      <c r="BQ84" s="268" t="n"/>
      <c r="BR84" s="268" t="n"/>
      <c r="BS84" s="268" t="n"/>
      <c r="BT84" s="268" t="n"/>
      <c r="BU84" s="268" t="n"/>
      <c r="BV84" s="268" t="n"/>
      <c r="BW84" s="268" t="n"/>
      <c r="BX84" s="268" t="n"/>
      <c r="BY84" s="268" t="n"/>
      <c r="BZ84" s="268" t="n"/>
      <c r="CA84" s="268" t="n"/>
      <c r="CB84" s="268" t="n"/>
      <c r="CC84" s="268" t="n"/>
      <c r="CD84" s="268" t="n"/>
      <c r="CE84" s="268" t="n"/>
      <c r="CF84" s="268" t="n"/>
      <c r="CG84" s="268" t="n"/>
      <c r="CH84" s="268" t="n"/>
      <c r="CI84" s="268" t="n"/>
      <c r="CJ84" s="268" t="n"/>
      <c r="CK84" s="268" t="n"/>
      <c r="CL84" s="268" t="n"/>
      <c r="CM84" s="268" t="n"/>
      <c r="CN84" s="268" t="n"/>
      <c r="CO84" s="268" t="n"/>
      <c r="CP84" s="268" t="n"/>
      <c r="CQ84" s="268" t="n"/>
      <c r="CR84" s="268" t="n"/>
      <c r="CS84" s="268" t="n"/>
      <c r="CT84" s="268" t="n"/>
      <c r="CU84" s="268" t="n"/>
      <c r="CV84" s="268" t="n"/>
      <c r="CW84" s="268" t="n"/>
      <c r="CX84" s="268" t="n"/>
      <c r="CY84" s="268" t="n"/>
    </row>
    <row r="85" hidden="1" outlineLevel="1" ht="12.75" customHeight="1" s="255">
      <c r="C85" s="312" t="inlineStr">
        <is>
          <t>Spread</t>
        </is>
      </c>
      <c r="D85" s="268" t="n"/>
      <c r="E85" s="268" t="n"/>
      <c r="F85" s="268" t="n"/>
      <c r="G85" s="268" t="n"/>
      <c r="H85" s="268" t="n"/>
      <c r="I85" s="268" t="n"/>
      <c r="J85" s="268" t="n"/>
      <c r="K85" s="268" t="n"/>
      <c r="L85" s="268" t="n"/>
      <c r="M85" s="268" t="n"/>
      <c r="N85" s="268" t="n"/>
      <c r="O85" s="268" t="n"/>
      <c r="P85" s="268" t="n"/>
      <c r="Q85" s="268" t="n"/>
      <c r="R85" s="268" t="n"/>
      <c r="S85" s="268" t="n"/>
      <c r="T85" s="268" t="n"/>
      <c r="U85" s="268" t="n"/>
      <c r="V85" s="268" t="n"/>
      <c r="W85" s="268" t="n"/>
      <c r="X85" s="268" t="n"/>
      <c r="Y85" s="268" t="n"/>
      <c r="Z85" s="268" t="n"/>
      <c r="AA85" s="268" t="n"/>
      <c r="AB85" s="268" t="n"/>
      <c r="AC85" s="268" t="n"/>
      <c r="AD85" s="268" t="n"/>
      <c r="AE85" s="268" t="n"/>
      <c r="AF85" s="268" t="n"/>
      <c r="AG85" s="268" t="n"/>
      <c r="AH85" s="268" t="n"/>
      <c r="AI85" s="268" t="n"/>
      <c r="AJ85" s="268" t="n"/>
      <c r="AK85" s="268" t="n"/>
      <c r="AL85" s="268" t="n"/>
      <c r="AM85" s="268" t="n"/>
      <c r="AN85" s="268" t="n"/>
      <c r="AO85" s="268" t="n"/>
      <c r="AP85" s="268" t="n"/>
      <c r="AQ85" s="268" t="n"/>
      <c r="AR85" s="268" t="n"/>
      <c r="AS85" s="268" t="n"/>
      <c r="AT85" s="268" t="n"/>
      <c r="AU85" s="268" t="n"/>
      <c r="AV85" s="268" t="n"/>
      <c r="AW85" s="268" t="n"/>
      <c r="AX85" s="268" t="n"/>
      <c r="AY85" s="268" t="n"/>
      <c r="AZ85" s="268" t="n"/>
      <c r="BA85" s="268" t="n"/>
      <c r="BB85" s="268" t="n"/>
      <c r="BC85" s="268" t="n"/>
      <c r="BD85" s="268" t="n"/>
      <c r="BE85" s="268" t="n"/>
      <c r="BF85" s="268" t="n"/>
      <c r="BG85" s="268" t="n"/>
      <c r="BH85" s="268" t="n"/>
      <c r="BI85" s="268" t="n"/>
      <c r="BJ85" s="268" t="n"/>
      <c r="BK85" s="268" t="n"/>
      <c r="BL85" s="268" t="n"/>
      <c r="BM85" s="268" t="n"/>
      <c r="BN85" s="268" t="n"/>
      <c r="BO85" s="268" t="n"/>
      <c r="BP85" s="268" t="n"/>
      <c r="BQ85" s="268" t="n"/>
      <c r="BR85" s="268" t="n"/>
      <c r="BS85" s="268" t="n"/>
      <c r="BT85" s="268" t="n"/>
      <c r="BU85" s="268" t="n"/>
      <c r="BV85" s="268" t="n"/>
      <c r="BW85" s="268" t="n"/>
      <c r="BX85" s="268" t="n"/>
      <c r="BY85" s="268" t="n"/>
      <c r="BZ85" s="268" t="n"/>
      <c r="CA85" s="268" t="n"/>
      <c r="CB85" s="268" t="n"/>
      <c r="CC85" s="268" t="n"/>
      <c r="CD85" s="268" t="n"/>
      <c r="CE85" s="268" t="n"/>
      <c r="CF85" s="268" t="n"/>
      <c r="CG85" s="268" t="n"/>
      <c r="CH85" s="268" t="n"/>
      <c r="CI85" s="268" t="n"/>
      <c r="CJ85" s="268" t="n"/>
      <c r="CK85" s="268" t="n"/>
      <c r="CL85" s="268" t="n"/>
      <c r="CM85" s="268" t="n"/>
      <c r="CN85" s="268" t="n"/>
      <c r="CO85" s="268" t="n"/>
      <c r="CP85" s="268" t="n"/>
      <c r="CQ85" s="268" t="n"/>
      <c r="CR85" s="268" t="n"/>
      <c r="CS85" s="268" t="n"/>
      <c r="CT85" s="268" t="n"/>
      <c r="CU85" s="268" t="n"/>
      <c r="CV85" s="268" t="n"/>
      <c r="CW85" s="268" t="n"/>
      <c r="CX85" s="268" t="n"/>
      <c r="CY85" s="268" t="n"/>
    </row>
    <row r="86" hidden="1" outlineLevel="1" ht="12.75" customHeight="1" s="255">
      <c r="C86" s="312" t="inlineStr">
        <is>
          <t>PRE</t>
        </is>
      </c>
      <c r="D86" s="268" t="n"/>
      <c r="E86" s="268" t="n"/>
      <c r="F86" s="268" t="n"/>
      <c r="G86" s="268" t="n"/>
      <c r="H86" s="268" t="n"/>
      <c r="I86" s="268" t="n"/>
      <c r="J86" s="268" t="n"/>
      <c r="K86" s="268" t="n"/>
      <c r="L86" s="268" t="n"/>
      <c r="M86" s="268" t="n"/>
      <c r="N86" s="268" t="n"/>
      <c r="O86" s="268" t="n"/>
      <c r="P86" s="268" t="n"/>
      <c r="Q86" s="268" t="n"/>
      <c r="R86" s="268" t="n"/>
      <c r="S86" s="268" t="n"/>
      <c r="T86" s="268" t="n"/>
      <c r="U86" s="268" t="n"/>
      <c r="V86" s="268" t="n"/>
      <c r="W86" s="268" t="n"/>
      <c r="X86" s="268" t="n"/>
      <c r="Y86" s="268" t="n"/>
      <c r="Z86" s="268" t="n"/>
      <c r="AA86" s="268" t="n"/>
      <c r="AB86" s="268" t="n"/>
      <c r="AC86" s="268" t="n"/>
      <c r="AD86" s="268" t="n"/>
      <c r="AE86" s="268" t="n"/>
      <c r="AF86" s="268" t="n"/>
      <c r="AG86" s="268" t="n"/>
      <c r="AH86" s="268" t="n"/>
      <c r="AI86" s="268" t="n"/>
      <c r="AJ86" s="268" t="n"/>
      <c r="AK86" s="268" t="n"/>
      <c r="AL86" s="268" t="n"/>
      <c r="AM86" s="268" t="n"/>
      <c r="AN86" s="268" t="n"/>
      <c r="AO86" s="268" t="n"/>
      <c r="AP86" s="268" t="n"/>
      <c r="AQ86" s="268" t="n"/>
      <c r="AR86" s="268" t="n"/>
      <c r="AS86" s="268" t="n"/>
      <c r="AT86" s="268" t="n"/>
      <c r="AU86" s="268" t="n"/>
      <c r="AV86" s="268" t="n"/>
      <c r="AW86" s="268" t="n"/>
      <c r="AX86" s="268" t="n"/>
      <c r="AY86" s="268" t="n"/>
      <c r="AZ86" s="268" t="n"/>
      <c r="BA86" s="268" t="n"/>
      <c r="BB86" s="268" t="n"/>
      <c r="BC86" s="268" t="n"/>
      <c r="BD86" s="268" t="n"/>
      <c r="BE86" s="268" t="n"/>
      <c r="BF86" s="268" t="n"/>
      <c r="BG86" s="268" t="n"/>
      <c r="BH86" s="268" t="n"/>
      <c r="BI86" s="268" t="n"/>
      <c r="BJ86" s="268" t="n"/>
      <c r="BK86" s="268" t="n"/>
      <c r="BL86" s="268" t="n"/>
      <c r="BM86" s="268" t="n"/>
      <c r="BN86" s="268" t="n"/>
      <c r="BO86" s="268" t="n"/>
      <c r="BP86" s="268" t="n"/>
      <c r="BQ86" s="268" t="n"/>
      <c r="BR86" s="268" t="n"/>
      <c r="BS86" s="268" t="n"/>
      <c r="BT86" s="268" t="n"/>
      <c r="BU86" s="268" t="n"/>
      <c r="BV86" s="268" t="n"/>
      <c r="BW86" s="268" t="n"/>
      <c r="BX86" s="268" t="n"/>
      <c r="BY86" s="268" t="n"/>
      <c r="BZ86" s="268" t="n"/>
      <c r="CA86" s="268" t="n"/>
      <c r="CB86" s="268" t="n"/>
      <c r="CC86" s="268" t="n"/>
      <c r="CD86" s="268" t="n"/>
      <c r="CE86" s="268" t="n"/>
      <c r="CF86" s="268" t="n"/>
      <c r="CG86" s="268" t="n"/>
      <c r="CH86" s="268" t="n"/>
      <c r="CI86" s="268" t="n"/>
      <c r="CJ86" s="268" t="n"/>
      <c r="CK86" s="268" t="n"/>
      <c r="CL86" s="268" t="n"/>
      <c r="CM86" s="268" t="n"/>
      <c r="CN86" s="268" t="n"/>
      <c r="CO86" s="268" t="n"/>
      <c r="CP86" s="268" t="n"/>
      <c r="CQ86" s="268" t="n"/>
      <c r="CR86" s="268" t="n"/>
      <c r="CS86" s="268" t="n"/>
      <c r="CT86" s="268" t="n"/>
      <c r="CU86" s="268" t="n"/>
      <c r="CV86" s="268" t="n"/>
      <c r="CW86" s="268" t="n"/>
      <c r="CX86" s="268" t="n"/>
      <c r="CY86" s="268" t="n"/>
    </row>
    <row r="87" hidden="1" outlineLevel="1" ht="12.75" customHeight="1" s="255">
      <c r="C87" s="312" t="inlineStr">
        <is>
          <t>CDI+</t>
        </is>
      </c>
      <c r="D87" s="268" t="n"/>
      <c r="E87" s="268" t="n"/>
      <c r="F87" s="268" t="n"/>
      <c r="G87" s="268" t="n"/>
      <c r="H87" s="268" t="n"/>
      <c r="I87" s="268" t="n"/>
      <c r="J87" s="268" t="n"/>
      <c r="K87" s="268" t="n"/>
      <c r="L87" s="268" t="n"/>
      <c r="M87" s="268" t="n"/>
      <c r="N87" s="268" t="n"/>
      <c r="O87" s="268" t="n"/>
      <c r="P87" s="268" t="n"/>
      <c r="Q87" s="268" t="n"/>
      <c r="R87" s="268" t="n"/>
      <c r="S87" s="268" t="n"/>
      <c r="T87" s="268" t="n"/>
      <c r="U87" s="268" t="n"/>
      <c r="V87" s="268" t="n"/>
      <c r="W87" s="268" t="n"/>
      <c r="X87" s="268" t="n"/>
      <c r="Y87" s="268" t="n"/>
      <c r="Z87" s="268" t="n"/>
      <c r="AA87" s="268" t="n"/>
      <c r="AB87" s="268" t="n"/>
      <c r="AC87" s="268" t="n"/>
      <c r="AD87" s="268" t="n"/>
      <c r="AE87" s="268" t="n"/>
      <c r="AF87" s="268" t="n"/>
      <c r="AG87" s="268" t="n"/>
      <c r="AH87" s="268" t="n"/>
      <c r="AI87" s="268" t="n"/>
      <c r="AJ87" s="268" t="n"/>
      <c r="AK87" s="268" t="n"/>
      <c r="AL87" s="268" t="n"/>
      <c r="AM87" s="268" t="n"/>
      <c r="AN87" s="268" t="n"/>
      <c r="AO87" s="268" t="n"/>
      <c r="AP87" s="268" t="n"/>
      <c r="AQ87" s="268" t="n"/>
      <c r="AR87" s="268" t="n"/>
      <c r="AS87" s="268" t="n"/>
      <c r="AT87" s="268" t="n"/>
      <c r="AU87" s="268" t="n"/>
      <c r="AV87" s="268" t="n"/>
      <c r="AW87" s="268" t="n"/>
      <c r="AX87" s="268" t="n"/>
      <c r="AY87" s="268" t="n"/>
      <c r="AZ87" s="268" t="n"/>
      <c r="BA87" s="268" t="n"/>
      <c r="BB87" s="268" t="n"/>
      <c r="BC87" s="268" t="n"/>
      <c r="BD87" s="268" t="n"/>
      <c r="BE87" s="268" t="n"/>
      <c r="BF87" s="268" t="n"/>
      <c r="BG87" s="268" t="n"/>
      <c r="BH87" s="268" t="n"/>
      <c r="BI87" s="268" t="n"/>
      <c r="BJ87" s="268" t="n"/>
      <c r="BK87" s="268" t="n"/>
      <c r="BL87" s="268" t="n"/>
      <c r="BM87" s="268" t="n"/>
      <c r="BN87" s="268" t="n"/>
      <c r="BO87" s="268" t="n"/>
      <c r="BP87" s="268" t="n"/>
      <c r="BQ87" s="268" t="n"/>
      <c r="BR87" s="268" t="n"/>
      <c r="BS87" s="268" t="n"/>
      <c r="BT87" s="268" t="n"/>
      <c r="BU87" s="268" t="n"/>
      <c r="BV87" s="268" t="n"/>
      <c r="BW87" s="268" t="n"/>
      <c r="BX87" s="268" t="n"/>
      <c r="BY87" s="268" t="n"/>
      <c r="BZ87" s="268" t="n"/>
      <c r="CA87" s="268" t="n"/>
      <c r="CB87" s="268" t="n"/>
      <c r="CC87" s="268" t="n"/>
      <c r="CD87" s="268" t="n"/>
      <c r="CE87" s="268" t="n"/>
      <c r="CF87" s="268" t="n"/>
      <c r="CG87" s="268" t="n"/>
      <c r="CH87" s="268" t="n"/>
      <c r="CI87" s="268" t="n"/>
      <c r="CJ87" s="268" t="n"/>
      <c r="CK87" s="268" t="n"/>
      <c r="CL87" s="268" t="n"/>
      <c r="CM87" s="268" t="n"/>
      <c r="CN87" s="268" t="n"/>
      <c r="CO87" s="268" t="n"/>
      <c r="CP87" s="268" t="n"/>
      <c r="CQ87" s="268" t="n"/>
      <c r="CR87" s="268" t="n"/>
      <c r="CS87" s="268" t="n"/>
      <c r="CT87" s="268" t="n"/>
      <c r="CU87" s="268" t="n"/>
      <c r="CV87" s="268" t="n"/>
      <c r="CW87" s="268" t="n"/>
      <c r="CX87" s="268" t="n"/>
      <c r="CY87" s="268" t="n"/>
    </row>
    <row r="88" hidden="1" outlineLevel="1" ht="12.75" customHeight="1" s="255">
      <c r="C88" s="312" t="n"/>
      <c r="D88" s="268" t="n"/>
      <c r="E88" s="268" t="n"/>
      <c r="F88" s="268" t="n"/>
      <c r="G88" s="268" t="n"/>
      <c r="H88" s="268" t="n"/>
      <c r="I88" s="268" t="n"/>
      <c r="J88" s="268" t="n"/>
      <c r="K88" s="268" t="n"/>
      <c r="L88" s="268" t="n"/>
      <c r="M88" s="268" t="n"/>
      <c r="N88" s="268" t="n"/>
      <c r="O88" s="268" t="n"/>
      <c r="P88" s="268" t="n"/>
      <c r="Q88" s="268" t="n"/>
      <c r="R88" s="268" t="n"/>
      <c r="S88" s="268" t="n"/>
      <c r="T88" s="268" t="n"/>
      <c r="U88" s="268" t="n"/>
      <c r="V88" s="268" t="n"/>
      <c r="W88" s="268" t="n"/>
      <c r="X88" s="268" t="n"/>
      <c r="Y88" s="268" t="n"/>
      <c r="Z88" s="268" t="n"/>
      <c r="AA88" s="268" t="n"/>
      <c r="AB88" s="268" t="n"/>
      <c r="AC88" s="268" t="n"/>
      <c r="AD88" s="268" t="n"/>
      <c r="AE88" s="268" t="n"/>
      <c r="AF88" s="268" t="n"/>
      <c r="AG88" s="268" t="n"/>
      <c r="AH88" s="268" t="n"/>
      <c r="AI88" s="268" t="n"/>
      <c r="AJ88" s="268" t="n"/>
      <c r="AK88" s="268" t="n"/>
      <c r="AL88" s="268" t="n"/>
      <c r="AM88" s="268" t="n"/>
      <c r="AN88" s="268" t="n"/>
      <c r="AO88" s="268" t="n"/>
      <c r="AP88" s="268" t="n"/>
      <c r="AQ88" s="268" t="n"/>
      <c r="AR88" s="268" t="n"/>
      <c r="AS88" s="268" t="n"/>
      <c r="AT88" s="268" t="n"/>
      <c r="AU88" s="268" t="n"/>
      <c r="AV88" s="268" t="n"/>
      <c r="AW88" s="268" t="n"/>
      <c r="AX88" s="268" t="n"/>
      <c r="AY88" s="268" t="n"/>
      <c r="AZ88" s="268" t="n"/>
      <c r="BA88" s="268" t="n"/>
      <c r="BB88" s="268" t="n"/>
      <c r="BC88" s="268" t="n"/>
      <c r="BD88" s="268" t="n"/>
      <c r="BE88" s="268" t="n"/>
      <c r="BF88" s="268" t="n"/>
      <c r="BG88" s="268" t="n"/>
      <c r="BH88" s="268" t="n"/>
      <c r="BI88" s="268" t="n"/>
      <c r="BJ88" s="268" t="n"/>
      <c r="BK88" s="268" t="n"/>
      <c r="BL88" s="268" t="n"/>
      <c r="BM88" s="268" t="n"/>
      <c r="BN88" s="268" t="n"/>
      <c r="BO88" s="268" t="n"/>
      <c r="BP88" s="268" t="n"/>
      <c r="BQ88" s="268" t="n"/>
      <c r="BR88" s="268" t="n"/>
      <c r="BS88" s="268" t="n"/>
      <c r="BT88" s="268" t="n"/>
      <c r="BU88" s="268" t="n"/>
      <c r="BV88" s="268" t="n"/>
      <c r="BW88" s="268" t="n"/>
      <c r="BX88" s="268" t="n"/>
      <c r="BY88" s="268" t="n"/>
      <c r="BZ88" s="268" t="n"/>
      <c r="CA88" s="268" t="n"/>
      <c r="CB88" s="268" t="n"/>
      <c r="CC88" s="268" t="n"/>
      <c r="CD88" s="268" t="n"/>
      <c r="CE88" s="268" t="n"/>
      <c r="CF88" s="268" t="n"/>
      <c r="CG88" s="268" t="n"/>
      <c r="CH88" s="268" t="n"/>
      <c r="CI88" s="268" t="n"/>
      <c r="CJ88" s="268" t="n"/>
      <c r="CK88" s="268" t="n"/>
      <c r="CL88" s="268" t="n"/>
      <c r="CM88" s="268" t="n"/>
      <c r="CN88" s="268" t="n"/>
      <c r="CO88" s="268" t="n"/>
      <c r="CP88" s="268" t="n"/>
      <c r="CQ88" s="268" t="n"/>
      <c r="CR88" s="268" t="n"/>
      <c r="CS88" s="268" t="n"/>
      <c r="CT88" s="268" t="n"/>
      <c r="CU88" s="268" t="n"/>
      <c r="CV88" s="268" t="n"/>
      <c r="CW88" s="268" t="n"/>
      <c r="CX88" s="268" t="n"/>
      <c r="CY88" s="268" t="n"/>
    </row>
    <row r="89" hidden="1" outlineLevel="1" ht="12.75" customHeight="1" s="255">
      <c r="C89" s="312" t="inlineStr">
        <is>
          <t>RECEITAS FINANCEIRAS - Rendimentos de aplicações financeiras</t>
        </is>
      </c>
      <c r="D89" s="268" t="n"/>
      <c r="E89" s="268" t="n"/>
      <c r="F89" s="268" t="n"/>
      <c r="G89" s="268" t="n"/>
      <c r="H89" s="268" t="n"/>
      <c r="I89" s="268" t="n"/>
      <c r="J89" s="268" t="n"/>
      <c r="K89" s="268" t="n"/>
      <c r="L89" s="268" t="n"/>
      <c r="M89" s="268" t="n"/>
      <c r="N89" s="268" t="n"/>
      <c r="O89" s="268" t="n"/>
      <c r="P89" s="268" t="n"/>
      <c r="Q89" s="268" t="n"/>
      <c r="R89" s="268" t="n"/>
      <c r="S89" s="268" t="n"/>
      <c r="T89" s="268" t="n"/>
      <c r="U89" s="268" t="n"/>
      <c r="V89" s="268" t="n"/>
      <c r="W89" s="268" t="n"/>
      <c r="X89" s="268" t="n"/>
      <c r="Y89" s="268" t="n"/>
      <c r="Z89" s="268" t="n"/>
      <c r="AA89" s="268" t="n"/>
      <c r="AB89" s="268" t="n"/>
      <c r="AC89" s="268" t="n"/>
      <c r="AD89" s="268" t="n"/>
      <c r="AE89" s="268" t="n"/>
      <c r="AF89" s="268" t="n"/>
      <c r="AG89" s="268" t="n"/>
      <c r="AH89" s="268" t="n"/>
      <c r="AI89" s="268" t="n"/>
      <c r="AJ89" s="268" t="n"/>
      <c r="AK89" s="268" t="n"/>
      <c r="AL89" s="268" t="n"/>
      <c r="AM89" s="268" t="n"/>
      <c r="AN89" s="268" t="n"/>
      <c r="AO89" s="268" t="n"/>
      <c r="AP89" s="268" t="n"/>
      <c r="AQ89" s="268" t="n"/>
      <c r="AR89" s="268" t="n"/>
      <c r="AS89" s="268" t="n"/>
      <c r="AT89" s="268" t="n"/>
      <c r="AU89" s="268" t="n"/>
      <c r="AV89" s="268" t="n"/>
      <c r="AW89" s="268" t="n"/>
      <c r="AX89" s="268" t="n"/>
      <c r="AY89" s="268" t="n"/>
      <c r="AZ89" s="268" t="n"/>
      <c r="BA89" s="268" t="n"/>
      <c r="BB89" s="268" t="n"/>
      <c r="BC89" s="268" t="n"/>
      <c r="BD89" s="268" t="n"/>
      <c r="BE89" s="268" t="n"/>
      <c r="BF89" s="268" t="n"/>
      <c r="BG89" s="268" t="n"/>
      <c r="BH89" s="268" t="n"/>
      <c r="BI89" s="268" t="n"/>
      <c r="BJ89" s="268" t="n"/>
      <c r="BK89" s="268" t="n"/>
      <c r="BL89" s="268" t="n"/>
      <c r="BM89" s="268" t="n"/>
      <c r="BN89" s="268" t="n"/>
      <c r="BO89" s="268" t="n"/>
      <c r="BP89" s="268" t="n"/>
      <c r="BQ89" s="268" t="n"/>
      <c r="BR89" s="268" t="n"/>
      <c r="BS89" s="268" t="n"/>
      <c r="BT89" s="268" t="n"/>
      <c r="BU89" s="268" t="n"/>
      <c r="BV89" s="268" t="n"/>
      <c r="BW89" s="268" t="n"/>
      <c r="BX89" s="268" t="n"/>
      <c r="BY89" s="268" t="n"/>
      <c r="BZ89" s="268" t="n"/>
      <c r="CA89" s="268" t="n"/>
      <c r="CB89" s="268" t="n"/>
      <c r="CC89" s="268" t="n"/>
      <c r="CD89" s="268" t="n"/>
      <c r="CE89" s="268" t="n"/>
      <c r="CF89" s="268" t="n"/>
      <c r="CG89" s="268" t="n"/>
      <c r="CH89" s="268" t="n"/>
      <c r="CI89" s="268" t="n"/>
      <c r="CJ89" s="268" t="n"/>
      <c r="CK89" s="268" t="n"/>
      <c r="CL89" s="268" t="n"/>
      <c r="CM89" s="268" t="n"/>
      <c r="CN89" s="268" t="n"/>
      <c r="CO89" s="268" t="n"/>
      <c r="CP89" s="268" t="n"/>
      <c r="CQ89" s="268" t="n"/>
      <c r="CR89" s="268" t="n"/>
      <c r="CS89" s="268" t="n"/>
      <c r="CT89" s="268" t="n"/>
      <c r="CU89" s="268" t="n"/>
      <c r="CV89" s="268" t="n"/>
      <c r="CW89" s="268" t="n"/>
      <c r="CX89" s="268" t="n"/>
      <c r="CY89" s="268" t="n"/>
    </row>
    <row r="90" hidden="1" outlineLevel="1" ht="12.75" customHeight="1" s="255">
      <c r="C90" s="312" t="inlineStr">
        <is>
          <t>RECEITAS FINANCEIRAS - Variação cambial ativa</t>
        </is>
      </c>
      <c r="D90" s="268" t="n"/>
      <c r="E90" s="268" t="n"/>
      <c r="F90" s="268" t="n"/>
      <c r="G90" s="268" t="n"/>
      <c r="H90" s="268" t="n"/>
      <c r="I90" s="268" t="n"/>
      <c r="J90" s="268" t="n"/>
      <c r="K90" s="268" t="n"/>
      <c r="L90" s="268" t="n"/>
      <c r="M90" s="268" t="n"/>
      <c r="N90" s="268" t="n"/>
      <c r="O90" s="268" t="n"/>
      <c r="P90" s="268" t="n"/>
      <c r="Q90" s="268" t="n"/>
      <c r="R90" s="268" t="n"/>
      <c r="S90" s="268" t="n"/>
      <c r="T90" s="268" t="n"/>
      <c r="U90" s="268" t="n"/>
      <c r="V90" s="268" t="n"/>
      <c r="W90" s="268" t="n"/>
      <c r="X90" s="268" t="n"/>
      <c r="Y90" s="268" t="n"/>
      <c r="Z90" s="268" t="n"/>
      <c r="AA90" s="268" t="n"/>
      <c r="AB90" s="268" t="n"/>
      <c r="AC90" s="268" t="n"/>
      <c r="AD90" s="268" t="n"/>
      <c r="AE90" s="268" t="n"/>
      <c r="AF90" s="268" t="n"/>
      <c r="AG90" s="268" t="n"/>
      <c r="AH90" s="268" t="n"/>
      <c r="AI90" s="268" t="n"/>
      <c r="AJ90" s="268" t="n"/>
      <c r="AK90" s="268" t="n"/>
      <c r="AL90" s="268" t="n"/>
      <c r="AM90" s="268" t="n"/>
      <c r="AN90" s="268" t="n"/>
      <c r="AO90" s="268" t="n"/>
      <c r="AP90" s="268" t="n"/>
      <c r="AQ90" s="268" t="n"/>
      <c r="AR90" s="268" t="n"/>
      <c r="AS90" s="268" t="n"/>
      <c r="AT90" s="268" t="n"/>
      <c r="AU90" s="268" t="n"/>
      <c r="AV90" s="268" t="n"/>
      <c r="AW90" s="268" t="n"/>
      <c r="AX90" s="268" t="n"/>
      <c r="AY90" s="268" t="n"/>
      <c r="AZ90" s="268" t="n"/>
      <c r="BA90" s="268" t="n"/>
      <c r="BB90" s="268" t="n"/>
      <c r="BC90" s="268" t="n"/>
      <c r="BD90" s="268" t="n"/>
      <c r="BE90" s="268" t="n"/>
      <c r="BF90" s="268" t="n"/>
      <c r="BG90" s="268" t="n"/>
      <c r="BH90" s="268" t="n"/>
      <c r="BI90" s="268" t="n"/>
      <c r="BJ90" s="268" t="n"/>
      <c r="BK90" s="268" t="n"/>
      <c r="BL90" s="268" t="n"/>
      <c r="BM90" s="268" t="n"/>
      <c r="BN90" s="268" t="n"/>
      <c r="BO90" s="268" t="n"/>
      <c r="BP90" s="268" t="n"/>
      <c r="BQ90" s="268" t="n"/>
      <c r="BR90" s="268" t="n"/>
      <c r="BS90" s="268" t="n"/>
      <c r="BT90" s="268" t="n"/>
      <c r="BU90" s="268" t="n"/>
      <c r="BV90" s="268" t="n"/>
      <c r="BW90" s="268" t="n"/>
      <c r="BX90" s="268" t="n"/>
      <c r="BY90" s="268" t="n"/>
      <c r="BZ90" s="268" t="n"/>
      <c r="CA90" s="268" t="n"/>
      <c r="CB90" s="268" t="n"/>
      <c r="CC90" s="268" t="n"/>
      <c r="CD90" s="268" t="n"/>
      <c r="CE90" s="268" t="n"/>
      <c r="CF90" s="268" t="n"/>
      <c r="CG90" s="268" t="n"/>
      <c r="CH90" s="268" t="n"/>
      <c r="CI90" s="268" t="n"/>
      <c r="CJ90" s="268" t="n"/>
      <c r="CK90" s="268" t="n"/>
      <c r="CL90" s="268" t="n"/>
      <c r="CM90" s="268" t="n"/>
      <c r="CN90" s="268" t="n"/>
      <c r="CO90" s="268" t="n"/>
      <c r="CP90" s="268" t="n"/>
      <c r="CQ90" s="268" t="n"/>
      <c r="CR90" s="268" t="n"/>
      <c r="CS90" s="268" t="n"/>
      <c r="CT90" s="268" t="n"/>
      <c r="CU90" s="268" t="n"/>
      <c r="CV90" s="268" t="n"/>
      <c r="CW90" s="268" t="n"/>
      <c r="CX90" s="268" t="n"/>
      <c r="CY90" s="268" t="n"/>
    </row>
    <row r="91" hidden="1" outlineLevel="1" ht="12.75" customHeight="1" s="255">
      <c r="C91" s="312" t="inlineStr">
        <is>
          <t>RECEITAS FINANCEIRAS - Atualização de contas a pagar por aquisição de empresas</t>
        </is>
      </c>
      <c r="D91" s="268" t="n"/>
      <c r="E91" s="268" t="n"/>
      <c r="F91" s="268" t="n"/>
      <c r="G91" s="268" t="n"/>
      <c r="H91" s="268" t="n"/>
      <c r="I91" s="268" t="n"/>
      <c r="J91" s="268" t="n"/>
      <c r="K91" s="268" t="n"/>
      <c r="L91" s="268" t="n"/>
      <c r="M91" s="268" t="n"/>
      <c r="N91" s="268" t="n"/>
      <c r="O91" s="268" t="n"/>
      <c r="P91" s="268" t="n"/>
      <c r="Q91" s="268" t="n"/>
      <c r="R91" s="268" t="n"/>
      <c r="S91" s="268" t="n"/>
      <c r="T91" s="268" t="n"/>
      <c r="U91" s="268" t="n"/>
      <c r="V91" s="268" t="n"/>
      <c r="W91" s="268" t="n"/>
      <c r="X91" s="268" t="n"/>
      <c r="Y91" s="268" t="n"/>
      <c r="Z91" s="268" t="n"/>
      <c r="AA91" s="268" t="n"/>
      <c r="AB91" s="268" t="n"/>
      <c r="AC91" s="268" t="n"/>
      <c r="AD91" s="268" t="n"/>
      <c r="AE91" s="268" t="n"/>
      <c r="AF91" s="268" t="n"/>
      <c r="AG91" s="268" t="n"/>
      <c r="AH91" s="268" t="n"/>
      <c r="AI91" s="268" t="n"/>
      <c r="AJ91" s="268" t="n"/>
      <c r="AK91" s="268" t="n"/>
      <c r="AL91" s="268" t="n"/>
      <c r="AM91" s="268" t="n"/>
      <c r="AN91" s="268" t="n"/>
      <c r="AO91" s="268" t="n"/>
      <c r="AP91" s="268" t="n"/>
      <c r="AQ91" s="268" t="n"/>
      <c r="AR91" s="268" t="n"/>
      <c r="AS91" s="268" t="n"/>
      <c r="AT91" s="268" t="n"/>
      <c r="AU91" s="268" t="n"/>
      <c r="AV91" s="268" t="n"/>
      <c r="AW91" s="268" t="n"/>
      <c r="AX91" s="268" t="n"/>
      <c r="AY91" s="268" t="n"/>
      <c r="AZ91" s="268" t="n"/>
      <c r="BA91" s="268" t="n"/>
      <c r="BB91" s="268" t="n"/>
      <c r="BC91" s="268" t="n"/>
      <c r="BD91" s="268" t="n"/>
      <c r="BE91" s="268" t="n"/>
      <c r="BF91" s="268" t="n"/>
      <c r="BG91" s="268" t="n"/>
      <c r="BH91" s="268" t="n"/>
      <c r="BI91" s="268" t="n"/>
      <c r="BJ91" s="268" t="n"/>
      <c r="BK91" s="268" t="n"/>
      <c r="BL91" s="268" t="n"/>
      <c r="BM91" s="268" t="n"/>
      <c r="BN91" s="268" t="n"/>
      <c r="BO91" s="268" t="n"/>
      <c r="BP91" s="268" t="n"/>
      <c r="BQ91" s="268" t="n"/>
      <c r="BR91" s="268" t="n"/>
      <c r="BS91" s="268" t="n"/>
      <c r="BT91" s="268" t="n"/>
      <c r="BU91" s="268" t="n"/>
      <c r="BV91" s="268" t="n"/>
      <c r="BW91" s="268" t="n"/>
      <c r="BX91" s="268" t="n"/>
      <c r="BY91" s="268" t="n"/>
      <c r="BZ91" s="268" t="n"/>
      <c r="CA91" s="268" t="n"/>
      <c r="CB91" s="268" t="n"/>
      <c r="CC91" s="268" t="n"/>
      <c r="CD91" s="268" t="n"/>
      <c r="CE91" s="268" t="n"/>
      <c r="CF91" s="268" t="n"/>
      <c r="CG91" s="268" t="n"/>
      <c r="CH91" s="268" t="n"/>
      <c r="CI91" s="268" t="n"/>
      <c r="CJ91" s="268" t="n"/>
      <c r="CK91" s="268" t="n"/>
      <c r="CL91" s="268" t="n"/>
      <c r="CM91" s="268" t="n"/>
      <c r="CN91" s="268" t="n"/>
      <c r="CO91" s="268" t="n"/>
      <c r="CP91" s="268" t="n"/>
      <c r="CQ91" s="268" t="n"/>
      <c r="CR91" s="268" t="n"/>
      <c r="CS91" s="268" t="n"/>
      <c r="CT91" s="268" t="n"/>
      <c r="CU91" s="268" t="n"/>
      <c r="CV91" s="268" t="n"/>
      <c r="CW91" s="268" t="n"/>
      <c r="CX91" s="268" t="n"/>
      <c r="CY91" s="268" t="n"/>
    </row>
    <row r="92" hidden="1" outlineLevel="1" ht="12.75" customHeight="1" s="255">
      <c r="C92" s="312" t="inlineStr">
        <is>
          <t>RECEITAS FINANCEIRAS - Resultado positivo com instrumentos derivativos</t>
        </is>
      </c>
      <c r="D92" s="268" t="n"/>
      <c r="E92" s="268" t="n"/>
      <c r="F92" s="268" t="n"/>
      <c r="G92" s="268" t="n"/>
      <c r="H92" s="268" t="n"/>
      <c r="I92" s="268" t="n"/>
      <c r="J92" s="268" t="n"/>
      <c r="K92" s="268" t="n"/>
      <c r="L92" s="268" t="n"/>
      <c r="M92" s="268" t="n"/>
      <c r="N92" s="268" t="n"/>
      <c r="O92" s="268" t="n"/>
      <c r="P92" s="268" t="n"/>
      <c r="Q92" s="268" t="n"/>
      <c r="R92" s="268" t="n"/>
      <c r="S92" s="268" t="n"/>
      <c r="T92" s="268" t="n"/>
      <c r="U92" s="268" t="n"/>
      <c r="V92" s="268" t="n"/>
      <c r="W92" s="268" t="n"/>
      <c r="X92" s="268" t="n"/>
      <c r="Y92" s="268" t="n"/>
      <c r="Z92" s="268" t="n"/>
      <c r="AA92" s="268" t="n"/>
      <c r="AB92" s="268" t="n"/>
      <c r="AC92" s="268" t="n"/>
      <c r="AD92" s="268" t="n"/>
      <c r="AE92" s="268" t="n"/>
      <c r="AF92" s="268" t="n"/>
      <c r="AG92" s="268" t="n"/>
      <c r="AH92" s="268" t="n"/>
      <c r="AI92" s="268" t="n"/>
      <c r="AJ92" s="268" t="n"/>
      <c r="AK92" s="268" t="n"/>
      <c r="AL92" s="268" t="n"/>
      <c r="AM92" s="268" t="n"/>
      <c r="AN92" s="268" t="n"/>
      <c r="AO92" s="268" t="n"/>
      <c r="AP92" s="268" t="n"/>
      <c r="AQ92" s="268" t="n"/>
      <c r="AR92" s="268" t="n"/>
      <c r="AS92" s="268" t="n"/>
      <c r="AT92" s="268" t="n"/>
      <c r="AU92" s="268" t="n"/>
      <c r="AV92" s="268" t="n"/>
      <c r="AW92" s="268" t="n"/>
      <c r="AX92" s="268" t="n"/>
      <c r="AY92" s="268" t="n"/>
      <c r="AZ92" s="268" t="n"/>
      <c r="BA92" s="268" t="n"/>
      <c r="BB92" s="268" t="n"/>
      <c r="BC92" s="268" t="n"/>
      <c r="BD92" s="268" t="n"/>
      <c r="BE92" s="268" t="n"/>
      <c r="BF92" s="268" t="n"/>
      <c r="BG92" s="268" t="n"/>
      <c r="BH92" s="268" t="n"/>
      <c r="BI92" s="268" t="n"/>
      <c r="BJ92" s="268" t="n"/>
      <c r="BK92" s="268" t="n"/>
      <c r="BL92" s="268" t="n"/>
      <c r="BM92" s="268" t="n"/>
      <c r="BN92" s="268" t="n"/>
      <c r="BO92" s="268" t="n"/>
      <c r="BP92" s="268" t="n"/>
      <c r="BQ92" s="268" t="n"/>
      <c r="BR92" s="268" t="n"/>
      <c r="BS92" s="268" t="n"/>
      <c r="BT92" s="268" t="n"/>
      <c r="BU92" s="268" t="n"/>
      <c r="BV92" s="268" t="n"/>
      <c r="BW92" s="268" t="n"/>
      <c r="BX92" s="268" t="n"/>
      <c r="BY92" s="268" t="n"/>
      <c r="BZ92" s="268" t="n"/>
      <c r="CA92" s="268" t="n"/>
      <c r="CB92" s="268" t="n"/>
      <c r="CC92" s="268" t="n"/>
      <c r="CD92" s="268" t="n"/>
      <c r="CE92" s="268" t="n"/>
      <c r="CF92" s="268" t="n"/>
      <c r="CG92" s="268" t="n"/>
      <c r="CH92" s="268" t="n"/>
      <c r="CI92" s="268" t="n"/>
      <c r="CJ92" s="268" t="n"/>
      <c r="CK92" s="268" t="n"/>
      <c r="CL92" s="268" t="n"/>
      <c r="CM92" s="268" t="n"/>
      <c r="CN92" s="268" t="n"/>
      <c r="CO92" s="268" t="n"/>
      <c r="CP92" s="268" t="n"/>
      <c r="CQ92" s="268" t="n"/>
      <c r="CR92" s="268" t="n"/>
      <c r="CS92" s="268" t="n"/>
      <c r="CT92" s="268" t="n"/>
      <c r="CU92" s="268" t="n"/>
      <c r="CV92" s="268" t="n"/>
      <c r="CW92" s="268" t="n"/>
      <c r="CX92" s="268" t="n"/>
      <c r="CY92" s="268" t="n"/>
    </row>
    <row r="93" hidden="1" outlineLevel="1" ht="12.75" customHeight="1" s="255">
      <c r="C93" s="312" t="inlineStr">
        <is>
          <t>RECEITAS FINANCEIRAS - Descontos obtidos de fornecedores por antecipação</t>
        </is>
      </c>
      <c r="D93" s="268" t="n"/>
      <c r="E93" s="268" t="n"/>
      <c r="F93" s="268" t="n"/>
      <c r="G93" s="268" t="n"/>
      <c r="H93" s="268" t="n"/>
      <c r="I93" s="268" t="n"/>
      <c r="J93" s="268" t="n"/>
      <c r="K93" s="268" t="n"/>
      <c r="L93" s="268" t="n"/>
      <c r="M93" s="268" t="n"/>
      <c r="N93" s="268" t="n"/>
      <c r="O93" s="268" t="n"/>
      <c r="P93" s="268" t="n"/>
      <c r="Q93" s="268" t="n"/>
      <c r="R93" s="268" t="n"/>
      <c r="S93" s="268" t="n"/>
      <c r="T93" s="268" t="n"/>
      <c r="U93" s="268" t="n"/>
      <c r="V93" s="268" t="n"/>
      <c r="W93" s="268" t="n"/>
      <c r="X93" s="268" t="n"/>
      <c r="Y93" s="268" t="n"/>
      <c r="Z93" s="268" t="n"/>
      <c r="AA93" s="268" t="n"/>
      <c r="AB93" s="268" t="n"/>
      <c r="AC93" s="268" t="n"/>
      <c r="AD93" s="268" t="n"/>
      <c r="AE93" s="268" t="n"/>
      <c r="AF93" s="268" t="n"/>
      <c r="AG93" s="268" t="n"/>
      <c r="AH93" s="268" t="n"/>
      <c r="AI93" s="268" t="n"/>
      <c r="AJ93" s="268" t="n"/>
      <c r="AK93" s="268" t="n"/>
      <c r="AL93" s="268" t="n"/>
      <c r="AM93" s="268" t="n"/>
      <c r="AN93" s="268" t="n"/>
      <c r="AO93" s="268" t="n"/>
      <c r="AP93" s="268" t="n"/>
      <c r="AQ93" s="268" t="n"/>
      <c r="AR93" s="268" t="n"/>
      <c r="AS93" s="268" t="n"/>
      <c r="AT93" s="268" t="n"/>
      <c r="AU93" s="268" t="n"/>
      <c r="AV93" s="268" t="n"/>
      <c r="AW93" s="268" t="n"/>
      <c r="AX93" s="268" t="n"/>
      <c r="AY93" s="268" t="n"/>
      <c r="AZ93" s="268" t="n"/>
      <c r="BA93" s="268" t="n"/>
      <c r="BB93" s="268" t="n"/>
      <c r="BC93" s="268" t="n"/>
      <c r="BD93" s="268" t="n"/>
      <c r="BE93" s="268" t="n"/>
      <c r="BF93" s="268" t="n"/>
      <c r="BG93" s="268" t="n"/>
      <c r="BH93" s="268" t="n"/>
      <c r="BI93" s="268" t="n"/>
      <c r="BJ93" s="268" t="n"/>
      <c r="BK93" s="268" t="n"/>
      <c r="BL93" s="268" t="n"/>
      <c r="BM93" s="268" t="n"/>
      <c r="BN93" s="268" t="n"/>
      <c r="BO93" s="268" t="n"/>
      <c r="BP93" s="268" t="n"/>
      <c r="BQ93" s="268" t="n"/>
      <c r="BR93" s="268" t="n"/>
      <c r="BS93" s="268" t="n"/>
      <c r="BT93" s="268" t="n"/>
      <c r="BU93" s="268" t="n"/>
      <c r="BV93" s="268" t="n"/>
      <c r="BW93" s="268" t="n"/>
      <c r="BX93" s="268" t="n"/>
      <c r="BY93" s="268" t="n"/>
      <c r="BZ93" s="268" t="n"/>
      <c r="CA93" s="268" t="n"/>
      <c r="CB93" s="268" t="n"/>
      <c r="CC93" s="268" t="n"/>
      <c r="CD93" s="268" t="n"/>
      <c r="CE93" s="268" t="n"/>
      <c r="CF93" s="268" t="n"/>
      <c r="CG93" s="268" t="n"/>
      <c r="CH93" s="268" t="n"/>
      <c r="CI93" s="268" t="n"/>
      <c r="CJ93" s="268" t="n"/>
      <c r="CK93" s="268" t="n"/>
      <c r="CL93" s="268" t="n"/>
      <c r="CM93" s="268" t="n"/>
      <c r="CN93" s="268" t="n"/>
      <c r="CO93" s="268" t="n"/>
      <c r="CP93" s="268" t="n"/>
      <c r="CQ93" s="268" t="n"/>
      <c r="CR93" s="268" t="n"/>
      <c r="CS93" s="268" t="n"/>
      <c r="CT93" s="268" t="n"/>
      <c r="CU93" s="268" t="n"/>
      <c r="CV93" s="268" t="n"/>
      <c r="CW93" s="268" t="n"/>
      <c r="CX93" s="268" t="n"/>
      <c r="CY93" s="268" t="n"/>
    </row>
    <row r="94" hidden="1" outlineLevel="1" ht="12.75" customHeight="1" s="255">
      <c r="C94" s="312" t="inlineStr">
        <is>
          <t>RECEITAS FINANCEIRAS - Atualização monetária sobre Exclusão ICMS da base de PIS/COFINS (nota explicativa nº 7)</t>
        </is>
      </c>
      <c r="D94" s="268" t="n"/>
      <c r="E94" s="268" t="n"/>
      <c r="F94" s="268" t="n"/>
      <c r="G94" s="268" t="n"/>
      <c r="H94" s="268" t="n"/>
      <c r="I94" s="268" t="n"/>
      <c r="J94" s="268" t="n"/>
      <c r="K94" s="268" t="n"/>
      <c r="L94" s="268" t="n"/>
      <c r="M94" s="268" t="n"/>
      <c r="N94" s="268" t="n"/>
      <c r="O94" s="268" t="n"/>
      <c r="P94" s="268" t="n"/>
      <c r="Q94" s="268" t="n"/>
      <c r="R94" s="268" t="n"/>
      <c r="S94" s="268" t="n"/>
      <c r="T94" s="268" t="n"/>
      <c r="U94" s="268" t="n"/>
      <c r="V94" s="268" t="n"/>
      <c r="W94" s="268" t="n"/>
      <c r="X94" s="268" t="n"/>
      <c r="Y94" s="268" t="n"/>
      <c r="Z94" s="268" t="n"/>
      <c r="AA94" s="268" t="n"/>
      <c r="AB94" s="268" t="n"/>
      <c r="AC94" s="268" t="n"/>
      <c r="AD94" s="268" t="n"/>
      <c r="AE94" s="268" t="n"/>
      <c r="AF94" s="268" t="n"/>
      <c r="AG94" s="268" t="n"/>
      <c r="AH94" s="268" t="n"/>
      <c r="AI94" s="268" t="n"/>
      <c r="AJ94" s="268" t="n"/>
      <c r="AK94" s="268" t="n"/>
      <c r="AL94" s="268" t="n"/>
      <c r="AM94" s="268" t="n"/>
      <c r="AN94" s="268" t="n"/>
      <c r="AO94" s="268" t="n"/>
      <c r="AP94" s="268" t="n"/>
      <c r="AQ94" s="268" t="n"/>
      <c r="AR94" s="268" t="n"/>
      <c r="AS94" s="268" t="n"/>
      <c r="AT94" s="268" t="n"/>
      <c r="AU94" s="268" t="n"/>
      <c r="AV94" s="268" t="n"/>
      <c r="AW94" s="268" t="n"/>
      <c r="AX94" s="268" t="n"/>
      <c r="AY94" s="268" t="n"/>
      <c r="AZ94" s="268" t="n"/>
      <c r="BA94" s="268" t="n"/>
      <c r="BB94" s="268" t="n"/>
      <c r="BC94" s="268" t="n"/>
      <c r="BD94" s="268" t="n"/>
      <c r="BE94" s="268" t="n"/>
      <c r="BF94" s="268" t="n"/>
      <c r="BG94" s="268" t="n"/>
      <c r="BH94" s="268" t="n"/>
      <c r="BI94" s="268" t="n"/>
      <c r="BJ94" s="268" t="n"/>
      <c r="BK94" s="268" t="n"/>
      <c r="BL94" s="268" t="n"/>
      <c r="BM94" s="268" t="n"/>
      <c r="BN94" s="268" t="n"/>
      <c r="BO94" s="268" t="n"/>
      <c r="BP94" s="268" t="n"/>
      <c r="BQ94" s="268" t="n"/>
      <c r="BR94" s="268" t="n"/>
      <c r="BS94" s="268" t="n"/>
      <c r="BT94" s="268" t="n"/>
      <c r="BU94" s="268" t="n"/>
      <c r="BV94" s="268" t="n"/>
      <c r="BW94" s="268" t="n"/>
      <c r="BX94" s="268" t="n"/>
      <c r="BY94" s="268" t="n"/>
      <c r="BZ94" s="268" t="n"/>
      <c r="CA94" s="268" t="n"/>
      <c r="CB94" s="268" t="n"/>
      <c r="CC94" s="268" t="n"/>
      <c r="CD94" s="268" t="n"/>
      <c r="CE94" s="268" t="n"/>
      <c r="CF94" s="268" t="n"/>
      <c r="CG94" s="268" t="n"/>
      <c r="CH94" s="268" t="n"/>
      <c r="CI94" s="268" t="n"/>
      <c r="CJ94" s="268" t="n"/>
      <c r="CK94" s="268" t="n"/>
      <c r="CL94" s="268" t="n"/>
      <c r="CM94" s="268" t="n"/>
      <c r="CN94" s="268" t="n"/>
      <c r="CO94" s="268" t="n"/>
      <c r="CP94" s="268" t="n"/>
      <c r="CQ94" s="268" t="n"/>
      <c r="CR94" s="268" t="n"/>
      <c r="CS94" s="268" t="n"/>
      <c r="CT94" s="268" t="n"/>
      <c r="CU94" s="268" t="n"/>
      <c r="CV94" s="268" t="n"/>
      <c r="CW94" s="268" t="n"/>
      <c r="CX94" s="268" t="n"/>
      <c r="CY94" s="268" t="n"/>
    </row>
    <row r="95" hidden="1" outlineLevel="1" ht="12.75" customHeight="1" s="255">
      <c r="C95" s="312" t="inlineStr">
        <is>
          <t>RECEITAS FINANCEIRAS - Outras</t>
        </is>
      </c>
      <c r="D95" s="268" t="n"/>
      <c r="E95" s="268" t="n"/>
      <c r="F95" s="268" t="n"/>
      <c r="G95" s="268" t="n"/>
      <c r="H95" s="268" t="n"/>
      <c r="I95" s="268" t="n"/>
      <c r="J95" s="268" t="n"/>
      <c r="K95" s="268" t="n"/>
      <c r="L95" s="268" t="n"/>
      <c r="M95" s="268" t="n"/>
      <c r="N95" s="268" t="n"/>
      <c r="O95" s="268" t="n"/>
      <c r="P95" s="268" t="n"/>
      <c r="Q95" s="268" t="n"/>
      <c r="R95" s="268" t="n"/>
      <c r="S95" s="268" t="n"/>
      <c r="T95" s="268" t="n"/>
      <c r="U95" s="268" t="n"/>
      <c r="V95" s="268" t="n"/>
      <c r="W95" s="268" t="n"/>
      <c r="X95" s="268" t="n"/>
      <c r="Y95" s="268" t="n"/>
      <c r="Z95" s="268" t="n"/>
      <c r="AA95" s="268" t="n"/>
      <c r="AB95" s="268" t="n"/>
      <c r="AC95" s="268" t="n"/>
      <c r="AD95" s="268" t="n"/>
      <c r="AE95" s="268" t="n"/>
      <c r="AF95" s="268" t="n"/>
      <c r="AG95" s="268" t="n"/>
      <c r="AH95" s="268" t="n"/>
      <c r="AI95" s="268" t="n"/>
      <c r="AJ95" s="268" t="n"/>
      <c r="AK95" s="268" t="n"/>
      <c r="AL95" s="268" t="n"/>
      <c r="AM95" s="268" t="n"/>
      <c r="AN95" s="268" t="n"/>
      <c r="AO95" s="268" t="n"/>
      <c r="AP95" s="268" t="n"/>
      <c r="AQ95" s="268" t="n"/>
      <c r="AR95" s="268" t="n"/>
      <c r="AS95" s="268" t="n"/>
      <c r="AT95" s="268" t="n"/>
      <c r="AU95" s="268" t="n"/>
      <c r="AV95" s="268" t="n"/>
      <c r="AW95" s="268" t="n"/>
      <c r="AX95" s="268" t="n"/>
      <c r="AY95" s="268" t="n"/>
      <c r="AZ95" s="268" t="n"/>
      <c r="BA95" s="268" t="n"/>
      <c r="BB95" s="268" t="n"/>
      <c r="BC95" s="268" t="n"/>
      <c r="BD95" s="268" t="n"/>
      <c r="BE95" s="268" t="n"/>
      <c r="BF95" s="268" t="n"/>
      <c r="BG95" s="268" t="n"/>
      <c r="BH95" s="268" t="n"/>
      <c r="BI95" s="268" t="n"/>
      <c r="BJ95" s="268" t="n"/>
      <c r="BK95" s="268" t="n"/>
      <c r="BL95" s="268" t="n"/>
      <c r="BM95" s="268" t="n"/>
      <c r="BN95" s="268" t="n"/>
      <c r="BO95" s="268" t="n"/>
      <c r="BP95" s="268" t="n"/>
      <c r="BQ95" s="268" t="n"/>
      <c r="BR95" s="268" t="n"/>
      <c r="BS95" s="268" t="n"/>
      <c r="BT95" s="268" t="n"/>
      <c r="BU95" s="268" t="n"/>
      <c r="BV95" s="268" t="n"/>
      <c r="BW95" s="268" t="n"/>
      <c r="BX95" s="268" t="n"/>
      <c r="BY95" s="268" t="n"/>
      <c r="BZ95" s="268" t="n"/>
      <c r="CA95" s="268" t="n"/>
      <c r="CB95" s="268" t="n"/>
      <c r="CC95" s="268" t="n"/>
      <c r="CD95" s="268" t="n"/>
      <c r="CE95" s="268" t="n"/>
      <c r="CF95" s="268" t="n"/>
      <c r="CG95" s="268" t="n"/>
      <c r="CH95" s="268" t="n"/>
      <c r="CI95" s="268" t="n"/>
      <c r="CJ95" s="268" t="n"/>
      <c r="CK95" s="268" t="n"/>
      <c r="CL95" s="268" t="n"/>
      <c r="CM95" s="268" t="n"/>
      <c r="CN95" s="268" t="n"/>
      <c r="CO95" s="268" t="n"/>
      <c r="CP95" s="268" t="n"/>
      <c r="CQ95" s="268" t="n"/>
      <c r="CR95" s="268" t="n"/>
      <c r="CS95" s="268" t="n"/>
      <c r="CT95" s="268" t="n"/>
      <c r="CU95" s="268" t="n"/>
      <c r="CV95" s="268" t="n"/>
      <c r="CW95" s="268" t="n"/>
      <c r="CX95" s="268" t="n"/>
      <c r="CY95" s="268" t="n"/>
    </row>
    <row r="96" hidden="1" outlineLevel="1" ht="12.75" customHeight="1" s="255">
      <c r="C96" s="312" t="n"/>
      <c r="D96" s="268" t="n"/>
      <c r="E96" s="268" t="n"/>
      <c r="F96" s="268" t="n"/>
      <c r="G96" s="268" t="n"/>
      <c r="H96" s="268" t="n"/>
      <c r="I96" s="268" t="n"/>
      <c r="J96" s="268" t="n"/>
      <c r="K96" s="268" t="n"/>
      <c r="L96" s="268" t="n"/>
      <c r="M96" s="268" t="n"/>
      <c r="N96" s="268" t="n"/>
      <c r="O96" s="268" t="n"/>
      <c r="P96" s="268" t="n"/>
      <c r="Q96" s="268" t="n"/>
      <c r="R96" s="268" t="n"/>
      <c r="S96" s="268" t="n"/>
      <c r="T96" s="268" t="n"/>
      <c r="U96" s="268" t="n"/>
      <c r="V96" s="268" t="n"/>
      <c r="W96" s="268" t="n"/>
      <c r="X96" s="268" t="n"/>
      <c r="Y96" s="268" t="n"/>
      <c r="Z96" s="268" t="n"/>
      <c r="AA96" s="268" t="n"/>
      <c r="AB96" s="268" t="n"/>
      <c r="AC96" s="268" t="n"/>
      <c r="AD96" s="268" t="n"/>
      <c r="AE96" s="268" t="n"/>
      <c r="AF96" s="268" t="n"/>
      <c r="AG96" s="268" t="n"/>
      <c r="AH96" s="268" t="n"/>
      <c r="AI96" s="268" t="n"/>
      <c r="AJ96" s="268" t="n"/>
      <c r="AK96" s="268" t="n"/>
      <c r="AL96" s="268" t="n"/>
      <c r="AM96" s="268" t="n"/>
      <c r="AN96" s="268" t="n"/>
      <c r="AO96" s="268" t="n"/>
      <c r="AP96" s="268" t="n"/>
      <c r="AQ96" s="268" t="n"/>
      <c r="AR96" s="268" t="n"/>
      <c r="AS96" s="268" t="n"/>
      <c r="AT96" s="268" t="n"/>
      <c r="AU96" s="268" t="n"/>
      <c r="AV96" s="268" t="n"/>
      <c r="AW96" s="268" t="n"/>
      <c r="AX96" s="268" t="n"/>
      <c r="AY96" s="268" t="n"/>
      <c r="AZ96" s="268" t="n"/>
      <c r="BA96" s="268" t="n"/>
      <c r="BB96" s="268" t="n"/>
      <c r="BC96" s="268" t="n"/>
      <c r="BD96" s="268" t="n"/>
      <c r="BE96" s="268" t="n"/>
      <c r="BF96" s="268" t="n"/>
      <c r="BG96" s="268" t="n"/>
      <c r="BH96" s="268" t="n"/>
      <c r="BI96" s="268" t="n"/>
      <c r="BJ96" s="268" t="n"/>
      <c r="BK96" s="268" t="n"/>
      <c r="BL96" s="268" t="n"/>
      <c r="BM96" s="268" t="n"/>
      <c r="BN96" s="268" t="n"/>
      <c r="BO96" s="268" t="n"/>
      <c r="BP96" s="268" t="n"/>
      <c r="BQ96" s="268" t="n"/>
      <c r="BR96" s="268" t="n"/>
      <c r="BS96" s="268" t="n"/>
      <c r="BT96" s="268" t="n"/>
      <c r="BU96" s="268" t="n"/>
      <c r="BV96" s="268" t="n"/>
      <c r="BW96" s="268" t="n"/>
      <c r="BX96" s="268" t="n"/>
      <c r="BY96" s="268" t="n"/>
      <c r="BZ96" s="268" t="n"/>
      <c r="CA96" s="268" t="n"/>
      <c r="CB96" s="268" t="n"/>
      <c r="CC96" s="268" t="n"/>
      <c r="CD96" s="268" t="n"/>
      <c r="CE96" s="268" t="n"/>
      <c r="CF96" s="268" t="n"/>
      <c r="CG96" s="268" t="n"/>
      <c r="CH96" s="268" t="n"/>
      <c r="CI96" s="268" t="n"/>
      <c r="CJ96" s="268" t="n"/>
      <c r="CK96" s="268" t="n"/>
      <c r="CL96" s="268" t="n"/>
      <c r="CM96" s="268" t="n"/>
      <c r="CN96" s="268" t="n"/>
      <c r="CO96" s="268" t="n"/>
      <c r="CP96" s="268" t="n"/>
      <c r="CQ96" s="268" t="n"/>
      <c r="CR96" s="268" t="n"/>
      <c r="CS96" s="268" t="n"/>
      <c r="CT96" s="268" t="n"/>
      <c r="CU96" s="268" t="n"/>
      <c r="CV96" s="268" t="n"/>
      <c r="CW96" s="268" t="n"/>
      <c r="CX96" s="268" t="n"/>
      <c r="CY96" s="268" t="n"/>
    </row>
    <row r="97" hidden="1" outlineLevel="1" ht="12.75" customHeight="1" s="255">
      <c r="C97" s="312" t="inlineStr">
        <is>
          <t>DESPESAS FINANCEIRAS - Encargos sobre empréstimos, financiamentos e debêntures</t>
        </is>
      </c>
      <c r="D97" s="268" t="n"/>
      <c r="E97" s="268" t="n"/>
      <c r="F97" s="268" t="n"/>
      <c r="G97" s="268" t="n"/>
      <c r="H97" s="268" t="n"/>
      <c r="I97" s="268" t="n"/>
      <c r="J97" s="268" t="n"/>
      <c r="K97" s="268" t="n"/>
      <c r="L97" s="268" t="n"/>
      <c r="M97" s="268" t="n"/>
      <c r="N97" s="268" t="n"/>
      <c r="O97" s="268" t="n"/>
      <c r="P97" s="268" t="n"/>
      <c r="Q97" s="268" t="n"/>
      <c r="R97" s="268" t="n"/>
      <c r="S97" s="268" t="n"/>
      <c r="T97" s="268" t="n"/>
      <c r="U97" s="268" t="n"/>
      <c r="V97" s="268" t="n"/>
      <c r="W97" s="268" t="n"/>
      <c r="X97" s="268" t="n"/>
      <c r="Y97" s="268" t="n"/>
      <c r="Z97" s="268" t="n"/>
      <c r="AA97" s="268" t="n"/>
      <c r="AB97" s="268" t="n"/>
      <c r="AC97" s="268" t="n"/>
      <c r="AD97" s="268" t="n"/>
      <c r="AE97" s="268" t="n"/>
      <c r="AF97" s="268" t="n"/>
      <c r="AG97" s="268" t="n"/>
      <c r="AH97" s="268" t="n"/>
      <c r="AI97" s="268" t="n"/>
      <c r="AJ97" s="268" t="n"/>
      <c r="AK97" s="268" t="n"/>
      <c r="AL97" s="268" t="n"/>
      <c r="AM97" s="268" t="n"/>
      <c r="AN97" s="268" t="n"/>
      <c r="AO97" s="268" t="n"/>
      <c r="AP97" s="268" t="n"/>
      <c r="AQ97" s="268" t="n"/>
      <c r="AR97" s="268" t="n"/>
      <c r="AS97" s="268" t="n"/>
      <c r="AT97" s="268" t="n"/>
      <c r="AU97" s="268" t="n"/>
      <c r="AV97" s="268" t="n"/>
      <c r="AW97" s="268" t="n"/>
      <c r="AX97" s="268" t="n"/>
      <c r="AY97" s="268" t="n"/>
      <c r="AZ97" s="268" t="n"/>
      <c r="BA97" s="268" t="n"/>
      <c r="BB97" s="268" t="n"/>
      <c r="BC97" s="268" t="n"/>
      <c r="BD97" s="268" t="n"/>
      <c r="BE97" s="268" t="n"/>
      <c r="BF97" s="268" t="n"/>
      <c r="BG97" s="268" t="n"/>
      <c r="BH97" s="268" t="n"/>
      <c r="BI97" s="268" t="n"/>
      <c r="BJ97" s="268" t="n"/>
      <c r="BK97" s="268" t="n"/>
      <c r="BL97" s="268" t="n"/>
      <c r="BM97" s="268" t="n"/>
      <c r="BN97" s="268" t="n"/>
      <c r="BO97" s="268" t="n"/>
      <c r="BP97" s="268" t="n"/>
      <c r="BQ97" s="268" t="n"/>
      <c r="BR97" s="268" t="n"/>
      <c r="BS97" s="268" t="n"/>
      <c r="BT97" s="268" t="n"/>
      <c r="BU97" s="268" t="n"/>
      <c r="BV97" s="268" t="n"/>
      <c r="BW97" s="268" t="n"/>
      <c r="BX97" s="268" t="n"/>
      <c r="BY97" s="268" t="n"/>
      <c r="BZ97" s="268" t="n"/>
      <c r="CA97" s="268" t="n"/>
      <c r="CB97" s="268" t="n"/>
      <c r="CC97" s="268" t="n"/>
      <c r="CD97" s="268" t="n"/>
      <c r="CE97" s="268" t="n"/>
      <c r="CF97" s="268" t="n"/>
      <c r="CG97" s="268" t="n"/>
      <c r="CH97" s="268" t="n"/>
      <c r="CI97" s="268" t="n"/>
      <c r="CJ97" s="268" t="n"/>
      <c r="CK97" s="268" t="n"/>
      <c r="CL97" s="268" t="n"/>
      <c r="CM97" s="268" t="n"/>
      <c r="CN97" s="268" t="n"/>
      <c r="CO97" s="268" t="n"/>
      <c r="CP97" s="268" t="n"/>
      <c r="CQ97" s="268" t="n"/>
      <c r="CR97" s="268" t="n"/>
      <c r="CS97" s="268" t="n"/>
      <c r="CT97" s="268" t="n"/>
      <c r="CU97" s="268" t="n"/>
      <c r="CV97" s="268" t="n"/>
      <c r="CW97" s="268" t="n"/>
      <c r="CX97" s="268" t="n"/>
      <c r="CY97" s="268" t="n"/>
    </row>
    <row r="98" hidden="1" outlineLevel="1" ht="12.75" customHeight="1" s="255">
      <c r="C98" s="312" t="inlineStr">
        <is>
          <t>DESPESAS FINANCEIRAS - Variação cambial passiva</t>
        </is>
      </c>
      <c r="D98" s="268" t="n"/>
      <c r="E98" s="268" t="n"/>
      <c r="F98" s="268" t="n"/>
      <c r="G98" s="268" t="n"/>
      <c r="H98" s="268" t="n"/>
      <c r="I98" s="268" t="n"/>
      <c r="J98" s="268" t="n"/>
      <c r="K98" s="268" t="n"/>
      <c r="L98" s="268" t="n"/>
      <c r="M98" s="268" t="n"/>
      <c r="N98" s="268" t="n"/>
      <c r="O98" s="268" t="n"/>
      <c r="P98" s="268" t="n"/>
      <c r="Q98" s="268" t="n"/>
      <c r="R98" s="268" t="n"/>
      <c r="S98" s="268" t="n"/>
      <c r="T98" s="268" t="n"/>
      <c r="U98" s="268" t="n"/>
      <c r="V98" s="268" t="n"/>
      <c r="W98" s="268" t="n"/>
      <c r="X98" s="268" t="n"/>
      <c r="Y98" s="268" t="n"/>
      <c r="Z98" s="268" t="n"/>
      <c r="AA98" s="268" t="n"/>
      <c r="AB98" s="268" t="n"/>
      <c r="AC98" s="268" t="n"/>
      <c r="AD98" s="268" t="n"/>
      <c r="AE98" s="268" t="n"/>
      <c r="AF98" s="268" t="n"/>
      <c r="AG98" s="268" t="n"/>
      <c r="AH98" s="268" t="n"/>
      <c r="AI98" s="268" t="n"/>
      <c r="AJ98" s="268" t="n"/>
      <c r="AK98" s="268" t="n"/>
      <c r="AL98" s="268" t="n"/>
      <c r="AM98" s="268" t="n"/>
      <c r="AN98" s="268" t="n"/>
      <c r="AO98" s="268" t="n"/>
      <c r="AP98" s="268" t="n"/>
      <c r="AQ98" s="268" t="n"/>
      <c r="AR98" s="268" t="n"/>
      <c r="AS98" s="268" t="n"/>
      <c r="AT98" s="268" t="n"/>
      <c r="AU98" s="268" t="n"/>
      <c r="AV98" s="268" t="n"/>
      <c r="AW98" s="268" t="n"/>
      <c r="AX98" s="268" t="n"/>
      <c r="AY98" s="268" t="n"/>
      <c r="AZ98" s="268" t="n"/>
      <c r="BA98" s="268" t="n"/>
      <c r="BB98" s="268" t="n"/>
      <c r="BC98" s="268" t="n"/>
      <c r="BD98" s="268" t="n"/>
      <c r="BE98" s="268" t="n"/>
      <c r="BF98" s="268" t="n"/>
      <c r="BG98" s="268" t="n"/>
      <c r="BH98" s="268" t="n"/>
      <c r="BI98" s="268" t="n"/>
      <c r="BJ98" s="268" t="n"/>
      <c r="BK98" s="268" t="n"/>
      <c r="BL98" s="268" t="n"/>
      <c r="BM98" s="268" t="n"/>
      <c r="BN98" s="268" t="n"/>
      <c r="BO98" s="268" t="n"/>
      <c r="BP98" s="268" t="n"/>
      <c r="BQ98" s="268" t="n"/>
      <c r="BR98" s="268" t="n"/>
      <c r="BS98" s="268" t="n"/>
      <c r="BT98" s="268" t="n"/>
      <c r="BU98" s="268" t="n"/>
      <c r="BV98" s="268" t="n"/>
      <c r="BW98" s="268" t="n"/>
      <c r="BX98" s="268" t="n"/>
      <c r="BY98" s="268" t="n"/>
      <c r="BZ98" s="268" t="n"/>
      <c r="CA98" s="268" t="n"/>
      <c r="CB98" s="268" t="n"/>
      <c r="CC98" s="268" t="n"/>
      <c r="CD98" s="268" t="n"/>
      <c r="CE98" s="268" t="n"/>
      <c r="CF98" s="268" t="n"/>
      <c r="CG98" s="268" t="n"/>
      <c r="CH98" s="268" t="n"/>
      <c r="CI98" s="268" t="n"/>
      <c r="CJ98" s="268" t="n"/>
      <c r="CK98" s="268" t="n"/>
      <c r="CL98" s="268" t="n"/>
      <c r="CM98" s="268" t="n"/>
      <c r="CN98" s="268" t="n"/>
      <c r="CO98" s="268" t="n"/>
      <c r="CP98" s="268" t="n"/>
      <c r="CQ98" s="268" t="n"/>
      <c r="CR98" s="268" t="n"/>
      <c r="CS98" s="268" t="n"/>
      <c r="CT98" s="268" t="n"/>
      <c r="CU98" s="268" t="n"/>
      <c r="CV98" s="268" t="n"/>
      <c r="CW98" s="268" t="n"/>
      <c r="CX98" s="268" t="n"/>
      <c r="CY98" s="268" t="n"/>
    </row>
    <row r="99" hidden="1" outlineLevel="1" ht="12.75" customHeight="1" s="255">
      <c r="C99" s="312" t="inlineStr">
        <is>
          <t>DESPESAS FINANCEIRAS - Resultado negativo com instrumentos derivativos</t>
        </is>
      </c>
      <c r="D99" s="268" t="n"/>
      <c r="E99" s="268" t="n"/>
      <c r="F99" s="268" t="n"/>
      <c r="G99" s="268" t="n"/>
      <c r="H99" s="268" t="n"/>
      <c r="I99" s="268" t="n"/>
      <c r="J99" s="268" t="n"/>
      <c r="K99" s="268" t="n"/>
      <c r="L99" s="268" t="n"/>
      <c r="M99" s="268" t="n"/>
      <c r="N99" s="268" t="n"/>
      <c r="O99" s="268" t="n"/>
      <c r="P99" s="268" t="n"/>
      <c r="Q99" s="268" t="n"/>
      <c r="R99" s="268" t="n"/>
      <c r="S99" s="268" t="n"/>
      <c r="T99" s="268" t="n"/>
      <c r="U99" s="268" t="n"/>
      <c r="V99" s="268" t="n"/>
      <c r="W99" s="268" t="n"/>
      <c r="X99" s="268" t="n"/>
      <c r="Y99" s="268" t="n"/>
      <c r="Z99" s="268" t="n"/>
      <c r="AA99" s="268" t="n"/>
      <c r="AB99" s="268" t="n"/>
      <c r="AC99" s="268" t="n"/>
      <c r="AD99" s="268" t="n"/>
      <c r="AE99" s="268" t="n"/>
      <c r="AF99" s="268" t="n"/>
      <c r="AG99" s="268" t="n"/>
      <c r="AH99" s="268" t="n"/>
      <c r="AI99" s="268" t="n"/>
      <c r="AJ99" s="268" t="n"/>
      <c r="AK99" s="268" t="n"/>
      <c r="AL99" s="268" t="n"/>
      <c r="AM99" s="268" t="n"/>
      <c r="AN99" s="268" t="n"/>
      <c r="AO99" s="268" t="n"/>
      <c r="AP99" s="268" t="n"/>
      <c r="AQ99" s="268" t="n"/>
      <c r="AR99" s="268" t="n"/>
      <c r="AS99" s="268" t="n"/>
      <c r="AT99" s="268" t="n"/>
      <c r="AU99" s="268" t="n"/>
      <c r="AV99" s="268" t="n"/>
      <c r="AW99" s="268" t="n"/>
      <c r="AX99" s="268" t="n"/>
      <c r="AY99" s="268" t="n"/>
      <c r="AZ99" s="268" t="n"/>
      <c r="BA99" s="268" t="n"/>
      <c r="BB99" s="268" t="n"/>
      <c r="BC99" s="268" t="n"/>
      <c r="BD99" s="268" t="n"/>
      <c r="BE99" s="268" t="n"/>
      <c r="BF99" s="268" t="n"/>
      <c r="BG99" s="268" t="n"/>
      <c r="BH99" s="268" t="n"/>
      <c r="BI99" s="268" t="n"/>
      <c r="BJ99" s="268" t="n"/>
      <c r="BK99" s="268" t="n"/>
      <c r="BL99" s="268" t="n"/>
      <c r="BM99" s="268" t="n"/>
      <c r="BN99" s="268" t="n"/>
      <c r="BO99" s="268" t="n"/>
      <c r="BP99" s="268" t="n"/>
      <c r="BQ99" s="268" t="n"/>
      <c r="BR99" s="268" t="n"/>
      <c r="BS99" s="268" t="n"/>
      <c r="BT99" s="268" t="n"/>
      <c r="BU99" s="268" t="n"/>
      <c r="BV99" s="268" t="n"/>
      <c r="BW99" s="268" t="n"/>
      <c r="BX99" s="268" t="n"/>
      <c r="BY99" s="268" t="n"/>
      <c r="BZ99" s="268" t="n"/>
      <c r="CA99" s="268" t="n"/>
      <c r="CB99" s="268" t="n"/>
      <c r="CC99" s="268" t="n"/>
      <c r="CD99" s="268" t="n"/>
      <c r="CE99" s="268" t="n"/>
      <c r="CF99" s="268" t="n"/>
      <c r="CG99" s="268" t="n"/>
      <c r="CH99" s="268" t="n"/>
      <c r="CI99" s="268" t="n"/>
      <c r="CJ99" s="268" t="n"/>
      <c r="CK99" s="268" t="n"/>
      <c r="CL99" s="268" t="n"/>
      <c r="CM99" s="268" t="n"/>
      <c r="CN99" s="268" t="n"/>
      <c r="CO99" s="268" t="n"/>
      <c r="CP99" s="268" t="n"/>
      <c r="CQ99" s="268" t="n"/>
      <c r="CR99" s="268" t="n"/>
      <c r="CS99" s="268" t="n"/>
      <c r="CT99" s="268" t="n"/>
      <c r="CU99" s="268" t="n"/>
      <c r="CV99" s="268" t="n"/>
      <c r="CW99" s="268" t="n"/>
      <c r="CX99" s="268" t="n"/>
      <c r="CY99" s="268" t="n"/>
    </row>
    <row r="100" hidden="1" outlineLevel="1" ht="12.75" customHeight="1" s="255">
      <c r="C100" s="312" t="inlineStr">
        <is>
          <t>DESPESAS FINANCEIRAS - Juros sobre arrendamento - IFRS16</t>
        </is>
      </c>
      <c r="D100" s="268" t="n"/>
      <c r="E100" s="268" t="n"/>
      <c r="F100" s="268" t="n"/>
      <c r="G100" s="268" t="n"/>
      <c r="H100" s="268" t="n"/>
      <c r="I100" s="268" t="n"/>
      <c r="J100" s="268" t="n"/>
      <c r="K100" s="268" t="n"/>
      <c r="L100" s="268" t="n"/>
      <c r="M100" s="268" t="n"/>
      <c r="N100" s="268" t="n"/>
      <c r="O100" s="268" t="n"/>
      <c r="P100" s="268" t="n"/>
      <c r="Q100" s="268" t="n"/>
      <c r="R100" s="268" t="n"/>
      <c r="S100" s="268" t="n"/>
      <c r="T100" s="268" t="n"/>
      <c r="U100" s="268" t="n"/>
      <c r="V100" s="268" t="n"/>
      <c r="W100" s="268" t="n"/>
      <c r="X100" s="268" t="n"/>
      <c r="Y100" s="268" t="n"/>
      <c r="Z100" s="268" t="n"/>
      <c r="AA100" s="268" t="n"/>
      <c r="AB100" s="268" t="n"/>
      <c r="AC100" s="268" t="n"/>
      <c r="AD100" s="268" t="n"/>
      <c r="AE100" s="268" t="n"/>
      <c r="AF100" s="268" t="n"/>
      <c r="AG100" s="268" t="n"/>
      <c r="AH100" s="268" t="n"/>
      <c r="AI100" s="268" t="n"/>
      <c r="AJ100" s="268" t="n"/>
      <c r="AK100" s="268" t="n"/>
      <c r="AL100" s="268" t="n"/>
      <c r="AM100" s="268" t="n"/>
      <c r="AN100" s="268" t="n"/>
      <c r="AO100" s="268" t="n"/>
      <c r="AP100" s="268" t="n"/>
      <c r="AQ100" s="268" t="n"/>
      <c r="AR100" s="268" t="n"/>
      <c r="AS100" s="268" t="n"/>
      <c r="AT100" s="268" t="n"/>
      <c r="AU100" s="268" t="n"/>
      <c r="AV100" s="268" t="n"/>
      <c r="AW100" s="268" t="n"/>
      <c r="AX100" s="268" t="n"/>
      <c r="AY100" s="268" t="n"/>
      <c r="AZ100" s="268" t="n"/>
      <c r="BA100" s="268" t="n"/>
      <c r="BB100" s="268" t="n"/>
      <c r="BC100" s="268" t="n"/>
      <c r="BD100" s="268" t="n"/>
      <c r="BE100" s="268" t="n"/>
      <c r="BF100" s="268" t="n"/>
      <c r="BG100" s="268" t="n"/>
      <c r="BH100" s="268" t="n"/>
      <c r="BI100" s="268" t="n"/>
      <c r="BJ100" s="268" t="n"/>
      <c r="BK100" s="268" t="n"/>
      <c r="BL100" s="268" t="n"/>
      <c r="BM100" s="268" t="n"/>
      <c r="BN100" s="268" t="n"/>
      <c r="BO100" s="268" t="n"/>
      <c r="BP100" s="268" t="n"/>
      <c r="BQ100" s="268" t="n"/>
      <c r="BR100" s="268" t="n"/>
      <c r="BS100" s="268" t="n"/>
      <c r="BT100" s="268" t="n"/>
      <c r="BU100" s="268" t="n"/>
      <c r="BV100" s="268" t="n"/>
      <c r="BW100" s="268" t="n"/>
      <c r="BX100" s="268" t="n"/>
      <c r="BY100" s="268" t="n"/>
      <c r="BZ100" s="268" t="n"/>
      <c r="CA100" s="268" t="n"/>
      <c r="CB100" s="268" t="n"/>
      <c r="CC100" s="268" t="n"/>
      <c r="CD100" s="268" t="n"/>
      <c r="CE100" s="268" t="n"/>
      <c r="CF100" s="268" t="n"/>
      <c r="CG100" s="268" t="n"/>
      <c r="CH100" s="268" t="n"/>
      <c r="CI100" s="268" t="n"/>
      <c r="CJ100" s="268" t="n"/>
      <c r="CK100" s="268" t="n"/>
      <c r="CL100" s="268" t="n"/>
      <c r="CM100" s="268" t="n"/>
      <c r="CN100" s="268" t="n"/>
      <c r="CO100" s="268" t="n"/>
      <c r="CP100" s="268" t="n"/>
      <c r="CQ100" s="268" t="n"/>
      <c r="CR100" s="268" t="n"/>
      <c r="CS100" s="268" t="n"/>
      <c r="CT100" s="268" t="n"/>
      <c r="CU100" s="268" t="n"/>
      <c r="CV100" s="268" t="n"/>
      <c r="CW100" s="268" t="n"/>
      <c r="CX100" s="268" t="n"/>
      <c r="CY100" s="268" t="n"/>
    </row>
    <row r="101" hidden="1" outlineLevel="1" ht="12.75" customHeight="1" s="255">
      <c r="C101" s="312" t="inlineStr">
        <is>
          <t>DESPESAS FINANCEIRAS - Despesas bancárias</t>
        </is>
      </c>
      <c r="D101" s="268" t="n"/>
      <c r="E101" s="268" t="n"/>
      <c r="F101" s="268" t="n"/>
      <c r="G101" s="268" t="n"/>
      <c r="H101" s="268" t="n"/>
      <c r="I101" s="268" t="n"/>
      <c r="J101" s="268" t="n"/>
      <c r="K101" s="268" t="n"/>
      <c r="L101" s="268" t="n"/>
      <c r="M101" s="268" t="n"/>
      <c r="N101" s="268" t="n"/>
      <c r="O101" s="268" t="n"/>
      <c r="P101" s="268" t="n"/>
      <c r="Q101" s="268" t="n"/>
      <c r="R101" s="268" t="n"/>
      <c r="S101" s="268" t="n"/>
      <c r="T101" s="268" t="n"/>
      <c r="U101" s="268" t="n"/>
      <c r="V101" s="268" t="n"/>
      <c r="W101" s="268" t="n"/>
      <c r="X101" s="268" t="n"/>
      <c r="Y101" s="268" t="n"/>
      <c r="Z101" s="268" t="n"/>
      <c r="AA101" s="268" t="n"/>
      <c r="AB101" s="268" t="n"/>
      <c r="AC101" s="268" t="n"/>
      <c r="AD101" s="268" t="n"/>
      <c r="AE101" s="268" t="n"/>
      <c r="AF101" s="268" t="n"/>
      <c r="AG101" s="268" t="n"/>
      <c r="AH101" s="268" t="n"/>
      <c r="AI101" s="268" t="n"/>
      <c r="AJ101" s="268" t="n"/>
      <c r="AK101" s="268" t="n"/>
      <c r="AL101" s="268" t="n"/>
      <c r="AM101" s="268" t="n"/>
      <c r="AN101" s="268" t="n"/>
      <c r="AO101" s="268" t="n"/>
      <c r="AP101" s="268" t="n"/>
      <c r="AQ101" s="268" t="n"/>
      <c r="AR101" s="268" t="n"/>
      <c r="AS101" s="268" t="n"/>
      <c r="AT101" s="268" t="n"/>
      <c r="AU101" s="268" t="n"/>
      <c r="AV101" s="268" t="n"/>
      <c r="AW101" s="268" t="n"/>
      <c r="AX101" s="268" t="n"/>
      <c r="AY101" s="268" t="n"/>
      <c r="AZ101" s="268" t="n"/>
      <c r="BA101" s="268" t="n"/>
      <c r="BB101" s="268" t="n"/>
      <c r="BC101" s="268" t="n"/>
      <c r="BD101" s="268" t="n"/>
      <c r="BE101" s="268" t="n"/>
      <c r="BF101" s="268" t="n"/>
      <c r="BG101" s="268" t="n"/>
      <c r="BH101" s="268" t="n"/>
      <c r="BI101" s="268" t="n"/>
      <c r="BJ101" s="268" t="n"/>
      <c r="BK101" s="268" t="n"/>
      <c r="BL101" s="268" t="n"/>
      <c r="BM101" s="268" t="n"/>
      <c r="BN101" s="268" t="n"/>
      <c r="BO101" s="268" t="n"/>
      <c r="BP101" s="268" t="n"/>
      <c r="BQ101" s="268" t="n"/>
      <c r="BR101" s="268" t="n"/>
      <c r="BS101" s="268" t="n"/>
      <c r="BT101" s="268" t="n"/>
      <c r="BU101" s="268" t="n"/>
      <c r="BV101" s="268" t="n"/>
      <c r="BW101" s="268" t="n"/>
      <c r="BX101" s="268" t="n"/>
      <c r="BY101" s="268" t="n"/>
      <c r="BZ101" s="268" t="n"/>
      <c r="CA101" s="268" t="n"/>
      <c r="CB101" s="268" t="n"/>
      <c r="CC101" s="268" t="n"/>
      <c r="CD101" s="268" t="n"/>
      <c r="CE101" s="268" t="n"/>
      <c r="CF101" s="268" t="n"/>
      <c r="CG101" s="268" t="n"/>
      <c r="CH101" s="268" t="n"/>
      <c r="CI101" s="268" t="n"/>
      <c r="CJ101" s="268" t="n"/>
      <c r="CK101" s="268" t="n"/>
      <c r="CL101" s="268" t="n"/>
      <c r="CM101" s="268" t="n"/>
      <c r="CN101" s="268" t="n"/>
      <c r="CO101" s="268" t="n"/>
      <c r="CP101" s="268" t="n"/>
      <c r="CQ101" s="268" t="n"/>
      <c r="CR101" s="268" t="n"/>
      <c r="CS101" s="268" t="n"/>
      <c r="CT101" s="268" t="n"/>
      <c r="CU101" s="268" t="n"/>
      <c r="CV101" s="268" t="n"/>
      <c r="CW101" s="268" t="n"/>
      <c r="CX101" s="268" t="n"/>
      <c r="CY101" s="268" t="n"/>
    </row>
    <row r="102" hidden="1" outlineLevel="1" ht="12.75" customHeight="1" s="255">
      <c r="C102" s="312" t="inlineStr">
        <is>
          <t>DESPESAS FINANCEIRAS - Despesas com obtenção de empréstimos e financiamentos</t>
        </is>
      </c>
      <c r="D102" s="268" t="n"/>
      <c r="E102" s="268" t="n"/>
      <c r="F102" s="268" t="n"/>
      <c r="G102" s="268" t="n"/>
      <c r="H102" s="268" t="n"/>
      <c r="I102" s="268" t="n"/>
      <c r="J102" s="268" t="n"/>
      <c r="K102" s="268" t="n"/>
      <c r="L102" s="268" t="n"/>
      <c r="M102" s="268" t="n"/>
      <c r="N102" s="268" t="n"/>
      <c r="O102" s="268" t="n"/>
      <c r="P102" s="268" t="n"/>
      <c r="Q102" s="268" t="n"/>
      <c r="R102" s="268" t="n"/>
      <c r="S102" s="268" t="n"/>
      <c r="T102" s="268" t="n"/>
      <c r="U102" s="268" t="n"/>
      <c r="V102" s="268" t="n"/>
      <c r="W102" s="268" t="n"/>
      <c r="X102" s="268" t="n"/>
      <c r="Y102" s="268" t="n"/>
      <c r="Z102" s="268" t="n"/>
      <c r="AA102" s="268" t="n"/>
      <c r="AB102" s="268" t="n"/>
      <c r="AC102" s="268" t="n"/>
      <c r="AD102" s="268" t="n"/>
      <c r="AE102" s="268" t="n"/>
      <c r="AF102" s="268" t="n"/>
      <c r="AG102" s="268" t="n"/>
      <c r="AH102" s="268" t="n"/>
      <c r="AI102" s="268" t="n"/>
      <c r="AJ102" s="268" t="n"/>
      <c r="AK102" s="268" t="n"/>
      <c r="AL102" s="268" t="n"/>
      <c r="AM102" s="268" t="n"/>
      <c r="AN102" s="268" t="n"/>
      <c r="AO102" s="268" t="n"/>
      <c r="AP102" s="268" t="n"/>
      <c r="AQ102" s="268" t="n"/>
      <c r="AR102" s="268" t="n"/>
      <c r="AS102" s="268" t="n"/>
      <c r="AT102" s="268" t="n"/>
      <c r="AU102" s="268" t="n"/>
      <c r="AV102" s="268" t="n"/>
      <c r="AW102" s="268" t="n"/>
      <c r="AX102" s="268" t="n"/>
      <c r="AY102" s="268" t="n"/>
      <c r="AZ102" s="268" t="n"/>
      <c r="BA102" s="268" t="n"/>
      <c r="BB102" s="268" t="n"/>
      <c r="BC102" s="268" t="n"/>
      <c r="BD102" s="268" t="n"/>
      <c r="BE102" s="268" t="n"/>
      <c r="BF102" s="268" t="n"/>
      <c r="BG102" s="268" t="n"/>
      <c r="BH102" s="268" t="n"/>
      <c r="BI102" s="268" t="n"/>
      <c r="BJ102" s="268" t="n"/>
      <c r="BK102" s="268" t="n"/>
      <c r="BL102" s="268" t="n"/>
      <c r="BM102" s="268" t="n"/>
      <c r="BN102" s="268" t="n"/>
      <c r="BO102" s="268" t="n"/>
      <c r="BP102" s="268" t="n"/>
      <c r="BQ102" s="268" t="n"/>
      <c r="BR102" s="268" t="n"/>
      <c r="BS102" s="268" t="n"/>
      <c r="BT102" s="268" t="n"/>
      <c r="BU102" s="268" t="n"/>
      <c r="BV102" s="268" t="n"/>
      <c r="BW102" s="268" t="n"/>
      <c r="BX102" s="268" t="n"/>
      <c r="BY102" s="268" t="n"/>
      <c r="BZ102" s="268" t="n"/>
      <c r="CA102" s="268" t="n"/>
      <c r="CB102" s="268" t="n"/>
      <c r="CC102" s="268" t="n"/>
      <c r="CD102" s="268" t="n"/>
      <c r="CE102" s="268" t="n"/>
      <c r="CF102" s="268" t="n"/>
      <c r="CG102" s="268" t="n"/>
      <c r="CH102" s="268" t="n"/>
      <c r="CI102" s="268" t="n"/>
      <c r="CJ102" s="268" t="n"/>
      <c r="CK102" s="268" t="n"/>
      <c r="CL102" s="268" t="n"/>
      <c r="CM102" s="268" t="n"/>
      <c r="CN102" s="268" t="n"/>
      <c r="CO102" s="268" t="n"/>
      <c r="CP102" s="268" t="n"/>
      <c r="CQ102" s="268" t="n"/>
      <c r="CR102" s="268" t="n"/>
      <c r="CS102" s="268" t="n"/>
      <c r="CT102" s="268" t="n"/>
      <c r="CU102" s="268" t="n"/>
      <c r="CV102" s="268" t="n"/>
      <c r="CW102" s="268" t="n"/>
      <c r="CX102" s="268" t="n"/>
      <c r="CY102" s="268" t="n"/>
    </row>
    <row r="103" hidden="1" outlineLevel="1" ht="12.75" customHeight="1" s="255">
      <c r="C103" s="312" t="inlineStr">
        <is>
          <t>DESPESAS FINANCEIRAS - Atualização de contas a pagar por aquisição de empresas</t>
        </is>
      </c>
      <c r="D103" s="268" t="n"/>
      <c r="E103" s="268" t="n"/>
      <c r="F103" s="268" t="n"/>
      <c r="G103" s="268" t="n"/>
      <c r="H103" s="268" t="n"/>
      <c r="I103" s="268" t="n"/>
      <c r="J103" s="268" t="n"/>
      <c r="K103" s="268" t="n"/>
      <c r="L103" s="268" t="n"/>
      <c r="M103" s="268" t="n"/>
      <c r="N103" s="268" t="n"/>
      <c r="O103" s="268" t="n"/>
      <c r="P103" s="268" t="n"/>
      <c r="Q103" s="268" t="n"/>
      <c r="R103" s="268" t="n"/>
      <c r="S103" s="268" t="n"/>
      <c r="T103" s="268" t="n"/>
      <c r="U103" s="268" t="n"/>
      <c r="V103" s="268" t="n"/>
      <c r="W103" s="268" t="n"/>
      <c r="X103" s="268" t="n"/>
      <c r="Y103" s="268" t="n"/>
      <c r="Z103" s="268" t="n"/>
      <c r="AA103" s="268" t="n"/>
      <c r="AB103" s="268" t="n"/>
      <c r="AC103" s="268" t="n"/>
      <c r="AD103" s="268" t="n"/>
      <c r="AE103" s="268" t="n"/>
      <c r="AF103" s="268" t="n"/>
      <c r="AG103" s="268" t="n"/>
      <c r="AH103" s="268" t="n"/>
      <c r="AI103" s="268" t="n"/>
      <c r="AJ103" s="268" t="n"/>
      <c r="AK103" s="268" t="n"/>
      <c r="AL103" s="268" t="n"/>
      <c r="AM103" s="268" t="n"/>
      <c r="AN103" s="268" t="n"/>
      <c r="AO103" s="268" t="n"/>
      <c r="AP103" s="268" t="n"/>
      <c r="AQ103" s="268" t="n"/>
      <c r="AR103" s="268" t="n"/>
      <c r="AS103" s="268" t="n"/>
      <c r="AT103" s="268" t="n"/>
      <c r="AU103" s="268" t="n"/>
      <c r="AV103" s="268" t="n"/>
      <c r="AW103" s="268" t="n"/>
      <c r="AX103" s="268" t="n"/>
      <c r="AY103" s="268" t="n"/>
      <c r="AZ103" s="268" t="n"/>
      <c r="BA103" s="268" t="n"/>
      <c r="BB103" s="268" t="n"/>
      <c r="BC103" s="268" t="n"/>
      <c r="BD103" s="268" t="n"/>
      <c r="BE103" s="268" t="n"/>
      <c r="BF103" s="268" t="n"/>
      <c r="BG103" s="268" t="n"/>
      <c r="BH103" s="268" t="n"/>
      <c r="BI103" s="268" t="n"/>
      <c r="BJ103" s="268" t="n"/>
      <c r="BK103" s="268" t="n"/>
      <c r="BL103" s="268" t="n"/>
      <c r="BM103" s="268" t="n"/>
      <c r="BN103" s="268" t="n"/>
      <c r="BO103" s="268" t="n"/>
      <c r="BP103" s="268" t="n"/>
      <c r="BQ103" s="268" t="n"/>
      <c r="BR103" s="268" t="n"/>
      <c r="BS103" s="268" t="n"/>
      <c r="BT103" s="268" t="n"/>
      <c r="BU103" s="268" t="n"/>
      <c r="BV103" s="268" t="n"/>
      <c r="BW103" s="268" t="n"/>
      <c r="BX103" s="268" t="n"/>
      <c r="BY103" s="268" t="n"/>
      <c r="BZ103" s="268" t="n"/>
      <c r="CA103" s="268" t="n"/>
      <c r="CB103" s="268" t="n"/>
      <c r="CC103" s="268" t="n"/>
      <c r="CD103" s="268" t="n"/>
      <c r="CE103" s="268" t="n"/>
      <c r="CF103" s="268" t="n"/>
      <c r="CG103" s="268" t="n"/>
      <c r="CH103" s="268" t="n"/>
      <c r="CI103" s="268" t="n"/>
      <c r="CJ103" s="268" t="n"/>
      <c r="CK103" s="268" t="n"/>
      <c r="CL103" s="268" t="n"/>
      <c r="CM103" s="268" t="n"/>
      <c r="CN103" s="268" t="n"/>
      <c r="CO103" s="268" t="n"/>
      <c r="CP103" s="268" t="n"/>
      <c r="CQ103" s="268" t="n"/>
      <c r="CR103" s="268" t="n"/>
      <c r="CS103" s="268" t="n"/>
      <c r="CT103" s="268" t="n"/>
      <c r="CU103" s="268" t="n"/>
      <c r="CV103" s="268" t="n"/>
      <c r="CW103" s="268" t="n"/>
      <c r="CX103" s="268" t="n"/>
      <c r="CY103" s="268" t="n"/>
    </row>
    <row r="104" hidden="1" outlineLevel="1" ht="12.75" customHeight="1" s="255">
      <c r="C104" s="312" t="inlineStr">
        <is>
          <t>DESPESAS FINANCEIRAS - Outras</t>
        </is>
      </c>
      <c r="D104" s="268" t="n"/>
      <c r="E104" s="268" t="n"/>
      <c r="F104" s="268" t="n"/>
      <c r="G104" s="268" t="n"/>
      <c r="H104" s="268" t="n"/>
      <c r="I104" s="268" t="n"/>
      <c r="J104" s="268" t="n"/>
      <c r="K104" s="268" t="n"/>
      <c r="L104" s="268" t="n"/>
      <c r="M104" s="268" t="n"/>
      <c r="N104" s="268" t="n"/>
      <c r="O104" s="268" t="n"/>
      <c r="P104" s="268" t="n"/>
      <c r="Q104" s="268" t="n"/>
      <c r="R104" s="268" t="n"/>
      <c r="S104" s="268" t="n"/>
      <c r="T104" s="268" t="n"/>
      <c r="U104" s="268" t="n"/>
      <c r="V104" s="268" t="n"/>
      <c r="W104" s="268" t="n"/>
      <c r="X104" s="268" t="n"/>
      <c r="Y104" s="268" t="n"/>
      <c r="Z104" s="268" t="n"/>
      <c r="AA104" s="268" t="n"/>
      <c r="AB104" s="268" t="n"/>
      <c r="AC104" s="268" t="n"/>
      <c r="AD104" s="268" t="n"/>
      <c r="AE104" s="268" t="n"/>
      <c r="AF104" s="268" t="n"/>
      <c r="AG104" s="268" t="n"/>
      <c r="AH104" s="268" t="n"/>
      <c r="AI104" s="268" t="n"/>
      <c r="AJ104" s="268" t="n"/>
      <c r="AK104" s="268" t="n"/>
      <c r="AL104" s="268" t="n"/>
      <c r="AM104" s="268" t="n"/>
      <c r="AN104" s="268" t="n"/>
      <c r="AO104" s="268" t="n"/>
      <c r="AP104" s="268" t="n"/>
      <c r="AQ104" s="268" t="n"/>
      <c r="AR104" s="268" t="n"/>
      <c r="AS104" s="268" t="n"/>
      <c r="AT104" s="268" t="n"/>
      <c r="AU104" s="268" t="n"/>
      <c r="AV104" s="268" t="n"/>
      <c r="AW104" s="268" t="n"/>
      <c r="AX104" s="268" t="n"/>
      <c r="AY104" s="268" t="n"/>
      <c r="AZ104" s="268" t="n"/>
      <c r="BA104" s="268" t="n"/>
      <c r="BB104" s="268" t="n"/>
      <c r="BC104" s="268" t="n"/>
      <c r="BD104" s="268" t="n"/>
      <c r="BE104" s="268" t="n"/>
      <c r="BF104" s="268" t="n"/>
      <c r="BG104" s="268" t="n"/>
      <c r="BH104" s="268" t="n"/>
      <c r="BI104" s="268" t="n"/>
      <c r="BJ104" s="268" t="n"/>
      <c r="BK104" s="268" t="n"/>
      <c r="BL104" s="268" t="n"/>
      <c r="BM104" s="268" t="n"/>
      <c r="BN104" s="268" t="n"/>
      <c r="BO104" s="268" t="n"/>
      <c r="BP104" s="268" t="n"/>
      <c r="BQ104" s="268" t="n"/>
      <c r="BR104" s="268" t="n"/>
      <c r="BS104" s="268" t="n"/>
      <c r="BT104" s="268" t="n"/>
      <c r="BU104" s="268" t="n"/>
      <c r="BV104" s="268" t="n"/>
      <c r="BW104" s="268" t="n"/>
      <c r="BX104" s="268" t="n"/>
      <c r="BY104" s="268" t="n"/>
      <c r="BZ104" s="268" t="n"/>
      <c r="CA104" s="268" t="n"/>
      <c r="CB104" s="268" t="n"/>
      <c r="CC104" s="268" t="n"/>
      <c r="CD104" s="268" t="n"/>
      <c r="CE104" s="268" t="n"/>
      <c r="CF104" s="268" t="n"/>
      <c r="CG104" s="268" t="n"/>
      <c r="CH104" s="268" t="n"/>
      <c r="CI104" s="268" t="n"/>
      <c r="CJ104" s="268" t="n"/>
      <c r="CK104" s="268" t="n"/>
      <c r="CL104" s="268" t="n"/>
      <c r="CM104" s="268" t="n"/>
      <c r="CN104" s="268" t="n"/>
      <c r="CO104" s="268" t="n"/>
      <c r="CP104" s="268" t="n"/>
      <c r="CQ104" s="268" t="n"/>
      <c r="CR104" s="268" t="n"/>
      <c r="CS104" s="268" t="n"/>
      <c r="CT104" s="268" t="n"/>
      <c r="CU104" s="268" t="n"/>
      <c r="CV104" s="268" t="n"/>
      <c r="CW104" s="268" t="n"/>
      <c r="CX104" s="268" t="n"/>
      <c r="CY104" s="268" t="n"/>
    </row>
    <row r="105" hidden="1" outlineLevel="1" ht="12.75" customHeight="1" s="255">
      <c r="C105" s="312" t="n"/>
      <c r="D105" s="268" t="n"/>
      <c r="E105" s="268" t="n"/>
      <c r="F105" s="268" t="n"/>
      <c r="G105" s="268" t="n"/>
      <c r="H105" s="268" t="n"/>
      <c r="I105" s="268" t="n"/>
      <c r="J105" s="268" t="n"/>
      <c r="K105" s="268" t="n"/>
      <c r="L105" s="268" t="n"/>
      <c r="M105" s="268" t="n"/>
      <c r="N105" s="268" t="n"/>
      <c r="O105" s="268" t="n"/>
      <c r="P105" s="268" t="n"/>
      <c r="Q105" s="268" t="n"/>
      <c r="R105" s="268" t="n"/>
      <c r="S105" s="268" t="n"/>
      <c r="T105" s="268" t="n"/>
      <c r="U105" s="268" t="n"/>
      <c r="V105" s="268" t="n"/>
      <c r="W105" s="268" t="n"/>
      <c r="X105" s="268" t="n"/>
      <c r="Y105" s="268" t="n"/>
      <c r="Z105" s="268" t="n"/>
      <c r="AA105" s="268" t="n"/>
      <c r="AB105" s="268" t="n"/>
      <c r="AC105" s="268" t="n"/>
      <c r="AD105" s="268" t="n"/>
      <c r="AE105" s="268" t="n"/>
      <c r="AF105" s="268" t="n"/>
      <c r="AG105" s="268" t="n"/>
      <c r="AH105" s="268" t="n"/>
      <c r="AI105" s="268" t="n"/>
      <c r="AJ105" s="268" t="n"/>
      <c r="AK105" s="268" t="n"/>
      <c r="AL105" s="268" t="n"/>
      <c r="AM105" s="268" t="n"/>
      <c r="AN105" s="268" t="n"/>
      <c r="AO105" s="268" t="n"/>
      <c r="AP105" s="268" t="n"/>
      <c r="AQ105" s="268" t="n"/>
      <c r="AR105" s="268" t="n"/>
      <c r="AS105" s="268" t="n"/>
      <c r="AT105" s="268" t="n"/>
      <c r="AU105" s="268" t="n"/>
      <c r="AV105" s="268" t="n"/>
      <c r="AW105" s="268" t="n"/>
      <c r="AX105" s="268" t="n"/>
      <c r="AY105" s="268" t="n"/>
      <c r="AZ105" s="268" t="n"/>
      <c r="BA105" s="268" t="n"/>
      <c r="BB105" s="268" t="n"/>
      <c r="BC105" s="268" t="n"/>
      <c r="BD105" s="268" t="n"/>
      <c r="BE105" s="268" t="n"/>
      <c r="BF105" s="268" t="n"/>
      <c r="BG105" s="268" t="n"/>
      <c r="BH105" s="268" t="n"/>
      <c r="BI105" s="268" t="n"/>
      <c r="BJ105" s="268" t="n"/>
      <c r="BK105" s="268" t="n"/>
      <c r="BL105" s="268" t="n"/>
      <c r="BM105" s="268" t="n"/>
      <c r="BN105" s="268" t="n"/>
      <c r="BO105" s="268" t="n"/>
      <c r="BP105" s="268" t="n"/>
      <c r="BQ105" s="268" t="n"/>
      <c r="BR105" s="268" t="n"/>
      <c r="BS105" s="268" t="n"/>
      <c r="BT105" s="268" t="n"/>
      <c r="BU105" s="268" t="n"/>
      <c r="BV105" s="268" t="n"/>
      <c r="BW105" s="268" t="n"/>
      <c r="BX105" s="268" t="n"/>
      <c r="BY105" s="268" t="n"/>
      <c r="BZ105" s="268" t="n"/>
      <c r="CA105" s="268" t="n"/>
      <c r="CB105" s="268" t="n"/>
      <c r="CC105" s="268" t="n"/>
      <c r="CD105" s="268" t="n"/>
      <c r="CE105" s="268" t="n"/>
      <c r="CF105" s="268" t="n"/>
      <c r="CG105" s="268" t="n"/>
      <c r="CH105" s="268" t="n"/>
      <c r="CI105" s="268" t="n"/>
      <c r="CJ105" s="268" t="n"/>
      <c r="CK105" s="268" t="n"/>
      <c r="CL105" s="268" t="n"/>
      <c r="CM105" s="268" t="n"/>
      <c r="CN105" s="268" t="n"/>
      <c r="CO105" s="268" t="n"/>
      <c r="CP105" s="268" t="n"/>
      <c r="CQ105" s="268" t="n"/>
      <c r="CR105" s="268" t="n"/>
      <c r="CS105" s="268" t="n"/>
      <c r="CT105" s="268" t="n"/>
      <c r="CU105" s="268" t="n"/>
      <c r="CV105" s="268" t="n"/>
      <c r="CW105" s="268" t="n"/>
      <c r="CX105" s="268" t="n"/>
      <c r="CY105" s="268" t="n"/>
    </row>
    <row r="106" hidden="1" outlineLevel="1" ht="12.75" customHeight="1" s="255">
      <c r="C106" s="312" t="inlineStr">
        <is>
          <t>CHECK [EX IFRS-16]</t>
        </is>
      </c>
      <c r="D106" s="268" t="n"/>
      <c r="E106" s="268" t="n"/>
      <c r="F106" s="268" t="n"/>
      <c r="G106" s="268" t="n"/>
      <c r="H106" s="268" t="n"/>
      <c r="I106" s="268" t="n"/>
      <c r="J106" s="268" t="n"/>
      <c r="K106" s="268" t="n"/>
      <c r="L106" s="268" t="n"/>
      <c r="M106" s="268" t="n"/>
      <c r="N106" s="268" t="n"/>
      <c r="O106" s="268" t="n"/>
      <c r="P106" s="268" t="n"/>
      <c r="Q106" s="268" t="n"/>
      <c r="R106" s="268" t="n"/>
      <c r="S106" s="268" t="n"/>
      <c r="T106" s="268" t="n"/>
      <c r="U106" s="268" t="n"/>
      <c r="V106" s="268" t="n"/>
      <c r="W106" s="268" t="n"/>
      <c r="X106" s="268" t="n"/>
      <c r="Y106" s="268" t="n"/>
      <c r="Z106" s="268" t="n"/>
      <c r="AA106" s="268" t="n"/>
      <c r="AB106" s="268" t="n"/>
      <c r="AC106" s="268" t="n"/>
      <c r="AD106" s="268" t="n"/>
      <c r="AE106" s="268" t="n"/>
      <c r="AF106" s="268" t="n"/>
      <c r="AG106" s="268" t="n"/>
      <c r="AH106" s="268" t="n"/>
      <c r="AI106" s="268" t="n"/>
      <c r="AJ106" s="268" t="n"/>
      <c r="AK106" s="268" t="n"/>
      <c r="AL106" s="268" t="n"/>
      <c r="AM106" s="268" t="n"/>
      <c r="AN106" s="268" t="n"/>
      <c r="AO106" s="268" t="n"/>
      <c r="AP106" s="268" t="n"/>
      <c r="AQ106" s="268" t="n"/>
      <c r="AR106" s="268" t="n"/>
      <c r="AS106" s="268" t="n"/>
      <c r="AT106" s="268" t="n"/>
      <c r="AU106" s="268" t="n"/>
      <c r="AV106" s="268" t="n"/>
      <c r="AW106" s="268" t="n"/>
      <c r="AX106" s="268" t="n"/>
      <c r="AY106" s="268" t="n"/>
      <c r="AZ106" s="268" t="n"/>
      <c r="BA106" s="268" t="n"/>
      <c r="BB106" s="268" t="n"/>
      <c r="BC106" s="268" t="n"/>
      <c r="BD106" s="268" t="n"/>
      <c r="BE106" s="268" t="n"/>
      <c r="BF106" s="268" t="n"/>
      <c r="BG106" s="268" t="n"/>
      <c r="BH106" s="268" t="n"/>
      <c r="BI106" s="268" t="n"/>
      <c r="BJ106" s="268" t="n"/>
      <c r="BK106" s="268" t="n"/>
      <c r="BL106" s="268" t="n"/>
      <c r="BM106" s="268" t="n"/>
      <c r="BN106" s="268" t="n"/>
      <c r="BO106" s="268" t="n"/>
      <c r="BP106" s="268" t="n"/>
      <c r="BQ106" s="268" t="n"/>
      <c r="BR106" s="268" t="n"/>
      <c r="BS106" s="268" t="n"/>
      <c r="BT106" s="268" t="n"/>
      <c r="BU106" s="268" t="n"/>
      <c r="BV106" s="268" t="n"/>
      <c r="BW106" s="268" t="n"/>
      <c r="BX106" s="268" t="n"/>
      <c r="BY106" s="268" t="n"/>
      <c r="BZ106" s="268" t="n"/>
      <c r="CA106" s="268" t="n"/>
      <c r="CB106" s="268" t="n"/>
      <c r="CC106" s="268" t="n"/>
      <c r="CD106" s="268" t="n"/>
      <c r="CE106" s="268" t="n"/>
      <c r="CF106" s="268" t="n"/>
      <c r="CG106" s="268" t="n"/>
      <c r="CH106" s="268" t="n"/>
      <c r="CI106" s="268" t="n"/>
      <c r="CJ106" s="268" t="n"/>
      <c r="CK106" s="268" t="n"/>
      <c r="CL106" s="268" t="n"/>
      <c r="CM106" s="268" t="n"/>
      <c r="CN106" s="268" t="n"/>
      <c r="CO106" s="268" t="n"/>
      <c r="CP106" s="268" t="n"/>
      <c r="CQ106" s="268" t="n"/>
      <c r="CR106" s="268" t="n"/>
      <c r="CS106" s="268" t="n"/>
      <c r="CT106" s="268" t="n"/>
      <c r="CU106" s="268" t="n"/>
      <c r="CV106" s="268" t="n"/>
      <c r="CW106" s="268" t="n"/>
      <c r="CX106" s="268" t="n"/>
      <c r="CY106" s="268" t="n"/>
    </row>
    <row r="107" hidden="1" outlineLevel="1" ht="12.75" customHeight="1" s="255">
      <c r="C107" s="312" t="n"/>
      <c r="D107" s="268" t="n"/>
      <c r="E107" s="268" t="n"/>
      <c r="F107" s="268" t="n"/>
      <c r="G107" s="268" t="n"/>
      <c r="H107" s="268" t="n"/>
      <c r="I107" s="268" t="n"/>
      <c r="J107" s="268" t="n"/>
      <c r="K107" s="268" t="n"/>
      <c r="L107" s="268" t="n"/>
      <c r="M107" s="268" t="n"/>
      <c r="N107" s="268" t="n"/>
      <c r="O107" s="268" t="n"/>
      <c r="P107" s="268" t="n"/>
      <c r="Q107" s="268" t="n"/>
      <c r="R107" s="268" t="n"/>
      <c r="S107" s="268" t="n"/>
      <c r="T107" s="268" t="n"/>
      <c r="U107" s="268" t="n"/>
      <c r="V107" s="268" t="n"/>
      <c r="W107" s="268" t="n"/>
      <c r="X107" s="268" t="n"/>
      <c r="Y107" s="268" t="n"/>
      <c r="Z107" s="268" t="n"/>
      <c r="AA107" s="268" t="n"/>
      <c r="AB107" s="268" t="n"/>
      <c r="AC107" s="268" t="n"/>
      <c r="AD107" s="268" t="n"/>
      <c r="AE107" s="268" t="n"/>
      <c r="AF107" s="268" t="n"/>
      <c r="AG107" s="268" t="n"/>
      <c r="AH107" s="268" t="n"/>
      <c r="AI107" s="268" t="n"/>
      <c r="AJ107" s="268" t="n"/>
      <c r="AK107" s="268" t="n"/>
      <c r="AL107" s="268" t="n"/>
      <c r="AM107" s="268" t="n"/>
      <c r="AN107" s="268" t="n"/>
      <c r="AO107" s="268" t="n"/>
      <c r="AP107" s="268" t="n"/>
      <c r="AQ107" s="268" t="n"/>
      <c r="AR107" s="268" t="n"/>
      <c r="AS107" s="268" t="n"/>
      <c r="AT107" s="268" t="n"/>
      <c r="AU107" s="268" t="n"/>
      <c r="AV107" s="268" t="n"/>
      <c r="AW107" s="268" t="n"/>
      <c r="AX107" s="268" t="n"/>
      <c r="AY107" s="268" t="n"/>
      <c r="AZ107" s="268" t="n"/>
      <c r="BA107" s="268" t="n"/>
      <c r="BB107" s="268" t="n"/>
      <c r="BC107" s="268" t="n"/>
      <c r="BD107" s="268" t="n"/>
      <c r="BE107" s="268" t="n"/>
      <c r="BF107" s="268" t="n"/>
      <c r="BG107" s="268" t="n"/>
      <c r="BH107" s="268" t="n"/>
      <c r="BI107" s="268" t="n"/>
      <c r="BJ107" s="268" t="n"/>
      <c r="BK107" s="268" t="n"/>
      <c r="BL107" s="268" t="n"/>
      <c r="BM107" s="268" t="n"/>
      <c r="BN107" s="268" t="n"/>
      <c r="BO107" s="268" t="n"/>
      <c r="BP107" s="268" t="n"/>
      <c r="BQ107" s="268" t="n"/>
      <c r="BR107" s="268" t="n"/>
      <c r="BS107" s="268" t="n"/>
      <c r="BT107" s="268" t="n"/>
      <c r="BU107" s="268" t="n"/>
      <c r="BV107" s="268" t="n"/>
      <c r="BW107" s="268" t="n"/>
      <c r="BX107" s="268" t="n"/>
      <c r="BY107" s="268" t="n"/>
      <c r="BZ107" s="268" t="n"/>
      <c r="CA107" s="268" t="n"/>
      <c r="CB107" s="268" t="n"/>
      <c r="CC107" s="268" t="n"/>
      <c r="CD107" s="268" t="n"/>
      <c r="CE107" s="268" t="n"/>
      <c r="CF107" s="268" t="n"/>
      <c r="CG107" s="268" t="n"/>
      <c r="CH107" s="268" t="n"/>
      <c r="CI107" s="268" t="n"/>
      <c r="CJ107" s="268" t="n"/>
      <c r="CK107" s="268" t="n"/>
      <c r="CL107" s="268" t="n"/>
      <c r="CM107" s="268" t="n"/>
      <c r="CN107" s="268" t="n"/>
      <c r="CO107" s="268" t="n"/>
      <c r="CP107" s="268" t="n"/>
      <c r="CQ107" s="268" t="n"/>
      <c r="CR107" s="268" t="n"/>
      <c r="CS107" s="268" t="n"/>
      <c r="CT107" s="268" t="n"/>
      <c r="CU107" s="268" t="n"/>
      <c r="CV107" s="268" t="n"/>
      <c r="CW107" s="268" t="n"/>
      <c r="CX107" s="268" t="n"/>
      <c r="CY107" s="268" t="n"/>
    </row>
    <row r="108" ht="12.75" customHeight="1" s="255">
      <c r="C108" s="270" t="inlineStr">
        <is>
          <t>Nonoperating Income / (Loss)</t>
        </is>
      </c>
      <c r="D108" s="301">
        <f>INDEX('Inputs (2)'!$D$9:$AL$9,MATCH(D$7,'Inputs (2)'!$D$2:$AL$2,0))</f>
        <v>45</v>
      </c>
      <c r="E108" s="301">
        <f>INDEX('Inputs (2)'!$D$9:$AL$9,MATCH(E$7,'Inputs (2)'!$D$2:$AL$2,0))</f>
        <v>21</v>
      </c>
      <c r="F108" s="301">
        <f>INDEX('Inputs (2)'!$D$9:$AL$9,MATCH(F$7,'Inputs (2)'!$D$2:$AL$2,0))</f>
        <v>-9</v>
      </c>
      <c r="G108" s="301">
        <f>INDEX('Inputs (2)'!$D$9:$AL$9,MATCH(G$7,'Inputs (2)'!$D$2:$AL$2,0))</f>
        <v>29</v>
      </c>
      <c r="H108" s="268">
        <f>SUM(D108:G108)</f>
        <v>86</v>
      </c>
      <c r="I108" s="301">
        <f>INDEX('Inputs (2)'!$D$9:$AL$9,MATCH(I$7,'Inputs (2)'!$D$2:$AL$2,0))</f>
        <v>19</v>
      </c>
      <c r="J108" s="301">
        <f>INDEX('Inputs (2)'!$D$9:$AL$9,MATCH(J$7,'Inputs (2)'!$D$2:$AL$2,0))</f>
        <v>27</v>
      </c>
      <c r="K108" s="301">
        <f>INDEX('Inputs (2)'!$D$9:$AL$9,MATCH(K$7,'Inputs (2)'!$D$2:$AL$2,0))</f>
        <v>68</v>
      </c>
      <c r="L108" s="301">
        <f>INDEX('Inputs (2)'!$D$9:$AL$9,MATCH(L$7,'Inputs (2)'!$D$2:$AL$2,0))</f>
        <v>42</v>
      </c>
      <c r="M108" s="268">
        <f>SUM(I108:L108)</f>
        <v>156</v>
      </c>
      <c r="N108" s="301">
        <f>INDEX('Inputs (2)'!$D$9:$AL$9,MATCH(N$7,'Inputs (2)'!$D$2:$AL$2,0))</f>
        <v>25</v>
      </c>
      <c r="O108" s="301">
        <f>INDEX('Inputs (2)'!$D$9:$AL$9,MATCH(O$7,'Inputs (2)'!$D$2:$AL$2,0))</f>
        <v>71</v>
      </c>
      <c r="P108" s="301">
        <f>INDEX('Inputs (2)'!$D$9:$AL$9,MATCH(P$7,'Inputs (2)'!$D$2:$AL$2,0))</f>
        <v>67</v>
      </c>
      <c r="Q108" s="301">
        <f>INDEX('Inputs (2)'!$D$9:$AL$9,MATCH(Q$7,'Inputs (2)'!$D$2:$AL$2,0))</f>
        <v>53</v>
      </c>
      <c r="R108" s="268">
        <f>SUM(N108:Q108)</f>
        <v>216</v>
      </c>
      <c r="S108" s="301">
        <f>INDEX('Inputs (2)'!$D$9:$AL$9,MATCH(S$7,'Inputs (2)'!$D$2:$AL$2,0))</f>
        <v>114</v>
      </c>
      <c r="T108" s="301">
        <f>INDEX('Inputs (2)'!$D$9:$AL$9,MATCH(T$7,'Inputs (2)'!$D$2:$AL$2,0))</f>
        <v>128</v>
      </c>
      <c r="U108" s="301">
        <f>INDEX('Inputs (2)'!$D$9:$AL$9,MATCH(U$7,'Inputs (2)'!$D$2:$AL$2,0))</f>
        <v>238</v>
      </c>
      <c r="V108" s="301">
        <f>INDEX('Inputs (2)'!$D$9:$AL$9,MATCH(V$7,'Inputs (2)'!$D$2:$AL$2,0))</f>
        <v>160</v>
      </c>
      <c r="W108" s="268">
        <f>SUM(S108:V108)</f>
        <v>640</v>
      </c>
      <c r="X108" s="301">
        <f>INDEX('Inputs (2)'!$D$9:$AL$9,MATCH(X$7,'Inputs (2)'!$D$2:$AL$2,0))</f>
        <v>216</v>
      </c>
      <c r="Y108" s="301">
        <f>INDEX('Inputs (2)'!$D$9:$AL$9,MATCH(Y$7,'Inputs (2)'!$D$2:$AL$2,0))</f>
        <v>128</v>
      </c>
      <c r="Z108" s="301">
        <f>INDEX('Inputs (2)'!$D$9:$AL$9,MATCH(Z$7,'Inputs (2)'!$D$2:$AL$2,0))</f>
        <v>120</v>
      </c>
      <c r="AA108" s="301">
        <f>INDEX('Inputs (2)'!$D$9:$AL$9,MATCH(AA$7,'Inputs (2)'!$D$2:$AL$2,0))</f>
        <v>147</v>
      </c>
      <c r="AB108" s="268">
        <f>SUM(X108:AA108)</f>
        <v>611</v>
      </c>
      <c r="AC108" s="301">
        <f>INDEX('Inputs (2)'!$D$9:$AL$9,MATCH(AC$7,'Inputs (2)'!$D$2:$AL$2,0))</f>
        <v>142</v>
      </c>
      <c r="AD108" s="301">
        <f>INDEX('Inputs (2)'!$D$9:$AL$9,MATCH(AD$7,'Inputs (2)'!$D$2:$AL$2,0))</f>
        <v>85</v>
      </c>
      <c r="AE108" s="301">
        <f>INDEX('Inputs (2)'!$D$9:$AL$9,MATCH(AE$7,'Inputs (2)'!$D$2:$AL$2,0))</f>
        <v>215</v>
      </c>
      <c r="AF108" s="301">
        <f>INDEX('Inputs (2)'!$D$9:$AL$9,MATCH(AF$7,'Inputs (2)'!$D$2:$AL$2,0))</f>
        <v>155</v>
      </c>
      <c r="AG108" s="268">
        <f>SUM(AC108:AF108)</f>
        <v>597</v>
      </c>
      <c r="AH108" s="268">
        <f>INDEX('Inputs (2)'!$D$9:$AL$9,MATCH(AH$7,'Inputs (2)'!$D$2:$AL$2,0))</f>
        <v>148</v>
      </c>
      <c r="AI108" s="268">
        <f>INDEX('Inputs (2)'!$D$9:$AL$9,MATCH(AI$7,'Inputs (2)'!$D$2:$AL$2,0))</f>
        <v>155</v>
      </c>
      <c r="AJ108" s="268">
        <f>AH108</f>
        <v>148</v>
      </c>
      <c r="AK108" s="268">
        <f>AI108</f>
        <v>155</v>
      </c>
      <c r="AL108" s="268">
        <f>SUM(AH108:AK108)</f>
        <v>606</v>
      </c>
      <c r="AM108" s="268">
        <f>AK108</f>
        <v>155</v>
      </c>
      <c r="AN108" s="268">
        <f>AL108</f>
        <v>606</v>
      </c>
      <c r="AO108" s="268">
        <f>AM108</f>
        <v>155</v>
      </c>
      <c r="AP108" s="268">
        <f>AN108</f>
        <v>606</v>
      </c>
      <c r="AQ108" s="268">
        <f>SUM(AM108:AP108)</f>
        <v>1522</v>
      </c>
      <c r="AR108" s="268">
        <f>AP108</f>
        <v>606</v>
      </c>
      <c r="AS108" s="268">
        <f>AQ108</f>
        <v>1522</v>
      </c>
      <c r="AT108" s="268">
        <f>AR108</f>
        <v>606</v>
      </c>
      <c r="AU108" s="268">
        <f>AS108</f>
        <v>1522</v>
      </c>
      <c r="AV108" s="268">
        <f>SUM(AR108:AU108)</f>
        <v>4256</v>
      </c>
      <c r="AW108" s="268">
        <f>AU108</f>
        <v>1522</v>
      </c>
      <c r="AX108" s="268">
        <f>AV108</f>
        <v>4256</v>
      </c>
      <c r="AY108" s="268">
        <f>AW108</f>
        <v>1522</v>
      </c>
      <c r="AZ108" s="268">
        <f>AX108</f>
        <v>4256</v>
      </c>
      <c r="BA108" s="268">
        <f>SUM(AW108:AZ108)</f>
        <v>11556</v>
      </c>
      <c r="BB108" s="268">
        <f>AZ108</f>
        <v>4256</v>
      </c>
      <c r="BC108" s="268">
        <f>BA108</f>
        <v>11556</v>
      </c>
      <c r="BD108" s="268">
        <f>BB108</f>
        <v>4256</v>
      </c>
      <c r="BE108" s="268">
        <f>BC108</f>
        <v>11556</v>
      </c>
      <c r="BF108" s="268">
        <f>SUM(BB108:BE108)</f>
        <v>31624</v>
      </c>
      <c r="BG108" s="268">
        <f>BE108</f>
        <v>11556</v>
      </c>
      <c r="BH108" s="268">
        <f>BF108</f>
        <v>31624</v>
      </c>
      <c r="BI108" s="268">
        <f>BG108</f>
        <v>11556</v>
      </c>
      <c r="BJ108" s="268">
        <f>BH108</f>
        <v>31624</v>
      </c>
      <c r="BK108" s="268">
        <f>SUM(BG108:BJ108)</f>
        <v>86360</v>
      </c>
      <c r="BL108" s="268">
        <f>BJ108</f>
        <v>31624</v>
      </c>
      <c r="BM108" s="268">
        <f>BK108</f>
        <v>86360</v>
      </c>
      <c r="BN108" s="268">
        <f>BL108</f>
        <v>31624</v>
      </c>
      <c r="BO108" s="268">
        <f>BM108</f>
        <v>86360</v>
      </c>
      <c r="BP108" s="268">
        <f>SUM(BL108:BO108)</f>
        <v>235968</v>
      </c>
      <c r="BQ108" s="268">
        <f>BO108</f>
        <v>86360</v>
      </c>
      <c r="BR108" s="268">
        <f>BP108</f>
        <v>235968</v>
      </c>
      <c r="BS108" s="268">
        <f>BQ108</f>
        <v>86360</v>
      </c>
      <c r="BT108" s="268">
        <f>BR108</f>
        <v>235968</v>
      </c>
      <c r="BU108" s="268">
        <f>SUM(BQ108:BT108)</f>
        <v>644656</v>
      </c>
      <c r="BV108" s="268">
        <f>BT108</f>
        <v>235968</v>
      </c>
      <c r="BW108" s="268">
        <f>BU108</f>
        <v>644656</v>
      </c>
      <c r="BX108" s="268">
        <f>BV108</f>
        <v>235968</v>
      </c>
      <c r="BY108" s="268">
        <f>BW108</f>
        <v>644656</v>
      </c>
      <c r="BZ108" s="268">
        <f>SUM(BV108:BY108)</f>
        <v>1761248</v>
      </c>
      <c r="CA108" s="268">
        <f>BY108</f>
        <v>644656</v>
      </c>
      <c r="CB108" s="268">
        <f>BZ108</f>
        <v>1761248</v>
      </c>
      <c r="CC108" s="268">
        <f>CA108</f>
        <v>644656</v>
      </c>
      <c r="CD108" s="268">
        <f>CB108</f>
        <v>1761248</v>
      </c>
      <c r="CE108" s="268">
        <f>SUM(CA108:CD108)</f>
        <v>4811808</v>
      </c>
      <c r="CF108" s="268">
        <f>CD108</f>
        <v>1761248</v>
      </c>
      <c r="CG108" s="268">
        <f>CE108</f>
        <v>4811808</v>
      </c>
      <c r="CH108" s="268">
        <f>CF108</f>
        <v>1761248</v>
      </c>
      <c r="CI108" s="268">
        <f>CG108</f>
        <v>4811808</v>
      </c>
      <c r="CJ108" s="268">
        <f>SUM(CF108:CI108)</f>
        <v>13146112</v>
      </c>
      <c r="CK108" s="268">
        <f>CI108</f>
        <v>4811808</v>
      </c>
      <c r="CL108" s="268">
        <f>CJ108</f>
        <v>13146112</v>
      </c>
      <c r="CM108" s="268">
        <f>CK108</f>
        <v>4811808</v>
      </c>
      <c r="CN108" s="268">
        <f>CL108</f>
        <v>13146112</v>
      </c>
      <c r="CO108" s="268">
        <f>SUM(CK108:CN108)</f>
        <v>35915840</v>
      </c>
      <c r="CP108" s="268">
        <f>CN108</f>
        <v>13146112</v>
      </c>
      <c r="CQ108" s="268">
        <f>CO108</f>
        <v>35915840</v>
      </c>
      <c r="CR108" s="268">
        <f>CP108</f>
        <v>13146112</v>
      </c>
      <c r="CS108" s="268">
        <f>CQ108</f>
        <v>35915840</v>
      </c>
      <c r="CT108" s="268">
        <f>SUM(CP108:CS108)</f>
        <v>98123904</v>
      </c>
      <c r="CU108" s="268">
        <f>CS108</f>
        <v>35915840</v>
      </c>
      <c r="CV108" s="268">
        <f>CT108</f>
        <v>98123904</v>
      </c>
      <c r="CW108" s="268">
        <f>CU108</f>
        <v>35915840</v>
      </c>
      <c r="CX108" s="268">
        <f>CV108</f>
        <v>98123904</v>
      </c>
      <c r="CY108" s="268">
        <f>SUM(CU108:CX108)</f>
        <v>268079488</v>
      </c>
    </row>
    <row r="109" hidden="1" outlineLevel="1" ht="12.75" customHeight="1" s="255">
      <c r="C109" s="312" t="n"/>
      <c r="D109" s="268" t="n"/>
      <c r="E109" s="268" t="n"/>
      <c r="F109" s="268" t="n"/>
      <c r="G109" s="268" t="n"/>
      <c r="H109" s="268" t="n"/>
      <c r="I109" s="268" t="n"/>
      <c r="J109" s="268" t="n"/>
      <c r="K109" s="268" t="n"/>
      <c r="L109" s="268" t="n"/>
      <c r="M109" s="268" t="n"/>
      <c r="N109" s="268" t="n"/>
      <c r="O109" s="268" t="n"/>
      <c r="P109" s="268" t="n"/>
      <c r="Q109" s="268" t="n"/>
      <c r="R109" s="268" t="n"/>
      <c r="S109" s="268" t="n"/>
      <c r="T109" s="268" t="n"/>
      <c r="U109" s="268" t="n"/>
      <c r="V109" s="268" t="n"/>
      <c r="W109" s="268" t="n"/>
      <c r="X109" s="268" t="n"/>
      <c r="Y109" s="268" t="n"/>
      <c r="Z109" s="268" t="n"/>
      <c r="AA109" s="268" t="n"/>
      <c r="AB109" s="268" t="n"/>
      <c r="AC109" s="268" t="n"/>
      <c r="AD109" s="268" t="n"/>
      <c r="AE109" s="268" t="n"/>
      <c r="AF109" s="268" t="n"/>
      <c r="AG109" s="268" t="n"/>
      <c r="AH109" s="268" t="n"/>
      <c r="AI109" s="268" t="n"/>
      <c r="AJ109" s="268" t="n"/>
      <c r="AK109" s="268" t="n"/>
      <c r="AL109" s="268" t="n"/>
      <c r="AM109" s="268" t="n"/>
      <c r="AN109" s="268" t="n"/>
      <c r="AO109" s="268" t="n"/>
      <c r="AP109" s="268" t="n"/>
      <c r="AQ109" s="268" t="n"/>
      <c r="AR109" s="268" t="n"/>
      <c r="AS109" s="268" t="n"/>
      <c r="AT109" s="268" t="n"/>
      <c r="AU109" s="268" t="n"/>
      <c r="AV109" s="268" t="n"/>
      <c r="AW109" s="268" t="n"/>
      <c r="AX109" s="268" t="n"/>
      <c r="AY109" s="268" t="n"/>
      <c r="AZ109" s="268" t="n"/>
      <c r="BA109" s="268" t="n"/>
      <c r="BB109" s="268" t="n"/>
      <c r="BC109" s="268" t="n"/>
      <c r="BD109" s="268" t="n"/>
      <c r="BE109" s="268" t="n"/>
      <c r="BF109" s="268" t="n"/>
      <c r="BG109" s="268" t="n"/>
      <c r="BH109" s="268" t="n"/>
      <c r="BI109" s="268" t="n"/>
      <c r="BJ109" s="268" t="n"/>
      <c r="BK109" s="268" t="n"/>
      <c r="BL109" s="268" t="n"/>
      <c r="BM109" s="268" t="n"/>
      <c r="BN109" s="268" t="n"/>
      <c r="BO109" s="268" t="n"/>
      <c r="BP109" s="268" t="n"/>
      <c r="BQ109" s="268" t="n"/>
      <c r="BR109" s="268" t="n"/>
      <c r="BS109" s="268" t="n"/>
      <c r="BT109" s="268" t="n"/>
      <c r="BU109" s="268" t="n"/>
      <c r="BV109" s="268" t="n"/>
      <c r="BW109" s="268" t="n"/>
      <c r="BX109" s="268" t="n"/>
      <c r="BY109" s="268" t="n"/>
      <c r="BZ109" s="268" t="n"/>
      <c r="CA109" s="268" t="n"/>
      <c r="CB109" s="268" t="n"/>
      <c r="CC109" s="268" t="n"/>
      <c r="CD109" s="268" t="n"/>
      <c r="CE109" s="268" t="n"/>
      <c r="CF109" s="268" t="n"/>
      <c r="CG109" s="268" t="n"/>
      <c r="CH109" s="268" t="n"/>
      <c r="CI109" s="268" t="n"/>
      <c r="CJ109" s="268" t="n"/>
      <c r="CK109" s="268" t="n"/>
      <c r="CL109" s="268" t="n"/>
      <c r="CM109" s="268" t="n"/>
      <c r="CN109" s="268" t="n"/>
      <c r="CO109" s="268" t="n"/>
      <c r="CP109" s="268" t="n"/>
      <c r="CQ109" s="268" t="n"/>
      <c r="CR109" s="268" t="n"/>
      <c r="CS109" s="268" t="n"/>
      <c r="CT109" s="268" t="n"/>
      <c r="CU109" s="268" t="n"/>
      <c r="CV109" s="268" t="n"/>
      <c r="CW109" s="268" t="n"/>
      <c r="CX109" s="268" t="n"/>
      <c r="CY109" s="268" t="n"/>
    </row>
    <row r="110" hidden="1" outlineLevel="1" ht="12.75" customHeight="1" s="255">
      <c r="C110" s="305" t="inlineStr">
        <is>
          <t>Resultado Não Recorrente</t>
        </is>
      </c>
      <c r="D110" s="267" t="n"/>
      <c r="E110" s="267" t="n"/>
      <c r="F110" s="267" t="n"/>
      <c r="G110" s="267" t="n"/>
      <c r="H110" s="268" t="n"/>
      <c r="I110" s="267" t="n"/>
      <c r="J110" s="267" t="n"/>
      <c r="K110" s="267" t="n"/>
      <c r="L110" s="267" t="n"/>
      <c r="M110" s="268" t="n"/>
      <c r="N110" s="267" t="n"/>
      <c r="O110" s="267" t="n"/>
      <c r="P110" s="267" t="n"/>
      <c r="Q110" s="267" t="n"/>
      <c r="R110" s="268" t="n"/>
      <c r="S110" s="267" t="n"/>
      <c r="T110" s="267" t="n"/>
      <c r="U110" s="267" t="n"/>
      <c r="V110" s="267" t="n"/>
      <c r="W110" s="268" t="n"/>
      <c r="X110" s="267" t="n"/>
      <c r="Y110" s="267" t="n"/>
      <c r="Z110" s="267" t="n"/>
      <c r="AA110" s="267" t="n"/>
      <c r="AB110" s="268" t="n"/>
      <c r="AC110" s="267" t="n"/>
      <c r="AD110" s="267" t="n"/>
      <c r="AE110" s="267" t="n"/>
      <c r="AF110" s="267" t="n"/>
      <c r="AG110" s="268" t="n"/>
      <c r="AH110" s="268" t="n"/>
      <c r="AI110" s="268" t="n"/>
      <c r="AJ110" s="268" t="n"/>
      <c r="AK110" s="268" t="n"/>
      <c r="AL110" s="268" t="n"/>
      <c r="AM110" s="268" t="n"/>
      <c r="AN110" s="268" t="n"/>
      <c r="AO110" s="268" t="n"/>
      <c r="AP110" s="268" t="n"/>
      <c r="AQ110" s="268" t="n"/>
      <c r="AR110" s="268" t="n"/>
      <c r="AS110" s="268" t="n"/>
      <c r="AT110" s="268" t="n"/>
      <c r="AU110" s="268" t="n"/>
      <c r="AV110" s="268" t="n"/>
      <c r="AW110" s="268" t="n"/>
      <c r="AX110" s="268" t="n"/>
      <c r="AY110" s="268" t="n"/>
      <c r="AZ110" s="268" t="n"/>
      <c r="BA110" s="268" t="n"/>
      <c r="BB110" s="268" t="n"/>
      <c r="BC110" s="268" t="n"/>
      <c r="BD110" s="268" t="n"/>
      <c r="BE110" s="268" t="n"/>
      <c r="BF110" s="268" t="n"/>
      <c r="BG110" s="268" t="n"/>
      <c r="BH110" s="268" t="n"/>
      <c r="BI110" s="268" t="n"/>
      <c r="BJ110" s="268" t="n"/>
      <c r="BK110" s="268" t="n"/>
      <c r="BL110" s="268" t="n"/>
      <c r="BM110" s="268" t="n"/>
      <c r="BN110" s="268" t="n"/>
      <c r="BO110" s="268" t="n"/>
      <c r="BP110" s="268" t="n"/>
      <c r="BQ110" s="268" t="n"/>
      <c r="BR110" s="268" t="n"/>
      <c r="BS110" s="268" t="n"/>
      <c r="BT110" s="268" t="n"/>
      <c r="BU110" s="268" t="n"/>
      <c r="BV110" s="268" t="n"/>
      <c r="BW110" s="268" t="n"/>
      <c r="BX110" s="268" t="n"/>
      <c r="BY110" s="268" t="n"/>
      <c r="BZ110" s="268" t="n"/>
      <c r="CA110" s="268" t="n"/>
      <c r="CB110" s="268" t="n"/>
      <c r="CC110" s="268" t="n"/>
      <c r="CD110" s="268" t="n"/>
      <c r="CE110" s="268" t="n"/>
      <c r="CF110" s="268" t="n"/>
      <c r="CG110" s="268" t="n"/>
      <c r="CH110" s="268" t="n"/>
      <c r="CI110" s="268" t="n"/>
      <c r="CJ110" s="268" t="n"/>
      <c r="CK110" s="268" t="n"/>
      <c r="CL110" s="268" t="n"/>
      <c r="CM110" s="268" t="n"/>
      <c r="CN110" s="268" t="n"/>
      <c r="CO110" s="268" t="n"/>
      <c r="CP110" s="268" t="n"/>
      <c r="CQ110" s="268" t="n"/>
      <c r="CR110" s="268" t="n"/>
      <c r="CS110" s="268" t="n"/>
      <c r="CT110" s="268" t="n"/>
      <c r="CU110" s="268" t="n"/>
      <c r="CV110" s="268" t="n"/>
      <c r="CW110" s="268" t="n"/>
      <c r="CX110" s="268" t="n"/>
      <c r="CY110" s="268" t="n"/>
    </row>
    <row r="111" hidden="1" outlineLevel="1" ht="12.75" customHeight="1" s="255">
      <c r="C111" s="305" t="inlineStr">
        <is>
          <t>Plano de Opção de Compra de Ações</t>
        </is>
      </c>
      <c r="D111" s="267" t="n"/>
      <c r="E111" s="267" t="n"/>
      <c r="F111" s="267" t="n"/>
      <c r="G111" s="267" t="n"/>
      <c r="H111" s="268" t="n"/>
      <c r="I111" s="267" t="n"/>
      <c r="J111" s="267" t="n"/>
      <c r="K111" s="267" t="n"/>
      <c r="L111" s="267" t="n"/>
      <c r="M111" s="268" t="n"/>
      <c r="N111" s="267" t="n"/>
      <c r="O111" s="267" t="n"/>
      <c r="P111" s="267" t="n"/>
      <c r="Q111" s="267" t="n"/>
      <c r="R111" s="268" t="n"/>
      <c r="S111" s="267" t="n"/>
      <c r="T111" s="267" t="n"/>
      <c r="U111" s="267" t="n"/>
      <c r="V111" s="267" t="n"/>
      <c r="W111" s="268" t="n"/>
      <c r="X111" s="267" t="n"/>
      <c r="Y111" s="267" t="n"/>
      <c r="Z111" s="267" t="n"/>
      <c r="AA111" s="267" t="n"/>
      <c r="AB111" s="268" t="n"/>
      <c r="AC111" s="267" t="n"/>
      <c r="AD111" s="267" t="n"/>
      <c r="AE111" s="267" t="n"/>
      <c r="AF111" s="267" t="n"/>
      <c r="AG111" s="268" t="n"/>
      <c r="AH111" s="268" t="n"/>
      <c r="AI111" s="268" t="n"/>
      <c r="AJ111" s="268" t="n"/>
      <c r="AK111" s="268" t="n"/>
      <c r="AL111" s="268" t="n"/>
      <c r="AM111" s="268" t="n"/>
      <c r="AN111" s="268" t="n"/>
      <c r="AO111" s="268" t="n"/>
      <c r="AP111" s="268" t="n"/>
      <c r="AQ111" s="268" t="n"/>
      <c r="AR111" s="268" t="n"/>
      <c r="AS111" s="268" t="n"/>
      <c r="AT111" s="268" t="n"/>
      <c r="AU111" s="268" t="n"/>
      <c r="AV111" s="268" t="n"/>
      <c r="AW111" s="268" t="n"/>
      <c r="AX111" s="268" t="n"/>
      <c r="AY111" s="268" t="n"/>
      <c r="AZ111" s="268" t="n"/>
      <c r="BA111" s="268" t="n"/>
      <c r="BB111" s="268" t="n"/>
      <c r="BC111" s="268" t="n"/>
      <c r="BD111" s="268" t="n"/>
      <c r="BE111" s="268" t="n"/>
      <c r="BF111" s="268" t="n"/>
      <c r="BG111" s="268" t="n"/>
      <c r="BH111" s="268" t="n"/>
      <c r="BI111" s="268" t="n"/>
      <c r="BJ111" s="268" t="n"/>
      <c r="BK111" s="268" t="n"/>
      <c r="BL111" s="268" t="n"/>
      <c r="BM111" s="268" t="n"/>
      <c r="BN111" s="268" t="n"/>
      <c r="BO111" s="268" t="n"/>
      <c r="BP111" s="268" t="n"/>
      <c r="BQ111" s="268" t="n"/>
      <c r="BR111" s="268" t="n"/>
      <c r="BS111" s="268" t="n"/>
      <c r="BT111" s="268" t="n"/>
      <c r="BU111" s="268" t="n"/>
      <c r="BV111" s="268" t="n"/>
      <c r="BW111" s="268" t="n"/>
      <c r="BX111" s="268" t="n"/>
      <c r="BY111" s="268" t="n"/>
      <c r="BZ111" s="268" t="n"/>
      <c r="CA111" s="268" t="n"/>
      <c r="CB111" s="268" t="n"/>
      <c r="CC111" s="268" t="n"/>
      <c r="CD111" s="268" t="n"/>
      <c r="CE111" s="268" t="n"/>
      <c r="CF111" s="268" t="n"/>
      <c r="CG111" s="268" t="n"/>
      <c r="CH111" s="268" t="n"/>
      <c r="CI111" s="268" t="n"/>
      <c r="CJ111" s="268" t="n"/>
      <c r="CK111" s="268" t="n"/>
      <c r="CL111" s="268" t="n"/>
      <c r="CM111" s="268" t="n"/>
      <c r="CN111" s="268" t="n"/>
      <c r="CO111" s="268" t="n"/>
      <c r="CP111" s="268" t="n"/>
      <c r="CQ111" s="268" t="n"/>
      <c r="CR111" s="268" t="n"/>
      <c r="CS111" s="268" t="n"/>
      <c r="CT111" s="268" t="n"/>
      <c r="CU111" s="268" t="n"/>
      <c r="CV111" s="268" t="n"/>
      <c r="CW111" s="268" t="n"/>
      <c r="CX111" s="268" t="n"/>
      <c r="CY111" s="268" t="n"/>
    </row>
    <row r="112" hidden="1" outlineLevel="1" ht="12.75" customHeight="1" s="255">
      <c r="C112" s="305" t="inlineStr">
        <is>
          <t>Baixa Imobilizado</t>
        </is>
      </c>
      <c r="D112" s="267" t="n"/>
      <c r="E112" s="267" t="n"/>
      <c r="F112" s="267" t="n"/>
      <c r="G112" s="267" t="n"/>
      <c r="H112" s="268" t="n"/>
      <c r="I112" s="267" t="n"/>
      <c r="J112" s="267" t="n"/>
      <c r="K112" s="267" t="n"/>
      <c r="L112" s="267" t="n"/>
      <c r="M112" s="268" t="n"/>
      <c r="N112" s="267" t="n"/>
      <c r="O112" s="267" t="n"/>
      <c r="P112" s="267" t="n"/>
      <c r="Q112" s="267" t="n"/>
      <c r="R112" s="268" t="n"/>
      <c r="S112" s="267" t="n"/>
      <c r="T112" s="267" t="n"/>
      <c r="U112" s="267" t="n"/>
      <c r="V112" s="267" t="n"/>
      <c r="W112" s="268" t="n"/>
      <c r="X112" s="267" t="n"/>
      <c r="Y112" s="267" t="n"/>
      <c r="Z112" s="267" t="n"/>
      <c r="AA112" s="267" t="n"/>
      <c r="AB112" s="268" t="n"/>
      <c r="AC112" s="267" t="n"/>
      <c r="AD112" s="267" t="n"/>
      <c r="AE112" s="267" t="n"/>
      <c r="AF112" s="267" t="n"/>
      <c r="AG112" s="268" t="n"/>
      <c r="AH112" s="268" t="n"/>
      <c r="AI112" s="268" t="n"/>
      <c r="AJ112" s="268" t="n"/>
      <c r="AK112" s="268" t="n"/>
      <c r="AL112" s="268" t="n"/>
      <c r="AM112" s="268" t="n"/>
      <c r="AN112" s="268" t="n"/>
      <c r="AO112" s="268" t="n"/>
      <c r="AP112" s="268" t="n"/>
      <c r="AQ112" s="268" t="n"/>
      <c r="AR112" s="268" t="n"/>
      <c r="AS112" s="268" t="n"/>
      <c r="AT112" s="268" t="n"/>
      <c r="AU112" s="268" t="n"/>
      <c r="AV112" s="268" t="n"/>
      <c r="AW112" s="268" t="n"/>
      <c r="AX112" s="268" t="n"/>
      <c r="AY112" s="268" t="n"/>
      <c r="AZ112" s="268" t="n"/>
      <c r="BA112" s="268" t="n"/>
      <c r="BB112" s="268" t="n"/>
      <c r="BC112" s="268" t="n"/>
      <c r="BD112" s="268" t="n"/>
      <c r="BE112" s="268" t="n"/>
      <c r="BF112" s="268" t="n"/>
      <c r="BG112" s="268" t="n"/>
      <c r="BH112" s="268" t="n"/>
      <c r="BI112" s="268" t="n"/>
      <c r="BJ112" s="268" t="n"/>
      <c r="BK112" s="268" t="n"/>
      <c r="BL112" s="268" t="n"/>
      <c r="BM112" s="268" t="n"/>
      <c r="BN112" s="268" t="n"/>
      <c r="BO112" s="268" t="n"/>
      <c r="BP112" s="268" t="n"/>
      <c r="BQ112" s="268" t="n"/>
      <c r="BR112" s="268" t="n"/>
      <c r="BS112" s="268" t="n"/>
      <c r="BT112" s="268" t="n"/>
      <c r="BU112" s="268" t="n"/>
      <c r="BV112" s="268" t="n"/>
      <c r="BW112" s="268" t="n"/>
      <c r="BX112" s="268" t="n"/>
      <c r="BY112" s="268" t="n"/>
      <c r="BZ112" s="268" t="n"/>
      <c r="CA112" s="268" t="n"/>
      <c r="CB112" s="268" t="n"/>
      <c r="CC112" s="268" t="n"/>
      <c r="CD112" s="268" t="n"/>
      <c r="CE112" s="268" t="n"/>
      <c r="CF112" s="268" t="n"/>
      <c r="CG112" s="268" t="n"/>
      <c r="CH112" s="268" t="n"/>
      <c r="CI112" s="268" t="n"/>
      <c r="CJ112" s="268" t="n"/>
      <c r="CK112" s="268" t="n"/>
      <c r="CL112" s="268" t="n"/>
      <c r="CM112" s="268" t="n"/>
      <c r="CN112" s="268" t="n"/>
      <c r="CO112" s="268" t="n"/>
      <c r="CP112" s="268" t="n"/>
      <c r="CQ112" s="268" t="n"/>
      <c r="CR112" s="268" t="n"/>
      <c r="CS112" s="268" t="n"/>
      <c r="CT112" s="268" t="n"/>
      <c r="CU112" s="268" t="n"/>
      <c r="CV112" s="268" t="n"/>
      <c r="CW112" s="268" t="n"/>
      <c r="CX112" s="268" t="n"/>
      <c r="CY112" s="268" t="n"/>
    </row>
    <row r="113" hidden="1" outlineLevel="1" ht="12.75" customHeight="1" s="255">
      <c r="C113" s="312" t="n"/>
      <c r="D113" s="268" t="n"/>
      <c r="E113" s="268" t="n"/>
      <c r="F113" s="268" t="n"/>
      <c r="G113" s="268" t="n"/>
      <c r="H113" s="268" t="n"/>
      <c r="I113" s="268" t="n"/>
      <c r="J113" s="268" t="n"/>
      <c r="K113" s="268" t="n"/>
      <c r="L113" s="268" t="n"/>
      <c r="M113" s="268" t="n"/>
      <c r="N113" s="268" t="n"/>
      <c r="O113" s="268" t="n"/>
      <c r="P113" s="268" t="n"/>
      <c r="Q113" s="268" t="n"/>
      <c r="R113" s="268" t="n"/>
      <c r="S113" s="268" t="n"/>
      <c r="T113" s="268" t="n"/>
      <c r="U113" s="268" t="n"/>
      <c r="V113" s="268" t="n"/>
      <c r="W113" s="268" t="n"/>
      <c r="X113" s="268" t="n"/>
      <c r="Y113" s="268" t="n"/>
      <c r="Z113" s="268" t="n"/>
      <c r="AA113" s="268" t="n"/>
      <c r="AB113" s="268" t="n"/>
      <c r="AC113" s="268" t="n"/>
      <c r="AD113" s="268" t="n"/>
      <c r="AE113" s="268" t="n"/>
      <c r="AF113" s="268" t="n"/>
      <c r="AG113" s="268" t="n"/>
      <c r="AH113" s="268" t="n"/>
      <c r="AI113" s="268" t="n"/>
      <c r="AJ113" s="268" t="n"/>
      <c r="AK113" s="268" t="n"/>
      <c r="AL113" s="268" t="n"/>
      <c r="AM113" s="268" t="n"/>
      <c r="AN113" s="268" t="n"/>
      <c r="AO113" s="268" t="n"/>
      <c r="AP113" s="268" t="n"/>
      <c r="AQ113" s="268" t="n"/>
      <c r="AR113" s="268" t="n"/>
      <c r="AS113" s="268" t="n"/>
      <c r="AT113" s="268" t="n"/>
      <c r="AU113" s="268" t="n"/>
      <c r="AV113" s="268" t="n"/>
      <c r="AW113" s="268" t="n"/>
      <c r="AX113" s="268" t="n"/>
      <c r="AY113" s="268" t="n"/>
      <c r="AZ113" s="268" t="n"/>
      <c r="BA113" s="268" t="n"/>
      <c r="BB113" s="268" t="n"/>
      <c r="BC113" s="268" t="n"/>
      <c r="BD113" s="268" t="n"/>
      <c r="BE113" s="268" t="n"/>
      <c r="BF113" s="268" t="n"/>
      <c r="BG113" s="268" t="n"/>
      <c r="BH113" s="268" t="n"/>
      <c r="BI113" s="268" t="n"/>
      <c r="BJ113" s="268" t="n"/>
      <c r="BK113" s="268" t="n"/>
      <c r="BL113" s="268" t="n"/>
      <c r="BM113" s="268" t="n"/>
      <c r="BN113" s="268" t="n"/>
      <c r="BO113" s="268" t="n"/>
      <c r="BP113" s="268" t="n"/>
      <c r="BQ113" s="268" t="n"/>
      <c r="BR113" s="268" t="n"/>
      <c r="BS113" s="268" t="n"/>
      <c r="BT113" s="268" t="n"/>
      <c r="BU113" s="268" t="n"/>
      <c r="BV113" s="268" t="n"/>
      <c r="BW113" s="268" t="n"/>
      <c r="BX113" s="268" t="n"/>
      <c r="BY113" s="268" t="n"/>
      <c r="BZ113" s="268" t="n"/>
      <c r="CA113" s="268" t="n"/>
      <c r="CB113" s="268" t="n"/>
      <c r="CC113" s="268" t="n"/>
      <c r="CD113" s="268" t="n"/>
      <c r="CE113" s="268" t="n"/>
      <c r="CF113" s="268" t="n"/>
      <c r="CG113" s="268" t="n"/>
      <c r="CH113" s="268" t="n"/>
      <c r="CI113" s="268" t="n"/>
      <c r="CJ113" s="268" t="n"/>
      <c r="CK113" s="268" t="n"/>
      <c r="CL113" s="268" t="n"/>
      <c r="CM113" s="268" t="n"/>
      <c r="CN113" s="268" t="n"/>
      <c r="CO113" s="268" t="n"/>
      <c r="CP113" s="268" t="n"/>
      <c r="CQ113" s="268" t="n"/>
      <c r="CR113" s="268" t="n"/>
      <c r="CS113" s="268" t="n"/>
      <c r="CT113" s="268" t="n"/>
      <c r="CU113" s="268" t="n"/>
      <c r="CV113" s="268" t="n"/>
      <c r="CW113" s="268" t="n"/>
      <c r="CX113" s="268" t="n"/>
      <c r="CY113" s="268" t="n"/>
    </row>
    <row r="114" hidden="1" outlineLevel="1" ht="12.75" customHeight="1" s="255">
      <c r="C114" s="312" t="n"/>
      <c r="D114" s="268" t="n"/>
      <c r="E114" s="268" t="n"/>
      <c r="F114" s="268" t="n"/>
      <c r="G114" s="268" t="n"/>
      <c r="H114" s="268" t="n"/>
      <c r="I114" s="268" t="n"/>
      <c r="J114" s="268" t="n"/>
      <c r="K114" s="268" t="n"/>
      <c r="L114" s="268" t="n"/>
      <c r="M114" s="268" t="n"/>
      <c r="N114" s="268" t="n"/>
      <c r="O114" s="268" t="n"/>
      <c r="P114" s="268" t="n"/>
      <c r="Q114" s="268" t="n"/>
      <c r="R114" s="268" t="n"/>
      <c r="S114" s="268" t="n"/>
      <c r="T114" s="268" t="n"/>
      <c r="U114" s="268" t="n"/>
      <c r="V114" s="268" t="n"/>
      <c r="W114" s="268" t="n"/>
      <c r="X114" s="268" t="n"/>
      <c r="Y114" s="268" t="n"/>
      <c r="Z114" s="268" t="n"/>
      <c r="AA114" s="268" t="n"/>
      <c r="AB114" s="268" t="n"/>
      <c r="AC114" s="268" t="n"/>
      <c r="AD114" s="268" t="n"/>
      <c r="AE114" s="268" t="n"/>
      <c r="AF114" s="268" t="n"/>
      <c r="AG114" s="268" t="n"/>
      <c r="AH114" s="268" t="n"/>
      <c r="AI114" s="268" t="n"/>
      <c r="AJ114" s="268" t="n"/>
      <c r="AK114" s="268" t="n"/>
      <c r="AL114" s="268" t="n"/>
      <c r="AM114" s="268" t="n"/>
      <c r="AN114" s="268" t="n"/>
      <c r="AO114" s="268" t="n"/>
      <c r="AP114" s="268" t="n"/>
      <c r="AQ114" s="268" t="n"/>
      <c r="AR114" s="268" t="n"/>
      <c r="AS114" s="268" t="n"/>
      <c r="AT114" s="268" t="n"/>
      <c r="AU114" s="268" t="n"/>
      <c r="AV114" s="268" t="n"/>
      <c r="AW114" s="268" t="n"/>
      <c r="AX114" s="268" t="n"/>
      <c r="AY114" s="268" t="n"/>
      <c r="AZ114" s="268" t="n"/>
      <c r="BA114" s="268" t="n"/>
      <c r="BB114" s="268" t="n"/>
      <c r="BC114" s="268" t="n"/>
      <c r="BD114" s="268" t="n"/>
      <c r="BE114" s="268" t="n"/>
      <c r="BF114" s="268" t="n"/>
      <c r="BG114" s="268" t="n"/>
      <c r="BH114" s="268" t="n"/>
      <c r="BI114" s="268" t="n"/>
      <c r="BJ114" s="268" t="n"/>
      <c r="BK114" s="268" t="n"/>
      <c r="BL114" s="268" t="n"/>
      <c r="BM114" s="268" t="n"/>
      <c r="BN114" s="268" t="n"/>
      <c r="BO114" s="268" t="n"/>
      <c r="BP114" s="268" t="n"/>
      <c r="BQ114" s="268" t="n"/>
      <c r="BR114" s="268" t="n"/>
      <c r="BS114" s="268" t="n"/>
      <c r="BT114" s="268" t="n"/>
      <c r="BU114" s="268" t="n"/>
      <c r="BV114" s="268" t="n"/>
      <c r="BW114" s="268" t="n"/>
      <c r="BX114" s="268" t="n"/>
      <c r="BY114" s="268" t="n"/>
      <c r="BZ114" s="268" t="n"/>
      <c r="CA114" s="268" t="n"/>
      <c r="CB114" s="268" t="n"/>
      <c r="CC114" s="268" t="n"/>
      <c r="CD114" s="268" t="n"/>
      <c r="CE114" s="268" t="n"/>
      <c r="CF114" s="268" t="n"/>
      <c r="CG114" s="268" t="n"/>
      <c r="CH114" s="268" t="n"/>
      <c r="CI114" s="268" t="n"/>
      <c r="CJ114" s="268" t="n"/>
      <c r="CK114" s="268" t="n"/>
      <c r="CL114" s="268" t="n"/>
      <c r="CM114" s="268" t="n"/>
      <c r="CN114" s="268" t="n"/>
      <c r="CO114" s="268" t="n"/>
      <c r="CP114" s="268" t="n"/>
      <c r="CQ114" s="268" t="n"/>
      <c r="CR114" s="268" t="n"/>
      <c r="CS114" s="268" t="n"/>
      <c r="CT114" s="268" t="n"/>
      <c r="CU114" s="268" t="n"/>
      <c r="CV114" s="268" t="n"/>
      <c r="CW114" s="268" t="n"/>
      <c r="CX114" s="268" t="n"/>
      <c r="CY114" s="268" t="n"/>
    </row>
    <row r="115" ht="12.75" customFormat="1" customHeight="1" s="287">
      <c r="A115" s="288" t="n"/>
      <c r="B115" s="259" t="n"/>
      <c r="C115" s="275" t="inlineStr">
        <is>
          <t>Pretax Income - EBT</t>
        </is>
      </c>
      <c r="D115" s="276">
        <f>SUM(D58,D59,D108)</f>
        <v>1277</v>
      </c>
      <c r="E115" s="276">
        <f>SUM(E58,E59,E108)</f>
        <v>1163</v>
      </c>
      <c r="F115" s="276">
        <f>SUM(F58,F59,F108)</f>
        <v>1869</v>
      </c>
      <c r="G115" s="276">
        <f>SUM(G58,G59,G108)</f>
        <v>1420</v>
      </c>
      <c r="H115" s="276">
        <f>SUM(D115:G115)</f>
        <v>5729</v>
      </c>
      <c r="I115" s="276">
        <f>SUM(I58,I59,I108)</f>
        <v>1319</v>
      </c>
      <c r="J115" s="276">
        <f>SUM(J58,J59,J108)</f>
        <v>1650</v>
      </c>
      <c r="K115" s="276">
        <f>SUM(K58,K59,K108)</f>
        <v>2291</v>
      </c>
      <c r="L115" s="276">
        <f>SUM(L58,L59,L108)</f>
        <v>1696</v>
      </c>
      <c r="M115" s="276">
        <f>SUM(I115:L115)</f>
        <v>6956</v>
      </c>
      <c r="N115" s="276">
        <f>SUM(N58,N59,N108)</f>
        <v>1801</v>
      </c>
      <c r="O115" s="276">
        <f>SUM(O58,O59,O108)</f>
        <v>1827</v>
      </c>
      <c r="P115" s="276">
        <f>SUM(P58,P59,P108)</f>
        <v>2516</v>
      </c>
      <c r="Q115" s="276">
        <f>SUM(Q58,Q59,Q108)</f>
        <v>1770</v>
      </c>
      <c r="R115" s="276">
        <f>SUM(N115:Q115)</f>
        <v>7914</v>
      </c>
      <c r="S115" s="276">
        <f>SUM(S58,S59,S108)</f>
        <v>1983</v>
      </c>
      <c r="T115" s="276">
        <f>SUM(T58,T59,T108)</f>
        <v>1771</v>
      </c>
      <c r="U115" s="276">
        <f>SUM(U58,U59,U108)</f>
        <v>2963</v>
      </c>
      <c r="V115" s="276">
        <f>SUM(V58,V59,V108)</f>
        <v>2106</v>
      </c>
      <c r="W115" s="276">
        <f>SUM(S115:V115)</f>
        <v>8823</v>
      </c>
      <c r="X115" s="276">
        <f>SUM(X58,X59,X108)</f>
        <v>2237</v>
      </c>
      <c r="Y115" s="276">
        <f>SUM(Y58,Y59,Y108)</f>
        <v>2284</v>
      </c>
      <c r="Z115" s="276">
        <f>SUM(Z58,Z59,Z108)</f>
        <v>3113</v>
      </c>
      <c r="AA115" s="276">
        <f>SUM(AA58,AA59,AA108)</f>
        <v>2306</v>
      </c>
      <c r="AB115" s="276">
        <f>SUM(X115:AA115)</f>
        <v>9940</v>
      </c>
      <c r="AC115" s="276">
        <f>SUM(AC58,AC59,AC108)</f>
        <v>2422</v>
      </c>
      <c r="AD115" s="276">
        <f>SUM(AD58,AD59,AD108)</f>
        <v>2580</v>
      </c>
      <c r="AE115" s="276">
        <f>SUM(AE58,AE59,AE108)</f>
        <v>3510</v>
      </c>
      <c r="AF115" s="276">
        <f>SUM(AF58,AF59,AF108)</f>
        <v>2583</v>
      </c>
      <c r="AG115" s="276">
        <f>SUM(AC115:AF115)</f>
        <v>11095</v>
      </c>
      <c r="AH115" s="276">
        <f>SUM(AH58,AH59,AH108)</f>
        <v>2721</v>
      </c>
      <c r="AI115" s="276">
        <f>SUM(AI58,AI59,AI108)</f>
        <v>2938</v>
      </c>
      <c r="AJ115" s="276">
        <f>SUM(AJ58,AJ59,AJ108)</f>
        <v>148</v>
      </c>
      <c r="AK115" s="276">
        <f>SUM(AK58,AK59,AK108)</f>
        <v>155</v>
      </c>
      <c r="AL115" s="276">
        <f>SUM(AH115:AK115)</f>
        <v>5962</v>
      </c>
      <c r="AM115" s="276">
        <f>SUM(AM58,AM59,AM108)</f>
        <v>155</v>
      </c>
      <c r="AN115" s="276">
        <f>SUM(AN58,AN59,AN108)</f>
        <v>606</v>
      </c>
      <c r="AO115" s="276">
        <f>SUM(AO58,AO59,AO108)</f>
        <v>155</v>
      </c>
      <c r="AP115" s="276">
        <f>SUM(AP58,AP59,AP108)</f>
        <v>606</v>
      </c>
      <c r="AQ115" s="276">
        <f>SUM(AM115:AP115)</f>
        <v>1522</v>
      </c>
      <c r="AR115" s="276">
        <f>SUM(AR58,AR59,AR108)</f>
        <v>606</v>
      </c>
      <c r="AS115" s="276">
        <f>SUM(AS58,AS59,AS108)</f>
        <v>1522</v>
      </c>
      <c r="AT115" s="276">
        <f>SUM(AT58,AT59,AT108)</f>
        <v>606</v>
      </c>
      <c r="AU115" s="276">
        <f>SUM(AU58,AU59,AU108)</f>
        <v>1522</v>
      </c>
      <c r="AV115" s="276">
        <f>SUM(AR115:AU115)</f>
        <v>4256</v>
      </c>
      <c r="AW115" s="276">
        <f>SUM(AW58,AW59,AW108)</f>
        <v>1522</v>
      </c>
      <c r="AX115" s="276">
        <f>SUM(AX58,AX59,AX108)</f>
        <v>4256</v>
      </c>
      <c r="AY115" s="276">
        <f>SUM(AY58,AY59,AY108)</f>
        <v>1522</v>
      </c>
      <c r="AZ115" s="276">
        <f>SUM(AZ58,AZ59,AZ108)</f>
        <v>4256</v>
      </c>
      <c r="BA115" s="276">
        <f>SUM(AW115:AZ115)</f>
        <v>11556</v>
      </c>
      <c r="BB115" s="276">
        <f>SUM(BB58,BB59,BB108)</f>
        <v>4256</v>
      </c>
      <c r="BC115" s="276">
        <f>SUM(BC58,BC59,BC108)</f>
        <v>11556</v>
      </c>
      <c r="BD115" s="276">
        <f>SUM(BD58,BD59,BD108)</f>
        <v>4256</v>
      </c>
      <c r="BE115" s="276">
        <f>SUM(BE58,BE59,BE108)</f>
        <v>11556</v>
      </c>
      <c r="BF115" s="276">
        <f>SUM(BB115:BE115)</f>
        <v>31624</v>
      </c>
      <c r="BG115" s="276">
        <f>SUM(BG58,BG59,BG108)</f>
        <v>11556</v>
      </c>
      <c r="BH115" s="276">
        <f>SUM(BH58,BH59,BH108)</f>
        <v>31624</v>
      </c>
      <c r="BI115" s="276">
        <f>SUM(BI58,BI59,BI108)</f>
        <v>11556</v>
      </c>
      <c r="BJ115" s="276">
        <f>SUM(BJ58,BJ59,BJ108)</f>
        <v>31624</v>
      </c>
      <c r="BK115" s="276">
        <f>SUM(BG115:BJ115)</f>
        <v>86360</v>
      </c>
      <c r="BL115" s="276">
        <f>SUM(BL58,BL59,BL108)</f>
        <v>31624</v>
      </c>
      <c r="BM115" s="276">
        <f>SUM(BM58,BM59,BM108)</f>
        <v>86360</v>
      </c>
      <c r="BN115" s="276">
        <f>SUM(BN58,BN59,BN108)</f>
        <v>31624</v>
      </c>
      <c r="BO115" s="276">
        <f>SUM(BO58,BO59,BO108)</f>
        <v>86360</v>
      </c>
      <c r="BP115" s="276">
        <f>SUM(BL115:BO115)</f>
        <v>235968</v>
      </c>
      <c r="BQ115" s="276">
        <f>SUM(BQ58,BQ59,BQ108)</f>
        <v>86360</v>
      </c>
      <c r="BR115" s="276">
        <f>SUM(BR58,BR59,BR108)</f>
        <v>235968</v>
      </c>
      <c r="BS115" s="276">
        <f>SUM(BS58,BS59,BS108)</f>
        <v>86360</v>
      </c>
      <c r="BT115" s="276">
        <f>SUM(BT58,BT59,BT108)</f>
        <v>235968</v>
      </c>
      <c r="BU115" s="276">
        <f>SUM(BQ115:BT115)</f>
        <v>644656</v>
      </c>
      <c r="BV115" s="276">
        <f>SUM(BV58,BV59,BV108)</f>
        <v>235968</v>
      </c>
      <c r="BW115" s="276">
        <f>SUM(BW58,BW59,BW108)</f>
        <v>644656</v>
      </c>
      <c r="BX115" s="276">
        <f>SUM(BX58,BX59,BX108)</f>
        <v>235968</v>
      </c>
      <c r="BY115" s="276">
        <f>SUM(BY58,BY59,BY108)</f>
        <v>644656</v>
      </c>
      <c r="BZ115" s="276">
        <f>SUM(BV115:BY115)</f>
        <v>1761248</v>
      </c>
      <c r="CA115" s="276">
        <f>SUM(CA58,CA59,CA108)</f>
        <v>644656</v>
      </c>
      <c r="CB115" s="276">
        <f>SUM(CB58,CB59,CB108)</f>
        <v>1761248</v>
      </c>
      <c r="CC115" s="276">
        <f>SUM(CC58,CC59,CC108)</f>
        <v>644656</v>
      </c>
      <c r="CD115" s="276">
        <f>SUM(CD58,CD59,CD108)</f>
        <v>1761248</v>
      </c>
      <c r="CE115" s="276">
        <f>SUM(CA115:CD115)</f>
        <v>4811808</v>
      </c>
      <c r="CF115" s="276">
        <f>SUM(CF58,CF59,CF108)</f>
        <v>1761248</v>
      </c>
      <c r="CG115" s="276">
        <f>SUM(CG58,CG59,CG108)</f>
        <v>4811808</v>
      </c>
      <c r="CH115" s="276">
        <f>SUM(CH58,CH59,CH108)</f>
        <v>1761248</v>
      </c>
      <c r="CI115" s="276">
        <f>SUM(CI58,CI59,CI108)</f>
        <v>4811808</v>
      </c>
      <c r="CJ115" s="276">
        <f>SUM(CF115:CI115)</f>
        <v>13146112</v>
      </c>
      <c r="CK115" s="276">
        <f>SUM(CK58,CK59,CK108)</f>
        <v>4811808</v>
      </c>
      <c r="CL115" s="276">
        <f>SUM(CL58,CL59,CL108)</f>
        <v>13146112</v>
      </c>
      <c r="CM115" s="276">
        <f>SUM(CM58,CM59,CM108)</f>
        <v>4811808</v>
      </c>
      <c r="CN115" s="276">
        <f>SUM(CN58,CN59,CN108)</f>
        <v>13146112</v>
      </c>
      <c r="CO115" s="276">
        <f>SUM(CK115:CN115)</f>
        <v>35915840</v>
      </c>
      <c r="CP115" s="276">
        <f>SUM(CP58,CP59,CP108)</f>
        <v>13146112</v>
      </c>
      <c r="CQ115" s="276">
        <f>SUM(CQ58,CQ59,CQ108)</f>
        <v>35915840</v>
      </c>
      <c r="CR115" s="276">
        <f>SUM(CR58,CR59,CR108)</f>
        <v>13146112</v>
      </c>
      <c r="CS115" s="276">
        <f>SUM(CS58,CS59,CS108)</f>
        <v>35915840</v>
      </c>
      <c r="CT115" s="276">
        <f>SUM(CP115:CS115)</f>
        <v>98123904</v>
      </c>
      <c r="CU115" s="276">
        <f>SUM(CU58,CU59,CU108)</f>
        <v>35915840</v>
      </c>
      <c r="CV115" s="276">
        <f>SUM(CV58,CV59,CV108)</f>
        <v>98123904</v>
      </c>
      <c r="CW115" s="276">
        <f>SUM(CW58,CW59,CW108)</f>
        <v>35915840</v>
      </c>
      <c r="CX115" s="276">
        <f>SUM(CX58,CX59,CX108)</f>
        <v>98123904</v>
      </c>
      <c r="CY115" s="276">
        <f>SUM(CU115:CX115)</f>
        <v>268079488</v>
      </c>
    </row>
    <row r="116" ht="12.75" customHeight="1" s="255">
      <c r="C116" s="270" t="inlineStr">
        <is>
          <t>Taxes</t>
        </is>
      </c>
      <c r="D116" s="301">
        <f>INDEX('Inputs (2)'!$D$10:$AL$10,MATCH(D$7,'Inputs (2)'!$D$2:$AL$2,0))</f>
        <v>-330</v>
      </c>
      <c r="E116" s="301">
        <f>INDEX('Inputs (2)'!$D$10:$AL$10,MATCH(E$7,'Inputs (2)'!$D$2:$AL$2,0))</f>
        <v>-311</v>
      </c>
      <c r="F116" s="301">
        <f>INDEX('Inputs (2)'!$D$10:$AL$10,MATCH(F$7,'Inputs (2)'!$D$2:$AL$2,0))</f>
        <v>-465</v>
      </c>
      <c r="G116" s="301">
        <f>INDEX('Inputs (2)'!$D$10:$AL$10,MATCH(G$7,'Inputs (2)'!$D$2:$AL$2,0))</f>
        <v>-239</v>
      </c>
      <c r="H116" s="268">
        <f>SUM(D116:G116)</f>
        <v>-1345</v>
      </c>
      <c r="I116" s="301">
        <f>INDEX('Inputs (2)'!$D$10:$AL$10,MATCH(I$7,'Inputs (2)'!$D$2:$AL$2,0))</f>
        <v>-348</v>
      </c>
      <c r="J116" s="301">
        <f>INDEX('Inputs (2)'!$D$10:$AL$10,MATCH(J$7,'Inputs (2)'!$D$2:$AL$2,0))</f>
        <v>-417</v>
      </c>
      <c r="K116" s="301">
        <f>INDEX('Inputs (2)'!$D$10:$AL$10,MATCH(K$7,'Inputs (2)'!$D$2:$AL$2,0))</f>
        <v>-597</v>
      </c>
      <c r="L116" s="301">
        <f>INDEX('Inputs (2)'!$D$10:$AL$10,MATCH(L$7,'Inputs (2)'!$D$2:$AL$2,0))</f>
        <v>-351</v>
      </c>
      <c r="M116" s="268">
        <f>SUM(I116:L116)</f>
        <v>-1713</v>
      </c>
      <c r="N116" s="301">
        <f>INDEX('Inputs (2)'!$D$10:$AL$10,MATCH(N$7,'Inputs (2)'!$D$2:$AL$2,0))</f>
        <v>-481</v>
      </c>
      <c r="O116" s="301">
        <f>INDEX('Inputs (2)'!$D$10:$AL$10,MATCH(O$7,'Inputs (2)'!$D$2:$AL$2,0))</f>
        <v>-455</v>
      </c>
      <c r="P116" s="301">
        <f>INDEX('Inputs (2)'!$D$10:$AL$10,MATCH(P$7,'Inputs (2)'!$D$2:$AL$2,0))</f>
        <v>-638</v>
      </c>
      <c r="Q116" s="301">
        <f>INDEX('Inputs (2)'!$D$10:$AL$10,MATCH(Q$7,'Inputs (2)'!$D$2:$AL$2,0))</f>
        <v>-406</v>
      </c>
      <c r="R116" s="268">
        <f>SUM(N116:Q116)</f>
        <v>-1980</v>
      </c>
      <c r="S116" s="301">
        <f>INDEX('Inputs (2)'!$D$10:$AL$10,MATCH(S$7,'Inputs (2)'!$D$2:$AL$2,0))</f>
        <v>-517</v>
      </c>
      <c r="T116" s="301">
        <f>INDEX('Inputs (2)'!$D$10:$AL$10,MATCH(T$7,'Inputs (2)'!$D$2:$AL$2,0))</f>
        <v>-469</v>
      </c>
      <c r="U116" s="301">
        <f>INDEX('Inputs (2)'!$D$10:$AL$10,MATCH(U$7,'Inputs (2)'!$D$2:$AL$2,0))</f>
        <v>-803</v>
      </c>
      <c r="V116" s="301">
        <f>INDEX('Inputs (2)'!$D$10:$AL$10,MATCH(V$7,'Inputs (2)'!$D$2:$AL$2,0))</f>
        <v>-517</v>
      </c>
      <c r="W116" s="268">
        <f>SUM(S116:V116)</f>
        <v>-2306</v>
      </c>
      <c r="X116" s="301">
        <f>INDEX('Inputs (2)'!$D$10:$AL$10,MATCH(X$7,'Inputs (2)'!$D$2:$AL$2,0))</f>
        <v>-494</v>
      </c>
      <c r="Y116" s="301">
        <f>INDEX('Inputs (2)'!$D$10:$AL$10,MATCH(Y$7,'Inputs (2)'!$D$2:$AL$2,0))</f>
        <v>-603</v>
      </c>
      <c r="Z116" s="301">
        <f>INDEX('Inputs (2)'!$D$10:$AL$10,MATCH(Z$7,'Inputs (2)'!$D$2:$AL$2,0))</f>
        <v>-759</v>
      </c>
      <c r="AA116" s="301">
        <f>INDEX('Inputs (2)'!$D$10:$AL$10,MATCH(AA$7,'Inputs (2)'!$D$2:$AL$2,0))</f>
        <v>-508</v>
      </c>
      <c r="AB116" s="268">
        <f>SUM(X116:AA116)</f>
        <v>-2364</v>
      </c>
      <c r="AC116" s="301">
        <f>INDEX('Inputs (2)'!$D$10:$AL$10,MATCH(AC$7,'Inputs (2)'!$D$2:$AL$2,0))</f>
        <v>-634</v>
      </c>
      <c r="AD116" s="301">
        <f>INDEX('Inputs (2)'!$D$10:$AL$10,MATCH(AD$7,'Inputs (2)'!$D$2:$AL$2,0))</f>
        <v>-677</v>
      </c>
      <c r="AE116" s="301">
        <f>INDEX('Inputs (2)'!$D$10:$AL$10,MATCH(AE$7,'Inputs (2)'!$D$2:$AL$2,0))</f>
        <v>-900</v>
      </c>
      <c r="AF116" s="301">
        <f>INDEX('Inputs (2)'!$D$10:$AL$10,MATCH(AF$7,'Inputs (2)'!$D$2:$AL$2,0))</f>
        <v>-582</v>
      </c>
      <c r="AG116" s="268">
        <f>SUM(AC116:AF116)</f>
        <v>-2793</v>
      </c>
      <c r="AH116" s="268">
        <f>INDEX('Inputs (2)'!$D$10:$AL$10,MATCH(AH$7,'Inputs (2)'!$D$2:$AL$2,0))</f>
        <v>-686</v>
      </c>
      <c r="AI116" s="268">
        <f>INDEX('Inputs (2)'!$D$10:$AL$10,MATCH(AI$7,'Inputs (2)'!$D$2:$AL$2,0))</f>
        <v>-746</v>
      </c>
      <c r="AJ116" s="268">
        <f>AJ117*-AJ115</f>
        <v>0</v>
      </c>
      <c r="AK116" s="268">
        <f>AK117*-AK115</f>
        <v>0</v>
      </c>
      <c r="AL116" s="268">
        <f>SUM(AH116:AK116)</f>
        <v>-1432</v>
      </c>
      <c r="AM116" s="268">
        <f>AM117*-AM115</f>
        <v>0</v>
      </c>
      <c r="AN116" s="268">
        <f>AN117*-AN115</f>
        <v>0</v>
      </c>
      <c r="AO116" s="268">
        <f>AO117*-AO115</f>
        <v>0</v>
      </c>
      <c r="AP116" s="268">
        <f>AP117*-AP115</f>
        <v>0</v>
      </c>
      <c r="AQ116" s="268">
        <f>SUM(AM116:AP116)</f>
        <v>0</v>
      </c>
      <c r="AR116" s="268">
        <f>AR117*-AR115</f>
        <v>0</v>
      </c>
      <c r="AS116" s="268">
        <f>AS117*-AS115</f>
        <v>0</v>
      </c>
      <c r="AT116" s="268">
        <f>AT117*-AT115</f>
        <v>0</v>
      </c>
      <c r="AU116" s="268">
        <f>AU117*-AU115</f>
        <v>0</v>
      </c>
      <c r="AV116" s="268">
        <f>SUM(AR116:AU116)</f>
        <v>0</v>
      </c>
      <c r="AW116" s="268">
        <f>AW117*-AW115</f>
        <v>0</v>
      </c>
      <c r="AX116" s="268">
        <f>AX117*-AX115</f>
        <v>0</v>
      </c>
      <c r="AY116" s="268">
        <f>AY117*-AY115</f>
        <v>0</v>
      </c>
      <c r="AZ116" s="268">
        <f>AZ117*-AZ115</f>
        <v>0</v>
      </c>
      <c r="BA116" s="268">
        <f>SUM(AW116:AZ116)</f>
        <v>0</v>
      </c>
      <c r="BB116" s="268">
        <f>BB117*-BB115</f>
        <v>0</v>
      </c>
      <c r="BC116" s="268">
        <f>BC117*-BC115</f>
        <v>0</v>
      </c>
      <c r="BD116" s="268">
        <f>BD117*-BD115</f>
        <v>0</v>
      </c>
      <c r="BE116" s="268">
        <f>BE117*-BE115</f>
        <v>0</v>
      </c>
      <c r="BF116" s="268">
        <f>SUM(BB116:BE116)</f>
        <v>0</v>
      </c>
      <c r="BG116" s="268">
        <f>BG117*-BG115</f>
        <v>0</v>
      </c>
      <c r="BH116" s="268">
        <f>BH117*-BH115</f>
        <v>0</v>
      </c>
      <c r="BI116" s="268">
        <f>BI117*-BI115</f>
        <v>0</v>
      </c>
      <c r="BJ116" s="268">
        <f>BJ117*-BJ115</f>
        <v>0</v>
      </c>
      <c r="BK116" s="268">
        <f>SUM(BG116:BJ116)</f>
        <v>0</v>
      </c>
      <c r="BL116" s="268">
        <f>BL117*-BL115</f>
        <v>0</v>
      </c>
      <c r="BM116" s="268">
        <f>BM117*-BM115</f>
        <v>0</v>
      </c>
      <c r="BN116" s="268">
        <f>BN117*-BN115</f>
        <v>0</v>
      </c>
      <c r="BO116" s="268">
        <f>BO117*-BO115</f>
        <v>0</v>
      </c>
      <c r="BP116" s="268">
        <f>SUM(BL116:BO116)</f>
        <v>0</v>
      </c>
      <c r="BQ116" s="268">
        <f>BQ117*-BQ115</f>
        <v>0</v>
      </c>
      <c r="BR116" s="268">
        <f>BR117*-BR115</f>
        <v>0</v>
      </c>
      <c r="BS116" s="268">
        <f>BS117*-BS115</f>
        <v>0</v>
      </c>
      <c r="BT116" s="268">
        <f>BT117*-BT115</f>
        <v>0</v>
      </c>
      <c r="BU116" s="268">
        <f>SUM(BQ116:BT116)</f>
        <v>0</v>
      </c>
      <c r="BV116" s="268">
        <f>BV117*-BV115</f>
        <v>0</v>
      </c>
      <c r="BW116" s="268">
        <f>BW117*-BW115</f>
        <v>0</v>
      </c>
      <c r="BX116" s="268">
        <f>BX117*-BX115</f>
        <v>0</v>
      </c>
      <c r="BY116" s="268">
        <f>BY117*-BY115</f>
        <v>0</v>
      </c>
      <c r="BZ116" s="268">
        <f>SUM(BV116:BY116)</f>
        <v>0</v>
      </c>
      <c r="CA116" s="268">
        <f>CA117*-CA115</f>
        <v>0</v>
      </c>
      <c r="CB116" s="268">
        <f>CB117*-CB115</f>
        <v>0</v>
      </c>
      <c r="CC116" s="268">
        <f>CC117*-CC115</f>
        <v>0</v>
      </c>
      <c r="CD116" s="268">
        <f>CD117*-CD115</f>
        <v>0</v>
      </c>
      <c r="CE116" s="268">
        <f>SUM(CA116:CD116)</f>
        <v>0</v>
      </c>
      <c r="CF116" s="268">
        <f>CF117*-CF115</f>
        <v>0</v>
      </c>
      <c r="CG116" s="268">
        <f>CG117*-CG115</f>
        <v>0</v>
      </c>
      <c r="CH116" s="268">
        <f>CH117*-CH115</f>
        <v>0</v>
      </c>
      <c r="CI116" s="268">
        <f>CI117*-CI115</f>
        <v>0</v>
      </c>
      <c r="CJ116" s="268">
        <f>SUM(CF116:CI116)</f>
        <v>0</v>
      </c>
      <c r="CK116" s="268">
        <f>CK117*-CK115</f>
        <v>0</v>
      </c>
      <c r="CL116" s="268">
        <f>CL117*-CL115</f>
        <v>0</v>
      </c>
      <c r="CM116" s="268">
        <f>CM117*-CM115</f>
        <v>0</v>
      </c>
      <c r="CN116" s="268">
        <f>CN117*-CN115</f>
        <v>0</v>
      </c>
      <c r="CO116" s="268">
        <f>SUM(CK116:CN116)</f>
        <v>0</v>
      </c>
      <c r="CP116" s="268">
        <f>CP117*-CP115</f>
        <v>0</v>
      </c>
      <c r="CQ116" s="268">
        <f>CQ117*-CQ115</f>
        <v>0</v>
      </c>
      <c r="CR116" s="268">
        <f>CR117*-CR115</f>
        <v>0</v>
      </c>
      <c r="CS116" s="268">
        <f>CS117*-CS115</f>
        <v>0</v>
      </c>
      <c r="CT116" s="268">
        <f>SUM(CP116:CS116)</f>
        <v>0</v>
      </c>
      <c r="CU116" s="268">
        <f>CU117*-CU115</f>
        <v>0</v>
      </c>
      <c r="CV116" s="268">
        <f>CV117*-CV115</f>
        <v>0</v>
      </c>
      <c r="CW116" s="268">
        <f>CW117*-CW115</f>
        <v>0</v>
      </c>
      <c r="CX116" s="268">
        <f>CX117*-CX115</f>
        <v>0</v>
      </c>
      <c r="CY116" s="268">
        <f>SUM(CU116:CX116)</f>
        <v>0</v>
      </c>
    </row>
    <row r="117" hidden="1" outlineLevel="1" ht="12.75" customHeight="1" s="255">
      <c r="C117" s="312" t="inlineStr">
        <is>
          <t>% ETR</t>
        </is>
      </c>
      <c r="D117" s="309">
        <f>-D116/D115</f>
        <v>0.258418167580266</v>
      </c>
      <c r="E117" s="309">
        <f>-E116/E115</f>
        <v>0.267411865864144</v>
      </c>
      <c r="F117" s="309">
        <f>-F116/F115</f>
        <v>0.248796147672552</v>
      </c>
      <c r="G117" s="309">
        <f>-G116/G115</f>
        <v>0.16830985915493</v>
      </c>
      <c r="H117" s="309">
        <f>-H116/H115</f>
        <v>0.234770466049921</v>
      </c>
      <c r="I117" s="309">
        <f>-I116/I115</f>
        <v>0.263836239575436</v>
      </c>
      <c r="J117" s="309">
        <f>-J116/J115</f>
        <v>0.252727272727273</v>
      </c>
      <c r="K117" s="309">
        <f>-K116/K115</f>
        <v>0.260584897424705</v>
      </c>
      <c r="L117" s="309">
        <f>-L116/L115</f>
        <v>0.206957547169811</v>
      </c>
      <c r="M117" s="309">
        <f>-M116/M115</f>
        <v>0.246262219666475</v>
      </c>
      <c r="N117" s="309">
        <f>-N116/N115</f>
        <v>0.267073847862299</v>
      </c>
      <c r="O117" s="309">
        <f>-O116/O115</f>
        <v>0.24904214559387</v>
      </c>
      <c r="P117" s="309">
        <f>-P116/P115</f>
        <v>0.253577106518283</v>
      </c>
      <c r="Q117" s="309">
        <f>-Q116/Q115</f>
        <v>0.229378531073446</v>
      </c>
      <c r="R117" s="309">
        <f>-R116/R115</f>
        <v>0.250189537528431</v>
      </c>
      <c r="S117" s="309">
        <f>-S116/S115</f>
        <v>0.260716086737267</v>
      </c>
      <c r="T117" s="309">
        <f>-T116/T115</f>
        <v>0.264822134387352</v>
      </c>
      <c r="U117" s="309">
        <f>-U116/U115</f>
        <v>0.271009112386095</v>
      </c>
      <c r="V117" s="309">
        <f>-V116/V115</f>
        <v>0.245489078822412</v>
      </c>
      <c r="W117" s="309">
        <f>-W116/W115</f>
        <v>0.261362348407571</v>
      </c>
      <c r="X117" s="309">
        <f>-X116/X115</f>
        <v>0.220831470719714</v>
      </c>
      <c r="Y117" s="309">
        <f>-Y116/Y115</f>
        <v>0.264010507880911</v>
      </c>
      <c r="Z117" s="309">
        <f>-Z116/Z115</f>
        <v>0.243816254416961</v>
      </c>
      <c r="AA117" s="309">
        <f>-AA116/AA115</f>
        <v>0.220294882914137</v>
      </c>
      <c r="AB117" s="309">
        <f>-AB116/AB115</f>
        <v>0.237826961770624</v>
      </c>
      <c r="AC117" s="309">
        <f>-AC116/AC115</f>
        <v>0.261767134599505</v>
      </c>
      <c r="AD117" s="309">
        <f>-AD116/AD115</f>
        <v>0.262403100775194</v>
      </c>
      <c r="AE117" s="309">
        <f>-AE116/AE115</f>
        <v>0.256410256410256</v>
      </c>
      <c r="AF117" s="297">
        <f>-AF116/AF115</f>
        <v>0.225319396051103</v>
      </c>
      <c r="AG117" s="309">
        <f>-AG116/AG115</f>
        <v>0.251735015772871</v>
      </c>
      <c r="AH117" s="297">
        <f>-AH116/AH115</f>
        <v>0.252113193678795</v>
      </c>
      <c r="AI117" s="297">
        <f>-AI116/AI115</f>
        <v>0.253914227365555</v>
      </c>
      <c r="AJ117" s="297" t="n"/>
      <c r="AK117" s="297" t="n"/>
      <c r="AL117" s="309">
        <f>-AL116/AL115</f>
        <v>0.240187856424019</v>
      </c>
      <c r="AM117" s="297" t="n"/>
      <c r="AN117" s="297" t="n"/>
      <c r="AO117" s="297" t="n"/>
      <c r="AP117" s="297" t="n"/>
      <c r="AQ117" s="309">
        <f>-AQ116/AQ115</f>
        <v>0</v>
      </c>
      <c r="AR117" s="297" t="n"/>
      <c r="AS117" s="297" t="n"/>
      <c r="AT117" s="297" t="n"/>
      <c r="AU117" s="297" t="n"/>
      <c r="AV117" s="309">
        <f>-AV116/AV115</f>
        <v>0</v>
      </c>
      <c r="AW117" s="297" t="n"/>
      <c r="AX117" s="297" t="n"/>
      <c r="AY117" s="297" t="n"/>
      <c r="AZ117" s="297" t="n"/>
      <c r="BA117" s="309">
        <f>-BA116/BA115</f>
        <v>0</v>
      </c>
      <c r="BB117" s="297" t="n"/>
      <c r="BC117" s="297" t="n"/>
      <c r="BD117" s="297" t="n"/>
      <c r="BE117" s="297" t="n"/>
      <c r="BF117" s="309">
        <f>-BF116/BF115</f>
        <v>0</v>
      </c>
      <c r="BG117" s="297" t="n"/>
      <c r="BH117" s="297" t="n"/>
      <c r="BI117" s="297" t="n"/>
      <c r="BJ117" s="297" t="n"/>
      <c r="BK117" s="309">
        <f>-BK116/BK115</f>
        <v>0</v>
      </c>
      <c r="BL117" s="297" t="n"/>
      <c r="BM117" s="297" t="n"/>
      <c r="BN117" s="297" t="n"/>
      <c r="BO117" s="297" t="n"/>
      <c r="BP117" s="309">
        <f>-BP116/BP115</f>
        <v>0</v>
      </c>
      <c r="BQ117" s="297" t="n"/>
      <c r="BR117" s="297" t="n"/>
      <c r="BS117" s="297" t="n"/>
      <c r="BT117" s="297" t="n"/>
      <c r="BU117" s="309">
        <f>-BU116/BU115</f>
        <v>0</v>
      </c>
      <c r="BV117" s="297" t="n"/>
      <c r="BW117" s="297" t="n"/>
      <c r="BX117" s="297" t="n"/>
      <c r="BY117" s="297" t="n"/>
      <c r="BZ117" s="309">
        <f>-BZ116/BZ115</f>
        <v>0</v>
      </c>
      <c r="CA117" s="297" t="n"/>
      <c r="CB117" s="297" t="n"/>
      <c r="CC117" s="297" t="n"/>
      <c r="CD117" s="297" t="n"/>
      <c r="CE117" s="309">
        <f>-CE116/CE115</f>
        <v>0</v>
      </c>
      <c r="CF117" s="297" t="n"/>
      <c r="CG117" s="297" t="n"/>
      <c r="CH117" s="297" t="n"/>
      <c r="CI117" s="297" t="n"/>
      <c r="CJ117" s="309">
        <f>-CJ116/CJ115</f>
        <v>0</v>
      </c>
      <c r="CK117" s="297" t="n"/>
      <c r="CL117" s="297" t="n"/>
      <c r="CM117" s="297" t="n"/>
      <c r="CN117" s="297" t="n"/>
      <c r="CO117" s="309">
        <f>-CO116/CO115</f>
        <v>0</v>
      </c>
      <c r="CP117" s="297" t="n"/>
      <c r="CQ117" s="297" t="n"/>
      <c r="CR117" s="297" t="n"/>
      <c r="CS117" s="297" t="n"/>
      <c r="CT117" s="309">
        <f>-CT116/CT115</f>
        <v>0</v>
      </c>
      <c r="CU117" s="297" t="n"/>
      <c r="CV117" s="297" t="n"/>
      <c r="CW117" s="297" t="n"/>
      <c r="CX117" s="297" t="n"/>
      <c r="CY117" s="309">
        <f>-CY116/CY115</f>
        <v>0</v>
      </c>
    </row>
    <row r="118" hidden="1" outlineLevel="1" ht="12.75" customHeight="1" s="255">
      <c r="C118" s="312" t="n"/>
      <c r="D118" s="268" t="n"/>
      <c r="E118" s="268" t="n"/>
      <c r="F118" s="268" t="n"/>
      <c r="G118" s="268" t="n"/>
      <c r="H118" s="268" t="n"/>
      <c r="I118" s="268" t="n"/>
      <c r="J118" s="268" t="n"/>
      <c r="K118" s="268" t="n"/>
      <c r="L118" s="268" t="n"/>
      <c r="M118" s="268" t="n"/>
      <c r="N118" s="268" t="n"/>
      <c r="O118" s="268" t="n"/>
      <c r="P118" s="268" t="n"/>
      <c r="Q118" s="268" t="n"/>
      <c r="R118" s="268" t="n"/>
      <c r="S118" s="268" t="n"/>
      <c r="T118" s="268" t="n"/>
      <c r="U118" s="268" t="n"/>
      <c r="V118" s="268" t="n"/>
      <c r="W118" s="268" t="n"/>
      <c r="X118" s="268" t="n"/>
      <c r="Y118" s="268" t="n"/>
      <c r="Z118" s="268" t="n"/>
      <c r="AA118" s="268" t="n"/>
      <c r="AB118" s="268" t="n"/>
      <c r="AC118" s="268" t="n"/>
      <c r="AD118" s="268" t="n"/>
      <c r="AE118" s="268" t="n"/>
      <c r="AF118" s="268" t="n"/>
      <c r="AG118" s="268" t="n"/>
      <c r="AH118" s="268" t="n"/>
      <c r="AI118" s="268" t="n"/>
      <c r="AJ118" s="268" t="n"/>
      <c r="AK118" s="268" t="n"/>
      <c r="AL118" s="268" t="n"/>
      <c r="AM118" s="268" t="n"/>
      <c r="AN118" s="268" t="n"/>
      <c r="AO118" s="268" t="n"/>
      <c r="AP118" s="268" t="n"/>
      <c r="AQ118" s="268" t="n"/>
      <c r="AR118" s="268" t="n"/>
      <c r="AS118" s="268" t="n"/>
      <c r="AT118" s="268" t="n"/>
      <c r="AU118" s="268" t="n"/>
      <c r="AV118" s="268" t="n"/>
      <c r="AW118" s="268" t="n"/>
      <c r="AX118" s="268" t="n"/>
      <c r="AY118" s="268" t="n"/>
      <c r="AZ118" s="268" t="n"/>
      <c r="BA118" s="268" t="n"/>
      <c r="BB118" s="268" t="n"/>
      <c r="BC118" s="268" t="n"/>
      <c r="BD118" s="268" t="n"/>
      <c r="BE118" s="268" t="n"/>
      <c r="BF118" s="268" t="n"/>
      <c r="BG118" s="268" t="n"/>
      <c r="BH118" s="268" t="n"/>
      <c r="BI118" s="268" t="n"/>
      <c r="BJ118" s="268" t="n"/>
      <c r="BK118" s="268" t="n"/>
      <c r="BL118" s="268" t="n"/>
      <c r="BM118" s="268" t="n"/>
      <c r="BN118" s="268" t="n"/>
      <c r="BO118" s="268" t="n"/>
      <c r="BP118" s="268" t="n"/>
      <c r="BQ118" s="268" t="n"/>
      <c r="BR118" s="268" t="n"/>
      <c r="BS118" s="268" t="n"/>
      <c r="BT118" s="268" t="n"/>
      <c r="BU118" s="268" t="n"/>
      <c r="BV118" s="268" t="n"/>
      <c r="BW118" s="268" t="n"/>
      <c r="BX118" s="268" t="n"/>
      <c r="BY118" s="268" t="n"/>
      <c r="BZ118" s="268" t="n"/>
      <c r="CA118" s="268" t="n"/>
      <c r="CB118" s="268" t="n"/>
      <c r="CC118" s="268" t="n"/>
      <c r="CD118" s="268" t="n"/>
      <c r="CE118" s="268" t="n"/>
      <c r="CF118" s="268" t="n"/>
      <c r="CG118" s="268" t="n"/>
      <c r="CH118" s="268" t="n"/>
      <c r="CI118" s="268" t="n"/>
      <c r="CJ118" s="268" t="n"/>
      <c r="CK118" s="268" t="n"/>
      <c r="CL118" s="268" t="n"/>
      <c r="CM118" s="268" t="n"/>
      <c r="CN118" s="268" t="n"/>
      <c r="CO118" s="268" t="n"/>
      <c r="CP118" s="268" t="n"/>
      <c r="CQ118" s="268" t="n"/>
      <c r="CR118" s="268" t="n"/>
      <c r="CS118" s="268" t="n"/>
      <c r="CT118" s="268" t="n"/>
      <c r="CU118" s="268" t="n"/>
      <c r="CV118" s="268" t="n"/>
      <c r="CW118" s="268" t="n"/>
      <c r="CX118" s="268" t="n"/>
      <c r="CY118" s="268" t="n"/>
    </row>
    <row r="119" hidden="1" outlineLevel="1" ht="12.75" customHeight="1" s="255">
      <c r="C119" s="312" t="n"/>
      <c r="D119" s="268" t="n"/>
      <c r="E119" s="268" t="n"/>
      <c r="F119" s="268" t="n"/>
      <c r="G119" s="268" t="n"/>
      <c r="H119" s="268" t="n"/>
      <c r="I119" s="268" t="n"/>
      <c r="J119" s="268" t="n"/>
      <c r="K119" s="268" t="n"/>
      <c r="L119" s="268" t="n"/>
      <c r="M119" s="268" t="n"/>
      <c r="N119" s="268" t="n"/>
      <c r="O119" s="268" t="n"/>
      <c r="P119" s="268" t="n"/>
      <c r="Q119" s="268" t="n"/>
      <c r="R119" s="268" t="n"/>
      <c r="S119" s="268" t="n"/>
      <c r="T119" s="268" t="n"/>
      <c r="U119" s="268" t="n"/>
      <c r="V119" s="268" t="n"/>
      <c r="W119" s="268" t="n"/>
      <c r="X119" s="268" t="n"/>
      <c r="Y119" s="268" t="n"/>
      <c r="Z119" s="268" t="n"/>
      <c r="AA119" s="268" t="n"/>
      <c r="AB119" s="268" t="n"/>
      <c r="AC119" s="268" t="n"/>
      <c r="AD119" s="268" t="n"/>
      <c r="AE119" s="268" t="n"/>
      <c r="AF119" s="268" t="n"/>
      <c r="AG119" s="268" t="n"/>
      <c r="AH119" s="268" t="n"/>
      <c r="AI119" s="268" t="n"/>
      <c r="AJ119" s="268" t="n"/>
      <c r="AK119" s="268" t="n"/>
      <c r="AL119" s="268" t="n"/>
      <c r="AM119" s="268" t="n"/>
      <c r="AN119" s="268" t="n"/>
      <c r="AO119" s="268" t="n"/>
      <c r="AP119" s="268" t="n"/>
      <c r="AQ119" s="268" t="n"/>
      <c r="AR119" s="268" t="n"/>
      <c r="AS119" s="268" t="n"/>
      <c r="AT119" s="268" t="n"/>
      <c r="AU119" s="268" t="n"/>
      <c r="AV119" s="268" t="n"/>
      <c r="AW119" s="268" t="n"/>
      <c r="AX119" s="268" t="n"/>
      <c r="AY119" s="268" t="n"/>
      <c r="AZ119" s="268" t="n"/>
      <c r="BA119" s="268" t="n"/>
      <c r="BB119" s="268" t="n"/>
      <c r="BC119" s="268" t="n"/>
      <c r="BD119" s="268" t="n"/>
      <c r="BE119" s="268" t="n"/>
      <c r="BF119" s="268" t="n"/>
      <c r="BG119" s="268" t="n"/>
      <c r="BH119" s="268" t="n"/>
      <c r="BI119" s="268" t="n"/>
      <c r="BJ119" s="268" t="n"/>
      <c r="BK119" s="268" t="n"/>
      <c r="BL119" s="268" t="n"/>
      <c r="BM119" s="268" t="n"/>
      <c r="BN119" s="268" t="n"/>
      <c r="BO119" s="268" t="n"/>
      <c r="BP119" s="268" t="n"/>
      <c r="BQ119" s="268" t="n"/>
      <c r="BR119" s="268" t="n"/>
      <c r="BS119" s="268" t="n"/>
      <c r="BT119" s="268" t="n"/>
      <c r="BU119" s="268" t="n"/>
      <c r="BV119" s="268" t="n"/>
      <c r="BW119" s="268" t="n"/>
      <c r="BX119" s="268" t="n"/>
      <c r="BY119" s="268" t="n"/>
      <c r="BZ119" s="268" t="n"/>
      <c r="CA119" s="268" t="n"/>
      <c r="CB119" s="268" t="n"/>
      <c r="CC119" s="268" t="n"/>
      <c r="CD119" s="268" t="n"/>
      <c r="CE119" s="268" t="n"/>
      <c r="CF119" s="268" t="n"/>
      <c r="CG119" s="268" t="n"/>
      <c r="CH119" s="268" t="n"/>
      <c r="CI119" s="268" t="n"/>
      <c r="CJ119" s="268" t="n"/>
      <c r="CK119" s="268" t="n"/>
      <c r="CL119" s="268" t="n"/>
      <c r="CM119" s="268" t="n"/>
      <c r="CN119" s="268" t="n"/>
      <c r="CO119" s="268" t="n"/>
      <c r="CP119" s="268" t="n"/>
      <c r="CQ119" s="268" t="n"/>
      <c r="CR119" s="268" t="n"/>
      <c r="CS119" s="268" t="n"/>
      <c r="CT119" s="268" t="n"/>
      <c r="CU119" s="268" t="n"/>
      <c r="CV119" s="268" t="n"/>
      <c r="CW119" s="268" t="n"/>
      <c r="CX119" s="268" t="n"/>
      <c r="CY119" s="268" t="n"/>
    </row>
    <row r="120" ht="12.75" customHeight="1" s="255">
      <c r="C120" s="270" t="inlineStr">
        <is>
          <t>Equity in Income of Affiliates, after tax (enter as +)</t>
        </is>
      </c>
      <c r="D120" s="301">
        <f>INDEX('Inputs (2)'!$D$11:$AL$11,MATCH(D$7,'Inputs (2)'!$D$2:$AL$2,0))</f>
        <v>0</v>
      </c>
      <c r="E120" s="301">
        <f>INDEX('Inputs (2)'!$D$11:$AL$11,MATCH(E$7,'Inputs (2)'!$D$2:$AL$2,0))</f>
        <v>0</v>
      </c>
      <c r="F120" s="301">
        <f>INDEX('Inputs (2)'!$D$11:$AL$11,MATCH(F$7,'Inputs (2)'!$D$2:$AL$2,0))</f>
        <v>0</v>
      </c>
      <c r="G120" s="301">
        <f>INDEX('Inputs (2)'!$D$11:$AL$11,MATCH(G$7,'Inputs (2)'!$D$2:$AL$2,0))</f>
        <v>0</v>
      </c>
      <c r="H120" s="268">
        <f>SUM(D120:G120)</f>
        <v>0</v>
      </c>
      <c r="I120" s="301">
        <f>INDEX('Inputs (2)'!$D$11:$AL$11,MATCH(I$7,'Inputs (2)'!$D$2:$AL$2,0))</f>
        <v>0</v>
      </c>
      <c r="J120" s="301">
        <f>INDEX('Inputs (2)'!$D$11:$AL$11,MATCH(J$7,'Inputs (2)'!$D$2:$AL$2,0))</f>
        <v>0</v>
      </c>
      <c r="K120" s="301">
        <f>INDEX('Inputs (2)'!$D$11:$AL$11,MATCH(K$7,'Inputs (2)'!$D$2:$AL$2,0))</f>
        <v>0</v>
      </c>
      <c r="L120" s="301">
        <f>INDEX('Inputs (2)'!$D$11:$AL$11,MATCH(L$7,'Inputs (2)'!$D$2:$AL$2,0))</f>
        <v>0</v>
      </c>
      <c r="M120" s="268">
        <f>SUM(I120:L120)</f>
        <v>0</v>
      </c>
      <c r="N120" s="301">
        <f>INDEX('Inputs (2)'!$D$11:$AL$11,MATCH(N$7,'Inputs (2)'!$D$2:$AL$2,0))</f>
        <v>0</v>
      </c>
      <c r="O120" s="301">
        <f>INDEX('Inputs (2)'!$D$11:$AL$11,MATCH(O$7,'Inputs (2)'!$D$2:$AL$2,0))</f>
        <v>0</v>
      </c>
      <c r="P120" s="301">
        <f>INDEX('Inputs (2)'!$D$11:$AL$11,MATCH(P$7,'Inputs (2)'!$D$2:$AL$2,0))</f>
        <v>0</v>
      </c>
      <c r="Q120" s="301">
        <f>INDEX('Inputs (2)'!$D$11:$AL$11,MATCH(Q$7,'Inputs (2)'!$D$2:$AL$2,0))</f>
        <v>0</v>
      </c>
      <c r="R120" s="268">
        <f>SUM(N120:Q120)</f>
        <v>0</v>
      </c>
      <c r="S120" s="301">
        <f>INDEX('Inputs (2)'!$D$11:$AL$11,MATCH(S$7,'Inputs (2)'!$D$2:$AL$2,0))</f>
        <v>0</v>
      </c>
      <c r="T120" s="301">
        <f>INDEX('Inputs (2)'!$D$11:$AL$11,MATCH(T$7,'Inputs (2)'!$D$2:$AL$2,0))</f>
        <v>0</v>
      </c>
      <c r="U120" s="301">
        <f>INDEX('Inputs (2)'!$D$11:$AL$11,MATCH(U$7,'Inputs (2)'!$D$2:$AL$2,0))</f>
        <v>0</v>
      </c>
      <c r="V120" s="301">
        <f>INDEX('Inputs (2)'!$D$11:$AL$11,MATCH(V$7,'Inputs (2)'!$D$2:$AL$2,0))</f>
        <v>0</v>
      </c>
      <c r="W120" s="268">
        <f>SUM(S120:V120)</f>
        <v>0</v>
      </c>
      <c r="X120" s="301">
        <f>INDEX('Inputs (2)'!$D$11:$AL$11,MATCH(X$7,'Inputs (2)'!$D$2:$AL$2,0))</f>
        <v>0</v>
      </c>
      <c r="Y120" s="301">
        <f>INDEX('Inputs (2)'!$D$11:$AL$11,MATCH(Y$7,'Inputs (2)'!$D$2:$AL$2,0))</f>
        <v>0</v>
      </c>
      <c r="Z120" s="301">
        <f>INDEX('Inputs (2)'!$D$11:$AL$11,MATCH(Z$7,'Inputs (2)'!$D$2:$AL$2,0))</f>
        <v>0</v>
      </c>
      <c r="AA120" s="301">
        <f>INDEX('Inputs (2)'!$D$11:$AL$11,MATCH(AA$7,'Inputs (2)'!$D$2:$AL$2,0))</f>
        <v>0</v>
      </c>
      <c r="AB120" s="268">
        <f>SUM(X120:AA120)</f>
        <v>0</v>
      </c>
      <c r="AC120" s="301">
        <f>INDEX('Inputs (2)'!$D$11:$AL$11,MATCH(AC$7,'Inputs (2)'!$D$2:$AL$2,0))</f>
        <v>0</v>
      </c>
      <c r="AD120" s="301">
        <f>INDEX('Inputs (2)'!$D$11:$AL$11,MATCH(AD$7,'Inputs (2)'!$D$2:$AL$2,0))</f>
        <v>0</v>
      </c>
      <c r="AE120" s="301">
        <f>INDEX('Inputs (2)'!$D$11:$AL$11,MATCH(AE$7,'Inputs (2)'!$D$2:$AL$2,0))</f>
        <v>0</v>
      </c>
      <c r="AF120" s="301">
        <f>INDEX('Inputs (2)'!$D$11:$AL$11,MATCH(AF$7,'Inputs (2)'!$D$2:$AL$2,0))</f>
        <v>0</v>
      </c>
      <c r="AG120" s="268">
        <f>SUM(AC120:AF120)</f>
        <v>0</v>
      </c>
      <c r="AH120" s="268">
        <f>INDEX('Inputs (2)'!$D$11:$AL$11,MATCH(AH$7,'Inputs (2)'!$D$2:$AL$2,0))</f>
        <v>0</v>
      </c>
      <c r="AI120" s="268">
        <f>INDEX('Inputs (2)'!$D$11:$AL$11,MATCH(AI$7,'Inputs (2)'!$D$2:$AL$2,0))</f>
        <v>0</v>
      </c>
      <c r="AJ120" s="268">
        <f>AE120*(1+AJ148)</f>
        <v>0</v>
      </c>
      <c r="AK120" s="268">
        <f>AF120*(1+AK148)</f>
        <v>0</v>
      </c>
      <c r="AL120" s="268">
        <f>SUM(AH120:AK120)</f>
        <v>0</v>
      </c>
      <c r="AM120" s="268">
        <f>AH120*(1+AM148)</f>
        <v>0</v>
      </c>
      <c r="AN120" s="268">
        <f>AI120*(1+AN148)</f>
        <v>0</v>
      </c>
      <c r="AO120" s="268">
        <f>AJ120*(1+AO148)</f>
        <v>0</v>
      </c>
      <c r="AP120" s="268">
        <f>AK120*(1+AP148)</f>
        <v>0</v>
      </c>
      <c r="AQ120" s="268">
        <f>SUM(AM120:AP120)</f>
        <v>0</v>
      </c>
      <c r="AR120" s="268">
        <f>AM120*(1+AR148)</f>
        <v>0</v>
      </c>
      <c r="AS120" s="268">
        <f>AN120*(1+AS148)</f>
        <v>0</v>
      </c>
      <c r="AT120" s="268">
        <f>AO120*(1+AT148)</f>
        <v>0</v>
      </c>
      <c r="AU120" s="268">
        <f>AP120*(1+AU148)</f>
        <v>0</v>
      </c>
      <c r="AV120" s="268">
        <f>SUM(AR120:AU120)</f>
        <v>0</v>
      </c>
      <c r="AW120" s="268">
        <f>AR120*(1+AW148)</f>
        <v>0</v>
      </c>
      <c r="AX120" s="268">
        <f>AS120*(1+AX148)</f>
        <v>0</v>
      </c>
      <c r="AY120" s="268">
        <f>AT120*(1+AY148)</f>
        <v>0</v>
      </c>
      <c r="AZ120" s="268">
        <f>AU120*(1+AZ148)</f>
        <v>0</v>
      </c>
      <c r="BA120" s="268">
        <f>SUM(AW120:AZ120)</f>
        <v>0</v>
      </c>
      <c r="BB120" s="268">
        <f>AW120*(1+BB148)</f>
        <v>0</v>
      </c>
      <c r="BC120" s="268">
        <f>AX120*(1+BC148)</f>
        <v>0</v>
      </c>
      <c r="BD120" s="268">
        <f>AY120*(1+BD148)</f>
        <v>0</v>
      </c>
      <c r="BE120" s="268">
        <f>AZ120*(1+BE148)</f>
        <v>0</v>
      </c>
      <c r="BF120" s="268">
        <f>SUM(BB120:BE120)</f>
        <v>0</v>
      </c>
      <c r="BG120" s="268">
        <f>BB120*(1+BG148)</f>
        <v>0</v>
      </c>
      <c r="BH120" s="268">
        <f>BC120*(1+BH148)</f>
        <v>0</v>
      </c>
      <c r="BI120" s="268">
        <f>BD120*(1+BI148)</f>
        <v>0</v>
      </c>
      <c r="BJ120" s="268">
        <f>BE120*(1+BJ148)</f>
        <v>0</v>
      </c>
      <c r="BK120" s="268">
        <f>SUM(BG120:BJ120)</f>
        <v>0</v>
      </c>
      <c r="BL120" s="268">
        <f>BG120*(1+BL148)</f>
        <v>0</v>
      </c>
      <c r="BM120" s="268">
        <f>BH120*(1+BM148)</f>
        <v>0</v>
      </c>
      <c r="BN120" s="268">
        <f>BI120*(1+BN148)</f>
        <v>0</v>
      </c>
      <c r="BO120" s="268">
        <f>BJ120*(1+BO148)</f>
        <v>0</v>
      </c>
      <c r="BP120" s="268">
        <f>SUM(BL120:BO120)</f>
        <v>0</v>
      </c>
      <c r="BQ120" s="268">
        <f>BL120*(1+BQ148)</f>
        <v>0</v>
      </c>
      <c r="BR120" s="268">
        <f>BM120*(1+BR148)</f>
        <v>0</v>
      </c>
      <c r="BS120" s="268">
        <f>BN120*(1+BS148)</f>
        <v>0</v>
      </c>
      <c r="BT120" s="268">
        <f>BO120*(1+BT148)</f>
        <v>0</v>
      </c>
      <c r="BU120" s="268">
        <f>SUM(BQ120:BT120)</f>
        <v>0</v>
      </c>
      <c r="BV120" s="268">
        <f>BQ120*(1+BV148)</f>
        <v>0</v>
      </c>
      <c r="BW120" s="268">
        <f>BR120*(1+BW148)</f>
        <v>0</v>
      </c>
      <c r="BX120" s="268">
        <f>BS120*(1+BX148)</f>
        <v>0</v>
      </c>
      <c r="BY120" s="268">
        <f>BT120*(1+BY148)</f>
        <v>0</v>
      </c>
      <c r="BZ120" s="268">
        <f>SUM(BV120:BY120)</f>
        <v>0</v>
      </c>
      <c r="CA120" s="268">
        <f>BV120*(1+CA148)</f>
        <v>0</v>
      </c>
      <c r="CB120" s="268">
        <f>BW120*(1+CB148)</f>
        <v>0</v>
      </c>
      <c r="CC120" s="268">
        <f>BX120*(1+CC148)</f>
        <v>0</v>
      </c>
      <c r="CD120" s="268">
        <f>BY120*(1+CD148)</f>
        <v>0</v>
      </c>
      <c r="CE120" s="268">
        <f>SUM(CA120:CD120)</f>
        <v>0</v>
      </c>
      <c r="CF120" s="268">
        <f>CA120*(1+CF148)</f>
        <v>0</v>
      </c>
      <c r="CG120" s="268">
        <f>CB120*(1+CG148)</f>
        <v>0</v>
      </c>
      <c r="CH120" s="268">
        <f>CC120*(1+CH148)</f>
        <v>0</v>
      </c>
      <c r="CI120" s="268">
        <f>CD120*(1+CI148)</f>
        <v>0</v>
      </c>
      <c r="CJ120" s="268">
        <f>SUM(CF120:CI120)</f>
        <v>0</v>
      </c>
      <c r="CK120" s="268">
        <f>CF120*(1+CK148)</f>
        <v>0</v>
      </c>
      <c r="CL120" s="268">
        <f>CG120*(1+CL148)</f>
        <v>0</v>
      </c>
      <c r="CM120" s="268">
        <f>CH120*(1+CM148)</f>
        <v>0</v>
      </c>
      <c r="CN120" s="268">
        <f>CI120*(1+CN148)</f>
        <v>0</v>
      </c>
      <c r="CO120" s="268">
        <f>SUM(CK120:CN120)</f>
        <v>0</v>
      </c>
      <c r="CP120" s="268">
        <f>CK120*(1+CP148)</f>
        <v>0</v>
      </c>
      <c r="CQ120" s="268">
        <f>CL120*(1+CQ148)</f>
        <v>0</v>
      </c>
      <c r="CR120" s="268">
        <f>CM120*(1+CR148)</f>
        <v>0</v>
      </c>
      <c r="CS120" s="268">
        <f>CN120*(1+CS148)</f>
        <v>0</v>
      </c>
      <c r="CT120" s="268">
        <f>SUM(CP120:CS120)</f>
        <v>0</v>
      </c>
      <c r="CU120" s="268">
        <f>CP120*(1+CU148)</f>
        <v>0</v>
      </c>
      <c r="CV120" s="268">
        <f>CQ120*(1+CV148)</f>
        <v>0</v>
      </c>
      <c r="CW120" s="268">
        <f>CR120*(1+CW148)</f>
        <v>0</v>
      </c>
      <c r="CX120" s="268">
        <f>CS120*(1+CX148)</f>
        <v>0</v>
      </c>
      <c r="CY120" s="268">
        <f>SUM(CU120:CX120)</f>
        <v>0</v>
      </c>
    </row>
    <row r="121" ht="12.75" customHeight="1" s="255">
      <c r="C121" s="270" t="inlineStr">
        <is>
          <t>Minority Interest Expense, after tax (enter as - )</t>
        </is>
      </c>
      <c r="D121" s="301">
        <f>INDEX('Inputs (2)'!$D$12:$AL$12,MATCH(D$7,'Inputs (2)'!$D$2:$AL$2,0))</f>
        <v>-16</v>
      </c>
      <c r="E121" s="301">
        <f>INDEX('Inputs (2)'!$D$12:$AL$12,MATCH(E$7,'Inputs (2)'!$D$2:$AL$2,0))</f>
        <v>-14</v>
      </c>
      <c r="F121" s="301">
        <f>INDEX('Inputs (2)'!$D$12:$AL$12,MATCH(F$7,'Inputs (2)'!$D$2:$AL$2,0))</f>
        <v>-15</v>
      </c>
      <c r="G121" s="301">
        <f>INDEX('Inputs (2)'!$D$12:$AL$12,MATCH(G$7,'Inputs (2)'!$D$2:$AL$2,0))</f>
        <v>-15</v>
      </c>
      <c r="H121" s="268">
        <f>SUM(D121:G121)</f>
        <v>-60</v>
      </c>
      <c r="I121" s="301">
        <f>INDEX('Inputs (2)'!$D$12:$AL$12,MATCH(I$7,'Inputs (2)'!$D$2:$AL$2,0))</f>
        <v>-20</v>
      </c>
      <c r="J121" s="301">
        <f>INDEX('Inputs (2)'!$D$12:$AL$12,MATCH(J$7,'Inputs (2)'!$D$2:$AL$2,0))</f>
        <v>-13</v>
      </c>
      <c r="K121" s="301">
        <f>INDEX('Inputs (2)'!$D$12:$AL$12,MATCH(K$7,'Inputs (2)'!$D$2:$AL$2,0))</f>
        <v>-24</v>
      </c>
      <c r="L121" s="301">
        <f>INDEX('Inputs (2)'!$D$12:$AL$12,MATCH(L$7,'Inputs (2)'!$D$2:$AL$2,0))</f>
        <v>-21</v>
      </c>
      <c r="M121" s="268">
        <f>SUM(I121:L121)</f>
        <v>-78</v>
      </c>
      <c r="N121" s="301">
        <f>INDEX('Inputs (2)'!$D$12:$AL$12,MATCH(N$7,'Inputs (2)'!$D$2:$AL$2,0))</f>
        <v>-21</v>
      </c>
      <c r="O121" s="301">
        <f>INDEX('Inputs (2)'!$D$12:$AL$12,MATCH(O$7,'Inputs (2)'!$D$2:$AL$2,0))</f>
        <v>-19</v>
      </c>
      <c r="P121" s="301">
        <f>INDEX('Inputs (2)'!$D$12:$AL$12,MATCH(P$7,'Inputs (2)'!$D$2:$AL$2,0))</f>
        <v>-10</v>
      </c>
      <c r="Q121" s="301">
        <f>INDEX('Inputs (2)'!$D$12:$AL$12,MATCH(Q$7,'Inputs (2)'!$D$2:$AL$2,0))</f>
        <v>0</v>
      </c>
      <c r="R121" s="268">
        <f>SUM(N121:Q121)</f>
        <v>-50</v>
      </c>
      <c r="S121" s="301">
        <f>INDEX('Inputs (2)'!$D$12:$AL$12,MATCH(S$7,'Inputs (2)'!$D$2:$AL$2,0))</f>
        <v>0</v>
      </c>
      <c r="T121" s="301">
        <f>INDEX('Inputs (2)'!$D$12:$AL$12,MATCH(T$7,'Inputs (2)'!$D$2:$AL$2,0))</f>
        <v>0</v>
      </c>
      <c r="U121" s="301">
        <f>INDEX('Inputs (2)'!$D$12:$AL$12,MATCH(U$7,'Inputs (2)'!$D$2:$AL$2,0))</f>
        <v>0</v>
      </c>
      <c r="V121" s="301">
        <f>INDEX('Inputs (2)'!$D$12:$AL$12,MATCH(V$7,'Inputs (2)'!$D$2:$AL$2,0))</f>
        <v>0</v>
      </c>
      <c r="W121" s="268">
        <f>SUM(S121:V121)</f>
        <v>0</v>
      </c>
      <c r="X121" s="301">
        <f>INDEX('Inputs (2)'!$D$12:$AL$12,MATCH(X$7,'Inputs (2)'!$D$2:$AL$2,0))</f>
        <v>0</v>
      </c>
      <c r="Y121" s="301">
        <f>INDEX('Inputs (2)'!$D$12:$AL$12,MATCH(Y$7,'Inputs (2)'!$D$2:$AL$2,0))</f>
        <v>0</v>
      </c>
      <c r="Z121" s="301">
        <f>INDEX('Inputs (2)'!$D$12:$AL$12,MATCH(Z$7,'Inputs (2)'!$D$2:$AL$2,0))</f>
        <v>0</v>
      </c>
      <c r="AA121" s="301">
        <f>INDEX('Inputs (2)'!$D$12:$AL$12,MATCH(AA$7,'Inputs (2)'!$D$2:$AL$2,0))</f>
        <v>0</v>
      </c>
      <c r="AB121" s="268">
        <f>SUM(X121:AA121)</f>
        <v>0</v>
      </c>
      <c r="AC121" s="301">
        <f>INDEX('Inputs (2)'!$D$12:$AL$12,MATCH(AC$7,'Inputs (2)'!$D$2:$AL$2,0))</f>
        <v>0</v>
      </c>
      <c r="AD121" s="301">
        <f>INDEX('Inputs (2)'!$D$12:$AL$12,MATCH(AD$7,'Inputs (2)'!$D$2:$AL$2,0))</f>
        <v>0</v>
      </c>
      <c r="AE121" s="301">
        <f>INDEX('Inputs (2)'!$D$12:$AL$12,MATCH(AE$7,'Inputs (2)'!$D$2:$AL$2,0))</f>
        <v>0</v>
      </c>
      <c r="AF121" s="301">
        <f>INDEX('Inputs (2)'!$D$12:$AL$12,MATCH(AF$7,'Inputs (2)'!$D$2:$AL$2,0))</f>
        <v>0</v>
      </c>
      <c r="AG121" s="268">
        <f>SUM(AC121:AF121)</f>
        <v>0</v>
      </c>
      <c r="AH121" s="268">
        <f>INDEX('Inputs (2)'!$D$12:$AL$12,MATCH(AH$7,'Inputs (2)'!$D$2:$AL$2,0))</f>
        <v>0</v>
      </c>
      <c r="AI121" s="268">
        <f>INDEX('Inputs (2)'!$D$12:$AL$12,MATCH(AI$7,'Inputs (2)'!$D$2:$AL$2,0))</f>
        <v>0</v>
      </c>
      <c r="AJ121" s="268">
        <f>AE121*(1+AJ235)</f>
        <v>0</v>
      </c>
      <c r="AK121" s="268">
        <f>AF121*(1+AK235)</f>
        <v>0</v>
      </c>
      <c r="AL121" s="268">
        <f>SUM(AH121:AK121)</f>
        <v>0</v>
      </c>
      <c r="AM121" s="268">
        <f>AH121*(1+AM235)</f>
        <v>0</v>
      </c>
      <c r="AN121" s="268">
        <f>AI121*(1+AN235)</f>
        <v>0</v>
      </c>
      <c r="AO121" s="268">
        <f>AJ121*(1+AO235)</f>
        <v>0</v>
      </c>
      <c r="AP121" s="268">
        <f>AK121*(1+AP235)</f>
        <v>0</v>
      </c>
      <c r="AQ121" s="268">
        <f>SUM(AM121:AP121)</f>
        <v>0</v>
      </c>
      <c r="AR121" s="268">
        <f>AM121*(1+AR235)</f>
        <v>0</v>
      </c>
      <c r="AS121" s="268">
        <f>AN121*(1+AS235)</f>
        <v>0</v>
      </c>
      <c r="AT121" s="268">
        <f>AO121*(1+AT235)</f>
        <v>0</v>
      </c>
      <c r="AU121" s="268">
        <f>AP121*(1+AU235)</f>
        <v>0</v>
      </c>
      <c r="AV121" s="268">
        <f>SUM(AR121:AU121)</f>
        <v>0</v>
      </c>
      <c r="AW121" s="268">
        <f>AR121*(1+AW235)</f>
        <v>0</v>
      </c>
      <c r="AX121" s="268">
        <f>AS121*(1+AX235)</f>
        <v>0</v>
      </c>
      <c r="AY121" s="268">
        <f>AT121*(1+AY235)</f>
        <v>0</v>
      </c>
      <c r="AZ121" s="268">
        <f>AU121*(1+AZ235)</f>
        <v>0</v>
      </c>
      <c r="BA121" s="268">
        <f>SUM(AW121:AZ121)</f>
        <v>0</v>
      </c>
      <c r="BB121" s="268">
        <f>AW121*(1+BB235)</f>
        <v>0</v>
      </c>
      <c r="BC121" s="268">
        <f>AX121*(1+BC235)</f>
        <v>0</v>
      </c>
      <c r="BD121" s="268">
        <f>AY121*(1+BD235)</f>
        <v>0</v>
      </c>
      <c r="BE121" s="268">
        <f>AZ121*(1+BE235)</f>
        <v>0</v>
      </c>
      <c r="BF121" s="268">
        <f>SUM(BB121:BE121)</f>
        <v>0</v>
      </c>
      <c r="BG121" s="268">
        <f>BB121*(1+BG235)</f>
        <v>0</v>
      </c>
      <c r="BH121" s="268">
        <f>BC121*(1+BH235)</f>
        <v>0</v>
      </c>
      <c r="BI121" s="268">
        <f>BD121*(1+BI235)</f>
        <v>0</v>
      </c>
      <c r="BJ121" s="268">
        <f>BE121*(1+BJ235)</f>
        <v>0</v>
      </c>
      <c r="BK121" s="268">
        <f>SUM(BG121:BJ121)</f>
        <v>0</v>
      </c>
      <c r="BL121" s="268">
        <f>BG121*(1+BL235)</f>
        <v>0</v>
      </c>
      <c r="BM121" s="268">
        <f>BH121*(1+BM235)</f>
        <v>0</v>
      </c>
      <c r="BN121" s="268">
        <f>BI121*(1+BN235)</f>
        <v>0</v>
      </c>
      <c r="BO121" s="268">
        <f>BJ121*(1+BO235)</f>
        <v>0</v>
      </c>
      <c r="BP121" s="268">
        <f>SUM(BL121:BO121)</f>
        <v>0</v>
      </c>
      <c r="BQ121" s="268">
        <f>BL121*(1+BQ235)</f>
        <v>0</v>
      </c>
      <c r="BR121" s="268">
        <f>BM121*(1+BR235)</f>
        <v>0</v>
      </c>
      <c r="BS121" s="268">
        <f>BN121*(1+BS235)</f>
        <v>0</v>
      </c>
      <c r="BT121" s="268">
        <f>BO121*(1+BT235)</f>
        <v>0</v>
      </c>
      <c r="BU121" s="268">
        <f>SUM(BQ121:BT121)</f>
        <v>0</v>
      </c>
      <c r="BV121" s="268">
        <f>BQ121*(1+BV235)</f>
        <v>0</v>
      </c>
      <c r="BW121" s="268">
        <f>BR121*(1+BW235)</f>
        <v>0</v>
      </c>
      <c r="BX121" s="268">
        <f>BS121*(1+BX235)</f>
        <v>0</v>
      </c>
      <c r="BY121" s="268">
        <f>BT121*(1+BY235)</f>
        <v>0</v>
      </c>
      <c r="BZ121" s="268">
        <f>SUM(BV121:BY121)</f>
        <v>0</v>
      </c>
      <c r="CA121" s="268">
        <f>BV121*(1+CA235)</f>
        <v>0</v>
      </c>
      <c r="CB121" s="268">
        <f>BW121*(1+CB235)</f>
        <v>0</v>
      </c>
      <c r="CC121" s="268">
        <f>BX121*(1+CC235)</f>
        <v>0</v>
      </c>
      <c r="CD121" s="268">
        <f>BY121*(1+CD235)</f>
        <v>0</v>
      </c>
      <c r="CE121" s="268">
        <f>SUM(CA121:CD121)</f>
        <v>0</v>
      </c>
      <c r="CF121" s="268">
        <f>CA121*(1+CF235)</f>
        <v>0</v>
      </c>
      <c r="CG121" s="268">
        <f>CB121*(1+CG235)</f>
        <v>0</v>
      </c>
      <c r="CH121" s="268">
        <f>CC121*(1+CH235)</f>
        <v>0</v>
      </c>
      <c r="CI121" s="268">
        <f>CD121*(1+CI235)</f>
        <v>0</v>
      </c>
      <c r="CJ121" s="268">
        <f>SUM(CF121:CI121)</f>
        <v>0</v>
      </c>
      <c r="CK121" s="268">
        <f>CF121*(1+CK235)</f>
        <v>0</v>
      </c>
      <c r="CL121" s="268">
        <f>CG121*(1+CL235)</f>
        <v>0</v>
      </c>
      <c r="CM121" s="268">
        <f>CH121*(1+CM235)</f>
        <v>0</v>
      </c>
      <c r="CN121" s="268">
        <f>CI121*(1+CN235)</f>
        <v>0</v>
      </c>
      <c r="CO121" s="268">
        <f>SUM(CK121:CN121)</f>
        <v>0</v>
      </c>
      <c r="CP121" s="268">
        <f>CK121*(1+CP235)</f>
        <v>0</v>
      </c>
      <c r="CQ121" s="268">
        <f>CL121*(1+CQ235)</f>
        <v>0</v>
      </c>
      <c r="CR121" s="268">
        <f>CM121*(1+CR235)</f>
        <v>0</v>
      </c>
      <c r="CS121" s="268">
        <f>CN121*(1+CS235)</f>
        <v>0</v>
      </c>
      <c r="CT121" s="268">
        <f>SUM(CP121:CS121)</f>
        <v>0</v>
      </c>
      <c r="CU121" s="268">
        <f>CP121*(1+CU235)</f>
        <v>0</v>
      </c>
      <c r="CV121" s="268">
        <f>CQ121*(1+CV235)</f>
        <v>0</v>
      </c>
      <c r="CW121" s="268">
        <f>CR121*(1+CW235)</f>
        <v>0</v>
      </c>
      <c r="CX121" s="268">
        <f>CS121*(1+CX235)</f>
        <v>0</v>
      </c>
      <c r="CY121" s="268">
        <f>SUM(CU121:CX121)</f>
        <v>0</v>
      </c>
    </row>
    <row r="122" ht="12.75" customFormat="1" customHeight="1" s="287">
      <c r="A122" s="288" t="n"/>
      <c r="B122" s="259" t="n"/>
      <c r="C122" s="275" t="inlineStr">
        <is>
          <t>Net Income</t>
        </is>
      </c>
      <c r="D122" s="276">
        <f>SUM(D115,D116,D120,D121)</f>
        <v>931</v>
      </c>
      <c r="E122" s="276">
        <f>SUM(E115,E116,E120,E121)</f>
        <v>838</v>
      </c>
      <c r="F122" s="276">
        <f>SUM(F115,F116,F120,F121)</f>
        <v>1389</v>
      </c>
      <c r="G122" s="276">
        <f>SUM(G115,G116,G120,G121)</f>
        <v>1166</v>
      </c>
      <c r="H122" s="276">
        <f>SUM(D122:G122)</f>
        <v>4324</v>
      </c>
      <c r="I122" s="276">
        <f>SUM(I115,I116,I120,I121)</f>
        <v>951</v>
      </c>
      <c r="J122" s="276">
        <f>SUM(J115,J116,J120,J121)</f>
        <v>1220</v>
      </c>
      <c r="K122" s="276">
        <f>SUM(K115,K116,K120,K121)</f>
        <v>1670</v>
      </c>
      <c r="L122" s="276">
        <f>SUM(L115,L116,L120,L121)</f>
        <v>1324</v>
      </c>
      <c r="M122" s="276">
        <f>SUM(I122:L122)</f>
        <v>5165</v>
      </c>
      <c r="N122" s="276">
        <f>SUM(N115,N116,N120,N121)</f>
        <v>1299</v>
      </c>
      <c r="O122" s="276">
        <f>SUM(O115,O116,O120,O121)</f>
        <v>1353</v>
      </c>
      <c r="P122" s="276">
        <f>SUM(P115,P116,P120,P121)</f>
        <v>1868</v>
      </c>
      <c r="Q122" s="276">
        <f>SUM(Q115,Q116,Q120,Q121)</f>
        <v>1364</v>
      </c>
      <c r="R122" s="276">
        <f>SUM(N122:Q122)</f>
        <v>5884</v>
      </c>
      <c r="S122" s="276">
        <f>SUM(S115,S116,S120,S121)</f>
        <v>1466</v>
      </c>
      <c r="T122" s="276">
        <f>SUM(T115,T116,T120,T121)</f>
        <v>1302</v>
      </c>
      <c r="U122" s="276">
        <f>SUM(U115,U116,U120,U121)</f>
        <v>2160</v>
      </c>
      <c r="V122" s="276">
        <f>SUM(V115,V116,V120,V121)</f>
        <v>1589</v>
      </c>
      <c r="W122" s="276">
        <f>SUM(S122:V122)</f>
        <v>6517</v>
      </c>
      <c r="X122" s="276">
        <f>SUM(X115,X116,X120,X121)</f>
        <v>1743</v>
      </c>
      <c r="Y122" s="276">
        <f>SUM(Y115,Y116,Y120,Y121)</f>
        <v>1681</v>
      </c>
      <c r="Z122" s="276">
        <f>SUM(Z115,Z116,Z120,Z121)</f>
        <v>2354</v>
      </c>
      <c r="AA122" s="276">
        <f>SUM(AA115,AA116,AA120,AA121)</f>
        <v>1798</v>
      </c>
      <c r="AB122" s="276">
        <f>SUM(X122:AA122)</f>
        <v>7576</v>
      </c>
      <c r="AC122" s="276">
        <f>SUM(AC115,AC116,AC120,AC121)</f>
        <v>1788</v>
      </c>
      <c r="AD122" s="276">
        <f>SUM(AD115,AD116,AD120,AD121)</f>
        <v>1903</v>
      </c>
      <c r="AE122" s="276">
        <f>SUM(AE115,AE116,AE120,AE121)</f>
        <v>2610</v>
      </c>
      <c r="AF122" s="276">
        <f>SUM(AF115,AF116,AF120,AF121)</f>
        <v>2001</v>
      </c>
      <c r="AG122" s="276">
        <f>SUM(AC122:AF122)</f>
        <v>8302</v>
      </c>
      <c r="AH122" s="276">
        <f>SUM(AH115,AH116,AH120,AH121)</f>
        <v>2035</v>
      </c>
      <c r="AI122" s="276">
        <f>SUM(AI115,AI116,AI120,AI121)</f>
        <v>2192</v>
      </c>
      <c r="AJ122" s="276">
        <f>SUM(AJ115,AJ116,AJ120,AJ121)</f>
        <v>148</v>
      </c>
      <c r="AK122" s="276">
        <f>SUM(AK115,AK116,AK120,AK121)</f>
        <v>155</v>
      </c>
      <c r="AL122" s="276">
        <f>SUM(AH122:AK122)</f>
        <v>4530</v>
      </c>
      <c r="AM122" s="276">
        <f>SUM(AM115,AM116,AM120,AM121)</f>
        <v>155</v>
      </c>
      <c r="AN122" s="276">
        <f>SUM(AN115,AN116,AN120,AN121)</f>
        <v>606</v>
      </c>
      <c r="AO122" s="276">
        <f>SUM(AO115,AO116,AO120,AO121)</f>
        <v>155</v>
      </c>
      <c r="AP122" s="276">
        <f>SUM(AP115,AP116,AP120,AP121)</f>
        <v>606</v>
      </c>
      <c r="AQ122" s="276">
        <f>SUM(AM122:AP122)</f>
        <v>1522</v>
      </c>
      <c r="AR122" s="276">
        <f>SUM(AR115,AR116,AR120,AR121)</f>
        <v>606</v>
      </c>
      <c r="AS122" s="276">
        <f>SUM(AS115,AS116,AS120,AS121)</f>
        <v>1522</v>
      </c>
      <c r="AT122" s="276">
        <f>SUM(AT115,AT116,AT120,AT121)</f>
        <v>606</v>
      </c>
      <c r="AU122" s="276">
        <f>SUM(AU115,AU116,AU120,AU121)</f>
        <v>1522</v>
      </c>
      <c r="AV122" s="276">
        <f>SUM(AR122:AU122)</f>
        <v>4256</v>
      </c>
      <c r="AW122" s="276">
        <f>SUM(AW115,AW116,AW120,AW121)</f>
        <v>1522</v>
      </c>
      <c r="AX122" s="276">
        <f>SUM(AX115,AX116,AX120,AX121)</f>
        <v>4256</v>
      </c>
      <c r="AY122" s="276">
        <f>SUM(AY115,AY116,AY120,AY121)</f>
        <v>1522</v>
      </c>
      <c r="AZ122" s="276">
        <f>SUM(AZ115,AZ116,AZ120,AZ121)</f>
        <v>4256</v>
      </c>
      <c r="BA122" s="276">
        <f>SUM(AW122:AZ122)</f>
        <v>11556</v>
      </c>
      <c r="BB122" s="276">
        <f>SUM(BB115,BB116,BB120,BB121)</f>
        <v>4256</v>
      </c>
      <c r="BC122" s="276">
        <f>SUM(BC115,BC116,BC120,BC121)</f>
        <v>11556</v>
      </c>
      <c r="BD122" s="276">
        <f>SUM(BD115,BD116,BD120,BD121)</f>
        <v>4256</v>
      </c>
      <c r="BE122" s="276">
        <f>SUM(BE115,BE116,BE120,BE121)</f>
        <v>11556</v>
      </c>
      <c r="BF122" s="276">
        <f>SUM(BB122:BE122)</f>
        <v>31624</v>
      </c>
      <c r="BG122" s="276">
        <f>SUM(BG115,BG116,BG120,BG121)</f>
        <v>11556</v>
      </c>
      <c r="BH122" s="276">
        <f>SUM(BH115,BH116,BH120,BH121)</f>
        <v>31624</v>
      </c>
      <c r="BI122" s="276">
        <f>SUM(BI115,BI116,BI120,BI121)</f>
        <v>11556</v>
      </c>
      <c r="BJ122" s="276">
        <f>SUM(BJ115,BJ116,BJ120,BJ121)</f>
        <v>31624</v>
      </c>
      <c r="BK122" s="276">
        <f>SUM(BG122:BJ122)</f>
        <v>86360</v>
      </c>
      <c r="BL122" s="276">
        <f>SUM(BL115,BL116,BL120,BL121)</f>
        <v>31624</v>
      </c>
      <c r="BM122" s="276">
        <f>SUM(BM115,BM116,BM120,BM121)</f>
        <v>86360</v>
      </c>
      <c r="BN122" s="276">
        <f>SUM(BN115,BN116,BN120,BN121)</f>
        <v>31624</v>
      </c>
      <c r="BO122" s="276">
        <f>SUM(BO115,BO116,BO120,BO121)</f>
        <v>86360</v>
      </c>
      <c r="BP122" s="276">
        <f>SUM(BL122:BO122)</f>
        <v>235968</v>
      </c>
      <c r="BQ122" s="276">
        <f>SUM(BQ115,BQ116,BQ120,BQ121)</f>
        <v>86360</v>
      </c>
      <c r="BR122" s="276">
        <f>SUM(BR115,BR116,BR120,BR121)</f>
        <v>235968</v>
      </c>
      <c r="BS122" s="276">
        <f>SUM(BS115,BS116,BS120,BS121)</f>
        <v>86360</v>
      </c>
      <c r="BT122" s="276">
        <f>SUM(BT115,BT116,BT120,BT121)</f>
        <v>235968</v>
      </c>
      <c r="BU122" s="276">
        <f>SUM(BQ122:BT122)</f>
        <v>644656</v>
      </c>
      <c r="BV122" s="276">
        <f>SUM(BV115,BV116,BV120,BV121)</f>
        <v>235968</v>
      </c>
      <c r="BW122" s="276">
        <f>SUM(BW115,BW116,BW120,BW121)</f>
        <v>644656</v>
      </c>
      <c r="BX122" s="276">
        <f>SUM(BX115,BX116,BX120,BX121)</f>
        <v>235968</v>
      </c>
      <c r="BY122" s="276">
        <f>SUM(BY115,BY116,BY120,BY121)</f>
        <v>644656</v>
      </c>
      <c r="BZ122" s="276">
        <f>SUM(BV122:BY122)</f>
        <v>1761248</v>
      </c>
      <c r="CA122" s="276">
        <f>SUM(CA115,CA116,CA120,CA121)</f>
        <v>644656</v>
      </c>
      <c r="CB122" s="276">
        <f>SUM(CB115,CB116,CB120,CB121)</f>
        <v>1761248</v>
      </c>
      <c r="CC122" s="276">
        <f>SUM(CC115,CC116,CC120,CC121)</f>
        <v>644656</v>
      </c>
      <c r="CD122" s="276">
        <f>SUM(CD115,CD116,CD120,CD121)</f>
        <v>1761248</v>
      </c>
      <c r="CE122" s="276">
        <f>SUM(CA122:CD122)</f>
        <v>4811808</v>
      </c>
      <c r="CF122" s="276">
        <f>SUM(CF115,CF116,CF120,CF121)</f>
        <v>1761248</v>
      </c>
      <c r="CG122" s="276">
        <f>SUM(CG115,CG116,CG120,CG121)</f>
        <v>4811808</v>
      </c>
      <c r="CH122" s="276">
        <f>SUM(CH115,CH116,CH120,CH121)</f>
        <v>1761248</v>
      </c>
      <c r="CI122" s="276">
        <f>SUM(CI115,CI116,CI120,CI121)</f>
        <v>4811808</v>
      </c>
      <c r="CJ122" s="276">
        <f>SUM(CF122:CI122)</f>
        <v>13146112</v>
      </c>
      <c r="CK122" s="276">
        <f>SUM(CK115,CK116,CK120,CK121)</f>
        <v>4811808</v>
      </c>
      <c r="CL122" s="276">
        <f>SUM(CL115,CL116,CL120,CL121)</f>
        <v>13146112</v>
      </c>
      <c r="CM122" s="276">
        <f>SUM(CM115,CM116,CM120,CM121)</f>
        <v>4811808</v>
      </c>
      <c r="CN122" s="276">
        <f>SUM(CN115,CN116,CN120,CN121)</f>
        <v>13146112</v>
      </c>
      <c r="CO122" s="276">
        <f>SUM(CK122:CN122)</f>
        <v>35915840</v>
      </c>
      <c r="CP122" s="276">
        <f>SUM(CP115,CP116,CP120,CP121)</f>
        <v>13146112</v>
      </c>
      <c r="CQ122" s="276">
        <f>SUM(CQ115,CQ116,CQ120,CQ121)</f>
        <v>35915840</v>
      </c>
      <c r="CR122" s="276">
        <f>SUM(CR115,CR116,CR120,CR121)</f>
        <v>13146112</v>
      </c>
      <c r="CS122" s="276">
        <f>SUM(CS115,CS116,CS120,CS121)</f>
        <v>35915840</v>
      </c>
      <c r="CT122" s="276">
        <f>SUM(CP122:CS122)</f>
        <v>98123904</v>
      </c>
      <c r="CU122" s="276">
        <f>SUM(CU115,CU116,CU120,CU121)</f>
        <v>35915840</v>
      </c>
      <c r="CV122" s="276">
        <f>SUM(CV115,CV116,CV120,CV121)</f>
        <v>98123904</v>
      </c>
      <c r="CW122" s="276">
        <f>SUM(CW115,CW116,CW120,CW121)</f>
        <v>35915840</v>
      </c>
      <c r="CX122" s="276">
        <f>SUM(CX115,CX116,CX120,CX121)</f>
        <v>98123904</v>
      </c>
      <c r="CY122" s="276">
        <f>SUM(CU122:CX122)</f>
        <v>268079488</v>
      </c>
    </row>
    <row r="123" ht="12.75" customHeight="1" s="255">
      <c r="C123" s="269" t="inlineStr">
        <is>
          <t>Common Dividends</t>
        </is>
      </c>
      <c r="D123" s="301">
        <f>INDEX('Inputs (2)'!$D$13:$AL$13,MATCH(D$7,'Inputs (2)'!$D$2:$AL$2,0))</f>
        <v>0</v>
      </c>
      <c r="E123" s="301">
        <f>INDEX('Inputs (2)'!$D$13:$AL$13,MATCH(E$7,'Inputs (2)'!$D$2:$AL$2,0))</f>
        <v>-287</v>
      </c>
      <c r="F123" s="301">
        <f>INDEX('Inputs (2)'!$D$13:$AL$13,MATCH(F$7,'Inputs (2)'!$D$2:$AL$2,0))</f>
        <v>-619</v>
      </c>
      <c r="G123" s="301">
        <f>INDEX('Inputs (2)'!$D$13:$AL$13,MATCH(G$7,'Inputs (2)'!$D$2:$AL$2,0))</f>
        <v>-310</v>
      </c>
      <c r="H123" s="268">
        <f>SUM(D123:G123)</f>
        <v>-1216</v>
      </c>
      <c r="I123" s="301">
        <f>INDEX('Inputs (2)'!$D$13:$AL$13,MATCH(I$7,'Inputs (2)'!$D$2:$AL$2,0))</f>
        <v>-4430</v>
      </c>
      <c r="J123" s="301">
        <f>INDEX('Inputs (2)'!$D$13:$AL$13,MATCH(J$7,'Inputs (2)'!$D$2:$AL$2,0))</f>
        <v>-310</v>
      </c>
      <c r="K123" s="301">
        <f>INDEX('Inputs (2)'!$D$13:$AL$13,MATCH(K$7,'Inputs (2)'!$D$2:$AL$2,0))</f>
        <v>-698</v>
      </c>
      <c r="L123" s="301">
        <f>INDEX('Inputs (2)'!$D$13:$AL$13,MATCH(L$7,'Inputs (2)'!$D$2:$AL$2,0))</f>
        <v>-350</v>
      </c>
      <c r="M123" s="268">
        <f>SUM(I123:L123)</f>
        <v>-5788</v>
      </c>
      <c r="N123" s="301">
        <f>INDEX('Inputs (2)'!$D$13:$AL$13,MATCH(N$7,'Inputs (2)'!$D$2:$AL$2,0))</f>
        <v>0</v>
      </c>
      <c r="O123" s="301">
        <f>INDEX('Inputs (2)'!$D$13:$AL$13,MATCH(O$7,'Inputs (2)'!$D$2:$AL$2,0))</f>
        <v>-351</v>
      </c>
      <c r="P123" s="301">
        <f>INDEX('Inputs (2)'!$D$13:$AL$13,MATCH(P$7,'Inputs (2)'!$D$2:$AL$2,0))</f>
        <v>-797</v>
      </c>
      <c r="Q123" s="301">
        <f>INDEX('Inputs (2)'!$D$13:$AL$13,MATCH(Q$7,'Inputs (2)'!$D$2:$AL$2,0))</f>
        <v>-400</v>
      </c>
      <c r="R123" s="268">
        <f>SUM(N123:Q123)</f>
        <v>-1548</v>
      </c>
      <c r="S123" s="301">
        <f>INDEX('Inputs (2)'!$D$13:$AL$13,MATCH(S$7,'Inputs (2)'!$D$2:$AL$2,0))</f>
        <v>0</v>
      </c>
      <c r="T123" s="301">
        <f>INDEX('Inputs (2)'!$D$13:$AL$13,MATCH(T$7,'Inputs (2)'!$D$2:$AL$2,0))</f>
        <v>-399</v>
      </c>
      <c r="U123" s="301">
        <f>INDEX('Inputs (2)'!$D$13:$AL$13,MATCH(U$7,'Inputs (2)'!$D$2:$AL$2,0))</f>
        <v>-452</v>
      </c>
      <c r="V123" s="301">
        <f>INDEX('Inputs (2)'!$D$13:$AL$13,MATCH(V$7,'Inputs (2)'!$D$2:$AL$2,0))</f>
        <v>-905</v>
      </c>
      <c r="W123" s="268">
        <f>SUM(S123:V123)</f>
        <v>-1756</v>
      </c>
      <c r="X123" s="301">
        <f>INDEX('Inputs (2)'!$D$13:$AL$13,MATCH(X$7,'Inputs (2)'!$D$2:$AL$2,0))</f>
        <v>-7107</v>
      </c>
      <c r="Y123" s="301">
        <f>INDEX('Inputs (2)'!$D$13:$AL$13,MATCH(Y$7,'Inputs (2)'!$D$2:$AL$2,0))</f>
        <v>-515</v>
      </c>
      <c r="Z123" s="301">
        <f>INDEX('Inputs (2)'!$D$13:$AL$13,MATCH(Z$7,'Inputs (2)'!$D$2:$AL$2,0))</f>
        <v>-514</v>
      </c>
      <c r="AA123" s="301">
        <f>INDEX('Inputs (2)'!$D$13:$AL$13,MATCH(AA$7,'Inputs (2)'!$D$2:$AL$2,0))</f>
        <v>-515</v>
      </c>
      <c r="AB123" s="268">
        <f>SUM(X123:AA123)</f>
        <v>-8651</v>
      </c>
      <c r="AC123" s="301">
        <f>INDEX('Inputs (2)'!$D$13:$AL$13,MATCH(AC$7,'Inputs (2)'!$D$2:$AL$2,0))</f>
        <v>0</v>
      </c>
      <c r="AD123" s="301">
        <f>INDEX('Inputs (2)'!$D$13:$AL$13,MATCH(AD$7,'Inputs (2)'!$D$2:$AL$2,0))</f>
        <v>-515</v>
      </c>
      <c r="AE123" s="301">
        <f>INDEX('Inputs (2)'!$D$13:$AL$13,MATCH(AE$7,'Inputs (2)'!$D$2:$AL$2,0))</f>
        <v>-1153</v>
      </c>
      <c r="AF123" s="301">
        <f>INDEX('Inputs (2)'!$D$13:$AL$13,MATCH(AF$7,'Inputs (2)'!$D$2:$AL$2,0))</f>
        <v>-577</v>
      </c>
      <c r="AG123" s="268">
        <f>SUM(AC123:AF123)</f>
        <v>-2245</v>
      </c>
      <c r="AH123" s="268">
        <f>INDEX('Inputs (2)'!$D$13:$AL$13,MATCH(AH$7,'Inputs (2)'!$D$2:$AL$2,0))</f>
        <v>-577</v>
      </c>
      <c r="AI123" s="268">
        <f>INDEX('Inputs (2)'!$D$13:$AL$13,MATCH(AI$7,'Inputs (2)'!$D$2:$AL$2,0))</f>
        <v>0</v>
      </c>
      <c r="AJ123" s="268" t="n"/>
      <c r="AK123" s="268" t="n"/>
      <c r="AL123" s="268">
        <f>SUM(AH123:AK123)</f>
        <v>-577</v>
      </c>
      <c r="AM123" s="268" t="n"/>
      <c r="AN123" s="268" t="n"/>
      <c r="AO123" s="268" t="n"/>
      <c r="AP123" s="268" t="n"/>
      <c r="AQ123" s="268">
        <f>SUM(AM123:AP123)</f>
        <v>0</v>
      </c>
      <c r="AR123" s="268" t="n"/>
      <c r="AS123" s="268" t="n"/>
      <c r="AT123" s="268" t="n"/>
      <c r="AU123" s="268" t="n"/>
      <c r="AV123" s="268">
        <f>SUM(AR123:AU123)</f>
        <v>0</v>
      </c>
      <c r="AW123" s="268" t="n"/>
      <c r="AX123" s="268" t="n"/>
      <c r="AY123" s="268" t="n"/>
      <c r="AZ123" s="268" t="n"/>
      <c r="BA123" s="268">
        <f>SUM(AW123:AZ123)</f>
        <v>0</v>
      </c>
      <c r="BB123" s="268" t="n"/>
      <c r="BC123" s="268" t="n"/>
      <c r="BD123" s="268" t="n"/>
      <c r="BE123" s="268" t="n"/>
      <c r="BF123" s="268">
        <f>SUM(BB123:BE123)</f>
        <v>0</v>
      </c>
      <c r="BG123" s="268" t="n"/>
      <c r="BH123" s="268" t="n"/>
      <c r="BI123" s="268" t="n"/>
      <c r="BJ123" s="268" t="n"/>
      <c r="BK123" s="268">
        <f>SUM(BG123:BJ123)</f>
        <v>0</v>
      </c>
      <c r="BL123" s="268" t="n"/>
      <c r="BM123" s="268" t="n"/>
      <c r="BN123" s="268" t="n"/>
      <c r="BO123" s="268" t="n"/>
      <c r="BP123" s="268">
        <f>SUM(BL123:BO123)</f>
        <v>0</v>
      </c>
      <c r="BQ123" s="268" t="n"/>
      <c r="BR123" s="268" t="n"/>
      <c r="BS123" s="268" t="n"/>
      <c r="BT123" s="268" t="n"/>
      <c r="BU123" s="268">
        <f>SUM(BQ123:BT123)</f>
        <v>0</v>
      </c>
      <c r="BV123" s="268" t="n"/>
      <c r="BW123" s="268" t="n"/>
      <c r="BX123" s="268" t="n"/>
      <c r="BY123" s="268" t="n"/>
      <c r="BZ123" s="268">
        <f>SUM(BV123:BY123)</f>
        <v>0</v>
      </c>
      <c r="CA123" s="268" t="n"/>
      <c r="CB123" s="268" t="n"/>
      <c r="CC123" s="268" t="n"/>
      <c r="CD123" s="268" t="n"/>
      <c r="CE123" s="268">
        <f>SUM(CA123:CD123)</f>
        <v>0</v>
      </c>
      <c r="CF123" s="268" t="n"/>
      <c r="CG123" s="268" t="n"/>
      <c r="CH123" s="268" t="n"/>
      <c r="CI123" s="268" t="n"/>
      <c r="CJ123" s="268">
        <f>SUM(CF123:CI123)</f>
        <v>0</v>
      </c>
      <c r="CK123" s="268" t="n"/>
      <c r="CL123" s="268" t="n"/>
      <c r="CM123" s="268" t="n"/>
      <c r="CN123" s="268" t="n"/>
      <c r="CO123" s="268">
        <f>SUM(CK123:CN123)</f>
        <v>0</v>
      </c>
      <c r="CP123" s="268" t="n"/>
      <c r="CQ123" s="268" t="n"/>
      <c r="CR123" s="268" t="n"/>
      <c r="CS123" s="268" t="n"/>
      <c r="CT123" s="268">
        <f>SUM(CP123:CS123)</f>
        <v>0</v>
      </c>
      <c r="CU123" s="268" t="n"/>
      <c r="CV123" s="268" t="n"/>
      <c r="CW123" s="268" t="n"/>
      <c r="CX123" s="268" t="n"/>
      <c r="CY123" s="268">
        <f>SUM(CU123:CX123)</f>
        <v>0</v>
      </c>
    </row>
    <row r="124" hidden="1" outlineLevel="1" ht="12.75" customHeight="1" s="255">
      <c r="C124" s="305" t="inlineStr">
        <is>
          <t>% DVD Payout</t>
        </is>
      </c>
      <c r="D124" s="313">
        <f>-D123/D122</f>
        <v>0</v>
      </c>
      <c r="E124" s="313">
        <f>-E123/E122</f>
        <v>0.342482100238664</v>
      </c>
      <c r="F124" s="313">
        <f>-F123/F122</f>
        <v>0.445644348452124</v>
      </c>
      <c r="G124" s="313">
        <f>-G123/G122</f>
        <v>0.265866209262436</v>
      </c>
      <c r="H124" s="313">
        <f>-H123/H122</f>
        <v>0.281221091581869</v>
      </c>
      <c r="I124" s="313">
        <f>-I123/I122</f>
        <v>4.65825446898002</v>
      </c>
      <c r="J124" s="313">
        <f>-J123/J122</f>
        <v>0.254098360655738</v>
      </c>
      <c r="K124" s="313">
        <f>-K123/K122</f>
        <v>0.417964071856287</v>
      </c>
      <c r="L124" s="313">
        <f>-L123/L122</f>
        <v>0.264350453172205</v>
      </c>
      <c r="M124" s="313">
        <f>-M123/M122</f>
        <v>1.12061955469506</v>
      </c>
      <c r="N124" s="313">
        <f>-N123/N122</f>
        <v>0</v>
      </c>
      <c r="O124" s="313">
        <f>-O123/O122</f>
        <v>0.259423503325942</v>
      </c>
      <c r="P124" s="313">
        <f>-P123/P122</f>
        <v>0.426659528907923</v>
      </c>
      <c r="Q124" s="313">
        <f>-Q123/Q122</f>
        <v>0.293255131964809</v>
      </c>
      <c r="R124" s="313">
        <f>-R123/R122</f>
        <v>0.263086335825969</v>
      </c>
      <c r="S124" s="313">
        <f>-S123/S122</f>
        <v>0</v>
      </c>
      <c r="T124" s="313">
        <f>-T123/T122</f>
        <v>0.306451612903226</v>
      </c>
      <c r="U124" s="313">
        <f>-U123/U122</f>
        <v>0.209259259259259</v>
      </c>
      <c r="V124" s="313">
        <f>-V123/V122</f>
        <v>0.569540591567023</v>
      </c>
      <c r="W124" s="313">
        <f>-W123/W122</f>
        <v>0.269449133036673</v>
      </c>
      <c r="X124" s="313">
        <f>-X123/X122</f>
        <v>4.07745266781411</v>
      </c>
      <c r="Y124" s="313">
        <f>-Y123/Y122</f>
        <v>0.306365258774539</v>
      </c>
      <c r="Z124" s="313">
        <f>-Z123/Z122</f>
        <v>0.218351741716228</v>
      </c>
      <c r="AA124" s="313">
        <f>-AA123/AA122</f>
        <v>0.28642936596218</v>
      </c>
      <c r="AB124" s="313">
        <f>-AB123/AB122</f>
        <v>1.1418954593453</v>
      </c>
      <c r="AC124" s="313">
        <f>-AC123/AC122</f>
        <v>0</v>
      </c>
      <c r="AD124" s="313">
        <f>-AD123/AD122</f>
        <v>0.270625328428797</v>
      </c>
      <c r="AE124" s="313">
        <f>-AE123/AE122</f>
        <v>0.44176245210728</v>
      </c>
      <c r="AF124" s="297">
        <f>-AF123/AF122</f>
        <v>0.288355822088956</v>
      </c>
      <c r="AG124" s="268" t="n"/>
      <c r="AH124" s="297">
        <f>-AH123/AH122</f>
        <v>0.283538083538084</v>
      </c>
      <c r="AI124" s="297">
        <f>-AI123/AI122</f>
        <v>0</v>
      </c>
      <c r="AJ124" s="297" t="n"/>
      <c r="AK124" s="297" t="n"/>
      <c r="AL124" s="268">
        <f>-AL123/AL122</f>
        <v>0.127373068432671</v>
      </c>
      <c r="AM124" s="297" t="n"/>
      <c r="AN124" s="297" t="n"/>
      <c r="AO124" s="297" t="n"/>
      <c r="AP124" s="297" t="n"/>
      <c r="AQ124" s="268">
        <f>-AQ123/AQ122</f>
        <v>0</v>
      </c>
      <c r="AR124" s="297" t="n"/>
      <c r="AS124" s="297" t="n"/>
      <c r="AT124" s="297" t="n"/>
      <c r="AU124" s="297" t="n"/>
      <c r="AV124" s="268">
        <f>-AV123/AV122</f>
        <v>0</v>
      </c>
      <c r="AW124" s="297" t="n"/>
      <c r="AX124" s="297" t="n"/>
      <c r="AY124" s="297" t="n"/>
      <c r="AZ124" s="297" t="n"/>
      <c r="BA124" s="268">
        <f>-BA123/BA122</f>
        <v>0</v>
      </c>
      <c r="BB124" s="297" t="n"/>
      <c r="BC124" s="297" t="n"/>
      <c r="BD124" s="297" t="n"/>
      <c r="BE124" s="297" t="n"/>
      <c r="BF124" s="268">
        <f>-BF123/BF122</f>
        <v>0</v>
      </c>
      <c r="BG124" s="297" t="n"/>
      <c r="BH124" s="297" t="n"/>
      <c r="BI124" s="297" t="n"/>
      <c r="BJ124" s="297" t="n"/>
      <c r="BK124" s="268">
        <f>-BK123/BK122</f>
        <v>0</v>
      </c>
      <c r="BL124" s="297" t="n"/>
      <c r="BM124" s="297" t="n"/>
      <c r="BN124" s="297" t="n"/>
      <c r="BO124" s="297" t="n"/>
      <c r="BP124" s="268">
        <f>-BP123/BP122</f>
        <v>0</v>
      </c>
      <c r="BQ124" s="297" t="n"/>
      <c r="BR124" s="297" t="n"/>
      <c r="BS124" s="297" t="n"/>
      <c r="BT124" s="297" t="n"/>
      <c r="BU124" s="268">
        <f>-BU123/BU122</f>
        <v>0</v>
      </c>
      <c r="BV124" s="297" t="n"/>
      <c r="BW124" s="297" t="n"/>
      <c r="BX124" s="297" t="n"/>
      <c r="BY124" s="297" t="n"/>
      <c r="BZ124" s="268">
        <f>-BZ123/BZ122</f>
        <v>0</v>
      </c>
      <c r="CA124" s="297" t="n"/>
      <c r="CB124" s="297" t="n"/>
      <c r="CC124" s="297" t="n"/>
      <c r="CD124" s="297" t="n"/>
      <c r="CE124" s="268">
        <f>-CE123/CE122</f>
        <v>0</v>
      </c>
      <c r="CF124" s="297" t="n"/>
      <c r="CG124" s="297" t="n"/>
      <c r="CH124" s="297" t="n"/>
      <c r="CI124" s="297" t="n"/>
      <c r="CJ124" s="268">
        <f>-CJ123/CJ122</f>
        <v>0</v>
      </c>
      <c r="CK124" s="297" t="n"/>
      <c r="CL124" s="297" t="n"/>
      <c r="CM124" s="297" t="n"/>
      <c r="CN124" s="297" t="n"/>
      <c r="CO124" s="268">
        <f>-CO123/CO122</f>
        <v>0</v>
      </c>
      <c r="CP124" s="297" t="n"/>
      <c r="CQ124" s="297" t="n"/>
      <c r="CR124" s="297" t="n"/>
      <c r="CS124" s="297" t="n"/>
      <c r="CT124" s="268">
        <f>-CT123/CT122</f>
        <v>0</v>
      </c>
      <c r="CU124" s="297" t="n"/>
      <c r="CV124" s="297" t="n"/>
      <c r="CW124" s="297" t="n"/>
      <c r="CX124" s="297" t="n"/>
      <c r="CY124" s="268">
        <f>-CY123/CY122</f>
        <v>0</v>
      </c>
    </row>
    <row r="125" hidden="1" outlineLevel="1" ht="12.75" customHeight="1" s="255">
      <c r="C125" s="274" t="n"/>
      <c r="D125" s="259" t="n"/>
      <c r="E125" s="259" t="n"/>
      <c r="F125" s="259" t="n"/>
      <c r="G125" s="259" t="n"/>
      <c r="H125" s="259" t="n"/>
      <c r="I125" s="259" t="n"/>
      <c r="J125" s="259" t="n"/>
      <c r="K125" s="259" t="n"/>
      <c r="L125" s="259" t="n"/>
      <c r="M125" s="259" t="n"/>
      <c r="N125" s="259" t="n"/>
      <c r="O125" s="259" t="n"/>
      <c r="P125" s="259" t="n"/>
      <c r="Q125" s="259" t="n"/>
      <c r="R125" s="259" t="n"/>
      <c r="S125" s="259" t="n"/>
      <c r="T125" s="259" t="n"/>
      <c r="U125" s="259" t="n"/>
      <c r="V125" s="259" t="n"/>
      <c r="W125" s="259" t="n"/>
      <c r="X125" s="259" t="n"/>
      <c r="Y125" s="259" t="n"/>
      <c r="Z125" s="259" t="n"/>
      <c r="AA125" s="259" t="n"/>
      <c r="AB125" s="259" t="n"/>
      <c r="AC125" s="259" t="n"/>
      <c r="AD125" s="259" t="n"/>
      <c r="AE125" s="259" t="n"/>
      <c r="AF125" s="259" t="n"/>
      <c r="AG125" s="259" t="n"/>
      <c r="AH125" s="259" t="n"/>
      <c r="AI125" s="259" t="n"/>
      <c r="AJ125" s="259" t="n"/>
      <c r="AK125" s="259" t="n"/>
      <c r="AL125" s="259" t="n"/>
      <c r="AM125" s="259" t="n"/>
      <c r="AN125" s="259" t="n"/>
      <c r="AO125" s="259" t="n"/>
      <c r="AP125" s="259" t="n"/>
      <c r="AQ125" s="259" t="n"/>
      <c r="AR125" s="259" t="n"/>
      <c r="AS125" s="259" t="n"/>
      <c r="AT125" s="259" t="n"/>
      <c r="AU125" s="259" t="n"/>
      <c r="AV125" s="259" t="n"/>
      <c r="AW125" s="259" t="n"/>
      <c r="AX125" s="259" t="n"/>
      <c r="AY125" s="259" t="n"/>
      <c r="AZ125" s="259" t="n"/>
      <c r="BA125" s="259" t="n"/>
      <c r="BB125" s="259" t="n"/>
      <c r="BC125" s="259" t="n"/>
      <c r="BD125" s="259" t="n"/>
      <c r="BE125" s="259" t="n"/>
      <c r="BF125" s="259" t="n"/>
      <c r="BG125" s="259" t="n"/>
      <c r="BH125" s="259" t="n"/>
      <c r="BI125" s="259" t="n"/>
      <c r="BJ125" s="259" t="n"/>
      <c r="BK125" s="259" t="n"/>
      <c r="BL125" s="259" t="n"/>
      <c r="BM125" s="259" t="n"/>
      <c r="BN125" s="259" t="n"/>
      <c r="BO125" s="259" t="n"/>
      <c r="BP125" s="259" t="n"/>
      <c r="BQ125" s="259" t="n"/>
      <c r="BR125" s="259" t="n"/>
      <c r="BS125" s="259" t="n"/>
      <c r="BT125" s="259" t="n"/>
      <c r="BU125" s="259" t="n"/>
      <c r="BV125" s="259" t="n"/>
      <c r="BW125" s="259" t="n"/>
      <c r="BX125" s="259" t="n"/>
      <c r="BY125" s="259" t="n"/>
      <c r="BZ125" s="259" t="n"/>
      <c r="CA125" s="259" t="n"/>
      <c r="CB125" s="259" t="n"/>
      <c r="CC125" s="259" t="n"/>
      <c r="CD125" s="259" t="n"/>
      <c r="CE125" s="259" t="n"/>
      <c r="CF125" s="259" t="n"/>
      <c r="CG125" s="259" t="n"/>
      <c r="CH125" s="259" t="n"/>
      <c r="CI125" s="259" t="n"/>
      <c r="CJ125" s="259" t="n"/>
      <c r="CK125" s="259" t="n"/>
      <c r="CL125" s="259" t="n"/>
      <c r="CM125" s="259" t="n"/>
      <c r="CN125" s="259" t="n"/>
      <c r="CO125" s="259" t="n"/>
      <c r="CP125" s="259" t="n"/>
      <c r="CQ125" s="259" t="n"/>
      <c r="CR125" s="259" t="n"/>
      <c r="CS125" s="259" t="n"/>
      <c r="CT125" s="259" t="n"/>
      <c r="CU125" s="259" t="n"/>
      <c r="CV125" s="259" t="n"/>
      <c r="CW125" s="259" t="n"/>
      <c r="CX125" s="259" t="n"/>
      <c r="CY125" s="259" t="n"/>
    </row>
    <row r="126" hidden="1" outlineLevel="1" ht="12.75" customHeight="1" s="255">
      <c r="C126" s="274" t="n"/>
      <c r="D126" s="259" t="n"/>
      <c r="E126" s="259" t="n"/>
      <c r="F126" s="259" t="n"/>
      <c r="G126" s="259" t="n"/>
      <c r="H126" s="259" t="n"/>
      <c r="I126" s="259" t="n"/>
      <c r="J126" s="259" t="n"/>
      <c r="K126" s="259" t="n"/>
      <c r="L126" s="259" t="n"/>
      <c r="M126" s="259" t="n"/>
      <c r="N126" s="259" t="n"/>
      <c r="O126" s="259" t="n"/>
      <c r="P126" s="259" t="n"/>
      <c r="Q126" s="259" t="n"/>
      <c r="R126" s="259" t="n"/>
      <c r="S126" s="259" t="n"/>
      <c r="T126" s="259" t="n"/>
      <c r="U126" s="259" t="n"/>
      <c r="V126" s="259" t="n"/>
      <c r="W126" s="259" t="n"/>
      <c r="X126" s="259" t="n"/>
      <c r="Y126" s="259" t="n"/>
      <c r="Z126" s="259" t="n"/>
      <c r="AA126" s="259" t="n"/>
      <c r="AB126" s="259" t="n"/>
      <c r="AC126" s="259" t="n"/>
      <c r="AD126" s="259" t="n"/>
      <c r="AE126" s="259" t="n"/>
      <c r="AF126" s="259" t="n"/>
      <c r="AG126" s="259" t="n"/>
      <c r="AH126" s="259" t="n"/>
      <c r="AI126" s="259" t="n"/>
      <c r="AJ126" s="259" t="n"/>
      <c r="AK126" s="259" t="n"/>
      <c r="AL126" s="259" t="n"/>
      <c r="AM126" s="259" t="n"/>
      <c r="AN126" s="259" t="n"/>
      <c r="AO126" s="259" t="n"/>
      <c r="AP126" s="259" t="n"/>
      <c r="AQ126" s="259" t="n"/>
      <c r="AR126" s="259" t="n"/>
      <c r="AS126" s="259" t="n"/>
      <c r="AT126" s="259" t="n"/>
      <c r="AU126" s="259" t="n"/>
      <c r="AV126" s="259" t="n"/>
      <c r="AW126" s="259" t="n"/>
      <c r="AX126" s="259" t="n"/>
      <c r="AY126" s="259" t="n"/>
      <c r="AZ126" s="259" t="n"/>
      <c r="BA126" s="259" t="n"/>
      <c r="BB126" s="259" t="n"/>
      <c r="BC126" s="259" t="n"/>
      <c r="BD126" s="259" t="n"/>
      <c r="BE126" s="259" t="n"/>
      <c r="BF126" s="259" t="n"/>
      <c r="BG126" s="259" t="n"/>
      <c r="BH126" s="259" t="n"/>
      <c r="BI126" s="259" t="n"/>
      <c r="BJ126" s="259" t="n"/>
      <c r="BK126" s="259" t="n"/>
      <c r="BL126" s="259" t="n"/>
      <c r="BM126" s="259" t="n"/>
      <c r="BN126" s="259" t="n"/>
      <c r="BO126" s="259" t="n"/>
      <c r="BP126" s="259" t="n"/>
      <c r="BQ126" s="259" t="n"/>
      <c r="BR126" s="259" t="n"/>
      <c r="BS126" s="259" t="n"/>
      <c r="BT126" s="259" t="n"/>
      <c r="BU126" s="259" t="n"/>
      <c r="BV126" s="259" t="n"/>
      <c r="BW126" s="259" t="n"/>
      <c r="BX126" s="259" t="n"/>
      <c r="BY126" s="259" t="n"/>
      <c r="BZ126" s="259" t="n"/>
      <c r="CA126" s="259" t="n"/>
      <c r="CB126" s="259" t="n"/>
      <c r="CC126" s="259" t="n"/>
      <c r="CD126" s="259" t="n"/>
      <c r="CE126" s="259" t="n"/>
      <c r="CF126" s="259" t="n"/>
      <c r="CG126" s="259" t="n"/>
      <c r="CH126" s="259" t="n"/>
      <c r="CI126" s="259" t="n"/>
      <c r="CJ126" s="259" t="n"/>
      <c r="CK126" s="259" t="n"/>
      <c r="CL126" s="259" t="n"/>
      <c r="CM126" s="259" t="n"/>
      <c r="CN126" s="259" t="n"/>
      <c r="CO126" s="259" t="n"/>
      <c r="CP126" s="259" t="n"/>
      <c r="CQ126" s="259" t="n"/>
      <c r="CR126" s="259" t="n"/>
      <c r="CS126" s="259" t="n"/>
      <c r="CT126" s="259" t="n"/>
      <c r="CU126" s="259" t="n"/>
      <c r="CV126" s="259" t="n"/>
      <c r="CW126" s="259" t="n"/>
      <c r="CX126" s="259" t="n"/>
      <c r="CY126" s="259" t="n"/>
    </row>
    <row r="127" ht="11.25" customHeight="1" s="255">
      <c r="C127" s="289" t="inlineStr">
        <is>
          <t>Balance Sheet</t>
        </is>
      </c>
      <c r="D127" s="289" t="str">
        <f>D13</f>
        <v>1Q20</v>
      </c>
      <c r="E127" s="289" t="str">
        <f>E13</f>
        <v>2Q20</v>
      </c>
      <c r="F127" s="289" t="str">
        <f>F13</f>
        <v>3Q20</v>
      </c>
      <c r="G127" s="289" t="str">
        <f>G13</f>
        <v>4Q20</v>
      </c>
      <c r="H127" s="289">
        <f>H13</f>
        <v>2020</v>
      </c>
      <c r="I127" s="289" t="str">
        <f>I13</f>
        <v>1Q21</v>
      </c>
      <c r="J127" s="289" t="str">
        <f>J13</f>
        <v>2Q21</v>
      </c>
      <c r="K127" s="289" t="str">
        <f>K13</f>
        <v>3Q21</v>
      </c>
      <c r="L127" s="289" t="str">
        <f>L13</f>
        <v>4Q21</v>
      </c>
      <c r="M127" s="289">
        <f>M13</f>
        <v>2021</v>
      </c>
      <c r="N127" s="289" t="str">
        <f>N13</f>
        <v>1Q22</v>
      </c>
      <c r="O127" s="289" t="str">
        <f>O13</f>
        <v>2Q22</v>
      </c>
      <c r="P127" s="289" t="str">
        <f>P13</f>
        <v>3Q22</v>
      </c>
      <c r="Q127" s="289" t="str">
        <f>Q13</f>
        <v>4Q22</v>
      </c>
      <c r="R127" s="289">
        <f>R13</f>
        <v>2022</v>
      </c>
      <c r="S127" s="289" t="str">
        <f>S13</f>
        <v>1Q23</v>
      </c>
      <c r="T127" s="289" t="str">
        <f>T13</f>
        <v>2Q23</v>
      </c>
      <c r="U127" s="289" t="str">
        <f>U13</f>
        <v>3Q23</v>
      </c>
      <c r="V127" s="289" t="str">
        <f>V13</f>
        <v>4Q23</v>
      </c>
      <c r="W127" s="289">
        <f>W13</f>
        <v>2023</v>
      </c>
      <c r="X127" s="289" t="str">
        <f>X13</f>
        <v>1Q24</v>
      </c>
      <c r="Y127" s="289" t="str">
        <f>Y13</f>
        <v>2Q24</v>
      </c>
      <c r="Z127" s="289" t="str">
        <f>Z13</f>
        <v>3Q24</v>
      </c>
      <c r="AA127" s="289" t="str">
        <f>AA13</f>
        <v>4Q24</v>
      </c>
      <c r="AB127" s="289">
        <f>AB13</f>
        <v>2024</v>
      </c>
      <c r="AC127" s="289" t="str">
        <f>AC13</f>
        <v>1Q25</v>
      </c>
      <c r="AD127" s="289" t="str">
        <f>AD13</f>
        <v>2Q25</v>
      </c>
      <c r="AE127" s="289" t="str">
        <f>AE13</f>
        <v>3Q25</v>
      </c>
      <c r="AF127" s="289" t="str">
        <f>AF13</f>
        <v>4Q25</v>
      </c>
      <c r="AG127" s="289">
        <f>AG13</f>
        <v>2025</v>
      </c>
      <c r="AH127" s="289" t="str">
        <f>AH13</f>
        <v>1Q26</v>
      </c>
      <c r="AI127" s="289" t="str">
        <f>AI13</f>
        <v>2Q26</v>
      </c>
      <c r="AJ127" s="289" t="str">
        <f>AJ13</f>
        <v>3Q26</v>
      </c>
      <c r="AK127" s="289" t="str">
        <f>AK13</f>
        <v>4Q26</v>
      </c>
      <c r="AL127" s="289">
        <f>AL13</f>
        <v>2026</v>
      </c>
      <c r="AM127" s="289" t="str">
        <f>AM13</f>
        <v>1Q27</v>
      </c>
      <c r="AN127" s="289" t="str">
        <f>AN13</f>
        <v>2Q27</v>
      </c>
      <c r="AO127" s="289" t="str">
        <f>AO13</f>
        <v>3Q27</v>
      </c>
      <c r="AP127" s="289" t="str">
        <f>AP13</f>
        <v>4Q27</v>
      </c>
      <c r="AQ127" s="289">
        <f>AQ13</f>
        <v>2027</v>
      </c>
      <c r="AR127" s="289" t="str">
        <f>AR13</f>
        <v>1Q28</v>
      </c>
      <c r="AS127" s="289" t="str">
        <f>AS13</f>
        <v>2Q28</v>
      </c>
      <c r="AT127" s="289" t="str">
        <f>AT13</f>
        <v>3Q28</v>
      </c>
      <c r="AU127" s="289" t="str">
        <f>AU13</f>
        <v>4Q28</v>
      </c>
      <c r="AV127" s="289">
        <f>AV13</f>
        <v>2028</v>
      </c>
      <c r="AW127" s="289" t="str">
        <f>AW13</f>
        <v>1Q29</v>
      </c>
      <c r="AX127" s="289" t="str">
        <f>AX13</f>
        <v>2Q29</v>
      </c>
      <c r="AY127" s="289" t="str">
        <f>AY13</f>
        <v>3Q29</v>
      </c>
      <c r="AZ127" s="289" t="str">
        <f>AZ13</f>
        <v>4Q29</v>
      </c>
      <c r="BA127" s="289">
        <f>BA13</f>
        <v>2029</v>
      </c>
      <c r="BB127" s="289" t="str">
        <f>BB13</f>
        <v>1Q30</v>
      </c>
      <c r="BC127" s="289" t="str">
        <f>BC13</f>
        <v>2Q30</v>
      </c>
      <c r="BD127" s="289" t="str">
        <f>BD13</f>
        <v>3Q30</v>
      </c>
      <c r="BE127" s="289" t="str">
        <f>BE13</f>
        <v>4Q30</v>
      </c>
      <c r="BF127" s="289">
        <f>BF13</f>
        <v>2030</v>
      </c>
      <c r="BG127" s="289" t="str">
        <f>BG13</f>
        <v>1Q31</v>
      </c>
      <c r="BH127" s="289" t="str">
        <f>BH13</f>
        <v>2Q31</v>
      </c>
      <c r="BI127" s="289" t="str">
        <f>BI13</f>
        <v>3Q31</v>
      </c>
      <c r="BJ127" s="289" t="str">
        <f>BJ13</f>
        <v>4Q31</v>
      </c>
      <c r="BK127" s="289">
        <f>BK13</f>
        <v>2031</v>
      </c>
      <c r="BL127" s="289" t="str">
        <f>BL13</f>
        <v>1Q32</v>
      </c>
      <c r="BM127" s="289" t="str">
        <f>BM13</f>
        <v>2Q32</v>
      </c>
      <c r="BN127" s="289" t="str">
        <f>BN13</f>
        <v>3Q32</v>
      </c>
      <c r="BO127" s="289" t="str">
        <f>BO13</f>
        <v>4Q32</v>
      </c>
      <c r="BP127" s="289">
        <f>BP13</f>
        <v>2032</v>
      </c>
      <c r="BQ127" s="289" t="str">
        <f>BQ13</f>
        <v>1Q33</v>
      </c>
      <c r="BR127" s="289" t="str">
        <f>BR13</f>
        <v>2Q33</v>
      </c>
      <c r="BS127" s="289" t="str">
        <f>BS13</f>
        <v>3Q33</v>
      </c>
      <c r="BT127" s="289" t="str">
        <f>BT13</f>
        <v>4Q33</v>
      </c>
      <c r="BU127" s="289">
        <f>BU13</f>
        <v>2033</v>
      </c>
      <c r="BV127" s="289" t="str">
        <f>BV13</f>
        <v>1Q34</v>
      </c>
      <c r="BW127" s="289" t="str">
        <f>BW13</f>
        <v>2Q34</v>
      </c>
      <c r="BX127" s="289" t="str">
        <f>BX13</f>
        <v>3Q34</v>
      </c>
      <c r="BY127" s="289" t="str">
        <f>BY13</f>
        <v>4Q34</v>
      </c>
      <c r="BZ127" s="289">
        <f>BZ13</f>
        <v>2034</v>
      </c>
      <c r="CA127" s="289" t="str">
        <f>CA13</f>
        <v>1Q35</v>
      </c>
      <c r="CB127" s="289" t="str">
        <f>CB13</f>
        <v>2Q35</v>
      </c>
      <c r="CC127" s="289" t="str">
        <f>CC13</f>
        <v>3Q35</v>
      </c>
      <c r="CD127" s="289" t="str">
        <f>CD13</f>
        <v>4Q35</v>
      </c>
      <c r="CE127" s="289">
        <f>CE13</f>
        <v>2035</v>
      </c>
      <c r="CF127" s="289" t="str">
        <f>CF13</f>
        <v>1Q36</v>
      </c>
      <c r="CG127" s="289" t="str">
        <f>CG13</f>
        <v>2Q36</v>
      </c>
      <c r="CH127" s="289" t="str">
        <f>CH13</f>
        <v>3Q36</v>
      </c>
      <c r="CI127" s="289" t="str">
        <f>CI13</f>
        <v>4Q36</v>
      </c>
      <c r="CJ127" s="289">
        <f>CJ13</f>
        <v>2036</v>
      </c>
      <c r="CK127" s="289" t="str">
        <f>CK13</f>
        <v>1Q37</v>
      </c>
      <c r="CL127" s="289" t="str">
        <f>CL13</f>
        <v>2Q37</v>
      </c>
      <c r="CM127" s="289" t="str">
        <f>CM13</f>
        <v>3Q37</v>
      </c>
      <c r="CN127" s="289" t="str">
        <f>CN13</f>
        <v>4Q37</v>
      </c>
      <c r="CO127" s="289">
        <f>CO13</f>
        <v>2037</v>
      </c>
      <c r="CP127" s="289" t="str">
        <f>CP13</f>
        <v>1Q38</v>
      </c>
      <c r="CQ127" s="289" t="str">
        <f>CQ13</f>
        <v>2Q38</v>
      </c>
      <c r="CR127" s="289" t="str">
        <f>CR13</f>
        <v>3Q38</v>
      </c>
      <c r="CS127" s="289" t="str">
        <f>CS13</f>
        <v>4Q38</v>
      </c>
      <c r="CT127" s="289">
        <f>CT13</f>
        <v>2038</v>
      </c>
      <c r="CU127" s="289" t="str">
        <f>CU13</f>
        <v>1Q39</v>
      </c>
      <c r="CV127" s="289" t="str">
        <f>CV13</f>
        <v>2Q39</v>
      </c>
      <c r="CW127" s="289" t="str">
        <f>CW13</f>
        <v>3Q39</v>
      </c>
      <c r="CX127" s="289" t="str">
        <f>CX13</f>
        <v>4Q39</v>
      </c>
      <c r="CY127" s="289">
        <f>CY13</f>
        <v>2039</v>
      </c>
    </row>
    <row r="128" ht="12.75" customHeight="1" s="255">
      <c r="C128" s="274" t="n"/>
      <c r="D128" s="259" t="n"/>
      <c r="E128" s="259" t="n"/>
      <c r="F128" s="259" t="n"/>
      <c r="G128" s="259" t="n"/>
      <c r="H128" s="259" t="n"/>
      <c r="I128" s="259" t="n"/>
      <c r="J128" s="259" t="n"/>
      <c r="K128" s="259" t="n"/>
      <c r="L128" s="259" t="n"/>
      <c r="M128" s="259" t="n"/>
      <c r="N128" s="259" t="n"/>
      <c r="O128" s="259" t="n"/>
      <c r="P128" s="259" t="n"/>
      <c r="Q128" s="259" t="n"/>
      <c r="R128" s="259" t="n"/>
      <c r="S128" s="259" t="n"/>
      <c r="T128" s="259" t="n"/>
      <c r="U128" s="259" t="n"/>
      <c r="V128" s="259" t="n"/>
      <c r="W128" s="259" t="n"/>
      <c r="X128" s="259" t="n"/>
      <c r="Y128" s="259" t="n"/>
      <c r="Z128" s="259" t="n"/>
      <c r="AA128" s="259" t="n"/>
      <c r="AB128" s="259" t="n"/>
      <c r="AC128" s="259" t="n"/>
      <c r="AD128" s="259" t="n"/>
      <c r="AE128" s="259" t="n"/>
      <c r="AF128" s="259" t="n"/>
      <c r="AG128" s="259" t="n"/>
      <c r="AH128" s="259" t="n"/>
      <c r="AI128" s="259" t="n"/>
      <c r="AJ128" s="259" t="n"/>
      <c r="AK128" s="259" t="n"/>
      <c r="AL128" s="259" t="n"/>
      <c r="AM128" s="259" t="n"/>
      <c r="AN128" s="259" t="n"/>
      <c r="AO128" s="259" t="n"/>
      <c r="AP128" s="259" t="n"/>
      <c r="AQ128" s="259" t="n"/>
      <c r="AR128" s="259" t="n"/>
      <c r="AS128" s="259" t="n"/>
      <c r="AT128" s="259" t="n"/>
      <c r="AU128" s="259" t="n"/>
      <c r="AV128" s="259" t="n"/>
      <c r="AW128" s="259" t="n"/>
      <c r="AX128" s="259" t="n"/>
      <c r="AY128" s="259" t="n"/>
      <c r="AZ128" s="259" t="n"/>
      <c r="BA128" s="259" t="n"/>
      <c r="BB128" s="259" t="n"/>
      <c r="BC128" s="259" t="n"/>
      <c r="BD128" s="259" t="n"/>
      <c r="BE128" s="259" t="n"/>
      <c r="BF128" s="259" t="n"/>
      <c r="BG128" s="259" t="n"/>
      <c r="BH128" s="259" t="n"/>
      <c r="BI128" s="259" t="n"/>
      <c r="BJ128" s="259" t="n"/>
      <c r="BK128" s="259" t="n"/>
      <c r="BL128" s="259" t="n"/>
      <c r="BM128" s="259" t="n"/>
      <c r="BN128" s="259" t="n"/>
      <c r="BO128" s="259" t="n"/>
      <c r="BP128" s="259" t="n"/>
      <c r="BQ128" s="259" t="n"/>
      <c r="BR128" s="259" t="n"/>
      <c r="BS128" s="259" t="n"/>
      <c r="BT128" s="259" t="n"/>
      <c r="BU128" s="259" t="n"/>
      <c r="BV128" s="259" t="n"/>
      <c r="BW128" s="259" t="n"/>
      <c r="BX128" s="259" t="n"/>
      <c r="BY128" s="259" t="n"/>
      <c r="BZ128" s="259" t="n"/>
      <c r="CA128" s="259" t="n"/>
      <c r="CB128" s="259" t="n"/>
      <c r="CC128" s="259" t="n"/>
      <c r="CD128" s="259" t="n"/>
      <c r="CE128" s="259" t="n"/>
      <c r="CF128" s="259" t="n"/>
      <c r="CG128" s="259" t="n"/>
      <c r="CH128" s="259" t="n"/>
      <c r="CI128" s="259" t="n"/>
      <c r="CJ128" s="259" t="n"/>
      <c r="CK128" s="259" t="n"/>
      <c r="CL128" s="259" t="n"/>
      <c r="CM128" s="259" t="n"/>
      <c r="CN128" s="259" t="n"/>
      <c r="CO128" s="259" t="n"/>
      <c r="CP128" s="259" t="n"/>
      <c r="CQ128" s="259" t="n"/>
      <c r="CR128" s="259" t="n"/>
      <c r="CS128" s="259" t="n"/>
      <c r="CT128" s="259" t="n"/>
      <c r="CU128" s="259" t="n"/>
      <c r="CV128" s="259" t="n"/>
      <c r="CW128" s="259" t="n"/>
      <c r="CX128" s="259" t="n"/>
      <c r="CY128" s="259" t="n"/>
    </row>
    <row r="129" ht="12.75" customHeight="1" s="255">
      <c r="C129" s="269" t="inlineStr">
        <is>
          <t>Cash and equivalents (inc. investment securities)</t>
        </is>
      </c>
      <c r="D129" s="301">
        <f>INDEX('Inputs (2)'!$D$15:$AL$15,MATCH(D$7,'Inputs (2)'!$D$2:$AL$2,0))</f>
        <v>8715</v>
      </c>
      <c r="E129" s="301">
        <f>INDEX('Inputs (2)'!$D$15:$AL$15,MATCH(E$7,'Inputs (2)'!$D$2:$AL$2,0))</f>
        <v>11774</v>
      </c>
      <c r="F129" s="301">
        <f>INDEX('Inputs (2)'!$D$15:$AL$15,MATCH(F$7,'Inputs (2)'!$D$2:$AL$2,0))</f>
        <v>13305</v>
      </c>
      <c r="G129" s="301">
        <f>INDEX('Inputs (2)'!$D$15:$AL$15,MATCH(G$7,'Inputs (2)'!$D$2:$AL$2,0))</f>
        <v>14423</v>
      </c>
      <c r="H129" s="268">
        <f>G129</f>
        <v>14423</v>
      </c>
      <c r="I129" s="301">
        <f>INDEX('Inputs (2)'!$D$15:$AL$15,MATCH(I$7,'Inputs (2)'!$D$2:$AL$2,0))</f>
        <v>9254</v>
      </c>
      <c r="J129" s="301">
        <f>INDEX('Inputs (2)'!$D$15:$AL$15,MATCH(J$7,'Inputs (2)'!$D$2:$AL$2,0))</f>
        <v>11126</v>
      </c>
      <c r="K129" s="301">
        <f>INDEX('Inputs (2)'!$D$15:$AL$15,MATCH(K$7,'Inputs (2)'!$D$2:$AL$2,0))</f>
        <v>12175</v>
      </c>
      <c r="L129" s="301">
        <f>INDEX('Inputs (2)'!$D$15:$AL$15,MATCH(L$7,'Inputs (2)'!$D$2:$AL$2,0))</f>
        <v>13476</v>
      </c>
      <c r="M129" s="268">
        <f>L129</f>
        <v>13476</v>
      </c>
      <c r="N129" s="301">
        <f>INDEX('Inputs (2)'!$D$15:$AL$15,MATCH(N$7,'Inputs (2)'!$D$2:$AL$2,0))</f>
        <v>12296</v>
      </c>
      <c r="O129" s="301">
        <f>INDEX('Inputs (2)'!$D$15:$AL$15,MATCH(O$7,'Inputs (2)'!$D$2:$AL$2,0))</f>
        <v>11831</v>
      </c>
      <c r="P129" s="301">
        <f>INDEX('Inputs (2)'!$D$15:$AL$15,MATCH(P$7,'Inputs (2)'!$D$2:$AL$2,0))</f>
        <v>11049</v>
      </c>
      <c r="Q129" s="301">
        <f>INDEX('Inputs (2)'!$D$15:$AL$15,MATCH(Q$7,'Inputs (2)'!$D$2:$AL$2,0))</f>
        <v>11673</v>
      </c>
      <c r="R129" s="268">
        <f>Q129</f>
        <v>11673</v>
      </c>
      <c r="S129" s="301">
        <f>INDEX('Inputs (2)'!$D$15:$AL$15,MATCH(S$7,'Inputs (2)'!$D$2:$AL$2,0))</f>
        <v>13705</v>
      </c>
      <c r="T129" s="301">
        <f>INDEX('Inputs (2)'!$D$15:$AL$15,MATCH(T$7,'Inputs (2)'!$D$2:$AL$2,0))</f>
        <v>13708</v>
      </c>
      <c r="U129" s="301">
        <f>INDEX('Inputs (2)'!$D$15:$AL$15,MATCH(U$7,'Inputs (2)'!$D$2:$AL$2,0))</f>
        <v>15234</v>
      </c>
      <c r="V129" s="301">
        <f>INDEX('Inputs (2)'!$D$15:$AL$15,MATCH(V$7,'Inputs (2)'!$D$2:$AL$2,0))</f>
        <v>17864</v>
      </c>
      <c r="W129" s="268">
        <f>V129</f>
        <v>17864</v>
      </c>
      <c r="X129" s="301">
        <f>INDEX('Inputs (2)'!$D$15:$AL$15,MATCH(X$7,'Inputs (2)'!$D$2:$AL$2,0))</f>
        <v>10321</v>
      </c>
      <c r="Y129" s="301">
        <f>INDEX('Inputs (2)'!$D$15:$AL$15,MATCH(Y$7,'Inputs (2)'!$D$2:$AL$2,0))</f>
        <v>11499</v>
      </c>
      <c r="Z129" s="301">
        <f>INDEX('Inputs (2)'!$D$15:$AL$15,MATCH(Z$7,'Inputs (2)'!$D$2:$AL$2,0))</f>
        <v>11144</v>
      </c>
      <c r="AA129" s="301">
        <f>INDEX('Inputs (2)'!$D$15:$AL$15,MATCH(AA$7,'Inputs (2)'!$D$2:$AL$2,0))</f>
        <v>11827</v>
      </c>
      <c r="AB129" s="268">
        <f>AA129</f>
        <v>11827</v>
      </c>
      <c r="AC129" s="301">
        <f>INDEX('Inputs (2)'!$D$15:$AL$15,MATCH(AC$7,'Inputs (2)'!$D$2:$AL$2,0))</f>
        <v>13158</v>
      </c>
      <c r="AD129" s="301">
        <f>INDEX('Inputs (2)'!$D$15:$AL$15,MATCH(AD$7,'Inputs (2)'!$D$2:$AL$2,0))</f>
        <v>14850</v>
      </c>
      <c r="AE129" s="301">
        <f>INDEX('Inputs (2)'!$D$15:$AL$15,MATCH(AE$7,'Inputs (2)'!$D$2:$AL$2,0))</f>
        <v>15284</v>
      </c>
      <c r="AF129" s="301">
        <f>INDEX('Inputs (2)'!$D$15:$AL$15,MATCH(AF$7,'Inputs (2)'!$D$2:$AL$2,0))</f>
        <v>17183</v>
      </c>
      <c r="AG129" s="268">
        <f>AF129</f>
        <v>17183</v>
      </c>
      <c r="AH129" s="268">
        <f>INDEX('Inputs (2)'!$D$15:$AL$15,MATCH(AH$7,'Inputs (2)'!$D$2:$AL$2,0))</f>
        <v>18240</v>
      </c>
      <c r="AI129" s="268">
        <f>INDEX('Inputs (2)'!$D$15:$AL$15,MATCH(AI$7,'Inputs (2)'!$D$2:$AL$2,0))</f>
        <v>19996</v>
      </c>
      <c r="AJ129" s="268">
        <f>AI129+AJ299</f>
        <v>12783</v>
      </c>
      <c r="AK129" s="268">
        <f>AJ129+AK299</f>
        <v>12938</v>
      </c>
      <c r="AL129" s="268">
        <f>AK129</f>
        <v>12938</v>
      </c>
      <c r="AM129" s="268" t="e">
        <f>AL129+AM299</f>
        <v>#DIV/0!</v>
      </c>
      <c r="AN129" s="268" t="e">
        <f>AM129+AN299</f>
        <v>#DIV/0!</v>
      </c>
      <c r="AO129" s="268" t="e">
        <f>AN129+AO299</f>
        <v>#DIV/0!</v>
      </c>
      <c r="AP129" s="268" t="e">
        <f>AO129+AP299</f>
        <v>#DIV/0!</v>
      </c>
      <c r="AQ129" s="268" t="e">
        <f>AP129</f>
        <v>#DIV/0!</v>
      </c>
      <c r="AR129" s="268" t="e">
        <f>AQ129+AR299</f>
        <v>#DIV/0!</v>
      </c>
      <c r="AS129" s="268" t="e">
        <f>AR129+AS299</f>
        <v>#DIV/0!</v>
      </c>
      <c r="AT129" s="268" t="e">
        <f>AS129+AT299</f>
        <v>#DIV/0!</v>
      </c>
      <c r="AU129" s="268" t="e">
        <f>AT129+AU299</f>
        <v>#DIV/0!</v>
      </c>
      <c r="AV129" s="268" t="e">
        <f>AU129</f>
        <v>#DIV/0!</v>
      </c>
      <c r="AW129" s="268" t="e">
        <f>AV129+AW299</f>
        <v>#DIV/0!</v>
      </c>
      <c r="AX129" s="268" t="e">
        <f>AW129+AX299</f>
        <v>#DIV/0!</v>
      </c>
      <c r="AY129" s="268" t="e">
        <f>AX129+AY299</f>
        <v>#DIV/0!</v>
      </c>
      <c r="AZ129" s="268" t="e">
        <f>AY129+AZ299</f>
        <v>#DIV/0!</v>
      </c>
      <c r="BA129" s="268" t="e">
        <f>AZ129</f>
        <v>#DIV/0!</v>
      </c>
      <c r="BB129" s="268" t="e">
        <f>BA129+BB299</f>
        <v>#DIV/0!</v>
      </c>
      <c r="BC129" s="268" t="e">
        <f>BB129+BC299</f>
        <v>#DIV/0!</v>
      </c>
      <c r="BD129" s="268" t="e">
        <f>BC129+BD299</f>
        <v>#DIV/0!</v>
      </c>
      <c r="BE129" s="268" t="e">
        <f>BD129+BE299</f>
        <v>#DIV/0!</v>
      </c>
      <c r="BF129" s="268" t="e">
        <f>BE129</f>
        <v>#DIV/0!</v>
      </c>
      <c r="BG129" s="268" t="e">
        <f>BF129+BG299</f>
        <v>#DIV/0!</v>
      </c>
      <c r="BH129" s="268" t="e">
        <f>BG129+BH299</f>
        <v>#DIV/0!</v>
      </c>
      <c r="BI129" s="268" t="e">
        <f>BH129+BI299</f>
        <v>#DIV/0!</v>
      </c>
      <c r="BJ129" s="268" t="e">
        <f>BI129+BJ299</f>
        <v>#DIV/0!</v>
      </c>
      <c r="BK129" s="268" t="e">
        <f>BJ129</f>
        <v>#DIV/0!</v>
      </c>
      <c r="BL129" s="268" t="e">
        <f>BK129+BL299</f>
        <v>#DIV/0!</v>
      </c>
      <c r="BM129" s="268" t="e">
        <f>BL129+BM299</f>
        <v>#DIV/0!</v>
      </c>
      <c r="BN129" s="268" t="e">
        <f>BM129+BN299</f>
        <v>#DIV/0!</v>
      </c>
      <c r="BO129" s="268" t="e">
        <f>BN129+BO299</f>
        <v>#DIV/0!</v>
      </c>
      <c r="BP129" s="268" t="e">
        <f>BO129</f>
        <v>#DIV/0!</v>
      </c>
      <c r="BQ129" s="268" t="e">
        <f>BP129+BQ299</f>
        <v>#DIV/0!</v>
      </c>
      <c r="BR129" s="268" t="e">
        <f>BQ129+BR299</f>
        <v>#DIV/0!</v>
      </c>
      <c r="BS129" s="268" t="e">
        <f>BR129+BS299</f>
        <v>#DIV/0!</v>
      </c>
      <c r="BT129" s="268" t="e">
        <f>BS129+BT299</f>
        <v>#DIV/0!</v>
      </c>
      <c r="BU129" s="268" t="e">
        <f>BT129</f>
        <v>#DIV/0!</v>
      </c>
      <c r="BV129" s="268" t="e">
        <f>BU129+BV299</f>
        <v>#DIV/0!</v>
      </c>
      <c r="BW129" s="268" t="e">
        <f>BV129+BW299</f>
        <v>#DIV/0!</v>
      </c>
      <c r="BX129" s="268" t="e">
        <f>BW129+BX299</f>
        <v>#DIV/0!</v>
      </c>
      <c r="BY129" s="268" t="e">
        <f>BX129+BY299</f>
        <v>#DIV/0!</v>
      </c>
      <c r="BZ129" s="268" t="e">
        <f>BY129</f>
        <v>#DIV/0!</v>
      </c>
      <c r="CA129" s="268" t="e">
        <f>BZ129+CA299</f>
        <v>#DIV/0!</v>
      </c>
      <c r="CB129" s="268" t="e">
        <f>CA129+CB299</f>
        <v>#DIV/0!</v>
      </c>
      <c r="CC129" s="268" t="e">
        <f>CB129+CC299</f>
        <v>#DIV/0!</v>
      </c>
      <c r="CD129" s="268" t="e">
        <f>CC129+CD299</f>
        <v>#DIV/0!</v>
      </c>
      <c r="CE129" s="268" t="e">
        <f>CD129</f>
        <v>#DIV/0!</v>
      </c>
      <c r="CF129" s="268" t="e">
        <f>CE129+CF299</f>
        <v>#DIV/0!</v>
      </c>
      <c r="CG129" s="268" t="e">
        <f>CF129+CG299</f>
        <v>#DIV/0!</v>
      </c>
      <c r="CH129" s="268" t="e">
        <f>CG129+CH299</f>
        <v>#DIV/0!</v>
      </c>
      <c r="CI129" s="268" t="e">
        <f>CH129+CI299</f>
        <v>#DIV/0!</v>
      </c>
      <c r="CJ129" s="268" t="e">
        <f>CI129</f>
        <v>#DIV/0!</v>
      </c>
      <c r="CK129" s="268" t="e">
        <f>CJ129+CK299</f>
        <v>#DIV/0!</v>
      </c>
      <c r="CL129" s="268" t="e">
        <f>CK129+CL299</f>
        <v>#DIV/0!</v>
      </c>
      <c r="CM129" s="268" t="e">
        <f>CL129+CM299</f>
        <v>#DIV/0!</v>
      </c>
      <c r="CN129" s="268" t="e">
        <f>CM129+CN299</f>
        <v>#DIV/0!</v>
      </c>
      <c r="CO129" s="268" t="e">
        <f>CN129</f>
        <v>#DIV/0!</v>
      </c>
      <c r="CP129" s="268" t="e">
        <f>CO129+CP299</f>
        <v>#DIV/0!</v>
      </c>
      <c r="CQ129" s="268" t="e">
        <f>CP129+CQ299</f>
        <v>#DIV/0!</v>
      </c>
      <c r="CR129" s="268" t="e">
        <f>CQ129+CR299</f>
        <v>#DIV/0!</v>
      </c>
      <c r="CS129" s="268" t="e">
        <f>CR129+CS299</f>
        <v>#DIV/0!</v>
      </c>
      <c r="CT129" s="268" t="e">
        <f>CS129</f>
        <v>#DIV/0!</v>
      </c>
      <c r="CU129" s="268" t="e">
        <f>CT129+CU299</f>
        <v>#DIV/0!</v>
      </c>
      <c r="CV129" s="268" t="e">
        <f>CU129+CV299</f>
        <v>#DIV/0!</v>
      </c>
      <c r="CW129" s="268" t="e">
        <f>CV129+CW299</f>
        <v>#DIV/0!</v>
      </c>
      <c r="CX129" s="268" t="e">
        <f>CW129+CX299</f>
        <v>#DIV/0!</v>
      </c>
      <c r="CY129" s="268" t="e">
        <f>CX129</f>
        <v>#DIV/0!</v>
      </c>
    </row>
    <row r="130" ht="12.75" customHeight="1" s="255">
      <c r="C130" s="270" t="inlineStr">
        <is>
          <t>Accounts receivable</t>
        </is>
      </c>
      <c r="D130" s="301">
        <f>INDEX('Inputs (2)'!$D$16:$AL$16,MATCH(D$7,'Inputs (2)'!$D$2:$AL$2,0))</f>
        <v>1988</v>
      </c>
      <c r="E130" s="301">
        <f>INDEX('Inputs (2)'!$D$16:$AL$16,MATCH(E$7,'Inputs (2)'!$D$2:$AL$2,0))</f>
        <v>1507</v>
      </c>
      <c r="F130" s="301">
        <f>INDEX('Inputs (2)'!$D$16:$AL$16,MATCH(F$7,'Inputs (2)'!$D$2:$AL$2,0))</f>
        <v>1550</v>
      </c>
      <c r="G130" s="301">
        <f>INDEX('Inputs (2)'!$D$16:$AL$16,MATCH(G$7,'Inputs (2)'!$D$2:$AL$2,0))</f>
        <v>1646</v>
      </c>
      <c r="H130" s="268">
        <f>G130</f>
        <v>1646</v>
      </c>
      <c r="I130" s="301">
        <f>INDEX('Inputs (2)'!$D$16:$AL$16,MATCH(I$7,'Inputs (2)'!$D$2:$AL$2,0))</f>
        <v>1934</v>
      </c>
      <c r="J130" s="301">
        <f>INDEX('Inputs (2)'!$D$16:$AL$16,MATCH(J$7,'Inputs (2)'!$D$2:$AL$2,0))</f>
        <v>1595</v>
      </c>
      <c r="K130" s="301">
        <f>INDEX('Inputs (2)'!$D$16:$AL$16,MATCH(K$7,'Inputs (2)'!$D$2:$AL$2,0))</f>
        <v>1803</v>
      </c>
      <c r="L130" s="301">
        <f>INDEX('Inputs (2)'!$D$16:$AL$16,MATCH(L$7,'Inputs (2)'!$D$2:$AL$2,0))</f>
        <v>1932</v>
      </c>
      <c r="M130" s="268">
        <f>L130</f>
        <v>1932</v>
      </c>
      <c r="N130" s="301">
        <f>INDEX('Inputs (2)'!$D$16:$AL$16,MATCH(N$7,'Inputs (2)'!$D$2:$AL$2,0))</f>
        <v>2232</v>
      </c>
      <c r="O130" s="301">
        <f>INDEX('Inputs (2)'!$D$16:$AL$16,MATCH(O$7,'Inputs (2)'!$D$2:$AL$2,0))</f>
        <v>1991</v>
      </c>
      <c r="P130" s="301">
        <f>INDEX('Inputs (2)'!$D$16:$AL$16,MATCH(P$7,'Inputs (2)'!$D$2:$AL$2,0))</f>
        <v>2241</v>
      </c>
      <c r="Q130" s="301">
        <f>INDEX('Inputs (2)'!$D$16:$AL$16,MATCH(Q$7,'Inputs (2)'!$D$2:$AL$2,0))</f>
        <v>2312</v>
      </c>
      <c r="R130" s="268">
        <f>Q130</f>
        <v>2312</v>
      </c>
      <c r="S130" s="301">
        <f>INDEX('Inputs (2)'!$D$16:$AL$16,MATCH(S$7,'Inputs (2)'!$D$2:$AL$2,0))</f>
        <v>2714</v>
      </c>
      <c r="T130" s="301">
        <f>INDEX('Inputs (2)'!$D$16:$AL$16,MATCH(T$7,'Inputs (2)'!$D$2:$AL$2,0))</f>
        <v>2502</v>
      </c>
      <c r="U130" s="301">
        <f>INDEX('Inputs (2)'!$D$16:$AL$16,MATCH(U$7,'Inputs (2)'!$D$2:$AL$2,0))</f>
        <v>2285</v>
      </c>
      <c r="V130" s="301">
        <f>INDEX('Inputs (2)'!$D$16:$AL$16,MATCH(V$7,'Inputs (2)'!$D$2:$AL$2,0))</f>
        <v>2542</v>
      </c>
      <c r="W130" s="268">
        <f>V130</f>
        <v>2542</v>
      </c>
      <c r="X130" s="301">
        <f>INDEX('Inputs (2)'!$D$16:$AL$16,MATCH(X$7,'Inputs (2)'!$D$2:$AL$2,0))</f>
        <v>2779</v>
      </c>
      <c r="Y130" s="301">
        <f>INDEX('Inputs (2)'!$D$16:$AL$16,MATCH(Y$7,'Inputs (2)'!$D$2:$AL$2,0))</f>
        <v>2583</v>
      </c>
      <c r="Z130" s="301">
        <f>INDEX('Inputs (2)'!$D$16:$AL$16,MATCH(Z$7,'Inputs (2)'!$D$2:$AL$2,0))</f>
        <v>2721</v>
      </c>
      <c r="AA130" s="301">
        <f>INDEX('Inputs (2)'!$D$16:$AL$16,MATCH(AA$7,'Inputs (2)'!$D$2:$AL$2,0))</f>
        <v>2963</v>
      </c>
      <c r="AB130" s="268">
        <f>AA130</f>
        <v>2963</v>
      </c>
      <c r="AC130" s="301">
        <f>INDEX('Inputs (2)'!$D$16:$AL$16,MATCH(AC$7,'Inputs (2)'!$D$2:$AL$2,0))</f>
        <v>3060</v>
      </c>
      <c r="AD130" s="301">
        <f>INDEX('Inputs (2)'!$D$16:$AL$16,MATCH(AD$7,'Inputs (2)'!$D$2:$AL$2,0))</f>
        <v>2875</v>
      </c>
      <c r="AE130" s="301">
        <f>INDEX('Inputs (2)'!$D$16:$AL$16,MATCH(AE$7,'Inputs (2)'!$D$2:$AL$2,0))</f>
        <v>3203</v>
      </c>
      <c r="AF130" s="301">
        <f>INDEX('Inputs (2)'!$D$16:$AL$16,MATCH(AF$7,'Inputs (2)'!$D$2:$AL$2,0))</f>
        <v>3231</v>
      </c>
      <c r="AG130" s="268">
        <f>AF130</f>
        <v>3231</v>
      </c>
      <c r="AH130" s="268">
        <f>INDEX('Inputs (2)'!$D$16:$AL$16,MATCH(AH$7,'Inputs (2)'!$D$2:$AL$2,0))</f>
        <v>3782</v>
      </c>
      <c r="AI130" s="268">
        <f>INDEX('Inputs (2)'!$D$16:$AL$16,MATCH(AI$7,'Inputs (2)'!$D$2:$AL$2,0))</f>
        <v>3750</v>
      </c>
      <c r="AJ130" s="268">
        <f>(AJ131/(AJ$5-AI$5))*AJ$15</f>
        <v>0</v>
      </c>
      <c r="AK130" s="268">
        <f>(AK131/(AK$5-AJ$5))*AK$15</f>
        <v>0</v>
      </c>
      <c r="AL130" s="268">
        <f>AK130</f>
        <v>0</v>
      </c>
      <c r="AM130" s="268">
        <f>(AM131/(AM$5-AL$5))*AM$15</f>
        <v>0</v>
      </c>
      <c r="AN130" s="268">
        <f>(AN131/(AN$5-AM$5))*AN$15</f>
        <v>0</v>
      </c>
      <c r="AO130" s="268">
        <f>(AO131/(AO$5-AN$5))*AO$15</f>
        <v>0</v>
      </c>
      <c r="AP130" s="268">
        <f>(AP131/(AP$5-AO$5))*AP$15</f>
        <v>0</v>
      </c>
      <c r="AQ130" s="268">
        <f>AP130</f>
        <v>0</v>
      </c>
      <c r="AR130" s="268">
        <f>(AR131/(AR$5-AQ$5))*AR$15</f>
        <v>0</v>
      </c>
      <c r="AS130" s="268">
        <f>(AS131/(AS$5-AR$5))*AS$15</f>
        <v>0</v>
      </c>
      <c r="AT130" s="268">
        <f>(AT131/(AT$5-AS$5))*AT$15</f>
        <v>0</v>
      </c>
      <c r="AU130" s="268">
        <f>(AU131/(AU$5-AT$5))*AU$15</f>
        <v>0</v>
      </c>
      <c r="AV130" s="268">
        <f>AU130</f>
        <v>0</v>
      </c>
      <c r="AW130" s="268">
        <f>(AW131/(AW$5-AV$5))*AW$15</f>
        <v>0</v>
      </c>
      <c r="AX130" s="268">
        <f>(AX131/(AX$5-AW$5))*AX$15</f>
        <v>0</v>
      </c>
      <c r="AY130" s="268">
        <f>(AY131/(AY$5-AX$5))*AY$15</f>
        <v>0</v>
      </c>
      <c r="AZ130" s="268">
        <f>(AZ131/(AZ$5-AY$5))*AZ$15</f>
        <v>0</v>
      </c>
      <c r="BA130" s="268">
        <f>AZ130</f>
        <v>0</v>
      </c>
      <c r="BB130" s="268">
        <f>(BB131/(BB$5-BA$5))*BB$15</f>
        <v>0</v>
      </c>
      <c r="BC130" s="268">
        <f>(BC131/(BC$5-BB$5))*BC$15</f>
        <v>0</v>
      </c>
      <c r="BD130" s="268">
        <f>(BD131/(BD$5-BC$5))*BD$15</f>
        <v>0</v>
      </c>
      <c r="BE130" s="268">
        <f>(BE131/(BE$5-BD$5))*BE$15</f>
        <v>0</v>
      </c>
      <c r="BF130" s="268">
        <f>BE130</f>
        <v>0</v>
      </c>
      <c r="BG130" s="268">
        <f>(BG131/(BG$5-BF$5))*BG$15</f>
        <v>0</v>
      </c>
      <c r="BH130" s="268">
        <f>(BH131/(BH$5-BG$5))*BH$15</f>
        <v>0</v>
      </c>
      <c r="BI130" s="268">
        <f>(BI131/(BI$5-BH$5))*BI$15</f>
        <v>0</v>
      </c>
      <c r="BJ130" s="268">
        <f>(BJ131/(BJ$5-BI$5))*BJ$15</f>
        <v>0</v>
      </c>
      <c r="BK130" s="268">
        <f>BJ130</f>
        <v>0</v>
      </c>
      <c r="BL130" s="268">
        <f>(BL131/(BL$5-BK$5))*BL$15</f>
        <v>0</v>
      </c>
      <c r="BM130" s="268">
        <f>(BM131/(BM$5-BL$5))*BM$15</f>
        <v>0</v>
      </c>
      <c r="BN130" s="268">
        <f>(BN131/(BN$5-BM$5))*BN$15</f>
        <v>0</v>
      </c>
      <c r="BO130" s="268">
        <f>(BO131/(BO$5-BN$5))*BO$15</f>
        <v>0</v>
      </c>
      <c r="BP130" s="268">
        <f>BO130</f>
        <v>0</v>
      </c>
      <c r="BQ130" s="268">
        <f>(BQ131/(BQ$5-BP$5))*BQ$15</f>
        <v>0</v>
      </c>
      <c r="BR130" s="268">
        <f>(BR131/(BR$5-BQ$5))*BR$15</f>
        <v>0</v>
      </c>
      <c r="BS130" s="268">
        <f>(BS131/(BS$5-BR$5))*BS$15</f>
        <v>0</v>
      </c>
      <c r="BT130" s="268">
        <f>(BT131/(BT$5-BS$5))*BT$15</f>
        <v>0</v>
      </c>
      <c r="BU130" s="268">
        <f>BT130</f>
        <v>0</v>
      </c>
      <c r="BV130" s="268">
        <f>(BV131/(BV$5-BU$5))*BV$15</f>
        <v>0</v>
      </c>
      <c r="BW130" s="268">
        <f>(BW131/(BW$5-BV$5))*BW$15</f>
        <v>0</v>
      </c>
      <c r="BX130" s="268">
        <f>(BX131/(BX$5-BW$5))*BX$15</f>
        <v>0</v>
      </c>
      <c r="BY130" s="268">
        <f>(BY131/(BY$5-BX$5))*BY$15</f>
        <v>0</v>
      </c>
      <c r="BZ130" s="268">
        <f>BY130</f>
        <v>0</v>
      </c>
      <c r="CA130" s="268">
        <f>(CA131/(CA$5-BZ$5))*CA$15</f>
        <v>0</v>
      </c>
      <c r="CB130" s="268">
        <f>(CB131/(CB$5-CA$5))*CB$15</f>
        <v>0</v>
      </c>
      <c r="CC130" s="268">
        <f>(CC131/(CC$5-CB$5))*CC$15</f>
        <v>0</v>
      </c>
      <c r="CD130" s="268">
        <f>(CD131/(CD$5-CC$5))*CD$15</f>
        <v>0</v>
      </c>
      <c r="CE130" s="268">
        <f>CD130</f>
        <v>0</v>
      </c>
      <c r="CF130" s="268">
        <f>(CF131/(CF$5-CE$5))*CF$15</f>
        <v>0</v>
      </c>
      <c r="CG130" s="268">
        <f>(CG131/(CG$5-CF$5))*CG$15</f>
        <v>0</v>
      </c>
      <c r="CH130" s="268">
        <f>(CH131/(CH$5-CG$5))*CH$15</f>
        <v>0</v>
      </c>
      <c r="CI130" s="268">
        <f>(CI131/(CI$5-CH$5))*CI$15</f>
        <v>0</v>
      </c>
      <c r="CJ130" s="268">
        <f>CI130</f>
        <v>0</v>
      </c>
      <c r="CK130" s="268">
        <f>(CK131/(CK$5-CJ$5))*CK$15</f>
        <v>0</v>
      </c>
      <c r="CL130" s="268">
        <f>(CL131/(CL$5-CK$5))*CL$15</f>
        <v>0</v>
      </c>
      <c r="CM130" s="268">
        <f>(CM131/(CM$5-CL$5))*CM$15</f>
        <v>0</v>
      </c>
      <c r="CN130" s="268">
        <f>(CN131/(CN$5-CM$5))*CN$15</f>
        <v>0</v>
      </c>
      <c r="CO130" s="268">
        <f>CN130</f>
        <v>0</v>
      </c>
      <c r="CP130" s="268">
        <f>(CP131/(CP$5-CO$5))*CP$15</f>
        <v>0</v>
      </c>
      <c r="CQ130" s="268">
        <f>(CQ131/(CQ$5-CP$5))*CQ$15</f>
        <v>0</v>
      </c>
      <c r="CR130" s="268">
        <f>(CR131/(CR$5-CQ$5))*CR$15</f>
        <v>0</v>
      </c>
      <c r="CS130" s="268">
        <f>(CS131/(CS$5-CR$5))*CS$15</f>
        <v>0</v>
      </c>
      <c r="CT130" s="268">
        <f>CS130</f>
        <v>0</v>
      </c>
      <c r="CU130" s="268">
        <f>(CU131/(CU$5-CT$5))*CU$15</f>
        <v>0</v>
      </c>
      <c r="CV130" s="268">
        <f>(CV131/(CV$5-CU$5))*CV$15</f>
        <v>0</v>
      </c>
      <c r="CW130" s="268">
        <f>(CW131/(CW$5-CV$5))*CW$15</f>
        <v>0</v>
      </c>
      <c r="CX130" s="268">
        <f>(CX131/(CX$5-CW$5))*CX$15</f>
        <v>0</v>
      </c>
      <c r="CY130" s="268">
        <f>CX130</f>
        <v>0</v>
      </c>
    </row>
    <row r="131" hidden="1" outlineLevel="1" ht="12.75" customHeight="1" s="255">
      <c r="C131" s="312" t="inlineStr">
        <is>
          <t>DSO</t>
        </is>
      </c>
      <c r="D131" s="268" t="n"/>
      <c r="E131" s="268">
        <f>(E130/E$15)*(E$5-D$5)</f>
        <v>3.67994955187034</v>
      </c>
      <c r="F131" s="268">
        <f>(F130/F$15)*(F$5-E$5)</f>
        <v>2.6712623869022</v>
      </c>
      <c r="G131" s="268">
        <f>(G130/G$15)*(G$5-F$5)</f>
        <v>3.50472134789854</v>
      </c>
      <c r="H131" s="268" t="n"/>
      <c r="I131" s="268">
        <f>(I130/I$15)*(I$5-H$5)</f>
        <v>3.88795818535147</v>
      </c>
      <c r="J131" s="268">
        <f>(J130/J$15)*(J$5-I$5)</f>
        <v>3.20571150915476</v>
      </c>
      <c r="K131" s="268">
        <f>(K130/K$15)*(K$5-J$5)</f>
        <v>2.64660550458716</v>
      </c>
      <c r="L131" s="268">
        <f>(L130/L$15)*(L$5-K$5)</f>
        <v>3.52925758989735</v>
      </c>
      <c r="M131" s="268" t="n"/>
      <c r="N131" s="268">
        <f>(N130/N$15)*(N$5-M$5)</f>
        <v>3.87022194821208</v>
      </c>
      <c r="O131" s="268">
        <f>(O130/O$15)*(O$5-N$5)</f>
        <v>3.44476766294015</v>
      </c>
      <c r="P131" s="268">
        <f>(P130/P$15)*(P$5-O$5)</f>
        <v>2.85988542259089</v>
      </c>
      <c r="Q131" s="268">
        <f>(Q130/Q$15)*(Q$5-P$5)</f>
        <v>3.90734243253669</v>
      </c>
      <c r="R131" s="268" t="n"/>
      <c r="S131" s="268">
        <f>(S130/S$15)*(S$5-R$5)</f>
        <v>4.41971555748562</v>
      </c>
      <c r="T131" s="268">
        <f>(T130/T$15)*(T$5-S$5)</f>
        <v>4.24399791231733</v>
      </c>
      <c r="U131" s="268">
        <f>(U130/U$15)*(U$5-T$5)</f>
        <v>2.66306895197558</v>
      </c>
      <c r="V131" s="268">
        <f>(V130/V$15)*(V$5-U$5)</f>
        <v>4.04615996816554</v>
      </c>
      <c r="W131" s="268" t="n"/>
      <c r="X131" s="268">
        <f>(X130/X$15)*(X$5-W$5)</f>
        <v>4.32717908353581</v>
      </c>
      <c r="Y131" s="268">
        <f>(Y130/Y$15)*(Y$5-X$5)</f>
        <v>4.01697000769034</v>
      </c>
      <c r="Z131" s="268">
        <f>(Z130/Z$15)*(Z$5-Y$5)</f>
        <v>3.14104671443091</v>
      </c>
      <c r="AA131" s="268">
        <f>(AA130/AA$15)*(AA$5-Z$5)</f>
        <v>4.38602757799553</v>
      </c>
      <c r="AB131" s="268" t="n"/>
      <c r="AC131" s="268">
        <f>(AC130/AC$15)*(AC$5-AB$5)</f>
        <v>4.3218304222965</v>
      </c>
      <c r="AD131" s="268">
        <f>(AD130/AD$15)*(AD$5-AC$5)</f>
        <v>4.13930859900324</v>
      </c>
      <c r="AE131" s="268">
        <f>(AE130/AE$15)*(AE$5-AD$5)</f>
        <v>3.42026092204838</v>
      </c>
      <c r="AF131" s="267">
        <f>(AF130/AF$15)*(AF$5-AE$5)</f>
        <v>4.41636085399736</v>
      </c>
      <c r="AG131" s="268" t="n"/>
      <c r="AH131" s="267">
        <f>(AH130/AH$15)*(AH$5-AG$5)</f>
        <v>4.89072804862279</v>
      </c>
      <c r="AI131" s="267">
        <f>(AI130/AI$15)*(AI$5-AH$5)</f>
        <v>4.83857246161045</v>
      </c>
      <c r="AJ131" s="267" t="n"/>
      <c r="AK131" s="267" t="n"/>
      <c r="AL131" s="268" t="n"/>
      <c r="AM131" s="267" t="n"/>
      <c r="AN131" s="267" t="n"/>
      <c r="AO131" s="267" t="n"/>
      <c r="AP131" s="267" t="n"/>
      <c r="AQ131" s="268" t="n"/>
      <c r="AR131" s="267" t="n"/>
      <c r="AS131" s="267" t="n"/>
      <c r="AT131" s="267" t="n"/>
      <c r="AU131" s="267" t="n"/>
      <c r="AV131" s="268" t="n"/>
      <c r="AW131" s="267" t="n"/>
      <c r="AX131" s="267" t="n"/>
      <c r="AY131" s="267" t="n"/>
      <c r="AZ131" s="267" t="n"/>
      <c r="BA131" s="268" t="n"/>
      <c r="BB131" s="267" t="n"/>
      <c r="BC131" s="267" t="n"/>
      <c r="BD131" s="267" t="n"/>
      <c r="BE131" s="267" t="n"/>
      <c r="BF131" s="268" t="n"/>
      <c r="BG131" s="267" t="n"/>
      <c r="BH131" s="267" t="n"/>
      <c r="BI131" s="267" t="n"/>
      <c r="BJ131" s="267" t="n"/>
      <c r="BK131" s="268" t="n"/>
      <c r="BL131" s="267" t="n"/>
      <c r="BM131" s="267" t="n"/>
      <c r="BN131" s="267" t="n"/>
      <c r="BO131" s="267" t="n"/>
      <c r="BP131" s="268" t="n"/>
      <c r="BQ131" s="267" t="n"/>
      <c r="BR131" s="267" t="n"/>
      <c r="BS131" s="267" t="n"/>
      <c r="BT131" s="267" t="n"/>
      <c r="BU131" s="268" t="n"/>
      <c r="BV131" s="267" t="n"/>
      <c r="BW131" s="267" t="n"/>
      <c r="BX131" s="267" t="n"/>
      <c r="BY131" s="267" t="n"/>
      <c r="BZ131" s="268" t="n"/>
      <c r="CA131" s="267" t="n"/>
      <c r="CB131" s="267" t="n"/>
      <c r="CC131" s="267" t="n"/>
      <c r="CD131" s="267" t="n"/>
      <c r="CE131" s="268" t="n"/>
      <c r="CF131" s="267" t="n"/>
      <c r="CG131" s="267" t="n"/>
      <c r="CH131" s="267" t="n"/>
      <c r="CI131" s="267" t="n"/>
      <c r="CJ131" s="268" t="n"/>
      <c r="CK131" s="267" t="n"/>
      <c r="CL131" s="267" t="n"/>
      <c r="CM131" s="267" t="n"/>
      <c r="CN131" s="267" t="n"/>
      <c r="CO131" s="268" t="n"/>
      <c r="CP131" s="267" t="n"/>
      <c r="CQ131" s="267" t="n"/>
      <c r="CR131" s="267" t="n"/>
      <c r="CS131" s="267" t="n"/>
      <c r="CT131" s="268" t="n"/>
      <c r="CU131" s="267" t="n"/>
      <c r="CV131" s="267" t="n"/>
      <c r="CW131" s="267" t="n"/>
      <c r="CX131" s="267" t="n"/>
      <c r="CY131" s="268" t="n"/>
    </row>
    <row r="132" hidden="1" outlineLevel="1" ht="12.75" customHeight="1" s="255">
      <c r="C132" s="312" t="n"/>
      <c r="D132" s="268" t="n"/>
      <c r="E132" s="268" t="n"/>
      <c r="F132" s="268" t="n"/>
      <c r="G132" s="268" t="n"/>
      <c r="H132" s="268" t="n"/>
      <c r="I132" s="268" t="n"/>
      <c r="J132" s="268" t="n"/>
      <c r="K132" s="268" t="n"/>
      <c r="L132" s="268" t="n"/>
      <c r="M132" s="268" t="n"/>
      <c r="N132" s="268" t="n"/>
      <c r="O132" s="268" t="n"/>
      <c r="P132" s="268" t="n"/>
      <c r="Q132" s="268" t="n"/>
      <c r="R132" s="268" t="n"/>
      <c r="S132" s="268" t="n"/>
      <c r="T132" s="268" t="n"/>
      <c r="U132" s="268" t="n"/>
      <c r="V132" s="268" t="n"/>
      <c r="W132" s="268" t="n"/>
      <c r="X132" s="268" t="n"/>
      <c r="Y132" s="268" t="n"/>
      <c r="Z132" s="268" t="n"/>
      <c r="AA132" s="268" t="n"/>
      <c r="AB132" s="268" t="n"/>
      <c r="AC132" s="268" t="n"/>
      <c r="AD132" s="268" t="n"/>
      <c r="AE132" s="268" t="n"/>
      <c r="AF132" s="268" t="n"/>
      <c r="AG132" s="268" t="n"/>
      <c r="AH132" s="268" t="n"/>
      <c r="AI132" s="268" t="n"/>
      <c r="AJ132" s="268" t="n"/>
      <c r="AK132" s="268" t="n"/>
      <c r="AL132" s="268" t="n"/>
      <c r="AM132" s="268" t="n"/>
      <c r="AN132" s="268" t="n"/>
      <c r="AO132" s="268" t="n"/>
      <c r="AP132" s="268" t="n"/>
      <c r="AQ132" s="268" t="n"/>
      <c r="AR132" s="268" t="n"/>
      <c r="AS132" s="268" t="n"/>
      <c r="AT132" s="268" t="n"/>
      <c r="AU132" s="268" t="n"/>
      <c r="AV132" s="268" t="n"/>
      <c r="AW132" s="268" t="n"/>
      <c r="AX132" s="268" t="n"/>
      <c r="AY132" s="268" t="n"/>
      <c r="AZ132" s="268" t="n"/>
      <c r="BA132" s="268" t="n"/>
      <c r="BB132" s="268" t="n"/>
      <c r="BC132" s="268" t="n"/>
      <c r="BD132" s="268" t="n"/>
      <c r="BE132" s="268" t="n"/>
      <c r="BF132" s="268" t="n"/>
      <c r="BG132" s="268" t="n"/>
      <c r="BH132" s="268" t="n"/>
      <c r="BI132" s="268" t="n"/>
      <c r="BJ132" s="268" t="n"/>
      <c r="BK132" s="268" t="n"/>
      <c r="BL132" s="268" t="n"/>
      <c r="BM132" s="268" t="n"/>
      <c r="BN132" s="268" t="n"/>
      <c r="BO132" s="268" t="n"/>
      <c r="BP132" s="268" t="n"/>
      <c r="BQ132" s="268" t="n"/>
      <c r="BR132" s="268" t="n"/>
      <c r="BS132" s="268" t="n"/>
      <c r="BT132" s="268" t="n"/>
      <c r="BU132" s="268" t="n"/>
      <c r="BV132" s="268" t="n"/>
      <c r="BW132" s="268" t="n"/>
      <c r="BX132" s="268" t="n"/>
      <c r="BY132" s="268" t="n"/>
      <c r="BZ132" s="268" t="n"/>
      <c r="CA132" s="268" t="n"/>
      <c r="CB132" s="268" t="n"/>
      <c r="CC132" s="268" t="n"/>
      <c r="CD132" s="268" t="n"/>
      <c r="CE132" s="268" t="n"/>
      <c r="CF132" s="268" t="n"/>
      <c r="CG132" s="268" t="n"/>
      <c r="CH132" s="268" t="n"/>
      <c r="CI132" s="268" t="n"/>
      <c r="CJ132" s="268" t="n"/>
      <c r="CK132" s="268" t="n"/>
      <c r="CL132" s="268" t="n"/>
      <c r="CM132" s="268" t="n"/>
      <c r="CN132" s="268" t="n"/>
      <c r="CO132" s="268" t="n"/>
      <c r="CP132" s="268" t="n"/>
      <c r="CQ132" s="268" t="n"/>
      <c r="CR132" s="268" t="n"/>
      <c r="CS132" s="268" t="n"/>
      <c r="CT132" s="268" t="n"/>
      <c r="CU132" s="268" t="n"/>
      <c r="CV132" s="268" t="n"/>
      <c r="CW132" s="268" t="n"/>
      <c r="CX132" s="268" t="n"/>
      <c r="CY132" s="268" t="n"/>
    </row>
    <row r="133" hidden="1" outlineLevel="1" ht="12.75" customHeight="1" s="255">
      <c r="C133" s="312" t="n"/>
      <c r="D133" s="268" t="n"/>
      <c r="E133" s="268" t="n"/>
      <c r="F133" s="268" t="n"/>
      <c r="G133" s="268" t="n"/>
      <c r="H133" s="268" t="n"/>
      <c r="I133" s="268" t="n"/>
      <c r="J133" s="268" t="n"/>
      <c r="K133" s="268" t="n"/>
      <c r="L133" s="268" t="n"/>
      <c r="M133" s="268" t="n"/>
      <c r="N133" s="268" t="n"/>
      <c r="O133" s="268" t="n"/>
      <c r="P133" s="268" t="n"/>
      <c r="Q133" s="268" t="n"/>
      <c r="R133" s="268" t="n"/>
      <c r="S133" s="268" t="n"/>
      <c r="T133" s="268" t="n"/>
      <c r="U133" s="268" t="n"/>
      <c r="V133" s="268" t="n"/>
      <c r="W133" s="268" t="n"/>
      <c r="X133" s="268" t="n"/>
      <c r="Y133" s="268" t="n"/>
      <c r="Z133" s="268" t="n"/>
      <c r="AA133" s="268" t="n"/>
      <c r="AB133" s="268" t="n"/>
      <c r="AC133" s="268" t="n"/>
      <c r="AD133" s="268" t="n"/>
      <c r="AE133" s="268" t="n"/>
      <c r="AF133" s="268" t="n"/>
      <c r="AG133" s="268" t="n"/>
      <c r="AH133" s="268" t="n"/>
      <c r="AI133" s="268" t="n"/>
      <c r="AJ133" s="268" t="n"/>
      <c r="AK133" s="268" t="n"/>
      <c r="AL133" s="268" t="n"/>
      <c r="AM133" s="268" t="n"/>
      <c r="AN133" s="268" t="n"/>
      <c r="AO133" s="268" t="n"/>
      <c r="AP133" s="268" t="n"/>
      <c r="AQ133" s="268" t="n"/>
      <c r="AR133" s="268" t="n"/>
      <c r="AS133" s="268" t="n"/>
      <c r="AT133" s="268" t="n"/>
      <c r="AU133" s="268" t="n"/>
      <c r="AV133" s="268" t="n"/>
      <c r="AW133" s="268" t="n"/>
      <c r="AX133" s="268" t="n"/>
      <c r="AY133" s="268" t="n"/>
      <c r="AZ133" s="268" t="n"/>
      <c r="BA133" s="268" t="n"/>
      <c r="BB133" s="268" t="n"/>
      <c r="BC133" s="268" t="n"/>
      <c r="BD133" s="268" t="n"/>
      <c r="BE133" s="268" t="n"/>
      <c r="BF133" s="268" t="n"/>
      <c r="BG133" s="268" t="n"/>
      <c r="BH133" s="268" t="n"/>
      <c r="BI133" s="268" t="n"/>
      <c r="BJ133" s="268" t="n"/>
      <c r="BK133" s="268" t="n"/>
      <c r="BL133" s="268" t="n"/>
      <c r="BM133" s="268" t="n"/>
      <c r="BN133" s="268" t="n"/>
      <c r="BO133" s="268" t="n"/>
      <c r="BP133" s="268" t="n"/>
      <c r="BQ133" s="268" t="n"/>
      <c r="BR133" s="268" t="n"/>
      <c r="BS133" s="268" t="n"/>
      <c r="BT133" s="268" t="n"/>
      <c r="BU133" s="268" t="n"/>
      <c r="BV133" s="268" t="n"/>
      <c r="BW133" s="268" t="n"/>
      <c r="BX133" s="268" t="n"/>
      <c r="BY133" s="268" t="n"/>
      <c r="BZ133" s="268" t="n"/>
      <c r="CA133" s="268" t="n"/>
      <c r="CB133" s="268" t="n"/>
      <c r="CC133" s="268" t="n"/>
      <c r="CD133" s="268" t="n"/>
      <c r="CE133" s="268" t="n"/>
      <c r="CF133" s="268" t="n"/>
      <c r="CG133" s="268" t="n"/>
      <c r="CH133" s="268" t="n"/>
      <c r="CI133" s="268" t="n"/>
      <c r="CJ133" s="268" t="n"/>
      <c r="CK133" s="268" t="n"/>
      <c r="CL133" s="268" t="n"/>
      <c r="CM133" s="268" t="n"/>
      <c r="CN133" s="268" t="n"/>
      <c r="CO133" s="268" t="n"/>
      <c r="CP133" s="268" t="n"/>
      <c r="CQ133" s="268" t="n"/>
      <c r="CR133" s="268" t="n"/>
      <c r="CS133" s="268" t="n"/>
      <c r="CT133" s="268" t="n"/>
      <c r="CU133" s="268" t="n"/>
      <c r="CV133" s="268" t="n"/>
      <c r="CW133" s="268" t="n"/>
      <c r="CX133" s="268" t="n"/>
      <c r="CY133" s="268" t="n"/>
    </row>
    <row r="134" ht="12.75" customHeight="1" s="255">
      <c r="C134" s="270" t="inlineStr">
        <is>
          <t>Inventories</t>
        </is>
      </c>
      <c r="D134" s="301">
        <f>INDEX('Inputs (2)'!$D$17:$AL$17,MATCH(D$7,'Inputs (2)'!$D$2:$AL$2,0))</f>
        <v>11850</v>
      </c>
      <c r="E134" s="301">
        <f>INDEX('Inputs (2)'!$D$17:$AL$17,MATCH(E$7,'Inputs (2)'!$D$2:$AL$2,0))</f>
        <v>11010</v>
      </c>
      <c r="F134" s="301">
        <f>INDEX('Inputs (2)'!$D$17:$AL$17,MATCH(F$7,'Inputs (2)'!$D$2:$AL$2,0))</f>
        <v>12242</v>
      </c>
      <c r="G134" s="301">
        <f>INDEX('Inputs (2)'!$D$17:$AL$17,MATCH(G$7,'Inputs (2)'!$D$2:$AL$2,0))</f>
        <v>14901</v>
      </c>
      <c r="H134" s="268">
        <f>G134</f>
        <v>14901</v>
      </c>
      <c r="I134" s="301">
        <f>INDEX('Inputs (2)'!$D$17:$AL$17,MATCH(I$7,'Inputs (2)'!$D$2:$AL$2,0))</f>
        <v>13865</v>
      </c>
      <c r="J134" s="301">
        <f>INDEX('Inputs (2)'!$D$17:$AL$17,MATCH(J$7,'Inputs (2)'!$D$2:$AL$2,0))</f>
        <v>13975</v>
      </c>
      <c r="K134" s="301">
        <f>INDEX('Inputs (2)'!$D$17:$AL$17,MATCH(K$7,'Inputs (2)'!$D$2:$AL$2,0))</f>
        <v>14215</v>
      </c>
      <c r="L134" s="301">
        <f>INDEX('Inputs (2)'!$D$17:$AL$17,MATCH(L$7,'Inputs (2)'!$D$2:$AL$2,0))</f>
        <v>16942</v>
      </c>
      <c r="M134" s="268">
        <f>L134</f>
        <v>16942</v>
      </c>
      <c r="N134" s="301">
        <f>INDEX('Inputs (2)'!$D$17:$AL$17,MATCH(N$7,'Inputs (2)'!$D$2:$AL$2,0))</f>
        <v>16485</v>
      </c>
      <c r="O134" s="301">
        <f>INDEX('Inputs (2)'!$D$17:$AL$17,MATCH(O$7,'Inputs (2)'!$D$2:$AL$2,0))</f>
        <v>17623</v>
      </c>
      <c r="P134" s="301">
        <f>INDEX('Inputs (2)'!$D$17:$AL$17,MATCH(P$7,'Inputs (2)'!$D$2:$AL$2,0))</f>
        <v>17907</v>
      </c>
      <c r="Q134" s="301">
        <f>INDEX('Inputs (2)'!$D$17:$AL$17,MATCH(Q$7,'Inputs (2)'!$D$2:$AL$2,0))</f>
        <v>18571</v>
      </c>
      <c r="R134" s="268">
        <f>Q134</f>
        <v>18571</v>
      </c>
      <c r="S134" s="301">
        <f>INDEX('Inputs (2)'!$D$17:$AL$17,MATCH(S$7,'Inputs (2)'!$D$2:$AL$2,0))</f>
        <v>16081</v>
      </c>
      <c r="T134" s="301">
        <f>INDEX('Inputs (2)'!$D$17:$AL$17,MATCH(T$7,'Inputs (2)'!$D$2:$AL$2,0))</f>
        <v>16324</v>
      </c>
      <c r="U134" s="301">
        <f>INDEX('Inputs (2)'!$D$17:$AL$17,MATCH(U$7,'Inputs (2)'!$D$2:$AL$2,0))</f>
        <v>16651</v>
      </c>
      <c r="V134" s="301">
        <f>INDEX('Inputs (2)'!$D$17:$AL$17,MATCH(V$7,'Inputs (2)'!$D$2:$AL$2,0))</f>
        <v>18001</v>
      </c>
      <c r="W134" s="268">
        <f>V134</f>
        <v>18001</v>
      </c>
      <c r="X134" s="301">
        <f>INDEX('Inputs (2)'!$D$17:$AL$17,MATCH(X$7,'Inputs (2)'!$D$2:$AL$2,0))</f>
        <v>17075</v>
      </c>
      <c r="Y134" s="301">
        <f>INDEX('Inputs (2)'!$D$17:$AL$17,MATCH(Y$7,'Inputs (2)'!$D$2:$AL$2,0))</f>
        <v>17430</v>
      </c>
      <c r="Z134" s="301">
        <f>INDEX('Inputs (2)'!$D$17:$AL$17,MATCH(Z$7,'Inputs (2)'!$D$2:$AL$2,0))</f>
        <v>18647</v>
      </c>
      <c r="AA134" s="301">
        <f>INDEX('Inputs (2)'!$D$17:$AL$17,MATCH(AA$7,'Inputs (2)'!$D$2:$AL$2,0))</f>
        <v>20979</v>
      </c>
      <c r="AB134" s="268">
        <f>AA134</f>
        <v>20979</v>
      </c>
      <c r="AC134" s="301">
        <f>INDEX('Inputs (2)'!$D$17:$AL$17,MATCH(AC$7,'Inputs (2)'!$D$2:$AL$2,0))</f>
        <v>18754</v>
      </c>
      <c r="AD134" s="301">
        <f>INDEX('Inputs (2)'!$D$17:$AL$17,MATCH(AD$7,'Inputs (2)'!$D$2:$AL$2,0))</f>
        <v>18606</v>
      </c>
      <c r="AE134" s="301">
        <f>INDEX('Inputs (2)'!$D$17:$AL$17,MATCH(AE$7,'Inputs (2)'!$D$2:$AL$2,0))</f>
        <v>18116</v>
      </c>
      <c r="AF134" s="301">
        <f>INDEX('Inputs (2)'!$D$17:$AL$17,MATCH(AF$7,'Inputs (2)'!$D$2:$AL$2,0))</f>
        <v>21141</v>
      </c>
      <c r="AG134" s="268">
        <f>AF134</f>
        <v>21141</v>
      </c>
      <c r="AH134" s="268">
        <f>INDEX('Inputs (2)'!$D$17:$AL$17,MATCH(AH$7,'Inputs (2)'!$D$2:$AL$2,0))</f>
        <v>18991</v>
      </c>
      <c r="AI134" s="268">
        <f>INDEX('Inputs (2)'!$D$17:$AL$17,MATCH(AI$7,'Inputs (2)'!$D$2:$AL$2,0))</f>
        <v>19418</v>
      </c>
      <c r="AJ134" s="268">
        <f>(AJ135/(AJ$5-AI$5))*-AJ$39</f>
        <v>0</v>
      </c>
      <c r="AK134" s="268">
        <f>(AK135/(AK$5-AJ$5))*-AK$39</f>
        <v>0</v>
      </c>
      <c r="AL134" s="268">
        <f>AK134</f>
        <v>0</v>
      </c>
      <c r="AM134" s="268">
        <f>(AM135/(AM$5-AL$5))*-AM$39</f>
        <v>0</v>
      </c>
      <c r="AN134" s="268">
        <f>(AN135/(AN$5-AM$5))*-AN$39</f>
        <v>0</v>
      </c>
      <c r="AO134" s="268">
        <f>(AO135/(AO$5-AN$5))*-AO$39</f>
        <v>0</v>
      </c>
      <c r="AP134" s="268">
        <f>(AP135/(AP$5-AO$5))*-AP$39</f>
        <v>0</v>
      </c>
      <c r="AQ134" s="268">
        <f>AP134</f>
        <v>0</v>
      </c>
      <c r="AR134" s="268">
        <f>(AR135/(AR$5-AQ$5))*-AR$39</f>
        <v>0</v>
      </c>
      <c r="AS134" s="268">
        <f>(AS135/(AS$5-AR$5))*-AS$39</f>
        <v>0</v>
      </c>
      <c r="AT134" s="268">
        <f>(AT135/(AT$5-AS$5))*-AT$39</f>
        <v>0</v>
      </c>
      <c r="AU134" s="268">
        <f>(AU135/(AU$5-AT$5))*-AU$39</f>
        <v>0</v>
      </c>
      <c r="AV134" s="268">
        <f>AU134</f>
        <v>0</v>
      </c>
      <c r="AW134" s="268">
        <f>(AW135/(AW$5-AV$5))*-AW$39</f>
        <v>0</v>
      </c>
      <c r="AX134" s="268">
        <f>(AX135/(AX$5-AW$5))*-AX$39</f>
        <v>0</v>
      </c>
      <c r="AY134" s="268">
        <f>(AY135/(AY$5-AX$5))*-AY$39</f>
        <v>0</v>
      </c>
      <c r="AZ134" s="268">
        <f>(AZ135/(AZ$5-AY$5))*-AZ$39</f>
        <v>0</v>
      </c>
      <c r="BA134" s="268">
        <f>AZ134</f>
        <v>0</v>
      </c>
      <c r="BB134" s="268">
        <f>(BB135/(BB$5-BA$5))*-BB$39</f>
        <v>0</v>
      </c>
      <c r="BC134" s="268">
        <f>(BC135/(BC$5-BB$5))*-BC$39</f>
        <v>0</v>
      </c>
      <c r="BD134" s="268">
        <f>(BD135/(BD$5-BC$5))*-BD$39</f>
        <v>0</v>
      </c>
      <c r="BE134" s="268">
        <f>(BE135/(BE$5-BD$5))*-BE$39</f>
        <v>0</v>
      </c>
      <c r="BF134" s="268">
        <f>BE134</f>
        <v>0</v>
      </c>
      <c r="BG134" s="268">
        <f>(BG135/(BG$5-BF$5))*-BG$39</f>
        <v>0</v>
      </c>
      <c r="BH134" s="268">
        <f>(BH135/(BH$5-BG$5))*-BH$39</f>
        <v>0</v>
      </c>
      <c r="BI134" s="268">
        <f>(BI135/(BI$5-BH$5))*-BI$39</f>
        <v>0</v>
      </c>
      <c r="BJ134" s="268">
        <f>(BJ135/(BJ$5-BI$5))*-BJ$39</f>
        <v>0</v>
      </c>
      <c r="BK134" s="268">
        <f>BJ134</f>
        <v>0</v>
      </c>
      <c r="BL134" s="268">
        <f>(BL135/(BL$5-BK$5))*-BL$39</f>
        <v>0</v>
      </c>
      <c r="BM134" s="268">
        <f>(BM135/(BM$5-BL$5))*-BM$39</f>
        <v>0</v>
      </c>
      <c r="BN134" s="268">
        <f>(BN135/(BN$5-BM$5))*-BN$39</f>
        <v>0</v>
      </c>
      <c r="BO134" s="268">
        <f>(BO135/(BO$5-BN$5))*-BO$39</f>
        <v>0</v>
      </c>
      <c r="BP134" s="268">
        <f>BO134</f>
        <v>0</v>
      </c>
      <c r="BQ134" s="268">
        <f>(BQ135/(BQ$5-BP$5))*-BQ$39</f>
        <v>0</v>
      </c>
      <c r="BR134" s="268">
        <f>(BR135/(BR$5-BQ$5))*-BR$39</f>
        <v>0</v>
      </c>
      <c r="BS134" s="268">
        <f>(BS135/(BS$5-BR$5))*-BS$39</f>
        <v>0</v>
      </c>
      <c r="BT134" s="268">
        <f>(BT135/(BT$5-BS$5))*-BT$39</f>
        <v>0</v>
      </c>
      <c r="BU134" s="268">
        <f>BT134</f>
        <v>0</v>
      </c>
      <c r="BV134" s="268">
        <f>(BV135/(BV$5-BU$5))*-BV$39</f>
        <v>0</v>
      </c>
      <c r="BW134" s="268">
        <f>(BW135/(BW$5-BV$5))*-BW$39</f>
        <v>0</v>
      </c>
      <c r="BX134" s="268">
        <f>(BX135/(BX$5-BW$5))*-BX$39</f>
        <v>0</v>
      </c>
      <c r="BY134" s="268">
        <f>(BY135/(BY$5-BX$5))*-BY$39</f>
        <v>0</v>
      </c>
      <c r="BZ134" s="268">
        <f>BY134</f>
        <v>0</v>
      </c>
      <c r="CA134" s="268">
        <f>(CA135/(CA$5-BZ$5))*-CA$39</f>
        <v>0</v>
      </c>
      <c r="CB134" s="268">
        <f>(CB135/(CB$5-CA$5))*-CB$39</f>
        <v>0</v>
      </c>
      <c r="CC134" s="268">
        <f>(CC135/(CC$5-CB$5))*-CC$39</f>
        <v>0</v>
      </c>
      <c r="CD134" s="268">
        <f>(CD135/(CD$5-CC$5))*-CD$39</f>
        <v>0</v>
      </c>
      <c r="CE134" s="268">
        <f>CD134</f>
        <v>0</v>
      </c>
      <c r="CF134" s="268">
        <f>(CF135/(CF$5-CE$5))*-CF$39</f>
        <v>0</v>
      </c>
      <c r="CG134" s="268">
        <f>(CG135/(CG$5-CF$5))*-CG$39</f>
        <v>0</v>
      </c>
      <c r="CH134" s="268">
        <f>(CH135/(CH$5-CG$5))*-CH$39</f>
        <v>0</v>
      </c>
      <c r="CI134" s="268">
        <f>(CI135/(CI$5-CH$5))*-CI$39</f>
        <v>0</v>
      </c>
      <c r="CJ134" s="268">
        <f>CI134</f>
        <v>0</v>
      </c>
      <c r="CK134" s="268">
        <f>(CK135/(CK$5-CJ$5))*-CK$39</f>
        <v>0</v>
      </c>
      <c r="CL134" s="268">
        <f>(CL135/(CL$5-CK$5))*-CL$39</f>
        <v>0</v>
      </c>
      <c r="CM134" s="268">
        <f>(CM135/(CM$5-CL$5))*-CM$39</f>
        <v>0</v>
      </c>
      <c r="CN134" s="268">
        <f>(CN135/(CN$5-CM$5))*-CN$39</f>
        <v>0</v>
      </c>
      <c r="CO134" s="268">
        <f>CN134</f>
        <v>0</v>
      </c>
      <c r="CP134" s="268">
        <f>(CP135/(CP$5-CO$5))*-CP$39</f>
        <v>0</v>
      </c>
      <c r="CQ134" s="268">
        <f>(CQ135/(CQ$5-CP$5))*-CQ$39</f>
        <v>0</v>
      </c>
      <c r="CR134" s="268">
        <f>(CR135/(CR$5-CQ$5))*-CR$39</f>
        <v>0</v>
      </c>
      <c r="CS134" s="268">
        <f>(CS135/(CS$5-CR$5))*-CS$39</f>
        <v>0</v>
      </c>
      <c r="CT134" s="268">
        <f>CS134</f>
        <v>0</v>
      </c>
      <c r="CU134" s="268">
        <f>(CU135/(CU$5-CT$5))*-CU$39</f>
        <v>0</v>
      </c>
      <c r="CV134" s="268">
        <f>(CV135/(CV$5-CU$5))*-CV$39</f>
        <v>0</v>
      </c>
      <c r="CW134" s="268">
        <f>(CW135/(CW$5-CV$5))*-CW$39</f>
        <v>0</v>
      </c>
      <c r="CX134" s="268">
        <f>(CX135/(CX$5-CW$5))*-CX$39</f>
        <v>0</v>
      </c>
      <c r="CY134" s="268">
        <f>CX134</f>
        <v>0</v>
      </c>
    </row>
    <row r="135" hidden="1" outlineLevel="1" ht="12.75" customHeight="1" s="255">
      <c r="C135" s="312" t="inlineStr">
        <is>
          <t>DIO</t>
        </is>
      </c>
      <c r="D135" s="268" t="n"/>
      <c r="E135" s="268">
        <f>((E134/E$39)*(E$5-D$5))*-1</f>
        <v>31.0679400911656</v>
      </c>
      <c r="F135" s="268">
        <f>((F134/F$39)*(F$5-E$5))*-1</f>
        <v>24.2724079222431</v>
      </c>
      <c r="G135" s="268">
        <f>((G134/G$39)*(G$5-F$5))*-1</f>
        <v>36.598109883069</v>
      </c>
      <c r="H135" s="268" t="n"/>
      <c r="I135" s="268">
        <f>((I134/I$39)*(I$5-H$5))*-1</f>
        <v>31.9322892676186</v>
      </c>
      <c r="J135" s="268">
        <f>((J134/J$39)*(J$5-I$5))*-1</f>
        <v>32.2650006342763</v>
      </c>
      <c r="K135" s="268">
        <f>((K134/K$39)*(K$5-J$5))*-1</f>
        <v>23.8938117771728</v>
      </c>
      <c r="L135" s="268">
        <f>((L134/L$39)*(L$5-K$5))*-1</f>
        <v>35.4628685839097</v>
      </c>
      <c r="M135" s="268" t="n"/>
      <c r="N135" s="268">
        <f>((N134/N$39)*(N$5-M$5))*-1</f>
        <v>32.5955137640881</v>
      </c>
      <c r="O135" s="268">
        <f>((O134/O$39)*(O$5-N$5))*-1</f>
        <v>34.5959011972819</v>
      </c>
      <c r="P135" s="268">
        <f>((P134/P$39)*(P$5-O$5))*-1</f>
        <v>25.9203247427546</v>
      </c>
      <c r="Q135" s="268">
        <f>((Q134/Q$39)*(Q$5-P$5))*-1</f>
        <v>35.766543155603</v>
      </c>
      <c r="R135" s="268" t="n"/>
      <c r="S135" s="268">
        <f>((S134/S$39)*(S$5-R$5))*-1</f>
        <v>29.8884827458026</v>
      </c>
      <c r="T135" s="268">
        <f>((T134/T$39)*(T$5-S$5))*-1</f>
        <v>31.4887970323264</v>
      </c>
      <c r="U135" s="268">
        <f>((U134/U$39)*(U$5-T$5))*-1</f>
        <v>22.1310911743885</v>
      </c>
      <c r="V135" s="268">
        <f>((V134/V$39)*(V$5-U$5))*-1</f>
        <v>32.8218483064788</v>
      </c>
      <c r="W135" s="268" t="n"/>
      <c r="X135" s="268">
        <f>((X134/X$39)*(X$5-W$5))*-1</f>
        <v>30.3837504888541</v>
      </c>
      <c r="Y135" s="268">
        <f>((Y134/Y$39)*(Y$5-X$5))*-1</f>
        <v>30.9954468176578</v>
      </c>
      <c r="Z135" s="268">
        <f>((Z134/Z$39)*(Z$5-Y$5))*-1</f>
        <v>24.6525837788124</v>
      </c>
      <c r="AA135" s="268">
        <f>((AA134/AA$39)*(AA$5-Z$5))*-1</f>
        <v>35.6699994455636</v>
      </c>
      <c r="AB135" s="268" t="n"/>
      <c r="AC135" s="268">
        <f>((AC134/AC$39)*(AC$5-AB$5))*-1</f>
        <v>30.2787743972445</v>
      </c>
      <c r="AD135" s="268">
        <f>((AD134/AD$39)*(AD$5-AC$5))*-1</f>
        <v>30.7867117608553</v>
      </c>
      <c r="AE135" s="268">
        <f>((AE134/AE$39)*(AE$5-AD$5))*-1</f>
        <v>22.2113357410344</v>
      </c>
      <c r="AF135" s="267">
        <f>((AF134/AF$39)*(AF$5-AE$5))*-1</f>
        <v>33.2417022731157</v>
      </c>
      <c r="AG135" s="268" t="n"/>
      <c r="AH135" s="267">
        <f>((AH134/AH$39)*(AH$5-AG$5))*-1</f>
        <v>28.1491790049243</v>
      </c>
      <c r="AI135" s="267">
        <f>((AI134/AI$39)*(AI$5-AH$5))*-1</f>
        <v>28.7234512914709</v>
      </c>
      <c r="AJ135" s="267" t="n"/>
      <c r="AK135" s="267" t="n"/>
      <c r="AL135" s="268" t="n"/>
      <c r="AM135" s="267" t="n"/>
      <c r="AN135" s="267" t="n"/>
      <c r="AO135" s="267" t="n"/>
      <c r="AP135" s="267" t="n"/>
      <c r="AQ135" s="268" t="n"/>
      <c r="AR135" s="267" t="n"/>
      <c r="AS135" s="267" t="n"/>
      <c r="AT135" s="267" t="n"/>
      <c r="AU135" s="267" t="n"/>
      <c r="AV135" s="268" t="n"/>
      <c r="AW135" s="267" t="n"/>
      <c r="AX135" s="267" t="n"/>
      <c r="AY135" s="267" t="n"/>
      <c r="AZ135" s="267" t="n"/>
      <c r="BA135" s="268" t="n"/>
      <c r="BB135" s="267" t="n"/>
      <c r="BC135" s="267" t="n"/>
      <c r="BD135" s="267" t="n"/>
      <c r="BE135" s="267" t="n"/>
      <c r="BF135" s="268" t="n"/>
      <c r="BG135" s="267" t="n"/>
      <c r="BH135" s="267" t="n"/>
      <c r="BI135" s="267" t="n"/>
      <c r="BJ135" s="267" t="n"/>
      <c r="BK135" s="268" t="n"/>
      <c r="BL135" s="267" t="n"/>
      <c r="BM135" s="267" t="n"/>
      <c r="BN135" s="267" t="n"/>
      <c r="BO135" s="267" t="n"/>
      <c r="BP135" s="268" t="n"/>
      <c r="BQ135" s="267" t="n"/>
      <c r="BR135" s="267" t="n"/>
      <c r="BS135" s="267" t="n"/>
      <c r="BT135" s="267" t="n"/>
      <c r="BU135" s="268" t="n"/>
      <c r="BV135" s="267" t="n"/>
      <c r="BW135" s="267" t="n"/>
      <c r="BX135" s="267" t="n"/>
      <c r="BY135" s="267" t="n"/>
      <c r="BZ135" s="268" t="n"/>
      <c r="CA135" s="267" t="n"/>
      <c r="CB135" s="267" t="n"/>
      <c r="CC135" s="267" t="n"/>
      <c r="CD135" s="267" t="n"/>
      <c r="CE135" s="268" t="n"/>
      <c r="CF135" s="267" t="n"/>
      <c r="CG135" s="267" t="n"/>
      <c r="CH135" s="267" t="n"/>
      <c r="CI135" s="267" t="n"/>
      <c r="CJ135" s="268" t="n"/>
      <c r="CK135" s="267" t="n"/>
      <c r="CL135" s="267" t="n"/>
      <c r="CM135" s="267" t="n"/>
      <c r="CN135" s="267" t="n"/>
      <c r="CO135" s="268" t="n"/>
      <c r="CP135" s="267" t="n"/>
      <c r="CQ135" s="267" t="n"/>
      <c r="CR135" s="267" t="n"/>
      <c r="CS135" s="267" t="n"/>
      <c r="CT135" s="268" t="n"/>
      <c r="CU135" s="267" t="n"/>
      <c r="CV135" s="267" t="n"/>
      <c r="CW135" s="267" t="n"/>
      <c r="CX135" s="267" t="n"/>
      <c r="CY135" s="268" t="n"/>
    </row>
    <row r="136" hidden="1" outlineLevel="1" ht="12.75" customHeight="1" s="255">
      <c r="C136" s="312" t="n"/>
      <c r="D136" s="268" t="n"/>
      <c r="E136" s="268" t="n"/>
      <c r="F136" s="268" t="n"/>
      <c r="G136" s="268" t="n"/>
      <c r="H136" s="268" t="n"/>
      <c r="I136" s="268" t="n"/>
      <c r="J136" s="268" t="n"/>
      <c r="K136" s="268" t="n"/>
      <c r="L136" s="268" t="n"/>
      <c r="M136" s="268" t="n"/>
      <c r="N136" s="268" t="n"/>
      <c r="O136" s="268" t="n"/>
      <c r="P136" s="268" t="n"/>
      <c r="Q136" s="268" t="n"/>
      <c r="R136" s="268" t="n"/>
      <c r="S136" s="268" t="n"/>
      <c r="T136" s="268" t="n"/>
      <c r="U136" s="268" t="n"/>
      <c r="V136" s="268" t="n"/>
      <c r="W136" s="268" t="n"/>
      <c r="X136" s="268" t="n"/>
      <c r="Y136" s="268" t="n"/>
      <c r="Z136" s="268" t="n"/>
      <c r="AA136" s="268" t="n"/>
      <c r="AB136" s="268" t="n"/>
      <c r="AC136" s="268" t="n"/>
      <c r="AD136" s="268" t="n"/>
      <c r="AE136" s="268" t="n"/>
      <c r="AF136" s="268" t="n"/>
      <c r="AG136" s="268" t="n"/>
      <c r="AH136" s="268" t="n"/>
      <c r="AI136" s="268" t="n"/>
      <c r="AJ136" s="268" t="n"/>
      <c r="AK136" s="268" t="n"/>
      <c r="AL136" s="268" t="n"/>
      <c r="AM136" s="268" t="n"/>
      <c r="AN136" s="268" t="n"/>
      <c r="AO136" s="268" t="n"/>
      <c r="AP136" s="268" t="n"/>
      <c r="AQ136" s="268" t="n"/>
      <c r="AR136" s="268" t="n"/>
      <c r="AS136" s="268" t="n"/>
      <c r="AT136" s="268" t="n"/>
      <c r="AU136" s="268" t="n"/>
      <c r="AV136" s="268" t="n"/>
      <c r="AW136" s="268" t="n"/>
      <c r="AX136" s="268" t="n"/>
      <c r="AY136" s="268" t="n"/>
      <c r="AZ136" s="268" t="n"/>
      <c r="BA136" s="268" t="n"/>
      <c r="BB136" s="268" t="n"/>
      <c r="BC136" s="268" t="n"/>
      <c r="BD136" s="268" t="n"/>
      <c r="BE136" s="268" t="n"/>
      <c r="BF136" s="268" t="n"/>
      <c r="BG136" s="268" t="n"/>
      <c r="BH136" s="268" t="n"/>
      <c r="BI136" s="268" t="n"/>
      <c r="BJ136" s="268" t="n"/>
      <c r="BK136" s="268" t="n"/>
      <c r="BL136" s="268" t="n"/>
      <c r="BM136" s="268" t="n"/>
      <c r="BN136" s="268" t="n"/>
      <c r="BO136" s="268" t="n"/>
      <c r="BP136" s="268" t="n"/>
      <c r="BQ136" s="268" t="n"/>
      <c r="BR136" s="268" t="n"/>
      <c r="BS136" s="268" t="n"/>
      <c r="BT136" s="268" t="n"/>
      <c r="BU136" s="268" t="n"/>
      <c r="BV136" s="268" t="n"/>
      <c r="BW136" s="268" t="n"/>
      <c r="BX136" s="268" t="n"/>
      <c r="BY136" s="268" t="n"/>
      <c r="BZ136" s="268" t="n"/>
      <c r="CA136" s="268" t="n"/>
      <c r="CB136" s="268" t="n"/>
      <c r="CC136" s="268" t="n"/>
      <c r="CD136" s="268" t="n"/>
      <c r="CE136" s="268" t="n"/>
      <c r="CF136" s="268" t="n"/>
      <c r="CG136" s="268" t="n"/>
      <c r="CH136" s="268" t="n"/>
      <c r="CI136" s="268" t="n"/>
      <c r="CJ136" s="268" t="n"/>
      <c r="CK136" s="268" t="n"/>
      <c r="CL136" s="268" t="n"/>
      <c r="CM136" s="268" t="n"/>
      <c r="CN136" s="268" t="n"/>
      <c r="CO136" s="268" t="n"/>
      <c r="CP136" s="268" t="n"/>
      <c r="CQ136" s="268" t="n"/>
      <c r="CR136" s="268" t="n"/>
      <c r="CS136" s="268" t="n"/>
      <c r="CT136" s="268" t="n"/>
      <c r="CU136" s="268" t="n"/>
      <c r="CV136" s="268" t="n"/>
      <c r="CW136" s="268" t="n"/>
      <c r="CX136" s="268" t="n"/>
      <c r="CY136" s="268" t="n"/>
    </row>
    <row r="137" hidden="1" outlineLevel="1" ht="12.75" customHeight="1" s="255">
      <c r="C137" s="312" t="n"/>
      <c r="D137" s="268" t="n"/>
      <c r="E137" s="268" t="n"/>
      <c r="F137" s="268" t="n"/>
      <c r="G137" s="268" t="n"/>
      <c r="H137" s="268" t="n"/>
      <c r="I137" s="268" t="n"/>
      <c r="J137" s="268" t="n"/>
      <c r="K137" s="268" t="n"/>
      <c r="L137" s="268" t="n"/>
      <c r="M137" s="268" t="n"/>
      <c r="N137" s="268" t="n"/>
      <c r="O137" s="268" t="n"/>
      <c r="P137" s="268" t="n"/>
      <c r="Q137" s="268" t="n"/>
      <c r="R137" s="268" t="n"/>
      <c r="S137" s="268" t="n"/>
      <c r="T137" s="268" t="n"/>
      <c r="U137" s="268" t="n"/>
      <c r="V137" s="268" t="n"/>
      <c r="W137" s="268" t="n"/>
      <c r="X137" s="268" t="n"/>
      <c r="Y137" s="268" t="n"/>
      <c r="Z137" s="268" t="n"/>
      <c r="AA137" s="268" t="n"/>
      <c r="AB137" s="268" t="n"/>
      <c r="AC137" s="268" t="n"/>
      <c r="AD137" s="268" t="n"/>
      <c r="AE137" s="268" t="n"/>
      <c r="AF137" s="268" t="n"/>
      <c r="AG137" s="268" t="n"/>
      <c r="AH137" s="268" t="n"/>
      <c r="AI137" s="268" t="n"/>
      <c r="AJ137" s="268" t="n"/>
      <c r="AK137" s="268" t="n"/>
      <c r="AL137" s="268" t="n"/>
      <c r="AM137" s="268" t="n"/>
      <c r="AN137" s="268" t="n"/>
      <c r="AO137" s="268" t="n"/>
      <c r="AP137" s="268" t="n"/>
      <c r="AQ137" s="268" t="n"/>
      <c r="AR137" s="268" t="n"/>
      <c r="AS137" s="268" t="n"/>
      <c r="AT137" s="268" t="n"/>
      <c r="AU137" s="268" t="n"/>
      <c r="AV137" s="268" t="n"/>
      <c r="AW137" s="268" t="n"/>
      <c r="AX137" s="268" t="n"/>
      <c r="AY137" s="268" t="n"/>
      <c r="AZ137" s="268" t="n"/>
      <c r="BA137" s="268" t="n"/>
      <c r="BB137" s="268" t="n"/>
      <c r="BC137" s="268" t="n"/>
      <c r="BD137" s="268" t="n"/>
      <c r="BE137" s="268" t="n"/>
      <c r="BF137" s="268" t="n"/>
      <c r="BG137" s="268" t="n"/>
      <c r="BH137" s="268" t="n"/>
      <c r="BI137" s="268" t="n"/>
      <c r="BJ137" s="268" t="n"/>
      <c r="BK137" s="268" t="n"/>
      <c r="BL137" s="268" t="n"/>
      <c r="BM137" s="268" t="n"/>
      <c r="BN137" s="268" t="n"/>
      <c r="BO137" s="268" t="n"/>
      <c r="BP137" s="268" t="n"/>
      <c r="BQ137" s="268" t="n"/>
      <c r="BR137" s="268" t="n"/>
      <c r="BS137" s="268" t="n"/>
      <c r="BT137" s="268" t="n"/>
      <c r="BU137" s="268" t="n"/>
      <c r="BV137" s="268" t="n"/>
      <c r="BW137" s="268" t="n"/>
      <c r="BX137" s="268" t="n"/>
      <c r="BY137" s="268" t="n"/>
      <c r="BZ137" s="268" t="n"/>
      <c r="CA137" s="268" t="n"/>
      <c r="CB137" s="268" t="n"/>
      <c r="CC137" s="268" t="n"/>
      <c r="CD137" s="268" t="n"/>
      <c r="CE137" s="268" t="n"/>
      <c r="CF137" s="268" t="n"/>
      <c r="CG137" s="268" t="n"/>
      <c r="CH137" s="268" t="n"/>
      <c r="CI137" s="268" t="n"/>
      <c r="CJ137" s="268" t="n"/>
      <c r="CK137" s="268" t="n"/>
      <c r="CL137" s="268" t="n"/>
      <c r="CM137" s="268" t="n"/>
      <c r="CN137" s="268" t="n"/>
      <c r="CO137" s="268" t="n"/>
      <c r="CP137" s="268" t="n"/>
      <c r="CQ137" s="268" t="n"/>
      <c r="CR137" s="268" t="n"/>
      <c r="CS137" s="268" t="n"/>
      <c r="CT137" s="268" t="n"/>
      <c r="CU137" s="268" t="n"/>
      <c r="CV137" s="268" t="n"/>
      <c r="CW137" s="268" t="n"/>
      <c r="CX137" s="268" t="n"/>
      <c r="CY137" s="268" t="n"/>
    </row>
    <row r="138" ht="12.75" customHeight="1" s="255">
      <c r="C138" s="270" t="inlineStr">
        <is>
          <t>Deferred income taxes</t>
        </is>
      </c>
      <c r="D138" s="301">
        <f>INDEX('Inputs (2)'!$D$18:$AL$18,MATCH(D$7,'Inputs (2)'!$D$2:$AL$2,0))</f>
        <v>0</v>
      </c>
      <c r="E138" s="301">
        <f>INDEX('Inputs (2)'!$D$18:$AL$18,MATCH(E$7,'Inputs (2)'!$D$2:$AL$2,0))</f>
        <v>0</v>
      </c>
      <c r="F138" s="301">
        <f>INDEX('Inputs (2)'!$D$18:$AL$18,MATCH(F$7,'Inputs (2)'!$D$2:$AL$2,0))</f>
        <v>0</v>
      </c>
      <c r="G138" s="301">
        <f>INDEX('Inputs (2)'!$D$18:$AL$18,MATCH(G$7,'Inputs (2)'!$D$2:$AL$2,0))</f>
        <v>0</v>
      </c>
      <c r="H138" s="268">
        <f>G138</f>
        <v>0</v>
      </c>
      <c r="I138" s="301">
        <f>INDEX('Inputs (2)'!$D$18:$AL$18,MATCH(I$7,'Inputs (2)'!$D$2:$AL$2,0))</f>
        <v>0</v>
      </c>
      <c r="J138" s="301">
        <f>INDEX('Inputs (2)'!$D$18:$AL$18,MATCH(J$7,'Inputs (2)'!$D$2:$AL$2,0))</f>
        <v>0</v>
      </c>
      <c r="K138" s="301">
        <f>INDEX('Inputs (2)'!$D$18:$AL$18,MATCH(K$7,'Inputs (2)'!$D$2:$AL$2,0))</f>
        <v>0</v>
      </c>
      <c r="L138" s="301">
        <f>INDEX('Inputs (2)'!$D$18:$AL$18,MATCH(L$7,'Inputs (2)'!$D$2:$AL$2,0))</f>
        <v>0</v>
      </c>
      <c r="M138" s="268">
        <f>L138</f>
        <v>0</v>
      </c>
      <c r="N138" s="301">
        <f>INDEX('Inputs (2)'!$D$18:$AL$18,MATCH(N$7,'Inputs (2)'!$D$2:$AL$2,0))</f>
        <v>0</v>
      </c>
      <c r="O138" s="301">
        <f>INDEX('Inputs (2)'!$D$18:$AL$18,MATCH(O$7,'Inputs (2)'!$D$2:$AL$2,0))</f>
        <v>0</v>
      </c>
      <c r="P138" s="301">
        <f>INDEX('Inputs (2)'!$D$18:$AL$18,MATCH(P$7,'Inputs (2)'!$D$2:$AL$2,0))</f>
        <v>0</v>
      </c>
      <c r="Q138" s="301">
        <f>INDEX('Inputs (2)'!$D$18:$AL$18,MATCH(Q$7,'Inputs (2)'!$D$2:$AL$2,0))</f>
        <v>0</v>
      </c>
      <c r="R138" s="268">
        <f>Q138</f>
        <v>0</v>
      </c>
      <c r="S138" s="301">
        <f>INDEX('Inputs (2)'!$D$18:$AL$18,MATCH(S$7,'Inputs (2)'!$D$2:$AL$2,0))</f>
        <v>0</v>
      </c>
      <c r="T138" s="301">
        <f>INDEX('Inputs (2)'!$D$18:$AL$18,MATCH(T$7,'Inputs (2)'!$D$2:$AL$2,0))</f>
        <v>0</v>
      </c>
      <c r="U138" s="301">
        <f>INDEX('Inputs (2)'!$D$18:$AL$18,MATCH(U$7,'Inputs (2)'!$D$2:$AL$2,0))</f>
        <v>0</v>
      </c>
      <c r="V138" s="301">
        <f>INDEX('Inputs (2)'!$D$18:$AL$18,MATCH(V$7,'Inputs (2)'!$D$2:$AL$2,0))</f>
        <v>0</v>
      </c>
      <c r="W138" s="268">
        <f>V138</f>
        <v>0</v>
      </c>
      <c r="X138" s="301">
        <f>INDEX('Inputs (2)'!$D$18:$AL$18,MATCH(X$7,'Inputs (2)'!$D$2:$AL$2,0))</f>
        <v>0</v>
      </c>
      <c r="Y138" s="301">
        <f>INDEX('Inputs (2)'!$D$18:$AL$18,MATCH(Y$7,'Inputs (2)'!$D$2:$AL$2,0))</f>
        <v>0</v>
      </c>
      <c r="Z138" s="301">
        <f>INDEX('Inputs (2)'!$D$18:$AL$18,MATCH(Z$7,'Inputs (2)'!$D$2:$AL$2,0))</f>
        <v>0</v>
      </c>
      <c r="AA138" s="301">
        <f>INDEX('Inputs (2)'!$D$18:$AL$18,MATCH(AA$7,'Inputs (2)'!$D$2:$AL$2,0))</f>
        <v>0</v>
      </c>
      <c r="AB138" s="268">
        <f>AA138</f>
        <v>0</v>
      </c>
      <c r="AC138" s="301">
        <f>INDEX('Inputs (2)'!$D$18:$AL$18,MATCH(AC$7,'Inputs (2)'!$D$2:$AL$2,0))</f>
        <v>0</v>
      </c>
      <c r="AD138" s="301">
        <f>INDEX('Inputs (2)'!$D$18:$AL$18,MATCH(AD$7,'Inputs (2)'!$D$2:$AL$2,0))</f>
        <v>0</v>
      </c>
      <c r="AE138" s="301">
        <f>INDEX('Inputs (2)'!$D$18:$AL$18,MATCH(AE$7,'Inputs (2)'!$D$2:$AL$2,0))</f>
        <v>0</v>
      </c>
      <c r="AF138" s="301">
        <f>INDEX('Inputs (2)'!$D$18:$AL$18,MATCH(AF$7,'Inputs (2)'!$D$2:$AL$2,0))</f>
        <v>0</v>
      </c>
      <c r="AG138" s="268">
        <f>AF138</f>
        <v>0</v>
      </c>
      <c r="AH138" s="268">
        <f>INDEX('Inputs (2)'!$D$18:$AL$18,MATCH(AH$7,'Inputs (2)'!$D$2:$AL$2,0))</f>
        <v>0</v>
      </c>
      <c r="AI138" s="268">
        <f>INDEX('Inputs (2)'!$D$18:$AL$18,MATCH(AI$7,'Inputs (2)'!$D$2:$AL$2,0))</f>
        <v>0</v>
      </c>
      <c r="AJ138" s="268">
        <f>AI138</f>
        <v>0</v>
      </c>
      <c r="AK138" s="268">
        <f>AJ138</f>
        <v>0</v>
      </c>
      <c r="AL138" s="268">
        <f>AK138</f>
        <v>0</v>
      </c>
      <c r="AM138" s="268">
        <f>AL138</f>
        <v>0</v>
      </c>
      <c r="AN138" s="268">
        <f>AM138</f>
        <v>0</v>
      </c>
      <c r="AO138" s="268">
        <f>AN138</f>
        <v>0</v>
      </c>
      <c r="AP138" s="268">
        <f>AO138</f>
        <v>0</v>
      </c>
      <c r="AQ138" s="268">
        <f>AP138</f>
        <v>0</v>
      </c>
      <c r="AR138" s="268">
        <f>AQ138</f>
        <v>0</v>
      </c>
      <c r="AS138" s="268">
        <f>AR138</f>
        <v>0</v>
      </c>
      <c r="AT138" s="268">
        <f>AS138</f>
        <v>0</v>
      </c>
      <c r="AU138" s="268">
        <f>AT138</f>
        <v>0</v>
      </c>
      <c r="AV138" s="268">
        <f>AU138</f>
        <v>0</v>
      </c>
      <c r="AW138" s="268">
        <f>AV138</f>
        <v>0</v>
      </c>
      <c r="AX138" s="268">
        <f>AW138</f>
        <v>0</v>
      </c>
      <c r="AY138" s="268">
        <f>AX138</f>
        <v>0</v>
      </c>
      <c r="AZ138" s="268">
        <f>AY138</f>
        <v>0</v>
      </c>
      <c r="BA138" s="268">
        <f>AZ138</f>
        <v>0</v>
      </c>
      <c r="BB138" s="268">
        <f>BA138</f>
        <v>0</v>
      </c>
      <c r="BC138" s="268">
        <f>BB138</f>
        <v>0</v>
      </c>
      <c r="BD138" s="268">
        <f>BC138</f>
        <v>0</v>
      </c>
      <c r="BE138" s="268">
        <f>BD138</f>
        <v>0</v>
      </c>
      <c r="BF138" s="268">
        <f>BE138</f>
        <v>0</v>
      </c>
      <c r="BG138" s="268">
        <f>BF138</f>
        <v>0</v>
      </c>
      <c r="BH138" s="268">
        <f>BG138</f>
        <v>0</v>
      </c>
      <c r="BI138" s="268">
        <f>BH138</f>
        <v>0</v>
      </c>
      <c r="BJ138" s="268">
        <f>BI138</f>
        <v>0</v>
      </c>
      <c r="BK138" s="268">
        <f>BJ138</f>
        <v>0</v>
      </c>
      <c r="BL138" s="268">
        <f>BK138</f>
        <v>0</v>
      </c>
      <c r="BM138" s="268">
        <f>BL138</f>
        <v>0</v>
      </c>
      <c r="BN138" s="268">
        <f>BM138</f>
        <v>0</v>
      </c>
      <c r="BO138" s="268">
        <f>BN138</f>
        <v>0</v>
      </c>
      <c r="BP138" s="268">
        <f>BO138</f>
        <v>0</v>
      </c>
      <c r="BQ138" s="268">
        <f>BP138</f>
        <v>0</v>
      </c>
      <c r="BR138" s="268">
        <f>BQ138</f>
        <v>0</v>
      </c>
      <c r="BS138" s="268">
        <f>BR138</f>
        <v>0</v>
      </c>
      <c r="BT138" s="268">
        <f>BS138</f>
        <v>0</v>
      </c>
      <c r="BU138" s="268">
        <f>BT138</f>
        <v>0</v>
      </c>
      <c r="BV138" s="268">
        <f>BU138</f>
        <v>0</v>
      </c>
      <c r="BW138" s="268">
        <f>BV138</f>
        <v>0</v>
      </c>
      <c r="BX138" s="268">
        <f>BW138</f>
        <v>0</v>
      </c>
      <c r="BY138" s="268">
        <f>BX138</f>
        <v>0</v>
      </c>
      <c r="BZ138" s="268">
        <f>BY138</f>
        <v>0</v>
      </c>
      <c r="CA138" s="268">
        <f>BZ138</f>
        <v>0</v>
      </c>
      <c r="CB138" s="268">
        <f>CA138</f>
        <v>0</v>
      </c>
      <c r="CC138" s="268">
        <f>CB138</f>
        <v>0</v>
      </c>
      <c r="CD138" s="268">
        <f>CC138</f>
        <v>0</v>
      </c>
      <c r="CE138" s="268">
        <f>CD138</f>
        <v>0</v>
      </c>
      <c r="CF138" s="268">
        <f>CE138</f>
        <v>0</v>
      </c>
      <c r="CG138" s="268">
        <f>CF138</f>
        <v>0</v>
      </c>
      <c r="CH138" s="268">
        <f>CG138</f>
        <v>0</v>
      </c>
      <c r="CI138" s="268">
        <f>CH138</f>
        <v>0</v>
      </c>
      <c r="CJ138" s="268">
        <f>CI138</f>
        <v>0</v>
      </c>
      <c r="CK138" s="268">
        <f>CJ138</f>
        <v>0</v>
      </c>
      <c r="CL138" s="268">
        <f>CK138</f>
        <v>0</v>
      </c>
      <c r="CM138" s="268">
        <f>CL138</f>
        <v>0</v>
      </c>
      <c r="CN138" s="268">
        <f>CM138</f>
        <v>0</v>
      </c>
      <c r="CO138" s="268">
        <f>CN138</f>
        <v>0</v>
      </c>
      <c r="CP138" s="268">
        <f>CO138</f>
        <v>0</v>
      </c>
      <c r="CQ138" s="268">
        <f>CP138</f>
        <v>0</v>
      </c>
      <c r="CR138" s="268">
        <f>CQ138</f>
        <v>0</v>
      </c>
      <c r="CS138" s="268">
        <f>CR138</f>
        <v>0</v>
      </c>
      <c r="CT138" s="268">
        <f>CS138</f>
        <v>0</v>
      </c>
      <c r="CU138" s="268">
        <f>CT138</f>
        <v>0</v>
      </c>
      <c r="CV138" s="268">
        <f>CU138</f>
        <v>0</v>
      </c>
      <c r="CW138" s="268">
        <f>CV138</f>
        <v>0</v>
      </c>
      <c r="CX138" s="268">
        <f>CW138</f>
        <v>0</v>
      </c>
      <c r="CY138" s="268">
        <f>CX138</f>
        <v>0</v>
      </c>
    </row>
    <row r="139" ht="12.75" customHeight="1" s="255">
      <c r="C139" s="270" t="inlineStr">
        <is>
          <t>Prepaid expenses</t>
        </is>
      </c>
      <c r="D139" s="301">
        <f>INDEX('Inputs (2)'!$D$19:$AL$19,MATCH(D$7,'Inputs (2)'!$D$2:$AL$2,0))</f>
        <v>0</v>
      </c>
      <c r="E139" s="301">
        <f>INDEX('Inputs (2)'!$D$19:$AL$19,MATCH(E$7,'Inputs (2)'!$D$2:$AL$2,0))</f>
        <v>0</v>
      </c>
      <c r="F139" s="301">
        <f>INDEX('Inputs (2)'!$D$19:$AL$19,MATCH(F$7,'Inputs (2)'!$D$2:$AL$2,0))</f>
        <v>0</v>
      </c>
      <c r="G139" s="301">
        <f>INDEX('Inputs (2)'!$D$19:$AL$19,MATCH(G$7,'Inputs (2)'!$D$2:$AL$2,0))</f>
        <v>0</v>
      </c>
      <c r="H139" s="268">
        <f>G139</f>
        <v>0</v>
      </c>
      <c r="I139" s="301">
        <f>INDEX('Inputs (2)'!$D$19:$AL$19,MATCH(I$7,'Inputs (2)'!$D$2:$AL$2,0))</f>
        <v>0</v>
      </c>
      <c r="J139" s="301">
        <f>INDEX('Inputs (2)'!$D$19:$AL$19,MATCH(J$7,'Inputs (2)'!$D$2:$AL$2,0))</f>
        <v>0</v>
      </c>
      <c r="K139" s="301">
        <f>INDEX('Inputs (2)'!$D$19:$AL$19,MATCH(K$7,'Inputs (2)'!$D$2:$AL$2,0))</f>
        <v>0</v>
      </c>
      <c r="L139" s="301">
        <f>INDEX('Inputs (2)'!$D$19:$AL$19,MATCH(L$7,'Inputs (2)'!$D$2:$AL$2,0))</f>
        <v>0</v>
      </c>
      <c r="M139" s="268">
        <f>L139</f>
        <v>0</v>
      </c>
      <c r="N139" s="301">
        <f>INDEX('Inputs (2)'!$D$19:$AL$19,MATCH(N$7,'Inputs (2)'!$D$2:$AL$2,0))</f>
        <v>0</v>
      </c>
      <c r="O139" s="301">
        <f>INDEX('Inputs (2)'!$D$19:$AL$19,MATCH(O$7,'Inputs (2)'!$D$2:$AL$2,0))</f>
        <v>0</v>
      </c>
      <c r="P139" s="301">
        <f>INDEX('Inputs (2)'!$D$19:$AL$19,MATCH(P$7,'Inputs (2)'!$D$2:$AL$2,0))</f>
        <v>0</v>
      </c>
      <c r="Q139" s="301">
        <f>INDEX('Inputs (2)'!$D$19:$AL$19,MATCH(Q$7,'Inputs (2)'!$D$2:$AL$2,0))</f>
        <v>0</v>
      </c>
      <c r="R139" s="268">
        <f>Q139</f>
        <v>0</v>
      </c>
      <c r="S139" s="301">
        <f>INDEX('Inputs (2)'!$D$19:$AL$19,MATCH(S$7,'Inputs (2)'!$D$2:$AL$2,0))</f>
        <v>0</v>
      </c>
      <c r="T139" s="301">
        <f>INDEX('Inputs (2)'!$D$19:$AL$19,MATCH(T$7,'Inputs (2)'!$D$2:$AL$2,0))</f>
        <v>0</v>
      </c>
      <c r="U139" s="301">
        <f>INDEX('Inputs (2)'!$D$19:$AL$19,MATCH(U$7,'Inputs (2)'!$D$2:$AL$2,0))</f>
        <v>0</v>
      </c>
      <c r="V139" s="301">
        <f>INDEX('Inputs (2)'!$D$19:$AL$19,MATCH(V$7,'Inputs (2)'!$D$2:$AL$2,0))</f>
        <v>0</v>
      </c>
      <c r="W139" s="268">
        <f>V139</f>
        <v>0</v>
      </c>
      <c r="X139" s="301">
        <f>INDEX('Inputs (2)'!$D$19:$AL$19,MATCH(X$7,'Inputs (2)'!$D$2:$AL$2,0))</f>
        <v>0</v>
      </c>
      <c r="Y139" s="301">
        <f>INDEX('Inputs (2)'!$D$19:$AL$19,MATCH(Y$7,'Inputs (2)'!$D$2:$AL$2,0))</f>
        <v>0</v>
      </c>
      <c r="Z139" s="301">
        <f>INDEX('Inputs (2)'!$D$19:$AL$19,MATCH(Z$7,'Inputs (2)'!$D$2:$AL$2,0))</f>
        <v>0</v>
      </c>
      <c r="AA139" s="301">
        <f>INDEX('Inputs (2)'!$D$19:$AL$19,MATCH(AA$7,'Inputs (2)'!$D$2:$AL$2,0))</f>
        <v>0</v>
      </c>
      <c r="AB139" s="268">
        <f>AA139</f>
        <v>0</v>
      </c>
      <c r="AC139" s="301">
        <f>INDEX('Inputs (2)'!$D$19:$AL$19,MATCH(AC$7,'Inputs (2)'!$D$2:$AL$2,0))</f>
        <v>0</v>
      </c>
      <c r="AD139" s="301">
        <f>INDEX('Inputs (2)'!$D$19:$AL$19,MATCH(AD$7,'Inputs (2)'!$D$2:$AL$2,0))</f>
        <v>0</v>
      </c>
      <c r="AE139" s="301">
        <f>INDEX('Inputs (2)'!$D$19:$AL$19,MATCH(AE$7,'Inputs (2)'!$D$2:$AL$2,0))</f>
        <v>0</v>
      </c>
      <c r="AF139" s="301">
        <f>INDEX('Inputs (2)'!$D$19:$AL$19,MATCH(AF$7,'Inputs (2)'!$D$2:$AL$2,0))</f>
        <v>0</v>
      </c>
      <c r="AG139" s="268">
        <f>AF139</f>
        <v>0</v>
      </c>
      <c r="AH139" s="268">
        <f>INDEX('Inputs (2)'!$D$19:$AL$19,MATCH(AH$7,'Inputs (2)'!$D$2:$AL$2,0))</f>
        <v>0</v>
      </c>
      <c r="AI139" s="268">
        <f>INDEX('Inputs (2)'!$D$19:$AL$19,MATCH(AI$7,'Inputs (2)'!$D$2:$AL$2,0))</f>
        <v>0</v>
      </c>
      <c r="AJ139" s="268">
        <f>AI139</f>
        <v>0</v>
      </c>
      <c r="AK139" s="268">
        <f>AJ139</f>
        <v>0</v>
      </c>
      <c r="AL139" s="268">
        <f>AK139</f>
        <v>0</v>
      </c>
      <c r="AM139" s="268">
        <f>AL139</f>
        <v>0</v>
      </c>
      <c r="AN139" s="268">
        <f>AM139</f>
        <v>0</v>
      </c>
      <c r="AO139" s="268">
        <f>AN139</f>
        <v>0</v>
      </c>
      <c r="AP139" s="268">
        <f>AO139</f>
        <v>0</v>
      </c>
      <c r="AQ139" s="268">
        <f>AP139</f>
        <v>0</v>
      </c>
      <c r="AR139" s="268">
        <f>AQ139</f>
        <v>0</v>
      </c>
      <c r="AS139" s="268">
        <f>AR139</f>
        <v>0</v>
      </c>
      <c r="AT139" s="268">
        <f>AS139</f>
        <v>0</v>
      </c>
      <c r="AU139" s="268">
        <f>AT139</f>
        <v>0</v>
      </c>
      <c r="AV139" s="268">
        <f>AU139</f>
        <v>0</v>
      </c>
      <c r="AW139" s="268">
        <f>AV139</f>
        <v>0</v>
      </c>
      <c r="AX139" s="268">
        <f>AW139</f>
        <v>0</v>
      </c>
      <c r="AY139" s="268">
        <f>AX139</f>
        <v>0</v>
      </c>
      <c r="AZ139" s="268">
        <f>AY139</f>
        <v>0</v>
      </c>
      <c r="BA139" s="268">
        <f>AZ139</f>
        <v>0</v>
      </c>
      <c r="BB139" s="268">
        <f>BA139</f>
        <v>0</v>
      </c>
      <c r="BC139" s="268">
        <f>BB139</f>
        <v>0</v>
      </c>
      <c r="BD139" s="268">
        <f>BC139</f>
        <v>0</v>
      </c>
      <c r="BE139" s="268">
        <f>BD139</f>
        <v>0</v>
      </c>
      <c r="BF139" s="268">
        <f>BE139</f>
        <v>0</v>
      </c>
      <c r="BG139" s="268">
        <f>BF139</f>
        <v>0</v>
      </c>
      <c r="BH139" s="268">
        <f>BG139</f>
        <v>0</v>
      </c>
      <c r="BI139" s="268">
        <f>BH139</f>
        <v>0</v>
      </c>
      <c r="BJ139" s="268">
        <f>BI139</f>
        <v>0</v>
      </c>
      <c r="BK139" s="268">
        <f>BJ139</f>
        <v>0</v>
      </c>
      <c r="BL139" s="268">
        <f>BK139</f>
        <v>0</v>
      </c>
      <c r="BM139" s="268">
        <f>BL139</f>
        <v>0</v>
      </c>
      <c r="BN139" s="268">
        <f>BM139</f>
        <v>0</v>
      </c>
      <c r="BO139" s="268">
        <f>BN139</f>
        <v>0</v>
      </c>
      <c r="BP139" s="268">
        <f>BO139</f>
        <v>0</v>
      </c>
      <c r="BQ139" s="268">
        <f>BP139</f>
        <v>0</v>
      </c>
      <c r="BR139" s="268">
        <f>BQ139</f>
        <v>0</v>
      </c>
      <c r="BS139" s="268">
        <f>BR139</f>
        <v>0</v>
      </c>
      <c r="BT139" s="268">
        <f>BS139</f>
        <v>0</v>
      </c>
      <c r="BU139" s="268">
        <f>BT139</f>
        <v>0</v>
      </c>
      <c r="BV139" s="268">
        <f>BU139</f>
        <v>0</v>
      </c>
      <c r="BW139" s="268">
        <f>BV139</f>
        <v>0</v>
      </c>
      <c r="BX139" s="268">
        <f>BW139</f>
        <v>0</v>
      </c>
      <c r="BY139" s="268">
        <f>BX139</f>
        <v>0</v>
      </c>
      <c r="BZ139" s="268">
        <f>BY139</f>
        <v>0</v>
      </c>
      <c r="CA139" s="268">
        <f>BZ139</f>
        <v>0</v>
      </c>
      <c r="CB139" s="268">
        <f>CA139</f>
        <v>0</v>
      </c>
      <c r="CC139" s="268">
        <f>CB139</f>
        <v>0</v>
      </c>
      <c r="CD139" s="268">
        <f>CC139</f>
        <v>0</v>
      </c>
      <c r="CE139" s="268">
        <f>CD139</f>
        <v>0</v>
      </c>
      <c r="CF139" s="268">
        <f>CE139</f>
        <v>0</v>
      </c>
      <c r="CG139" s="268">
        <f>CF139</f>
        <v>0</v>
      </c>
      <c r="CH139" s="268">
        <f>CG139</f>
        <v>0</v>
      </c>
      <c r="CI139" s="268">
        <f>CH139</f>
        <v>0</v>
      </c>
      <c r="CJ139" s="268">
        <f>CI139</f>
        <v>0</v>
      </c>
      <c r="CK139" s="268">
        <f>CJ139</f>
        <v>0</v>
      </c>
      <c r="CL139" s="268">
        <f>CK139</f>
        <v>0</v>
      </c>
      <c r="CM139" s="268">
        <f>CL139</f>
        <v>0</v>
      </c>
      <c r="CN139" s="268">
        <f>CM139</f>
        <v>0</v>
      </c>
      <c r="CO139" s="268">
        <f>CN139</f>
        <v>0</v>
      </c>
      <c r="CP139" s="268">
        <f>CO139</f>
        <v>0</v>
      </c>
      <c r="CQ139" s="268">
        <f>CP139</f>
        <v>0</v>
      </c>
      <c r="CR139" s="268">
        <f>CQ139</f>
        <v>0</v>
      </c>
      <c r="CS139" s="268">
        <f>CR139</f>
        <v>0</v>
      </c>
      <c r="CT139" s="268">
        <f>CS139</f>
        <v>0</v>
      </c>
      <c r="CU139" s="268">
        <f>CT139</f>
        <v>0</v>
      </c>
      <c r="CV139" s="268">
        <f>CU139</f>
        <v>0</v>
      </c>
      <c r="CW139" s="268">
        <f>CV139</f>
        <v>0</v>
      </c>
      <c r="CX139" s="268">
        <f>CW139</f>
        <v>0</v>
      </c>
      <c r="CY139" s="268">
        <f>CX139</f>
        <v>0</v>
      </c>
    </row>
    <row r="140" ht="12.75" customHeight="1" s="255">
      <c r="C140" s="270" t="inlineStr">
        <is>
          <t>Other current assets</t>
        </is>
      </c>
      <c r="D140" s="301">
        <f>INDEX('Inputs (2)'!$D$20:$AL$20,MATCH(D$7,'Inputs (2)'!$D$2:$AL$2,0))</f>
        <v>1150</v>
      </c>
      <c r="E140" s="301">
        <f>INDEX('Inputs (2)'!$D$20:$AL$20,MATCH(E$7,'Inputs (2)'!$D$2:$AL$2,0))</f>
        <v>963</v>
      </c>
      <c r="F140" s="301">
        <f>INDEX('Inputs (2)'!$D$20:$AL$20,MATCH(F$7,'Inputs (2)'!$D$2:$AL$2,0))</f>
        <v>1023</v>
      </c>
      <c r="G140" s="301">
        <f>INDEX('Inputs (2)'!$D$20:$AL$20,MATCH(G$7,'Inputs (2)'!$D$2:$AL$2,0))</f>
        <v>1126</v>
      </c>
      <c r="H140" s="268">
        <f>G140</f>
        <v>1126</v>
      </c>
      <c r="I140" s="301">
        <f>INDEX('Inputs (2)'!$D$20:$AL$20,MATCH(I$7,'Inputs (2)'!$D$2:$AL$2,0))</f>
        <v>1255</v>
      </c>
      <c r="J140" s="301">
        <f>INDEX('Inputs (2)'!$D$20:$AL$20,MATCH(J$7,'Inputs (2)'!$D$2:$AL$2,0))</f>
        <v>1220</v>
      </c>
      <c r="K140" s="301">
        <f>INDEX('Inputs (2)'!$D$20:$AL$20,MATCH(K$7,'Inputs (2)'!$D$2:$AL$2,0))</f>
        <v>1312</v>
      </c>
      <c r="L140" s="301">
        <f>INDEX('Inputs (2)'!$D$20:$AL$20,MATCH(L$7,'Inputs (2)'!$D$2:$AL$2,0))</f>
        <v>1500</v>
      </c>
      <c r="M140" s="268">
        <f>L140</f>
        <v>1500</v>
      </c>
      <c r="N140" s="301">
        <f>INDEX('Inputs (2)'!$D$20:$AL$20,MATCH(N$7,'Inputs (2)'!$D$2:$AL$2,0))</f>
        <v>1552</v>
      </c>
      <c r="O140" s="301">
        <f>INDEX('Inputs (2)'!$D$20:$AL$20,MATCH(O$7,'Inputs (2)'!$D$2:$AL$2,0))</f>
        <v>1563</v>
      </c>
      <c r="P140" s="301">
        <f>INDEX('Inputs (2)'!$D$20:$AL$20,MATCH(P$7,'Inputs (2)'!$D$2:$AL$2,0))</f>
        <v>1499</v>
      </c>
      <c r="Q140" s="301">
        <f>INDEX('Inputs (2)'!$D$20:$AL$20,MATCH(Q$7,'Inputs (2)'!$D$2:$AL$2,0))</f>
        <v>1594</v>
      </c>
      <c r="R140" s="268">
        <f>Q140</f>
        <v>1594</v>
      </c>
      <c r="S140" s="301">
        <f>INDEX('Inputs (2)'!$D$20:$AL$20,MATCH(S$7,'Inputs (2)'!$D$2:$AL$2,0))</f>
        <v>1830</v>
      </c>
      <c r="T140" s="301">
        <f>INDEX('Inputs (2)'!$D$20:$AL$20,MATCH(T$7,'Inputs (2)'!$D$2:$AL$2,0))</f>
        <v>1755</v>
      </c>
      <c r="U140" s="301">
        <f>INDEX('Inputs (2)'!$D$20:$AL$20,MATCH(U$7,'Inputs (2)'!$D$2:$AL$2,0))</f>
        <v>1709</v>
      </c>
      <c r="V140" s="301">
        <f>INDEX('Inputs (2)'!$D$20:$AL$20,MATCH(V$7,'Inputs (2)'!$D$2:$AL$2,0))</f>
        <v>1673</v>
      </c>
      <c r="W140" s="268">
        <f>V140</f>
        <v>1673</v>
      </c>
      <c r="X140" s="301">
        <f>INDEX('Inputs (2)'!$D$20:$AL$20,MATCH(X$7,'Inputs (2)'!$D$2:$AL$2,0))</f>
        <v>1971</v>
      </c>
      <c r="Y140" s="301">
        <f>INDEX('Inputs (2)'!$D$20:$AL$20,MATCH(Y$7,'Inputs (2)'!$D$2:$AL$2,0))</f>
        <v>1776</v>
      </c>
      <c r="Z140" s="301">
        <f>INDEX('Inputs (2)'!$D$20:$AL$20,MATCH(Z$7,'Inputs (2)'!$D$2:$AL$2,0))</f>
        <v>1734</v>
      </c>
      <c r="AA140" s="301">
        <f>INDEX('Inputs (2)'!$D$20:$AL$20,MATCH(AA$7,'Inputs (2)'!$D$2:$AL$2,0))</f>
        <v>1754</v>
      </c>
      <c r="AB140" s="268">
        <f>AA140</f>
        <v>1754</v>
      </c>
      <c r="AC140" s="301">
        <f>INDEX('Inputs (2)'!$D$20:$AL$20,MATCH(AC$7,'Inputs (2)'!$D$2:$AL$2,0))</f>
        <v>1925</v>
      </c>
      <c r="AD140" s="301">
        <f>INDEX('Inputs (2)'!$D$20:$AL$20,MATCH(AD$7,'Inputs (2)'!$D$2:$AL$2,0))</f>
        <v>1820</v>
      </c>
      <c r="AE140" s="301">
        <f>INDEX('Inputs (2)'!$D$20:$AL$20,MATCH(AE$7,'Inputs (2)'!$D$2:$AL$2,0))</f>
        <v>1777</v>
      </c>
      <c r="AF140" s="301">
        <f>INDEX('Inputs (2)'!$D$20:$AL$20,MATCH(AF$7,'Inputs (2)'!$D$2:$AL$2,0))</f>
        <v>1856</v>
      </c>
      <c r="AG140" s="268">
        <f>AF140</f>
        <v>1856</v>
      </c>
      <c r="AH140" s="268">
        <f>INDEX('Inputs (2)'!$D$20:$AL$20,MATCH(AH$7,'Inputs (2)'!$D$2:$AL$2,0))</f>
        <v>2120</v>
      </c>
      <c r="AI140" s="268">
        <f>INDEX('Inputs (2)'!$D$20:$AL$20,MATCH(AI$7,'Inputs (2)'!$D$2:$AL$2,0))</f>
        <v>2013</v>
      </c>
      <c r="AJ140" s="268">
        <f>AI140</f>
        <v>2013</v>
      </c>
      <c r="AK140" s="268">
        <f>AJ140</f>
        <v>2013</v>
      </c>
      <c r="AL140" s="268">
        <f>AK140</f>
        <v>2013</v>
      </c>
      <c r="AM140" s="268">
        <f>AL140</f>
        <v>2013</v>
      </c>
      <c r="AN140" s="268">
        <f>AM140</f>
        <v>2013</v>
      </c>
      <c r="AO140" s="268">
        <f>AN140</f>
        <v>2013</v>
      </c>
      <c r="AP140" s="268">
        <f>AO140</f>
        <v>2013</v>
      </c>
      <c r="AQ140" s="268">
        <f>AP140</f>
        <v>2013</v>
      </c>
      <c r="AR140" s="268">
        <f>AQ140</f>
        <v>2013</v>
      </c>
      <c r="AS140" s="268">
        <f>AR140</f>
        <v>2013</v>
      </c>
      <c r="AT140" s="268">
        <f>AS140</f>
        <v>2013</v>
      </c>
      <c r="AU140" s="268">
        <f>AT140</f>
        <v>2013</v>
      </c>
      <c r="AV140" s="268">
        <f>AU140</f>
        <v>2013</v>
      </c>
      <c r="AW140" s="268">
        <f>AV140</f>
        <v>2013</v>
      </c>
      <c r="AX140" s="268">
        <f>AW140</f>
        <v>2013</v>
      </c>
      <c r="AY140" s="268">
        <f>AX140</f>
        <v>2013</v>
      </c>
      <c r="AZ140" s="268">
        <f>AY140</f>
        <v>2013</v>
      </c>
      <c r="BA140" s="268">
        <f>AZ140</f>
        <v>2013</v>
      </c>
      <c r="BB140" s="268">
        <f>BA140</f>
        <v>2013</v>
      </c>
      <c r="BC140" s="268">
        <f>BB140</f>
        <v>2013</v>
      </c>
      <c r="BD140" s="268">
        <f>BC140</f>
        <v>2013</v>
      </c>
      <c r="BE140" s="268">
        <f>BD140</f>
        <v>2013</v>
      </c>
      <c r="BF140" s="268">
        <f>BE140</f>
        <v>2013</v>
      </c>
      <c r="BG140" s="268">
        <f>BF140</f>
        <v>2013</v>
      </c>
      <c r="BH140" s="268">
        <f>BG140</f>
        <v>2013</v>
      </c>
      <c r="BI140" s="268">
        <f>BH140</f>
        <v>2013</v>
      </c>
      <c r="BJ140" s="268">
        <f>BI140</f>
        <v>2013</v>
      </c>
      <c r="BK140" s="268">
        <f>BJ140</f>
        <v>2013</v>
      </c>
      <c r="BL140" s="268">
        <f>BK140</f>
        <v>2013</v>
      </c>
      <c r="BM140" s="268">
        <f>BL140</f>
        <v>2013</v>
      </c>
      <c r="BN140" s="268">
        <f>BM140</f>
        <v>2013</v>
      </c>
      <c r="BO140" s="268">
        <f>BN140</f>
        <v>2013</v>
      </c>
      <c r="BP140" s="268">
        <f>BO140</f>
        <v>2013</v>
      </c>
      <c r="BQ140" s="268">
        <f>BP140</f>
        <v>2013</v>
      </c>
      <c r="BR140" s="268">
        <f>BQ140</f>
        <v>2013</v>
      </c>
      <c r="BS140" s="268">
        <f>BR140</f>
        <v>2013</v>
      </c>
      <c r="BT140" s="268">
        <f>BS140</f>
        <v>2013</v>
      </c>
      <c r="BU140" s="268">
        <f>BT140</f>
        <v>2013</v>
      </c>
      <c r="BV140" s="268">
        <f>BU140</f>
        <v>2013</v>
      </c>
      <c r="BW140" s="268">
        <f>BV140</f>
        <v>2013</v>
      </c>
      <c r="BX140" s="268">
        <f>BW140</f>
        <v>2013</v>
      </c>
      <c r="BY140" s="268">
        <f>BX140</f>
        <v>2013</v>
      </c>
      <c r="BZ140" s="268">
        <f>BY140</f>
        <v>2013</v>
      </c>
      <c r="CA140" s="268">
        <f>BZ140</f>
        <v>2013</v>
      </c>
      <c r="CB140" s="268">
        <f>CA140</f>
        <v>2013</v>
      </c>
      <c r="CC140" s="268">
        <f>CB140</f>
        <v>2013</v>
      </c>
      <c r="CD140" s="268">
        <f>CC140</f>
        <v>2013</v>
      </c>
      <c r="CE140" s="268">
        <f>CD140</f>
        <v>2013</v>
      </c>
      <c r="CF140" s="268">
        <f>CE140</f>
        <v>2013</v>
      </c>
      <c r="CG140" s="268">
        <f>CF140</f>
        <v>2013</v>
      </c>
      <c r="CH140" s="268">
        <f>CG140</f>
        <v>2013</v>
      </c>
      <c r="CI140" s="268">
        <f>CH140</f>
        <v>2013</v>
      </c>
      <c r="CJ140" s="268">
        <f>CI140</f>
        <v>2013</v>
      </c>
      <c r="CK140" s="268">
        <f>CJ140</f>
        <v>2013</v>
      </c>
      <c r="CL140" s="268">
        <f>CK140</f>
        <v>2013</v>
      </c>
      <c r="CM140" s="268">
        <f>CL140</f>
        <v>2013</v>
      </c>
      <c r="CN140" s="268">
        <f>CM140</f>
        <v>2013</v>
      </c>
      <c r="CO140" s="268">
        <f>CN140</f>
        <v>2013</v>
      </c>
      <c r="CP140" s="268">
        <f>CO140</f>
        <v>2013</v>
      </c>
      <c r="CQ140" s="268">
        <f>CP140</f>
        <v>2013</v>
      </c>
      <c r="CR140" s="268">
        <f>CQ140</f>
        <v>2013</v>
      </c>
      <c r="CS140" s="268">
        <f>CR140</f>
        <v>2013</v>
      </c>
      <c r="CT140" s="268">
        <f>CS140</f>
        <v>2013</v>
      </c>
      <c r="CU140" s="268">
        <f>CT140</f>
        <v>2013</v>
      </c>
      <c r="CV140" s="268">
        <f>CU140</f>
        <v>2013</v>
      </c>
      <c r="CW140" s="268">
        <f>CV140</f>
        <v>2013</v>
      </c>
      <c r="CX140" s="268">
        <f>CW140</f>
        <v>2013</v>
      </c>
      <c r="CY140" s="268">
        <f>CX140</f>
        <v>2013</v>
      </c>
    </row>
    <row r="141" hidden="1" outlineLevel="1" ht="12.75" customHeight="1" s="255">
      <c r="C141" s="314" t="inlineStr">
        <is>
          <t>%(Var.)</t>
        </is>
      </c>
      <c r="D141" s="268" t="n"/>
      <c r="E141" s="296">
        <f>(E140-D140)/D140</f>
        <v>-0.162608695652174</v>
      </c>
      <c r="F141" s="296">
        <f>(F140-E140)/E140</f>
        <v>0.0623052959501558</v>
      </c>
      <c r="G141" s="296">
        <f>(G140-F140)/F140</f>
        <v>0.100684261974585</v>
      </c>
      <c r="H141" s="268" t="n"/>
      <c r="I141" s="296">
        <f>(I140-H140)/H140</f>
        <v>0.114564831261101</v>
      </c>
      <c r="J141" s="296">
        <f>(J140-I140)/I140</f>
        <v>-0.0278884462151394</v>
      </c>
      <c r="K141" s="296">
        <f>(K140-J140)/J140</f>
        <v>0.0754098360655738</v>
      </c>
      <c r="L141" s="296">
        <f>(L140-K140)/K140</f>
        <v>0.143292682926829</v>
      </c>
      <c r="M141" s="268" t="n"/>
      <c r="N141" s="296">
        <f>(N140-M140)/M140</f>
        <v>0.0346666666666667</v>
      </c>
      <c r="O141" s="296">
        <f>(O140-N140)/N140</f>
        <v>0.00708762886597938</v>
      </c>
      <c r="P141" s="296">
        <f>(P140-O140)/O140</f>
        <v>-0.0409468969929623</v>
      </c>
      <c r="Q141" s="296">
        <f>(Q140-P140)/P140</f>
        <v>0.0633755837224817</v>
      </c>
      <c r="R141" s="268" t="n"/>
      <c r="S141" s="296">
        <f>(S140-R140)/R140</f>
        <v>0.148055207026349</v>
      </c>
      <c r="T141" s="296">
        <f>(T140-S140)/S140</f>
        <v>-0.040983606557377</v>
      </c>
      <c r="U141" s="296">
        <f>(U140-T140)/T140</f>
        <v>-0.0262108262108262</v>
      </c>
      <c r="V141" s="296">
        <f>(V140-U140)/U140</f>
        <v>-0.0210649502633119</v>
      </c>
      <c r="W141" s="268" t="n"/>
      <c r="X141" s="296">
        <f>(X140-W140)/W140</f>
        <v>0.178123132098028</v>
      </c>
      <c r="Y141" s="296">
        <f>(Y140-X140)/X140</f>
        <v>-0.0989345509893455</v>
      </c>
      <c r="Z141" s="296">
        <f>(Z140-Y140)/Y140</f>
        <v>-0.0236486486486487</v>
      </c>
      <c r="AA141" s="296">
        <f>(AA140-Z140)/Z140</f>
        <v>0.0115340253748558</v>
      </c>
      <c r="AB141" s="268" t="n"/>
      <c r="AC141" s="296">
        <f>(AC140-AB140)/AB140</f>
        <v>0.0974914481185861</v>
      </c>
      <c r="AD141" s="296">
        <f>(AD140-AC140)/AC140</f>
        <v>-0.0545454545454545</v>
      </c>
      <c r="AE141" s="296">
        <f>(AE140-AD140)/AD140</f>
        <v>-0.0236263736263736</v>
      </c>
      <c r="AF141" s="311">
        <f>(AF140-AE140)/AE140</f>
        <v>0.0444569499155881</v>
      </c>
      <c r="AG141" s="268" t="n"/>
      <c r="AH141" s="268">
        <f>(AH140-AG140)/AG140</f>
        <v>0.142241379310345</v>
      </c>
      <c r="AI141" s="268">
        <f>(AI140-AH140)/AH140</f>
        <v>-0.0504716981132076</v>
      </c>
      <c r="AJ141" s="268" t="n"/>
      <c r="AK141" s="268" t="n"/>
      <c r="AL141" s="268" t="n"/>
      <c r="AM141" s="268" t="n"/>
      <c r="AN141" s="268" t="n"/>
      <c r="AO141" s="268" t="n"/>
      <c r="AP141" s="268" t="n"/>
      <c r="AQ141" s="268" t="n"/>
      <c r="AR141" s="268" t="n"/>
      <c r="AS141" s="268" t="n"/>
      <c r="AT141" s="268" t="n"/>
      <c r="AU141" s="268" t="n"/>
      <c r="AV141" s="268" t="n"/>
      <c r="AW141" s="268" t="n"/>
      <c r="AX141" s="268" t="n"/>
      <c r="AY141" s="268" t="n"/>
      <c r="AZ141" s="268" t="n"/>
      <c r="BA141" s="268" t="n"/>
      <c r="BB141" s="268" t="n"/>
      <c r="BC141" s="268" t="n"/>
      <c r="BD141" s="268" t="n"/>
      <c r="BE141" s="268" t="n"/>
      <c r="BF141" s="268" t="n"/>
      <c r="BG141" s="268" t="n"/>
      <c r="BH141" s="268" t="n"/>
      <c r="BI141" s="268" t="n"/>
      <c r="BJ141" s="268" t="n"/>
      <c r="BK141" s="268" t="n"/>
      <c r="BL141" s="268" t="n"/>
      <c r="BM141" s="268" t="n"/>
      <c r="BN141" s="268" t="n"/>
      <c r="BO141" s="268" t="n"/>
      <c r="BP141" s="268" t="n"/>
      <c r="BQ141" s="268" t="n"/>
      <c r="BR141" s="268" t="n"/>
      <c r="BS141" s="268" t="n"/>
      <c r="BT141" s="268" t="n"/>
      <c r="BU141" s="268" t="n"/>
      <c r="BV141" s="268" t="n"/>
      <c r="BW141" s="268" t="n"/>
      <c r="BX141" s="268" t="n"/>
      <c r="BY141" s="268" t="n"/>
      <c r="BZ141" s="268" t="n"/>
      <c r="CA141" s="268" t="n"/>
      <c r="CB141" s="268" t="n"/>
      <c r="CC141" s="268" t="n"/>
      <c r="CD141" s="268" t="n"/>
      <c r="CE141" s="268" t="n"/>
      <c r="CF141" s="268" t="n"/>
      <c r="CG141" s="268" t="n"/>
      <c r="CH141" s="268" t="n"/>
      <c r="CI141" s="268" t="n"/>
      <c r="CJ141" s="268" t="n"/>
      <c r="CK141" s="268" t="n"/>
      <c r="CL141" s="268" t="n"/>
      <c r="CM141" s="268" t="n"/>
      <c r="CN141" s="268" t="n"/>
      <c r="CO141" s="268" t="n"/>
      <c r="CP141" s="268" t="n"/>
      <c r="CQ141" s="268" t="n"/>
      <c r="CR141" s="268" t="n"/>
      <c r="CS141" s="268" t="n"/>
      <c r="CT141" s="268" t="n"/>
      <c r="CU141" s="268" t="n"/>
      <c r="CV141" s="268" t="n"/>
      <c r="CW141" s="268" t="n"/>
      <c r="CX141" s="268" t="n"/>
      <c r="CY141" s="268" t="n"/>
    </row>
    <row r="142" hidden="1" outlineLevel="1" ht="12.75" customHeight="1" s="255">
      <c r="C142" s="312" t="n"/>
      <c r="D142" s="268" t="n"/>
      <c r="E142" s="296" t="n"/>
      <c r="F142" s="268" t="n"/>
      <c r="G142" s="268" t="n"/>
      <c r="H142" s="268" t="n"/>
      <c r="I142" s="268" t="n"/>
      <c r="J142" s="268" t="n"/>
      <c r="K142" s="268" t="n"/>
      <c r="L142" s="268" t="n"/>
      <c r="M142" s="268" t="n"/>
      <c r="N142" s="268" t="n"/>
      <c r="O142" s="268" t="n"/>
      <c r="P142" s="268" t="n"/>
      <c r="Q142" s="268" t="n"/>
      <c r="R142" s="268" t="n"/>
      <c r="S142" s="268" t="n"/>
      <c r="T142" s="268" t="n"/>
      <c r="U142" s="268" t="n"/>
      <c r="V142" s="268" t="n"/>
      <c r="W142" s="268" t="n"/>
      <c r="X142" s="268" t="n"/>
      <c r="Y142" s="268" t="n"/>
      <c r="Z142" s="268" t="n"/>
      <c r="AA142" s="268" t="n"/>
      <c r="AB142" s="268" t="n"/>
      <c r="AC142" s="268" t="n"/>
      <c r="AD142" s="268" t="n"/>
      <c r="AE142" s="268" t="n"/>
      <c r="AF142" s="268" t="n"/>
      <c r="AG142" s="268" t="n"/>
      <c r="AH142" s="268" t="n"/>
      <c r="AI142" s="268" t="n"/>
      <c r="AJ142" s="268" t="n"/>
      <c r="AK142" s="268" t="n"/>
      <c r="AL142" s="268" t="n"/>
      <c r="AM142" s="268" t="n"/>
      <c r="AN142" s="268" t="n"/>
      <c r="AO142" s="268" t="n"/>
      <c r="AP142" s="268" t="n"/>
      <c r="AQ142" s="268" t="n"/>
      <c r="AR142" s="268" t="n"/>
      <c r="AS142" s="268" t="n"/>
      <c r="AT142" s="268" t="n"/>
      <c r="AU142" s="268" t="n"/>
      <c r="AV142" s="268" t="n"/>
      <c r="AW142" s="268" t="n"/>
      <c r="AX142" s="268" t="n"/>
      <c r="AY142" s="268" t="n"/>
      <c r="AZ142" s="268" t="n"/>
      <c r="BA142" s="268" t="n"/>
      <c r="BB142" s="268" t="n"/>
      <c r="BC142" s="268" t="n"/>
      <c r="BD142" s="268" t="n"/>
      <c r="BE142" s="268" t="n"/>
      <c r="BF142" s="268" t="n"/>
      <c r="BG142" s="268" t="n"/>
      <c r="BH142" s="268" t="n"/>
      <c r="BI142" s="268" t="n"/>
      <c r="BJ142" s="268" t="n"/>
      <c r="BK142" s="268" t="n"/>
      <c r="BL142" s="268" t="n"/>
      <c r="BM142" s="268" t="n"/>
      <c r="BN142" s="268" t="n"/>
      <c r="BO142" s="268" t="n"/>
      <c r="BP142" s="268" t="n"/>
      <c r="BQ142" s="268" t="n"/>
      <c r="BR142" s="268" t="n"/>
      <c r="BS142" s="268" t="n"/>
      <c r="BT142" s="268" t="n"/>
      <c r="BU142" s="268" t="n"/>
      <c r="BV142" s="268" t="n"/>
      <c r="BW142" s="268" t="n"/>
      <c r="BX142" s="268" t="n"/>
      <c r="BY142" s="268" t="n"/>
      <c r="BZ142" s="268" t="n"/>
      <c r="CA142" s="268" t="n"/>
      <c r="CB142" s="268" t="n"/>
      <c r="CC142" s="268" t="n"/>
      <c r="CD142" s="268" t="n"/>
      <c r="CE142" s="268" t="n"/>
      <c r="CF142" s="268" t="n"/>
      <c r="CG142" s="268" t="n"/>
      <c r="CH142" s="268" t="n"/>
      <c r="CI142" s="268" t="n"/>
      <c r="CJ142" s="268" t="n"/>
      <c r="CK142" s="268" t="n"/>
      <c r="CL142" s="268" t="n"/>
      <c r="CM142" s="268" t="n"/>
      <c r="CN142" s="268" t="n"/>
      <c r="CO142" s="268" t="n"/>
      <c r="CP142" s="268" t="n"/>
      <c r="CQ142" s="268" t="n"/>
      <c r="CR142" s="268" t="n"/>
      <c r="CS142" s="268" t="n"/>
      <c r="CT142" s="268" t="n"/>
      <c r="CU142" s="268" t="n"/>
      <c r="CV142" s="268" t="n"/>
      <c r="CW142" s="268" t="n"/>
      <c r="CX142" s="268" t="n"/>
      <c r="CY142" s="268" t="n"/>
    </row>
    <row r="143" hidden="1" outlineLevel="1" ht="12.75" customHeight="1" s="255">
      <c r="C143" s="315" t="inlineStr">
        <is>
          <t xml:space="preserve">Impostos e Contribuições a Recuperar </t>
        </is>
      </c>
      <c r="D143" s="267" t="n"/>
      <c r="E143" s="267" t="n"/>
      <c r="F143" s="267" t="n"/>
      <c r="G143" s="267" t="n"/>
      <c r="H143" s="268" t="n"/>
      <c r="I143" s="267" t="n"/>
      <c r="J143" s="267" t="n"/>
      <c r="K143" s="267" t="n"/>
      <c r="L143" s="267" t="n"/>
      <c r="M143" s="268" t="n"/>
      <c r="N143" s="267" t="n"/>
      <c r="O143" s="267" t="n"/>
      <c r="P143" s="267" t="n"/>
      <c r="Q143" s="267" t="n"/>
      <c r="R143" s="268" t="n"/>
      <c r="S143" s="267" t="n"/>
      <c r="T143" s="267" t="n"/>
      <c r="U143" s="267" t="n"/>
      <c r="V143" s="267" t="n"/>
      <c r="W143" s="268" t="n"/>
      <c r="X143" s="267" t="n"/>
      <c r="Y143" s="267" t="n"/>
      <c r="Z143" s="267" t="n"/>
      <c r="AA143" s="267" t="n"/>
      <c r="AB143" s="268" t="n"/>
      <c r="AC143" s="267" t="n"/>
      <c r="AD143" s="267" t="n"/>
      <c r="AE143" s="267" t="n"/>
      <c r="AF143" s="267" t="n"/>
      <c r="AG143" s="268">
        <f>AF143</f>
        <v>0</v>
      </c>
      <c r="AH143" s="316">
        <f>AG143*AH15/AG15</f>
        <v>0</v>
      </c>
      <c r="AI143" s="316">
        <f>AH143*AI15/AH15</f>
        <v>0</v>
      </c>
      <c r="AJ143" s="316">
        <f>AI143*AJ15/AI15</f>
        <v>0</v>
      </c>
      <c r="AK143" s="316">
        <f>AJ143*AK15/AJ15</f>
        <v>0</v>
      </c>
      <c r="AL143" s="268">
        <f>AK143</f>
        <v>0</v>
      </c>
      <c r="AM143" s="268" t="n"/>
      <c r="AN143" s="268" t="n"/>
      <c r="AO143" s="268" t="n"/>
      <c r="AP143" s="268" t="n"/>
      <c r="AQ143" s="268" t="n"/>
      <c r="AR143" s="268" t="n"/>
      <c r="AS143" s="268" t="n"/>
      <c r="AT143" s="268" t="n"/>
      <c r="AU143" s="268" t="n"/>
      <c r="AV143" s="268" t="n"/>
      <c r="AW143" s="268" t="n"/>
      <c r="AX143" s="268" t="n"/>
      <c r="AY143" s="268" t="n"/>
      <c r="AZ143" s="268" t="n"/>
      <c r="BA143" s="268" t="n"/>
      <c r="BB143" s="268" t="n"/>
      <c r="BC143" s="268" t="n"/>
      <c r="BD143" s="268" t="n"/>
      <c r="BE143" s="268" t="n"/>
      <c r="BF143" s="268" t="n"/>
      <c r="BG143" s="268" t="n"/>
      <c r="BH143" s="268" t="n"/>
      <c r="BI143" s="268" t="n"/>
      <c r="BJ143" s="268" t="n"/>
      <c r="BK143" s="268" t="n"/>
      <c r="BL143" s="268" t="n"/>
      <c r="BM143" s="268" t="n"/>
      <c r="BN143" s="268" t="n"/>
      <c r="BO143" s="268" t="n"/>
      <c r="BP143" s="268" t="n"/>
      <c r="BQ143" s="268" t="n"/>
      <c r="BR143" s="268" t="n"/>
      <c r="BS143" s="268" t="n"/>
      <c r="BT143" s="268" t="n"/>
      <c r="BU143" s="268" t="n"/>
      <c r="BV143" s="268" t="n"/>
      <c r="BW143" s="268" t="n"/>
      <c r="BX143" s="268" t="n"/>
      <c r="BY143" s="268" t="n"/>
      <c r="BZ143" s="268" t="n"/>
      <c r="CA143" s="268" t="n"/>
      <c r="CB143" s="268" t="n"/>
      <c r="CC143" s="268" t="n"/>
      <c r="CD143" s="268" t="n"/>
      <c r="CE143" s="268" t="n"/>
      <c r="CF143" s="268" t="n"/>
      <c r="CG143" s="268" t="n"/>
      <c r="CH143" s="268" t="n"/>
      <c r="CI143" s="268" t="n"/>
      <c r="CJ143" s="268" t="n"/>
      <c r="CK143" s="268" t="n"/>
      <c r="CL143" s="268" t="n"/>
      <c r="CM143" s="268" t="n"/>
      <c r="CN143" s="268" t="n"/>
      <c r="CO143" s="268" t="n"/>
      <c r="CP143" s="268" t="n"/>
      <c r="CQ143" s="268" t="n"/>
      <c r="CR143" s="268" t="n"/>
      <c r="CS143" s="268" t="n"/>
      <c r="CT143" s="268" t="n"/>
      <c r="CU143" s="268" t="n"/>
      <c r="CV143" s="268" t="n"/>
      <c r="CW143" s="268" t="n"/>
      <c r="CX143" s="268" t="n"/>
      <c r="CY143" s="268" t="n"/>
    </row>
    <row r="144" hidden="1" outlineLevel="1" ht="12.75" customHeight="1" s="255">
      <c r="C144" s="315" t="inlineStr">
        <is>
          <t>Outros Créditos</t>
        </is>
      </c>
      <c r="D144" s="267" t="n"/>
      <c r="E144" s="267" t="n"/>
      <c r="F144" s="267" t="n"/>
      <c r="G144" s="267" t="n"/>
      <c r="H144" s="268" t="n"/>
      <c r="I144" s="267" t="n"/>
      <c r="J144" s="267" t="n"/>
      <c r="K144" s="267" t="n"/>
      <c r="L144" s="267" t="n"/>
      <c r="M144" s="268" t="n"/>
      <c r="N144" s="267" t="n"/>
      <c r="O144" s="267" t="n"/>
      <c r="P144" s="267" t="n"/>
      <c r="Q144" s="267" t="n"/>
      <c r="R144" s="268" t="n"/>
      <c r="S144" s="267" t="n"/>
      <c r="T144" s="267" t="n"/>
      <c r="U144" s="267" t="n"/>
      <c r="V144" s="267" t="n"/>
      <c r="W144" s="268" t="n"/>
      <c r="X144" s="267" t="n"/>
      <c r="Y144" s="267" t="n"/>
      <c r="Z144" s="267" t="n"/>
      <c r="AA144" s="267" t="n"/>
      <c r="AB144" s="268" t="n"/>
      <c r="AC144" s="267" t="n"/>
      <c r="AD144" s="267" t="n"/>
      <c r="AE144" s="267" t="n"/>
      <c r="AF144" s="267" t="n"/>
      <c r="AG144" s="268">
        <f>AF144</f>
        <v>0</v>
      </c>
      <c r="AH144" s="268">
        <f>AG144</f>
        <v>0</v>
      </c>
      <c r="AI144" s="268">
        <f>AH144</f>
        <v>0</v>
      </c>
      <c r="AJ144" s="268">
        <f>AI144</f>
        <v>0</v>
      </c>
      <c r="AK144" s="268">
        <f>AJ144</f>
        <v>0</v>
      </c>
      <c r="AL144" s="268">
        <f>AK144</f>
        <v>0</v>
      </c>
      <c r="AM144" s="268" t="n"/>
      <c r="AN144" s="268" t="n"/>
      <c r="AO144" s="268" t="n"/>
      <c r="AP144" s="268" t="n"/>
      <c r="AQ144" s="268" t="n"/>
      <c r="AR144" s="268" t="n"/>
      <c r="AS144" s="268" t="n"/>
      <c r="AT144" s="268" t="n"/>
      <c r="AU144" s="268" t="n"/>
      <c r="AV144" s="268" t="n"/>
      <c r="AW144" s="268" t="n"/>
      <c r="AX144" s="268" t="n"/>
      <c r="AY144" s="268" t="n"/>
      <c r="AZ144" s="268" t="n"/>
      <c r="BA144" s="268" t="n"/>
      <c r="BB144" s="268" t="n"/>
      <c r="BC144" s="268" t="n"/>
      <c r="BD144" s="268" t="n"/>
      <c r="BE144" s="268" t="n"/>
      <c r="BF144" s="268" t="n"/>
      <c r="BG144" s="268" t="n"/>
      <c r="BH144" s="268" t="n"/>
      <c r="BI144" s="268" t="n"/>
      <c r="BJ144" s="268" t="n"/>
      <c r="BK144" s="268" t="n"/>
      <c r="BL144" s="268" t="n"/>
      <c r="BM144" s="268" t="n"/>
      <c r="BN144" s="268" t="n"/>
      <c r="BO144" s="268" t="n"/>
      <c r="BP144" s="268" t="n"/>
      <c r="BQ144" s="268" t="n"/>
      <c r="BR144" s="268" t="n"/>
      <c r="BS144" s="268" t="n"/>
      <c r="BT144" s="268" t="n"/>
      <c r="BU144" s="268" t="n"/>
      <c r="BV144" s="268" t="n"/>
      <c r="BW144" s="268" t="n"/>
      <c r="BX144" s="268" t="n"/>
      <c r="BY144" s="268" t="n"/>
      <c r="BZ144" s="268" t="n"/>
      <c r="CA144" s="268" t="n"/>
      <c r="CB144" s="268" t="n"/>
      <c r="CC144" s="268" t="n"/>
      <c r="CD144" s="268" t="n"/>
      <c r="CE144" s="268" t="n"/>
      <c r="CF144" s="268" t="n"/>
      <c r="CG144" s="268" t="n"/>
      <c r="CH144" s="268" t="n"/>
      <c r="CI144" s="268" t="n"/>
      <c r="CJ144" s="268" t="n"/>
      <c r="CK144" s="268" t="n"/>
      <c r="CL144" s="268" t="n"/>
      <c r="CM144" s="268" t="n"/>
      <c r="CN144" s="268" t="n"/>
      <c r="CO144" s="268" t="n"/>
      <c r="CP144" s="268" t="n"/>
      <c r="CQ144" s="268" t="n"/>
      <c r="CR144" s="268" t="n"/>
      <c r="CS144" s="268" t="n"/>
      <c r="CT144" s="268" t="n"/>
      <c r="CU144" s="268" t="n"/>
      <c r="CV144" s="268" t="n"/>
      <c r="CW144" s="268" t="n"/>
      <c r="CX144" s="268" t="n"/>
      <c r="CY144" s="268" t="n"/>
    </row>
    <row r="145" hidden="1" outlineLevel="1" ht="12.75" customHeight="1" s="255">
      <c r="C145" s="312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  <c r="W145" s="268" t="n"/>
      <c r="X145" s="268" t="n"/>
      <c r="Y145" s="268" t="n"/>
      <c r="Z145" s="268" t="n"/>
      <c r="AA145" s="268" t="n"/>
      <c r="AB145" s="268" t="n"/>
      <c r="AC145" s="268" t="n"/>
      <c r="AD145" s="268" t="n"/>
      <c r="AE145" s="268" t="n"/>
      <c r="AF145" s="268" t="n"/>
      <c r="AG145" s="268" t="n"/>
      <c r="AH145" s="268" t="n"/>
      <c r="AI145" s="268" t="n"/>
      <c r="AJ145" s="268" t="n"/>
      <c r="AK145" s="268" t="n"/>
      <c r="AL145" s="268" t="n"/>
      <c r="AM145" s="268" t="n"/>
      <c r="AN145" s="268" t="n"/>
      <c r="AO145" s="268" t="n"/>
      <c r="AP145" s="268" t="n"/>
      <c r="AQ145" s="268" t="n"/>
      <c r="AR145" s="268" t="n"/>
      <c r="AS145" s="268" t="n"/>
      <c r="AT145" s="268" t="n"/>
      <c r="AU145" s="268" t="n"/>
      <c r="AV145" s="268" t="n"/>
      <c r="AW145" s="268" t="n"/>
      <c r="AX145" s="268" t="n"/>
      <c r="AY145" s="268" t="n"/>
      <c r="AZ145" s="268" t="n"/>
      <c r="BA145" s="268" t="n"/>
      <c r="BB145" s="268" t="n"/>
      <c r="BC145" s="268" t="n"/>
      <c r="BD145" s="268" t="n"/>
      <c r="BE145" s="268" t="n"/>
      <c r="BF145" s="268" t="n"/>
      <c r="BG145" s="268" t="n"/>
      <c r="BH145" s="268" t="n"/>
      <c r="BI145" s="268" t="n"/>
      <c r="BJ145" s="268" t="n"/>
      <c r="BK145" s="268" t="n"/>
      <c r="BL145" s="268" t="n"/>
      <c r="BM145" s="268" t="n"/>
      <c r="BN145" s="268" t="n"/>
      <c r="BO145" s="268" t="n"/>
      <c r="BP145" s="268" t="n"/>
      <c r="BQ145" s="268" t="n"/>
      <c r="BR145" s="268" t="n"/>
      <c r="BS145" s="268" t="n"/>
      <c r="BT145" s="268" t="n"/>
      <c r="BU145" s="268" t="n"/>
      <c r="BV145" s="268" t="n"/>
      <c r="BW145" s="268" t="n"/>
      <c r="BX145" s="268" t="n"/>
      <c r="BY145" s="268" t="n"/>
      <c r="BZ145" s="268" t="n"/>
      <c r="CA145" s="268" t="n"/>
      <c r="CB145" s="268" t="n"/>
      <c r="CC145" s="268" t="n"/>
      <c r="CD145" s="268" t="n"/>
      <c r="CE145" s="268" t="n"/>
      <c r="CF145" s="268" t="n"/>
      <c r="CG145" s="268" t="n"/>
      <c r="CH145" s="268" t="n"/>
      <c r="CI145" s="268" t="n"/>
      <c r="CJ145" s="268" t="n"/>
      <c r="CK145" s="268" t="n"/>
      <c r="CL145" s="268" t="n"/>
      <c r="CM145" s="268" t="n"/>
      <c r="CN145" s="268" t="n"/>
      <c r="CO145" s="268" t="n"/>
      <c r="CP145" s="268" t="n"/>
      <c r="CQ145" s="268" t="n"/>
      <c r="CR145" s="268" t="n"/>
      <c r="CS145" s="268" t="n"/>
      <c r="CT145" s="268" t="n"/>
      <c r="CU145" s="268" t="n"/>
      <c r="CV145" s="268" t="n"/>
      <c r="CW145" s="268" t="n"/>
      <c r="CX145" s="268" t="n"/>
      <c r="CY145" s="268" t="n"/>
    </row>
    <row r="146" ht="12.75" customHeight="1" s="255">
      <c r="C146" s="270" t="inlineStr">
        <is>
          <t>Equity in affiliates</t>
        </is>
      </c>
      <c r="D146" s="301">
        <f>INDEX('Inputs (2)'!$D$21:$AL$21,MATCH(D$7,'Inputs (2)'!$D$2:$AL$2,0))</f>
        <v>0</v>
      </c>
      <c r="E146" s="301">
        <f>INDEX('Inputs (2)'!$D$21:$AL$21,MATCH(E$7,'Inputs (2)'!$D$2:$AL$2,0))</f>
        <v>0</v>
      </c>
      <c r="F146" s="301">
        <f>INDEX('Inputs (2)'!$D$21:$AL$21,MATCH(F$7,'Inputs (2)'!$D$2:$AL$2,0))</f>
        <v>0</v>
      </c>
      <c r="G146" s="301">
        <f>INDEX('Inputs (2)'!$D$21:$AL$21,MATCH(G$7,'Inputs (2)'!$D$2:$AL$2,0))</f>
        <v>0</v>
      </c>
      <c r="H146" s="268">
        <f>G146</f>
        <v>0</v>
      </c>
      <c r="I146" s="301">
        <f>INDEX('Inputs (2)'!$D$21:$AL$21,MATCH(I$7,'Inputs (2)'!$D$2:$AL$2,0))</f>
        <v>0</v>
      </c>
      <c r="J146" s="301">
        <f>INDEX('Inputs (2)'!$D$21:$AL$21,MATCH(J$7,'Inputs (2)'!$D$2:$AL$2,0))</f>
        <v>0</v>
      </c>
      <c r="K146" s="301">
        <f>INDEX('Inputs (2)'!$D$21:$AL$21,MATCH(K$7,'Inputs (2)'!$D$2:$AL$2,0))</f>
        <v>0</v>
      </c>
      <c r="L146" s="301">
        <f>INDEX('Inputs (2)'!$D$21:$AL$21,MATCH(L$7,'Inputs (2)'!$D$2:$AL$2,0))</f>
        <v>0</v>
      </c>
      <c r="M146" s="268">
        <f>L146</f>
        <v>0</v>
      </c>
      <c r="N146" s="301">
        <f>INDEX('Inputs (2)'!$D$21:$AL$21,MATCH(N$7,'Inputs (2)'!$D$2:$AL$2,0))</f>
        <v>0</v>
      </c>
      <c r="O146" s="301">
        <f>INDEX('Inputs (2)'!$D$21:$AL$21,MATCH(O$7,'Inputs (2)'!$D$2:$AL$2,0))</f>
        <v>0</v>
      </c>
      <c r="P146" s="301">
        <f>INDEX('Inputs (2)'!$D$21:$AL$21,MATCH(P$7,'Inputs (2)'!$D$2:$AL$2,0))</f>
        <v>0</v>
      </c>
      <c r="Q146" s="301">
        <f>INDEX('Inputs (2)'!$D$21:$AL$21,MATCH(Q$7,'Inputs (2)'!$D$2:$AL$2,0))</f>
        <v>0</v>
      </c>
      <c r="R146" s="268">
        <f>Q146</f>
        <v>0</v>
      </c>
      <c r="S146" s="301">
        <f>INDEX('Inputs (2)'!$D$21:$AL$21,MATCH(S$7,'Inputs (2)'!$D$2:$AL$2,0))</f>
        <v>0</v>
      </c>
      <c r="T146" s="301">
        <f>INDEX('Inputs (2)'!$D$21:$AL$21,MATCH(T$7,'Inputs (2)'!$D$2:$AL$2,0))</f>
        <v>0</v>
      </c>
      <c r="U146" s="301">
        <f>INDEX('Inputs (2)'!$D$21:$AL$21,MATCH(U$7,'Inputs (2)'!$D$2:$AL$2,0))</f>
        <v>0</v>
      </c>
      <c r="V146" s="301">
        <f>INDEX('Inputs (2)'!$D$21:$AL$21,MATCH(V$7,'Inputs (2)'!$D$2:$AL$2,0))</f>
        <v>0</v>
      </c>
      <c r="W146" s="268">
        <f>V146</f>
        <v>0</v>
      </c>
      <c r="X146" s="301">
        <f>INDEX('Inputs (2)'!$D$21:$AL$21,MATCH(X$7,'Inputs (2)'!$D$2:$AL$2,0))</f>
        <v>0</v>
      </c>
      <c r="Y146" s="301">
        <f>INDEX('Inputs (2)'!$D$21:$AL$21,MATCH(Y$7,'Inputs (2)'!$D$2:$AL$2,0))</f>
        <v>0</v>
      </c>
      <c r="Z146" s="301">
        <f>INDEX('Inputs (2)'!$D$21:$AL$21,MATCH(Z$7,'Inputs (2)'!$D$2:$AL$2,0))</f>
        <v>0</v>
      </c>
      <c r="AA146" s="301">
        <f>INDEX('Inputs (2)'!$D$21:$AL$21,MATCH(AA$7,'Inputs (2)'!$D$2:$AL$2,0))</f>
        <v>0</v>
      </c>
      <c r="AB146" s="268">
        <f>AA146</f>
        <v>0</v>
      </c>
      <c r="AC146" s="301">
        <f>INDEX('Inputs (2)'!$D$21:$AL$21,MATCH(AC$7,'Inputs (2)'!$D$2:$AL$2,0))</f>
        <v>0</v>
      </c>
      <c r="AD146" s="301">
        <f>INDEX('Inputs (2)'!$D$21:$AL$21,MATCH(AD$7,'Inputs (2)'!$D$2:$AL$2,0))</f>
        <v>0</v>
      </c>
      <c r="AE146" s="301">
        <f>INDEX('Inputs (2)'!$D$21:$AL$21,MATCH(AE$7,'Inputs (2)'!$D$2:$AL$2,0))</f>
        <v>0</v>
      </c>
      <c r="AF146" s="301">
        <f>INDEX('Inputs (2)'!$D$21:$AL$21,MATCH(AF$7,'Inputs (2)'!$D$2:$AL$2,0))</f>
        <v>0</v>
      </c>
      <c r="AG146" s="268">
        <f>AF146</f>
        <v>0</v>
      </c>
      <c r="AH146" s="268">
        <f>INDEX('Inputs (2)'!$D$21:$AL$21,MATCH(AH$7,'Inputs (2)'!$D$2:$AL$2,0))</f>
        <v>0</v>
      </c>
      <c r="AI146" s="268">
        <f>INDEX('Inputs (2)'!$D$21:$AL$21,MATCH(AI$7,'Inputs (2)'!$D$2:$AL$2,0))</f>
        <v>0</v>
      </c>
      <c r="AJ146" s="268">
        <f>AI146+AJ120+AJ149</f>
        <v>0</v>
      </c>
      <c r="AK146" s="268">
        <f>AJ146+AK120+AK149</f>
        <v>0</v>
      </c>
      <c r="AL146" s="268">
        <f>AK146</f>
        <v>0</v>
      </c>
      <c r="AM146" s="268">
        <f>AL146+AM120+AM149</f>
        <v>0</v>
      </c>
      <c r="AN146" s="268">
        <f>AM146+AN120+AN149</f>
        <v>0</v>
      </c>
      <c r="AO146" s="268">
        <f>AN146+AO120+AO149</f>
        <v>0</v>
      </c>
      <c r="AP146" s="268">
        <f>AO146+AP120+AP149</f>
        <v>0</v>
      </c>
      <c r="AQ146" s="268">
        <f>AP146</f>
        <v>0</v>
      </c>
      <c r="AR146" s="268">
        <f>AQ146+AR120+AR149</f>
        <v>0</v>
      </c>
      <c r="AS146" s="268">
        <f>AR146+AS120+AS149</f>
        <v>0</v>
      </c>
      <c r="AT146" s="268">
        <f>AS146+AT120+AT149</f>
        <v>0</v>
      </c>
      <c r="AU146" s="268">
        <f>AT146+AU120+AU149</f>
        <v>0</v>
      </c>
      <c r="AV146" s="268">
        <f>AU146</f>
        <v>0</v>
      </c>
      <c r="AW146" s="268">
        <f>AV146+AW120+AW149</f>
        <v>0</v>
      </c>
      <c r="AX146" s="268">
        <f>AW146+AX120+AX149</f>
        <v>0</v>
      </c>
      <c r="AY146" s="268">
        <f>AX146+AY120+AY149</f>
        <v>0</v>
      </c>
      <c r="AZ146" s="268">
        <f>AY146+AZ120+AZ149</f>
        <v>0</v>
      </c>
      <c r="BA146" s="268">
        <f>AZ146</f>
        <v>0</v>
      </c>
      <c r="BB146" s="268">
        <f>BA146+BB120+BB149</f>
        <v>0</v>
      </c>
      <c r="BC146" s="268">
        <f>BB146+BC120+BC149</f>
        <v>0</v>
      </c>
      <c r="BD146" s="268">
        <f>BC146+BD120+BD149</f>
        <v>0</v>
      </c>
      <c r="BE146" s="268">
        <f>BD146+BE120+BE149</f>
        <v>0</v>
      </c>
      <c r="BF146" s="268">
        <f>BE146</f>
        <v>0</v>
      </c>
      <c r="BG146" s="268">
        <f>BF146+BG120+BG149</f>
        <v>0</v>
      </c>
      <c r="BH146" s="268">
        <f>BG146+BH120+BH149</f>
        <v>0</v>
      </c>
      <c r="BI146" s="268">
        <f>BH146+BI120+BI149</f>
        <v>0</v>
      </c>
      <c r="BJ146" s="268">
        <f>BI146+BJ120+BJ149</f>
        <v>0</v>
      </c>
      <c r="BK146" s="268">
        <f>BJ146</f>
        <v>0</v>
      </c>
      <c r="BL146" s="268">
        <f>BK146+BL120+BL149</f>
        <v>0</v>
      </c>
      <c r="BM146" s="268">
        <f>BL146+BM120+BM149</f>
        <v>0</v>
      </c>
      <c r="BN146" s="268">
        <f>BM146+BN120+BN149</f>
        <v>0</v>
      </c>
      <c r="BO146" s="268">
        <f>BN146+BO120+BO149</f>
        <v>0</v>
      </c>
      <c r="BP146" s="268">
        <f>BO146</f>
        <v>0</v>
      </c>
      <c r="BQ146" s="268">
        <f>BP146+BQ120+BQ149</f>
        <v>0</v>
      </c>
      <c r="BR146" s="268">
        <f>BQ146+BR120+BR149</f>
        <v>0</v>
      </c>
      <c r="BS146" s="268">
        <f>BR146+BS120+BS149</f>
        <v>0</v>
      </c>
      <c r="BT146" s="268">
        <f>BS146+BT120+BT149</f>
        <v>0</v>
      </c>
      <c r="BU146" s="268">
        <f>BT146</f>
        <v>0</v>
      </c>
      <c r="BV146" s="268">
        <f>BU146+BV120+BV149</f>
        <v>0</v>
      </c>
      <c r="BW146" s="268">
        <f>BV146+BW120+BW149</f>
        <v>0</v>
      </c>
      <c r="BX146" s="268">
        <f>BW146+BX120+BX149</f>
        <v>0</v>
      </c>
      <c r="BY146" s="268">
        <f>BX146+BY120+BY149</f>
        <v>0</v>
      </c>
      <c r="BZ146" s="268">
        <f>BY146</f>
        <v>0</v>
      </c>
      <c r="CA146" s="268">
        <f>BZ146+CA120+CA149</f>
        <v>0</v>
      </c>
      <c r="CB146" s="268">
        <f>CA146+CB120+CB149</f>
        <v>0</v>
      </c>
      <c r="CC146" s="268">
        <f>CB146+CC120+CC149</f>
        <v>0</v>
      </c>
      <c r="CD146" s="268">
        <f>CC146+CD120+CD149</f>
        <v>0</v>
      </c>
      <c r="CE146" s="268">
        <f>CD146</f>
        <v>0</v>
      </c>
      <c r="CF146" s="268">
        <f>CE146+CF120+CF149</f>
        <v>0</v>
      </c>
      <c r="CG146" s="268">
        <f>CF146+CG120+CG149</f>
        <v>0</v>
      </c>
      <c r="CH146" s="268">
        <f>CG146+CH120+CH149</f>
        <v>0</v>
      </c>
      <c r="CI146" s="268">
        <f>CH146+CI120+CI149</f>
        <v>0</v>
      </c>
      <c r="CJ146" s="268">
        <f>CI146</f>
        <v>0</v>
      </c>
      <c r="CK146" s="268">
        <f>CJ146+CK120+CK149</f>
        <v>0</v>
      </c>
      <c r="CL146" s="268">
        <f>CK146+CL120+CL149</f>
        <v>0</v>
      </c>
      <c r="CM146" s="268">
        <f>CL146+CM120+CM149</f>
        <v>0</v>
      </c>
      <c r="CN146" s="268">
        <f>CM146+CN120+CN149</f>
        <v>0</v>
      </c>
      <c r="CO146" s="268">
        <f>CN146</f>
        <v>0</v>
      </c>
      <c r="CP146" s="268">
        <f>CO146+CP120+CP149</f>
        <v>0</v>
      </c>
      <c r="CQ146" s="268">
        <f>CP146+CQ120+CQ149</f>
        <v>0</v>
      </c>
      <c r="CR146" s="268">
        <f>CQ146+CR120+CR149</f>
        <v>0</v>
      </c>
      <c r="CS146" s="268">
        <f>CR146+CS120+CS149</f>
        <v>0</v>
      </c>
      <c r="CT146" s="268">
        <f>CS146</f>
        <v>0</v>
      </c>
      <c r="CU146" s="268">
        <f>CT146+CU120+CU149</f>
        <v>0</v>
      </c>
      <c r="CV146" s="268">
        <f>CU146+CV120+CV149</f>
        <v>0</v>
      </c>
      <c r="CW146" s="268">
        <f>CV146+CW120+CW149</f>
        <v>0</v>
      </c>
      <c r="CX146" s="268">
        <f>CW146+CX120+CX149</f>
        <v>0</v>
      </c>
      <c r="CY146" s="268">
        <f>CX146</f>
        <v>0</v>
      </c>
    </row>
    <row r="147" hidden="1" outlineLevel="1" ht="12.75" customHeight="1" s="255">
      <c r="C147" s="312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  <c r="W147" s="268" t="n"/>
      <c r="X147" s="268" t="n"/>
      <c r="Y147" s="268" t="n"/>
      <c r="Z147" s="268" t="n"/>
      <c r="AA147" s="268" t="n"/>
      <c r="AB147" s="268" t="n"/>
      <c r="AC147" s="268" t="n"/>
      <c r="AD147" s="268" t="n"/>
      <c r="AE147" s="268" t="n"/>
      <c r="AF147" s="268" t="n"/>
      <c r="AG147" s="268" t="n"/>
      <c r="AH147" s="268" t="n"/>
      <c r="AI147" s="268" t="n"/>
      <c r="AJ147" s="268" t="n"/>
      <c r="AK147" s="268" t="n"/>
      <c r="AL147" s="268" t="n"/>
      <c r="AM147" s="268" t="n"/>
      <c r="AN147" s="268" t="n"/>
      <c r="AO147" s="268" t="n"/>
      <c r="AP147" s="268" t="n"/>
      <c r="AQ147" s="268" t="n"/>
      <c r="AR147" s="268" t="n"/>
      <c r="AS147" s="268" t="n"/>
      <c r="AT147" s="268" t="n"/>
      <c r="AU147" s="268" t="n"/>
      <c r="AV147" s="268" t="n"/>
      <c r="AW147" s="268" t="n"/>
      <c r="AX147" s="268" t="n"/>
      <c r="AY147" s="268" t="n"/>
      <c r="AZ147" s="268" t="n"/>
      <c r="BA147" s="268" t="n"/>
      <c r="BB147" s="268" t="n"/>
      <c r="BC147" s="268" t="n"/>
      <c r="BD147" s="268" t="n"/>
      <c r="BE147" s="268" t="n"/>
      <c r="BF147" s="268" t="n"/>
      <c r="BG147" s="268" t="n"/>
      <c r="BH147" s="268" t="n"/>
      <c r="BI147" s="268" t="n"/>
      <c r="BJ147" s="268" t="n"/>
      <c r="BK147" s="268" t="n"/>
      <c r="BL147" s="268" t="n"/>
      <c r="BM147" s="268" t="n"/>
      <c r="BN147" s="268" t="n"/>
      <c r="BO147" s="268" t="n"/>
      <c r="BP147" s="268" t="n"/>
      <c r="BQ147" s="268" t="n"/>
      <c r="BR147" s="268" t="n"/>
      <c r="BS147" s="268" t="n"/>
      <c r="BT147" s="268" t="n"/>
      <c r="BU147" s="268" t="n"/>
      <c r="BV147" s="268" t="n"/>
      <c r="BW147" s="268" t="n"/>
      <c r="BX147" s="268" t="n"/>
      <c r="BY147" s="268" t="n"/>
      <c r="BZ147" s="268" t="n"/>
      <c r="CA147" s="268" t="n"/>
      <c r="CB147" s="268" t="n"/>
      <c r="CC147" s="268" t="n"/>
      <c r="CD147" s="268" t="n"/>
      <c r="CE147" s="268" t="n"/>
      <c r="CF147" s="268" t="n"/>
      <c r="CG147" s="268" t="n"/>
      <c r="CH147" s="268" t="n"/>
      <c r="CI147" s="268" t="n"/>
      <c r="CJ147" s="268" t="n"/>
      <c r="CK147" s="268" t="n"/>
      <c r="CL147" s="268" t="n"/>
      <c r="CM147" s="268" t="n"/>
      <c r="CN147" s="268" t="n"/>
      <c r="CO147" s="268" t="n"/>
      <c r="CP147" s="268" t="n"/>
      <c r="CQ147" s="268" t="n"/>
      <c r="CR147" s="268" t="n"/>
      <c r="CS147" s="268" t="n"/>
      <c r="CT147" s="268" t="n"/>
      <c r="CU147" s="268" t="n"/>
      <c r="CV147" s="268" t="n"/>
      <c r="CW147" s="268" t="n"/>
      <c r="CX147" s="268" t="n"/>
      <c r="CY147" s="268" t="n"/>
    </row>
    <row r="148" hidden="1" outlineLevel="1" ht="12.75" customHeight="1" s="255">
      <c r="C148" s="312" t="inlineStr">
        <is>
          <t>Equity in Income - % YoY</t>
        </is>
      </c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>
        <f>IF(I120=0,0,N120/I120-1)</f>
        <v>0</v>
      </c>
      <c r="O148" s="268">
        <f>IF(J120=0,0,O120/J120-1)</f>
        <v>0</v>
      </c>
      <c r="P148" s="268">
        <f>IF(K120=0,0,P120/K120-1)</f>
        <v>0</v>
      </c>
      <c r="Q148" s="268">
        <f>IF(L120=0,0,Q120/L120-1)</f>
        <v>0</v>
      </c>
      <c r="R148" s="268" t="n"/>
      <c r="S148" s="268">
        <f>IF(N120=0,0,S120/N120-1)</f>
        <v>0</v>
      </c>
      <c r="T148" s="268">
        <f>IF(O120=0,0,T120/O120-1)</f>
        <v>0</v>
      </c>
      <c r="U148" s="268">
        <f>IF(P120=0,0,U120/P120-1)</f>
        <v>0</v>
      </c>
      <c r="V148" s="268">
        <f>IF(Q120=0,0,V120/Q120-1)</f>
        <v>0</v>
      </c>
      <c r="W148" s="268" t="n"/>
      <c r="X148" s="268">
        <f>IF(S120=0,0,X120/S120-1)</f>
        <v>0</v>
      </c>
      <c r="Y148" s="268">
        <f>IF(T120=0,0,Y120/T120-1)</f>
        <v>0</v>
      </c>
      <c r="Z148" s="268">
        <f>IF(U120=0,0,Z120/U120-1)</f>
        <v>0</v>
      </c>
      <c r="AA148" s="268">
        <f>IF(V120=0,0,AA120/V120-1)</f>
        <v>0</v>
      </c>
      <c r="AB148" s="268" t="n"/>
      <c r="AC148" s="268">
        <f>IF(X120=0,0,AC120/X120-1)</f>
        <v>0</v>
      </c>
      <c r="AD148" s="268">
        <f>IF(Y120=0,0,AD120/Y120-1)</f>
        <v>0</v>
      </c>
      <c r="AE148" s="268">
        <f>IF(Z120=0,0,AE120/Z120-1)</f>
        <v>0</v>
      </c>
      <c r="AF148" s="268">
        <f>IF(AA120=0,0,AF120/AA120-1)</f>
        <v>0</v>
      </c>
      <c r="AG148" s="268" t="n"/>
      <c r="AH148" s="267">
        <f>IF(AC120=0,0,AH120/AC120-1)</f>
        <v>0</v>
      </c>
      <c r="AI148" s="267">
        <f>IF(AD120=0,0,AI120/AD120-1)</f>
        <v>0</v>
      </c>
      <c r="AJ148" s="267" t="n"/>
      <c r="AK148" s="267" t="n"/>
      <c r="AL148" s="268" t="n"/>
      <c r="AM148" s="267" t="n"/>
      <c r="AN148" s="267" t="n"/>
      <c r="AO148" s="267" t="n"/>
      <c r="AP148" s="267" t="n"/>
      <c r="AQ148" s="268" t="n"/>
      <c r="AR148" s="267" t="n"/>
      <c r="AS148" s="267" t="n"/>
      <c r="AT148" s="267" t="n"/>
      <c r="AU148" s="267" t="n"/>
      <c r="AV148" s="268" t="n"/>
      <c r="AW148" s="267" t="n"/>
      <c r="AX148" s="267" t="n"/>
      <c r="AY148" s="267" t="n"/>
      <c r="AZ148" s="267" t="n"/>
      <c r="BA148" s="268" t="n"/>
      <c r="BB148" s="267" t="n"/>
      <c r="BC148" s="267" t="n"/>
      <c r="BD148" s="267" t="n"/>
      <c r="BE148" s="267" t="n"/>
      <c r="BF148" s="268" t="n"/>
      <c r="BG148" s="267" t="n"/>
      <c r="BH148" s="267" t="n"/>
      <c r="BI148" s="267" t="n"/>
      <c r="BJ148" s="267" t="n"/>
      <c r="BK148" s="268" t="n"/>
      <c r="BL148" s="267" t="n"/>
      <c r="BM148" s="267" t="n"/>
      <c r="BN148" s="267" t="n"/>
      <c r="BO148" s="267" t="n"/>
      <c r="BP148" s="268" t="n"/>
      <c r="BQ148" s="267" t="n"/>
      <c r="BR148" s="267" t="n"/>
      <c r="BS148" s="267" t="n"/>
      <c r="BT148" s="267" t="n"/>
      <c r="BU148" s="268" t="n"/>
      <c r="BV148" s="267" t="n"/>
      <c r="BW148" s="267" t="n"/>
      <c r="BX148" s="267" t="n"/>
      <c r="BY148" s="267" t="n"/>
      <c r="BZ148" s="268" t="n"/>
      <c r="CA148" s="267" t="n"/>
      <c r="CB148" s="267" t="n"/>
      <c r="CC148" s="267" t="n"/>
      <c r="CD148" s="267" t="n"/>
      <c r="CE148" s="268" t="n"/>
      <c r="CF148" s="267" t="n"/>
      <c r="CG148" s="267" t="n"/>
      <c r="CH148" s="267" t="n"/>
      <c r="CI148" s="267" t="n"/>
      <c r="CJ148" s="268" t="n"/>
      <c r="CK148" s="267" t="n"/>
      <c r="CL148" s="267" t="n"/>
      <c r="CM148" s="267" t="n"/>
      <c r="CN148" s="267" t="n"/>
      <c r="CO148" s="268" t="n"/>
      <c r="CP148" s="267" t="n"/>
      <c r="CQ148" s="267" t="n"/>
      <c r="CR148" s="267" t="n"/>
      <c r="CS148" s="267" t="n"/>
      <c r="CT148" s="268" t="n"/>
      <c r="CU148" s="267" t="n"/>
      <c r="CV148" s="267" t="n"/>
      <c r="CW148" s="267" t="n"/>
      <c r="CX148" s="267" t="n"/>
      <c r="CY148" s="268" t="n"/>
    </row>
    <row r="149" hidden="1" outlineLevel="1" ht="12.75" customHeight="1" s="255">
      <c r="C149" s="312" t="inlineStr">
        <is>
          <t>Dividends (enter as -)</t>
        </is>
      </c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  <c r="Y149" s="268" t="n"/>
      <c r="Z149" s="268" t="n"/>
      <c r="AA149" s="268" t="n"/>
      <c r="AB149" s="268" t="n"/>
      <c r="AC149" s="268" t="n"/>
      <c r="AD149" s="268" t="n"/>
      <c r="AE149" s="268" t="n"/>
      <c r="AF149" s="268" t="n"/>
      <c r="AG149" s="268" t="n"/>
      <c r="AH149" s="267" t="n"/>
      <c r="AI149" s="267" t="n"/>
      <c r="AJ149" s="267" t="n"/>
      <c r="AK149" s="267" t="n"/>
      <c r="AL149" s="268" t="n"/>
      <c r="AM149" s="267" t="n"/>
      <c r="AN149" s="267" t="n"/>
      <c r="AO149" s="267" t="n"/>
      <c r="AP149" s="267" t="n"/>
      <c r="AQ149" s="268" t="n"/>
      <c r="AR149" s="267" t="n"/>
      <c r="AS149" s="267" t="n"/>
      <c r="AT149" s="267" t="n"/>
      <c r="AU149" s="267" t="n"/>
      <c r="AV149" s="268" t="n"/>
      <c r="AW149" s="267" t="n"/>
      <c r="AX149" s="267" t="n"/>
      <c r="AY149" s="267" t="n"/>
      <c r="AZ149" s="267" t="n"/>
      <c r="BA149" s="268" t="n"/>
      <c r="BB149" s="267" t="n"/>
      <c r="BC149" s="267" t="n"/>
      <c r="BD149" s="267" t="n"/>
      <c r="BE149" s="267" t="n"/>
      <c r="BF149" s="268" t="n"/>
      <c r="BG149" s="267" t="n"/>
      <c r="BH149" s="267" t="n"/>
      <c r="BI149" s="267" t="n"/>
      <c r="BJ149" s="267" t="n"/>
      <c r="BK149" s="268" t="n"/>
      <c r="BL149" s="267" t="n"/>
      <c r="BM149" s="267" t="n"/>
      <c r="BN149" s="267" t="n"/>
      <c r="BO149" s="267" t="n"/>
      <c r="BP149" s="268" t="n"/>
      <c r="BQ149" s="267" t="n"/>
      <c r="BR149" s="267" t="n"/>
      <c r="BS149" s="267" t="n"/>
      <c r="BT149" s="267" t="n"/>
      <c r="BU149" s="268" t="n"/>
      <c r="BV149" s="267" t="n"/>
      <c r="BW149" s="267" t="n"/>
      <c r="BX149" s="267" t="n"/>
      <c r="BY149" s="267" t="n"/>
      <c r="BZ149" s="268" t="n"/>
      <c r="CA149" s="267" t="n"/>
      <c r="CB149" s="267" t="n"/>
      <c r="CC149" s="267" t="n"/>
      <c r="CD149" s="267" t="n"/>
      <c r="CE149" s="268" t="n"/>
      <c r="CF149" s="267" t="n"/>
      <c r="CG149" s="267" t="n"/>
      <c r="CH149" s="267" t="n"/>
      <c r="CI149" s="267" t="n"/>
      <c r="CJ149" s="268" t="n"/>
      <c r="CK149" s="267" t="n"/>
      <c r="CL149" s="267" t="n"/>
      <c r="CM149" s="267" t="n"/>
      <c r="CN149" s="267" t="n"/>
      <c r="CO149" s="268" t="n"/>
      <c r="CP149" s="267" t="n"/>
      <c r="CQ149" s="267" t="n"/>
      <c r="CR149" s="267" t="n"/>
      <c r="CS149" s="267" t="n"/>
      <c r="CT149" s="268" t="n"/>
      <c r="CU149" s="267" t="n"/>
      <c r="CV149" s="267" t="n"/>
      <c r="CW149" s="267" t="n"/>
      <c r="CX149" s="267" t="n"/>
      <c r="CY149" s="268" t="n"/>
    </row>
    <row r="150" hidden="1" outlineLevel="1" ht="12.75" customHeight="1" s="255">
      <c r="C150" s="312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  <c r="Y150" s="268" t="n"/>
      <c r="Z150" s="268" t="n"/>
      <c r="AA150" s="268" t="n"/>
      <c r="AB150" s="268" t="n"/>
      <c r="AC150" s="268" t="n"/>
      <c r="AD150" s="268" t="n"/>
      <c r="AE150" s="268" t="n"/>
      <c r="AF150" s="268" t="n"/>
      <c r="AG150" s="268" t="n"/>
      <c r="AH150" s="268" t="n"/>
      <c r="AI150" s="268" t="n"/>
      <c r="AJ150" s="268" t="n"/>
      <c r="AK150" s="268" t="n"/>
      <c r="AL150" s="268" t="n"/>
      <c r="AM150" s="268" t="n"/>
      <c r="AN150" s="268" t="n"/>
      <c r="AO150" s="268" t="n"/>
      <c r="AP150" s="268" t="n"/>
      <c r="AQ150" s="268" t="n"/>
      <c r="AR150" s="268" t="n"/>
      <c r="AS150" s="268" t="n"/>
      <c r="AT150" s="268" t="n"/>
      <c r="AU150" s="268" t="n"/>
      <c r="AV150" s="268" t="n"/>
      <c r="AW150" s="268" t="n"/>
      <c r="AX150" s="268" t="n"/>
      <c r="AY150" s="268" t="n"/>
      <c r="AZ150" s="268" t="n"/>
      <c r="BA150" s="268" t="n"/>
      <c r="BB150" s="268" t="n"/>
      <c r="BC150" s="268" t="n"/>
      <c r="BD150" s="268" t="n"/>
      <c r="BE150" s="268" t="n"/>
      <c r="BF150" s="268" t="n"/>
      <c r="BG150" s="268" t="n"/>
      <c r="BH150" s="268" t="n"/>
      <c r="BI150" s="268" t="n"/>
      <c r="BJ150" s="268" t="n"/>
      <c r="BK150" s="268" t="n"/>
      <c r="BL150" s="268" t="n"/>
      <c r="BM150" s="268" t="n"/>
      <c r="BN150" s="268" t="n"/>
      <c r="BO150" s="268" t="n"/>
      <c r="BP150" s="268" t="n"/>
      <c r="BQ150" s="268" t="n"/>
      <c r="BR150" s="268" t="n"/>
      <c r="BS150" s="268" t="n"/>
      <c r="BT150" s="268" t="n"/>
      <c r="BU150" s="268" t="n"/>
      <c r="BV150" s="268" t="n"/>
      <c r="BW150" s="268" t="n"/>
      <c r="BX150" s="268" t="n"/>
      <c r="BY150" s="268" t="n"/>
      <c r="BZ150" s="268" t="n"/>
      <c r="CA150" s="268" t="n"/>
      <c r="CB150" s="268" t="n"/>
      <c r="CC150" s="268" t="n"/>
      <c r="CD150" s="268" t="n"/>
      <c r="CE150" s="268" t="n"/>
      <c r="CF150" s="268" t="n"/>
      <c r="CG150" s="268" t="n"/>
      <c r="CH150" s="268" t="n"/>
      <c r="CI150" s="268" t="n"/>
      <c r="CJ150" s="268" t="n"/>
      <c r="CK150" s="268" t="n"/>
      <c r="CL150" s="268" t="n"/>
      <c r="CM150" s="268" t="n"/>
      <c r="CN150" s="268" t="n"/>
      <c r="CO150" s="268" t="n"/>
      <c r="CP150" s="268" t="n"/>
      <c r="CQ150" s="268" t="n"/>
      <c r="CR150" s="268" t="n"/>
      <c r="CS150" s="268" t="n"/>
      <c r="CT150" s="268" t="n"/>
      <c r="CU150" s="268" t="n"/>
      <c r="CV150" s="268" t="n"/>
      <c r="CW150" s="268" t="n"/>
      <c r="CX150" s="268" t="n"/>
      <c r="CY150" s="268" t="n"/>
    </row>
    <row r="151" ht="12.75" customHeight="1" s="255">
      <c r="C151" s="270" t="inlineStr">
        <is>
          <t>PP&amp;E</t>
        </is>
      </c>
      <c r="D151" s="301">
        <f>INDEX('Inputs (2)'!$D$22:$AL$22,MATCH(D$7,'Inputs (2)'!$D$2:$AL$2,0))</f>
        <v>21481</v>
      </c>
      <c r="E151" s="301">
        <f>INDEX('Inputs (2)'!$D$22:$AL$22,MATCH(E$7,'Inputs (2)'!$D$2:$AL$2,0))</f>
        <v>21527</v>
      </c>
      <c r="F151" s="301">
        <f>INDEX('Inputs (2)'!$D$22:$AL$22,MATCH(F$7,'Inputs (2)'!$D$2:$AL$2,0))</f>
        <v>21807</v>
      </c>
      <c r="G151" s="301">
        <f>INDEX('Inputs (2)'!$D$22:$AL$22,MATCH(G$7,'Inputs (2)'!$D$2:$AL$2,0))</f>
        <v>22288</v>
      </c>
      <c r="H151" s="268">
        <f>G151</f>
        <v>22288</v>
      </c>
      <c r="I151" s="301">
        <f>INDEX('Inputs (2)'!$D$22:$AL$22,MATCH(I$7,'Inputs (2)'!$D$2:$AL$2,0))</f>
        <v>22531</v>
      </c>
      <c r="J151" s="301">
        <f>INDEX('Inputs (2)'!$D$22:$AL$22,MATCH(J$7,'Inputs (2)'!$D$2:$AL$2,0))</f>
        <v>23177</v>
      </c>
      <c r="K151" s="301">
        <f>INDEX('Inputs (2)'!$D$22:$AL$22,MATCH(K$7,'Inputs (2)'!$D$2:$AL$2,0))</f>
        <v>23492</v>
      </c>
      <c r="L151" s="301">
        <f>INDEX('Inputs (2)'!$D$22:$AL$22,MATCH(L$7,'Inputs (2)'!$D$2:$AL$2,0))</f>
        <v>23887</v>
      </c>
      <c r="M151" s="268">
        <f>L151</f>
        <v>23887</v>
      </c>
      <c r="N151" s="301">
        <f>INDEX('Inputs (2)'!$D$22:$AL$22,MATCH(N$7,'Inputs (2)'!$D$2:$AL$2,0))</f>
        <v>24052</v>
      </c>
      <c r="O151" s="301">
        <f>INDEX('Inputs (2)'!$D$22:$AL$22,MATCH(O$7,'Inputs (2)'!$D$2:$AL$2,0))</f>
        <v>24143</v>
      </c>
      <c r="P151" s="301">
        <f>INDEX('Inputs (2)'!$D$22:$AL$22,MATCH(P$7,'Inputs (2)'!$D$2:$AL$2,0))</f>
        <v>24646</v>
      </c>
      <c r="Q151" s="301">
        <f>INDEX('Inputs (2)'!$D$22:$AL$22,MATCH(Q$7,'Inputs (2)'!$D$2:$AL$2,0))</f>
        <v>25144</v>
      </c>
      <c r="R151" s="268">
        <f>Q151</f>
        <v>25144</v>
      </c>
      <c r="S151" s="301">
        <f>INDEX('Inputs (2)'!$D$22:$AL$22,MATCH(S$7,'Inputs (2)'!$D$2:$AL$2,0))</f>
        <v>25724</v>
      </c>
      <c r="T151" s="301">
        <f>INDEX('Inputs (2)'!$D$22:$AL$22,MATCH(T$7,'Inputs (2)'!$D$2:$AL$2,0))</f>
        <v>25931</v>
      </c>
      <c r="U151" s="301">
        <f>INDEX('Inputs (2)'!$D$22:$AL$22,MATCH(U$7,'Inputs (2)'!$D$2:$AL$2,0))</f>
        <v>26684</v>
      </c>
      <c r="V151" s="301">
        <f>INDEX('Inputs (2)'!$D$22:$AL$22,MATCH(V$7,'Inputs (2)'!$D$2:$AL$2,0))</f>
        <v>27168</v>
      </c>
      <c r="W151" s="268">
        <f>V151</f>
        <v>27168</v>
      </c>
      <c r="X151" s="301">
        <f>INDEX('Inputs (2)'!$D$22:$AL$22,MATCH(X$7,'Inputs (2)'!$D$2:$AL$2,0))</f>
        <v>27601</v>
      </c>
      <c r="Y151" s="301">
        <f>INDEX('Inputs (2)'!$D$22:$AL$22,MATCH(Y$7,'Inputs (2)'!$D$2:$AL$2,0))</f>
        <v>28062</v>
      </c>
      <c r="Z151" s="301">
        <f>INDEX('Inputs (2)'!$D$22:$AL$22,MATCH(Z$7,'Inputs (2)'!$D$2:$AL$2,0))</f>
        <v>29032</v>
      </c>
      <c r="AA151" s="301">
        <f>INDEX('Inputs (2)'!$D$22:$AL$22,MATCH(AA$7,'Inputs (2)'!$D$2:$AL$2,0))</f>
        <v>29336</v>
      </c>
      <c r="AB151" s="268">
        <f>AA151</f>
        <v>29336</v>
      </c>
      <c r="AC151" s="301">
        <f>INDEX('Inputs (2)'!$D$22:$AL$22,MATCH(AC$7,'Inputs (2)'!$D$2:$AL$2,0))</f>
        <v>29809</v>
      </c>
      <c r="AD151" s="301">
        <f>INDEX('Inputs (2)'!$D$22:$AL$22,MATCH(AD$7,'Inputs (2)'!$D$2:$AL$2,0))</f>
        <v>30582</v>
      </c>
      <c r="AE151" s="301">
        <f>INDEX('Inputs (2)'!$D$22:$AL$22,MATCH(AE$7,'Inputs (2)'!$D$2:$AL$2,0))</f>
        <v>31909</v>
      </c>
      <c r="AF151" s="301">
        <f>INDEX('Inputs (2)'!$D$22:$AL$22,MATCH(AF$7,'Inputs (2)'!$D$2:$AL$2,0))</f>
        <v>32616</v>
      </c>
      <c r="AG151" s="268">
        <f>AF151</f>
        <v>32616</v>
      </c>
      <c r="AH151" s="268">
        <f>INDEX('Inputs (2)'!$D$22:$AL$22,MATCH(AH$7,'Inputs (2)'!$D$2:$AL$2,0))</f>
        <v>33645</v>
      </c>
      <c r="AI151" s="268">
        <f>INDEX('Inputs (2)'!$D$22:$AL$22,MATCH(AI$7,'Inputs (2)'!$D$2:$AL$2,0))</f>
        <v>34293</v>
      </c>
      <c r="AJ151" s="268">
        <f>AJ156</f>
        <v>34293</v>
      </c>
      <c r="AK151" s="268">
        <f>AK156</f>
        <v>34293</v>
      </c>
      <c r="AL151" s="268">
        <f>AK151</f>
        <v>34293</v>
      </c>
      <c r="AM151" s="268">
        <f>AM156</f>
        <v>34293</v>
      </c>
      <c r="AN151" s="268">
        <f>AN156</f>
        <v>34293</v>
      </c>
      <c r="AO151" s="268">
        <f>AO156</f>
        <v>34293</v>
      </c>
      <c r="AP151" s="268">
        <f>AP156</f>
        <v>34293</v>
      </c>
      <c r="AQ151" s="268">
        <f>AP151</f>
        <v>34293</v>
      </c>
      <c r="AR151" s="268">
        <f>AR156</f>
        <v>34293</v>
      </c>
      <c r="AS151" s="268">
        <f>AS156</f>
        <v>34293</v>
      </c>
      <c r="AT151" s="268">
        <f>AT156</f>
        <v>34293</v>
      </c>
      <c r="AU151" s="268">
        <f>AU156</f>
        <v>34293</v>
      </c>
      <c r="AV151" s="268">
        <f>AU151</f>
        <v>34293</v>
      </c>
      <c r="AW151" s="268">
        <f>AW156</f>
        <v>34293</v>
      </c>
      <c r="AX151" s="268">
        <f>AX156</f>
        <v>34293</v>
      </c>
      <c r="AY151" s="268">
        <f>AY156</f>
        <v>34293</v>
      </c>
      <c r="AZ151" s="268">
        <f>AZ156</f>
        <v>34293</v>
      </c>
      <c r="BA151" s="268">
        <f>AZ151</f>
        <v>34293</v>
      </c>
      <c r="BB151" s="268">
        <f>BB156</f>
        <v>34293</v>
      </c>
      <c r="BC151" s="268">
        <f>BC156</f>
        <v>34293</v>
      </c>
      <c r="BD151" s="268">
        <f>BD156</f>
        <v>34293</v>
      </c>
      <c r="BE151" s="268">
        <f>BE156</f>
        <v>34293</v>
      </c>
      <c r="BF151" s="268">
        <f>BE151</f>
        <v>34293</v>
      </c>
      <c r="BG151" s="268">
        <f>BG156</f>
        <v>34293</v>
      </c>
      <c r="BH151" s="268">
        <f>BH156</f>
        <v>34293</v>
      </c>
      <c r="BI151" s="268">
        <f>BI156</f>
        <v>34293</v>
      </c>
      <c r="BJ151" s="268">
        <f>BJ156</f>
        <v>34293</v>
      </c>
      <c r="BK151" s="268">
        <f>BJ151</f>
        <v>34293</v>
      </c>
      <c r="BL151" s="268">
        <f>BL156</f>
        <v>34293</v>
      </c>
      <c r="BM151" s="268">
        <f>BM156</f>
        <v>34293</v>
      </c>
      <c r="BN151" s="268">
        <f>BN156</f>
        <v>34293</v>
      </c>
      <c r="BO151" s="268">
        <f>BO156</f>
        <v>34293</v>
      </c>
      <c r="BP151" s="268">
        <f>BO151</f>
        <v>34293</v>
      </c>
      <c r="BQ151" s="268">
        <f>BQ156</f>
        <v>34293</v>
      </c>
      <c r="BR151" s="268">
        <f>BR156</f>
        <v>34293</v>
      </c>
      <c r="BS151" s="268">
        <f>BS156</f>
        <v>34293</v>
      </c>
      <c r="BT151" s="268">
        <f>BT156</f>
        <v>34293</v>
      </c>
      <c r="BU151" s="268">
        <f>BT151</f>
        <v>34293</v>
      </c>
      <c r="BV151" s="268">
        <f>BV156</f>
        <v>34293</v>
      </c>
      <c r="BW151" s="268">
        <f>BW156</f>
        <v>34293</v>
      </c>
      <c r="BX151" s="268">
        <f>BX156</f>
        <v>34293</v>
      </c>
      <c r="BY151" s="268">
        <f>BY156</f>
        <v>34293</v>
      </c>
      <c r="BZ151" s="268">
        <f>BY151</f>
        <v>34293</v>
      </c>
      <c r="CA151" s="268">
        <f>CA156</f>
        <v>34293</v>
      </c>
      <c r="CB151" s="268">
        <f>CB156</f>
        <v>34293</v>
      </c>
      <c r="CC151" s="268">
        <f>CC156</f>
        <v>34293</v>
      </c>
      <c r="CD151" s="268">
        <f>CD156</f>
        <v>34293</v>
      </c>
      <c r="CE151" s="268">
        <f>CD151</f>
        <v>34293</v>
      </c>
      <c r="CF151" s="268">
        <f>CF156</f>
        <v>34293</v>
      </c>
      <c r="CG151" s="268">
        <f>CG156</f>
        <v>34293</v>
      </c>
      <c r="CH151" s="268">
        <f>CH156</f>
        <v>34293</v>
      </c>
      <c r="CI151" s="268">
        <f>CI156</f>
        <v>34293</v>
      </c>
      <c r="CJ151" s="268">
        <f>CI151</f>
        <v>34293</v>
      </c>
      <c r="CK151" s="268">
        <f>CK156</f>
        <v>34293</v>
      </c>
      <c r="CL151" s="268">
        <f>CL156</f>
        <v>34293</v>
      </c>
      <c r="CM151" s="268">
        <f>CM156</f>
        <v>34293</v>
      </c>
      <c r="CN151" s="268">
        <f>CN156</f>
        <v>34293</v>
      </c>
      <c r="CO151" s="268">
        <f>CN151</f>
        <v>34293</v>
      </c>
      <c r="CP151" s="268">
        <f>CP156</f>
        <v>34293</v>
      </c>
      <c r="CQ151" s="268">
        <f>CQ156</f>
        <v>34293</v>
      </c>
      <c r="CR151" s="268">
        <f>CR156</f>
        <v>34293</v>
      </c>
      <c r="CS151" s="268">
        <f>CS156</f>
        <v>34293</v>
      </c>
      <c r="CT151" s="268">
        <f>CS151</f>
        <v>34293</v>
      </c>
      <c r="CU151" s="268">
        <f>CU156</f>
        <v>34293</v>
      </c>
      <c r="CV151" s="268">
        <f>CV156</f>
        <v>34293</v>
      </c>
      <c r="CW151" s="268">
        <f>CW156</f>
        <v>34293</v>
      </c>
      <c r="CX151" s="268">
        <f>CX156</f>
        <v>34293</v>
      </c>
      <c r="CY151" s="268">
        <f>CX151</f>
        <v>34293</v>
      </c>
    </row>
    <row r="152" hidden="1" outlineLevel="1" ht="12.75" customHeight="1" s="255">
      <c r="C152" s="312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  <c r="Y152" s="268" t="n"/>
      <c r="Z152" s="268" t="n"/>
      <c r="AA152" s="268" t="n"/>
      <c r="AB152" s="268" t="n"/>
      <c r="AC152" s="268" t="n"/>
      <c r="AD152" s="268" t="n"/>
      <c r="AE152" s="268" t="n"/>
      <c r="AF152" s="268" t="n"/>
      <c r="AG152" s="268" t="n"/>
      <c r="AH152" s="268" t="n"/>
      <c r="AI152" s="268" t="n"/>
      <c r="AJ152" s="268" t="n"/>
      <c r="AK152" s="268" t="n"/>
      <c r="AL152" s="268" t="n"/>
      <c r="AM152" s="268" t="n"/>
      <c r="AN152" s="268" t="n"/>
      <c r="AO152" s="268" t="n"/>
      <c r="AP152" s="268" t="n"/>
      <c r="AQ152" s="268" t="n"/>
      <c r="AR152" s="268" t="n"/>
      <c r="AS152" s="268" t="n"/>
      <c r="AT152" s="268" t="n"/>
      <c r="AU152" s="268" t="n"/>
      <c r="AV152" s="268" t="n"/>
      <c r="AW152" s="268" t="n"/>
      <c r="AX152" s="268" t="n"/>
      <c r="AY152" s="268" t="n"/>
      <c r="AZ152" s="268" t="n"/>
      <c r="BA152" s="268" t="n"/>
      <c r="BB152" s="268" t="n"/>
      <c r="BC152" s="268" t="n"/>
      <c r="BD152" s="268" t="n"/>
      <c r="BE152" s="268" t="n"/>
      <c r="BF152" s="268" t="n"/>
      <c r="BG152" s="268" t="n"/>
      <c r="BH152" s="268" t="n"/>
      <c r="BI152" s="268" t="n"/>
      <c r="BJ152" s="268" t="n"/>
      <c r="BK152" s="268" t="n"/>
      <c r="BL152" s="268" t="n"/>
      <c r="BM152" s="268" t="n"/>
      <c r="BN152" s="268" t="n"/>
      <c r="BO152" s="268" t="n"/>
      <c r="BP152" s="268" t="n"/>
      <c r="BQ152" s="268" t="n"/>
      <c r="BR152" s="268" t="n"/>
      <c r="BS152" s="268" t="n"/>
      <c r="BT152" s="268" t="n"/>
      <c r="BU152" s="268" t="n"/>
      <c r="BV152" s="268" t="n"/>
      <c r="BW152" s="268" t="n"/>
      <c r="BX152" s="268" t="n"/>
      <c r="BY152" s="268" t="n"/>
      <c r="BZ152" s="268" t="n"/>
      <c r="CA152" s="268" t="n"/>
      <c r="CB152" s="268" t="n"/>
      <c r="CC152" s="268" t="n"/>
      <c r="CD152" s="268" t="n"/>
      <c r="CE152" s="268" t="n"/>
      <c r="CF152" s="268" t="n"/>
      <c r="CG152" s="268" t="n"/>
      <c r="CH152" s="268" t="n"/>
      <c r="CI152" s="268" t="n"/>
      <c r="CJ152" s="268" t="n"/>
      <c r="CK152" s="268" t="n"/>
      <c r="CL152" s="268" t="n"/>
      <c r="CM152" s="268" t="n"/>
      <c r="CN152" s="268" t="n"/>
      <c r="CO152" s="268" t="n"/>
      <c r="CP152" s="268" t="n"/>
      <c r="CQ152" s="268" t="n"/>
      <c r="CR152" s="268" t="n"/>
      <c r="CS152" s="268" t="n"/>
      <c r="CT152" s="268" t="n"/>
      <c r="CU152" s="268" t="n"/>
      <c r="CV152" s="268" t="n"/>
      <c r="CW152" s="268" t="n"/>
      <c r="CX152" s="268" t="n"/>
      <c r="CY152" s="268" t="n"/>
    </row>
    <row r="153" hidden="1" outlineLevel="1" ht="12.75" customHeight="1" s="255">
      <c r="C153" s="312" t="inlineStr">
        <is>
          <t>Capital expenditures</t>
        </is>
      </c>
      <c r="D153" s="268" t="n"/>
      <c r="E153" s="268">
        <f>E151-D151-E55</f>
        <v>428</v>
      </c>
      <c r="F153" s="268">
        <f>F151-E151-F55</f>
        <v>785</v>
      </c>
      <c r="G153" s="268">
        <f>G151-F151-G55</f>
        <v>885</v>
      </c>
      <c r="H153" s="268" t="n"/>
      <c r="I153" s="268">
        <f>I151-H151-I55</f>
        <v>659</v>
      </c>
      <c r="J153" s="268">
        <f>J151-I151-J55</f>
        <v>1048</v>
      </c>
      <c r="K153" s="268">
        <f>K151-J151-K55</f>
        <v>874</v>
      </c>
      <c r="L153" s="268">
        <f>L151-K151-L55</f>
        <v>827</v>
      </c>
      <c r="M153" s="268" t="n"/>
      <c r="N153" s="268">
        <f>N151-M151-N55</f>
        <v>601</v>
      </c>
      <c r="O153" s="268">
        <f>O151-N151-O55</f>
        <v>529</v>
      </c>
      <c r="P153" s="268">
        <f>P151-O151-P55</f>
        <v>1097</v>
      </c>
      <c r="Q153" s="268">
        <f>Q151-P151-Q55</f>
        <v>945</v>
      </c>
      <c r="R153" s="268" t="n"/>
      <c r="S153" s="268">
        <f>S151-R151-S55</f>
        <v>1050</v>
      </c>
      <c r="T153" s="268">
        <f>T151-S151-T55</f>
        <v>679</v>
      </c>
      <c r="U153" s="268">
        <f>U151-T151-U55</f>
        <v>1441</v>
      </c>
      <c r="V153" s="268">
        <f>V151-U151-V55</f>
        <v>985</v>
      </c>
      <c r="W153" s="268" t="n"/>
      <c r="X153" s="268">
        <f>X151-W151-X55</f>
        <v>947</v>
      </c>
      <c r="Y153" s="268">
        <f>Y151-X151-Y55</f>
        <v>977</v>
      </c>
      <c r="Z153" s="268">
        <f>Z151-Y151-Z55</f>
        <v>1676</v>
      </c>
      <c r="AA153" s="268">
        <f>AA151-Z151-AA55</f>
        <v>852</v>
      </c>
      <c r="AB153" s="268" t="n"/>
      <c r="AC153" s="268">
        <f>AC151-AB151-AC55</f>
        <v>1025</v>
      </c>
      <c r="AD153" s="268">
        <f>AD151-AC151-AD55</f>
        <v>1325</v>
      </c>
      <c r="AE153" s="268">
        <f>AE151-AD151-AE55</f>
        <v>2101</v>
      </c>
      <c r="AF153" s="267">
        <f>AF151-AE151-AF55</f>
        <v>1304</v>
      </c>
      <c r="AG153" s="268">
        <f>SUM(AC153:AF153)</f>
        <v>5755</v>
      </c>
      <c r="AH153" s="267">
        <f>AH151-AG151-AH55</f>
        <v>1626</v>
      </c>
      <c r="AI153" s="267">
        <f>AI151-AH151-AI55</f>
        <v>1245</v>
      </c>
      <c r="AJ153" s="267" t="n"/>
      <c r="AK153" s="267" t="n"/>
      <c r="AL153" s="268" t="n"/>
      <c r="AM153" s="267" t="n"/>
      <c r="AN153" s="267" t="n"/>
      <c r="AO153" s="267" t="n"/>
      <c r="AP153" s="267" t="n"/>
      <c r="AQ153" s="268" t="n"/>
      <c r="AR153" s="267" t="n"/>
      <c r="AS153" s="267" t="n"/>
      <c r="AT153" s="267" t="n"/>
      <c r="AU153" s="267" t="n"/>
      <c r="AV153" s="268" t="n"/>
      <c r="AW153" s="267" t="n"/>
      <c r="AX153" s="267" t="n"/>
      <c r="AY153" s="267" t="n"/>
      <c r="AZ153" s="267" t="n"/>
      <c r="BA153" s="268" t="n"/>
      <c r="BB153" s="267" t="n"/>
      <c r="BC153" s="267" t="n"/>
      <c r="BD153" s="267" t="n"/>
      <c r="BE153" s="267" t="n"/>
      <c r="BF153" s="268" t="n"/>
      <c r="BG153" s="267" t="n"/>
      <c r="BH153" s="267" t="n"/>
      <c r="BI153" s="267" t="n"/>
      <c r="BJ153" s="267" t="n"/>
      <c r="BK153" s="268" t="n"/>
      <c r="BL153" s="267" t="n"/>
      <c r="BM153" s="267" t="n"/>
      <c r="BN153" s="267" t="n"/>
      <c r="BO153" s="267" t="n"/>
      <c r="BP153" s="268" t="n"/>
      <c r="BQ153" s="267" t="n"/>
      <c r="BR153" s="267" t="n"/>
      <c r="BS153" s="267" t="n"/>
      <c r="BT153" s="267" t="n"/>
      <c r="BU153" s="268" t="n"/>
      <c r="BV153" s="267" t="n"/>
      <c r="BW153" s="267" t="n"/>
      <c r="BX153" s="267" t="n"/>
      <c r="BY153" s="267" t="n"/>
      <c r="BZ153" s="268" t="n"/>
      <c r="CA153" s="267" t="n"/>
      <c r="CB153" s="267" t="n"/>
      <c r="CC153" s="267" t="n"/>
      <c r="CD153" s="267" t="n"/>
      <c r="CE153" s="268" t="n"/>
      <c r="CF153" s="267" t="n"/>
      <c r="CG153" s="267" t="n"/>
      <c r="CH153" s="267" t="n"/>
      <c r="CI153" s="267" t="n"/>
      <c r="CJ153" s="268" t="n"/>
      <c r="CK153" s="267" t="n"/>
      <c r="CL153" s="267" t="n"/>
      <c r="CM153" s="267" t="n"/>
      <c r="CN153" s="267" t="n"/>
      <c r="CO153" s="268" t="n"/>
      <c r="CP153" s="267" t="n"/>
      <c r="CQ153" s="267" t="n"/>
      <c r="CR153" s="267" t="n"/>
      <c r="CS153" s="267" t="n"/>
      <c r="CT153" s="268" t="n"/>
      <c r="CU153" s="267" t="n"/>
      <c r="CV153" s="267" t="n"/>
      <c r="CW153" s="267" t="n"/>
      <c r="CX153" s="267" t="n"/>
      <c r="CY153" s="268" t="n"/>
    </row>
    <row r="154" hidden="1" outlineLevel="1" ht="12.75" customHeight="1" s="255">
      <c r="C154" s="312" t="inlineStr">
        <is>
          <t>Recurring asset sales (enter as -)</t>
        </is>
      </c>
      <c r="D154" s="268" t="n"/>
      <c r="E154" s="268" t="n"/>
      <c r="F154" s="268" t="n"/>
      <c r="G154" s="268" t="n"/>
      <c r="H154" s="268">
        <f>SUM(D154:G154)</f>
        <v>0</v>
      </c>
      <c r="I154" s="268" t="n"/>
      <c r="J154" s="268" t="n"/>
      <c r="K154" s="268" t="n"/>
      <c r="L154" s="268" t="n"/>
      <c r="M154" s="268">
        <f>SUM(I154:L154)</f>
        <v>0</v>
      </c>
      <c r="N154" s="268" t="n"/>
      <c r="O154" s="268" t="n"/>
      <c r="P154" s="268" t="n"/>
      <c r="Q154" s="268" t="n"/>
      <c r="R154" s="268">
        <f>SUM(N154:Q154)</f>
        <v>0</v>
      </c>
      <c r="S154" s="268" t="n"/>
      <c r="T154" s="268" t="n"/>
      <c r="U154" s="268" t="n"/>
      <c r="V154" s="268" t="n"/>
      <c r="W154" s="268">
        <f>SUM(S154:V154)</f>
        <v>0</v>
      </c>
      <c r="X154" s="268" t="n"/>
      <c r="Y154" s="268" t="n"/>
      <c r="Z154" s="268" t="n"/>
      <c r="AA154" s="268" t="n"/>
      <c r="AB154" s="268">
        <f>SUM(X154:AA154)</f>
        <v>0</v>
      </c>
      <c r="AC154" s="268" t="n"/>
      <c r="AD154" s="268" t="n"/>
      <c r="AE154" s="268" t="n"/>
      <c r="AF154" s="267" t="n"/>
      <c r="AG154" s="268" t="n"/>
      <c r="AH154" s="267" t="n"/>
      <c r="AI154" s="267" t="n"/>
      <c r="AJ154" s="267" t="n"/>
      <c r="AK154" s="267" t="n"/>
      <c r="AL154" s="268" t="n"/>
      <c r="AM154" s="267" t="n"/>
      <c r="AN154" s="267" t="n"/>
      <c r="AO154" s="267" t="n"/>
      <c r="AP154" s="267" t="n"/>
      <c r="AQ154" s="268" t="n"/>
      <c r="AR154" s="267" t="n"/>
      <c r="AS154" s="267" t="n"/>
      <c r="AT154" s="267" t="n"/>
      <c r="AU154" s="267" t="n"/>
      <c r="AV154" s="268" t="n"/>
      <c r="AW154" s="267" t="n"/>
      <c r="AX154" s="267" t="n"/>
      <c r="AY154" s="267" t="n"/>
      <c r="AZ154" s="267" t="n"/>
      <c r="BA154" s="268" t="n"/>
      <c r="BB154" s="267" t="n"/>
      <c r="BC154" s="267" t="n"/>
      <c r="BD154" s="267" t="n"/>
      <c r="BE154" s="267" t="n"/>
      <c r="BF154" s="268" t="n"/>
      <c r="BG154" s="267" t="n"/>
      <c r="BH154" s="267" t="n"/>
      <c r="BI154" s="267" t="n"/>
      <c r="BJ154" s="267" t="n"/>
      <c r="BK154" s="268" t="n"/>
      <c r="BL154" s="267" t="n"/>
      <c r="BM154" s="267" t="n"/>
      <c r="BN154" s="267" t="n"/>
      <c r="BO154" s="267" t="n"/>
      <c r="BP154" s="268" t="n"/>
      <c r="BQ154" s="267" t="n"/>
      <c r="BR154" s="267" t="n"/>
      <c r="BS154" s="267" t="n"/>
      <c r="BT154" s="267" t="n"/>
      <c r="BU154" s="268" t="n"/>
      <c r="BV154" s="267" t="n"/>
      <c r="BW154" s="267" t="n"/>
      <c r="BX154" s="267" t="n"/>
      <c r="BY154" s="267" t="n"/>
      <c r="BZ154" s="268" t="n"/>
      <c r="CA154" s="267" t="n"/>
      <c r="CB154" s="267" t="n"/>
      <c r="CC154" s="267" t="n"/>
      <c r="CD154" s="267" t="n"/>
      <c r="CE154" s="268" t="n"/>
      <c r="CF154" s="267" t="n"/>
      <c r="CG154" s="267" t="n"/>
      <c r="CH154" s="267" t="n"/>
      <c r="CI154" s="267" t="n"/>
      <c r="CJ154" s="268" t="n"/>
      <c r="CK154" s="267" t="n"/>
      <c r="CL154" s="267" t="n"/>
      <c r="CM154" s="267" t="n"/>
      <c r="CN154" s="267" t="n"/>
      <c r="CO154" s="268" t="n"/>
      <c r="CP154" s="267" t="n"/>
      <c r="CQ154" s="267" t="n"/>
      <c r="CR154" s="267" t="n"/>
      <c r="CS154" s="267" t="n"/>
      <c r="CT154" s="268" t="n"/>
      <c r="CU154" s="267" t="n"/>
      <c r="CV154" s="267" t="n"/>
      <c r="CW154" s="267" t="n"/>
      <c r="CX154" s="267" t="n"/>
      <c r="CY154" s="268" t="n"/>
    </row>
    <row r="155" hidden="1" outlineLevel="1" ht="12.75" customHeight="1" s="255">
      <c r="C155" s="312" t="inlineStr">
        <is>
          <t>Depreciation</t>
        </is>
      </c>
      <c r="D155" s="268">
        <f>D55</f>
        <v>-389</v>
      </c>
      <c r="E155" s="268">
        <f>E55</f>
        <v>-382</v>
      </c>
      <c r="F155" s="268">
        <f>F55</f>
        <v>-505</v>
      </c>
      <c r="G155" s="268">
        <f>G55</f>
        <v>-404</v>
      </c>
      <c r="H155" s="268" t="n"/>
      <c r="I155" s="268">
        <f>I55</f>
        <v>-416</v>
      </c>
      <c r="J155" s="268">
        <f>J55</f>
        <v>-402</v>
      </c>
      <c r="K155" s="268">
        <f>K55</f>
        <v>-559</v>
      </c>
      <c r="L155" s="268">
        <f>L55</f>
        <v>-432</v>
      </c>
      <c r="M155" s="268" t="n"/>
      <c r="N155" s="268">
        <f>N55</f>
        <v>-436</v>
      </c>
      <c r="O155" s="268">
        <f>O55</f>
        <v>-438</v>
      </c>
      <c r="P155" s="268">
        <f>P55</f>
        <v>-594</v>
      </c>
      <c r="Q155" s="268">
        <f>Q55</f>
        <v>-447</v>
      </c>
      <c r="R155" s="268" t="n"/>
      <c r="S155" s="268">
        <f>S55</f>
        <v>-470</v>
      </c>
      <c r="T155" s="268">
        <f>T55</f>
        <v>-472</v>
      </c>
      <c r="U155" s="268">
        <f>U55</f>
        <v>-688</v>
      </c>
      <c r="V155" s="268">
        <f>V55</f>
        <v>-501</v>
      </c>
      <c r="W155" s="268" t="n"/>
      <c r="X155" s="268">
        <f>X55</f>
        <v>-514</v>
      </c>
      <c r="Y155" s="268">
        <f>Y55</f>
        <v>-516</v>
      </c>
      <c r="Z155" s="268">
        <f>Z55</f>
        <v>-706</v>
      </c>
      <c r="AA155" s="268">
        <f>AA55</f>
        <v>-548</v>
      </c>
      <c r="AB155" s="268" t="n"/>
      <c r="AC155" s="268">
        <f>AC55</f>
        <v>-552</v>
      </c>
      <c r="AD155" s="268">
        <f>AD55</f>
        <v>-552</v>
      </c>
      <c r="AE155" s="268">
        <f>AE55</f>
        <v>-774</v>
      </c>
      <c r="AF155" s="268">
        <f>AF55</f>
        <v>-597</v>
      </c>
      <c r="AG155" s="268" t="n"/>
      <c r="AH155" s="268">
        <f>AH55</f>
        <v>-597</v>
      </c>
      <c r="AI155" s="268">
        <f>AI55</f>
        <v>-597</v>
      </c>
      <c r="AJ155" s="268">
        <f>AJ55</f>
        <v>0</v>
      </c>
      <c r="AK155" s="268">
        <f>AK55</f>
        <v>0</v>
      </c>
      <c r="AL155" s="268" t="n"/>
      <c r="AM155" s="268">
        <f>AM55</f>
        <v>0</v>
      </c>
      <c r="AN155" s="268">
        <f>AN55</f>
        <v>0</v>
      </c>
      <c r="AO155" s="268">
        <f>AO55</f>
        <v>0</v>
      </c>
      <c r="AP155" s="268">
        <f>AP55</f>
        <v>0</v>
      </c>
      <c r="AQ155" s="268" t="n"/>
      <c r="AR155" s="268">
        <f>AR55</f>
        <v>0</v>
      </c>
      <c r="AS155" s="268">
        <f>AS55</f>
        <v>0</v>
      </c>
      <c r="AT155" s="268">
        <f>AT55</f>
        <v>0</v>
      </c>
      <c r="AU155" s="268">
        <f>AU55</f>
        <v>0</v>
      </c>
      <c r="AV155" s="268" t="n"/>
      <c r="AW155" s="268">
        <f>AW55</f>
        <v>0</v>
      </c>
      <c r="AX155" s="268">
        <f>AX55</f>
        <v>0</v>
      </c>
      <c r="AY155" s="268">
        <f>AY55</f>
        <v>0</v>
      </c>
      <c r="AZ155" s="268">
        <f>AZ55</f>
        <v>0</v>
      </c>
      <c r="BA155" s="268" t="n"/>
      <c r="BB155" s="268">
        <f>BB55</f>
        <v>0</v>
      </c>
      <c r="BC155" s="268">
        <f>BC55</f>
        <v>0</v>
      </c>
      <c r="BD155" s="268">
        <f>BD55</f>
        <v>0</v>
      </c>
      <c r="BE155" s="268">
        <f>BE55</f>
        <v>0</v>
      </c>
      <c r="BF155" s="268" t="n"/>
      <c r="BG155" s="268">
        <f>BG55</f>
        <v>0</v>
      </c>
      <c r="BH155" s="268">
        <f>BH55</f>
        <v>0</v>
      </c>
      <c r="BI155" s="268">
        <f>BI55</f>
        <v>0</v>
      </c>
      <c r="BJ155" s="268">
        <f>BJ55</f>
        <v>0</v>
      </c>
      <c r="BK155" s="268" t="n"/>
      <c r="BL155" s="268">
        <f>BL55</f>
        <v>0</v>
      </c>
      <c r="BM155" s="268">
        <f>BM55</f>
        <v>0</v>
      </c>
      <c r="BN155" s="268">
        <f>BN55</f>
        <v>0</v>
      </c>
      <c r="BO155" s="268">
        <f>BO55</f>
        <v>0</v>
      </c>
      <c r="BP155" s="268" t="n"/>
      <c r="BQ155" s="268">
        <f>BQ55</f>
        <v>0</v>
      </c>
      <c r="BR155" s="268">
        <f>BR55</f>
        <v>0</v>
      </c>
      <c r="BS155" s="268">
        <f>BS55</f>
        <v>0</v>
      </c>
      <c r="BT155" s="268">
        <f>BT55</f>
        <v>0</v>
      </c>
      <c r="BU155" s="268" t="n"/>
      <c r="BV155" s="268">
        <f>BV55</f>
        <v>0</v>
      </c>
      <c r="BW155" s="268">
        <f>BW55</f>
        <v>0</v>
      </c>
      <c r="BX155" s="268">
        <f>BX55</f>
        <v>0</v>
      </c>
      <c r="BY155" s="268">
        <f>BY55</f>
        <v>0</v>
      </c>
      <c r="BZ155" s="268" t="n"/>
      <c r="CA155" s="268">
        <f>CA55</f>
        <v>0</v>
      </c>
      <c r="CB155" s="268">
        <f>CB55</f>
        <v>0</v>
      </c>
      <c r="CC155" s="268">
        <f>CC55</f>
        <v>0</v>
      </c>
      <c r="CD155" s="268">
        <f>CD55</f>
        <v>0</v>
      </c>
      <c r="CE155" s="268" t="n"/>
      <c r="CF155" s="268">
        <f>CF55</f>
        <v>0</v>
      </c>
      <c r="CG155" s="268">
        <f>CG55</f>
        <v>0</v>
      </c>
      <c r="CH155" s="268">
        <f>CH55</f>
        <v>0</v>
      </c>
      <c r="CI155" s="268">
        <f>CI55</f>
        <v>0</v>
      </c>
      <c r="CJ155" s="268" t="n"/>
      <c r="CK155" s="268">
        <f>CK55</f>
        <v>0</v>
      </c>
      <c r="CL155" s="268">
        <f>CL55</f>
        <v>0</v>
      </c>
      <c r="CM155" s="268">
        <f>CM55</f>
        <v>0</v>
      </c>
      <c r="CN155" s="268">
        <f>CN55</f>
        <v>0</v>
      </c>
      <c r="CO155" s="268" t="n"/>
      <c r="CP155" s="268">
        <f>CP55</f>
        <v>0</v>
      </c>
      <c r="CQ155" s="268">
        <f>CQ55</f>
        <v>0</v>
      </c>
      <c r="CR155" s="268">
        <f>CR55</f>
        <v>0</v>
      </c>
      <c r="CS155" s="268">
        <f>CS55</f>
        <v>0</v>
      </c>
      <c r="CT155" s="268" t="n"/>
      <c r="CU155" s="268">
        <f>CU55</f>
        <v>0</v>
      </c>
      <c r="CV155" s="268">
        <f>CV55</f>
        <v>0</v>
      </c>
      <c r="CW155" s="268">
        <f>CW55</f>
        <v>0</v>
      </c>
      <c r="CX155" s="268">
        <f>CX55</f>
        <v>0</v>
      </c>
      <c r="CY155" s="268" t="n"/>
    </row>
    <row r="156" hidden="1" outlineLevel="1" ht="12.75" customHeight="1" s="255">
      <c r="C156" s="312" t="inlineStr">
        <is>
          <t>PP&amp;E</t>
        </is>
      </c>
      <c r="D156" s="268">
        <f>D151</f>
        <v>21481</v>
      </c>
      <c r="E156" s="268">
        <f>E151</f>
        <v>21527</v>
      </c>
      <c r="F156" s="268">
        <f>F151</f>
        <v>21807</v>
      </c>
      <c r="G156" s="268">
        <f>G151</f>
        <v>22288</v>
      </c>
      <c r="H156" s="268" t="n"/>
      <c r="I156" s="268">
        <f>I151</f>
        <v>22531</v>
      </c>
      <c r="J156" s="268">
        <f>J151</f>
        <v>23177</v>
      </c>
      <c r="K156" s="268">
        <f>K151</f>
        <v>23492</v>
      </c>
      <c r="L156" s="268">
        <f>L151</f>
        <v>23887</v>
      </c>
      <c r="M156" s="268" t="n"/>
      <c r="N156" s="268">
        <f>N151</f>
        <v>24052</v>
      </c>
      <c r="O156" s="268">
        <f>O151</f>
        <v>24143</v>
      </c>
      <c r="P156" s="268">
        <f>P151</f>
        <v>24646</v>
      </c>
      <c r="Q156" s="268">
        <f>Q151</f>
        <v>25144</v>
      </c>
      <c r="R156" s="268" t="n"/>
      <c r="S156" s="268">
        <f>S151</f>
        <v>25724</v>
      </c>
      <c r="T156" s="268">
        <f>T151</f>
        <v>25931</v>
      </c>
      <c r="U156" s="268">
        <f>U151</f>
        <v>26684</v>
      </c>
      <c r="V156" s="268">
        <f>V151</f>
        <v>27168</v>
      </c>
      <c r="W156" s="268" t="n"/>
      <c r="X156" s="268">
        <f>X151</f>
        <v>27601</v>
      </c>
      <c r="Y156" s="268">
        <f>Y151</f>
        <v>28062</v>
      </c>
      <c r="Z156" s="268">
        <f>Z151</f>
        <v>29032</v>
      </c>
      <c r="AA156" s="268">
        <f>Y156+SUM(AA153:AA155)</f>
        <v>28366</v>
      </c>
      <c r="AB156" s="268" t="n"/>
      <c r="AC156" s="268">
        <f>AC151</f>
        <v>29809</v>
      </c>
      <c r="AD156" s="268">
        <f>AD151</f>
        <v>30582</v>
      </c>
      <c r="AE156" s="268">
        <f>AE151</f>
        <v>31909</v>
      </c>
      <c r="AF156" s="268">
        <f>AE156+SUM(AF153:AF155)</f>
        <v>32616</v>
      </c>
      <c r="AG156" s="268" t="n"/>
      <c r="AH156" s="268">
        <f>AH151</f>
        <v>33645</v>
      </c>
      <c r="AI156" s="268">
        <f>AI151</f>
        <v>34293</v>
      </c>
      <c r="AJ156" s="268">
        <f>AI156+SUM(AJ153:AJ155)</f>
        <v>34293</v>
      </c>
      <c r="AK156" s="268">
        <f>AJ156+SUM(AK153:AK155)</f>
        <v>34293</v>
      </c>
      <c r="AL156" s="268" t="n"/>
      <c r="AM156" s="268">
        <f>AK156+SUM(AM153:AM155)</f>
        <v>34293</v>
      </c>
      <c r="AN156" s="268">
        <f>AM156+SUM(AN153:AN155)</f>
        <v>34293</v>
      </c>
      <c r="AO156" s="268">
        <f>AN156+SUM(AO153:AO155)</f>
        <v>34293</v>
      </c>
      <c r="AP156" s="268">
        <f>AO156+SUM(AP153:AP155)</f>
        <v>34293</v>
      </c>
      <c r="AQ156" s="268" t="n"/>
      <c r="AR156" s="268">
        <f>AP156+SUM(AR153:AR155)</f>
        <v>34293</v>
      </c>
      <c r="AS156" s="268">
        <f>AR156+SUM(AS153:AS155)</f>
        <v>34293</v>
      </c>
      <c r="AT156" s="268">
        <f>AS156+SUM(AT153:AT155)</f>
        <v>34293</v>
      </c>
      <c r="AU156" s="268">
        <f>AT156+SUM(AU153:AU155)</f>
        <v>34293</v>
      </c>
      <c r="AV156" s="268" t="n"/>
      <c r="AW156" s="268">
        <f>AU156+SUM(AW153:AW155)</f>
        <v>34293</v>
      </c>
      <c r="AX156" s="268">
        <f>AW156+SUM(AX153:AX155)</f>
        <v>34293</v>
      </c>
      <c r="AY156" s="268">
        <f>AX156+SUM(AY153:AY155)</f>
        <v>34293</v>
      </c>
      <c r="AZ156" s="268">
        <f>AY156+SUM(AZ153:AZ155)</f>
        <v>34293</v>
      </c>
      <c r="BA156" s="268" t="n"/>
      <c r="BB156" s="268">
        <f>AZ156+SUM(BB153:BB155)</f>
        <v>34293</v>
      </c>
      <c r="BC156" s="268">
        <f>BB156+SUM(BC153:BC155)</f>
        <v>34293</v>
      </c>
      <c r="BD156" s="268">
        <f>BC156+SUM(BD153:BD155)</f>
        <v>34293</v>
      </c>
      <c r="BE156" s="268">
        <f>BD156+SUM(BE153:BE155)</f>
        <v>34293</v>
      </c>
      <c r="BF156" s="268" t="n"/>
      <c r="BG156" s="268">
        <f>BE156+SUM(BG153:BG155)</f>
        <v>34293</v>
      </c>
      <c r="BH156" s="268">
        <f>BG156+SUM(BH153:BH155)</f>
        <v>34293</v>
      </c>
      <c r="BI156" s="268">
        <f>BH156+SUM(BI153:BI155)</f>
        <v>34293</v>
      </c>
      <c r="BJ156" s="268">
        <f>BI156+SUM(BJ153:BJ155)</f>
        <v>34293</v>
      </c>
      <c r="BK156" s="268" t="n"/>
      <c r="BL156" s="268">
        <f>BJ156+SUM(BL153:BL155)</f>
        <v>34293</v>
      </c>
      <c r="BM156" s="268">
        <f>BL156+SUM(BM153:BM155)</f>
        <v>34293</v>
      </c>
      <c r="BN156" s="268">
        <f>BM156+SUM(BN153:BN155)</f>
        <v>34293</v>
      </c>
      <c r="BO156" s="268">
        <f>BN156+SUM(BO153:BO155)</f>
        <v>34293</v>
      </c>
      <c r="BP156" s="268" t="n"/>
      <c r="BQ156" s="268">
        <f>BO156+SUM(BQ153:BQ155)</f>
        <v>34293</v>
      </c>
      <c r="BR156" s="268">
        <f>BQ156+SUM(BR153:BR155)</f>
        <v>34293</v>
      </c>
      <c r="BS156" s="268">
        <f>BR156+SUM(BS153:BS155)</f>
        <v>34293</v>
      </c>
      <c r="BT156" s="268">
        <f>BS156+SUM(BT153:BT155)</f>
        <v>34293</v>
      </c>
      <c r="BU156" s="268" t="n"/>
      <c r="BV156" s="268">
        <f>BT156+SUM(BV153:BV155)</f>
        <v>34293</v>
      </c>
      <c r="BW156" s="268">
        <f>BV156+SUM(BW153:BW155)</f>
        <v>34293</v>
      </c>
      <c r="BX156" s="268">
        <f>BW156+SUM(BX153:BX155)</f>
        <v>34293</v>
      </c>
      <c r="BY156" s="268">
        <f>BX156+SUM(BY153:BY155)</f>
        <v>34293</v>
      </c>
      <c r="BZ156" s="268" t="n"/>
      <c r="CA156" s="268">
        <f>BY156+SUM(CA153:CA155)</f>
        <v>34293</v>
      </c>
      <c r="CB156" s="268">
        <f>CA156+SUM(CB153:CB155)</f>
        <v>34293</v>
      </c>
      <c r="CC156" s="268">
        <f>CB156+SUM(CC153:CC155)</f>
        <v>34293</v>
      </c>
      <c r="CD156" s="268">
        <f>CC156+SUM(CD153:CD155)</f>
        <v>34293</v>
      </c>
      <c r="CE156" s="268" t="n"/>
      <c r="CF156" s="268">
        <f>CD156+SUM(CF153:CF155)</f>
        <v>34293</v>
      </c>
      <c r="CG156" s="268">
        <f>CF156+SUM(CG153:CG155)</f>
        <v>34293</v>
      </c>
      <c r="CH156" s="268">
        <f>CG156+SUM(CH153:CH155)</f>
        <v>34293</v>
      </c>
      <c r="CI156" s="268">
        <f>CH156+SUM(CI153:CI155)</f>
        <v>34293</v>
      </c>
      <c r="CJ156" s="268" t="n"/>
      <c r="CK156" s="268">
        <f>CI156+SUM(CK153:CK155)</f>
        <v>34293</v>
      </c>
      <c r="CL156" s="268">
        <f>CK156+SUM(CL153:CL155)</f>
        <v>34293</v>
      </c>
      <c r="CM156" s="268">
        <f>CL156+SUM(CM153:CM155)</f>
        <v>34293</v>
      </c>
      <c r="CN156" s="268">
        <f>CM156+SUM(CN153:CN155)</f>
        <v>34293</v>
      </c>
      <c r="CO156" s="268" t="n"/>
      <c r="CP156" s="268">
        <f>CN156+SUM(CP153:CP155)</f>
        <v>34293</v>
      </c>
      <c r="CQ156" s="268">
        <f>CP156+SUM(CQ153:CQ155)</f>
        <v>34293</v>
      </c>
      <c r="CR156" s="268">
        <f>CQ156+SUM(CR153:CR155)</f>
        <v>34293</v>
      </c>
      <c r="CS156" s="268">
        <f>CR156+SUM(CS153:CS155)</f>
        <v>34293</v>
      </c>
      <c r="CT156" s="268" t="n"/>
      <c r="CU156" s="268">
        <f>CS156+SUM(CU153:CU155)</f>
        <v>34293</v>
      </c>
      <c r="CV156" s="268">
        <f>CU156+SUM(CV153:CV155)</f>
        <v>34293</v>
      </c>
      <c r="CW156" s="268">
        <f>CV156+SUM(CW153:CW155)</f>
        <v>34293</v>
      </c>
      <c r="CX156" s="268">
        <f>CW156+SUM(CX153:CX155)</f>
        <v>34293</v>
      </c>
      <c r="CY156" s="268" t="n"/>
      <c r="CZ156" s="260">
        <f>CX156+SUM(CZ153:CZ155)</f>
        <v>34293</v>
      </c>
      <c r="DA156" s="260">
        <f>CZ156+SUM(DA153:DA155)</f>
        <v>34293</v>
      </c>
      <c r="DB156" s="260">
        <f>DA156+SUM(DB153:DB155)</f>
        <v>34293</v>
      </c>
      <c r="DC156" s="260">
        <f>DB156+SUM(DC153:DC155)</f>
        <v>34293</v>
      </c>
    </row>
    <row r="157" hidden="1" outlineLevel="1" ht="12.75" customHeight="1" s="255">
      <c r="C157" s="312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  <c r="W157" s="268" t="n"/>
      <c r="X157" s="268" t="n"/>
      <c r="Y157" s="268" t="n"/>
      <c r="Z157" s="268" t="n"/>
      <c r="AA157" s="268" t="n"/>
      <c r="AB157" s="268" t="n"/>
      <c r="AC157" s="268" t="n"/>
      <c r="AD157" s="268" t="n"/>
      <c r="AE157" s="268" t="n"/>
      <c r="AF157" s="268" t="n"/>
      <c r="AG157" s="268" t="n"/>
      <c r="AH157" s="268" t="n"/>
      <c r="AI157" s="268" t="n"/>
      <c r="AJ157" s="268" t="n"/>
      <c r="AK157" s="268" t="n"/>
      <c r="AL157" s="268" t="n"/>
      <c r="AM157" s="268" t="n"/>
      <c r="AN157" s="268" t="n"/>
      <c r="AO157" s="268" t="n"/>
      <c r="AP157" s="268" t="n"/>
      <c r="AQ157" s="268" t="n"/>
      <c r="AR157" s="268" t="n"/>
      <c r="AS157" s="268" t="n"/>
      <c r="AT157" s="268" t="n"/>
      <c r="AU157" s="268" t="n"/>
      <c r="AV157" s="268" t="n"/>
      <c r="AW157" s="268" t="n"/>
      <c r="AX157" s="268" t="n"/>
      <c r="AY157" s="268" t="n"/>
      <c r="AZ157" s="268" t="n"/>
      <c r="BA157" s="268" t="n"/>
      <c r="BB157" s="268" t="n"/>
      <c r="BC157" s="268" t="n"/>
      <c r="BD157" s="268" t="n"/>
      <c r="BE157" s="268" t="n"/>
      <c r="BF157" s="268" t="n"/>
      <c r="BG157" s="268" t="n"/>
      <c r="BH157" s="268" t="n"/>
      <c r="BI157" s="268" t="n"/>
      <c r="BJ157" s="268" t="n"/>
      <c r="BK157" s="268" t="n"/>
      <c r="BL157" s="268" t="n"/>
      <c r="BM157" s="268" t="n"/>
      <c r="BN157" s="268" t="n"/>
      <c r="BO157" s="268" t="n"/>
      <c r="BP157" s="268" t="n"/>
      <c r="BQ157" s="268" t="n"/>
      <c r="BR157" s="268" t="n"/>
      <c r="BS157" s="268" t="n"/>
      <c r="BT157" s="268" t="n"/>
      <c r="BU157" s="268" t="n"/>
      <c r="BV157" s="268" t="n"/>
      <c r="BW157" s="268" t="n"/>
      <c r="BX157" s="268" t="n"/>
      <c r="BY157" s="268" t="n"/>
      <c r="BZ157" s="268" t="n"/>
      <c r="CA157" s="268" t="n"/>
      <c r="CB157" s="268" t="n"/>
      <c r="CC157" s="268" t="n"/>
      <c r="CD157" s="268" t="n"/>
      <c r="CE157" s="268" t="n"/>
      <c r="CF157" s="268" t="n"/>
      <c r="CG157" s="268" t="n"/>
      <c r="CH157" s="268" t="n"/>
      <c r="CI157" s="268" t="n"/>
      <c r="CJ157" s="268" t="n"/>
      <c r="CK157" s="268" t="n"/>
      <c r="CL157" s="268" t="n"/>
      <c r="CM157" s="268" t="n"/>
      <c r="CN157" s="268" t="n"/>
      <c r="CO157" s="268" t="n"/>
      <c r="CP157" s="268" t="n"/>
      <c r="CQ157" s="268" t="n"/>
      <c r="CR157" s="268" t="n"/>
      <c r="CS157" s="268" t="n"/>
      <c r="CT157" s="268" t="n"/>
      <c r="CU157" s="268" t="n"/>
      <c r="CV157" s="268" t="n"/>
      <c r="CW157" s="268" t="n"/>
      <c r="CX157" s="268" t="n"/>
      <c r="CY157" s="268" t="n"/>
    </row>
    <row r="158" hidden="1" outlineLevel="1" ht="12.75" customHeight="1" s="255">
      <c r="C158" s="312" t="inlineStr">
        <is>
          <t>Capital expenditures (% Net Revenues)</t>
        </is>
      </c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  <c r="P158" s="268" t="n"/>
      <c r="Q158" s="268" t="n"/>
      <c r="R158" s="268" t="n"/>
      <c r="S158" s="268" t="n"/>
      <c r="T158" s="268" t="n"/>
      <c r="U158" s="268" t="n"/>
      <c r="V158" s="268" t="n"/>
      <c r="W158" s="268" t="n"/>
      <c r="X158" s="268" t="n"/>
      <c r="Y158" s="268" t="n"/>
      <c r="Z158" s="268" t="n"/>
      <c r="AA158" s="268" t="n"/>
      <c r="AB158" s="268" t="n"/>
      <c r="AC158" s="268" t="n"/>
      <c r="AD158" s="268" t="n"/>
      <c r="AE158" s="268" t="n"/>
      <c r="AF158" s="313">
        <f>AF153/AF15</f>
        <v>0.0193739135602538</v>
      </c>
      <c r="AG158" s="313">
        <f>AG153/AG15</f>
        <v>0.0205249098580197</v>
      </c>
      <c r="AH158" s="313">
        <f>AH153/AH15</f>
        <v>0.0233630759946549</v>
      </c>
      <c r="AI158" s="313">
        <f>AI153/AI15</f>
        <v>0.0176528138159854</v>
      </c>
      <c r="AJ158" s="313">
        <f>AJ153/AJ15</f>
        <v>0</v>
      </c>
      <c r="AK158" s="313">
        <f>AK153/AK15</f>
        <v>0</v>
      </c>
      <c r="AL158" s="313">
        <f>AL153/AL15</f>
        <v>0</v>
      </c>
      <c r="AM158" s="313">
        <f>AM153/AM15</f>
        <v>0</v>
      </c>
      <c r="AN158" s="313">
        <f>AN153/AN15</f>
        <v>0</v>
      </c>
      <c r="AO158" s="313">
        <f>AO153/AO15</f>
        <v>0</v>
      </c>
      <c r="AP158" s="313">
        <f>AP153/AP15</f>
        <v>0</v>
      </c>
      <c r="AQ158" s="313">
        <f>AQ153/AQ15</f>
        <v>0</v>
      </c>
      <c r="AR158" s="313">
        <f>AR153/AR15</f>
        <v>0</v>
      </c>
      <c r="AS158" s="313">
        <f>AS153/AS15</f>
        <v>0</v>
      </c>
      <c r="AT158" s="313">
        <f>AT153/AT15</f>
        <v>0</v>
      </c>
      <c r="AU158" s="313">
        <f>AU153/AU15</f>
        <v>0</v>
      </c>
      <c r="AV158" s="313">
        <f>AV153/AV15</f>
        <v>0</v>
      </c>
      <c r="AW158" s="313">
        <f>AW153/AW15</f>
        <v>0</v>
      </c>
      <c r="AX158" s="313">
        <f>AX153/AX15</f>
        <v>0</v>
      </c>
      <c r="AY158" s="313">
        <f>AY153/AY15</f>
        <v>0</v>
      </c>
      <c r="AZ158" s="313">
        <f>AZ153/AZ15</f>
        <v>0</v>
      </c>
      <c r="BA158" s="313">
        <f>BA153/BA15</f>
        <v>0</v>
      </c>
      <c r="BB158" s="313">
        <f>BB153/BB15</f>
        <v>0</v>
      </c>
      <c r="BC158" s="313">
        <f>BC153/BC15</f>
        <v>0</v>
      </c>
      <c r="BD158" s="313">
        <f>BD153/BD15</f>
        <v>0</v>
      </c>
      <c r="BE158" s="313">
        <f>BE153/BE15</f>
        <v>0</v>
      </c>
      <c r="BF158" s="313">
        <f>BF153/BF15</f>
        <v>0</v>
      </c>
      <c r="BG158" s="313">
        <f>BG153/BG15</f>
        <v>0</v>
      </c>
      <c r="BH158" s="313">
        <f>BH153/BH15</f>
        <v>0</v>
      </c>
      <c r="BI158" s="313">
        <f>BI153/BI15</f>
        <v>0</v>
      </c>
      <c r="BJ158" s="313">
        <f>BJ153/BJ15</f>
        <v>0</v>
      </c>
      <c r="BK158" s="313">
        <f>BK153/BK15</f>
        <v>0</v>
      </c>
      <c r="BL158" s="313">
        <f>BL153/BL15</f>
        <v>0</v>
      </c>
      <c r="BM158" s="313">
        <f>BM153/BM15</f>
        <v>0</v>
      </c>
      <c r="BN158" s="313">
        <f>BN153/BN15</f>
        <v>0</v>
      </c>
      <c r="BO158" s="313">
        <f>BO153/BO15</f>
        <v>0</v>
      </c>
      <c r="BP158" s="313">
        <f>BP153/BP15</f>
        <v>0</v>
      </c>
      <c r="BQ158" s="313">
        <f>BQ153/BQ15</f>
        <v>0</v>
      </c>
      <c r="BR158" s="313">
        <f>BR153/BR15</f>
        <v>0</v>
      </c>
      <c r="BS158" s="313">
        <f>BS153/BS15</f>
        <v>0</v>
      </c>
      <c r="BT158" s="313">
        <f>BT153/BT15</f>
        <v>0</v>
      </c>
      <c r="BU158" s="313">
        <f>BU153/BU15</f>
        <v>0</v>
      </c>
      <c r="BV158" s="313">
        <f>BV153/BV15</f>
        <v>0</v>
      </c>
      <c r="BW158" s="313">
        <f>BW153/BW15</f>
        <v>0</v>
      </c>
      <c r="BX158" s="313">
        <f>BX153/BX15</f>
        <v>0</v>
      </c>
      <c r="BY158" s="313">
        <f>BY153/BY15</f>
        <v>0</v>
      </c>
      <c r="BZ158" s="313">
        <f>BZ153/BZ15</f>
        <v>0</v>
      </c>
      <c r="CA158" s="313">
        <f>CA153/CA15</f>
        <v>0</v>
      </c>
      <c r="CB158" s="313">
        <f>CB153/CB15</f>
        <v>0</v>
      </c>
      <c r="CC158" s="313">
        <f>CC153/CC15</f>
        <v>0</v>
      </c>
      <c r="CD158" s="313">
        <f>CD153/CD15</f>
        <v>0</v>
      </c>
      <c r="CE158" s="313">
        <f>CE153/CE15</f>
        <v>0</v>
      </c>
      <c r="CF158" s="313">
        <f>CF153/CF15</f>
        <v>0</v>
      </c>
      <c r="CG158" s="313">
        <f>CG153/CG15</f>
        <v>0</v>
      </c>
      <c r="CH158" s="313">
        <f>CH153/CH15</f>
        <v>0</v>
      </c>
      <c r="CI158" s="313">
        <f>CI153/CI15</f>
        <v>0</v>
      </c>
      <c r="CJ158" s="313">
        <f>CJ153/CJ15</f>
        <v>0</v>
      </c>
      <c r="CK158" s="313">
        <f>CK153/CK15</f>
        <v>0</v>
      </c>
      <c r="CL158" s="313">
        <f>CL153/CL15</f>
        <v>0</v>
      </c>
      <c r="CM158" s="313">
        <f>CM153/CM15</f>
        <v>0</v>
      </c>
      <c r="CN158" s="313">
        <f>CN153/CN15</f>
        <v>0</v>
      </c>
      <c r="CO158" s="313">
        <f>CO153/CO15</f>
        <v>0</v>
      </c>
      <c r="CP158" s="313">
        <f>CP153/CP15</f>
        <v>0</v>
      </c>
      <c r="CQ158" s="313">
        <f>CQ153/CQ15</f>
        <v>0</v>
      </c>
      <c r="CR158" s="313">
        <f>CR153/CR15</f>
        <v>0</v>
      </c>
      <c r="CS158" s="313">
        <f>CS153/CS15</f>
        <v>0</v>
      </c>
      <c r="CT158" s="313">
        <f>CT153/CT15</f>
        <v>0</v>
      </c>
      <c r="CU158" s="313">
        <f>CU153/CU15</f>
        <v>0</v>
      </c>
      <c r="CV158" s="313">
        <f>CV153/CV15</f>
        <v>0</v>
      </c>
      <c r="CW158" s="313">
        <f>CW153/CW15</f>
        <v>0</v>
      </c>
      <c r="CX158" s="313">
        <f>CX153/CX15</f>
        <v>0</v>
      </c>
      <c r="CY158" s="313">
        <f>CY153/CY15</f>
        <v>0</v>
      </c>
    </row>
    <row r="159" hidden="1" outlineLevel="1" ht="12.75" customHeight="1" s="255">
      <c r="C159" s="312" t="n"/>
      <c r="D159" s="268" t="n"/>
      <c r="E159" s="268" t="n"/>
      <c r="F159" s="268" t="n"/>
      <c r="G159" s="268" t="n"/>
      <c r="H159" s="268" t="n"/>
      <c r="I159" s="268" t="n"/>
      <c r="J159" s="268" t="n"/>
      <c r="K159" s="268" t="n"/>
      <c r="L159" s="268" t="n"/>
      <c r="M159" s="268" t="n"/>
      <c r="N159" s="268" t="n"/>
      <c r="O159" s="268" t="n"/>
      <c r="P159" s="268" t="n"/>
      <c r="Q159" s="268" t="n"/>
      <c r="R159" s="268" t="n"/>
      <c r="S159" s="268" t="n"/>
      <c r="T159" s="268" t="n"/>
      <c r="U159" s="268" t="n"/>
      <c r="V159" s="268" t="n"/>
      <c r="W159" s="268" t="n"/>
      <c r="X159" s="268" t="n"/>
      <c r="Y159" s="268" t="n"/>
      <c r="Z159" s="268" t="n"/>
      <c r="AA159" s="268" t="n"/>
      <c r="AB159" s="268" t="n"/>
      <c r="AC159" s="268" t="n"/>
      <c r="AD159" s="268" t="n"/>
      <c r="AE159" s="268" t="n"/>
      <c r="AF159" s="268" t="n"/>
      <c r="AG159" s="268" t="n"/>
      <c r="AH159" s="268" t="n"/>
      <c r="AI159" s="268" t="n"/>
      <c r="AJ159" s="268" t="n"/>
      <c r="AK159" s="268" t="n"/>
      <c r="AL159" s="268" t="n"/>
      <c r="AM159" s="268" t="n"/>
      <c r="AN159" s="268" t="n"/>
      <c r="AO159" s="268" t="n"/>
      <c r="AP159" s="268" t="n"/>
      <c r="AQ159" s="268" t="n"/>
      <c r="AR159" s="268" t="n"/>
      <c r="AS159" s="268" t="n"/>
      <c r="AT159" s="268" t="n"/>
      <c r="AU159" s="268" t="n"/>
      <c r="AV159" s="268" t="n"/>
      <c r="AW159" s="268" t="n"/>
      <c r="AX159" s="268" t="n"/>
      <c r="AY159" s="268" t="n"/>
      <c r="AZ159" s="268" t="n"/>
      <c r="BA159" s="268" t="n"/>
      <c r="BB159" s="268" t="n"/>
      <c r="BC159" s="268" t="n"/>
      <c r="BD159" s="268" t="n"/>
      <c r="BE159" s="268" t="n"/>
      <c r="BF159" s="268" t="n"/>
      <c r="BG159" s="268" t="n"/>
      <c r="BH159" s="268" t="n"/>
      <c r="BI159" s="268" t="n"/>
      <c r="BJ159" s="268" t="n"/>
      <c r="BK159" s="268" t="n"/>
      <c r="BL159" s="268" t="n"/>
      <c r="BM159" s="268" t="n"/>
      <c r="BN159" s="268" t="n"/>
      <c r="BO159" s="268" t="n"/>
      <c r="BP159" s="268" t="n"/>
      <c r="BQ159" s="268" t="n"/>
      <c r="BR159" s="268" t="n"/>
      <c r="BS159" s="268" t="n"/>
      <c r="BT159" s="268" t="n"/>
      <c r="BU159" s="268" t="n"/>
      <c r="BV159" s="268" t="n"/>
      <c r="BW159" s="268" t="n"/>
      <c r="BX159" s="268" t="n"/>
      <c r="BY159" s="268" t="n"/>
      <c r="BZ159" s="268" t="n"/>
      <c r="CA159" s="268" t="n"/>
      <c r="CB159" s="268" t="n"/>
      <c r="CC159" s="268" t="n"/>
      <c r="CD159" s="268" t="n"/>
      <c r="CE159" s="268" t="n"/>
      <c r="CF159" s="268" t="n"/>
      <c r="CG159" s="268" t="n"/>
      <c r="CH159" s="268" t="n"/>
      <c r="CI159" s="268" t="n"/>
      <c r="CJ159" s="268" t="n"/>
      <c r="CK159" s="268" t="n"/>
      <c r="CL159" s="268" t="n"/>
      <c r="CM159" s="268" t="n"/>
      <c r="CN159" s="268" t="n"/>
      <c r="CO159" s="268" t="n"/>
      <c r="CP159" s="268" t="n"/>
      <c r="CQ159" s="268" t="n"/>
      <c r="CR159" s="268" t="n"/>
      <c r="CS159" s="268" t="n"/>
      <c r="CT159" s="268" t="n"/>
      <c r="CU159" s="268" t="n"/>
      <c r="CV159" s="268" t="n"/>
      <c r="CW159" s="268" t="n"/>
      <c r="CX159" s="268" t="n"/>
      <c r="CY159" s="268" t="n"/>
    </row>
    <row r="160" hidden="1" outlineLevel="1" ht="12.75" customHeight="1" s="255">
      <c r="C160" s="312" t="n"/>
      <c r="D160" s="268" t="n"/>
      <c r="E160" s="268" t="n"/>
      <c r="F160" s="268" t="n"/>
      <c r="G160" s="268" t="n"/>
      <c r="H160" s="268" t="n"/>
      <c r="I160" s="268" t="n"/>
      <c r="J160" s="268" t="n"/>
      <c r="K160" s="268" t="n"/>
      <c r="L160" s="268" t="n"/>
      <c r="M160" s="268" t="n"/>
      <c r="N160" s="268" t="n"/>
      <c r="O160" s="268" t="n"/>
      <c r="P160" s="268" t="n"/>
      <c r="Q160" s="268" t="n"/>
      <c r="R160" s="268" t="n"/>
      <c r="S160" s="268" t="n"/>
      <c r="T160" s="268" t="n"/>
      <c r="U160" s="268" t="n"/>
      <c r="V160" s="268" t="n"/>
      <c r="W160" s="268" t="n"/>
      <c r="X160" s="268" t="n"/>
      <c r="Y160" s="268" t="n"/>
      <c r="Z160" s="268" t="n"/>
      <c r="AA160" s="268" t="n"/>
      <c r="AB160" s="268" t="n"/>
      <c r="AC160" s="268" t="n"/>
      <c r="AD160" s="268" t="n"/>
      <c r="AE160" s="268" t="n"/>
      <c r="AF160" s="268" t="n"/>
      <c r="AG160" s="268" t="n"/>
      <c r="AH160" s="268" t="n"/>
      <c r="AI160" s="268" t="n"/>
      <c r="AJ160" s="268" t="n"/>
      <c r="AK160" s="268" t="n"/>
      <c r="AL160" s="268" t="n"/>
      <c r="AM160" s="268" t="n"/>
      <c r="AN160" s="268" t="n"/>
      <c r="AO160" s="268" t="n"/>
      <c r="AP160" s="268" t="n"/>
      <c r="AQ160" s="268" t="n"/>
      <c r="AR160" s="268" t="n"/>
      <c r="AS160" s="268" t="n"/>
      <c r="AT160" s="268" t="n"/>
      <c r="AU160" s="268" t="n"/>
      <c r="AV160" s="268" t="n"/>
      <c r="AW160" s="268" t="n"/>
      <c r="AX160" s="268" t="n"/>
      <c r="AY160" s="268" t="n"/>
      <c r="AZ160" s="268" t="n"/>
      <c r="BA160" s="268" t="n"/>
      <c r="BB160" s="268" t="n"/>
      <c r="BC160" s="268" t="n"/>
      <c r="BD160" s="268" t="n"/>
      <c r="BE160" s="268" t="n"/>
      <c r="BF160" s="268" t="n"/>
      <c r="BG160" s="268" t="n"/>
      <c r="BH160" s="268" t="n"/>
      <c r="BI160" s="268" t="n"/>
      <c r="BJ160" s="268" t="n"/>
      <c r="BK160" s="268" t="n"/>
      <c r="BL160" s="268" t="n"/>
      <c r="BM160" s="268" t="n"/>
      <c r="BN160" s="268" t="n"/>
      <c r="BO160" s="268" t="n"/>
      <c r="BP160" s="268" t="n"/>
      <c r="BQ160" s="268" t="n"/>
      <c r="BR160" s="268" t="n"/>
      <c r="BS160" s="268" t="n"/>
      <c r="BT160" s="268" t="n"/>
      <c r="BU160" s="268" t="n"/>
      <c r="BV160" s="268" t="n"/>
      <c r="BW160" s="268" t="n"/>
      <c r="BX160" s="268" t="n"/>
      <c r="BY160" s="268" t="n"/>
      <c r="BZ160" s="268" t="n"/>
      <c r="CA160" s="268" t="n"/>
      <c r="CB160" s="268" t="n"/>
      <c r="CC160" s="268" t="n"/>
      <c r="CD160" s="268" t="n"/>
      <c r="CE160" s="268" t="n"/>
      <c r="CF160" s="268" t="n"/>
      <c r="CG160" s="268" t="n"/>
      <c r="CH160" s="268" t="n"/>
      <c r="CI160" s="268" t="n"/>
      <c r="CJ160" s="268" t="n"/>
      <c r="CK160" s="268" t="n"/>
      <c r="CL160" s="268" t="n"/>
      <c r="CM160" s="268" t="n"/>
      <c r="CN160" s="268" t="n"/>
      <c r="CO160" s="268" t="n"/>
      <c r="CP160" s="268" t="n"/>
      <c r="CQ160" s="268" t="n"/>
      <c r="CR160" s="268" t="n"/>
      <c r="CS160" s="268" t="n"/>
      <c r="CT160" s="268" t="n"/>
      <c r="CU160" s="268" t="n"/>
      <c r="CV160" s="268" t="n"/>
      <c r="CW160" s="268" t="n"/>
      <c r="CX160" s="268" t="n"/>
      <c r="CY160" s="268" t="n"/>
    </row>
    <row r="161" ht="12.75" customHeight="1" s="255">
      <c r="C161" s="270" t="inlineStr">
        <is>
          <t>Right-of-use-assets</t>
        </is>
      </c>
      <c r="D161" s="301">
        <f>INDEX('Inputs (2)'!$D$23:$AL$23,MATCH(D$7,'Inputs (2)'!$D$2:$AL$2,0))</f>
        <v>2596</v>
      </c>
      <c r="E161" s="301">
        <f>INDEX('Inputs (2)'!$D$23:$AL$23,MATCH(E$7,'Inputs (2)'!$D$2:$AL$2,0))</f>
        <v>2749</v>
      </c>
      <c r="F161" s="301">
        <f>INDEX('Inputs (2)'!$D$23:$AL$23,MATCH(F$7,'Inputs (2)'!$D$2:$AL$2,0))</f>
        <v>2788</v>
      </c>
      <c r="G161" s="301">
        <f>INDEX('Inputs (2)'!$D$23:$AL$23,MATCH(G$7,'Inputs (2)'!$D$2:$AL$2,0))</f>
        <v>2785</v>
      </c>
      <c r="H161" s="268">
        <f>G161</f>
        <v>2785</v>
      </c>
      <c r="I161" s="301">
        <f>INDEX('Inputs (2)'!$D$23:$AL$23,MATCH(I$7,'Inputs (2)'!$D$2:$AL$2,0))</f>
        <v>2887</v>
      </c>
      <c r="J161" s="301">
        <f>INDEX('Inputs (2)'!$D$23:$AL$23,MATCH(J$7,'Inputs (2)'!$D$2:$AL$2,0))</f>
        <v>2875</v>
      </c>
      <c r="K161" s="301">
        <f>INDEX('Inputs (2)'!$D$23:$AL$23,MATCH(K$7,'Inputs (2)'!$D$2:$AL$2,0))</f>
        <v>2890</v>
      </c>
      <c r="L161" s="301">
        <f>INDEX('Inputs (2)'!$D$23:$AL$23,MATCH(L$7,'Inputs (2)'!$D$2:$AL$2,0))</f>
        <v>2903</v>
      </c>
      <c r="M161" s="268">
        <f>L161</f>
        <v>2903</v>
      </c>
      <c r="N161" s="301">
        <f>INDEX('Inputs (2)'!$D$23:$AL$23,MATCH(N$7,'Inputs (2)'!$D$2:$AL$2,0))</f>
        <v>2840</v>
      </c>
      <c r="O161" s="301">
        <f>INDEX('Inputs (2)'!$D$23:$AL$23,MATCH(O$7,'Inputs (2)'!$D$2:$AL$2,0))</f>
        <v>2731</v>
      </c>
      <c r="P161" s="301">
        <f>INDEX('Inputs (2)'!$D$23:$AL$23,MATCH(P$7,'Inputs (2)'!$D$2:$AL$2,0))</f>
        <v>2774</v>
      </c>
      <c r="Q161" s="301">
        <f>INDEX('Inputs (2)'!$D$23:$AL$23,MATCH(Q$7,'Inputs (2)'!$D$2:$AL$2,0))</f>
        <v>2787</v>
      </c>
      <c r="R161" s="268">
        <f>Q161</f>
        <v>2787</v>
      </c>
      <c r="S161" s="301">
        <f>INDEX('Inputs (2)'!$D$23:$AL$23,MATCH(S$7,'Inputs (2)'!$D$2:$AL$2,0))</f>
        <v>2859</v>
      </c>
      <c r="T161" s="301">
        <f>INDEX('Inputs (2)'!$D$23:$AL$23,MATCH(T$7,'Inputs (2)'!$D$2:$AL$2,0))</f>
        <v>2806</v>
      </c>
      <c r="U161" s="301">
        <f>INDEX('Inputs (2)'!$D$23:$AL$23,MATCH(U$7,'Inputs (2)'!$D$2:$AL$2,0))</f>
        <v>2713</v>
      </c>
      <c r="V161" s="301">
        <f>INDEX('Inputs (2)'!$D$23:$AL$23,MATCH(V$7,'Inputs (2)'!$D$2:$AL$2,0))</f>
        <v>2672</v>
      </c>
      <c r="W161" s="268">
        <f>V161</f>
        <v>2672</v>
      </c>
      <c r="X161" s="301">
        <f>INDEX('Inputs (2)'!$D$23:$AL$23,MATCH(X$7,'Inputs (2)'!$D$2:$AL$2,0))</f>
        <v>2740</v>
      </c>
      <c r="Y161" s="301">
        <f>INDEX('Inputs (2)'!$D$23:$AL$23,MATCH(Y$7,'Inputs (2)'!$D$2:$AL$2,0))</f>
        <v>2643</v>
      </c>
      <c r="Z161" s="301">
        <f>INDEX('Inputs (2)'!$D$23:$AL$23,MATCH(Z$7,'Inputs (2)'!$D$2:$AL$2,0))</f>
        <v>2617</v>
      </c>
      <c r="AA161" s="301">
        <f>INDEX('Inputs (2)'!$D$23:$AL$23,MATCH(AA$7,'Inputs (2)'!$D$2:$AL$2,0))</f>
        <v>2539</v>
      </c>
      <c r="AB161" s="268">
        <f>AA161</f>
        <v>2539</v>
      </c>
      <c r="AC161" s="301">
        <f>INDEX('Inputs (2)'!$D$23:$AL$23,MATCH(AC$7,'Inputs (2)'!$D$2:$AL$2,0))</f>
        <v>2531</v>
      </c>
      <c r="AD161" s="301">
        <f>INDEX('Inputs (2)'!$D$23:$AL$23,MATCH(AD$7,'Inputs (2)'!$D$2:$AL$2,0))</f>
        <v>2718</v>
      </c>
      <c r="AE161" s="301">
        <f>INDEX('Inputs (2)'!$D$23:$AL$23,MATCH(AE$7,'Inputs (2)'!$D$2:$AL$2,0))</f>
        <v>2725</v>
      </c>
      <c r="AF161" s="301">
        <f>INDEX('Inputs (2)'!$D$23:$AL$23,MATCH(AF$7,'Inputs (2)'!$D$2:$AL$2,0))</f>
        <v>2730</v>
      </c>
      <c r="AG161" s="268">
        <f>AF161</f>
        <v>2730</v>
      </c>
      <c r="AH161" s="268">
        <f>INDEX('Inputs (2)'!$D$23:$AL$23,MATCH(AH$7,'Inputs (2)'!$D$2:$AL$2,0))</f>
        <v>2759</v>
      </c>
      <c r="AI161" s="268">
        <f>INDEX('Inputs (2)'!$D$23:$AL$23,MATCH(AI$7,'Inputs (2)'!$D$2:$AL$2,0))</f>
        <v>2747</v>
      </c>
      <c r="AJ161" s="268">
        <f>AI161</f>
        <v>2747</v>
      </c>
      <c r="AK161" s="268">
        <f>AJ161</f>
        <v>2747</v>
      </c>
      <c r="AL161" s="268">
        <f>AK161</f>
        <v>2747</v>
      </c>
      <c r="AM161" s="268">
        <f>AL161</f>
        <v>2747</v>
      </c>
      <c r="AN161" s="268">
        <f>AM161</f>
        <v>2747</v>
      </c>
      <c r="AO161" s="268">
        <f>AN161</f>
        <v>2747</v>
      </c>
      <c r="AP161" s="268">
        <f>AO161</f>
        <v>2747</v>
      </c>
      <c r="AQ161" s="268">
        <f>AP161</f>
        <v>2747</v>
      </c>
      <c r="AR161" s="268">
        <f>AQ161</f>
        <v>2747</v>
      </c>
      <c r="AS161" s="268">
        <f>AR161</f>
        <v>2747</v>
      </c>
      <c r="AT161" s="268">
        <f>AS161</f>
        <v>2747</v>
      </c>
      <c r="AU161" s="268">
        <f>AT161</f>
        <v>2747</v>
      </c>
      <c r="AV161" s="268">
        <f>AU161</f>
        <v>2747</v>
      </c>
      <c r="AW161" s="268">
        <f>AV161</f>
        <v>2747</v>
      </c>
      <c r="AX161" s="268">
        <f>AW161</f>
        <v>2747</v>
      </c>
      <c r="AY161" s="268">
        <f>AX161</f>
        <v>2747</v>
      </c>
      <c r="AZ161" s="268">
        <f>AY161</f>
        <v>2747</v>
      </c>
      <c r="BA161" s="268">
        <f>AZ161</f>
        <v>2747</v>
      </c>
      <c r="BB161" s="268">
        <f>BA161</f>
        <v>2747</v>
      </c>
      <c r="BC161" s="268">
        <f>BB161</f>
        <v>2747</v>
      </c>
      <c r="BD161" s="268">
        <f>BC161</f>
        <v>2747</v>
      </c>
      <c r="BE161" s="268">
        <f>BD161</f>
        <v>2747</v>
      </c>
      <c r="BF161" s="268">
        <f>BE161</f>
        <v>2747</v>
      </c>
      <c r="BG161" s="268">
        <f>BF161</f>
        <v>2747</v>
      </c>
      <c r="BH161" s="268">
        <f>BG161</f>
        <v>2747</v>
      </c>
      <c r="BI161" s="268">
        <f>BH161</f>
        <v>2747</v>
      </c>
      <c r="BJ161" s="268">
        <f>BI161</f>
        <v>2747</v>
      </c>
      <c r="BK161" s="268">
        <f>BJ161</f>
        <v>2747</v>
      </c>
      <c r="BL161" s="268">
        <f>BK161</f>
        <v>2747</v>
      </c>
      <c r="BM161" s="268">
        <f>BL161</f>
        <v>2747</v>
      </c>
      <c r="BN161" s="268">
        <f>BM161</f>
        <v>2747</v>
      </c>
      <c r="BO161" s="268">
        <f>BN161</f>
        <v>2747</v>
      </c>
      <c r="BP161" s="268">
        <f>BO161</f>
        <v>2747</v>
      </c>
      <c r="BQ161" s="268">
        <f>BP161</f>
        <v>2747</v>
      </c>
      <c r="BR161" s="268">
        <f>BQ161</f>
        <v>2747</v>
      </c>
      <c r="BS161" s="268">
        <f>BR161</f>
        <v>2747</v>
      </c>
      <c r="BT161" s="268">
        <f>BS161</f>
        <v>2747</v>
      </c>
      <c r="BU161" s="268">
        <f>BT161</f>
        <v>2747</v>
      </c>
      <c r="BV161" s="268">
        <f>BU161</f>
        <v>2747</v>
      </c>
      <c r="BW161" s="268">
        <f>BV161</f>
        <v>2747</v>
      </c>
      <c r="BX161" s="268">
        <f>BW161</f>
        <v>2747</v>
      </c>
      <c r="BY161" s="268">
        <f>BX161</f>
        <v>2747</v>
      </c>
      <c r="BZ161" s="268">
        <f>BY161</f>
        <v>2747</v>
      </c>
      <c r="CA161" s="268">
        <f>BZ161</f>
        <v>2747</v>
      </c>
      <c r="CB161" s="268">
        <f>CA161</f>
        <v>2747</v>
      </c>
      <c r="CC161" s="268">
        <f>CB161</f>
        <v>2747</v>
      </c>
      <c r="CD161" s="268">
        <f>CC161</f>
        <v>2747</v>
      </c>
      <c r="CE161" s="268">
        <f>CD161</f>
        <v>2747</v>
      </c>
      <c r="CF161" s="268">
        <f>CE161</f>
        <v>2747</v>
      </c>
      <c r="CG161" s="268">
        <f>CF161</f>
        <v>2747</v>
      </c>
      <c r="CH161" s="268">
        <f>CG161</f>
        <v>2747</v>
      </c>
      <c r="CI161" s="268">
        <f>CH161</f>
        <v>2747</v>
      </c>
      <c r="CJ161" s="268">
        <f>CI161</f>
        <v>2747</v>
      </c>
      <c r="CK161" s="268">
        <f>CJ161</f>
        <v>2747</v>
      </c>
      <c r="CL161" s="268">
        <f>CK161</f>
        <v>2747</v>
      </c>
      <c r="CM161" s="268">
        <f>CL161</f>
        <v>2747</v>
      </c>
      <c r="CN161" s="268">
        <f>CM161</f>
        <v>2747</v>
      </c>
      <c r="CO161" s="268">
        <f>CN161</f>
        <v>2747</v>
      </c>
      <c r="CP161" s="268">
        <f>CO161</f>
        <v>2747</v>
      </c>
      <c r="CQ161" s="268">
        <f>CP161</f>
        <v>2747</v>
      </c>
      <c r="CR161" s="268">
        <f>CQ161</f>
        <v>2747</v>
      </c>
      <c r="CS161" s="268">
        <f>CR161</f>
        <v>2747</v>
      </c>
      <c r="CT161" s="268">
        <f>CS161</f>
        <v>2747</v>
      </c>
      <c r="CU161" s="268">
        <f>CT161</f>
        <v>2747</v>
      </c>
      <c r="CV161" s="268">
        <f>CU161</f>
        <v>2747</v>
      </c>
      <c r="CW161" s="268">
        <f>CV161</f>
        <v>2747</v>
      </c>
      <c r="CX161" s="268">
        <f>CW161</f>
        <v>2747</v>
      </c>
      <c r="CY161" s="268">
        <f>CX161</f>
        <v>2747</v>
      </c>
    </row>
    <row r="162" hidden="1" outlineLevel="1" ht="12.75" customHeight="1" s="255">
      <c r="C162" s="314" t="inlineStr">
        <is>
          <t>%(Var.)</t>
        </is>
      </c>
      <c r="D162" s="268" t="n"/>
      <c r="E162" s="296">
        <f>IFERROR((E161-D161)/D161,0)</f>
        <v>0.0589368258859784</v>
      </c>
      <c r="F162" s="296">
        <f>IFERROR((F161-E161)/E161,0)</f>
        <v>0.0141869770825755</v>
      </c>
      <c r="G162" s="296">
        <f>IFERROR((G161-F161)/F161,0)</f>
        <v>-0.00107604017216643</v>
      </c>
      <c r="H162" s="268" t="n"/>
      <c r="I162" s="296">
        <f>IFERROR((I161-H161)/H161,0)</f>
        <v>0.036624775583483</v>
      </c>
      <c r="J162" s="296">
        <f>IFERROR((J161-I161)/I161,0)</f>
        <v>-0.00415656390717007</v>
      </c>
      <c r="K162" s="296">
        <f>IFERROR((K161-J161)/J161,0)</f>
        <v>0.00521739130434783</v>
      </c>
      <c r="L162" s="296">
        <f>IFERROR((L161-K161)/K161,0)</f>
        <v>0.00449826989619377</v>
      </c>
      <c r="M162" s="268" t="n"/>
      <c r="N162" s="296">
        <f>IFERROR((N161-M161)/M161,0)</f>
        <v>-0.0217016879090596</v>
      </c>
      <c r="O162" s="296">
        <f>IFERROR((O161-N161)/N161,0)</f>
        <v>-0.0383802816901408</v>
      </c>
      <c r="P162" s="296">
        <f>IFERROR((P161-O161)/O161,0)</f>
        <v>0.015745148297327</v>
      </c>
      <c r="Q162" s="296">
        <f>IFERROR((Q161-P161)/P161,0)</f>
        <v>0.00468637346791637</v>
      </c>
      <c r="R162" s="268" t="n"/>
      <c r="S162" s="296">
        <f>IFERROR((S161-R161)/R161,0)</f>
        <v>0.0258342303552207</v>
      </c>
      <c r="T162" s="296">
        <f>IFERROR((T161-S161)/S161,0)</f>
        <v>-0.018537950332284</v>
      </c>
      <c r="U162" s="296">
        <f>IFERROR((U161-T161)/T161,0)</f>
        <v>-0.0331432644333571</v>
      </c>
      <c r="V162" s="296">
        <f>IFERROR((V161-U161)/U161,0)</f>
        <v>-0.0151124216734243</v>
      </c>
      <c r="W162" s="268" t="n"/>
      <c r="X162" s="296">
        <f>IFERROR((X161-W161)/W161,0)</f>
        <v>0.0254491017964072</v>
      </c>
      <c r="Y162" s="296">
        <f>IFERROR((Y161-X161)/X161,0)</f>
        <v>-0.0354014598540146</v>
      </c>
      <c r="Z162" s="296">
        <f>IFERROR((Z161-Y161)/Y161,0)</f>
        <v>-0.00983730609156262</v>
      </c>
      <c r="AA162" s="296">
        <f>IFERROR((AA161-Z161)/Z161,0)</f>
        <v>-0.0298051203668323</v>
      </c>
      <c r="AB162" s="268" t="n"/>
      <c r="AC162" s="296">
        <f>IFERROR((AC161-AB161)/AB161,0)</f>
        <v>-0.00315084679007483</v>
      </c>
      <c r="AD162" s="296">
        <f>IFERROR((AD161-AC161)/AC161,0)</f>
        <v>0.0738838403792967</v>
      </c>
      <c r="AE162" s="296">
        <f>IFERROR((AE161-AD161)/AD161,0)</f>
        <v>0.00257542310522443</v>
      </c>
      <c r="AF162" s="311">
        <f>IFERROR((AF161-AE161)/AE161,0)</f>
        <v>0.0018348623853211</v>
      </c>
      <c r="AG162" s="268" t="n"/>
      <c r="AH162" s="311">
        <f>IFERROR((AH161-AG161)/AG161,0)</f>
        <v>0.0106227106227106</v>
      </c>
      <c r="AI162" s="311">
        <f>IFERROR((AI161-AH161)/AH161,0)</f>
        <v>-0.00434940195723088</v>
      </c>
      <c r="AJ162" s="311" t="n"/>
      <c r="AK162" s="311" t="n"/>
      <c r="AL162" s="268" t="n"/>
      <c r="AM162" s="311" t="n"/>
      <c r="AN162" s="311" t="n"/>
      <c r="AO162" s="311" t="n"/>
      <c r="AP162" s="311" t="n"/>
      <c r="AQ162" s="268" t="n"/>
      <c r="AR162" s="311" t="n"/>
      <c r="AS162" s="311" t="n"/>
      <c r="AT162" s="311" t="n"/>
      <c r="AU162" s="311" t="n"/>
      <c r="AV162" s="268" t="n"/>
      <c r="AW162" s="311" t="n"/>
      <c r="AX162" s="311" t="n"/>
      <c r="AY162" s="311" t="n"/>
      <c r="AZ162" s="311" t="n"/>
      <c r="BA162" s="268" t="n"/>
      <c r="BB162" s="311" t="n"/>
      <c r="BC162" s="311" t="n"/>
      <c r="BD162" s="311" t="n"/>
      <c r="BE162" s="311" t="n"/>
      <c r="BF162" s="268" t="n"/>
      <c r="BG162" s="311" t="n"/>
      <c r="BH162" s="311" t="n"/>
      <c r="BI162" s="311" t="n"/>
      <c r="BJ162" s="311" t="n"/>
      <c r="BK162" s="268" t="n"/>
      <c r="BL162" s="311" t="n"/>
      <c r="BM162" s="311" t="n"/>
      <c r="BN162" s="311" t="n"/>
      <c r="BO162" s="311" t="n"/>
      <c r="BP162" s="268" t="n"/>
      <c r="BQ162" s="311" t="n"/>
      <c r="BR162" s="311" t="n"/>
      <c r="BS162" s="311" t="n"/>
      <c r="BT162" s="311" t="n"/>
      <c r="BU162" s="268" t="n"/>
      <c r="BV162" s="311" t="n"/>
      <c r="BW162" s="311" t="n"/>
      <c r="BX162" s="311" t="n"/>
      <c r="BY162" s="311" t="n"/>
      <c r="BZ162" s="268" t="n"/>
      <c r="CA162" s="311" t="n"/>
      <c r="CB162" s="311" t="n"/>
      <c r="CC162" s="311" t="n"/>
      <c r="CD162" s="311" t="n"/>
      <c r="CE162" s="268" t="n"/>
      <c r="CF162" s="311" t="n"/>
      <c r="CG162" s="311" t="n"/>
      <c r="CH162" s="311" t="n"/>
      <c r="CI162" s="311" t="n"/>
      <c r="CJ162" s="268" t="n"/>
      <c r="CK162" s="311" t="n"/>
      <c r="CL162" s="311" t="n"/>
      <c r="CM162" s="311" t="n"/>
      <c r="CN162" s="311" t="n"/>
      <c r="CO162" s="268" t="n"/>
      <c r="CP162" s="311" t="n"/>
      <c r="CQ162" s="311" t="n"/>
      <c r="CR162" s="311" t="n"/>
      <c r="CS162" s="311" t="n"/>
      <c r="CT162" s="268" t="n"/>
      <c r="CU162" s="311" t="n"/>
      <c r="CV162" s="311" t="n"/>
      <c r="CW162" s="311" t="n"/>
      <c r="CX162" s="311" t="n"/>
      <c r="CY162" s="268" t="n"/>
    </row>
    <row r="163" hidden="1" outlineLevel="1" ht="12.75" customHeight="1" s="255">
      <c r="C163" s="312" t="n"/>
      <c r="D163" s="268" t="n"/>
      <c r="E163" s="268" t="n"/>
      <c r="F163" s="268" t="n"/>
      <c r="G163" s="268" t="n"/>
      <c r="H163" s="268" t="n"/>
      <c r="I163" s="268" t="n"/>
      <c r="J163" s="268" t="n"/>
      <c r="K163" s="268" t="n"/>
      <c r="L163" s="268" t="n"/>
      <c r="M163" s="268" t="n"/>
      <c r="N163" s="268" t="n"/>
      <c r="O163" s="268" t="n"/>
      <c r="P163" s="268" t="n"/>
      <c r="Q163" s="268" t="n"/>
      <c r="R163" s="268" t="n"/>
      <c r="S163" s="268" t="n"/>
      <c r="T163" s="268" t="n"/>
      <c r="U163" s="268" t="n"/>
      <c r="V163" s="268" t="n"/>
      <c r="W163" s="268" t="n"/>
      <c r="X163" s="268" t="n"/>
      <c r="Y163" s="268" t="n"/>
      <c r="Z163" s="268" t="n"/>
      <c r="AA163" s="268" t="n"/>
      <c r="AB163" s="268" t="n"/>
      <c r="AC163" s="268" t="n"/>
      <c r="AD163" s="268" t="n"/>
      <c r="AE163" s="268" t="n"/>
      <c r="AF163" s="268" t="n"/>
      <c r="AG163" s="268" t="n"/>
      <c r="AH163" s="268" t="n"/>
      <c r="AI163" s="268" t="n"/>
      <c r="AJ163" s="268" t="n"/>
      <c r="AK163" s="268" t="n"/>
      <c r="AL163" s="268" t="n"/>
      <c r="AM163" s="268" t="n"/>
      <c r="AN163" s="268" t="n"/>
      <c r="AO163" s="268" t="n"/>
      <c r="AP163" s="268" t="n"/>
      <c r="AQ163" s="268" t="n"/>
      <c r="AR163" s="268" t="n"/>
      <c r="AS163" s="268" t="n"/>
      <c r="AT163" s="268" t="n"/>
      <c r="AU163" s="268" t="n"/>
      <c r="AV163" s="268" t="n"/>
      <c r="AW163" s="268" t="n"/>
      <c r="AX163" s="268" t="n"/>
      <c r="AY163" s="268" t="n"/>
      <c r="AZ163" s="268" t="n"/>
      <c r="BA163" s="268" t="n"/>
      <c r="BB163" s="268" t="n"/>
      <c r="BC163" s="268" t="n"/>
      <c r="BD163" s="268" t="n"/>
      <c r="BE163" s="268" t="n"/>
      <c r="BF163" s="268" t="n"/>
      <c r="BG163" s="268" t="n"/>
      <c r="BH163" s="268" t="n"/>
      <c r="BI163" s="268" t="n"/>
      <c r="BJ163" s="268" t="n"/>
      <c r="BK163" s="268" t="n"/>
      <c r="BL163" s="268" t="n"/>
      <c r="BM163" s="268" t="n"/>
      <c r="BN163" s="268" t="n"/>
      <c r="BO163" s="268" t="n"/>
      <c r="BP163" s="268" t="n"/>
      <c r="BQ163" s="268" t="n"/>
      <c r="BR163" s="268" t="n"/>
      <c r="BS163" s="268" t="n"/>
      <c r="BT163" s="268" t="n"/>
      <c r="BU163" s="268" t="n"/>
      <c r="BV163" s="268" t="n"/>
      <c r="BW163" s="268" t="n"/>
      <c r="BX163" s="268" t="n"/>
      <c r="BY163" s="268" t="n"/>
      <c r="BZ163" s="268" t="n"/>
      <c r="CA163" s="268" t="n"/>
      <c r="CB163" s="268" t="n"/>
      <c r="CC163" s="268" t="n"/>
      <c r="CD163" s="268" t="n"/>
      <c r="CE163" s="268" t="n"/>
      <c r="CF163" s="268" t="n"/>
      <c r="CG163" s="268" t="n"/>
      <c r="CH163" s="268" t="n"/>
      <c r="CI163" s="268" t="n"/>
      <c r="CJ163" s="268" t="n"/>
      <c r="CK163" s="268" t="n"/>
      <c r="CL163" s="268" t="n"/>
      <c r="CM163" s="268" t="n"/>
      <c r="CN163" s="268" t="n"/>
      <c r="CO163" s="268" t="n"/>
      <c r="CP163" s="268" t="n"/>
      <c r="CQ163" s="268" t="n"/>
      <c r="CR163" s="268" t="n"/>
      <c r="CS163" s="268" t="n"/>
      <c r="CT163" s="268" t="n"/>
      <c r="CU163" s="268" t="n"/>
      <c r="CV163" s="268" t="n"/>
      <c r="CW163" s="268" t="n"/>
      <c r="CX163" s="268" t="n"/>
      <c r="CY163" s="268" t="n"/>
    </row>
    <row r="164" ht="12.75" customHeight="1" s="255">
      <c r="C164" s="270" t="inlineStr">
        <is>
          <t>Goodwill</t>
        </is>
      </c>
      <c r="D164" s="301">
        <f>INDEX('Inputs (2)'!$D$24:$AL$24,MATCH(D$7,'Inputs (2)'!$D$2:$AL$2,0))</f>
        <v>0</v>
      </c>
      <c r="E164" s="301">
        <f>INDEX('Inputs (2)'!$D$24:$AL$24,MATCH(E$7,'Inputs (2)'!$D$2:$AL$2,0))</f>
        <v>0</v>
      </c>
      <c r="F164" s="301">
        <f>INDEX('Inputs (2)'!$D$24:$AL$24,MATCH(F$7,'Inputs (2)'!$D$2:$AL$2,0))</f>
        <v>0</v>
      </c>
      <c r="G164" s="301">
        <f>INDEX('Inputs (2)'!$D$24:$AL$24,MATCH(G$7,'Inputs (2)'!$D$2:$AL$2,0))</f>
        <v>0</v>
      </c>
      <c r="H164" s="268">
        <f>G164</f>
        <v>0</v>
      </c>
      <c r="I164" s="301">
        <f>INDEX('Inputs (2)'!$D$24:$AL$24,MATCH(I$7,'Inputs (2)'!$D$2:$AL$2,0))</f>
        <v>0</v>
      </c>
      <c r="J164" s="301">
        <f>INDEX('Inputs (2)'!$D$24:$AL$24,MATCH(J$7,'Inputs (2)'!$D$2:$AL$2,0))</f>
        <v>0</v>
      </c>
      <c r="K164" s="301">
        <f>INDEX('Inputs (2)'!$D$24:$AL$24,MATCH(K$7,'Inputs (2)'!$D$2:$AL$2,0))</f>
        <v>0</v>
      </c>
      <c r="L164" s="301">
        <f>INDEX('Inputs (2)'!$D$24:$AL$24,MATCH(L$7,'Inputs (2)'!$D$2:$AL$2,0))</f>
        <v>0</v>
      </c>
      <c r="M164" s="268">
        <f>L164</f>
        <v>0</v>
      </c>
      <c r="N164" s="301">
        <f>INDEX('Inputs (2)'!$D$24:$AL$24,MATCH(N$7,'Inputs (2)'!$D$2:$AL$2,0))</f>
        <v>0</v>
      </c>
      <c r="O164" s="301">
        <f>INDEX('Inputs (2)'!$D$24:$AL$24,MATCH(O$7,'Inputs (2)'!$D$2:$AL$2,0))</f>
        <v>0</v>
      </c>
      <c r="P164" s="301">
        <f>INDEX('Inputs (2)'!$D$24:$AL$24,MATCH(P$7,'Inputs (2)'!$D$2:$AL$2,0))</f>
        <v>0</v>
      </c>
      <c r="Q164" s="301">
        <f>INDEX('Inputs (2)'!$D$24:$AL$24,MATCH(Q$7,'Inputs (2)'!$D$2:$AL$2,0))</f>
        <v>0</v>
      </c>
      <c r="R164" s="268">
        <f>Q164</f>
        <v>0</v>
      </c>
      <c r="S164" s="301">
        <f>INDEX('Inputs (2)'!$D$24:$AL$24,MATCH(S$7,'Inputs (2)'!$D$2:$AL$2,0))</f>
        <v>0</v>
      </c>
      <c r="T164" s="301">
        <f>INDEX('Inputs (2)'!$D$24:$AL$24,MATCH(T$7,'Inputs (2)'!$D$2:$AL$2,0))</f>
        <v>0</v>
      </c>
      <c r="U164" s="301">
        <f>INDEX('Inputs (2)'!$D$24:$AL$24,MATCH(U$7,'Inputs (2)'!$D$2:$AL$2,0))</f>
        <v>0</v>
      </c>
      <c r="V164" s="301">
        <f>INDEX('Inputs (2)'!$D$24:$AL$24,MATCH(V$7,'Inputs (2)'!$D$2:$AL$2,0))</f>
        <v>0</v>
      </c>
      <c r="W164" s="268">
        <f>V164</f>
        <v>0</v>
      </c>
      <c r="X164" s="301">
        <f>INDEX('Inputs (2)'!$D$24:$AL$24,MATCH(X$7,'Inputs (2)'!$D$2:$AL$2,0))</f>
        <v>0</v>
      </c>
      <c r="Y164" s="301">
        <f>INDEX('Inputs (2)'!$D$24:$AL$24,MATCH(Y$7,'Inputs (2)'!$D$2:$AL$2,0))</f>
        <v>0</v>
      </c>
      <c r="Z164" s="301">
        <f>INDEX('Inputs (2)'!$D$24:$AL$24,MATCH(Z$7,'Inputs (2)'!$D$2:$AL$2,0))</f>
        <v>0</v>
      </c>
      <c r="AA164" s="301">
        <f>INDEX('Inputs (2)'!$D$24:$AL$24,MATCH(AA$7,'Inputs (2)'!$D$2:$AL$2,0))</f>
        <v>0</v>
      </c>
      <c r="AB164" s="268">
        <f>AA164</f>
        <v>0</v>
      </c>
      <c r="AC164" s="301">
        <f>INDEX('Inputs (2)'!$D$24:$AL$24,MATCH(AC$7,'Inputs (2)'!$D$2:$AL$2,0))</f>
        <v>0</v>
      </c>
      <c r="AD164" s="301">
        <f>INDEX('Inputs (2)'!$D$24:$AL$24,MATCH(AD$7,'Inputs (2)'!$D$2:$AL$2,0))</f>
        <v>0</v>
      </c>
      <c r="AE164" s="301">
        <f>INDEX('Inputs (2)'!$D$24:$AL$24,MATCH(AE$7,'Inputs (2)'!$D$2:$AL$2,0))</f>
        <v>0</v>
      </c>
      <c r="AF164" s="301">
        <f>INDEX('Inputs (2)'!$D$24:$AL$24,MATCH(AF$7,'Inputs (2)'!$D$2:$AL$2,0))</f>
        <v>0</v>
      </c>
      <c r="AG164" s="268">
        <f>AF164</f>
        <v>0</v>
      </c>
      <c r="AH164" s="268">
        <f>INDEX('Inputs (2)'!$D$24:$AL$24,MATCH(AH$7,'Inputs (2)'!$D$2:$AL$2,0))</f>
        <v>0</v>
      </c>
      <c r="AI164" s="268">
        <f>INDEX('Inputs (2)'!$D$24:$AL$24,MATCH(AI$7,'Inputs (2)'!$D$2:$AL$2,0))</f>
        <v>0</v>
      </c>
      <c r="AJ164" s="268">
        <f>AI164</f>
        <v>0</v>
      </c>
      <c r="AK164" s="268">
        <f>AJ164</f>
        <v>0</v>
      </c>
      <c r="AL164" s="268">
        <f>AK164</f>
        <v>0</v>
      </c>
      <c r="AM164" s="268">
        <f>AL164</f>
        <v>0</v>
      </c>
      <c r="AN164" s="268">
        <f>AM164</f>
        <v>0</v>
      </c>
      <c r="AO164" s="268">
        <f>AN164</f>
        <v>0</v>
      </c>
      <c r="AP164" s="268">
        <f>AO164</f>
        <v>0</v>
      </c>
      <c r="AQ164" s="268">
        <f>AP164</f>
        <v>0</v>
      </c>
      <c r="AR164" s="268">
        <f>AQ164</f>
        <v>0</v>
      </c>
      <c r="AS164" s="268">
        <f>AR164</f>
        <v>0</v>
      </c>
      <c r="AT164" s="268">
        <f>AS164</f>
        <v>0</v>
      </c>
      <c r="AU164" s="268">
        <f>AT164</f>
        <v>0</v>
      </c>
      <c r="AV164" s="268">
        <f>AU164</f>
        <v>0</v>
      </c>
      <c r="AW164" s="268">
        <f>AV164</f>
        <v>0</v>
      </c>
      <c r="AX164" s="268">
        <f>AW164</f>
        <v>0</v>
      </c>
      <c r="AY164" s="268">
        <f>AX164</f>
        <v>0</v>
      </c>
      <c r="AZ164" s="268">
        <f>AY164</f>
        <v>0</v>
      </c>
      <c r="BA164" s="268">
        <f>AZ164</f>
        <v>0</v>
      </c>
      <c r="BB164" s="268">
        <f>BA164</f>
        <v>0</v>
      </c>
      <c r="BC164" s="268">
        <f>BB164</f>
        <v>0</v>
      </c>
      <c r="BD164" s="268">
        <f>BC164</f>
        <v>0</v>
      </c>
      <c r="BE164" s="268">
        <f>BD164</f>
        <v>0</v>
      </c>
      <c r="BF164" s="268">
        <f>BE164</f>
        <v>0</v>
      </c>
      <c r="BG164" s="268">
        <f>BF164</f>
        <v>0</v>
      </c>
      <c r="BH164" s="268">
        <f>BG164</f>
        <v>0</v>
      </c>
      <c r="BI164" s="268">
        <f>BH164</f>
        <v>0</v>
      </c>
      <c r="BJ164" s="268">
        <f>BI164</f>
        <v>0</v>
      </c>
      <c r="BK164" s="268">
        <f>BJ164</f>
        <v>0</v>
      </c>
      <c r="BL164" s="268">
        <f>BK164</f>
        <v>0</v>
      </c>
      <c r="BM164" s="268">
        <f>BL164</f>
        <v>0</v>
      </c>
      <c r="BN164" s="268">
        <f>BM164</f>
        <v>0</v>
      </c>
      <c r="BO164" s="268">
        <f>BN164</f>
        <v>0</v>
      </c>
      <c r="BP164" s="268">
        <f>BO164</f>
        <v>0</v>
      </c>
      <c r="BQ164" s="268">
        <f>BP164</f>
        <v>0</v>
      </c>
      <c r="BR164" s="268">
        <f>BQ164</f>
        <v>0</v>
      </c>
      <c r="BS164" s="268">
        <f>BR164</f>
        <v>0</v>
      </c>
      <c r="BT164" s="268">
        <f>BS164</f>
        <v>0</v>
      </c>
      <c r="BU164" s="268">
        <f>BT164</f>
        <v>0</v>
      </c>
      <c r="BV164" s="268">
        <f>BU164</f>
        <v>0</v>
      </c>
      <c r="BW164" s="268">
        <f>BV164</f>
        <v>0</v>
      </c>
      <c r="BX164" s="268">
        <f>BW164</f>
        <v>0</v>
      </c>
      <c r="BY164" s="268">
        <f>BX164</f>
        <v>0</v>
      </c>
      <c r="BZ164" s="268">
        <f>BY164</f>
        <v>0</v>
      </c>
      <c r="CA164" s="268">
        <f>BZ164</f>
        <v>0</v>
      </c>
      <c r="CB164" s="268">
        <f>CA164</f>
        <v>0</v>
      </c>
      <c r="CC164" s="268">
        <f>CB164</f>
        <v>0</v>
      </c>
      <c r="CD164" s="268">
        <f>CC164</f>
        <v>0</v>
      </c>
      <c r="CE164" s="268">
        <f>CD164</f>
        <v>0</v>
      </c>
      <c r="CF164" s="268">
        <f>CE164</f>
        <v>0</v>
      </c>
      <c r="CG164" s="268">
        <f>CF164</f>
        <v>0</v>
      </c>
      <c r="CH164" s="268">
        <f>CG164</f>
        <v>0</v>
      </c>
      <c r="CI164" s="268">
        <f>CH164</f>
        <v>0</v>
      </c>
      <c r="CJ164" s="268">
        <f>CI164</f>
        <v>0</v>
      </c>
      <c r="CK164" s="268">
        <f>CJ164</f>
        <v>0</v>
      </c>
      <c r="CL164" s="268">
        <f>CK164</f>
        <v>0</v>
      </c>
      <c r="CM164" s="268">
        <f>CL164</f>
        <v>0</v>
      </c>
      <c r="CN164" s="268">
        <f>CM164</f>
        <v>0</v>
      </c>
      <c r="CO164" s="268">
        <f>CN164</f>
        <v>0</v>
      </c>
      <c r="CP164" s="268">
        <f>CO164</f>
        <v>0</v>
      </c>
      <c r="CQ164" s="268">
        <f>CP164</f>
        <v>0</v>
      </c>
      <c r="CR164" s="268">
        <f>CQ164</f>
        <v>0</v>
      </c>
      <c r="CS164" s="268">
        <f>CR164</f>
        <v>0</v>
      </c>
      <c r="CT164" s="268">
        <f>CS164</f>
        <v>0</v>
      </c>
      <c r="CU164" s="268">
        <f>CT164</f>
        <v>0</v>
      </c>
      <c r="CV164" s="268">
        <f>CU164</f>
        <v>0</v>
      </c>
      <c r="CW164" s="268">
        <f>CV164</f>
        <v>0</v>
      </c>
      <c r="CX164" s="268">
        <f>CW164</f>
        <v>0</v>
      </c>
      <c r="CY164" s="268">
        <f>CX164</f>
        <v>0</v>
      </c>
    </row>
    <row r="165" ht="12.75" customHeight="1" s="255">
      <c r="C165" s="270" t="inlineStr">
        <is>
          <t>Intangibles</t>
        </is>
      </c>
      <c r="D165" s="301">
        <f>INDEX('Inputs (2)'!$D$25:$AL$25,MATCH(D$7,'Inputs (2)'!$D$2:$AL$2,0))</f>
        <v>0</v>
      </c>
      <c r="E165" s="301">
        <f>INDEX('Inputs (2)'!$D$25:$AL$25,MATCH(E$7,'Inputs (2)'!$D$2:$AL$2,0))</f>
        <v>0</v>
      </c>
      <c r="F165" s="301">
        <f>INDEX('Inputs (2)'!$D$25:$AL$25,MATCH(F$7,'Inputs (2)'!$D$2:$AL$2,0))</f>
        <v>0</v>
      </c>
      <c r="G165" s="301">
        <f>INDEX('Inputs (2)'!$D$25:$AL$25,MATCH(G$7,'Inputs (2)'!$D$2:$AL$2,0))</f>
        <v>0</v>
      </c>
      <c r="H165" s="268">
        <f>G165</f>
        <v>0</v>
      </c>
      <c r="I165" s="301">
        <f>INDEX('Inputs (2)'!$D$25:$AL$25,MATCH(I$7,'Inputs (2)'!$D$2:$AL$2,0))</f>
        <v>0</v>
      </c>
      <c r="J165" s="301">
        <f>INDEX('Inputs (2)'!$D$25:$AL$25,MATCH(J$7,'Inputs (2)'!$D$2:$AL$2,0))</f>
        <v>0</v>
      </c>
      <c r="K165" s="301">
        <f>INDEX('Inputs (2)'!$D$25:$AL$25,MATCH(K$7,'Inputs (2)'!$D$2:$AL$2,0))</f>
        <v>0</v>
      </c>
      <c r="L165" s="301">
        <f>INDEX('Inputs (2)'!$D$25:$AL$25,MATCH(L$7,'Inputs (2)'!$D$2:$AL$2,0))</f>
        <v>0</v>
      </c>
      <c r="M165" s="268">
        <f>L165</f>
        <v>0</v>
      </c>
      <c r="N165" s="301">
        <f>INDEX('Inputs (2)'!$D$25:$AL$25,MATCH(N$7,'Inputs (2)'!$D$2:$AL$2,0))</f>
        <v>0</v>
      </c>
      <c r="O165" s="301">
        <f>INDEX('Inputs (2)'!$D$25:$AL$25,MATCH(O$7,'Inputs (2)'!$D$2:$AL$2,0))</f>
        <v>0</v>
      </c>
      <c r="P165" s="301">
        <f>INDEX('Inputs (2)'!$D$25:$AL$25,MATCH(P$7,'Inputs (2)'!$D$2:$AL$2,0))</f>
        <v>0</v>
      </c>
      <c r="Q165" s="301">
        <f>INDEX('Inputs (2)'!$D$25:$AL$25,MATCH(Q$7,'Inputs (2)'!$D$2:$AL$2,0))</f>
        <v>0</v>
      </c>
      <c r="R165" s="268">
        <f>Q165</f>
        <v>0</v>
      </c>
      <c r="S165" s="301">
        <f>INDEX('Inputs (2)'!$D$25:$AL$25,MATCH(S$7,'Inputs (2)'!$D$2:$AL$2,0))</f>
        <v>0</v>
      </c>
      <c r="T165" s="301">
        <f>INDEX('Inputs (2)'!$D$25:$AL$25,MATCH(T$7,'Inputs (2)'!$D$2:$AL$2,0))</f>
        <v>0</v>
      </c>
      <c r="U165" s="301">
        <f>INDEX('Inputs (2)'!$D$25:$AL$25,MATCH(U$7,'Inputs (2)'!$D$2:$AL$2,0))</f>
        <v>0</v>
      </c>
      <c r="V165" s="301">
        <f>INDEX('Inputs (2)'!$D$25:$AL$25,MATCH(V$7,'Inputs (2)'!$D$2:$AL$2,0))</f>
        <v>0</v>
      </c>
      <c r="W165" s="268">
        <f>V165</f>
        <v>0</v>
      </c>
      <c r="X165" s="301">
        <f>INDEX('Inputs (2)'!$D$25:$AL$25,MATCH(X$7,'Inputs (2)'!$D$2:$AL$2,0))</f>
        <v>0</v>
      </c>
      <c r="Y165" s="301">
        <f>INDEX('Inputs (2)'!$D$25:$AL$25,MATCH(Y$7,'Inputs (2)'!$D$2:$AL$2,0))</f>
        <v>0</v>
      </c>
      <c r="Z165" s="301">
        <f>INDEX('Inputs (2)'!$D$25:$AL$25,MATCH(Z$7,'Inputs (2)'!$D$2:$AL$2,0))</f>
        <v>0</v>
      </c>
      <c r="AA165" s="301">
        <f>INDEX('Inputs (2)'!$D$25:$AL$25,MATCH(AA$7,'Inputs (2)'!$D$2:$AL$2,0))</f>
        <v>0</v>
      </c>
      <c r="AB165" s="268">
        <f>AA165</f>
        <v>0</v>
      </c>
      <c r="AC165" s="301">
        <f>INDEX('Inputs (2)'!$D$25:$AL$25,MATCH(AC$7,'Inputs (2)'!$D$2:$AL$2,0))</f>
        <v>0</v>
      </c>
      <c r="AD165" s="301">
        <f>INDEX('Inputs (2)'!$D$25:$AL$25,MATCH(AD$7,'Inputs (2)'!$D$2:$AL$2,0))</f>
        <v>0</v>
      </c>
      <c r="AE165" s="301">
        <f>INDEX('Inputs (2)'!$D$25:$AL$25,MATCH(AE$7,'Inputs (2)'!$D$2:$AL$2,0))</f>
        <v>0</v>
      </c>
      <c r="AF165" s="301">
        <f>INDEX('Inputs (2)'!$D$25:$AL$25,MATCH(AF$7,'Inputs (2)'!$D$2:$AL$2,0))</f>
        <v>0</v>
      </c>
      <c r="AG165" s="268">
        <f>AF165</f>
        <v>0</v>
      </c>
      <c r="AH165" s="268">
        <f>INDEX('Inputs (2)'!$D$25:$AL$25,MATCH(AH$7,'Inputs (2)'!$D$2:$AL$2,0))</f>
        <v>0</v>
      </c>
      <c r="AI165" s="268">
        <f>INDEX('Inputs (2)'!$D$25:$AL$25,MATCH(AI$7,'Inputs (2)'!$D$2:$AL$2,0))</f>
        <v>0</v>
      </c>
      <c r="AJ165" s="268" t="n"/>
      <c r="AK165" s="268" t="n"/>
      <c r="AL165" s="268">
        <f>AK165</f>
        <v>0</v>
      </c>
      <c r="AN165" s="268" t="n"/>
      <c r="AO165" s="268" t="n"/>
      <c r="AP165" s="268" t="n"/>
      <c r="AQ165" s="268">
        <f>AP165</f>
        <v>0</v>
      </c>
      <c r="AS165" s="268" t="n"/>
      <c r="AT165" s="268" t="n"/>
      <c r="AU165" s="268" t="n"/>
      <c r="AV165" s="268">
        <f>AU165</f>
        <v>0</v>
      </c>
      <c r="AX165" s="268" t="n"/>
      <c r="AY165" s="268" t="n"/>
      <c r="AZ165" s="268" t="n"/>
      <c r="BA165" s="268">
        <f>AZ165</f>
        <v>0</v>
      </c>
      <c r="BC165" s="268" t="n"/>
      <c r="BD165" s="268" t="n"/>
      <c r="BE165" s="268" t="n"/>
      <c r="BF165" s="268">
        <f>BE165</f>
        <v>0</v>
      </c>
      <c r="BH165" s="268" t="n"/>
      <c r="BI165" s="268" t="n"/>
      <c r="BJ165" s="268" t="n"/>
      <c r="BK165" s="268">
        <f>BJ165</f>
        <v>0</v>
      </c>
      <c r="BM165" s="268" t="n"/>
      <c r="BN165" s="268" t="n"/>
      <c r="BO165" s="268" t="n"/>
      <c r="BP165" s="268">
        <f>BO165</f>
        <v>0</v>
      </c>
      <c r="BR165" s="268" t="n"/>
      <c r="BS165" s="268" t="n"/>
      <c r="BT165" s="268" t="n"/>
      <c r="BU165" s="268">
        <f>BT165</f>
        <v>0</v>
      </c>
      <c r="BW165" s="268" t="n"/>
      <c r="BX165" s="268" t="n"/>
      <c r="BY165" s="268" t="n"/>
      <c r="BZ165" s="268">
        <f>BY165</f>
        <v>0</v>
      </c>
      <c r="CB165" s="268" t="n"/>
      <c r="CC165" s="268" t="n"/>
      <c r="CD165" s="268" t="n"/>
      <c r="CE165" s="268">
        <f>CD165</f>
        <v>0</v>
      </c>
      <c r="CG165" s="268" t="n"/>
      <c r="CH165" s="268" t="n"/>
      <c r="CI165" s="268" t="n"/>
      <c r="CJ165" s="268">
        <f>CI165</f>
        <v>0</v>
      </c>
      <c r="CL165" s="268" t="n"/>
      <c r="CM165" s="268" t="n"/>
      <c r="CN165" s="268" t="n"/>
      <c r="CO165" s="268">
        <f>CN165</f>
        <v>0</v>
      </c>
      <c r="CQ165" s="268" t="n"/>
      <c r="CR165" s="268" t="n"/>
      <c r="CS165" s="268" t="n"/>
      <c r="CT165" s="268">
        <f>CS165</f>
        <v>0</v>
      </c>
      <c r="CV165" s="268" t="n"/>
      <c r="CW165" s="268" t="n"/>
      <c r="CX165" s="268" t="n"/>
      <c r="CY165" s="268">
        <f>CX165</f>
        <v>0</v>
      </c>
    </row>
    <row r="166" hidden="1" outlineLevel="1" ht="12.75" customHeight="1" s="255">
      <c r="C166" s="312" t="n"/>
      <c r="D166" s="268" t="n"/>
      <c r="E166" s="268" t="n"/>
      <c r="F166" s="268" t="n"/>
      <c r="G166" s="268" t="n"/>
      <c r="H166" s="268" t="n"/>
      <c r="I166" s="268" t="n"/>
      <c r="J166" s="268" t="n"/>
      <c r="K166" s="268" t="n"/>
      <c r="L166" s="268" t="n"/>
      <c r="M166" s="268" t="n"/>
      <c r="N166" s="268" t="n"/>
      <c r="O166" s="268" t="n"/>
      <c r="P166" s="268" t="n"/>
      <c r="Q166" s="268" t="n"/>
      <c r="R166" s="268" t="n"/>
      <c r="S166" s="268" t="n"/>
      <c r="T166" s="268" t="n"/>
      <c r="U166" s="268" t="n"/>
      <c r="V166" s="268" t="n"/>
      <c r="W166" s="268" t="n"/>
      <c r="X166" s="268" t="n"/>
      <c r="Y166" s="268" t="n"/>
      <c r="Z166" s="268" t="n"/>
      <c r="AA166" s="268" t="n"/>
      <c r="AB166" s="268" t="n"/>
      <c r="AC166" s="268" t="n"/>
      <c r="AD166" s="268" t="n"/>
      <c r="AE166" s="268" t="n"/>
      <c r="AF166" s="268" t="n"/>
      <c r="AG166" s="268" t="n"/>
      <c r="AH166" s="268" t="n"/>
      <c r="AI166" s="268" t="n"/>
      <c r="AJ166" s="268" t="n"/>
      <c r="AK166" s="268" t="n"/>
      <c r="AL166" s="268" t="n"/>
      <c r="AM166" s="268" t="n"/>
      <c r="AN166" s="268" t="n"/>
      <c r="AO166" s="268" t="n"/>
      <c r="AP166" s="268" t="n"/>
      <c r="AQ166" s="268" t="n"/>
      <c r="AR166" s="268" t="n"/>
      <c r="AS166" s="268" t="n"/>
      <c r="AT166" s="268" t="n"/>
      <c r="AU166" s="268" t="n"/>
      <c r="AV166" s="268" t="n"/>
      <c r="AW166" s="268" t="n"/>
      <c r="AX166" s="268" t="n"/>
      <c r="AY166" s="268" t="n"/>
      <c r="AZ166" s="268" t="n"/>
      <c r="BA166" s="268" t="n"/>
      <c r="BB166" s="268" t="n"/>
      <c r="BC166" s="268" t="n"/>
      <c r="BD166" s="268" t="n"/>
      <c r="BE166" s="268" t="n"/>
      <c r="BF166" s="268" t="n"/>
      <c r="BG166" s="268" t="n"/>
      <c r="BH166" s="268" t="n"/>
      <c r="BI166" s="268" t="n"/>
      <c r="BJ166" s="268" t="n"/>
      <c r="BK166" s="268" t="n"/>
      <c r="BL166" s="268" t="n"/>
      <c r="BM166" s="268" t="n"/>
      <c r="BN166" s="268" t="n"/>
      <c r="BO166" s="268" t="n"/>
      <c r="BP166" s="268" t="n"/>
      <c r="BQ166" s="268" t="n"/>
      <c r="BR166" s="268" t="n"/>
      <c r="BS166" s="268" t="n"/>
      <c r="BT166" s="268" t="n"/>
      <c r="BU166" s="268" t="n"/>
      <c r="BV166" s="268" t="n"/>
      <c r="BW166" s="268" t="n"/>
      <c r="BX166" s="268" t="n"/>
      <c r="BY166" s="268" t="n"/>
      <c r="BZ166" s="268" t="n"/>
      <c r="CA166" s="268" t="n"/>
      <c r="CB166" s="268" t="n"/>
      <c r="CC166" s="268" t="n"/>
      <c r="CD166" s="268" t="n"/>
      <c r="CE166" s="268" t="n"/>
      <c r="CF166" s="268" t="n"/>
      <c r="CG166" s="268" t="n"/>
      <c r="CH166" s="268" t="n"/>
      <c r="CI166" s="268" t="n"/>
      <c r="CJ166" s="268" t="n"/>
      <c r="CK166" s="268" t="n"/>
      <c r="CL166" s="268" t="n"/>
      <c r="CM166" s="268" t="n"/>
      <c r="CN166" s="268" t="n"/>
      <c r="CO166" s="268" t="n"/>
      <c r="CP166" s="268" t="n"/>
      <c r="CQ166" s="268" t="n"/>
      <c r="CR166" s="268" t="n"/>
      <c r="CS166" s="268" t="n"/>
      <c r="CT166" s="268" t="n"/>
      <c r="CU166" s="268" t="n"/>
      <c r="CV166" s="268" t="n"/>
      <c r="CW166" s="268" t="n"/>
      <c r="CX166" s="268" t="n"/>
      <c r="CY166" s="268" t="n"/>
    </row>
    <row r="167" hidden="1" outlineLevel="1" ht="12.75" customHeight="1" s="255">
      <c r="C167" s="312" t="inlineStr">
        <is>
          <t>Purchase of intangible assets</t>
        </is>
      </c>
      <c r="D167" s="268" t="n"/>
      <c r="E167" s="268">
        <f>E165-D165-E69</f>
        <v>0</v>
      </c>
      <c r="F167" s="268">
        <f>F165-E165-F69</f>
        <v>0</v>
      </c>
      <c r="G167" s="268">
        <f>G165-F165-G69</f>
        <v>0</v>
      </c>
      <c r="H167" s="268" t="n"/>
      <c r="I167" s="268">
        <f>I165-H165-I69</f>
        <v>0</v>
      </c>
      <c r="J167" s="268">
        <f>J165-I165-J69</f>
        <v>0</v>
      </c>
      <c r="K167" s="268">
        <f>K165-J165-K69</f>
        <v>0</v>
      </c>
      <c r="L167" s="268">
        <f>L165-K165-L69</f>
        <v>0</v>
      </c>
      <c r="M167" s="268" t="n"/>
      <c r="N167" s="268">
        <f>N165-M165-N69</f>
        <v>0</v>
      </c>
      <c r="O167" s="268">
        <f>O165-N165-O69</f>
        <v>0</v>
      </c>
      <c r="P167" s="268">
        <f>P165-O165-P69</f>
        <v>0</v>
      </c>
      <c r="Q167" s="268">
        <f>Q165-P165-Q69</f>
        <v>0</v>
      </c>
      <c r="R167" s="268" t="n"/>
      <c r="S167" s="268">
        <f>S165-R165-S69</f>
        <v>0</v>
      </c>
      <c r="T167" s="268">
        <f>T165-S165-T69</f>
        <v>0</v>
      </c>
      <c r="U167" s="268">
        <f>U165-T165-U69</f>
        <v>0</v>
      </c>
      <c r="V167" s="268">
        <f>V165-U165-V69</f>
        <v>0</v>
      </c>
      <c r="W167" s="268" t="n"/>
      <c r="X167" s="268">
        <f>X165-W165-X69</f>
        <v>0</v>
      </c>
      <c r="Y167" s="268">
        <f>Y165-X165-Y69</f>
        <v>0</v>
      </c>
      <c r="Z167" s="268">
        <f>Z165-Y165-Z69</f>
        <v>0</v>
      </c>
      <c r="AA167" s="268">
        <f>AA165-Z165-AA69</f>
        <v>0</v>
      </c>
      <c r="AB167" s="268" t="n"/>
      <c r="AC167" s="268">
        <f>AC165-AB165-AC69</f>
        <v>0</v>
      </c>
      <c r="AD167" s="268">
        <f>AD165-AC165-AD69</f>
        <v>0</v>
      </c>
      <c r="AE167" s="268">
        <f>AE165-AD165-AE69</f>
        <v>0</v>
      </c>
      <c r="AF167" s="268" t="n"/>
      <c r="AG167" s="268" t="n"/>
      <c r="AH167" s="267">
        <f>AH165-AG165-AH69</f>
        <v>0</v>
      </c>
      <c r="AI167" s="267">
        <f>AI165-AH165-AI69</f>
        <v>0</v>
      </c>
      <c r="AJ167" s="267" t="n"/>
      <c r="AK167" s="267" t="n"/>
      <c r="AL167" s="268" t="n"/>
      <c r="AM167" s="267" t="n"/>
      <c r="AN167" s="267" t="n"/>
      <c r="AO167" s="267" t="n"/>
      <c r="AP167" s="267" t="n"/>
      <c r="AQ167" s="268" t="n"/>
      <c r="AR167" s="267" t="n"/>
      <c r="AS167" s="267" t="n"/>
      <c r="AT167" s="267" t="n"/>
      <c r="AU167" s="267" t="n"/>
      <c r="AV167" s="268" t="n"/>
      <c r="AW167" s="267" t="n"/>
      <c r="AX167" s="267" t="n"/>
      <c r="AY167" s="267" t="n"/>
      <c r="AZ167" s="267" t="n"/>
      <c r="BA167" s="268" t="n"/>
      <c r="BB167" s="267" t="n"/>
      <c r="BC167" s="267" t="n"/>
      <c r="BD167" s="267" t="n"/>
      <c r="BE167" s="267" t="n"/>
      <c r="BF167" s="268" t="n"/>
      <c r="BG167" s="267" t="n"/>
      <c r="BH167" s="267" t="n"/>
      <c r="BI167" s="267" t="n"/>
      <c r="BJ167" s="267" t="n"/>
      <c r="BK167" s="268" t="n"/>
      <c r="BL167" s="267" t="n"/>
      <c r="BM167" s="267" t="n"/>
      <c r="BN167" s="267" t="n"/>
      <c r="BO167" s="267" t="n"/>
      <c r="BP167" s="268" t="n"/>
      <c r="BQ167" s="267" t="n"/>
      <c r="BR167" s="267" t="n"/>
      <c r="BS167" s="267" t="n"/>
      <c r="BT167" s="267" t="n"/>
      <c r="BU167" s="268" t="n"/>
      <c r="BV167" s="267" t="n"/>
      <c r="BW167" s="267" t="n"/>
      <c r="BX167" s="267" t="n"/>
      <c r="BY167" s="267" t="n"/>
      <c r="BZ167" s="268" t="n"/>
      <c r="CA167" s="267" t="n"/>
      <c r="CB167" s="267" t="n"/>
      <c r="CC167" s="267" t="n"/>
      <c r="CD167" s="267" t="n"/>
      <c r="CE167" s="268" t="n"/>
      <c r="CF167" s="267" t="n"/>
      <c r="CG167" s="267" t="n"/>
      <c r="CH167" s="267" t="n"/>
      <c r="CI167" s="267" t="n"/>
      <c r="CJ167" s="268" t="n"/>
      <c r="CK167" s="267" t="n"/>
      <c r="CL167" s="267" t="n"/>
      <c r="CM167" s="267" t="n"/>
      <c r="CN167" s="267" t="n"/>
      <c r="CO167" s="268" t="n"/>
      <c r="CP167" s="267" t="n"/>
      <c r="CQ167" s="267" t="n"/>
      <c r="CR167" s="267" t="n"/>
      <c r="CS167" s="267" t="n"/>
      <c r="CT167" s="268" t="n"/>
      <c r="CU167" s="267" t="n"/>
      <c r="CV167" s="267" t="n"/>
      <c r="CW167" s="267" t="n"/>
      <c r="CX167" s="267" t="n"/>
      <c r="CY167" s="268" t="n"/>
    </row>
    <row r="168" hidden="1" outlineLevel="1" ht="12.75" customHeight="1" s="255">
      <c r="C168" s="312" t="inlineStr">
        <is>
          <t>Amortization (enter as -)</t>
        </is>
      </c>
      <c r="D168" s="268" t="n"/>
      <c r="E168" s="268">
        <f>E68</f>
        <v>0</v>
      </c>
      <c r="F168" s="268">
        <f>F68</f>
        <v>0</v>
      </c>
      <c r="G168" s="268">
        <f>G68</f>
        <v>0</v>
      </c>
      <c r="H168" s="268" t="n"/>
      <c r="I168" s="268">
        <f>I68</f>
        <v>0</v>
      </c>
      <c r="J168" s="268">
        <f>J68</f>
        <v>0</v>
      </c>
      <c r="K168" s="268">
        <f>K68</f>
        <v>0</v>
      </c>
      <c r="L168" s="268">
        <f>L68</f>
        <v>0</v>
      </c>
      <c r="M168" s="268" t="n"/>
      <c r="N168" s="268">
        <f>N68</f>
        <v>0</v>
      </c>
      <c r="O168" s="268">
        <f>O68</f>
        <v>0</v>
      </c>
      <c r="P168" s="268">
        <f>P68</f>
        <v>0</v>
      </c>
      <c r="Q168" s="268">
        <f>Q68</f>
        <v>0</v>
      </c>
      <c r="R168" s="268" t="n"/>
      <c r="S168" s="268">
        <f>S68</f>
        <v>0</v>
      </c>
      <c r="T168" s="268">
        <f>T68</f>
        <v>0</v>
      </c>
      <c r="U168" s="268">
        <f>U68</f>
        <v>0</v>
      </c>
      <c r="V168" s="268">
        <f>V68</f>
        <v>0</v>
      </c>
      <c r="W168" s="268" t="n"/>
      <c r="X168" s="268">
        <f>X68</f>
        <v>0</v>
      </c>
      <c r="Y168" s="268">
        <f>Y68</f>
        <v>0</v>
      </c>
      <c r="Z168" s="268">
        <f>Z68</f>
        <v>0</v>
      </c>
      <c r="AA168" s="268">
        <f>AA68</f>
        <v>0</v>
      </c>
      <c r="AB168" s="268" t="n"/>
      <c r="AC168" s="268">
        <f>AC68</f>
        <v>0</v>
      </c>
      <c r="AD168" s="268">
        <f>AD68</f>
        <v>0</v>
      </c>
      <c r="AE168" s="268">
        <f>AE68</f>
        <v>0</v>
      </c>
      <c r="AF168" s="268" t="n"/>
      <c r="AG168" s="268" t="n"/>
      <c r="AH168" s="268">
        <f>AH68</f>
        <v>0</v>
      </c>
      <c r="AI168" s="267">
        <f>AI68</f>
        <v>0</v>
      </c>
      <c r="AJ168" s="267" t="n"/>
      <c r="AK168" s="267" t="n"/>
      <c r="AL168" s="268" t="n"/>
      <c r="AM168" s="267" t="n"/>
      <c r="AN168" s="267" t="n"/>
      <c r="AO168" s="267" t="n"/>
      <c r="AP168" s="267" t="n"/>
      <c r="AQ168" s="268" t="n"/>
      <c r="AR168" s="267" t="n"/>
      <c r="AS168" s="267" t="n"/>
      <c r="AT168" s="267" t="n"/>
      <c r="AU168" s="267" t="n"/>
      <c r="AV168" s="268" t="n"/>
      <c r="AW168" s="267" t="n"/>
      <c r="AX168" s="267" t="n"/>
      <c r="AY168" s="267" t="n"/>
      <c r="AZ168" s="267" t="n"/>
      <c r="BA168" s="268" t="n"/>
      <c r="BB168" s="267" t="n"/>
      <c r="BC168" s="267" t="n"/>
      <c r="BD168" s="267" t="n"/>
      <c r="BE168" s="267" t="n"/>
      <c r="BF168" s="268" t="n"/>
      <c r="BG168" s="267" t="n"/>
      <c r="BH168" s="267" t="n"/>
      <c r="BI168" s="267" t="n"/>
      <c r="BJ168" s="267" t="n"/>
      <c r="BK168" s="268" t="n"/>
      <c r="BL168" s="267" t="n"/>
      <c r="BM168" s="267" t="n"/>
      <c r="BN168" s="267" t="n"/>
      <c r="BO168" s="267" t="n"/>
      <c r="BP168" s="268" t="n"/>
      <c r="BQ168" s="267" t="n"/>
      <c r="BR168" s="267" t="n"/>
      <c r="BS168" s="267" t="n"/>
      <c r="BT168" s="267" t="n"/>
      <c r="BU168" s="268" t="n"/>
      <c r="BV168" s="267" t="n"/>
      <c r="BW168" s="267" t="n"/>
      <c r="BX168" s="267" t="n"/>
      <c r="BY168" s="267" t="n"/>
      <c r="BZ168" s="268" t="n"/>
      <c r="CA168" s="267" t="n"/>
      <c r="CB168" s="267" t="n"/>
      <c r="CC168" s="267" t="n"/>
      <c r="CD168" s="267" t="n"/>
      <c r="CE168" s="268" t="n"/>
      <c r="CF168" s="267" t="n"/>
      <c r="CG168" s="267" t="n"/>
      <c r="CH168" s="267" t="n"/>
      <c r="CI168" s="267" t="n"/>
      <c r="CJ168" s="268" t="n"/>
      <c r="CK168" s="267" t="n"/>
      <c r="CL168" s="267" t="n"/>
      <c r="CM168" s="267" t="n"/>
      <c r="CN168" s="267" t="n"/>
      <c r="CO168" s="268" t="n"/>
      <c r="CP168" s="267" t="n"/>
      <c r="CQ168" s="267" t="n"/>
      <c r="CR168" s="267" t="n"/>
      <c r="CS168" s="267" t="n"/>
      <c r="CT168" s="268" t="n"/>
      <c r="CU168" s="267" t="n"/>
      <c r="CV168" s="267" t="n"/>
      <c r="CW168" s="267" t="n"/>
      <c r="CX168" s="267" t="n"/>
      <c r="CY168" s="268" t="n"/>
    </row>
    <row r="169" hidden="1" outlineLevel="1" ht="12.75" customHeight="1" s="255">
      <c r="C169" s="312" t="inlineStr">
        <is>
          <t>Intangibles</t>
        </is>
      </c>
      <c r="D169" s="268" t="n"/>
      <c r="E169" s="268">
        <f>E165</f>
        <v>0</v>
      </c>
      <c r="F169" s="268">
        <f>F165</f>
        <v>0</v>
      </c>
      <c r="G169" s="268">
        <f>G165</f>
        <v>0</v>
      </c>
      <c r="H169" s="268" t="n"/>
      <c r="I169" s="268">
        <f>I165</f>
        <v>0</v>
      </c>
      <c r="J169" s="268">
        <f>J165</f>
        <v>0</v>
      </c>
      <c r="K169" s="268">
        <f>K165</f>
        <v>0</v>
      </c>
      <c r="L169" s="268">
        <f>L165</f>
        <v>0</v>
      </c>
      <c r="M169" s="268" t="n"/>
      <c r="N169" s="268">
        <f>N165</f>
        <v>0</v>
      </c>
      <c r="O169" s="268">
        <f>O165</f>
        <v>0</v>
      </c>
      <c r="P169" s="268">
        <f>P165</f>
        <v>0</v>
      </c>
      <c r="Q169" s="268">
        <f>Q165</f>
        <v>0</v>
      </c>
      <c r="R169" s="268" t="n"/>
      <c r="S169" s="268">
        <f>S165</f>
        <v>0</v>
      </c>
      <c r="T169" s="268">
        <f>T165</f>
        <v>0</v>
      </c>
      <c r="U169" s="268">
        <f>U165</f>
        <v>0</v>
      </c>
      <c r="V169" s="268">
        <f>V165</f>
        <v>0</v>
      </c>
      <c r="W169" s="268" t="n"/>
      <c r="X169" s="268">
        <f>X165</f>
        <v>0</v>
      </c>
      <c r="Y169" s="268">
        <f>Y165</f>
        <v>0</v>
      </c>
      <c r="Z169" s="268">
        <f>Z165</f>
        <v>0</v>
      </c>
      <c r="AA169" s="268">
        <f>AA165</f>
        <v>0</v>
      </c>
      <c r="AB169" s="268" t="n"/>
      <c r="AC169" s="268">
        <f>AC165</f>
        <v>0</v>
      </c>
      <c r="AD169" s="268">
        <f>AD165</f>
        <v>0</v>
      </c>
      <c r="AE169" s="268">
        <f>AE165</f>
        <v>0</v>
      </c>
      <c r="AF169" s="268">
        <f>AF165</f>
        <v>0</v>
      </c>
      <c r="AG169" s="268" t="n"/>
      <c r="AH169" s="268">
        <f>AH165</f>
        <v>0</v>
      </c>
      <c r="AI169" s="268">
        <f>AI165</f>
        <v>0</v>
      </c>
      <c r="AJ169" s="268">
        <f>AI169+SUM(AJ167:AJ168)</f>
        <v>0</v>
      </c>
      <c r="AK169" s="268">
        <f>AJ169+SUM(AK167:AK168)</f>
        <v>0</v>
      </c>
      <c r="AL169" s="268" t="n"/>
      <c r="AM169" s="268">
        <f>AK169+SUM(AM167:AM168)</f>
        <v>0</v>
      </c>
      <c r="AN169" s="268">
        <f>AM169+SUM(AN167:AN168)</f>
        <v>0</v>
      </c>
      <c r="AO169" s="268">
        <f>AN169+SUM(AO167:AO168)</f>
        <v>0</v>
      </c>
      <c r="AP169" s="268">
        <f>AO169+SUM(AP167:AP168)</f>
        <v>0</v>
      </c>
      <c r="AQ169" s="268" t="n"/>
      <c r="AR169" s="268">
        <f>AP169+SUM(AR167:AR168)</f>
        <v>0</v>
      </c>
      <c r="AS169" s="268">
        <f>AR169+SUM(AS167:AS168)</f>
        <v>0</v>
      </c>
      <c r="AT169" s="268">
        <f>AS169+SUM(AT167:AT168)</f>
        <v>0</v>
      </c>
      <c r="AU169" s="268">
        <f>AT169+SUM(AU167:AU168)</f>
        <v>0</v>
      </c>
      <c r="AV169" s="268" t="n"/>
      <c r="AW169" s="268">
        <f>AU169+SUM(AW167:AW168)</f>
        <v>0</v>
      </c>
      <c r="AX169" s="268">
        <f>AW169+SUM(AX167:AX168)</f>
        <v>0</v>
      </c>
      <c r="AY169" s="268">
        <f>AX169+SUM(AY167:AY168)</f>
        <v>0</v>
      </c>
      <c r="AZ169" s="268">
        <f>AY169+SUM(AZ167:AZ168)</f>
        <v>0</v>
      </c>
      <c r="BA169" s="268" t="n"/>
      <c r="BB169" s="268">
        <f>AZ169+SUM(BB167:BB168)</f>
        <v>0</v>
      </c>
      <c r="BC169" s="268">
        <f>BB169+SUM(BC167:BC168)</f>
        <v>0</v>
      </c>
      <c r="BD169" s="268">
        <f>BC169+SUM(BD167:BD168)</f>
        <v>0</v>
      </c>
      <c r="BE169" s="268">
        <f>BD169+SUM(BE167:BE168)</f>
        <v>0</v>
      </c>
      <c r="BF169" s="268" t="n"/>
      <c r="BG169" s="268">
        <f>BE169+SUM(BG167:BG168)</f>
        <v>0</v>
      </c>
      <c r="BH169" s="268">
        <f>BG169+SUM(BH167:BH168)</f>
        <v>0</v>
      </c>
      <c r="BI169" s="268">
        <f>BH169+SUM(BI167:BI168)</f>
        <v>0</v>
      </c>
      <c r="BJ169" s="268">
        <f>BI169+SUM(BJ167:BJ168)</f>
        <v>0</v>
      </c>
      <c r="BK169" s="268" t="n"/>
      <c r="BL169" s="268">
        <f>BJ169+SUM(BL167:BL168)</f>
        <v>0</v>
      </c>
      <c r="BM169" s="268">
        <f>BL169+SUM(BM167:BM168)</f>
        <v>0</v>
      </c>
      <c r="BN169" s="268">
        <f>BM169+SUM(BN167:BN168)</f>
        <v>0</v>
      </c>
      <c r="BO169" s="268">
        <f>BN169+SUM(BO167:BO168)</f>
        <v>0</v>
      </c>
      <c r="BP169" s="268" t="n"/>
      <c r="BQ169" s="268">
        <f>BO169+SUM(BQ167:BQ168)</f>
        <v>0</v>
      </c>
      <c r="BR169" s="268">
        <f>BQ169+SUM(BR167:BR168)</f>
        <v>0</v>
      </c>
      <c r="BS169" s="268">
        <f>BR169+SUM(BS167:BS168)</f>
        <v>0</v>
      </c>
      <c r="BT169" s="268">
        <f>BS169+SUM(BT167:BT168)</f>
        <v>0</v>
      </c>
      <c r="BU169" s="268" t="n"/>
      <c r="BV169" s="268">
        <f>BT169+SUM(BV167:BV168)</f>
        <v>0</v>
      </c>
      <c r="BW169" s="268">
        <f>BV169+SUM(BW167:BW168)</f>
        <v>0</v>
      </c>
      <c r="BX169" s="268">
        <f>BW169+SUM(BX167:BX168)</f>
        <v>0</v>
      </c>
      <c r="BY169" s="268">
        <f>BX169+SUM(BY167:BY168)</f>
        <v>0</v>
      </c>
      <c r="BZ169" s="268" t="n"/>
      <c r="CA169" s="268">
        <f>BY169+SUM(CA167:CA168)</f>
        <v>0</v>
      </c>
      <c r="CB169" s="268">
        <f>CA169+SUM(CB167:CB168)</f>
        <v>0</v>
      </c>
      <c r="CC169" s="268">
        <f>CB169+SUM(CC167:CC168)</f>
        <v>0</v>
      </c>
      <c r="CD169" s="268">
        <f>CC169+SUM(CD167:CD168)</f>
        <v>0</v>
      </c>
      <c r="CE169" s="268" t="n"/>
      <c r="CF169" s="268">
        <f>CD169+SUM(CF167:CF168)</f>
        <v>0</v>
      </c>
      <c r="CG169" s="268">
        <f>CF169+SUM(CG167:CG168)</f>
        <v>0</v>
      </c>
      <c r="CH169" s="268">
        <f>CG169+SUM(CH167:CH168)</f>
        <v>0</v>
      </c>
      <c r="CI169" s="268">
        <f>CH169+SUM(CI167:CI168)</f>
        <v>0</v>
      </c>
      <c r="CJ169" s="268" t="n"/>
      <c r="CK169" s="268">
        <f>CI169+SUM(CK167:CK168)</f>
        <v>0</v>
      </c>
      <c r="CL169" s="268">
        <f>CK169+SUM(CL167:CL168)</f>
        <v>0</v>
      </c>
      <c r="CM169" s="268">
        <f>CL169+SUM(CM167:CM168)</f>
        <v>0</v>
      </c>
      <c r="CN169" s="268">
        <f>CM169+SUM(CN167:CN168)</f>
        <v>0</v>
      </c>
      <c r="CO169" s="268" t="n"/>
      <c r="CP169" s="268">
        <f>CN169+SUM(CP167:CP168)</f>
        <v>0</v>
      </c>
      <c r="CQ169" s="268">
        <f>CP169+SUM(CQ167:CQ168)</f>
        <v>0</v>
      </c>
      <c r="CR169" s="268">
        <f>CQ169+SUM(CR167:CR168)</f>
        <v>0</v>
      </c>
      <c r="CS169" s="268">
        <f>CR169+SUM(CS167:CS168)</f>
        <v>0</v>
      </c>
      <c r="CT169" s="268" t="n"/>
      <c r="CU169" s="268">
        <f>CS169+SUM(CU167:CU168)</f>
        <v>0</v>
      </c>
      <c r="CV169" s="268">
        <f>CU169+SUM(CV167:CV168)</f>
        <v>0</v>
      </c>
      <c r="CW169" s="268">
        <f>CV169+SUM(CW167:CW168)</f>
        <v>0</v>
      </c>
      <c r="CX169" s="268">
        <f>CW169+SUM(CX167:CX168)</f>
        <v>0</v>
      </c>
      <c r="CY169" s="268" t="n"/>
      <c r="CZ169" s="260">
        <f>CX169+SUM(CZ167:CZ168)</f>
        <v>0</v>
      </c>
      <c r="DA169" s="260">
        <f>CZ169+SUM(DA167:DA168)</f>
        <v>0</v>
      </c>
      <c r="DB169" s="260">
        <f>DA169+SUM(DB167:DB168)</f>
        <v>0</v>
      </c>
      <c r="DC169" s="260">
        <f>DB169+SUM(DC167:DC168)</f>
        <v>0</v>
      </c>
    </row>
    <row r="170" hidden="1" outlineLevel="1" ht="12.75" customHeight="1" s="255">
      <c r="C170" s="312" t="n"/>
      <c r="D170" s="268" t="n"/>
      <c r="E170" s="268" t="n"/>
      <c r="F170" s="268" t="n"/>
      <c r="G170" s="268" t="n"/>
      <c r="H170" s="268" t="n"/>
      <c r="I170" s="268" t="n"/>
      <c r="J170" s="268" t="n"/>
      <c r="K170" s="268" t="n"/>
      <c r="L170" s="268" t="n"/>
      <c r="M170" s="268" t="n"/>
      <c r="N170" s="268" t="n"/>
      <c r="O170" s="268" t="n"/>
      <c r="P170" s="268" t="n"/>
      <c r="Q170" s="268" t="n"/>
      <c r="R170" s="268" t="n"/>
      <c r="S170" s="268" t="n"/>
      <c r="T170" s="268" t="n"/>
      <c r="U170" s="268" t="n"/>
      <c r="V170" s="268" t="n"/>
      <c r="W170" s="268" t="n"/>
      <c r="X170" s="268" t="n"/>
      <c r="Y170" s="268" t="n"/>
      <c r="Z170" s="268" t="n"/>
      <c r="AA170" s="268" t="n"/>
      <c r="AB170" s="268" t="n"/>
      <c r="AC170" s="268" t="n"/>
      <c r="AD170" s="268" t="n"/>
      <c r="AE170" s="268" t="n"/>
      <c r="AF170" s="268" t="n"/>
      <c r="AG170" s="268" t="n"/>
      <c r="AH170" s="268" t="n"/>
      <c r="AI170" s="268" t="n"/>
      <c r="AJ170" s="268" t="n"/>
      <c r="AK170" s="268" t="n"/>
      <c r="AL170" s="268" t="n"/>
      <c r="AM170" s="268" t="n"/>
      <c r="AN170" s="268" t="n"/>
      <c r="AO170" s="268" t="n"/>
      <c r="AP170" s="268" t="n"/>
      <c r="AQ170" s="268" t="n"/>
      <c r="AR170" s="268" t="n"/>
      <c r="AS170" s="268" t="n"/>
      <c r="AT170" s="268" t="n"/>
      <c r="AU170" s="268" t="n"/>
      <c r="AV170" s="268" t="n"/>
      <c r="AW170" s="268" t="n"/>
      <c r="AX170" s="268" t="n"/>
      <c r="AY170" s="268" t="n"/>
      <c r="AZ170" s="268" t="n"/>
      <c r="BA170" s="268" t="n"/>
      <c r="BB170" s="268" t="n"/>
      <c r="BC170" s="268" t="n"/>
      <c r="BD170" s="268" t="n"/>
      <c r="BE170" s="268" t="n"/>
      <c r="BF170" s="268" t="n"/>
      <c r="BG170" s="268" t="n"/>
      <c r="BH170" s="268" t="n"/>
      <c r="BI170" s="268" t="n"/>
      <c r="BJ170" s="268" t="n"/>
      <c r="BK170" s="268" t="n"/>
      <c r="BL170" s="268" t="n"/>
      <c r="BM170" s="268" t="n"/>
      <c r="BN170" s="268" t="n"/>
      <c r="BO170" s="268" t="n"/>
      <c r="BP170" s="268" t="n"/>
      <c r="BQ170" s="268" t="n"/>
      <c r="BR170" s="268" t="n"/>
      <c r="BS170" s="268" t="n"/>
      <c r="BT170" s="268" t="n"/>
      <c r="BU170" s="268" t="n"/>
      <c r="BV170" s="268" t="n"/>
      <c r="BW170" s="268" t="n"/>
      <c r="BX170" s="268" t="n"/>
      <c r="BY170" s="268" t="n"/>
      <c r="BZ170" s="268" t="n"/>
      <c r="CA170" s="268" t="n"/>
      <c r="CB170" s="268" t="n"/>
      <c r="CC170" s="268" t="n"/>
      <c r="CD170" s="268" t="n"/>
      <c r="CE170" s="268" t="n"/>
      <c r="CF170" s="268" t="n"/>
      <c r="CG170" s="268" t="n"/>
      <c r="CH170" s="268" t="n"/>
      <c r="CI170" s="268" t="n"/>
      <c r="CJ170" s="268" t="n"/>
      <c r="CK170" s="268" t="n"/>
      <c r="CL170" s="268" t="n"/>
      <c r="CM170" s="268" t="n"/>
      <c r="CN170" s="268" t="n"/>
      <c r="CO170" s="268" t="n"/>
      <c r="CP170" s="268" t="n"/>
      <c r="CQ170" s="268" t="n"/>
      <c r="CR170" s="268" t="n"/>
      <c r="CS170" s="268" t="n"/>
      <c r="CT170" s="268" t="n"/>
      <c r="CU170" s="268" t="n"/>
      <c r="CV170" s="268" t="n"/>
      <c r="CW170" s="268" t="n"/>
      <c r="CX170" s="268" t="n"/>
      <c r="CY170" s="268" t="n"/>
    </row>
    <row r="171" hidden="1" outlineLevel="1" ht="12.75" customHeight="1" s="255">
      <c r="C171" s="312" t="inlineStr">
        <is>
          <t>Definir % do D&amp;A No PPE and Intagibles</t>
        </is>
      </c>
      <c r="D171" s="268" t="n"/>
      <c r="E171" s="268" t="n"/>
      <c r="F171" s="268" t="n"/>
      <c r="G171" s="268" t="n"/>
      <c r="H171" s="268" t="n"/>
      <c r="I171" s="268" t="n"/>
      <c r="J171" s="268" t="n"/>
      <c r="K171" s="268" t="n"/>
      <c r="L171" s="268" t="n"/>
      <c r="M171" s="268" t="n"/>
      <c r="N171" s="268" t="n"/>
      <c r="O171" s="268" t="n"/>
      <c r="P171" s="268" t="n"/>
      <c r="Q171" s="268" t="n"/>
      <c r="R171" s="268" t="n"/>
      <c r="S171" s="268" t="n"/>
      <c r="T171" s="268" t="n"/>
      <c r="U171" s="268" t="n"/>
      <c r="V171" s="268" t="n"/>
      <c r="W171" s="268" t="n"/>
      <c r="X171" s="268" t="n"/>
      <c r="Y171" s="268" t="n"/>
      <c r="Z171" s="268" t="n"/>
      <c r="AA171" s="268" t="n"/>
      <c r="AB171" s="268" t="n"/>
      <c r="AC171" s="268" t="n"/>
      <c r="AD171" s="268" t="n"/>
      <c r="AE171" s="268" t="n"/>
      <c r="AF171" s="268" t="n"/>
      <c r="AG171" s="268" t="n"/>
      <c r="AH171" s="268" t="n"/>
      <c r="AI171" s="268" t="n"/>
      <c r="AJ171" s="268" t="n"/>
      <c r="AK171" s="268" t="n"/>
      <c r="AL171" s="268" t="n"/>
      <c r="AM171" s="268" t="n"/>
      <c r="AN171" s="268" t="n"/>
      <c r="AO171" s="268" t="n"/>
      <c r="AP171" s="268" t="n"/>
      <c r="AQ171" s="268" t="n"/>
      <c r="AR171" s="268" t="n"/>
      <c r="AS171" s="268" t="n"/>
      <c r="AT171" s="268" t="n"/>
      <c r="AU171" s="268" t="n"/>
      <c r="AV171" s="268" t="n"/>
      <c r="AW171" s="268" t="n"/>
      <c r="AX171" s="268" t="n"/>
      <c r="AY171" s="268" t="n"/>
      <c r="AZ171" s="268" t="n"/>
      <c r="BA171" s="268" t="n"/>
      <c r="BB171" s="268" t="n"/>
      <c r="BC171" s="268" t="n"/>
      <c r="BD171" s="268" t="n"/>
      <c r="BE171" s="268" t="n"/>
      <c r="BF171" s="268" t="n"/>
      <c r="BG171" s="268" t="n"/>
      <c r="BH171" s="268" t="n"/>
      <c r="BI171" s="268" t="n"/>
      <c r="BJ171" s="268" t="n"/>
      <c r="BK171" s="268" t="n"/>
      <c r="BL171" s="268" t="n"/>
      <c r="BM171" s="268" t="n"/>
      <c r="BN171" s="268" t="n"/>
      <c r="BO171" s="268" t="n"/>
      <c r="BP171" s="268" t="n"/>
      <c r="BQ171" s="268" t="n"/>
      <c r="BR171" s="268" t="n"/>
      <c r="BS171" s="268" t="n"/>
      <c r="BT171" s="268" t="n"/>
      <c r="BU171" s="268" t="n"/>
      <c r="BV171" s="268" t="n"/>
      <c r="BW171" s="268" t="n"/>
      <c r="BX171" s="268" t="n"/>
      <c r="BY171" s="268" t="n"/>
      <c r="BZ171" s="268" t="n"/>
      <c r="CA171" s="268" t="n"/>
      <c r="CB171" s="268" t="n"/>
      <c r="CC171" s="268" t="n"/>
      <c r="CD171" s="268" t="n"/>
      <c r="CE171" s="268" t="n"/>
      <c r="CF171" s="268" t="n"/>
      <c r="CG171" s="268" t="n"/>
      <c r="CH171" s="268" t="n"/>
      <c r="CI171" s="268" t="n"/>
      <c r="CJ171" s="268" t="n"/>
      <c r="CK171" s="268" t="n"/>
      <c r="CL171" s="268" t="n"/>
      <c r="CM171" s="268" t="n"/>
      <c r="CN171" s="268" t="n"/>
      <c r="CO171" s="268" t="n"/>
      <c r="CP171" s="268" t="n"/>
      <c r="CQ171" s="268" t="n"/>
      <c r="CR171" s="268" t="n"/>
      <c r="CS171" s="268" t="n"/>
      <c r="CT171" s="268" t="n"/>
      <c r="CU171" s="268" t="n"/>
      <c r="CV171" s="268" t="n"/>
      <c r="CW171" s="268" t="n"/>
      <c r="CX171" s="268" t="n"/>
      <c r="CY171" s="268" t="n"/>
    </row>
    <row r="172" hidden="1" outlineLevel="1" ht="12.75" customHeight="1" s="255">
      <c r="C172" s="312" t="n"/>
      <c r="D172" s="268" t="n"/>
      <c r="E172" s="268" t="n"/>
      <c r="F172" s="268" t="n"/>
      <c r="G172" s="268" t="n"/>
      <c r="H172" s="268" t="n"/>
      <c r="I172" s="268" t="n"/>
      <c r="J172" s="268" t="n"/>
      <c r="K172" s="268" t="n"/>
      <c r="L172" s="268" t="n"/>
      <c r="M172" s="268" t="n"/>
      <c r="N172" s="268" t="n"/>
      <c r="O172" s="268" t="n"/>
      <c r="P172" s="268" t="n"/>
      <c r="Q172" s="268" t="n"/>
      <c r="R172" s="268" t="n"/>
      <c r="S172" s="268" t="n"/>
      <c r="T172" s="268" t="n"/>
      <c r="U172" s="268" t="n"/>
      <c r="V172" s="268" t="n"/>
      <c r="W172" s="268" t="n"/>
      <c r="X172" s="268" t="n"/>
      <c r="Y172" s="268" t="n"/>
      <c r="Z172" s="268" t="n"/>
      <c r="AA172" s="268" t="n"/>
      <c r="AB172" s="268" t="n"/>
      <c r="AC172" s="268" t="n"/>
      <c r="AD172" s="268" t="n"/>
      <c r="AE172" s="268" t="n"/>
      <c r="AF172" s="268" t="n"/>
      <c r="AG172" s="268" t="n"/>
      <c r="AH172" s="268" t="n"/>
      <c r="AI172" s="268" t="n"/>
      <c r="AJ172" s="268" t="n"/>
      <c r="AK172" s="268" t="n"/>
      <c r="AL172" s="268" t="n"/>
      <c r="AM172" s="268" t="n"/>
      <c r="AN172" s="268" t="n"/>
      <c r="AO172" s="268" t="n"/>
      <c r="AP172" s="268" t="n"/>
      <c r="AQ172" s="268" t="n"/>
      <c r="AR172" s="268" t="n"/>
      <c r="AS172" s="268" t="n"/>
      <c r="AT172" s="268" t="n"/>
      <c r="AU172" s="268" t="n"/>
      <c r="AV172" s="268" t="n"/>
      <c r="AW172" s="268" t="n"/>
      <c r="AX172" s="268" t="n"/>
      <c r="AY172" s="268" t="n"/>
      <c r="AZ172" s="268" t="n"/>
      <c r="BA172" s="268" t="n"/>
      <c r="BB172" s="268" t="n"/>
      <c r="BC172" s="268" t="n"/>
      <c r="BD172" s="268" t="n"/>
      <c r="BE172" s="268" t="n"/>
      <c r="BF172" s="268" t="n"/>
      <c r="BG172" s="268" t="n"/>
      <c r="BH172" s="268" t="n"/>
      <c r="BI172" s="268" t="n"/>
      <c r="BJ172" s="268" t="n"/>
      <c r="BK172" s="268" t="n"/>
      <c r="BL172" s="268" t="n"/>
      <c r="BM172" s="268" t="n"/>
      <c r="BN172" s="268" t="n"/>
      <c r="BO172" s="268" t="n"/>
      <c r="BP172" s="268" t="n"/>
      <c r="BQ172" s="268" t="n"/>
      <c r="BR172" s="268" t="n"/>
      <c r="BS172" s="268" t="n"/>
      <c r="BT172" s="268" t="n"/>
      <c r="BU172" s="268" t="n"/>
      <c r="BV172" s="268" t="n"/>
      <c r="BW172" s="268" t="n"/>
      <c r="BX172" s="268" t="n"/>
      <c r="BY172" s="268" t="n"/>
      <c r="BZ172" s="268" t="n"/>
      <c r="CA172" s="268" t="n"/>
      <c r="CB172" s="268" t="n"/>
      <c r="CC172" s="268" t="n"/>
      <c r="CD172" s="268" t="n"/>
      <c r="CE172" s="268" t="n"/>
      <c r="CF172" s="268" t="n"/>
      <c r="CG172" s="268" t="n"/>
      <c r="CH172" s="268" t="n"/>
      <c r="CI172" s="268" t="n"/>
      <c r="CJ172" s="268" t="n"/>
      <c r="CK172" s="268" t="n"/>
      <c r="CL172" s="268" t="n"/>
      <c r="CM172" s="268" t="n"/>
      <c r="CN172" s="268" t="n"/>
      <c r="CO172" s="268" t="n"/>
      <c r="CP172" s="268" t="n"/>
      <c r="CQ172" s="268" t="n"/>
      <c r="CR172" s="268" t="n"/>
      <c r="CS172" s="268" t="n"/>
      <c r="CT172" s="268" t="n"/>
      <c r="CU172" s="268" t="n"/>
      <c r="CV172" s="268" t="n"/>
      <c r="CW172" s="268" t="n"/>
      <c r="CX172" s="268" t="n"/>
      <c r="CY172" s="268" t="n"/>
    </row>
    <row r="173" hidden="1" outlineLevel="1" ht="12.75" customHeight="1" s="255">
      <c r="C173" s="312" t="n"/>
      <c r="D173" s="268" t="n"/>
      <c r="E173" s="268" t="n"/>
      <c r="F173" s="268" t="n"/>
      <c r="G173" s="268" t="n"/>
      <c r="H173" s="268" t="n"/>
      <c r="I173" s="268" t="n"/>
      <c r="J173" s="268" t="n"/>
      <c r="K173" s="268" t="n"/>
      <c r="L173" s="268" t="n"/>
      <c r="M173" s="268" t="n"/>
      <c r="N173" s="268" t="n"/>
      <c r="O173" s="268" t="n"/>
      <c r="P173" s="268" t="n"/>
      <c r="Q173" s="268" t="n"/>
      <c r="R173" s="268" t="n"/>
      <c r="S173" s="268" t="n"/>
      <c r="T173" s="268" t="n"/>
      <c r="U173" s="268" t="n"/>
      <c r="V173" s="268" t="n"/>
      <c r="W173" s="268" t="n"/>
      <c r="X173" s="268" t="n"/>
      <c r="Y173" s="268" t="n"/>
      <c r="Z173" s="268" t="n"/>
      <c r="AA173" s="268" t="n"/>
      <c r="AB173" s="268" t="n"/>
      <c r="AC173" s="268" t="n"/>
      <c r="AD173" s="268" t="n"/>
      <c r="AE173" s="268" t="n"/>
      <c r="AF173" s="268" t="n"/>
      <c r="AG173" s="268" t="n"/>
      <c r="AH173" s="268" t="n"/>
      <c r="AI173" s="268" t="n"/>
      <c r="AJ173" s="268" t="n"/>
      <c r="AK173" s="268" t="n"/>
      <c r="AL173" s="268" t="n"/>
      <c r="AM173" s="268" t="n"/>
      <c r="AN173" s="268" t="n"/>
      <c r="AO173" s="268" t="n"/>
      <c r="AP173" s="268" t="n"/>
      <c r="AQ173" s="268" t="n"/>
      <c r="AR173" s="268" t="n"/>
      <c r="AS173" s="268" t="n"/>
      <c r="AT173" s="268" t="n"/>
      <c r="AU173" s="268" t="n"/>
      <c r="AV173" s="268" t="n"/>
      <c r="AW173" s="268" t="n"/>
      <c r="AX173" s="268" t="n"/>
      <c r="AY173" s="268" t="n"/>
      <c r="AZ173" s="268" t="n"/>
      <c r="BA173" s="268" t="n"/>
      <c r="BB173" s="268" t="n"/>
      <c r="BC173" s="268" t="n"/>
      <c r="BD173" s="268" t="n"/>
      <c r="BE173" s="268" t="n"/>
      <c r="BF173" s="268" t="n"/>
      <c r="BG173" s="268" t="n"/>
      <c r="BH173" s="268" t="n"/>
      <c r="BI173" s="268" t="n"/>
      <c r="BJ173" s="268" t="n"/>
      <c r="BK173" s="268" t="n"/>
      <c r="BL173" s="268" t="n"/>
      <c r="BM173" s="268" t="n"/>
      <c r="BN173" s="268" t="n"/>
      <c r="BO173" s="268" t="n"/>
      <c r="BP173" s="268" t="n"/>
      <c r="BQ173" s="268" t="n"/>
      <c r="BR173" s="268" t="n"/>
      <c r="BS173" s="268" t="n"/>
      <c r="BT173" s="268" t="n"/>
      <c r="BU173" s="268" t="n"/>
      <c r="BV173" s="268" t="n"/>
      <c r="BW173" s="268" t="n"/>
      <c r="BX173" s="268" t="n"/>
      <c r="BY173" s="268" t="n"/>
      <c r="BZ173" s="268" t="n"/>
      <c r="CA173" s="268" t="n"/>
      <c r="CB173" s="268" t="n"/>
      <c r="CC173" s="268" t="n"/>
      <c r="CD173" s="268" t="n"/>
      <c r="CE173" s="268" t="n"/>
      <c r="CF173" s="268" t="n"/>
      <c r="CG173" s="268" t="n"/>
      <c r="CH173" s="268" t="n"/>
      <c r="CI173" s="268" t="n"/>
      <c r="CJ173" s="268" t="n"/>
      <c r="CK173" s="268" t="n"/>
      <c r="CL173" s="268" t="n"/>
      <c r="CM173" s="268" t="n"/>
      <c r="CN173" s="268" t="n"/>
      <c r="CO173" s="268" t="n"/>
      <c r="CP173" s="268" t="n"/>
      <c r="CQ173" s="268" t="n"/>
      <c r="CR173" s="268" t="n"/>
      <c r="CS173" s="268" t="n"/>
      <c r="CT173" s="268" t="n"/>
      <c r="CU173" s="268" t="n"/>
      <c r="CV173" s="268" t="n"/>
      <c r="CW173" s="268" t="n"/>
      <c r="CX173" s="268" t="n"/>
      <c r="CY173" s="268" t="n"/>
    </row>
    <row r="174" ht="12.75" customHeight="1" s="255">
      <c r="C174" s="270" t="inlineStr">
        <is>
          <t>Other non-current assets</t>
        </is>
      </c>
      <c r="D174" s="301">
        <f>INDEX('Inputs (2)'!$D$26:$AL$26,MATCH(D$7,'Inputs (2)'!$D$2:$AL$2,0))</f>
        <v>1002</v>
      </c>
      <c r="E174" s="301">
        <f>INDEX('Inputs (2)'!$D$26:$AL$26,MATCH(E$7,'Inputs (2)'!$D$2:$AL$2,0))</f>
        <v>2202</v>
      </c>
      <c r="F174" s="301">
        <f>INDEX('Inputs (2)'!$D$26:$AL$26,MATCH(F$7,'Inputs (2)'!$D$2:$AL$2,0))</f>
        <v>2841</v>
      </c>
      <c r="G174" s="301">
        <f>INDEX('Inputs (2)'!$D$26:$AL$26,MATCH(G$7,'Inputs (2)'!$D$2:$AL$2,0))</f>
        <v>3048</v>
      </c>
      <c r="H174" s="268">
        <f>G174</f>
        <v>3048</v>
      </c>
      <c r="I174" s="301">
        <f>INDEX('Inputs (2)'!$D$26:$AL$26,MATCH(I$7,'Inputs (2)'!$D$2:$AL$2,0))</f>
        <v>3192</v>
      </c>
      <c r="J174" s="301">
        <f>INDEX('Inputs (2)'!$D$26:$AL$26,MATCH(J$7,'Inputs (2)'!$D$2:$AL$2,0))</f>
        <v>3306</v>
      </c>
      <c r="K174" s="301">
        <f>INDEX('Inputs (2)'!$D$26:$AL$26,MATCH(K$7,'Inputs (2)'!$D$2:$AL$2,0))</f>
        <v>3381</v>
      </c>
      <c r="L174" s="301">
        <f>INDEX('Inputs (2)'!$D$26:$AL$26,MATCH(L$7,'Inputs (2)'!$D$2:$AL$2,0))</f>
        <v>3509</v>
      </c>
      <c r="M174" s="268">
        <f>L174</f>
        <v>3509</v>
      </c>
      <c r="N174" s="301">
        <f>INDEX('Inputs (2)'!$D$26:$AL$26,MATCH(N$7,'Inputs (2)'!$D$2:$AL$2,0))</f>
        <v>3621</v>
      </c>
      <c r="O174" s="301">
        <f>INDEX('Inputs (2)'!$D$26:$AL$26,MATCH(O$7,'Inputs (2)'!$D$2:$AL$2,0))</f>
        <v>3970</v>
      </c>
      <c r="P174" s="301">
        <f>INDEX('Inputs (2)'!$D$26:$AL$26,MATCH(P$7,'Inputs (2)'!$D$2:$AL$2,0))</f>
        <v>4050</v>
      </c>
      <c r="Q174" s="301">
        <f>INDEX('Inputs (2)'!$D$26:$AL$26,MATCH(Q$7,'Inputs (2)'!$D$2:$AL$2,0))</f>
        <v>3946</v>
      </c>
      <c r="R174" s="268">
        <f>Q174</f>
        <v>3946</v>
      </c>
      <c r="S174" s="301">
        <f>INDEX('Inputs (2)'!$D$26:$AL$26,MATCH(S$7,'Inputs (2)'!$D$2:$AL$2,0))</f>
        <v>3935</v>
      </c>
      <c r="T174" s="301">
        <f>INDEX('Inputs (2)'!$D$26:$AL$26,MATCH(T$7,'Inputs (2)'!$D$2:$AL$2,0))</f>
        <v>3726</v>
      </c>
      <c r="U174" s="301">
        <f>INDEX('Inputs (2)'!$D$26:$AL$26,MATCH(U$7,'Inputs (2)'!$D$2:$AL$2,0))</f>
        <v>3718</v>
      </c>
      <c r="V174" s="301">
        <f>INDEX('Inputs (2)'!$D$26:$AL$26,MATCH(V$7,'Inputs (2)'!$D$2:$AL$2,0))</f>
        <v>3803</v>
      </c>
      <c r="W174" s="268">
        <f>V174</f>
        <v>3803</v>
      </c>
      <c r="X174" s="301">
        <f>INDEX('Inputs (2)'!$D$26:$AL$26,MATCH(X$7,'Inputs (2)'!$D$2:$AL$2,0))</f>
        <v>3836</v>
      </c>
      <c r="Y174" s="301">
        <f>INDEX('Inputs (2)'!$D$26:$AL$26,MATCH(Y$7,'Inputs (2)'!$D$2:$AL$2,0))</f>
        <v>3918</v>
      </c>
      <c r="Z174" s="301">
        <f>INDEX('Inputs (2)'!$D$26:$AL$26,MATCH(Z$7,'Inputs (2)'!$D$2:$AL$2,0))</f>
        <v>3936</v>
      </c>
      <c r="AA174" s="301">
        <f>INDEX('Inputs (2)'!$D$26:$AL$26,MATCH(AA$7,'Inputs (2)'!$D$2:$AL$2,0))</f>
        <v>3988</v>
      </c>
      <c r="AB174" s="268">
        <f>AA174</f>
        <v>3988</v>
      </c>
      <c r="AC174" s="301">
        <f>INDEX('Inputs (2)'!$D$26:$AL$26,MATCH(AC$7,'Inputs (2)'!$D$2:$AL$2,0))</f>
        <v>3987</v>
      </c>
      <c r="AD174" s="301">
        <f>INDEX('Inputs (2)'!$D$26:$AL$26,MATCH(AD$7,'Inputs (2)'!$D$2:$AL$2,0))</f>
        <v>4031</v>
      </c>
      <c r="AE174" s="301">
        <f>INDEX('Inputs (2)'!$D$26:$AL$26,MATCH(AE$7,'Inputs (2)'!$D$2:$AL$2,0))</f>
        <v>4085</v>
      </c>
      <c r="AF174" s="301">
        <f>INDEX('Inputs (2)'!$D$26:$AL$26,MATCH(AF$7,'Inputs (2)'!$D$2:$AL$2,0))</f>
        <v>4033</v>
      </c>
      <c r="AG174" s="268">
        <f>AF174</f>
        <v>4033</v>
      </c>
      <c r="AH174" s="268">
        <f>INDEX('Inputs (2)'!$D$26:$AL$26,MATCH(AH$7,'Inputs (2)'!$D$2:$AL$2,0))</f>
        <v>4102</v>
      </c>
      <c r="AI174" s="268">
        <f>INDEX('Inputs (2)'!$D$26:$AL$26,MATCH(AI$7,'Inputs (2)'!$D$2:$AL$2,0))</f>
        <v>4213</v>
      </c>
      <c r="AJ174" s="268">
        <f>AI174</f>
        <v>4213</v>
      </c>
      <c r="AK174" s="268">
        <f>AJ174</f>
        <v>4213</v>
      </c>
      <c r="AL174" s="268">
        <f>AK174</f>
        <v>4213</v>
      </c>
      <c r="AM174" s="268">
        <f>AL174</f>
        <v>4213</v>
      </c>
      <c r="AN174" s="268">
        <f>AM174</f>
        <v>4213</v>
      </c>
      <c r="AO174" s="268">
        <f>AN174</f>
        <v>4213</v>
      </c>
      <c r="AP174" s="268">
        <f>AO174</f>
        <v>4213</v>
      </c>
      <c r="AQ174" s="268">
        <f>AP174</f>
        <v>4213</v>
      </c>
      <c r="AR174" s="268">
        <f>AQ174</f>
        <v>4213</v>
      </c>
      <c r="AS174" s="268">
        <f>AR174</f>
        <v>4213</v>
      </c>
      <c r="AT174" s="268">
        <f>AS174</f>
        <v>4213</v>
      </c>
      <c r="AU174" s="268">
        <f>AT174</f>
        <v>4213</v>
      </c>
      <c r="AV174" s="268">
        <f>AU174</f>
        <v>4213</v>
      </c>
      <c r="AW174" s="268">
        <f>AV174</f>
        <v>4213</v>
      </c>
      <c r="AX174" s="268">
        <f>AW174</f>
        <v>4213</v>
      </c>
      <c r="AY174" s="268">
        <f>AX174</f>
        <v>4213</v>
      </c>
      <c r="AZ174" s="268">
        <f>AY174</f>
        <v>4213</v>
      </c>
      <c r="BA174" s="268">
        <f>AZ174</f>
        <v>4213</v>
      </c>
      <c r="BB174" s="268">
        <f>BA174</f>
        <v>4213</v>
      </c>
      <c r="BC174" s="268">
        <f>BB174</f>
        <v>4213</v>
      </c>
      <c r="BD174" s="268">
        <f>BC174</f>
        <v>4213</v>
      </c>
      <c r="BE174" s="268">
        <f>BD174</f>
        <v>4213</v>
      </c>
      <c r="BF174" s="268">
        <f>BE174</f>
        <v>4213</v>
      </c>
      <c r="BG174" s="268">
        <f>BF174</f>
        <v>4213</v>
      </c>
      <c r="BH174" s="268">
        <f>BG174</f>
        <v>4213</v>
      </c>
      <c r="BI174" s="268">
        <f>BH174</f>
        <v>4213</v>
      </c>
      <c r="BJ174" s="268">
        <f>BI174</f>
        <v>4213</v>
      </c>
      <c r="BK174" s="268">
        <f>BJ174</f>
        <v>4213</v>
      </c>
      <c r="BL174" s="268">
        <f>BK174</f>
        <v>4213</v>
      </c>
      <c r="BM174" s="268">
        <f>BL174</f>
        <v>4213</v>
      </c>
      <c r="BN174" s="268">
        <f>BM174</f>
        <v>4213</v>
      </c>
      <c r="BO174" s="268">
        <f>BN174</f>
        <v>4213</v>
      </c>
      <c r="BP174" s="268">
        <f>BO174</f>
        <v>4213</v>
      </c>
      <c r="BQ174" s="268">
        <f>BP174</f>
        <v>4213</v>
      </c>
      <c r="BR174" s="268">
        <f>BQ174</f>
        <v>4213</v>
      </c>
      <c r="BS174" s="268">
        <f>BR174</f>
        <v>4213</v>
      </c>
      <c r="BT174" s="268">
        <f>BS174</f>
        <v>4213</v>
      </c>
      <c r="BU174" s="268">
        <f>BT174</f>
        <v>4213</v>
      </c>
      <c r="BV174" s="268">
        <f>BU174</f>
        <v>4213</v>
      </c>
      <c r="BW174" s="268">
        <f>BV174</f>
        <v>4213</v>
      </c>
      <c r="BX174" s="268">
        <f>BW174</f>
        <v>4213</v>
      </c>
      <c r="BY174" s="268">
        <f>BX174</f>
        <v>4213</v>
      </c>
      <c r="BZ174" s="268">
        <f>BY174</f>
        <v>4213</v>
      </c>
      <c r="CA174" s="268">
        <f>BZ174</f>
        <v>4213</v>
      </c>
      <c r="CB174" s="268">
        <f>CA174</f>
        <v>4213</v>
      </c>
      <c r="CC174" s="268">
        <f>CB174</f>
        <v>4213</v>
      </c>
      <c r="CD174" s="268">
        <f>CC174</f>
        <v>4213</v>
      </c>
      <c r="CE174" s="268">
        <f>CD174</f>
        <v>4213</v>
      </c>
      <c r="CF174" s="268">
        <f>CE174</f>
        <v>4213</v>
      </c>
      <c r="CG174" s="268">
        <f>CF174</f>
        <v>4213</v>
      </c>
      <c r="CH174" s="268">
        <f>CG174</f>
        <v>4213</v>
      </c>
      <c r="CI174" s="268">
        <f>CH174</f>
        <v>4213</v>
      </c>
      <c r="CJ174" s="268">
        <f>CI174</f>
        <v>4213</v>
      </c>
      <c r="CK174" s="268">
        <f>CJ174</f>
        <v>4213</v>
      </c>
      <c r="CL174" s="268">
        <f>CK174</f>
        <v>4213</v>
      </c>
      <c r="CM174" s="268">
        <f>CL174</f>
        <v>4213</v>
      </c>
      <c r="CN174" s="268">
        <f>CM174</f>
        <v>4213</v>
      </c>
      <c r="CO174" s="268">
        <f>CN174</f>
        <v>4213</v>
      </c>
      <c r="CP174" s="268">
        <f>CO174</f>
        <v>4213</v>
      </c>
      <c r="CQ174" s="268">
        <f>CP174</f>
        <v>4213</v>
      </c>
      <c r="CR174" s="268">
        <f>CQ174</f>
        <v>4213</v>
      </c>
      <c r="CS174" s="268">
        <f>CR174</f>
        <v>4213</v>
      </c>
      <c r="CT174" s="268">
        <f>CS174</f>
        <v>4213</v>
      </c>
      <c r="CU174" s="268">
        <f>CT174</f>
        <v>4213</v>
      </c>
      <c r="CV174" s="268">
        <f>CU174</f>
        <v>4213</v>
      </c>
      <c r="CW174" s="268">
        <f>CV174</f>
        <v>4213</v>
      </c>
      <c r="CX174" s="268">
        <f>CW174</f>
        <v>4213</v>
      </c>
      <c r="CY174" s="268">
        <f>CX174</f>
        <v>4213</v>
      </c>
    </row>
    <row r="175" hidden="1" outlineLevel="1" ht="12.75" customHeight="1" s="255">
      <c r="C175" s="314" t="inlineStr">
        <is>
          <t>%(Var.)</t>
        </is>
      </c>
      <c r="D175" s="268" t="n"/>
      <c r="E175" s="296">
        <f>(E174-D174)/D174</f>
        <v>1.19760479041916</v>
      </c>
      <c r="F175" s="296">
        <f>(F174-E174)/E174</f>
        <v>0.290190735694823</v>
      </c>
      <c r="G175" s="296">
        <f>(G174-F174)/F174</f>
        <v>0.0728616684266104</v>
      </c>
      <c r="H175" s="268" t="n"/>
      <c r="I175" s="296">
        <f>(I174-H174)/H174</f>
        <v>0.047244094488189</v>
      </c>
      <c r="J175" s="296">
        <f>(J174-I174)/I174</f>
        <v>0.0357142857142857</v>
      </c>
      <c r="K175" s="296">
        <f>(K174-J174)/J174</f>
        <v>0.0226860254083485</v>
      </c>
      <c r="L175" s="296">
        <f>(L174-K174)/K174</f>
        <v>0.0378586217095534</v>
      </c>
      <c r="M175" s="268" t="n"/>
      <c r="N175" s="296">
        <f>(N174-M174)/M174</f>
        <v>0.0319179253348532</v>
      </c>
      <c r="O175" s="296">
        <f>(O174-N174)/N174</f>
        <v>0.0963822148577741</v>
      </c>
      <c r="P175" s="296">
        <f>(P174-O174)/O174</f>
        <v>0.0201511335012594</v>
      </c>
      <c r="Q175" s="296">
        <f>(Q174-P174)/P174</f>
        <v>-0.025679012345679</v>
      </c>
      <c r="R175" s="268" t="n"/>
      <c r="S175" s="296">
        <f>(S174-R174)/R174</f>
        <v>-0.00278763304612266</v>
      </c>
      <c r="T175" s="296">
        <f>(T174-S174)/S174</f>
        <v>-0.0531130876747141</v>
      </c>
      <c r="U175" s="296">
        <f>(U174-T174)/T174</f>
        <v>-0.00214707461084273</v>
      </c>
      <c r="V175" s="296">
        <f>(V174-U174)/U174</f>
        <v>0.0228617536309844</v>
      </c>
      <c r="W175" s="268" t="n"/>
      <c r="X175" s="296">
        <f>(X174-W174)/W174</f>
        <v>0.00867735997896398</v>
      </c>
      <c r="Y175" s="296">
        <f>(Y174-X174)/X174</f>
        <v>0.0213764337851929</v>
      </c>
      <c r="Z175" s="296">
        <f>(Z174-Y174)/Y174</f>
        <v>0.00459418070444104</v>
      </c>
      <c r="AA175" s="296">
        <f>(AA174-Z174)/Z174</f>
        <v>0.0132113821138211</v>
      </c>
      <c r="AB175" s="268" t="n"/>
      <c r="AC175" s="296">
        <f>(AC174-AB174)/AB174</f>
        <v>-0.000250752256770311</v>
      </c>
      <c r="AD175" s="296">
        <f>(AD174-AC174)/AC174</f>
        <v>0.0110358665663406</v>
      </c>
      <c r="AE175" s="296">
        <f>(AE174-AD174)/AD174</f>
        <v>0.0133961796080377</v>
      </c>
      <c r="AF175" s="311">
        <f>(AF174-AE174)/AE174</f>
        <v>-0.0127294981640147</v>
      </c>
      <c r="AG175" s="268" t="n"/>
      <c r="AH175" s="311">
        <f>(AH174-AG174)/AG174</f>
        <v>0.0171088519712373</v>
      </c>
      <c r="AI175" s="311">
        <f>(AI174-AH174)/AH174</f>
        <v>0.0270599707459776</v>
      </c>
      <c r="AJ175" s="311" t="n"/>
      <c r="AK175" s="311" t="n"/>
      <c r="AL175" s="268" t="n"/>
      <c r="AM175" s="311" t="n"/>
      <c r="AN175" s="311" t="n"/>
      <c r="AO175" s="311" t="n"/>
      <c r="AP175" s="311" t="n"/>
      <c r="AQ175" s="268" t="n"/>
      <c r="AR175" s="311" t="n"/>
      <c r="AS175" s="311" t="n"/>
      <c r="AT175" s="311" t="n"/>
      <c r="AU175" s="311" t="n"/>
      <c r="AV175" s="268" t="n"/>
      <c r="AW175" s="311" t="n"/>
      <c r="AX175" s="311" t="n"/>
      <c r="AY175" s="311" t="n"/>
      <c r="AZ175" s="311" t="n"/>
      <c r="BA175" s="268" t="n"/>
      <c r="BB175" s="311" t="n"/>
      <c r="BC175" s="311" t="n"/>
      <c r="BD175" s="311" t="n"/>
      <c r="BE175" s="311" t="n"/>
      <c r="BF175" s="268" t="n"/>
      <c r="BG175" s="311" t="n"/>
      <c r="BH175" s="311" t="n"/>
      <c r="BI175" s="311" t="n"/>
      <c r="BJ175" s="311" t="n"/>
      <c r="BK175" s="268" t="n"/>
      <c r="BL175" s="311" t="n"/>
      <c r="BM175" s="311" t="n"/>
      <c r="BN175" s="311" t="n"/>
      <c r="BO175" s="311" t="n"/>
      <c r="BP175" s="268" t="n"/>
      <c r="BQ175" s="311" t="n"/>
      <c r="BR175" s="311" t="n"/>
      <c r="BS175" s="311" t="n"/>
      <c r="BT175" s="311" t="n"/>
      <c r="BU175" s="268" t="n"/>
      <c r="BV175" s="311" t="n"/>
      <c r="BW175" s="311" t="n"/>
      <c r="BX175" s="311" t="n"/>
      <c r="BY175" s="311" t="n"/>
      <c r="BZ175" s="268" t="n"/>
      <c r="CA175" s="311" t="n"/>
      <c r="CB175" s="311" t="n"/>
      <c r="CC175" s="311" t="n"/>
      <c r="CD175" s="311" t="n"/>
      <c r="CE175" s="268" t="n"/>
      <c r="CF175" s="311" t="n"/>
      <c r="CG175" s="311" t="n"/>
      <c r="CH175" s="311" t="n"/>
      <c r="CI175" s="311" t="n"/>
      <c r="CJ175" s="268" t="n"/>
      <c r="CK175" s="311" t="n"/>
      <c r="CL175" s="311" t="n"/>
      <c r="CM175" s="311" t="n"/>
      <c r="CN175" s="311" t="n"/>
      <c r="CO175" s="268" t="n"/>
      <c r="CP175" s="311" t="n"/>
      <c r="CQ175" s="311" t="n"/>
      <c r="CR175" s="311" t="n"/>
      <c r="CS175" s="311" t="n"/>
      <c r="CT175" s="268" t="n"/>
      <c r="CU175" s="311" t="n"/>
      <c r="CV175" s="311" t="n"/>
      <c r="CW175" s="311" t="n"/>
      <c r="CX175" s="311" t="n"/>
      <c r="CY175" s="268" t="n"/>
    </row>
    <row r="176" hidden="1" outlineLevel="1" ht="12.75" customHeight="1" s="255">
      <c r="C176" s="312" t="n"/>
      <c r="D176" s="268" t="n"/>
      <c r="E176" s="296" t="n"/>
      <c r="F176" s="296" t="n"/>
      <c r="G176" s="296" t="n"/>
      <c r="H176" s="268" t="n"/>
      <c r="I176" s="296" t="n"/>
      <c r="J176" s="296" t="n"/>
      <c r="K176" s="296" t="n"/>
      <c r="L176" s="296" t="n"/>
      <c r="M176" s="268" t="n"/>
      <c r="N176" s="296" t="n"/>
      <c r="O176" s="296" t="n"/>
      <c r="P176" s="296" t="n"/>
      <c r="Q176" s="296" t="n"/>
      <c r="R176" s="268" t="n"/>
      <c r="S176" s="296" t="n"/>
      <c r="T176" s="296" t="n"/>
      <c r="U176" s="296" t="n"/>
      <c r="V176" s="296" t="n"/>
      <c r="W176" s="268" t="n"/>
      <c r="X176" s="296" t="n"/>
      <c r="Y176" s="296" t="n"/>
      <c r="Z176" s="296" t="n"/>
      <c r="AA176" s="296" t="n"/>
      <c r="AB176" s="268" t="n"/>
      <c r="AC176" s="296" t="n"/>
      <c r="AD176" s="296" t="n"/>
      <c r="AE176" s="296" t="n"/>
      <c r="AF176" s="311" t="n"/>
      <c r="AG176" s="268" t="n"/>
      <c r="AH176" s="311" t="n"/>
      <c r="AI176" s="311" t="n"/>
      <c r="AJ176" s="311" t="n"/>
      <c r="AK176" s="311" t="n"/>
      <c r="AL176" s="268" t="n"/>
      <c r="AM176" s="311" t="n"/>
      <c r="AN176" s="311" t="n"/>
      <c r="AO176" s="311" t="n"/>
      <c r="AP176" s="311" t="n"/>
      <c r="AQ176" s="268" t="n"/>
      <c r="AR176" s="311" t="n"/>
      <c r="AS176" s="311" t="n"/>
      <c r="AT176" s="311" t="n"/>
      <c r="AU176" s="311" t="n"/>
      <c r="AV176" s="268" t="n"/>
      <c r="AW176" s="311" t="n"/>
      <c r="AX176" s="311" t="n"/>
      <c r="AY176" s="311" t="n"/>
      <c r="AZ176" s="311" t="n"/>
      <c r="BA176" s="268" t="n"/>
      <c r="BB176" s="311" t="n"/>
      <c r="BC176" s="311" t="n"/>
      <c r="BD176" s="311" t="n"/>
      <c r="BE176" s="311" t="n"/>
      <c r="BF176" s="268" t="n"/>
      <c r="BG176" s="311" t="n"/>
      <c r="BH176" s="311" t="n"/>
      <c r="BI176" s="311" t="n"/>
      <c r="BJ176" s="311" t="n"/>
      <c r="BK176" s="268" t="n"/>
      <c r="BL176" s="311" t="n"/>
      <c r="BM176" s="311" t="n"/>
      <c r="BN176" s="311" t="n"/>
      <c r="BO176" s="311" t="n"/>
      <c r="BP176" s="268" t="n"/>
      <c r="BQ176" s="311" t="n"/>
      <c r="BR176" s="311" t="n"/>
      <c r="BS176" s="311" t="n"/>
      <c r="BT176" s="311" t="n"/>
      <c r="BU176" s="268" t="n"/>
      <c r="BV176" s="311" t="n"/>
      <c r="BW176" s="311" t="n"/>
      <c r="BX176" s="311" t="n"/>
      <c r="BY176" s="311" t="n"/>
      <c r="BZ176" s="268" t="n"/>
      <c r="CA176" s="311" t="n"/>
      <c r="CB176" s="311" t="n"/>
      <c r="CC176" s="311" t="n"/>
      <c r="CD176" s="311" t="n"/>
      <c r="CE176" s="268" t="n"/>
      <c r="CF176" s="311" t="n"/>
      <c r="CG176" s="311" t="n"/>
      <c r="CH176" s="311" t="n"/>
      <c r="CI176" s="311" t="n"/>
      <c r="CJ176" s="268" t="n"/>
      <c r="CK176" s="311" t="n"/>
      <c r="CL176" s="311" t="n"/>
      <c r="CM176" s="311" t="n"/>
      <c r="CN176" s="311" t="n"/>
      <c r="CO176" s="268" t="n"/>
      <c r="CP176" s="311" t="n"/>
      <c r="CQ176" s="311" t="n"/>
      <c r="CR176" s="311" t="n"/>
      <c r="CS176" s="311" t="n"/>
      <c r="CT176" s="268" t="n"/>
      <c r="CU176" s="311" t="n"/>
      <c r="CV176" s="311" t="n"/>
      <c r="CW176" s="311" t="n"/>
      <c r="CX176" s="311" t="n"/>
      <c r="CY176" s="268" t="n"/>
    </row>
    <row r="177" hidden="1" outlineLevel="1" ht="12.75" customHeight="1" s="255">
      <c r="C177" s="315" t="inlineStr">
        <is>
          <t>Outros Créditos - LP</t>
        </is>
      </c>
      <c r="D177" s="267" t="n"/>
      <c r="E177" s="267" t="n"/>
      <c r="F177" s="267" t="n"/>
      <c r="G177" s="267" t="n"/>
      <c r="H177" s="268" t="n"/>
      <c r="I177" s="267" t="n"/>
      <c r="J177" s="267" t="n"/>
      <c r="K177" s="267" t="n"/>
      <c r="L177" s="267" t="n"/>
      <c r="M177" s="268" t="n"/>
      <c r="N177" s="267" t="n"/>
      <c r="O177" s="267" t="n"/>
      <c r="P177" s="267" t="n"/>
      <c r="Q177" s="267" t="n"/>
      <c r="R177" s="268" t="n"/>
      <c r="S177" s="267" t="n"/>
      <c r="T177" s="267" t="n"/>
      <c r="U177" s="267" t="n"/>
      <c r="V177" s="267" t="n"/>
      <c r="W177" s="268" t="n"/>
      <c r="X177" s="267" t="n"/>
      <c r="Y177" s="267" t="n"/>
      <c r="Z177" s="267" t="n"/>
      <c r="AA177" s="267" t="n"/>
      <c r="AB177" s="268" t="n"/>
      <c r="AC177" s="267" t="n"/>
      <c r="AD177" s="267" t="n"/>
      <c r="AE177" s="267" t="n"/>
      <c r="AF177" s="267" t="n"/>
      <c r="AG177" s="268" t="n"/>
      <c r="AH177" s="268" t="n"/>
      <c r="AI177" s="268" t="n"/>
      <c r="AJ177" s="268" t="n"/>
      <c r="AK177" s="268" t="n"/>
      <c r="AL177" s="268" t="n"/>
      <c r="AM177" s="268" t="n"/>
      <c r="AN177" s="268" t="n"/>
      <c r="AO177" s="268" t="n"/>
      <c r="AP177" s="268" t="n"/>
      <c r="AQ177" s="268" t="n"/>
      <c r="AR177" s="268" t="n"/>
      <c r="AS177" s="268" t="n"/>
      <c r="AT177" s="268" t="n"/>
      <c r="AU177" s="268" t="n"/>
      <c r="AV177" s="268" t="n"/>
      <c r="AW177" s="268" t="n"/>
      <c r="AX177" s="268" t="n"/>
      <c r="AY177" s="268" t="n"/>
      <c r="AZ177" s="268" t="n"/>
      <c r="BA177" s="268" t="n"/>
      <c r="BB177" s="268" t="n"/>
      <c r="BC177" s="268" t="n"/>
      <c r="BD177" s="268" t="n"/>
      <c r="BE177" s="268" t="n"/>
      <c r="BF177" s="268" t="n"/>
      <c r="BG177" s="268" t="n"/>
      <c r="BH177" s="268" t="n"/>
      <c r="BI177" s="268" t="n"/>
      <c r="BJ177" s="268" t="n"/>
      <c r="BK177" s="268" t="n"/>
      <c r="BL177" s="268" t="n"/>
      <c r="BM177" s="268" t="n"/>
      <c r="BN177" s="268" t="n"/>
      <c r="BO177" s="268" t="n"/>
      <c r="BP177" s="268" t="n"/>
      <c r="BQ177" s="268" t="n"/>
      <c r="BR177" s="268" t="n"/>
      <c r="BS177" s="268" t="n"/>
      <c r="BT177" s="268" t="n"/>
      <c r="BU177" s="268" t="n"/>
      <c r="BV177" s="268" t="n"/>
      <c r="BW177" s="268" t="n"/>
      <c r="BX177" s="268" t="n"/>
      <c r="BY177" s="268" t="n"/>
      <c r="BZ177" s="268" t="n"/>
      <c r="CA177" s="268" t="n"/>
      <c r="CB177" s="268" t="n"/>
      <c r="CC177" s="268" t="n"/>
      <c r="CD177" s="268" t="n"/>
      <c r="CE177" s="268" t="n"/>
      <c r="CF177" s="268" t="n"/>
      <c r="CG177" s="268" t="n"/>
      <c r="CH177" s="268" t="n"/>
      <c r="CI177" s="268" t="n"/>
      <c r="CJ177" s="268" t="n"/>
      <c r="CK177" s="268" t="n"/>
      <c r="CL177" s="268" t="n"/>
      <c r="CM177" s="268" t="n"/>
      <c r="CN177" s="268" t="n"/>
      <c r="CO177" s="268" t="n"/>
      <c r="CP177" s="268" t="n"/>
      <c r="CQ177" s="268" t="n"/>
      <c r="CR177" s="268" t="n"/>
      <c r="CS177" s="268" t="n"/>
      <c r="CT177" s="268" t="n"/>
      <c r="CU177" s="268" t="n"/>
      <c r="CV177" s="268" t="n"/>
      <c r="CW177" s="268" t="n"/>
      <c r="CX177" s="268" t="n"/>
      <c r="CY177" s="268" t="n"/>
    </row>
    <row r="178" hidden="1" outlineLevel="1" ht="12.75" customHeight="1" s="255">
      <c r="C178" s="315" t="inlineStr">
        <is>
          <t xml:space="preserve">Impostos e Contribuições a Recuperar </t>
        </is>
      </c>
      <c r="D178" s="267" t="n"/>
      <c r="E178" s="267" t="n"/>
      <c r="F178" s="267" t="n"/>
      <c r="G178" s="267" t="n"/>
      <c r="H178" s="268" t="n"/>
      <c r="I178" s="267" t="n"/>
      <c r="J178" s="267" t="n"/>
      <c r="K178" s="267" t="n"/>
      <c r="L178" s="267" t="n"/>
      <c r="M178" s="268" t="n"/>
      <c r="N178" s="267" t="n"/>
      <c r="O178" s="267" t="n"/>
      <c r="P178" s="267" t="n"/>
      <c r="Q178" s="267" t="n"/>
      <c r="R178" s="268" t="n"/>
      <c r="S178" s="267" t="n"/>
      <c r="T178" s="267" t="n"/>
      <c r="U178" s="267" t="n"/>
      <c r="V178" s="267" t="n"/>
      <c r="W178" s="268" t="n"/>
      <c r="X178" s="267" t="n"/>
      <c r="Y178" s="267" t="n"/>
      <c r="Z178" s="267" t="n"/>
      <c r="AA178" s="267" t="n"/>
      <c r="AB178" s="268" t="n"/>
      <c r="AC178" s="267" t="n"/>
      <c r="AD178" s="267" t="n"/>
      <c r="AE178" s="267" t="n"/>
      <c r="AF178" s="267" t="n"/>
      <c r="AG178" s="268" t="n"/>
      <c r="AH178" s="268" t="n"/>
      <c r="AI178" s="268" t="n"/>
      <c r="AJ178" s="268" t="n"/>
      <c r="AK178" s="268" t="n"/>
      <c r="AL178" s="268" t="n"/>
      <c r="AM178" s="268" t="n"/>
      <c r="AN178" s="268" t="n"/>
      <c r="AO178" s="268" t="n"/>
      <c r="AP178" s="268" t="n"/>
      <c r="AQ178" s="268" t="n"/>
      <c r="AR178" s="268" t="n"/>
      <c r="AS178" s="268" t="n"/>
      <c r="AT178" s="268" t="n"/>
      <c r="AU178" s="268" t="n"/>
      <c r="AV178" s="268" t="n"/>
      <c r="AW178" s="268" t="n"/>
      <c r="AX178" s="268" t="n"/>
      <c r="AY178" s="268" t="n"/>
      <c r="AZ178" s="268" t="n"/>
      <c r="BA178" s="268" t="n"/>
      <c r="BB178" s="268" t="n"/>
      <c r="BC178" s="268" t="n"/>
      <c r="BD178" s="268" t="n"/>
      <c r="BE178" s="268" t="n"/>
      <c r="BF178" s="268" t="n"/>
      <c r="BG178" s="268" t="n"/>
      <c r="BH178" s="268" t="n"/>
      <c r="BI178" s="268" t="n"/>
      <c r="BJ178" s="268" t="n"/>
      <c r="BK178" s="268" t="n"/>
      <c r="BL178" s="268" t="n"/>
      <c r="BM178" s="268" t="n"/>
      <c r="BN178" s="268" t="n"/>
      <c r="BO178" s="268" t="n"/>
      <c r="BP178" s="268" t="n"/>
      <c r="BQ178" s="268" t="n"/>
      <c r="BR178" s="268" t="n"/>
      <c r="BS178" s="268" t="n"/>
      <c r="BT178" s="268" t="n"/>
      <c r="BU178" s="268" t="n"/>
      <c r="BV178" s="268" t="n"/>
      <c r="BW178" s="268" t="n"/>
      <c r="BX178" s="268" t="n"/>
      <c r="BY178" s="268" t="n"/>
      <c r="BZ178" s="268" t="n"/>
      <c r="CA178" s="268" t="n"/>
      <c r="CB178" s="268" t="n"/>
      <c r="CC178" s="268" t="n"/>
      <c r="CD178" s="268" t="n"/>
      <c r="CE178" s="268" t="n"/>
      <c r="CF178" s="268" t="n"/>
      <c r="CG178" s="268" t="n"/>
      <c r="CH178" s="268" t="n"/>
      <c r="CI178" s="268" t="n"/>
      <c r="CJ178" s="268" t="n"/>
      <c r="CK178" s="268" t="n"/>
      <c r="CL178" s="268" t="n"/>
      <c r="CM178" s="268" t="n"/>
      <c r="CN178" s="268" t="n"/>
      <c r="CO178" s="268" t="n"/>
      <c r="CP178" s="268" t="n"/>
      <c r="CQ178" s="268" t="n"/>
      <c r="CR178" s="268" t="n"/>
      <c r="CS178" s="268" t="n"/>
      <c r="CT178" s="268" t="n"/>
      <c r="CU178" s="268" t="n"/>
      <c r="CV178" s="268" t="n"/>
      <c r="CW178" s="268" t="n"/>
      <c r="CX178" s="268" t="n"/>
      <c r="CY178" s="268" t="n"/>
    </row>
    <row r="179" hidden="1" outlineLevel="1" ht="12.75" customHeight="1" s="255">
      <c r="C179" s="315" t="inlineStr">
        <is>
          <t xml:space="preserve">Imposto de Renda e Contribuição Social Diferidos </t>
        </is>
      </c>
      <c r="D179" s="267" t="n"/>
      <c r="E179" s="267" t="n"/>
      <c r="F179" s="267" t="n"/>
      <c r="G179" s="267" t="n"/>
      <c r="H179" s="268" t="n"/>
      <c r="I179" s="267" t="n"/>
      <c r="J179" s="267" t="n"/>
      <c r="K179" s="267" t="n"/>
      <c r="L179" s="267" t="n"/>
      <c r="M179" s="268" t="n"/>
      <c r="N179" s="267" t="n"/>
      <c r="O179" s="267" t="n"/>
      <c r="P179" s="267" t="n"/>
      <c r="Q179" s="267" t="n"/>
      <c r="R179" s="268" t="n"/>
      <c r="S179" s="267" t="n"/>
      <c r="T179" s="267" t="n"/>
      <c r="U179" s="267" t="n"/>
      <c r="V179" s="267" t="n"/>
      <c r="W179" s="268" t="n"/>
      <c r="X179" s="267" t="n"/>
      <c r="Y179" s="267" t="n"/>
      <c r="Z179" s="267" t="n"/>
      <c r="AA179" s="267" t="n"/>
      <c r="AB179" s="268" t="n"/>
      <c r="AC179" s="267" t="n"/>
      <c r="AD179" s="267" t="n"/>
      <c r="AE179" s="267" t="n"/>
      <c r="AF179" s="267" t="n"/>
      <c r="AG179" s="268" t="n"/>
      <c r="AH179" s="268" t="n"/>
      <c r="AI179" s="268" t="n"/>
      <c r="AJ179" s="268" t="n"/>
      <c r="AK179" s="268" t="n"/>
      <c r="AL179" s="268" t="n"/>
      <c r="AM179" s="268" t="n"/>
      <c r="AN179" s="268" t="n"/>
      <c r="AO179" s="268" t="n"/>
      <c r="AP179" s="268" t="n"/>
      <c r="AQ179" s="268" t="n"/>
      <c r="AR179" s="268" t="n"/>
      <c r="AS179" s="268" t="n"/>
      <c r="AT179" s="268" t="n"/>
      <c r="AU179" s="268" t="n"/>
      <c r="AV179" s="268" t="n"/>
      <c r="AW179" s="268" t="n"/>
      <c r="AX179" s="268" t="n"/>
      <c r="AY179" s="268" t="n"/>
      <c r="AZ179" s="268" t="n"/>
      <c r="BA179" s="268" t="n"/>
      <c r="BB179" s="268" t="n"/>
      <c r="BC179" s="268" t="n"/>
      <c r="BD179" s="268" t="n"/>
      <c r="BE179" s="268" t="n"/>
      <c r="BF179" s="268" t="n"/>
      <c r="BG179" s="268" t="n"/>
      <c r="BH179" s="268" t="n"/>
      <c r="BI179" s="268" t="n"/>
      <c r="BJ179" s="268" t="n"/>
      <c r="BK179" s="268" t="n"/>
      <c r="BL179" s="268" t="n"/>
      <c r="BM179" s="268" t="n"/>
      <c r="BN179" s="268" t="n"/>
      <c r="BO179" s="268" t="n"/>
      <c r="BP179" s="268" t="n"/>
      <c r="BQ179" s="268" t="n"/>
      <c r="BR179" s="268" t="n"/>
      <c r="BS179" s="268" t="n"/>
      <c r="BT179" s="268" t="n"/>
      <c r="BU179" s="268" t="n"/>
      <c r="BV179" s="268" t="n"/>
      <c r="BW179" s="268" t="n"/>
      <c r="BX179" s="268" t="n"/>
      <c r="BY179" s="268" t="n"/>
      <c r="BZ179" s="268" t="n"/>
      <c r="CA179" s="268" t="n"/>
      <c r="CB179" s="268" t="n"/>
      <c r="CC179" s="268" t="n"/>
      <c r="CD179" s="268" t="n"/>
      <c r="CE179" s="268" t="n"/>
      <c r="CF179" s="268" t="n"/>
      <c r="CG179" s="268" t="n"/>
      <c r="CH179" s="268" t="n"/>
      <c r="CI179" s="268" t="n"/>
      <c r="CJ179" s="268" t="n"/>
      <c r="CK179" s="268" t="n"/>
      <c r="CL179" s="268" t="n"/>
      <c r="CM179" s="268" t="n"/>
      <c r="CN179" s="268" t="n"/>
      <c r="CO179" s="268" t="n"/>
      <c r="CP179" s="268" t="n"/>
      <c r="CQ179" s="268" t="n"/>
      <c r="CR179" s="268" t="n"/>
      <c r="CS179" s="268" t="n"/>
      <c r="CT179" s="268" t="n"/>
      <c r="CU179" s="268" t="n"/>
      <c r="CV179" s="268" t="n"/>
      <c r="CW179" s="268" t="n"/>
      <c r="CX179" s="268" t="n"/>
      <c r="CY179" s="268" t="n"/>
    </row>
    <row r="180" hidden="1" outlineLevel="1" ht="12.75" customHeight="1" s="255">
      <c r="C180" s="315" t="n"/>
      <c r="D180" s="268" t="n"/>
      <c r="E180" s="268" t="n"/>
      <c r="F180" s="268" t="n"/>
      <c r="G180" s="268" t="n"/>
      <c r="H180" s="268" t="n"/>
      <c r="I180" s="268" t="n"/>
      <c r="J180" s="268" t="n"/>
      <c r="K180" s="268" t="n"/>
      <c r="L180" s="268" t="n"/>
      <c r="M180" s="268" t="n"/>
      <c r="N180" s="268" t="n"/>
      <c r="O180" s="268" t="n"/>
      <c r="P180" s="268" t="n"/>
      <c r="Q180" s="268" t="n"/>
      <c r="R180" s="268" t="n"/>
      <c r="S180" s="268" t="n"/>
      <c r="T180" s="268" t="n"/>
      <c r="U180" s="268" t="n"/>
      <c r="V180" s="268" t="n"/>
      <c r="W180" s="268" t="n"/>
      <c r="X180" s="268" t="n"/>
      <c r="Y180" s="268" t="n"/>
      <c r="Z180" s="268" t="n"/>
      <c r="AA180" s="268" t="n"/>
      <c r="AB180" s="268" t="n"/>
      <c r="AC180" s="268" t="n"/>
      <c r="AD180" s="268" t="n"/>
      <c r="AE180" s="268" t="n"/>
      <c r="AF180" s="268" t="n"/>
      <c r="AG180" s="268" t="n"/>
      <c r="AH180" s="268" t="n"/>
      <c r="AI180" s="268" t="n"/>
      <c r="AJ180" s="268" t="n"/>
      <c r="AK180" s="268" t="n"/>
      <c r="AL180" s="268" t="n"/>
      <c r="AM180" s="268" t="n"/>
      <c r="AN180" s="268" t="n"/>
      <c r="AO180" s="268" t="n"/>
      <c r="AP180" s="268" t="n"/>
      <c r="AQ180" s="268" t="n"/>
      <c r="AR180" s="268" t="n"/>
      <c r="AS180" s="268" t="n"/>
      <c r="AT180" s="268" t="n"/>
      <c r="AU180" s="268" t="n"/>
      <c r="AV180" s="268" t="n"/>
      <c r="AW180" s="268" t="n"/>
      <c r="AX180" s="268" t="n"/>
      <c r="AY180" s="268" t="n"/>
      <c r="AZ180" s="268" t="n"/>
      <c r="BA180" s="268" t="n"/>
      <c r="BB180" s="268" t="n"/>
      <c r="BC180" s="268" t="n"/>
      <c r="BD180" s="268" t="n"/>
      <c r="BE180" s="268" t="n"/>
      <c r="BF180" s="268" t="n"/>
      <c r="BG180" s="268" t="n"/>
      <c r="BH180" s="268" t="n"/>
      <c r="BI180" s="268" t="n"/>
      <c r="BJ180" s="268" t="n"/>
      <c r="BK180" s="268" t="n"/>
      <c r="BL180" s="268" t="n"/>
      <c r="BM180" s="268" t="n"/>
      <c r="BN180" s="268" t="n"/>
      <c r="BO180" s="268" t="n"/>
      <c r="BP180" s="268" t="n"/>
      <c r="BQ180" s="268" t="n"/>
      <c r="BR180" s="268" t="n"/>
      <c r="BS180" s="268" t="n"/>
      <c r="BT180" s="268" t="n"/>
      <c r="BU180" s="268" t="n"/>
      <c r="BV180" s="268" t="n"/>
      <c r="BW180" s="268" t="n"/>
      <c r="BX180" s="268" t="n"/>
      <c r="BY180" s="268" t="n"/>
      <c r="BZ180" s="268" t="n"/>
      <c r="CA180" s="268" t="n"/>
      <c r="CB180" s="268" t="n"/>
      <c r="CC180" s="268" t="n"/>
      <c r="CD180" s="268" t="n"/>
      <c r="CE180" s="268" t="n"/>
      <c r="CF180" s="268" t="n"/>
      <c r="CG180" s="268" t="n"/>
      <c r="CH180" s="268" t="n"/>
      <c r="CI180" s="268" t="n"/>
      <c r="CJ180" s="268" t="n"/>
      <c r="CK180" s="268" t="n"/>
      <c r="CL180" s="268" t="n"/>
      <c r="CM180" s="268" t="n"/>
      <c r="CN180" s="268" t="n"/>
      <c r="CO180" s="268" t="n"/>
      <c r="CP180" s="268" t="n"/>
      <c r="CQ180" s="268" t="n"/>
      <c r="CR180" s="268" t="n"/>
      <c r="CS180" s="268" t="n"/>
      <c r="CT180" s="268" t="n"/>
      <c r="CU180" s="268" t="n"/>
      <c r="CV180" s="268" t="n"/>
      <c r="CW180" s="268" t="n"/>
      <c r="CX180" s="268" t="n"/>
      <c r="CY180" s="268" t="n"/>
    </row>
    <row r="181" hidden="1" outlineLevel="1" ht="12.75" customHeight="1" s="255">
      <c r="C181" s="312" t="n"/>
      <c r="D181" s="268" t="n"/>
      <c r="E181" s="268" t="n"/>
      <c r="F181" s="268" t="n"/>
      <c r="G181" s="268" t="n"/>
      <c r="H181" s="268" t="n"/>
      <c r="I181" s="268" t="n"/>
      <c r="J181" s="268" t="n"/>
      <c r="K181" s="268" t="n"/>
      <c r="L181" s="268" t="n"/>
      <c r="M181" s="268" t="n"/>
      <c r="N181" s="268" t="n"/>
      <c r="O181" s="268" t="n"/>
      <c r="P181" s="268" t="n"/>
      <c r="Q181" s="268" t="n"/>
      <c r="R181" s="268" t="n"/>
      <c r="S181" s="268" t="n"/>
      <c r="T181" s="268" t="n"/>
      <c r="U181" s="268" t="n"/>
      <c r="V181" s="268" t="n"/>
      <c r="W181" s="268" t="n"/>
      <c r="X181" s="268" t="n"/>
      <c r="Y181" s="268" t="n"/>
      <c r="Z181" s="268" t="n"/>
      <c r="AA181" s="268" t="n"/>
      <c r="AB181" s="268" t="n"/>
      <c r="AC181" s="268" t="n"/>
      <c r="AD181" s="268" t="n"/>
      <c r="AE181" s="268" t="n"/>
      <c r="AF181" s="268" t="n"/>
      <c r="AG181" s="268" t="n"/>
      <c r="AH181" s="268" t="n"/>
      <c r="AI181" s="268" t="n"/>
      <c r="AJ181" s="268" t="n"/>
      <c r="AK181" s="268" t="n"/>
      <c r="AL181" s="268" t="n"/>
      <c r="AM181" s="268" t="n"/>
      <c r="AN181" s="268" t="n"/>
      <c r="AO181" s="268" t="n"/>
      <c r="AP181" s="268" t="n"/>
      <c r="AQ181" s="268" t="n"/>
      <c r="AR181" s="268" t="n"/>
      <c r="AS181" s="268" t="n"/>
      <c r="AT181" s="268" t="n"/>
      <c r="AU181" s="268" t="n"/>
      <c r="AV181" s="268" t="n"/>
      <c r="AW181" s="268" t="n"/>
      <c r="AX181" s="268" t="n"/>
      <c r="AY181" s="268" t="n"/>
      <c r="AZ181" s="268" t="n"/>
      <c r="BA181" s="268" t="n"/>
      <c r="BB181" s="268" t="n"/>
      <c r="BC181" s="268" t="n"/>
      <c r="BD181" s="268" t="n"/>
      <c r="BE181" s="268" t="n"/>
      <c r="BF181" s="268" t="n"/>
      <c r="BG181" s="268" t="n"/>
      <c r="BH181" s="268" t="n"/>
      <c r="BI181" s="268" t="n"/>
      <c r="BJ181" s="268" t="n"/>
      <c r="BK181" s="268" t="n"/>
      <c r="BL181" s="268" t="n"/>
      <c r="BM181" s="268" t="n"/>
      <c r="BN181" s="268" t="n"/>
      <c r="BO181" s="268" t="n"/>
      <c r="BP181" s="268" t="n"/>
      <c r="BQ181" s="268" t="n"/>
      <c r="BR181" s="268" t="n"/>
      <c r="BS181" s="268" t="n"/>
      <c r="BT181" s="268" t="n"/>
      <c r="BU181" s="268" t="n"/>
      <c r="BV181" s="268" t="n"/>
      <c r="BW181" s="268" t="n"/>
      <c r="BX181" s="268" t="n"/>
      <c r="BY181" s="268" t="n"/>
      <c r="BZ181" s="268" t="n"/>
      <c r="CA181" s="268" t="n"/>
      <c r="CB181" s="268" t="n"/>
      <c r="CC181" s="268" t="n"/>
      <c r="CD181" s="268" t="n"/>
      <c r="CE181" s="268" t="n"/>
      <c r="CF181" s="268" t="n"/>
      <c r="CG181" s="268" t="n"/>
      <c r="CH181" s="268" t="n"/>
      <c r="CI181" s="268" t="n"/>
      <c r="CJ181" s="268" t="n"/>
      <c r="CK181" s="268" t="n"/>
      <c r="CL181" s="268" t="n"/>
      <c r="CM181" s="268" t="n"/>
      <c r="CN181" s="268" t="n"/>
      <c r="CO181" s="268" t="n"/>
      <c r="CP181" s="268" t="n"/>
      <c r="CQ181" s="268" t="n"/>
      <c r="CR181" s="268" t="n"/>
      <c r="CS181" s="268" t="n"/>
      <c r="CT181" s="268" t="n"/>
      <c r="CU181" s="268" t="n"/>
      <c r="CV181" s="268" t="n"/>
      <c r="CW181" s="268" t="n"/>
      <c r="CX181" s="268" t="n"/>
      <c r="CY181" s="268" t="n"/>
    </row>
    <row r="182" ht="12.75" customFormat="1" customHeight="1" s="287">
      <c r="A182" s="288" t="n"/>
      <c r="B182" s="259" t="n"/>
      <c r="C182" s="275" t="inlineStr">
        <is>
          <t>Total Assets</t>
        </is>
      </c>
      <c r="D182" s="276">
        <f>(D129+D130+D134+D138+D139+D140+D146+D151+D161+D164+D165+D174)</f>
        <v>48782</v>
      </c>
      <c r="E182" s="276">
        <f>(E129+E130+E134+E138+E139+E140+E146+E151+E161+E164+E165+E174)</f>
        <v>51732</v>
      </c>
      <c r="F182" s="276">
        <f>(F129+F130+F134+F138+F139+F140+F146+F151+F161+F164+F165+F174)</f>
        <v>55556</v>
      </c>
      <c r="G182" s="276">
        <f>(G129+G130+G134+G138+G139+G140+G146+G151+G161+G164+G165+G174)</f>
        <v>60217</v>
      </c>
      <c r="H182" s="276">
        <f>SUM(H129,H130,H134,H138,H139,H140,H146,H161,H164,H165,H174,H151)</f>
        <v>60217</v>
      </c>
      <c r="I182" s="276">
        <f>(I129+I130+I134+I138+I139+I140+I146+I151+I161+I164+I165+I174)</f>
        <v>54918</v>
      </c>
      <c r="J182" s="276">
        <f>(J129+J130+J134+J138+J139+J140+J146+J151+J161+J164+J165+J174)</f>
        <v>57274</v>
      </c>
      <c r="K182" s="276">
        <f>(K129+K130+K134+K138+K139+K140+K146+K151+K161+K164+K165+K174)</f>
        <v>59268</v>
      </c>
      <c r="L182" s="276">
        <f>(L129+L130+L134+L138+L139+L140+L146+L151+L161+L164+L165+L174)</f>
        <v>64149</v>
      </c>
      <c r="M182" s="276">
        <f>SUM(M129,M130,M134,M138,M139,M140,M146,M161,M164,M165,M174,M151)</f>
        <v>64149</v>
      </c>
      <c r="N182" s="276">
        <f>(N129+N130+N134+N138+N139+N140+N146+N151+N161+N164+N165+N174)</f>
        <v>63078</v>
      </c>
      <c r="O182" s="276">
        <f>(O129+O130+O134+O138+O139+O140+O146+O151+O161+O164+O165+O174)</f>
        <v>63852</v>
      </c>
      <c r="P182" s="276">
        <f>(P129+P130+P134+P138+P139+P140+P146+P151+P161+P164+P165+P174)</f>
        <v>64166</v>
      </c>
      <c r="Q182" s="276">
        <f>(Q129+Q130+Q134+Q138+Q139+Q140+Q146+Q151+Q161+Q164+Q165+Q174)</f>
        <v>66027</v>
      </c>
      <c r="R182" s="276">
        <f>SUM(R129,R130,R134,R138,R139,R140,R146,R161,R164,R165,R174,R151)</f>
        <v>66027</v>
      </c>
      <c r="S182" s="276">
        <f>(S129+S130+S134+S138+S139+S140+S146+S151+S161+S164+S165+S174)</f>
        <v>66848</v>
      </c>
      <c r="T182" s="276">
        <f>(T129+T130+T134+T138+T139+T140+T146+T151+T161+T164+T165+T174)</f>
        <v>66752</v>
      </c>
      <c r="U182" s="276">
        <f>(U129+U130+U134+U138+U139+U140+U146+U151+U161+U164+U165+U174)</f>
        <v>68994</v>
      </c>
      <c r="V182" s="276">
        <f>(V129+V130+V134+V138+V139+V140+V146+V151+V161+V164+V165+V174)</f>
        <v>73723</v>
      </c>
      <c r="W182" s="276">
        <f>SUM(W129,W130,W134,W138,W139,W140,W146,W161,W164,W165,W174,W151)</f>
        <v>73723</v>
      </c>
      <c r="X182" s="276">
        <f>(X129+X130+X134+X138+X139+X140+X146+X151+X161+X164+X165+X174)</f>
        <v>66323</v>
      </c>
      <c r="Y182" s="276">
        <f>(Y129+Y130+Y134+Y138+Y139+Y140+Y146+Y151+Y161+Y164+Y165+Y174)</f>
        <v>67911</v>
      </c>
      <c r="Z182" s="276">
        <f>(Z129+Z130+Z134+Z138+Z139+Z140+Z146+Z151+Z161+Z164+Z165+Z174)</f>
        <v>69831</v>
      </c>
      <c r="AA182" s="276">
        <f>(AA129+AA130+AA134+AA138+AA139+AA140+AA146+AA151+AA161+AA164+AA165+AA174)</f>
        <v>73386</v>
      </c>
      <c r="AB182" s="276">
        <f>SUM(AB129,AB130,AB134,AB138,AB139,AB140,AB146,AB161,AB164,AB165,AB174,AB151)</f>
        <v>73386</v>
      </c>
      <c r="AC182" s="276">
        <f>(AC129+AC130+AC134+AC138+AC139+AC140+AC146+AC151+AC161+AC164+AC165+AC174)</f>
        <v>73224</v>
      </c>
      <c r="AD182" s="276">
        <f>(AD129+AD130+AD134+AD138+AD139+AD140+AD146+AD151+AD161+AD164+AD165+AD174)</f>
        <v>75482</v>
      </c>
      <c r="AE182" s="276">
        <f>(AE129+AE130+AE134+AE138+AE139+AE140+AE146+AE151+AE161+AE164+AE165+AE174)</f>
        <v>77099</v>
      </c>
      <c r="AF182" s="276">
        <f>(AF129+AF130+AF134+AF138+AF139+AF140+AF146+AF151+AF161+AF164+AF165+AF174)</f>
        <v>82790</v>
      </c>
      <c r="AG182" s="276">
        <f>SUM(AG129,AG130,AG134,AG138,AG139,AG140,AG146,AG161,AG164,AG165,AG174,AG151)</f>
        <v>82790</v>
      </c>
      <c r="AH182" s="276">
        <f>(AH129+AH130+AH134+AH138+AH139+AH140+AH146+AH151+AH161+AH164+AH165+AH174)</f>
        <v>83639</v>
      </c>
      <c r="AI182" s="276">
        <f>(AI129+AI130+AI134+AI138+AI139+AI140+AI146+AI151+AI161+AI164+AI165+AI174)</f>
        <v>86430</v>
      </c>
      <c r="AJ182" s="276">
        <f>(AJ129+AJ130+AJ134+AJ138+AJ139+AJ140+AJ146+AJ151+AJ161+AJ164+AJ165+AJ174)</f>
        <v>56049</v>
      </c>
      <c r="AK182" s="276">
        <f>(AK129+AK130+AK134+AK138+AK139+AK140+AK146+AK151+AK161+AK164+AK165+AK174)</f>
        <v>56204</v>
      </c>
      <c r="AL182" s="276">
        <f>SUM(AL129,AL130,AL134,AL138,AL139,AL140,AL146,AL161,AL164,AL165,AL174,AL151)</f>
        <v>56204</v>
      </c>
      <c r="AM182" s="276" t="e">
        <f>(AM129+AM130+AM134+AM138+AM139+AM140+AM146+AM151+AM161+AM164+AM165+AM174)</f>
        <v>#DIV/0!</v>
      </c>
      <c r="AN182" s="276" t="e">
        <f>(AN129+AN130+AN134+AN138+AN139+AN140+AN146+AN151+AN161+AN164+AN165+AN174)</f>
        <v>#DIV/0!</v>
      </c>
      <c r="AO182" s="276" t="e">
        <f>(AO129+AO130+AO134+AO138+AO139+AO140+AO146+AO151+AO161+AO164+AO165+AO174)</f>
        <v>#DIV/0!</v>
      </c>
      <c r="AP182" s="276" t="e">
        <f>(AP129+AP130+AP134+AP138+AP139+AP140+AP146+AP151+AP161+AP164+AP165+AP174)</f>
        <v>#DIV/0!</v>
      </c>
      <c r="AQ182" s="276" t="e">
        <f>SUM(AQ129,AQ130,AQ134,AQ138,AQ139,AQ140,AQ146,AQ161,AQ164,AQ165,AQ174,AQ151)</f>
        <v>#DIV/0!</v>
      </c>
      <c r="AR182" s="276" t="e">
        <f>(AR129+AR130+AR134+AR138+AR139+AR140+AR146+AR151+AR161+AR164+AR165+AR174)</f>
        <v>#DIV/0!</v>
      </c>
      <c r="AS182" s="276" t="e">
        <f>(AS129+AS130+AS134+AS138+AS139+AS140+AS146+AS151+AS161+AS164+AS165+AS174)</f>
        <v>#DIV/0!</v>
      </c>
      <c r="AT182" s="276" t="e">
        <f>(AT129+AT130+AT134+AT138+AT139+AT140+AT146+AT151+AT161+AT164+AT165+AT174)</f>
        <v>#DIV/0!</v>
      </c>
      <c r="AU182" s="276" t="e">
        <f>(AU129+AU130+AU134+AU138+AU139+AU140+AU146+AU151+AU161+AU164+AU165+AU174)</f>
        <v>#DIV/0!</v>
      </c>
      <c r="AV182" s="276" t="e">
        <f>SUM(AV129,AV130,AV134,AV138,AV139,AV140,AV146,AV161,AV164,AV165,AV174,AV151)</f>
        <v>#DIV/0!</v>
      </c>
      <c r="AW182" s="276" t="e">
        <f>(AW129+AW130+AW134+AW138+AW139+AW140+AW146+AW151+AW161+AW164+AW165+AW174)</f>
        <v>#DIV/0!</v>
      </c>
      <c r="AX182" s="276" t="e">
        <f>(AX129+AX130+AX134+AX138+AX139+AX140+AX146+AX151+AX161+AX164+AX165+AX174)</f>
        <v>#DIV/0!</v>
      </c>
      <c r="AY182" s="276" t="e">
        <f>(AY129+AY130+AY134+AY138+AY139+AY140+AY146+AY151+AY161+AY164+AY165+AY174)</f>
        <v>#DIV/0!</v>
      </c>
      <c r="AZ182" s="276" t="e">
        <f>(AZ129+AZ130+AZ134+AZ138+AZ139+AZ140+AZ146+AZ151+AZ161+AZ164+AZ165+AZ174)</f>
        <v>#DIV/0!</v>
      </c>
      <c r="BA182" s="276" t="e">
        <f>SUM(BA129,BA130,BA134,BA138,BA139,BA140,BA146,BA161,BA164,BA165,BA174,BA151)</f>
        <v>#DIV/0!</v>
      </c>
      <c r="BB182" s="276" t="e">
        <f>(BB129+BB130+BB134+BB138+BB139+BB140+BB146+BB151+BB161+BB164+BB165+BB174)</f>
        <v>#DIV/0!</v>
      </c>
      <c r="BC182" s="276" t="e">
        <f>(BC129+BC130+BC134+BC138+BC139+BC140+BC146+BC151+BC161+BC164+BC165+BC174)</f>
        <v>#DIV/0!</v>
      </c>
      <c r="BD182" s="276" t="e">
        <f>(BD129+BD130+BD134+BD138+BD139+BD140+BD146+BD151+BD161+BD164+BD165+BD174)</f>
        <v>#DIV/0!</v>
      </c>
      <c r="BE182" s="276" t="e">
        <f>(BE129+BE130+BE134+BE138+BE139+BE140+BE146+BE151+BE161+BE164+BE165+BE174)</f>
        <v>#DIV/0!</v>
      </c>
      <c r="BF182" s="276" t="e">
        <f>SUM(BF129,BF130,BF134,BF138,BF139,BF140,BF146,BF161,BF164,BF165,BF174,BF151)</f>
        <v>#DIV/0!</v>
      </c>
      <c r="BG182" s="276" t="e">
        <f>(BG129+BG130+BG134+BG138+BG139+BG140+BG146+BG151+BG161+BG164+BG165+BG174)</f>
        <v>#DIV/0!</v>
      </c>
      <c r="BH182" s="276" t="e">
        <f>(BH129+BH130+BH134+BH138+BH139+BH140+BH146+BH151+BH161+BH164+BH165+BH174)</f>
        <v>#DIV/0!</v>
      </c>
      <c r="BI182" s="276" t="e">
        <f>(BI129+BI130+BI134+BI138+BI139+BI140+BI146+BI151+BI161+BI164+BI165+BI174)</f>
        <v>#DIV/0!</v>
      </c>
      <c r="BJ182" s="276" t="e">
        <f>(BJ129+BJ130+BJ134+BJ138+BJ139+BJ140+BJ146+BJ151+BJ161+BJ164+BJ165+BJ174)</f>
        <v>#DIV/0!</v>
      </c>
      <c r="BK182" s="276" t="e">
        <f>SUM(BK129,BK130,BK134,BK138,BK139,BK140,BK146,BK161,BK164,BK165,BK174,BK151)</f>
        <v>#DIV/0!</v>
      </c>
      <c r="BL182" s="276" t="e">
        <f>(BL129+BL130+BL134+BL138+BL139+BL140+BL146+BL151+BL161+BL164+BL165+BL174)</f>
        <v>#DIV/0!</v>
      </c>
      <c r="BM182" s="276" t="e">
        <f>(BM129+BM130+BM134+BM138+BM139+BM140+BM146+BM151+BM161+BM164+BM165+BM174)</f>
        <v>#DIV/0!</v>
      </c>
      <c r="BN182" s="276" t="e">
        <f>(BN129+BN130+BN134+BN138+BN139+BN140+BN146+BN151+BN161+BN164+BN165+BN174)</f>
        <v>#DIV/0!</v>
      </c>
      <c r="BO182" s="276" t="e">
        <f>(BO129+BO130+BO134+BO138+BO139+BO140+BO146+BO151+BO161+BO164+BO165+BO174)</f>
        <v>#DIV/0!</v>
      </c>
      <c r="BP182" s="276" t="e">
        <f>SUM(BP129,BP130,BP134,BP138,BP139,BP140,BP146,BP161,BP164,BP165,BP174,BP151)</f>
        <v>#DIV/0!</v>
      </c>
      <c r="BQ182" s="276" t="e">
        <f>(BQ129+BQ130+BQ134+BQ138+BQ139+BQ140+BQ146+BQ151+BQ161+BQ164+BQ165+BQ174)</f>
        <v>#DIV/0!</v>
      </c>
      <c r="BR182" s="276" t="e">
        <f>(BR129+BR130+BR134+BR138+BR139+BR140+BR146+BR151+BR161+BR164+BR165+BR174)</f>
        <v>#DIV/0!</v>
      </c>
      <c r="BS182" s="276" t="e">
        <f>(BS129+BS130+BS134+BS138+BS139+BS140+BS146+BS151+BS161+BS164+BS165+BS174)</f>
        <v>#DIV/0!</v>
      </c>
      <c r="BT182" s="276" t="e">
        <f>(BT129+BT130+BT134+BT138+BT139+BT140+BT146+BT151+BT161+BT164+BT165+BT174)</f>
        <v>#DIV/0!</v>
      </c>
      <c r="BU182" s="276" t="e">
        <f>SUM(BU129,BU130,BU134,BU138,BU139,BU140,BU146,BU161,BU164,BU165,BU174,BU151)</f>
        <v>#DIV/0!</v>
      </c>
      <c r="BV182" s="276" t="e">
        <f>(BV129+BV130+BV134+BV138+BV139+BV140+BV146+BV151+BV161+BV164+BV165+BV174)</f>
        <v>#DIV/0!</v>
      </c>
      <c r="BW182" s="276" t="e">
        <f>(BW129+BW130+BW134+BW138+BW139+BW140+BW146+BW151+BW161+BW164+BW165+BW174)</f>
        <v>#DIV/0!</v>
      </c>
      <c r="BX182" s="276" t="e">
        <f>(BX129+BX130+BX134+BX138+BX139+BX140+BX146+BX151+BX161+BX164+BX165+BX174)</f>
        <v>#DIV/0!</v>
      </c>
      <c r="BY182" s="276" t="e">
        <f>(BY129+BY130+BY134+BY138+BY139+BY140+BY146+BY151+BY161+BY164+BY165+BY174)</f>
        <v>#DIV/0!</v>
      </c>
      <c r="BZ182" s="276" t="e">
        <f>SUM(BZ129,BZ130,BZ134,BZ138,BZ139,BZ140,BZ146,BZ161,BZ164,BZ165,BZ174,BZ151)</f>
        <v>#DIV/0!</v>
      </c>
      <c r="CA182" s="276" t="e">
        <f>(CA129+CA130+CA134+CA138+CA139+CA140+CA146+CA151+CA161+CA164+CA165+CA174)</f>
        <v>#DIV/0!</v>
      </c>
      <c r="CB182" s="276" t="e">
        <f>(CB129+CB130+CB134+CB138+CB139+CB140+CB146+CB151+CB161+CB164+CB165+CB174)</f>
        <v>#DIV/0!</v>
      </c>
      <c r="CC182" s="276" t="e">
        <f>(CC129+CC130+CC134+CC138+CC139+CC140+CC146+CC151+CC161+CC164+CC165+CC174)</f>
        <v>#DIV/0!</v>
      </c>
      <c r="CD182" s="276" t="e">
        <f>(CD129+CD130+CD134+CD138+CD139+CD140+CD146+CD151+CD161+CD164+CD165+CD174)</f>
        <v>#DIV/0!</v>
      </c>
      <c r="CE182" s="276" t="e">
        <f>SUM(CE129,CE130,CE134,CE138,CE139,CE140,CE146,CE161,CE164,CE165,CE174,CE151)</f>
        <v>#DIV/0!</v>
      </c>
      <c r="CF182" s="276" t="e">
        <f>(CF129+CF130+CF134+CF138+CF139+CF140+CF146+CF151+CF161+CF164+CF165+CF174)</f>
        <v>#DIV/0!</v>
      </c>
      <c r="CG182" s="276" t="e">
        <f>(CG129+CG130+CG134+CG138+CG139+CG140+CG146+CG151+CG161+CG164+CG165+CG174)</f>
        <v>#DIV/0!</v>
      </c>
      <c r="CH182" s="276" t="e">
        <f>(CH129+CH130+CH134+CH138+CH139+CH140+CH146+CH151+CH161+CH164+CH165+CH174)</f>
        <v>#DIV/0!</v>
      </c>
      <c r="CI182" s="276" t="e">
        <f>(CI129+CI130+CI134+CI138+CI139+CI140+CI146+CI151+CI161+CI164+CI165+CI174)</f>
        <v>#DIV/0!</v>
      </c>
      <c r="CJ182" s="276" t="e">
        <f>SUM(CJ129,CJ130,CJ134,CJ138,CJ139,CJ140,CJ146,CJ161,CJ164,CJ165,CJ174,CJ151)</f>
        <v>#DIV/0!</v>
      </c>
      <c r="CK182" s="276" t="e">
        <f>(CK129+CK130+CK134+CK138+CK139+CK140+CK146+CK151+CK161+CK164+CK165+CK174)</f>
        <v>#DIV/0!</v>
      </c>
      <c r="CL182" s="276" t="e">
        <f>(CL129+CL130+CL134+CL138+CL139+CL140+CL146+CL151+CL161+CL164+CL165+CL174)</f>
        <v>#DIV/0!</v>
      </c>
      <c r="CM182" s="276" t="e">
        <f>(CM129+CM130+CM134+CM138+CM139+CM140+CM146+CM151+CM161+CM164+CM165+CM174)</f>
        <v>#DIV/0!</v>
      </c>
      <c r="CN182" s="276" t="e">
        <f>(CN129+CN130+CN134+CN138+CN139+CN140+CN146+CN151+CN161+CN164+CN165+CN174)</f>
        <v>#DIV/0!</v>
      </c>
      <c r="CO182" s="276" t="e">
        <f>SUM(CO129,CO130,CO134,CO138,CO139,CO140,CO146,CO161,CO164,CO165,CO174,CO151)</f>
        <v>#DIV/0!</v>
      </c>
      <c r="CP182" s="276" t="e">
        <f>(CP129+CP130+CP134+CP138+CP139+CP140+CP146+CP151+CP161+CP164+CP165+CP174)</f>
        <v>#DIV/0!</v>
      </c>
      <c r="CQ182" s="276" t="e">
        <f>(CQ129+CQ130+CQ134+CQ138+CQ139+CQ140+CQ146+CQ151+CQ161+CQ164+CQ165+CQ174)</f>
        <v>#DIV/0!</v>
      </c>
      <c r="CR182" s="276" t="e">
        <f>(CR129+CR130+CR134+CR138+CR139+CR140+CR146+CR151+CR161+CR164+CR165+CR174)</f>
        <v>#DIV/0!</v>
      </c>
      <c r="CS182" s="276" t="e">
        <f>(CS129+CS130+CS134+CS138+CS139+CS140+CS146+CS151+CS161+CS164+CS165+CS174)</f>
        <v>#DIV/0!</v>
      </c>
      <c r="CT182" s="276" t="e">
        <f>SUM(CT129,CT130,CT134,CT138,CT139,CT140,CT146,CT161,CT164,CT165,CT174,CT151)</f>
        <v>#DIV/0!</v>
      </c>
      <c r="CU182" s="276" t="e">
        <f>(CU129+CU130+CU134+CU138+CU139+CU140+CU146+CU151+CU161+CU164+CU165+CU174)</f>
        <v>#DIV/0!</v>
      </c>
      <c r="CV182" s="276" t="e">
        <f>(CV129+CV130+CV134+CV138+CV139+CV140+CV146+CV151+CV161+CV164+CV165+CV174)</f>
        <v>#DIV/0!</v>
      </c>
      <c r="CW182" s="276" t="e">
        <f>(CW129+CW130+CW134+CW138+CW139+CW140+CW146+CW151+CW161+CW164+CW165+CW174)</f>
        <v>#DIV/0!</v>
      </c>
      <c r="CX182" s="276" t="e">
        <f>(CX129+CX130+CX134+CX138+CX139+CX140+CX146+CX151+CX161+CX164+CX165+CX174)</f>
        <v>#DIV/0!</v>
      </c>
      <c r="CY182" s="276" t="e">
        <f>SUM(CY129,CY130,CY134,CY138,CY139,CY140,CY146,CY161,CY164,CY165,CY174,CY151)</f>
        <v>#DIV/0!</v>
      </c>
    </row>
    <row r="183" ht="12.75" customHeight="1" s="255">
      <c r="C183" s="270" t="inlineStr">
        <is>
          <t>Accounts payable</t>
        </is>
      </c>
      <c r="D183" s="301">
        <f>INDEX('Inputs (2)'!$D$28:$AL$28,MATCH(D$7,'Inputs (2)'!$D$2:$AL$2,0))</f>
        <v>11072</v>
      </c>
      <c r="E183" s="301">
        <f>INDEX('Inputs (2)'!$D$28:$AL$28,MATCH(E$7,'Inputs (2)'!$D$2:$AL$2,0))</f>
        <v>10813</v>
      </c>
      <c r="F183" s="301">
        <f>INDEX('Inputs (2)'!$D$28:$AL$28,MATCH(F$7,'Inputs (2)'!$D$2:$AL$2,0))</f>
        <v>14172</v>
      </c>
      <c r="G183" s="301">
        <f>INDEX('Inputs (2)'!$D$28:$AL$28,MATCH(G$7,'Inputs (2)'!$D$2:$AL$2,0))</f>
        <v>17014</v>
      </c>
      <c r="H183" s="268">
        <f>G183</f>
        <v>17014</v>
      </c>
      <c r="I183" s="301">
        <f>INDEX('Inputs (2)'!$D$28:$AL$28,MATCH(I$7,'Inputs (2)'!$D$2:$AL$2,0))</f>
        <v>14383</v>
      </c>
      <c r="J183" s="301">
        <f>INDEX('Inputs (2)'!$D$28:$AL$28,MATCH(J$7,'Inputs (2)'!$D$2:$AL$2,0))</f>
        <v>15538</v>
      </c>
      <c r="K183" s="301">
        <f>INDEX('Inputs (2)'!$D$28:$AL$28,MATCH(K$7,'Inputs (2)'!$D$2:$AL$2,0))</f>
        <v>16278</v>
      </c>
      <c r="L183" s="301">
        <f>INDEX('Inputs (2)'!$D$28:$AL$28,MATCH(L$7,'Inputs (2)'!$D$2:$AL$2,0))</f>
        <v>19561</v>
      </c>
      <c r="M183" s="268">
        <f>L183</f>
        <v>19561</v>
      </c>
      <c r="N183" s="301">
        <f>INDEX('Inputs (2)'!$D$28:$AL$28,MATCH(N$7,'Inputs (2)'!$D$2:$AL$2,0))</f>
        <v>17089</v>
      </c>
      <c r="O183" s="301">
        <f>INDEX('Inputs (2)'!$D$28:$AL$28,MATCH(O$7,'Inputs (2)'!$D$2:$AL$2,0))</f>
        <v>17651</v>
      </c>
      <c r="P183" s="301">
        <f>INDEX('Inputs (2)'!$D$28:$AL$28,MATCH(P$7,'Inputs (2)'!$D$2:$AL$2,0))</f>
        <v>17848</v>
      </c>
      <c r="Q183" s="301">
        <f>INDEX('Inputs (2)'!$D$28:$AL$28,MATCH(Q$7,'Inputs (2)'!$D$2:$AL$2,0))</f>
        <v>18348</v>
      </c>
      <c r="R183" s="268">
        <f>Q183</f>
        <v>18348</v>
      </c>
      <c r="S183" s="301">
        <f>INDEX('Inputs (2)'!$D$28:$AL$28,MATCH(S$7,'Inputs (2)'!$D$2:$AL$2,0))</f>
        <v>16407</v>
      </c>
      <c r="T183" s="301">
        <f>INDEX('Inputs (2)'!$D$28:$AL$28,MATCH(T$7,'Inputs (2)'!$D$2:$AL$2,0))</f>
        <v>16853</v>
      </c>
      <c r="U183" s="301">
        <f>INDEX('Inputs (2)'!$D$28:$AL$28,MATCH(U$7,'Inputs (2)'!$D$2:$AL$2,0))</f>
        <v>17483</v>
      </c>
      <c r="V183" s="301">
        <f>INDEX('Inputs (2)'!$D$28:$AL$28,MATCH(V$7,'Inputs (2)'!$D$2:$AL$2,0))</f>
        <v>20357</v>
      </c>
      <c r="W183" s="268">
        <f>V183</f>
        <v>20357</v>
      </c>
      <c r="X183" s="301">
        <f>INDEX('Inputs (2)'!$D$28:$AL$28,MATCH(X$7,'Inputs (2)'!$D$2:$AL$2,0))</f>
        <v>17494</v>
      </c>
      <c r="Y183" s="301">
        <f>INDEX('Inputs (2)'!$D$28:$AL$28,MATCH(Y$7,'Inputs (2)'!$D$2:$AL$2,0))</f>
        <v>18844</v>
      </c>
      <c r="Z183" s="301">
        <f>INDEX('Inputs (2)'!$D$28:$AL$28,MATCH(Z$7,'Inputs (2)'!$D$2:$AL$2,0))</f>
        <v>19421</v>
      </c>
      <c r="AA183" s="301">
        <f>INDEX('Inputs (2)'!$D$28:$AL$28,MATCH(AA$7,'Inputs (2)'!$D$2:$AL$2,0))</f>
        <v>21793</v>
      </c>
      <c r="AB183" s="268">
        <f>AA183</f>
        <v>21793</v>
      </c>
      <c r="AC183" s="301">
        <f>INDEX('Inputs (2)'!$D$28:$AL$28,MATCH(AC$7,'Inputs (2)'!$D$2:$AL$2,0))</f>
        <v>18610</v>
      </c>
      <c r="AD183" s="301">
        <f>INDEX('Inputs (2)'!$D$28:$AL$28,MATCH(AD$7,'Inputs (2)'!$D$2:$AL$2,0))</f>
        <v>19820</v>
      </c>
      <c r="AE183" s="301">
        <f>INDEX('Inputs (2)'!$D$28:$AL$28,MATCH(AE$7,'Inputs (2)'!$D$2:$AL$2,0))</f>
        <v>19783</v>
      </c>
      <c r="AF183" s="301">
        <f>INDEX('Inputs (2)'!$D$28:$AL$28,MATCH(AF$7,'Inputs (2)'!$D$2:$AL$2,0))</f>
        <v>23513</v>
      </c>
      <c r="AG183" s="268">
        <f>AF183</f>
        <v>23513</v>
      </c>
      <c r="AH183" s="268">
        <f>INDEX('Inputs (2)'!$D$28:$AL$28,MATCH(AH$7,'Inputs (2)'!$D$2:$AL$2,0))</f>
        <v>20647</v>
      </c>
      <c r="AI183" s="268">
        <f>INDEX('Inputs (2)'!$D$28:$AL$28,MATCH(AI$7,'Inputs (2)'!$D$2:$AL$2,0))</f>
        <v>22363</v>
      </c>
      <c r="AJ183" s="268">
        <f>(AJ184/(AJ$5-AI$5))*-AJ39</f>
        <v>0</v>
      </c>
      <c r="AK183" s="268">
        <f>(AK184/(AK$5-AJ$5))*-AK39</f>
        <v>0</v>
      </c>
      <c r="AL183" s="268">
        <f>AK183</f>
        <v>0</v>
      </c>
      <c r="AM183" s="268">
        <f>(AM184/(AM$5-AL$5))*-AM39</f>
        <v>0</v>
      </c>
      <c r="AN183" s="268">
        <f>(AN184/(AN$5-AM$5))*-AN39</f>
        <v>0</v>
      </c>
      <c r="AO183" s="268">
        <f>(AO184/(AO$5-AN$5))*-AO39</f>
        <v>0</v>
      </c>
      <c r="AP183" s="268">
        <f>(AP184/(AP$5-AO$5))*-AP39</f>
        <v>0</v>
      </c>
      <c r="AQ183" s="268">
        <f>AP183</f>
        <v>0</v>
      </c>
      <c r="AR183" s="268">
        <f>(AR184/(AR$5-AQ$5))*-AR39</f>
        <v>0</v>
      </c>
      <c r="AS183" s="268">
        <f>(AS184/(AS$5-AR$5))*-AS39</f>
        <v>0</v>
      </c>
      <c r="AT183" s="268">
        <f>(AT184/(AT$5-AS$5))*-AT39</f>
        <v>0</v>
      </c>
      <c r="AU183" s="268">
        <f>(AU184/(AU$5-AT$5))*-AU39</f>
        <v>0</v>
      </c>
      <c r="AV183" s="268">
        <f>AU183</f>
        <v>0</v>
      </c>
      <c r="AW183" s="268">
        <f>(AW184/(AW$5-AV$5))*-AW39</f>
        <v>0</v>
      </c>
      <c r="AX183" s="268">
        <f>(AX184/(AX$5-AW$5))*-AX39</f>
        <v>0</v>
      </c>
      <c r="AY183" s="268">
        <f>(AY184/(AY$5-AX$5))*-AY39</f>
        <v>0</v>
      </c>
      <c r="AZ183" s="268">
        <f>(AZ184/(AZ$5-AY$5))*-AZ39</f>
        <v>0</v>
      </c>
      <c r="BA183" s="268">
        <f>AZ183</f>
        <v>0</v>
      </c>
      <c r="BB183" s="268">
        <f>(BB184/(BB$5-BA$5))*-BB39</f>
        <v>0</v>
      </c>
      <c r="BC183" s="268">
        <f>(BC184/(BC$5-BB$5))*-BC39</f>
        <v>0</v>
      </c>
      <c r="BD183" s="268">
        <f>(BD184/(BD$5-BC$5))*-BD39</f>
        <v>0</v>
      </c>
      <c r="BE183" s="268">
        <f>(BE184/(BE$5-BD$5))*-BE39</f>
        <v>0</v>
      </c>
      <c r="BF183" s="268">
        <f>BE183</f>
        <v>0</v>
      </c>
      <c r="BG183" s="268">
        <f>(BG184/(BG$5-BF$5))*-BG39</f>
        <v>0</v>
      </c>
      <c r="BH183" s="268">
        <f>(BH184/(BH$5-BG$5))*-BH39</f>
        <v>0</v>
      </c>
      <c r="BI183" s="268">
        <f>(BI184/(BI$5-BH$5))*-BI39</f>
        <v>0</v>
      </c>
      <c r="BJ183" s="268">
        <f>(BJ184/(BJ$5-BI$5))*-BJ39</f>
        <v>0</v>
      </c>
      <c r="BK183" s="268">
        <f>BJ183</f>
        <v>0</v>
      </c>
      <c r="BL183" s="268">
        <f>(BL184/(BL$5-BK$5))*-BL39</f>
        <v>0</v>
      </c>
      <c r="BM183" s="268">
        <f>(BM184/(BM$5-BL$5))*-BM39</f>
        <v>0</v>
      </c>
      <c r="BN183" s="268">
        <f>(BN184/(BN$5-BM$5))*-BN39</f>
        <v>0</v>
      </c>
      <c r="BO183" s="268">
        <f>(BO184/(BO$5-BN$5))*-BO39</f>
        <v>0</v>
      </c>
      <c r="BP183" s="268">
        <f>BO183</f>
        <v>0</v>
      </c>
      <c r="BQ183" s="268">
        <f>(BQ184/(BQ$5-BP$5))*-BQ39</f>
        <v>0</v>
      </c>
      <c r="BR183" s="268">
        <f>(BR184/(BR$5-BQ$5))*-BR39</f>
        <v>0</v>
      </c>
      <c r="BS183" s="268">
        <f>(BS184/(BS$5-BR$5))*-BS39</f>
        <v>0</v>
      </c>
      <c r="BT183" s="268">
        <f>(BT184/(BT$5-BS$5))*-BT39</f>
        <v>0</v>
      </c>
      <c r="BU183" s="268">
        <f>BT183</f>
        <v>0</v>
      </c>
      <c r="BV183" s="268">
        <f>(BV184/(BV$5-BU$5))*-BV39</f>
        <v>0</v>
      </c>
      <c r="BW183" s="268">
        <f>(BW184/(BW$5-BV$5))*-BW39</f>
        <v>0</v>
      </c>
      <c r="BX183" s="268">
        <f>(BX184/(BX$5-BW$5))*-BX39</f>
        <v>0</v>
      </c>
      <c r="BY183" s="268">
        <f>(BY184/(BY$5-BX$5))*-BY39</f>
        <v>0</v>
      </c>
      <c r="BZ183" s="268">
        <f>BY183</f>
        <v>0</v>
      </c>
      <c r="CA183" s="268">
        <f>(CA184/(CA$5-BZ$5))*-CA39</f>
        <v>0</v>
      </c>
      <c r="CB183" s="268">
        <f>(CB184/(CB$5-CA$5))*-CB39</f>
        <v>0</v>
      </c>
      <c r="CC183" s="268">
        <f>(CC184/(CC$5-CB$5))*-CC39</f>
        <v>0</v>
      </c>
      <c r="CD183" s="268">
        <f>(CD184/(CD$5-CC$5))*-CD39</f>
        <v>0</v>
      </c>
      <c r="CE183" s="268">
        <f>CD183</f>
        <v>0</v>
      </c>
      <c r="CF183" s="268">
        <f>(CF184/(CF$5-CE$5))*-CF39</f>
        <v>0</v>
      </c>
      <c r="CG183" s="268">
        <f>(CG184/(CG$5-CF$5))*-CG39</f>
        <v>0</v>
      </c>
      <c r="CH183" s="268">
        <f>(CH184/(CH$5-CG$5))*-CH39</f>
        <v>0</v>
      </c>
      <c r="CI183" s="268">
        <f>(CI184/(CI$5-CH$5))*-CI39</f>
        <v>0</v>
      </c>
      <c r="CJ183" s="268">
        <f>CI183</f>
        <v>0</v>
      </c>
      <c r="CK183" s="268">
        <f>(CK184/(CK$5-CJ$5))*-CK39</f>
        <v>0</v>
      </c>
      <c r="CL183" s="268">
        <f>(CL184/(CL$5-CK$5))*-CL39</f>
        <v>0</v>
      </c>
      <c r="CM183" s="268">
        <f>(CM184/(CM$5-CL$5))*-CM39</f>
        <v>0</v>
      </c>
      <c r="CN183" s="268">
        <f>(CN184/(CN$5-CM$5))*-CN39</f>
        <v>0</v>
      </c>
      <c r="CO183" s="268">
        <f>CN183</f>
        <v>0</v>
      </c>
      <c r="CP183" s="268">
        <f>(CP184/(CP$5-CO$5))*-CP39</f>
        <v>0</v>
      </c>
      <c r="CQ183" s="268">
        <f>(CQ184/(CQ$5-CP$5))*-CQ39</f>
        <v>0</v>
      </c>
      <c r="CR183" s="268">
        <f>(CR184/(CR$5-CQ$5))*-CR39</f>
        <v>0</v>
      </c>
      <c r="CS183" s="268">
        <f>(CS184/(CS$5-CR$5))*-CS39</f>
        <v>0</v>
      </c>
      <c r="CT183" s="268">
        <f>CS183</f>
        <v>0</v>
      </c>
      <c r="CU183" s="268">
        <f>(CU184/(CU$5-CT$5))*-CU39</f>
        <v>0</v>
      </c>
      <c r="CV183" s="268">
        <f>(CV184/(CV$5-CU$5))*-CV39</f>
        <v>0</v>
      </c>
      <c r="CW183" s="268">
        <f>(CW184/(CW$5-CV$5))*-CW39</f>
        <v>0</v>
      </c>
      <c r="CX183" s="268">
        <f>(CX184/(CX$5-CW$5))*-CX39</f>
        <v>0</v>
      </c>
      <c r="CY183" s="268">
        <f>CX183</f>
        <v>0</v>
      </c>
    </row>
    <row r="184" hidden="1" outlineLevel="1" ht="12.75" customHeight="1" s="255">
      <c r="C184" s="312" t="inlineStr">
        <is>
          <t>DPO</t>
        </is>
      </c>
      <c r="D184" s="268" t="n"/>
      <c r="E184" s="268">
        <f>-(E183/E$39)*(E$5-D$5)</f>
        <v>30.5120468851747</v>
      </c>
      <c r="F184" s="268">
        <f>-(F183/F$39)*(F$5-E$5)</f>
        <v>28.0990495894485</v>
      </c>
      <c r="G184" s="268">
        <f>-(G183/G$39)*(G$5-F$5)</f>
        <v>41.7878156869027</v>
      </c>
      <c r="H184" s="268" t="n"/>
      <c r="I184" s="268">
        <f>-(I183/I$39)*(I$5-H$5)</f>
        <v>33.1252878857669</v>
      </c>
      <c r="J184" s="268">
        <f>-(J183/J$39)*(J$5-I$5)</f>
        <v>35.8736014207789</v>
      </c>
      <c r="K184" s="268">
        <f>-(K183/K$39)*(K$5-J$5)</f>
        <v>27.3614821040323</v>
      </c>
      <c r="L184" s="268">
        <f>-(L183/L$39)*(L$5-K$5)</f>
        <v>40.944939934474</v>
      </c>
      <c r="M184" s="268" t="n"/>
      <c r="N184" s="268">
        <f>-(N183/N$39)*(N$5-M$5)</f>
        <v>33.7897928246589</v>
      </c>
      <c r="O184" s="268">
        <f>-(O183/O$39)*(O$5-N$5)</f>
        <v>34.6508682989969</v>
      </c>
      <c r="P184" s="268">
        <f>-(P183/P$39)*(P$5-O$5)</f>
        <v>25.8349224330533</v>
      </c>
      <c r="Q184" s="268">
        <f>-(Q183/Q$39)*(Q$5-P$5)</f>
        <v>35.3370595993217</v>
      </c>
      <c r="R184" s="268" t="n"/>
      <c r="S184" s="268">
        <f>-(S183/S$39)*(S$5-R$5)</f>
        <v>30.4943931602751</v>
      </c>
      <c r="T184" s="268">
        <f>-(T183/T$39)*(T$5-S$5)</f>
        <v>32.5092315845257</v>
      </c>
      <c r="U184" s="268">
        <f>-(U183/U$39)*(U$5-T$5)</f>
        <v>23.2369147199468</v>
      </c>
      <c r="V184" s="268">
        <f>-(V183/V$39)*(V$5-U$5)</f>
        <v>37.1176249083378</v>
      </c>
      <c r="W184" s="268" t="n"/>
      <c r="X184" s="268">
        <f>-(X183/X$39)*(X$5-W$5)</f>
        <v>31.1293312475557</v>
      </c>
      <c r="Y184" s="268">
        <f>-(Y183/Y$39)*(Y$5-X$5)</f>
        <v>33.509936880777</v>
      </c>
      <c r="Z184" s="268">
        <f>-(Z183/Z$39)*(Z$5-Y$5)</f>
        <v>25.6758636546531</v>
      </c>
      <c r="AA184" s="268">
        <f>-(AA183/AA$39)*(AA$5-Z$5)</f>
        <v>37.0540205880722</v>
      </c>
      <c r="AB184" s="268" t="n"/>
      <c r="AC184" s="268">
        <f>-(AC183/AC$39)*(AC$5-AB$5)</f>
        <v>30.0462830080367</v>
      </c>
      <c r="AD184" s="268">
        <f>-(AD183/AD$39)*(AD$5-AC$5)</f>
        <v>32.7954760346207</v>
      </c>
      <c r="AE184" s="268">
        <f>-(AE183/AE$39)*(AE$5-AD$5)</f>
        <v>24.2551807774831</v>
      </c>
      <c r="AF184" s="267">
        <f>-(AF183/AF$39)*(AF$5-AE$5)</f>
        <v>36.9713895060673</v>
      </c>
      <c r="AG184" s="268" t="n"/>
      <c r="AH184" s="267">
        <f>-(AH183/AH$39)*(AH$5-AG$5)</f>
        <v>30.6037648841384</v>
      </c>
      <c r="AI184" s="267">
        <f>-(AI183/AI$39)*(AI$5-AH$5)</f>
        <v>33.0797477202165</v>
      </c>
      <c r="AJ184" s="267" t="n"/>
      <c r="AK184" s="267" t="n"/>
      <c r="AL184" s="268" t="n"/>
      <c r="AM184" s="267" t="n"/>
      <c r="AN184" s="267" t="n"/>
      <c r="AO184" s="267" t="n"/>
      <c r="AP184" s="267" t="n"/>
      <c r="AQ184" s="268" t="n"/>
      <c r="AR184" s="267" t="n"/>
      <c r="AS184" s="267" t="n"/>
      <c r="AT184" s="267" t="n"/>
      <c r="AU184" s="267" t="n"/>
      <c r="AV184" s="268" t="n"/>
      <c r="AW184" s="267" t="n"/>
      <c r="AX184" s="267" t="n"/>
      <c r="AY184" s="267" t="n"/>
      <c r="AZ184" s="267" t="n"/>
      <c r="BA184" s="268" t="n"/>
      <c r="BB184" s="267" t="n"/>
      <c r="BC184" s="267" t="n"/>
      <c r="BD184" s="267" t="n"/>
      <c r="BE184" s="267" t="n"/>
      <c r="BF184" s="268" t="n"/>
      <c r="BG184" s="267" t="n"/>
      <c r="BH184" s="267" t="n"/>
      <c r="BI184" s="267" t="n"/>
      <c r="BJ184" s="267" t="n"/>
      <c r="BK184" s="268" t="n"/>
      <c r="BL184" s="267" t="n"/>
      <c r="BM184" s="267" t="n"/>
      <c r="BN184" s="267" t="n"/>
      <c r="BO184" s="267" t="n"/>
      <c r="BP184" s="268" t="n"/>
      <c r="BQ184" s="267" t="n"/>
      <c r="BR184" s="267" t="n"/>
      <c r="BS184" s="267" t="n"/>
      <c r="BT184" s="267" t="n"/>
      <c r="BU184" s="268" t="n"/>
      <c r="BV184" s="267" t="n"/>
      <c r="BW184" s="267" t="n"/>
      <c r="BX184" s="267" t="n"/>
      <c r="BY184" s="267" t="n"/>
      <c r="BZ184" s="268" t="n"/>
      <c r="CA184" s="267" t="n"/>
      <c r="CB184" s="267" t="n"/>
      <c r="CC184" s="267" t="n"/>
      <c r="CD184" s="267" t="n"/>
      <c r="CE184" s="268" t="n"/>
      <c r="CF184" s="267" t="n"/>
      <c r="CG184" s="267" t="n"/>
      <c r="CH184" s="267" t="n"/>
      <c r="CI184" s="267" t="n"/>
      <c r="CJ184" s="268" t="n"/>
      <c r="CK184" s="267" t="n"/>
      <c r="CL184" s="267" t="n"/>
      <c r="CM184" s="267" t="n"/>
      <c r="CN184" s="267" t="n"/>
      <c r="CO184" s="268" t="n"/>
      <c r="CP184" s="267" t="n"/>
      <c r="CQ184" s="267" t="n"/>
      <c r="CR184" s="267" t="n"/>
      <c r="CS184" s="267" t="n"/>
      <c r="CT184" s="268" t="n"/>
      <c r="CU184" s="267" t="n"/>
      <c r="CV184" s="267" t="n"/>
      <c r="CW184" s="267" t="n"/>
      <c r="CX184" s="267" t="n"/>
      <c r="CY184" s="268" t="n"/>
    </row>
    <row r="185" hidden="1" outlineLevel="1" ht="12.75" customHeight="1" s="255">
      <c r="C185" s="312" t="n"/>
      <c r="D185" s="268" t="n"/>
      <c r="E185" s="268" t="n"/>
      <c r="F185" s="268" t="n"/>
      <c r="G185" s="268" t="n"/>
      <c r="H185" s="268" t="n"/>
      <c r="I185" s="268" t="n"/>
      <c r="J185" s="268" t="n"/>
      <c r="K185" s="268" t="n"/>
      <c r="L185" s="268" t="n"/>
      <c r="M185" s="268" t="n"/>
      <c r="N185" s="268" t="n"/>
      <c r="O185" s="268" t="n"/>
      <c r="P185" s="268" t="n"/>
      <c r="Q185" s="268" t="n"/>
      <c r="R185" s="268" t="n"/>
      <c r="S185" s="268" t="n"/>
      <c r="T185" s="268" t="n"/>
      <c r="U185" s="268" t="n"/>
      <c r="V185" s="268" t="n"/>
      <c r="W185" s="268" t="n"/>
      <c r="X185" s="268" t="n"/>
      <c r="Y185" s="268" t="n"/>
      <c r="Z185" s="268" t="n"/>
      <c r="AA185" s="268" t="n"/>
      <c r="AB185" s="268" t="n"/>
      <c r="AC185" s="268" t="n"/>
      <c r="AD185" s="268" t="n"/>
      <c r="AE185" s="268" t="n"/>
      <c r="AF185" s="268" t="n"/>
      <c r="AG185" s="268" t="n"/>
      <c r="AH185" s="268" t="n"/>
      <c r="AI185" s="268" t="n"/>
      <c r="AJ185" s="268" t="n"/>
      <c r="AK185" s="268" t="n"/>
      <c r="AL185" s="268" t="n"/>
      <c r="AM185" s="268" t="n"/>
      <c r="AN185" s="268" t="n"/>
      <c r="AO185" s="268" t="n"/>
      <c r="AP185" s="268" t="n"/>
      <c r="AQ185" s="268" t="n"/>
      <c r="AR185" s="268" t="n"/>
      <c r="AS185" s="268" t="n"/>
      <c r="AT185" s="268" t="n"/>
      <c r="AU185" s="268" t="n"/>
      <c r="AV185" s="268" t="n"/>
      <c r="AW185" s="268" t="n"/>
      <c r="AX185" s="268" t="n"/>
      <c r="AY185" s="268" t="n"/>
      <c r="AZ185" s="268" t="n"/>
      <c r="BA185" s="268" t="n"/>
      <c r="BB185" s="268" t="n"/>
      <c r="BC185" s="268" t="n"/>
      <c r="BD185" s="268" t="n"/>
      <c r="BE185" s="268" t="n"/>
      <c r="BF185" s="268" t="n"/>
      <c r="BG185" s="268" t="n"/>
      <c r="BH185" s="268" t="n"/>
      <c r="BI185" s="268" t="n"/>
      <c r="BJ185" s="268" t="n"/>
      <c r="BK185" s="268" t="n"/>
      <c r="BL185" s="268" t="n"/>
      <c r="BM185" s="268" t="n"/>
      <c r="BN185" s="268" t="n"/>
      <c r="BO185" s="268" t="n"/>
      <c r="BP185" s="268" t="n"/>
      <c r="BQ185" s="268" t="n"/>
      <c r="BR185" s="268" t="n"/>
      <c r="BS185" s="268" t="n"/>
      <c r="BT185" s="268" t="n"/>
      <c r="BU185" s="268" t="n"/>
      <c r="BV185" s="268" t="n"/>
      <c r="BW185" s="268" t="n"/>
      <c r="BX185" s="268" t="n"/>
      <c r="BY185" s="268" t="n"/>
      <c r="BZ185" s="268" t="n"/>
      <c r="CA185" s="268" t="n"/>
      <c r="CB185" s="268" t="n"/>
      <c r="CC185" s="268" t="n"/>
      <c r="CD185" s="268" t="n"/>
      <c r="CE185" s="268" t="n"/>
      <c r="CF185" s="268" t="n"/>
      <c r="CG185" s="268" t="n"/>
      <c r="CH185" s="268" t="n"/>
      <c r="CI185" s="268" t="n"/>
      <c r="CJ185" s="268" t="n"/>
      <c r="CK185" s="268" t="n"/>
      <c r="CL185" s="268" t="n"/>
      <c r="CM185" s="268" t="n"/>
      <c r="CN185" s="268" t="n"/>
      <c r="CO185" s="268" t="n"/>
      <c r="CP185" s="268" t="n"/>
      <c r="CQ185" s="268" t="n"/>
      <c r="CR185" s="268" t="n"/>
      <c r="CS185" s="268" t="n"/>
      <c r="CT185" s="268" t="n"/>
      <c r="CU185" s="268" t="n"/>
      <c r="CV185" s="268" t="n"/>
      <c r="CW185" s="268" t="n"/>
      <c r="CX185" s="268" t="n"/>
      <c r="CY185" s="268" t="n"/>
    </row>
    <row r="186" hidden="1" outlineLevel="1" ht="12.75" customHeight="1" s="255">
      <c r="C186" s="312" t="n"/>
      <c r="D186" s="268" t="n"/>
      <c r="E186" s="268" t="n"/>
      <c r="F186" s="268" t="n"/>
      <c r="G186" s="268" t="n"/>
      <c r="H186" s="268" t="n"/>
      <c r="I186" s="268" t="n"/>
      <c r="J186" s="268" t="n"/>
      <c r="K186" s="268" t="n"/>
      <c r="L186" s="268" t="n"/>
      <c r="M186" s="268" t="n"/>
      <c r="N186" s="268" t="n"/>
      <c r="O186" s="268" t="n"/>
      <c r="P186" s="268" t="n"/>
      <c r="Q186" s="268" t="n"/>
      <c r="R186" s="268" t="n"/>
      <c r="S186" s="268" t="n"/>
      <c r="T186" s="268" t="n"/>
      <c r="U186" s="268" t="n"/>
      <c r="V186" s="268" t="n"/>
      <c r="W186" s="268" t="n"/>
      <c r="X186" s="268" t="n"/>
      <c r="Y186" s="268" t="n"/>
      <c r="Z186" s="268" t="n"/>
      <c r="AA186" s="268" t="n"/>
      <c r="AB186" s="268" t="n"/>
      <c r="AC186" s="268" t="n"/>
      <c r="AD186" s="268" t="n"/>
      <c r="AE186" s="268" t="n"/>
      <c r="AF186" s="268" t="n"/>
      <c r="AG186" s="268" t="n"/>
      <c r="AH186" s="268" t="n"/>
      <c r="AI186" s="268" t="n"/>
      <c r="AJ186" s="268" t="n"/>
      <c r="AK186" s="268" t="n"/>
      <c r="AL186" s="268" t="n"/>
      <c r="AM186" s="268" t="n"/>
      <c r="AN186" s="268" t="n"/>
      <c r="AO186" s="268" t="n"/>
      <c r="AP186" s="268" t="n"/>
      <c r="AQ186" s="268" t="n"/>
      <c r="AR186" s="268" t="n"/>
      <c r="AS186" s="268" t="n"/>
      <c r="AT186" s="268" t="n"/>
      <c r="AU186" s="268" t="n"/>
      <c r="AV186" s="268" t="n"/>
      <c r="AW186" s="268" t="n"/>
      <c r="AX186" s="268" t="n"/>
      <c r="AY186" s="268" t="n"/>
      <c r="AZ186" s="268" t="n"/>
      <c r="BA186" s="268" t="n"/>
      <c r="BB186" s="268" t="n"/>
      <c r="BC186" s="268" t="n"/>
      <c r="BD186" s="268" t="n"/>
      <c r="BE186" s="268" t="n"/>
      <c r="BF186" s="268" t="n"/>
      <c r="BG186" s="268" t="n"/>
      <c r="BH186" s="268" t="n"/>
      <c r="BI186" s="268" t="n"/>
      <c r="BJ186" s="268" t="n"/>
      <c r="BK186" s="268" t="n"/>
      <c r="BL186" s="268" t="n"/>
      <c r="BM186" s="268" t="n"/>
      <c r="BN186" s="268" t="n"/>
      <c r="BO186" s="268" t="n"/>
      <c r="BP186" s="268" t="n"/>
      <c r="BQ186" s="268" t="n"/>
      <c r="BR186" s="268" t="n"/>
      <c r="BS186" s="268" t="n"/>
      <c r="BT186" s="268" t="n"/>
      <c r="BU186" s="268" t="n"/>
      <c r="BV186" s="268" t="n"/>
      <c r="BW186" s="268" t="n"/>
      <c r="BX186" s="268" t="n"/>
      <c r="BY186" s="268" t="n"/>
      <c r="BZ186" s="268" t="n"/>
      <c r="CA186" s="268" t="n"/>
      <c r="CB186" s="268" t="n"/>
      <c r="CC186" s="268" t="n"/>
      <c r="CD186" s="268" t="n"/>
      <c r="CE186" s="268" t="n"/>
      <c r="CF186" s="268" t="n"/>
      <c r="CG186" s="268" t="n"/>
      <c r="CH186" s="268" t="n"/>
      <c r="CI186" s="268" t="n"/>
      <c r="CJ186" s="268" t="n"/>
      <c r="CK186" s="268" t="n"/>
      <c r="CL186" s="268" t="n"/>
      <c r="CM186" s="268" t="n"/>
      <c r="CN186" s="268" t="n"/>
      <c r="CO186" s="268" t="n"/>
      <c r="CP186" s="268" t="n"/>
      <c r="CQ186" s="268" t="n"/>
      <c r="CR186" s="268" t="n"/>
      <c r="CS186" s="268" t="n"/>
      <c r="CT186" s="268" t="n"/>
      <c r="CU186" s="268" t="n"/>
      <c r="CV186" s="268" t="n"/>
      <c r="CW186" s="268" t="n"/>
      <c r="CX186" s="268" t="n"/>
      <c r="CY186" s="268" t="n"/>
    </row>
    <row r="187" ht="12.75" customHeight="1" s="255">
      <c r="C187" s="270" t="inlineStr">
        <is>
          <t>Accrued expenses</t>
        </is>
      </c>
      <c r="D187" s="301">
        <f>INDEX('Inputs (2)'!$D$29:$AL$29,MATCH(D$7,'Inputs (2)'!$D$2:$AL$2,0))</f>
        <v>3415</v>
      </c>
      <c r="E187" s="301">
        <f>INDEX('Inputs (2)'!$D$29:$AL$29,MATCH(E$7,'Inputs (2)'!$D$2:$AL$2,0))</f>
        <v>3246</v>
      </c>
      <c r="F187" s="301">
        <f>INDEX('Inputs (2)'!$D$29:$AL$29,MATCH(F$7,'Inputs (2)'!$D$2:$AL$2,0))</f>
        <v>3605</v>
      </c>
      <c r="G187" s="301">
        <f>INDEX('Inputs (2)'!$D$29:$AL$29,MATCH(G$7,'Inputs (2)'!$D$2:$AL$2,0))</f>
        <v>5037</v>
      </c>
      <c r="H187" s="268">
        <f>G187</f>
        <v>5037</v>
      </c>
      <c r="I187" s="301">
        <f>INDEX('Inputs (2)'!$D$29:$AL$29,MATCH(I$7,'Inputs (2)'!$D$2:$AL$2,0))</f>
        <v>5673</v>
      </c>
      <c r="J187" s="301">
        <f>INDEX('Inputs (2)'!$D$29:$AL$29,MATCH(J$7,'Inputs (2)'!$D$2:$AL$2,0))</f>
        <v>5443</v>
      </c>
      <c r="K187" s="301">
        <f>INDEX('Inputs (2)'!$D$29:$AL$29,MATCH(K$7,'Inputs (2)'!$D$2:$AL$2,0))</f>
        <v>5761</v>
      </c>
      <c r="L187" s="301">
        <f>INDEX('Inputs (2)'!$D$29:$AL$29,MATCH(L$7,'Inputs (2)'!$D$2:$AL$2,0))</f>
        <v>5711</v>
      </c>
      <c r="M187" s="268">
        <f>L187</f>
        <v>5711</v>
      </c>
      <c r="N187" s="301">
        <f>INDEX('Inputs (2)'!$D$29:$AL$29,MATCH(N$7,'Inputs (2)'!$D$2:$AL$2,0))</f>
        <v>6145</v>
      </c>
      <c r="O187" s="301">
        <f>INDEX('Inputs (2)'!$D$29:$AL$29,MATCH(O$7,'Inputs (2)'!$D$2:$AL$2,0))</f>
        <v>5918</v>
      </c>
      <c r="P187" s="301">
        <f>INDEX('Inputs (2)'!$D$29:$AL$29,MATCH(P$7,'Inputs (2)'!$D$2:$AL$2,0))</f>
        <v>6292</v>
      </c>
      <c r="Q187" s="301">
        <f>INDEX('Inputs (2)'!$D$29:$AL$29,MATCH(Q$7,'Inputs (2)'!$D$2:$AL$2,0))</f>
        <v>6276</v>
      </c>
      <c r="R187" s="268">
        <f>Q187</f>
        <v>6276</v>
      </c>
      <c r="S187" s="301">
        <f>INDEX('Inputs (2)'!$D$29:$AL$29,MATCH(S$7,'Inputs (2)'!$D$2:$AL$2,0))</f>
        <v>6499</v>
      </c>
      <c r="T187" s="301">
        <f>INDEX('Inputs (2)'!$D$29:$AL$29,MATCH(T$7,'Inputs (2)'!$D$2:$AL$2,0))</f>
        <v>6193</v>
      </c>
      <c r="U187" s="301">
        <f>INDEX('Inputs (2)'!$D$29:$AL$29,MATCH(U$7,'Inputs (2)'!$D$2:$AL$2,0))</f>
        <v>6428</v>
      </c>
      <c r="V187" s="301">
        <f>INDEX('Inputs (2)'!$D$29:$AL$29,MATCH(V$7,'Inputs (2)'!$D$2:$AL$2,0))</f>
        <v>6681</v>
      </c>
      <c r="W187" s="268">
        <f>V187</f>
        <v>6681</v>
      </c>
      <c r="X187" s="301">
        <f>INDEX('Inputs (2)'!$D$29:$AL$29,MATCH(X$7,'Inputs (2)'!$D$2:$AL$2,0))</f>
        <v>7069</v>
      </c>
      <c r="Y187" s="301">
        <f>INDEX('Inputs (2)'!$D$29:$AL$29,MATCH(Y$7,'Inputs (2)'!$D$2:$AL$2,0))</f>
        <v>6704</v>
      </c>
      <c r="Z187" s="301">
        <f>INDEX('Inputs (2)'!$D$29:$AL$29,MATCH(Z$7,'Inputs (2)'!$D$2:$AL$2,0))</f>
        <v>7229</v>
      </c>
      <c r="AA187" s="301">
        <f>INDEX('Inputs (2)'!$D$29:$AL$29,MATCH(AA$7,'Inputs (2)'!$D$2:$AL$2,0))</f>
        <v>7229</v>
      </c>
      <c r="AB187" s="268">
        <f>AA187</f>
        <v>7229</v>
      </c>
      <c r="AC187" s="301">
        <f>INDEX('Inputs (2)'!$D$29:$AL$29,MATCH(AC$7,'Inputs (2)'!$D$2:$AL$2,0))</f>
        <v>7641</v>
      </c>
      <c r="AD187" s="301">
        <f>INDEX('Inputs (2)'!$D$29:$AL$29,MATCH(AD$7,'Inputs (2)'!$D$2:$AL$2,0))</f>
        <v>7396</v>
      </c>
      <c r="AE187" s="301">
        <f>INDEX('Inputs (2)'!$D$29:$AL$29,MATCH(AE$7,'Inputs (2)'!$D$2:$AL$2,0))</f>
        <v>7882</v>
      </c>
      <c r="AF187" s="301">
        <f>INDEX('Inputs (2)'!$D$29:$AL$29,MATCH(AF$7,'Inputs (2)'!$D$2:$AL$2,0))</f>
        <v>7884</v>
      </c>
      <c r="AG187" s="268">
        <f>AF187</f>
        <v>7884</v>
      </c>
      <c r="AH187" s="268">
        <f>INDEX('Inputs (2)'!$D$29:$AL$29,MATCH(AH$7,'Inputs (2)'!$D$2:$AL$2,0))</f>
        <v>8468</v>
      </c>
      <c r="AI187" s="268">
        <f>INDEX('Inputs (2)'!$D$29:$AL$29,MATCH(AI$7,'Inputs (2)'!$D$2:$AL$2,0))</f>
        <v>8166</v>
      </c>
      <c r="AJ187" s="268">
        <f>AH187*AJ43/AH43</f>
        <v>0</v>
      </c>
      <c r="AK187" s="268">
        <f>AI187*AK43/AI43</f>
        <v>0</v>
      </c>
      <c r="AL187" s="268">
        <f>AK187</f>
        <v>0</v>
      </c>
      <c r="AM187" s="268" t="e">
        <f>AK187*AM43/AK43</f>
        <v>#DIV/0!</v>
      </c>
      <c r="AN187" s="268">
        <f>AL187*AN43/AL43</f>
        <v>0</v>
      </c>
      <c r="AO187" s="268" t="e">
        <f>AM187*AO43/AM43</f>
        <v>#DIV/0!</v>
      </c>
      <c r="AP187" s="268" t="e">
        <f>AN187*AP43/AN43</f>
        <v>#DIV/0!</v>
      </c>
      <c r="AQ187" s="268" t="e">
        <f>AP187</f>
        <v>#DIV/0!</v>
      </c>
      <c r="AR187" s="268" t="e">
        <f>AP187*AR43/AP43</f>
        <v>#DIV/0!</v>
      </c>
      <c r="AS187" s="268" t="e">
        <f>AQ187*AS43/AQ43</f>
        <v>#DIV/0!</v>
      </c>
      <c r="AT187" s="268" t="e">
        <f>AR187*AT43/AR43</f>
        <v>#DIV/0!</v>
      </c>
      <c r="AU187" s="268" t="e">
        <f>AS187*AU43/AS43</f>
        <v>#DIV/0!</v>
      </c>
      <c r="AV187" s="268" t="e">
        <f>AU187</f>
        <v>#DIV/0!</v>
      </c>
      <c r="AW187" s="268" t="e">
        <f>AU187*AW43/AU43</f>
        <v>#DIV/0!</v>
      </c>
      <c r="AX187" s="268" t="e">
        <f>AV187*AX43/AV43</f>
        <v>#DIV/0!</v>
      </c>
      <c r="AY187" s="268" t="e">
        <f>AW187*AY43/AW43</f>
        <v>#DIV/0!</v>
      </c>
      <c r="AZ187" s="268" t="e">
        <f>AX187*AZ43/AX43</f>
        <v>#DIV/0!</v>
      </c>
      <c r="BA187" s="268" t="e">
        <f>AZ187</f>
        <v>#DIV/0!</v>
      </c>
      <c r="BB187" s="268" t="e">
        <f>AZ187*BB43/AZ43</f>
        <v>#DIV/0!</v>
      </c>
      <c r="BC187" s="268" t="e">
        <f>BA187*BC43/BA43</f>
        <v>#DIV/0!</v>
      </c>
      <c r="BD187" s="268" t="e">
        <f>BB187*BD43/BB43</f>
        <v>#DIV/0!</v>
      </c>
      <c r="BE187" s="268" t="e">
        <f>BC187*BE43/BC43</f>
        <v>#DIV/0!</v>
      </c>
      <c r="BF187" s="268" t="e">
        <f>BE187</f>
        <v>#DIV/0!</v>
      </c>
      <c r="BG187" s="268" t="e">
        <f>BE187*BG43/BE43</f>
        <v>#DIV/0!</v>
      </c>
      <c r="BH187" s="268" t="e">
        <f>BF187*BH43/BF43</f>
        <v>#DIV/0!</v>
      </c>
      <c r="BI187" s="268" t="e">
        <f>BG187*BI43/BG43</f>
        <v>#DIV/0!</v>
      </c>
      <c r="BJ187" s="268" t="e">
        <f>BH187*BJ43/BH43</f>
        <v>#DIV/0!</v>
      </c>
      <c r="BK187" s="268" t="e">
        <f>BJ187</f>
        <v>#DIV/0!</v>
      </c>
      <c r="BL187" s="268" t="e">
        <f>BJ187*BL43/BJ43</f>
        <v>#DIV/0!</v>
      </c>
      <c r="BM187" s="268" t="e">
        <f>BK187*BM43/BK43</f>
        <v>#DIV/0!</v>
      </c>
      <c r="BN187" s="268" t="e">
        <f>BL187*BN43/BL43</f>
        <v>#DIV/0!</v>
      </c>
      <c r="BO187" s="268" t="e">
        <f>BM187*BO43/BM43</f>
        <v>#DIV/0!</v>
      </c>
      <c r="BP187" s="268" t="e">
        <f>BO187</f>
        <v>#DIV/0!</v>
      </c>
      <c r="BQ187" s="268" t="e">
        <f>BO187*BQ43/BO43</f>
        <v>#DIV/0!</v>
      </c>
      <c r="BR187" s="268" t="e">
        <f>BP187*BR43/BP43</f>
        <v>#DIV/0!</v>
      </c>
      <c r="BS187" s="268" t="e">
        <f>BQ187*BS43/BQ43</f>
        <v>#DIV/0!</v>
      </c>
      <c r="BT187" s="268" t="e">
        <f>BR187*BT43/BR43</f>
        <v>#DIV/0!</v>
      </c>
      <c r="BU187" s="268" t="e">
        <f>BT187</f>
        <v>#DIV/0!</v>
      </c>
      <c r="BV187" s="268" t="e">
        <f>BT187*BV43/BT43</f>
        <v>#DIV/0!</v>
      </c>
      <c r="BW187" s="268" t="e">
        <f>BU187*BW43/BU43</f>
        <v>#DIV/0!</v>
      </c>
      <c r="BX187" s="268" t="e">
        <f>BV187*BX43/BV43</f>
        <v>#DIV/0!</v>
      </c>
      <c r="BY187" s="268" t="e">
        <f>BW187*BY43/BW43</f>
        <v>#DIV/0!</v>
      </c>
      <c r="BZ187" s="268" t="e">
        <f>BY187</f>
        <v>#DIV/0!</v>
      </c>
      <c r="CA187" s="268" t="e">
        <f>BY187*CA43/BY43</f>
        <v>#DIV/0!</v>
      </c>
      <c r="CB187" s="268" t="e">
        <f>BZ187*CB43/BZ43</f>
        <v>#DIV/0!</v>
      </c>
      <c r="CC187" s="268" t="e">
        <f>CA187*CC43/CA43</f>
        <v>#DIV/0!</v>
      </c>
      <c r="CD187" s="268" t="e">
        <f>CB187*CD43/CB43</f>
        <v>#DIV/0!</v>
      </c>
      <c r="CE187" s="268" t="e">
        <f>CD187</f>
        <v>#DIV/0!</v>
      </c>
      <c r="CF187" s="268" t="e">
        <f>CD187*CF43/CD43</f>
        <v>#DIV/0!</v>
      </c>
      <c r="CG187" s="268" t="e">
        <f>CE187*CG43/CE43</f>
        <v>#DIV/0!</v>
      </c>
      <c r="CH187" s="268" t="e">
        <f>CF187*CH43/CF43</f>
        <v>#DIV/0!</v>
      </c>
      <c r="CI187" s="268" t="e">
        <f>CG187*CI43/CG43</f>
        <v>#DIV/0!</v>
      </c>
      <c r="CJ187" s="268" t="e">
        <f>CI187</f>
        <v>#DIV/0!</v>
      </c>
      <c r="CK187" s="268" t="e">
        <f>CI187*CK43/CI43</f>
        <v>#DIV/0!</v>
      </c>
      <c r="CL187" s="268" t="e">
        <f>CJ187*CL43/CJ43</f>
        <v>#DIV/0!</v>
      </c>
      <c r="CM187" s="268" t="e">
        <f>CK187*CM43/CK43</f>
        <v>#DIV/0!</v>
      </c>
      <c r="CN187" s="268" t="e">
        <f>CL187*CN43/CL43</f>
        <v>#DIV/0!</v>
      </c>
      <c r="CO187" s="268" t="e">
        <f>CN187</f>
        <v>#DIV/0!</v>
      </c>
      <c r="CP187" s="268" t="e">
        <f>CN187*CP43/CN43</f>
        <v>#DIV/0!</v>
      </c>
      <c r="CQ187" s="268" t="e">
        <f>CO187*CQ43/CO43</f>
        <v>#DIV/0!</v>
      </c>
      <c r="CR187" s="268" t="e">
        <f>CP187*CR43/CP43</f>
        <v>#DIV/0!</v>
      </c>
      <c r="CS187" s="268" t="e">
        <f>CQ187*CS43/CQ43</f>
        <v>#DIV/0!</v>
      </c>
      <c r="CT187" s="268" t="e">
        <f>CS187</f>
        <v>#DIV/0!</v>
      </c>
      <c r="CU187" s="268" t="e">
        <f>CS187*CU43/CS43</f>
        <v>#DIV/0!</v>
      </c>
      <c r="CV187" s="268" t="e">
        <f>CT187*CV43/CT43</f>
        <v>#DIV/0!</v>
      </c>
      <c r="CW187" s="268" t="e">
        <f>CU187*CW43/CU43</f>
        <v>#DIV/0!</v>
      </c>
      <c r="CX187" s="268" t="e">
        <f>CV187*CX43/CV43</f>
        <v>#DIV/0!</v>
      </c>
      <c r="CY187" s="268" t="e">
        <f>CX187</f>
        <v>#DIV/0!</v>
      </c>
    </row>
    <row r="188" hidden="1" outlineLevel="1" ht="12.75" customHeight="1" s="255">
      <c r="C188" s="314" t="inlineStr">
        <is>
          <t>%(Var.)</t>
        </is>
      </c>
      <c r="D188" s="268" t="n"/>
      <c r="E188" s="296">
        <f>(E187-D187)/D187</f>
        <v>-0.0494875549048316</v>
      </c>
      <c r="F188" s="296">
        <f>(F187-E187)/E187</f>
        <v>0.110597658656808</v>
      </c>
      <c r="G188" s="296">
        <f>(G187-F187)/F187</f>
        <v>0.397226074895978</v>
      </c>
      <c r="H188" s="268" t="n"/>
      <c r="I188" s="296">
        <f>(I187-H187)/H187</f>
        <v>0.126265634306135</v>
      </c>
      <c r="J188" s="296">
        <f>(J187-I187)/I187</f>
        <v>-0.0405429226158999</v>
      </c>
      <c r="K188" s="296">
        <f>(K187-J187)/J187</f>
        <v>0.0584236634209076</v>
      </c>
      <c r="L188" s="296">
        <f>(L187-K187)/K187</f>
        <v>-0.00867904877625412</v>
      </c>
      <c r="M188" s="268" t="n"/>
      <c r="N188" s="296">
        <f>(N187-M187)/M187</f>
        <v>0.0759936963754159</v>
      </c>
      <c r="O188" s="296">
        <f>(O187-N187)/N187</f>
        <v>-0.0369406021155411</v>
      </c>
      <c r="P188" s="296">
        <f>(P187-O187)/O187</f>
        <v>0.0631970260223048</v>
      </c>
      <c r="Q188" s="296">
        <f>(Q187-P187)/P187</f>
        <v>-0.00254291163382072</v>
      </c>
      <c r="R188" s="268" t="n"/>
      <c r="S188" s="296">
        <f>(S187-R187)/R187</f>
        <v>0.0355321861057999</v>
      </c>
      <c r="T188" s="296">
        <f>(T187-S187)/S187</f>
        <v>-0.0470841667948915</v>
      </c>
      <c r="U188" s="296">
        <f>(U187-T187)/T187</f>
        <v>0.03794606814145</v>
      </c>
      <c r="V188" s="296">
        <f>(V187-U187)/U187</f>
        <v>0.0393590541381456</v>
      </c>
      <c r="W188" s="268" t="n"/>
      <c r="X188" s="296">
        <f>(X187-W187)/W187</f>
        <v>0.0580751384523275</v>
      </c>
      <c r="Y188" s="296">
        <f>(Y187-X187)/X187</f>
        <v>-0.0516338944688075</v>
      </c>
      <c r="Z188" s="296">
        <f>(Z187-Y187)/Y187</f>
        <v>0.0783114558472554</v>
      </c>
      <c r="AA188" s="296">
        <f>(AA187-Z187)/Z187</f>
        <v>0</v>
      </c>
      <c r="AB188" s="268" t="n"/>
      <c r="AC188" s="296">
        <f>(AC187-AB187)/AB187</f>
        <v>0.0569926684188684</v>
      </c>
      <c r="AD188" s="296">
        <f>(AD187-AC187)/AC187</f>
        <v>-0.0320638659861275</v>
      </c>
      <c r="AE188" s="296">
        <f>(AE187-AD187)/AD187</f>
        <v>0.0657111952406706</v>
      </c>
      <c r="AF188" s="311">
        <f>(AF187-AE187)/AE187</f>
        <v>0.000253742704897234</v>
      </c>
      <c r="AG188" s="268" t="n"/>
      <c r="AH188" s="311">
        <f>(AH187-AG187)/AG187</f>
        <v>0.0740740740740741</v>
      </c>
      <c r="AI188" s="311">
        <f>(AI187-AH187)/AH187</f>
        <v>-0.0356636750118092</v>
      </c>
      <c r="AJ188" s="311" t="n"/>
      <c r="AK188" s="311" t="n"/>
      <c r="AL188" s="268" t="n"/>
      <c r="AM188" s="311" t="n"/>
      <c r="AN188" s="311" t="n"/>
      <c r="AO188" s="311" t="n"/>
      <c r="AP188" s="311" t="n"/>
      <c r="AQ188" s="268" t="n"/>
      <c r="AR188" s="311" t="n"/>
      <c r="AS188" s="311" t="n"/>
      <c r="AT188" s="311" t="n"/>
      <c r="AU188" s="311" t="n"/>
      <c r="AV188" s="268" t="n"/>
      <c r="AW188" s="311" t="n"/>
      <c r="AX188" s="311" t="n"/>
      <c r="AY188" s="311" t="n"/>
      <c r="AZ188" s="311" t="n"/>
      <c r="BA188" s="268" t="n"/>
      <c r="BB188" s="311" t="n"/>
      <c r="BC188" s="311" t="n"/>
      <c r="BD188" s="311" t="n"/>
      <c r="BE188" s="311" t="n"/>
      <c r="BF188" s="268" t="n"/>
      <c r="BG188" s="311" t="n"/>
      <c r="BH188" s="311" t="n"/>
      <c r="BI188" s="311" t="n"/>
      <c r="BJ188" s="311" t="n"/>
      <c r="BK188" s="268" t="n"/>
      <c r="BL188" s="311" t="n"/>
      <c r="BM188" s="311" t="n"/>
      <c r="BN188" s="311" t="n"/>
      <c r="BO188" s="311" t="n"/>
      <c r="BP188" s="268" t="n"/>
      <c r="BQ188" s="311" t="n"/>
      <c r="BR188" s="311" t="n"/>
      <c r="BS188" s="311" t="n"/>
      <c r="BT188" s="311" t="n"/>
      <c r="BU188" s="268" t="n"/>
      <c r="BV188" s="311" t="n"/>
      <c r="BW188" s="311" t="n"/>
      <c r="BX188" s="311" t="n"/>
      <c r="BY188" s="311" t="n"/>
      <c r="BZ188" s="268" t="n"/>
      <c r="CA188" s="311" t="n"/>
      <c r="CB188" s="311" t="n"/>
      <c r="CC188" s="311" t="n"/>
      <c r="CD188" s="311" t="n"/>
      <c r="CE188" s="268" t="n"/>
      <c r="CF188" s="311" t="n"/>
      <c r="CG188" s="311" t="n"/>
      <c r="CH188" s="311" t="n"/>
      <c r="CI188" s="311" t="n"/>
      <c r="CJ188" s="268" t="n"/>
      <c r="CK188" s="311" t="n"/>
      <c r="CL188" s="311" t="n"/>
      <c r="CM188" s="311" t="n"/>
      <c r="CN188" s="311" t="n"/>
      <c r="CO188" s="268" t="n"/>
      <c r="CP188" s="311" t="n"/>
      <c r="CQ188" s="311" t="n"/>
      <c r="CR188" s="311" t="n"/>
      <c r="CS188" s="311" t="n"/>
      <c r="CT188" s="268" t="n"/>
      <c r="CU188" s="311" t="n"/>
      <c r="CV188" s="311" t="n"/>
      <c r="CW188" s="311" t="n"/>
      <c r="CX188" s="311" t="n"/>
      <c r="CY188" s="268" t="n"/>
    </row>
    <row r="189" ht="12.75" customHeight="1" s="255">
      <c r="C189" s="270" t="inlineStr">
        <is>
          <t>Taxes payable</t>
        </is>
      </c>
      <c r="D189" s="301">
        <f>INDEX('Inputs (2)'!$D$30:$AL$30,MATCH(D$7,'Inputs (2)'!$D$2:$AL$2,0))</f>
        <v>0</v>
      </c>
      <c r="E189" s="301">
        <f>INDEX('Inputs (2)'!$D$30:$AL$30,MATCH(E$7,'Inputs (2)'!$D$2:$AL$2,0))</f>
        <v>0</v>
      </c>
      <c r="F189" s="301">
        <f>INDEX('Inputs (2)'!$D$30:$AL$30,MATCH(F$7,'Inputs (2)'!$D$2:$AL$2,0))</f>
        <v>0</v>
      </c>
      <c r="G189" s="301">
        <f>INDEX('Inputs (2)'!$D$30:$AL$30,MATCH(G$7,'Inputs (2)'!$D$2:$AL$2,0))</f>
        <v>0</v>
      </c>
      <c r="H189" s="268">
        <f>G189</f>
        <v>0</v>
      </c>
      <c r="I189" s="301">
        <f>INDEX('Inputs (2)'!$D$30:$AL$30,MATCH(I$7,'Inputs (2)'!$D$2:$AL$2,0))</f>
        <v>0</v>
      </c>
      <c r="J189" s="301">
        <f>INDEX('Inputs (2)'!$D$30:$AL$30,MATCH(J$7,'Inputs (2)'!$D$2:$AL$2,0))</f>
        <v>0</v>
      </c>
      <c r="K189" s="301">
        <f>INDEX('Inputs (2)'!$D$30:$AL$30,MATCH(K$7,'Inputs (2)'!$D$2:$AL$2,0))</f>
        <v>0</v>
      </c>
      <c r="L189" s="301">
        <f>INDEX('Inputs (2)'!$D$30:$AL$30,MATCH(L$7,'Inputs (2)'!$D$2:$AL$2,0))</f>
        <v>0</v>
      </c>
      <c r="M189" s="268">
        <f>L189</f>
        <v>0</v>
      </c>
      <c r="N189" s="301">
        <f>INDEX('Inputs (2)'!$D$30:$AL$30,MATCH(N$7,'Inputs (2)'!$D$2:$AL$2,0))</f>
        <v>0</v>
      </c>
      <c r="O189" s="301">
        <f>INDEX('Inputs (2)'!$D$30:$AL$30,MATCH(O$7,'Inputs (2)'!$D$2:$AL$2,0))</f>
        <v>0</v>
      </c>
      <c r="P189" s="301">
        <f>INDEX('Inputs (2)'!$D$30:$AL$30,MATCH(P$7,'Inputs (2)'!$D$2:$AL$2,0))</f>
        <v>0</v>
      </c>
      <c r="Q189" s="301">
        <f>INDEX('Inputs (2)'!$D$30:$AL$30,MATCH(Q$7,'Inputs (2)'!$D$2:$AL$2,0))</f>
        <v>0</v>
      </c>
      <c r="R189" s="268">
        <f>Q189</f>
        <v>0</v>
      </c>
      <c r="S189" s="301">
        <f>INDEX('Inputs (2)'!$D$30:$AL$30,MATCH(S$7,'Inputs (2)'!$D$2:$AL$2,0))</f>
        <v>0</v>
      </c>
      <c r="T189" s="301">
        <f>INDEX('Inputs (2)'!$D$30:$AL$30,MATCH(T$7,'Inputs (2)'!$D$2:$AL$2,0))</f>
        <v>0</v>
      </c>
      <c r="U189" s="301">
        <f>INDEX('Inputs (2)'!$D$30:$AL$30,MATCH(U$7,'Inputs (2)'!$D$2:$AL$2,0))</f>
        <v>0</v>
      </c>
      <c r="V189" s="301">
        <f>INDEX('Inputs (2)'!$D$30:$AL$30,MATCH(V$7,'Inputs (2)'!$D$2:$AL$2,0))</f>
        <v>0</v>
      </c>
      <c r="W189" s="268">
        <f>V189</f>
        <v>0</v>
      </c>
      <c r="X189" s="301">
        <f>INDEX('Inputs (2)'!$D$30:$AL$30,MATCH(X$7,'Inputs (2)'!$D$2:$AL$2,0))</f>
        <v>0</v>
      </c>
      <c r="Y189" s="301">
        <f>INDEX('Inputs (2)'!$D$30:$AL$30,MATCH(Y$7,'Inputs (2)'!$D$2:$AL$2,0))</f>
        <v>0</v>
      </c>
      <c r="Z189" s="301">
        <f>INDEX('Inputs (2)'!$D$30:$AL$30,MATCH(Z$7,'Inputs (2)'!$D$2:$AL$2,0))</f>
        <v>0</v>
      </c>
      <c r="AA189" s="301">
        <f>INDEX('Inputs (2)'!$D$30:$AL$30,MATCH(AA$7,'Inputs (2)'!$D$2:$AL$2,0))</f>
        <v>0</v>
      </c>
      <c r="AB189" s="268">
        <f>AA189</f>
        <v>0</v>
      </c>
      <c r="AC189" s="301">
        <f>INDEX('Inputs (2)'!$D$30:$AL$30,MATCH(AC$7,'Inputs (2)'!$D$2:$AL$2,0))</f>
        <v>0</v>
      </c>
      <c r="AD189" s="301">
        <f>INDEX('Inputs (2)'!$D$30:$AL$30,MATCH(AD$7,'Inputs (2)'!$D$2:$AL$2,0))</f>
        <v>0</v>
      </c>
      <c r="AE189" s="301">
        <f>INDEX('Inputs (2)'!$D$30:$AL$30,MATCH(AE$7,'Inputs (2)'!$D$2:$AL$2,0))</f>
        <v>0</v>
      </c>
      <c r="AF189" s="301">
        <f>INDEX('Inputs (2)'!$D$30:$AL$30,MATCH(AF$7,'Inputs (2)'!$D$2:$AL$2,0))</f>
        <v>0</v>
      </c>
      <c r="AG189" s="268">
        <f>AF189</f>
        <v>0</v>
      </c>
      <c r="AH189" s="268">
        <f>INDEX('Inputs (2)'!$D$30:$AL$30,MATCH(AH$7,'Inputs (2)'!$D$2:$AL$2,0))</f>
        <v>0</v>
      </c>
      <c r="AI189" s="268">
        <f>INDEX('Inputs (2)'!$D$30:$AL$30,MATCH(AI$7,'Inputs (2)'!$D$2:$AL$2,0))</f>
        <v>0</v>
      </c>
      <c r="AJ189" s="268">
        <f>AH189*AJ116/AH116</f>
        <v>0</v>
      </c>
      <c r="AK189" s="268">
        <f>AI189*AK116/AI116</f>
        <v>0</v>
      </c>
      <c r="AL189" s="268">
        <f>AK189</f>
        <v>0</v>
      </c>
      <c r="AM189" s="268" t="e">
        <f>AK189*AM116/AK116</f>
        <v>#DIV/0!</v>
      </c>
      <c r="AN189" s="268">
        <f>AL189*AN116/AL116</f>
        <v>0</v>
      </c>
      <c r="AO189" s="268" t="e">
        <f>AM189*AO116/AM116</f>
        <v>#DIV/0!</v>
      </c>
      <c r="AP189" s="268" t="e">
        <f>AN189*AP116/AN116</f>
        <v>#DIV/0!</v>
      </c>
      <c r="AQ189" s="268" t="e">
        <f>AP189</f>
        <v>#DIV/0!</v>
      </c>
      <c r="AR189" s="268" t="e">
        <f>AP189*AR116/AP116</f>
        <v>#DIV/0!</v>
      </c>
      <c r="AS189" s="268" t="e">
        <f>AQ189*AS116/AQ116</f>
        <v>#DIV/0!</v>
      </c>
      <c r="AT189" s="268" t="e">
        <f>AR189*AT116/AR116</f>
        <v>#DIV/0!</v>
      </c>
      <c r="AU189" s="268" t="e">
        <f>AS189*AU116/AS116</f>
        <v>#DIV/0!</v>
      </c>
      <c r="AV189" s="268" t="e">
        <f>AU189</f>
        <v>#DIV/0!</v>
      </c>
      <c r="AW189" s="268" t="e">
        <f>AU189*AW116/AU116</f>
        <v>#DIV/0!</v>
      </c>
      <c r="AX189" s="268" t="e">
        <f>AV189*AX116/AV116</f>
        <v>#DIV/0!</v>
      </c>
      <c r="AY189" s="268" t="e">
        <f>AW189*AY116/AW116</f>
        <v>#DIV/0!</v>
      </c>
      <c r="AZ189" s="268" t="e">
        <f>AX189*AZ116/AX116</f>
        <v>#DIV/0!</v>
      </c>
      <c r="BA189" s="268" t="e">
        <f>AZ189</f>
        <v>#DIV/0!</v>
      </c>
      <c r="BB189" s="268" t="e">
        <f>AZ189*BB116/AZ116</f>
        <v>#DIV/0!</v>
      </c>
      <c r="BC189" s="268" t="e">
        <f>BA189*BC116/BA116</f>
        <v>#DIV/0!</v>
      </c>
      <c r="BD189" s="268" t="e">
        <f>BB189*BD116/BB116</f>
        <v>#DIV/0!</v>
      </c>
      <c r="BE189" s="268" t="e">
        <f>BC189*BE116/BC116</f>
        <v>#DIV/0!</v>
      </c>
      <c r="BF189" s="268" t="e">
        <f>BE189</f>
        <v>#DIV/0!</v>
      </c>
      <c r="BG189" s="268" t="e">
        <f>BE189*BG116/BE116</f>
        <v>#DIV/0!</v>
      </c>
      <c r="BH189" s="268" t="e">
        <f>BF189*BH116/BF116</f>
        <v>#DIV/0!</v>
      </c>
      <c r="BI189" s="268" t="e">
        <f>BG189*BI116/BG116</f>
        <v>#DIV/0!</v>
      </c>
      <c r="BJ189" s="268" t="e">
        <f>BH189*BJ116/BH116</f>
        <v>#DIV/0!</v>
      </c>
      <c r="BK189" s="268" t="e">
        <f>BJ189</f>
        <v>#DIV/0!</v>
      </c>
      <c r="BL189" s="268" t="e">
        <f>BJ189*BL116/BJ116</f>
        <v>#DIV/0!</v>
      </c>
      <c r="BM189" s="268" t="e">
        <f>BK189*BM116/BK116</f>
        <v>#DIV/0!</v>
      </c>
      <c r="BN189" s="268" t="e">
        <f>BL189*BN116/BL116</f>
        <v>#DIV/0!</v>
      </c>
      <c r="BO189" s="268" t="e">
        <f>BM189*BO116/BM116</f>
        <v>#DIV/0!</v>
      </c>
      <c r="BP189" s="268" t="e">
        <f>BO189</f>
        <v>#DIV/0!</v>
      </c>
      <c r="BQ189" s="268" t="e">
        <f>BO189*BQ116/BO116</f>
        <v>#DIV/0!</v>
      </c>
      <c r="BR189" s="268" t="e">
        <f>BP189*BR116/BP116</f>
        <v>#DIV/0!</v>
      </c>
      <c r="BS189" s="268" t="e">
        <f>BQ189*BS116/BQ116</f>
        <v>#DIV/0!</v>
      </c>
      <c r="BT189" s="268" t="e">
        <f>BR189*BT116/BR116</f>
        <v>#DIV/0!</v>
      </c>
      <c r="BU189" s="268" t="e">
        <f>BT189</f>
        <v>#DIV/0!</v>
      </c>
      <c r="BV189" s="268" t="e">
        <f>BT189*BV116/BT116</f>
        <v>#DIV/0!</v>
      </c>
      <c r="BW189" s="268" t="e">
        <f>BU189*BW116/BU116</f>
        <v>#DIV/0!</v>
      </c>
      <c r="BX189" s="268" t="e">
        <f>BV189*BX116/BV116</f>
        <v>#DIV/0!</v>
      </c>
      <c r="BY189" s="268" t="e">
        <f>BW189*BY116/BW116</f>
        <v>#DIV/0!</v>
      </c>
      <c r="BZ189" s="268" t="e">
        <f>BY189</f>
        <v>#DIV/0!</v>
      </c>
      <c r="CA189" s="268" t="e">
        <f>BY189*CA116/BY116</f>
        <v>#DIV/0!</v>
      </c>
      <c r="CB189" s="268" t="e">
        <f>BZ189*CB116/BZ116</f>
        <v>#DIV/0!</v>
      </c>
      <c r="CC189" s="268" t="e">
        <f>CA189*CC116/CA116</f>
        <v>#DIV/0!</v>
      </c>
      <c r="CD189" s="268" t="e">
        <f>CB189*CD116/CB116</f>
        <v>#DIV/0!</v>
      </c>
      <c r="CE189" s="268" t="e">
        <f>CD189</f>
        <v>#DIV/0!</v>
      </c>
      <c r="CF189" s="268" t="e">
        <f>CD189*CF116/CD116</f>
        <v>#DIV/0!</v>
      </c>
      <c r="CG189" s="268" t="e">
        <f>CE189*CG116/CE116</f>
        <v>#DIV/0!</v>
      </c>
      <c r="CH189" s="268" t="e">
        <f>CF189*CH116/CF116</f>
        <v>#DIV/0!</v>
      </c>
      <c r="CI189" s="268" t="e">
        <f>CG189*CI116/CG116</f>
        <v>#DIV/0!</v>
      </c>
      <c r="CJ189" s="268" t="e">
        <f>CI189</f>
        <v>#DIV/0!</v>
      </c>
      <c r="CK189" s="268" t="e">
        <f>CI189*CK116/CI116</f>
        <v>#DIV/0!</v>
      </c>
      <c r="CL189" s="268" t="e">
        <f>CJ189*CL116/CJ116</f>
        <v>#DIV/0!</v>
      </c>
      <c r="CM189" s="268" t="e">
        <f>CK189*CM116/CK116</f>
        <v>#DIV/0!</v>
      </c>
      <c r="CN189" s="268" t="e">
        <f>CL189*CN116/CL116</f>
        <v>#DIV/0!</v>
      </c>
      <c r="CO189" s="268" t="e">
        <f>CN189</f>
        <v>#DIV/0!</v>
      </c>
      <c r="CP189" s="268" t="e">
        <f>CN189*CP116/CN116</f>
        <v>#DIV/0!</v>
      </c>
      <c r="CQ189" s="268" t="e">
        <f>CO189*CQ116/CO116</f>
        <v>#DIV/0!</v>
      </c>
      <c r="CR189" s="268" t="e">
        <f>CP189*CR116/CP116</f>
        <v>#DIV/0!</v>
      </c>
      <c r="CS189" s="268" t="e">
        <f>CQ189*CS116/CQ116</f>
        <v>#DIV/0!</v>
      </c>
      <c r="CT189" s="268" t="e">
        <f>CS189</f>
        <v>#DIV/0!</v>
      </c>
      <c r="CU189" s="268" t="e">
        <f>CS189*CU116/CS116</f>
        <v>#DIV/0!</v>
      </c>
      <c r="CV189" s="268" t="e">
        <f>CT189*CV116/CT116</f>
        <v>#DIV/0!</v>
      </c>
      <c r="CW189" s="268" t="e">
        <f>CU189*CW116/CU116</f>
        <v>#DIV/0!</v>
      </c>
      <c r="CX189" s="268" t="e">
        <f>CV189*CX116/CV116</f>
        <v>#DIV/0!</v>
      </c>
      <c r="CY189" s="268" t="e">
        <f>CX189</f>
        <v>#DIV/0!</v>
      </c>
    </row>
    <row r="190" ht="12.75" customHeight="1" s="255">
      <c r="C190" s="270" t="inlineStr">
        <is>
          <t>Other current liabilities (non-debt)</t>
        </is>
      </c>
      <c r="D190" s="301">
        <f>INDEX('Inputs (2)'!$D$31:$AL$31,MATCH(D$7,'Inputs (2)'!$D$2:$AL$2,0))</f>
        <v>7708</v>
      </c>
      <c r="E190" s="301">
        <f>INDEX('Inputs (2)'!$D$31:$AL$31,MATCH(E$7,'Inputs (2)'!$D$2:$AL$2,0))</f>
        <v>7223</v>
      </c>
      <c r="F190" s="301">
        <f>INDEX('Inputs (2)'!$D$31:$AL$31,MATCH(F$7,'Inputs (2)'!$D$2:$AL$2,0))</f>
        <v>6972</v>
      </c>
      <c r="G190" s="301">
        <f>INDEX('Inputs (2)'!$D$31:$AL$31,MATCH(G$7,'Inputs (2)'!$D$2:$AL$2,0))</f>
        <v>10520</v>
      </c>
      <c r="H190" s="268">
        <f>G190</f>
        <v>10520</v>
      </c>
      <c r="I190" s="301">
        <f>INDEX('Inputs (2)'!$D$31:$AL$31,MATCH(I$7,'Inputs (2)'!$D$2:$AL$2,0))</f>
        <v>6413</v>
      </c>
      <c r="J190" s="301">
        <f>INDEX('Inputs (2)'!$D$31:$AL$31,MATCH(J$7,'Inputs (2)'!$D$2:$AL$2,0))</f>
        <v>6909</v>
      </c>
      <c r="K190" s="301">
        <f>INDEX('Inputs (2)'!$D$31:$AL$31,MATCH(K$7,'Inputs (2)'!$D$2:$AL$2,0))</f>
        <v>6603</v>
      </c>
      <c r="L190" s="301">
        <f>INDEX('Inputs (2)'!$D$31:$AL$31,MATCH(L$7,'Inputs (2)'!$D$2:$AL$2,0))</f>
        <v>7271</v>
      </c>
      <c r="M190" s="268">
        <f>L190</f>
        <v>7271</v>
      </c>
      <c r="N190" s="301">
        <f>INDEX('Inputs (2)'!$D$31:$AL$31,MATCH(N$7,'Inputs (2)'!$D$2:$AL$2,0))</f>
        <v>8311</v>
      </c>
      <c r="O190" s="301">
        <f>INDEX('Inputs (2)'!$D$31:$AL$31,MATCH(O$7,'Inputs (2)'!$D$2:$AL$2,0))</f>
        <v>8199</v>
      </c>
      <c r="P190" s="301">
        <f>INDEX('Inputs (2)'!$D$31:$AL$31,MATCH(P$7,'Inputs (2)'!$D$2:$AL$2,0))</f>
        <v>7785</v>
      </c>
      <c r="Q190" s="301">
        <f>INDEX('Inputs (2)'!$D$31:$AL$31,MATCH(Q$7,'Inputs (2)'!$D$2:$AL$2,0))</f>
        <v>8372</v>
      </c>
      <c r="R190" s="268">
        <f>Q190</f>
        <v>8372</v>
      </c>
      <c r="S190" s="301">
        <f>INDEX('Inputs (2)'!$D$31:$AL$31,MATCH(S$7,'Inputs (2)'!$D$2:$AL$2,0))</f>
        <v>9534</v>
      </c>
      <c r="T190" s="301">
        <f>INDEX('Inputs (2)'!$D$31:$AL$31,MATCH(T$7,'Inputs (2)'!$D$2:$AL$2,0))</f>
        <v>8662</v>
      </c>
      <c r="U190" s="301">
        <f>INDEX('Inputs (2)'!$D$31:$AL$31,MATCH(U$7,'Inputs (2)'!$D$2:$AL$2,0))</f>
        <v>8591</v>
      </c>
      <c r="V190" s="301">
        <f>INDEX('Inputs (2)'!$D$31:$AL$31,MATCH(V$7,'Inputs (2)'!$D$2:$AL$2,0))</f>
        <v>8650</v>
      </c>
      <c r="W190" s="268">
        <f>V190</f>
        <v>8650</v>
      </c>
      <c r="X190" s="301">
        <f>INDEX('Inputs (2)'!$D$31:$AL$31,MATCH(X$7,'Inputs (2)'!$D$2:$AL$2,0))</f>
        <v>9045</v>
      </c>
      <c r="Y190" s="301">
        <f>INDEX('Inputs (2)'!$D$31:$AL$31,MATCH(Y$7,'Inputs (2)'!$D$2:$AL$2,0))</f>
        <v>8736</v>
      </c>
      <c r="Z190" s="301">
        <f>INDEX('Inputs (2)'!$D$31:$AL$31,MATCH(Z$7,'Inputs (2)'!$D$2:$AL$2,0))</f>
        <v>8711</v>
      </c>
      <c r="AA190" s="301">
        <f>INDEX('Inputs (2)'!$D$31:$AL$31,MATCH(AA$7,'Inputs (2)'!$D$2:$AL$2,0))</f>
        <v>9267</v>
      </c>
      <c r="AB190" s="268">
        <f>AA190</f>
        <v>9267</v>
      </c>
      <c r="AC190" s="301">
        <f>INDEX('Inputs (2)'!$D$31:$AL$31,MATCH(AC$7,'Inputs (2)'!$D$2:$AL$2,0))</f>
        <v>10748</v>
      </c>
      <c r="AD190" s="301">
        <f>INDEX('Inputs (2)'!$D$31:$AL$31,MATCH(AD$7,'Inputs (2)'!$D$2:$AL$2,0))</f>
        <v>10363</v>
      </c>
      <c r="AE190" s="301">
        <f>INDEX('Inputs (2)'!$D$31:$AL$31,MATCH(AE$7,'Inputs (2)'!$D$2:$AL$2,0))</f>
        <v>9443</v>
      </c>
      <c r="AF190" s="301">
        <f>INDEX('Inputs (2)'!$D$31:$AL$31,MATCH(AF$7,'Inputs (2)'!$D$2:$AL$2,0))</f>
        <v>10408</v>
      </c>
      <c r="AG190" s="268">
        <f>AF190</f>
        <v>10408</v>
      </c>
      <c r="AH190" s="268">
        <f>INDEX('Inputs (2)'!$D$31:$AL$31,MATCH(AH$7,'Inputs (2)'!$D$2:$AL$2,0))</f>
        <v>11648</v>
      </c>
      <c r="AI190" s="268">
        <f>INDEX('Inputs (2)'!$D$31:$AL$31,MATCH(AI$7,'Inputs (2)'!$D$2:$AL$2,0))</f>
        <v>11596</v>
      </c>
      <c r="AJ190" s="268">
        <f>AI190</f>
        <v>11596</v>
      </c>
      <c r="AK190" s="268">
        <f>AJ190</f>
        <v>11596</v>
      </c>
      <c r="AL190" s="268">
        <f>AK190</f>
        <v>11596</v>
      </c>
      <c r="AM190" s="268">
        <f>AL190</f>
        <v>11596</v>
      </c>
      <c r="AN190" s="268">
        <f>AM190</f>
        <v>11596</v>
      </c>
      <c r="AO190" s="268">
        <f>AN190</f>
        <v>11596</v>
      </c>
      <c r="AP190" s="268">
        <f>AO190</f>
        <v>11596</v>
      </c>
      <c r="AQ190" s="268">
        <f>AP190</f>
        <v>11596</v>
      </c>
      <c r="AR190" s="268">
        <f>AQ190</f>
        <v>11596</v>
      </c>
      <c r="AS190" s="268">
        <f>AR190</f>
        <v>11596</v>
      </c>
      <c r="AT190" s="268">
        <f>AS190</f>
        <v>11596</v>
      </c>
      <c r="AU190" s="268">
        <f>AT190</f>
        <v>11596</v>
      </c>
      <c r="AV190" s="268">
        <f>AU190</f>
        <v>11596</v>
      </c>
      <c r="AW190" s="268">
        <f>AV190</f>
        <v>11596</v>
      </c>
      <c r="AX190" s="268">
        <f>AW190</f>
        <v>11596</v>
      </c>
      <c r="AY190" s="268">
        <f>AX190</f>
        <v>11596</v>
      </c>
      <c r="AZ190" s="268">
        <f>AY190</f>
        <v>11596</v>
      </c>
      <c r="BA190" s="268">
        <f>AZ190</f>
        <v>11596</v>
      </c>
      <c r="BB190" s="268">
        <f>BA190</f>
        <v>11596</v>
      </c>
      <c r="BC190" s="268">
        <f>BB190</f>
        <v>11596</v>
      </c>
      <c r="BD190" s="268">
        <f>BC190</f>
        <v>11596</v>
      </c>
      <c r="BE190" s="268">
        <f>BD190</f>
        <v>11596</v>
      </c>
      <c r="BF190" s="268">
        <f>BE190</f>
        <v>11596</v>
      </c>
      <c r="BG190" s="268">
        <f>BF190</f>
        <v>11596</v>
      </c>
      <c r="BH190" s="268">
        <f>BG190</f>
        <v>11596</v>
      </c>
      <c r="BI190" s="268">
        <f>BH190</f>
        <v>11596</v>
      </c>
      <c r="BJ190" s="268">
        <f>BI190</f>
        <v>11596</v>
      </c>
      <c r="BK190" s="268">
        <f>BJ190</f>
        <v>11596</v>
      </c>
      <c r="BL190" s="268">
        <f>BK190</f>
        <v>11596</v>
      </c>
      <c r="BM190" s="268">
        <f>BL190</f>
        <v>11596</v>
      </c>
      <c r="BN190" s="268">
        <f>BM190</f>
        <v>11596</v>
      </c>
      <c r="BO190" s="268">
        <f>BN190</f>
        <v>11596</v>
      </c>
      <c r="BP190" s="268">
        <f>BO190</f>
        <v>11596</v>
      </c>
      <c r="BQ190" s="268">
        <f>BP190</f>
        <v>11596</v>
      </c>
      <c r="BR190" s="268">
        <f>BQ190</f>
        <v>11596</v>
      </c>
      <c r="BS190" s="268">
        <f>BR190</f>
        <v>11596</v>
      </c>
      <c r="BT190" s="268">
        <f>BS190</f>
        <v>11596</v>
      </c>
      <c r="BU190" s="268">
        <f>BT190</f>
        <v>11596</v>
      </c>
      <c r="BV190" s="268">
        <f>BU190</f>
        <v>11596</v>
      </c>
      <c r="BW190" s="268">
        <f>BV190</f>
        <v>11596</v>
      </c>
      <c r="BX190" s="268">
        <f>BW190</f>
        <v>11596</v>
      </c>
      <c r="BY190" s="268">
        <f>BX190</f>
        <v>11596</v>
      </c>
      <c r="BZ190" s="268">
        <f>BY190</f>
        <v>11596</v>
      </c>
      <c r="CA190" s="268">
        <f>BZ190</f>
        <v>11596</v>
      </c>
      <c r="CB190" s="268">
        <f>CA190</f>
        <v>11596</v>
      </c>
      <c r="CC190" s="268">
        <f>CB190</f>
        <v>11596</v>
      </c>
      <c r="CD190" s="268">
        <f>CC190</f>
        <v>11596</v>
      </c>
      <c r="CE190" s="268">
        <f>CD190</f>
        <v>11596</v>
      </c>
      <c r="CF190" s="268">
        <f>CE190</f>
        <v>11596</v>
      </c>
      <c r="CG190" s="268">
        <f>CF190</f>
        <v>11596</v>
      </c>
      <c r="CH190" s="268">
        <f>CG190</f>
        <v>11596</v>
      </c>
      <c r="CI190" s="268">
        <f>CH190</f>
        <v>11596</v>
      </c>
      <c r="CJ190" s="268">
        <f>CI190</f>
        <v>11596</v>
      </c>
      <c r="CK190" s="268">
        <f>CJ190</f>
        <v>11596</v>
      </c>
      <c r="CL190" s="268">
        <f>CK190</f>
        <v>11596</v>
      </c>
      <c r="CM190" s="268">
        <f>CL190</f>
        <v>11596</v>
      </c>
      <c r="CN190" s="268">
        <f>CM190</f>
        <v>11596</v>
      </c>
      <c r="CO190" s="268">
        <f>CN190</f>
        <v>11596</v>
      </c>
      <c r="CP190" s="268">
        <f>CO190</f>
        <v>11596</v>
      </c>
      <c r="CQ190" s="268">
        <f>CP190</f>
        <v>11596</v>
      </c>
      <c r="CR190" s="268">
        <f>CQ190</f>
        <v>11596</v>
      </c>
      <c r="CS190" s="268">
        <f>CR190</f>
        <v>11596</v>
      </c>
      <c r="CT190" s="268">
        <f>CS190</f>
        <v>11596</v>
      </c>
      <c r="CU190" s="268">
        <f>CT190</f>
        <v>11596</v>
      </c>
      <c r="CV190" s="268">
        <f>CU190</f>
        <v>11596</v>
      </c>
      <c r="CW190" s="268">
        <f>CV190</f>
        <v>11596</v>
      </c>
      <c r="CX190" s="268">
        <f>CW190</f>
        <v>11596</v>
      </c>
      <c r="CY190" s="268">
        <f>CX190</f>
        <v>11596</v>
      </c>
    </row>
    <row r="191" hidden="1" outlineLevel="1" ht="12.75" customHeight="1" s="255">
      <c r="C191" s="314" t="inlineStr">
        <is>
          <t>%(Var.)</t>
        </is>
      </c>
      <c r="D191" s="268" t="n"/>
      <c r="E191" s="296">
        <f>(E190-D190)/D190</f>
        <v>-0.0629216398546964</v>
      </c>
      <c r="F191" s="296">
        <f>(F190-E190)/E190</f>
        <v>-0.0347501038349716</v>
      </c>
      <c r="G191" s="296">
        <f>(G190-F190)/F190</f>
        <v>0.508892713711991</v>
      </c>
      <c r="H191" s="268" t="n"/>
      <c r="I191" s="296">
        <f>(I190-H190)/H190</f>
        <v>-0.390399239543726</v>
      </c>
      <c r="J191" s="296">
        <f>(J190-I190)/I190</f>
        <v>0.0773428972399813</v>
      </c>
      <c r="K191" s="296">
        <f>(K190-J190)/J190</f>
        <v>-0.0442900564481112</v>
      </c>
      <c r="L191" s="296">
        <f>(L190-K190)/K190</f>
        <v>0.101166136604574</v>
      </c>
      <c r="M191" s="268" t="n"/>
      <c r="N191" s="296">
        <f>(N190-M190)/M190</f>
        <v>0.14303397056801</v>
      </c>
      <c r="O191" s="296">
        <f>(O190-N190)/N190</f>
        <v>-0.0134761159908555</v>
      </c>
      <c r="P191" s="296">
        <f>(P190-O190)/O190</f>
        <v>-0.0504939626783754</v>
      </c>
      <c r="Q191" s="296">
        <f>(Q190-P190)/P190</f>
        <v>0.0754014129736673</v>
      </c>
      <c r="R191" s="268" t="n"/>
      <c r="S191" s="296">
        <f>(S190-R190)/R190</f>
        <v>0.138795986622074</v>
      </c>
      <c r="T191" s="296">
        <f>(T190-S190)/S190</f>
        <v>-0.091462135514999</v>
      </c>
      <c r="U191" s="296">
        <f>(U190-T190)/T190</f>
        <v>-0.00819672131147541</v>
      </c>
      <c r="V191" s="296">
        <f>(V190-U190)/U190</f>
        <v>0.00686765219415668</v>
      </c>
      <c r="W191" s="268" t="n"/>
      <c r="X191" s="296">
        <f>(X190-W190)/W190</f>
        <v>0.0456647398843931</v>
      </c>
      <c r="Y191" s="296">
        <f>(Y190-X190)/X190</f>
        <v>-0.0341625207296849</v>
      </c>
      <c r="Z191" s="296">
        <f>(Z190-Y190)/Y190</f>
        <v>-0.00286172161172161</v>
      </c>
      <c r="AA191" s="296">
        <f>(AA190-Z190)/Z190</f>
        <v>0.06382734473654</v>
      </c>
      <c r="AB191" s="268" t="n"/>
      <c r="AC191" s="296">
        <f>(AC190-AB190)/AB190</f>
        <v>0.159814395165642</v>
      </c>
      <c r="AD191" s="296">
        <f>(AD190-AC190)/AC190</f>
        <v>-0.0358206177893562</v>
      </c>
      <c r="AE191" s="296">
        <f>(AE190-AD190)/AD190</f>
        <v>-0.0887773810672585</v>
      </c>
      <c r="AF191" s="311">
        <f>(AF190-AE190)/AE190</f>
        <v>0.10219209996823</v>
      </c>
      <c r="AG191" s="268" t="n"/>
      <c r="AH191" s="311">
        <f>(AH190-AG190)/AG190</f>
        <v>0.119139123750961</v>
      </c>
      <c r="AI191" s="311">
        <f>(AI190-AH190)/AH190</f>
        <v>-0.00446428571428571</v>
      </c>
      <c r="AJ191" s="311" t="n"/>
      <c r="AK191" s="311" t="n"/>
      <c r="AL191" s="268" t="n"/>
      <c r="AM191" s="311" t="n"/>
      <c r="AN191" s="311" t="n"/>
      <c r="AO191" s="311" t="n"/>
      <c r="AP191" s="311" t="n"/>
      <c r="AQ191" s="268" t="n"/>
      <c r="AR191" s="311" t="n"/>
      <c r="AS191" s="311" t="n"/>
      <c r="AT191" s="311" t="n"/>
      <c r="AU191" s="311" t="n"/>
      <c r="AV191" s="268" t="n"/>
      <c r="AW191" s="311" t="n"/>
      <c r="AX191" s="311" t="n"/>
      <c r="AY191" s="311" t="n"/>
      <c r="AZ191" s="311" t="n"/>
      <c r="BA191" s="268" t="n"/>
      <c r="BB191" s="311" t="n"/>
      <c r="BC191" s="311" t="n"/>
      <c r="BD191" s="311" t="n"/>
      <c r="BE191" s="311" t="n"/>
      <c r="BF191" s="268" t="n"/>
      <c r="BG191" s="311" t="n"/>
      <c r="BH191" s="311" t="n"/>
      <c r="BI191" s="311" t="n"/>
      <c r="BJ191" s="311" t="n"/>
      <c r="BK191" s="268" t="n"/>
      <c r="BL191" s="311" t="n"/>
      <c r="BM191" s="311" t="n"/>
      <c r="BN191" s="311" t="n"/>
      <c r="BO191" s="311" t="n"/>
      <c r="BP191" s="268" t="n"/>
      <c r="BQ191" s="311" t="n"/>
      <c r="BR191" s="311" t="n"/>
      <c r="BS191" s="311" t="n"/>
      <c r="BT191" s="311" t="n"/>
      <c r="BU191" s="268" t="n"/>
      <c r="BV191" s="311" t="n"/>
      <c r="BW191" s="311" t="n"/>
      <c r="BX191" s="311" t="n"/>
      <c r="BY191" s="311" t="n"/>
      <c r="BZ191" s="268" t="n"/>
      <c r="CA191" s="311" t="n"/>
      <c r="CB191" s="311" t="n"/>
      <c r="CC191" s="311" t="n"/>
      <c r="CD191" s="311" t="n"/>
      <c r="CE191" s="268" t="n"/>
      <c r="CF191" s="311" t="n"/>
      <c r="CG191" s="311" t="n"/>
      <c r="CH191" s="311" t="n"/>
      <c r="CI191" s="311" t="n"/>
      <c r="CJ191" s="268" t="n"/>
      <c r="CK191" s="311" t="n"/>
      <c r="CL191" s="311" t="n"/>
      <c r="CM191" s="311" t="n"/>
      <c r="CN191" s="311" t="n"/>
      <c r="CO191" s="268" t="n"/>
      <c r="CP191" s="311" t="n"/>
      <c r="CQ191" s="311" t="n"/>
      <c r="CR191" s="311" t="n"/>
      <c r="CS191" s="311" t="n"/>
      <c r="CT191" s="268" t="n"/>
      <c r="CU191" s="311" t="n"/>
      <c r="CV191" s="311" t="n"/>
      <c r="CW191" s="311" t="n"/>
      <c r="CX191" s="311" t="n"/>
      <c r="CY191" s="268" t="n"/>
    </row>
    <row r="192" hidden="1" outlineLevel="1" ht="12.75" customHeight="1" s="255">
      <c r="C192" s="312" t="n"/>
      <c r="D192" s="268" t="n"/>
      <c r="E192" s="268" t="n"/>
      <c r="F192" s="268" t="n"/>
      <c r="G192" s="268" t="n"/>
      <c r="H192" s="268" t="n"/>
      <c r="I192" s="268" t="n"/>
      <c r="J192" s="268" t="n"/>
      <c r="K192" s="268" t="n"/>
      <c r="L192" s="268" t="n"/>
      <c r="M192" s="268" t="n"/>
      <c r="N192" s="268" t="n"/>
      <c r="O192" s="268" t="n"/>
      <c r="P192" s="268" t="n"/>
      <c r="Q192" s="268" t="n"/>
      <c r="R192" s="268" t="n"/>
      <c r="S192" s="268" t="n"/>
      <c r="T192" s="268" t="n"/>
      <c r="U192" s="268" t="n"/>
      <c r="V192" s="268" t="n"/>
      <c r="W192" s="268" t="n"/>
      <c r="X192" s="268" t="n"/>
      <c r="Y192" s="268" t="n"/>
      <c r="Z192" s="268" t="n"/>
      <c r="AA192" s="268" t="n"/>
      <c r="AB192" s="268" t="n"/>
      <c r="AC192" s="268" t="n"/>
      <c r="AD192" s="268" t="n"/>
      <c r="AE192" s="268" t="n"/>
      <c r="AF192" s="268" t="n"/>
      <c r="AG192" s="268" t="n"/>
      <c r="AH192" s="268" t="n"/>
      <c r="AI192" s="268" t="n"/>
      <c r="AJ192" s="268" t="n"/>
      <c r="AK192" s="268" t="n"/>
      <c r="AL192" s="268" t="n"/>
      <c r="AM192" s="268" t="n"/>
      <c r="AN192" s="268" t="n"/>
      <c r="AO192" s="268" t="n"/>
      <c r="AP192" s="268" t="n"/>
      <c r="AQ192" s="268" t="n"/>
      <c r="AR192" s="268" t="n"/>
      <c r="AS192" s="268" t="n"/>
      <c r="AT192" s="268" t="n"/>
      <c r="AU192" s="268" t="n"/>
      <c r="AV192" s="268" t="n"/>
      <c r="AW192" s="268" t="n"/>
      <c r="AX192" s="268" t="n"/>
      <c r="AY192" s="268" t="n"/>
      <c r="AZ192" s="268" t="n"/>
      <c r="BA192" s="268" t="n"/>
      <c r="BB192" s="268" t="n"/>
      <c r="BC192" s="268" t="n"/>
      <c r="BD192" s="268" t="n"/>
      <c r="BE192" s="268" t="n"/>
      <c r="BF192" s="268" t="n"/>
      <c r="BG192" s="268" t="n"/>
      <c r="BH192" s="268" t="n"/>
      <c r="BI192" s="268" t="n"/>
      <c r="BJ192" s="268" t="n"/>
      <c r="BK192" s="268" t="n"/>
      <c r="BL192" s="268" t="n"/>
      <c r="BM192" s="268" t="n"/>
      <c r="BN192" s="268" t="n"/>
      <c r="BO192" s="268" t="n"/>
      <c r="BP192" s="268" t="n"/>
      <c r="BQ192" s="268" t="n"/>
      <c r="BR192" s="268" t="n"/>
      <c r="BS192" s="268" t="n"/>
      <c r="BT192" s="268" t="n"/>
      <c r="BU192" s="268" t="n"/>
      <c r="BV192" s="268" t="n"/>
      <c r="BW192" s="268" t="n"/>
      <c r="BX192" s="268" t="n"/>
      <c r="BY192" s="268" t="n"/>
      <c r="BZ192" s="268" t="n"/>
      <c r="CA192" s="268" t="n"/>
      <c r="CB192" s="268" t="n"/>
      <c r="CC192" s="268" t="n"/>
      <c r="CD192" s="268" t="n"/>
      <c r="CE192" s="268" t="n"/>
      <c r="CF192" s="268" t="n"/>
      <c r="CG192" s="268" t="n"/>
      <c r="CH192" s="268" t="n"/>
      <c r="CI192" s="268" t="n"/>
      <c r="CJ192" s="268" t="n"/>
      <c r="CK192" s="268" t="n"/>
      <c r="CL192" s="268" t="n"/>
      <c r="CM192" s="268" t="n"/>
      <c r="CN192" s="268" t="n"/>
      <c r="CO192" s="268" t="n"/>
      <c r="CP192" s="268" t="n"/>
      <c r="CQ192" s="268" t="n"/>
      <c r="CR192" s="268" t="n"/>
      <c r="CS192" s="268" t="n"/>
      <c r="CT192" s="268" t="n"/>
      <c r="CU192" s="268" t="n"/>
      <c r="CV192" s="268" t="n"/>
      <c r="CW192" s="268" t="n"/>
      <c r="CX192" s="268" t="n"/>
      <c r="CY192" s="268" t="n"/>
    </row>
    <row r="193" hidden="1" outlineLevel="1" ht="12.75" customHeight="1" s="255">
      <c r="C193" s="312" t="inlineStr">
        <is>
          <t xml:space="preserve">Dividendos a Pagar </t>
        </is>
      </c>
      <c r="D193" s="267" t="n"/>
      <c r="E193" s="267" t="n"/>
      <c r="F193" s="267" t="n"/>
      <c r="G193" s="267" t="n"/>
      <c r="H193" s="268" t="n"/>
      <c r="I193" s="267" t="n"/>
      <c r="J193" s="267" t="n"/>
      <c r="K193" s="267" t="n"/>
      <c r="L193" s="267" t="n"/>
      <c r="M193" s="268" t="n"/>
      <c r="N193" s="267" t="n"/>
      <c r="O193" s="267" t="n"/>
      <c r="P193" s="267" t="n"/>
      <c r="Q193" s="267" t="n"/>
      <c r="R193" s="268" t="n"/>
      <c r="S193" s="267" t="n"/>
      <c r="T193" s="267" t="n"/>
      <c r="U193" s="267" t="n"/>
      <c r="V193" s="267" t="n"/>
      <c r="W193" s="268" t="n"/>
      <c r="X193" s="267" t="n"/>
      <c r="Y193" s="267" t="n"/>
      <c r="Z193" s="267" t="n"/>
      <c r="AA193" s="267" t="n"/>
      <c r="AB193" s="268" t="n"/>
      <c r="AC193" s="267" t="n"/>
      <c r="AD193" s="267" t="n"/>
      <c r="AE193" s="267" t="n"/>
      <c r="AF193" s="267" t="n"/>
      <c r="AG193" s="268" t="n"/>
      <c r="AH193" s="267" t="n"/>
      <c r="AI193" s="267" t="n"/>
      <c r="AJ193" s="267" t="n"/>
      <c r="AK193" s="267" t="n"/>
      <c r="AL193" s="268" t="n"/>
      <c r="AM193" s="267" t="n"/>
      <c r="AN193" s="267" t="n"/>
      <c r="AO193" s="267" t="n"/>
      <c r="AP193" s="267" t="n"/>
      <c r="AQ193" s="268" t="n"/>
      <c r="AR193" s="267" t="n"/>
      <c r="AS193" s="267" t="n"/>
      <c r="AT193" s="267" t="n"/>
      <c r="AU193" s="267" t="n"/>
      <c r="AV193" s="268" t="n"/>
      <c r="AW193" s="267" t="n"/>
      <c r="AX193" s="267" t="n"/>
      <c r="AY193" s="267" t="n"/>
      <c r="AZ193" s="267" t="n"/>
      <c r="BA193" s="268" t="n"/>
      <c r="BB193" s="267" t="n"/>
      <c r="BC193" s="267" t="n"/>
      <c r="BD193" s="267" t="n"/>
      <c r="BE193" s="267" t="n"/>
      <c r="BF193" s="268" t="n"/>
      <c r="BG193" s="267" t="n"/>
      <c r="BH193" s="267" t="n"/>
      <c r="BI193" s="267" t="n"/>
      <c r="BJ193" s="267" t="n"/>
      <c r="BK193" s="268" t="n"/>
      <c r="BL193" s="267" t="n"/>
      <c r="BM193" s="267" t="n"/>
      <c r="BN193" s="267" t="n"/>
      <c r="BO193" s="267" t="n"/>
      <c r="BP193" s="268" t="n"/>
      <c r="BQ193" s="267" t="n"/>
      <c r="BR193" s="267" t="n"/>
      <c r="BS193" s="267" t="n"/>
      <c r="BT193" s="267" t="n"/>
      <c r="BU193" s="268" t="n"/>
      <c r="BV193" s="267" t="n"/>
      <c r="BW193" s="267" t="n"/>
      <c r="BX193" s="267" t="n"/>
      <c r="BY193" s="267" t="n"/>
      <c r="BZ193" s="268" t="n"/>
      <c r="CA193" s="267" t="n"/>
      <c r="CB193" s="267" t="n"/>
      <c r="CC193" s="267" t="n"/>
      <c r="CD193" s="267" t="n"/>
      <c r="CE193" s="268" t="n"/>
      <c r="CF193" s="267" t="n"/>
      <c r="CG193" s="267" t="n"/>
      <c r="CH193" s="267" t="n"/>
      <c r="CI193" s="267" t="n"/>
      <c r="CJ193" s="268" t="n"/>
      <c r="CK193" s="267" t="n"/>
      <c r="CL193" s="267" t="n"/>
      <c r="CM193" s="267" t="n"/>
      <c r="CN193" s="267" t="n"/>
      <c r="CO193" s="268" t="n"/>
      <c r="CP193" s="267" t="n"/>
      <c r="CQ193" s="267" t="n"/>
      <c r="CR193" s="267" t="n"/>
      <c r="CS193" s="267" t="n"/>
      <c r="CT193" s="268" t="n"/>
      <c r="CU193" s="267" t="n"/>
      <c r="CV193" s="267" t="n"/>
      <c r="CW193" s="267" t="n"/>
      <c r="CX193" s="267" t="n"/>
      <c r="CY193" s="268" t="n"/>
    </row>
    <row r="194" hidden="1" outlineLevel="1" ht="12.75" customHeight="1" s="255">
      <c r="C194" s="312" t="inlineStr">
        <is>
          <t>Contas a pagar pela aquisição de controladas</t>
        </is>
      </c>
      <c r="D194" s="267" t="n"/>
      <c r="E194" s="267" t="n"/>
      <c r="F194" s="267" t="n"/>
      <c r="G194" s="267" t="n"/>
      <c r="H194" s="268" t="n"/>
      <c r="I194" s="267" t="n"/>
      <c r="J194" s="267" t="n"/>
      <c r="K194" s="267" t="n"/>
      <c r="L194" s="267" t="n"/>
      <c r="M194" s="268" t="n"/>
      <c r="N194" s="267" t="n"/>
      <c r="O194" s="267" t="n"/>
      <c r="P194" s="267" t="n"/>
      <c r="Q194" s="267" t="n"/>
      <c r="R194" s="268" t="n"/>
      <c r="S194" s="267" t="n"/>
      <c r="T194" s="267" t="n"/>
      <c r="U194" s="267" t="n"/>
      <c r="V194" s="267" t="n"/>
      <c r="W194" s="268" t="n"/>
      <c r="X194" s="267" t="n"/>
      <c r="Y194" s="267" t="n"/>
      <c r="Z194" s="267" t="n"/>
      <c r="AA194" s="267" t="n"/>
      <c r="AB194" s="268" t="n"/>
      <c r="AC194" s="267" t="n"/>
      <c r="AD194" s="267" t="n"/>
      <c r="AE194" s="267" t="n"/>
      <c r="AF194" s="267" t="n"/>
      <c r="AG194" s="268" t="n"/>
      <c r="AH194" s="267" t="n"/>
      <c r="AI194" s="267" t="n"/>
      <c r="AJ194" s="267" t="n"/>
      <c r="AK194" s="267" t="n"/>
      <c r="AL194" s="268" t="n"/>
      <c r="AM194" s="267" t="n"/>
      <c r="AN194" s="267" t="n"/>
      <c r="AO194" s="267" t="n"/>
      <c r="AP194" s="267" t="n"/>
      <c r="AQ194" s="268" t="n"/>
      <c r="AR194" s="267" t="n"/>
      <c r="AS194" s="267" t="n"/>
      <c r="AT194" s="267" t="n"/>
      <c r="AU194" s="267" t="n"/>
      <c r="AV194" s="268" t="n"/>
      <c r="AW194" s="267" t="n"/>
      <c r="AX194" s="267" t="n"/>
      <c r="AY194" s="267" t="n"/>
      <c r="AZ194" s="267" t="n"/>
      <c r="BA194" s="268" t="n"/>
      <c r="BB194" s="267" t="n"/>
      <c r="BC194" s="267" t="n"/>
      <c r="BD194" s="267" t="n"/>
      <c r="BE194" s="267" t="n"/>
      <c r="BF194" s="268" t="n"/>
      <c r="BG194" s="267" t="n"/>
      <c r="BH194" s="267" t="n"/>
      <c r="BI194" s="267" t="n"/>
      <c r="BJ194" s="267" t="n"/>
      <c r="BK194" s="268" t="n"/>
      <c r="BL194" s="267" t="n"/>
      <c r="BM194" s="267" t="n"/>
      <c r="BN194" s="267" t="n"/>
      <c r="BO194" s="267" t="n"/>
      <c r="BP194" s="268" t="n"/>
      <c r="BQ194" s="267" t="n"/>
      <c r="BR194" s="267" t="n"/>
      <c r="BS194" s="267" t="n"/>
      <c r="BT194" s="267" t="n"/>
      <c r="BU194" s="268" t="n"/>
      <c r="BV194" s="267" t="n"/>
      <c r="BW194" s="267" t="n"/>
      <c r="BX194" s="267" t="n"/>
      <c r="BY194" s="267" t="n"/>
      <c r="BZ194" s="268" t="n"/>
      <c r="CA194" s="267" t="n"/>
      <c r="CB194" s="267" t="n"/>
      <c r="CC194" s="267" t="n"/>
      <c r="CD194" s="267" t="n"/>
      <c r="CE194" s="268" t="n"/>
      <c r="CF194" s="267" t="n"/>
      <c r="CG194" s="267" t="n"/>
      <c r="CH194" s="267" t="n"/>
      <c r="CI194" s="267" t="n"/>
      <c r="CJ194" s="268" t="n"/>
      <c r="CK194" s="267" t="n"/>
      <c r="CL194" s="267" t="n"/>
      <c r="CM194" s="267" t="n"/>
      <c r="CN194" s="267" t="n"/>
      <c r="CO194" s="268" t="n"/>
      <c r="CP194" s="267" t="n"/>
      <c r="CQ194" s="267" t="n"/>
      <c r="CR194" s="267" t="n"/>
      <c r="CS194" s="267" t="n"/>
      <c r="CT194" s="268" t="n"/>
      <c r="CU194" s="267" t="n"/>
      <c r="CV194" s="267" t="n"/>
      <c r="CW194" s="267" t="n"/>
      <c r="CX194" s="267" t="n"/>
      <c r="CY194" s="268" t="n"/>
    </row>
    <row r="195" hidden="1" outlineLevel="1" ht="12.75" customHeight="1" s="255">
      <c r="C195" s="312" t="inlineStr">
        <is>
          <t>Outros</t>
        </is>
      </c>
      <c r="D195" s="267" t="n"/>
      <c r="E195" s="267" t="n"/>
      <c r="F195" s="267" t="n"/>
      <c r="G195" s="267" t="n"/>
      <c r="H195" s="268" t="n"/>
      <c r="I195" s="267" t="n"/>
      <c r="J195" s="267" t="n"/>
      <c r="K195" s="267" t="n"/>
      <c r="L195" s="267" t="n"/>
      <c r="M195" s="268" t="n"/>
      <c r="N195" s="267" t="n"/>
      <c r="O195" s="267" t="n"/>
      <c r="P195" s="267" t="n"/>
      <c r="Q195" s="267" t="n"/>
      <c r="R195" s="268" t="n"/>
      <c r="S195" s="267" t="n"/>
      <c r="T195" s="267" t="n"/>
      <c r="U195" s="267" t="n"/>
      <c r="V195" s="267" t="n"/>
      <c r="W195" s="268" t="n"/>
      <c r="X195" s="267" t="n"/>
      <c r="Y195" s="267" t="n"/>
      <c r="Z195" s="267" t="n"/>
      <c r="AA195" s="267" t="n"/>
      <c r="AB195" s="268" t="n"/>
      <c r="AC195" s="267" t="n"/>
      <c r="AD195" s="267" t="n"/>
      <c r="AE195" s="267" t="n"/>
      <c r="AF195" s="267" t="n"/>
      <c r="AG195" s="268" t="n"/>
      <c r="AH195" s="267" t="n"/>
      <c r="AI195" s="267" t="n"/>
      <c r="AJ195" s="267" t="n"/>
      <c r="AK195" s="267" t="n"/>
      <c r="AL195" s="268" t="n"/>
      <c r="AM195" s="267" t="n"/>
      <c r="AN195" s="267" t="n"/>
      <c r="AO195" s="267" t="n"/>
      <c r="AP195" s="267" t="n"/>
      <c r="AQ195" s="268" t="n"/>
      <c r="AR195" s="267" t="n"/>
      <c r="AS195" s="267" t="n"/>
      <c r="AT195" s="267" t="n"/>
      <c r="AU195" s="267" t="n"/>
      <c r="AV195" s="268" t="n"/>
      <c r="AW195" s="267" t="n"/>
      <c r="AX195" s="267" t="n"/>
      <c r="AY195" s="267" t="n"/>
      <c r="AZ195" s="267" t="n"/>
      <c r="BA195" s="268" t="n"/>
      <c r="BB195" s="267" t="n"/>
      <c r="BC195" s="267" t="n"/>
      <c r="BD195" s="267" t="n"/>
      <c r="BE195" s="267" t="n"/>
      <c r="BF195" s="268" t="n"/>
      <c r="BG195" s="267" t="n"/>
      <c r="BH195" s="267" t="n"/>
      <c r="BI195" s="267" t="n"/>
      <c r="BJ195" s="267" t="n"/>
      <c r="BK195" s="268" t="n"/>
      <c r="BL195" s="267" t="n"/>
      <c r="BM195" s="267" t="n"/>
      <c r="BN195" s="267" t="n"/>
      <c r="BO195" s="267" t="n"/>
      <c r="BP195" s="268" t="n"/>
      <c r="BQ195" s="267" t="n"/>
      <c r="BR195" s="267" t="n"/>
      <c r="BS195" s="267" t="n"/>
      <c r="BT195" s="267" t="n"/>
      <c r="BU195" s="268" t="n"/>
      <c r="BV195" s="267" t="n"/>
      <c r="BW195" s="267" t="n"/>
      <c r="BX195" s="267" t="n"/>
      <c r="BY195" s="267" t="n"/>
      <c r="BZ195" s="268" t="n"/>
      <c r="CA195" s="267" t="n"/>
      <c r="CB195" s="267" t="n"/>
      <c r="CC195" s="267" t="n"/>
      <c r="CD195" s="267" t="n"/>
      <c r="CE195" s="268" t="n"/>
      <c r="CF195" s="267" t="n"/>
      <c r="CG195" s="267" t="n"/>
      <c r="CH195" s="267" t="n"/>
      <c r="CI195" s="267" t="n"/>
      <c r="CJ195" s="268" t="n"/>
      <c r="CK195" s="267" t="n"/>
      <c r="CL195" s="267" t="n"/>
      <c r="CM195" s="267" t="n"/>
      <c r="CN195" s="267" t="n"/>
      <c r="CO195" s="268" t="n"/>
      <c r="CP195" s="267" t="n"/>
      <c r="CQ195" s="267" t="n"/>
      <c r="CR195" s="267" t="n"/>
      <c r="CS195" s="267" t="n"/>
      <c r="CT195" s="268" t="n"/>
      <c r="CU195" s="267" t="n"/>
      <c r="CV195" s="267" t="n"/>
      <c r="CW195" s="267" t="n"/>
      <c r="CX195" s="267" t="n"/>
      <c r="CY195" s="268" t="n"/>
    </row>
    <row r="196" hidden="1" outlineLevel="1" ht="12.75" customHeight="1" s="255">
      <c r="C196" s="312" t="n"/>
      <c r="D196" s="268" t="n"/>
      <c r="E196" s="268" t="n"/>
      <c r="F196" s="268" t="n"/>
      <c r="G196" s="268" t="n"/>
      <c r="H196" s="268" t="n"/>
      <c r="I196" s="268" t="n"/>
      <c r="J196" s="268" t="n"/>
      <c r="K196" s="268" t="n"/>
      <c r="L196" s="268" t="n"/>
      <c r="M196" s="268" t="n"/>
      <c r="N196" s="268" t="n"/>
      <c r="O196" s="268" t="n"/>
      <c r="P196" s="268" t="n"/>
      <c r="Q196" s="268" t="n"/>
      <c r="R196" s="268" t="n"/>
      <c r="S196" s="268" t="n"/>
      <c r="T196" s="268" t="n"/>
      <c r="U196" s="268" t="n"/>
      <c r="V196" s="268" t="n"/>
      <c r="W196" s="268" t="n"/>
      <c r="X196" s="268" t="n"/>
      <c r="Y196" s="268" t="n"/>
      <c r="Z196" s="268" t="n"/>
      <c r="AA196" s="268" t="n"/>
      <c r="AB196" s="268" t="n"/>
      <c r="AC196" s="268" t="n"/>
      <c r="AD196" s="268" t="n"/>
      <c r="AE196" s="268" t="n"/>
      <c r="AF196" s="268" t="n"/>
      <c r="AG196" s="268" t="n"/>
      <c r="AH196" s="268" t="n"/>
      <c r="AI196" s="268" t="n"/>
      <c r="AJ196" s="268" t="n"/>
      <c r="AK196" s="268" t="n"/>
      <c r="AL196" s="268" t="n"/>
      <c r="AM196" s="268" t="n"/>
      <c r="AN196" s="268" t="n"/>
      <c r="AO196" s="268" t="n"/>
      <c r="AP196" s="268" t="n"/>
      <c r="AQ196" s="268" t="n"/>
      <c r="AR196" s="268" t="n"/>
      <c r="AS196" s="268" t="n"/>
      <c r="AT196" s="268" t="n"/>
      <c r="AU196" s="268" t="n"/>
      <c r="AV196" s="268" t="n"/>
      <c r="AW196" s="268" t="n"/>
      <c r="AX196" s="268" t="n"/>
      <c r="AY196" s="268" t="n"/>
      <c r="AZ196" s="268" t="n"/>
      <c r="BA196" s="268" t="n"/>
      <c r="BB196" s="268" t="n"/>
      <c r="BC196" s="268" t="n"/>
      <c r="BD196" s="268" t="n"/>
      <c r="BE196" s="268" t="n"/>
      <c r="BF196" s="268" t="n"/>
      <c r="BG196" s="268" t="n"/>
      <c r="BH196" s="268" t="n"/>
      <c r="BI196" s="268" t="n"/>
      <c r="BJ196" s="268" t="n"/>
      <c r="BK196" s="268" t="n"/>
      <c r="BL196" s="268" t="n"/>
      <c r="BM196" s="268" t="n"/>
      <c r="BN196" s="268" t="n"/>
      <c r="BO196" s="268" t="n"/>
      <c r="BP196" s="268" t="n"/>
      <c r="BQ196" s="268" t="n"/>
      <c r="BR196" s="268" t="n"/>
      <c r="BS196" s="268" t="n"/>
      <c r="BT196" s="268" t="n"/>
      <c r="BU196" s="268" t="n"/>
      <c r="BV196" s="268" t="n"/>
      <c r="BW196" s="268" t="n"/>
      <c r="BX196" s="268" t="n"/>
      <c r="BY196" s="268" t="n"/>
      <c r="BZ196" s="268" t="n"/>
      <c r="CA196" s="268" t="n"/>
      <c r="CB196" s="268" t="n"/>
      <c r="CC196" s="268" t="n"/>
      <c r="CD196" s="268" t="n"/>
      <c r="CE196" s="268" t="n"/>
      <c r="CF196" s="268" t="n"/>
      <c r="CG196" s="268" t="n"/>
      <c r="CH196" s="268" t="n"/>
      <c r="CI196" s="268" t="n"/>
      <c r="CJ196" s="268" t="n"/>
      <c r="CK196" s="268" t="n"/>
      <c r="CL196" s="268" t="n"/>
      <c r="CM196" s="268" t="n"/>
      <c r="CN196" s="268" t="n"/>
      <c r="CO196" s="268" t="n"/>
      <c r="CP196" s="268" t="n"/>
      <c r="CQ196" s="268" t="n"/>
      <c r="CR196" s="268" t="n"/>
      <c r="CS196" s="268" t="n"/>
      <c r="CT196" s="268" t="n"/>
      <c r="CU196" s="268" t="n"/>
      <c r="CV196" s="268" t="n"/>
      <c r="CW196" s="268" t="n"/>
      <c r="CX196" s="268" t="n"/>
      <c r="CY196" s="268" t="n"/>
    </row>
    <row r="197" ht="12.75" customHeight="1" s="255">
      <c r="C197" s="270" t="inlineStr">
        <is>
          <t>Current portion of long-term debt</t>
        </is>
      </c>
      <c r="D197" s="301">
        <f>INDEX('Inputs (2)'!$D$32:$AL$32,MATCH(D$7,'Inputs (2)'!$D$2:$AL$2,0))</f>
        <v>500</v>
      </c>
      <c r="E197" s="301">
        <f>INDEX('Inputs (2)'!$D$32:$AL$32,MATCH(E$7,'Inputs (2)'!$D$2:$AL$2,0))</f>
        <v>1497</v>
      </c>
      <c r="F197" s="301">
        <f>INDEX('Inputs (2)'!$D$32:$AL$32,MATCH(F$7,'Inputs (2)'!$D$2:$AL$2,0))</f>
        <v>95</v>
      </c>
      <c r="G197" s="301">
        <f>INDEX('Inputs (2)'!$D$32:$AL$32,MATCH(G$7,'Inputs (2)'!$D$2:$AL$2,0))</f>
        <v>96</v>
      </c>
      <c r="H197" s="268">
        <f>G197</f>
        <v>96</v>
      </c>
      <c r="I197" s="301">
        <f>INDEX('Inputs (2)'!$D$32:$AL$32,MATCH(I$7,'Inputs (2)'!$D$2:$AL$2,0))</f>
        <v>95</v>
      </c>
      <c r="J197" s="301">
        <f>INDEX('Inputs (2)'!$D$32:$AL$32,MATCH(J$7,'Inputs (2)'!$D$2:$AL$2,0))</f>
        <v>92</v>
      </c>
      <c r="K197" s="301">
        <f>INDEX('Inputs (2)'!$D$32:$AL$32,MATCH(K$7,'Inputs (2)'!$D$2:$AL$2,0))</f>
        <v>799</v>
      </c>
      <c r="L197" s="301">
        <f>INDEX('Inputs (2)'!$D$32:$AL$32,MATCH(L$7,'Inputs (2)'!$D$2:$AL$2,0))</f>
        <v>799</v>
      </c>
      <c r="M197" s="268">
        <f>L197</f>
        <v>799</v>
      </c>
      <c r="N197" s="301">
        <f>INDEX('Inputs (2)'!$D$32:$AL$32,MATCH(N$7,'Inputs (2)'!$D$2:$AL$2,0))</f>
        <v>0</v>
      </c>
      <c r="O197" s="301">
        <f>INDEX('Inputs (2)'!$D$32:$AL$32,MATCH(O$7,'Inputs (2)'!$D$2:$AL$2,0))</f>
        <v>77</v>
      </c>
      <c r="P197" s="301">
        <f>INDEX('Inputs (2)'!$D$32:$AL$32,MATCH(P$7,'Inputs (2)'!$D$2:$AL$2,0))</f>
        <v>73</v>
      </c>
      <c r="Q197" s="301">
        <f>INDEX('Inputs (2)'!$D$32:$AL$32,MATCH(Q$7,'Inputs (2)'!$D$2:$AL$2,0))</f>
        <v>71</v>
      </c>
      <c r="R197" s="268">
        <f>Q197</f>
        <v>71</v>
      </c>
      <c r="S197" s="301">
        <f>INDEX('Inputs (2)'!$D$32:$AL$32,MATCH(S$7,'Inputs (2)'!$D$2:$AL$2,0))</f>
        <v>76</v>
      </c>
      <c r="T197" s="301">
        <f>INDEX('Inputs (2)'!$D$32:$AL$32,MATCH(T$7,'Inputs (2)'!$D$2:$AL$2,0))</f>
        <v>0</v>
      </c>
      <c r="U197" s="301">
        <f>INDEX('Inputs (2)'!$D$32:$AL$32,MATCH(U$7,'Inputs (2)'!$D$2:$AL$2,0))</f>
        <v>1081</v>
      </c>
      <c r="V197" s="301">
        <f>INDEX('Inputs (2)'!$D$32:$AL$32,MATCH(V$7,'Inputs (2)'!$D$2:$AL$2,0))</f>
        <v>1080</v>
      </c>
      <c r="W197" s="268">
        <f>V197</f>
        <v>1080</v>
      </c>
      <c r="X197" s="301">
        <f>INDEX('Inputs (2)'!$D$32:$AL$32,MATCH(X$7,'Inputs (2)'!$D$2:$AL$2,0))</f>
        <v>1080</v>
      </c>
      <c r="Y197" s="301">
        <f>INDEX('Inputs (2)'!$D$32:$AL$32,MATCH(Y$7,'Inputs (2)'!$D$2:$AL$2,0))</f>
        <v>1077</v>
      </c>
      <c r="Z197" s="301">
        <f>INDEX('Inputs (2)'!$D$32:$AL$32,MATCH(Z$7,'Inputs (2)'!$D$2:$AL$2,0))</f>
        <v>103</v>
      </c>
      <c r="AA197" s="301">
        <f>INDEX('Inputs (2)'!$D$32:$AL$32,MATCH(AA$7,'Inputs (2)'!$D$2:$AL$2,0))</f>
        <v>0</v>
      </c>
      <c r="AB197" s="268">
        <f>AA197</f>
        <v>0</v>
      </c>
      <c r="AC197" s="301">
        <f>INDEX('Inputs (2)'!$D$32:$AL$32,MATCH(AC$7,'Inputs (2)'!$D$2:$AL$2,0))</f>
        <v>0</v>
      </c>
      <c r="AD197" s="301">
        <f>INDEX('Inputs (2)'!$D$32:$AL$32,MATCH(AD$7,'Inputs (2)'!$D$2:$AL$2,0))</f>
        <v>0</v>
      </c>
      <c r="AE197" s="301">
        <f>INDEX('Inputs (2)'!$D$32:$AL$32,MATCH(AE$7,'Inputs (2)'!$D$2:$AL$2,0))</f>
        <v>0</v>
      </c>
      <c r="AF197" s="301">
        <f>INDEX('Inputs (2)'!$D$32:$AL$32,MATCH(AF$7,'Inputs (2)'!$D$2:$AL$2,0))</f>
        <v>0</v>
      </c>
      <c r="AG197" s="268">
        <f>AF197</f>
        <v>0</v>
      </c>
      <c r="AH197" s="268">
        <f>INDEX('Inputs (2)'!$D$32:$AL$32,MATCH(AH$7,'Inputs (2)'!$D$2:$AL$2,0))</f>
        <v>0</v>
      </c>
      <c r="AI197" s="268">
        <f>INDEX('Inputs (2)'!$D$32:$AL$32,MATCH(AI$7,'Inputs (2)'!$D$2:$AL$2,0))</f>
        <v>0</v>
      </c>
      <c r="AJ197" s="268">
        <f>AI197</f>
        <v>0</v>
      </c>
      <c r="AK197" s="268">
        <f>AJ197</f>
        <v>0</v>
      </c>
      <c r="AL197" s="268">
        <f>AK197</f>
        <v>0</v>
      </c>
      <c r="AM197" s="268">
        <f>AL197</f>
        <v>0</v>
      </c>
      <c r="AN197" s="268">
        <f>AM197</f>
        <v>0</v>
      </c>
      <c r="AO197" s="268">
        <f>AN197</f>
        <v>0</v>
      </c>
      <c r="AP197" s="268">
        <f>AO197</f>
        <v>0</v>
      </c>
      <c r="AQ197" s="268">
        <f>AP197</f>
        <v>0</v>
      </c>
      <c r="AR197" s="268">
        <f>AQ197</f>
        <v>0</v>
      </c>
      <c r="AS197" s="268">
        <f>AR197</f>
        <v>0</v>
      </c>
      <c r="AT197" s="268">
        <f>AS197</f>
        <v>0</v>
      </c>
      <c r="AU197" s="268">
        <f>AT197</f>
        <v>0</v>
      </c>
      <c r="AV197" s="268">
        <f>AU197</f>
        <v>0</v>
      </c>
      <c r="AW197" s="268">
        <f>AV197</f>
        <v>0</v>
      </c>
      <c r="AX197" s="268">
        <f>AW197</f>
        <v>0</v>
      </c>
      <c r="AY197" s="268">
        <f>AX197</f>
        <v>0</v>
      </c>
      <c r="AZ197" s="268">
        <f>AY197</f>
        <v>0</v>
      </c>
      <c r="BA197" s="268">
        <f>AZ197</f>
        <v>0</v>
      </c>
      <c r="BB197" s="268">
        <f>BA197</f>
        <v>0</v>
      </c>
      <c r="BC197" s="268">
        <f>BB197</f>
        <v>0</v>
      </c>
      <c r="BD197" s="268">
        <f>BC197</f>
        <v>0</v>
      </c>
      <c r="BE197" s="268">
        <f>BD197</f>
        <v>0</v>
      </c>
      <c r="BF197" s="268">
        <f>BE197</f>
        <v>0</v>
      </c>
      <c r="BG197" s="268">
        <f>BF197</f>
        <v>0</v>
      </c>
      <c r="BH197" s="268">
        <f>BG197</f>
        <v>0</v>
      </c>
      <c r="BI197" s="268">
        <f>BH197</f>
        <v>0</v>
      </c>
      <c r="BJ197" s="268">
        <f>BI197</f>
        <v>0</v>
      </c>
      <c r="BK197" s="268">
        <f>BJ197</f>
        <v>0</v>
      </c>
      <c r="BL197" s="268">
        <f>BK197</f>
        <v>0</v>
      </c>
      <c r="BM197" s="268">
        <f>BL197</f>
        <v>0</v>
      </c>
      <c r="BN197" s="268">
        <f>BM197</f>
        <v>0</v>
      </c>
      <c r="BO197" s="268">
        <f>BN197</f>
        <v>0</v>
      </c>
      <c r="BP197" s="268">
        <f>BO197</f>
        <v>0</v>
      </c>
      <c r="BQ197" s="268">
        <f>BP197</f>
        <v>0</v>
      </c>
      <c r="BR197" s="268">
        <f>BQ197</f>
        <v>0</v>
      </c>
      <c r="BS197" s="268">
        <f>BR197</f>
        <v>0</v>
      </c>
      <c r="BT197" s="268">
        <f>BS197</f>
        <v>0</v>
      </c>
      <c r="BU197" s="268">
        <f>BT197</f>
        <v>0</v>
      </c>
      <c r="BV197" s="268">
        <f>BU197</f>
        <v>0</v>
      </c>
      <c r="BW197" s="268">
        <f>BV197</f>
        <v>0</v>
      </c>
      <c r="BX197" s="268">
        <f>BW197</f>
        <v>0</v>
      </c>
      <c r="BY197" s="268">
        <f>BX197</f>
        <v>0</v>
      </c>
      <c r="BZ197" s="268">
        <f>BY197</f>
        <v>0</v>
      </c>
      <c r="CA197" s="268">
        <f>BZ197</f>
        <v>0</v>
      </c>
      <c r="CB197" s="268">
        <f>CA197</f>
        <v>0</v>
      </c>
      <c r="CC197" s="268">
        <f>CB197</f>
        <v>0</v>
      </c>
      <c r="CD197" s="268">
        <f>CC197</f>
        <v>0</v>
      </c>
      <c r="CE197" s="268">
        <f>CD197</f>
        <v>0</v>
      </c>
      <c r="CF197" s="268">
        <f>CE197</f>
        <v>0</v>
      </c>
      <c r="CG197" s="268">
        <f>CF197</f>
        <v>0</v>
      </c>
      <c r="CH197" s="268">
        <f>CG197</f>
        <v>0</v>
      </c>
      <c r="CI197" s="268">
        <f>CH197</f>
        <v>0</v>
      </c>
      <c r="CJ197" s="268">
        <f>CI197</f>
        <v>0</v>
      </c>
      <c r="CK197" s="268">
        <f>CJ197</f>
        <v>0</v>
      </c>
      <c r="CL197" s="268">
        <f>CK197</f>
        <v>0</v>
      </c>
      <c r="CM197" s="268">
        <f>CL197</f>
        <v>0</v>
      </c>
      <c r="CN197" s="268">
        <f>CM197</f>
        <v>0</v>
      </c>
      <c r="CO197" s="268">
        <f>CN197</f>
        <v>0</v>
      </c>
      <c r="CP197" s="268">
        <f>CO197</f>
        <v>0</v>
      </c>
      <c r="CQ197" s="268">
        <f>CP197</f>
        <v>0</v>
      </c>
      <c r="CR197" s="268">
        <f>CQ197</f>
        <v>0</v>
      </c>
      <c r="CS197" s="268">
        <f>CR197</f>
        <v>0</v>
      </c>
      <c r="CT197" s="268">
        <f>CS197</f>
        <v>0</v>
      </c>
      <c r="CU197" s="268">
        <f>CT197</f>
        <v>0</v>
      </c>
      <c r="CV197" s="268">
        <f>CU197</f>
        <v>0</v>
      </c>
      <c r="CW197" s="268">
        <f>CV197</f>
        <v>0</v>
      </c>
      <c r="CX197" s="268">
        <f>CW197</f>
        <v>0</v>
      </c>
      <c r="CY197" s="268">
        <f>CX197</f>
        <v>0</v>
      </c>
    </row>
    <row r="198" ht="12.75" customHeight="1" s="255">
      <c r="C198" s="270" t="inlineStr">
        <is>
          <t>Short term debt (Revolving credit facility)</t>
        </is>
      </c>
      <c r="D198" s="301">
        <f>INDEX('Inputs (2)'!$D$33:$AL$33,MATCH(D$7,'Inputs (2)'!$D$2:$AL$2,0))</f>
        <v>0</v>
      </c>
      <c r="E198" s="301">
        <f>INDEX('Inputs (2)'!$D$33:$AL$33,MATCH(E$7,'Inputs (2)'!$D$2:$AL$2,0))</f>
        <v>0</v>
      </c>
      <c r="F198" s="301">
        <f>INDEX('Inputs (2)'!$D$33:$AL$33,MATCH(F$7,'Inputs (2)'!$D$2:$AL$2,0))</f>
        <v>0</v>
      </c>
      <c r="G198" s="301">
        <f>INDEX('Inputs (2)'!$D$33:$AL$33,MATCH(G$7,'Inputs (2)'!$D$2:$AL$2,0))</f>
        <v>0</v>
      </c>
      <c r="H198" s="268">
        <f>G198</f>
        <v>0</v>
      </c>
      <c r="I198" s="301">
        <f>INDEX('Inputs (2)'!$D$33:$AL$33,MATCH(I$7,'Inputs (2)'!$D$2:$AL$2,0))</f>
        <v>0</v>
      </c>
      <c r="J198" s="301">
        <f>INDEX('Inputs (2)'!$D$33:$AL$33,MATCH(J$7,'Inputs (2)'!$D$2:$AL$2,0))</f>
        <v>0</v>
      </c>
      <c r="K198" s="301">
        <f>INDEX('Inputs (2)'!$D$33:$AL$33,MATCH(K$7,'Inputs (2)'!$D$2:$AL$2,0))</f>
        <v>0</v>
      </c>
      <c r="L198" s="301">
        <f>INDEX('Inputs (2)'!$D$33:$AL$33,MATCH(L$7,'Inputs (2)'!$D$2:$AL$2,0))</f>
        <v>0</v>
      </c>
      <c r="M198" s="268">
        <f>L198</f>
        <v>0</v>
      </c>
      <c r="N198" s="301">
        <f>INDEX('Inputs (2)'!$D$33:$AL$33,MATCH(N$7,'Inputs (2)'!$D$2:$AL$2,0))</f>
        <v>0</v>
      </c>
      <c r="O198" s="301">
        <f>INDEX('Inputs (2)'!$D$33:$AL$33,MATCH(O$7,'Inputs (2)'!$D$2:$AL$2,0))</f>
        <v>0</v>
      </c>
      <c r="P198" s="301">
        <f>INDEX('Inputs (2)'!$D$33:$AL$33,MATCH(P$7,'Inputs (2)'!$D$2:$AL$2,0))</f>
        <v>0</v>
      </c>
      <c r="Q198" s="301">
        <f>INDEX('Inputs (2)'!$D$33:$AL$33,MATCH(Q$7,'Inputs (2)'!$D$2:$AL$2,0))</f>
        <v>0</v>
      </c>
      <c r="R198" s="268">
        <f>Q198</f>
        <v>0</v>
      </c>
      <c r="S198" s="301">
        <f>INDEX('Inputs (2)'!$D$33:$AL$33,MATCH(S$7,'Inputs (2)'!$D$2:$AL$2,0))</f>
        <v>0</v>
      </c>
      <c r="T198" s="301">
        <f>INDEX('Inputs (2)'!$D$33:$AL$33,MATCH(T$7,'Inputs (2)'!$D$2:$AL$2,0))</f>
        <v>0</v>
      </c>
      <c r="U198" s="301">
        <f>INDEX('Inputs (2)'!$D$33:$AL$33,MATCH(U$7,'Inputs (2)'!$D$2:$AL$2,0))</f>
        <v>0</v>
      </c>
      <c r="V198" s="301">
        <f>INDEX('Inputs (2)'!$D$33:$AL$33,MATCH(V$7,'Inputs (2)'!$D$2:$AL$2,0))</f>
        <v>0</v>
      </c>
      <c r="W198" s="268">
        <f>V198</f>
        <v>0</v>
      </c>
      <c r="X198" s="301">
        <f>INDEX('Inputs (2)'!$D$33:$AL$33,MATCH(X$7,'Inputs (2)'!$D$2:$AL$2,0))</f>
        <v>0</v>
      </c>
      <c r="Y198" s="301">
        <f>INDEX('Inputs (2)'!$D$33:$AL$33,MATCH(Y$7,'Inputs (2)'!$D$2:$AL$2,0))</f>
        <v>0</v>
      </c>
      <c r="Z198" s="301">
        <f>INDEX('Inputs (2)'!$D$33:$AL$33,MATCH(Z$7,'Inputs (2)'!$D$2:$AL$2,0))</f>
        <v>0</v>
      </c>
      <c r="AA198" s="301">
        <f>INDEX('Inputs (2)'!$D$33:$AL$33,MATCH(AA$7,'Inputs (2)'!$D$2:$AL$2,0))</f>
        <v>0</v>
      </c>
      <c r="AB198" s="268">
        <f>AA198</f>
        <v>0</v>
      </c>
      <c r="AC198" s="301">
        <f>INDEX('Inputs (2)'!$D$33:$AL$33,MATCH(AC$7,'Inputs (2)'!$D$2:$AL$2,0))</f>
        <v>0</v>
      </c>
      <c r="AD198" s="301">
        <f>INDEX('Inputs (2)'!$D$33:$AL$33,MATCH(AD$7,'Inputs (2)'!$D$2:$AL$2,0))</f>
        <v>0</v>
      </c>
      <c r="AE198" s="301">
        <f>INDEX('Inputs (2)'!$D$33:$AL$33,MATCH(AE$7,'Inputs (2)'!$D$2:$AL$2,0))</f>
        <v>0</v>
      </c>
      <c r="AF198" s="301">
        <f>INDEX('Inputs (2)'!$D$33:$AL$33,MATCH(AF$7,'Inputs (2)'!$D$2:$AL$2,0))</f>
        <v>0</v>
      </c>
      <c r="AG198" s="268">
        <f>AF198</f>
        <v>0</v>
      </c>
      <c r="AH198" s="268">
        <f>INDEX('Inputs (2)'!$D$33:$AL$33,MATCH(AH$7,'Inputs (2)'!$D$2:$AL$2,0))</f>
        <v>0</v>
      </c>
      <c r="AI198" s="268">
        <f>INDEX('Inputs (2)'!$D$33:$AL$33,MATCH(AI$7,'Inputs (2)'!$D$2:$AL$2,0))</f>
        <v>0</v>
      </c>
      <c r="AJ198" s="268">
        <f>AI198</f>
        <v>0</v>
      </c>
      <c r="AK198" s="268">
        <f>AJ198</f>
        <v>0</v>
      </c>
      <c r="AL198" s="268">
        <f>AK198</f>
        <v>0</v>
      </c>
      <c r="AM198" s="268">
        <f>AL198</f>
        <v>0</v>
      </c>
      <c r="AN198" s="268">
        <f>AM198</f>
        <v>0</v>
      </c>
      <c r="AO198" s="268">
        <f>AN198</f>
        <v>0</v>
      </c>
      <c r="AP198" s="268">
        <f>AO198</f>
        <v>0</v>
      </c>
      <c r="AQ198" s="268">
        <f>AP198</f>
        <v>0</v>
      </c>
      <c r="AR198" s="268">
        <f>AQ198</f>
        <v>0</v>
      </c>
      <c r="AS198" s="268">
        <f>AR198</f>
        <v>0</v>
      </c>
      <c r="AT198" s="268">
        <f>AS198</f>
        <v>0</v>
      </c>
      <c r="AU198" s="268">
        <f>AT198</f>
        <v>0</v>
      </c>
      <c r="AV198" s="268">
        <f>AU198</f>
        <v>0</v>
      </c>
      <c r="AW198" s="268">
        <f>AV198</f>
        <v>0</v>
      </c>
      <c r="AX198" s="268">
        <f>AW198</f>
        <v>0</v>
      </c>
      <c r="AY198" s="268">
        <f>AX198</f>
        <v>0</v>
      </c>
      <c r="AZ198" s="268">
        <f>AY198</f>
        <v>0</v>
      </c>
      <c r="BA198" s="268">
        <f>AZ198</f>
        <v>0</v>
      </c>
      <c r="BB198" s="268">
        <f>BA198</f>
        <v>0</v>
      </c>
      <c r="BC198" s="268">
        <f>BB198</f>
        <v>0</v>
      </c>
      <c r="BD198" s="268">
        <f>BC198</f>
        <v>0</v>
      </c>
      <c r="BE198" s="268">
        <f>BD198</f>
        <v>0</v>
      </c>
      <c r="BF198" s="268">
        <f>BE198</f>
        <v>0</v>
      </c>
      <c r="BG198" s="268">
        <f>BF198</f>
        <v>0</v>
      </c>
      <c r="BH198" s="268">
        <f>BG198</f>
        <v>0</v>
      </c>
      <c r="BI198" s="268">
        <f>BH198</f>
        <v>0</v>
      </c>
      <c r="BJ198" s="268">
        <f>BI198</f>
        <v>0</v>
      </c>
      <c r="BK198" s="268">
        <f>BJ198</f>
        <v>0</v>
      </c>
      <c r="BL198" s="268">
        <f>BK198</f>
        <v>0</v>
      </c>
      <c r="BM198" s="268">
        <f>BL198</f>
        <v>0</v>
      </c>
      <c r="BN198" s="268">
        <f>BM198</f>
        <v>0</v>
      </c>
      <c r="BO198" s="268">
        <f>BN198</f>
        <v>0</v>
      </c>
      <c r="BP198" s="268">
        <f>BO198</f>
        <v>0</v>
      </c>
      <c r="BQ198" s="268">
        <f>BP198</f>
        <v>0</v>
      </c>
      <c r="BR198" s="268">
        <f>BQ198</f>
        <v>0</v>
      </c>
      <c r="BS198" s="268">
        <f>BR198</f>
        <v>0</v>
      </c>
      <c r="BT198" s="268">
        <f>BS198</f>
        <v>0</v>
      </c>
      <c r="BU198" s="268">
        <f>BT198</f>
        <v>0</v>
      </c>
      <c r="BV198" s="268">
        <f>BU198</f>
        <v>0</v>
      </c>
      <c r="BW198" s="268">
        <f>BV198</f>
        <v>0</v>
      </c>
      <c r="BX198" s="268">
        <f>BW198</f>
        <v>0</v>
      </c>
      <c r="BY198" s="268">
        <f>BX198</f>
        <v>0</v>
      </c>
      <c r="BZ198" s="268">
        <f>BY198</f>
        <v>0</v>
      </c>
      <c r="CA198" s="268">
        <f>BZ198</f>
        <v>0</v>
      </c>
      <c r="CB198" s="268">
        <f>CA198</f>
        <v>0</v>
      </c>
      <c r="CC198" s="268">
        <f>CB198</f>
        <v>0</v>
      </c>
      <c r="CD198" s="268">
        <f>CC198</f>
        <v>0</v>
      </c>
      <c r="CE198" s="268">
        <f>CD198</f>
        <v>0</v>
      </c>
      <c r="CF198" s="268">
        <f>CE198</f>
        <v>0</v>
      </c>
      <c r="CG198" s="268">
        <f>CF198</f>
        <v>0</v>
      </c>
      <c r="CH198" s="268">
        <f>CG198</f>
        <v>0</v>
      </c>
      <c r="CI198" s="268">
        <f>CH198</f>
        <v>0</v>
      </c>
      <c r="CJ198" s="268">
        <f>CI198</f>
        <v>0</v>
      </c>
      <c r="CK198" s="268">
        <f>CJ198</f>
        <v>0</v>
      </c>
      <c r="CL198" s="268">
        <f>CK198</f>
        <v>0</v>
      </c>
      <c r="CM198" s="268">
        <f>CL198</f>
        <v>0</v>
      </c>
      <c r="CN198" s="268">
        <f>CM198</f>
        <v>0</v>
      </c>
      <c r="CO198" s="268">
        <f>CN198</f>
        <v>0</v>
      </c>
      <c r="CP198" s="268">
        <f>CO198</f>
        <v>0</v>
      </c>
      <c r="CQ198" s="268">
        <f>CP198</f>
        <v>0</v>
      </c>
      <c r="CR198" s="268">
        <f>CQ198</f>
        <v>0</v>
      </c>
      <c r="CS198" s="268">
        <f>CR198</f>
        <v>0</v>
      </c>
      <c r="CT198" s="268">
        <f>CS198</f>
        <v>0</v>
      </c>
      <c r="CU198" s="268">
        <f>CT198</f>
        <v>0</v>
      </c>
      <c r="CV198" s="268">
        <f>CU198</f>
        <v>0</v>
      </c>
      <c r="CW198" s="268">
        <f>CV198</f>
        <v>0</v>
      </c>
      <c r="CX198" s="268">
        <f>CW198</f>
        <v>0</v>
      </c>
      <c r="CY198" s="268">
        <f>CX198</f>
        <v>0</v>
      </c>
    </row>
    <row r="199" ht="12.75" customHeight="1" s="255">
      <c r="C199" s="270" t="inlineStr">
        <is>
          <t>Short term operating leases</t>
        </is>
      </c>
      <c r="D199" s="301">
        <f>INDEX('Inputs (2)'!$D$34:$AL$34,MATCH(D$7,'Inputs (2)'!$D$2:$AL$2,0))</f>
        <v>0</v>
      </c>
      <c r="E199" s="301">
        <f>INDEX('Inputs (2)'!$D$34:$AL$34,MATCH(E$7,'Inputs (2)'!$D$2:$AL$2,0))</f>
        <v>0</v>
      </c>
      <c r="F199" s="301">
        <f>INDEX('Inputs (2)'!$D$34:$AL$34,MATCH(F$7,'Inputs (2)'!$D$2:$AL$2,0))</f>
        <v>0</v>
      </c>
      <c r="G199" s="301">
        <f>INDEX('Inputs (2)'!$D$34:$AL$34,MATCH(G$7,'Inputs (2)'!$D$2:$AL$2,0))</f>
        <v>0</v>
      </c>
      <c r="H199" s="268">
        <f>G199</f>
        <v>0</v>
      </c>
      <c r="I199" s="301">
        <f>INDEX('Inputs (2)'!$D$34:$AL$34,MATCH(I$7,'Inputs (2)'!$D$2:$AL$2,0))</f>
        <v>0</v>
      </c>
      <c r="J199" s="301">
        <f>INDEX('Inputs (2)'!$D$34:$AL$34,MATCH(J$7,'Inputs (2)'!$D$2:$AL$2,0))</f>
        <v>0</v>
      </c>
      <c r="K199" s="301">
        <f>INDEX('Inputs (2)'!$D$34:$AL$34,MATCH(K$7,'Inputs (2)'!$D$2:$AL$2,0))</f>
        <v>0</v>
      </c>
      <c r="L199" s="301">
        <f>INDEX('Inputs (2)'!$D$34:$AL$34,MATCH(L$7,'Inputs (2)'!$D$2:$AL$2,0))</f>
        <v>0</v>
      </c>
      <c r="M199" s="268">
        <f>L199</f>
        <v>0</v>
      </c>
      <c r="N199" s="301">
        <f>INDEX('Inputs (2)'!$D$34:$AL$34,MATCH(N$7,'Inputs (2)'!$D$2:$AL$2,0))</f>
        <v>0</v>
      </c>
      <c r="O199" s="301">
        <f>INDEX('Inputs (2)'!$D$34:$AL$34,MATCH(O$7,'Inputs (2)'!$D$2:$AL$2,0))</f>
        <v>0</v>
      </c>
      <c r="P199" s="301">
        <f>INDEX('Inputs (2)'!$D$34:$AL$34,MATCH(P$7,'Inputs (2)'!$D$2:$AL$2,0))</f>
        <v>0</v>
      </c>
      <c r="Q199" s="301">
        <f>INDEX('Inputs (2)'!$D$34:$AL$34,MATCH(Q$7,'Inputs (2)'!$D$2:$AL$2,0))</f>
        <v>0</v>
      </c>
      <c r="R199" s="268">
        <f>Q199</f>
        <v>0</v>
      </c>
      <c r="S199" s="301">
        <f>INDEX('Inputs (2)'!$D$34:$AL$34,MATCH(S$7,'Inputs (2)'!$D$2:$AL$2,0))</f>
        <v>0</v>
      </c>
      <c r="T199" s="301">
        <f>INDEX('Inputs (2)'!$D$34:$AL$34,MATCH(T$7,'Inputs (2)'!$D$2:$AL$2,0))</f>
        <v>0</v>
      </c>
      <c r="U199" s="301">
        <f>INDEX('Inputs (2)'!$D$34:$AL$34,MATCH(U$7,'Inputs (2)'!$D$2:$AL$2,0))</f>
        <v>0</v>
      </c>
      <c r="V199" s="301">
        <f>INDEX('Inputs (2)'!$D$34:$AL$34,MATCH(V$7,'Inputs (2)'!$D$2:$AL$2,0))</f>
        <v>0</v>
      </c>
      <c r="W199" s="268">
        <f>V199</f>
        <v>0</v>
      </c>
      <c r="X199" s="301">
        <f>INDEX('Inputs (2)'!$D$34:$AL$34,MATCH(X$7,'Inputs (2)'!$D$2:$AL$2,0))</f>
        <v>0</v>
      </c>
      <c r="Y199" s="301">
        <f>INDEX('Inputs (2)'!$D$34:$AL$34,MATCH(Y$7,'Inputs (2)'!$D$2:$AL$2,0))</f>
        <v>0</v>
      </c>
      <c r="Z199" s="301">
        <f>INDEX('Inputs (2)'!$D$34:$AL$34,MATCH(Z$7,'Inputs (2)'!$D$2:$AL$2,0))</f>
        <v>0</v>
      </c>
      <c r="AA199" s="301">
        <f>INDEX('Inputs (2)'!$D$34:$AL$34,MATCH(AA$7,'Inputs (2)'!$D$2:$AL$2,0))</f>
        <v>0</v>
      </c>
      <c r="AB199" s="268">
        <f>AA199</f>
        <v>0</v>
      </c>
      <c r="AC199" s="301">
        <f>INDEX('Inputs (2)'!$D$34:$AL$34,MATCH(AC$7,'Inputs (2)'!$D$2:$AL$2,0))</f>
        <v>0</v>
      </c>
      <c r="AD199" s="301">
        <f>INDEX('Inputs (2)'!$D$34:$AL$34,MATCH(AD$7,'Inputs (2)'!$D$2:$AL$2,0))</f>
        <v>0</v>
      </c>
      <c r="AE199" s="301">
        <f>INDEX('Inputs (2)'!$D$34:$AL$34,MATCH(AE$7,'Inputs (2)'!$D$2:$AL$2,0))</f>
        <v>0</v>
      </c>
      <c r="AF199" s="301">
        <f>INDEX('Inputs (2)'!$D$34:$AL$34,MATCH(AF$7,'Inputs (2)'!$D$2:$AL$2,0))</f>
        <v>0</v>
      </c>
      <c r="AG199" s="268">
        <f>AF199</f>
        <v>0</v>
      </c>
      <c r="AH199" s="268">
        <f>INDEX('Inputs (2)'!$D$34:$AL$34,MATCH(AH$7,'Inputs (2)'!$D$2:$AL$2,0))</f>
        <v>0</v>
      </c>
      <c r="AI199" s="268">
        <f>INDEX('Inputs (2)'!$D$34:$AL$34,MATCH(AI$7,'Inputs (2)'!$D$2:$AL$2,0))</f>
        <v>0</v>
      </c>
      <c r="AJ199" s="268">
        <f>AI199</f>
        <v>0</v>
      </c>
      <c r="AK199" s="268">
        <f>AJ199</f>
        <v>0</v>
      </c>
      <c r="AL199" s="268">
        <f>AK199</f>
        <v>0</v>
      </c>
      <c r="AM199" s="268">
        <f>AL199</f>
        <v>0</v>
      </c>
      <c r="AN199" s="268">
        <f>AM199</f>
        <v>0</v>
      </c>
      <c r="AO199" s="268">
        <f>AN199</f>
        <v>0</v>
      </c>
      <c r="AP199" s="268">
        <f>AO199</f>
        <v>0</v>
      </c>
      <c r="AQ199" s="268">
        <f>AP199</f>
        <v>0</v>
      </c>
      <c r="AR199" s="268">
        <f>AQ199</f>
        <v>0</v>
      </c>
      <c r="AS199" s="268">
        <f>AR199</f>
        <v>0</v>
      </c>
      <c r="AT199" s="268">
        <f>AS199</f>
        <v>0</v>
      </c>
      <c r="AU199" s="268">
        <f>AT199</f>
        <v>0</v>
      </c>
      <c r="AV199" s="268">
        <f>AU199</f>
        <v>0</v>
      </c>
      <c r="AW199" s="268">
        <f>AV199</f>
        <v>0</v>
      </c>
      <c r="AX199" s="268">
        <f>AW199</f>
        <v>0</v>
      </c>
      <c r="AY199" s="268">
        <f>AX199</f>
        <v>0</v>
      </c>
      <c r="AZ199" s="268">
        <f>AY199</f>
        <v>0</v>
      </c>
      <c r="BA199" s="268">
        <f>AZ199</f>
        <v>0</v>
      </c>
      <c r="BB199" s="268">
        <f>BA199</f>
        <v>0</v>
      </c>
      <c r="BC199" s="268">
        <f>BB199</f>
        <v>0</v>
      </c>
      <c r="BD199" s="268">
        <f>BC199</f>
        <v>0</v>
      </c>
      <c r="BE199" s="268">
        <f>BD199</f>
        <v>0</v>
      </c>
      <c r="BF199" s="268">
        <f>BE199</f>
        <v>0</v>
      </c>
      <c r="BG199" s="268">
        <f>BF199</f>
        <v>0</v>
      </c>
      <c r="BH199" s="268">
        <f>BG199</f>
        <v>0</v>
      </c>
      <c r="BI199" s="268">
        <f>BH199</f>
        <v>0</v>
      </c>
      <c r="BJ199" s="268">
        <f>BI199</f>
        <v>0</v>
      </c>
      <c r="BK199" s="268">
        <f>BJ199</f>
        <v>0</v>
      </c>
      <c r="BL199" s="268">
        <f>BK199</f>
        <v>0</v>
      </c>
      <c r="BM199" s="268">
        <f>BL199</f>
        <v>0</v>
      </c>
      <c r="BN199" s="268">
        <f>BM199</f>
        <v>0</v>
      </c>
      <c r="BO199" s="268">
        <f>BN199</f>
        <v>0</v>
      </c>
      <c r="BP199" s="268">
        <f>BO199</f>
        <v>0</v>
      </c>
      <c r="BQ199" s="268">
        <f>BP199</f>
        <v>0</v>
      </c>
      <c r="BR199" s="268">
        <f>BQ199</f>
        <v>0</v>
      </c>
      <c r="BS199" s="268">
        <f>BR199</f>
        <v>0</v>
      </c>
      <c r="BT199" s="268">
        <f>BS199</f>
        <v>0</v>
      </c>
      <c r="BU199" s="268">
        <f>BT199</f>
        <v>0</v>
      </c>
      <c r="BV199" s="268">
        <f>BU199</f>
        <v>0</v>
      </c>
      <c r="BW199" s="268">
        <f>BV199</f>
        <v>0</v>
      </c>
      <c r="BX199" s="268">
        <f>BW199</f>
        <v>0</v>
      </c>
      <c r="BY199" s="268">
        <f>BX199</f>
        <v>0</v>
      </c>
      <c r="BZ199" s="268">
        <f>BY199</f>
        <v>0</v>
      </c>
      <c r="CA199" s="268">
        <f>BZ199</f>
        <v>0</v>
      </c>
      <c r="CB199" s="268">
        <f>CA199</f>
        <v>0</v>
      </c>
      <c r="CC199" s="268">
        <f>CB199</f>
        <v>0</v>
      </c>
      <c r="CD199" s="268">
        <f>CC199</f>
        <v>0</v>
      </c>
      <c r="CE199" s="268">
        <f>CD199</f>
        <v>0</v>
      </c>
      <c r="CF199" s="268">
        <f>CE199</f>
        <v>0</v>
      </c>
      <c r="CG199" s="268">
        <f>CF199</f>
        <v>0</v>
      </c>
      <c r="CH199" s="268">
        <f>CG199</f>
        <v>0</v>
      </c>
      <c r="CI199" s="268">
        <f>CH199</f>
        <v>0</v>
      </c>
      <c r="CJ199" s="268">
        <f>CI199</f>
        <v>0</v>
      </c>
      <c r="CK199" s="268">
        <f>CJ199</f>
        <v>0</v>
      </c>
      <c r="CL199" s="268">
        <f>CK199</f>
        <v>0</v>
      </c>
      <c r="CM199" s="268">
        <f>CL199</f>
        <v>0</v>
      </c>
      <c r="CN199" s="268">
        <f>CM199</f>
        <v>0</v>
      </c>
      <c r="CO199" s="268">
        <f>CN199</f>
        <v>0</v>
      </c>
      <c r="CP199" s="268">
        <f>CO199</f>
        <v>0</v>
      </c>
      <c r="CQ199" s="268">
        <f>CP199</f>
        <v>0</v>
      </c>
      <c r="CR199" s="268">
        <f>CQ199</f>
        <v>0</v>
      </c>
      <c r="CS199" s="268">
        <f>CR199</f>
        <v>0</v>
      </c>
      <c r="CT199" s="268">
        <f>CS199</f>
        <v>0</v>
      </c>
      <c r="CU199" s="268">
        <f>CT199</f>
        <v>0</v>
      </c>
      <c r="CV199" s="268">
        <f>CU199</f>
        <v>0</v>
      </c>
      <c r="CW199" s="268">
        <f>CV199</f>
        <v>0</v>
      </c>
      <c r="CX199" s="268">
        <f>CW199</f>
        <v>0</v>
      </c>
      <c r="CY199" s="268">
        <f>CX199</f>
        <v>0</v>
      </c>
    </row>
    <row r="200" hidden="1" outlineLevel="1" ht="12.75" customHeight="1" s="255">
      <c r="C200" s="314" t="inlineStr">
        <is>
          <t>%(Var.)</t>
        </is>
      </c>
      <c r="D200" s="268" t="n"/>
      <c r="E200" s="296">
        <f>IFERROR((E199-D199)/D199,0)</f>
        <v>0</v>
      </c>
      <c r="F200" s="296">
        <f>IFERROR((F199-E199)/E199,0)</f>
        <v>0</v>
      </c>
      <c r="G200" s="296">
        <f>IFERROR((G199-F199)/F199,0)</f>
        <v>0</v>
      </c>
      <c r="H200" s="268" t="n"/>
      <c r="I200" s="296">
        <f>IFERROR((I199-H199)/H199,0)</f>
        <v>0</v>
      </c>
      <c r="J200" s="296">
        <f>IFERROR((J199-I199)/I199,0)</f>
        <v>0</v>
      </c>
      <c r="K200" s="296">
        <f>IFERROR((K199-J199)/J199,0)</f>
        <v>0</v>
      </c>
      <c r="L200" s="296">
        <f>IFERROR((L199-K199)/K199,0)</f>
        <v>0</v>
      </c>
      <c r="M200" s="268" t="n"/>
      <c r="N200" s="296">
        <f>IFERROR((N199-M199)/M199,0)</f>
        <v>0</v>
      </c>
      <c r="O200" s="296">
        <f>IFERROR((O199-N199)/N199,0)</f>
        <v>0</v>
      </c>
      <c r="P200" s="296">
        <f>IFERROR((P199-O199)/O199,0)</f>
        <v>0</v>
      </c>
      <c r="Q200" s="296">
        <f>IFERROR((Q199-P199)/P199,0)</f>
        <v>0</v>
      </c>
      <c r="R200" s="268" t="n"/>
      <c r="S200" s="296">
        <f>IFERROR((S199-R199)/R199,0)</f>
        <v>0</v>
      </c>
      <c r="T200" s="296">
        <f>IFERROR((T199-S199)/S199,0)</f>
        <v>0</v>
      </c>
      <c r="U200" s="296">
        <f>IFERROR((U199-T199)/T199,0)</f>
        <v>0</v>
      </c>
      <c r="V200" s="296">
        <f>IFERROR((V199-U199)/U199,0)</f>
        <v>0</v>
      </c>
      <c r="W200" s="268" t="n"/>
      <c r="X200" s="296">
        <f>IFERROR((X199-W199)/W199,0)</f>
        <v>0</v>
      </c>
      <c r="Y200" s="296">
        <f>IFERROR((Y199-X199)/X199,0)</f>
        <v>0</v>
      </c>
      <c r="Z200" s="296">
        <f>IFERROR((Z199-Y199)/Y199,0)</f>
        <v>0</v>
      </c>
      <c r="AA200" s="296">
        <f>IFERROR((AA199-Z199)/Z199,0)</f>
        <v>0</v>
      </c>
      <c r="AB200" s="268" t="n"/>
      <c r="AC200" s="296">
        <f>IFERROR((AC199-AB199)/AB199,0)</f>
        <v>0</v>
      </c>
      <c r="AD200" s="296">
        <f>IFERROR((AD199-AC199)/AC199,0)</f>
        <v>0</v>
      </c>
      <c r="AE200" s="296">
        <f>IFERROR((AE199-AD199)/AD199,0)</f>
        <v>0</v>
      </c>
      <c r="AF200" s="267">
        <f>IFERROR((AF199-AE199)/AE199,0)</f>
        <v>0</v>
      </c>
      <c r="AG200" s="268" t="n"/>
      <c r="AH200" s="267">
        <f>IFERROR((AH199-AG199)/AG199,0)</f>
        <v>0</v>
      </c>
      <c r="AI200" s="267">
        <f>IFERROR((AI199-AH199)/AH199,0)</f>
        <v>0</v>
      </c>
      <c r="AJ200" s="267" t="n"/>
      <c r="AK200" s="267" t="n"/>
      <c r="AL200" s="268" t="n"/>
      <c r="AM200" s="267" t="n"/>
      <c r="AN200" s="267" t="n"/>
      <c r="AO200" s="267" t="n"/>
      <c r="AP200" s="267" t="n"/>
      <c r="AQ200" s="268" t="n"/>
      <c r="AR200" s="267" t="n"/>
      <c r="AS200" s="267" t="n"/>
      <c r="AT200" s="267" t="n"/>
      <c r="AU200" s="267" t="n"/>
      <c r="AV200" s="268" t="n"/>
      <c r="AW200" s="267" t="n"/>
      <c r="AX200" s="267" t="n"/>
      <c r="AY200" s="267" t="n"/>
      <c r="AZ200" s="267" t="n"/>
      <c r="BA200" s="268" t="n"/>
      <c r="BB200" s="267" t="n"/>
      <c r="BC200" s="267" t="n"/>
      <c r="BD200" s="267" t="n"/>
      <c r="BE200" s="267" t="n"/>
      <c r="BF200" s="268" t="n"/>
      <c r="BG200" s="267" t="n"/>
      <c r="BH200" s="267" t="n"/>
      <c r="BI200" s="267" t="n"/>
      <c r="BJ200" s="267" t="n"/>
      <c r="BK200" s="268" t="n"/>
      <c r="BL200" s="267" t="n"/>
      <c r="BM200" s="267" t="n"/>
      <c r="BN200" s="267" t="n"/>
      <c r="BO200" s="267" t="n"/>
      <c r="BP200" s="268" t="n"/>
      <c r="BQ200" s="267" t="n"/>
      <c r="BR200" s="267" t="n"/>
      <c r="BS200" s="267" t="n"/>
      <c r="BT200" s="267" t="n"/>
      <c r="BU200" s="268" t="n"/>
      <c r="BV200" s="267" t="n"/>
      <c r="BW200" s="267" t="n"/>
      <c r="BX200" s="267" t="n"/>
      <c r="BY200" s="267" t="n"/>
      <c r="BZ200" s="268" t="n"/>
      <c r="CA200" s="267" t="n"/>
      <c r="CB200" s="267" t="n"/>
      <c r="CC200" s="267" t="n"/>
      <c r="CD200" s="267" t="n"/>
      <c r="CE200" s="268" t="n"/>
      <c r="CF200" s="267" t="n"/>
      <c r="CG200" s="267" t="n"/>
      <c r="CH200" s="267" t="n"/>
      <c r="CI200" s="267" t="n"/>
      <c r="CJ200" s="268" t="n"/>
      <c r="CK200" s="267" t="n"/>
      <c r="CL200" s="267" t="n"/>
      <c r="CM200" s="267" t="n"/>
      <c r="CN200" s="267" t="n"/>
      <c r="CO200" s="268" t="n"/>
      <c r="CP200" s="267" t="n"/>
      <c r="CQ200" s="267" t="n"/>
      <c r="CR200" s="267" t="n"/>
      <c r="CS200" s="267" t="n"/>
      <c r="CT200" s="268" t="n"/>
      <c r="CU200" s="267" t="n"/>
      <c r="CV200" s="267" t="n"/>
      <c r="CW200" s="267" t="n"/>
      <c r="CX200" s="267" t="n"/>
      <c r="CY200" s="268" t="n"/>
    </row>
    <row r="201" hidden="1" outlineLevel="1" ht="12.75" customHeight="1" s="255">
      <c r="C201" s="312" t="n"/>
      <c r="D201" s="268" t="n"/>
      <c r="E201" s="268" t="n"/>
      <c r="F201" s="268" t="n"/>
      <c r="G201" s="268" t="n"/>
      <c r="H201" s="268" t="n"/>
      <c r="I201" s="268" t="n"/>
      <c r="J201" s="268" t="n"/>
      <c r="K201" s="268" t="n"/>
      <c r="L201" s="268" t="n"/>
      <c r="M201" s="268" t="n"/>
      <c r="N201" s="268" t="n"/>
      <c r="O201" s="268" t="n"/>
      <c r="P201" s="268" t="n"/>
      <c r="Q201" s="268" t="n"/>
      <c r="R201" s="268" t="n"/>
      <c r="S201" s="268" t="n"/>
      <c r="T201" s="268" t="n"/>
      <c r="U201" s="268" t="n"/>
      <c r="V201" s="268" t="n"/>
      <c r="W201" s="268" t="n"/>
      <c r="X201" s="268" t="n"/>
      <c r="Y201" s="268" t="n"/>
      <c r="Z201" s="268" t="n"/>
      <c r="AA201" s="268" t="n"/>
      <c r="AB201" s="268" t="n"/>
      <c r="AC201" s="268" t="n"/>
      <c r="AD201" s="268" t="n"/>
      <c r="AE201" s="268" t="n"/>
      <c r="AF201" s="268" t="n"/>
      <c r="AG201" s="268" t="n"/>
      <c r="AH201" s="268" t="n"/>
      <c r="AI201" s="268" t="n"/>
      <c r="AJ201" s="268" t="n"/>
      <c r="AK201" s="268" t="n"/>
      <c r="AL201" s="268" t="n"/>
      <c r="AM201" s="268" t="n"/>
      <c r="AN201" s="268" t="n"/>
      <c r="AO201" s="268" t="n"/>
      <c r="AP201" s="268" t="n"/>
      <c r="AQ201" s="268" t="n"/>
      <c r="AR201" s="268" t="n"/>
      <c r="AS201" s="268" t="n"/>
      <c r="AT201" s="268" t="n"/>
      <c r="AU201" s="268" t="n"/>
      <c r="AV201" s="268" t="n"/>
      <c r="AW201" s="268" t="n"/>
      <c r="AX201" s="268" t="n"/>
      <c r="AY201" s="268" t="n"/>
      <c r="AZ201" s="268" t="n"/>
      <c r="BA201" s="268" t="n"/>
      <c r="BB201" s="268" t="n"/>
      <c r="BC201" s="268" t="n"/>
      <c r="BD201" s="268" t="n"/>
      <c r="BE201" s="268" t="n"/>
      <c r="BF201" s="268" t="n"/>
      <c r="BG201" s="268" t="n"/>
      <c r="BH201" s="268" t="n"/>
      <c r="BI201" s="268" t="n"/>
      <c r="BJ201" s="268" t="n"/>
      <c r="BK201" s="268" t="n"/>
      <c r="BL201" s="268" t="n"/>
      <c r="BM201" s="268" t="n"/>
      <c r="BN201" s="268" t="n"/>
      <c r="BO201" s="268" t="n"/>
      <c r="BP201" s="268" t="n"/>
      <c r="BQ201" s="268" t="n"/>
      <c r="BR201" s="268" t="n"/>
      <c r="BS201" s="268" t="n"/>
      <c r="BT201" s="268" t="n"/>
      <c r="BU201" s="268" t="n"/>
      <c r="BV201" s="268" t="n"/>
      <c r="BW201" s="268" t="n"/>
      <c r="BX201" s="268" t="n"/>
      <c r="BY201" s="268" t="n"/>
      <c r="BZ201" s="268" t="n"/>
      <c r="CA201" s="268" t="n"/>
      <c r="CB201" s="268" t="n"/>
      <c r="CC201" s="268" t="n"/>
      <c r="CD201" s="268" t="n"/>
      <c r="CE201" s="268" t="n"/>
      <c r="CF201" s="268" t="n"/>
      <c r="CG201" s="268" t="n"/>
      <c r="CH201" s="268" t="n"/>
      <c r="CI201" s="268" t="n"/>
      <c r="CJ201" s="268" t="n"/>
      <c r="CK201" s="268" t="n"/>
      <c r="CL201" s="268" t="n"/>
      <c r="CM201" s="268" t="n"/>
      <c r="CN201" s="268" t="n"/>
      <c r="CO201" s="268" t="n"/>
      <c r="CP201" s="268" t="n"/>
      <c r="CQ201" s="268" t="n"/>
      <c r="CR201" s="268" t="n"/>
      <c r="CS201" s="268" t="n"/>
      <c r="CT201" s="268" t="n"/>
      <c r="CU201" s="268" t="n"/>
      <c r="CV201" s="268" t="n"/>
      <c r="CW201" s="268" t="n"/>
      <c r="CX201" s="268" t="n"/>
      <c r="CY201" s="268" t="n"/>
    </row>
    <row r="202" ht="12.75" customHeight="1" s="255">
      <c r="C202" s="270" t="inlineStr">
        <is>
          <t>Long term debt</t>
        </is>
      </c>
      <c r="D202" s="301">
        <f>INDEX('Inputs (2)'!$D$35:$AL$35,MATCH(D$7,'Inputs (2)'!$D$2:$AL$2,0))</f>
        <v>5099</v>
      </c>
      <c r="E202" s="301">
        <f>INDEX('Inputs (2)'!$D$35:$AL$35,MATCH(E$7,'Inputs (2)'!$D$2:$AL$2,0))</f>
        <v>7598</v>
      </c>
      <c r="F202" s="301">
        <f>INDEX('Inputs (2)'!$D$35:$AL$35,MATCH(F$7,'Inputs (2)'!$D$2:$AL$2,0))</f>
        <v>7514</v>
      </c>
      <c r="G202" s="301">
        <f>INDEX('Inputs (2)'!$D$35:$AL$35,MATCH(G$7,'Inputs (2)'!$D$2:$AL$2,0))</f>
        <v>7529</v>
      </c>
      <c r="H202" s="268">
        <f>G202</f>
        <v>7529</v>
      </c>
      <c r="I202" s="301">
        <f>INDEX('Inputs (2)'!$D$35:$AL$35,MATCH(I$7,'Inputs (2)'!$D$2:$AL$2,0))</f>
        <v>7522</v>
      </c>
      <c r="J202" s="301">
        <f>INDEX('Inputs (2)'!$D$35:$AL$35,MATCH(J$7,'Inputs (2)'!$D$2:$AL$2,0))</f>
        <v>7495</v>
      </c>
      <c r="K202" s="301">
        <f>INDEX('Inputs (2)'!$D$35:$AL$35,MATCH(K$7,'Inputs (2)'!$D$2:$AL$2,0))</f>
        <v>6692</v>
      </c>
      <c r="L202" s="301">
        <f>INDEX('Inputs (2)'!$D$35:$AL$35,MATCH(L$7,'Inputs (2)'!$D$2:$AL$2,0))</f>
        <v>6667</v>
      </c>
      <c r="M202" s="268">
        <f>L202</f>
        <v>6667</v>
      </c>
      <c r="N202" s="301">
        <f>INDEX('Inputs (2)'!$D$35:$AL$35,MATCH(N$7,'Inputs (2)'!$D$2:$AL$2,0))</f>
        <v>6658</v>
      </c>
      <c r="O202" s="301">
        <f>INDEX('Inputs (2)'!$D$35:$AL$35,MATCH(O$7,'Inputs (2)'!$D$2:$AL$2,0))</f>
        <v>6507</v>
      </c>
      <c r="P202" s="301">
        <f>INDEX('Inputs (2)'!$D$35:$AL$35,MATCH(P$7,'Inputs (2)'!$D$2:$AL$2,0))</f>
        <v>6484</v>
      </c>
      <c r="Q202" s="301">
        <f>INDEX('Inputs (2)'!$D$35:$AL$35,MATCH(Q$7,'Inputs (2)'!$D$2:$AL$2,0))</f>
        <v>6472</v>
      </c>
      <c r="R202" s="268">
        <f>Q202</f>
        <v>6472</v>
      </c>
      <c r="S202" s="301">
        <f>INDEX('Inputs (2)'!$D$35:$AL$35,MATCH(S$7,'Inputs (2)'!$D$2:$AL$2,0))</f>
        <v>6506</v>
      </c>
      <c r="T202" s="301">
        <f>INDEX('Inputs (2)'!$D$35:$AL$35,MATCH(T$7,'Inputs (2)'!$D$2:$AL$2,0))</f>
        <v>6497</v>
      </c>
      <c r="U202" s="301">
        <f>INDEX('Inputs (2)'!$D$35:$AL$35,MATCH(U$7,'Inputs (2)'!$D$2:$AL$2,0))</f>
        <v>5377</v>
      </c>
      <c r="V202" s="301">
        <f>INDEX('Inputs (2)'!$D$35:$AL$35,MATCH(V$7,'Inputs (2)'!$D$2:$AL$2,0))</f>
        <v>5866</v>
      </c>
      <c r="W202" s="268">
        <f>V202</f>
        <v>5866</v>
      </c>
      <c r="X202" s="301">
        <f>INDEX('Inputs (2)'!$D$35:$AL$35,MATCH(X$7,'Inputs (2)'!$D$2:$AL$2,0))</f>
        <v>5865</v>
      </c>
      <c r="Y202" s="301">
        <f>INDEX('Inputs (2)'!$D$35:$AL$35,MATCH(Y$7,'Inputs (2)'!$D$2:$AL$2,0))</f>
        <v>5834</v>
      </c>
      <c r="Z202" s="301">
        <f>INDEX('Inputs (2)'!$D$35:$AL$35,MATCH(Z$7,'Inputs (2)'!$D$2:$AL$2,0))</f>
        <v>5794</v>
      </c>
      <c r="AA202" s="301">
        <f>INDEX('Inputs (2)'!$D$35:$AL$35,MATCH(AA$7,'Inputs (2)'!$D$2:$AL$2,0))</f>
        <v>5745</v>
      </c>
      <c r="AB202" s="268">
        <f>AA202</f>
        <v>5745</v>
      </c>
      <c r="AC202" s="301">
        <f>INDEX('Inputs (2)'!$D$35:$AL$35,MATCH(AC$7,'Inputs (2)'!$D$2:$AL$2,0))</f>
        <v>5755</v>
      </c>
      <c r="AD202" s="301">
        <f>INDEX('Inputs (2)'!$D$35:$AL$35,MATCH(AD$7,'Inputs (2)'!$D$2:$AL$2,0))</f>
        <v>5717</v>
      </c>
      <c r="AE202" s="301">
        <f>INDEX('Inputs (2)'!$D$35:$AL$35,MATCH(AE$7,'Inputs (2)'!$D$2:$AL$2,0))</f>
        <v>5713</v>
      </c>
      <c r="AF202" s="301">
        <f>INDEX('Inputs (2)'!$D$35:$AL$35,MATCH(AF$7,'Inputs (2)'!$D$2:$AL$2,0))</f>
        <v>5666</v>
      </c>
      <c r="AG202" s="268">
        <f>AF202</f>
        <v>5666</v>
      </c>
      <c r="AH202" s="268">
        <f>INDEX('Inputs (2)'!$D$35:$AL$35,MATCH(AH$7,'Inputs (2)'!$D$2:$AL$2,0))</f>
        <v>5688</v>
      </c>
      <c r="AI202" s="268">
        <f>INDEX('Inputs (2)'!$D$35:$AL$35,MATCH(AI$7,'Inputs (2)'!$D$2:$AL$2,0))</f>
        <v>5670</v>
      </c>
      <c r="AJ202" s="268">
        <f>AJ208</f>
        <v>5670</v>
      </c>
      <c r="AK202" s="268">
        <f>AK208</f>
        <v>5670</v>
      </c>
      <c r="AL202" s="268">
        <f>AK202</f>
        <v>5670</v>
      </c>
      <c r="AM202" s="268">
        <f>AM208</f>
        <v>5670</v>
      </c>
      <c r="AN202" s="268">
        <f>AN208</f>
        <v>5670</v>
      </c>
      <c r="AO202" s="268">
        <f>AO208</f>
        <v>5670</v>
      </c>
      <c r="AP202" s="268">
        <f>AP208</f>
        <v>5670</v>
      </c>
      <c r="AQ202" s="268">
        <f>AP202</f>
        <v>5670</v>
      </c>
      <c r="AR202" s="268">
        <f>AR208</f>
        <v>5670</v>
      </c>
      <c r="AS202" s="268">
        <f>AS208</f>
        <v>5670</v>
      </c>
      <c r="AT202" s="268">
        <f>AT208</f>
        <v>5670</v>
      </c>
      <c r="AU202" s="268">
        <f>AU208</f>
        <v>5670</v>
      </c>
      <c r="AV202" s="268">
        <f>AU202</f>
        <v>5670</v>
      </c>
      <c r="AW202" s="268">
        <f>AW208</f>
        <v>5670</v>
      </c>
      <c r="AX202" s="268">
        <f>AX208</f>
        <v>5670</v>
      </c>
      <c r="AY202" s="268">
        <f>AY208</f>
        <v>5670</v>
      </c>
      <c r="AZ202" s="268">
        <f>AZ208</f>
        <v>5670</v>
      </c>
      <c r="BA202" s="268">
        <f>AZ202</f>
        <v>5670</v>
      </c>
      <c r="BB202" s="268">
        <f>BB208</f>
        <v>5670</v>
      </c>
      <c r="BC202" s="268">
        <f>BC208</f>
        <v>5670</v>
      </c>
      <c r="BD202" s="268">
        <f>BD208</f>
        <v>5670</v>
      </c>
      <c r="BE202" s="268">
        <f>BE208</f>
        <v>5670</v>
      </c>
      <c r="BF202" s="268">
        <f>BE202</f>
        <v>5670</v>
      </c>
      <c r="BG202" s="268">
        <f>BG208</f>
        <v>5670</v>
      </c>
      <c r="BH202" s="268">
        <f>BH208</f>
        <v>5670</v>
      </c>
      <c r="BI202" s="268">
        <f>BI208</f>
        <v>5670</v>
      </c>
      <c r="BJ202" s="268">
        <f>BJ208</f>
        <v>5670</v>
      </c>
      <c r="BK202" s="268">
        <f>BJ202</f>
        <v>5670</v>
      </c>
      <c r="BL202" s="268">
        <f>BL208</f>
        <v>5670</v>
      </c>
      <c r="BM202" s="268">
        <f>BM208</f>
        <v>5670</v>
      </c>
      <c r="BN202" s="268">
        <f>BN208</f>
        <v>5670</v>
      </c>
      <c r="BO202" s="268">
        <f>BO208</f>
        <v>5670</v>
      </c>
      <c r="BP202" s="268">
        <f>BO202</f>
        <v>5670</v>
      </c>
      <c r="BQ202" s="268">
        <f>BQ208</f>
        <v>5670</v>
      </c>
      <c r="BR202" s="268">
        <f>BR208</f>
        <v>5670</v>
      </c>
      <c r="BS202" s="268">
        <f>BS208</f>
        <v>5670</v>
      </c>
      <c r="BT202" s="268">
        <f>BT208</f>
        <v>5670</v>
      </c>
      <c r="BU202" s="268">
        <f>BT202</f>
        <v>5670</v>
      </c>
      <c r="BV202" s="268">
        <f>BV208</f>
        <v>5670</v>
      </c>
      <c r="BW202" s="268">
        <f>BW208</f>
        <v>5670</v>
      </c>
      <c r="BX202" s="268">
        <f>BX208</f>
        <v>5670</v>
      </c>
      <c r="BY202" s="268">
        <f>BY208</f>
        <v>5670</v>
      </c>
      <c r="BZ202" s="268">
        <f>BY202</f>
        <v>5670</v>
      </c>
      <c r="CA202" s="268">
        <f>CA208</f>
        <v>5670</v>
      </c>
      <c r="CB202" s="268">
        <f>CB208</f>
        <v>5670</v>
      </c>
      <c r="CC202" s="268">
        <f>CC208</f>
        <v>5670</v>
      </c>
      <c r="CD202" s="268">
        <f>CD208</f>
        <v>5670</v>
      </c>
      <c r="CE202" s="268">
        <f>CD202</f>
        <v>5670</v>
      </c>
      <c r="CF202" s="268">
        <f>CF208</f>
        <v>5670</v>
      </c>
      <c r="CG202" s="268">
        <f>CG208</f>
        <v>5670</v>
      </c>
      <c r="CH202" s="268">
        <f>CH208</f>
        <v>5670</v>
      </c>
      <c r="CI202" s="268">
        <f>CI208</f>
        <v>5670</v>
      </c>
      <c r="CJ202" s="268">
        <f>CI202</f>
        <v>5670</v>
      </c>
      <c r="CK202" s="268">
        <f>CK208</f>
        <v>5670</v>
      </c>
      <c r="CL202" s="268">
        <f>CL208</f>
        <v>5670</v>
      </c>
      <c r="CM202" s="268">
        <f>CM208</f>
        <v>5670</v>
      </c>
      <c r="CN202" s="268">
        <f>CN208</f>
        <v>5670</v>
      </c>
      <c r="CO202" s="268">
        <f>CN202</f>
        <v>5670</v>
      </c>
      <c r="CP202" s="268">
        <f>CP208</f>
        <v>5670</v>
      </c>
      <c r="CQ202" s="268">
        <f>CQ208</f>
        <v>5670</v>
      </c>
      <c r="CR202" s="268">
        <f>CR208</f>
        <v>5670</v>
      </c>
      <c r="CS202" s="268">
        <f>CS208</f>
        <v>5670</v>
      </c>
      <c r="CT202" s="268">
        <f>CS202</f>
        <v>5670</v>
      </c>
      <c r="CU202" s="268">
        <f>CU208</f>
        <v>5670</v>
      </c>
      <c r="CV202" s="268">
        <f>CV208</f>
        <v>5670</v>
      </c>
      <c r="CW202" s="268">
        <f>CW208</f>
        <v>5670</v>
      </c>
      <c r="CX202" s="268">
        <f>CX208</f>
        <v>5670</v>
      </c>
      <c r="CY202" s="268">
        <f>CX202</f>
        <v>5670</v>
      </c>
    </row>
    <row r="203" hidden="1" outlineLevel="1" ht="12.75" customHeight="1" s="255">
      <c r="C203" s="312" t="n"/>
      <c r="D203" s="268" t="n"/>
      <c r="E203" s="268" t="n"/>
      <c r="F203" s="268" t="n"/>
      <c r="G203" s="268" t="n"/>
      <c r="H203" s="268" t="n"/>
      <c r="I203" s="268" t="n"/>
      <c r="J203" s="268" t="n"/>
      <c r="K203" s="268" t="n"/>
      <c r="L203" s="268" t="n"/>
      <c r="M203" s="268" t="n"/>
      <c r="N203" s="268" t="n"/>
      <c r="O203" s="268" t="n"/>
      <c r="P203" s="268" t="n"/>
      <c r="Q203" s="268" t="n"/>
      <c r="R203" s="268" t="n"/>
      <c r="S203" s="268" t="n"/>
      <c r="T203" s="268" t="n"/>
      <c r="U203" s="268" t="n"/>
      <c r="V203" s="268" t="n"/>
      <c r="W203" s="268" t="n"/>
      <c r="X203" s="268" t="n"/>
      <c r="Y203" s="268" t="n"/>
      <c r="Z203" s="268" t="n"/>
      <c r="AA203" s="268" t="n"/>
      <c r="AB203" s="268" t="n"/>
      <c r="AC203" s="268" t="n"/>
      <c r="AD203" s="268" t="n"/>
      <c r="AE203" s="268" t="n"/>
      <c r="AF203" s="268" t="n"/>
      <c r="AG203" s="268" t="n"/>
      <c r="AH203" s="268" t="n"/>
      <c r="AI203" s="268" t="n"/>
      <c r="AJ203" s="268" t="n"/>
      <c r="AK203" s="268" t="n"/>
      <c r="AL203" s="268" t="n"/>
      <c r="AM203" s="268" t="n"/>
      <c r="AN203" s="268" t="n"/>
      <c r="AO203" s="268" t="n"/>
      <c r="AP203" s="268" t="n"/>
      <c r="AQ203" s="268" t="n"/>
      <c r="AR203" s="268" t="n"/>
      <c r="AS203" s="268" t="n"/>
      <c r="AT203" s="268" t="n"/>
      <c r="AU203" s="268" t="n"/>
      <c r="AV203" s="268" t="n"/>
      <c r="AW203" s="268" t="n"/>
      <c r="AX203" s="268" t="n"/>
      <c r="AY203" s="268" t="n"/>
      <c r="AZ203" s="268" t="n"/>
      <c r="BA203" s="268" t="n"/>
      <c r="BB203" s="268" t="n"/>
      <c r="BC203" s="268" t="n"/>
      <c r="BD203" s="268" t="n"/>
      <c r="BE203" s="268" t="n"/>
      <c r="BF203" s="268" t="n"/>
      <c r="BG203" s="268" t="n"/>
      <c r="BH203" s="268" t="n"/>
      <c r="BI203" s="268" t="n"/>
      <c r="BJ203" s="268" t="n"/>
      <c r="BK203" s="268" t="n"/>
      <c r="BL203" s="268" t="n"/>
      <c r="BM203" s="268" t="n"/>
      <c r="BN203" s="268" t="n"/>
      <c r="BO203" s="268" t="n"/>
      <c r="BP203" s="268" t="n"/>
      <c r="BQ203" s="268" t="n"/>
      <c r="BR203" s="268" t="n"/>
      <c r="BS203" s="268" t="n"/>
      <c r="BT203" s="268" t="n"/>
      <c r="BU203" s="268" t="n"/>
      <c r="BV203" s="268" t="n"/>
      <c r="BW203" s="268" t="n"/>
      <c r="BX203" s="268" t="n"/>
      <c r="BY203" s="268" t="n"/>
      <c r="BZ203" s="268" t="n"/>
      <c r="CA203" s="268" t="n"/>
      <c r="CB203" s="268" t="n"/>
      <c r="CC203" s="268" t="n"/>
      <c r="CD203" s="268" t="n"/>
      <c r="CE203" s="268" t="n"/>
      <c r="CF203" s="268" t="n"/>
      <c r="CG203" s="268" t="n"/>
      <c r="CH203" s="268" t="n"/>
      <c r="CI203" s="268" t="n"/>
      <c r="CJ203" s="268" t="n"/>
      <c r="CK203" s="268" t="n"/>
      <c r="CL203" s="268" t="n"/>
      <c r="CM203" s="268" t="n"/>
      <c r="CN203" s="268" t="n"/>
      <c r="CO203" s="268" t="n"/>
      <c r="CP203" s="268" t="n"/>
      <c r="CQ203" s="268" t="n"/>
      <c r="CR203" s="268" t="n"/>
      <c r="CS203" s="268" t="n"/>
      <c r="CT203" s="268" t="n"/>
      <c r="CU203" s="268" t="n"/>
      <c r="CV203" s="268" t="n"/>
      <c r="CW203" s="268" t="n"/>
      <c r="CX203" s="268" t="n"/>
      <c r="CY203" s="268" t="n"/>
    </row>
    <row r="204" hidden="1" outlineLevel="1" ht="12.75" customHeight="1" s="255">
      <c r="C204" s="312" t="inlineStr">
        <is>
          <t>Current portion of LTD</t>
        </is>
      </c>
      <c r="D204" s="268" t="n"/>
      <c r="E204" s="268" t="n"/>
      <c r="F204" s="268" t="n"/>
      <c r="G204" s="268" t="n"/>
      <c r="H204" s="268" t="n"/>
      <c r="I204" s="268" t="n"/>
      <c r="J204" s="268" t="n"/>
      <c r="K204" s="268" t="n"/>
      <c r="L204" s="268" t="n"/>
      <c r="M204" s="268" t="n"/>
      <c r="N204" s="268" t="n"/>
      <c r="O204" s="268" t="n"/>
      <c r="P204" s="268" t="n"/>
      <c r="Q204" s="268" t="n"/>
      <c r="R204" s="268" t="n"/>
      <c r="S204" s="268" t="n"/>
      <c r="T204" s="268" t="n"/>
      <c r="U204" s="268" t="n"/>
      <c r="V204" s="268" t="n"/>
      <c r="W204" s="268" t="n"/>
      <c r="X204" s="268" t="n"/>
      <c r="Y204" s="268" t="n"/>
      <c r="Z204" s="268" t="n"/>
      <c r="AA204" s="268" t="n"/>
      <c r="AB204" s="268" t="n"/>
      <c r="AC204" s="268" t="n"/>
      <c r="AD204" s="268" t="n"/>
      <c r="AE204" s="268" t="n"/>
      <c r="AF204" s="268" t="n"/>
      <c r="AG204" s="268" t="n"/>
      <c r="AH204" s="268">
        <f>AF197</f>
        <v>0</v>
      </c>
      <c r="AI204" s="317" t="n"/>
      <c r="AJ204" s="317" t="n"/>
      <c r="AK204" s="317" t="n"/>
      <c r="AL204" s="268" t="n"/>
      <c r="AM204" s="268">
        <f>AK197</f>
        <v>0</v>
      </c>
      <c r="AN204" s="317" t="n"/>
      <c r="AO204" s="317" t="n"/>
      <c r="AP204" s="317" t="n"/>
      <c r="AQ204" s="268" t="n"/>
      <c r="AR204" s="268">
        <f>AP197</f>
        <v>0</v>
      </c>
      <c r="AS204" s="317" t="n"/>
      <c r="AT204" s="317" t="n"/>
      <c r="AU204" s="317" t="n"/>
      <c r="AV204" s="268" t="n"/>
      <c r="AW204" s="268">
        <f>AU197</f>
        <v>0</v>
      </c>
      <c r="AX204" s="317" t="n"/>
      <c r="AY204" s="317" t="n"/>
      <c r="AZ204" s="317" t="n"/>
      <c r="BA204" s="268" t="n"/>
      <c r="BB204" s="268">
        <f>AZ197</f>
        <v>0</v>
      </c>
      <c r="BC204" s="317" t="n"/>
      <c r="BD204" s="317" t="n"/>
      <c r="BE204" s="317" t="n"/>
      <c r="BF204" s="268" t="n"/>
      <c r="BG204" s="268">
        <f>BE197</f>
        <v>0</v>
      </c>
      <c r="BH204" s="317" t="n"/>
      <c r="BI204" s="317" t="n"/>
      <c r="BJ204" s="317" t="n"/>
      <c r="BK204" s="268" t="n"/>
      <c r="BL204" s="268">
        <f>BJ197</f>
        <v>0</v>
      </c>
      <c r="BM204" s="317" t="n"/>
      <c r="BN204" s="317" t="n"/>
      <c r="BO204" s="317" t="n"/>
      <c r="BP204" s="268" t="n"/>
      <c r="BQ204" s="268">
        <f>BO197</f>
        <v>0</v>
      </c>
      <c r="BR204" s="317" t="n"/>
      <c r="BS204" s="317" t="n"/>
      <c r="BT204" s="317" t="n"/>
      <c r="BU204" s="268" t="n"/>
      <c r="BV204" s="268">
        <f>BT197</f>
        <v>0</v>
      </c>
      <c r="BW204" s="317" t="n"/>
      <c r="BX204" s="317" t="n"/>
      <c r="BY204" s="317" t="n"/>
      <c r="BZ204" s="268" t="n"/>
      <c r="CA204" s="268">
        <f>BY197</f>
        <v>0</v>
      </c>
      <c r="CB204" s="317" t="n"/>
      <c r="CC204" s="317" t="n"/>
      <c r="CD204" s="317" t="n"/>
      <c r="CE204" s="268" t="n"/>
      <c r="CF204" s="268">
        <f>CD197</f>
        <v>0</v>
      </c>
      <c r="CG204" s="317" t="n"/>
      <c r="CH204" s="317" t="n"/>
      <c r="CI204" s="317" t="n"/>
      <c r="CJ204" s="268" t="n"/>
      <c r="CK204" s="268">
        <f>CI197</f>
        <v>0</v>
      </c>
      <c r="CL204" s="317" t="n"/>
      <c r="CM204" s="317" t="n"/>
      <c r="CN204" s="317" t="n"/>
      <c r="CO204" s="268" t="n"/>
      <c r="CP204" s="268">
        <f>CN197</f>
        <v>0</v>
      </c>
      <c r="CQ204" s="317" t="n"/>
      <c r="CR204" s="317" t="n"/>
      <c r="CS204" s="317" t="n"/>
      <c r="CT204" s="268" t="n"/>
      <c r="CU204" s="268">
        <f>CS197</f>
        <v>0</v>
      </c>
      <c r="CV204" s="317" t="n"/>
      <c r="CW204" s="317" t="n"/>
      <c r="CX204" s="317" t="n"/>
      <c r="CY204" s="268" t="n"/>
    </row>
    <row r="205" hidden="1" outlineLevel="1" ht="12.75" customHeight="1" s="255">
      <c r="C205" s="312" t="n"/>
      <c r="D205" s="268" t="n"/>
      <c r="E205" s="268" t="n"/>
      <c r="F205" s="268" t="n"/>
      <c r="G205" s="268" t="n"/>
      <c r="H205" s="268" t="n"/>
      <c r="I205" s="268" t="n"/>
      <c r="J205" s="268" t="n"/>
      <c r="K205" s="268" t="n"/>
      <c r="L205" s="268" t="n"/>
      <c r="M205" s="268" t="n"/>
      <c r="N205" s="268" t="n"/>
      <c r="O205" s="268" t="n"/>
      <c r="P205" s="268" t="n"/>
      <c r="Q205" s="268" t="n"/>
      <c r="R205" s="268" t="n"/>
      <c r="S205" s="268" t="n"/>
      <c r="T205" s="268" t="n"/>
      <c r="U205" s="268" t="n"/>
      <c r="V205" s="268" t="n"/>
      <c r="W205" s="268" t="n"/>
      <c r="X205" s="268" t="n"/>
      <c r="Y205" s="268" t="n"/>
      <c r="Z205" s="268" t="n"/>
      <c r="AA205" s="268" t="n"/>
      <c r="AB205" s="268" t="n"/>
      <c r="AC205" s="268" t="n"/>
      <c r="AD205" s="268" t="n"/>
      <c r="AE205" s="268" t="n"/>
      <c r="AF205" s="268" t="n"/>
      <c r="AG205" s="268" t="n"/>
      <c r="AH205" s="268" t="n"/>
      <c r="AI205" s="268" t="n"/>
      <c r="AJ205" s="268" t="n"/>
      <c r="AK205" s="268" t="n"/>
      <c r="AL205" s="268" t="n"/>
      <c r="AM205" s="268" t="n"/>
      <c r="AN205" s="268" t="n"/>
      <c r="AO205" s="268" t="n"/>
      <c r="AP205" s="268" t="n"/>
      <c r="AQ205" s="268" t="n"/>
      <c r="AR205" s="268" t="n"/>
      <c r="AS205" s="268" t="n"/>
      <c r="AT205" s="268" t="n"/>
      <c r="AU205" s="268" t="n"/>
      <c r="AV205" s="268" t="n"/>
      <c r="AW205" s="268" t="n"/>
      <c r="AX205" s="268" t="n"/>
      <c r="AY205" s="268" t="n"/>
      <c r="AZ205" s="268" t="n"/>
      <c r="BA205" s="268" t="n"/>
      <c r="BB205" s="268" t="n"/>
      <c r="BC205" s="268" t="n"/>
      <c r="BD205" s="268" t="n"/>
      <c r="BE205" s="268" t="n"/>
      <c r="BF205" s="268" t="n"/>
      <c r="BG205" s="268" t="n"/>
      <c r="BH205" s="268" t="n"/>
      <c r="BI205" s="268" t="n"/>
      <c r="BJ205" s="268" t="n"/>
      <c r="BK205" s="268" t="n"/>
      <c r="BL205" s="268" t="n"/>
      <c r="BM205" s="268" t="n"/>
      <c r="BN205" s="268" t="n"/>
      <c r="BO205" s="268" t="n"/>
      <c r="BP205" s="268" t="n"/>
      <c r="BQ205" s="268" t="n"/>
      <c r="BR205" s="268" t="n"/>
      <c r="BS205" s="268" t="n"/>
      <c r="BT205" s="268" t="n"/>
      <c r="BU205" s="268" t="n"/>
      <c r="BV205" s="268" t="n"/>
      <c r="BW205" s="268" t="n"/>
      <c r="BX205" s="268" t="n"/>
      <c r="BY205" s="268" t="n"/>
      <c r="BZ205" s="268" t="n"/>
      <c r="CA205" s="268" t="n"/>
      <c r="CB205" s="268" t="n"/>
      <c r="CC205" s="268" t="n"/>
      <c r="CD205" s="268" t="n"/>
      <c r="CE205" s="268" t="n"/>
      <c r="CF205" s="268" t="n"/>
      <c r="CG205" s="268" t="n"/>
      <c r="CH205" s="268" t="n"/>
      <c r="CI205" s="268" t="n"/>
      <c r="CJ205" s="268" t="n"/>
      <c r="CK205" s="268" t="n"/>
      <c r="CL205" s="268" t="n"/>
      <c r="CM205" s="268" t="n"/>
      <c r="CN205" s="268" t="n"/>
      <c r="CO205" s="268" t="n"/>
      <c r="CP205" s="268" t="n"/>
      <c r="CQ205" s="268" t="n"/>
      <c r="CR205" s="268" t="n"/>
      <c r="CS205" s="268" t="n"/>
      <c r="CT205" s="268" t="n"/>
      <c r="CU205" s="268" t="n"/>
      <c r="CV205" s="268" t="n"/>
      <c r="CW205" s="268" t="n"/>
      <c r="CX205" s="268" t="n"/>
      <c r="CY205" s="268" t="n"/>
    </row>
    <row r="206" hidden="1" outlineLevel="1" ht="12.75" customHeight="1" s="255">
      <c r="C206" s="312" t="inlineStr">
        <is>
          <t>Reclassification of LTD to CP of LTD</t>
        </is>
      </c>
      <c r="D206" s="268" t="n"/>
      <c r="E206" s="268" t="n"/>
      <c r="F206" s="268" t="n"/>
      <c r="G206" s="268" t="n"/>
      <c r="H206" s="268" t="n"/>
      <c r="I206" s="268" t="n"/>
      <c r="J206" s="268" t="n"/>
      <c r="K206" s="268" t="n"/>
      <c r="L206" s="268" t="n"/>
      <c r="M206" s="268" t="n"/>
      <c r="N206" s="268" t="n"/>
      <c r="O206" s="268" t="n"/>
      <c r="P206" s="268" t="n"/>
      <c r="Q206" s="268" t="n"/>
      <c r="R206" s="268" t="n"/>
      <c r="S206" s="268" t="n"/>
      <c r="T206" s="268" t="n"/>
      <c r="U206" s="268" t="n"/>
      <c r="V206" s="268" t="n"/>
      <c r="W206" s="268" t="n"/>
      <c r="X206" s="268" t="n"/>
      <c r="Y206" s="268" t="n"/>
      <c r="Z206" s="268" t="n"/>
      <c r="AA206" s="268" t="n"/>
      <c r="AB206" s="268" t="n"/>
      <c r="AC206" s="268" t="n"/>
      <c r="AD206" s="268" t="n"/>
      <c r="AE206" s="268" t="n"/>
      <c r="AF206" s="268" t="n"/>
      <c r="AG206" s="268" t="n"/>
      <c r="AH206" s="268" t="n"/>
      <c r="AI206" s="268">
        <f>-AI204</f>
        <v>0</v>
      </c>
      <c r="AJ206" s="268">
        <f>-AJ204</f>
        <v>0</v>
      </c>
      <c r="AK206" s="268">
        <f>-AK204</f>
        <v>0</v>
      </c>
      <c r="AL206" s="268" t="n"/>
      <c r="AM206" s="268" t="n"/>
      <c r="AN206" s="268">
        <f>-AN204</f>
        <v>0</v>
      </c>
      <c r="AO206" s="268">
        <f>-AO204</f>
        <v>0</v>
      </c>
      <c r="AP206" s="268">
        <f>-AP204</f>
        <v>0</v>
      </c>
      <c r="AQ206" s="268" t="n"/>
      <c r="AR206" s="268" t="n"/>
      <c r="AS206" s="268">
        <f>-AS204</f>
        <v>0</v>
      </c>
      <c r="AT206" s="268">
        <f>-AT204</f>
        <v>0</v>
      </c>
      <c r="AU206" s="268">
        <f>-AU204</f>
        <v>0</v>
      </c>
      <c r="AV206" s="268" t="n"/>
      <c r="AW206" s="268" t="n"/>
      <c r="AX206" s="268">
        <f>-AX204</f>
        <v>0</v>
      </c>
      <c r="AY206" s="268">
        <f>-AY204</f>
        <v>0</v>
      </c>
      <c r="AZ206" s="268">
        <f>-AZ204</f>
        <v>0</v>
      </c>
      <c r="BA206" s="268" t="n"/>
      <c r="BB206" s="268" t="n"/>
      <c r="BC206" s="268">
        <f>-BC204</f>
        <v>0</v>
      </c>
      <c r="BD206" s="268">
        <f>-BD204</f>
        <v>0</v>
      </c>
      <c r="BE206" s="268">
        <f>-BE204</f>
        <v>0</v>
      </c>
      <c r="BF206" s="268" t="n"/>
      <c r="BG206" s="268" t="n"/>
      <c r="BH206" s="268">
        <f>-BH204</f>
        <v>0</v>
      </c>
      <c r="BI206" s="268">
        <f>-BI204</f>
        <v>0</v>
      </c>
      <c r="BJ206" s="268">
        <f>-BJ204</f>
        <v>0</v>
      </c>
      <c r="BK206" s="268" t="n"/>
      <c r="BL206" s="268" t="n"/>
      <c r="BM206" s="268">
        <f>-BM204</f>
        <v>0</v>
      </c>
      <c r="BN206" s="268">
        <f>-BN204</f>
        <v>0</v>
      </c>
      <c r="BO206" s="268">
        <f>-BO204</f>
        <v>0</v>
      </c>
      <c r="BP206" s="268" t="n"/>
      <c r="BQ206" s="268" t="n"/>
      <c r="BR206" s="268">
        <f>-BR204</f>
        <v>0</v>
      </c>
      <c r="BS206" s="268">
        <f>-BS204</f>
        <v>0</v>
      </c>
      <c r="BT206" s="268">
        <f>-BT204</f>
        <v>0</v>
      </c>
      <c r="BU206" s="268" t="n"/>
      <c r="BV206" s="268" t="n"/>
      <c r="BW206" s="268">
        <f>-BW204</f>
        <v>0</v>
      </c>
      <c r="BX206" s="268">
        <f>-BX204</f>
        <v>0</v>
      </c>
      <c r="BY206" s="268">
        <f>-BY204</f>
        <v>0</v>
      </c>
      <c r="BZ206" s="268" t="n"/>
      <c r="CA206" s="268" t="n"/>
      <c r="CB206" s="268">
        <f>-CB204</f>
        <v>0</v>
      </c>
      <c r="CC206" s="268">
        <f>-CC204</f>
        <v>0</v>
      </c>
      <c r="CD206" s="268">
        <f>-CD204</f>
        <v>0</v>
      </c>
      <c r="CE206" s="268" t="n"/>
      <c r="CF206" s="268" t="n"/>
      <c r="CG206" s="268">
        <f>-CG204</f>
        <v>0</v>
      </c>
      <c r="CH206" s="268">
        <f>-CH204</f>
        <v>0</v>
      </c>
      <c r="CI206" s="268">
        <f>-CI204</f>
        <v>0</v>
      </c>
      <c r="CJ206" s="268" t="n"/>
      <c r="CK206" s="268" t="n"/>
      <c r="CL206" s="268">
        <f>-CL204</f>
        <v>0</v>
      </c>
      <c r="CM206" s="268">
        <f>-CM204</f>
        <v>0</v>
      </c>
      <c r="CN206" s="268">
        <f>-CN204</f>
        <v>0</v>
      </c>
      <c r="CO206" s="268" t="n"/>
      <c r="CP206" s="268" t="n"/>
      <c r="CQ206" s="268">
        <f>-CQ204</f>
        <v>0</v>
      </c>
      <c r="CR206" s="268">
        <f>-CR204</f>
        <v>0</v>
      </c>
      <c r="CS206" s="268">
        <f>-CS204</f>
        <v>0</v>
      </c>
      <c r="CT206" s="268" t="n"/>
      <c r="CU206" s="268" t="n"/>
      <c r="CV206" s="268">
        <f>-CV204</f>
        <v>0</v>
      </c>
      <c r="CW206" s="268">
        <f>-CW204</f>
        <v>0</v>
      </c>
      <c r="CX206" s="268">
        <f>-CX204</f>
        <v>0</v>
      </c>
      <c r="CY206" s="268" t="n"/>
    </row>
    <row r="207" hidden="1" outlineLevel="1" ht="12.75" customHeight="1" s="255">
      <c r="C207" s="312" t="inlineStr">
        <is>
          <t>Discretionary (paydown)/borrowing of long term debt</t>
        </is>
      </c>
      <c r="D207" s="268" t="n"/>
      <c r="E207" s="268" t="n"/>
      <c r="F207" s="268" t="n"/>
      <c r="G207" s="268" t="n"/>
      <c r="H207" s="268" t="n"/>
      <c r="I207" s="268" t="n"/>
      <c r="J207" s="268" t="n"/>
      <c r="K207" s="268" t="n"/>
      <c r="L207" s="268" t="n"/>
      <c r="M207" s="268" t="n"/>
      <c r="N207" s="268" t="n"/>
      <c r="O207" s="268" t="n"/>
      <c r="P207" s="268" t="n"/>
      <c r="Q207" s="268" t="n"/>
      <c r="R207" s="268" t="n"/>
      <c r="S207" s="268" t="n"/>
      <c r="T207" s="268" t="n"/>
      <c r="U207" s="268" t="n"/>
      <c r="V207" s="268" t="n"/>
      <c r="W207" s="268" t="n"/>
      <c r="X207" s="268" t="n"/>
      <c r="Y207" s="268" t="n"/>
      <c r="Z207" s="268" t="n"/>
      <c r="AA207" s="268" t="n"/>
      <c r="AB207" s="268" t="n"/>
      <c r="AC207" s="268" t="n"/>
      <c r="AD207" s="268" t="n"/>
      <c r="AE207" s="268" t="n"/>
      <c r="AF207" s="268" t="n"/>
      <c r="AG207" s="268" t="n"/>
      <c r="AH207" s="317" t="n"/>
      <c r="AI207" s="317" t="n"/>
      <c r="AJ207" s="317" t="n"/>
      <c r="AK207" s="317" t="n"/>
      <c r="AL207" s="268" t="n"/>
      <c r="AM207" s="317" t="n"/>
      <c r="AN207" s="317" t="n"/>
      <c r="AO207" s="317" t="n"/>
      <c r="AP207" s="317" t="n"/>
      <c r="AQ207" s="268" t="n"/>
      <c r="AR207" s="317" t="n"/>
      <c r="AS207" s="317" t="n"/>
      <c r="AT207" s="317" t="n"/>
      <c r="AU207" s="317" t="n"/>
      <c r="AV207" s="268" t="n"/>
      <c r="AW207" s="317" t="n"/>
      <c r="AX207" s="317" t="n"/>
      <c r="AY207" s="317" t="n"/>
      <c r="AZ207" s="317" t="n"/>
      <c r="BA207" s="268" t="n"/>
      <c r="BB207" s="317" t="n"/>
      <c r="BC207" s="317" t="n"/>
      <c r="BD207" s="317" t="n"/>
      <c r="BE207" s="317" t="n"/>
      <c r="BF207" s="268" t="n"/>
      <c r="BG207" s="317" t="n"/>
      <c r="BH207" s="317" t="n"/>
      <c r="BI207" s="317" t="n"/>
      <c r="BJ207" s="317" t="n"/>
      <c r="BK207" s="268" t="n"/>
      <c r="BL207" s="317" t="n"/>
      <c r="BM207" s="317" t="n"/>
      <c r="BN207" s="317" t="n"/>
      <c r="BO207" s="317" t="n"/>
      <c r="BP207" s="268" t="n"/>
      <c r="BQ207" s="317" t="n"/>
      <c r="BR207" s="317" t="n"/>
      <c r="BS207" s="317" t="n"/>
      <c r="BT207" s="317" t="n"/>
      <c r="BU207" s="268" t="n"/>
      <c r="BV207" s="317" t="n"/>
      <c r="BW207" s="317" t="n"/>
      <c r="BX207" s="317" t="n"/>
      <c r="BY207" s="317" t="n"/>
      <c r="BZ207" s="268" t="n"/>
      <c r="CA207" s="317" t="n"/>
      <c r="CB207" s="317" t="n"/>
      <c r="CC207" s="317" t="n"/>
      <c r="CD207" s="317" t="n"/>
      <c r="CE207" s="268" t="n"/>
      <c r="CF207" s="317" t="n"/>
      <c r="CG207" s="317" t="n"/>
      <c r="CH207" s="317" t="n"/>
      <c r="CI207" s="317" t="n"/>
      <c r="CJ207" s="268" t="n"/>
      <c r="CK207" s="317" t="n"/>
      <c r="CL207" s="317" t="n"/>
      <c r="CM207" s="317" t="n"/>
      <c r="CN207" s="317" t="n"/>
      <c r="CO207" s="268" t="n"/>
      <c r="CP207" s="317" t="n"/>
      <c r="CQ207" s="317" t="n"/>
      <c r="CR207" s="317" t="n"/>
      <c r="CS207" s="317" t="n"/>
      <c r="CT207" s="268" t="n"/>
      <c r="CU207" s="317" t="n"/>
      <c r="CV207" s="317" t="n"/>
      <c r="CW207" s="317" t="n"/>
      <c r="CX207" s="317" t="n"/>
      <c r="CY207" s="268" t="n"/>
    </row>
    <row r="208" hidden="1" outlineLevel="1" ht="12.75" customHeight="1" s="255">
      <c r="C208" s="312" t="inlineStr">
        <is>
          <t>Long term debt</t>
        </is>
      </c>
      <c r="D208" s="268" t="n"/>
      <c r="E208" s="268" t="n"/>
      <c r="F208" s="268" t="n"/>
      <c r="G208" s="268" t="n"/>
      <c r="H208" s="268" t="n"/>
      <c r="I208" s="268" t="n"/>
      <c r="J208" s="268" t="n"/>
      <c r="K208" s="268" t="n"/>
      <c r="L208" s="268" t="n"/>
      <c r="M208" s="268" t="n"/>
      <c r="N208" s="268" t="n"/>
      <c r="O208" s="268" t="n"/>
      <c r="P208" s="268" t="n"/>
      <c r="Q208" s="268" t="n"/>
      <c r="R208" s="268" t="n"/>
      <c r="S208" s="268" t="n"/>
      <c r="T208" s="268" t="n"/>
      <c r="U208" s="268" t="n"/>
      <c r="V208" s="268" t="n"/>
      <c r="W208" s="268" t="n"/>
      <c r="X208" s="268" t="n"/>
      <c r="Y208" s="268" t="n"/>
      <c r="Z208" s="268" t="n"/>
      <c r="AA208" s="268" t="n"/>
      <c r="AB208" s="268" t="n"/>
      <c r="AC208" s="268" t="n"/>
      <c r="AD208" s="268" t="n"/>
      <c r="AE208" s="268" t="n"/>
      <c r="AF208" s="268" t="n"/>
      <c r="AG208" s="268" t="n"/>
      <c r="AH208" s="268">
        <f>AF202+SUM(AH206:AH207)</f>
        <v>5666</v>
      </c>
      <c r="AI208" s="268">
        <f>AH208+SUM(AI206:AI207)</f>
        <v>5666</v>
      </c>
      <c r="AJ208" s="268">
        <f>AI202+SUM(AJ206:AJ207)</f>
        <v>5670</v>
      </c>
      <c r="AK208" s="268">
        <f>AJ208+SUM(AK206:AK207)</f>
        <v>5670</v>
      </c>
      <c r="AL208" s="268" t="n"/>
      <c r="AM208" s="268">
        <f>AK208+SUM(AM206:AM207)</f>
        <v>5670</v>
      </c>
      <c r="AN208" s="268">
        <f>AM208+SUM(AN206:AN207)</f>
        <v>5670</v>
      </c>
      <c r="AO208" s="268">
        <f>AN208+SUM(AO206:AO207)</f>
        <v>5670</v>
      </c>
      <c r="AP208" s="268">
        <f>AO208+SUM(AP206:AP207)</f>
        <v>5670</v>
      </c>
      <c r="AQ208" s="268" t="n"/>
      <c r="AR208" s="268">
        <f>AP208+SUM(AR206:AR207)</f>
        <v>5670</v>
      </c>
      <c r="AS208" s="268">
        <f>AR208+SUM(AS206:AS207)</f>
        <v>5670</v>
      </c>
      <c r="AT208" s="268">
        <f>AS208+SUM(AT206:AT207)</f>
        <v>5670</v>
      </c>
      <c r="AU208" s="268">
        <f>AT208+SUM(AU206:AU207)</f>
        <v>5670</v>
      </c>
      <c r="AV208" s="268" t="n"/>
      <c r="AW208" s="268">
        <f>AU208+SUM(AW206:AW207)</f>
        <v>5670</v>
      </c>
      <c r="AX208" s="268">
        <f>AW208+SUM(AX206:AX207)</f>
        <v>5670</v>
      </c>
      <c r="AY208" s="268">
        <f>AX208+SUM(AY206:AY207)</f>
        <v>5670</v>
      </c>
      <c r="AZ208" s="268">
        <f>AY208+SUM(AZ206:AZ207)</f>
        <v>5670</v>
      </c>
      <c r="BA208" s="268" t="n"/>
      <c r="BB208" s="268">
        <f>AZ208+SUM(BB206:BB207)</f>
        <v>5670</v>
      </c>
      <c r="BC208" s="268">
        <f>BB208+SUM(BC206:BC207)</f>
        <v>5670</v>
      </c>
      <c r="BD208" s="268">
        <f>BC208+SUM(BD206:BD207)</f>
        <v>5670</v>
      </c>
      <c r="BE208" s="268">
        <f>BD208+SUM(BE206:BE207)</f>
        <v>5670</v>
      </c>
      <c r="BF208" s="268" t="n"/>
      <c r="BG208" s="268">
        <f>BE208+SUM(BG206:BG207)</f>
        <v>5670</v>
      </c>
      <c r="BH208" s="268">
        <f>BG208+SUM(BH206:BH207)</f>
        <v>5670</v>
      </c>
      <c r="BI208" s="268">
        <f>BH208+SUM(BI206:BI207)</f>
        <v>5670</v>
      </c>
      <c r="BJ208" s="268">
        <f>BI208+SUM(BJ206:BJ207)</f>
        <v>5670</v>
      </c>
      <c r="BK208" s="268" t="n"/>
      <c r="BL208" s="268">
        <f>BJ208+SUM(BL206:BL207)</f>
        <v>5670</v>
      </c>
      <c r="BM208" s="268">
        <f>BL208+SUM(BM206:BM207)</f>
        <v>5670</v>
      </c>
      <c r="BN208" s="268">
        <f>BM208+SUM(BN206:BN207)</f>
        <v>5670</v>
      </c>
      <c r="BO208" s="268">
        <f>BN208+SUM(BO206:BO207)</f>
        <v>5670</v>
      </c>
      <c r="BP208" s="268" t="n"/>
      <c r="BQ208" s="268">
        <f>BO208+SUM(BQ206:BQ207)</f>
        <v>5670</v>
      </c>
      <c r="BR208" s="268">
        <f>BQ208+SUM(BR206:BR207)</f>
        <v>5670</v>
      </c>
      <c r="BS208" s="268">
        <f>BR208+SUM(BS206:BS207)</f>
        <v>5670</v>
      </c>
      <c r="BT208" s="268">
        <f>BS208+SUM(BT206:BT207)</f>
        <v>5670</v>
      </c>
      <c r="BU208" s="268" t="n"/>
      <c r="BV208" s="268">
        <f>BT208+SUM(BV206:BV207)</f>
        <v>5670</v>
      </c>
      <c r="BW208" s="268">
        <f>BV208+SUM(BW206:BW207)</f>
        <v>5670</v>
      </c>
      <c r="BX208" s="268">
        <f>BW208+SUM(BX206:BX207)</f>
        <v>5670</v>
      </c>
      <c r="BY208" s="268">
        <f>BX208+SUM(BY206:BY207)</f>
        <v>5670</v>
      </c>
      <c r="BZ208" s="268" t="n"/>
      <c r="CA208" s="268">
        <f>BY208+SUM(CA206:CA207)</f>
        <v>5670</v>
      </c>
      <c r="CB208" s="268">
        <f>CA208+SUM(CB206:CB207)</f>
        <v>5670</v>
      </c>
      <c r="CC208" s="268">
        <f>CB208+SUM(CC206:CC207)</f>
        <v>5670</v>
      </c>
      <c r="CD208" s="268">
        <f>CC208+SUM(CD206:CD207)</f>
        <v>5670</v>
      </c>
      <c r="CE208" s="268" t="n"/>
      <c r="CF208" s="268">
        <f>CD208+SUM(CF206:CF207)</f>
        <v>5670</v>
      </c>
      <c r="CG208" s="268">
        <f>CF208+SUM(CG206:CG207)</f>
        <v>5670</v>
      </c>
      <c r="CH208" s="268">
        <f>CG208+SUM(CH206:CH207)</f>
        <v>5670</v>
      </c>
      <c r="CI208" s="268">
        <f>CH208+SUM(CI206:CI207)</f>
        <v>5670</v>
      </c>
      <c r="CJ208" s="268" t="n"/>
      <c r="CK208" s="268">
        <f>CI208+SUM(CK206:CK207)</f>
        <v>5670</v>
      </c>
      <c r="CL208" s="268">
        <f>CK208+SUM(CL206:CL207)</f>
        <v>5670</v>
      </c>
      <c r="CM208" s="268">
        <f>CL208+SUM(CM206:CM207)</f>
        <v>5670</v>
      </c>
      <c r="CN208" s="268">
        <f>CM208+SUM(CN206:CN207)</f>
        <v>5670</v>
      </c>
      <c r="CO208" s="268" t="n"/>
      <c r="CP208" s="268">
        <f>CN208+SUM(CP206:CP207)</f>
        <v>5670</v>
      </c>
      <c r="CQ208" s="268">
        <f>CP208+SUM(CQ206:CQ207)</f>
        <v>5670</v>
      </c>
      <c r="CR208" s="268">
        <f>CQ208+SUM(CR206:CR207)</f>
        <v>5670</v>
      </c>
      <c r="CS208" s="268">
        <f>CR208+SUM(CS206:CS207)</f>
        <v>5670</v>
      </c>
      <c r="CT208" s="268" t="n"/>
      <c r="CU208" s="268">
        <f>CS208+SUM(CU206:CU207)</f>
        <v>5670</v>
      </c>
      <c r="CV208" s="268">
        <f>CU208+SUM(CV206:CV207)</f>
        <v>5670</v>
      </c>
      <c r="CW208" s="268">
        <f>CV208+SUM(CW206:CW207)</f>
        <v>5670</v>
      </c>
      <c r="CX208" s="268">
        <f>CW208+SUM(CX206:CX207)</f>
        <v>5670</v>
      </c>
      <c r="CY208" s="268" t="n"/>
      <c r="CZ208" s="260">
        <f>CX208+SUM(CZ206:CZ207)</f>
        <v>5670</v>
      </c>
      <c r="DA208" s="260">
        <f>CZ208+SUM(DA206:DA207)</f>
        <v>5670</v>
      </c>
      <c r="DB208" s="260">
        <f>DA208+SUM(DB206:DB207)</f>
        <v>5670</v>
      </c>
      <c r="DC208" s="260">
        <f>DB208+SUM(DC206:DC207)</f>
        <v>5670</v>
      </c>
    </row>
    <row r="209" hidden="1" outlineLevel="1" ht="12.75" customHeight="1" s="255">
      <c r="C209" s="312" t="n"/>
      <c r="D209" s="268" t="n"/>
      <c r="E209" s="268" t="n"/>
      <c r="F209" s="268" t="n"/>
      <c r="G209" s="268" t="n"/>
      <c r="H209" s="268" t="n"/>
      <c r="I209" s="268" t="n"/>
      <c r="J209" s="268" t="n"/>
      <c r="K209" s="268" t="n"/>
      <c r="L209" s="268" t="n"/>
      <c r="M209" s="268" t="n"/>
      <c r="N209" s="268" t="n"/>
      <c r="O209" s="268" t="n"/>
      <c r="P209" s="268" t="n"/>
      <c r="Q209" s="268" t="n"/>
      <c r="R209" s="268" t="n"/>
      <c r="S209" s="268" t="n"/>
      <c r="T209" s="268" t="n"/>
      <c r="U209" s="268" t="n"/>
      <c r="V209" s="268" t="n"/>
      <c r="W209" s="268" t="n"/>
      <c r="X209" s="268" t="n"/>
      <c r="Y209" s="268" t="n"/>
      <c r="Z209" s="268" t="n"/>
      <c r="AA209" s="268" t="n"/>
      <c r="AB209" s="268" t="n"/>
      <c r="AC209" s="268" t="n"/>
      <c r="AD209" s="268" t="n"/>
      <c r="AE209" s="268" t="n"/>
      <c r="AF209" s="268" t="n"/>
      <c r="AG209" s="268" t="n"/>
      <c r="AH209" s="268" t="n"/>
      <c r="AI209" s="268" t="n"/>
      <c r="AJ209" s="268" t="n"/>
      <c r="AK209" s="268" t="n"/>
      <c r="AL209" s="268" t="n"/>
      <c r="AM209" s="268" t="n"/>
      <c r="AN209" s="268" t="n"/>
      <c r="AO209" s="268" t="n"/>
      <c r="AP209" s="268" t="n"/>
      <c r="AQ209" s="268" t="n"/>
      <c r="AR209" s="268" t="n"/>
      <c r="AS209" s="268" t="n"/>
      <c r="AT209" s="268" t="n"/>
      <c r="AU209" s="268" t="n"/>
      <c r="AV209" s="268" t="n"/>
      <c r="AW209" s="268" t="n"/>
      <c r="AX209" s="268" t="n"/>
      <c r="AY209" s="268" t="n"/>
      <c r="AZ209" s="268" t="n"/>
      <c r="BA209" s="268" t="n"/>
      <c r="BB209" s="268" t="n"/>
      <c r="BC209" s="268" t="n"/>
      <c r="BD209" s="268" t="n"/>
      <c r="BE209" s="268" t="n"/>
      <c r="BF209" s="268" t="n"/>
      <c r="BG209" s="268" t="n"/>
      <c r="BH209" s="268" t="n"/>
      <c r="BI209" s="268" t="n"/>
      <c r="BJ209" s="268" t="n"/>
      <c r="BK209" s="268" t="n"/>
      <c r="BL209" s="268" t="n"/>
      <c r="BM209" s="268" t="n"/>
      <c r="BN209" s="268" t="n"/>
      <c r="BO209" s="268" t="n"/>
      <c r="BP209" s="268" t="n"/>
      <c r="BQ209" s="268" t="n"/>
      <c r="BR209" s="268" t="n"/>
      <c r="BS209" s="268" t="n"/>
      <c r="BT209" s="268" t="n"/>
      <c r="BU209" s="268" t="n"/>
      <c r="BV209" s="268" t="n"/>
      <c r="BW209" s="268" t="n"/>
      <c r="BX209" s="268" t="n"/>
      <c r="BY209" s="268" t="n"/>
      <c r="BZ209" s="268" t="n"/>
      <c r="CA209" s="268" t="n"/>
      <c r="CB209" s="268" t="n"/>
      <c r="CC209" s="268" t="n"/>
      <c r="CD209" s="268" t="n"/>
      <c r="CE209" s="268" t="n"/>
      <c r="CF209" s="268" t="n"/>
      <c r="CG209" s="268" t="n"/>
      <c r="CH209" s="268" t="n"/>
      <c r="CI209" s="268" t="n"/>
      <c r="CJ209" s="268" t="n"/>
      <c r="CK209" s="268" t="n"/>
      <c r="CL209" s="268" t="n"/>
      <c r="CM209" s="268" t="n"/>
      <c r="CN209" s="268" t="n"/>
      <c r="CO209" s="268" t="n"/>
      <c r="CP209" s="268" t="n"/>
      <c r="CQ209" s="268" t="n"/>
      <c r="CR209" s="268" t="n"/>
      <c r="CS209" s="268" t="n"/>
      <c r="CT209" s="268" t="n"/>
      <c r="CU209" s="268" t="n"/>
      <c r="CV209" s="268" t="n"/>
      <c r="CW209" s="268" t="n"/>
      <c r="CX209" s="268" t="n"/>
      <c r="CY209" s="268" t="n"/>
    </row>
    <row r="210" hidden="1" outlineLevel="1" ht="12.75" customHeight="1" s="255">
      <c r="C210" s="312" t="inlineStr">
        <is>
          <t>Discretionary (paydown)/borrowing of convertible debt</t>
        </is>
      </c>
      <c r="D210" s="268" t="n"/>
      <c r="E210" s="268" t="n"/>
      <c r="F210" s="268" t="n"/>
      <c r="G210" s="268" t="n"/>
      <c r="H210" s="268" t="n"/>
      <c r="I210" s="268" t="n"/>
      <c r="J210" s="268" t="n"/>
      <c r="K210" s="268" t="n"/>
      <c r="L210" s="268" t="n"/>
      <c r="M210" s="268" t="n"/>
      <c r="N210" s="268" t="n"/>
      <c r="O210" s="268" t="n"/>
      <c r="P210" s="268" t="n"/>
      <c r="Q210" s="268" t="n"/>
      <c r="R210" s="268" t="n"/>
      <c r="S210" s="268" t="n"/>
      <c r="T210" s="268" t="n"/>
      <c r="U210" s="268" t="n"/>
      <c r="V210" s="268" t="n"/>
      <c r="W210" s="268" t="n"/>
      <c r="X210" s="268" t="n"/>
      <c r="Y210" s="268" t="n"/>
      <c r="Z210" s="268" t="n"/>
      <c r="AA210" s="268" t="n"/>
      <c r="AB210" s="268" t="n"/>
      <c r="AC210" s="268" t="n"/>
      <c r="AD210" s="268" t="n"/>
      <c r="AE210" s="268" t="n"/>
      <c r="AF210" s="268" t="n"/>
      <c r="AG210" s="268" t="n"/>
      <c r="AH210" s="317" t="n"/>
      <c r="AI210" s="317" t="n"/>
      <c r="AJ210" s="317" t="n"/>
      <c r="AK210" s="317" t="n"/>
      <c r="AL210" s="268" t="n"/>
      <c r="AM210" s="317" t="n"/>
      <c r="AN210" s="317" t="n"/>
      <c r="AO210" s="317" t="n"/>
      <c r="AP210" s="317" t="n"/>
      <c r="AQ210" s="268" t="n"/>
      <c r="AR210" s="317" t="n"/>
      <c r="AS210" s="317" t="n"/>
      <c r="AT210" s="317" t="n"/>
      <c r="AU210" s="317" t="n"/>
      <c r="AV210" s="268" t="n"/>
      <c r="AW210" s="317" t="n"/>
      <c r="AX210" s="317" t="n"/>
      <c r="AY210" s="317" t="n"/>
      <c r="AZ210" s="317" t="n"/>
      <c r="BA210" s="268" t="n"/>
      <c r="BB210" s="317" t="n"/>
      <c r="BC210" s="317" t="n"/>
      <c r="BD210" s="317" t="n"/>
      <c r="BE210" s="317" t="n"/>
      <c r="BF210" s="268" t="n"/>
      <c r="BG210" s="317" t="n"/>
      <c r="BH210" s="317" t="n"/>
      <c r="BI210" s="317" t="n"/>
      <c r="BJ210" s="317" t="n"/>
      <c r="BK210" s="268" t="n"/>
      <c r="BL210" s="317" t="n"/>
      <c r="BM210" s="317" t="n"/>
      <c r="BN210" s="317" t="n"/>
      <c r="BO210" s="317" t="n"/>
      <c r="BP210" s="268" t="n"/>
      <c r="BQ210" s="317" t="n"/>
      <c r="BR210" s="317" t="n"/>
      <c r="BS210" s="317" t="n"/>
      <c r="BT210" s="317" t="n"/>
      <c r="BU210" s="268" t="n"/>
      <c r="BV210" s="317" t="n"/>
      <c r="BW210" s="317" t="n"/>
      <c r="BX210" s="317" t="n"/>
      <c r="BY210" s="317" t="n"/>
      <c r="BZ210" s="268" t="n"/>
      <c r="CA210" s="317" t="n"/>
      <c r="CB210" s="317" t="n"/>
      <c r="CC210" s="317" t="n"/>
      <c r="CD210" s="317" t="n"/>
      <c r="CE210" s="268" t="n"/>
      <c r="CF210" s="317" t="n"/>
      <c r="CG210" s="317" t="n"/>
      <c r="CH210" s="317" t="n"/>
      <c r="CI210" s="317" t="n"/>
      <c r="CJ210" s="268" t="n"/>
      <c r="CK210" s="317" t="n"/>
      <c r="CL210" s="317" t="n"/>
      <c r="CM210" s="317" t="n"/>
      <c r="CN210" s="317" t="n"/>
      <c r="CO210" s="268" t="n"/>
      <c r="CP210" s="317" t="n"/>
      <c r="CQ210" s="317" t="n"/>
      <c r="CR210" s="317" t="n"/>
      <c r="CS210" s="317" t="n"/>
      <c r="CT210" s="268" t="n"/>
      <c r="CU210" s="317" t="n"/>
      <c r="CV210" s="317" t="n"/>
      <c r="CW210" s="317" t="n"/>
      <c r="CX210" s="317" t="n"/>
      <c r="CY210" s="268" t="n"/>
    </row>
    <row r="211" hidden="1" outlineLevel="1" ht="12.75" customHeight="1" s="255">
      <c r="C211" s="312" t="inlineStr">
        <is>
          <t>Convertible debt</t>
        </is>
      </c>
      <c r="D211" s="268" t="n"/>
      <c r="E211" s="268" t="n"/>
      <c r="F211" s="268" t="n"/>
      <c r="G211" s="268" t="n"/>
      <c r="H211" s="268" t="n"/>
      <c r="I211" s="268" t="n"/>
      <c r="J211" s="268" t="n"/>
      <c r="K211" s="268" t="n"/>
      <c r="L211" s="268" t="n"/>
      <c r="M211" s="268" t="n"/>
      <c r="N211" s="268" t="n"/>
      <c r="O211" s="268" t="n"/>
      <c r="P211" s="268" t="n"/>
      <c r="Q211" s="268" t="n"/>
      <c r="R211" s="268" t="n"/>
      <c r="S211" s="268" t="n"/>
      <c r="T211" s="268" t="n"/>
      <c r="U211" s="268" t="n"/>
      <c r="V211" s="268" t="n"/>
      <c r="W211" s="268" t="n"/>
      <c r="X211" s="268" t="n"/>
      <c r="Y211" s="268" t="n"/>
      <c r="Z211" s="268" t="n"/>
      <c r="AA211" s="268" t="n"/>
      <c r="AB211" s="268" t="n"/>
      <c r="AC211" s="268" t="n"/>
      <c r="AD211" s="268" t="n"/>
      <c r="AE211" s="268" t="n"/>
      <c r="AF211" s="268" t="n"/>
      <c r="AG211" s="268" t="n"/>
      <c r="AH211" s="268">
        <f>AH223</f>
        <v>0</v>
      </c>
      <c r="AI211" s="268">
        <f>AH211+SUM(AI210)</f>
        <v>0</v>
      </c>
      <c r="AJ211" s="268">
        <f>AI211+SUM(AJ210)</f>
        <v>0</v>
      </c>
      <c r="AK211" s="268">
        <f>AJ211+SUM(AK210)</f>
        <v>0</v>
      </c>
      <c r="AL211" s="268" t="n"/>
      <c r="AM211" s="268">
        <f>AM223</f>
        <v>0</v>
      </c>
      <c r="AN211" s="268">
        <f>AM211+SUM(AN210)</f>
        <v>0</v>
      </c>
      <c r="AO211" s="268">
        <f>AN211+SUM(AO210)</f>
        <v>0</v>
      </c>
      <c r="AP211" s="268">
        <f>AO211+SUM(AP210)</f>
        <v>0</v>
      </c>
      <c r="AQ211" s="268" t="n"/>
      <c r="AR211" s="268">
        <f>AR223</f>
        <v>0</v>
      </c>
      <c r="AS211" s="268">
        <f>AR211+SUM(AS210)</f>
        <v>0</v>
      </c>
      <c r="AT211" s="268">
        <f>AS211+SUM(AT210)</f>
        <v>0</v>
      </c>
      <c r="AU211" s="268">
        <f>AT211+SUM(AU210)</f>
        <v>0</v>
      </c>
      <c r="AV211" s="268" t="n"/>
      <c r="AW211" s="268">
        <f>AW223</f>
        <v>0</v>
      </c>
      <c r="AX211" s="268">
        <f>AW211+SUM(AX210)</f>
        <v>0</v>
      </c>
      <c r="AY211" s="268">
        <f>AX211+SUM(AY210)</f>
        <v>0</v>
      </c>
      <c r="AZ211" s="268">
        <f>AY211+SUM(AZ210)</f>
        <v>0</v>
      </c>
      <c r="BA211" s="268" t="n"/>
      <c r="BB211" s="268">
        <f>BB223</f>
        <v>0</v>
      </c>
      <c r="BC211" s="268">
        <f>BB211+SUM(BC210)</f>
        <v>0</v>
      </c>
      <c r="BD211" s="268">
        <f>BC211+SUM(BD210)</f>
        <v>0</v>
      </c>
      <c r="BE211" s="268">
        <f>BD211+SUM(BE210)</f>
        <v>0</v>
      </c>
      <c r="BF211" s="268" t="n"/>
      <c r="BG211" s="268">
        <f>BG223</f>
        <v>0</v>
      </c>
      <c r="BH211" s="268">
        <f>BG211+SUM(BH210)</f>
        <v>0</v>
      </c>
      <c r="BI211" s="268">
        <f>BH211+SUM(BI210)</f>
        <v>0</v>
      </c>
      <c r="BJ211" s="268">
        <f>BI211+SUM(BJ210)</f>
        <v>0</v>
      </c>
      <c r="BK211" s="268" t="n"/>
      <c r="BL211" s="268">
        <f>BL223</f>
        <v>0</v>
      </c>
      <c r="BM211" s="268">
        <f>BL211+SUM(BM210)</f>
        <v>0</v>
      </c>
      <c r="BN211" s="268">
        <f>BM211+SUM(BN210)</f>
        <v>0</v>
      </c>
      <c r="BO211" s="268">
        <f>BN211+SUM(BO210)</f>
        <v>0</v>
      </c>
      <c r="BP211" s="268" t="n"/>
      <c r="BQ211" s="268">
        <f>BQ223</f>
        <v>0</v>
      </c>
      <c r="BR211" s="268">
        <f>BQ211+SUM(BR210)</f>
        <v>0</v>
      </c>
      <c r="BS211" s="268">
        <f>BR211+SUM(BS210)</f>
        <v>0</v>
      </c>
      <c r="BT211" s="268">
        <f>BS211+SUM(BT210)</f>
        <v>0</v>
      </c>
      <c r="BU211" s="268" t="n"/>
      <c r="BV211" s="268">
        <f>BV223</f>
        <v>0</v>
      </c>
      <c r="BW211" s="268">
        <f>BV211+SUM(BW210)</f>
        <v>0</v>
      </c>
      <c r="BX211" s="268">
        <f>BW211+SUM(BX210)</f>
        <v>0</v>
      </c>
      <c r="BY211" s="268">
        <f>BX211+SUM(BY210)</f>
        <v>0</v>
      </c>
      <c r="BZ211" s="268" t="n"/>
      <c r="CA211" s="268">
        <f>CA223</f>
        <v>0</v>
      </c>
      <c r="CB211" s="268">
        <f>CA211+SUM(CB210)</f>
        <v>0</v>
      </c>
      <c r="CC211" s="268">
        <f>CB211+SUM(CC210)</f>
        <v>0</v>
      </c>
      <c r="CD211" s="268">
        <f>CC211+SUM(CD210)</f>
        <v>0</v>
      </c>
      <c r="CE211" s="268" t="n"/>
      <c r="CF211" s="268">
        <f>CF223</f>
        <v>0</v>
      </c>
      <c r="CG211" s="268">
        <f>CF211+SUM(CG210)</f>
        <v>0</v>
      </c>
      <c r="CH211" s="268">
        <f>CG211+SUM(CH210)</f>
        <v>0</v>
      </c>
      <c r="CI211" s="268">
        <f>CH211+SUM(CI210)</f>
        <v>0</v>
      </c>
      <c r="CJ211" s="268" t="n"/>
      <c r="CK211" s="268">
        <f>CK223</f>
        <v>0</v>
      </c>
      <c r="CL211" s="268">
        <f>CK211+SUM(CL210)</f>
        <v>0</v>
      </c>
      <c r="CM211" s="268">
        <f>CL211+SUM(CM210)</f>
        <v>0</v>
      </c>
      <c r="CN211" s="268">
        <f>CM211+SUM(CN210)</f>
        <v>0</v>
      </c>
      <c r="CO211" s="268" t="n"/>
      <c r="CP211" s="268">
        <f>CP223</f>
        <v>0</v>
      </c>
      <c r="CQ211" s="268">
        <f>CP211+SUM(CQ210)</f>
        <v>0</v>
      </c>
      <c r="CR211" s="268">
        <f>CQ211+SUM(CR210)</f>
        <v>0</v>
      </c>
      <c r="CS211" s="268">
        <f>CR211+SUM(CS210)</f>
        <v>0</v>
      </c>
      <c r="CT211" s="268" t="n"/>
      <c r="CU211" s="268">
        <f>CU223</f>
        <v>0</v>
      </c>
      <c r="CV211" s="268">
        <f>CU211+SUM(CV210)</f>
        <v>0</v>
      </c>
      <c r="CW211" s="268">
        <f>CV211+SUM(CW210)</f>
        <v>0</v>
      </c>
      <c r="CX211" s="268">
        <f>CW211+SUM(CX210)</f>
        <v>0</v>
      </c>
      <c r="CY211" s="268" t="n"/>
    </row>
    <row r="212" hidden="1" outlineLevel="1" ht="12.75" customHeight="1" s="255">
      <c r="C212" s="312" t="n"/>
      <c r="D212" s="268" t="n"/>
      <c r="E212" s="268" t="n"/>
      <c r="F212" s="268" t="n"/>
      <c r="G212" s="268" t="n"/>
      <c r="H212" s="268" t="n"/>
      <c r="I212" s="268" t="n"/>
      <c r="J212" s="268" t="n"/>
      <c r="K212" s="268" t="n"/>
      <c r="L212" s="268" t="n"/>
      <c r="M212" s="268" t="n"/>
      <c r="N212" s="268" t="n"/>
      <c r="O212" s="268" t="n"/>
      <c r="P212" s="268" t="n"/>
      <c r="Q212" s="268" t="n"/>
      <c r="R212" s="268" t="n"/>
      <c r="S212" s="268" t="n"/>
      <c r="T212" s="268" t="n"/>
      <c r="U212" s="268" t="n"/>
      <c r="V212" s="268" t="n"/>
      <c r="W212" s="268" t="n"/>
      <c r="X212" s="268" t="n"/>
      <c r="Y212" s="268" t="n"/>
      <c r="Z212" s="268" t="n"/>
      <c r="AA212" s="268" t="n"/>
      <c r="AB212" s="268" t="n"/>
      <c r="AC212" s="268" t="n"/>
      <c r="AD212" s="268" t="n"/>
      <c r="AE212" s="268" t="n"/>
      <c r="AF212" s="268" t="n"/>
      <c r="AG212" s="268" t="n"/>
      <c r="AI212" s="268" t="n"/>
      <c r="AJ212" s="268" t="n"/>
      <c r="AK212" s="268" t="n"/>
      <c r="AL212" s="268" t="n"/>
      <c r="AN212" s="268" t="n"/>
      <c r="AO212" s="268" t="n"/>
      <c r="AP212" s="268" t="n"/>
      <c r="AQ212" s="268" t="n"/>
      <c r="AS212" s="268" t="n"/>
      <c r="AT212" s="268" t="n"/>
      <c r="AU212" s="268" t="n"/>
      <c r="AV212" s="268" t="n"/>
      <c r="AX212" s="268" t="n"/>
      <c r="AY212" s="268" t="n"/>
      <c r="AZ212" s="268" t="n"/>
      <c r="BA212" s="268" t="n"/>
      <c r="BC212" s="268" t="n"/>
      <c r="BD212" s="268" t="n"/>
      <c r="BE212" s="268" t="n"/>
      <c r="BF212" s="268" t="n"/>
      <c r="BH212" s="268" t="n"/>
      <c r="BI212" s="268" t="n"/>
      <c r="BJ212" s="268" t="n"/>
      <c r="BK212" s="268" t="n"/>
      <c r="BM212" s="268" t="n"/>
      <c r="BN212" s="268" t="n"/>
      <c r="BO212" s="268" t="n"/>
      <c r="BP212" s="268" t="n"/>
      <c r="BR212" s="268" t="n"/>
      <c r="BS212" s="268" t="n"/>
      <c r="BT212" s="268" t="n"/>
      <c r="BU212" s="268" t="n"/>
      <c r="BW212" s="268" t="n"/>
      <c r="BX212" s="268" t="n"/>
      <c r="BY212" s="268" t="n"/>
      <c r="BZ212" s="268" t="n"/>
      <c r="CB212" s="268" t="n"/>
      <c r="CC212" s="268" t="n"/>
      <c r="CD212" s="268" t="n"/>
      <c r="CE212" s="268" t="n"/>
      <c r="CG212" s="268" t="n"/>
      <c r="CH212" s="268" t="n"/>
      <c r="CI212" s="268" t="n"/>
      <c r="CJ212" s="268" t="n"/>
      <c r="CL212" s="268" t="n"/>
      <c r="CM212" s="268" t="n"/>
      <c r="CN212" s="268" t="n"/>
      <c r="CO212" s="268" t="n"/>
      <c r="CQ212" s="268" t="n"/>
      <c r="CR212" s="268" t="n"/>
      <c r="CS212" s="268" t="n"/>
      <c r="CT212" s="268" t="n"/>
      <c r="CV212" s="268" t="n"/>
      <c r="CW212" s="268" t="n"/>
      <c r="CX212" s="268" t="n"/>
      <c r="CY212" s="268" t="n"/>
    </row>
    <row r="213" hidden="1" outlineLevel="1" ht="12.75" customHeight="1" s="255">
      <c r="C213" s="312" t="inlineStr">
        <is>
          <t>Calculation of short term debt</t>
        </is>
      </c>
      <c r="D213" s="268" t="n"/>
      <c r="E213" s="268" t="n"/>
      <c r="F213" s="268" t="n"/>
      <c r="G213" s="268" t="n"/>
      <c r="H213" s="268" t="n"/>
      <c r="I213" s="268" t="n"/>
      <c r="J213" s="268" t="n"/>
      <c r="K213" s="268" t="n"/>
      <c r="L213" s="268" t="n"/>
      <c r="M213" s="268" t="n"/>
      <c r="N213" s="268" t="n"/>
      <c r="O213" s="268" t="n"/>
      <c r="P213" s="268" t="n"/>
      <c r="Q213" s="268" t="n"/>
      <c r="R213" s="268" t="n"/>
      <c r="S213" s="268" t="n"/>
      <c r="T213" s="268" t="n"/>
      <c r="U213" s="268" t="n"/>
      <c r="V213" s="268" t="n"/>
      <c r="W213" s="268" t="n"/>
      <c r="X213" s="268" t="n"/>
      <c r="Y213" s="268" t="n"/>
      <c r="Z213" s="268" t="n"/>
      <c r="AA213" s="268" t="n"/>
      <c r="AB213" s="268" t="n"/>
      <c r="AC213" s="268" t="n"/>
      <c r="AD213" s="268" t="n"/>
      <c r="AE213" s="268" t="n"/>
      <c r="AF213" s="268" t="n"/>
      <c r="AG213" s="268" t="n"/>
      <c r="AH213" s="268" t="n"/>
      <c r="AI213" s="268" t="n"/>
      <c r="AJ213" s="268" t="n"/>
      <c r="AK213" s="268" t="n"/>
      <c r="AL213" s="268" t="n"/>
      <c r="AM213" s="268" t="n"/>
      <c r="AN213" s="268" t="n"/>
      <c r="AO213" s="268" t="n"/>
      <c r="AP213" s="268" t="n"/>
      <c r="AQ213" s="268" t="n"/>
      <c r="AR213" s="268" t="n"/>
      <c r="AS213" s="268" t="n"/>
      <c r="AT213" s="268" t="n"/>
      <c r="AU213" s="268" t="n"/>
      <c r="AV213" s="268" t="n"/>
      <c r="AW213" s="268" t="n"/>
      <c r="AX213" s="268" t="n"/>
      <c r="AY213" s="268" t="n"/>
      <c r="AZ213" s="268" t="n"/>
      <c r="BA213" s="268" t="n"/>
      <c r="BB213" s="268" t="n"/>
      <c r="BC213" s="268" t="n"/>
      <c r="BD213" s="268" t="n"/>
      <c r="BE213" s="268" t="n"/>
      <c r="BF213" s="268" t="n"/>
      <c r="BG213" s="268" t="n"/>
      <c r="BH213" s="268" t="n"/>
      <c r="BI213" s="268" t="n"/>
      <c r="BJ213" s="268" t="n"/>
      <c r="BK213" s="268" t="n"/>
      <c r="BL213" s="268" t="n"/>
      <c r="BM213" s="268" t="n"/>
      <c r="BN213" s="268" t="n"/>
      <c r="BO213" s="268" t="n"/>
      <c r="BP213" s="268" t="n"/>
      <c r="BQ213" s="268" t="n"/>
      <c r="BR213" s="268" t="n"/>
      <c r="BS213" s="268" t="n"/>
      <c r="BT213" s="268" t="n"/>
      <c r="BU213" s="268" t="n"/>
      <c r="BV213" s="268" t="n"/>
      <c r="BW213" s="268" t="n"/>
      <c r="BX213" s="268" t="n"/>
      <c r="BY213" s="268" t="n"/>
      <c r="BZ213" s="268" t="n"/>
      <c r="CA213" s="268" t="n"/>
      <c r="CB213" s="268" t="n"/>
      <c r="CC213" s="268" t="n"/>
      <c r="CD213" s="268" t="n"/>
      <c r="CE213" s="268" t="n"/>
      <c r="CF213" s="268" t="n"/>
      <c r="CG213" s="268" t="n"/>
      <c r="CH213" s="268" t="n"/>
      <c r="CI213" s="268" t="n"/>
      <c r="CJ213" s="268" t="n"/>
      <c r="CK213" s="268" t="n"/>
      <c r="CL213" s="268" t="n"/>
      <c r="CM213" s="268" t="n"/>
      <c r="CN213" s="268" t="n"/>
      <c r="CO213" s="268" t="n"/>
      <c r="CP213" s="268" t="n"/>
      <c r="CQ213" s="268" t="n"/>
      <c r="CR213" s="268" t="n"/>
      <c r="CS213" s="268" t="n"/>
      <c r="CT213" s="268" t="n"/>
      <c r="CU213" s="268" t="n"/>
      <c r="CV213" s="268" t="n"/>
      <c r="CW213" s="268" t="n"/>
      <c r="CX213" s="268" t="n"/>
      <c r="CY213" s="268" t="n"/>
    </row>
    <row r="214" hidden="1" outlineLevel="1" ht="12.75" customHeight="1" s="255">
      <c r="C214" s="312" t="inlineStr">
        <is>
          <t>Cash @ beginning of the period (end of last period)</t>
        </is>
      </c>
      <c r="D214" s="268" t="n"/>
      <c r="E214" s="268" t="n"/>
      <c r="F214" s="268" t="n"/>
      <c r="G214" s="268" t="n"/>
      <c r="H214" s="268" t="n"/>
      <c r="I214" s="268" t="n"/>
      <c r="J214" s="268" t="n"/>
      <c r="K214" s="268" t="n"/>
      <c r="L214" s="268" t="n"/>
      <c r="M214" s="268" t="n"/>
      <c r="N214" s="268" t="n"/>
      <c r="O214" s="268" t="n"/>
      <c r="P214" s="268" t="n"/>
      <c r="Q214" s="268" t="n"/>
      <c r="R214" s="268" t="n"/>
      <c r="S214" s="268" t="n"/>
      <c r="T214" s="268" t="n"/>
      <c r="U214" s="268" t="n"/>
      <c r="V214" s="268" t="n"/>
      <c r="W214" s="268" t="n"/>
      <c r="X214" s="268" t="n"/>
      <c r="Y214" s="268" t="n"/>
      <c r="Z214" s="268" t="n"/>
      <c r="AA214" s="268" t="n"/>
      <c r="AB214" s="268" t="n"/>
      <c r="AC214" s="268" t="n"/>
      <c r="AD214" s="268" t="n"/>
      <c r="AE214" s="268" t="n"/>
      <c r="AF214" s="268" t="n"/>
      <c r="AG214" s="268" t="n"/>
      <c r="AH214" s="318">
        <f>AG129</f>
        <v>17183</v>
      </c>
      <c r="AI214" s="268" t="n"/>
      <c r="AJ214" s="268" t="n"/>
      <c r="AK214" s="268" t="n"/>
      <c r="AL214" s="268" t="n"/>
      <c r="AM214" s="318">
        <f>AL129</f>
        <v>12938</v>
      </c>
      <c r="AN214" s="268" t="n"/>
      <c r="AO214" s="268" t="n"/>
      <c r="AP214" s="268" t="n"/>
      <c r="AQ214" s="268" t="n"/>
      <c r="AR214" s="318" t="e">
        <f>AQ129</f>
        <v>#DIV/0!</v>
      </c>
      <c r="AS214" s="268" t="n"/>
      <c r="AT214" s="268" t="n"/>
      <c r="AU214" s="268" t="n"/>
      <c r="AV214" s="268" t="n"/>
      <c r="AW214" s="318" t="e">
        <f>AV129</f>
        <v>#DIV/0!</v>
      </c>
      <c r="AX214" s="268" t="n"/>
      <c r="AY214" s="268" t="n"/>
      <c r="AZ214" s="268" t="n"/>
      <c r="BA214" s="268" t="n"/>
      <c r="BB214" s="318" t="e">
        <f>BA129</f>
        <v>#DIV/0!</v>
      </c>
      <c r="BC214" s="268" t="n"/>
      <c r="BD214" s="268" t="n"/>
      <c r="BE214" s="268" t="n"/>
      <c r="BF214" s="268" t="n"/>
      <c r="BG214" s="318" t="e">
        <f>BF129</f>
        <v>#DIV/0!</v>
      </c>
      <c r="BH214" s="268" t="n"/>
      <c r="BI214" s="268" t="n"/>
      <c r="BJ214" s="268" t="n"/>
      <c r="BK214" s="268" t="n"/>
      <c r="BL214" s="318" t="e">
        <f>BK129</f>
        <v>#DIV/0!</v>
      </c>
      <c r="BM214" s="268" t="n"/>
      <c r="BN214" s="268" t="n"/>
      <c r="BO214" s="268" t="n"/>
      <c r="BP214" s="268" t="n"/>
      <c r="BQ214" s="318" t="e">
        <f>BP129</f>
        <v>#DIV/0!</v>
      </c>
      <c r="BR214" s="268" t="n"/>
      <c r="BS214" s="268" t="n"/>
      <c r="BT214" s="268" t="n"/>
      <c r="BU214" s="268" t="n"/>
      <c r="BV214" s="318" t="e">
        <f>BU129</f>
        <v>#DIV/0!</v>
      </c>
      <c r="BW214" s="268" t="n"/>
      <c r="BX214" s="268" t="n"/>
      <c r="BY214" s="268" t="n"/>
      <c r="BZ214" s="268" t="n"/>
      <c r="CA214" s="318" t="e">
        <f>BZ129</f>
        <v>#DIV/0!</v>
      </c>
      <c r="CB214" s="268" t="n"/>
      <c r="CC214" s="268" t="n"/>
      <c r="CD214" s="268" t="n"/>
      <c r="CE214" s="268" t="n"/>
      <c r="CF214" s="318" t="e">
        <f>CE129</f>
        <v>#DIV/0!</v>
      </c>
      <c r="CG214" s="268" t="n"/>
      <c r="CH214" s="268" t="n"/>
      <c r="CI214" s="268" t="n"/>
      <c r="CJ214" s="268" t="n"/>
      <c r="CK214" s="318" t="e">
        <f>CJ129</f>
        <v>#DIV/0!</v>
      </c>
      <c r="CL214" s="268" t="n"/>
      <c r="CM214" s="268" t="n"/>
      <c r="CN214" s="268" t="n"/>
      <c r="CO214" s="268" t="n"/>
      <c r="CP214" s="318" t="e">
        <f>CO129</f>
        <v>#DIV/0!</v>
      </c>
      <c r="CQ214" s="268" t="n"/>
      <c r="CR214" s="268" t="n"/>
      <c r="CS214" s="268" t="n"/>
      <c r="CT214" s="268" t="n"/>
      <c r="CU214" s="318" t="e">
        <f>CT129</f>
        <v>#DIV/0!</v>
      </c>
      <c r="CV214" s="268" t="n"/>
      <c r="CW214" s="268" t="n"/>
      <c r="CX214" s="268" t="n"/>
      <c r="CY214" s="268" t="n"/>
    </row>
    <row r="215" hidden="1" outlineLevel="1" ht="12.75" customHeight="1" s="255">
      <c r="C215" s="312" t="inlineStr">
        <is>
          <t>Plus: Free cash flows prior to debt during period</t>
        </is>
      </c>
      <c r="D215" s="268" t="n"/>
      <c r="E215" s="268" t="n"/>
      <c r="F215" s="268" t="n"/>
      <c r="G215" s="268" t="n"/>
      <c r="H215" s="268" t="n"/>
      <c r="I215" s="268" t="n"/>
      <c r="J215" s="268" t="n"/>
      <c r="K215" s="268" t="n"/>
      <c r="L215" s="268" t="n"/>
      <c r="M215" s="268" t="n"/>
      <c r="N215" s="268" t="n"/>
      <c r="O215" s="268" t="n"/>
      <c r="P215" s="268" t="n"/>
      <c r="Q215" s="268" t="n"/>
      <c r="R215" s="268" t="n"/>
      <c r="S215" s="268" t="n"/>
      <c r="T215" s="268" t="n"/>
      <c r="U215" s="268" t="n"/>
      <c r="V215" s="268" t="n"/>
      <c r="W215" s="268" t="n"/>
      <c r="X215" s="268" t="n"/>
      <c r="Y215" s="268" t="n"/>
      <c r="Z215" s="268" t="n"/>
      <c r="AA215" s="268" t="n"/>
      <c r="AB215" s="268" t="n"/>
      <c r="AC215" s="268" t="n"/>
      <c r="AD215" s="268" t="n"/>
      <c r="AE215" s="268" t="n"/>
      <c r="AF215" s="268" t="n"/>
      <c r="AG215" s="268" t="inlineStr">
        <is>
          <t>% of sales</t>
        </is>
      </c>
      <c r="AH215" s="319">
        <f>SUM(AH278,AH285)+SUM(AH287:AH293)</f>
        <v>994</v>
      </c>
      <c r="AI215" s="319">
        <f>SUM(AI278,AI285)+SUM(AI287:AI293)</f>
        <v>1785</v>
      </c>
      <c r="AJ215" s="319">
        <f>SUM(AJ278,AJ285)+SUM(AJ287:AJ293)</f>
        <v>-7213</v>
      </c>
      <c r="AK215" s="319">
        <f>SUM(AK278,AK285)+SUM(AK287:AK293)</f>
        <v>155</v>
      </c>
      <c r="AL215" s="268" t="n"/>
      <c r="AM215" s="319" t="e">
        <f>SUM(AM278,AM285)+SUM(AM287:AM293)</f>
        <v>#DIV/0!</v>
      </c>
      <c r="AN215" s="319" t="e">
        <f>SUM(AN278,AN285)+SUM(AN287:AN293)</f>
        <v>#DIV/0!</v>
      </c>
      <c r="AO215" s="319" t="e">
        <f>SUM(AO278,AO285)+SUM(AO287:AO293)</f>
        <v>#DIV/0!</v>
      </c>
      <c r="AP215" s="319" t="e">
        <f>SUM(AP278,AP285)+SUM(AP287:AP293)</f>
        <v>#DIV/0!</v>
      </c>
      <c r="AQ215" s="268" t="n"/>
      <c r="AR215" s="319" t="e">
        <f>SUM(AR278,AR285)+SUM(AR287:AR293)</f>
        <v>#DIV/0!</v>
      </c>
      <c r="AS215" s="319" t="e">
        <f>SUM(AS278,AS285)+SUM(AS287:AS293)</f>
        <v>#DIV/0!</v>
      </c>
      <c r="AT215" s="319" t="e">
        <f>SUM(AT278,AT285)+SUM(AT287:AT293)</f>
        <v>#DIV/0!</v>
      </c>
      <c r="AU215" s="319" t="e">
        <f>SUM(AU278,AU285)+SUM(AU287:AU293)</f>
        <v>#DIV/0!</v>
      </c>
      <c r="AV215" s="268" t="n"/>
      <c r="AW215" s="319" t="e">
        <f>SUM(AW278,AW285)+SUM(AW287:AW293)</f>
        <v>#DIV/0!</v>
      </c>
      <c r="AX215" s="319" t="e">
        <f>SUM(AX278,AX285)+SUM(AX287:AX293)</f>
        <v>#DIV/0!</v>
      </c>
      <c r="AY215" s="319" t="e">
        <f>SUM(AY278,AY285)+SUM(AY287:AY293)</f>
        <v>#DIV/0!</v>
      </c>
      <c r="AZ215" s="319" t="e">
        <f>SUM(AZ278,AZ285)+SUM(AZ287:AZ293)</f>
        <v>#DIV/0!</v>
      </c>
      <c r="BA215" s="268" t="n"/>
      <c r="BB215" s="319" t="e">
        <f>SUM(BB278,BB285)+SUM(BB287:BB293)</f>
        <v>#DIV/0!</v>
      </c>
      <c r="BC215" s="319" t="e">
        <f>SUM(BC278,BC285)+SUM(BC287:BC293)</f>
        <v>#DIV/0!</v>
      </c>
      <c r="BD215" s="319" t="e">
        <f>SUM(BD278,BD285)+SUM(BD287:BD293)</f>
        <v>#DIV/0!</v>
      </c>
      <c r="BE215" s="319" t="e">
        <f>SUM(BE278,BE285)+SUM(BE287:BE293)</f>
        <v>#DIV/0!</v>
      </c>
      <c r="BF215" s="268" t="n"/>
      <c r="BG215" s="319" t="e">
        <f>SUM(BG278,BG285)+SUM(BG287:BG293)</f>
        <v>#DIV/0!</v>
      </c>
      <c r="BH215" s="319" t="e">
        <f>SUM(BH278,BH285)+SUM(BH287:BH293)</f>
        <v>#DIV/0!</v>
      </c>
      <c r="BI215" s="319" t="e">
        <f>SUM(BI278,BI285)+SUM(BI287:BI293)</f>
        <v>#DIV/0!</v>
      </c>
      <c r="BJ215" s="319" t="e">
        <f>SUM(BJ278,BJ285)+SUM(BJ287:BJ293)</f>
        <v>#DIV/0!</v>
      </c>
      <c r="BK215" s="268" t="n"/>
      <c r="BL215" s="319" t="e">
        <f>SUM(BL278,BL285)+SUM(BL287:BL293)</f>
        <v>#DIV/0!</v>
      </c>
      <c r="BM215" s="319" t="e">
        <f>SUM(BM278,BM285)+SUM(BM287:BM293)</f>
        <v>#DIV/0!</v>
      </c>
      <c r="BN215" s="319" t="e">
        <f>SUM(BN278,BN285)+SUM(BN287:BN293)</f>
        <v>#DIV/0!</v>
      </c>
      <c r="BO215" s="319" t="e">
        <f>SUM(BO278,BO285)+SUM(BO287:BO293)</f>
        <v>#DIV/0!</v>
      </c>
      <c r="BP215" s="268" t="n"/>
      <c r="BQ215" s="319" t="e">
        <f>SUM(BQ278,BQ285)+SUM(BQ287:BQ293)</f>
        <v>#DIV/0!</v>
      </c>
      <c r="BR215" s="319" t="e">
        <f>SUM(BR278,BR285)+SUM(BR287:BR293)</f>
        <v>#DIV/0!</v>
      </c>
      <c r="BS215" s="319" t="e">
        <f>SUM(BS278,BS285)+SUM(BS287:BS293)</f>
        <v>#DIV/0!</v>
      </c>
      <c r="BT215" s="319" t="e">
        <f>SUM(BT278,BT285)+SUM(BT287:BT293)</f>
        <v>#DIV/0!</v>
      </c>
      <c r="BU215" s="268" t="n"/>
      <c r="BV215" s="319" t="e">
        <f>SUM(BV278,BV285)+SUM(BV287:BV293)</f>
        <v>#DIV/0!</v>
      </c>
      <c r="BW215" s="319" t="e">
        <f>SUM(BW278,BW285)+SUM(BW287:BW293)</f>
        <v>#DIV/0!</v>
      </c>
      <c r="BX215" s="319" t="e">
        <f>SUM(BX278,BX285)+SUM(BX287:BX293)</f>
        <v>#DIV/0!</v>
      </c>
      <c r="BY215" s="319" t="e">
        <f>SUM(BY278,BY285)+SUM(BY287:BY293)</f>
        <v>#DIV/0!</v>
      </c>
      <c r="BZ215" s="268" t="n"/>
      <c r="CA215" s="319" t="e">
        <f>SUM(CA278,CA285)+SUM(CA287:CA293)</f>
        <v>#DIV/0!</v>
      </c>
      <c r="CB215" s="319" t="e">
        <f>SUM(CB278,CB285)+SUM(CB287:CB293)</f>
        <v>#DIV/0!</v>
      </c>
      <c r="CC215" s="319" t="e">
        <f>SUM(CC278,CC285)+SUM(CC287:CC293)</f>
        <v>#DIV/0!</v>
      </c>
      <c r="CD215" s="319" t="e">
        <f>SUM(CD278,CD285)+SUM(CD287:CD293)</f>
        <v>#DIV/0!</v>
      </c>
      <c r="CE215" s="268" t="n"/>
      <c r="CF215" s="319" t="e">
        <f>SUM(CF278,CF285)+SUM(CF287:CF293)</f>
        <v>#DIV/0!</v>
      </c>
      <c r="CG215" s="319" t="e">
        <f>SUM(CG278,CG285)+SUM(CG287:CG293)</f>
        <v>#DIV/0!</v>
      </c>
      <c r="CH215" s="319" t="e">
        <f>SUM(CH278,CH285)+SUM(CH287:CH293)</f>
        <v>#DIV/0!</v>
      </c>
      <c r="CI215" s="319" t="e">
        <f>SUM(CI278,CI285)+SUM(CI287:CI293)</f>
        <v>#DIV/0!</v>
      </c>
      <c r="CJ215" s="268" t="n"/>
      <c r="CK215" s="319" t="e">
        <f>SUM(CK278,CK285)+SUM(CK287:CK293)</f>
        <v>#DIV/0!</v>
      </c>
      <c r="CL215" s="319" t="e">
        <f>SUM(CL278,CL285)+SUM(CL287:CL293)</f>
        <v>#DIV/0!</v>
      </c>
      <c r="CM215" s="319" t="e">
        <f>SUM(CM278,CM285)+SUM(CM287:CM293)</f>
        <v>#DIV/0!</v>
      </c>
      <c r="CN215" s="319" t="e">
        <f>SUM(CN278,CN285)+SUM(CN287:CN293)</f>
        <v>#DIV/0!</v>
      </c>
      <c r="CO215" s="268" t="n"/>
      <c r="CP215" s="319" t="e">
        <f>SUM(CP278,CP285)+SUM(CP287:CP293)</f>
        <v>#DIV/0!</v>
      </c>
      <c r="CQ215" s="319" t="e">
        <f>SUM(CQ278,CQ285)+SUM(CQ287:CQ293)</f>
        <v>#DIV/0!</v>
      </c>
      <c r="CR215" s="319" t="e">
        <f>SUM(CR278,CR285)+SUM(CR287:CR293)</f>
        <v>#DIV/0!</v>
      </c>
      <c r="CS215" s="319" t="e">
        <f>SUM(CS278,CS285)+SUM(CS287:CS293)</f>
        <v>#DIV/0!</v>
      </c>
      <c r="CT215" s="268" t="n"/>
      <c r="CU215" s="319" t="e">
        <f>SUM(CU278,CU285)+SUM(CU287:CU293)</f>
        <v>#DIV/0!</v>
      </c>
      <c r="CV215" s="319" t="e">
        <f>SUM(CV278,CV285)+SUM(CV287:CV293)</f>
        <v>#DIV/0!</v>
      </c>
      <c r="CW215" s="319" t="e">
        <f>SUM(CW278,CW285)+SUM(CW287:CW293)</f>
        <v>#DIV/0!</v>
      </c>
      <c r="CX215" s="319" t="e">
        <f>SUM(CX278,CX285)+SUM(CX287:CX293)</f>
        <v>#DIV/0!</v>
      </c>
      <c r="CY215" s="268" t="n"/>
    </row>
    <row r="216" hidden="1" outlineLevel="1" ht="12.75" customHeight="1" s="255">
      <c r="C216" s="312" t="inlineStr">
        <is>
          <t>Less: Minimum cash balance</t>
        </is>
      </c>
      <c r="D216" s="268" t="n"/>
      <c r="E216" s="268" t="n"/>
      <c r="F216" s="268" t="n"/>
      <c r="G216" s="268" t="n"/>
      <c r="H216" s="268" t="n"/>
      <c r="I216" s="268" t="n"/>
      <c r="J216" s="268" t="n"/>
      <c r="K216" s="268" t="n"/>
      <c r="L216" s="268" t="n"/>
      <c r="M216" s="268" t="n"/>
      <c r="N216" s="268" t="n"/>
      <c r="O216" s="268" t="n"/>
      <c r="P216" s="268" t="n"/>
      <c r="Q216" s="268" t="n"/>
      <c r="R216" s="268" t="n"/>
      <c r="S216" s="268" t="n"/>
      <c r="T216" s="268" t="n"/>
      <c r="U216" s="268" t="n"/>
      <c r="V216" s="268" t="n"/>
      <c r="W216" s="268" t="n"/>
      <c r="X216" s="268" t="n"/>
      <c r="Y216" s="268" t="n"/>
      <c r="Z216" s="268" t="n"/>
      <c r="AA216" s="268" t="n"/>
      <c r="AB216" s="268" t="n"/>
      <c r="AC216" s="268" t="n"/>
      <c r="AD216" s="268" t="n"/>
      <c r="AE216" s="268" t="n"/>
      <c r="AF216" s="268" t="n"/>
      <c r="AG216" s="320" t="n"/>
      <c r="AH216" s="268">
        <f>($AG$216*AH15)</f>
        <v>0</v>
      </c>
      <c r="AI216" s="268">
        <f>($AG$216*AI15)</f>
        <v>0</v>
      </c>
      <c r="AJ216" s="268">
        <f>($AG$216*AJ15)</f>
        <v>0</v>
      </c>
      <c r="AK216" s="268">
        <f>($AG$216*AK15)</f>
        <v>0</v>
      </c>
      <c r="AL216" s="268" t="n"/>
      <c r="AM216" s="268">
        <f>($AG$216*AM15)</f>
        <v>0</v>
      </c>
      <c r="AN216" s="268">
        <f>($AG$216*AN15)</f>
        <v>0</v>
      </c>
      <c r="AO216" s="268">
        <f>($AG$216*AO15)</f>
        <v>0</v>
      </c>
      <c r="AP216" s="268">
        <f>($AG$216*AP15)</f>
        <v>0</v>
      </c>
      <c r="AQ216" s="268" t="n"/>
      <c r="AR216" s="268">
        <f>($AG$216*AR15)</f>
        <v>0</v>
      </c>
      <c r="AS216" s="268">
        <f>($AG$216*AS15)</f>
        <v>0</v>
      </c>
      <c r="AT216" s="268">
        <f>($AG$216*AT15)</f>
        <v>0</v>
      </c>
      <c r="AU216" s="268">
        <f>($AG$216*AU15)</f>
        <v>0</v>
      </c>
      <c r="AV216" s="268" t="n"/>
      <c r="AW216" s="268">
        <f>($AG$216*AW15)</f>
        <v>0</v>
      </c>
      <c r="AX216" s="268">
        <f>($AG$216*AX15)</f>
        <v>0</v>
      </c>
      <c r="AY216" s="268">
        <f>($AG$216*AY15)</f>
        <v>0</v>
      </c>
      <c r="AZ216" s="268">
        <f>($AG$216*AZ15)</f>
        <v>0</v>
      </c>
      <c r="BA216" s="268" t="n"/>
      <c r="BB216" s="268">
        <f>($AG$216*BB15)</f>
        <v>0</v>
      </c>
      <c r="BC216" s="268">
        <f>($AG$216*BC15)</f>
        <v>0</v>
      </c>
      <c r="BD216" s="268">
        <f>($AG$216*BD15)</f>
        <v>0</v>
      </c>
      <c r="BE216" s="268">
        <f>($AG$216*BE15)</f>
        <v>0</v>
      </c>
      <c r="BF216" s="268" t="n"/>
      <c r="BG216" s="268">
        <f>($AG$216*BG15)</f>
        <v>0</v>
      </c>
      <c r="BH216" s="268">
        <f>($AG$216*BH15)</f>
        <v>0</v>
      </c>
      <c r="BI216" s="268">
        <f>($AG$216*BI15)</f>
        <v>0</v>
      </c>
      <c r="BJ216" s="268">
        <f>($AG$216*BJ15)</f>
        <v>0</v>
      </c>
      <c r="BK216" s="268" t="n"/>
      <c r="BL216" s="268">
        <f>($AG$216*BL15)</f>
        <v>0</v>
      </c>
      <c r="BM216" s="268">
        <f>($AG$216*BM15)</f>
        <v>0</v>
      </c>
      <c r="BN216" s="268">
        <f>($AG$216*BN15)</f>
        <v>0</v>
      </c>
      <c r="BO216" s="268">
        <f>($AG$216*BO15)</f>
        <v>0</v>
      </c>
      <c r="BP216" s="268" t="n"/>
      <c r="BQ216" s="268">
        <f>($AG$216*BQ15)</f>
        <v>0</v>
      </c>
      <c r="BR216" s="268">
        <f>($AG$216*BR15)</f>
        <v>0</v>
      </c>
      <c r="BS216" s="268">
        <f>($AG$216*BS15)</f>
        <v>0</v>
      </c>
      <c r="BT216" s="268">
        <f>($AG$216*BT15)</f>
        <v>0</v>
      </c>
      <c r="BU216" s="268" t="n"/>
      <c r="BV216" s="268">
        <f>($AG$216*BV15)</f>
        <v>0</v>
      </c>
      <c r="BW216" s="268">
        <f>($AG$216*BW15)</f>
        <v>0</v>
      </c>
      <c r="BX216" s="268">
        <f>($AG$216*BX15)</f>
        <v>0</v>
      </c>
      <c r="BY216" s="268">
        <f>($AG$216*BY15)</f>
        <v>0</v>
      </c>
      <c r="BZ216" s="268" t="n"/>
      <c r="CA216" s="268">
        <f>($AG$216*CA15)</f>
        <v>0</v>
      </c>
      <c r="CB216" s="268">
        <f>($AG$216*CB15)</f>
        <v>0</v>
      </c>
      <c r="CC216" s="268">
        <f>($AG$216*CC15)</f>
        <v>0</v>
      </c>
      <c r="CD216" s="268">
        <f>($AG$216*CD15)</f>
        <v>0</v>
      </c>
      <c r="CE216" s="268" t="n"/>
      <c r="CF216" s="268">
        <f>($AG$216*CF15)</f>
        <v>0</v>
      </c>
      <c r="CG216" s="268">
        <f>($AG$216*CG15)</f>
        <v>0</v>
      </c>
      <c r="CH216" s="268">
        <f>($AG$216*CH15)</f>
        <v>0</v>
      </c>
      <c r="CI216" s="268">
        <f>($AG$216*CI15)</f>
        <v>0</v>
      </c>
      <c r="CJ216" s="268" t="n"/>
      <c r="CK216" s="268">
        <f>($AG$216*CK15)</f>
        <v>0</v>
      </c>
      <c r="CL216" s="268">
        <f>($AG$216*CL15)</f>
        <v>0</v>
      </c>
      <c r="CM216" s="268">
        <f>($AG$216*CM15)</f>
        <v>0</v>
      </c>
      <c r="CN216" s="268">
        <f>($AG$216*CN15)</f>
        <v>0</v>
      </c>
      <c r="CO216" s="268" t="n"/>
      <c r="CP216" s="268">
        <f>($AG$216*CP15)</f>
        <v>0</v>
      </c>
      <c r="CQ216" s="268">
        <f>($AG$216*CQ15)</f>
        <v>0</v>
      </c>
      <c r="CR216" s="268">
        <f>($AG$216*CR15)</f>
        <v>0</v>
      </c>
      <c r="CS216" s="268">
        <f>($AG$216*CS15)</f>
        <v>0</v>
      </c>
      <c r="CT216" s="268" t="n"/>
      <c r="CU216" s="268">
        <f>($AG$216*CU15)</f>
        <v>0</v>
      </c>
      <c r="CV216" s="268">
        <f>($AG$216*CV15)</f>
        <v>0</v>
      </c>
      <c r="CW216" s="268">
        <f>($AG$216*CW15)</f>
        <v>0</v>
      </c>
      <c r="CX216" s="268">
        <f>($AG$216*CX15)</f>
        <v>0</v>
      </c>
      <c r="CY216" s="268" t="n"/>
    </row>
    <row r="217" hidden="1" outlineLevel="1" ht="12.75" customHeight="1" s="255">
      <c r="C217" s="312" t="inlineStr">
        <is>
          <t>Total cash available / (debt required) for short term debt paydown</t>
        </is>
      </c>
      <c r="D217" s="268" t="n"/>
      <c r="E217" s="268" t="n"/>
      <c r="F217" s="268" t="n"/>
      <c r="G217" s="268" t="n"/>
      <c r="H217" s="268" t="n"/>
      <c r="I217" s="268" t="n"/>
      <c r="J217" s="268" t="n"/>
      <c r="K217" s="268" t="n"/>
      <c r="L217" s="268" t="n"/>
      <c r="M217" s="268" t="n"/>
      <c r="N217" s="268" t="n"/>
      <c r="O217" s="268" t="n"/>
      <c r="P217" s="268" t="n"/>
      <c r="Q217" s="268" t="n"/>
      <c r="R217" s="268" t="n"/>
      <c r="S217" s="268" t="n"/>
      <c r="T217" s="268" t="n"/>
      <c r="U217" s="268" t="n"/>
      <c r="V217" s="268" t="n"/>
      <c r="W217" s="268" t="n"/>
      <c r="X217" s="268" t="n"/>
      <c r="Y217" s="268" t="n"/>
      <c r="Z217" s="268" t="n"/>
      <c r="AA217" s="268" t="n"/>
      <c r="AB217" s="268" t="n"/>
      <c r="AC217" s="268" t="n"/>
      <c r="AD217" s="268" t="n"/>
      <c r="AE217" s="268" t="n"/>
      <c r="AF217" s="268" t="n"/>
      <c r="AG217" s="268" t="n"/>
      <c r="AH217" s="259">
        <f>AH214+AH215-AH216-AF204+AH206+AH210</f>
        <v>18177</v>
      </c>
      <c r="AI217" s="259">
        <f>AI214+AI215-AI216-AG204+AI206+AI210</f>
        <v>1785</v>
      </c>
      <c r="AJ217" s="259">
        <f>AJ214+AJ215-AJ216-AH204+AJ206+AJ210</f>
        <v>-7213</v>
      </c>
      <c r="AK217" s="259">
        <f>AK214+AK215-AK216-AI204+AK206+AK210</f>
        <v>155</v>
      </c>
      <c r="AL217" s="268" t="n"/>
      <c r="AM217" s="259" t="e">
        <f>AM214+AM215-AM216-AK204+AM206+AM210</f>
        <v>#DIV/0!</v>
      </c>
      <c r="AN217" s="259" t="e">
        <f>AN214+AN215-AN216-AL204+AN206+AN210</f>
        <v>#DIV/0!</v>
      </c>
      <c r="AO217" s="259" t="e">
        <f>AO214+AO215-AO216-AM204+AO206+AO210</f>
        <v>#DIV/0!</v>
      </c>
      <c r="AP217" s="259" t="e">
        <f>AP214+AP215-AP216-AN204+AP206+AP210</f>
        <v>#DIV/0!</v>
      </c>
      <c r="AQ217" s="268" t="n"/>
      <c r="AR217" s="259" t="e">
        <f>AR214+AR215-AR216-AP204+AR206+AR210</f>
        <v>#DIV/0!</v>
      </c>
      <c r="AS217" s="259" t="e">
        <f>AS214+AS215-AS216-AQ204+AS206+AS210</f>
        <v>#DIV/0!</v>
      </c>
      <c r="AT217" s="259" t="e">
        <f>AT214+AT215-AT216-AR204+AT206+AT210</f>
        <v>#DIV/0!</v>
      </c>
      <c r="AU217" s="259" t="e">
        <f>AU214+AU215-AU216-AS204+AU206+AU210</f>
        <v>#DIV/0!</v>
      </c>
      <c r="AV217" s="268" t="n"/>
      <c r="AW217" s="259" t="e">
        <f>AW214+AW215-AW216-AU204+AW206+AW210</f>
        <v>#DIV/0!</v>
      </c>
      <c r="AX217" s="259" t="e">
        <f>AX214+AX215-AX216-AV204+AX206+AX210</f>
        <v>#DIV/0!</v>
      </c>
      <c r="AY217" s="259" t="e">
        <f>AY214+AY215-AY216-AW204+AY206+AY210</f>
        <v>#DIV/0!</v>
      </c>
      <c r="AZ217" s="259" t="e">
        <f>AZ214+AZ215-AZ216-AX204+AZ206+AZ210</f>
        <v>#DIV/0!</v>
      </c>
      <c r="BA217" s="268" t="n"/>
      <c r="BB217" s="259" t="e">
        <f>BB214+BB215-BB216-AZ204+BB206+BB210</f>
        <v>#DIV/0!</v>
      </c>
      <c r="BC217" s="259" t="e">
        <f>BC214+BC215-BC216-BA204+BC206+BC210</f>
        <v>#DIV/0!</v>
      </c>
      <c r="BD217" s="259" t="e">
        <f>BD214+BD215-BD216-BB204+BD206+BD210</f>
        <v>#DIV/0!</v>
      </c>
      <c r="BE217" s="259" t="e">
        <f>BE214+BE215-BE216-BC204+BE206+BE210</f>
        <v>#DIV/0!</v>
      </c>
      <c r="BF217" s="268" t="n"/>
      <c r="BG217" s="259" t="e">
        <f>BG214+BG215-BG216-BE204+BG206+BG210</f>
        <v>#DIV/0!</v>
      </c>
      <c r="BH217" s="259" t="e">
        <f>BH214+BH215-BH216-BF204+BH206+BH210</f>
        <v>#DIV/0!</v>
      </c>
      <c r="BI217" s="259" t="e">
        <f>BI214+BI215-BI216-BG204+BI206+BI210</f>
        <v>#DIV/0!</v>
      </c>
      <c r="BJ217" s="259" t="e">
        <f>BJ214+BJ215-BJ216-BH204+BJ206+BJ210</f>
        <v>#DIV/0!</v>
      </c>
      <c r="BK217" s="268" t="n"/>
      <c r="BL217" s="259" t="e">
        <f>BL214+BL215-BL216-BJ204+BL206+BL210</f>
        <v>#DIV/0!</v>
      </c>
      <c r="BM217" s="259" t="e">
        <f>BM214+BM215-BM216-BK204+BM206+BM210</f>
        <v>#DIV/0!</v>
      </c>
      <c r="BN217" s="259" t="e">
        <f>BN214+BN215-BN216-BL204+BN206+BN210</f>
        <v>#DIV/0!</v>
      </c>
      <c r="BO217" s="259" t="e">
        <f>BO214+BO215-BO216-BM204+BO206+BO210</f>
        <v>#DIV/0!</v>
      </c>
      <c r="BP217" s="268" t="n"/>
      <c r="BQ217" s="259" t="e">
        <f>BQ214+BQ215-BQ216-BO204+BQ206+BQ210</f>
        <v>#DIV/0!</v>
      </c>
      <c r="BR217" s="259" t="e">
        <f>BR214+BR215-BR216-BP204+BR206+BR210</f>
        <v>#DIV/0!</v>
      </c>
      <c r="BS217" s="259" t="e">
        <f>BS214+BS215-BS216-BQ204+BS206+BS210</f>
        <v>#DIV/0!</v>
      </c>
      <c r="BT217" s="259" t="e">
        <f>BT214+BT215-BT216-BR204+BT206+BT210</f>
        <v>#DIV/0!</v>
      </c>
      <c r="BU217" s="268" t="n"/>
      <c r="BV217" s="259" t="e">
        <f>BV214+BV215-BV216-BT204+BV206+BV210</f>
        <v>#DIV/0!</v>
      </c>
      <c r="BW217" s="259" t="e">
        <f>BW214+BW215-BW216-BU204+BW206+BW210</f>
        <v>#DIV/0!</v>
      </c>
      <c r="BX217" s="259" t="e">
        <f>BX214+BX215-BX216-BV204+BX206+BX210</f>
        <v>#DIV/0!</v>
      </c>
      <c r="BY217" s="259" t="e">
        <f>BY214+BY215-BY216-BW204+BY206+BY210</f>
        <v>#DIV/0!</v>
      </c>
      <c r="BZ217" s="268" t="n"/>
      <c r="CA217" s="259" t="e">
        <f>CA214+CA215-CA216-BY204+CA206+CA210</f>
        <v>#DIV/0!</v>
      </c>
      <c r="CB217" s="259" t="e">
        <f>CB214+CB215-CB216-BZ204+CB206+CB210</f>
        <v>#DIV/0!</v>
      </c>
      <c r="CC217" s="259" t="e">
        <f>CC214+CC215-CC216-CA204+CC206+CC210</f>
        <v>#DIV/0!</v>
      </c>
      <c r="CD217" s="259" t="e">
        <f>CD214+CD215-CD216-CB204+CD206+CD210</f>
        <v>#DIV/0!</v>
      </c>
      <c r="CE217" s="268" t="n"/>
      <c r="CF217" s="259" t="e">
        <f>CF214+CF215-CF216-CD204+CF206+CF210</f>
        <v>#DIV/0!</v>
      </c>
      <c r="CG217" s="259" t="e">
        <f>CG214+CG215-CG216-CE204+CG206+CG210</f>
        <v>#DIV/0!</v>
      </c>
      <c r="CH217" s="259" t="e">
        <f>CH214+CH215-CH216-CF204+CH206+CH210</f>
        <v>#DIV/0!</v>
      </c>
      <c r="CI217" s="259" t="e">
        <f>CI214+CI215-CI216-CG204+CI206+CI210</f>
        <v>#DIV/0!</v>
      </c>
      <c r="CJ217" s="268" t="n"/>
      <c r="CK217" s="259" t="e">
        <f>CK214+CK215-CK216-CI204+CK206+CK210</f>
        <v>#DIV/0!</v>
      </c>
      <c r="CL217" s="259" t="e">
        <f>CL214+CL215-CL216-CJ204+CL206+CL210</f>
        <v>#DIV/0!</v>
      </c>
      <c r="CM217" s="259" t="e">
        <f>CM214+CM215-CM216-CK204+CM206+CM210</f>
        <v>#DIV/0!</v>
      </c>
      <c r="CN217" s="259" t="e">
        <f>CN214+CN215-CN216-CL204+CN206+CN210</f>
        <v>#DIV/0!</v>
      </c>
      <c r="CO217" s="268" t="n"/>
      <c r="CP217" s="259" t="e">
        <f>CP214+CP215-CP216-CN204+CP206+CP210</f>
        <v>#DIV/0!</v>
      </c>
      <c r="CQ217" s="259" t="e">
        <f>CQ214+CQ215-CQ216-CO204+CQ206+CQ210</f>
        <v>#DIV/0!</v>
      </c>
      <c r="CR217" s="259" t="e">
        <f>CR214+CR215-CR216-CP204+CR206+CR210</f>
        <v>#DIV/0!</v>
      </c>
      <c r="CS217" s="259" t="e">
        <f>CS214+CS215-CS216-CQ204+CS206+CS210</f>
        <v>#DIV/0!</v>
      </c>
      <c r="CT217" s="268" t="n"/>
      <c r="CU217" s="259" t="e">
        <f>CU214+CU215-CU216-CS204+CU206+CU210</f>
        <v>#DIV/0!</v>
      </c>
      <c r="CV217" s="259" t="e">
        <f>CV214+CV215-CV216-CT204+CV206+CV210</f>
        <v>#DIV/0!</v>
      </c>
      <c r="CW217" s="259" t="e">
        <f>CW214+CW215-CW216-CU204+CW206+CW210</f>
        <v>#DIV/0!</v>
      </c>
      <c r="CX217" s="259" t="e">
        <f>CX214+CX215-CX216-CV204+CX206+CX210</f>
        <v>#DIV/0!</v>
      </c>
      <c r="CY217" s="268" t="n"/>
    </row>
    <row r="218" hidden="1" outlineLevel="1" ht="12.75" customHeight="1" s="255">
      <c r="C218" s="312" t="inlineStr">
        <is>
          <t>Short term debt</t>
        </is>
      </c>
      <c r="D218" s="268" t="n"/>
      <c r="E218" s="268" t="n"/>
      <c r="F218" s="268" t="n"/>
      <c r="G218" s="268" t="n"/>
      <c r="H218" s="268" t="n"/>
      <c r="I218" s="268" t="n"/>
      <c r="J218" s="268" t="n"/>
      <c r="K218" s="268" t="n"/>
      <c r="L218" s="268" t="n"/>
      <c r="M218" s="268" t="n"/>
      <c r="N218" s="268" t="n"/>
      <c r="O218" s="268" t="n"/>
      <c r="P218" s="268" t="n"/>
      <c r="Q218" s="268" t="n"/>
      <c r="R218" s="268" t="n"/>
      <c r="S218" s="268" t="n"/>
      <c r="T218" s="268" t="n"/>
      <c r="U218" s="268" t="n"/>
      <c r="V218" s="268" t="n"/>
      <c r="W218" s="268" t="n"/>
      <c r="X218" s="268" t="n"/>
      <c r="Y218" s="268" t="n"/>
      <c r="Z218" s="268" t="n"/>
      <c r="AA218" s="268" t="n"/>
      <c r="AB218" s="268" t="n"/>
      <c r="AC218" s="268" t="n"/>
      <c r="AD218" s="268" t="n"/>
      <c r="AE218" s="268" t="n"/>
      <c r="AF218" s="268" t="n"/>
      <c r="AG218" s="268" t="n"/>
      <c r="AH218" s="268">
        <f>AH198</f>
        <v>0</v>
      </c>
      <c r="AI218" s="268">
        <f>MAX(0,AH218-AI217)</f>
        <v>0</v>
      </c>
      <c r="AJ218" s="268">
        <f>MAX(0,AI218-AJ217)</f>
        <v>7213</v>
      </c>
      <c r="AK218" s="268">
        <f>MAX(0,AJ218-AK217)</f>
        <v>7058</v>
      </c>
      <c r="AL218" s="268" t="n"/>
      <c r="AM218" s="268">
        <f>AM198</f>
        <v>0</v>
      </c>
      <c r="AN218" s="268" t="e">
        <f>MAX(0,AM218-AN217)</f>
        <v>#DIV/0!</v>
      </c>
      <c r="AO218" s="268" t="e">
        <f>MAX(0,AN218-AO217)</f>
        <v>#DIV/0!</v>
      </c>
      <c r="AP218" s="268" t="e">
        <f>MAX(0,AO218-AP217)</f>
        <v>#DIV/0!</v>
      </c>
      <c r="AQ218" s="268" t="n"/>
      <c r="AR218" s="268">
        <f>AR198</f>
        <v>0</v>
      </c>
      <c r="AS218" s="268" t="e">
        <f>MAX(0,AR218-AS217)</f>
        <v>#DIV/0!</v>
      </c>
      <c r="AT218" s="268" t="e">
        <f>MAX(0,AS218-AT217)</f>
        <v>#DIV/0!</v>
      </c>
      <c r="AU218" s="268" t="e">
        <f>MAX(0,AT218-AU217)</f>
        <v>#DIV/0!</v>
      </c>
      <c r="AV218" s="268" t="n"/>
      <c r="AW218" s="268">
        <f>AW198</f>
        <v>0</v>
      </c>
      <c r="AX218" s="268" t="e">
        <f>MAX(0,AW218-AX217)</f>
        <v>#DIV/0!</v>
      </c>
      <c r="AY218" s="268" t="e">
        <f>MAX(0,AX218-AY217)</f>
        <v>#DIV/0!</v>
      </c>
      <c r="AZ218" s="268" t="e">
        <f>MAX(0,AY218-AZ217)</f>
        <v>#DIV/0!</v>
      </c>
      <c r="BA218" s="268" t="n"/>
      <c r="BB218" s="268">
        <f>BB198</f>
        <v>0</v>
      </c>
      <c r="BC218" s="268" t="e">
        <f>MAX(0,BB218-BC217)</f>
        <v>#DIV/0!</v>
      </c>
      <c r="BD218" s="268" t="e">
        <f>MAX(0,BC218-BD217)</f>
        <v>#DIV/0!</v>
      </c>
      <c r="BE218" s="268" t="e">
        <f>MAX(0,BD218-BE217)</f>
        <v>#DIV/0!</v>
      </c>
      <c r="BF218" s="268" t="n"/>
      <c r="BG218" s="268">
        <f>BG198</f>
        <v>0</v>
      </c>
      <c r="BH218" s="268" t="e">
        <f>MAX(0,BG218-BH217)</f>
        <v>#DIV/0!</v>
      </c>
      <c r="BI218" s="268" t="e">
        <f>MAX(0,BH218-BI217)</f>
        <v>#DIV/0!</v>
      </c>
      <c r="BJ218" s="268" t="e">
        <f>MAX(0,BI218-BJ217)</f>
        <v>#DIV/0!</v>
      </c>
      <c r="BK218" s="268" t="n"/>
      <c r="BL218" s="268">
        <f>BL198</f>
        <v>0</v>
      </c>
      <c r="BM218" s="268" t="e">
        <f>MAX(0,BL218-BM217)</f>
        <v>#DIV/0!</v>
      </c>
      <c r="BN218" s="268" t="e">
        <f>MAX(0,BM218-BN217)</f>
        <v>#DIV/0!</v>
      </c>
      <c r="BO218" s="268" t="e">
        <f>MAX(0,BN218-BO217)</f>
        <v>#DIV/0!</v>
      </c>
      <c r="BP218" s="268" t="n"/>
      <c r="BQ218" s="268">
        <f>BQ198</f>
        <v>0</v>
      </c>
      <c r="BR218" s="268" t="e">
        <f>MAX(0,BQ218-BR217)</f>
        <v>#DIV/0!</v>
      </c>
      <c r="BS218" s="268" t="e">
        <f>MAX(0,BR218-BS217)</f>
        <v>#DIV/0!</v>
      </c>
      <c r="BT218" s="268" t="e">
        <f>MAX(0,BS218-BT217)</f>
        <v>#DIV/0!</v>
      </c>
      <c r="BU218" s="268" t="n"/>
      <c r="BV218" s="268">
        <f>BV198</f>
        <v>0</v>
      </c>
      <c r="BW218" s="268" t="e">
        <f>MAX(0,BV218-BW217)</f>
        <v>#DIV/0!</v>
      </c>
      <c r="BX218" s="268" t="e">
        <f>MAX(0,BW218-BX217)</f>
        <v>#DIV/0!</v>
      </c>
      <c r="BY218" s="268" t="e">
        <f>MAX(0,BX218-BY217)</f>
        <v>#DIV/0!</v>
      </c>
      <c r="BZ218" s="268" t="n"/>
      <c r="CA218" s="268">
        <f>CA198</f>
        <v>0</v>
      </c>
      <c r="CB218" s="268" t="e">
        <f>MAX(0,CA218-CB217)</f>
        <v>#DIV/0!</v>
      </c>
      <c r="CC218" s="268" t="e">
        <f>MAX(0,CB218-CC217)</f>
        <v>#DIV/0!</v>
      </c>
      <c r="CD218" s="268" t="e">
        <f>MAX(0,CC218-CD217)</f>
        <v>#DIV/0!</v>
      </c>
      <c r="CE218" s="268" t="n"/>
      <c r="CF218" s="268">
        <f>CF198</f>
        <v>0</v>
      </c>
      <c r="CG218" s="268" t="e">
        <f>MAX(0,CF218-CG217)</f>
        <v>#DIV/0!</v>
      </c>
      <c r="CH218" s="268" t="e">
        <f>MAX(0,CG218-CH217)</f>
        <v>#DIV/0!</v>
      </c>
      <c r="CI218" s="268" t="e">
        <f>MAX(0,CH218-CI217)</f>
        <v>#DIV/0!</v>
      </c>
      <c r="CJ218" s="268" t="n"/>
      <c r="CK218" s="268">
        <f>CK198</f>
        <v>0</v>
      </c>
      <c r="CL218" s="268" t="e">
        <f>MAX(0,CK218-CL217)</f>
        <v>#DIV/0!</v>
      </c>
      <c r="CM218" s="268" t="e">
        <f>MAX(0,CL218-CM217)</f>
        <v>#DIV/0!</v>
      </c>
      <c r="CN218" s="268" t="e">
        <f>MAX(0,CM218-CN217)</f>
        <v>#DIV/0!</v>
      </c>
      <c r="CO218" s="268" t="n"/>
      <c r="CP218" s="268">
        <f>CP198</f>
        <v>0</v>
      </c>
      <c r="CQ218" s="268" t="e">
        <f>MAX(0,CP218-CQ217)</f>
        <v>#DIV/0!</v>
      </c>
      <c r="CR218" s="268" t="e">
        <f>MAX(0,CQ218-CR217)</f>
        <v>#DIV/0!</v>
      </c>
      <c r="CS218" s="268" t="e">
        <f>MAX(0,CR218-CS217)</f>
        <v>#DIV/0!</v>
      </c>
      <c r="CT218" s="268" t="n"/>
      <c r="CU218" s="268">
        <f>CU198</f>
        <v>0</v>
      </c>
      <c r="CV218" s="268" t="e">
        <f>MAX(0,CU218-CV217)</f>
        <v>#DIV/0!</v>
      </c>
      <c r="CW218" s="268" t="e">
        <f>MAX(0,CV218-CW217)</f>
        <v>#DIV/0!</v>
      </c>
      <c r="CX218" s="268" t="e">
        <f>MAX(0,CW218-CX217)</f>
        <v>#DIV/0!</v>
      </c>
      <c r="CY218" s="268" t="n"/>
    </row>
    <row r="219" hidden="1" outlineLevel="1" ht="12.75" customHeight="1" s="255">
      <c r="C219" s="312" t="n"/>
      <c r="D219" s="268" t="n"/>
      <c r="E219" s="268" t="n"/>
      <c r="F219" s="268" t="n"/>
      <c r="G219" s="268" t="n"/>
      <c r="H219" s="268" t="n"/>
      <c r="I219" s="268" t="n"/>
      <c r="J219" s="268" t="n"/>
      <c r="K219" s="268" t="n"/>
      <c r="L219" s="268" t="n"/>
      <c r="M219" s="268" t="n"/>
      <c r="N219" s="268" t="n"/>
      <c r="O219" s="268" t="n"/>
      <c r="P219" s="268" t="n"/>
      <c r="Q219" s="268" t="n"/>
      <c r="R219" s="268" t="n"/>
      <c r="S219" s="268" t="n"/>
      <c r="T219" s="268" t="n"/>
      <c r="U219" s="268" t="n"/>
      <c r="V219" s="268" t="n"/>
      <c r="W219" s="268" t="n"/>
      <c r="X219" s="268" t="n"/>
      <c r="Y219" s="268" t="n"/>
      <c r="Z219" s="268" t="n"/>
      <c r="AA219" s="268" t="n"/>
      <c r="AB219" s="268" t="n"/>
      <c r="AC219" s="268" t="n"/>
      <c r="AD219" s="268" t="n"/>
      <c r="AE219" s="268" t="n"/>
      <c r="AF219" s="268" t="n"/>
      <c r="AG219" s="268" t="n"/>
      <c r="AH219" s="268" t="n"/>
      <c r="AI219" s="268" t="n"/>
      <c r="AJ219" s="268" t="n"/>
      <c r="AK219" s="268" t="n"/>
      <c r="AL219" s="268" t="n"/>
      <c r="AM219" s="268" t="n"/>
      <c r="AN219" s="268" t="n"/>
      <c r="AO219" s="268" t="n"/>
      <c r="AP219" s="268" t="n"/>
      <c r="AQ219" s="268" t="n"/>
      <c r="AR219" s="268" t="n"/>
      <c r="AS219" s="268" t="n"/>
      <c r="AT219" s="268" t="n"/>
      <c r="AU219" s="268" t="n"/>
      <c r="AV219" s="268" t="n"/>
      <c r="AW219" s="268" t="n"/>
      <c r="AX219" s="268" t="n"/>
      <c r="AY219" s="268" t="n"/>
      <c r="AZ219" s="268" t="n"/>
      <c r="BA219" s="268" t="n"/>
      <c r="BB219" s="268" t="n"/>
      <c r="BC219" s="268" t="n"/>
      <c r="BD219" s="268" t="n"/>
      <c r="BE219" s="268" t="n"/>
      <c r="BF219" s="268" t="n"/>
      <c r="BG219" s="268" t="n"/>
      <c r="BH219" s="268" t="n"/>
      <c r="BI219" s="268" t="n"/>
      <c r="BJ219" s="268" t="n"/>
      <c r="BK219" s="268" t="n"/>
      <c r="BL219" s="268" t="n"/>
      <c r="BM219" s="268" t="n"/>
      <c r="BN219" s="268" t="n"/>
      <c r="BO219" s="268" t="n"/>
      <c r="BP219" s="268" t="n"/>
      <c r="BQ219" s="268" t="n"/>
      <c r="BR219" s="268" t="n"/>
      <c r="BS219" s="268" t="n"/>
      <c r="BT219" s="268" t="n"/>
      <c r="BU219" s="268" t="n"/>
      <c r="BV219" s="268" t="n"/>
      <c r="BW219" s="268" t="n"/>
      <c r="BX219" s="268" t="n"/>
      <c r="BY219" s="268" t="n"/>
      <c r="BZ219" s="268" t="n"/>
      <c r="CA219" s="268" t="n"/>
      <c r="CB219" s="268" t="n"/>
      <c r="CC219" s="268" t="n"/>
      <c r="CD219" s="268" t="n"/>
      <c r="CE219" s="268" t="n"/>
      <c r="CF219" s="268" t="n"/>
      <c r="CG219" s="268" t="n"/>
      <c r="CH219" s="268" t="n"/>
      <c r="CI219" s="268" t="n"/>
      <c r="CJ219" s="268" t="n"/>
      <c r="CK219" s="268" t="n"/>
      <c r="CL219" s="268" t="n"/>
      <c r="CM219" s="268" t="n"/>
      <c r="CN219" s="268" t="n"/>
      <c r="CO219" s="268" t="n"/>
      <c r="CP219" s="268" t="n"/>
      <c r="CQ219" s="268" t="n"/>
      <c r="CR219" s="268" t="n"/>
      <c r="CS219" s="268" t="n"/>
      <c r="CT219" s="268" t="n"/>
      <c r="CU219" s="268" t="n"/>
      <c r="CV219" s="268" t="n"/>
      <c r="CW219" s="268" t="n"/>
      <c r="CX219" s="268" t="n"/>
      <c r="CY219" s="268" t="n"/>
    </row>
    <row r="220" ht="12.75" customHeight="1" s="255">
      <c r="C220" s="270" t="inlineStr">
        <is>
          <t>Long term operating leases</t>
        </is>
      </c>
      <c r="D220" s="301">
        <f>INDEX('Inputs (2)'!$D$36:$AL$36,MATCH(D$7,'Inputs (2)'!$D$2:$AL$2,0))</f>
        <v>2446</v>
      </c>
      <c r="E220" s="301">
        <f>INDEX('Inputs (2)'!$D$36:$AL$36,MATCH(E$7,'Inputs (2)'!$D$2:$AL$2,0))</f>
        <v>2535</v>
      </c>
      <c r="F220" s="301">
        <f>INDEX('Inputs (2)'!$D$36:$AL$36,MATCH(F$7,'Inputs (2)'!$D$2:$AL$2,0))</f>
        <v>2558</v>
      </c>
      <c r="G220" s="301">
        <f>INDEX('Inputs (2)'!$D$36:$AL$36,MATCH(G$7,'Inputs (2)'!$D$2:$AL$2,0))</f>
        <v>2574</v>
      </c>
      <c r="H220" s="268">
        <f>G220</f>
        <v>2574</v>
      </c>
      <c r="I220" s="301">
        <f>INDEX('Inputs (2)'!$D$36:$AL$36,MATCH(I$7,'Inputs (2)'!$D$2:$AL$2,0))</f>
        <v>2651</v>
      </c>
      <c r="J220" s="301">
        <f>INDEX('Inputs (2)'!$D$36:$AL$36,MATCH(J$7,'Inputs (2)'!$D$2:$AL$2,0))</f>
        <v>2641</v>
      </c>
      <c r="K220" s="301">
        <f>INDEX('Inputs (2)'!$D$36:$AL$36,MATCH(K$7,'Inputs (2)'!$D$2:$AL$2,0))</f>
        <v>2642</v>
      </c>
      <c r="L220" s="301">
        <f>INDEX('Inputs (2)'!$D$36:$AL$36,MATCH(L$7,'Inputs (2)'!$D$2:$AL$2,0))</f>
        <v>2649</v>
      </c>
      <c r="M220" s="268">
        <f>L220</f>
        <v>2649</v>
      </c>
      <c r="N220" s="301">
        <f>INDEX('Inputs (2)'!$D$36:$AL$36,MATCH(N$7,'Inputs (2)'!$D$2:$AL$2,0))</f>
        <v>2588</v>
      </c>
      <c r="O220" s="301">
        <f>INDEX('Inputs (2)'!$D$36:$AL$36,MATCH(O$7,'Inputs (2)'!$D$2:$AL$2,0))</f>
        <v>2452</v>
      </c>
      <c r="P220" s="301">
        <f>INDEX('Inputs (2)'!$D$36:$AL$36,MATCH(P$7,'Inputs (2)'!$D$2:$AL$2,0))</f>
        <v>2482</v>
      </c>
      <c r="Q220" s="301">
        <f>INDEX('Inputs (2)'!$D$36:$AL$36,MATCH(Q$7,'Inputs (2)'!$D$2:$AL$2,0))</f>
        <v>2503</v>
      </c>
      <c r="R220" s="268">
        <f>Q220</f>
        <v>2503</v>
      </c>
      <c r="S220" s="301">
        <f>INDEX('Inputs (2)'!$D$36:$AL$36,MATCH(S$7,'Inputs (2)'!$D$2:$AL$2,0))</f>
        <v>2557</v>
      </c>
      <c r="T220" s="301">
        <f>INDEX('Inputs (2)'!$D$36:$AL$36,MATCH(T$7,'Inputs (2)'!$D$2:$AL$2,0))</f>
        <v>2507</v>
      </c>
      <c r="U220" s="301">
        <f>INDEX('Inputs (2)'!$D$36:$AL$36,MATCH(U$7,'Inputs (2)'!$D$2:$AL$2,0))</f>
        <v>2426</v>
      </c>
      <c r="V220" s="301">
        <f>INDEX('Inputs (2)'!$D$36:$AL$36,MATCH(V$7,'Inputs (2)'!$D$2:$AL$2,0))</f>
        <v>2401</v>
      </c>
      <c r="W220" s="268">
        <f>V220</f>
        <v>2401</v>
      </c>
      <c r="X220" s="301">
        <f>INDEX('Inputs (2)'!$D$36:$AL$36,MATCH(X$7,'Inputs (2)'!$D$2:$AL$2,0))</f>
        <v>2488</v>
      </c>
      <c r="Y220" s="301">
        <f>INDEX('Inputs (2)'!$D$36:$AL$36,MATCH(Y$7,'Inputs (2)'!$D$2:$AL$2,0))</f>
        <v>2386</v>
      </c>
      <c r="Z220" s="301">
        <f>INDEX('Inputs (2)'!$D$36:$AL$36,MATCH(Z$7,'Inputs (2)'!$D$2:$AL$2,0))</f>
        <v>2375</v>
      </c>
      <c r="AA220" s="301">
        <f>INDEX('Inputs (2)'!$D$36:$AL$36,MATCH(AA$7,'Inputs (2)'!$D$2:$AL$2,0))</f>
        <v>2288</v>
      </c>
      <c r="AB220" s="268">
        <f>AA220</f>
        <v>2288</v>
      </c>
      <c r="AC220" s="301">
        <f>INDEX('Inputs (2)'!$D$36:$AL$36,MATCH(AC$7,'Inputs (2)'!$D$2:$AL$2,0))</f>
        <v>2284</v>
      </c>
      <c r="AD220" s="301">
        <f>INDEX('Inputs (2)'!$D$36:$AL$36,MATCH(AD$7,'Inputs (2)'!$D$2:$AL$2,0))</f>
        <v>2463</v>
      </c>
      <c r="AE220" s="301">
        <f>INDEX('Inputs (2)'!$D$36:$AL$36,MATCH(AE$7,'Inputs (2)'!$D$2:$AL$2,0))</f>
        <v>2460</v>
      </c>
      <c r="AF220" s="301">
        <f>INDEX('Inputs (2)'!$D$36:$AL$36,MATCH(AF$7,'Inputs (2)'!$D$2:$AL$2,0))</f>
        <v>2436</v>
      </c>
      <c r="AG220" s="268">
        <f>AF220</f>
        <v>2436</v>
      </c>
      <c r="AH220" s="268">
        <f>INDEX('Inputs (2)'!$D$36:$AL$36,MATCH(AH$7,'Inputs (2)'!$D$2:$AL$2,0))</f>
        <v>2477</v>
      </c>
      <c r="AI220" s="268">
        <f>INDEX('Inputs (2)'!$D$36:$AL$36,MATCH(AI$7,'Inputs (2)'!$D$2:$AL$2,0))</f>
        <v>2466</v>
      </c>
      <c r="AJ220" s="268">
        <f>AI220</f>
        <v>2466</v>
      </c>
      <c r="AK220" s="268">
        <f>AJ220</f>
        <v>2466</v>
      </c>
      <c r="AL220" s="268">
        <f>AK220</f>
        <v>2466</v>
      </c>
      <c r="AM220" s="268">
        <f>AL220</f>
        <v>2466</v>
      </c>
      <c r="AN220" s="268">
        <f>AM220</f>
        <v>2466</v>
      </c>
      <c r="AO220" s="268">
        <f>AN220</f>
        <v>2466</v>
      </c>
      <c r="AP220" s="268">
        <f>AO220</f>
        <v>2466</v>
      </c>
      <c r="AQ220" s="268">
        <f>AP220</f>
        <v>2466</v>
      </c>
      <c r="AR220" s="268">
        <f>AQ220</f>
        <v>2466</v>
      </c>
      <c r="AS220" s="268">
        <f>AR220</f>
        <v>2466</v>
      </c>
      <c r="AT220" s="268">
        <f>AS220</f>
        <v>2466</v>
      </c>
      <c r="AU220" s="268">
        <f>AT220</f>
        <v>2466</v>
      </c>
      <c r="AV220" s="268">
        <f>AU220</f>
        <v>2466</v>
      </c>
      <c r="AW220" s="268">
        <f>AV220</f>
        <v>2466</v>
      </c>
      <c r="AX220" s="268">
        <f>AW220</f>
        <v>2466</v>
      </c>
      <c r="AY220" s="268">
        <f>AX220</f>
        <v>2466</v>
      </c>
      <c r="AZ220" s="268">
        <f>AY220</f>
        <v>2466</v>
      </c>
      <c r="BA220" s="268">
        <f>AZ220</f>
        <v>2466</v>
      </c>
      <c r="BB220" s="268">
        <f>BA220</f>
        <v>2466</v>
      </c>
      <c r="BC220" s="268">
        <f>BB220</f>
        <v>2466</v>
      </c>
      <c r="BD220" s="268">
        <f>BC220</f>
        <v>2466</v>
      </c>
      <c r="BE220" s="268">
        <f>BD220</f>
        <v>2466</v>
      </c>
      <c r="BF220" s="268">
        <f>BE220</f>
        <v>2466</v>
      </c>
      <c r="BG220" s="268">
        <f>BF220</f>
        <v>2466</v>
      </c>
      <c r="BH220" s="268">
        <f>BG220</f>
        <v>2466</v>
      </c>
      <c r="BI220" s="268">
        <f>BH220</f>
        <v>2466</v>
      </c>
      <c r="BJ220" s="268">
        <f>BI220</f>
        <v>2466</v>
      </c>
      <c r="BK220" s="268">
        <f>BJ220</f>
        <v>2466</v>
      </c>
      <c r="BL220" s="268">
        <f>BK220</f>
        <v>2466</v>
      </c>
      <c r="BM220" s="268">
        <f>BL220</f>
        <v>2466</v>
      </c>
      <c r="BN220" s="268">
        <f>BM220</f>
        <v>2466</v>
      </c>
      <c r="BO220" s="268">
        <f>BN220</f>
        <v>2466</v>
      </c>
      <c r="BP220" s="268">
        <f>BO220</f>
        <v>2466</v>
      </c>
      <c r="BQ220" s="268">
        <f>BP220</f>
        <v>2466</v>
      </c>
      <c r="BR220" s="268">
        <f>BQ220</f>
        <v>2466</v>
      </c>
      <c r="BS220" s="268">
        <f>BR220</f>
        <v>2466</v>
      </c>
      <c r="BT220" s="268">
        <f>BS220</f>
        <v>2466</v>
      </c>
      <c r="BU220" s="268">
        <f>BT220</f>
        <v>2466</v>
      </c>
      <c r="BV220" s="268">
        <f>BU220</f>
        <v>2466</v>
      </c>
      <c r="BW220" s="268">
        <f>BV220</f>
        <v>2466</v>
      </c>
      <c r="BX220" s="268">
        <f>BW220</f>
        <v>2466</v>
      </c>
      <c r="BY220" s="268">
        <f>BX220</f>
        <v>2466</v>
      </c>
      <c r="BZ220" s="268">
        <f>BY220</f>
        <v>2466</v>
      </c>
      <c r="CA220" s="268">
        <f>BZ220</f>
        <v>2466</v>
      </c>
      <c r="CB220" s="268">
        <f>CA220</f>
        <v>2466</v>
      </c>
      <c r="CC220" s="268">
        <f>CB220</f>
        <v>2466</v>
      </c>
      <c r="CD220" s="268">
        <f>CC220</f>
        <v>2466</v>
      </c>
      <c r="CE220" s="268">
        <f>CD220</f>
        <v>2466</v>
      </c>
      <c r="CF220" s="268">
        <f>CE220</f>
        <v>2466</v>
      </c>
      <c r="CG220" s="268">
        <f>CF220</f>
        <v>2466</v>
      </c>
      <c r="CH220" s="268">
        <f>CG220</f>
        <v>2466</v>
      </c>
      <c r="CI220" s="268">
        <f>CH220</f>
        <v>2466</v>
      </c>
      <c r="CJ220" s="268">
        <f>CI220</f>
        <v>2466</v>
      </c>
      <c r="CK220" s="268">
        <f>CJ220</f>
        <v>2466</v>
      </c>
      <c r="CL220" s="268">
        <f>CK220</f>
        <v>2466</v>
      </c>
      <c r="CM220" s="268">
        <f>CL220</f>
        <v>2466</v>
      </c>
      <c r="CN220" s="268">
        <f>CM220</f>
        <v>2466</v>
      </c>
      <c r="CO220" s="268">
        <f>CN220</f>
        <v>2466</v>
      </c>
      <c r="CP220" s="268">
        <f>CO220</f>
        <v>2466</v>
      </c>
      <c r="CQ220" s="268">
        <f>CP220</f>
        <v>2466</v>
      </c>
      <c r="CR220" s="268">
        <f>CQ220</f>
        <v>2466</v>
      </c>
      <c r="CS220" s="268">
        <f>CR220</f>
        <v>2466</v>
      </c>
      <c r="CT220" s="268">
        <f>CS220</f>
        <v>2466</v>
      </c>
      <c r="CU220" s="268">
        <f>CT220</f>
        <v>2466</v>
      </c>
      <c r="CV220" s="268">
        <f>CU220</f>
        <v>2466</v>
      </c>
      <c r="CW220" s="268">
        <f>CV220</f>
        <v>2466</v>
      </c>
      <c r="CX220" s="268">
        <f>CW220</f>
        <v>2466</v>
      </c>
      <c r="CY220" s="268">
        <f>CX220</f>
        <v>2466</v>
      </c>
    </row>
    <row r="221" hidden="1" outlineLevel="1" ht="12.75" customHeight="1" s="255">
      <c r="C221" s="314" t="inlineStr">
        <is>
          <t>%(Var.)</t>
        </is>
      </c>
      <c r="D221" s="268" t="n"/>
      <c r="E221" s="296">
        <f>IFERROR((E220-D220)/D220,0)</f>
        <v>0.0363859362224039</v>
      </c>
      <c r="F221" s="296">
        <f>IFERROR((F220-E220)/E220,0)</f>
        <v>0.00907297830374754</v>
      </c>
      <c r="G221" s="296">
        <f>IFERROR((G220-F220)/F220,0)</f>
        <v>0.00625488663017983</v>
      </c>
      <c r="H221" s="268" t="n"/>
      <c r="I221" s="296">
        <f>IFERROR((I220-H220)/H220,0)</f>
        <v>0.0299145299145299</v>
      </c>
      <c r="J221" s="296">
        <f>IFERROR((J220-I220)/I220,0)</f>
        <v>-0.00377216144851</v>
      </c>
      <c r="K221" s="296">
        <f>IFERROR((K220-J220)/J220,0)</f>
        <v>0.000378644452858766</v>
      </c>
      <c r="L221" s="296">
        <f>IFERROR((L220-K220)/K220,0)</f>
        <v>0.00264950794852385</v>
      </c>
      <c r="M221" s="268" t="n"/>
      <c r="N221" s="296">
        <f>IFERROR((N220-M220)/M220,0)</f>
        <v>-0.0230275575688939</v>
      </c>
      <c r="O221" s="296">
        <f>IFERROR((O220-N220)/N220,0)</f>
        <v>-0.0525502318392581</v>
      </c>
      <c r="P221" s="296">
        <f>IFERROR((P220-O220)/O220,0)</f>
        <v>0.0122349102773246</v>
      </c>
      <c r="Q221" s="296">
        <f>IFERROR((Q220-P220)/P220,0)</f>
        <v>0.00846091861402095</v>
      </c>
      <c r="R221" s="268" t="n"/>
      <c r="S221" s="296">
        <f>IFERROR((S220-R220)/R220,0)</f>
        <v>0.0215741110667199</v>
      </c>
      <c r="T221" s="296">
        <f>IFERROR((T220-S220)/S220,0)</f>
        <v>-0.0195541650371529</v>
      </c>
      <c r="U221" s="296">
        <f>IFERROR((U220-T220)/T220,0)</f>
        <v>-0.0323095333067411</v>
      </c>
      <c r="V221" s="296">
        <f>IFERROR((V220-U220)/U220,0)</f>
        <v>-0.0103050288540808</v>
      </c>
      <c r="W221" s="268" t="n"/>
      <c r="X221" s="296">
        <f>IFERROR((X220-W220)/W220,0)</f>
        <v>0.036234902124115</v>
      </c>
      <c r="Y221" s="296">
        <f>IFERROR((Y220-X220)/X220,0)</f>
        <v>-0.0409967845659164</v>
      </c>
      <c r="Z221" s="296">
        <f>IFERROR((Z220-Y220)/Y220,0)</f>
        <v>-0.00461022632020117</v>
      </c>
      <c r="AA221" s="296">
        <f>IFERROR((AA220-Z220)/Z220,0)</f>
        <v>-0.0366315789473684</v>
      </c>
      <c r="AB221" s="268" t="n"/>
      <c r="AC221" s="296">
        <f>IFERROR((AC220-AB220)/AB220,0)</f>
        <v>-0.00174825174825175</v>
      </c>
      <c r="AD221" s="296">
        <f>IFERROR((AD220-AC220)/AC220,0)</f>
        <v>0.0783712784588441</v>
      </c>
      <c r="AE221" s="296">
        <f>IFERROR((AE220-AD220)/AD220,0)</f>
        <v>-0.00121802679658953</v>
      </c>
      <c r="AF221" s="297">
        <f>IFERROR((AF220-AE220)/AE220,0)</f>
        <v>-0.00975609756097561</v>
      </c>
      <c r="AG221" s="268" t="n"/>
      <c r="AH221" s="267">
        <f>IFERROR((AH220-AG220)/AG220,0)</f>
        <v>0.0168308702791461</v>
      </c>
      <c r="AI221" s="267">
        <f>IFERROR((AI220-AH220)/AH220,0)</f>
        <v>-0.00444085587404118</v>
      </c>
      <c r="AJ221" s="267" t="n"/>
      <c r="AK221" s="267" t="n"/>
      <c r="AL221" s="268" t="n"/>
      <c r="AM221" s="267" t="n"/>
      <c r="AN221" s="267" t="n"/>
      <c r="AO221" s="267" t="n"/>
      <c r="AP221" s="267" t="n"/>
      <c r="AQ221" s="268" t="n"/>
      <c r="AR221" s="267" t="n"/>
      <c r="AS221" s="267" t="n"/>
      <c r="AT221" s="267" t="n"/>
      <c r="AU221" s="267" t="n"/>
      <c r="AV221" s="268" t="n"/>
      <c r="AW221" s="267" t="n"/>
      <c r="AX221" s="267" t="n"/>
      <c r="AY221" s="267" t="n"/>
      <c r="AZ221" s="267" t="n"/>
      <c r="BA221" s="268" t="n"/>
      <c r="BB221" s="267" t="n"/>
      <c r="BC221" s="267" t="n"/>
      <c r="BD221" s="267" t="n"/>
      <c r="BE221" s="267" t="n"/>
      <c r="BF221" s="268" t="n"/>
      <c r="BG221" s="267" t="n"/>
      <c r="BH221" s="267" t="n"/>
      <c r="BI221" s="267" t="n"/>
      <c r="BJ221" s="267" t="n"/>
      <c r="BK221" s="268" t="n"/>
      <c r="BL221" s="267" t="n"/>
      <c r="BM221" s="267" t="n"/>
      <c r="BN221" s="267" t="n"/>
      <c r="BO221" s="267" t="n"/>
      <c r="BP221" s="268" t="n"/>
      <c r="BQ221" s="267" t="n"/>
      <c r="BR221" s="267" t="n"/>
      <c r="BS221" s="267" t="n"/>
      <c r="BT221" s="267" t="n"/>
      <c r="BU221" s="268" t="n"/>
      <c r="BV221" s="267" t="n"/>
      <c r="BW221" s="267" t="n"/>
      <c r="BX221" s="267" t="n"/>
      <c r="BY221" s="267" t="n"/>
      <c r="BZ221" s="268" t="n"/>
      <c r="CA221" s="267" t="n"/>
      <c r="CB221" s="267" t="n"/>
      <c r="CC221" s="267" t="n"/>
      <c r="CD221" s="267" t="n"/>
      <c r="CE221" s="268" t="n"/>
      <c r="CF221" s="267" t="n"/>
      <c r="CG221" s="267" t="n"/>
      <c r="CH221" s="267" t="n"/>
      <c r="CI221" s="267" t="n"/>
      <c r="CJ221" s="268" t="n"/>
      <c r="CK221" s="267" t="n"/>
      <c r="CL221" s="267" t="n"/>
      <c r="CM221" s="267" t="n"/>
      <c r="CN221" s="267" t="n"/>
      <c r="CO221" s="268" t="n"/>
      <c r="CP221" s="267" t="n"/>
      <c r="CQ221" s="267" t="n"/>
      <c r="CR221" s="267" t="n"/>
      <c r="CS221" s="267" t="n"/>
      <c r="CT221" s="268" t="n"/>
      <c r="CU221" s="267" t="n"/>
      <c r="CV221" s="267" t="n"/>
      <c r="CW221" s="267" t="n"/>
      <c r="CX221" s="267" t="n"/>
      <c r="CY221" s="268" t="n"/>
    </row>
    <row r="222" hidden="1" outlineLevel="1" ht="12.75" customHeight="1" s="255">
      <c r="C222" s="312" t="n"/>
      <c r="D222" s="268" t="n"/>
      <c r="E222" s="268" t="n"/>
      <c r="F222" s="268" t="n"/>
      <c r="G222" s="268" t="n"/>
      <c r="H222" s="268" t="n"/>
      <c r="I222" s="268" t="n"/>
      <c r="J222" s="268" t="n"/>
      <c r="K222" s="268" t="n"/>
      <c r="L222" s="268" t="n"/>
      <c r="M222" s="268" t="n"/>
      <c r="N222" s="268" t="n"/>
      <c r="O222" s="268" t="n"/>
      <c r="P222" s="268" t="n"/>
      <c r="Q222" s="268" t="n"/>
      <c r="R222" s="268" t="n"/>
      <c r="S222" s="268" t="n"/>
      <c r="T222" s="268" t="n"/>
      <c r="U222" s="268" t="n"/>
      <c r="V222" s="268" t="n"/>
      <c r="W222" s="268" t="n"/>
      <c r="X222" s="268" t="n"/>
      <c r="Y222" s="268" t="n"/>
      <c r="Z222" s="268" t="n"/>
      <c r="AA222" s="268" t="n"/>
      <c r="AB222" s="268" t="n"/>
      <c r="AC222" s="268" t="n"/>
      <c r="AD222" s="268" t="n"/>
      <c r="AE222" s="268" t="n"/>
      <c r="AF222" s="268" t="n"/>
      <c r="AG222" s="268" t="n"/>
      <c r="AH222" s="268" t="n"/>
      <c r="AI222" s="268" t="n"/>
      <c r="AJ222" s="268" t="n"/>
      <c r="AK222" s="268" t="n"/>
      <c r="AL222" s="268" t="n"/>
      <c r="AM222" s="268" t="n"/>
      <c r="AN222" s="268" t="n"/>
      <c r="AO222" s="268" t="n"/>
      <c r="AP222" s="268" t="n"/>
      <c r="AQ222" s="268" t="n"/>
      <c r="AR222" s="268" t="n"/>
      <c r="AS222" s="268" t="n"/>
      <c r="AT222" s="268" t="n"/>
      <c r="AU222" s="268" t="n"/>
      <c r="AV222" s="268" t="n"/>
      <c r="AW222" s="268" t="n"/>
      <c r="AX222" s="268" t="n"/>
      <c r="AY222" s="268" t="n"/>
      <c r="AZ222" s="268" t="n"/>
      <c r="BA222" s="268" t="n"/>
      <c r="BB222" s="268" t="n"/>
      <c r="BC222" s="268" t="n"/>
      <c r="BD222" s="268" t="n"/>
      <c r="BE222" s="268" t="n"/>
      <c r="BF222" s="268" t="n"/>
      <c r="BG222" s="268" t="n"/>
      <c r="BH222" s="268" t="n"/>
      <c r="BI222" s="268" t="n"/>
      <c r="BJ222" s="268" t="n"/>
      <c r="BK222" s="268" t="n"/>
      <c r="BL222" s="268" t="n"/>
      <c r="BM222" s="268" t="n"/>
      <c r="BN222" s="268" t="n"/>
      <c r="BO222" s="268" t="n"/>
      <c r="BP222" s="268" t="n"/>
      <c r="BQ222" s="268" t="n"/>
      <c r="BR222" s="268" t="n"/>
      <c r="BS222" s="268" t="n"/>
      <c r="BT222" s="268" t="n"/>
      <c r="BU222" s="268" t="n"/>
      <c r="BV222" s="268" t="n"/>
      <c r="BW222" s="268" t="n"/>
      <c r="BX222" s="268" t="n"/>
      <c r="BY222" s="268" t="n"/>
      <c r="BZ222" s="268" t="n"/>
      <c r="CA222" s="268" t="n"/>
      <c r="CB222" s="268" t="n"/>
      <c r="CC222" s="268" t="n"/>
      <c r="CD222" s="268" t="n"/>
      <c r="CE222" s="268" t="n"/>
      <c r="CF222" s="268" t="n"/>
      <c r="CG222" s="268" t="n"/>
      <c r="CH222" s="268" t="n"/>
      <c r="CI222" s="268" t="n"/>
      <c r="CJ222" s="268" t="n"/>
      <c r="CK222" s="268" t="n"/>
      <c r="CL222" s="268" t="n"/>
      <c r="CM222" s="268" t="n"/>
      <c r="CN222" s="268" t="n"/>
      <c r="CO222" s="268" t="n"/>
      <c r="CP222" s="268" t="n"/>
      <c r="CQ222" s="268" t="n"/>
      <c r="CR222" s="268" t="n"/>
      <c r="CS222" s="268" t="n"/>
      <c r="CT222" s="268" t="n"/>
      <c r="CU222" s="268" t="n"/>
      <c r="CV222" s="268" t="n"/>
      <c r="CW222" s="268" t="n"/>
      <c r="CX222" s="268" t="n"/>
      <c r="CY222" s="268" t="n"/>
    </row>
    <row r="223" ht="12.75" customHeight="1" s="255">
      <c r="C223" s="270" t="inlineStr">
        <is>
          <t>Convertible debt</t>
        </is>
      </c>
      <c r="D223" s="301">
        <f>INDEX('Inputs (2)'!$D$37:$AL$37,MATCH(D$7,'Inputs (2)'!$D$2:$AL$2,0))</f>
        <v>0</v>
      </c>
      <c r="E223" s="301">
        <f>INDEX('Inputs (2)'!$D$37:$AL$37,MATCH(E$7,'Inputs (2)'!$D$2:$AL$2,0))</f>
        <v>0</v>
      </c>
      <c r="F223" s="301">
        <f>INDEX('Inputs (2)'!$D$37:$AL$37,MATCH(F$7,'Inputs (2)'!$D$2:$AL$2,0))</f>
        <v>0</v>
      </c>
      <c r="G223" s="301">
        <f>INDEX('Inputs (2)'!$D$37:$AL$37,MATCH(G$7,'Inputs (2)'!$D$2:$AL$2,0))</f>
        <v>0</v>
      </c>
      <c r="H223" s="268">
        <f>G223</f>
        <v>0</v>
      </c>
      <c r="I223" s="301">
        <f>INDEX('Inputs (2)'!$D$37:$AL$37,MATCH(I$7,'Inputs (2)'!$D$2:$AL$2,0))</f>
        <v>0</v>
      </c>
      <c r="J223" s="301">
        <f>INDEX('Inputs (2)'!$D$37:$AL$37,MATCH(J$7,'Inputs (2)'!$D$2:$AL$2,0))</f>
        <v>0</v>
      </c>
      <c r="K223" s="301">
        <f>INDEX('Inputs (2)'!$D$37:$AL$37,MATCH(K$7,'Inputs (2)'!$D$2:$AL$2,0))</f>
        <v>0</v>
      </c>
      <c r="L223" s="301">
        <f>INDEX('Inputs (2)'!$D$37:$AL$37,MATCH(L$7,'Inputs (2)'!$D$2:$AL$2,0))</f>
        <v>0</v>
      </c>
      <c r="M223" s="268">
        <f>L223</f>
        <v>0</v>
      </c>
      <c r="N223" s="301">
        <f>INDEX('Inputs (2)'!$D$37:$AL$37,MATCH(N$7,'Inputs (2)'!$D$2:$AL$2,0))</f>
        <v>0</v>
      </c>
      <c r="O223" s="301">
        <f>INDEX('Inputs (2)'!$D$37:$AL$37,MATCH(O$7,'Inputs (2)'!$D$2:$AL$2,0))</f>
        <v>0</v>
      </c>
      <c r="P223" s="301">
        <f>INDEX('Inputs (2)'!$D$37:$AL$37,MATCH(P$7,'Inputs (2)'!$D$2:$AL$2,0))</f>
        <v>0</v>
      </c>
      <c r="Q223" s="301">
        <f>INDEX('Inputs (2)'!$D$37:$AL$37,MATCH(Q$7,'Inputs (2)'!$D$2:$AL$2,0))</f>
        <v>0</v>
      </c>
      <c r="R223" s="268">
        <f>Q223</f>
        <v>0</v>
      </c>
      <c r="S223" s="301">
        <f>INDEX('Inputs (2)'!$D$37:$AL$37,MATCH(S$7,'Inputs (2)'!$D$2:$AL$2,0))</f>
        <v>0</v>
      </c>
      <c r="T223" s="301">
        <f>INDEX('Inputs (2)'!$D$37:$AL$37,MATCH(T$7,'Inputs (2)'!$D$2:$AL$2,0))</f>
        <v>0</v>
      </c>
      <c r="U223" s="301">
        <f>INDEX('Inputs (2)'!$D$37:$AL$37,MATCH(U$7,'Inputs (2)'!$D$2:$AL$2,0))</f>
        <v>0</v>
      </c>
      <c r="V223" s="301">
        <f>INDEX('Inputs (2)'!$D$37:$AL$37,MATCH(V$7,'Inputs (2)'!$D$2:$AL$2,0))</f>
        <v>0</v>
      </c>
      <c r="W223" s="268">
        <f>V223</f>
        <v>0</v>
      </c>
      <c r="X223" s="301">
        <f>INDEX('Inputs (2)'!$D$37:$AL$37,MATCH(X$7,'Inputs (2)'!$D$2:$AL$2,0))</f>
        <v>0</v>
      </c>
      <c r="Y223" s="301">
        <f>INDEX('Inputs (2)'!$D$37:$AL$37,MATCH(Y$7,'Inputs (2)'!$D$2:$AL$2,0))</f>
        <v>0</v>
      </c>
      <c r="Z223" s="301">
        <f>INDEX('Inputs (2)'!$D$37:$AL$37,MATCH(Z$7,'Inputs (2)'!$D$2:$AL$2,0))</f>
        <v>0</v>
      </c>
      <c r="AA223" s="301">
        <f>INDEX('Inputs (2)'!$D$37:$AL$37,MATCH(AA$7,'Inputs (2)'!$D$2:$AL$2,0))</f>
        <v>0</v>
      </c>
      <c r="AB223" s="268">
        <f>AA223</f>
        <v>0</v>
      </c>
      <c r="AC223" s="301">
        <f>INDEX('Inputs (2)'!$D$37:$AL$37,MATCH(AC$7,'Inputs (2)'!$D$2:$AL$2,0))</f>
        <v>0</v>
      </c>
      <c r="AD223" s="301">
        <f>INDEX('Inputs (2)'!$D$37:$AL$37,MATCH(AD$7,'Inputs (2)'!$D$2:$AL$2,0))</f>
        <v>0</v>
      </c>
      <c r="AE223" s="301">
        <f>INDEX('Inputs (2)'!$D$37:$AL$37,MATCH(AE$7,'Inputs (2)'!$D$2:$AL$2,0))</f>
        <v>0</v>
      </c>
      <c r="AF223" s="301">
        <f>INDEX('Inputs (2)'!$D$37:$AL$37,MATCH(AF$7,'Inputs (2)'!$D$2:$AL$2,0))</f>
        <v>0</v>
      </c>
      <c r="AG223" s="268">
        <f>AF223</f>
        <v>0</v>
      </c>
      <c r="AH223" s="268">
        <f>INDEX('Inputs (2)'!$D$37:$AL$37,MATCH(AH$7,'Inputs (2)'!$D$2:$AL$2,0))</f>
        <v>0</v>
      </c>
      <c r="AI223" s="268">
        <f>INDEX('Inputs (2)'!$D$37:$AL$37,MATCH(AI$7,'Inputs (2)'!$D$2:$AL$2,0))</f>
        <v>0</v>
      </c>
      <c r="AJ223" s="268">
        <f>AI223</f>
        <v>0</v>
      </c>
      <c r="AK223" s="268">
        <f>AJ223</f>
        <v>0</v>
      </c>
      <c r="AL223" s="268">
        <f>AK223</f>
        <v>0</v>
      </c>
      <c r="AM223" s="268">
        <f>AL223</f>
        <v>0</v>
      </c>
      <c r="AN223" s="268">
        <f>AM223</f>
        <v>0</v>
      </c>
      <c r="AO223" s="268">
        <f>AN223</f>
        <v>0</v>
      </c>
      <c r="AP223" s="268">
        <f>AO223</f>
        <v>0</v>
      </c>
      <c r="AQ223" s="268">
        <f>AP223</f>
        <v>0</v>
      </c>
      <c r="AR223" s="268">
        <f>AQ223</f>
        <v>0</v>
      </c>
      <c r="AS223" s="268">
        <f>AR223</f>
        <v>0</v>
      </c>
      <c r="AT223" s="268">
        <f>AS223</f>
        <v>0</v>
      </c>
      <c r="AU223" s="268">
        <f>AT223</f>
        <v>0</v>
      </c>
      <c r="AV223" s="268">
        <f>AU223</f>
        <v>0</v>
      </c>
      <c r="AW223" s="268">
        <f>AV223</f>
        <v>0</v>
      </c>
      <c r="AX223" s="268">
        <f>AW223</f>
        <v>0</v>
      </c>
      <c r="AY223" s="268">
        <f>AX223</f>
        <v>0</v>
      </c>
      <c r="AZ223" s="268">
        <f>AY223</f>
        <v>0</v>
      </c>
      <c r="BA223" s="268">
        <f>AZ223</f>
        <v>0</v>
      </c>
      <c r="BB223" s="268">
        <f>BA223</f>
        <v>0</v>
      </c>
      <c r="BC223" s="268">
        <f>BB223</f>
        <v>0</v>
      </c>
      <c r="BD223" s="268">
        <f>BC223</f>
        <v>0</v>
      </c>
      <c r="BE223" s="268">
        <f>BD223</f>
        <v>0</v>
      </c>
      <c r="BF223" s="268">
        <f>BE223</f>
        <v>0</v>
      </c>
      <c r="BG223" s="268">
        <f>BF223</f>
        <v>0</v>
      </c>
      <c r="BH223" s="268">
        <f>BG223</f>
        <v>0</v>
      </c>
      <c r="BI223" s="268">
        <f>BH223</f>
        <v>0</v>
      </c>
      <c r="BJ223" s="268">
        <f>BI223</f>
        <v>0</v>
      </c>
      <c r="BK223" s="268">
        <f>BJ223</f>
        <v>0</v>
      </c>
      <c r="BL223" s="268">
        <f>BK223</f>
        <v>0</v>
      </c>
      <c r="BM223" s="268">
        <f>BL223</f>
        <v>0</v>
      </c>
      <c r="BN223" s="268">
        <f>BM223</f>
        <v>0</v>
      </c>
      <c r="BO223" s="268">
        <f>BN223</f>
        <v>0</v>
      </c>
      <c r="BP223" s="268">
        <f>BO223</f>
        <v>0</v>
      </c>
      <c r="BQ223" s="268">
        <f>BP223</f>
        <v>0</v>
      </c>
      <c r="BR223" s="268">
        <f>BQ223</f>
        <v>0</v>
      </c>
      <c r="BS223" s="268">
        <f>BR223</f>
        <v>0</v>
      </c>
      <c r="BT223" s="268">
        <f>BS223</f>
        <v>0</v>
      </c>
      <c r="BU223" s="268">
        <f>BT223</f>
        <v>0</v>
      </c>
      <c r="BV223" s="268">
        <f>BU223</f>
        <v>0</v>
      </c>
      <c r="BW223" s="268">
        <f>BV223</f>
        <v>0</v>
      </c>
      <c r="BX223" s="268">
        <f>BW223</f>
        <v>0</v>
      </c>
      <c r="BY223" s="268">
        <f>BX223</f>
        <v>0</v>
      </c>
      <c r="BZ223" s="268">
        <f>BY223</f>
        <v>0</v>
      </c>
      <c r="CA223" s="268">
        <f>BZ223</f>
        <v>0</v>
      </c>
      <c r="CB223" s="268">
        <f>CA223</f>
        <v>0</v>
      </c>
      <c r="CC223" s="268">
        <f>CB223</f>
        <v>0</v>
      </c>
      <c r="CD223" s="268">
        <f>CC223</f>
        <v>0</v>
      </c>
      <c r="CE223" s="268">
        <f>CD223</f>
        <v>0</v>
      </c>
      <c r="CF223" s="268">
        <f>CE223</f>
        <v>0</v>
      </c>
      <c r="CG223" s="268">
        <f>CF223</f>
        <v>0</v>
      </c>
      <c r="CH223" s="268">
        <f>CG223</f>
        <v>0</v>
      </c>
      <c r="CI223" s="268">
        <f>CH223</f>
        <v>0</v>
      </c>
      <c r="CJ223" s="268">
        <f>CI223</f>
        <v>0</v>
      </c>
      <c r="CK223" s="268">
        <f>CJ223</f>
        <v>0</v>
      </c>
      <c r="CL223" s="268">
        <f>CK223</f>
        <v>0</v>
      </c>
      <c r="CM223" s="268">
        <f>CL223</f>
        <v>0</v>
      </c>
      <c r="CN223" s="268">
        <f>CM223</f>
        <v>0</v>
      </c>
      <c r="CO223" s="268">
        <f>CN223</f>
        <v>0</v>
      </c>
      <c r="CP223" s="268">
        <f>CO223</f>
        <v>0</v>
      </c>
      <c r="CQ223" s="268">
        <f>CP223</f>
        <v>0</v>
      </c>
      <c r="CR223" s="268">
        <f>CQ223</f>
        <v>0</v>
      </c>
      <c r="CS223" s="268">
        <f>CR223</f>
        <v>0</v>
      </c>
      <c r="CT223" s="268">
        <f>CS223</f>
        <v>0</v>
      </c>
      <c r="CU223" s="268">
        <f>CT223</f>
        <v>0</v>
      </c>
      <c r="CV223" s="268">
        <f>CU223</f>
        <v>0</v>
      </c>
      <c r="CW223" s="268">
        <f>CV223</f>
        <v>0</v>
      </c>
      <c r="CX223" s="268">
        <f>CW223</f>
        <v>0</v>
      </c>
      <c r="CY223" s="268">
        <f>CX223</f>
        <v>0</v>
      </c>
    </row>
    <row r="224" ht="12.75" customHeight="1" s="255">
      <c r="C224" s="270" t="inlineStr">
        <is>
          <t>Deferred income taxes</t>
        </is>
      </c>
      <c r="D224" s="301">
        <f>INDEX('Inputs (2)'!$D$38:$AL$38,MATCH(D$7,'Inputs (2)'!$D$2:$AL$2,0))</f>
        <v>0</v>
      </c>
      <c r="E224" s="301">
        <f>INDEX('Inputs (2)'!$D$38:$AL$38,MATCH(E$7,'Inputs (2)'!$D$2:$AL$2,0))</f>
        <v>0</v>
      </c>
      <c r="F224" s="301">
        <f>INDEX('Inputs (2)'!$D$38:$AL$38,MATCH(F$7,'Inputs (2)'!$D$2:$AL$2,0))</f>
        <v>0</v>
      </c>
      <c r="G224" s="301">
        <f>INDEX('Inputs (2)'!$D$38:$AL$38,MATCH(G$7,'Inputs (2)'!$D$2:$AL$2,0))</f>
        <v>0</v>
      </c>
      <c r="H224" s="268">
        <f>G224</f>
        <v>0</v>
      </c>
      <c r="I224" s="301">
        <f>INDEX('Inputs (2)'!$D$38:$AL$38,MATCH(I$7,'Inputs (2)'!$D$2:$AL$2,0))</f>
        <v>0</v>
      </c>
      <c r="J224" s="301">
        <f>INDEX('Inputs (2)'!$D$38:$AL$38,MATCH(J$7,'Inputs (2)'!$D$2:$AL$2,0))</f>
        <v>0</v>
      </c>
      <c r="K224" s="301">
        <f>INDEX('Inputs (2)'!$D$38:$AL$38,MATCH(K$7,'Inputs (2)'!$D$2:$AL$2,0))</f>
        <v>0</v>
      </c>
      <c r="L224" s="301">
        <f>INDEX('Inputs (2)'!$D$38:$AL$38,MATCH(L$7,'Inputs (2)'!$D$2:$AL$2,0))</f>
        <v>0</v>
      </c>
      <c r="M224" s="268">
        <f>L224</f>
        <v>0</v>
      </c>
      <c r="N224" s="301">
        <f>INDEX('Inputs (2)'!$D$38:$AL$38,MATCH(N$7,'Inputs (2)'!$D$2:$AL$2,0))</f>
        <v>0</v>
      </c>
      <c r="O224" s="301">
        <f>INDEX('Inputs (2)'!$D$38:$AL$38,MATCH(O$7,'Inputs (2)'!$D$2:$AL$2,0))</f>
        <v>0</v>
      </c>
      <c r="P224" s="301">
        <f>INDEX('Inputs (2)'!$D$38:$AL$38,MATCH(P$7,'Inputs (2)'!$D$2:$AL$2,0))</f>
        <v>0</v>
      </c>
      <c r="Q224" s="301">
        <f>INDEX('Inputs (2)'!$D$38:$AL$38,MATCH(Q$7,'Inputs (2)'!$D$2:$AL$2,0))</f>
        <v>0</v>
      </c>
      <c r="R224" s="268">
        <f>Q224</f>
        <v>0</v>
      </c>
      <c r="S224" s="301">
        <f>INDEX('Inputs (2)'!$D$38:$AL$38,MATCH(S$7,'Inputs (2)'!$D$2:$AL$2,0))</f>
        <v>0</v>
      </c>
      <c r="T224" s="301">
        <f>INDEX('Inputs (2)'!$D$38:$AL$38,MATCH(T$7,'Inputs (2)'!$D$2:$AL$2,0))</f>
        <v>0</v>
      </c>
      <c r="U224" s="301">
        <f>INDEX('Inputs (2)'!$D$38:$AL$38,MATCH(U$7,'Inputs (2)'!$D$2:$AL$2,0))</f>
        <v>0</v>
      </c>
      <c r="V224" s="301">
        <f>INDEX('Inputs (2)'!$D$38:$AL$38,MATCH(V$7,'Inputs (2)'!$D$2:$AL$2,0))</f>
        <v>0</v>
      </c>
      <c r="W224" s="268">
        <f>V224</f>
        <v>0</v>
      </c>
      <c r="X224" s="301">
        <f>INDEX('Inputs (2)'!$D$38:$AL$38,MATCH(X$7,'Inputs (2)'!$D$2:$AL$2,0))</f>
        <v>0</v>
      </c>
      <c r="Y224" s="301">
        <f>INDEX('Inputs (2)'!$D$38:$AL$38,MATCH(Y$7,'Inputs (2)'!$D$2:$AL$2,0))</f>
        <v>0</v>
      </c>
      <c r="Z224" s="301">
        <f>INDEX('Inputs (2)'!$D$38:$AL$38,MATCH(Z$7,'Inputs (2)'!$D$2:$AL$2,0))</f>
        <v>0</v>
      </c>
      <c r="AA224" s="301">
        <f>INDEX('Inputs (2)'!$D$38:$AL$38,MATCH(AA$7,'Inputs (2)'!$D$2:$AL$2,0))</f>
        <v>0</v>
      </c>
      <c r="AB224" s="268">
        <f>AA224</f>
        <v>0</v>
      </c>
      <c r="AC224" s="301">
        <f>INDEX('Inputs (2)'!$D$38:$AL$38,MATCH(AC$7,'Inputs (2)'!$D$2:$AL$2,0))</f>
        <v>0</v>
      </c>
      <c r="AD224" s="301">
        <f>INDEX('Inputs (2)'!$D$38:$AL$38,MATCH(AD$7,'Inputs (2)'!$D$2:$AL$2,0))</f>
        <v>0</v>
      </c>
      <c r="AE224" s="301">
        <f>INDEX('Inputs (2)'!$D$38:$AL$38,MATCH(AE$7,'Inputs (2)'!$D$2:$AL$2,0))</f>
        <v>0</v>
      </c>
      <c r="AF224" s="301">
        <f>INDEX('Inputs (2)'!$D$38:$AL$38,MATCH(AF$7,'Inputs (2)'!$D$2:$AL$2,0))</f>
        <v>0</v>
      </c>
      <c r="AG224" s="268">
        <f>AF224</f>
        <v>0</v>
      </c>
      <c r="AH224" s="268">
        <f>INDEX('Inputs (2)'!$D$38:$AL$38,MATCH(AH$7,'Inputs (2)'!$D$2:$AL$2,0))</f>
        <v>0</v>
      </c>
      <c r="AI224" s="268">
        <f>INDEX('Inputs (2)'!$D$38:$AL$38,MATCH(AI$7,'Inputs (2)'!$D$2:$AL$2,0))</f>
        <v>0</v>
      </c>
      <c r="AJ224" s="268">
        <f>AI224</f>
        <v>0</v>
      </c>
      <c r="AK224" s="268">
        <f>AJ224</f>
        <v>0</v>
      </c>
      <c r="AL224" s="268">
        <f>AK224</f>
        <v>0</v>
      </c>
      <c r="AM224" s="268">
        <f>AL224</f>
        <v>0</v>
      </c>
      <c r="AN224" s="268">
        <f>AM224</f>
        <v>0</v>
      </c>
      <c r="AO224" s="268">
        <f>AN224</f>
        <v>0</v>
      </c>
      <c r="AP224" s="268">
        <f>AO224</f>
        <v>0</v>
      </c>
      <c r="AQ224" s="268">
        <f>AP224</f>
        <v>0</v>
      </c>
      <c r="AR224" s="268">
        <f>AQ224</f>
        <v>0</v>
      </c>
      <c r="AS224" s="268">
        <f>AR224</f>
        <v>0</v>
      </c>
      <c r="AT224" s="268">
        <f>AS224</f>
        <v>0</v>
      </c>
      <c r="AU224" s="268">
        <f>AT224</f>
        <v>0</v>
      </c>
      <c r="AV224" s="268">
        <f>AU224</f>
        <v>0</v>
      </c>
      <c r="AW224" s="268">
        <f>AV224</f>
        <v>0</v>
      </c>
      <c r="AX224" s="268">
        <f>AW224</f>
        <v>0</v>
      </c>
      <c r="AY224" s="268">
        <f>AX224</f>
        <v>0</v>
      </c>
      <c r="AZ224" s="268">
        <f>AY224</f>
        <v>0</v>
      </c>
      <c r="BA224" s="268">
        <f>AZ224</f>
        <v>0</v>
      </c>
      <c r="BB224" s="268">
        <f>BA224</f>
        <v>0</v>
      </c>
      <c r="BC224" s="268">
        <f>BB224</f>
        <v>0</v>
      </c>
      <c r="BD224" s="268">
        <f>BC224</f>
        <v>0</v>
      </c>
      <c r="BE224" s="268">
        <f>BD224</f>
        <v>0</v>
      </c>
      <c r="BF224" s="268">
        <f>BE224</f>
        <v>0</v>
      </c>
      <c r="BG224" s="268">
        <f>BF224</f>
        <v>0</v>
      </c>
      <c r="BH224" s="268">
        <f>BG224</f>
        <v>0</v>
      </c>
      <c r="BI224" s="268">
        <f>BH224</f>
        <v>0</v>
      </c>
      <c r="BJ224" s="268">
        <f>BI224</f>
        <v>0</v>
      </c>
      <c r="BK224" s="268">
        <f>BJ224</f>
        <v>0</v>
      </c>
      <c r="BL224" s="268">
        <f>BK224</f>
        <v>0</v>
      </c>
      <c r="BM224" s="268">
        <f>BL224</f>
        <v>0</v>
      </c>
      <c r="BN224" s="268">
        <f>BM224</f>
        <v>0</v>
      </c>
      <c r="BO224" s="268">
        <f>BN224</f>
        <v>0</v>
      </c>
      <c r="BP224" s="268">
        <f>BO224</f>
        <v>0</v>
      </c>
      <c r="BQ224" s="268">
        <f>BP224</f>
        <v>0</v>
      </c>
      <c r="BR224" s="268">
        <f>BQ224</f>
        <v>0</v>
      </c>
      <c r="BS224" s="268">
        <f>BR224</f>
        <v>0</v>
      </c>
      <c r="BT224" s="268">
        <f>BS224</f>
        <v>0</v>
      </c>
      <c r="BU224" s="268">
        <f>BT224</f>
        <v>0</v>
      </c>
      <c r="BV224" s="268">
        <f>BU224</f>
        <v>0</v>
      </c>
      <c r="BW224" s="268">
        <f>BV224</f>
        <v>0</v>
      </c>
      <c r="BX224" s="268">
        <f>BW224</f>
        <v>0</v>
      </c>
      <c r="BY224" s="268">
        <f>BX224</f>
        <v>0</v>
      </c>
      <c r="BZ224" s="268">
        <f>BY224</f>
        <v>0</v>
      </c>
      <c r="CA224" s="268">
        <f>BZ224</f>
        <v>0</v>
      </c>
      <c r="CB224" s="268">
        <f>CA224</f>
        <v>0</v>
      </c>
      <c r="CC224" s="268">
        <f>CB224</f>
        <v>0</v>
      </c>
      <c r="CD224" s="268">
        <f>CC224</f>
        <v>0</v>
      </c>
      <c r="CE224" s="268">
        <f>CD224</f>
        <v>0</v>
      </c>
      <c r="CF224" s="268">
        <f>CE224</f>
        <v>0</v>
      </c>
      <c r="CG224" s="268">
        <f>CF224</f>
        <v>0</v>
      </c>
      <c r="CH224" s="268">
        <f>CG224</f>
        <v>0</v>
      </c>
      <c r="CI224" s="268">
        <f>CH224</f>
        <v>0</v>
      </c>
      <c r="CJ224" s="268">
        <f>CI224</f>
        <v>0</v>
      </c>
      <c r="CK224" s="268">
        <f>CJ224</f>
        <v>0</v>
      </c>
      <c r="CL224" s="268">
        <f>CK224</f>
        <v>0</v>
      </c>
      <c r="CM224" s="268">
        <f>CL224</f>
        <v>0</v>
      </c>
      <c r="CN224" s="268">
        <f>CM224</f>
        <v>0</v>
      </c>
      <c r="CO224" s="268">
        <f>CN224</f>
        <v>0</v>
      </c>
      <c r="CP224" s="268">
        <f>CO224</f>
        <v>0</v>
      </c>
      <c r="CQ224" s="268">
        <f>CP224</f>
        <v>0</v>
      </c>
      <c r="CR224" s="268">
        <f>CQ224</f>
        <v>0</v>
      </c>
      <c r="CS224" s="268">
        <f>CR224</f>
        <v>0</v>
      </c>
      <c r="CT224" s="268">
        <f>CS224</f>
        <v>0</v>
      </c>
      <c r="CU224" s="268">
        <f>CT224</f>
        <v>0</v>
      </c>
      <c r="CV224" s="268">
        <f>CU224</f>
        <v>0</v>
      </c>
      <c r="CW224" s="268">
        <f>CV224</f>
        <v>0</v>
      </c>
      <c r="CX224" s="268">
        <f>CW224</f>
        <v>0</v>
      </c>
      <c r="CY224" s="268">
        <f>CX224</f>
        <v>0</v>
      </c>
    </row>
    <row r="225" ht="12.75" customHeight="1" s="255">
      <c r="C225" s="270" t="inlineStr">
        <is>
          <t>Other non-current liabilities</t>
        </is>
      </c>
      <c r="D225" s="301">
        <f>INDEX('Inputs (2)'!$D$39:$AL$39,MATCH(D$7,'Inputs (2)'!$D$2:$AL$2,0))</f>
        <v>1543</v>
      </c>
      <c r="E225" s="301">
        <f>INDEX('Inputs (2)'!$D$39:$AL$39,MATCH(E$7,'Inputs (2)'!$D$2:$AL$2,0))</f>
        <v>1617</v>
      </c>
      <c r="F225" s="301">
        <f>INDEX('Inputs (2)'!$D$39:$AL$39,MATCH(F$7,'Inputs (2)'!$D$2:$AL$2,0))</f>
        <v>1935</v>
      </c>
      <c r="G225" s="301">
        <f>INDEX('Inputs (2)'!$D$39:$AL$39,MATCH(G$7,'Inputs (2)'!$D$2:$AL$2,0))</f>
        <v>2138</v>
      </c>
      <c r="H225" s="268">
        <f>G225</f>
        <v>2138</v>
      </c>
      <c r="I225" s="301">
        <f>INDEX('Inputs (2)'!$D$39:$AL$39,MATCH(I$7,'Inputs (2)'!$D$2:$AL$2,0))</f>
        <v>2052</v>
      </c>
      <c r="J225" s="301">
        <f>INDEX('Inputs (2)'!$D$39:$AL$39,MATCH(J$7,'Inputs (2)'!$D$2:$AL$2,0))</f>
        <v>2182</v>
      </c>
      <c r="K225" s="301">
        <f>INDEX('Inputs (2)'!$D$39:$AL$39,MATCH(K$7,'Inputs (2)'!$D$2:$AL$2,0))</f>
        <v>2415</v>
      </c>
      <c r="L225" s="301">
        <f>INDEX('Inputs (2)'!$D$39:$AL$39,MATCH(L$7,'Inputs (2)'!$D$2:$AL$2,0))</f>
        <v>2491</v>
      </c>
      <c r="M225" s="268">
        <f>L225</f>
        <v>2491</v>
      </c>
      <c r="N225" s="301">
        <f>INDEX('Inputs (2)'!$D$39:$AL$39,MATCH(N$7,'Inputs (2)'!$D$2:$AL$2,0))</f>
        <v>2311</v>
      </c>
      <c r="O225" s="301">
        <f>INDEX('Inputs (2)'!$D$39:$AL$39,MATCH(O$7,'Inputs (2)'!$D$2:$AL$2,0))</f>
        <v>2535</v>
      </c>
      <c r="P225" s="301">
        <f>INDEX('Inputs (2)'!$D$39:$AL$39,MATCH(P$7,'Inputs (2)'!$D$2:$AL$2,0))</f>
        <v>2555</v>
      </c>
      <c r="Q225" s="301">
        <f>INDEX('Inputs (2)'!$D$39:$AL$39,MATCH(Q$7,'Inputs (2)'!$D$2:$AL$2,0))</f>
        <v>2509</v>
      </c>
      <c r="R225" s="268">
        <f>Q225</f>
        <v>2509</v>
      </c>
      <c r="S225" s="301">
        <f>INDEX('Inputs (2)'!$D$39:$AL$39,MATCH(S$7,'Inputs (2)'!$D$2:$AL$2,0))</f>
        <v>2470</v>
      </c>
      <c r="T225" s="301">
        <f>INDEX('Inputs (2)'!$D$39:$AL$39,MATCH(T$7,'Inputs (2)'!$D$2:$AL$2,0))</f>
        <v>2467</v>
      </c>
      <c r="U225" s="301">
        <f>INDEX('Inputs (2)'!$D$39:$AL$39,MATCH(U$7,'Inputs (2)'!$D$2:$AL$2,0))</f>
        <v>2550</v>
      </c>
      <c r="V225" s="301">
        <f>INDEX('Inputs (2)'!$D$39:$AL$39,MATCH(V$7,'Inputs (2)'!$D$2:$AL$2,0))</f>
        <v>2541</v>
      </c>
      <c r="W225" s="268">
        <f>V225</f>
        <v>2541</v>
      </c>
      <c r="X225" s="301">
        <f>INDEX('Inputs (2)'!$D$39:$AL$39,MATCH(X$7,'Inputs (2)'!$D$2:$AL$2,0))</f>
        <v>2522</v>
      </c>
      <c r="Y225" s="301">
        <f>INDEX('Inputs (2)'!$D$39:$AL$39,MATCH(Y$7,'Inputs (2)'!$D$2:$AL$2,0))</f>
        <v>2559</v>
      </c>
      <c r="Z225" s="301">
        <f>INDEX('Inputs (2)'!$D$39:$AL$39,MATCH(Z$7,'Inputs (2)'!$D$2:$AL$2,0))</f>
        <v>2576</v>
      </c>
      <c r="AA225" s="301">
        <f>INDEX('Inputs (2)'!$D$39:$AL$39,MATCH(AA$7,'Inputs (2)'!$D$2:$AL$2,0))</f>
        <v>2613</v>
      </c>
      <c r="AB225" s="268">
        <f>AA225</f>
        <v>2613</v>
      </c>
      <c r="AC225" s="301">
        <f>INDEX('Inputs (2)'!$D$39:$AL$39,MATCH(AC$7,'Inputs (2)'!$D$2:$AL$2,0))</f>
        <v>2609</v>
      </c>
      <c r="AD225" s="301">
        <f>INDEX('Inputs (2)'!$D$39:$AL$39,MATCH(AD$7,'Inputs (2)'!$D$2:$AL$2,0))</f>
        <v>2598</v>
      </c>
      <c r="AE225" s="301">
        <f>INDEX('Inputs (2)'!$D$39:$AL$39,MATCH(AE$7,'Inputs (2)'!$D$2:$AL$2,0))</f>
        <v>2654</v>
      </c>
      <c r="AF225" s="301">
        <f>INDEX('Inputs (2)'!$D$39:$AL$39,MATCH(AF$7,'Inputs (2)'!$D$2:$AL$2,0))</f>
        <v>2580</v>
      </c>
      <c r="AG225" s="268">
        <f>AF225</f>
        <v>2580</v>
      </c>
      <c r="AH225" s="268">
        <f>INDEX('Inputs (2)'!$D$39:$AL$39,MATCH(AH$7,'Inputs (2)'!$D$2:$AL$2,0))</f>
        <v>2624</v>
      </c>
      <c r="AI225" s="268">
        <f>INDEX('Inputs (2)'!$D$39:$AL$39,MATCH(AI$7,'Inputs (2)'!$D$2:$AL$2,0))</f>
        <v>2660</v>
      </c>
      <c r="AJ225" s="268">
        <f>AI225</f>
        <v>2660</v>
      </c>
      <c r="AK225" s="268">
        <f>AJ225</f>
        <v>2660</v>
      </c>
      <c r="AL225" s="268">
        <f>AK225</f>
        <v>2660</v>
      </c>
      <c r="AM225" s="268">
        <f>AL225</f>
        <v>2660</v>
      </c>
      <c r="AN225" s="268">
        <f>AM225</f>
        <v>2660</v>
      </c>
      <c r="AO225" s="268">
        <f>AN225</f>
        <v>2660</v>
      </c>
      <c r="AP225" s="268">
        <f>AO225</f>
        <v>2660</v>
      </c>
      <c r="AQ225" s="268">
        <f>AP225</f>
        <v>2660</v>
      </c>
      <c r="AR225" s="268">
        <f>AQ225</f>
        <v>2660</v>
      </c>
      <c r="AS225" s="268">
        <f>AR225</f>
        <v>2660</v>
      </c>
      <c r="AT225" s="268">
        <f>AS225</f>
        <v>2660</v>
      </c>
      <c r="AU225" s="268">
        <f>AT225</f>
        <v>2660</v>
      </c>
      <c r="AV225" s="268">
        <f>AU225</f>
        <v>2660</v>
      </c>
      <c r="AW225" s="268">
        <f>AV225</f>
        <v>2660</v>
      </c>
      <c r="AX225" s="268">
        <f>AW225</f>
        <v>2660</v>
      </c>
      <c r="AY225" s="268">
        <f>AX225</f>
        <v>2660</v>
      </c>
      <c r="AZ225" s="268">
        <f>AY225</f>
        <v>2660</v>
      </c>
      <c r="BA225" s="268">
        <f>AZ225</f>
        <v>2660</v>
      </c>
      <c r="BB225" s="268">
        <f>BA225</f>
        <v>2660</v>
      </c>
      <c r="BC225" s="268">
        <f>BB225</f>
        <v>2660</v>
      </c>
      <c r="BD225" s="268">
        <f>BC225</f>
        <v>2660</v>
      </c>
      <c r="BE225" s="268">
        <f>BD225</f>
        <v>2660</v>
      </c>
      <c r="BF225" s="268">
        <f>BE225</f>
        <v>2660</v>
      </c>
      <c r="BG225" s="268">
        <f>BF225</f>
        <v>2660</v>
      </c>
      <c r="BH225" s="268">
        <f>BG225</f>
        <v>2660</v>
      </c>
      <c r="BI225" s="268">
        <f>BH225</f>
        <v>2660</v>
      </c>
      <c r="BJ225" s="268">
        <f>BI225</f>
        <v>2660</v>
      </c>
      <c r="BK225" s="268">
        <f>BJ225</f>
        <v>2660</v>
      </c>
      <c r="BL225" s="268">
        <f>BK225</f>
        <v>2660</v>
      </c>
      <c r="BM225" s="268">
        <f>BL225</f>
        <v>2660</v>
      </c>
      <c r="BN225" s="268">
        <f>BM225</f>
        <v>2660</v>
      </c>
      <c r="BO225" s="268">
        <f>BN225</f>
        <v>2660</v>
      </c>
      <c r="BP225" s="268">
        <f>BO225</f>
        <v>2660</v>
      </c>
      <c r="BQ225" s="268">
        <f>BP225</f>
        <v>2660</v>
      </c>
      <c r="BR225" s="268">
        <f>BQ225</f>
        <v>2660</v>
      </c>
      <c r="BS225" s="268">
        <f>BR225</f>
        <v>2660</v>
      </c>
      <c r="BT225" s="268">
        <f>BS225</f>
        <v>2660</v>
      </c>
      <c r="BU225" s="268">
        <f>BT225</f>
        <v>2660</v>
      </c>
      <c r="BV225" s="268">
        <f>BU225</f>
        <v>2660</v>
      </c>
      <c r="BW225" s="268">
        <f>BV225</f>
        <v>2660</v>
      </c>
      <c r="BX225" s="268">
        <f>BW225</f>
        <v>2660</v>
      </c>
      <c r="BY225" s="268">
        <f>BX225</f>
        <v>2660</v>
      </c>
      <c r="BZ225" s="268">
        <f>BY225</f>
        <v>2660</v>
      </c>
      <c r="CA225" s="268">
        <f>BZ225</f>
        <v>2660</v>
      </c>
      <c r="CB225" s="268">
        <f>CA225</f>
        <v>2660</v>
      </c>
      <c r="CC225" s="268">
        <f>CB225</f>
        <v>2660</v>
      </c>
      <c r="CD225" s="268">
        <f>CC225</f>
        <v>2660</v>
      </c>
      <c r="CE225" s="268">
        <f>CD225</f>
        <v>2660</v>
      </c>
      <c r="CF225" s="268">
        <f>CE225</f>
        <v>2660</v>
      </c>
      <c r="CG225" s="268">
        <f>CF225</f>
        <v>2660</v>
      </c>
      <c r="CH225" s="268">
        <f>CG225</f>
        <v>2660</v>
      </c>
      <c r="CI225" s="268">
        <f>CH225</f>
        <v>2660</v>
      </c>
      <c r="CJ225" s="268">
        <f>CI225</f>
        <v>2660</v>
      </c>
      <c r="CK225" s="268">
        <f>CJ225</f>
        <v>2660</v>
      </c>
      <c r="CL225" s="268">
        <f>CK225</f>
        <v>2660</v>
      </c>
      <c r="CM225" s="268">
        <f>CL225</f>
        <v>2660</v>
      </c>
      <c r="CN225" s="268">
        <f>CM225</f>
        <v>2660</v>
      </c>
      <c r="CO225" s="268">
        <f>CN225</f>
        <v>2660</v>
      </c>
      <c r="CP225" s="268">
        <f>CO225</f>
        <v>2660</v>
      </c>
      <c r="CQ225" s="268">
        <f>CP225</f>
        <v>2660</v>
      </c>
      <c r="CR225" s="268">
        <f>CQ225</f>
        <v>2660</v>
      </c>
      <c r="CS225" s="268">
        <f>CR225</f>
        <v>2660</v>
      </c>
      <c r="CT225" s="268">
        <f>CS225</f>
        <v>2660</v>
      </c>
      <c r="CU225" s="268">
        <f>CT225</f>
        <v>2660</v>
      </c>
      <c r="CV225" s="268">
        <f>CU225</f>
        <v>2660</v>
      </c>
      <c r="CW225" s="268">
        <f>CV225</f>
        <v>2660</v>
      </c>
      <c r="CX225" s="268">
        <f>CW225</f>
        <v>2660</v>
      </c>
      <c r="CY225" s="268">
        <f>CX225</f>
        <v>2660</v>
      </c>
    </row>
    <row r="226" hidden="1" outlineLevel="1" ht="12" customHeight="1" s="255">
      <c r="C226" s="314" t="inlineStr">
        <is>
          <t>%(Var.)</t>
        </is>
      </c>
      <c r="D226" s="268" t="n"/>
      <c r="E226" s="296">
        <f>(E225-D225)/D225</f>
        <v>0.0479585223590408</v>
      </c>
      <c r="F226" s="296">
        <f>(F225-E225)/E225</f>
        <v>0.196660482374768</v>
      </c>
      <c r="G226" s="296">
        <f>(G225-F225)/F225</f>
        <v>0.104909560723514</v>
      </c>
      <c r="H226" s="268" t="n"/>
      <c r="I226" s="296">
        <f>(I225-H225)/H225</f>
        <v>-0.0402245088868101</v>
      </c>
      <c r="J226" s="296">
        <f>(J225-I225)/I225</f>
        <v>0.0633528265107212</v>
      </c>
      <c r="K226" s="296">
        <f>(K225-J225)/J225</f>
        <v>0.106782768102658</v>
      </c>
      <c r="L226" s="296">
        <f>(L225-K225)/K225</f>
        <v>0.0314699792960663</v>
      </c>
      <c r="M226" s="268" t="n"/>
      <c r="N226" s="296">
        <f>(N225-M225)/M225</f>
        <v>-0.0722601364913689</v>
      </c>
      <c r="O226" s="296">
        <f>(O225-N225)/N225</f>
        <v>0.0969277369104284</v>
      </c>
      <c r="P226" s="296">
        <f>(P225-O225)/O225</f>
        <v>0.00788954635108481</v>
      </c>
      <c r="Q226" s="296">
        <f>(Q225-P225)/P225</f>
        <v>-0.0180039138943249</v>
      </c>
      <c r="R226" s="268" t="n"/>
      <c r="S226" s="296">
        <f>(S225-R225)/R225</f>
        <v>-0.0155440414507772</v>
      </c>
      <c r="T226" s="296">
        <f>(T225-S225)/S225</f>
        <v>-0.00121457489878543</v>
      </c>
      <c r="U226" s="296">
        <f>(U225-T225)/T225</f>
        <v>0.0336441021483583</v>
      </c>
      <c r="V226" s="296">
        <f>(V225-U225)/U225</f>
        <v>-0.00352941176470588</v>
      </c>
      <c r="W226" s="268" t="n"/>
      <c r="X226" s="296">
        <f>(X225-W225)/W225</f>
        <v>-0.00747737111373475</v>
      </c>
      <c r="Y226" s="296">
        <f>(Y225-X225)/X225</f>
        <v>0.0146708961141951</v>
      </c>
      <c r="Z226" s="296">
        <f>(Z225-Y225)/Y225</f>
        <v>0.00664322000781555</v>
      </c>
      <c r="AA226" s="296">
        <f>(AA225-Z225)/Z225</f>
        <v>0.0143633540372671</v>
      </c>
      <c r="AB226" s="268" t="n"/>
      <c r="AC226" s="296">
        <f>(AC225-AB225)/AB225</f>
        <v>-0.00153080750095675</v>
      </c>
      <c r="AD226" s="296">
        <f>(AD225-AC225)/AC225</f>
        <v>-0.00421617477960905</v>
      </c>
      <c r="AE226" s="296">
        <f>(AE225-AD225)/AD225</f>
        <v>0.0215550423402617</v>
      </c>
      <c r="AF226" s="297">
        <f>(AF225-AE225)/AE225</f>
        <v>-0.0278824415975885</v>
      </c>
      <c r="AG226" s="268" t="n"/>
      <c r="AH226" s="297">
        <f>(AH225-AG225)/AG225</f>
        <v>0.0170542635658915</v>
      </c>
      <c r="AI226" s="297">
        <f>(AI225-AH225)/AH225</f>
        <v>0.013719512195122</v>
      </c>
      <c r="AJ226" s="297" t="n"/>
      <c r="AK226" s="297" t="n"/>
      <c r="AL226" s="268" t="n"/>
      <c r="AM226" s="297" t="n"/>
      <c r="AN226" s="297" t="n"/>
      <c r="AO226" s="297" t="n"/>
      <c r="AP226" s="297" t="n"/>
      <c r="AQ226" s="268" t="n"/>
      <c r="AR226" s="297" t="n"/>
      <c r="AS226" s="297" t="n"/>
      <c r="AT226" s="297" t="n"/>
      <c r="AU226" s="297" t="n"/>
      <c r="AV226" s="268" t="n"/>
      <c r="AW226" s="297" t="n"/>
      <c r="AX226" s="297" t="n"/>
      <c r="AY226" s="297" t="n"/>
      <c r="AZ226" s="297" t="n"/>
      <c r="BA226" s="268" t="n"/>
      <c r="BB226" s="297" t="n"/>
      <c r="BC226" s="297" t="n"/>
      <c r="BD226" s="297" t="n"/>
      <c r="BE226" s="297" t="n"/>
      <c r="BF226" s="268" t="n"/>
      <c r="BG226" s="297" t="n"/>
      <c r="BH226" s="297" t="n"/>
      <c r="BI226" s="297" t="n"/>
      <c r="BJ226" s="297" t="n"/>
      <c r="BK226" s="268" t="n"/>
      <c r="BL226" s="297" t="n"/>
      <c r="BM226" s="297" t="n"/>
      <c r="BN226" s="297" t="n"/>
      <c r="BO226" s="297" t="n"/>
      <c r="BP226" s="268" t="n"/>
      <c r="BQ226" s="297" t="n"/>
      <c r="BR226" s="297" t="n"/>
      <c r="BS226" s="297" t="n"/>
      <c r="BT226" s="297" t="n"/>
      <c r="BU226" s="268" t="n"/>
      <c r="BV226" s="297" t="n"/>
      <c r="BW226" s="297" t="n"/>
      <c r="BX226" s="297" t="n"/>
      <c r="BY226" s="297" t="n"/>
      <c r="BZ226" s="268" t="n"/>
      <c r="CA226" s="297" t="n"/>
      <c r="CB226" s="297" t="n"/>
      <c r="CC226" s="297" t="n"/>
      <c r="CD226" s="297" t="n"/>
      <c r="CE226" s="268" t="n"/>
      <c r="CF226" s="297" t="n"/>
      <c r="CG226" s="297" t="n"/>
      <c r="CH226" s="297" t="n"/>
      <c r="CI226" s="297" t="n"/>
      <c r="CJ226" s="268" t="n"/>
      <c r="CK226" s="297" t="n"/>
      <c r="CL226" s="297" t="n"/>
      <c r="CM226" s="297" t="n"/>
      <c r="CN226" s="297" t="n"/>
      <c r="CO226" s="268" t="n"/>
      <c r="CP226" s="297" t="n"/>
      <c r="CQ226" s="297" t="n"/>
      <c r="CR226" s="297" t="n"/>
      <c r="CS226" s="297" t="n"/>
      <c r="CT226" s="268" t="n"/>
      <c r="CU226" s="297" t="n"/>
      <c r="CV226" s="297" t="n"/>
      <c r="CW226" s="297" t="n"/>
      <c r="CX226" s="297" t="n"/>
      <c r="CY226" s="268" t="n"/>
    </row>
    <row r="227" hidden="1" outlineLevel="1" ht="12" customHeight="1" s="255">
      <c r="C227" s="314" t="n"/>
      <c r="D227" s="268" t="n"/>
      <c r="E227" s="268" t="n"/>
      <c r="F227" s="268" t="n"/>
      <c r="G227" s="268" t="n"/>
      <c r="H227" s="268" t="n"/>
      <c r="I227" s="268" t="n"/>
      <c r="J227" s="268" t="n"/>
      <c r="K227" s="268" t="n"/>
      <c r="L227" s="268" t="n"/>
      <c r="M227" s="268" t="n"/>
      <c r="N227" s="268" t="n"/>
      <c r="O227" s="268" t="n"/>
      <c r="P227" s="268" t="n"/>
      <c r="Q227" s="268" t="n"/>
      <c r="R227" s="268" t="n"/>
      <c r="S227" s="268" t="n"/>
      <c r="T227" s="268" t="n"/>
      <c r="U227" s="268" t="n"/>
      <c r="V227" s="268" t="n"/>
      <c r="W227" s="268" t="n"/>
      <c r="X227" s="268" t="n"/>
      <c r="Y227" s="268" t="n"/>
      <c r="Z227" s="268" t="n"/>
      <c r="AA227" s="268" t="n"/>
      <c r="AB227" s="268" t="n"/>
      <c r="AC227" s="268" t="n"/>
      <c r="AD227" s="268" t="n"/>
      <c r="AE227" s="268" t="n"/>
      <c r="AF227" s="268" t="n"/>
      <c r="AG227" s="268" t="n"/>
      <c r="AH227" s="268" t="n"/>
      <c r="AI227" s="268" t="n"/>
      <c r="AJ227" s="268" t="n"/>
      <c r="AK227" s="268" t="n"/>
      <c r="AL227" s="268" t="n"/>
      <c r="AM227" s="268" t="n"/>
      <c r="AN227" s="268" t="n"/>
      <c r="AO227" s="268" t="n"/>
      <c r="AP227" s="268" t="n"/>
      <c r="AQ227" s="268" t="n"/>
      <c r="AR227" s="268" t="n"/>
      <c r="AS227" s="268" t="n"/>
      <c r="AT227" s="268" t="n"/>
      <c r="AU227" s="268" t="n"/>
      <c r="AV227" s="268" t="n"/>
      <c r="AW227" s="268" t="n"/>
      <c r="AX227" s="268" t="n"/>
      <c r="AY227" s="268" t="n"/>
      <c r="AZ227" s="268" t="n"/>
      <c r="BA227" s="268" t="n"/>
      <c r="BB227" s="268" t="n"/>
      <c r="BC227" s="268" t="n"/>
      <c r="BD227" s="268" t="n"/>
      <c r="BE227" s="268" t="n"/>
      <c r="BF227" s="268" t="n"/>
      <c r="BG227" s="268" t="n"/>
      <c r="BH227" s="268" t="n"/>
      <c r="BI227" s="268" t="n"/>
      <c r="BJ227" s="268" t="n"/>
      <c r="BK227" s="268" t="n"/>
      <c r="BL227" s="268" t="n"/>
      <c r="BM227" s="268" t="n"/>
      <c r="BN227" s="268" t="n"/>
      <c r="BO227" s="268" t="n"/>
      <c r="BP227" s="268" t="n"/>
      <c r="BQ227" s="268" t="n"/>
      <c r="BR227" s="268" t="n"/>
      <c r="BS227" s="268" t="n"/>
      <c r="BT227" s="268" t="n"/>
      <c r="BU227" s="268" t="n"/>
      <c r="BV227" s="268" t="n"/>
      <c r="BW227" s="268" t="n"/>
      <c r="BX227" s="268" t="n"/>
      <c r="BY227" s="268" t="n"/>
      <c r="BZ227" s="268" t="n"/>
      <c r="CA227" s="268" t="n"/>
      <c r="CB227" s="268" t="n"/>
      <c r="CC227" s="268" t="n"/>
      <c r="CD227" s="268" t="n"/>
      <c r="CE227" s="268" t="n"/>
      <c r="CF227" s="268" t="n"/>
      <c r="CG227" s="268" t="n"/>
      <c r="CH227" s="268" t="n"/>
      <c r="CI227" s="268" t="n"/>
      <c r="CJ227" s="268" t="n"/>
      <c r="CK227" s="268" t="n"/>
      <c r="CL227" s="268" t="n"/>
      <c r="CM227" s="268" t="n"/>
      <c r="CN227" s="268" t="n"/>
      <c r="CO227" s="268" t="n"/>
      <c r="CP227" s="268" t="n"/>
      <c r="CQ227" s="268" t="n"/>
      <c r="CR227" s="268" t="n"/>
      <c r="CS227" s="268" t="n"/>
      <c r="CT227" s="268" t="n"/>
      <c r="CU227" s="268" t="n"/>
      <c r="CV227" s="268" t="n"/>
      <c r="CW227" s="268" t="n"/>
      <c r="CX227" s="268" t="n"/>
      <c r="CY227" s="268" t="n"/>
    </row>
    <row r="228" hidden="1" outlineLevel="1" ht="12.75" customHeight="1" s="255">
      <c r="C228" s="312" t="inlineStr">
        <is>
          <t>Contas a pagar pela aquisição de controladas</t>
        </is>
      </c>
      <c r="D228" s="267" t="n"/>
      <c r="E228" s="267" t="n"/>
      <c r="F228" s="267" t="n"/>
      <c r="G228" s="267" t="n"/>
      <c r="H228" s="268" t="n"/>
      <c r="I228" s="267" t="n"/>
      <c r="J228" s="267" t="n"/>
      <c r="K228" s="267" t="n"/>
      <c r="L228" s="267" t="n"/>
      <c r="M228" s="268" t="n"/>
      <c r="N228" s="267" t="n"/>
      <c r="O228" s="267" t="n"/>
      <c r="P228" s="267" t="n"/>
      <c r="Q228" s="267" t="n"/>
      <c r="R228" s="268" t="n"/>
      <c r="S228" s="267" t="n"/>
      <c r="T228" s="267" t="n"/>
      <c r="U228" s="267" t="n"/>
      <c r="V228" s="267" t="n"/>
      <c r="W228" s="268" t="n"/>
      <c r="X228" s="267" t="n"/>
      <c r="Y228" s="267" t="n"/>
      <c r="Z228" s="267" t="n"/>
      <c r="AA228" s="267" t="n"/>
      <c r="AB228" s="268" t="n"/>
      <c r="AC228" s="267" t="n"/>
      <c r="AD228" s="267" t="n"/>
      <c r="AE228" s="267" t="n"/>
      <c r="AF228" s="267" t="n"/>
      <c r="AG228" s="268" t="n"/>
      <c r="AH228" s="268" t="n"/>
      <c r="AI228" s="268" t="n"/>
      <c r="AJ228" s="268" t="n"/>
      <c r="AK228" s="268" t="n"/>
      <c r="AL228" s="268" t="n"/>
      <c r="AM228" s="268" t="n"/>
      <c r="AN228" s="268" t="n"/>
      <c r="AO228" s="268" t="n"/>
      <c r="AP228" s="268" t="n"/>
      <c r="AQ228" s="268" t="n"/>
      <c r="AR228" s="268" t="n"/>
      <c r="AS228" s="268" t="n"/>
      <c r="AT228" s="268" t="n"/>
      <c r="AU228" s="268" t="n"/>
      <c r="AV228" s="268" t="n"/>
      <c r="AW228" s="268" t="n"/>
      <c r="AX228" s="268" t="n"/>
      <c r="AY228" s="268" t="n"/>
      <c r="AZ228" s="268" t="n"/>
      <c r="BA228" s="268" t="n"/>
      <c r="BB228" s="268" t="n"/>
      <c r="BC228" s="268" t="n"/>
      <c r="BD228" s="268" t="n"/>
      <c r="BE228" s="268" t="n"/>
      <c r="BF228" s="268" t="n"/>
      <c r="BG228" s="268" t="n"/>
      <c r="BH228" s="268" t="n"/>
      <c r="BI228" s="268" t="n"/>
      <c r="BJ228" s="268" t="n"/>
      <c r="BK228" s="268" t="n"/>
      <c r="BL228" s="268" t="n"/>
      <c r="BM228" s="268" t="n"/>
      <c r="BN228" s="268" t="n"/>
      <c r="BO228" s="268" t="n"/>
      <c r="BP228" s="268" t="n"/>
      <c r="BQ228" s="268" t="n"/>
      <c r="BR228" s="268" t="n"/>
      <c r="BS228" s="268" t="n"/>
      <c r="BT228" s="268" t="n"/>
      <c r="BU228" s="268" t="n"/>
      <c r="BV228" s="268" t="n"/>
      <c r="BW228" s="268" t="n"/>
      <c r="BX228" s="268" t="n"/>
      <c r="BY228" s="268" t="n"/>
      <c r="BZ228" s="268" t="n"/>
      <c r="CA228" s="268" t="n"/>
      <c r="CB228" s="268" t="n"/>
      <c r="CC228" s="268" t="n"/>
      <c r="CD228" s="268" t="n"/>
      <c r="CE228" s="268" t="n"/>
      <c r="CF228" s="268" t="n"/>
      <c r="CG228" s="268" t="n"/>
      <c r="CH228" s="268" t="n"/>
      <c r="CI228" s="268" t="n"/>
      <c r="CJ228" s="268" t="n"/>
      <c r="CK228" s="268" t="n"/>
      <c r="CL228" s="268" t="n"/>
      <c r="CM228" s="268" t="n"/>
      <c r="CN228" s="268" t="n"/>
      <c r="CO228" s="268" t="n"/>
      <c r="CP228" s="268" t="n"/>
      <c r="CQ228" s="268" t="n"/>
      <c r="CR228" s="268" t="n"/>
      <c r="CS228" s="268" t="n"/>
      <c r="CT228" s="268" t="n"/>
      <c r="CU228" s="268" t="n"/>
      <c r="CV228" s="268" t="n"/>
      <c r="CW228" s="268" t="n"/>
      <c r="CX228" s="268" t="n"/>
      <c r="CY228" s="268" t="n"/>
    </row>
    <row r="229" hidden="1" outlineLevel="1" ht="12.75" customHeight="1" s="255">
      <c r="C229" s="312" t="inlineStr">
        <is>
          <t xml:space="preserve">Outras Obrigações </t>
        </is>
      </c>
      <c r="D229" s="267" t="n"/>
      <c r="E229" s="267" t="n"/>
      <c r="F229" s="267" t="n"/>
      <c r="G229" s="267" t="n"/>
      <c r="H229" s="268" t="n"/>
      <c r="I229" s="267" t="n"/>
      <c r="J229" s="267" t="n"/>
      <c r="K229" s="267" t="n"/>
      <c r="L229" s="267" t="n"/>
      <c r="M229" s="268" t="n"/>
      <c r="N229" s="267" t="n"/>
      <c r="O229" s="267" t="n"/>
      <c r="P229" s="267" t="n"/>
      <c r="Q229" s="267" t="n"/>
      <c r="R229" s="268" t="n"/>
      <c r="S229" s="267" t="n"/>
      <c r="T229" s="267" t="n"/>
      <c r="U229" s="267" t="n"/>
      <c r="V229" s="267" t="n"/>
      <c r="W229" s="268" t="n"/>
      <c r="X229" s="267" t="n"/>
      <c r="Y229" s="267" t="n"/>
      <c r="Z229" s="267" t="n"/>
      <c r="AA229" s="267" t="n"/>
      <c r="AB229" s="268" t="n"/>
      <c r="AC229" s="267" t="n"/>
      <c r="AD229" s="267" t="n"/>
      <c r="AE229" s="267" t="n"/>
      <c r="AF229" s="267" t="n"/>
      <c r="AG229" s="268" t="n"/>
      <c r="AH229" s="268" t="n"/>
      <c r="AI229" s="268" t="n"/>
      <c r="AJ229" s="268" t="n"/>
      <c r="AK229" s="268" t="n"/>
      <c r="AL229" s="268" t="n"/>
      <c r="AM229" s="268" t="n"/>
      <c r="AN229" s="268" t="n"/>
      <c r="AO229" s="268" t="n"/>
      <c r="AP229" s="268" t="n"/>
      <c r="AQ229" s="268" t="n"/>
      <c r="AR229" s="268" t="n"/>
      <c r="AS229" s="268" t="n"/>
      <c r="AT229" s="268" t="n"/>
      <c r="AU229" s="268" t="n"/>
      <c r="AV229" s="268" t="n"/>
      <c r="AW229" s="268" t="n"/>
      <c r="AX229" s="268" t="n"/>
      <c r="AY229" s="268" t="n"/>
      <c r="AZ229" s="268" t="n"/>
      <c r="BA229" s="268" t="n"/>
      <c r="BB229" s="268" t="n"/>
      <c r="BC229" s="268" t="n"/>
      <c r="BD229" s="268" t="n"/>
      <c r="BE229" s="268" t="n"/>
      <c r="BF229" s="268" t="n"/>
      <c r="BG229" s="268" t="n"/>
      <c r="BH229" s="268" t="n"/>
      <c r="BI229" s="268" t="n"/>
      <c r="BJ229" s="268" t="n"/>
      <c r="BK229" s="268" t="n"/>
      <c r="BL229" s="268" t="n"/>
      <c r="BM229" s="268" t="n"/>
      <c r="BN229" s="268" t="n"/>
      <c r="BO229" s="268" t="n"/>
      <c r="BP229" s="268" t="n"/>
      <c r="BQ229" s="268" t="n"/>
      <c r="BR229" s="268" t="n"/>
      <c r="BS229" s="268" t="n"/>
      <c r="BT229" s="268" t="n"/>
      <c r="BU229" s="268" t="n"/>
      <c r="BV229" s="268" t="n"/>
      <c r="BW229" s="268" t="n"/>
      <c r="BX229" s="268" t="n"/>
      <c r="BY229" s="268" t="n"/>
      <c r="BZ229" s="268" t="n"/>
      <c r="CA229" s="268" t="n"/>
      <c r="CB229" s="268" t="n"/>
      <c r="CC229" s="268" t="n"/>
      <c r="CD229" s="268" t="n"/>
      <c r="CE229" s="268" t="n"/>
      <c r="CF229" s="268" t="n"/>
      <c r="CG229" s="268" t="n"/>
      <c r="CH229" s="268" t="n"/>
      <c r="CI229" s="268" t="n"/>
      <c r="CJ229" s="268" t="n"/>
      <c r="CK229" s="268" t="n"/>
      <c r="CL229" s="268" t="n"/>
      <c r="CM229" s="268" t="n"/>
      <c r="CN229" s="268" t="n"/>
      <c r="CO229" s="268" t="n"/>
      <c r="CP229" s="268" t="n"/>
      <c r="CQ229" s="268" t="n"/>
      <c r="CR229" s="268" t="n"/>
      <c r="CS229" s="268" t="n"/>
      <c r="CT229" s="268" t="n"/>
      <c r="CU229" s="268" t="n"/>
      <c r="CV229" s="268" t="n"/>
      <c r="CW229" s="268" t="n"/>
      <c r="CX229" s="268" t="n"/>
      <c r="CY229" s="268" t="n"/>
    </row>
    <row r="230" hidden="1" outlineLevel="1" ht="12.75" customHeight="1" s="255">
      <c r="C230" s="312" t="inlineStr">
        <is>
          <t xml:space="preserve">Provisão de Risco Cíveis, Trabalhistas e Tributários </t>
        </is>
      </c>
      <c r="D230" s="267" t="n"/>
      <c r="E230" s="267" t="n"/>
      <c r="F230" s="267" t="n"/>
      <c r="G230" s="267" t="n"/>
      <c r="H230" s="268" t="n"/>
      <c r="I230" s="267" t="n"/>
      <c r="J230" s="267" t="n"/>
      <c r="K230" s="267" t="n"/>
      <c r="L230" s="267" t="n"/>
      <c r="M230" s="268" t="n"/>
      <c r="N230" s="267" t="n"/>
      <c r="O230" s="267" t="n"/>
      <c r="P230" s="267" t="n"/>
      <c r="Q230" s="267" t="n"/>
      <c r="R230" s="268" t="n"/>
      <c r="S230" s="267" t="n"/>
      <c r="T230" s="267" t="n"/>
      <c r="U230" s="267" t="n"/>
      <c r="V230" s="267" t="n"/>
      <c r="W230" s="268" t="n"/>
      <c r="X230" s="267" t="n"/>
      <c r="Y230" s="267" t="n"/>
      <c r="Z230" s="267" t="n"/>
      <c r="AA230" s="267" t="n"/>
      <c r="AB230" s="268" t="n"/>
      <c r="AC230" s="267" t="n"/>
      <c r="AD230" s="267" t="n"/>
      <c r="AE230" s="267" t="n"/>
      <c r="AF230" s="267" t="n"/>
      <c r="AG230" s="268" t="n"/>
      <c r="AH230" s="268" t="n"/>
      <c r="AI230" s="268" t="n"/>
      <c r="AJ230" s="268" t="n"/>
      <c r="AK230" s="268" t="n"/>
      <c r="AL230" s="268" t="n"/>
      <c r="AM230" s="268" t="n"/>
      <c r="AN230" s="268" t="n"/>
      <c r="AO230" s="268" t="n"/>
      <c r="AP230" s="268" t="n"/>
      <c r="AQ230" s="268" t="n"/>
      <c r="AR230" s="268" t="n"/>
      <c r="AS230" s="268" t="n"/>
      <c r="AT230" s="268" t="n"/>
      <c r="AU230" s="268" t="n"/>
      <c r="AV230" s="268" t="n"/>
      <c r="AW230" s="268" t="n"/>
      <c r="AX230" s="268" t="n"/>
      <c r="AY230" s="268" t="n"/>
      <c r="AZ230" s="268" t="n"/>
      <c r="BA230" s="268" t="n"/>
      <c r="BB230" s="268" t="n"/>
      <c r="BC230" s="268" t="n"/>
      <c r="BD230" s="268" t="n"/>
      <c r="BE230" s="268" t="n"/>
      <c r="BF230" s="268" t="n"/>
      <c r="BG230" s="268" t="n"/>
      <c r="BH230" s="268" t="n"/>
      <c r="BI230" s="268" t="n"/>
      <c r="BJ230" s="268" t="n"/>
      <c r="BK230" s="268" t="n"/>
      <c r="BL230" s="268" t="n"/>
      <c r="BM230" s="268" t="n"/>
      <c r="BN230" s="268" t="n"/>
      <c r="BO230" s="268" t="n"/>
      <c r="BP230" s="268" t="n"/>
      <c r="BQ230" s="268" t="n"/>
      <c r="BR230" s="268" t="n"/>
      <c r="BS230" s="268" t="n"/>
      <c r="BT230" s="268" t="n"/>
      <c r="BU230" s="268" t="n"/>
      <c r="BV230" s="268" t="n"/>
      <c r="BW230" s="268" t="n"/>
      <c r="BX230" s="268" t="n"/>
      <c r="BY230" s="268" t="n"/>
      <c r="BZ230" s="268" t="n"/>
      <c r="CA230" s="268" t="n"/>
      <c r="CB230" s="268" t="n"/>
      <c r="CC230" s="268" t="n"/>
      <c r="CD230" s="268" t="n"/>
      <c r="CE230" s="268" t="n"/>
      <c r="CF230" s="268" t="n"/>
      <c r="CG230" s="268" t="n"/>
      <c r="CH230" s="268" t="n"/>
      <c r="CI230" s="268" t="n"/>
      <c r="CJ230" s="268" t="n"/>
      <c r="CK230" s="268" t="n"/>
      <c r="CL230" s="268" t="n"/>
      <c r="CM230" s="268" t="n"/>
      <c r="CN230" s="268" t="n"/>
      <c r="CO230" s="268" t="n"/>
      <c r="CP230" s="268" t="n"/>
      <c r="CQ230" s="268" t="n"/>
      <c r="CR230" s="268" t="n"/>
      <c r="CS230" s="268" t="n"/>
      <c r="CT230" s="268" t="n"/>
      <c r="CU230" s="268" t="n"/>
      <c r="CV230" s="268" t="n"/>
      <c r="CW230" s="268" t="n"/>
      <c r="CX230" s="268" t="n"/>
      <c r="CY230" s="268" t="n"/>
    </row>
    <row r="231" hidden="1" outlineLevel="1" ht="12.75" customHeight="1" s="255">
      <c r="C231" s="312" t="n"/>
      <c r="D231" s="268" t="n"/>
      <c r="E231" s="268" t="n"/>
      <c r="F231" s="268" t="n"/>
      <c r="G231" s="268" t="n"/>
      <c r="H231" s="268" t="n"/>
      <c r="I231" s="268" t="n"/>
      <c r="J231" s="268" t="n"/>
      <c r="K231" s="268" t="n"/>
      <c r="L231" s="268" t="n"/>
      <c r="M231" s="268" t="n"/>
      <c r="N231" s="268" t="n"/>
      <c r="O231" s="268" t="n"/>
      <c r="P231" s="268" t="n"/>
      <c r="Q231" s="268" t="n"/>
      <c r="R231" s="268" t="n"/>
      <c r="S231" s="268" t="n"/>
      <c r="T231" s="268" t="n"/>
      <c r="U231" s="268" t="n"/>
      <c r="V231" s="268" t="n"/>
      <c r="W231" s="268" t="n"/>
      <c r="X231" s="268" t="n"/>
      <c r="Y231" s="268" t="n"/>
      <c r="Z231" s="268" t="n"/>
      <c r="AA231" s="268" t="n"/>
      <c r="AB231" s="268" t="n"/>
      <c r="AC231" s="268" t="n"/>
      <c r="AD231" s="268" t="n"/>
      <c r="AE231" s="268" t="n"/>
      <c r="AF231" s="268" t="n"/>
      <c r="AG231" s="268" t="n"/>
      <c r="AH231" s="268" t="n"/>
      <c r="AI231" s="268" t="n"/>
      <c r="AJ231" s="268" t="n"/>
      <c r="AK231" s="268" t="n"/>
      <c r="AL231" s="268" t="n"/>
      <c r="AM231" s="268" t="n"/>
      <c r="AN231" s="268" t="n"/>
      <c r="AO231" s="268" t="n"/>
      <c r="AP231" s="268" t="n"/>
      <c r="AQ231" s="268" t="n"/>
      <c r="AR231" s="268" t="n"/>
      <c r="AS231" s="268" t="n"/>
      <c r="AT231" s="268" t="n"/>
      <c r="AU231" s="268" t="n"/>
      <c r="AV231" s="268" t="n"/>
      <c r="AW231" s="268" t="n"/>
      <c r="AX231" s="268" t="n"/>
      <c r="AY231" s="268" t="n"/>
      <c r="AZ231" s="268" t="n"/>
      <c r="BA231" s="268" t="n"/>
      <c r="BB231" s="268" t="n"/>
      <c r="BC231" s="268" t="n"/>
      <c r="BD231" s="268" t="n"/>
      <c r="BE231" s="268" t="n"/>
      <c r="BF231" s="268" t="n"/>
      <c r="BG231" s="268" t="n"/>
      <c r="BH231" s="268" t="n"/>
      <c r="BI231" s="268" t="n"/>
      <c r="BJ231" s="268" t="n"/>
      <c r="BK231" s="268" t="n"/>
      <c r="BL231" s="268" t="n"/>
      <c r="BM231" s="268" t="n"/>
      <c r="BN231" s="268" t="n"/>
      <c r="BO231" s="268" t="n"/>
      <c r="BP231" s="268" t="n"/>
      <c r="BQ231" s="268" t="n"/>
      <c r="BR231" s="268" t="n"/>
      <c r="BS231" s="268" t="n"/>
      <c r="BT231" s="268" t="n"/>
      <c r="BU231" s="268" t="n"/>
      <c r="BV231" s="268" t="n"/>
      <c r="BW231" s="268" t="n"/>
      <c r="BX231" s="268" t="n"/>
      <c r="BY231" s="268" t="n"/>
      <c r="BZ231" s="268" t="n"/>
      <c r="CA231" s="268" t="n"/>
      <c r="CB231" s="268" t="n"/>
      <c r="CC231" s="268" t="n"/>
      <c r="CD231" s="268" t="n"/>
      <c r="CE231" s="268" t="n"/>
      <c r="CF231" s="268" t="n"/>
      <c r="CG231" s="268" t="n"/>
      <c r="CH231" s="268" t="n"/>
      <c r="CI231" s="268" t="n"/>
      <c r="CJ231" s="268" t="n"/>
      <c r="CK231" s="268" t="n"/>
      <c r="CL231" s="268" t="n"/>
      <c r="CM231" s="268" t="n"/>
      <c r="CN231" s="268" t="n"/>
      <c r="CO231" s="268" t="n"/>
      <c r="CP231" s="268" t="n"/>
      <c r="CQ231" s="268" t="n"/>
      <c r="CR231" s="268" t="n"/>
      <c r="CS231" s="268" t="n"/>
      <c r="CT231" s="268" t="n"/>
      <c r="CU231" s="268" t="n"/>
      <c r="CV231" s="268" t="n"/>
      <c r="CW231" s="268" t="n"/>
      <c r="CX231" s="268" t="n"/>
      <c r="CY231" s="268" t="n"/>
    </row>
    <row r="232" ht="12.75" customFormat="1" customHeight="1" s="287">
      <c r="A232" s="288" t="n"/>
      <c r="B232" s="288" t="n"/>
      <c r="C232" s="321" t="inlineStr">
        <is>
          <t>Total Liabilities</t>
        </is>
      </c>
      <c r="D232" s="276">
        <f>SUM(D183+D187+D189+D190+D197+D198+D199+D202+D220+D223+D224+D225)</f>
        <v>31783</v>
      </c>
      <c r="E232" s="276">
        <f>SUM(E183+E187+E189+E190+E197+E198+E199+E202+E220+E223+E224+E225)</f>
        <v>34529</v>
      </c>
      <c r="F232" s="276">
        <f>SUM(F183+F187+F189+F190+F197+F198+F199+F202+F220+F223+F224+F225)</f>
        <v>36851</v>
      </c>
      <c r="G232" s="276">
        <f>SUM(G183+G187+G189+G190+G197+G198+G199+G202+G220+G223+G224+G225)</f>
        <v>44908</v>
      </c>
      <c r="H232" s="276">
        <f>SUM(H183,H187,H189,H190,H197,H198,H202,H199,H220,H223,H224,H225)</f>
        <v>44908</v>
      </c>
      <c r="I232" s="276">
        <f>SUM(I183+I187+I189+I190+I197+I198+I199+I202+I220+I223+I224+I225)</f>
        <v>38789</v>
      </c>
      <c r="J232" s="276">
        <f>SUM(J183+J187+J189+J190+J197+J198+J199+J202+J220+J223+J224+J225)</f>
        <v>40300</v>
      </c>
      <c r="K232" s="276">
        <f>SUM(K183+K187+K189+K190+K197+K198+K199+K202+K220+K223+K224+K225)</f>
        <v>41190</v>
      </c>
      <c r="L232" s="276">
        <f>SUM(L183+L187+L189+L190+L197+L198+L199+L202+L220+L223+L224+L225)</f>
        <v>45149</v>
      </c>
      <c r="M232" s="276">
        <f>SUM(M183,M187,M189,M190,M197,M198,M202,M199,M220,M223,M224,M225)</f>
        <v>45149</v>
      </c>
      <c r="N232" s="276">
        <f>SUM(N183+N187+N189+N190+N197+N198+N199+N202+N220+N223+N224+N225)</f>
        <v>43102</v>
      </c>
      <c r="O232" s="276">
        <f>SUM(O183+O187+O189+O190+O197+O198+O199+O202+O220+O223+O224+O225)</f>
        <v>43339</v>
      </c>
      <c r="P232" s="276">
        <f>SUM(P183+P187+P189+P190+P197+P198+P199+P202+P220+P223+P224+P225)</f>
        <v>43519</v>
      </c>
      <c r="Q232" s="276">
        <f>SUM(Q183+Q187+Q189+Q190+Q197+Q198+Q199+Q202+Q220+Q223+Q224+Q225)</f>
        <v>44551</v>
      </c>
      <c r="R232" s="276">
        <f>SUM(R183,R187,R189,R190,R197,R198,R202,R199,R220,R223,R224,R225)</f>
        <v>44551</v>
      </c>
      <c r="S232" s="276">
        <f>SUM(S183+S187+S189+S190+S197+S198+S199+S202+S220+S223+S224+S225)</f>
        <v>44049</v>
      </c>
      <c r="T232" s="276">
        <f>SUM(T183+T187+T189+T190+T197+T198+T199+T202+T220+T223+T224+T225)</f>
        <v>43179</v>
      </c>
      <c r="U232" s="276">
        <f>SUM(U183+U187+U189+U190+U197+U198+U199+U202+U220+U223+U224+U225)</f>
        <v>43936</v>
      </c>
      <c r="V232" s="276">
        <f>SUM(V183+V187+V189+V190+V197+V198+V199+V202+V220+V223+V224+V225)</f>
        <v>47576</v>
      </c>
      <c r="W232" s="276">
        <f>SUM(W183,W187,W189,W190,W197,W198,W202,W199,W220,W223,W224,W225)</f>
        <v>47576</v>
      </c>
      <c r="X232" s="276">
        <f>SUM(X183+X187+X189+X190+X197+X198+X199+X202+X220+X223+X224+X225)</f>
        <v>45563</v>
      </c>
      <c r="Y232" s="276">
        <f>SUM(Y183+Y187+Y189+Y190+Y197+Y198+Y199+Y202+Y220+Y223+Y224+Y225)</f>
        <v>46140</v>
      </c>
      <c r="Z232" s="276">
        <f>SUM(Z183+Z187+Z189+Z190+Z197+Z198+Z199+Z202+Z220+Z223+Z224+Z225)</f>
        <v>46209</v>
      </c>
      <c r="AA232" s="276">
        <f>SUM(AA183+AA187+AA189+AA190+AA197+AA198+AA199+AA202+AA220+AA223+AA224+AA225)</f>
        <v>48935</v>
      </c>
      <c r="AB232" s="276">
        <f>SUM(AB183,AB187,AB189,AB190,AB197,AB198,AB202,AB199,AB220,AB223,AB224,AB225)</f>
        <v>48935</v>
      </c>
      <c r="AC232" s="276">
        <f>SUM(AC183+AC187+AC189+AC190+AC197+AC198+AC199+AC202+AC220+AC223+AC224+AC225)</f>
        <v>47647</v>
      </c>
      <c r="AD232" s="276">
        <f>SUM(AD183+AD187+AD189+AD190+AD197+AD198+AD199+AD202+AD220+AD223+AD224+AD225)</f>
        <v>48357</v>
      </c>
      <c r="AE232" s="276">
        <f>SUM(AE183+AE187+AE189+AE190+AE197+AE198+AE199+AE202+AE220+AE223+AE224+AE225)</f>
        <v>47935</v>
      </c>
      <c r="AF232" s="276">
        <f>SUM(AF183+AF187+AF189+AF190+AF197+AF198+AF199+AF202+AF220+AF223+AF224+AF225)</f>
        <v>52487</v>
      </c>
      <c r="AG232" s="276">
        <f>SUM(AG183,AG187,AG189,AG190,AG197,AG198,AG202,AG199,AG220,AG223,AG224,AG225)</f>
        <v>52487</v>
      </c>
      <c r="AH232" s="276">
        <f>SUM(AH183+AH187+AH189+AH190+AH197+AH198+AH199+AH202+AH220+AH223+AH224+AH225)</f>
        <v>51552</v>
      </c>
      <c r="AI232" s="276">
        <f>SUM(AI183+AI187+AI189+AI190+AI197+AI198+AI199+AI202+AI220+AI223+AI224+AI225)</f>
        <v>52921</v>
      </c>
      <c r="AJ232" s="276">
        <f>SUM(AJ183+AJ187+AJ189+AJ190+AJ197+AJ198+AJ199+AJ202+AJ220+AJ223+AJ224+AJ225)</f>
        <v>22392</v>
      </c>
      <c r="AK232" s="276">
        <f>SUM(AK183+AK187+AK189+AK190+AK197+AK198+AK199+AK202+AK220+AK223+AK224+AK225)</f>
        <v>22392</v>
      </c>
      <c r="AL232" s="276">
        <f>SUM(AL183,AL187,AL189,AL190,AL197,AL198,AL202,AL199,AL220,AL223,AL224,AL225)</f>
        <v>22392</v>
      </c>
      <c r="AM232" s="276" t="e">
        <f>SUM(AM183+AM187+AM189+AM190+AM197+AM198+AM199+AM202+AM220+AM223+AM224+AM225)</f>
        <v>#DIV/0!</v>
      </c>
      <c r="AN232" s="276">
        <f>SUM(AN183+AN187+AN189+AN190+AN197+AN198+AN199+AN202+AN220+AN223+AN224+AN225)</f>
        <v>22392</v>
      </c>
      <c r="AO232" s="276" t="e">
        <f>SUM(AO183+AO187+AO189+AO190+AO197+AO198+AO199+AO202+AO220+AO223+AO224+AO225)</f>
        <v>#DIV/0!</v>
      </c>
      <c r="AP232" s="276" t="e">
        <f>SUM(AP183+AP187+AP189+AP190+AP197+AP198+AP199+AP202+AP220+AP223+AP224+AP225)</f>
        <v>#DIV/0!</v>
      </c>
      <c r="AQ232" s="276" t="e">
        <f>SUM(AQ183,AQ187,AQ189,AQ190,AQ197,AQ198,AQ202,AQ199,AQ220,AQ223,AQ224,AQ225)</f>
        <v>#DIV/0!</v>
      </c>
      <c r="AR232" s="276" t="e">
        <f>SUM(AR183+AR187+AR189+AR190+AR197+AR198+AR199+AR202+AR220+AR223+AR224+AR225)</f>
        <v>#DIV/0!</v>
      </c>
      <c r="AS232" s="276" t="e">
        <f>SUM(AS183+AS187+AS189+AS190+AS197+AS198+AS199+AS202+AS220+AS223+AS224+AS225)</f>
        <v>#DIV/0!</v>
      </c>
      <c r="AT232" s="276" t="e">
        <f>SUM(AT183+AT187+AT189+AT190+AT197+AT198+AT199+AT202+AT220+AT223+AT224+AT225)</f>
        <v>#DIV/0!</v>
      </c>
      <c r="AU232" s="276" t="e">
        <f>SUM(AU183+AU187+AU189+AU190+AU197+AU198+AU199+AU202+AU220+AU223+AU224+AU225)</f>
        <v>#DIV/0!</v>
      </c>
      <c r="AV232" s="276" t="e">
        <f>SUM(AV183,AV187,AV189,AV190,AV197,AV198,AV202,AV199,AV220,AV223,AV224,AV225)</f>
        <v>#DIV/0!</v>
      </c>
      <c r="AW232" s="276" t="e">
        <f>SUM(AW183+AW187+AW189+AW190+AW197+AW198+AW199+AW202+AW220+AW223+AW224+AW225)</f>
        <v>#DIV/0!</v>
      </c>
      <c r="AX232" s="276" t="e">
        <f>SUM(AX183+AX187+AX189+AX190+AX197+AX198+AX199+AX202+AX220+AX223+AX224+AX225)</f>
        <v>#DIV/0!</v>
      </c>
      <c r="AY232" s="276" t="e">
        <f>SUM(AY183+AY187+AY189+AY190+AY197+AY198+AY199+AY202+AY220+AY223+AY224+AY225)</f>
        <v>#DIV/0!</v>
      </c>
      <c r="AZ232" s="276" t="e">
        <f>SUM(AZ183+AZ187+AZ189+AZ190+AZ197+AZ198+AZ199+AZ202+AZ220+AZ223+AZ224+AZ225)</f>
        <v>#DIV/0!</v>
      </c>
      <c r="BA232" s="276" t="e">
        <f>SUM(BA183,BA187,BA189,BA190,BA197,BA198,BA202,BA199,BA220,BA223,BA224,BA225)</f>
        <v>#DIV/0!</v>
      </c>
      <c r="BB232" s="276" t="e">
        <f>SUM(BB183+BB187+BB189+BB190+BB197+BB198+BB199+BB202+BB220+BB223+BB224+BB225)</f>
        <v>#DIV/0!</v>
      </c>
      <c r="BC232" s="276" t="e">
        <f>SUM(BC183+BC187+BC189+BC190+BC197+BC198+BC199+BC202+BC220+BC223+BC224+BC225)</f>
        <v>#DIV/0!</v>
      </c>
      <c r="BD232" s="276" t="e">
        <f>SUM(BD183+BD187+BD189+BD190+BD197+BD198+BD199+BD202+BD220+BD223+BD224+BD225)</f>
        <v>#DIV/0!</v>
      </c>
      <c r="BE232" s="276" t="e">
        <f>SUM(BE183+BE187+BE189+BE190+BE197+BE198+BE199+BE202+BE220+BE223+BE224+BE225)</f>
        <v>#DIV/0!</v>
      </c>
      <c r="BF232" s="276" t="e">
        <f>SUM(BF183,BF187,BF189,BF190,BF197,BF198,BF202,BF199,BF220,BF223,BF224,BF225)</f>
        <v>#DIV/0!</v>
      </c>
      <c r="BG232" s="276" t="e">
        <f>SUM(BG183+BG187+BG189+BG190+BG197+BG198+BG199+BG202+BG220+BG223+BG224+BG225)</f>
        <v>#DIV/0!</v>
      </c>
      <c r="BH232" s="276" t="e">
        <f>SUM(BH183+BH187+BH189+BH190+BH197+BH198+BH199+BH202+BH220+BH223+BH224+BH225)</f>
        <v>#DIV/0!</v>
      </c>
      <c r="BI232" s="276" t="e">
        <f>SUM(BI183+BI187+BI189+BI190+BI197+BI198+BI199+BI202+BI220+BI223+BI224+BI225)</f>
        <v>#DIV/0!</v>
      </c>
      <c r="BJ232" s="276" t="e">
        <f>SUM(BJ183+BJ187+BJ189+BJ190+BJ197+BJ198+BJ199+BJ202+BJ220+BJ223+BJ224+BJ225)</f>
        <v>#DIV/0!</v>
      </c>
      <c r="BK232" s="276" t="e">
        <f>SUM(BK183,BK187,BK189,BK190,BK197,BK198,BK202,BK199,BK220,BK223,BK224,BK225)</f>
        <v>#DIV/0!</v>
      </c>
      <c r="BL232" s="276" t="e">
        <f>SUM(BL183+BL187+BL189+BL190+BL197+BL198+BL199+BL202+BL220+BL223+BL224+BL225)</f>
        <v>#DIV/0!</v>
      </c>
      <c r="BM232" s="276" t="e">
        <f>SUM(BM183+BM187+BM189+BM190+BM197+BM198+BM199+BM202+BM220+BM223+BM224+BM225)</f>
        <v>#DIV/0!</v>
      </c>
      <c r="BN232" s="276" t="e">
        <f>SUM(BN183+BN187+BN189+BN190+BN197+BN198+BN199+BN202+BN220+BN223+BN224+BN225)</f>
        <v>#DIV/0!</v>
      </c>
      <c r="BO232" s="276" t="e">
        <f>SUM(BO183+BO187+BO189+BO190+BO197+BO198+BO199+BO202+BO220+BO223+BO224+BO225)</f>
        <v>#DIV/0!</v>
      </c>
      <c r="BP232" s="276" t="e">
        <f>SUM(BP183,BP187,BP189,BP190,BP197,BP198,BP202,BP199,BP220,BP223,BP224,BP225)</f>
        <v>#DIV/0!</v>
      </c>
      <c r="BQ232" s="276" t="e">
        <f>SUM(BQ183+BQ187+BQ189+BQ190+BQ197+BQ198+BQ199+BQ202+BQ220+BQ223+BQ224+BQ225)</f>
        <v>#DIV/0!</v>
      </c>
      <c r="BR232" s="276" t="e">
        <f>SUM(BR183+BR187+BR189+BR190+BR197+BR198+BR199+BR202+BR220+BR223+BR224+BR225)</f>
        <v>#DIV/0!</v>
      </c>
      <c r="BS232" s="276" t="e">
        <f>SUM(BS183+BS187+BS189+BS190+BS197+BS198+BS199+BS202+BS220+BS223+BS224+BS225)</f>
        <v>#DIV/0!</v>
      </c>
      <c r="BT232" s="276" t="e">
        <f>SUM(BT183+BT187+BT189+BT190+BT197+BT198+BT199+BT202+BT220+BT223+BT224+BT225)</f>
        <v>#DIV/0!</v>
      </c>
      <c r="BU232" s="276" t="e">
        <f>SUM(BU183,BU187,BU189,BU190,BU197,BU198,BU202,BU199,BU220,BU223,BU224,BU225)</f>
        <v>#DIV/0!</v>
      </c>
      <c r="BV232" s="276" t="e">
        <f>SUM(BV183+BV187+BV189+BV190+BV197+BV198+BV199+BV202+BV220+BV223+BV224+BV225)</f>
        <v>#DIV/0!</v>
      </c>
      <c r="BW232" s="276" t="e">
        <f>SUM(BW183+BW187+BW189+BW190+BW197+BW198+BW199+BW202+BW220+BW223+BW224+BW225)</f>
        <v>#DIV/0!</v>
      </c>
      <c r="BX232" s="276" t="e">
        <f>SUM(BX183+BX187+BX189+BX190+BX197+BX198+BX199+BX202+BX220+BX223+BX224+BX225)</f>
        <v>#DIV/0!</v>
      </c>
      <c r="BY232" s="276" t="e">
        <f>SUM(BY183+BY187+BY189+BY190+BY197+BY198+BY199+BY202+BY220+BY223+BY224+BY225)</f>
        <v>#DIV/0!</v>
      </c>
      <c r="BZ232" s="276" t="e">
        <f>SUM(BZ183,BZ187,BZ189,BZ190,BZ197,BZ198,BZ202,BZ199,BZ220,BZ223,BZ224,BZ225)</f>
        <v>#DIV/0!</v>
      </c>
      <c r="CA232" s="276" t="e">
        <f>SUM(CA183+CA187+CA189+CA190+CA197+CA198+CA199+CA202+CA220+CA223+CA224+CA225)</f>
        <v>#DIV/0!</v>
      </c>
      <c r="CB232" s="276" t="e">
        <f>SUM(CB183+CB187+CB189+CB190+CB197+CB198+CB199+CB202+CB220+CB223+CB224+CB225)</f>
        <v>#DIV/0!</v>
      </c>
      <c r="CC232" s="276" t="e">
        <f>SUM(CC183+CC187+CC189+CC190+CC197+CC198+CC199+CC202+CC220+CC223+CC224+CC225)</f>
        <v>#DIV/0!</v>
      </c>
      <c r="CD232" s="276" t="e">
        <f>SUM(CD183+CD187+CD189+CD190+CD197+CD198+CD199+CD202+CD220+CD223+CD224+CD225)</f>
        <v>#DIV/0!</v>
      </c>
      <c r="CE232" s="276" t="e">
        <f>SUM(CE183,CE187,CE189,CE190,CE197,CE198,CE202,CE199,CE220,CE223,CE224,CE225)</f>
        <v>#DIV/0!</v>
      </c>
      <c r="CF232" s="276" t="e">
        <f>SUM(CF183+CF187+CF189+CF190+CF197+CF198+CF199+CF202+CF220+CF223+CF224+CF225)</f>
        <v>#DIV/0!</v>
      </c>
      <c r="CG232" s="276" t="e">
        <f>SUM(CG183+CG187+CG189+CG190+CG197+CG198+CG199+CG202+CG220+CG223+CG224+CG225)</f>
        <v>#DIV/0!</v>
      </c>
      <c r="CH232" s="276" t="e">
        <f>SUM(CH183+CH187+CH189+CH190+CH197+CH198+CH199+CH202+CH220+CH223+CH224+CH225)</f>
        <v>#DIV/0!</v>
      </c>
      <c r="CI232" s="276" t="e">
        <f>SUM(CI183+CI187+CI189+CI190+CI197+CI198+CI199+CI202+CI220+CI223+CI224+CI225)</f>
        <v>#DIV/0!</v>
      </c>
      <c r="CJ232" s="276" t="e">
        <f>SUM(CJ183,CJ187,CJ189,CJ190,CJ197,CJ198,CJ202,CJ199,CJ220,CJ223,CJ224,CJ225)</f>
        <v>#DIV/0!</v>
      </c>
      <c r="CK232" s="276" t="e">
        <f>SUM(CK183+CK187+CK189+CK190+CK197+CK198+CK199+CK202+CK220+CK223+CK224+CK225)</f>
        <v>#DIV/0!</v>
      </c>
      <c r="CL232" s="276" t="e">
        <f>SUM(CL183+CL187+CL189+CL190+CL197+CL198+CL199+CL202+CL220+CL223+CL224+CL225)</f>
        <v>#DIV/0!</v>
      </c>
      <c r="CM232" s="276" t="e">
        <f>SUM(CM183+CM187+CM189+CM190+CM197+CM198+CM199+CM202+CM220+CM223+CM224+CM225)</f>
        <v>#DIV/0!</v>
      </c>
      <c r="CN232" s="276" t="e">
        <f>SUM(CN183+CN187+CN189+CN190+CN197+CN198+CN199+CN202+CN220+CN223+CN224+CN225)</f>
        <v>#DIV/0!</v>
      </c>
      <c r="CO232" s="276" t="e">
        <f>SUM(CO183,CO187,CO189,CO190,CO197,CO198,CO202,CO199,CO220,CO223,CO224,CO225)</f>
        <v>#DIV/0!</v>
      </c>
      <c r="CP232" s="276" t="e">
        <f>SUM(CP183+CP187+CP189+CP190+CP197+CP198+CP199+CP202+CP220+CP223+CP224+CP225)</f>
        <v>#DIV/0!</v>
      </c>
      <c r="CQ232" s="276" t="e">
        <f>SUM(CQ183+CQ187+CQ189+CQ190+CQ197+CQ198+CQ199+CQ202+CQ220+CQ223+CQ224+CQ225)</f>
        <v>#DIV/0!</v>
      </c>
      <c r="CR232" s="276" t="e">
        <f>SUM(CR183+CR187+CR189+CR190+CR197+CR198+CR199+CR202+CR220+CR223+CR224+CR225)</f>
        <v>#DIV/0!</v>
      </c>
      <c r="CS232" s="276" t="e">
        <f>SUM(CS183+CS187+CS189+CS190+CS197+CS198+CS199+CS202+CS220+CS223+CS224+CS225)</f>
        <v>#DIV/0!</v>
      </c>
      <c r="CT232" s="276" t="e">
        <f>SUM(CT183,CT187,CT189,CT190,CT197,CT198,CT202,CT199,CT220,CT223,CT224,CT225)</f>
        <v>#DIV/0!</v>
      </c>
      <c r="CU232" s="276" t="e">
        <f>SUM(CU183+CU187+CU189+CU190+CU197+CU198+CU199+CU202+CU220+CU223+CU224+CU225)</f>
        <v>#DIV/0!</v>
      </c>
      <c r="CV232" s="276" t="e">
        <f>SUM(CV183+CV187+CV189+CV190+CV197+CV198+CV199+CV202+CV220+CV223+CV224+CV225)</f>
        <v>#DIV/0!</v>
      </c>
      <c r="CW232" s="276" t="e">
        <f>SUM(CW183+CW187+CW189+CW190+CW197+CW198+CW199+CW202+CW220+CW223+CW224+CW225)</f>
        <v>#DIV/0!</v>
      </c>
      <c r="CX232" s="276" t="e">
        <f>SUM(CX183+CX187+CX189+CX190+CX197+CX198+CX199+CX202+CX220+CX223+CX224+CX225)</f>
        <v>#DIV/0!</v>
      </c>
      <c r="CY232" s="276" t="e">
        <f>SUM(CY183,CY187,CY189,CY190,CY197,CY198,CY202,CY199,CY220,CY223,CY224,CY225)</f>
        <v>#DIV/0!</v>
      </c>
    </row>
    <row r="233" ht="12.75" customHeight="1" s="255">
      <c r="C233" s="270" t="inlineStr">
        <is>
          <t>Minority interest</t>
        </is>
      </c>
      <c r="D233" s="301">
        <f>INDEX('Inputs (2)'!$D$41:$AL$41,MATCH(D$7,'Inputs (2)'!$D$2:$AL$2,0))</f>
        <v>385</v>
      </c>
      <c r="E233" s="301">
        <f>INDEX('Inputs (2)'!$D$41:$AL$41,MATCH(E$7,'Inputs (2)'!$D$2:$AL$2,0))</f>
        <v>401</v>
      </c>
      <c r="F233" s="301">
        <f>INDEX('Inputs (2)'!$D$41:$AL$41,MATCH(F$7,'Inputs (2)'!$D$2:$AL$2,0))</f>
        <v>421</v>
      </c>
      <c r="G233" s="301">
        <f>INDEX('Inputs (2)'!$D$41:$AL$41,MATCH(G$7,'Inputs (2)'!$D$2:$AL$2,0))</f>
        <v>449</v>
      </c>
      <c r="H233" s="268">
        <f>G233</f>
        <v>449</v>
      </c>
      <c r="I233" s="301">
        <f>INDEX('Inputs (2)'!$D$41:$AL$41,MATCH(I$7,'Inputs (2)'!$D$2:$AL$2,0))</f>
        <v>477</v>
      </c>
      <c r="J233" s="301">
        <f>INDEX('Inputs (2)'!$D$41:$AL$41,MATCH(J$7,'Inputs (2)'!$D$2:$AL$2,0))</f>
        <v>492</v>
      </c>
      <c r="K233" s="301">
        <f>INDEX('Inputs (2)'!$D$41:$AL$41,MATCH(K$7,'Inputs (2)'!$D$2:$AL$2,0))</f>
        <v>514</v>
      </c>
      <c r="L233" s="301">
        <f>INDEX('Inputs (2)'!$D$41:$AL$41,MATCH(L$7,'Inputs (2)'!$D$2:$AL$2,0))</f>
        <v>537</v>
      </c>
      <c r="M233" s="268">
        <f>L233</f>
        <v>537</v>
      </c>
      <c r="N233" s="301">
        <f>INDEX('Inputs (2)'!$D$41:$AL$41,MATCH(N$7,'Inputs (2)'!$D$2:$AL$2,0))</f>
        <v>558</v>
      </c>
      <c r="O233" s="301">
        <f>INDEX('Inputs (2)'!$D$41:$AL$41,MATCH(O$7,'Inputs (2)'!$D$2:$AL$2,0))</f>
        <v>545</v>
      </c>
      <c r="P233" s="301">
        <f>INDEX('Inputs (2)'!$D$41:$AL$41,MATCH(P$7,'Inputs (2)'!$D$2:$AL$2,0))</f>
        <v>5</v>
      </c>
      <c r="Q233" s="301">
        <f>INDEX('Inputs (2)'!$D$41:$AL$41,MATCH(Q$7,'Inputs (2)'!$D$2:$AL$2,0))</f>
        <v>5</v>
      </c>
      <c r="R233" s="268">
        <f>Q233</f>
        <v>5</v>
      </c>
      <c r="S233" s="301">
        <f>INDEX('Inputs (2)'!$D$41:$AL$41,MATCH(S$7,'Inputs (2)'!$D$2:$AL$2,0))</f>
        <v>5</v>
      </c>
      <c r="T233" s="301">
        <f>INDEX('Inputs (2)'!$D$41:$AL$41,MATCH(T$7,'Inputs (2)'!$D$2:$AL$2,0))</f>
        <v>5</v>
      </c>
      <c r="U233" s="301">
        <f>INDEX('Inputs (2)'!$D$41:$AL$41,MATCH(U$7,'Inputs (2)'!$D$2:$AL$2,0))</f>
        <v>0</v>
      </c>
      <c r="V233" s="301">
        <f>INDEX('Inputs (2)'!$D$41:$AL$41,MATCH(V$7,'Inputs (2)'!$D$2:$AL$2,0))</f>
        <v>0</v>
      </c>
      <c r="W233" s="268">
        <f>V233</f>
        <v>0</v>
      </c>
      <c r="X233" s="301">
        <f>INDEX('Inputs (2)'!$D$41:$AL$41,MATCH(X$7,'Inputs (2)'!$D$2:$AL$2,0))</f>
        <v>0</v>
      </c>
      <c r="Y233" s="301">
        <f>INDEX('Inputs (2)'!$D$41:$AL$41,MATCH(Y$7,'Inputs (2)'!$D$2:$AL$2,0))</f>
        <v>0</v>
      </c>
      <c r="Z233" s="301">
        <f>INDEX('Inputs (2)'!$D$41:$AL$41,MATCH(Z$7,'Inputs (2)'!$D$2:$AL$2,0))</f>
        <v>0</v>
      </c>
      <c r="AA233" s="301">
        <f>INDEX('Inputs (2)'!$D$41:$AL$41,MATCH(AA$7,'Inputs (2)'!$D$2:$AL$2,0))</f>
        <v>0</v>
      </c>
      <c r="AB233" s="268">
        <f>AA233</f>
        <v>0</v>
      </c>
      <c r="AC233" s="301">
        <f>INDEX('Inputs (2)'!$D$41:$AL$41,MATCH(AC$7,'Inputs (2)'!$D$2:$AL$2,0))</f>
        <v>0</v>
      </c>
      <c r="AD233" s="301">
        <f>INDEX('Inputs (2)'!$D$41:$AL$41,MATCH(AD$7,'Inputs (2)'!$D$2:$AL$2,0))</f>
        <v>0</v>
      </c>
      <c r="AE233" s="301">
        <f>INDEX('Inputs (2)'!$D$41:$AL$41,MATCH(AE$7,'Inputs (2)'!$D$2:$AL$2,0))</f>
        <v>0</v>
      </c>
      <c r="AF233" s="301">
        <f>INDEX('Inputs (2)'!$D$41:$AL$41,MATCH(AF$7,'Inputs (2)'!$D$2:$AL$2,0))</f>
        <v>0</v>
      </c>
      <c r="AG233" s="268">
        <f>AF233</f>
        <v>0</v>
      </c>
      <c r="AH233" s="268">
        <f>INDEX('Inputs (2)'!$D$41:$AL$41,MATCH(AH$7,'Inputs (2)'!$D$2:$AL$2,0))</f>
        <v>0</v>
      </c>
      <c r="AI233" s="268">
        <f>INDEX('Inputs (2)'!$D$41:$AL$41,MATCH(AI$7,'Inputs (2)'!$D$2:$AL$2,0))</f>
        <v>0</v>
      </c>
      <c r="AJ233" s="268">
        <f>AI233-AJ121+AJ236</f>
        <v>0</v>
      </c>
      <c r="AK233" s="268">
        <f>AJ233-AK121+AK236</f>
        <v>0</v>
      </c>
      <c r="AL233" s="268">
        <f>AK233</f>
        <v>0</v>
      </c>
      <c r="AM233" s="268">
        <f>AL233-AM121+AM236</f>
        <v>0</v>
      </c>
      <c r="AN233" s="268">
        <f>AM233-AN121+AN236</f>
        <v>0</v>
      </c>
      <c r="AO233" s="268">
        <f>AN233-AO121+AO236</f>
        <v>0</v>
      </c>
      <c r="AP233" s="268">
        <f>AO233-AP121+AP236</f>
        <v>0</v>
      </c>
      <c r="AQ233" s="268">
        <f>AP233</f>
        <v>0</v>
      </c>
      <c r="AR233" s="268">
        <f>AQ233-AR121+AR236</f>
        <v>0</v>
      </c>
      <c r="AS233" s="268">
        <f>AR233-AS121+AS236</f>
        <v>0</v>
      </c>
      <c r="AT233" s="268">
        <f>AS233-AT121+AT236</f>
        <v>0</v>
      </c>
      <c r="AU233" s="268">
        <f>AT233-AU121+AU236</f>
        <v>0</v>
      </c>
      <c r="AV233" s="268">
        <f>AU233</f>
        <v>0</v>
      </c>
      <c r="AW233" s="268">
        <f>AV233-AW121+AW236</f>
        <v>0</v>
      </c>
      <c r="AX233" s="268">
        <f>AW233-AX121+AX236</f>
        <v>0</v>
      </c>
      <c r="AY233" s="268">
        <f>AX233-AY121+AY236</f>
        <v>0</v>
      </c>
      <c r="AZ233" s="268">
        <f>AY233-AZ121+AZ236</f>
        <v>0</v>
      </c>
      <c r="BA233" s="268">
        <f>AZ233</f>
        <v>0</v>
      </c>
      <c r="BB233" s="268">
        <f>BA233-BB121+BB236</f>
        <v>0</v>
      </c>
      <c r="BC233" s="268">
        <f>BB233-BC121+BC236</f>
        <v>0</v>
      </c>
      <c r="BD233" s="268">
        <f>BC233-BD121+BD236</f>
        <v>0</v>
      </c>
      <c r="BE233" s="268">
        <f>BD233-BE121+BE236</f>
        <v>0</v>
      </c>
      <c r="BF233" s="268">
        <f>BE233</f>
        <v>0</v>
      </c>
      <c r="BG233" s="268">
        <f>BF233-BG121+BG236</f>
        <v>0</v>
      </c>
      <c r="BH233" s="268">
        <f>BG233-BH121+BH236</f>
        <v>0</v>
      </c>
      <c r="BI233" s="268">
        <f>BH233-BI121+BI236</f>
        <v>0</v>
      </c>
      <c r="BJ233" s="268">
        <f>BI233-BJ121+BJ236</f>
        <v>0</v>
      </c>
      <c r="BK233" s="268">
        <f>BJ233</f>
        <v>0</v>
      </c>
      <c r="BL233" s="268">
        <f>BK233-BL121+BL236</f>
        <v>0</v>
      </c>
      <c r="BM233" s="268">
        <f>BL233-BM121+BM236</f>
        <v>0</v>
      </c>
      <c r="BN233" s="268">
        <f>BM233-BN121+BN236</f>
        <v>0</v>
      </c>
      <c r="BO233" s="268">
        <f>BN233-BO121+BO236</f>
        <v>0</v>
      </c>
      <c r="BP233" s="268">
        <f>BO233</f>
        <v>0</v>
      </c>
      <c r="BQ233" s="268">
        <f>BP233-BQ121+BQ236</f>
        <v>0</v>
      </c>
      <c r="BR233" s="268">
        <f>BQ233-BR121+BR236</f>
        <v>0</v>
      </c>
      <c r="BS233" s="268">
        <f>BR233-BS121+BS236</f>
        <v>0</v>
      </c>
      <c r="BT233" s="268">
        <f>BS233-BT121+BT236</f>
        <v>0</v>
      </c>
      <c r="BU233" s="268">
        <f>BT233</f>
        <v>0</v>
      </c>
      <c r="BV233" s="268">
        <f>BU233-BV121+BV236</f>
        <v>0</v>
      </c>
      <c r="BW233" s="268">
        <f>BV233-BW121+BW236</f>
        <v>0</v>
      </c>
      <c r="BX233" s="268">
        <f>BW233-BX121+BX236</f>
        <v>0</v>
      </c>
      <c r="BY233" s="268">
        <f>BX233-BY121+BY236</f>
        <v>0</v>
      </c>
      <c r="BZ233" s="268">
        <f>BY233</f>
        <v>0</v>
      </c>
      <c r="CA233" s="268">
        <f>BZ233-CA121+CA236</f>
        <v>0</v>
      </c>
      <c r="CB233" s="268">
        <f>CA233-CB121+CB236</f>
        <v>0</v>
      </c>
      <c r="CC233" s="268">
        <f>CB233-CC121+CC236</f>
        <v>0</v>
      </c>
      <c r="CD233" s="268">
        <f>CC233-CD121+CD236</f>
        <v>0</v>
      </c>
      <c r="CE233" s="268">
        <f>CD233</f>
        <v>0</v>
      </c>
      <c r="CF233" s="268">
        <f>CE233-CF121+CF236</f>
        <v>0</v>
      </c>
      <c r="CG233" s="268">
        <f>CF233-CG121+CG236</f>
        <v>0</v>
      </c>
      <c r="CH233" s="268">
        <f>CG233-CH121+CH236</f>
        <v>0</v>
      </c>
      <c r="CI233" s="268">
        <f>CH233-CI121+CI236</f>
        <v>0</v>
      </c>
      <c r="CJ233" s="268">
        <f>CI233</f>
        <v>0</v>
      </c>
      <c r="CK233" s="268">
        <f>CJ233-CK121+CK236</f>
        <v>0</v>
      </c>
      <c r="CL233" s="268">
        <f>CK233-CL121+CL236</f>
        <v>0</v>
      </c>
      <c r="CM233" s="268">
        <f>CL233-CM121+CM236</f>
        <v>0</v>
      </c>
      <c r="CN233" s="268">
        <f>CM233-CN121+CN236</f>
        <v>0</v>
      </c>
      <c r="CO233" s="268">
        <f>CN233</f>
        <v>0</v>
      </c>
      <c r="CP233" s="268">
        <f>CO233-CP121+CP236</f>
        <v>0</v>
      </c>
      <c r="CQ233" s="268">
        <f>CP233-CQ121+CQ236</f>
        <v>0</v>
      </c>
      <c r="CR233" s="268">
        <f>CQ233-CR121+CR236</f>
        <v>0</v>
      </c>
      <c r="CS233" s="268">
        <f>CR233-CS121+CS236</f>
        <v>0</v>
      </c>
      <c r="CT233" s="268">
        <f>CS233</f>
        <v>0</v>
      </c>
      <c r="CU233" s="268">
        <f>CT233-CU121+CU236</f>
        <v>0</v>
      </c>
      <c r="CV233" s="268">
        <f>CU233-CV121+CV236</f>
        <v>0</v>
      </c>
      <c r="CW233" s="268">
        <f>CV233-CW121+CW236</f>
        <v>0</v>
      </c>
      <c r="CX233" s="268">
        <f>CW233-CX121+CX236</f>
        <v>0</v>
      </c>
      <c r="CY233" s="268">
        <f>CX233</f>
        <v>0</v>
      </c>
    </row>
    <row r="234" hidden="1" outlineLevel="1" ht="12.75" customFormat="1" customHeight="1" s="322">
      <c r="A234" s="293" t="n"/>
      <c r="B234" s="293" t="n"/>
      <c r="C234" s="314" t="n"/>
      <c r="D234" s="298" t="n"/>
      <c r="E234" s="298" t="n"/>
      <c r="F234" s="298" t="n"/>
      <c r="G234" s="298" t="n"/>
      <c r="H234" s="298" t="n"/>
      <c r="I234" s="298" t="n"/>
      <c r="J234" s="298" t="n"/>
      <c r="K234" s="298" t="n"/>
      <c r="L234" s="298" t="n"/>
      <c r="M234" s="298" t="n"/>
      <c r="N234" s="298" t="n"/>
      <c r="O234" s="298" t="n"/>
      <c r="P234" s="298" t="n"/>
      <c r="Q234" s="298" t="n"/>
      <c r="R234" s="298" t="n"/>
      <c r="S234" s="298" t="n"/>
      <c r="T234" s="298" t="n"/>
      <c r="U234" s="298" t="n"/>
      <c r="V234" s="298" t="n"/>
      <c r="W234" s="298" t="n"/>
      <c r="X234" s="298" t="n"/>
      <c r="Y234" s="298" t="n"/>
      <c r="Z234" s="298" t="n"/>
      <c r="AA234" s="298" t="n"/>
      <c r="AB234" s="298" t="n"/>
      <c r="AC234" s="298" t="n"/>
      <c r="AD234" s="298" t="n"/>
      <c r="AE234" s="298" t="n"/>
      <c r="AF234" s="298" t="n"/>
      <c r="AG234" s="298" t="n"/>
      <c r="AH234" s="298" t="n"/>
      <c r="AI234" s="298" t="n"/>
      <c r="AJ234" s="298" t="n"/>
      <c r="AK234" s="298" t="n"/>
      <c r="AL234" s="298" t="n"/>
      <c r="AM234" s="298" t="n"/>
      <c r="AN234" s="298" t="n"/>
      <c r="AO234" s="298" t="n"/>
      <c r="AP234" s="298" t="n"/>
      <c r="AQ234" s="298" t="n"/>
      <c r="AR234" s="298" t="n"/>
      <c r="AS234" s="298" t="n"/>
      <c r="AT234" s="298" t="n"/>
      <c r="AU234" s="298" t="n"/>
      <c r="AV234" s="298" t="n"/>
      <c r="AW234" s="298" t="n"/>
      <c r="AX234" s="298" t="n"/>
      <c r="AY234" s="298" t="n"/>
      <c r="AZ234" s="298" t="n"/>
      <c r="BA234" s="298" t="n"/>
      <c r="BB234" s="298" t="n"/>
      <c r="BC234" s="298" t="n"/>
      <c r="BD234" s="298" t="n"/>
      <c r="BE234" s="298" t="n"/>
      <c r="BF234" s="298" t="n"/>
      <c r="BG234" s="298" t="n"/>
      <c r="BH234" s="298" t="n"/>
      <c r="BI234" s="298" t="n"/>
      <c r="BJ234" s="298" t="n"/>
      <c r="BK234" s="298" t="n"/>
      <c r="BL234" s="298" t="n"/>
      <c r="BM234" s="298" t="n"/>
      <c r="BN234" s="298" t="n"/>
      <c r="BO234" s="298" t="n"/>
      <c r="BP234" s="298" t="n"/>
      <c r="BQ234" s="298" t="n"/>
      <c r="BR234" s="298" t="n"/>
      <c r="BS234" s="298" t="n"/>
      <c r="BT234" s="298" t="n"/>
      <c r="BU234" s="298" t="n"/>
      <c r="BV234" s="298" t="n"/>
      <c r="BW234" s="298" t="n"/>
      <c r="BX234" s="298" t="n"/>
      <c r="BY234" s="298" t="n"/>
      <c r="BZ234" s="298" t="n"/>
      <c r="CA234" s="298" t="n"/>
      <c r="CB234" s="298" t="n"/>
      <c r="CC234" s="298" t="n"/>
      <c r="CD234" s="298" t="n"/>
      <c r="CE234" s="298" t="n"/>
      <c r="CF234" s="298" t="n"/>
      <c r="CG234" s="298" t="n"/>
      <c r="CH234" s="298" t="n"/>
      <c r="CI234" s="298" t="n"/>
      <c r="CJ234" s="298" t="n"/>
      <c r="CK234" s="298" t="n"/>
      <c r="CL234" s="298" t="n"/>
      <c r="CM234" s="298" t="n"/>
      <c r="CN234" s="298" t="n"/>
      <c r="CO234" s="298" t="n"/>
      <c r="CP234" s="298" t="n"/>
      <c r="CQ234" s="298" t="n"/>
      <c r="CR234" s="298" t="n"/>
      <c r="CS234" s="298" t="n"/>
      <c r="CT234" s="298" t="n"/>
      <c r="CU234" s="298" t="n"/>
      <c r="CV234" s="298" t="n"/>
      <c r="CW234" s="298" t="n"/>
      <c r="CX234" s="298" t="n"/>
      <c r="CY234" s="298" t="n"/>
    </row>
    <row r="235" hidden="1" outlineLevel="1" ht="12.75" customFormat="1" customHeight="1" s="322">
      <c r="A235" s="293" t="n"/>
      <c r="B235" s="293" t="n"/>
      <c r="C235" s="312" t="inlineStr">
        <is>
          <t>Minority Interest Expense - % YoY</t>
        </is>
      </c>
      <c r="D235" s="298" t="n"/>
      <c r="E235" s="313">
        <f>IF(D120=0,0,E120/D120-1)</f>
        <v>0</v>
      </c>
      <c r="F235" s="298" t="n"/>
      <c r="G235" s="298" t="n"/>
      <c r="H235" s="313" t="n"/>
      <c r="I235" s="298" t="n"/>
      <c r="J235" s="313">
        <f>IF(I120=0,0,J120/I120-1)</f>
        <v>0</v>
      </c>
      <c r="K235" s="298" t="n"/>
      <c r="L235" s="298" t="n"/>
      <c r="M235" s="313" t="n"/>
      <c r="N235" s="313">
        <f>IF(I120=0,0,N120/I120-1)</f>
        <v>0</v>
      </c>
      <c r="O235" s="313">
        <f>IF(J120=0,0,O120/J120-1)</f>
        <v>0</v>
      </c>
      <c r="P235" s="313">
        <f>IF(K120=0,0,P120/K120-1)</f>
        <v>0</v>
      </c>
      <c r="Q235" s="313">
        <f>IF(L120=0,0,Q120/L120-1)</f>
        <v>0</v>
      </c>
      <c r="R235" s="313" t="n"/>
      <c r="S235" s="313">
        <f>IF(N120=0,0,S120/N120-1)</f>
        <v>0</v>
      </c>
      <c r="T235" s="313">
        <f>IF(O120=0,0,T120/O120-1)</f>
        <v>0</v>
      </c>
      <c r="U235" s="313">
        <f>IF(P120=0,0,U120/P120-1)</f>
        <v>0</v>
      </c>
      <c r="V235" s="313">
        <f>IF(Q120=0,0,V120/Q120-1)</f>
        <v>0</v>
      </c>
      <c r="W235" s="313">
        <f>IF(R121=0,0,W121/R121-1)</f>
        <v>-1</v>
      </c>
      <c r="X235" s="313">
        <f>IF(S120=0,0,X120/S120-1)</f>
        <v>0</v>
      </c>
      <c r="Y235" s="313">
        <f>IF(T120=0,0,Y120/T120-1)</f>
        <v>0</v>
      </c>
      <c r="Z235" s="313">
        <f>IF(U120=0,0,Z120/U120-1)</f>
        <v>0</v>
      </c>
      <c r="AA235" s="313">
        <f>IF(V120=0,0,AA120/V120-1)</f>
        <v>0</v>
      </c>
      <c r="AB235" s="313">
        <f>IF(W121=0,0,AB121/W121-1)</f>
        <v>0</v>
      </c>
      <c r="AC235" s="313">
        <f>IF(X120=0,0,AC120/X120-1)</f>
        <v>0</v>
      </c>
      <c r="AD235" s="313">
        <f>IF(Y120=0,0,AD120/Y120-1)</f>
        <v>0</v>
      </c>
      <c r="AE235" s="313">
        <f>IF(Z120=0,0,AE120/Z120-1)</f>
        <v>0</v>
      </c>
      <c r="AF235" s="313">
        <f>IF(AA120=0,0,AF120/AA120-1)</f>
        <v>0</v>
      </c>
      <c r="AG235" s="313">
        <f>IF(AB121=0,0,AG121/AB121-1)</f>
        <v>0</v>
      </c>
      <c r="AH235" s="317">
        <f>IF(AC120=0,0,AH120/AC120-1)</f>
        <v>0</v>
      </c>
      <c r="AI235" s="317">
        <f>IF(AD120=0,0,AI120/AD120-1)</f>
        <v>0</v>
      </c>
      <c r="AJ235" s="317" t="n"/>
      <c r="AK235" s="317" t="n"/>
      <c r="AL235" s="313">
        <f>IF(AG121=0,0,AL121/AG121-1)</f>
        <v>0</v>
      </c>
      <c r="AM235" s="317" t="n"/>
      <c r="AN235" s="317" t="n"/>
      <c r="AO235" s="317" t="n"/>
      <c r="AP235" s="317" t="n"/>
      <c r="AQ235" s="313">
        <f>IF(AL121=0,0,AQ121/AL121-1)</f>
        <v>0</v>
      </c>
      <c r="AR235" s="317" t="n"/>
      <c r="AS235" s="317" t="n"/>
      <c r="AT235" s="317" t="n"/>
      <c r="AU235" s="317" t="n"/>
      <c r="AV235" s="313">
        <f>IF(AQ121=0,0,AV121/AQ121-1)</f>
        <v>0</v>
      </c>
      <c r="AW235" s="317" t="n"/>
      <c r="AX235" s="317" t="n"/>
      <c r="AY235" s="317" t="n"/>
      <c r="AZ235" s="317" t="n"/>
      <c r="BA235" s="313">
        <f>IF(AV121=0,0,BA121/AV121-1)</f>
        <v>0</v>
      </c>
      <c r="BB235" s="317" t="n"/>
      <c r="BC235" s="317" t="n"/>
      <c r="BD235" s="317" t="n"/>
      <c r="BE235" s="317" t="n"/>
      <c r="BF235" s="313">
        <f>IF(BA121=0,0,BF121/BA121-1)</f>
        <v>0</v>
      </c>
      <c r="BG235" s="317" t="n"/>
      <c r="BH235" s="317" t="n"/>
      <c r="BI235" s="317" t="n"/>
      <c r="BJ235" s="317" t="n"/>
      <c r="BK235" s="313">
        <f>IF(BF121=0,0,BK121/BF121-1)</f>
        <v>0</v>
      </c>
      <c r="BL235" s="317" t="n"/>
      <c r="BM235" s="317" t="n"/>
      <c r="BN235" s="317" t="n"/>
      <c r="BO235" s="317" t="n"/>
      <c r="BP235" s="313">
        <f>IF(BK121=0,0,BP121/BK121-1)</f>
        <v>0</v>
      </c>
      <c r="BQ235" s="317" t="n"/>
      <c r="BR235" s="317" t="n"/>
      <c r="BS235" s="317" t="n"/>
      <c r="BT235" s="317" t="n"/>
      <c r="BU235" s="313">
        <f>IF(BP121=0,0,BU121/BP121-1)</f>
        <v>0</v>
      </c>
      <c r="BV235" s="317" t="n"/>
      <c r="BW235" s="317" t="n"/>
      <c r="BX235" s="317" t="n"/>
      <c r="BY235" s="317" t="n"/>
      <c r="BZ235" s="313">
        <f>IF(BU121=0,0,BZ121/BU121-1)</f>
        <v>0</v>
      </c>
      <c r="CA235" s="317" t="n"/>
      <c r="CB235" s="317" t="n"/>
      <c r="CC235" s="317" t="n"/>
      <c r="CD235" s="317" t="n"/>
      <c r="CE235" s="313">
        <f>IF(BZ121=0,0,CE121/BZ121-1)</f>
        <v>0</v>
      </c>
      <c r="CF235" s="317" t="n"/>
      <c r="CG235" s="317" t="n"/>
      <c r="CH235" s="317" t="n"/>
      <c r="CI235" s="317" t="n"/>
      <c r="CJ235" s="313">
        <f>IF(CE121=0,0,CJ121/CE121-1)</f>
        <v>0</v>
      </c>
      <c r="CK235" s="317" t="n"/>
      <c r="CL235" s="317" t="n"/>
      <c r="CM235" s="317" t="n"/>
      <c r="CN235" s="317" t="n"/>
      <c r="CO235" s="313">
        <f>IF(CJ121=0,0,CO121/CJ121-1)</f>
        <v>0</v>
      </c>
      <c r="CP235" s="317" t="n"/>
      <c r="CQ235" s="317" t="n"/>
      <c r="CR235" s="317" t="n"/>
      <c r="CS235" s="317" t="n"/>
      <c r="CT235" s="313">
        <f>IF(CO121=0,0,CT121/CO121-1)</f>
        <v>0</v>
      </c>
      <c r="CU235" s="317" t="n"/>
      <c r="CV235" s="317" t="n"/>
      <c r="CW235" s="317" t="n"/>
      <c r="CX235" s="317" t="n"/>
      <c r="CY235" s="313">
        <f>IF(CT121=0,0,CY121/CT121-1)</f>
        <v>0</v>
      </c>
    </row>
    <row r="236" hidden="1" outlineLevel="1" ht="12.75" customFormat="1" customHeight="1" s="322">
      <c r="A236" s="293" t="n"/>
      <c r="B236" s="293" t="n"/>
      <c r="C236" s="312" t="inlineStr">
        <is>
          <t>Dividends (enter as -)</t>
        </is>
      </c>
      <c r="D236" s="298" t="n"/>
      <c r="E236" s="298" t="n"/>
      <c r="F236" s="298" t="n"/>
      <c r="G236" s="298" t="n"/>
      <c r="H236" s="298" t="n"/>
      <c r="I236" s="298" t="n"/>
      <c r="J236" s="298" t="n"/>
      <c r="K236" s="298" t="n"/>
      <c r="L236" s="298" t="n"/>
      <c r="M236" s="298" t="n"/>
      <c r="N236" s="298" t="n"/>
      <c r="O236" s="298" t="n"/>
      <c r="P236" s="298" t="n"/>
      <c r="Q236" s="298" t="n"/>
      <c r="R236" s="298" t="n"/>
      <c r="S236" s="298" t="n"/>
      <c r="T236" s="298" t="n"/>
      <c r="U236" s="298" t="n"/>
      <c r="V236" s="298" t="n"/>
      <c r="W236" s="298" t="n"/>
      <c r="X236" s="298" t="n"/>
      <c r="Y236" s="298" t="n"/>
      <c r="Z236" s="298" t="n"/>
      <c r="AA236" s="298" t="n"/>
      <c r="AB236" s="298" t="n"/>
      <c r="AC236" s="298" t="n"/>
      <c r="AD236" s="298" t="n"/>
      <c r="AE236" s="298" t="n"/>
      <c r="AF236" s="298" t="n"/>
      <c r="AG236" s="298" t="n"/>
      <c r="AH236" s="317" t="n"/>
      <c r="AI236" s="317" t="n"/>
      <c r="AJ236" s="317" t="n"/>
      <c r="AK236" s="317" t="n"/>
      <c r="AL236" s="298" t="n"/>
      <c r="AM236" s="317" t="n"/>
      <c r="AN236" s="317" t="n"/>
      <c r="AO236" s="317" t="n"/>
      <c r="AP236" s="317" t="n"/>
      <c r="AQ236" s="298" t="n"/>
      <c r="AR236" s="317" t="n"/>
      <c r="AS236" s="317" t="n"/>
      <c r="AT236" s="317" t="n"/>
      <c r="AU236" s="317" t="n"/>
      <c r="AV236" s="298" t="n"/>
      <c r="AW236" s="317" t="n"/>
      <c r="AX236" s="317" t="n"/>
      <c r="AY236" s="317" t="n"/>
      <c r="AZ236" s="317" t="n"/>
      <c r="BA236" s="298" t="n"/>
      <c r="BB236" s="317" t="n"/>
      <c r="BC236" s="317" t="n"/>
      <c r="BD236" s="317" t="n"/>
      <c r="BE236" s="317" t="n"/>
      <c r="BF236" s="298" t="n"/>
      <c r="BG236" s="317" t="n"/>
      <c r="BH236" s="317" t="n"/>
      <c r="BI236" s="317" t="n"/>
      <c r="BJ236" s="317" t="n"/>
      <c r="BK236" s="298" t="n"/>
      <c r="BL236" s="317" t="n"/>
      <c r="BM236" s="317" t="n"/>
      <c r="BN236" s="317" t="n"/>
      <c r="BO236" s="317" t="n"/>
      <c r="BP236" s="298" t="n"/>
      <c r="BQ236" s="317" t="n"/>
      <c r="BR236" s="317" t="n"/>
      <c r="BS236" s="317" t="n"/>
      <c r="BT236" s="317" t="n"/>
      <c r="BU236" s="298" t="n"/>
      <c r="BV236" s="317" t="n"/>
      <c r="BW236" s="317" t="n"/>
      <c r="BX236" s="317" t="n"/>
      <c r="BY236" s="317" t="n"/>
      <c r="BZ236" s="298" t="n"/>
      <c r="CA236" s="317" t="n"/>
      <c r="CB236" s="317" t="n"/>
      <c r="CC236" s="317" t="n"/>
      <c r="CD236" s="317" t="n"/>
      <c r="CE236" s="298" t="n"/>
      <c r="CF236" s="317" t="n"/>
      <c r="CG236" s="317" t="n"/>
      <c r="CH236" s="317" t="n"/>
      <c r="CI236" s="317" t="n"/>
      <c r="CJ236" s="298" t="n"/>
      <c r="CK236" s="317" t="n"/>
      <c r="CL236" s="317" t="n"/>
      <c r="CM236" s="317" t="n"/>
      <c r="CN236" s="317" t="n"/>
      <c r="CO236" s="298" t="n"/>
      <c r="CP236" s="317" t="n"/>
      <c r="CQ236" s="317" t="n"/>
      <c r="CR236" s="317" t="n"/>
      <c r="CS236" s="317" t="n"/>
      <c r="CT236" s="298" t="n"/>
      <c r="CU236" s="317" t="n"/>
      <c r="CV236" s="317" t="n"/>
      <c r="CW236" s="317" t="n"/>
      <c r="CX236" s="317" t="n"/>
      <c r="CY236" s="298" t="n"/>
    </row>
    <row r="237" hidden="1" outlineLevel="1" ht="12.75" customFormat="1" customHeight="1" s="322">
      <c r="A237" s="293" t="n"/>
      <c r="B237" s="293" t="n"/>
      <c r="C237" s="314" t="n"/>
      <c r="D237" s="298" t="n"/>
      <c r="E237" s="298" t="n"/>
      <c r="F237" s="298" t="n"/>
      <c r="G237" s="298" t="n"/>
      <c r="H237" s="298" t="n"/>
      <c r="I237" s="298" t="n"/>
      <c r="J237" s="298" t="n"/>
      <c r="K237" s="298" t="n"/>
      <c r="L237" s="298" t="n"/>
      <c r="M237" s="298" t="n"/>
      <c r="N237" s="298" t="n"/>
      <c r="O237" s="298" t="n"/>
      <c r="P237" s="298" t="n"/>
      <c r="Q237" s="298" t="n"/>
      <c r="R237" s="298" t="n"/>
      <c r="S237" s="298" t="n"/>
      <c r="T237" s="298" t="n"/>
      <c r="U237" s="298" t="n"/>
      <c r="V237" s="298" t="n"/>
      <c r="W237" s="298" t="n"/>
      <c r="X237" s="298" t="n"/>
      <c r="Y237" s="298" t="n"/>
      <c r="Z237" s="298" t="n"/>
      <c r="AA237" s="298" t="n"/>
      <c r="AB237" s="298" t="n"/>
      <c r="AC237" s="298" t="n"/>
      <c r="AD237" s="298" t="n"/>
      <c r="AE237" s="298" t="n"/>
      <c r="AF237" s="298" t="n"/>
      <c r="AG237" s="298" t="n"/>
      <c r="AH237" s="298" t="n"/>
      <c r="AI237" s="298" t="n"/>
      <c r="AJ237" s="298" t="n"/>
      <c r="AK237" s="298" t="n"/>
      <c r="AL237" s="298" t="n"/>
      <c r="AM237" s="298" t="n"/>
      <c r="AN237" s="298" t="n"/>
      <c r="AO237" s="298" t="n"/>
      <c r="AP237" s="298" t="n"/>
      <c r="AQ237" s="298" t="n"/>
      <c r="AR237" s="298" t="n"/>
      <c r="AS237" s="298" t="n"/>
      <c r="AT237" s="298" t="n"/>
      <c r="AU237" s="298" t="n"/>
      <c r="AV237" s="298" t="n"/>
      <c r="AW237" s="298" t="n"/>
      <c r="AX237" s="298" t="n"/>
      <c r="AY237" s="298" t="n"/>
      <c r="AZ237" s="298" t="n"/>
      <c r="BA237" s="298" t="n"/>
      <c r="BB237" s="298" t="n"/>
      <c r="BC237" s="298" t="n"/>
      <c r="BD237" s="298" t="n"/>
      <c r="BE237" s="298" t="n"/>
      <c r="BF237" s="298" t="n"/>
      <c r="BG237" s="298" t="n"/>
      <c r="BH237" s="298" t="n"/>
      <c r="BI237" s="298" t="n"/>
      <c r="BJ237" s="298" t="n"/>
      <c r="BK237" s="298" t="n"/>
      <c r="BL237" s="298" t="n"/>
      <c r="BM237" s="298" t="n"/>
      <c r="BN237" s="298" t="n"/>
      <c r="BO237" s="298" t="n"/>
      <c r="BP237" s="298" t="n"/>
      <c r="BQ237" s="298" t="n"/>
      <c r="BR237" s="298" t="n"/>
      <c r="BS237" s="298" t="n"/>
      <c r="BT237" s="298" t="n"/>
      <c r="BU237" s="298" t="n"/>
      <c r="BV237" s="298" t="n"/>
      <c r="BW237" s="298" t="n"/>
      <c r="BX237" s="298" t="n"/>
      <c r="BY237" s="298" t="n"/>
      <c r="BZ237" s="298" t="n"/>
      <c r="CA237" s="298" t="n"/>
      <c r="CB237" s="298" t="n"/>
      <c r="CC237" s="298" t="n"/>
      <c r="CD237" s="298" t="n"/>
      <c r="CE237" s="298" t="n"/>
      <c r="CF237" s="298" t="n"/>
      <c r="CG237" s="298" t="n"/>
      <c r="CH237" s="298" t="n"/>
      <c r="CI237" s="298" t="n"/>
      <c r="CJ237" s="298" t="n"/>
      <c r="CK237" s="298" t="n"/>
      <c r="CL237" s="298" t="n"/>
      <c r="CM237" s="298" t="n"/>
      <c r="CN237" s="298" t="n"/>
      <c r="CO237" s="298" t="n"/>
      <c r="CP237" s="298" t="n"/>
      <c r="CQ237" s="298" t="n"/>
      <c r="CR237" s="298" t="n"/>
      <c r="CS237" s="298" t="n"/>
      <c r="CT237" s="298" t="n"/>
      <c r="CU237" s="298" t="n"/>
      <c r="CV237" s="298" t="n"/>
      <c r="CW237" s="298" t="n"/>
      <c r="CX237" s="298" t="n"/>
      <c r="CY237" s="298" t="n"/>
    </row>
    <row r="238" ht="12.75" customHeight="1" s="255">
      <c r="C238" s="270" t="inlineStr">
        <is>
          <t>Convertible Preferred Stock</t>
        </is>
      </c>
      <c r="D238" s="301" t="n"/>
      <c r="E238" s="301" t="n"/>
      <c r="F238" s="301" t="n"/>
      <c r="G238" s="301" t="n"/>
      <c r="H238" s="268">
        <f>G238</f>
        <v>0</v>
      </c>
      <c r="I238" s="301" t="n"/>
      <c r="J238" s="301" t="n"/>
      <c r="K238" s="301" t="n"/>
      <c r="L238" s="301" t="n"/>
      <c r="M238" s="268">
        <f>L238</f>
        <v>0</v>
      </c>
      <c r="N238" s="301" t="n"/>
      <c r="O238" s="301" t="n"/>
      <c r="P238" s="301" t="n"/>
      <c r="Q238" s="301" t="n"/>
      <c r="R238" s="268">
        <f>Q238</f>
        <v>0</v>
      </c>
      <c r="S238" s="301" t="n"/>
      <c r="T238" s="301" t="n"/>
      <c r="U238" s="301" t="n"/>
      <c r="V238" s="301" t="n"/>
      <c r="W238" s="268">
        <f>V238</f>
        <v>0</v>
      </c>
      <c r="X238" s="301" t="n"/>
      <c r="Y238" s="301" t="n"/>
      <c r="Z238" s="301" t="n"/>
      <c r="AA238" s="301" t="n"/>
      <c r="AB238" s="268">
        <f>AA238</f>
        <v>0</v>
      </c>
      <c r="AC238" s="301" t="n"/>
      <c r="AD238" s="301" t="n"/>
      <c r="AE238" s="301" t="n"/>
      <c r="AF238" s="301" t="n"/>
      <c r="AG238" s="268">
        <f>AF238</f>
        <v>0</v>
      </c>
      <c r="AH238" s="268">
        <f>AG238</f>
        <v>0</v>
      </c>
      <c r="AI238" s="268">
        <f>AH238</f>
        <v>0</v>
      </c>
      <c r="AJ238" s="268">
        <f>AI238</f>
        <v>0</v>
      </c>
      <c r="AK238" s="268">
        <f>AJ238</f>
        <v>0</v>
      </c>
      <c r="AL238" s="268">
        <f>AK238</f>
        <v>0</v>
      </c>
      <c r="AM238" s="268">
        <f>AL238</f>
        <v>0</v>
      </c>
      <c r="AN238" s="268">
        <f>AM238</f>
        <v>0</v>
      </c>
      <c r="AO238" s="268">
        <f>AN238</f>
        <v>0</v>
      </c>
      <c r="AP238" s="268">
        <f>AO238</f>
        <v>0</v>
      </c>
      <c r="AQ238" s="268">
        <f>AP238</f>
        <v>0</v>
      </c>
      <c r="AR238" s="268">
        <f>AQ238</f>
        <v>0</v>
      </c>
      <c r="AS238" s="268">
        <f>AR238</f>
        <v>0</v>
      </c>
      <c r="AT238" s="268">
        <f>AS238</f>
        <v>0</v>
      </c>
      <c r="AU238" s="268">
        <f>AT238</f>
        <v>0</v>
      </c>
      <c r="AV238" s="268">
        <f>AU238</f>
        <v>0</v>
      </c>
      <c r="AW238" s="268">
        <f>AV238</f>
        <v>0</v>
      </c>
      <c r="AX238" s="268">
        <f>AW238</f>
        <v>0</v>
      </c>
      <c r="AY238" s="268">
        <f>AX238</f>
        <v>0</v>
      </c>
      <c r="AZ238" s="268">
        <f>AY238</f>
        <v>0</v>
      </c>
      <c r="BA238" s="268">
        <f>AZ238</f>
        <v>0</v>
      </c>
      <c r="BB238" s="268">
        <f>BA238</f>
        <v>0</v>
      </c>
      <c r="BC238" s="268">
        <f>BB238</f>
        <v>0</v>
      </c>
      <c r="BD238" s="268">
        <f>BC238</f>
        <v>0</v>
      </c>
      <c r="BE238" s="268">
        <f>BD238</f>
        <v>0</v>
      </c>
      <c r="BF238" s="268">
        <f>BE238</f>
        <v>0</v>
      </c>
      <c r="BG238" s="268">
        <f>BF238</f>
        <v>0</v>
      </c>
      <c r="BH238" s="268">
        <f>BG238</f>
        <v>0</v>
      </c>
      <c r="BI238" s="268">
        <f>BH238</f>
        <v>0</v>
      </c>
      <c r="BJ238" s="268">
        <f>BI238</f>
        <v>0</v>
      </c>
      <c r="BK238" s="268">
        <f>BJ238</f>
        <v>0</v>
      </c>
      <c r="BL238" s="268">
        <f>BK238</f>
        <v>0</v>
      </c>
      <c r="BM238" s="268">
        <f>BL238</f>
        <v>0</v>
      </c>
      <c r="BN238" s="268">
        <f>BM238</f>
        <v>0</v>
      </c>
      <c r="BO238" s="268">
        <f>BN238</f>
        <v>0</v>
      </c>
      <c r="BP238" s="268">
        <f>BO238</f>
        <v>0</v>
      </c>
      <c r="BQ238" s="268">
        <f>BP238</f>
        <v>0</v>
      </c>
      <c r="BR238" s="268">
        <f>BQ238</f>
        <v>0</v>
      </c>
      <c r="BS238" s="268">
        <f>BR238</f>
        <v>0</v>
      </c>
      <c r="BT238" s="268">
        <f>BS238</f>
        <v>0</v>
      </c>
      <c r="BU238" s="268">
        <f>BT238</f>
        <v>0</v>
      </c>
      <c r="BV238" s="268">
        <f>BU238</f>
        <v>0</v>
      </c>
      <c r="BW238" s="268">
        <f>BV238</f>
        <v>0</v>
      </c>
      <c r="BX238" s="268">
        <f>BW238</f>
        <v>0</v>
      </c>
      <c r="BY238" s="268">
        <f>BX238</f>
        <v>0</v>
      </c>
      <c r="BZ238" s="268">
        <f>BY238</f>
        <v>0</v>
      </c>
      <c r="CA238" s="268">
        <f>BZ238</f>
        <v>0</v>
      </c>
      <c r="CB238" s="268">
        <f>CA238</f>
        <v>0</v>
      </c>
      <c r="CC238" s="268">
        <f>CB238</f>
        <v>0</v>
      </c>
      <c r="CD238" s="268">
        <f>CC238</f>
        <v>0</v>
      </c>
      <c r="CE238" s="268">
        <f>CD238</f>
        <v>0</v>
      </c>
      <c r="CF238" s="268">
        <f>CE238</f>
        <v>0</v>
      </c>
      <c r="CG238" s="268">
        <f>CF238</f>
        <v>0</v>
      </c>
      <c r="CH238" s="268">
        <f>CG238</f>
        <v>0</v>
      </c>
      <c r="CI238" s="268">
        <f>CH238</f>
        <v>0</v>
      </c>
      <c r="CJ238" s="268">
        <f>CI238</f>
        <v>0</v>
      </c>
      <c r="CK238" s="268">
        <f>CJ238</f>
        <v>0</v>
      </c>
      <c r="CL238" s="268">
        <f>CK238</f>
        <v>0</v>
      </c>
      <c r="CM238" s="268">
        <f>CL238</f>
        <v>0</v>
      </c>
      <c r="CN238" s="268">
        <f>CM238</f>
        <v>0</v>
      </c>
      <c r="CO238" s="268">
        <f>CN238</f>
        <v>0</v>
      </c>
      <c r="CP238" s="268">
        <f>CO238</f>
        <v>0</v>
      </c>
      <c r="CQ238" s="268">
        <f>CP238</f>
        <v>0</v>
      </c>
      <c r="CR238" s="268">
        <f>CQ238</f>
        <v>0</v>
      </c>
      <c r="CS238" s="268">
        <f>CR238</f>
        <v>0</v>
      </c>
      <c r="CT238" s="268">
        <f>CS238</f>
        <v>0</v>
      </c>
      <c r="CU238" s="268">
        <f>CT238</f>
        <v>0</v>
      </c>
      <c r="CV238" s="268">
        <f>CU238</f>
        <v>0</v>
      </c>
      <c r="CW238" s="268">
        <f>CV238</f>
        <v>0</v>
      </c>
      <c r="CX238" s="268">
        <f>CW238</f>
        <v>0</v>
      </c>
      <c r="CY238" s="268">
        <f>CX238</f>
        <v>0</v>
      </c>
    </row>
    <row r="239" ht="12.75" customHeight="1" s="255">
      <c r="C239" s="269" t="inlineStr">
        <is>
          <t>Common Stock and APIC</t>
        </is>
      </c>
      <c r="D239" s="301">
        <f>INDEX('Inputs (2)'!$D$43:$AL$43,MATCH(D$7,'Inputs (2)'!$D$2:$AL$2,0))</f>
        <v>6510</v>
      </c>
      <c r="E239" s="301">
        <f>INDEX('Inputs (2)'!$D$43:$AL$43,MATCH(E$7,'Inputs (2)'!$D$2:$AL$2,0))</f>
        <v>6597</v>
      </c>
      <c r="F239" s="301">
        <f>INDEX('Inputs (2)'!$D$43:$AL$43,MATCH(F$7,'Inputs (2)'!$D$2:$AL$2,0))</f>
        <v>6702</v>
      </c>
      <c r="G239" s="301">
        <f>INDEX('Inputs (2)'!$D$43:$AL$43,MATCH(G$7,'Inputs (2)'!$D$2:$AL$2,0))</f>
        <v>6729</v>
      </c>
      <c r="H239" s="268">
        <f>G239</f>
        <v>6729</v>
      </c>
      <c r="I239" s="301">
        <f>INDEX('Inputs (2)'!$D$43:$AL$43,MATCH(I$7,'Inputs (2)'!$D$2:$AL$2,0))</f>
        <v>6847</v>
      </c>
      <c r="J239" s="301">
        <f>INDEX('Inputs (2)'!$D$43:$AL$43,MATCH(J$7,'Inputs (2)'!$D$2:$AL$2,0))</f>
        <v>6925</v>
      </c>
      <c r="K239" s="301">
        <f>INDEX('Inputs (2)'!$D$43:$AL$43,MATCH(K$7,'Inputs (2)'!$D$2:$AL$2,0))</f>
        <v>7035</v>
      </c>
      <c r="L239" s="301">
        <f>INDEX('Inputs (2)'!$D$43:$AL$43,MATCH(L$7,'Inputs (2)'!$D$2:$AL$2,0))</f>
        <v>7068</v>
      </c>
      <c r="M239" s="268">
        <f>L239</f>
        <v>7068</v>
      </c>
      <c r="N239" s="301">
        <f>INDEX('Inputs (2)'!$D$43:$AL$43,MATCH(N$7,'Inputs (2)'!$D$2:$AL$2,0))</f>
        <v>7190</v>
      </c>
      <c r="O239" s="301">
        <f>INDEX('Inputs (2)'!$D$43:$AL$43,MATCH(O$7,'Inputs (2)'!$D$2:$AL$2,0))</f>
        <v>7276</v>
      </c>
      <c r="P239" s="301">
        <f>INDEX('Inputs (2)'!$D$43:$AL$43,MATCH(P$7,'Inputs (2)'!$D$2:$AL$2,0))</f>
        <v>6886</v>
      </c>
      <c r="Q239" s="301">
        <f>INDEX('Inputs (2)'!$D$43:$AL$43,MATCH(Q$7,'Inputs (2)'!$D$2:$AL$2,0))</f>
        <v>6984</v>
      </c>
      <c r="R239" s="268">
        <f>Q239</f>
        <v>6984</v>
      </c>
      <c r="S239" s="301">
        <f>INDEX('Inputs (2)'!$D$43:$AL$43,MATCH(S$7,'Inputs (2)'!$D$2:$AL$2,0))</f>
        <v>7125</v>
      </c>
      <c r="T239" s="301">
        <f>INDEX('Inputs (2)'!$D$43:$AL$43,MATCH(T$7,'Inputs (2)'!$D$2:$AL$2,0))</f>
        <v>7213</v>
      </c>
      <c r="U239" s="301">
        <f>INDEX('Inputs (2)'!$D$43:$AL$43,MATCH(U$7,'Inputs (2)'!$D$2:$AL$2,0))</f>
        <v>7342</v>
      </c>
      <c r="V239" s="301">
        <f>INDEX('Inputs (2)'!$D$43:$AL$43,MATCH(V$7,'Inputs (2)'!$D$2:$AL$2,0))</f>
        <v>7491</v>
      </c>
      <c r="W239" s="268">
        <f>V239</f>
        <v>7491</v>
      </c>
      <c r="X239" s="301">
        <f>INDEX('Inputs (2)'!$D$43:$AL$43,MATCH(X$7,'Inputs (2)'!$D$2:$AL$2,0))</f>
        <v>7622</v>
      </c>
      <c r="Y239" s="301">
        <f>INDEX('Inputs (2)'!$D$43:$AL$43,MATCH(Y$7,'Inputs (2)'!$D$2:$AL$2,0))</f>
        <v>7704</v>
      </c>
      <c r="Z239" s="301">
        <f>INDEX('Inputs (2)'!$D$43:$AL$43,MATCH(Z$7,'Inputs (2)'!$D$2:$AL$2,0))</f>
        <v>7831</v>
      </c>
      <c r="AA239" s="301">
        <f>INDEX('Inputs (2)'!$D$43:$AL$43,MATCH(AA$7,'Inputs (2)'!$D$2:$AL$2,0))</f>
        <v>7903</v>
      </c>
      <c r="AB239" s="268">
        <f>AA239</f>
        <v>7903</v>
      </c>
      <c r="AC239" s="301">
        <f>INDEX('Inputs (2)'!$D$43:$AL$43,MATCH(AC$7,'Inputs (2)'!$D$2:$AL$2,0))</f>
        <v>8049</v>
      </c>
      <c r="AD239" s="301">
        <f>INDEX('Inputs (2)'!$D$43:$AL$43,MATCH(AD$7,'Inputs (2)'!$D$2:$AL$2,0))</f>
        <v>8150</v>
      </c>
      <c r="AE239" s="301">
        <f>INDEX('Inputs (2)'!$D$43:$AL$43,MATCH(AE$7,'Inputs (2)'!$D$2:$AL$2,0))</f>
        <v>8284</v>
      </c>
      <c r="AF239" s="301">
        <f>INDEX('Inputs (2)'!$D$43:$AL$43,MATCH(AF$7,'Inputs (2)'!$D$2:$AL$2,0))</f>
        <v>8410</v>
      </c>
      <c r="AG239" s="268">
        <f>AF239</f>
        <v>8410</v>
      </c>
      <c r="AH239" s="268">
        <f>INDEX('Inputs (2)'!$D$43:$AL$43,MATCH(AH$7,'Inputs (2)'!$D$2:$AL$2,0))</f>
        <v>8572</v>
      </c>
      <c r="AI239" s="268">
        <f>INDEX('Inputs (2)'!$D$43:$AL$43,MATCH(AI$7,'Inputs (2)'!$D$2:$AL$2,0))</f>
        <v>8685</v>
      </c>
      <c r="AJ239" s="268">
        <f>AI239+AJ243</f>
        <v>8685</v>
      </c>
      <c r="AK239" s="268">
        <f>AJ239+AK243</f>
        <v>8685</v>
      </c>
      <c r="AL239" s="268">
        <f>AK239</f>
        <v>8685</v>
      </c>
      <c r="AM239" s="268">
        <f>AL239+AM243</f>
        <v>8685</v>
      </c>
      <c r="AN239" s="268">
        <f>AM239+AN243</f>
        <v>8685</v>
      </c>
      <c r="AO239" s="268">
        <f>AN239+AO243</f>
        <v>8685</v>
      </c>
      <c r="AP239" s="268">
        <f>AO239+AP243</f>
        <v>8685</v>
      </c>
      <c r="AQ239" s="268">
        <f>AP239</f>
        <v>8685</v>
      </c>
      <c r="AR239" s="268">
        <f>AQ239+AR243</f>
        <v>8685</v>
      </c>
      <c r="AS239" s="268">
        <f>AR239+AS243</f>
        <v>8685</v>
      </c>
      <c r="AT239" s="268">
        <f>AS239+AT243</f>
        <v>8685</v>
      </c>
      <c r="AU239" s="268">
        <f>AT239+AU243</f>
        <v>8685</v>
      </c>
      <c r="AV239" s="268">
        <f>AU239</f>
        <v>8685</v>
      </c>
      <c r="AW239" s="268">
        <f>AV239+AW243</f>
        <v>8685</v>
      </c>
      <c r="AX239" s="268">
        <f>AW239+AX243</f>
        <v>8685</v>
      </c>
      <c r="AY239" s="268">
        <f>AX239+AY243</f>
        <v>8685</v>
      </c>
      <c r="AZ239" s="268">
        <f>AY239+AZ243</f>
        <v>8685</v>
      </c>
      <c r="BA239" s="268">
        <f>AZ239</f>
        <v>8685</v>
      </c>
      <c r="BB239" s="268">
        <f>BA239+BB243</f>
        <v>8685</v>
      </c>
      <c r="BC239" s="268">
        <f>BB239+BC243</f>
        <v>8685</v>
      </c>
      <c r="BD239" s="268">
        <f>BC239+BD243</f>
        <v>8685</v>
      </c>
      <c r="BE239" s="268">
        <f>BD239+BE243</f>
        <v>8685</v>
      </c>
      <c r="BF239" s="268">
        <f>BE239</f>
        <v>8685</v>
      </c>
      <c r="BG239" s="268">
        <f>BF239+BG243</f>
        <v>8685</v>
      </c>
      <c r="BH239" s="268">
        <f>BG239+BH243</f>
        <v>8685</v>
      </c>
      <c r="BI239" s="268">
        <f>BH239+BI243</f>
        <v>8685</v>
      </c>
      <c r="BJ239" s="268">
        <f>BI239+BJ243</f>
        <v>8685</v>
      </c>
      <c r="BK239" s="268">
        <f>BJ239</f>
        <v>8685</v>
      </c>
      <c r="BL239" s="268">
        <f>BK239+BL243</f>
        <v>8685</v>
      </c>
      <c r="BM239" s="268">
        <f>BL239+BM243</f>
        <v>8685</v>
      </c>
      <c r="BN239" s="268">
        <f>BM239+BN243</f>
        <v>8685</v>
      </c>
      <c r="BO239" s="268">
        <f>BN239+BO243</f>
        <v>8685</v>
      </c>
      <c r="BP239" s="268">
        <f>BO239</f>
        <v>8685</v>
      </c>
      <c r="BQ239" s="268">
        <f>BP239+BQ243</f>
        <v>8685</v>
      </c>
      <c r="BR239" s="268">
        <f>BQ239+BR243</f>
        <v>8685</v>
      </c>
      <c r="BS239" s="268">
        <f>BR239+BS243</f>
        <v>8685</v>
      </c>
      <c r="BT239" s="268">
        <f>BS239+BT243</f>
        <v>8685</v>
      </c>
      <c r="BU239" s="268">
        <f>BT239</f>
        <v>8685</v>
      </c>
      <c r="BV239" s="268">
        <f>BU239+BV243</f>
        <v>8685</v>
      </c>
      <c r="BW239" s="268">
        <f>BV239+BW243</f>
        <v>8685</v>
      </c>
      <c r="BX239" s="268">
        <f>BW239+BX243</f>
        <v>8685</v>
      </c>
      <c r="BY239" s="268">
        <f>BX239+BY243</f>
        <v>8685</v>
      </c>
      <c r="BZ239" s="268">
        <f>BY239</f>
        <v>8685</v>
      </c>
      <c r="CA239" s="268">
        <f>BZ239+CA243</f>
        <v>8685</v>
      </c>
      <c r="CB239" s="268">
        <f>CA239+CB243</f>
        <v>8685</v>
      </c>
      <c r="CC239" s="268">
        <f>CB239+CC243</f>
        <v>8685</v>
      </c>
      <c r="CD239" s="268">
        <f>CC239+CD243</f>
        <v>8685</v>
      </c>
      <c r="CE239" s="268">
        <f>CD239</f>
        <v>8685</v>
      </c>
      <c r="CF239" s="268">
        <f>CE239+CF243</f>
        <v>8685</v>
      </c>
      <c r="CG239" s="268">
        <f>CF239+CG243</f>
        <v>8685</v>
      </c>
      <c r="CH239" s="268">
        <f>CG239+CH243</f>
        <v>8685</v>
      </c>
      <c r="CI239" s="268">
        <f>CH239+CI243</f>
        <v>8685</v>
      </c>
      <c r="CJ239" s="268">
        <f>CI239</f>
        <v>8685</v>
      </c>
      <c r="CK239" s="268">
        <f>CJ239+CK243</f>
        <v>8685</v>
      </c>
      <c r="CL239" s="268">
        <f>CK239+CL243</f>
        <v>8685</v>
      </c>
      <c r="CM239" s="268">
        <f>CL239+CM243</f>
        <v>8685</v>
      </c>
      <c r="CN239" s="268">
        <f>CM239+CN243</f>
        <v>8685</v>
      </c>
      <c r="CO239" s="268">
        <f>CN239</f>
        <v>8685</v>
      </c>
      <c r="CP239" s="268">
        <f>CO239+CP243</f>
        <v>8685</v>
      </c>
      <c r="CQ239" s="268">
        <f>CP239+CQ243</f>
        <v>8685</v>
      </c>
      <c r="CR239" s="268">
        <f>CQ239+CR243</f>
        <v>8685</v>
      </c>
      <c r="CS239" s="268">
        <f>CR239+CS243</f>
        <v>8685</v>
      </c>
      <c r="CT239" s="268">
        <f>CS239</f>
        <v>8685</v>
      </c>
      <c r="CU239" s="268">
        <f>CT239+CU243</f>
        <v>8685</v>
      </c>
      <c r="CV239" s="268">
        <f>CU239+CV243</f>
        <v>8685</v>
      </c>
      <c r="CW239" s="268">
        <f>CV239+CW243</f>
        <v>8685</v>
      </c>
      <c r="CX239" s="268">
        <f>CW239+CX243</f>
        <v>8685</v>
      </c>
      <c r="CY239" s="268">
        <f>CX239</f>
        <v>8685</v>
      </c>
    </row>
    <row r="240" hidden="1" outlineLevel="1" ht="12.75" customFormat="1" customHeight="1" s="322">
      <c r="A240" s="293" t="n"/>
      <c r="B240" s="293" t="n"/>
      <c r="C240" s="323" t="n"/>
      <c r="D240" s="298" t="n"/>
      <c r="E240" s="298" t="n"/>
      <c r="F240" s="298" t="n"/>
      <c r="G240" s="298" t="n"/>
      <c r="H240" s="298" t="n"/>
      <c r="I240" s="298" t="n"/>
      <c r="J240" s="298" t="n"/>
      <c r="K240" s="298" t="n"/>
      <c r="L240" s="298" t="n"/>
      <c r="M240" s="298" t="n"/>
      <c r="N240" s="298" t="n"/>
      <c r="O240" s="298" t="n"/>
      <c r="P240" s="298" t="n"/>
      <c r="Q240" s="298" t="n"/>
      <c r="R240" s="298" t="n"/>
      <c r="S240" s="298" t="n"/>
      <c r="T240" s="298" t="n"/>
      <c r="U240" s="298" t="n"/>
      <c r="V240" s="298" t="n"/>
      <c r="W240" s="298" t="n"/>
      <c r="X240" s="298" t="n"/>
      <c r="Y240" s="298" t="n"/>
      <c r="Z240" s="298" t="n"/>
      <c r="AA240" s="298" t="n"/>
      <c r="AB240" s="298" t="n"/>
      <c r="AC240" s="298" t="n"/>
      <c r="AD240" s="298" t="n"/>
      <c r="AE240" s="298" t="n"/>
      <c r="AF240" s="298" t="n"/>
      <c r="AG240" s="298" t="n"/>
      <c r="AH240" s="298" t="n"/>
      <c r="AI240" s="298" t="n"/>
      <c r="AJ240" s="298" t="n"/>
      <c r="AK240" s="298" t="n"/>
      <c r="AL240" s="298" t="n"/>
      <c r="AM240" s="298" t="n"/>
      <c r="AN240" s="298" t="n"/>
      <c r="AO240" s="298" t="n"/>
      <c r="AP240" s="298" t="n"/>
      <c r="AQ240" s="298" t="n"/>
      <c r="AR240" s="298" t="n"/>
      <c r="AS240" s="298" t="n"/>
      <c r="AT240" s="298" t="n"/>
      <c r="AU240" s="298" t="n"/>
      <c r="AV240" s="298" t="n"/>
      <c r="AW240" s="298" t="n"/>
      <c r="AX240" s="298" t="n"/>
      <c r="AY240" s="298" t="n"/>
      <c r="AZ240" s="298" t="n"/>
      <c r="BA240" s="298" t="n"/>
      <c r="BB240" s="298" t="n"/>
      <c r="BC240" s="298" t="n"/>
      <c r="BD240" s="298" t="n"/>
      <c r="BE240" s="298" t="n"/>
      <c r="BF240" s="298" t="n"/>
      <c r="BG240" s="298" t="n"/>
      <c r="BH240" s="298" t="n"/>
      <c r="BI240" s="298" t="n"/>
      <c r="BJ240" s="298" t="n"/>
      <c r="BK240" s="298" t="n"/>
      <c r="BL240" s="298" t="n"/>
      <c r="BM240" s="298" t="n"/>
      <c r="BN240" s="298" t="n"/>
      <c r="BO240" s="298" t="n"/>
      <c r="BP240" s="298" t="n"/>
      <c r="BQ240" s="298" t="n"/>
      <c r="BR240" s="298" t="n"/>
      <c r="BS240" s="298" t="n"/>
      <c r="BT240" s="298" t="n"/>
      <c r="BU240" s="298" t="n"/>
      <c r="BV240" s="298" t="n"/>
      <c r="BW240" s="298" t="n"/>
      <c r="BX240" s="298" t="n"/>
      <c r="BY240" s="298" t="n"/>
      <c r="BZ240" s="298" t="n"/>
      <c r="CA240" s="298" t="n"/>
      <c r="CB240" s="298" t="n"/>
      <c r="CC240" s="298" t="n"/>
      <c r="CD240" s="298" t="n"/>
      <c r="CE240" s="298" t="n"/>
      <c r="CF240" s="298" t="n"/>
      <c r="CG240" s="298" t="n"/>
      <c r="CH240" s="298" t="n"/>
      <c r="CI240" s="298" t="n"/>
      <c r="CJ240" s="298" t="n"/>
      <c r="CK240" s="298" t="n"/>
      <c r="CL240" s="298" t="n"/>
      <c r="CM240" s="298" t="n"/>
      <c r="CN240" s="298" t="n"/>
      <c r="CO240" s="298" t="n"/>
      <c r="CP240" s="298" t="n"/>
      <c r="CQ240" s="298" t="n"/>
      <c r="CR240" s="298" t="n"/>
      <c r="CS240" s="298" t="n"/>
      <c r="CT240" s="298" t="n"/>
      <c r="CU240" s="298" t="n"/>
      <c r="CV240" s="298" t="n"/>
      <c r="CW240" s="298" t="n"/>
      <c r="CX240" s="298" t="n"/>
      <c r="CY240" s="298" t="n"/>
    </row>
    <row r="241" hidden="1" outlineLevel="1" ht="12.75" customFormat="1" customHeight="1" s="322">
      <c r="A241" s="293" t="n"/>
      <c r="B241" s="293" t="n"/>
      <c r="C241" s="323" t="inlineStr">
        <is>
          <t>Diluted Shares outstanding</t>
        </is>
      </c>
      <c r="D241" s="298" t="n"/>
      <c r="E241" s="298" t="n"/>
      <c r="F241" s="298" t="n"/>
      <c r="G241" s="298" t="n"/>
      <c r="H241" s="298" t="n"/>
      <c r="I241" s="298" t="n"/>
      <c r="J241" s="298" t="n"/>
      <c r="K241" s="298" t="n"/>
      <c r="L241" s="298" t="n"/>
      <c r="M241" s="298" t="n"/>
      <c r="N241" s="298" t="n"/>
      <c r="O241" s="298" t="n"/>
      <c r="P241" s="298" t="n"/>
      <c r="Q241" s="298" t="n"/>
      <c r="R241" s="298" t="n"/>
      <c r="S241" s="298" t="n"/>
      <c r="T241" s="298" t="n"/>
      <c r="U241" s="298" t="n"/>
      <c r="V241" s="298" t="n"/>
      <c r="W241" s="298" t="n"/>
      <c r="X241" s="298" t="n"/>
      <c r="Y241" s="298" t="n"/>
      <c r="Z241" s="298" t="n"/>
      <c r="AA241" s="298" t="n"/>
      <c r="AB241" s="298" t="n"/>
      <c r="AC241" s="298" t="n"/>
      <c r="AD241" s="298" t="n"/>
      <c r="AE241" s="298" t="n"/>
      <c r="AF241" s="298" t="n"/>
      <c r="AG241" s="298" t="n"/>
      <c r="AH241" s="298" t="n"/>
      <c r="AI241" s="298" t="n"/>
      <c r="AJ241" s="298" t="n"/>
      <c r="AK241" s="298" t="n"/>
      <c r="AL241" s="298" t="n"/>
      <c r="AM241" s="298" t="n"/>
      <c r="AN241" s="298" t="n"/>
      <c r="AO241" s="298" t="n"/>
      <c r="AP241" s="298" t="n"/>
      <c r="AQ241" s="298" t="n"/>
      <c r="AR241" s="298" t="n"/>
      <c r="AS241" s="298" t="n"/>
      <c r="AT241" s="298" t="n"/>
      <c r="AU241" s="298" t="n"/>
      <c r="AV241" s="298" t="n"/>
      <c r="AW241" s="298" t="n"/>
      <c r="AX241" s="298" t="n"/>
      <c r="AY241" s="298" t="n"/>
      <c r="AZ241" s="298" t="n"/>
      <c r="BA241" s="298" t="n"/>
      <c r="BB241" s="298" t="n"/>
      <c r="BC241" s="298" t="n"/>
      <c r="BD241" s="298" t="n"/>
      <c r="BE241" s="298" t="n"/>
      <c r="BF241" s="298" t="n"/>
      <c r="BG241" s="298" t="n"/>
      <c r="BH241" s="298" t="n"/>
      <c r="BI241" s="298" t="n"/>
      <c r="BJ241" s="298" t="n"/>
      <c r="BK241" s="298" t="n"/>
      <c r="BL241" s="298" t="n"/>
      <c r="BM241" s="298" t="n"/>
      <c r="BN241" s="298" t="n"/>
      <c r="BO241" s="298" t="n"/>
      <c r="BP241" s="298" t="n"/>
      <c r="BQ241" s="298" t="n"/>
      <c r="BR241" s="298" t="n"/>
      <c r="BS241" s="298" t="n"/>
      <c r="BT241" s="298" t="n"/>
      <c r="BU241" s="298" t="n"/>
      <c r="BV241" s="298" t="n"/>
      <c r="BW241" s="298" t="n"/>
      <c r="BX241" s="298" t="n"/>
      <c r="BY241" s="298" t="n"/>
      <c r="BZ241" s="298" t="n"/>
      <c r="CA241" s="298" t="n"/>
      <c r="CB241" s="298" t="n"/>
      <c r="CC241" s="298" t="n"/>
      <c r="CD241" s="298" t="n"/>
      <c r="CE241" s="298" t="n"/>
      <c r="CF241" s="298" t="n"/>
      <c r="CG241" s="298" t="n"/>
      <c r="CH241" s="298" t="n"/>
      <c r="CI241" s="298" t="n"/>
      <c r="CJ241" s="298" t="n"/>
      <c r="CK241" s="298" t="n"/>
      <c r="CL241" s="298" t="n"/>
      <c r="CM241" s="298" t="n"/>
      <c r="CN241" s="298" t="n"/>
      <c r="CO241" s="298" t="n"/>
      <c r="CP241" s="298" t="n"/>
      <c r="CQ241" s="298" t="n"/>
      <c r="CR241" s="298" t="n"/>
      <c r="CS241" s="298" t="n"/>
      <c r="CT241" s="298" t="n"/>
      <c r="CU241" s="298" t="n"/>
      <c r="CV241" s="298" t="n"/>
      <c r="CW241" s="298" t="n"/>
      <c r="CX241" s="298" t="n"/>
      <c r="CY241" s="298" t="n"/>
    </row>
    <row r="242" hidden="1" outlineLevel="1" ht="12.75" customFormat="1" customHeight="1" s="322">
      <c r="A242" s="293" t="n"/>
      <c r="B242" s="293" t="n"/>
      <c r="C242" s="323" t="inlineStr">
        <is>
          <t>Treasury share $ repurchases</t>
        </is>
      </c>
      <c r="D242" s="298" t="n"/>
      <c r="E242" s="298" t="n"/>
      <c r="F242" s="298" t="n"/>
      <c r="G242" s="298" t="n"/>
      <c r="H242" s="298" t="n"/>
      <c r="I242" s="298" t="n"/>
      <c r="J242" s="298" t="n"/>
      <c r="K242" s="298" t="n"/>
      <c r="L242" s="298" t="n"/>
      <c r="M242" s="298" t="n"/>
      <c r="N242" s="298" t="n"/>
      <c r="O242" s="298" t="n"/>
      <c r="P242" s="298" t="n"/>
      <c r="Q242" s="298" t="n"/>
      <c r="R242" s="298" t="n"/>
      <c r="S242" s="298" t="n"/>
      <c r="T242" s="298" t="n"/>
      <c r="U242" s="298" t="n"/>
      <c r="V242" s="298" t="n"/>
      <c r="W242" s="298" t="n"/>
      <c r="X242" s="298" t="n"/>
      <c r="Y242" s="298" t="n"/>
      <c r="Z242" s="298" t="n"/>
      <c r="AA242" s="298" t="n"/>
      <c r="AB242" s="298" t="n"/>
      <c r="AC242" s="298" t="n"/>
      <c r="AD242" s="298" t="n"/>
      <c r="AE242" s="298" t="n"/>
      <c r="AF242" s="298" t="n"/>
      <c r="AG242" s="298" t="n"/>
      <c r="AH242" s="267" t="n"/>
      <c r="AI242" s="267" t="n"/>
      <c r="AJ242" s="267" t="n"/>
      <c r="AK242" s="267" t="n"/>
      <c r="AL242" s="298" t="n"/>
      <c r="AM242" s="267" t="n"/>
      <c r="AN242" s="267" t="n"/>
      <c r="AO242" s="267" t="n"/>
      <c r="AP242" s="267" t="n"/>
      <c r="AQ242" s="298" t="n"/>
      <c r="AR242" s="267" t="n"/>
      <c r="AS242" s="267" t="n"/>
      <c r="AT242" s="267" t="n"/>
      <c r="AU242" s="267" t="n"/>
      <c r="AV242" s="298" t="n"/>
      <c r="AW242" s="267" t="n"/>
      <c r="AX242" s="267" t="n"/>
      <c r="AY242" s="267" t="n"/>
      <c r="AZ242" s="267" t="n"/>
      <c r="BA242" s="298" t="n"/>
      <c r="BB242" s="267" t="n"/>
      <c r="BC242" s="267" t="n"/>
      <c r="BD242" s="267" t="n"/>
      <c r="BE242" s="267" t="n"/>
      <c r="BF242" s="298" t="n"/>
      <c r="BG242" s="267" t="n"/>
      <c r="BH242" s="267" t="n"/>
      <c r="BI242" s="267" t="n"/>
      <c r="BJ242" s="267" t="n"/>
      <c r="BK242" s="298" t="n"/>
      <c r="BL242" s="267" t="n"/>
      <c r="BM242" s="267" t="n"/>
      <c r="BN242" s="267" t="n"/>
      <c r="BO242" s="267" t="n"/>
      <c r="BP242" s="298" t="n"/>
      <c r="BQ242" s="267" t="n"/>
      <c r="BR242" s="267" t="n"/>
      <c r="BS242" s="267" t="n"/>
      <c r="BT242" s="267" t="n"/>
      <c r="BU242" s="298" t="n"/>
      <c r="BV242" s="267" t="n"/>
      <c r="BW242" s="267" t="n"/>
      <c r="BX242" s="267" t="n"/>
      <c r="BY242" s="267" t="n"/>
      <c r="BZ242" s="298" t="n"/>
      <c r="CA242" s="267" t="n"/>
      <c r="CB242" s="267" t="n"/>
      <c r="CC242" s="267" t="n"/>
      <c r="CD242" s="267" t="n"/>
      <c r="CE242" s="298" t="n"/>
      <c r="CF242" s="267" t="n"/>
      <c r="CG242" s="267" t="n"/>
      <c r="CH242" s="267" t="n"/>
      <c r="CI242" s="267" t="n"/>
      <c r="CJ242" s="298" t="n"/>
      <c r="CK242" s="267" t="n"/>
      <c r="CL242" s="267" t="n"/>
      <c r="CM242" s="267" t="n"/>
      <c r="CN242" s="267" t="n"/>
      <c r="CO242" s="298" t="n"/>
      <c r="CP242" s="267" t="n"/>
      <c r="CQ242" s="267" t="n"/>
      <c r="CR242" s="267" t="n"/>
      <c r="CS242" s="267" t="n"/>
      <c r="CT242" s="298" t="n"/>
      <c r="CU242" s="267" t="n"/>
      <c r="CV242" s="267" t="n"/>
      <c r="CW242" s="267" t="n"/>
      <c r="CX242" s="267" t="n"/>
      <c r="CY242" s="298" t="n"/>
    </row>
    <row r="243" hidden="1" outlineLevel="1" ht="12.75" customFormat="1" customHeight="1" s="322">
      <c r="A243" s="293" t="n"/>
      <c r="B243" s="293" t="n"/>
      <c r="C243" s="323" t="inlineStr">
        <is>
          <t>Value of shares issued</t>
        </is>
      </c>
      <c r="D243" s="298" t="n"/>
      <c r="E243" s="298" t="n"/>
      <c r="F243" s="298" t="n"/>
      <c r="G243" s="298" t="n"/>
      <c r="H243" s="298" t="n"/>
      <c r="I243" s="298" t="n"/>
      <c r="J243" s="298" t="n"/>
      <c r="K243" s="298" t="n"/>
      <c r="L243" s="298" t="n"/>
      <c r="M243" s="298" t="n"/>
      <c r="N243" s="298" t="n"/>
      <c r="O243" s="298" t="n"/>
      <c r="P243" s="298" t="n"/>
      <c r="Q243" s="298" t="n"/>
      <c r="R243" s="298" t="n"/>
      <c r="S243" s="298" t="n"/>
      <c r="T243" s="298" t="n"/>
      <c r="U243" s="298" t="n"/>
      <c r="V243" s="298" t="n"/>
      <c r="W243" s="298" t="n"/>
      <c r="X243" s="298" t="n"/>
      <c r="Y243" s="298" t="n"/>
      <c r="Z243" s="298" t="n"/>
      <c r="AA243" s="298" t="n"/>
      <c r="AB243" s="298" t="n"/>
      <c r="AC243" s="298" t="n"/>
      <c r="AD243" s="298" t="n"/>
      <c r="AE243" s="298" t="n"/>
      <c r="AF243" s="298" t="n"/>
      <c r="AG243" s="298" t="n"/>
      <c r="AH243" s="267" t="n"/>
      <c r="AI243" s="267" t="n"/>
      <c r="AJ243" s="267" t="n"/>
      <c r="AK243" s="267" t="n"/>
      <c r="AL243" s="298" t="n"/>
      <c r="AM243" s="267" t="n"/>
      <c r="AN243" s="267" t="n"/>
      <c r="AO243" s="267" t="n"/>
      <c r="AP243" s="267" t="n"/>
      <c r="AQ243" s="298" t="n"/>
      <c r="AR243" s="267" t="n"/>
      <c r="AS243" s="267" t="n"/>
      <c r="AT243" s="267" t="n"/>
      <c r="AU243" s="267" t="n"/>
      <c r="AV243" s="298" t="n"/>
      <c r="AW243" s="267" t="n"/>
      <c r="AX243" s="267" t="n"/>
      <c r="AY243" s="267" t="n"/>
      <c r="AZ243" s="267" t="n"/>
      <c r="BA243" s="298" t="n"/>
      <c r="BB243" s="267" t="n"/>
      <c r="BC243" s="267" t="n"/>
      <c r="BD243" s="267" t="n"/>
      <c r="BE243" s="267" t="n"/>
      <c r="BF243" s="298" t="n"/>
      <c r="BG243" s="267" t="n"/>
      <c r="BH243" s="267" t="n"/>
      <c r="BI243" s="267" t="n"/>
      <c r="BJ243" s="267" t="n"/>
      <c r="BK243" s="298" t="n"/>
      <c r="BL243" s="267" t="n"/>
      <c r="BM243" s="267" t="n"/>
      <c r="BN243" s="267" t="n"/>
      <c r="BO243" s="267" t="n"/>
      <c r="BP243" s="298" t="n"/>
      <c r="BQ243" s="267" t="n"/>
      <c r="BR243" s="267" t="n"/>
      <c r="BS243" s="267" t="n"/>
      <c r="BT243" s="267" t="n"/>
      <c r="BU243" s="298" t="n"/>
      <c r="BV243" s="267" t="n"/>
      <c r="BW243" s="267" t="n"/>
      <c r="BX243" s="267" t="n"/>
      <c r="BY243" s="267" t="n"/>
      <c r="BZ243" s="298" t="n"/>
      <c r="CA243" s="267" t="n"/>
      <c r="CB243" s="267" t="n"/>
      <c r="CC243" s="267" t="n"/>
      <c r="CD243" s="267" t="n"/>
      <c r="CE243" s="298" t="n"/>
      <c r="CF243" s="267" t="n"/>
      <c r="CG243" s="267" t="n"/>
      <c r="CH243" s="267" t="n"/>
      <c r="CI243" s="267" t="n"/>
      <c r="CJ243" s="298" t="n"/>
      <c r="CK243" s="267" t="n"/>
      <c r="CL243" s="267" t="n"/>
      <c r="CM243" s="267" t="n"/>
      <c r="CN243" s="267" t="n"/>
      <c r="CO243" s="298" t="n"/>
      <c r="CP243" s="267" t="n"/>
      <c r="CQ243" s="267" t="n"/>
      <c r="CR243" s="267" t="n"/>
      <c r="CS243" s="267" t="n"/>
      <c r="CT243" s="298" t="n"/>
      <c r="CU243" s="267" t="n"/>
      <c r="CV243" s="267" t="n"/>
      <c r="CW243" s="267" t="n"/>
      <c r="CX243" s="267" t="n"/>
      <c r="CY243" s="298" t="n"/>
    </row>
    <row r="244" hidden="1" outlineLevel="1" ht="12.75" customFormat="1" customHeight="1" s="322">
      <c r="A244" s="293" t="n"/>
      <c r="B244" s="293" t="n"/>
      <c r="C244" s="323" t="inlineStr">
        <is>
          <t>Expected average share price</t>
        </is>
      </c>
      <c r="D244" s="298" t="n"/>
      <c r="E244" s="298" t="n"/>
      <c r="F244" s="298" t="n"/>
      <c r="G244" s="298" t="n"/>
      <c r="H244" s="298" t="n"/>
      <c r="I244" s="298" t="n"/>
      <c r="J244" s="298" t="n"/>
      <c r="K244" s="298" t="n"/>
      <c r="L244" s="298" t="n"/>
      <c r="M244" s="298" t="n"/>
      <c r="N244" s="298" t="n"/>
      <c r="O244" s="298" t="n"/>
      <c r="P244" s="298" t="n"/>
      <c r="Q244" s="298" t="n"/>
      <c r="R244" s="298" t="n"/>
      <c r="S244" s="298" t="n"/>
      <c r="T244" s="298" t="n"/>
      <c r="U244" s="298" t="n"/>
      <c r="V244" s="298" t="n"/>
      <c r="W244" s="298" t="n"/>
      <c r="X244" s="298" t="n"/>
      <c r="Y244" s="298" t="n"/>
      <c r="Z244" s="298" t="n"/>
      <c r="AA244" s="298" t="n"/>
      <c r="AB244" s="298" t="n"/>
      <c r="AC244" s="298" t="n"/>
      <c r="AD244" s="298" t="n"/>
      <c r="AE244" s="298" t="n"/>
      <c r="AF244" s="298" t="n"/>
      <c r="AG244" s="324" t="n"/>
      <c r="AH244" s="325">
        <f>AG244*(1+AH245)</f>
        <v>0</v>
      </c>
      <c r="AI244" s="325">
        <f>AH244*(1+AI245)</f>
        <v>0</v>
      </c>
      <c r="AJ244" s="325">
        <f>AI244*(1+AJ245)</f>
        <v>0</v>
      </c>
      <c r="AK244" s="325">
        <f>AJ244*(1+AK245)</f>
        <v>0</v>
      </c>
      <c r="AL244" s="298" t="n"/>
      <c r="AM244" s="325">
        <f>AK244*(1+AM245)</f>
        <v>0</v>
      </c>
      <c r="AN244" s="325">
        <f>AM244*(1+AN245)</f>
        <v>0</v>
      </c>
      <c r="AO244" s="325">
        <f>AN244*(1+AO245)</f>
        <v>0</v>
      </c>
      <c r="AP244" s="325">
        <f>AO244*(1+AP245)</f>
        <v>0</v>
      </c>
      <c r="AQ244" s="298" t="n"/>
      <c r="AR244" s="325">
        <f>AP244*(1+AR245)</f>
        <v>0</v>
      </c>
      <c r="AS244" s="325">
        <f>AR244*(1+AS245)</f>
        <v>0</v>
      </c>
      <c r="AT244" s="325">
        <f>AS244*(1+AT245)</f>
        <v>0</v>
      </c>
      <c r="AU244" s="325">
        <f>AT244*(1+AU245)</f>
        <v>0</v>
      </c>
      <c r="AV244" s="298" t="n"/>
      <c r="AW244" s="325">
        <f>AU244*(1+AW245)</f>
        <v>0</v>
      </c>
      <c r="AX244" s="325">
        <f>AW244*(1+AX245)</f>
        <v>0</v>
      </c>
      <c r="AY244" s="325">
        <f>AX244*(1+AY245)</f>
        <v>0</v>
      </c>
      <c r="AZ244" s="325">
        <f>AY244*(1+AZ245)</f>
        <v>0</v>
      </c>
      <c r="BA244" s="298" t="n"/>
      <c r="BB244" s="325">
        <f>AZ244*(1+BB245)</f>
        <v>0</v>
      </c>
      <c r="BC244" s="325">
        <f>BB244*(1+BC245)</f>
        <v>0</v>
      </c>
      <c r="BD244" s="325">
        <f>BC244*(1+BD245)</f>
        <v>0</v>
      </c>
      <c r="BE244" s="325">
        <f>BD244*(1+BE245)</f>
        <v>0</v>
      </c>
      <c r="BF244" s="298" t="n"/>
      <c r="BG244" s="325">
        <f>BE244*(1+BG245)</f>
        <v>0</v>
      </c>
      <c r="BH244" s="325">
        <f>BG244*(1+BH245)</f>
        <v>0</v>
      </c>
      <c r="BI244" s="325">
        <f>BH244*(1+BI245)</f>
        <v>0</v>
      </c>
      <c r="BJ244" s="325">
        <f>BI244*(1+BJ245)</f>
        <v>0</v>
      </c>
      <c r="BK244" s="298" t="n"/>
      <c r="BL244" s="325">
        <f>BJ244*(1+BL245)</f>
        <v>0</v>
      </c>
      <c r="BM244" s="325">
        <f>BL244*(1+BM245)</f>
        <v>0</v>
      </c>
      <c r="BN244" s="325">
        <f>BM244*(1+BN245)</f>
        <v>0</v>
      </c>
      <c r="BO244" s="325">
        <f>BN244*(1+BO245)</f>
        <v>0</v>
      </c>
      <c r="BP244" s="298" t="n"/>
      <c r="BQ244" s="325">
        <f>BO244*(1+BQ245)</f>
        <v>0</v>
      </c>
      <c r="BR244" s="325">
        <f>BQ244*(1+BR245)</f>
        <v>0</v>
      </c>
      <c r="BS244" s="325">
        <f>BR244*(1+BS245)</f>
        <v>0</v>
      </c>
      <c r="BT244" s="325">
        <f>BS244*(1+BT245)</f>
        <v>0</v>
      </c>
      <c r="BU244" s="298" t="n"/>
      <c r="BV244" s="325">
        <f>BT244*(1+BV245)</f>
        <v>0</v>
      </c>
      <c r="BW244" s="325">
        <f>BV244*(1+BW245)</f>
        <v>0</v>
      </c>
      <c r="BX244" s="325">
        <f>BW244*(1+BX245)</f>
        <v>0</v>
      </c>
      <c r="BY244" s="325">
        <f>BX244*(1+BY245)</f>
        <v>0</v>
      </c>
      <c r="BZ244" s="298" t="n"/>
      <c r="CA244" s="325">
        <f>BY244*(1+CA245)</f>
        <v>0</v>
      </c>
      <c r="CB244" s="325">
        <f>CA244*(1+CB245)</f>
        <v>0</v>
      </c>
      <c r="CC244" s="325">
        <f>CB244*(1+CC245)</f>
        <v>0</v>
      </c>
      <c r="CD244" s="325">
        <f>CC244*(1+CD245)</f>
        <v>0</v>
      </c>
      <c r="CE244" s="298" t="n"/>
      <c r="CF244" s="325">
        <f>CD244*(1+CF245)</f>
        <v>0</v>
      </c>
      <c r="CG244" s="325">
        <f>CF244*(1+CG245)</f>
        <v>0</v>
      </c>
      <c r="CH244" s="325">
        <f>CG244*(1+CH245)</f>
        <v>0</v>
      </c>
      <c r="CI244" s="325">
        <f>CH244*(1+CI245)</f>
        <v>0</v>
      </c>
      <c r="CJ244" s="298" t="n"/>
      <c r="CK244" s="325">
        <f>CI244*(1+CK245)</f>
        <v>0</v>
      </c>
      <c r="CL244" s="325">
        <f>CK244*(1+CL245)</f>
        <v>0</v>
      </c>
      <c r="CM244" s="325">
        <f>CL244*(1+CM245)</f>
        <v>0</v>
      </c>
      <c r="CN244" s="325">
        <f>CM244*(1+CN245)</f>
        <v>0</v>
      </c>
      <c r="CO244" s="298" t="n"/>
      <c r="CP244" s="325">
        <f>CN244*(1+CP245)</f>
        <v>0</v>
      </c>
      <c r="CQ244" s="325">
        <f>CP244*(1+CQ245)</f>
        <v>0</v>
      </c>
      <c r="CR244" s="325">
        <f>CQ244*(1+CR245)</f>
        <v>0</v>
      </c>
      <c r="CS244" s="325">
        <f>CR244*(1+CS245)</f>
        <v>0</v>
      </c>
      <c r="CT244" s="298" t="n"/>
      <c r="CU244" s="325">
        <f>CS244*(1+CU245)</f>
        <v>0</v>
      </c>
      <c r="CV244" s="325">
        <f>CU244*(1+CV245)</f>
        <v>0</v>
      </c>
      <c r="CW244" s="325">
        <f>CV244*(1+CW245)</f>
        <v>0</v>
      </c>
      <c r="CX244" s="325">
        <f>CW244*(1+CX245)</f>
        <v>0</v>
      </c>
      <c r="CY244" s="298" t="n"/>
      <c r="CZ244" s="322">
        <f>CX244*(1+CZ245)</f>
        <v>0</v>
      </c>
      <c r="DA244" s="322">
        <f>CZ244*(1+DA245)</f>
        <v>0</v>
      </c>
      <c r="DB244" s="322">
        <f>DA244*(1+DB245)</f>
        <v>0</v>
      </c>
      <c r="DC244" s="322">
        <f>DB244*(1+DC245)</f>
        <v>0</v>
      </c>
    </row>
    <row r="245" hidden="1" outlineLevel="1" ht="12.75" customFormat="1" customHeight="1" s="322">
      <c r="A245" s="293" t="n"/>
      <c r="B245" s="293" t="n"/>
      <c r="C245" s="323" t="inlineStr">
        <is>
          <t>Consensus EPS growth</t>
        </is>
      </c>
      <c r="D245" s="298" t="n"/>
      <c r="E245" s="298" t="n"/>
      <c r="F245" s="298" t="n"/>
      <c r="G245" s="298" t="n"/>
      <c r="H245" s="298" t="n"/>
      <c r="I245" s="298" t="n"/>
      <c r="J245" s="298" t="n"/>
      <c r="K245" s="298" t="n"/>
      <c r="L245" s="298" t="n"/>
      <c r="M245" s="298" t="n"/>
      <c r="N245" s="298" t="n"/>
      <c r="O245" s="298" t="n"/>
      <c r="P245" s="298" t="n"/>
      <c r="Q245" s="298" t="n"/>
      <c r="R245" s="298" t="n"/>
      <c r="S245" s="298" t="n"/>
      <c r="T245" s="298" t="n"/>
      <c r="U245" s="298" t="n"/>
      <c r="V245" s="298" t="n"/>
      <c r="W245" s="298" t="n"/>
      <c r="X245" s="298" t="n"/>
      <c r="Y245" s="298" t="n"/>
      <c r="Z245" s="298" t="n"/>
      <c r="AA245" s="298" t="n"/>
      <c r="AB245" s="298" t="n"/>
      <c r="AC245" s="298" t="n"/>
      <c r="AD245" s="298" t="n"/>
      <c r="AE245" s="298" t="n"/>
      <c r="AF245" s="298" t="n"/>
      <c r="AG245" s="298" t="n"/>
      <c r="AH245" s="313">
        <f>$AL$250</f>
        <v>0</v>
      </c>
      <c r="AI245" s="313">
        <f>$AL$250</f>
        <v>0</v>
      </c>
      <c r="AJ245" s="313">
        <f>$AL$250</f>
        <v>0</v>
      </c>
      <c r="AK245" s="313">
        <f>$AL$250</f>
        <v>0</v>
      </c>
      <c r="AL245" s="298" t="n"/>
      <c r="AM245" s="313">
        <f>$AL$250</f>
        <v>0</v>
      </c>
      <c r="AN245" s="313">
        <f>$AL$250</f>
        <v>0</v>
      </c>
      <c r="AO245" s="313">
        <f>$AL$250</f>
        <v>0</v>
      </c>
      <c r="AP245" s="313">
        <f>$AL$250</f>
        <v>0</v>
      </c>
      <c r="AQ245" s="298" t="n"/>
      <c r="AR245" s="313">
        <f>$AL$250</f>
        <v>0</v>
      </c>
      <c r="AS245" s="313">
        <f>$AL$250</f>
        <v>0</v>
      </c>
      <c r="AT245" s="313">
        <f>$AL$250</f>
        <v>0</v>
      </c>
      <c r="AU245" s="313">
        <f>$AL$250</f>
        <v>0</v>
      </c>
      <c r="AV245" s="298" t="n"/>
      <c r="AW245" s="313">
        <f>$AL$250</f>
        <v>0</v>
      </c>
      <c r="AX245" s="313">
        <f>$AL$250</f>
        <v>0</v>
      </c>
      <c r="AY245" s="313">
        <f>$AL$250</f>
        <v>0</v>
      </c>
      <c r="AZ245" s="313">
        <f>$AL$250</f>
        <v>0</v>
      </c>
      <c r="BA245" s="298" t="n"/>
      <c r="BB245" s="313">
        <f>$AL$250</f>
        <v>0</v>
      </c>
      <c r="BC245" s="313">
        <f>$AL$250</f>
        <v>0</v>
      </c>
      <c r="BD245" s="313">
        <f>$AL$250</f>
        <v>0</v>
      </c>
      <c r="BE245" s="313">
        <f>$AL$250</f>
        <v>0</v>
      </c>
      <c r="BF245" s="298" t="n"/>
      <c r="BG245" s="313">
        <f>$AL$250</f>
        <v>0</v>
      </c>
      <c r="BH245" s="313">
        <f>$AL$250</f>
        <v>0</v>
      </c>
      <c r="BI245" s="313">
        <f>$AL$250</f>
        <v>0</v>
      </c>
      <c r="BJ245" s="313">
        <f>$AL$250</f>
        <v>0</v>
      </c>
      <c r="BK245" s="298" t="n"/>
      <c r="BL245" s="313">
        <f>$AL$250</f>
        <v>0</v>
      </c>
      <c r="BM245" s="313">
        <f>$AL$250</f>
        <v>0</v>
      </c>
      <c r="BN245" s="313">
        <f>$AL$250</f>
        <v>0</v>
      </c>
      <c r="BO245" s="313">
        <f>$AL$250</f>
        <v>0</v>
      </c>
      <c r="BP245" s="298" t="n"/>
      <c r="BQ245" s="313">
        <f>$AL$250</f>
        <v>0</v>
      </c>
      <c r="BR245" s="313">
        <f>$AL$250</f>
        <v>0</v>
      </c>
      <c r="BS245" s="313">
        <f>$AL$250</f>
        <v>0</v>
      </c>
      <c r="BT245" s="313">
        <f>$AL$250</f>
        <v>0</v>
      </c>
      <c r="BU245" s="298" t="n"/>
      <c r="BV245" s="313">
        <f>$AL$250</f>
        <v>0</v>
      </c>
      <c r="BW245" s="313">
        <f>$AL$250</f>
        <v>0</v>
      </c>
      <c r="BX245" s="313">
        <f>$AL$250</f>
        <v>0</v>
      </c>
      <c r="BY245" s="313">
        <f>$AL$250</f>
        <v>0</v>
      </c>
      <c r="BZ245" s="298" t="n"/>
      <c r="CA245" s="313">
        <f>$AL$250</f>
        <v>0</v>
      </c>
      <c r="CB245" s="313">
        <f>$AL$250</f>
        <v>0</v>
      </c>
      <c r="CC245" s="313">
        <f>$AL$250</f>
        <v>0</v>
      </c>
      <c r="CD245" s="313">
        <f>$AL$250</f>
        <v>0</v>
      </c>
      <c r="CE245" s="298" t="n"/>
      <c r="CF245" s="313">
        <f>$AL$250</f>
        <v>0</v>
      </c>
      <c r="CG245" s="313">
        <f>$AL$250</f>
        <v>0</v>
      </c>
      <c r="CH245" s="313">
        <f>$AL$250</f>
        <v>0</v>
      </c>
      <c r="CI245" s="313">
        <f>$AL$250</f>
        <v>0</v>
      </c>
      <c r="CJ245" s="298" t="n"/>
      <c r="CK245" s="313">
        <f>$AL$250</f>
        <v>0</v>
      </c>
      <c r="CL245" s="313">
        <f>$AL$250</f>
        <v>0</v>
      </c>
      <c r="CM245" s="313">
        <f>$AL$250</f>
        <v>0</v>
      </c>
      <c r="CN245" s="313">
        <f>$AL$250</f>
        <v>0</v>
      </c>
      <c r="CO245" s="298" t="n"/>
      <c r="CP245" s="313">
        <f>$AL$250</f>
        <v>0</v>
      </c>
      <c r="CQ245" s="313">
        <f>$AL$250</f>
        <v>0</v>
      </c>
      <c r="CR245" s="313">
        <f>$AL$250</f>
        <v>0</v>
      </c>
      <c r="CS245" s="313">
        <f>$AL$250</f>
        <v>0</v>
      </c>
      <c r="CT245" s="298" t="n"/>
      <c r="CU245" s="313">
        <f>$AL$250</f>
        <v>0</v>
      </c>
      <c r="CV245" s="313">
        <f>$AL$250</f>
        <v>0</v>
      </c>
      <c r="CW245" s="313">
        <f>$AL$250</f>
        <v>0</v>
      </c>
      <c r="CX245" s="313">
        <f>$AL$250</f>
        <v>0</v>
      </c>
      <c r="CY245" s="298" t="n"/>
    </row>
    <row r="246" hidden="1" outlineLevel="1" ht="12.75" customFormat="1" customHeight="1" s="322">
      <c r="A246" s="293" t="n"/>
      <c r="B246" s="293" t="n"/>
      <c r="C246" s="323" t="n"/>
      <c r="D246" s="298" t="n"/>
      <c r="E246" s="298" t="n"/>
      <c r="F246" s="298" t="n"/>
      <c r="G246" s="298" t="n"/>
      <c r="H246" s="298" t="n"/>
      <c r="I246" s="298" t="n"/>
      <c r="J246" s="298" t="n"/>
      <c r="K246" s="298" t="n"/>
      <c r="L246" s="298" t="n"/>
      <c r="M246" s="298" t="n"/>
      <c r="N246" s="298" t="n"/>
      <c r="O246" s="298" t="n"/>
      <c r="P246" s="298" t="n"/>
      <c r="Q246" s="298" t="n"/>
      <c r="R246" s="298" t="n"/>
      <c r="S246" s="298" t="n"/>
      <c r="T246" s="298" t="n"/>
      <c r="U246" s="298" t="n"/>
      <c r="V246" s="298" t="n"/>
      <c r="W246" s="298" t="n"/>
      <c r="X246" s="298" t="n"/>
      <c r="Y246" s="298" t="n"/>
      <c r="Z246" s="298" t="n"/>
      <c r="AA246" s="298" t="n"/>
      <c r="AB246" s="298" t="n"/>
      <c r="AC246" s="298" t="n"/>
      <c r="AD246" s="298" t="n"/>
      <c r="AE246" s="298" t="n"/>
      <c r="AF246" s="298" t="n"/>
      <c r="AG246" s="298" t="n"/>
      <c r="AH246" s="268" t="n"/>
      <c r="AI246" s="268" t="n"/>
      <c r="AJ246" s="268" t="n"/>
      <c r="AK246" s="268" t="n"/>
      <c r="AL246" s="298" t="n"/>
      <c r="AM246" s="268" t="n"/>
      <c r="AN246" s="268" t="n"/>
      <c r="AO246" s="268" t="n"/>
      <c r="AP246" s="268" t="n"/>
      <c r="AQ246" s="298" t="n"/>
      <c r="AR246" s="268" t="n"/>
      <c r="AS246" s="268" t="n"/>
      <c r="AT246" s="268" t="n"/>
      <c r="AU246" s="268" t="n"/>
      <c r="AV246" s="298" t="n"/>
      <c r="AW246" s="268" t="n"/>
      <c r="AX246" s="268" t="n"/>
      <c r="AY246" s="268" t="n"/>
      <c r="AZ246" s="268" t="n"/>
      <c r="BA246" s="298" t="n"/>
      <c r="BB246" s="268" t="n"/>
      <c r="BC246" s="268" t="n"/>
      <c r="BD246" s="268" t="n"/>
      <c r="BE246" s="268" t="n"/>
      <c r="BF246" s="298" t="n"/>
      <c r="BG246" s="268" t="n"/>
      <c r="BH246" s="268" t="n"/>
      <c r="BI246" s="268" t="n"/>
      <c r="BJ246" s="268" t="n"/>
      <c r="BK246" s="298" t="n"/>
      <c r="BL246" s="268" t="n"/>
      <c r="BM246" s="268" t="n"/>
      <c r="BN246" s="268" t="n"/>
      <c r="BO246" s="268" t="n"/>
      <c r="BP246" s="298" t="n"/>
      <c r="BQ246" s="268" t="n"/>
      <c r="BR246" s="268" t="n"/>
      <c r="BS246" s="268" t="n"/>
      <c r="BT246" s="268" t="n"/>
      <c r="BU246" s="298" t="n"/>
      <c r="BV246" s="268" t="n"/>
      <c r="BW246" s="268" t="n"/>
      <c r="BX246" s="268" t="n"/>
      <c r="BY246" s="268" t="n"/>
      <c r="BZ246" s="298" t="n"/>
      <c r="CA246" s="268" t="n"/>
      <c r="CB246" s="268" t="n"/>
      <c r="CC246" s="268" t="n"/>
      <c r="CD246" s="268" t="n"/>
      <c r="CE246" s="298" t="n"/>
      <c r="CF246" s="268" t="n"/>
      <c r="CG246" s="268" t="n"/>
      <c r="CH246" s="268" t="n"/>
      <c r="CI246" s="268" t="n"/>
      <c r="CJ246" s="298" t="n"/>
      <c r="CK246" s="268" t="n"/>
      <c r="CL246" s="268" t="n"/>
      <c r="CM246" s="268" t="n"/>
      <c r="CN246" s="268" t="n"/>
      <c r="CO246" s="298" t="n"/>
      <c r="CP246" s="268" t="n"/>
      <c r="CQ246" s="268" t="n"/>
      <c r="CR246" s="268" t="n"/>
      <c r="CS246" s="268" t="n"/>
      <c r="CT246" s="298" t="n"/>
      <c r="CU246" s="268" t="n"/>
      <c r="CV246" s="268" t="n"/>
      <c r="CW246" s="268" t="n"/>
      <c r="CX246" s="268" t="n"/>
      <c r="CY246" s="298" t="n"/>
    </row>
    <row r="247" hidden="1" outlineLevel="1" ht="12.75" customFormat="1" customHeight="1" s="322">
      <c r="A247" s="293" t="n"/>
      <c r="B247" s="293" t="n"/>
      <c r="C247" s="323" t="inlineStr">
        <is>
          <t>Shares repurchased</t>
        </is>
      </c>
      <c r="D247" s="298" t="n"/>
      <c r="E247" s="298" t="n"/>
      <c r="F247" s="298" t="n"/>
      <c r="G247" s="298" t="n"/>
      <c r="H247" s="298" t="n"/>
      <c r="I247" s="298" t="n"/>
      <c r="J247" s="298" t="n"/>
      <c r="K247" s="298" t="n"/>
      <c r="L247" s="298" t="n"/>
      <c r="M247" s="298" t="n"/>
      <c r="N247" s="298" t="n"/>
      <c r="O247" s="298" t="n"/>
      <c r="P247" s="298" t="n"/>
      <c r="Q247" s="298" t="n"/>
      <c r="R247" s="298" t="n"/>
      <c r="S247" s="298" t="n"/>
      <c r="T247" s="298" t="n"/>
      <c r="U247" s="298" t="n"/>
      <c r="V247" s="298" t="n"/>
      <c r="W247" s="298" t="n"/>
      <c r="X247" s="298" t="n"/>
      <c r="Y247" s="298" t="n"/>
      <c r="Z247" s="298" t="n"/>
      <c r="AA247" s="298" t="n"/>
      <c r="AB247" s="298" t="n"/>
      <c r="AC247" s="298" t="n"/>
      <c r="AD247" s="298" t="n"/>
      <c r="AE247" s="298" t="n"/>
      <c r="AF247" s="298" t="n"/>
      <c r="AG247" s="298" t="n"/>
      <c r="AH247" s="326" t="n"/>
      <c r="AI247" s="326" t="n"/>
      <c r="AJ247" s="326" t="e">
        <f>-AJ242/AJ244</f>
        <v>#DIV/0!</v>
      </c>
      <c r="AK247" s="326" t="e">
        <f>-AK242/AK244</f>
        <v>#DIV/0!</v>
      </c>
      <c r="AL247" s="298" t="n"/>
      <c r="AM247" s="326" t="e">
        <f>-AM242/AM244</f>
        <v>#DIV/0!</v>
      </c>
      <c r="AN247" s="326" t="e">
        <f>-AN242/AN244</f>
        <v>#DIV/0!</v>
      </c>
      <c r="AO247" s="326" t="e">
        <f>-AO242/AO244</f>
        <v>#DIV/0!</v>
      </c>
      <c r="AP247" s="326" t="e">
        <f>-AP242/AP244</f>
        <v>#DIV/0!</v>
      </c>
      <c r="AQ247" s="298" t="n"/>
      <c r="AR247" s="326" t="e">
        <f>-AR242/AR244</f>
        <v>#DIV/0!</v>
      </c>
      <c r="AS247" s="326" t="e">
        <f>-AS242/AS244</f>
        <v>#DIV/0!</v>
      </c>
      <c r="AT247" s="326" t="e">
        <f>-AT242/AT244</f>
        <v>#DIV/0!</v>
      </c>
      <c r="AU247" s="326" t="e">
        <f>-AU242/AU244</f>
        <v>#DIV/0!</v>
      </c>
      <c r="AV247" s="298" t="n"/>
      <c r="AW247" s="326" t="e">
        <f>-AW242/AW244</f>
        <v>#DIV/0!</v>
      </c>
      <c r="AX247" s="326" t="e">
        <f>-AX242/AX244</f>
        <v>#DIV/0!</v>
      </c>
      <c r="AY247" s="326" t="e">
        <f>-AY242/AY244</f>
        <v>#DIV/0!</v>
      </c>
      <c r="AZ247" s="326" t="e">
        <f>-AZ242/AZ244</f>
        <v>#DIV/0!</v>
      </c>
      <c r="BA247" s="298" t="n"/>
      <c r="BB247" s="326" t="e">
        <f>-BB242/BB244</f>
        <v>#DIV/0!</v>
      </c>
      <c r="BC247" s="326" t="e">
        <f>-BC242/BC244</f>
        <v>#DIV/0!</v>
      </c>
      <c r="BD247" s="326" t="e">
        <f>-BD242/BD244</f>
        <v>#DIV/0!</v>
      </c>
      <c r="BE247" s="326" t="e">
        <f>-BE242/BE244</f>
        <v>#DIV/0!</v>
      </c>
      <c r="BF247" s="298" t="n"/>
      <c r="BG247" s="326" t="e">
        <f>-BG242/BG244</f>
        <v>#DIV/0!</v>
      </c>
      <c r="BH247" s="326" t="e">
        <f>-BH242/BH244</f>
        <v>#DIV/0!</v>
      </c>
      <c r="BI247" s="326" t="e">
        <f>-BI242/BI244</f>
        <v>#DIV/0!</v>
      </c>
      <c r="BJ247" s="326" t="e">
        <f>-BJ242/BJ244</f>
        <v>#DIV/0!</v>
      </c>
      <c r="BK247" s="298" t="n"/>
      <c r="BL247" s="326" t="e">
        <f>-BL242/BL244</f>
        <v>#DIV/0!</v>
      </c>
      <c r="BM247" s="326" t="e">
        <f>-BM242/BM244</f>
        <v>#DIV/0!</v>
      </c>
      <c r="BN247" s="326" t="e">
        <f>-BN242/BN244</f>
        <v>#DIV/0!</v>
      </c>
      <c r="BO247" s="326" t="e">
        <f>-BO242/BO244</f>
        <v>#DIV/0!</v>
      </c>
      <c r="BP247" s="298" t="n"/>
      <c r="BQ247" s="326" t="e">
        <f>-BQ242/BQ244</f>
        <v>#DIV/0!</v>
      </c>
      <c r="BR247" s="326" t="e">
        <f>-BR242/BR244</f>
        <v>#DIV/0!</v>
      </c>
      <c r="BS247" s="326" t="e">
        <f>-BS242/BS244</f>
        <v>#DIV/0!</v>
      </c>
      <c r="BT247" s="326" t="e">
        <f>-BT242/BT244</f>
        <v>#DIV/0!</v>
      </c>
      <c r="BU247" s="298" t="n"/>
      <c r="BV247" s="326" t="e">
        <f>-BV242/BV244</f>
        <v>#DIV/0!</v>
      </c>
      <c r="BW247" s="326" t="e">
        <f>-BW242/BW244</f>
        <v>#DIV/0!</v>
      </c>
      <c r="BX247" s="326" t="e">
        <f>-BX242/BX244</f>
        <v>#DIV/0!</v>
      </c>
      <c r="BY247" s="326" t="e">
        <f>-BY242/BY244</f>
        <v>#DIV/0!</v>
      </c>
      <c r="BZ247" s="298" t="n"/>
      <c r="CA247" s="326" t="e">
        <f>-CA242/CA244</f>
        <v>#DIV/0!</v>
      </c>
      <c r="CB247" s="326" t="e">
        <f>-CB242/CB244</f>
        <v>#DIV/0!</v>
      </c>
      <c r="CC247" s="326" t="e">
        <f>-CC242/CC244</f>
        <v>#DIV/0!</v>
      </c>
      <c r="CD247" s="326" t="e">
        <f>-CD242/CD244</f>
        <v>#DIV/0!</v>
      </c>
      <c r="CE247" s="298" t="n"/>
      <c r="CF247" s="326" t="e">
        <f>-CF242/CF244</f>
        <v>#DIV/0!</v>
      </c>
      <c r="CG247" s="326" t="e">
        <f>-CG242/CG244</f>
        <v>#DIV/0!</v>
      </c>
      <c r="CH247" s="326" t="e">
        <f>-CH242/CH244</f>
        <v>#DIV/0!</v>
      </c>
      <c r="CI247" s="326" t="e">
        <f>-CI242/CI244</f>
        <v>#DIV/0!</v>
      </c>
      <c r="CJ247" s="298" t="n"/>
      <c r="CK247" s="326" t="e">
        <f>-CK242/CK244</f>
        <v>#DIV/0!</v>
      </c>
      <c r="CL247" s="326" t="e">
        <f>-CL242/CL244</f>
        <v>#DIV/0!</v>
      </c>
      <c r="CM247" s="326" t="e">
        <f>-CM242/CM244</f>
        <v>#DIV/0!</v>
      </c>
      <c r="CN247" s="326" t="e">
        <f>-CN242/CN244</f>
        <v>#DIV/0!</v>
      </c>
      <c r="CO247" s="298" t="n"/>
      <c r="CP247" s="326" t="e">
        <f>-CP242/CP244</f>
        <v>#DIV/0!</v>
      </c>
      <c r="CQ247" s="326" t="e">
        <f>-CQ242/CQ244</f>
        <v>#DIV/0!</v>
      </c>
      <c r="CR247" s="326" t="e">
        <f>-CR242/CR244</f>
        <v>#DIV/0!</v>
      </c>
      <c r="CS247" s="326" t="e">
        <f>-CS242/CS244</f>
        <v>#DIV/0!</v>
      </c>
      <c r="CT247" s="298" t="n"/>
      <c r="CU247" s="326" t="e">
        <f>-CU242/CU244</f>
        <v>#DIV/0!</v>
      </c>
      <c r="CV247" s="326" t="e">
        <f>-CV242/CV244</f>
        <v>#DIV/0!</v>
      </c>
      <c r="CW247" s="326" t="e">
        <f>-CW242/CW244</f>
        <v>#DIV/0!</v>
      </c>
      <c r="CX247" s="326" t="e">
        <f>-CX242/CX244</f>
        <v>#DIV/0!</v>
      </c>
      <c r="CY247" s="298" t="n"/>
    </row>
    <row r="248" hidden="1" outlineLevel="1" ht="12.75" customFormat="1" customHeight="1" s="322">
      <c r="A248" s="293" t="n"/>
      <c r="B248" s="293" t="n"/>
      <c r="C248" s="323" t="inlineStr">
        <is>
          <t>Shares issued</t>
        </is>
      </c>
      <c r="D248" s="298" t="n"/>
      <c r="E248" s="298" t="n"/>
      <c r="F248" s="298" t="n"/>
      <c r="G248" s="298" t="n"/>
      <c r="H248" s="298" t="n"/>
      <c r="I248" s="298" t="n"/>
      <c r="J248" s="298" t="n"/>
      <c r="K248" s="298" t="n"/>
      <c r="L248" s="298" t="n"/>
      <c r="M248" s="298" t="n"/>
      <c r="N248" s="298" t="n"/>
      <c r="O248" s="298" t="n"/>
      <c r="P248" s="298" t="n"/>
      <c r="Q248" s="298" t="n"/>
      <c r="R248" s="298" t="n"/>
      <c r="S248" s="298" t="n"/>
      <c r="T248" s="298" t="n"/>
      <c r="U248" s="298" t="n"/>
      <c r="V248" s="298" t="n"/>
      <c r="W248" s="298" t="n"/>
      <c r="X248" s="298" t="n"/>
      <c r="Y248" s="298" t="n"/>
      <c r="Z248" s="298" t="n"/>
      <c r="AA248" s="298" t="n"/>
      <c r="AB248" s="298" t="n"/>
      <c r="AC248" s="298" t="n"/>
      <c r="AD248" s="298" t="n"/>
      <c r="AE248" s="298" t="n"/>
      <c r="AF248" s="265" t="n"/>
      <c r="AG248" s="298" t="n"/>
      <c r="AH248" s="326" t="n"/>
      <c r="AI248" s="326" t="n"/>
      <c r="AJ248" s="326" t="e">
        <f>AJ243/AJ244</f>
        <v>#DIV/0!</v>
      </c>
      <c r="AK248" s="326" t="e">
        <f>AK243/AK244</f>
        <v>#DIV/0!</v>
      </c>
      <c r="AL248" s="298" t="n"/>
      <c r="AM248" s="326" t="e">
        <f>AM243/AM244</f>
        <v>#DIV/0!</v>
      </c>
      <c r="AN248" s="326" t="e">
        <f>AN243/AN244</f>
        <v>#DIV/0!</v>
      </c>
      <c r="AO248" s="326" t="e">
        <f>AO243/AO244</f>
        <v>#DIV/0!</v>
      </c>
      <c r="AP248" s="326" t="e">
        <f>AP243/AP244</f>
        <v>#DIV/0!</v>
      </c>
      <c r="AQ248" s="298" t="n"/>
      <c r="AR248" s="326" t="e">
        <f>AR243/AR244</f>
        <v>#DIV/0!</v>
      </c>
      <c r="AS248" s="326" t="e">
        <f>AS243/AS244</f>
        <v>#DIV/0!</v>
      </c>
      <c r="AT248" s="326" t="e">
        <f>AT243/AT244</f>
        <v>#DIV/0!</v>
      </c>
      <c r="AU248" s="326" t="e">
        <f>AU243/AU244</f>
        <v>#DIV/0!</v>
      </c>
      <c r="AV248" s="298" t="n"/>
      <c r="AW248" s="326" t="e">
        <f>AW243/AW244</f>
        <v>#DIV/0!</v>
      </c>
      <c r="AX248" s="326" t="e">
        <f>AX243/AX244</f>
        <v>#DIV/0!</v>
      </c>
      <c r="AY248" s="326" t="e">
        <f>AY243/AY244</f>
        <v>#DIV/0!</v>
      </c>
      <c r="AZ248" s="326" t="e">
        <f>AZ243/AZ244</f>
        <v>#DIV/0!</v>
      </c>
      <c r="BA248" s="298" t="n"/>
      <c r="BB248" s="326" t="e">
        <f>BB243/BB244</f>
        <v>#DIV/0!</v>
      </c>
      <c r="BC248" s="326" t="e">
        <f>BC243/BC244</f>
        <v>#DIV/0!</v>
      </c>
      <c r="BD248" s="326" t="e">
        <f>BD243/BD244</f>
        <v>#DIV/0!</v>
      </c>
      <c r="BE248" s="326" t="e">
        <f>BE243/BE244</f>
        <v>#DIV/0!</v>
      </c>
      <c r="BF248" s="298" t="n"/>
      <c r="BG248" s="326" t="e">
        <f>BG243/BG244</f>
        <v>#DIV/0!</v>
      </c>
      <c r="BH248" s="326" t="e">
        <f>BH243/BH244</f>
        <v>#DIV/0!</v>
      </c>
      <c r="BI248" s="326" t="e">
        <f>BI243/BI244</f>
        <v>#DIV/0!</v>
      </c>
      <c r="BJ248" s="326" t="e">
        <f>BJ243/BJ244</f>
        <v>#DIV/0!</v>
      </c>
      <c r="BK248" s="298" t="n"/>
      <c r="BL248" s="326" t="e">
        <f>BL243/BL244</f>
        <v>#DIV/0!</v>
      </c>
      <c r="BM248" s="326" t="e">
        <f>BM243/BM244</f>
        <v>#DIV/0!</v>
      </c>
      <c r="BN248" s="326" t="e">
        <f>BN243/BN244</f>
        <v>#DIV/0!</v>
      </c>
      <c r="BO248" s="326" t="e">
        <f>BO243/BO244</f>
        <v>#DIV/0!</v>
      </c>
      <c r="BP248" s="298" t="n"/>
      <c r="BQ248" s="326" t="e">
        <f>BQ243/BQ244</f>
        <v>#DIV/0!</v>
      </c>
      <c r="BR248" s="326" t="e">
        <f>BR243/BR244</f>
        <v>#DIV/0!</v>
      </c>
      <c r="BS248" s="326" t="e">
        <f>BS243/BS244</f>
        <v>#DIV/0!</v>
      </c>
      <c r="BT248" s="326" t="e">
        <f>BT243/BT244</f>
        <v>#DIV/0!</v>
      </c>
      <c r="BU248" s="298" t="n"/>
      <c r="BV248" s="326" t="e">
        <f>BV243/BV244</f>
        <v>#DIV/0!</v>
      </c>
      <c r="BW248" s="326" t="e">
        <f>BW243/BW244</f>
        <v>#DIV/0!</v>
      </c>
      <c r="BX248" s="326" t="e">
        <f>BX243/BX244</f>
        <v>#DIV/0!</v>
      </c>
      <c r="BY248" s="326" t="e">
        <f>BY243/BY244</f>
        <v>#DIV/0!</v>
      </c>
      <c r="BZ248" s="298" t="n"/>
      <c r="CA248" s="326" t="e">
        <f>CA243/CA244</f>
        <v>#DIV/0!</v>
      </c>
      <c r="CB248" s="326" t="e">
        <f>CB243/CB244</f>
        <v>#DIV/0!</v>
      </c>
      <c r="CC248" s="326" t="e">
        <f>CC243/CC244</f>
        <v>#DIV/0!</v>
      </c>
      <c r="CD248" s="326" t="e">
        <f>CD243/CD244</f>
        <v>#DIV/0!</v>
      </c>
      <c r="CE248" s="298" t="n"/>
      <c r="CF248" s="326" t="e">
        <f>CF243/CF244</f>
        <v>#DIV/0!</v>
      </c>
      <c r="CG248" s="326" t="e">
        <f>CG243/CG244</f>
        <v>#DIV/0!</v>
      </c>
      <c r="CH248" s="326" t="e">
        <f>CH243/CH244</f>
        <v>#DIV/0!</v>
      </c>
      <c r="CI248" s="326" t="e">
        <f>CI243/CI244</f>
        <v>#DIV/0!</v>
      </c>
      <c r="CJ248" s="298" t="n"/>
      <c r="CK248" s="326" t="e">
        <f>CK243/CK244</f>
        <v>#DIV/0!</v>
      </c>
      <c r="CL248" s="326" t="e">
        <f>CL243/CL244</f>
        <v>#DIV/0!</v>
      </c>
      <c r="CM248" s="326" t="e">
        <f>CM243/CM244</f>
        <v>#DIV/0!</v>
      </c>
      <c r="CN248" s="326" t="e">
        <f>CN243/CN244</f>
        <v>#DIV/0!</v>
      </c>
      <c r="CO248" s="298" t="n"/>
      <c r="CP248" s="326" t="e">
        <f>CP243/CP244</f>
        <v>#DIV/0!</v>
      </c>
      <c r="CQ248" s="326" t="e">
        <f>CQ243/CQ244</f>
        <v>#DIV/0!</v>
      </c>
      <c r="CR248" s="326" t="e">
        <f>CR243/CR244</f>
        <v>#DIV/0!</v>
      </c>
      <c r="CS248" s="326" t="e">
        <f>CS243/CS244</f>
        <v>#DIV/0!</v>
      </c>
      <c r="CT248" s="298" t="n"/>
      <c r="CU248" s="326" t="e">
        <f>CU243/CU244</f>
        <v>#DIV/0!</v>
      </c>
      <c r="CV248" s="326" t="e">
        <f>CV243/CV244</f>
        <v>#DIV/0!</v>
      </c>
      <c r="CW248" s="326" t="e">
        <f>CW243/CW244</f>
        <v>#DIV/0!</v>
      </c>
      <c r="CX248" s="326" t="e">
        <f>CX243/CX244</f>
        <v>#DIV/0!</v>
      </c>
      <c r="CY248" s="298" t="n"/>
    </row>
    <row r="249" hidden="1" outlineLevel="1" ht="12.75" customFormat="1" customHeight="1" s="322">
      <c r="A249" s="293" t="n"/>
      <c r="B249" s="293" t="n"/>
      <c r="C249" s="323" t="inlineStr">
        <is>
          <t>End of period basic shares outstanding</t>
        </is>
      </c>
      <c r="D249" s="298" t="n"/>
      <c r="E249" s="298" t="n"/>
      <c r="F249" s="298" t="n"/>
      <c r="G249" s="298" t="n"/>
      <c r="H249" s="298" t="n"/>
      <c r="I249" s="298" t="n"/>
      <c r="J249" s="298" t="n"/>
      <c r="K249" s="298" t="n"/>
      <c r="L249" s="298" t="n"/>
      <c r="M249" s="298" t="n"/>
      <c r="N249" s="298" t="n"/>
      <c r="O249" s="298" t="n"/>
      <c r="P249" s="298" t="n"/>
      <c r="Q249" s="298" t="n"/>
      <c r="R249" s="298" t="n"/>
      <c r="S249" s="298" t="n"/>
      <c r="T249" s="298" t="n"/>
      <c r="U249" s="298" t="n"/>
      <c r="V249" s="298" t="n"/>
      <c r="W249" s="298" t="n"/>
      <c r="X249" s="298" t="n"/>
      <c r="Y249" s="298" t="n"/>
      <c r="Z249" s="298" t="n"/>
      <c r="AA249" s="298" t="n"/>
      <c r="AB249" s="298" t="n"/>
      <c r="AC249" s="298" t="n"/>
      <c r="AD249" s="298" t="n"/>
      <c r="AE249" s="298" t="n"/>
      <c r="AF249" s="298" t="n"/>
      <c r="AG249" s="324" t="n"/>
      <c r="AH249" s="259">
        <f>AG249+AH248-AH247</f>
        <v>0</v>
      </c>
      <c r="AI249" s="259">
        <f>AH249+AI248-AI247</f>
        <v>0</v>
      </c>
      <c r="AJ249" s="326" t="e">
        <f>AI249+AJ248-AJ247</f>
        <v>#DIV/0!</v>
      </c>
      <c r="AK249" s="326" t="e">
        <f>AJ249+AK248-AK247</f>
        <v>#DIV/0!</v>
      </c>
      <c r="AL249" s="298" t="n"/>
      <c r="AM249" s="259" t="e">
        <f>AK249+AM248-AM247</f>
        <v>#DIV/0!</v>
      </c>
      <c r="AN249" s="259" t="e">
        <f>AM249+AN248-AN247</f>
        <v>#DIV/0!</v>
      </c>
      <c r="AO249" s="326" t="e">
        <f>AN249+AO248-AO247</f>
        <v>#DIV/0!</v>
      </c>
      <c r="AP249" s="326" t="e">
        <f>AO249+AP248-AP247</f>
        <v>#DIV/0!</v>
      </c>
      <c r="AQ249" s="298" t="n"/>
      <c r="AR249" s="259" t="e">
        <f>AP249+AR248-AR247</f>
        <v>#DIV/0!</v>
      </c>
      <c r="AS249" s="259" t="e">
        <f>AR249+AS248-AS247</f>
        <v>#DIV/0!</v>
      </c>
      <c r="AT249" s="326" t="e">
        <f>AS249+AT248-AT247</f>
        <v>#DIV/0!</v>
      </c>
      <c r="AU249" s="326" t="e">
        <f>AT249+AU248-AU247</f>
        <v>#DIV/0!</v>
      </c>
      <c r="AV249" s="298" t="n"/>
      <c r="AW249" s="259" t="e">
        <f>AU249+AW248-AW247</f>
        <v>#DIV/0!</v>
      </c>
      <c r="AX249" s="259" t="e">
        <f>AW249+AX248-AX247</f>
        <v>#DIV/0!</v>
      </c>
      <c r="AY249" s="326" t="e">
        <f>AX249+AY248-AY247</f>
        <v>#DIV/0!</v>
      </c>
      <c r="AZ249" s="326" t="e">
        <f>AY249+AZ248-AZ247</f>
        <v>#DIV/0!</v>
      </c>
      <c r="BA249" s="298" t="n"/>
      <c r="BB249" s="259" t="e">
        <f>AZ249+BB248-BB247</f>
        <v>#DIV/0!</v>
      </c>
      <c r="BC249" s="259" t="e">
        <f>BB249+BC248-BC247</f>
        <v>#DIV/0!</v>
      </c>
      <c r="BD249" s="326" t="e">
        <f>BC249+BD248-BD247</f>
        <v>#DIV/0!</v>
      </c>
      <c r="BE249" s="326" t="e">
        <f>BD249+BE248-BE247</f>
        <v>#DIV/0!</v>
      </c>
      <c r="BF249" s="298" t="n"/>
      <c r="BG249" s="259" t="e">
        <f>BE249+BG248-BG247</f>
        <v>#DIV/0!</v>
      </c>
      <c r="BH249" s="259" t="e">
        <f>BG249+BH248-BH247</f>
        <v>#DIV/0!</v>
      </c>
      <c r="BI249" s="326" t="e">
        <f>BH249+BI248-BI247</f>
        <v>#DIV/0!</v>
      </c>
      <c r="BJ249" s="326" t="e">
        <f>BI249+BJ248-BJ247</f>
        <v>#DIV/0!</v>
      </c>
      <c r="BK249" s="298" t="n"/>
      <c r="BL249" s="259" t="e">
        <f>BJ249+BL248-BL247</f>
        <v>#DIV/0!</v>
      </c>
      <c r="BM249" s="259" t="e">
        <f>BL249+BM248-BM247</f>
        <v>#DIV/0!</v>
      </c>
      <c r="BN249" s="326" t="e">
        <f>BM249+BN248-BN247</f>
        <v>#DIV/0!</v>
      </c>
      <c r="BO249" s="326" t="e">
        <f>BN249+BO248-BO247</f>
        <v>#DIV/0!</v>
      </c>
      <c r="BP249" s="298" t="n"/>
      <c r="BQ249" s="259" t="e">
        <f>BO249+BQ248-BQ247</f>
        <v>#DIV/0!</v>
      </c>
      <c r="BR249" s="259" t="e">
        <f>BQ249+BR248-BR247</f>
        <v>#DIV/0!</v>
      </c>
      <c r="BS249" s="326" t="e">
        <f>BR249+BS248-BS247</f>
        <v>#DIV/0!</v>
      </c>
      <c r="BT249" s="326" t="e">
        <f>BS249+BT248-BT247</f>
        <v>#DIV/0!</v>
      </c>
      <c r="BU249" s="298" t="n"/>
      <c r="BV249" s="259" t="e">
        <f>BT249+BV248-BV247</f>
        <v>#DIV/0!</v>
      </c>
      <c r="BW249" s="259" t="e">
        <f>BV249+BW248-BW247</f>
        <v>#DIV/0!</v>
      </c>
      <c r="BX249" s="326" t="e">
        <f>BW249+BX248-BX247</f>
        <v>#DIV/0!</v>
      </c>
      <c r="BY249" s="326" t="e">
        <f>BX249+BY248-BY247</f>
        <v>#DIV/0!</v>
      </c>
      <c r="BZ249" s="298" t="n"/>
      <c r="CA249" s="259" t="e">
        <f>BY249+CA248-CA247</f>
        <v>#DIV/0!</v>
      </c>
      <c r="CB249" s="259" t="e">
        <f>CA249+CB248-CB247</f>
        <v>#DIV/0!</v>
      </c>
      <c r="CC249" s="326" t="e">
        <f>CB249+CC248-CC247</f>
        <v>#DIV/0!</v>
      </c>
      <c r="CD249" s="326" t="e">
        <f>CC249+CD248-CD247</f>
        <v>#DIV/0!</v>
      </c>
      <c r="CE249" s="298" t="n"/>
      <c r="CF249" s="259" t="e">
        <f>CD249+CF248-CF247</f>
        <v>#DIV/0!</v>
      </c>
      <c r="CG249" s="259" t="e">
        <f>CF249+CG248-CG247</f>
        <v>#DIV/0!</v>
      </c>
      <c r="CH249" s="326" t="e">
        <f>CG249+CH248-CH247</f>
        <v>#DIV/0!</v>
      </c>
      <c r="CI249" s="326" t="e">
        <f>CH249+CI248-CI247</f>
        <v>#DIV/0!</v>
      </c>
      <c r="CJ249" s="298" t="n"/>
      <c r="CK249" s="259" t="e">
        <f>CI249+CK248-CK247</f>
        <v>#DIV/0!</v>
      </c>
      <c r="CL249" s="259" t="e">
        <f>CK249+CL248-CL247</f>
        <v>#DIV/0!</v>
      </c>
      <c r="CM249" s="326" t="e">
        <f>CL249+CM248-CM247</f>
        <v>#DIV/0!</v>
      </c>
      <c r="CN249" s="326" t="e">
        <f>CM249+CN248-CN247</f>
        <v>#DIV/0!</v>
      </c>
      <c r="CO249" s="298" t="n"/>
      <c r="CP249" s="259" t="e">
        <f>CN249+CP248-CP247</f>
        <v>#DIV/0!</v>
      </c>
      <c r="CQ249" s="259" t="e">
        <f>CP249+CQ248-CQ247</f>
        <v>#DIV/0!</v>
      </c>
      <c r="CR249" s="326" t="e">
        <f>CQ249+CR248-CR247</f>
        <v>#DIV/0!</v>
      </c>
      <c r="CS249" s="326" t="e">
        <f>CR249+CS248-CS247</f>
        <v>#DIV/0!</v>
      </c>
      <c r="CT249" s="298" t="n"/>
      <c r="CU249" s="259" t="e">
        <f>CS249+CU248-CU247</f>
        <v>#DIV/0!</v>
      </c>
      <c r="CV249" s="259" t="e">
        <f>CU249+CV248-CV247</f>
        <v>#DIV/0!</v>
      </c>
      <c r="CW249" s="326" t="e">
        <f>CV249+CW248-CW247</f>
        <v>#DIV/0!</v>
      </c>
      <c r="CX249" s="326" t="e">
        <f>CW249+CX248-CX247</f>
        <v>#DIV/0!</v>
      </c>
      <c r="CY249" s="298" t="n"/>
      <c r="CZ249" s="322" t="e">
        <f>CX249+CZ248-CZ247</f>
        <v>#DIV/0!</v>
      </c>
      <c r="DA249" s="322" t="e">
        <f>CZ249+DA248-DA247</f>
        <v>#DIV/0!</v>
      </c>
      <c r="DB249" s="322" t="e">
        <f>DA249+DB248-DB247</f>
        <v>#DIV/0!</v>
      </c>
      <c r="DC249" s="322" t="e">
        <f>DB249+DC248-DC247</f>
        <v>#DIV/0!</v>
      </c>
    </row>
    <row r="250" hidden="1" outlineLevel="1" ht="12.75" customFormat="1" customHeight="1" s="322">
      <c r="A250" s="293" t="n"/>
      <c r="B250" s="293" t="n"/>
      <c r="C250" s="323" t="inlineStr">
        <is>
          <t>Weighted average basic shares outstanding</t>
        </is>
      </c>
      <c r="D250" s="298" t="n"/>
      <c r="E250" s="298" t="n"/>
      <c r="F250" s="298" t="n"/>
      <c r="G250" s="298" t="n"/>
      <c r="H250" s="298" t="n"/>
      <c r="I250" s="298" t="n"/>
      <c r="J250" s="298" t="n"/>
      <c r="K250" s="298" t="n"/>
      <c r="L250" s="298" t="n"/>
      <c r="M250" s="298" t="n"/>
      <c r="N250" s="298" t="n"/>
      <c r="O250" s="298" t="n"/>
      <c r="P250" s="298" t="n"/>
      <c r="Q250" s="298" t="n"/>
      <c r="R250" s="298" t="n"/>
      <c r="S250" s="298" t="n"/>
      <c r="T250" s="298" t="n"/>
      <c r="U250" s="298" t="n"/>
      <c r="V250" s="298" t="n"/>
      <c r="W250" s="298" t="n"/>
      <c r="X250" s="298" t="n"/>
      <c r="Y250" s="298" t="n"/>
      <c r="Z250" s="298" t="n"/>
      <c r="AA250" s="298" t="n"/>
      <c r="AB250" s="298" t="n"/>
      <c r="AC250" s="298" t="n"/>
      <c r="AD250" s="298" t="n"/>
      <c r="AE250" s="298" t="n"/>
      <c r="AF250" s="298" t="n"/>
      <c r="AG250" s="298" t="n"/>
      <c r="AH250" s="326">
        <f>AVERAGE(AG249,AH249)</f>
        <v>0</v>
      </c>
      <c r="AI250" s="326">
        <f>AVERAGE(AH249,AI249)</f>
        <v>0</v>
      </c>
      <c r="AJ250" s="326" t="e">
        <f>AVERAGE(AI249,AJ249)</f>
        <v>#DIV/0!</v>
      </c>
      <c r="AK250" s="326" t="e">
        <f>AVERAGE(AJ249,AK249)</f>
        <v>#DIV/0!</v>
      </c>
      <c r="AL250" s="298" t="n"/>
      <c r="AM250" s="326" t="e">
        <f>AVERAGE(AK249,AM249)</f>
        <v>#DIV/0!</v>
      </c>
      <c r="AN250" s="326" t="e">
        <f>AVERAGE(AM249,AN249)</f>
        <v>#DIV/0!</v>
      </c>
      <c r="AO250" s="326" t="e">
        <f>AVERAGE(AN249,AO249)</f>
        <v>#DIV/0!</v>
      </c>
      <c r="AP250" s="326" t="e">
        <f>AVERAGE(AO249,AP249)</f>
        <v>#DIV/0!</v>
      </c>
      <c r="AQ250" s="298" t="n"/>
      <c r="AR250" s="326" t="e">
        <f>AVERAGE(AP249,AR249)</f>
        <v>#DIV/0!</v>
      </c>
      <c r="AS250" s="326" t="e">
        <f>AVERAGE(AR249,AS249)</f>
        <v>#DIV/0!</v>
      </c>
      <c r="AT250" s="326" t="e">
        <f>AVERAGE(AS249,AT249)</f>
        <v>#DIV/0!</v>
      </c>
      <c r="AU250" s="326" t="e">
        <f>AVERAGE(AT249,AU249)</f>
        <v>#DIV/0!</v>
      </c>
      <c r="AV250" s="298" t="n"/>
      <c r="AW250" s="326" t="e">
        <f>AVERAGE(AU249,AW249)</f>
        <v>#DIV/0!</v>
      </c>
      <c r="AX250" s="326" t="e">
        <f>AVERAGE(AW249,AX249)</f>
        <v>#DIV/0!</v>
      </c>
      <c r="AY250" s="326" t="e">
        <f>AVERAGE(AX249,AY249)</f>
        <v>#DIV/0!</v>
      </c>
      <c r="AZ250" s="326" t="e">
        <f>AVERAGE(AY249,AZ249)</f>
        <v>#DIV/0!</v>
      </c>
      <c r="BA250" s="298" t="n"/>
      <c r="BB250" s="326" t="e">
        <f>AVERAGE(AZ249,BB249)</f>
        <v>#DIV/0!</v>
      </c>
      <c r="BC250" s="326" t="e">
        <f>AVERAGE(BB249,BC249)</f>
        <v>#DIV/0!</v>
      </c>
      <c r="BD250" s="326" t="e">
        <f>AVERAGE(BC249,BD249)</f>
        <v>#DIV/0!</v>
      </c>
      <c r="BE250" s="326" t="e">
        <f>AVERAGE(BD249,BE249)</f>
        <v>#DIV/0!</v>
      </c>
      <c r="BF250" s="298" t="n"/>
      <c r="BG250" s="326" t="e">
        <f>AVERAGE(BE249,BG249)</f>
        <v>#DIV/0!</v>
      </c>
      <c r="BH250" s="326" t="e">
        <f>AVERAGE(BG249,BH249)</f>
        <v>#DIV/0!</v>
      </c>
      <c r="BI250" s="326" t="e">
        <f>AVERAGE(BH249,BI249)</f>
        <v>#DIV/0!</v>
      </c>
      <c r="BJ250" s="326" t="e">
        <f>AVERAGE(BI249,BJ249)</f>
        <v>#DIV/0!</v>
      </c>
      <c r="BK250" s="298" t="n"/>
      <c r="BL250" s="326" t="e">
        <f>AVERAGE(BJ249,BL249)</f>
        <v>#DIV/0!</v>
      </c>
      <c r="BM250" s="326" t="e">
        <f>AVERAGE(BL249,BM249)</f>
        <v>#DIV/0!</v>
      </c>
      <c r="BN250" s="326" t="e">
        <f>AVERAGE(BM249,BN249)</f>
        <v>#DIV/0!</v>
      </c>
      <c r="BO250" s="326" t="e">
        <f>AVERAGE(BN249,BO249)</f>
        <v>#DIV/0!</v>
      </c>
      <c r="BP250" s="298" t="n"/>
      <c r="BQ250" s="326" t="e">
        <f>AVERAGE(BO249,BQ249)</f>
        <v>#DIV/0!</v>
      </c>
      <c r="BR250" s="326" t="e">
        <f>AVERAGE(BQ249,BR249)</f>
        <v>#DIV/0!</v>
      </c>
      <c r="BS250" s="326" t="e">
        <f>AVERAGE(BR249,BS249)</f>
        <v>#DIV/0!</v>
      </c>
      <c r="BT250" s="326" t="e">
        <f>AVERAGE(BS249,BT249)</f>
        <v>#DIV/0!</v>
      </c>
      <c r="BU250" s="298" t="n"/>
      <c r="BV250" s="326" t="e">
        <f>AVERAGE(BT249,BV249)</f>
        <v>#DIV/0!</v>
      </c>
      <c r="BW250" s="326" t="e">
        <f>AVERAGE(BV249,BW249)</f>
        <v>#DIV/0!</v>
      </c>
      <c r="BX250" s="326" t="e">
        <f>AVERAGE(BW249,BX249)</f>
        <v>#DIV/0!</v>
      </c>
      <c r="BY250" s="326" t="e">
        <f>AVERAGE(BX249,BY249)</f>
        <v>#DIV/0!</v>
      </c>
      <c r="BZ250" s="298" t="n"/>
      <c r="CA250" s="326" t="e">
        <f>AVERAGE(BY249,CA249)</f>
        <v>#DIV/0!</v>
      </c>
      <c r="CB250" s="326" t="e">
        <f>AVERAGE(CA249,CB249)</f>
        <v>#DIV/0!</v>
      </c>
      <c r="CC250" s="326" t="e">
        <f>AVERAGE(CB249,CC249)</f>
        <v>#DIV/0!</v>
      </c>
      <c r="CD250" s="326" t="e">
        <f>AVERAGE(CC249,CD249)</f>
        <v>#DIV/0!</v>
      </c>
      <c r="CE250" s="298" t="n"/>
      <c r="CF250" s="326" t="e">
        <f>AVERAGE(CD249,CF249)</f>
        <v>#DIV/0!</v>
      </c>
      <c r="CG250" s="326" t="e">
        <f>AVERAGE(CF249,CG249)</f>
        <v>#DIV/0!</v>
      </c>
      <c r="CH250" s="326" t="e">
        <f>AVERAGE(CG249,CH249)</f>
        <v>#DIV/0!</v>
      </c>
      <c r="CI250" s="326" t="e">
        <f>AVERAGE(CH249,CI249)</f>
        <v>#DIV/0!</v>
      </c>
      <c r="CJ250" s="298" t="n"/>
      <c r="CK250" s="326" t="e">
        <f>AVERAGE(CI249,CK249)</f>
        <v>#DIV/0!</v>
      </c>
      <c r="CL250" s="326" t="e">
        <f>AVERAGE(CK249,CL249)</f>
        <v>#DIV/0!</v>
      </c>
      <c r="CM250" s="326" t="e">
        <f>AVERAGE(CL249,CM249)</f>
        <v>#DIV/0!</v>
      </c>
      <c r="CN250" s="326" t="e">
        <f>AVERAGE(CM249,CN249)</f>
        <v>#DIV/0!</v>
      </c>
      <c r="CO250" s="298" t="n"/>
      <c r="CP250" s="326" t="e">
        <f>AVERAGE(CN249,CP249)</f>
        <v>#DIV/0!</v>
      </c>
      <c r="CQ250" s="326" t="e">
        <f>AVERAGE(CP249,CQ249)</f>
        <v>#DIV/0!</v>
      </c>
      <c r="CR250" s="326" t="e">
        <f>AVERAGE(CQ249,CR249)</f>
        <v>#DIV/0!</v>
      </c>
      <c r="CS250" s="326" t="e">
        <f>AVERAGE(CR249,CS249)</f>
        <v>#DIV/0!</v>
      </c>
      <c r="CT250" s="298" t="n"/>
      <c r="CU250" s="326" t="e">
        <f>AVERAGE(CS249,CU249)</f>
        <v>#DIV/0!</v>
      </c>
      <c r="CV250" s="326" t="e">
        <f>AVERAGE(CU249,CV249)</f>
        <v>#DIV/0!</v>
      </c>
      <c r="CW250" s="326" t="e">
        <f>AVERAGE(CV249,CW249)</f>
        <v>#DIV/0!</v>
      </c>
      <c r="CX250" s="326" t="e">
        <f>AVERAGE(CW249,CX249)</f>
        <v>#DIV/0!</v>
      </c>
      <c r="CY250" s="298" t="n"/>
      <c r="CZ250" s="322" t="e">
        <f>AVERAGE(CX249,CZ249)</f>
        <v>#DIV/0!</v>
      </c>
      <c r="DA250" s="322" t="e">
        <f>AVERAGE(CZ249,DA249)</f>
        <v>#DIV/0!</v>
      </c>
      <c r="DB250" s="322" t="e">
        <f>AVERAGE(DA249,DB249)</f>
        <v>#DIV/0!</v>
      </c>
      <c r="DC250" s="322" t="e">
        <f>AVERAGE(DB249,DC249)</f>
        <v>#DIV/0!</v>
      </c>
    </row>
    <row r="251" hidden="1" outlineLevel="1" ht="12.75" customFormat="1" customHeight="1" s="322">
      <c r="A251" s="293" t="n"/>
      <c r="B251" s="293" t="n"/>
      <c r="C251" s="323" t="n"/>
      <c r="D251" s="298" t="n"/>
      <c r="E251" s="298" t="n"/>
      <c r="F251" s="298" t="n"/>
      <c r="G251" s="298" t="n"/>
      <c r="H251" s="268" t="n"/>
      <c r="I251" s="298" t="n"/>
      <c r="J251" s="298" t="n"/>
      <c r="K251" s="298" t="n"/>
      <c r="L251" s="298" t="n"/>
      <c r="M251" s="268" t="n"/>
      <c r="N251" s="298" t="n"/>
      <c r="O251" s="298" t="n"/>
      <c r="P251" s="298" t="n"/>
      <c r="Q251" s="298" t="n"/>
      <c r="R251" s="268" t="n"/>
      <c r="S251" s="298" t="n"/>
      <c r="T251" s="298" t="n"/>
      <c r="U251" s="298" t="n"/>
      <c r="V251" s="298" t="n"/>
      <c r="W251" s="268" t="n"/>
      <c r="X251" s="298" t="n"/>
      <c r="Y251" s="298" t="n"/>
      <c r="Z251" s="298" t="n"/>
      <c r="AA251" s="298" t="n"/>
      <c r="AB251" s="268" t="n"/>
      <c r="AC251" s="298" t="n"/>
      <c r="AD251" s="298" t="n"/>
      <c r="AE251" s="298" t="n"/>
      <c r="AF251" s="298" t="n"/>
      <c r="AG251" s="268" t="n"/>
      <c r="AH251" s="298" t="n"/>
      <c r="AI251" s="298" t="n"/>
      <c r="AJ251" s="298" t="n"/>
      <c r="AK251" s="298" t="n"/>
      <c r="AL251" s="268" t="n"/>
      <c r="AM251" s="298" t="n"/>
      <c r="AN251" s="298" t="n"/>
      <c r="AO251" s="298" t="n"/>
      <c r="AP251" s="298" t="n"/>
      <c r="AQ251" s="268" t="n"/>
      <c r="AR251" s="298" t="n"/>
      <c r="AS251" s="298" t="n"/>
      <c r="AT251" s="298" t="n"/>
      <c r="AU251" s="298" t="n"/>
      <c r="AV251" s="268" t="n"/>
      <c r="AW251" s="298" t="n"/>
      <c r="AX251" s="298" t="n"/>
      <c r="AY251" s="298" t="n"/>
      <c r="AZ251" s="298" t="n"/>
      <c r="BA251" s="268" t="n"/>
      <c r="BB251" s="298" t="n"/>
      <c r="BC251" s="298" t="n"/>
      <c r="BD251" s="298" t="n"/>
      <c r="BE251" s="298" t="n"/>
      <c r="BF251" s="268" t="n"/>
      <c r="BG251" s="298" t="n"/>
      <c r="BH251" s="298" t="n"/>
      <c r="BI251" s="298" t="n"/>
      <c r="BJ251" s="298" t="n"/>
      <c r="BK251" s="268" t="n"/>
      <c r="BL251" s="298" t="n"/>
      <c r="BM251" s="298" t="n"/>
      <c r="BN251" s="298" t="n"/>
      <c r="BO251" s="298" t="n"/>
      <c r="BP251" s="268" t="n"/>
      <c r="BQ251" s="298" t="n"/>
      <c r="BR251" s="298" t="n"/>
      <c r="BS251" s="298" t="n"/>
      <c r="BT251" s="298" t="n"/>
      <c r="BU251" s="268" t="n"/>
      <c r="BV251" s="298" t="n"/>
      <c r="BW251" s="298" t="n"/>
      <c r="BX251" s="298" t="n"/>
      <c r="BY251" s="298" t="n"/>
      <c r="BZ251" s="268" t="n"/>
      <c r="CA251" s="298" t="n"/>
      <c r="CB251" s="298" t="n"/>
      <c r="CC251" s="298" t="n"/>
      <c r="CD251" s="298" t="n"/>
      <c r="CE251" s="268" t="n"/>
      <c r="CF251" s="298" t="n"/>
      <c r="CG251" s="298" t="n"/>
      <c r="CH251" s="298" t="n"/>
      <c r="CI251" s="298" t="n"/>
      <c r="CJ251" s="268" t="n"/>
      <c r="CK251" s="298" t="n"/>
      <c r="CL251" s="298" t="n"/>
      <c r="CM251" s="298" t="n"/>
      <c r="CN251" s="298" t="n"/>
      <c r="CO251" s="268" t="n"/>
      <c r="CP251" s="298" t="n"/>
      <c r="CQ251" s="298" t="n"/>
      <c r="CR251" s="298" t="n"/>
      <c r="CS251" s="298" t="n"/>
      <c r="CT251" s="268" t="n"/>
      <c r="CU251" s="298" t="n"/>
      <c r="CV251" s="298" t="n"/>
      <c r="CW251" s="298" t="n"/>
      <c r="CX251" s="298" t="n"/>
      <c r="CY251" s="268" t="n"/>
    </row>
    <row r="252" ht="12.75" customHeight="1" s="255">
      <c r="C252" s="270" t="inlineStr">
        <is>
          <t>Treasury stock (contra account)</t>
        </is>
      </c>
      <c r="D252" s="301">
        <f>INDEX('Inputs (2)'!$D$44:$AL$44,MATCH(D$7,'Inputs (2)'!$D$2:$AL$2,0))</f>
        <v>0</v>
      </c>
      <c r="E252" s="301">
        <f>INDEX('Inputs (2)'!$D$44:$AL$44,MATCH(E$7,'Inputs (2)'!$D$2:$AL$2,0))</f>
        <v>0</v>
      </c>
      <c r="F252" s="301">
        <f>INDEX('Inputs (2)'!$D$44:$AL$44,MATCH(F$7,'Inputs (2)'!$D$2:$AL$2,0))</f>
        <v>0</v>
      </c>
      <c r="G252" s="301">
        <f>INDEX('Inputs (2)'!$D$44:$AL$44,MATCH(G$7,'Inputs (2)'!$D$2:$AL$2,0))</f>
        <v>0</v>
      </c>
      <c r="H252" s="268">
        <f>G252</f>
        <v>0</v>
      </c>
      <c r="I252" s="301">
        <f>INDEX('Inputs (2)'!$D$44:$AL$44,MATCH(I$7,'Inputs (2)'!$D$2:$AL$2,0))</f>
        <v>0</v>
      </c>
      <c r="J252" s="301">
        <f>INDEX('Inputs (2)'!$D$44:$AL$44,MATCH(J$7,'Inputs (2)'!$D$2:$AL$2,0))</f>
        <v>0</v>
      </c>
      <c r="K252" s="301">
        <f>INDEX('Inputs (2)'!$D$44:$AL$44,MATCH(K$7,'Inputs (2)'!$D$2:$AL$2,0))</f>
        <v>0</v>
      </c>
      <c r="L252" s="301">
        <f>INDEX('Inputs (2)'!$D$44:$AL$44,MATCH(L$7,'Inputs (2)'!$D$2:$AL$2,0))</f>
        <v>0</v>
      </c>
      <c r="M252" s="268">
        <f>L252</f>
        <v>0</v>
      </c>
      <c r="N252" s="301">
        <f>INDEX('Inputs (2)'!$D$44:$AL$44,MATCH(N$7,'Inputs (2)'!$D$2:$AL$2,0))</f>
        <v>0</v>
      </c>
      <c r="O252" s="301">
        <f>INDEX('Inputs (2)'!$D$44:$AL$44,MATCH(O$7,'Inputs (2)'!$D$2:$AL$2,0))</f>
        <v>0</v>
      </c>
      <c r="P252" s="301">
        <f>INDEX('Inputs (2)'!$D$44:$AL$44,MATCH(P$7,'Inputs (2)'!$D$2:$AL$2,0))</f>
        <v>0</v>
      </c>
      <c r="Q252" s="301">
        <f>INDEX('Inputs (2)'!$D$44:$AL$44,MATCH(Q$7,'Inputs (2)'!$D$2:$AL$2,0))</f>
        <v>0</v>
      </c>
      <c r="R252" s="268">
        <f>Q252</f>
        <v>0</v>
      </c>
      <c r="S252" s="301">
        <f>INDEX('Inputs (2)'!$D$44:$AL$44,MATCH(S$7,'Inputs (2)'!$D$2:$AL$2,0))</f>
        <v>0</v>
      </c>
      <c r="T252" s="301">
        <f>INDEX('Inputs (2)'!$D$44:$AL$44,MATCH(T$7,'Inputs (2)'!$D$2:$AL$2,0))</f>
        <v>0</v>
      </c>
      <c r="U252" s="301">
        <f>INDEX('Inputs (2)'!$D$44:$AL$44,MATCH(U$7,'Inputs (2)'!$D$2:$AL$2,0))</f>
        <v>0</v>
      </c>
      <c r="V252" s="301">
        <f>INDEX('Inputs (2)'!$D$44:$AL$44,MATCH(V$7,'Inputs (2)'!$D$2:$AL$2,0))</f>
        <v>0</v>
      </c>
      <c r="W252" s="268">
        <f>V252</f>
        <v>0</v>
      </c>
      <c r="X252" s="301">
        <f>INDEX('Inputs (2)'!$D$44:$AL$44,MATCH(X$7,'Inputs (2)'!$D$2:$AL$2,0))</f>
        <v>0</v>
      </c>
      <c r="Y252" s="301">
        <f>INDEX('Inputs (2)'!$D$44:$AL$44,MATCH(Y$7,'Inputs (2)'!$D$2:$AL$2,0))</f>
        <v>0</v>
      </c>
      <c r="Z252" s="301">
        <f>INDEX('Inputs (2)'!$D$44:$AL$44,MATCH(Z$7,'Inputs (2)'!$D$2:$AL$2,0))</f>
        <v>0</v>
      </c>
      <c r="AA252" s="301">
        <f>INDEX('Inputs (2)'!$D$44:$AL$44,MATCH(AA$7,'Inputs (2)'!$D$2:$AL$2,0))</f>
        <v>0</v>
      </c>
      <c r="AB252" s="268">
        <f>AA252</f>
        <v>0</v>
      </c>
      <c r="AC252" s="301">
        <f>INDEX('Inputs (2)'!$D$44:$AL$44,MATCH(AC$7,'Inputs (2)'!$D$2:$AL$2,0))</f>
        <v>0</v>
      </c>
      <c r="AD252" s="301">
        <f>INDEX('Inputs (2)'!$D$44:$AL$44,MATCH(AD$7,'Inputs (2)'!$D$2:$AL$2,0))</f>
        <v>0</v>
      </c>
      <c r="AE252" s="301">
        <f>INDEX('Inputs (2)'!$D$44:$AL$44,MATCH(AE$7,'Inputs (2)'!$D$2:$AL$2,0))</f>
        <v>0</v>
      </c>
      <c r="AF252" s="301">
        <f>INDEX('Inputs (2)'!$D$44:$AL$44,MATCH(AF$7,'Inputs (2)'!$D$2:$AL$2,0))</f>
        <v>0</v>
      </c>
      <c r="AG252" s="268">
        <f>AF252</f>
        <v>0</v>
      </c>
      <c r="AH252" s="268">
        <f>INDEX('Inputs (2)'!$D$44:$AL$44,MATCH(AH$7,'Inputs (2)'!$D$2:$AL$2,0))</f>
        <v>0</v>
      </c>
      <c r="AI252" s="268">
        <f>INDEX('Inputs (2)'!$D$44:$AL$44,MATCH(AI$7,'Inputs (2)'!$D$2:$AL$2,0))</f>
        <v>0</v>
      </c>
      <c r="AJ252" s="268">
        <f>AI252+AJ242</f>
        <v>0</v>
      </c>
      <c r="AK252" s="268">
        <f>AJ252+AK242</f>
        <v>0</v>
      </c>
      <c r="AL252" s="268">
        <f>AK252</f>
        <v>0</v>
      </c>
      <c r="AM252" s="268">
        <f>AL252+AM242</f>
        <v>0</v>
      </c>
      <c r="AN252" s="268">
        <f>AM252+AN242</f>
        <v>0</v>
      </c>
      <c r="AO252" s="268">
        <f>AN252+AO242</f>
        <v>0</v>
      </c>
      <c r="AP252" s="268">
        <f>AO252+AP242</f>
        <v>0</v>
      </c>
      <c r="AQ252" s="268">
        <f>AP252</f>
        <v>0</v>
      </c>
      <c r="AR252" s="268">
        <f>AQ252+AR242</f>
        <v>0</v>
      </c>
      <c r="AS252" s="268">
        <f>AR252+AS242</f>
        <v>0</v>
      </c>
      <c r="AT252" s="268">
        <f>AS252+AT242</f>
        <v>0</v>
      </c>
      <c r="AU252" s="268">
        <f>AT252+AU242</f>
        <v>0</v>
      </c>
      <c r="AV252" s="268">
        <f>AU252</f>
        <v>0</v>
      </c>
      <c r="AW252" s="268">
        <f>AV252+AW242</f>
        <v>0</v>
      </c>
      <c r="AX252" s="268">
        <f>AW252+AX242</f>
        <v>0</v>
      </c>
      <c r="AY252" s="268">
        <f>AX252+AY242</f>
        <v>0</v>
      </c>
      <c r="AZ252" s="268">
        <f>AY252+AZ242</f>
        <v>0</v>
      </c>
      <c r="BA252" s="268">
        <f>AZ252</f>
        <v>0</v>
      </c>
      <c r="BB252" s="268">
        <f>BA252+BB242</f>
        <v>0</v>
      </c>
      <c r="BC252" s="268">
        <f>BB252+BC242</f>
        <v>0</v>
      </c>
      <c r="BD252" s="268">
        <f>BC252+BD242</f>
        <v>0</v>
      </c>
      <c r="BE252" s="268">
        <f>BD252+BE242</f>
        <v>0</v>
      </c>
      <c r="BF252" s="268">
        <f>BE252</f>
        <v>0</v>
      </c>
      <c r="BG252" s="268">
        <f>BF252+BG242</f>
        <v>0</v>
      </c>
      <c r="BH252" s="268">
        <f>BG252+BH242</f>
        <v>0</v>
      </c>
      <c r="BI252" s="268">
        <f>BH252+BI242</f>
        <v>0</v>
      </c>
      <c r="BJ252" s="268">
        <f>BI252+BJ242</f>
        <v>0</v>
      </c>
      <c r="BK252" s="268">
        <f>BJ252</f>
        <v>0</v>
      </c>
      <c r="BL252" s="268">
        <f>BK252+BL242</f>
        <v>0</v>
      </c>
      <c r="BM252" s="268">
        <f>BL252+BM242</f>
        <v>0</v>
      </c>
      <c r="BN252" s="268">
        <f>BM252+BN242</f>
        <v>0</v>
      </c>
      <c r="BO252" s="268">
        <f>BN252+BO242</f>
        <v>0</v>
      </c>
      <c r="BP252" s="268">
        <f>BO252</f>
        <v>0</v>
      </c>
      <c r="BQ252" s="268">
        <f>BP252+BQ242</f>
        <v>0</v>
      </c>
      <c r="BR252" s="268">
        <f>BQ252+BR242</f>
        <v>0</v>
      </c>
      <c r="BS252" s="268">
        <f>BR252+BS242</f>
        <v>0</v>
      </c>
      <c r="BT252" s="268">
        <f>BS252+BT242</f>
        <v>0</v>
      </c>
      <c r="BU252" s="268">
        <f>BT252</f>
        <v>0</v>
      </c>
      <c r="BV252" s="268">
        <f>BU252+BV242</f>
        <v>0</v>
      </c>
      <c r="BW252" s="268">
        <f>BV252+BW242</f>
        <v>0</v>
      </c>
      <c r="BX252" s="268">
        <f>BW252+BX242</f>
        <v>0</v>
      </c>
      <c r="BY252" s="268">
        <f>BX252+BY242</f>
        <v>0</v>
      </c>
      <c r="BZ252" s="268">
        <f>BY252</f>
        <v>0</v>
      </c>
      <c r="CA252" s="268">
        <f>BZ252+CA242</f>
        <v>0</v>
      </c>
      <c r="CB252" s="268">
        <f>CA252+CB242</f>
        <v>0</v>
      </c>
      <c r="CC252" s="268">
        <f>CB252+CC242</f>
        <v>0</v>
      </c>
      <c r="CD252" s="268">
        <f>CC252+CD242</f>
        <v>0</v>
      </c>
      <c r="CE252" s="268">
        <f>CD252</f>
        <v>0</v>
      </c>
      <c r="CF252" s="268">
        <f>CE252+CF242</f>
        <v>0</v>
      </c>
      <c r="CG252" s="268">
        <f>CF252+CG242</f>
        <v>0</v>
      </c>
      <c r="CH252" s="268">
        <f>CG252+CH242</f>
        <v>0</v>
      </c>
      <c r="CI252" s="268">
        <f>CH252+CI242</f>
        <v>0</v>
      </c>
      <c r="CJ252" s="268">
        <f>CI252</f>
        <v>0</v>
      </c>
      <c r="CK252" s="268">
        <f>CJ252+CK242</f>
        <v>0</v>
      </c>
      <c r="CL252" s="268">
        <f>CK252+CL242</f>
        <v>0</v>
      </c>
      <c r="CM252" s="268">
        <f>CL252+CM242</f>
        <v>0</v>
      </c>
      <c r="CN252" s="268">
        <f>CM252+CN242</f>
        <v>0</v>
      </c>
      <c r="CO252" s="268">
        <f>CN252</f>
        <v>0</v>
      </c>
      <c r="CP252" s="268">
        <f>CO252+CP242</f>
        <v>0</v>
      </c>
      <c r="CQ252" s="268">
        <f>CP252+CQ242</f>
        <v>0</v>
      </c>
      <c r="CR252" s="268">
        <f>CQ252+CR242</f>
        <v>0</v>
      </c>
      <c r="CS252" s="268">
        <f>CR252+CS242</f>
        <v>0</v>
      </c>
      <c r="CT252" s="268">
        <f>CS252</f>
        <v>0</v>
      </c>
      <c r="CU252" s="268">
        <f>CT252+CU242</f>
        <v>0</v>
      </c>
      <c r="CV252" s="268">
        <f>CU252+CV242</f>
        <v>0</v>
      </c>
      <c r="CW252" s="268">
        <f>CV252+CW242</f>
        <v>0</v>
      </c>
      <c r="CX252" s="268">
        <f>CW252+CX242</f>
        <v>0</v>
      </c>
      <c r="CY252" s="268">
        <f>CX252</f>
        <v>0</v>
      </c>
    </row>
    <row r="253" ht="12.75" customHeight="1" s="255">
      <c r="C253" s="270" t="inlineStr">
        <is>
          <t>Comprehensive (accumulated) loss</t>
        </is>
      </c>
      <c r="D253" s="301">
        <f>INDEX('Inputs (2)'!$D$45:$AL$45,MATCH(D$7,'Inputs (2)'!$D$2:$AL$2,0))</f>
        <v>-1280</v>
      </c>
      <c r="E253" s="301">
        <f>INDEX('Inputs (2)'!$D$45:$AL$45,MATCH(E$7,'Inputs (2)'!$D$2:$AL$2,0))</f>
        <v>-1678</v>
      </c>
      <c r="F253" s="301">
        <f>INDEX('Inputs (2)'!$D$45:$AL$45,MATCH(F$7,'Inputs (2)'!$D$2:$AL$2,0))</f>
        <v>-1297</v>
      </c>
      <c r="G253" s="301">
        <f>INDEX('Inputs (2)'!$D$45:$AL$45,MATCH(G$7,'Inputs (2)'!$D$2:$AL$2,0))</f>
        <v>-1101</v>
      </c>
      <c r="H253" s="268">
        <f>G253</f>
        <v>-1101</v>
      </c>
      <c r="I253" s="301">
        <f>INDEX('Inputs (2)'!$D$45:$AL$45,MATCH(I$7,'Inputs (2)'!$D$2:$AL$2,0))</f>
        <v>-961</v>
      </c>
      <c r="J253" s="301">
        <f>INDEX('Inputs (2)'!$D$45:$AL$45,MATCH(J$7,'Inputs (2)'!$D$2:$AL$2,0))</f>
        <v>-909</v>
      </c>
      <c r="K253" s="301">
        <f>INDEX('Inputs (2)'!$D$45:$AL$45,MATCH(K$7,'Inputs (2)'!$D$2:$AL$2,0))</f>
        <v>-1137</v>
      </c>
      <c r="L253" s="301">
        <f>INDEX('Inputs (2)'!$D$45:$AL$45,MATCH(L$7,'Inputs (2)'!$D$2:$AL$2,0))</f>
        <v>-1211</v>
      </c>
      <c r="M253" s="268">
        <f>L253</f>
        <v>-1211</v>
      </c>
      <c r="N253" s="301">
        <f>INDEX('Inputs (2)'!$D$45:$AL$45,MATCH(N$7,'Inputs (2)'!$D$2:$AL$2,0))</f>
        <v>-1246</v>
      </c>
      <c r="O253" s="301">
        <f>INDEX('Inputs (2)'!$D$45:$AL$45,MATCH(O$7,'Inputs (2)'!$D$2:$AL$2,0))</f>
        <v>-1602</v>
      </c>
      <c r="P253" s="301">
        <f>INDEX('Inputs (2)'!$D$45:$AL$45,MATCH(P$7,'Inputs (2)'!$D$2:$AL$2,0))</f>
        <v>-1829</v>
      </c>
      <c r="Q253" s="301">
        <f>INDEX('Inputs (2)'!$D$45:$AL$45,MATCH(Q$7,'Inputs (2)'!$D$2:$AL$2,0))</f>
        <v>-1925</v>
      </c>
      <c r="R253" s="268">
        <f>Q253</f>
        <v>-1925</v>
      </c>
      <c r="S253" s="301">
        <f>INDEX('Inputs (2)'!$D$45:$AL$45,MATCH(S$7,'Inputs (2)'!$D$2:$AL$2,0))</f>
        <v>-1672</v>
      </c>
      <c r="T253" s="301">
        <f>INDEX('Inputs (2)'!$D$45:$AL$45,MATCH(T$7,'Inputs (2)'!$D$2:$AL$2,0))</f>
        <v>-1680</v>
      </c>
      <c r="U253" s="301">
        <f>INDEX('Inputs (2)'!$D$45:$AL$45,MATCH(U$7,'Inputs (2)'!$D$2:$AL$2,0))</f>
        <v>-1805</v>
      </c>
      <c r="V253" s="301">
        <f>INDEX('Inputs (2)'!$D$45:$AL$45,MATCH(V$7,'Inputs (2)'!$D$2:$AL$2,0))</f>
        <v>-1843</v>
      </c>
      <c r="W253" s="268">
        <f>V253</f>
        <v>-1843</v>
      </c>
      <c r="X253" s="301">
        <f>INDEX('Inputs (2)'!$D$45:$AL$45,MATCH(X$7,'Inputs (2)'!$D$2:$AL$2,0))</f>
        <v>-1842</v>
      </c>
      <c r="Y253" s="301">
        <f>INDEX('Inputs (2)'!$D$45:$AL$45,MATCH(Y$7,'Inputs (2)'!$D$2:$AL$2,0))</f>
        <v>-1922</v>
      </c>
      <c r="Z253" s="301">
        <f>INDEX('Inputs (2)'!$D$45:$AL$45,MATCH(Z$7,'Inputs (2)'!$D$2:$AL$2,0))</f>
        <v>-1828</v>
      </c>
      <c r="AA253" s="301">
        <f>INDEX('Inputs (2)'!$D$45:$AL$45,MATCH(AA$7,'Inputs (2)'!$D$2:$AL$2,0))</f>
        <v>-2152</v>
      </c>
      <c r="AB253" s="268">
        <f>AA253</f>
        <v>-2152</v>
      </c>
      <c r="AC253" s="301">
        <f>INDEX('Inputs (2)'!$D$45:$AL$45,MATCH(AC$7,'Inputs (2)'!$D$2:$AL$2,0))</f>
        <v>-2242</v>
      </c>
      <c r="AD253" s="301">
        <f>INDEX('Inputs (2)'!$D$45:$AL$45,MATCH(AD$7,'Inputs (2)'!$D$2:$AL$2,0))</f>
        <v>-1915</v>
      </c>
      <c r="AE253" s="301">
        <f>INDEX('Inputs (2)'!$D$45:$AL$45,MATCH(AE$7,'Inputs (2)'!$D$2:$AL$2,0))</f>
        <v>-1770</v>
      </c>
      <c r="AF253" s="301">
        <f>INDEX('Inputs (2)'!$D$45:$AL$45,MATCH(AF$7,'Inputs (2)'!$D$2:$AL$2,0))</f>
        <v>-1976</v>
      </c>
      <c r="AG253" s="268">
        <f>AF253</f>
        <v>-1976</v>
      </c>
      <c r="AH253" s="268">
        <f>INDEX('Inputs (2)'!$D$45:$AL$45,MATCH(AH$7,'Inputs (2)'!$D$2:$AL$2,0))</f>
        <v>-1606</v>
      </c>
      <c r="AI253" s="268">
        <f>INDEX('Inputs (2)'!$D$45:$AL$45,MATCH(AI$7,'Inputs (2)'!$D$2:$AL$2,0))</f>
        <v>-1658</v>
      </c>
      <c r="AJ253" s="268">
        <f>AI253</f>
        <v>-1658</v>
      </c>
      <c r="AK253" s="268">
        <f>AJ253</f>
        <v>-1658</v>
      </c>
      <c r="AL253" s="268">
        <f>AK253</f>
        <v>-1658</v>
      </c>
      <c r="AM253" s="268">
        <f>AL253</f>
        <v>-1658</v>
      </c>
      <c r="AN253" s="268">
        <f>AM253</f>
        <v>-1658</v>
      </c>
      <c r="AO253" s="268">
        <f>AN253</f>
        <v>-1658</v>
      </c>
      <c r="AP253" s="268">
        <f>AO253</f>
        <v>-1658</v>
      </c>
      <c r="AQ253" s="268">
        <f>AP253</f>
        <v>-1658</v>
      </c>
      <c r="AR253" s="268">
        <f>AQ253</f>
        <v>-1658</v>
      </c>
      <c r="AS253" s="268">
        <f>AR253</f>
        <v>-1658</v>
      </c>
      <c r="AT253" s="268">
        <f>AS253</f>
        <v>-1658</v>
      </c>
      <c r="AU253" s="268">
        <f>AT253</f>
        <v>-1658</v>
      </c>
      <c r="AV253" s="268">
        <f>AU253</f>
        <v>-1658</v>
      </c>
      <c r="AW253" s="268">
        <f>AV253</f>
        <v>-1658</v>
      </c>
      <c r="AX253" s="268">
        <f>AW253</f>
        <v>-1658</v>
      </c>
      <c r="AY253" s="268">
        <f>AX253</f>
        <v>-1658</v>
      </c>
      <c r="AZ253" s="268">
        <f>AY253</f>
        <v>-1658</v>
      </c>
      <c r="BA253" s="268">
        <f>AZ253</f>
        <v>-1658</v>
      </c>
      <c r="BB253" s="268">
        <f>BA253</f>
        <v>-1658</v>
      </c>
      <c r="BC253" s="268">
        <f>BB253</f>
        <v>-1658</v>
      </c>
      <c r="BD253" s="268">
        <f>BC253</f>
        <v>-1658</v>
      </c>
      <c r="BE253" s="268">
        <f>BD253</f>
        <v>-1658</v>
      </c>
      <c r="BF253" s="268">
        <f>BE253</f>
        <v>-1658</v>
      </c>
      <c r="BG253" s="268">
        <f>BF253</f>
        <v>-1658</v>
      </c>
      <c r="BH253" s="268">
        <f>BG253</f>
        <v>-1658</v>
      </c>
      <c r="BI253" s="268">
        <f>BH253</f>
        <v>-1658</v>
      </c>
      <c r="BJ253" s="268">
        <f>BI253</f>
        <v>-1658</v>
      </c>
      <c r="BK253" s="268">
        <f>BJ253</f>
        <v>-1658</v>
      </c>
      <c r="BL253" s="268">
        <f>BK253</f>
        <v>-1658</v>
      </c>
      <c r="BM253" s="268">
        <f>BL253</f>
        <v>-1658</v>
      </c>
      <c r="BN253" s="268">
        <f>BM253</f>
        <v>-1658</v>
      </c>
      <c r="BO253" s="268">
        <f>BN253</f>
        <v>-1658</v>
      </c>
      <c r="BP253" s="268">
        <f>BO253</f>
        <v>-1658</v>
      </c>
      <c r="BQ253" s="268">
        <f>BP253</f>
        <v>-1658</v>
      </c>
      <c r="BR253" s="268">
        <f>BQ253</f>
        <v>-1658</v>
      </c>
      <c r="BS253" s="268">
        <f>BR253</f>
        <v>-1658</v>
      </c>
      <c r="BT253" s="268">
        <f>BS253</f>
        <v>-1658</v>
      </c>
      <c r="BU253" s="268">
        <f>BT253</f>
        <v>-1658</v>
      </c>
      <c r="BV253" s="268">
        <f>BU253</f>
        <v>-1658</v>
      </c>
      <c r="BW253" s="268">
        <f>BV253</f>
        <v>-1658</v>
      </c>
      <c r="BX253" s="268">
        <f>BW253</f>
        <v>-1658</v>
      </c>
      <c r="BY253" s="268">
        <f>BX253</f>
        <v>-1658</v>
      </c>
      <c r="BZ253" s="268">
        <f>BY253</f>
        <v>-1658</v>
      </c>
      <c r="CA253" s="268">
        <f>BZ253</f>
        <v>-1658</v>
      </c>
      <c r="CB253" s="268">
        <f>CA253</f>
        <v>-1658</v>
      </c>
      <c r="CC253" s="268">
        <f>CB253</f>
        <v>-1658</v>
      </c>
      <c r="CD253" s="268">
        <f>CC253</f>
        <v>-1658</v>
      </c>
      <c r="CE253" s="268">
        <f>CD253</f>
        <v>-1658</v>
      </c>
      <c r="CF253" s="268">
        <f>CE253</f>
        <v>-1658</v>
      </c>
      <c r="CG253" s="268">
        <f>CF253</f>
        <v>-1658</v>
      </c>
      <c r="CH253" s="268">
        <f>CG253</f>
        <v>-1658</v>
      </c>
      <c r="CI253" s="268">
        <f>CH253</f>
        <v>-1658</v>
      </c>
      <c r="CJ253" s="268">
        <f>CI253</f>
        <v>-1658</v>
      </c>
      <c r="CK253" s="268">
        <f>CJ253</f>
        <v>-1658</v>
      </c>
      <c r="CL253" s="268">
        <f>CK253</f>
        <v>-1658</v>
      </c>
      <c r="CM253" s="268">
        <f>CL253</f>
        <v>-1658</v>
      </c>
      <c r="CN253" s="268">
        <f>CM253</f>
        <v>-1658</v>
      </c>
      <c r="CO253" s="268">
        <f>CN253</f>
        <v>-1658</v>
      </c>
      <c r="CP253" s="268">
        <f>CO253</f>
        <v>-1658</v>
      </c>
      <c r="CQ253" s="268">
        <f>CP253</f>
        <v>-1658</v>
      </c>
      <c r="CR253" s="268">
        <f>CQ253</f>
        <v>-1658</v>
      </c>
      <c r="CS253" s="268">
        <f>CR253</f>
        <v>-1658</v>
      </c>
      <c r="CT253" s="268">
        <f>CS253</f>
        <v>-1658</v>
      </c>
      <c r="CU253" s="268">
        <f>CT253</f>
        <v>-1658</v>
      </c>
      <c r="CV253" s="268">
        <f>CU253</f>
        <v>-1658</v>
      </c>
      <c r="CW253" s="268">
        <f>CV253</f>
        <v>-1658</v>
      </c>
      <c r="CX253" s="268">
        <f>CW253</f>
        <v>-1658</v>
      </c>
      <c r="CY253" s="268">
        <f>CX253</f>
        <v>-1658</v>
      </c>
    </row>
    <row r="254" ht="12.75" customHeight="1" s="255">
      <c r="C254" s="270" t="inlineStr">
        <is>
          <t>Other equity account</t>
        </is>
      </c>
      <c r="D254" s="301">
        <f>INDEX('Inputs (2)'!$D$46:$AL$46,MATCH(D$7,'Inputs (2)'!$D$2:$AL$2,0))</f>
        <v>0</v>
      </c>
      <c r="E254" s="301">
        <f>INDEX('Inputs (2)'!$D$46:$AL$46,MATCH(E$7,'Inputs (2)'!$D$2:$AL$2,0))</f>
        <v>0</v>
      </c>
      <c r="F254" s="301">
        <f>INDEX('Inputs (2)'!$D$46:$AL$46,MATCH(F$7,'Inputs (2)'!$D$2:$AL$2,0))</f>
        <v>0</v>
      </c>
      <c r="G254" s="301">
        <f>INDEX('Inputs (2)'!$D$46:$AL$46,MATCH(G$7,'Inputs (2)'!$D$2:$AL$2,0))</f>
        <v>0</v>
      </c>
      <c r="H254" s="268">
        <f>G254</f>
        <v>0</v>
      </c>
      <c r="I254" s="301">
        <f>INDEX('Inputs (2)'!$D$46:$AL$46,MATCH(I$7,'Inputs (2)'!$D$2:$AL$2,0))</f>
        <v>0</v>
      </c>
      <c r="J254" s="301">
        <f>INDEX('Inputs (2)'!$D$46:$AL$46,MATCH(J$7,'Inputs (2)'!$D$2:$AL$2,0))</f>
        <v>0</v>
      </c>
      <c r="K254" s="301">
        <f>INDEX('Inputs (2)'!$D$46:$AL$46,MATCH(K$7,'Inputs (2)'!$D$2:$AL$2,0))</f>
        <v>0</v>
      </c>
      <c r="L254" s="301">
        <f>INDEX('Inputs (2)'!$D$46:$AL$46,MATCH(L$7,'Inputs (2)'!$D$2:$AL$2,0))</f>
        <v>0</v>
      </c>
      <c r="M254" s="268">
        <f>L254</f>
        <v>0</v>
      </c>
      <c r="N254" s="301">
        <f>INDEX('Inputs (2)'!$D$46:$AL$46,MATCH(N$7,'Inputs (2)'!$D$2:$AL$2,0))</f>
        <v>0</v>
      </c>
      <c r="O254" s="301">
        <f>INDEX('Inputs (2)'!$D$46:$AL$46,MATCH(O$7,'Inputs (2)'!$D$2:$AL$2,0))</f>
        <v>0</v>
      </c>
      <c r="P254" s="301">
        <f>INDEX('Inputs (2)'!$D$46:$AL$46,MATCH(P$7,'Inputs (2)'!$D$2:$AL$2,0))</f>
        <v>0</v>
      </c>
      <c r="Q254" s="301">
        <f>INDEX('Inputs (2)'!$D$46:$AL$46,MATCH(Q$7,'Inputs (2)'!$D$2:$AL$2,0))</f>
        <v>0</v>
      </c>
      <c r="R254" s="268">
        <f>Q254</f>
        <v>0</v>
      </c>
      <c r="S254" s="301">
        <f>INDEX('Inputs (2)'!$D$46:$AL$46,MATCH(S$7,'Inputs (2)'!$D$2:$AL$2,0))</f>
        <v>0</v>
      </c>
      <c r="T254" s="301">
        <f>INDEX('Inputs (2)'!$D$46:$AL$46,MATCH(T$7,'Inputs (2)'!$D$2:$AL$2,0))</f>
        <v>0</v>
      </c>
      <c r="U254" s="301">
        <f>INDEX('Inputs (2)'!$D$46:$AL$46,MATCH(U$7,'Inputs (2)'!$D$2:$AL$2,0))</f>
        <v>0</v>
      </c>
      <c r="V254" s="301">
        <f>INDEX('Inputs (2)'!$D$46:$AL$46,MATCH(V$7,'Inputs (2)'!$D$2:$AL$2,0))</f>
        <v>0</v>
      </c>
      <c r="W254" s="268">
        <f>V254</f>
        <v>0</v>
      </c>
      <c r="X254" s="301">
        <f>INDEX('Inputs (2)'!$D$46:$AL$46,MATCH(X$7,'Inputs (2)'!$D$2:$AL$2,0))</f>
        <v>0</v>
      </c>
      <c r="Y254" s="301">
        <f>INDEX('Inputs (2)'!$D$46:$AL$46,MATCH(Y$7,'Inputs (2)'!$D$2:$AL$2,0))</f>
        <v>0</v>
      </c>
      <c r="Z254" s="301">
        <f>INDEX('Inputs (2)'!$D$46:$AL$46,MATCH(Z$7,'Inputs (2)'!$D$2:$AL$2,0))</f>
        <v>0</v>
      </c>
      <c r="AA254" s="301">
        <f>INDEX('Inputs (2)'!$D$46:$AL$46,MATCH(AA$7,'Inputs (2)'!$D$2:$AL$2,0))</f>
        <v>0</v>
      </c>
      <c r="AB254" s="268">
        <f>AA254</f>
        <v>0</v>
      </c>
      <c r="AC254" s="301">
        <f>INDEX('Inputs (2)'!$D$46:$AL$46,MATCH(AC$7,'Inputs (2)'!$D$2:$AL$2,0))</f>
        <v>0</v>
      </c>
      <c r="AD254" s="301">
        <f>INDEX('Inputs (2)'!$D$46:$AL$46,MATCH(AD$7,'Inputs (2)'!$D$2:$AL$2,0))</f>
        <v>0</v>
      </c>
      <c r="AE254" s="301">
        <f>INDEX('Inputs (2)'!$D$46:$AL$46,MATCH(AE$7,'Inputs (2)'!$D$2:$AL$2,0))</f>
        <v>0</v>
      </c>
      <c r="AF254" s="301">
        <f>INDEX('Inputs (2)'!$D$46:$AL$46,MATCH(AF$7,'Inputs (2)'!$D$2:$AL$2,0))</f>
        <v>0</v>
      </c>
      <c r="AG254" s="268">
        <f>AF254</f>
        <v>0</v>
      </c>
      <c r="AH254" s="268">
        <f>INDEX('Inputs (2)'!$D$46:$AL$46,MATCH(AH$7,'Inputs (2)'!$D$2:$AL$2,0))</f>
        <v>0</v>
      </c>
      <c r="AI254" s="268">
        <f>INDEX('Inputs (2)'!$D$46:$AL$46,MATCH(AI$7,'Inputs (2)'!$D$2:$AL$2,0))</f>
        <v>0</v>
      </c>
      <c r="AJ254" s="268">
        <f>AI254</f>
        <v>0</v>
      </c>
      <c r="AK254" s="268">
        <f>AJ254</f>
        <v>0</v>
      </c>
      <c r="AL254" s="268">
        <f>AK254</f>
        <v>0</v>
      </c>
      <c r="AM254" s="268">
        <f>AL254</f>
        <v>0</v>
      </c>
      <c r="AN254" s="268">
        <f>AM254</f>
        <v>0</v>
      </c>
      <c r="AO254" s="268">
        <f>AN254</f>
        <v>0</v>
      </c>
      <c r="AP254" s="268">
        <f>AO254</f>
        <v>0</v>
      </c>
      <c r="AQ254" s="268">
        <f>AP254</f>
        <v>0</v>
      </c>
      <c r="AR254" s="268">
        <f>AQ254</f>
        <v>0</v>
      </c>
      <c r="AS254" s="268">
        <f>AR254</f>
        <v>0</v>
      </c>
      <c r="AT254" s="268">
        <f>AS254</f>
        <v>0</v>
      </c>
      <c r="AU254" s="268">
        <f>AT254</f>
        <v>0</v>
      </c>
      <c r="AV254" s="268">
        <f>AU254</f>
        <v>0</v>
      </c>
      <c r="AW254" s="268">
        <f>AV254</f>
        <v>0</v>
      </c>
      <c r="AX254" s="268">
        <f>AW254</f>
        <v>0</v>
      </c>
      <c r="AY254" s="268">
        <f>AX254</f>
        <v>0</v>
      </c>
      <c r="AZ254" s="268">
        <f>AY254</f>
        <v>0</v>
      </c>
      <c r="BA254" s="268">
        <f>AZ254</f>
        <v>0</v>
      </c>
      <c r="BB254" s="268">
        <f>BA254</f>
        <v>0</v>
      </c>
      <c r="BC254" s="268">
        <f>BB254</f>
        <v>0</v>
      </c>
      <c r="BD254" s="268">
        <f>BC254</f>
        <v>0</v>
      </c>
      <c r="BE254" s="268">
        <f>BD254</f>
        <v>0</v>
      </c>
      <c r="BF254" s="268">
        <f>BE254</f>
        <v>0</v>
      </c>
      <c r="BG254" s="268">
        <f>BF254</f>
        <v>0</v>
      </c>
      <c r="BH254" s="268">
        <f>BG254</f>
        <v>0</v>
      </c>
      <c r="BI254" s="268">
        <f>BH254</f>
        <v>0</v>
      </c>
      <c r="BJ254" s="268">
        <f>BI254</f>
        <v>0</v>
      </c>
      <c r="BK254" s="268">
        <f>BJ254</f>
        <v>0</v>
      </c>
      <c r="BL254" s="268">
        <f>BK254</f>
        <v>0</v>
      </c>
      <c r="BM254" s="268">
        <f>BL254</f>
        <v>0</v>
      </c>
      <c r="BN254" s="268">
        <f>BM254</f>
        <v>0</v>
      </c>
      <c r="BO254" s="268">
        <f>BN254</f>
        <v>0</v>
      </c>
      <c r="BP254" s="268">
        <f>BO254</f>
        <v>0</v>
      </c>
      <c r="BQ254" s="268">
        <f>BP254</f>
        <v>0</v>
      </c>
      <c r="BR254" s="268">
        <f>BQ254</f>
        <v>0</v>
      </c>
      <c r="BS254" s="268">
        <f>BR254</f>
        <v>0</v>
      </c>
      <c r="BT254" s="268">
        <f>BS254</f>
        <v>0</v>
      </c>
      <c r="BU254" s="268">
        <f>BT254</f>
        <v>0</v>
      </c>
      <c r="BV254" s="268">
        <f>BU254</f>
        <v>0</v>
      </c>
      <c r="BW254" s="268">
        <f>BV254</f>
        <v>0</v>
      </c>
      <c r="BX254" s="268">
        <f>BW254</f>
        <v>0</v>
      </c>
      <c r="BY254" s="268">
        <f>BX254</f>
        <v>0</v>
      </c>
      <c r="BZ254" s="268">
        <f>BY254</f>
        <v>0</v>
      </c>
      <c r="CA254" s="268">
        <f>BZ254</f>
        <v>0</v>
      </c>
      <c r="CB254" s="268">
        <f>CA254</f>
        <v>0</v>
      </c>
      <c r="CC254" s="268">
        <f>CB254</f>
        <v>0</v>
      </c>
      <c r="CD254" s="268">
        <f>CC254</f>
        <v>0</v>
      </c>
      <c r="CE254" s="268">
        <f>CD254</f>
        <v>0</v>
      </c>
      <c r="CF254" s="268">
        <f>CE254</f>
        <v>0</v>
      </c>
      <c r="CG254" s="268">
        <f>CF254</f>
        <v>0</v>
      </c>
      <c r="CH254" s="268">
        <f>CG254</f>
        <v>0</v>
      </c>
      <c r="CI254" s="268">
        <f>CH254</f>
        <v>0</v>
      </c>
      <c r="CJ254" s="268">
        <f>CI254</f>
        <v>0</v>
      </c>
      <c r="CK254" s="268">
        <f>CJ254</f>
        <v>0</v>
      </c>
      <c r="CL254" s="268">
        <f>CK254</f>
        <v>0</v>
      </c>
      <c r="CM254" s="268">
        <f>CL254</f>
        <v>0</v>
      </c>
      <c r="CN254" s="268">
        <f>CM254</f>
        <v>0</v>
      </c>
      <c r="CO254" s="268">
        <f>CN254</f>
        <v>0</v>
      </c>
      <c r="CP254" s="268">
        <f>CO254</f>
        <v>0</v>
      </c>
      <c r="CQ254" s="268">
        <f>CP254</f>
        <v>0</v>
      </c>
      <c r="CR254" s="268">
        <f>CQ254</f>
        <v>0</v>
      </c>
      <c r="CS254" s="268">
        <f>CR254</f>
        <v>0</v>
      </c>
      <c r="CT254" s="268">
        <f>CS254</f>
        <v>0</v>
      </c>
      <c r="CU254" s="268">
        <f>CT254</f>
        <v>0</v>
      </c>
      <c r="CV254" s="268">
        <f>CU254</f>
        <v>0</v>
      </c>
      <c r="CW254" s="268">
        <f>CV254</f>
        <v>0</v>
      </c>
      <c r="CX254" s="268">
        <f>CW254</f>
        <v>0</v>
      </c>
      <c r="CY254" s="268">
        <f>CX254</f>
        <v>0</v>
      </c>
    </row>
    <row r="255" ht="12.75" customHeight="1" s="255">
      <c r="C255" s="271" t="inlineStr">
        <is>
          <t>Retained earnings</t>
        </is>
      </c>
      <c r="D255" s="301">
        <f>INDEX('Inputs (2)'!$D$47:$AL$47,MATCH(D$7,'Inputs (2)'!$D$2:$AL$2,0))</f>
        <v>11384</v>
      </c>
      <c r="E255" s="301">
        <f>INDEX('Inputs (2)'!$D$47:$AL$47,MATCH(E$7,'Inputs (2)'!$D$2:$AL$2,0))</f>
        <v>11883</v>
      </c>
      <c r="F255" s="301">
        <f>INDEX('Inputs (2)'!$D$47:$AL$47,MATCH(F$7,'Inputs (2)'!$D$2:$AL$2,0))</f>
        <v>12879</v>
      </c>
      <c r="G255" s="301">
        <f>INDEX('Inputs (2)'!$D$47:$AL$47,MATCH(G$7,'Inputs (2)'!$D$2:$AL$2,0))</f>
        <v>9232</v>
      </c>
      <c r="H255" s="268">
        <f>G255</f>
        <v>9232</v>
      </c>
      <c r="I255" s="301">
        <f>INDEX('Inputs (2)'!$D$47:$AL$47,MATCH(I$7,'Inputs (2)'!$D$2:$AL$2,0))</f>
        <v>9766</v>
      </c>
      <c r="J255" s="301">
        <f>INDEX('Inputs (2)'!$D$47:$AL$47,MATCH(J$7,'Inputs (2)'!$D$2:$AL$2,0))</f>
        <v>10466</v>
      </c>
      <c r="K255" s="301">
        <f>INDEX('Inputs (2)'!$D$47:$AL$47,MATCH(K$7,'Inputs (2)'!$D$2:$AL$2,0))</f>
        <v>11666</v>
      </c>
      <c r="L255" s="301">
        <f>INDEX('Inputs (2)'!$D$47:$AL$47,MATCH(L$7,'Inputs (2)'!$D$2:$AL$2,0))</f>
        <v>12606</v>
      </c>
      <c r="M255" s="268">
        <f>L255</f>
        <v>12606</v>
      </c>
      <c r="N255" s="301">
        <f>INDEX('Inputs (2)'!$D$47:$AL$47,MATCH(N$7,'Inputs (2)'!$D$2:$AL$2,0))</f>
        <v>13474</v>
      </c>
      <c r="O255" s="301">
        <f>INDEX('Inputs (2)'!$D$47:$AL$47,MATCH(O$7,'Inputs (2)'!$D$2:$AL$2,0))</f>
        <v>14294</v>
      </c>
      <c r="P255" s="301">
        <f>INDEX('Inputs (2)'!$D$47:$AL$47,MATCH(P$7,'Inputs (2)'!$D$2:$AL$2,0))</f>
        <v>15585</v>
      </c>
      <c r="Q255" s="301">
        <f>INDEX('Inputs (2)'!$D$47:$AL$47,MATCH(Q$7,'Inputs (2)'!$D$2:$AL$2,0))</f>
        <v>16412</v>
      </c>
      <c r="R255" s="268">
        <f>Q255</f>
        <v>16412</v>
      </c>
      <c r="S255" s="301">
        <f>INDEX('Inputs (2)'!$D$47:$AL$47,MATCH(S$7,'Inputs (2)'!$D$2:$AL$2,0))</f>
        <v>17341</v>
      </c>
      <c r="T255" s="301">
        <f>INDEX('Inputs (2)'!$D$47:$AL$47,MATCH(T$7,'Inputs (2)'!$D$2:$AL$2,0))</f>
        <v>18035</v>
      </c>
      <c r="U255" s="301">
        <f>INDEX('Inputs (2)'!$D$47:$AL$47,MATCH(U$7,'Inputs (2)'!$D$2:$AL$2,0))</f>
        <v>19521</v>
      </c>
      <c r="V255" s="301">
        <f>INDEX('Inputs (2)'!$D$47:$AL$47,MATCH(V$7,'Inputs (2)'!$D$2:$AL$2,0))</f>
        <v>20499</v>
      </c>
      <c r="W255" s="268">
        <f>V255</f>
        <v>20499</v>
      </c>
      <c r="X255" s="301">
        <f>INDEX('Inputs (2)'!$D$47:$AL$47,MATCH(X$7,'Inputs (2)'!$D$2:$AL$2,0))</f>
        <v>14980</v>
      </c>
      <c r="Y255" s="301">
        <f>INDEX('Inputs (2)'!$D$47:$AL$47,MATCH(Y$7,'Inputs (2)'!$D$2:$AL$2,0))</f>
        <v>15989</v>
      </c>
      <c r="Z255" s="301">
        <f>INDEX('Inputs (2)'!$D$47:$AL$47,MATCH(Z$7,'Inputs (2)'!$D$2:$AL$2,0))</f>
        <v>17619</v>
      </c>
      <c r="AA255" s="301">
        <f>INDEX('Inputs (2)'!$D$47:$AL$47,MATCH(AA$7,'Inputs (2)'!$D$2:$AL$2,0))</f>
        <v>18700</v>
      </c>
      <c r="AB255" s="268">
        <f>AA255</f>
        <v>18700</v>
      </c>
      <c r="AC255" s="301">
        <f>INDEX('Inputs (2)'!$D$47:$AL$47,MATCH(AC$7,'Inputs (2)'!$D$2:$AL$2,0))</f>
        <v>19770</v>
      </c>
      <c r="AD255" s="301">
        <f>INDEX('Inputs (2)'!$D$47:$AL$47,MATCH(AD$7,'Inputs (2)'!$D$2:$AL$2,0))</f>
        <v>20890</v>
      </c>
      <c r="AE255" s="301">
        <f>INDEX('Inputs (2)'!$D$47:$AL$47,MATCH(AE$7,'Inputs (2)'!$D$2:$AL$2,0))</f>
        <v>22650</v>
      </c>
      <c r="AF255" s="301">
        <f>INDEX('Inputs (2)'!$D$47:$AL$47,MATCH(AF$7,'Inputs (2)'!$D$2:$AL$2,0))</f>
        <v>23869</v>
      </c>
      <c r="AG255" s="268">
        <f>AF255</f>
        <v>23869</v>
      </c>
      <c r="AH255" s="268">
        <f>INDEX('Inputs (2)'!$D$47:$AL$47,MATCH(AH$7,'Inputs (2)'!$D$2:$AL$2,0))</f>
        <v>25121</v>
      </c>
      <c r="AI255" s="268">
        <f>INDEX('Inputs (2)'!$D$47:$AL$47,MATCH(AI$7,'Inputs (2)'!$D$2:$AL$2,0))</f>
        <v>26482</v>
      </c>
      <c r="AJ255" s="268">
        <f>AI255+AJ122+AJ123</f>
        <v>26630</v>
      </c>
      <c r="AK255" s="268">
        <f>AJ255+AK122+AK123</f>
        <v>26785</v>
      </c>
      <c r="AL255" s="268">
        <f>AK255</f>
        <v>26785</v>
      </c>
      <c r="AM255" s="268">
        <f>AL255+AM122+AM123</f>
        <v>26940</v>
      </c>
      <c r="AN255" s="268">
        <f>AM255+AN122+AN123</f>
        <v>27546</v>
      </c>
      <c r="AO255" s="268">
        <f>AN255+AO122+AO123</f>
        <v>27701</v>
      </c>
      <c r="AP255" s="268">
        <f>AO255+AP122+AP123</f>
        <v>28307</v>
      </c>
      <c r="AQ255" s="268">
        <f>AP255</f>
        <v>28307</v>
      </c>
      <c r="AR255" s="268">
        <f>AQ255+AR122+AR123</f>
        <v>28913</v>
      </c>
      <c r="AS255" s="268">
        <f>AR255+AS122+AS123</f>
        <v>30435</v>
      </c>
      <c r="AT255" s="268">
        <f>AS255+AT122+AT123</f>
        <v>31041</v>
      </c>
      <c r="AU255" s="268">
        <f>AT255+AU122+AU123</f>
        <v>32563</v>
      </c>
      <c r="AV255" s="268">
        <f>AU255</f>
        <v>32563</v>
      </c>
      <c r="AW255" s="268">
        <f>AV255+AW122+AW123</f>
        <v>34085</v>
      </c>
      <c r="AX255" s="268">
        <f>AW255+AX122+AX123</f>
        <v>38341</v>
      </c>
      <c r="AY255" s="268">
        <f>AX255+AY122+AY123</f>
        <v>39863</v>
      </c>
      <c r="AZ255" s="268">
        <f>AY255+AZ122+AZ123</f>
        <v>44119</v>
      </c>
      <c r="BA255" s="268">
        <f>AZ255</f>
        <v>44119</v>
      </c>
      <c r="BB255" s="268">
        <f>BA255+BB122+BB123</f>
        <v>48375</v>
      </c>
      <c r="BC255" s="268">
        <f>BB255+BC122+BC123</f>
        <v>59931</v>
      </c>
      <c r="BD255" s="268">
        <f>BC255+BD122+BD123</f>
        <v>64187</v>
      </c>
      <c r="BE255" s="268">
        <f>BD255+BE122+BE123</f>
        <v>75743</v>
      </c>
      <c r="BF255" s="268">
        <f>BE255</f>
        <v>75743</v>
      </c>
      <c r="BG255" s="268">
        <f>BF255+BG122+BG123</f>
        <v>87299</v>
      </c>
      <c r="BH255" s="268">
        <f>BG255+BH122+BH123</f>
        <v>118923</v>
      </c>
      <c r="BI255" s="268">
        <f>BH255+BI122+BI123</f>
        <v>130479</v>
      </c>
      <c r="BJ255" s="268">
        <f>BI255+BJ122+BJ123</f>
        <v>162103</v>
      </c>
      <c r="BK255" s="268">
        <f>BJ255</f>
        <v>162103</v>
      </c>
      <c r="BL255" s="268">
        <f>BK255+BL122+BL123</f>
        <v>193727</v>
      </c>
      <c r="BM255" s="268">
        <f>BL255+BM122+BM123</f>
        <v>280087</v>
      </c>
      <c r="BN255" s="268">
        <f>BM255+BN122+BN123</f>
        <v>311711</v>
      </c>
      <c r="BO255" s="268">
        <f>BN255+BO122+BO123</f>
        <v>398071</v>
      </c>
      <c r="BP255" s="268">
        <f>BO255</f>
        <v>398071</v>
      </c>
      <c r="BQ255" s="268">
        <f>BP255+BQ122+BQ123</f>
        <v>484431</v>
      </c>
      <c r="BR255" s="268">
        <f>BQ255+BR122+BR123</f>
        <v>720399</v>
      </c>
      <c r="BS255" s="268">
        <f>BR255+BS122+BS123</f>
        <v>806759</v>
      </c>
      <c r="BT255" s="268">
        <f>BS255+BT122+BT123</f>
        <v>1042727</v>
      </c>
      <c r="BU255" s="268">
        <f>BT255</f>
        <v>1042727</v>
      </c>
      <c r="BV255" s="268">
        <f>BU255+BV122+BV123</f>
        <v>1278695</v>
      </c>
      <c r="BW255" s="268">
        <f>BV255+BW122+BW123</f>
        <v>1923351</v>
      </c>
      <c r="BX255" s="268">
        <f>BW255+BX122+BX123</f>
        <v>2159319</v>
      </c>
      <c r="BY255" s="268">
        <f>BX255+BY122+BY123</f>
        <v>2803975</v>
      </c>
      <c r="BZ255" s="268">
        <f>BY255</f>
        <v>2803975</v>
      </c>
      <c r="CA255" s="268">
        <f>BZ255+CA122+CA123</f>
        <v>3448631</v>
      </c>
      <c r="CB255" s="268">
        <f>CA255+CB122+CB123</f>
        <v>5209879</v>
      </c>
      <c r="CC255" s="268">
        <f>CB255+CC122+CC123</f>
        <v>5854535</v>
      </c>
      <c r="CD255" s="268">
        <f>CC255+CD122+CD123</f>
        <v>7615783</v>
      </c>
      <c r="CE255" s="268">
        <f>CD255</f>
        <v>7615783</v>
      </c>
      <c r="CF255" s="268">
        <f>CE255+CF122+CF123</f>
        <v>9377031</v>
      </c>
      <c r="CG255" s="268">
        <f>CF255+CG122+CG123</f>
        <v>14188839</v>
      </c>
      <c r="CH255" s="268">
        <f>CG255+CH122+CH123</f>
        <v>15950087</v>
      </c>
      <c r="CI255" s="268">
        <f>CH255+CI122+CI123</f>
        <v>20761895</v>
      </c>
      <c r="CJ255" s="268">
        <f>CI255</f>
        <v>20761895</v>
      </c>
      <c r="CK255" s="268">
        <f>CJ255+CK122+CK123</f>
        <v>25573703</v>
      </c>
      <c r="CL255" s="268">
        <f>CK255+CL122+CL123</f>
        <v>38719815</v>
      </c>
      <c r="CM255" s="268">
        <f>CL255+CM122+CM123</f>
        <v>43531623</v>
      </c>
      <c r="CN255" s="268">
        <f>CM255+CN122+CN123</f>
        <v>56677735</v>
      </c>
      <c r="CO255" s="268">
        <f>CN255</f>
        <v>56677735</v>
      </c>
      <c r="CP255" s="268">
        <f>CO255+CP122+CP123</f>
        <v>69823847</v>
      </c>
      <c r="CQ255" s="268">
        <f>CP255+CQ122+CQ123</f>
        <v>105739687</v>
      </c>
      <c r="CR255" s="268">
        <f>CQ255+CR122+CR123</f>
        <v>118885799</v>
      </c>
      <c r="CS255" s="268">
        <f>CR255+CS122+CS123</f>
        <v>154801639</v>
      </c>
      <c r="CT255" s="268">
        <f>CS255</f>
        <v>154801639</v>
      </c>
      <c r="CU255" s="268">
        <f>CT255+CU122+CU123</f>
        <v>190717479</v>
      </c>
      <c r="CV255" s="268">
        <f>CU255+CV122+CV123</f>
        <v>288841383</v>
      </c>
      <c r="CW255" s="268">
        <f>CV255+CW122+CW123</f>
        <v>324757223</v>
      </c>
      <c r="CX255" s="268">
        <f>CW255+CX122+CX123</f>
        <v>422881127</v>
      </c>
      <c r="CY255" s="268">
        <f>CX255</f>
        <v>422881127</v>
      </c>
    </row>
    <row r="256" ht="12.75" customFormat="1" customHeight="1" s="287">
      <c r="A256" s="288" t="inlineStr">
        <is>
          <t xml:space="preserve"> </t>
        </is>
      </c>
      <c r="B256" s="288" t="n"/>
      <c r="C256" s="321" t="inlineStr">
        <is>
          <t>Total Shareholders' Equity</t>
        </is>
      </c>
      <c r="D256" s="276">
        <f>SUM(D233+D238+D239+D252+D253+D254+D255)</f>
        <v>16999</v>
      </c>
      <c r="E256" s="276">
        <f>SUM(E233+E238+E239+E252+E253+E254+E255)</f>
        <v>17203</v>
      </c>
      <c r="F256" s="276">
        <f>SUM(F233+F238+F239+F252+F253+F254+F255)</f>
        <v>18705</v>
      </c>
      <c r="G256" s="276">
        <f>SUM(G233+G238+G239+G252+G253+G254+G255)</f>
        <v>15309</v>
      </c>
      <c r="H256" s="276">
        <f>SUM(H233,H238,H239,H252,H253,H254,H255)</f>
        <v>15309</v>
      </c>
      <c r="I256" s="276">
        <f>SUM(I233+I238+I239+I252+I253+I254+I255)</f>
        <v>16129</v>
      </c>
      <c r="J256" s="276">
        <f>SUM(J233+J238+J239+J252+J253+J254+J255)</f>
        <v>16974</v>
      </c>
      <c r="K256" s="276">
        <f>SUM(K233+K238+K239+K252+K253+K254+K255)</f>
        <v>18078</v>
      </c>
      <c r="L256" s="276">
        <f>SUM(L233+L238+L239+L252+L253+L254+L255)</f>
        <v>19000</v>
      </c>
      <c r="M256" s="276">
        <f>SUM(M233,M238,M239,M252,M253,M254,M255)</f>
        <v>19000</v>
      </c>
      <c r="N256" s="276">
        <f>SUM(N233+N238+N239+N252+N253+N254+N255)</f>
        <v>19976</v>
      </c>
      <c r="O256" s="276">
        <f>SUM(O233+O238+O239+O252+O253+O254+O255)</f>
        <v>20513</v>
      </c>
      <c r="P256" s="276">
        <f>SUM(P233+P238+P239+P252+P253+P254+P255)</f>
        <v>20647</v>
      </c>
      <c r="Q256" s="276">
        <f>SUM(Q233+Q238+Q239+Q252+Q253+Q254+Q255)</f>
        <v>21476</v>
      </c>
      <c r="R256" s="276">
        <f>SUM(R233,R238,R239,R252,R253,R254,R255)</f>
        <v>21476</v>
      </c>
      <c r="S256" s="276">
        <f>SUM(S233+S238+S239+S252+S253+S254+S255)</f>
        <v>22799</v>
      </c>
      <c r="T256" s="276">
        <f>SUM(T233+T238+T239+T252+T253+T254+T255)</f>
        <v>23573</v>
      </c>
      <c r="U256" s="276">
        <f>SUM(U233+U238+U239+U252+U253+U254+U255)</f>
        <v>25058</v>
      </c>
      <c r="V256" s="276">
        <f>SUM(V233+V238+V239+V252+V253+V254+V255)</f>
        <v>26147</v>
      </c>
      <c r="W256" s="276">
        <f>SUM(W233,W238,W239,W252,W253,W254,W255)</f>
        <v>26147</v>
      </c>
      <c r="X256" s="276">
        <f>SUM(X233+X238+X239+X252+X253+X254+X255)</f>
        <v>20760</v>
      </c>
      <c r="Y256" s="276">
        <f>SUM(Y233+Y238+Y239+Y252+Y253+Y254+Y255)</f>
        <v>21771</v>
      </c>
      <c r="Z256" s="276">
        <f>SUM(Z233+Z238+Z239+Z252+Z253+Z254+Z255)</f>
        <v>23622</v>
      </c>
      <c r="AA256" s="276">
        <f>SUM(AA233+AA238+AA239+AA252+AA253+AA254+AA255)</f>
        <v>24451</v>
      </c>
      <c r="AB256" s="276">
        <f>SUM(AB233,AB238,AB239,AB252,AB253,AB254,AB255)</f>
        <v>24451</v>
      </c>
      <c r="AC256" s="276">
        <f>SUM(AC233+AC238+AC239+AC252+AC253+AC254+AC255)</f>
        <v>25577</v>
      </c>
      <c r="AD256" s="276">
        <f>SUM(AD233+AD238+AD239+AD252+AD253+AD254+AD255)</f>
        <v>27125</v>
      </c>
      <c r="AE256" s="276">
        <f>SUM(AE233+AE238+AE239+AE252+AE253+AE254+AE255)</f>
        <v>29164</v>
      </c>
      <c r="AF256" s="276">
        <f>SUM(AF233+AF238+AF239+AF252+AF253+AF254+AF255)</f>
        <v>30303</v>
      </c>
      <c r="AG256" s="276">
        <f>SUM(AG233,AG238,AG239,AG252,AG253,AG254,AG255)</f>
        <v>30303</v>
      </c>
      <c r="AH256" s="276">
        <f>SUM(AH233+AH238+AH239+AH252+AH253+AH254+AH255)</f>
        <v>32087</v>
      </c>
      <c r="AI256" s="276">
        <f>SUM(AI233+AI238+AI239+AI252+AI253+AI254+AI255)</f>
        <v>33509</v>
      </c>
      <c r="AJ256" s="276">
        <f>SUM(AJ233+AJ238+AJ239+AJ252+AJ253+AJ254+AJ255)</f>
        <v>33657</v>
      </c>
      <c r="AK256" s="276">
        <f>SUM(AK233+AK238+AK239+AK252+AK253+AK254+AK255)</f>
        <v>33812</v>
      </c>
      <c r="AL256" s="276">
        <f>SUM(AL233,AL238,AL239,AL252,AL253,AL254,AL255)</f>
        <v>33812</v>
      </c>
      <c r="AM256" s="276">
        <f>SUM(AM233+AM238+AM239+AM252+AM253+AM254+AM255)</f>
        <v>33967</v>
      </c>
      <c r="AN256" s="276">
        <f>SUM(AN233+AN238+AN239+AN252+AN253+AN254+AN255)</f>
        <v>34573</v>
      </c>
      <c r="AO256" s="276">
        <f>SUM(AO233+AO238+AO239+AO252+AO253+AO254+AO255)</f>
        <v>34728</v>
      </c>
      <c r="AP256" s="276">
        <f>SUM(AP233+AP238+AP239+AP252+AP253+AP254+AP255)</f>
        <v>35334</v>
      </c>
      <c r="AQ256" s="276">
        <f>SUM(AQ233,AQ238,AQ239,AQ252,AQ253,AQ254,AQ255)</f>
        <v>35334</v>
      </c>
      <c r="AR256" s="276">
        <f>SUM(AR233+AR238+AR239+AR252+AR253+AR254+AR255)</f>
        <v>35940</v>
      </c>
      <c r="AS256" s="276">
        <f>SUM(AS233+AS238+AS239+AS252+AS253+AS254+AS255)</f>
        <v>37462</v>
      </c>
      <c r="AT256" s="276">
        <f>SUM(AT233+AT238+AT239+AT252+AT253+AT254+AT255)</f>
        <v>38068</v>
      </c>
      <c r="AU256" s="276">
        <f>SUM(AU233+AU238+AU239+AU252+AU253+AU254+AU255)</f>
        <v>39590</v>
      </c>
      <c r="AV256" s="276">
        <f>SUM(AV233,AV238,AV239,AV252,AV253,AV254,AV255)</f>
        <v>39590</v>
      </c>
      <c r="AW256" s="276">
        <f>SUM(AW233+AW238+AW239+AW252+AW253+AW254+AW255)</f>
        <v>41112</v>
      </c>
      <c r="AX256" s="276">
        <f>SUM(AX233+AX238+AX239+AX252+AX253+AX254+AX255)</f>
        <v>45368</v>
      </c>
      <c r="AY256" s="276">
        <f>SUM(AY233+AY238+AY239+AY252+AY253+AY254+AY255)</f>
        <v>46890</v>
      </c>
      <c r="AZ256" s="276">
        <f>SUM(AZ233+AZ238+AZ239+AZ252+AZ253+AZ254+AZ255)</f>
        <v>51146</v>
      </c>
      <c r="BA256" s="276">
        <f>SUM(BA233,BA238,BA239,BA252,BA253,BA254,BA255)</f>
        <v>51146</v>
      </c>
      <c r="BB256" s="276">
        <f>SUM(BB233+BB238+BB239+BB252+BB253+BB254+BB255)</f>
        <v>55402</v>
      </c>
      <c r="BC256" s="276">
        <f>SUM(BC233+BC238+BC239+BC252+BC253+BC254+BC255)</f>
        <v>66958</v>
      </c>
      <c r="BD256" s="276">
        <f>SUM(BD233+BD238+BD239+BD252+BD253+BD254+BD255)</f>
        <v>71214</v>
      </c>
      <c r="BE256" s="276">
        <f>SUM(BE233+BE238+BE239+BE252+BE253+BE254+BE255)</f>
        <v>82770</v>
      </c>
      <c r="BF256" s="276">
        <f>SUM(BF233,BF238,BF239,BF252,BF253,BF254,BF255)</f>
        <v>82770</v>
      </c>
      <c r="BG256" s="276">
        <f>SUM(BG233+BG238+BG239+BG252+BG253+BG254+BG255)</f>
        <v>94326</v>
      </c>
      <c r="BH256" s="276">
        <f>SUM(BH233+BH238+BH239+BH252+BH253+BH254+BH255)</f>
        <v>125950</v>
      </c>
      <c r="BI256" s="276">
        <f>SUM(BI233+BI238+BI239+BI252+BI253+BI254+BI255)</f>
        <v>137506</v>
      </c>
      <c r="BJ256" s="276">
        <f>SUM(BJ233+BJ238+BJ239+BJ252+BJ253+BJ254+BJ255)</f>
        <v>169130</v>
      </c>
      <c r="BK256" s="276">
        <f>SUM(BK233,BK238,BK239,BK252,BK253,BK254,BK255)</f>
        <v>169130</v>
      </c>
      <c r="BL256" s="276">
        <f>SUM(BL233+BL238+BL239+BL252+BL253+BL254+BL255)</f>
        <v>200754</v>
      </c>
      <c r="BM256" s="276">
        <f>SUM(BM233+BM238+BM239+BM252+BM253+BM254+BM255)</f>
        <v>287114</v>
      </c>
      <c r="BN256" s="276">
        <f>SUM(BN233+BN238+BN239+BN252+BN253+BN254+BN255)</f>
        <v>318738</v>
      </c>
      <c r="BO256" s="276">
        <f>SUM(BO233+BO238+BO239+BO252+BO253+BO254+BO255)</f>
        <v>405098</v>
      </c>
      <c r="BP256" s="276">
        <f>SUM(BP233,BP238,BP239,BP252,BP253,BP254,BP255)</f>
        <v>405098</v>
      </c>
      <c r="BQ256" s="276">
        <f>SUM(BQ233+BQ238+BQ239+BQ252+BQ253+BQ254+BQ255)</f>
        <v>491458</v>
      </c>
      <c r="BR256" s="276">
        <f>SUM(BR233+BR238+BR239+BR252+BR253+BR254+BR255)</f>
        <v>727426</v>
      </c>
      <c r="BS256" s="276">
        <f>SUM(BS233+BS238+BS239+BS252+BS253+BS254+BS255)</f>
        <v>813786</v>
      </c>
      <c r="BT256" s="276">
        <f>SUM(BT233+BT238+BT239+BT252+BT253+BT254+BT255)</f>
        <v>1049754</v>
      </c>
      <c r="BU256" s="276">
        <f>SUM(BU233,BU238,BU239,BU252,BU253,BU254,BU255)</f>
        <v>1049754</v>
      </c>
      <c r="BV256" s="276">
        <f>SUM(BV233+BV238+BV239+BV252+BV253+BV254+BV255)</f>
        <v>1285722</v>
      </c>
      <c r="BW256" s="276">
        <f>SUM(BW233+BW238+BW239+BW252+BW253+BW254+BW255)</f>
        <v>1930378</v>
      </c>
      <c r="BX256" s="276">
        <f>SUM(BX233+BX238+BX239+BX252+BX253+BX254+BX255)</f>
        <v>2166346</v>
      </c>
      <c r="BY256" s="276">
        <f>SUM(BY233+BY238+BY239+BY252+BY253+BY254+BY255)</f>
        <v>2811002</v>
      </c>
      <c r="BZ256" s="276">
        <f>SUM(BZ233,BZ238,BZ239,BZ252,BZ253,BZ254,BZ255)</f>
        <v>2811002</v>
      </c>
      <c r="CA256" s="276">
        <f>SUM(CA233+CA238+CA239+CA252+CA253+CA254+CA255)</f>
        <v>3455658</v>
      </c>
      <c r="CB256" s="276">
        <f>SUM(CB233+CB238+CB239+CB252+CB253+CB254+CB255)</f>
        <v>5216906</v>
      </c>
      <c r="CC256" s="276">
        <f>SUM(CC233+CC238+CC239+CC252+CC253+CC254+CC255)</f>
        <v>5861562</v>
      </c>
      <c r="CD256" s="276">
        <f>SUM(CD233+CD238+CD239+CD252+CD253+CD254+CD255)</f>
        <v>7622810</v>
      </c>
      <c r="CE256" s="276">
        <f>SUM(CE233,CE238,CE239,CE252,CE253,CE254,CE255)</f>
        <v>7622810</v>
      </c>
      <c r="CF256" s="276">
        <f>SUM(CF233+CF238+CF239+CF252+CF253+CF254+CF255)</f>
        <v>9384058</v>
      </c>
      <c r="CG256" s="276">
        <f>SUM(CG233+CG238+CG239+CG252+CG253+CG254+CG255)</f>
        <v>14195866</v>
      </c>
      <c r="CH256" s="276">
        <f>SUM(CH233+CH238+CH239+CH252+CH253+CH254+CH255)</f>
        <v>15957114</v>
      </c>
      <c r="CI256" s="276">
        <f>SUM(CI233+CI238+CI239+CI252+CI253+CI254+CI255)</f>
        <v>20768922</v>
      </c>
      <c r="CJ256" s="276">
        <f>SUM(CJ233,CJ238,CJ239,CJ252,CJ253,CJ254,CJ255)</f>
        <v>20768922</v>
      </c>
      <c r="CK256" s="276">
        <f>SUM(CK233+CK238+CK239+CK252+CK253+CK254+CK255)</f>
        <v>25580730</v>
      </c>
      <c r="CL256" s="276">
        <f>SUM(CL233+CL238+CL239+CL252+CL253+CL254+CL255)</f>
        <v>38726842</v>
      </c>
      <c r="CM256" s="276">
        <f>SUM(CM233+CM238+CM239+CM252+CM253+CM254+CM255)</f>
        <v>43538650</v>
      </c>
      <c r="CN256" s="276">
        <f>SUM(CN233+CN238+CN239+CN252+CN253+CN254+CN255)</f>
        <v>56684762</v>
      </c>
      <c r="CO256" s="276">
        <f>SUM(CO233,CO238,CO239,CO252,CO253,CO254,CO255)</f>
        <v>56684762</v>
      </c>
      <c r="CP256" s="276">
        <f>SUM(CP233+CP238+CP239+CP252+CP253+CP254+CP255)</f>
        <v>69830874</v>
      </c>
      <c r="CQ256" s="276">
        <f>SUM(CQ233+CQ238+CQ239+CQ252+CQ253+CQ254+CQ255)</f>
        <v>105746714</v>
      </c>
      <c r="CR256" s="276">
        <f>SUM(CR233+CR238+CR239+CR252+CR253+CR254+CR255)</f>
        <v>118892826</v>
      </c>
      <c r="CS256" s="276">
        <f>SUM(CS233+CS238+CS239+CS252+CS253+CS254+CS255)</f>
        <v>154808666</v>
      </c>
      <c r="CT256" s="276">
        <f>SUM(CT233,CT238,CT239,CT252,CT253,CT254,CT255)</f>
        <v>154808666</v>
      </c>
      <c r="CU256" s="276">
        <f>SUM(CU233+CU238+CU239+CU252+CU253+CU254+CU255)</f>
        <v>190724506</v>
      </c>
      <c r="CV256" s="276">
        <f>SUM(CV233+CV238+CV239+CV252+CV253+CV254+CV255)</f>
        <v>288848410</v>
      </c>
      <c r="CW256" s="276">
        <f>SUM(CW233+CW238+CW239+CW252+CW253+CW254+CW255)</f>
        <v>324764250</v>
      </c>
      <c r="CX256" s="276">
        <f>SUM(CX233+CX238+CX239+CX252+CX253+CX254+CX255)</f>
        <v>422888154</v>
      </c>
      <c r="CY256" s="276">
        <f>SUM(CY233,CY238,CY239,CY252,CY253,CY254,CY255)</f>
        <v>422888154</v>
      </c>
    </row>
    <row r="257" ht="12.75" customHeight="1" s="255">
      <c r="C257" s="266" t="n"/>
      <c r="D257" s="268" t="n"/>
      <c r="E257" s="268" t="n"/>
      <c r="F257" s="268" t="n"/>
      <c r="G257" s="268" t="n"/>
      <c r="H257" s="268" t="n"/>
      <c r="I257" s="268" t="n"/>
      <c r="J257" s="268" t="n"/>
      <c r="K257" s="268" t="n"/>
      <c r="L257" s="268" t="n"/>
      <c r="M257" s="268" t="n"/>
      <c r="N257" s="268" t="n"/>
      <c r="O257" s="268" t="n"/>
      <c r="P257" s="268" t="n"/>
      <c r="Q257" s="268" t="n"/>
      <c r="R257" s="268" t="n"/>
      <c r="S257" s="268" t="n"/>
      <c r="T257" s="268" t="n"/>
      <c r="U257" s="268" t="n"/>
      <c r="V257" s="268" t="n"/>
      <c r="W257" s="268" t="n"/>
      <c r="X257" s="268" t="n"/>
      <c r="Y257" s="268" t="n"/>
      <c r="Z257" s="268" t="n"/>
      <c r="AA257" s="268" t="n"/>
      <c r="AB257" s="268" t="n"/>
      <c r="AC257" s="268" t="n"/>
      <c r="AD257" s="268" t="n"/>
      <c r="AE257" s="268" t="n"/>
      <c r="AF257" s="268" t="n"/>
      <c r="AG257" s="268" t="n"/>
      <c r="AH257" s="268" t="n"/>
      <c r="AI257" s="268" t="n"/>
      <c r="AJ257" s="268" t="n"/>
      <c r="AK257" s="268" t="n"/>
      <c r="AL257" s="268" t="n"/>
      <c r="AM257" s="268" t="n"/>
      <c r="AN257" s="268" t="n"/>
      <c r="AO257" s="268" t="n"/>
      <c r="AP257" s="268" t="n"/>
      <c r="AQ257" s="268" t="n"/>
      <c r="AR257" s="268" t="n"/>
      <c r="AS257" s="268" t="n"/>
      <c r="AT257" s="268" t="n"/>
      <c r="AU257" s="268" t="n"/>
      <c r="AV257" s="268" t="n"/>
      <c r="AW257" s="268" t="n"/>
      <c r="AX257" s="268" t="n"/>
      <c r="AY257" s="268" t="n"/>
      <c r="AZ257" s="268" t="n"/>
      <c r="BA257" s="268" t="n"/>
      <c r="BB257" s="268" t="n"/>
      <c r="BC257" s="268" t="n"/>
      <c r="BD257" s="268" t="n"/>
      <c r="BE257" s="268" t="n"/>
      <c r="BF257" s="268" t="n"/>
      <c r="BG257" s="268" t="n"/>
      <c r="BH257" s="268" t="n"/>
      <c r="BI257" s="268" t="n"/>
      <c r="BJ257" s="268" t="n"/>
      <c r="BK257" s="268" t="n"/>
      <c r="BL257" s="268" t="n"/>
      <c r="BM257" s="268" t="n"/>
      <c r="BN257" s="268" t="n"/>
      <c r="BO257" s="268" t="n"/>
      <c r="BP257" s="268" t="n"/>
      <c r="BQ257" s="268" t="n"/>
      <c r="BR257" s="268" t="n"/>
      <c r="BS257" s="268" t="n"/>
      <c r="BT257" s="268" t="n"/>
      <c r="BU257" s="268" t="n"/>
      <c r="BV257" s="268" t="n"/>
      <c r="BW257" s="268" t="n"/>
      <c r="BX257" s="268" t="n"/>
      <c r="BY257" s="268" t="n"/>
      <c r="BZ257" s="268" t="n"/>
      <c r="CA257" s="268" t="n"/>
      <c r="CB257" s="268" t="n"/>
      <c r="CC257" s="268" t="n"/>
      <c r="CD257" s="268" t="n"/>
      <c r="CE257" s="268" t="n"/>
      <c r="CF257" s="268" t="n"/>
      <c r="CG257" s="268" t="n"/>
      <c r="CH257" s="268" t="n"/>
      <c r="CI257" s="268" t="n"/>
      <c r="CJ257" s="268" t="n"/>
      <c r="CK257" s="268" t="n"/>
      <c r="CL257" s="268" t="n"/>
      <c r="CM257" s="268" t="n"/>
      <c r="CN257" s="268" t="n"/>
      <c r="CO257" s="268" t="n"/>
      <c r="CP257" s="268" t="n"/>
      <c r="CQ257" s="268" t="n"/>
      <c r="CR257" s="268" t="n"/>
      <c r="CS257" s="268" t="n"/>
      <c r="CT257" s="268" t="n"/>
      <c r="CU257" s="268" t="n"/>
      <c r="CV257" s="268" t="n"/>
      <c r="CW257" s="268" t="n"/>
      <c r="CX257" s="268" t="n"/>
      <c r="CY257" s="268" t="n"/>
    </row>
    <row r="258" ht="12.75" customFormat="1" customHeight="1" s="287">
      <c r="A258" s="288" t="n"/>
      <c r="B258" s="259" t="n"/>
      <c r="C258" s="275" t="inlineStr">
        <is>
          <t>Total Liabilities + Shareholders' Equity</t>
        </is>
      </c>
      <c r="D258" s="276">
        <f>D256+D232</f>
        <v>48782</v>
      </c>
      <c r="E258" s="276">
        <f>E256+E232</f>
        <v>51732</v>
      </c>
      <c r="F258" s="276">
        <f>F256+F232</f>
        <v>55556</v>
      </c>
      <c r="G258" s="276">
        <f>G256+G232</f>
        <v>60217</v>
      </c>
      <c r="H258" s="276">
        <f>H256+H232</f>
        <v>60217</v>
      </c>
      <c r="I258" s="276">
        <f>I256+I232</f>
        <v>54918</v>
      </c>
      <c r="J258" s="276">
        <f>J256+J232</f>
        <v>57274</v>
      </c>
      <c r="K258" s="276">
        <f>K256+K232</f>
        <v>59268</v>
      </c>
      <c r="L258" s="276">
        <f>L256+L232</f>
        <v>64149</v>
      </c>
      <c r="M258" s="276">
        <f>M256+M232</f>
        <v>64149</v>
      </c>
      <c r="N258" s="276">
        <f>N256+N232</f>
        <v>63078</v>
      </c>
      <c r="O258" s="276">
        <f>O256+O232</f>
        <v>63852</v>
      </c>
      <c r="P258" s="276">
        <f>P256+P232</f>
        <v>64166</v>
      </c>
      <c r="Q258" s="276">
        <f>Q256+Q232</f>
        <v>66027</v>
      </c>
      <c r="R258" s="276">
        <f>R256+R232</f>
        <v>66027</v>
      </c>
      <c r="S258" s="276">
        <f>S256+S232</f>
        <v>66848</v>
      </c>
      <c r="T258" s="276">
        <f>T256+T232</f>
        <v>66752</v>
      </c>
      <c r="U258" s="276">
        <f>U256+U232</f>
        <v>68994</v>
      </c>
      <c r="V258" s="276">
        <f>V256+V232</f>
        <v>73723</v>
      </c>
      <c r="W258" s="276">
        <f>W256+W232</f>
        <v>73723</v>
      </c>
      <c r="X258" s="276">
        <f>X256+X232</f>
        <v>66323</v>
      </c>
      <c r="Y258" s="276">
        <f>Y256+Y232</f>
        <v>67911</v>
      </c>
      <c r="Z258" s="276">
        <f>Z256+Z232</f>
        <v>69831</v>
      </c>
      <c r="AA258" s="276">
        <f>AA256+AA232</f>
        <v>73386</v>
      </c>
      <c r="AB258" s="276">
        <f>AB256+AB232</f>
        <v>73386</v>
      </c>
      <c r="AC258" s="276">
        <f>AC256+AC232</f>
        <v>73224</v>
      </c>
      <c r="AD258" s="276">
        <f>AD256+AD232</f>
        <v>75482</v>
      </c>
      <c r="AE258" s="276">
        <f>AE256+AE232</f>
        <v>77099</v>
      </c>
      <c r="AF258" s="276">
        <f>AF256+AF232</f>
        <v>82790</v>
      </c>
      <c r="AG258" s="276">
        <f>AG256+AG232</f>
        <v>82790</v>
      </c>
      <c r="AH258" s="276">
        <f>AH256+AH232</f>
        <v>83639</v>
      </c>
      <c r="AI258" s="276">
        <f>AI256+AI232</f>
        <v>86430</v>
      </c>
      <c r="AJ258" s="276">
        <f>AJ256+AJ232</f>
        <v>56049</v>
      </c>
      <c r="AK258" s="276">
        <f>AK256+AK232</f>
        <v>56204</v>
      </c>
      <c r="AL258" s="276">
        <f>AL256+AL232</f>
        <v>56204</v>
      </c>
      <c r="AM258" s="276" t="e">
        <f>AM256+AM232</f>
        <v>#DIV/0!</v>
      </c>
      <c r="AN258" s="276">
        <f>AN256+AN232</f>
        <v>56965</v>
      </c>
      <c r="AO258" s="276" t="e">
        <f>AO256+AO232</f>
        <v>#DIV/0!</v>
      </c>
      <c r="AP258" s="276" t="e">
        <f>AP256+AP232</f>
        <v>#DIV/0!</v>
      </c>
      <c r="AQ258" s="276" t="e">
        <f>AQ256+AQ232</f>
        <v>#DIV/0!</v>
      </c>
      <c r="AR258" s="276" t="e">
        <f>AR256+AR232</f>
        <v>#DIV/0!</v>
      </c>
      <c r="AS258" s="276" t="e">
        <f>AS256+AS232</f>
        <v>#DIV/0!</v>
      </c>
      <c r="AT258" s="276" t="e">
        <f>AT256+AT232</f>
        <v>#DIV/0!</v>
      </c>
      <c r="AU258" s="276" t="e">
        <f>AU256+AU232</f>
        <v>#DIV/0!</v>
      </c>
      <c r="AV258" s="276" t="e">
        <f>AV256+AV232</f>
        <v>#DIV/0!</v>
      </c>
      <c r="AW258" s="276" t="e">
        <f>AW256+AW232</f>
        <v>#DIV/0!</v>
      </c>
      <c r="AX258" s="276" t="e">
        <f>AX256+AX232</f>
        <v>#DIV/0!</v>
      </c>
      <c r="AY258" s="276" t="e">
        <f>AY256+AY232</f>
        <v>#DIV/0!</v>
      </c>
      <c r="AZ258" s="276" t="e">
        <f>AZ256+AZ232</f>
        <v>#DIV/0!</v>
      </c>
      <c r="BA258" s="276" t="e">
        <f>BA256+BA232</f>
        <v>#DIV/0!</v>
      </c>
      <c r="BB258" s="276" t="e">
        <f>BB256+BB232</f>
        <v>#DIV/0!</v>
      </c>
      <c r="BC258" s="276" t="e">
        <f>BC256+BC232</f>
        <v>#DIV/0!</v>
      </c>
      <c r="BD258" s="276" t="e">
        <f>BD256+BD232</f>
        <v>#DIV/0!</v>
      </c>
      <c r="BE258" s="276" t="e">
        <f>BE256+BE232</f>
        <v>#DIV/0!</v>
      </c>
      <c r="BF258" s="276" t="e">
        <f>BF256+BF232</f>
        <v>#DIV/0!</v>
      </c>
      <c r="BG258" s="276" t="e">
        <f>BG256+BG232</f>
        <v>#DIV/0!</v>
      </c>
      <c r="BH258" s="276" t="e">
        <f>BH256+BH232</f>
        <v>#DIV/0!</v>
      </c>
      <c r="BI258" s="276" t="e">
        <f>BI256+BI232</f>
        <v>#DIV/0!</v>
      </c>
      <c r="BJ258" s="276" t="e">
        <f>BJ256+BJ232</f>
        <v>#DIV/0!</v>
      </c>
      <c r="BK258" s="276" t="e">
        <f>BK256+BK232</f>
        <v>#DIV/0!</v>
      </c>
      <c r="BL258" s="276" t="e">
        <f>BL256+BL232</f>
        <v>#DIV/0!</v>
      </c>
      <c r="BM258" s="276" t="e">
        <f>BM256+BM232</f>
        <v>#DIV/0!</v>
      </c>
      <c r="BN258" s="276" t="e">
        <f>BN256+BN232</f>
        <v>#DIV/0!</v>
      </c>
      <c r="BO258" s="276" t="e">
        <f>BO256+BO232</f>
        <v>#DIV/0!</v>
      </c>
      <c r="BP258" s="276" t="e">
        <f>BP256+BP232</f>
        <v>#DIV/0!</v>
      </c>
      <c r="BQ258" s="276" t="e">
        <f>BQ256+BQ232</f>
        <v>#DIV/0!</v>
      </c>
      <c r="BR258" s="276" t="e">
        <f>BR256+BR232</f>
        <v>#DIV/0!</v>
      </c>
      <c r="BS258" s="276" t="e">
        <f>BS256+BS232</f>
        <v>#DIV/0!</v>
      </c>
      <c r="BT258" s="276" t="e">
        <f>BT256+BT232</f>
        <v>#DIV/0!</v>
      </c>
      <c r="BU258" s="276" t="e">
        <f>BU256+BU232</f>
        <v>#DIV/0!</v>
      </c>
      <c r="BV258" s="276" t="e">
        <f>BV256+BV232</f>
        <v>#DIV/0!</v>
      </c>
      <c r="BW258" s="276" t="e">
        <f>BW256+BW232</f>
        <v>#DIV/0!</v>
      </c>
      <c r="BX258" s="276" t="e">
        <f>BX256+BX232</f>
        <v>#DIV/0!</v>
      </c>
      <c r="BY258" s="276" t="e">
        <f>BY256+BY232</f>
        <v>#DIV/0!</v>
      </c>
      <c r="BZ258" s="276" t="e">
        <f>BZ256+BZ232</f>
        <v>#DIV/0!</v>
      </c>
      <c r="CA258" s="276" t="e">
        <f>CA256+CA232</f>
        <v>#DIV/0!</v>
      </c>
      <c r="CB258" s="276" t="e">
        <f>CB256+CB232</f>
        <v>#DIV/0!</v>
      </c>
      <c r="CC258" s="276" t="e">
        <f>CC256+CC232</f>
        <v>#DIV/0!</v>
      </c>
      <c r="CD258" s="276" t="e">
        <f>CD256+CD232</f>
        <v>#DIV/0!</v>
      </c>
      <c r="CE258" s="276" t="e">
        <f>CE256+CE232</f>
        <v>#DIV/0!</v>
      </c>
      <c r="CF258" s="276" t="e">
        <f>CF256+CF232</f>
        <v>#DIV/0!</v>
      </c>
      <c r="CG258" s="276" t="e">
        <f>CG256+CG232</f>
        <v>#DIV/0!</v>
      </c>
      <c r="CH258" s="276" t="e">
        <f>CH256+CH232</f>
        <v>#DIV/0!</v>
      </c>
      <c r="CI258" s="276" t="e">
        <f>CI256+CI232</f>
        <v>#DIV/0!</v>
      </c>
      <c r="CJ258" s="276" t="e">
        <f>CJ256+CJ232</f>
        <v>#DIV/0!</v>
      </c>
      <c r="CK258" s="276" t="e">
        <f>CK256+CK232</f>
        <v>#DIV/0!</v>
      </c>
      <c r="CL258" s="276" t="e">
        <f>CL256+CL232</f>
        <v>#DIV/0!</v>
      </c>
      <c r="CM258" s="276" t="e">
        <f>CM256+CM232</f>
        <v>#DIV/0!</v>
      </c>
      <c r="CN258" s="276" t="e">
        <f>CN256+CN232</f>
        <v>#DIV/0!</v>
      </c>
      <c r="CO258" s="276" t="e">
        <f>CO256+CO232</f>
        <v>#DIV/0!</v>
      </c>
      <c r="CP258" s="276" t="e">
        <f>CP256+CP232</f>
        <v>#DIV/0!</v>
      </c>
      <c r="CQ258" s="276" t="e">
        <f>CQ256+CQ232</f>
        <v>#DIV/0!</v>
      </c>
      <c r="CR258" s="276" t="e">
        <f>CR256+CR232</f>
        <v>#DIV/0!</v>
      </c>
      <c r="CS258" s="276" t="e">
        <f>CS256+CS232</f>
        <v>#DIV/0!</v>
      </c>
      <c r="CT258" s="276" t="e">
        <f>CT256+CT232</f>
        <v>#DIV/0!</v>
      </c>
      <c r="CU258" s="276" t="e">
        <f>CU256+CU232</f>
        <v>#DIV/0!</v>
      </c>
      <c r="CV258" s="276" t="e">
        <f>CV256+CV232</f>
        <v>#DIV/0!</v>
      </c>
      <c r="CW258" s="276" t="e">
        <f>CW256+CW232</f>
        <v>#DIV/0!</v>
      </c>
      <c r="CX258" s="276" t="e">
        <f>CX256+CX232</f>
        <v>#DIV/0!</v>
      </c>
      <c r="CY258" s="276" t="e">
        <f>CY256+CY232</f>
        <v>#DIV/0!</v>
      </c>
    </row>
    <row r="259" ht="12.75" customHeight="1" s="255">
      <c r="C259" s="274" t="n"/>
      <c r="D259" s="259" t="n"/>
      <c r="E259" s="259" t="n"/>
      <c r="F259" s="259" t="n"/>
      <c r="G259" s="259" t="n"/>
      <c r="H259" s="259" t="n"/>
      <c r="I259" s="259" t="n"/>
      <c r="J259" s="259" t="n"/>
      <c r="K259" s="259" t="n"/>
      <c r="L259" s="259" t="n"/>
      <c r="M259" s="259" t="n"/>
      <c r="N259" s="259" t="n"/>
      <c r="O259" s="259" t="n"/>
      <c r="P259" s="259" t="n"/>
      <c r="Q259" s="259" t="n"/>
      <c r="R259" s="259" t="n"/>
      <c r="S259" s="259" t="n"/>
      <c r="T259" s="259" t="n"/>
      <c r="U259" s="259" t="n"/>
      <c r="V259" s="259" t="n"/>
      <c r="W259" s="259" t="n"/>
      <c r="X259" s="259" t="n"/>
      <c r="Y259" s="259" t="n"/>
      <c r="Z259" s="259" t="n"/>
      <c r="AA259" s="259" t="n"/>
      <c r="AB259" s="259" t="n"/>
      <c r="AC259" s="259" t="n"/>
      <c r="AD259" s="259" t="n"/>
      <c r="AE259" s="259" t="n"/>
      <c r="AF259" s="259" t="n"/>
      <c r="AG259" s="259" t="n"/>
      <c r="AH259" s="259" t="n"/>
      <c r="AI259" s="259" t="n"/>
      <c r="AJ259" s="259" t="n"/>
      <c r="AK259" s="259" t="n"/>
      <c r="AL259" s="259" t="n"/>
      <c r="AM259" s="259" t="n"/>
      <c r="AN259" s="259" t="n"/>
      <c r="AO259" s="259" t="n"/>
      <c r="AP259" s="259" t="n"/>
      <c r="AQ259" s="259" t="n"/>
      <c r="AR259" s="259" t="n"/>
      <c r="AS259" s="259" t="n"/>
      <c r="AT259" s="259" t="n"/>
      <c r="AU259" s="259" t="n"/>
      <c r="AV259" s="259" t="n"/>
      <c r="AW259" s="259" t="n"/>
      <c r="AX259" s="259" t="n"/>
      <c r="AY259" s="259" t="n"/>
      <c r="AZ259" s="259" t="n"/>
      <c r="BA259" s="259" t="n"/>
      <c r="BB259" s="259" t="n"/>
      <c r="BC259" s="259" t="n"/>
      <c r="BD259" s="259" t="n"/>
      <c r="BE259" s="259" t="n"/>
      <c r="BF259" s="259" t="n"/>
      <c r="BG259" s="259" t="n"/>
      <c r="BH259" s="259" t="n"/>
      <c r="BI259" s="259" t="n"/>
      <c r="BJ259" s="259" t="n"/>
      <c r="BK259" s="259" t="n"/>
      <c r="BL259" s="259" t="n"/>
      <c r="BM259" s="259" t="n"/>
      <c r="BN259" s="259" t="n"/>
      <c r="BO259" s="259" t="n"/>
      <c r="BP259" s="259" t="n"/>
      <c r="BQ259" s="259" t="n"/>
      <c r="BR259" s="259" t="n"/>
      <c r="BS259" s="259" t="n"/>
      <c r="BT259" s="259" t="n"/>
      <c r="BU259" s="259" t="n"/>
      <c r="BV259" s="259" t="n"/>
      <c r="BW259" s="259" t="n"/>
      <c r="BX259" s="259" t="n"/>
      <c r="BY259" s="259" t="n"/>
      <c r="BZ259" s="259" t="n"/>
      <c r="CA259" s="259" t="n"/>
      <c r="CB259" s="259" t="n"/>
      <c r="CC259" s="259" t="n"/>
      <c r="CD259" s="259" t="n"/>
      <c r="CE259" s="259" t="n"/>
      <c r="CF259" s="259" t="n"/>
      <c r="CG259" s="259" t="n"/>
      <c r="CH259" s="259" t="n"/>
      <c r="CI259" s="259" t="n"/>
      <c r="CJ259" s="259" t="n"/>
      <c r="CK259" s="259" t="n"/>
      <c r="CL259" s="259" t="n"/>
      <c r="CM259" s="259" t="n"/>
      <c r="CN259" s="259" t="n"/>
      <c r="CO259" s="259" t="n"/>
      <c r="CP259" s="259" t="n"/>
      <c r="CQ259" s="259" t="n"/>
      <c r="CR259" s="259" t="n"/>
      <c r="CS259" s="259" t="n"/>
      <c r="CT259" s="259" t="n"/>
      <c r="CU259" s="259" t="n"/>
      <c r="CV259" s="259" t="n"/>
      <c r="CW259" s="259" t="n"/>
      <c r="CX259" s="259" t="n"/>
      <c r="CY259" s="259" t="n"/>
    </row>
    <row r="260" ht="12.75" customFormat="1" customHeight="1" s="287">
      <c r="A260" s="288" t="n"/>
      <c r="B260" s="288" t="n"/>
      <c r="C260" s="289" t="inlineStr">
        <is>
          <t>Cash Flow Statement</t>
        </is>
      </c>
      <c r="D260" s="327" t="str">
        <f>D127</f>
        <v>1Q20</v>
      </c>
      <c r="E260" s="327" t="str">
        <f>E127</f>
        <v>2Q20</v>
      </c>
      <c r="F260" s="327" t="str">
        <f>F127</f>
        <v>3Q20</v>
      </c>
      <c r="G260" s="327" t="str">
        <f>G127</f>
        <v>4Q20</v>
      </c>
      <c r="H260" s="327">
        <f>H127</f>
        <v>2020</v>
      </c>
      <c r="I260" s="327" t="str">
        <f>I127</f>
        <v>1Q21</v>
      </c>
      <c r="J260" s="327" t="str">
        <f>J127</f>
        <v>2Q21</v>
      </c>
      <c r="K260" s="327" t="str">
        <f>K127</f>
        <v>3Q21</v>
      </c>
      <c r="L260" s="327" t="str">
        <f>L127</f>
        <v>4Q21</v>
      </c>
      <c r="M260" s="327">
        <f>M127</f>
        <v>2021</v>
      </c>
      <c r="N260" s="327" t="str">
        <f>N127</f>
        <v>1Q22</v>
      </c>
      <c r="O260" s="327" t="str">
        <f>O127</f>
        <v>2Q22</v>
      </c>
      <c r="P260" s="327" t="str">
        <f>P127</f>
        <v>3Q22</v>
      </c>
      <c r="Q260" s="327" t="str">
        <f>Q127</f>
        <v>4Q22</v>
      </c>
      <c r="R260" s="327">
        <f>R127</f>
        <v>2022</v>
      </c>
      <c r="S260" s="327" t="str">
        <f>S127</f>
        <v>1Q23</v>
      </c>
      <c r="T260" s="327" t="str">
        <f>T127</f>
        <v>2Q23</v>
      </c>
      <c r="U260" s="327" t="str">
        <f>U127</f>
        <v>3Q23</v>
      </c>
      <c r="V260" s="327" t="str">
        <f>V127</f>
        <v>4Q23</v>
      </c>
      <c r="W260" s="327">
        <f>W127</f>
        <v>2023</v>
      </c>
      <c r="X260" s="327" t="str">
        <f>X127</f>
        <v>1Q24</v>
      </c>
      <c r="Y260" s="327" t="str">
        <f>Y127</f>
        <v>2Q24</v>
      </c>
      <c r="Z260" s="327" t="str">
        <f>Z127</f>
        <v>3Q24</v>
      </c>
      <c r="AA260" s="327" t="str">
        <f>AA127</f>
        <v>4Q24</v>
      </c>
      <c r="AB260" s="327">
        <f>AB127</f>
        <v>2024</v>
      </c>
      <c r="AC260" s="327" t="str">
        <f>AC127</f>
        <v>1Q25</v>
      </c>
      <c r="AD260" s="327" t="str">
        <f>AD127</f>
        <v>2Q25</v>
      </c>
      <c r="AE260" s="327" t="str">
        <f>AE127</f>
        <v>3Q25</v>
      </c>
      <c r="AF260" s="327" t="str">
        <f>AF127</f>
        <v>4Q25</v>
      </c>
      <c r="AG260" s="327">
        <f>AG127</f>
        <v>2025</v>
      </c>
      <c r="AH260" s="327" t="str">
        <f>AH127</f>
        <v>1Q26</v>
      </c>
      <c r="AI260" s="327" t="str">
        <f>AI127</f>
        <v>2Q26</v>
      </c>
      <c r="AJ260" s="327" t="str">
        <f>AJ127</f>
        <v>3Q26</v>
      </c>
      <c r="AK260" s="327" t="str">
        <f>AK127</f>
        <v>4Q26</v>
      </c>
      <c r="AL260" s="327">
        <f>AL127</f>
        <v>2026</v>
      </c>
      <c r="AM260" s="327" t="str">
        <f>AM127</f>
        <v>1Q27</v>
      </c>
      <c r="AN260" s="327" t="str">
        <f>AN127</f>
        <v>2Q27</v>
      </c>
      <c r="AO260" s="327" t="str">
        <f>AO127</f>
        <v>3Q27</v>
      </c>
      <c r="AP260" s="327" t="str">
        <f>AP127</f>
        <v>4Q27</v>
      </c>
      <c r="AQ260" s="327">
        <f>AQ127</f>
        <v>2027</v>
      </c>
      <c r="AR260" s="327" t="str">
        <f>AR127</f>
        <v>1Q28</v>
      </c>
      <c r="AS260" s="327" t="str">
        <f>AS127</f>
        <v>2Q28</v>
      </c>
      <c r="AT260" s="327" t="str">
        <f>AT127</f>
        <v>3Q28</v>
      </c>
      <c r="AU260" s="327" t="str">
        <f>AU127</f>
        <v>4Q28</v>
      </c>
      <c r="AV260" s="327">
        <f>AV127</f>
        <v>2028</v>
      </c>
      <c r="AW260" s="327" t="str">
        <f>AW127</f>
        <v>1Q29</v>
      </c>
      <c r="AX260" s="327" t="str">
        <f>AX127</f>
        <v>2Q29</v>
      </c>
      <c r="AY260" s="327" t="str">
        <f>AY127</f>
        <v>3Q29</v>
      </c>
      <c r="AZ260" s="327" t="str">
        <f>AZ127</f>
        <v>4Q29</v>
      </c>
      <c r="BA260" s="327">
        <f>BA127</f>
        <v>2029</v>
      </c>
      <c r="BB260" s="327" t="str">
        <f>BB127</f>
        <v>1Q30</v>
      </c>
      <c r="BC260" s="327" t="str">
        <f>BC127</f>
        <v>2Q30</v>
      </c>
      <c r="BD260" s="327" t="str">
        <f>BD127</f>
        <v>3Q30</v>
      </c>
      <c r="BE260" s="327" t="str">
        <f>BE127</f>
        <v>4Q30</v>
      </c>
      <c r="BF260" s="327">
        <f>BF127</f>
        <v>2030</v>
      </c>
      <c r="BG260" s="327" t="str">
        <f>BG127</f>
        <v>1Q31</v>
      </c>
      <c r="BH260" s="327" t="str">
        <f>BH127</f>
        <v>2Q31</v>
      </c>
      <c r="BI260" s="327" t="str">
        <f>BI127</f>
        <v>3Q31</v>
      </c>
      <c r="BJ260" s="327" t="str">
        <f>BJ127</f>
        <v>4Q31</v>
      </c>
      <c r="BK260" s="327">
        <f>BK127</f>
        <v>2031</v>
      </c>
      <c r="BL260" s="327" t="str">
        <f>BL127</f>
        <v>1Q32</v>
      </c>
      <c r="BM260" s="327" t="str">
        <f>BM127</f>
        <v>2Q32</v>
      </c>
      <c r="BN260" s="327" t="str">
        <f>BN127</f>
        <v>3Q32</v>
      </c>
      <c r="BO260" s="327" t="str">
        <f>BO127</f>
        <v>4Q32</v>
      </c>
      <c r="BP260" s="327">
        <f>BP127</f>
        <v>2032</v>
      </c>
      <c r="BQ260" s="327" t="str">
        <f>BQ127</f>
        <v>1Q33</v>
      </c>
      <c r="BR260" s="327" t="str">
        <f>BR127</f>
        <v>2Q33</v>
      </c>
      <c r="BS260" s="327" t="str">
        <f>BS127</f>
        <v>3Q33</v>
      </c>
      <c r="BT260" s="327" t="str">
        <f>BT127</f>
        <v>4Q33</v>
      </c>
      <c r="BU260" s="327">
        <f>BU127</f>
        <v>2033</v>
      </c>
      <c r="BV260" s="327" t="str">
        <f>BV127</f>
        <v>1Q34</v>
      </c>
      <c r="BW260" s="327" t="str">
        <f>BW127</f>
        <v>2Q34</v>
      </c>
      <c r="BX260" s="327" t="str">
        <f>BX127</f>
        <v>3Q34</v>
      </c>
      <c r="BY260" s="327" t="str">
        <f>BY127</f>
        <v>4Q34</v>
      </c>
      <c r="BZ260" s="327">
        <f>BZ127</f>
        <v>2034</v>
      </c>
      <c r="CA260" s="327" t="str">
        <f>CA127</f>
        <v>1Q35</v>
      </c>
      <c r="CB260" s="327" t="str">
        <f>CB127</f>
        <v>2Q35</v>
      </c>
      <c r="CC260" s="327" t="str">
        <f>CC127</f>
        <v>3Q35</v>
      </c>
      <c r="CD260" s="327" t="str">
        <f>CD127</f>
        <v>4Q35</v>
      </c>
      <c r="CE260" s="327">
        <f>CE127</f>
        <v>2035</v>
      </c>
      <c r="CF260" s="327" t="str">
        <f>CF127</f>
        <v>1Q36</v>
      </c>
      <c r="CG260" s="327" t="str">
        <f>CG127</f>
        <v>2Q36</v>
      </c>
      <c r="CH260" s="327" t="str">
        <f>CH127</f>
        <v>3Q36</v>
      </c>
      <c r="CI260" s="327" t="str">
        <f>CI127</f>
        <v>4Q36</v>
      </c>
      <c r="CJ260" s="327">
        <f>CJ127</f>
        <v>2036</v>
      </c>
      <c r="CK260" s="327" t="str">
        <f>CK127</f>
        <v>1Q37</v>
      </c>
      <c r="CL260" s="327" t="str">
        <f>CL127</f>
        <v>2Q37</v>
      </c>
      <c r="CM260" s="327" t="str">
        <f>CM127</f>
        <v>3Q37</v>
      </c>
      <c r="CN260" s="327" t="str">
        <f>CN127</f>
        <v>4Q37</v>
      </c>
      <c r="CO260" s="327">
        <f>CO127</f>
        <v>2037</v>
      </c>
      <c r="CP260" s="327" t="str">
        <f>CP127</f>
        <v>1Q38</v>
      </c>
      <c r="CQ260" s="327" t="str">
        <f>CQ127</f>
        <v>2Q38</v>
      </c>
      <c r="CR260" s="327" t="str">
        <f>CR127</f>
        <v>3Q38</v>
      </c>
      <c r="CS260" s="327" t="str">
        <f>CS127</f>
        <v>4Q38</v>
      </c>
      <c r="CT260" s="327">
        <f>CT127</f>
        <v>2038</v>
      </c>
      <c r="CU260" s="327" t="str">
        <f>CU127</f>
        <v>1Q39</v>
      </c>
      <c r="CV260" s="327" t="str">
        <f>CV127</f>
        <v>2Q39</v>
      </c>
      <c r="CW260" s="327" t="str">
        <f>CW127</f>
        <v>3Q39</v>
      </c>
      <c r="CX260" s="327" t="str">
        <f>CX127</f>
        <v>4Q39</v>
      </c>
      <c r="CY260" s="327">
        <f>CY127</f>
        <v>2039</v>
      </c>
    </row>
    <row r="261" ht="12.75" customHeight="1" s="255">
      <c r="C261" s="274" t="n"/>
      <c r="D261" s="259" t="n"/>
      <c r="E261" s="259" t="n"/>
      <c r="F261" s="259" t="n"/>
      <c r="G261" s="259" t="n"/>
      <c r="H261" s="259" t="n"/>
      <c r="I261" s="259" t="n"/>
      <c r="J261" s="259" t="n"/>
      <c r="K261" s="259" t="n"/>
      <c r="L261" s="259" t="n"/>
      <c r="M261" s="259" t="n"/>
      <c r="N261" s="259" t="n"/>
      <c r="O261" s="259" t="n"/>
      <c r="P261" s="259" t="n"/>
      <c r="Q261" s="259" t="n"/>
      <c r="R261" s="259" t="n"/>
      <c r="S261" s="259" t="n"/>
      <c r="T261" s="259" t="n"/>
      <c r="U261" s="259" t="n"/>
      <c r="V261" s="259" t="n"/>
      <c r="W261" s="259" t="n"/>
      <c r="X261" s="259" t="n"/>
      <c r="Y261" s="259" t="n"/>
      <c r="Z261" s="259" t="n"/>
      <c r="AA261" s="259" t="n"/>
      <c r="AB261" s="259" t="n"/>
      <c r="AC261" s="259" t="n"/>
      <c r="AD261" s="259" t="n"/>
      <c r="AE261" s="259" t="n"/>
      <c r="AF261" s="259" t="n"/>
      <c r="AG261" s="259" t="n"/>
      <c r="AH261" s="259" t="n"/>
      <c r="AI261" s="259" t="n"/>
      <c r="AJ261" s="259" t="n"/>
      <c r="AK261" s="259" t="n"/>
      <c r="AL261" s="259" t="n"/>
      <c r="AM261" s="259" t="n"/>
      <c r="AN261" s="259" t="n"/>
      <c r="AO261" s="259" t="n"/>
      <c r="AP261" s="259" t="n"/>
      <c r="AQ261" s="259" t="n"/>
      <c r="AR261" s="259" t="n"/>
      <c r="AS261" s="259" t="n"/>
      <c r="AT261" s="259" t="n"/>
      <c r="AU261" s="259" t="n"/>
      <c r="AV261" s="259" t="n"/>
      <c r="AW261" s="259" t="n"/>
      <c r="AX261" s="259" t="n"/>
      <c r="AY261" s="259" t="n"/>
      <c r="AZ261" s="259" t="n"/>
      <c r="BA261" s="259" t="n"/>
      <c r="BB261" s="259" t="n"/>
      <c r="BC261" s="259" t="n"/>
      <c r="BD261" s="259" t="n"/>
      <c r="BE261" s="259" t="n"/>
      <c r="BF261" s="259" t="n"/>
      <c r="BG261" s="259" t="n"/>
      <c r="BH261" s="259" t="n"/>
      <c r="BI261" s="259" t="n"/>
      <c r="BJ261" s="259" t="n"/>
      <c r="BK261" s="259" t="n"/>
      <c r="BL261" s="259" t="n"/>
      <c r="BM261" s="259" t="n"/>
      <c r="BN261" s="259" t="n"/>
      <c r="BO261" s="259" t="n"/>
      <c r="BP261" s="259" t="n"/>
      <c r="BQ261" s="259" t="n"/>
      <c r="BR261" s="259" t="n"/>
      <c r="BS261" s="259" t="n"/>
      <c r="BT261" s="259" t="n"/>
      <c r="BU261" s="259" t="n"/>
      <c r="BV261" s="259" t="n"/>
      <c r="BW261" s="259" t="n"/>
      <c r="BX261" s="259" t="n"/>
      <c r="BY261" s="259" t="n"/>
      <c r="BZ261" s="259" t="n"/>
      <c r="CA261" s="259" t="n"/>
      <c r="CB261" s="259" t="n"/>
      <c r="CC261" s="259" t="n"/>
      <c r="CD261" s="259" t="n"/>
      <c r="CE261" s="259" t="n"/>
      <c r="CF261" s="259" t="n"/>
      <c r="CG261" s="259" t="n"/>
      <c r="CH261" s="259" t="n"/>
      <c r="CI261" s="259" t="n"/>
      <c r="CJ261" s="259" t="n"/>
      <c r="CK261" s="259" t="n"/>
      <c r="CL261" s="259" t="n"/>
      <c r="CM261" s="259" t="n"/>
      <c r="CN261" s="259" t="n"/>
      <c r="CO261" s="259" t="n"/>
      <c r="CP261" s="259" t="n"/>
      <c r="CQ261" s="259" t="n"/>
      <c r="CR261" s="259" t="n"/>
      <c r="CS261" s="259" t="n"/>
      <c r="CT261" s="259" t="n"/>
      <c r="CU261" s="259" t="n"/>
      <c r="CV261" s="259" t="n"/>
      <c r="CW261" s="259" t="n"/>
      <c r="CX261" s="259" t="n"/>
      <c r="CY261" s="259" t="n"/>
    </row>
    <row r="262" ht="12.75" customHeight="1" s="255">
      <c r="C262" s="266" t="inlineStr">
        <is>
          <t>Net Income</t>
        </is>
      </c>
      <c r="D262" s="268" t="n"/>
      <c r="E262" s="268">
        <f>E122</f>
        <v>838</v>
      </c>
      <c r="F262" s="268">
        <f>F122</f>
        <v>1389</v>
      </c>
      <c r="G262" s="268">
        <f>G122</f>
        <v>1166</v>
      </c>
      <c r="H262" s="268">
        <f>SUM(D262:G262)</f>
        <v>3393</v>
      </c>
      <c r="I262" s="268">
        <f>I122</f>
        <v>951</v>
      </c>
      <c r="J262" s="268">
        <f>J122</f>
        <v>1220</v>
      </c>
      <c r="K262" s="268">
        <f>K122</f>
        <v>1670</v>
      </c>
      <c r="L262" s="268">
        <f>L122</f>
        <v>1324</v>
      </c>
      <c r="M262" s="268">
        <f>SUM(I262:L262)</f>
        <v>5165</v>
      </c>
      <c r="N262" s="268">
        <f>N122</f>
        <v>1299</v>
      </c>
      <c r="O262" s="268">
        <f>O122</f>
        <v>1353</v>
      </c>
      <c r="P262" s="268">
        <f>P122</f>
        <v>1868</v>
      </c>
      <c r="Q262" s="268">
        <f>Q122</f>
        <v>1364</v>
      </c>
      <c r="R262" s="268">
        <f>SUM(N262:Q262)</f>
        <v>5884</v>
      </c>
      <c r="S262" s="268">
        <f>S122</f>
        <v>1466</v>
      </c>
      <c r="T262" s="268">
        <f>T122</f>
        <v>1302</v>
      </c>
      <c r="U262" s="268">
        <f>U122</f>
        <v>2160</v>
      </c>
      <c r="V262" s="268">
        <f>V122</f>
        <v>1589</v>
      </c>
      <c r="W262" s="268">
        <f>SUM(S262:V262)</f>
        <v>6517</v>
      </c>
      <c r="X262" s="268">
        <f>X122</f>
        <v>1743</v>
      </c>
      <c r="Y262" s="268">
        <f>Y122</f>
        <v>1681</v>
      </c>
      <c r="Z262" s="268">
        <f>Z122</f>
        <v>2354</v>
      </c>
      <c r="AA262" s="268">
        <f>AA122</f>
        <v>1798</v>
      </c>
      <c r="AB262" s="268">
        <f>SUM(X262:AA262)</f>
        <v>7576</v>
      </c>
      <c r="AC262" s="268">
        <f>AC122</f>
        <v>1788</v>
      </c>
      <c r="AD262" s="268">
        <f>AD122</f>
        <v>1903</v>
      </c>
      <c r="AE262" s="268">
        <f>AE122</f>
        <v>2610</v>
      </c>
      <c r="AF262" s="268">
        <f>AF122</f>
        <v>2001</v>
      </c>
      <c r="AG262" s="268">
        <f>SUM(AC262:AF262)</f>
        <v>8302</v>
      </c>
      <c r="AH262" s="268">
        <f>AH122</f>
        <v>2035</v>
      </c>
      <c r="AI262" s="268">
        <f>AI122</f>
        <v>2192</v>
      </c>
      <c r="AJ262" s="268">
        <f>AJ122</f>
        <v>148</v>
      </c>
      <c r="AK262" s="268">
        <f>AK122</f>
        <v>155</v>
      </c>
      <c r="AL262" s="268">
        <f>SUM(AH262:AK262)</f>
        <v>4530</v>
      </c>
      <c r="AM262" s="268">
        <f>AM122</f>
        <v>155</v>
      </c>
      <c r="AN262" s="268">
        <f>AN122</f>
        <v>606</v>
      </c>
      <c r="AO262" s="268">
        <f>AO122</f>
        <v>155</v>
      </c>
      <c r="AP262" s="268">
        <f>AP122</f>
        <v>606</v>
      </c>
      <c r="AQ262" s="268">
        <f>SUM(AM262:AP262)</f>
        <v>1522</v>
      </c>
      <c r="AR262" s="268">
        <f>AR122</f>
        <v>606</v>
      </c>
      <c r="AS262" s="268">
        <f>AS122</f>
        <v>1522</v>
      </c>
      <c r="AT262" s="268">
        <f>AT122</f>
        <v>606</v>
      </c>
      <c r="AU262" s="268">
        <f>AU122</f>
        <v>1522</v>
      </c>
      <c r="AV262" s="268">
        <f>SUM(AR262:AU262)</f>
        <v>4256</v>
      </c>
      <c r="AW262" s="268">
        <f>AW122</f>
        <v>1522</v>
      </c>
      <c r="AX262" s="268">
        <f>AX122</f>
        <v>4256</v>
      </c>
      <c r="AY262" s="268">
        <f>AY122</f>
        <v>1522</v>
      </c>
      <c r="AZ262" s="268">
        <f>AZ122</f>
        <v>4256</v>
      </c>
      <c r="BA262" s="268">
        <f>SUM(AW262:AZ262)</f>
        <v>11556</v>
      </c>
      <c r="BB262" s="268">
        <f>BB122</f>
        <v>4256</v>
      </c>
      <c r="BC262" s="268">
        <f>BC122</f>
        <v>11556</v>
      </c>
      <c r="BD262" s="268">
        <f>BD122</f>
        <v>4256</v>
      </c>
      <c r="BE262" s="268">
        <f>BE122</f>
        <v>11556</v>
      </c>
      <c r="BF262" s="268">
        <f>SUM(BB262:BE262)</f>
        <v>31624</v>
      </c>
      <c r="BG262" s="268">
        <f>BG122</f>
        <v>11556</v>
      </c>
      <c r="BH262" s="268">
        <f>BH122</f>
        <v>31624</v>
      </c>
      <c r="BI262" s="268">
        <f>BI122</f>
        <v>11556</v>
      </c>
      <c r="BJ262" s="268">
        <f>BJ122</f>
        <v>31624</v>
      </c>
      <c r="BK262" s="268">
        <f>SUM(BG262:BJ262)</f>
        <v>86360</v>
      </c>
      <c r="BL262" s="268">
        <f>BL122</f>
        <v>31624</v>
      </c>
      <c r="BM262" s="268">
        <f>BM122</f>
        <v>86360</v>
      </c>
      <c r="BN262" s="268">
        <f>BN122</f>
        <v>31624</v>
      </c>
      <c r="BO262" s="268">
        <f>BO122</f>
        <v>86360</v>
      </c>
      <c r="BP262" s="268">
        <f>SUM(BL262:BO262)</f>
        <v>235968</v>
      </c>
      <c r="BQ262" s="268">
        <f>BQ122</f>
        <v>86360</v>
      </c>
      <c r="BR262" s="268">
        <f>BR122</f>
        <v>235968</v>
      </c>
      <c r="BS262" s="268">
        <f>BS122</f>
        <v>86360</v>
      </c>
      <c r="BT262" s="268">
        <f>BT122</f>
        <v>235968</v>
      </c>
      <c r="BU262" s="268">
        <f>SUM(BQ262:BT262)</f>
        <v>644656</v>
      </c>
      <c r="BV262" s="268">
        <f>BV122</f>
        <v>235968</v>
      </c>
      <c r="BW262" s="268">
        <f>BW122</f>
        <v>644656</v>
      </c>
      <c r="BX262" s="268">
        <f>BX122</f>
        <v>235968</v>
      </c>
      <c r="BY262" s="268">
        <f>BY122</f>
        <v>644656</v>
      </c>
      <c r="BZ262" s="268">
        <f>SUM(BV262:BY262)</f>
        <v>1761248</v>
      </c>
      <c r="CA262" s="268">
        <f>CA122</f>
        <v>644656</v>
      </c>
      <c r="CB262" s="268">
        <f>CB122</f>
        <v>1761248</v>
      </c>
      <c r="CC262" s="268">
        <f>CC122</f>
        <v>644656</v>
      </c>
      <c r="CD262" s="268">
        <f>CD122</f>
        <v>1761248</v>
      </c>
      <c r="CE262" s="268">
        <f>SUM(CA262:CD262)</f>
        <v>4811808</v>
      </c>
      <c r="CF262" s="268">
        <f>CF122</f>
        <v>1761248</v>
      </c>
      <c r="CG262" s="268">
        <f>CG122</f>
        <v>4811808</v>
      </c>
      <c r="CH262" s="268">
        <f>CH122</f>
        <v>1761248</v>
      </c>
      <c r="CI262" s="268">
        <f>CI122</f>
        <v>4811808</v>
      </c>
      <c r="CJ262" s="268">
        <f>SUM(CF262:CI262)</f>
        <v>13146112</v>
      </c>
      <c r="CK262" s="268">
        <f>CK122</f>
        <v>4811808</v>
      </c>
      <c r="CL262" s="268">
        <f>CL122</f>
        <v>13146112</v>
      </c>
      <c r="CM262" s="268">
        <f>CM122</f>
        <v>4811808</v>
      </c>
      <c r="CN262" s="268">
        <f>CN122</f>
        <v>13146112</v>
      </c>
      <c r="CO262" s="268">
        <f>SUM(CK262:CN262)</f>
        <v>35915840</v>
      </c>
      <c r="CP262" s="268">
        <f>CP122</f>
        <v>13146112</v>
      </c>
      <c r="CQ262" s="268">
        <f>CQ122</f>
        <v>35915840</v>
      </c>
      <c r="CR262" s="268">
        <f>CR122</f>
        <v>13146112</v>
      </c>
      <c r="CS262" s="268">
        <f>CS122</f>
        <v>35915840</v>
      </c>
      <c r="CT262" s="268">
        <f>SUM(CP262:CS262)</f>
        <v>98123904</v>
      </c>
      <c r="CU262" s="268">
        <f>CU122</f>
        <v>35915840</v>
      </c>
      <c r="CV262" s="268">
        <f>CV122</f>
        <v>98123904</v>
      </c>
      <c r="CW262" s="268">
        <f>CW122</f>
        <v>35915840</v>
      </c>
      <c r="CX262" s="268">
        <f>CX122</f>
        <v>98123904</v>
      </c>
      <c r="CY262" s="268">
        <f>SUM(CU262:CX262)</f>
        <v>268079488</v>
      </c>
    </row>
    <row r="263" ht="12.75" customHeight="1" s="255">
      <c r="C263" s="266" t="inlineStr">
        <is>
          <t>Depreciation &amp; amortization</t>
        </is>
      </c>
      <c r="D263" s="268" t="n"/>
      <c r="E263" s="268">
        <f>-E55</f>
        <v>382</v>
      </c>
      <c r="F263" s="268">
        <f>-F55</f>
        <v>505</v>
      </c>
      <c r="G263" s="268">
        <f>-G55</f>
        <v>404</v>
      </c>
      <c r="H263" s="268">
        <f>SUM(D263:G263)</f>
        <v>1291</v>
      </c>
      <c r="I263" s="268">
        <f>-I55</f>
        <v>416</v>
      </c>
      <c r="J263" s="268">
        <f>-J55</f>
        <v>402</v>
      </c>
      <c r="K263" s="268">
        <f>-K55</f>
        <v>559</v>
      </c>
      <c r="L263" s="268">
        <f>-L55</f>
        <v>432</v>
      </c>
      <c r="M263" s="268">
        <f>SUM(I263:L263)</f>
        <v>1809</v>
      </c>
      <c r="N263" s="268">
        <f>-N55</f>
        <v>436</v>
      </c>
      <c r="O263" s="268">
        <f>-O55</f>
        <v>438</v>
      </c>
      <c r="P263" s="268">
        <f>-P55</f>
        <v>594</v>
      </c>
      <c r="Q263" s="268">
        <f>-Q55</f>
        <v>447</v>
      </c>
      <c r="R263" s="268">
        <f>SUM(N263:Q263)</f>
        <v>1915</v>
      </c>
      <c r="S263" s="268">
        <f>-S55</f>
        <v>470</v>
      </c>
      <c r="T263" s="268">
        <f>-T55</f>
        <v>472</v>
      </c>
      <c r="U263" s="268">
        <f>-U55</f>
        <v>688</v>
      </c>
      <c r="V263" s="268">
        <f>-V55</f>
        <v>501</v>
      </c>
      <c r="W263" s="268">
        <f>SUM(S263:V263)</f>
        <v>2131</v>
      </c>
      <c r="X263" s="268">
        <f>-X55</f>
        <v>514</v>
      </c>
      <c r="Y263" s="268">
        <f>-Y55</f>
        <v>516</v>
      </c>
      <c r="Z263" s="268">
        <f>-Z55</f>
        <v>706</v>
      </c>
      <c r="AA263" s="268">
        <f>-AA55</f>
        <v>548</v>
      </c>
      <c r="AB263" s="268">
        <f>SUM(X263:AA263)</f>
        <v>2284</v>
      </c>
      <c r="AC263" s="268">
        <f>-AC55</f>
        <v>552</v>
      </c>
      <c r="AD263" s="268">
        <f>-AD55</f>
        <v>552</v>
      </c>
      <c r="AE263" s="268">
        <f>-AE55</f>
        <v>774</v>
      </c>
      <c r="AF263" s="268">
        <f>-AF55</f>
        <v>597</v>
      </c>
      <c r="AG263" s="268">
        <f>SUM(AC263:AF263)</f>
        <v>2475</v>
      </c>
      <c r="AH263" s="268">
        <f>-AH55</f>
        <v>597</v>
      </c>
      <c r="AI263" s="268">
        <f>-AI55</f>
        <v>597</v>
      </c>
      <c r="AJ263" s="268">
        <f>-AJ55</f>
        <v>0</v>
      </c>
      <c r="AK263" s="268">
        <f>-AK55</f>
        <v>0</v>
      </c>
      <c r="AL263" s="268">
        <f>SUM(AH263:AK263)</f>
        <v>1194</v>
      </c>
      <c r="AM263" s="268">
        <f>-AM55</f>
        <v>0</v>
      </c>
      <c r="AN263" s="268">
        <f>-AN55</f>
        <v>0</v>
      </c>
      <c r="AO263" s="268">
        <f>-AO55</f>
        <v>0</v>
      </c>
      <c r="AP263" s="268">
        <f>-AP55</f>
        <v>0</v>
      </c>
      <c r="AQ263" s="268">
        <f>SUM(AM263:AP263)</f>
        <v>0</v>
      </c>
      <c r="AR263" s="268">
        <f>-AR55</f>
        <v>0</v>
      </c>
      <c r="AS263" s="268">
        <f>-AS55</f>
        <v>0</v>
      </c>
      <c r="AT263" s="268">
        <f>-AT55</f>
        <v>0</v>
      </c>
      <c r="AU263" s="268">
        <f>-AU55</f>
        <v>0</v>
      </c>
      <c r="AV263" s="268">
        <f>SUM(AR263:AU263)</f>
        <v>0</v>
      </c>
      <c r="AW263" s="268">
        <f>-AW55</f>
        <v>0</v>
      </c>
      <c r="AX263" s="268">
        <f>-AX55</f>
        <v>0</v>
      </c>
      <c r="AY263" s="268">
        <f>-AY55</f>
        <v>0</v>
      </c>
      <c r="AZ263" s="268">
        <f>-AZ55</f>
        <v>0</v>
      </c>
      <c r="BA263" s="268">
        <f>SUM(AW263:AZ263)</f>
        <v>0</v>
      </c>
      <c r="BB263" s="268">
        <f>-BB55</f>
        <v>0</v>
      </c>
      <c r="BC263" s="268">
        <f>-BC55</f>
        <v>0</v>
      </c>
      <c r="BD263" s="268">
        <f>-BD55</f>
        <v>0</v>
      </c>
      <c r="BE263" s="268">
        <f>-BE55</f>
        <v>0</v>
      </c>
      <c r="BF263" s="268">
        <f>SUM(BB263:BE263)</f>
        <v>0</v>
      </c>
      <c r="BG263" s="268">
        <f>-BG55</f>
        <v>0</v>
      </c>
      <c r="BH263" s="268">
        <f>-BH55</f>
        <v>0</v>
      </c>
      <c r="BI263" s="268">
        <f>-BI55</f>
        <v>0</v>
      </c>
      <c r="BJ263" s="268">
        <f>-BJ55</f>
        <v>0</v>
      </c>
      <c r="BK263" s="268">
        <f>SUM(BG263:BJ263)</f>
        <v>0</v>
      </c>
      <c r="BL263" s="268">
        <f>-BL55</f>
        <v>0</v>
      </c>
      <c r="BM263" s="268">
        <f>-BM55</f>
        <v>0</v>
      </c>
      <c r="BN263" s="268">
        <f>-BN55</f>
        <v>0</v>
      </c>
      <c r="BO263" s="268">
        <f>-BO55</f>
        <v>0</v>
      </c>
      <c r="BP263" s="268">
        <f>SUM(BL263:BO263)</f>
        <v>0</v>
      </c>
      <c r="BQ263" s="268">
        <f>-BQ55</f>
        <v>0</v>
      </c>
      <c r="BR263" s="268">
        <f>-BR55</f>
        <v>0</v>
      </c>
      <c r="BS263" s="268">
        <f>-BS55</f>
        <v>0</v>
      </c>
      <c r="BT263" s="268">
        <f>-BT55</f>
        <v>0</v>
      </c>
      <c r="BU263" s="268">
        <f>SUM(BQ263:BT263)</f>
        <v>0</v>
      </c>
      <c r="BV263" s="268">
        <f>-BV55</f>
        <v>0</v>
      </c>
      <c r="BW263" s="268">
        <f>-BW55</f>
        <v>0</v>
      </c>
      <c r="BX263" s="268">
        <f>-BX55</f>
        <v>0</v>
      </c>
      <c r="BY263" s="268">
        <f>-BY55</f>
        <v>0</v>
      </c>
      <c r="BZ263" s="268">
        <f>SUM(BV263:BY263)</f>
        <v>0</v>
      </c>
      <c r="CA263" s="268">
        <f>-CA55</f>
        <v>0</v>
      </c>
      <c r="CB263" s="268">
        <f>-CB55</f>
        <v>0</v>
      </c>
      <c r="CC263" s="268">
        <f>-CC55</f>
        <v>0</v>
      </c>
      <c r="CD263" s="268">
        <f>-CD55</f>
        <v>0</v>
      </c>
      <c r="CE263" s="268">
        <f>SUM(CA263:CD263)</f>
        <v>0</v>
      </c>
      <c r="CF263" s="268">
        <f>-CF55</f>
        <v>0</v>
      </c>
      <c r="CG263" s="268">
        <f>-CG55</f>
        <v>0</v>
      </c>
      <c r="CH263" s="268">
        <f>-CH55</f>
        <v>0</v>
      </c>
      <c r="CI263" s="268">
        <f>-CI55</f>
        <v>0</v>
      </c>
      <c r="CJ263" s="268">
        <f>SUM(CF263:CI263)</f>
        <v>0</v>
      </c>
      <c r="CK263" s="268">
        <f>-CK55</f>
        <v>0</v>
      </c>
      <c r="CL263" s="268">
        <f>-CL55</f>
        <v>0</v>
      </c>
      <c r="CM263" s="268">
        <f>-CM55</f>
        <v>0</v>
      </c>
      <c r="CN263" s="268">
        <f>-CN55</f>
        <v>0</v>
      </c>
      <c r="CO263" s="268">
        <f>SUM(CK263:CN263)</f>
        <v>0</v>
      </c>
      <c r="CP263" s="268">
        <f>-CP55</f>
        <v>0</v>
      </c>
      <c r="CQ263" s="268">
        <f>-CQ55</f>
        <v>0</v>
      </c>
      <c r="CR263" s="268">
        <f>-CR55</f>
        <v>0</v>
      </c>
      <c r="CS263" s="268">
        <f>-CS55</f>
        <v>0</v>
      </c>
      <c r="CT263" s="268">
        <f>SUM(CP263:CS263)</f>
        <v>0</v>
      </c>
      <c r="CU263" s="268">
        <f>-CU55</f>
        <v>0</v>
      </c>
      <c r="CV263" s="268">
        <f>-CV55</f>
        <v>0</v>
      </c>
      <c r="CW263" s="268">
        <f>-CW55</f>
        <v>0</v>
      </c>
      <c r="CX263" s="268">
        <f>-CX55</f>
        <v>0</v>
      </c>
      <c r="CY263" s="268">
        <f>SUM(CU263:CX263)</f>
        <v>0</v>
      </c>
    </row>
    <row r="264" ht="12.75" customHeight="1" s="255">
      <c r="C264" s="266" t="inlineStr">
        <is>
          <t xml:space="preserve">Changes in working capital </t>
        </is>
      </c>
      <c r="D264" s="268" t="n"/>
      <c r="E264" s="268">
        <f>SUM(E265:E274)</f>
        <v>595</v>
      </c>
      <c r="F264" s="268">
        <f>SUM(F265:F274)</f>
        <v>2132</v>
      </c>
      <c r="G264" s="268">
        <f>SUM(G265:G274)</f>
        <v>4964</v>
      </c>
      <c r="H264" s="268">
        <f>SUM(D264:G264)</f>
        <v>7691</v>
      </c>
      <c r="I264" s="268">
        <f>SUM(I265:I274)</f>
        <v>-5483</v>
      </c>
      <c r="J264" s="268">
        <f>SUM(J265:J274)</f>
        <v>1685</v>
      </c>
      <c r="K264" s="268">
        <f>SUM(K265:K274)</f>
        <v>212</v>
      </c>
      <c r="L264" s="268">
        <f>SUM(L265:L274)</f>
        <v>857</v>
      </c>
      <c r="M264" s="268">
        <f>SUM(I264:L264)</f>
        <v>-2729</v>
      </c>
      <c r="N264" s="268">
        <f>SUM(N265:N274)</f>
        <v>-893</v>
      </c>
      <c r="O264" s="268">
        <f>SUM(O265:O274)</f>
        <v>-685</v>
      </c>
      <c r="P264" s="268">
        <f>SUM(P265:P274)</f>
        <v>-313</v>
      </c>
      <c r="Q264" s="268">
        <f>SUM(Q265:Q274)</f>
        <v>241</v>
      </c>
      <c r="R264" s="268">
        <f>SUM(N264:Q264)</f>
        <v>-1650</v>
      </c>
      <c r="S264" s="268">
        <f>SUM(S265:S274)</f>
        <v>1296</v>
      </c>
      <c r="T264" s="268">
        <f>SUM(T265:T274)</f>
        <v>-688</v>
      </c>
      <c r="U264" s="268">
        <f>SUM(U265:U274)</f>
        <v>730</v>
      </c>
      <c r="V264" s="268">
        <f>SUM(V265:V274)</f>
        <v>1615</v>
      </c>
      <c r="W264" s="268">
        <f>SUM(S264:V264)</f>
        <v>2953</v>
      </c>
      <c r="X264" s="268">
        <f>SUM(X265:X274)</f>
        <v>-1689</v>
      </c>
      <c r="Y264" s="268">
        <f>SUM(Y265:Y274)</f>
        <v>712</v>
      </c>
      <c r="Z264" s="268">
        <f>SUM(Z265:Z274)</f>
        <v>-236</v>
      </c>
      <c r="AA264" s="268">
        <f>SUM(AA265:AA274)</f>
        <v>334</v>
      </c>
      <c r="AB264" s="268">
        <f>SUM(X264:AA264)</f>
        <v>-879</v>
      </c>
      <c r="AC264" s="268">
        <f>SUM(AC265:AC274)</f>
        <v>667</v>
      </c>
      <c r="AD264" s="268">
        <f>SUM(AD265:AD274)</f>
        <v>1018</v>
      </c>
      <c r="AE264" s="268">
        <f>SUM(AE265:AE274)</f>
        <v>-266</v>
      </c>
      <c r="AF264" s="268">
        <f>SUM(AF265:AF274)</f>
        <v>1565</v>
      </c>
      <c r="AG264" s="268">
        <f>SUM(AC264:AF264)</f>
        <v>2984</v>
      </c>
      <c r="AH264" s="268">
        <f>SUM(AH265:AH274)</f>
        <v>293</v>
      </c>
      <c r="AI264" s="268">
        <f>SUM(AI265:AI274)</f>
        <v>1074</v>
      </c>
      <c r="AJ264" s="268">
        <f>SUM(AJ265:AJ274)</f>
        <v>-7361</v>
      </c>
      <c r="AK264" s="268">
        <f>SUM(AK265:AK274)</f>
        <v>0</v>
      </c>
      <c r="AL264" s="268">
        <f>SUM(AH264:AK264)</f>
        <v>-5994</v>
      </c>
      <c r="AM264" s="268" t="e">
        <f>SUM(AM265:AM274)</f>
        <v>#DIV/0!</v>
      </c>
      <c r="AN264" s="268" t="e">
        <f>SUM(AN265:AN274)</f>
        <v>#DIV/0!</v>
      </c>
      <c r="AO264" s="268" t="e">
        <f>SUM(AO265:AO274)</f>
        <v>#DIV/0!</v>
      </c>
      <c r="AP264" s="268" t="e">
        <f>SUM(AP265:AP274)</f>
        <v>#DIV/0!</v>
      </c>
      <c r="AQ264" s="268" t="e">
        <f>SUM(AM264:AP264)</f>
        <v>#DIV/0!</v>
      </c>
      <c r="AR264" s="268" t="e">
        <f>SUM(AR265:AR274)</f>
        <v>#DIV/0!</v>
      </c>
      <c r="AS264" s="268" t="e">
        <f>SUM(AS265:AS274)</f>
        <v>#DIV/0!</v>
      </c>
      <c r="AT264" s="268" t="e">
        <f>SUM(AT265:AT274)</f>
        <v>#DIV/0!</v>
      </c>
      <c r="AU264" s="268" t="e">
        <f>SUM(AU265:AU274)</f>
        <v>#DIV/0!</v>
      </c>
      <c r="AV264" s="268" t="e">
        <f>SUM(AR264:AU264)</f>
        <v>#DIV/0!</v>
      </c>
      <c r="AW264" s="268" t="e">
        <f>SUM(AW265:AW274)</f>
        <v>#DIV/0!</v>
      </c>
      <c r="AX264" s="268" t="e">
        <f>SUM(AX265:AX274)</f>
        <v>#DIV/0!</v>
      </c>
      <c r="AY264" s="268" t="e">
        <f>SUM(AY265:AY274)</f>
        <v>#DIV/0!</v>
      </c>
      <c r="AZ264" s="268" t="e">
        <f>SUM(AZ265:AZ274)</f>
        <v>#DIV/0!</v>
      </c>
      <c r="BA264" s="268" t="e">
        <f>SUM(AW264:AZ264)</f>
        <v>#DIV/0!</v>
      </c>
      <c r="BB264" s="268" t="e">
        <f>SUM(BB265:BB274)</f>
        <v>#DIV/0!</v>
      </c>
      <c r="BC264" s="268" t="e">
        <f>SUM(BC265:BC274)</f>
        <v>#DIV/0!</v>
      </c>
      <c r="BD264" s="268" t="e">
        <f>SUM(BD265:BD274)</f>
        <v>#DIV/0!</v>
      </c>
      <c r="BE264" s="268" t="e">
        <f>SUM(BE265:BE274)</f>
        <v>#DIV/0!</v>
      </c>
      <c r="BF264" s="268" t="e">
        <f>SUM(BB264:BE264)</f>
        <v>#DIV/0!</v>
      </c>
      <c r="BG264" s="268" t="e">
        <f>SUM(BG265:BG274)</f>
        <v>#DIV/0!</v>
      </c>
      <c r="BH264" s="268" t="e">
        <f>SUM(BH265:BH274)</f>
        <v>#DIV/0!</v>
      </c>
      <c r="BI264" s="268" t="e">
        <f>SUM(BI265:BI274)</f>
        <v>#DIV/0!</v>
      </c>
      <c r="BJ264" s="268" t="e">
        <f>SUM(BJ265:BJ274)</f>
        <v>#DIV/0!</v>
      </c>
      <c r="BK264" s="268" t="e">
        <f>SUM(BG264:BJ264)</f>
        <v>#DIV/0!</v>
      </c>
      <c r="BL264" s="268" t="e">
        <f>SUM(BL265:BL274)</f>
        <v>#DIV/0!</v>
      </c>
      <c r="BM264" s="268" t="e">
        <f>SUM(BM265:BM274)</f>
        <v>#DIV/0!</v>
      </c>
      <c r="BN264" s="268" t="e">
        <f>SUM(BN265:BN274)</f>
        <v>#DIV/0!</v>
      </c>
      <c r="BO264" s="268" t="e">
        <f>SUM(BO265:BO274)</f>
        <v>#DIV/0!</v>
      </c>
      <c r="BP264" s="268" t="e">
        <f>SUM(BL264:BO264)</f>
        <v>#DIV/0!</v>
      </c>
      <c r="BQ264" s="268" t="e">
        <f>SUM(BQ265:BQ274)</f>
        <v>#DIV/0!</v>
      </c>
      <c r="BR264" s="268" t="e">
        <f>SUM(BR265:BR274)</f>
        <v>#DIV/0!</v>
      </c>
      <c r="BS264" s="268" t="e">
        <f>SUM(BS265:BS274)</f>
        <v>#DIV/0!</v>
      </c>
      <c r="BT264" s="268" t="e">
        <f>SUM(BT265:BT274)</f>
        <v>#DIV/0!</v>
      </c>
      <c r="BU264" s="268" t="e">
        <f>SUM(BQ264:BT264)</f>
        <v>#DIV/0!</v>
      </c>
      <c r="BV264" s="268" t="e">
        <f>SUM(BV265:BV274)</f>
        <v>#DIV/0!</v>
      </c>
      <c r="BW264" s="268" t="e">
        <f>SUM(BW265:BW274)</f>
        <v>#DIV/0!</v>
      </c>
      <c r="BX264" s="268" t="e">
        <f>SUM(BX265:BX274)</f>
        <v>#DIV/0!</v>
      </c>
      <c r="BY264" s="268" t="e">
        <f>SUM(BY265:BY274)</f>
        <v>#DIV/0!</v>
      </c>
      <c r="BZ264" s="268" t="e">
        <f>SUM(BV264:BY264)</f>
        <v>#DIV/0!</v>
      </c>
      <c r="CA264" s="268" t="e">
        <f>SUM(CA265:CA274)</f>
        <v>#DIV/0!</v>
      </c>
      <c r="CB264" s="268" t="e">
        <f>SUM(CB265:CB274)</f>
        <v>#DIV/0!</v>
      </c>
      <c r="CC264" s="268" t="e">
        <f>SUM(CC265:CC274)</f>
        <v>#DIV/0!</v>
      </c>
      <c r="CD264" s="268" t="e">
        <f>SUM(CD265:CD274)</f>
        <v>#DIV/0!</v>
      </c>
      <c r="CE264" s="268" t="e">
        <f>SUM(CA264:CD264)</f>
        <v>#DIV/0!</v>
      </c>
      <c r="CF264" s="268" t="e">
        <f>SUM(CF265:CF274)</f>
        <v>#DIV/0!</v>
      </c>
      <c r="CG264" s="268" t="e">
        <f>SUM(CG265:CG274)</f>
        <v>#DIV/0!</v>
      </c>
      <c r="CH264" s="268" t="e">
        <f>SUM(CH265:CH274)</f>
        <v>#DIV/0!</v>
      </c>
      <c r="CI264" s="268" t="e">
        <f>SUM(CI265:CI274)</f>
        <v>#DIV/0!</v>
      </c>
      <c r="CJ264" s="268" t="e">
        <f>SUM(CF264:CI264)</f>
        <v>#DIV/0!</v>
      </c>
      <c r="CK264" s="268" t="e">
        <f>SUM(CK265:CK274)</f>
        <v>#DIV/0!</v>
      </c>
      <c r="CL264" s="268" t="e">
        <f>SUM(CL265:CL274)</f>
        <v>#DIV/0!</v>
      </c>
      <c r="CM264" s="268" t="e">
        <f>SUM(CM265:CM274)</f>
        <v>#DIV/0!</v>
      </c>
      <c r="CN264" s="268" t="e">
        <f>SUM(CN265:CN274)</f>
        <v>#DIV/0!</v>
      </c>
      <c r="CO264" s="268" t="e">
        <f>SUM(CK264:CN264)</f>
        <v>#DIV/0!</v>
      </c>
      <c r="CP264" s="268" t="e">
        <f>SUM(CP265:CP274)</f>
        <v>#DIV/0!</v>
      </c>
      <c r="CQ264" s="268" t="e">
        <f>SUM(CQ265:CQ274)</f>
        <v>#DIV/0!</v>
      </c>
      <c r="CR264" s="268" t="e">
        <f>SUM(CR265:CR274)</f>
        <v>#DIV/0!</v>
      </c>
      <c r="CS264" s="268" t="e">
        <f>SUM(CS265:CS274)</f>
        <v>#DIV/0!</v>
      </c>
      <c r="CT264" s="268" t="e">
        <f>SUM(CP264:CS264)</f>
        <v>#DIV/0!</v>
      </c>
      <c r="CU264" s="268" t="e">
        <f>SUM(CU265:CU274)</f>
        <v>#DIV/0!</v>
      </c>
      <c r="CV264" s="268" t="e">
        <f>SUM(CV265:CV274)</f>
        <v>#DIV/0!</v>
      </c>
      <c r="CW264" s="268" t="e">
        <f>SUM(CW265:CW274)</f>
        <v>#DIV/0!</v>
      </c>
      <c r="CX264" s="268" t="e">
        <f>SUM(CX265:CX274)</f>
        <v>#DIV/0!</v>
      </c>
      <c r="CY264" s="268" t="e">
        <f>SUM(CU264:CX264)</f>
        <v>#DIV/0!</v>
      </c>
    </row>
    <row r="265" hidden="1" outlineLevel="1" ht="12.75" customHeight="1" s="255">
      <c r="C265" s="266" t="inlineStr">
        <is>
          <t>Accounts receivable</t>
        </is>
      </c>
      <c r="D265" s="268" t="n"/>
      <c r="E265" s="268">
        <f>(E130-D130)*-1</f>
        <v>481</v>
      </c>
      <c r="F265" s="268">
        <f>(F130-E130)*-1</f>
        <v>-43</v>
      </c>
      <c r="G265" s="268">
        <f>(G130-F130)*-1</f>
        <v>-96</v>
      </c>
      <c r="H265" s="268">
        <f>SUM(D265:G265)</f>
        <v>342</v>
      </c>
      <c r="I265" s="268">
        <f>(I130-H130)*-1</f>
        <v>-288</v>
      </c>
      <c r="J265" s="268">
        <f>(J130-I130)*-1</f>
        <v>339</v>
      </c>
      <c r="K265" s="268">
        <f>(K130-J130)*-1</f>
        <v>-208</v>
      </c>
      <c r="L265" s="268">
        <f>(L130-K130)*-1</f>
        <v>-129</v>
      </c>
      <c r="M265" s="268">
        <f>SUM(I265:L265)</f>
        <v>-286</v>
      </c>
      <c r="N265" s="268">
        <f>(N130-M130)*-1</f>
        <v>-300</v>
      </c>
      <c r="O265" s="268">
        <f>(O130-N130)*-1</f>
        <v>241</v>
      </c>
      <c r="P265" s="268">
        <f>(P130-O130)*-1</f>
        <v>-250</v>
      </c>
      <c r="Q265" s="268">
        <f>(Q130-P130)*-1</f>
        <v>-71</v>
      </c>
      <c r="R265" s="268">
        <f>SUM(N265:Q265)</f>
        <v>-380</v>
      </c>
      <c r="S265" s="268">
        <f>(S130-R130)*-1</f>
        <v>-402</v>
      </c>
      <c r="T265" s="268">
        <f>(T130-S130)*-1</f>
        <v>212</v>
      </c>
      <c r="U265" s="268">
        <f>(U130-T130)*-1</f>
        <v>217</v>
      </c>
      <c r="V265" s="268">
        <f>(V130-U130)*-1</f>
        <v>-257</v>
      </c>
      <c r="W265" s="268">
        <f>SUM(S265:V265)</f>
        <v>-230</v>
      </c>
      <c r="X265" s="268">
        <f>(X130-W130)*-1</f>
        <v>-237</v>
      </c>
      <c r="Y265" s="268">
        <f>(Y130-X130)*-1</f>
        <v>196</v>
      </c>
      <c r="Z265" s="268">
        <f>(Z130-Y130)*-1</f>
        <v>-138</v>
      </c>
      <c r="AA265" s="268">
        <f>(AA130-Z130)*-1</f>
        <v>-242</v>
      </c>
      <c r="AB265" s="268">
        <f>SUM(X265:AA265)</f>
        <v>-421</v>
      </c>
      <c r="AC265" s="268">
        <f>(AC130-AB130)*-1</f>
        <v>-97</v>
      </c>
      <c r="AD265" s="268">
        <f>(AD130-AC130)*-1</f>
        <v>185</v>
      </c>
      <c r="AE265" s="268">
        <f>(AE130-AD130)*-1</f>
        <v>-328</v>
      </c>
      <c r="AF265" s="268">
        <f>(AF130-AE130)*-1</f>
        <v>-28</v>
      </c>
      <c r="AG265" s="268">
        <f>SUM(AC265:AF265)</f>
        <v>-268</v>
      </c>
      <c r="AH265" s="268">
        <f>(AH130-AG130)*-1</f>
        <v>-551</v>
      </c>
      <c r="AI265" s="268">
        <f>(AI130-AH130)*-1</f>
        <v>32</v>
      </c>
      <c r="AJ265" s="268">
        <f>(AJ130-AI130)*-1</f>
        <v>3750</v>
      </c>
      <c r="AK265" s="268">
        <f>(AK130-AJ130)*-1</f>
        <v>0</v>
      </c>
      <c r="AL265" s="268">
        <f>SUM(AH265:AK265)</f>
        <v>3231</v>
      </c>
      <c r="AM265" s="268">
        <f>(AM130-AL130)*-1</f>
        <v>0</v>
      </c>
      <c r="AN265" s="268">
        <f>(AN130-AM130)*-1</f>
        <v>0</v>
      </c>
      <c r="AO265" s="268">
        <f>(AO130-AN130)*-1</f>
        <v>0</v>
      </c>
      <c r="AP265" s="268">
        <f>(AP130-AO130)*-1</f>
        <v>0</v>
      </c>
      <c r="AQ265" s="268">
        <f>SUM(AM265:AP265)</f>
        <v>0</v>
      </c>
      <c r="AR265" s="268">
        <f>(AR130-AQ130)*-1</f>
        <v>0</v>
      </c>
      <c r="AS265" s="268">
        <f>(AS130-AR130)*-1</f>
        <v>0</v>
      </c>
      <c r="AT265" s="268">
        <f>(AT130-AS130)*-1</f>
        <v>0</v>
      </c>
      <c r="AU265" s="268">
        <f>(AU130-AT130)*-1</f>
        <v>0</v>
      </c>
      <c r="AV265" s="268">
        <f>SUM(AR265:AU265)</f>
        <v>0</v>
      </c>
      <c r="AW265" s="268">
        <f>(AW130-AV130)*-1</f>
        <v>0</v>
      </c>
      <c r="AX265" s="268">
        <f>(AX130-AW130)*-1</f>
        <v>0</v>
      </c>
      <c r="AY265" s="268">
        <f>(AY130-AX130)*-1</f>
        <v>0</v>
      </c>
      <c r="AZ265" s="268">
        <f>(AZ130-AY130)*-1</f>
        <v>0</v>
      </c>
      <c r="BA265" s="268">
        <f>SUM(AW265:AZ265)</f>
        <v>0</v>
      </c>
      <c r="BB265" s="268">
        <f>(BB130-BA130)*-1</f>
        <v>0</v>
      </c>
      <c r="BC265" s="268">
        <f>(BC130-BB130)*-1</f>
        <v>0</v>
      </c>
      <c r="BD265" s="268">
        <f>(BD130-BC130)*-1</f>
        <v>0</v>
      </c>
      <c r="BE265" s="268">
        <f>(BE130-BD130)*-1</f>
        <v>0</v>
      </c>
      <c r="BF265" s="268">
        <f>SUM(BB265:BE265)</f>
        <v>0</v>
      </c>
      <c r="BG265" s="268">
        <f>(BG130-BF130)*-1</f>
        <v>0</v>
      </c>
      <c r="BH265" s="268">
        <f>(BH130-BG130)*-1</f>
        <v>0</v>
      </c>
      <c r="BI265" s="268">
        <f>(BI130-BH130)*-1</f>
        <v>0</v>
      </c>
      <c r="BJ265" s="268">
        <f>(BJ130-BI130)*-1</f>
        <v>0</v>
      </c>
      <c r="BK265" s="268">
        <f>SUM(BG265:BJ265)</f>
        <v>0</v>
      </c>
      <c r="BL265" s="268">
        <f>(BL130-BK130)*-1</f>
        <v>0</v>
      </c>
      <c r="BM265" s="268">
        <f>(BM130-BL130)*-1</f>
        <v>0</v>
      </c>
      <c r="BN265" s="268">
        <f>(BN130-BM130)*-1</f>
        <v>0</v>
      </c>
      <c r="BO265" s="268">
        <f>(BO130-BN130)*-1</f>
        <v>0</v>
      </c>
      <c r="BP265" s="268">
        <f>SUM(BL265:BO265)</f>
        <v>0</v>
      </c>
      <c r="BQ265" s="268">
        <f>(BQ130-BP130)*-1</f>
        <v>0</v>
      </c>
      <c r="BR265" s="268">
        <f>(BR130-BQ130)*-1</f>
        <v>0</v>
      </c>
      <c r="BS265" s="268">
        <f>(BS130-BR130)*-1</f>
        <v>0</v>
      </c>
      <c r="BT265" s="268">
        <f>(BT130-BS130)*-1</f>
        <v>0</v>
      </c>
      <c r="BU265" s="268">
        <f>SUM(BQ265:BT265)</f>
        <v>0</v>
      </c>
      <c r="BV265" s="268">
        <f>(BV130-BU130)*-1</f>
        <v>0</v>
      </c>
      <c r="BW265" s="268">
        <f>(BW130-BV130)*-1</f>
        <v>0</v>
      </c>
      <c r="BX265" s="268">
        <f>(BX130-BW130)*-1</f>
        <v>0</v>
      </c>
      <c r="BY265" s="268">
        <f>(BY130-BX130)*-1</f>
        <v>0</v>
      </c>
      <c r="BZ265" s="268">
        <f>SUM(BV265:BY265)</f>
        <v>0</v>
      </c>
      <c r="CA265" s="268">
        <f>(CA130-BZ130)*-1</f>
        <v>0</v>
      </c>
      <c r="CB265" s="268">
        <f>(CB130-CA130)*-1</f>
        <v>0</v>
      </c>
      <c r="CC265" s="268">
        <f>(CC130-CB130)*-1</f>
        <v>0</v>
      </c>
      <c r="CD265" s="268">
        <f>(CD130-CC130)*-1</f>
        <v>0</v>
      </c>
      <c r="CE265" s="268">
        <f>SUM(CA265:CD265)</f>
        <v>0</v>
      </c>
      <c r="CF265" s="268">
        <f>(CF130-CE130)*-1</f>
        <v>0</v>
      </c>
      <c r="CG265" s="268">
        <f>(CG130-CF130)*-1</f>
        <v>0</v>
      </c>
      <c r="CH265" s="268">
        <f>(CH130-CG130)*-1</f>
        <v>0</v>
      </c>
      <c r="CI265" s="268">
        <f>(CI130-CH130)*-1</f>
        <v>0</v>
      </c>
      <c r="CJ265" s="268">
        <f>SUM(CF265:CI265)</f>
        <v>0</v>
      </c>
      <c r="CK265" s="268">
        <f>(CK130-CJ130)*-1</f>
        <v>0</v>
      </c>
      <c r="CL265" s="268">
        <f>(CL130-CK130)*-1</f>
        <v>0</v>
      </c>
      <c r="CM265" s="268">
        <f>(CM130-CL130)*-1</f>
        <v>0</v>
      </c>
      <c r="CN265" s="268">
        <f>(CN130-CM130)*-1</f>
        <v>0</v>
      </c>
      <c r="CO265" s="268">
        <f>SUM(CK265:CN265)</f>
        <v>0</v>
      </c>
      <c r="CP265" s="268">
        <f>(CP130-CO130)*-1</f>
        <v>0</v>
      </c>
      <c r="CQ265" s="268">
        <f>(CQ130-CP130)*-1</f>
        <v>0</v>
      </c>
      <c r="CR265" s="268">
        <f>(CR130-CQ130)*-1</f>
        <v>0</v>
      </c>
      <c r="CS265" s="268">
        <f>(CS130-CR130)*-1</f>
        <v>0</v>
      </c>
      <c r="CT265" s="268">
        <f>SUM(CP265:CS265)</f>
        <v>0</v>
      </c>
      <c r="CU265" s="268">
        <f>(CU130-CT130)*-1</f>
        <v>0</v>
      </c>
      <c r="CV265" s="268">
        <f>(CV130-CU130)*-1</f>
        <v>0</v>
      </c>
      <c r="CW265" s="268">
        <f>(CW130-CV130)*-1</f>
        <v>0</v>
      </c>
      <c r="CX265" s="268">
        <f>(CX130-CW130)*-1</f>
        <v>0</v>
      </c>
      <c r="CY265" s="268">
        <f>SUM(CU265:CX265)</f>
        <v>0</v>
      </c>
    </row>
    <row r="266" hidden="1" outlineLevel="1" ht="12.75" customHeight="1" s="255">
      <c r="C266" s="266" t="inlineStr">
        <is>
          <t>Inventories</t>
        </is>
      </c>
      <c r="D266" s="268" t="n"/>
      <c r="E266" s="268">
        <f>(E134-D134)*-1</f>
        <v>840</v>
      </c>
      <c r="F266" s="268">
        <f>(F134-E134)*-1</f>
        <v>-1232</v>
      </c>
      <c r="G266" s="268">
        <f>(G134-F134)*-1</f>
        <v>-2659</v>
      </c>
      <c r="H266" s="268">
        <f>SUM(D266:G266)</f>
        <v>-3051</v>
      </c>
      <c r="I266" s="268">
        <f>(I134-H134)*-1</f>
        <v>1036</v>
      </c>
      <c r="J266" s="268">
        <f>(J134-I134)*-1</f>
        <v>-110</v>
      </c>
      <c r="K266" s="268">
        <f>(K134-J134)*-1</f>
        <v>-240</v>
      </c>
      <c r="L266" s="268">
        <f>(L134-K134)*-1</f>
        <v>-2727</v>
      </c>
      <c r="M266" s="268">
        <f>SUM(I266:L266)</f>
        <v>-2041</v>
      </c>
      <c r="N266" s="268">
        <f>(N134-M134)*-1</f>
        <v>457</v>
      </c>
      <c r="O266" s="268">
        <f>(O134-N134)*-1</f>
        <v>-1138</v>
      </c>
      <c r="P266" s="268">
        <f>(P134-O134)*-1</f>
        <v>-284</v>
      </c>
      <c r="Q266" s="268">
        <f>(Q134-P134)*-1</f>
        <v>-664</v>
      </c>
      <c r="R266" s="268">
        <f>SUM(N266:Q266)</f>
        <v>-1629</v>
      </c>
      <c r="S266" s="268">
        <f>(S134-R134)*-1</f>
        <v>2490</v>
      </c>
      <c r="T266" s="268">
        <f>(T134-S134)*-1</f>
        <v>-243</v>
      </c>
      <c r="U266" s="268">
        <f>(U134-T134)*-1</f>
        <v>-327</v>
      </c>
      <c r="V266" s="268">
        <f>(V134-U134)*-1</f>
        <v>-1350</v>
      </c>
      <c r="W266" s="268">
        <f>SUM(S266:V266)</f>
        <v>570</v>
      </c>
      <c r="X266" s="268">
        <f>(X134-W134)*-1</f>
        <v>926</v>
      </c>
      <c r="Y266" s="268">
        <f>(Y134-X134)*-1</f>
        <v>-355</v>
      </c>
      <c r="Z266" s="268">
        <f>(Z134-Y134)*-1</f>
        <v>-1217</v>
      </c>
      <c r="AA266" s="268">
        <f>(AA134-Z134)*-1</f>
        <v>-2332</v>
      </c>
      <c r="AB266" s="268">
        <f>SUM(X266:AA266)</f>
        <v>-2978</v>
      </c>
      <c r="AC266" s="268">
        <f>(AC134-AB134)*-1</f>
        <v>2225</v>
      </c>
      <c r="AD266" s="268">
        <f>(AD134-AC134)*-1</f>
        <v>148</v>
      </c>
      <c r="AE266" s="268">
        <f>(AE134-AD134)*-1</f>
        <v>490</v>
      </c>
      <c r="AF266" s="268">
        <f>(AF134-AE134)*-1</f>
        <v>-3025</v>
      </c>
      <c r="AG266" s="268">
        <f>SUM(AC266:AF266)</f>
        <v>-162</v>
      </c>
      <c r="AH266" s="268">
        <f>(AH134-AG134)*-1</f>
        <v>2150</v>
      </c>
      <c r="AI266" s="268">
        <f>(AI134-AH134)*-1</f>
        <v>-427</v>
      </c>
      <c r="AJ266" s="268">
        <f>(AJ134-AI134)*-1</f>
        <v>19418</v>
      </c>
      <c r="AK266" s="268">
        <f>(AK134-AJ134)*-1</f>
        <v>0</v>
      </c>
      <c r="AL266" s="268">
        <f>SUM(AH266:AK266)</f>
        <v>21141</v>
      </c>
      <c r="AM266" s="268">
        <f>(AM134-AL134)*-1</f>
        <v>0</v>
      </c>
      <c r="AN266" s="268">
        <f>(AN134-AM134)*-1</f>
        <v>0</v>
      </c>
      <c r="AO266" s="268">
        <f>(AO134-AN134)*-1</f>
        <v>0</v>
      </c>
      <c r="AP266" s="268">
        <f>(AP134-AO134)*-1</f>
        <v>0</v>
      </c>
      <c r="AQ266" s="268">
        <f>SUM(AM266:AP266)</f>
        <v>0</v>
      </c>
      <c r="AR266" s="268">
        <f>(AR134-AQ134)*-1</f>
        <v>0</v>
      </c>
      <c r="AS266" s="268">
        <f>(AS134-AR134)*-1</f>
        <v>0</v>
      </c>
      <c r="AT266" s="268">
        <f>(AT134-AS134)*-1</f>
        <v>0</v>
      </c>
      <c r="AU266" s="268">
        <f>(AU134-AT134)*-1</f>
        <v>0</v>
      </c>
      <c r="AV266" s="268">
        <f>SUM(AR266:AU266)</f>
        <v>0</v>
      </c>
      <c r="AW266" s="268">
        <f>(AW134-AV134)*-1</f>
        <v>0</v>
      </c>
      <c r="AX266" s="268">
        <f>(AX134-AW134)*-1</f>
        <v>0</v>
      </c>
      <c r="AY266" s="268">
        <f>(AY134-AX134)*-1</f>
        <v>0</v>
      </c>
      <c r="AZ266" s="268">
        <f>(AZ134-AY134)*-1</f>
        <v>0</v>
      </c>
      <c r="BA266" s="268">
        <f>SUM(AW266:AZ266)</f>
        <v>0</v>
      </c>
      <c r="BB266" s="268">
        <f>(BB134-BA134)*-1</f>
        <v>0</v>
      </c>
      <c r="BC266" s="268">
        <f>(BC134-BB134)*-1</f>
        <v>0</v>
      </c>
      <c r="BD266" s="268">
        <f>(BD134-BC134)*-1</f>
        <v>0</v>
      </c>
      <c r="BE266" s="268">
        <f>(BE134-BD134)*-1</f>
        <v>0</v>
      </c>
      <c r="BF266" s="268">
        <f>SUM(BB266:BE266)</f>
        <v>0</v>
      </c>
      <c r="BG266" s="268">
        <f>(BG134-BF134)*-1</f>
        <v>0</v>
      </c>
      <c r="BH266" s="268">
        <f>(BH134-BG134)*-1</f>
        <v>0</v>
      </c>
      <c r="BI266" s="268">
        <f>(BI134-BH134)*-1</f>
        <v>0</v>
      </c>
      <c r="BJ266" s="268">
        <f>(BJ134-BI134)*-1</f>
        <v>0</v>
      </c>
      <c r="BK266" s="268">
        <f>SUM(BG266:BJ266)</f>
        <v>0</v>
      </c>
      <c r="BL266" s="268">
        <f>(BL134-BK134)*-1</f>
        <v>0</v>
      </c>
      <c r="BM266" s="268">
        <f>(BM134-BL134)*-1</f>
        <v>0</v>
      </c>
      <c r="BN266" s="268">
        <f>(BN134-BM134)*-1</f>
        <v>0</v>
      </c>
      <c r="BO266" s="268">
        <f>(BO134-BN134)*-1</f>
        <v>0</v>
      </c>
      <c r="BP266" s="268">
        <f>SUM(BL266:BO266)</f>
        <v>0</v>
      </c>
      <c r="BQ266" s="268">
        <f>(BQ134-BP134)*-1</f>
        <v>0</v>
      </c>
      <c r="BR266" s="268">
        <f>(BR134-BQ134)*-1</f>
        <v>0</v>
      </c>
      <c r="BS266" s="268">
        <f>(BS134-BR134)*-1</f>
        <v>0</v>
      </c>
      <c r="BT266" s="268">
        <f>(BT134-BS134)*-1</f>
        <v>0</v>
      </c>
      <c r="BU266" s="268">
        <f>SUM(BQ266:BT266)</f>
        <v>0</v>
      </c>
      <c r="BV266" s="268">
        <f>(BV134-BU134)*-1</f>
        <v>0</v>
      </c>
      <c r="BW266" s="268">
        <f>(BW134-BV134)*-1</f>
        <v>0</v>
      </c>
      <c r="BX266" s="268">
        <f>(BX134-BW134)*-1</f>
        <v>0</v>
      </c>
      <c r="BY266" s="268">
        <f>(BY134-BX134)*-1</f>
        <v>0</v>
      </c>
      <c r="BZ266" s="268">
        <f>SUM(BV266:BY266)</f>
        <v>0</v>
      </c>
      <c r="CA266" s="268">
        <f>(CA134-BZ134)*-1</f>
        <v>0</v>
      </c>
      <c r="CB266" s="268">
        <f>(CB134-CA134)*-1</f>
        <v>0</v>
      </c>
      <c r="CC266" s="268">
        <f>(CC134-CB134)*-1</f>
        <v>0</v>
      </c>
      <c r="CD266" s="268">
        <f>(CD134-CC134)*-1</f>
        <v>0</v>
      </c>
      <c r="CE266" s="268">
        <f>SUM(CA266:CD266)</f>
        <v>0</v>
      </c>
      <c r="CF266" s="268">
        <f>(CF134-CE134)*-1</f>
        <v>0</v>
      </c>
      <c r="CG266" s="268">
        <f>(CG134-CF134)*-1</f>
        <v>0</v>
      </c>
      <c r="CH266" s="268">
        <f>(CH134-CG134)*-1</f>
        <v>0</v>
      </c>
      <c r="CI266" s="268">
        <f>(CI134-CH134)*-1</f>
        <v>0</v>
      </c>
      <c r="CJ266" s="268">
        <f>SUM(CF266:CI266)</f>
        <v>0</v>
      </c>
      <c r="CK266" s="268">
        <f>(CK134-CJ134)*-1</f>
        <v>0</v>
      </c>
      <c r="CL266" s="268">
        <f>(CL134-CK134)*-1</f>
        <v>0</v>
      </c>
      <c r="CM266" s="268">
        <f>(CM134-CL134)*-1</f>
        <v>0</v>
      </c>
      <c r="CN266" s="268">
        <f>(CN134-CM134)*-1</f>
        <v>0</v>
      </c>
      <c r="CO266" s="268">
        <f>SUM(CK266:CN266)</f>
        <v>0</v>
      </c>
      <c r="CP266" s="268">
        <f>(CP134-CO134)*-1</f>
        <v>0</v>
      </c>
      <c r="CQ266" s="268">
        <f>(CQ134-CP134)*-1</f>
        <v>0</v>
      </c>
      <c r="CR266" s="268">
        <f>(CR134-CQ134)*-1</f>
        <v>0</v>
      </c>
      <c r="CS266" s="268">
        <f>(CS134-CR134)*-1</f>
        <v>0</v>
      </c>
      <c r="CT266" s="268">
        <f>SUM(CP266:CS266)</f>
        <v>0</v>
      </c>
      <c r="CU266" s="268">
        <f>(CU134-CT134)*-1</f>
        <v>0</v>
      </c>
      <c r="CV266" s="268">
        <f>(CV134-CU134)*-1</f>
        <v>0</v>
      </c>
      <c r="CW266" s="268">
        <f>(CW134-CV134)*-1</f>
        <v>0</v>
      </c>
      <c r="CX266" s="268">
        <f>(CX134-CW134)*-1</f>
        <v>0</v>
      </c>
      <c r="CY266" s="268">
        <f>SUM(CU266:CX266)</f>
        <v>0</v>
      </c>
    </row>
    <row r="267" hidden="1" outlineLevel="1" ht="12.75" customHeight="1" s="255">
      <c r="C267" s="266" t="inlineStr">
        <is>
          <t>Deferred income taxes</t>
        </is>
      </c>
      <c r="D267" s="268" t="n"/>
      <c r="E267" s="268">
        <f>(E138-D138)*-1</f>
        <v>0</v>
      </c>
      <c r="F267" s="268">
        <f>(F138-E138)*-1</f>
        <v>0</v>
      </c>
      <c r="G267" s="268">
        <f>(G138-F138)*-1</f>
        <v>0</v>
      </c>
      <c r="H267" s="268">
        <f>SUM(D267:G267)</f>
        <v>0</v>
      </c>
      <c r="I267" s="268">
        <f>(I138-H138)*-1</f>
        <v>0</v>
      </c>
      <c r="J267" s="268">
        <f>(J138-I138)*-1</f>
        <v>0</v>
      </c>
      <c r="K267" s="268">
        <f>(K138-J138)*-1</f>
        <v>0</v>
      </c>
      <c r="L267" s="268">
        <f>(L138-K138)*-1</f>
        <v>0</v>
      </c>
      <c r="M267" s="268">
        <f>SUM(I267:L267)</f>
        <v>0</v>
      </c>
      <c r="N267" s="268">
        <f>(N138-M138)*-1</f>
        <v>0</v>
      </c>
      <c r="O267" s="268">
        <f>(O138-N138)*-1</f>
        <v>0</v>
      </c>
      <c r="P267" s="268">
        <f>(P138-O138)*-1</f>
        <v>0</v>
      </c>
      <c r="Q267" s="268">
        <f>(Q138-P138)*-1</f>
        <v>0</v>
      </c>
      <c r="R267" s="268">
        <f>SUM(N267:Q267)</f>
        <v>0</v>
      </c>
      <c r="S267" s="268">
        <f>(S138-R138)*-1</f>
        <v>0</v>
      </c>
      <c r="T267" s="268">
        <f>(T138-S138)*-1</f>
        <v>0</v>
      </c>
      <c r="U267" s="268">
        <f>(U138-T138)*-1</f>
        <v>0</v>
      </c>
      <c r="V267" s="268">
        <f>(V138-U138)*-1</f>
        <v>0</v>
      </c>
      <c r="W267" s="268">
        <f>SUM(S267:V267)</f>
        <v>0</v>
      </c>
      <c r="X267" s="268">
        <f>(X138-W138)*-1</f>
        <v>0</v>
      </c>
      <c r="Y267" s="268">
        <f>(Y138-X138)*-1</f>
        <v>0</v>
      </c>
      <c r="Z267" s="268">
        <f>(Z138-Y138)*-1</f>
        <v>0</v>
      </c>
      <c r="AA267" s="268">
        <f>(AA138-Z138)*-1</f>
        <v>0</v>
      </c>
      <c r="AB267" s="268">
        <f>SUM(X267:AA267)</f>
        <v>0</v>
      </c>
      <c r="AC267" s="268">
        <f>(AC138-AB138)*-1</f>
        <v>0</v>
      </c>
      <c r="AD267" s="268">
        <f>(AD138-AC138)*-1</f>
        <v>0</v>
      </c>
      <c r="AE267" s="268">
        <f>(AE138-AD138)*-1</f>
        <v>0</v>
      </c>
      <c r="AF267" s="268">
        <f>(AF138-AE138)*-1</f>
        <v>0</v>
      </c>
      <c r="AG267" s="268">
        <f>SUM(AC267:AF267)</f>
        <v>0</v>
      </c>
      <c r="AH267" s="268">
        <f>(AH138-AG138)*-1</f>
        <v>0</v>
      </c>
      <c r="AI267" s="268">
        <f>(AI138-AH138)*-1</f>
        <v>0</v>
      </c>
      <c r="AJ267" s="268">
        <f>(AJ138-AI138)*-1</f>
        <v>0</v>
      </c>
      <c r="AK267" s="268">
        <f>(AK138-AJ138)*-1</f>
        <v>0</v>
      </c>
      <c r="AL267" s="268">
        <f>SUM(AH267:AK267)</f>
        <v>0</v>
      </c>
      <c r="AM267" s="268">
        <f>(AM138-AL138)*-1</f>
        <v>0</v>
      </c>
      <c r="AN267" s="268">
        <f>(AN138-AM138)*-1</f>
        <v>0</v>
      </c>
      <c r="AO267" s="268">
        <f>(AO138-AN138)*-1</f>
        <v>0</v>
      </c>
      <c r="AP267" s="268">
        <f>(AP138-AO138)*-1</f>
        <v>0</v>
      </c>
      <c r="AQ267" s="268">
        <f>SUM(AM267:AP267)</f>
        <v>0</v>
      </c>
      <c r="AR267" s="268">
        <f>(AR138-AQ138)*-1</f>
        <v>0</v>
      </c>
      <c r="AS267" s="268">
        <f>(AS138-AR138)*-1</f>
        <v>0</v>
      </c>
      <c r="AT267" s="268">
        <f>(AT138-AS138)*-1</f>
        <v>0</v>
      </c>
      <c r="AU267" s="268">
        <f>(AU138-AT138)*-1</f>
        <v>0</v>
      </c>
      <c r="AV267" s="268">
        <f>SUM(AR267:AU267)</f>
        <v>0</v>
      </c>
      <c r="AW267" s="268">
        <f>(AW138-AV138)*-1</f>
        <v>0</v>
      </c>
      <c r="AX267" s="268">
        <f>(AX138-AW138)*-1</f>
        <v>0</v>
      </c>
      <c r="AY267" s="268">
        <f>(AY138-AX138)*-1</f>
        <v>0</v>
      </c>
      <c r="AZ267" s="268">
        <f>(AZ138-AY138)*-1</f>
        <v>0</v>
      </c>
      <c r="BA267" s="268">
        <f>SUM(AW267:AZ267)</f>
        <v>0</v>
      </c>
      <c r="BB267" s="268">
        <f>(BB138-BA138)*-1</f>
        <v>0</v>
      </c>
      <c r="BC267" s="268">
        <f>(BC138-BB138)*-1</f>
        <v>0</v>
      </c>
      <c r="BD267" s="268">
        <f>(BD138-BC138)*-1</f>
        <v>0</v>
      </c>
      <c r="BE267" s="268">
        <f>(BE138-BD138)*-1</f>
        <v>0</v>
      </c>
      <c r="BF267" s="268">
        <f>SUM(BB267:BE267)</f>
        <v>0</v>
      </c>
      <c r="BG267" s="268">
        <f>(BG138-BF138)*-1</f>
        <v>0</v>
      </c>
      <c r="BH267" s="268">
        <f>(BH138-BG138)*-1</f>
        <v>0</v>
      </c>
      <c r="BI267" s="268">
        <f>(BI138-BH138)*-1</f>
        <v>0</v>
      </c>
      <c r="BJ267" s="268">
        <f>(BJ138-BI138)*-1</f>
        <v>0</v>
      </c>
      <c r="BK267" s="268">
        <f>SUM(BG267:BJ267)</f>
        <v>0</v>
      </c>
      <c r="BL267" s="268">
        <f>(BL138-BK138)*-1</f>
        <v>0</v>
      </c>
      <c r="BM267" s="268">
        <f>(BM138-BL138)*-1</f>
        <v>0</v>
      </c>
      <c r="BN267" s="268">
        <f>(BN138-BM138)*-1</f>
        <v>0</v>
      </c>
      <c r="BO267" s="268">
        <f>(BO138-BN138)*-1</f>
        <v>0</v>
      </c>
      <c r="BP267" s="268">
        <f>SUM(BL267:BO267)</f>
        <v>0</v>
      </c>
      <c r="BQ267" s="268">
        <f>(BQ138-BP138)*-1</f>
        <v>0</v>
      </c>
      <c r="BR267" s="268">
        <f>(BR138-BQ138)*-1</f>
        <v>0</v>
      </c>
      <c r="BS267" s="268">
        <f>(BS138-BR138)*-1</f>
        <v>0</v>
      </c>
      <c r="BT267" s="268">
        <f>(BT138-BS138)*-1</f>
        <v>0</v>
      </c>
      <c r="BU267" s="268">
        <f>SUM(BQ267:BT267)</f>
        <v>0</v>
      </c>
      <c r="BV267" s="268">
        <f>(BV138-BU138)*-1</f>
        <v>0</v>
      </c>
      <c r="BW267" s="268">
        <f>(BW138-BV138)*-1</f>
        <v>0</v>
      </c>
      <c r="BX267" s="268">
        <f>(BX138-BW138)*-1</f>
        <v>0</v>
      </c>
      <c r="BY267" s="268">
        <f>(BY138-BX138)*-1</f>
        <v>0</v>
      </c>
      <c r="BZ267" s="268">
        <f>SUM(BV267:BY267)</f>
        <v>0</v>
      </c>
      <c r="CA267" s="268">
        <f>(CA138-BZ138)*-1</f>
        <v>0</v>
      </c>
      <c r="CB267" s="268">
        <f>(CB138-CA138)*-1</f>
        <v>0</v>
      </c>
      <c r="CC267" s="268">
        <f>(CC138-CB138)*-1</f>
        <v>0</v>
      </c>
      <c r="CD267" s="268">
        <f>(CD138-CC138)*-1</f>
        <v>0</v>
      </c>
      <c r="CE267" s="268">
        <f>SUM(CA267:CD267)</f>
        <v>0</v>
      </c>
      <c r="CF267" s="268">
        <f>(CF138-CE138)*-1</f>
        <v>0</v>
      </c>
      <c r="CG267" s="268">
        <f>(CG138-CF138)*-1</f>
        <v>0</v>
      </c>
      <c r="CH267" s="268">
        <f>(CH138-CG138)*-1</f>
        <v>0</v>
      </c>
      <c r="CI267" s="268">
        <f>(CI138-CH138)*-1</f>
        <v>0</v>
      </c>
      <c r="CJ267" s="268">
        <f>SUM(CF267:CI267)</f>
        <v>0</v>
      </c>
      <c r="CK267" s="268">
        <f>(CK138-CJ138)*-1</f>
        <v>0</v>
      </c>
      <c r="CL267" s="268">
        <f>(CL138-CK138)*-1</f>
        <v>0</v>
      </c>
      <c r="CM267" s="268">
        <f>(CM138-CL138)*-1</f>
        <v>0</v>
      </c>
      <c r="CN267" s="268">
        <f>(CN138-CM138)*-1</f>
        <v>0</v>
      </c>
      <c r="CO267" s="268">
        <f>SUM(CK267:CN267)</f>
        <v>0</v>
      </c>
      <c r="CP267" s="268">
        <f>(CP138-CO138)*-1</f>
        <v>0</v>
      </c>
      <c r="CQ267" s="268">
        <f>(CQ138-CP138)*-1</f>
        <v>0</v>
      </c>
      <c r="CR267" s="268">
        <f>(CR138-CQ138)*-1</f>
        <v>0</v>
      </c>
      <c r="CS267" s="268">
        <f>(CS138-CR138)*-1</f>
        <v>0</v>
      </c>
      <c r="CT267" s="268">
        <f>SUM(CP267:CS267)</f>
        <v>0</v>
      </c>
      <c r="CU267" s="268">
        <f>(CU138-CT138)*-1</f>
        <v>0</v>
      </c>
      <c r="CV267" s="268">
        <f>(CV138-CU138)*-1</f>
        <v>0</v>
      </c>
      <c r="CW267" s="268">
        <f>(CW138-CV138)*-1</f>
        <v>0</v>
      </c>
      <c r="CX267" s="268">
        <f>(CX138-CW138)*-1</f>
        <v>0</v>
      </c>
      <c r="CY267" s="268">
        <f>SUM(CU267:CX267)</f>
        <v>0</v>
      </c>
    </row>
    <row r="268" hidden="1" outlineLevel="1" ht="12.75" customHeight="1" s="255">
      <c r="C268" s="266" t="inlineStr">
        <is>
          <t>Prepaid expenses</t>
        </is>
      </c>
      <c r="D268" s="268" t="n"/>
      <c r="E268" s="268">
        <f>(E139-D139)*-1</f>
        <v>0</v>
      </c>
      <c r="F268" s="268">
        <f>(F139-E139)*-1</f>
        <v>0</v>
      </c>
      <c r="G268" s="268">
        <f>(G139-F139)*-1</f>
        <v>0</v>
      </c>
      <c r="H268" s="268">
        <f>SUM(D268:G268)</f>
        <v>0</v>
      </c>
      <c r="I268" s="268">
        <f>(I139-H139)*-1</f>
        <v>0</v>
      </c>
      <c r="J268" s="268">
        <f>(J139-I139)*-1</f>
        <v>0</v>
      </c>
      <c r="K268" s="268">
        <f>(K139-J139)*-1</f>
        <v>0</v>
      </c>
      <c r="L268" s="268">
        <f>(L139-K139)*-1</f>
        <v>0</v>
      </c>
      <c r="M268" s="268">
        <f>SUM(I268:L268)</f>
        <v>0</v>
      </c>
      <c r="N268" s="268">
        <f>(N139-M139)*-1</f>
        <v>0</v>
      </c>
      <c r="O268" s="268">
        <f>(O139-N139)*-1</f>
        <v>0</v>
      </c>
      <c r="P268" s="268">
        <f>(P139-O139)*-1</f>
        <v>0</v>
      </c>
      <c r="Q268" s="268">
        <f>(Q139-P139)*-1</f>
        <v>0</v>
      </c>
      <c r="R268" s="268">
        <f>SUM(N268:Q268)</f>
        <v>0</v>
      </c>
      <c r="S268" s="268">
        <f>(S139-R139)*-1</f>
        <v>0</v>
      </c>
      <c r="T268" s="268">
        <f>(T139-S139)*-1</f>
        <v>0</v>
      </c>
      <c r="U268" s="268">
        <f>(U139-T139)*-1</f>
        <v>0</v>
      </c>
      <c r="V268" s="268">
        <f>(V139-U139)*-1</f>
        <v>0</v>
      </c>
      <c r="W268" s="268">
        <f>SUM(S268:V268)</f>
        <v>0</v>
      </c>
      <c r="X268" s="268">
        <f>(X139-W139)*-1</f>
        <v>0</v>
      </c>
      <c r="Y268" s="268">
        <f>(Y139-X139)*-1</f>
        <v>0</v>
      </c>
      <c r="Z268" s="268">
        <f>(Z139-Y139)*-1</f>
        <v>0</v>
      </c>
      <c r="AA268" s="268">
        <f>(AA139-Z139)*-1</f>
        <v>0</v>
      </c>
      <c r="AB268" s="268">
        <f>SUM(X268:AA268)</f>
        <v>0</v>
      </c>
      <c r="AC268" s="268">
        <f>(AC139-AB139)*-1</f>
        <v>0</v>
      </c>
      <c r="AD268" s="268">
        <f>(AD139-AC139)*-1</f>
        <v>0</v>
      </c>
      <c r="AE268" s="268">
        <f>(AE139-AD139)*-1</f>
        <v>0</v>
      </c>
      <c r="AF268" s="268">
        <f>(AF139-AE139)*-1</f>
        <v>0</v>
      </c>
      <c r="AG268" s="268">
        <f>SUM(AC268:AF268)</f>
        <v>0</v>
      </c>
      <c r="AH268" s="268">
        <f>(AH139-AG139)*-1</f>
        <v>0</v>
      </c>
      <c r="AI268" s="268">
        <f>(AI139-AH139)*-1</f>
        <v>0</v>
      </c>
      <c r="AJ268" s="268">
        <f>(AJ139-AI139)*-1</f>
        <v>0</v>
      </c>
      <c r="AK268" s="268">
        <f>(AK139-AJ139)*-1</f>
        <v>0</v>
      </c>
      <c r="AL268" s="268">
        <f>SUM(AH268:AK268)</f>
        <v>0</v>
      </c>
      <c r="AM268" s="268">
        <f>(AM139-AL139)*-1</f>
        <v>0</v>
      </c>
      <c r="AN268" s="268">
        <f>(AN139-AM139)*-1</f>
        <v>0</v>
      </c>
      <c r="AO268" s="268">
        <f>(AO139-AN139)*-1</f>
        <v>0</v>
      </c>
      <c r="AP268" s="268">
        <f>(AP139-AO139)*-1</f>
        <v>0</v>
      </c>
      <c r="AQ268" s="268">
        <f>SUM(AM268:AP268)</f>
        <v>0</v>
      </c>
      <c r="AR268" s="268">
        <f>(AR139-AQ139)*-1</f>
        <v>0</v>
      </c>
      <c r="AS268" s="268">
        <f>(AS139-AR139)*-1</f>
        <v>0</v>
      </c>
      <c r="AT268" s="268">
        <f>(AT139-AS139)*-1</f>
        <v>0</v>
      </c>
      <c r="AU268" s="268">
        <f>(AU139-AT139)*-1</f>
        <v>0</v>
      </c>
      <c r="AV268" s="268">
        <f>SUM(AR268:AU268)</f>
        <v>0</v>
      </c>
      <c r="AW268" s="268">
        <f>(AW139-AV139)*-1</f>
        <v>0</v>
      </c>
      <c r="AX268" s="268">
        <f>(AX139-AW139)*-1</f>
        <v>0</v>
      </c>
      <c r="AY268" s="268">
        <f>(AY139-AX139)*-1</f>
        <v>0</v>
      </c>
      <c r="AZ268" s="268">
        <f>(AZ139-AY139)*-1</f>
        <v>0</v>
      </c>
      <c r="BA268" s="268">
        <f>SUM(AW268:AZ268)</f>
        <v>0</v>
      </c>
      <c r="BB268" s="268">
        <f>(BB139-BA139)*-1</f>
        <v>0</v>
      </c>
      <c r="BC268" s="268">
        <f>(BC139-BB139)*-1</f>
        <v>0</v>
      </c>
      <c r="BD268" s="268">
        <f>(BD139-BC139)*-1</f>
        <v>0</v>
      </c>
      <c r="BE268" s="268">
        <f>(BE139-BD139)*-1</f>
        <v>0</v>
      </c>
      <c r="BF268" s="268">
        <f>SUM(BB268:BE268)</f>
        <v>0</v>
      </c>
      <c r="BG268" s="268">
        <f>(BG139-BF139)*-1</f>
        <v>0</v>
      </c>
      <c r="BH268" s="268">
        <f>(BH139-BG139)*-1</f>
        <v>0</v>
      </c>
      <c r="BI268" s="268">
        <f>(BI139-BH139)*-1</f>
        <v>0</v>
      </c>
      <c r="BJ268" s="268">
        <f>(BJ139-BI139)*-1</f>
        <v>0</v>
      </c>
      <c r="BK268" s="268">
        <f>SUM(BG268:BJ268)</f>
        <v>0</v>
      </c>
      <c r="BL268" s="268">
        <f>(BL139-BK139)*-1</f>
        <v>0</v>
      </c>
      <c r="BM268" s="268">
        <f>(BM139-BL139)*-1</f>
        <v>0</v>
      </c>
      <c r="BN268" s="268">
        <f>(BN139-BM139)*-1</f>
        <v>0</v>
      </c>
      <c r="BO268" s="268">
        <f>(BO139-BN139)*-1</f>
        <v>0</v>
      </c>
      <c r="BP268" s="268">
        <f>SUM(BL268:BO268)</f>
        <v>0</v>
      </c>
      <c r="BQ268" s="268">
        <f>(BQ139-BP139)*-1</f>
        <v>0</v>
      </c>
      <c r="BR268" s="268">
        <f>(BR139-BQ139)*-1</f>
        <v>0</v>
      </c>
      <c r="BS268" s="268">
        <f>(BS139-BR139)*-1</f>
        <v>0</v>
      </c>
      <c r="BT268" s="268">
        <f>(BT139-BS139)*-1</f>
        <v>0</v>
      </c>
      <c r="BU268" s="268">
        <f>SUM(BQ268:BT268)</f>
        <v>0</v>
      </c>
      <c r="BV268" s="268">
        <f>(BV139-BU139)*-1</f>
        <v>0</v>
      </c>
      <c r="BW268" s="268">
        <f>(BW139-BV139)*-1</f>
        <v>0</v>
      </c>
      <c r="BX268" s="268">
        <f>(BX139-BW139)*-1</f>
        <v>0</v>
      </c>
      <c r="BY268" s="268">
        <f>(BY139-BX139)*-1</f>
        <v>0</v>
      </c>
      <c r="BZ268" s="268">
        <f>SUM(BV268:BY268)</f>
        <v>0</v>
      </c>
      <c r="CA268" s="268">
        <f>(CA139-BZ139)*-1</f>
        <v>0</v>
      </c>
      <c r="CB268" s="268">
        <f>(CB139-CA139)*-1</f>
        <v>0</v>
      </c>
      <c r="CC268" s="268">
        <f>(CC139-CB139)*-1</f>
        <v>0</v>
      </c>
      <c r="CD268" s="268">
        <f>(CD139-CC139)*-1</f>
        <v>0</v>
      </c>
      <c r="CE268" s="268">
        <f>SUM(CA268:CD268)</f>
        <v>0</v>
      </c>
      <c r="CF268" s="268">
        <f>(CF139-CE139)*-1</f>
        <v>0</v>
      </c>
      <c r="CG268" s="268">
        <f>(CG139-CF139)*-1</f>
        <v>0</v>
      </c>
      <c r="CH268" s="268">
        <f>(CH139-CG139)*-1</f>
        <v>0</v>
      </c>
      <c r="CI268" s="268">
        <f>(CI139-CH139)*-1</f>
        <v>0</v>
      </c>
      <c r="CJ268" s="268">
        <f>SUM(CF268:CI268)</f>
        <v>0</v>
      </c>
      <c r="CK268" s="268">
        <f>(CK139-CJ139)*-1</f>
        <v>0</v>
      </c>
      <c r="CL268" s="268">
        <f>(CL139-CK139)*-1</f>
        <v>0</v>
      </c>
      <c r="CM268" s="268">
        <f>(CM139-CL139)*-1</f>
        <v>0</v>
      </c>
      <c r="CN268" s="268">
        <f>(CN139-CM139)*-1</f>
        <v>0</v>
      </c>
      <c r="CO268" s="268">
        <f>SUM(CK268:CN268)</f>
        <v>0</v>
      </c>
      <c r="CP268" s="268">
        <f>(CP139-CO139)*-1</f>
        <v>0</v>
      </c>
      <c r="CQ268" s="268">
        <f>(CQ139-CP139)*-1</f>
        <v>0</v>
      </c>
      <c r="CR268" s="268">
        <f>(CR139-CQ139)*-1</f>
        <v>0</v>
      </c>
      <c r="CS268" s="268">
        <f>(CS139-CR139)*-1</f>
        <v>0</v>
      </c>
      <c r="CT268" s="268">
        <f>SUM(CP268:CS268)</f>
        <v>0</v>
      </c>
      <c r="CU268" s="268">
        <f>(CU139-CT139)*-1</f>
        <v>0</v>
      </c>
      <c r="CV268" s="268">
        <f>(CV139-CU139)*-1</f>
        <v>0</v>
      </c>
      <c r="CW268" s="268">
        <f>(CW139-CV139)*-1</f>
        <v>0</v>
      </c>
      <c r="CX268" s="268">
        <f>(CX139-CW139)*-1</f>
        <v>0</v>
      </c>
      <c r="CY268" s="268">
        <f>SUM(CU268:CX268)</f>
        <v>0</v>
      </c>
    </row>
    <row r="269" hidden="1" outlineLevel="1" ht="12.75" customHeight="1" s="255">
      <c r="C269" s="266" t="inlineStr">
        <is>
          <t>Other current assets</t>
        </is>
      </c>
      <c r="D269" s="268" t="n"/>
      <c r="E269" s="268">
        <f>(E140-D140)*-1</f>
        <v>187</v>
      </c>
      <c r="F269" s="268">
        <f>(F140-E140)*-1</f>
        <v>-60</v>
      </c>
      <c r="G269" s="268">
        <f>(G140-F140)*-1</f>
        <v>-103</v>
      </c>
      <c r="H269" s="268">
        <f>SUM(D269:G269)</f>
        <v>24</v>
      </c>
      <c r="I269" s="268">
        <f>(I140-H140)*-1</f>
        <v>-129</v>
      </c>
      <c r="J269" s="268">
        <f>(J140-I140)*-1</f>
        <v>35</v>
      </c>
      <c r="K269" s="268">
        <f>(K140-J140)*-1</f>
        <v>-92</v>
      </c>
      <c r="L269" s="268">
        <f>(L140-K140)*-1</f>
        <v>-188</v>
      </c>
      <c r="M269" s="268">
        <f>SUM(I269:L269)</f>
        <v>-374</v>
      </c>
      <c r="N269" s="268">
        <f>(N140-M140)*-1</f>
        <v>-52</v>
      </c>
      <c r="O269" s="268">
        <f>(O140-N140)*-1</f>
        <v>-11</v>
      </c>
      <c r="P269" s="268">
        <f>(P140-O140)*-1</f>
        <v>64</v>
      </c>
      <c r="Q269" s="268">
        <f>(Q140-P140)*-1</f>
        <v>-95</v>
      </c>
      <c r="R269" s="268">
        <f>SUM(N269:Q269)</f>
        <v>-94</v>
      </c>
      <c r="S269" s="268">
        <f>(S140-R140)*-1</f>
        <v>-236</v>
      </c>
      <c r="T269" s="268">
        <f>(T140-S140)*-1</f>
        <v>75</v>
      </c>
      <c r="U269" s="268">
        <f>(U140-T140)*-1</f>
        <v>46</v>
      </c>
      <c r="V269" s="268">
        <f>(V140-U140)*-1</f>
        <v>36</v>
      </c>
      <c r="W269" s="268">
        <f>SUM(S269:V269)</f>
        <v>-79</v>
      </c>
      <c r="X269" s="268">
        <f>(X140-W140)*-1</f>
        <v>-298</v>
      </c>
      <c r="Y269" s="268">
        <f>(Y140-X140)*-1</f>
        <v>195</v>
      </c>
      <c r="Z269" s="268">
        <f>(Z140-Y140)*-1</f>
        <v>42</v>
      </c>
      <c r="AA269" s="268">
        <f>(AA140-Z140)*-1</f>
        <v>-20</v>
      </c>
      <c r="AB269" s="268">
        <f>SUM(X269:AA269)</f>
        <v>-81</v>
      </c>
      <c r="AC269" s="268">
        <f>(AC140-AB140)*-1</f>
        <v>-171</v>
      </c>
      <c r="AD269" s="268">
        <f>(AD140-AC140)*-1</f>
        <v>105</v>
      </c>
      <c r="AE269" s="268">
        <f>(AE140-AD140)*-1</f>
        <v>43</v>
      </c>
      <c r="AF269" s="268">
        <f>(AF140-AE140)*-1</f>
        <v>-79</v>
      </c>
      <c r="AG269" s="268">
        <f>SUM(AC269:AF269)</f>
        <v>-102</v>
      </c>
      <c r="AH269" s="268">
        <f>(AH140-AG140)*-1</f>
        <v>-264</v>
      </c>
      <c r="AI269" s="268">
        <f>(AI140-AH140)*-1</f>
        <v>107</v>
      </c>
      <c r="AJ269" s="268">
        <f>(AJ140-AI140)*-1</f>
        <v>0</v>
      </c>
      <c r="AK269" s="268">
        <f>(AK140-AJ140)*-1</f>
        <v>0</v>
      </c>
      <c r="AL269" s="268">
        <f>SUM(AH269:AK269)</f>
        <v>-157</v>
      </c>
      <c r="AM269" s="268">
        <f>(AM140-AL140)*-1</f>
        <v>0</v>
      </c>
      <c r="AN269" s="268">
        <f>(AN140-AM140)*-1</f>
        <v>0</v>
      </c>
      <c r="AO269" s="268">
        <f>(AO140-AN140)*-1</f>
        <v>0</v>
      </c>
      <c r="AP269" s="268">
        <f>(AP140-AO140)*-1</f>
        <v>0</v>
      </c>
      <c r="AQ269" s="268">
        <f>SUM(AM269:AP269)</f>
        <v>0</v>
      </c>
      <c r="AR269" s="268">
        <f>(AR140-AQ140)*-1</f>
        <v>0</v>
      </c>
      <c r="AS269" s="268">
        <f>(AS140-AR140)*-1</f>
        <v>0</v>
      </c>
      <c r="AT269" s="268">
        <f>(AT140-AS140)*-1</f>
        <v>0</v>
      </c>
      <c r="AU269" s="268">
        <f>(AU140-AT140)*-1</f>
        <v>0</v>
      </c>
      <c r="AV269" s="268">
        <f>SUM(AR269:AU269)</f>
        <v>0</v>
      </c>
      <c r="AW269" s="268">
        <f>(AW140-AV140)*-1</f>
        <v>0</v>
      </c>
      <c r="AX269" s="268">
        <f>(AX140-AW140)*-1</f>
        <v>0</v>
      </c>
      <c r="AY269" s="268">
        <f>(AY140-AX140)*-1</f>
        <v>0</v>
      </c>
      <c r="AZ269" s="268">
        <f>(AZ140-AY140)*-1</f>
        <v>0</v>
      </c>
      <c r="BA269" s="268">
        <f>SUM(AW269:AZ269)</f>
        <v>0</v>
      </c>
      <c r="BB269" s="268">
        <f>(BB140-BA140)*-1</f>
        <v>0</v>
      </c>
      <c r="BC269" s="268">
        <f>(BC140-BB140)*-1</f>
        <v>0</v>
      </c>
      <c r="BD269" s="268">
        <f>(BD140-BC140)*-1</f>
        <v>0</v>
      </c>
      <c r="BE269" s="268">
        <f>(BE140-BD140)*-1</f>
        <v>0</v>
      </c>
      <c r="BF269" s="268">
        <f>SUM(BB269:BE269)</f>
        <v>0</v>
      </c>
      <c r="BG269" s="268">
        <f>(BG140-BF140)*-1</f>
        <v>0</v>
      </c>
      <c r="BH269" s="268">
        <f>(BH140-BG140)*-1</f>
        <v>0</v>
      </c>
      <c r="BI269" s="268">
        <f>(BI140-BH140)*-1</f>
        <v>0</v>
      </c>
      <c r="BJ269" s="268">
        <f>(BJ140-BI140)*-1</f>
        <v>0</v>
      </c>
      <c r="BK269" s="268">
        <f>SUM(BG269:BJ269)</f>
        <v>0</v>
      </c>
      <c r="BL269" s="268">
        <f>(BL140-BK140)*-1</f>
        <v>0</v>
      </c>
      <c r="BM269" s="268">
        <f>(BM140-BL140)*-1</f>
        <v>0</v>
      </c>
      <c r="BN269" s="268">
        <f>(BN140-BM140)*-1</f>
        <v>0</v>
      </c>
      <c r="BO269" s="268">
        <f>(BO140-BN140)*-1</f>
        <v>0</v>
      </c>
      <c r="BP269" s="268">
        <f>SUM(BL269:BO269)</f>
        <v>0</v>
      </c>
      <c r="BQ269" s="268">
        <f>(BQ140-BP140)*-1</f>
        <v>0</v>
      </c>
      <c r="BR269" s="268">
        <f>(BR140-BQ140)*-1</f>
        <v>0</v>
      </c>
      <c r="BS269" s="268">
        <f>(BS140-BR140)*-1</f>
        <v>0</v>
      </c>
      <c r="BT269" s="268">
        <f>(BT140-BS140)*-1</f>
        <v>0</v>
      </c>
      <c r="BU269" s="268">
        <f>SUM(BQ269:BT269)</f>
        <v>0</v>
      </c>
      <c r="BV269" s="268">
        <f>(BV140-BU140)*-1</f>
        <v>0</v>
      </c>
      <c r="BW269" s="268">
        <f>(BW140-BV140)*-1</f>
        <v>0</v>
      </c>
      <c r="BX269" s="268">
        <f>(BX140-BW140)*-1</f>
        <v>0</v>
      </c>
      <c r="BY269" s="268">
        <f>(BY140-BX140)*-1</f>
        <v>0</v>
      </c>
      <c r="BZ269" s="268">
        <f>SUM(BV269:BY269)</f>
        <v>0</v>
      </c>
      <c r="CA269" s="268">
        <f>(CA140-BZ140)*-1</f>
        <v>0</v>
      </c>
      <c r="CB269" s="268">
        <f>(CB140-CA140)*-1</f>
        <v>0</v>
      </c>
      <c r="CC269" s="268">
        <f>(CC140-CB140)*-1</f>
        <v>0</v>
      </c>
      <c r="CD269" s="268">
        <f>(CD140-CC140)*-1</f>
        <v>0</v>
      </c>
      <c r="CE269" s="268">
        <f>SUM(CA269:CD269)</f>
        <v>0</v>
      </c>
      <c r="CF269" s="268">
        <f>(CF140-CE140)*-1</f>
        <v>0</v>
      </c>
      <c r="CG269" s="268">
        <f>(CG140-CF140)*-1</f>
        <v>0</v>
      </c>
      <c r="CH269" s="268">
        <f>(CH140-CG140)*-1</f>
        <v>0</v>
      </c>
      <c r="CI269" s="268">
        <f>(CI140-CH140)*-1</f>
        <v>0</v>
      </c>
      <c r="CJ269" s="268">
        <f>SUM(CF269:CI269)</f>
        <v>0</v>
      </c>
      <c r="CK269" s="268">
        <f>(CK140-CJ140)*-1</f>
        <v>0</v>
      </c>
      <c r="CL269" s="268">
        <f>(CL140-CK140)*-1</f>
        <v>0</v>
      </c>
      <c r="CM269" s="268">
        <f>(CM140-CL140)*-1</f>
        <v>0</v>
      </c>
      <c r="CN269" s="268">
        <f>(CN140-CM140)*-1</f>
        <v>0</v>
      </c>
      <c r="CO269" s="268">
        <f>SUM(CK269:CN269)</f>
        <v>0</v>
      </c>
      <c r="CP269" s="268">
        <f>(CP140-CO140)*-1</f>
        <v>0</v>
      </c>
      <c r="CQ269" s="268">
        <f>(CQ140-CP140)*-1</f>
        <v>0</v>
      </c>
      <c r="CR269" s="268">
        <f>(CR140-CQ140)*-1</f>
        <v>0</v>
      </c>
      <c r="CS269" s="268">
        <f>(CS140-CR140)*-1</f>
        <v>0</v>
      </c>
      <c r="CT269" s="268">
        <f>SUM(CP269:CS269)</f>
        <v>0</v>
      </c>
      <c r="CU269" s="268">
        <f>(CU140-CT140)*-1</f>
        <v>0</v>
      </c>
      <c r="CV269" s="268">
        <f>(CV140-CU140)*-1</f>
        <v>0</v>
      </c>
      <c r="CW269" s="268">
        <f>(CW140-CV140)*-1</f>
        <v>0</v>
      </c>
      <c r="CX269" s="268">
        <f>(CX140-CW140)*-1</f>
        <v>0</v>
      </c>
      <c r="CY269" s="268">
        <f>SUM(CU269:CX269)</f>
        <v>0</v>
      </c>
    </row>
    <row r="270" hidden="1" outlineLevel="1" ht="12.75" customHeight="1" s="255">
      <c r="C270" s="266" t="inlineStr">
        <is>
          <t>Accounts payable</t>
        </is>
      </c>
      <c r="D270" s="268" t="n"/>
      <c r="E270" s="268">
        <f>E183-D183</f>
        <v>-259</v>
      </c>
      <c r="F270" s="268">
        <f>F183-E183</f>
        <v>3359</v>
      </c>
      <c r="G270" s="268">
        <f>G183-F183</f>
        <v>2842</v>
      </c>
      <c r="H270" s="268">
        <f>SUM(D270:G270)</f>
        <v>5942</v>
      </c>
      <c r="I270" s="268">
        <f>I183-H183</f>
        <v>-2631</v>
      </c>
      <c r="J270" s="268">
        <f>J183-I183</f>
        <v>1155</v>
      </c>
      <c r="K270" s="268">
        <f>K183-J183</f>
        <v>740</v>
      </c>
      <c r="L270" s="268">
        <f>L183-K183</f>
        <v>3283</v>
      </c>
      <c r="M270" s="268">
        <f>SUM(I270:L270)</f>
        <v>2547</v>
      </c>
      <c r="N270" s="268">
        <f>N183-M183</f>
        <v>-2472</v>
      </c>
      <c r="O270" s="268">
        <f>O183-N183</f>
        <v>562</v>
      </c>
      <c r="P270" s="268">
        <f>P183-O183</f>
        <v>197</v>
      </c>
      <c r="Q270" s="268">
        <f>Q183-P183</f>
        <v>500</v>
      </c>
      <c r="R270" s="268">
        <f>SUM(N270:Q270)</f>
        <v>-1213</v>
      </c>
      <c r="S270" s="268">
        <f>S183-R183</f>
        <v>-1941</v>
      </c>
      <c r="T270" s="268">
        <f>T183-S183</f>
        <v>446</v>
      </c>
      <c r="U270" s="268">
        <f>U183-T183</f>
        <v>630</v>
      </c>
      <c r="V270" s="268">
        <f>V183-U183</f>
        <v>2874</v>
      </c>
      <c r="W270" s="268">
        <f>SUM(S270:V270)</f>
        <v>2009</v>
      </c>
      <c r="X270" s="268">
        <f>X183-W183</f>
        <v>-2863</v>
      </c>
      <c r="Y270" s="268">
        <f>Y183-X183</f>
        <v>1350</v>
      </c>
      <c r="Z270" s="268">
        <f>Z183-Y183</f>
        <v>577</v>
      </c>
      <c r="AA270" s="268">
        <f>AA183-Z183</f>
        <v>2372</v>
      </c>
      <c r="AB270" s="268">
        <f>SUM(X270:AA270)</f>
        <v>1436</v>
      </c>
      <c r="AC270" s="268">
        <f>AC183-AB183</f>
        <v>-3183</v>
      </c>
      <c r="AD270" s="268">
        <f>AD183-AC183</f>
        <v>1210</v>
      </c>
      <c r="AE270" s="268">
        <f>AE183-AD183</f>
        <v>-37</v>
      </c>
      <c r="AF270" s="268">
        <f>AF183-AE183</f>
        <v>3730</v>
      </c>
      <c r="AG270" s="268">
        <f>SUM(AC270:AF270)</f>
        <v>1720</v>
      </c>
      <c r="AH270" s="268">
        <f>AH183-AG183</f>
        <v>-2866</v>
      </c>
      <c r="AI270" s="268">
        <f>AI183-AH183</f>
        <v>1716</v>
      </c>
      <c r="AJ270" s="268">
        <f>AJ183-AI183</f>
        <v>-22363</v>
      </c>
      <c r="AK270" s="268">
        <f>AK183-AJ183</f>
        <v>0</v>
      </c>
      <c r="AL270" s="268">
        <f>SUM(AH270:AK270)</f>
        <v>-23513</v>
      </c>
      <c r="AM270" s="268">
        <f>AM183-AL183</f>
        <v>0</v>
      </c>
      <c r="AN270" s="268">
        <f>AN183-AM183</f>
        <v>0</v>
      </c>
      <c r="AO270" s="268">
        <f>AO183-AN183</f>
        <v>0</v>
      </c>
      <c r="AP270" s="268">
        <f>AP183-AO183</f>
        <v>0</v>
      </c>
      <c r="AQ270" s="268">
        <f>SUM(AM270:AP270)</f>
        <v>0</v>
      </c>
      <c r="AR270" s="268">
        <f>AR183-AQ183</f>
        <v>0</v>
      </c>
      <c r="AS270" s="268">
        <f>AS183-AR183</f>
        <v>0</v>
      </c>
      <c r="AT270" s="268">
        <f>AT183-AS183</f>
        <v>0</v>
      </c>
      <c r="AU270" s="268">
        <f>AU183-AT183</f>
        <v>0</v>
      </c>
      <c r="AV270" s="268">
        <f>SUM(AR270:AU270)</f>
        <v>0</v>
      </c>
      <c r="AW270" s="268">
        <f>AW183-AV183</f>
        <v>0</v>
      </c>
      <c r="AX270" s="268">
        <f>AX183-AW183</f>
        <v>0</v>
      </c>
      <c r="AY270" s="268">
        <f>AY183-AX183</f>
        <v>0</v>
      </c>
      <c r="AZ270" s="268">
        <f>AZ183-AY183</f>
        <v>0</v>
      </c>
      <c r="BA270" s="268">
        <f>SUM(AW270:AZ270)</f>
        <v>0</v>
      </c>
      <c r="BB270" s="268">
        <f>BB183-BA183</f>
        <v>0</v>
      </c>
      <c r="BC270" s="268">
        <f>BC183-BB183</f>
        <v>0</v>
      </c>
      <c r="BD270" s="268">
        <f>BD183-BC183</f>
        <v>0</v>
      </c>
      <c r="BE270" s="268">
        <f>BE183-BD183</f>
        <v>0</v>
      </c>
      <c r="BF270" s="268">
        <f>SUM(BB270:BE270)</f>
        <v>0</v>
      </c>
      <c r="BG270" s="268">
        <f>BG183-BF183</f>
        <v>0</v>
      </c>
      <c r="BH270" s="268">
        <f>BH183-BG183</f>
        <v>0</v>
      </c>
      <c r="BI270" s="268">
        <f>BI183-BH183</f>
        <v>0</v>
      </c>
      <c r="BJ270" s="268">
        <f>BJ183-BI183</f>
        <v>0</v>
      </c>
      <c r="BK270" s="268">
        <f>SUM(BG270:BJ270)</f>
        <v>0</v>
      </c>
      <c r="BL270" s="268">
        <f>BL183-BK183</f>
        <v>0</v>
      </c>
      <c r="BM270" s="268">
        <f>BM183-BL183</f>
        <v>0</v>
      </c>
      <c r="BN270" s="268">
        <f>BN183-BM183</f>
        <v>0</v>
      </c>
      <c r="BO270" s="268">
        <f>BO183-BN183</f>
        <v>0</v>
      </c>
      <c r="BP270" s="268">
        <f>SUM(BL270:BO270)</f>
        <v>0</v>
      </c>
      <c r="BQ270" s="268">
        <f>BQ183-BP183</f>
        <v>0</v>
      </c>
      <c r="BR270" s="268">
        <f>BR183-BQ183</f>
        <v>0</v>
      </c>
      <c r="BS270" s="268">
        <f>BS183-BR183</f>
        <v>0</v>
      </c>
      <c r="BT270" s="268">
        <f>BT183-BS183</f>
        <v>0</v>
      </c>
      <c r="BU270" s="268">
        <f>SUM(BQ270:BT270)</f>
        <v>0</v>
      </c>
      <c r="BV270" s="268">
        <f>BV183-BU183</f>
        <v>0</v>
      </c>
      <c r="BW270" s="268">
        <f>BW183-BV183</f>
        <v>0</v>
      </c>
      <c r="BX270" s="268">
        <f>BX183-BW183</f>
        <v>0</v>
      </c>
      <c r="BY270" s="268">
        <f>BY183-BX183</f>
        <v>0</v>
      </c>
      <c r="BZ270" s="268">
        <f>SUM(BV270:BY270)</f>
        <v>0</v>
      </c>
      <c r="CA270" s="268">
        <f>CA183-BZ183</f>
        <v>0</v>
      </c>
      <c r="CB270" s="268">
        <f>CB183-CA183</f>
        <v>0</v>
      </c>
      <c r="CC270" s="268">
        <f>CC183-CB183</f>
        <v>0</v>
      </c>
      <c r="CD270" s="268">
        <f>CD183-CC183</f>
        <v>0</v>
      </c>
      <c r="CE270" s="268">
        <f>SUM(CA270:CD270)</f>
        <v>0</v>
      </c>
      <c r="CF270" s="268">
        <f>CF183-CE183</f>
        <v>0</v>
      </c>
      <c r="CG270" s="268">
        <f>CG183-CF183</f>
        <v>0</v>
      </c>
      <c r="CH270" s="268">
        <f>CH183-CG183</f>
        <v>0</v>
      </c>
      <c r="CI270" s="268">
        <f>CI183-CH183</f>
        <v>0</v>
      </c>
      <c r="CJ270" s="268">
        <f>SUM(CF270:CI270)</f>
        <v>0</v>
      </c>
      <c r="CK270" s="268">
        <f>CK183-CJ183</f>
        <v>0</v>
      </c>
      <c r="CL270" s="268">
        <f>CL183-CK183</f>
        <v>0</v>
      </c>
      <c r="CM270" s="268">
        <f>CM183-CL183</f>
        <v>0</v>
      </c>
      <c r="CN270" s="268">
        <f>CN183-CM183</f>
        <v>0</v>
      </c>
      <c r="CO270" s="268">
        <f>SUM(CK270:CN270)</f>
        <v>0</v>
      </c>
      <c r="CP270" s="268">
        <f>CP183-CO183</f>
        <v>0</v>
      </c>
      <c r="CQ270" s="268">
        <f>CQ183-CP183</f>
        <v>0</v>
      </c>
      <c r="CR270" s="268">
        <f>CR183-CQ183</f>
        <v>0</v>
      </c>
      <c r="CS270" s="268">
        <f>CS183-CR183</f>
        <v>0</v>
      </c>
      <c r="CT270" s="268">
        <f>SUM(CP270:CS270)</f>
        <v>0</v>
      </c>
      <c r="CU270" s="268">
        <f>CU183-CT183</f>
        <v>0</v>
      </c>
      <c r="CV270" s="268">
        <f>CV183-CU183</f>
        <v>0</v>
      </c>
      <c r="CW270" s="268">
        <f>CW183-CV183</f>
        <v>0</v>
      </c>
      <c r="CX270" s="268">
        <f>CX183-CW183</f>
        <v>0</v>
      </c>
      <c r="CY270" s="268">
        <f>SUM(CU270:CX270)</f>
        <v>0</v>
      </c>
    </row>
    <row r="271" hidden="1" outlineLevel="1" ht="12.75" customHeight="1" s="255">
      <c r="C271" s="266" t="inlineStr">
        <is>
          <t>Accrued expenses</t>
        </is>
      </c>
      <c r="D271" s="268" t="n"/>
      <c r="E271" s="268">
        <f>E187-D187</f>
        <v>-169</v>
      </c>
      <c r="F271" s="268">
        <f>F187-E187</f>
        <v>359</v>
      </c>
      <c r="G271" s="268">
        <f>G187-F187</f>
        <v>1432</v>
      </c>
      <c r="H271" s="268">
        <f>SUM(D271:G271)</f>
        <v>1622</v>
      </c>
      <c r="I271" s="268">
        <f>I187-H187</f>
        <v>636</v>
      </c>
      <c r="J271" s="268">
        <f>J187-I187</f>
        <v>-230</v>
      </c>
      <c r="K271" s="268">
        <f>K187-J187</f>
        <v>318</v>
      </c>
      <c r="L271" s="268">
        <f>L187-K187</f>
        <v>-50</v>
      </c>
      <c r="M271" s="268">
        <f>SUM(I271:L271)</f>
        <v>674</v>
      </c>
      <c r="N271" s="268">
        <f>N187-M187</f>
        <v>434</v>
      </c>
      <c r="O271" s="268">
        <f>O187-N187</f>
        <v>-227</v>
      </c>
      <c r="P271" s="268">
        <f>P187-O187</f>
        <v>374</v>
      </c>
      <c r="Q271" s="268">
        <f>Q187-P187</f>
        <v>-16</v>
      </c>
      <c r="R271" s="268">
        <f>SUM(N271:Q271)</f>
        <v>565</v>
      </c>
      <c r="S271" s="268">
        <f>S187-R187</f>
        <v>223</v>
      </c>
      <c r="T271" s="268">
        <f>T187-S187</f>
        <v>-306</v>
      </c>
      <c r="U271" s="268">
        <f>U187-T187</f>
        <v>235</v>
      </c>
      <c r="V271" s="268">
        <f>V187-U187</f>
        <v>253</v>
      </c>
      <c r="W271" s="268">
        <f>SUM(S271:V271)</f>
        <v>405</v>
      </c>
      <c r="X271" s="268">
        <f>X187-W187</f>
        <v>388</v>
      </c>
      <c r="Y271" s="268">
        <f>Y187-X187</f>
        <v>-365</v>
      </c>
      <c r="Z271" s="268">
        <f>Z187-Y187</f>
        <v>525</v>
      </c>
      <c r="AA271" s="268">
        <f>AA187-Z187</f>
        <v>0</v>
      </c>
      <c r="AB271" s="268">
        <f>SUM(X271:AA271)</f>
        <v>548</v>
      </c>
      <c r="AC271" s="268">
        <f>AC187-AB187</f>
        <v>412</v>
      </c>
      <c r="AD271" s="268">
        <f>AD187-AC187</f>
        <v>-245</v>
      </c>
      <c r="AE271" s="268">
        <f>AE187-AD187</f>
        <v>486</v>
      </c>
      <c r="AF271" s="268">
        <f>AF187-AE187</f>
        <v>2</v>
      </c>
      <c r="AG271" s="268">
        <f>SUM(AC271:AF271)</f>
        <v>655</v>
      </c>
      <c r="AH271" s="268">
        <f>AH187-AG187</f>
        <v>584</v>
      </c>
      <c r="AI271" s="268">
        <f>AI187-AH187</f>
        <v>-302</v>
      </c>
      <c r="AJ271" s="268">
        <f>AJ187-AI187</f>
        <v>-8166</v>
      </c>
      <c r="AK271" s="268">
        <f>AK187-AJ187</f>
        <v>0</v>
      </c>
      <c r="AL271" s="268">
        <f>SUM(AH271:AK271)</f>
        <v>-7884</v>
      </c>
      <c r="AM271" s="268" t="e">
        <f>AM187-AL187</f>
        <v>#DIV/0!</v>
      </c>
      <c r="AN271" s="268" t="e">
        <f>AN187-AM187</f>
        <v>#DIV/0!</v>
      </c>
      <c r="AO271" s="268" t="e">
        <f>AO187-AN187</f>
        <v>#DIV/0!</v>
      </c>
      <c r="AP271" s="268" t="e">
        <f>AP187-AO187</f>
        <v>#DIV/0!</v>
      </c>
      <c r="AQ271" s="268" t="e">
        <f>SUM(AM271:AP271)</f>
        <v>#DIV/0!</v>
      </c>
      <c r="AR271" s="268" t="e">
        <f>AR187-AQ187</f>
        <v>#DIV/0!</v>
      </c>
      <c r="AS271" s="268" t="e">
        <f>AS187-AR187</f>
        <v>#DIV/0!</v>
      </c>
      <c r="AT271" s="268" t="e">
        <f>AT187-AS187</f>
        <v>#DIV/0!</v>
      </c>
      <c r="AU271" s="268" t="e">
        <f>AU187-AT187</f>
        <v>#DIV/0!</v>
      </c>
      <c r="AV271" s="268" t="e">
        <f>SUM(AR271:AU271)</f>
        <v>#DIV/0!</v>
      </c>
      <c r="AW271" s="268" t="e">
        <f>AW187-AV187</f>
        <v>#DIV/0!</v>
      </c>
      <c r="AX271" s="268" t="e">
        <f>AX187-AW187</f>
        <v>#DIV/0!</v>
      </c>
      <c r="AY271" s="268" t="e">
        <f>AY187-AX187</f>
        <v>#DIV/0!</v>
      </c>
      <c r="AZ271" s="268" t="e">
        <f>AZ187-AY187</f>
        <v>#DIV/0!</v>
      </c>
      <c r="BA271" s="268" t="e">
        <f>SUM(AW271:AZ271)</f>
        <v>#DIV/0!</v>
      </c>
      <c r="BB271" s="268" t="e">
        <f>BB187-BA187</f>
        <v>#DIV/0!</v>
      </c>
      <c r="BC271" s="268" t="e">
        <f>BC187-BB187</f>
        <v>#DIV/0!</v>
      </c>
      <c r="BD271" s="268" t="e">
        <f>BD187-BC187</f>
        <v>#DIV/0!</v>
      </c>
      <c r="BE271" s="268" t="e">
        <f>BE187-BD187</f>
        <v>#DIV/0!</v>
      </c>
      <c r="BF271" s="268" t="e">
        <f>SUM(BB271:BE271)</f>
        <v>#DIV/0!</v>
      </c>
      <c r="BG271" s="268" t="e">
        <f>BG187-BF187</f>
        <v>#DIV/0!</v>
      </c>
      <c r="BH271" s="268" t="e">
        <f>BH187-BG187</f>
        <v>#DIV/0!</v>
      </c>
      <c r="BI271" s="268" t="e">
        <f>BI187-BH187</f>
        <v>#DIV/0!</v>
      </c>
      <c r="BJ271" s="268" t="e">
        <f>BJ187-BI187</f>
        <v>#DIV/0!</v>
      </c>
      <c r="BK271" s="268" t="e">
        <f>SUM(BG271:BJ271)</f>
        <v>#DIV/0!</v>
      </c>
      <c r="BL271" s="268" t="e">
        <f>BL187-BK187</f>
        <v>#DIV/0!</v>
      </c>
      <c r="BM271" s="268" t="e">
        <f>BM187-BL187</f>
        <v>#DIV/0!</v>
      </c>
      <c r="BN271" s="268" t="e">
        <f>BN187-BM187</f>
        <v>#DIV/0!</v>
      </c>
      <c r="BO271" s="268" t="e">
        <f>BO187-BN187</f>
        <v>#DIV/0!</v>
      </c>
      <c r="BP271" s="268" t="e">
        <f>SUM(BL271:BO271)</f>
        <v>#DIV/0!</v>
      </c>
      <c r="BQ271" s="268" t="e">
        <f>BQ187-BP187</f>
        <v>#DIV/0!</v>
      </c>
      <c r="BR271" s="268" t="e">
        <f>BR187-BQ187</f>
        <v>#DIV/0!</v>
      </c>
      <c r="BS271" s="268" t="e">
        <f>BS187-BR187</f>
        <v>#DIV/0!</v>
      </c>
      <c r="BT271" s="268" t="e">
        <f>BT187-BS187</f>
        <v>#DIV/0!</v>
      </c>
      <c r="BU271" s="268" t="e">
        <f>SUM(BQ271:BT271)</f>
        <v>#DIV/0!</v>
      </c>
      <c r="BV271" s="268" t="e">
        <f>BV187-BU187</f>
        <v>#DIV/0!</v>
      </c>
      <c r="BW271" s="268" t="e">
        <f>BW187-BV187</f>
        <v>#DIV/0!</v>
      </c>
      <c r="BX271" s="268" t="e">
        <f>BX187-BW187</f>
        <v>#DIV/0!</v>
      </c>
      <c r="BY271" s="268" t="e">
        <f>BY187-BX187</f>
        <v>#DIV/0!</v>
      </c>
      <c r="BZ271" s="268" t="e">
        <f>SUM(BV271:BY271)</f>
        <v>#DIV/0!</v>
      </c>
      <c r="CA271" s="268" t="e">
        <f>CA187-BZ187</f>
        <v>#DIV/0!</v>
      </c>
      <c r="CB271" s="268" t="e">
        <f>CB187-CA187</f>
        <v>#DIV/0!</v>
      </c>
      <c r="CC271" s="268" t="e">
        <f>CC187-CB187</f>
        <v>#DIV/0!</v>
      </c>
      <c r="CD271" s="268" t="e">
        <f>CD187-CC187</f>
        <v>#DIV/0!</v>
      </c>
      <c r="CE271" s="268" t="e">
        <f>SUM(CA271:CD271)</f>
        <v>#DIV/0!</v>
      </c>
      <c r="CF271" s="268" t="e">
        <f>CF187-CE187</f>
        <v>#DIV/0!</v>
      </c>
      <c r="CG271" s="268" t="e">
        <f>CG187-CF187</f>
        <v>#DIV/0!</v>
      </c>
      <c r="CH271" s="268" t="e">
        <f>CH187-CG187</f>
        <v>#DIV/0!</v>
      </c>
      <c r="CI271" s="268" t="e">
        <f>CI187-CH187</f>
        <v>#DIV/0!</v>
      </c>
      <c r="CJ271" s="268" t="e">
        <f>SUM(CF271:CI271)</f>
        <v>#DIV/0!</v>
      </c>
      <c r="CK271" s="268" t="e">
        <f>CK187-CJ187</f>
        <v>#DIV/0!</v>
      </c>
      <c r="CL271" s="268" t="e">
        <f>CL187-CK187</f>
        <v>#DIV/0!</v>
      </c>
      <c r="CM271" s="268" t="e">
        <f>CM187-CL187</f>
        <v>#DIV/0!</v>
      </c>
      <c r="CN271" s="268" t="e">
        <f>CN187-CM187</f>
        <v>#DIV/0!</v>
      </c>
      <c r="CO271" s="268" t="e">
        <f>SUM(CK271:CN271)</f>
        <v>#DIV/0!</v>
      </c>
      <c r="CP271" s="268" t="e">
        <f>CP187-CO187</f>
        <v>#DIV/0!</v>
      </c>
      <c r="CQ271" s="268" t="e">
        <f>CQ187-CP187</f>
        <v>#DIV/0!</v>
      </c>
      <c r="CR271" s="268" t="e">
        <f>CR187-CQ187</f>
        <v>#DIV/0!</v>
      </c>
      <c r="CS271" s="268" t="e">
        <f>CS187-CR187</f>
        <v>#DIV/0!</v>
      </c>
      <c r="CT271" s="268" t="e">
        <f>SUM(CP271:CS271)</f>
        <v>#DIV/0!</v>
      </c>
      <c r="CU271" s="268" t="e">
        <f>CU187-CT187</f>
        <v>#DIV/0!</v>
      </c>
      <c r="CV271" s="268" t="e">
        <f>CV187-CU187</f>
        <v>#DIV/0!</v>
      </c>
      <c r="CW271" s="268" t="e">
        <f>CW187-CV187</f>
        <v>#DIV/0!</v>
      </c>
      <c r="CX271" s="268" t="e">
        <f>CX187-CW187</f>
        <v>#DIV/0!</v>
      </c>
      <c r="CY271" s="268" t="e">
        <f>SUM(CU271:CX271)</f>
        <v>#DIV/0!</v>
      </c>
    </row>
    <row r="272" hidden="1" outlineLevel="1" ht="12.75" customHeight="1" s="255">
      <c r="C272" s="266" t="inlineStr">
        <is>
          <t>Taxes payable</t>
        </is>
      </c>
      <c r="D272" s="268" t="n"/>
      <c r="E272" s="268">
        <f>E189-D189</f>
        <v>0</v>
      </c>
      <c r="F272" s="268">
        <f>F189-E189</f>
        <v>0</v>
      </c>
      <c r="G272" s="268">
        <f>G189-F189</f>
        <v>0</v>
      </c>
      <c r="H272" s="268">
        <f>SUM(D272:G272)</f>
        <v>0</v>
      </c>
      <c r="I272" s="268">
        <f>I189-H189</f>
        <v>0</v>
      </c>
      <c r="J272" s="268">
        <f>J189-I189</f>
        <v>0</v>
      </c>
      <c r="K272" s="268">
        <f>K189-J189</f>
        <v>0</v>
      </c>
      <c r="L272" s="268">
        <f>L189-K189</f>
        <v>0</v>
      </c>
      <c r="M272" s="268">
        <f>SUM(I272:L272)</f>
        <v>0</v>
      </c>
      <c r="N272" s="268">
        <f>N189-M189</f>
        <v>0</v>
      </c>
      <c r="O272" s="268">
        <f>O189-N189</f>
        <v>0</v>
      </c>
      <c r="P272" s="268">
        <f>P189-O189</f>
        <v>0</v>
      </c>
      <c r="Q272" s="268">
        <f>Q189-P189</f>
        <v>0</v>
      </c>
      <c r="R272" s="268">
        <f>SUM(N272:Q272)</f>
        <v>0</v>
      </c>
      <c r="S272" s="268">
        <f>S189-R189</f>
        <v>0</v>
      </c>
      <c r="T272" s="268">
        <f>T189-S189</f>
        <v>0</v>
      </c>
      <c r="U272" s="268">
        <f>U189-T189</f>
        <v>0</v>
      </c>
      <c r="V272" s="268">
        <f>V189-U189</f>
        <v>0</v>
      </c>
      <c r="W272" s="268">
        <f>SUM(S272:V272)</f>
        <v>0</v>
      </c>
      <c r="X272" s="268">
        <f>X189-W189</f>
        <v>0</v>
      </c>
      <c r="Y272" s="268">
        <f>Y189-X189</f>
        <v>0</v>
      </c>
      <c r="Z272" s="268">
        <f>Z189-Y189</f>
        <v>0</v>
      </c>
      <c r="AA272" s="268">
        <f>AA189-Z189</f>
        <v>0</v>
      </c>
      <c r="AB272" s="268">
        <f>SUM(X272:AA272)</f>
        <v>0</v>
      </c>
      <c r="AC272" s="268">
        <f>AC189-AB189</f>
        <v>0</v>
      </c>
      <c r="AD272" s="268">
        <f>AD189-AC189</f>
        <v>0</v>
      </c>
      <c r="AE272" s="268">
        <f>AE189-AD189</f>
        <v>0</v>
      </c>
      <c r="AF272" s="268">
        <f>AF189-AE189</f>
        <v>0</v>
      </c>
      <c r="AG272" s="268">
        <f>SUM(AC272:AF272)</f>
        <v>0</v>
      </c>
      <c r="AH272" s="268">
        <f>AH189-AG189</f>
        <v>0</v>
      </c>
      <c r="AI272" s="268">
        <f>AI189-AH189</f>
        <v>0</v>
      </c>
      <c r="AJ272" s="268">
        <f>AJ189-AI189</f>
        <v>0</v>
      </c>
      <c r="AK272" s="268">
        <f>AK189-AJ189</f>
        <v>0</v>
      </c>
      <c r="AL272" s="268">
        <f>SUM(AH272:AK272)</f>
        <v>0</v>
      </c>
      <c r="AM272" s="268" t="e">
        <f>AM189-AL189</f>
        <v>#DIV/0!</v>
      </c>
      <c r="AN272" s="268" t="e">
        <f>AN189-AM189</f>
        <v>#DIV/0!</v>
      </c>
      <c r="AO272" s="268" t="e">
        <f>AO189-AN189</f>
        <v>#DIV/0!</v>
      </c>
      <c r="AP272" s="268" t="e">
        <f>AP189-AO189</f>
        <v>#DIV/0!</v>
      </c>
      <c r="AQ272" s="268" t="e">
        <f>SUM(AM272:AP272)</f>
        <v>#DIV/0!</v>
      </c>
      <c r="AR272" s="268" t="e">
        <f>AR189-AQ189</f>
        <v>#DIV/0!</v>
      </c>
      <c r="AS272" s="268" t="e">
        <f>AS189-AR189</f>
        <v>#DIV/0!</v>
      </c>
      <c r="AT272" s="268" t="e">
        <f>AT189-AS189</f>
        <v>#DIV/0!</v>
      </c>
      <c r="AU272" s="268" t="e">
        <f>AU189-AT189</f>
        <v>#DIV/0!</v>
      </c>
      <c r="AV272" s="268" t="e">
        <f>SUM(AR272:AU272)</f>
        <v>#DIV/0!</v>
      </c>
      <c r="AW272" s="268" t="e">
        <f>AW189-AV189</f>
        <v>#DIV/0!</v>
      </c>
      <c r="AX272" s="268" t="e">
        <f>AX189-AW189</f>
        <v>#DIV/0!</v>
      </c>
      <c r="AY272" s="268" t="e">
        <f>AY189-AX189</f>
        <v>#DIV/0!</v>
      </c>
      <c r="AZ272" s="268" t="e">
        <f>AZ189-AY189</f>
        <v>#DIV/0!</v>
      </c>
      <c r="BA272" s="268" t="e">
        <f>SUM(AW272:AZ272)</f>
        <v>#DIV/0!</v>
      </c>
      <c r="BB272" s="268" t="e">
        <f>BB189-BA189</f>
        <v>#DIV/0!</v>
      </c>
      <c r="BC272" s="268" t="e">
        <f>BC189-BB189</f>
        <v>#DIV/0!</v>
      </c>
      <c r="BD272" s="268" t="e">
        <f>BD189-BC189</f>
        <v>#DIV/0!</v>
      </c>
      <c r="BE272" s="268" t="e">
        <f>BE189-BD189</f>
        <v>#DIV/0!</v>
      </c>
      <c r="BF272" s="268" t="e">
        <f>SUM(BB272:BE272)</f>
        <v>#DIV/0!</v>
      </c>
      <c r="BG272" s="268" t="e">
        <f>BG189-BF189</f>
        <v>#DIV/0!</v>
      </c>
      <c r="BH272" s="268" t="e">
        <f>BH189-BG189</f>
        <v>#DIV/0!</v>
      </c>
      <c r="BI272" s="268" t="e">
        <f>BI189-BH189</f>
        <v>#DIV/0!</v>
      </c>
      <c r="BJ272" s="268" t="e">
        <f>BJ189-BI189</f>
        <v>#DIV/0!</v>
      </c>
      <c r="BK272" s="268" t="e">
        <f>SUM(BG272:BJ272)</f>
        <v>#DIV/0!</v>
      </c>
      <c r="BL272" s="268" t="e">
        <f>BL189-BK189</f>
        <v>#DIV/0!</v>
      </c>
      <c r="BM272" s="268" t="e">
        <f>BM189-BL189</f>
        <v>#DIV/0!</v>
      </c>
      <c r="BN272" s="268" t="e">
        <f>BN189-BM189</f>
        <v>#DIV/0!</v>
      </c>
      <c r="BO272" s="268" t="e">
        <f>BO189-BN189</f>
        <v>#DIV/0!</v>
      </c>
      <c r="BP272" s="268" t="e">
        <f>SUM(BL272:BO272)</f>
        <v>#DIV/0!</v>
      </c>
      <c r="BQ272" s="268" t="e">
        <f>BQ189-BP189</f>
        <v>#DIV/0!</v>
      </c>
      <c r="BR272" s="268" t="e">
        <f>BR189-BQ189</f>
        <v>#DIV/0!</v>
      </c>
      <c r="BS272" s="268" t="e">
        <f>BS189-BR189</f>
        <v>#DIV/0!</v>
      </c>
      <c r="BT272" s="268" t="e">
        <f>BT189-BS189</f>
        <v>#DIV/0!</v>
      </c>
      <c r="BU272" s="268" t="e">
        <f>SUM(BQ272:BT272)</f>
        <v>#DIV/0!</v>
      </c>
      <c r="BV272" s="268" t="e">
        <f>BV189-BU189</f>
        <v>#DIV/0!</v>
      </c>
      <c r="BW272" s="268" t="e">
        <f>BW189-BV189</f>
        <v>#DIV/0!</v>
      </c>
      <c r="BX272" s="268" t="e">
        <f>BX189-BW189</f>
        <v>#DIV/0!</v>
      </c>
      <c r="BY272" s="268" t="e">
        <f>BY189-BX189</f>
        <v>#DIV/0!</v>
      </c>
      <c r="BZ272" s="268" t="e">
        <f>SUM(BV272:BY272)</f>
        <v>#DIV/0!</v>
      </c>
      <c r="CA272" s="268" t="e">
        <f>CA189-BZ189</f>
        <v>#DIV/0!</v>
      </c>
      <c r="CB272" s="268" t="e">
        <f>CB189-CA189</f>
        <v>#DIV/0!</v>
      </c>
      <c r="CC272" s="268" t="e">
        <f>CC189-CB189</f>
        <v>#DIV/0!</v>
      </c>
      <c r="CD272" s="268" t="e">
        <f>CD189-CC189</f>
        <v>#DIV/0!</v>
      </c>
      <c r="CE272" s="268" t="e">
        <f>SUM(CA272:CD272)</f>
        <v>#DIV/0!</v>
      </c>
      <c r="CF272" s="268" t="e">
        <f>CF189-CE189</f>
        <v>#DIV/0!</v>
      </c>
      <c r="CG272" s="268" t="e">
        <f>CG189-CF189</f>
        <v>#DIV/0!</v>
      </c>
      <c r="CH272" s="268" t="e">
        <f>CH189-CG189</f>
        <v>#DIV/0!</v>
      </c>
      <c r="CI272" s="268" t="e">
        <f>CI189-CH189</f>
        <v>#DIV/0!</v>
      </c>
      <c r="CJ272" s="268" t="e">
        <f>SUM(CF272:CI272)</f>
        <v>#DIV/0!</v>
      </c>
      <c r="CK272" s="268" t="e">
        <f>CK189-CJ189</f>
        <v>#DIV/0!</v>
      </c>
      <c r="CL272" s="268" t="e">
        <f>CL189-CK189</f>
        <v>#DIV/0!</v>
      </c>
      <c r="CM272" s="268" t="e">
        <f>CM189-CL189</f>
        <v>#DIV/0!</v>
      </c>
      <c r="CN272" s="268" t="e">
        <f>CN189-CM189</f>
        <v>#DIV/0!</v>
      </c>
      <c r="CO272" s="268" t="e">
        <f>SUM(CK272:CN272)</f>
        <v>#DIV/0!</v>
      </c>
      <c r="CP272" s="268" t="e">
        <f>CP189-CO189</f>
        <v>#DIV/0!</v>
      </c>
      <c r="CQ272" s="268" t="e">
        <f>CQ189-CP189</f>
        <v>#DIV/0!</v>
      </c>
      <c r="CR272" s="268" t="e">
        <f>CR189-CQ189</f>
        <v>#DIV/0!</v>
      </c>
      <c r="CS272" s="268" t="e">
        <f>CS189-CR189</f>
        <v>#DIV/0!</v>
      </c>
      <c r="CT272" s="268" t="e">
        <f>SUM(CP272:CS272)</f>
        <v>#DIV/0!</v>
      </c>
      <c r="CU272" s="268" t="e">
        <f>CU189-CT189</f>
        <v>#DIV/0!</v>
      </c>
      <c r="CV272" s="268" t="e">
        <f>CV189-CU189</f>
        <v>#DIV/0!</v>
      </c>
      <c r="CW272" s="268" t="e">
        <f>CW189-CV189</f>
        <v>#DIV/0!</v>
      </c>
      <c r="CX272" s="268" t="e">
        <f>CX189-CW189</f>
        <v>#DIV/0!</v>
      </c>
      <c r="CY272" s="268" t="e">
        <f>SUM(CU272:CX272)</f>
        <v>#DIV/0!</v>
      </c>
    </row>
    <row r="273" hidden="1" outlineLevel="1" ht="12.75" customHeight="1" s="255">
      <c r="C273" s="266" t="inlineStr">
        <is>
          <t>Other current liabilities (non-debt)</t>
        </is>
      </c>
      <c r="D273" s="268" t="n"/>
      <c r="E273" s="268">
        <f>E190-D190</f>
        <v>-485</v>
      </c>
      <c r="F273" s="268">
        <f>F190-E190</f>
        <v>-251</v>
      </c>
      <c r="G273" s="268">
        <f>G190-F190</f>
        <v>3548</v>
      </c>
      <c r="H273" s="268">
        <f>SUM(D273:G273)</f>
        <v>2812</v>
      </c>
      <c r="I273" s="268">
        <f>I190-H190</f>
        <v>-4107</v>
      </c>
      <c r="J273" s="268">
        <f>J190-I190</f>
        <v>496</v>
      </c>
      <c r="K273" s="268">
        <f>K190-J190</f>
        <v>-306</v>
      </c>
      <c r="L273" s="268">
        <f>L190-K190</f>
        <v>668</v>
      </c>
      <c r="M273" s="268">
        <f>SUM(I273:L273)</f>
        <v>-3249</v>
      </c>
      <c r="N273" s="268">
        <f>N190-M190</f>
        <v>1040</v>
      </c>
      <c r="O273" s="268">
        <f>O190-N190</f>
        <v>-112</v>
      </c>
      <c r="P273" s="268">
        <f>P190-O190</f>
        <v>-414</v>
      </c>
      <c r="Q273" s="268">
        <f>Q190-P190</f>
        <v>587</v>
      </c>
      <c r="R273" s="268">
        <f>SUM(N273:Q273)</f>
        <v>1101</v>
      </c>
      <c r="S273" s="268">
        <f>S190-R190</f>
        <v>1162</v>
      </c>
      <c r="T273" s="268">
        <f>T190-S190</f>
        <v>-872</v>
      </c>
      <c r="U273" s="268">
        <f>U190-T190</f>
        <v>-71</v>
      </c>
      <c r="V273" s="268">
        <f>V190-U190</f>
        <v>59</v>
      </c>
      <c r="W273" s="268">
        <f>SUM(S273:V273)</f>
        <v>278</v>
      </c>
      <c r="X273" s="268">
        <f>X190-W190</f>
        <v>395</v>
      </c>
      <c r="Y273" s="268">
        <f>Y190-X190</f>
        <v>-309</v>
      </c>
      <c r="Z273" s="268">
        <f>Z190-Y190</f>
        <v>-25</v>
      </c>
      <c r="AA273" s="268">
        <f>AA190-Z190</f>
        <v>556</v>
      </c>
      <c r="AB273" s="268">
        <f>SUM(X273:AA273)</f>
        <v>617</v>
      </c>
      <c r="AC273" s="268">
        <f>AC190-AB190</f>
        <v>1481</v>
      </c>
      <c r="AD273" s="268">
        <f>AD190-AC190</f>
        <v>-385</v>
      </c>
      <c r="AE273" s="268">
        <f>AE190-AD190</f>
        <v>-920</v>
      </c>
      <c r="AF273" s="268">
        <f>AF190-AE190</f>
        <v>965</v>
      </c>
      <c r="AG273" s="268">
        <f>SUM(AC273:AF273)</f>
        <v>1141</v>
      </c>
      <c r="AH273" s="268">
        <f>AH190-AG190</f>
        <v>1240</v>
      </c>
      <c r="AI273" s="268">
        <f>AI190-AH190</f>
        <v>-52</v>
      </c>
      <c r="AJ273" s="268">
        <f>AJ190-AI190</f>
        <v>0</v>
      </c>
      <c r="AK273" s="268">
        <f>AK190-AJ190</f>
        <v>0</v>
      </c>
      <c r="AL273" s="268">
        <f>SUM(AH273:AK273)</f>
        <v>1188</v>
      </c>
      <c r="AM273" s="268">
        <f>AM190-AL190</f>
        <v>0</v>
      </c>
      <c r="AN273" s="268">
        <f>AN190-AM190</f>
        <v>0</v>
      </c>
      <c r="AO273" s="268">
        <f>AO190-AN190</f>
        <v>0</v>
      </c>
      <c r="AP273" s="268">
        <f>AP190-AO190</f>
        <v>0</v>
      </c>
      <c r="AQ273" s="268">
        <f>SUM(AM273:AP273)</f>
        <v>0</v>
      </c>
      <c r="AR273" s="268">
        <f>AR190-AQ190</f>
        <v>0</v>
      </c>
      <c r="AS273" s="268">
        <f>AS190-AR190</f>
        <v>0</v>
      </c>
      <c r="AT273" s="268">
        <f>AT190-AS190</f>
        <v>0</v>
      </c>
      <c r="AU273" s="268">
        <f>AU190-AT190</f>
        <v>0</v>
      </c>
      <c r="AV273" s="268">
        <f>SUM(AR273:AU273)</f>
        <v>0</v>
      </c>
      <c r="AW273" s="268">
        <f>AW190-AV190</f>
        <v>0</v>
      </c>
      <c r="AX273" s="268">
        <f>AX190-AW190</f>
        <v>0</v>
      </c>
      <c r="AY273" s="268">
        <f>AY190-AX190</f>
        <v>0</v>
      </c>
      <c r="AZ273" s="268">
        <f>AZ190-AY190</f>
        <v>0</v>
      </c>
      <c r="BA273" s="268">
        <f>SUM(AW273:AZ273)</f>
        <v>0</v>
      </c>
      <c r="BB273" s="268">
        <f>BB190-BA190</f>
        <v>0</v>
      </c>
      <c r="BC273" s="268">
        <f>BC190-BB190</f>
        <v>0</v>
      </c>
      <c r="BD273" s="268">
        <f>BD190-BC190</f>
        <v>0</v>
      </c>
      <c r="BE273" s="268">
        <f>BE190-BD190</f>
        <v>0</v>
      </c>
      <c r="BF273" s="268">
        <f>SUM(BB273:BE273)</f>
        <v>0</v>
      </c>
      <c r="BG273" s="268">
        <f>BG190-BF190</f>
        <v>0</v>
      </c>
      <c r="BH273" s="268">
        <f>BH190-BG190</f>
        <v>0</v>
      </c>
      <c r="BI273" s="268">
        <f>BI190-BH190</f>
        <v>0</v>
      </c>
      <c r="BJ273" s="268">
        <f>BJ190-BI190</f>
        <v>0</v>
      </c>
      <c r="BK273" s="268">
        <f>SUM(BG273:BJ273)</f>
        <v>0</v>
      </c>
      <c r="BL273" s="268">
        <f>BL190-BK190</f>
        <v>0</v>
      </c>
      <c r="BM273" s="268">
        <f>BM190-BL190</f>
        <v>0</v>
      </c>
      <c r="BN273" s="268">
        <f>BN190-BM190</f>
        <v>0</v>
      </c>
      <c r="BO273" s="268">
        <f>BO190-BN190</f>
        <v>0</v>
      </c>
      <c r="BP273" s="268">
        <f>SUM(BL273:BO273)</f>
        <v>0</v>
      </c>
      <c r="BQ273" s="268">
        <f>BQ190-BP190</f>
        <v>0</v>
      </c>
      <c r="BR273" s="268">
        <f>BR190-BQ190</f>
        <v>0</v>
      </c>
      <c r="BS273" s="268">
        <f>BS190-BR190</f>
        <v>0</v>
      </c>
      <c r="BT273" s="268">
        <f>BT190-BS190</f>
        <v>0</v>
      </c>
      <c r="BU273" s="268">
        <f>SUM(BQ273:BT273)</f>
        <v>0</v>
      </c>
      <c r="BV273" s="268">
        <f>BV190-BU190</f>
        <v>0</v>
      </c>
      <c r="BW273" s="268">
        <f>BW190-BV190</f>
        <v>0</v>
      </c>
      <c r="BX273" s="268">
        <f>BX190-BW190</f>
        <v>0</v>
      </c>
      <c r="BY273" s="268">
        <f>BY190-BX190</f>
        <v>0</v>
      </c>
      <c r="BZ273" s="268">
        <f>SUM(BV273:BY273)</f>
        <v>0</v>
      </c>
      <c r="CA273" s="268">
        <f>CA190-BZ190</f>
        <v>0</v>
      </c>
      <c r="CB273" s="268">
        <f>CB190-CA190</f>
        <v>0</v>
      </c>
      <c r="CC273" s="268">
        <f>CC190-CB190</f>
        <v>0</v>
      </c>
      <c r="CD273" s="268">
        <f>CD190-CC190</f>
        <v>0</v>
      </c>
      <c r="CE273" s="268">
        <f>SUM(CA273:CD273)</f>
        <v>0</v>
      </c>
      <c r="CF273" s="268">
        <f>CF190-CE190</f>
        <v>0</v>
      </c>
      <c r="CG273" s="268">
        <f>CG190-CF190</f>
        <v>0</v>
      </c>
      <c r="CH273" s="268">
        <f>CH190-CG190</f>
        <v>0</v>
      </c>
      <c r="CI273" s="268">
        <f>CI190-CH190</f>
        <v>0</v>
      </c>
      <c r="CJ273" s="268">
        <f>SUM(CF273:CI273)</f>
        <v>0</v>
      </c>
      <c r="CK273" s="268">
        <f>CK190-CJ190</f>
        <v>0</v>
      </c>
      <c r="CL273" s="268">
        <f>CL190-CK190</f>
        <v>0</v>
      </c>
      <c r="CM273" s="268">
        <f>CM190-CL190</f>
        <v>0</v>
      </c>
      <c r="CN273" s="268">
        <f>CN190-CM190</f>
        <v>0</v>
      </c>
      <c r="CO273" s="268">
        <f>SUM(CK273:CN273)</f>
        <v>0</v>
      </c>
      <c r="CP273" s="268">
        <f>CP190-CO190</f>
        <v>0</v>
      </c>
      <c r="CQ273" s="268">
        <f>CQ190-CP190</f>
        <v>0</v>
      </c>
      <c r="CR273" s="268">
        <f>CR190-CQ190</f>
        <v>0</v>
      </c>
      <c r="CS273" s="268">
        <f>CS190-CR190</f>
        <v>0</v>
      </c>
      <c r="CT273" s="268">
        <f>SUM(CP273:CS273)</f>
        <v>0</v>
      </c>
      <c r="CU273" s="268">
        <f>CU190-CT190</f>
        <v>0</v>
      </c>
      <c r="CV273" s="268">
        <f>CV190-CU190</f>
        <v>0</v>
      </c>
      <c r="CW273" s="268">
        <f>CW190-CV190</f>
        <v>0</v>
      </c>
      <c r="CX273" s="268">
        <f>CX190-CW190</f>
        <v>0</v>
      </c>
      <c r="CY273" s="268">
        <f>SUM(CU273:CX273)</f>
        <v>0</v>
      </c>
    </row>
    <row r="274" hidden="1" outlineLevel="1" ht="12.75" customHeight="1" s="255">
      <c r="C274" s="266" t="inlineStr">
        <is>
          <t>Deferred income taxes</t>
        </is>
      </c>
      <c r="D274" s="268" t="n"/>
      <c r="E274" s="268">
        <f>E224-D224</f>
        <v>0</v>
      </c>
      <c r="F274" s="268">
        <f>F224-E224</f>
        <v>0</v>
      </c>
      <c r="G274" s="268">
        <f>G224-F224</f>
        <v>0</v>
      </c>
      <c r="H274" s="268">
        <f>SUM(D274:G274)</f>
        <v>0</v>
      </c>
      <c r="I274" s="268">
        <f>I224-H224</f>
        <v>0</v>
      </c>
      <c r="J274" s="268">
        <f>J224-I224</f>
        <v>0</v>
      </c>
      <c r="K274" s="268">
        <f>K224-J224</f>
        <v>0</v>
      </c>
      <c r="L274" s="268">
        <f>L224-K224</f>
        <v>0</v>
      </c>
      <c r="M274" s="268">
        <f>SUM(I274:L274)</f>
        <v>0</v>
      </c>
      <c r="N274" s="268">
        <f>N224-M224</f>
        <v>0</v>
      </c>
      <c r="O274" s="268">
        <f>O224-N224</f>
        <v>0</v>
      </c>
      <c r="P274" s="268">
        <f>P224-O224</f>
        <v>0</v>
      </c>
      <c r="Q274" s="268">
        <f>Q224-P224</f>
        <v>0</v>
      </c>
      <c r="R274" s="268">
        <f>SUM(N274:Q274)</f>
        <v>0</v>
      </c>
      <c r="S274" s="268">
        <f>S224-R224</f>
        <v>0</v>
      </c>
      <c r="T274" s="268">
        <f>T224-S224</f>
        <v>0</v>
      </c>
      <c r="U274" s="268">
        <f>U224-T224</f>
        <v>0</v>
      </c>
      <c r="V274" s="268">
        <f>V224-U224</f>
        <v>0</v>
      </c>
      <c r="W274" s="268">
        <f>SUM(S274:V274)</f>
        <v>0</v>
      </c>
      <c r="X274" s="268">
        <f>X224-W224</f>
        <v>0</v>
      </c>
      <c r="Y274" s="268">
        <f>Y224-X224</f>
        <v>0</v>
      </c>
      <c r="Z274" s="268">
        <f>Z224-Y224</f>
        <v>0</v>
      </c>
      <c r="AA274" s="268">
        <f>AA224-Z224</f>
        <v>0</v>
      </c>
      <c r="AB274" s="268">
        <f>SUM(X274:AA274)</f>
        <v>0</v>
      </c>
      <c r="AC274" s="268">
        <f>AC224-AB224</f>
        <v>0</v>
      </c>
      <c r="AD274" s="268">
        <f>AD224-AC224</f>
        <v>0</v>
      </c>
      <c r="AE274" s="268">
        <f>AE224-AD224</f>
        <v>0</v>
      </c>
      <c r="AF274" s="268">
        <f>AF224-AE224</f>
        <v>0</v>
      </c>
      <c r="AG274" s="268">
        <f>SUM(AC274:AF274)</f>
        <v>0</v>
      </c>
      <c r="AH274" s="268">
        <f>AH224-AG224</f>
        <v>0</v>
      </c>
      <c r="AI274" s="268">
        <f>AI224-AH224</f>
        <v>0</v>
      </c>
      <c r="AJ274" s="268">
        <f>AJ224-AI224</f>
        <v>0</v>
      </c>
      <c r="AK274" s="268">
        <f>AK224-AJ224</f>
        <v>0</v>
      </c>
      <c r="AL274" s="268">
        <f>SUM(AH274:AK274)</f>
        <v>0</v>
      </c>
      <c r="AM274" s="268">
        <f>AM224-AL224</f>
        <v>0</v>
      </c>
      <c r="AN274" s="268">
        <f>AN224-AM224</f>
        <v>0</v>
      </c>
      <c r="AO274" s="268">
        <f>AO224-AN224</f>
        <v>0</v>
      </c>
      <c r="AP274" s="268">
        <f>AP224-AO224</f>
        <v>0</v>
      </c>
      <c r="AQ274" s="268">
        <f>SUM(AM274:AP274)</f>
        <v>0</v>
      </c>
      <c r="AR274" s="268">
        <f>AR224-AQ224</f>
        <v>0</v>
      </c>
      <c r="AS274" s="268">
        <f>AS224-AR224</f>
        <v>0</v>
      </c>
      <c r="AT274" s="268">
        <f>AT224-AS224</f>
        <v>0</v>
      </c>
      <c r="AU274" s="268">
        <f>AU224-AT224</f>
        <v>0</v>
      </c>
      <c r="AV274" s="268">
        <f>SUM(AR274:AU274)</f>
        <v>0</v>
      </c>
      <c r="AW274" s="268">
        <f>AW224-AV224</f>
        <v>0</v>
      </c>
      <c r="AX274" s="268">
        <f>AX224-AW224</f>
        <v>0</v>
      </c>
      <c r="AY274" s="268">
        <f>AY224-AX224</f>
        <v>0</v>
      </c>
      <c r="AZ274" s="268">
        <f>AZ224-AY224</f>
        <v>0</v>
      </c>
      <c r="BA274" s="268">
        <f>SUM(AW274:AZ274)</f>
        <v>0</v>
      </c>
      <c r="BB274" s="268">
        <f>BB224-BA224</f>
        <v>0</v>
      </c>
      <c r="BC274" s="268">
        <f>BC224-BB224</f>
        <v>0</v>
      </c>
      <c r="BD274" s="268">
        <f>BD224-BC224</f>
        <v>0</v>
      </c>
      <c r="BE274" s="268">
        <f>BE224-BD224</f>
        <v>0</v>
      </c>
      <c r="BF274" s="268">
        <f>SUM(BB274:BE274)</f>
        <v>0</v>
      </c>
      <c r="BG274" s="268">
        <f>BG224-BF224</f>
        <v>0</v>
      </c>
      <c r="BH274" s="268">
        <f>BH224-BG224</f>
        <v>0</v>
      </c>
      <c r="BI274" s="268">
        <f>BI224-BH224</f>
        <v>0</v>
      </c>
      <c r="BJ274" s="268">
        <f>BJ224-BI224</f>
        <v>0</v>
      </c>
      <c r="BK274" s="268">
        <f>SUM(BG274:BJ274)</f>
        <v>0</v>
      </c>
      <c r="BL274" s="268">
        <f>BL224-BK224</f>
        <v>0</v>
      </c>
      <c r="BM274" s="268">
        <f>BM224-BL224</f>
        <v>0</v>
      </c>
      <c r="BN274" s="268">
        <f>BN224-BM224</f>
        <v>0</v>
      </c>
      <c r="BO274" s="268">
        <f>BO224-BN224</f>
        <v>0</v>
      </c>
      <c r="BP274" s="268">
        <f>SUM(BL274:BO274)</f>
        <v>0</v>
      </c>
      <c r="BQ274" s="268">
        <f>BQ224-BP224</f>
        <v>0</v>
      </c>
      <c r="BR274" s="268">
        <f>BR224-BQ224</f>
        <v>0</v>
      </c>
      <c r="BS274" s="268">
        <f>BS224-BR224</f>
        <v>0</v>
      </c>
      <c r="BT274" s="268">
        <f>BT224-BS224</f>
        <v>0</v>
      </c>
      <c r="BU274" s="268">
        <f>SUM(BQ274:BT274)</f>
        <v>0</v>
      </c>
      <c r="BV274" s="268">
        <f>BV224-BU224</f>
        <v>0</v>
      </c>
      <c r="BW274" s="268">
        <f>BW224-BV224</f>
        <v>0</v>
      </c>
      <c r="BX274" s="268">
        <f>BX224-BW224</f>
        <v>0</v>
      </c>
      <c r="BY274" s="268">
        <f>BY224-BX224</f>
        <v>0</v>
      </c>
      <c r="BZ274" s="268">
        <f>SUM(BV274:BY274)</f>
        <v>0</v>
      </c>
      <c r="CA274" s="268">
        <f>CA224-BZ224</f>
        <v>0</v>
      </c>
      <c r="CB274" s="268">
        <f>CB224-CA224</f>
        <v>0</v>
      </c>
      <c r="CC274" s="268">
        <f>CC224-CB224</f>
        <v>0</v>
      </c>
      <c r="CD274" s="268">
        <f>CD224-CC224</f>
        <v>0</v>
      </c>
      <c r="CE274" s="268">
        <f>SUM(CA274:CD274)</f>
        <v>0</v>
      </c>
      <c r="CF274" s="268">
        <f>CF224-CE224</f>
        <v>0</v>
      </c>
      <c r="CG274" s="268">
        <f>CG224-CF224</f>
        <v>0</v>
      </c>
      <c r="CH274" s="268">
        <f>CH224-CG224</f>
        <v>0</v>
      </c>
      <c r="CI274" s="268">
        <f>CI224-CH224</f>
        <v>0</v>
      </c>
      <c r="CJ274" s="268">
        <f>SUM(CF274:CI274)</f>
        <v>0</v>
      </c>
      <c r="CK274" s="268">
        <f>CK224-CJ224</f>
        <v>0</v>
      </c>
      <c r="CL274" s="268">
        <f>CL224-CK224</f>
        <v>0</v>
      </c>
      <c r="CM274" s="268">
        <f>CM224-CL224</f>
        <v>0</v>
      </c>
      <c r="CN274" s="268">
        <f>CN224-CM224</f>
        <v>0</v>
      </c>
      <c r="CO274" s="268">
        <f>SUM(CK274:CN274)</f>
        <v>0</v>
      </c>
      <c r="CP274" s="268">
        <f>CP224-CO224</f>
        <v>0</v>
      </c>
      <c r="CQ274" s="268">
        <f>CQ224-CP224</f>
        <v>0</v>
      </c>
      <c r="CR274" s="268">
        <f>CR224-CQ224</f>
        <v>0</v>
      </c>
      <c r="CS274" s="268">
        <f>CS224-CR224</f>
        <v>0</v>
      </c>
      <c r="CT274" s="268">
        <f>SUM(CP274:CS274)</f>
        <v>0</v>
      </c>
      <c r="CU274" s="268">
        <f>CU224-CT224</f>
        <v>0</v>
      </c>
      <c r="CV274" s="268">
        <f>CV224-CU224</f>
        <v>0</v>
      </c>
      <c r="CW274" s="268">
        <f>CW224-CV224</f>
        <v>0</v>
      </c>
      <c r="CX274" s="268">
        <f>CX224-CW224</f>
        <v>0</v>
      </c>
      <c r="CY274" s="268">
        <f>SUM(CU274:CX274)</f>
        <v>0</v>
      </c>
    </row>
    <row r="275" ht="12.75" customHeight="1" s="255">
      <c r="C275" s="266" t="inlineStr">
        <is>
          <t>Equity income in affiliates</t>
        </is>
      </c>
      <c r="D275" s="268" t="n"/>
      <c r="E275" s="268">
        <f>(E146-D146)*-1</f>
        <v>0</v>
      </c>
      <c r="F275" s="268">
        <f>(F146-E146)*-1</f>
        <v>0</v>
      </c>
      <c r="G275" s="268">
        <f>(G146-F146)*-1</f>
        <v>0</v>
      </c>
      <c r="H275" s="268">
        <f>SUM(D275:G275)</f>
        <v>0</v>
      </c>
      <c r="I275" s="268">
        <f>(I146-H146)*-1</f>
        <v>0</v>
      </c>
      <c r="J275" s="268">
        <f>(J146-I146)*-1</f>
        <v>0</v>
      </c>
      <c r="K275" s="268">
        <f>(K146-J146)*-1</f>
        <v>0</v>
      </c>
      <c r="L275" s="268">
        <f>(L146-K146)*-1</f>
        <v>0</v>
      </c>
      <c r="M275" s="268">
        <f>SUM(I275:L275)</f>
        <v>0</v>
      </c>
      <c r="N275" s="268">
        <f>(N146-M146)*-1</f>
        <v>0</v>
      </c>
      <c r="O275" s="268">
        <f>(O146-N146)*-1</f>
        <v>0</v>
      </c>
      <c r="P275" s="268">
        <f>(P146-O146)*-1</f>
        <v>0</v>
      </c>
      <c r="Q275" s="268">
        <f>(Q146-P146)*-1</f>
        <v>0</v>
      </c>
      <c r="R275" s="268">
        <f>SUM(N275:Q275)</f>
        <v>0</v>
      </c>
      <c r="S275" s="268">
        <f>(S146-R146)*-1</f>
        <v>0</v>
      </c>
      <c r="T275" s="268">
        <f>(T146-S146)*-1</f>
        <v>0</v>
      </c>
      <c r="U275" s="268">
        <f>(U146-T146)*-1</f>
        <v>0</v>
      </c>
      <c r="V275" s="268">
        <f>(V146-U146)*-1</f>
        <v>0</v>
      </c>
      <c r="W275" s="268">
        <f>SUM(S275:V275)</f>
        <v>0</v>
      </c>
      <c r="X275" s="268">
        <f>(X146-W146)*-1</f>
        <v>0</v>
      </c>
      <c r="Y275" s="268">
        <f>(Y146-X146)*-1</f>
        <v>0</v>
      </c>
      <c r="Z275" s="268">
        <f>(Z146-Y146)*-1</f>
        <v>0</v>
      </c>
      <c r="AA275" s="268">
        <f>(AA146-Z146)*-1</f>
        <v>0</v>
      </c>
      <c r="AB275" s="268">
        <f>SUM(X275:AA275)</f>
        <v>0</v>
      </c>
      <c r="AC275" s="268">
        <f>(AC146-AB146)*-1</f>
        <v>0</v>
      </c>
      <c r="AD275" s="268">
        <f>(AD146-AC146)*-1</f>
        <v>0</v>
      </c>
      <c r="AE275" s="268">
        <f>(AE146-AD146)*-1</f>
        <v>0</v>
      </c>
      <c r="AF275" s="268">
        <f>(AF146-AE146)*-1</f>
        <v>0</v>
      </c>
      <c r="AG275" s="268">
        <f>SUM(AC275:AF275)</f>
        <v>0</v>
      </c>
      <c r="AH275" s="268">
        <f>(AH146-AG146)*-1</f>
        <v>0</v>
      </c>
      <c r="AI275" s="268">
        <f>(AI146-AH146)*-1</f>
        <v>0</v>
      </c>
      <c r="AJ275" s="268">
        <f>(AJ146-AI146)*-1</f>
        <v>0</v>
      </c>
      <c r="AK275" s="268">
        <f>(AK146-AJ146)*-1</f>
        <v>0</v>
      </c>
      <c r="AL275" s="268">
        <f>SUM(AH275:AK275)</f>
        <v>0</v>
      </c>
      <c r="AM275" s="268">
        <f>(AM146-AL146)*-1</f>
        <v>0</v>
      </c>
      <c r="AN275" s="268">
        <f>(AN146-AM146)*-1</f>
        <v>0</v>
      </c>
      <c r="AO275" s="268">
        <f>(AO146-AN146)*-1</f>
        <v>0</v>
      </c>
      <c r="AP275" s="268">
        <f>(AP146-AO146)*-1</f>
        <v>0</v>
      </c>
      <c r="AQ275" s="268">
        <f>SUM(AM275:AP275)</f>
        <v>0</v>
      </c>
      <c r="AR275" s="268">
        <f>(AR146-AQ146)*-1</f>
        <v>0</v>
      </c>
      <c r="AS275" s="268">
        <f>(AS146-AR146)*-1</f>
        <v>0</v>
      </c>
      <c r="AT275" s="268">
        <f>(AT146-AS146)*-1</f>
        <v>0</v>
      </c>
      <c r="AU275" s="268">
        <f>(AU146-AT146)*-1</f>
        <v>0</v>
      </c>
      <c r="AV275" s="268">
        <f>SUM(AR275:AU275)</f>
        <v>0</v>
      </c>
      <c r="AW275" s="268">
        <f>(AW146-AV146)*-1</f>
        <v>0</v>
      </c>
      <c r="AX275" s="268">
        <f>(AX146-AW146)*-1</f>
        <v>0</v>
      </c>
      <c r="AY275" s="268">
        <f>(AY146-AX146)*-1</f>
        <v>0</v>
      </c>
      <c r="AZ275" s="268">
        <f>(AZ146-AY146)*-1</f>
        <v>0</v>
      </c>
      <c r="BA275" s="268">
        <f>SUM(AW275:AZ275)</f>
        <v>0</v>
      </c>
      <c r="BB275" s="268">
        <f>(BB146-BA146)*-1</f>
        <v>0</v>
      </c>
      <c r="BC275" s="268">
        <f>(BC146-BB146)*-1</f>
        <v>0</v>
      </c>
      <c r="BD275" s="268">
        <f>(BD146-BC146)*-1</f>
        <v>0</v>
      </c>
      <c r="BE275" s="268">
        <f>(BE146-BD146)*-1</f>
        <v>0</v>
      </c>
      <c r="BF275" s="268">
        <f>SUM(BB275:BE275)</f>
        <v>0</v>
      </c>
      <c r="BG275" s="268">
        <f>(BG146-BF146)*-1</f>
        <v>0</v>
      </c>
      <c r="BH275" s="268">
        <f>(BH146-BG146)*-1</f>
        <v>0</v>
      </c>
      <c r="BI275" s="268">
        <f>(BI146-BH146)*-1</f>
        <v>0</v>
      </c>
      <c r="BJ275" s="268">
        <f>(BJ146-BI146)*-1</f>
        <v>0</v>
      </c>
      <c r="BK275" s="268">
        <f>SUM(BG275:BJ275)</f>
        <v>0</v>
      </c>
      <c r="BL275" s="268">
        <f>(BL146-BK146)*-1</f>
        <v>0</v>
      </c>
      <c r="BM275" s="268">
        <f>(BM146-BL146)*-1</f>
        <v>0</v>
      </c>
      <c r="BN275" s="268">
        <f>(BN146-BM146)*-1</f>
        <v>0</v>
      </c>
      <c r="BO275" s="268">
        <f>(BO146-BN146)*-1</f>
        <v>0</v>
      </c>
      <c r="BP275" s="268">
        <f>SUM(BL275:BO275)</f>
        <v>0</v>
      </c>
      <c r="BQ275" s="268">
        <f>(BQ146-BP146)*-1</f>
        <v>0</v>
      </c>
      <c r="BR275" s="268">
        <f>(BR146-BQ146)*-1</f>
        <v>0</v>
      </c>
      <c r="BS275" s="268">
        <f>(BS146-BR146)*-1</f>
        <v>0</v>
      </c>
      <c r="BT275" s="268">
        <f>(BT146-BS146)*-1</f>
        <v>0</v>
      </c>
      <c r="BU275" s="268">
        <f>SUM(BQ275:BT275)</f>
        <v>0</v>
      </c>
      <c r="BV275" s="268">
        <f>(BV146-BU146)*-1</f>
        <v>0</v>
      </c>
      <c r="BW275" s="268">
        <f>(BW146-BV146)*-1</f>
        <v>0</v>
      </c>
      <c r="BX275" s="268">
        <f>(BX146-BW146)*-1</f>
        <v>0</v>
      </c>
      <c r="BY275" s="268">
        <f>(BY146-BX146)*-1</f>
        <v>0</v>
      </c>
      <c r="BZ275" s="268">
        <f>SUM(BV275:BY275)</f>
        <v>0</v>
      </c>
      <c r="CA275" s="268">
        <f>(CA146-BZ146)*-1</f>
        <v>0</v>
      </c>
      <c r="CB275" s="268">
        <f>(CB146-CA146)*-1</f>
        <v>0</v>
      </c>
      <c r="CC275" s="268">
        <f>(CC146-CB146)*-1</f>
        <v>0</v>
      </c>
      <c r="CD275" s="268">
        <f>(CD146-CC146)*-1</f>
        <v>0</v>
      </c>
      <c r="CE275" s="268">
        <f>SUM(CA275:CD275)</f>
        <v>0</v>
      </c>
      <c r="CF275" s="268">
        <f>(CF146-CE146)*-1</f>
        <v>0</v>
      </c>
      <c r="CG275" s="268">
        <f>(CG146-CF146)*-1</f>
        <v>0</v>
      </c>
      <c r="CH275" s="268">
        <f>(CH146-CG146)*-1</f>
        <v>0</v>
      </c>
      <c r="CI275" s="268">
        <f>(CI146-CH146)*-1</f>
        <v>0</v>
      </c>
      <c r="CJ275" s="268">
        <f>SUM(CF275:CI275)</f>
        <v>0</v>
      </c>
      <c r="CK275" s="268">
        <f>(CK146-CJ146)*-1</f>
        <v>0</v>
      </c>
      <c r="CL275" s="268">
        <f>(CL146-CK146)*-1</f>
        <v>0</v>
      </c>
      <c r="CM275" s="268">
        <f>(CM146-CL146)*-1</f>
        <v>0</v>
      </c>
      <c r="CN275" s="268">
        <f>(CN146-CM146)*-1</f>
        <v>0</v>
      </c>
      <c r="CO275" s="268">
        <f>SUM(CK275:CN275)</f>
        <v>0</v>
      </c>
      <c r="CP275" s="268">
        <f>(CP146-CO146)*-1</f>
        <v>0</v>
      </c>
      <c r="CQ275" s="268">
        <f>(CQ146-CP146)*-1</f>
        <v>0</v>
      </c>
      <c r="CR275" s="268">
        <f>(CR146-CQ146)*-1</f>
        <v>0</v>
      </c>
      <c r="CS275" s="268">
        <f>(CS146-CR146)*-1</f>
        <v>0</v>
      </c>
      <c r="CT275" s="268">
        <f>SUM(CP275:CS275)</f>
        <v>0</v>
      </c>
      <c r="CU275" s="268">
        <f>(CU146-CT146)*-1</f>
        <v>0</v>
      </c>
      <c r="CV275" s="268">
        <f>(CV146-CU146)*-1</f>
        <v>0</v>
      </c>
      <c r="CW275" s="268">
        <f>(CW146-CV146)*-1</f>
        <v>0</v>
      </c>
      <c r="CX275" s="268">
        <f>(CX146-CW146)*-1</f>
        <v>0</v>
      </c>
      <c r="CY275" s="268">
        <f>SUM(CU275:CX275)</f>
        <v>0</v>
      </c>
    </row>
    <row r="276" ht="12.75" customHeight="1" s="255">
      <c r="C276" s="266" t="inlineStr">
        <is>
          <t>Dividends received from affiliates</t>
        </is>
      </c>
      <c r="D276" s="268" t="n"/>
      <c r="E276" s="268">
        <f>-E149</f>
        <v>0</v>
      </c>
      <c r="F276" s="268">
        <f>-F149</f>
        <v>0</v>
      </c>
      <c r="G276" s="268">
        <f>-G149</f>
        <v>0</v>
      </c>
      <c r="H276" s="268">
        <f>SUM(D276:G276)</f>
        <v>0</v>
      </c>
      <c r="I276" s="268">
        <f>-I149</f>
        <v>0</v>
      </c>
      <c r="J276" s="268">
        <f>-J149</f>
        <v>0</v>
      </c>
      <c r="K276" s="268">
        <f>-K149</f>
        <v>0</v>
      </c>
      <c r="L276" s="268">
        <f>-L149</f>
        <v>0</v>
      </c>
      <c r="M276" s="268">
        <f>SUM(I276:L276)</f>
        <v>0</v>
      </c>
      <c r="N276" s="268">
        <f>-N149</f>
        <v>0</v>
      </c>
      <c r="O276" s="268">
        <f>-O149</f>
        <v>0</v>
      </c>
      <c r="P276" s="268">
        <f>-P149</f>
        <v>0</v>
      </c>
      <c r="Q276" s="268">
        <f>-Q149</f>
        <v>0</v>
      </c>
      <c r="R276" s="268">
        <f>SUM(N276:Q276)</f>
        <v>0</v>
      </c>
      <c r="S276" s="268">
        <f>-S149</f>
        <v>0</v>
      </c>
      <c r="T276" s="268">
        <f>-T149</f>
        <v>0</v>
      </c>
      <c r="U276" s="268">
        <f>-U149</f>
        <v>0</v>
      </c>
      <c r="V276" s="268">
        <f>-V149</f>
        <v>0</v>
      </c>
      <c r="W276" s="268">
        <f>SUM(S276:V276)</f>
        <v>0</v>
      </c>
      <c r="X276" s="268">
        <f>-X149</f>
        <v>0</v>
      </c>
      <c r="Y276" s="268">
        <f>-Y149</f>
        <v>0</v>
      </c>
      <c r="Z276" s="268">
        <f>-Z149</f>
        <v>0</v>
      </c>
      <c r="AA276" s="268">
        <f>-AA149</f>
        <v>0</v>
      </c>
      <c r="AB276" s="268">
        <f>SUM(X276:AA276)</f>
        <v>0</v>
      </c>
      <c r="AC276" s="268">
        <f>-AC149</f>
        <v>0</v>
      </c>
      <c r="AD276" s="268">
        <f>-AD149</f>
        <v>0</v>
      </c>
      <c r="AE276" s="268">
        <f>-AE149</f>
        <v>0</v>
      </c>
      <c r="AF276" s="268">
        <f>-AF149</f>
        <v>0</v>
      </c>
      <c r="AG276" s="268">
        <f>SUM(AC276:AF276)</f>
        <v>0</v>
      </c>
      <c r="AH276" s="268">
        <f>-AH149</f>
        <v>0</v>
      </c>
      <c r="AI276" s="268">
        <f>-AI149</f>
        <v>0</v>
      </c>
      <c r="AJ276" s="268">
        <f>-AJ149</f>
        <v>0</v>
      </c>
      <c r="AK276" s="268">
        <f>-AK149</f>
        <v>0</v>
      </c>
      <c r="AL276" s="268">
        <f>SUM(AH276:AK276)</f>
        <v>0</v>
      </c>
      <c r="AM276" s="268">
        <f>-AM149</f>
        <v>0</v>
      </c>
      <c r="AN276" s="268">
        <f>-AN149</f>
        <v>0</v>
      </c>
      <c r="AO276" s="268">
        <f>-AO149</f>
        <v>0</v>
      </c>
      <c r="AP276" s="268">
        <f>-AP149</f>
        <v>0</v>
      </c>
      <c r="AQ276" s="268">
        <f>SUM(AM276:AP276)</f>
        <v>0</v>
      </c>
      <c r="AR276" s="268">
        <f>-AR149</f>
        <v>0</v>
      </c>
      <c r="AS276" s="268">
        <f>-AS149</f>
        <v>0</v>
      </c>
      <c r="AT276" s="268">
        <f>-AT149</f>
        <v>0</v>
      </c>
      <c r="AU276" s="268">
        <f>-AU149</f>
        <v>0</v>
      </c>
      <c r="AV276" s="268">
        <f>SUM(AR276:AU276)</f>
        <v>0</v>
      </c>
      <c r="AW276" s="268">
        <f>-AW149</f>
        <v>0</v>
      </c>
      <c r="AX276" s="268">
        <f>-AX149</f>
        <v>0</v>
      </c>
      <c r="AY276" s="268">
        <f>-AY149</f>
        <v>0</v>
      </c>
      <c r="AZ276" s="268">
        <f>-AZ149</f>
        <v>0</v>
      </c>
      <c r="BA276" s="268">
        <f>SUM(AW276:AZ276)</f>
        <v>0</v>
      </c>
      <c r="BB276" s="268">
        <f>-BB149</f>
        <v>0</v>
      </c>
      <c r="BC276" s="268">
        <f>-BC149</f>
        <v>0</v>
      </c>
      <c r="BD276" s="268">
        <f>-BD149</f>
        <v>0</v>
      </c>
      <c r="BE276" s="268">
        <f>-BE149</f>
        <v>0</v>
      </c>
      <c r="BF276" s="268">
        <f>SUM(BB276:BE276)</f>
        <v>0</v>
      </c>
      <c r="BG276" s="268">
        <f>-BG149</f>
        <v>0</v>
      </c>
      <c r="BH276" s="268">
        <f>-BH149</f>
        <v>0</v>
      </c>
      <c r="BI276" s="268">
        <f>-BI149</f>
        <v>0</v>
      </c>
      <c r="BJ276" s="268">
        <f>-BJ149</f>
        <v>0</v>
      </c>
      <c r="BK276" s="268">
        <f>SUM(BG276:BJ276)</f>
        <v>0</v>
      </c>
      <c r="BL276" s="268">
        <f>-BL149</f>
        <v>0</v>
      </c>
      <c r="BM276" s="268">
        <f>-BM149</f>
        <v>0</v>
      </c>
      <c r="BN276" s="268">
        <f>-BN149</f>
        <v>0</v>
      </c>
      <c r="BO276" s="268">
        <f>-BO149</f>
        <v>0</v>
      </c>
      <c r="BP276" s="268">
        <f>SUM(BL276:BO276)</f>
        <v>0</v>
      </c>
      <c r="BQ276" s="268">
        <f>-BQ149</f>
        <v>0</v>
      </c>
      <c r="BR276" s="268">
        <f>-BR149</f>
        <v>0</v>
      </c>
      <c r="BS276" s="268">
        <f>-BS149</f>
        <v>0</v>
      </c>
      <c r="BT276" s="268">
        <f>-BT149</f>
        <v>0</v>
      </c>
      <c r="BU276" s="268">
        <f>SUM(BQ276:BT276)</f>
        <v>0</v>
      </c>
      <c r="BV276" s="268">
        <f>-BV149</f>
        <v>0</v>
      </c>
      <c r="BW276" s="268">
        <f>-BW149</f>
        <v>0</v>
      </c>
      <c r="BX276" s="268">
        <f>-BX149</f>
        <v>0</v>
      </c>
      <c r="BY276" s="268">
        <f>-BY149</f>
        <v>0</v>
      </c>
      <c r="BZ276" s="268">
        <f>SUM(BV276:BY276)</f>
        <v>0</v>
      </c>
      <c r="CA276" s="268">
        <f>-CA149</f>
        <v>0</v>
      </c>
      <c r="CB276" s="268">
        <f>-CB149</f>
        <v>0</v>
      </c>
      <c r="CC276" s="268">
        <f>-CC149</f>
        <v>0</v>
      </c>
      <c r="CD276" s="268">
        <f>-CD149</f>
        <v>0</v>
      </c>
      <c r="CE276" s="268">
        <f>SUM(CA276:CD276)</f>
        <v>0</v>
      </c>
      <c r="CF276" s="268">
        <f>-CF149</f>
        <v>0</v>
      </c>
      <c r="CG276" s="268">
        <f>-CG149</f>
        <v>0</v>
      </c>
      <c r="CH276" s="268">
        <f>-CH149</f>
        <v>0</v>
      </c>
      <c r="CI276" s="268">
        <f>-CI149</f>
        <v>0</v>
      </c>
      <c r="CJ276" s="268">
        <f>SUM(CF276:CI276)</f>
        <v>0</v>
      </c>
      <c r="CK276" s="268">
        <f>-CK149</f>
        <v>0</v>
      </c>
      <c r="CL276" s="268">
        <f>-CL149</f>
        <v>0</v>
      </c>
      <c r="CM276" s="268">
        <f>-CM149</f>
        <v>0</v>
      </c>
      <c r="CN276" s="268">
        <f>-CN149</f>
        <v>0</v>
      </c>
      <c r="CO276" s="268">
        <f>SUM(CK276:CN276)</f>
        <v>0</v>
      </c>
      <c r="CP276" s="268">
        <f>-CP149</f>
        <v>0</v>
      </c>
      <c r="CQ276" s="268">
        <f>-CQ149</f>
        <v>0</v>
      </c>
      <c r="CR276" s="268">
        <f>-CR149</f>
        <v>0</v>
      </c>
      <c r="CS276" s="268">
        <f>-CS149</f>
        <v>0</v>
      </c>
      <c r="CT276" s="268">
        <f>SUM(CP276:CS276)</f>
        <v>0</v>
      </c>
      <c r="CU276" s="268">
        <f>-CU149</f>
        <v>0</v>
      </c>
      <c r="CV276" s="268">
        <f>-CV149</f>
        <v>0</v>
      </c>
      <c r="CW276" s="268">
        <f>-CW149</f>
        <v>0</v>
      </c>
      <c r="CX276" s="268">
        <f>-CX149</f>
        <v>0</v>
      </c>
      <c r="CY276" s="268">
        <f>SUM(CU276:CX276)</f>
        <v>0</v>
      </c>
    </row>
    <row r="277" ht="12.75" customHeight="1" s="255">
      <c r="C277" s="328" t="inlineStr">
        <is>
          <t>Minority interest expense</t>
        </is>
      </c>
      <c r="D277" s="268" t="n"/>
      <c r="E277" s="268">
        <f>-E121</f>
        <v>14</v>
      </c>
      <c r="F277" s="268">
        <f>-F121</f>
        <v>15</v>
      </c>
      <c r="G277" s="268">
        <f>-G121</f>
        <v>15</v>
      </c>
      <c r="H277" s="268">
        <f>SUM(D277:G277)</f>
        <v>44</v>
      </c>
      <c r="I277" s="268">
        <f>-I121</f>
        <v>20</v>
      </c>
      <c r="J277" s="268">
        <f>-J121</f>
        <v>13</v>
      </c>
      <c r="K277" s="268">
        <f>-K121</f>
        <v>24</v>
      </c>
      <c r="L277" s="268">
        <f>-L121</f>
        <v>21</v>
      </c>
      <c r="M277" s="268">
        <f>SUM(I277:L277)</f>
        <v>78</v>
      </c>
      <c r="N277" s="268">
        <f>-N121</f>
        <v>21</v>
      </c>
      <c r="O277" s="268">
        <f>-O121</f>
        <v>19</v>
      </c>
      <c r="P277" s="268">
        <f>-P121</f>
        <v>10</v>
      </c>
      <c r="Q277" s="268">
        <f>-Q121</f>
        <v>0</v>
      </c>
      <c r="R277" s="268">
        <f>SUM(N277:Q277)</f>
        <v>50</v>
      </c>
      <c r="S277" s="268">
        <f>-S121</f>
        <v>0</v>
      </c>
      <c r="T277" s="268">
        <f>-T121</f>
        <v>0</v>
      </c>
      <c r="U277" s="268">
        <f>-U121</f>
        <v>0</v>
      </c>
      <c r="V277" s="268">
        <f>-V121</f>
        <v>0</v>
      </c>
      <c r="W277" s="268">
        <f>SUM(S277:V277)</f>
        <v>0</v>
      </c>
      <c r="X277" s="268">
        <f>-X121</f>
        <v>0</v>
      </c>
      <c r="Y277" s="268">
        <f>-Y121</f>
        <v>0</v>
      </c>
      <c r="Z277" s="268">
        <f>-Z121</f>
        <v>0</v>
      </c>
      <c r="AA277" s="268">
        <f>-AA121</f>
        <v>0</v>
      </c>
      <c r="AB277" s="268">
        <f>SUM(X277:AA277)</f>
        <v>0</v>
      </c>
      <c r="AC277" s="268">
        <f>-AC121</f>
        <v>0</v>
      </c>
      <c r="AD277" s="268">
        <f>-AD121</f>
        <v>0</v>
      </c>
      <c r="AE277" s="268">
        <f>-AE121</f>
        <v>0</v>
      </c>
      <c r="AF277" s="268">
        <f>-AF121</f>
        <v>0</v>
      </c>
      <c r="AG277" s="268">
        <f>SUM(AC277:AF277)</f>
        <v>0</v>
      </c>
      <c r="AH277" s="268">
        <f>-AH121</f>
        <v>0</v>
      </c>
      <c r="AI277" s="268">
        <f>-AI121</f>
        <v>0</v>
      </c>
      <c r="AJ277" s="268">
        <f>-AJ121</f>
        <v>0</v>
      </c>
      <c r="AK277" s="268">
        <f>-AK121</f>
        <v>0</v>
      </c>
      <c r="AL277" s="268">
        <f>SUM(AH277:AK277)</f>
        <v>0</v>
      </c>
      <c r="AM277" s="268">
        <f>-AM121</f>
        <v>0</v>
      </c>
      <c r="AN277" s="268">
        <f>-AN121</f>
        <v>0</v>
      </c>
      <c r="AO277" s="268">
        <f>-AO121</f>
        <v>0</v>
      </c>
      <c r="AP277" s="268">
        <f>-AP121</f>
        <v>0</v>
      </c>
      <c r="AQ277" s="268">
        <f>SUM(AM277:AP277)</f>
        <v>0</v>
      </c>
      <c r="AR277" s="268">
        <f>-AR121</f>
        <v>0</v>
      </c>
      <c r="AS277" s="268">
        <f>-AS121</f>
        <v>0</v>
      </c>
      <c r="AT277" s="268">
        <f>-AT121</f>
        <v>0</v>
      </c>
      <c r="AU277" s="268">
        <f>-AU121</f>
        <v>0</v>
      </c>
      <c r="AV277" s="268">
        <f>SUM(AR277:AU277)</f>
        <v>0</v>
      </c>
      <c r="AW277" s="268">
        <f>-AW121</f>
        <v>0</v>
      </c>
      <c r="AX277" s="268">
        <f>-AX121</f>
        <v>0</v>
      </c>
      <c r="AY277" s="268">
        <f>-AY121</f>
        <v>0</v>
      </c>
      <c r="AZ277" s="268">
        <f>-AZ121</f>
        <v>0</v>
      </c>
      <c r="BA277" s="268">
        <f>SUM(AW277:AZ277)</f>
        <v>0</v>
      </c>
      <c r="BB277" s="268">
        <f>-BB121</f>
        <v>0</v>
      </c>
      <c r="BC277" s="268">
        <f>-BC121</f>
        <v>0</v>
      </c>
      <c r="BD277" s="268">
        <f>-BD121</f>
        <v>0</v>
      </c>
      <c r="BE277" s="268">
        <f>-BE121</f>
        <v>0</v>
      </c>
      <c r="BF277" s="268">
        <f>SUM(BB277:BE277)</f>
        <v>0</v>
      </c>
      <c r="BG277" s="268">
        <f>-BG121</f>
        <v>0</v>
      </c>
      <c r="BH277" s="268">
        <f>-BH121</f>
        <v>0</v>
      </c>
      <c r="BI277" s="268">
        <f>-BI121</f>
        <v>0</v>
      </c>
      <c r="BJ277" s="268">
        <f>-BJ121</f>
        <v>0</v>
      </c>
      <c r="BK277" s="268">
        <f>SUM(BG277:BJ277)</f>
        <v>0</v>
      </c>
      <c r="BL277" s="268">
        <f>-BL121</f>
        <v>0</v>
      </c>
      <c r="BM277" s="268">
        <f>-BM121</f>
        <v>0</v>
      </c>
      <c r="BN277" s="268">
        <f>-BN121</f>
        <v>0</v>
      </c>
      <c r="BO277" s="268">
        <f>-BO121</f>
        <v>0</v>
      </c>
      <c r="BP277" s="268">
        <f>SUM(BL277:BO277)</f>
        <v>0</v>
      </c>
      <c r="BQ277" s="268">
        <f>-BQ121</f>
        <v>0</v>
      </c>
      <c r="BR277" s="268">
        <f>-BR121</f>
        <v>0</v>
      </c>
      <c r="BS277" s="268">
        <f>-BS121</f>
        <v>0</v>
      </c>
      <c r="BT277" s="268">
        <f>-BT121</f>
        <v>0</v>
      </c>
      <c r="BU277" s="268">
        <f>SUM(BQ277:BT277)</f>
        <v>0</v>
      </c>
      <c r="BV277" s="268">
        <f>-BV121</f>
        <v>0</v>
      </c>
      <c r="BW277" s="268">
        <f>-BW121</f>
        <v>0</v>
      </c>
      <c r="BX277" s="268">
        <f>-BX121</f>
        <v>0</v>
      </c>
      <c r="BY277" s="268">
        <f>-BY121</f>
        <v>0</v>
      </c>
      <c r="BZ277" s="268">
        <f>SUM(BV277:BY277)</f>
        <v>0</v>
      </c>
      <c r="CA277" s="268">
        <f>-CA121</f>
        <v>0</v>
      </c>
      <c r="CB277" s="268">
        <f>-CB121</f>
        <v>0</v>
      </c>
      <c r="CC277" s="268">
        <f>-CC121</f>
        <v>0</v>
      </c>
      <c r="CD277" s="268">
        <f>-CD121</f>
        <v>0</v>
      </c>
      <c r="CE277" s="268">
        <f>SUM(CA277:CD277)</f>
        <v>0</v>
      </c>
      <c r="CF277" s="268">
        <f>-CF121</f>
        <v>0</v>
      </c>
      <c r="CG277" s="268">
        <f>-CG121</f>
        <v>0</v>
      </c>
      <c r="CH277" s="268">
        <f>-CH121</f>
        <v>0</v>
      </c>
      <c r="CI277" s="268">
        <f>-CI121</f>
        <v>0</v>
      </c>
      <c r="CJ277" s="268">
        <f>SUM(CF277:CI277)</f>
        <v>0</v>
      </c>
      <c r="CK277" s="268">
        <f>-CK121</f>
        <v>0</v>
      </c>
      <c r="CL277" s="268">
        <f>-CL121</f>
        <v>0</v>
      </c>
      <c r="CM277" s="268">
        <f>-CM121</f>
        <v>0</v>
      </c>
      <c r="CN277" s="268">
        <f>-CN121</f>
        <v>0</v>
      </c>
      <c r="CO277" s="268">
        <f>SUM(CK277:CN277)</f>
        <v>0</v>
      </c>
      <c r="CP277" s="268">
        <f>-CP121</f>
        <v>0</v>
      </c>
      <c r="CQ277" s="268">
        <f>-CQ121</f>
        <v>0</v>
      </c>
      <c r="CR277" s="268">
        <f>-CR121</f>
        <v>0</v>
      </c>
      <c r="CS277" s="268">
        <f>-CS121</f>
        <v>0</v>
      </c>
      <c r="CT277" s="268">
        <f>SUM(CP277:CS277)</f>
        <v>0</v>
      </c>
      <c r="CU277" s="268">
        <f>-CU121</f>
        <v>0</v>
      </c>
      <c r="CV277" s="268">
        <f>-CV121</f>
        <v>0</v>
      </c>
      <c r="CW277" s="268">
        <f>-CW121</f>
        <v>0</v>
      </c>
      <c r="CX277" s="268">
        <f>-CX121</f>
        <v>0</v>
      </c>
      <c r="CY277" s="268">
        <f>SUM(CU277:CX277)</f>
        <v>0</v>
      </c>
    </row>
    <row r="278" ht="12.75" customHeight="1" s="255">
      <c r="C278" s="270" t="inlineStr">
        <is>
          <t>Cash from operations</t>
        </is>
      </c>
      <c r="D278" s="268" t="n"/>
      <c r="E278" s="268">
        <f>SUM(E262,E263,E264,E275,E276,E277)</f>
        <v>1829</v>
      </c>
      <c r="F278" s="268">
        <f>SUM(F262,F263,F264,F275,F276,F277)</f>
        <v>4041</v>
      </c>
      <c r="G278" s="268">
        <f>SUM(G262,G263,G264,G275,G276,G277)</f>
        <v>6549</v>
      </c>
      <c r="H278" s="268">
        <f>SUM(H262,H263,H264,H275,H276,H277)</f>
        <v>12419</v>
      </c>
      <c r="I278" s="268">
        <f>SUM(I262,I263,I264,I275,I276,I277)</f>
        <v>-4096</v>
      </c>
      <c r="J278" s="268">
        <f>SUM(J262,J263,J264,J275,J276,J277)</f>
        <v>3320</v>
      </c>
      <c r="K278" s="268">
        <f>SUM(K262,K263,K264,K275,K276,K277)</f>
        <v>2465</v>
      </c>
      <c r="L278" s="268">
        <f>SUM(L262,L263,L264,L275,L276,L277)</f>
        <v>2634</v>
      </c>
      <c r="M278" s="268">
        <f>SUM(M262,M263,M264,M275,M276,M277)</f>
        <v>4323</v>
      </c>
      <c r="N278" s="268">
        <f>SUM(N262,N263,N264,N275,N276,N277)</f>
        <v>863</v>
      </c>
      <c r="O278" s="268">
        <f>SUM(O262,O263,O264,O275,O276,O277)</f>
        <v>1125</v>
      </c>
      <c r="P278" s="268">
        <f>SUM(P262,P263,P264,P275,P276,P277)</f>
        <v>2159</v>
      </c>
      <c r="Q278" s="268">
        <f>SUM(Q262,Q263,Q264,Q275,Q276,Q277)</f>
        <v>2052</v>
      </c>
      <c r="R278" s="268">
        <f>SUM(R262,R263,R264,R275,R276,R277)</f>
        <v>6199</v>
      </c>
      <c r="S278" s="268">
        <f>SUM(S262,S263,S264,S275,S276,S277)</f>
        <v>3232</v>
      </c>
      <c r="T278" s="268">
        <f>SUM(T262,T263,T264,T275,T276,T277)</f>
        <v>1086</v>
      </c>
      <c r="U278" s="268">
        <f>SUM(U262,U263,U264,U275,U276,U277)</f>
        <v>3578</v>
      </c>
      <c r="V278" s="268">
        <f>SUM(V262,V263,V264,V275,V276,V277)</f>
        <v>3705</v>
      </c>
      <c r="W278" s="268">
        <f>SUM(W262,W263,W264,W275,W276,W277)</f>
        <v>11601</v>
      </c>
      <c r="X278" s="268">
        <f>SUM(X262,X263,X264,X275,X276,X277)</f>
        <v>568</v>
      </c>
      <c r="Y278" s="268">
        <f>SUM(Y262,Y263,Y264,Y275,Y276,Y277)</f>
        <v>2909</v>
      </c>
      <c r="Z278" s="268">
        <f>SUM(Z262,Z263,Z264,Z275,Z276,Z277)</f>
        <v>2824</v>
      </c>
      <c r="AA278" s="268">
        <f>SUM(AA262,AA263,AA264,AA275,AA276,AA277)</f>
        <v>2680</v>
      </c>
      <c r="AB278" s="268">
        <f>SUM(AB262,AB263,AB264,AB275,AB276,AB277)</f>
        <v>8981</v>
      </c>
      <c r="AC278" s="268">
        <f>SUM(AC262,AC263,AC264,AC275,AC276,AC277)</f>
        <v>3007</v>
      </c>
      <c r="AD278" s="268">
        <f>SUM(AD262,AD263,AD264,AD275,AD276,AD277)</f>
        <v>3473</v>
      </c>
      <c r="AE278" s="268">
        <f>SUM(AE262,AE263,AE264,AE275,AE276,AE277)</f>
        <v>3118</v>
      </c>
      <c r="AF278" s="268">
        <f>SUM(AF262,AF263,AF264,AF275,AF276,AF277)</f>
        <v>4163</v>
      </c>
      <c r="AG278" s="268">
        <f>SUM(AG262,AG263,AG264,AG275,AG276,AG277)</f>
        <v>13761</v>
      </c>
      <c r="AH278" s="268">
        <f>SUM(AH262,AH263,AH264,AH275,AH276,AH277)</f>
        <v>2925</v>
      </c>
      <c r="AI278" s="268">
        <f>SUM(AI262,AI263,AI264,AI275,AI276,AI277)</f>
        <v>3863</v>
      </c>
      <c r="AJ278" s="268">
        <f>SUM(AJ262,AJ263,AJ264,AJ275,AJ276,AJ277)</f>
        <v>-7213</v>
      </c>
      <c r="AK278" s="268">
        <f>SUM(AK262,AK263,AK264,AK275,AK276,AK277)</f>
        <v>155</v>
      </c>
      <c r="AL278" s="268">
        <f>SUM(AL262,AL263,AL264,AL275,AL276,AL277)</f>
        <v>-270</v>
      </c>
      <c r="AM278" s="268" t="e">
        <f>SUM(AM262,AM263,AM264,AM275,AM276,AM277)</f>
        <v>#DIV/0!</v>
      </c>
      <c r="AN278" s="268" t="e">
        <f>SUM(AN262,AN263,AN264,AN275,AN276,AN277)</f>
        <v>#DIV/0!</v>
      </c>
      <c r="AO278" s="268" t="e">
        <f>SUM(AO262,AO263,AO264,AO275,AO276,AO277)</f>
        <v>#DIV/0!</v>
      </c>
      <c r="AP278" s="268" t="e">
        <f>SUM(AP262,AP263,AP264,AP275,AP276,AP277)</f>
        <v>#DIV/0!</v>
      </c>
      <c r="AQ278" s="268" t="e">
        <f>SUM(AQ262,AQ263,AQ264,AQ275,AQ276,AQ277)</f>
        <v>#DIV/0!</v>
      </c>
      <c r="AR278" s="268" t="e">
        <f>SUM(AR262,AR263,AR264,AR275,AR276,AR277)</f>
        <v>#DIV/0!</v>
      </c>
      <c r="AS278" s="268" t="e">
        <f>SUM(AS262,AS263,AS264,AS275,AS276,AS277)</f>
        <v>#DIV/0!</v>
      </c>
      <c r="AT278" s="268" t="e">
        <f>SUM(AT262,AT263,AT264,AT275,AT276,AT277)</f>
        <v>#DIV/0!</v>
      </c>
      <c r="AU278" s="268" t="e">
        <f>SUM(AU262,AU263,AU264,AU275,AU276,AU277)</f>
        <v>#DIV/0!</v>
      </c>
      <c r="AV278" s="268" t="e">
        <f>SUM(AV262,AV263,AV264,AV275,AV276,AV277)</f>
        <v>#DIV/0!</v>
      </c>
      <c r="AW278" s="268" t="e">
        <f>SUM(AW262,AW263,AW264,AW275,AW276,AW277)</f>
        <v>#DIV/0!</v>
      </c>
      <c r="AX278" s="268" t="e">
        <f>SUM(AX262,AX263,AX264,AX275,AX276,AX277)</f>
        <v>#DIV/0!</v>
      </c>
      <c r="AY278" s="268" t="e">
        <f>SUM(AY262,AY263,AY264,AY275,AY276,AY277)</f>
        <v>#DIV/0!</v>
      </c>
      <c r="AZ278" s="268" t="e">
        <f>SUM(AZ262,AZ263,AZ264,AZ275,AZ276,AZ277)</f>
        <v>#DIV/0!</v>
      </c>
      <c r="BA278" s="268" t="e">
        <f>SUM(BA262,BA263,BA264,BA275,BA276,BA277)</f>
        <v>#DIV/0!</v>
      </c>
      <c r="BB278" s="268" t="e">
        <f>SUM(BB262,BB263,BB264,BB275,BB276,BB277)</f>
        <v>#DIV/0!</v>
      </c>
      <c r="BC278" s="268" t="e">
        <f>SUM(BC262,BC263,BC264,BC275,BC276,BC277)</f>
        <v>#DIV/0!</v>
      </c>
      <c r="BD278" s="268" t="e">
        <f>SUM(BD262,BD263,BD264,BD275,BD276,BD277)</f>
        <v>#DIV/0!</v>
      </c>
      <c r="BE278" s="268" t="e">
        <f>SUM(BE262,BE263,BE264,BE275,BE276,BE277)</f>
        <v>#DIV/0!</v>
      </c>
      <c r="BF278" s="268" t="e">
        <f>SUM(BF262,BF263,BF264,BF275,BF276,BF277)</f>
        <v>#DIV/0!</v>
      </c>
      <c r="BG278" s="268" t="e">
        <f>SUM(BG262,BG263,BG264,BG275,BG276,BG277)</f>
        <v>#DIV/0!</v>
      </c>
      <c r="BH278" s="268" t="e">
        <f>SUM(BH262,BH263,BH264,BH275,BH276,BH277)</f>
        <v>#DIV/0!</v>
      </c>
      <c r="BI278" s="268" t="e">
        <f>SUM(BI262,BI263,BI264,BI275,BI276,BI277)</f>
        <v>#DIV/0!</v>
      </c>
      <c r="BJ278" s="268" t="e">
        <f>SUM(BJ262,BJ263,BJ264,BJ275,BJ276,BJ277)</f>
        <v>#DIV/0!</v>
      </c>
      <c r="BK278" s="268" t="e">
        <f>SUM(BK262,BK263,BK264,BK275,BK276,BK277)</f>
        <v>#DIV/0!</v>
      </c>
      <c r="BL278" s="268" t="e">
        <f>SUM(BL262,BL263,BL264,BL275,BL276,BL277)</f>
        <v>#DIV/0!</v>
      </c>
      <c r="BM278" s="268" t="e">
        <f>SUM(BM262,BM263,BM264,BM275,BM276,BM277)</f>
        <v>#DIV/0!</v>
      </c>
      <c r="BN278" s="268" t="e">
        <f>SUM(BN262,BN263,BN264,BN275,BN276,BN277)</f>
        <v>#DIV/0!</v>
      </c>
      <c r="BO278" s="268" t="e">
        <f>SUM(BO262,BO263,BO264,BO275,BO276,BO277)</f>
        <v>#DIV/0!</v>
      </c>
      <c r="BP278" s="268" t="e">
        <f>SUM(BP262,BP263,BP264,BP275,BP276,BP277)</f>
        <v>#DIV/0!</v>
      </c>
      <c r="BQ278" s="268" t="e">
        <f>SUM(BQ262,BQ263,BQ264,BQ275,BQ276,BQ277)</f>
        <v>#DIV/0!</v>
      </c>
      <c r="BR278" s="268" t="e">
        <f>SUM(BR262,BR263,BR264,BR275,BR276,BR277)</f>
        <v>#DIV/0!</v>
      </c>
      <c r="BS278" s="268" t="e">
        <f>SUM(BS262,BS263,BS264,BS275,BS276,BS277)</f>
        <v>#DIV/0!</v>
      </c>
      <c r="BT278" s="268" t="e">
        <f>SUM(BT262,BT263,BT264,BT275,BT276,BT277)</f>
        <v>#DIV/0!</v>
      </c>
      <c r="BU278" s="268" t="e">
        <f>SUM(BU262,BU263,BU264,BU275,BU276,BU277)</f>
        <v>#DIV/0!</v>
      </c>
      <c r="BV278" s="268" t="e">
        <f>SUM(BV262,BV263,BV264,BV275,BV276,BV277)</f>
        <v>#DIV/0!</v>
      </c>
      <c r="BW278" s="268" t="e">
        <f>SUM(BW262,BW263,BW264,BW275,BW276,BW277)</f>
        <v>#DIV/0!</v>
      </c>
      <c r="BX278" s="268" t="e">
        <f>SUM(BX262,BX263,BX264,BX275,BX276,BX277)</f>
        <v>#DIV/0!</v>
      </c>
      <c r="BY278" s="268" t="e">
        <f>SUM(BY262,BY263,BY264,BY275,BY276,BY277)</f>
        <v>#DIV/0!</v>
      </c>
      <c r="BZ278" s="268" t="e">
        <f>SUM(BZ262,BZ263,BZ264,BZ275,BZ276,BZ277)</f>
        <v>#DIV/0!</v>
      </c>
      <c r="CA278" s="268" t="e">
        <f>SUM(CA262,CA263,CA264,CA275,CA276,CA277)</f>
        <v>#DIV/0!</v>
      </c>
      <c r="CB278" s="268" t="e">
        <f>SUM(CB262,CB263,CB264,CB275,CB276,CB277)</f>
        <v>#DIV/0!</v>
      </c>
      <c r="CC278" s="268" t="e">
        <f>SUM(CC262,CC263,CC264,CC275,CC276,CC277)</f>
        <v>#DIV/0!</v>
      </c>
      <c r="CD278" s="268" t="e">
        <f>SUM(CD262,CD263,CD264,CD275,CD276,CD277)</f>
        <v>#DIV/0!</v>
      </c>
      <c r="CE278" s="268" t="e">
        <f>SUM(CE262,CE263,CE264,CE275,CE276,CE277)</f>
        <v>#DIV/0!</v>
      </c>
      <c r="CF278" s="268" t="e">
        <f>SUM(CF262,CF263,CF264,CF275,CF276,CF277)</f>
        <v>#DIV/0!</v>
      </c>
      <c r="CG278" s="268" t="e">
        <f>SUM(CG262,CG263,CG264,CG275,CG276,CG277)</f>
        <v>#DIV/0!</v>
      </c>
      <c r="CH278" s="268" t="e">
        <f>SUM(CH262,CH263,CH264,CH275,CH276,CH277)</f>
        <v>#DIV/0!</v>
      </c>
      <c r="CI278" s="268" t="e">
        <f>SUM(CI262,CI263,CI264,CI275,CI276,CI277)</f>
        <v>#DIV/0!</v>
      </c>
      <c r="CJ278" s="268" t="e">
        <f>SUM(CJ262,CJ263,CJ264,CJ275,CJ276,CJ277)</f>
        <v>#DIV/0!</v>
      </c>
      <c r="CK278" s="268" t="e">
        <f>SUM(CK262,CK263,CK264,CK275,CK276,CK277)</f>
        <v>#DIV/0!</v>
      </c>
      <c r="CL278" s="268" t="e">
        <f>SUM(CL262,CL263,CL264,CL275,CL276,CL277)</f>
        <v>#DIV/0!</v>
      </c>
      <c r="CM278" s="268" t="e">
        <f>SUM(CM262,CM263,CM264,CM275,CM276,CM277)</f>
        <v>#DIV/0!</v>
      </c>
      <c r="CN278" s="268" t="e">
        <f>SUM(CN262,CN263,CN264,CN275,CN276,CN277)</f>
        <v>#DIV/0!</v>
      </c>
      <c r="CO278" s="268" t="e">
        <f>SUM(CO262,CO263,CO264,CO275,CO276,CO277)</f>
        <v>#DIV/0!</v>
      </c>
      <c r="CP278" s="268" t="e">
        <f>SUM(CP262,CP263,CP264,CP275,CP276,CP277)</f>
        <v>#DIV/0!</v>
      </c>
      <c r="CQ278" s="268" t="e">
        <f>SUM(CQ262,CQ263,CQ264,CQ275,CQ276,CQ277)</f>
        <v>#DIV/0!</v>
      </c>
      <c r="CR278" s="268" t="e">
        <f>SUM(CR262,CR263,CR264,CR275,CR276,CR277)</f>
        <v>#DIV/0!</v>
      </c>
      <c r="CS278" s="268" t="e">
        <f>SUM(CS262,CS263,CS264,CS275,CS276,CS277)</f>
        <v>#DIV/0!</v>
      </c>
      <c r="CT278" s="268" t="e">
        <f>SUM(CT262,CT263,CT264,CT275,CT276,CT277)</f>
        <v>#DIV/0!</v>
      </c>
      <c r="CU278" s="268" t="e">
        <f>SUM(CU262,CU263,CU264,CU275,CU276,CU277)</f>
        <v>#DIV/0!</v>
      </c>
      <c r="CV278" s="268" t="e">
        <f>SUM(CV262,CV263,CV264,CV275,CV276,CV277)</f>
        <v>#DIV/0!</v>
      </c>
      <c r="CW278" s="268" t="e">
        <f>SUM(CW262,CW263,CW264,CW275,CW276,CW277)</f>
        <v>#DIV/0!</v>
      </c>
      <c r="CX278" s="268" t="e">
        <f>SUM(CX262,CX263,CX264,CX275,CX276,CX277)</f>
        <v>#DIV/0!</v>
      </c>
      <c r="CY278" s="268" t="e">
        <f>SUM(CY262,CY263,CY264,CY275,CY276,CY277)</f>
        <v>#DIV/0!</v>
      </c>
    </row>
    <row r="279" ht="12.75" customHeight="1" s="255">
      <c r="C279" s="270" t="n"/>
      <c r="D279" s="268" t="n"/>
      <c r="E279" s="268" t="n"/>
      <c r="F279" s="268" t="n"/>
      <c r="G279" s="268" t="n"/>
      <c r="H279" s="268" t="n"/>
      <c r="I279" s="268" t="n"/>
      <c r="J279" s="268" t="n"/>
      <c r="K279" s="268" t="n"/>
      <c r="L279" s="268" t="n"/>
      <c r="M279" s="268" t="n"/>
      <c r="N279" s="268" t="n"/>
      <c r="O279" s="268" t="n"/>
      <c r="P279" s="268" t="n"/>
      <c r="Q279" s="268" t="n"/>
      <c r="R279" s="268" t="n"/>
      <c r="S279" s="268" t="n"/>
      <c r="T279" s="268" t="n"/>
      <c r="U279" s="268" t="n"/>
      <c r="V279" s="268" t="n"/>
      <c r="W279" s="268" t="n"/>
      <c r="X279" s="268" t="n"/>
      <c r="Y279" s="268" t="n"/>
      <c r="Z279" s="268" t="n"/>
      <c r="AA279" s="268" t="n"/>
      <c r="AB279" s="268" t="n"/>
      <c r="AC279" s="268" t="n"/>
      <c r="AD279" s="268" t="n"/>
      <c r="AE279" s="268" t="n"/>
      <c r="AF279" s="268" t="n"/>
      <c r="AG279" s="268" t="n"/>
      <c r="AH279" s="268" t="n"/>
      <c r="AI279" s="268" t="n"/>
      <c r="AJ279" s="268" t="n"/>
      <c r="AK279" s="268" t="n"/>
      <c r="AL279" s="268" t="n"/>
      <c r="AM279" s="268" t="n"/>
      <c r="AN279" s="268" t="n"/>
      <c r="AO279" s="268" t="n"/>
      <c r="AP279" s="268" t="n"/>
      <c r="AQ279" s="268" t="n"/>
      <c r="AR279" s="268" t="n"/>
      <c r="AS279" s="268" t="n"/>
      <c r="AT279" s="268" t="n"/>
      <c r="AU279" s="268" t="n"/>
      <c r="AV279" s="268" t="n"/>
      <c r="AW279" s="268" t="n"/>
      <c r="AX279" s="268" t="n"/>
      <c r="AY279" s="268" t="n"/>
      <c r="AZ279" s="268" t="n"/>
      <c r="BA279" s="268" t="n"/>
      <c r="BB279" s="268" t="n"/>
      <c r="BC279" s="268" t="n"/>
      <c r="BD279" s="268" t="n"/>
      <c r="BE279" s="268" t="n"/>
      <c r="BF279" s="268" t="n"/>
      <c r="BG279" s="268" t="n"/>
      <c r="BH279" s="268" t="n"/>
      <c r="BI279" s="268" t="n"/>
      <c r="BJ279" s="268" t="n"/>
      <c r="BK279" s="268" t="n"/>
      <c r="BL279" s="268" t="n"/>
      <c r="BM279" s="268" t="n"/>
      <c r="BN279" s="268" t="n"/>
      <c r="BO279" s="268" t="n"/>
      <c r="BP279" s="268" t="n"/>
      <c r="BQ279" s="268" t="n"/>
      <c r="BR279" s="268" t="n"/>
      <c r="BS279" s="268" t="n"/>
      <c r="BT279" s="268" t="n"/>
      <c r="BU279" s="268" t="n"/>
      <c r="BV279" s="268" t="n"/>
      <c r="BW279" s="268" t="n"/>
      <c r="BX279" s="268" t="n"/>
      <c r="BY279" s="268" t="n"/>
      <c r="BZ279" s="268" t="n"/>
      <c r="CA279" s="268" t="n"/>
      <c r="CB279" s="268" t="n"/>
      <c r="CC279" s="268" t="n"/>
      <c r="CD279" s="268" t="n"/>
      <c r="CE279" s="268" t="n"/>
      <c r="CF279" s="268" t="n"/>
      <c r="CG279" s="268" t="n"/>
      <c r="CH279" s="268" t="n"/>
      <c r="CI279" s="268" t="n"/>
      <c r="CJ279" s="268" t="n"/>
      <c r="CK279" s="268" t="n"/>
      <c r="CL279" s="268" t="n"/>
      <c r="CM279" s="268" t="n"/>
      <c r="CN279" s="268" t="n"/>
      <c r="CO279" s="268" t="n"/>
      <c r="CP279" s="268" t="n"/>
      <c r="CQ279" s="268" t="n"/>
      <c r="CR279" s="268" t="n"/>
      <c r="CS279" s="268" t="n"/>
      <c r="CT279" s="268" t="n"/>
      <c r="CU279" s="268" t="n"/>
      <c r="CV279" s="268" t="n"/>
      <c r="CW279" s="268" t="n"/>
      <c r="CX279" s="268" t="n"/>
      <c r="CY279" s="268" t="n"/>
    </row>
    <row r="280" ht="12.75" customHeight="1" s="255">
      <c r="C280" s="266" t="inlineStr">
        <is>
          <t>Purchase of fixed assets (capital expenditures)</t>
        </is>
      </c>
      <c r="D280" s="268" t="n"/>
      <c r="E280" s="268">
        <f>-E153</f>
        <v>-428</v>
      </c>
      <c r="F280" s="268">
        <f>-F153</f>
        <v>-785</v>
      </c>
      <c r="G280" s="268">
        <f>-G153</f>
        <v>-885</v>
      </c>
      <c r="H280" s="268">
        <f>SUM(D280:G280)</f>
        <v>-2098</v>
      </c>
      <c r="I280" s="268">
        <f>-I153</f>
        <v>-659</v>
      </c>
      <c r="J280" s="268">
        <f>-J153</f>
        <v>-1048</v>
      </c>
      <c r="K280" s="268">
        <f>-K153</f>
        <v>-874</v>
      </c>
      <c r="L280" s="268">
        <f>-L153</f>
        <v>-827</v>
      </c>
      <c r="M280" s="268">
        <f>SUM(I280:L280)</f>
        <v>-3408</v>
      </c>
      <c r="N280" s="268">
        <f>-N153</f>
        <v>-601</v>
      </c>
      <c r="O280" s="268">
        <f>-O153</f>
        <v>-529</v>
      </c>
      <c r="P280" s="268">
        <f>-P153</f>
        <v>-1097</v>
      </c>
      <c r="Q280" s="268">
        <f>-Q153</f>
        <v>-945</v>
      </c>
      <c r="R280" s="268">
        <f>SUM(N280:Q280)</f>
        <v>-3172</v>
      </c>
      <c r="S280" s="268">
        <f>-S153</f>
        <v>-1050</v>
      </c>
      <c r="T280" s="268">
        <f>-T153</f>
        <v>-679</v>
      </c>
      <c r="U280" s="268">
        <f>-U153</f>
        <v>-1441</v>
      </c>
      <c r="V280" s="268">
        <f>-V153</f>
        <v>-985</v>
      </c>
      <c r="W280" s="268">
        <f>SUM(S280:V280)</f>
        <v>-4155</v>
      </c>
      <c r="X280" s="268">
        <f>-X153</f>
        <v>-947</v>
      </c>
      <c r="Y280" s="268">
        <f>-Y153</f>
        <v>-977</v>
      </c>
      <c r="Z280" s="268">
        <f>-Z153</f>
        <v>-1676</v>
      </c>
      <c r="AA280" s="268">
        <f>-AA153</f>
        <v>-852</v>
      </c>
      <c r="AB280" s="268">
        <f>SUM(X280:AA280)</f>
        <v>-4452</v>
      </c>
      <c r="AC280" s="268">
        <f>-AC153</f>
        <v>-1025</v>
      </c>
      <c r="AD280" s="268">
        <f>-AD153</f>
        <v>-1325</v>
      </c>
      <c r="AE280" s="268">
        <f>-AE153</f>
        <v>-2101</v>
      </c>
      <c r="AF280" s="268">
        <f>-AF153</f>
        <v>-1304</v>
      </c>
      <c r="AG280" s="268">
        <f>SUM(AC280:AF280)</f>
        <v>-5755</v>
      </c>
      <c r="AH280" s="268">
        <f>-AH153</f>
        <v>-1626</v>
      </c>
      <c r="AI280" s="268">
        <f>-AI153</f>
        <v>-1245</v>
      </c>
      <c r="AJ280" s="268">
        <f>-AJ153</f>
        <v>0</v>
      </c>
      <c r="AK280" s="268">
        <f>-AK153</f>
        <v>0</v>
      </c>
      <c r="AL280" s="268">
        <f>SUM(AH280:AK280)</f>
        <v>-2871</v>
      </c>
      <c r="AM280" s="268">
        <f>-AM153</f>
        <v>0</v>
      </c>
      <c r="AN280" s="268">
        <f>-AN153</f>
        <v>0</v>
      </c>
      <c r="AO280" s="268">
        <f>-AO153</f>
        <v>0</v>
      </c>
      <c r="AP280" s="268">
        <f>-AP153</f>
        <v>0</v>
      </c>
      <c r="AQ280" s="268">
        <f>SUM(AM280:AP280)</f>
        <v>0</v>
      </c>
      <c r="AR280" s="268">
        <f>-AR153</f>
        <v>0</v>
      </c>
      <c r="AS280" s="268">
        <f>-AS153</f>
        <v>0</v>
      </c>
      <c r="AT280" s="268">
        <f>-AT153</f>
        <v>0</v>
      </c>
      <c r="AU280" s="268">
        <f>-AU153</f>
        <v>0</v>
      </c>
      <c r="AV280" s="268">
        <f>SUM(AR280:AU280)</f>
        <v>0</v>
      </c>
      <c r="AW280" s="268">
        <f>-AW153</f>
        <v>0</v>
      </c>
      <c r="AX280" s="268">
        <f>-AX153</f>
        <v>0</v>
      </c>
      <c r="AY280" s="268">
        <f>-AY153</f>
        <v>0</v>
      </c>
      <c r="AZ280" s="268">
        <f>-AZ153</f>
        <v>0</v>
      </c>
      <c r="BA280" s="268">
        <f>SUM(AW280:AZ280)</f>
        <v>0</v>
      </c>
      <c r="BB280" s="268">
        <f>-BB153</f>
        <v>0</v>
      </c>
      <c r="BC280" s="268">
        <f>-BC153</f>
        <v>0</v>
      </c>
      <c r="BD280" s="268">
        <f>-BD153</f>
        <v>0</v>
      </c>
      <c r="BE280" s="268">
        <f>-BE153</f>
        <v>0</v>
      </c>
      <c r="BF280" s="268">
        <f>SUM(BB280:BE280)</f>
        <v>0</v>
      </c>
      <c r="BG280" s="268">
        <f>-BG153</f>
        <v>0</v>
      </c>
      <c r="BH280" s="268">
        <f>-BH153</f>
        <v>0</v>
      </c>
      <c r="BI280" s="268">
        <f>-BI153</f>
        <v>0</v>
      </c>
      <c r="BJ280" s="268">
        <f>-BJ153</f>
        <v>0</v>
      </c>
      <c r="BK280" s="268">
        <f>SUM(BG280:BJ280)</f>
        <v>0</v>
      </c>
      <c r="BL280" s="268">
        <f>-BL153</f>
        <v>0</v>
      </c>
      <c r="BM280" s="268">
        <f>-BM153</f>
        <v>0</v>
      </c>
      <c r="BN280" s="268">
        <f>-BN153</f>
        <v>0</v>
      </c>
      <c r="BO280" s="268">
        <f>-BO153</f>
        <v>0</v>
      </c>
      <c r="BP280" s="268">
        <f>SUM(BL280:BO280)</f>
        <v>0</v>
      </c>
      <c r="BQ280" s="268">
        <f>-BQ153</f>
        <v>0</v>
      </c>
      <c r="BR280" s="268">
        <f>-BR153</f>
        <v>0</v>
      </c>
      <c r="BS280" s="268">
        <f>-BS153</f>
        <v>0</v>
      </c>
      <c r="BT280" s="268">
        <f>-BT153</f>
        <v>0</v>
      </c>
      <c r="BU280" s="268">
        <f>SUM(BQ280:BT280)</f>
        <v>0</v>
      </c>
      <c r="BV280" s="268">
        <f>-BV153</f>
        <v>0</v>
      </c>
      <c r="BW280" s="268">
        <f>-BW153</f>
        <v>0</v>
      </c>
      <c r="BX280" s="268">
        <f>-BX153</f>
        <v>0</v>
      </c>
      <c r="BY280" s="268">
        <f>-BY153</f>
        <v>0</v>
      </c>
      <c r="BZ280" s="268">
        <f>SUM(BV280:BY280)</f>
        <v>0</v>
      </c>
      <c r="CA280" s="268">
        <f>-CA153</f>
        <v>0</v>
      </c>
      <c r="CB280" s="268">
        <f>-CB153</f>
        <v>0</v>
      </c>
      <c r="CC280" s="268">
        <f>-CC153</f>
        <v>0</v>
      </c>
      <c r="CD280" s="268">
        <f>-CD153</f>
        <v>0</v>
      </c>
      <c r="CE280" s="268">
        <f>SUM(CA280:CD280)</f>
        <v>0</v>
      </c>
      <c r="CF280" s="268">
        <f>-CF153</f>
        <v>0</v>
      </c>
      <c r="CG280" s="268">
        <f>-CG153</f>
        <v>0</v>
      </c>
      <c r="CH280" s="268">
        <f>-CH153</f>
        <v>0</v>
      </c>
      <c r="CI280" s="268">
        <f>-CI153</f>
        <v>0</v>
      </c>
      <c r="CJ280" s="268">
        <f>SUM(CF280:CI280)</f>
        <v>0</v>
      </c>
      <c r="CK280" s="268">
        <f>-CK153</f>
        <v>0</v>
      </c>
      <c r="CL280" s="268">
        <f>-CL153</f>
        <v>0</v>
      </c>
      <c r="CM280" s="268">
        <f>-CM153</f>
        <v>0</v>
      </c>
      <c r="CN280" s="268">
        <f>-CN153</f>
        <v>0</v>
      </c>
      <c r="CO280" s="268">
        <f>SUM(CK280:CN280)</f>
        <v>0</v>
      </c>
      <c r="CP280" s="268">
        <f>-CP153</f>
        <v>0</v>
      </c>
      <c r="CQ280" s="268">
        <f>-CQ153</f>
        <v>0</v>
      </c>
      <c r="CR280" s="268">
        <f>-CR153</f>
        <v>0</v>
      </c>
      <c r="CS280" s="268">
        <f>-CS153</f>
        <v>0</v>
      </c>
      <c r="CT280" s="268">
        <f>SUM(CP280:CS280)</f>
        <v>0</v>
      </c>
      <c r="CU280" s="268">
        <f>-CU153</f>
        <v>0</v>
      </c>
      <c r="CV280" s="268">
        <f>-CV153</f>
        <v>0</v>
      </c>
      <c r="CW280" s="268">
        <f>-CW153</f>
        <v>0</v>
      </c>
      <c r="CX280" s="268">
        <f>-CX153</f>
        <v>0</v>
      </c>
      <c r="CY280" s="268">
        <f>SUM(CU280:CX280)</f>
        <v>0</v>
      </c>
    </row>
    <row r="281" ht="12.75" customHeight="1" s="255">
      <c r="C281" s="266" t="inlineStr">
        <is>
          <t>Proceeds from sale of fixed assets</t>
        </is>
      </c>
      <c r="D281" s="268" t="n"/>
      <c r="E281" s="268">
        <f>-E154</f>
        <v>0</v>
      </c>
      <c r="F281" s="268">
        <f>-F154</f>
        <v>0</v>
      </c>
      <c r="G281" s="268">
        <f>-G154</f>
        <v>0</v>
      </c>
      <c r="H281" s="268">
        <f>SUM(D281:G281)</f>
        <v>0</v>
      </c>
      <c r="I281" s="268">
        <f>-I154</f>
        <v>0</v>
      </c>
      <c r="J281" s="268">
        <f>-J154</f>
        <v>0</v>
      </c>
      <c r="K281" s="268">
        <f>-K154</f>
        <v>0</v>
      </c>
      <c r="L281" s="268">
        <f>-L154</f>
        <v>0</v>
      </c>
      <c r="M281" s="268">
        <f>SUM(I281:L281)</f>
        <v>0</v>
      </c>
      <c r="N281" s="268">
        <f>-N154</f>
        <v>0</v>
      </c>
      <c r="O281" s="268">
        <f>-O154</f>
        <v>0</v>
      </c>
      <c r="P281" s="268">
        <f>-P154</f>
        <v>0</v>
      </c>
      <c r="Q281" s="268">
        <f>-Q154</f>
        <v>0</v>
      </c>
      <c r="R281" s="268">
        <f>SUM(N281:Q281)</f>
        <v>0</v>
      </c>
      <c r="S281" s="268">
        <f>-S154</f>
        <v>0</v>
      </c>
      <c r="T281" s="268">
        <f>-T154</f>
        <v>0</v>
      </c>
      <c r="U281" s="268">
        <f>-U154</f>
        <v>0</v>
      </c>
      <c r="V281" s="268">
        <f>-V154</f>
        <v>0</v>
      </c>
      <c r="W281" s="268">
        <f>SUM(S281:V281)</f>
        <v>0</v>
      </c>
      <c r="X281" s="268">
        <f>-X154</f>
        <v>0</v>
      </c>
      <c r="Y281" s="268">
        <f>-Y154</f>
        <v>0</v>
      </c>
      <c r="Z281" s="268">
        <f>-Z154</f>
        <v>0</v>
      </c>
      <c r="AA281" s="268">
        <f>-AA154</f>
        <v>0</v>
      </c>
      <c r="AB281" s="268">
        <f>SUM(X281:AA281)</f>
        <v>0</v>
      </c>
      <c r="AC281" s="268">
        <f>-AC154</f>
        <v>0</v>
      </c>
      <c r="AD281" s="268">
        <f>-AD154</f>
        <v>0</v>
      </c>
      <c r="AE281" s="268">
        <f>-AE154</f>
        <v>0</v>
      </c>
      <c r="AF281" s="268">
        <f>-AF154</f>
        <v>0</v>
      </c>
      <c r="AG281" s="268">
        <f>SUM(AC281:AF281)</f>
        <v>0</v>
      </c>
      <c r="AH281" s="268">
        <f>-AH154</f>
        <v>0</v>
      </c>
      <c r="AI281" s="268">
        <f>-AI154</f>
        <v>0</v>
      </c>
      <c r="AJ281" s="268">
        <f>-AJ154</f>
        <v>0</v>
      </c>
      <c r="AK281" s="268">
        <f>-AK154</f>
        <v>0</v>
      </c>
      <c r="AL281" s="268">
        <f>SUM(AH281:AK281)</f>
        <v>0</v>
      </c>
      <c r="AM281" s="268">
        <f>-AM154</f>
        <v>0</v>
      </c>
      <c r="AN281" s="268">
        <f>-AN154</f>
        <v>0</v>
      </c>
      <c r="AO281" s="268">
        <f>-AO154</f>
        <v>0</v>
      </c>
      <c r="AP281" s="268">
        <f>-AP154</f>
        <v>0</v>
      </c>
      <c r="AQ281" s="268">
        <f>SUM(AM281:AP281)</f>
        <v>0</v>
      </c>
      <c r="AR281" s="268">
        <f>-AR154</f>
        <v>0</v>
      </c>
      <c r="AS281" s="268">
        <f>-AS154</f>
        <v>0</v>
      </c>
      <c r="AT281" s="268">
        <f>-AT154</f>
        <v>0</v>
      </c>
      <c r="AU281" s="268">
        <f>-AU154</f>
        <v>0</v>
      </c>
      <c r="AV281" s="268">
        <f>SUM(AR281:AU281)</f>
        <v>0</v>
      </c>
      <c r="AW281" s="268">
        <f>-AW154</f>
        <v>0</v>
      </c>
      <c r="AX281" s="268">
        <f>-AX154</f>
        <v>0</v>
      </c>
      <c r="AY281" s="268">
        <f>-AY154</f>
        <v>0</v>
      </c>
      <c r="AZ281" s="268">
        <f>-AZ154</f>
        <v>0</v>
      </c>
      <c r="BA281" s="268">
        <f>SUM(AW281:AZ281)</f>
        <v>0</v>
      </c>
      <c r="BB281" s="268">
        <f>-BB154</f>
        <v>0</v>
      </c>
      <c r="BC281" s="268">
        <f>-BC154</f>
        <v>0</v>
      </c>
      <c r="BD281" s="268">
        <f>-BD154</f>
        <v>0</v>
      </c>
      <c r="BE281" s="268">
        <f>-BE154</f>
        <v>0</v>
      </c>
      <c r="BF281" s="268">
        <f>SUM(BB281:BE281)</f>
        <v>0</v>
      </c>
      <c r="BG281" s="268">
        <f>-BG154</f>
        <v>0</v>
      </c>
      <c r="BH281" s="268">
        <f>-BH154</f>
        <v>0</v>
      </c>
      <c r="BI281" s="268">
        <f>-BI154</f>
        <v>0</v>
      </c>
      <c r="BJ281" s="268">
        <f>-BJ154</f>
        <v>0</v>
      </c>
      <c r="BK281" s="268">
        <f>SUM(BG281:BJ281)</f>
        <v>0</v>
      </c>
      <c r="BL281" s="268">
        <f>-BL154</f>
        <v>0</v>
      </c>
      <c r="BM281" s="268">
        <f>-BM154</f>
        <v>0</v>
      </c>
      <c r="BN281" s="268">
        <f>-BN154</f>
        <v>0</v>
      </c>
      <c r="BO281" s="268">
        <f>-BO154</f>
        <v>0</v>
      </c>
      <c r="BP281" s="268">
        <f>SUM(BL281:BO281)</f>
        <v>0</v>
      </c>
      <c r="BQ281" s="268">
        <f>-BQ154</f>
        <v>0</v>
      </c>
      <c r="BR281" s="268">
        <f>-BR154</f>
        <v>0</v>
      </c>
      <c r="BS281" s="268">
        <f>-BS154</f>
        <v>0</v>
      </c>
      <c r="BT281" s="268">
        <f>-BT154</f>
        <v>0</v>
      </c>
      <c r="BU281" s="268">
        <f>SUM(BQ281:BT281)</f>
        <v>0</v>
      </c>
      <c r="BV281" s="268">
        <f>-BV154</f>
        <v>0</v>
      </c>
      <c r="BW281" s="268">
        <f>-BW154</f>
        <v>0</v>
      </c>
      <c r="BX281" s="268">
        <f>-BX154</f>
        <v>0</v>
      </c>
      <c r="BY281" s="268">
        <f>-BY154</f>
        <v>0</v>
      </c>
      <c r="BZ281" s="268">
        <f>SUM(BV281:BY281)</f>
        <v>0</v>
      </c>
      <c r="CA281" s="268">
        <f>-CA154</f>
        <v>0</v>
      </c>
      <c r="CB281" s="268">
        <f>-CB154</f>
        <v>0</v>
      </c>
      <c r="CC281" s="268">
        <f>-CC154</f>
        <v>0</v>
      </c>
      <c r="CD281" s="268">
        <f>-CD154</f>
        <v>0</v>
      </c>
      <c r="CE281" s="268">
        <f>SUM(CA281:CD281)</f>
        <v>0</v>
      </c>
      <c r="CF281" s="268">
        <f>-CF154</f>
        <v>0</v>
      </c>
      <c r="CG281" s="268">
        <f>-CG154</f>
        <v>0</v>
      </c>
      <c r="CH281" s="268">
        <f>-CH154</f>
        <v>0</v>
      </c>
      <c r="CI281" s="268">
        <f>-CI154</f>
        <v>0</v>
      </c>
      <c r="CJ281" s="268">
        <f>SUM(CF281:CI281)</f>
        <v>0</v>
      </c>
      <c r="CK281" s="268">
        <f>-CK154</f>
        <v>0</v>
      </c>
      <c r="CL281" s="268">
        <f>-CL154</f>
        <v>0</v>
      </c>
      <c r="CM281" s="268">
        <f>-CM154</f>
        <v>0</v>
      </c>
      <c r="CN281" s="268">
        <f>-CN154</f>
        <v>0</v>
      </c>
      <c r="CO281" s="268">
        <f>SUM(CK281:CN281)</f>
        <v>0</v>
      </c>
      <c r="CP281" s="268">
        <f>-CP154</f>
        <v>0</v>
      </c>
      <c r="CQ281" s="268">
        <f>-CQ154</f>
        <v>0</v>
      </c>
      <c r="CR281" s="268">
        <f>-CR154</f>
        <v>0</v>
      </c>
      <c r="CS281" s="268">
        <f>-CS154</f>
        <v>0</v>
      </c>
      <c r="CT281" s="268">
        <f>SUM(CP281:CS281)</f>
        <v>0</v>
      </c>
      <c r="CU281" s="268">
        <f>-CU154</f>
        <v>0</v>
      </c>
      <c r="CV281" s="268">
        <f>-CV154</f>
        <v>0</v>
      </c>
      <c r="CW281" s="268">
        <f>-CW154</f>
        <v>0</v>
      </c>
      <c r="CX281" s="268">
        <f>-CX154</f>
        <v>0</v>
      </c>
      <c r="CY281" s="268">
        <f>SUM(CU281:CX281)</f>
        <v>0</v>
      </c>
    </row>
    <row r="282" ht="12.75" customHeight="1" s="255">
      <c r="C282" s="266" t="inlineStr">
        <is>
          <t>Var.Right-of-use-assets</t>
        </is>
      </c>
      <c r="D282" s="268" t="n"/>
      <c r="E282" s="268">
        <f>(E161-D161)*-1</f>
        <v>-153</v>
      </c>
      <c r="F282" s="268">
        <f>(F161-E161)*-1</f>
        <v>-39</v>
      </c>
      <c r="G282" s="268">
        <f>(G161-F161)*-1</f>
        <v>3</v>
      </c>
      <c r="H282" s="268">
        <f>SUM(D282:G282)</f>
        <v>-189</v>
      </c>
      <c r="I282" s="268">
        <f>(I161-H161)*-1</f>
        <v>-102</v>
      </c>
      <c r="J282" s="268">
        <f>(J161-I161)*-1</f>
        <v>12</v>
      </c>
      <c r="K282" s="268">
        <f>(K161-J161)*-1</f>
        <v>-15</v>
      </c>
      <c r="L282" s="268">
        <f>(L161-K161)*-1</f>
        <v>-13</v>
      </c>
      <c r="M282" s="268">
        <f>SUM(I282:L282)</f>
        <v>-118</v>
      </c>
      <c r="N282" s="268">
        <f>(N161-M161)*-1</f>
        <v>63</v>
      </c>
      <c r="O282" s="268">
        <f>(O161-N161)*-1</f>
        <v>109</v>
      </c>
      <c r="P282" s="268">
        <f>(P161-O161)*-1</f>
        <v>-43</v>
      </c>
      <c r="Q282" s="268">
        <f>(Q161-P161)*-1</f>
        <v>-13</v>
      </c>
      <c r="R282" s="268">
        <f>SUM(N282:Q282)</f>
        <v>116</v>
      </c>
      <c r="S282" s="268">
        <f>(S161-R161)*-1</f>
        <v>-72</v>
      </c>
      <c r="T282" s="268">
        <f>(T161-S161)*-1</f>
        <v>53</v>
      </c>
      <c r="U282" s="268">
        <f>(U161-T161)*-1</f>
        <v>93</v>
      </c>
      <c r="V282" s="268">
        <f>(V161-U161)*-1</f>
        <v>41</v>
      </c>
      <c r="W282" s="268">
        <f>SUM(S282:V282)</f>
        <v>115</v>
      </c>
      <c r="X282" s="268">
        <f>(X161-W161)*-1</f>
        <v>-68</v>
      </c>
      <c r="Y282" s="268">
        <f>(Y161-X161)*-1</f>
        <v>97</v>
      </c>
      <c r="Z282" s="268">
        <f>(Z161-Y161)*-1</f>
        <v>26</v>
      </c>
      <c r="AA282" s="268">
        <f>(AA161-Z161)*-1</f>
        <v>78</v>
      </c>
      <c r="AB282" s="268">
        <f>SUM(X282:AA282)</f>
        <v>133</v>
      </c>
      <c r="AC282" s="268">
        <f>(AC161-AB161)*-1</f>
        <v>8</v>
      </c>
      <c r="AD282" s="268">
        <f>(AD161-AC161)*-1</f>
        <v>-187</v>
      </c>
      <c r="AE282" s="268">
        <f>(AE161-AD161)*-1</f>
        <v>-7</v>
      </c>
      <c r="AF282" s="268">
        <f>(AF161-AE161)*-1</f>
        <v>-5</v>
      </c>
      <c r="AG282" s="268">
        <f>SUM(AC282:AF282)</f>
        <v>-191</v>
      </c>
      <c r="AH282" s="268">
        <f>(AH161-AG161)*-1</f>
        <v>-29</v>
      </c>
      <c r="AI282" s="268">
        <f>(AI161-AH161)*-1</f>
        <v>12</v>
      </c>
      <c r="AJ282" s="268">
        <f>(AJ161-AI161)*-1</f>
        <v>0</v>
      </c>
      <c r="AK282" s="268">
        <f>(AK161-AJ161)*-1</f>
        <v>0</v>
      </c>
      <c r="AL282" s="268">
        <f>SUM(AH282:AK282)</f>
        <v>-17</v>
      </c>
      <c r="AM282" s="268">
        <f>(AM161-AL161)*-1</f>
        <v>0</v>
      </c>
      <c r="AN282" s="268">
        <f>(AN161-AM161)*-1</f>
        <v>0</v>
      </c>
      <c r="AO282" s="268">
        <f>(AO161-AN161)*-1</f>
        <v>0</v>
      </c>
      <c r="AP282" s="268">
        <f>(AP161-AO161)*-1</f>
        <v>0</v>
      </c>
      <c r="AQ282" s="268">
        <f>SUM(AM282:AP282)</f>
        <v>0</v>
      </c>
      <c r="AR282" s="268">
        <f>(AR161-AQ161)*-1</f>
        <v>0</v>
      </c>
      <c r="AS282" s="268">
        <f>(AS161-AR161)*-1</f>
        <v>0</v>
      </c>
      <c r="AT282" s="268">
        <f>(AT161-AS161)*-1</f>
        <v>0</v>
      </c>
      <c r="AU282" s="268">
        <f>(AU161-AT161)*-1</f>
        <v>0</v>
      </c>
      <c r="AV282" s="268">
        <f>SUM(AR282:AU282)</f>
        <v>0</v>
      </c>
      <c r="AW282" s="268">
        <f>(AW161-AV161)*-1</f>
        <v>0</v>
      </c>
      <c r="AX282" s="268">
        <f>(AX161-AW161)*-1</f>
        <v>0</v>
      </c>
      <c r="AY282" s="268">
        <f>(AY161-AX161)*-1</f>
        <v>0</v>
      </c>
      <c r="AZ282" s="268">
        <f>(AZ161-AY161)*-1</f>
        <v>0</v>
      </c>
      <c r="BA282" s="268">
        <f>SUM(AW282:AZ282)</f>
        <v>0</v>
      </c>
      <c r="BB282" s="268">
        <f>(BB161-BA161)*-1</f>
        <v>0</v>
      </c>
      <c r="BC282" s="268">
        <f>(BC161-BB161)*-1</f>
        <v>0</v>
      </c>
      <c r="BD282" s="268">
        <f>(BD161-BC161)*-1</f>
        <v>0</v>
      </c>
      <c r="BE282" s="268">
        <f>(BE161-BD161)*-1</f>
        <v>0</v>
      </c>
      <c r="BF282" s="268">
        <f>SUM(BB282:BE282)</f>
        <v>0</v>
      </c>
      <c r="BG282" s="268">
        <f>(BG161-BF161)*-1</f>
        <v>0</v>
      </c>
      <c r="BH282" s="268">
        <f>(BH161-BG161)*-1</f>
        <v>0</v>
      </c>
      <c r="BI282" s="268">
        <f>(BI161-BH161)*-1</f>
        <v>0</v>
      </c>
      <c r="BJ282" s="268">
        <f>(BJ161-BI161)*-1</f>
        <v>0</v>
      </c>
      <c r="BK282" s="268">
        <f>SUM(BG282:BJ282)</f>
        <v>0</v>
      </c>
      <c r="BL282" s="268">
        <f>(BL161-BK161)*-1</f>
        <v>0</v>
      </c>
      <c r="BM282" s="268">
        <f>(BM161-BL161)*-1</f>
        <v>0</v>
      </c>
      <c r="BN282" s="268">
        <f>(BN161-BM161)*-1</f>
        <v>0</v>
      </c>
      <c r="BO282" s="268">
        <f>(BO161-BN161)*-1</f>
        <v>0</v>
      </c>
      <c r="BP282" s="268">
        <f>SUM(BL282:BO282)</f>
        <v>0</v>
      </c>
      <c r="BQ282" s="268">
        <f>(BQ161-BP161)*-1</f>
        <v>0</v>
      </c>
      <c r="BR282" s="268">
        <f>(BR161-BQ161)*-1</f>
        <v>0</v>
      </c>
      <c r="BS282" s="268">
        <f>(BS161-BR161)*-1</f>
        <v>0</v>
      </c>
      <c r="BT282" s="268">
        <f>(BT161-BS161)*-1</f>
        <v>0</v>
      </c>
      <c r="BU282" s="268">
        <f>SUM(BQ282:BT282)</f>
        <v>0</v>
      </c>
      <c r="BV282" s="268">
        <f>(BV161-BU161)*-1</f>
        <v>0</v>
      </c>
      <c r="BW282" s="268">
        <f>(BW161-BV161)*-1</f>
        <v>0</v>
      </c>
      <c r="BX282" s="268">
        <f>(BX161-BW161)*-1</f>
        <v>0</v>
      </c>
      <c r="BY282" s="268">
        <f>(BY161-BX161)*-1</f>
        <v>0</v>
      </c>
      <c r="BZ282" s="268">
        <f>SUM(BV282:BY282)</f>
        <v>0</v>
      </c>
      <c r="CA282" s="268">
        <f>(CA161-BZ161)*-1</f>
        <v>0</v>
      </c>
      <c r="CB282" s="268">
        <f>(CB161-CA161)*-1</f>
        <v>0</v>
      </c>
      <c r="CC282" s="268">
        <f>(CC161-CB161)*-1</f>
        <v>0</v>
      </c>
      <c r="CD282" s="268">
        <f>(CD161-CC161)*-1</f>
        <v>0</v>
      </c>
      <c r="CE282" s="268">
        <f>SUM(CA282:CD282)</f>
        <v>0</v>
      </c>
      <c r="CF282" s="268">
        <f>(CF161-CE161)*-1</f>
        <v>0</v>
      </c>
      <c r="CG282" s="268">
        <f>(CG161-CF161)*-1</f>
        <v>0</v>
      </c>
      <c r="CH282" s="268">
        <f>(CH161-CG161)*-1</f>
        <v>0</v>
      </c>
      <c r="CI282" s="268">
        <f>(CI161-CH161)*-1</f>
        <v>0</v>
      </c>
      <c r="CJ282" s="268">
        <f>SUM(CF282:CI282)</f>
        <v>0</v>
      </c>
      <c r="CK282" s="268">
        <f>(CK161-CJ161)*-1</f>
        <v>0</v>
      </c>
      <c r="CL282" s="268">
        <f>(CL161-CK161)*-1</f>
        <v>0</v>
      </c>
      <c r="CM282" s="268">
        <f>(CM161-CL161)*-1</f>
        <v>0</v>
      </c>
      <c r="CN282" s="268">
        <f>(CN161-CM161)*-1</f>
        <v>0</v>
      </c>
      <c r="CO282" s="268">
        <f>SUM(CK282:CN282)</f>
        <v>0</v>
      </c>
      <c r="CP282" s="268">
        <f>(CP161-CO161)*-1</f>
        <v>0</v>
      </c>
      <c r="CQ282" s="268">
        <f>(CQ161-CP161)*-1</f>
        <v>0</v>
      </c>
      <c r="CR282" s="268">
        <f>(CR161-CQ161)*-1</f>
        <v>0</v>
      </c>
      <c r="CS282" s="268">
        <f>(CS161-CR161)*-1</f>
        <v>0</v>
      </c>
      <c r="CT282" s="268">
        <f>SUM(CP282:CS282)</f>
        <v>0</v>
      </c>
      <c r="CU282" s="268">
        <f>(CU161-CT161)*-1</f>
        <v>0</v>
      </c>
      <c r="CV282" s="268">
        <f>(CV161-CU161)*-1</f>
        <v>0</v>
      </c>
      <c r="CW282" s="268">
        <f>(CW161-CV161)*-1</f>
        <v>0</v>
      </c>
      <c r="CX282" s="268">
        <f>(CX161-CW161)*-1</f>
        <v>0</v>
      </c>
      <c r="CY282" s="268">
        <f>SUM(CU282:CX282)</f>
        <v>0</v>
      </c>
      <c r="CZ282" s="268" t="n"/>
      <c r="DA282" s="268" t="n"/>
      <c r="DB282" s="268" t="n"/>
      <c r="DC282" s="268" t="n"/>
    </row>
    <row r="283" ht="12.75" customHeight="1" s="255">
      <c r="C283" s="266" t="inlineStr">
        <is>
          <t>Purchases of intangible assets</t>
        </is>
      </c>
      <c r="D283" s="268" t="n"/>
      <c r="E283" s="268">
        <f>((E165-D165)*-1)+((E164-D164)*-1)</f>
        <v>0</v>
      </c>
      <c r="F283" s="268">
        <f>((F165-E165)*-1)+((F164-E164)*-1)</f>
        <v>0</v>
      </c>
      <c r="G283" s="268">
        <f>((G165-F165)*-1)+((G164-F164)*-1)</f>
        <v>0</v>
      </c>
      <c r="H283" s="268">
        <f>SUM(D283:G283)</f>
        <v>0</v>
      </c>
      <c r="I283" s="268">
        <f>((I165-H165)*-1)+((I164-H164)*-1)</f>
        <v>0</v>
      </c>
      <c r="J283" s="268">
        <f>((J165-I165)*-1)+((J164-I164)*-1)</f>
        <v>0</v>
      </c>
      <c r="K283" s="268">
        <f>((K165-J165)*-1)+((K164-J164)*-1)</f>
        <v>0</v>
      </c>
      <c r="L283" s="268">
        <f>((L165-K165)*-1)+((L164-K164)*-1)</f>
        <v>0</v>
      </c>
      <c r="M283" s="268">
        <f>SUM(I283:L283)</f>
        <v>0</v>
      </c>
      <c r="N283" s="268">
        <f>((N165-M165)*-1)+((N164-M164)*-1)</f>
        <v>0</v>
      </c>
      <c r="O283" s="268">
        <f>((O165-N165)*-1)+((O164-N164)*-1)</f>
        <v>0</v>
      </c>
      <c r="P283" s="268">
        <f>((P165-O165)*-1)+((P164-O164)*-1)</f>
        <v>0</v>
      </c>
      <c r="Q283" s="268">
        <f>((Q165-P165)*-1)+((Q164-P164)*-1)</f>
        <v>0</v>
      </c>
      <c r="R283" s="268">
        <f>SUM(N283:Q283)</f>
        <v>0</v>
      </c>
      <c r="S283" s="268">
        <f>((S165-R165)*-1)+((S164-R164)*-1)</f>
        <v>0</v>
      </c>
      <c r="T283" s="268">
        <f>((T165-S165)*-1)+((T164-S164)*-1)</f>
        <v>0</v>
      </c>
      <c r="U283" s="268">
        <f>((U165-T165)*-1)+((U164-T164)*-1)</f>
        <v>0</v>
      </c>
      <c r="V283" s="268">
        <f>((V165-U165)*-1)+((V164-U164)*-1)</f>
        <v>0</v>
      </c>
      <c r="W283" s="268">
        <f>SUM(S283:V283)</f>
        <v>0</v>
      </c>
      <c r="X283" s="268">
        <f>((X165-W165)*-1)+((X164-W164)*-1)</f>
        <v>0</v>
      </c>
      <c r="Y283" s="268">
        <f>((Y165-X165)*-1)+((Y164-X164)*-1)</f>
        <v>0</v>
      </c>
      <c r="Z283" s="268">
        <f>((Z165-Y165)*-1)+((Z164-Y164)*-1)</f>
        <v>0</v>
      </c>
      <c r="AA283" s="268">
        <f>((AA165-Z165)*-1)+((AA164-Z164)*-1)</f>
        <v>0</v>
      </c>
      <c r="AB283" s="268">
        <f>SUM(X283:AA283)</f>
        <v>0</v>
      </c>
      <c r="AC283" s="268">
        <f>((AC165-AB165)*-1)+((AC164-AB164)*-1)</f>
        <v>0</v>
      </c>
      <c r="AD283" s="268">
        <f>((AD165-AC165)*-1)+((AD164-AC164)*-1)</f>
        <v>0</v>
      </c>
      <c r="AE283" s="268">
        <f>((AE165-AD165)*-1)+((AE164-AD164)*-1)</f>
        <v>0</v>
      </c>
      <c r="AF283" s="268">
        <f>((AF165-AE165)*-1)+((AF164-AE164)*-1)</f>
        <v>0</v>
      </c>
      <c r="AG283" s="268">
        <f>SUM(AC283:AF283)</f>
        <v>0</v>
      </c>
      <c r="AH283" s="268">
        <f>((AH165-AG165)*-1)+((AH164-AG164)*-1)</f>
        <v>0</v>
      </c>
      <c r="AI283" s="268">
        <f>((AI165-AH165)*-1)+((AI164-AH164)*-1)</f>
        <v>0</v>
      </c>
      <c r="AJ283" s="268">
        <f>((AJ165-AI165)*-1)+((AJ164-AI164)*-1)</f>
        <v>0</v>
      </c>
      <c r="AK283" s="268">
        <f>((AK165-AJ165)*-1)+((AK164-AJ164)*-1)</f>
        <v>0</v>
      </c>
      <c r="AL283" s="268">
        <f>SUM(AH283:AK283)</f>
        <v>0</v>
      </c>
      <c r="AM283" s="268">
        <f>((AM165-AL165)*-1)+((AM164-AL164)*-1)</f>
        <v>0</v>
      </c>
      <c r="AN283" s="268">
        <f>((AN165-AM165)*-1)+((AN164-AM164)*-1)</f>
        <v>0</v>
      </c>
      <c r="AO283" s="268">
        <f>((AO165-AN165)*-1)+((AO164-AN164)*-1)</f>
        <v>0</v>
      </c>
      <c r="AP283" s="268">
        <f>((AP165-AO165)*-1)+((AP164-AO164)*-1)</f>
        <v>0</v>
      </c>
      <c r="AQ283" s="268">
        <f>SUM(AM283:AP283)</f>
        <v>0</v>
      </c>
      <c r="AR283" s="268">
        <f>((AR165-AQ165)*-1)+((AR164-AQ164)*-1)</f>
        <v>0</v>
      </c>
      <c r="AS283" s="268">
        <f>((AS165-AR165)*-1)+((AS164-AR164)*-1)</f>
        <v>0</v>
      </c>
      <c r="AT283" s="268">
        <f>((AT165-AS165)*-1)+((AT164-AS164)*-1)</f>
        <v>0</v>
      </c>
      <c r="AU283" s="268">
        <f>((AU165-AT165)*-1)+((AU164-AT164)*-1)</f>
        <v>0</v>
      </c>
      <c r="AV283" s="268">
        <f>SUM(AR283:AU283)</f>
        <v>0</v>
      </c>
      <c r="AW283" s="268">
        <f>((AW165-AV165)*-1)+((AW164-AV164)*-1)</f>
        <v>0</v>
      </c>
      <c r="AX283" s="268">
        <f>((AX165-AW165)*-1)+((AX164-AW164)*-1)</f>
        <v>0</v>
      </c>
      <c r="AY283" s="268">
        <f>((AY165-AX165)*-1)+((AY164-AX164)*-1)</f>
        <v>0</v>
      </c>
      <c r="AZ283" s="268">
        <f>((AZ165-AY165)*-1)+((AZ164-AY164)*-1)</f>
        <v>0</v>
      </c>
      <c r="BA283" s="268">
        <f>SUM(AW283:AZ283)</f>
        <v>0</v>
      </c>
      <c r="BB283" s="268">
        <f>((BB165-BA165)*-1)+((BB164-BA164)*-1)</f>
        <v>0</v>
      </c>
      <c r="BC283" s="268">
        <f>((BC165-BB165)*-1)+((BC164-BB164)*-1)</f>
        <v>0</v>
      </c>
      <c r="BD283" s="268">
        <f>((BD165-BC165)*-1)+((BD164-BC164)*-1)</f>
        <v>0</v>
      </c>
      <c r="BE283" s="268">
        <f>((BE165-BD165)*-1)+((BE164-BD164)*-1)</f>
        <v>0</v>
      </c>
      <c r="BF283" s="268">
        <f>SUM(BB283:BE283)</f>
        <v>0</v>
      </c>
      <c r="BG283" s="268">
        <f>((BG165-BF165)*-1)+((BG164-BF164)*-1)</f>
        <v>0</v>
      </c>
      <c r="BH283" s="268">
        <f>((BH165-BG165)*-1)+((BH164-BG164)*-1)</f>
        <v>0</v>
      </c>
      <c r="BI283" s="268">
        <f>((BI165-BH165)*-1)+((BI164-BH164)*-1)</f>
        <v>0</v>
      </c>
      <c r="BJ283" s="268">
        <f>((BJ165-BI165)*-1)+((BJ164-BI164)*-1)</f>
        <v>0</v>
      </c>
      <c r="BK283" s="268">
        <f>SUM(BG283:BJ283)</f>
        <v>0</v>
      </c>
      <c r="BL283" s="268">
        <f>((BL165-BK165)*-1)+((BL164-BK164)*-1)</f>
        <v>0</v>
      </c>
      <c r="BM283" s="268">
        <f>((BM165-BL165)*-1)+((BM164-BL164)*-1)</f>
        <v>0</v>
      </c>
      <c r="BN283" s="268">
        <f>((BN165-BM165)*-1)+((BN164-BM164)*-1)</f>
        <v>0</v>
      </c>
      <c r="BO283" s="268">
        <f>((BO165-BN165)*-1)+((BO164-BN164)*-1)</f>
        <v>0</v>
      </c>
      <c r="BP283" s="268">
        <f>SUM(BL283:BO283)</f>
        <v>0</v>
      </c>
      <c r="BQ283" s="268">
        <f>((BQ165-BP165)*-1)+((BQ164-BP164)*-1)</f>
        <v>0</v>
      </c>
      <c r="BR283" s="268">
        <f>((BR165-BQ165)*-1)+((BR164-BQ164)*-1)</f>
        <v>0</v>
      </c>
      <c r="BS283" s="268">
        <f>((BS165-BR165)*-1)+((BS164-BR164)*-1)</f>
        <v>0</v>
      </c>
      <c r="BT283" s="268">
        <f>((BT165-BS165)*-1)+((BT164-BS164)*-1)</f>
        <v>0</v>
      </c>
      <c r="BU283" s="268">
        <f>SUM(BQ283:BT283)</f>
        <v>0</v>
      </c>
      <c r="BV283" s="268">
        <f>((BV165-BU165)*-1)+((BV164-BU164)*-1)</f>
        <v>0</v>
      </c>
      <c r="BW283" s="268">
        <f>((BW165-BV165)*-1)+((BW164-BV164)*-1)</f>
        <v>0</v>
      </c>
      <c r="BX283" s="268">
        <f>((BX165-BW165)*-1)+((BX164-BW164)*-1)</f>
        <v>0</v>
      </c>
      <c r="BY283" s="268">
        <f>((BY165-BX165)*-1)+((BY164-BX164)*-1)</f>
        <v>0</v>
      </c>
      <c r="BZ283" s="268">
        <f>SUM(BV283:BY283)</f>
        <v>0</v>
      </c>
      <c r="CA283" s="268">
        <f>((CA165-BZ165)*-1)+((CA164-BZ164)*-1)</f>
        <v>0</v>
      </c>
      <c r="CB283" s="268">
        <f>((CB165-CA165)*-1)+((CB164-CA164)*-1)</f>
        <v>0</v>
      </c>
      <c r="CC283" s="268">
        <f>((CC165-CB165)*-1)+((CC164-CB164)*-1)</f>
        <v>0</v>
      </c>
      <c r="CD283" s="268">
        <f>((CD165-CC165)*-1)+((CD164-CC164)*-1)</f>
        <v>0</v>
      </c>
      <c r="CE283" s="268">
        <f>SUM(CA283:CD283)</f>
        <v>0</v>
      </c>
      <c r="CF283" s="268">
        <f>((CF165-CE165)*-1)+((CF164-CE164)*-1)</f>
        <v>0</v>
      </c>
      <c r="CG283" s="268">
        <f>((CG165-CF165)*-1)+((CG164-CF164)*-1)</f>
        <v>0</v>
      </c>
      <c r="CH283" s="268">
        <f>((CH165-CG165)*-1)+((CH164-CG164)*-1)</f>
        <v>0</v>
      </c>
      <c r="CI283" s="268">
        <f>((CI165-CH165)*-1)+((CI164-CH164)*-1)</f>
        <v>0</v>
      </c>
      <c r="CJ283" s="268">
        <f>SUM(CF283:CI283)</f>
        <v>0</v>
      </c>
      <c r="CK283" s="268">
        <f>((CK165-CJ165)*-1)+((CK164-CJ164)*-1)</f>
        <v>0</v>
      </c>
      <c r="CL283" s="268">
        <f>((CL165-CK165)*-1)+((CL164-CK164)*-1)</f>
        <v>0</v>
      </c>
      <c r="CM283" s="268">
        <f>((CM165-CL165)*-1)+((CM164-CL164)*-1)</f>
        <v>0</v>
      </c>
      <c r="CN283" s="268">
        <f>((CN165-CM165)*-1)+((CN164-CM164)*-1)</f>
        <v>0</v>
      </c>
      <c r="CO283" s="268">
        <f>SUM(CK283:CN283)</f>
        <v>0</v>
      </c>
      <c r="CP283" s="268">
        <f>((CP165-CO165)*-1)+((CP164-CO164)*-1)</f>
        <v>0</v>
      </c>
      <c r="CQ283" s="268">
        <f>((CQ165-CP165)*-1)+((CQ164-CP164)*-1)</f>
        <v>0</v>
      </c>
      <c r="CR283" s="268">
        <f>((CR165-CQ165)*-1)+((CR164-CQ164)*-1)</f>
        <v>0</v>
      </c>
      <c r="CS283" s="268">
        <f>((CS165-CR165)*-1)+((CS164-CR164)*-1)</f>
        <v>0</v>
      </c>
      <c r="CT283" s="268">
        <f>SUM(CP283:CS283)</f>
        <v>0</v>
      </c>
      <c r="CU283" s="268">
        <f>((CU165-CT165)*-1)+((CU164-CT164)*-1)</f>
        <v>0</v>
      </c>
      <c r="CV283" s="268">
        <f>((CV165-CU165)*-1)+((CV164-CU164)*-1)</f>
        <v>0</v>
      </c>
      <c r="CW283" s="268">
        <f>((CW165-CV165)*-1)+((CW164-CV164)*-1)</f>
        <v>0</v>
      </c>
      <c r="CX283" s="268">
        <f>((CX165-CW165)*-1)+((CX164-CW164)*-1)</f>
        <v>0</v>
      </c>
      <c r="CY283" s="268">
        <f>SUM(CU283:CX283)</f>
        <v>0</v>
      </c>
      <c r="CZ283" s="268" t="n"/>
      <c r="DA283" s="268" t="n"/>
      <c r="DB283" s="268" t="n"/>
      <c r="DC283" s="268" t="n"/>
    </row>
    <row r="284" ht="12.75" customHeight="1" s="255">
      <c r="C284" s="328" t="inlineStr">
        <is>
          <t>Purchases/Proceeds from other long-term assets</t>
        </is>
      </c>
      <c r="D284" s="268" t="n"/>
      <c r="E284" s="268">
        <f>((E174-D174)*-1)+(E225-D225)</f>
        <v>-1126</v>
      </c>
      <c r="F284" s="268">
        <f>((F174-E174)*-1)+(F225-E225)</f>
        <v>-321</v>
      </c>
      <c r="G284" s="268">
        <f>((G174-F174)*-1)+(G225-F225)</f>
        <v>-4</v>
      </c>
      <c r="H284" s="268">
        <f>SUM(D284:G284)</f>
        <v>-1451</v>
      </c>
      <c r="I284" s="268">
        <f>((I174-H174)*-1)+(I225-H225)</f>
        <v>-230</v>
      </c>
      <c r="J284" s="268">
        <f>((J174-I174)*-1)+(J225-I225)</f>
        <v>16</v>
      </c>
      <c r="K284" s="268">
        <f>((K174-J174)*-1)+(K225-J225)</f>
        <v>158</v>
      </c>
      <c r="L284" s="268">
        <f>((L174-K174)*-1)+(L225-K225)</f>
        <v>-52</v>
      </c>
      <c r="M284" s="268">
        <f>SUM(I284:L284)</f>
        <v>-108</v>
      </c>
      <c r="N284" s="268">
        <f>((N174-M174)*-1)+(N225-M225)</f>
        <v>-292</v>
      </c>
      <c r="O284" s="268">
        <f>((O174-N174)*-1)+(O225-N225)</f>
        <v>-125</v>
      </c>
      <c r="P284" s="268">
        <f>((P174-O174)*-1)+(P225-O225)</f>
        <v>-60</v>
      </c>
      <c r="Q284" s="268">
        <f>((Q174-P174)*-1)+(Q225-P225)</f>
        <v>58</v>
      </c>
      <c r="R284" s="268">
        <f>SUM(N284:Q284)</f>
        <v>-419</v>
      </c>
      <c r="S284" s="268">
        <f>((S174-R174)*-1)+(S225-R225)</f>
        <v>-28</v>
      </c>
      <c r="T284" s="268">
        <f>((T174-S174)*-1)+(T225-S225)</f>
        <v>206</v>
      </c>
      <c r="U284" s="268">
        <f>((U174-T174)*-1)+(U225-T225)</f>
        <v>91</v>
      </c>
      <c r="V284" s="268">
        <f>((V174-U174)*-1)+(V225-U225)</f>
        <v>-94</v>
      </c>
      <c r="W284" s="268">
        <f>SUM(S284:V284)</f>
        <v>175</v>
      </c>
      <c r="X284" s="268">
        <f>((X174-W174)*-1)+(X225-W225)</f>
        <v>-52</v>
      </c>
      <c r="Y284" s="268">
        <f>((Y174-X174)*-1)+(Y225-X225)</f>
        <v>-45</v>
      </c>
      <c r="Z284" s="268">
        <f>((Z174-Y174)*-1)+(Z225-Y225)</f>
        <v>-1</v>
      </c>
      <c r="AA284" s="268">
        <f>((AA174-Z174)*-1)+(AA225-Z225)</f>
        <v>-15</v>
      </c>
      <c r="AB284" s="268">
        <f>SUM(X284:AA284)</f>
        <v>-113</v>
      </c>
      <c r="AC284" s="268">
        <f>((AC174-AB174)*-1)+(AC225-AB225)</f>
        <v>-3</v>
      </c>
      <c r="AD284" s="268">
        <f>((AD174-AC174)*-1)+(AD225-AC225)</f>
        <v>-55</v>
      </c>
      <c r="AE284" s="268">
        <f>((AE174-AD174)*-1)+(AE225-AD225)</f>
        <v>2</v>
      </c>
      <c r="AF284" s="268">
        <f>((AF174-AE174)*-1)+(AF225-AE225)</f>
        <v>-22</v>
      </c>
      <c r="AG284" s="268">
        <f>SUM(AC284:AF284)</f>
        <v>-78</v>
      </c>
      <c r="AH284" s="268">
        <f>((AH174-AG174)*-1)+(AH225-AG225)</f>
        <v>-25</v>
      </c>
      <c r="AI284" s="268">
        <f>((AI174-AH174)*-1)+(AI225-AH225)</f>
        <v>-75</v>
      </c>
      <c r="AJ284" s="268">
        <f>((AJ174-AI174)*-1)+(AJ225-AI225)</f>
        <v>0</v>
      </c>
      <c r="AK284" s="268">
        <f>((AK174-AJ174)*-1)+(AK225-AJ225)</f>
        <v>0</v>
      </c>
      <c r="AL284" s="268">
        <f>SUM(AH284:AK284)</f>
        <v>-100</v>
      </c>
      <c r="AM284" s="268">
        <f>((AM174-AL174)*-1)+(AM225-AL225)</f>
        <v>0</v>
      </c>
      <c r="AN284" s="268">
        <f>((AN174-AM174)*-1)+(AN225-AM225)</f>
        <v>0</v>
      </c>
      <c r="AO284" s="268">
        <f>((AO174-AN174)*-1)+(AO225-AN225)</f>
        <v>0</v>
      </c>
      <c r="AP284" s="268">
        <f>((AP174-AO174)*-1)+(AP225-AO225)</f>
        <v>0</v>
      </c>
      <c r="AQ284" s="268">
        <f>SUM(AM284:AP284)</f>
        <v>0</v>
      </c>
      <c r="AR284" s="268">
        <f>((AR174-AQ174)*-1)+(AR225-AQ225)</f>
        <v>0</v>
      </c>
      <c r="AS284" s="268">
        <f>((AS174-AR174)*-1)+(AS225-AR225)</f>
        <v>0</v>
      </c>
      <c r="AT284" s="268">
        <f>((AT174-AS174)*-1)+(AT225-AS225)</f>
        <v>0</v>
      </c>
      <c r="AU284" s="268">
        <f>((AU174-AT174)*-1)+(AU225-AT225)</f>
        <v>0</v>
      </c>
      <c r="AV284" s="268">
        <f>SUM(AR284:AU284)</f>
        <v>0</v>
      </c>
      <c r="AW284" s="268">
        <f>((AW174-AV174)*-1)+(AW225-AV225)</f>
        <v>0</v>
      </c>
      <c r="AX284" s="268">
        <f>((AX174-AW174)*-1)+(AX225-AW225)</f>
        <v>0</v>
      </c>
      <c r="AY284" s="268">
        <f>((AY174-AX174)*-1)+(AY225-AX225)</f>
        <v>0</v>
      </c>
      <c r="AZ284" s="268">
        <f>((AZ174-AY174)*-1)+(AZ225-AY225)</f>
        <v>0</v>
      </c>
      <c r="BA284" s="268">
        <f>SUM(AW284:AZ284)</f>
        <v>0</v>
      </c>
      <c r="BB284" s="268">
        <f>((BB174-BA174)*-1)+(BB225-BA225)</f>
        <v>0</v>
      </c>
      <c r="BC284" s="268">
        <f>((BC174-BB174)*-1)+(BC225-BB225)</f>
        <v>0</v>
      </c>
      <c r="BD284" s="268">
        <f>((BD174-BC174)*-1)+(BD225-BC225)</f>
        <v>0</v>
      </c>
      <c r="BE284" s="268">
        <f>((BE174-BD174)*-1)+(BE225-BD225)</f>
        <v>0</v>
      </c>
      <c r="BF284" s="268">
        <f>SUM(BB284:BE284)</f>
        <v>0</v>
      </c>
      <c r="BG284" s="268">
        <f>((BG174-BF174)*-1)+(BG225-BF225)</f>
        <v>0</v>
      </c>
      <c r="BH284" s="268">
        <f>((BH174-BG174)*-1)+(BH225-BG225)</f>
        <v>0</v>
      </c>
      <c r="BI284" s="268">
        <f>((BI174-BH174)*-1)+(BI225-BH225)</f>
        <v>0</v>
      </c>
      <c r="BJ284" s="268">
        <f>((BJ174-BI174)*-1)+(BJ225-BI225)</f>
        <v>0</v>
      </c>
      <c r="BK284" s="268">
        <f>SUM(BG284:BJ284)</f>
        <v>0</v>
      </c>
      <c r="BL284" s="268">
        <f>((BL174-BK174)*-1)+(BL225-BK225)</f>
        <v>0</v>
      </c>
      <c r="BM284" s="268">
        <f>((BM174-BL174)*-1)+(BM225-BL225)</f>
        <v>0</v>
      </c>
      <c r="BN284" s="268">
        <f>((BN174-BM174)*-1)+(BN225-BM225)</f>
        <v>0</v>
      </c>
      <c r="BO284" s="268">
        <f>((BO174-BN174)*-1)+(BO225-BN225)</f>
        <v>0</v>
      </c>
      <c r="BP284" s="268">
        <f>SUM(BL284:BO284)</f>
        <v>0</v>
      </c>
      <c r="BQ284" s="268">
        <f>((BQ174-BP174)*-1)+(BQ225-BP225)</f>
        <v>0</v>
      </c>
      <c r="BR284" s="268">
        <f>((BR174-BQ174)*-1)+(BR225-BQ225)</f>
        <v>0</v>
      </c>
      <c r="BS284" s="268">
        <f>((BS174-BR174)*-1)+(BS225-BR225)</f>
        <v>0</v>
      </c>
      <c r="BT284" s="268">
        <f>((BT174-BS174)*-1)+(BT225-BS225)</f>
        <v>0</v>
      </c>
      <c r="BU284" s="268">
        <f>SUM(BQ284:BT284)</f>
        <v>0</v>
      </c>
      <c r="BV284" s="268">
        <f>((BV174-BU174)*-1)+(BV225-BU225)</f>
        <v>0</v>
      </c>
      <c r="BW284" s="268">
        <f>((BW174-BV174)*-1)+(BW225-BV225)</f>
        <v>0</v>
      </c>
      <c r="BX284" s="268">
        <f>((BX174-BW174)*-1)+(BX225-BW225)</f>
        <v>0</v>
      </c>
      <c r="BY284" s="268">
        <f>((BY174-BX174)*-1)+(BY225-BX225)</f>
        <v>0</v>
      </c>
      <c r="BZ284" s="268">
        <f>SUM(BV284:BY284)</f>
        <v>0</v>
      </c>
      <c r="CA284" s="268">
        <f>((CA174-BZ174)*-1)+(CA225-BZ225)</f>
        <v>0</v>
      </c>
      <c r="CB284" s="268">
        <f>((CB174-CA174)*-1)+(CB225-CA225)</f>
        <v>0</v>
      </c>
      <c r="CC284" s="268">
        <f>((CC174-CB174)*-1)+(CC225-CB225)</f>
        <v>0</v>
      </c>
      <c r="CD284" s="268">
        <f>((CD174-CC174)*-1)+(CD225-CC225)</f>
        <v>0</v>
      </c>
      <c r="CE284" s="268">
        <f>SUM(CA284:CD284)</f>
        <v>0</v>
      </c>
      <c r="CF284" s="268">
        <f>((CF174-CE174)*-1)+(CF225-CE225)</f>
        <v>0</v>
      </c>
      <c r="CG284" s="268">
        <f>((CG174-CF174)*-1)+(CG225-CF225)</f>
        <v>0</v>
      </c>
      <c r="CH284" s="268">
        <f>((CH174-CG174)*-1)+(CH225-CG225)</f>
        <v>0</v>
      </c>
      <c r="CI284" s="268">
        <f>((CI174-CH174)*-1)+(CI225-CH225)</f>
        <v>0</v>
      </c>
      <c r="CJ284" s="268">
        <f>SUM(CF284:CI284)</f>
        <v>0</v>
      </c>
      <c r="CK284" s="268">
        <f>((CK174-CJ174)*-1)+(CK225-CJ225)</f>
        <v>0</v>
      </c>
      <c r="CL284" s="268">
        <f>((CL174-CK174)*-1)+(CL225-CK225)</f>
        <v>0</v>
      </c>
      <c r="CM284" s="268">
        <f>((CM174-CL174)*-1)+(CM225-CL225)</f>
        <v>0</v>
      </c>
      <c r="CN284" s="268">
        <f>((CN174-CM174)*-1)+(CN225-CM225)</f>
        <v>0</v>
      </c>
      <c r="CO284" s="268">
        <f>SUM(CK284:CN284)</f>
        <v>0</v>
      </c>
      <c r="CP284" s="268">
        <f>((CP174-CO174)*-1)+(CP225-CO225)</f>
        <v>0</v>
      </c>
      <c r="CQ284" s="268">
        <f>((CQ174-CP174)*-1)+(CQ225-CP225)</f>
        <v>0</v>
      </c>
      <c r="CR284" s="268">
        <f>((CR174-CQ174)*-1)+(CR225-CQ225)</f>
        <v>0</v>
      </c>
      <c r="CS284" s="268">
        <f>((CS174-CR174)*-1)+(CS225-CR225)</f>
        <v>0</v>
      </c>
      <c r="CT284" s="268">
        <f>SUM(CP284:CS284)</f>
        <v>0</v>
      </c>
      <c r="CU284" s="268">
        <f>((CU174-CT174)*-1)+(CU225-CT225)</f>
        <v>0</v>
      </c>
      <c r="CV284" s="268">
        <f>((CV174-CU174)*-1)+(CV225-CU225)</f>
        <v>0</v>
      </c>
      <c r="CW284" s="268">
        <f>((CW174-CV174)*-1)+(CW225-CV225)</f>
        <v>0</v>
      </c>
      <c r="CX284" s="268">
        <f>((CX174-CW174)*-1)+(CX225-CW225)</f>
        <v>0</v>
      </c>
      <c r="CY284" s="268">
        <f>SUM(CU284:CX284)</f>
        <v>0</v>
      </c>
    </row>
    <row r="285" ht="12.75" customHeight="1" s="255">
      <c r="C285" s="270" t="inlineStr">
        <is>
          <t>Cash from investing</t>
        </is>
      </c>
      <c r="D285" s="268" t="n"/>
      <c r="E285" s="268">
        <f>SUM(E280,E281,E283,E284,E282)</f>
        <v>-1707</v>
      </c>
      <c r="F285" s="268">
        <f>SUM(F280,F281,F283,F284,F282)</f>
        <v>-1145</v>
      </c>
      <c r="G285" s="268">
        <f>SUM(G280,G281,G283,G284,G282)</f>
        <v>-886</v>
      </c>
      <c r="H285" s="268">
        <f>SUM(H280,H281,H283,H284)</f>
        <v>-3549</v>
      </c>
      <c r="I285" s="268">
        <f>SUM(I280,I281,I283,I284,I282)</f>
        <v>-991</v>
      </c>
      <c r="J285" s="268">
        <f>SUM(J280,J281,J283,J284,J282)</f>
        <v>-1020</v>
      </c>
      <c r="K285" s="268">
        <f>SUM(K280,K281,K283,K284,K282)</f>
        <v>-731</v>
      </c>
      <c r="L285" s="268">
        <f>SUM(L280,L281,L283,L284,L282)</f>
        <v>-892</v>
      </c>
      <c r="M285" s="268">
        <f>SUM(M280,M281,M283,M284)</f>
        <v>-3516</v>
      </c>
      <c r="N285" s="268">
        <f>SUM(N280,N281,N283,N284,N282)</f>
        <v>-830</v>
      </c>
      <c r="O285" s="268">
        <f>SUM(O280,O281,O283,O284,O282)</f>
        <v>-545</v>
      </c>
      <c r="P285" s="268">
        <f>SUM(P280,P281,P283,P284,P282)</f>
        <v>-1200</v>
      </c>
      <c r="Q285" s="268">
        <f>SUM(Q280,Q281,Q283,Q284,Q282)</f>
        <v>-900</v>
      </c>
      <c r="R285" s="268">
        <f>SUM(R280,R281,R283,R284)</f>
        <v>-3591</v>
      </c>
      <c r="S285" s="268">
        <f>SUM(S280,S281,S283,S284,S282)</f>
        <v>-1150</v>
      </c>
      <c r="T285" s="268">
        <f>SUM(T280,T281,T283,T284,T282)</f>
        <v>-420</v>
      </c>
      <c r="U285" s="268">
        <f>SUM(U280,U281,U283,U284,U282)</f>
        <v>-1257</v>
      </c>
      <c r="V285" s="268">
        <f>SUM(V280,V281,V283,V284,V282)</f>
        <v>-1038</v>
      </c>
      <c r="W285" s="268">
        <f>SUM(W280,W281,W283,W284)</f>
        <v>-3980</v>
      </c>
      <c r="X285" s="268">
        <f>SUM(X280,X281,X283,X284,X282)</f>
        <v>-1067</v>
      </c>
      <c r="Y285" s="268">
        <f>SUM(Y280,Y281,Y283,Y284,Y282)</f>
        <v>-925</v>
      </c>
      <c r="Z285" s="268">
        <f>SUM(Z280,Z281,Z283,Z284,Z282)</f>
        <v>-1651</v>
      </c>
      <c r="AA285" s="268">
        <f>SUM(AA280,AA281,AA283,AA284,AA282)</f>
        <v>-789</v>
      </c>
      <c r="AB285" s="268">
        <f>SUM(AB280,AB281,AB283,AB284)</f>
        <v>-4565</v>
      </c>
      <c r="AC285" s="268">
        <f>SUM(AC280,AC281,AC283,AC284,AC282)</f>
        <v>-1020</v>
      </c>
      <c r="AD285" s="268">
        <f>SUM(AD280,AD281,AD283,AD284,AD282)</f>
        <v>-1567</v>
      </c>
      <c r="AE285" s="268">
        <f>SUM(AE280,AE281,AE283,AE284,AE282)</f>
        <v>-2106</v>
      </c>
      <c r="AF285" s="268">
        <f>SUM(AF280,AF281,AF283,AF284,AF282)</f>
        <v>-1331</v>
      </c>
      <c r="AG285" s="268">
        <f>SUM(AG280,AG281,AG283,AG284)</f>
        <v>-5833</v>
      </c>
      <c r="AH285" s="268">
        <f>SUM(AH280,AH281,AH283,AH284,AH282)</f>
        <v>-1680</v>
      </c>
      <c r="AI285" s="268">
        <f>SUM(AI280,AI281,AI283,AI284,AI282)</f>
        <v>-1308</v>
      </c>
      <c r="AJ285" s="268">
        <f>SUM(AJ280,AJ281,AJ283,AJ284,AJ282)</f>
        <v>0</v>
      </c>
      <c r="AK285" s="268">
        <f>SUM(AK280,AK281,AK283,AK284,AK282)</f>
        <v>0</v>
      </c>
      <c r="AL285" s="268">
        <f>SUM(AL280,AL281,AL283,AL284)</f>
        <v>-2971</v>
      </c>
      <c r="AM285" s="268">
        <f>SUM(AM280,AM281,AM283,AM284,AM282)</f>
        <v>0</v>
      </c>
      <c r="AN285" s="268">
        <f>SUM(AN280,AN281,AN283,AN284,AN282)</f>
        <v>0</v>
      </c>
      <c r="AO285" s="268">
        <f>SUM(AO280,AO281,AO283,AO284,AO282)</f>
        <v>0</v>
      </c>
      <c r="AP285" s="268">
        <f>SUM(AP280,AP281,AP283,AP284,AP282)</f>
        <v>0</v>
      </c>
      <c r="AQ285" s="268">
        <f>SUM(AQ280,AQ281,AQ283,AQ284)</f>
        <v>0</v>
      </c>
      <c r="AR285" s="268">
        <f>SUM(AR280,AR281,AR283,AR284,AR282)</f>
        <v>0</v>
      </c>
      <c r="AS285" s="268">
        <f>SUM(AS280,AS281,AS283,AS284,AS282)</f>
        <v>0</v>
      </c>
      <c r="AT285" s="268">
        <f>SUM(AT280,AT281,AT283,AT284,AT282)</f>
        <v>0</v>
      </c>
      <c r="AU285" s="268">
        <f>SUM(AU280,AU281,AU283,AU284,AU282)</f>
        <v>0</v>
      </c>
      <c r="AV285" s="268">
        <f>SUM(AV280,AV281,AV283,AV284)</f>
        <v>0</v>
      </c>
      <c r="AW285" s="268">
        <f>SUM(AW280,AW281,AW283,AW284,AW282)</f>
        <v>0</v>
      </c>
      <c r="AX285" s="268">
        <f>SUM(AX280,AX281,AX283,AX284,AX282)</f>
        <v>0</v>
      </c>
      <c r="AY285" s="268">
        <f>SUM(AY280,AY281,AY283,AY284,AY282)</f>
        <v>0</v>
      </c>
      <c r="AZ285" s="268">
        <f>SUM(AZ280,AZ281,AZ283,AZ284,AZ282)</f>
        <v>0</v>
      </c>
      <c r="BA285" s="268">
        <f>SUM(BA280,BA281,BA283,BA284)</f>
        <v>0</v>
      </c>
      <c r="BB285" s="268">
        <f>SUM(BB280,BB281,BB283,BB284,BB282)</f>
        <v>0</v>
      </c>
      <c r="BC285" s="268">
        <f>SUM(BC280,BC281,BC283,BC284,BC282)</f>
        <v>0</v>
      </c>
      <c r="BD285" s="268">
        <f>SUM(BD280,BD281,BD283,BD284,BD282)</f>
        <v>0</v>
      </c>
      <c r="BE285" s="268">
        <f>SUM(BE280,BE281,BE283,BE284,BE282)</f>
        <v>0</v>
      </c>
      <c r="BF285" s="268">
        <f>SUM(BF280,BF281,BF283,BF284)</f>
        <v>0</v>
      </c>
      <c r="BG285" s="268">
        <f>SUM(BG280,BG281,BG283,BG284,BG282)</f>
        <v>0</v>
      </c>
      <c r="BH285" s="268">
        <f>SUM(BH280,BH281,BH283,BH284,BH282)</f>
        <v>0</v>
      </c>
      <c r="BI285" s="268">
        <f>SUM(BI280,BI281,BI283,BI284,BI282)</f>
        <v>0</v>
      </c>
      <c r="BJ285" s="268">
        <f>SUM(BJ280,BJ281,BJ283,BJ284,BJ282)</f>
        <v>0</v>
      </c>
      <c r="BK285" s="268">
        <f>SUM(BK280,BK281,BK283,BK284)</f>
        <v>0</v>
      </c>
      <c r="BL285" s="268">
        <f>SUM(BL280,BL281,BL283,BL284,BL282)</f>
        <v>0</v>
      </c>
      <c r="BM285" s="268">
        <f>SUM(BM280,BM281,BM283,BM284,BM282)</f>
        <v>0</v>
      </c>
      <c r="BN285" s="268">
        <f>SUM(BN280,BN281,BN283,BN284,BN282)</f>
        <v>0</v>
      </c>
      <c r="BO285" s="268">
        <f>SUM(BO280,BO281,BO283,BO284,BO282)</f>
        <v>0</v>
      </c>
      <c r="BP285" s="268">
        <f>SUM(BP280,BP281,BP283,BP284)</f>
        <v>0</v>
      </c>
      <c r="BQ285" s="268">
        <f>SUM(BQ280,BQ281,BQ283,BQ284,BQ282)</f>
        <v>0</v>
      </c>
      <c r="BR285" s="268">
        <f>SUM(BR280,BR281,BR283,BR284,BR282)</f>
        <v>0</v>
      </c>
      <c r="BS285" s="268">
        <f>SUM(BS280,BS281,BS283,BS284,BS282)</f>
        <v>0</v>
      </c>
      <c r="BT285" s="268">
        <f>SUM(BT280,BT281,BT283,BT284,BT282)</f>
        <v>0</v>
      </c>
      <c r="BU285" s="268">
        <f>SUM(BU280,BU281,BU283,BU284)</f>
        <v>0</v>
      </c>
      <c r="BV285" s="268">
        <f>SUM(BV280,BV281,BV283,BV284,BV282)</f>
        <v>0</v>
      </c>
      <c r="BW285" s="268">
        <f>SUM(BW280,BW281,BW283,BW284,BW282)</f>
        <v>0</v>
      </c>
      <c r="BX285" s="268">
        <f>SUM(BX280,BX281,BX283,BX284,BX282)</f>
        <v>0</v>
      </c>
      <c r="BY285" s="268">
        <f>SUM(BY280,BY281,BY283,BY284,BY282)</f>
        <v>0</v>
      </c>
      <c r="BZ285" s="268">
        <f>SUM(BZ280,BZ281,BZ283,BZ284)</f>
        <v>0</v>
      </c>
      <c r="CA285" s="268">
        <f>SUM(CA280,CA281,CA283,CA284,CA282)</f>
        <v>0</v>
      </c>
      <c r="CB285" s="268">
        <f>SUM(CB280,CB281,CB283,CB284,CB282)</f>
        <v>0</v>
      </c>
      <c r="CC285" s="268">
        <f>SUM(CC280,CC281,CC283,CC284,CC282)</f>
        <v>0</v>
      </c>
      <c r="CD285" s="268">
        <f>SUM(CD280,CD281,CD283,CD284,CD282)</f>
        <v>0</v>
      </c>
      <c r="CE285" s="268">
        <f>SUM(CE280,CE281,CE283,CE284)</f>
        <v>0</v>
      </c>
      <c r="CF285" s="268">
        <f>SUM(CF280,CF281,CF283,CF284,CF282)</f>
        <v>0</v>
      </c>
      <c r="CG285" s="268">
        <f>SUM(CG280,CG281,CG283,CG284,CG282)</f>
        <v>0</v>
      </c>
      <c r="CH285" s="268">
        <f>SUM(CH280,CH281,CH283,CH284,CH282)</f>
        <v>0</v>
      </c>
      <c r="CI285" s="268">
        <f>SUM(CI280,CI281,CI283,CI284,CI282)</f>
        <v>0</v>
      </c>
      <c r="CJ285" s="268">
        <f>SUM(CJ280,CJ281,CJ283,CJ284)</f>
        <v>0</v>
      </c>
      <c r="CK285" s="268">
        <f>SUM(CK280,CK281,CK283,CK284,CK282)</f>
        <v>0</v>
      </c>
      <c r="CL285" s="268">
        <f>SUM(CL280,CL281,CL283,CL284,CL282)</f>
        <v>0</v>
      </c>
      <c r="CM285" s="268">
        <f>SUM(CM280,CM281,CM283,CM284,CM282)</f>
        <v>0</v>
      </c>
      <c r="CN285" s="268">
        <f>SUM(CN280,CN281,CN283,CN284,CN282)</f>
        <v>0</v>
      </c>
      <c r="CO285" s="268">
        <f>SUM(CO280,CO281,CO283,CO284)</f>
        <v>0</v>
      </c>
      <c r="CP285" s="268">
        <f>SUM(CP280,CP281,CP283,CP284,CP282)</f>
        <v>0</v>
      </c>
      <c r="CQ285" s="268">
        <f>SUM(CQ280,CQ281,CQ283,CQ284,CQ282)</f>
        <v>0</v>
      </c>
      <c r="CR285" s="268">
        <f>SUM(CR280,CR281,CR283,CR284,CR282)</f>
        <v>0</v>
      </c>
      <c r="CS285" s="268">
        <f>SUM(CS280,CS281,CS283,CS284,CS282)</f>
        <v>0</v>
      </c>
      <c r="CT285" s="268">
        <f>SUM(CT280,CT281,CT283,CT284)</f>
        <v>0</v>
      </c>
      <c r="CU285" s="268">
        <f>SUM(CU280,CU281,CU283,CU284,CU282)</f>
        <v>0</v>
      </c>
      <c r="CV285" s="268">
        <f>SUM(CV280,CV281,CV283,CV284,CV282)</f>
        <v>0</v>
      </c>
      <c r="CW285" s="268">
        <f>SUM(CW280,CW281,CW283,CW284,CW282)</f>
        <v>0</v>
      </c>
      <c r="CX285" s="268">
        <f>SUM(CX280,CX281,CX283,CX284,CX282)</f>
        <v>0</v>
      </c>
      <c r="CY285" s="268">
        <f>SUM(CY280,CY281,CY283,CY284)</f>
        <v>0</v>
      </c>
    </row>
    <row r="286" ht="12.75" customHeight="1" s="255">
      <c r="C286" s="270" t="n"/>
      <c r="D286" s="268" t="n"/>
      <c r="E286" s="268" t="n"/>
      <c r="F286" s="268" t="n"/>
      <c r="G286" s="268" t="n"/>
      <c r="H286" s="268" t="n"/>
      <c r="I286" s="268" t="n"/>
      <c r="J286" s="268" t="n"/>
      <c r="K286" s="268" t="n"/>
      <c r="L286" s="268" t="n"/>
      <c r="M286" s="268" t="n"/>
      <c r="N286" s="268" t="n"/>
      <c r="O286" s="268" t="n"/>
      <c r="P286" s="268" t="n"/>
      <c r="Q286" s="268" t="n"/>
      <c r="R286" s="268" t="n"/>
      <c r="S286" s="268" t="n"/>
      <c r="T286" s="268" t="n"/>
      <c r="U286" s="268" t="n"/>
      <c r="V286" s="268" t="n"/>
      <c r="W286" s="268" t="n"/>
      <c r="X286" s="268" t="n"/>
      <c r="Y286" s="268" t="n"/>
      <c r="Z286" s="268" t="n"/>
      <c r="AA286" s="268" t="n"/>
      <c r="AB286" s="268" t="n"/>
      <c r="AC286" s="268" t="n"/>
      <c r="AD286" s="268" t="n"/>
      <c r="AE286" s="268" t="n"/>
      <c r="AF286" s="268" t="n"/>
      <c r="AG286" s="268" t="n"/>
      <c r="AH286" s="268" t="n"/>
      <c r="AI286" s="268" t="n"/>
      <c r="AJ286" s="268" t="n"/>
      <c r="AK286" s="268" t="n"/>
      <c r="AL286" s="268" t="n"/>
      <c r="AM286" s="268" t="n"/>
      <c r="AN286" s="268" t="n"/>
      <c r="AO286" s="268" t="n"/>
      <c r="AP286" s="268" t="n"/>
      <c r="AQ286" s="268" t="n"/>
      <c r="AR286" s="268" t="n"/>
      <c r="AS286" s="268" t="n"/>
      <c r="AT286" s="268" t="n"/>
      <c r="AU286" s="268" t="n"/>
      <c r="AV286" s="268" t="n"/>
      <c r="AW286" s="268" t="n"/>
      <c r="AX286" s="268" t="n"/>
      <c r="AY286" s="268" t="n"/>
      <c r="AZ286" s="268" t="n"/>
      <c r="BA286" s="268" t="n"/>
      <c r="BB286" s="268" t="n"/>
      <c r="BC286" s="268" t="n"/>
      <c r="BD286" s="268" t="n"/>
      <c r="BE286" s="268" t="n"/>
      <c r="BF286" s="268" t="n"/>
      <c r="BG286" s="268" t="n"/>
      <c r="BH286" s="268" t="n"/>
      <c r="BI286" s="268" t="n"/>
      <c r="BJ286" s="268" t="n"/>
      <c r="BK286" s="268" t="n"/>
      <c r="BL286" s="268" t="n"/>
      <c r="BM286" s="268" t="n"/>
      <c r="BN286" s="268" t="n"/>
      <c r="BO286" s="268" t="n"/>
      <c r="BP286" s="268" t="n"/>
      <c r="BQ286" s="268" t="n"/>
      <c r="BR286" s="268" t="n"/>
      <c r="BS286" s="268" t="n"/>
      <c r="BT286" s="268" t="n"/>
      <c r="BU286" s="268" t="n"/>
      <c r="BV286" s="268" t="n"/>
      <c r="BW286" s="268" t="n"/>
      <c r="BX286" s="268" t="n"/>
      <c r="BY286" s="268" t="n"/>
      <c r="BZ286" s="268" t="n"/>
      <c r="CA286" s="268" t="n"/>
      <c r="CB286" s="268" t="n"/>
      <c r="CC286" s="268" t="n"/>
      <c r="CD286" s="268" t="n"/>
      <c r="CE286" s="268" t="n"/>
      <c r="CF286" s="268" t="n"/>
      <c r="CG286" s="268" t="n"/>
      <c r="CH286" s="268" t="n"/>
      <c r="CI286" s="268" t="n"/>
      <c r="CJ286" s="268" t="n"/>
      <c r="CK286" s="268" t="n"/>
      <c r="CL286" s="268" t="n"/>
      <c r="CM286" s="268" t="n"/>
      <c r="CN286" s="268" t="n"/>
      <c r="CO286" s="268" t="n"/>
      <c r="CP286" s="268" t="n"/>
      <c r="CQ286" s="268" t="n"/>
      <c r="CR286" s="268" t="n"/>
      <c r="CS286" s="268" t="n"/>
      <c r="CT286" s="268" t="n"/>
      <c r="CU286" s="268" t="n"/>
      <c r="CV286" s="268" t="n"/>
      <c r="CW286" s="268" t="n"/>
      <c r="CX286" s="268" t="n"/>
      <c r="CY286" s="268" t="n"/>
    </row>
    <row r="287" ht="12.75" customHeight="1" s="255">
      <c r="C287" s="270" t="inlineStr">
        <is>
          <t>Convertible preferred stock</t>
        </is>
      </c>
      <c r="D287" s="268" t="n"/>
      <c r="E287" s="268">
        <f>E238-D238</f>
        <v>0</v>
      </c>
      <c r="F287" s="268">
        <f>F238-E238</f>
        <v>0</v>
      </c>
      <c r="G287" s="268">
        <f>G238-F238</f>
        <v>0</v>
      </c>
      <c r="H287" s="268">
        <f>SUM(D287:G287)</f>
        <v>0</v>
      </c>
      <c r="I287" s="268">
        <f>I238-H238</f>
        <v>0</v>
      </c>
      <c r="J287" s="268">
        <f>J238-I238</f>
        <v>0</v>
      </c>
      <c r="K287" s="268">
        <f>K238-J238</f>
        <v>0</v>
      </c>
      <c r="L287" s="268">
        <f>L238-K238</f>
        <v>0</v>
      </c>
      <c r="M287" s="268">
        <f>SUM(I287:L287)</f>
        <v>0</v>
      </c>
      <c r="N287" s="268">
        <f>N238-M238</f>
        <v>0</v>
      </c>
      <c r="O287" s="268">
        <f>O238-N238</f>
        <v>0</v>
      </c>
      <c r="P287" s="268">
        <f>P238-O238</f>
        <v>0</v>
      </c>
      <c r="Q287" s="268">
        <f>Q238-P238</f>
        <v>0</v>
      </c>
      <c r="R287" s="268">
        <f>SUM(N287:Q287)</f>
        <v>0</v>
      </c>
      <c r="S287" s="268">
        <f>S238-R238</f>
        <v>0</v>
      </c>
      <c r="T287" s="268">
        <f>T238-S238</f>
        <v>0</v>
      </c>
      <c r="U287" s="268">
        <f>U238-T238</f>
        <v>0</v>
      </c>
      <c r="V287" s="268">
        <f>V238-U238</f>
        <v>0</v>
      </c>
      <c r="W287" s="268">
        <f>SUM(S287:V287)</f>
        <v>0</v>
      </c>
      <c r="X287" s="268">
        <f>X238-W238</f>
        <v>0</v>
      </c>
      <c r="Y287" s="268">
        <f>Y238-X238</f>
        <v>0</v>
      </c>
      <c r="Z287" s="268">
        <f>Z238-Y238</f>
        <v>0</v>
      </c>
      <c r="AA287" s="268">
        <f>AA238-Z238</f>
        <v>0</v>
      </c>
      <c r="AB287" s="268">
        <f>SUM(X287:AA287)</f>
        <v>0</v>
      </c>
      <c r="AC287" s="268">
        <f>AC238-AB238</f>
        <v>0</v>
      </c>
      <c r="AD287" s="268">
        <f>AD238-AC238</f>
        <v>0</v>
      </c>
      <c r="AE287" s="268">
        <f>AE238-AD238</f>
        <v>0</v>
      </c>
      <c r="AF287" s="268">
        <f>AF238-AE238</f>
        <v>0</v>
      </c>
      <c r="AG287" s="268">
        <f>SUM(AC287:AF287)</f>
        <v>0</v>
      </c>
      <c r="AH287" s="268">
        <f>AH238-AG238</f>
        <v>0</v>
      </c>
      <c r="AI287" s="268">
        <f>AI238-AH238</f>
        <v>0</v>
      </c>
      <c r="AJ287" s="268">
        <f>AJ238-AI238</f>
        <v>0</v>
      </c>
      <c r="AK287" s="268">
        <f>AK238-AJ238</f>
        <v>0</v>
      </c>
      <c r="AL287" s="268">
        <f>SUM(AH287:AK287)</f>
        <v>0</v>
      </c>
      <c r="AM287" s="268">
        <f>AM238-AL238</f>
        <v>0</v>
      </c>
      <c r="AN287" s="268">
        <f>AN238-AM238</f>
        <v>0</v>
      </c>
      <c r="AO287" s="268">
        <f>AO238-AN238</f>
        <v>0</v>
      </c>
      <c r="AP287" s="268">
        <f>AP238-AO238</f>
        <v>0</v>
      </c>
      <c r="AQ287" s="268">
        <f>SUM(AM287:AP287)</f>
        <v>0</v>
      </c>
      <c r="AR287" s="268">
        <f>AR238-AQ238</f>
        <v>0</v>
      </c>
      <c r="AS287" s="268">
        <f>AS238-AR238</f>
        <v>0</v>
      </c>
      <c r="AT287" s="268">
        <f>AT238-AS238</f>
        <v>0</v>
      </c>
      <c r="AU287" s="268">
        <f>AU238-AT238</f>
        <v>0</v>
      </c>
      <c r="AV287" s="268">
        <f>SUM(AR287:AU287)</f>
        <v>0</v>
      </c>
      <c r="AW287" s="268">
        <f>AW238-AV238</f>
        <v>0</v>
      </c>
      <c r="AX287" s="268">
        <f>AX238-AW238</f>
        <v>0</v>
      </c>
      <c r="AY287" s="268">
        <f>AY238-AX238</f>
        <v>0</v>
      </c>
      <c r="AZ287" s="268">
        <f>AZ238-AY238</f>
        <v>0</v>
      </c>
      <c r="BA287" s="268">
        <f>SUM(AW287:AZ287)</f>
        <v>0</v>
      </c>
      <c r="BB287" s="268">
        <f>BB238-BA238</f>
        <v>0</v>
      </c>
      <c r="BC287" s="268">
        <f>BC238-BB238</f>
        <v>0</v>
      </c>
      <c r="BD287" s="268">
        <f>BD238-BC238</f>
        <v>0</v>
      </c>
      <c r="BE287" s="268">
        <f>BE238-BD238</f>
        <v>0</v>
      </c>
      <c r="BF287" s="268">
        <f>SUM(BB287:BE287)</f>
        <v>0</v>
      </c>
      <c r="BG287" s="268">
        <f>BG238-BF238</f>
        <v>0</v>
      </c>
      <c r="BH287" s="268">
        <f>BH238-BG238</f>
        <v>0</v>
      </c>
      <c r="BI287" s="268">
        <f>BI238-BH238</f>
        <v>0</v>
      </c>
      <c r="BJ287" s="268">
        <f>BJ238-BI238</f>
        <v>0</v>
      </c>
      <c r="BK287" s="268">
        <f>SUM(BG287:BJ287)</f>
        <v>0</v>
      </c>
      <c r="BL287" s="268">
        <f>BL238-BK238</f>
        <v>0</v>
      </c>
      <c r="BM287" s="268">
        <f>BM238-BL238</f>
        <v>0</v>
      </c>
      <c r="BN287" s="268">
        <f>BN238-BM238</f>
        <v>0</v>
      </c>
      <c r="BO287" s="268">
        <f>BO238-BN238</f>
        <v>0</v>
      </c>
      <c r="BP287" s="268">
        <f>SUM(BL287:BO287)</f>
        <v>0</v>
      </c>
      <c r="BQ287" s="268">
        <f>BQ238-BP238</f>
        <v>0</v>
      </c>
      <c r="BR287" s="268">
        <f>BR238-BQ238</f>
        <v>0</v>
      </c>
      <c r="BS287" s="268">
        <f>BS238-BR238</f>
        <v>0</v>
      </c>
      <c r="BT287" s="268">
        <f>BT238-BS238</f>
        <v>0</v>
      </c>
      <c r="BU287" s="268">
        <f>SUM(BQ287:BT287)</f>
        <v>0</v>
      </c>
      <c r="BV287" s="268">
        <f>BV238-BU238</f>
        <v>0</v>
      </c>
      <c r="BW287" s="268">
        <f>BW238-BV238</f>
        <v>0</v>
      </c>
      <c r="BX287" s="268">
        <f>BX238-BW238</f>
        <v>0</v>
      </c>
      <c r="BY287" s="268">
        <f>BY238-BX238</f>
        <v>0</v>
      </c>
      <c r="BZ287" s="268">
        <f>SUM(BV287:BY287)</f>
        <v>0</v>
      </c>
      <c r="CA287" s="268">
        <f>CA238-BZ238</f>
        <v>0</v>
      </c>
      <c r="CB287" s="268">
        <f>CB238-CA238</f>
        <v>0</v>
      </c>
      <c r="CC287" s="268">
        <f>CC238-CB238</f>
        <v>0</v>
      </c>
      <c r="CD287" s="268">
        <f>CD238-CC238</f>
        <v>0</v>
      </c>
      <c r="CE287" s="268">
        <f>SUM(CA287:CD287)</f>
        <v>0</v>
      </c>
      <c r="CF287" s="268">
        <f>CF238-CE238</f>
        <v>0</v>
      </c>
      <c r="CG287" s="268">
        <f>CG238-CF238</f>
        <v>0</v>
      </c>
      <c r="CH287" s="268">
        <f>CH238-CG238</f>
        <v>0</v>
      </c>
      <c r="CI287" s="268">
        <f>CI238-CH238</f>
        <v>0</v>
      </c>
      <c r="CJ287" s="268">
        <f>SUM(CF287:CI287)</f>
        <v>0</v>
      </c>
      <c r="CK287" s="268">
        <f>CK238-CJ238</f>
        <v>0</v>
      </c>
      <c r="CL287" s="268">
        <f>CL238-CK238</f>
        <v>0</v>
      </c>
      <c r="CM287" s="268">
        <f>CM238-CL238</f>
        <v>0</v>
      </c>
      <c r="CN287" s="268">
        <f>CN238-CM238</f>
        <v>0</v>
      </c>
      <c r="CO287" s="268">
        <f>SUM(CK287:CN287)</f>
        <v>0</v>
      </c>
      <c r="CP287" s="268">
        <f>CP238-CO238</f>
        <v>0</v>
      </c>
      <c r="CQ287" s="268">
        <f>CQ238-CP238</f>
        <v>0</v>
      </c>
      <c r="CR287" s="268">
        <f>CR238-CQ238</f>
        <v>0</v>
      </c>
      <c r="CS287" s="268">
        <f>CS238-CR238</f>
        <v>0</v>
      </c>
      <c r="CT287" s="268">
        <f>SUM(CP287:CS287)</f>
        <v>0</v>
      </c>
      <c r="CU287" s="268">
        <f>CU238-CT238</f>
        <v>0</v>
      </c>
      <c r="CV287" s="268">
        <f>CV238-CU238</f>
        <v>0</v>
      </c>
      <c r="CW287" s="268">
        <f>CW238-CV238</f>
        <v>0</v>
      </c>
      <c r="CX287" s="268">
        <f>CX238-CW238</f>
        <v>0</v>
      </c>
      <c r="CY287" s="268">
        <f>SUM(CU287:CX287)</f>
        <v>0</v>
      </c>
    </row>
    <row r="288" ht="12.75" customHeight="1" s="255">
      <c r="C288" s="270" t="inlineStr">
        <is>
          <t>Common stock and APIC</t>
        </is>
      </c>
      <c r="D288" s="268" t="n"/>
      <c r="E288" s="268">
        <f>E239-D239</f>
        <v>87</v>
      </c>
      <c r="F288" s="268">
        <f>F239-E239</f>
        <v>105</v>
      </c>
      <c r="G288" s="268">
        <f>G239-F239</f>
        <v>27</v>
      </c>
      <c r="H288" s="268">
        <f>SUM(D288:G288)</f>
        <v>219</v>
      </c>
      <c r="I288" s="268">
        <f>I239-H239</f>
        <v>118</v>
      </c>
      <c r="J288" s="268">
        <f>J239-I239</f>
        <v>78</v>
      </c>
      <c r="K288" s="268">
        <f>K239-J239</f>
        <v>110</v>
      </c>
      <c r="L288" s="268">
        <f>L239-K239</f>
        <v>33</v>
      </c>
      <c r="M288" s="268">
        <f>SUM(I288:L288)</f>
        <v>339</v>
      </c>
      <c r="N288" s="268">
        <f>N239-M239</f>
        <v>122</v>
      </c>
      <c r="O288" s="268">
        <f>O239-N239</f>
        <v>86</v>
      </c>
      <c r="P288" s="268">
        <f>P239-O239</f>
        <v>-390</v>
      </c>
      <c r="Q288" s="268">
        <f>Q239-P239</f>
        <v>98</v>
      </c>
      <c r="R288" s="268">
        <f>SUM(N288:Q288)</f>
        <v>-84</v>
      </c>
      <c r="S288" s="268">
        <f>S239-R239</f>
        <v>141</v>
      </c>
      <c r="T288" s="268">
        <f>T239-S239</f>
        <v>88</v>
      </c>
      <c r="U288" s="268">
        <f>U239-T239</f>
        <v>129</v>
      </c>
      <c r="V288" s="268">
        <f>V239-U239</f>
        <v>149</v>
      </c>
      <c r="W288" s="268">
        <f>SUM(S288:V288)</f>
        <v>507</v>
      </c>
      <c r="X288" s="268">
        <f>X239-W239</f>
        <v>131</v>
      </c>
      <c r="Y288" s="268">
        <f>Y239-X239</f>
        <v>82</v>
      </c>
      <c r="Z288" s="268">
        <f>Z239-Y239</f>
        <v>127</v>
      </c>
      <c r="AA288" s="268">
        <f>AA239-Z239</f>
        <v>72</v>
      </c>
      <c r="AB288" s="268">
        <f>SUM(X288:AA288)</f>
        <v>412</v>
      </c>
      <c r="AC288" s="268">
        <f>AC239-AB239</f>
        <v>146</v>
      </c>
      <c r="AD288" s="268">
        <f>AD239-AC239</f>
        <v>101</v>
      </c>
      <c r="AE288" s="268">
        <f>AE239-AD239</f>
        <v>134</v>
      </c>
      <c r="AF288" s="268">
        <f>AF239-AE239</f>
        <v>126</v>
      </c>
      <c r="AG288" s="268">
        <f>SUM(AC288:AF288)</f>
        <v>507</v>
      </c>
      <c r="AH288" s="268">
        <f>AH239-AG239</f>
        <v>162</v>
      </c>
      <c r="AI288" s="268">
        <f>AI239-AH239</f>
        <v>113</v>
      </c>
      <c r="AJ288" s="268">
        <f>AJ239-AI239</f>
        <v>0</v>
      </c>
      <c r="AK288" s="268">
        <f>AK239-AJ239</f>
        <v>0</v>
      </c>
      <c r="AL288" s="268">
        <f>SUM(AH288:AK288)</f>
        <v>275</v>
      </c>
      <c r="AM288" s="268">
        <f>AM239-AL239</f>
        <v>0</v>
      </c>
      <c r="AN288" s="268">
        <f>AN239-AM239</f>
        <v>0</v>
      </c>
      <c r="AO288" s="268">
        <f>AO239-AN239</f>
        <v>0</v>
      </c>
      <c r="AP288" s="268">
        <f>AP239-AO239</f>
        <v>0</v>
      </c>
      <c r="AQ288" s="268">
        <f>SUM(AM288:AP288)</f>
        <v>0</v>
      </c>
      <c r="AR288" s="268">
        <f>AR239-AQ239</f>
        <v>0</v>
      </c>
      <c r="AS288" s="268">
        <f>AS239-AR239</f>
        <v>0</v>
      </c>
      <c r="AT288" s="268">
        <f>AT239-AS239</f>
        <v>0</v>
      </c>
      <c r="AU288" s="268">
        <f>AU239-AT239</f>
        <v>0</v>
      </c>
      <c r="AV288" s="268">
        <f>SUM(AR288:AU288)</f>
        <v>0</v>
      </c>
      <c r="AW288" s="268">
        <f>AW239-AV239</f>
        <v>0</v>
      </c>
      <c r="AX288" s="268">
        <f>AX239-AW239</f>
        <v>0</v>
      </c>
      <c r="AY288" s="268">
        <f>AY239-AX239</f>
        <v>0</v>
      </c>
      <c r="AZ288" s="268">
        <f>AZ239-AY239</f>
        <v>0</v>
      </c>
      <c r="BA288" s="268">
        <f>SUM(AW288:AZ288)</f>
        <v>0</v>
      </c>
      <c r="BB288" s="268">
        <f>BB239-BA239</f>
        <v>0</v>
      </c>
      <c r="BC288" s="268">
        <f>BC239-BB239</f>
        <v>0</v>
      </c>
      <c r="BD288" s="268">
        <f>BD239-BC239</f>
        <v>0</v>
      </c>
      <c r="BE288" s="268">
        <f>BE239-BD239</f>
        <v>0</v>
      </c>
      <c r="BF288" s="268">
        <f>SUM(BB288:BE288)</f>
        <v>0</v>
      </c>
      <c r="BG288" s="268">
        <f>BG239-BF239</f>
        <v>0</v>
      </c>
      <c r="BH288" s="268">
        <f>BH239-BG239</f>
        <v>0</v>
      </c>
      <c r="BI288" s="268">
        <f>BI239-BH239</f>
        <v>0</v>
      </c>
      <c r="BJ288" s="268">
        <f>BJ239-BI239</f>
        <v>0</v>
      </c>
      <c r="BK288" s="268">
        <f>SUM(BG288:BJ288)</f>
        <v>0</v>
      </c>
      <c r="BL288" s="268">
        <f>BL239-BK239</f>
        <v>0</v>
      </c>
      <c r="BM288" s="268">
        <f>BM239-BL239</f>
        <v>0</v>
      </c>
      <c r="BN288" s="268">
        <f>BN239-BM239</f>
        <v>0</v>
      </c>
      <c r="BO288" s="268">
        <f>BO239-BN239</f>
        <v>0</v>
      </c>
      <c r="BP288" s="268">
        <f>SUM(BL288:BO288)</f>
        <v>0</v>
      </c>
      <c r="BQ288" s="268">
        <f>BQ239-BP239</f>
        <v>0</v>
      </c>
      <c r="BR288" s="268">
        <f>BR239-BQ239</f>
        <v>0</v>
      </c>
      <c r="BS288" s="268">
        <f>BS239-BR239</f>
        <v>0</v>
      </c>
      <c r="BT288" s="268">
        <f>BT239-BS239</f>
        <v>0</v>
      </c>
      <c r="BU288" s="268">
        <f>SUM(BQ288:BT288)</f>
        <v>0</v>
      </c>
      <c r="BV288" s="268">
        <f>BV239-BU239</f>
        <v>0</v>
      </c>
      <c r="BW288" s="268">
        <f>BW239-BV239</f>
        <v>0</v>
      </c>
      <c r="BX288" s="268">
        <f>BX239-BW239</f>
        <v>0</v>
      </c>
      <c r="BY288" s="268">
        <f>BY239-BX239</f>
        <v>0</v>
      </c>
      <c r="BZ288" s="268">
        <f>SUM(BV288:BY288)</f>
        <v>0</v>
      </c>
      <c r="CA288" s="268">
        <f>CA239-BZ239</f>
        <v>0</v>
      </c>
      <c r="CB288" s="268">
        <f>CB239-CA239</f>
        <v>0</v>
      </c>
      <c r="CC288" s="268">
        <f>CC239-CB239</f>
        <v>0</v>
      </c>
      <c r="CD288" s="268">
        <f>CD239-CC239</f>
        <v>0</v>
      </c>
      <c r="CE288" s="268">
        <f>SUM(CA288:CD288)</f>
        <v>0</v>
      </c>
      <c r="CF288" s="268">
        <f>CF239-CE239</f>
        <v>0</v>
      </c>
      <c r="CG288" s="268">
        <f>CG239-CF239</f>
        <v>0</v>
      </c>
      <c r="CH288" s="268">
        <f>CH239-CG239</f>
        <v>0</v>
      </c>
      <c r="CI288" s="268">
        <f>CI239-CH239</f>
        <v>0</v>
      </c>
      <c r="CJ288" s="268">
        <f>SUM(CF288:CI288)</f>
        <v>0</v>
      </c>
      <c r="CK288" s="268">
        <f>CK239-CJ239</f>
        <v>0</v>
      </c>
      <c r="CL288" s="268">
        <f>CL239-CK239</f>
        <v>0</v>
      </c>
      <c r="CM288" s="268">
        <f>CM239-CL239</f>
        <v>0</v>
      </c>
      <c r="CN288" s="268">
        <f>CN239-CM239</f>
        <v>0</v>
      </c>
      <c r="CO288" s="268">
        <f>SUM(CK288:CN288)</f>
        <v>0</v>
      </c>
      <c r="CP288" s="268">
        <f>CP239-CO239</f>
        <v>0</v>
      </c>
      <c r="CQ288" s="268">
        <f>CQ239-CP239</f>
        <v>0</v>
      </c>
      <c r="CR288" s="268">
        <f>CR239-CQ239</f>
        <v>0</v>
      </c>
      <c r="CS288" s="268">
        <f>CS239-CR239</f>
        <v>0</v>
      </c>
      <c r="CT288" s="268">
        <f>SUM(CP288:CS288)</f>
        <v>0</v>
      </c>
      <c r="CU288" s="268">
        <f>CU239-CT239</f>
        <v>0</v>
      </c>
      <c r="CV288" s="268">
        <f>CV239-CU239</f>
        <v>0</v>
      </c>
      <c r="CW288" s="268">
        <f>CW239-CV239</f>
        <v>0</v>
      </c>
      <c r="CX288" s="268">
        <f>CX239-CW239</f>
        <v>0</v>
      </c>
      <c r="CY288" s="268">
        <f>SUM(CU288:CX288)</f>
        <v>0</v>
      </c>
    </row>
    <row r="289" ht="12.75" customHeight="1" s="255">
      <c r="C289" s="270" t="inlineStr">
        <is>
          <t>Treasury stock repurchases</t>
        </is>
      </c>
      <c r="D289" s="268" t="n"/>
      <c r="E289" s="268">
        <f>E252-D252</f>
        <v>0</v>
      </c>
      <c r="F289" s="268">
        <f>F252-E252</f>
        <v>0</v>
      </c>
      <c r="G289" s="268">
        <f>G252-F252</f>
        <v>0</v>
      </c>
      <c r="H289" s="268">
        <f>SUM(D289:G289)</f>
        <v>0</v>
      </c>
      <c r="I289" s="268">
        <f>I252-H252</f>
        <v>0</v>
      </c>
      <c r="J289" s="268">
        <f>J252-I252</f>
        <v>0</v>
      </c>
      <c r="K289" s="268">
        <f>K252-J252</f>
        <v>0</v>
      </c>
      <c r="L289" s="268">
        <f>L252-K252</f>
        <v>0</v>
      </c>
      <c r="M289" s="268">
        <f>SUM(I289:L289)</f>
        <v>0</v>
      </c>
      <c r="N289" s="268">
        <f>N252-M252</f>
        <v>0</v>
      </c>
      <c r="O289" s="268">
        <f>O252-N252</f>
        <v>0</v>
      </c>
      <c r="P289" s="268">
        <f>P252-O252</f>
        <v>0</v>
      </c>
      <c r="Q289" s="268">
        <f>Q252-P252</f>
        <v>0</v>
      </c>
      <c r="R289" s="268">
        <f>SUM(N289:Q289)</f>
        <v>0</v>
      </c>
      <c r="S289" s="268">
        <f>S252-R252</f>
        <v>0</v>
      </c>
      <c r="T289" s="268">
        <f>T252-S252</f>
        <v>0</v>
      </c>
      <c r="U289" s="268">
        <f>U252-T252</f>
        <v>0</v>
      </c>
      <c r="V289" s="268">
        <f>V252-U252</f>
        <v>0</v>
      </c>
      <c r="W289" s="268">
        <f>SUM(S289:V289)</f>
        <v>0</v>
      </c>
      <c r="X289" s="268">
        <f>X252-W252</f>
        <v>0</v>
      </c>
      <c r="Y289" s="268">
        <f>Y252-X252</f>
        <v>0</v>
      </c>
      <c r="Z289" s="268">
        <f>Z252-Y252</f>
        <v>0</v>
      </c>
      <c r="AA289" s="268">
        <f>AA252-Z252</f>
        <v>0</v>
      </c>
      <c r="AB289" s="268">
        <f>SUM(X289:AA289)</f>
        <v>0</v>
      </c>
      <c r="AC289" s="268">
        <f>AC252-AB252</f>
        <v>0</v>
      </c>
      <c r="AD289" s="268">
        <f>AD252-AC252</f>
        <v>0</v>
      </c>
      <c r="AE289" s="268">
        <f>AE252-AD252</f>
        <v>0</v>
      </c>
      <c r="AF289" s="268">
        <f>AF252-AE252</f>
        <v>0</v>
      </c>
      <c r="AG289" s="268">
        <f>SUM(AC289:AF289)</f>
        <v>0</v>
      </c>
      <c r="AH289" s="268">
        <f>AH252-AG252</f>
        <v>0</v>
      </c>
      <c r="AI289" s="268">
        <f>AI252-AH252</f>
        <v>0</v>
      </c>
      <c r="AJ289" s="268">
        <f>AJ252-AI252</f>
        <v>0</v>
      </c>
      <c r="AK289" s="268">
        <f>AK252-AJ252</f>
        <v>0</v>
      </c>
      <c r="AL289" s="268">
        <f>SUM(AH289:AK289)</f>
        <v>0</v>
      </c>
      <c r="AM289" s="268">
        <f>AM252-AL252</f>
        <v>0</v>
      </c>
      <c r="AN289" s="268">
        <f>AN252-AM252</f>
        <v>0</v>
      </c>
      <c r="AO289" s="268">
        <f>AO252-AN252</f>
        <v>0</v>
      </c>
      <c r="AP289" s="268">
        <f>AP252-AO252</f>
        <v>0</v>
      </c>
      <c r="AQ289" s="268">
        <f>SUM(AM289:AP289)</f>
        <v>0</v>
      </c>
      <c r="AR289" s="268">
        <f>AR252-AQ252</f>
        <v>0</v>
      </c>
      <c r="AS289" s="268">
        <f>AS252-AR252</f>
        <v>0</v>
      </c>
      <c r="AT289" s="268">
        <f>AT252-AS252</f>
        <v>0</v>
      </c>
      <c r="AU289" s="268">
        <f>AU252-AT252</f>
        <v>0</v>
      </c>
      <c r="AV289" s="268">
        <f>SUM(AR289:AU289)</f>
        <v>0</v>
      </c>
      <c r="AW289" s="268">
        <f>AW252-AV252</f>
        <v>0</v>
      </c>
      <c r="AX289" s="268">
        <f>AX252-AW252</f>
        <v>0</v>
      </c>
      <c r="AY289" s="268">
        <f>AY252-AX252</f>
        <v>0</v>
      </c>
      <c r="AZ289" s="268">
        <f>AZ252-AY252</f>
        <v>0</v>
      </c>
      <c r="BA289" s="268">
        <f>SUM(AW289:AZ289)</f>
        <v>0</v>
      </c>
      <c r="BB289" s="268">
        <f>BB252-BA252</f>
        <v>0</v>
      </c>
      <c r="BC289" s="268">
        <f>BC252-BB252</f>
        <v>0</v>
      </c>
      <c r="BD289" s="268">
        <f>BD252-BC252</f>
        <v>0</v>
      </c>
      <c r="BE289" s="268">
        <f>BE252-BD252</f>
        <v>0</v>
      </c>
      <c r="BF289" s="268">
        <f>SUM(BB289:BE289)</f>
        <v>0</v>
      </c>
      <c r="BG289" s="268">
        <f>BG252-BF252</f>
        <v>0</v>
      </c>
      <c r="BH289" s="268">
        <f>BH252-BG252</f>
        <v>0</v>
      </c>
      <c r="BI289" s="268">
        <f>BI252-BH252</f>
        <v>0</v>
      </c>
      <c r="BJ289" s="268">
        <f>BJ252-BI252</f>
        <v>0</v>
      </c>
      <c r="BK289" s="268">
        <f>SUM(BG289:BJ289)</f>
        <v>0</v>
      </c>
      <c r="BL289" s="268">
        <f>BL252-BK252</f>
        <v>0</v>
      </c>
      <c r="BM289" s="268">
        <f>BM252-BL252</f>
        <v>0</v>
      </c>
      <c r="BN289" s="268">
        <f>BN252-BM252</f>
        <v>0</v>
      </c>
      <c r="BO289" s="268">
        <f>BO252-BN252</f>
        <v>0</v>
      </c>
      <c r="BP289" s="268">
        <f>SUM(BL289:BO289)</f>
        <v>0</v>
      </c>
      <c r="BQ289" s="268">
        <f>BQ252-BP252</f>
        <v>0</v>
      </c>
      <c r="BR289" s="268">
        <f>BR252-BQ252</f>
        <v>0</v>
      </c>
      <c r="BS289" s="268">
        <f>BS252-BR252</f>
        <v>0</v>
      </c>
      <c r="BT289" s="268">
        <f>BT252-BS252</f>
        <v>0</v>
      </c>
      <c r="BU289" s="268">
        <f>SUM(BQ289:BT289)</f>
        <v>0</v>
      </c>
      <c r="BV289" s="268">
        <f>BV252-BU252</f>
        <v>0</v>
      </c>
      <c r="BW289" s="268">
        <f>BW252-BV252</f>
        <v>0</v>
      </c>
      <c r="BX289" s="268">
        <f>BX252-BW252</f>
        <v>0</v>
      </c>
      <c r="BY289" s="268">
        <f>BY252-BX252</f>
        <v>0</v>
      </c>
      <c r="BZ289" s="268">
        <f>SUM(BV289:BY289)</f>
        <v>0</v>
      </c>
      <c r="CA289" s="268">
        <f>CA252-BZ252</f>
        <v>0</v>
      </c>
      <c r="CB289" s="268">
        <f>CB252-CA252</f>
        <v>0</v>
      </c>
      <c r="CC289" s="268">
        <f>CC252-CB252</f>
        <v>0</v>
      </c>
      <c r="CD289" s="268">
        <f>CD252-CC252</f>
        <v>0</v>
      </c>
      <c r="CE289" s="268">
        <f>SUM(CA289:CD289)</f>
        <v>0</v>
      </c>
      <c r="CF289" s="268">
        <f>CF252-CE252</f>
        <v>0</v>
      </c>
      <c r="CG289" s="268">
        <f>CG252-CF252</f>
        <v>0</v>
      </c>
      <c r="CH289" s="268">
        <f>CH252-CG252</f>
        <v>0</v>
      </c>
      <c r="CI289" s="268">
        <f>CI252-CH252</f>
        <v>0</v>
      </c>
      <c r="CJ289" s="268">
        <f>SUM(CF289:CI289)</f>
        <v>0</v>
      </c>
      <c r="CK289" s="268">
        <f>CK252-CJ252</f>
        <v>0</v>
      </c>
      <c r="CL289" s="268">
        <f>CL252-CK252</f>
        <v>0</v>
      </c>
      <c r="CM289" s="268">
        <f>CM252-CL252</f>
        <v>0</v>
      </c>
      <c r="CN289" s="268">
        <f>CN252-CM252</f>
        <v>0</v>
      </c>
      <c r="CO289" s="268">
        <f>SUM(CK289:CN289)</f>
        <v>0</v>
      </c>
      <c r="CP289" s="268">
        <f>CP252-CO252</f>
        <v>0</v>
      </c>
      <c r="CQ289" s="268">
        <f>CQ252-CP252</f>
        <v>0</v>
      </c>
      <c r="CR289" s="268">
        <f>CR252-CQ252</f>
        <v>0</v>
      </c>
      <c r="CS289" s="268">
        <f>CS252-CR252</f>
        <v>0</v>
      </c>
      <c r="CT289" s="268">
        <f>SUM(CP289:CS289)</f>
        <v>0</v>
      </c>
      <c r="CU289" s="268">
        <f>CU252-CT252</f>
        <v>0</v>
      </c>
      <c r="CV289" s="268">
        <f>CV252-CU252</f>
        <v>0</v>
      </c>
      <c r="CW289" s="268">
        <f>CW252-CV252</f>
        <v>0</v>
      </c>
      <c r="CX289" s="268">
        <f>CX252-CW252</f>
        <v>0</v>
      </c>
      <c r="CY289" s="268">
        <f>SUM(CU289:CX289)</f>
        <v>0</v>
      </c>
    </row>
    <row r="290" ht="12.75" customHeight="1" s="255">
      <c r="C290" s="270" t="inlineStr">
        <is>
          <t>Comprehensive accumulated loss</t>
        </is>
      </c>
      <c r="D290" s="268" t="n"/>
      <c r="E290" s="268">
        <f>E253-D253</f>
        <v>-398</v>
      </c>
      <c r="F290" s="268">
        <f>F253-E253</f>
        <v>381</v>
      </c>
      <c r="G290" s="268">
        <f>G253-F253</f>
        <v>196</v>
      </c>
      <c r="H290" s="268">
        <f>SUM(D290:G290)</f>
        <v>179</v>
      </c>
      <c r="I290" s="268">
        <f>I253-H253</f>
        <v>140</v>
      </c>
      <c r="J290" s="268">
        <f>J253-I253</f>
        <v>52</v>
      </c>
      <c r="K290" s="268">
        <f>K253-J253</f>
        <v>-228</v>
      </c>
      <c r="L290" s="268">
        <f>L253-K253</f>
        <v>-74</v>
      </c>
      <c r="M290" s="268">
        <f>SUM(I290:L290)</f>
        <v>-110</v>
      </c>
      <c r="N290" s="268">
        <f>N253-M253</f>
        <v>-35</v>
      </c>
      <c r="O290" s="268">
        <f>O253-N253</f>
        <v>-356</v>
      </c>
      <c r="P290" s="268">
        <f>P253-O253</f>
        <v>-227</v>
      </c>
      <c r="Q290" s="268">
        <f>Q253-P253</f>
        <v>-96</v>
      </c>
      <c r="R290" s="268">
        <f>SUM(N290:Q290)</f>
        <v>-714</v>
      </c>
      <c r="S290" s="268">
        <f>S253-R253</f>
        <v>253</v>
      </c>
      <c r="T290" s="268">
        <f>T253-S253</f>
        <v>-8</v>
      </c>
      <c r="U290" s="268">
        <f>U253-T253</f>
        <v>-125</v>
      </c>
      <c r="V290" s="268">
        <f>V253-U253</f>
        <v>-38</v>
      </c>
      <c r="W290" s="268">
        <f>SUM(S290:V290)</f>
        <v>82</v>
      </c>
      <c r="X290" s="268">
        <f>X253-W253</f>
        <v>1</v>
      </c>
      <c r="Y290" s="268">
        <f>Y253-X253</f>
        <v>-80</v>
      </c>
      <c r="Z290" s="268">
        <f>Z253-Y253</f>
        <v>94</v>
      </c>
      <c r="AA290" s="268">
        <f>AA253-Z253</f>
        <v>-324</v>
      </c>
      <c r="AB290" s="268">
        <f>SUM(X290:AA290)</f>
        <v>-309</v>
      </c>
      <c r="AC290" s="268">
        <f>AC253-AB253</f>
        <v>-90</v>
      </c>
      <c r="AD290" s="268">
        <f>AD253-AC253</f>
        <v>327</v>
      </c>
      <c r="AE290" s="268">
        <f>AE253-AD253</f>
        <v>145</v>
      </c>
      <c r="AF290" s="268">
        <f>AF253-AE253</f>
        <v>-206</v>
      </c>
      <c r="AG290" s="268">
        <f>SUM(AC290:AF290)</f>
        <v>176</v>
      </c>
      <c r="AH290" s="268">
        <f>AH253-AG253</f>
        <v>370</v>
      </c>
      <c r="AI290" s="268">
        <f>AI253-AH253</f>
        <v>-52</v>
      </c>
      <c r="AJ290" s="268">
        <f>AJ253-AI253</f>
        <v>0</v>
      </c>
      <c r="AK290" s="268">
        <f>AK253-AJ253</f>
        <v>0</v>
      </c>
      <c r="AL290" s="268">
        <f>SUM(AH290:AK290)</f>
        <v>318</v>
      </c>
      <c r="AM290" s="268">
        <f>AM253-AL253</f>
        <v>0</v>
      </c>
      <c r="AN290" s="268">
        <f>AN253-AM253</f>
        <v>0</v>
      </c>
      <c r="AO290" s="268">
        <f>AO253-AN253</f>
        <v>0</v>
      </c>
      <c r="AP290" s="268">
        <f>AP253-AO253</f>
        <v>0</v>
      </c>
      <c r="AQ290" s="268">
        <f>SUM(AM290:AP290)</f>
        <v>0</v>
      </c>
      <c r="AR290" s="268">
        <f>AR253-AQ253</f>
        <v>0</v>
      </c>
      <c r="AS290" s="268">
        <f>AS253-AR253</f>
        <v>0</v>
      </c>
      <c r="AT290" s="268">
        <f>AT253-AS253</f>
        <v>0</v>
      </c>
      <c r="AU290" s="268">
        <f>AU253-AT253</f>
        <v>0</v>
      </c>
      <c r="AV290" s="268">
        <f>SUM(AR290:AU290)</f>
        <v>0</v>
      </c>
      <c r="AW290" s="268">
        <f>AW253-AV253</f>
        <v>0</v>
      </c>
      <c r="AX290" s="268">
        <f>AX253-AW253</f>
        <v>0</v>
      </c>
      <c r="AY290" s="268">
        <f>AY253-AX253</f>
        <v>0</v>
      </c>
      <c r="AZ290" s="268">
        <f>AZ253-AY253</f>
        <v>0</v>
      </c>
      <c r="BA290" s="268">
        <f>SUM(AW290:AZ290)</f>
        <v>0</v>
      </c>
      <c r="BB290" s="268">
        <f>BB253-BA253</f>
        <v>0</v>
      </c>
      <c r="BC290" s="268">
        <f>BC253-BB253</f>
        <v>0</v>
      </c>
      <c r="BD290" s="268">
        <f>BD253-BC253</f>
        <v>0</v>
      </c>
      <c r="BE290" s="268">
        <f>BE253-BD253</f>
        <v>0</v>
      </c>
      <c r="BF290" s="268">
        <f>SUM(BB290:BE290)</f>
        <v>0</v>
      </c>
      <c r="BG290" s="268">
        <f>BG253-BF253</f>
        <v>0</v>
      </c>
      <c r="BH290" s="268">
        <f>BH253-BG253</f>
        <v>0</v>
      </c>
      <c r="BI290" s="268">
        <f>BI253-BH253</f>
        <v>0</v>
      </c>
      <c r="BJ290" s="268">
        <f>BJ253-BI253</f>
        <v>0</v>
      </c>
      <c r="BK290" s="268">
        <f>SUM(BG290:BJ290)</f>
        <v>0</v>
      </c>
      <c r="BL290" s="268">
        <f>BL253-BK253</f>
        <v>0</v>
      </c>
      <c r="BM290" s="268">
        <f>BM253-BL253</f>
        <v>0</v>
      </c>
      <c r="BN290" s="268">
        <f>BN253-BM253</f>
        <v>0</v>
      </c>
      <c r="BO290" s="268">
        <f>BO253-BN253</f>
        <v>0</v>
      </c>
      <c r="BP290" s="268">
        <f>SUM(BL290:BO290)</f>
        <v>0</v>
      </c>
      <c r="BQ290" s="268">
        <f>BQ253-BP253</f>
        <v>0</v>
      </c>
      <c r="BR290" s="268">
        <f>BR253-BQ253</f>
        <v>0</v>
      </c>
      <c r="BS290" s="268">
        <f>BS253-BR253</f>
        <v>0</v>
      </c>
      <c r="BT290" s="268">
        <f>BT253-BS253</f>
        <v>0</v>
      </c>
      <c r="BU290" s="268">
        <f>SUM(BQ290:BT290)</f>
        <v>0</v>
      </c>
      <c r="BV290" s="268">
        <f>BV253-BU253</f>
        <v>0</v>
      </c>
      <c r="BW290" s="268">
        <f>BW253-BV253</f>
        <v>0</v>
      </c>
      <c r="BX290" s="268">
        <f>BX253-BW253</f>
        <v>0</v>
      </c>
      <c r="BY290" s="268">
        <f>BY253-BX253</f>
        <v>0</v>
      </c>
      <c r="BZ290" s="268">
        <f>SUM(BV290:BY290)</f>
        <v>0</v>
      </c>
      <c r="CA290" s="268">
        <f>CA253-BZ253</f>
        <v>0</v>
      </c>
      <c r="CB290" s="268">
        <f>CB253-CA253</f>
        <v>0</v>
      </c>
      <c r="CC290" s="268">
        <f>CC253-CB253</f>
        <v>0</v>
      </c>
      <c r="CD290" s="268">
        <f>CD253-CC253</f>
        <v>0</v>
      </c>
      <c r="CE290" s="268">
        <f>SUM(CA290:CD290)</f>
        <v>0</v>
      </c>
      <c r="CF290" s="268">
        <f>CF253-CE253</f>
        <v>0</v>
      </c>
      <c r="CG290" s="268">
        <f>CG253-CF253</f>
        <v>0</v>
      </c>
      <c r="CH290" s="268">
        <f>CH253-CG253</f>
        <v>0</v>
      </c>
      <c r="CI290" s="268">
        <f>CI253-CH253</f>
        <v>0</v>
      </c>
      <c r="CJ290" s="268">
        <f>SUM(CF290:CI290)</f>
        <v>0</v>
      </c>
      <c r="CK290" s="268">
        <f>CK253-CJ253</f>
        <v>0</v>
      </c>
      <c r="CL290" s="268">
        <f>CL253-CK253</f>
        <v>0</v>
      </c>
      <c r="CM290" s="268">
        <f>CM253-CL253</f>
        <v>0</v>
      </c>
      <c r="CN290" s="268">
        <f>CN253-CM253</f>
        <v>0</v>
      </c>
      <c r="CO290" s="268">
        <f>SUM(CK290:CN290)</f>
        <v>0</v>
      </c>
      <c r="CP290" s="268">
        <f>CP253-CO253</f>
        <v>0</v>
      </c>
      <c r="CQ290" s="268">
        <f>CQ253-CP253</f>
        <v>0</v>
      </c>
      <c r="CR290" s="268">
        <f>CR253-CQ253</f>
        <v>0</v>
      </c>
      <c r="CS290" s="268">
        <f>CS253-CR253</f>
        <v>0</v>
      </c>
      <c r="CT290" s="268">
        <f>SUM(CP290:CS290)</f>
        <v>0</v>
      </c>
      <c r="CU290" s="268">
        <f>CU253-CT253</f>
        <v>0</v>
      </c>
      <c r="CV290" s="268">
        <f>CV253-CU253</f>
        <v>0</v>
      </c>
      <c r="CW290" s="268">
        <f>CW253-CV253</f>
        <v>0</v>
      </c>
      <c r="CX290" s="268">
        <f>CX253-CW253</f>
        <v>0</v>
      </c>
      <c r="CY290" s="268">
        <f>SUM(CU290:CX290)</f>
        <v>0</v>
      </c>
    </row>
    <row r="291" ht="12.75" customHeight="1" s="255">
      <c r="C291" s="270" t="inlineStr">
        <is>
          <t>Other equity account</t>
        </is>
      </c>
      <c r="D291" s="268" t="n"/>
      <c r="E291" s="268">
        <f>E254-D254</f>
        <v>0</v>
      </c>
      <c r="F291" s="268">
        <f>F254-E254</f>
        <v>0</v>
      </c>
      <c r="G291" s="268">
        <f>G254-F254</f>
        <v>0</v>
      </c>
      <c r="H291" s="268">
        <f>SUM(D291:G291)</f>
        <v>0</v>
      </c>
      <c r="I291" s="268">
        <f>I254-H254</f>
        <v>0</v>
      </c>
      <c r="J291" s="268">
        <f>J254-I254</f>
        <v>0</v>
      </c>
      <c r="K291" s="268">
        <f>K254-J254</f>
        <v>0</v>
      </c>
      <c r="L291" s="268">
        <f>L254-K254</f>
        <v>0</v>
      </c>
      <c r="M291" s="268">
        <f>SUM(I291:L291)</f>
        <v>0</v>
      </c>
      <c r="N291" s="268">
        <f>N254-M254</f>
        <v>0</v>
      </c>
      <c r="O291" s="268">
        <f>O254-N254</f>
        <v>0</v>
      </c>
      <c r="P291" s="268">
        <f>P254-O254</f>
        <v>0</v>
      </c>
      <c r="Q291" s="268">
        <f>Q254-P254</f>
        <v>0</v>
      </c>
      <c r="R291" s="268">
        <f>SUM(N291:Q291)</f>
        <v>0</v>
      </c>
      <c r="S291" s="268">
        <f>S254-R254</f>
        <v>0</v>
      </c>
      <c r="T291" s="268">
        <f>T254-S254</f>
        <v>0</v>
      </c>
      <c r="U291" s="268">
        <f>U254-T254</f>
        <v>0</v>
      </c>
      <c r="V291" s="268">
        <f>V254-U254</f>
        <v>0</v>
      </c>
      <c r="W291" s="268">
        <f>SUM(S291:V291)</f>
        <v>0</v>
      </c>
      <c r="X291" s="268">
        <f>X254-W254</f>
        <v>0</v>
      </c>
      <c r="Y291" s="268">
        <f>Y254-X254</f>
        <v>0</v>
      </c>
      <c r="Z291" s="268">
        <f>Z254-Y254</f>
        <v>0</v>
      </c>
      <c r="AA291" s="268">
        <f>AA254-Z254</f>
        <v>0</v>
      </c>
      <c r="AB291" s="268">
        <f>SUM(X291:AA291)</f>
        <v>0</v>
      </c>
      <c r="AC291" s="268">
        <f>AC254-AB254</f>
        <v>0</v>
      </c>
      <c r="AD291" s="268">
        <f>AD254-AC254</f>
        <v>0</v>
      </c>
      <c r="AE291" s="268">
        <f>AE254-AD254</f>
        <v>0</v>
      </c>
      <c r="AF291" s="268">
        <f>AF254-AE254</f>
        <v>0</v>
      </c>
      <c r="AG291" s="268">
        <f>SUM(AC291:AF291)</f>
        <v>0</v>
      </c>
      <c r="AH291" s="268">
        <f>AH254-AG254</f>
        <v>0</v>
      </c>
      <c r="AI291" s="268">
        <f>AI254-AH254</f>
        <v>0</v>
      </c>
      <c r="AJ291" s="268">
        <f>AJ254-AI254</f>
        <v>0</v>
      </c>
      <c r="AK291" s="268">
        <f>AK254-AJ254</f>
        <v>0</v>
      </c>
      <c r="AL291" s="268">
        <f>SUM(AH291:AK291)</f>
        <v>0</v>
      </c>
      <c r="AM291" s="268">
        <f>AM254-AL254</f>
        <v>0</v>
      </c>
      <c r="AN291" s="268">
        <f>AN254-AM254</f>
        <v>0</v>
      </c>
      <c r="AO291" s="268">
        <f>AO254-AN254</f>
        <v>0</v>
      </c>
      <c r="AP291" s="268">
        <f>AP254-AO254</f>
        <v>0</v>
      </c>
      <c r="AQ291" s="268">
        <f>SUM(AM291:AP291)</f>
        <v>0</v>
      </c>
      <c r="AR291" s="268">
        <f>AR254-AQ254</f>
        <v>0</v>
      </c>
      <c r="AS291" s="268">
        <f>AS254-AR254</f>
        <v>0</v>
      </c>
      <c r="AT291" s="268">
        <f>AT254-AS254</f>
        <v>0</v>
      </c>
      <c r="AU291" s="268">
        <f>AU254-AT254</f>
        <v>0</v>
      </c>
      <c r="AV291" s="268">
        <f>SUM(AR291:AU291)</f>
        <v>0</v>
      </c>
      <c r="AW291" s="268">
        <f>AW254-AV254</f>
        <v>0</v>
      </c>
      <c r="AX291" s="268">
        <f>AX254-AW254</f>
        <v>0</v>
      </c>
      <c r="AY291" s="268">
        <f>AY254-AX254</f>
        <v>0</v>
      </c>
      <c r="AZ291" s="268">
        <f>AZ254-AY254</f>
        <v>0</v>
      </c>
      <c r="BA291" s="268">
        <f>SUM(AW291:AZ291)</f>
        <v>0</v>
      </c>
      <c r="BB291" s="268">
        <f>BB254-BA254</f>
        <v>0</v>
      </c>
      <c r="BC291" s="268">
        <f>BC254-BB254</f>
        <v>0</v>
      </c>
      <c r="BD291" s="268">
        <f>BD254-BC254</f>
        <v>0</v>
      </c>
      <c r="BE291" s="268">
        <f>BE254-BD254</f>
        <v>0</v>
      </c>
      <c r="BF291" s="268">
        <f>SUM(BB291:BE291)</f>
        <v>0</v>
      </c>
      <c r="BG291" s="268">
        <f>BG254-BF254</f>
        <v>0</v>
      </c>
      <c r="BH291" s="268">
        <f>BH254-BG254</f>
        <v>0</v>
      </c>
      <c r="BI291" s="268">
        <f>BI254-BH254</f>
        <v>0</v>
      </c>
      <c r="BJ291" s="268">
        <f>BJ254-BI254</f>
        <v>0</v>
      </c>
      <c r="BK291" s="268">
        <f>SUM(BG291:BJ291)</f>
        <v>0</v>
      </c>
      <c r="BL291" s="268">
        <f>BL254-BK254</f>
        <v>0</v>
      </c>
      <c r="BM291" s="268">
        <f>BM254-BL254</f>
        <v>0</v>
      </c>
      <c r="BN291" s="268">
        <f>BN254-BM254</f>
        <v>0</v>
      </c>
      <c r="BO291" s="268">
        <f>BO254-BN254</f>
        <v>0</v>
      </c>
      <c r="BP291" s="268">
        <f>SUM(BL291:BO291)</f>
        <v>0</v>
      </c>
      <c r="BQ291" s="268">
        <f>BQ254-BP254</f>
        <v>0</v>
      </c>
      <c r="BR291" s="268">
        <f>BR254-BQ254</f>
        <v>0</v>
      </c>
      <c r="BS291" s="268">
        <f>BS254-BR254</f>
        <v>0</v>
      </c>
      <c r="BT291" s="268">
        <f>BT254-BS254</f>
        <v>0</v>
      </c>
      <c r="BU291" s="268">
        <f>SUM(BQ291:BT291)</f>
        <v>0</v>
      </c>
      <c r="BV291" s="268">
        <f>BV254-BU254</f>
        <v>0</v>
      </c>
      <c r="BW291" s="268">
        <f>BW254-BV254</f>
        <v>0</v>
      </c>
      <c r="BX291" s="268">
        <f>BX254-BW254</f>
        <v>0</v>
      </c>
      <c r="BY291" s="268">
        <f>BY254-BX254</f>
        <v>0</v>
      </c>
      <c r="BZ291" s="268">
        <f>SUM(BV291:BY291)</f>
        <v>0</v>
      </c>
      <c r="CA291" s="268">
        <f>CA254-BZ254</f>
        <v>0</v>
      </c>
      <c r="CB291" s="268">
        <f>CB254-CA254</f>
        <v>0</v>
      </c>
      <c r="CC291" s="268">
        <f>CC254-CB254</f>
        <v>0</v>
      </c>
      <c r="CD291" s="268">
        <f>CD254-CC254</f>
        <v>0</v>
      </c>
      <c r="CE291" s="268">
        <f>SUM(CA291:CD291)</f>
        <v>0</v>
      </c>
      <c r="CF291" s="268">
        <f>CF254-CE254</f>
        <v>0</v>
      </c>
      <c r="CG291" s="268">
        <f>CG254-CF254</f>
        <v>0</v>
      </c>
      <c r="CH291" s="268">
        <f>CH254-CG254</f>
        <v>0</v>
      </c>
      <c r="CI291" s="268">
        <f>CI254-CH254</f>
        <v>0</v>
      </c>
      <c r="CJ291" s="268">
        <f>SUM(CF291:CI291)</f>
        <v>0</v>
      </c>
      <c r="CK291" s="268">
        <f>CK254-CJ254</f>
        <v>0</v>
      </c>
      <c r="CL291" s="268">
        <f>CL254-CK254</f>
        <v>0</v>
      </c>
      <c r="CM291" s="268">
        <f>CM254-CL254</f>
        <v>0</v>
      </c>
      <c r="CN291" s="268">
        <f>CN254-CM254</f>
        <v>0</v>
      </c>
      <c r="CO291" s="268">
        <f>SUM(CK291:CN291)</f>
        <v>0</v>
      </c>
      <c r="CP291" s="268">
        <f>CP254-CO254</f>
        <v>0</v>
      </c>
      <c r="CQ291" s="268">
        <f>CQ254-CP254</f>
        <v>0</v>
      </c>
      <c r="CR291" s="268">
        <f>CR254-CQ254</f>
        <v>0</v>
      </c>
      <c r="CS291" s="268">
        <f>CS254-CR254</f>
        <v>0</v>
      </c>
      <c r="CT291" s="268">
        <f>SUM(CP291:CS291)</f>
        <v>0</v>
      </c>
      <c r="CU291" s="268">
        <f>CU254-CT254</f>
        <v>0</v>
      </c>
      <c r="CV291" s="268">
        <f>CV254-CU254</f>
        <v>0</v>
      </c>
      <c r="CW291" s="268">
        <f>CW254-CV254</f>
        <v>0</v>
      </c>
      <c r="CX291" s="268">
        <f>CX254-CW254</f>
        <v>0</v>
      </c>
      <c r="CY291" s="268">
        <f>SUM(CU291:CX291)</f>
        <v>0</v>
      </c>
    </row>
    <row r="292" ht="12.75" customHeight="1" s="255">
      <c r="C292" s="266" t="inlineStr">
        <is>
          <t>Common and preferred dividends</t>
        </is>
      </c>
      <c r="D292" s="268" t="n"/>
      <c r="E292" s="268">
        <f>(E255-D255)-E262</f>
        <v>-339</v>
      </c>
      <c r="F292" s="268">
        <f>(F255-E255)-F262</f>
        <v>-393</v>
      </c>
      <c r="G292" s="268">
        <f>(G255-F255)-G262</f>
        <v>-4813</v>
      </c>
      <c r="H292" s="268">
        <f>SUM(D292:G292)</f>
        <v>-5545</v>
      </c>
      <c r="I292" s="268">
        <f>(I255-H255)-I262</f>
        <v>-417</v>
      </c>
      <c r="J292" s="268">
        <f>(J255-I255)-J262</f>
        <v>-520</v>
      </c>
      <c r="K292" s="268">
        <f>(K255-J255)-K262</f>
        <v>-470</v>
      </c>
      <c r="L292" s="268">
        <f>(L255-K255)-L262</f>
        <v>-384</v>
      </c>
      <c r="M292" s="268">
        <f>SUM(I292:L292)</f>
        <v>-1791</v>
      </c>
      <c r="N292" s="268">
        <f>(N255-M255)-N262</f>
        <v>-431</v>
      </c>
      <c r="O292" s="268">
        <f>(O255-N255)-O262</f>
        <v>-533</v>
      </c>
      <c r="P292" s="268">
        <f>(P255-O255)-P262</f>
        <v>-577</v>
      </c>
      <c r="Q292" s="268">
        <f>(Q255-P255)-Q262</f>
        <v>-537</v>
      </c>
      <c r="R292" s="268">
        <f>SUM(N292:Q292)</f>
        <v>-2078</v>
      </c>
      <c r="S292" s="268">
        <f>(S255-R255)-S262</f>
        <v>-537</v>
      </c>
      <c r="T292" s="268">
        <f>(T255-S255)-T262</f>
        <v>-608</v>
      </c>
      <c r="U292" s="268">
        <f>(U255-T255)-U262</f>
        <v>-674</v>
      </c>
      <c r="V292" s="268">
        <f>(V255-U255)-V262</f>
        <v>-611</v>
      </c>
      <c r="W292" s="268">
        <f>SUM(S292:V292)</f>
        <v>-2430</v>
      </c>
      <c r="X292" s="268">
        <f>(X255-W255)-X262</f>
        <v>-7262</v>
      </c>
      <c r="Y292" s="268">
        <f>(Y255-X255)-Y262</f>
        <v>-672</v>
      </c>
      <c r="Z292" s="268">
        <f>(Z255-Y255)-Z262</f>
        <v>-724</v>
      </c>
      <c r="AA292" s="268">
        <f>(AA255-Z255)-AA262</f>
        <v>-717</v>
      </c>
      <c r="AB292" s="268">
        <f>SUM(X292:AA292)</f>
        <v>-9375</v>
      </c>
      <c r="AC292" s="268">
        <f>(AC255-AB255)-AC262</f>
        <v>-718</v>
      </c>
      <c r="AD292" s="268">
        <f>(AD255-AC255)-AD262</f>
        <v>-783</v>
      </c>
      <c r="AE292" s="268">
        <f>(AE255-AD255)-AE262</f>
        <v>-850</v>
      </c>
      <c r="AF292" s="268">
        <f>(AF255-AE255)-AF262</f>
        <v>-782</v>
      </c>
      <c r="AG292" s="268">
        <f>SUM(AC292:AF292)</f>
        <v>-3133</v>
      </c>
      <c r="AH292" s="268">
        <f>(AH255-AG255)-AH262</f>
        <v>-783</v>
      </c>
      <c r="AI292" s="268">
        <f>(AI255-AH255)-AI262</f>
        <v>-831</v>
      </c>
      <c r="AJ292" s="268">
        <f>(AJ255-AI255)-AJ262</f>
        <v>0</v>
      </c>
      <c r="AK292" s="268">
        <f>(AK255-AJ255)-AK262</f>
        <v>0</v>
      </c>
      <c r="AL292" s="268">
        <f>SUM(AH292:AK292)</f>
        <v>-1614</v>
      </c>
      <c r="AM292" s="268">
        <f>(AM255-AL255)-AM262</f>
        <v>0</v>
      </c>
      <c r="AN292" s="268">
        <f>(AN255-AM255)-AN262</f>
        <v>0</v>
      </c>
      <c r="AO292" s="268">
        <f>(AO255-AN255)-AO262</f>
        <v>0</v>
      </c>
      <c r="AP292" s="268">
        <f>(AP255-AO255)-AP262</f>
        <v>0</v>
      </c>
      <c r="AQ292" s="268">
        <f>SUM(AM292:AP292)</f>
        <v>0</v>
      </c>
      <c r="AR292" s="268">
        <f>(AR255-AQ255)-AR262</f>
        <v>0</v>
      </c>
      <c r="AS292" s="268">
        <f>(AS255-AR255)-AS262</f>
        <v>0</v>
      </c>
      <c r="AT292" s="268">
        <f>(AT255-AS255)-AT262</f>
        <v>0</v>
      </c>
      <c r="AU292" s="268">
        <f>(AU255-AT255)-AU262</f>
        <v>0</v>
      </c>
      <c r="AV292" s="268">
        <f>SUM(AR292:AU292)</f>
        <v>0</v>
      </c>
      <c r="AW292" s="268">
        <f>(AW255-AV255)-AW262</f>
        <v>0</v>
      </c>
      <c r="AX292" s="268">
        <f>(AX255-AW255)-AX262</f>
        <v>0</v>
      </c>
      <c r="AY292" s="268">
        <f>(AY255-AX255)-AY262</f>
        <v>0</v>
      </c>
      <c r="AZ292" s="268">
        <f>(AZ255-AY255)-AZ262</f>
        <v>0</v>
      </c>
      <c r="BA292" s="268">
        <f>SUM(AW292:AZ292)</f>
        <v>0</v>
      </c>
      <c r="BB292" s="268">
        <f>(BB255-BA255)-BB262</f>
        <v>0</v>
      </c>
      <c r="BC292" s="268">
        <f>(BC255-BB255)-BC262</f>
        <v>0</v>
      </c>
      <c r="BD292" s="268">
        <f>(BD255-BC255)-BD262</f>
        <v>0</v>
      </c>
      <c r="BE292" s="268">
        <f>(BE255-BD255)-BE262</f>
        <v>0</v>
      </c>
      <c r="BF292" s="268">
        <f>SUM(BB292:BE292)</f>
        <v>0</v>
      </c>
      <c r="BG292" s="268">
        <f>(BG255-BF255)-BG262</f>
        <v>0</v>
      </c>
      <c r="BH292" s="268">
        <f>(BH255-BG255)-BH262</f>
        <v>0</v>
      </c>
      <c r="BI292" s="268">
        <f>(BI255-BH255)-BI262</f>
        <v>0</v>
      </c>
      <c r="BJ292" s="268">
        <f>(BJ255-BI255)-BJ262</f>
        <v>0</v>
      </c>
      <c r="BK292" s="268">
        <f>SUM(BG292:BJ292)</f>
        <v>0</v>
      </c>
      <c r="BL292" s="268">
        <f>(BL255-BK255)-BL262</f>
        <v>0</v>
      </c>
      <c r="BM292" s="268">
        <f>(BM255-BL255)-BM262</f>
        <v>0</v>
      </c>
      <c r="BN292" s="268">
        <f>(BN255-BM255)-BN262</f>
        <v>0</v>
      </c>
      <c r="BO292" s="268">
        <f>(BO255-BN255)-BO262</f>
        <v>0</v>
      </c>
      <c r="BP292" s="268">
        <f>SUM(BL292:BO292)</f>
        <v>0</v>
      </c>
      <c r="BQ292" s="268">
        <f>(BQ255-BP255)-BQ262</f>
        <v>0</v>
      </c>
      <c r="BR292" s="268">
        <f>(BR255-BQ255)-BR262</f>
        <v>0</v>
      </c>
      <c r="BS292" s="268">
        <f>(BS255-BR255)-BS262</f>
        <v>0</v>
      </c>
      <c r="BT292" s="268">
        <f>(BT255-BS255)-BT262</f>
        <v>0</v>
      </c>
      <c r="BU292" s="268">
        <f>SUM(BQ292:BT292)</f>
        <v>0</v>
      </c>
      <c r="BV292" s="268">
        <f>(BV255-BU255)-BV262</f>
        <v>0</v>
      </c>
      <c r="BW292" s="268">
        <f>(BW255-BV255)-BW262</f>
        <v>0</v>
      </c>
      <c r="BX292" s="268">
        <f>(BX255-BW255)-BX262</f>
        <v>0</v>
      </c>
      <c r="BY292" s="268">
        <f>(BY255-BX255)-BY262</f>
        <v>0</v>
      </c>
      <c r="BZ292" s="268">
        <f>SUM(BV292:BY292)</f>
        <v>0</v>
      </c>
      <c r="CA292" s="268">
        <f>(CA255-BZ255)-CA262</f>
        <v>0</v>
      </c>
      <c r="CB292" s="268">
        <f>(CB255-CA255)-CB262</f>
        <v>0</v>
      </c>
      <c r="CC292" s="268">
        <f>(CC255-CB255)-CC262</f>
        <v>0</v>
      </c>
      <c r="CD292" s="268">
        <f>(CD255-CC255)-CD262</f>
        <v>0</v>
      </c>
      <c r="CE292" s="268">
        <f>SUM(CA292:CD292)</f>
        <v>0</v>
      </c>
      <c r="CF292" s="268">
        <f>(CF255-CE255)-CF262</f>
        <v>0</v>
      </c>
      <c r="CG292" s="268">
        <f>(CG255-CF255)-CG262</f>
        <v>0</v>
      </c>
      <c r="CH292" s="268">
        <f>(CH255-CG255)-CH262</f>
        <v>0</v>
      </c>
      <c r="CI292" s="268">
        <f>(CI255-CH255)-CI262</f>
        <v>0</v>
      </c>
      <c r="CJ292" s="268">
        <f>SUM(CF292:CI292)</f>
        <v>0</v>
      </c>
      <c r="CK292" s="268">
        <f>(CK255-CJ255)-CK262</f>
        <v>0</v>
      </c>
      <c r="CL292" s="268">
        <f>(CL255-CK255)-CL262</f>
        <v>0</v>
      </c>
      <c r="CM292" s="268">
        <f>(CM255-CL255)-CM262</f>
        <v>0</v>
      </c>
      <c r="CN292" s="268">
        <f>(CN255-CM255)-CN262</f>
        <v>0</v>
      </c>
      <c r="CO292" s="268">
        <f>SUM(CK292:CN292)</f>
        <v>0</v>
      </c>
      <c r="CP292" s="268">
        <f>(CP255-CO255)-CP262</f>
        <v>0</v>
      </c>
      <c r="CQ292" s="268">
        <f>(CQ255-CP255)-CQ262</f>
        <v>0</v>
      </c>
      <c r="CR292" s="268">
        <f>(CR255-CQ255)-CR262</f>
        <v>0</v>
      </c>
      <c r="CS292" s="268">
        <f>(CS255-CR255)-CS262</f>
        <v>0</v>
      </c>
      <c r="CT292" s="268">
        <f>SUM(CP292:CS292)</f>
        <v>0</v>
      </c>
      <c r="CU292" s="268">
        <f>(CU255-CT255)-CU262</f>
        <v>0</v>
      </c>
      <c r="CV292" s="268">
        <f>(CV255-CU255)-CV262</f>
        <v>0</v>
      </c>
      <c r="CW292" s="268">
        <f>(CW255-CV255)-CW262</f>
        <v>0</v>
      </c>
      <c r="CX292" s="268">
        <f>(CX255-CW255)-CX262</f>
        <v>0</v>
      </c>
      <c r="CY292" s="268">
        <f>SUM(CU292:CX292)</f>
        <v>0</v>
      </c>
    </row>
    <row r="293" ht="12.75" customHeight="1" s="255">
      <c r="C293" s="270" t="inlineStr">
        <is>
          <t>Dividends to minority interests</t>
        </is>
      </c>
      <c r="D293" s="268" t="n"/>
      <c r="E293" s="268">
        <f>(E233-D233)+E121</f>
        <v>2</v>
      </c>
      <c r="F293" s="268">
        <f>(F233-E233)+F121</f>
        <v>5</v>
      </c>
      <c r="G293" s="268">
        <f>(G233-F233)+G121</f>
        <v>13</v>
      </c>
      <c r="H293" s="268">
        <f>SUM(D293:G293)</f>
        <v>20</v>
      </c>
      <c r="I293" s="268">
        <f>(I233-H233)+I121</f>
        <v>8</v>
      </c>
      <c r="J293" s="268">
        <f>(J233-I233)+J121</f>
        <v>2</v>
      </c>
      <c r="K293" s="268">
        <f>(K233-J233)+K121</f>
        <v>-2</v>
      </c>
      <c r="L293" s="268">
        <f>(L233-K233)+L121</f>
        <v>2</v>
      </c>
      <c r="M293" s="268">
        <f>SUM(I293:L293)</f>
        <v>10</v>
      </c>
      <c r="N293" s="268">
        <f>(N233-M233)+N121</f>
        <v>0</v>
      </c>
      <c r="O293" s="268">
        <f>(O233-N233)+O121</f>
        <v>-32</v>
      </c>
      <c r="P293" s="268">
        <f>(P233-O233)+P121</f>
        <v>-550</v>
      </c>
      <c r="Q293" s="268">
        <f>(Q233-P233)+Q121</f>
        <v>0</v>
      </c>
      <c r="R293" s="268">
        <f>SUM(N293:Q293)</f>
        <v>-582</v>
      </c>
      <c r="S293" s="268">
        <f>(S233-R233)+S121</f>
        <v>0</v>
      </c>
      <c r="T293" s="268">
        <f>(T233-S233)+T121</f>
        <v>0</v>
      </c>
      <c r="U293" s="268">
        <f>(U233-T233)+U121</f>
        <v>-5</v>
      </c>
      <c r="V293" s="268">
        <f>(V233-U233)+V121</f>
        <v>0</v>
      </c>
      <c r="W293" s="268">
        <f>SUM(S293:V293)</f>
        <v>-5</v>
      </c>
      <c r="X293" s="268">
        <f>(X233-W233)+X121</f>
        <v>0</v>
      </c>
      <c r="Y293" s="268">
        <f>(Y233-X233)+Y121</f>
        <v>0</v>
      </c>
      <c r="Z293" s="268">
        <f>(Z233-Y233)+Z121</f>
        <v>0</v>
      </c>
      <c r="AA293" s="268">
        <f>(AA233-Z233)+AA121</f>
        <v>0</v>
      </c>
      <c r="AB293" s="268">
        <f>SUM(X293:AA293)</f>
        <v>0</v>
      </c>
      <c r="AC293" s="268">
        <f>(AC233-AB233)+AC121</f>
        <v>0</v>
      </c>
      <c r="AD293" s="268">
        <f>(AD233-AC233)+AD121</f>
        <v>0</v>
      </c>
      <c r="AE293" s="268">
        <f>(AE233-AD233)+AE121</f>
        <v>0</v>
      </c>
      <c r="AF293" s="268">
        <f>(AF233-AE233)+AF121</f>
        <v>0</v>
      </c>
      <c r="AG293" s="268">
        <f>SUM(AC293:AF293)</f>
        <v>0</v>
      </c>
      <c r="AH293" s="268">
        <f>(AH233-AG233)+AH121</f>
        <v>0</v>
      </c>
      <c r="AI293" s="268">
        <f>(AI233-AH233)+AI121</f>
        <v>0</v>
      </c>
      <c r="AJ293" s="268">
        <f>(AJ233-AI233)+AJ121</f>
        <v>0</v>
      </c>
      <c r="AK293" s="268">
        <f>(AK233-AJ233)+AK121</f>
        <v>0</v>
      </c>
      <c r="AL293" s="268">
        <f>SUM(AH293:AK293)</f>
        <v>0</v>
      </c>
      <c r="AM293" s="268">
        <f>(AM233-AL233)+AM121</f>
        <v>0</v>
      </c>
      <c r="AN293" s="268">
        <f>(AN233-AM233)+AN121</f>
        <v>0</v>
      </c>
      <c r="AO293" s="268">
        <f>(AO233-AN233)+AO121</f>
        <v>0</v>
      </c>
      <c r="AP293" s="268">
        <f>(AP233-AO233)+AP121</f>
        <v>0</v>
      </c>
      <c r="AQ293" s="268">
        <f>SUM(AM293:AP293)</f>
        <v>0</v>
      </c>
      <c r="AR293" s="268">
        <f>(AR233-AQ233)+AR121</f>
        <v>0</v>
      </c>
      <c r="AS293" s="268">
        <f>(AS233-AR233)+AS121</f>
        <v>0</v>
      </c>
      <c r="AT293" s="268">
        <f>(AT233-AS233)+AT121</f>
        <v>0</v>
      </c>
      <c r="AU293" s="268">
        <f>(AU233-AT233)+AU121</f>
        <v>0</v>
      </c>
      <c r="AV293" s="268">
        <f>SUM(AR293:AU293)</f>
        <v>0</v>
      </c>
      <c r="AW293" s="268">
        <f>(AW233-AV233)+AW121</f>
        <v>0</v>
      </c>
      <c r="AX293" s="268">
        <f>(AX233-AW233)+AX121</f>
        <v>0</v>
      </c>
      <c r="AY293" s="268">
        <f>(AY233-AX233)+AY121</f>
        <v>0</v>
      </c>
      <c r="AZ293" s="268">
        <f>(AZ233-AY233)+AZ121</f>
        <v>0</v>
      </c>
      <c r="BA293" s="268">
        <f>SUM(AW293:AZ293)</f>
        <v>0</v>
      </c>
      <c r="BB293" s="268">
        <f>(BB233-BA233)+BB121</f>
        <v>0</v>
      </c>
      <c r="BC293" s="268">
        <f>(BC233-BB233)+BC121</f>
        <v>0</v>
      </c>
      <c r="BD293" s="268">
        <f>(BD233-BC233)+BD121</f>
        <v>0</v>
      </c>
      <c r="BE293" s="268">
        <f>(BE233-BD233)+BE121</f>
        <v>0</v>
      </c>
      <c r="BF293" s="268">
        <f>SUM(BB293:BE293)</f>
        <v>0</v>
      </c>
      <c r="BG293" s="268">
        <f>(BG233-BF233)+BG121</f>
        <v>0</v>
      </c>
      <c r="BH293" s="268">
        <f>(BH233-BG233)+BH121</f>
        <v>0</v>
      </c>
      <c r="BI293" s="268">
        <f>(BI233-BH233)+BI121</f>
        <v>0</v>
      </c>
      <c r="BJ293" s="268">
        <f>(BJ233-BI233)+BJ121</f>
        <v>0</v>
      </c>
      <c r="BK293" s="268">
        <f>SUM(BG293:BJ293)</f>
        <v>0</v>
      </c>
      <c r="BL293" s="268">
        <f>(BL233-BK233)+BL121</f>
        <v>0</v>
      </c>
      <c r="BM293" s="268">
        <f>(BM233-BL233)+BM121</f>
        <v>0</v>
      </c>
      <c r="BN293" s="268">
        <f>(BN233-BM233)+BN121</f>
        <v>0</v>
      </c>
      <c r="BO293" s="268">
        <f>(BO233-BN233)+BO121</f>
        <v>0</v>
      </c>
      <c r="BP293" s="268">
        <f>SUM(BL293:BO293)</f>
        <v>0</v>
      </c>
      <c r="BQ293" s="268">
        <f>(BQ233-BP233)+BQ121</f>
        <v>0</v>
      </c>
      <c r="BR293" s="268">
        <f>(BR233-BQ233)+BR121</f>
        <v>0</v>
      </c>
      <c r="BS293" s="268">
        <f>(BS233-BR233)+BS121</f>
        <v>0</v>
      </c>
      <c r="BT293" s="268">
        <f>(BT233-BS233)+BT121</f>
        <v>0</v>
      </c>
      <c r="BU293" s="268">
        <f>SUM(BQ293:BT293)</f>
        <v>0</v>
      </c>
      <c r="BV293" s="268">
        <f>(BV233-BU233)+BV121</f>
        <v>0</v>
      </c>
      <c r="BW293" s="268">
        <f>(BW233-BV233)+BW121</f>
        <v>0</v>
      </c>
      <c r="BX293" s="268">
        <f>(BX233-BW233)+BX121</f>
        <v>0</v>
      </c>
      <c r="BY293" s="268">
        <f>(BY233-BX233)+BY121</f>
        <v>0</v>
      </c>
      <c r="BZ293" s="268">
        <f>SUM(BV293:BY293)</f>
        <v>0</v>
      </c>
      <c r="CA293" s="268">
        <f>(CA233-BZ233)+CA121</f>
        <v>0</v>
      </c>
      <c r="CB293" s="268">
        <f>(CB233-CA233)+CB121</f>
        <v>0</v>
      </c>
      <c r="CC293" s="268">
        <f>(CC233-CB233)+CC121</f>
        <v>0</v>
      </c>
      <c r="CD293" s="268">
        <f>(CD233-CC233)+CD121</f>
        <v>0</v>
      </c>
      <c r="CE293" s="268">
        <f>SUM(CA293:CD293)</f>
        <v>0</v>
      </c>
      <c r="CF293" s="268">
        <f>(CF233-CE233)+CF121</f>
        <v>0</v>
      </c>
      <c r="CG293" s="268">
        <f>(CG233-CF233)+CG121</f>
        <v>0</v>
      </c>
      <c r="CH293" s="268">
        <f>(CH233-CG233)+CH121</f>
        <v>0</v>
      </c>
      <c r="CI293" s="268">
        <f>(CI233-CH233)+CI121</f>
        <v>0</v>
      </c>
      <c r="CJ293" s="268">
        <f>SUM(CF293:CI293)</f>
        <v>0</v>
      </c>
      <c r="CK293" s="268">
        <f>(CK233-CJ233)+CK121</f>
        <v>0</v>
      </c>
      <c r="CL293" s="268">
        <f>(CL233-CK233)+CL121</f>
        <v>0</v>
      </c>
      <c r="CM293" s="268">
        <f>(CM233-CL233)+CM121</f>
        <v>0</v>
      </c>
      <c r="CN293" s="268">
        <f>(CN233-CM233)+CN121</f>
        <v>0</v>
      </c>
      <c r="CO293" s="268">
        <f>SUM(CK293:CN293)</f>
        <v>0</v>
      </c>
      <c r="CP293" s="268">
        <f>(CP233-CO233)+CP121</f>
        <v>0</v>
      </c>
      <c r="CQ293" s="268">
        <f>(CQ233-CP233)+CQ121</f>
        <v>0</v>
      </c>
      <c r="CR293" s="268">
        <f>(CR233-CQ233)+CR121</f>
        <v>0</v>
      </c>
      <c r="CS293" s="268">
        <f>(CS233-CR233)+CS121</f>
        <v>0</v>
      </c>
      <c r="CT293" s="268">
        <f>SUM(CP293:CS293)</f>
        <v>0</v>
      </c>
      <c r="CU293" s="268">
        <f>(CU233-CT233)+CU121</f>
        <v>0</v>
      </c>
      <c r="CV293" s="268">
        <f>(CV233-CU233)+CV121</f>
        <v>0</v>
      </c>
      <c r="CW293" s="268">
        <f>(CW233-CV233)+CW121</f>
        <v>0</v>
      </c>
      <c r="CX293" s="268">
        <f>(CX233-CW233)+CX121</f>
        <v>0</v>
      </c>
      <c r="CY293" s="268">
        <f>SUM(CU293:CX293)</f>
        <v>0</v>
      </c>
    </row>
    <row r="294" ht="12.75" customHeight="1" s="255">
      <c r="C294" s="271" t="inlineStr">
        <is>
          <t>Increases / (decreases) in debt</t>
        </is>
      </c>
      <c r="D294" s="268" t="n"/>
      <c r="E294" s="268">
        <f>SUM(E197:E199,E202,E223,E220)-SUM(D197:D199,D202,D223,D220)</f>
        <v>3585</v>
      </c>
      <c r="F294" s="268">
        <f>SUM(F197:F199,F202,F223,F220)-SUM(E197:E199,E202,E223,E220)</f>
        <v>-1463</v>
      </c>
      <c r="G294" s="268">
        <f>SUM(G197:G199,G202,G223,G220)-SUM(F197:F199,F202,F223,F220)</f>
        <v>32</v>
      </c>
      <c r="H294" s="268">
        <f>SUM(D294:G294)</f>
        <v>2154</v>
      </c>
      <c r="I294" s="268">
        <f>SUM(I197:I199,I202,I223,I220)-SUM(H197:H199,H202,H223,H220)</f>
        <v>69</v>
      </c>
      <c r="J294" s="268">
        <f>SUM(J197:J199,J202,J223,J220)-SUM(I197:I199,I202,I223,I220)</f>
        <v>-40</v>
      </c>
      <c r="K294" s="268">
        <f>SUM(K197:K199,K202,K223,K220)-SUM(J197:J199,J202,J223,J220)</f>
        <v>-95</v>
      </c>
      <c r="L294" s="268">
        <f>SUM(L197:L199,L202,L223,L220)-SUM(K197:K199,K202,K223,K220)</f>
        <v>-18</v>
      </c>
      <c r="M294" s="268">
        <f>SUM(I294:L294)</f>
        <v>-84</v>
      </c>
      <c r="N294" s="268">
        <f>SUM(N197:N199,N202,N223,N220)-SUM(M197:M199,M202,M223,M220)</f>
        <v>-869</v>
      </c>
      <c r="O294" s="268">
        <f>SUM(O197:O199,O202,O223,O220)-SUM(N197:N199,N202,N223,N220)</f>
        <v>-210</v>
      </c>
      <c r="P294" s="268">
        <f>SUM(P197:P199,P202,P223,P220)-SUM(O197:O199,O202,O223,O220)</f>
        <v>3</v>
      </c>
      <c r="Q294" s="268">
        <f>SUM(Q197:Q199,Q202,Q223,Q220)-SUM(P197:P199,P202,P223,P220)</f>
        <v>7</v>
      </c>
      <c r="R294" s="268">
        <f>SUM(N294:Q294)</f>
        <v>-1069</v>
      </c>
      <c r="S294" s="268">
        <f>SUM(S197:S199,S202,S223,S220)-SUM(R197:R199,R202,R223,R220)</f>
        <v>93</v>
      </c>
      <c r="T294" s="268">
        <f>SUM(T197:T199,T202,T223,T220)-SUM(S197:S199,S202,S223,S220)</f>
        <v>-135</v>
      </c>
      <c r="U294" s="268">
        <f>SUM(U197:U199,U202,U223,U220)-SUM(T197:T199,T202,T223,T220)</f>
        <v>-120</v>
      </c>
      <c r="V294" s="268">
        <f>SUM(V197:V199,V202,V223,V220)-SUM(U197:U199,U202,U223,U220)</f>
        <v>463</v>
      </c>
      <c r="W294" s="268">
        <f>SUM(S294:V294)</f>
        <v>301</v>
      </c>
      <c r="X294" s="268">
        <f>SUM(X197:X199,X202,X223,X220)-SUM(W197:W199,W202,W223,W220)</f>
        <v>86</v>
      </c>
      <c r="Y294" s="268">
        <f>SUM(Y197:Y199,Y202,Y223,Y220)-SUM(X197:X199,X202,X223,X220)</f>
        <v>-136</v>
      </c>
      <c r="Z294" s="268">
        <f>SUM(Z197:Z199,Z202,Z223,Z220)-SUM(Y197:Y199,Y202,Y223,Y220)</f>
        <v>-1025</v>
      </c>
      <c r="AA294" s="268">
        <f>SUM(AA197:AA199,AA202,AA223,AA220)-SUM(Z197:Z199,Z202,Z223,Z220)</f>
        <v>-239</v>
      </c>
      <c r="AB294" s="268">
        <f>SUM(X294:AA294)</f>
        <v>-1314</v>
      </c>
      <c r="AC294" s="268">
        <f>SUM(AC197:AC199,AC202,AC223,AC220)-SUM(AB197:AB199,AB202,AB223,AB220)</f>
        <v>6</v>
      </c>
      <c r="AD294" s="268">
        <f>SUM(AD197:AD199,AD202,AD223,AD220)-SUM(AC197:AC199,AC202,AC223,AC220)</f>
        <v>141</v>
      </c>
      <c r="AE294" s="268">
        <f>SUM(AE197:AE199,AE202,AE223,AE220)-SUM(AD197:AD199,AD202,AD223,AD220)</f>
        <v>-7</v>
      </c>
      <c r="AF294" s="268">
        <f>SUM(AF197:AF199,AF202,AF223,AF220)-SUM(AE197:AE199,AE202,AE223,AE220)</f>
        <v>-71</v>
      </c>
      <c r="AG294" s="268">
        <f>SUM(AC294:AF294)</f>
        <v>69</v>
      </c>
      <c r="AH294" s="268">
        <f>SUM(AH197:AH199,AH202,AH223,AH220)-SUM(AG197:AG199,AG202,AG223,AG220)</f>
        <v>63</v>
      </c>
      <c r="AI294" s="268">
        <f>SUM(AI197:AI199,AI202,AI223,AI220)-SUM(AH197:AH199,AH202,AH223,AH220)</f>
        <v>-29</v>
      </c>
      <c r="AJ294" s="268">
        <f>SUM(AJ197:AJ199,AJ202,AJ223,AJ220)-SUM(AI197:AI199,AI202,AI223,AI220)</f>
        <v>0</v>
      </c>
      <c r="AK294" s="268">
        <f>SUM(AK197:AK199,AK202,AK223,AK220)-SUM(AJ197:AJ199,AJ202,AJ223,AJ220)</f>
        <v>0</v>
      </c>
      <c r="AL294" s="268">
        <f>SUM(AH294:AK294)</f>
        <v>34</v>
      </c>
      <c r="AM294" s="268">
        <f>SUM(AM197:AM199,AM202,AM223,AM220)-SUM(AL197:AL199,AL202,AL223,AL220)</f>
        <v>0</v>
      </c>
      <c r="AN294" s="268">
        <f>SUM(AN197:AN199,AN202,AN223,AN220)-SUM(AM197:AM199,AM202,AM223,AM220)</f>
        <v>0</v>
      </c>
      <c r="AO294" s="268">
        <f>SUM(AO197:AO199,AO202,AO223,AO220)-SUM(AN197:AN199,AN202,AN223,AN220)</f>
        <v>0</v>
      </c>
      <c r="AP294" s="268">
        <f>SUM(AP197:AP199,AP202,AP223,AP220)-SUM(AO197:AO199,AO202,AO223,AO220)</f>
        <v>0</v>
      </c>
      <c r="AQ294" s="268">
        <f>SUM(AM294:AP294)</f>
        <v>0</v>
      </c>
      <c r="AR294" s="268">
        <f>SUM(AR197:AR199,AR202,AR223,AR220)-SUM(AQ197:AQ199,AQ202,AQ223,AQ220)</f>
        <v>0</v>
      </c>
      <c r="AS294" s="268">
        <f>SUM(AS197:AS199,AS202,AS223,AS220)-SUM(AR197:AR199,AR202,AR223,AR220)</f>
        <v>0</v>
      </c>
      <c r="AT294" s="268">
        <f>SUM(AT197:AT199,AT202,AT223,AT220)-SUM(AS197:AS199,AS202,AS223,AS220)</f>
        <v>0</v>
      </c>
      <c r="AU294" s="268">
        <f>SUM(AU197:AU199,AU202,AU223,AU220)-SUM(AT197:AT199,AT202,AT223,AT220)</f>
        <v>0</v>
      </c>
      <c r="AV294" s="268">
        <f>SUM(AR294:AU294)</f>
        <v>0</v>
      </c>
      <c r="AW294" s="268">
        <f>SUM(AW197:AW199,AW202,AW223,AW220)-SUM(AV197:AV199,AV202,AV223,AV220)</f>
        <v>0</v>
      </c>
      <c r="AX294" s="268">
        <f>SUM(AX197:AX199,AX202,AX223,AX220)-SUM(AW197:AW199,AW202,AW223,AW220)</f>
        <v>0</v>
      </c>
      <c r="AY294" s="268">
        <f>SUM(AY197:AY199,AY202,AY223,AY220)-SUM(AX197:AX199,AX202,AX223,AX220)</f>
        <v>0</v>
      </c>
      <c r="AZ294" s="268">
        <f>SUM(AZ197:AZ199,AZ202,AZ223,AZ220)-SUM(AY197:AY199,AY202,AY223,AY220)</f>
        <v>0</v>
      </c>
      <c r="BA294" s="268">
        <f>SUM(AW294:AZ294)</f>
        <v>0</v>
      </c>
      <c r="BB294" s="268">
        <f>SUM(BB197:BB199,BB202,BB223,BB220)-SUM(BA197:BA199,BA202,BA223,BA220)</f>
        <v>0</v>
      </c>
      <c r="BC294" s="268">
        <f>SUM(BC197:BC199,BC202,BC223,BC220)-SUM(BB197:BB199,BB202,BB223,BB220)</f>
        <v>0</v>
      </c>
      <c r="BD294" s="268">
        <f>SUM(BD197:BD199,BD202,BD223,BD220)-SUM(BC197:BC199,BC202,BC223,BC220)</f>
        <v>0</v>
      </c>
      <c r="BE294" s="268">
        <f>SUM(BE197:BE199,BE202,BE223,BE220)-SUM(BD197:BD199,BD202,BD223,BD220)</f>
        <v>0</v>
      </c>
      <c r="BF294" s="268">
        <f>SUM(BB294:BE294)</f>
        <v>0</v>
      </c>
      <c r="BG294" s="268">
        <f>SUM(BG197:BG199,BG202,BG223,BG220)-SUM(BF197:BF199,BF202,BF223,BF220)</f>
        <v>0</v>
      </c>
      <c r="BH294" s="268">
        <f>SUM(BH197:BH199,BH202,BH223,BH220)-SUM(BG197:BG199,BG202,BG223,BG220)</f>
        <v>0</v>
      </c>
      <c r="BI294" s="268">
        <f>SUM(BI197:BI199,BI202,BI223,BI220)-SUM(BH197:BH199,BH202,BH223,BH220)</f>
        <v>0</v>
      </c>
      <c r="BJ294" s="268">
        <f>SUM(BJ197:BJ199,BJ202,BJ223,BJ220)-SUM(BI197:BI199,BI202,BI223,BI220)</f>
        <v>0</v>
      </c>
      <c r="BK294" s="268">
        <f>SUM(BG294:BJ294)</f>
        <v>0</v>
      </c>
      <c r="BL294" s="268">
        <f>SUM(BL197:BL199,BL202,BL223,BL220)-SUM(BK197:BK199,BK202,BK223,BK220)</f>
        <v>0</v>
      </c>
      <c r="BM294" s="268">
        <f>SUM(BM197:BM199,BM202,BM223,BM220)-SUM(BL197:BL199,BL202,BL223,BL220)</f>
        <v>0</v>
      </c>
      <c r="BN294" s="268">
        <f>SUM(BN197:BN199,BN202,BN223,BN220)-SUM(BM197:BM199,BM202,BM223,BM220)</f>
        <v>0</v>
      </c>
      <c r="BO294" s="268">
        <f>SUM(BO197:BO199,BO202,BO223,BO220)-SUM(BN197:BN199,BN202,BN223,BN220)</f>
        <v>0</v>
      </c>
      <c r="BP294" s="268">
        <f>SUM(BL294:BO294)</f>
        <v>0</v>
      </c>
      <c r="BQ294" s="268">
        <f>SUM(BQ197:BQ199,BQ202,BQ223,BQ220)-SUM(BP197:BP199,BP202,BP223,BP220)</f>
        <v>0</v>
      </c>
      <c r="BR294" s="268">
        <f>SUM(BR197:BR199,BR202,BR223,BR220)-SUM(BQ197:BQ199,BQ202,BQ223,BQ220)</f>
        <v>0</v>
      </c>
      <c r="BS294" s="268">
        <f>SUM(BS197:BS199,BS202,BS223,BS220)-SUM(BR197:BR199,BR202,BR223,BR220)</f>
        <v>0</v>
      </c>
      <c r="BT294" s="268">
        <f>SUM(BT197:BT199,BT202,BT223,BT220)-SUM(BS197:BS199,BS202,BS223,BS220)</f>
        <v>0</v>
      </c>
      <c r="BU294" s="268">
        <f>SUM(BQ294:BT294)</f>
        <v>0</v>
      </c>
      <c r="BV294" s="268">
        <f>SUM(BV197:BV199,BV202,BV223,BV220)-SUM(BU197:BU199,BU202,BU223,BU220)</f>
        <v>0</v>
      </c>
      <c r="BW294" s="268">
        <f>SUM(BW197:BW199,BW202,BW223,BW220)-SUM(BV197:BV199,BV202,BV223,BV220)</f>
        <v>0</v>
      </c>
      <c r="BX294" s="268">
        <f>SUM(BX197:BX199,BX202,BX223,BX220)-SUM(BW197:BW199,BW202,BW223,BW220)</f>
        <v>0</v>
      </c>
      <c r="BY294" s="268">
        <f>SUM(BY197:BY199,BY202,BY223,BY220)-SUM(BX197:BX199,BX202,BX223,BX220)</f>
        <v>0</v>
      </c>
      <c r="BZ294" s="268">
        <f>SUM(BV294:BY294)</f>
        <v>0</v>
      </c>
      <c r="CA294" s="268">
        <f>SUM(CA197:CA199,CA202,CA223,CA220)-SUM(BZ197:BZ199,BZ202,BZ223,BZ220)</f>
        <v>0</v>
      </c>
      <c r="CB294" s="268">
        <f>SUM(CB197:CB199,CB202,CB223,CB220)-SUM(CA197:CA199,CA202,CA223,CA220)</f>
        <v>0</v>
      </c>
      <c r="CC294" s="268">
        <f>SUM(CC197:CC199,CC202,CC223,CC220)-SUM(CB197:CB199,CB202,CB223,CB220)</f>
        <v>0</v>
      </c>
      <c r="CD294" s="268">
        <f>SUM(CD197:CD199,CD202,CD223,CD220)-SUM(CC197:CC199,CC202,CC223,CC220)</f>
        <v>0</v>
      </c>
      <c r="CE294" s="268">
        <f>SUM(CA294:CD294)</f>
        <v>0</v>
      </c>
      <c r="CF294" s="268">
        <f>SUM(CF197:CF199,CF202,CF223,CF220)-SUM(CE197:CE199,CE202,CE223,CE220)</f>
        <v>0</v>
      </c>
      <c r="CG294" s="268">
        <f>SUM(CG197:CG199,CG202,CG223,CG220)-SUM(CF197:CF199,CF202,CF223,CF220)</f>
        <v>0</v>
      </c>
      <c r="CH294" s="268">
        <f>SUM(CH197:CH199,CH202,CH223,CH220)-SUM(CG197:CG199,CG202,CG223,CG220)</f>
        <v>0</v>
      </c>
      <c r="CI294" s="268">
        <f>SUM(CI197:CI199,CI202,CI223,CI220)-SUM(CH197:CH199,CH202,CH223,CH220)</f>
        <v>0</v>
      </c>
      <c r="CJ294" s="268">
        <f>SUM(CF294:CI294)</f>
        <v>0</v>
      </c>
      <c r="CK294" s="268">
        <f>SUM(CK197:CK199,CK202,CK223,CK220)-SUM(CJ197:CJ199,CJ202,CJ223,CJ220)</f>
        <v>0</v>
      </c>
      <c r="CL294" s="268">
        <f>SUM(CL197:CL199,CL202,CL223,CL220)-SUM(CK197:CK199,CK202,CK223,CK220)</f>
        <v>0</v>
      </c>
      <c r="CM294" s="268">
        <f>SUM(CM197:CM199,CM202,CM223,CM220)-SUM(CL197:CL199,CL202,CL223,CL220)</f>
        <v>0</v>
      </c>
      <c r="CN294" s="268">
        <f>SUM(CN197:CN199,CN202,CN223,CN220)-SUM(CM197:CM199,CM202,CM223,CM220)</f>
        <v>0</v>
      </c>
      <c r="CO294" s="268">
        <f>SUM(CK294:CN294)</f>
        <v>0</v>
      </c>
      <c r="CP294" s="268">
        <f>SUM(CP197:CP199,CP202,CP223,CP220)-SUM(CO197:CO199,CO202,CO223,CO220)</f>
        <v>0</v>
      </c>
      <c r="CQ294" s="268">
        <f>SUM(CQ197:CQ199,CQ202,CQ223,CQ220)-SUM(CP197:CP199,CP202,CP223,CP220)</f>
        <v>0</v>
      </c>
      <c r="CR294" s="268">
        <f>SUM(CR197:CR199,CR202,CR223,CR220)-SUM(CQ197:CQ199,CQ202,CQ223,CQ220)</f>
        <v>0</v>
      </c>
      <c r="CS294" s="268">
        <f>SUM(CS197:CS199,CS202,CS223,CS220)-SUM(CR197:CR199,CR202,CR223,CR220)</f>
        <v>0</v>
      </c>
      <c r="CT294" s="268">
        <f>SUM(CP294:CS294)</f>
        <v>0</v>
      </c>
      <c r="CU294" s="268">
        <f>SUM(CU197:CU199,CU202,CU223,CU220)-SUM(CT197:CT199,CT202,CT223,CT220)</f>
        <v>0</v>
      </c>
      <c r="CV294" s="268">
        <f>SUM(CV197:CV199,CV202,CV223,CV220)-SUM(CU197:CU199,CU202,CU223,CU220)</f>
        <v>0</v>
      </c>
      <c r="CW294" s="268">
        <f>SUM(CW197:CW199,CW202,CW223,CW220)-SUM(CV197:CV199,CV202,CV223,CV220)</f>
        <v>0</v>
      </c>
      <c r="CX294" s="268">
        <f>SUM(CX197:CX199,CX202,CX223,CX220)-SUM(CW197:CW199,CW202,CW223,CW220)</f>
        <v>0</v>
      </c>
      <c r="CY294" s="268">
        <f>SUM(CU294:CX294)</f>
        <v>0</v>
      </c>
      <c r="CZ294" s="268" t="n"/>
      <c r="DA294" s="268" t="n"/>
      <c r="DB294" s="268" t="n"/>
      <c r="DC294" s="268" t="n"/>
    </row>
    <row r="295" ht="12.75" customHeight="1" s="255">
      <c r="C295" s="270" t="inlineStr">
        <is>
          <t>Cash from financing</t>
        </is>
      </c>
      <c r="D295" s="268" t="n"/>
      <c r="E295" s="268">
        <f>SUM(E287,E288,E289,E290,E291,E292,E293,E294)</f>
        <v>2937</v>
      </c>
      <c r="F295" s="268">
        <f>SUM(F287,F288,F289,F290,F291,F292,F293,F294)</f>
        <v>-1365</v>
      </c>
      <c r="G295" s="268">
        <f>SUM(G287,G288,G289,G290,G291,G292,G293,G294)</f>
        <v>-4545</v>
      </c>
      <c r="H295" s="268">
        <f>SUM(H287,H288,H289,H290,H291,H292,H293,H294)</f>
        <v>-2973</v>
      </c>
      <c r="I295" s="268">
        <f>SUM(I287,I288,I289,I290,I291,I292,I293,I294)</f>
        <v>-82</v>
      </c>
      <c r="J295" s="268">
        <f>SUM(J287,J288,J289,J290,J291,J292,J293,J294)</f>
        <v>-428</v>
      </c>
      <c r="K295" s="268">
        <f>SUM(K287,K288,K289,K290,K291,K292,K293,K294)</f>
        <v>-685</v>
      </c>
      <c r="L295" s="268">
        <f>SUM(L287,L288,L289,L290,L291,L292,L293,L294)</f>
        <v>-441</v>
      </c>
      <c r="M295" s="268">
        <f>SUM(M287,M288,M289,M290,M291,M292,M293,M294)</f>
        <v>-1636</v>
      </c>
      <c r="N295" s="268">
        <f>SUM(N287,N288,N289,N290,N291,N292,N293,N294)</f>
        <v>-1213</v>
      </c>
      <c r="O295" s="268">
        <f>SUM(O287,O288,O289,O290,O291,O292,O293,O294)</f>
        <v>-1045</v>
      </c>
      <c r="P295" s="268">
        <f>SUM(P287,P288,P289,P290,P291,P292,P293,P294)</f>
        <v>-1741</v>
      </c>
      <c r="Q295" s="268">
        <f>SUM(Q287,Q288,Q289,Q290,Q291,Q292,Q293,Q294)</f>
        <v>-528</v>
      </c>
      <c r="R295" s="268">
        <f>SUM(R287,R288,R289,R290,R291,R292,R293,R294)</f>
        <v>-4527</v>
      </c>
      <c r="S295" s="268">
        <f>SUM(S287,S288,S289,S290,S291,S292,S293,S294)</f>
        <v>-50</v>
      </c>
      <c r="T295" s="268">
        <f>SUM(T287,T288,T289,T290,T291,T292,T293,T294)</f>
        <v>-663</v>
      </c>
      <c r="U295" s="268">
        <f>SUM(U287,U288,U289,U290,U291,U292,U293,U294)</f>
        <v>-795</v>
      </c>
      <c r="V295" s="268">
        <f>SUM(V287,V288,V289,V290,V291,V292,V293,V294)</f>
        <v>-37</v>
      </c>
      <c r="W295" s="268">
        <f>SUM(W287,W288,W289,W290,W291,W292,W293,W294)</f>
        <v>-1545</v>
      </c>
      <c r="X295" s="268">
        <f>SUM(X287,X288,X289,X290,X291,X292,X293,X294)</f>
        <v>-7044</v>
      </c>
      <c r="Y295" s="268">
        <f>SUM(Y287,Y288,Y289,Y290,Y291,Y292,Y293,Y294)</f>
        <v>-806</v>
      </c>
      <c r="Z295" s="268">
        <f>SUM(Z287,Z288,Z289,Z290,Z291,Z292,Z293,Z294)</f>
        <v>-1528</v>
      </c>
      <c r="AA295" s="268">
        <f>SUM(AA287,AA288,AA289,AA290,AA291,AA292,AA293,AA294)</f>
        <v>-1208</v>
      </c>
      <c r="AB295" s="268">
        <f>SUM(AB287,AB288,AB289,AB290,AB291,AB292,AB293,AB294)</f>
        <v>-10586</v>
      </c>
      <c r="AC295" s="268">
        <f>SUM(AC287,AC288,AC289,AC290,AC291,AC292,AC293,AC294)</f>
        <v>-656</v>
      </c>
      <c r="AD295" s="268">
        <f>SUM(AD287,AD288,AD289,AD290,AD291,AD292,AD293,AD294)</f>
        <v>-214</v>
      </c>
      <c r="AE295" s="268">
        <f>SUM(AE287,AE288,AE289,AE290,AE291,AE292,AE293,AE294)</f>
        <v>-578</v>
      </c>
      <c r="AF295" s="268">
        <f>SUM(AF287,AF288,AF289,AF290,AF291,AF292,AF293,AF294)</f>
        <v>-933</v>
      </c>
      <c r="AG295" s="268">
        <f>SUM(AG287,AG288,AG289,AG290,AG291,AG292,AG293,AG294)</f>
        <v>-2381</v>
      </c>
      <c r="AH295" s="268">
        <f>SUM(AH287,AH288,AH289,AH290,AH291,AH292,AH293,AH294)</f>
        <v>-188</v>
      </c>
      <c r="AI295" s="268">
        <f>SUM(AI287,AI288,AI289,AI290,AI291,AI292,AI293,AI294)</f>
        <v>-799</v>
      </c>
      <c r="AJ295" s="268">
        <f>SUM(AJ287,AJ288,AJ289,AJ290,AJ291,AJ292,AJ293,AJ294)</f>
        <v>0</v>
      </c>
      <c r="AK295" s="268">
        <f>SUM(AK287,AK288,AK289,AK290,AK291,AK292,AK293,AK294)</f>
        <v>0</v>
      </c>
      <c r="AL295" s="268">
        <f>SUM(AL287,AL288,AL289,AL290,AL291,AL292,AL293,AL294)</f>
        <v>-987</v>
      </c>
      <c r="AM295" s="268">
        <f>SUM(AM287,AM288,AM289,AM290,AM291,AM292,AM293,AM294)</f>
        <v>0</v>
      </c>
      <c r="AN295" s="268">
        <f>SUM(AN287,AN288,AN289,AN290,AN291,AN292,AN293,AN294)</f>
        <v>0</v>
      </c>
      <c r="AO295" s="268">
        <f>SUM(AO287,AO288,AO289,AO290,AO291,AO292,AO293,AO294)</f>
        <v>0</v>
      </c>
      <c r="AP295" s="268">
        <f>SUM(AP287,AP288,AP289,AP290,AP291,AP292,AP293,AP294)</f>
        <v>0</v>
      </c>
      <c r="AQ295" s="268">
        <f>SUM(AQ287,AQ288,AQ289,AQ290,AQ291,AQ292,AQ293,AQ294)</f>
        <v>0</v>
      </c>
      <c r="AR295" s="268">
        <f>SUM(AR287,AR288,AR289,AR290,AR291,AR292,AR293,AR294)</f>
        <v>0</v>
      </c>
      <c r="AS295" s="268">
        <f>SUM(AS287,AS288,AS289,AS290,AS291,AS292,AS293,AS294)</f>
        <v>0</v>
      </c>
      <c r="AT295" s="268">
        <f>SUM(AT287,AT288,AT289,AT290,AT291,AT292,AT293,AT294)</f>
        <v>0</v>
      </c>
      <c r="AU295" s="268">
        <f>SUM(AU287,AU288,AU289,AU290,AU291,AU292,AU293,AU294)</f>
        <v>0</v>
      </c>
      <c r="AV295" s="268">
        <f>SUM(AV287,AV288,AV289,AV290,AV291,AV292,AV293,AV294)</f>
        <v>0</v>
      </c>
      <c r="AW295" s="268">
        <f>SUM(AW287,AW288,AW289,AW290,AW291,AW292,AW293,AW294)</f>
        <v>0</v>
      </c>
      <c r="AX295" s="268">
        <f>SUM(AX287,AX288,AX289,AX290,AX291,AX292,AX293,AX294)</f>
        <v>0</v>
      </c>
      <c r="AY295" s="268">
        <f>SUM(AY287,AY288,AY289,AY290,AY291,AY292,AY293,AY294)</f>
        <v>0</v>
      </c>
      <c r="AZ295" s="268">
        <f>SUM(AZ287,AZ288,AZ289,AZ290,AZ291,AZ292,AZ293,AZ294)</f>
        <v>0</v>
      </c>
      <c r="BA295" s="268">
        <f>SUM(BA287,BA288,BA289,BA290,BA291,BA292,BA293,BA294)</f>
        <v>0</v>
      </c>
      <c r="BB295" s="268">
        <f>SUM(BB287,BB288,BB289,BB290,BB291,BB292,BB293,BB294)</f>
        <v>0</v>
      </c>
      <c r="BC295" s="268">
        <f>SUM(BC287,BC288,BC289,BC290,BC291,BC292,BC293,BC294)</f>
        <v>0</v>
      </c>
      <c r="BD295" s="268">
        <f>SUM(BD287,BD288,BD289,BD290,BD291,BD292,BD293,BD294)</f>
        <v>0</v>
      </c>
      <c r="BE295" s="268">
        <f>SUM(BE287,BE288,BE289,BE290,BE291,BE292,BE293,BE294)</f>
        <v>0</v>
      </c>
      <c r="BF295" s="268">
        <f>SUM(BF287,BF288,BF289,BF290,BF291,BF292,BF293,BF294)</f>
        <v>0</v>
      </c>
      <c r="BG295" s="268">
        <f>SUM(BG287,BG288,BG289,BG290,BG291,BG292,BG293,BG294)</f>
        <v>0</v>
      </c>
      <c r="BH295" s="268">
        <f>SUM(BH287,BH288,BH289,BH290,BH291,BH292,BH293,BH294)</f>
        <v>0</v>
      </c>
      <c r="BI295" s="268">
        <f>SUM(BI287,BI288,BI289,BI290,BI291,BI292,BI293,BI294)</f>
        <v>0</v>
      </c>
      <c r="BJ295" s="268">
        <f>SUM(BJ287,BJ288,BJ289,BJ290,BJ291,BJ292,BJ293,BJ294)</f>
        <v>0</v>
      </c>
      <c r="BK295" s="268">
        <f>SUM(BK287,BK288,BK289,BK290,BK291,BK292,BK293,BK294)</f>
        <v>0</v>
      </c>
      <c r="BL295" s="268">
        <f>SUM(BL287,BL288,BL289,BL290,BL291,BL292,BL293,BL294)</f>
        <v>0</v>
      </c>
      <c r="BM295" s="268">
        <f>SUM(BM287,BM288,BM289,BM290,BM291,BM292,BM293,BM294)</f>
        <v>0</v>
      </c>
      <c r="BN295" s="268">
        <f>SUM(BN287,BN288,BN289,BN290,BN291,BN292,BN293,BN294)</f>
        <v>0</v>
      </c>
      <c r="BO295" s="268">
        <f>SUM(BO287,BO288,BO289,BO290,BO291,BO292,BO293,BO294)</f>
        <v>0</v>
      </c>
      <c r="BP295" s="268">
        <f>SUM(BP287,BP288,BP289,BP290,BP291,BP292,BP293,BP294)</f>
        <v>0</v>
      </c>
      <c r="BQ295" s="268">
        <f>SUM(BQ287,BQ288,BQ289,BQ290,BQ291,BQ292,BQ293,BQ294)</f>
        <v>0</v>
      </c>
      <c r="BR295" s="268">
        <f>SUM(BR287,BR288,BR289,BR290,BR291,BR292,BR293,BR294)</f>
        <v>0</v>
      </c>
      <c r="BS295" s="268">
        <f>SUM(BS287,BS288,BS289,BS290,BS291,BS292,BS293,BS294)</f>
        <v>0</v>
      </c>
      <c r="BT295" s="268">
        <f>SUM(BT287,BT288,BT289,BT290,BT291,BT292,BT293,BT294)</f>
        <v>0</v>
      </c>
      <c r="BU295" s="268">
        <f>SUM(BU287,BU288,BU289,BU290,BU291,BU292,BU293,BU294)</f>
        <v>0</v>
      </c>
      <c r="BV295" s="268">
        <f>SUM(BV287,BV288,BV289,BV290,BV291,BV292,BV293,BV294)</f>
        <v>0</v>
      </c>
      <c r="BW295" s="268">
        <f>SUM(BW287,BW288,BW289,BW290,BW291,BW292,BW293,BW294)</f>
        <v>0</v>
      </c>
      <c r="BX295" s="268">
        <f>SUM(BX287,BX288,BX289,BX290,BX291,BX292,BX293,BX294)</f>
        <v>0</v>
      </c>
      <c r="BY295" s="268">
        <f>SUM(BY287,BY288,BY289,BY290,BY291,BY292,BY293,BY294)</f>
        <v>0</v>
      </c>
      <c r="BZ295" s="268">
        <f>SUM(BZ287,BZ288,BZ289,BZ290,BZ291,BZ292,BZ293,BZ294)</f>
        <v>0</v>
      </c>
      <c r="CA295" s="268">
        <f>SUM(CA287,CA288,CA289,CA290,CA291,CA292,CA293,CA294)</f>
        <v>0</v>
      </c>
      <c r="CB295" s="268">
        <f>SUM(CB287,CB288,CB289,CB290,CB291,CB292,CB293,CB294)</f>
        <v>0</v>
      </c>
      <c r="CC295" s="268">
        <f>SUM(CC287,CC288,CC289,CC290,CC291,CC292,CC293,CC294)</f>
        <v>0</v>
      </c>
      <c r="CD295" s="268">
        <f>SUM(CD287,CD288,CD289,CD290,CD291,CD292,CD293,CD294)</f>
        <v>0</v>
      </c>
      <c r="CE295" s="268">
        <f>SUM(CE287,CE288,CE289,CE290,CE291,CE292,CE293,CE294)</f>
        <v>0</v>
      </c>
      <c r="CF295" s="268">
        <f>SUM(CF287,CF288,CF289,CF290,CF291,CF292,CF293,CF294)</f>
        <v>0</v>
      </c>
      <c r="CG295" s="268">
        <f>SUM(CG287,CG288,CG289,CG290,CG291,CG292,CG293,CG294)</f>
        <v>0</v>
      </c>
      <c r="CH295" s="268">
        <f>SUM(CH287,CH288,CH289,CH290,CH291,CH292,CH293,CH294)</f>
        <v>0</v>
      </c>
      <c r="CI295" s="268">
        <f>SUM(CI287,CI288,CI289,CI290,CI291,CI292,CI293,CI294)</f>
        <v>0</v>
      </c>
      <c r="CJ295" s="268">
        <f>SUM(CJ287,CJ288,CJ289,CJ290,CJ291,CJ292,CJ293,CJ294)</f>
        <v>0</v>
      </c>
      <c r="CK295" s="268">
        <f>SUM(CK287,CK288,CK289,CK290,CK291,CK292,CK293,CK294)</f>
        <v>0</v>
      </c>
      <c r="CL295" s="268">
        <f>SUM(CL287,CL288,CL289,CL290,CL291,CL292,CL293,CL294)</f>
        <v>0</v>
      </c>
      <c r="CM295" s="268">
        <f>SUM(CM287,CM288,CM289,CM290,CM291,CM292,CM293,CM294)</f>
        <v>0</v>
      </c>
      <c r="CN295" s="268">
        <f>SUM(CN287,CN288,CN289,CN290,CN291,CN292,CN293,CN294)</f>
        <v>0</v>
      </c>
      <c r="CO295" s="268">
        <f>SUM(CO287,CO288,CO289,CO290,CO291,CO292,CO293,CO294)</f>
        <v>0</v>
      </c>
      <c r="CP295" s="268">
        <f>SUM(CP287,CP288,CP289,CP290,CP291,CP292,CP293,CP294)</f>
        <v>0</v>
      </c>
      <c r="CQ295" s="268">
        <f>SUM(CQ287,CQ288,CQ289,CQ290,CQ291,CQ292,CQ293,CQ294)</f>
        <v>0</v>
      </c>
      <c r="CR295" s="268">
        <f>SUM(CR287,CR288,CR289,CR290,CR291,CR292,CR293,CR294)</f>
        <v>0</v>
      </c>
      <c r="CS295" s="268">
        <f>SUM(CS287,CS288,CS289,CS290,CS291,CS292,CS293,CS294)</f>
        <v>0</v>
      </c>
      <c r="CT295" s="268">
        <f>SUM(CT287,CT288,CT289,CT290,CT291,CT292,CT293,CT294)</f>
        <v>0</v>
      </c>
      <c r="CU295" s="268">
        <f>SUM(CU287,CU288,CU289,CU290,CU291,CU292,CU293,CU294)</f>
        <v>0</v>
      </c>
      <c r="CV295" s="268">
        <f>SUM(CV287,CV288,CV289,CV290,CV291,CV292,CV293,CV294)</f>
        <v>0</v>
      </c>
      <c r="CW295" s="268">
        <f>SUM(CW287,CW288,CW289,CW290,CW291,CW292,CW293,CW294)</f>
        <v>0</v>
      </c>
      <c r="CX295" s="268">
        <f>SUM(CX287,CX288,CX289,CX290,CX291,CX292,CX293,CX294)</f>
        <v>0</v>
      </c>
      <c r="CY295" s="268">
        <f>SUM(CY287,CY288,CY289,CY290,CY291,CY292,CY293,CY294)</f>
        <v>0</v>
      </c>
    </row>
    <row r="296" ht="12.75" customHeight="1" s="255">
      <c r="C296" s="270" t="n"/>
      <c r="D296" s="268" t="n"/>
      <c r="E296" s="268" t="n"/>
      <c r="F296" s="268" t="n"/>
      <c r="G296" s="268" t="n"/>
      <c r="H296" s="268" t="n"/>
      <c r="I296" s="268" t="n"/>
      <c r="J296" s="268" t="n"/>
      <c r="K296" s="268" t="n"/>
      <c r="L296" s="268" t="n"/>
      <c r="M296" s="268" t="n"/>
      <c r="N296" s="268" t="n"/>
      <c r="O296" s="268" t="n"/>
      <c r="P296" s="268" t="n"/>
      <c r="Q296" s="268" t="n"/>
      <c r="R296" s="268" t="n"/>
      <c r="S296" s="268" t="n"/>
      <c r="T296" s="268" t="n"/>
      <c r="U296" s="268" t="n"/>
      <c r="V296" s="268" t="n"/>
      <c r="W296" s="268" t="n"/>
      <c r="X296" s="268" t="n"/>
      <c r="Y296" s="268" t="n"/>
      <c r="Z296" s="268" t="n"/>
      <c r="AA296" s="268" t="n"/>
      <c r="AB296" s="268" t="n"/>
      <c r="AC296" s="268" t="n"/>
      <c r="AD296" s="268" t="n"/>
      <c r="AE296" s="268" t="n"/>
      <c r="AF296" s="268" t="n"/>
      <c r="AG296" s="268" t="n"/>
      <c r="AH296" s="268" t="n"/>
      <c r="AI296" s="268" t="n"/>
      <c r="AJ296" s="268" t="n"/>
      <c r="AK296" s="268" t="n"/>
      <c r="AL296" s="268" t="n"/>
      <c r="AM296" s="268" t="n"/>
      <c r="AN296" s="268" t="n"/>
      <c r="AO296" s="268" t="n"/>
      <c r="AP296" s="268" t="n"/>
      <c r="AQ296" s="268" t="n"/>
      <c r="AR296" s="268" t="n"/>
      <c r="AS296" s="268" t="n"/>
      <c r="AT296" s="268" t="n"/>
      <c r="AU296" s="268" t="n"/>
      <c r="AV296" s="268" t="n"/>
      <c r="AW296" s="268" t="n"/>
      <c r="AX296" s="268" t="n"/>
      <c r="AY296" s="268" t="n"/>
      <c r="AZ296" s="268" t="n"/>
      <c r="BA296" s="268" t="n"/>
      <c r="BB296" s="268" t="n"/>
      <c r="BC296" s="268" t="n"/>
      <c r="BD296" s="268" t="n"/>
      <c r="BE296" s="268" t="n"/>
      <c r="BF296" s="268" t="n"/>
      <c r="BG296" s="268" t="n"/>
      <c r="BH296" s="268" t="n"/>
      <c r="BI296" s="268" t="n"/>
      <c r="BJ296" s="268" t="n"/>
      <c r="BK296" s="268" t="n"/>
      <c r="BL296" s="268" t="n"/>
      <c r="BM296" s="268" t="n"/>
      <c r="BN296" s="268" t="n"/>
      <c r="BO296" s="268" t="n"/>
      <c r="BP296" s="268" t="n"/>
      <c r="BQ296" s="268" t="n"/>
      <c r="BR296" s="268" t="n"/>
      <c r="BS296" s="268" t="n"/>
      <c r="BT296" s="268" t="n"/>
      <c r="BU296" s="268" t="n"/>
      <c r="BV296" s="268" t="n"/>
      <c r="BW296" s="268" t="n"/>
      <c r="BX296" s="268" t="n"/>
      <c r="BY296" s="268" t="n"/>
      <c r="BZ296" s="268" t="n"/>
      <c r="CA296" s="268" t="n"/>
      <c r="CB296" s="268" t="n"/>
      <c r="CC296" s="268" t="n"/>
      <c r="CD296" s="268" t="n"/>
      <c r="CE296" s="268" t="n"/>
      <c r="CF296" s="268" t="n"/>
      <c r="CG296" s="268" t="n"/>
      <c r="CH296" s="268" t="n"/>
      <c r="CI296" s="268" t="n"/>
      <c r="CJ296" s="268" t="n"/>
      <c r="CK296" s="268" t="n"/>
      <c r="CL296" s="268" t="n"/>
      <c r="CM296" s="268" t="n"/>
      <c r="CN296" s="268" t="n"/>
      <c r="CO296" s="268" t="n"/>
      <c r="CP296" s="268" t="n"/>
      <c r="CQ296" s="268" t="n"/>
      <c r="CR296" s="268" t="n"/>
      <c r="CS296" s="268" t="n"/>
      <c r="CT296" s="268" t="n"/>
      <c r="CU296" s="268" t="n"/>
      <c r="CV296" s="268" t="n"/>
      <c r="CW296" s="268" t="n"/>
      <c r="CX296" s="268" t="n"/>
      <c r="CY296" s="268" t="n"/>
    </row>
    <row r="297" ht="12.75" customHeight="1" s="255">
      <c r="C297" s="270" t="inlineStr">
        <is>
          <t>Others</t>
        </is>
      </c>
      <c r="D297" s="268" t="n"/>
      <c r="E297" s="268" t="n"/>
      <c r="F297" s="268" t="n"/>
      <c r="G297" s="268" t="n"/>
      <c r="H297" s="268">
        <f>SUM(D297:G297)</f>
        <v>0</v>
      </c>
      <c r="I297" s="268" t="n"/>
      <c r="J297" s="268" t="n"/>
      <c r="K297" s="268" t="n"/>
      <c r="L297" s="268" t="n"/>
      <c r="M297" s="268">
        <f>SUM(I297:L297)</f>
        <v>0</v>
      </c>
      <c r="N297" s="268" t="n"/>
      <c r="O297" s="268" t="n"/>
      <c r="P297" s="268" t="n"/>
      <c r="Q297" s="268" t="n"/>
      <c r="R297" s="268">
        <f>SUM(N297:Q297)</f>
        <v>0</v>
      </c>
      <c r="S297" s="268" t="n"/>
      <c r="T297" s="268" t="n"/>
      <c r="U297" s="268" t="n"/>
      <c r="V297" s="268" t="n"/>
      <c r="W297" s="268">
        <f>SUM(S297:V297)</f>
        <v>0</v>
      </c>
      <c r="X297" s="268" t="n"/>
      <c r="Y297" s="268" t="n"/>
      <c r="Z297" s="268" t="n"/>
      <c r="AA297" s="268" t="n"/>
      <c r="AB297" s="268">
        <f>SUM(X297:AA297)</f>
        <v>0</v>
      </c>
      <c r="AC297" s="268" t="n"/>
      <c r="AD297" s="268" t="n"/>
      <c r="AE297" s="268" t="n"/>
      <c r="AF297" s="268" t="n"/>
      <c r="AG297" s="268">
        <f>SUM(AC297:AF297)</f>
        <v>0</v>
      </c>
      <c r="AH297" s="268" t="n"/>
      <c r="AI297" s="268" t="n"/>
      <c r="AJ297" s="268" t="n"/>
      <c r="AK297" s="268" t="n"/>
      <c r="AL297" s="268">
        <f>SUM(AH297:AK297)</f>
        <v>0</v>
      </c>
      <c r="AM297" s="268" t="n"/>
      <c r="AN297" s="268" t="n"/>
      <c r="AO297" s="268" t="n"/>
      <c r="AP297" s="268" t="n"/>
      <c r="AQ297" s="268">
        <f>SUM(AM297:AP297)</f>
        <v>0</v>
      </c>
      <c r="AR297" s="268" t="n"/>
      <c r="AS297" s="268" t="n"/>
      <c r="AT297" s="268" t="n"/>
      <c r="AU297" s="268" t="n"/>
      <c r="AV297" s="268">
        <f>SUM(AR297:AU297)</f>
        <v>0</v>
      </c>
      <c r="AW297" s="268" t="n"/>
      <c r="AX297" s="268" t="n"/>
      <c r="AY297" s="268" t="n"/>
      <c r="AZ297" s="268" t="n"/>
      <c r="BA297" s="268">
        <f>SUM(AW297:AZ297)</f>
        <v>0</v>
      </c>
      <c r="BB297" s="268" t="n"/>
      <c r="BC297" s="268" t="n"/>
      <c r="BD297" s="268" t="n"/>
      <c r="BE297" s="268" t="n"/>
      <c r="BF297" s="268">
        <f>SUM(BB297:BE297)</f>
        <v>0</v>
      </c>
      <c r="BG297" s="268" t="n"/>
      <c r="BH297" s="268" t="n"/>
      <c r="BI297" s="268" t="n"/>
      <c r="BJ297" s="268" t="n"/>
      <c r="BK297" s="268">
        <f>SUM(BG297:BJ297)</f>
        <v>0</v>
      </c>
      <c r="BL297" s="268" t="n"/>
      <c r="BM297" s="268" t="n"/>
      <c r="BN297" s="268" t="n"/>
      <c r="BO297" s="268" t="n"/>
      <c r="BP297" s="268">
        <f>SUM(BL297:BO297)</f>
        <v>0</v>
      </c>
      <c r="BQ297" s="268" t="n"/>
      <c r="BR297" s="268" t="n"/>
      <c r="BS297" s="268" t="n"/>
      <c r="BT297" s="268" t="n"/>
      <c r="BU297" s="268">
        <f>SUM(BQ297:BT297)</f>
        <v>0</v>
      </c>
      <c r="BV297" s="268" t="n"/>
      <c r="BW297" s="268" t="n"/>
      <c r="BX297" s="268" t="n"/>
      <c r="BY297" s="268" t="n"/>
      <c r="BZ297" s="268">
        <f>SUM(BV297:BY297)</f>
        <v>0</v>
      </c>
      <c r="CA297" s="268" t="n"/>
      <c r="CB297" s="268" t="n"/>
      <c r="CC297" s="268" t="n"/>
      <c r="CD297" s="268" t="n"/>
      <c r="CE297" s="268">
        <f>SUM(CA297:CD297)</f>
        <v>0</v>
      </c>
      <c r="CF297" s="268" t="n"/>
      <c r="CG297" s="268" t="n"/>
      <c r="CH297" s="268" t="n"/>
      <c r="CI297" s="268" t="n"/>
      <c r="CJ297" s="268">
        <f>SUM(CF297:CI297)</f>
        <v>0</v>
      </c>
      <c r="CK297" s="268" t="n"/>
      <c r="CL297" s="268" t="n"/>
      <c r="CM297" s="268" t="n"/>
      <c r="CN297" s="268" t="n"/>
      <c r="CO297" s="268">
        <f>SUM(CK297:CN297)</f>
        <v>0</v>
      </c>
      <c r="CP297" s="268" t="n"/>
      <c r="CQ297" s="268" t="n"/>
      <c r="CR297" s="268" t="n"/>
      <c r="CS297" s="268" t="n"/>
      <c r="CT297" s="268">
        <f>SUM(CP297:CS297)</f>
        <v>0</v>
      </c>
      <c r="CU297" s="268" t="n"/>
      <c r="CV297" s="268" t="n"/>
      <c r="CW297" s="268" t="n"/>
      <c r="CX297" s="268" t="n"/>
      <c r="CY297" s="268">
        <f>SUM(CU297:CX297)</f>
        <v>0</v>
      </c>
    </row>
    <row r="298" ht="12.75" customHeight="1" s="255">
      <c r="C298" s="270" t="n"/>
      <c r="D298" s="268" t="n"/>
      <c r="E298" s="268" t="n"/>
      <c r="F298" s="268" t="n"/>
      <c r="G298" s="268" t="n"/>
      <c r="H298" s="268" t="n"/>
      <c r="I298" s="268" t="n"/>
      <c r="J298" s="268" t="n"/>
      <c r="K298" s="268" t="n"/>
      <c r="L298" s="268" t="n"/>
      <c r="M298" s="268" t="n"/>
      <c r="N298" s="268" t="n"/>
      <c r="O298" s="268" t="n"/>
      <c r="P298" s="268" t="n"/>
      <c r="Q298" s="268" t="n"/>
      <c r="R298" s="268" t="n"/>
      <c r="S298" s="268" t="n"/>
      <c r="T298" s="268" t="n"/>
      <c r="U298" s="268" t="n"/>
      <c r="V298" s="268" t="n"/>
      <c r="W298" s="268" t="n"/>
      <c r="X298" s="268" t="n"/>
      <c r="Y298" s="268" t="n"/>
      <c r="Z298" s="268" t="n"/>
      <c r="AA298" s="268" t="n"/>
      <c r="AB298" s="268" t="n"/>
      <c r="AC298" s="268" t="n"/>
      <c r="AD298" s="268" t="n"/>
      <c r="AE298" s="268" t="n"/>
      <c r="AF298" s="268" t="n"/>
      <c r="AG298" s="268" t="n"/>
      <c r="AH298" s="268" t="n"/>
      <c r="AI298" s="268" t="n"/>
      <c r="AJ298" s="268" t="n"/>
      <c r="AK298" s="268" t="n"/>
      <c r="AL298" s="268" t="n"/>
      <c r="AM298" s="268" t="n"/>
      <c r="AN298" s="268" t="n"/>
      <c r="AO298" s="268" t="n"/>
      <c r="AP298" s="268" t="n"/>
      <c r="AQ298" s="268" t="n"/>
      <c r="AR298" s="268" t="n"/>
      <c r="AS298" s="268" t="n"/>
      <c r="AT298" s="268" t="n"/>
      <c r="AU298" s="268" t="n"/>
      <c r="AV298" s="268" t="n"/>
      <c r="AW298" s="268" t="n"/>
      <c r="AX298" s="268" t="n"/>
      <c r="AY298" s="268" t="n"/>
      <c r="AZ298" s="268" t="n"/>
      <c r="BA298" s="268" t="n"/>
      <c r="BB298" s="268" t="n"/>
      <c r="BC298" s="268" t="n"/>
      <c r="BD298" s="268" t="n"/>
      <c r="BE298" s="268" t="n"/>
      <c r="BF298" s="268" t="n"/>
      <c r="BG298" s="268" t="n"/>
      <c r="BH298" s="268" t="n"/>
      <c r="BI298" s="268" t="n"/>
      <c r="BJ298" s="268" t="n"/>
      <c r="BK298" s="268" t="n"/>
      <c r="BL298" s="268" t="n"/>
      <c r="BM298" s="268" t="n"/>
      <c r="BN298" s="268" t="n"/>
      <c r="BO298" s="268" t="n"/>
      <c r="BP298" s="268" t="n"/>
      <c r="BQ298" s="268" t="n"/>
      <c r="BR298" s="268" t="n"/>
      <c r="BS298" s="268" t="n"/>
      <c r="BT298" s="268" t="n"/>
      <c r="BU298" s="268" t="n"/>
      <c r="BV298" s="268" t="n"/>
      <c r="BW298" s="268" t="n"/>
      <c r="BX298" s="268" t="n"/>
      <c r="BY298" s="268" t="n"/>
      <c r="BZ298" s="268" t="n"/>
      <c r="CA298" s="268" t="n"/>
      <c r="CB298" s="268" t="n"/>
      <c r="CC298" s="268" t="n"/>
      <c r="CD298" s="268" t="n"/>
      <c r="CE298" s="268" t="n"/>
      <c r="CF298" s="268" t="n"/>
      <c r="CG298" s="268" t="n"/>
      <c r="CH298" s="268" t="n"/>
      <c r="CI298" s="268" t="n"/>
      <c r="CJ298" s="268" t="n"/>
      <c r="CK298" s="268" t="n"/>
      <c r="CL298" s="268" t="n"/>
      <c r="CM298" s="268" t="n"/>
      <c r="CN298" s="268" t="n"/>
      <c r="CO298" s="268" t="n"/>
      <c r="CP298" s="268" t="n"/>
      <c r="CQ298" s="268" t="n"/>
      <c r="CR298" s="268" t="n"/>
      <c r="CS298" s="268" t="n"/>
      <c r="CT298" s="268" t="n"/>
      <c r="CU298" s="268" t="n"/>
      <c r="CV298" s="268" t="n"/>
      <c r="CW298" s="268" t="n"/>
      <c r="CX298" s="268" t="n"/>
      <c r="CY298" s="268" t="n"/>
    </row>
    <row r="299" ht="12.75" customHeight="1" s="255">
      <c r="C299" s="270" t="inlineStr">
        <is>
          <t>Total increase/decrease of cash</t>
        </is>
      </c>
      <c r="D299" s="268" t="n"/>
      <c r="E299" s="268">
        <f>SUM(E278,E285,E295,E297)</f>
        <v>3059</v>
      </c>
      <c r="F299" s="268">
        <f>SUM(F278,F285,F295,F297)</f>
        <v>1531</v>
      </c>
      <c r="G299" s="268">
        <f>SUM(G278,G285,G295,G297)</f>
        <v>1118</v>
      </c>
      <c r="H299" s="268">
        <f>SUM(D299:G299)</f>
        <v>5708</v>
      </c>
      <c r="I299" s="268">
        <f>SUM(I278,I285,I295,I297)</f>
        <v>-5169</v>
      </c>
      <c r="J299" s="268">
        <f>SUM(J278,J285,J295,J297)</f>
        <v>1872</v>
      </c>
      <c r="K299" s="268">
        <f>SUM(K278,K285,K295,K297)</f>
        <v>1049</v>
      </c>
      <c r="L299" s="268">
        <f>SUM(L278,L285,L295,L297)</f>
        <v>1301</v>
      </c>
      <c r="M299" s="268">
        <f>SUM(I299:L299)</f>
        <v>-947</v>
      </c>
      <c r="N299" s="268">
        <f>SUM(N278,N285,N295,N297)</f>
        <v>-1180</v>
      </c>
      <c r="O299" s="268">
        <f>SUM(O278,O285,O295,O297)</f>
        <v>-465</v>
      </c>
      <c r="P299" s="268">
        <f>SUM(P278,P285,P295,P297)</f>
        <v>-782</v>
      </c>
      <c r="Q299" s="268">
        <f>SUM(Q278,Q285,Q295,Q297)</f>
        <v>624</v>
      </c>
      <c r="R299" s="268">
        <f>SUM(N299:Q299)</f>
        <v>-1803</v>
      </c>
      <c r="S299" s="268">
        <f>SUM(S278,S285,S295,S297)</f>
        <v>2032</v>
      </c>
      <c r="T299" s="268">
        <f>SUM(T278,T285,T295,T297)</f>
        <v>3</v>
      </c>
      <c r="U299" s="268">
        <f>SUM(U278,U285,U295,U297)</f>
        <v>1526</v>
      </c>
      <c r="V299" s="268">
        <f>SUM(V278,V285,V295,V297)</f>
        <v>2630</v>
      </c>
      <c r="W299" s="268">
        <f>SUM(S299:V299)</f>
        <v>6191</v>
      </c>
      <c r="X299" s="268">
        <f>SUM(X278,X285,X295,X297)</f>
        <v>-7543</v>
      </c>
      <c r="Y299" s="268">
        <f>SUM(Y278,Y285,Y295,Y297)</f>
        <v>1178</v>
      </c>
      <c r="Z299" s="268">
        <f>SUM(Z278,Z285,Z295,Z297)</f>
        <v>-355</v>
      </c>
      <c r="AA299" s="268">
        <f>SUM(AA278,AA285,AA295,AA297)</f>
        <v>683</v>
      </c>
      <c r="AB299" s="268">
        <f>SUM(X299:AA299)</f>
        <v>-6037</v>
      </c>
      <c r="AC299" s="268">
        <f>SUM(AC278,AC285,AC295,AC297)</f>
        <v>1331</v>
      </c>
      <c r="AD299" s="268">
        <f>SUM(AD278,AD285,AD295,AD297)</f>
        <v>1692</v>
      </c>
      <c r="AE299" s="268">
        <f>SUM(AE278,AE285,AE295,AE297)</f>
        <v>434</v>
      </c>
      <c r="AF299" s="268">
        <f>SUM(AF278,AF285,AF295,AF297)</f>
        <v>1899</v>
      </c>
      <c r="AG299" s="268">
        <f>SUM(AC299:AF299)</f>
        <v>5356</v>
      </c>
      <c r="AH299" s="268">
        <f>SUM(AH278,AH285,AH295,AH297)</f>
        <v>1057</v>
      </c>
      <c r="AI299" s="268">
        <f>SUM(AI278,AI285,AI295,AI297)</f>
        <v>1756</v>
      </c>
      <c r="AJ299" s="268">
        <f>SUM(AJ278,AJ285,AJ295,AJ297)</f>
        <v>-7213</v>
      </c>
      <c r="AK299" s="268">
        <f>SUM(AK278,AK285,AK295,AK297)</f>
        <v>155</v>
      </c>
      <c r="AL299" s="268">
        <f>SUM(AH299:AK299)</f>
        <v>-4245</v>
      </c>
      <c r="AM299" s="268" t="e">
        <f>SUM(AM278,AM285,AM295,AM297)</f>
        <v>#DIV/0!</v>
      </c>
      <c r="AN299" s="268" t="e">
        <f>SUM(AN278,AN285,AN295,AN297)</f>
        <v>#DIV/0!</v>
      </c>
      <c r="AO299" s="268" t="e">
        <f>SUM(AO278,AO285,AO295,AO297)</f>
        <v>#DIV/0!</v>
      </c>
      <c r="AP299" s="268" t="e">
        <f>SUM(AP278,AP285,AP295,AP297)</f>
        <v>#DIV/0!</v>
      </c>
      <c r="AQ299" s="268" t="e">
        <f>SUM(AM299:AP299)</f>
        <v>#DIV/0!</v>
      </c>
      <c r="AR299" s="268" t="e">
        <f>SUM(AR278,AR285,AR295,AR297)</f>
        <v>#DIV/0!</v>
      </c>
      <c r="AS299" s="268" t="e">
        <f>SUM(AS278,AS285,AS295,AS297)</f>
        <v>#DIV/0!</v>
      </c>
      <c r="AT299" s="268" t="e">
        <f>SUM(AT278,AT285,AT295,AT297)</f>
        <v>#DIV/0!</v>
      </c>
      <c r="AU299" s="268" t="e">
        <f>SUM(AU278,AU285,AU295,AU297)</f>
        <v>#DIV/0!</v>
      </c>
      <c r="AV299" s="268" t="e">
        <f>SUM(AR299:AU299)</f>
        <v>#DIV/0!</v>
      </c>
      <c r="AW299" s="268" t="e">
        <f>SUM(AW278,AW285,AW295,AW297)</f>
        <v>#DIV/0!</v>
      </c>
      <c r="AX299" s="268" t="e">
        <f>SUM(AX278,AX285,AX295,AX297)</f>
        <v>#DIV/0!</v>
      </c>
      <c r="AY299" s="268" t="e">
        <f>SUM(AY278,AY285,AY295,AY297)</f>
        <v>#DIV/0!</v>
      </c>
      <c r="AZ299" s="268" t="e">
        <f>SUM(AZ278,AZ285,AZ295,AZ297)</f>
        <v>#DIV/0!</v>
      </c>
      <c r="BA299" s="268" t="e">
        <f>SUM(AW299:AZ299)</f>
        <v>#DIV/0!</v>
      </c>
      <c r="BB299" s="268" t="e">
        <f>SUM(BB278,BB285,BB295,BB297)</f>
        <v>#DIV/0!</v>
      </c>
      <c r="BC299" s="268" t="e">
        <f>SUM(BC278,BC285,BC295,BC297)</f>
        <v>#DIV/0!</v>
      </c>
      <c r="BD299" s="268" t="e">
        <f>SUM(BD278,BD285,BD295,BD297)</f>
        <v>#DIV/0!</v>
      </c>
      <c r="BE299" s="268" t="e">
        <f>SUM(BE278,BE285,BE295,BE297)</f>
        <v>#DIV/0!</v>
      </c>
      <c r="BF299" s="268" t="e">
        <f>SUM(BB299:BE299)</f>
        <v>#DIV/0!</v>
      </c>
      <c r="BG299" s="268" t="e">
        <f>SUM(BG278,BG285,BG295,BG297)</f>
        <v>#DIV/0!</v>
      </c>
      <c r="BH299" s="268" t="e">
        <f>SUM(BH278,BH285,BH295,BH297)</f>
        <v>#DIV/0!</v>
      </c>
      <c r="BI299" s="268" t="e">
        <f>SUM(BI278,BI285,BI295,BI297)</f>
        <v>#DIV/0!</v>
      </c>
      <c r="BJ299" s="268" t="e">
        <f>SUM(BJ278,BJ285,BJ295,BJ297)</f>
        <v>#DIV/0!</v>
      </c>
      <c r="BK299" s="268" t="e">
        <f>SUM(BG299:BJ299)</f>
        <v>#DIV/0!</v>
      </c>
      <c r="BL299" s="268" t="e">
        <f>SUM(BL278,BL285,BL295,BL297)</f>
        <v>#DIV/0!</v>
      </c>
      <c r="BM299" s="268" t="e">
        <f>SUM(BM278,BM285,BM295,BM297)</f>
        <v>#DIV/0!</v>
      </c>
      <c r="BN299" s="268" t="e">
        <f>SUM(BN278,BN285,BN295,BN297)</f>
        <v>#DIV/0!</v>
      </c>
      <c r="BO299" s="268" t="e">
        <f>SUM(BO278,BO285,BO295,BO297)</f>
        <v>#DIV/0!</v>
      </c>
      <c r="BP299" s="268" t="e">
        <f>SUM(BL299:BO299)</f>
        <v>#DIV/0!</v>
      </c>
      <c r="BQ299" s="268" t="e">
        <f>SUM(BQ278,BQ285,BQ295,BQ297)</f>
        <v>#DIV/0!</v>
      </c>
      <c r="BR299" s="268" t="e">
        <f>SUM(BR278,BR285,BR295,BR297)</f>
        <v>#DIV/0!</v>
      </c>
      <c r="BS299" s="268" t="e">
        <f>SUM(BS278,BS285,BS295,BS297)</f>
        <v>#DIV/0!</v>
      </c>
      <c r="BT299" s="268" t="e">
        <f>SUM(BT278,BT285,BT295,BT297)</f>
        <v>#DIV/0!</v>
      </c>
      <c r="BU299" s="268" t="e">
        <f>SUM(BQ299:BT299)</f>
        <v>#DIV/0!</v>
      </c>
      <c r="BV299" s="268" t="e">
        <f>SUM(BV278,BV285,BV295,BV297)</f>
        <v>#DIV/0!</v>
      </c>
      <c r="BW299" s="268" t="e">
        <f>SUM(BW278,BW285,BW295,BW297)</f>
        <v>#DIV/0!</v>
      </c>
      <c r="BX299" s="268" t="e">
        <f>SUM(BX278,BX285,BX295,BX297)</f>
        <v>#DIV/0!</v>
      </c>
      <c r="BY299" s="268" t="e">
        <f>SUM(BY278,BY285,BY295,BY297)</f>
        <v>#DIV/0!</v>
      </c>
      <c r="BZ299" s="268" t="e">
        <f>SUM(BV299:BY299)</f>
        <v>#DIV/0!</v>
      </c>
      <c r="CA299" s="268" t="e">
        <f>SUM(CA278,CA285,CA295,CA297)</f>
        <v>#DIV/0!</v>
      </c>
      <c r="CB299" s="268" t="e">
        <f>SUM(CB278,CB285,CB295,CB297)</f>
        <v>#DIV/0!</v>
      </c>
      <c r="CC299" s="268" t="e">
        <f>SUM(CC278,CC285,CC295,CC297)</f>
        <v>#DIV/0!</v>
      </c>
      <c r="CD299" s="268" t="e">
        <f>SUM(CD278,CD285,CD295,CD297)</f>
        <v>#DIV/0!</v>
      </c>
      <c r="CE299" s="268" t="e">
        <f>SUM(CA299:CD299)</f>
        <v>#DIV/0!</v>
      </c>
      <c r="CF299" s="268" t="e">
        <f>SUM(CF278,CF285,CF295,CF297)</f>
        <v>#DIV/0!</v>
      </c>
      <c r="CG299" s="268" t="e">
        <f>SUM(CG278,CG285,CG295,CG297)</f>
        <v>#DIV/0!</v>
      </c>
      <c r="CH299" s="268" t="e">
        <f>SUM(CH278,CH285,CH295,CH297)</f>
        <v>#DIV/0!</v>
      </c>
      <c r="CI299" s="268" t="e">
        <f>SUM(CI278,CI285,CI295,CI297)</f>
        <v>#DIV/0!</v>
      </c>
      <c r="CJ299" s="268" t="e">
        <f>SUM(CF299:CI299)</f>
        <v>#DIV/0!</v>
      </c>
      <c r="CK299" s="268" t="e">
        <f>SUM(CK278,CK285,CK295,CK297)</f>
        <v>#DIV/0!</v>
      </c>
      <c r="CL299" s="268" t="e">
        <f>SUM(CL278,CL285,CL295,CL297)</f>
        <v>#DIV/0!</v>
      </c>
      <c r="CM299" s="268" t="e">
        <f>SUM(CM278,CM285,CM295,CM297)</f>
        <v>#DIV/0!</v>
      </c>
      <c r="CN299" s="268" t="e">
        <f>SUM(CN278,CN285,CN295,CN297)</f>
        <v>#DIV/0!</v>
      </c>
      <c r="CO299" s="268" t="e">
        <f>SUM(CK299:CN299)</f>
        <v>#DIV/0!</v>
      </c>
      <c r="CP299" s="268" t="e">
        <f>SUM(CP278,CP285,CP295,CP297)</f>
        <v>#DIV/0!</v>
      </c>
      <c r="CQ299" s="268" t="e">
        <f>SUM(CQ278,CQ285,CQ295,CQ297)</f>
        <v>#DIV/0!</v>
      </c>
      <c r="CR299" s="268" t="e">
        <f>SUM(CR278,CR285,CR295,CR297)</f>
        <v>#DIV/0!</v>
      </c>
      <c r="CS299" s="268" t="e">
        <f>SUM(CS278,CS285,CS295,CS297)</f>
        <v>#DIV/0!</v>
      </c>
      <c r="CT299" s="268" t="e">
        <f>SUM(CP299:CS299)</f>
        <v>#DIV/0!</v>
      </c>
      <c r="CU299" s="268" t="e">
        <f>SUM(CU278,CU285,CU295,CU297)</f>
        <v>#DIV/0!</v>
      </c>
      <c r="CV299" s="268" t="e">
        <f>SUM(CV278,CV285,CV295,CV297)</f>
        <v>#DIV/0!</v>
      </c>
      <c r="CW299" s="268" t="e">
        <f>SUM(CW278,CW285,CW295,CW297)</f>
        <v>#DIV/0!</v>
      </c>
      <c r="CX299" s="268" t="e">
        <f>SUM(CX278,CX285,CX295,CX297)</f>
        <v>#DIV/0!</v>
      </c>
      <c r="CY299" s="268" t="e">
        <f>SUM(CU299:CX299)</f>
        <v>#DIV/0!</v>
      </c>
    </row>
    <row r="300" ht="12.75" customHeight="1" s="255">
      <c r="C300" s="260" t="inlineStr">
        <is>
          <t>Check</t>
        </is>
      </c>
      <c r="E300" s="329">
        <f>(E299)-(E129-D129)</f>
        <v>0</v>
      </c>
      <c r="F300" s="329">
        <f>(F299)-(F129-E129)</f>
        <v>0</v>
      </c>
      <c r="G300" s="329">
        <f>(G299)-(G129-F129)</f>
        <v>0</v>
      </c>
      <c r="I300" s="329">
        <f>(I299)-(I129-H129)</f>
        <v>0</v>
      </c>
      <c r="J300" s="329">
        <f>(J299)-(J129-I129)</f>
        <v>0</v>
      </c>
      <c r="K300" s="329">
        <f>(K299)-(K129-J129)</f>
        <v>0</v>
      </c>
      <c r="L300" s="329">
        <f>(L299)-(L129-K129)</f>
        <v>0</v>
      </c>
      <c r="N300" s="329">
        <f>(N299)-(N129-M129)</f>
        <v>0</v>
      </c>
      <c r="O300" s="329">
        <f>(O299)-(O129-N129)</f>
        <v>0</v>
      </c>
      <c r="P300" s="329">
        <f>(P299)-(P129-O129)</f>
        <v>0</v>
      </c>
      <c r="Q300" s="329">
        <f>(Q299)-(Q129-P129)</f>
        <v>0</v>
      </c>
      <c r="S300" s="329">
        <f>(S299)-(S129-R129)</f>
        <v>0</v>
      </c>
      <c r="T300" s="329">
        <f>(T299)-(T129-S129)</f>
        <v>0</v>
      </c>
      <c r="U300" s="329">
        <f>(U299)-(U129-T129)</f>
        <v>0</v>
      </c>
      <c r="V300" s="329">
        <f>(V299)-(V129-U129)</f>
        <v>0</v>
      </c>
      <c r="X300" s="329">
        <f>(X299)-(X129-W129)</f>
        <v>0</v>
      </c>
      <c r="Y300" s="329">
        <f>(Y299)-(Y129-X129)</f>
        <v>0</v>
      </c>
      <c r="Z300" s="329">
        <f>(Z299)-(Z129-Y129)</f>
        <v>0</v>
      </c>
      <c r="AA300" s="329">
        <f>(AA299)-(AA129-Z129)</f>
        <v>0</v>
      </c>
      <c r="AC300" s="329">
        <f>(AC299)-(AC129-AB129)</f>
        <v>0</v>
      </c>
      <c r="AD300" s="329">
        <f>(AD299)-(AD129-AC129)</f>
        <v>0</v>
      </c>
      <c r="AE300" s="329">
        <f>(AE299)-(AE129-AD129)</f>
        <v>0</v>
      </c>
      <c r="AF300" s="329">
        <f>(AF299)-(AF129-AE129)</f>
        <v>0</v>
      </c>
      <c r="AH300" s="329">
        <f>(AH299)-(AH129-AG129)</f>
        <v>0</v>
      </c>
      <c r="AI300" s="329">
        <f>(AI299)-(AI129-AH129)</f>
        <v>0</v>
      </c>
      <c r="AJ300" s="329">
        <f>(AJ299)-(AJ129-AI129)</f>
        <v>0</v>
      </c>
      <c r="AK300" s="329">
        <f>(AK299)-(AK129-AJ129)</f>
        <v>0</v>
      </c>
      <c r="AM300" s="329" t="e">
        <f>(AM299)-(AM129-AL129)</f>
        <v>#DIV/0!</v>
      </c>
      <c r="AN300" s="329" t="e">
        <f>(AN299)-(AN129-AM129)</f>
        <v>#DIV/0!</v>
      </c>
      <c r="AO300" s="329" t="e">
        <f>(AO299)-(AO129-AN129)</f>
        <v>#DIV/0!</v>
      </c>
      <c r="AP300" s="329" t="e">
        <f>(AP299)-(AP129-AO129)</f>
        <v>#DIV/0!</v>
      </c>
      <c r="AR300" s="329" t="e">
        <f>(AR299)-(AR129-AQ129)</f>
        <v>#DIV/0!</v>
      </c>
      <c r="AS300" s="329" t="e">
        <f>(AS299)-(AS129-AR129)</f>
        <v>#DIV/0!</v>
      </c>
      <c r="AT300" s="329" t="e">
        <f>(AT299)-(AT129-AS129)</f>
        <v>#DIV/0!</v>
      </c>
      <c r="AU300" s="329" t="e">
        <f>(AU299)-(AU129-AT129)</f>
        <v>#DIV/0!</v>
      </c>
      <c r="AW300" s="329" t="e">
        <f>(AW299)-(AW129-AV129)</f>
        <v>#DIV/0!</v>
      </c>
      <c r="AX300" s="329" t="e">
        <f>(AX299)-(AX129-AW129)</f>
        <v>#DIV/0!</v>
      </c>
      <c r="AY300" s="329" t="e">
        <f>(AY299)-(AY129-AX129)</f>
        <v>#DIV/0!</v>
      </c>
      <c r="AZ300" s="329" t="e">
        <f>(AZ299)-(AZ129-AY129)</f>
        <v>#DIV/0!</v>
      </c>
      <c r="BB300" s="329" t="e">
        <f>(BB299)-(BB129-BA129)</f>
        <v>#DIV/0!</v>
      </c>
      <c r="BC300" s="329" t="e">
        <f>(BC299)-(BC129-BB129)</f>
        <v>#DIV/0!</v>
      </c>
      <c r="BD300" s="329" t="e">
        <f>(BD299)-(BD129-BC129)</f>
        <v>#DIV/0!</v>
      </c>
      <c r="BE300" s="329" t="e">
        <f>(BE299)-(BE129-BD129)</f>
        <v>#DIV/0!</v>
      </c>
      <c r="BG300" s="329" t="e">
        <f>(BG299)-(BG129-BF129)</f>
        <v>#DIV/0!</v>
      </c>
      <c r="BH300" s="329" t="e">
        <f>(BH299)-(BH129-BG129)</f>
        <v>#DIV/0!</v>
      </c>
      <c r="BI300" s="329" t="e">
        <f>(BI299)-(BI129-BH129)</f>
        <v>#DIV/0!</v>
      </c>
      <c r="BJ300" s="329" t="e">
        <f>(BJ299)-(BJ129-BI129)</f>
        <v>#DIV/0!</v>
      </c>
      <c r="BL300" s="329" t="e">
        <f>(BL299)-(BL129-BK129)</f>
        <v>#DIV/0!</v>
      </c>
      <c r="BM300" s="329" t="e">
        <f>(BM299)-(BM129-BL129)</f>
        <v>#DIV/0!</v>
      </c>
      <c r="BN300" s="329" t="e">
        <f>(BN299)-(BN129-BM129)</f>
        <v>#DIV/0!</v>
      </c>
      <c r="BO300" s="329" t="e">
        <f>(BO299)-(BO129-BN129)</f>
        <v>#DIV/0!</v>
      </c>
      <c r="BQ300" s="329" t="e">
        <f>(BQ299)-(BQ129-BP129)</f>
        <v>#DIV/0!</v>
      </c>
      <c r="BR300" s="329" t="e">
        <f>(BR299)-(BR129-BQ129)</f>
        <v>#DIV/0!</v>
      </c>
      <c r="BS300" s="329" t="e">
        <f>(BS299)-(BS129-BR129)</f>
        <v>#DIV/0!</v>
      </c>
      <c r="BT300" s="329" t="e">
        <f>(BT299)-(BT129-BS129)</f>
        <v>#DIV/0!</v>
      </c>
      <c r="BV300" s="329" t="e">
        <f>(BV299)-(BV129-BU129)</f>
        <v>#DIV/0!</v>
      </c>
      <c r="BW300" s="329" t="e">
        <f>(BW299)-(BW129-BV129)</f>
        <v>#DIV/0!</v>
      </c>
      <c r="BX300" s="329" t="e">
        <f>(BX299)-(BX129-BW129)</f>
        <v>#DIV/0!</v>
      </c>
      <c r="BY300" s="329" t="e">
        <f>(BY299)-(BY129-BX129)</f>
        <v>#DIV/0!</v>
      </c>
      <c r="CA300" s="329" t="e">
        <f>(CA299)-(CA129-BZ129)</f>
        <v>#DIV/0!</v>
      </c>
      <c r="CB300" s="329" t="e">
        <f>(CB299)-(CB129-CA129)</f>
        <v>#DIV/0!</v>
      </c>
      <c r="CC300" s="329" t="e">
        <f>(CC299)-(CC129-CB129)</f>
        <v>#DIV/0!</v>
      </c>
      <c r="CD300" s="329" t="e">
        <f>(CD299)-(CD129-CC129)</f>
        <v>#DIV/0!</v>
      </c>
      <c r="CF300" s="329" t="e">
        <f>(CF299)-(CF129-CE129)</f>
        <v>#DIV/0!</v>
      </c>
      <c r="CG300" s="329" t="e">
        <f>(CG299)-(CG129-CF129)</f>
        <v>#DIV/0!</v>
      </c>
      <c r="CH300" s="329" t="e">
        <f>(CH299)-(CH129-CG129)</f>
        <v>#DIV/0!</v>
      </c>
      <c r="CI300" s="329" t="e">
        <f>(CI299)-(CI129-CH129)</f>
        <v>#DIV/0!</v>
      </c>
      <c r="CK300" s="329" t="e">
        <f>(CK299)-(CK129-CJ129)</f>
        <v>#DIV/0!</v>
      </c>
      <c r="CL300" s="329" t="e">
        <f>(CL299)-(CL129-CK129)</f>
        <v>#DIV/0!</v>
      </c>
      <c r="CM300" s="329" t="e">
        <f>(CM299)-(CM129-CL129)</f>
        <v>#DIV/0!</v>
      </c>
      <c r="CN300" s="329" t="e">
        <f>(CN299)-(CN129-CM129)</f>
        <v>#DIV/0!</v>
      </c>
      <c r="CP300" s="329" t="e">
        <f>(CP299)-(CP129-CO129)</f>
        <v>#DIV/0!</v>
      </c>
      <c r="CQ300" s="329" t="e">
        <f>(CQ299)-(CQ129-CP129)</f>
        <v>#DIV/0!</v>
      </c>
      <c r="CR300" s="329" t="e">
        <f>(CR299)-(CR129-CQ129)</f>
        <v>#DIV/0!</v>
      </c>
      <c r="CS300" s="329" t="e">
        <f>(CS299)-(CS129-CR129)</f>
        <v>#DIV/0!</v>
      </c>
      <c r="CU300" s="329" t="e">
        <f>(CU299)-(CU129-CT129)</f>
        <v>#DIV/0!</v>
      </c>
      <c r="CV300" s="329" t="e">
        <f>(CV299)-(CV129-CU129)</f>
        <v>#DIV/0!</v>
      </c>
      <c r="CW300" s="329" t="e">
        <f>(CW299)-(CW129-CV129)</f>
        <v>#DIV/0!</v>
      </c>
      <c r="CX300" s="329" t="e">
        <f>(CX299)-(CX129-CW129)</f>
        <v>#DIV/0!</v>
      </c>
    </row>
    <row r="302" ht="12.75" customHeight="1" s="255">
      <c r="C302" s="330" t="inlineStr">
        <is>
          <t>Ratio Analysis</t>
        </is>
      </c>
      <c r="D302" s="330" t="n"/>
      <c r="E302" s="330" t="n"/>
      <c r="F302" s="330" t="n"/>
      <c r="G302" s="330" t="n"/>
      <c r="H302" s="330" t="n"/>
      <c r="I302" s="330" t="n"/>
      <c r="J302" s="330" t="n"/>
      <c r="K302" s="330" t="n"/>
      <c r="L302" s="330" t="n"/>
      <c r="M302" s="330" t="n"/>
      <c r="N302" s="330" t="n"/>
      <c r="O302" s="330" t="n"/>
      <c r="P302" s="330" t="n"/>
      <c r="Q302" s="330" t="n"/>
      <c r="R302" s="330" t="n"/>
      <c r="S302" s="330" t="n"/>
      <c r="T302" s="330" t="n"/>
      <c r="U302" s="330" t="n"/>
      <c r="V302" s="330" t="n"/>
      <c r="W302" s="330" t="n"/>
      <c r="X302" s="330" t="n"/>
      <c r="Y302" s="330" t="n"/>
      <c r="Z302" s="330" t="n"/>
      <c r="AA302" s="330" t="n"/>
      <c r="AB302" s="330" t="n"/>
      <c r="AC302" s="330" t="n"/>
      <c r="AD302" s="330" t="n"/>
      <c r="AE302" s="330" t="n"/>
      <c r="AF302" s="330" t="n"/>
      <c r="AG302" s="330" t="n"/>
      <c r="AH302" s="330" t="n"/>
      <c r="AI302" s="330" t="n"/>
      <c r="AJ302" s="330" t="n"/>
      <c r="AK302" s="330" t="n"/>
      <c r="AL302" s="330" t="n"/>
      <c r="AM302" s="330" t="n"/>
      <c r="AN302" s="330" t="n"/>
      <c r="AO302" s="330" t="n"/>
      <c r="AP302" s="330" t="n"/>
      <c r="AQ302" s="330" t="n"/>
      <c r="AR302" s="330" t="n"/>
      <c r="AS302" s="330" t="n"/>
      <c r="AT302" s="330" t="n"/>
      <c r="AU302" s="330" t="n"/>
      <c r="AV302" s="330" t="n"/>
      <c r="AW302" s="330" t="n"/>
      <c r="AX302" s="330" t="n"/>
      <c r="AY302" s="330" t="n"/>
      <c r="AZ302" s="330" t="n"/>
      <c r="BA302" s="330" t="n"/>
      <c r="BB302" s="330" t="n"/>
      <c r="BC302" s="330" t="n"/>
      <c r="BD302" s="330" t="n"/>
      <c r="BE302" s="330" t="n"/>
      <c r="BF302" s="330" t="n"/>
      <c r="BG302" s="330" t="n"/>
      <c r="BH302" s="330" t="n"/>
      <c r="BI302" s="330" t="n"/>
      <c r="BJ302" s="330" t="n"/>
      <c r="BK302" s="330" t="n"/>
      <c r="BL302" s="330" t="n"/>
      <c r="BM302" s="330" t="n"/>
      <c r="BN302" s="330" t="n"/>
      <c r="BO302" s="330" t="n"/>
      <c r="BP302" s="330" t="n"/>
      <c r="BQ302" s="330" t="n"/>
      <c r="BR302" s="330" t="n"/>
      <c r="BS302" s="330" t="n"/>
      <c r="BT302" s="330" t="n"/>
      <c r="BU302" s="330" t="n"/>
      <c r="BV302" s="330" t="n"/>
      <c r="BW302" s="330" t="n"/>
      <c r="BX302" s="330" t="n"/>
      <c r="BY302" s="330" t="n"/>
      <c r="BZ302" s="330" t="n"/>
      <c r="CA302" s="330" t="n"/>
      <c r="CB302" s="330" t="n"/>
      <c r="CC302" s="330" t="n"/>
      <c r="CD302" s="330" t="n"/>
      <c r="CE302" s="330" t="n"/>
      <c r="CF302" s="330" t="n"/>
      <c r="CG302" s="330" t="n"/>
      <c r="CH302" s="330" t="n"/>
      <c r="CI302" s="330" t="n"/>
      <c r="CJ302" s="330" t="n"/>
      <c r="CK302" s="330" t="n"/>
      <c r="CL302" s="330" t="n"/>
      <c r="CM302" s="330" t="n"/>
      <c r="CN302" s="330" t="n"/>
      <c r="CO302" s="330" t="n"/>
      <c r="CP302" s="330" t="n"/>
      <c r="CQ302" s="330" t="n"/>
      <c r="CR302" s="330" t="n"/>
      <c r="CS302" s="330" t="n"/>
      <c r="CT302" s="330" t="n"/>
      <c r="CU302" s="330" t="n"/>
      <c r="CV302" s="330" t="n"/>
      <c r="CW302" s="330" t="n"/>
      <c r="CX302" s="330" t="n"/>
      <c r="CY302" s="330" t="n"/>
    </row>
    <row r="304" ht="12.75" customFormat="1" customHeight="1" s="331">
      <c r="C304" s="331" t="inlineStr">
        <is>
          <t>YEAR</t>
        </is>
      </c>
      <c r="D304" s="331" t="str">
        <f>D260</f>
        <v>1Q20</v>
      </c>
      <c r="E304" s="332" t="str">
        <f>E260</f>
        <v>2Q20</v>
      </c>
      <c r="F304" s="332" t="str">
        <f>F260</f>
        <v>3Q20</v>
      </c>
      <c r="G304" s="332" t="str">
        <f>G260</f>
        <v>4Q20</v>
      </c>
      <c r="H304" s="332">
        <f>H260</f>
        <v>2020</v>
      </c>
      <c r="I304" s="332" t="str">
        <f>I260</f>
        <v>1Q21</v>
      </c>
      <c r="J304" s="332" t="str">
        <f>J260</f>
        <v>2Q21</v>
      </c>
      <c r="K304" s="332" t="str">
        <f>K260</f>
        <v>3Q21</v>
      </c>
      <c r="L304" s="332" t="str">
        <f>L260</f>
        <v>4Q21</v>
      </c>
      <c r="M304" s="332">
        <f>M260</f>
        <v>2021</v>
      </c>
      <c r="N304" s="332" t="str">
        <f>N260</f>
        <v>1Q22</v>
      </c>
      <c r="O304" s="332" t="str">
        <f>O260</f>
        <v>2Q22</v>
      </c>
      <c r="P304" s="332" t="str">
        <f>P260</f>
        <v>3Q22</v>
      </c>
      <c r="Q304" s="332" t="str">
        <f>Q260</f>
        <v>4Q22</v>
      </c>
      <c r="R304" s="332">
        <f>R260</f>
        <v>2022</v>
      </c>
      <c r="S304" s="332" t="str">
        <f>S260</f>
        <v>1Q23</v>
      </c>
      <c r="T304" s="332" t="str">
        <f>T260</f>
        <v>2Q23</v>
      </c>
      <c r="U304" s="332" t="str">
        <f>U260</f>
        <v>3Q23</v>
      </c>
      <c r="V304" s="332" t="str">
        <f>V260</f>
        <v>4Q23</v>
      </c>
      <c r="W304" s="332">
        <f>W260</f>
        <v>2023</v>
      </c>
      <c r="X304" s="332" t="str">
        <f>X260</f>
        <v>1Q24</v>
      </c>
      <c r="Y304" s="332" t="str">
        <f>Y260</f>
        <v>2Q24</v>
      </c>
      <c r="Z304" s="332" t="str">
        <f>Z260</f>
        <v>3Q24</v>
      </c>
      <c r="AA304" s="332" t="str">
        <f>AA260</f>
        <v>4Q24</v>
      </c>
      <c r="AB304" s="332">
        <f>AB260</f>
        <v>2024</v>
      </c>
      <c r="AC304" s="332" t="str">
        <f>AC260</f>
        <v>1Q25</v>
      </c>
      <c r="AD304" s="332" t="str">
        <f>AD260</f>
        <v>2Q25</v>
      </c>
      <c r="AE304" s="332" t="str">
        <f>AE260</f>
        <v>3Q25</v>
      </c>
      <c r="AF304" s="332" t="str">
        <f>AF260</f>
        <v>4Q25</v>
      </c>
      <c r="AG304" s="332">
        <f>AG260</f>
        <v>2025</v>
      </c>
      <c r="AH304" s="332" t="str">
        <f>AH260</f>
        <v>1Q26</v>
      </c>
      <c r="AI304" s="332" t="str">
        <f>AI260</f>
        <v>2Q26</v>
      </c>
      <c r="AJ304" s="332" t="str">
        <f>AJ260</f>
        <v>3Q26</v>
      </c>
      <c r="AK304" s="332" t="str">
        <f>AK260</f>
        <v>4Q26</v>
      </c>
      <c r="AL304" s="332">
        <f>AL260</f>
        <v>2026</v>
      </c>
      <c r="AM304" s="332" t="str">
        <f>AM260</f>
        <v>1Q27</v>
      </c>
      <c r="AN304" s="332" t="str">
        <f>AN260</f>
        <v>2Q27</v>
      </c>
      <c r="AO304" s="332" t="str">
        <f>AO260</f>
        <v>3Q27</v>
      </c>
      <c r="AP304" s="332" t="str">
        <f>AP260</f>
        <v>4Q27</v>
      </c>
      <c r="AQ304" s="332">
        <f>AQ260</f>
        <v>2027</v>
      </c>
      <c r="AR304" s="332" t="str">
        <f>AR260</f>
        <v>1Q28</v>
      </c>
      <c r="AS304" s="332" t="str">
        <f>AS260</f>
        <v>2Q28</v>
      </c>
      <c r="AT304" s="332" t="str">
        <f>AT260</f>
        <v>3Q28</v>
      </c>
      <c r="AU304" s="332" t="str">
        <f>AU260</f>
        <v>4Q28</v>
      </c>
      <c r="AV304" s="332">
        <f>AV260</f>
        <v>2028</v>
      </c>
      <c r="AW304" s="332" t="str">
        <f>AW260</f>
        <v>1Q29</v>
      </c>
      <c r="AX304" s="332" t="str">
        <f>AX260</f>
        <v>2Q29</v>
      </c>
      <c r="AY304" s="332" t="str">
        <f>AY260</f>
        <v>3Q29</v>
      </c>
      <c r="AZ304" s="332" t="str">
        <f>AZ260</f>
        <v>4Q29</v>
      </c>
      <c r="BA304" s="332">
        <f>BA260</f>
        <v>2029</v>
      </c>
      <c r="BB304" s="332" t="str">
        <f>BB260</f>
        <v>1Q30</v>
      </c>
      <c r="BC304" s="332" t="str">
        <f>BC260</f>
        <v>2Q30</v>
      </c>
      <c r="BD304" s="332" t="str">
        <f>BD260</f>
        <v>3Q30</v>
      </c>
      <c r="BE304" s="332" t="str">
        <f>BE260</f>
        <v>4Q30</v>
      </c>
      <c r="BF304" s="332">
        <f>BF260</f>
        <v>2030</v>
      </c>
      <c r="BG304" s="332" t="str">
        <f>BG260</f>
        <v>1Q31</v>
      </c>
      <c r="BH304" s="332" t="str">
        <f>BH260</f>
        <v>2Q31</v>
      </c>
      <c r="BI304" s="332" t="str">
        <f>BI260</f>
        <v>3Q31</v>
      </c>
      <c r="BJ304" s="332" t="str">
        <f>BJ260</f>
        <v>4Q31</v>
      </c>
      <c r="BK304" s="332">
        <f>BK260</f>
        <v>2031</v>
      </c>
      <c r="BL304" s="332" t="str">
        <f>BL260</f>
        <v>1Q32</v>
      </c>
      <c r="BM304" s="332" t="str">
        <f>BM260</f>
        <v>2Q32</v>
      </c>
      <c r="BN304" s="332" t="str">
        <f>BN260</f>
        <v>3Q32</v>
      </c>
      <c r="BO304" s="332" t="str">
        <f>BO260</f>
        <v>4Q32</v>
      </c>
      <c r="BP304" s="332">
        <f>BP260</f>
        <v>2032</v>
      </c>
      <c r="BQ304" s="332" t="str">
        <f>BQ260</f>
        <v>1Q33</v>
      </c>
      <c r="BR304" s="332" t="str">
        <f>BR260</f>
        <v>2Q33</v>
      </c>
      <c r="BS304" s="332" t="str">
        <f>BS260</f>
        <v>3Q33</v>
      </c>
      <c r="BT304" s="332" t="str">
        <f>BT260</f>
        <v>4Q33</v>
      </c>
      <c r="BU304" s="332">
        <f>BU260</f>
        <v>2033</v>
      </c>
      <c r="BV304" s="332" t="str">
        <f>BV260</f>
        <v>1Q34</v>
      </c>
      <c r="BW304" s="332" t="str">
        <f>BW260</f>
        <v>2Q34</v>
      </c>
      <c r="BX304" s="332" t="str">
        <f>BX260</f>
        <v>3Q34</v>
      </c>
      <c r="BY304" s="332" t="str">
        <f>BY260</f>
        <v>4Q34</v>
      </c>
      <c r="BZ304" s="332">
        <f>BZ260</f>
        <v>2034</v>
      </c>
      <c r="CA304" s="332" t="str">
        <f>CA260</f>
        <v>1Q35</v>
      </c>
      <c r="CB304" s="332" t="str">
        <f>CB260</f>
        <v>2Q35</v>
      </c>
      <c r="CC304" s="332" t="str">
        <f>CC260</f>
        <v>3Q35</v>
      </c>
      <c r="CD304" s="332" t="str">
        <f>CD260</f>
        <v>4Q35</v>
      </c>
      <c r="CE304" s="332">
        <f>CE260</f>
        <v>2035</v>
      </c>
      <c r="CF304" s="332" t="str">
        <f>CF260</f>
        <v>1Q36</v>
      </c>
      <c r="CG304" s="332" t="str">
        <f>CG260</f>
        <v>2Q36</v>
      </c>
      <c r="CH304" s="332" t="str">
        <f>CH260</f>
        <v>3Q36</v>
      </c>
      <c r="CI304" s="332" t="str">
        <f>CI260</f>
        <v>4Q36</v>
      </c>
      <c r="CJ304" s="332">
        <f>CJ260</f>
        <v>2036</v>
      </c>
      <c r="CK304" s="332" t="str">
        <f>CK260</f>
        <v>1Q37</v>
      </c>
      <c r="CL304" s="332" t="str">
        <f>CL260</f>
        <v>2Q37</v>
      </c>
      <c r="CM304" s="332" t="str">
        <f>CM260</f>
        <v>3Q37</v>
      </c>
      <c r="CN304" s="332" t="str">
        <f>CN260</f>
        <v>4Q37</v>
      </c>
      <c r="CO304" s="332">
        <f>CO260</f>
        <v>2037</v>
      </c>
      <c r="CP304" s="332" t="str">
        <f>CP260</f>
        <v>1Q38</v>
      </c>
      <c r="CQ304" s="332" t="str">
        <f>CQ260</f>
        <v>2Q38</v>
      </c>
      <c r="CR304" s="332" t="str">
        <f>CR260</f>
        <v>3Q38</v>
      </c>
      <c r="CS304" s="332" t="str">
        <f>CS260</f>
        <v>4Q38</v>
      </c>
      <c r="CT304" s="332">
        <f>CT260</f>
        <v>2038</v>
      </c>
      <c r="CU304" s="332" t="str">
        <f>CU260</f>
        <v>1Q39</v>
      </c>
      <c r="CV304" s="332" t="str">
        <f>CV260</f>
        <v>2Q39</v>
      </c>
      <c r="CW304" s="332" t="str">
        <f>CW260</f>
        <v>3Q39</v>
      </c>
      <c r="CX304" s="332" t="str">
        <f>CX260</f>
        <v>4Q39</v>
      </c>
      <c r="CY304" s="332">
        <f>CY260</f>
        <v>2039</v>
      </c>
    </row>
    <row r="305" ht="12.75" customFormat="1" customHeight="1" s="333">
      <c r="A305" s="334" t="n"/>
      <c r="B305" s="334" t="n"/>
      <c r="C305" s="331" t="inlineStr">
        <is>
          <t>GROWTH &amp; MARGINS</t>
        </is>
      </c>
    </row>
    <row r="306" ht="12.75" customFormat="1" customHeight="1" s="333">
      <c r="A306" s="334" t="n"/>
      <c r="B306" s="334" t="n"/>
      <c r="C306" s="333" t="inlineStr">
        <is>
          <t>NET REVENUE GROWTH</t>
        </is>
      </c>
      <c r="E306" s="335">
        <f>E15/D15-1</f>
        <v>-0.0462223587223587</v>
      </c>
      <c r="F306" s="335">
        <f>F15/E15-1</f>
        <v>0.43248537540922</v>
      </c>
      <c r="G306" s="335">
        <f>G15/F15-1</f>
        <v>-0.190603750257573</v>
      </c>
      <c r="H306" s="335" t="n"/>
      <c r="I306" s="336">
        <f>I15/H15-1</f>
        <v>-0.741113404923408</v>
      </c>
      <c r="J306" s="336">
        <f>J15/I15-1</f>
        <v>0.0113471375282004</v>
      </c>
      <c r="K306" s="336">
        <f>K15/J15-1</f>
        <v>0.384256907480619</v>
      </c>
      <c r="L306" s="336">
        <f>L15/K15-1</f>
        <v>-0.196441962504986</v>
      </c>
      <c r="M306" s="335" t="n"/>
      <c r="N306" s="336">
        <f>N15/M15-1</f>
        <v>-0.744421027752063</v>
      </c>
      <c r="O306" s="336">
        <f>O15/N15-1</f>
        <v>0.0133323057953145</v>
      </c>
      <c r="P306" s="336">
        <f>P15/O15-1</f>
        <v>0.370655563160697</v>
      </c>
      <c r="Q306" s="336">
        <f>Q15/P15-1</f>
        <v>-0.244884937093396</v>
      </c>
      <c r="R306" s="335" t="n"/>
      <c r="S306" s="336">
        <f>S15/R15-1</f>
        <v>-0.760782242845023</v>
      </c>
      <c r="T306" s="336">
        <f>T15/S15-1</f>
        <v>-0.0292765895849166</v>
      </c>
      <c r="U306" s="336">
        <f>U15/T15-1</f>
        <v>0.4714248434238</v>
      </c>
      <c r="V306" s="336">
        <f>V15/U15-1</f>
        <v>-0.267801720315687</v>
      </c>
      <c r="W306" s="335" t="n"/>
      <c r="X306" s="336">
        <f>X15/W15-1</f>
        <v>-0.762094344845554</v>
      </c>
      <c r="Y306" s="336">
        <f>Y15/X15-1</f>
        <v>0.00124910167345393</v>
      </c>
      <c r="Z306" s="336">
        <f>Z15/Y15-1</f>
        <v>0.361992651456891</v>
      </c>
      <c r="AA306" s="336">
        <f>AA15/Z15-1</f>
        <v>-0.220158851650627</v>
      </c>
      <c r="AB306" s="335" t="n"/>
      <c r="AC306" s="336">
        <f>AC15/AB15-1</f>
        <v>-0.753779872877263</v>
      </c>
      <c r="AD306" s="336">
        <f>AD15/AC15-1</f>
        <v>-0.00812893303830642</v>
      </c>
      <c r="AE306" s="336">
        <f>AE15/AD15-1</f>
        <v>0.363120006328613</v>
      </c>
      <c r="AF306" s="336">
        <f>AF15/AE15-1</f>
        <v>-0.218777566275129</v>
      </c>
      <c r="AG306" s="335" t="n"/>
      <c r="AH306" s="336">
        <f>AH15/AG15-1</f>
        <v>-0.751785898976786</v>
      </c>
      <c r="AI306" s="336">
        <f>AI15/AH15-1</f>
        <v>0.0133626449415922</v>
      </c>
      <c r="AJ306" s="336">
        <f>AJ15/AI15-1</f>
        <v>0.221603074000028</v>
      </c>
      <c r="AK306" s="336">
        <f>AK15/AJ15-1</f>
        <v>-0.218777566275129</v>
      </c>
      <c r="AL306" s="335" t="n"/>
      <c r="AM306" s="336">
        <f>AM15/AL15-1</f>
        <v>-0.762942500860052</v>
      </c>
      <c r="AN306" s="336">
        <f>AN15/AM15-1</f>
        <v>0.0133626449415922</v>
      </c>
      <c r="AO306" s="336">
        <f>AO15/AN15-1</f>
        <v>0.221603074000028</v>
      </c>
      <c r="AP306" s="336">
        <f>AP15/AO15-1</f>
        <v>-0.218777566275129</v>
      </c>
      <c r="AQ306" s="335" t="n"/>
      <c r="AR306" s="336">
        <f>AR15/AQ15-1</f>
        <v>-0.762942500860052</v>
      </c>
      <c r="AS306" s="336">
        <f>AS15/AR15-1</f>
        <v>0.0133626449415922</v>
      </c>
      <c r="AT306" s="336">
        <f>AT15/AS15-1</f>
        <v>0.221603074000028</v>
      </c>
      <c r="AU306" s="336">
        <f>AU15/AT15-1</f>
        <v>-0.218777566275129</v>
      </c>
      <c r="AV306" s="335" t="n"/>
      <c r="AW306" s="336">
        <f>AW15/AV15-1</f>
        <v>-0.762942500860052</v>
      </c>
      <c r="AX306" s="336">
        <f>AX15/AW15-1</f>
        <v>0.0133626449415922</v>
      </c>
      <c r="AY306" s="336">
        <f>AY15/AX15-1</f>
        <v>0.221603074000028</v>
      </c>
      <c r="AZ306" s="336">
        <f>AZ15/AY15-1</f>
        <v>-0.218777566275129</v>
      </c>
      <c r="BA306" s="335" t="n"/>
      <c r="BB306" s="336">
        <f>BB15/BA15-1</f>
        <v>-0.762942500860052</v>
      </c>
      <c r="BC306" s="336">
        <f>BC15/BB15-1</f>
        <v>0.0133626449415922</v>
      </c>
      <c r="BD306" s="336">
        <f>BD15/BC15-1</f>
        <v>0.221603074000028</v>
      </c>
      <c r="BE306" s="336">
        <f>BE15/BD15-1</f>
        <v>-0.218777566275129</v>
      </c>
      <c r="BF306" s="335" t="n"/>
      <c r="BG306" s="336">
        <f>BG15/BF15-1</f>
        <v>-0.762942500860052</v>
      </c>
      <c r="BH306" s="336">
        <f>BH15/BG15-1</f>
        <v>0.0133626449415922</v>
      </c>
      <c r="BI306" s="336">
        <f>BI15/BH15-1</f>
        <v>0.221603074000028</v>
      </c>
      <c r="BJ306" s="336">
        <f>BJ15/BI15-1</f>
        <v>-0.218777566275129</v>
      </c>
      <c r="BK306" s="335" t="n"/>
      <c r="BL306" s="336">
        <f>BL15/BK15-1</f>
        <v>-0.762942500860052</v>
      </c>
      <c r="BM306" s="336">
        <f>BM15/BL15-1</f>
        <v>0.0133626449415922</v>
      </c>
      <c r="BN306" s="336">
        <f>BN15/BM15-1</f>
        <v>0.221603074000028</v>
      </c>
      <c r="BO306" s="336">
        <f>BO15/BN15-1</f>
        <v>-0.218777566275129</v>
      </c>
      <c r="BP306" s="335" t="n"/>
      <c r="BQ306" s="336">
        <f>BQ15/BP15-1</f>
        <v>-0.762942500860052</v>
      </c>
      <c r="BR306" s="336">
        <f>BR15/BQ15-1</f>
        <v>0.0133626449415922</v>
      </c>
      <c r="BS306" s="336">
        <f>BS15/BR15-1</f>
        <v>0.221603074000028</v>
      </c>
      <c r="BT306" s="336">
        <f>BT15/BS15-1</f>
        <v>-0.218777566275129</v>
      </c>
      <c r="BU306" s="335" t="n"/>
      <c r="BV306" s="336">
        <f>BV15/BU15-1</f>
        <v>-0.762942500860052</v>
      </c>
      <c r="BW306" s="336">
        <f>BW15/BV15-1</f>
        <v>0.0133626449415922</v>
      </c>
      <c r="BX306" s="336">
        <f>BX15/BW15-1</f>
        <v>0.221603074000028</v>
      </c>
      <c r="BY306" s="336">
        <f>BY15/BX15-1</f>
        <v>-0.218777566275129</v>
      </c>
      <c r="BZ306" s="335" t="n"/>
      <c r="CA306" s="336">
        <f>CA15/BZ15-1</f>
        <v>-0.762942500860052</v>
      </c>
      <c r="CB306" s="336">
        <f>CB15/CA15-1</f>
        <v>0.0133626449415922</v>
      </c>
      <c r="CC306" s="336">
        <f>CC15/CB15-1</f>
        <v>0.221603074000028</v>
      </c>
      <c r="CD306" s="336">
        <f>CD15/CC15-1</f>
        <v>-0.218777566275129</v>
      </c>
      <c r="CE306" s="335" t="n"/>
      <c r="CF306" s="336">
        <f>CF15/CE15-1</f>
        <v>-0.762942500860052</v>
      </c>
      <c r="CG306" s="336">
        <f>CG15/CF15-1</f>
        <v>0.0133626449415922</v>
      </c>
      <c r="CH306" s="336">
        <f>CH15/CG15-1</f>
        <v>0.221603074000028</v>
      </c>
      <c r="CI306" s="336">
        <f>CI15/CH15-1</f>
        <v>-0.218777566275129</v>
      </c>
      <c r="CJ306" s="335" t="n"/>
      <c r="CK306" s="336">
        <f>CK15/CJ15-1</f>
        <v>-0.762942500860052</v>
      </c>
      <c r="CL306" s="336">
        <f>CL15/CK15-1</f>
        <v>0.0133626449415922</v>
      </c>
      <c r="CM306" s="336">
        <f>CM15/CL15-1</f>
        <v>0.221603074000028</v>
      </c>
      <c r="CN306" s="336">
        <f>CN15/CM15-1</f>
        <v>-0.218777566275129</v>
      </c>
      <c r="CO306" s="335" t="n"/>
      <c r="CP306" s="336">
        <f>CP15/CO15-1</f>
        <v>-0.762942500860052</v>
      </c>
      <c r="CQ306" s="336">
        <f>CQ15/CP15-1</f>
        <v>0.0133626449415922</v>
      </c>
      <c r="CR306" s="336">
        <f>CR15/CQ15-1</f>
        <v>0.221603074000028</v>
      </c>
      <c r="CS306" s="336">
        <f>CS15/CR15-1</f>
        <v>-0.218777566275129</v>
      </c>
      <c r="CT306" s="335" t="n"/>
      <c r="CU306" s="336">
        <f>CU15/CT15-1</f>
        <v>-0.762942500860052</v>
      </c>
      <c r="CV306" s="336">
        <f>CV15/CU15-1</f>
        <v>0.0133626449415922</v>
      </c>
      <c r="CW306" s="336">
        <f>CW15/CV15-1</f>
        <v>0.221603074000028</v>
      </c>
      <c r="CX306" s="336">
        <f>CX15/CW15-1</f>
        <v>-0.218777566275129</v>
      </c>
      <c r="CY306" s="335" t="n"/>
    </row>
    <row r="307" ht="12.75" customFormat="1" customHeight="1" s="333">
      <c r="A307" s="334" t="n"/>
      <c r="B307" s="334" t="n"/>
      <c r="C307" s="333" t="inlineStr">
        <is>
          <t>GROSS MARGIN</t>
        </is>
      </c>
      <c r="D307" s="336">
        <f>SUM(D15,D39)/D15</f>
        <v>0.128378378378378</v>
      </c>
      <c r="E307" s="336">
        <f>SUM(E15,E39)/E15</f>
        <v>0.134626737508721</v>
      </c>
      <c r="F307" s="336">
        <f>SUM(F15,F39)/F15</f>
        <v>0.130790701159545</v>
      </c>
      <c r="G307" s="336">
        <f>SUM(G15,G39)/G15</f>
        <v>0.133077207924458</v>
      </c>
      <c r="I307" s="337">
        <f>SUM(I15,I39)/I15</f>
        <v>0.127119211954701</v>
      </c>
      <c r="J307" s="337">
        <f>SUM(J15,J39)/J15</f>
        <v>0.129469708682112</v>
      </c>
      <c r="K307" s="337">
        <f>SUM(K15,K39)/K15</f>
        <v>0.126717191862784</v>
      </c>
      <c r="L307" s="337">
        <f>SUM(L15,L39)/L15</f>
        <v>0.127295832257808</v>
      </c>
      <c r="N307" s="337">
        <f>SUM(N15,N39)/N15</f>
        <v>0.123054099876695</v>
      </c>
      <c r="O307" s="337">
        <f>SUM(O15,O39)/O15</f>
        <v>0.118659213628413</v>
      </c>
      <c r="P307" s="337">
        <f>SUM(P15,P39)/P15</f>
        <v>0.118364289578449</v>
      </c>
      <c r="Q307" s="337">
        <f>SUM(Q15,Q39)/Q15</f>
        <v>0.122490218050223</v>
      </c>
      <c r="S307" s="337">
        <f>SUM(S15,S39)/S15</f>
        <v>0.123819346433612</v>
      </c>
      <c r="T307" s="337">
        <f>SUM(T15,T39)/T15</f>
        <v>0.120656874440799</v>
      </c>
      <c r="U307" s="337">
        <f>SUM(U15,U39)/U15</f>
        <v>0.123133052103523</v>
      </c>
      <c r="V307" s="337">
        <f>SUM(V15,V39)/V15</f>
        <v>0.1270264191422</v>
      </c>
      <c r="X307" s="337">
        <f>SUM(X15,X39)/X15</f>
        <v>0.124944389309059</v>
      </c>
      <c r="Y307" s="337">
        <f>SUM(Y15,Y39)/Y15</f>
        <v>0.12547210117064</v>
      </c>
      <c r="Z307" s="337">
        <f>SUM(Z15,Z39)/Z15</f>
        <v>0.126842917550221</v>
      </c>
      <c r="AA307" s="337">
        <f>SUM(AA15,AA39)/AA15</f>
        <v>0.12939453910637</v>
      </c>
      <c r="AC307" s="337">
        <f>SUM(AC15,AC39)/AC15</f>
        <v>0.125213816047581</v>
      </c>
      <c r="AD307" s="337">
        <f>SUM(AD15,AD39)/AD15</f>
        <v>0.129878965271735</v>
      </c>
      <c r="AE307" s="337">
        <f>SUM(AE15,AE39)/AE15</f>
        <v>0.129056595013696</v>
      </c>
      <c r="AF307" s="337">
        <f>SUM(AF15,AF39)/AF15</f>
        <v>0.130699630053338</v>
      </c>
      <c r="AH307" s="337">
        <f>SUM(AH15,AH39)/AH15</f>
        <v>0.127562969668233</v>
      </c>
      <c r="AI307" s="337">
        <f>SUM(AI15,AI39)/AI15</f>
        <v>0.127724134019595</v>
      </c>
      <c r="AJ307" s="337">
        <f>SUM(AJ15,AJ39)/AJ15</f>
        <v>0</v>
      </c>
      <c r="AK307" s="337">
        <f>SUM(AK15,AK39)/AK15</f>
        <v>0</v>
      </c>
      <c r="AM307" s="337">
        <f>SUM(AM15,AM39)/AM15</f>
        <v>0</v>
      </c>
      <c r="AN307" s="337">
        <f>SUM(AN15,AN39)/AN15</f>
        <v>0</v>
      </c>
      <c r="AO307" s="337">
        <f>SUM(AO15,AO39)/AO15</f>
        <v>0</v>
      </c>
      <c r="AP307" s="337">
        <f>SUM(AP15,AP39)/AP15</f>
        <v>0</v>
      </c>
      <c r="AR307" s="337">
        <f>SUM(AR15,AR39)/AR15</f>
        <v>0</v>
      </c>
      <c r="AS307" s="337">
        <f>SUM(AS15,AS39)/AS15</f>
        <v>0</v>
      </c>
      <c r="AT307" s="337">
        <f>SUM(AT15,AT39)/AT15</f>
        <v>0</v>
      </c>
      <c r="AU307" s="337">
        <f>SUM(AU15,AU39)/AU15</f>
        <v>0</v>
      </c>
      <c r="AW307" s="337">
        <f>SUM(AW15,AW39)/AW15</f>
        <v>0</v>
      </c>
      <c r="AX307" s="337">
        <f>SUM(AX15,AX39)/AX15</f>
        <v>0</v>
      </c>
      <c r="AY307" s="337">
        <f>SUM(AY15,AY39)/AY15</f>
        <v>0</v>
      </c>
      <c r="AZ307" s="337">
        <f>SUM(AZ15,AZ39)/AZ15</f>
        <v>0</v>
      </c>
      <c r="BB307" s="337">
        <f>SUM(BB15,BB39)/BB15</f>
        <v>0</v>
      </c>
      <c r="BC307" s="337">
        <f>SUM(BC15,BC39)/BC15</f>
        <v>0</v>
      </c>
      <c r="BD307" s="337">
        <f>SUM(BD15,BD39)/BD15</f>
        <v>0</v>
      </c>
      <c r="BE307" s="337">
        <f>SUM(BE15,BE39)/BE15</f>
        <v>0</v>
      </c>
      <c r="BG307" s="337">
        <f>SUM(BG15,BG39)/BG15</f>
        <v>0</v>
      </c>
      <c r="BH307" s="337">
        <f>SUM(BH15,BH39)/BH15</f>
        <v>0</v>
      </c>
      <c r="BI307" s="337">
        <f>SUM(BI15,BI39)/BI15</f>
        <v>0</v>
      </c>
      <c r="BJ307" s="337">
        <f>SUM(BJ15,BJ39)/BJ15</f>
        <v>0</v>
      </c>
      <c r="BL307" s="337">
        <f>SUM(BL15,BL39)/BL15</f>
        <v>0</v>
      </c>
      <c r="BM307" s="337">
        <f>SUM(BM15,BM39)/BM15</f>
        <v>0</v>
      </c>
      <c r="BN307" s="337">
        <f>SUM(BN15,BN39)/BN15</f>
        <v>0</v>
      </c>
      <c r="BO307" s="337">
        <f>SUM(BO15,BO39)/BO15</f>
        <v>0</v>
      </c>
      <c r="BQ307" s="337">
        <f>SUM(BQ15,BQ39)/BQ15</f>
        <v>0</v>
      </c>
      <c r="BR307" s="337">
        <f>SUM(BR15,BR39)/BR15</f>
        <v>0</v>
      </c>
      <c r="BS307" s="337">
        <f>SUM(BS15,BS39)/BS15</f>
        <v>0</v>
      </c>
      <c r="BT307" s="337">
        <f>SUM(BT15,BT39)/BT15</f>
        <v>0</v>
      </c>
      <c r="BV307" s="337">
        <f>SUM(BV15,BV39)/BV15</f>
        <v>0</v>
      </c>
      <c r="BW307" s="337">
        <f>SUM(BW15,BW39)/BW15</f>
        <v>0</v>
      </c>
      <c r="BX307" s="337">
        <f>SUM(BX15,BX39)/BX15</f>
        <v>0</v>
      </c>
      <c r="BY307" s="337">
        <f>SUM(BY15,BY39)/BY15</f>
        <v>0</v>
      </c>
      <c r="CA307" s="337">
        <f>SUM(CA15,CA39)/CA15</f>
        <v>0</v>
      </c>
      <c r="CB307" s="337">
        <f>SUM(CB15,CB39)/CB15</f>
        <v>0</v>
      </c>
      <c r="CC307" s="337">
        <f>SUM(CC15,CC39)/CC15</f>
        <v>0</v>
      </c>
      <c r="CD307" s="337">
        <f>SUM(CD15,CD39)/CD15</f>
        <v>0</v>
      </c>
      <c r="CF307" s="337">
        <f>SUM(CF15,CF39)/CF15</f>
        <v>0</v>
      </c>
      <c r="CG307" s="337">
        <f>SUM(CG15,CG39)/CG15</f>
        <v>0</v>
      </c>
      <c r="CH307" s="337">
        <f>SUM(CH15,CH39)/CH15</f>
        <v>0</v>
      </c>
      <c r="CI307" s="337">
        <f>SUM(CI15,CI39)/CI15</f>
        <v>0</v>
      </c>
      <c r="CK307" s="337">
        <f>SUM(CK15,CK39)/CK15</f>
        <v>0</v>
      </c>
      <c r="CL307" s="337">
        <f>SUM(CL15,CL39)/CL15</f>
        <v>0</v>
      </c>
      <c r="CM307" s="337">
        <f>SUM(CM15,CM39)/CM15</f>
        <v>0</v>
      </c>
      <c r="CN307" s="337">
        <f>SUM(CN15,CN39)/CN15</f>
        <v>0</v>
      </c>
      <c r="CP307" s="337">
        <f>SUM(CP15,CP39)/CP15</f>
        <v>0</v>
      </c>
      <c r="CQ307" s="337">
        <f>SUM(CQ15,CQ39)/CQ15</f>
        <v>0</v>
      </c>
      <c r="CR307" s="337">
        <f>SUM(CR15,CR39)/CR15</f>
        <v>0</v>
      </c>
      <c r="CS307" s="337">
        <f>SUM(CS15,CS39)/CS15</f>
        <v>0</v>
      </c>
      <c r="CU307" s="337">
        <f>SUM(CU15,CU39)/CU15</f>
        <v>0</v>
      </c>
      <c r="CV307" s="337">
        <f>SUM(CV15,CV39)/CV15</f>
        <v>0</v>
      </c>
      <c r="CW307" s="337">
        <f>SUM(CW15,CW39)/CW15</f>
        <v>0</v>
      </c>
      <c r="CX307" s="337">
        <f>SUM(CX15,CX39)/CX15</f>
        <v>0</v>
      </c>
    </row>
    <row r="308" ht="12.75" customFormat="1" customHeight="1" s="333">
      <c r="A308" s="334" t="n"/>
      <c r="B308" s="334" t="n"/>
      <c r="C308" s="333" t="inlineStr">
        <is>
          <t>EBIT MARGIN</t>
        </is>
      </c>
      <c r="D308" s="335">
        <f>(D58/D15)</f>
        <v>0.0324017199017199</v>
      </c>
      <c r="E308" s="335">
        <f>(E58/E15)</f>
        <v>0.0316374174851071</v>
      </c>
      <c r="F308" s="335">
        <f>(F58/F15)</f>
        <v>0.0361350991888804</v>
      </c>
      <c r="G308" s="335">
        <f>(G58/G15)</f>
        <v>0.0330957230142566</v>
      </c>
      <c r="I308" s="338">
        <f>(I58/I15)</f>
        <v>0.029931425763363</v>
      </c>
      <c r="J308" s="338">
        <f>(J58/J15)</f>
        <v>0.0367294652914283</v>
      </c>
      <c r="K308" s="338">
        <f>(K58/K15)</f>
        <v>0.0362983645791783</v>
      </c>
      <c r="L308" s="338">
        <f>(L58/L15)</f>
        <v>0.0336159482159522</v>
      </c>
      <c r="N308" s="338">
        <f>(N58/N15)</f>
        <v>0.0349106041923551</v>
      </c>
      <c r="O308" s="338">
        <f>(O58/O15)</f>
        <v>0.0340520191649555</v>
      </c>
      <c r="P308" s="338">
        <f>(P58/P15)</f>
        <v>0.0346367785160422</v>
      </c>
      <c r="Q308" s="338">
        <f>(Q58/Q15)</f>
        <v>0.0321656226463619</v>
      </c>
      <c r="S308" s="338">
        <f>(S58/S15)</f>
        <v>0.0344334672312091</v>
      </c>
      <c r="T308" s="338">
        <f>(T58/T15)</f>
        <v>0.0312966000596481</v>
      </c>
      <c r="U308" s="338">
        <f>(U58/U15)</f>
        <v>0.0352297343518413</v>
      </c>
      <c r="V308" s="338">
        <f>(V58/V15)</f>
        <v>0.0343258533884669</v>
      </c>
      <c r="X308" s="338">
        <f>(X58/X15)</f>
        <v>0.0352828445296191</v>
      </c>
      <c r="Y308" s="338">
        <f>(Y58/Y15)</f>
        <v>0.0375459283944288</v>
      </c>
      <c r="Z308" s="338">
        <f>(Z58/Z15)</f>
        <v>0.038169567235906</v>
      </c>
      <c r="AA308" s="338">
        <f>(AA58/AA15)</f>
        <v>0.0353333011536419</v>
      </c>
      <c r="AC308" s="338">
        <f>(AC58/AC15)</f>
        <v>0.0363448048585283</v>
      </c>
      <c r="AD308" s="338">
        <f>(AD58/AD15)</f>
        <v>0.0400284787595918</v>
      </c>
      <c r="AE308" s="338">
        <f>(AE58/AE15)</f>
        <v>0.0387784948233437</v>
      </c>
      <c r="AF308" s="338">
        <f>(AF58/AF15)</f>
        <v>0.0365935192476266</v>
      </c>
      <c r="AH308" s="338">
        <f>(AH58/AH15)</f>
        <v>0.0374441427073006</v>
      </c>
      <c r="AI308" s="338">
        <f>(AI58/AI15)</f>
        <v>0.0399137918811235</v>
      </c>
      <c r="AJ308" s="338">
        <f>(AJ58/AJ15)</f>
        <v>0</v>
      </c>
      <c r="AK308" s="338">
        <f>(AK58/AK15)</f>
        <v>0</v>
      </c>
      <c r="AM308" s="338">
        <f>(AM58/AM15)</f>
        <v>0</v>
      </c>
      <c r="AN308" s="338">
        <f>(AN58/AN15)</f>
        <v>0</v>
      </c>
      <c r="AO308" s="338">
        <f>(AO58/AO15)</f>
        <v>0</v>
      </c>
      <c r="AP308" s="338">
        <f>(AP58/AP15)</f>
        <v>0</v>
      </c>
      <c r="AR308" s="338">
        <f>(AR58/AR15)</f>
        <v>0</v>
      </c>
      <c r="AS308" s="338">
        <f>(AS58/AS15)</f>
        <v>0</v>
      </c>
      <c r="AT308" s="338">
        <f>(AT58/AT15)</f>
        <v>0</v>
      </c>
      <c r="AU308" s="338">
        <f>(AU58/AU15)</f>
        <v>0</v>
      </c>
      <c r="AW308" s="338">
        <f>(AW58/AW15)</f>
        <v>0</v>
      </c>
      <c r="AX308" s="338">
        <f>(AX58/AX15)</f>
        <v>0</v>
      </c>
      <c r="AY308" s="338">
        <f>(AY58/AY15)</f>
        <v>0</v>
      </c>
      <c r="AZ308" s="338">
        <f>(AZ58/AZ15)</f>
        <v>0</v>
      </c>
      <c r="BB308" s="338">
        <f>(BB58/BB15)</f>
        <v>0</v>
      </c>
      <c r="BC308" s="338">
        <f>(BC58/BC15)</f>
        <v>0</v>
      </c>
      <c r="BD308" s="338">
        <f>(BD58/BD15)</f>
        <v>0</v>
      </c>
      <c r="BE308" s="338">
        <f>(BE58/BE15)</f>
        <v>0</v>
      </c>
      <c r="BG308" s="338">
        <f>(BG58/BG15)</f>
        <v>0</v>
      </c>
      <c r="BH308" s="338">
        <f>(BH58/BH15)</f>
        <v>0</v>
      </c>
      <c r="BI308" s="338">
        <f>(BI58/BI15)</f>
        <v>0</v>
      </c>
      <c r="BJ308" s="338">
        <f>(BJ58/BJ15)</f>
        <v>0</v>
      </c>
      <c r="BL308" s="338">
        <f>(BL58/BL15)</f>
        <v>0</v>
      </c>
      <c r="BM308" s="338">
        <f>(BM58/BM15)</f>
        <v>0</v>
      </c>
      <c r="BN308" s="338">
        <f>(BN58/BN15)</f>
        <v>0</v>
      </c>
      <c r="BO308" s="338">
        <f>(BO58/BO15)</f>
        <v>0</v>
      </c>
      <c r="BQ308" s="338">
        <f>(BQ58/BQ15)</f>
        <v>0</v>
      </c>
      <c r="BR308" s="338">
        <f>(BR58/BR15)</f>
        <v>0</v>
      </c>
      <c r="BS308" s="338">
        <f>(BS58/BS15)</f>
        <v>0</v>
      </c>
      <c r="BT308" s="338">
        <f>(BT58/BT15)</f>
        <v>0</v>
      </c>
      <c r="BV308" s="338">
        <f>(BV58/BV15)</f>
        <v>0</v>
      </c>
      <c r="BW308" s="338">
        <f>(BW58/BW15)</f>
        <v>0</v>
      </c>
      <c r="BX308" s="338">
        <f>(BX58/BX15)</f>
        <v>0</v>
      </c>
      <c r="BY308" s="338">
        <f>(BY58/BY15)</f>
        <v>0</v>
      </c>
      <c r="CA308" s="338">
        <f>(CA58/CA15)</f>
        <v>0</v>
      </c>
      <c r="CB308" s="338">
        <f>(CB58/CB15)</f>
        <v>0</v>
      </c>
      <c r="CC308" s="338">
        <f>(CC58/CC15)</f>
        <v>0</v>
      </c>
      <c r="CD308" s="338">
        <f>(CD58/CD15)</f>
        <v>0</v>
      </c>
      <c r="CF308" s="338">
        <f>(CF58/CF15)</f>
        <v>0</v>
      </c>
      <c r="CG308" s="338">
        <f>(CG58/CG15)</f>
        <v>0</v>
      </c>
      <c r="CH308" s="338">
        <f>(CH58/CH15)</f>
        <v>0</v>
      </c>
      <c r="CI308" s="338">
        <f>(CI58/CI15)</f>
        <v>0</v>
      </c>
      <c r="CK308" s="338">
        <f>(CK58/CK15)</f>
        <v>0</v>
      </c>
      <c r="CL308" s="338">
        <f>(CL58/CL15)</f>
        <v>0</v>
      </c>
      <c r="CM308" s="338">
        <f>(CM58/CM15)</f>
        <v>0</v>
      </c>
      <c r="CN308" s="338">
        <f>(CN58/CN15)</f>
        <v>0</v>
      </c>
      <c r="CP308" s="338">
        <f>(CP58/CP15)</f>
        <v>0</v>
      </c>
      <c r="CQ308" s="338">
        <f>(CQ58/CQ15)</f>
        <v>0</v>
      </c>
      <c r="CR308" s="338">
        <f>(CR58/CR15)</f>
        <v>0</v>
      </c>
      <c r="CS308" s="338">
        <f>(CS58/CS15)</f>
        <v>0</v>
      </c>
      <c r="CU308" s="338">
        <f>(CU58/CU15)</f>
        <v>0</v>
      </c>
      <c r="CV308" s="338">
        <f>(CV58/CV15)</f>
        <v>0</v>
      </c>
      <c r="CW308" s="338">
        <f>(CW58/CW15)</f>
        <v>0</v>
      </c>
      <c r="CX308" s="338">
        <f>(CX58/CX15)</f>
        <v>0</v>
      </c>
    </row>
    <row r="309" ht="12.75" customFormat="1" customHeight="1" s="333">
      <c r="A309" s="334" t="n"/>
      <c r="B309" s="334" t="n"/>
      <c r="C309" s="333" t="inlineStr">
        <is>
          <t>EBITDA MARTGIN</t>
        </is>
      </c>
      <c r="D309" s="335">
        <f>D54/D15</f>
        <v>0.0423576986076986</v>
      </c>
      <c r="E309" s="335">
        <f>E54/E15</f>
        <v>0.0418880480867279</v>
      </c>
      <c r="F309" s="335">
        <f>F54/F15</f>
        <v>0.0455950396193545</v>
      </c>
      <c r="G309" s="335">
        <f>G54/G15</f>
        <v>0.0424458433623403</v>
      </c>
      <c r="I309" s="338">
        <f>I54/I15</f>
        <v>0.0392235698809444</v>
      </c>
      <c r="J309" s="338">
        <f>J54/J15</f>
        <v>0.0456081454159949</v>
      </c>
      <c r="K309" s="338">
        <f>K54/K15</f>
        <v>0.0452173913043478</v>
      </c>
      <c r="L309" s="338">
        <f>L54/L15</f>
        <v>0.0421936739272879</v>
      </c>
      <c r="N309" s="338">
        <f>N54/N15</f>
        <v>0.0433107274969174</v>
      </c>
      <c r="O309" s="338">
        <f>O54/O15</f>
        <v>0.0423796486424823</v>
      </c>
      <c r="P309" s="338">
        <f>P54/P15</f>
        <v>0.0428763645947483</v>
      </c>
      <c r="Q309" s="338">
        <f>Q54/Q15</f>
        <v>0.0403769495012583</v>
      </c>
      <c r="S309" s="338">
        <f>S54/S15</f>
        <v>0.0429377917707089</v>
      </c>
      <c r="T309" s="338">
        <f>T54/T15</f>
        <v>0.0400946913212049</v>
      </c>
      <c r="U309" s="338">
        <f>U54/U15</f>
        <v>0.043945324871103</v>
      </c>
      <c r="V309" s="338">
        <f>V54/V15</f>
        <v>0.0429938234225506</v>
      </c>
      <c r="X309" s="338">
        <f>X54/X15</f>
        <v>0.0440778891892817</v>
      </c>
      <c r="Y309" s="338">
        <f>Y54/Y15</f>
        <v>0.0463641801247543</v>
      </c>
      <c r="Z309" s="338">
        <f>Z54/Z15</f>
        <v>0.0470281190007152</v>
      </c>
      <c r="AA309" s="338">
        <f>AA54/AA15</f>
        <v>0.044150536596354</v>
      </c>
      <c r="AC309" s="338">
        <f>AC54/AC15</f>
        <v>0.0450072972082294</v>
      </c>
      <c r="AD309" s="338">
        <f>AD54/AD15</f>
        <v>0.0487619650344118</v>
      </c>
      <c r="AE309" s="338">
        <f>AE54/AE15</f>
        <v>0.0477621988021728</v>
      </c>
      <c r="AF309" s="338">
        <f>AF54/AF15</f>
        <v>0.0454633247656262</v>
      </c>
      <c r="AH309" s="338">
        <f>AH54/AH15</f>
        <v>0.0460220986536776</v>
      </c>
      <c r="AI309" s="338">
        <f>AI54/AI15</f>
        <v>0.0483786351326442</v>
      </c>
      <c r="AJ309" s="338">
        <f>AJ54/AJ15</f>
        <v>0</v>
      </c>
      <c r="AK309" s="338">
        <f>AK54/AK15</f>
        <v>0</v>
      </c>
      <c r="AM309" s="338">
        <f>AM54/AM15</f>
        <v>0</v>
      </c>
      <c r="AN309" s="338">
        <f>AN54/AN15</f>
        <v>0</v>
      </c>
      <c r="AO309" s="338">
        <f>AO54/AO15</f>
        <v>0</v>
      </c>
      <c r="AP309" s="338">
        <f>AP54/AP15</f>
        <v>0</v>
      </c>
      <c r="AR309" s="338">
        <f>AR54/AR15</f>
        <v>0</v>
      </c>
      <c r="AS309" s="338">
        <f>AS54/AS15</f>
        <v>0</v>
      </c>
      <c r="AT309" s="338">
        <f>AT54/AT15</f>
        <v>0</v>
      </c>
      <c r="AU309" s="338">
        <f>AU54/AU15</f>
        <v>0</v>
      </c>
      <c r="AW309" s="338">
        <f>AW54/AW15</f>
        <v>0</v>
      </c>
      <c r="AX309" s="338">
        <f>AX54/AX15</f>
        <v>0</v>
      </c>
      <c r="AY309" s="338">
        <f>AY54/AY15</f>
        <v>0</v>
      </c>
      <c r="AZ309" s="338">
        <f>AZ54/AZ15</f>
        <v>0</v>
      </c>
      <c r="BB309" s="338">
        <f>BB54/BB15</f>
        <v>0</v>
      </c>
      <c r="BC309" s="338">
        <f>BC54/BC15</f>
        <v>0</v>
      </c>
      <c r="BD309" s="338">
        <f>BD54/BD15</f>
        <v>0</v>
      </c>
      <c r="BE309" s="338">
        <f>BE54/BE15</f>
        <v>0</v>
      </c>
      <c r="BG309" s="338">
        <f>BG54/BG15</f>
        <v>0</v>
      </c>
      <c r="BH309" s="338">
        <f>BH54/BH15</f>
        <v>0</v>
      </c>
      <c r="BI309" s="338">
        <f>BI54/BI15</f>
        <v>0</v>
      </c>
      <c r="BJ309" s="338">
        <f>BJ54/BJ15</f>
        <v>0</v>
      </c>
      <c r="BL309" s="338">
        <f>BL54/BL15</f>
        <v>0</v>
      </c>
      <c r="BM309" s="338">
        <f>BM54/BM15</f>
        <v>0</v>
      </c>
      <c r="BN309" s="338">
        <f>BN54/BN15</f>
        <v>0</v>
      </c>
      <c r="BO309" s="338">
        <f>BO54/BO15</f>
        <v>0</v>
      </c>
      <c r="BQ309" s="338">
        <f>BQ54/BQ15</f>
        <v>0</v>
      </c>
      <c r="BR309" s="338">
        <f>BR54/BR15</f>
        <v>0</v>
      </c>
      <c r="BS309" s="338">
        <f>BS54/BS15</f>
        <v>0</v>
      </c>
      <c r="BT309" s="338">
        <f>BT54/BT15</f>
        <v>0</v>
      </c>
      <c r="BV309" s="338">
        <f>BV54/BV15</f>
        <v>0</v>
      </c>
      <c r="BW309" s="338">
        <f>BW54/BW15</f>
        <v>0</v>
      </c>
      <c r="BX309" s="338">
        <f>BX54/BX15</f>
        <v>0</v>
      </c>
      <c r="BY309" s="338">
        <f>BY54/BY15</f>
        <v>0</v>
      </c>
      <c r="CA309" s="338">
        <f>CA54/CA15</f>
        <v>0</v>
      </c>
      <c r="CB309" s="338">
        <f>CB54/CB15</f>
        <v>0</v>
      </c>
      <c r="CC309" s="338">
        <f>CC54/CC15</f>
        <v>0</v>
      </c>
      <c r="CD309" s="338">
        <f>CD54/CD15</f>
        <v>0</v>
      </c>
      <c r="CF309" s="338">
        <f>CF54/CF15</f>
        <v>0</v>
      </c>
      <c r="CG309" s="338">
        <f>CG54/CG15</f>
        <v>0</v>
      </c>
      <c r="CH309" s="338">
        <f>CH54/CH15</f>
        <v>0</v>
      </c>
      <c r="CI309" s="338">
        <f>CI54/CI15</f>
        <v>0</v>
      </c>
      <c r="CK309" s="338">
        <f>CK54/CK15</f>
        <v>0</v>
      </c>
      <c r="CL309" s="338">
        <f>CL54/CL15</f>
        <v>0</v>
      </c>
      <c r="CM309" s="338">
        <f>CM54/CM15</f>
        <v>0</v>
      </c>
      <c r="CN309" s="338">
        <f>CN54/CN15</f>
        <v>0</v>
      </c>
      <c r="CP309" s="338">
        <f>CP54/CP15</f>
        <v>0</v>
      </c>
      <c r="CQ309" s="338">
        <f>CQ54/CQ15</f>
        <v>0</v>
      </c>
      <c r="CR309" s="338">
        <f>CR54/CR15</f>
        <v>0</v>
      </c>
      <c r="CS309" s="338">
        <f>CS54/CS15</f>
        <v>0</v>
      </c>
      <c r="CU309" s="338">
        <f>CU54/CU15</f>
        <v>0</v>
      </c>
      <c r="CV309" s="338">
        <f>CV54/CV15</f>
        <v>0</v>
      </c>
      <c r="CW309" s="338">
        <f>CW54/CW15</f>
        <v>0</v>
      </c>
      <c r="CX309" s="338">
        <f>CX54/CX15</f>
        <v>0</v>
      </c>
    </row>
    <row r="310" ht="12.75" customFormat="1" customHeight="1" s="333">
      <c r="A310" s="334" t="n"/>
      <c r="B310" s="334" t="n"/>
      <c r="C310" s="333" t="inlineStr">
        <is>
          <t>ETR</t>
        </is>
      </c>
      <c r="D310" s="335">
        <f>-D116/D115</f>
        <v>0.258418167580266</v>
      </c>
      <c r="E310" s="335">
        <f>-E116/E115</f>
        <v>0.267411865864144</v>
      </c>
      <c r="F310" s="335">
        <f>-F116/F115</f>
        <v>0.248796147672552</v>
      </c>
      <c r="G310" s="335">
        <f>-G116/G115</f>
        <v>0.16830985915493</v>
      </c>
      <c r="I310" s="338">
        <f>-I116/I115</f>
        <v>0.263836239575436</v>
      </c>
      <c r="J310" s="338">
        <f>-J116/J115</f>
        <v>0.252727272727273</v>
      </c>
      <c r="K310" s="338">
        <f>-K116/K115</f>
        <v>0.260584897424705</v>
      </c>
      <c r="L310" s="338">
        <f>-L116/L115</f>
        <v>0.206957547169811</v>
      </c>
      <c r="N310" s="338">
        <f>-N116/N115</f>
        <v>0.267073847862299</v>
      </c>
      <c r="O310" s="338">
        <f>-O116/O115</f>
        <v>0.24904214559387</v>
      </c>
      <c r="P310" s="338">
        <f>-P116/P115</f>
        <v>0.253577106518283</v>
      </c>
      <c r="Q310" s="338">
        <f>-Q116/Q115</f>
        <v>0.229378531073446</v>
      </c>
      <c r="S310" s="338">
        <f>-S116/S115</f>
        <v>0.260716086737267</v>
      </c>
      <c r="T310" s="338">
        <f>-T116/T115</f>
        <v>0.264822134387352</v>
      </c>
      <c r="U310" s="338">
        <f>-U116/U115</f>
        <v>0.271009112386095</v>
      </c>
      <c r="V310" s="338">
        <f>-V116/V115</f>
        <v>0.245489078822412</v>
      </c>
      <c r="X310" s="338">
        <f>-X116/X115</f>
        <v>0.220831470719714</v>
      </c>
      <c r="Y310" s="338">
        <f>-Y116/Y115</f>
        <v>0.264010507880911</v>
      </c>
      <c r="Z310" s="338">
        <f>-Z116/Z115</f>
        <v>0.243816254416961</v>
      </c>
      <c r="AA310" s="338">
        <f>-AA116/AA115</f>
        <v>0.220294882914137</v>
      </c>
      <c r="AC310" s="338">
        <f>-AC116/AC115</f>
        <v>0.261767134599505</v>
      </c>
      <c r="AD310" s="338">
        <f>-AD116/AD115</f>
        <v>0.262403100775194</v>
      </c>
      <c r="AE310" s="338">
        <f>-AE116/AE115</f>
        <v>0.256410256410256</v>
      </c>
      <c r="AF310" s="338">
        <f>-AF116/AF115</f>
        <v>0.225319396051103</v>
      </c>
      <c r="AH310" s="338">
        <f>-AH116/AH115</f>
        <v>0.252113193678795</v>
      </c>
      <c r="AI310" s="338">
        <f>-AI116/AI115</f>
        <v>0.253914227365555</v>
      </c>
      <c r="AJ310" s="338">
        <f>-AJ116/AJ115</f>
        <v>0</v>
      </c>
      <c r="AK310" s="338">
        <f>-AK116/AK115</f>
        <v>0</v>
      </c>
      <c r="AM310" s="338">
        <f>-AM116/AM115</f>
        <v>0</v>
      </c>
      <c r="AN310" s="338">
        <f>-AN116/AN115</f>
        <v>0</v>
      </c>
      <c r="AO310" s="338">
        <f>-AO116/AO115</f>
        <v>0</v>
      </c>
      <c r="AP310" s="338">
        <f>-AP116/AP115</f>
        <v>0</v>
      </c>
      <c r="AR310" s="338">
        <f>-AR116/AR115</f>
        <v>0</v>
      </c>
      <c r="AS310" s="338">
        <f>-AS116/AS115</f>
        <v>0</v>
      </c>
      <c r="AT310" s="338">
        <f>-AT116/AT115</f>
        <v>0</v>
      </c>
      <c r="AU310" s="338">
        <f>-AU116/AU115</f>
        <v>0</v>
      </c>
      <c r="AW310" s="338">
        <f>-AW116/AW115</f>
        <v>0</v>
      </c>
      <c r="AX310" s="338">
        <f>-AX116/AX115</f>
        <v>0</v>
      </c>
      <c r="AY310" s="338">
        <f>-AY116/AY115</f>
        <v>0</v>
      </c>
      <c r="AZ310" s="338">
        <f>-AZ116/AZ115</f>
        <v>0</v>
      </c>
      <c r="BB310" s="338">
        <f>-BB116/BB115</f>
        <v>0</v>
      </c>
      <c r="BC310" s="338">
        <f>-BC116/BC115</f>
        <v>0</v>
      </c>
      <c r="BD310" s="338">
        <f>-BD116/BD115</f>
        <v>0</v>
      </c>
      <c r="BE310" s="338">
        <f>-BE116/BE115</f>
        <v>0</v>
      </c>
      <c r="BG310" s="338">
        <f>-BG116/BG115</f>
        <v>0</v>
      </c>
      <c r="BH310" s="338">
        <f>-BH116/BH115</f>
        <v>0</v>
      </c>
      <c r="BI310" s="338">
        <f>-BI116/BI115</f>
        <v>0</v>
      </c>
      <c r="BJ310" s="338">
        <f>-BJ116/BJ115</f>
        <v>0</v>
      </c>
      <c r="BL310" s="338">
        <f>-BL116/BL115</f>
        <v>0</v>
      </c>
      <c r="BM310" s="338">
        <f>-BM116/BM115</f>
        <v>0</v>
      </c>
      <c r="BN310" s="338">
        <f>-BN116/BN115</f>
        <v>0</v>
      </c>
      <c r="BO310" s="338">
        <f>-BO116/BO115</f>
        <v>0</v>
      </c>
      <c r="BQ310" s="338">
        <f>-BQ116/BQ115</f>
        <v>0</v>
      </c>
      <c r="BR310" s="338">
        <f>-BR116/BR115</f>
        <v>0</v>
      </c>
      <c r="BS310" s="338">
        <f>-BS116/BS115</f>
        <v>0</v>
      </c>
      <c r="BT310" s="338">
        <f>-BT116/BT115</f>
        <v>0</v>
      </c>
      <c r="BV310" s="338">
        <f>-BV116/BV115</f>
        <v>0</v>
      </c>
      <c r="BW310" s="338">
        <f>-BW116/BW115</f>
        <v>0</v>
      </c>
      <c r="BX310" s="338">
        <f>-BX116/BX115</f>
        <v>0</v>
      </c>
      <c r="BY310" s="338">
        <f>-BY116/BY115</f>
        <v>0</v>
      </c>
      <c r="CA310" s="338">
        <f>-CA116/CA115</f>
        <v>0</v>
      </c>
      <c r="CB310" s="338">
        <f>-CB116/CB115</f>
        <v>0</v>
      </c>
      <c r="CC310" s="338">
        <f>-CC116/CC115</f>
        <v>0</v>
      </c>
      <c r="CD310" s="338">
        <f>-CD116/CD115</f>
        <v>0</v>
      </c>
      <c r="CF310" s="338">
        <f>-CF116/CF115</f>
        <v>0</v>
      </c>
      <c r="CG310" s="338">
        <f>-CG116/CG115</f>
        <v>0</v>
      </c>
      <c r="CH310" s="338">
        <f>-CH116/CH115</f>
        <v>0</v>
      </c>
      <c r="CI310" s="338">
        <f>-CI116/CI115</f>
        <v>0</v>
      </c>
      <c r="CK310" s="338">
        <f>-CK116/CK115</f>
        <v>0</v>
      </c>
      <c r="CL310" s="338">
        <f>-CL116/CL115</f>
        <v>0</v>
      </c>
      <c r="CM310" s="338">
        <f>-CM116/CM115</f>
        <v>0</v>
      </c>
      <c r="CN310" s="338">
        <f>-CN116/CN115</f>
        <v>0</v>
      </c>
      <c r="CP310" s="338">
        <f>-CP116/CP115</f>
        <v>0</v>
      </c>
      <c r="CQ310" s="338">
        <f>-CQ116/CQ115</f>
        <v>0</v>
      </c>
      <c r="CR310" s="338">
        <f>-CR116/CR115</f>
        <v>0</v>
      </c>
      <c r="CS310" s="338">
        <f>-CS116/CS115</f>
        <v>0</v>
      </c>
      <c r="CU310" s="338">
        <f>-CU116/CU115</f>
        <v>0</v>
      </c>
      <c r="CV310" s="338">
        <f>-CV116/CV115</f>
        <v>0</v>
      </c>
      <c r="CW310" s="338">
        <f>-CW116/CW115</f>
        <v>0</v>
      </c>
      <c r="CX310" s="338">
        <f>-CX116/CX115</f>
        <v>0</v>
      </c>
    </row>
    <row r="311" ht="12.75" customFormat="1" customHeight="1" s="333">
      <c r="A311" s="334" t="n"/>
      <c r="B311" s="334" t="n"/>
    </row>
    <row r="312" ht="12.75" customFormat="1" customHeight="1" s="333">
      <c r="A312" s="334" t="n"/>
      <c r="B312" s="334" t="n"/>
      <c r="C312" s="331" t="inlineStr">
        <is>
          <t>CAPITAL STRUCTURE</t>
        </is>
      </c>
    </row>
    <row r="313" ht="12.75" customFormat="1" customHeight="1" s="333">
      <c r="A313" s="334" t="n"/>
      <c r="B313" s="334" t="n"/>
      <c r="C313" s="333" t="inlineStr">
        <is>
          <t>MARKET DEBT / EQUITY</t>
        </is>
      </c>
    </row>
    <row r="314" ht="12.75" customFormat="1" customHeight="1" s="333">
      <c r="A314" s="334" t="n"/>
      <c r="B314" s="334" t="n"/>
      <c r="C314" s="333" t="inlineStr">
        <is>
          <t>NET DEBT / (NET DEBT + MARKET CAP)</t>
        </is>
      </c>
    </row>
    <row r="315" ht="12.75" customFormat="1" customHeight="1" s="333">
      <c r="A315" s="334" t="n"/>
      <c r="B315" s="334" t="n"/>
    </row>
    <row r="316" ht="12.75" customFormat="1" customHeight="1" s="333">
      <c r="A316" s="334" t="n"/>
      <c r="B316" s="334" t="n"/>
      <c r="C316" s="331" t="inlineStr">
        <is>
          <t>FINANCIAL RISK RATIOS</t>
        </is>
      </c>
    </row>
    <row r="317" ht="12.75" customFormat="1" customHeight="1" s="333">
      <c r="A317" s="334" t="n"/>
      <c r="B317" s="334" t="n"/>
      <c r="C317" s="333" t="inlineStr">
        <is>
          <t>EBITDA / TOTAL INTEREST</t>
        </is>
      </c>
      <c r="D317" s="339">
        <f>D54/-D59</f>
        <v>48.6764705882353</v>
      </c>
      <c r="E317" s="339">
        <f>E54/-E59</f>
        <v>42.1891891891892</v>
      </c>
      <c r="F317" s="339">
        <f>F54/-F59</f>
        <v>47.7254901960784</v>
      </c>
      <c r="G317" s="339">
        <f>G54/-G59</f>
        <v>47.025641025641</v>
      </c>
      <c r="I317" s="339">
        <f>I54/-I59</f>
        <v>43.9</v>
      </c>
      <c r="J317" s="339">
        <f>J54/-J59</f>
        <v>51.625</v>
      </c>
      <c r="K317" s="339">
        <f>K54/-K59</f>
        <v>54.5</v>
      </c>
      <c r="L317" s="339">
        <f>L54/-L59</f>
        <v>54.4871794871795</v>
      </c>
      <c r="N317" s="339">
        <f>N54/-N59</f>
        <v>62.4444444444444</v>
      </c>
      <c r="O317" s="339">
        <f>O54/-O59</f>
        <v>63.6857142857143</v>
      </c>
      <c r="P317" s="339">
        <f>P54/-P59</f>
        <v>64.3958333333333</v>
      </c>
      <c r="Q317" s="339">
        <f>Q54/-Q59</f>
        <v>64.6470588235294</v>
      </c>
      <c r="S317" s="339">
        <f>S54/-S59</f>
        <v>69.7941176470588</v>
      </c>
      <c r="T317" s="339">
        <f>T54/-T59</f>
        <v>59.75</v>
      </c>
      <c r="U317" s="339">
        <f>U54/-U59</f>
        <v>61.9464285714286</v>
      </c>
      <c r="V317" s="339">
        <f>V54/-V59</f>
        <v>65.3947368421053</v>
      </c>
      <c r="X317" s="339">
        <f>X54/-X59</f>
        <v>62.8292682926829</v>
      </c>
      <c r="Y317" s="339">
        <f>Y54/-Y59</f>
        <v>66.1707317073171</v>
      </c>
      <c r="Z317" s="339">
        <f>Z54/-Z59</f>
        <v>76.4897959183674</v>
      </c>
      <c r="AA317" s="339">
        <f>AA54/-AA59</f>
        <v>74.1621621621622</v>
      </c>
      <c r="AC317" s="339">
        <f>AC54/-AC59</f>
        <v>79.6666666666667</v>
      </c>
      <c r="AD317" s="339">
        <f>AD54/-AD59</f>
        <v>88.0571428571429</v>
      </c>
      <c r="AE317" s="339">
        <f>AE54/-AE59</f>
        <v>89.4565217391304</v>
      </c>
      <c r="AF317" s="339">
        <f>AF54/-AF59</f>
        <v>87.4285714285714</v>
      </c>
      <c r="AH317" s="339">
        <f>AH54/-AH59</f>
        <v>97.0606060606061</v>
      </c>
      <c r="AI317" s="339">
        <f>AI54/-AI59</f>
        <v>106.625</v>
      </c>
      <c r="AJ317" s="339" t="e">
        <f>AJ54/-AJ59</f>
        <v>#DIV/0!</v>
      </c>
      <c r="AK317" s="339" t="e">
        <f>AK54/-AK59</f>
        <v>#DIV/0!</v>
      </c>
      <c r="AM317" s="339" t="e">
        <f>AM54/-AM59</f>
        <v>#DIV/0!</v>
      </c>
      <c r="AN317" s="339" t="e">
        <f>AN54/-AN59</f>
        <v>#DIV/0!</v>
      </c>
      <c r="AO317" s="339" t="e">
        <f>AO54/-AO59</f>
        <v>#DIV/0!</v>
      </c>
      <c r="AP317" s="339" t="e">
        <f>AP54/-AP59</f>
        <v>#DIV/0!</v>
      </c>
      <c r="AR317" s="339" t="e">
        <f>AR54/-AR59</f>
        <v>#DIV/0!</v>
      </c>
      <c r="AS317" s="339" t="e">
        <f>AS54/-AS59</f>
        <v>#DIV/0!</v>
      </c>
      <c r="AT317" s="339" t="e">
        <f>AT54/-AT59</f>
        <v>#DIV/0!</v>
      </c>
      <c r="AU317" s="339" t="e">
        <f>AU54/-AU59</f>
        <v>#DIV/0!</v>
      </c>
      <c r="AW317" s="339" t="e">
        <f>AW54/-AW59</f>
        <v>#DIV/0!</v>
      </c>
      <c r="AX317" s="339" t="e">
        <f>AX54/-AX59</f>
        <v>#DIV/0!</v>
      </c>
      <c r="AY317" s="339" t="e">
        <f>AY54/-AY59</f>
        <v>#DIV/0!</v>
      </c>
      <c r="AZ317" s="339" t="e">
        <f>AZ54/-AZ59</f>
        <v>#DIV/0!</v>
      </c>
      <c r="BB317" s="339" t="e">
        <f>BB54/-BB59</f>
        <v>#DIV/0!</v>
      </c>
      <c r="BC317" s="339" t="e">
        <f>BC54/-BC59</f>
        <v>#DIV/0!</v>
      </c>
      <c r="BD317" s="339" t="e">
        <f>BD54/-BD59</f>
        <v>#DIV/0!</v>
      </c>
      <c r="BE317" s="339" t="e">
        <f>BE54/-BE59</f>
        <v>#DIV/0!</v>
      </c>
      <c r="BG317" s="339" t="e">
        <f>BG54/-BG59</f>
        <v>#DIV/0!</v>
      </c>
      <c r="BH317" s="339" t="e">
        <f>BH54/-BH59</f>
        <v>#DIV/0!</v>
      </c>
      <c r="BI317" s="339" t="e">
        <f>BI54/-BI59</f>
        <v>#DIV/0!</v>
      </c>
      <c r="BJ317" s="339" t="e">
        <f>BJ54/-BJ59</f>
        <v>#DIV/0!</v>
      </c>
      <c r="BL317" s="339" t="e">
        <f>BL54/-BL59</f>
        <v>#DIV/0!</v>
      </c>
      <c r="BM317" s="339" t="e">
        <f>BM54/-BM59</f>
        <v>#DIV/0!</v>
      </c>
      <c r="BN317" s="339" t="e">
        <f>BN54/-BN59</f>
        <v>#DIV/0!</v>
      </c>
      <c r="BO317" s="339" t="e">
        <f>BO54/-BO59</f>
        <v>#DIV/0!</v>
      </c>
      <c r="BQ317" s="339" t="e">
        <f>BQ54/-BQ59</f>
        <v>#DIV/0!</v>
      </c>
      <c r="BR317" s="339" t="e">
        <f>BR54/-BR59</f>
        <v>#DIV/0!</v>
      </c>
      <c r="BS317" s="339" t="e">
        <f>BS54/-BS59</f>
        <v>#DIV/0!</v>
      </c>
      <c r="BT317" s="339" t="e">
        <f>BT54/-BT59</f>
        <v>#DIV/0!</v>
      </c>
      <c r="BV317" s="339" t="e">
        <f>BV54/-BV59</f>
        <v>#DIV/0!</v>
      </c>
      <c r="BW317" s="339" t="e">
        <f>BW54/-BW59</f>
        <v>#DIV/0!</v>
      </c>
      <c r="BX317" s="339" t="e">
        <f>BX54/-BX59</f>
        <v>#DIV/0!</v>
      </c>
      <c r="BY317" s="339" t="e">
        <f>BY54/-BY59</f>
        <v>#DIV/0!</v>
      </c>
      <c r="CA317" s="339" t="e">
        <f>CA54/-CA59</f>
        <v>#DIV/0!</v>
      </c>
      <c r="CB317" s="339" t="e">
        <f>CB54/-CB59</f>
        <v>#DIV/0!</v>
      </c>
      <c r="CC317" s="339" t="e">
        <f>CC54/-CC59</f>
        <v>#DIV/0!</v>
      </c>
      <c r="CD317" s="339" t="e">
        <f>CD54/-CD59</f>
        <v>#DIV/0!</v>
      </c>
      <c r="CF317" s="339" t="e">
        <f>CF54/-CF59</f>
        <v>#DIV/0!</v>
      </c>
      <c r="CG317" s="339" t="e">
        <f>CG54/-CG59</f>
        <v>#DIV/0!</v>
      </c>
      <c r="CH317" s="339" t="e">
        <f>CH54/-CH59</f>
        <v>#DIV/0!</v>
      </c>
      <c r="CI317" s="339" t="e">
        <f>CI54/-CI59</f>
        <v>#DIV/0!</v>
      </c>
      <c r="CK317" s="339" t="e">
        <f>CK54/-CK59</f>
        <v>#DIV/0!</v>
      </c>
      <c r="CL317" s="339" t="e">
        <f>CL54/-CL59</f>
        <v>#DIV/0!</v>
      </c>
      <c r="CM317" s="339" t="e">
        <f>CM54/-CM59</f>
        <v>#DIV/0!</v>
      </c>
      <c r="CN317" s="339" t="e">
        <f>CN54/-CN59</f>
        <v>#DIV/0!</v>
      </c>
      <c r="CP317" s="339" t="e">
        <f>CP54/-CP59</f>
        <v>#DIV/0!</v>
      </c>
      <c r="CQ317" s="339" t="e">
        <f>CQ54/-CQ59</f>
        <v>#DIV/0!</v>
      </c>
      <c r="CR317" s="339" t="e">
        <f>CR54/-CR59</f>
        <v>#DIV/0!</v>
      </c>
      <c r="CS317" s="339" t="e">
        <f>CS54/-CS59</f>
        <v>#DIV/0!</v>
      </c>
      <c r="CU317" s="339" t="e">
        <f>CU54/-CU59</f>
        <v>#DIV/0!</v>
      </c>
      <c r="CV317" s="339" t="e">
        <f>CV54/-CV59</f>
        <v>#DIV/0!</v>
      </c>
      <c r="CW317" s="339" t="e">
        <f>CW54/-CW59</f>
        <v>#DIV/0!</v>
      </c>
      <c r="CX317" s="339" t="e">
        <f>CX54/-CX59</f>
        <v>#DIV/0!</v>
      </c>
    </row>
    <row r="318" ht="12.75" customFormat="1" customHeight="1" s="333">
      <c r="A318" s="334" t="n"/>
      <c r="B318" s="334" t="n"/>
      <c r="C318" s="333" t="inlineStr">
        <is>
          <t>(EBITDA - CAPEX) / TOTAL INTEREST</t>
        </is>
      </c>
      <c r="D318" s="339">
        <f>(D54-D153)/-D59</f>
        <v>48.6764705882353</v>
      </c>
      <c r="E318" s="339">
        <f>(E54-E153)/-E59</f>
        <v>30.6216216216216</v>
      </c>
      <c r="F318" s="339">
        <f>(F54-F153)/-F59</f>
        <v>32.3333333333333</v>
      </c>
      <c r="G318" s="339">
        <f>(G54-G153)/-G59</f>
        <v>24.3333333333333</v>
      </c>
      <c r="I318" s="339">
        <f>(I54-I153)/-I59</f>
        <v>27.425</v>
      </c>
      <c r="J318" s="339">
        <f>(J54-J153)/-J59</f>
        <v>25.425</v>
      </c>
      <c r="K318" s="339">
        <f>(K54-K153)/-K59</f>
        <v>37.6923076923077</v>
      </c>
      <c r="L318" s="339">
        <f>(L54-L153)/-L59</f>
        <v>33.2820512820513</v>
      </c>
      <c r="N318" s="339">
        <f>(N54-N153)/-N59</f>
        <v>45.75</v>
      </c>
      <c r="O318" s="339">
        <f>(O54-O153)/-O59</f>
        <v>48.5714285714286</v>
      </c>
      <c r="P318" s="339">
        <f>(P54-P153)/-P59</f>
        <v>41.5416666666667</v>
      </c>
      <c r="Q318" s="339">
        <f>(Q54-Q153)/-Q59</f>
        <v>36.8529411764706</v>
      </c>
      <c r="S318" s="339">
        <f>(S54-S153)/-S59</f>
        <v>38.9117647058824</v>
      </c>
      <c r="T318" s="339">
        <f>(T54-T153)/-T59</f>
        <v>40.8888888888889</v>
      </c>
      <c r="U318" s="339">
        <f>(U54-U153)/-U59</f>
        <v>36.2142857142857</v>
      </c>
      <c r="V318" s="339">
        <f>(V54-V153)/-V59</f>
        <v>39.4736842105263</v>
      </c>
      <c r="X318" s="339">
        <f>(X54-X153)/-X59</f>
        <v>39.7317073170732</v>
      </c>
      <c r="Y318" s="339">
        <f>(Y54-Y153)/-Y59</f>
        <v>42.3414634146342</v>
      </c>
      <c r="Z318" s="339">
        <f>(Z54-Z153)/-Z59</f>
        <v>42.2857142857143</v>
      </c>
      <c r="AA318" s="339">
        <f>(AA54-AA153)/-AA59</f>
        <v>51.1351351351351</v>
      </c>
      <c r="AC318" s="339">
        <f>(AC54-AC153)/-AC59</f>
        <v>51.1944444444444</v>
      </c>
      <c r="AD318" s="339">
        <f>(AD54-AD153)/-AD59</f>
        <v>50.2</v>
      </c>
      <c r="AE318" s="339">
        <f>(AE54-AE153)/-AE59</f>
        <v>43.7826086956522</v>
      </c>
      <c r="AF318" s="339">
        <f>(AF54-AF153)/-AF59</f>
        <v>50.1714285714286</v>
      </c>
      <c r="AH318" s="339">
        <f>(AH54-AH153)/-AH59</f>
        <v>47.7878787878788</v>
      </c>
      <c r="AI318" s="339">
        <f>(AI54-AI153)/-AI59</f>
        <v>67.71875</v>
      </c>
      <c r="AJ318" s="339" t="e">
        <f>(AJ54-AJ153)/-AJ59</f>
        <v>#DIV/0!</v>
      </c>
      <c r="AK318" s="339" t="e">
        <f>(AK54-AK153)/-AK59</f>
        <v>#DIV/0!</v>
      </c>
      <c r="AM318" s="339" t="e">
        <f>(AM54-AM153)/-AM59</f>
        <v>#DIV/0!</v>
      </c>
      <c r="AN318" s="339" t="e">
        <f>(AN54-AN153)/-AN59</f>
        <v>#DIV/0!</v>
      </c>
      <c r="AO318" s="339" t="e">
        <f>(AO54-AO153)/-AO59</f>
        <v>#DIV/0!</v>
      </c>
      <c r="AP318" s="339" t="e">
        <f>(AP54-AP153)/-AP59</f>
        <v>#DIV/0!</v>
      </c>
      <c r="AR318" s="339" t="e">
        <f>(AR54-AR153)/-AR59</f>
        <v>#DIV/0!</v>
      </c>
      <c r="AS318" s="339" t="e">
        <f>(AS54-AS153)/-AS59</f>
        <v>#DIV/0!</v>
      </c>
      <c r="AT318" s="339" t="e">
        <f>(AT54-AT153)/-AT59</f>
        <v>#DIV/0!</v>
      </c>
      <c r="AU318" s="339" t="e">
        <f>(AU54-AU153)/-AU59</f>
        <v>#DIV/0!</v>
      </c>
      <c r="AW318" s="339" t="e">
        <f>(AW54-AW153)/-AW59</f>
        <v>#DIV/0!</v>
      </c>
      <c r="AX318" s="339" t="e">
        <f>(AX54-AX153)/-AX59</f>
        <v>#DIV/0!</v>
      </c>
      <c r="AY318" s="339" t="e">
        <f>(AY54-AY153)/-AY59</f>
        <v>#DIV/0!</v>
      </c>
      <c r="AZ318" s="339" t="e">
        <f>(AZ54-AZ153)/-AZ59</f>
        <v>#DIV/0!</v>
      </c>
      <c r="BB318" s="339" t="e">
        <f>(BB54-BB153)/-BB59</f>
        <v>#DIV/0!</v>
      </c>
      <c r="BC318" s="339" t="e">
        <f>(BC54-BC153)/-BC59</f>
        <v>#DIV/0!</v>
      </c>
      <c r="BD318" s="339" t="e">
        <f>(BD54-BD153)/-BD59</f>
        <v>#DIV/0!</v>
      </c>
      <c r="BE318" s="339" t="e">
        <f>(BE54-BE153)/-BE59</f>
        <v>#DIV/0!</v>
      </c>
      <c r="BG318" s="339" t="e">
        <f>(BG54-BG153)/-BG59</f>
        <v>#DIV/0!</v>
      </c>
      <c r="BH318" s="339" t="e">
        <f>(BH54-BH153)/-BH59</f>
        <v>#DIV/0!</v>
      </c>
      <c r="BI318" s="339" t="e">
        <f>(BI54-BI153)/-BI59</f>
        <v>#DIV/0!</v>
      </c>
      <c r="BJ318" s="339" t="e">
        <f>(BJ54-BJ153)/-BJ59</f>
        <v>#DIV/0!</v>
      </c>
      <c r="BL318" s="339" t="e">
        <f>(BL54-BL153)/-BL59</f>
        <v>#DIV/0!</v>
      </c>
      <c r="BM318" s="339" t="e">
        <f>(BM54-BM153)/-BM59</f>
        <v>#DIV/0!</v>
      </c>
      <c r="BN318" s="339" t="e">
        <f>(BN54-BN153)/-BN59</f>
        <v>#DIV/0!</v>
      </c>
      <c r="BO318" s="339" t="e">
        <f>(BO54-BO153)/-BO59</f>
        <v>#DIV/0!</v>
      </c>
      <c r="BQ318" s="339" t="e">
        <f>(BQ54-BQ153)/-BQ59</f>
        <v>#DIV/0!</v>
      </c>
      <c r="BR318" s="339" t="e">
        <f>(BR54-BR153)/-BR59</f>
        <v>#DIV/0!</v>
      </c>
      <c r="BS318" s="339" t="e">
        <f>(BS54-BS153)/-BS59</f>
        <v>#DIV/0!</v>
      </c>
      <c r="BT318" s="339" t="e">
        <f>(BT54-BT153)/-BT59</f>
        <v>#DIV/0!</v>
      </c>
      <c r="BV318" s="339" t="e">
        <f>(BV54-BV153)/-BV59</f>
        <v>#DIV/0!</v>
      </c>
      <c r="BW318" s="339" t="e">
        <f>(BW54-BW153)/-BW59</f>
        <v>#DIV/0!</v>
      </c>
      <c r="BX318" s="339" t="e">
        <f>(BX54-BX153)/-BX59</f>
        <v>#DIV/0!</v>
      </c>
      <c r="BY318" s="339" t="e">
        <f>(BY54-BY153)/-BY59</f>
        <v>#DIV/0!</v>
      </c>
      <c r="CA318" s="339" t="e">
        <f>(CA54-CA153)/-CA59</f>
        <v>#DIV/0!</v>
      </c>
      <c r="CB318" s="339" t="e">
        <f>(CB54-CB153)/-CB59</f>
        <v>#DIV/0!</v>
      </c>
      <c r="CC318" s="339" t="e">
        <f>(CC54-CC153)/-CC59</f>
        <v>#DIV/0!</v>
      </c>
      <c r="CD318" s="339" t="e">
        <f>(CD54-CD153)/-CD59</f>
        <v>#DIV/0!</v>
      </c>
      <c r="CF318" s="339" t="e">
        <f>(CF54-CF153)/-CF59</f>
        <v>#DIV/0!</v>
      </c>
      <c r="CG318" s="339" t="e">
        <f>(CG54-CG153)/-CG59</f>
        <v>#DIV/0!</v>
      </c>
      <c r="CH318" s="339" t="e">
        <f>(CH54-CH153)/-CH59</f>
        <v>#DIV/0!</v>
      </c>
      <c r="CI318" s="339" t="e">
        <f>(CI54-CI153)/-CI59</f>
        <v>#DIV/0!</v>
      </c>
      <c r="CK318" s="339" t="e">
        <f>(CK54-CK153)/-CK59</f>
        <v>#DIV/0!</v>
      </c>
      <c r="CL318" s="339" t="e">
        <f>(CL54-CL153)/-CL59</f>
        <v>#DIV/0!</v>
      </c>
      <c r="CM318" s="339" t="e">
        <f>(CM54-CM153)/-CM59</f>
        <v>#DIV/0!</v>
      </c>
      <c r="CN318" s="339" t="e">
        <f>(CN54-CN153)/-CN59</f>
        <v>#DIV/0!</v>
      </c>
      <c r="CP318" s="339" t="e">
        <f>(CP54-CP153)/-CP59</f>
        <v>#DIV/0!</v>
      </c>
      <c r="CQ318" s="339" t="e">
        <f>(CQ54-CQ153)/-CQ59</f>
        <v>#DIV/0!</v>
      </c>
      <c r="CR318" s="339" t="e">
        <f>(CR54-CR153)/-CR59</f>
        <v>#DIV/0!</v>
      </c>
      <c r="CS318" s="339" t="e">
        <f>(CS54-CS153)/-CS59</f>
        <v>#DIV/0!</v>
      </c>
      <c r="CU318" s="339" t="e">
        <f>(CU54-CU153)/-CU59</f>
        <v>#DIV/0!</v>
      </c>
      <c r="CV318" s="339" t="e">
        <f>(CV54-CV153)/-CV59</f>
        <v>#DIV/0!</v>
      </c>
      <c r="CW318" s="339" t="e">
        <f>(CW54-CW153)/-CW59</f>
        <v>#DIV/0!</v>
      </c>
      <c r="CX318" s="339" t="e">
        <f>(CX54-CX153)/-CX59</f>
        <v>#DIV/0!</v>
      </c>
    </row>
    <row r="319" ht="12.75" customFormat="1" customHeight="1" s="333">
      <c r="A319" s="334" t="n"/>
      <c r="B319" s="334" t="n"/>
      <c r="C319" s="333" t="inlineStr">
        <is>
          <t>TOTAL DEBT / EBITDA LTM</t>
        </is>
      </c>
      <c r="D319" s="339" t="str">
        <f>""</f>
        <v/>
      </c>
      <c r="E319" s="339" t="str">
        <f>""</f>
        <v/>
      </c>
      <c r="F319" s="339" t="str">
        <f>""</f>
        <v/>
      </c>
      <c r="G319" s="339">
        <f>IFERROR(SUM(G197,G198,G199,G202,G220,G223)/(G54+F54+E54+D54),"")</f>
        <v>1.36277391769107</v>
      </c>
      <c r="I319" s="339">
        <f>IFERROR(SUM(I197,I198,I199,I202,I220,I223)/(I54+G54+F54+E54),"")</f>
        <v>1.35372445616348</v>
      </c>
      <c r="J319" s="339">
        <f>IFERROR(SUM(J197,J198,J199,J202,J220,J223)/(J54+I54+G54+F54),"")</f>
        <v>1.2644331808629</v>
      </c>
      <c r="K319" s="339">
        <f>IFERROR(SUM(K197,K198,K199,K202,K220,K223)/(K54+J54+I54+G54),"")</f>
        <v>1.19366238661798</v>
      </c>
      <c r="L319" s="339">
        <f>IFERROR(SUM(L197,L198,L199,L202,L220,L223)/(L54+K54+J54+I54),"")</f>
        <v>1.15205011389522</v>
      </c>
      <c r="N319" s="339">
        <f>IFERROR(SUM(N197,N198,N199,N202,N220,N223)/(N54+L54+K54+J54),"")</f>
        <v>0.997195858498706</v>
      </c>
      <c r="O319" s="339">
        <f>IFERROR(SUM(O197,O198,O199,O202,O220,O223)/(O54+N54+L54+K54),"")</f>
        <v>0.957609156422213</v>
      </c>
      <c r="P319" s="339">
        <f>IFERROR(SUM(P197,P198,P199,P202,P220,P223)/(P54+O54+N54+L54),"")</f>
        <v>0.932528628907459</v>
      </c>
      <c r="Q319" s="339">
        <f>IFERROR(SUM(Q197,Q198,Q199,Q202,Q220,Q223)/(Q54+P54+O54+N54),"")</f>
        <v>0.926274831046488</v>
      </c>
      <c r="S319" s="339">
        <f>IFERROR(SUM(S197,S198,S199,S202,S220,S223)/(S54+Q54+P54+O54),"")</f>
        <v>0.923971287028612</v>
      </c>
      <c r="T319" s="339">
        <f>IFERROR(SUM(T197,T198,T199,T202,T220,T223)/(T54+S54+Q54+P54),"")</f>
        <v>0.917558340976256</v>
      </c>
      <c r="U319" s="339">
        <f>IFERROR(SUM(U197,U198,U199,U202,U220,U223)/(U54+T54+S54+Q54),"")</f>
        <v>0.871749582965362</v>
      </c>
      <c r="V319" s="339">
        <f>IFERROR(SUM(V197,V198,V199,V202,V220,V223)/(V54+U54+T54+S54),"")</f>
        <v>0.892059553349876</v>
      </c>
      <c r="X319" s="339">
        <f>IFERROR(SUM(X197,X198,X199,X202,X220,X223)/(X54+V54+U54+T54),"")</f>
        <v>0.883157007770808</v>
      </c>
      <c r="Y319" s="339">
        <f>IFERROR(SUM(Y197,Y198,Y199,Y202,Y220,Y223)/(Y54+X54+V54+U54),"")</f>
        <v>0.82691452459308</v>
      </c>
      <c r="Z319" s="339">
        <f>IFERROR(SUM(Z197,Z198,Z199,Z202,Z220,Z223)/(Z54+Y54+X54+V54),"")</f>
        <v>0.717930914771741</v>
      </c>
      <c r="AA319" s="339">
        <f>IFERROR(SUM(AA197,AA198,AA199,AA202,AA220,AA223)/(AA54+Z54+Y54+X54),"")</f>
        <v>0.681860623037094</v>
      </c>
      <c r="AC319" s="339">
        <f>IFERROR(SUM(AC197,AC198,AC199,AC202,AC220,AC223)/(AC54+AA54+Z54+Y54),"")</f>
        <v>0.665865981943179</v>
      </c>
      <c r="AD319" s="339">
        <f>IFERROR(SUM(AD197,AD198,AD199,AD202,AD220,AD223)/(AD54+AC54+AA54+Z54),"")</f>
        <v>0.657450570647806</v>
      </c>
      <c r="AE319" s="339">
        <f>IFERROR(SUM(AE197,AE198,AE199,AE202,AE220,AE223)/(AE54+AD54+AC54+AA54),"")</f>
        <v>0.638066984151768</v>
      </c>
      <c r="AF319" s="339">
        <f>IFERROR(SUM(AF197,AF198,AF199,AF202,AF220,AF223)/(AF54+AE54+AD54+AC54),"")</f>
        <v>0.617295238095238</v>
      </c>
      <c r="AH319" s="339">
        <f>IFERROR(SUM(AH197,AH198,AH199,AH202,AH220,AH223)/(AH54+AF54+AE54+AD54),"")</f>
        <v>0.606612184249629</v>
      </c>
      <c r="AI319" s="339">
        <f>IFERROR(SUM(AI197,AI198,AI199,AI202,AI220,AI223)/(AI54+AH54+AF54+AE54),"")</f>
        <v>0.589992748368383</v>
      </c>
      <c r="AJ319" s="339">
        <f>IFERROR(SUM(AJ197,AJ198,AJ199,AJ202,AJ220,AJ223)/(AJ54+AI54+AH54+AF54),"")</f>
        <v>0.84093023255814</v>
      </c>
      <c r="AK319" s="339">
        <f>IFERROR(SUM(AK197,AK198,AK199,AK202,AK220,AK223)/(AK54+AJ54+AI54+AH54),"")</f>
        <v>1.22993197278912</v>
      </c>
      <c r="AM319" s="339">
        <f>IFERROR(SUM(AM197,AM198,AM199,AM202,AM220,AM223)/(AM54+AK54+AJ54+AI54),"")</f>
        <v>2.38452520515827</v>
      </c>
      <c r="AN319" s="339" t="str">
        <f>IFERROR(SUM(AN197,AN198,AN199,AN202,AN220,AN223)/(AN54+AM54+AK54+AJ54),"")</f>
        <v/>
      </c>
      <c r="AO319" s="339" t="str">
        <f>IFERROR(SUM(AO197,AO198,AO199,AO202,AO220,AO223)/(AO54+AN54+AM54+AK54),"")</f>
        <v/>
      </c>
      <c r="AP319" s="339" t="str">
        <f>IFERROR(SUM(AP197,AP198,AP199,AP202,AP220,AP223)/(AP54+AO54+AN54+AM54),"")</f>
        <v/>
      </c>
      <c r="AR319" s="339" t="str">
        <f>IFERROR(SUM(AR197,AR198,AR199,AR202,AR220,AR223)/(AR54+AP54+AO54+AN54),"")</f>
        <v/>
      </c>
      <c r="AS319" s="339" t="str">
        <f>IFERROR(SUM(AS197,AS198,AS199,AS202,AS220,AS223)/(AS54+AR54+AP54+AO54),"")</f>
        <v/>
      </c>
      <c r="AT319" s="339" t="str">
        <f>IFERROR(SUM(AT197,AT198,AT199,AT202,AT220,AT223)/(AT54+AS54+AR54+AP54),"")</f>
        <v/>
      </c>
      <c r="AU319" s="339" t="str">
        <f>IFERROR(SUM(AU197,AU198,AU199,AU202,AU220,AU223)/(AU54+AT54+AS54+AR54),"")</f>
        <v/>
      </c>
      <c r="AW319" s="339" t="str">
        <f>IFERROR(SUM(AW197,AW198,AW199,AW202,AW220,AW223)/(AW54+AU54+AT54+AS54),"")</f>
        <v/>
      </c>
      <c r="AX319" s="339" t="str">
        <f>IFERROR(SUM(AX197,AX198,AX199,AX202,AX220,AX223)/(AX54+AW54+AU54+AT54),"")</f>
        <v/>
      </c>
      <c r="AY319" s="339" t="str">
        <f>IFERROR(SUM(AY197,AY198,AY199,AY202,AY220,AY223)/(AY54+AX54+AW54+AU54),"")</f>
        <v/>
      </c>
      <c r="AZ319" s="339" t="str">
        <f>IFERROR(SUM(AZ197,AZ198,AZ199,AZ202,AZ220,AZ223)/(AZ54+AY54+AX54+AW54),"")</f>
        <v/>
      </c>
      <c r="BB319" s="339" t="str">
        <f>IFERROR(SUM(BB197,BB198,BB199,BB202,BB220,BB223)/(BB54+AZ54+AY54+AX54),"")</f>
        <v/>
      </c>
      <c r="BC319" s="339" t="str">
        <f>IFERROR(SUM(BC197,BC198,BC199,BC202,BC220,BC223)/(BC54+BB54+AZ54+AY54),"")</f>
        <v/>
      </c>
      <c r="BD319" s="339" t="str">
        <f>IFERROR(SUM(BD197,BD198,BD199,BD202,BD220,BD223)/(BD54+BC54+BB54+AZ54),"")</f>
        <v/>
      </c>
      <c r="BE319" s="339" t="str">
        <f>IFERROR(SUM(BE197,BE198,BE199,BE202,BE220,BE223)/(BE54+BD54+BC54+BB54),"")</f>
        <v/>
      </c>
      <c r="BG319" s="339" t="str">
        <f>IFERROR(SUM(BG197,BG198,BG199,BG202,BG220,BG223)/(BG54+BE54+BD54+BC54),"")</f>
        <v/>
      </c>
      <c r="BH319" s="339" t="str">
        <f>IFERROR(SUM(BH197,BH198,BH199,BH202,BH220,BH223)/(BH54+BG54+BE54+BD54),"")</f>
        <v/>
      </c>
      <c r="BI319" s="339" t="str">
        <f>IFERROR(SUM(BI197,BI198,BI199,BI202,BI220,BI223)/(BI54+BH54+BG54+BE54),"")</f>
        <v/>
      </c>
      <c r="BJ319" s="339" t="str">
        <f>IFERROR(SUM(BJ197,BJ198,BJ199,BJ202,BJ220,BJ223)/(BJ54+BI54+BH54+BG54),"")</f>
        <v/>
      </c>
      <c r="BL319" s="339" t="str">
        <f>IFERROR(SUM(BL197,BL198,BL199,BL202,BL220,BL223)/(BL54+BJ54+BI54+BH54),"")</f>
        <v/>
      </c>
      <c r="BM319" s="339" t="str">
        <f>IFERROR(SUM(BM197,BM198,BM199,BM202,BM220,BM223)/(BM54+BL54+BJ54+BI54),"")</f>
        <v/>
      </c>
      <c r="BN319" s="339" t="str">
        <f>IFERROR(SUM(BN197,BN198,BN199,BN202,BN220,BN223)/(BN54+BM54+BL54+BJ54),"")</f>
        <v/>
      </c>
      <c r="BO319" s="339" t="str">
        <f>IFERROR(SUM(BO197,BO198,BO199,BO202,BO220,BO223)/(BO54+BN54+BM54+BL54),"")</f>
        <v/>
      </c>
      <c r="BQ319" s="339" t="str">
        <f>IFERROR(SUM(BQ197,BQ198,BQ199,BQ202,BQ220,BQ223)/(BQ54+BO54+BN54+BM54),"")</f>
        <v/>
      </c>
      <c r="BR319" s="339" t="str">
        <f>IFERROR(SUM(BR197,BR198,BR199,BR202,BR220,BR223)/(BR54+BQ54+BO54+BN54),"")</f>
        <v/>
      </c>
      <c r="BS319" s="339" t="str">
        <f>IFERROR(SUM(BS197,BS198,BS199,BS202,BS220,BS223)/(BS54+BR54+BQ54+BO54),"")</f>
        <v/>
      </c>
      <c r="BT319" s="339" t="str">
        <f>IFERROR(SUM(BT197,BT198,BT199,BT202,BT220,BT223)/(BT54+BS54+BR54+BQ54),"")</f>
        <v/>
      </c>
      <c r="BV319" s="339" t="str">
        <f>IFERROR(SUM(BV197,BV198,BV199,BV202,BV220,BV223)/(BV54+BT54+BS54+BR54),"")</f>
        <v/>
      </c>
      <c r="BW319" s="339" t="str">
        <f>IFERROR(SUM(BW197,BW198,BW199,BW202,BW220,BW223)/(BW54+BV54+BT54+BS54),"")</f>
        <v/>
      </c>
      <c r="BX319" s="339" t="str">
        <f>IFERROR(SUM(BX197,BX198,BX199,BX202,BX220,BX223)/(BX54+BW54+BV54+BT54),"")</f>
        <v/>
      </c>
      <c r="BY319" s="339" t="str">
        <f>IFERROR(SUM(BY197,BY198,BY199,BY202,BY220,BY223)/(BY54+BX54+BW54+BV54),"")</f>
        <v/>
      </c>
      <c r="CA319" s="339" t="str">
        <f>IFERROR(SUM(CA197,CA198,CA199,CA202,CA220,CA223)/(CA54+BY54+BX54+BW54),"")</f>
        <v/>
      </c>
      <c r="CB319" s="339" t="str">
        <f>IFERROR(SUM(CB197,CB198,CB199,CB202,CB220,CB223)/(CB54+CA54+BY54+BX54),"")</f>
        <v/>
      </c>
      <c r="CC319" s="339" t="str">
        <f>IFERROR(SUM(CC197,CC198,CC199,CC202,CC220,CC223)/(CC54+CB54+CA54+BY54),"")</f>
        <v/>
      </c>
      <c r="CD319" s="339" t="str">
        <f>IFERROR(SUM(CD197,CD198,CD199,CD202,CD220,CD223)/(CD54+CC54+CB54+CA54),"")</f>
        <v/>
      </c>
      <c r="CF319" s="339" t="str">
        <f>IFERROR(SUM(CF197,CF198,CF199,CF202,CF220,CF223)/(CF54+CD54+CC54+CB54),"")</f>
        <v/>
      </c>
      <c r="CG319" s="339" t="str">
        <f>IFERROR(SUM(CG197,CG198,CG199,CG202,CG220,CG223)/(CG54+CF54+CD54+CC54),"")</f>
        <v/>
      </c>
      <c r="CH319" s="339" t="str">
        <f>IFERROR(SUM(CH197,CH198,CH199,CH202,CH220,CH223)/(CH54+CG54+CF54+CD54),"")</f>
        <v/>
      </c>
      <c r="CI319" s="339" t="str">
        <f>IFERROR(SUM(CI197,CI198,CI199,CI202,CI220,CI223)/(CI54+CH54+CG54+CF54),"")</f>
        <v/>
      </c>
      <c r="CK319" s="339" t="str">
        <f>IFERROR(SUM(CK197,CK198,CK199,CK202,CK220,CK223)/(CK54+CI54+CH54+CG54),"")</f>
        <v/>
      </c>
      <c r="CL319" s="339" t="str">
        <f>IFERROR(SUM(CL197,CL198,CL199,CL202,CL220,CL223)/(CL54+CK54+CI54+CH54),"")</f>
        <v/>
      </c>
      <c r="CM319" s="339" t="str">
        <f>IFERROR(SUM(CM197,CM198,CM199,CM202,CM220,CM223)/(CM54+CL54+CK54+CI54),"")</f>
        <v/>
      </c>
      <c r="CN319" s="339" t="str">
        <f>IFERROR(SUM(CN197,CN198,CN199,CN202,CN220,CN223)/(CN54+CM54+CL54+CK54),"")</f>
        <v/>
      </c>
      <c r="CP319" s="339" t="str">
        <f>IFERROR(SUM(CP197,CP198,CP199,CP202,CP220,CP223)/(CP54+CN54+CM54+CL54),"")</f>
        <v/>
      </c>
      <c r="CQ319" s="339" t="str">
        <f>IFERROR(SUM(CQ197,CQ198,CQ199,CQ202,CQ220,CQ223)/(CQ54+CP54+CN54+CM54),"")</f>
        <v/>
      </c>
      <c r="CR319" s="339" t="str">
        <f>IFERROR(SUM(CR197,CR198,CR199,CR202,CR220,CR223)/(CR54+CQ54+CP54+CN54),"")</f>
        <v/>
      </c>
      <c r="CS319" s="339" t="str">
        <f>IFERROR(SUM(CS197,CS198,CS199,CS202,CS220,CS223)/(CS54+CR54+CQ54+CP54),"")</f>
        <v/>
      </c>
      <c r="CU319" s="339" t="str">
        <f>IFERROR(SUM(CU197,CU198,CU199,CU202,CU220,CU223)/(CU54+CS54+CR54+CQ54),"")</f>
        <v/>
      </c>
      <c r="CV319" s="339" t="str">
        <f>IFERROR(SUM(CV197,CV198,CV199,CV202,CV220,CV223)/(CV54+CU54+CS54+CR54),"")</f>
        <v/>
      </c>
      <c r="CW319" s="339" t="str">
        <f>IFERROR(SUM(CW197,CW198,CW199,CW202,CW220,CW223)/(CW54+CV54+CU54+CS54),"")</f>
        <v/>
      </c>
      <c r="CX319" s="339" t="str">
        <f>IFERROR(SUM(CX197,CX198,CX199,CX202,CX220,CX223)/(CX54+CW54+CV54+CU54),"")</f>
        <v/>
      </c>
    </row>
    <row r="320" ht="12.75" customFormat="1" customHeight="1" s="333">
      <c r="A320" s="334" t="n"/>
      <c r="B320" s="334" t="n"/>
      <c r="C320" s="333" t="inlineStr">
        <is>
          <t>TOTAL DEBT / TOTAL CAPITALIZATION</t>
        </is>
      </c>
      <c r="D320" s="337">
        <f>SUM(D197+D198+D199+D202+D220+D223)/(SUM(D197+D198+D199+D202+D220+D223)+D256)</f>
        <v>0.321234627056381</v>
      </c>
      <c r="E320" s="337">
        <f>SUM(E197+E198+E199+E202+E220+E223)/(SUM(E197+E198+E199+E202+E220+E223)+E256)</f>
        <v>0.403357264245829</v>
      </c>
      <c r="F320" s="337">
        <f>SUM(F197+F198+F199+F202+F220+F223)/(SUM(F197+F198+F199+F202+F220+F223)+F256)</f>
        <v>0.352140482128013</v>
      </c>
      <c r="G320" s="337">
        <f>SUM(G197+G198+G199+G202+G220+G223)/(SUM(G197+G198+G199+G202+G220+G223)+G256)</f>
        <v>0.399835345773875</v>
      </c>
      <c r="I320" s="337">
        <f>SUM(I197+I198+I199+I202+I220+I223)/(SUM(I197+I198+I199+I202+I220+I223)+I256)</f>
        <v>0.388983596620828</v>
      </c>
      <c r="J320" s="337">
        <f>SUM(J197+J198+J199+J202+J220+J223)/(SUM(J197+J198+J199+J202+J220+J223)+J256)</f>
        <v>0.376001764576134</v>
      </c>
      <c r="K320" s="337">
        <f>SUM(K197+K198+K199+K202+K220+K223)/(SUM(K197+K198+K199+K202+K220+K223)+K256)</f>
        <v>0.359186133068661</v>
      </c>
      <c r="L320" s="337">
        <f>SUM(L197+L198+L199+L202+L220+L223)/(SUM(L197+L198+L199+L202+L220+L223)+L256)</f>
        <v>0.347415421603984</v>
      </c>
      <c r="N320" s="337">
        <f>SUM(N197+N198+N199+N202+N220+N223)/(SUM(N197+N198+N199+N202+N220+N223)+N256)</f>
        <v>0.316405447950175</v>
      </c>
      <c r="O320" s="337">
        <f>SUM(O197+O198+O199+O202+O220+O223)/(SUM(O197+O198+O199+O202+O220+O223)+O256)</f>
        <v>0.305797150495787</v>
      </c>
      <c r="P320" s="337">
        <f>SUM(P197+P198+P199+P202+P220+P223)/(SUM(P197+P198+P199+P202+P220+P223)+P256)</f>
        <v>0.304486963551843</v>
      </c>
      <c r="Q320" s="337">
        <f>SUM(Q197+Q198+Q199+Q202+Q220+Q223)/(SUM(Q197+Q198+Q199+Q202+Q220+Q223)+Q256)</f>
        <v>0.296376384247428</v>
      </c>
      <c r="S320" s="337">
        <f>SUM(S197+S198+S199+S202+S220+S223)/(SUM(S197+S198+S199+S202+S220+S223)+S256)</f>
        <v>0.286148162063999</v>
      </c>
      <c r="T320" s="337">
        <f>SUM(T197+T198+T199+T202+T220+T223)/(SUM(T197+T198+T199+T202+T220+T223)+T256)</f>
        <v>0.276391319028763</v>
      </c>
      <c r="U320" s="337">
        <f>SUM(U197+U198+U199+U202+U220+U223)/(SUM(U197+U198+U199+U202+U220+U223)+U256)</f>
        <v>0.261740616345531</v>
      </c>
      <c r="V320" s="337">
        <f>SUM(V197+V198+V199+V202+V220+V223)/(SUM(V197+V198+V199+V202+V220+V223)+V256)</f>
        <v>0.26334028286471</v>
      </c>
      <c r="X320" s="337">
        <f>SUM(X197+X198+X199+X202+X220+X223)/(SUM(X197+X198+X199+X202+X220+X223)+X256)</f>
        <v>0.31242340939953</v>
      </c>
      <c r="Y320" s="337">
        <f>SUM(Y197+Y198+Y199+Y202+Y220+Y223)/(SUM(Y197+Y198+Y199+Y202+Y220+Y223)+Y256)</f>
        <v>0.299246813441483</v>
      </c>
      <c r="Z320" s="337">
        <f>SUM(Z197+Z198+Z199+Z202+Z220+Z223)/(SUM(Z197+Z198+Z199+Z202+Z220+Z223)+Z256)</f>
        <v>0.259359127108547</v>
      </c>
      <c r="AA320" s="337">
        <f>SUM(AA197+AA198+AA199+AA202+AA220+AA223)/(SUM(AA197+AA198+AA199+AA202+AA220+AA223)+AA256)</f>
        <v>0.247290974017978</v>
      </c>
      <c r="AC320" s="337">
        <f>SUM(AC197+AC198+AC199+AC202+AC220+AC223)/(SUM(AC197+AC198+AC199+AC202+AC220+AC223)+AC256)</f>
        <v>0.239142075202285</v>
      </c>
      <c r="AD320" s="337">
        <f>SUM(AD197+AD198+AD199+AD202+AD220+AD223)/(SUM(AD197+AD198+AD199+AD202+AD220+AD223)+AD256)</f>
        <v>0.231695227304914</v>
      </c>
      <c r="AE320" s="337">
        <f>SUM(AE197+AE198+AE199+AE202+AE220+AE223)/(SUM(AE197+AE198+AE199+AE202+AE220+AE223)+AE256)</f>
        <v>0.218898143932292</v>
      </c>
      <c r="AF320" s="337">
        <f>SUM(AF197+AF198+AF199+AF202+AF220+AF223)/(SUM(AF197+AF198+AF199+AF202+AF220+AF223)+AF256)</f>
        <v>0.210962114308033</v>
      </c>
      <c r="AH320" s="337">
        <f>SUM(AH197+AH198+AH199+AH202+AH220+AH223)/(SUM(AH197+AH198+AH199+AH202+AH220+AH223)+AH256)</f>
        <v>0.20284706349995</v>
      </c>
      <c r="AI320" s="337">
        <f>SUM(AI197+AI198+AI199+AI202+AI220+AI223)/(SUM(AI197+AI198+AI199+AI202+AI220+AI223)+AI256)</f>
        <v>0.195365590106856</v>
      </c>
      <c r="AJ320" s="337">
        <f>SUM(AJ197+AJ198+AJ199+AJ202+AJ220+AJ223)/(SUM(AJ197+AJ198+AJ199+AJ202+AJ220+AJ223)+AJ256)</f>
        <v>0.194673749192449</v>
      </c>
      <c r="AK320" s="337">
        <f>SUM(AK197+AK198+AK199+AK202+AK220+AK223)/(SUM(AK197+AK198+AK199+AK202+AK220+AK223)+AK256)</f>
        <v>0.193954419757795</v>
      </c>
      <c r="AM320" s="337">
        <f>SUM(AM197+AM198+AM199+AM202+AM220+AM223)/(SUM(AM197+AM198+AM199+AM202+AM220+AM223)+AM256)</f>
        <v>0.193240386670784</v>
      </c>
      <c r="AN320" s="337">
        <f>SUM(AN197+AN198+AN199+AN202+AN220+AN223)/(SUM(AN197+AN198+AN199+AN202+AN220+AN223)+AN256)</f>
        <v>0.190498489779672</v>
      </c>
      <c r="AO320" s="337">
        <f>SUM(AO197+AO198+AO199+AO202+AO220+AO223)/(SUM(AO197+AO198+AO199+AO202+AO220+AO223)+AO256)</f>
        <v>0.189809630459127</v>
      </c>
      <c r="AP320" s="337">
        <f>SUM(AP197+AP198+AP199+AP202+AP220+AP223)/(SUM(AP197+AP198+AP199+AP202+AP220+AP223)+AP256)</f>
        <v>0.187163561076605</v>
      </c>
      <c r="AR320" s="337">
        <f>SUM(AR197+AR198+AR199+AR202+AR220+AR223)/(SUM(AR197+AR198+AR199+AR202+AR220+AR223)+AR256)</f>
        <v>0.18459025319902</v>
      </c>
      <c r="AS320" s="337">
        <f>SUM(AS197+AS198+AS199+AS202+AS220+AS223)/(SUM(AS197+AS198+AS199+AS202+AS220+AS223)+AS256)</f>
        <v>0.178428878459582</v>
      </c>
      <c r="AT320" s="337">
        <f>SUM(AT197+AT198+AT199+AT202+AT220+AT223)/(SUM(AT197+AT198+AT199+AT202+AT220+AT223)+AT256)</f>
        <v>0.176088650333304</v>
      </c>
      <c r="AU320" s="337">
        <f>SUM(AU197+AU198+AU199+AU202+AU220+AU223)/(SUM(AU197+AU198+AU199+AU202+AU220+AU223)+AU256)</f>
        <v>0.170473117378368</v>
      </c>
      <c r="AW320" s="337">
        <f>SUM(AW197+AW198+AW199+AW202+AW220+AW223)/(SUM(AW197+AW198+AW199+AW202+AW220+AW223)+AW256)</f>
        <v>0.165204678362573</v>
      </c>
      <c r="AX320" s="337">
        <f>SUM(AX197+AX198+AX199+AX202+AX220+AX223)/(SUM(AX197+AX198+AX199+AX202+AX220+AX223)+AX256)</f>
        <v>0.152063397129187</v>
      </c>
      <c r="AY320" s="337">
        <f>SUM(AY197+AY198+AY199+AY202+AY220+AY223)/(SUM(AY197+AY198+AY199+AY202+AY220+AY223)+AY256)</f>
        <v>0.147857376512921</v>
      </c>
      <c r="AZ320" s="337">
        <f>SUM(AZ197+AZ198+AZ199+AZ202+AZ220+AZ223)/(SUM(AZ197+AZ198+AZ199+AZ202+AZ220+AZ223)+AZ256)</f>
        <v>0.137242333254614</v>
      </c>
      <c r="BB320" s="337">
        <f>SUM(BB197+BB198+BB199+BB202+BB220+BB223)/(SUM(BB197+BB198+BB199+BB202+BB220+BB223)+BB256)</f>
        <v>0.128049356290724</v>
      </c>
      <c r="BC320" s="337">
        <f>SUM(BC197+BC198+BC199+BC202+BC220+BC223)/(SUM(BC197+BC198+BC199+BC202+BC220+BC223)+BC256)</f>
        <v>0.108344208591898</v>
      </c>
      <c r="BD320" s="337">
        <f>SUM(BD197+BD198+BD199+BD202+BD220+BD223)/(SUM(BD197+BD198+BD199+BD202+BD220+BD223)+BD256)</f>
        <v>0.102533081285444</v>
      </c>
      <c r="BE320" s="337">
        <f>SUM(BE197+BE198+BE199+BE202+BE220+BE223)/(SUM(BE197+BE198+BE199+BE202+BE220+BE223)+BE256)</f>
        <v>0.0894990429674609</v>
      </c>
      <c r="BG320" s="337">
        <f>SUM(BG197+BG198+BG199+BG202+BG220+BG223)/(SUM(BG197+BG198+BG199+BG202+BG220+BG223)+BG256)</f>
        <v>0.0794050477250103</v>
      </c>
      <c r="BH320" s="337">
        <f>SUM(BH197+BH198+BH199+BH202+BH220+BH223)/(SUM(BH197+BH198+BH199+BH202+BH220+BH223)+BH256)</f>
        <v>0.060677475649956</v>
      </c>
      <c r="BI320" s="337">
        <f>SUM(BI197+BI198+BI199+BI202+BI220+BI223)/(SUM(BI197+BI198+BI199+BI202+BI220+BI223)+BI256)</f>
        <v>0.0558630065503083</v>
      </c>
      <c r="BJ320" s="337">
        <f>SUM(BJ197+BJ198+BJ199+BJ202+BJ220+BJ223)/(SUM(BJ197+BJ198+BJ199+BJ202+BJ220+BJ223)+BJ256)</f>
        <v>0.0458971263524872</v>
      </c>
      <c r="BL320" s="337">
        <f>SUM(BL197+BL198+BL199+BL202+BL220+BL223)/(SUM(BL197+BL198+BL199+BL202+BL220+BL223)+BL256)</f>
        <v>0.0389487289961224</v>
      </c>
      <c r="BM320" s="337">
        <f>SUM(BM197+BM198+BM199+BM202+BM220+BM223)/(SUM(BM197+BM198+BM199+BM202+BM220+BM223)+BM256)</f>
        <v>0.0275563082133785</v>
      </c>
      <c r="BN320" s="337">
        <f>SUM(BN197+BN198+BN199+BN202+BN220+BN223)/(SUM(BN197+BN198+BN199+BN202+BN220+BN223)+BN256)</f>
        <v>0.0248903247122745</v>
      </c>
      <c r="BO320" s="337">
        <f>SUM(BO197+BO198+BO199+BO202+BO220+BO223)/(SUM(BO197+BO198+BO199+BO202+BO220+BO223)+BO256)</f>
        <v>0.0196886025835241</v>
      </c>
      <c r="BQ320" s="337">
        <f>SUM(BQ197+BQ198+BQ199+BQ202+BQ220+BQ223)/(SUM(BQ197+BQ198+BQ199+BQ202+BQ220+BQ223)+BQ256)</f>
        <v>0.0162852236015645</v>
      </c>
      <c r="BR320" s="337">
        <f>SUM(BR197+BR198+BR199+BR202+BR220+BR223)/(SUM(BR197+BR198+BR199+BR202+BR220+BR223)+BR256)</f>
        <v>0.0110609302818797</v>
      </c>
      <c r="BS320" s="337">
        <f>SUM(BS197+BS198+BS199+BS202+BS220+BS223)/(SUM(BS197+BS198+BS199+BS202+BS220+BS223)+BS256)</f>
        <v>0.00989874951637747</v>
      </c>
      <c r="BT320" s="337">
        <f>SUM(BT197+BT198+BT199+BT202+BT220+BT223)/(SUM(BT197+BT198+BT199+BT202+BT220+BT223)+BT256)</f>
        <v>0.00769078070498823</v>
      </c>
      <c r="BV320" s="337">
        <f>SUM(BV197+BV198+BV199+BV202+BV220+BV223)/(SUM(BV197+BV198+BV199+BV202+BV220+BV223)+BV256)</f>
        <v>0.0062881707266176</v>
      </c>
      <c r="BW320" s="337">
        <f>SUM(BW197+BW198+BW199+BW202+BW220+BW223)/(SUM(BW197+BW198+BW199+BW202+BW220+BW223)+BW256)</f>
        <v>0.00419702927087449</v>
      </c>
      <c r="BX320" s="337">
        <f>SUM(BX197+BX198+BX199+BX202+BX220+BX223)/(SUM(BX197+BX198+BX199+BX202+BX220+BX223)+BX256)</f>
        <v>0.0037415807534852</v>
      </c>
      <c r="BY320" s="337">
        <f>SUM(BY197+BY198+BY199+BY202+BY220+BY223)/(SUM(BY197+BY198+BY199+BY202+BY220+BY223)+BY256)</f>
        <v>0.00288598855394805</v>
      </c>
      <c r="CA320" s="337">
        <f>SUM(CA197+CA198+CA199+CA202+CA220+CA223)/(SUM(CA197+CA198+CA199+CA202+CA220+CA223)+CA256)</f>
        <v>0.00234886947664902</v>
      </c>
      <c r="CB320" s="337">
        <f>SUM(CB197+CB198+CB199+CB202+CB220+CB223)/(SUM(CB197+CB198+CB199+CB202+CB220+CB223)+CB256)</f>
        <v>0.00155711667006696</v>
      </c>
      <c r="CC320" s="337">
        <f>SUM(CC197+CC198+CC199+CC202+CC220+CC223)/(SUM(CC197+CC198+CC199+CC202+CC220+CC223)+CC256)</f>
        <v>0.0013861019766264</v>
      </c>
      <c r="CD320" s="337">
        <f>SUM(CD197+CD198+CD199+CD202+CD220+CD223)/(SUM(CD197+CD198+CD199+CD202+CD220+CD223)+CD256)</f>
        <v>0.00106618497890039</v>
      </c>
      <c r="CF320" s="337">
        <f>SUM(CF197+CF198+CF199+CF202+CF220+CF223)/(SUM(CF197+CF198+CF199+CF202+CF220+CF223)+CF256)</f>
        <v>0.000866251272066995</v>
      </c>
      <c r="CG320" s="337">
        <f>SUM(CG197+CG198+CG199+CG202+CG220+CG223)/(SUM(CG197+CG198+CG199+CG202+CG220+CG223)+CG256)</f>
        <v>0.000572796314728765</v>
      </c>
      <c r="CH320" s="337">
        <f>SUM(CH197+CH198+CH199+CH202+CH220+CH223)/(SUM(CH197+CH198+CH199+CH202+CH220+CH223)+CH256)</f>
        <v>0.000509606802273688</v>
      </c>
      <c r="CI320" s="337">
        <f>SUM(CI197+CI198+CI199+CI202+CI220+CI223)/(SUM(CI197+CI198+CI199+CI202+CI220+CI223)+CI256)</f>
        <v>0.000391585757714109</v>
      </c>
      <c r="CK320" s="337">
        <f>SUM(CK197+CK198+CK199+CK202+CK220+CK223)/(SUM(CK197+CK198+CK199+CK202+CK220+CK223)+CK256)</f>
        <v>0.000317950783751027</v>
      </c>
      <c r="CL320" s="337">
        <f>SUM(CL197+CL198+CL199+CL202+CL220+CL223)/(SUM(CL197+CL198+CL199+CL202+CL220+CL223)+CL256)</f>
        <v>0.000210042716430612</v>
      </c>
      <c r="CM320" s="337">
        <f>SUM(CM197+CM198+CM199+CM202+CM220+CM223)/(SUM(CM197+CM198+CM199+CM202+CM220+CM223)+CM256)</f>
        <v>0.000186833535774603</v>
      </c>
      <c r="CN320" s="337">
        <f>SUM(CN197+CN198+CN199+CN202+CN220+CN223)/(SUM(CN197+CN198+CN199+CN202+CN220+CN223)+CN256)</f>
        <v>0.00014351003894703</v>
      </c>
      <c r="CP320" s="337">
        <f>SUM(CP197+CP198+CP199+CP202+CP220+CP223)/(SUM(CP197+CP198+CP199+CP202+CP220+CP223)+CP256)</f>
        <v>0.000116496496728691</v>
      </c>
      <c r="CQ320" s="337">
        <f>SUM(CQ197+CQ198+CQ199+CQ202+CQ220+CQ223)/(SUM(CQ197+CQ198+CQ199+CQ202+CQ220+CQ223)+CQ256)</f>
        <v>7.69326418599242e-05</v>
      </c>
      <c r="CR320" s="337">
        <f>SUM(CR197+CR198+CR199+CR202+CR220+CR223)/(SUM(CR197+CR198+CR199+CR202+CR220+CR223)+CR256)</f>
        <v>6.84266961607931e-05</v>
      </c>
      <c r="CS320" s="337">
        <f>SUM(CS197+CS198+CS199+CS202+CS220+CS223)/(SUM(CS197+CS198+CS199+CS202+CS220+CS223)+CS256)</f>
        <v>5.25524354908197e-05</v>
      </c>
      <c r="CU320" s="337">
        <f>SUM(CU197+CU198+CU199+CU202+CU220+CU223)/(SUM(CU197+CU198+CU199+CU202+CU220+CU223)+CU256)</f>
        <v>4.26565684546015e-05</v>
      </c>
      <c r="CV320" s="337">
        <f>SUM(CV197+CV198+CV199+CV202+CV220+CV223)/(SUM(CV197+CV198+CV199+CV202+CV220+CV223)+CV256)</f>
        <v>2.81662303058903e-05</v>
      </c>
      <c r="CW320" s="337">
        <f>SUM(CW197+CW198+CW199+CW202+CW220+CW223)/(SUM(CW197+CW198+CW199+CW202+CW220+CW223)+CW256)</f>
        <v>2.50513909147436e-05</v>
      </c>
      <c r="CX320" s="337">
        <f>SUM(CX197+CX198+CX199+CX202+CX220+CX223)/(SUM(CX197+CX198+CX199+CX202+CX220+CX223)+CX256)</f>
        <v>1.92387594603869e-05</v>
      </c>
    </row>
    <row r="321" ht="12.75" customFormat="1" customHeight="1" s="333">
      <c r="A321" s="334" t="n"/>
      <c r="B321" s="334" t="n"/>
      <c r="C321" s="333" t="inlineStr">
        <is>
          <t>NET DEBT / EBITDA LTM (com arrendamentos)</t>
        </is>
      </c>
      <c r="D321" s="339" t="str">
        <f>""</f>
        <v/>
      </c>
      <c r="E321" s="339" t="str">
        <f>""</f>
        <v/>
      </c>
      <c r="F321" s="339" t="str">
        <f>""</f>
        <v/>
      </c>
      <c r="G321" s="339">
        <f>IFERROR((SUM(G197,G198,G199,G202,G220,G223)-G129)/(G54+F54+E54+D54),"")</f>
        <v>-0.564404061998931</v>
      </c>
      <c r="I321" s="339">
        <f>IFERROR((SUM(I197,I198,I199,I202,I220,I223)-I129)/(I54+G54+F54+E54),"")</f>
        <v>0.133684904416612</v>
      </c>
      <c r="J321" s="339">
        <f>IFERROR((SUM(J197,J198,J199,J202,J220,J223)-J129)/(J54+I54+G54+F54),"")</f>
        <v>-0.111014958585734</v>
      </c>
      <c r="K321" s="339">
        <f>IFERROR((SUM(K197,K198,K199,K202,K220,K223)-K129)/(K54+J54+I54+G54),"")</f>
        <v>-0.240546589704323</v>
      </c>
      <c r="L321" s="339">
        <f>IFERROR((SUM(L197,L198,L199,L202,L220,L223)-L129)/(L54+K54+J54+I54),"")</f>
        <v>-0.382801822323462</v>
      </c>
      <c r="N321" s="339">
        <f>IFERROR((SUM(N197,N198,N199,N202,N220,N223)-N129)/(N54+L54+K54+J54),"")</f>
        <v>-0.328947368421053</v>
      </c>
      <c r="O321" s="339">
        <f>IFERROR((SUM(O197,O198,O199,O202,O220,O223)-O129)/(O54+N54+L54+K54),"")</f>
        <v>-0.296206019499788</v>
      </c>
      <c r="P321" s="339">
        <f>IFERROR((SUM(P197,P198,P199,P202,P220,P223)-P129)/(P54+O54+N54+L54),"")</f>
        <v>-0.207366140513773</v>
      </c>
      <c r="Q321" s="339">
        <f>IFERROR((SUM(Q197,Q198,Q199,Q202,Q220,Q223)-Q129)/(Q54+P54+O54+N54),"")</f>
        <v>-0.268994470612329</v>
      </c>
      <c r="S321" s="339">
        <f>IFERROR((SUM(S197,S198,S199,S202,S220,S223)-S129)/(S54+Q54+P54+O54),"")</f>
        <v>-0.461631786472551</v>
      </c>
      <c r="T321" s="339">
        <f>IFERROR((SUM(T197,T198,T199,T202,T220,T223)-T129)/(T54+S54+Q54+P54),"")</f>
        <v>-0.479364108835219</v>
      </c>
      <c r="U321" s="339">
        <f>IFERROR((SUM(U197,U198,U199,U202,U220,U223)-U129)/(U54+T54+S54+Q54),"")</f>
        <v>-0.623098812677853</v>
      </c>
      <c r="V321" s="339">
        <f>IFERROR((SUM(V197,V198,V199,V202,V220,V223)-V129)/(V54+U54+T54+S54),"")</f>
        <v>-0.812845962970032</v>
      </c>
      <c r="X321" s="339">
        <f>IFERROR((SUM(X197,X198,X199,X202,X220,X223)-X129)/(X54+V54+U54+T54),"")</f>
        <v>-0.0831382829323097</v>
      </c>
      <c r="Y321" s="339">
        <f>IFERROR((SUM(Y197,Y198,Y199,Y202,Y220,Y223)-Y129)/(Y54+X54+V54+U54),"")</f>
        <v>-0.195855198790358</v>
      </c>
      <c r="Z321" s="339">
        <f>IFERROR((SUM(Z197,Z198,Z199,Z202,Z220,Z223)-Z129)/(Z54+Y54+X54+V54),"")</f>
        <v>-0.249262280854018</v>
      </c>
      <c r="AA321" s="339">
        <f>IFERROR((SUM(AA197,AA198,AA199,AA202,AA220,AA223)-AA129)/(AA54+Z54+Y54+X54),"")</f>
        <v>-0.322043969102793</v>
      </c>
      <c r="AC321" s="339">
        <f>IFERROR((SUM(AC197,AC198,AC199,AC202,AC220,AC223)-AC129)/(AC54+AA54+Z54+Y54),"")</f>
        <v>-0.424003975813799</v>
      </c>
      <c r="AD321" s="339">
        <f>IFERROR((SUM(AD197,AD198,AD199,AD202,AD220,AD223)-AD129)/(AD54+AC54+AA54+Z54),"")</f>
        <v>-0.536087445748272</v>
      </c>
      <c r="AE321" s="339">
        <f>IFERROR((SUM(AE197,AE198,AE199,AE202,AE220,AE223)-AE129)/(AE54+AD54+AC54+AA54),"")</f>
        <v>-0.555156530564447</v>
      </c>
      <c r="AF321" s="339">
        <f>IFERROR((SUM(AF197,AF198,AF199,AF202,AF220,AF223)-AF129)/(AF54+AE54+AD54+AC54),"")</f>
        <v>-0.691885714285714</v>
      </c>
      <c r="AH321" s="339">
        <f>IFERROR((SUM(AH197,AH198,AH199,AH202,AH220,AH223)-AH129)/(AH54+AF54+AE54+AD54),"")</f>
        <v>-0.74851411589896</v>
      </c>
      <c r="AI321" s="339">
        <f>IFERROR((SUM(AI197,AI198,AI199,AI202,AI220,AI223)-AI129)/(AI54+AH54+AF54+AE54),"")</f>
        <v>-0.860043509789703</v>
      </c>
      <c r="AJ321" s="339">
        <f>IFERROR((SUM(AJ197,AJ198,AJ199,AJ202,AJ220,AJ223)-AJ129)/(AJ54+AI54+AH54+AF54),"")</f>
        <v>-0.48031007751938</v>
      </c>
      <c r="AK321" s="339">
        <f>IFERROR((SUM(AK197,AK198,AK199,AK202,AK220,AK223)-AK129)/(AK54+AJ54+AI54+AH54),"")</f>
        <v>-0.725925925925926</v>
      </c>
      <c r="AM321" s="339" t="str">
        <f>IFERROR((SUM(AM197,AM198,AM199,AM202,AM220,AM223)-AM129)/(AM54+AK54+AJ54+AI54),"")</f>
        <v/>
      </c>
      <c r="AN321" s="339" t="str">
        <f>IFERROR((SUM(AN197,AN198,AN199,AN202,AN220,AN223)-AN129)/(AN54+AM54+AK54+AJ54),"")</f>
        <v/>
      </c>
      <c r="AO321" s="339" t="str">
        <f>IFERROR((SUM(AO197,AO198,AO199,AO202,AO220,AO223)-AO129)/(AO54+AN54+AM54+AK54),"")</f>
        <v/>
      </c>
      <c r="AP321" s="339" t="str">
        <f>IFERROR((SUM(AP197,AP198,AP199,AP202,AP220,AP223)-AP129)/(AP54+AO54+AN54+AM54),"")</f>
        <v/>
      </c>
      <c r="AR321" s="339" t="str">
        <f>IFERROR((SUM(AR197,AR198,AR199,AR202,AR220,AR223)-AR129)/(AR54+AP54+AO54+AN54),"")</f>
        <v/>
      </c>
      <c r="AS321" s="339" t="str">
        <f>IFERROR((SUM(AS197,AS198,AS199,AS202,AS220,AS223)-AS129)/(AS54+AR54+AP54+AO54),"")</f>
        <v/>
      </c>
      <c r="AT321" s="339" t="str">
        <f>IFERROR((SUM(AT197,AT198,AT199,AT202,AT220,AT223)-AT129)/(AT54+AS54+AR54+AP54),"")</f>
        <v/>
      </c>
      <c r="AU321" s="339" t="str">
        <f>IFERROR((SUM(AU197,AU198,AU199,AU202,AU220,AU223)-AU129)/(AU54+AT54+AS54+AR54),"")</f>
        <v/>
      </c>
      <c r="AW321" s="339" t="str">
        <f>IFERROR((SUM(AW197,AW198,AW199,AW202,AW220,AW223)-AW129)/(AW54+AU54+AT54+AS54),"")</f>
        <v/>
      </c>
      <c r="AX321" s="339" t="str">
        <f>IFERROR((SUM(AX197,AX198,AX199,AX202,AX220,AX223)-AX129)/(AX54+AW54+AU54+AT54),"")</f>
        <v/>
      </c>
      <c r="AY321" s="339" t="str">
        <f>IFERROR((SUM(AY197,AY198,AY199,AY202,AY220,AY223)-AY129)/(AY54+AX54+AW54+AU54),"")</f>
        <v/>
      </c>
      <c r="AZ321" s="339" t="str">
        <f>IFERROR((SUM(AZ197,AZ198,AZ199,AZ202,AZ220,AZ223)-AZ129)/(AZ54+AY54+AX54+AW54),"")</f>
        <v/>
      </c>
      <c r="BB321" s="339" t="str">
        <f>IFERROR((SUM(BB197,BB198,BB199,BB202,BB220,BB223)-BB129)/(BB54+AZ54+AY54+AX54),"")</f>
        <v/>
      </c>
      <c r="BC321" s="339" t="str">
        <f>IFERROR((SUM(BC197,BC198,BC199,BC202,BC220,BC223)-BC129)/(BC54+BB54+AZ54+AY54),"")</f>
        <v/>
      </c>
      <c r="BD321" s="339" t="str">
        <f>IFERROR((SUM(BD197,BD198,BD199,BD202,BD220,BD223)-BD129)/(BD54+BC54+BB54+AZ54),"")</f>
        <v/>
      </c>
      <c r="BE321" s="339" t="str">
        <f>IFERROR((SUM(BE197,BE198,BE199,BE202,BE220,BE223)-BE129)/(BE54+BD54+BC54+BB54),"")</f>
        <v/>
      </c>
      <c r="BG321" s="339" t="str">
        <f>IFERROR((SUM(BG197,BG198,BG199,BG202,BG220,BG223)-BG129)/(BG54+BE54+BD54+BC54),"")</f>
        <v/>
      </c>
      <c r="BH321" s="339" t="str">
        <f>IFERROR((SUM(BH197,BH198,BH199,BH202,BH220,BH223)-BH129)/(BH54+BG54+BE54+BD54),"")</f>
        <v/>
      </c>
      <c r="BI321" s="339" t="str">
        <f>IFERROR((SUM(BI197,BI198,BI199,BI202,BI220,BI223)-BI129)/(BI54+BH54+BG54+BE54),"")</f>
        <v/>
      </c>
      <c r="BJ321" s="339" t="str">
        <f>IFERROR((SUM(BJ197,BJ198,BJ199,BJ202,BJ220,BJ223)-BJ129)/(BJ54+BI54+BH54+BG54),"")</f>
        <v/>
      </c>
      <c r="BL321" s="339" t="str">
        <f>IFERROR((SUM(BL197,BL198,BL199,BL202,BL220,BL223)-BL129)/(BL54+BJ54+BI54+BH54),"")</f>
        <v/>
      </c>
      <c r="BM321" s="339" t="str">
        <f>IFERROR((SUM(BM197,BM198,BM199,BM202,BM220,BM223)-BM129)/(BM54+BL54+BJ54+BI54),"")</f>
        <v/>
      </c>
      <c r="BN321" s="339" t="str">
        <f>IFERROR((SUM(BN197,BN198,BN199,BN202,BN220,BN223)-BN129)/(BN54+BM54+BL54+BJ54),"")</f>
        <v/>
      </c>
      <c r="BO321" s="339" t="str">
        <f>IFERROR((SUM(BO197,BO198,BO199,BO202,BO220,BO223)-BO129)/(BO54+BN54+BM54+BL54),"")</f>
        <v/>
      </c>
      <c r="BQ321" s="339" t="str">
        <f>IFERROR((SUM(BQ197,BQ198,BQ199,BQ202,BQ220,BQ223)-BQ129)/(BQ54+BO54+BN54+BM54),"")</f>
        <v/>
      </c>
      <c r="BR321" s="339" t="str">
        <f>IFERROR((SUM(BR197,BR198,BR199,BR202,BR220,BR223)-BR129)/(BR54+BQ54+BO54+BN54),"")</f>
        <v/>
      </c>
      <c r="BS321" s="339" t="str">
        <f>IFERROR((SUM(BS197,BS198,BS199,BS202,BS220,BS223)-BS129)/(BS54+BR54+BQ54+BO54),"")</f>
        <v/>
      </c>
      <c r="BT321" s="339" t="str">
        <f>IFERROR((SUM(BT197,BT198,BT199,BT202,BT220,BT223)-BT129)/(BT54+BS54+BR54+BQ54),"")</f>
        <v/>
      </c>
      <c r="BV321" s="339" t="str">
        <f>IFERROR((SUM(BV197,BV198,BV199,BV202,BV220,BV223)-BV129)/(BV54+BT54+BS54+BR54),"")</f>
        <v/>
      </c>
      <c r="BW321" s="339" t="str">
        <f>IFERROR((SUM(BW197,BW198,BW199,BW202,BW220,BW223)-BW129)/(BW54+BV54+BT54+BS54),"")</f>
        <v/>
      </c>
      <c r="BX321" s="339" t="str">
        <f>IFERROR((SUM(BX197,BX198,BX199,BX202,BX220,BX223)-BX129)/(BX54+BW54+BV54+BT54),"")</f>
        <v/>
      </c>
      <c r="BY321" s="339" t="str">
        <f>IFERROR((SUM(BY197,BY198,BY199,BY202,BY220,BY223)-BY129)/(BY54+BX54+BW54+BV54),"")</f>
        <v/>
      </c>
      <c r="CA321" s="339" t="str">
        <f>IFERROR((SUM(CA197,CA198,CA199,CA202,CA220,CA223)-CA129)/(CA54+BY54+BX54+BW54),"")</f>
        <v/>
      </c>
      <c r="CB321" s="339" t="str">
        <f>IFERROR((SUM(CB197,CB198,CB199,CB202,CB220,CB223)-CB129)/(CB54+CA54+BY54+BX54),"")</f>
        <v/>
      </c>
      <c r="CC321" s="339" t="str">
        <f>IFERROR((SUM(CC197,CC198,CC199,CC202,CC220,CC223)-CC129)/(CC54+CB54+CA54+BY54),"")</f>
        <v/>
      </c>
      <c r="CD321" s="339" t="str">
        <f>IFERROR((SUM(CD197,CD198,CD199,CD202,CD220,CD223)-CD129)/(CD54+CC54+CB54+CA54),"")</f>
        <v/>
      </c>
      <c r="CF321" s="339" t="str">
        <f>IFERROR((SUM(CF197,CF198,CF199,CF202,CF220,CF223)-CF129)/(CF54+CD54+CC54+CB54),"")</f>
        <v/>
      </c>
      <c r="CG321" s="339" t="str">
        <f>IFERROR((SUM(CG197,CG198,CG199,CG202,CG220,CG223)-CG129)/(CG54+CF54+CD54+CC54),"")</f>
        <v/>
      </c>
      <c r="CH321" s="339" t="str">
        <f>IFERROR((SUM(CH197,CH198,CH199,CH202,CH220,CH223)-CH129)/(CH54+CG54+CF54+CD54),"")</f>
        <v/>
      </c>
      <c r="CI321" s="339" t="str">
        <f>IFERROR((SUM(CI197,CI198,CI199,CI202,CI220,CI223)-CI129)/(CI54+CH54+CG54+CF54),"")</f>
        <v/>
      </c>
      <c r="CK321" s="339" t="str">
        <f>IFERROR((SUM(CK197,CK198,CK199,CK202,CK220,CK223)-CK129)/(CK54+CI54+CH54+CG54),"")</f>
        <v/>
      </c>
      <c r="CL321" s="339" t="str">
        <f>IFERROR((SUM(CL197,CL198,CL199,CL202,CL220,CL223)-CL129)/(CL54+CK54+CI54+CH54),"")</f>
        <v/>
      </c>
      <c r="CM321" s="339" t="str">
        <f>IFERROR((SUM(CM197,CM198,CM199,CM202,CM220,CM223)-CM129)/(CM54+CL54+CK54+CI54),"")</f>
        <v/>
      </c>
      <c r="CN321" s="339" t="str">
        <f>IFERROR((SUM(CN197,CN198,CN199,CN202,CN220,CN223)-CN129)/(CN54+CM54+CL54+CK54),"")</f>
        <v/>
      </c>
      <c r="CP321" s="339" t="str">
        <f>IFERROR((SUM(CP197,CP198,CP199,CP202,CP220,CP223)-CP129)/(CP54+CN54+CM54+CL54),"")</f>
        <v/>
      </c>
      <c r="CQ321" s="339" t="str">
        <f>IFERROR((SUM(CQ197,CQ198,CQ199,CQ202,CQ220,CQ223)-CQ129)/(CQ54+CP54+CN54+CM54),"")</f>
        <v/>
      </c>
      <c r="CR321" s="339" t="str">
        <f>IFERROR((SUM(CR197,CR198,CR199,CR202,CR220,CR223)-CR129)/(CR54+CQ54+CP54+CN54),"")</f>
        <v/>
      </c>
      <c r="CS321" s="339" t="str">
        <f>IFERROR((SUM(CS197,CS198,CS199,CS202,CS220,CS223)-CS129)/(CS54+CR54+CQ54+CP54),"")</f>
        <v/>
      </c>
      <c r="CU321" s="339" t="str">
        <f>IFERROR((SUM(CU197,CU198,CU199,CU202,CU220,CU223)-CU129)/(CU54+CS54+CR54+CQ54),"")</f>
        <v/>
      </c>
      <c r="CV321" s="339" t="str">
        <f>IFERROR((SUM(CV197,CV198,CV199,CV202,CV220,CV223)-CV129)/(CV54+CU54+CS54+CR54),"")</f>
        <v/>
      </c>
      <c r="CW321" s="339" t="str">
        <f>IFERROR((SUM(CW197,CW198,CW199,CW202,CW220,CW223)-CW129)/(CW54+CV54+CU54+CS54),"")</f>
        <v/>
      </c>
      <c r="CX321" s="339" t="str">
        <f>IFERROR((SUM(CX197,CX198,CX199,CX202,CX220,CX223)-CX129)/(CX54+CW54+CV54+CU54),"")</f>
        <v/>
      </c>
    </row>
    <row r="322" ht="12.75" customFormat="1" customHeight="1" s="333">
      <c r="A322" s="334" t="n"/>
      <c r="B322" s="334" t="n"/>
      <c r="C322" s="340" t="inlineStr">
        <is>
          <t>NET DEBT (EX IFRS 16) / EBITDA LTM</t>
        </is>
      </c>
      <c r="D322" s="339" t="str">
        <f>""</f>
        <v/>
      </c>
      <c r="E322" s="339" t="str">
        <f>""</f>
        <v/>
      </c>
      <c r="F322" s="339" t="str">
        <f>""</f>
        <v/>
      </c>
      <c r="G322" s="339">
        <f>IFERROR((SUM(G197,G198,G202,G223)-G129)/(G54+F54+E54+D54),"")</f>
        <v>-0.90833778727953</v>
      </c>
      <c r="I322" s="339">
        <f>IFERROR((SUM(I197,I198,I202,I223)-I129)/(I54+G54+F54+E54),"")</f>
        <v>-0.215820698747528</v>
      </c>
      <c r="J322" s="339">
        <f>IFERROR((SUM(J197,J198,J202,J223)-J129)/(J54+I54+G54+F54),"")</f>
        <v>-0.437507726542218</v>
      </c>
      <c r="K322" s="339">
        <f>IFERROR((SUM(K197,K198,K202,K223)-K129)/(K54+J54+I54+G54),"")</f>
        <v>-0.551772882553893</v>
      </c>
      <c r="L322" s="339">
        <f>IFERROR((SUM(L197,L198,L202,L223)-L129)/(L54+K54+J54+I54),"")</f>
        <v>-0.684510250569476</v>
      </c>
      <c r="N322" s="339">
        <f>IFERROR((SUM(N197,N198,N202,N223)-N129)/(N54+L54+K54+J54),"")</f>
        <v>-0.608067299396031</v>
      </c>
      <c r="O322" s="339">
        <f>IFERROR((SUM(O197,O198,O202,O223)-O129)/(O54+N54+L54+K54),"")</f>
        <v>-0.556061890631624</v>
      </c>
      <c r="P322" s="339">
        <f>IFERROR((SUM(P197,P198,P202,P223)-P129)/(P54+O54+N54+L54),"")</f>
        <v>-0.463427215516352</v>
      </c>
      <c r="Q322" s="339">
        <f>IFERROR((SUM(Q197,Q198,Q202,Q223)-Q129)/(Q54+P54+O54+N54),"")</f>
        <v>-0.525291828793774</v>
      </c>
      <c r="S322" s="339">
        <f>IFERROR((SUM(S197,S198,S202,S223)-S129)/(S54+Q54+P54+O54),"")</f>
        <v>-0.720149630977657</v>
      </c>
      <c r="T322" s="339">
        <f>IFERROR((SUM(T197,T198,T202,T223)-T129)/(T54+S54+Q54+P54),"")</f>
        <v>-0.734841536736982</v>
      </c>
      <c r="U322" s="339">
        <f>IFERROR((SUM(U197,U198,U202,U223)-U129)/(U54+T54+S54+Q54),"")</f>
        <v>-0.861151996859975</v>
      </c>
      <c r="V322" s="339">
        <f>IFERROR((SUM(V197,V198,V202,V223)-V129)/(V54+U54+T54+S54),"")</f>
        <v>-1.04199274670739</v>
      </c>
      <c r="X322" s="339">
        <f>IFERROR((SUM(X197,X198,X202,X223)-X129)/(X54+V54+U54+T54),"")</f>
        <v>-0.316075273850763</v>
      </c>
      <c r="Y322" s="339">
        <f>IFERROR((SUM(Y197,Y198,Y202,Y223)-Y129)/(Y54+X54+V54+U54),"")</f>
        <v>-0.408076136262563</v>
      </c>
      <c r="Z322" s="339">
        <f>IFERROR((SUM(Z197,Z198,Z202,Z223)-Z129)/(Z54+Y54+X54+V54),"")</f>
        <v>-0.455389689290054</v>
      </c>
      <c r="AA322" s="339">
        <f>IFERROR((SUM(AA197,AA198,AA202,AA223)-AA129)/(AA54+Z54+Y54+X54),"")</f>
        <v>-0.516254986843222</v>
      </c>
      <c r="AC322" s="339">
        <f>IFERROR((SUM(AC197,AC198,AC202,AC223)-AC129)/(AC54+AA54+Z54+Y54),"")</f>
        <v>-0.6131864491013</v>
      </c>
      <c r="AD322" s="339">
        <f>IFERROR((SUM(AD197,AD198,AD202,AD223)-AD129)/(AD54+AC54+AA54+Z54),"")</f>
        <v>-0.734045973316187</v>
      </c>
      <c r="AE322" s="339">
        <f>IFERROR((SUM(AE197,AE198,AE202,AE223)-AE129)/(AE54+AD54+AC54+AA54),"")</f>
        <v>-0.747208993676321</v>
      </c>
      <c r="AF322" s="339">
        <f>IFERROR((SUM(AF197,AF198,AF202,AF223)-AF129)/(AF54+AE54+AD54+AC54),"")</f>
        <v>-0.877485714285714</v>
      </c>
      <c r="AH322" s="339">
        <f>IFERROR((SUM(AH197,AH198,AH202,AH223)-AH129)/(AH54+AF54+AE54+AD54),"")</f>
        <v>-0.932540861812779</v>
      </c>
      <c r="AI322" s="339">
        <f>IFERROR((SUM(AI197,AI198,AI202,AI223)-AI129)/(AI54+AH54+AF54+AE54),"")</f>
        <v>-1.03886874546773</v>
      </c>
      <c r="AJ322" s="339">
        <f>IFERROR((SUM(AJ197,AJ198,AJ202,AJ223)-AJ129)/(AJ54+AI54+AH54+AF54),"")</f>
        <v>-0.735193798449612</v>
      </c>
      <c r="AK322" s="339">
        <f>IFERROR((SUM(AK197,AK198,AK202,AK223)-AK129)/(AK54+AJ54+AI54+AH54),"")</f>
        <v>-1.09871504157218</v>
      </c>
      <c r="AM322" s="339" t="str">
        <f>IFERROR((SUM(AM197,AM198,AM202,AM223)-AM129)/(AM54+AK54+AJ54+AI54),"")</f>
        <v/>
      </c>
      <c r="AN322" s="339" t="str">
        <f>IFERROR((SUM(AN197,AN198,AN202,AN223)-AN129)/(AN54+AM54+AK54+AJ54),"")</f>
        <v/>
      </c>
      <c r="AO322" s="339" t="str">
        <f>IFERROR((SUM(AO197,AO198,AO202,AO223)-AO129)/(AO54+AN54+AM54+AK54),"")</f>
        <v/>
      </c>
      <c r="AP322" s="339" t="str">
        <f>IFERROR((SUM(AP197,AP198,AP202,AP223)-AP129)/(AP54+AO54+AN54+AM54),"")</f>
        <v/>
      </c>
      <c r="AR322" s="339" t="str">
        <f>IFERROR((SUM(AR197,AR198,AR202,AR223)-AR129)/(AR54+AP54+AO54+AN54),"")</f>
        <v/>
      </c>
      <c r="AS322" s="339" t="str">
        <f>IFERROR((SUM(AS197,AS198,AS202,AS223)-AS129)/(AS54+AR54+AP54+AO54),"")</f>
        <v/>
      </c>
      <c r="AT322" s="339" t="str">
        <f>IFERROR((SUM(AT197,AT198,AT202,AT223)-AT129)/(AT54+AS54+AR54+AP54),"")</f>
        <v/>
      </c>
      <c r="AU322" s="339" t="str">
        <f>IFERROR((SUM(AU197,AU198,AU202,AU223)-AU129)/(AU54+AT54+AS54+AR54),"")</f>
        <v/>
      </c>
      <c r="AW322" s="339" t="str">
        <f>IFERROR((SUM(AW197,AW198,AW202,AW223)-AW129)/(AW54+AU54+AT54+AS54),"")</f>
        <v/>
      </c>
      <c r="AX322" s="339" t="str">
        <f>IFERROR((SUM(AX197,AX198,AX202,AX223)-AX129)/(AX54+AW54+AU54+AT54),"")</f>
        <v/>
      </c>
      <c r="AY322" s="339" t="str">
        <f>IFERROR((SUM(AY197,AY198,AY202,AY223)-AY129)/(AY54+AX54+AW54+AU54),"")</f>
        <v/>
      </c>
      <c r="AZ322" s="339" t="str">
        <f>IFERROR((SUM(AZ197,AZ198,AZ202,AZ223)-AZ129)/(AZ54+AY54+AX54+AW54),"")</f>
        <v/>
      </c>
      <c r="BB322" s="339" t="str">
        <f>IFERROR((SUM(BB197,BB198,BB202,BB223)-BB129)/(BB54+AZ54+AY54+AX54),"")</f>
        <v/>
      </c>
      <c r="BC322" s="339" t="str">
        <f>IFERROR((SUM(BC197,BC198,BC202,BC223)-BC129)/(BC54+BB54+AZ54+AY54),"")</f>
        <v/>
      </c>
      <c r="BD322" s="339" t="str">
        <f>IFERROR((SUM(BD197,BD198,BD202,BD223)-BD129)/(BD54+BC54+BB54+AZ54),"")</f>
        <v/>
      </c>
      <c r="BE322" s="339" t="str">
        <f>IFERROR((SUM(BE197,BE198,BE202,BE223)-BE129)/(BE54+BD54+BC54+BB54),"")</f>
        <v/>
      </c>
      <c r="BG322" s="339" t="str">
        <f>IFERROR((SUM(BG197,BG198,BG202,BG223)-BG129)/(BG54+BE54+BD54+BC54),"")</f>
        <v/>
      </c>
      <c r="BH322" s="339" t="str">
        <f>IFERROR((SUM(BH197,BH198,BH202,BH223)-BH129)/(BH54+BG54+BE54+BD54),"")</f>
        <v/>
      </c>
      <c r="BI322" s="339" t="str">
        <f>IFERROR((SUM(BI197,BI198,BI202,BI223)-BI129)/(BI54+BH54+BG54+BE54),"")</f>
        <v/>
      </c>
      <c r="BJ322" s="339" t="str">
        <f>IFERROR((SUM(BJ197,BJ198,BJ202,BJ223)-BJ129)/(BJ54+BI54+BH54+BG54),"")</f>
        <v/>
      </c>
      <c r="BL322" s="339" t="str">
        <f>IFERROR((SUM(BL197,BL198,BL202,BL223)-BL129)/(BL54+BJ54+BI54+BH54),"")</f>
        <v/>
      </c>
      <c r="BM322" s="339" t="str">
        <f>IFERROR((SUM(BM197,BM198,BM202,BM223)-BM129)/(BM54+BL54+BJ54+BI54),"")</f>
        <v/>
      </c>
      <c r="BN322" s="339" t="str">
        <f>IFERROR((SUM(BN197,BN198,BN202,BN223)-BN129)/(BN54+BM54+BL54+BJ54),"")</f>
        <v/>
      </c>
      <c r="BO322" s="339" t="str">
        <f>IFERROR((SUM(BO197,BO198,BO202,BO223)-BO129)/(BO54+BN54+BM54+BL54),"")</f>
        <v/>
      </c>
      <c r="BQ322" s="339" t="str">
        <f>IFERROR((SUM(BQ197,BQ198,BQ202,BQ223)-BQ129)/(BQ54+BO54+BN54+BM54),"")</f>
        <v/>
      </c>
      <c r="BR322" s="339" t="str">
        <f>IFERROR((SUM(BR197,BR198,BR202,BR223)-BR129)/(BR54+BQ54+BO54+BN54),"")</f>
        <v/>
      </c>
      <c r="BS322" s="339" t="str">
        <f>IFERROR((SUM(BS197,BS198,BS202,BS223)-BS129)/(BS54+BR54+BQ54+BO54),"")</f>
        <v/>
      </c>
      <c r="BT322" s="339" t="str">
        <f>IFERROR((SUM(BT197,BT198,BT202,BT223)-BT129)/(BT54+BS54+BR54+BQ54),"")</f>
        <v/>
      </c>
      <c r="BV322" s="339" t="str">
        <f>IFERROR((SUM(BV197,BV198,BV202,BV223)-BV129)/(BV54+BT54+BS54+BR54),"")</f>
        <v/>
      </c>
      <c r="BW322" s="339" t="str">
        <f>IFERROR((SUM(BW197,BW198,BW202,BW223)-BW129)/(BW54+BV54+BT54+BS54),"")</f>
        <v/>
      </c>
      <c r="BX322" s="339" t="str">
        <f>IFERROR((SUM(BX197,BX198,BX202,BX223)-BX129)/(BX54+BW54+BV54+BT54),"")</f>
        <v/>
      </c>
      <c r="BY322" s="339" t="str">
        <f>IFERROR((SUM(BY197,BY198,BY202,BY223)-BY129)/(BY54+BX54+BW54+BV54),"")</f>
        <v/>
      </c>
      <c r="CA322" s="339" t="str">
        <f>IFERROR((SUM(CA197,CA198,CA202,CA223)-CA129)/(CA54+BY54+BX54+BW54),"")</f>
        <v/>
      </c>
      <c r="CB322" s="339" t="str">
        <f>IFERROR((SUM(CB197,CB198,CB202,CB223)-CB129)/(CB54+CA54+BY54+BX54),"")</f>
        <v/>
      </c>
      <c r="CC322" s="339" t="str">
        <f>IFERROR((SUM(CC197,CC198,CC202,CC223)-CC129)/(CC54+CB54+CA54+BY54),"")</f>
        <v/>
      </c>
      <c r="CD322" s="339" t="str">
        <f>IFERROR((SUM(CD197,CD198,CD202,CD223)-CD129)/(CD54+CC54+CB54+CA54),"")</f>
        <v/>
      </c>
      <c r="CF322" s="339" t="str">
        <f>IFERROR((SUM(CF197,CF198,CF202,CF223)-CF129)/(CF54+CD54+CC54+CB54),"")</f>
        <v/>
      </c>
      <c r="CG322" s="339" t="str">
        <f>IFERROR((SUM(CG197,CG198,CG202,CG223)-CG129)/(CG54+CF54+CD54+CC54),"")</f>
        <v/>
      </c>
      <c r="CH322" s="339" t="str">
        <f>IFERROR((SUM(CH197,CH198,CH202,CH223)-CH129)/(CH54+CG54+CF54+CD54),"")</f>
        <v/>
      </c>
      <c r="CI322" s="339" t="str">
        <f>IFERROR((SUM(CI197,CI198,CI202,CI223)-CI129)/(CI54+CH54+CG54+CF54),"")</f>
        <v/>
      </c>
      <c r="CK322" s="339" t="str">
        <f>IFERROR((SUM(CK197,CK198,CK202,CK223)-CK129)/(CK54+CI54+CH54+CG54),"")</f>
        <v/>
      </c>
      <c r="CL322" s="339" t="str">
        <f>IFERROR((SUM(CL197,CL198,CL202,CL223)-CL129)/(CL54+CK54+CI54+CH54),"")</f>
        <v/>
      </c>
      <c r="CM322" s="339" t="str">
        <f>IFERROR((SUM(CM197,CM198,CM202,CM223)-CM129)/(CM54+CL54+CK54+CI54),"")</f>
        <v/>
      </c>
      <c r="CN322" s="339" t="str">
        <f>IFERROR((SUM(CN197,CN198,CN202,CN223)-CN129)/(CN54+CM54+CL54+CK54),"")</f>
        <v/>
      </c>
      <c r="CP322" s="339" t="str">
        <f>IFERROR((SUM(CP197,CP198,CP202,CP223)-CP129)/(CP54+CN54+CM54+CL54),"")</f>
        <v/>
      </c>
      <c r="CQ322" s="339" t="str">
        <f>IFERROR((SUM(CQ197,CQ198,CQ202,CQ223)-CQ129)/(CQ54+CP54+CN54+CM54),"")</f>
        <v/>
      </c>
      <c r="CR322" s="339" t="str">
        <f>IFERROR((SUM(CR197,CR198,CR202,CR223)-CR129)/(CR54+CQ54+CP54+CN54),"")</f>
        <v/>
      </c>
      <c r="CS322" s="339" t="str">
        <f>IFERROR((SUM(CS197,CS198,CS202,CS223)-CS129)/(CS54+CR54+CQ54+CP54),"")</f>
        <v/>
      </c>
      <c r="CU322" s="339" t="str">
        <f>IFERROR((SUM(CU197,CU198,CU202,CU223)-CU129)/(CU54+CS54+CR54+CQ54),"")</f>
        <v/>
      </c>
      <c r="CV322" s="339" t="str">
        <f>IFERROR((SUM(CV197,CV198,CV202,CV223)-CV129)/(CV54+CU54+CS54+CR54),"")</f>
        <v/>
      </c>
      <c r="CW322" s="339" t="str">
        <f>IFERROR((SUM(CW197,CW198,CW202,CW223)-CW129)/(CW54+CV54+CU54+CS54),"")</f>
        <v/>
      </c>
      <c r="CX322" s="339" t="str">
        <f>IFERROR((SUM(CX197,CX198,CX202,CX223)-CX129)/(CX54+CW54+CV54+CU54),"")</f>
        <v/>
      </c>
    </row>
    <row r="323" ht="12.75" customFormat="1" customHeight="1" s="333">
      <c r="A323" s="334" t="n"/>
      <c r="B323" s="334" t="n"/>
      <c r="C323" s="333" t="inlineStr">
        <is>
          <t>INTEREST COVERAGE</t>
        </is>
      </c>
      <c r="D323" s="339">
        <f>D58/-D59</f>
        <v>37.2352941176471</v>
      </c>
      <c r="E323" s="339">
        <f>E58/-E59</f>
        <v>31.8648648648649</v>
      </c>
      <c r="F323" s="339">
        <f>F58/-F59</f>
        <v>37.8235294117647</v>
      </c>
      <c r="G323" s="339">
        <f>G58/-G59</f>
        <v>36.6666666666667</v>
      </c>
      <c r="I323" s="339">
        <f>I58/-I59</f>
        <v>33.5</v>
      </c>
      <c r="J323" s="339">
        <f>J58/-J59</f>
        <v>41.575</v>
      </c>
      <c r="K323" s="339">
        <f>K58/-K59</f>
        <v>43.75</v>
      </c>
      <c r="L323" s="339">
        <f>L58/-L59</f>
        <v>43.4102564102564</v>
      </c>
      <c r="N323" s="339">
        <f>N58/-N59</f>
        <v>50.3333333333333</v>
      </c>
      <c r="O323" s="339">
        <f>O58/-O59</f>
        <v>51.1714285714286</v>
      </c>
      <c r="P323" s="339">
        <f>P58/-P59</f>
        <v>52.0208333333333</v>
      </c>
      <c r="Q323" s="339">
        <f>Q58/-Q59</f>
        <v>51.5</v>
      </c>
      <c r="S323" s="339">
        <f>S58/-S59</f>
        <v>55.9705882352941</v>
      </c>
      <c r="T323" s="339">
        <f>T58/-T59</f>
        <v>46.6388888888889</v>
      </c>
      <c r="U323" s="339">
        <f>U58/-U59</f>
        <v>49.6607142857143</v>
      </c>
      <c r="V323" s="339">
        <f>V58/-V59</f>
        <v>52.2105263157895</v>
      </c>
      <c r="X323" s="339">
        <f>X58/-X59</f>
        <v>50.2926829268293</v>
      </c>
      <c r="Y323" s="339">
        <f>Y58/-Y59</f>
        <v>53.5853658536585</v>
      </c>
      <c r="Z323" s="339">
        <f>Z58/-Z59</f>
        <v>62.0816326530612</v>
      </c>
      <c r="AA323" s="339">
        <f>AA58/-AA59</f>
        <v>59.3513513513514</v>
      </c>
      <c r="AC323" s="339">
        <f>AC58/-AC59</f>
        <v>64.3333333333333</v>
      </c>
      <c r="AD323" s="339">
        <f>AD58/-AD59</f>
        <v>72.2857142857143</v>
      </c>
      <c r="AE323" s="339">
        <f>AE58/-AE59</f>
        <v>72.6304347826087</v>
      </c>
      <c r="AF323" s="339">
        <f>AF58/-AF59</f>
        <v>70.3714285714286</v>
      </c>
      <c r="AH323" s="339">
        <f>AH58/-AH59</f>
        <v>78.969696969697</v>
      </c>
      <c r="AI323" s="339">
        <f>AI58/-AI59</f>
        <v>87.96875</v>
      </c>
      <c r="AJ323" s="339" t="e">
        <f>AJ58/-AJ59</f>
        <v>#DIV/0!</v>
      </c>
      <c r="AK323" s="339" t="e">
        <f>AK58/-AK59</f>
        <v>#DIV/0!</v>
      </c>
      <c r="AM323" s="339" t="e">
        <f>AM58/-AM59</f>
        <v>#DIV/0!</v>
      </c>
      <c r="AN323" s="339" t="e">
        <f>AN58/-AN59</f>
        <v>#DIV/0!</v>
      </c>
      <c r="AO323" s="339" t="e">
        <f>AO58/-AO59</f>
        <v>#DIV/0!</v>
      </c>
      <c r="AP323" s="339" t="e">
        <f>AP58/-AP59</f>
        <v>#DIV/0!</v>
      </c>
      <c r="AR323" s="339" t="e">
        <f>AR58/-AR59</f>
        <v>#DIV/0!</v>
      </c>
      <c r="AS323" s="339" t="e">
        <f>AS58/-AS59</f>
        <v>#DIV/0!</v>
      </c>
      <c r="AT323" s="339" t="e">
        <f>AT58/-AT59</f>
        <v>#DIV/0!</v>
      </c>
      <c r="AU323" s="339" t="e">
        <f>AU58/-AU59</f>
        <v>#DIV/0!</v>
      </c>
      <c r="AW323" s="339" t="e">
        <f>AW58/-AW59</f>
        <v>#DIV/0!</v>
      </c>
      <c r="AX323" s="339" t="e">
        <f>AX58/-AX59</f>
        <v>#DIV/0!</v>
      </c>
      <c r="AY323" s="339" t="e">
        <f>AY58/-AY59</f>
        <v>#DIV/0!</v>
      </c>
      <c r="AZ323" s="339" t="e">
        <f>AZ58/-AZ59</f>
        <v>#DIV/0!</v>
      </c>
      <c r="BB323" s="339" t="e">
        <f>BB58/-BB59</f>
        <v>#DIV/0!</v>
      </c>
      <c r="BC323" s="339" t="e">
        <f>BC58/-BC59</f>
        <v>#DIV/0!</v>
      </c>
      <c r="BD323" s="339" t="e">
        <f>BD58/-BD59</f>
        <v>#DIV/0!</v>
      </c>
      <c r="BE323" s="339" t="e">
        <f>BE58/-BE59</f>
        <v>#DIV/0!</v>
      </c>
      <c r="BG323" s="339" t="e">
        <f>BG58/-BG59</f>
        <v>#DIV/0!</v>
      </c>
      <c r="BH323" s="339" t="e">
        <f>BH58/-BH59</f>
        <v>#DIV/0!</v>
      </c>
      <c r="BI323" s="339" t="e">
        <f>BI58/-BI59</f>
        <v>#DIV/0!</v>
      </c>
      <c r="BJ323" s="339" t="e">
        <f>BJ58/-BJ59</f>
        <v>#DIV/0!</v>
      </c>
      <c r="BL323" s="339" t="e">
        <f>BL58/-BL59</f>
        <v>#DIV/0!</v>
      </c>
      <c r="BM323" s="339" t="e">
        <f>BM58/-BM59</f>
        <v>#DIV/0!</v>
      </c>
      <c r="BN323" s="339" t="e">
        <f>BN58/-BN59</f>
        <v>#DIV/0!</v>
      </c>
      <c r="BO323" s="339" t="e">
        <f>BO58/-BO59</f>
        <v>#DIV/0!</v>
      </c>
      <c r="BQ323" s="339" t="e">
        <f>BQ58/-BQ59</f>
        <v>#DIV/0!</v>
      </c>
      <c r="BR323" s="339" t="e">
        <f>BR58/-BR59</f>
        <v>#DIV/0!</v>
      </c>
      <c r="BS323" s="339" t="e">
        <f>BS58/-BS59</f>
        <v>#DIV/0!</v>
      </c>
      <c r="BT323" s="339" t="e">
        <f>BT58/-BT59</f>
        <v>#DIV/0!</v>
      </c>
      <c r="BV323" s="339" t="e">
        <f>BV58/-BV59</f>
        <v>#DIV/0!</v>
      </c>
      <c r="BW323" s="339" t="e">
        <f>BW58/-BW59</f>
        <v>#DIV/0!</v>
      </c>
      <c r="BX323" s="339" t="e">
        <f>BX58/-BX59</f>
        <v>#DIV/0!</v>
      </c>
      <c r="BY323" s="339" t="e">
        <f>BY58/-BY59</f>
        <v>#DIV/0!</v>
      </c>
      <c r="CA323" s="339" t="e">
        <f>CA58/-CA59</f>
        <v>#DIV/0!</v>
      </c>
      <c r="CB323" s="339" t="e">
        <f>CB58/-CB59</f>
        <v>#DIV/0!</v>
      </c>
      <c r="CC323" s="339" t="e">
        <f>CC58/-CC59</f>
        <v>#DIV/0!</v>
      </c>
      <c r="CD323" s="339" t="e">
        <f>CD58/-CD59</f>
        <v>#DIV/0!</v>
      </c>
      <c r="CF323" s="339" t="e">
        <f>CF58/-CF59</f>
        <v>#DIV/0!</v>
      </c>
      <c r="CG323" s="339" t="e">
        <f>CG58/-CG59</f>
        <v>#DIV/0!</v>
      </c>
      <c r="CH323" s="339" t="e">
        <f>CH58/-CH59</f>
        <v>#DIV/0!</v>
      </c>
      <c r="CI323" s="339" t="e">
        <f>CI58/-CI59</f>
        <v>#DIV/0!</v>
      </c>
      <c r="CK323" s="339" t="e">
        <f>CK58/-CK59</f>
        <v>#DIV/0!</v>
      </c>
      <c r="CL323" s="339" t="e">
        <f>CL58/-CL59</f>
        <v>#DIV/0!</v>
      </c>
      <c r="CM323" s="339" t="e">
        <f>CM58/-CM59</f>
        <v>#DIV/0!</v>
      </c>
      <c r="CN323" s="339" t="e">
        <f>CN58/-CN59</f>
        <v>#DIV/0!</v>
      </c>
      <c r="CP323" s="339" t="e">
        <f>CP58/-CP59</f>
        <v>#DIV/0!</v>
      </c>
      <c r="CQ323" s="339" t="e">
        <f>CQ58/-CQ59</f>
        <v>#DIV/0!</v>
      </c>
      <c r="CR323" s="339" t="e">
        <f>CR58/-CR59</f>
        <v>#DIV/0!</v>
      </c>
      <c r="CS323" s="339" t="e">
        <f>CS58/-CS59</f>
        <v>#DIV/0!</v>
      </c>
      <c r="CU323" s="339" t="e">
        <f>CU58/-CU59</f>
        <v>#DIV/0!</v>
      </c>
      <c r="CV323" s="339" t="e">
        <f>CV58/-CV59</f>
        <v>#DIV/0!</v>
      </c>
      <c r="CW323" s="339" t="e">
        <f>CW58/-CW59</f>
        <v>#DIV/0!</v>
      </c>
      <c r="CX323" s="339" t="e">
        <f>CX58/-CX59</f>
        <v>#DIV/0!</v>
      </c>
    </row>
    <row r="324" ht="12.75" customFormat="1" customHeight="1" s="333">
      <c r="A324" s="334" t="n"/>
      <c r="B324" s="334" t="n"/>
    </row>
    <row r="325" ht="12.75" customFormat="1" customHeight="1" s="333">
      <c r="A325" s="334" t="n"/>
      <c r="B325" s="334" t="n"/>
      <c r="C325" s="331" t="inlineStr">
        <is>
          <t>INTERNAL LIQUIDITY</t>
        </is>
      </c>
    </row>
    <row r="326" ht="12.75" customFormat="1" customHeight="1" s="333">
      <c r="A326" s="334" t="n"/>
      <c r="B326" s="334" t="n"/>
      <c r="C326" s="333" t="inlineStr">
        <is>
          <t>CURRENT RATIO</t>
        </is>
      </c>
      <c r="D326" s="339">
        <f>SUM(D129,D130,D134,D138,D139,D140)/SUM(D183,D187,D189,D190)</f>
        <v>1.06794323045731</v>
      </c>
      <c r="E326" s="339">
        <f>SUM(E129,E130,E134,E138,E139,E140)/SUM(E183,E187,E189,E190)</f>
        <v>1.18663659430505</v>
      </c>
      <c r="F326" s="339">
        <f>SUM(F129,F130,F134,F138,F139,F140)/SUM(F183,F187,F189,F190)</f>
        <v>1.1362075235363</v>
      </c>
      <c r="G326" s="339">
        <f>SUM(G129,G130,G134,G138,G139,G140)/SUM(G183,G187,G189,G190)</f>
        <v>0.985416474778177</v>
      </c>
      <c r="I326" s="339">
        <f>SUM(I129,I130,I134,I138,I139,I140)/SUM(I183,I187,I189,I190)</f>
        <v>0.993917412822547</v>
      </c>
      <c r="J326" s="339">
        <f>SUM(J129,J130,J134,J138,J139,J140)/SUM(J183,J187,J189,J190)</f>
        <v>1.00093223377555</v>
      </c>
      <c r="K326" s="339">
        <f>SUM(K129,K130,K134,K138,K139,K140)/SUM(K183,K187,K189,K190)</f>
        <v>1.03013057747364</v>
      </c>
      <c r="L326" s="339">
        <f>SUM(L129,L130,L134,L138,L139,L140)/SUM(L183,L187,L189,L190)</f>
        <v>1.04016224687337</v>
      </c>
      <c r="N326" s="339">
        <f>SUM(N129,N130,N134,N138,N139,N140)/SUM(N183,N187,N189,N190)</f>
        <v>1.03233475986686</v>
      </c>
      <c r="O326" s="339">
        <f>SUM(O129,O130,O134,O138,O139,O140)/SUM(O183,O187,O189,O190)</f>
        <v>1.03903298917149</v>
      </c>
      <c r="P326" s="339">
        <f>SUM(P129,P130,P134,P138,P139,P140)/SUM(P183,P187,P189,P190)</f>
        <v>1.02415035238841</v>
      </c>
      <c r="Q326" s="339">
        <f>SUM(Q129,Q130,Q134,Q138,Q139,Q140)/SUM(Q183,Q187,Q189,Q190)</f>
        <v>1.0349739362347</v>
      </c>
      <c r="S326" s="339">
        <f>SUM(S129,S130,S134,S138,S139,S140)/SUM(S183,S187,S189,S190)</f>
        <v>1.05826140567201</v>
      </c>
      <c r="T326" s="339">
        <f>SUM(T129,T130,T134,T138,T139,T140)/SUM(T183,T187,T189,T190)</f>
        <v>1.08139901602119</v>
      </c>
      <c r="U326" s="339">
        <f>SUM(U129,U130,U134,U138,U139,U140)/SUM(U183,U187,U189,U190)</f>
        <v>1.10390129838164</v>
      </c>
      <c r="V326" s="339">
        <f>SUM(V129,V130,V134,V138,V139,V140)/SUM(V183,V187,V189,V190)</f>
        <v>1.12306657700067</v>
      </c>
      <c r="X326" s="339">
        <f>SUM(X129,X130,X134,X138,X139,X140)/SUM(X183,X187,X189,X190)</f>
        <v>0.956498452749345</v>
      </c>
      <c r="Y326" s="339">
        <f>SUM(Y129,Y130,Y134,Y138,Y139,Y140)/SUM(Y183,Y187,Y189,Y190)</f>
        <v>0.970948547427371</v>
      </c>
      <c r="Z326" s="339">
        <f>SUM(Z129,Z130,Z134,Z138,Z139,Z140)/SUM(Z183,Z187,Z189,Z190)</f>
        <v>0.968468086309776</v>
      </c>
      <c r="AA326" s="339">
        <f>SUM(AA129,AA130,AA134,AA138,AA139,AA140)/SUM(AA183,AA187,AA189,AA190)</f>
        <v>0.979994254224451</v>
      </c>
      <c r="AC326" s="339">
        <f>SUM(AC129,AC130,AC134,AC138,AC139,AC140)/SUM(AC183,AC187,AC189,AC190)</f>
        <v>0.99724316873429</v>
      </c>
      <c r="AD326" s="339">
        <f>SUM(AD129,AD130,AD134,AD138,AD139,AD140)/SUM(AD183,AD187,AD189,AD190)</f>
        <v>1.0152212671971</v>
      </c>
      <c r="AE326" s="339">
        <f>SUM(AE129,AE130,AE134,AE138,AE139,AE140)/SUM(AE183,AE187,AE189,AE190)</f>
        <v>1.03427832273364</v>
      </c>
      <c r="AF326" s="339">
        <f>SUM(AF129,AF130,AF134,AF138,AF139,AF140)/SUM(AF183,AF187,AF189,AF190)</f>
        <v>1.03841645736156</v>
      </c>
      <c r="AH326" s="339">
        <f>SUM(AH129,AH130,AH134,AH138,AH139,AH140)/SUM(AH183,AH187,AH189,AH190)</f>
        <v>1.05814096116576</v>
      </c>
      <c r="AI326" s="339">
        <f>SUM(AI129,AI130,AI134,AI138,AI139,AI140)/SUM(AI183,AI187,AI189,AI190)</f>
        <v>1.07245103857567</v>
      </c>
      <c r="AJ326" s="339">
        <f>SUM(AJ129,AJ130,AJ134,AJ138,AJ139,AJ140)/SUM(AJ183,AJ187,AJ189,AJ190)</f>
        <v>1.27595722662987</v>
      </c>
      <c r="AK326" s="339">
        <f>SUM(AK129,AK130,AK134,AK138,AK139,AK140)/SUM(AK183,AK187,AK189,AK190)</f>
        <v>1.28932390479476</v>
      </c>
      <c r="AM326" s="339" t="e">
        <f>SUM(AM129,AM130,AM134,AM138,AM139,AM140)/SUM(AM183,AM187,AM189,AM190)</f>
        <v>#DIV/0!</v>
      </c>
      <c r="AN326" s="339" t="e">
        <f>SUM(AN129,AN130,AN134,AN138,AN139,AN140)/SUM(AN183,AN187,AN189,AN190)</f>
        <v>#DIV/0!</v>
      </c>
      <c r="AO326" s="339" t="e">
        <f>SUM(AO129,AO130,AO134,AO138,AO139,AO140)/SUM(AO183,AO187,AO189,AO190)</f>
        <v>#DIV/0!</v>
      </c>
      <c r="AP326" s="339" t="e">
        <f>SUM(AP129,AP130,AP134,AP138,AP139,AP140)/SUM(AP183,AP187,AP189,AP190)</f>
        <v>#DIV/0!</v>
      </c>
      <c r="AR326" s="339" t="e">
        <f>SUM(AR129,AR130,AR134,AR138,AR139,AR140)/SUM(AR183,AR187,AR189,AR190)</f>
        <v>#DIV/0!</v>
      </c>
      <c r="AS326" s="339" t="e">
        <f>SUM(AS129,AS130,AS134,AS138,AS139,AS140)/SUM(AS183,AS187,AS189,AS190)</f>
        <v>#DIV/0!</v>
      </c>
      <c r="AT326" s="339" t="e">
        <f>SUM(AT129,AT130,AT134,AT138,AT139,AT140)/SUM(AT183,AT187,AT189,AT190)</f>
        <v>#DIV/0!</v>
      </c>
      <c r="AU326" s="339" t="e">
        <f>SUM(AU129,AU130,AU134,AU138,AU139,AU140)/SUM(AU183,AU187,AU189,AU190)</f>
        <v>#DIV/0!</v>
      </c>
      <c r="AW326" s="339" t="e">
        <f>SUM(AW129,AW130,AW134,AW138,AW139,AW140)/SUM(AW183,AW187,AW189,AW190)</f>
        <v>#DIV/0!</v>
      </c>
      <c r="AX326" s="339" t="e">
        <f>SUM(AX129,AX130,AX134,AX138,AX139,AX140)/SUM(AX183,AX187,AX189,AX190)</f>
        <v>#DIV/0!</v>
      </c>
      <c r="AY326" s="339" t="e">
        <f>SUM(AY129,AY130,AY134,AY138,AY139,AY140)/SUM(AY183,AY187,AY189,AY190)</f>
        <v>#DIV/0!</v>
      </c>
      <c r="AZ326" s="339" t="e">
        <f>SUM(AZ129,AZ130,AZ134,AZ138,AZ139,AZ140)/SUM(AZ183,AZ187,AZ189,AZ190)</f>
        <v>#DIV/0!</v>
      </c>
      <c r="BB326" s="339" t="e">
        <f>SUM(BB129,BB130,BB134,BB138,BB139,BB140)/SUM(BB183,BB187,BB189,BB190)</f>
        <v>#DIV/0!</v>
      </c>
      <c r="BC326" s="339" t="e">
        <f>SUM(BC129,BC130,BC134,BC138,BC139,BC140)/SUM(BC183,BC187,BC189,BC190)</f>
        <v>#DIV/0!</v>
      </c>
      <c r="BD326" s="339" t="e">
        <f>SUM(BD129,BD130,BD134,BD138,BD139,BD140)/SUM(BD183,BD187,BD189,BD190)</f>
        <v>#DIV/0!</v>
      </c>
      <c r="BE326" s="339" t="e">
        <f>SUM(BE129,BE130,BE134,BE138,BE139,BE140)/SUM(BE183,BE187,BE189,BE190)</f>
        <v>#DIV/0!</v>
      </c>
      <c r="BG326" s="339" t="e">
        <f>SUM(BG129,BG130,BG134,BG138,BG139,BG140)/SUM(BG183,BG187,BG189,BG190)</f>
        <v>#DIV/0!</v>
      </c>
      <c r="BH326" s="339" t="e">
        <f>SUM(BH129,BH130,BH134,BH138,BH139,BH140)/SUM(BH183,BH187,BH189,BH190)</f>
        <v>#DIV/0!</v>
      </c>
      <c r="BI326" s="339" t="e">
        <f>SUM(BI129,BI130,BI134,BI138,BI139,BI140)/SUM(BI183,BI187,BI189,BI190)</f>
        <v>#DIV/0!</v>
      </c>
      <c r="BJ326" s="339" t="e">
        <f>SUM(BJ129,BJ130,BJ134,BJ138,BJ139,BJ140)/SUM(BJ183,BJ187,BJ189,BJ190)</f>
        <v>#DIV/0!</v>
      </c>
      <c r="BL326" s="339" t="e">
        <f>SUM(BL129,BL130,BL134,BL138,BL139,BL140)/SUM(BL183,BL187,BL189,BL190)</f>
        <v>#DIV/0!</v>
      </c>
      <c r="BM326" s="339" t="e">
        <f>SUM(BM129,BM130,BM134,BM138,BM139,BM140)/SUM(BM183,BM187,BM189,BM190)</f>
        <v>#DIV/0!</v>
      </c>
      <c r="BN326" s="339" t="e">
        <f>SUM(BN129,BN130,BN134,BN138,BN139,BN140)/SUM(BN183,BN187,BN189,BN190)</f>
        <v>#DIV/0!</v>
      </c>
      <c r="BO326" s="339" t="e">
        <f>SUM(BO129,BO130,BO134,BO138,BO139,BO140)/SUM(BO183,BO187,BO189,BO190)</f>
        <v>#DIV/0!</v>
      </c>
      <c r="BQ326" s="339" t="e">
        <f>SUM(BQ129,BQ130,BQ134,BQ138,BQ139,BQ140)/SUM(BQ183,BQ187,BQ189,BQ190)</f>
        <v>#DIV/0!</v>
      </c>
      <c r="BR326" s="339" t="e">
        <f>SUM(BR129,BR130,BR134,BR138,BR139,BR140)/SUM(BR183,BR187,BR189,BR190)</f>
        <v>#DIV/0!</v>
      </c>
      <c r="BS326" s="339" t="e">
        <f>SUM(BS129,BS130,BS134,BS138,BS139,BS140)/SUM(BS183,BS187,BS189,BS190)</f>
        <v>#DIV/0!</v>
      </c>
      <c r="BT326" s="339" t="e">
        <f>SUM(BT129,BT130,BT134,BT138,BT139,BT140)/SUM(BT183,BT187,BT189,BT190)</f>
        <v>#DIV/0!</v>
      </c>
      <c r="BV326" s="339" t="e">
        <f>SUM(BV129,BV130,BV134,BV138,BV139,BV140)/SUM(BV183,BV187,BV189,BV190)</f>
        <v>#DIV/0!</v>
      </c>
      <c r="BW326" s="339" t="e">
        <f>SUM(BW129,BW130,BW134,BW138,BW139,BW140)/SUM(BW183,BW187,BW189,BW190)</f>
        <v>#DIV/0!</v>
      </c>
      <c r="BX326" s="339" t="e">
        <f>SUM(BX129,BX130,BX134,BX138,BX139,BX140)/SUM(BX183,BX187,BX189,BX190)</f>
        <v>#DIV/0!</v>
      </c>
      <c r="BY326" s="339" t="e">
        <f>SUM(BY129,BY130,BY134,BY138,BY139,BY140)/SUM(BY183,BY187,BY189,BY190)</f>
        <v>#DIV/0!</v>
      </c>
      <c r="CA326" s="339" t="e">
        <f>SUM(CA129,CA130,CA134,CA138,CA139,CA140)/SUM(CA183,CA187,CA189,CA190)</f>
        <v>#DIV/0!</v>
      </c>
      <c r="CB326" s="339" t="e">
        <f>SUM(CB129,CB130,CB134,CB138,CB139,CB140)/SUM(CB183,CB187,CB189,CB190)</f>
        <v>#DIV/0!</v>
      </c>
      <c r="CC326" s="339" t="e">
        <f>SUM(CC129,CC130,CC134,CC138,CC139,CC140)/SUM(CC183,CC187,CC189,CC190)</f>
        <v>#DIV/0!</v>
      </c>
      <c r="CD326" s="339" t="e">
        <f>SUM(CD129,CD130,CD134,CD138,CD139,CD140)/SUM(CD183,CD187,CD189,CD190)</f>
        <v>#DIV/0!</v>
      </c>
      <c r="CF326" s="339" t="e">
        <f>SUM(CF129,CF130,CF134,CF138,CF139,CF140)/SUM(CF183,CF187,CF189,CF190)</f>
        <v>#DIV/0!</v>
      </c>
      <c r="CG326" s="339" t="e">
        <f>SUM(CG129,CG130,CG134,CG138,CG139,CG140)/SUM(CG183,CG187,CG189,CG190)</f>
        <v>#DIV/0!</v>
      </c>
      <c r="CH326" s="339" t="e">
        <f>SUM(CH129,CH130,CH134,CH138,CH139,CH140)/SUM(CH183,CH187,CH189,CH190)</f>
        <v>#DIV/0!</v>
      </c>
      <c r="CI326" s="339" t="e">
        <f>SUM(CI129,CI130,CI134,CI138,CI139,CI140)/SUM(CI183,CI187,CI189,CI190)</f>
        <v>#DIV/0!</v>
      </c>
      <c r="CK326" s="339" t="e">
        <f>SUM(CK129,CK130,CK134,CK138,CK139,CK140)/SUM(CK183,CK187,CK189,CK190)</f>
        <v>#DIV/0!</v>
      </c>
      <c r="CL326" s="339" t="e">
        <f>SUM(CL129,CL130,CL134,CL138,CL139,CL140)/SUM(CL183,CL187,CL189,CL190)</f>
        <v>#DIV/0!</v>
      </c>
      <c r="CM326" s="339" t="e">
        <f>SUM(CM129,CM130,CM134,CM138,CM139,CM140)/SUM(CM183,CM187,CM189,CM190)</f>
        <v>#DIV/0!</v>
      </c>
      <c r="CN326" s="339" t="e">
        <f>SUM(CN129,CN130,CN134,CN138,CN139,CN140)/SUM(CN183,CN187,CN189,CN190)</f>
        <v>#DIV/0!</v>
      </c>
      <c r="CP326" s="339" t="e">
        <f>SUM(CP129,CP130,CP134,CP138,CP139,CP140)/SUM(CP183,CP187,CP189,CP190)</f>
        <v>#DIV/0!</v>
      </c>
      <c r="CQ326" s="339" t="e">
        <f>SUM(CQ129,CQ130,CQ134,CQ138,CQ139,CQ140)/SUM(CQ183,CQ187,CQ189,CQ190)</f>
        <v>#DIV/0!</v>
      </c>
      <c r="CR326" s="339" t="e">
        <f>SUM(CR129,CR130,CR134,CR138,CR139,CR140)/SUM(CR183,CR187,CR189,CR190)</f>
        <v>#DIV/0!</v>
      </c>
      <c r="CS326" s="339" t="e">
        <f>SUM(CS129,CS130,CS134,CS138,CS139,CS140)/SUM(CS183,CS187,CS189,CS190)</f>
        <v>#DIV/0!</v>
      </c>
      <c r="CU326" s="339" t="e">
        <f>SUM(CU129,CU130,CU134,CU138,CU139,CU140)/SUM(CU183,CU187,CU189,CU190)</f>
        <v>#DIV/0!</v>
      </c>
      <c r="CV326" s="339" t="e">
        <f>SUM(CV129,CV130,CV134,CV138,CV139,CV140)/SUM(CV183,CV187,CV189,CV190)</f>
        <v>#DIV/0!</v>
      </c>
      <c r="CW326" s="339" t="e">
        <f>SUM(CW129,CW130,CW134,CW138,CW139,CW140)/SUM(CW183,CW187,CW189,CW190)</f>
        <v>#DIV/0!</v>
      </c>
      <c r="CX326" s="339" t="e">
        <f>SUM(CX129,CX130,CX134,CX138,CX139,CX140)/SUM(CX183,CX187,CX189,CX190)</f>
        <v>#DIV/0!</v>
      </c>
    </row>
    <row r="327" ht="12.75" customFormat="1" customHeight="1" s="333">
      <c r="A327" s="334" t="n"/>
      <c r="B327" s="334" t="n"/>
      <c r="C327" s="333" t="inlineStr">
        <is>
          <t>CASH RATIO</t>
        </is>
      </c>
      <c r="D327" s="339">
        <f>SUM(D129)/SUM(D183,D187,D189,D190)</f>
        <v>0.392656003604415</v>
      </c>
      <c r="E327" s="339">
        <f>SUM(E129)/SUM(E183,E187,E189,E190)</f>
        <v>0.553237477680669</v>
      </c>
      <c r="F327" s="339">
        <f>SUM(F129)/SUM(F183,F187,F189,F190)</f>
        <v>0.537597478686008</v>
      </c>
      <c r="G327" s="339">
        <f>SUM(G129)/SUM(G183,G187,G189,G190)</f>
        <v>0.442817230051273</v>
      </c>
      <c r="I327" s="339">
        <f>SUM(I129)/SUM(I183,I187,I189,I190)</f>
        <v>0.349616532547508</v>
      </c>
      <c r="J327" s="339">
        <f>SUM(J129)/SUM(J183,J187,J189,J190)</f>
        <v>0.3989243456436</v>
      </c>
      <c r="K327" s="339">
        <f>SUM(K129)/SUM(K183,K187,K189,K190)</f>
        <v>0.425075064590462</v>
      </c>
      <c r="L327" s="339">
        <f>SUM(L129)/SUM(L183,L187,L189,L190)</f>
        <v>0.414098269981256</v>
      </c>
      <c r="N327" s="339">
        <f>SUM(N129)/SUM(N183,N187,N189,N190)</f>
        <v>0.389792360120463</v>
      </c>
      <c r="O327" s="339">
        <f>SUM(O129)/SUM(O183,O187,O189,O190)</f>
        <v>0.37241878619995</v>
      </c>
      <c r="P327" s="339">
        <f>SUM(P129)/SUM(P183,P187,P189,P190)</f>
        <v>0.346092404072044</v>
      </c>
      <c r="Q327" s="339">
        <f>SUM(Q129)/SUM(Q183,Q187,Q189,Q190)</f>
        <v>0.353770153958056</v>
      </c>
      <c r="S327" s="339">
        <f>SUM(S129)/SUM(S183,S187,S189,S190)</f>
        <v>0.42247225647349</v>
      </c>
      <c r="T327" s="339">
        <f>SUM(T129)/SUM(T183,T187,T189,T190)</f>
        <v>0.432319919263277</v>
      </c>
      <c r="U327" s="339">
        <f>SUM(U129)/SUM(U183,U187,U189,U190)</f>
        <v>0.46870961786967</v>
      </c>
      <c r="V327" s="339">
        <f>SUM(V129)/SUM(V183,V187,V189,V190)</f>
        <v>0.500560412463573</v>
      </c>
      <c r="X327" s="339">
        <f>SUM(X129)/SUM(X183,X187,X189,X190)</f>
        <v>0.307099500119019</v>
      </c>
      <c r="Y327" s="339">
        <f>SUM(Y129)/SUM(Y183,Y187,Y189,Y190)</f>
        <v>0.335404270213511</v>
      </c>
      <c r="Z327" s="339">
        <f>SUM(Z129)/SUM(Z183,Z187,Z189,Z190)</f>
        <v>0.315149458442917</v>
      </c>
      <c r="AA327" s="339">
        <f>SUM(AA129)/SUM(AA183,AA187,AA189,AA190)</f>
        <v>0.308887670088015</v>
      </c>
      <c r="AC327" s="339">
        <f>SUM(AC129)/SUM(AC183,AC187,AC189,AC190)</f>
        <v>0.355631233276575</v>
      </c>
      <c r="AD327" s="339">
        <f>SUM(AD129)/SUM(AD183,AD187,AD189,AD190)</f>
        <v>0.395167513770989</v>
      </c>
      <c r="AE327" s="339">
        <f>SUM(AE129)/SUM(AE183,AE187,AE189,AE190)</f>
        <v>0.411878840142287</v>
      </c>
      <c r="AF327" s="339">
        <f>SUM(AF129)/SUM(AF183,AF187,AF189,AF190)</f>
        <v>0.411027389068293</v>
      </c>
      <c r="AH327" s="339">
        <f>SUM(AH129)/SUM(AH183,AH187,AH189,AH190)</f>
        <v>0.447464612516252</v>
      </c>
      <c r="AI327" s="339">
        <f>SUM(AI129)/SUM(AI183,AI187,AI189,AI190)</f>
        <v>0.474682492581602</v>
      </c>
      <c r="AJ327" s="339">
        <f>SUM(AJ129)/SUM(AJ183,AJ187,AJ189,AJ190)</f>
        <v>1.10236288375302</v>
      </c>
      <c r="AK327" s="339">
        <f>SUM(AK129)/SUM(AK183,AK187,AK189,AK190)</f>
        <v>1.1157295619179</v>
      </c>
      <c r="AM327" s="339" t="e">
        <f>SUM(AM129)/SUM(AM183,AM187,AM189,AM190)</f>
        <v>#DIV/0!</v>
      </c>
      <c r="AN327" s="339" t="e">
        <f>SUM(AN129)/SUM(AN183,AN187,AN189,AN190)</f>
        <v>#DIV/0!</v>
      </c>
      <c r="AO327" s="339" t="e">
        <f>SUM(AO129)/SUM(AO183,AO187,AO189,AO190)</f>
        <v>#DIV/0!</v>
      </c>
      <c r="AP327" s="339" t="e">
        <f>SUM(AP129)/SUM(AP183,AP187,AP189,AP190)</f>
        <v>#DIV/0!</v>
      </c>
      <c r="AR327" s="339" t="e">
        <f>SUM(AR129)/SUM(AR183,AR187,AR189,AR190)</f>
        <v>#DIV/0!</v>
      </c>
      <c r="AS327" s="339" t="e">
        <f>SUM(AS129)/SUM(AS183,AS187,AS189,AS190)</f>
        <v>#DIV/0!</v>
      </c>
      <c r="AT327" s="339" t="e">
        <f>SUM(AT129)/SUM(AT183,AT187,AT189,AT190)</f>
        <v>#DIV/0!</v>
      </c>
      <c r="AU327" s="339" t="e">
        <f>SUM(AU129)/SUM(AU183,AU187,AU189,AU190)</f>
        <v>#DIV/0!</v>
      </c>
      <c r="AW327" s="339" t="e">
        <f>SUM(AW129)/SUM(AW183,AW187,AW189,AW190)</f>
        <v>#DIV/0!</v>
      </c>
      <c r="AX327" s="339" t="e">
        <f>SUM(AX129)/SUM(AX183,AX187,AX189,AX190)</f>
        <v>#DIV/0!</v>
      </c>
      <c r="AY327" s="339" t="e">
        <f>SUM(AY129)/SUM(AY183,AY187,AY189,AY190)</f>
        <v>#DIV/0!</v>
      </c>
      <c r="AZ327" s="339" t="e">
        <f>SUM(AZ129)/SUM(AZ183,AZ187,AZ189,AZ190)</f>
        <v>#DIV/0!</v>
      </c>
      <c r="BB327" s="339" t="e">
        <f>SUM(BB129)/SUM(BB183,BB187,BB189,BB190)</f>
        <v>#DIV/0!</v>
      </c>
      <c r="BC327" s="339" t="e">
        <f>SUM(BC129)/SUM(BC183,BC187,BC189,BC190)</f>
        <v>#DIV/0!</v>
      </c>
      <c r="BD327" s="339" t="e">
        <f>SUM(BD129)/SUM(BD183,BD187,BD189,BD190)</f>
        <v>#DIV/0!</v>
      </c>
      <c r="BE327" s="339" t="e">
        <f>SUM(BE129)/SUM(BE183,BE187,BE189,BE190)</f>
        <v>#DIV/0!</v>
      </c>
      <c r="BG327" s="339" t="e">
        <f>SUM(BG129)/SUM(BG183,BG187,BG189,BG190)</f>
        <v>#DIV/0!</v>
      </c>
      <c r="BH327" s="339" t="e">
        <f>SUM(BH129)/SUM(BH183,BH187,BH189,BH190)</f>
        <v>#DIV/0!</v>
      </c>
      <c r="BI327" s="339" t="e">
        <f>SUM(BI129)/SUM(BI183,BI187,BI189,BI190)</f>
        <v>#DIV/0!</v>
      </c>
      <c r="BJ327" s="339" t="e">
        <f>SUM(BJ129)/SUM(BJ183,BJ187,BJ189,BJ190)</f>
        <v>#DIV/0!</v>
      </c>
      <c r="BL327" s="339" t="e">
        <f>SUM(BL129)/SUM(BL183,BL187,BL189,BL190)</f>
        <v>#DIV/0!</v>
      </c>
      <c r="BM327" s="339" t="e">
        <f>SUM(BM129)/SUM(BM183,BM187,BM189,BM190)</f>
        <v>#DIV/0!</v>
      </c>
      <c r="BN327" s="339" t="e">
        <f>SUM(BN129)/SUM(BN183,BN187,BN189,BN190)</f>
        <v>#DIV/0!</v>
      </c>
      <c r="BO327" s="339" t="e">
        <f>SUM(BO129)/SUM(BO183,BO187,BO189,BO190)</f>
        <v>#DIV/0!</v>
      </c>
      <c r="BQ327" s="339" t="e">
        <f>SUM(BQ129)/SUM(BQ183,BQ187,BQ189,BQ190)</f>
        <v>#DIV/0!</v>
      </c>
      <c r="BR327" s="339" t="e">
        <f>SUM(BR129)/SUM(BR183,BR187,BR189,BR190)</f>
        <v>#DIV/0!</v>
      </c>
      <c r="BS327" s="339" t="e">
        <f>SUM(BS129)/SUM(BS183,BS187,BS189,BS190)</f>
        <v>#DIV/0!</v>
      </c>
      <c r="BT327" s="339" t="e">
        <f>SUM(BT129)/SUM(BT183,BT187,BT189,BT190)</f>
        <v>#DIV/0!</v>
      </c>
      <c r="BV327" s="339" t="e">
        <f>SUM(BV129)/SUM(BV183,BV187,BV189,BV190)</f>
        <v>#DIV/0!</v>
      </c>
      <c r="BW327" s="339" t="e">
        <f>SUM(BW129)/SUM(BW183,BW187,BW189,BW190)</f>
        <v>#DIV/0!</v>
      </c>
      <c r="BX327" s="339" t="e">
        <f>SUM(BX129)/SUM(BX183,BX187,BX189,BX190)</f>
        <v>#DIV/0!</v>
      </c>
      <c r="BY327" s="339" t="e">
        <f>SUM(BY129)/SUM(BY183,BY187,BY189,BY190)</f>
        <v>#DIV/0!</v>
      </c>
      <c r="CA327" s="339" t="e">
        <f>SUM(CA129)/SUM(CA183,CA187,CA189,CA190)</f>
        <v>#DIV/0!</v>
      </c>
      <c r="CB327" s="339" t="e">
        <f>SUM(CB129)/SUM(CB183,CB187,CB189,CB190)</f>
        <v>#DIV/0!</v>
      </c>
      <c r="CC327" s="339" t="e">
        <f>SUM(CC129)/SUM(CC183,CC187,CC189,CC190)</f>
        <v>#DIV/0!</v>
      </c>
      <c r="CD327" s="339" t="e">
        <f>SUM(CD129)/SUM(CD183,CD187,CD189,CD190)</f>
        <v>#DIV/0!</v>
      </c>
      <c r="CF327" s="339" t="e">
        <f>SUM(CF129)/SUM(CF183,CF187,CF189,CF190)</f>
        <v>#DIV/0!</v>
      </c>
      <c r="CG327" s="339" t="e">
        <f>SUM(CG129)/SUM(CG183,CG187,CG189,CG190)</f>
        <v>#DIV/0!</v>
      </c>
      <c r="CH327" s="339" t="e">
        <f>SUM(CH129)/SUM(CH183,CH187,CH189,CH190)</f>
        <v>#DIV/0!</v>
      </c>
      <c r="CI327" s="339" t="e">
        <f>SUM(CI129)/SUM(CI183,CI187,CI189,CI190)</f>
        <v>#DIV/0!</v>
      </c>
      <c r="CK327" s="339" t="e">
        <f>SUM(CK129)/SUM(CK183,CK187,CK189,CK190)</f>
        <v>#DIV/0!</v>
      </c>
      <c r="CL327" s="339" t="e">
        <f>SUM(CL129)/SUM(CL183,CL187,CL189,CL190)</f>
        <v>#DIV/0!</v>
      </c>
      <c r="CM327" s="339" t="e">
        <f>SUM(CM129)/SUM(CM183,CM187,CM189,CM190)</f>
        <v>#DIV/0!</v>
      </c>
      <c r="CN327" s="339" t="e">
        <f>SUM(CN129)/SUM(CN183,CN187,CN189,CN190)</f>
        <v>#DIV/0!</v>
      </c>
      <c r="CP327" s="339" t="e">
        <f>SUM(CP129)/SUM(CP183,CP187,CP189,CP190)</f>
        <v>#DIV/0!</v>
      </c>
      <c r="CQ327" s="339" t="e">
        <f>SUM(CQ129)/SUM(CQ183,CQ187,CQ189,CQ190)</f>
        <v>#DIV/0!</v>
      </c>
      <c r="CR327" s="339" t="e">
        <f>SUM(CR129)/SUM(CR183,CR187,CR189,CR190)</f>
        <v>#DIV/0!</v>
      </c>
      <c r="CS327" s="339" t="e">
        <f>SUM(CS129)/SUM(CS183,CS187,CS189,CS190)</f>
        <v>#DIV/0!</v>
      </c>
      <c r="CU327" s="339" t="e">
        <f>SUM(CU129)/SUM(CU183,CU187,CU189,CU190)</f>
        <v>#DIV/0!</v>
      </c>
      <c r="CV327" s="339" t="e">
        <f>SUM(CV129)/SUM(CV183,CV187,CV189,CV190)</f>
        <v>#DIV/0!</v>
      </c>
      <c r="CW327" s="339" t="e">
        <f>SUM(CW129)/SUM(CW183,CW187,CW189,CW190)</f>
        <v>#DIV/0!</v>
      </c>
      <c r="CX327" s="339" t="e">
        <f>SUM(CX129)/SUM(CX183,CX187,CX189,CX190)</f>
        <v>#DIV/0!</v>
      </c>
    </row>
    <row r="328" ht="12.75" customFormat="1" customHeight="1" s="333">
      <c r="A328" s="334" t="n"/>
      <c r="B328" s="334" t="n"/>
    </row>
    <row r="329" ht="12.75" customFormat="1" customHeight="1" s="333">
      <c r="A329" s="334" t="n"/>
      <c r="B329" s="334" t="n"/>
      <c r="C329" s="331" t="inlineStr">
        <is>
          <t>OPERATING EFFICIENCY</t>
        </is>
      </c>
    </row>
    <row r="330" ht="12.75" customFormat="1" customHeight="1" s="341">
      <c r="A330" s="338" t="n"/>
      <c r="B330" s="338" t="n"/>
      <c r="C330" s="341" t="inlineStr">
        <is>
          <t>RETURN ON CAPITAL (ROIC)</t>
        </is>
      </c>
      <c r="D330" s="341">
        <f>D332/D335</f>
        <v>0.057495413059182</v>
      </c>
      <c r="E330" s="341">
        <f>E332/E335</f>
        <v>0.0506314209593865</v>
      </c>
      <c r="F330" s="341">
        <f>F332/F335</f>
        <v>0.0930861586137115</v>
      </c>
      <c r="G330" s="341">
        <f>G332/G335</f>
        <v>0.107290654164046</v>
      </c>
      <c r="H330" s="341">
        <f>H332/H335</f>
        <v>0.400666866490416</v>
      </c>
      <c r="I330" s="338">
        <f>I332/I335</f>
        <v>0.0575429877482889</v>
      </c>
      <c r="J330" s="338">
        <f>J332/J335</f>
        <v>0.0773024723472596</v>
      </c>
      <c r="K330" s="338">
        <f>K332/K335</f>
        <v>0.104899560885432</v>
      </c>
      <c r="L330" s="338">
        <f>L332/L335</f>
        <v>0.0858508135201426</v>
      </c>
      <c r="M330" s="338">
        <f>M332/M335</f>
        <v>0.335974555067779</v>
      </c>
      <c r="N330" s="338">
        <f>N332/N335</f>
        <v>0.0784628493249152</v>
      </c>
      <c r="O330" s="338">
        <f>O332/O335</f>
        <v>0.075909556227643</v>
      </c>
      <c r="P330" s="338">
        <f>P332/P335</f>
        <v>0.100006329614415</v>
      </c>
      <c r="Q330" s="338">
        <f>Q332/Q335</f>
        <v>0.071587786730882</v>
      </c>
      <c r="R330" s="338">
        <f>R332/R335</f>
        <v>0.312311631432134</v>
      </c>
      <c r="S330" s="338">
        <f>S332/S335</f>
        <v>0.0771599455349631</v>
      </c>
      <c r="T330" s="338">
        <f>T332/T335</f>
        <v>0.0654175439272689</v>
      </c>
      <c r="U330" s="338">
        <f>U332/U335</f>
        <v>0.108366669791227</v>
      </c>
      <c r="V330" s="338">
        <f>V332/V335</f>
        <v>0.0849092267507847</v>
      </c>
      <c r="W330" s="338">
        <f>W332/W335</f>
        <v>0.349711201238911</v>
      </c>
      <c r="X330" s="338">
        <f>X332/X335</f>
        <v>0.0808497135354242</v>
      </c>
      <c r="Y330" s="338">
        <f>Y332/Y335</f>
        <v>0.0826291028762655</v>
      </c>
      <c r="Z330" s="338">
        <f>Z332/Z335</f>
        <v>0.110858359231981</v>
      </c>
      <c r="AA330" s="338">
        <f>AA332/AA335</f>
        <v>0.0828887271685412</v>
      </c>
      <c r="AB330" s="338">
        <f>AB332/AB335</f>
        <v>0.350406997340581</v>
      </c>
      <c r="AC330" s="338">
        <f>AC332/AC335</f>
        <v>0.0835735319321316</v>
      </c>
      <c r="AD330" s="338">
        <f>AD332/AD335</f>
        <v>0.0912305135682601</v>
      </c>
      <c r="AE330" s="338">
        <f>AE332/AE335</f>
        <v>0.112652851463898</v>
      </c>
      <c r="AF330" s="338">
        <f>AF332/AF335</f>
        <v>0.0899085066217196</v>
      </c>
      <c r="AG330" s="338">
        <f>AG332/AG335</f>
        <v>0.375507590331681</v>
      </c>
      <c r="AH330" s="338">
        <f>AH332/AH335</f>
        <v>0.0885422958964684</v>
      </c>
      <c r="AI330" s="338">
        <f>AI332/AI335</f>
        <v>0.0970128620243874</v>
      </c>
      <c r="AJ330" s="338">
        <f>AJ332/AJ335</f>
        <v>0</v>
      </c>
      <c r="AK330" s="338">
        <f>AK332/AK335</f>
        <v>0</v>
      </c>
      <c r="AL330" s="338">
        <f>AL332/AL335</f>
        <v>0.141983510180124</v>
      </c>
      <c r="AM330" s="338" t="e">
        <f>AM332/AM335</f>
        <v>#DIV/0!</v>
      </c>
      <c r="AN330" s="338">
        <f>AN332/AN335</f>
        <v>0</v>
      </c>
      <c r="AO330" s="338" t="e">
        <f>AO332/AO335</f>
        <v>#DIV/0!</v>
      </c>
      <c r="AP330" s="338" t="e">
        <f>AP332/AP335</f>
        <v>#DIV/0!</v>
      </c>
      <c r="AQ330" s="338" t="e">
        <f>AQ332/AQ335</f>
        <v>#DIV/0!</v>
      </c>
      <c r="AR330" s="338" t="e">
        <f>AR332/AR335</f>
        <v>#DIV/0!</v>
      </c>
      <c r="AS330" s="338" t="e">
        <f>AS332/AS335</f>
        <v>#DIV/0!</v>
      </c>
      <c r="AT330" s="338" t="e">
        <f>AT332/AT335</f>
        <v>#DIV/0!</v>
      </c>
      <c r="AU330" s="338" t="e">
        <f>AU332/AU335</f>
        <v>#DIV/0!</v>
      </c>
      <c r="AV330" s="338" t="e">
        <f>AV332/AV335</f>
        <v>#DIV/0!</v>
      </c>
      <c r="AW330" s="338" t="e">
        <f>AW332/AW335</f>
        <v>#DIV/0!</v>
      </c>
      <c r="AX330" s="338" t="e">
        <f>AX332/AX335</f>
        <v>#DIV/0!</v>
      </c>
      <c r="AY330" s="338" t="e">
        <f>AY332/AY335</f>
        <v>#DIV/0!</v>
      </c>
      <c r="AZ330" s="338" t="e">
        <f>AZ332/AZ335</f>
        <v>#DIV/0!</v>
      </c>
      <c r="BA330" s="338" t="e">
        <f>BA332/BA335</f>
        <v>#DIV/0!</v>
      </c>
      <c r="BB330" s="338" t="e">
        <f>BB332/BB335</f>
        <v>#DIV/0!</v>
      </c>
      <c r="BC330" s="338" t="e">
        <f>BC332/BC335</f>
        <v>#DIV/0!</v>
      </c>
      <c r="BD330" s="338" t="e">
        <f>BD332/BD335</f>
        <v>#DIV/0!</v>
      </c>
      <c r="BE330" s="338" t="e">
        <f>BE332/BE335</f>
        <v>#DIV/0!</v>
      </c>
      <c r="BF330" s="338" t="e">
        <f>BF332/BF335</f>
        <v>#DIV/0!</v>
      </c>
      <c r="BG330" s="338" t="e">
        <f>BG332/BG335</f>
        <v>#DIV/0!</v>
      </c>
      <c r="BH330" s="338" t="e">
        <f>BH332/BH335</f>
        <v>#DIV/0!</v>
      </c>
      <c r="BI330" s="338" t="e">
        <f>BI332/BI335</f>
        <v>#DIV/0!</v>
      </c>
      <c r="BJ330" s="338" t="e">
        <f>BJ332/BJ335</f>
        <v>#DIV/0!</v>
      </c>
      <c r="BK330" s="338" t="e">
        <f>BK332/BK335</f>
        <v>#DIV/0!</v>
      </c>
      <c r="BL330" s="338" t="e">
        <f>BL332/BL335</f>
        <v>#DIV/0!</v>
      </c>
      <c r="BM330" s="338" t="e">
        <f>BM332/BM335</f>
        <v>#DIV/0!</v>
      </c>
      <c r="BN330" s="338" t="e">
        <f>BN332/BN335</f>
        <v>#DIV/0!</v>
      </c>
      <c r="BO330" s="338" t="e">
        <f>BO332/BO335</f>
        <v>#DIV/0!</v>
      </c>
      <c r="BP330" s="338" t="e">
        <f>BP332/BP335</f>
        <v>#DIV/0!</v>
      </c>
      <c r="BQ330" s="338" t="e">
        <f>BQ332/BQ335</f>
        <v>#DIV/0!</v>
      </c>
      <c r="BR330" s="338" t="e">
        <f>BR332/BR335</f>
        <v>#DIV/0!</v>
      </c>
      <c r="BS330" s="338" t="e">
        <f>BS332/BS335</f>
        <v>#DIV/0!</v>
      </c>
      <c r="BT330" s="338" t="e">
        <f>BT332/BT335</f>
        <v>#DIV/0!</v>
      </c>
      <c r="BU330" s="338" t="e">
        <f>BU332/BU335</f>
        <v>#DIV/0!</v>
      </c>
      <c r="BV330" s="338" t="e">
        <f>BV332/BV335</f>
        <v>#DIV/0!</v>
      </c>
      <c r="BW330" s="338" t="e">
        <f>BW332/BW335</f>
        <v>#DIV/0!</v>
      </c>
      <c r="BX330" s="338" t="e">
        <f>BX332/BX335</f>
        <v>#DIV/0!</v>
      </c>
      <c r="BY330" s="338" t="e">
        <f>BY332/BY335</f>
        <v>#DIV/0!</v>
      </c>
      <c r="BZ330" s="338" t="e">
        <f>BZ332/BZ335</f>
        <v>#DIV/0!</v>
      </c>
      <c r="CA330" s="338" t="e">
        <f>CA332/CA335</f>
        <v>#DIV/0!</v>
      </c>
      <c r="CB330" s="338" t="e">
        <f>CB332/CB335</f>
        <v>#DIV/0!</v>
      </c>
      <c r="CC330" s="338" t="e">
        <f>CC332/CC335</f>
        <v>#DIV/0!</v>
      </c>
      <c r="CD330" s="338" t="e">
        <f>CD332/CD335</f>
        <v>#DIV/0!</v>
      </c>
      <c r="CE330" s="338" t="e">
        <f>CE332/CE335</f>
        <v>#DIV/0!</v>
      </c>
      <c r="CF330" s="338" t="e">
        <f>CF332/CF335</f>
        <v>#DIV/0!</v>
      </c>
      <c r="CG330" s="338" t="e">
        <f>CG332/CG335</f>
        <v>#DIV/0!</v>
      </c>
      <c r="CH330" s="338" t="e">
        <f>CH332/CH335</f>
        <v>#DIV/0!</v>
      </c>
      <c r="CI330" s="338" t="e">
        <f>CI332/CI335</f>
        <v>#DIV/0!</v>
      </c>
      <c r="CJ330" s="338" t="e">
        <f>CJ332/CJ335</f>
        <v>#DIV/0!</v>
      </c>
      <c r="CK330" s="338" t="e">
        <f>CK332/CK335</f>
        <v>#DIV/0!</v>
      </c>
      <c r="CL330" s="338" t="e">
        <f>CL332/CL335</f>
        <v>#DIV/0!</v>
      </c>
      <c r="CM330" s="338" t="e">
        <f>CM332/CM335</f>
        <v>#DIV/0!</v>
      </c>
      <c r="CN330" s="338" t="e">
        <f>CN332/CN335</f>
        <v>#DIV/0!</v>
      </c>
      <c r="CO330" s="338" t="e">
        <f>CO332/CO335</f>
        <v>#DIV/0!</v>
      </c>
      <c r="CP330" s="338" t="e">
        <f>CP332/CP335</f>
        <v>#DIV/0!</v>
      </c>
      <c r="CQ330" s="338" t="e">
        <f>CQ332/CQ335</f>
        <v>#DIV/0!</v>
      </c>
      <c r="CR330" s="338" t="e">
        <f>CR332/CR335</f>
        <v>#DIV/0!</v>
      </c>
      <c r="CS330" s="338" t="e">
        <f>CS332/CS335</f>
        <v>#DIV/0!</v>
      </c>
      <c r="CT330" s="338" t="e">
        <f>CT332/CT335</f>
        <v>#DIV/0!</v>
      </c>
      <c r="CU330" s="338" t="e">
        <f>CU332/CU335</f>
        <v>#DIV/0!</v>
      </c>
      <c r="CV330" s="338" t="e">
        <f>CV332/CV335</f>
        <v>#DIV/0!</v>
      </c>
      <c r="CW330" s="338" t="e">
        <f>CW332/CW335</f>
        <v>#DIV/0!</v>
      </c>
      <c r="CX330" s="338" t="e">
        <f>CX332/CX335</f>
        <v>#DIV/0!</v>
      </c>
      <c r="CY330" s="338" t="e">
        <f>CY332/CY335</f>
        <v>#DIV/0!</v>
      </c>
    </row>
    <row r="331" ht="12.75" customFormat="1" customHeight="1" s="341">
      <c r="A331" s="338" t="n"/>
      <c r="B331" s="338" t="n"/>
      <c r="C331" s="341" t="inlineStr">
        <is>
          <t>RETURN ON CAPITAL (ROIC) - EX GOODWILL</t>
        </is>
      </c>
      <c r="D331" s="341">
        <f>D332/D336</f>
        <v>0.057495413059182</v>
      </c>
      <c r="E331" s="341">
        <f>E332/E336</f>
        <v>0.0506314209593865</v>
      </c>
      <c r="F331" s="341">
        <f>F332/F336</f>
        <v>0.0930861586137115</v>
      </c>
      <c r="G331" s="341">
        <f>G332/G336</f>
        <v>0.107290654164046</v>
      </c>
      <c r="H331" s="341">
        <f>H332/H336</f>
        <v>0.400666866490416</v>
      </c>
      <c r="I331" s="338">
        <f>I332/I336</f>
        <v>0.0575429877482889</v>
      </c>
      <c r="J331" s="338">
        <f>J332/J336</f>
        <v>0.0773024723472596</v>
      </c>
      <c r="K331" s="338">
        <f>K332/K336</f>
        <v>0.104899560885432</v>
      </c>
      <c r="L331" s="338">
        <f>L332/L336</f>
        <v>0.0858508135201426</v>
      </c>
      <c r="M331" s="338">
        <f>M332/M336</f>
        <v>0.335974555067779</v>
      </c>
      <c r="N331" s="338">
        <f>N332/N336</f>
        <v>0.0784628493249152</v>
      </c>
      <c r="O331" s="338">
        <f>O332/O336</f>
        <v>0.075909556227643</v>
      </c>
      <c r="P331" s="338">
        <f>P332/P336</f>
        <v>0.100006329614415</v>
      </c>
      <c r="Q331" s="338">
        <f>Q332/Q336</f>
        <v>0.071587786730882</v>
      </c>
      <c r="R331" s="338">
        <f>R332/R336</f>
        <v>0.312311631432134</v>
      </c>
      <c r="S331" s="338">
        <f>S332/S336</f>
        <v>0.0771599455349631</v>
      </c>
      <c r="T331" s="338">
        <f>T332/T336</f>
        <v>0.0654175439272689</v>
      </c>
      <c r="U331" s="338">
        <f>U332/U336</f>
        <v>0.108366669791227</v>
      </c>
      <c r="V331" s="338">
        <f>V332/V336</f>
        <v>0.0849092267507847</v>
      </c>
      <c r="W331" s="338">
        <f>W332/W336</f>
        <v>0.349711201238911</v>
      </c>
      <c r="X331" s="338">
        <f>X332/X336</f>
        <v>0.0808497135354242</v>
      </c>
      <c r="Y331" s="338">
        <f>Y332/Y336</f>
        <v>0.0826291028762655</v>
      </c>
      <c r="Z331" s="338">
        <f>Z332/Z336</f>
        <v>0.110858359231981</v>
      </c>
      <c r="AA331" s="338">
        <f>AA332/AA336</f>
        <v>0.0828887271685412</v>
      </c>
      <c r="AB331" s="338">
        <f>AB332/AB336</f>
        <v>0.350406997340581</v>
      </c>
      <c r="AC331" s="338">
        <f>AC332/AC336</f>
        <v>0.0835735319321316</v>
      </c>
      <c r="AD331" s="338">
        <f>AD332/AD336</f>
        <v>0.0912305135682601</v>
      </c>
      <c r="AE331" s="338">
        <f>AE332/AE336</f>
        <v>0.112652851463898</v>
      </c>
      <c r="AF331" s="338">
        <f>AF332/AF336</f>
        <v>0.0899085066217196</v>
      </c>
      <c r="AG331" s="338">
        <f>AG332/AG336</f>
        <v>0.375507590331681</v>
      </c>
      <c r="AH331" s="338">
        <f>AH332/AH336</f>
        <v>0.0885422958964684</v>
      </c>
      <c r="AI331" s="338">
        <f>AI332/AI336</f>
        <v>0.0970128620243874</v>
      </c>
      <c r="AJ331" s="338">
        <f>AJ332/AJ336</f>
        <v>0</v>
      </c>
      <c r="AK331" s="338">
        <f>AK332/AK336</f>
        <v>0</v>
      </c>
      <c r="AL331" s="338">
        <f>AL332/AL336</f>
        <v>0.141983510180124</v>
      </c>
      <c r="AM331" s="338" t="e">
        <f>AM332/AM336</f>
        <v>#DIV/0!</v>
      </c>
      <c r="AN331" s="338">
        <f>AN332/AN336</f>
        <v>0</v>
      </c>
      <c r="AO331" s="338" t="e">
        <f>AO332/AO336</f>
        <v>#DIV/0!</v>
      </c>
      <c r="AP331" s="338" t="e">
        <f>AP332/AP336</f>
        <v>#DIV/0!</v>
      </c>
      <c r="AQ331" s="338" t="e">
        <f>AQ332/AQ336</f>
        <v>#DIV/0!</v>
      </c>
      <c r="AR331" s="338" t="e">
        <f>AR332/AR336</f>
        <v>#DIV/0!</v>
      </c>
      <c r="AS331" s="338" t="e">
        <f>AS332/AS336</f>
        <v>#DIV/0!</v>
      </c>
      <c r="AT331" s="338" t="e">
        <f>AT332/AT336</f>
        <v>#DIV/0!</v>
      </c>
      <c r="AU331" s="338" t="e">
        <f>AU332/AU336</f>
        <v>#DIV/0!</v>
      </c>
      <c r="AV331" s="338" t="e">
        <f>AV332/AV336</f>
        <v>#DIV/0!</v>
      </c>
      <c r="AW331" s="338" t="e">
        <f>AW332/AW336</f>
        <v>#DIV/0!</v>
      </c>
      <c r="AX331" s="338" t="e">
        <f>AX332/AX336</f>
        <v>#DIV/0!</v>
      </c>
      <c r="AY331" s="338" t="e">
        <f>AY332/AY336</f>
        <v>#DIV/0!</v>
      </c>
      <c r="AZ331" s="338" t="e">
        <f>AZ332/AZ336</f>
        <v>#DIV/0!</v>
      </c>
      <c r="BA331" s="338" t="e">
        <f>BA332/BA336</f>
        <v>#DIV/0!</v>
      </c>
      <c r="BB331" s="338" t="e">
        <f>BB332/BB336</f>
        <v>#DIV/0!</v>
      </c>
      <c r="BC331" s="338" t="e">
        <f>BC332/BC336</f>
        <v>#DIV/0!</v>
      </c>
      <c r="BD331" s="338" t="e">
        <f>BD332/BD336</f>
        <v>#DIV/0!</v>
      </c>
      <c r="BE331" s="338" t="e">
        <f>BE332/BE336</f>
        <v>#DIV/0!</v>
      </c>
      <c r="BF331" s="338" t="e">
        <f>BF332/BF336</f>
        <v>#DIV/0!</v>
      </c>
      <c r="BG331" s="338" t="e">
        <f>BG332/BG336</f>
        <v>#DIV/0!</v>
      </c>
      <c r="BH331" s="338" t="e">
        <f>BH332/BH336</f>
        <v>#DIV/0!</v>
      </c>
      <c r="BI331" s="338" t="e">
        <f>BI332/BI336</f>
        <v>#DIV/0!</v>
      </c>
      <c r="BJ331" s="338" t="e">
        <f>BJ332/BJ336</f>
        <v>#DIV/0!</v>
      </c>
      <c r="BK331" s="338" t="e">
        <f>BK332/BK336</f>
        <v>#DIV/0!</v>
      </c>
      <c r="BL331" s="338" t="e">
        <f>BL332/BL336</f>
        <v>#DIV/0!</v>
      </c>
      <c r="BM331" s="338" t="e">
        <f>BM332/BM336</f>
        <v>#DIV/0!</v>
      </c>
      <c r="BN331" s="338" t="e">
        <f>BN332/BN336</f>
        <v>#DIV/0!</v>
      </c>
      <c r="BO331" s="338" t="e">
        <f>BO332/BO336</f>
        <v>#DIV/0!</v>
      </c>
      <c r="BP331" s="338" t="e">
        <f>BP332/BP336</f>
        <v>#DIV/0!</v>
      </c>
      <c r="BQ331" s="338" t="e">
        <f>BQ332/BQ336</f>
        <v>#DIV/0!</v>
      </c>
      <c r="BR331" s="338" t="e">
        <f>BR332/BR336</f>
        <v>#DIV/0!</v>
      </c>
      <c r="BS331" s="338" t="e">
        <f>BS332/BS336</f>
        <v>#DIV/0!</v>
      </c>
      <c r="BT331" s="338" t="e">
        <f>BT332/BT336</f>
        <v>#DIV/0!</v>
      </c>
      <c r="BU331" s="338" t="e">
        <f>BU332/BU336</f>
        <v>#DIV/0!</v>
      </c>
      <c r="BV331" s="338" t="e">
        <f>BV332/BV336</f>
        <v>#DIV/0!</v>
      </c>
      <c r="BW331" s="338" t="e">
        <f>BW332/BW336</f>
        <v>#DIV/0!</v>
      </c>
      <c r="BX331" s="338" t="e">
        <f>BX332/BX336</f>
        <v>#DIV/0!</v>
      </c>
      <c r="BY331" s="338" t="e">
        <f>BY332/BY336</f>
        <v>#DIV/0!</v>
      </c>
      <c r="BZ331" s="338" t="e">
        <f>BZ332/BZ336</f>
        <v>#DIV/0!</v>
      </c>
      <c r="CA331" s="338" t="e">
        <f>CA332/CA336</f>
        <v>#DIV/0!</v>
      </c>
      <c r="CB331" s="338" t="e">
        <f>CB332/CB336</f>
        <v>#DIV/0!</v>
      </c>
      <c r="CC331" s="338" t="e">
        <f>CC332/CC336</f>
        <v>#DIV/0!</v>
      </c>
      <c r="CD331" s="338" t="e">
        <f>CD332/CD336</f>
        <v>#DIV/0!</v>
      </c>
      <c r="CE331" s="338" t="e">
        <f>CE332/CE336</f>
        <v>#DIV/0!</v>
      </c>
      <c r="CF331" s="338" t="e">
        <f>CF332/CF336</f>
        <v>#DIV/0!</v>
      </c>
      <c r="CG331" s="338" t="e">
        <f>CG332/CG336</f>
        <v>#DIV/0!</v>
      </c>
      <c r="CH331" s="338" t="e">
        <f>CH332/CH336</f>
        <v>#DIV/0!</v>
      </c>
      <c r="CI331" s="338" t="e">
        <f>CI332/CI336</f>
        <v>#DIV/0!</v>
      </c>
      <c r="CJ331" s="338" t="e">
        <f>CJ332/CJ336</f>
        <v>#DIV/0!</v>
      </c>
      <c r="CK331" s="338" t="e">
        <f>CK332/CK336</f>
        <v>#DIV/0!</v>
      </c>
      <c r="CL331" s="338" t="e">
        <f>CL332/CL336</f>
        <v>#DIV/0!</v>
      </c>
      <c r="CM331" s="338" t="e">
        <f>CM332/CM336</f>
        <v>#DIV/0!</v>
      </c>
      <c r="CN331" s="338" t="e">
        <f>CN332/CN336</f>
        <v>#DIV/0!</v>
      </c>
      <c r="CO331" s="338" t="e">
        <f>CO332/CO336</f>
        <v>#DIV/0!</v>
      </c>
      <c r="CP331" s="338" t="e">
        <f>CP332/CP336</f>
        <v>#DIV/0!</v>
      </c>
      <c r="CQ331" s="338" t="e">
        <f>CQ332/CQ336</f>
        <v>#DIV/0!</v>
      </c>
      <c r="CR331" s="338" t="e">
        <f>CR332/CR336</f>
        <v>#DIV/0!</v>
      </c>
      <c r="CS331" s="338" t="e">
        <f>CS332/CS336</f>
        <v>#DIV/0!</v>
      </c>
      <c r="CT331" s="338" t="e">
        <f>CT332/CT336</f>
        <v>#DIV/0!</v>
      </c>
      <c r="CU331" s="338" t="e">
        <f>CU332/CU336</f>
        <v>#DIV/0!</v>
      </c>
      <c r="CV331" s="338" t="e">
        <f>CV332/CV336</f>
        <v>#DIV/0!</v>
      </c>
      <c r="CW331" s="338" t="e">
        <f>CW332/CW336</f>
        <v>#DIV/0!</v>
      </c>
      <c r="CX331" s="338" t="e">
        <f>CX332/CX336</f>
        <v>#DIV/0!</v>
      </c>
      <c r="CY331" s="338" t="e">
        <f>CY332/CY336</f>
        <v>#DIV/0!</v>
      </c>
    </row>
    <row r="332" ht="12.75" customFormat="1" customHeight="1" s="333">
      <c r="A332" s="334" t="n"/>
      <c r="B332" s="334" t="n"/>
      <c r="C332" s="333" t="inlineStr">
        <is>
          <t>NOPLAT</t>
        </is>
      </c>
      <c r="D332" s="333">
        <f>D333*(1-D334)</f>
        <v>938.842599843383</v>
      </c>
      <c r="E332" s="333">
        <f>E333*(1-E334)</f>
        <v>863.721410146174</v>
      </c>
      <c r="F332" s="333">
        <f>F333*(1-F334)</f>
        <v>1449.07223113965</v>
      </c>
      <c r="G332" s="333">
        <f>G333*(1-G334)</f>
        <v>1189.31690140845</v>
      </c>
      <c r="H332" s="333">
        <f>H333*(1-H334)</f>
        <v>4441.39221504626</v>
      </c>
      <c r="I332" s="342">
        <f>I333*(1-I334)</f>
        <v>986.459438968916</v>
      </c>
      <c r="J332" s="334">
        <f>J333*(1-J334)</f>
        <v>1242.71454545455</v>
      </c>
      <c r="K332" s="334">
        <f>K333*(1-K334)</f>
        <v>1682.1693583588</v>
      </c>
      <c r="L332" s="334">
        <f>L333*(1-L334)</f>
        <v>1342.62087264151</v>
      </c>
      <c r="M332" s="334">
        <f>M333*(1-M334)</f>
        <v>5254.306066705</v>
      </c>
      <c r="N332" s="342">
        <f>N333*(1-N334)</f>
        <v>1328.06218767351</v>
      </c>
      <c r="O332" s="334">
        <f>O333*(1-O334)</f>
        <v>1344.96551724138</v>
      </c>
      <c r="P332" s="334">
        <f>P333*(1-P334)</f>
        <v>1863.81796502385</v>
      </c>
      <c r="Q332" s="334">
        <f>Q333*(1-Q334)</f>
        <v>1349.3581920904</v>
      </c>
      <c r="R332" s="334">
        <f>R333*(1-R334)</f>
        <v>5886.76194086429</v>
      </c>
      <c r="S332" s="342">
        <f>S333*(1-S334)</f>
        <v>1406.85728693898</v>
      </c>
      <c r="T332" s="334">
        <f>T333*(1-T334)</f>
        <v>1234.36363636364</v>
      </c>
      <c r="U332" s="334">
        <f>U333*(1-U334)</f>
        <v>2027.32365845427</v>
      </c>
      <c r="V332" s="334">
        <f>V333*(1-V334)</f>
        <v>1496.94966761633</v>
      </c>
      <c r="W332" s="334">
        <f>W333*(1-W334)</f>
        <v>6165.408477842</v>
      </c>
      <c r="X332" s="342">
        <f>X333*(1-X334)</f>
        <v>1606.64550737595</v>
      </c>
      <c r="Y332" s="334">
        <f>Y333*(1-Y334)</f>
        <v>1616.96891418564</v>
      </c>
      <c r="Z332" s="334">
        <f>Z333*(1-Z334)</f>
        <v>2300.3109540636</v>
      </c>
      <c r="AA332" s="334">
        <f>AA333*(1-AA334)</f>
        <v>1712.23243712056</v>
      </c>
      <c r="AB332" s="334">
        <f>AB333*(1-AB334)</f>
        <v>7238.35734406439</v>
      </c>
      <c r="AC332" s="342">
        <f>AC333*(1-AC334)</f>
        <v>1709.74731626755</v>
      </c>
      <c r="AD332" s="334">
        <f>AD333*(1-AD334)</f>
        <v>1866.12015503876</v>
      </c>
      <c r="AE332" s="334">
        <f>AE333*(1-AE334)</f>
        <v>2484.33333333333</v>
      </c>
      <c r="AF332" s="334">
        <f>AF333*(1-AF334)</f>
        <v>1908.03832752613</v>
      </c>
      <c r="AG332" s="334">
        <f>AG333*(1-AG334)</f>
        <v>7969.02208201893</v>
      </c>
      <c r="AH332" s="342">
        <f>AH333*(1-AH334)</f>
        <v>1948.99301727306</v>
      </c>
      <c r="AI332" s="334">
        <f>AI333*(1-AI334)</f>
        <v>2100.23144996596</v>
      </c>
      <c r="AJ332" s="334">
        <f>AJ333*(1-AJ334)</f>
        <v>0</v>
      </c>
      <c r="AK332" s="334">
        <f>AK333*(1-AK334)</f>
        <v>0</v>
      </c>
      <c r="AL332" s="334">
        <f>AL333*(1-AL334)</f>
        <v>4118.9416303254</v>
      </c>
      <c r="AM332" s="342">
        <f>AM333*(1-AM334)</f>
        <v>0</v>
      </c>
      <c r="AN332" s="334">
        <f>AN333*(1-AN334)</f>
        <v>0</v>
      </c>
      <c r="AO332" s="334">
        <f>AO333*(1-AO334)</f>
        <v>0</v>
      </c>
      <c r="AP332" s="334">
        <f>AP333*(1-AP334)</f>
        <v>0</v>
      </c>
      <c r="AQ332" s="334">
        <f>AQ333*(1-AQ334)</f>
        <v>0</v>
      </c>
      <c r="AR332" s="342">
        <f>AR333*(1-AR334)</f>
        <v>0</v>
      </c>
      <c r="AS332" s="334">
        <f>AS333*(1-AS334)</f>
        <v>0</v>
      </c>
      <c r="AT332" s="334">
        <f>AT333*(1-AT334)</f>
        <v>0</v>
      </c>
      <c r="AU332" s="334">
        <f>AU333*(1-AU334)</f>
        <v>0</v>
      </c>
      <c r="AV332" s="334">
        <f>AV333*(1-AV334)</f>
        <v>0</v>
      </c>
      <c r="AW332" s="342">
        <f>AW333*(1-AW334)</f>
        <v>0</v>
      </c>
      <c r="AX332" s="334">
        <f>AX333*(1-AX334)</f>
        <v>0</v>
      </c>
      <c r="AY332" s="334">
        <f>AY333*(1-AY334)</f>
        <v>0</v>
      </c>
      <c r="AZ332" s="334">
        <f>AZ333*(1-AZ334)</f>
        <v>0</v>
      </c>
      <c r="BA332" s="334">
        <f>BA333*(1-BA334)</f>
        <v>0</v>
      </c>
      <c r="BB332" s="342">
        <f>BB333*(1-BB334)</f>
        <v>0</v>
      </c>
      <c r="BC332" s="334">
        <f>BC333*(1-BC334)</f>
        <v>0</v>
      </c>
      <c r="BD332" s="334">
        <f>BD333*(1-BD334)</f>
        <v>0</v>
      </c>
      <c r="BE332" s="334">
        <f>BE333*(1-BE334)</f>
        <v>0</v>
      </c>
      <c r="BF332" s="334">
        <f>BF333*(1-BF334)</f>
        <v>0</v>
      </c>
      <c r="BG332" s="342">
        <f>BG333*(1-BG334)</f>
        <v>0</v>
      </c>
      <c r="BH332" s="334">
        <f>BH333*(1-BH334)</f>
        <v>0</v>
      </c>
      <c r="BI332" s="334">
        <f>BI333*(1-BI334)</f>
        <v>0</v>
      </c>
      <c r="BJ332" s="334">
        <f>BJ333*(1-BJ334)</f>
        <v>0</v>
      </c>
      <c r="BK332" s="334">
        <f>BK333*(1-BK334)</f>
        <v>0</v>
      </c>
      <c r="BL332" s="342">
        <f>BL333*(1-BL334)</f>
        <v>0</v>
      </c>
      <c r="BM332" s="334">
        <f>BM333*(1-BM334)</f>
        <v>0</v>
      </c>
      <c r="BN332" s="334">
        <f>BN333*(1-BN334)</f>
        <v>0</v>
      </c>
      <c r="BO332" s="334">
        <f>BO333*(1-BO334)</f>
        <v>0</v>
      </c>
      <c r="BP332" s="334">
        <f>BP333*(1-BP334)</f>
        <v>0</v>
      </c>
      <c r="BQ332" s="342">
        <f>BQ333*(1-BQ334)</f>
        <v>0</v>
      </c>
      <c r="BR332" s="334">
        <f>BR333*(1-BR334)</f>
        <v>0</v>
      </c>
      <c r="BS332" s="334">
        <f>BS333*(1-BS334)</f>
        <v>0</v>
      </c>
      <c r="BT332" s="334">
        <f>BT333*(1-BT334)</f>
        <v>0</v>
      </c>
      <c r="BU332" s="334">
        <f>BU333*(1-BU334)</f>
        <v>0</v>
      </c>
      <c r="BV332" s="342">
        <f>BV333*(1-BV334)</f>
        <v>0</v>
      </c>
      <c r="BW332" s="334">
        <f>BW333*(1-BW334)</f>
        <v>0</v>
      </c>
      <c r="BX332" s="334">
        <f>BX333*(1-BX334)</f>
        <v>0</v>
      </c>
      <c r="BY332" s="334">
        <f>BY333*(1-BY334)</f>
        <v>0</v>
      </c>
      <c r="BZ332" s="334">
        <f>BZ333*(1-BZ334)</f>
        <v>0</v>
      </c>
      <c r="CA332" s="342">
        <f>CA333*(1-CA334)</f>
        <v>0</v>
      </c>
      <c r="CB332" s="334">
        <f>CB333*(1-CB334)</f>
        <v>0</v>
      </c>
      <c r="CC332" s="334">
        <f>CC333*(1-CC334)</f>
        <v>0</v>
      </c>
      <c r="CD332" s="334">
        <f>CD333*(1-CD334)</f>
        <v>0</v>
      </c>
      <c r="CE332" s="334">
        <f>CE333*(1-CE334)</f>
        <v>0</v>
      </c>
      <c r="CF332" s="342">
        <f>CF333*(1-CF334)</f>
        <v>0</v>
      </c>
      <c r="CG332" s="334">
        <f>CG333*(1-CG334)</f>
        <v>0</v>
      </c>
      <c r="CH332" s="334">
        <f>CH333*(1-CH334)</f>
        <v>0</v>
      </c>
      <c r="CI332" s="334">
        <f>CI333*(1-CI334)</f>
        <v>0</v>
      </c>
      <c r="CJ332" s="334">
        <f>CJ333*(1-CJ334)</f>
        <v>0</v>
      </c>
      <c r="CK332" s="342">
        <f>CK333*(1-CK334)</f>
        <v>0</v>
      </c>
      <c r="CL332" s="334">
        <f>CL333*(1-CL334)</f>
        <v>0</v>
      </c>
      <c r="CM332" s="334">
        <f>CM333*(1-CM334)</f>
        <v>0</v>
      </c>
      <c r="CN332" s="334">
        <f>CN333*(1-CN334)</f>
        <v>0</v>
      </c>
      <c r="CO332" s="334">
        <f>CO333*(1-CO334)</f>
        <v>0</v>
      </c>
      <c r="CP332" s="342">
        <f>CP333*(1-CP334)</f>
        <v>0</v>
      </c>
      <c r="CQ332" s="334">
        <f>CQ333*(1-CQ334)</f>
        <v>0</v>
      </c>
      <c r="CR332" s="334">
        <f>CR333*(1-CR334)</f>
        <v>0</v>
      </c>
      <c r="CS332" s="334">
        <f>CS333*(1-CS334)</f>
        <v>0</v>
      </c>
      <c r="CT332" s="334">
        <f>CT333*(1-CT334)</f>
        <v>0</v>
      </c>
      <c r="CU332" s="342">
        <f>CU333*(1-CU334)</f>
        <v>0</v>
      </c>
      <c r="CV332" s="334">
        <f>CV333*(1-CV334)</f>
        <v>0</v>
      </c>
      <c r="CW332" s="334">
        <f>CW333*(1-CW334)</f>
        <v>0</v>
      </c>
      <c r="CX332" s="334">
        <f>CX333*(1-CX334)</f>
        <v>0</v>
      </c>
      <c r="CY332" s="334">
        <f>CY333*(1-CY334)</f>
        <v>0</v>
      </c>
    </row>
    <row r="333" ht="12.75" customFormat="1" customHeight="1" s="333">
      <c r="A333" s="334" t="n"/>
      <c r="B333" s="334" t="n"/>
      <c r="C333" s="333" t="inlineStr">
        <is>
          <t>EBIT</t>
        </is>
      </c>
      <c r="D333" s="343">
        <f>D58</f>
        <v>1266</v>
      </c>
      <c r="E333" s="343">
        <f>E58</f>
        <v>1179</v>
      </c>
      <c r="F333" s="343">
        <f>F58</f>
        <v>1929</v>
      </c>
      <c r="G333" s="343">
        <f>G58</f>
        <v>1430</v>
      </c>
      <c r="H333" s="343">
        <f>H58</f>
        <v>5804</v>
      </c>
      <c r="I333" s="318">
        <f>I58</f>
        <v>1340</v>
      </c>
      <c r="J333" s="318">
        <f>J58</f>
        <v>1663</v>
      </c>
      <c r="K333" s="318">
        <f>K58</f>
        <v>2275</v>
      </c>
      <c r="L333" s="318">
        <f>L58</f>
        <v>1693</v>
      </c>
      <c r="M333" s="318">
        <f>M58</f>
        <v>6971</v>
      </c>
      <c r="N333" s="318">
        <f>N58</f>
        <v>1812</v>
      </c>
      <c r="O333" s="318">
        <f>O58</f>
        <v>1791</v>
      </c>
      <c r="P333" s="318">
        <f>P58</f>
        <v>2497</v>
      </c>
      <c r="Q333" s="318">
        <f>Q58</f>
        <v>1751</v>
      </c>
      <c r="R333" s="318">
        <f>R58</f>
        <v>7851</v>
      </c>
      <c r="S333" s="318">
        <f>S58</f>
        <v>1903</v>
      </c>
      <c r="T333" s="318">
        <f>T58</f>
        <v>1679</v>
      </c>
      <c r="U333" s="318">
        <f>U58</f>
        <v>2781</v>
      </c>
      <c r="V333" s="318">
        <f>V58</f>
        <v>1984</v>
      </c>
      <c r="W333" s="318">
        <f>W58</f>
        <v>8347</v>
      </c>
      <c r="X333" s="318">
        <f>X58</f>
        <v>2062</v>
      </c>
      <c r="Y333" s="318">
        <f>Y58</f>
        <v>2197</v>
      </c>
      <c r="Z333" s="318">
        <f>Z58</f>
        <v>3042</v>
      </c>
      <c r="AA333" s="318">
        <f>AA58</f>
        <v>2196</v>
      </c>
      <c r="AB333" s="318">
        <f>AB58</f>
        <v>9497</v>
      </c>
      <c r="AC333" s="318">
        <f>AC58</f>
        <v>2316</v>
      </c>
      <c r="AD333" s="318">
        <f>AD58</f>
        <v>2530</v>
      </c>
      <c r="AE333" s="318">
        <f>AE58</f>
        <v>3341</v>
      </c>
      <c r="AF333" s="318">
        <f>AF58</f>
        <v>2463</v>
      </c>
      <c r="AG333" s="318">
        <f>AG58</f>
        <v>10650</v>
      </c>
      <c r="AH333" s="318">
        <f>AH58</f>
        <v>2606</v>
      </c>
      <c r="AI333" s="318">
        <f>AI58</f>
        <v>2815</v>
      </c>
      <c r="AJ333" s="318">
        <f>AJ58</f>
        <v>0</v>
      </c>
      <c r="AK333" s="318">
        <f>AK58</f>
        <v>0</v>
      </c>
      <c r="AL333" s="318">
        <f>AL58</f>
        <v>5421</v>
      </c>
      <c r="AM333" s="318">
        <f>AM58</f>
        <v>0</v>
      </c>
      <c r="AN333" s="318">
        <f>AN58</f>
        <v>0</v>
      </c>
      <c r="AO333" s="318">
        <f>AO58</f>
        <v>0</v>
      </c>
      <c r="AP333" s="318">
        <f>AP58</f>
        <v>0</v>
      </c>
      <c r="AQ333" s="318">
        <f>AQ58</f>
        <v>0</v>
      </c>
      <c r="AR333" s="318">
        <f>AR58</f>
        <v>0</v>
      </c>
      <c r="AS333" s="318">
        <f>AS58</f>
        <v>0</v>
      </c>
      <c r="AT333" s="318">
        <f>AT58</f>
        <v>0</v>
      </c>
      <c r="AU333" s="318">
        <f>AU58</f>
        <v>0</v>
      </c>
      <c r="AV333" s="318">
        <f>AV58</f>
        <v>0</v>
      </c>
      <c r="AW333" s="318">
        <f>AW58</f>
        <v>0</v>
      </c>
      <c r="AX333" s="318">
        <f>AX58</f>
        <v>0</v>
      </c>
      <c r="AY333" s="318">
        <f>AY58</f>
        <v>0</v>
      </c>
      <c r="AZ333" s="318">
        <f>AZ58</f>
        <v>0</v>
      </c>
      <c r="BA333" s="318">
        <f>BA58</f>
        <v>0</v>
      </c>
      <c r="BB333" s="318">
        <f>BB58</f>
        <v>0</v>
      </c>
      <c r="BC333" s="318">
        <f>BC58</f>
        <v>0</v>
      </c>
      <c r="BD333" s="318">
        <f>BD58</f>
        <v>0</v>
      </c>
      <c r="BE333" s="318">
        <f>BE58</f>
        <v>0</v>
      </c>
      <c r="BF333" s="318">
        <f>BF58</f>
        <v>0</v>
      </c>
      <c r="BG333" s="318">
        <f>BG58</f>
        <v>0</v>
      </c>
      <c r="BH333" s="318">
        <f>BH58</f>
        <v>0</v>
      </c>
      <c r="BI333" s="318">
        <f>BI58</f>
        <v>0</v>
      </c>
      <c r="BJ333" s="318">
        <f>BJ58</f>
        <v>0</v>
      </c>
      <c r="BK333" s="318">
        <f>BK58</f>
        <v>0</v>
      </c>
      <c r="BL333" s="318">
        <f>BL58</f>
        <v>0</v>
      </c>
      <c r="BM333" s="318">
        <f>BM58</f>
        <v>0</v>
      </c>
      <c r="BN333" s="318">
        <f>BN58</f>
        <v>0</v>
      </c>
      <c r="BO333" s="318">
        <f>BO58</f>
        <v>0</v>
      </c>
      <c r="BP333" s="318">
        <f>BP58</f>
        <v>0</v>
      </c>
      <c r="BQ333" s="318">
        <f>BQ58</f>
        <v>0</v>
      </c>
      <c r="BR333" s="318">
        <f>BR58</f>
        <v>0</v>
      </c>
      <c r="BS333" s="318">
        <f>BS58</f>
        <v>0</v>
      </c>
      <c r="BT333" s="318">
        <f>BT58</f>
        <v>0</v>
      </c>
      <c r="BU333" s="318">
        <f>BU58</f>
        <v>0</v>
      </c>
      <c r="BV333" s="318">
        <f>BV58</f>
        <v>0</v>
      </c>
      <c r="BW333" s="318">
        <f>BW58</f>
        <v>0</v>
      </c>
      <c r="BX333" s="318">
        <f>BX58</f>
        <v>0</v>
      </c>
      <c r="BY333" s="318">
        <f>BY58</f>
        <v>0</v>
      </c>
      <c r="BZ333" s="318">
        <f>BZ58</f>
        <v>0</v>
      </c>
      <c r="CA333" s="318">
        <f>CA58</f>
        <v>0</v>
      </c>
      <c r="CB333" s="318">
        <f>CB58</f>
        <v>0</v>
      </c>
      <c r="CC333" s="318">
        <f>CC58</f>
        <v>0</v>
      </c>
      <c r="CD333" s="318">
        <f>CD58</f>
        <v>0</v>
      </c>
      <c r="CE333" s="318">
        <f>CE58</f>
        <v>0</v>
      </c>
      <c r="CF333" s="318">
        <f>CF58</f>
        <v>0</v>
      </c>
      <c r="CG333" s="318">
        <f>CG58</f>
        <v>0</v>
      </c>
      <c r="CH333" s="318">
        <f>CH58</f>
        <v>0</v>
      </c>
      <c r="CI333" s="318">
        <f>CI58</f>
        <v>0</v>
      </c>
      <c r="CJ333" s="318">
        <f>CJ58</f>
        <v>0</v>
      </c>
      <c r="CK333" s="318">
        <f>CK58</f>
        <v>0</v>
      </c>
      <c r="CL333" s="318">
        <f>CL58</f>
        <v>0</v>
      </c>
      <c r="CM333" s="318">
        <f>CM58</f>
        <v>0</v>
      </c>
      <c r="CN333" s="318">
        <f>CN58</f>
        <v>0</v>
      </c>
      <c r="CO333" s="318">
        <f>CO58</f>
        <v>0</v>
      </c>
      <c r="CP333" s="318">
        <f>CP58</f>
        <v>0</v>
      </c>
      <c r="CQ333" s="318">
        <f>CQ58</f>
        <v>0</v>
      </c>
      <c r="CR333" s="318">
        <f>CR58</f>
        <v>0</v>
      </c>
      <c r="CS333" s="318">
        <f>CS58</f>
        <v>0</v>
      </c>
      <c r="CT333" s="318">
        <f>CT58</f>
        <v>0</v>
      </c>
      <c r="CU333" s="318">
        <f>CU58</f>
        <v>0</v>
      </c>
      <c r="CV333" s="318">
        <f>CV58</f>
        <v>0</v>
      </c>
      <c r="CW333" s="318">
        <f>CW58</f>
        <v>0</v>
      </c>
      <c r="CX333" s="318">
        <f>CX58</f>
        <v>0</v>
      </c>
      <c r="CY333" s="318">
        <f>CY58</f>
        <v>0</v>
      </c>
    </row>
    <row r="334" ht="12.75" customFormat="1" customHeight="1" s="333">
      <c r="A334" s="334" t="n"/>
      <c r="B334" s="334" t="n"/>
      <c r="C334" s="333" t="inlineStr">
        <is>
          <t>ETR</t>
        </is>
      </c>
      <c r="D334" s="344">
        <f>D117</f>
        <v>0.258418167580266</v>
      </c>
      <c r="E334" s="344">
        <f>E117</f>
        <v>0.267411865864144</v>
      </c>
      <c r="F334" s="344">
        <f>F117</f>
        <v>0.248796147672552</v>
      </c>
      <c r="G334" s="344">
        <f>G117</f>
        <v>0.16830985915493</v>
      </c>
      <c r="H334" s="344">
        <f>H117</f>
        <v>0.234770466049921</v>
      </c>
      <c r="I334" s="345">
        <f>I117</f>
        <v>0.263836239575436</v>
      </c>
      <c r="J334" s="345">
        <f>J117</f>
        <v>0.252727272727273</v>
      </c>
      <c r="K334" s="345">
        <f>K117</f>
        <v>0.260584897424705</v>
      </c>
      <c r="L334" s="345">
        <f>L117</f>
        <v>0.206957547169811</v>
      </c>
      <c r="M334" s="345">
        <f>M117</f>
        <v>0.246262219666475</v>
      </c>
      <c r="N334" s="345">
        <f>N117</f>
        <v>0.267073847862299</v>
      </c>
      <c r="O334" s="345">
        <f>O117</f>
        <v>0.24904214559387</v>
      </c>
      <c r="P334" s="345">
        <f>P117</f>
        <v>0.253577106518283</v>
      </c>
      <c r="Q334" s="345">
        <f>Q117</f>
        <v>0.229378531073446</v>
      </c>
      <c r="R334" s="345">
        <f>R117</f>
        <v>0.250189537528431</v>
      </c>
      <c r="S334" s="345">
        <f>S117</f>
        <v>0.260716086737267</v>
      </c>
      <c r="T334" s="345">
        <f>T117</f>
        <v>0.264822134387352</v>
      </c>
      <c r="U334" s="345">
        <f>U117</f>
        <v>0.271009112386095</v>
      </c>
      <c r="V334" s="345">
        <f>V117</f>
        <v>0.245489078822412</v>
      </c>
      <c r="W334" s="345">
        <f>W117</f>
        <v>0.261362348407571</v>
      </c>
      <c r="X334" s="345">
        <f>X117</f>
        <v>0.220831470719714</v>
      </c>
      <c r="Y334" s="345">
        <f>Y117</f>
        <v>0.264010507880911</v>
      </c>
      <c r="Z334" s="345">
        <f>Z117</f>
        <v>0.243816254416961</v>
      </c>
      <c r="AA334" s="345">
        <f>AA117</f>
        <v>0.220294882914137</v>
      </c>
      <c r="AB334" s="345">
        <f>AB117</f>
        <v>0.237826961770624</v>
      </c>
      <c r="AC334" s="345">
        <f>AC117</f>
        <v>0.261767134599505</v>
      </c>
      <c r="AD334" s="345">
        <f>AD117</f>
        <v>0.262403100775194</v>
      </c>
      <c r="AE334" s="345">
        <f>AE117</f>
        <v>0.256410256410256</v>
      </c>
      <c r="AF334" s="345">
        <f>AF117</f>
        <v>0.225319396051103</v>
      </c>
      <c r="AG334" s="345">
        <f>AG117</f>
        <v>0.251735015772871</v>
      </c>
      <c r="AH334" s="345">
        <f>AH117</f>
        <v>0.252113193678795</v>
      </c>
      <c r="AI334" s="345">
        <f>AI117</f>
        <v>0.253914227365555</v>
      </c>
      <c r="AJ334" s="345">
        <f>AJ117</f>
        <v>0</v>
      </c>
      <c r="AK334" s="345">
        <f>AK117</f>
        <v>0</v>
      </c>
      <c r="AL334" s="345">
        <f>AL117</f>
        <v>0.240187856424019</v>
      </c>
      <c r="AM334" s="345">
        <f>AM117</f>
        <v>0</v>
      </c>
      <c r="AN334" s="345">
        <f>AN117</f>
        <v>0</v>
      </c>
      <c r="AO334" s="345">
        <f>AO117</f>
        <v>0</v>
      </c>
      <c r="AP334" s="345">
        <f>AP117</f>
        <v>0</v>
      </c>
      <c r="AQ334" s="345">
        <f>AQ117</f>
        <v>0</v>
      </c>
      <c r="AR334" s="345">
        <f>AR117</f>
        <v>0</v>
      </c>
      <c r="AS334" s="345">
        <f>AS117</f>
        <v>0</v>
      </c>
      <c r="AT334" s="345">
        <f>AT117</f>
        <v>0</v>
      </c>
      <c r="AU334" s="345">
        <f>AU117</f>
        <v>0</v>
      </c>
      <c r="AV334" s="345">
        <f>AV117</f>
        <v>0</v>
      </c>
      <c r="AW334" s="345">
        <f>AW117</f>
        <v>0</v>
      </c>
      <c r="AX334" s="345">
        <f>AX117</f>
        <v>0</v>
      </c>
      <c r="AY334" s="345">
        <f>AY117</f>
        <v>0</v>
      </c>
      <c r="AZ334" s="345">
        <f>AZ117</f>
        <v>0</v>
      </c>
      <c r="BA334" s="345">
        <f>BA117</f>
        <v>0</v>
      </c>
      <c r="BB334" s="345">
        <f>BB117</f>
        <v>0</v>
      </c>
      <c r="BC334" s="345">
        <f>BC117</f>
        <v>0</v>
      </c>
      <c r="BD334" s="345">
        <f>BD117</f>
        <v>0</v>
      </c>
      <c r="BE334" s="345">
        <f>BE117</f>
        <v>0</v>
      </c>
      <c r="BF334" s="345">
        <f>BF117</f>
        <v>0</v>
      </c>
      <c r="BG334" s="345">
        <f>BG117</f>
        <v>0</v>
      </c>
      <c r="BH334" s="345">
        <f>BH117</f>
        <v>0</v>
      </c>
      <c r="BI334" s="345">
        <f>BI117</f>
        <v>0</v>
      </c>
      <c r="BJ334" s="345">
        <f>BJ117</f>
        <v>0</v>
      </c>
      <c r="BK334" s="345">
        <f>BK117</f>
        <v>0</v>
      </c>
      <c r="BL334" s="345">
        <f>BL117</f>
        <v>0</v>
      </c>
      <c r="BM334" s="345">
        <f>BM117</f>
        <v>0</v>
      </c>
      <c r="BN334" s="345">
        <f>BN117</f>
        <v>0</v>
      </c>
      <c r="BO334" s="345">
        <f>BO117</f>
        <v>0</v>
      </c>
      <c r="BP334" s="345">
        <f>BP117</f>
        <v>0</v>
      </c>
      <c r="BQ334" s="345">
        <f>BQ117</f>
        <v>0</v>
      </c>
      <c r="BR334" s="345">
        <f>BR117</f>
        <v>0</v>
      </c>
      <c r="BS334" s="345">
        <f>BS117</f>
        <v>0</v>
      </c>
      <c r="BT334" s="345">
        <f>BT117</f>
        <v>0</v>
      </c>
      <c r="BU334" s="345">
        <f>BU117</f>
        <v>0</v>
      </c>
      <c r="BV334" s="345">
        <f>BV117</f>
        <v>0</v>
      </c>
      <c r="BW334" s="345">
        <f>BW117</f>
        <v>0</v>
      </c>
      <c r="BX334" s="345">
        <f>BX117</f>
        <v>0</v>
      </c>
      <c r="BY334" s="345">
        <f>BY117</f>
        <v>0</v>
      </c>
      <c r="BZ334" s="345">
        <f>BZ117</f>
        <v>0</v>
      </c>
      <c r="CA334" s="345">
        <f>CA117</f>
        <v>0</v>
      </c>
      <c r="CB334" s="345">
        <f>CB117</f>
        <v>0</v>
      </c>
      <c r="CC334" s="345">
        <f>CC117</f>
        <v>0</v>
      </c>
      <c r="CD334" s="345">
        <f>CD117</f>
        <v>0</v>
      </c>
      <c r="CE334" s="345">
        <f>CE117</f>
        <v>0</v>
      </c>
      <c r="CF334" s="345">
        <f>CF117</f>
        <v>0</v>
      </c>
      <c r="CG334" s="345">
        <f>CG117</f>
        <v>0</v>
      </c>
      <c r="CH334" s="345">
        <f>CH117</f>
        <v>0</v>
      </c>
      <c r="CI334" s="345">
        <f>CI117</f>
        <v>0</v>
      </c>
      <c r="CJ334" s="345">
        <f>CJ117</f>
        <v>0</v>
      </c>
      <c r="CK334" s="345">
        <f>CK117</f>
        <v>0</v>
      </c>
      <c r="CL334" s="345">
        <f>CL117</f>
        <v>0</v>
      </c>
      <c r="CM334" s="345">
        <f>CM117</f>
        <v>0</v>
      </c>
      <c r="CN334" s="345">
        <f>CN117</f>
        <v>0</v>
      </c>
      <c r="CO334" s="345">
        <f>CO117</f>
        <v>0</v>
      </c>
      <c r="CP334" s="345">
        <f>CP117</f>
        <v>0</v>
      </c>
      <c r="CQ334" s="345">
        <f>CQ117</f>
        <v>0</v>
      </c>
      <c r="CR334" s="345">
        <f>CR117</f>
        <v>0</v>
      </c>
      <c r="CS334" s="345">
        <f>CS117</f>
        <v>0</v>
      </c>
      <c r="CT334" s="345">
        <f>CT117</f>
        <v>0</v>
      </c>
      <c r="CU334" s="345">
        <f>CU117</f>
        <v>0</v>
      </c>
      <c r="CV334" s="345">
        <f>CV117</f>
        <v>0</v>
      </c>
      <c r="CW334" s="345">
        <f>CW117</f>
        <v>0</v>
      </c>
      <c r="CX334" s="345">
        <f>CX117</f>
        <v>0</v>
      </c>
      <c r="CY334" s="345">
        <f>CY117</f>
        <v>0</v>
      </c>
    </row>
    <row r="335" ht="12.75" customFormat="1" customHeight="1" s="333">
      <c r="A335" s="334" t="n"/>
      <c r="B335" s="334" t="n"/>
      <c r="C335" s="333" t="inlineStr">
        <is>
          <t>INVESTED CAPITAL</t>
        </is>
      </c>
      <c r="D335" s="343">
        <f>D338-D339+D340</f>
        <v>16329</v>
      </c>
      <c r="E335" s="343">
        <f>E338-E339+E340</f>
        <v>17059</v>
      </c>
      <c r="F335" s="343">
        <f>F338-F339+F340</f>
        <v>15567</v>
      </c>
      <c r="G335" s="343">
        <f>G338-G339+G340</f>
        <v>11085</v>
      </c>
      <c r="H335" s="343">
        <f>H338-H339+H340</f>
        <v>11085</v>
      </c>
      <c r="I335" s="318">
        <f>I338-I339+I340</f>
        <v>17143</v>
      </c>
      <c r="J335" s="318">
        <f>J338-J339+J340</f>
        <v>16076</v>
      </c>
      <c r="K335" s="318">
        <f>K338-K339+K340</f>
        <v>16036</v>
      </c>
      <c r="L335" s="318">
        <f>L338-L339+L340</f>
        <v>15639</v>
      </c>
      <c r="M335" s="318">
        <f>M338-M339+M340</f>
        <v>15639</v>
      </c>
      <c r="N335" s="318">
        <f>N338-N339+N340</f>
        <v>16926</v>
      </c>
      <c r="O335" s="318">
        <f>O338-O339+O340</f>
        <v>17718</v>
      </c>
      <c r="P335" s="318">
        <f>P338-P339+P340</f>
        <v>18637</v>
      </c>
      <c r="Q335" s="318">
        <f>Q338-Q339+Q340</f>
        <v>18849</v>
      </c>
      <c r="R335" s="318">
        <f>R338-R339+R340</f>
        <v>18849</v>
      </c>
      <c r="S335" s="318">
        <f>S338-S339+S340</f>
        <v>18233</v>
      </c>
      <c r="T335" s="318">
        <f>T338-T339+T340</f>
        <v>18869</v>
      </c>
      <c r="U335" s="318">
        <f>U338-U339+U340</f>
        <v>18708</v>
      </c>
      <c r="V335" s="318">
        <f>V338-V339+V340</f>
        <v>17630</v>
      </c>
      <c r="W335" s="318">
        <f>W338-W339+W340</f>
        <v>17630</v>
      </c>
      <c r="X335" s="318">
        <f>X338-X339+X340</f>
        <v>19872</v>
      </c>
      <c r="Y335" s="318">
        <f>Y338-Y339+Y340</f>
        <v>19569</v>
      </c>
      <c r="Z335" s="318">
        <f>Z338-Z339+Z340</f>
        <v>20750</v>
      </c>
      <c r="AA335" s="318">
        <f>AA338-AA339+AA340</f>
        <v>20657</v>
      </c>
      <c r="AB335" s="318">
        <f>AB338-AB339+AB340</f>
        <v>20657</v>
      </c>
      <c r="AC335" s="318">
        <f>AC338-AC339+AC340</f>
        <v>20458</v>
      </c>
      <c r="AD335" s="318">
        <f>AD338-AD339+AD340</f>
        <v>20455</v>
      </c>
      <c r="AE335" s="318">
        <f>AE338-AE339+AE340</f>
        <v>22053</v>
      </c>
      <c r="AF335" s="318">
        <f>AF338-AF339+AF340</f>
        <v>21222</v>
      </c>
      <c r="AG335" s="318">
        <f>AG338-AG339+AG340</f>
        <v>21222</v>
      </c>
      <c r="AH335" s="318">
        <f>AH338-AH339+AH340</f>
        <v>22012</v>
      </c>
      <c r="AI335" s="318">
        <f>AI338-AI339+AI340</f>
        <v>21649</v>
      </c>
      <c r="AJ335" s="318">
        <f>AJ338-AJ339+AJ340</f>
        <v>29010</v>
      </c>
      <c r="AK335" s="318">
        <f>AK338-AK339+AK340</f>
        <v>29010</v>
      </c>
      <c r="AL335" s="318">
        <f>AL338-AL339+AL340</f>
        <v>29010</v>
      </c>
      <c r="AM335" s="318" t="e">
        <f>AM338-AM339+AM340</f>
        <v>#DIV/0!</v>
      </c>
      <c r="AN335" s="318">
        <f>AN338-AN339+AN340</f>
        <v>29010</v>
      </c>
      <c r="AO335" s="318" t="e">
        <f>AO338-AO339+AO340</f>
        <v>#DIV/0!</v>
      </c>
      <c r="AP335" s="318" t="e">
        <f>AP338-AP339+AP340</f>
        <v>#DIV/0!</v>
      </c>
      <c r="AQ335" s="318" t="e">
        <f>AQ338-AQ339+AQ340</f>
        <v>#DIV/0!</v>
      </c>
      <c r="AR335" s="318" t="e">
        <f>AR338-AR339+AR340</f>
        <v>#DIV/0!</v>
      </c>
      <c r="AS335" s="318" t="e">
        <f>AS338-AS339+AS340</f>
        <v>#DIV/0!</v>
      </c>
      <c r="AT335" s="318" t="e">
        <f>AT338-AT339+AT340</f>
        <v>#DIV/0!</v>
      </c>
      <c r="AU335" s="318" t="e">
        <f>AU338-AU339+AU340</f>
        <v>#DIV/0!</v>
      </c>
      <c r="AV335" s="318" t="e">
        <f>AV338-AV339+AV340</f>
        <v>#DIV/0!</v>
      </c>
      <c r="AW335" s="318" t="e">
        <f>AW338-AW339+AW340</f>
        <v>#DIV/0!</v>
      </c>
      <c r="AX335" s="318" t="e">
        <f>AX338-AX339+AX340</f>
        <v>#DIV/0!</v>
      </c>
      <c r="AY335" s="318" t="e">
        <f>AY338-AY339+AY340</f>
        <v>#DIV/0!</v>
      </c>
      <c r="AZ335" s="318" t="e">
        <f>AZ338-AZ339+AZ340</f>
        <v>#DIV/0!</v>
      </c>
      <c r="BA335" s="318" t="e">
        <f>BA338-BA339+BA340</f>
        <v>#DIV/0!</v>
      </c>
      <c r="BB335" s="318" t="e">
        <f>BB338-BB339+BB340</f>
        <v>#DIV/0!</v>
      </c>
      <c r="BC335" s="318" t="e">
        <f>BC338-BC339+BC340</f>
        <v>#DIV/0!</v>
      </c>
      <c r="BD335" s="318" t="e">
        <f>BD338-BD339+BD340</f>
        <v>#DIV/0!</v>
      </c>
      <c r="BE335" s="318" t="e">
        <f>BE338-BE339+BE340</f>
        <v>#DIV/0!</v>
      </c>
      <c r="BF335" s="318" t="e">
        <f>BF338-BF339+BF340</f>
        <v>#DIV/0!</v>
      </c>
      <c r="BG335" s="318" t="e">
        <f>BG338-BG339+BG340</f>
        <v>#DIV/0!</v>
      </c>
      <c r="BH335" s="318" t="e">
        <f>BH338-BH339+BH340</f>
        <v>#DIV/0!</v>
      </c>
      <c r="BI335" s="318" t="e">
        <f>BI338-BI339+BI340</f>
        <v>#DIV/0!</v>
      </c>
      <c r="BJ335" s="318" t="e">
        <f>BJ338-BJ339+BJ340</f>
        <v>#DIV/0!</v>
      </c>
      <c r="BK335" s="318" t="e">
        <f>BK338-BK339+BK340</f>
        <v>#DIV/0!</v>
      </c>
      <c r="BL335" s="318" t="e">
        <f>BL338-BL339+BL340</f>
        <v>#DIV/0!</v>
      </c>
      <c r="BM335" s="318" t="e">
        <f>BM338-BM339+BM340</f>
        <v>#DIV/0!</v>
      </c>
      <c r="BN335" s="318" t="e">
        <f>BN338-BN339+BN340</f>
        <v>#DIV/0!</v>
      </c>
      <c r="BO335" s="318" t="e">
        <f>BO338-BO339+BO340</f>
        <v>#DIV/0!</v>
      </c>
      <c r="BP335" s="318" t="e">
        <f>BP338-BP339+BP340</f>
        <v>#DIV/0!</v>
      </c>
      <c r="BQ335" s="318" t="e">
        <f>BQ338-BQ339+BQ340</f>
        <v>#DIV/0!</v>
      </c>
      <c r="BR335" s="318" t="e">
        <f>BR338-BR339+BR340</f>
        <v>#DIV/0!</v>
      </c>
      <c r="BS335" s="318" t="e">
        <f>BS338-BS339+BS340</f>
        <v>#DIV/0!</v>
      </c>
      <c r="BT335" s="318" t="e">
        <f>BT338-BT339+BT340</f>
        <v>#DIV/0!</v>
      </c>
      <c r="BU335" s="318" t="e">
        <f>BU338-BU339+BU340</f>
        <v>#DIV/0!</v>
      </c>
      <c r="BV335" s="318" t="e">
        <f>BV338-BV339+BV340</f>
        <v>#DIV/0!</v>
      </c>
      <c r="BW335" s="318" t="e">
        <f>BW338-BW339+BW340</f>
        <v>#DIV/0!</v>
      </c>
      <c r="BX335" s="318" t="e">
        <f>BX338-BX339+BX340</f>
        <v>#DIV/0!</v>
      </c>
      <c r="BY335" s="318" t="e">
        <f>BY338-BY339+BY340</f>
        <v>#DIV/0!</v>
      </c>
      <c r="BZ335" s="318" t="e">
        <f>BZ338-BZ339+BZ340</f>
        <v>#DIV/0!</v>
      </c>
      <c r="CA335" s="318" t="e">
        <f>CA338-CA339+CA340</f>
        <v>#DIV/0!</v>
      </c>
      <c r="CB335" s="318" t="e">
        <f>CB338-CB339+CB340</f>
        <v>#DIV/0!</v>
      </c>
      <c r="CC335" s="318" t="e">
        <f>CC338-CC339+CC340</f>
        <v>#DIV/0!</v>
      </c>
      <c r="CD335" s="318" t="e">
        <f>CD338-CD339+CD340</f>
        <v>#DIV/0!</v>
      </c>
      <c r="CE335" s="318" t="e">
        <f>CE338-CE339+CE340</f>
        <v>#DIV/0!</v>
      </c>
      <c r="CF335" s="318" t="e">
        <f>CF338-CF339+CF340</f>
        <v>#DIV/0!</v>
      </c>
      <c r="CG335" s="318" t="e">
        <f>CG338-CG339+CG340</f>
        <v>#DIV/0!</v>
      </c>
      <c r="CH335" s="318" t="e">
        <f>CH338-CH339+CH340</f>
        <v>#DIV/0!</v>
      </c>
      <c r="CI335" s="318" t="e">
        <f>CI338-CI339+CI340</f>
        <v>#DIV/0!</v>
      </c>
      <c r="CJ335" s="318" t="e">
        <f>CJ338-CJ339+CJ340</f>
        <v>#DIV/0!</v>
      </c>
      <c r="CK335" s="318" t="e">
        <f>CK338-CK339+CK340</f>
        <v>#DIV/0!</v>
      </c>
      <c r="CL335" s="318" t="e">
        <f>CL338-CL339+CL340</f>
        <v>#DIV/0!</v>
      </c>
      <c r="CM335" s="318" t="e">
        <f>CM338-CM339+CM340</f>
        <v>#DIV/0!</v>
      </c>
      <c r="CN335" s="318" t="e">
        <f>CN338-CN339+CN340</f>
        <v>#DIV/0!</v>
      </c>
      <c r="CO335" s="318" t="e">
        <f>CO338-CO339+CO340</f>
        <v>#DIV/0!</v>
      </c>
      <c r="CP335" s="318" t="e">
        <f>CP338-CP339+CP340</f>
        <v>#DIV/0!</v>
      </c>
      <c r="CQ335" s="318" t="e">
        <f>CQ338-CQ339+CQ340</f>
        <v>#DIV/0!</v>
      </c>
      <c r="CR335" s="318" t="e">
        <f>CR338-CR339+CR340</f>
        <v>#DIV/0!</v>
      </c>
      <c r="CS335" s="318" t="e">
        <f>CS338-CS339+CS340</f>
        <v>#DIV/0!</v>
      </c>
      <c r="CT335" s="318" t="e">
        <f>CT338-CT339+CT340</f>
        <v>#DIV/0!</v>
      </c>
      <c r="CU335" s="318" t="e">
        <f>CU338-CU339+CU340</f>
        <v>#DIV/0!</v>
      </c>
      <c r="CV335" s="318" t="e">
        <f>CV338-CV339+CV340</f>
        <v>#DIV/0!</v>
      </c>
      <c r="CW335" s="318" t="e">
        <f>CW338-CW339+CW340</f>
        <v>#DIV/0!</v>
      </c>
      <c r="CX335" s="318" t="e">
        <f>CX338-CX339+CX340</f>
        <v>#DIV/0!</v>
      </c>
      <c r="CY335" s="318" t="e">
        <f>CY338-CY339+CY340</f>
        <v>#DIV/0!</v>
      </c>
    </row>
    <row r="336" ht="12.75" customFormat="1" customHeight="1" s="333">
      <c r="A336" s="334" t="n"/>
      <c r="B336" s="334" t="n"/>
      <c r="C336" s="333" t="inlineStr">
        <is>
          <t>INVESTED CAPITAL - EX GOODWILL</t>
        </is>
      </c>
      <c r="D336" s="346">
        <f>D335-D164</f>
        <v>16329</v>
      </c>
      <c r="E336" s="346">
        <f>E335-E164</f>
        <v>17059</v>
      </c>
      <c r="F336" s="346">
        <f>F335-F164</f>
        <v>15567</v>
      </c>
      <c r="G336" s="346">
        <f>G335-G164</f>
        <v>11085</v>
      </c>
      <c r="H336" s="346">
        <f>H335-H164</f>
        <v>11085</v>
      </c>
      <c r="I336" s="347">
        <f>I335-I164</f>
        <v>17143</v>
      </c>
      <c r="J336" s="347">
        <f>J335-J164</f>
        <v>16076</v>
      </c>
      <c r="K336" s="347">
        <f>K335-K164</f>
        <v>16036</v>
      </c>
      <c r="L336" s="347">
        <f>L335-L164</f>
        <v>15639</v>
      </c>
      <c r="M336" s="347">
        <f>M335-M164</f>
        <v>15639</v>
      </c>
      <c r="N336" s="347">
        <f>N335-N164</f>
        <v>16926</v>
      </c>
      <c r="O336" s="347">
        <f>O335-O164</f>
        <v>17718</v>
      </c>
      <c r="P336" s="347">
        <f>P335-P164</f>
        <v>18637</v>
      </c>
      <c r="Q336" s="347">
        <f>Q335-Q164</f>
        <v>18849</v>
      </c>
      <c r="R336" s="347">
        <f>R335-R164</f>
        <v>18849</v>
      </c>
      <c r="S336" s="347">
        <f>S335-S164</f>
        <v>18233</v>
      </c>
      <c r="T336" s="347">
        <f>T335-T164</f>
        <v>18869</v>
      </c>
      <c r="U336" s="347">
        <f>U335-U164</f>
        <v>18708</v>
      </c>
      <c r="V336" s="347">
        <f>V335-V164</f>
        <v>17630</v>
      </c>
      <c r="W336" s="347">
        <f>W335-W164</f>
        <v>17630</v>
      </c>
      <c r="X336" s="347">
        <f>X335-X164</f>
        <v>19872</v>
      </c>
      <c r="Y336" s="347">
        <f>Y335-Y164</f>
        <v>19569</v>
      </c>
      <c r="Z336" s="347">
        <f>Z335-Z164</f>
        <v>20750</v>
      </c>
      <c r="AA336" s="347">
        <f>AA335-AA164</f>
        <v>20657</v>
      </c>
      <c r="AB336" s="347">
        <f>AB335-AB164</f>
        <v>20657</v>
      </c>
      <c r="AC336" s="347">
        <f>AC335-AC164</f>
        <v>20458</v>
      </c>
      <c r="AD336" s="347">
        <f>AD335-AD164</f>
        <v>20455</v>
      </c>
      <c r="AE336" s="347">
        <f>AE335-AE164</f>
        <v>22053</v>
      </c>
      <c r="AF336" s="347">
        <f>AF335-AF164</f>
        <v>21222</v>
      </c>
      <c r="AG336" s="347">
        <f>AG335-AG164</f>
        <v>21222</v>
      </c>
      <c r="AH336" s="347">
        <f>AH335-AH164</f>
        <v>22012</v>
      </c>
      <c r="AI336" s="347">
        <f>AI335-AI164</f>
        <v>21649</v>
      </c>
      <c r="AJ336" s="347">
        <f>AJ335-AJ164</f>
        <v>29010</v>
      </c>
      <c r="AK336" s="347">
        <f>AK335-AK164</f>
        <v>29010</v>
      </c>
      <c r="AL336" s="347">
        <f>AL335-AL164</f>
        <v>29010</v>
      </c>
      <c r="AM336" s="347" t="e">
        <f>AM335-AM164</f>
        <v>#DIV/0!</v>
      </c>
      <c r="AN336" s="347">
        <f>AN335-AN164</f>
        <v>29010</v>
      </c>
      <c r="AO336" s="347" t="e">
        <f>AO335-AO164</f>
        <v>#DIV/0!</v>
      </c>
      <c r="AP336" s="347" t="e">
        <f>AP335-AP164</f>
        <v>#DIV/0!</v>
      </c>
      <c r="AQ336" s="347" t="e">
        <f>AQ335-AQ164</f>
        <v>#DIV/0!</v>
      </c>
      <c r="AR336" s="347" t="e">
        <f>AR335-AR164</f>
        <v>#DIV/0!</v>
      </c>
      <c r="AS336" s="347" t="e">
        <f>AS335-AS164</f>
        <v>#DIV/0!</v>
      </c>
      <c r="AT336" s="347" t="e">
        <f>AT335-AT164</f>
        <v>#DIV/0!</v>
      </c>
      <c r="AU336" s="347" t="e">
        <f>AU335-AU164</f>
        <v>#DIV/0!</v>
      </c>
      <c r="AV336" s="347" t="e">
        <f>AV335-AV164</f>
        <v>#DIV/0!</v>
      </c>
      <c r="AW336" s="347" t="e">
        <f>AW335-AW164</f>
        <v>#DIV/0!</v>
      </c>
      <c r="AX336" s="347" t="e">
        <f>AX335-AX164</f>
        <v>#DIV/0!</v>
      </c>
      <c r="AY336" s="347" t="e">
        <f>AY335-AY164</f>
        <v>#DIV/0!</v>
      </c>
      <c r="AZ336" s="347" t="e">
        <f>AZ335-AZ164</f>
        <v>#DIV/0!</v>
      </c>
      <c r="BA336" s="347" t="e">
        <f>BA335-BA164</f>
        <v>#DIV/0!</v>
      </c>
      <c r="BB336" s="347" t="e">
        <f>BB335-BB164</f>
        <v>#DIV/0!</v>
      </c>
      <c r="BC336" s="347" t="e">
        <f>BC335-BC164</f>
        <v>#DIV/0!</v>
      </c>
      <c r="BD336" s="347" t="e">
        <f>BD335-BD164</f>
        <v>#DIV/0!</v>
      </c>
      <c r="BE336" s="347" t="e">
        <f>BE335-BE164</f>
        <v>#DIV/0!</v>
      </c>
      <c r="BF336" s="347" t="e">
        <f>BF335-BF164</f>
        <v>#DIV/0!</v>
      </c>
      <c r="BG336" s="347" t="e">
        <f>BG335-BG164</f>
        <v>#DIV/0!</v>
      </c>
      <c r="BH336" s="347" t="e">
        <f>BH335-BH164</f>
        <v>#DIV/0!</v>
      </c>
      <c r="BI336" s="347" t="e">
        <f>BI335-BI164</f>
        <v>#DIV/0!</v>
      </c>
      <c r="BJ336" s="347" t="e">
        <f>BJ335-BJ164</f>
        <v>#DIV/0!</v>
      </c>
      <c r="BK336" s="347" t="e">
        <f>BK335-BK164</f>
        <v>#DIV/0!</v>
      </c>
      <c r="BL336" s="347" t="e">
        <f>BL335-BL164</f>
        <v>#DIV/0!</v>
      </c>
      <c r="BM336" s="347" t="e">
        <f>BM335-BM164</f>
        <v>#DIV/0!</v>
      </c>
      <c r="BN336" s="347" t="e">
        <f>BN335-BN164</f>
        <v>#DIV/0!</v>
      </c>
      <c r="BO336" s="347" t="e">
        <f>BO335-BO164</f>
        <v>#DIV/0!</v>
      </c>
      <c r="BP336" s="347" t="e">
        <f>BP335-BP164</f>
        <v>#DIV/0!</v>
      </c>
      <c r="BQ336" s="347" t="e">
        <f>BQ335-BQ164</f>
        <v>#DIV/0!</v>
      </c>
      <c r="BR336" s="347" t="e">
        <f>BR335-BR164</f>
        <v>#DIV/0!</v>
      </c>
      <c r="BS336" s="347" t="e">
        <f>BS335-BS164</f>
        <v>#DIV/0!</v>
      </c>
      <c r="BT336" s="347" t="e">
        <f>BT335-BT164</f>
        <v>#DIV/0!</v>
      </c>
      <c r="BU336" s="347" t="e">
        <f>BU335-BU164</f>
        <v>#DIV/0!</v>
      </c>
      <c r="BV336" s="347" t="e">
        <f>BV335-BV164</f>
        <v>#DIV/0!</v>
      </c>
      <c r="BW336" s="347" t="e">
        <f>BW335-BW164</f>
        <v>#DIV/0!</v>
      </c>
      <c r="BX336" s="347" t="e">
        <f>BX335-BX164</f>
        <v>#DIV/0!</v>
      </c>
      <c r="BY336" s="347" t="e">
        <f>BY335-BY164</f>
        <v>#DIV/0!</v>
      </c>
      <c r="BZ336" s="347" t="e">
        <f>BZ335-BZ164</f>
        <v>#DIV/0!</v>
      </c>
      <c r="CA336" s="347" t="e">
        <f>CA335-CA164</f>
        <v>#DIV/0!</v>
      </c>
      <c r="CB336" s="347" t="e">
        <f>CB335-CB164</f>
        <v>#DIV/0!</v>
      </c>
      <c r="CC336" s="347" t="e">
        <f>CC335-CC164</f>
        <v>#DIV/0!</v>
      </c>
      <c r="CD336" s="347" t="e">
        <f>CD335-CD164</f>
        <v>#DIV/0!</v>
      </c>
      <c r="CE336" s="347" t="e">
        <f>CE335-CE164</f>
        <v>#DIV/0!</v>
      </c>
      <c r="CF336" s="347" t="e">
        <f>CF335-CF164</f>
        <v>#DIV/0!</v>
      </c>
      <c r="CG336" s="347" t="e">
        <f>CG335-CG164</f>
        <v>#DIV/0!</v>
      </c>
      <c r="CH336" s="347" t="e">
        <f>CH335-CH164</f>
        <v>#DIV/0!</v>
      </c>
      <c r="CI336" s="347" t="e">
        <f>CI335-CI164</f>
        <v>#DIV/0!</v>
      </c>
      <c r="CJ336" s="347" t="e">
        <f>CJ335-CJ164</f>
        <v>#DIV/0!</v>
      </c>
      <c r="CK336" s="347" t="e">
        <f>CK335-CK164</f>
        <v>#DIV/0!</v>
      </c>
      <c r="CL336" s="347" t="e">
        <f>CL335-CL164</f>
        <v>#DIV/0!</v>
      </c>
      <c r="CM336" s="347" t="e">
        <f>CM335-CM164</f>
        <v>#DIV/0!</v>
      </c>
      <c r="CN336" s="347" t="e">
        <f>CN335-CN164</f>
        <v>#DIV/0!</v>
      </c>
      <c r="CO336" s="347" t="e">
        <f>CO335-CO164</f>
        <v>#DIV/0!</v>
      </c>
      <c r="CP336" s="347" t="e">
        <f>CP335-CP164</f>
        <v>#DIV/0!</v>
      </c>
      <c r="CQ336" s="347" t="e">
        <f>CQ335-CQ164</f>
        <v>#DIV/0!</v>
      </c>
      <c r="CR336" s="347" t="e">
        <f>CR335-CR164</f>
        <v>#DIV/0!</v>
      </c>
      <c r="CS336" s="347" t="e">
        <f>CS335-CS164</f>
        <v>#DIV/0!</v>
      </c>
      <c r="CT336" s="347" t="e">
        <f>CT335-CT164</f>
        <v>#DIV/0!</v>
      </c>
      <c r="CU336" s="347" t="e">
        <f>CU335-CU164</f>
        <v>#DIV/0!</v>
      </c>
      <c r="CV336" s="347" t="e">
        <f>CV335-CV164</f>
        <v>#DIV/0!</v>
      </c>
      <c r="CW336" s="347" t="e">
        <f>CW335-CW164</f>
        <v>#DIV/0!</v>
      </c>
      <c r="CX336" s="347" t="e">
        <f>CX335-CX164</f>
        <v>#DIV/0!</v>
      </c>
      <c r="CY336" s="347" t="e">
        <f>CY335-CY164</f>
        <v>#DIV/0!</v>
      </c>
    </row>
    <row r="337" ht="12.75" customFormat="1" customHeight="1" s="333">
      <c r="A337" s="334" t="n"/>
      <c r="B337" s="334" t="n"/>
      <c r="C337" s="333" t="inlineStr">
        <is>
          <t>OPERATING WORKING CAPITAL</t>
        </is>
      </c>
      <c r="D337" s="348">
        <f>D338-D339</f>
        <v>-7207</v>
      </c>
      <c r="E337" s="348">
        <f>E338-E339</f>
        <v>-7802</v>
      </c>
      <c r="F337" s="348">
        <f>F338-F339</f>
        <v>-9934</v>
      </c>
      <c r="G337" s="348">
        <f>G338-G339</f>
        <v>-14898</v>
      </c>
      <c r="H337" s="348">
        <f>H338-H339</f>
        <v>-14898</v>
      </c>
      <c r="I337" s="318">
        <f>I338-I339</f>
        <v>-9415</v>
      </c>
      <c r="J337" s="318">
        <f>J338-J339</f>
        <v>-11100</v>
      </c>
      <c r="K337" s="318">
        <f>K338-K339</f>
        <v>-11312</v>
      </c>
      <c r="L337" s="318">
        <f>L338-L339</f>
        <v>-12169</v>
      </c>
      <c r="M337" s="318">
        <f>M338-M339</f>
        <v>-12169</v>
      </c>
      <c r="N337" s="318">
        <f>N338-N339</f>
        <v>-11276</v>
      </c>
      <c r="O337" s="318">
        <f>O338-O339</f>
        <v>-10591</v>
      </c>
      <c r="P337" s="318">
        <f>P338-P339</f>
        <v>-10278</v>
      </c>
      <c r="Q337" s="318">
        <f>Q338-Q339</f>
        <v>-10519</v>
      </c>
      <c r="R337" s="318">
        <f>R338-R339</f>
        <v>-10519</v>
      </c>
      <c r="S337" s="318">
        <f>S338-S339</f>
        <v>-11815</v>
      </c>
      <c r="T337" s="318">
        <f>T338-T339</f>
        <v>-11127</v>
      </c>
      <c r="U337" s="318">
        <f>U338-U339</f>
        <v>-11857</v>
      </c>
      <c r="V337" s="318">
        <f>V338-V339</f>
        <v>-13472</v>
      </c>
      <c r="W337" s="318">
        <f>W338-W339</f>
        <v>-13472</v>
      </c>
      <c r="X337" s="318">
        <f>X338-X339</f>
        <v>-11783</v>
      </c>
      <c r="Y337" s="318">
        <f>Y338-Y339</f>
        <v>-12495</v>
      </c>
      <c r="Z337" s="318">
        <f>Z338-Z339</f>
        <v>-12259</v>
      </c>
      <c r="AA337" s="318">
        <f>AA338-AA339</f>
        <v>-12593</v>
      </c>
      <c r="AB337" s="318">
        <f>AB338-AB339</f>
        <v>-12593</v>
      </c>
      <c r="AC337" s="318">
        <f>AC338-AC339</f>
        <v>-13260</v>
      </c>
      <c r="AD337" s="318">
        <f>AD338-AD339</f>
        <v>-14278</v>
      </c>
      <c r="AE337" s="318">
        <f>AE338-AE339</f>
        <v>-14012</v>
      </c>
      <c r="AF337" s="318">
        <f>AF338-AF339</f>
        <v>-15577</v>
      </c>
      <c r="AG337" s="318">
        <f>AG338-AG339</f>
        <v>-15577</v>
      </c>
      <c r="AH337" s="318">
        <f>AH338-AH339</f>
        <v>-15870</v>
      </c>
      <c r="AI337" s="318">
        <f>AI338-AI339</f>
        <v>-16944</v>
      </c>
      <c r="AJ337" s="318">
        <f>AJ338-AJ339</f>
        <v>-9583</v>
      </c>
      <c r="AK337" s="318">
        <f>AK338-AK339</f>
        <v>-9583</v>
      </c>
      <c r="AL337" s="318">
        <f>AL338-AL339</f>
        <v>-9583</v>
      </c>
      <c r="AM337" s="318" t="e">
        <f>AM338-AM339</f>
        <v>#DIV/0!</v>
      </c>
      <c r="AN337" s="318">
        <f>AN338-AN339</f>
        <v>-9583</v>
      </c>
      <c r="AO337" s="318" t="e">
        <f>AO338-AO339</f>
        <v>#DIV/0!</v>
      </c>
      <c r="AP337" s="318" t="e">
        <f>AP338-AP339</f>
        <v>#DIV/0!</v>
      </c>
      <c r="AQ337" s="318" t="e">
        <f>AQ338-AQ339</f>
        <v>#DIV/0!</v>
      </c>
      <c r="AR337" s="318" t="e">
        <f>AR338-AR339</f>
        <v>#DIV/0!</v>
      </c>
      <c r="AS337" s="318" t="e">
        <f>AS338-AS339</f>
        <v>#DIV/0!</v>
      </c>
      <c r="AT337" s="318" t="e">
        <f>AT338-AT339</f>
        <v>#DIV/0!</v>
      </c>
      <c r="AU337" s="318" t="e">
        <f>AU338-AU339</f>
        <v>#DIV/0!</v>
      </c>
      <c r="AV337" s="318" t="e">
        <f>AV338-AV339</f>
        <v>#DIV/0!</v>
      </c>
      <c r="AW337" s="318" t="e">
        <f>AW338-AW339</f>
        <v>#DIV/0!</v>
      </c>
      <c r="AX337" s="318" t="e">
        <f>AX338-AX339</f>
        <v>#DIV/0!</v>
      </c>
      <c r="AY337" s="318" t="e">
        <f>AY338-AY339</f>
        <v>#DIV/0!</v>
      </c>
      <c r="AZ337" s="318" t="e">
        <f>AZ338-AZ339</f>
        <v>#DIV/0!</v>
      </c>
      <c r="BA337" s="318" t="e">
        <f>BA338-BA339</f>
        <v>#DIV/0!</v>
      </c>
      <c r="BB337" s="318" t="e">
        <f>BB338-BB339</f>
        <v>#DIV/0!</v>
      </c>
      <c r="BC337" s="318" t="e">
        <f>BC338-BC339</f>
        <v>#DIV/0!</v>
      </c>
      <c r="BD337" s="318" t="e">
        <f>BD338-BD339</f>
        <v>#DIV/0!</v>
      </c>
      <c r="BE337" s="318" t="e">
        <f>BE338-BE339</f>
        <v>#DIV/0!</v>
      </c>
      <c r="BF337" s="318" t="e">
        <f>BF338-BF339</f>
        <v>#DIV/0!</v>
      </c>
      <c r="BG337" s="318" t="e">
        <f>BG338-BG339</f>
        <v>#DIV/0!</v>
      </c>
      <c r="BH337" s="318" t="e">
        <f>BH338-BH339</f>
        <v>#DIV/0!</v>
      </c>
      <c r="BI337" s="318" t="e">
        <f>BI338-BI339</f>
        <v>#DIV/0!</v>
      </c>
      <c r="BJ337" s="318" t="e">
        <f>BJ338-BJ339</f>
        <v>#DIV/0!</v>
      </c>
      <c r="BK337" s="318" t="e">
        <f>BK338-BK339</f>
        <v>#DIV/0!</v>
      </c>
      <c r="BL337" s="318" t="e">
        <f>BL338-BL339</f>
        <v>#DIV/0!</v>
      </c>
      <c r="BM337" s="318" t="e">
        <f>BM338-BM339</f>
        <v>#DIV/0!</v>
      </c>
      <c r="BN337" s="318" t="e">
        <f>BN338-BN339</f>
        <v>#DIV/0!</v>
      </c>
      <c r="BO337" s="318" t="e">
        <f>BO338-BO339</f>
        <v>#DIV/0!</v>
      </c>
      <c r="BP337" s="318" t="e">
        <f>BP338-BP339</f>
        <v>#DIV/0!</v>
      </c>
      <c r="BQ337" s="318" t="e">
        <f>BQ338-BQ339</f>
        <v>#DIV/0!</v>
      </c>
      <c r="BR337" s="318" t="e">
        <f>BR338-BR339</f>
        <v>#DIV/0!</v>
      </c>
      <c r="BS337" s="318" t="e">
        <f>BS338-BS339</f>
        <v>#DIV/0!</v>
      </c>
      <c r="BT337" s="318" t="e">
        <f>BT338-BT339</f>
        <v>#DIV/0!</v>
      </c>
      <c r="BU337" s="318" t="e">
        <f>BU338-BU339</f>
        <v>#DIV/0!</v>
      </c>
      <c r="BV337" s="318" t="e">
        <f>BV338-BV339</f>
        <v>#DIV/0!</v>
      </c>
      <c r="BW337" s="318" t="e">
        <f>BW338-BW339</f>
        <v>#DIV/0!</v>
      </c>
      <c r="BX337" s="318" t="e">
        <f>BX338-BX339</f>
        <v>#DIV/0!</v>
      </c>
      <c r="BY337" s="318" t="e">
        <f>BY338-BY339</f>
        <v>#DIV/0!</v>
      </c>
      <c r="BZ337" s="318" t="e">
        <f>BZ338-BZ339</f>
        <v>#DIV/0!</v>
      </c>
      <c r="CA337" s="318" t="e">
        <f>CA338-CA339</f>
        <v>#DIV/0!</v>
      </c>
      <c r="CB337" s="318" t="e">
        <f>CB338-CB339</f>
        <v>#DIV/0!</v>
      </c>
      <c r="CC337" s="318" t="e">
        <f>CC338-CC339</f>
        <v>#DIV/0!</v>
      </c>
      <c r="CD337" s="318" t="e">
        <f>CD338-CD339</f>
        <v>#DIV/0!</v>
      </c>
      <c r="CE337" s="318" t="e">
        <f>CE338-CE339</f>
        <v>#DIV/0!</v>
      </c>
      <c r="CF337" s="318" t="e">
        <f>CF338-CF339</f>
        <v>#DIV/0!</v>
      </c>
      <c r="CG337" s="318" t="e">
        <f>CG338-CG339</f>
        <v>#DIV/0!</v>
      </c>
      <c r="CH337" s="318" t="e">
        <f>CH338-CH339</f>
        <v>#DIV/0!</v>
      </c>
      <c r="CI337" s="318" t="e">
        <f>CI338-CI339</f>
        <v>#DIV/0!</v>
      </c>
      <c r="CJ337" s="318" t="e">
        <f>CJ338-CJ339</f>
        <v>#DIV/0!</v>
      </c>
      <c r="CK337" s="318" t="e">
        <f>CK338-CK339</f>
        <v>#DIV/0!</v>
      </c>
      <c r="CL337" s="318" t="e">
        <f>CL338-CL339</f>
        <v>#DIV/0!</v>
      </c>
      <c r="CM337" s="318" t="e">
        <f>CM338-CM339</f>
        <v>#DIV/0!</v>
      </c>
      <c r="CN337" s="318" t="e">
        <f>CN338-CN339</f>
        <v>#DIV/0!</v>
      </c>
      <c r="CO337" s="318" t="e">
        <f>CO338-CO339</f>
        <v>#DIV/0!</v>
      </c>
      <c r="CP337" s="318" t="e">
        <f>CP338-CP339</f>
        <v>#DIV/0!</v>
      </c>
      <c r="CQ337" s="318" t="e">
        <f>CQ338-CQ339</f>
        <v>#DIV/0!</v>
      </c>
      <c r="CR337" s="318" t="e">
        <f>CR338-CR339</f>
        <v>#DIV/0!</v>
      </c>
      <c r="CS337" s="318" t="e">
        <f>CS338-CS339</f>
        <v>#DIV/0!</v>
      </c>
      <c r="CT337" s="318" t="e">
        <f>CT338-CT339</f>
        <v>#DIV/0!</v>
      </c>
      <c r="CU337" s="318" t="e">
        <f>CU338-CU339</f>
        <v>#DIV/0!</v>
      </c>
      <c r="CV337" s="318" t="e">
        <f>CV338-CV339</f>
        <v>#DIV/0!</v>
      </c>
      <c r="CW337" s="318" t="e">
        <f>CW338-CW339</f>
        <v>#DIV/0!</v>
      </c>
      <c r="CX337" s="318" t="e">
        <f>CX338-CX339</f>
        <v>#DIV/0!</v>
      </c>
      <c r="CY337" s="318" t="e">
        <f>CY338-CY339</f>
        <v>#DIV/0!</v>
      </c>
    </row>
    <row r="338" ht="12.75" customFormat="1" customHeight="1" s="333">
      <c r="A338" s="334" t="n"/>
      <c r="B338" s="334" t="n"/>
      <c r="C338" s="333" t="inlineStr">
        <is>
          <t>CURRENT ASSETS</t>
        </is>
      </c>
      <c r="D338" s="346">
        <f>D130+D134+D138+D139+D140</f>
        <v>14988</v>
      </c>
      <c r="E338" s="346">
        <f>E130+E134+E138+E139+E140</f>
        <v>13480</v>
      </c>
      <c r="F338" s="346">
        <f>F130+F134+F138+F139+F140</f>
        <v>14815</v>
      </c>
      <c r="G338" s="346">
        <f>G130+G134+G138+G139+G140</f>
        <v>17673</v>
      </c>
      <c r="H338" s="346">
        <f>H130+H134+H138+H139+H140</f>
        <v>17673</v>
      </c>
      <c r="I338" s="347">
        <f>I130+I134+I138+I139+I140</f>
        <v>17054</v>
      </c>
      <c r="J338" s="347">
        <f>J130+J134+J138+J139+J140</f>
        <v>16790</v>
      </c>
      <c r="K338" s="347">
        <f>K130+K134+K138+K139+K140</f>
        <v>17330</v>
      </c>
      <c r="L338" s="347">
        <f>L130+L134+L138+L139+L140</f>
        <v>20374</v>
      </c>
      <c r="M338" s="347">
        <f>M130+M134+M138+M139+M140</f>
        <v>20374</v>
      </c>
      <c r="N338" s="347">
        <f>N130+N134+N138+N139+N140</f>
        <v>20269</v>
      </c>
      <c r="O338" s="347">
        <f>O130+O134+O138+O139+O140</f>
        <v>21177</v>
      </c>
      <c r="P338" s="347">
        <f>P130+P134+P138+P139+P140</f>
        <v>21647</v>
      </c>
      <c r="Q338" s="347">
        <f>Q130+Q134+Q138+Q139+Q140</f>
        <v>22477</v>
      </c>
      <c r="R338" s="347">
        <f>R130+R134+R138+R139+R140</f>
        <v>22477</v>
      </c>
      <c r="S338" s="347">
        <f>S130+S134+S138+S139+S140</f>
        <v>20625</v>
      </c>
      <c r="T338" s="347">
        <f>T130+T134+T138+T139+T140</f>
        <v>20581</v>
      </c>
      <c r="U338" s="347">
        <f>U130+U134+U138+U139+U140</f>
        <v>20645</v>
      </c>
      <c r="V338" s="347">
        <f>V130+V134+V138+V139+V140</f>
        <v>22216</v>
      </c>
      <c r="W338" s="347">
        <f>W130+W134+W138+W139+W140</f>
        <v>22216</v>
      </c>
      <c r="X338" s="347">
        <f>X130+X134+X138+X139+X140</f>
        <v>21825</v>
      </c>
      <c r="Y338" s="347">
        <f>Y130+Y134+Y138+Y139+Y140</f>
        <v>21789</v>
      </c>
      <c r="Z338" s="347">
        <f>Z130+Z134+Z138+Z139+Z140</f>
        <v>23102</v>
      </c>
      <c r="AA338" s="347">
        <f>AA130+AA134+AA138+AA139+AA140</f>
        <v>25696</v>
      </c>
      <c r="AB338" s="347">
        <f>AB130+AB134+AB138+AB139+AB140</f>
        <v>25696</v>
      </c>
      <c r="AC338" s="347">
        <f>AC130+AC134+AC138+AC139+AC140</f>
        <v>23739</v>
      </c>
      <c r="AD338" s="347">
        <f>AD130+AD134+AD138+AD139+AD140</f>
        <v>23301</v>
      </c>
      <c r="AE338" s="347">
        <f>AE130+AE134+AE138+AE139+AE140</f>
        <v>23096</v>
      </c>
      <c r="AF338" s="347">
        <f>AF130+AF134+AF138+AF139+AF140</f>
        <v>26228</v>
      </c>
      <c r="AG338" s="347">
        <f>AG130+AG134+AG138+AG139+AG140</f>
        <v>26228</v>
      </c>
      <c r="AH338" s="347">
        <f>AH130+AH134+AH138+AH139+AH140</f>
        <v>24893</v>
      </c>
      <c r="AI338" s="347">
        <f>AI130+AI134+AI138+AI139+AI140</f>
        <v>25181</v>
      </c>
      <c r="AJ338" s="347">
        <f>AJ130+AJ134+AJ138+AJ139+AJ140</f>
        <v>2013</v>
      </c>
      <c r="AK338" s="347">
        <f>AK130+AK134+AK138+AK139+AK140</f>
        <v>2013</v>
      </c>
      <c r="AL338" s="347">
        <f>AL130+AL134+AL138+AL139+AL140</f>
        <v>2013</v>
      </c>
      <c r="AM338" s="347">
        <f>AM130+AM134+AM138+AM139+AM140</f>
        <v>2013</v>
      </c>
      <c r="AN338" s="347">
        <f>AN130+AN134+AN138+AN139+AN140</f>
        <v>2013</v>
      </c>
      <c r="AO338" s="347">
        <f>AO130+AO134+AO138+AO139+AO140</f>
        <v>2013</v>
      </c>
      <c r="AP338" s="347">
        <f>AP130+AP134+AP138+AP139+AP140</f>
        <v>2013</v>
      </c>
      <c r="AQ338" s="347">
        <f>AQ130+AQ134+AQ138+AQ139+AQ140</f>
        <v>2013</v>
      </c>
      <c r="AR338" s="347">
        <f>AR130+AR134+AR138+AR139+AR140</f>
        <v>2013</v>
      </c>
      <c r="AS338" s="347">
        <f>AS130+AS134+AS138+AS139+AS140</f>
        <v>2013</v>
      </c>
      <c r="AT338" s="347">
        <f>AT130+AT134+AT138+AT139+AT140</f>
        <v>2013</v>
      </c>
      <c r="AU338" s="347">
        <f>AU130+AU134+AU138+AU139+AU140</f>
        <v>2013</v>
      </c>
      <c r="AV338" s="347">
        <f>AV130+AV134+AV138+AV139+AV140</f>
        <v>2013</v>
      </c>
      <c r="AW338" s="347">
        <f>AW130+AW134+AW138+AW139+AW140</f>
        <v>2013</v>
      </c>
      <c r="AX338" s="347">
        <f>AX130+AX134+AX138+AX139+AX140</f>
        <v>2013</v>
      </c>
      <c r="AY338" s="347">
        <f>AY130+AY134+AY138+AY139+AY140</f>
        <v>2013</v>
      </c>
      <c r="AZ338" s="347">
        <f>AZ130+AZ134+AZ138+AZ139+AZ140</f>
        <v>2013</v>
      </c>
      <c r="BA338" s="347">
        <f>BA130+BA134+BA138+BA139+BA140</f>
        <v>2013</v>
      </c>
      <c r="BB338" s="347">
        <f>BB130+BB134+BB138+BB139+BB140</f>
        <v>2013</v>
      </c>
      <c r="BC338" s="347">
        <f>BC130+BC134+BC138+BC139+BC140</f>
        <v>2013</v>
      </c>
      <c r="BD338" s="347">
        <f>BD130+BD134+BD138+BD139+BD140</f>
        <v>2013</v>
      </c>
      <c r="BE338" s="347">
        <f>BE130+BE134+BE138+BE139+BE140</f>
        <v>2013</v>
      </c>
      <c r="BF338" s="347">
        <f>BF130+BF134+BF138+BF139+BF140</f>
        <v>2013</v>
      </c>
      <c r="BG338" s="347">
        <f>BG130+BG134+BG138+BG139+BG140</f>
        <v>2013</v>
      </c>
      <c r="BH338" s="347">
        <f>BH130+BH134+BH138+BH139+BH140</f>
        <v>2013</v>
      </c>
      <c r="BI338" s="347">
        <f>BI130+BI134+BI138+BI139+BI140</f>
        <v>2013</v>
      </c>
      <c r="BJ338" s="347">
        <f>BJ130+BJ134+BJ138+BJ139+BJ140</f>
        <v>2013</v>
      </c>
      <c r="BK338" s="347">
        <f>BK130+BK134+BK138+BK139+BK140</f>
        <v>2013</v>
      </c>
      <c r="BL338" s="347">
        <f>BL130+BL134+BL138+BL139+BL140</f>
        <v>2013</v>
      </c>
      <c r="BM338" s="347">
        <f>BM130+BM134+BM138+BM139+BM140</f>
        <v>2013</v>
      </c>
      <c r="BN338" s="347">
        <f>BN130+BN134+BN138+BN139+BN140</f>
        <v>2013</v>
      </c>
      <c r="BO338" s="347">
        <f>BO130+BO134+BO138+BO139+BO140</f>
        <v>2013</v>
      </c>
      <c r="BP338" s="347">
        <f>BP130+BP134+BP138+BP139+BP140</f>
        <v>2013</v>
      </c>
      <c r="BQ338" s="347">
        <f>BQ130+BQ134+BQ138+BQ139+BQ140</f>
        <v>2013</v>
      </c>
      <c r="BR338" s="347">
        <f>BR130+BR134+BR138+BR139+BR140</f>
        <v>2013</v>
      </c>
      <c r="BS338" s="347">
        <f>BS130+BS134+BS138+BS139+BS140</f>
        <v>2013</v>
      </c>
      <c r="BT338" s="347">
        <f>BT130+BT134+BT138+BT139+BT140</f>
        <v>2013</v>
      </c>
      <c r="BU338" s="347">
        <f>BU130+BU134+BU138+BU139+BU140</f>
        <v>2013</v>
      </c>
      <c r="BV338" s="347">
        <f>BV130+BV134+BV138+BV139+BV140</f>
        <v>2013</v>
      </c>
      <c r="BW338" s="347">
        <f>BW130+BW134+BW138+BW139+BW140</f>
        <v>2013</v>
      </c>
      <c r="BX338" s="347">
        <f>BX130+BX134+BX138+BX139+BX140</f>
        <v>2013</v>
      </c>
      <c r="BY338" s="347">
        <f>BY130+BY134+BY138+BY139+BY140</f>
        <v>2013</v>
      </c>
      <c r="BZ338" s="347">
        <f>BZ130+BZ134+BZ138+BZ139+BZ140</f>
        <v>2013</v>
      </c>
      <c r="CA338" s="347">
        <f>CA130+CA134+CA138+CA139+CA140</f>
        <v>2013</v>
      </c>
      <c r="CB338" s="347">
        <f>CB130+CB134+CB138+CB139+CB140</f>
        <v>2013</v>
      </c>
      <c r="CC338" s="347">
        <f>CC130+CC134+CC138+CC139+CC140</f>
        <v>2013</v>
      </c>
      <c r="CD338" s="347">
        <f>CD130+CD134+CD138+CD139+CD140</f>
        <v>2013</v>
      </c>
      <c r="CE338" s="347">
        <f>CE130+CE134+CE138+CE139+CE140</f>
        <v>2013</v>
      </c>
      <c r="CF338" s="347">
        <f>CF130+CF134+CF138+CF139+CF140</f>
        <v>2013</v>
      </c>
      <c r="CG338" s="347">
        <f>CG130+CG134+CG138+CG139+CG140</f>
        <v>2013</v>
      </c>
      <c r="CH338" s="347">
        <f>CH130+CH134+CH138+CH139+CH140</f>
        <v>2013</v>
      </c>
      <c r="CI338" s="347">
        <f>CI130+CI134+CI138+CI139+CI140</f>
        <v>2013</v>
      </c>
      <c r="CJ338" s="347">
        <f>CJ130+CJ134+CJ138+CJ139+CJ140</f>
        <v>2013</v>
      </c>
      <c r="CK338" s="347">
        <f>CK130+CK134+CK138+CK139+CK140</f>
        <v>2013</v>
      </c>
      <c r="CL338" s="347">
        <f>CL130+CL134+CL138+CL139+CL140</f>
        <v>2013</v>
      </c>
      <c r="CM338" s="347">
        <f>CM130+CM134+CM138+CM139+CM140</f>
        <v>2013</v>
      </c>
      <c r="CN338" s="347">
        <f>CN130+CN134+CN138+CN139+CN140</f>
        <v>2013</v>
      </c>
      <c r="CO338" s="347">
        <f>CO130+CO134+CO138+CO139+CO140</f>
        <v>2013</v>
      </c>
      <c r="CP338" s="347">
        <f>CP130+CP134+CP138+CP139+CP140</f>
        <v>2013</v>
      </c>
      <c r="CQ338" s="347">
        <f>CQ130+CQ134+CQ138+CQ139+CQ140</f>
        <v>2013</v>
      </c>
      <c r="CR338" s="347">
        <f>CR130+CR134+CR138+CR139+CR140</f>
        <v>2013</v>
      </c>
      <c r="CS338" s="347">
        <f>CS130+CS134+CS138+CS139+CS140</f>
        <v>2013</v>
      </c>
      <c r="CT338" s="347">
        <f>CT130+CT134+CT138+CT139+CT140</f>
        <v>2013</v>
      </c>
      <c r="CU338" s="347">
        <f>CU130+CU134+CU138+CU139+CU140</f>
        <v>2013</v>
      </c>
      <c r="CV338" s="347">
        <f>CV130+CV134+CV138+CV139+CV140</f>
        <v>2013</v>
      </c>
      <c r="CW338" s="347">
        <f>CW130+CW134+CW138+CW139+CW140</f>
        <v>2013</v>
      </c>
      <c r="CX338" s="347">
        <f>CX130+CX134+CX138+CX139+CX140</f>
        <v>2013</v>
      </c>
      <c r="CY338" s="347">
        <f>CY130+CY134+CY138+CY139+CY140</f>
        <v>2013</v>
      </c>
    </row>
    <row r="339" ht="12.75" customFormat="1" customHeight="1" s="333">
      <c r="A339" s="334" t="n"/>
      <c r="B339" s="334" t="n"/>
      <c r="C339" s="333" t="inlineStr">
        <is>
          <t>CURRENT LIABILITIES</t>
        </is>
      </c>
      <c r="D339" s="346">
        <f>D183+D187+D189+D190</f>
        <v>22195</v>
      </c>
      <c r="E339" s="346">
        <f>E183+E187+E189+E190</f>
        <v>21282</v>
      </c>
      <c r="F339" s="346">
        <f>F183+F187+F189+F190</f>
        <v>24749</v>
      </c>
      <c r="G339" s="346">
        <f>G183+G187+G189+G190</f>
        <v>32571</v>
      </c>
      <c r="H339" s="346">
        <f>H183+H187+H189+H190</f>
        <v>32571</v>
      </c>
      <c r="I339" s="347">
        <f>I183+I187+I189+I190</f>
        <v>26469</v>
      </c>
      <c r="J339" s="347">
        <f>J183+J187+J189+J190</f>
        <v>27890</v>
      </c>
      <c r="K339" s="347">
        <f>K183+K187+K189+K190</f>
        <v>28642</v>
      </c>
      <c r="L339" s="347">
        <f>L183+L187+L189+L190</f>
        <v>32543</v>
      </c>
      <c r="M339" s="347">
        <f>M183+M187+M189+M190</f>
        <v>32543</v>
      </c>
      <c r="N339" s="347">
        <f>N183+N187+N189+N190</f>
        <v>31545</v>
      </c>
      <c r="O339" s="347">
        <f>O183+O187+O189+O190</f>
        <v>31768</v>
      </c>
      <c r="P339" s="347">
        <f>P183+P187+P189+P190</f>
        <v>31925</v>
      </c>
      <c r="Q339" s="347">
        <f>Q183+Q187+Q189+Q190</f>
        <v>32996</v>
      </c>
      <c r="R339" s="347">
        <f>R183+R187+R189+R190</f>
        <v>32996</v>
      </c>
      <c r="S339" s="347">
        <f>S183+S187+S189+S190</f>
        <v>32440</v>
      </c>
      <c r="T339" s="347">
        <f>T183+T187+T189+T190</f>
        <v>31708</v>
      </c>
      <c r="U339" s="347">
        <f>U183+U187+U189+U190</f>
        <v>32502</v>
      </c>
      <c r="V339" s="347">
        <f>V183+V187+V189+V190</f>
        <v>35688</v>
      </c>
      <c r="W339" s="347">
        <f>W183+W187+W189+W190</f>
        <v>35688</v>
      </c>
      <c r="X339" s="347">
        <f>X183+X187+X189+X190</f>
        <v>33608</v>
      </c>
      <c r="Y339" s="347">
        <f>Y183+Y187+Y189+Y190</f>
        <v>34284</v>
      </c>
      <c r="Z339" s="347">
        <f>Z183+Z187+Z189+Z190</f>
        <v>35361</v>
      </c>
      <c r="AA339" s="347">
        <f>AA183+AA187+AA189+AA190</f>
        <v>38289</v>
      </c>
      <c r="AB339" s="347">
        <f>AB183+AB187+AB189+AB190</f>
        <v>38289</v>
      </c>
      <c r="AC339" s="347">
        <f>AC183+AC187+AC189+AC190</f>
        <v>36999</v>
      </c>
      <c r="AD339" s="347">
        <f>AD183+AD187+AD189+AD190</f>
        <v>37579</v>
      </c>
      <c r="AE339" s="347">
        <f>AE183+AE187+AE189+AE190</f>
        <v>37108</v>
      </c>
      <c r="AF339" s="347">
        <f>AF183+AF187+AF189+AF190</f>
        <v>41805</v>
      </c>
      <c r="AG339" s="347">
        <f>AG183+AG187+AG189+AG190</f>
        <v>41805</v>
      </c>
      <c r="AH339" s="347">
        <f>AH183+AH187+AH189+AH190</f>
        <v>40763</v>
      </c>
      <c r="AI339" s="347">
        <f>AI183+AI187+AI189+AI190</f>
        <v>42125</v>
      </c>
      <c r="AJ339" s="347">
        <f>AJ183+AJ187+AJ189+AJ190</f>
        <v>11596</v>
      </c>
      <c r="AK339" s="347">
        <f>AK183+AK187+AK189+AK190</f>
        <v>11596</v>
      </c>
      <c r="AL339" s="347">
        <f>AL183+AL187+AL189+AL190</f>
        <v>11596</v>
      </c>
      <c r="AM339" s="347" t="e">
        <f>AM183+AM187+AM189+AM190</f>
        <v>#DIV/0!</v>
      </c>
      <c r="AN339" s="347">
        <f>AN183+AN187+AN189+AN190</f>
        <v>11596</v>
      </c>
      <c r="AO339" s="347" t="e">
        <f>AO183+AO187+AO189+AO190</f>
        <v>#DIV/0!</v>
      </c>
      <c r="AP339" s="347" t="e">
        <f>AP183+AP187+AP189+AP190</f>
        <v>#DIV/0!</v>
      </c>
      <c r="AQ339" s="347" t="e">
        <f>AQ183+AQ187+AQ189+AQ190</f>
        <v>#DIV/0!</v>
      </c>
      <c r="AR339" s="347" t="e">
        <f>AR183+AR187+AR189+AR190</f>
        <v>#DIV/0!</v>
      </c>
      <c r="AS339" s="347" t="e">
        <f>AS183+AS187+AS189+AS190</f>
        <v>#DIV/0!</v>
      </c>
      <c r="AT339" s="347" t="e">
        <f>AT183+AT187+AT189+AT190</f>
        <v>#DIV/0!</v>
      </c>
      <c r="AU339" s="347" t="e">
        <f>AU183+AU187+AU189+AU190</f>
        <v>#DIV/0!</v>
      </c>
      <c r="AV339" s="347" t="e">
        <f>AV183+AV187+AV189+AV190</f>
        <v>#DIV/0!</v>
      </c>
      <c r="AW339" s="347" t="e">
        <f>AW183+AW187+AW189+AW190</f>
        <v>#DIV/0!</v>
      </c>
      <c r="AX339" s="347" t="e">
        <f>AX183+AX187+AX189+AX190</f>
        <v>#DIV/0!</v>
      </c>
      <c r="AY339" s="347" t="e">
        <f>AY183+AY187+AY189+AY190</f>
        <v>#DIV/0!</v>
      </c>
      <c r="AZ339" s="347" t="e">
        <f>AZ183+AZ187+AZ189+AZ190</f>
        <v>#DIV/0!</v>
      </c>
      <c r="BA339" s="347" t="e">
        <f>BA183+BA187+BA189+BA190</f>
        <v>#DIV/0!</v>
      </c>
      <c r="BB339" s="347" t="e">
        <f>BB183+BB187+BB189+BB190</f>
        <v>#DIV/0!</v>
      </c>
      <c r="BC339" s="347" t="e">
        <f>BC183+BC187+BC189+BC190</f>
        <v>#DIV/0!</v>
      </c>
      <c r="BD339" s="347" t="e">
        <f>BD183+BD187+BD189+BD190</f>
        <v>#DIV/0!</v>
      </c>
      <c r="BE339" s="347" t="e">
        <f>BE183+BE187+BE189+BE190</f>
        <v>#DIV/0!</v>
      </c>
      <c r="BF339" s="347" t="e">
        <f>BF183+BF187+BF189+BF190</f>
        <v>#DIV/0!</v>
      </c>
      <c r="BG339" s="347" t="e">
        <f>BG183+BG187+BG189+BG190</f>
        <v>#DIV/0!</v>
      </c>
      <c r="BH339" s="347" t="e">
        <f>BH183+BH187+BH189+BH190</f>
        <v>#DIV/0!</v>
      </c>
      <c r="BI339" s="347" t="e">
        <f>BI183+BI187+BI189+BI190</f>
        <v>#DIV/0!</v>
      </c>
      <c r="BJ339" s="347" t="e">
        <f>BJ183+BJ187+BJ189+BJ190</f>
        <v>#DIV/0!</v>
      </c>
      <c r="BK339" s="347" t="e">
        <f>BK183+BK187+BK189+BK190</f>
        <v>#DIV/0!</v>
      </c>
      <c r="BL339" s="347" t="e">
        <f>BL183+BL187+BL189+BL190</f>
        <v>#DIV/0!</v>
      </c>
      <c r="BM339" s="347" t="e">
        <f>BM183+BM187+BM189+BM190</f>
        <v>#DIV/0!</v>
      </c>
      <c r="BN339" s="347" t="e">
        <f>BN183+BN187+BN189+BN190</f>
        <v>#DIV/0!</v>
      </c>
      <c r="BO339" s="347" t="e">
        <f>BO183+BO187+BO189+BO190</f>
        <v>#DIV/0!</v>
      </c>
      <c r="BP339" s="347" t="e">
        <f>BP183+BP187+BP189+BP190</f>
        <v>#DIV/0!</v>
      </c>
      <c r="BQ339" s="347" t="e">
        <f>BQ183+BQ187+BQ189+BQ190</f>
        <v>#DIV/0!</v>
      </c>
      <c r="BR339" s="347" t="e">
        <f>BR183+BR187+BR189+BR190</f>
        <v>#DIV/0!</v>
      </c>
      <c r="BS339" s="347" t="e">
        <f>BS183+BS187+BS189+BS190</f>
        <v>#DIV/0!</v>
      </c>
      <c r="BT339" s="347" t="e">
        <f>BT183+BT187+BT189+BT190</f>
        <v>#DIV/0!</v>
      </c>
      <c r="BU339" s="347" t="e">
        <f>BU183+BU187+BU189+BU190</f>
        <v>#DIV/0!</v>
      </c>
      <c r="BV339" s="347" t="e">
        <f>BV183+BV187+BV189+BV190</f>
        <v>#DIV/0!</v>
      </c>
      <c r="BW339" s="347" t="e">
        <f>BW183+BW187+BW189+BW190</f>
        <v>#DIV/0!</v>
      </c>
      <c r="BX339" s="347" t="e">
        <f>BX183+BX187+BX189+BX190</f>
        <v>#DIV/0!</v>
      </c>
      <c r="BY339" s="347" t="e">
        <f>BY183+BY187+BY189+BY190</f>
        <v>#DIV/0!</v>
      </c>
      <c r="BZ339" s="347" t="e">
        <f>BZ183+BZ187+BZ189+BZ190</f>
        <v>#DIV/0!</v>
      </c>
      <c r="CA339" s="347" t="e">
        <f>CA183+CA187+CA189+CA190</f>
        <v>#DIV/0!</v>
      </c>
      <c r="CB339" s="347" t="e">
        <f>CB183+CB187+CB189+CB190</f>
        <v>#DIV/0!</v>
      </c>
      <c r="CC339" s="347" t="e">
        <f>CC183+CC187+CC189+CC190</f>
        <v>#DIV/0!</v>
      </c>
      <c r="CD339" s="347" t="e">
        <f>CD183+CD187+CD189+CD190</f>
        <v>#DIV/0!</v>
      </c>
      <c r="CE339" s="347" t="e">
        <f>CE183+CE187+CE189+CE190</f>
        <v>#DIV/0!</v>
      </c>
      <c r="CF339" s="347" t="e">
        <f>CF183+CF187+CF189+CF190</f>
        <v>#DIV/0!</v>
      </c>
      <c r="CG339" s="347" t="e">
        <f>CG183+CG187+CG189+CG190</f>
        <v>#DIV/0!</v>
      </c>
      <c r="CH339" s="347" t="e">
        <f>CH183+CH187+CH189+CH190</f>
        <v>#DIV/0!</v>
      </c>
      <c r="CI339" s="347" t="e">
        <f>CI183+CI187+CI189+CI190</f>
        <v>#DIV/0!</v>
      </c>
      <c r="CJ339" s="347" t="e">
        <f>CJ183+CJ187+CJ189+CJ190</f>
        <v>#DIV/0!</v>
      </c>
      <c r="CK339" s="347" t="e">
        <f>CK183+CK187+CK189+CK190</f>
        <v>#DIV/0!</v>
      </c>
      <c r="CL339" s="347" t="e">
        <f>CL183+CL187+CL189+CL190</f>
        <v>#DIV/0!</v>
      </c>
      <c r="CM339" s="347" t="e">
        <f>CM183+CM187+CM189+CM190</f>
        <v>#DIV/0!</v>
      </c>
      <c r="CN339" s="347" t="e">
        <f>CN183+CN187+CN189+CN190</f>
        <v>#DIV/0!</v>
      </c>
      <c r="CO339" s="347" t="e">
        <f>CO183+CO187+CO189+CO190</f>
        <v>#DIV/0!</v>
      </c>
      <c r="CP339" s="347" t="e">
        <f>CP183+CP187+CP189+CP190</f>
        <v>#DIV/0!</v>
      </c>
      <c r="CQ339" s="347" t="e">
        <f>CQ183+CQ187+CQ189+CQ190</f>
        <v>#DIV/0!</v>
      </c>
      <c r="CR339" s="347" t="e">
        <f>CR183+CR187+CR189+CR190</f>
        <v>#DIV/0!</v>
      </c>
      <c r="CS339" s="347" t="e">
        <f>CS183+CS187+CS189+CS190</f>
        <v>#DIV/0!</v>
      </c>
      <c r="CT339" s="347" t="e">
        <f>CT183+CT187+CT189+CT190</f>
        <v>#DIV/0!</v>
      </c>
      <c r="CU339" s="347" t="e">
        <f>CU183+CU187+CU189+CU190</f>
        <v>#DIV/0!</v>
      </c>
      <c r="CV339" s="347" t="e">
        <f>CV183+CV187+CV189+CV190</f>
        <v>#DIV/0!</v>
      </c>
      <c r="CW339" s="347" t="e">
        <f>CW183+CW187+CW189+CW190</f>
        <v>#DIV/0!</v>
      </c>
      <c r="CX339" s="347" t="e">
        <f>CX183+CX187+CX189+CX190</f>
        <v>#DIV/0!</v>
      </c>
      <c r="CY339" s="347" t="e">
        <f>CY183+CY187+CY189+CY190</f>
        <v>#DIV/0!</v>
      </c>
    </row>
    <row r="340" ht="12.75" customFormat="1" customHeight="1" s="333">
      <c r="A340" s="334" t="n"/>
      <c r="B340" s="334" t="n"/>
      <c r="C340" s="333" t="inlineStr">
        <is>
          <t>FIXED ASSETS</t>
        </is>
      </c>
      <c r="D340" s="346">
        <f>D151+D161+D164+D165+D174-D225</f>
        <v>23536</v>
      </c>
      <c r="E340" s="346">
        <f>E151+E161+E164+E165+E174-E225</f>
        <v>24861</v>
      </c>
      <c r="F340" s="346">
        <f>F151+F161+F164+F165+F174-F225</f>
        <v>25501</v>
      </c>
      <c r="G340" s="346">
        <f>G151+G161+G164+G165+G174-G225</f>
        <v>25983</v>
      </c>
      <c r="H340" s="346">
        <f>H151+H161+H164+H165+H174-H225</f>
        <v>25983</v>
      </c>
      <c r="I340" s="347">
        <f>I151+I161+I164+I165+I174-I225</f>
        <v>26558</v>
      </c>
      <c r="J340" s="347">
        <f>J151+J161+J164+J165+J174-J225</f>
        <v>27176</v>
      </c>
      <c r="K340" s="347">
        <f>K151+K161+K164+K165+K174-K225</f>
        <v>27348</v>
      </c>
      <c r="L340" s="347">
        <f>L151+L161+L164+L165+L174-L225</f>
        <v>27808</v>
      </c>
      <c r="M340" s="347">
        <f>M151+M161+M164+M165+M174-M225</f>
        <v>27808</v>
      </c>
      <c r="N340" s="347">
        <f>N151+N161+N164+N165+N174-N225</f>
        <v>28202</v>
      </c>
      <c r="O340" s="347">
        <f>O151+O161+O164+O165+O174-O225</f>
        <v>28309</v>
      </c>
      <c r="P340" s="347">
        <f>P151+P161+P164+P165+P174-P225</f>
        <v>28915</v>
      </c>
      <c r="Q340" s="347">
        <f>Q151+Q161+Q164+Q165+Q174-Q225</f>
        <v>29368</v>
      </c>
      <c r="R340" s="347">
        <f>R151+R161+R164+R165+R174-R225</f>
        <v>29368</v>
      </c>
      <c r="S340" s="347">
        <f>S151+S161+S164+S165+S174-S225</f>
        <v>30048</v>
      </c>
      <c r="T340" s="347">
        <f>T151+T161+T164+T165+T174-T225</f>
        <v>29996</v>
      </c>
      <c r="U340" s="347">
        <f>U151+U161+U164+U165+U174-U225</f>
        <v>30565</v>
      </c>
      <c r="V340" s="347">
        <f>V151+V161+V164+V165+V174-V225</f>
        <v>31102</v>
      </c>
      <c r="W340" s="347">
        <f>W151+W161+W164+W165+W174-W225</f>
        <v>31102</v>
      </c>
      <c r="X340" s="347">
        <f>X151+X161+X164+X165+X174-X225</f>
        <v>31655</v>
      </c>
      <c r="Y340" s="347">
        <f>Y151+Y161+Y164+Y165+Y174-Y225</f>
        <v>32064</v>
      </c>
      <c r="Z340" s="347">
        <f>Z151+Z161+Z164+Z165+Z174-Z225</f>
        <v>33009</v>
      </c>
      <c r="AA340" s="347">
        <f>AA151+AA161+AA164+AA165+AA174-AA225</f>
        <v>33250</v>
      </c>
      <c r="AB340" s="347">
        <f>AB151+AB161+AB164+AB165+AB174-AB225</f>
        <v>33250</v>
      </c>
      <c r="AC340" s="347">
        <f>AC151+AC161+AC164+AC165+AC174-AC225</f>
        <v>33718</v>
      </c>
      <c r="AD340" s="347">
        <f>AD151+AD161+AD164+AD165+AD174-AD225</f>
        <v>34733</v>
      </c>
      <c r="AE340" s="347">
        <f>AE151+AE161+AE164+AE165+AE174-AE225</f>
        <v>36065</v>
      </c>
      <c r="AF340" s="347">
        <f>AF151+AF161+AF164+AF165+AF174-AF225</f>
        <v>36799</v>
      </c>
      <c r="AG340" s="347">
        <f>AG151+AG161+AG164+AG165+AG174-AG225</f>
        <v>36799</v>
      </c>
      <c r="AH340" s="347">
        <f>AH151+AH161+AH164+AH165+AH174-AH225</f>
        <v>37882</v>
      </c>
      <c r="AI340" s="347">
        <f>AI151+AI161+AI164+AI165+AI174-AI225</f>
        <v>38593</v>
      </c>
      <c r="AJ340" s="347">
        <f>AJ151+AJ161+AJ164+AJ165+AJ174-AJ225</f>
        <v>38593</v>
      </c>
      <c r="AK340" s="347">
        <f>AK151+AK161+AK164+AK165+AK174-AK225</f>
        <v>38593</v>
      </c>
      <c r="AL340" s="347">
        <f>AL151+AL161+AL164+AL165+AL174-AL225</f>
        <v>38593</v>
      </c>
      <c r="AM340" s="347">
        <f>AM151+AM161+AM164+AM165+AM174-AM225</f>
        <v>38593</v>
      </c>
      <c r="AN340" s="347">
        <f>AN151+AN161+AN164+AN165+AN174-AN225</f>
        <v>38593</v>
      </c>
      <c r="AO340" s="347">
        <f>AO151+AO161+AO164+AO165+AO174-AO225</f>
        <v>38593</v>
      </c>
      <c r="AP340" s="347">
        <f>AP151+AP161+AP164+AP165+AP174-AP225</f>
        <v>38593</v>
      </c>
      <c r="AQ340" s="347">
        <f>AQ151+AQ161+AQ164+AQ165+AQ174-AQ225</f>
        <v>38593</v>
      </c>
      <c r="AR340" s="347">
        <f>AR151+AR161+AR164+AR165+AR174-AR225</f>
        <v>38593</v>
      </c>
      <c r="AS340" s="347">
        <f>AS151+AS161+AS164+AS165+AS174-AS225</f>
        <v>38593</v>
      </c>
      <c r="AT340" s="347">
        <f>AT151+AT161+AT164+AT165+AT174-AT225</f>
        <v>38593</v>
      </c>
      <c r="AU340" s="347">
        <f>AU151+AU161+AU164+AU165+AU174-AU225</f>
        <v>38593</v>
      </c>
      <c r="AV340" s="347">
        <f>AV151+AV161+AV164+AV165+AV174-AV225</f>
        <v>38593</v>
      </c>
      <c r="AW340" s="347">
        <f>AW151+AW161+AW164+AW165+AW174-AW225</f>
        <v>38593</v>
      </c>
      <c r="AX340" s="347">
        <f>AX151+AX161+AX164+AX165+AX174-AX225</f>
        <v>38593</v>
      </c>
      <c r="AY340" s="347">
        <f>AY151+AY161+AY164+AY165+AY174-AY225</f>
        <v>38593</v>
      </c>
      <c r="AZ340" s="347">
        <f>AZ151+AZ161+AZ164+AZ165+AZ174-AZ225</f>
        <v>38593</v>
      </c>
      <c r="BA340" s="347">
        <f>BA151+BA161+BA164+BA165+BA174-BA225</f>
        <v>38593</v>
      </c>
      <c r="BB340" s="347">
        <f>BB151+BB161+BB164+BB165+BB174-BB225</f>
        <v>38593</v>
      </c>
      <c r="BC340" s="347">
        <f>BC151+BC161+BC164+BC165+BC174-BC225</f>
        <v>38593</v>
      </c>
      <c r="BD340" s="347">
        <f>BD151+BD161+BD164+BD165+BD174-BD225</f>
        <v>38593</v>
      </c>
      <c r="BE340" s="347">
        <f>BE151+BE161+BE164+BE165+BE174-BE225</f>
        <v>38593</v>
      </c>
      <c r="BF340" s="347">
        <f>BF151+BF161+BF164+BF165+BF174-BF225</f>
        <v>38593</v>
      </c>
      <c r="BG340" s="347">
        <f>BG151+BG161+BG164+BG165+BG174-BG225</f>
        <v>38593</v>
      </c>
      <c r="BH340" s="347">
        <f>BH151+BH161+BH164+BH165+BH174-BH225</f>
        <v>38593</v>
      </c>
      <c r="BI340" s="347">
        <f>BI151+BI161+BI164+BI165+BI174-BI225</f>
        <v>38593</v>
      </c>
      <c r="BJ340" s="347">
        <f>BJ151+BJ161+BJ164+BJ165+BJ174-BJ225</f>
        <v>38593</v>
      </c>
      <c r="BK340" s="347">
        <f>BK151+BK161+BK164+BK165+BK174-BK225</f>
        <v>38593</v>
      </c>
      <c r="BL340" s="347">
        <f>BL151+BL161+BL164+BL165+BL174-BL225</f>
        <v>38593</v>
      </c>
      <c r="BM340" s="347">
        <f>BM151+BM161+BM164+BM165+BM174-BM225</f>
        <v>38593</v>
      </c>
      <c r="BN340" s="347">
        <f>BN151+BN161+BN164+BN165+BN174-BN225</f>
        <v>38593</v>
      </c>
      <c r="BO340" s="347">
        <f>BO151+BO161+BO164+BO165+BO174-BO225</f>
        <v>38593</v>
      </c>
      <c r="BP340" s="347">
        <f>BP151+BP161+BP164+BP165+BP174-BP225</f>
        <v>38593</v>
      </c>
      <c r="BQ340" s="347">
        <f>BQ151+BQ161+BQ164+BQ165+BQ174-BQ225</f>
        <v>38593</v>
      </c>
      <c r="BR340" s="347">
        <f>BR151+BR161+BR164+BR165+BR174-BR225</f>
        <v>38593</v>
      </c>
      <c r="BS340" s="347">
        <f>BS151+BS161+BS164+BS165+BS174-BS225</f>
        <v>38593</v>
      </c>
      <c r="BT340" s="347">
        <f>BT151+BT161+BT164+BT165+BT174-BT225</f>
        <v>38593</v>
      </c>
      <c r="BU340" s="347">
        <f>BU151+BU161+BU164+BU165+BU174-BU225</f>
        <v>38593</v>
      </c>
      <c r="BV340" s="347">
        <f>BV151+BV161+BV164+BV165+BV174-BV225</f>
        <v>38593</v>
      </c>
      <c r="BW340" s="347">
        <f>BW151+BW161+BW164+BW165+BW174-BW225</f>
        <v>38593</v>
      </c>
      <c r="BX340" s="347">
        <f>BX151+BX161+BX164+BX165+BX174-BX225</f>
        <v>38593</v>
      </c>
      <c r="BY340" s="347">
        <f>BY151+BY161+BY164+BY165+BY174-BY225</f>
        <v>38593</v>
      </c>
      <c r="BZ340" s="347">
        <f>BZ151+BZ161+BZ164+BZ165+BZ174-BZ225</f>
        <v>38593</v>
      </c>
      <c r="CA340" s="347">
        <f>CA151+CA161+CA164+CA165+CA174-CA225</f>
        <v>38593</v>
      </c>
      <c r="CB340" s="347">
        <f>CB151+CB161+CB164+CB165+CB174-CB225</f>
        <v>38593</v>
      </c>
      <c r="CC340" s="347">
        <f>CC151+CC161+CC164+CC165+CC174-CC225</f>
        <v>38593</v>
      </c>
      <c r="CD340" s="347">
        <f>CD151+CD161+CD164+CD165+CD174-CD225</f>
        <v>38593</v>
      </c>
      <c r="CE340" s="347">
        <f>CE151+CE161+CE164+CE165+CE174-CE225</f>
        <v>38593</v>
      </c>
      <c r="CF340" s="347">
        <f>CF151+CF161+CF164+CF165+CF174-CF225</f>
        <v>38593</v>
      </c>
      <c r="CG340" s="347">
        <f>CG151+CG161+CG164+CG165+CG174-CG225</f>
        <v>38593</v>
      </c>
      <c r="CH340" s="347">
        <f>CH151+CH161+CH164+CH165+CH174-CH225</f>
        <v>38593</v>
      </c>
      <c r="CI340" s="347">
        <f>CI151+CI161+CI164+CI165+CI174-CI225</f>
        <v>38593</v>
      </c>
      <c r="CJ340" s="347">
        <f>CJ151+CJ161+CJ164+CJ165+CJ174-CJ225</f>
        <v>38593</v>
      </c>
      <c r="CK340" s="347">
        <f>CK151+CK161+CK164+CK165+CK174-CK225</f>
        <v>38593</v>
      </c>
      <c r="CL340" s="347">
        <f>CL151+CL161+CL164+CL165+CL174-CL225</f>
        <v>38593</v>
      </c>
      <c r="CM340" s="347">
        <f>CM151+CM161+CM164+CM165+CM174-CM225</f>
        <v>38593</v>
      </c>
      <c r="CN340" s="347">
        <f>CN151+CN161+CN164+CN165+CN174-CN225</f>
        <v>38593</v>
      </c>
      <c r="CO340" s="347">
        <f>CO151+CO161+CO164+CO165+CO174-CO225</f>
        <v>38593</v>
      </c>
      <c r="CP340" s="347">
        <f>CP151+CP161+CP164+CP165+CP174-CP225</f>
        <v>38593</v>
      </c>
      <c r="CQ340" s="347">
        <f>CQ151+CQ161+CQ164+CQ165+CQ174-CQ225</f>
        <v>38593</v>
      </c>
      <c r="CR340" s="347">
        <f>CR151+CR161+CR164+CR165+CR174-CR225</f>
        <v>38593</v>
      </c>
      <c r="CS340" s="347">
        <f>CS151+CS161+CS164+CS165+CS174-CS225</f>
        <v>38593</v>
      </c>
      <c r="CT340" s="347">
        <f>CT151+CT161+CT164+CT165+CT174-CT225</f>
        <v>38593</v>
      </c>
      <c r="CU340" s="347">
        <f>CU151+CU161+CU164+CU165+CU174-CU225</f>
        <v>38593</v>
      </c>
      <c r="CV340" s="347">
        <f>CV151+CV161+CV164+CV165+CV174-CV225</f>
        <v>38593</v>
      </c>
      <c r="CW340" s="347">
        <f>CW151+CW161+CW164+CW165+CW174-CW225</f>
        <v>38593</v>
      </c>
      <c r="CX340" s="347">
        <f>CX151+CX161+CX164+CX165+CX174-CX225</f>
        <v>38593</v>
      </c>
      <c r="CY340" s="347">
        <f>CY151+CY161+CY164+CY165+CY174-CY225</f>
        <v>38593</v>
      </c>
    </row>
    <row r="341" ht="12.75" customFormat="1" customHeight="1" s="333">
      <c r="A341" s="334" t="n"/>
      <c r="B341" s="334" t="n"/>
    </row>
    <row r="342" ht="12.75" customFormat="1" customHeight="1" s="333">
      <c r="A342" s="334" t="n"/>
      <c r="B342" s="334" t="n"/>
    </row>
    <row r="343" ht="12.75" customFormat="1" customHeight="1" s="333">
      <c r="A343" s="334" t="n"/>
      <c r="B343" s="334" t="n"/>
    </row>
    <row r="344" ht="12.75" customFormat="1" customHeight="1" s="333">
      <c r="A344" s="334" t="n"/>
      <c r="B344" s="334" t="n"/>
    </row>
    <row r="345" ht="12.75" customFormat="1" customHeight="1" s="333">
      <c r="A345" s="334" t="n"/>
      <c r="B345" s="334" t="n"/>
    </row>
    <row r="346" ht="12.75" customFormat="1" customHeight="1" s="333">
      <c r="A346" s="334" t="n"/>
      <c r="B346" s="334" t="n"/>
    </row>
    <row r="347" ht="12.75" customFormat="1" customHeight="1" s="333">
      <c r="A347" s="334" t="n"/>
      <c r="B347" s="334" t="n"/>
    </row>
    <row r="348" ht="12.75" customFormat="1" customHeight="1" s="333">
      <c r="A348" s="334" t="n"/>
      <c r="B348" s="334" t="n"/>
      <c r="C348" s="331" t="inlineStr">
        <is>
          <t>DUPONT ANALYSIS</t>
        </is>
      </c>
    </row>
    <row r="349" ht="12.75" customFormat="1" customHeight="1" s="333">
      <c r="A349" s="334" t="n"/>
      <c r="B349" s="334" t="n"/>
      <c r="C349" s="333" t="inlineStr">
        <is>
          <t>NET PROFIT MARGIN</t>
        </is>
      </c>
      <c r="D349" s="341">
        <f>D122/D15</f>
        <v>0.0238278050778051</v>
      </c>
      <c r="E349" s="341">
        <f>E122/E15</f>
        <v>0.0224869854559116</v>
      </c>
      <c r="F349" s="341">
        <f>F122/F15</f>
        <v>0.0260195193226308</v>
      </c>
      <c r="G349" s="341">
        <f>G122/G15</f>
        <v>0.0269857433808554</v>
      </c>
      <c r="I349" s="338">
        <f>I122/I15</f>
        <v>0.0212423775380285</v>
      </c>
      <c r="J349" s="338">
        <f>J122/J15</f>
        <v>0.0269452481392318</v>
      </c>
      <c r="K349" s="338">
        <f>K122/K15</f>
        <v>0.0266453928998803</v>
      </c>
      <c r="L349" s="338">
        <f>L122/L15</f>
        <v>0.0262891408375196</v>
      </c>
      <c r="N349" s="338">
        <f>N122/N15</f>
        <v>0.0250269728729963</v>
      </c>
      <c r="O349" s="338">
        <f>O122/O15</f>
        <v>0.0257243896874287</v>
      </c>
      <c r="P349" s="338">
        <f>P122/P15</f>
        <v>0.0259116949411161</v>
      </c>
      <c r="Q349" s="338">
        <f>Q122/Q15</f>
        <v>0.0250564873156125</v>
      </c>
      <c r="S349" s="338">
        <f>S122/S15</f>
        <v>0.0265262548402273</v>
      </c>
      <c r="T349" s="338">
        <f>T122/T15</f>
        <v>0.0242693110647182</v>
      </c>
      <c r="U349" s="338">
        <f>U122/U15</f>
        <v>0.0273629004674496</v>
      </c>
      <c r="V349" s="338">
        <f>V122/V15</f>
        <v>0.0274918251180816</v>
      </c>
      <c r="X349" s="338">
        <f>X122/X15</f>
        <v>0.0298244413264433</v>
      </c>
      <c r="Y349" s="338">
        <f>Y122/Y15</f>
        <v>0.0287276766641032</v>
      </c>
      <c r="Z349" s="338">
        <f>Z122/Z15</f>
        <v>0.0295368708985282</v>
      </c>
      <c r="AA349" s="338">
        <f>AA122/AA15</f>
        <v>0.0289295425656868</v>
      </c>
      <c r="AC349" s="338">
        <f>AC122/AC15</f>
        <v>0.0280589426109882</v>
      </c>
      <c r="AD349" s="338">
        <f>AD122/AD15</f>
        <v>0.0301083775017799</v>
      </c>
      <c r="AE349" s="338">
        <f>AE122/AE15</f>
        <v>0.0302938855100051</v>
      </c>
      <c r="AF349" s="338">
        <f>AF122/AF15</f>
        <v>0.0297294486457575</v>
      </c>
      <c r="AH349" s="338">
        <f>AH122/AH15</f>
        <v>0.0292397660818713</v>
      </c>
      <c r="AI349" s="338">
        <f>AI122/AI15</f>
        <v>0.0310802954896706</v>
      </c>
      <c r="AJ349" s="338">
        <f>AJ122/AJ15</f>
        <v>0.00171781419750221</v>
      </c>
      <c r="AK349" s="338">
        <f>AK122/AK15</f>
        <v>0.00230288082963139</v>
      </c>
      <c r="AM349" s="338">
        <f>AM122/AM15</f>
        <v>0.00222710749026539</v>
      </c>
      <c r="AN349" s="338">
        <f>AN122/AN15</f>
        <v>0.00859245395380493</v>
      </c>
      <c r="AO349" s="338">
        <f>AO122/AO15</f>
        <v>0.00179906216630299</v>
      </c>
      <c r="AP349" s="338">
        <f>AP122/AP15</f>
        <v>0.00900352117907498</v>
      </c>
      <c r="AR349" s="338">
        <f>AR122/AR15</f>
        <v>0.0087072718651666</v>
      </c>
      <c r="AS349" s="338">
        <f>AS122/AS15</f>
        <v>0.0215803876529556</v>
      </c>
      <c r="AT349" s="338">
        <f>AT122/AT15</f>
        <v>0.00703375272761038</v>
      </c>
      <c r="AU349" s="338">
        <f>AU122/AU15</f>
        <v>0.0226128040174128</v>
      </c>
      <c r="AW349" s="338">
        <f>AW122/AW15</f>
        <v>0.021868758710864</v>
      </c>
      <c r="AX349" s="338">
        <f>AX122/AX15</f>
        <v>0.0603456832135211</v>
      </c>
      <c r="AY349" s="338">
        <f>AY122/AY15</f>
        <v>0.0176656297878267</v>
      </c>
      <c r="AZ349" s="338">
        <f>AZ122/AZ15</f>
        <v>0.0632326503929755</v>
      </c>
      <c r="BB349" s="338">
        <f>BB122/BB15</f>
        <v>0.0611520611520612</v>
      </c>
      <c r="BC349" s="338">
        <f>BC122/BC15</f>
        <v>0.163852141732953</v>
      </c>
      <c r="BD349" s="338">
        <f>BD122/BD15</f>
        <v>0.0493987650308742</v>
      </c>
      <c r="BE349" s="338">
        <f>BE122/BE15</f>
        <v>0.171690908820776</v>
      </c>
      <c r="BG349" s="338">
        <f>BG122/BG15</f>
        <v>0.16604163972585</v>
      </c>
      <c r="BH349" s="338">
        <f>BH122/BH15</f>
        <v>0.448395649892949</v>
      </c>
      <c r="BI349" s="338">
        <f>BI122/BI15</f>
        <v>0.134128789637402</v>
      </c>
      <c r="BJ349" s="338">
        <f>BJ122/BJ15</f>
        <v>0.469847118427504</v>
      </c>
      <c r="BL349" s="338">
        <f>BL122/BL15</f>
        <v>0.454387401755823</v>
      </c>
      <c r="BM349" s="338">
        <f>BM122/BM15</f>
        <v>1.2244955832518</v>
      </c>
      <c r="BN349" s="338">
        <f>BN122/BN15</f>
        <v>0.367055109336552</v>
      </c>
      <c r="BO349" s="338">
        <f>BO122/BO15</f>
        <v>1.28307605449656</v>
      </c>
      <c r="BQ349" s="338">
        <f>BQ122/BQ15</f>
        <v>1.24085808296335</v>
      </c>
      <c r="BR349" s="338">
        <f>BR122/BR15</f>
        <v>3.34578246628951</v>
      </c>
      <c r="BS349" s="338">
        <f>BS122/BS15</f>
        <v>1.00236779794791</v>
      </c>
      <c r="BT349" s="338">
        <f>BT122/BT15</f>
        <v>3.50584634584813</v>
      </c>
      <c r="BV349" s="338">
        <f>BV122/BV15</f>
        <v>3.39049096943834</v>
      </c>
      <c r="BW349" s="338">
        <f>BW122/BW15</f>
        <v>9.14055609908262</v>
      </c>
      <c r="BX349" s="338">
        <f>BX122/BX15</f>
        <v>2.73884581456892</v>
      </c>
      <c r="BY349" s="338">
        <f>BY122/BY15</f>
        <v>9.57784480068938</v>
      </c>
      <c r="CA349" s="338">
        <f>CA122/CA15</f>
        <v>9.26269810480337</v>
      </c>
      <c r="CB349" s="338">
        <f>CB122/CB15</f>
        <v>24.9726771307443</v>
      </c>
      <c r="CC349" s="338">
        <f>CC122/CC15</f>
        <v>7.48242722503366</v>
      </c>
      <c r="CD349" s="338">
        <f>CD122/CD15</f>
        <v>26.167382293075</v>
      </c>
      <c r="CF349" s="338">
        <f>CF122/CF15</f>
        <v>25.3063781484834</v>
      </c>
      <c r="CG349" s="338">
        <f>CG122/CG15</f>
        <v>68.2264664596538</v>
      </c>
      <c r="CH349" s="338">
        <f>CH122/CH15</f>
        <v>20.4425460792052</v>
      </c>
      <c r="CI349" s="338">
        <f>CI122/CI15</f>
        <v>71.4904541875288</v>
      </c>
      <c r="CK349" s="338">
        <f>CK122/CK15</f>
        <v>69.1381525065736</v>
      </c>
      <c r="CL349" s="338">
        <f>CL122/CL15</f>
        <v>186.398287180796</v>
      </c>
      <c r="CM349" s="338">
        <f>CM122/CM15</f>
        <v>55.8499466084776</v>
      </c>
      <c r="CN349" s="338">
        <f>CN122/CN15</f>
        <v>195.315672961208</v>
      </c>
      <c r="CP349" s="338">
        <f>CP122/CP15</f>
        <v>188.889061310114</v>
      </c>
      <c r="CQ349" s="338">
        <f>CQ122/CQ15</f>
        <v>509.2495072809</v>
      </c>
      <c r="CR349" s="338">
        <f>CR122/CR15</f>
        <v>152.584985375366</v>
      </c>
      <c r="CS349" s="338">
        <f>CS122/CS15</f>
        <v>533.612254297473</v>
      </c>
      <c r="CU349" s="338">
        <f>CU122/CU15</f>
        <v>516.054427633375</v>
      </c>
      <c r="CV349" s="338">
        <f>CV122/CV15</f>
        <v>1391.29558892339</v>
      </c>
      <c r="CW349" s="338">
        <f>CW122/CW15</f>
        <v>416.869863967687</v>
      </c>
      <c r="CX349" s="338">
        <f>CX122/CX15</f>
        <v>1457.85585451736</v>
      </c>
    </row>
    <row r="350" ht="12.75" customFormat="1" customHeight="1" s="333">
      <c r="A350" s="334" t="n"/>
      <c r="B350" s="334" t="n"/>
      <c r="C350" s="333" t="inlineStr">
        <is>
          <t>ASSET TURNOVER</t>
        </is>
      </c>
      <c r="D350" s="341">
        <f>D122/D182</f>
        <v>0.0190849083678406</v>
      </c>
      <c r="E350" s="341">
        <f>E122/E182</f>
        <v>0.0161988711049254</v>
      </c>
      <c r="F350" s="341">
        <f>F122/F182</f>
        <v>0.0250017999856001</v>
      </c>
      <c r="G350" s="341">
        <f>G122/G182</f>
        <v>0.0193633027218227</v>
      </c>
      <c r="I350" s="338">
        <f>I122/I182</f>
        <v>0.0173167267562548</v>
      </c>
      <c r="J350" s="338">
        <f>J122/J182</f>
        <v>0.0213011139434997</v>
      </c>
      <c r="K350" s="338">
        <f>K122/K182</f>
        <v>0.0281770938786529</v>
      </c>
      <c r="L350" s="338">
        <f>L122/L182</f>
        <v>0.0206394487833014</v>
      </c>
      <c r="N350" s="338">
        <f>N122/N182</f>
        <v>0.0205935508418149</v>
      </c>
      <c r="O350" s="338">
        <f>O122/O182</f>
        <v>0.0211896260101485</v>
      </c>
      <c r="P350" s="338">
        <f>P122/P182</f>
        <v>0.0291119907739301</v>
      </c>
      <c r="Q350" s="338">
        <f>Q122/Q182</f>
        <v>0.0206582155784755</v>
      </c>
      <c r="S350" s="338">
        <f>S122/S182</f>
        <v>0.0219303494494974</v>
      </c>
      <c r="T350" s="338">
        <f>T122/T182</f>
        <v>0.019505033557047</v>
      </c>
      <c r="U350" s="338">
        <f>U122/U182</f>
        <v>0.0313070701800157</v>
      </c>
      <c r="V350" s="338">
        <f>V122/V182</f>
        <v>0.0215536535409574</v>
      </c>
      <c r="X350" s="338">
        <f>X122/X182</f>
        <v>0.0262804758530223</v>
      </c>
      <c r="Y350" s="338">
        <f>Y122/Y182</f>
        <v>0.0247529855251727</v>
      </c>
      <c r="Z350" s="338">
        <f>Z122/Z182</f>
        <v>0.0337099568959345</v>
      </c>
      <c r="AA350" s="338">
        <f>AA122/AA182</f>
        <v>0.0245005859428229</v>
      </c>
      <c r="AC350" s="338">
        <f>AC122/AC182</f>
        <v>0.0244182235332678</v>
      </c>
      <c r="AD350" s="338">
        <f>AD122/AD182</f>
        <v>0.0252113086563684</v>
      </c>
      <c r="AE350" s="338">
        <f>AE122/AE182</f>
        <v>0.0338525791514806</v>
      </c>
      <c r="AF350" s="338">
        <f>AF122/AF182</f>
        <v>0.0241695856987559</v>
      </c>
      <c r="AH350" s="338">
        <f>AH122/AH182</f>
        <v>0.0243307547914251</v>
      </c>
      <c r="AI350" s="338">
        <f>AI122/AI182</f>
        <v>0.0253615642716649</v>
      </c>
      <c r="AJ350" s="338">
        <f>AJ122/AJ182</f>
        <v>0.00264054666452568</v>
      </c>
      <c r="AK350" s="338">
        <f>AK122/AK182</f>
        <v>0.00275781083196926</v>
      </c>
      <c r="AM350" s="338" t="e">
        <f>AM122/AM182</f>
        <v>#DIV/0!</v>
      </c>
      <c r="AN350" s="338" t="e">
        <f>AN122/AN182</f>
        <v>#DIV/0!</v>
      </c>
      <c r="AO350" s="338" t="e">
        <f>AO122/AO182</f>
        <v>#DIV/0!</v>
      </c>
      <c r="AP350" s="338" t="e">
        <f>AP122/AP182</f>
        <v>#DIV/0!</v>
      </c>
      <c r="AR350" s="338" t="e">
        <f>AR122/AR182</f>
        <v>#DIV/0!</v>
      </c>
      <c r="AS350" s="338" t="e">
        <f>AS122/AS182</f>
        <v>#DIV/0!</v>
      </c>
      <c r="AT350" s="338" t="e">
        <f>AT122/AT182</f>
        <v>#DIV/0!</v>
      </c>
      <c r="AU350" s="338" t="e">
        <f>AU122/AU182</f>
        <v>#DIV/0!</v>
      </c>
      <c r="AW350" s="338" t="e">
        <f>AW122/AW182</f>
        <v>#DIV/0!</v>
      </c>
      <c r="AX350" s="338" t="e">
        <f>AX122/AX182</f>
        <v>#DIV/0!</v>
      </c>
      <c r="AY350" s="338" t="e">
        <f>AY122/AY182</f>
        <v>#DIV/0!</v>
      </c>
      <c r="AZ350" s="338" t="e">
        <f>AZ122/AZ182</f>
        <v>#DIV/0!</v>
      </c>
      <c r="BB350" s="338" t="e">
        <f>BB122/BB182</f>
        <v>#DIV/0!</v>
      </c>
      <c r="BC350" s="338" t="e">
        <f>BC122/BC182</f>
        <v>#DIV/0!</v>
      </c>
      <c r="BD350" s="338" t="e">
        <f>BD122/BD182</f>
        <v>#DIV/0!</v>
      </c>
      <c r="BE350" s="338" t="e">
        <f>BE122/BE182</f>
        <v>#DIV/0!</v>
      </c>
      <c r="BG350" s="338" t="e">
        <f>BG122/BG182</f>
        <v>#DIV/0!</v>
      </c>
      <c r="BH350" s="338" t="e">
        <f>BH122/BH182</f>
        <v>#DIV/0!</v>
      </c>
      <c r="BI350" s="338" t="e">
        <f>BI122/BI182</f>
        <v>#DIV/0!</v>
      </c>
      <c r="BJ350" s="338" t="e">
        <f>BJ122/BJ182</f>
        <v>#DIV/0!</v>
      </c>
      <c r="BL350" s="338" t="e">
        <f>BL122/BL182</f>
        <v>#DIV/0!</v>
      </c>
      <c r="BM350" s="338" t="e">
        <f>BM122/BM182</f>
        <v>#DIV/0!</v>
      </c>
      <c r="BN350" s="338" t="e">
        <f>BN122/BN182</f>
        <v>#DIV/0!</v>
      </c>
      <c r="BO350" s="338" t="e">
        <f>BO122/BO182</f>
        <v>#DIV/0!</v>
      </c>
      <c r="BQ350" s="338" t="e">
        <f>BQ122/BQ182</f>
        <v>#DIV/0!</v>
      </c>
      <c r="BR350" s="338" t="e">
        <f>BR122/BR182</f>
        <v>#DIV/0!</v>
      </c>
      <c r="BS350" s="338" t="e">
        <f>BS122/BS182</f>
        <v>#DIV/0!</v>
      </c>
      <c r="BT350" s="338" t="e">
        <f>BT122/BT182</f>
        <v>#DIV/0!</v>
      </c>
      <c r="BV350" s="338" t="e">
        <f>BV122/BV182</f>
        <v>#DIV/0!</v>
      </c>
      <c r="BW350" s="338" t="e">
        <f>BW122/BW182</f>
        <v>#DIV/0!</v>
      </c>
      <c r="BX350" s="338" t="e">
        <f>BX122/BX182</f>
        <v>#DIV/0!</v>
      </c>
      <c r="BY350" s="338" t="e">
        <f>BY122/BY182</f>
        <v>#DIV/0!</v>
      </c>
      <c r="CA350" s="338" t="e">
        <f>CA122/CA182</f>
        <v>#DIV/0!</v>
      </c>
      <c r="CB350" s="338" t="e">
        <f>CB122/CB182</f>
        <v>#DIV/0!</v>
      </c>
      <c r="CC350" s="338" t="e">
        <f>CC122/CC182</f>
        <v>#DIV/0!</v>
      </c>
      <c r="CD350" s="338" t="e">
        <f>CD122/CD182</f>
        <v>#DIV/0!</v>
      </c>
      <c r="CF350" s="338" t="e">
        <f>CF122/CF182</f>
        <v>#DIV/0!</v>
      </c>
      <c r="CG350" s="338" t="e">
        <f>CG122/CG182</f>
        <v>#DIV/0!</v>
      </c>
      <c r="CH350" s="338" t="e">
        <f>CH122/CH182</f>
        <v>#DIV/0!</v>
      </c>
      <c r="CI350" s="338" t="e">
        <f>CI122/CI182</f>
        <v>#DIV/0!</v>
      </c>
      <c r="CK350" s="338" t="e">
        <f>CK122/CK182</f>
        <v>#DIV/0!</v>
      </c>
      <c r="CL350" s="338" t="e">
        <f>CL122/CL182</f>
        <v>#DIV/0!</v>
      </c>
      <c r="CM350" s="338" t="e">
        <f>CM122/CM182</f>
        <v>#DIV/0!</v>
      </c>
      <c r="CN350" s="338" t="e">
        <f>CN122/CN182</f>
        <v>#DIV/0!</v>
      </c>
      <c r="CP350" s="338" t="e">
        <f>CP122/CP182</f>
        <v>#DIV/0!</v>
      </c>
      <c r="CQ350" s="338" t="e">
        <f>CQ122/CQ182</f>
        <v>#DIV/0!</v>
      </c>
      <c r="CR350" s="338" t="e">
        <f>CR122/CR182</f>
        <v>#DIV/0!</v>
      </c>
      <c r="CS350" s="338" t="e">
        <f>CS122/CS182</f>
        <v>#DIV/0!</v>
      </c>
      <c r="CU350" s="338" t="e">
        <f>CU122/CU182</f>
        <v>#DIV/0!</v>
      </c>
      <c r="CV350" s="338" t="e">
        <f>CV122/CV182</f>
        <v>#DIV/0!</v>
      </c>
      <c r="CW350" s="338" t="e">
        <f>CW122/CW182</f>
        <v>#DIV/0!</v>
      </c>
      <c r="CX350" s="338" t="e">
        <f>CX122/CX182</f>
        <v>#DIV/0!</v>
      </c>
    </row>
    <row r="351" ht="12.75" customFormat="1" customHeight="1" s="333">
      <c r="A351" s="334" t="n"/>
      <c r="B351" s="334" t="n"/>
      <c r="C351" s="333" t="inlineStr">
        <is>
          <t>EQUITY MULTIPLIER</t>
        </is>
      </c>
      <c r="D351" s="341">
        <f>D182/D256</f>
        <v>2.86969821754221</v>
      </c>
      <c r="E351" s="341">
        <f>E182/E256</f>
        <v>3.00714991571238</v>
      </c>
      <c r="F351" s="341">
        <f>F182/F256</f>
        <v>2.97011494252874</v>
      </c>
      <c r="G351" s="341">
        <f>G182/G256</f>
        <v>3.93343784701809</v>
      </c>
      <c r="I351" s="338">
        <f>I182/I256</f>
        <v>3.40492280984562</v>
      </c>
      <c r="J351" s="338">
        <f>J182/J256</f>
        <v>3.37421939436786</v>
      </c>
      <c r="K351" s="338">
        <f>K182/K256</f>
        <v>3.2784600066379</v>
      </c>
      <c r="L351" s="338">
        <f>L182/L256</f>
        <v>3.37626315789474</v>
      </c>
      <c r="N351" s="338">
        <f>N182/N256</f>
        <v>3.15768922707249</v>
      </c>
      <c r="O351" s="338">
        <f>O182/O256</f>
        <v>3.11275776336957</v>
      </c>
      <c r="P351" s="338">
        <f>P182/P256</f>
        <v>3.10776383978302</v>
      </c>
      <c r="Q351" s="338">
        <f>Q182/Q256</f>
        <v>3.07445520581114</v>
      </c>
      <c r="S351" s="338">
        <f>S182/S256</f>
        <v>2.93205842361507</v>
      </c>
      <c r="T351" s="338">
        <f>T182/T256</f>
        <v>2.83171424935307</v>
      </c>
      <c r="U351" s="338">
        <f>U182/U256</f>
        <v>2.7533721765504</v>
      </c>
      <c r="V351" s="338">
        <f>V182/V256</f>
        <v>2.81955864917581</v>
      </c>
      <c r="X351" s="338">
        <f>X182/X256</f>
        <v>3.19474951830443</v>
      </c>
      <c r="Y351" s="338">
        <f>Y182/Y256</f>
        <v>3.11933305773736</v>
      </c>
      <c r="Z351" s="338">
        <f>Z182/Z256</f>
        <v>2.95618491236983</v>
      </c>
      <c r="AA351" s="338">
        <f>AA182/AA256</f>
        <v>3.00134963805161</v>
      </c>
      <c r="AC351" s="338">
        <f>AC182/AC256</f>
        <v>2.86288462290339</v>
      </c>
      <c r="AD351" s="338">
        <f>AD182/AD256</f>
        <v>2.7827465437788</v>
      </c>
      <c r="AE351" s="338">
        <f>AE182/AE256</f>
        <v>2.64363598957619</v>
      </c>
      <c r="AF351" s="338">
        <f>AF182/AF256</f>
        <v>2.73207273207273</v>
      </c>
      <c r="AH351" s="338">
        <f>AH182/AH256</f>
        <v>2.60663196933338</v>
      </c>
      <c r="AI351" s="338">
        <f>AI182/AI256</f>
        <v>2.57930705183682</v>
      </c>
      <c r="AJ351" s="338">
        <f>AJ182/AJ256</f>
        <v>1.66529993760585</v>
      </c>
      <c r="AK351" s="338">
        <f>AK182/AK256</f>
        <v>1.6622500887259</v>
      </c>
      <c r="AM351" s="338" t="e">
        <f>AM182/AM256</f>
        <v>#DIV/0!</v>
      </c>
      <c r="AN351" s="338" t="e">
        <f>AN182/AN256</f>
        <v>#DIV/0!</v>
      </c>
      <c r="AO351" s="338" t="e">
        <f>AO182/AO256</f>
        <v>#DIV/0!</v>
      </c>
      <c r="AP351" s="338" t="e">
        <f>AP182/AP256</f>
        <v>#DIV/0!</v>
      </c>
      <c r="AR351" s="338" t="e">
        <f>AR182/AR256</f>
        <v>#DIV/0!</v>
      </c>
      <c r="AS351" s="338" t="e">
        <f>AS182/AS256</f>
        <v>#DIV/0!</v>
      </c>
      <c r="AT351" s="338" t="e">
        <f>AT182/AT256</f>
        <v>#DIV/0!</v>
      </c>
      <c r="AU351" s="338" t="e">
        <f>AU182/AU256</f>
        <v>#DIV/0!</v>
      </c>
      <c r="AW351" s="338" t="e">
        <f>AW182/AW256</f>
        <v>#DIV/0!</v>
      </c>
      <c r="AX351" s="338" t="e">
        <f>AX182/AX256</f>
        <v>#DIV/0!</v>
      </c>
      <c r="AY351" s="338" t="e">
        <f>AY182/AY256</f>
        <v>#DIV/0!</v>
      </c>
      <c r="AZ351" s="338" t="e">
        <f>AZ182/AZ256</f>
        <v>#DIV/0!</v>
      </c>
      <c r="BB351" s="338" t="e">
        <f>BB182/BB256</f>
        <v>#DIV/0!</v>
      </c>
      <c r="BC351" s="338" t="e">
        <f>BC182/BC256</f>
        <v>#DIV/0!</v>
      </c>
      <c r="BD351" s="338" t="e">
        <f>BD182/BD256</f>
        <v>#DIV/0!</v>
      </c>
      <c r="BE351" s="338" t="e">
        <f>BE182/BE256</f>
        <v>#DIV/0!</v>
      </c>
      <c r="BG351" s="338" t="e">
        <f>BG182/BG256</f>
        <v>#DIV/0!</v>
      </c>
      <c r="BH351" s="338" t="e">
        <f>BH182/BH256</f>
        <v>#DIV/0!</v>
      </c>
      <c r="BI351" s="338" t="e">
        <f>BI182/BI256</f>
        <v>#DIV/0!</v>
      </c>
      <c r="BJ351" s="338" t="e">
        <f>BJ182/BJ256</f>
        <v>#DIV/0!</v>
      </c>
      <c r="BL351" s="338" t="e">
        <f>BL182/BL256</f>
        <v>#DIV/0!</v>
      </c>
      <c r="BM351" s="338" t="e">
        <f>BM182/BM256</f>
        <v>#DIV/0!</v>
      </c>
      <c r="BN351" s="338" t="e">
        <f>BN182/BN256</f>
        <v>#DIV/0!</v>
      </c>
      <c r="BO351" s="338" t="e">
        <f>BO182/BO256</f>
        <v>#DIV/0!</v>
      </c>
      <c r="BQ351" s="338" t="e">
        <f>BQ182/BQ256</f>
        <v>#DIV/0!</v>
      </c>
      <c r="BR351" s="338" t="e">
        <f>BR182/BR256</f>
        <v>#DIV/0!</v>
      </c>
      <c r="BS351" s="338" t="e">
        <f>BS182/BS256</f>
        <v>#DIV/0!</v>
      </c>
      <c r="BT351" s="338" t="e">
        <f>BT182/BT256</f>
        <v>#DIV/0!</v>
      </c>
      <c r="BV351" s="338" t="e">
        <f>BV182/BV256</f>
        <v>#DIV/0!</v>
      </c>
      <c r="BW351" s="338" t="e">
        <f>BW182/BW256</f>
        <v>#DIV/0!</v>
      </c>
      <c r="BX351" s="338" t="e">
        <f>BX182/BX256</f>
        <v>#DIV/0!</v>
      </c>
      <c r="BY351" s="338" t="e">
        <f>BY182/BY256</f>
        <v>#DIV/0!</v>
      </c>
      <c r="CA351" s="338" t="e">
        <f>CA182/CA256</f>
        <v>#DIV/0!</v>
      </c>
      <c r="CB351" s="338" t="e">
        <f>CB182/CB256</f>
        <v>#DIV/0!</v>
      </c>
      <c r="CC351" s="338" t="e">
        <f>CC182/CC256</f>
        <v>#DIV/0!</v>
      </c>
      <c r="CD351" s="338" t="e">
        <f>CD182/CD256</f>
        <v>#DIV/0!</v>
      </c>
      <c r="CF351" s="338" t="e">
        <f>CF182/CF256</f>
        <v>#DIV/0!</v>
      </c>
      <c r="CG351" s="338" t="e">
        <f>CG182/CG256</f>
        <v>#DIV/0!</v>
      </c>
      <c r="CH351" s="338" t="e">
        <f>CH182/CH256</f>
        <v>#DIV/0!</v>
      </c>
      <c r="CI351" s="338" t="e">
        <f>CI182/CI256</f>
        <v>#DIV/0!</v>
      </c>
      <c r="CK351" s="338" t="e">
        <f>CK182/CK256</f>
        <v>#DIV/0!</v>
      </c>
      <c r="CL351" s="338" t="e">
        <f>CL182/CL256</f>
        <v>#DIV/0!</v>
      </c>
      <c r="CM351" s="338" t="e">
        <f>CM182/CM256</f>
        <v>#DIV/0!</v>
      </c>
      <c r="CN351" s="338" t="e">
        <f>CN182/CN256</f>
        <v>#DIV/0!</v>
      </c>
      <c r="CP351" s="338" t="e">
        <f>CP182/CP256</f>
        <v>#DIV/0!</v>
      </c>
      <c r="CQ351" s="338" t="e">
        <f>CQ182/CQ256</f>
        <v>#DIV/0!</v>
      </c>
      <c r="CR351" s="338" t="e">
        <f>CR182/CR256</f>
        <v>#DIV/0!</v>
      </c>
      <c r="CS351" s="338" t="e">
        <f>CS182/CS256</f>
        <v>#DIV/0!</v>
      </c>
      <c r="CU351" s="338" t="e">
        <f>CU182/CU256</f>
        <v>#DIV/0!</v>
      </c>
      <c r="CV351" s="338" t="e">
        <f>CV182/CV256</f>
        <v>#DIV/0!</v>
      </c>
      <c r="CW351" s="338" t="e">
        <f>CW182/CW256</f>
        <v>#DIV/0!</v>
      </c>
      <c r="CX351" s="338" t="e">
        <f>CX182/CX256</f>
        <v>#DIV/0!</v>
      </c>
    </row>
    <row r="352" ht="12.75" customFormat="1" customHeight="1" s="333">
      <c r="A352" s="334" t="n"/>
      <c r="B352" s="334" t="n"/>
      <c r="C352" s="333" t="inlineStr">
        <is>
          <t>ROE - DUPONT</t>
        </is>
      </c>
      <c r="D352" s="341">
        <f>PRODUCT(D349:D351)</f>
        <v>0.00130499950158459</v>
      </c>
      <c r="E352" s="341">
        <f>PRODUCT(E349:E351)</f>
        <v>0.00109539579213241</v>
      </c>
      <c r="F352" s="341">
        <f>PRODUCT(F349:F351)</f>
        <v>0.00193216318305983</v>
      </c>
      <c r="G352" s="341">
        <f>PRODUCT(G349:G351)</f>
        <v>0.00205535154367218</v>
      </c>
      <c r="I352" s="338">
        <f>PRODUCT(I349:I351)</f>
        <v>0.00125249556938838</v>
      </c>
      <c r="J352" s="338">
        <f>PRODUCT(J349:J351)</f>
        <v>0.00193667978849198</v>
      </c>
      <c r="K352" s="338">
        <f>PRODUCT(K349:K351)</f>
        <v>0.00246143412671757</v>
      </c>
      <c r="L352" s="338">
        <f>PRODUCT(L349:L351)</f>
        <v>0.00183193802467768</v>
      </c>
      <c r="N352" s="338">
        <f>PRODUCT(N349:N351)</f>
        <v>0.00162745483390179</v>
      </c>
      <c r="O352" s="338">
        <f>PRODUCT(O349:O351)</f>
        <v>0.00169673374187545</v>
      </c>
      <c r="P352" s="338">
        <f>PRODUCT(P349:P351)</f>
        <v>0.00234431375744684</v>
      </c>
      <c r="Q352" s="338">
        <f>PRODUCT(Q349:Q351)</f>
        <v>0.00159140662593106</v>
      </c>
      <c r="S352" s="338">
        <f>PRODUCT(S349:S351)</f>
        <v>0.00170566645886983</v>
      </c>
      <c r="T352" s="338">
        <f>PRODUCT(T349:T351)</f>
        <v>0.00134045912723298</v>
      </c>
      <c r="U352" s="338">
        <f>PRODUCT(U349:U351)</f>
        <v>0.0023586824570872</v>
      </c>
      <c r="V352" s="338">
        <f>PRODUCT(V349:V351)</f>
        <v>0.00167072743001613</v>
      </c>
      <c r="X352" s="338">
        <f>PRODUCT(X349:X351)</f>
        <v>0.00250404630211901</v>
      </c>
      <c r="Y352" s="338">
        <f>PRODUCT(Y349:Y351)</f>
        <v>0.00221814452585354</v>
      </c>
      <c r="Z352" s="338">
        <f>PRODUCT(Z349:Z351)</f>
        <v>0.00294343383689507</v>
      </c>
      <c r="AA352" s="338">
        <f>PRODUCT(AA349:AA351)</f>
        <v>0.00212732884271011</v>
      </c>
      <c r="AC352" s="338">
        <f>PRODUCT(AC349:AC351)</f>
        <v>0.00196150406179172</v>
      </c>
      <c r="AD352" s="338">
        <f>PRODUCT(AD349:AD351)</f>
        <v>0.00211230386676082</v>
      </c>
      <c r="AE352" s="338">
        <f>PRODUCT(AE349:AE351)</f>
        <v>0.0027111178569851</v>
      </c>
      <c r="AF352" s="338">
        <f>PRODUCT(AF349:AF351)</f>
        <v>0.00196312664555195</v>
      </c>
      <c r="AH352" s="338">
        <f>PRODUCT(AH349:AH351)</f>
        <v>0.00185442465723216</v>
      </c>
      <c r="AI352" s="338">
        <f>PRODUCT(AI349:AI351)</f>
        <v>0.00203312565917688</v>
      </c>
      <c r="AJ352" s="338">
        <f>PRODUCT(AJ349:AJ351)</f>
        <v>7.55374814244664e-06</v>
      </c>
      <c r="AK352" s="338">
        <f>PRODUCT(AK349:AK351)</f>
        <v>1.05568002068161e-05</v>
      </c>
      <c r="AM352" s="338" t="e">
        <f>PRODUCT(AM349:AM351)</f>
        <v>#DIV/0!</v>
      </c>
      <c r="AN352" s="338" t="e">
        <f>PRODUCT(AN349:AN351)</f>
        <v>#DIV/0!</v>
      </c>
      <c r="AO352" s="338" t="e">
        <f>PRODUCT(AO349:AO351)</f>
        <v>#DIV/0!</v>
      </c>
      <c r="AP352" s="338" t="e">
        <f>PRODUCT(AP349:AP351)</f>
        <v>#DIV/0!</v>
      </c>
      <c r="AR352" s="338" t="e">
        <f>PRODUCT(AR349:AR351)</f>
        <v>#DIV/0!</v>
      </c>
      <c r="AS352" s="338" t="e">
        <f>PRODUCT(AS349:AS351)</f>
        <v>#DIV/0!</v>
      </c>
      <c r="AT352" s="338" t="e">
        <f>PRODUCT(AT349:AT351)</f>
        <v>#DIV/0!</v>
      </c>
      <c r="AU352" s="338" t="e">
        <f>PRODUCT(AU349:AU351)</f>
        <v>#DIV/0!</v>
      </c>
      <c r="AW352" s="338" t="e">
        <f>PRODUCT(AW349:AW351)</f>
        <v>#DIV/0!</v>
      </c>
      <c r="AX352" s="338" t="e">
        <f>PRODUCT(AX349:AX351)</f>
        <v>#DIV/0!</v>
      </c>
      <c r="AY352" s="338" t="e">
        <f>PRODUCT(AY349:AY351)</f>
        <v>#DIV/0!</v>
      </c>
      <c r="AZ352" s="338" t="e">
        <f>PRODUCT(AZ349:AZ351)</f>
        <v>#DIV/0!</v>
      </c>
      <c r="BB352" s="338" t="e">
        <f>PRODUCT(BB349:BB351)</f>
        <v>#DIV/0!</v>
      </c>
      <c r="BC352" s="338" t="e">
        <f>PRODUCT(BC349:BC351)</f>
        <v>#DIV/0!</v>
      </c>
      <c r="BD352" s="338" t="e">
        <f>PRODUCT(BD349:BD351)</f>
        <v>#DIV/0!</v>
      </c>
      <c r="BE352" s="338" t="e">
        <f>PRODUCT(BE349:BE351)</f>
        <v>#DIV/0!</v>
      </c>
      <c r="BG352" s="338" t="e">
        <f>PRODUCT(BG349:BG351)</f>
        <v>#DIV/0!</v>
      </c>
      <c r="BH352" s="338" t="e">
        <f>PRODUCT(BH349:BH351)</f>
        <v>#DIV/0!</v>
      </c>
      <c r="BI352" s="338" t="e">
        <f>PRODUCT(BI349:BI351)</f>
        <v>#DIV/0!</v>
      </c>
      <c r="BJ352" s="338" t="e">
        <f>PRODUCT(BJ349:BJ351)</f>
        <v>#DIV/0!</v>
      </c>
      <c r="BL352" s="338" t="e">
        <f>PRODUCT(BL349:BL351)</f>
        <v>#DIV/0!</v>
      </c>
      <c r="BM352" s="338" t="e">
        <f>PRODUCT(BM349:BM351)</f>
        <v>#DIV/0!</v>
      </c>
      <c r="BN352" s="338" t="e">
        <f>PRODUCT(BN349:BN351)</f>
        <v>#DIV/0!</v>
      </c>
      <c r="BO352" s="338" t="e">
        <f>PRODUCT(BO349:BO351)</f>
        <v>#DIV/0!</v>
      </c>
      <c r="BQ352" s="338" t="e">
        <f>PRODUCT(BQ349:BQ351)</f>
        <v>#DIV/0!</v>
      </c>
      <c r="BR352" s="338" t="e">
        <f>PRODUCT(BR349:BR351)</f>
        <v>#DIV/0!</v>
      </c>
      <c r="BS352" s="338" t="e">
        <f>PRODUCT(BS349:BS351)</f>
        <v>#DIV/0!</v>
      </c>
      <c r="BT352" s="338" t="e">
        <f>PRODUCT(BT349:BT351)</f>
        <v>#DIV/0!</v>
      </c>
      <c r="BV352" s="338" t="e">
        <f>PRODUCT(BV349:BV351)</f>
        <v>#DIV/0!</v>
      </c>
      <c r="BW352" s="338" t="e">
        <f>PRODUCT(BW349:BW351)</f>
        <v>#DIV/0!</v>
      </c>
      <c r="BX352" s="338" t="e">
        <f>PRODUCT(BX349:BX351)</f>
        <v>#DIV/0!</v>
      </c>
      <c r="BY352" s="338" t="e">
        <f>PRODUCT(BY349:BY351)</f>
        <v>#DIV/0!</v>
      </c>
      <c r="CA352" s="338" t="e">
        <f>PRODUCT(CA349:CA351)</f>
        <v>#DIV/0!</v>
      </c>
      <c r="CB352" s="338" t="e">
        <f>PRODUCT(CB349:CB351)</f>
        <v>#DIV/0!</v>
      </c>
      <c r="CC352" s="338" t="e">
        <f>PRODUCT(CC349:CC351)</f>
        <v>#DIV/0!</v>
      </c>
      <c r="CD352" s="338" t="e">
        <f>PRODUCT(CD349:CD351)</f>
        <v>#DIV/0!</v>
      </c>
      <c r="CF352" s="338" t="e">
        <f>PRODUCT(CF349:CF351)</f>
        <v>#DIV/0!</v>
      </c>
      <c r="CG352" s="338" t="e">
        <f>PRODUCT(CG349:CG351)</f>
        <v>#DIV/0!</v>
      </c>
      <c r="CH352" s="338" t="e">
        <f>PRODUCT(CH349:CH351)</f>
        <v>#DIV/0!</v>
      </c>
      <c r="CI352" s="338" t="e">
        <f>PRODUCT(CI349:CI351)</f>
        <v>#DIV/0!</v>
      </c>
      <c r="CK352" s="338" t="e">
        <f>PRODUCT(CK349:CK351)</f>
        <v>#DIV/0!</v>
      </c>
      <c r="CL352" s="338" t="e">
        <f>PRODUCT(CL349:CL351)</f>
        <v>#DIV/0!</v>
      </c>
      <c r="CM352" s="338" t="e">
        <f>PRODUCT(CM349:CM351)</f>
        <v>#DIV/0!</v>
      </c>
      <c r="CN352" s="338" t="e">
        <f>PRODUCT(CN349:CN351)</f>
        <v>#DIV/0!</v>
      </c>
      <c r="CP352" s="338" t="e">
        <f>PRODUCT(CP349:CP351)</f>
        <v>#DIV/0!</v>
      </c>
      <c r="CQ352" s="338" t="e">
        <f>PRODUCT(CQ349:CQ351)</f>
        <v>#DIV/0!</v>
      </c>
      <c r="CR352" s="338" t="e">
        <f>PRODUCT(CR349:CR351)</f>
        <v>#DIV/0!</v>
      </c>
      <c r="CS352" s="338" t="e">
        <f>PRODUCT(CS349:CS351)</f>
        <v>#DIV/0!</v>
      </c>
      <c r="CU352" s="338" t="e">
        <f>PRODUCT(CU349:CU351)</f>
        <v>#DIV/0!</v>
      </c>
      <c r="CV352" s="338" t="e">
        <f>PRODUCT(CV349:CV351)</f>
        <v>#DIV/0!</v>
      </c>
      <c r="CW352" s="338" t="e">
        <f>PRODUCT(CW349:CW351)</f>
        <v>#DIV/0!</v>
      </c>
      <c r="CX352" s="338" t="e">
        <f>PRODUCT(CX349:CX351)</f>
        <v>#DIV/0!</v>
      </c>
    </row>
    <row r="353" ht="12.75" customFormat="1" customHeight="1" s="333">
      <c r="A353" s="334" t="n"/>
      <c r="B353" s="334" t="n"/>
      <c r="C353" s="333" t="inlineStr">
        <is>
          <t>ROE</t>
        </is>
      </c>
      <c r="D353" s="341">
        <f>D122/D256</f>
        <v>0.0547679275251485</v>
      </c>
      <c r="E353" s="341">
        <f>E122/E256</f>
        <v>0.048712433877812</v>
      </c>
      <c r="F353" s="341">
        <f>F122/F256</f>
        <v>0.0742582197273456</v>
      </c>
      <c r="G353" s="341">
        <f>G122/G256</f>
        <v>0.076164347769286</v>
      </c>
      <c r="I353" s="338">
        <f>I122/I256</f>
        <v>0.0589621179242359</v>
      </c>
      <c r="J353" s="338">
        <f>J122/J256</f>
        <v>0.0718746317897962</v>
      </c>
      <c r="K353" s="338">
        <f>K122/K256</f>
        <v>0.0923774753844452</v>
      </c>
      <c r="L353" s="338">
        <f>L122/L256</f>
        <v>0.0696842105263158</v>
      </c>
      <c r="N353" s="338">
        <f>N122/N256</f>
        <v>0.0650280336403684</v>
      </c>
      <c r="O353" s="338">
        <f>O122/O256</f>
        <v>0.0659581728659874</v>
      </c>
      <c r="P353" s="338">
        <f>P122/P256</f>
        <v>0.0904731922313169</v>
      </c>
      <c r="Q353" s="338">
        <f>Q122/Q256</f>
        <v>0.0635127584280127</v>
      </c>
      <c r="S353" s="338">
        <f>S122/S256</f>
        <v>0.0643010658362209</v>
      </c>
      <c r="T353" s="338">
        <f>T122/T256</f>
        <v>0.0552326814575998</v>
      </c>
      <c r="U353" s="338">
        <f>U122/U256</f>
        <v>0.0862000159629659</v>
      </c>
      <c r="V353" s="338">
        <f>V122/V256</f>
        <v>0.0607717902627453</v>
      </c>
      <c r="X353" s="338">
        <f>X122/X256</f>
        <v>0.0839595375722543</v>
      </c>
      <c r="Y353" s="338">
        <f>Y122/Y256</f>
        <v>0.0772128060263654</v>
      </c>
      <c r="Z353" s="338">
        <f>Z122/Z256</f>
        <v>0.0996528659723986</v>
      </c>
      <c r="AA353" s="338">
        <f>AA122/AA256</f>
        <v>0.0735348247515439</v>
      </c>
      <c r="AC353" s="338">
        <f>AC122/AC256</f>
        <v>0.06990655667201</v>
      </c>
      <c r="AD353" s="338">
        <f>AD122/AD256</f>
        <v>0.0701566820276498</v>
      </c>
      <c r="AE353" s="338">
        <f>AE122/AE256</f>
        <v>0.0894938965848306</v>
      </c>
      <c r="AF353" s="338">
        <f>AF122/AF256</f>
        <v>0.066033066033066</v>
      </c>
      <c r="AH353" s="338">
        <f>AH122/AH256</f>
        <v>0.0634213232773397</v>
      </c>
      <c r="AI353" s="338">
        <f>AI122/AI256</f>
        <v>0.0654152615715181</v>
      </c>
      <c r="AJ353" s="338">
        <f>AJ122/AJ256</f>
        <v>0.00439730219567995</v>
      </c>
      <c r="AK353" s="338">
        <f>AK122/AK256</f>
        <v>0.00458417130013013</v>
      </c>
      <c r="AM353" s="338">
        <f>AM122/AM256</f>
        <v>0.00456325256866959</v>
      </c>
      <c r="AN353" s="338">
        <f>AN122/AN256</f>
        <v>0.0175281288867035</v>
      </c>
      <c r="AO353" s="338">
        <f>AO122/AO256</f>
        <v>0.00446325731398295</v>
      </c>
      <c r="AP353" s="338">
        <f>AP122/AP256</f>
        <v>0.0171506197996264</v>
      </c>
      <c r="AR353" s="338">
        <f>AR122/AR256</f>
        <v>0.0168614357262104</v>
      </c>
      <c r="AS353" s="338">
        <f>AS122/AS256</f>
        <v>0.0406278362073568</v>
      </c>
      <c r="AT353" s="338">
        <f>AT122/AT256</f>
        <v>0.0159188820006305</v>
      </c>
      <c r="AU353" s="338">
        <f>AU122/AU256</f>
        <v>0.0384440515281637</v>
      </c>
      <c r="AW353" s="338">
        <f>AW122/AW256</f>
        <v>0.0370208211714341</v>
      </c>
      <c r="AX353" s="338">
        <f>AX122/AX256</f>
        <v>0.093810615411744</v>
      </c>
      <c r="AY353" s="338">
        <f>AY122/AY256</f>
        <v>0.0324589464704628</v>
      </c>
      <c r="AZ353" s="338">
        <f>AZ122/AZ256</f>
        <v>0.0832127634614633</v>
      </c>
      <c r="BB353" s="338">
        <f>BB122/BB256</f>
        <v>0.0768203313959785</v>
      </c>
      <c r="BC353" s="338">
        <f>BC122/BC256</f>
        <v>0.172585800053765</v>
      </c>
      <c r="BD353" s="338">
        <f>BD122/BD256</f>
        <v>0.0597635296430477</v>
      </c>
      <c r="BE353" s="338">
        <f>BE122/BE256</f>
        <v>0.139615802827111</v>
      </c>
      <c r="BG353" s="338">
        <f>BG122/BG256</f>
        <v>0.122511290630367</v>
      </c>
      <c r="BH353" s="338">
        <f>BH122/BH256</f>
        <v>0.251083763398174</v>
      </c>
      <c r="BI353" s="338">
        <f>BI122/BI256</f>
        <v>0.0840399691649819</v>
      </c>
      <c r="BJ353" s="338">
        <f>BJ122/BJ256</f>
        <v>0.186980429255602</v>
      </c>
      <c r="BL353" s="338">
        <f>BL122/BL256</f>
        <v>0.157526126503083</v>
      </c>
      <c r="BM353" s="338">
        <f>BM122/BM256</f>
        <v>0.300786447195191</v>
      </c>
      <c r="BN353" s="338">
        <f>BN122/BN256</f>
        <v>0.0992162842208962</v>
      </c>
      <c r="BO353" s="338">
        <f>BO122/BO256</f>
        <v>0.213182982883154</v>
      </c>
      <c r="BQ353" s="338">
        <f>BQ122/BQ256</f>
        <v>0.175722035250215</v>
      </c>
      <c r="BR353" s="338">
        <f>BR122/BR256</f>
        <v>0.324387635305859</v>
      </c>
      <c r="BS353" s="338">
        <f>BS122/BS256</f>
        <v>0.10612126529579</v>
      </c>
      <c r="BT353" s="338">
        <f>BT122/BT256</f>
        <v>0.224784092273047</v>
      </c>
      <c r="BV353" s="338">
        <f>BV122/BV256</f>
        <v>0.183529565489274</v>
      </c>
      <c r="BW353" s="338">
        <f>BW122/BW256</f>
        <v>0.33395324646261</v>
      </c>
      <c r="BX353" s="338">
        <f>BX122/BX256</f>
        <v>0.108924428507727</v>
      </c>
      <c r="BY353" s="338">
        <f>BY122/BY256</f>
        <v>0.229333170164945</v>
      </c>
      <c r="CA353" s="338">
        <f>CA122/CA256</f>
        <v>0.186550868170403</v>
      </c>
      <c r="CB353" s="338">
        <f>CB122/CB256</f>
        <v>0.337603936126125</v>
      </c>
      <c r="CC353" s="338">
        <f>CC122/CC256</f>
        <v>0.109980240761763</v>
      </c>
      <c r="CD353" s="338">
        <f>CD122/CD256</f>
        <v>0.231049704767664</v>
      </c>
      <c r="CF353" s="338">
        <f>CF122/CF256</f>
        <v>0.187685114478193</v>
      </c>
      <c r="CG353" s="338">
        <f>CG122/CG256</f>
        <v>0.338958398170284</v>
      </c>
      <c r="CH353" s="338">
        <f>CH122/CH256</f>
        <v>0.110373843290209</v>
      </c>
      <c r="CI353" s="338">
        <f>CI122/CI256</f>
        <v>0.231683088799698</v>
      </c>
      <c r="CK353" s="338">
        <f>CK122/CK256</f>
        <v>0.188102841474813</v>
      </c>
      <c r="CL353" s="338">
        <f>CL122/CL256</f>
        <v>0.339457371711331</v>
      </c>
      <c r="CM353" s="338">
        <f>CM122/CM256</f>
        <v>0.110518079912905</v>
      </c>
      <c r="CN353" s="338">
        <f>CN122/CN256</f>
        <v>0.231916154115633</v>
      </c>
      <c r="CP353" s="338">
        <f>CP122/CP256</f>
        <v>0.188256443704256</v>
      </c>
      <c r="CQ353" s="338">
        <f>CQ122/CQ256</f>
        <v>0.339640246409926</v>
      </c>
      <c r="CR353" s="338">
        <f>CR122/CR256</f>
        <v>0.110571112171226</v>
      </c>
      <c r="CS353" s="338">
        <f>CS122/CS256</f>
        <v>0.232001482397633</v>
      </c>
      <c r="CU353" s="338">
        <f>CU122/CU256</f>
        <v>0.188312664970279</v>
      </c>
      <c r="CV353" s="338">
        <f>CV122/CV256</f>
        <v>0.339707267213276</v>
      </c>
      <c r="CW353" s="338">
        <f>CW122/CW256</f>
        <v>0.110590497568621</v>
      </c>
      <c r="CX353" s="338">
        <f>CX122/CX256</f>
        <v>0.232032756349094</v>
      </c>
    </row>
    <row r="355" ht="12.75" customHeight="1" s="255">
      <c r="C355" s="330" t="inlineStr">
        <is>
          <t>Scenario Analysis</t>
        </is>
      </c>
      <c r="D355" s="330" t="n"/>
      <c r="E355" s="330" t="n"/>
      <c r="F355" s="330" t="n"/>
      <c r="G355" s="330" t="n"/>
      <c r="H355" s="330" t="n"/>
      <c r="I355" s="330" t="n"/>
      <c r="J355" s="330" t="n"/>
      <c r="K355" s="330" t="n"/>
      <c r="L355" s="330" t="n"/>
      <c r="M355" s="330" t="n"/>
      <c r="N355" s="330" t="n"/>
      <c r="O355" s="330" t="n"/>
      <c r="P355" s="330" t="n"/>
      <c r="Q355" s="330" t="n"/>
      <c r="R355" s="330" t="n"/>
      <c r="S355" s="330" t="n"/>
      <c r="T355" s="330" t="n"/>
      <c r="U355" s="330" t="n"/>
      <c r="V355" s="330" t="n"/>
      <c r="W355" s="330" t="n"/>
      <c r="X355" s="330" t="n"/>
      <c r="Y355" s="330" t="n"/>
      <c r="Z355" s="330" t="n"/>
      <c r="AA355" s="330" t="n"/>
      <c r="AB355" s="330" t="n"/>
      <c r="AC355" s="330" t="n"/>
      <c r="AD355" s="330" t="n"/>
      <c r="AE355" s="330" t="n"/>
      <c r="AF355" s="330" t="n"/>
      <c r="AG355" s="330" t="n"/>
      <c r="AH355" s="330" t="n"/>
      <c r="AI355" s="330" t="n"/>
      <c r="AJ355" s="330" t="n"/>
      <c r="AK355" s="330" t="n"/>
      <c r="AL355" s="330" t="n"/>
      <c r="AM355" s="330" t="n"/>
      <c r="AN355" s="330" t="n"/>
      <c r="AO355" s="330" t="n"/>
      <c r="AP355" s="330" t="n"/>
      <c r="AQ355" s="330" t="n"/>
      <c r="AR355" s="330" t="n"/>
      <c r="AS355" s="330" t="n"/>
      <c r="AT355" s="330" t="n"/>
      <c r="AU355" s="330" t="n"/>
      <c r="AV355" s="330" t="n"/>
      <c r="AW355" s="330" t="n"/>
      <c r="AX355" s="330" t="n"/>
      <c r="AY355" s="330" t="n"/>
      <c r="AZ355" s="330" t="n"/>
      <c r="BA355" s="330" t="n"/>
      <c r="BB355" s="330" t="n"/>
      <c r="BC355" s="330" t="n"/>
      <c r="BD355" s="330" t="n"/>
      <c r="BE355" s="330" t="n"/>
      <c r="BF355" s="330" t="n"/>
      <c r="BG355" s="330" t="n"/>
      <c r="BH355" s="330" t="n"/>
      <c r="BI355" s="330" t="n"/>
      <c r="BJ355" s="330" t="n"/>
      <c r="BK355" s="330" t="n"/>
      <c r="BL355" s="330" t="n"/>
      <c r="BM355" s="330" t="n"/>
      <c r="BN355" s="330" t="n"/>
      <c r="BO355" s="330" t="n"/>
      <c r="BP355" s="330" t="n"/>
      <c r="BQ355" s="330" t="n"/>
      <c r="BR355" s="330" t="n"/>
      <c r="BS355" s="330" t="n"/>
      <c r="BT355" s="330" t="n"/>
      <c r="BU355" s="330" t="n"/>
      <c r="BV355" s="330" t="n"/>
      <c r="BW355" s="330" t="n"/>
      <c r="BX355" s="330" t="n"/>
      <c r="BY355" s="330" t="n"/>
      <c r="BZ355" s="330" t="n"/>
      <c r="CA355" s="330" t="n"/>
      <c r="CB355" s="330" t="n"/>
      <c r="CC355" s="330" t="n"/>
      <c r="CD355" s="330" t="n"/>
      <c r="CE355" s="330" t="n"/>
      <c r="CF355" s="330" t="n"/>
      <c r="CG355" s="330" t="n"/>
      <c r="CH355" s="330" t="n"/>
      <c r="CI355" s="330" t="n"/>
      <c r="CJ355" s="330" t="n"/>
      <c r="CK355" s="330" t="n"/>
      <c r="CL355" s="330" t="n"/>
      <c r="CM355" s="330" t="n"/>
      <c r="CN355" s="330" t="n"/>
      <c r="CO355" s="330" t="n"/>
      <c r="CP355" s="330" t="n"/>
      <c r="CQ355" s="330" t="n"/>
      <c r="CR355" s="330" t="n"/>
      <c r="CS355" s="330" t="n"/>
      <c r="CT355" s="330" t="n"/>
      <c r="CU355" s="330" t="n"/>
      <c r="CV355" s="330" t="n"/>
      <c r="CW355" s="330" t="n"/>
      <c r="CX355" s="330" t="n"/>
      <c r="CY355" s="330" t="n"/>
    </row>
    <row r="358" ht="12.75" customHeight="1" s="255">
      <c r="C358" s="260" t="inlineStr">
        <is>
          <t>Bull case</t>
        </is>
      </c>
    </row>
    <row r="359" ht="12.75" customHeight="1" s="255">
      <c r="C359" s="260" t="inlineStr">
        <is>
          <t>Base case</t>
        </is>
      </c>
    </row>
    <row r="360" ht="12.75" customHeight="1" s="255">
      <c r="C360" s="260" t="inlineStr">
        <is>
          <t>Bear case</t>
        </is>
      </c>
    </row>
    <row r="363" ht="12.75" customHeight="1" s="255">
      <c r="C363" s="260" t="inlineStr">
        <is>
          <t>Bull case</t>
        </is>
      </c>
    </row>
    <row r="364" ht="12.75" customHeight="1" s="255">
      <c r="C364" s="260" t="inlineStr">
        <is>
          <t>Base case</t>
        </is>
      </c>
    </row>
    <row r="365" ht="12.75" customHeight="1" s="255">
      <c r="C365" s="260" t="inlineStr">
        <is>
          <t>Bear case</t>
        </is>
      </c>
    </row>
    <row r="368" ht="12.75" customHeight="1" s="255">
      <c r="C368" s="260" t="inlineStr">
        <is>
          <t>% Gross Margin</t>
        </is>
      </c>
    </row>
    <row r="369" ht="12.75" customHeight="1" s="255">
      <c r="C369" s="260" t="inlineStr">
        <is>
          <t>Bull case</t>
        </is>
      </c>
    </row>
    <row r="370" ht="12.75" customHeight="1" s="255">
      <c r="C370" s="260" t="inlineStr">
        <is>
          <t>Base case</t>
        </is>
      </c>
    </row>
    <row r="371" ht="12.75" customHeight="1" s="255">
      <c r="C371" s="260" t="inlineStr">
        <is>
          <t>Bear case</t>
        </is>
      </c>
    </row>
    <row r="374" ht="12.75" customHeight="1" s="255">
      <c r="C374" s="260" t="inlineStr">
        <is>
          <t>Capital expenditures</t>
        </is>
      </c>
    </row>
    <row r="375" ht="12.75" customHeight="1" s="255">
      <c r="C375" s="260" t="inlineStr">
        <is>
          <t>Bull case</t>
        </is>
      </c>
    </row>
    <row r="376" ht="12.75" customHeight="1" s="255">
      <c r="C376" s="260" t="inlineStr">
        <is>
          <t>Base case</t>
        </is>
      </c>
    </row>
    <row r="377" ht="12.75" customHeight="1" s="255">
      <c r="C377" s="260" t="inlineStr">
        <is>
          <t>Bear case</t>
        </is>
      </c>
    </row>
  </sheetData>
  <conditionalFormatting sqref="CU300:CX300">
    <cfRule type="cellIs" rank="0" priority="2" equalAverage="0" operator="notEqual" aboveAverage="0" dxfId="0" text="" percent="0" bottom="0">
      <formula>0</formula>
    </cfRule>
  </conditionalFormatting>
  <conditionalFormatting sqref="CP300:CS300">
    <cfRule type="cellIs" rank="0" priority="3" equalAverage="0" operator="notEqual" aboveAverage="0" dxfId="0" text="" percent="0" bottom="0">
      <formula>0</formula>
    </cfRule>
  </conditionalFormatting>
  <conditionalFormatting sqref="CK300:CN300">
    <cfRule type="cellIs" rank="0" priority="4" equalAverage="0" operator="notEqual" aboveAverage="0" dxfId="0" text="" percent="0" bottom="0">
      <formula>0</formula>
    </cfRule>
  </conditionalFormatting>
  <conditionalFormatting sqref="CF300:CI300">
    <cfRule type="cellIs" rank="0" priority="5" equalAverage="0" operator="notEqual" aboveAverage="0" dxfId="0" text="" percent="0" bottom="0">
      <formula>0</formula>
    </cfRule>
  </conditionalFormatting>
  <conditionalFormatting sqref="CA300:CD300">
    <cfRule type="cellIs" rank="0" priority="6" equalAverage="0" operator="notEqual" aboveAverage="0" dxfId="0" text="" percent="0" bottom="0">
      <formula>0</formula>
    </cfRule>
  </conditionalFormatting>
  <conditionalFormatting sqref="BV300:BY300">
    <cfRule type="cellIs" rank="0" priority="7" equalAverage="0" operator="notEqual" aboveAverage="0" dxfId="0" text="" percent="0" bottom="0">
      <formula>0</formula>
    </cfRule>
  </conditionalFormatting>
  <conditionalFormatting sqref="BQ300:BT300">
    <cfRule type="cellIs" rank="0" priority="8" equalAverage="0" operator="notEqual" aboveAverage="0" dxfId="0" text="" percent="0" bottom="0">
      <formula>0</formula>
    </cfRule>
  </conditionalFormatting>
  <conditionalFormatting sqref="BL300:BO300">
    <cfRule type="cellIs" rank="0" priority="9" equalAverage="0" operator="notEqual" aboveAverage="0" dxfId="0" text="" percent="0" bottom="0">
      <formula>0</formula>
    </cfRule>
  </conditionalFormatting>
  <conditionalFormatting sqref="BG300:BJ300">
    <cfRule type="cellIs" rank="0" priority="10" equalAverage="0" operator="notEqual" aboveAverage="0" dxfId="0" text="" percent="0" bottom="0">
      <formula>0</formula>
    </cfRule>
  </conditionalFormatting>
  <conditionalFormatting sqref="BB300:BE300">
    <cfRule type="cellIs" rank="0" priority="11" equalAverage="0" operator="notEqual" aboveAverage="0" dxfId="0" text="" percent="0" bottom="0">
      <formula>0</formula>
    </cfRule>
  </conditionalFormatting>
  <conditionalFormatting sqref="AW300:AZ300">
    <cfRule type="cellIs" rank="0" priority="12" equalAverage="0" operator="notEqual" aboveAverage="0" dxfId="0" text="" percent="0" bottom="0">
      <formula>0</formula>
    </cfRule>
  </conditionalFormatting>
  <conditionalFormatting sqref="AR300:AU300">
    <cfRule type="cellIs" rank="0" priority="13" equalAverage="0" operator="notEqual" aboveAverage="0" dxfId="0" text="" percent="0" bottom="0">
      <formula>0</formula>
    </cfRule>
  </conditionalFormatting>
  <conditionalFormatting sqref="AM300:AP300">
    <cfRule type="cellIs" rank="0" priority="14" equalAverage="0" operator="notEqual" aboveAverage="0" dxfId="0" text="" percent="0" bottom="0">
      <formula>0</formula>
    </cfRule>
  </conditionalFormatting>
  <conditionalFormatting sqref="AH300:AK300">
    <cfRule type="cellIs" rank="0" priority="15" equalAverage="0" operator="notEqual" aboveAverage="0" dxfId="0" text="" percent="0" bottom="0">
      <formula>0</formula>
    </cfRule>
  </conditionalFormatting>
  <conditionalFormatting sqref="E300:G300">
    <cfRule type="cellIs" rank="0" priority="16" equalAverage="0" operator="notEqual" aboveAverage="0" dxfId="0" text="" percent="0" bottom="0">
      <formula>0</formula>
    </cfRule>
  </conditionalFormatting>
  <conditionalFormatting sqref="E5:H5">
    <cfRule type="cellIs" rank="0" priority="17" equalAverage="0" operator="greaterThan" aboveAverage="0" dxfId="1" text="" percent="0" bottom="0">
      <formula>$B$5</formula>
    </cfRule>
  </conditionalFormatting>
  <conditionalFormatting sqref="D1:CY3">
    <cfRule type="cellIs" rank="0" priority="18" equalAverage="0" operator="greaterThan" aboveAverage="0" dxfId="2" text="" percent="0" bottom="0">
      <formula>1</formula>
    </cfRule>
  </conditionalFormatting>
  <conditionalFormatting sqref="AC300:AF300">
    <cfRule type="cellIs" rank="0" priority="19" equalAverage="0" operator="notEqual" aboveAverage="0" dxfId="0" text="" percent="0" bottom="0">
      <formula>0</formula>
    </cfRule>
  </conditionalFormatting>
  <conditionalFormatting sqref="X300:AA300">
    <cfRule type="cellIs" rank="0" priority="20" equalAverage="0" operator="notEqual" aboveAverage="0" dxfId="0" text="" percent="0" bottom="0">
      <formula>0</formula>
    </cfRule>
  </conditionalFormatting>
  <conditionalFormatting sqref="S300:V300">
    <cfRule type="cellIs" rank="0" priority="21" equalAverage="0" operator="notEqual" aboveAverage="0" dxfId="0" text="" percent="0" bottom="0">
      <formula>0</formula>
    </cfRule>
  </conditionalFormatting>
  <conditionalFormatting sqref="N300:Q300">
    <cfRule type="cellIs" rank="0" priority="22" equalAverage="0" operator="notEqual" aboveAverage="0" dxfId="0" text="" percent="0" bottom="0">
      <formula>0</formula>
    </cfRule>
  </conditionalFormatting>
  <conditionalFormatting sqref="I300:L300">
    <cfRule type="cellIs" rank="0" priority="23" equalAverage="0" operator="notEqual" aboveAverage="0" dxfId="0" text="" percent="0" bottom="0">
      <formula>0</formula>
    </cfRule>
  </conditionalFormatting>
  <conditionalFormatting sqref="J5:CY5">
    <cfRule type="cellIs" rank="0" priority="24" equalAverage="0" operator="greaterThan" aboveAverage="0" dxfId="1" text="" percent="0" bottom="0">
      <formula>$B$5</formula>
    </cfRule>
  </conditionalFormatting>
  <conditionalFormatting sqref="B1:B4 B13:B1048576">
    <cfRule type="expression" rank="0" priority="25" equalAverage="0" aboveAverage="0" dxfId="3" text="" percent="0" bottom="0">
      <formula>B1&lt;&gt;""</formula>
    </cfRule>
  </conditionalFormatting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3:AB102"/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D9" activeCellId="0" sqref="D9"/>
    </sheetView>
  </sheetViews>
  <sheetFormatPr baseColWidth="8" defaultColWidth="9.140625" defaultRowHeight="12.75" zeroHeight="0" outlineLevelRow="1"/>
  <cols>
    <col width="2" customWidth="1" style="349" min="1" max="1"/>
    <col outlineLevel="1" width="4.28" customWidth="1" style="349" min="2" max="2"/>
    <col width="54.57" customWidth="1" style="349" min="3" max="3"/>
    <col outlineLevel="1" width="12.85" customWidth="1" style="349" min="4" max="4"/>
    <col outlineLevel="1" width="11.28" customWidth="1" style="349" min="5" max="6"/>
    <col width="11.85" customWidth="1" style="349" min="7" max="7"/>
    <col width="14.14" customWidth="1" style="349" min="8" max="8"/>
    <col width="13.71" customWidth="1" style="349" min="9" max="9"/>
    <col width="11.28" customWidth="1" style="349" min="10" max="12"/>
    <col width="11.71" customWidth="1" style="349" min="13" max="13"/>
    <col width="11.57" customWidth="1" style="349" min="14" max="14"/>
    <col width="11.71" customWidth="1" style="349" min="15" max="15"/>
    <col width="10.85" customWidth="1" style="349" min="16" max="20"/>
    <col width="11.71" customWidth="1" style="349" min="21" max="22"/>
    <col width="9.279999999999999" customWidth="1" style="349" min="23" max="23"/>
    <col width="11.42" customWidth="1" style="349" min="24" max="25"/>
    <col width="10" customWidth="1" style="349" min="26" max="26"/>
    <col width="9.140000000000001" customWidth="1" style="349" min="27" max="27"/>
    <col width="19" customWidth="1" style="349" min="28" max="28"/>
    <col width="9.140000000000001" customWidth="1" style="349" min="29" max="31"/>
    <col width="8" customWidth="1" style="349" min="32" max="32"/>
    <col width="9.140000000000001" customWidth="1" style="349" min="33" max="261"/>
    <col width="2" customWidth="1" style="349" min="262" max="263"/>
    <col width="31.28" customWidth="1" style="349" min="264" max="264"/>
    <col width="13" customWidth="1" style="349" min="265" max="265"/>
    <col width="11.28" customWidth="1" style="349" min="266" max="268"/>
    <col width="13.71" customWidth="1" style="349" min="269" max="269"/>
    <col width="11.28" customWidth="1" style="349" min="270" max="273"/>
    <col width="9.140000000000001" customWidth="1" style="349" min="274" max="275"/>
    <col width="10.85" customWidth="1" style="349" min="276" max="276"/>
    <col width="9.140000000000001" customWidth="1" style="349" min="277" max="517"/>
    <col width="2" customWidth="1" style="349" min="518" max="519"/>
    <col width="31.28" customWidth="1" style="349" min="520" max="520"/>
    <col width="13" customWidth="1" style="349" min="521" max="521"/>
    <col width="11.28" customWidth="1" style="349" min="522" max="524"/>
    <col width="13.71" customWidth="1" style="349" min="525" max="525"/>
    <col width="11.28" customWidth="1" style="349" min="526" max="529"/>
    <col width="9.140000000000001" customWidth="1" style="349" min="530" max="531"/>
    <col width="10.85" customWidth="1" style="349" min="532" max="532"/>
    <col width="9.140000000000001" customWidth="1" style="349" min="533" max="773"/>
    <col width="2" customWidth="1" style="349" min="774" max="775"/>
    <col width="31.28" customWidth="1" style="349" min="776" max="776"/>
    <col width="13" customWidth="1" style="349" min="777" max="777"/>
    <col width="11.28" customWidth="1" style="349" min="778" max="780"/>
    <col width="13.71" customWidth="1" style="349" min="781" max="781"/>
    <col width="11.28" customWidth="1" style="349" min="782" max="785"/>
    <col width="9.140000000000001" customWidth="1" style="349" min="786" max="787"/>
    <col width="10.85" customWidth="1" style="349" min="788" max="788"/>
    <col width="9.140000000000001" customWidth="1" style="349" min="789" max="1029"/>
    <col width="2" customWidth="1" style="349" min="1030" max="1031"/>
    <col width="31.28" customWidth="1" style="349" min="1032" max="1032"/>
    <col width="13" customWidth="1" style="349" min="1033" max="1033"/>
    <col width="11.28" customWidth="1" style="349" min="1034" max="1036"/>
    <col width="13.71" customWidth="1" style="349" min="1037" max="1037"/>
    <col width="11.28" customWidth="1" style="349" min="1038" max="1041"/>
    <col width="9.140000000000001" customWidth="1" style="349" min="1042" max="1043"/>
    <col width="10.85" customWidth="1" style="349" min="1044" max="1044"/>
    <col width="9.140000000000001" customWidth="1" style="349" min="1045" max="1285"/>
    <col width="2" customWidth="1" style="349" min="1286" max="1287"/>
    <col width="31.28" customWidth="1" style="349" min="1288" max="1288"/>
    <col width="13" customWidth="1" style="349" min="1289" max="1289"/>
    <col width="11.28" customWidth="1" style="349" min="1290" max="1292"/>
    <col width="13.71" customWidth="1" style="349" min="1293" max="1293"/>
    <col width="11.28" customWidth="1" style="349" min="1294" max="1297"/>
    <col width="9.140000000000001" customWidth="1" style="349" min="1298" max="1299"/>
    <col width="10.85" customWidth="1" style="349" min="1300" max="1300"/>
    <col width="9.140000000000001" customWidth="1" style="349" min="1301" max="1541"/>
    <col width="2" customWidth="1" style="349" min="1542" max="1543"/>
    <col width="31.28" customWidth="1" style="349" min="1544" max="1544"/>
    <col width="13" customWidth="1" style="349" min="1545" max="1545"/>
    <col width="11.28" customWidth="1" style="349" min="1546" max="1548"/>
    <col width="13.71" customWidth="1" style="349" min="1549" max="1549"/>
    <col width="11.28" customWidth="1" style="349" min="1550" max="1553"/>
    <col width="9.140000000000001" customWidth="1" style="349" min="1554" max="1555"/>
    <col width="10.85" customWidth="1" style="349" min="1556" max="1556"/>
    <col width="9.140000000000001" customWidth="1" style="349" min="1557" max="1797"/>
    <col width="2" customWidth="1" style="349" min="1798" max="1799"/>
    <col width="31.28" customWidth="1" style="349" min="1800" max="1800"/>
    <col width="13" customWidth="1" style="349" min="1801" max="1801"/>
    <col width="11.28" customWidth="1" style="349" min="1802" max="1804"/>
    <col width="13.71" customWidth="1" style="349" min="1805" max="1805"/>
    <col width="11.28" customWidth="1" style="349" min="1806" max="1809"/>
    <col width="9.140000000000001" customWidth="1" style="349" min="1810" max="1811"/>
    <col width="10.85" customWidth="1" style="349" min="1812" max="1812"/>
    <col width="9.140000000000001" customWidth="1" style="349" min="1813" max="2053"/>
    <col width="2" customWidth="1" style="349" min="2054" max="2055"/>
    <col width="31.28" customWidth="1" style="349" min="2056" max="2056"/>
    <col width="13" customWidth="1" style="349" min="2057" max="2057"/>
    <col width="11.28" customWidth="1" style="349" min="2058" max="2060"/>
    <col width="13.71" customWidth="1" style="349" min="2061" max="2061"/>
    <col width="11.28" customWidth="1" style="349" min="2062" max="2065"/>
    <col width="9.140000000000001" customWidth="1" style="349" min="2066" max="2067"/>
    <col width="10.85" customWidth="1" style="349" min="2068" max="2068"/>
    <col width="9.140000000000001" customWidth="1" style="349" min="2069" max="2309"/>
    <col width="2" customWidth="1" style="349" min="2310" max="2311"/>
    <col width="31.28" customWidth="1" style="349" min="2312" max="2312"/>
    <col width="13" customWidth="1" style="349" min="2313" max="2313"/>
    <col width="11.28" customWidth="1" style="349" min="2314" max="2316"/>
    <col width="13.71" customWidth="1" style="349" min="2317" max="2317"/>
    <col width="11.28" customWidth="1" style="349" min="2318" max="2321"/>
    <col width="9.140000000000001" customWidth="1" style="349" min="2322" max="2323"/>
    <col width="10.85" customWidth="1" style="349" min="2324" max="2324"/>
    <col width="9.140000000000001" customWidth="1" style="349" min="2325" max="2565"/>
    <col width="2" customWidth="1" style="349" min="2566" max="2567"/>
    <col width="31.28" customWidth="1" style="349" min="2568" max="2568"/>
    <col width="13" customWidth="1" style="349" min="2569" max="2569"/>
    <col width="11.28" customWidth="1" style="349" min="2570" max="2572"/>
    <col width="13.71" customWidth="1" style="349" min="2573" max="2573"/>
    <col width="11.28" customWidth="1" style="349" min="2574" max="2577"/>
    <col width="9.140000000000001" customWidth="1" style="349" min="2578" max="2579"/>
    <col width="10.85" customWidth="1" style="349" min="2580" max="2580"/>
    <col width="9.140000000000001" customWidth="1" style="349" min="2581" max="2821"/>
    <col width="2" customWidth="1" style="349" min="2822" max="2823"/>
    <col width="31.28" customWidth="1" style="349" min="2824" max="2824"/>
    <col width="13" customWidth="1" style="349" min="2825" max="2825"/>
    <col width="11.28" customWidth="1" style="349" min="2826" max="2828"/>
    <col width="13.71" customWidth="1" style="349" min="2829" max="2829"/>
    <col width="11.28" customWidth="1" style="349" min="2830" max="2833"/>
    <col width="9.140000000000001" customWidth="1" style="349" min="2834" max="2835"/>
    <col width="10.85" customWidth="1" style="349" min="2836" max="2836"/>
    <col width="9.140000000000001" customWidth="1" style="349" min="2837" max="3077"/>
    <col width="2" customWidth="1" style="349" min="3078" max="3079"/>
    <col width="31.28" customWidth="1" style="349" min="3080" max="3080"/>
    <col width="13" customWidth="1" style="349" min="3081" max="3081"/>
    <col width="11.28" customWidth="1" style="349" min="3082" max="3084"/>
    <col width="13.71" customWidth="1" style="349" min="3085" max="3085"/>
    <col width="11.28" customWidth="1" style="349" min="3086" max="3089"/>
    <col width="9.140000000000001" customWidth="1" style="349" min="3090" max="3091"/>
    <col width="10.85" customWidth="1" style="349" min="3092" max="3092"/>
    <col width="9.140000000000001" customWidth="1" style="349" min="3093" max="3333"/>
    <col width="2" customWidth="1" style="349" min="3334" max="3335"/>
    <col width="31.28" customWidth="1" style="349" min="3336" max="3336"/>
    <col width="13" customWidth="1" style="349" min="3337" max="3337"/>
    <col width="11.28" customWidth="1" style="349" min="3338" max="3340"/>
    <col width="13.71" customWidth="1" style="349" min="3341" max="3341"/>
    <col width="11.28" customWidth="1" style="349" min="3342" max="3345"/>
    <col width="9.140000000000001" customWidth="1" style="349" min="3346" max="3347"/>
    <col width="10.85" customWidth="1" style="349" min="3348" max="3348"/>
    <col width="9.140000000000001" customWidth="1" style="349" min="3349" max="3589"/>
    <col width="2" customWidth="1" style="349" min="3590" max="3591"/>
    <col width="31.28" customWidth="1" style="349" min="3592" max="3592"/>
    <col width="13" customWidth="1" style="349" min="3593" max="3593"/>
    <col width="11.28" customWidth="1" style="349" min="3594" max="3596"/>
    <col width="13.71" customWidth="1" style="349" min="3597" max="3597"/>
    <col width="11.28" customWidth="1" style="349" min="3598" max="3601"/>
    <col width="9.140000000000001" customWidth="1" style="349" min="3602" max="3603"/>
    <col width="10.85" customWidth="1" style="349" min="3604" max="3604"/>
    <col width="9.140000000000001" customWidth="1" style="349" min="3605" max="3845"/>
    <col width="2" customWidth="1" style="349" min="3846" max="3847"/>
    <col width="31.28" customWidth="1" style="349" min="3848" max="3848"/>
    <col width="13" customWidth="1" style="349" min="3849" max="3849"/>
    <col width="11.28" customWidth="1" style="349" min="3850" max="3852"/>
    <col width="13.71" customWidth="1" style="349" min="3853" max="3853"/>
    <col width="11.28" customWidth="1" style="349" min="3854" max="3857"/>
    <col width="9.140000000000001" customWidth="1" style="349" min="3858" max="3859"/>
    <col width="10.85" customWidth="1" style="349" min="3860" max="3860"/>
    <col width="9.140000000000001" customWidth="1" style="349" min="3861" max="4101"/>
    <col width="2" customWidth="1" style="349" min="4102" max="4103"/>
    <col width="31.28" customWidth="1" style="349" min="4104" max="4104"/>
    <col width="13" customWidth="1" style="349" min="4105" max="4105"/>
    <col width="11.28" customWidth="1" style="349" min="4106" max="4108"/>
    <col width="13.71" customWidth="1" style="349" min="4109" max="4109"/>
    <col width="11.28" customWidth="1" style="349" min="4110" max="4113"/>
    <col width="9.140000000000001" customWidth="1" style="349" min="4114" max="4115"/>
    <col width="10.85" customWidth="1" style="349" min="4116" max="4116"/>
    <col width="9.140000000000001" customWidth="1" style="349" min="4117" max="4357"/>
    <col width="2" customWidth="1" style="349" min="4358" max="4359"/>
    <col width="31.28" customWidth="1" style="349" min="4360" max="4360"/>
    <col width="13" customWidth="1" style="349" min="4361" max="4361"/>
    <col width="11.28" customWidth="1" style="349" min="4362" max="4364"/>
    <col width="13.71" customWidth="1" style="349" min="4365" max="4365"/>
    <col width="11.28" customWidth="1" style="349" min="4366" max="4369"/>
    <col width="9.140000000000001" customWidth="1" style="349" min="4370" max="4371"/>
    <col width="10.85" customWidth="1" style="349" min="4372" max="4372"/>
    <col width="9.140000000000001" customWidth="1" style="349" min="4373" max="4613"/>
    <col width="2" customWidth="1" style="349" min="4614" max="4615"/>
    <col width="31.28" customWidth="1" style="349" min="4616" max="4616"/>
    <col width="13" customWidth="1" style="349" min="4617" max="4617"/>
    <col width="11.28" customWidth="1" style="349" min="4618" max="4620"/>
    <col width="13.71" customWidth="1" style="349" min="4621" max="4621"/>
    <col width="11.28" customWidth="1" style="349" min="4622" max="4625"/>
    <col width="9.140000000000001" customWidth="1" style="349" min="4626" max="4627"/>
    <col width="10.85" customWidth="1" style="349" min="4628" max="4628"/>
    <col width="9.140000000000001" customWidth="1" style="349" min="4629" max="4869"/>
    <col width="2" customWidth="1" style="349" min="4870" max="4871"/>
    <col width="31.28" customWidth="1" style="349" min="4872" max="4872"/>
    <col width="13" customWidth="1" style="349" min="4873" max="4873"/>
    <col width="11.28" customWidth="1" style="349" min="4874" max="4876"/>
    <col width="13.71" customWidth="1" style="349" min="4877" max="4877"/>
    <col width="11.28" customWidth="1" style="349" min="4878" max="4881"/>
    <col width="9.140000000000001" customWidth="1" style="349" min="4882" max="4883"/>
    <col width="10.85" customWidth="1" style="349" min="4884" max="4884"/>
    <col width="9.140000000000001" customWidth="1" style="349" min="4885" max="5125"/>
    <col width="2" customWidth="1" style="349" min="5126" max="5127"/>
    <col width="31.28" customWidth="1" style="349" min="5128" max="5128"/>
    <col width="13" customWidth="1" style="349" min="5129" max="5129"/>
    <col width="11.28" customWidth="1" style="349" min="5130" max="5132"/>
    <col width="13.71" customWidth="1" style="349" min="5133" max="5133"/>
    <col width="11.28" customWidth="1" style="349" min="5134" max="5137"/>
    <col width="9.140000000000001" customWidth="1" style="349" min="5138" max="5139"/>
    <col width="10.85" customWidth="1" style="349" min="5140" max="5140"/>
    <col width="9.140000000000001" customWidth="1" style="349" min="5141" max="5381"/>
    <col width="2" customWidth="1" style="349" min="5382" max="5383"/>
    <col width="31.28" customWidth="1" style="349" min="5384" max="5384"/>
    <col width="13" customWidth="1" style="349" min="5385" max="5385"/>
    <col width="11.28" customWidth="1" style="349" min="5386" max="5388"/>
    <col width="13.71" customWidth="1" style="349" min="5389" max="5389"/>
    <col width="11.28" customWidth="1" style="349" min="5390" max="5393"/>
    <col width="9.140000000000001" customWidth="1" style="349" min="5394" max="5395"/>
    <col width="10.85" customWidth="1" style="349" min="5396" max="5396"/>
    <col width="9.140000000000001" customWidth="1" style="349" min="5397" max="5637"/>
    <col width="2" customWidth="1" style="349" min="5638" max="5639"/>
    <col width="31.28" customWidth="1" style="349" min="5640" max="5640"/>
    <col width="13" customWidth="1" style="349" min="5641" max="5641"/>
    <col width="11.28" customWidth="1" style="349" min="5642" max="5644"/>
    <col width="13.71" customWidth="1" style="349" min="5645" max="5645"/>
    <col width="11.28" customWidth="1" style="349" min="5646" max="5649"/>
    <col width="9.140000000000001" customWidth="1" style="349" min="5650" max="5651"/>
    <col width="10.85" customWidth="1" style="349" min="5652" max="5652"/>
    <col width="9.140000000000001" customWidth="1" style="349" min="5653" max="5893"/>
    <col width="2" customWidth="1" style="349" min="5894" max="5895"/>
    <col width="31.28" customWidth="1" style="349" min="5896" max="5896"/>
    <col width="13" customWidth="1" style="349" min="5897" max="5897"/>
    <col width="11.28" customWidth="1" style="349" min="5898" max="5900"/>
    <col width="13.71" customWidth="1" style="349" min="5901" max="5901"/>
    <col width="11.28" customWidth="1" style="349" min="5902" max="5905"/>
    <col width="9.140000000000001" customWidth="1" style="349" min="5906" max="5907"/>
    <col width="10.85" customWidth="1" style="349" min="5908" max="5908"/>
    <col width="9.140000000000001" customWidth="1" style="349" min="5909" max="6149"/>
    <col width="2" customWidth="1" style="349" min="6150" max="6151"/>
    <col width="31.28" customWidth="1" style="349" min="6152" max="6152"/>
    <col width="13" customWidth="1" style="349" min="6153" max="6153"/>
    <col width="11.28" customWidth="1" style="349" min="6154" max="6156"/>
    <col width="13.71" customWidth="1" style="349" min="6157" max="6157"/>
    <col width="11.28" customWidth="1" style="349" min="6158" max="6161"/>
    <col width="9.140000000000001" customWidth="1" style="349" min="6162" max="6163"/>
    <col width="10.85" customWidth="1" style="349" min="6164" max="6164"/>
    <col width="9.140000000000001" customWidth="1" style="349" min="6165" max="6405"/>
    <col width="2" customWidth="1" style="349" min="6406" max="6407"/>
    <col width="31.28" customWidth="1" style="349" min="6408" max="6408"/>
    <col width="13" customWidth="1" style="349" min="6409" max="6409"/>
    <col width="11.28" customWidth="1" style="349" min="6410" max="6412"/>
    <col width="13.71" customWidth="1" style="349" min="6413" max="6413"/>
    <col width="11.28" customWidth="1" style="349" min="6414" max="6417"/>
    <col width="9.140000000000001" customWidth="1" style="349" min="6418" max="6419"/>
    <col width="10.85" customWidth="1" style="349" min="6420" max="6420"/>
    <col width="9.140000000000001" customWidth="1" style="349" min="6421" max="6661"/>
    <col width="2" customWidth="1" style="349" min="6662" max="6663"/>
    <col width="31.28" customWidth="1" style="349" min="6664" max="6664"/>
    <col width="13" customWidth="1" style="349" min="6665" max="6665"/>
    <col width="11.28" customWidth="1" style="349" min="6666" max="6668"/>
    <col width="13.71" customWidth="1" style="349" min="6669" max="6669"/>
    <col width="11.28" customWidth="1" style="349" min="6670" max="6673"/>
    <col width="9.140000000000001" customWidth="1" style="349" min="6674" max="6675"/>
    <col width="10.85" customWidth="1" style="349" min="6676" max="6676"/>
    <col width="9.140000000000001" customWidth="1" style="349" min="6677" max="6917"/>
    <col width="2" customWidth="1" style="349" min="6918" max="6919"/>
    <col width="31.28" customWidth="1" style="349" min="6920" max="6920"/>
    <col width="13" customWidth="1" style="349" min="6921" max="6921"/>
    <col width="11.28" customWidth="1" style="349" min="6922" max="6924"/>
    <col width="13.71" customWidth="1" style="349" min="6925" max="6925"/>
    <col width="11.28" customWidth="1" style="349" min="6926" max="6929"/>
    <col width="9.140000000000001" customWidth="1" style="349" min="6930" max="6931"/>
    <col width="10.85" customWidth="1" style="349" min="6932" max="6932"/>
    <col width="9.140000000000001" customWidth="1" style="349" min="6933" max="7173"/>
    <col width="2" customWidth="1" style="349" min="7174" max="7175"/>
    <col width="31.28" customWidth="1" style="349" min="7176" max="7176"/>
    <col width="13" customWidth="1" style="349" min="7177" max="7177"/>
    <col width="11.28" customWidth="1" style="349" min="7178" max="7180"/>
    <col width="13.71" customWidth="1" style="349" min="7181" max="7181"/>
    <col width="11.28" customWidth="1" style="349" min="7182" max="7185"/>
    <col width="9.140000000000001" customWidth="1" style="349" min="7186" max="7187"/>
    <col width="10.85" customWidth="1" style="349" min="7188" max="7188"/>
    <col width="9.140000000000001" customWidth="1" style="349" min="7189" max="7429"/>
    <col width="2" customWidth="1" style="349" min="7430" max="7431"/>
    <col width="31.28" customWidth="1" style="349" min="7432" max="7432"/>
    <col width="13" customWidth="1" style="349" min="7433" max="7433"/>
    <col width="11.28" customWidth="1" style="349" min="7434" max="7436"/>
    <col width="13.71" customWidth="1" style="349" min="7437" max="7437"/>
    <col width="11.28" customWidth="1" style="349" min="7438" max="7441"/>
    <col width="9.140000000000001" customWidth="1" style="349" min="7442" max="7443"/>
    <col width="10.85" customWidth="1" style="349" min="7444" max="7444"/>
    <col width="9.140000000000001" customWidth="1" style="349" min="7445" max="7685"/>
    <col width="2" customWidth="1" style="349" min="7686" max="7687"/>
    <col width="31.28" customWidth="1" style="349" min="7688" max="7688"/>
    <col width="13" customWidth="1" style="349" min="7689" max="7689"/>
    <col width="11.28" customWidth="1" style="349" min="7690" max="7692"/>
    <col width="13.71" customWidth="1" style="349" min="7693" max="7693"/>
    <col width="11.28" customWidth="1" style="349" min="7694" max="7697"/>
    <col width="9.140000000000001" customWidth="1" style="349" min="7698" max="7699"/>
    <col width="10.85" customWidth="1" style="349" min="7700" max="7700"/>
    <col width="9.140000000000001" customWidth="1" style="349" min="7701" max="7941"/>
    <col width="2" customWidth="1" style="349" min="7942" max="7943"/>
    <col width="31.28" customWidth="1" style="349" min="7944" max="7944"/>
    <col width="13" customWidth="1" style="349" min="7945" max="7945"/>
    <col width="11.28" customWidth="1" style="349" min="7946" max="7948"/>
    <col width="13.71" customWidth="1" style="349" min="7949" max="7949"/>
    <col width="11.28" customWidth="1" style="349" min="7950" max="7953"/>
    <col width="9.140000000000001" customWidth="1" style="349" min="7954" max="7955"/>
    <col width="10.85" customWidth="1" style="349" min="7956" max="7956"/>
    <col width="9.140000000000001" customWidth="1" style="349" min="7957" max="8197"/>
    <col width="2" customWidth="1" style="349" min="8198" max="8199"/>
    <col width="31.28" customWidth="1" style="349" min="8200" max="8200"/>
    <col width="13" customWidth="1" style="349" min="8201" max="8201"/>
    <col width="11.28" customWidth="1" style="349" min="8202" max="8204"/>
    <col width="13.71" customWidth="1" style="349" min="8205" max="8205"/>
    <col width="11.28" customWidth="1" style="349" min="8206" max="8209"/>
    <col width="9.140000000000001" customWidth="1" style="349" min="8210" max="8211"/>
    <col width="10.85" customWidth="1" style="349" min="8212" max="8212"/>
    <col width="9.140000000000001" customWidth="1" style="349" min="8213" max="8453"/>
    <col width="2" customWidth="1" style="349" min="8454" max="8455"/>
    <col width="31.28" customWidth="1" style="349" min="8456" max="8456"/>
    <col width="13" customWidth="1" style="349" min="8457" max="8457"/>
    <col width="11.28" customWidth="1" style="349" min="8458" max="8460"/>
    <col width="13.71" customWidth="1" style="349" min="8461" max="8461"/>
    <col width="11.28" customWidth="1" style="349" min="8462" max="8465"/>
    <col width="9.140000000000001" customWidth="1" style="349" min="8466" max="8467"/>
    <col width="10.85" customWidth="1" style="349" min="8468" max="8468"/>
    <col width="9.140000000000001" customWidth="1" style="349" min="8469" max="8709"/>
    <col width="2" customWidth="1" style="349" min="8710" max="8711"/>
    <col width="31.28" customWidth="1" style="349" min="8712" max="8712"/>
    <col width="13" customWidth="1" style="349" min="8713" max="8713"/>
    <col width="11.28" customWidth="1" style="349" min="8714" max="8716"/>
    <col width="13.71" customWidth="1" style="349" min="8717" max="8717"/>
    <col width="11.28" customWidth="1" style="349" min="8718" max="8721"/>
    <col width="9.140000000000001" customWidth="1" style="349" min="8722" max="8723"/>
    <col width="10.85" customWidth="1" style="349" min="8724" max="8724"/>
    <col width="9.140000000000001" customWidth="1" style="349" min="8725" max="8965"/>
    <col width="2" customWidth="1" style="349" min="8966" max="8967"/>
    <col width="31.28" customWidth="1" style="349" min="8968" max="8968"/>
    <col width="13" customWidth="1" style="349" min="8969" max="8969"/>
    <col width="11.28" customWidth="1" style="349" min="8970" max="8972"/>
    <col width="13.71" customWidth="1" style="349" min="8973" max="8973"/>
    <col width="11.28" customWidth="1" style="349" min="8974" max="8977"/>
    <col width="9.140000000000001" customWidth="1" style="349" min="8978" max="8979"/>
    <col width="10.85" customWidth="1" style="349" min="8980" max="8980"/>
    <col width="9.140000000000001" customWidth="1" style="349" min="8981" max="9221"/>
    <col width="2" customWidth="1" style="349" min="9222" max="9223"/>
    <col width="31.28" customWidth="1" style="349" min="9224" max="9224"/>
    <col width="13" customWidth="1" style="349" min="9225" max="9225"/>
    <col width="11.28" customWidth="1" style="349" min="9226" max="9228"/>
    <col width="13.71" customWidth="1" style="349" min="9229" max="9229"/>
    <col width="11.28" customWidth="1" style="349" min="9230" max="9233"/>
    <col width="9.140000000000001" customWidth="1" style="349" min="9234" max="9235"/>
    <col width="10.85" customWidth="1" style="349" min="9236" max="9236"/>
    <col width="9.140000000000001" customWidth="1" style="349" min="9237" max="9477"/>
    <col width="2" customWidth="1" style="349" min="9478" max="9479"/>
    <col width="31.28" customWidth="1" style="349" min="9480" max="9480"/>
    <col width="13" customWidth="1" style="349" min="9481" max="9481"/>
    <col width="11.28" customWidth="1" style="349" min="9482" max="9484"/>
    <col width="13.71" customWidth="1" style="349" min="9485" max="9485"/>
    <col width="11.28" customWidth="1" style="349" min="9486" max="9489"/>
    <col width="9.140000000000001" customWidth="1" style="349" min="9490" max="9491"/>
    <col width="10.85" customWidth="1" style="349" min="9492" max="9492"/>
    <col width="9.140000000000001" customWidth="1" style="349" min="9493" max="9733"/>
    <col width="2" customWidth="1" style="349" min="9734" max="9735"/>
    <col width="31.28" customWidth="1" style="349" min="9736" max="9736"/>
    <col width="13" customWidth="1" style="349" min="9737" max="9737"/>
    <col width="11.28" customWidth="1" style="349" min="9738" max="9740"/>
    <col width="13.71" customWidth="1" style="349" min="9741" max="9741"/>
    <col width="11.28" customWidth="1" style="349" min="9742" max="9745"/>
    <col width="9.140000000000001" customWidth="1" style="349" min="9746" max="9747"/>
    <col width="10.85" customWidth="1" style="349" min="9748" max="9748"/>
    <col width="9.140000000000001" customWidth="1" style="349" min="9749" max="9989"/>
    <col width="2" customWidth="1" style="349" min="9990" max="9991"/>
    <col width="31.28" customWidth="1" style="349" min="9992" max="9992"/>
    <col width="13" customWidth="1" style="349" min="9993" max="9993"/>
    <col width="11.28" customWidth="1" style="349" min="9994" max="9996"/>
    <col width="13.71" customWidth="1" style="349" min="9997" max="9997"/>
    <col width="11.28" customWidth="1" style="349" min="9998" max="10001"/>
    <col width="9.140000000000001" customWidth="1" style="349" min="10002" max="10003"/>
    <col width="10.85" customWidth="1" style="349" min="10004" max="10004"/>
    <col width="9.140000000000001" customWidth="1" style="349" min="10005" max="10245"/>
    <col width="2" customWidth="1" style="349" min="10246" max="10247"/>
    <col width="31.28" customWidth="1" style="349" min="10248" max="10248"/>
    <col width="13" customWidth="1" style="349" min="10249" max="10249"/>
    <col width="11.28" customWidth="1" style="349" min="10250" max="10252"/>
    <col width="13.71" customWidth="1" style="349" min="10253" max="10253"/>
    <col width="11.28" customWidth="1" style="349" min="10254" max="10257"/>
    <col width="9.140000000000001" customWidth="1" style="349" min="10258" max="10259"/>
    <col width="10.85" customWidth="1" style="349" min="10260" max="10260"/>
    <col width="9.140000000000001" customWidth="1" style="349" min="10261" max="10501"/>
    <col width="2" customWidth="1" style="349" min="10502" max="10503"/>
    <col width="31.28" customWidth="1" style="349" min="10504" max="10504"/>
    <col width="13" customWidth="1" style="349" min="10505" max="10505"/>
    <col width="11.28" customWidth="1" style="349" min="10506" max="10508"/>
    <col width="13.71" customWidth="1" style="349" min="10509" max="10509"/>
    <col width="11.28" customWidth="1" style="349" min="10510" max="10513"/>
    <col width="9.140000000000001" customWidth="1" style="349" min="10514" max="10515"/>
    <col width="10.85" customWidth="1" style="349" min="10516" max="10516"/>
    <col width="9.140000000000001" customWidth="1" style="349" min="10517" max="10757"/>
    <col width="2" customWidth="1" style="349" min="10758" max="10759"/>
    <col width="31.28" customWidth="1" style="349" min="10760" max="10760"/>
    <col width="13" customWidth="1" style="349" min="10761" max="10761"/>
    <col width="11.28" customWidth="1" style="349" min="10762" max="10764"/>
    <col width="13.71" customWidth="1" style="349" min="10765" max="10765"/>
    <col width="11.28" customWidth="1" style="349" min="10766" max="10769"/>
    <col width="9.140000000000001" customWidth="1" style="349" min="10770" max="10771"/>
    <col width="10.85" customWidth="1" style="349" min="10772" max="10772"/>
    <col width="9.140000000000001" customWidth="1" style="349" min="10773" max="11013"/>
    <col width="2" customWidth="1" style="349" min="11014" max="11015"/>
    <col width="31.28" customWidth="1" style="349" min="11016" max="11016"/>
    <col width="13" customWidth="1" style="349" min="11017" max="11017"/>
    <col width="11.28" customWidth="1" style="349" min="11018" max="11020"/>
    <col width="13.71" customWidth="1" style="349" min="11021" max="11021"/>
    <col width="11.28" customWidth="1" style="349" min="11022" max="11025"/>
    <col width="9.140000000000001" customWidth="1" style="349" min="11026" max="11027"/>
    <col width="10.85" customWidth="1" style="349" min="11028" max="11028"/>
    <col width="9.140000000000001" customWidth="1" style="349" min="11029" max="11269"/>
    <col width="2" customWidth="1" style="349" min="11270" max="11271"/>
    <col width="31.28" customWidth="1" style="349" min="11272" max="11272"/>
    <col width="13" customWidth="1" style="349" min="11273" max="11273"/>
    <col width="11.28" customWidth="1" style="349" min="11274" max="11276"/>
    <col width="13.71" customWidth="1" style="349" min="11277" max="11277"/>
    <col width="11.28" customWidth="1" style="349" min="11278" max="11281"/>
    <col width="9.140000000000001" customWidth="1" style="349" min="11282" max="11283"/>
    <col width="10.85" customWidth="1" style="349" min="11284" max="11284"/>
    <col width="9.140000000000001" customWidth="1" style="349" min="11285" max="11525"/>
    <col width="2" customWidth="1" style="349" min="11526" max="11527"/>
    <col width="31.28" customWidth="1" style="349" min="11528" max="11528"/>
    <col width="13" customWidth="1" style="349" min="11529" max="11529"/>
    <col width="11.28" customWidth="1" style="349" min="11530" max="11532"/>
    <col width="13.71" customWidth="1" style="349" min="11533" max="11533"/>
    <col width="11.28" customWidth="1" style="349" min="11534" max="11537"/>
    <col width="9.140000000000001" customWidth="1" style="349" min="11538" max="11539"/>
    <col width="10.85" customWidth="1" style="349" min="11540" max="11540"/>
    <col width="9.140000000000001" customWidth="1" style="349" min="11541" max="11781"/>
    <col width="2" customWidth="1" style="349" min="11782" max="11783"/>
    <col width="31.28" customWidth="1" style="349" min="11784" max="11784"/>
    <col width="13" customWidth="1" style="349" min="11785" max="11785"/>
    <col width="11.28" customWidth="1" style="349" min="11786" max="11788"/>
    <col width="13.71" customWidth="1" style="349" min="11789" max="11789"/>
    <col width="11.28" customWidth="1" style="349" min="11790" max="11793"/>
    <col width="9.140000000000001" customWidth="1" style="349" min="11794" max="11795"/>
    <col width="10.85" customWidth="1" style="349" min="11796" max="11796"/>
    <col width="9.140000000000001" customWidth="1" style="349" min="11797" max="12037"/>
    <col width="2" customWidth="1" style="349" min="12038" max="12039"/>
    <col width="31.28" customWidth="1" style="349" min="12040" max="12040"/>
    <col width="13" customWidth="1" style="349" min="12041" max="12041"/>
    <col width="11.28" customWidth="1" style="349" min="12042" max="12044"/>
    <col width="13.71" customWidth="1" style="349" min="12045" max="12045"/>
    <col width="11.28" customWidth="1" style="349" min="12046" max="12049"/>
    <col width="9.140000000000001" customWidth="1" style="349" min="12050" max="12051"/>
    <col width="10.85" customWidth="1" style="349" min="12052" max="12052"/>
    <col width="9.140000000000001" customWidth="1" style="349" min="12053" max="12293"/>
    <col width="2" customWidth="1" style="349" min="12294" max="12295"/>
    <col width="31.28" customWidth="1" style="349" min="12296" max="12296"/>
    <col width="13" customWidth="1" style="349" min="12297" max="12297"/>
    <col width="11.28" customWidth="1" style="349" min="12298" max="12300"/>
    <col width="13.71" customWidth="1" style="349" min="12301" max="12301"/>
    <col width="11.28" customWidth="1" style="349" min="12302" max="12305"/>
    <col width="9.140000000000001" customWidth="1" style="349" min="12306" max="12307"/>
    <col width="10.85" customWidth="1" style="349" min="12308" max="12308"/>
    <col width="9.140000000000001" customWidth="1" style="349" min="12309" max="12549"/>
    <col width="2" customWidth="1" style="349" min="12550" max="12551"/>
    <col width="31.28" customWidth="1" style="349" min="12552" max="12552"/>
    <col width="13" customWidth="1" style="349" min="12553" max="12553"/>
    <col width="11.28" customWidth="1" style="349" min="12554" max="12556"/>
    <col width="13.71" customWidth="1" style="349" min="12557" max="12557"/>
    <col width="11.28" customWidth="1" style="349" min="12558" max="12561"/>
    <col width="9.140000000000001" customWidth="1" style="349" min="12562" max="12563"/>
    <col width="10.85" customWidth="1" style="349" min="12564" max="12564"/>
    <col width="9.140000000000001" customWidth="1" style="349" min="12565" max="12805"/>
    <col width="2" customWidth="1" style="349" min="12806" max="12807"/>
    <col width="31.28" customWidth="1" style="349" min="12808" max="12808"/>
    <col width="13" customWidth="1" style="349" min="12809" max="12809"/>
    <col width="11.28" customWidth="1" style="349" min="12810" max="12812"/>
    <col width="13.71" customWidth="1" style="349" min="12813" max="12813"/>
    <col width="11.28" customWidth="1" style="349" min="12814" max="12817"/>
    <col width="9.140000000000001" customWidth="1" style="349" min="12818" max="12819"/>
    <col width="10.85" customWidth="1" style="349" min="12820" max="12820"/>
    <col width="9.140000000000001" customWidth="1" style="349" min="12821" max="13061"/>
    <col width="2" customWidth="1" style="349" min="13062" max="13063"/>
    <col width="31.28" customWidth="1" style="349" min="13064" max="13064"/>
    <col width="13" customWidth="1" style="349" min="13065" max="13065"/>
    <col width="11.28" customWidth="1" style="349" min="13066" max="13068"/>
    <col width="13.71" customWidth="1" style="349" min="13069" max="13069"/>
    <col width="11.28" customWidth="1" style="349" min="13070" max="13073"/>
    <col width="9.140000000000001" customWidth="1" style="349" min="13074" max="13075"/>
    <col width="10.85" customWidth="1" style="349" min="13076" max="13076"/>
    <col width="9.140000000000001" customWidth="1" style="349" min="13077" max="13317"/>
    <col width="2" customWidth="1" style="349" min="13318" max="13319"/>
    <col width="31.28" customWidth="1" style="349" min="13320" max="13320"/>
    <col width="13" customWidth="1" style="349" min="13321" max="13321"/>
    <col width="11.28" customWidth="1" style="349" min="13322" max="13324"/>
    <col width="13.71" customWidth="1" style="349" min="13325" max="13325"/>
    <col width="11.28" customWidth="1" style="349" min="13326" max="13329"/>
    <col width="9.140000000000001" customWidth="1" style="349" min="13330" max="13331"/>
    <col width="10.85" customWidth="1" style="349" min="13332" max="13332"/>
    <col width="9.140000000000001" customWidth="1" style="349" min="13333" max="13573"/>
    <col width="2" customWidth="1" style="349" min="13574" max="13575"/>
    <col width="31.28" customWidth="1" style="349" min="13576" max="13576"/>
    <col width="13" customWidth="1" style="349" min="13577" max="13577"/>
    <col width="11.28" customWidth="1" style="349" min="13578" max="13580"/>
    <col width="13.71" customWidth="1" style="349" min="13581" max="13581"/>
    <col width="11.28" customWidth="1" style="349" min="13582" max="13585"/>
    <col width="9.140000000000001" customWidth="1" style="349" min="13586" max="13587"/>
    <col width="10.85" customWidth="1" style="349" min="13588" max="13588"/>
    <col width="9.140000000000001" customWidth="1" style="349" min="13589" max="13829"/>
    <col width="2" customWidth="1" style="349" min="13830" max="13831"/>
    <col width="31.28" customWidth="1" style="349" min="13832" max="13832"/>
    <col width="13" customWidth="1" style="349" min="13833" max="13833"/>
    <col width="11.28" customWidth="1" style="349" min="13834" max="13836"/>
    <col width="13.71" customWidth="1" style="349" min="13837" max="13837"/>
    <col width="11.28" customWidth="1" style="349" min="13838" max="13841"/>
    <col width="9.140000000000001" customWidth="1" style="349" min="13842" max="13843"/>
    <col width="10.85" customWidth="1" style="349" min="13844" max="13844"/>
    <col width="9.140000000000001" customWidth="1" style="349" min="13845" max="14085"/>
    <col width="2" customWidth="1" style="349" min="14086" max="14087"/>
    <col width="31.28" customWidth="1" style="349" min="14088" max="14088"/>
    <col width="13" customWidth="1" style="349" min="14089" max="14089"/>
    <col width="11.28" customWidth="1" style="349" min="14090" max="14092"/>
    <col width="13.71" customWidth="1" style="349" min="14093" max="14093"/>
    <col width="11.28" customWidth="1" style="349" min="14094" max="14097"/>
    <col width="9.140000000000001" customWidth="1" style="349" min="14098" max="14099"/>
    <col width="10.85" customWidth="1" style="349" min="14100" max="14100"/>
    <col width="9.140000000000001" customWidth="1" style="349" min="14101" max="14341"/>
    <col width="2" customWidth="1" style="349" min="14342" max="14343"/>
    <col width="31.28" customWidth="1" style="349" min="14344" max="14344"/>
    <col width="13" customWidth="1" style="349" min="14345" max="14345"/>
    <col width="11.28" customWidth="1" style="349" min="14346" max="14348"/>
    <col width="13.71" customWidth="1" style="349" min="14349" max="14349"/>
    <col width="11.28" customWidth="1" style="349" min="14350" max="14353"/>
    <col width="9.140000000000001" customWidth="1" style="349" min="14354" max="14355"/>
    <col width="10.85" customWidth="1" style="349" min="14356" max="14356"/>
    <col width="9.140000000000001" customWidth="1" style="349" min="14357" max="14597"/>
    <col width="2" customWidth="1" style="349" min="14598" max="14599"/>
    <col width="31.28" customWidth="1" style="349" min="14600" max="14600"/>
    <col width="13" customWidth="1" style="349" min="14601" max="14601"/>
    <col width="11.28" customWidth="1" style="349" min="14602" max="14604"/>
    <col width="13.71" customWidth="1" style="349" min="14605" max="14605"/>
    <col width="11.28" customWidth="1" style="349" min="14606" max="14609"/>
    <col width="9.140000000000001" customWidth="1" style="349" min="14610" max="14611"/>
    <col width="10.85" customWidth="1" style="349" min="14612" max="14612"/>
    <col width="9.140000000000001" customWidth="1" style="349" min="14613" max="14853"/>
    <col width="2" customWidth="1" style="349" min="14854" max="14855"/>
    <col width="31.28" customWidth="1" style="349" min="14856" max="14856"/>
    <col width="13" customWidth="1" style="349" min="14857" max="14857"/>
    <col width="11.28" customWidth="1" style="349" min="14858" max="14860"/>
    <col width="13.71" customWidth="1" style="349" min="14861" max="14861"/>
    <col width="11.28" customWidth="1" style="349" min="14862" max="14865"/>
    <col width="9.140000000000001" customWidth="1" style="349" min="14866" max="14867"/>
    <col width="10.85" customWidth="1" style="349" min="14868" max="14868"/>
    <col width="9.140000000000001" customWidth="1" style="349" min="14869" max="15109"/>
    <col width="2" customWidth="1" style="349" min="15110" max="15111"/>
    <col width="31.28" customWidth="1" style="349" min="15112" max="15112"/>
    <col width="13" customWidth="1" style="349" min="15113" max="15113"/>
    <col width="11.28" customWidth="1" style="349" min="15114" max="15116"/>
    <col width="13.71" customWidth="1" style="349" min="15117" max="15117"/>
    <col width="11.28" customWidth="1" style="349" min="15118" max="15121"/>
    <col width="9.140000000000001" customWidth="1" style="349" min="15122" max="15123"/>
    <col width="10.85" customWidth="1" style="349" min="15124" max="15124"/>
    <col width="9.140000000000001" customWidth="1" style="349" min="15125" max="15365"/>
    <col width="2" customWidth="1" style="349" min="15366" max="15367"/>
    <col width="31.28" customWidth="1" style="349" min="15368" max="15368"/>
    <col width="13" customWidth="1" style="349" min="15369" max="15369"/>
    <col width="11.28" customWidth="1" style="349" min="15370" max="15372"/>
    <col width="13.71" customWidth="1" style="349" min="15373" max="15373"/>
    <col width="11.28" customWidth="1" style="349" min="15374" max="15377"/>
    <col width="9.140000000000001" customWidth="1" style="349" min="15378" max="15379"/>
    <col width="10.85" customWidth="1" style="349" min="15380" max="15380"/>
    <col width="9.140000000000001" customWidth="1" style="349" min="15381" max="15621"/>
    <col width="2" customWidth="1" style="349" min="15622" max="15623"/>
    <col width="31.28" customWidth="1" style="349" min="15624" max="15624"/>
    <col width="13" customWidth="1" style="349" min="15625" max="15625"/>
    <col width="11.28" customWidth="1" style="349" min="15626" max="15628"/>
    <col width="13.71" customWidth="1" style="349" min="15629" max="15629"/>
    <col width="11.28" customWidth="1" style="349" min="15630" max="15633"/>
    <col width="9.140000000000001" customWidth="1" style="349" min="15634" max="15635"/>
    <col width="10.85" customWidth="1" style="349" min="15636" max="15636"/>
    <col width="9.140000000000001" customWidth="1" style="349" min="15637" max="15877"/>
    <col width="2" customWidth="1" style="349" min="15878" max="15879"/>
    <col width="31.28" customWidth="1" style="349" min="15880" max="15880"/>
    <col width="13" customWidth="1" style="349" min="15881" max="15881"/>
    <col width="11.28" customWidth="1" style="349" min="15882" max="15884"/>
    <col width="13.71" customWidth="1" style="349" min="15885" max="15885"/>
    <col width="11.28" customWidth="1" style="349" min="15886" max="15889"/>
    <col width="9.140000000000001" customWidth="1" style="349" min="15890" max="15891"/>
    <col width="10.85" customWidth="1" style="349" min="15892" max="15892"/>
    <col width="9.140000000000001" customWidth="1" style="349" min="15893" max="16133"/>
    <col width="2" customWidth="1" style="349" min="16134" max="16135"/>
    <col width="31.28" customWidth="1" style="349" min="16136" max="16136"/>
    <col width="13" customWidth="1" style="349" min="16137" max="16137"/>
    <col width="11.28" customWidth="1" style="349" min="16138" max="16140"/>
    <col width="13.71" customWidth="1" style="349" min="16141" max="16141"/>
    <col width="11.28" customWidth="1" style="349" min="16142" max="16145"/>
    <col width="9.140000000000001" customWidth="1" style="349" min="16146" max="16147"/>
    <col width="10.85" customWidth="1" style="349" min="16148" max="16148"/>
    <col width="9.140000000000001" customWidth="1" style="349" min="16149" max="16384"/>
  </cols>
  <sheetData>
    <row r="1" outlineLevel="1" ht="6.75" customFormat="1" customHeight="1" s="350"/>
    <row r="2" outlineLevel="1" ht="6.75" customFormat="1" customHeight="1" s="350"/>
    <row r="3" outlineLevel="1" ht="12.75" customHeight="1" s="255">
      <c r="C3" s="349" t="str">
        <f>"Discounted Cash Flow Model for "&amp;ticker</f>
        <v>Discounted Cash Flow Model for </v>
      </c>
    </row>
    <row r="4" outlineLevel="1" ht="13.5" customHeight="1" s="255">
      <c r="C4" s="351" t="inlineStr">
        <is>
          <t>All figures in millions, except per share data</t>
        </is>
      </c>
      <c r="D4" s="351" t="n"/>
      <c r="E4" s="351" t="n"/>
      <c r="F4" s="351" t="n"/>
      <c r="G4" s="351" t="n"/>
      <c r="H4" s="351" t="n"/>
      <c r="I4" s="351" t="n"/>
      <c r="J4" s="351" t="n"/>
      <c r="K4" s="351" t="n"/>
      <c r="L4" s="351" t="n"/>
      <c r="M4" s="351" t="n"/>
      <c r="N4" s="351" t="n"/>
      <c r="O4" s="351" t="n"/>
      <c r="P4" s="351" t="n"/>
      <c r="Q4" s="351" t="n"/>
      <c r="R4" s="351" t="n"/>
      <c r="S4" s="351" t="n"/>
      <c r="T4" s="351" t="n"/>
      <c r="U4" s="351" t="n"/>
      <c r="V4" s="351" t="n"/>
    </row>
    <row r="5" outlineLevel="1" ht="12.75" customHeight="1" s="255"/>
    <row r="6" outlineLevel="1" ht="12.75" customHeight="1" s="255"/>
    <row r="7" outlineLevel="1" ht="12.75" customHeight="1" s="255">
      <c r="C7" s="349" t="inlineStr">
        <is>
          <t>Ticker</t>
        </is>
      </c>
      <c r="D7" s="352" t="n"/>
      <c r="F7" s="349" t="inlineStr">
        <is>
          <t>Last close</t>
        </is>
      </c>
      <c r="G7" s="353" t="n"/>
    </row>
    <row r="8" outlineLevel="1" ht="13.8" customHeight="1" s="255">
      <c r="C8" s="349" t="inlineStr">
        <is>
          <t>Operating scenario:</t>
        </is>
      </c>
      <c r="D8" s="354" t="str">
        <f>IF(scenario=2,"Base Case",IF(scenario=1,"Bull Case","Bear Case"))</f>
        <v>Base Case</v>
      </c>
      <c r="E8" s="355" t="n">
        <v>2</v>
      </c>
      <c r="F8" s="349" t="inlineStr">
        <is>
          <t>1 = Bull, 2 = Base, 3 = Bear</t>
        </is>
      </c>
    </row>
    <row r="9" outlineLevel="1" ht="12.75" customHeight="1" s="255">
      <c r="C9" s="349" t="inlineStr">
        <is>
          <t>Last fiscal year end date:</t>
        </is>
      </c>
      <c r="D9" s="356" t="n">
        <v>46022</v>
      </c>
    </row>
    <row r="10" outlineLevel="1" ht="12.75" customHeight="1" s="255">
      <c r="C10" s="349" t="inlineStr">
        <is>
          <t>Valuation / deal date:</t>
        </is>
      </c>
      <c r="D10" s="356" t="n">
        <v>46292</v>
      </c>
    </row>
    <row r="11" outlineLevel="1" ht="12.75" customHeight="1" s="255">
      <c r="C11" s="349" t="inlineStr">
        <is>
          <t>Stub year fraction:</t>
        </is>
      </c>
      <c r="D11" s="357">
        <f>1-(D10-D9)/365</f>
        <v>0.26027397260274</v>
      </c>
      <c r="E11" s="358" t="n"/>
      <c r="I11" s="359" t="n"/>
      <c r="O11" s="360" t="n"/>
      <c r="Z11" s="361" t="n"/>
    </row>
    <row r="12" outlineLevel="1" ht="12.75" customHeight="1" s="255">
      <c r="C12" s="349" t="inlineStr">
        <is>
          <t>Weighted average cost of capital:</t>
        </is>
      </c>
      <c r="D12" s="357" t="e">
        <f>J93</f>
        <v>#DIV/0!</v>
      </c>
      <c r="I12" s="359" t="n"/>
    </row>
    <row r="13" outlineLevel="1" ht="12.75" customHeight="1" s="255">
      <c r="D13" s="357" t="n"/>
      <c r="E13" s="357" t="n"/>
    </row>
    <row r="14" ht="12.75" customHeight="1" s="255">
      <c r="C14" s="362" t="inlineStr">
        <is>
          <t>Historicals</t>
        </is>
      </c>
      <c r="D14" s="362" t="n"/>
      <c r="E14" s="362" t="n"/>
      <c r="F14" s="362" t="n"/>
      <c r="G14" s="363" t="inlineStr">
        <is>
          <t>Projected Annual Forecast</t>
        </is>
      </c>
    </row>
    <row r="15" ht="13.8" customHeight="1" s="255">
      <c r="C15" s="364" t="n"/>
      <c r="D15" s="364" t="n"/>
      <c r="E15" s="364" t="n"/>
      <c r="F15" s="364" t="n"/>
      <c r="G15" s="365" t="inlineStr">
        <is>
          <t>Granular</t>
        </is>
      </c>
      <c r="H15" s="366" t="n"/>
      <c r="I15" s="366" t="n"/>
      <c r="J15" s="366" t="n"/>
      <c r="K15" s="366" t="n"/>
      <c r="L15" s="366" t="n"/>
      <c r="M15" s="367" t="inlineStr">
        <is>
          <t>Synthetic</t>
        </is>
      </c>
      <c r="N15" s="366" t="n"/>
      <c r="O15" s="366" t="n"/>
      <c r="P15" s="366" t="n"/>
      <c r="Q15" s="366" t="n"/>
      <c r="R15" s="366" t="n"/>
      <c r="S15" s="368" t="inlineStr">
        <is>
          <t>Fora do horizonte do Model (projecao vai ate 2037)</t>
        </is>
      </c>
      <c r="T15" s="366" t="n"/>
      <c r="U15" s="366" t="n"/>
      <c r="V15" s="366" t="n"/>
      <c r="X15" s="369" t="inlineStr">
        <is>
          <t>CAGR</t>
        </is>
      </c>
      <c r="Y15" s="370" t="n"/>
      <c r="Z15" s="370" t="n"/>
    </row>
    <row r="16" ht="13.8" customHeight="1" s="255">
      <c r="D16" s="371">
        <f>YEAR(D17)</f>
        <v>2023</v>
      </c>
      <c r="E16" s="371">
        <f>YEAR(E17)</f>
        <v>2024</v>
      </c>
      <c r="F16" s="371">
        <f>YEAR(F17)</f>
        <v>2025</v>
      </c>
      <c r="G16" s="371">
        <f>YEAR(G17)</f>
        <v>2026</v>
      </c>
      <c r="H16" s="371">
        <f>YEAR(H17)</f>
        <v>2027</v>
      </c>
      <c r="I16" s="371">
        <f>YEAR(I17)</f>
        <v>2028</v>
      </c>
      <c r="J16" s="371">
        <f>YEAR(J17)</f>
        <v>2029</v>
      </c>
      <c r="K16" s="371">
        <f>YEAR(K17)</f>
        <v>2030</v>
      </c>
      <c r="L16" s="371">
        <f>YEAR(L17)</f>
        <v>2031</v>
      </c>
      <c r="M16" s="371">
        <f>YEAR(M17)</f>
        <v>2032</v>
      </c>
      <c r="N16" s="371">
        <f>YEAR(N17)</f>
        <v>2033</v>
      </c>
      <c r="O16" s="371">
        <f>YEAR(O17)</f>
        <v>2034</v>
      </c>
      <c r="P16" s="371">
        <f>YEAR(P17)</f>
        <v>2035</v>
      </c>
      <c r="Q16" s="371">
        <f>YEAR(Q17)</f>
        <v>2036</v>
      </c>
      <c r="R16" s="371">
        <f>YEAR(R17)</f>
        <v>2037</v>
      </c>
      <c r="S16" s="372">
        <f>YEAR(S17)</f>
        <v>2038</v>
      </c>
      <c r="T16" s="372">
        <f>YEAR(T17)</f>
        <v>2039</v>
      </c>
      <c r="U16" s="372">
        <f>YEAR(U17)</f>
        <v>2040</v>
      </c>
      <c r="V16" s="372">
        <f>YEAR(V17)</f>
        <v>2041</v>
      </c>
      <c r="W16" s="371" t="n"/>
      <c r="X16" s="370" t="str">
        <f>F16&amp;"-"&amp;L16</f>
        <v>2025-2031</v>
      </c>
      <c r="Y16" s="370" t="str">
        <f>L16&amp;"-"&amp;R16</f>
        <v>2031-2037</v>
      </c>
      <c r="Z16" s="370" t="n"/>
    </row>
    <row r="17" outlineLevel="1" ht="12.75" customHeight="1" s="255">
      <c r="C17" s="373" t="n"/>
      <c r="D17" s="374">
        <f>DATE(YEAR(E17)-1,MONTH(E17),DAY(E17))</f>
        <v>45291.0</v>
      </c>
      <c r="E17" s="374">
        <f>DATE(YEAR(F17)-1,MONTH(F17),DAY(F17))</f>
        <v>45657.0</v>
      </c>
      <c r="F17" s="374">
        <f>DATE(YEAR(G17)-1,MONTH(G17),DAY(G17))</f>
        <v>46022.0</v>
      </c>
      <c r="G17" s="374">
        <f>DATE(YEAR(D9)+1,MONTH(D9),DAY(D9))</f>
        <v>46387.0</v>
      </c>
      <c r="H17" s="374">
        <f>DATE(YEAR(G17)+1,MONTH(G17),DAY(G17))</f>
        <v>46752.0</v>
      </c>
      <c r="I17" s="374">
        <f>DATE(YEAR(H17)+1,MONTH(H17),DAY(H17))</f>
        <v>47118.0</v>
      </c>
      <c r="J17" s="374">
        <f>DATE(YEAR(I17)+1,MONTH(I17),DAY(I17))</f>
        <v>47483.0</v>
      </c>
      <c r="K17" s="374">
        <f>DATE(YEAR(J17)+1,MONTH(J17),DAY(J17))</f>
        <v>47848.0</v>
      </c>
      <c r="L17" s="374">
        <f>DATE(YEAR(K17)+1,MONTH(K17),DAY(K17))</f>
        <v>48213.0</v>
      </c>
      <c r="M17" s="374">
        <f>DATE(YEAR(L17)+1,MONTH(L17),DAY(L17))</f>
        <v>48579.0</v>
      </c>
      <c r="N17" s="374">
        <f>DATE(YEAR(M17)+1,MONTH(M17),DAY(M17))</f>
        <v>48944.0</v>
      </c>
      <c r="O17" s="374">
        <f>DATE(YEAR(N17)+1,MONTH(N17),DAY(N17))</f>
        <v>49309.0</v>
      </c>
      <c r="P17" s="374">
        <f>DATE(YEAR(O17)+1,MONTH(O17),DAY(O17))</f>
        <v>49674.0</v>
      </c>
      <c r="Q17" s="374">
        <f>DATE(YEAR(P17)+1,MONTH(P17),DAY(P17))</f>
        <v>50040.0</v>
      </c>
      <c r="R17" s="374">
        <f>DATE(YEAR(Q17)+1,MONTH(Q17),DAY(Q17))</f>
        <v>50405.0</v>
      </c>
      <c r="S17" s="374">
        <f>DATE(YEAR(R17)+1,MONTH(R17),DAY(R17))</f>
        <v>50770.0</v>
      </c>
      <c r="T17" s="374">
        <f>DATE(YEAR(S17)+1,MONTH(S17),DAY(S17))</f>
        <v>51135.0</v>
      </c>
      <c r="U17" s="374">
        <f>DATE(YEAR(T17)+1,MONTH(T17),DAY(T17))</f>
        <v>51501.0</v>
      </c>
      <c r="V17" s="374">
        <f>DATE(YEAR(U17)+1,MONTH(U17),DAY(U17))</f>
        <v>51866.0</v>
      </c>
      <c r="W17" s="375" t="n"/>
      <c r="X17" s="370" t="n"/>
      <c r="Y17" s="370" t="n"/>
      <c r="Z17" s="370" t="n"/>
    </row>
    <row r="18" ht="12.75" customHeight="1" s="255">
      <c r="C18" s="376" t="inlineStr">
        <is>
          <t>Net Revenues</t>
        </is>
      </c>
      <c r="D18" s="377">
        <f>Model!W15</f>
        <v>245652</v>
      </c>
      <c r="E18" s="377">
        <f>Model!AB15</f>
        <v>258805</v>
      </c>
      <c r="F18" s="377">
        <f>Model!AG15</f>
        <v>280391</v>
      </c>
      <c r="G18" s="377">
        <f>Model!AL15</f>
        <v>293587</v>
      </c>
      <c r="H18" s="377">
        <f>Model!AQ15</f>
        <v>293587</v>
      </c>
      <c r="I18" s="377">
        <f>Model!AV15</f>
        <v>293587</v>
      </c>
      <c r="J18" s="377">
        <f>Model!BA15</f>
        <v>293587</v>
      </c>
      <c r="K18" s="377">
        <f>Model!BF15</f>
        <v>293587</v>
      </c>
      <c r="L18" s="377">
        <f>Model!BK15</f>
        <v>293587</v>
      </c>
      <c r="M18" s="377">
        <f>Model!BP15</f>
        <v>293587</v>
      </c>
      <c r="N18" s="377">
        <f>Model!BU15</f>
        <v>293587</v>
      </c>
      <c r="O18" s="377">
        <f>Model!BZ15</f>
        <v>293587</v>
      </c>
      <c r="P18" s="377">
        <f>Model!CE15</f>
        <v>293587</v>
      </c>
      <c r="Q18" s="377">
        <f>Model!CJ15</f>
        <v>293587</v>
      </c>
      <c r="R18" s="377">
        <f>Model!CO15</f>
        <v>293587</v>
      </c>
      <c r="S18" s="377" t="n"/>
      <c r="T18" s="377" t="n"/>
      <c r="U18" s="377" t="n"/>
      <c r="V18" s="378" t="n"/>
      <c r="X18" s="379">
        <f>((L18/F18)^(1/6))-1</f>
        <v>0.00769427667738021</v>
      </c>
      <c r="Y18" s="379">
        <f>((R18/L18)^(1/6))-1</f>
        <v>0</v>
      </c>
      <c r="Z18" s="370" t="n"/>
    </row>
    <row r="19" ht="12.75" customHeight="1" s="255">
      <c r="C19" s="380" t="n"/>
      <c r="D19" s="373" t="n"/>
      <c r="E19" s="381">
        <f>E18/D18-1</f>
        <v>0.0535432237474149</v>
      </c>
      <c r="F19" s="381">
        <f>F18/E18-1</f>
        <v>0.0834064256872935</v>
      </c>
      <c r="G19" s="381">
        <f>G18/F18-1</f>
        <v>0.0470628515180587</v>
      </c>
      <c r="H19" s="381">
        <f>H18/G18-1</f>
        <v>0</v>
      </c>
      <c r="I19" s="381">
        <f>I18/H18-1</f>
        <v>0</v>
      </c>
      <c r="J19" s="381">
        <f>J18/I18-1</f>
        <v>0</v>
      </c>
      <c r="K19" s="381">
        <f>K18/J18-1</f>
        <v>0</v>
      </c>
      <c r="L19" s="381">
        <f>L18/K18-1</f>
        <v>0</v>
      </c>
      <c r="M19" s="381">
        <f>M18/L18-1</f>
        <v>0</v>
      </c>
      <c r="N19" s="381">
        <f>N18/M18-1</f>
        <v>0</v>
      </c>
      <c r="O19" s="381">
        <f>O18/N18-1</f>
        <v>0</v>
      </c>
      <c r="P19" s="381">
        <f>P18/O18-1</f>
        <v>0</v>
      </c>
      <c r="Q19" s="381">
        <f>Q18/P18-1</f>
        <v>0</v>
      </c>
      <c r="R19" s="381">
        <f>R18/Q18-1</f>
        <v>0</v>
      </c>
      <c r="S19" s="381" t="n"/>
      <c r="T19" s="381" t="n"/>
      <c r="U19" s="381" t="n"/>
      <c r="V19" s="382" t="n"/>
      <c r="X19" s="370" t="n"/>
      <c r="Y19" s="370" t="n"/>
      <c r="Z19" s="370" t="n"/>
    </row>
    <row r="20" outlineLevel="1" ht="12.75" customHeight="1" s="255">
      <c r="C20" s="383" t="inlineStr">
        <is>
          <t>EBITDA</t>
        </is>
      </c>
      <c r="D20" s="377">
        <f>Model!W54</f>
        <v>10478</v>
      </c>
      <c r="E20" s="377">
        <f>Model!AB54</f>
        <v>11781</v>
      </c>
      <c r="F20" s="377">
        <f>Model!AG54</f>
        <v>13125</v>
      </c>
      <c r="G20" s="377">
        <f>Model!AL54</f>
        <v>6615</v>
      </c>
      <c r="H20" s="377">
        <f>Model!AQ54</f>
        <v>0</v>
      </c>
      <c r="I20" s="377">
        <f>Model!BA54</f>
        <v>0</v>
      </c>
      <c r="J20" s="377">
        <f>Model!BA54</f>
        <v>0</v>
      </c>
      <c r="K20" s="377">
        <f>Model!BF54</f>
        <v>0</v>
      </c>
      <c r="L20" s="377">
        <f>Model!BK54</f>
        <v>0</v>
      </c>
      <c r="M20" s="384" t="n"/>
      <c r="N20" s="384" t="n"/>
      <c r="O20" s="384" t="n"/>
      <c r="P20" s="384" t="n"/>
      <c r="Q20" s="384" t="n"/>
      <c r="R20" s="384" t="n"/>
      <c r="S20" s="384" t="n"/>
      <c r="T20" s="384" t="n"/>
      <c r="U20" s="384" t="n"/>
      <c r="V20" s="385" t="n"/>
      <c r="X20" s="370" t="n"/>
      <c r="Y20" s="370" t="n"/>
      <c r="Z20" s="370" t="n"/>
    </row>
    <row r="21" outlineLevel="1" ht="12.75" customHeight="1" s="255">
      <c r="C21" s="380" t="n"/>
      <c r="D21" s="386">
        <f>D20/D18</f>
        <v>0.0426538355071402</v>
      </c>
      <c r="E21" s="386">
        <f>E20/E18</f>
        <v>0.0455207588725102</v>
      </c>
      <c r="F21" s="386">
        <f>F20/F18</f>
        <v>0.046809633690097</v>
      </c>
      <c r="G21" s="386">
        <f>G20/G18</f>
        <v>0.0225316516058272</v>
      </c>
      <c r="H21" s="386">
        <f>H20/H18</f>
        <v>0</v>
      </c>
      <c r="I21" s="386">
        <f>I20/I18</f>
        <v>0</v>
      </c>
      <c r="J21" s="386">
        <f>J20/J18</f>
        <v>0</v>
      </c>
      <c r="K21" s="386">
        <f>K20/K18</f>
        <v>0</v>
      </c>
      <c r="L21" s="386">
        <f>L20/L18</f>
        <v>0</v>
      </c>
      <c r="M21" s="373" t="n"/>
      <c r="N21" s="373" t="n"/>
      <c r="O21" s="373" t="n"/>
      <c r="P21" s="373" t="n"/>
      <c r="Q21" s="373" t="n"/>
      <c r="R21" s="373" t="n"/>
      <c r="S21" s="373" t="n"/>
      <c r="T21" s="373" t="n"/>
      <c r="U21" s="373" t="n"/>
      <c r="V21" s="387" t="n"/>
      <c r="X21" s="379" t="n"/>
      <c r="Y21" s="379" t="n"/>
      <c r="Z21" s="370" t="n"/>
    </row>
    <row r="22" outlineLevel="1" ht="12.75" customHeight="1" s="255">
      <c r="C22" s="376" t="inlineStr">
        <is>
          <t>EBIT</t>
        </is>
      </c>
      <c r="D22" s="377">
        <f>Model!W58</f>
        <v>8347</v>
      </c>
      <c r="E22" s="377">
        <f>Model!AB58</f>
        <v>9497</v>
      </c>
      <c r="F22" s="377">
        <f>Model!AG58</f>
        <v>10650</v>
      </c>
      <c r="G22" s="377">
        <f>Model!AL58</f>
        <v>5421</v>
      </c>
      <c r="H22" s="377">
        <f>Model!AQ58</f>
        <v>0</v>
      </c>
      <c r="I22" s="377">
        <f>Model!AV58</f>
        <v>0</v>
      </c>
      <c r="J22" s="377">
        <f>Model!BA58</f>
        <v>0</v>
      </c>
      <c r="K22" s="377">
        <f>Model!BF58</f>
        <v>0</v>
      </c>
      <c r="L22" s="377">
        <f>Model!BK58</f>
        <v>0</v>
      </c>
      <c r="M22" s="377">
        <f>Model!BP58</f>
        <v>0</v>
      </c>
      <c r="N22" s="377">
        <f>Model!BU58</f>
        <v>0</v>
      </c>
      <c r="O22" s="377">
        <f>Model!BZ58</f>
        <v>0</v>
      </c>
      <c r="P22" s="377">
        <f>Model!CE58</f>
        <v>0</v>
      </c>
      <c r="Q22" s="377">
        <f>Model!CJ58</f>
        <v>0</v>
      </c>
      <c r="R22" s="377">
        <f>Model!CO58</f>
        <v>0</v>
      </c>
      <c r="S22" s="377" t="n"/>
      <c r="T22" s="377" t="n"/>
      <c r="U22" s="377" t="n"/>
      <c r="V22" s="378" t="n"/>
      <c r="X22" s="379">
        <f>((L22/F22)^(1/6))-1</f>
        <v>-1</v>
      </c>
      <c r="Y22" s="379" t="e">
        <f>((R22/L22)^(1/6))-1</f>
        <v>#DIV/0!</v>
      </c>
      <c r="Z22" s="370" t="n"/>
    </row>
    <row r="23" outlineLevel="1" ht="12.75" customHeight="1" s="255">
      <c r="C23" s="380" t="n"/>
      <c r="D23" s="386">
        <f>D22/D18</f>
        <v>0.0339789621089997</v>
      </c>
      <c r="E23" s="386">
        <f>E22/E18</f>
        <v>0.036695581615502</v>
      </c>
      <c r="F23" s="386">
        <f>F22/F18</f>
        <v>0.0379826741942502</v>
      </c>
      <c r="G23" s="386">
        <f>G22/G18</f>
        <v>0.0184647140370657</v>
      </c>
      <c r="H23" s="386">
        <f>H22/H18</f>
        <v>0</v>
      </c>
      <c r="I23" s="386">
        <f>I22/I18</f>
        <v>0</v>
      </c>
      <c r="J23" s="386">
        <f>J22/J18</f>
        <v>0</v>
      </c>
      <c r="K23" s="386">
        <f>K22/K18</f>
        <v>0</v>
      </c>
      <c r="L23" s="386">
        <f>L22/L18</f>
        <v>0</v>
      </c>
      <c r="M23" s="386">
        <f>M22/M18</f>
        <v>0</v>
      </c>
      <c r="N23" s="386">
        <f>N22/N18</f>
        <v>0</v>
      </c>
      <c r="O23" s="386">
        <f>O22/O18</f>
        <v>0</v>
      </c>
      <c r="P23" s="386">
        <f>P22/P18</f>
        <v>0</v>
      </c>
      <c r="Q23" s="386">
        <f>Q22/Q18</f>
        <v>0</v>
      </c>
      <c r="R23" s="386">
        <f>R22/R18</f>
        <v>0</v>
      </c>
      <c r="S23" s="386" t="n"/>
      <c r="T23" s="386" t="n"/>
      <c r="U23" s="386" t="n"/>
      <c r="V23" s="388" t="n"/>
      <c r="X23" s="370" t="n"/>
      <c r="Y23" s="370" t="n"/>
      <c r="Z23" s="370" t="n"/>
    </row>
    <row r="24" ht="12.75" customHeight="1" s="255">
      <c r="C24" s="376" t="inlineStr">
        <is>
          <t>Tax rate</t>
        </is>
      </c>
      <c r="D24" s="389">
        <f>Model!W117</f>
        <v>0.261362348407571</v>
      </c>
      <c r="E24" s="389">
        <f>Model!AB117</f>
        <v>0.237826961770624</v>
      </c>
      <c r="F24" s="389">
        <f>Model!AG117</f>
        <v>0.251735015772871</v>
      </c>
      <c r="G24" s="389">
        <f>Model!AL117</f>
        <v>0.240187856424019</v>
      </c>
      <c r="H24" s="389">
        <f>Model!AQ117</f>
        <v>0</v>
      </c>
      <c r="I24" s="389">
        <f>Model!AV117</f>
        <v>0</v>
      </c>
      <c r="J24" s="389">
        <f>Model!BA117</f>
        <v>0</v>
      </c>
      <c r="K24" s="389">
        <f>Model!BF117</f>
        <v>0</v>
      </c>
      <c r="L24" s="389">
        <f>Model!BK117</f>
        <v>0</v>
      </c>
      <c r="M24" s="389">
        <f>Model!BP117</f>
        <v>0</v>
      </c>
      <c r="N24" s="389">
        <f>Model!BU117</f>
        <v>0</v>
      </c>
      <c r="O24" s="389">
        <f>Model!BZ117</f>
        <v>0</v>
      </c>
      <c r="P24" s="389">
        <f>Model!CE117</f>
        <v>0</v>
      </c>
      <c r="Q24" s="389">
        <f>Model!CJ117</f>
        <v>0</v>
      </c>
      <c r="R24" s="389">
        <f>Model!CO117</f>
        <v>0</v>
      </c>
      <c r="S24" s="389" t="n"/>
      <c r="T24" s="389" t="n"/>
      <c r="U24" s="389" t="n"/>
      <c r="V24" s="390" t="n"/>
      <c r="X24" s="370" t="n"/>
      <c r="Y24" s="370" t="n"/>
      <c r="Z24" s="370" t="n"/>
    </row>
    <row r="25" ht="12.75" customHeight="1" s="255">
      <c r="C25" s="380" t="inlineStr">
        <is>
          <t>NOPLAT</t>
        </is>
      </c>
      <c r="D25" s="391">
        <f>D22*(1-D24)</f>
        <v>6165.408477842</v>
      </c>
      <c r="E25" s="391">
        <f>E22*(1-E24)</f>
        <v>7238.35734406439</v>
      </c>
      <c r="F25" s="391">
        <f>F22*(1-F24)</f>
        <v>7969.02208201893</v>
      </c>
      <c r="G25" s="391">
        <f>G22*(1-G24)</f>
        <v>4118.9416303254</v>
      </c>
      <c r="H25" s="391">
        <f>H22*(1-H24)</f>
        <v>0</v>
      </c>
      <c r="I25" s="391">
        <f>I22*(1-I24)</f>
        <v>0</v>
      </c>
      <c r="J25" s="391">
        <f>J22*(1-J24)</f>
        <v>0</v>
      </c>
      <c r="K25" s="391">
        <f>K22*(1-K24)</f>
        <v>0</v>
      </c>
      <c r="L25" s="391">
        <f>L22*(1-L24)</f>
        <v>0</v>
      </c>
      <c r="M25" s="391">
        <f>M22*(1-M24)</f>
        <v>0</v>
      </c>
      <c r="N25" s="391">
        <f>N22*(1-N24)</f>
        <v>0</v>
      </c>
      <c r="O25" s="391">
        <f>O22*(1-O24)</f>
        <v>0</v>
      </c>
      <c r="P25" s="391">
        <f>P22*(1-P24)</f>
        <v>0</v>
      </c>
      <c r="Q25" s="391">
        <f>Q22*(1-Q24)</f>
        <v>0</v>
      </c>
      <c r="R25" s="391">
        <f>R22*(1-R24)</f>
        <v>0</v>
      </c>
      <c r="S25" s="391" t="n"/>
      <c r="T25" s="391" t="n"/>
      <c r="U25" s="391" t="n"/>
      <c r="V25" s="392" t="n"/>
      <c r="X25" s="379" t="n"/>
      <c r="Y25" s="379" t="n"/>
      <c r="Z25" s="370" t="n"/>
    </row>
    <row r="26" ht="12.75" customHeight="1" s="255">
      <c r="C26" s="393" t="inlineStr">
        <is>
          <t>Depreciation &amp; Amortization</t>
        </is>
      </c>
      <c r="D26" s="394">
        <f>Model!W55</f>
        <v>-2131</v>
      </c>
      <c r="E26" s="394">
        <f>Model!AB55</f>
        <v>-2284</v>
      </c>
      <c r="F26" s="394">
        <f>Model!AG55</f>
        <v>-2475</v>
      </c>
      <c r="G26" s="394">
        <f>Model!AL55</f>
        <v>-1194</v>
      </c>
      <c r="H26" s="394">
        <f>Model!AQ55</f>
        <v>0</v>
      </c>
      <c r="I26" s="394">
        <f>Model!AV55</f>
        <v>0</v>
      </c>
      <c r="J26" s="394">
        <f>Model!BA55</f>
        <v>0</v>
      </c>
      <c r="K26" s="394">
        <f>Model!BF55</f>
        <v>0</v>
      </c>
      <c r="L26" s="395">
        <f>Model!BK55</f>
        <v>0</v>
      </c>
      <c r="X26" s="370" t="n"/>
      <c r="Y26" s="370" t="n"/>
      <c r="Z26" s="370" t="n"/>
    </row>
    <row r="27" ht="12.75" customHeight="1" s="255">
      <c r="C27" s="396" t="inlineStr">
        <is>
          <t>Cash from working capital</t>
        </is>
      </c>
      <c r="D27" s="397">
        <f>SUM(D28:D39)</f>
        <v>3128</v>
      </c>
      <c r="E27" s="397">
        <f>SUM(E28:E39)</f>
        <v>-992</v>
      </c>
      <c r="F27" s="397">
        <f>SUM(F28:F39)</f>
        <v>2906</v>
      </c>
      <c r="G27" s="397">
        <f>SUM(G28:G39)</f>
        <v>-6094</v>
      </c>
      <c r="H27" s="397" t="e">
        <f>SUM(H28:H39)</f>
        <v>#DIV/0!</v>
      </c>
      <c r="I27" s="397" t="e">
        <f>SUM(I28:I39)</f>
        <v>#DIV/0!</v>
      </c>
      <c r="J27" s="397" t="e">
        <f>SUM(J28:J39)</f>
        <v>#DIV/0!</v>
      </c>
      <c r="K27" s="397" t="e">
        <f>SUM(K28:K39)</f>
        <v>#DIV/0!</v>
      </c>
      <c r="L27" s="398" t="e">
        <f>SUM(L28:L39)</f>
        <v>#DIV/0!</v>
      </c>
      <c r="X27" s="370" t="n"/>
      <c r="Y27" s="370" t="n"/>
      <c r="Z27" s="370" t="n"/>
    </row>
    <row r="28" outlineLevel="1" ht="12.75" customHeight="1" s="255">
      <c r="C28" s="399" t="inlineStr">
        <is>
          <t>Accounts receivable</t>
        </is>
      </c>
      <c r="D28" s="400">
        <f>Model!W265</f>
        <v>-230</v>
      </c>
      <c r="E28" s="400">
        <f>Model!AB265</f>
        <v>-421</v>
      </c>
      <c r="F28" s="400">
        <f>Model!AG265</f>
        <v>-268</v>
      </c>
      <c r="G28" s="400">
        <f>Model!AL265</f>
        <v>3231</v>
      </c>
      <c r="H28" s="400">
        <f>Model!AQ265</f>
        <v>0</v>
      </c>
      <c r="I28" s="400">
        <f>Model!AV265</f>
        <v>0</v>
      </c>
      <c r="J28" s="400">
        <f>Model!BA265</f>
        <v>0</v>
      </c>
      <c r="K28" s="400">
        <f>Model!BF265</f>
        <v>0</v>
      </c>
      <c r="L28" s="401">
        <f>Model!BK265</f>
        <v>0</v>
      </c>
      <c r="X28" s="370" t="n"/>
      <c r="Y28" s="370" t="n"/>
      <c r="Z28" s="370" t="n"/>
    </row>
    <row r="29" outlineLevel="1" ht="12.75" customHeight="1" s="255">
      <c r="C29" s="399" t="inlineStr">
        <is>
          <t>Inventories</t>
        </is>
      </c>
      <c r="D29" s="400">
        <f>Model!W266</f>
        <v>570</v>
      </c>
      <c r="E29" s="400">
        <f>Model!AB266</f>
        <v>-2978</v>
      </c>
      <c r="F29" s="400">
        <f>Model!AG266</f>
        <v>-162</v>
      </c>
      <c r="G29" s="400">
        <f>Model!AL266</f>
        <v>21141</v>
      </c>
      <c r="H29" s="400">
        <f>Model!AQ266</f>
        <v>0</v>
      </c>
      <c r="I29" s="400">
        <f>Model!AV266</f>
        <v>0</v>
      </c>
      <c r="J29" s="400">
        <f>Model!BA266</f>
        <v>0</v>
      </c>
      <c r="K29" s="400">
        <f>Model!BF266</f>
        <v>0</v>
      </c>
      <c r="L29" s="401">
        <f>Model!BK266</f>
        <v>0</v>
      </c>
      <c r="X29" s="370" t="n"/>
      <c r="Y29" s="370" t="n"/>
      <c r="Z29" s="370" t="n"/>
    </row>
    <row r="30" outlineLevel="1" ht="12.75" customHeight="1" s="255">
      <c r="C30" s="399" t="inlineStr">
        <is>
          <t>Deferred income taxes (assets)</t>
        </is>
      </c>
      <c r="D30" s="400">
        <f>Model!W267</f>
        <v>0</v>
      </c>
      <c r="E30" s="400">
        <f>Model!AB267</f>
        <v>0</v>
      </c>
      <c r="F30" s="400">
        <f>Model!AG267</f>
        <v>0</v>
      </c>
      <c r="G30" s="400">
        <f>Model!AL267</f>
        <v>0</v>
      </c>
      <c r="H30" s="400">
        <f>Model!AQ267</f>
        <v>0</v>
      </c>
      <c r="I30" s="400">
        <f>Model!AV267</f>
        <v>0</v>
      </c>
      <c r="J30" s="400">
        <f>Model!BA267</f>
        <v>0</v>
      </c>
      <c r="K30" s="400">
        <f>Model!BF267</f>
        <v>0</v>
      </c>
      <c r="L30" s="401">
        <f>Model!BK267</f>
        <v>0</v>
      </c>
      <c r="X30" s="370" t="n"/>
      <c r="Y30" s="370" t="n"/>
      <c r="Z30" s="370" t="n"/>
    </row>
    <row r="31" outlineLevel="1" ht="12.75" customHeight="1" s="255">
      <c r="C31" s="399" t="inlineStr">
        <is>
          <t>Prepaid expenses</t>
        </is>
      </c>
      <c r="D31" s="400">
        <f>Model!W268</f>
        <v>0</v>
      </c>
      <c r="E31" s="400">
        <f>Model!AB268</f>
        <v>0</v>
      </c>
      <c r="F31" s="400">
        <f>Model!AG268</f>
        <v>0</v>
      </c>
      <c r="G31" s="400">
        <f>Model!AL268</f>
        <v>0</v>
      </c>
      <c r="H31" s="400">
        <f>Model!AQ268</f>
        <v>0</v>
      </c>
      <c r="I31" s="400">
        <f>Model!AV268</f>
        <v>0</v>
      </c>
      <c r="J31" s="400">
        <f>Model!BA268</f>
        <v>0</v>
      </c>
      <c r="K31" s="400">
        <f>Model!BF268</f>
        <v>0</v>
      </c>
      <c r="L31" s="401">
        <f>Model!BK268</f>
        <v>0</v>
      </c>
      <c r="X31" s="370" t="n"/>
      <c r="Y31" s="370" t="n"/>
      <c r="Z31" s="370" t="n"/>
    </row>
    <row r="32" outlineLevel="1" ht="12.75" customHeight="1" s="255">
      <c r="C32" s="399" t="inlineStr">
        <is>
          <t>Other current assets</t>
        </is>
      </c>
      <c r="D32" s="400">
        <f>Model!W269</f>
        <v>-79</v>
      </c>
      <c r="E32" s="400">
        <f>Model!AB269</f>
        <v>-81</v>
      </c>
      <c r="F32" s="400">
        <f>Model!AG269</f>
        <v>-102</v>
      </c>
      <c r="G32" s="400">
        <f>Model!AL269</f>
        <v>-157</v>
      </c>
      <c r="H32" s="400">
        <f>Model!AQ269</f>
        <v>0</v>
      </c>
      <c r="I32" s="400">
        <f>Model!AV269</f>
        <v>0</v>
      </c>
      <c r="J32" s="400">
        <f>Model!BA269</f>
        <v>0</v>
      </c>
      <c r="K32" s="400">
        <f>Model!BF269</f>
        <v>0</v>
      </c>
      <c r="L32" s="401">
        <f>Model!BK269</f>
        <v>0</v>
      </c>
      <c r="X32" s="370" t="n"/>
      <c r="Y32" s="370" t="n"/>
      <c r="Z32" s="370" t="n"/>
    </row>
    <row r="33" outlineLevel="1" ht="12.75" customHeight="1" s="255">
      <c r="C33" s="399" t="inlineStr">
        <is>
          <t>Accounts payable</t>
        </is>
      </c>
      <c r="D33" s="400">
        <f>Model!W270</f>
        <v>2009</v>
      </c>
      <c r="E33" s="400">
        <f>Model!AB270</f>
        <v>1436</v>
      </c>
      <c r="F33" s="400">
        <f>Model!AG270</f>
        <v>1720</v>
      </c>
      <c r="G33" s="400">
        <f>Model!AL270</f>
        <v>-23513</v>
      </c>
      <c r="H33" s="400">
        <f>Model!AQ270</f>
        <v>0</v>
      </c>
      <c r="I33" s="400">
        <f>Model!AV270</f>
        <v>0</v>
      </c>
      <c r="J33" s="400">
        <f>Model!BA270</f>
        <v>0</v>
      </c>
      <c r="K33" s="400">
        <f>Model!BF270</f>
        <v>0</v>
      </c>
      <c r="L33" s="401">
        <f>Model!BK270</f>
        <v>0</v>
      </c>
      <c r="X33" s="370" t="n"/>
      <c r="Y33" s="370" t="n"/>
      <c r="Z33" s="370" t="n"/>
    </row>
    <row r="34" outlineLevel="1" ht="12.75" customHeight="1" s="255">
      <c r="C34" s="399" t="inlineStr">
        <is>
          <t>Accrued expenses</t>
        </is>
      </c>
      <c r="D34" s="400">
        <f>Model!W271</f>
        <v>405</v>
      </c>
      <c r="E34" s="400">
        <f>Model!AB271</f>
        <v>548</v>
      </c>
      <c r="F34" s="400">
        <f>Model!AG271</f>
        <v>655</v>
      </c>
      <c r="G34" s="400">
        <f>Model!AL271</f>
        <v>-7884</v>
      </c>
      <c r="H34" s="400" t="e">
        <f>Model!AQ271</f>
        <v>#DIV/0!</v>
      </c>
      <c r="I34" s="400" t="e">
        <f>Model!AV271</f>
        <v>#DIV/0!</v>
      </c>
      <c r="J34" s="400" t="e">
        <f>Model!BA271</f>
        <v>#DIV/0!</v>
      </c>
      <c r="K34" s="400" t="e">
        <f>Model!BF271</f>
        <v>#DIV/0!</v>
      </c>
      <c r="L34" s="401" t="e">
        <f>Model!BK271</f>
        <v>#DIV/0!</v>
      </c>
      <c r="X34" s="370" t="n"/>
      <c r="Y34" s="370" t="n"/>
      <c r="Z34" s="370" t="n"/>
    </row>
    <row r="35" outlineLevel="1" ht="12.75" customHeight="1" s="255">
      <c r="C35" s="399" t="inlineStr">
        <is>
          <t>Taxes payable</t>
        </is>
      </c>
      <c r="D35" s="400">
        <f>Model!W272</f>
        <v>0</v>
      </c>
      <c r="E35" s="400">
        <f>Model!AB272</f>
        <v>0</v>
      </c>
      <c r="F35" s="400">
        <f>Model!AG272</f>
        <v>0</v>
      </c>
      <c r="G35" s="400">
        <f>Model!AL272</f>
        <v>0</v>
      </c>
      <c r="H35" s="400" t="e">
        <f>Model!AQ272</f>
        <v>#DIV/0!</v>
      </c>
      <c r="I35" s="400" t="e">
        <f>Model!AV272</f>
        <v>#DIV/0!</v>
      </c>
      <c r="J35" s="400" t="e">
        <f>Model!BA272</f>
        <v>#DIV/0!</v>
      </c>
      <c r="K35" s="400" t="e">
        <f>Model!BF272</f>
        <v>#DIV/0!</v>
      </c>
      <c r="L35" s="401" t="e">
        <f>Model!BK272</f>
        <v>#DIV/0!</v>
      </c>
      <c r="X35" s="370" t="n"/>
      <c r="Y35" s="370" t="n"/>
      <c r="Z35" s="370" t="n"/>
    </row>
    <row r="36" outlineLevel="1" ht="12.75" customHeight="1" s="255">
      <c r="C36" s="399" t="inlineStr">
        <is>
          <t>Other current liabilities</t>
        </is>
      </c>
      <c r="D36" s="400">
        <f>Model!W273</f>
        <v>278</v>
      </c>
      <c r="E36" s="400">
        <f>Model!AB273</f>
        <v>617</v>
      </c>
      <c r="F36" s="400">
        <f>Model!AG273</f>
        <v>1141</v>
      </c>
      <c r="G36" s="400">
        <f>Model!AL273</f>
        <v>1188</v>
      </c>
      <c r="H36" s="400">
        <f>Model!AQ273</f>
        <v>0</v>
      </c>
      <c r="I36" s="400">
        <f>Model!AV273</f>
        <v>0</v>
      </c>
      <c r="J36" s="400">
        <f>Model!BA273</f>
        <v>0</v>
      </c>
      <c r="K36" s="400">
        <f>Model!BF273</f>
        <v>0</v>
      </c>
      <c r="L36" s="401">
        <f>Model!BK273</f>
        <v>0</v>
      </c>
      <c r="X36" s="370" t="n"/>
      <c r="Y36" s="370" t="n"/>
      <c r="Z36" s="370" t="n"/>
    </row>
    <row r="37" outlineLevel="1" ht="12.75" customHeight="1" s="255">
      <c r="C37" s="399" t="inlineStr">
        <is>
          <t>Deferred tax (liabilities)</t>
        </is>
      </c>
      <c r="D37" s="400">
        <f>Model!W274</f>
        <v>0</v>
      </c>
      <c r="E37" s="400">
        <f>Model!AB274</f>
        <v>0</v>
      </c>
      <c r="F37" s="400">
        <f>Model!AG274</f>
        <v>0</v>
      </c>
      <c r="G37" s="400">
        <f>Model!AL274</f>
        <v>0</v>
      </c>
      <c r="H37" s="400">
        <f>Model!AQ274</f>
        <v>0</v>
      </c>
      <c r="I37" s="400">
        <f>Model!AV274</f>
        <v>0</v>
      </c>
      <c r="J37" s="400">
        <f>Model!BA274</f>
        <v>0</v>
      </c>
      <c r="K37" s="400">
        <f>Model!BF274</f>
        <v>0</v>
      </c>
      <c r="L37" s="401">
        <f>Model!BK274</f>
        <v>0</v>
      </c>
      <c r="X37" s="370" t="n"/>
      <c r="Y37" s="370" t="n"/>
      <c r="Z37" s="370" t="n"/>
    </row>
    <row r="38" outlineLevel="1" ht="15" customHeight="1" s="255">
      <c r="C38" s="399" t="inlineStr">
        <is>
          <t>Other non-current assets</t>
        </is>
      </c>
      <c r="D38" s="400">
        <f>(Model!W174-Model!R174)*-1</f>
        <v>143</v>
      </c>
      <c r="E38" s="400">
        <f>(Model!AB174-Model!W174)*-1</f>
        <v>-185</v>
      </c>
      <c r="F38" s="400">
        <f>(Model!AG174-Model!AB174)*-1</f>
        <v>-45</v>
      </c>
      <c r="G38" s="400">
        <f>(Model!AL174-Model!AG174)*-1</f>
        <v>-180</v>
      </c>
      <c r="H38" s="400">
        <f>(Model!AQ174-Model!AL174)*-1</f>
        <v>0</v>
      </c>
      <c r="I38" s="400">
        <f>(Model!AV174-Model!AQ174)*-1</f>
        <v>0</v>
      </c>
      <c r="J38" s="400">
        <f>(Model!BA174-Model!AV174)*-1</f>
        <v>0</v>
      </c>
      <c r="K38" s="400">
        <f>(Model!BF174-Model!BA174)*-1</f>
        <v>0</v>
      </c>
      <c r="L38" s="401">
        <f>(Model!BK174-Model!BF174)*-1</f>
        <v>0</v>
      </c>
      <c r="M38" s="349">
        <f>(Model!BP174-Model!BK174)*-1</f>
        <v>0</v>
      </c>
      <c r="N38" s="349">
        <f>(Model!BU174-Model!BP174)*-1</f>
        <v>0</v>
      </c>
      <c r="O38" s="349">
        <f>(Model!BZ174-Model!BU174)*-1</f>
        <v>0</v>
      </c>
      <c r="P38" s="349">
        <f>(Model!CE174-Model!BZ174)*-1</f>
        <v>0</v>
      </c>
      <c r="Q38" s="349">
        <f>(Model!CJ174-Model!CE174)*-1</f>
        <v>0</v>
      </c>
      <c r="R38" s="349">
        <f>(Model!CO174-Model!CJ174)*-1</f>
        <v>0</v>
      </c>
      <c r="X38" s="370" t="n"/>
      <c r="Y38" s="370" t="n"/>
      <c r="Z38" s="370" t="n"/>
    </row>
    <row r="39" outlineLevel="1" ht="15" customHeight="1" s="255">
      <c r="C39" s="399" t="inlineStr">
        <is>
          <t>Other non-current liabilities</t>
        </is>
      </c>
      <c r="D39" s="400">
        <f>Model!W225-Model!R225</f>
        <v>32</v>
      </c>
      <c r="E39" s="400">
        <f>Model!AB225-Model!W225</f>
        <v>72</v>
      </c>
      <c r="F39" s="400">
        <f>Model!AG225-Model!AB225</f>
        <v>-33</v>
      </c>
      <c r="G39" s="400">
        <f>Model!AL225-Model!AG225</f>
        <v>80</v>
      </c>
      <c r="H39" s="400">
        <f>Model!AQ225-Model!AL225</f>
        <v>0</v>
      </c>
      <c r="I39" s="400">
        <f>Model!AV225-Model!AQ225</f>
        <v>0</v>
      </c>
      <c r="J39" s="400">
        <f>Model!BA225-Model!AV225</f>
        <v>0</v>
      </c>
      <c r="K39" s="400">
        <f>Model!BF225-Model!BA225</f>
        <v>0</v>
      </c>
      <c r="L39" s="401">
        <f>Model!BK225-Model!BF225</f>
        <v>0</v>
      </c>
      <c r="M39" s="349">
        <f>Model!BP225-Model!BK225</f>
        <v>0</v>
      </c>
      <c r="N39" s="349">
        <f>Model!BU225-Model!BP225</f>
        <v>0</v>
      </c>
      <c r="O39" s="349">
        <f>Model!BZ225-Model!BU225</f>
        <v>0</v>
      </c>
      <c r="P39" s="349">
        <f>Model!CE225-Model!BZ225</f>
        <v>0</v>
      </c>
      <c r="Q39" s="349">
        <f>Model!CJ225-Model!CE225</f>
        <v>0</v>
      </c>
      <c r="R39" s="349">
        <f>Model!CO225-Model!CJ225</f>
        <v>0</v>
      </c>
      <c r="X39" s="370" t="n"/>
      <c r="Y39" s="370" t="n"/>
      <c r="Z39" s="370" t="n"/>
    </row>
    <row r="40" ht="12.75" customHeight="1" s="255">
      <c r="C40" s="399" t="inlineStr">
        <is>
          <t>Capital expenditures</t>
        </is>
      </c>
      <c r="D40" s="400" t="n"/>
      <c r="E40" s="400" t="n"/>
      <c r="F40" s="400" t="n"/>
      <c r="G40" s="400" t="n"/>
      <c r="H40" s="400" t="n"/>
      <c r="I40" s="400" t="n"/>
      <c r="J40" s="400" t="n"/>
      <c r="K40" s="400" t="n"/>
      <c r="L40" s="401" t="n"/>
      <c r="X40" s="370" t="n"/>
      <c r="Y40" s="370" t="n"/>
      <c r="Z40" s="370" t="n"/>
    </row>
    <row r="41" ht="12.75" customHeight="1" s="255">
      <c r="C41" s="399" t="inlineStr">
        <is>
          <t>Capital expenditures [IFRS16 - implied lease payments]</t>
        </is>
      </c>
      <c r="F41" s="400" t="n"/>
      <c r="G41" s="400" t="n"/>
      <c r="H41" s="400" t="n"/>
      <c r="I41" s="400" t="n"/>
      <c r="J41" s="400" t="n"/>
      <c r="K41" s="400" t="n"/>
      <c r="L41" s="401" t="n"/>
      <c r="X41" s="370" t="n"/>
      <c r="Y41" s="370" t="n"/>
      <c r="Z41" s="370" t="n"/>
    </row>
    <row r="42" ht="12.75" customHeight="1" s="255">
      <c r="C42" s="402" t="inlineStr">
        <is>
          <t>Purchase of intangible assets</t>
        </is>
      </c>
      <c r="D42" s="403" t="n">
        <v>0</v>
      </c>
      <c r="E42" s="403" t="n">
        <v>0</v>
      </c>
      <c r="F42" s="403" t="n">
        <v>0</v>
      </c>
      <c r="G42" s="403" t="n">
        <v>0</v>
      </c>
      <c r="H42" s="403" t="n">
        <v>0</v>
      </c>
      <c r="I42" s="403" t="n">
        <v>0</v>
      </c>
      <c r="J42" s="403" t="n">
        <v>0</v>
      </c>
      <c r="K42" s="403" t="n">
        <v>0</v>
      </c>
      <c r="L42" s="404" t="n">
        <v>0</v>
      </c>
      <c r="M42" s="405" t="n"/>
      <c r="X42" s="370" t="n"/>
      <c r="Y42" s="370" t="n"/>
      <c r="Z42" s="370" t="n"/>
      <c r="AB42" s="360" t="n"/>
    </row>
    <row r="43" ht="12.75" customHeight="1" s="255">
      <c r="X43" s="370" t="n"/>
      <c r="Y43" s="370" t="n"/>
      <c r="Z43" s="370" t="n"/>
    </row>
    <row r="44" ht="12.75" customHeight="1" s="255">
      <c r="C44" s="376" t="inlineStr">
        <is>
          <t>Net Investments</t>
        </is>
      </c>
      <c r="D44" s="397">
        <f>SUM(D27+D40+D41+D42+D26)</f>
        <v>997</v>
      </c>
      <c r="E44" s="397">
        <f>SUM(E27+E40+E41+E42+E26)</f>
        <v>-3276</v>
      </c>
      <c r="F44" s="397">
        <f>SUM(F27+F40+F41+F42+F26)</f>
        <v>431</v>
      </c>
      <c r="G44" s="397">
        <f>SUM(G27+G40+G41+G42+G26)</f>
        <v>-7288</v>
      </c>
      <c r="H44" s="397" t="e">
        <f>SUM(H27+H40+H41+H42+H26)</f>
        <v>#DIV/0!</v>
      </c>
      <c r="I44" s="397" t="e">
        <f>SUM(I27+I40+I41+I42+I26)</f>
        <v>#DIV/0!</v>
      </c>
      <c r="J44" s="397" t="e">
        <f>SUM(J27+J40+J41+J42+J26)</f>
        <v>#DIV/0!</v>
      </c>
      <c r="K44" s="397" t="e">
        <f>SUM(K27+K40+K41+K42+K26)</f>
        <v>#DIV/0!</v>
      </c>
      <c r="L44" s="397" t="e">
        <f>SUM(L27+L40+L41+L42+L26)</f>
        <v>#DIV/0!</v>
      </c>
      <c r="M44" s="406" t="e">
        <f>+L46-M46</f>
        <v>#DIV/0!</v>
      </c>
      <c r="N44" s="397" t="e">
        <f>+M46-N46</f>
        <v>#DIV/0!</v>
      </c>
      <c r="O44" s="397" t="e">
        <f>+N46-O46</f>
        <v>#DIV/0!</v>
      </c>
      <c r="P44" s="397" t="e">
        <f>+O46-P46</f>
        <v>#DIV/0!</v>
      </c>
      <c r="Q44" s="397" t="e">
        <f>+P46-Q46</f>
        <v>#DIV/0!</v>
      </c>
      <c r="R44" s="397" t="e">
        <f>+Q46-R46</f>
        <v>#DIV/0!</v>
      </c>
      <c r="S44" s="397" t="n"/>
      <c r="T44" s="397" t="n"/>
      <c r="U44" s="397" t="n"/>
      <c r="V44" s="398" t="n"/>
      <c r="X44" s="370" t="n"/>
      <c r="Y44" s="405" t="n"/>
      <c r="Z44" s="370" t="n"/>
    </row>
    <row r="45" ht="12.75" customHeight="1" s="255">
      <c r="C45" s="407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V45" s="408" t="n"/>
      <c r="X45" s="370" t="n"/>
      <c r="Y45" s="370" t="n"/>
      <c r="Z45" s="370" t="n"/>
    </row>
    <row r="46" ht="12.75" customHeight="1" s="255">
      <c r="C46" s="407" t="inlineStr">
        <is>
          <t>Invested Capital</t>
        </is>
      </c>
      <c r="D46" s="400">
        <f>Model!W335</f>
        <v>17630</v>
      </c>
      <c r="E46" s="400">
        <f>Model!AB335</f>
        <v>20657</v>
      </c>
      <c r="F46" s="400">
        <f>Model!AG335</f>
        <v>21222</v>
      </c>
      <c r="G46" s="400">
        <f>Model!AL335</f>
        <v>29010</v>
      </c>
      <c r="H46" s="400" t="e">
        <f>Model!AQ335</f>
        <v>#DIV/0!</v>
      </c>
      <c r="I46" s="400" t="e">
        <f>Model!AV335</f>
        <v>#DIV/0!</v>
      </c>
      <c r="J46" s="400" t="e">
        <f>Model!BA335</f>
        <v>#DIV/0!</v>
      </c>
      <c r="K46" s="400" t="e">
        <f>Model!BF335</f>
        <v>#DIV/0!</v>
      </c>
      <c r="L46" s="400" t="e">
        <f>Model!BK335</f>
        <v>#DIV/0!</v>
      </c>
      <c r="M46" s="409" t="e">
        <f>Model!BP335</f>
        <v>#DIV/0!</v>
      </c>
      <c r="N46" s="409" t="e">
        <f>Model!BU335</f>
        <v>#DIV/0!</v>
      </c>
      <c r="O46" s="409" t="e">
        <f>Model!BZ335</f>
        <v>#DIV/0!</v>
      </c>
      <c r="P46" s="409" t="e">
        <f>Model!CE335</f>
        <v>#DIV/0!</v>
      </c>
      <c r="Q46" s="409" t="e">
        <f>Model!CJ335</f>
        <v>#DIV/0!</v>
      </c>
      <c r="R46" s="409" t="e">
        <f>Model!CO335</f>
        <v>#DIV/0!</v>
      </c>
      <c r="S46" s="409" t="n"/>
      <c r="T46" s="409" t="n"/>
      <c r="U46" s="409" t="n"/>
      <c r="V46" s="410" t="n"/>
      <c r="X46" s="405" t="n"/>
      <c r="Y46" s="405" t="n"/>
      <c r="Z46" s="370" t="n"/>
    </row>
    <row r="47" ht="15" customHeight="1" s="255">
      <c r="C47" s="407" t="inlineStr">
        <is>
          <t>Invested Capital (ex Goodwill)</t>
        </is>
      </c>
      <c r="D47" s="400">
        <f>Model!W336</f>
        <v>17630</v>
      </c>
      <c r="E47" s="400">
        <f>Model!AB336</f>
        <v>20657</v>
      </c>
      <c r="F47" s="400">
        <f>Model!AG336</f>
        <v>21222</v>
      </c>
      <c r="G47" s="400">
        <f>Model!AL336</f>
        <v>29010</v>
      </c>
      <c r="H47" s="400" t="e">
        <f>Model!AQ336</f>
        <v>#DIV/0!</v>
      </c>
      <c r="I47" s="400" t="e">
        <f>Model!AV336</f>
        <v>#DIV/0!</v>
      </c>
      <c r="J47" s="400" t="e">
        <f>Model!BA336</f>
        <v>#DIV/0!</v>
      </c>
      <c r="K47" s="400" t="e">
        <f>Model!BF336</f>
        <v>#DIV/0!</v>
      </c>
      <c r="L47" s="400" t="e">
        <f>Model!BK336</f>
        <v>#DIV/0!</v>
      </c>
      <c r="M47" s="349" t="e">
        <f>Model!BP336</f>
        <v>#DIV/0!</v>
      </c>
      <c r="N47" s="349" t="e">
        <f>Model!BU336</f>
        <v>#DIV/0!</v>
      </c>
      <c r="O47" s="349" t="e">
        <f>Model!BZ336</f>
        <v>#DIV/0!</v>
      </c>
      <c r="P47" s="349" t="e">
        <f>Model!CE336</f>
        <v>#DIV/0!</v>
      </c>
      <c r="Q47" s="349" t="e">
        <f>Model!CJ336</f>
        <v>#DIV/0!</v>
      </c>
      <c r="R47" s="349" t="e">
        <f>Model!CO336</f>
        <v>#DIV/0!</v>
      </c>
      <c r="V47" s="408" t="n"/>
      <c r="X47" s="370" t="n"/>
      <c r="Y47" s="370" t="n"/>
      <c r="Z47" s="370" t="n"/>
    </row>
    <row r="48" ht="12.75" customHeight="1" s="255">
      <c r="C48" s="380" t="inlineStr">
        <is>
          <t>Invested Capital / Net Revenues</t>
        </is>
      </c>
      <c r="D48" s="386">
        <f>D46/D18</f>
        <v>0.0717681924022601</v>
      </c>
      <c r="E48" s="386">
        <f>E46/E18</f>
        <v>0.0798168505245262</v>
      </c>
      <c r="F48" s="386">
        <f>F46/F18</f>
        <v>0.0756871654225706</v>
      </c>
      <c r="G48" s="386">
        <f>G46/G18</f>
        <v>0.0988122771103625</v>
      </c>
      <c r="H48" s="386" t="e">
        <f>H46/H18</f>
        <v>#DIV/0!</v>
      </c>
      <c r="I48" s="386" t="e">
        <f>I46/I18</f>
        <v>#DIV/0!</v>
      </c>
      <c r="J48" s="386" t="e">
        <f>J46/J18</f>
        <v>#DIV/0!</v>
      </c>
      <c r="K48" s="386" t="e">
        <f>K46/K18</f>
        <v>#DIV/0!</v>
      </c>
      <c r="L48" s="386" t="e">
        <f>L46/L18</f>
        <v>#DIV/0!</v>
      </c>
      <c r="M48" s="411" t="n"/>
      <c r="N48" s="411" t="n"/>
      <c r="O48" s="411" t="n"/>
      <c r="P48" s="411" t="n"/>
      <c r="Q48" s="411" t="n"/>
      <c r="R48" s="411" t="n"/>
      <c r="S48" s="411" t="n"/>
      <c r="T48" s="411" t="n"/>
      <c r="U48" s="411" t="n"/>
      <c r="V48" s="412" t="n"/>
      <c r="X48" s="369" t="inlineStr">
        <is>
          <t>ROIC</t>
        </is>
      </c>
      <c r="Y48" s="370" t="n"/>
      <c r="Z48" s="370" t="n"/>
    </row>
    <row r="49" ht="12.75" customHeight="1" s="255">
      <c r="X49" s="413">
        <f>F16</f>
        <v>2025</v>
      </c>
      <c r="Y49" s="413">
        <f>L16</f>
        <v>2031</v>
      </c>
      <c r="Z49" s="413">
        <f>R16</f>
        <v>2037</v>
      </c>
    </row>
    <row r="50" ht="12.75" customHeight="1" s="255">
      <c r="C50" s="414" t="inlineStr">
        <is>
          <t>ROIC</t>
        </is>
      </c>
      <c r="D50" s="415" t="n"/>
      <c r="E50" s="415" t="n"/>
      <c r="F50" s="415" t="n"/>
      <c r="G50" s="415">
        <f>G25/AVERAGE(F46,G46)</f>
        <v>0.16399672043022</v>
      </c>
      <c r="H50" s="415" t="e">
        <f>H25/AVERAGE(G46,H46)</f>
        <v>#DIV/0!</v>
      </c>
      <c r="I50" s="415" t="e">
        <f>I25/AVERAGE(H46,I46)</f>
        <v>#DIV/0!</v>
      </c>
      <c r="J50" s="415" t="e">
        <f>J25/AVERAGE(I46,J46)</f>
        <v>#DIV/0!</v>
      </c>
      <c r="K50" s="415" t="e">
        <f>K25/AVERAGE(J46,K46)</f>
        <v>#DIV/0!</v>
      </c>
      <c r="L50" s="415" t="e">
        <f>L25/AVERAGE(K46,L46)</f>
        <v>#DIV/0!</v>
      </c>
      <c r="M50" s="416" t="e">
        <f>M25/AVERAGE(L46,M46)</f>
        <v>#DIV/0!</v>
      </c>
      <c r="N50" s="416" t="e">
        <f>N25/AVERAGE(M46,N46)</f>
        <v>#DIV/0!</v>
      </c>
      <c r="O50" s="416" t="e">
        <f>O25/AVERAGE(N46,O46)</f>
        <v>#DIV/0!</v>
      </c>
      <c r="P50" s="416" t="e">
        <f>P25/AVERAGE(O46,P46)</f>
        <v>#DIV/0!</v>
      </c>
      <c r="Q50" s="416" t="e">
        <f>Q25/AVERAGE(P46,Q46)</f>
        <v>#DIV/0!</v>
      </c>
      <c r="R50" s="416" t="e">
        <f>R25/AVERAGE(Q46,R46)</f>
        <v>#DIV/0!</v>
      </c>
      <c r="S50" s="416" t="n"/>
      <c r="T50" s="416" t="n"/>
      <c r="U50" s="416" t="n"/>
      <c r="V50" s="417" t="n"/>
      <c r="X50" s="379">
        <f>F50</f>
        <v>0</v>
      </c>
      <c r="Y50" s="379" t="e">
        <f>L50</f>
        <v>#DIV/0!</v>
      </c>
      <c r="Z50" s="418" t="e">
        <f>R50</f>
        <v>#DIV/0!</v>
      </c>
    </row>
    <row r="51" ht="12.75" customHeight="1" s="255">
      <c r="C51" s="360" t="inlineStr">
        <is>
          <t>Capital Turnover</t>
        </is>
      </c>
      <c r="D51" s="419">
        <f>D18/D46</f>
        <v>13.9337492909813</v>
      </c>
      <c r="E51" s="419">
        <f>E18/E46</f>
        <v>12.5286827709735</v>
      </c>
      <c r="F51" s="419">
        <f>F18/F46</f>
        <v>13.2122797097352</v>
      </c>
      <c r="G51" s="419">
        <f>G18/G46</f>
        <v>10.1201999310583</v>
      </c>
      <c r="H51" s="419" t="e">
        <f>H18/H46</f>
        <v>#DIV/0!</v>
      </c>
      <c r="I51" s="419" t="e">
        <f>I18/I46</f>
        <v>#DIV/0!</v>
      </c>
      <c r="J51" s="419" t="e">
        <f>J18/J46</f>
        <v>#DIV/0!</v>
      </c>
      <c r="K51" s="419" t="e">
        <f>K18/K46</f>
        <v>#DIV/0!</v>
      </c>
      <c r="L51" s="419" t="e">
        <f>L18/L46</f>
        <v>#DIV/0!</v>
      </c>
      <c r="M51" s="419" t="e">
        <f>M18/M46</f>
        <v>#DIV/0!</v>
      </c>
      <c r="N51" s="419" t="e">
        <f>N18/N46</f>
        <v>#DIV/0!</v>
      </c>
      <c r="O51" s="419" t="e">
        <f>O18/O46</f>
        <v>#DIV/0!</v>
      </c>
      <c r="P51" s="419" t="e">
        <f>P18/P46</f>
        <v>#DIV/0!</v>
      </c>
      <c r="Q51" s="419" t="e">
        <f>Q18/Q46</f>
        <v>#DIV/0!</v>
      </c>
      <c r="R51" s="419" t="e">
        <f>R18/R46</f>
        <v>#DIV/0!</v>
      </c>
      <c r="S51" s="419" t="n"/>
      <c r="T51" s="419" t="n"/>
      <c r="U51" s="419" t="n"/>
      <c r="V51" s="419" t="n"/>
    </row>
    <row r="53" ht="12.75" customFormat="1" customHeight="1" s="360">
      <c r="A53" s="349" t="n"/>
      <c r="B53" s="349" t="n"/>
      <c r="C53" s="360" t="inlineStr">
        <is>
          <t>Unlevered free cash flows = FCFF</t>
        </is>
      </c>
      <c r="D53" s="420">
        <f>D25+D44</f>
        <v>7162.408477842</v>
      </c>
      <c r="E53" s="420">
        <f>E25+E44</f>
        <v>3962.35734406439</v>
      </c>
      <c r="F53" s="420">
        <f>F25+F44</f>
        <v>8400.02208201893</v>
      </c>
      <c r="G53" s="421">
        <f>(G25+G44)*stub_year_fraction</f>
        <v>-824.823411285171</v>
      </c>
      <c r="H53" s="420" t="e">
        <f>H25+H44</f>
        <v>#DIV/0!</v>
      </c>
      <c r="I53" s="420" t="e">
        <f>I25+I44</f>
        <v>#DIV/0!</v>
      </c>
      <c r="J53" s="420" t="e">
        <f>J25+J44</f>
        <v>#DIV/0!</v>
      </c>
      <c r="K53" s="420" t="e">
        <f>K25+K44</f>
        <v>#DIV/0!</v>
      </c>
      <c r="L53" s="420" t="e">
        <f>L25+L44</f>
        <v>#DIV/0!</v>
      </c>
      <c r="M53" s="420" t="e">
        <f>M25+M44</f>
        <v>#DIV/0!</v>
      </c>
      <c r="N53" s="420" t="e">
        <f>N25+N44</f>
        <v>#DIV/0!</v>
      </c>
      <c r="O53" s="420" t="e">
        <f>O25+O44</f>
        <v>#DIV/0!</v>
      </c>
      <c r="P53" s="420" t="e">
        <f>P25+P44</f>
        <v>#DIV/0!</v>
      </c>
      <c r="Q53" s="420" t="e">
        <f>Q25+Q44</f>
        <v>#DIV/0!</v>
      </c>
      <c r="R53" s="420" t="e">
        <f>R25+R44</f>
        <v>#DIV/0!</v>
      </c>
      <c r="S53" s="420" t="n"/>
      <c r="T53" s="420" t="n"/>
      <c r="U53" s="420" t="n"/>
      <c r="V53" s="420" t="n"/>
    </row>
    <row r="54" ht="12.75" customHeight="1" s="255">
      <c r="C54" s="422" t="inlineStr">
        <is>
          <t>Discount factor</t>
        </is>
      </c>
      <c r="G54" s="423" t="e">
        <f>1/(1+wacc)^stub_year_fraction</f>
        <v>#DIV/0!</v>
      </c>
      <c r="H54" s="423" t="e">
        <f>1/(1+wacc)^(1+stub_year_fraction)</f>
        <v>#DIV/0!</v>
      </c>
      <c r="I54" s="423" t="e">
        <f>1/(1+wacc)^(2+stub_year_fraction)</f>
        <v>#DIV/0!</v>
      </c>
      <c r="J54" s="423" t="e">
        <f>1/(1+wacc)^(3+stub_year_fraction)</f>
        <v>#DIV/0!</v>
      </c>
      <c r="K54" s="423" t="e">
        <f>1/(1+wacc)^(4+stub_year_fraction)</f>
        <v>#DIV/0!</v>
      </c>
      <c r="L54" s="423" t="e">
        <f>1/(1+wacc)^(5+stub_year_fraction)</f>
        <v>#DIV/0!</v>
      </c>
      <c r="M54" s="423" t="e">
        <f>1/(1+wacc)^(6+stub_year_fraction)</f>
        <v>#DIV/0!</v>
      </c>
      <c r="N54" s="423" t="e">
        <f>1/(1+wacc)^(7+stub_year_fraction)</f>
        <v>#DIV/0!</v>
      </c>
      <c r="O54" s="423" t="e">
        <f>1/(1+wacc)^(8+stub_year_fraction)</f>
        <v>#DIV/0!</v>
      </c>
      <c r="P54" s="423" t="e">
        <f>1/(1+wacc)^(9+stub_year_fraction)</f>
        <v>#DIV/0!</v>
      </c>
      <c r="Q54" s="423" t="e">
        <f>1/(1+wacc)^(10+stub_year_fraction)</f>
        <v>#DIV/0!</v>
      </c>
      <c r="R54" s="423" t="e">
        <f>1/(1+wacc)^(11+stub_year_fraction)</f>
        <v>#DIV/0!</v>
      </c>
      <c r="S54" s="423" t="n"/>
      <c r="T54" s="423" t="n"/>
      <c r="U54" s="423" t="n"/>
      <c r="V54" s="423" t="n"/>
    </row>
    <row r="55" ht="12.75" customHeight="1" s="255">
      <c r="C55" s="422" t="inlineStr">
        <is>
          <t>Midyear adjustment factor</t>
        </is>
      </c>
      <c r="G55" s="424" t="e">
        <f>(1+wacc)^(stub_year_fraction/2)</f>
        <v>#DIV/0!</v>
      </c>
      <c r="H55" s="423" t="e">
        <f>(1+wacc)^0.5</f>
        <v>#DIV/0!</v>
      </c>
      <c r="I55" s="423" t="e">
        <f>(1+wacc)^0.5</f>
        <v>#DIV/0!</v>
      </c>
      <c r="J55" s="423" t="e">
        <f>(1+wacc)^0.5</f>
        <v>#DIV/0!</v>
      </c>
      <c r="K55" s="423" t="e">
        <f>(1+wacc)^0.5</f>
        <v>#DIV/0!</v>
      </c>
      <c r="L55" s="423" t="e">
        <f>(1+wacc)^0.5</f>
        <v>#DIV/0!</v>
      </c>
      <c r="M55" s="423" t="e">
        <f>(1+wacc)^0.5</f>
        <v>#DIV/0!</v>
      </c>
      <c r="N55" s="423" t="e">
        <f>(1+wacc)^0.5</f>
        <v>#DIV/0!</v>
      </c>
      <c r="O55" s="423" t="e">
        <f>(1+wacc)^0.5</f>
        <v>#DIV/0!</v>
      </c>
      <c r="P55" s="423" t="e">
        <f>(1+wacc)^0.5</f>
        <v>#DIV/0!</v>
      </c>
      <c r="Q55" s="423" t="e">
        <f>(1+wacc)^0.5</f>
        <v>#DIV/0!</v>
      </c>
      <c r="R55" s="423" t="e">
        <f>(1+wacc)^0.5</f>
        <v>#DIV/0!</v>
      </c>
      <c r="S55" s="423" t="n"/>
      <c r="T55" s="423" t="n"/>
      <c r="U55" s="423" t="n"/>
      <c r="V55" s="423" t="n"/>
    </row>
    <row r="56" ht="12.75" customHeight="1" s="255">
      <c r="C56" s="422" t="inlineStr">
        <is>
          <t>Present value of free cash flows</t>
        </is>
      </c>
      <c r="G56" s="405" t="e">
        <f>G54*G53*G55</f>
        <v>#DIV/0!</v>
      </c>
      <c r="H56" s="405" t="e">
        <f>H54*H53*H55</f>
        <v>#DIV/0!</v>
      </c>
      <c r="I56" s="405" t="e">
        <f>I54*I53*I55</f>
        <v>#DIV/0!</v>
      </c>
      <c r="J56" s="405" t="e">
        <f>J54*J53*J55</f>
        <v>#DIV/0!</v>
      </c>
      <c r="K56" s="405" t="e">
        <f>K54*K53*K55</f>
        <v>#DIV/0!</v>
      </c>
      <c r="L56" s="405" t="e">
        <f>L54*L53*L55</f>
        <v>#DIV/0!</v>
      </c>
      <c r="M56" s="405" t="e">
        <f>M54*M53*M55</f>
        <v>#DIV/0!</v>
      </c>
      <c r="N56" s="405" t="e">
        <f>N54*N53*N55</f>
        <v>#DIV/0!</v>
      </c>
      <c r="O56" s="405" t="e">
        <f>O54*O53*O55</f>
        <v>#DIV/0!</v>
      </c>
      <c r="P56" s="405" t="e">
        <f>P54*P53*P55</f>
        <v>#DIV/0!</v>
      </c>
      <c r="Q56" s="405" t="e">
        <f>Q54*Q53*Q55</f>
        <v>#DIV/0!</v>
      </c>
      <c r="R56" s="405" t="e">
        <f>R54*R53*R55</f>
        <v>#DIV/0!</v>
      </c>
      <c r="S56" s="405" t="n"/>
      <c r="T56" s="405" t="n"/>
      <c r="U56" s="405" t="n"/>
      <c r="V56" s="405" t="n"/>
    </row>
    <row r="57" ht="12.75" customHeight="1" s="255">
      <c r="C57" s="360" t="inlineStr">
        <is>
          <t>Sum of present values of FCFs</t>
        </is>
      </c>
      <c r="G57" s="420" t="e">
        <f>SUM(G56:R56)</f>
        <v>#DIV/0!</v>
      </c>
      <c r="H57" s="405" t="n"/>
      <c r="N57" s="425" t="n"/>
    </row>
    <row r="59" ht="12.75" customHeight="1" s="255">
      <c r="C59" s="360" t="n"/>
      <c r="D59" s="352" t="n">
        <v>50405</v>
      </c>
      <c r="E59" s="426" t="n"/>
      <c r="F59" s="427" t="n"/>
      <c r="G59" s="427" t="n"/>
      <c r="H59" s="352" t="n">
        <v>46022</v>
      </c>
      <c r="I59" s="427" t="n"/>
      <c r="J59" s="427" t="n"/>
      <c r="K59" s="427" t="n"/>
      <c r="L59" s="427" t="n"/>
    </row>
    <row r="60" ht="13.5" customHeight="1" s="255">
      <c r="C60" s="428" t="inlineStr">
        <is>
          <t>Terminal value</t>
        </is>
      </c>
      <c r="D60" s="429" t="n"/>
      <c r="E60" s="430" t="inlineStr">
        <is>
          <t>Equity value calculations</t>
        </is>
      </c>
      <c r="F60" s="431" t="n"/>
      <c r="G60" s="431" t="n"/>
      <c r="H60" s="431" t="n"/>
      <c r="I60" s="432" t="inlineStr">
        <is>
          <t xml:space="preserve"> Shares Outstanding Worksheet</t>
        </is>
      </c>
      <c r="J60" s="433" t="n"/>
      <c r="K60" s="434" t="n"/>
      <c r="L60" s="435" t="n"/>
    </row>
    <row r="61" ht="12.75" customHeight="1" s="255">
      <c r="C61" s="407" t="n"/>
      <c r="D61" s="408" t="n"/>
      <c r="I61" s="407" t="n"/>
      <c r="L61" s="408" t="n"/>
    </row>
    <row r="62" ht="12.75" customHeight="1" s="255">
      <c r="C62" s="436" t="inlineStr">
        <is>
          <t>Key value driver method</t>
        </is>
      </c>
      <c r="D62" s="437" t="n"/>
      <c r="E62" s="438" t="inlineStr">
        <is>
          <t>Enterprise value</t>
        </is>
      </c>
      <c r="H62" s="420" t="e">
        <f>D80</f>
        <v>#DIV/0!</v>
      </c>
      <c r="I62" s="439" t="inlineStr">
        <is>
          <t>Basic Shares Outanding :</t>
        </is>
      </c>
      <c r="J62" s="354" t="n"/>
      <c r="L62" s="440" t="n"/>
    </row>
    <row r="63" ht="13.5" customHeight="1" s="255">
      <c r="C63" s="436" t="inlineStr">
        <is>
          <t>g</t>
        </is>
      </c>
      <c r="D63" s="441" t="n"/>
      <c r="E63" s="442" t="inlineStr">
        <is>
          <t>Calculation of net debt:</t>
        </is>
      </c>
      <c r="H63" s="405" t="n"/>
      <c r="I63" s="439" t="inlineStr">
        <is>
          <t>Current Share Price:</t>
        </is>
      </c>
      <c r="L63" s="443" t="n"/>
    </row>
    <row r="64" ht="13.5" customHeight="1" s="255">
      <c r="C64" s="436" t="inlineStr">
        <is>
          <t>RONIC</t>
        </is>
      </c>
      <c r="D64" s="444" t="e">
        <f>R50</f>
        <v>#DIV/0!</v>
      </c>
      <c r="E64" s="422" t="inlineStr">
        <is>
          <t>Current portion of long-term debt</t>
        </is>
      </c>
      <c r="H64" s="401" t="n"/>
      <c r="I64" s="445" t="inlineStr">
        <is>
          <t>Options / Warrants Data</t>
        </is>
      </c>
      <c r="J64" s="373" t="n"/>
      <c r="K64" s="373" t="n"/>
      <c r="L64" s="446" t="n"/>
    </row>
    <row r="65" ht="12.75" customHeight="1" s="255">
      <c r="C65" s="436" t="inlineStr">
        <is>
          <t>NOPLAT (t+1)</t>
        </is>
      </c>
      <c r="D65" s="447">
        <f>SUMIFS(INDEX($C$17:$AQ$42,,MATCH(D$59,$C$17:$AQ$17,0)),$C$17:$C$42,"NOPLAT")*(1+D63)</f>
        <v>0</v>
      </c>
      <c r="E65" s="422" t="inlineStr">
        <is>
          <t>Short term debt</t>
        </is>
      </c>
      <c r="H65" s="401" t="n"/>
      <c r="I65" s="445" t="n"/>
      <c r="J65" s="448" t="inlineStr">
        <is>
          <t># of options</t>
        </is>
      </c>
      <c r="K65" s="448" t="inlineStr">
        <is>
          <t xml:space="preserve">$ strike </t>
        </is>
      </c>
      <c r="L65" s="446" t="inlineStr">
        <is>
          <t># In-the-$</t>
        </is>
      </c>
    </row>
    <row r="66" ht="12.75" customHeight="1" s="255">
      <c r="C66" s="436" t="inlineStr">
        <is>
          <t>Terminal value</t>
        </is>
      </c>
      <c r="D66" s="447" t="e">
        <f>(noplat_t1*(1-(g/ronic)))/(wacc-g)</f>
        <v>#DIV/0!</v>
      </c>
      <c r="E66" s="422" t="inlineStr">
        <is>
          <t>Long term debt</t>
        </is>
      </c>
      <c r="H66" s="401" t="n"/>
      <c r="I66" s="422" t="inlineStr">
        <is>
          <t>Batch 1</t>
        </is>
      </c>
      <c r="J66" s="449" t="n"/>
      <c r="K66" s="450" t="n"/>
      <c r="L66" s="451">
        <f>IF($K66&lt;$L$62,J66,0)</f>
        <v>0</v>
      </c>
    </row>
    <row r="67" ht="12.75" customHeight="1" s="255">
      <c r="C67" s="436" t="inlineStr">
        <is>
          <t>Midyear adjusted terminal value</t>
        </is>
      </c>
      <c r="D67" s="447" t="e">
        <f>D66*R55</f>
        <v>#DIV/0!</v>
      </c>
      <c r="E67" s="422" t="inlineStr">
        <is>
          <t>Convertible debt</t>
        </is>
      </c>
      <c r="H67" s="401" t="n"/>
      <c r="I67" s="422" t="inlineStr">
        <is>
          <t>Batch 2</t>
        </is>
      </c>
      <c r="J67" s="452" t="n"/>
      <c r="K67" s="453" t="n"/>
      <c r="L67" s="451">
        <f>IF($K67&lt;$L$61,J67,0)</f>
        <v>0</v>
      </c>
    </row>
    <row r="68" ht="12.75" customHeight="1" s="255">
      <c r="C68" s="436" t="inlineStr">
        <is>
          <t>Present value of terminal value</t>
        </is>
      </c>
      <c r="D68" s="447" t="e">
        <f>D67*R54</f>
        <v>#DIV/0!</v>
      </c>
      <c r="E68" s="422" t="inlineStr">
        <is>
          <t>Minority interest</t>
        </is>
      </c>
      <c r="H68" s="401" t="n"/>
      <c r="I68" s="422" t="inlineStr">
        <is>
          <t>Batch 3</t>
        </is>
      </c>
      <c r="J68" s="452" t="n"/>
      <c r="K68" s="453" t="n"/>
      <c r="L68" s="451">
        <f>IF($K68&lt;$L$61,J68,0)</f>
        <v>0</v>
      </c>
    </row>
    <row r="69" ht="12.75" customHeight="1" s="255">
      <c r="C69" s="439" t="inlineStr">
        <is>
          <t>Enterprise value</t>
        </is>
      </c>
      <c r="D69" s="454" t="e">
        <f>D68+G57</f>
        <v>#DIV/0!</v>
      </c>
      <c r="E69" s="422" t="inlineStr">
        <is>
          <t>Convertible preferred stock</t>
        </is>
      </c>
      <c r="H69" s="401" t="n"/>
      <c r="I69" s="422" t="inlineStr">
        <is>
          <t>Batch 4</t>
        </is>
      </c>
      <c r="J69" s="452" t="n"/>
      <c r="K69" s="453" t="n"/>
      <c r="L69" s="451">
        <f>IF($K69&lt;$L$61,J69,0)</f>
        <v>0</v>
      </c>
    </row>
    <row r="70" ht="12.75" customHeight="1" s="255">
      <c r="C70" s="407" t="n"/>
      <c r="D70" s="408" t="n"/>
      <c r="E70" s="422" t="inlineStr">
        <is>
          <t>Short term operating leases</t>
        </is>
      </c>
      <c r="H70" s="401" t="n"/>
      <c r="I70" s="422" t="inlineStr">
        <is>
          <t>Batch 5</t>
        </is>
      </c>
      <c r="J70" s="452" t="n"/>
      <c r="K70" s="453" t="n"/>
      <c r="L70" s="451">
        <f>IF($K70&lt;$L$61,J70,0)</f>
        <v>0</v>
      </c>
    </row>
    <row r="71" ht="12.75" customHeight="1" s="255">
      <c r="C71" s="436" t="inlineStr">
        <is>
          <t>Exit multiple method</t>
        </is>
      </c>
      <c r="D71" s="437" t="n"/>
      <c r="E71" s="422" t="inlineStr">
        <is>
          <t>Long term operating leases</t>
        </is>
      </c>
      <c r="H71" s="401" t="n"/>
      <c r="I71" s="445" t="inlineStr">
        <is>
          <t>Batch 6</t>
        </is>
      </c>
      <c r="J71" s="455" t="n"/>
      <c r="K71" s="456" t="n"/>
      <c r="L71" s="457">
        <f>IF($K71&lt;$L$61,J71,0)</f>
        <v>0</v>
      </c>
    </row>
    <row r="72" ht="12.75" customHeight="1" s="255">
      <c r="C72" s="439" t="inlineStr">
        <is>
          <t>Exit EV / EBITDA multiple</t>
        </is>
      </c>
      <c r="D72" s="458" t="n"/>
      <c r="E72" s="442" t="inlineStr">
        <is>
          <t>Less: Excess cash</t>
        </is>
      </c>
      <c r="H72" s="401" t="n"/>
      <c r="J72" s="427" t="n"/>
      <c r="K72" s="459" t="inlineStr">
        <is>
          <t>Total in-the-$ options:</t>
        </is>
      </c>
      <c r="L72" s="451">
        <f>SUM(L66:L71)</f>
        <v>0</v>
      </c>
    </row>
    <row r="73" ht="12.75" customHeight="1" s="255">
      <c r="C73" s="439" t="inlineStr">
        <is>
          <t>LTM EBITDA at end of projection</t>
        </is>
      </c>
      <c r="D73" s="454">
        <f>L20</f>
        <v>0</v>
      </c>
      <c r="E73" s="442" t="inlineStr">
        <is>
          <t>Less: Equity investments</t>
        </is>
      </c>
      <c r="H73" s="401" t="n"/>
      <c r="J73" s="427" t="n"/>
      <c r="K73" s="459" t="inlineStr">
        <is>
          <t>Total $ proceeds:</t>
        </is>
      </c>
      <c r="L73" s="460">
        <f>SUMPRODUCT(K66:K71,L66:L71)</f>
        <v>0</v>
      </c>
    </row>
    <row r="74" ht="12.75" customHeight="1" s="255">
      <c r="C74" s="439" t="inlineStr">
        <is>
          <t>Terminal value</t>
        </is>
      </c>
      <c r="D74" s="454">
        <f>D73*D72</f>
        <v>0</v>
      </c>
      <c r="E74" s="422" t="inlineStr">
        <is>
          <t>Net debt</t>
        </is>
      </c>
      <c r="H74" s="454">
        <f>SUM(H64:H73)</f>
        <v>0</v>
      </c>
      <c r="J74" s="427" t="n"/>
      <c r="K74" s="459" t="inlineStr">
        <is>
          <t>Total shares repurchased:</t>
        </is>
      </c>
      <c r="L74" s="451" t="e">
        <f>L73/L63</f>
        <v>#DIV/0!</v>
      </c>
    </row>
    <row r="75" ht="12.75" customHeight="1" s="255">
      <c r="C75" s="439" t="inlineStr">
        <is>
          <t>Present value of terminal value</t>
        </is>
      </c>
      <c r="D75" s="454" t="e">
        <f>D74*L54</f>
        <v>#DIV/0!</v>
      </c>
      <c r="E75" s="438" t="inlineStr">
        <is>
          <t>Equity value</t>
        </is>
      </c>
      <c r="H75" s="447" t="e">
        <f>D80-H74</f>
        <v>#DIV/0!</v>
      </c>
      <c r="J75" s="427" t="n"/>
      <c r="K75" s="461" t="inlineStr">
        <is>
          <t>Basic shares outstanding</t>
        </is>
      </c>
      <c r="L75" s="437">
        <f>L62</f>
        <v>0</v>
      </c>
    </row>
    <row r="76" ht="13.5" customHeight="1" s="255">
      <c r="C76" s="439" t="inlineStr">
        <is>
          <t>Enterprise value</t>
        </is>
      </c>
      <c r="D76" s="454" t="e">
        <f>G57+D75</f>
        <v>#DIV/0!</v>
      </c>
      <c r="E76" s="422" t="inlineStr">
        <is>
          <t>Shares outstanding</t>
        </is>
      </c>
      <c r="H76" s="454" t="e">
        <f>L79</f>
        <v>#DIV/0!</v>
      </c>
      <c r="J76" s="462" t="n"/>
      <c r="K76" s="461" t="inlineStr">
        <is>
          <t>New shares from options:</t>
        </is>
      </c>
      <c r="L76" s="437" t="e">
        <f>L72-L74</f>
        <v>#DIV/0!</v>
      </c>
    </row>
    <row r="77" ht="13.5" customHeight="1" s="255">
      <c r="C77" s="407" t="n"/>
      <c r="D77" s="463" t="n"/>
      <c r="E77" s="438" t="inlineStr">
        <is>
          <t>Equity value / share</t>
        </is>
      </c>
      <c r="H77" s="464" t="e">
        <f>H75/H76</f>
        <v>#DIV/0!</v>
      </c>
      <c r="K77" s="461" t="inlineStr">
        <is>
          <t>New shares from convert. pref. stock:</t>
        </is>
      </c>
      <c r="L77" s="465" t="n"/>
    </row>
    <row r="78" ht="12.75" customHeight="1" s="255">
      <c r="C78" s="436" t="inlineStr">
        <is>
          <t>Select a terminal value method</t>
        </is>
      </c>
      <c r="D78" s="466" t="n"/>
      <c r="F78" s="425" t="n"/>
      <c r="H78" s="467" t="n"/>
      <c r="K78" s="461" t="inlineStr">
        <is>
          <t>New shares from convertible debt:</t>
        </is>
      </c>
      <c r="L78" s="468" t="n"/>
    </row>
    <row r="79" ht="12.75" customHeight="1" s="255">
      <c r="C79" s="439" t="inlineStr">
        <is>
          <t>Perpetual growth = 1 / Exit multiple = 2</t>
        </is>
      </c>
      <c r="D79" s="469" t="n"/>
      <c r="H79" s="467" t="n"/>
      <c r="K79" s="470" t="inlineStr">
        <is>
          <t>Total Shares Outstanding:</t>
        </is>
      </c>
      <c r="L79" s="471" t="e">
        <f>L62+SUM(L76:L78)</f>
        <v>#DIV/0!</v>
      </c>
    </row>
    <row r="80" ht="12.75" customHeight="1" s="255">
      <c r="C80" s="439" t="inlineStr">
        <is>
          <t>Enterprise value</t>
        </is>
      </c>
      <c r="D80" s="437" t="e">
        <f>IF(D79=1,D69,D76)</f>
        <v>#DIV/0!</v>
      </c>
      <c r="H80" s="408" t="n"/>
      <c r="K80" s="470" t="n"/>
      <c r="L80" s="471" t="n"/>
    </row>
    <row r="81" ht="12.75" customHeight="1" s="255">
      <c r="C81" s="472" t="inlineStr">
        <is>
          <t>Terminal value as percent of total value</t>
        </is>
      </c>
      <c r="D81" s="473" t="e">
        <f>IF(D79=1,D68/D69,D75/D76)</f>
        <v>#DIV/0!</v>
      </c>
      <c r="E81" s="373" t="n"/>
      <c r="F81" s="373" t="n"/>
      <c r="G81" s="373" t="n"/>
      <c r="H81" s="387" t="n"/>
      <c r="I81" s="373" t="n"/>
      <c r="J81" s="373" t="n"/>
      <c r="K81" s="373" t="n"/>
      <c r="L81" s="387" t="n"/>
    </row>
    <row r="83" ht="13.5" customHeight="1" s="255">
      <c r="C83" s="474" t="inlineStr">
        <is>
          <t>Analysis of WACC</t>
        </is>
      </c>
      <c r="D83" s="475" t="n"/>
      <c r="E83" s="476" t="n"/>
      <c r="F83" s="476" t="n"/>
      <c r="G83" s="474" t="n"/>
      <c r="H83" s="475" t="n"/>
      <c r="I83" s="476" t="n"/>
      <c r="J83" s="476" t="n"/>
      <c r="K83" s="476" t="n"/>
      <c r="L83" s="476" t="n"/>
    </row>
    <row r="85" ht="12.75" customHeight="1" s="255">
      <c r="C85" s="477" t="inlineStr">
        <is>
          <t>Cost of debt</t>
        </is>
      </c>
      <c r="D85" s="373" t="n"/>
      <c r="F85" s="477" t="inlineStr">
        <is>
          <t>Capital structure</t>
        </is>
      </c>
      <c r="G85" s="477" t="n"/>
      <c r="H85" s="477" t="n"/>
      <c r="I85" s="477" t="n"/>
      <c r="J85" s="477" t="n"/>
    </row>
    <row r="86" ht="12.75" customHeight="1" s="255">
      <c r="C86" s="422" t="inlineStr">
        <is>
          <t>Cost of debt</t>
        </is>
      </c>
      <c r="D86" s="478" t="n"/>
      <c r="G86" s="479" t="inlineStr">
        <is>
          <t>Current capital structure</t>
        </is>
      </c>
      <c r="H86" s="366" t="n"/>
      <c r="I86" s="480" t="inlineStr">
        <is>
          <t>Target capital structure</t>
        </is>
      </c>
      <c r="J86" s="481" t="n"/>
    </row>
    <row r="87" ht="12.75" customHeight="1" s="255">
      <c r="C87" s="422" t="inlineStr">
        <is>
          <t>Marginal tax rate</t>
        </is>
      </c>
      <c r="D87" s="478" t="n"/>
      <c r="F87" s="373" t="n"/>
      <c r="G87" s="448" t="inlineStr">
        <is>
          <t>Market value</t>
        </is>
      </c>
      <c r="H87" s="448" t="inlineStr">
        <is>
          <t>% Weight</t>
        </is>
      </c>
      <c r="I87" s="448" t="inlineStr">
        <is>
          <t>override</t>
        </is>
      </c>
      <c r="J87" s="482" t="inlineStr">
        <is>
          <t>% Weight</t>
        </is>
      </c>
      <c r="K87" s="483" t="n"/>
      <c r="L87" s="484" t="n"/>
    </row>
    <row r="88" ht="12.75" customHeight="1" s="255">
      <c r="C88" s="349" t="inlineStr">
        <is>
          <t>Cost of debt after tax shield</t>
        </is>
      </c>
      <c r="D88" s="485">
        <f>costdebtfirm*(1-D87)</f>
        <v>0</v>
      </c>
      <c r="F88" s="349" t="inlineStr">
        <is>
          <t>Net debt</t>
        </is>
      </c>
      <c r="G88" s="486">
        <f>H74</f>
        <v>0</v>
      </c>
      <c r="H88" s="354" t="e">
        <f>debt/totalcap</f>
        <v>#DIV/0!</v>
      </c>
      <c r="I88" s="478" t="n"/>
      <c r="J88" s="354" t="e">
        <f>IF(I88,I88,H88)</f>
        <v>#DIV/0!</v>
      </c>
      <c r="L88" s="487" t="n"/>
    </row>
    <row r="89" ht="12.75" customHeight="1" s="255">
      <c r="F89" s="349" t="inlineStr">
        <is>
          <t>Equity</t>
        </is>
      </c>
      <c r="G89" s="488" t="e">
        <f>L63*L79</f>
        <v>#DIV/0!</v>
      </c>
      <c r="H89" s="354" t="e">
        <f>1-H88</f>
        <v>#DIV/0!</v>
      </c>
      <c r="J89" s="354" t="e">
        <f>1-debt_weight</f>
        <v>#DIV/0!</v>
      </c>
    </row>
    <row r="90" ht="12.75" customHeight="1" s="255">
      <c r="C90" s="477" t="inlineStr">
        <is>
          <t>Cost of equity</t>
        </is>
      </c>
      <c r="D90" s="373" t="n"/>
      <c r="F90" s="349" t="inlineStr">
        <is>
          <t>Total</t>
        </is>
      </c>
      <c r="G90" s="483" t="e">
        <f>SUM(G88:G89)</f>
        <v>#DIV/0!</v>
      </c>
    </row>
    <row r="91" ht="12.75" customHeight="1" s="255">
      <c r="C91" s="422" t="inlineStr">
        <is>
          <t>Risk-Free Rate (rf)</t>
        </is>
      </c>
      <c r="D91" s="478" t="n"/>
      <c r="E91" s="489" t="n"/>
    </row>
    <row r="92" ht="12.75" customHeight="1" s="255">
      <c r="C92" s="422" t="inlineStr">
        <is>
          <t>Market Risk Premium (rm-rf)</t>
        </is>
      </c>
      <c r="D92" s="478" t="n"/>
      <c r="F92" s="477" t="inlineStr">
        <is>
          <t>Weighted average cost of capital</t>
        </is>
      </c>
      <c r="G92" s="373" t="n"/>
      <c r="H92" s="373" t="n"/>
      <c r="I92" s="373" t="n"/>
      <c r="J92" s="373" t="n"/>
    </row>
    <row r="93" ht="12.75" customHeight="1" s="255">
      <c r="C93" s="422" t="inlineStr">
        <is>
          <t>Raw (observed) beta</t>
        </is>
      </c>
      <c r="D93" s="490" t="n"/>
      <c r="F93" s="349" t="inlineStr">
        <is>
          <t>Weighted average cost of capital:</t>
        </is>
      </c>
      <c r="J93" s="354" t="e">
        <f>debt_weight*D88+J89*costequity</f>
        <v>#DIV/0!</v>
      </c>
    </row>
    <row r="94" ht="12.75" customHeight="1" s="255">
      <c r="C94" s="422" t="inlineStr">
        <is>
          <t>Cost of equity using relevered industry beta</t>
        </is>
      </c>
      <c r="D94" s="485" t="e">
        <f>risk_free_rate+relevered_beta*risk_premium</f>
        <v>#DIV/0!</v>
      </c>
      <c r="E94" s="360" t="n"/>
    </row>
    <row r="95" ht="12.75" customHeight="1" s="255">
      <c r="C95" s="422" t="n"/>
      <c r="D95" s="485" t="n"/>
      <c r="E95" s="360" t="n"/>
      <c r="G95" s="483" t="n"/>
    </row>
    <row r="96" ht="12.75" customHeight="1" s="255">
      <c r="C96" s="477" t="inlineStr">
        <is>
          <t>Industry beta calculation</t>
        </is>
      </c>
      <c r="D96" s="373" t="n"/>
      <c r="E96" s="373" t="n"/>
      <c r="F96" s="373" t="n"/>
      <c r="G96" s="373" t="n"/>
      <c r="H96" s="373" t="n"/>
      <c r="I96" s="373" t="n"/>
      <c r="J96" s="373" t="n"/>
      <c r="K96" s="373" t="n"/>
      <c r="L96" s="373" t="n"/>
      <c r="M96" s="373" t="n"/>
    </row>
    <row r="97" ht="25.5" customHeight="1" s="255">
      <c r="C97" s="491" t="inlineStr">
        <is>
          <t xml:space="preserve">Comps </t>
        </is>
      </c>
      <c r="D97" s="492" t="inlineStr">
        <is>
          <t>Raw beta</t>
        </is>
      </c>
      <c r="E97" s="492" t="inlineStr">
        <is>
          <t>Share price</t>
        </is>
      </c>
      <c r="F97" s="492" t="inlineStr">
        <is>
          <t>Shares</t>
        </is>
      </c>
      <c r="G97" s="492" t="inlineStr">
        <is>
          <t>Market cap.</t>
        </is>
      </c>
      <c r="H97" s="492" t="inlineStr">
        <is>
          <t>Debt</t>
        </is>
      </c>
      <c r="I97" s="492" t="inlineStr">
        <is>
          <t>D / E</t>
        </is>
      </c>
      <c r="J97" s="492" t="inlineStr">
        <is>
          <t>Tax rate</t>
        </is>
      </c>
      <c r="K97" s="492" t="inlineStr">
        <is>
          <t>Unl. Beta</t>
        </is>
      </c>
      <c r="L97" s="492" t="inlineStr">
        <is>
          <t>Weigh. Beta</t>
        </is>
      </c>
      <c r="M97" s="492" t="inlineStr">
        <is>
          <t>Relev. Beta</t>
        </is>
      </c>
    </row>
    <row r="98" ht="12.75" customHeight="1" s="255">
      <c r="C98" s="493">
        <f>ticker</f>
        <v>0.0</v>
      </c>
      <c r="D98" s="494">
        <f>beta_observed</f>
        <v>0</v>
      </c>
      <c r="E98" s="495">
        <f>L63</f>
        <v>0</v>
      </c>
      <c r="F98" s="405" t="e">
        <f>L79</f>
        <v>#DIV/0!</v>
      </c>
      <c r="G98" s="405" t="e">
        <f>E98*F98</f>
        <v>#DIV/0!</v>
      </c>
      <c r="H98" s="405">
        <f>debt</f>
        <v>0</v>
      </c>
      <c r="I98" s="496" t="e">
        <f>debt/market_equity</f>
        <v>#DIV/0!</v>
      </c>
      <c r="J98" s="496">
        <f>F24</f>
        <v>0.251735015772871</v>
      </c>
      <c r="K98" s="494" t="e">
        <f>D98/(1+(I98)*(1-J98))</f>
        <v>#DIV/0!</v>
      </c>
      <c r="L98" s="497" t="e">
        <f>K98*G98/$G$102</f>
        <v>#DIV/0!</v>
      </c>
    </row>
    <row r="99" ht="12.75" customHeight="1" s="255">
      <c r="C99" s="498" t="inlineStr">
        <is>
          <t>TICKER 2</t>
        </is>
      </c>
      <c r="D99" s="490" t="n"/>
      <c r="E99" s="499" t="n"/>
      <c r="F99" s="500" t="n"/>
      <c r="G99" s="405">
        <f>E99*F99</f>
        <v>0</v>
      </c>
      <c r="H99" s="500" t="n"/>
      <c r="I99" s="496" t="e">
        <f>H99/(F99*E99)</f>
        <v>#DIV/0!</v>
      </c>
      <c r="J99" s="501" t="n"/>
      <c r="K99" s="494" t="e">
        <f>D99/(1+(I99)*(1-J99))</f>
        <v>#DIV/0!</v>
      </c>
      <c r="L99" s="497" t="e">
        <f>K99*G99/$G$102</f>
        <v>#DIV/0!</v>
      </c>
    </row>
    <row r="100" ht="12.75" customHeight="1" s="255">
      <c r="C100" s="498" t="inlineStr">
        <is>
          <t>TICKER 3</t>
        </is>
      </c>
      <c r="D100" s="490" t="n"/>
      <c r="E100" s="499" t="n"/>
      <c r="F100" s="500" t="n"/>
      <c r="G100" s="405">
        <f>E100*F100</f>
        <v>0</v>
      </c>
      <c r="H100" s="500" t="n"/>
      <c r="I100" s="496" t="e">
        <f>H100/(F100*E100)</f>
        <v>#DIV/0!</v>
      </c>
      <c r="J100" s="501" t="n"/>
      <c r="K100" s="494" t="e">
        <f>D100/(1+(I100)*(1-J100))</f>
        <v>#DIV/0!</v>
      </c>
      <c r="L100" s="497" t="e">
        <f>K100*G100/$G$102</f>
        <v>#DIV/0!</v>
      </c>
    </row>
    <row r="101" ht="12.75" customHeight="1" s="255">
      <c r="C101" s="502" t="inlineStr">
        <is>
          <t>TICKER 4</t>
        </is>
      </c>
      <c r="D101" s="503" t="n"/>
      <c r="E101" s="504" t="n"/>
      <c r="F101" s="505" t="n"/>
      <c r="G101" s="391">
        <f>E101*F101</f>
        <v>0</v>
      </c>
      <c r="H101" s="505" t="n"/>
      <c r="I101" s="506" t="e">
        <f>H101/(F101*E101)</f>
        <v>#DIV/0!</v>
      </c>
      <c r="J101" s="507" t="n"/>
      <c r="K101" s="508" t="e">
        <f>D101/(1+(I101)*(1-J101))</f>
        <v>#DIV/0!</v>
      </c>
      <c r="L101" s="497" t="e">
        <f>K101*G101/$G$102</f>
        <v>#DIV/0!</v>
      </c>
      <c r="M101" s="509" t="n"/>
    </row>
    <row r="102" ht="12.75" customHeight="1" s="255">
      <c r="D102" s="494" t="n"/>
      <c r="E102" s="470" t="n"/>
      <c r="F102" s="426" t="n"/>
      <c r="G102" s="405" t="e">
        <f>SUM(G98:G101)</f>
        <v>#DIV/0!</v>
      </c>
      <c r="I102" s="494" t="n"/>
      <c r="J102" s="509" t="inlineStr">
        <is>
          <t>Average:</t>
        </is>
      </c>
      <c r="K102" s="510" t="e">
        <f>AVERAGE(K98:K101)</f>
        <v>#DIV/0!</v>
      </c>
      <c r="L102" s="510" t="e">
        <f>SUM(L98:L101)</f>
        <v>#DIV/0!</v>
      </c>
      <c r="M102" s="510" t="e">
        <f>L102*(1+(debt/market_equity)*(1-D87))</f>
        <v>#DIV/0!</v>
      </c>
    </row>
  </sheetData>
  <mergeCells count="6">
    <mergeCell ref="G15:L15"/>
    <mergeCell ref="M15:R15"/>
    <mergeCell ref="G14:V14"/>
    <mergeCell ref="G86:H86"/>
    <mergeCell ref="I86:J86"/>
    <mergeCell ref="S15:V1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:language xmlns:dc="http://purl.org/dc/elements/1.1/">en-US</dc:language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2026-10-16T00:11:05Z</dcterms:modified>
  <cp:lastModifiedBy>Lucas Nascimento</cp:lastModifiedBy>
  <cp:revision>0</cp:revision>
</cp:coreProperties>
</file>