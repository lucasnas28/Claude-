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b val="1"/>
      <color theme="1"/>
      <sz val="10"/>
    </font>
    <font>
      <name val="Verdana"/>
      <b val="1"/>
      <sz val="10"/>
    </font>
  </fonts>
  <fills count="15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5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9" borderId="0" applyAlignment="1" pivotButton="0" quotePrefix="0" xfId="0">
      <alignment horizontal="left" vertical="bottom"/>
    </xf>
    <xf numFmtId="0" fontId="24" fillId="7" borderId="0" applyAlignment="1" pivotButton="0" quotePrefix="0" xfId="0">
      <alignment horizontal="general" vertical="bottom"/>
    </xf>
    <xf numFmtId="3" fontId="24" fillId="7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0" fontId="25" fillId="7" borderId="0" applyAlignment="1" pivotButton="0" quotePrefix="0" xfId="0">
      <alignment horizontal="general" vertical="bottom"/>
    </xf>
    <xf numFmtId="171" fontId="24" fillId="7" borderId="0" applyAlignment="1" pivotButton="0" quotePrefix="0" xfId="0">
      <alignment horizontal="center" vertical="bottom"/>
    </xf>
    <xf numFmtId="171" fontId="24" fillId="0" borderId="0" applyAlignment="1" pivotButton="0" quotePrefix="0" xfId="0">
      <alignment horizontal="center" vertical="bottom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84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(US$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US$ mil (monetário); demais unidades × 1.000</t>
        </is>
      </c>
    </row>
    <row r="4">
      <c r="A4" t="inlineStr">
        <is>
          <t>DRE - trimestre isolado (USD). Brutos SEC XBRL; linhas "derivada" são fórmulas nesta aba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[us-gaap:Revenues/RevenueFromContractWithCustomerExcludingAssessedTax] · fonte · unid. moeda</t>
        </is>
      </c>
      <c r="B5" t="n">
        <v>1</v>
      </c>
      <c r="C5" t="inlineStr">
        <is>
          <t>Net Revenues</t>
        </is>
      </c>
      <c r="D5" s="265" t="n">
        <v>44769000</v>
      </c>
      <c r="E5" s="265" t="n">
        <v>45277000</v>
      </c>
      <c r="F5" s="265" t="n">
        <v>62675000</v>
      </c>
      <c r="G5" s="265" t="n">
        <v>50363000</v>
      </c>
      <c r="I5" s="265" t="n">
        <v>51904000</v>
      </c>
      <c r="J5" s="265" t="n">
        <v>52596000</v>
      </c>
      <c r="K5" s="265" t="n">
        <v>72091000</v>
      </c>
      <c r="L5" s="265" t="n">
        <v>54437000</v>
      </c>
      <c r="N5" s="265" t="n">
        <v>55266000</v>
      </c>
      <c r="O5" s="265" t="n">
        <v>53648000</v>
      </c>
      <c r="P5" s="265" t="n">
        <v>78939000</v>
      </c>
      <c r="Q5" s="265" t="n">
        <v>57799000</v>
      </c>
      <c r="S5" s="265" t="n">
        <v>58442000</v>
      </c>
      <c r="T5" s="265" t="n">
        <v>58515000</v>
      </c>
      <c r="U5" s="265" t="n">
        <v>79697000</v>
      </c>
      <c r="V5" s="265" t="n">
        <v>62151000</v>
      </c>
      <c r="X5" s="265" t="n">
        <v>63723000</v>
      </c>
      <c r="Y5" s="265" t="n">
        <v>63205000</v>
      </c>
      <c r="Z5" s="265" t="n">
        <v>86156000</v>
      </c>
      <c r="AA5" s="265" t="n">
        <v>67307000</v>
      </c>
      <c r="AC5" s="265" t="n">
        <v>69597000</v>
      </c>
      <c r="AD5" s="265" t="n">
        <v>70527000</v>
      </c>
    </row>
    <row r="6">
      <c r="A6" t="inlineStr">
        <is>
          <t>Custo da receita (divulgado positivo) [us-gaap:CostOfMerchandiseSold/CostOfGoodsAndServicesSold] · fonte · unid. moeda</t>
        </is>
      </c>
      <c r="C6" t="inlineStr">
        <is>
          <t>[linha bruta, sem código; lançada nas linhas abaixo]</t>
        </is>
      </c>
      <c r="D6" s="265" t="n">
        <v>39078000</v>
      </c>
      <c r="E6" s="265" t="n">
        <v>39415000</v>
      </c>
      <c r="F6" s="265" t="n">
        <v>54733000</v>
      </c>
      <c r="G6" s="265" t="n">
        <v>43952000</v>
      </c>
      <c r="I6" s="265" t="n">
        <v>45517000</v>
      </c>
      <c r="J6" s="265" t="n">
        <v>46355000</v>
      </c>
      <c r="K6" s="265" t="n">
        <v>63558000</v>
      </c>
      <c r="L6" s="265" t="n">
        <v>47769000</v>
      </c>
      <c r="N6" s="265" t="n">
        <v>48423000</v>
      </c>
      <c r="O6" s="265" t="n">
        <v>47175000</v>
      </c>
      <c r="P6" s="265" t="n">
        <v>69219000</v>
      </c>
      <c r="Q6" s="265" t="n">
        <v>50457000</v>
      </c>
      <c r="S6" s="265" t="n">
        <v>51140000</v>
      </c>
      <c r="T6" s="265" t="n">
        <v>51173000</v>
      </c>
      <c r="U6" s="265" t="n">
        <v>69588000</v>
      </c>
      <c r="V6" s="265" t="n">
        <v>54109000</v>
      </c>
      <c r="X6" s="265" t="n">
        <v>55744000</v>
      </c>
      <c r="Y6" s="265" t="n">
        <v>54996000</v>
      </c>
      <c r="Z6" s="265" t="n">
        <v>75037000</v>
      </c>
      <c r="AA6" s="265" t="n">
        <v>58510000</v>
      </c>
      <c r="AC6" s="265" t="n">
        <v>60719000</v>
      </c>
      <c r="AD6" s="265" t="n">
        <v>61519000</v>
      </c>
    </row>
    <row r="7">
      <c r="A7" t="inlineStr">
        <is>
          <t>(lançamento) código 2, sinal -1 sobre a linha bruta 6: Custo da receita (divulgado positivo) [us-gaap:CostOfMerchandiseSold/CostOfGoodsAndService</t>
        </is>
      </c>
      <c r="B7" t="n">
        <v>2</v>
      </c>
      <c r="C7" t="inlineStr">
        <is>
          <t>COGS (cash)</t>
        </is>
      </c>
      <c r="D7" s="265">
        <f>IF(D6="","",-1*D6)</f>
        <v>-39078000</v>
      </c>
      <c r="E7" s="265">
        <f>IF(E6="","",-1*E6)</f>
        <v>-39415000</v>
      </c>
      <c r="F7" s="265">
        <f>IF(F6="","",-1*F6)</f>
        <v>-54733000</v>
      </c>
      <c r="G7" s="265">
        <f>IF(G6="","",-1*G6)</f>
        <v>-43952000</v>
      </c>
      <c r="I7" s="265">
        <f>IF(I6="","",-1*I6)</f>
        <v>-45517000</v>
      </c>
      <c r="J7" s="265">
        <f>IF(J6="","",-1*J6)</f>
        <v>-46355000</v>
      </c>
      <c r="K7" s="265">
        <f>IF(K6="","",-1*K6)</f>
        <v>-63558000</v>
      </c>
      <c r="L7" s="265">
        <f>IF(L6="","",-1*L6)</f>
        <v>-47769000</v>
      </c>
      <c r="N7" s="265">
        <f>IF(N6="","",-1*N6)</f>
        <v>-48423000</v>
      </c>
      <c r="O7" s="265">
        <f>IF(O6="","",-1*O6)</f>
        <v>-47175000</v>
      </c>
      <c r="P7" s="265">
        <f>IF(P6="","",-1*P6)</f>
        <v>-69219000</v>
      </c>
      <c r="Q7" s="265">
        <f>IF(Q6="","",-1*Q6)</f>
        <v>-50457000</v>
      </c>
      <c r="S7" s="265">
        <f>IF(S6="","",-1*S6)</f>
        <v>-51140000</v>
      </c>
      <c r="T7" s="265">
        <f>IF(T6="","",-1*T6)</f>
        <v>-51173000</v>
      </c>
      <c r="U7" s="265">
        <f>IF(U6="","",-1*U6)</f>
        <v>-69588000</v>
      </c>
      <c r="V7" s="265">
        <f>IF(V6="","",-1*V6)</f>
        <v>-54109000</v>
      </c>
      <c r="X7" s="265">
        <f>IF(X6="","",-1*X6)</f>
        <v>-55744000</v>
      </c>
      <c r="Y7" s="265">
        <f>IF(Y6="","",-1*Y6)</f>
        <v>-54996000</v>
      </c>
      <c r="Z7" s="265">
        <f>IF(Z6="","",-1*Z6)</f>
        <v>-75037000</v>
      </c>
      <c r="AA7" s="265">
        <f>IF(AA6="","",-1*AA6)</f>
        <v>-58510000</v>
      </c>
      <c r="AC7" s="265">
        <f>IF(AC6="","",-1*AC6)</f>
        <v>-60719000</v>
      </c>
      <c r="AD7" s="265">
        <f>IF(AD6="","",-1*AD6)</f>
        <v>-61519000</v>
      </c>
    </row>
    <row r="8">
      <c r="A8" t="inlineStr">
        <is>
          <t>Lucro operacional [us-gaap:OperatingIncomeLoss] · memoria · unid. moeda</t>
        </is>
      </c>
      <c r="C8" t="inlineStr">
        <is>
          <t>[linha bruta, sem código; lançada nas linhas abaixo]</t>
        </is>
      </c>
      <c r="D8" s="265" t="n">
        <v>1340000</v>
      </c>
      <c r="E8" s="265" t="n">
        <v>1663000</v>
      </c>
      <c r="F8" s="265" t="n">
        <v>2275000</v>
      </c>
      <c r="G8" s="265" t="n">
        <v>1693000</v>
      </c>
      <c r="I8" s="265" t="n">
        <v>1812000</v>
      </c>
      <c r="J8" s="265" t="n">
        <v>1791000</v>
      </c>
      <c r="K8" s="265" t="n">
        <v>2497000</v>
      </c>
      <c r="L8" s="265" t="n">
        <v>1751000</v>
      </c>
      <c r="N8" s="265" t="n">
        <v>1903000</v>
      </c>
      <c r="O8" s="265" t="n">
        <v>1679000</v>
      </c>
      <c r="P8" s="265" t="n">
        <v>2781000</v>
      </c>
      <c r="Q8" s="265" t="n">
        <v>1984000</v>
      </c>
      <c r="S8" s="265" t="n">
        <v>2062000</v>
      </c>
      <c r="T8" s="265" t="n">
        <v>2197000</v>
      </c>
      <c r="U8" s="265" t="n">
        <v>3042000</v>
      </c>
      <c r="V8" s="265" t="n">
        <v>2196000</v>
      </c>
      <c r="X8" s="265" t="n">
        <v>2316000</v>
      </c>
      <c r="Y8" s="265" t="n">
        <v>2530000</v>
      </c>
      <c r="Z8" s="265" t="n">
        <v>3341000</v>
      </c>
      <c r="AA8" s="265" t="n">
        <v>2463000</v>
      </c>
      <c r="AC8" s="265" t="n">
        <v>2606000</v>
      </c>
      <c r="AD8" s="265" t="n">
        <v>2815000</v>
      </c>
    </row>
    <row r="9">
      <c r="A9" t="inlineStr">
        <is>
          <t>Despesas operacionais = receita - custo - lucro operacional (P&amp;D + SG&amp;A + outras operacionais) · derivada · unid. moeda</t>
        </is>
      </c>
      <c r="C9" t="inlineStr">
        <is>
          <t>[linha bruta, sem código; lançada nas linhas abaixo]</t>
        </is>
      </c>
      <c r="D9" s="265">
        <f>N(D5)-N(D6)-N(D8)</f>
        <v>4351000</v>
      </c>
      <c r="E9" s="265">
        <f>N(E5)-N(E6)-N(E8)</f>
        <v>4199000</v>
      </c>
      <c r="F9" s="265">
        <f>N(F5)-N(F6)-N(F8)</f>
        <v>5667000</v>
      </c>
      <c r="G9" s="265">
        <f>N(G5)-N(G6)-N(G8)</f>
        <v>4718000</v>
      </c>
      <c r="I9" s="265">
        <f>N(I5)-N(I6)-N(I8)</f>
        <v>4575000</v>
      </c>
      <c r="J9" s="265">
        <f>N(J5)-N(J6)-N(J8)</f>
        <v>4450000</v>
      </c>
      <c r="K9" s="265">
        <f>N(K5)-N(K6)-N(K8)</f>
        <v>6036000</v>
      </c>
      <c r="L9" s="265">
        <f>N(L5)-N(L6)-N(L8)</f>
        <v>4917000</v>
      </c>
      <c r="N9" s="265">
        <f>N(N5)-N(N6)-N(N8)</f>
        <v>4940000</v>
      </c>
      <c r="O9" s="265">
        <f>N(O5)-N(O6)-N(O8)</f>
        <v>4794000</v>
      </c>
      <c r="P9" s="265">
        <f>N(P5)-N(P6)-N(P8)</f>
        <v>6939000</v>
      </c>
      <c r="Q9" s="265">
        <f>N(Q5)-N(Q6)-N(Q8)</f>
        <v>5358000</v>
      </c>
      <c r="S9" s="265">
        <f>N(S5)-N(S6)-N(S8)</f>
        <v>5240000</v>
      </c>
      <c r="T9" s="265">
        <f>N(T5)-N(T6)-N(T8)</f>
        <v>5145000</v>
      </c>
      <c r="U9" s="265">
        <f>N(U5)-N(U6)-N(U8)</f>
        <v>7067000</v>
      </c>
      <c r="V9" s="265">
        <f>N(V5)-N(V6)-N(V8)</f>
        <v>5846000</v>
      </c>
      <c r="X9" s="265">
        <f>N(X5)-N(X6)-N(X8)</f>
        <v>5663000</v>
      </c>
      <c r="Y9" s="265">
        <f>N(Y5)-N(Y6)-N(Y8)</f>
        <v>5679000</v>
      </c>
      <c r="Z9" s="265">
        <f>N(Z5)-N(Z6)-N(Z8)</f>
        <v>7778000</v>
      </c>
      <c r="AA9" s="265">
        <f>N(AA5)-N(AA6)-N(AA8)</f>
        <v>6334000</v>
      </c>
      <c r="AC9" s="265">
        <f>N(AC5)-N(AC6)-N(AC8)</f>
        <v>6272000</v>
      </c>
      <c r="AD9" s="265">
        <f>N(AD5)-N(AD6)-N(AD8)</f>
        <v>6193000</v>
      </c>
    </row>
    <row r="10">
      <c r="A10" t="inlineStr">
        <is>
          <t>(lançamento) código 3, sinal -1 sobre a linha bruta 9: Despesas operacionais = receita - custo - lucro operacional (P&amp;D + SG&amp;A + outras operacion</t>
        </is>
      </c>
      <c r="B10" t="n">
        <v>3</v>
      </c>
      <c r="C10" t="inlineStr">
        <is>
          <t>SG&amp;A and Other (cash)</t>
        </is>
      </c>
      <c r="D10" s="265">
        <f>IF(D9="","",-1*D9)</f>
        <v>-4351000</v>
      </c>
      <c r="E10" s="265">
        <f>IF(E9="","",-1*E9)</f>
        <v>-4199000</v>
      </c>
      <c r="F10" s="265">
        <f>IF(F9="","",-1*F9)</f>
        <v>-5667000</v>
      </c>
      <c r="G10" s="265">
        <f>IF(G9="","",-1*G9)</f>
        <v>-4718000</v>
      </c>
      <c r="I10" s="265">
        <f>IF(I9="","",-1*I9)</f>
        <v>-4575000</v>
      </c>
      <c r="J10" s="265">
        <f>IF(J9="","",-1*J9)</f>
        <v>-4450000</v>
      </c>
      <c r="K10" s="265">
        <f>IF(K9="","",-1*K9)</f>
        <v>-6036000</v>
      </c>
      <c r="L10" s="265">
        <f>IF(L9="","",-1*L9)</f>
        <v>-4917000</v>
      </c>
      <c r="N10" s="265">
        <f>IF(N9="","",-1*N9)</f>
        <v>-4940000</v>
      </c>
      <c r="O10" s="265">
        <f>IF(O9="","",-1*O9)</f>
        <v>-4794000</v>
      </c>
      <c r="P10" s="265">
        <f>IF(P9="","",-1*P9)</f>
        <v>-6939000</v>
      </c>
      <c r="Q10" s="265">
        <f>IF(Q9="","",-1*Q9)</f>
        <v>-5358000</v>
      </c>
      <c r="S10" s="265">
        <f>IF(S9="","",-1*S9)</f>
        <v>-5240000</v>
      </c>
      <c r="T10" s="265">
        <f>IF(T9="","",-1*T9)</f>
        <v>-5145000</v>
      </c>
      <c r="U10" s="265">
        <f>IF(U9="","",-1*U9)</f>
        <v>-7067000</v>
      </c>
      <c r="V10" s="265">
        <f>IF(V9="","",-1*V9)</f>
        <v>-5846000</v>
      </c>
      <c r="X10" s="265">
        <f>IF(X9="","",-1*X9)</f>
        <v>-5663000</v>
      </c>
      <c r="Y10" s="265">
        <f>IF(Y9="","",-1*Y9)</f>
        <v>-5679000</v>
      </c>
      <c r="Z10" s="265">
        <f>IF(Z9="","",-1*Z9)</f>
        <v>-7778000</v>
      </c>
      <c r="AA10" s="265">
        <f>IF(AA9="","",-1*AA9)</f>
        <v>-6334000</v>
      </c>
      <c r="AC10" s="265">
        <f>IF(AC9="","",-1*AC9)</f>
        <v>-6272000</v>
      </c>
      <c r="AD10" s="265">
        <f>IF(AD9="","",-1*AD9)</f>
        <v>-6193000</v>
      </c>
    </row>
    <row r="11">
      <c r="A11" t="inlineStr">
        <is>
          <t>Lucro antes do IR [us-gaap:IncomeLossFromContinuingOperationsBeforeIncomeTaxesExtraordi] · memoria · unid. moeda</t>
        </is>
      </c>
      <c r="C11" t="inlineStr">
        <is>
          <t>[linha bruta, sem código; lançada nas linhas abaixo]</t>
        </is>
      </c>
      <c r="D11" s="265" t="n">
        <v>1319000</v>
      </c>
      <c r="E11" s="265" t="n">
        <v>1650000</v>
      </c>
      <c r="F11" s="265" t="n">
        <v>2291000</v>
      </c>
      <c r="G11" s="265" t="n">
        <v>1696000</v>
      </c>
      <c r="I11" s="265" t="n">
        <v>1801000</v>
      </c>
      <c r="J11" s="265" t="n">
        <v>1827000</v>
      </c>
      <c r="K11" s="265" t="n">
        <v>2516000</v>
      </c>
      <c r="L11" s="265" t="n">
        <v>1770000</v>
      </c>
      <c r="N11" s="265" t="n">
        <v>1983000</v>
      </c>
      <c r="O11" s="265" t="n">
        <v>1771000</v>
      </c>
      <c r="P11" s="265" t="n">
        <v>2963000</v>
      </c>
      <c r="Q11" s="265" t="n">
        <v>2106000</v>
      </c>
      <c r="S11" s="265" t="n">
        <v>2237000</v>
      </c>
      <c r="T11" s="265" t="n">
        <v>2284000</v>
      </c>
      <c r="U11" s="265" t="n">
        <v>3113000</v>
      </c>
      <c r="V11" s="265" t="n">
        <v>2306000</v>
      </c>
      <c r="X11" s="265" t="n">
        <v>2422000</v>
      </c>
      <c r="Y11" s="265" t="n">
        <v>2580000</v>
      </c>
      <c r="Z11" s="265" t="n">
        <v>3510000</v>
      </c>
      <c r="AA11" s="265" t="n">
        <v>2583000</v>
      </c>
      <c r="AC11" s="265" t="n">
        <v>2721000</v>
      </c>
      <c r="AD11" s="265" t="n">
        <v>2938000</v>
      </c>
    </row>
    <row r="12">
      <c r="A12" t="inlineStr">
        <is>
          <t>Resultado não operacional total = lucro antes do IR - lucro operacional · derivada · unid. moeda</t>
        </is>
      </c>
      <c r="B12" t="n">
        <v>6</v>
      </c>
      <c r="C12" t="inlineStr">
        <is>
          <t>Nonoperating Income / (Loss)</t>
        </is>
      </c>
      <c r="D12" s="265">
        <f>N(D11)-N(D8)</f>
        <v>-21000</v>
      </c>
      <c r="E12" s="265">
        <f>N(E11)-N(E8)</f>
        <v>-13000</v>
      </c>
      <c r="F12" s="265">
        <f>N(F11)-N(F8)</f>
        <v>16000</v>
      </c>
      <c r="G12" s="265">
        <f>N(G11)-N(G8)</f>
        <v>3000</v>
      </c>
      <c r="I12" s="265">
        <f>N(I11)-N(I8)</f>
        <v>-11000</v>
      </c>
      <c r="J12" s="265">
        <f>N(J11)-N(J8)</f>
        <v>36000</v>
      </c>
      <c r="K12" s="265">
        <f>N(K11)-N(K8)</f>
        <v>19000</v>
      </c>
      <c r="L12" s="265">
        <f>N(L11)-N(L8)</f>
        <v>19000</v>
      </c>
      <c r="N12" s="265">
        <f>N(N11)-N(N8)</f>
        <v>80000</v>
      </c>
      <c r="O12" s="265">
        <f>N(O11)-N(O8)</f>
        <v>92000</v>
      </c>
      <c r="P12" s="265">
        <f>N(P11)-N(P8)</f>
        <v>182000</v>
      </c>
      <c r="Q12" s="265">
        <f>N(Q11)-N(Q8)</f>
        <v>122000</v>
      </c>
      <c r="S12" s="265">
        <f>N(S11)-N(S8)</f>
        <v>175000</v>
      </c>
      <c r="T12" s="265">
        <f>N(T11)-N(T8)</f>
        <v>87000</v>
      </c>
      <c r="U12" s="265">
        <f>N(U11)-N(U8)</f>
        <v>71000</v>
      </c>
      <c r="V12" s="265">
        <f>N(V11)-N(V8)</f>
        <v>110000</v>
      </c>
      <c r="X12" s="265">
        <f>N(X11)-N(X8)</f>
        <v>106000</v>
      </c>
      <c r="Y12" s="265">
        <f>N(Y11)-N(Y8)</f>
        <v>50000</v>
      </c>
      <c r="Z12" s="265">
        <f>N(Z11)-N(Z8)</f>
        <v>169000</v>
      </c>
      <c r="AA12" s="265">
        <f>N(AA11)-N(AA8)</f>
        <v>120000</v>
      </c>
      <c r="AC12" s="265">
        <f>N(AC11)-N(AC8)</f>
        <v>115000</v>
      </c>
      <c r="AD12" s="265">
        <f>N(AD11)-N(AD8)</f>
        <v>123000</v>
      </c>
    </row>
    <row r="13">
      <c r="A13" t="inlineStr">
        <is>
          <t>Despesa de juros (divulgado positivo): COD1=5 lança; COD2=6 devolve ao não operacional, que já a contém [us-gaap:InterestExpense/InterestExpenseNonoperating] · fonte · unid. moeda</t>
        </is>
      </c>
      <c r="C13" t="inlineStr">
        <is>
          <t>[linha bruta, sem código; lançada nas linhas abaixo]</t>
        </is>
      </c>
      <c r="D13" s="265" t="n">
        <v>40000</v>
      </c>
      <c r="E13" s="265" t="n">
        <v>40000</v>
      </c>
      <c r="F13" s="265" t="n">
        <v>52000</v>
      </c>
      <c r="G13" s="265" t="n">
        <v>39000</v>
      </c>
      <c r="I13" s="265" t="n">
        <v>36000</v>
      </c>
      <c r="J13" s="265" t="n">
        <v>35000</v>
      </c>
      <c r="K13" s="265" t="n">
        <v>48000</v>
      </c>
      <c r="L13" s="265" t="n">
        <v>34000</v>
      </c>
      <c r="N13" s="265" t="n">
        <v>34000</v>
      </c>
      <c r="O13" s="265" t="n">
        <v>36000</v>
      </c>
      <c r="P13" s="265" t="n">
        <v>56000</v>
      </c>
      <c r="Q13" s="265" t="n">
        <v>38000</v>
      </c>
      <c r="S13" s="265" t="n">
        <v>41000</v>
      </c>
      <c r="T13" s="265" t="n">
        <v>41000</v>
      </c>
      <c r="U13" s="265" t="n">
        <v>49000</v>
      </c>
      <c r="V13" s="265" t="n">
        <v>37000</v>
      </c>
      <c r="X13" s="265" t="n">
        <v>36000</v>
      </c>
      <c r="Y13" s="265" t="n">
        <v>35000</v>
      </c>
      <c r="Z13" s="265" t="n">
        <v>46000</v>
      </c>
      <c r="AA13" s="265" t="n">
        <v>35000</v>
      </c>
      <c r="AC13" s="265" t="n">
        <v>33000</v>
      </c>
      <c r="AD13" s="265" t="n">
        <v>32000</v>
      </c>
    </row>
    <row r="14">
      <c r="A14" t="inlineStr">
        <is>
          <t>(lançamento) código 5, sinal -1 sobre a linha bruta 13: Despesa de juros (divulgado positivo): COD1=5 lança; COD2=6 devolve ao não operacional, qu</t>
        </is>
      </c>
      <c r="B14" t="n">
        <v>5</v>
      </c>
      <c r="C14" t="inlineStr">
        <is>
          <t>Interest Expense</t>
        </is>
      </c>
      <c r="D14" s="265">
        <f>IF(D13="","",-1*D13)</f>
        <v>-40000</v>
      </c>
      <c r="E14" s="265">
        <f>IF(E13="","",-1*E13)</f>
        <v>-40000</v>
      </c>
      <c r="F14" s="265">
        <f>IF(F13="","",-1*F13)</f>
        <v>-52000</v>
      </c>
      <c r="G14" s="265">
        <f>IF(G13="","",-1*G13)</f>
        <v>-39000</v>
      </c>
      <c r="I14" s="265">
        <f>IF(I13="","",-1*I13)</f>
        <v>-36000</v>
      </c>
      <c r="J14" s="265">
        <f>IF(J13="","",-1*J13)</f>
        <v>-35000</v>
      </c>
      <c r="K14" s="265">
        <f>IF(K13="","",-1*K13)</f>
        <v>-48000</v>
      </c>
      <c r="L14" s="265">
        <f>IF(L13="","",-1*L13)</f>
        <v>-34000</v>
      </c>
      <c r="N14" s="265">
        <f>IF(N13="","",-1*N13)</f>
        <v>-34000</v>
      </c>
      <c r="O14" s="265">
        <f>IF(O13="","",-1*O13)</f>
        <v>-36000</v>
      </c>
      <c r="P14" s="265">
        <f>IF(P13="","",-1*P13)</f>
        <v>-56000</v>
      </c>
      <c r="Q14" s="265">
        <f>IF(Q13="","",-1*Q13)</f>
        <v>-38000</v>
      </c>
      <c r="S14" s="265">
        <f>IF(S13="","",-1*S13)</f>
        <v>-41000</v>
      </c>
      <c r="T14" s="265">
        <f>IF(T13="","",-1*T13)</f>
        <v>-41000</v>
      </c>
      <c r="U14" s="265">
        <f>IF(U13="","",-1*U13)</f>
        <v>-49000</v>
      </c>
      <c r="V14" s="265">
        <f>IF(V13="","",-1*V13)</f>
        <v>-37000</v>
      </c>
      <c r="X14" s="265">
        <f>IF(X13="","",-1*X13)</f>
        <v>-36000</v>
      </c>
      <c r="Y14" s="265">
        <f>IF(Y13="","",-1*Y13)</f>
        <v>-35000</v>
      </c>
      <c r="Z14" s="265">
        <f>IF(Z13="","",-1*Z13)</f>
        <v>-46000</v>
      </c>
      <c r="AA14" s="265">
        <f>IF(AA13="","",-1*AA13)</f>
        <v>-35000</v>
      </c>
      <c r="AC14" s="265">
        <f>IF(AC13="","",-1*AC13)</f>
        <v>-33000</v>
      </c>
      <c r="AD14" s="265">
        <f>IF(AD13="","",-1*AD13)</f>
        <v>-32000</v>
      </c>
    </row>
    <row r="15">
      <c r="A15" t="inlineStr">
        <is>
          <t>(lançamento) código 6, sinal +1 sobre a linha bruta 13: Despesa de juros (divulgado positivo): COD1=5 lança; COD2=6 devolve ao não operacional, qu</t>
        </is>
      </c>
      <c r="B15" t="n">
        <v>6</v>
      </c>
      <c r="C15" t="inlineStr">
        <is>
          <t>Nonoperating Income / (Loss)</t>
        </is>
      </c>
      <c r="D15" s="265">
        <f>IF(D13="","",D13)</f>
        <v>40000</v>
      </c>
      <c r="E15" s="265">
        <f>IF(E13="","",E13)</f>
        <v>40000</v>
      </c>
      <c r="F15" s="265">
        <f>IF(F13="","",F13)</f>
        <v>52000</v>
      </c>
      <c r="G15" s="265">
        <f>IF(G13="","",G13)</f>
        <v>39000</v>
      </c>
      <c r="I15" s="265">
        <f>IF(I13="","",I13)</f>
        <v>36000</v>
      </c>
      <c r="J15" s="265">
        <f>IF(J13="","",J13)</f>
        <v>35000</v>
      </c>
      <c r="K15" s="265">
        <f>IF(K13="","",K13)</f>
        <v>48000</v>
      </c>
      <c r="L15" s="265">
        <f>IF(L13="","",L13)</f>
        <v>34000</v>
      </c>
      <c r="N15" s="265">
        <f>IF(N13="","",N13)</f>
        <v>34000</v>
      </c>
      <c r="O15" s="265">
        <f>IF(O13="","",O13)</f>
        <v>36000</v>
      </c>
      <c r="P15" s="265">
        <f>IF(P13="","",P13)</f>
        <v>56000</v>
      </c>
      <c r="Q15" s="265">
        <f>IF(Q13="","",Q13)</f>
        <v>38000</v>
      </c>
      <c r="S15" s="265">
        <f>IF(S13="","",S13)</f>
        <v>41000</v>
      </c>
      <c r="T15" s="265">
        <f>IF(T13="","",T13)</f>
        <v>41000</v>
      </c>
      <c r="U15" s="265">
        <f>IF(U13="","",U13)</f>
        <v>49000</v>
      </c>
      <c r="V15" s="265">
        <f>IF(V13="","",V13)</f>
        <v>37000</v>
      </c>
      <c r="X15" s="265">
        <f>IF(X13="","",X13)</f>
        <v>36000</v>
      </c>
      <c r="Y15" s="265">
        <f>IF(Y13="","",Y13)</f>
        <v>35000</v>
      </c>
      <c r="Z15" s="265">
        <f>IF(Z13="","",Z13)</f>
        <v>46000</v>
      </c>
      <c r="AA15" s="265">
        <f>IF(AA13="","",AA13)</f>
        <v>35000</v>
      </c>
      <c r="AC15" s="265">
        <f>IF(AC13="","",AC13)</f>
        <v>33000</v>
      </c>
      <c r="AD15" s="265">
        <f>IF(AD13="","",AD13)</f>
        <v>32000</v>
      </c>
    </row>
    <row r="16">
      <c r="A16" t="inlineStr">
        <is>
          <t>Imposto de renda (divulgado positivo) [us-gaap:IncomeTaxExpenseBenefit] · fonte · unid. moeda</t>
        </is>
      </c>
      <c r="C16" t="inlineStr">
        <is>
          <t>[linha bruta, sem código; lançada nas linhas abaixo]</t>
        </is>
      </c>
      <c r="D16" s="265" t="n">
        <v>348000</v>
      </c>
      <c r="E16" s="265" t="n">
        <v>417000</v>
      </c>
      <c r="F16" s="265" t="n">
        <v>597000</v>
      </c>
      <c r="G16" s="265" t="n">
        <v>351000</v>
      </c>
      <c r="I16" s="265" t="n">
        <v>481000</v>
      </c>
      <c r="J16" s="265" t="n">
        <v>455000</v>
      </c>
      <c r="K16" s="265" t="n">
        <v>638000</v>
      </c>
      <c r="L16" s="265" t="n">
        <v>406000</v>
      </c>
      <c r="N16" s="265" t="n">
        <v>517000</v>
      </c>
      <c r="O16" s="265" t="n">
        <v>469000</v>
      </c>
      <c r="P16" s="265" t="n">
        <v>803000</v>
      </c>
      <c r="Q16" s="265" t="n">
        <v>517000</v>
      </c>
      <c r="S16" s="265" t="n">
        <v>494000</v>
      </c>
      <c r="T16" s="265" t="n">
        <v>603000</v>
      </c>
      <c r="U16" s="265" t="n">
        <v>759000</v>
      </c>
      <c r="V16" s="265" t="n">
        <v>508000</v>
      </c>
      <c r="X16" s="265" t="n">
        <v>634000</v>
      </c>
      <c r="Y16" s="265" t="n">
        <v>677000</v>
      </c>
      <c r="Z16" s="265" t="n">
        <v>900000</v>
      </c>
      <c r="AA16" s="265" t="n">
        <v>582000</v>
      </c>
      <c r="AC16" s="265" t="n">
        <v>686000</v>
      </c>
      <c r="AD16" s="265" t="n">
        <v>746000</v>
      </c>
    </row>
    <row r="17">
      <c r="A17" t="inlineStr">
        <is>
          <t>(lançamento) código 7, sinal -1 sobre a linha bruta 16: Imposto de renda (divulgado positivo) [us-gaap:IncomeTaxExpenseBenefit]</t>
        </is>
      </c>
      <c r="B17" t="n">
        <v>7</v>
      </c>
      <c r="C17" t="inlineStr">
        <is>
          <t>Taxes</t>
        </is>
      </c>
      <c r="D17" s="265">
        <f>IF(D16="","",-1*D16)</f>
        <v>-348000</v>
      </c>
      <c r="E17" s="265">
        <f>IF(E16="","",-1*E16)</f>
        <v>-417000</v>
      </c>
      <c r="F17" s="265">
        <f>IF(F16="","",-1*F16)</f>
        <v>-597000</v>
      </c>
      <c r="G17" s="265">
        <f>IF(G16="","",-1*G16)</f>
        <v>-351000</v>
      </c>
      <c r="I17" s="265">
        <f>IF(I16="","",-1*I16)</f>
        <v>-481000</v>
      </c>
      <c r="J17" s="265">
        <f>IF(J16="","",-1*J16)</f>
        <v>-455000</v>
      </c>
      <c r="K17" s="265">
        <f>IF(K16="","",-1*K16)</f>
        <v>-638000</v>
      </c>
      <c r="L17" s="265">
        <f>IF(L16="","",-1*L16)</f>
        <v>-406000</v>
      </c>
      <c r="N17" s="265">
        <f>IF(N16="","",-1*N16)</f>
        <v>-517000</v>
      </c>
      <c r="O17" s="265">
        <f>IF(O16="","",-1*O16)</f>
        <v>-469000</v>
      </c>
      <c r="P17" s="265">
        <f>IF(P16="","",-1*P16)</f>
        <v>-803000</v>
      </c>
      <c r="Q17" s="265">
        <f>IF(Q16="","",-1*Q16)</f>
        <v>-517000</v>
      </c>
      <c r="S17" s="265">
        <f>IF(S16="","",-1*S16)</f>
        <v>-494000</v>
      </c>
      <c r="T17" s="265">
        <f>IF(T16="","",-1*T16)</f>
        <v>-603000</v>
      </c>
      <c r="U17" s="265">
        <f>IF(U16="","",-1*U16)</f>
        <v>-759000</v>
      </c>
      <c r="V17" s="265">
        <f>IF(V16="","",-1*V16)</f>
        <v>-508000</v>
      </c>
      <c r="X17" s="265">
        <f>IF(X16="","",-1*X16)</f>
        <v>-634000</v>
      </c>
      <c r="Y17" s="265">
        <f>IF(Y16="","",-1*Y16)</f>
        <v>-677000</v>
      </c>
      <c r="Z17" s="265">
        <f>IF(Z16="","",-1*Z16)</f>
        <v>-900000</v>
      </c>
      <c r="AA17" s="265">
        <f>IF(AA16="","",-1*AA16)</f>
        <v>-582000</v>
      </c>
      <c r="AC17" s="265">
        <f>IF(AC16="","",-1*AC16)</f>
        <v>-686000</v>
      </c>
      <c r="AD17" s="265">
        <f>IF(AD16="","",-1*AD16)</f>
        <v>-746000</v>
      </c>
    </row>
    <row r="18">
      <c r="A18" t="inlineStr">
        <is>
          <t>Lucro atribuído a não controladores (divulgado positivo) [us-gaap:NetIncomeLossAttributableToNoncontrollingInterest] · fonte · unid. moeda</t>
        </is>
      </c>
      <c r="C18" t="inlineStr">
        <is>
          <t>[linha bruta, sem código; lançada nas linhas abaixo]</t>
        </is>
      </c>
      <c r="D18" s="265" t="n">
        <v>20000</v>
      </c>
      <c r="E18" s="265" t="n">
        <v>13000</v>
      </c>
      <c r="F18" s="265" t="n">
        <v>24000</v>
      </c>
      <c r="G18" s="265" t="n">
        <v>21000</v>
      </c>
      <c r="I18" s="265" t="n">
        <v>21000</v>
      </c>
      <c r="J18" s="265" t="n">
        <v>19000</v>
      </c>
      <c r="K18" s="265" t="n">
        <v>10000</v>
      </c>
      <c r="L18" s="265" t="n">
        <v>0</v>
      </c>
      <c r="N18" s="265" t="n">
        <v>0</v>
      </c>
      <c r="O18" s="265" t="n">
        <v>0</v>
      </c>
      <c r="P18" s="265" t="n">
        <v>0</v>
      </c>
      <c r="Q18" s="265" t="n">
        <v>0</v>
      </c>
      <c r="S18" s="265" t="n">
        <v>0</v>
      </c>
      <c r="T18" s="265" t="n">
        <v>0</v>
      </c>
      <c r="U18" s="265" t="n">
        <v>0</v>
      </c>
      <c r="V18" s="265" t="n">
        <v>0</v>
      </c>
      <c r="X18" s="265" t="n">
        <v>0</v>
      </c>
      <c r="Y18" s="265" t="n">
        <v>0</v>
      </c>
      <c r="Z18" s="265" t="n">
        <v>0</v>
      </c>
      <c r="AA18" s="265" t="n">
        <v>0</v>
      </c>
      <c r="AC18" s="265" t="n">
        <v>0</v>
      </c>
      <c r="AD18" s="265" t="n">
        <v>0</v>
      </c>
    </row>
    <row r="19">
      <c r="A19" t="inlineStr">
        <is>
          <t>(lançamento) código 9, sinal -1 sobre a linha bruta 18: Lucro atribuído a não controladores (divulgado positivo) [us-gaap:NetIncomeLossAttributabl</t>
        </is>
      </c>
      <c r="B19" t="n">
        <v>9</v>
      </c>
      <c r="C19" t="inlineStr">
        <is>
          <t>Minority Interest Expense, after tax (enter as - )</t>
        </is>
      </c>
      <c r="D19" s="265">
        <f>IF(D18="","",-1*D18)</f>
        <v>-20000</v>
      </c>
      <c r="E19" s="265">
        <f>IF(E18="","",-1*E18)</f>
        <v>-13000</v>
      </c>
      <c r="F19" s="265">
        <f>IF(F18="","",-1*F18)</f>
        <v>-24000</v>
      </c>
      <c r="G19" s="265">
        <f>IF(G18="","",-1*G18)</f>
        <v>-21000</v>
      </c>
      <c r="I19" s="265">
        <f>IF(I18="","",-1*I18)</f>
        <v>-21000</v>
      </c>
      <c r="J19" s="265">
        <f>IF(J18="","",-1*J18)</f>
        <v>-19000</v>
      </c>
      <c r="K19" s="265">
        <f>IF(K18="","",-1*K18)</f>
        <v>-10000</v>
      </c>
      <c r="L19" s="265">
        <f>IF(L18="","",-1*L18)</f>
        <v>0</v>
      </c>
      <c r="N19" s="265">
        <f>IF(N18="","",-1*N18)</f>
        <v>0</v>
      </c>
      <c r="O19" s="265">
        <f>IF(O18="","",-1*O18)</f>
        <v>0</v>
      </c>
      <c r="P19" s="265">
        <f>IF(P18="","",-1*P18)</f>
        <v>0</v>
      </c>
      <c r="Q19" s="265">
        <f>IF(Q18="","",-1*Q18)</f>
        <v>0</v>
      </c>
      <c r="S19" s="265">
        <f>IF(S18="","",-1*S18)</f>
        <v>0</v>
      </c>
      <c r="T19" s="265">
        <f>IF(T18="","",-1*T18)</f>
        <v>0</v>
      </c>
      <c r="U19" s="265">
        <f>IF(U18="","",-1*U18)</f>
        <v>0</v>
      </c>
      <c r="V19" s="265">
        <f>IF(V18="","",-1*V18)</f>
        <v>0</v>
      </c>
      <c r="X19" s="265">
        <f>IF(X18="","",-1*X18)</f>
        <v>0</v>
      </c>
      <c r="Y19" s="265">
        <f>IF(Y18="","",-1*Y18)</f>
        <v>0</v>
      </c>
      <c r="Z19" s="265">
        <f>IF(Z18="","",-1*Z18)</f>
        <v>0</v>
      </c>
      <c r="AA19" s="265">
        <f>IF(AA18="","",-1*AA18)</f>
        <v>0</v>
      </c>
      <c r="AC19" s="265">
        <f>IF(AC18="","",-1*AC18)</f>
        <v>0</v>
      </c>
      <c r="AD19" s="265">
        <f>IF(AD18="","",-1*AD18)</f>
        <v>0</v>
      </c>
    </row>
    <row r="20">
      <c r="A20" t="inlineStr">
        <is>
          <t>Lucro líquido atribuído à companhia [us-gaap:NetIncomeLoss] · memoria · unid. moeda</t>
        </is>
      </c>
      <c r="C20" t="inlineStr">
        <is>
          <t>[linha bruta, sem código; lançada nas linhas abaixo]</t>
        </is>
      </c>
      <c r="D20" s="265" t="n">
        <v>951000</v>
      </c>
      <c r="E20" s="265" t="n">
        <v>1220000</v>
      </c>
      <c r="F20" s="265" t="n">
        <v>1670000</v>
      </c>
      <c r="G20" s="265" t="n">
        <v>1324000</v>
      </c>
      <c r="I20" s="265" t="n">
        <v>1299000</v>
      </c>
      <c r="J20" s="265" t="n">
        <v>1353000</v>
      </c>
      <c r="K20" s="265" t="n">
        <v>1868000</v>
      </c>
      <c r="L20" s="265" t="n">
        <v>1364000</v>
      </c>
      <c r="N20" s="265" t="n">
        <v>1466000</v>
      </c>
      <c r="O20" s="265" t="n">
        <v>1302000</v>
      </c>
      <c r="P20" s="265" t="n">
        <v>2160000</v>
      </c>
      <c r="Q20" s="265" t="n">
        <v>1589000</v>
      </c>
      <c r="S20" s="265" t="n">
        <v>1743000</v>
      </c>
      <c r="T20" s="265" t="n">
        <v>1681000</v>
      </c>
      <c r="U20" s="265" t="n">
        <v>2354000</v>
      </c>
      <c r="V20" s="265" t="n">
        <v>1798000</v>
      </c>
      <c r="X20" s="265" t="n">
        <v>1788000</v>
      </c>
      <c r="Y20" s="265" t="n">
        <v>1903000</v>
      </c>
      <c r="Z20" s="265" t="n">
        <v>2610000</v>
      </c>
      <c r="AA20" s="265" t="n">
        <v>2001000</v>
      </c>
      <c r="AC20" s="265" t="n">
        <v>2035000</v>
      </c>
      <c r="AD20" s="265" t="n">
        <v>2192000</v>
      </c>
    </row>
    <row r="21">
      <c r="A21" t="inlineStr">
        <is>
          <t>Resultado após IR não classificado acima (equivalência patrimonial, operações descontinuadas): lucro - (LAIR - IR - minoritários); zero quando não há · derivada · unid. moeda</t>
        </is>
      </c>
      <c r="B21" t="n">
        <v>8</v>
      </c>
      <c r="C21" t="inlineStr">
        <is>
          <t>Equity in Income of Affiliates, after tax (enter as +)</t>
        </is>
      </c>
      <c r="D21" s="265">
        <f>N(D20)-(N(D11)-N(D16)-N(D18))</f>
        <v>0</v>
      </c>
      <c r="E21" s="265">
        <f>N(E20)-(N(E11)-N(E16)-N(E18))</f>
        <v>0</v>
      </c>
      <c r="F21" s="265">
        <f>N(F20)-(N(F11)-N(F16)-N(F18))</f>
        <v>0</v>
      </c>
      <c r="G21" s="265">
        <f>N(G20)-(N(G11)-N(G16)-N(G18))</f>
        <v>0</v>
      </c>
      <c r="I21" s="265">
        <f>N(I20)-(N(I11)-N(I16)-N(I18))</f>
        <v>0</v>
      </c>
      <c r="J21" s="265">
        <f>N(J20)-(N(J11)-N(J16)-N(J18))</f>
        <v>0</v>
      </c>
      <c r="K21" s="265">
        <f>N(K20)-(N(K11)-N(K16)-N(K18))</f>
        <v>0</v>
      </c>
      <c r="L21" s="265">
        <f>N(L20)-(N(L11)-N(L16)-N(L18))</f>
        <v>0</v>
      </c>
      <c r="N21" s="265">
        <f>N(N20)-(N(N11)-N(N16)-N(N18))</f>
        <v>0</v>
      </c>
      <c r="O21" s="265">
        <f>N(O20)-(N(O11)-N(O16)-N(O18))</f>
        <v>0</v>
      </c>
      <c r="P21" s="265">
        <f>N(P20)-(N(P11)-N(P16)-N(P18))</f>
        <v>0</v>
      </c>
      <c r="Q21" s="265">
        <f>N(Q20)-(N(Q11)-N(Q16)-N(Q18))</f>
        <v>0</v>
      </c>
      <c r="S21" s="265">
        <f>N(S20)-(N(S11)-N(S16)-N(S18))</f>
        <v>0</v>
      </c>
      <c r="T21" s="265">
        <f>N(T20)-(N(T11)-N(T16)-N(T18))</f>
        <v>0</v>
      </c>
      <c r="U21" s="265">
        <f>N(U20)-(N(U11)-N(U16)-N(U18))</f>
        <v>0</v>
      </c>
      <c r="V21" s="265">
        <f>N(V20)-(N(V11)-N(V16)-N(V18))</f>
        <v>0</v>
      </c>
      <c r="X21" s="265">
        <f>N(X20)-(N(X11)-N(X16)-N(X18))</f>
        <v>0</v>
      </c>
      <c r="Y21" s="265">
        <f>N(Y20)-(N(Y11)-N(Y16)-N(Y18))</f>
        <v>0</v>
      </c>
      <c r="Z21" s="265">
        <f>N(Z20)-(N(Z11)-N(Z16)-N(Z18))</f>
        <v>0</v>
      </c>
      <c r="AA21" s="265">
        <f>N(AA20)-(N(AA11)-N(AA16)-N(AA18))</f>
        <v>0</v>
      </c>
      <c r="AC21" s="265">
        <f>N(AC20)-(N(AC11)-N(AC16)-N(AC18))</f>
        <v>0</v>
      </c>
      <c r="AD21" s="265">
        <f>N(AD20)-(N(AD11)-N(AD16)-N(AD18))</f>
        <v>0</v>
      </c>
    </row>
    <row r="22">
      <c r="A22" t="inlineStr">
        <is>
          <t>Lucro líquido (check IS, código 44) · derivada · unid. moeda</t>
        </is>
      </c>
      <c r="B22" t="n">
        <v>44</v>
      </c>
      <c r="C22" t="inlineStr">
        <is>
          <t>Lucro líquido (check IS, código 44)</t>
        </is>
      </c>
      <c r="D22" s="265">
        <f>N(D20)</f>
        <v>951000</v>
      </c>
      <c r="E22" s="265">
        <f>N(E20)</f>
        <v>1220000</v>
      </c>
      <c r="F22" s="265">
        <f>N(F20)</f>
        <v>1670000</v>
      </c>
      <c r="G22" s="265">
        <f>N(G20)</f>
        <v>1324000</v>
      </c>
      <c r="I22" s="265">
        <f>N(I20)</f>
        <v>1299000</v>
      </c>
      <c r="J22" s="265">
        <f>N(J20)</f>
        <v>1353000</v>
      </c>
      <c r="K22" s="265">
        <f>N(K20)</f>
        <v>1868000</v>
      </c>
      <c r="L22" s="265">
        <f>N(L20)</f>
        <v>1364000</v>
      </c>
      <c r="N22" s="265">
        <f>N(N20)</f>
        <v>1466000</v>
      </c>
      <c r="O22" s="265">
        <f>N(O20)</f>
        <v>1302000</v>
      </c>
      <c r="P22" s="265">
        <f>N(P20)</f>
        <v>2160000</v>
      </c>
      <c r="Q22" s="265">
        <f>N(Q20)</f>
        <v>1589000</v>
      </c>
      <c r="S22" s="265">
        <f>N(S20)</f>
        <v>1743000</v>
      </c>
      <c r="T22" s="265">
        <f>N(T20)</f>
        <v>1681000</v>
      </c>
      <c r="U22" s="265">
        <f>N(U20)</f>
        <v>2354000</v>
      </c>
      <c r="V22" s="265">
        <f>N(V20)</f>
        <v>1798000</v>
      </c>
      <c r="X22" s="265">
        <f>N(X20)</f>
        <v>1788000</v>
      </c>
      <c r="Y22" s="265">
        <f>N(Y20)</f>
        <v>1903000</v>
      </c>
      <c r="Z22" s="265">
        <f>N(Z20)</f>
        <v>2610000</v>
      </c>
      <c r="AA22" s="265">
        <f>N(AA20)</f>
        <v>2001000</v>
      </c>
      <c r="AC22" s="265">
        <f>N(AC20)</f>
        <v>2035000</v>
      </c>
      <c r="AD22" s="265">
        <f>N(AD20)</f>
        <v>2192000</v>
      </c>
    </row>
    <row r="23">
      <c r="A23" t="inlineStr">
        <is>
          <t>DFC - trimestre isolado (desacumulado na extração)</t>
        </is>
      </c>
      <c r="C23" t="inlineStr">
        <is>
          <t>[linha bruta, sem código; lançada nas linhas abaixo]</t>
        </is>
      </c>
      <c r="D23" s="265" t="n"/>
      <c r="E23" s="265" t="n"/>
      <c r="F23" s="265" t="n"/>
      <c r="G23" s="265" t="n"/>
      <c r="I23" s="265" t="n"/>
      <c r="J23" s="265" t="n"/>
      <c r="K23" s="265" t="n"/>
      <c r="L23" s="265" t="n"/>
      <c r="N23" s="265" t="n"/>
      <c r="O23" s="265" t="n"/>
      <c r="P23" s="265" t="n"/>
      <c r="Q23" s="265" t="n"/>
      <c r="S23" s="265" t="n"/>
      <c r="T23" s="265" t="n"/>
      <c r="U23" s="265" t="n"/>
      <c r="V23" s="265" t="n"/>
      <c r="X23" s="265" t="n"/>
      <c r="Y23" s="265" t="n"/>
      <c r="Z23" s="265" t="n"/>
      <c r="AA23" s="265" t="n"/>
      <c r="AC23" s="265" t="n"/>
      <c r="AD23" s="265" t="n"/>
    </row>
    <row r="24">
      <c r="A24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 · fonte · unid. moeda</t>
        </is>
      </c>
      <c r="C24" t="inlineStr">
        <is>
          <t>[linha bruta, sem código; lançada nas linhas abaixo]</t>
        </is>
      </c>
      <c r="D24" s="265" t="n">
        <v>416000</v>
      </c>
      <c r="E24" s="265" t="n">
        <v>402000</v>
      </c>
      <c r="F24" s="265" t="n">
        <v>559000</v>
      </c>
      <c r="G24" s="265" t="n">
        <v>432000</v>
      </c>
      <c r="I24" s="265" t="n">
        <v>436000</v>
      </c>
      <c r="J24" s="265" t="n">
        <v>438000</v>
      </c>
      <c r="K24" s="265" t="n">
        <v>594000</v>
      </c>
      <c r="L24" s="265" t="n">
        <v>447000</v>
      </c>
      <c r="N24" s="265" t="n">
        <v>470000</v>
      </c>
      <c r="O24" s="265" t="n">
        <v>472000</v>
      </c>
      <c r="P24" s="265" t="n">
        <v>688000</v>
      </c>
      <c r="Q24" s="265" t="n">
        <v>501000</v>
      </c>
      <c r="S24" s="265" t="n">
        <v>514000</v>
      </c>
      <c r="T24" s="265" t="n">
        <v>516000</v>
      </c>
      <c r="U24" s="265" t="n">
        <v>706000</v>
      </c>
      <c r="V24" s="265" t="n">
        <v>548000</v>
      </c>
      <c r="X24" s="265" t="n">
        <v>552000</v>
      </c>
      <c r="Y24" s="265" t="n">
        <v>552000</v>
      </c>
      <c r="Z24" s="265" t="n">
        <v>774000</v>
      </c>
      <c r="AA24" s="265" t="n">
        <v>597000</v>
      </c>
      <c r="AC24" s="265" t="n">
        <v>597000</v>
      </c>
      <c r="AD24" s="265" t="n">
        <v>597000</v>
      </c>
    </row>
    <row r="25">
      <c r="A25" t="inlineStr">
        <is>
          <t>(lançamento) código 4, sinal -1 sobre a linha bruta 24: D&amp;A (fluxo de caixa). COD1=4 lança (positivo -&gt; -1); COD2=3 devolve às despesas operaciona</t>
        </is>
      </c>
      <c r="B25" t="n">
        <v>4</v>
      </c>
      <c r="C25" t="inlineStr">
        <is>
          <t>D&amp;A</t>
        </is>
      </c>
      <c r="D25" s="265">
        <f>IF(D24="","",-1*D24)</f>
        <v>-416000</v>
      </c>
      <c r="E25" s="265">
        <f>IF(E24="","",-1*E24)</f>
        <v>-402000</v>
      </c>
      <c r="F25" s="265">
        <f>IF(F24="","",-1*F24)</f>
        <v>-559000</v>
      </c>
      <c r="G25" s="265">
        <f>IF(G24="","",-1*G24)</f>
        <v>-432000</v>
      </c>
      <c r="I25" s="265">
        <f>IF(I24="","",-1*I24)</f>
        <v>-436000</v>
      </c>
      <c r="J25" s="265">
        <f>IF(J24="","",-1*J24)</f>
        <v>-438000</v>
      </c>
      <c r="K25" s="265">
        <f>IF(K24="","",-1*K24)</f>
        <v>-594000</v>
      </c>
      <c r="L25" s="265">
        <f>IF(L24="","",-1*L24)</f>
        <v>-447000</v>
      </c>
      <c r="N25" s="265">
        <f>IF(N24="","",-1*N24)</f>
        <v>-470000</v>
      </c>
      <c r="O25" s="265">
        <f>IF(O24="","",-1*O24)</f>
        <v>-472000</v>
      </c>
      <c r="P25" s="265">
        <f>IF(P24="","",-1*P24)</f>
        <v>-688000</v>
      </c>
      <c r="Q25" s="265">
        <f>IF(Q24="","",-1*Q24)</f>
        <v>-501000</v>
      </c>
      <c r="S25" s="265">
        <f>IF(S24="","",-1*S24)</f>
        <v>-514000</v>
      </c>
      <c r="T25" s="265">
        <f>IF(T24="","",-1*T24)</f>
        <v>-516000</v>
      </c>
      <c r="U25" s="265">
        <f>IF(U24="","",-1*U24)</f>
        <v>-706000</v>
      </c>
      <c r="V25" s="265">
        <f>IF(V24="","",-1*V24)</f>
        <v>-548000</v>
      </c>
      <c r="X25" s="265">
        <f>IF(X24="","",-1*X24)</f>
        <v>-552000</v>
      </c>
      <c r="Y25" s="265">
        <f>IF(Y24="","",-1*Y24)</f>
        <v>-552000</v>
      </c>
      <c r="Z25" s="265">
        <f>IF(Z24="","",-1*Z24)</f>
        <v>-774000</v>
      </c>
      <c r="AA25" s="265">
        <f>IF(AA24="","",-1*AA24)</f>
        <v>-597000</v>
      </c>
      <c r="AC25" s="265">
        <f>IF(AC24="","",-1*AC24)</f>
        <v>-597000</v>
      </c>
      <c r="AD25" s="265">
        <f>IF(AD24="","",-1*AD24)</f>
        <v>-597000</v>
      </c>
    </row>
    <row r="26">
      <c r="A26" t="inlineStr">
        <is>
          <t>(lançamento) código 3, sinal +1 sobre a linha bruta 24: D&amp;A (fluxo de caixa). COD1=4 lança (positivo -&gt; -1); COD2=3 devolve às despesas operaciona</t>
        </is>
      </c>
      <c r="B26" t="n">
        <v>3</v>
      </c>
      <c r="C26" t="inlineStr">
        <is>
          <t>SG&amp;A and Other (cash)</t>
        </is>
      </c>
      <c r="D26" s="265">
        <f>IF(D24="","",D24)</f>
        <v>416000</v>
      </c>
      <c r="E26" s="265">
        <f>IF(E24="","",E24)</f>
        <v>402000</v>
      </c>
      <c r="F26" s="265">
        <f>IF(F24="","",F24)</f>
        <v>559000</v>
      </c>
      <c r="G26" s="265">
        <f>IF(G24="","",G24)</f>
        <v>432000</v>
      </c>
      <c r="I26" s="265">
        <f>IF(I24="","",I24)</f>
        <v>436000</v>
      </c>
      <c r="J26" s="265">
        <f>IF(J24="","",J24)</f>
        <v>438000</v>
      </c>
      <c r="K26" s="265">
        <f>IF(K24="","",K24)</f>
        <v>594000</v>
      </c>
      <c r="L26" s="265">
        <f>IF(L24="","",L24)</f>
        <v>447000</v>
      </c>
      <c r="N26" s="265">
        <f>IF(N24="","",N24)</f>
        <v>470000</v>
      </c>
      <c r="O26" s="265">
        <f>IF(O24="","",O24)</f>
        <v>472000</v>
      </c>
      <c r="P26" s="265">
        <f>IF(P24="","",P24)</f>
        <v>688000</v>
      </c>
      <c r="Q26" s="265">
        <f>IF(Q24="","",Q24)</f>
        <v>501000</v>
      </c>
      <c r="S26" s="265">
        <f>IF(S24="","",S24)</f>
        <v>514000</v>
      </c>
      <c r="T26" s="265">
        <f>IF(T24="","",T24)</f>
        <v>516000</v>
      </c>
      <c r="U26" s="265">
        <f>IF(U24="","",U24)</f>
        <v>706000</v>
      </c>
      <c r="V26" s="265">
        <f>IF(V24="","",V24)</f>
        <v>548000</v>
      </c>
      <c r="X26" s="265">
        <f>IF(X24="","",X24)</f>
        <v>552000</v>
      </c>
      <c r="Y26" s="265">
        <f>IF(Y24="","",Y24)</f>
        <v>552000</v>
      </c>
      <c r="Z26" s="265">
        <f>IF(Z24="","",Z24)</f>
        <v>774000</v>
      </c>
      <c r="AA26" s="265">
        <f>IF(AA24="","",AA24)</f>
        <v>597000</v>
      </c>
      <c r="AC26" s="265">
        <f>IF(AC24="","",AC24)</f>
        <v>597000</v>
      </c>
      <c r="AD26" s="265">
        <f>IF(AD24="","",AD24)</f>
        <v>597000</v>
      </c>
    </row>
    <row r="27">
      <c r="A27" t="inlineStr">
        <is>
          <t>Dividendos pagos [us-gaap:PaymentsOfDividends] · fonte · unid. moeda</t>
        </is>
      </c>
      <c r="C27" t="inlineStr">
        <is>
          <t>[linha bruta, sem código; lançada nas linhas abaixo]</t>
        </is>
      </c>
      <c r="D27" s="265" t="n">
        <v>4430000</v>
      </c>
      <c r="E27" s="265" t="n">
        <v>310000</v>
      </c>
      <c r="F27" s="265" t="n">
        <v>698000</v>
      </c>
      <c r="G27" s="265" t="n">
        <v>350000</v>
      </c>
      <c r="I27" s="265" t="n">
        <v>0</v>
      </c>
      <c r="J27" s="265" t="n">
        <v>351000</v>
      </c>
      <c r="K27" s="265" t="n">
        <v>797000</v>
      </c>
      <c r="L27" s="265" t="n">
        <v>400000</v>
      </c>
      <c r="N27" s="265" t="n">
        <v>0</v>
      </c>
      <c r="O27" s="265" t="n">
        <v>399000</v>
      </c>
      <c r="P27" s="265" t="n">
        <v>452000</v>
      </c>
      <c r="Q27" s="265" t="n">
        <v>905000</v>
      </c>
      <c r="S27" s="265" t="n">
        <v>7107000</v>
      </c>
      <c r="T27" s="265" t="n">
        <v>515000</v>
      </c>
      <c r="U27" s="265" t="n">
        <v>514000</v>
      </c>
      <c r="V27" s="265" t="n">
        <v>515000</v>
      </c>
      <c r="X27" s="265" t="n">
        <v>0</v>
      </c>
      <c r="Y27" s="265" t="n">
        <v>515000</v>
      </c>
      <c r="Z27" s="265" t="n">
        <v>1153000</v>
      </c>
      <c r="AA27" s="265" t="n">
        <v>577000</v>
      </c>
      <c r="AC27" s="265" t="n">
        <v>577000</v>
      </c>
      <c r="AD27" s="265" t="n">
        <v>0</v>
      </c>
    </row>
    <row r="28">
      <c r="A28" t="inlineStr">
        <is>
          <t>(lançamento) código 10, sinal -1 sobre a linha bruta 27: Dividendos pagos [us-gaap:PaymentsOfDividends]</t>
        </is>
      </c>
      <c r="B28" t="n">
        <v>10</v>
      </c>
      <c r="C28" t="inlineStr">
        <is>
          <t>Common Dividends</t>
        </is>
      </c>
      <c r="D28" s="265">
        <f>IF(D27="","",-1*D27)</f>
        <v>-4430000</v>
      </c>
      <c r="E28" s="265">
        <f>IF(E27="","",-1*E27)</f>
        <v>-310000</v>
      </c>
      <c r="F28" s="265">
        <f>IF(F27="","",-1*F27)</f>
        <v>-698000</v>
      </c>
      <c r="G28" s="265">
        <f>IF(G27="","",-1*G27)</f>
        <v>-350000</v>
      </c>
      <c r="I28" s="265">
        <f>IF(I27="","",-1*I27)</f>
        <v>0</v>
      </c>
      <c r="J28" s="265">
        <f>IF(J27="","",-1*J27)</f>
        <v>-351000</v>
      </c>
      <c r="K28" s="265">
        <f>IF(K27="","",-1*K27)</f>
        <v>-797000</v>
      </c>
      <c r="L28" s="265">
        <f>IF(L27="","",-1*L27)</f>
        <v>-400000</v>
      </c>
      <c r="N28" s="265">
        <f>IF(N27="","",-1*N27)</f>
        <v>0</v>
      </c>
      <c r="O28" s="265">
        <f>IF(O27="","",-1*O27)</f>
        <v>-399000</v>
      </c>
      <c r="P28" s="265">
        <f>IF(P27="","",-1*P27)</f>
        <v>-452000</v>
      </c>
      <c r="Q28" s="265">
        <f>IF(Q27="","",-1*Q27)</f>
        <v>-905000</v>
      </c>
      <c r="S28" s="265">
        <f>IF(S27="","",-1*S27)</f>
        <v>-7107000</v>
      </c>
      <c r="T28" s="265">
        <f>IF(T27="","",-1*T27)</f>
        <v>-515000</v>
      </c>
      <c r="U28" s="265">
        <f>IF(U27="","",-1*U27)</f>
        <v>-514000</v>
      </c>
      <c r="V28" s="265">
        <f>IF(V27="","",-1*V27)</f>
        <v>-515000</v>
      </c>
      <c r="X28" s="265">
        <f>IF(X27="","",-1*X27)</f>
        <v>0</v>
      </c>
      <c r="Y28" s="265">
        <f>IF(Y27="","",-1*Y27)</f>
        <v>-515000</v>
      </c>
      <c r="Z28" s="265">
        <f>IF(Z27="","",-1*Z27)</f>
        <v>-1153000</v>
      </c>
      <c r="AA28" s="265">
        <f>IF(AA27="","",-1*AA27)</f>
        <v>-577000</v>
      </c>
      <c r="AC28" s="265">
        <f>IF(AC27="","",-1*AC27)</f>
        <v>-577000</v>
      </c>
      <c r="AD28" s="265">
        <f>IF(AD27="","",-1*AD27)</f>
        <v>0</v>
      </c>
    </row>
    <row r="29">
      <c r="A29" t="inlineStr">
        <is>
          <t>BALANÇO DE FACE (USD, saldo no fim do trimestre; cada trimestre lido da instância do próprio 10-Q/10-K)</t>
        </is>
      </c>
      <c r="C29" t="inlineStr">
        <is>
          <t>[linha bruta, sem código; lançada nas linhas abaixo]</t>
        </is>
      </c>
      <c r="D29" s="265" t="n"/>
      <c r="E29" s="265" t="n"/>
      <c r="F29" s="265" t="n"/>
      <c r="G29" s="265" t="n"/>
      <c r="I29" s="265" t="n"/>
      <c r="J29" s="265" t="n"/>
      <c r="K29" s="265" t="n"/>
      <c r="L29" s="265" t="n"/>
      <c r="N29" s="265" t="n"/>
      <c r="O29" s="265" t="n"/>
      <c r="P29" s="265" t="n"/>
      <c r="Q29" s="265" t="n"/>
      <c r="S29" s="265" t="n"/>
      <c r="T29" s="265" t="n"/>
      <c r="U29" s="265" t="n"/>
      <c r="V29" s="265" t="n"/>
      <c r="X29" s="265" t="n"/>
      <c r="Y29" s="265" t="n"/>
      <c r="Z29" s="265" t="n"/>
      <c r="AA29" s="265" t="n"/>
      <c r="AC29" s="265" t="n"/>
      <c r="AD29" s="265" t="n"/>
    </row>
    <row r="30">
      <c r="A30" t="inlineStr">
        <is>
          <t>CashAndCashEquivalentsAtCarryingValue · fonte · unid. moeda</t>
        </is>
      </c>
      <c r="B30" t="n">
        <v>11</v>
      </c>
      <c r="C30" t="inlineStr">
        <is>
          <t>Cash and equivalents (inc. investment securities)</t>
        </is>
      </c>
      <c r="D30" s="265" t="n">
        <v>8637000</v>
      </c>
      <c r="E30" s="265" t="n">
        <v>10226000</v>
      </c>
      <c r="F30" s="265" t="n">
        <v>11258000</v>
      </c>
      <c r="G30" s="265" t="n">
        <v>12751000</v>
      </c>
      <c r="I30" s="265" t="n">
        <v>11819000</v>
      </c>
      <c r="J30" s="265" t="n">
        <v>11193000</v>
      </c>
      <c r="K30" s="265" t="n">
        <v>10203000</v>
      </c>
      <c r="L30" s="265" t="n">
        <v>10856000</v>
      </c>
      <c r="N30" s="265" t="n">
        <v>12970000</v>
      </c>
      <c r="O30" s="265" t="n">
        <v>12493000</v>
      </c>
      <c r="P30" s="265" t="n">
        <v>13700000</v>
      </c>
      <c r="Q30" s="265" t="n">
        <v>17011000</v>
      </c>
      <c r="S30" s="265" t="n">
        <v>9095000</v>
      </c>
      <c r="T30" s="265" t="n">
        <v>10404000</v>
      </c>
      <c r="U30" s="265" t="n">
        <v>9906000</v>
      </c>
      <c r="V30" s="265" t="n">
        <v>10907000</v>
      </c>
      <c r="X30" s="265" t="n">
        <v>12356000</v>
      </c>
      <c r="Y30" s="265" t="n">
        <v>13836000</v>
      </c>
      <c r="Z30" s="265" t="n">
        <v>14161000</v>
      </c>
      <c r="AA30" s="265" t="n">
        <v>16217000</v>
      </c>
      <c r="AC30" s="265" t="n">
        <v>17383000</v>
      </c>
      <c r="AD30" s="265" t="n">
        <v>18946000</v>
      </c>
    </row>
    <row r="31">
      <c r="A31" t="inlineStr">
        <is>
          <t>ShortTermInvestments · fonte · unid. moeda</t>
        </is>
      </c>
      <c r="B31" t="n">
        <v>11</v>
      </c>
      <c r="C31" t="inlineStr">
        <is>
          <t>Cash and equivalents (inc. investment securities)</t>
        </is>
      </c>
      <c r="D31" s="265" t="n">
        <v>617000</v>
      </c>
      <c r="E31" s="265" t="n">
        <v>900000</v>
      </c>
      <c r="F31" s="265" t="n">
        <v>917000</v>
      </c>
      <c r="G31" s="265" t="n">
        <v>725000</v>
      </c>
      <c r="I31" s="265" t="n">
        <v>477000</v>
      </c>
      <c r="J31" s="265" t="n">
        <v>638000</v>
      </c>
      <c r="K31" s="265" t="n">
        <v>846000</v>
      </c>
      <c r="L31" s="265" t="n">
        <v>817000</v>
      </c>
      <c r="N31" s="265" t="n">
        <v>735000</v>
      </c>
      <c r="O31" s="265" t="n">
        <v>1215000</v>
      </c>
      <c r="P31" s="265" t="n">
        <v>1534000</v>
      </c>
      <c r="Q31" s="265" t="n">
        <v>853000</v>
      </c>
      <c r="S31" s="265" t="n">
        <v>1226000</v>
      </c>
      <c r="T31" s="265" t="n">
        <v>1095000</v>
      </c>
      <c r="U31" s="265" t="n">
        <v>1238000</v>
      </c>
      <c r="V31" s="265" t="n">
        <v>920000</v>
      </c>
      <c r="X31" s="265" t="n">
        <v>802000</v>
      </c>
      <c r="Y31" s="265" t="n">
        <v>1014000</v>
      </c>
      <c r="Z31" s="265" t="n">
        <v>1123000</v>
      </c>
      <c r="AA31" s="265" t="n">
        <v>966000</v>
      </c>
      <c r="AC31" s="265" t="n">
        <v>857000</v>
      </c>
      <c r="AD31" s="265" t="n">
        <v>1050000</v>
      </c>
    </row>
    <row r="32">
      <c r="A32" t="inlineStr">
        <is>
          <t>ReceivablesNetCurrent · fonte · unid. moeda</t>
        </is>
      </c>
      <c r="B32" t="n">
        <v>12</v>
      </c>
      <c r="C32" t="inlineStr">
        <is>
          <t>Accounts receivable</t>
        </is>
      </c>
      <c r="D32" s="265" t="n">
        <v>1934000</v>
      </c>
      <c r="E32" s="265" t="n">
        <v>1595000</v>
      </c>
      <c r="F32" s="265" t="n">
        <v>1803000</v>
      </c>
      <c r="G32" s="265" t="n">
        <v>1932000</v>
      </c>
      <c r="I32" s="265" t="n">
        <v>2232000</v>
      </c>
      <c r="J32" s="265" t="n">
        <v>1991000</v>
      </c>
      <c r="K32" s="265" t="n">
        <v>2241000</v>
      </c>
      <c r="L32" s="265" t="n">
        <v>2312000</v>
      </c>
      <c r="N32" s="265" t="n">
        <v>2714000</v>
      </c>
      <c r="O32" s="265" t="n">
        <v>2502000</v>
      </c>
      <c r="P32" s="265" t="n">
        <v>2285000</v>
      </c>
      <c r="Q32" s="265" t="n">
        <v>2542000</v>
      </c>
      <c r="S32" s="265" t="n">
        <v>2779000</v>
      </c>
      <c r="T32" s="265" t="n">
        <v>2583000</v>
      </c>
      <c r="U32" s="265" t="n">
        <v>2721000</v>
      </c>
      <c r="V32" s="265" t="n">
        <v>2963000</v>
      </c>
      <c r="X32" s="265" t="n">
        <v>3060000</v>
      </c>
      <c r="Y32" s="265" t="n">
        <v>2875000</v>
      </c>
      <c r="Z32" s="265" t="n">
        <v>3203000</v>
      </c>
      <c r="AA32" s="265" t="n">
        <v>3231000</v>
      </c>
      <c r="AC32" s="265" t="n">
        <v>3782000</v>
      </c>
      <c r="AD32" s="265" t="n">
        <v>3750000</v>
      </c>
    </row>
    <row r="33">
      <c r="A33" t="inlineStr">
        <is>
          <t>InventoryNet · fonte · unid. moeda</t>
        </is>
      </c>
      <c r="B33" t="n">
        <v>13</v>
      </c>
      <c r="C33" t="inlineStr">
        <is>
          <t>Inventories</t>
        </is>
      </c>
      <c r="D33" s="265" t="n">
        <v>13865000</v>
      </c>
      <c r="E33" s="265" t="n">
        <v>13975000</v>
      </c>
      <c r="F33" s="265" t="n">
        <v>14215000</v>
      </c>
      <c r="G33" s="265" t="n">
        <v>16942000</v>
      </c>
      <c r="I33" s="265" t="n">
        <v>16485000</v>
      </c>
      <c r="J33" s="265" t="n">
        <v>17623000</v>
      </c>
      <c r="K33" s="265" t="n">
        <v>17907000</v>
      </c>
      <c r="L33" s="265" t="n">
        <v>18571000</v>
      </c>
      <c r="N33" s="265" t="n">
        <v>16081000</v>
      </c>
      <c r="O33" s="265" t="n">
        <v>16324000</v>
      </c>
      <c r="P33" s="265" t="n">
        <v>16651000</v>
      </c>
      <c r="Q33" s="265" t="n">
        <v>18001000</v>
      </c>
      <c r="S33" s="265" t="n">
        <v>17075000</v>
      </c>
      <c r="T33" s="265" t="n">
        <v>17430000</v>
      </c>
      <c r="U33" s="265" t="n">
        <v>18647000</v>
      </c>
      <c r="V33" s="265" t="n">
        <v>20979000</v>
      </c>
      <c r="X33" s="265" t="n">
        <v>18754000</v>
      </c>
      <c r="Y33" s="265" t="n">
        <v>18606000</v>
      </c>
      <c r="Z33" s="265" t="n">
        <v>18116000</v>
      </c>
      <c r="AA33" s="265" t="n">
        <v>21141000</v>
      </c>
      <c r="AC33" s="265" t="n">
        <v>18991000</v>
      </c>
      <c r="AD33" s="265" t="n">
        <v>19418000</v>
      </c>
    </row>
    <row r="34">
      <c r="A34" t="inlineStr">
        <is>
          <t>OtherAssetsCurrent · fonte · unid. moeda</t>
        </is>
      </c>
      <c r="B34" t="n">
        <v>16</v>
      </c>
      <c r="C34" t="inlineStr">
        <is>
          <t>Other current assets</t>
        </is>
      </c>
      <c r="D34" s="265" t="n">
        <v>1255000</v>
      </c>
      <c r="E34" s="265" t="n">
        <v>1220000</v>
      </c>
      <c r="F34" s="265" t="n">
        <v>1312000</v>
      </c>
      <c r="G34" s="265" t="n">
        <v>1500000</v>
      </c>
      <c r="I34" s="265" t="n">
        <v>1552000</v>
      </c>
      <c r="J34" s="265" t="n">
        <v>1563000</v>
      </c>
      <c r="K34" s="265" t="n">
        <v>1499000</v>
      </c>
      <c r="L34" s="265" t="n">
        <v>1594000</v>
      </c>
      <c r="N34" s="265" t="n">
        <v>1830000</v>
      </c>
      <c r="O34" s="265" t="n">
        <v>1755000</v>
      </c>
      <c r="P34" s="265" t="n">
        <v>1709000</v>
      </c>
      <c r="Q34" s="265" t="n">
        <v>1673000</v>
      </c>
      <c r="S34" s="265" t="n">
        <v>1971000</v>
      </c>
      <c r="T34" s="265" t="n">
        <v>1776000</v>
      </c>
      <c r="U34" s="265" t="n">
        <v>1734000</v>
      </c>
      <c r="V34" s="265" t="n">
        <v>1754000</v>
      </c>
      <c r="X34" s="265" t="n">
        <v>1925000</v>
      </c>
      <c r="Y34" s="265" t="n">
        <v>1820000</v>
      </c>
      <c r="Z34" s="265" t="n">
        <v>1777000</v>
      </c>
      <c r="AA34" s="265" t="n">
        <v>1856000</v>
      </c>
      <c r="AC34" s="265" t="n">
        <v>2120000</v>
      </c>
      <c r="AD34" s="265" t="n">
        <v>2013000</v>
      </c>
    </row>
    <row r="35">
      <c r="A35" t="inlineStr">
        <is>
          <t>PropertyPlantAndEquipmentNet · fonte · unid. moeda</t>
        </is>
      </c>
      <c r="B35" t="n">
        <v>18</v>
      </c>
      <c r="C35" t="inlineStr">
        <is>
          <t>PP&amp;E</t>
        </is>
      </c>
      <c r="D35" s="265" t="n">
        <v>22531000</v>
      </c>
      <c r="E35" s="265" t="n">
        <v>23177000</v>
      </c>
      <c r="F35" s="265" t="n">
        <v>23492000</v>
      </c>
      <c r="G35" s="265" t="n">
        <v>23887000</v>
      </c>
      <c r="I35" s="265" t="n">
        <v>24052000</v>
      </c>
      <c r="J35" s="265" t="n">
        <v>24143000</v>
      </c>
      <c r="K35" s="265" t="n">
        <v>24646000</v>
      </c>
      <c r="L35" s="265" t="n">
        <v>25144000</v>
      </c>
      <c r="N35" s="265" t="n">
        <v>25724000</v>
      </c>
      <c r="O35" s="265" t="n">
        <v>25931000</v>
      </c>
      <c r="P35" s="265" t="n">
        <v>26684000</v>
      </c>
      <c r="Q35" s="265" t="n">
        <v>27168000</v>
      </c>
      <c r="S35" s="265" t="n">
        <v>27601000</v>
      </c>
      <c r="T35" s="265" t="n">
        <v>28062000</v>
      </c>
      <c r="U35" s="265" t="n">
        <v>29032000</v>
      </c>
      <c r="V35" s="265" t="n">
        <v>29336000</v>
      </c>
      <c r="X35" s="265" t="n">
        <v>29809000</v>
      </c>
      <c r="Y35" s="265" t="n">
        <v>30582000</v>
      </c>
      <c r="Z35" s="265" t="n">
        <v>31909000</v>
      </c>
      <c r="AA35" s="265" t="n">
        <v>32616000</v>
      </c>
      <c r="AC35" s="265" t="n">
        <v>33645000</v>
      </c>
      <c r="AD35" s="265" t="n">
        <v>34293000</v>
      </c>
    </row>
    <row r="36">
      <c r="A36" t="inlineStr">
        <is>
          <t>OperatingLeaseRightOfUseAsset · fonte · unid. moeda</t>
        </is>
      </c>
      <c r="B36" t="n">
        <v>19</v>
      </c>
      <c r="C36" t="inlineStr">
        <is>
          <t>Right-of-use-assets</t>
        </is>
      </c>
      <c r="D36" s="265" t="n">
        <v>2887000</v>
      </c>
      <c r="E36" s="265" t="n">
        <v>2875000</v>
      </c>
      <c r="F36" s="265" t="n">
        <v>2890000</v>
      </c>
      <c r="G36" s="265" t="n">
        <v>2903000</v>
      </c>
      <c r="I36" s="265" t="n">
        <v>2840000</v>
      </c>
      <c r="J36" s="265" t="n">
        <v>2731000</v>
      </c>
      <c r="K36" s="265" t="n">
        <v>2774000</v>
      </c>
      <c r="L36" s="265" t="n">
        <v>2787000</v>
      </c>
      <c r="N36" s="265" t="n">
        <v>2859000</v>
      </c>
      <c r="O36" s="265" t="n">
        <v>2806000</v>
      </c>
      <c r="P36" s="265" t="n">
        <v>2713000</v>
      </c>
      <c r="Q36" s="265" t="n">
        <v>2672000</v>
      </c>
      <c r="S36" s="265" t="n">
        <v>2740000</v>
      </c>
      <c r="T36" s="265" t="n">
        <v>2643000</v>
      </c>
      <c r="U36" s="265" t="n">
        <v>2617000</v>
      </c>
      <c r="V36" s="265" t="n">
        <v>2539000</v>
      </c>
      <c r="X36" s="265" t="n">
        <v>2531000</v>
      </c>
      <c r="Y36" s="265" t="n">
        <v>2718000</v>
      </c>
      <c r="Z36" s="265" t="n">
        <v>2725000</v>
      </c>
      <c r="AA36" s="265" t="n">
        <v>2730000</v>
      </c>
      <c r="AC36" s="265" t="n">
        <v>2759000</v>
      </c>
      <c r="AD36" s="265" t="n">
        <v>2747000</v>
      </c>
    </row>
    <row r="37">
      <c r="A37" t="inlineStr">
        <is>
          <t>OtherAssetsNoncurrent · fonte · unid. moeda</t>
        </is>
      </c>
      <c r="B37" t="n">
        <v>22</v>
      </c>
      <c r="C37" t="inlineStr">
        <is>
          <t>Other non-current assets</t>
        </is>
      </c>
      <c r="D37" s="265" t="n">
        <v>3192000</v>
      </c>
      <c r="E37" s="265" t="n">
        <v>3306000</v>
      </c>
      <c r="F37" s="265" t="n">
        <v>3381000</v>
      </c>
      <c r="G37" s="265" t="n">
        <v>3509000</v>
      </c>
      <c r="I37" s="265" t="n">
        <v>3621000</v>
      </c>
      <c r="J37" s="265" t="n">
        <v>3970000</v>
      </c>
      <c r="K37" s="265" t="n">
        <v>4050000</v>
      </c>
      <c r="L37" s="265" t="n">
        <v>3946000</v>
      </c>
      <c r="N37" s="265" t="n">
        <v>3935000</v>
      </c>
      <c r="O37" s="265" t="n">
        <v>3726000</v>
      </c>
      <c r="P37" s="265" t="n">
        <v>3718000</v>
      </c>
      <c r="Q37" s="265" t="n">
        <v>3803000</v>
      </c>
      <c r="S37" s="265" t="n">
        <v>3836000</v>
      </c>
      <c r="T37" s="265" t="n">
        <v>3918000</v>
      </c>
      <c r="U37" s="265" t="n">
        <v>3936000</v>
      </c>
      <c r="V37" s="265" t="n">
        <v>3988000</v>
      </c>
      <c r="X37" s="265" t="n">
        <v>3987000</v>
      </c>
      <c r="Y37" s="265" t="n">
        <v>4031000</v>
      </c>
      <c r="Z37" s="265" t="n">
        <v>4085000</v>
      </c>
      <c r="AA37" s="265" t="n">
        <v>4033000</v>
      </c>
      <c r="AC37" s="265" t="n">
        <v>4102000</v>
      </c>
      <c r="AD37" s="265" t="n">
        <v>4213000</v>
      </c>
    </row>
    <row r="38">
      <c r="A38" t="inlineStr">
        <is>
          <t>AccountsPayableCurrent · fonte · unid. moeda</t>
        </is>
      </c>
      <c r="B38" t="n">
        <v>23</v>
      </c>
      <c r="C38" t="inlineStr">
        <is>
          <t>Accounts payable</t>
        </is>
      </c>
      <c r="D38" s="265" t="n">
        <v>14383000</v>
      </c>
      <c r="E38" s="265" t="n">
        <v>15538000</v>
      </c>
      <c r="F38" s="265" t="n">
        <v>16278000</v>
      </c>
      <c r="G38" s="265" t="n">
        <v>19561000</v>
      </c>
      <c r="I38" s="265" t="n">
        <v>17089000</v>
      </c>
      <c r="J38" s="265" t="n">
        <v>17651000</v>
      </c>
      <c r="K38" s="265" t="n">
        <v>17848000</v>
      </c>
      <c r="L38" s="265" t="n">
        <v>18348000</v>
      </c>
      <c r="N38" s="265" t="n">
        <v>16407000</v>
      </c>
      <c r="O38" s="265" t="n">
        <v>16853000</v>
      </c>
      <c r="P38" s="265" t="n">
        <v>17483000</v>
      </c>
      <c r="Q38" s="265" t="n">
        <v>20357000</v>
      </c>
      <c r="S38" s="265" t="n">
        <v>17494000</v>
      </c>
      <c r="T38" s="265" t="n">
        <v>18844000</v>
      </c>
      <c r="U38" s="265" t="n">
        <v>19421000</v>
      </c>
      <c r="V38" s="265" t="n">
        <v>21793000</v>
      </c>
      <c r="X38" s="265" t="n">
        <v>18610000</v>
      </c>
      <c r="Y38" s="265" t="n">
        <v>19820000</v>
      </c>
      <c r="Z38" s="265" t="n">
        <v>19783000</v>
      </c>
      <c r="AA38" s="265" t="n">
        <v>23513000</v>
      </c>
      <c r="AC38" s="265" t="n">
        <v>20647000</v>
      </c>
      <c r="AD38" s="265" t="n">
        <v>22363000</v>
      </c>
    </row>
    <row r="39">
      <c r="A39" t="inlineStr">
        <is>
          <t>EmployeeRelatedLiabilitiesCurrent · fonte · unid. moeda</t>
        </is>
      </c>
      <c r="B39" t="n">
        <v>24</v>
      </c>
      <c r="C39" t="inlineStr">
        <is>
          <t>Accrued expenses</t>
        </is>
      </c>
      <c r="D39" s="265" t="n">
        <v>4132000</v>
      </c>
      <c r="E39" s="265" t="n">
        <v>3826000</v>
      </c>
      <c r="F39" s="265" t="n">
        <v>4090000</v>
      </c>
      <c r="G39" s="265" t="n">
        <v>3985000</v>
      </c>
      <c r="I39" s="265" t="n">
        <v>4347000</v>
      </c>
      <c r="J39" s="265" t="n">
        <v>4090000</v>
      </c>
      <c r="K39" s="265" t="n">
        <v>4381000</v>
      </c>
      <c r="L39" s="265" t="n">
        <v>4317000</v>
      </c>
      <c r="N39" s="265" t="n">
        <v>4483000</v>
      </c>
      <c r="O39" s="265" t="n">
        <v>4117000</v>
      </c>
      <c r="P39" s="265" t="n">
        <v>4278000</v>
      </c>
      <c r="Q39" s="265" t="n">
        <v>4474000</v>
      </c>
      <c r="S39" s="265" t="n">
        <v>4801000</v>
      </c>
      <c r="T39" s="265" t="n">
        <v>4365000</v>
      </c>
      <c r="U39" s="265" t="n">
        <v>4794000</v>
      </c>
      <c r="V39" s="265" t="n">
        <v>4785000</v>
      </c>
      <c r="X39" s="265" t="n">
        <v>5150000</v>
      </c>
      <c r="Y39" s="265" t="n">
        <v>4813000</v>
      </c>
      <c r="Z39" s="265" t="n">
        <v>5205000</v>
      </c>
      <c r="AA39" s="265" t="n">
        <v>5172000</v>
      </c>
      <c r="AC39" s="265" t="n">
        <v>5635000</v>
      </c>
      <c r="AD39" s="265" t="n">
        <v>5218000</v>
      </c>
    </row>
    <row r="40">
      <c r="A40" t="inlineStr">
        <is>
          <t>AccruedLiabilitiesCurrent · fonte · unid. moeda</t>
        </is>
      </c>
      <c r="B40" t="n">
        <v>24</v>
      </c>
      <c r="C40" t="inlineStr">
        <is>
          <t>Accrued expenses</t>
        </is>
      </c>
      <c r="D40" s="265" t="n">
        <v>1541000</v>
      </c>
      <c r="E40" s="265" t="n">
        <v>1617000</v>
      </c>
      <c r="F40" s="265" t="n">
        <v>1671000</v>
      </c>
      <c r="G40" s="265" t="n">
        <v>1726000</v>
      </c>
      <c r="I40" s="265" t="n">
        <v>1798000</v>
      </c>
      <c r="J40" s="265" t="n">
        <v>1828000</v>
      </c>
      <c r="K40" s="265" t="n">
        <v>1911000</v>
      </c>
      <c r="L40" s="265" t="n">
        <v>1959000</v>
      </c>
      <c r="N40" s="265" t="n">
        <v>2016000</v>
      </c>
      <c r="O40" s="265" t="n">
        <v>2076000</v>
      </c>
      <c r="P40" s="265" t="n">
        <v>2150000</v>
      </c>
      <c r="Q40" s="265" t="n">
        <v>2207000</v>
      </c>
      <c r="S40" s="265" t="n">
        <v>2268000</v>
      </c>
      <c r="T40" s="265" t="n">
        <v>2339000</v>
      </c>
      <c r="U40" s="265" t="n">
        <v>2435000</v>
      </c>
      <c r="V40" s="265" t="n">
        <v>2444000</v>
      </c>
      <c r="X40" s="265" t="n">
        <v>2491000</v>
      </c>
      <c r="Y40" s="265" t="n">
        <v>2583000</v>
      </c>
      <c r="Z40" s="265" t="n">
        <v>2677000</v>
      </c>
      <c r="AA40" s="265" t="n">
        <v>2712000</v>
      </c>
      <c r="AC40" s="265" t="n">
        <v>2833000</v>
      </c>
      <c r="AD40" s="265" t="n">
        <v>2948000</v>
      </c>
    </row>
    <row r="41">
      <c r="A41" t="inlineStr">
        <is>
          <t>CustomerLoyaltyProgramLiabilityCurrent · fonte · unid. moeda</t>
        </is>
      </c>
      <c r="B41" t="n">
        <v>26</v>
      </c>
      <c r="C41" t="inlineStr">
        <is>
          <t>Other current liabilities (non-debt)</t>
        </is>
      </c>
      <c r="D41" s="265" t="n">
        <v>0</v>
      </c>
      <c r="E41" s="265" t="n">
        <v>0</v>
      </c>
      <c r="F41" s="265" t="n">
        <v>0</v>
      </c>
      <c r="G41" s="265" t="n">
        <v>0</v>
      </c>
      <c r="I41" s="265" t="n">
        <v>0</v>
      </c>
      <c r="J41" s="265" t="n">
        <v>0</v>
      </c>
      <c r="K41" s="265" t="n">
        <v>0</v>
      </c>
      <c r="L41" s="265" t="n">
        <v>0</v>
      </c>
      <c r="N41" s="265" t="n">
        <v>0</v>
      </c>
      <c r="O41" s="265" t="n">
        <v>0</v>
      </c>
      <c r="P41" s="265" t="n">
        <v>0</v>
      </c>
      <c r="Q41" s="265" t="n">
        <v>0</v>
      </c>
      <c r="S41" s="265" t="n">
        <v>0</v>
      </c>
      <c r="T41" s="265" t="n">
        <v>0</v>
      </c>
      <c r="U41" s="265" t="n">
        <v>0</v>
      </c>
      <c r="V41" s="265" t="n">
        <v>0</v>
      </c>
      <c r="X41" s="265" t="n">
        <v>0</v>
      </c>
      <c r="Y41" s="265" t="n">
        <v>0</v>
      </c>
      <c r="Z41" s="265" t="n">
        <v>0</v>
      </c>
      <c r="AA41" s="265" t="n">
        <v>0</v>
      </c>
      <c r="AC41" s="265" t="n">
        <v>0</v>
      </c>
      <c r="AD41" s="265" t="n">
        <v>0</v>
      </c>
    </row>
    <row r="42">
      <c r="A42" t="inlineStr">
        <is>
          <t>DeferredRevenueCurrent · fonte · unid. moeda</t>
        </is>
      </c>
      <c r="B42" t="n">
        <v>26</v>
      </c>
      <c r="C42" t="inlineStr">
        <is>
          <t>Other current liabilities (non-debt)</t>
        </is>
      </c>
      <c r="D42" s="265" t="n">
        <v>2048000</v>
      </c>
      <c r="E42" s="265" t="n">
        <v>2102000</v>
      </c>
      <c r="F42" s="265" t="n">
        <v>2042000</v>
      </c>
      <c r="G42" s="265" t="n">
        <v>2192000</v>
      </c>
      <c r="I42" s="265" t="n">
        <v>2244000</v>
      </c>
      <c r="J42" s="265" t="n">
        <v>2251000</v>
      </c>
      <c r="K42" s="265" t="n">
        <v>2174000</v>
      </c>
      <c r="L42" s="265" t="n">
        <v>2322000</v>
      </c>
      <c r="N42" s="265" t="n">
        <v>2412000</v>
      </c>
      <c r="O42" s="265" t="n">
        <v>2436000</v>
      </c>
      <c r="P42" s="265" t="n">
        <v>2337000</v>
      </c>
      <c r="Q42" s="265" t="n">
        <v>2462000</v>
      </c>
      <c r="S42" s="265" t="n">
        <v>2541000</v>
      </c>
      <c r="T42" s="265" t="n">
        <v>2553000</v>
      </c>
      <c r="U42" s="265" t="n">
        <v>2501000</v>
      </c>
      <c r="V42" s="265" t="n">
        <v>2683000</v>
      </c>
      <c r="X42" s="265" t="n">
        <v>2824000</v>
      </c>
      <c r="Y42" s="265" t="n">
        <v>2931000</v>
      </c>
      <c r="Z42" s="265" t="n">
        <v>2854000</v>
      </c>
      <c r="AA42" s="265" t="n">
        <v>2990000</v>
      </c>
      <c r="AC42" s="265" t="n">
        <v>3126000</v>
      </c>
      <c r="AD42" s="265" t="n">
        <v>3157000</v>
      </c>
    </row>
    <row r="43">
      <c r="A43" t="inlineStr">
        <is>
          <t>OtherLiabilitiesCurrent · fonte · unid. moeda</t>
        </is>
      </c>
      <c r="B43" t="n">
        <v>26</v>
      </c>
      <c r="C43" t="inlineStr">
        <is>
          <t>Other current liabilities (non-debt)</t>
        </is>
      </c>
      <c r="D43" s="265" t="n">
        <v>4365000</v>
      </c>
      <c r="E43" s="265" t="n">
        <v>4807000</v>
      </c>
      <c r="F43" s="265" t="n">
        <v>4561000</v>
      </c>
      <c r="G43" s="265" t="n">
        <v>5079000</v>
      </c>
      <c r="I43" s="265" t="n">
        <v>6067000</v>
      </c>
      <c r="J43" s="265" t="n">
        <v>5948000</v>
      </c>
      <c r="K43" s="265" t="n">
        <v>5611000</v>
      </c>
      <c r="L43" s="265" t="n">
        <v>6050000</v>
      </c>
      <c r="N43" s="265" t="n">
        <v>7122000</v>
      </c>
      <c r="O43" s="265" t="n">
        <v>6226000</v>
      </c>
      <c r="P43" s="265" t="n">
        <v>6254000</v>
      </c>
      <c r="Q43" s="265" t="n">
        <v>6188000</v>
      </c>
      <c r="S43" s="265" t="n">
        <v>6504000</v>
      </c>
      <c r="T43" s="265" t="n">
        <v>6183000</v>
      </c>
      <c r="U43" s="265" t="n">
        <v>6210000</v>
      </c>
      <c r="V43" s="265" t="n">
        <v>6584000</v>
      </c>
      <c r="X43" s="265" t="n">
        <v>7924000</v>
      </c>
      <c r="Y43" s="265" t="n">
        <v>7432000</v>
      </c>
      <c r="Z43" s="265" t="n">
        <v>6589000</v>
      </c>
      <c r="AA43" s="265" t="n">
        <v>7418000</v>
      </c>
      <c r="AC43" s="265" t="n">
        <v>8522000</v>
      </c>
      <c r="AD43" s="265" t="n">
        <v>8439000</v>
      </c>
    </row>
    <row r="44">
      <c r="A44" t="inlineStr">
        <is>
          <t>LongTermDebtCurrent · fonte · unid. moeda</t>
        </is>
      </c>
      <c r="B44" t="n">
        <v>27</v>
      </c>
      <c r="C44" t="inlineStr">
        <is>
          <t>Current portion of long-term debt</t>
        </is>
      </c>
      <c r="D44" s="265" t="n">
        <v>95000</v>
      </c>
      <c r="E44" s="265" t="n">
        <v>92000</v>
      </c>
      <c r="F44" s="265" t="n">
        <v>799000</v>
      </c>
      <c r="G44" s="265" t="n">
        <v>799000</v>
      </c>
      <c r="I44" s="265" t="n">
        <v>0</v>
      </c>
      <c r="J44" s="265" t="n">
        <v>77000</v>
      </c>
      <c r="K44" s="265" t="n">
        <v>73000</v>
      </c>
      <c r="L44" s="265" t="n">
        <v>71000</v>
      </c>
      <c r="N44" s="265" t="n">
        <v>76000</v>
      </c>
      <c r="O44" s="265" t="n">
        <v>0</v>
      </c>
      <c r="P44" s="265" t="n">
        <v>1081000</v>
      </c>
      <c r="Q44" s="265" t="n">
        <v>1080000</v>
      </c>
      <c r="S44" s="265" t="n">
        <v>1080000</v>
      </c>
      <c r="T44" s="265" t="n">
        <v>1077000</v>
      </c>
      <c r="U44" s="265" t="n">
        <v>103000</v>
      </c>
      <c r="V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C44" s="265" t="n">
        <v>0</v>
      </c>
      <c r="AD44" s="265" t="n">
        <v>0</v>
      </c>
    </row>
    <row r="45">
      <c r="A45" t="inlineStr">
        <is>
          <t>LongTermDebtNoncurrent · fonte · unid. moeda</t>
        </is>
      </c>
      <c r="B45" t="n">
        <v>30</v>
      </c>
      <c r="C45" t="inlineStr">
        <is>
          <t>Long term debt</t>
        </is>
      </c>
      <c r="D45" s="265" t="n">
        <v>7522000</v>
      </c>
      <c r="E45" s="265" t="n">
        <v>7495000</v>
      </c>
      <c r="F45" s="265" t="n">
        <v>6692000</v>
      </c>
      <c r="G45" s="265" t="n">
        <v>6667000</v>
      </c>
      <c r="I45" s="265" t="n">
        <v>6658000</v>
      </c>
      <c r="J45" s="265" t="n">
        <v>6507000</v>
      </c>
      <c r="K45" s="265" t="n">
        <v>6484000</v>
      </c>
      <c r="L45" s="265" t="n">
        <v>6472000</v>
      </c>
      <c r="N45" s="265" t="n">
        <v>6506000</v>
      </c>
      <c r="O45" s="265" t="n">
        <v>6497000</v>
      </c>
      <c r="P45" s="265" t="n">
        <v>5377000</v>
      </c>
      <c r="Q45" s="265" t="n">
        <v>5866000</v>
      </c>
      <c r="S45" s="265" t="n">
        <v>5865000</v>
      </c>
      <c r="T45" s="265" t="n">
        <v>5834000</v>
      </c>
      <c r="U45" s="265" t="n">
        <v>5794000</v>
      </c>
      <c r="V45" s="265" t="n">
        <v>5745000</v>
      </c>
      <c r="X45" s="265" t="n">
        <v>5755000</v>
      </c>
      <c r="Y45" s="265" t="n">
        <v>5717000</v>
      </c>
      <c r="Z45" s="265" t="n">
        <v>5713000</v>
      </c>
      <c r="AA45" s="265" t="n">
        <v>5666000</v>
      </c>
      <c r="AC45" s="265" t="n">
        <v>5688000</v>
      </c>
      <c r="AD45" s="265" t="n">
        <v>5670000</v>
      </c>
    </row>
    <row r="46">
      <c r="A46" t="inlineStr">
        <is>
          <t>OperatingLeaseLiabilityNoncurrent · fonte · unid. moeda</t>
        </is>
      </c>
      <c r="B46" t="n">
        <v>31</v>
      </c>
      <c r="C46" t="inlineStr">
        <is>
          <t>Long term operating leases</t>
        </is>
      </c>
      <c r="D46" s="265" t="n">
        <v>2651000</v>
      </c>
      <c r="E46" s="265" t="n">
        <v>2641000</v>
      </c>
      <c r="F46" s="265" t="n">
        <v>2642000</v>
      </c>
      <c r="G46" s="265" t="n">
        <v>2649000</v>
      </c>
      <c r="I46" s="265" t="n">
        <v>2588000</v>
      </c>
      <c r="J46" s="265" t="n">
        <v>2452000</v>
      </c>
      <c r="K46" s="265" t="n">
        <v>2482000</v>
      </c>
      <c r="L46" s="265" t="n">
        <v>2503000</v>
      </c>
      <c r="N46" s="265" t="n">
        <v>2557000</v>
      </c>
      <c r="O46" s="265" t="n">
        <v>2507000</v>
      </c>
      <c r="P46" s="265" t="n">
        <v>2426000</v>
      </c>
      <c r="Q46" s="265" t="n">
        <v>2401000</v>
      </c>
      <c r="S46" s="265" t="n">
        <v>2488000</v>
      </c>
      <c r="T46" s="265" t="n">
        <v>2386000</v>
      </c>
      <c r="U46" s="265" t="n">
        <v>2375000</v>
      </c>
      <c r="V46" s="265" t="n">
        <v>2288000</v>
      </c>
      <c r="X46" s="265" t="n">
        <v>2284000</v>
      </c>
      <c r="Y46" s="265" t="n">
        <v>2463000</v>
      </c>
      <c r="Z46" s="265" t="n">
        <v>2460000</v>
      </c>
      <c r="AA46" s="265" t="n">
        <v>2436000</v>
      </c>
      <c r="AC46" s="265" t="n">
        <v>2477000</v>
      </c>
      <c r="AD46" s="265" t="n">
        <v>2466000</v>
      </c>
    </row>
    <row r="47">
      <c r="A47" t="inlineStr">
        <is>
          <t>OtherLiabilitiesNoncurrent · fonte · unid. moeda</t>
        </is>
      </c>
      <c r="B47" t="n">
        <v>34</v>
      </c>
      <c r="C47" t="inlineStr">
        <is>
          <t>Other non-current liabilities</t>
        </is>
      </c>
      <c r="D47" s="265" t="n">
        <v>2052000</v>
      </c>
      <c r="E47" s="265" t="n">
        <v>2182000</v>
      </c>
      <c r="F47" s="265" t="n">
        <v>2415000</v>
      </c>
      <c r="G47" s="265" t="n">
        <v>2491000</v>
      </c>
      <c r="I47" s="265" t="n">
        <v>2311000</v>
      </c>
      <c r="J47" s="265" t="n">
        <v>2535000</v>
      </c>
      <c r="K47" s="265" t="n">
        <v>2555000</v>
      </c>
      <c r="L47" s="265" t="n">
        <v>2509000</v>
      </c>
      <c r="N47" s="265" t="n">
        <v>2470000</v>
      </c>
      <c r="O47" s="265" t="n">
        <v>2467000</v>
      </c>
      <c r="P47" s="265" t="n">
        <v>2550000</v>
      </c>
      <c r="Q47" s="265" t="n">
        <v>2541000</v>
      </c>
      <c r="S47" s="265" t="n">
        <v>2522000</v>
      </c>
      <c r="T47" s="265" t="n">
        <v>2559000</v>
      </c>
      <c r="U47" s="265" t="n">
        <v>2576000</v>
      </c>
      <c r="V47" s="265" t="n">
        <v>2613000</v>
      </c>
      <c r="X47" s="265" t="n">
        <v>2609000</v>
      </c>
      <c r="Y47" s="265" t="n">
        <v>2598000</v>
      </c>
      <c r="Z47" s="265" t="n">
        <v>2654000</v>
      </c>
      <c r="AA47" s="265" t="n">
        <v>2580000</v>
      </c>
      <c r="AC47" s="265" t="n">
        <v>2624000</v>
      </c>
      <c r="AD47" s="265" t="n">
        <v>2660000</v>
      </c>
    </row>
    <row r="48">
      <c r="A48" t="inlineStr">
        <is>
          <t>MinorityInterest · fonte · unid. moeda</t>
        </is>
      </c>
      <c r="B48" t="n">
        <v>35</v>
      </c>
      <c r="C48" t="inlineStr">
        <is>
          <t>Minority interest</t>
        </is>
      </c>
      <c r="D48" s="265" t="n">
        <v>477000</v>
      </c>
      <c r="E48" s="265" t="n">
        <v>492000</v>
      </c>
      <c r="F48" s="265" t="n">
        <v>514000</v>
      </c>
      <c r="G48" s="265" t="n">
        <v>537000</v>
      </c>
      <c r="I48" s="265" t="n">
        <v>558000</v>
      </c>
      <c r="J48" s="265" t="n">
        <v>545000</v>
      </c>
      <c r="K48" s="265" t="n">
        <v>5000</v>
      </c>
      <c r="L48" s="265" t="n">
        <v>5000</v>
      </c>
      <c r="N48" s="265" t="n">
        <v>5000</v>
      </c>
      <c r="O48" s="265" t="n">
        <v>5000</v>
      </c>
      <c r="P48" s="265" t="n">
        <v>0</v>
      </c>
      <c r="Q48" s="265" t="n">
        <v>0</v>
      </c>
      <c r="S48" s="265" t="n">
        <v>0</v>
      </c>
      <c r="T48" s="265" t="n">
        <v>0</v>
      </c>
      <c r="U48" s="265" t="n">
        <v>0</v>
      </c>
      <c r="V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C48" s="265" t="n">
        <v>0</v>
      </c>
      <c r="AD48" s="265" t="n">
        <v>0</v>
      </c>
    </row>
    <row r="49">
      <c r="A49" t="inlineStr">
        <is>
          <t>CommonStockValue · fonte · unid. moeda</t>
        </is>
      </c>
      <c r="B49" t="n">
        <v>37</v>
      </c>
      <c r="C49" t="inlineStr">
        <is>
          <t>Common Stock and APIC</t>
        </is>
      </c>
      <c r="D49" s="265" t="n">
        <v>4000</v>
      </c>
      <c r="E49" s="265" t="n">
        <v>4000</v>
      </c>
      <c r="F49" s="265" t="n">
        <v>4000</v>
      </c>
      <c r="G49" s="265" t="n">
        <v>4000</v>
      </c>
      <c r="I49" s="265" t="n">
        <v>4000</v>
      </c>
      <c r="J49" s="265" t="n">
        <v>4000</v>
      </c>
      <c r="K49" s="265" t="n">
        <v>2000</v>
      </c>
      <c r="L49" s="265" t="n">
        <v>2000</v>
      </c>
      <c r="N49" s="265" t="n">
        <v>2000</v>
      </c>
      <c r="O49" s="265" t="n">
        <v>2000</v>
      </c>
      <c r="P49" s="265" t="n">
        <v>2000</v>
      </c>
      <c r="Q49" s="265" t="n">
        <v>2000</v>
      </c>
      <c r="S49" s="265" t="n">
        <v>2000</v>
      </c>
      <c r="T49" s="265" t="n">
        <v>2000</v>
      </c>
      <c r="U49" s="265" t="n">
        <v>2000</v>
      </c>
      <c r="V49" s="265" t="n">
        <v>2000</v>
      </c>
      <c r="X49" s="265" t="n">
        <v>2000</v>
      </c>
      <c r="Y49" s="265" t="n">
        <v>2000</v>
      </c>
      <c r="Z49" s="265" t="n">
        <v>2000</v>
      </c>
      <c r="AA49" s="265" t="n">
        <v>2000</v>
      </c>
      <c r="AC49" s="265" t="n">
        <v>2000</v>
      </c>
      <c r="AD49" s="265" t="n">
        <v>2000</v>
      </c>
    </row>
    <row r="50">
      <c r="A50" t="inlineStr">
        <is>
          <t>AdditionalPaidInCapitalCommonStock · fonte · unid. moeda</t>
        </is>
      </c>
      <c r="B50" t="n">
        <v>37</v>
      </c>
      <c r="C50" t="inlineStr">
        <is>
          <t>Common Stock and APIC</t>
        </is>
      </c>
      <c r="D50" s="265" t="n">
        <v>6843000</v>
      </c>
      <c r="E50" s="265" t="n">
        <v>6921000</v>
      </c>
      <c r="F50" s="265" t="n">
        <v>7031000</v>
      </c>
      <c r="G50" s="265" t="n">
        <v>7064000</v>
      </c>
      <c r="I50" s="265" t="n">
        <v>7186000</v>
      </c>
      <c r="J50" s="265" t="n">
        <v>7272000</v>
      </c>
      <c r="K50" s="265" t="n">
        <v>6884000</v>
      </c>
      <c r="L50" s="265" t="n">
        <v>6982000</v>
      </c>
      <c r="N50" s="265" t="n">
        <v>7123000</v>
      </c>
      <c r="O50" s="265" t="n">
        <v>7211000</v>
      </c>
      <c r="P50" s="265" t="n">
        <v>7340000</v>
      </c>
      <c r="Q50" s="265" t="n">
        <v>7489000</v>
      </c>
      <c r="S50" s="265" t="n">
        <v>7620000</v>
      </c>
      <c r="T50" s="265" t="n">
        <v>7702000</v>
      </c>
      <c r="U50" s="265" t="n">
        <v>7829000</v>
      </c>
      <c r="V50" s="265" t="n">
        <v>7901000</v>
      </c>
      <c r="X50" s="265" t="n">
        <v>8047000</v>
      </c>
      <c r="Y50" s="265" t="n">
        <v>8148000</v>
      </c>
      <c r="Z50" s="265" t="n">
        <v>8282000</v>
      </c>
      <c r="AA50" s="265" t="n">
        <v>8408000</v>
      </c>
      <c r="AC50" s="265" t="n">
        <v>8570000</v>
      </c>
      <c r="AD50" s="265" t="n">
        <v>8683000</v>
      </c>
    </row>
    <row r="51">
      <c r="A51" t="inlineStr">
        <is>
          <t>AccumulatedOtherComprehensiveIncomeLossNetOfTax · fonte · unid. moeda</t>
        </is>
      </c>
      <c r="B51" t="n">
        <v>39</v>
      </c>
      <c r="C51" t="inlineStr">
        <is>
          <t>Comprehensive (accumulated) loss</t>
        </is>
      </c>
      <c r="D51" s="265" t="n">
        <v>-961000</v>
      </c>
      <c r="E51" s="265" t="n">
        <v>-909000</v>
      </c>
      <c r="F51" s="265" t="n">
        <v>-1137000</v>
      </c>
      <c r="G51" s="265" t="n">
        <v>-1211000</v>
      </c>
      <c r="I51" s="265" t="n">
        <v>-1246000</v>
      </c>
      <c r="J51" s="265" t="n">
        <v>-1602000</v>
      </c>
      <c r="K51" s="265" t="n">
        <v>-1829000</v>
      </c>
      <c r="L51" s="265" t="n">
        <v>-1925000</v>
      </c>
      <c r="N51" s="265" t="n">
        <v>-1672000</v>
      </c>
      <c r="O51" s="265" t="n">
        <v>-1680000</v>
      </c>
      <c r="P51" s="265" t="n">
        <v>-1805000</v>
      </c>
      <c r="Q51" s="265" t="n">
        <v>-1843000</v>
      </c>
      <c r="S51" s="265" t="n">
        <v>-1842000</v>
      </c>
      <c r="T51" s="265" t="n">
        <v>-1922000</v>
      </c>
      <c r="U51" s="265" t="n">
        <v>-1828000</v>
      </c>
      <c r="V51" s="265" t="n">
        <v>-2152000</v>
      </c>
      <c r="X51" s="265" t="n">
        <v>-2242000</v>
      </c>
      <c r="Y51" s="265" t="n">
        <v>-1915000</v>
      </c>
      <c r="Z51" s="265" t="n">
        <v>-1770000</v>
      </c>
      <c r="AA51" s="265" t="n">
        <v>-1976000</v>
      </c>
      <c r="AC51" s="265" t="n">
        <v>-1606000</v>
      </c>
      <c r="AD51" s="265" t="n">
        <v>-1658000</v>
      </c>
    </row>
    <row r="52">
      <c r="A52" t="inlineStr">
        <is>
          <t>RetainedEarningsAccumulatedDeficit · fonte · unid. moeda</t>
        </is>
      </c>
      <c r="B52" t="n">
        <v>41</v>
      </c>
      <c r="C52" t="inlineStr">
        <is>
          <t>Retained earnings</t>
        </is>
      </c>
      <c r="D52" s="265" t="n">
        <v>9766000</v>
      </c>
      <c r="E52" s="265" t="n">
        <v>10466000</v>
      </c>
      <c r="F52" s="265" t="n">
        <v>11666000</v>
      </c>
      <c r="G52" s="265" t="n">
        <v>12606000</v>
      </c>
      <c r="I52" s="265" t="n">
        <v>13474000</v>
      </c>
      <c r="J52" s="265" t="n">
        <v>14294000</v>
      </c>
      <c r="K52" s="265" t="n">
        <v>15585000</v>
      </c>
      <c r="L52" s="265" t="n">
        <v>16412000</v>
      </c>
      <c r="N52" s="265" t="n">
        <v>17341000</v>
      </c>
      <c r="O52" s="265" t="n">
        <v>18035000</v>
      </c>
      <c r="P52" s="265" t="n">
        <v>19521000</v>
      </c>
      <c r="Q52" s="265" t="n">
        <v>20499000</v>
      </c>
      <c r="S52" s="265" t="n">
        <v>14980000</v>
      </c>
      <c r="T52" s="265" t="n">
        <v>15989000</v>
      </c>
      <c r="U52" s="265" t="n">
        <v>17619000</v>
      </c>
      <c r="V52" s="265" t="n">
        <v>18700000</v>
      </c>
      <c r="X52" s="265" t="n">
        <v>19770000</v>
      </c>
      <c r="Y52" s="265" t="n">
        <v>20890000</v>
      </c>
      <c r="Z52" s="265" t="n">
        <v>22650000</v>
      </c>
      <c r="AA52" s="265" t="n">
        <v>23869000</v>
      </c>
      <c r="AC52" s="265" t="n">
        <v>25121000</v>
      </c>
      <c r="AD52" s="265" t="n">
        <v>26482000</v>
      </c>
    </row>
    <row r="53">
      <c r="A53" t="inlineStr">
        <is>
          <t>[vazio] IR diferido ativo: não aparece como linha própria nas demonstrações (zero) · derivada · unid. moeda</t>
        </is>
      </c>
      <c r="B53" t="n">
        <v>14</v>
      </c>
      <c r="C53" t="inlineStr">
        <is>
          <t>Deferred income taxes</t>
        </is>
      </c>
      <c r="D53" s="265" t="n">
        <v>0</v>
      </c>
      <c r="E53" s="265" t="n">
        <v>0</v>
      </c>
      <c r="F53" s="265" t="n">
        <v>0</v>
      </c>
      <c r="G53" s="265" t="n">
        <v>0</v>
      </c>
      <c r="I53" s="265" t="n">
        <v>0</v>
      </c>
      <c r="J53" s="265" t="n">
        <v>0</v>
      </c>
      <c r="K53" s="265" t="n">
        <v>0</v>
      </c>
      <c r="L53" s="265" t="n">
        <v>0</v>
      </c>
      <c r="N53" s="265" t="n">
        <v>0</v>
      </c>
      <c r="O53" s="265" t="n">
        <v>0</v>
      </c>
      <c r="P53" s="265" t="n">
        <v>0</v>
      </c>
      <c r="Q53" s="265" t="n">
        <v>0</v>
      </c>
      <c r="S53" s="265" t="n">
        <v>0</v>
      </c>
      <c r="T53" s="265" t="n">
        <v>0</v>
      </c>
      <c r="U53" s="265" t="n">
        <v>0</v>
      </c>
      <c r="V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C53" s="265" t="n">
        <v>0</v>
      </c>
      <c r="AD53" s="265" t="n">
        <v>0</v>
      </c>
    </row>
    <row r="54">
      <c r="A54" t="inlineStr">
        <is>
          <t>[vazio] Despesas antecipadas: não aparece como linha própria nas demonstrações (zero) · derivada · unid. moeda</t>
        </is>
      </c>
      <c r="B54" t="n">
        <v>15</v>
      </c>
      <c r="C54" t="inlineStr">
        <is>
          <t>Prepaid expenses</t>
        </is>
      </c>
      <c r="D54" s="265" t="n">
        <v>0</v>
      </c>
      <c r="E54" s="265" t="n">
        <v>0</v>
      </c>
      <c r="F54" s="265" t="n">
        <v>0</v>
      </c>
      <c r="G54" s="265" t="n">
        <v>0</v>
      </c>
      <c r="I54" s="265" t="n">
        <v>0</v>
      </c>
      <c r="J54" s="265" t="n">
        <v>0</v>
      </c>
      <c r="K54" s="265" t="n">
        <v>0</v>
      </c>
      <c r="L54" s="265" t="n">
        <v>0</v>
      </c>
      <c r="N54" s="265" t="n">
        <v>0</v>
      </c>
      <c r="O54" s="265" t="n">
        <v>0</v>
      </c>
      <c r="P54" s="265" t="n">
        <v>0</v>
      </c>
      <c r="Q54" s="265" t="n">
        <v>0</v>
      </c>
      <c r="S54" s="265" t="n">
        <v>0</v>
      </c>
      <c r="T54" s="265" t="n">
        <v>0</v>
      </c>
      <c r="U54" s="265" t="n">
        <v>0</v>
      </c>
      <c r="V54" s="265" t="n">
        <v>0</v>
      </c>
      <c r="X54" s="265" t="n">
        <v>0</v>
      </c>
      <c r="Y54" s="265" t="n">
        <v>0</v>
      </c>
      <c r="Z54" s="265" t="n">
        <v>0</v>
      </c>
      <c r="AA54" s="265" t="n">
        <v>0</v>
      </c>
      <c r="AC54" s="265" t="n">
        <v>0</v>
      </c>
      <c r="AD54" s="265" t="n">
        <v>0</v>
      </c>
    </row>
    <row r="55">
      <c r="A55" t="inlineStr">
        <is>
          <t>[vazio] Investimentos em coligadas: não aparece como linha própria nas demonstrações (zero) · derivada · unid. moeda</t>
        </is>
      </c>
      <c r="B55" t="n">
        <v>17</v>
      </c>
      <c r="C55" t="inlineStr">
        <is>
          <t>Equity in affiliates</t>
        </is>
      </c>
      <c r="D55" s="265" t="n">
        <v>0</v>
      </c>
      <c r="E55" s="265" t="n">
        <v>0</v>
      </c>
      <c r="F55" s="265" t="n">
        <v>0</v>
      </c>
      <c r="G55" s="265" t="n">
        <v>0</v>
      </c>
      <c r="I55" s="265" t="n">
        <v>0</v>
      </c>
      <c r="J55" s="265" t="n">
        <v>0</v>
      </c>
      <c r="K55" s="265" t="n">
        <v>0</v>
      </c>
      <c r="L55" s="265" t="n">
        <v>0</v>
      </c>
      <c r="N55" s="265" t="n">
        <v>0</v>
      </c>
      <c r="O55" s="265" t="n">
        <v>0</v>
      </c>
      <c r="P55" s="265" t="n">
        <v>0</v>
      </c>
      <c r="Q55" s="265" t="n">
        <v>0</v>
      </c>
      <c r="S55" s="265" t="n">
        <v>0</v>
      </c>
      <c r="T55" s="265" t="n">
        <v>0</v>
      </c>
      <c r="U55" s="265" t="n">
        <v>0</v>
      </c>
      <c r="V55" s="265" t="n">
        <v>0</v>
      </c>
      <c r="X55" s="265" t="n">
        <v>0</v>
      </c>
      <c r="Y55" s="265" t="n">
        <v>0</v>
      </c>
      <c r="Z55" s="265" t="n">
        <v>0</v>
      </c>
      <c r="AA55" s="265" t="n">
        <v>0</v>
      </c>
      <c r="AC55" s="265" t="n">
        <v>0</v>
      </c>
      <c r="AD55" s="265" t="n">
        <v>0</v>
      </c>
    </row>
    <row r="56">
      <c r="A56" t="inlineStr">
        <is>
          <t>[vazio] Goodwill: não aparece como linha própria nas demonstrações (zero) · derivada · unid. moeda</t>
        </is>
      </c>
      <c r="B56" t="n">
        <v>20</v>
      </c>
      <c r="C56" t="inlineStr">
        <is>
          <t>Goodwill</t>
        </is>
      </c>
      <c r="D56" s="265" t="n">
        <v>0</v>
      </c>
      <c r="E56" s="265" t="n">
        <v>0</v>
      </c>
      <c r="F56" s="265" t="n">
        <v>0</v>
      </c>
      <c r="G56" s="265" t="n">
        <v>0</v>
      </c>
      <c r="I56" s="265" t="n">
        <v>0</v>
      </c>
      <c r="J56" s="265" t="n">
        <v>0</v>
      </c>
      <c r="K56" s="265" t="n">
        <v>0</v>
      </c>
      <c r="L56" s="265" t="n">
        <v>0</v>
      </c>
      <c r="N56" s="265" t="n">
        <v>0</v>
      </c>
      <c r="O56" s="265" t="n">
        <v>0</v>
      </c>
      <c r="P56" s="265" t="n">
        <v>0</v>
      </c>
      <c r="Q56" s="265" t="n">
        <v>0</v>
      </c>
      <c r="S56" s="265" t="n">
        <v>0</v>
      </c>
      <c r="T56" s="265" t="n">
        <v>0</v>
      </c>
      <c r="U56" s="265" t="n">
        <v>0</v>
      </c>
      <c r="V56" s="265" t="n">
        <v>0</v>
      </c>
      <c r="X56" s="265" t="n">
        <v>0</v>
      </c>
      <c r="Y56" s="265" t="n">
        <v>0</v>
      </c>
      <c r="Z56" s="265" t="n">
        <v>0</v>
      </c>
      <c r="AA56" s="265" t="n">
        <v>0</v>
      </c>
      <c r="AC56" s="265" t="n">
        <v>0</v>
      </c>
      <c r="AD56" s="265" t="n">
        <v>0</v>
      </c>
    </row>
    <row r="57">
      <c r="A57" t="inlineStr">
        <is>
          <t>[vazio] Intangíveis: não aparece como linha própria nas demonstrações (zero) · derivada · unid. moeda</t>
        </is>
      </c>
      <c r="B57" t="n">
        <v>21</v>
      </c>
      <c r="C57" t="inlineStr">
        <is>
          <t>Intangibles</t>
        </is>
      </c>
      <c r="D57" s="265" t="n">
        <v>0</v>
      </c>
      <c r="E57" s="265" t="n">
        <v>0</v>
      </c>
      <c r="F57" s="265" t="n">
        <v>0</v>
      </c>
      <c r="G57" s="265" t="n">
        <v>0</v>
      </c>
      <c r="I57" s="265" t="n">
        <v>0</v>
      </c>
      <c r="J57" s="265" t="n">
        <v>0</v>
      </c>
      <c r="K57" s="265" t="n">
        <v>0</v>
      </c>
      <c r="L57" s="265" t="n">
        <v>0</v>
      </c>
      <c r="N57" s="265" t="n">
        <v>0</v>
      </c>
      <c r="O57" s="265" t="n">
        <v>0</v>
      </c>
      <c r="P57" s="265" t="n">
        <v>0</v>
      </c>
      <c r="Q57" s="265" t="n">
        <v>0</v>
      </c>
      <c r="S57" s="265" t="n">
        <v>0</v>
      </c>
      <c r="T57" s="265" t="n">
        <v>0</v>
      </c>
      <c r="U57" s="265" t="n">
        <v>0</v>
      </c>
      <c r="V57" s="265" t="n">
        <v>0</v>
      </c>
      <c r="X57" s="265" t="n">
        <v>0</v>
      </c>
      <c r="Y57" s="265" t="n">
        <v>0</v>
      </c>
      <c r="Z57" s="265" t="n">
        <v>0</v>
      </c>
      <c r="AA57" s="265" t="n">
        <v>0</v>
      </c>
      <c r="AC57" s="265" t="n">
        <v>0</v>
      </c>
      <c r="AD57" s="265" t="n">
        <v>0</v>
      </c>
    </row>
    <row r="58">
      <c r="A58" t="inlineStr">
        <is>
          <t>[vazio] Impostos a pagar: não aparece como linha própria nas demonstrações (zero) · derivada · unid. moeda</t>
        </is>
      </c>
      <c r="B58" t="n">
        <v>25</v>
      </c>
      <c r="C58" t="inlineStr">
        <is>
          <t>Taxes payable</t>
        </is>
      </c>
      <c r="D58" s="265" t="n">
        <v>0</v>
      </c>
      <c r="E58" s="265" t="n">
        <v>0</v>
      </c>
      <c r="F58" s="265" t="n">
        <v>0</v>
      </c>
      <c r="G58" s="265" t="n">
        <v>0</v>
      </c>
      <c r="I58" s="265" t="n">
        <v>0</v>
      </c>
      <c r="J58" s="265" t="n">
        <v>0</v>
      </c>
      <c r="K58" s="265" t="n">
        <v>0</v>
      </c>
      <c r="L58" s="265" t="n">
        <v>0</v>
      </c>
      <c r="N58" s="265" t="n">
        <v>0</v>
      </c>
      <c r="O58" s="265" t="n">
        <v>0</v>
      </c>
      <c r="P58" s="265" t="n">
        <v>0</v>
      </c>
      <c r="Q58" s="265" t="n">
        <v>0</v>
      </c>
      <c r="S58" s="265" t="n">
        <v>0</v>
      </c>
      <c r="T58" s="265" t="n">
        <v>0</v>
      </c>
      <c r="U58" s="265" t="n">
        <v>0</v>
      </c>
      <c r="V58" s="265" t="n">
        <v>0</v>
      </c>
      <c r="X58" s="265" t="n">
        <v>0</v>
      </c>
      <c r="Y58" s="265" t="n">
        <v>0</v>
      </c>
      <c r="Z58" s="265" t="n">
        <v>0</v>
      </c>
      <c r="AA58" s="265" t="n">
        <v>0</v>
      </c>
      <c r="AC58" s="265" t="n">
        <v>0</v>
      </c>
      <c r="AD58" s="265" t="n">
        <v>0</v>
      </c>
    </row>
    <row r="59">
      <c r="A59" t="inlineStr">
        <is>
          <t>[vazio] Revolving: não aparece como linha própria nas demonstrações (zero) · derivada · unid. moeda</t>
        </is>
      </c>
      <c r="B59" t="n">
        <v>28</v>
      </c>
      <c r="C59" t="inlineStr">
        <is>
          <t>Short term debt (Revolving credit facility)</t>
        </is>
      </c>
      <c r="D59" s="265" t="n">
        <v>0</v>
      </c>
      <c r="E59" s="265" t="n">
        <v>0</v>
      </c>
      <c r="F59" s="265" t="n">
        <v>0</v>
      </c>
      <c r="G59" s="265" t="n">
        <v>0</v>
      </c>
      <c r="I59" s="265" t="n">
        <v>0</v>
      </c>
      <c r="J59" s="265" t="n">
        <v>0</v>
      </c>
      <c r="K59" s="265" t="n">
        <v>0</v>
      </c>
      <c r="L59" s="265" t="n">
        <v>0</v>
      </c>
      <c r="N59" s="265" t="n">
        <v>0</v>
      </c>
      <c r="O59" s="265" t="n">
        <v>0</v>
      </c>
      <c r="P59" s="265" t="n">
        <v>0</v>
      </c>
      <c r="Q59" s="265" t="n">
        <v>0</v>
      </c>
      <c r="S59" s="265" t="n">
        <v>0</v>
      </c>
      <c r="T59" s="265" t="n">
        <v>0</v>
      </c>
      <c r="U59" s="265" t="n">
        <v>0</v>
      </c>
      <c r="V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C59" s="265" t="n">
        <v>0</v>
      </c>
      <c r="AD59" s="265" t="n">
        <v>0</v>
      </c>
    </row>
    <row r="60">
      <c r="A60" t="inlineStr">
        <is>
          <t>[vazio] Arrendamento CP: não aparece como linha própria nas demonstrações (zero) · derivada · unid. moeda</t>
        </is>
      </c>
      <c r="B60" t="n">
        <v>29</v>
      </c>
      <c r="C60" t="inlineStr">
        <is>
          <t>Short term operating leases</t>
        </is>
      </c>
      <c r="D60" s="265" t="n">
        <v>0</v>
      </c>
      <c r="E60" s="265" t="n">
        <v>0</v>
      </c>
      <c r="F60" s="265" t="n">
        <v>0</v>
      </c>
      <c r="G60" s="265" t="n">
        <v>0</v>
      </c>
      <c r="I60" s="265" t="n">
        <v>0</v>
      </c>
      <c r="J60" s="265" t="n">
        <v>0</v>
      </c>
      <c r="K60" s="265" t="n">
        <v>0</v>
      </c>
      <c r="L60" s="265" t="n">
        <v>0</v>
      </c>
      <c r="N60" s="265" t="n">
        <v>0</v>
      </c>
      <c r="O60" s="265" t="n">
        <v>0</v>
      </c>
      <c r="P60" s="265" t="n">
        <v>0</v>
      </c>
      <c r="Q60" s="265" t="n">
        <v>0</v>
      </c>
      <c r="S60" s="265" t="n">
        <v>0</v>
      </c>
      <c r="T60" s="265" t="n">
        <v>0</v>
      </c>
      <c r="U60" s="265" t="n">
        <v>0</v>
      </c>
      <c r="V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C60" s="265" t="n">
        <v>0</v>
      </c>
      <c r="AD60" s="265" t="n">
        <v>0</v>
      </c>
    </row>
    <row r="61">
      <c r="A61" t="inlineStr">
        <is>
          <t>[vazio] Dívida conversível: não aparece como linha própria nas demonstrações (zero) · derivada · unid. moeda</t>
        </is>
      </c>
      <c r="B61" t="n">
        <v>32</v>
      </c>
      <c r="C61" t="inlineStr">
        <is>
          <t>Convertible debt</t>
        </is>
      </c>
      <c r="D61" s="265" t="n">
        <v>0</v>
      </c>
      <c r="E61" s="265" t="n">
        <v>0</v>
      </c>
      <c r="F61" s="265" t="n">
        <v>0</v>
      </c>
      <c r="G61" s="265" t="n">
        <v>0</v>
      </c>
      <c r="I61" s="265" t="n">
        <v>0</v>
      </c>
      <c r="J61" s="265" t="n">
        <v>0</v>
      </c>
      <c r="K61" s="265" t="n">
        <v>0</v>
      </c>
      <c r="L61" s="265" t="n">
        <v>0</v>
      </c>
      <c r="N61" s="265" t="n">
        <v>0</v>
      </c>
      <c r="O61" s="265" t="n">
        <v>0</v>
      </c>
      <c r="P61" s="265" t="n">
        <v>0</v>
      </c>
      <c r="Q61" s="265" t="n">
        <v>0</v>
      </c>
      <c r="S61" s="265" t="n">
        <v>0</v>
      </c>
      <c r="T61" s="265" t="n">
        <v>0</v>
      </c>
      <c r="U61" s="265" t="n">
        <v>0</v>
      </c>
      <c r="V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C61" s="265" t="n">
        <v>0</v>
      </c>
      <c r="AD61" s="265" t="n">
        <v>0</v>
      </c>
    </row>
    <row r="62">
      <c r="A62" t="inlineStr">
        <is>
          <t>[vazio] IR diferido passivo: não aparece como linha própria nas demonstrações (zero) · derivada · unid. moeda</t>
        </is>
      </c>
      <c r="B62" t="n">
        <v>33</v>
      </c>
      <c r="C62" t="inlineStr">
        <is>
          <t>Deferred income taxes</t>
        </is>
      </c>
      <c r="D62" s="265" t="n">
        <v>0</v>
      </c>
      <c r="E62" s="265" t="n">
        <v>0</v>
      </c>
      <c r="F62" s="265" t="n">
        <v>0</v>
      </c>
      <c r="G62" s="265" t="n">
        <v>0</v>
      </c>
      <c r="I62" s="265" t="n">
        <v>0</v>
      </c>
      <c r="J62" s="265" t="n">
        <v>0</v>
      </c>
      <c r="K62" s="265" t="n">
        <v>0</v>
      </c>
      <c r="L62" s="265" t="n">
        <v>0</v>
      </c>
      <c r="N62" s="265" t="n">
        <v>0</v>
      </c>
      <c r="O62" s="265" t="n">
        <v>0</v>
      </c>
      <c r="P62" s="265" t="n">
        <v>0</v>
      </c>
      <c r="Q62" s="265" t="n">
        <v>0</v>
      </c>
      <c r="S62" s="265" t="n">
        <v>0</v>
      </c>
      <c r="T62" s="265" t="n">
        <v>0</v>
      </c>
      <c r="U62" s="265" t="n">
        <v>0</v>
      </c>
      <c r="V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C62" s="265" t="n">
        <v>0</v>
      </c>
      <c r="AD62" s="265" t="n">
        <v>0</v>
      </c>
    </row>
    <row r="63">
      <c r="A63" t="inlineStr">
        <is>
          <t>[vazio] Tesouraria: não aparece como linha própria nas demonstrações (zero) · derivada · unid. moeda</t>
        </is>
      </c>
      <c r="B63" t="n">
        <v>38</v>
      </c>
      <c r="C63" t="inlineStr">
        <is>
          <t>Treasury stock (contra account)</t>
        </is>
      </c>
      <c r="D63" s="265" t="n">
        <v>0</v>
      </c>
      <c r="E63" s="265" t="n">
        <v>0</v>
      </c>
      <c r="F63" s="265" t="n">
        <v>0</v>
      </c>
      <c r="G63" s="265" t="n">
        <v>0</v>
      </c>
      <c r="I63" s="265" t="n">
        <v>0</v>
      </c>
      <c r="J63" s="265" t="n">
        <v>0</v>
      </c>
      <c r="K63" s="265" t="n">
        <v>0</v>
      </c>
      <c r="L63" s="265" t="n">
        <v>0</v>
      </c>
      <c r="N63" s="265" t="n">
        <v>0</v>
      </c>
      <c r="O63" s="265" t="n">
        <v>0</v>
      </c>
      <c r="P63" s="265" t="n">
        <v>0</v>
      </c>
      <c r="Q63" s="265" t="n">
        <v>0</v>
      </c>
      <c r="S63" s="265" t="n">
        <v>0</v>
      </c>
      <c r="T63" s="265" t="n">
        <v>0</v>
      </c>
      <c r="U63" s="265" t="n">
        <v>0</v>
      </c>
      <c r="V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C63" s="265" t="n">
        <v>0</v>
      </c>
      <c r="AD63" s="265" t="n">
        <v>0</v>
      </c>
    </row>
    <row r="64">
      <c r="A64" t="inlineStr">
        <is>
          <t>[vazio] Outras contas do PL: não aparece como linha própria nas demonstrações (zero) · derivada · unid. moeda</t>
        </is>
      </c>
      <c r="B64" t="n">
        <v>40</v>
      </c>
      <c r="C64" t="inlineStr">
        <is>
          <t>Other equity account</t>
        </is>
      </c>
      <c r="D64" s="265" t="n">
        <v>0</v>
      </c>
      <c r="E64" s="265" t="n">
        <v>0</v>
      </c>
      <c r="F64" s="265" t="n">
        <v>0</v>
      </c>
      <c r="G64" s="265" t="n">
        <v>0</v>
      </c>
      <c r="I64" s="265" t="n">
        <v>0</v>
      </c>
      <c r="J64" s="265" t="n">
        <v>0</v>
      </c>
      <c r="K64" s="265" t="n">
        <v>0</v>
      </c>
      <c r="L64" s="265" t="n">
        <v>0</v>
      </c>
      <c r="N64" s="265" t="n">
        <v>0</v>
      </c>
      <c r="O64" s="265" t="n">
        <v>0</v>
      </c>
      <c r="P64" s="265" t="n">
        <v>0</v>
      </c>
      <c r="Q64" s="265" t="n">
        <v>0</v>
      </c>
      <c r="S64" s="265" t="n">
        <v>0</v>
      </c>
      <c r="T64" s="265" t="n">
        <v>0</v>
      </c>
      <c r="U64" s="265" t="n">
        <v>0</v>
      </c>
      <c r="V64" s="265" t="n">
        <v>0</v>
      </c>
      <c r="X64" s="265" t="n">
        <v>0</v>
      </c>
      <c r="Y64" s="265" t="n">
        <v>0</v>
      </c>
      <c r="Z64" s="265" t="n">
        <v>0</v>
      </c>
      <c r="AA64" s="265" t="n">
        <v>0</v>
      </c>
      <c r="AC64" s="265" t="n">
        <v>0</v>
      </c>
      <c r="AD64" s="265" t="n">
        <v>0</v>
      </c>
    </row>
    <row r="65">
      <c r="A65" t="inlineStr">
        <is>
          <t>BALANÇO - totais divulgados (memória)</t>
        </is>
      </c>
      <c r="C65" t="inlineStr">
        <is>
          <t>[linha bruta, sem código; lançada nas linhas abaixo]</t>
        </is>
      </c>
      <c r="D65" s="265" t="n"/>
      <c r="E65" s="265" t="n"/>
      <c r="F65" s="265" t="n"/>
      <c r="G65" s="265" t="n"/>
      <c r="I65" s="265" t="n"/>
      <c r="J65" s="265" t="n"/>
      <c r="K65" s="265" t="n"/>
      <c r="L65" s="265" t="n"/>
      <c r="N65" s="265" t="n"/>
      <c r="O65" s="265" t="n"/>
      <c r="P65" s="265" t="n"/>
      <c r="Q65" s="265" t="n"/>
      <c r="S65" s="265" t="n"/>
      <c r="T65" s="265" t="n"/>
      <c r="U65" s="265" t="n"/>
      <c r="V65" s="265" t="n"/>
      <c r="X65" s="265" t="n"/>
      <c r="Y65" s="265" t="n"/>
      <c r="Z65" s="265" t="n"/>
      <c r="AA65" s="265" t="n"/>
      <c r="AC65" s="265" t="n"/>
      <c r="AD65" s="265" t="n"/>
    </row>
    <row r="66">
      <c r="A66" t="inlineStr">
        <is>
          <t>Total do ativo [us-gaap:Assets] · memoria · unid. moeda</t>
        </is>
      </c>
      <c r="C66" t="inlineStr">
        <is>
          <t>[linha bruta, sem código; lançada nas linhas abaixo]</t>
        </is>
      </c>
      <c r="D66" s="265" t="n">
        <v>54918000</v>
      </c>
      <c r="E66" s="265" t="n">
        <v>57274000</v>
      </c>
      <c r="F66" s="265" t="n">
        <v>59268000</v>
      </c>
      <c r="G66" s="265" t="n">
        <v>64149000</v>
      </c>
      <c r="I66" s="265" t="n">
        <v>63078000</v>
      </c>
      <c r="J66" s="265" t="n">
        <v>63852000</v>
      </c>
      <c r="K66" s="265" t="n">
        <v>64166000</v>
      </c>
      <c r="L66" s="265" t="n">
        <v>66027000</v>
      </c>
      <c r="N66" s="265" t="n">
        <v>66848000</v>
      </c>
      <c r="O66" s="265" t="n">
        <v>66752000</v>
      </c>
      <c r="P66" s="265" t="n">
        <v>68994000</v>
      </c>
      <c r="Q66" s="265" t="n">
        <v>73723000</v>
      </c>
      <c r="S66" s="265" t="n">
        <v>66323000</v>
      </c>
      <c r="T66" s="265" t="n">
        <v>67911000</v>
      </c>
      <c r="U66" s="265" t="n">
        <v>69831000</v>
      </c>
      <c r="V66" s="265" t="n">
        <v>73386000</v>
      </c>
      <c r="X66" s="265" t="n">
        <v>73224000</v>
      </c>
      <c r="Y66" s="265" t="n">
        <v>75482000</v>
      </c>
      <c r="Z66" s="265" t="n">
        <v>77099000</v>
      </c>
      <c r="AA66" s="265" t="n">
        <v>82790000</v>
      </c>
      <c r="AC66" s="265" t="n">
        <v>83639000</v>
      </c>
      <c r="AD66" s="265" t="n">
        <v>86430000</v>
      </c>
    </row>
    <row r="67">
      <c r="A67" t="inlineStr">
        <is>
          <t>Total do passivo + PL [us-gaap:LiabilitiesAndStockholdersEquity] · memoria · unid. moeda</t>
        </is>
      </c>
      <c r="C67" t="inlineStr">
        <is>
          <t>[linha bruta, sem código; lançada nas linhas abaixo]</t>
        </is>
      </c>
      <c r="D67" s="265" t="n">
        <v>54918000</v>
      </c>
      <c r="E67" s="265" t="n">
        <v>57274000</v>
      </c>
      <c r="F67" s="265" t="n">
        <v>59268000</v>
      </c>
      <c r="G67" s="265" t="n">
        <v>64149000</v>
      </c>
      <c r="I67" s="265" t="n">
        <v>63078000</v>
      </c>
      <c r="J67" s="265" t="n">
        <v>63852000</v>
      </c>
      <c r="K67" s="265" t="n">
        <v>64166000</v>
      </c>
      <c r="L67" s="265" t="n">
        <v>66027000</v>
      </c>
      <c r="N67" s="265" t="n">
        <v>66848000</v>
      </c>
      <c r="O67" s="265" t="n">
        <v>66752000</v>
      </c>
      <c r="P67" s="265" t="n">
        <v>68994000</v>
      </c>
      <c r="Q67" s="265" t="n">
        <v>73723000</v>
      </c>
      <c r="S67" s="265" t="n">
        <v>66323000</v>
      </c>
      <c r="T67" s="265" t="n">
        <v>67911000</v>
      </c>
      <c r="U67" s="265" t="n">
        <v>69831000</v>
      </c>
      <c r="V67" s="265" t="n">
        <v>73386000</v>
      </c>
      <c r="X67" s="265" t="n">
        <v>73224000</v>
      </c>
      <c r="Y67" s="265" t="n">
        <v>75482000</v>
      </c>
      <c r="Z67" s="265" t="n">
        <v>77099000</v>
      </c>
      <c r="AA67" s="265" t="n">
        <v>82790000</v>
      </c>
      <c r="AC67" s="265" t="n">
        <v>83639000</v>
      </c>
      <c r="AD67" s="265" t="n">
        <v>86430000</v>
      </c>
    </row>
    <row r="68">
      <c r="A68" t="inlineStr">
        <is>
          <t>CHECKS (devem ser 0)</t>
        </is>
      </c>
      <c r="C68" t="inlineStr">
        <is>
          <t>[linha bruta, sem código; lançada nas linhas abaixo]</t>
        </is>
      </c>
      <c r="D68" s="265" t="n"/>
      <c r="E68" s="265" t="n"/>
      <c r="F68" s="265" t="n"/>
      <c r="G68" s="265" t="n"/>
      <c r="I68" s="265" t="n"/>
      <c r="J68" s="265" t="n"/>
      <c r="K68" s="265" t="n"/>
      <c r="L68" s="265" t="n"/>
      <c r="N68" s="265" t="n"/>
      <c r="O68" s="265" t="n"/>
      <c r="P68" s="265" t="n"/>
      <c r="Q68" s="265" t="n"/>
      <c r="S68" s="265" t="n"/>
      <c r="T68" s="265" t="n"/>
      <c r="U68" s="265" t="n"/>
      <c r="V68" s="265" t="n"/>
      <c r="X68" s="265" t="n"/>
      <c r="Y68" s="265" t="n"/>
      <c r="Z68" s="265" t="n"/>
      <c r="AA68" s="265" t="n"/>
      <c r="AC68" s="265" t="n"/>
      <c r="AD68" s="265" t="n"/>
    </row>
    <row r="69">
      <c r="A69" t="inlineStr">
        <is>
          <t>CHECK: contas de ativo - ativo total (USD, arredondado a 100 mil) · derivada · unid. moeda</t>
        </is>
      </c>
      <c r="C69" t="inlineStr">
        <is>
          <t>[linha bruta, sem código; lançada nas linhas abaixo]</t>
        </is>
      </c>
      <c r="D69" s="265">
        <f>ROUND(N(D30)+N(D31)+N(D32)+N(D33)+N(D34)+N(D35)+N(D36)+N(D37)-N(D66),-2)</f>
        <v>0</v>
      </c>
      <c r="E69" s="265">
        <f>ROUND(N(E30)+N(E31)+N(E32)+N(E33)+N(E34)+N(E35)+N(E36)+N(E37)-N(E66),-2)</f>
        <v>0</v>
      </c>
      <c r="F69" s="265">
        <f>ROUND(N(F30)+N(F31)+N(F32)+N(F33)+N(F34)+N(F35)+N(F36)+N(F37)-N(F66),-2)</f>
        <v>0</v>
      </c>
      <c r="G69" s="265">
        <f>ROUND(N(G30)+N(G31)+N(G32)+N(G33)+N(G34)+N(G35)+N(G36)+N(G37)-N(G66),-2)</f>
        <v>0</v>
      </c>
      <c r="I69" s="265">
        <f>ROUND(N(I30)+N(I31)+N(I32)+N(I33)+N(I34)+N(I35)+N(I36)+N(I37)-N(I66),-2)</f>
        <v>0</v>
      </c>
      <c r="J69" s="265">
        <f>ROUND(N(J30)+N(J31)+N(J32)+N(J33)+N(J34)+N(J35)+N(J36)+N(J37)-N(J66),-2)</f>
        <v>0</v>
      </c>
      <c r="K69" s="265">
        <f>ROUND(N(K30)+N(K31)+N(K32)+N(K33)+N(K34)+N(K35)+N(K36)+N(K37)-N(K66),-2)</f>
        <v>0</v>
      </c>
      <c r="L69" s="265">
        <f>ROUND(N(L30)+N(L31)+N(L32)+N(L33)+N(L34)+N(L35)+N(L36)+N(L37)-N(L66),-2)</f>
        <v>0</v>
      </c>
      <c r="N69" s="265">
        <f>ROUND(N(N30)+N(N31)+N(N32)+N(N33)+N(N34)+N(N35)+N(N36)+N(N37)-N(N66),-2)</f>
        <v>0</v>
      </c>
      <c r="O69" s="265">
        <f>ROUND(N(O30)+N(O31)+N(O32)+N(O33)+N(O34)+N(O35)+N(O36)+N(O37)-N(O66),-2)</f>
        <v>0</v>
      </c>
      <c r="P69" s="265">
        <f>ROUND(N(P30)+N(P31)+N(P32)+N(P33)+N(P34)+N(P35)+N(P36)+N(P37)-N(P66),-2)</f>
        <v>0</v>
      </c>
      <c r="Q69" s="265">
        <f>ROUND(N(Q30)+N(Q31)+N(Q32)+N(Q33)+N(Q34)+N(Q35)+N(Q36)+N(Q37)-N(Q66),-2)</f>
        <v>0</v>
      </c>
      <c r="S69" s="265">
        <f>ROUND(N(S30)+N(S31)+N(S32)+N(S33)+N(S34)+N(S35)+N(S36)+N(S37)-N(S66),-2)</f>
        <v>0</v>
      </c>
      <c r="T69" s="265">
        <f>ROUND(N(T30)+N(T31)+N(T32)+N(T33)+N(T34)+N(T35)+N(T36)+N(T37)-N(T66),-2)</f>
        <v>0</v>
      </c>
      <c r="U69" s="265">
        <f>ROUND(N(U30)+N(U31)+N(U32)+N(U33)+N(U34)+N(U35)+N(U36)+N(U37)-N(U66),-2)</f>
        <v>0</v>
      </c>
      <c r="V69" s="265">
        <f>ROUND(N(V30)+N(V31)+N(V32)+N(V33)+N(V34)+N(V35)+N(V36)+N(V37)-N(V66),-2)</f>
        <v>0</v>
      </c>
      <c r="X69" s="265">
        <f>ROUND(N(X30)+N(X31)+N(X32)+N(X33)+N(X34)+N(X35)+N(X36)+N(X37)-N(X66),-2)</f>
        <v>0</v>
      </c>
      <c r="Y69" s="265">
        <f>ROUND(N(Y30)+N(Y31)+N(Y32)+N(Y33)+N(Y34)+N(Y35)+N(Y36)+N(Y37)-N(Y66),-2)</f>
        <v>0</v>
      </c>
      <c r="Z69" s="265">
        <f>ROUND(N(Z30)+N(Z31)+N(Z32)+N(Z33)+N(Z34)+N(Z35)+N(Z36)+N(Z37)-N(Z66),-2)</f>
        <v>0</v>
      </c>
      <c r="AA69" s="265">
        <f>ROUND(N(AA30)+N(AA31)+N(AA32)+N(AA33)+N(AA34)+N(AA35)+N(AA36)+N(AA37)-N(AA66),-2)</f>
        <v>0</v>
      </c>
      <c r="AC69" s="265">
        <f>ROUND(N(AC30)+N(AC31)+N(AC32)+N(AC33)+N(AC34)+N(AC35)+N(AC36)+N(AC37)-N(AC66),-2)</f>
        <v>0</v>
      </c>
      <c r="AD69" s="265">
        <f>ROUND(N(AD30)+N(AD31)+N(AD32)+N(AD33)+N(AD34)+N(AD35)+N(AD36)+N(AD37)-N(AD66),-2)</f>
        <v>0</v>
      </c>
    </row>
    <row r="70">
      <c r="A70" t="inlineStr">
        <is>
          <t>CHECK: passivo + PL (contas) - passivo + PL total · derivada · unid. moeda</t>
        </is>
      </c>
      <c r="C70" t="inlineStr">
        <is>
          <t>[linha bruta, sem código; lançada nas linhas abaixo]</t>
        </is>
      </c>
      <c r="D70" s="265">
        <f>ROUND(N(D38)+N(D39)+N(D40)+N(D41)+N(D42)+N(D43)+N(D44)+N(D45)+N(D46)+N(D47)+N(D48)+N(D49)+N(D50)+N(D51)+N(D52)-N(D67),-2)</f>
        <v>0</v>
      </c>
      <c r="E70" s="265">
        <f>ROUND(N(E38)+N(E39)+N(E40)+N(E41)+N(E42)+N(E43)+N(E44)+N(E45)+N(E46)+N(E47)+N(E48)+N(E49)+N(E50)+N(E51)+N(E52)-N(E67),-2)</f>
        <v>0</v>
      </c>
      <c r="F70" s="265">
        <f>ROUND(N(F38)+N(F39)+N(F40)+N(F41)+N(F42)+N(F43)+N(F44)+N(F45)+N(F46)+N(F47)+N(F48)+N(F49)+N(F50)+N(F51)+N(F52)-N(F67),-2)</f>
        <v>0</v>
      </c>
      <c r="G70" s="265">
        <f>ROUND(N(G38)+N(G39)+N(G40)+N(G41)+N(G42)+N(G43)+N(G44)+N(G45)+N(G46)+N(G47)+N(G48)+N(G49)+N(G50)+N(G51)+N(G52)-N(G67),-2)</f>
        <v>0</v>
      </c>
      <c r="I70" s="265">
        <f>ROUND(N(I38)+N(I39)+N(I40)+N(I41)+N(I42)+N(I43)+N(I44)+N(I45)+N(I46)+N(I47)+N(I48)+N(I49)+N(I50)+N(I51)+N(I52)-N(I67),-2)</f>
        <v>0</v>
      </c>
      <c r="J70" s="265">
        <f>ROUND(N(J38)+N(J39)+N(J40)+N(J41)+N(J42)+N(J43)+N(J44)+N(J45)+N(J46)+N(J47)+N(J48)+N(J49)+N(J50)+N(J51)+N(J52)-N(J67),-2)</f>
        <v>0</v>
      </c>
      <c r="K70" s="265">
        <f>ROUND(N(K38)+N(K39)+N(K40)+N(K41)+N(K42)+N(K43)+N(K44)+N(K45)+N(K46)+N(K47)+N(K48)+N(K49)+N(K50)+N(K51)+N(K52)-N(K67),-2)</f>
        <v>0</v>
      </c>
      <c r="L70" s="265">
        <f>ROUND(N(L38)+N(L39)+N(L40)+N(L41)+N(L42)+N(L43)+N(L44)+N(L45)+N(L46)+N(L47)+N(L48)+N(L49)+N(L50)+N(L51)+N(L52)-N(L67),-2)</f>
        <v>0</v>
      </c>
      <c r="N70" s="265">
        <f>ROUND(N(N38)+N(N39)+N(N40)+N(N41)+N(N42)+N(N43)+N(N44)+N(N45)+N(N46)+N(N47)+N(N48)+N(N49)+N(N50)+N(N51)+N(N52)-N(N67),-2)</f>
        <v>0</v>
      </c>
      <c r="O70" s="265">
        <f>ROUND(N(O38)+N(O39)+N(O40)+N(O41)+N(O42)+N(O43)+N(O44)+N(O45)+N(O46)+N(O47)+N(O48)+N(O49)+N(O50)+N(O51)+N(O52)-N(O67),-2)</f>
        <v>0</v>
      </c>
      <c r="P70" s="265">
        <f>ROUND(N(P38)+N(P39)+N(P40)+N(P41)+N(P42)+N(P43)+N(P44)+N(P45)+N(P46)+N(P47)+N(P48)+N(P49)+N(P50)+N(P51)+N(P52)-N(P67),-2)</f>
        <v>0</v>
      </c>
      <c r="Q70" s="265">
        <f>ROUND(N(Q38)+N(Q39)+N(Q40)+N(Q41)+N(Q42)+N(Q43)+N(Q44)+N(Q45)+N(Q46)+N(Q47)+N(Q48)+N(Q49)+N(Q50)+N(Q51)+N(Q52)-N(Q67),-2)</f>
        <v>0</v>
      </c>
      <c r="S70" s="265">
        <f>ROUND(N(S38)+N(S39)+N(S40)+N(S41)+N(S42)+N(S43)+N(S44)+N(S45)+N(S46)+N(S47)+N(S48)+N(S49)+N(S50)+N(S51)+N(S52)-N(S67),-2)</f>
        <v>0</v>
      </c>
      <c r="T70" s="265">
        <f>ROUND(N(T38)+N(T39)+N(T40)+N(T41)+N(T42)+N(T43)+N(T44)+N(T45)+N(T46)+N(T47)+N(T48)+N(T49)+N(T50)+N(T51)+N(T52)-N(T67),-2)</f>
        <v>0</v>
      </c>
      <c r="U70" s="265">
        <f>ROUND(N(U38)+N(U39)+N(U40)+N(U41)+N(U42)+N(U43)+N(U44)+N(U45)+N(U46)+N(U47)+N(U48)+N(U49)+N(U50)+N(U51)+N(U52)-N(U67),-2)</f>
        <v>0</v>
      </c>
      <c r="V70" s="265">
        <f>ROUND(N(V38)+N(V39)+N(V40)+N(V41)+N(V42)+N(V43)+N(V44)+N(V45)+N(V46)+N(V47)+N(V48)+N(V49)+N(V50)+N(V51)+N(V52)-N(V67),-2)</f>
        <v>0</v>
      </c>
      <c r="X70" s="265">
        <f>ROUND(N(X38)+N(X39)+N(X40)+N(X41)+N(X42)+N(X43)+N(X44)+N(X45)+N(X46)+N(X47)+N(X48)+N(X49)+N(X50)+N(X51)+N(X52)-N(X67),-2)</f>
        <v>0</v>
      </c>
      <c r="Y70" s="265">
        <f>ROUND(N(Y38)+N(Y39)+N(Y40)+N(Y41)+N(Y42)+N(Y43)+N(Y44)+N(Y45)+N(Y46)+N(Y47)+N(Y48)+N(Y49)+N(Y50)+N(Y51)+N(Y52)-N(Y67),-2)</f>
        <v>0</v>
      </c>
      <c r="Z70" s="265">
        <f>ROUND(N(Z38)+N(Z39)+N(Z40)+N(Z41)+N(Z42)+N(Z43)+N(Z44)+N(Z45)+N(Z46)+N(Z47)+N(Z48)+N(Z49)+N(Z50)+N(Z51)+N(Z52)-N(Z67),-2)</f>
        <v>0</v>
      </c>
      <c r="AA70" s="265">
        <f>ROUND(N(AA38)+N(AA39)+N(AA40)+N(AA41)+N(AA42)+N(AA43)+N(AA44)+N(AA45)+N(AA46)+N(AA47)+N(AA48)+N(AA49)+N(AA50)+N(AA51)+N(AA52)-N(AA67),-2)</f>
        <v>0</v>
      </c>
      <c r="AC70" s="265">
        <f>ROUND(N(AC38)+N(AC39)+N(AC40)+N(AC41)+N(AC42)+N(AC43)+N(AC44)+N(AC45)+N(AC46)+N(AC47)+N(AC48)+N(AC49)+N(AC50)+N(AC51)+N(AC52)-N(AC67),-2)</f>
        <v>0</v>
      </c>
      <c r="AD70" s="265">
        <f>ROUND(N(AD38)+N(AD39)+N(AD40)+N(AD41)+N(AD42)+N(AD43)+N(AD44)+N(AD45)+N(AD46)+N(AD47)+N(AD48)+N(AD49)+N(AD50)+N(AD51)+N(AD52)-N(AD67),-2)</f>
        <v>0</v>
      </c>
    </row>
    <row r="71">
      <c r="A71" t="inlineStr">
        <is>
          <t>CHECK: receita - custo - despesas + não operacional - IR - minoritários + outros após IR - lucro (deve ser 0) · derivada</t>
        </is>
      </c>
      <c r="C71" t="inlineStr">
        <is>
          <t>[linha bruta, sem código; lançada nas linhas abaixo]</t>
        </is>
      </c>
      <c r="D71" s="265">
        <f>ROUND(N(D5)-N(D6)-N(D9)+N(D12)-N(D16)-N(D18)+N(D21)-N(D22),-2)</f>
        <v>0</v>
      </c>
      <c r="E71" s="265">
        <f>ROUND(N(E5)-N(E6)-N(E9)+N(E12)-N(E16)-N(E18)+N(E21)-N(E22),-2)</f>
        <v>0</v>
      </c>
      <c r="F71" s="265">
        <f>ROUND(N(F5)-N(F6)-N(F9)+N(F12)-N(F16)-N(F18)+N(F21)-N(F22),-2)</f>
        <v>0</v>
      </c>
      <c r="G71" s="265">
        <f>ROUND(N(G5)-N(G6)-N(G9)+N(G12)-N(G16)-N(G18)+N(G21)-N(G22),-2)</f>
        <v>0</v>
      </c>
      <c r="I71" s="265">
        <f>ROUND(N(I5)-N(I6)-N(I9)+N(I12)-N(I16)-N(I18)+N(I21)-N(I22),-2)</f>
        <v>0</v>
      </c>
      <c r="J71" s="265">
        <f>ROUND(N(J5)-N(J6)-N(J9)+N(J12)-N(J16)-N(J18)+N(J21)-N(J22),-2)</f>
        <v>0</v>
      </c>
      <c r="K71" s="265">
        <f>ROUND(N(K5)-N(K6)-N(K9)+N(K12)-N(K16)-N(K18)+N(K21)-N(K22),-2)</f>
        <v>0</v>
      </c>
      <c r="L71" s="265">
        <f>ROUND(N(L5)-N(L6)-N(L9)+N(L12)-N(L16)-N(L18)+N(L21)-N(L22),-2)</f>
        <v>0</v>
      </c>
      <c r="N71" s="265">
        <f>ROUND(N(N5)-N(N6)-N(N9)+N(N12)-N(N16)-N(N18)+N(N21)-N(N22),-2)</f>
        <v>0</v>
      </c>
      <c r="O71" s="265">
        <f>ROUND(N(O5)-N(O6)-N(O9)+N(O12)-N(O16)-N(O18)+N(O21)-N(O22),-2)</f>
        <v>0</v>
      </c>
      <c r="P71" s="265">
        <f>ROUND(N(P5)-N(P6)-N(P9)+N(P12)-N(P16)-N(P18)+N(P21)-N(P22),-2)</f>
        <v>0</v>
      </c>
      <c r="Q71" s="265">
        <f>ROUND(N(Q5)-N(Q6)-N(Q9)+N(Q12)-N(Q16)-N(Q18)+N(Q21)-N(Q22),-2)</f>
        <v>0</v>
      </c>
      <c r="S71" s="265">
        <f>ROUND(N(S5)-N(S6)-N(S9)+N(S12)-N(S16)-N(S18)+N(S21)-N(S22),-2)</f>
        <v>0</v>
      </c>
      <c r="T71" s="265">
        <f>ROUND(N(T5)-N(T6)-N(T9)+N(T12)-N(T16)-N(T18)+N(T21)-N(T22),-2)</f>
        <v>0</v>
      </c>
      <c r="U71" s="265">
        <f>ROUND(N(U5)-N(U6)-N(U9)+N(U12)-N(U16)-N(U18)+N(U21)-N(U22),-2)</f>
        <v>0</v>
      </c>
      <c r="V71" s="265">
        <f>ROUND(N(V5)-N(V6)-N(V9)+N(V12)-N(V16)-N(V18)+N(V21)-N(V22),-2)</f>
        <v>0</v>
      </c>
      <c r="X71" s="265">
        <f>ROUND(N(X5)-N(X6)-N(X9)+N(X12)-N(X16)-N(X18)+N(X21)-N(X22),-2)</f>
        <v>0</v>
      </c>
      <c r="Y71" s="265">
        <f>ROUND(N(Y5)-N(Y6)-N(Y9)+N(Y12)-N(Y16)-N(Y18)+N(Y21)-N(Y22),-2)</f>
        <v>0</v>
      </c>
      <c r="Z71" s="265">
        <f>ROUND(N(Z5)-N(Z6)-N(Z9)+N(Z12)-N(Z16)-N(Z18)+N(Z21)-N(Z22),-2)</f>
        <v>0</v>
      </c>
      <c r="AA71" s="265">
        <f>ROUND(N(AA5)-N(AA6)-N(AA9)+N(AA12)-N(AA16)-N(AA18)+N(AA21)-N(AA22),-2)</f>
        <v>0</v>
      </c>
      <c r="AC71" s="265">
        <f>ROUND(N(AC5)-N(AC6)-N(AC9)+N(AC12)-N(AC16)-N(AC18)+N(AC21)-N(AC22),-2)</f>
        <v>0</v>
      </c>
      <c r="AD71" s="265">
        <f>ROUND(N(AD5)-N(AD6)-N(AD9)+N(AD12)-N(AD16)-N(AD18)+N(AD21)-N(AD22),-2)</f>
        <v>0</v>
      </c>
    </row>
    <row r="72">
      <c r="D72" s="265" t="n"/>
      <c r="E72" s="265" t="n"/>
      <c r="F72" s="265" t="n"/>
      <c r="G72" s="265" t="n"/>
      <c r="I72" s="265" t="n"/>
      <c r="J72" s="265" t="n"/>
      <c r="K72" s="265" t="n"/>
      <c r="L72" s="265" t="n"/>
      <c r="N72" s="265" t="n"/>
      <c r="O72" s="265" t="n"/>
      <c r="P72" s="265" t="n"/>
      <c r="Q72" s="265" t="n"/>
      <c r="S72" s="265" t="n"/>
      <c r="T72" s="265" t="n"/>
      <c r="U72" s="265" t="n"/>
      <c r="V72" s="265" t="n"/>
      <c r="X72" s="265" t="n"/>
      <c r="Y72" s="265" t="n"/>
      <c r="Z72" s="265" t="n"/>
      <c r="AA72" s="265" t="n"/>
      <c r="AC72" s="265" t="n"/>
      <c r="AD72" s="265" t="n"/>
    </row>
    <row r="73">
      <c r="A73" t="inlineStr">
        <is>
          <t>DRIVERS DE RECEITA (codigos 45+): vendas líquidas x taxas de associação e segmentos geográficos (EUA, Canadá, outros internacionais: receita e lucro operacional) - SEC XBRL (USD, fator 0,000001).</t>
        </is>
      </c>
      <c r="C73" t="inlineStr">
        <is>
          <t>[linha bruta, sem código; lançada nas linhas abaixo]</t>
        </is>
      </c>
      <c r="D73" s="265" t="n"/>
      <c r="E73" s="265" t="n"/>
      <c r="F73" s="265" t="n"/>
      <c r="G73" s="265" t="n"/>
      <c r="I73" s="265" t="n"/>
      <c r="J73" s="265" t="n"/>
      <c r="K73" s="265" t="n"/>
      <c r="L73" s="265" t="n"/>
      <c r="N73" s="265" t="n"/>
      <c r="O73" s="265" t="n"/>
      <c r="P73" s="265" t="n"/>
      <c r="Q73" s="265" t="n"/>
      <c r="S73" s="265" t="n"/>
      <c r="T73" s="265" t="n"/>
      <c r="U73" s="265" t="n"/>
      <c r="V73" s="265" t="n"/>
      <c r="X73" s="265" t="n"/>
      <c r="Y73" s="265" t="n"/>
      <c r="Z73" s="265" t="n"/>
      <c r="AA73" s="265" t="n"/>
      <c r="AC73" s="265" t="n"/>
      <c r="AD73" s="265" t="n"/>
    </row>
    <row r="74">
      <c r="A74" t="inlineStr">
        <is>
          <t>Vendas líquidas (USD) · fonte · unid. moeda</t>
        </is>
      </c>
      <c r="B74" t="n">
        <v>45</v>
      </c>
      <c r="C74" t="inlineStr">
        <is>
          <t>Vendas líquidas (USD)</t>
        </is>
      </c>
      <c r="D74" s="265" t="n">
        <v>43888000</v>
      </c>
      <c r="E74" s="265" t="n">
        <v>44376000</v>
      </c>
      <c r="F74" s="265" t="n">
        <v>61441000</v>
      </c>
      <c r="G74" s="265" t="n">
        <v>49417000</v>
      </c>
      <c r="I74" s="265" t="n">
        <v>50937000</v>
      </c>
      <c r="J74" s="265" t="n">
        <v>51612000</v>
      </c>
      <c r="K74" s="265" t="n">
        <v>70764000</v>
      </c>
      <c r="L74" s="265" t="n">
        <v>53437000</v>
      </c>
      <c r="N74" s="265" t="n">
        <v>54239000</v>
      </c>
      <c r="O74" s="265" t="n">
        <v>52604000</v>
      </c>
      <c r="P74" s="265" t="n">
        <v>77430000</v>
      </c>
      <c r="Q74" s="265" t="n">
        <v>56717000</v>
      </c>
      <c r="S74" s="265" t="n">
        <v>57331000</v>
      </c>
      <c r="T74" s="265" t="n">
        <v>57392000</v>
      </c>
      <c r="U74" s="265" t="n">
        <v>78185000</v>
      </c>
      <c r="V74" s="265" t="n">
        <v>60985000</v>
      </c>
      <c r="X74" s="265" t="n">
        <v>62530000</v>
      </c>
      <c r="Y74" s="265" t="n">
        <v>61965000</v>
      </c>
      <c r="Z74" s="265" t="n">
        <v>84432000</v>
      </c>
      <c r="AA74" s="265" t="n">
        <v>65978000</v>
      </c>
      <c r="AC74" s="265" t="n">
        <v>68242000</v>
      </c>
      <c r="AD74" s="265" t="n">
        <v>69154000</v>
      </c>
    </row>
    <row r="75">
      <c r="A75" t="inlineStr">
        <is>
          <t>Taxas de associação (USD) · fonte · unid. moeda</t>
        </is>
      </c>
      <c r="B75" t="n">
        <v>46</v>
      </c>
      <c r="C75" t="inlineStr">
        <is>
          <t>Taxas de associação (USD)</t>
        </is>
      </c>
      <c r="D75" s="265" t="n">
        <v>881000</v>
      </c>
      <c r="E75" s="265" t="n">
        <v>901000</v>
      </c>
      <c r="F75" s="265" t="n">
        <v>1234000</v>
      </c>
      <c r="G75" s="265" t="n">
        <v>946000</v>
      </c>
      <c r="I75" s="265" t="n">
        <v>967000</v>
      </c>
      <c r="J75" s="265" t="n">
        <v>984000</v>
      </c>
      <c r="K75" s="265" t="n">
        <v>1327000</v>
      </c>
      <c r="L75" s="265" t="n">
        <v>1000000</v>
      </c>
      <c r="N75" s="265" t="n">
        <v>1027000</v>
      </c>
      <c r="O75" s="265" t="n">
        <v>1044000</v>
      </c>
      <c r="P75" s="265" t="n">
        <v>1509000</v>
      </c>
      <c r="Q75" s="265" t="n">
        <v>1082000</v>
      </c>
      <c r="S75" s="265" t="n">
        <v>1111000</v>
      </c>
      <c r="T75" s="265" t="n">
        <v>1123000</v>
      </c>
      <c r="U75" s="265" t="n">
        <v>1512000</v>
      </c>
      <c r="V75" s="265" t="n">
        <v>1166000</v>
      </c>
      <c r="X75" s="265" t="n">
        <v>1193000</v>
      </c>
      <c r="Y75" s="265" t="n">
        <v>1240000</v>
      </c>
      <c r="Z75" s="265" t="n">
        <v>1724000</v>
      </c>
      <c r="AA75" s="265" t="n">
        <v>1329000</v>
      </c>
      <c r="AC75" s="265" t="n">
        <v>1355000</v>
      </c>
      <c r="AD75" s="265" t="n">
        <v>1373000</v>
      </c>
    </row>
    <row r="76">
      <c r="A76" t="inlineStr">
        <is>
          <t>Receita EUA (USD) · fonte · unid. moeda</t>
        </is>
      </c>
      <c r="B76" t="n">
        <v>47</v>
      </c>
      <c r="C76" t="inlineStr">
        <is>
          <t>Receita EUA (USD)</t>
        </is>
      </c>
      <c r="D76" s="265" t="n">
        <v>32127000</v>
      </c>
      <c r="E76" s="265" t="n">
        <v>32759000</v>
      </c>
      <c r="F76" s="265" t="n">
        <v>45220000</v>
      </c>
      <c r="G76" s="265" t="n">
        <v>36317000</v>
      </c>
      <c r="I76" s="265" t="n">
        <v>37567000</v>
      </c>
      <c r="J76" s="265" t="n">
        <v>38534000</v>
      </c>
      <c r="K76" s="265" t="n">
        <v>52876000</v>
      </c>
      <c r="L76" s="265" t="n">
        <v>40145000</v>
      </c>
      <c r="N76" s="265" t="n">
        <v>40145000</v>
      </c>
      <c r="O76" s="265" t="n">
        <v>39049000</v>
      </c>
      <c r="P76" s="265" t="n">
        <v>57291000</v>
      </c>
      <c r="Q76" s="265" t="n">
        <v>41833000</v>
      </c>
      <c r="S76" s="265" t="n">
        <v>41952000</v>
      </c>
      <c r="T76" s="265" t="n">
        <v>42449000</v>
      </c>
      <c r="U76" s="265" t="n">
        <v>57909000</v>
      </c>
      <c r="V76" s="265" t="n">
        <v>45088000</v>
      </c>
      <c r="X76" s="265" t="n">
        <v>46413000</v>
      </c>
      <c r="Y76" s="265" t="n">
        <v>46318000</v>
      </c>
      <c r="Z76" s="265" t="n">
        <v>62227000</v>
      </c>
      <c r="AA76" s="265" t="n">
        <v>48569000</v>
      </c>
      <c r="AC76" s="265" t="n">
        <v>49931000</v>
      </c>
      <c r="AD76" s="265" t="n">
        <v>51434000</v>
      </c>
    </row>
    <row r="77">
      <c r="A77" t="inlineStr">
        <is>
          <t>Receita Canadá (USD) · fonte · unid. moeda</t>
        </is>
      </c>
      <c r="B77" t="n">
        <v>48</v>
      </c>
      <c r="C77" t="inlineStr">
        <is>
          <t>Receita Canadá (USD)</t>
        </is>
      </c>
      <c r="D77" s="265" t="n">
        <v>6001000</v>
      </c>
      <c r="E77" s="265" t="n">
        <v>6299000</v>
      </c>
      <c r="F77" s="265" t="n">
        <v>8987000</v>
      </c>
      <c r="G77" s="265" t="n">
        <v>7121000</v>
      </c>
      <c r="I77" s="265" t="n">
        <v>7017000</v>
      </c>
      <c r="J77" s="265" t="n">
        <v>7268000</v>
      </c>
      <c r="K77" s="265" t="n">
        <v>10269000</v>
      </c>
      <c r="L77" s="265" t="n">
        <v>7356000</v>
      </c>
      <c r="N77" s="265" t="n">
        <v>7299000</v>
      </c>
      <c r="O77" s="265" t="n">
        <v>7268000</v>
      </c>
      <c r="P77" s="265" t="n">
        <v>11133000</v>
      </c>
      <c r="Q77" s="265" t="n">
        <v>7901000</v>
      </c>
      <c r="S77" s="265" t="n">
        <v>7874000</v>
      </c>
      <c r="T77" s="265" t="n">
        <v>8014000</v>
      </c>
      <c r="U77" s="265" t="n">
        <v>11085000</v>
      </c>
      <c r="V77" s="265" t="n">
        <v>8404000</v>
      </c>
      <c r="X77" s="265" t="n">
        <v>8296000</v>
      </c>
      <c r="Y77" s="265" t="n">
        <v>8321000</v>
      </c>
      <c r="Z77" s="265" t="n">
        <v>11902000</v>
      </c>
      <c r="AA77" s="265" t="n">
        <v>9073000</v>
      </c>
      <c r="AC77" s="265" t="n">
        <v>9291000</v>
      </c>
      <c r="AD77" s="265" t="n">
        <v>9410000</v>
      </c>
    </row>
    <row r="78">
      <c r="A78" t="inlineStr">
        <is>
          <t>Receita outros internacionais (USD) · fonte · unid. moeda</t>
        </is>
      </c>
      <c r="B78" t="n">
        <v>49</v>
      </c>
      <c r="C78" t="inlineStr">
        <is>
          <t>Receita outros internacionais (USD)</t>
        </is>
      </c>
      <c r="D78" s="265" t="n">
        <v>6641000</v>
      </c>
      <c r="E78" s="265" t="n">
        <v>6219000</v>
      </c>
      <c r="F78" s="265" t="n">
        <v>8468000</v>
      </c>
      <c r="G78" s="265" t="n">
        <v>6925000</v>
      </c>
      <c r="I78" s="265" t="n">
        <v>7320000</v>
      </c>
      <c r="J78" s="265" t="n">
        <v>6794000</v>
      </c>
      <c r="K78" s="265" t="n">
        <v>8946000</v>
      </c>
      <c r="L78" s="265" t="n">
        <v>6936000</v>
      </c>
      <c r="N78" s="265" t="n">
        <v>7822000</v>
      </c>
      <c r="O78" s="265" t="n">
        <v>7331000</v>
      </c>
      <c r="P78" s="265" t="n">
        <v>10515000</v>
      </c>
      <c r="Q78" s="265" t="n">
        <v>8065000</v>
      </c>
      <c r="S78" s="265" t="n">
        <v>8616000</v>
      </c>
      <c r="T78" s="265" t="n">
        <v>8052000</v>
      </c>
      <c r="U78" s="265" t="n">
        <v>10703000</v>
      </c>
      <c r="V78" s="265" t="n">
        <v>8659000</v>
      </c>
      <c r="X78" s="265" t="n">
        <v>9014000</v>
      </c>
      <c r="Y78" s="265" t="n">
        <v>8566000</v>
      </c>
      <c r="Z78" s="265" t="n">
        <v>12027000</v>
      </c>
      <c r="AA78" s="265" t="n">
        <v>9665000</v>
      </c>
      <c r="AC78" s="265" t="n">
        <v>10375000</v>
      </c>
      <c r="AD78" s="265" t="n">
        <v>9683000</v>
      </c>
    </row>
    <row r="79">
      <c r="A79" t="inlineStr">
        <is>
          <t>Lucro operacional EUA (USD) · fonte · unid. moeda</t>
        </is>
      </c>
      <c r="B79" t="n">
        <v>50</v>
      </c>
      <c r="C79" t="inlineStr">
        <is>
          <t>Lucro operacional EUA (USD)</t>
        </is>
      </c>
      <c r="D79" s="265" t="n">
        <v>826000</v>
      </c>
      <c r="E79" s="265" t="n">
        <v>1135000</v>
      </c>
      <c r="F79" s="265" t="n">
        <v>1525000</v>
      </c>
      <c r="G79" s="265" t="n">
        <v>1118000</v>
      </c>
      <c r="I79" s="265" t="n">
        <v>1179000</v>
      </c>
      <c r="J79" s="265" t="n">
        <v>1205000</v>
      </c>
      <c r="K79" s="265" t="n">
        <v>1766000</v>
      </c>
      <c r="L79" s="265" t="n">
        <v>1236000</v>
      </c>
      <c r="N79" s="265" t="n">
        <v>1295000</v>
      </c>
      <c r="O79" s="265" t="n">
        <v>1027000</v>
      </c>
      <c r="P79" s="265" t="n">
        <v>1834000</v>
      </c>
      <c r="Q79" s="265" t="n">
        <v>1358000</v>
      </c>
      <c r="S79" s="265" t="n">
        <v>1294000</v>
      </c>
      <c r="T79" s="265" t="n">
        <v>1476000</v>
      </c>
      <c r="U79" s="265" t="n">
        <v>2089000</v>
      </c>
      <c r="V79" s="265" t="n">
        <v>1498000</v>
      </c>
      <c r="X79" s="265" t="n">
        <v>1515000</v>
      </c>
      <c r="Y79" s="265" t="n">
        <v>1713000</v>
      </c>
      <c r="Z79" s="265" t="n">
        <v>2152000</v>
      </c>
      <c r="AA79" s="265" t="n">
        <v>1616000</v>
      </c>
      <c r="AC79" s="265" t="n">
        <v>1635000</v>
      </c>
      <c r="AD79" s="265" t="n">
        <v>1873000</v>
      </c>
    </row>
    <row r="80">
      <c r="A80" t="inlineStr">
        <is>
          <t>Lucro operacional Canadá (USD) · fonte · unid. moeda</t>
        </is>
      </c>
      <c r="B80" t="n">
        <v>51</v>
      </c>
      <c r="C80" t="inlineStr">
        <is>
          <t>Lucro operacional Canadá (USD)</t>
        </is>
      </c>
      <c r="D80" s="265" t="n">
        <v>226000</v>
      </c>
      <c r="E80" s="265" t="n">
        <v>260000</v>
      </c>
      <c r="F80" s="265" t="n">
        <v>376000</v>
      </c>
      <c r="G80" s="265" t="n">
        <v>293000</v>
      </c>
      <c r="I80" s="265" t="n">
        <v>301000</v>
      </c>
      <c r="J80" s="265" t="n">
        <v>324000</v>
      </c>
      <c r="K80" s="265" t="n">
        <v>428000</v>
      </c>
      <c r="L80" s="265" t="n">
        <v>288000</v>
      </c>
      <c r="N80" s="265" t="n">
        <v>284000</v>
      </c>
      <c r="O80" s="265" t="n">
        <v>327000</v>
      </c>
      <c r="P80" s="265" t="n">
        <v>549000</v>
      </c>
      <c r="Q80" s="265" t="n">
        <v>325000</v>
      </c>
      <c r="S80" s="265" t="n">
        <v>390000</v>
      </c>
      <c r="T80" s="265" t="n">
        <v>394000</v>
      </c>
      <c r="U80" s="265" t="n">
        <v>539000</v>
      </c>
      <c r="V80" s="265" t="n">
        <v>362000</v>
      </c>
      <c r="X80" s="265" t="n">
        <v>403000</v>
      </c>
      <c r="Y80" s="265" t="n">
        <v>450000</v>
      </c>
      <c r="Z80" s="265" t="n">
        <v>634000</v>
      </c>
      <c r="AA80" s="265" t="n">
        <v>434000</v>
      </c>
      <c r="AC80" s="265" t="n">
        <v>476000</v>
      </c>
      <c r="AD80" s="265" t="n">
        <v>506000</v>
      </c>
    </row>
    <row r="81">
      <c r="A81" t="inlineStr">
        <is>
          <t>Lucro operacional outros internacionais (USD) · fonte · unid. moeda</t>
        </is>
      </c>
      <c r="B81" t="n">
        <v>52</v>
      </c>
      <c r="C81" t="inlineStr">
        <is>
          <t>Lucro operacional outros internacionais (USD)</t>
        </is>
      </c>
      <c r="D81" s="265" t="n">
        <v>288000</v>
      </c>
      <c r="E81" s="265" t="n">
        <v>268000</v>
      </c>
      <c r="F81" s="265" t="n">
        <v>343000</v>
      </c>
      <c r="G81" s="265" t="n">
        <v>282000</v>
      </c>
      <c r="I81" s="265" t="n">
        <v>332000</v>
      </c>
      <c r="J81" s="265" t="n">
        <v>262000</v>
      </c>
      <c r="K81" s="265" t="n">
        <v>303000</v>
      </c>
      <c r="L81" s="265" t="n">
        <v>227000</v>
      </c>
      <c r="N81" s="265" t="n">
        <v>324000</v>
      </c>
      <c r="O81" s="265" t="n">
        <v>325000</v>
      </c>
      <c r="P81" s="265" t="n">
        <v>398000</v>
      </c>
      <c r="Q81" s="265" t="n">
        <v>301000</v>
      </c>
      <c r="S81" s="265" t="n">
        <v>378000</v>
      </c>
      <c r="T81" s="265" t="n">
        <v>327000</v>
      </c>
      <c r="U81" s="265" t="n">
        <v>414000</v>
      </c>
      <c r="V81" s="265" t="n">
        <v>336000</v>
      </c>
      <c r="X81" s="265" t="n">
        <v>398000</v>
      </c>
      <c r="Y81" s="265" t="n">
        <v>367000</v>
      </c>
      <c r="Z81" s="265" t="n">
        <v>555000</v>
      </c>
      <c r="AA81" s="265" t="n">
        <v>413000</v>
      </c>
      <c r="AC81" s="265" t="n">
        <v>495000</v>
      </c>
      <c r="AD81" s="265" t="n">
        <v>436000</v>
      </c>
    </row>
    <row r="82">
      <c r="A82" t="inlineStr">
        <is>
          <t>Notas: ano fiscal da Costco termina no fim de agosto/início de setembro, com trimestres de 12 semanas e o último de 16 semanas (fica no 3T calendário). Colunas: fechamento de nov -&gt; 4T, fev -&gt; 1T, mai -&gt; 2T, ago/set -&gt; 3T. Membros dos segmentos mudaram de nome em 2023-24 e foram costurados.</t>
        </is>
      </c>
      <c r="C82" t="inlineStr">
        <is>
          <t>[linha bruta, sem código; lançada nas linhas abaixo]</t>
        </is>
      </c>
      <c r="D82" s="265" t="n"/>
      <c r="E82" s="265" t="n"/>
      <c r="F82" s="265" t="n"/>
      <c r="G82" s="265" t="n"/>
      <c r="I82" s="265" t="n"/>
      <c r="J82" s="265" t="n"/>
      <c r="K82" s="265" t="n"/>
      <c r="L82" s="265" t="n"/>
      <c r="N82" s="265" t="n"/>
      <c r="O82" s="265" t="n"/>
      <c r="P82" s="265" t="n"/>
      <c r="Q82" s="265" t="n"/>
      <c r="S82" s="265" t="n"/>
      <c r="T82" s="265" t="n"/>
      <c r="U82" s="265" t="n"/>
      <c r="V82" s="265" t="n"/>
      <c r="X82" s="265" t="n"/>
      <c r="Y82" s="265" t="n"/>
      <c r="Z82" s="265" t="n"/>
      <c r="AA82" s="265" t="n"/>
      <c r="AC82" s="265" t="n"/>
      <c r="AD82" s="265" t="n"/>
    </row>
    <row r="84">
      <c r="A84" t="inlineStr">
        <is>
          <t>Linhas de origem: 4 a 82. A Inputs (2) varre as linhas 4 a 150; as linhas 83 a 150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Costco Wholesale Corporation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US$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IF(D$3=0,"",SUMIFS(INDEX(Inputs!$D$4:$AG$150,0,MATCH(D$2,Inputs!$D$2:$AG$2,0)),Inputs!$B$4:$B$150,$B4)/1000)</f>
        <v>44769</v>
      </c>
      <c r="E4" s="11">
        <f>IF(E$3=0,"",SUMIFS(INDEX(Inputs!$D$4:$AG$150,0,MATCH(E$2,Inputs!$D$2:$AG$2,0)),Inputs!$B$4:$B$150,$B4)/1000)</f>
        <v>45277</v>
      </c>
      <c r="F4" s="11">
        <f>IF(F$3=0,"",SUMIFS(INDEX(Inputs!$D$4:$AG$150,0,MATCH(F$2,Inputs!$D$2:$AG$2,0)),Inputs!$B$4:$B$150,$B4)/1000)</f>
        <v>62675</v>
      </c>
      <c r="G4" s="11">
        <f>IF(G$3=0,"",SUMIFS(INDEX(Inputs!$D$4:$AG$150,0,MATCH(G$2,Inputs!$D$2:$AG$2,0)),Inputs!$B$4:$B$150,$B4)/1000)</f>
        <v>50363</v>
      </c>
      <c r="H4" s="12">
        <f>IF(COUNT(D4:G4)=4,SUM(D4:G4),"")</f>
        <v>203084</v>
      </c>
      <c r="I4" s="11">
        <f>IF(I$3=0,"",SUMIFS(INDEX(Inputs!$D$4:$AG$150,0,MATCH(I$2,Inputs!$D$2:$AG$2,0)),Inputs!$B$4:$B$150,$B4)/1000)</f>
        <v>51904</v>
      </c>
      <c r="J4" s="11">
        <f>IF(J$3=0,"",SUMIFS(INDEX(Inputs!$D$4:$AG$150,0,MATCH(J$2,Inputs!$D$2:$AG$2,0)),Inputs!$B$4:$B$150,$B4)/1000)</f>
        <v>52596</v>
      </c>
      <c r="K4" s="11">
        <f>IF(K$3=0,"",SUMIFS(INDEX(Inputs!$D$4:$AG$150,0,MATCH(K$2,Inputs!$D$2:$AG$2,0)),Inputs!$B$4:$B$150,$B4)/1000)</f>
        <v>72091</v>
      </c>
      <c r="L4" s="11">
        <f>IF(L$3=0,"",SUMIFS(INDEX(Inputs!$D$4:$AG$150,0,MATCH(L$2,Inputs!$D$2:$AG$2,0)),Inputs!$B$4:$B$150,$B4)/1000)</f>
        <v>54437</v>
      </c>
      <c r="M4" s="12">
        <f>IF(COUNT(I4:L4)=4,SUM(I4:L4),"")</f>
        <v>231028</v>
      </c>
      <c r="N4" s="11">
        <f>IF(N$3=0,"",SUMIFS(INDEX(Inputs!$D$4:$AG$150,0,MATCH(N$2,Inputs!$D$2:$AG$2,0)),Inputs!$B$4:$B$150,$B4)/1000)</f>
        <v>55266</v>
      </c>
      <c r="O4" s="11">
        <f>IF(O$3=0,"",SUMIFS(INDEX(Inputs!$D$4:$AG$150,0,MATCH(O$2,Inputs!$D$2:$AG$2,0)),Inputs!$B$4:$B$150,$B4)/1000)</f>
        <v>53648</v>
      </c>
      <c r="P4" s="11">
        <f>IF(P$3=0,"",SUMIFS(INDEX(Inputs!$D$4:$AG$150,0,MATCH(P$2,Inputs!$D$2:$AG$2,0)),Inputs!$B$4:$B$150,$B4)/1000)</f>
        <v>78939</v>
      </c>
      <c r="Q4" s="11">
        <f>IF(Q$3=0,"",SUMIFS(INDEX(Inputs!$D$4:$AG$150,0,MATCH(Q$2,Inputs!$D$2:$AG$2,0)),Inputs!$B$4:$B$150,$B4)/1000)</f>
        <v>57799</v>
      </c>
      <c r="R4" s="12">
        <f>IF(COUNT(N4:Q4)=4,SUM(N4:Q4),"")</f>
        <v>245652</v>
      </c>
      <c r="S4" s="11">
        <f>IF(S$3=0,"",SUMIFS(INDEX(Inputs!$D$4:$AG$150,0,MATCH(S$2,Inputs!$D$2:$AG$2,0)),Inputs!$B$4:$B$150,$B4)/1000)</f>
        <v>58442</v>
      </c>
      <c r="T4" s="11">
        <f>IF(T$3=0,"",SUMIFS(INDEX(Inputs!$D$4:$AG$150,0,MATCH(T$2,Inputs!$D$2:$AG$2,0)),Inputs!$B$4:$B$150,$B4)/1000)</f>
        <v>58515</v>
      </c>
      <c r="U4" s="11">
        <f>IF(U$3=0,"",SUMIFS(INDEX(Inputs!$D$4:$AG$150,0,MATCH(U$2,Inputs!$D$2:$AG$2,0)),Inputs!$B$4:$B$150,$B4)/1000)</f>
        <v>79697</v>
      </c>
      <c r="V4" s="11">
        <f>IF(V$3=0,"",SUMIFS(INDEX(Inputs!$D$4:$AG$150,0,MATCH(V$2,Inputs!$D$2:$AG$2,0)),Inputs!$B$4:$B$150,$B4)/1000)</f>
        <v>62151</v>
      </c>
      <c r="W4" s="12">
        <f>IF(COUNT(S4:V4)=4,SUM(S4:V4),"")</f>
        <v>258805</v>
      </c>
      <c r="X4" s="11">
        <f>IF(X$3=0,"",SUMIFS(INDEX(Inputs!$D$4:$AG$150,0,MATCH(X$2,Inputs!$D$2:$AG$2,0)),Inputs!$B$4:$B$150,$B4)/1000)</f>
        <v>63723</v>
      </c>
      <c r="Y4" s="11">
        <f>IF(Y$3=0,"",SUMIFS(INDEX(Inputs!$D$4:$AG$150,0,MATCH(Y$2,Inputs!$D$2:$AG$2,0)),Inputs!$B$4:$B$150,$B4)/1000)</f>
        <v>63205</v>
      </c>
      <c r="Z4" s="11">
        <f>IF(Z$3=0,"",SUMIFS(INDEX(Inputs!$D$4:$AG$150,0,MATCH(Z$2,Inputs!$D$2:$AG$2,0)),Inputs!$B$4:$B$150,$B4)/1000)</f>
        <v>86156</v>
      </c>
      <c r="AA4" s="11">
        <f>IF(AA$3=0,"",SUMIFS(INDEX(Inputs!$D$4:$AG$150,0,MATCH(AA$2,Inputs!$D$2:$AG$2,0)),Inputs!$B$4:$B$150,$B4)/1000)</f>
        <v>67307</v>
      </c>
      <c r="AB4" s="12">
        <f>IF(COUNT(X4:AA4)=4,SUM(X4:AA4),"")</f>
        <v>280391</v>
      </c>
      <c r="AC4" s="11">
        <f>IF(AC$3=0,"",SUMIFS(INDEX(Inputs!$D$4:$AG$150,0,MATCH(AC$2,Inputs!$D$2:$AG$2,0)),Inputs!$B$4:$B$150,$B4)/1000)</f>
        <v>69597</v>
      </c>
      <c r="AD4" s="11">
        <f>IF(AD$3=0,"",SUMIFS(INDEX(Inputs!$D$4:$AG$150,0,MATCH(AD$2,Inputs!$D$2:$AG$2,0)),Inputs!$B$4:$B$150,$B4)/1000)</f>
        <v>70527</v>
      </c>
      <c r="AE4" s="11" t="str">
        <f>IF(AE$3=0,"",SUMIFS(INDEX(Inputs!$D$4:$AG$150,0,MATCH(AE$2,Inputs!$D$2:$AG$2,0)),Inputs!$B$4:$B$150,$B4)/1000)</f>
        <v/>
      </c>
      <c r="AF4" s="11" t="str">
        <f>IF(AF$3=0,"",SUMIFS(INDEX(Inputs!$D$4:$AG$150,0,MATCH(AF$2,Inputs!$D$2:$AG$2,0)),Inputs!$B$4:$B$150,$B4)/1000)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IF(D$3=0,"",SUMIFS(INDEX(Inputs!$D$4:$AG$150,0,MATCH(D$2,Inputs!$D$2:$AG$2,0)),Inputs!$B$4:$B$150,$B5)/1000)</f>
        <v>-39078</v>
      </c>
      <c r="E5" s="11">
        <f>IF(E$3=0,"",SUMIFS(INDEX(Inputs!$D$4:$AG$150,0,MATCH(E$2,Inputs!$D$2:$AG$2,0)),Inputs!$B$4:$B$150,$B5)/1000)</f>
        <v>-39415</v>
      </c>
      <c r="F5" s="11">
        <f>IF(F$3=0,"",SUMIFS(INDEX(Inputs!$D$4:$AG$150,0,MATCH(F$2,Inputs!$D$2:$AG$2,0)),Inputs!$B$4:$B$150,$B5)/1000)</f>
        <v>-54733</v>
      </c>
      <c r="G5" s="11">
        <f>IF(G$3=0,"",SUMIFS(INDEX(Inputs!$D$4:$AG$150,0,MATCH(G$2,Inputs!$D$2:$AG$2,0)),Inputs!$B$4:$B$150,$B5)/1000)</f>
        <v>-43952</v>
      </c>
      <c r="H5" s="12">
        <f>IF(COUNT(D5:G5)=4,SUM(D5:G5),"")</f>
        <v>-177178</v>
      </c>
      <c r="I5" s="11">
        <f>IF(I$3=0,"",SUMIFS(INDEX(Inputs!$D$4:$AG$150,0,MATCH(I$2,Inputs!$D$2:$AG$2,0)),Inputs!$B$4:$B$150,$B5)/1000)</f>
        <v>-45517</v>
      </c>
      <c r="J5" s="11">
        <f>IF(J$3=0,"",SUMIFS(INDEX(Inputs!$D$4:$AG$150,0,MATCH(J$2,Inputs!$D$2:$AG$2,0)),Inputs!$B$4:$B$150,$B5)/1000)</f>
        <v>-46355</v>
      </c>
      <c r="K5" s="11">
        <f>IF(K$3=0,"",SUMIFS(INDEX(Inputs!$D$4:$AG$150,0,MATCH(K$2,Inputs!$D$2:$AG$2,0)),Inputs!$B$4:$B$150,$B5)/1000)</f>
        <v>-63558</v>
      </c>
      <c r="L5" s="11">
        <f>IF(L$3=0,"",SUMIFS(INDEX(Inputs!$D$4:$AG$150,0,MATCH(L$2,Inputs!$D$2:$AG$2,0)),Inputs!$B$4:$B$150,$B5)/1000)</f>
        <v>-47769</v>
      </c>
      <c r="M5" s="12">
        <f>IF(COUNT(I5:L5)=4,SUM(I5:L5),"")</f>
        <v>-203199</v>
      </c>
      <c r="N5" s="11">
        <f>IF(N$3=0,"",SUMIFS(INDEX(Inputs!$D$4:$AG$150,0,MATCH(N$2,Inputs!$D$2:$AG$2,0)),Inputs!$B$4:$B$150,$B5)/1000)</f>
        <v>-48423</v>
      </c>
      <c r="O5" s="11">
        <f>IF(O$3=0,"",SUMIFS(INDEX(Inputs!$D$4:$AG$150,0,MATCH(O$2,Inputs!$D$2:$AG$2,0)),Inputs!$B$4:$B$150,$B5)/1000)</f>
        <v>-47175</v>
      </c>
      <c r="P5" s="11">
        <f>IF(P$3=0,"",SUMIFS(INDEX(Inputs!$D$4:$AG$150,0,MATCH(P$2,Inputs!$D$2:$AG$2,0)),Inputs!$B$4:$B$150,$B5)/1000)</f>
        <v>-69219</v>
      </c>
      <c r="Q5" s="11">
        <f>IF(Q$3=0,"",SUMIFS(INDEX(Inputs!$D$4:$AG$150,0,MATCH(Q$2,Inputs!$D$2:$AG$2,0)),Inputs!$B$4:$B$150,$B5)/1000)</f>
        <v>-50457</v>
      </c>
      <c r="R5" s="12">
        <f>IF(COUNT(N5:Q5)=4,SUM(N5:Q5),"")</f>
        <v>-215274</v>
      </c>
      <c r="S5" s="11">
        <f>IF(S$3=0,"",SUMIFS(INDEX(Inputs!$D$4:$AG$150,0,MATCH(S$2,Inputs!$D$2:$AG$2,0)),Inputs!$B$4:$B$150,$B5)/1000)</f>
        <v>-51140</v>
      </c>
      <c r="T5" s="11">
        <f>IF(T$3=0,"",SUMIFS(INDEX(Inputs!$D$4:$AG$150,0,MATCH(T$2,Inputs!$D$2:$AG$2,0)),Inputs!$B$4:$B$150,$B5)/1000)</f>
        <v>-51173</v>
      </c>
      <c r="U5" s="11">
        <f>IF(U$3=0,"",SUMIFS(INDEX(Inputs!$D$4:$AG$150,0,MATCH(U$2,Inputs!$D$2:$AG$2,0)),Inputs!$B$4:$B$150,$B5)/1000)</f>
        <v>-69588</v>
      </c>
      <c r="V5" s="11">
        <f>IF(V$3=0,"",SUMIFS(INDEX(Inputs!$D$4:$AG$150,0,MATCH(V$2,Inputs!$D$2:$AG$2,0)),Inputs!$B$4:$B$150,$B5)/1000)</f>
        <v>-54109</v>
      </c>
      <c r="W5" s="12">
        <f>IF(COUNT(S5:V5)=4,SUM(S5:V5),"")</f>
        <v>-226010</v>
      </c>
      <c r="X5" s="11">
        <f>IF(X$3=0,"",SUMIFS(INDEX(Inputs!$D$4:$AG$150,0,MATCH(X$2,Inputs!$D$2:$AG$2,0)),Inputs!$B$4:$B$150,$B5)/1000)</f>
        <v>-55744</v>
      </c>
      <c r="Y5" s="11">
        <f>IF(Y$3=0,"",SUMIFS(INDEX(Inputs!$D$4:$AG$150,0,MATCH(Y$2,Inputs!$D$2:$AG$2,0)),Inputs!$B$4:$B$150,$B5)/1000)</f>
        <v>-54996</v>
      </c>
      <c r="Z5" s="11">
        <f>IF(Z$3=0,"",SUMIFS(INDEX(Inputs!$D$4:$AG$150,0,MATCH(Z$2,Inputs!$D$2:$AG$2,0)),Inputs!$B$4:$B$150,$B5)/1000)</f>
        <v>-75037</v>
      </c>
      <c r="AA5" s="11">
        <f>IF(AA$3=0,"",SUMIFS(INDEX(Inputs!$D$4:$AG$150,0,MATCH(AA$2,Inputs!$D$2:$AG$2,0)),Inputs!$B$4:$B$150,$B5)/1000)</f>
        <v>-58510</v>
      </c>
      <c r="AB5" s="12">
        <f>IF(COUNT(X5:AA5)=4,SUM(X5:AA5),"")</f>
        <v>-244287</v>
      </c>
      <c r="AC5" s="11">
        <f>IF(AC$3=0,"",SUMIFS(INDEX(Inputs!$D$4:$AG$150,0,MATCH(AC$2,Inputs!$D$2:$AG$2,0)),Inputs!$B$4:$B$150,$B5)/1000)</f>
        <v>-60719</v>
      </c>
      <c r="AD5" s="11">
        <f>IF(AD$3=0,"",SUMIFS(INDEX(Inputs!$D$4:$AG$150,0,MATCH(AD$2,Inputs!$D$2:$AG$2,0)),Inputs!$B$4:$B$150,$B5)/1000)</f>
        <v>-61519</v>
      </c>
      <c r="AE5" s="11" t="str">
        <f>IF(AE$3=0,"",SUMIFS(INDEX(Inputs!$D$4:$AG$150,0,MATCH(AE$2,Inputs!$D$2:$AG$2,0)),Inputs!$B$4:$B$150,$B5)/1000)</f>
        <v/>
      </c>
      <c r="AF5" s="11" t="str">
        <f>IF(AF$3=0,"",SUMIFS(INDEX(Inputs!$D$4:$AG$150,0,MATCH(AF$2,Inputs!$D$2:$AG$2,0)),Inputs!$B$4:$B$150,$B5)/1000)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IF(D$3=0,"",SUMIFS(INDEX(Inputs!$D$4:$AG$150,0,MATCH(D$2,Inputs!$D$2:$AG$2,0)),Inputs!$B$4:$B$150,$B6)/1000)</f>
        <v>-3935</v>
      </c>
      <c r="E6" s="11">
        <f>IF(E$3=0,"",SUMIFS(INDEX(Inputs!$D$4:$AG$150,0,MATCH(E$2,Inputs!$D$2:$AG$2,0)),Inputs!$B$4:$B$150,$B6)/1000)</f>
        <v>-3797</v>
      </c>
      <c r="F6" s="11">
        <f>IF(F$3=0,"",SUMIFS(INDEX(Inputs!$D$4:$AG$150,0,MATCH(F$2,Inputs!$D$2:$AG$2,0)),Inputs!$B$4:$B$150,$B6)/1000)</f>
        <v>-5108</v>
      </c>
      <c r="G6" s="11">
        <f>IF(G$3=0,"",SUMIFS(INDEX(Inputs!$D$4:$AG$150,0,MATCH(G$2,Inputs!$D$2:$AG$2,0)),Inputs!$B$4:$B$150,$B6)/1000)</f>
        <v>-4286</v>
      </c>
      <c r="H6" s="12">
        <f>IF(COUNT(D6:G6)=4,SUM(D6:G6),"")</f>
        <v>-17126</v>
      </c>
      <c r="I6" s="11">
        <f>IF(I$3=0,"",SUMIFS(INDEX(Inputs!$D$4:$AG$150,0,MATCH(I$2,Inputs!$D$2:$AG$2,0)),Inputs!$B$4:$B$150,$B6)/1000)</f>
        <v>-4139</v>
      </c>
      <c r="J6" s="11">
        <f>IF(J$3=0,"",SUMIFS(INDEX(Inputs!$D$4:$AG$150,0,MATCH(J$2,Inputs!$D$2:$AG$2,0)),Inputs!$B$4:$B$150,$B6)/1000)</f>
        <v>-4012</v>
      </c>
      <c r="K6" s="11">
        <f>IF(K$3=0,"",SUMIFS(INDEX(Inputs!$D$4:$AG$150,0,MATCH(K$2,Inputs!$D$2:$AG$2,0)),Inputs!$B$4:$B$150,$B6)/1000)</f>
        <v>-5442</v>
      </c>
      <c r="L6" s="11">
        <f>IF(L$3=0,"",SUMIFS(INDEX(Inputs!$D$4:$AG$150,0,MATCH(L$2,Inputs!$D$2:$AG$2,0)),Inputs!$B$4:$B$150,$B6)/1000)</f>
        <v>-4470</v>
      </c>
      <c r="M6" s="12">
        <f>IF(COUNT(I6:L6)=4,SUM(I6:L6),"")</f>
        <v>-18063</v>
      </c>
      <c r="N6" s="11">
        <f>IF(N$3=0,"",SUMIFS(INDEX(Inputs!$D$4:$AG$150,0,MATCH(N$2,Inputs!$D$2:$AG$2,0)),Inputs!$B$4:$B$150,$B6)/1000)</f>
        <v>-4470</v>
      </c>
      <c r="O6" s="11">
        <f>IF(O$3=0,"",SUMIFS(INDEX(Inputs!$D$4:$AG$150,0,MATCH(O$2,Inputs!$D$2:$AG$2,0)),Inputs!$B$4:$B$150,$B6)/1000)</f>
        <v>-4322</v>
      </c>
      <c r="P6" s="11">
        <f>IF(P$3=0,"",SUMIFS(INDEX(Inputs!$D$4:$AG$150,0,MATCH(P$2,Inputs!$D$2:$AG$2,0)),Inputs!$B$4:$B$150,$B6)/1000)</f>
        <v>-6251</v>
      </c>
      <c r="Q6" s="11">
        <f>IF(Q$3=0,"",SUMIFS(INDEX(Inputs!$D$4:$AG$150,0,MATCH(Q$2,Inputs!$D$2:$AG$2,0)),Inputs!$B$4:$B$150,$B6)/1000)</f>
        <v>-4857</v>
      </c>
      <c r="R6" s="12">
        <f>IF(COUNT(N6:Q6)=4,SUM(N6:Q6),"")</f>
        <v>-19900</v>
      </c>
      <c r="S6" s="11">
        <f>IF(S$3=0,"",SUMIFS(INDEX(Inputs!$D$4:$AG$150,0,MATCH(S$2,Inputs!$D$2:$AG$2,0)),Inputs!$B$4:$B$150,$B6)/1000)</f>
        <v>-4726</v>
      </c>
      <c r="T6" s="11">
        <f>IF(T$3=0,"",SUMIFS(INDEX(Inputs!$D$4:$AG$150,0,MATCH(T$2,Inputs!$D$2:$AG$2,0)),Inputs!$B$4:$B$150,$B6)/1000)</f>
        <v>-4629</v>
      </c>
      <c r="U6" s="11">
        <f>IF(U$3=0,"",SUMIFS(INDEX(Inputs!$D$4:$AG$150,0,MATCH(U$2,Inputs!$D$2:$AG$2,0)),Inputs!$B$4:$B$150,$B6)/1000)</f>
        <v>-6361</v>
      </c>
      <c r="V6" s="11">
        <f>IF(V$3=0,"",SUMIFS(INDEX(Inputs!$D$4:$AG$150,0,MATCH(V$2,Inputs!$D$2:$AG$2,0)),Inputs!$B$4:$B$150,$B6)/1000)</f>
        <v>-5298</v>
      </c>
      <c r="W6" s="12">
        <f>IF(COUNT(S6:V6)=4,SUM(S6:V6),"")</f>
        <v>-21014</v>
      </c>
      <c r="X6" s="11">
        <f>IF(X$3=0,"",SUMIFS(INDEX(Inputs!$D$4:$AG$150,0,MATCH(X$2,Inputs!$D$2:$AG$2,0)),Inputs!$B$4:$B$150,$B6)/1000)</f>
        <v>-5111</v>
      </c>
      <c r="Y6" s="11">
        <f>IF(Y$3=0,"",SUMIFS(INDEX(Inputs!$D$4:$AG$150,0,MATCH(Y$2,Inputs!$D$2:$AG$2,0)),Inputs!$B$4:$B$150,$B6)/1000)</f>
        <v>-5127</v>
      </c>
      <c r="Z6" s="11">
        <f>IF(Z$3=0,"",SUMIFS(INDEX(Inputs!$D$4:$AG$150,0,MATCH(Z$2,Inputs!$D$2:$AG$2,0)),Inputs!$B$4:$B$150,$B6)/1000)</f>
        <v>-7004</v>
      </c>
      <c r="AA6" s="11">
        <f>IF(AA$3=0,"",SUMIFS(INDEX(Inputs!$D$4:$AG$150,0,MATCH(AA$2,Inputs!$D$2:$AG$2,0)),Inputs!$B$4:$B$150,$B6)/1000)</f>
        <v>-5737</v>
      </c>
      <c r="AB6" s="12">
        <f>IF(COUNT(X6:AA6)=4,SUM(X6:AA6),"")</f>
        <v>-22979</v>
      </c>
      <c r="AC6" s="11">
        <f>IF(AC$3=0,"",SUMIFS(INDEX(Inputs!$D$4:$AG$150,0,MATCH(AC$2,Inputs!$D$2:$AG$2,0)),Inputs!$B$4:$B$150,$B6)/1000)</f>
        <v>-5675</v>
      </c>
      <c r="AD6" s="11">
        <f>IF(AD$3=0,"",SUMIFS(INDEX(Inputs!$D$4:$AG$150,0,MATCH(AD$2,Inputs!$D$2:$AG$2,0)),Inputs!$B$4:$B$150,$B6)/1000)</f>
        <v>-5596</v>
      </c>
      <c r="AE6" s="11" t="str">
        <f>IF(AE$3=0,"",SUMIFS(INDEX(Inputs!$D$4:$AG$150,0,MATCH(AE$2,Inputs!$D$2:$AG$2,0)),Inputs!$B$4:$B$150,$B6)/1000)</f>
        <v/>
      </c>
      <c r="AF6" s="11" t="str">
        <f>IF(AF$3=0,"",SUMIFS(INDEX(Inputs!$D$4:$AG$150,0,MATCH(AF$2,Inputs!$D$2:$AG$2,0)),Inputs!$B$4:$B$150,$B6)/1000)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IF(D$3=0,"",SUMIFS(INDEX(Inputs!$D$4:$AG$150,0,MATCH(D$2,Inputs!$D$2:$AG$2,0)),Inputs!$B$4:$B$150,$B7)/1000)</f>
        <v>-416</v>
      </c>
      <c r="E7" s="11">
        <f>IF(E$3=0,"",SUMIFS(INDEX(Inputs!$D$4:$AG$150,0,MATCH(E$2,Inputs!$D$2:$AG$2,0)),Inputs!$B$4:$B$150,$B7)/1000)</f>
        <v>-402</v>
      </c>
      <c r="F7" s="11">
        <f>IF(F$3=0,"",SUMIFS(INDEX(Inputs!$D$4:$AG$150,0,MATCH(F$2,Inputs!$D$2:$AG$2,0)),Inputs!$B$4:$B$150,$B7)/1000)</f>
        <v>-559</v>
      </c>
      <c r="G7" s="11">
        <f>IF(G$3=0,"",SUMIFS(INDEX(Inputs!$D$4:$AG$150,0,MATCH(G$2,Inputs!$D$2:$AG$2,0)),Inputs!$B$4:$B$150,$B7)/1000)</f>
        <v>-432</v>
      </c>
      <c r="H7" s="12">
        <f>IF(COUNT(D7:G7)=4,SUM(D7:G7),"")</f>
        <v>-1809</v>
      </c>
      <c r="I7" s="11">
        <f>IF(I$3=0,"",SUMIFS(INDEX(Inputs!$D$4:$AG$150,0,MATCH(I$2,Inputs!$D$2:$AG$2,0)),Inputs!$B$4:$B$150,$B7)/1000)</f>
        <v>-436</v>
      </c>
      <c r="J7" s="11">
        <f>IF(J$3=0,"",SUMIFS(INDEX(Inputs!$D$4:$AG$150,0,MATCH(J$2,Inputs!$D$2:$AG$2,0)),Inputs!$B$4:$B$150,$B7)/1000)</f>
        <v>-438</v>
      </c>
      <c r="K7" s="11">
        <f>IF(K$3=0,"",SUMIFS(INDEX(Inputs!$D$4:$AG$150,0,MATCH(K$2,Inputs!$D$2:$AG$2,0)),Inputs!$B$4:$B$150,$B7)/1000)</f>
        <v>-594</v>
      </c>
      <c r="L7" s="11">
        <f>IF(L$3=0,"",SUMIFS(INDEX(Inputs!$D$4:$AG$150,0,MATCH(L$2,Inputs!$D$2:$AG$2,0)),Inputs!$B$4:$B$150,$B7)/1000)</f>
        <v>-447</v>
      </c>
      <c r="M7" s="12">
        <f>IF(COUNT(I7:L7)=4,SUM(I7:L7),"")</f>
        <v>-1915</v>
      </c>
      <c r="N7" s="11">
        <f>IF(N$3=0,"",SUMIFS(INDEX(Inputs!$D$4:$AG$150,0,MATCH(N$2,Inputs!$D$2:$AG$2,0)),Inputs!$B$4:$B$150,$B7)/1000)</f>
        <v>-470</v>
      </c>
      <c r="O7" s="11">
        <f>IF(O$3=0,"",SUMIFS(INDEX(Inputs!$D$4:$AG$150,0,MATCH(O$2,Inputs!$D$2:$AG$2,0)),Inputs!$B$4:$B$150,$B7)/1000)</f>
        <v>-472</v>
      </c>
      <c r="P7" s="11">
        <f>IF(P$3=0,"",SUMIFS(INDEX(Inputs!$D$4:$AG$150,0,MATCH(P$2,Inputs!$D$2:$AG$2,0)),Inputs!$B$4:$B$150,$B7)/1000)</f>
        <v>-688</v>
      </c>
      <c r="Q7" s="11">
        <f>IF(Q$3=0,"",SUMIFS(INDEX(Inputs!$D$4:$AG$150,0,MATCH(Q$2,Inputs!$D$2:$AG$2,0)),Inputs!$B$4:$B$150,$B7)/1000)</f>
        <v>-501</v>
      </c>
      <c r="R7" s="12">
        <f>IF(COUNT(N7:Q7)=4,SUM(N7:Q7),"")</f>
        <v>-2131</v>
      </c>
      <c r="S7" s="11">
        <f>IF(S$3=0,"",SUMIFS(INDEX(Inputs!$D$4:$AG$150,0,MATCH(S$2,Inputs!$D$2:$AG$2,0)),Inputs!$B$4:$B$150,$B7)/1000)</f>
        <v>-514</v>
      </c>
      <c r="T7" s="11">
        <f>IF(T$3=0,"",SUMIFS(INDEX(Inputs!$D$4:$AG$150,0,MATCH(T$2,Inputs!$D$2:$AG$2,0)),Inputs!$B$4:$B$150,$B7)/1000)</f>
        <v>-516</v>
      </c>
      <c r="U7" s="11">
        <f>IF(U$3=0,"",SUMIFS(INDEX(Inputs!$D$4:$AG$150,0,MATCH(U$2,Inputs!$D$2:$AG$2,0)),Inputs!$B$4:$B$150,$B7)/1000)</f>
        <v>-706</v>
      </c>
      <c r="V7" s="11">
        <f>IF(V$3=0,"",SUMIFS(INDEX(Inputs!$D$4:$AG$150,0,MATCH(V$2,Inputs!$D$2:$AG$2,0)),Inputs!$B$4:$B$150,$B7)/1000)</f>
        <v>-548</v>
      </c>
      <c r="W7" s="12">
        <f>IF(COUNT(S7:V7)=4,SUM(S7:V7),"")</f>
        <v>-2284</v>
      </c>
      <c r="X7" s="11">
        <f>IF(X$3=0,"",SUMIFS(INDEX(Inputs!$D$4:$AG$150,0,MATCH(X$2,Inputs!$D$2:$AG$2,0)),Inputs!$B$4:$B$150,$B7)/1000)</f>
        <v>-552</v>
      </c>
      <c r="Y7" s="11">
        <f>IF(Y$3=0,"",SUMIFS(INDEX(Inputs!$D$4:$AG$150,0,MATCH(Y$2,Inputs!$D$2:$AG$2,0)),Inputs!$B$4:$B$150,$B7)/1000)</f>
        <v>-552</v>
      </c>
      <c r="Z7" s="11">
        <f>IF(Z$3=0,"",SUMIFS(INDEX(Inputs!$D$4:$AG$150,0,MATCH(Z$2,Inputs!$D$2:$AG$2,0)),Inputs!$B$4:$B$150,$B7)/1000)</f>
        <v>-774</v>
      </c>
      <c r="AA7" s="11">
        <f>IF(AA$3=0,"",SUMIFS(INDEX(Inputs!$D$4:$AG$150,0,MATCH(AA$2,Inputs!$D$2:$AG$2,0)),Inputs!$B$4:$B$150,$B7)/1000)</f>
        <v>-597</v>
      </c>
      <c r="AB7" s="12">
        <f>IF(COUNT(X7:AA7)=4,SUM(X7:AA7),"")</f>
        <v>-2475</v>
      </c>
      <c r="AC7" s="11">
        <f>IF(AC$3=0,"",SUMIFS(INDEX(Inputs!$D$4:$AG$150,0,MATCH(AC$2,Inputs!$D$2:$AG$2,0)),Inputs!$B$4:$B$150,$B7)/1000)</f>
        <v>-597</v>
      </c>
      <c r="AD7" s="11">
        <f>IF(AD$3=0,"",SUMIFS(INDEX(Inputs!$D$4:$AG$150,0,MATCH(AD$2,Inputs!$D$2:$AG$2,0)),Inputs!$B$4:$B$150,$B7)/1000)</f>
        <v>-597</v>
      </c>
      <c r="AE7" s="11" t="str">
        <f>IF(AE$3=0,"",SUMIFS(INDEX(Inputs!$D$4:$AG$150,0,MATCH(AE$2,Inputs!$D$2:$AG$2,0)),Inputs!$B$4:$B$150,$B7)/1000)</f>
        <v/>
      </c>
      <c r="AF7" s="11" t="str">
        <f>IF(AF$3=0,"",SUMIFS(INDEX(Inputs!$D$4:$AG$150,0,MATCH(AF$2,Inputs!$D$2:$AG$2,0)),Inputs!$B$4:$B$150,$B7)/1000)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IF(D$3=0,"",SUMIFS(INDEX(Inputs!$D$4:$AG$150,0,MATCH(D$2,Inputs!$D$2:$AG$2,0)),Inputs!$B$4:$B$150,$B8)/1000)</f>
        <v>-40</v>
      </c>
      <c r="E8" s="11">
        <f>IF(E$3=0,"",SUMIFS(INDEX(Inputs!$D$4:$AG$150,0,MATCH(E$2,Inputs!$D$2:$AG$2,0)),Inputs!$B$4:$B$150,$B8)/1000)</f>
        <v>-40</v>
      </c>
      <c r="F8" s="11">
        <f>IF(F$3=0,"",SUMIFS(INDEX(Inputs!$D$4:$AG$150,0,MATCH(F$2,Inputs!$D$2:$AG$2,0)),Inputs!$B$4:$B$150,$B8)/1000)</f>
        <v>-52</v>
      </c>
      <c r="G8" s="11">
        <f>IF(G$3=0,"",SUMIFS(INDEX(Inputs!$D$4:$AG$150,0,MATCH(G$2,Inputs!$D$2:$AG$2,0)),Inputs!$B$4:$B$150,$B8)/1000)</f>
        <v>-39</v>
      </c>
      <c r="H8" s="12">
        <f>IF(COUNT(D8:G8)=4,SUM(D8:G8),"")</f>
        <v>-171</v>
      </c>
      <c r="I8" s="11">
        <f>IF(I$3=0,"",SUMIFS(INDEX(Inputs!$D$4:$AG$150,0,MATCH(I$2,Inputs!$D$2:$AG$2,0)),Inputs!$B$4:$B$150,$B8)/1000)</f>
        <v>-36</v>
      </c>
      <c r="J8" s="11">
        <f>IF(J$3=0,"",SUMIFS(INDEX(Inputs!$D$4:$AG$150,0,MATCH(J$2,Inputs!$D$2:$AG$2,0)),Inputs!$B$4:$B$150,$B8)/1000)</f>
        <v>-35</v>
      </c>
      <c r="K8" s="11">
        <f>IF(K$3=0,"",SUMIFS(INDEX(Inputs!$D$4:$AG$150,0,MATCH(K$2,Inputs!$D$2:$AG$2,0)),Inputs!$B$4:$B$150,$B8)/1000)</f>
        <v>-48</v>
      </c>
      <c r="L8" s="11">
        <f>IF(L$3=0,"",SUMIFS(INDEX(Inputs!$D$4:$AG$150,0,MATCH(L$2,Inputs!$D$2:$AG$2,0)),Inputs!$B$4:$B$150,$B8)/1000)</f>
        <v>-34</v>
      </c>
      <c r="M8" s="12">
        <f>IF(COUNT(I8:L8)=4,SUM(I8:L8),"")</f>
        <v>-153</v>
      </c>
      <c r="N8" s="11">
        <f>IF(N$3=0,"",SUMIFS(INDEX(Inputs!$D$4:$AG$150,0,MATCH(N$2,Inputs!$D$2:$AG$2,0)),Inputs!$B$4:$B$150,$B8)/1000)</f>
        <v>-34</v>
      </c>
      <c r="O8" s="11">
        <f>IF(O$3=0,"",SUMIFS(INDEX(Inputs!$D$4:$AG$150,0,MATCH(O$2,Inputs!$D$2:$AG$2,0)),Inputs!$B$4:$B$150,$B8)/1000)</f>
        <v>-36</v>
      </c>
      <c r="P8" s="11">
        <f>IF(P$3=0,"",SUMIFS(INDEX(Inputs!$D$4:$AG$150,0,MATCH(P$2,Inputs!$D$2:$AG$2,0)),Inputs!$B$4:$B$150,$B8)/1000)</f>
        <v>-56</v>
      </c>
      <c r="Q8" s="11">
        <f>IF(Q$3=0,"",SUMIFS(INDEX(Inputs!$D$4:$AG$150,0,MATCH(Q$2,Inputs!$D$2:$AG$2,0)),Inputs!$B$4:$B$150,$B8)/1000)</f>
        <v>-38</v>
      </c>
      <c r="R8" s="12">
        <f>IF(COUNT(N8:Q8)=4,SUM(N8:Q8),"")</f>
        <v>-164</v>
      </c>
      <c r="S8" s="11">
        <f>IF(S$3=0,"",SUMIFS(INDEX(Inputs!$D$4:$AG$150,0,MATCH(S$2,Inputs!$D$2:$AG$2,0)),Inputs!$B$4:$B$150,$B8)/1000)</f>
        <v>-41</v>
      </c>
      <c r="T8" s="11">
        <f>IF(T$3=0,"",SUMIFS(INDEX(Inputs!$D$4:$AG$150,0,MATCH(T$2,Inputs!$D$2:$AG$2,0)),Inputs!$B$4:$B$150,$B8)/1000)</f>
        <v>-41</v>
      </c>
      <c r="U8" s="11">
        <f>IF(U$3=0,"",SUMIFS(INDEX(Inputs!$D$4:$AG$150,0,MATCH(U$2,Inputs!$D$2:$AG$2,0)),Inputs!$B$4:$B$150,$B8)/1000)</f>
        <v>-49</v>
      </c>
      <c r="V8" s="11">
        <f>IF(V$3=0,"",SUMIFS(INDEX(Inputs!$D$4:$AG$150,0,MATCH(V$2,Inputs!$D$2:$AG$2,0)),Inputs!$B$4:$B$150,$B8)/1000)</f>
        <v>-37</v>
      </c>
      <c r="W8" s="12">
        <f>IF(COUNT(S8:V8)=4,SUM(S8:V8),"")</f>
        <v>-168</v>
      </c>
      <c r="X8" s="11">
        <f>IF(X$3=0,"",SUMIFS(INDEX(Inputs!$D$4:$AG$150,0,MATCH(X$2,Inputs!$D$2:$AG$2,0)),Inputs!$B$4:$B$150,$B8)/1000)</f>
        <v>-36</v>
      </c>
      <c r="Y8" s="11">
        <f>IF(Y$3=0,"",SUMIFS(INDEX(Inputs!$D$4:$AG$150,0,MATCH(Y$2,Inputs!$D$2:$AG$2,0)),Inputs!$B$4:$B$150,$B8)/1000)</f>
        <v>-35</v>
      </c>
      <c r="Z8" s="11">
        <f>IF(Z$3=0,"",SUMIFS(INDEX(Inputs!$D$4:$AG$150,0,MATCH(Z$2,Inputs!$D$2:$AG$2,0)),Inputs!$B$4:$B$150,$B8)/1000)</f>
        <v>-46</v>
      </c>
      <c r="AA8" s="11">
        <f>IF(AA$3=0,"",SUMIFS(INDEX(Inputs!$D$4:$AG$150,0,MATCH(AA$2,Inputs!$D$2:$AG$2,0)),Inputs!$B$4:$B$150,$B8)/1000)</f>
        <v>-35</v>
      </c>
      <c r="AB8" s="12">
        <f>IF(COUNT(X8:AA8)=4,SUM(X8:AA8),"")</f>
        <v>-152</v>
      </c>
      <c r="AC8" s="11">
        <f>IF(AC$3=0,"",SUMIFS(INDEX(Inputs!$D$4:$AG$150,0,MATCH(AC$2,Inputs!$D$2:$AG$2,0)),Inputs!$B$4:$B$150,$B8)/1000)</f>
        <v>-33</v>
      </c>
      <c r="AD8" s="11">
        <f>IF(AD$3=0,"",SUMIFS(INDEX(Inputs!$D$4:$AG$150,0,MATCH(AD$2,Inputs!$D$2:$AG$2,0)),Inputs!$B$4:$B$150,$B8)/1000)</f>
        <v>-32</v>
      </c>
      <c r="AE8" s="11" t="str">
        <f>IF(AE$3=0,"",SUMIFS(INDEX(Inputs!$D$4:$AG$150,0,MATCH(AE$2,Inputs!$D$2:$AG$2,0)),Inputs!$B$4:$B$150,$B8)/1000)</f>
        <v/>
      </c>
      <c r="AF8" s="11" t="str">
        <f>IF(AF$3=0,"",SUMIFS(INDEX(Inputs!$D$4:$AG$150,0,MATCH(AF$2,Inputs!$D$2:$AG$2,0)),Inputs!$B$4:$B$150,$B8)/1000)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IF(D$3=0,"",SUMIFS(INDEX(Inputs!$D$4:$AG$150,0,MATCH(D$2,Inputs!$D$2:$AG$2,0)),Inputs!$B$4:$B$150,$B9)/1000)</f>
        <v>19</v>
      </c>
      <c r="E9" s="11">
        <f>IF(E$3=0,"",SUMIFS(INDEX(Inputs!$D$4:$AG$150,0,MATCH(E$2,Inputs!$D$2:$AG$2,0)),Inputs!$B$4:$B$150,$B9)/1000)</f>
        <v>27</v>
      </c>
      <c r="F9" s="11">
        <f>IF(F$3=0,"",SUMIFS(INDEX(Inputs!$D$4:$AG$150,0,MATCH(F$2,Inputs!$D$2:$AG$2,0)),Inputs!$B$4:$B$150,$B9)/1000)</f>
        <v>68</v>
      </c>
      <c r="G9" s="11">
        <f>IF(G$3=0,"",SUMIFS(INDEX(Inputs!$D$4:$AG$150,0,MATCH(G$2,Inputs!$D$2:$AG$2,0)),Inputs!$B$4:$B$150,$B9)/1000)</f>
        <v>42</v>
      </c>
      <c r="H9" s="12">
        <f>IF(COUNT(D9:G9)=4,SUM(D9:G9),"")</f>
        <v>156</v>
      </c>
      <c r="I9" s="11">
        <f>IF(I$3=0,"",SUMIFS(INDEX(Inputs!$D$4:$AG$150,0,MATCH(I$2,Inputs!$D$2:$AG$2,0)),Inputs!$B$4:$B$150,$B9)/1000)</f>
        <v>25</v>
      </c>
      <c r="J9" s="11">
        <f>IF(J$3=0,"",SUMIFS(INDEX(Inputs!$D$4:$AG$150,0,MATCH(J$2,Inputs!$D$2:$AG$2,0)),Inputs!$B$4:$B$150,$B9)/1000)</f>
        <v>71</v>
      </c>
      <c r="K9" s="11">
        <f>IF(K$3=0,"",SUMIFS(INDEX(Inputs!$D$4:$AG$150,0,MATCH(K$2,Inputs!$D$2:$AG$2,0)),Inputs!$B$4:$B$150,$B9)/1000)</f>
        <v>67</v>
      </c>
      <c r="L9" s="11">
        <f>IF(L$3=0,"",SUMIFS(INDEX(Inputs!$D$4:$AG$150,0,MATCH(L$2,Inputs!$D$2:$AG$2,0)),Inputs!$B$4:$B$150,$B9)/1000)</f>
        <v>53</v>
      </c>
      <c r="M9" s="12">
        <f>IF(COUNT(I9:L9)=4,SUM(I9:L9),"")</f>
        <v>216</v>
      </c>
      <c r="N9" s="11">
        <f>IF(N$3=0,"",SUMIFS(INDEX(Inputs!$D$4:$AG$150,0,MATCH(N$2,Inputs!$D$2:$AG$2,0)),Inputs!$B$4:$B$150,$B9)/1000)</f>
        <v>114</v>
      </c>
      <c r="O9" s="11">
        <f>IF(O$3=0,"",SUMIFS(INDEX(Inputs!$D$4:$AG$150,0,MATCH(O$2,Inputs!$D$2:$AG$2,0)),Inputs!$B$4:$B$150,$B9)/1000)</f>
        <v>128</v>
      </c>
      <c r="P9" s="11">
        <f>IF(P$3=0,"",SUMIFS(INDEX(Inputs!$D$4:$AG$150,0,MATCH(P$2,Inputs!$D$2:$AG$2,0)),Inputs!$B$4:$B$150,$B9)/1000)</f>
        <v>238</v>
      </c>
      <c r="Q9" s="11">
        <f>IF(Q$3=0,"",SUMIFS(INDEX(Inputs!$D$4:$AG$150,0,MATCH(Q$2,Inputs!$D$2:$AG$2,0)),Inputs!$B$4:$B$150,$B9)/1000)</f>
        <v>160</v>
      </c>
      <c r="R9" s="12">
        <f>IF(COUNT(N9:Q9)=4,SUM(N9:Q9),"")</f>
        <v>640</v>
      </c>
      <c r="S9" s="11">
        <f>IF(S$3=0,"",SUMIFS(INDEX(Inputs!$D$4:$AG$150,0,MATCH(S$2,Inputs!$D$2:$AG$2,0)),Inputs!$B$4:$B$150,$B9)/1000)</f>
        <v>216</v>
      </c>
      <c r="T9" s="11">
        <f>IF(T$3=0,"",SUMIFS(INDEX(Inputs!$D$4:$AG$150,0,MATCH(T$2,Inputs!$D$2:$AG$2,0)),Inputs!$B$4:$B$150,$B9)/1000)</f>
        <v>128</v>
      </c>
      <c r="U9" s="11">
        <f>IF(U$3=0,"",SUMIFS(INDEX(Inputs!$D$4:$AG$150,0,MATCH(U$2,Inputs!$D$2:$AG$2,0)),Inputs!$B$4:$B$150,$B9)/1000)</f>
        <v>120</v>
      </c>
      <c r="V9" s="11">
        <f>IF(V$3=0,"",SUMIFS(INDEX(Inputs!$D$4:$AG$150,0,MATCH(V$2,Inputs!$D$2:$AG$2,0)),Inputs!$B$4:$B$150,$B9)/1000)</f>
        <v>147</v>
      </c>
      <c r="W9" s="12">
        <f>IF(COUNT(S9:V9)=4,SUM(S9:V9),"")</f>
        <v>611</v>
      </c>
      <c r="X9" s="11">
        <f>IF(X$3=0,"",SUMIFS(INDEX(Inputs!$D$4:$AG$150,0,MATCH(X$2,Inputs!$D$2:$AG$2,0)),Inputs!$B$4:$B$150,$B9)/1000)</f>
        <v>142</v>
      </c>
      <c r="Y9" s="11">
        <f>IF(Y$3=0,"",SUMIFS(INDEX(Inputs!$D$4:$AG$150,0,MATCH(Y$2,Inputs!$D$2:$AG$2,0)),Inputs!$B$4:$B$150,$B9)/1000)</f>
        <v>85</v>
      </c>
      <c r="Z9" s="11">
        <f>IF(Z$3=0,"",SUMIFS(INDEX(Inputs!$D$4:$AG$150,0,MATCH(Z$2,Inputs!$D$2:$AG$2,0)),Inputs!$B$4:$B$150,$B9)/1000)</f>
        <v>215</v>
      </c>
      <c r="AA9" s="11">
        <f>IF(AA$3=0,"",SUMIFS(INDEX(Inputs!$D$4:$AG$150,0,MATCH(AA$2,Inputs!$D$2:$AG$2,0)),Inputs!$B$4:$B$150,$B9)/1000)</f>
        <v>155</v>
      </c>
      <c r="AB9" s="12">
        <f>IF(COUNT(X9:AA9)=4,SUM(X9:AA9),"")</f>
        <v>597</v>
      </c>
      <c r="AC9" s="11">
        <f>IF(AC$3=0,"",SUMIFS(INDEX(Inputs!$D$4:$AG$150,0,MATCH(AC$2,Inputs!$D$2:$AG$2,0)),Inputs!$B$4:$B$150,$B9)/1000)</f>
        <v>148</v>
      </c>
      <c r="AD9" s="11">
        <f>IF(AD$3=0,"",SUMIFS(INDEX(Inputs!$D$4:$AG$150,0,MATCH(AD$2,Inputs!$D$2:$AG$2,0)),Inputs!$B$4:$B$150,$B9)/1000)</f>
        <v>155</v>
      </c>
      <c r="AE9" s="11" t="str">
        <f>IF(AE$3=0,"",SUMIFS(INDEX(Inputs!$D$4:$AG$150,0,MATCH(AE$2,Inputs!$D$2:$AG$2,0)),Inputs!$B$4:$B$150,$B9)/1000)</f>
        <v/>
      </c>
      <c r="AF9" s="11" t="str">
        <f>IF(AF$3=0,"",SUMIFS(INDEX(Inputs!$D$4:$AG$150,0,MATCH(AF$2,Inputs!$D$2:$AG$2,0)),Inputs!$B$4:$B$150,$B9)/1000)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IF(D$3=0,"",SUMIFS(INDEX(Inputs!$D$4:$AG$150,0,MATCH(D$2,Inputs!$D$2:$AG$2,0)),Inputs!$B$4:$B$150,$B10)/1000)</f>
        <v>-348</v>
      </c>
      <c r="E10" s="11">
        <f>IF(E$3=0,"",SUMIFS(INDEX(Inputs!$D$4:$AG$150,0,MATCH(E$2,Inputs!$D$2:$AG$2,0)),Inputs!$B$4:$B$150,$B10)/1000)</f>
        <v>-417</v>
      </c>
      <c r="F10" s="11">
        <f>IF(F$3=0,"",SUMIFS(INDEX(Inputs!$D$4:$AG$150,0,MATCH(F$2,Inputs!$D$2:$AG$2,0)),Inputs!$B$4:$B$150,$B10)/1000)</f>
        <v>-597</v>
      </c>
      <c r="G10" s="11">
        <f>IF(G$3=0,"",SUMIFS(INDEX(Inputs!$D$4:$AG$150,0,MATCH(G$2,Inputs!$D$2:$AG$2,0)),Inputs!$B$4:$B$150,$B10)/1000)</f>
        <v>-351</v>
      </c>
      <c r="H10" s="12">
        <f>IF(COUNT(D10:G10)=4,SUM(D10:G10),"")</f>
        <v>-1713</v>
      </c>
      <c r="I10" s="11">
        <f>IF(I$3=0,"",SUMIFS(INDEX(Inputs!$D$4:$AG$150,0,MATCH(I$2,Inputs!$D$2:$AG$2,0)),Inputs!$B$4:$B$150,$B10)/1000)</f>
        <v>-481</v>
      </c>
      <c r="J10" s="11">
        <f>IF(J$3=0,"",SUMIFS(INDEX(Inputs!$D$4:$AG$150,0,MATCH(J$2,Inputs!$D$2:$AG$2,0)),Inputs!$B$4:$B$150,$B10)/1000)</f>
        <v>-455</v>
      </c>
      <c r="K10" s="11">
        <f>IF(K$3=0,"",SUMIFS(INDEX(Inputs!$D$4:$AG$150,0,MATCH(K$2,Inputs!$D$2:$AG$2,0)),Inputs!$B$4:$B$150,$B10)/1000)</f>
        <v>-638</v>
      </c>
      <c r="L10" s="11">
        <f>IF(L$3=0,"",SUMIFS(INDEX(Inputs!$D$4:$AG$150,0,MATCH(L$2,Inputs!$D$2:$AG$2,0)),Inputs!$B$4:$B$150,$B10)/1000)</f>
        <v>-406</v>
      </c>
      <c r="M10" s="12">
        <f>IF(COUNT(I10:L10)=4,SUM(I10:L10),"")</f>
        <v>-1980</v>
      </c>
      <c r="N10" s="11">
        <f>IF(N$3=0,"",SUMIFS(INDEX(Inputs!$D$4:$AG$150,0,MATCH(N$2,Inputs!$D$2:$AG$2,0)),Inputs!$B$4:$B$150,$B10)/1000)</f>
        <v>-517</v>
      </c>
      <c r="O10" s="11">
        <f>IF(O$3=0,"",SUMIFS(INDEX(Inputs!$D$4:$AG$150,0,MATCH(O$2,Inputs!$D$2:$AG$2,0)),Inputs!$B$4:$B$150,$B10)/1000)</f>
        <v>-469</v>
      </c>
      <c r="P10" s="11">
        <f>IF(P$3=0,"",SUMIFS(INDEX(Inputs!$D$4:$AG$150,0,MATCH(P$2,Inputs!$D$2:$AG$2,0)),Inputs!$B$4:$B$150,$B10)/1000)</f>
        <v>-803</v>
      </c>
      <c r="Q10" s="11">
        <f>IF(Q$3=0,"",SUMIFS(INDEX(Inputs!$D$4:$AG$150,0,MATCH(Q$2,Inputs!$D$2:$AG$2,0)),Inputs!$B$4:$B$150,$B10)/1000)</f>
        <v>-517</v>
      </c>
      <c r="R10" s="12">
        <f>IF(COUNT(N10:Q10)=4,SUM(N10:Q10),"")</f>
        <v>-2306</v>
      </c>
      <c r="S10" s="11">
        <f>IF(S$3=0,"",SUMIFS(INDEX(Inputs!$D$4:$AG$150,0,MATCH(S$2,Inputs!$D$2:$AG$2,0)),Inputs!$B$4:$B$150,$B10)/1000)</f>
        <v>-494</v>
      </c>
      <c r="T10" s="11">
        <f>IF(T$3=0,"",SUMIFS(INDEX(Inputs!$D$4:$AG$150,0,MATCH(T$2,Inputs!$D$2:$AG$2,0)),Inputs!$B$4:$B$150,$B10)/1000)</f>
        <v>-603</v>
      </c>
      <c r="U10" s="11">
        <f>IF(U$3=0,"",SUMIFS(INDEX(Inputs!$D$4:$AG$150,0,MATCH(U$2,Inputs!$D$2:$AG$2,0)),Inputs!$B$4:$B$150,$B10)/1000)</f>
        <v>-759</v>
      </c>
      <c r="V10" s="11">
        <f>IF(V$3=0,"",SUMIFS(INDEX(Inputs!$D$4:$AG$150,0,MATCH(V$2,Inputs!$D$2:$AG$2,0)),Inputs!$B$4:$B$150,$B10)/1000)</f>
        <v>-508</v>
      </c>
      <c r="W10" s="12">
        <f>IF(COUNT(S10:V10)=4,SUM(S10:V10),"")</f>
        <v>-2364</v>
      </c>
      <c r="X10" s="11">
        <f>IF(X$3=0,"",SUMIFS(INDEX(Inputs!$D$4:$AG$150,0,MATCH(X$2,Inputs!$D$2:$AG$2,0)),Inputs!$B$4:$B$150,$B10)/1000)</f>
        <v>-634</v>
      </c>
      <c r="Y10" s="11">
        <f>IF(Y$3=0,"",SUMIFS(INDEX(Inputs!$D$4:$AG$150,0,MATCH(Y$2,Inputs!$D$2:$AG$2,0)),Inputs!$B$4:$B$150,$B10)/1000)</f>
        <v>-677</v>
      </c>
      <c r="Z10" s="11">
        <f>IF(Z$3=0,"",SUMIFS(INDEX(Inputs!$D$4:$AG$150,0,MATCH(Z$2,Inputs!$D$2:$AG$2,0)),Inputs!$B$4:$B$150,$B10)/1000)</f>
        <v>-900</v>
      </c>
      <c r="AA10" s="11">
        <f>IF(AA$3=0,"",SUMIFS(INDEX(Inputs!$D$4:$AG$150,0,MATCH(AA$2,Inputs!$D$2:$AG$2,0)),Inputs!$B$4:$B$150,$B10)/1000)</f>
        <v>-582</v>
      </c>
      <c r="AB10" s="12">
        <f>IF(COUNT(X10:AA10)=4,SUM(X10:AA10),"")</f>
        <v>-2793</v>
      </c>
      <c r="AC10" s="11">
        <f>IF(AC$3=0,"",SUMIFS(INDEX(Inputs!$D$4:$AG$150,0,MATCH(AC$2,Inputs!$D$2:$AG$2,0)),Inputs!$B$4:$B$150,$B10)/1000)</f>
        <v>-686</v>
      </c>
      <c r="AD10" s="11">
        <f>IF(AD$3=0,"",SUMIFS(INDEX(Inputs!$D$4:$AG$150,0,MATCH(AD$2,Inputs!$D$2:$AG$2,0)),Inputs!$B$4:$B$150,$B10)/1000)</f>
        <v>-746</v>
      </c>
      <c r="AE10" s="11" t="str">
        <f>IF(AE$3=0,"",SUMIFS(INDEX(Inputs!$D$4:$AG$150,0,MATCH(AE$2,Inputs!$D$2:$AG$2,0)),Inputs!$B$4:$B$150,$B10)/1000)</f>
        <v/>
      </c>
      <c r="AF10" s="11" t="str">
        <f>IF(AF$3=0,"",SUMIFS(INDEX(Inputs!$D$4:$AG$150,0,MATCH(AF$2,Inputs!$D$2:$AG$2,0)),Inputs!$B$4:$B$150,$B10)/1000)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IF(D$3=0,"",SUMIFS(INDEX(Inputs!$D$4:$AG$150,0,MATCH(D$2,Inputs!$D$2:$AG$2,0)),Inputs!$B$4:$B$150,$B11)/1000)</f>
        <v>0</v>
      </c>
      <c r="E11" s="11">
        <f>IF(E$3=0,"",SUMIFS(INDEX(Inputs!$D$4:$AG$150,0,MATCH(E$2,Inputs!$D$2:$AG$2,0)),Inputs!$B$4:$B$150,$B11)/1000)</f>
        <v>0</v>
      </c>
      <c r="F11" s="11">
        <f>IF(F$3=0,"",SUMIFS(INDEX(Inputs!$D$4:$AG$150,0,MATCH(F$2,Inputs!$D$2:$AG$2,0)),Inputs!$B$4:$B$150,$B11)/1000)</f>
        <v>0</v>
      </c>
      <c r="G11" s="11">
        <f>IF(G$3=0,"",SUMIFS(INDEX(Inputs!$D$4:$AG$150,0,MATCH(G$2,Inputs!$D$2:$AG$2,0)),Inputs!$B$4:$B$150,$B11)/1000)</f>
        <v>0</v>
      </c>
      <c r="H11" s="12">
        <f>IF(COUNT(D11:G11)=4,SUM(D11:G11),"")</f>
        <v>0</v>
      </c>
      <c r="I11" s="11">
        <f>IF(I$3=0,"",SUMIFS(INDEX(Inputs!$D$4:$AG$150,0,MATCH(I$2,Inputs!$D$2:$AG$2,0)),Inputs!$B$4:$B$150,$B11)/1000)</f>
        <v>0</v>
      </c>
      <c r="J11" s="11">
        <f>IF(J$3=0,"",SUMIFS(INDEX(Inputs!$D$4:$AG$150,0,MATCH(J$2,Inputs!$D$2:$AG$2,0)),Inputs!$B$4:$B$150,$B11)/1000)</f>
        <v>0</v>
      </c>
      <c r="K11" s="11">
        <f>IF(K$3=0,"",SUMIFS(INDEX(Inputs!$D$4:$AG$150,0,MATCH(K$2,Inputs!$D$2:$AG$2,0)),Inputs!$B$4:$B$150,$B11)/1000)</f>
        <v>0</v>
      </c>
      <c r="L11" s="11">
        <f>IF(L$3=0,"",SUMIFS(INDEX(Inputs!$D$4:$AG$150,0,MATCH(L$2,Inputs!$D$2:$AG$2,0)),Inputs!$B$4:$B$150,$B11)/1000)</f>
        <v>0</v>
      </c>
      <c r="M11" s="12">
        <f>IF(COUNT(I11:L11)=4,SUM(I11:L11),"")</f>
        <v>0</v>
      </c>
      <c r="N11" s="11">
        <f>IF(N$3=0,"",SUMIFS(INDEX(Inputs!$D$4:$AG$150,0,MATCH(N$2,Inputs!$D$2:$AG$2,0)),Inputs!$B$4:$B$150,$B11)/1000)</f>
        <v>0</v>
      </c>
      <c r="O11" s="11">
        <f>IF(O$3=0,"",SUMIFS(INDEX(Inputs!$D$4:$AG$150,0,MATCH(O$2,Inputs!$D$2:$AG$2,0)),Inputs!$B$4:$B$150,$B11)/1000)</f>
        <v>0</v>
      </c>
      <c r="P11" s="11">
        <f>IF(P$3=0,"",SUMIFS(INDEX(Inputs!$D$4:$AG$150,0,MATCH(P$2,Inputs!$D$2:$AG$2,0)),Inputs!$B$4:$B$150,$B11)/1000)</f>
        <v>0</v>
      </c>
      <c r="Q11" s="11">
        <f>IF(Q$3=0,"",SUMIFS(INDEX(Inputs!$D$4:$AG$150,0,MATCH(Q$2,Inputs!$D$2:$AG$2,0)),Inputs!$B$4:$B$150,$B11)/1000)</f>
        <v>0</v>
      </c>
      <c r="R11" s="12">
        <f>IF(COUNT(N11:Q11)=4,SUM(N11:Q11),"")</f>
        <v>0</v>
      </c>
      <c r="S11" s="11">
        <f>IF(S$3=0,"",SUMIFS(INDEX(Inputs!$D$4:$AG$150,0,MATCH(S$2,Inputs!$D$2:$AG$2,0)),Inputs!$B$4:$B$150,$B11)/1000)</f>
        <v>0</v>
      </c>
      <c r="T11" s="11">
        <f>IF(T$3=0,"",SUMIFS(INDEX(Inputs!$D$4:$AG$150,0,MATCH(T$2,Inputs!$D$2:$AG$2,0)),Inputs!$B$4:$B$150,$B11)/1000)</f>
        <v>0</v>
      </c>
      <c r="U11" s="11">
        <f>IF(U$3=0,"",SUMIFS(INDEX(Inputs!$D$4:$AG$150,0,MATCH(U$2,Inputs!$D$2:$AG$2,0)),Inputs!$B$4:$B$150,$B11)/1000)</f>
        <v>0</v>
      </c>
      <c r="V11" s="11">
        <f>IF(V$3=0,"",SUMIFS(INDEX(Inputs!$D$4:$AG$150,0,MATCH(V$2,Inputs!$D$2:$AG$2,0)),Inputs!$B$4:$B$150,$B11)/1000)</f>
        <v>0</v>
      </c>
      <c r="W11" s="12">
        <f>IF(COUNT(S11:V11)=4,SUM(S11:V11),"")</f>
        <v>0</v>
      </c>
      <c r="X11" s="11">
        <f>IF(X$3=0,"",SUMIFS(INDEX(Inputs!$D$4:$AG$150,0,MATCH(X$2,Inputs!$D$2:$AG$2,0)),Inputs!$B$4:$B$150,$B11)/1000)</f>
        <v>0</v>
      </c>
      <c r="Y11" s="11">
        <f>IF(Y$3=0,"",SUMIFS(INDEX(Inputs!$D$4:$AG$150,0,MATCH(Y$2,Inputs!$D$2:$AG$2,0)),Inputs!$B$4:$B$150,$B11)/1000)</f>
        <v>0</v>
      </c>
      <c r="Z11" s="11">
        <f>IF(Z$3=0,"",SUMIFS(INDEX(Inputs!$D$4:$AG$150,0,MATCH(Z$2,Inputs!$D$2:$AG$2,0)),Inputs!$B$4:$B$150,$B11)/1000)</f>
        <v>0</v>
      </c>
      <c r="AA11" s="11">
        <f>IF(AA$3=0,"",SUMIFS(INDEX(Inputs!$D$4:$AG$150,0,MATCH(AA$2,Inputs!$D$2:$AG$2,0)),Inputs!$B$4:$B$150,$B11)/1000)</f>
        <v>0</v>
      </c>
      <c r="AB11" s="12">
        <f>IF(COUNT(X11:AA11)=4,SUM(X11:AA11),"")</f>
        <v>0</v>
      </c>
      <c r="AC11" s="11">
        <f>IF(AC$3=0,"",SUMIFS(INDEX(Inputs!$D$4:$AG$150,0,MATCH(AC$2,Inputs!$D$2:$AG$2,0)),Inputs!$B$4:$B$150,$B11)/1000)</f>
        <v>0</v>
      </c>
      <c r="AD11" s="11">
        <f>IF(AD$3=0,"",SUMIFS(INDEX(Inputs!$D$4:$AG$150,0,MATCH(AD$2,Inputs!$D$2:$AG$2,0)),Inputs!$B$4:$B$150,$B11)/1000)</f>
        <v>0</v>
      </c>
      <c r="AE11" s="11" t="str">
        <f>IF(AE$3=0,"",SUMIFS(INDEX(Inputs!$D$4:$AG$150,0,MATCH(AE$2,Inputs!$D$2:$AG$2,0)),Inputs!$B$4:$B$150,$B11)/1000)</f>
        <v/>
      </c>
      <c r="AF11" s="11" t="str">
        <f>IF(AF$3=0,"",SUMIFS(INDEX(Inputs!$D$4:$AG$150,0,MATCH(AF$2,Inputs!$D$2:$AG$2,0)),Inputs!$B$4:$B$150,$B11)/1000)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IF(D$3=0,"",SUMIFS(INDEX(Inputs!$D$4:$AG$150,0,MATCH(D$2,Inputs!$D$2:$AG$2,0)),Inputs!$B$4:$B$150,$B12)/1000)</f>
        <v>-20</v>
      </c>
      <c r="E12" s="11">
        <f>IF(E$3=0,"",SUMIFS(INDEX(Inputs!$D$4:$AG$150,0,MATCH(E$2,Inputs!$D$2:$AG$2,0)),Inputs!$B$4:$B$150,$B12)/1000)</f>
        <v>-13</v>
      </c>
      <c r="F12" s="11">
        <f>IF(F$3=0,"",SUMIFS(INDEX(Inputs!$D$4:$AG$150,0,MATCH(F$2,Inputs!$D$2:$AG$2,0)),Inputs!$B$4:$B$150,$B12)/1000)</f>
        <v>-24</v>
      </c>
      <c r="G12" s="11">
        <f>IF(G$3=0,"",SUMIFS(INDEX(Inputs!$D$4:$AG$150,0,MATCH(G$2,Inputs!$D$2:$AG$2,0)),Inputs!$B$4:$B$150,$B12)/1000)</f>
        <v>-21</v>
      </c>
      <c r="H12" s="12">
        <f>IF(COUNT(D12:G12)=4,SUM(D12:G12),"")</f>
        <v>-78</v>
      </c>
      <c r="I12" s="11">
        <f>IF(I$3=0,"",SUMIFS(INDEX(Inputs!$D$4:$AG$150,0,MATCH(I$2,Inputs!$D$2:$AG$2,0)),Inputs!$B$4:$B$150,$B12)/1000)</f>
        <v>-21</v>
      </c>
      <c r="J12" s="11">
        <f>IF(J$3=0,"",SUMIFS(INDEX(Inputs!$D$4:$AG$150,0,MATCH(J$2,Inputs!$D$2:$AG$2,0)),Inputs!$B$4:$B$150,$B12)/1000)</f>
        <v>-19</v>
      </c>
      <c r="K12" s="11">
        <f>IF(K$3=0,"",SUMIFS(INDEX(Inputs!$D$4:$AG$150,0,MATCH(K$2,Inputs!$D$2:$AG$2,0)),Inputs!$B$4:$B$150,$B12)/1000)</f>
        <v>-10</v>
      </c>
      <c r="L12" s="11">
        <f>IF(L$3=0,"",SUMIFS(INDEX(Inputs!$D$4:$AG$150,0,MATCH(L$2,Inputs!$D$2:$AG$2,0)),Inputs!$B$4:$B$150,$B12)/1000)</f>
        <v>0</v>
      </c>
      <c r="M12" s="12">
        <f>IF(COUNT(I12:L12)=4,SUM(I12:L12),"")</f>
        <v>-50</v>
      </c>
      <c r="N12" s="11">
        <f>IF(N$3=0,"",SUMIFS(INDEX(Inputs!$D$4:$AG$150,0,MATCH(N$2,Inputs!$D$2:$AG$2,0)),Inputs!$B$4:$B$150,$B12)/1000)</f>
        <v>0</v>
      </c>
      <c r="O12" s="11">
        <f>IF(O$3=0,"",SUMIFS(INDEX(Inputs!$D$4:$AG$150,0,MATCH(O$2,Inputs!$D$2:$AG$2,0)),Inputs!$B$4:$B$150,$B12)/1000)</f>
        <v>0</v>
      </c>
      <c r="P12" s="11">
        <f>IF(P$3=0,"",SUMIFS(INDEX(Inputs!$D$4:$AG$150,0,MATCH(P$2,Inputs!$D$2:$AG$2,0)),Inputs!$B$4:$B$150,$B12)/1000)</f>
        <v>0</v>
      </c>
      <c r="Q12" s="11">
        <f>IF(Q$3=0,"",SUMIFS(INDEX(Inputs!$D$4:$AG$150,0,MATCH(Q$2,Inputs!$D$2:$AG$2,0)),Inputs!$B$4:$B$150,$B12)/1000)</f>
        <v>0</v>
      </c>
      <c r="R12" s="12">
        <f>IF(COUNT(N12:Q12)=4,SUM(N12:Q12),"")</f>
        <v>0</v>
      </c>
      <c r="S12" s="11">
        <f>IF(S$3=0,"",SUMIFS(INDEX(Inputs!$D$4:$AG$150,0,MATCH(S$2,Inputs!$D$2:$AG$2,0)),Inputs!$B$4:$B$150,$B12)/1000)</f>
        <v>0</v>
      </c>
      <c r="T12" s="11">
        <f>IF(T$3=0,"",SUMIFS(INDEX(Inputs!$D$4:$AG$150,0,MATCH(T$2,Inputs!$D$2:$AG$2,0)),Inputs!$B$4:$B$150,$B12)/1000)</f>
        <v>0</v>
      </c>
      <c r="U12" s="11">
        <f>IF(U$3=0,"",SUMIFS(INDEX(Inputs!$D$4:$AG$150,0,MATCH(U$2,Inputs!$D$2:$AG$2,0)),Inputs!$B$4:$B$150,$B12)/1000)</f>
        <v>0</v>
      </c>
      <c r="V12" s="11">
        <f>IF(V$3=0,"",SUMIFS(INDEX(Inputs!$D$4:$AG$150,0,MATCH(V$2,Inputs!$D$2:$AG$2,0)),Inputs!$B$4:$B$150,$B12)/1000)</f>
        <v>0</v>
      </c>
      <c r="W12" s="12">
        <f>IF(COUNT(S12:V12)=4,SUM(S12:V12),"")</f>
        <v>0</v>
      </c>
      <c r="X12" s="11">
        <f>IF(X$3=0,"",SUMIFS(INDEX(Inputs!$D$4:$AG$150,0,MATCH(X$2,Inputs!$D$2:$AG$2,0)),Inputs!$B$4:$B$150,$B12)/1000)</f>
        <v>0</v>
      </c>
      <c r="Y12" s="11">
        <f>IF(Y$3=0,"",SUMIFS(INDEX(Inputs!$D$4:$AG$150,0,MATCH(Y$2,Inputs!$D$2:$AG$2,0)),Inputs!$B$4:$B$150,$B12)/1000)</f>
        <v>0</v>
      </c>
      <c r="Z12" s="11">
        <f>IF(Z$3=0,"",SUMIFS(INDEX(Inputs!$D$4:$AG$150,0,MATCH(Z$2,Inputs!$D$2:$AG$2,0)),Inputs!$B$4:$B$150,$B12)/1000)</f>
        <v>0</v>
      </c>
      <c r="AA12" s="11">
        <f>IF(AA$3=0,"",SUMIFS(INDEX(Inputs!$D$4:$AG$150,0,MATCH(AA$2,Inputs!$D$2:$AG$2,0)),Inputs!$B$4:$B$150,$B12)/1000)</f>
        <v>0</v>
      </c>
      <c r="AB12" s="12">
        <f>IF(COUNT(X12:AA12)=4,SUM(X12:AA12),"")</f>
        <v>0</v>
      </c>
      <c r="AC12" s="11">
        <f>IF(AC$3=0,"",SUMIFS(INDEX(Inputs!$D$4:$AG$150,0,MATCH(AC$2,Inputs!$D$2:$AG$2,0)),Inputs!$B$4:$B$150,$B12)/1000)</f>
        <v>0</v>
      </c>
      <c r="AD12" s="11">
        <f>IF(AD$3=0,"",SUMIFS(INDEX(Inputs!$D$4:$AG$150,0,MATCH(AD$2,Inputs!$D$2:$AG$2,0)),Inputs!$B$4:$B$150,$B12)/1000)</f>
        <v>0</v>
      </c>
      <c r="AE12" s="11" t="str">
        <f>IF(AE$3=0,"",SUMIFS(INDEX(Inputs!$D$4:$AG$150,0,MATCH(AE$2,Inputs!$D$2:$AG$2,0)),Inputs!$B$4:$B$150,$B12)/1000)</f>
        <v/>
      </c>
      <c r="AF12" s="11" t="str">
        <f>IF(AF$3=0,"",SUMIFS(INDEX(Inputs!$D$4:$AG$150,0,MATCH(AF$2,Inputs!$D$2:$AG$2,0)),Inputs!$B$4:$B$150,$B12)/1000)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IF(D$3=0,"",SUMIFS(INDEX(Inputs!$D$4:$AG$150,0,MATCH(D$2,Inputs!$D$2:$AG$2,0)),Inputs!$B$4:$B$150,$B13)/1000)</f>
        <v>-4430</v>
      </c>
      <c r="E13" s="11">
        <f>IF(E$3=0,"",SUMIFS(INDEX(Inputs!$D$4:$AG$150,0,MATCH(E$2,Inputs!$D$2:$AG$2,0)),Inputs!$B$4:$B$150,$B13)/1000)</f>
        <v>-310</v>
      </c>
      <c r="F13" s="11">
        <f>IF(F$3=0,"",SUMIFS(INDEX(Inputs!$D$4:$AG$150,0,MATCH(F$2,Inputs!$D$2:$AG$2,0)),Inputs!$B$4:$B$150,$B13)/1000)</f>
        <v>-698</v>
      </c>
      <c r="G13" s="11">
        <f>IF(G$3=0,"",SUMIFS(INDEX(Inputs!$D$4:$AG$150,0,MATCH(G$2,Inputs!$D$2:$AG$2,0)),Inputs!$B$4:$B$150,$B13)/1000)</f>
        <v>-350</v>
      </c>
      <c r="H13" s="12">
        <f>IF(COUNT(D13:G13)=4,SUM(D13:G13),"")</f>
        <v>-5788</v>
      </c>
      <c r="I13" s="11">
        <f>IF(I$3=0,"",SUMIFS(INDEX(Inputs!$D$4:$AG$150,0,MATCH(I$2,Inputs!$D$2:$AG$2,0)),Inputs!$B$4:$B$150,$B13)/1000)</f>
        <v>0</v>
      </c>
      <c r="J13" s="11">
        <f>IF(J$3=0,"",SUMIFS(INDEX(Inputs!$D$4:$AG$150,0,MATCH(J$2,Inputs!$D$2:$AG$2,0)),Inputs!$B$4:$B$150,$B13)/1000)</f>
        <v>-351</v>
      </c>
      <c r="K13" s="11">
        <f>IF(K$3=0,"",SUMIFS(INDEX(Inputs!$D$4:$AG$150,0,MATCH(K$2,Inputs!$D$2:$AG$2,0)),Inputs!$B$4:$B$150,$B13)/1000)</f>
        <v>-797</v>
      </c>
      <c r="L13" s="11">
        <f>IF(L$3=0,"",SUMIFS(INDEX(Inputs!$D$4:$AG$150,0,MATCH(L$2,Inputs!$D$2:$AG$2,0)),Inputs!$B$4:$B$150,$B13)/1000)</f>
        <v>-400</v>
      </c>
      <c r="M13" s="12">
        <f>IF(COUNT(I13:L13)=4,SUM(I13:L13),"")</f>
        <v>-1548</v>
      </c>
      <c r="N13" s="11">
        <f>IF(N$3=0,"",SUMIFS(INDEX(Inputs!$D$4:$AG$150,0,MATCH(N$2,Inputs!$D$2:$AG$2,0)),Inputs!$B$4:$B$150,$B13)/1000)</f>
        <v>0</v>
      </c>
      <c r="O13" s="11">
        <f>IF(O$3=0,"",SUMIFS(INDEX(Inputs!$D$4:$AG$150,0,MATCH(O$2,Inputs!$D$2:$AG$2,0)),Inputs!$B$4:$B$150,$B13)/1000)</f>
        <v>-399</v>
      </c>
      <c r="P13" s="11">
        <f>IF(P$3=0,"",SUMIFS(INDEX(Inputs!$D$4:$AG$150,0,MATCH(P$2,Inputs!$D$2:$AG$2,0)),Inputs!$B$4:$B$150,$B13)/1000)</f>
        <v>-452</v>
      </c>
      <c r="Q13" s="11">
        <f>IF(Q$3=0,"",SUMIFS(INDEX(Inputs!$D$4:$AG$150,0,MATCH(Q$2,Inputs!$D$2:$AG$2,0)),Inputs!$B$4:$B$150,$B13)/1000)</f>
        <v>-905</v>
      </c>
      <c r="R13" s="12">
        <f>IF(COUNT(N13:Q13)=4,SUM(N13:Q13),"")</f>
        <v>-1756</v>
      </c>
      <c r="S13" s="11">
        <f>IF(S$3=0,"",SUMIFS(INDEX(Inputs!$D$4:$AG$150,0,MATCH(S$2,Inputs!$D$2:$AG$2,0)),Inputs!$B$4:$B$150,$B13)/1000)</f>
        <v>-7107</v>
      </c>
      <c r="T13" s="11">
        <f>IF(T$3=0,"",SUMIFS(INDEX(Inputs!$D$4:$AG$150,0,MATCH(T$2,Inputs!$D$2:$AG$2,0)),Inputs!$B$4:$B$150,$B13)/1000)</f>
        <v>-515</v>
      </c>
      <c r="U13" s="11">
        <f>IF(U$3=0,"",SUMIFS(INDEX(Inputs!$D$4:$AG$150,0,MATCH(U$2,Inputs!$D$2:$AG$2,0)),Inputs!$B$4:$B$150,$B13)/1000)</f>
        <v>-514</v>
      </c>
      <c r="V13" s="11">
        <f>IF(V$3=0,"",SUMIFS(INDEX(Inputs!$D$4:$AG$150,0,MATCH(V$2,Inputs!$D$2:$AG$2,0)),Inputs!$B$4:$B$150,$B13)/1000)</f>
        <v>-515</v>
      </c>
      <c r="W13" s="12">
        <f>IF(COUNT(S13:V13)=4,SUM(S13:V13),"")</f>
        <v>-8651</v>
      </c>
      <c r="X13" s="11">
        <f>IF(X$3=0,"",SUMIFS(INDEX(Inputs!$D$4:$AG$150,0,MATCH(X$2,Inputs!$D$2:$AG$2,0)),Inputs!$B$4:$B$150,$B13)/1000)</f>
        <v>0</v>
      </c>
      <c r="Y13" s="11">
        <f>IF(Y$3=0,"",SUMIFS(INDEX(Inputs!$D$4:$AG$150,0,MATCH(Y$2,Inputs!$D$2:$AG$2,0)),Inputs!$B$4:$B$150,$B13)/1000)</f>
        <v>-515</v>
      </c>
      <c r="Z13" s="11">
        <f>IF(Z$3=0,"",SUMIFS(INDEX(Inputs!$D$4:$AG$150,0,MATCH(Z$2,Inputs!$D$2:$AG$2,0)),Inputs!$B$4:$B$150,$B13)/1000)</f>
        <v>-1153</v>
      </c>
      <c r="AA13" s="11">
        <f>IF(AA$3=0,"",SUMIFS(INDEX(Inputs!$D$4:$AG$150,0,MATCH(AA$2,Inputs!$D$2:$AG$2,0)),Inputs!$B$4:$B$150,$B13)/1000)</f>
        <v>-577</v>
      </c>
      <c r="AB13" s="12">
        <f>IF(COUNT(X13:AA13)=4,SUM(X13:AA13),"")</f>
        <v>-2245</v>
      </c>
      <c r="AC13" s="11">
        <f>IF(AC$3=0,"",SUMIFS(INDEX(Inputs!$D$4:$AG$150,0,MATCH(AC$2,Inputs!$D$2:$AG$2,0)),Inputs!$B$4:$B$150,$B13)/1000)</f>
        <v>-577</v>
      </c>
      <c r="AD13" s="11">
        <f>IF(AD$3=0,"",SUMIFS(INDEX(Inputs!$D$4:$AG$150,0,MATCH(AD$2,Inputs!$D$2:$AG$2,0)),Inputs!$B$4:$B$150,$B13)/1000)</f>
        <v>0</v>
      </c>
      <c r="AE13" s="11" t="str">
        <f>IF(AE$3=0,"",SUMIFS(INDEX(Inputs!$D$4:$AG$150,0,MATCH(AE$2,Inputs!$D$2:$AG$2,0)),Inputs!$B$4:$B$150,$B13)/1000)</f>
        <v/>
      </c>
      <c r="AF13" s="11" t="str">
        <f>IF(AF$3=0,"",SUMIFS(INDEX(Inputs!$D$4:$AG$150,0,MATCH(AF$2,Inputs!$D$2:$AG$2,0)),Inputs!$B$4:$B$150,$B13)/1000)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IF(D$3=0,"",SUMIFS(INDEX(Inputs!$D$4:$AG$150,0,MATCH(D$2,Inputs!$D$2:$AG$2,0)),Inputs!$B$4:$B$150,$B15)/1000)</f>
        <v>9254</v>
      </c>
      <c r="E15" s="11">
        <f>IF(E$3=0,"",SUMIFS(INDEX(Inputs!$D$4:$AG$150,0,MATCH(E$2,Inputs!$D$2:$AG$2,0)),Inputs!$B$4:$B$150,$B15)/1000)</f>
        <v>11126</v>
      </c>
      <c r="F15" s="11">
        <f>IF(F$3=0,"",SUMIFS(INDEX(Inputs!$D$4:$AG$150,0,MATCH(F$2,Inputs!$D$2:$AG$2,0)),Inputs!$B$4:$B$150,$B15)/1000)</f>
        <v>12175</v>
      </c>
      <c r="G15" s="11">
        <f>IF(G$3=0,"",SUMIFS(INDEX(Inputs!$D$4:$AG$150,0,MATCH(G$2,Inputs!$D$2:$AG$2,0)),Inputs!$B$4:$B$150,$B15)/1000)</f>
        <v>13476</v>
      </c>
      <c r="H15" s="12">
        <f>IF(G15="","",G15)</f>
        <v>13476</v>
      </c>
      <c r="I15" s="11">
        <f>IF(I$3=0,"",SUMIFS(INDEX(Inputs!$D$4:$AG$150,0,MATCH(I$2,Inputs!$D$2:$AG$2,0)),Inputs!$B$4:$B$150,$B15)/1000)</f>
        <v>12296</v>
      </c>
      <c r="J15" s="11">
        <f>IF(J$3=0,"",SUMIFS(INDEX(Inputs!$D$4:$AG$150,0,MATCH(J$2,Inputs!$D$2:$AG$2,0)),Inputs!$B$4:$B$150,$B15)/1000)</f>
        <v>11831</v>
      </c>
      <c r="K15" s="11">
        <f>IF(K$3=0,"",SUMIFS(INDEX(Inputs!$D$4:$AG$150,0,MATCH(K$2,Inputs!$D$2:$AG$2,0)),Inputs!$B$4:$B$150,$B15)/1000)</f>
        <v>11049</v>
      </c>
      <c r="L15" s="11">
        <f>IF(L$3=0,"",SUMIFS(INDEX(Inputs!$D$4:$AG$150,0,MATCH(L$2,Inputs!$D$2:$AG$2,0)),Inputs!$B$4:$B$150,$B15)/1000)</f>
        <v>11673</v>
      </c>
      <c r="M15" s="12">
        <f>IF(L15="","",L15)</f>
        <v>11673</v>
      </c>
      <c r="N15" s="11">
        <f>IF(N$3=0,"",SUMIFS(INDEX(Inputs!$D$4:$AG$150,0,MATCH(N$2,Inputs!$D$2:$AG$2,0)),Inputs!$B$4:$B$150,$B15)/1000)</f>
        <v>13705</v>
      </c>
      <c r="O15" s="11">
        <f>IF(O$3=0,"",SUMIFS(INDEX(Inputs!$D$4:$AG$150,0,MATCH(O$2,Inputs!$D$2:$AG$2,0)),Inputs!$B$4:$B$150,$B15)/1000)</f>
        <v>13708</v>
      </c>
      <c r="P15" s="11">
        <f>IF(P$3=0,"",SUMIFS(INDEX(Inputs!$D$4:$AG$150,0,MATCH(P$2,Inputs!$D$2:$AG$2,0)),Inputs!$B$4:$B$150,$B15)/1000)</f>
        <v>15234</v>
      </c>
      <c r="Q15" s="11">
        <f>IF(Q$3=0,"",SUMIFS(INDEX(Inputs!$D$4:$AG$150,0,MATCH(Q$2,Inputs!$D$2:$AG$2,0)),Inputs!$B$4:$B$150,$B15)/1000)</f>
        <v>17864</v>
      </c>
      <c r="R15" s="12">
        <f>IF(Q15="","",Q15)</f>
        <v>17864</v>
      </c>
      <c r="S15" s="11">
        <f>IF(S$3=0,"",SUMIFS(INDEX(Inputs!$D$4:$AG$150,0,MATCH(S$2,Inputs!$D$2:$AG$2,0)),Inputs!$B$4:$B$150,$B15)/1000)</f>
        <v>10321</v>
      </c>
      <c r="T15" s="11">
        <f>IF(T$3=0,"",SUMIFS(INDEX(Inputs!$D$4:$AG$150,0,MATCH(T$2,Inputs!$D$2:$AG$2,0)),Inputs!$B$4:$B$150,$B15)/1000)</f>
        <v>11499</v>
      </c>
      <c r="U15" s="11">
        <f>IF(U$3=0,"",SUMIFS(INDEX(Inputs!$D$4:$AG$150,0,MATCH(U$2,Inputs!$D$2:$AG$2,0)),Inputs!$B$4:$B$150,$B15)/1000)</f>
        <v>11144</v>
      </c>
      <c r="V15" s="11">
        <f>IF(V$3=0,"",SUMIFS(INDEX(Inputs!$D$4:$AG$150,0,MATCH(V$2,Inputs!$D$2:$AG$2,0)),Inputs!$B$4:$B$150,$B15)/1000)</f>
        <v>11827</v>
      </c>
      <c r="W15" s="12">
        <f>IF(V15="","",V15)</f>
        <v>11827</v>
      </c>
      <c r="X15" s="11">
        <f>IF(X$3=0,"",SUMIFS(INDEX(Inputs!$D$4:$AG$150,0,MATCH(X$2,Inputs!$D$2:$AG$2,0)),Inputs!$B$4:$B$150,$B15)/1000)</f>
        <v>13158</v>
      </c>
      <c r="Y15" s="11">
        <f>IF(Y$3=0,"",SUMIFS(INDEX(Inputs!$D$4:$AG$150,0,MATCH(Y$2,Inputs!$D$2:$AG$2,0)),Inputs!$B$4:$B$150,$B15)/1000)</f>
        <v>14850</v>
      </c>
      <c r="Z15" s="11">
        <f>IF(Z$3=0,"",SUMIFS(INDEX(Inputs!$D$4:$AG$150,0,MATCH(Z$2,Inputs!$D$2:$AG$2,0)),Inputs!$B$4:$B$150,$B15)/1000)</f>
        <v>15284</v>
      </c>
      <c r="AA15" s="11">
        <f>IF(AA$3=0,"",SUMIFS(INDEX(Inputs!$D$4:$AG$150,0,MATCH(AA$2,Inputs!$D$2:$AG$2,0)),Inputs!$B$4:$B$150,$B15)/1000)</f>
        <v>17183</v>
      </c>
      <c r="AB15" s="12">
        <f>IF(AA15="","",AA15)</f>
        <v>17183</v>
      </c>
      <c r="AC15" s="11">
        <f>IF(AC$3=0,"",SUMIFS(INDEX(Inputs!$D$4:$AG$150,0,MATCH(AC$2,Inputs!$D$2:$AG$2,0)),Inputs!$B$4:$B$150,$B15)/1000)</f>
        <v>18240</v>
      </c>
      <c r="AD15" s="11">
        <f>IF(AD$3=0,"",SUMIFS(INDEX(Inputs!$D$4:$AG$150,0,MATCH(AD$2,Inputs!$D$2:$AG$2,0)),Inputs!$B$4:$B$150,$B15)/1000)</f>
        <v>19996</v>
      </c>
      <c r="AE15" s="11" t="str">
        <f>IF(AE$3=0,"",SUMIFS(INDEX(Inputs!$D$4:$AG$150,0,MATCH(AE$2,Inputs!$D$2:$AG$2,0)),Inputs!$B$4:$B$150,$B15)/1000)</f>
        <v/>
      </c>
      <c r="AF15" s="11" t="str">
        <f>IF(AF$3=0,"",SUMIFS(INDEX(Inputs!$D$4:$AG$150,0,MATCH(AF$2,Inputs!$D$2:$AG$2,0)),Inputs!$B$4:$B$150,$B15)/1000)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IF(D$3=0,"",SUMIFS(INDEX(Inputs!$D$4:$AG$150,0,MATCH(D$2,Inputs!$D$2:$AG$2,0)),Inputs!$B$4:$B$150,$B16)/1000)</f>
        <v>1934</v>
      </c>
      <c r="E16" s="11">
        <f>IF(E$3=0,"",SUMIFS(INDEX(Inputs!$D$4:$AG$150,0,MATCH(E$2,Inputs!$D$2:$AG$2,0)),Inputs!$B$4:$B$150,$B16)/1000)</f>
        <v>1595</v>
      </c>
      <c r="F16" s="11">
        <f>IF(F$3=0,"",SUMIFS(INDEX(Inputs!$D$4:$AG$150,0,MATCH(F$2,Inputs!$D$2:$AG$2,0)),Inputs!$B$4:$B$150,$B16)/1000)</f>
        <v>1803</v>
      </c>
      <c r="G16" s="11">
        <f>IF(G$3=0,"",SUMIFS(INDEX(Inputs!$D$4:$AG$150,0,MATCH(G$2,Inputs!$D$2:$AG$2,0)),Inputs!$B$4:$B$150,$B16)/1000)</f>
        <v>1932</v>
      </c>
      <c r="H16" s="12">
        <f>IF(G16="","",G16)</f>
        <v>1932</v>
      </c>
      <c r="I16" s="11">
        <f>IF(I$3=0,"",SUMIFS(INDEX(Inputs!$D$4:$AG$150,0,MATCH(I$2,Inputs!$D$2:$AG$2,0)),Inputs!$B$4:$B$150,$B16)/1000)</f>
        <v>2232</v>
      </c>
      <c r="J16" s="11">
        <f>IF(J$3=0,"",SUMIFS(INDEX(Inputs!$D$4:$AG$150,0,MATCH(J$2,Inputs!$D$2:$AG$2,0)),Inputs!$B$4:$B$150,$B16)/1000)</f>
        <v>1991</v>
      </c>
      <c r="K16" s="11">
        <f>IF(K$3=0,"",SUMIFS(INDEX(Inputs!$D$4:$AG$150,0,MATCH(K$2,Inputs!$D$2:$AG$2,0)),Inputs!$B$4:$B$150,$B16)/1000)</f>
        <v>2241</v>
      </c>
      <c r="L16" s="11">
        <f>IF(L$3=0,"",SUMIFS(INDEX(Inputs!$D$4:$AG$150,0,MATCH(L$2,Inputs!$D$2:$AG$2,0)),Inputs!$B$4:$B$150,$B16)/1000)</f>
        <v>2312</v>
      </c>
      <c r="M16" s="12">
        <f>IF(L16="","",L16)</f>
        <v>2312</v>
      </c>
      <c r="N16" s="11">
        <f>IF(N$3=0,"",SUMIFS(INDEX(Inputs!$D$4:$AG$150,0,MATCH(N$2,Inputs!$D$2:$AG$2,0)),Inputs!$B$4:$B$150,$B16)/1000)</f>
        <v>2714</v>
      </c>
      <c r="O16" s="11">
        <f>IF(O$3=0,"",SUMIFS(INDEX(Inputs!$D$4:$AG$150,0,MATCH(O$2,Inputs!$D$2:$AG$2,0)),Inputs!$B$4:$B$150,$B16)/1000)</f>
        <v>2502</v>
      </c>
      <c r="P16" s="11">
        <f>IF(P$3=0,"",SUMIFS(INDEX(Inputs!$D$4:$AG$150,0,MATCH(P$2,Inputs!$D$2:$AG$2,0)),Inputs!$B$4:$B$150,$B16)/1000)</f>
        <v>2285</v>
      </c>
      <c r="Q16" s="11">
        <f>IF(Q$3=0,"",SUMIFS(INDEX(Inputs!$D$4:$AG$150,0,MATCH(Q$2,Inputs!$D$2:$AG$2,0)),Inputs!$B$4:$B$150,$B16)/1000)</f>
        <v>2542</v>
      </c>
      <c r="R16" s="12">
        <f>IF(Q16="","",Q16)</f>
        <v>2542</v>
      </c>
      <c r="S16" s="11">
        <f>IF(S$3=0,"",SUMIFS(INDEX(Inputs!$D$4:$AG$150,0,MATCH(S$2,Inputs!$D$2:$AG$2,0)),Inputs!$B$4:$B$150,$B16)/1000)</f>
        <v>2779</v>
      </c>
      <c r="T16" s="11">
        <f>IF(T$3=0,"",SUMIFS(INDEX(Inputs!$D$4:$AG$150,0,MATCH(T$2,Inputs!$D$2:$AG$2,0)),Inputs!$B$4:$B$150,$B16)/1000)</f>
        <v>2583</v>
      </c>
      <c r="U16" s="11">
        <f>IF(U$3=0,"",SUMIFS(INDEX(Inputs!$D$4:$AG$150,0,MATCH(U$2,Inputs!$D$2:$AG$2,0)),Inputs!$B$4:$B$150,$B16)/1000)</f>
        <v>2721</v>
      </c>
      <c r="V16" s="11">
        <f>IF(V$3=0,"",SUMIFS(INDEX(Inputs!$D$4:$AG$150,0,MATCH(V$2,Inputs!$D$2:$AG$2,0)),Inputs!$B$4:$B$150,$B16)/1000)</f>
        <v>2963</v>
      </c>
      <c r="W16" s="12">
        <f>IF(V16="","",V16)</f>
        <v>2963</v>
      </c>
      <c r="X16" s="11">
        <f>IF(X$3=0,"",SUMIFS(INDEX(Inputs!$D$4:$AG$150,0,MATCH(X$2,Inputs!$D$2:$AG$2,0)),Inputs!$B$4:$B$150,$B16)/1000)</f>
        <v>3060</v>
      </c>
      <c r="Y16" s="11">
        <f>IF(Y$3=0,"",SUMIFS(INDEX(Inputs!$D$4:$AG$150,0,MATCH(Y$2,Inputs!$D$2:$AG$2,0)),Inputs!$B$4:$B$150,$B16)/1000)</f>
        <v>2875</v>
      </c>
      <c r="Z16" s="11">
        <f>IF(Z$3=0,"",SUMIFS(INDEX(Inputs!$D$4:$AG$150,0,MATCH(Z$2,Inputs!$D$2:$AG$2,0)),Inputs!$B$4:$B$150,$B16)/1000)</f>
        <v>3203</v>
      </c>
      <c r="AA16" s="11">
        <f>IF(AA$3=0,"",SUMIFS(INDEX(Inputs!$D$4:$AG$150,0,MATCH(AA$2,Inputs!$D$2:$AG$2,0)),Inputs!$B$4:$B$150,$B16)/1000)</f>
        <v>3231</v>
      </c>
      <c r="AB16" s="12">
        <f>IF(AA16="","",AA16)</f>
        <v>3231</v>
      </c>
      <c r="AC16" s="11">
        <f>IF(AC$3=0,"",SUMIFS(INDEX(Inputs!$D$4:$AG$150,0,MATCH(AC$2,Inputs!$D$2:$AG$2,0)),Inputs!$B$4:$B$150,$B16)/1000)</f>
        <v>3782</v>
      </c>
      <c r="AD16" s="11">
        <f>IF(AD$3=0,"",SUMIFS(INDEX(Inputs!$D$4:$AG$150,0,MATCH(AD$2,Inputs!$D$2:$AG$2,0)),Inputs!$B$4:$B$150,$B16)/1000)</f>
        <v>3750</v>
      </c>
      <c r="AE16" s="11" t="str">
        <f>IF(AE$3=0,"",SUMIFS(INDEX(Inputs!$D$4:$AG$150,0,MATCH(AE$2,Inputs!$D$2:$AG$2,0)),Inputs!$B$4:$B$150,$B16)/1000)</f>
        <v/>
      </c>
      <c r="AF16" s="11" t="str">
        <f>IF(AF$3=0,"",SUMIFS(INDEX(Inputs!$D$4:$AG$150,0,MATCH(AF$2,Inputs!$D$2:$AG$2,0)),Inputs!$B$4:$B$150,$B16)/1000)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IF(D$3=0,"",SUMIFS(INDEX(Inputs!$D$4:$AG$150,0,MATCH(D$2,Inputs!$D$2:$AG$2,0)),Inputs!$B$4:$B$150,$B17)/1000)</f>
        <v>13865</v>
      </c>
      <c r="E17" s="11">
        <f>IF(E$3=0,"",SUMIFS(INDEX(Inputs!$D$4:$AG$150,0,MATCH(E$2,Inputs!$D$2:$AG$2,0)),Inputs!$B$4:$B$150,$B17)/1000)</f>
        <v>13975</v>
      </c>
      <c r="F17" s="11">
        <f>IF(F$3=0,"",SUMIFS(INDEX(Inputs!$D$4:$AG$150,0,MATCH(F$2,Inputs!$D$2:$AG$2,0)),Inputs!$B$4:$B$150,$B17)/1000)</f>
        <v>14215</v>
      </c>
      <c r="G17" s="11">
        <f>IF(G$3=0,"",SUMIFS(INDEX(Inputs!$D$4:$AG$150,0,MATCH(G$2,Inputs!$D$2:$AG$2,0)),Inputs!$B$4:$B$150,$B17)/1000)</f>
        <v>16942</v>
      </c>
      <c r="H17" s="12">
        <f>IF(G17="","",G17)</f>
        <v>16942</v>
      </c>
      <c r="I17" s="11">
        <f>IF(I$3=0,"",SUMIFS(INDEX(Inputs!$D$4:$AG$150,0,MATCH(I$2,Inputs!$D$2:$AG$2,0)),Inputs!$B$4:$B$150,$B17)/1000)</f>
        <v>16485</v>
      </c>
      <c r="J17" s="11">
        <f>IF(J$3=0,"",SUMIFS(INDEX(Inputs!$D$4:$AG$150,0,MATCH(J$2,Inputs!$D$2:$AG$2,0)),Inputs!$B$4:$B$150,$B17)/1000)</f>
        <v>17623</v>
      </c>
      <c r="K17" s="11">
        <f>IF(K$3=0,"",SUMIFS(INDEX(Inputs!$D$4:$AG$150,0,MATCH(K$2,Inputs!$D$2:$AG$2,0)),Inputs!$B$4:$B$150,$B17)/1000)</f>
        <v>17907</v>
      </c>
      <c r="L17" s="11">
        <f>IF(L$3=0,"",SUMIFS(INDEX(Inputs!$D$4:$AG$150,0,MATCH(L$2,Inputs!$D$2:$AG$2,0)),Inputs!$B$4:$B$150,$B17)/1000)</f>
        <v>18571</v>
      </c>
      <c r="M17" s="12">
        <f>IF(L17="","",L17)</f>
        <v>18571</v>
      </c>
      <c r="N17" s="11">
        <f>IF(N$3=0,"",SUMIFS(INDEX(Inputs!$D$4:$AG$150,0,MATCH(N$2,Inputs!$D$2:$AG$2,0)),Inputs!$B$4:$B$150,$B17)/1000)</f>
        <v>16081</v>
      </c>
      <c r="O17" s="11">
        <f>IF(O$3=0,"",SUMIFS(INDEX(Inputs!$D$4:$AG$150,0,MATCH(O$2,Inputs!$D$2:$AG$2,0)),Inputs!$B$4:$B$150,$B17)/1000)</f>
        <v>16324</v>
      </c>
      <c r="P17" s="11">
        <f>IF(P$3=0,"",SUMIFS(INDEX(Inputs!$D$4:$AG$150,0,MATCH(P$2,Inputs!$D$2:$AG$2,0)),Inputs!$B$4:$B$150,$B17)/1000)</f>
        <v>16651</v>
      </c>
      <c r="Q17" s="11">
        <f>IF(Q$3=0,"",SUMIFS(INDEX(Inputs!$D$4:$AG$150,0,MATCH(Q$2,Inputs!$D$2:$AG$2,0)),Inputs!$B$4:$B$150,$B17)/1000)</f>
        <v>18001</v>
      </c>
      <c r="R17" s="12">
        <f>IF(Q17="","",Q17)</f>
        <v>18001</v>
      </c>
      <c r="S17" s="11">
        <f>IF(S$3=0,"",SUMIFS(INDEX(Inputs!$D$4:$AG$150,0,MATCH(S$2,Inputs!$D$2:$AG$2,0)),Inputs!$B$4:$B$150,$B17)/1000)</f>
        <v>17075</v>
      </c>
      <c r="T17" s="11">
        <f>IF(T$3=0,"",SUMIFS(INDEX(Inputs!$D$4:$AG$150,0,MATCH(T$2,Inputs!$D$2:$AG$2,0)),Inputs!$B$4:$B$150,$B17)/1000)</f>
        <v>17430</v>
      </c>
      <c r="U17" s="11">
        <f>IF(U$3=0,"",SUMIFS(INDEX(Inputs!$D$4:$AG$150,0,MATCH(U$2,Inputs!$D$2:$AG$2,0)),Inputs!$B$4:$B$150,$B17)/1000)</f>
        <v>18647</v>
      </c>
      <c r="V17" s="11">
        <f>IF(V$3=0,"",SUMIFS(INDEX(Inputs!$D$4:$AG$150,0,MATCH(V$2,Inputs!$D$2:$AG$2,0)),Inputs!$B$4:$B$150,$B17)/1000)</f>
        <v>20979</v>
      </c>
      <c r="W17" s="12">
        <f>IF(V17="","",V17)</f>
        <v>20979</v>
      </c>
      <c r="X17" s="11">
        <f>IF(X$3=0,"",SUMIFS(INDEX(Inputs!$D$4:$AG$150,0,MATCH(X$2,Inputs!$D$2:$AG$2,0)),Inputs!$B$4:$B$150,$B17)/1000)</f>
        <v>18754</v>
      </c>
      <c r="Y17" s="11">
        <f>IF(Y$3=0,"",SUMIFS(INDEX(Inputs!$D$4:$AG$150,0,MATCH(Y$2,Inputs!$D$2:$AG$2,0)),Inputs!$B$4:$B$150,$B17)/1000)</f>
        <v>18606</v>
      </c>
      <c r="Z17" s="11">
        <f>IF(Z$3=0,"",SUMIFS(INDEX(Inputs!$D$4:$AG$150,0,MATCH(Z$2,Inputs!$D$2:$AG$2,0)),Inputs!$B$4:$B$150,$B17)/1000)</f>
        <v>18116</v>
      </c>
      <c r="AA17" s="11">
        <f>IF(AA$3=0,"",SUMIFS(INDEX(Inputs!$D$4:$AG$150,0,MATCH(AA$2,Inputs!$D$2:$AG$2,0)),Inputs!$B$4:$B$150,$B17)/1000)</f>
        <v>21141</v>
      </c>
      <c r="AB17" s="12">
        <f>IF(AA17="","",AA17)</f>
        <v>21141</v>
      </c>
      <c r="AC17" s="11">
        <f>IF(AC$3=0,"",SUMIFS(INDEX(Inputs!$D$4:$AG$150,0,MATCH(AC$2,Inputs!$D$2:$AG$2,0)),Inputs!$B$4:$B$150,$B17)/1000)</f>
        <v>18991</v>
      </c>
      <c r="AD17" s="11">
        <f>IF(AD$3=0,"",SUMIFS(INDEX(Inputs!$D$4:$AG$150,0,MATCH(AD$2,Inputs!$D$2:$AG$2,0)),Inputs!$B$4:$B$150,$B17)/1000)</f>
        <v>19418</v>
      </c>
      <c r="AE17" s="11" t="str">
        <f>IF(AE$3=0,"",SUMIFS(INDEX(Inputs!$D$4:$AG$150,0,MATCH(AE$2,Inputs!$D$2:$AG$2,0)),Inputs!$B$4:$B$150,$B17)/1000)</f>
        <v/>
      </c>
      <c r="AF17" s="11" t="str">
        <f>IF(AF$3=0,"",SUMIFS(INDEX(Inputs!$D$4:$AG$150,0,MATCH(AF$2,Inputs!$D$2:$AG$2,0)),Inputs!$B$4:$B$150,$B17)/1000)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IF(D$3=0,"",SUMIFS(INDEX(Inputs!$D$4:$AG$150,0,MATCH(D$2,Inputs!$D$2:$AG$2,0)),Inputs!$B$4:$B$150,$B18)/1000)</f>
        <v>0</v>
      </c>
      <c r="E18" s="11">
        <f>IF(E$3=0,"",SUMIFS(INDEX(Inputs!$D$4:$AG$150,0,MATCH(E$2,Inputs!$D$2:$AG$2,0)),Inputs!$B$4:$B$150,$B18)/1000)</f>
        <v>0</v>
      </c>
      <c r="F18" s="11">
        <f>IF(F$3=0,"",SUMIFS(INDEX(Inputs!$D$4:$AG$150,0,MATCH(F$2,Inputs!$D$2:$AG$2,0)),Inputs!$B$4:$B$150,$B18)/1000)</f>
        <v>0</v>
      </c>
      <c r="G18" s="11">
        <f>IF(G$3=0,"",SUMIFS(INDEX(Inputs!$D$4:$AG$150,0,MATCH(G$2,Inputs!$D$2:$AG$2,0)),Inputs!$B$4:$B$150,$B18)/1000)</f>
        <v>0</v>
      </c>
      <c r="H18" s="12">
        <f>IF(G18="","",G18)</f>
        <v>0</v>
      </c>
      <c r="I18" s="11">
        <f>IF(I$3=0,"",SUMIFS(INDEX(Inputs!$D$4:$AG$150,0,MATCH(I$2,Inputs!$D$2:$AG$2,0)),Inputs!$B$4:$B$150,$B18)/1000)</f>
        <v>0</v>
      </c>
      <c r="J18" s="11">
        <f>IF(J$3=0,"",SUMIFS(INDEX(Inputs!$D$4:$AG$150,0,MATCH(J$2,Inputs!$D$2:$AG$2,0)),Inputs!$B$4:$B$150,$B18)/1000)</f>
        <v>0</v>
      </c>
      <c r="K18" s="11">
        <f>IF(K$3=0,"",SUMIFS(INDEX(Inputs!$D$4:$AG$150,0,MATCH(K$2,Inputs!$D$2:$AG$2,0)),Inputs!$B$4:$B$150,$B18)/1000)</f>
        <v>0</v>
      </c>
      <c r="L18" s="11">
        <f>IF(L$3=0,"",SUMIFS(INDEX(Inputs!$D$4:$AG$150,0,MATCH(L$2,Inputs!$D$2:$AG$2,0)),Inputs!$B$4:$B$150,$B18)/1000)</f>
        <v>0</v>
      </c>
      <c r="M18" s="12">
        <f>IF(L18="","",L18)</f>
        <v>0</v>
      </c>
      <c r="N18" s="11">
        <f>IF(N$3=0,"",SUMIFS(INDEX(Inputs!$D$4:$AG$150,0,MATCH(N$2,Inputs!$D$2:$AG$2,0)),Inputs!$B$4:$B$150,$B18)/1000)</f>
        <v>0</v>
      </c>
      <c r="O18" s="11">
        <f>IF(O$3=0,"",SUMIFS(INDEX(Inputs!$D$4:$AG$150,0,MATCH(O$2,Inputs!$D$2:$AG$2,0)),Inputs!$B$4:$B$150,$B18)/1000)</f>
        <v>0</v>
      </c>
      <c r="P18" s="11">
        <f>IF(P$3=0,"",SUMIFS(INDEX(Inputs!$D$4:$AG$150,0,MATCH(P$2,Inputs!$D$2:$AG$2,0)),Inputs!$B$4:$B$150,$B18)/1000)</f>
        <v>0</v>
      </c>
      <c r="Q18" s="11">
        <f>IF(Q$3=0,"",SUMIFS(INDEX(Inputs!$D$4:$AG$150,0,MATCH(Q$2,Inputs!$D$2:$AG$2,0)),Inputs!$B$4:$B$150,$B18)/1000)</f>
        <v>0</v>
      </c>
      <c r="R18" s="12">
        <f>IF(Q18="","",Q18)</f>
        <v>0</v>
      </c>
      <c r="S18" s="11">
        <f>IF(S$3=0,"",SUMIFS(INDEX(Inputs!$D$4:$AG$150,0,MATCH(S$2,Inputs!$D$2:$AG$2,0)),Inputs!$B$4:$B$150,$B18)/1000)</f>
        <v>0</v>
      </c>
      <c r="T18" s="11">
        <f>IF(T$3=0,"",SUMIFS(INDEX(Inputs!$D$4:$AG$150,0,MATCH(T$2,Inputs!$D$2:$AG$2,0)),Inputs!$B$4:$B$150,$B18)/1000)</f>
        <v>0</v>
      </c>
      <c r="U18" s="11">
        <f>IF(U$3=0,"",SUMIFS(INDEX(Inputs!$D$4:$AG$150,0,MATCH(U$2,Inputs!$D$2:$AG$2,0)),Inputs!$B$4:$B$150,$B18)/1000)</f>
        <v>0</v>
      </c>
      <c r="V18" s="11">
        <f>IF(V$3=0,"",SUMIFS(INDEX(Inputs!$D$4:$AG$150,0,MATCH(V$2,Inputs!$D$2:$AG$2,0)),Inputs!$B$4:$B$150,$B18)/1000)</f>
        <v>0</v>
      </c>
      <c r="W18" s="12">
        <f>IF(V18="","",V18)</f>
        <v>0</v>
      </c>
      <c r="X18" s="11">
        <f>IF(X$3=0,"",SUMIFS(INDEX(Inputs!$D$4:$AG$150,0,MATCH(X$2,Inputs!$D$2:$AG$2,0)),Inputs!$B$4:$B$150,$B18)/1000)</f>
        <v>0</v>
      </c>
      <c r="Y18" s="11">
        <f>IF(Y$3=0,"",SUMIFS(INDEX(Inputs!$D$4:$AG$150,0,MATCH(Y$2,Inputs!$D$2:$AG$2,0)),Inputs!$B$4:$B$150,$B18)/1000)</f>
        <v>0</v>
      </c>
      <c r="Z18" s="11">
        <f>IF(Z$3=0,"",SUMIFS(INDEX(Inputs!$D$4:$AG$150,0,MATCH(Z$2,Inputs!$D$2:$AG$2,0)),Inputs!$B$4:$B$150,$B18)/1000)</f>
        <v>0</v>
      </c>
      <c r="AA18" s="11">
        <f>IF(AA$3=0,"",SUMIFS(INDEX(Inputs!$D$4:$AG$150,0,MATCH(AA$2,Inputs!$D$2:$AG$2,0)),Inputs!$B$4:$B$150,$B18)/1000)</f>
        <v>0</v>
      </c>
      <c r="AB18" s="12">
        <f>IF(AA18="","",AA18)</f>
        <v>0</v>
      </c>
      <c r="AC18" s="11">
        <f>IF(AC$3=0,"",SUMIFS(INDEX(Inputs!$D$4:$AG$150,0,MATCH(AC$2,Inputs!$D$2:$AG$2,0)),Inputs!$B$4:$B$150,$B18)/1000)</f>
        <v>0</v>
      </c>
      <c r="AD18" s="11">
        <f>IF(AD$3=0,"",SUMIFS(INDEX(Inputs!$D$4:$AG$150,0,MATCH(AD$2,Inputs!$D$2:$AG$2,0)),Inputs!$B$4:$B$150,$B18)/1000)</f>
        <v>0</v>
      </c>
      <c r="AE18" s="11" t="str">
        <f>IF(AE$3=0,"",SUMIFS(INDEX(Inputs!$D$4:$AG$150,0,MATCH(AE$2,Inputs!$D$2:$AG$2,0)),Inputs!$B$4:$B$150,$B18)/1000)</f>
        <v/>
      </c>
      <c r="AF18" s="11" t="str">
        <f>IF(AF$3=0,"",SUMIFS(INDEX(Inputs!$D$4:$AG$150,0,MATCH(AF$2,Inputs!$D$2:$AG$2,0)),Inputs!$B$4:$B$150,$B18)/1000)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IF(D$3=0,"",SUMIFS(INDEX(Inputs!$D$4:$AG$150,0,MATCH(D$2,Inputs!$D$2:$AG$2,0)),Inputs!$B$4:$B$150,$B19)/1000)</f>
        <v>0</v>
      </c>
      <c r="E19" s="11">
        <f>IF(E$3=0,"",SUMIFS(INDEX(Inputs!$D$4:$AG$150,0,MATCH(E$2,Inputs!$D$2:$AG$2,0)),Inputs!$B$4:$B$150,$B19)/1000)</f>
        <v>0</v>
      </c>
      <c r="F19" s="11">
        <f>IF(F$3=0,"",SUMIFS(INDEX(Inputs!$D$4:$AG$150,0,MATCH(F$2,Inputs!$D$2:$AG$2,0)),Inputs!$B$4:$B$150,$B19)/1000)</f>
        <v>0</v>
      </c>
      <c r="G19" s="11">
        <f>IF(G$3=0,"",SUMIFS(INDEX(Inputs!$D$4:$AG$150,0,MATCH(G$2,Inputs!$D$2:$AG$2,0)),Inputs!$B$4:$B$150,$B19)/1000)</f>
        <v>0</v>
      </c>
      <c r="H19" s="12">
        <f>IF(G19="","",G19)</f>
        <v>0</v>
      </c>
      <c r="I19" s="11">
        <f>IF(I$3=0,"",SUMIFS(INDEX(Inputs!$D$4:$AG$150,0,MATCH(I$2,Inputs!$D$2:$AG$2,0)),Inputs!$B$4:$B$150,$B19)/1000)</f>
        <v>0</v>
      </c>
      <c r="J19" s="11">
        <f>IF(J$3=0,"",SUMIFS(INDEX(Inputs!$D$4:$AG$150,0,MATCH(J$2,Inputs!$D$2:$AG$2,0)),Inputs!$B$4:$B$150,$B19)/1000)</f>
        <v>0</v>
      </c>
      <c r="K19" s="11">
        <f>IF(K$3=0,"",SUMIFS(INDEX(Inputs!$D$4:$AG$150,0,MATCH(K$2,Inputs!$D$2:$AG$2,0)),Inputs!$B$4:$B$150,$B19)/1000)</f>
        <v>0</v>
      </c>
      <c r="L19" s="11">
        <f>IF(L$3=0,"",SUMIFS(INDEX(Inputs!$D$4:$AG$150,0,MATCH(L$2,Inputs!$D$2:$AG$2,0)),Inputs!$B$4:$B$150,$B19)/1000)</f>
        <v>0</v>
      </c>
      <c r="M19" s="12">
        <f>IF(L19="","",L19)</f>
        <v>0</v>
      </c>
      <c r="N19" s="11">
        <f>IF(N$3=0,"",SUMIFS(INDEX(Inputs!$D$4:$AG$150,0,MATCH(N$2,Inputs!$D$2:$AG$2,0)),Inputs!$B$4:$B$150,$B19)/1000)</f>
        <v>0</v>
      </c>
      <c r="O19" s="11">
        <f>IF(O$3=0,"",SUMIFS(INDEX(Inputs!$D$4:$AG$150,0,MATCH(O$2,Inputs!$D$2:$AG$2,0)),Inputs!$B$4:$B$150,$B19)/1000)</f>
        <v>0</v>
      </c>
      <c r="P19" s="11">
        <f>IF(P$3=0,"",SUMIFS(INDEX(Inputs!$D$4:$AG$150,0,MATCH(P$2,Inputs!$D$2:$AG$2,0)),Inputs!$B$4:$B$150,$B19)/1000)</f>
        <v>0</v>
      </c>
      <c r="Q19" s="11">
        <f>IF(Q$3=0,"",SUMIFS(INDEX(Inputs!$D$4:$AG$150,0,MATCH(Q$2,Inputs!$D$2:$AG$2,0)),Inputs!$B$4:$B$150,$B19)/1000)</f>
        <v>0</v>
      </c>
      <c r="R19" s="12">
        <f>IF(Q19="","",Q19)</f>
        <v>0</v>
      </c>
      <c r="S19" s="11">
        <f>IF(S$3=0,"",SUMIFS(INDEX(Inputs!$D$4:$AG$150,0,MATCH(S$2,Inputs!$D$2:$AG$2,0)),Inputs!$B$4:$B$150,$B19)/1000)</f>
        <v>0</v>
      </c>
      <c r="T19" s="11">
        <f>IF(T$3=0,"",SUMIFS(INDEX(Inputs!$D$4:$AG$150,0,MATCH(T$2,Inputs!$D$2:$AG$2,0)),Inputs!$B$4:$B$150,$B19)/1000)</f>
        <v>0</v>
      </c>
      <c r="U19" s="11">
        <f>IF(U$3=0,"",SUMIFS(INDEX(Inputs!$D$4:$AG$150,0,MATCH(U$2,Inputs!$D$2:$AG$2,0)),Inputs!$B$4:$B$150,$B19)/1000)</f>
        <v>0</v>
      </c>
      <c r="V19" s="11">
        <f>IF(V$3=0,"",SUMIFS(INDEX(Inputs!$D$4:$AG$150,0,MATCH(V$2,Inputs!$D$2:$AG$2,0)),Inputs!$B$4:$B$150,$B19)/1000)</f>
        <v>0</v>
      </c>
      <c r="W19" s="12">
        <f>IF(V19="","",V19)</f>
        <v>0</v>
      </c>
      <c r="X19" s="11">
        <f>IF(X$3=0,"",SUMIFS(INDEX(Inputs!$D$4:$AG$150,0,MATCH(X$2,Inputs!$D$2:$AG$2,0)),Inputs!$B$4:$B$150,$B19)/1000)</f>
        <v>0</v>
      </c>
      <c r="Y19" s="11">
        <f>IF(Y$3=0,"",SUMIFS(INDEX(Inputs!$D$4:$AG$150,0,MATCH(Y$2,Inputs!$D$2:$AG$2,0)),Inputs!$B$4:$B$150,$B19)/1000)</f>
        <v>0</v>
      </c>
      <c r="Z19" s="11">
        <f>IF(Z$3=0,"",SUMIFS(INDEX(Inputs!$D$4:$AG$150,0,MATCH(Z$2,Inputs!$D$2:$AG$2,0)),Inputs!$B$4:$B$150,$B19)/1000)</f>
        <v>0</v>
      </c>
      <c r="AA19" s="11">
        <f>IF(AA$3=0,"",SUMIFS(INDEX(Inputs!$D$4:$AG$150,0,MATCH(AA$2,Inputs!$D$2:$AG$2,0)),Inputs!$B$4:$B$150,$B19)/1000)</f>
        <v>0</v>
      </c>
      <c r="AB19" s="12">
        <f>IF(AA19="","",AA19)</f>
        <v>0</v>
      </c>
      <c r="AC19" s="11">
        <f>IF(AC$3=0,"",SUMIFS(INDEX(Inputs!$D$4:$AG$150,0,MATCH(AC$2,Inputs!$D$2:$AG$2,0)),Inputs!$B$4:$B$150,$B19)/1000)</f>
        <v>0</v>
      </c>
      <c r="AD19" s="11">
        <f>IF(AD$3=0,"",SUMIFS(INDEX(Inputs!$D$4:$AG$150,0,MATCH(AD$2,Inputs!$D$2:$AG$2,0)),Inputs!$B$4:$B$150,$B19)/1000)</f>
        <v>0</v>
      </c>
      <c r="AE19" s="11" t="str">
        <f>IF(AE$3=0,"",SUMIFS(INDEX(Inputs!$D$4:$AG$150,0,MATCH(AE$2,Inputs!$D$2:$AG$2,0)),Inputs!$B$4:$B$150,$B19)/1000)</f>
        <v/>
      </c>
      <c r="AF19" s="11" t="str">
        <f>IF(AF$3=0,"",SUMIFS(INDEX(Inputs!$D$4:$AG$150,0,MATCH(AF$2,Inputs!$D$2:$AG$2,0)),Inputs!$B$4:$B$150,$B19)/1000)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IF(D$3=0,"",SUMIFS(INDEX(Inputs!$D$4:$AG$150,0,MATCH(D$2,Inputs!$D$2:$AG$2,0)),Inputs!$B$4:$B$150,$B20)/1000)</f>
        <v>1255</v>
      </c>
      <c r="E20" s="11">
        <f>IF(E$3=0,"",SUMIFS(INDEX(Inputs!$D$4:$AG$150,0,MATCH(E$2,Inputs!$D$2:$AG$2,0)),Inputs!$B$4:$B$150,$B20)/1000)</f>
        <v>1220</v>
      </c>
      <c r="F20" s="11">
        <f>IF(F$3=0,"",SUMIFS(INDEX(Inputs!$D$4:$AG$150,0,MATCH(F$2,Inputs!$D$2:$AG$2,0)),Inputs!$B$4:$B$150,$B20)/1000)</f>
        <v>1312</v>
      </c>
      <c r="G20" s="11">
        <f>IF(G$3=0,"",SUMIFS(INDEX(Inputs!$D$4:$AG$150,0,MATCH(G$2,Inputs!$D$2:$AG$2,0)),Inputs!$B$4:$B$150,$B20)/1000)</f>
        <v>1500</v>
      </c>
      <c r="H20" s="12">
        <f>IF(G20="","",G20)</f>
        <v>1500</v>
      </c>
      <c r="I20" s="11">
        <f>IF(I$3=0,"",SUMIFS(INDEX(Inputs!$D$4:$AG$150,0,MATCH(I$2,Inputs!$D$2:$AG$2,0)),Inputs!$B$4:$B$150,$B20)/1000)</f>
        <v>1552</v>
      </c>
      <c r="J20" s="11">
        <f>IF(J$3=0,"",SUMIFS(INDEX(Inputs!$D$4:$AG$150,0,MATCH(J$2,Inputs!$D$2:$AG$2,0)),Inputs!$B$4:$B$150,$B20)/1000)</f>
        <v>1563</v>
      </c>
      <c r="K20" s="11">
        <f>IF(K$3=0,"",SUMIFS(INDEX(Inputs!$D$4:$AG$150,0,MATCH(K$2,Inputs!$D$2:$AG$2,0)),Inputs!$B$4:$B$150,$B20)/1000)</f>
        <v>1499</v>
      </c>
      <c r="L20" s="11">
        <f>IF(L$3=0,"",SUMIFS(INDEX(Inputs!$D$4:$AG$150,0,MATCH(L$2,Inputs!$D$2:$AG$2,0)),Inputs!$B$4:$B$150,$B20)/1000)</f>
        <v>1594</v>
      </c>
      <c r="M20" s="12">
        <f>IF(L20="","",L20)</f>
        <v>1594</v>
      </c>
      <c r="N20" s="11">
        <f>IF(N$3=0,"",SUMIFS(INDEX(Inputs!$D$4:$AG$150,0,MATCH(N$2,Inputs!$D$2:$AG$2,0)),Inputs!$B$4:$B$150,$B20)/1000)</f>
        <v>1830</v>
      </c>
      <c r="O20" s="11">
        <f>IF(O$3=0,"",SUMIFS(INDEX(Inputs!$D$4:$AG$150,0,MATCH(O$2,Inputs!$D$2:$AG$2,0)),Inputs!$B$4:$B$150,$B20)/1000)</f>
        <v>1755</v>
      </c>
      <c r="P20" s="11">
        <f>IF(P$3=0,"",SUMIFS(INDEX(Inputs!$D$4:$AG$150,0,MATCH(P$2,Inputs!$D$2:$AG$2,0)),Inputs!$B$4:$B$150,$B20)/1000)</f>
        <v>1709</v>
      </c>
      <c r="Q20" s="11">
        <f>IF(Q$3=0,"",SUMIFS(INDEX(Inputs!$D$4:$AG$150,0,MATCH(Q$2,Inputs!$D$2:$AG$2,0)),Inputs!$B$4:$B$150,$B20)/1000)</f>
        <v>1673</v>
      </c>
      <c r="R20" s="12">
        <f>IF(Q20="","",Q20)</f>
        <v>1673</v>
      </c>
      <c r="S20" s="11">
        <f>IF(S$3=0,"",SUMIFS(INDEX(Inputs!$D$4:$AG$150,0,MATCH(S$2,Inputs!$D$2:$AG$2,0)),Inputs!$B$4:$B$150,$B20)/1000)</f>
        <v>1971</v>
      </c>
      <c r="T20" s="11">
        <f>IF(T$3=0,"",SUMIFS(INDEX(Inputs!$D$4:$AG$150,0,MATCH(T$2,Inputs!$D$2:$AG$2,0)),Inputs!$B$4:$B$150,$B20)/1000)</f>
        <v>1776</v>
      </c>
      <c r="U20" s="11">
        <f>IF(U$3=0,"",SUMIFS(INDEX(Inputs!$D$4:$AG$150,0,MATCH(U$2,Inputs!$D$2:$AG$2,0)),Inputs!$B$4:$B$150,$B20)/1000)</f>
        <v>1734</v>
      </c>
      <c r="V20" s="11">
        <f>IF(V$3=0,"",SUMIFS(INDEX(Inputs!$D$4:$AG$150,0,MATCH(V$2,Inputs!$D$2:$AG$2,0)),Inputs!$B$4:$B$150,$B20)/1000)</f>
        <v>1754</v>
      </c>
      <c r="W20" s="12">
        <f>IF(V20="","",V20)</f>
        <v>1754</v>
      </c>
      <c r="X20" s="11">
        <f>IF(X$3=0,"",SUMIFS(INDEX(Inputs!$D$4:$AG$150,0,MATCH(X$2,Inputs!$D$2:$AG$2,0)),Inputs!$B$4:$B$150,$B20)/1000)</f>
        <v>1925</v>
      </c>
      <c r="Y20" s="11">
        <f>IF(Y$3=0,"",SUMIFS(INDEX(Inputs!$D$4:$AG$150,0,MATCH(Y$2,Inputs!$D$2:$AG$2,0)),Inputs!$B$4:$B$150,$B20)/1000)</f>
        <v>1820</v>
      </c>
      <c r="Z20" s="11">
        <f>IF(Z$3=0,"",SUMIFS(INDEX(Inputs!$D$4:$AG$150,0,MATCH(Z$2,Inputs!$D$2:$AG$2,0)),Inputs!$B$4:$B$150,$B20)/1000)</f>
        <v>1777</v>
      </c>
      <c r="AA20" s="11">
        <f>IF(AA$3=0,"",SUMIFS(INDEX(Inputs!$D$4:$AG$150,0,MATCH(AA$2,Inputs!$D$2:$AG$2,0)),Inputs!$B$4:$B$150,$B20)/1000)</f>
        <v>1856</v>
      </c>
      <c r="AB20" s="12">
        <f>IF(AA20="","",AA20)</f>
        <v>1856</v>
      </c>
      <c r="AC20" s="11">
        <f>IF(AC$3=0,"",SUMIFS(INDEX(Inputs!$D$4:$AG$150,0,MATCH(AC$2,Inputs!$D$2:$AG$2,0)),Inputs!$B$4:$B$150,$B20)/1000)</f>
        <v>2120</v>
      </c>
      <c r="AD20" s="11">
        <f>IF(AD$3=0,"",SUMIFS(INDEX(Inputs!$D$4:$AG$150,0,MATCH(AD$2,Inputs!$D$2:$AG$2,0)),Inputs!$B$4:$B$150,$B20)/1000)</f>
        <v>2013</v>
      </c>
      <c r="AE20" s="11" t="str">
        <f>IF(AE$3=0,"",SUMIFS(INDEX(Inputs!$D$4:$AG$150,0,MATCH(AE$2,Inputs!$D$2:$AG$2,0)),Inputs!$B$4:$B$150,$B20)/1000)</f>
        <v/>
      </c>
      <c r="AF20" s="11" t="str">
        <f>IF(AF$3=0,"",SUMIFS(INDEX(Inputs!$D$4:$AG$150,0,MATCH(AF$2,Inputs!$D$2:$AG$2,0)),Inputs!$B$4:$B$150,$B20)/1000)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IF(D$3=0,"",SUMIFS(INDEX(Inputs!$D$4:$AG$150,0,MATCH(D$2,Inputs!$D$2:$AG$2,0)),Inputs!$B$4:$B$150,$B21)/1000)</f>
        <v>0</v>
      </c>
      <c r="E21" s="11">
        <f>IF(E$3=0,"",SUMIFS(INDEX(Inputs!$D$4:$AG$150,0,MATCH(E$2,Inputs!$D$2:$AG$2,0)),Inputs!$B$4:$B$150,$B21)/1000)</f>
        <v>0</v>
      </c>
      <c r="F21" s="11">
        <f>IF(F$3=0,"",SUMIFS(INDEX(Inputs!$D$4:$AG$150,0,MATCH(F$2,Inputs!$D$2:$AG$2,0)),Inputs!$B$4:$B$150,$B21)/1000)</f>
        <v>0</v>
      </c>
      <c r="G21" s="11">
        <f>IF(G$3=0,"",SUMIFS(INDEX(Inputs!$D$4:$AG$150,0,MATCH(G$2,Inputs!$D$2:$AG$2,0)),Inputs!$B$4:$B$150,$B21)/1000)</f>
        <v>0</v>
      </c>
      <c r="H21" s="12">
        <f>IF(G21="","",G21)</f>
        <v>0</v>
      </c>
      <c r="I21" s="11">
        <f>IF(I$3=0,"",SUMIFS(INDEX(Inputs!$D$4:$AG$150,0,MATCH(I$2,Inputs!$D$2:$AG$2,0)),Inputs!$B$4:$B$150,$B21)/1000)</f>
        <v>0</v>
      </c>
      <c r="J21" s="11">
        <f>IF(J$3=0,"",SUMIFS(INDEX(Inputs!$D$4:$AG$150,0,MATCH(J$2,Inputs!$D$2:$AG$2,0)),Inputs!$B$4:$B$150,$B21)/1000)</f>
        <v>0</v>
      </c>
      <c r="K21" s="11">
        <f>IF(K$3=0,"",SUMIFS(INDEX(Inputs!$D$4:$AG$150,0,MATCH(K$2,Inputs!$D$2:$AG$2,0)),Inputs!$B$4:$B$150,$B21)/1000)</f>
        <v>0</v>
      </c>
      <c r="L21" s="11">
        <f>IF(L$3=0,"",SUMIFS(INDEX(Inputs!$D$4:$AG$150,0,MATCH(L$2,Inputs!$D$2:$AG$2,0)),Inputs!$B$4:$B$150,$B21)/1000)</f>
        <v>0</v>
      </c>
      <c r="M21" s="12">
        <f>IF(L21="","",L21)</f>
        <v>0</v>
      </c>
      <c r="N21" s="11">
        <f>IF(N$3=0,"",SUMIFS(INDEX(Inputs!$D$4:$AG$150,0,MATCH(N$2,Inputs!$D$2:$AG$2,0)),Inputs!$B$4:$B$150,$B21)/1000)</f>
        <v>0</v>
      </c>
      <c r="O21" s="11">
        <f>IF(O$3=0,"",SUMIFS(INDEX(Inputs!$D$4:$AG$150,0,MATCH(O$2,Inputs!$D$2:$AG$2,0)),Inputs!$B$4:$B$150,$B21)/1000)</f>
        <v>0</v>
      </c>
      <c r="P21" s="11">
        <f>IF(P$3=0,"",SUMIFS(INDEX(Inputs!$D$4:$AG$150,0,MATCH(P$2,Inputs!$D$2:$AG$2,0)),Inputs!$B$4:$B$150,$B21)/1000)</f>
        <v>0</v>
      </c>
      <c r="Q21" s="11">
        <f>IF(Q$3=0,"",SUMIFS(INDEX(Inputs!$D$4:$AG$150,0,MATCH(Q$2,Inputs!$D$2:$AG$2,0)),Inputs!$B$4:$B$150,$B21)/1000)</f>
        <v>0</v>
      </c>
      <c r="R21" s="12">
        <f>IF(Q21="","",Q21)</f>
        <v>0</v>
      </c>
      <c r="S21" s="11">
        <f>IF(S$3=0,"",SUMIFS(INDEX(Inputs!$D$4:$AG$150,0,MATCH(S$2,Inputs!$D$2:$AG$2,0)),Inputs!$B$4:$B$150,$B21)/1000)</f>
        <v>0</v>
      </c>
      <c r="T21" s="11">
        <f>IF(T$3=0,"",SUMIFS(INDEX(Inputs!$D$4:$AG$150,0,MATCH(T$2,Inputs!$D$2:$AG$2,0)),Inputs!$B$4:$B$150,$B21)/1000)</f>
        <v>0</v>
      </c>
      <c r="U21" s="11">
        <f>IF(U$3=0,"",SUMIFS(INDEX(Inputs!$D$4:$AG$150,0,MATCH(U$2,Inputs!$D$2:$AG$2,0)),Inputs!$B$4:$B$150,$B21)/1000)</f>
        <v>0</v>
      </c>
      <c r="V21" s="11">
        <f>IF(V$3=0,"",SUMIFS(INDEX(Inputs!$D$4:$AG$150,0,MATCH(V$2,Inputs!$D$2:$AG$2,0)),Inputs!$B$4:$B$150,$B21)/1000)</f>
        <v>0</v>
      </c>
      <c r="W21" s="12">
        <f>IF(V21="","",V21)</f>
        <v>0</v>
      </c>
      <c r="X21" s="11">
        <f>IF(X$3=0,"",SUMIFS(INDEX(Inputs!$D$4:$AG$150,0,MATCH(X$2,Inputs!$D$2:$AG$2,0)),Inputs!$B$4:$B$150,$B21)/1000)</f>
        <v>0</v>
      </c>
      <c r="Y21" s="11">
        <f>IF(Y$3=0,"",SUMIFS(INDEX(Inputs!$D$4:$AG$150,0,MATCH(Y$2,Inputs!$D$2:$AG$2,0)),Inputs!$B$4:$B$150,$B21)/1000)</f>
        <v>0</v>
      </c>
      <c r="Z21" s="11">
        <f>IF(Z$3=0,"",SUMIFS(INDEX(Inputs!$D$4:$AG$150,0,MATCH(Z$2,Inputs!$D$2:$AG$2,0)),Inputs!$B$4:$B$150,$B21)/1000)</f>
        <v>0</v>
      </c>
      <c r="AA21" s="11">
        <f>IF(AA$3=0,"",SUMIFS(INDEX(Inputs!$D$4:$AG$150,0,MATCH(AA$2,Inputs!$D$2:$AG$2,0)),Inputs!$B$4:$B$150,$B21)/1000)</f>
        <v>0</v>
      </c>
      <c r="AB21" s="12">
        <f>IF(AA21="","",AA21)</f>
        <v>0</v>
      </c>
      <c r="AC21" s="11">
        <f>IF(AC$3=0,"",SUMIFS(INDEX(Inputs!$D$4:$AG$150,0,MATCH(AC$2,Inputs!$D$2:$AG$2,0)),Inputs!$B$4:$B$150,$B21)/1000)</f>
        <v>0</v>
      </c>
      <c r="AD21" s="11">
        <f>IF(AD$3=0,"",SUMIFS(INDEX(Inputs!$D$4:$AG$150,0,MATCH(AD$2,Inputs!$D$2:$AG$2,0)),Inputs!$B$4:$B$150,$B21)/1000)</f>
        <v>0</v>
      </c>
      <c r="AE21" s="11" t="str">
        <f>IF(AE$3=0,"",SUMIFS(INDEX(Inputs!$D$4:$AG$150,0,MATCH(AE$2,Inputs!$D$2:$AG$2,0)),Inputs!$B$4:$B$150,$B21)/1000)</f>
        <v/>
      </c>
      <c r="AF21" s="11" t="str">
        <f>IF(AF$3=0,"",SUMIFS(INDEX(Inputs!$D$4:$AG$150,0,MATCH(AF$2,Inputs!$D$2:$AG$2,0)),Inputs!$B$4:$B$150,$B21)/1000)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IF(D$3=0,"",SUMIFS(INDEX(Inputs!$D$4:$AG$150,0,MATCH(D$2,Inputs!$D$2:$AG$2,0)),Inputs!$B$4:$B$150,$B22)/1000)</f>
        <v>22531</v>
      </c>
      <c r="E22" s="11">
        <f>IF(E$3=0,"",SUMIFS(INDEX(Inputs!$D$4:$AG$150,0,MATCH(E$2,Inputs!$D$2:$AG$2,0)),Inputs!$B$4:$B$150,$B22)/1000)</f>
        <v>23177</v>
      </c>
      <c r="F22" s="11">
        <f>IF(F$3=0,"",SUMIFS(INDEX(Inputs!$D$4:$AG$150,0,MATCH(F$2,Inputs!$D$2:$AG$2,0)),Inputs!$B$4:$B$150,$B22)/1000)</f>
        <v>23492</v>
      </c>
      <c r="G22" s="11">
        <f>IF(G$3=0,"",SUMIFS(INDEX(Inputs!$D$4:$AG$150,0,MATCH(G$2,Inputs!$D$2:$AG$2,0)),Inputs!$B$4:$B$150,$B22)/1000)</f>
        <v>23887</v>
      </c>
      <c r="H22" s="12">
        <f>IF(G22="","",G22)</f>
        <v>23887</v>
      </c>
      <c r="I22" s="11">
        <f>IF(I$3=0,"",SUMIFS(INDEX(Inputs!$D$4:$AG$150,0,MATCH(I$2,Inputs!$D$2:$AG$2,0)),Inputs!$B$4:$B$150,$B22)/1000)</f>
        <v>24052</v>
      </c>
      <c r="J22" s="11">
        <f>IF(J$3=0,"",SUMIFS(INDEX(Inputs!$D$4:$AG$150,0,MATCH(J$2,Inputs!$D$2:$AG$2,0)),Inputs!$B$4:$B$150,$B22)/1000)</f>
        <v>24143</v>
      </c>
      <c r="K22" s="11">
        <f>IF(K$3=0,"",SUMIFS(INDEX(Inputs!$D$4:$AG$150,0,MATCH(K$2,Inputs!$D$2:$AG$2,0)),Inputs!$B$4:$B$150,$B22)/1000)</f>
        <v>24646</v>
      </c>
      <c r="L22" s="11">
        <f>IF(L$3=0,"",SUMIFS(INDEX(Inputs!$D$4:$AG$150,0,MATCH(L$2,Inputs!$D$2:$AG$2,0)),Inputs!$B$4:$B$150,$B22)/1000)</f>
        <v>25144</v>
      </c>
      <c r="M22" s="12">
        <f>IF(L22="","",L22)</f>
        <v>25144</v>
      </c>
      <c r="N22" s="11">
        <f>IF(N$3=0,"",SUMIFS(INDEX(Inputs!$D$4:$AG$150,0,MATCH(N$2,Inputs!$D$2:$AG$2,0)),Inputs!$B$4:$B$150,$B22)/1000)</f>
        <v>25724</v>
      </c>
      <c r="O22" s="11">
        <f>IF(O$3=0,"",SUMIFS(INDEX(Inputs!$D$4:$AG$150,0,MATCH(O$2,Inputs!$D$2:$AG$2,0)),Inputs!$B$4:$B$150,$B22)/1000)</f>
        <v>25931</v>
      </c>
      <c r="P22" s="11">
        <f>IF(P$3=0,"",SUMIFS(INDEX(Inputs!$D$4:$AG$150,0,MATCH(P$2,Inputs!$D$2:$AG$2,0)),Inputs!$B$4:$B$150,$B22)/1000)</f>
        <v>26684</v>
      </c>
      <c r="Q22" s="11">
        <f>IF(Q$3=0,"",SUMIFS(INDEX(Inputs!$D$4:$AG$150,0,MATCH(Q$2,Inputs!$D$2:$AG$2,0)),Inputs!$B$4:$B$150,$B22)/1000)</f>
        <v>27168</v>
      </c>
      <c r="R22" s="12">
        <f>IF(Q22="","",Q22)</f>
        <v>27168</v>
      </c>
      <c r="S22" s="11">
        <f>IF(S$3=0,"",SUMIFS(INDEX(Inputs!$D$4:$AG$150,0,MATCH(S$2,Inputs!$D$2:$AG$2,0)),Inputs!$B$4:$B$150,$B22)/1000)</f>
        <v>27601</v>
      </c>
      <c r="T22" s="11">
        <f>IF(T$3=0,"",SUMIFS(INDEX(Inputs!$D$4:$AG$150,0,MATCH(T$2,Inputs!$D$2:$AG$2,0)),Inputs!$B$4:$B$150,$B22)/1000)</f>
        <v>28062</v>
      </c>
      <c r="U22" s="11">
        <f>IF(U$3=0,"",SUMIFS(INDEX(Inputs!$D$4:$AG$150,0,MATCH(U$2,Inputs!$D$2:$AG$2,0)),Inputs!$B$4:$B$150,$B22)/1000)</f>
        <v>29032</v>
      </c>
      <c r="V22" s="11">
        <f>IF(V$3=0,"",SUMIFS(INDEX(Inputs!$D$4:$AG$150,0,MATCH(V$2,Inputs!$D$2:$AG$2,0)),Inputs!$B$4:$B$150,$B22)/1000)</f>
        <v>29336</v>
      </c>
      <c r="W22" s="12">
        <f>IF(V22="","",V22)</f>
        <v>29336</v>
      </c>
      <c r="X22" s="11">
        <f>IF(X$3=0,"",SUMIFS(INDEX(Inputs!$D$4:$AG$150,0,MATCH(X$2,Inputs!$D$2:$AG$2,0)),Inputs!$B$4:$B$150,$B22)/1000)</f>
        <v>29809</v>
      </c>
      <c r="Y22" s="11">
        <f>IF(Y$3=0,"",SUMIFS(INDEX(Inputs!$D$4:$AG$150,0,MATCH(Y$2,Inputs!$D$2:$AG$2,0)),Inputs!$B$4:$B$150,$B22)/1000)</f>
        <v>30582</v>
      </c>
      <c r="Z22" s="11">
        <f>IF(Z$3=0,"",SUMIFS(INDEX(Inputs!$D$4:$AG$150,0,MATCH(Z$2,Inputs!$D$2:$AG$2,0)),Inputs!$B$4:$B$150,$B22)/1000)</f>
        <v>31909</v>
      </c>
      <c r="AA22" s="11">
        <f>IF(AA$3=0,"",SUMIFS(INDEX(Inputs!$D$4:$AG$150,0,MATCH(AA$2,Inputs!$D$2:$AG$2,0)),Inputs!$B$4:$B$150,$B22)/1000)</f>
        <v>32616</v>
      </c>
      <c r="AB22" s="12">
        <f>IF(AA22="","",AA22)</f>
        <v>32616</v>
      </c>
      <c r="AC22" s="11">
        <f>IF(AC$3=0,"",SUMIFS(INDEX(Inputs!$D$4:$AG$150,0,MATCH(AC$2,Inputs!$D$2:$AG$2,0)),Inputs!$B$4:$B$150,$B22)/1000)</f>
        <v>33645</v>
      </c>
      <c r="AD22" s="11">
        <f>IF(AD$3=0,"",SUMIFS(INDEX(Inputs!$D$4:$AG$150,0,MATCH(AD$2,Inputs!$D$2:$AG$2,0)),Inputs!$B$4:$B$150,$B22)/1000)</f>
        <v>34293</v>
      </c>
      <c r="AE22" s="11" t="str">
        <f>IF(AE$3=0,"",SUMIFS(INDEX(Inputs!$D$4:$AG$150,0,MATCH(AE$2,Inputs!$D$2:$AG$2,0)),Inputs!$B$4:$B$150,$B22)/1000)</f>
        <v/>
      </c>
      <c r="AF22" s="11" t="str">
        <f>IF(AF$3=0,"",SUMIFS(INDEX(Inputs!$D$4:$AG$150,0,MATCH(AF$2,Inputs!$D$2:$AG$2,0)),Inputs!$B$4:$B$150,$B22)/1000)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IF(D$3=0,"",SUMIFS(INDEX(Inputs!$D$4:$AG$150,0,MATCH(D$2,Inputs!$D$2:$AG$2,0)),Inputs!$B$4:$B$150,$B23)/1000)</f>
        <v>2887</v>
      </c>
      <c r="E23" s="11">
        <f>IF(E$3=0,"",SUMIFS(INDEX(Inputs!$D$4:$AG$150,0,MATCH(E$2,Inputs!$D$2:$AG$2,0)),Inputs!$B$4:$B$150,$B23)/1000)</f>
        <v>2875</v>
      </c>
      <c r="F23" s="11">
        <f>IF(F$3=0,"",SUMIFS(INDEX(Inputs!$D$4:$AG$150,0,MATCH(F$2,Inputs!$D$2:$AG$2,0)),Inputs!$B$4:$B$150,$B23)/1000)</f>
        <v>2890</v>
      </c>
      <c r="G23" s="11">
        <f>IF(G$3=0,"",SUMIFS(INDEX(Inputs!$D$4:$AG$150,0,MATCH(G$2,Inputs!$D$2:$AG$2,0)),Inputs!$B$4:$B$150,$B23)/1000)</f>
        <v>2903</v>
      </c>
      <c r="H23" s="12">
        <f>IF(G23="","",G23)</f>
        <v>2903</v>
      </c>
      <c r="I23" s="11">
        <f>IF(I$3=0,"",SUMIFS(INDEX(Inputs!$D$4:$AG$150,0,MATCH(I$2,Inputs!$D$2:$AG$2,0)),Inputs!$B$4:$B$150,$B23)/1000)</f>
        <v>2840</v>
      </c>
      <c r="J23" s="11">
        <f>IF(J$3=0,"",SUMIFS(INDEX(Inputs!$D$4:$AG$150,0,MATCH(J$2,Inputs!$D$2:$AG$2,0)),Inputs!$B$4:$B$150,$B23)/1000)</f>
        <v>2731</v>
      </c>
      <c r="K23" s="11">
        <f>IF(K$3=0,"",SUMIFS(INDEX(Inputs!$D$4:$AG$150,0,MATCH(K$2,Inputs!$D$2:$AG$2,0)),Inputs!$B$4:$B$150,$B23)/1000)</f>
        <v>2774</v>
      </c>
      <c r="L23" s="11">
        <f>IF(L$3=0,"",SUMIFS(INDEX(Inputs!$D$4:$AG$150,0,MATCH(L$2,Inputs!$D$2:$AG$2,0)),Inputs!$B$4:$B$150,$B23)/1000)</f>
        <v>2787</v>
      </c>
      <c r="M23" s="12">
        <f>IF(L23="","",L23)</f>
        <v>2787</v>
      </c>
      <c r="N23" s="11">
        <f>IF(N$3=0,"",SUMIFS(INDEX(Inputs!$D$4:$AG$150,0,MATCH(N$2,Inputs!$D$2:$AG$2,0)),Inputs!$B$4:$B$150,$B23)/1000)</f>
        <v>2859</v>
      </c>
      <c r="O23" s="11">
        <f>IF(O$3=0,"",SUMIFS(INDEX(Inputs!$D$4:$AG$150,0,MATCH(O$2,Inputs!$D$2:$AG$2,0)),Inputs!$B$4:$B$150,$B23)/1000)</f>
        <v>2806</v>
      </c>
      <c r="P23" s="11">
        <f>IF(P$3=0,"",SUMIFS(INDEX(Inputs!$D$4:$AG$150,0,MATCH(P$2,Inputs!$D$2:$AG$2,0)),Inputs!$B$4:$B$150,$B23)/1000)</f>
        <v>2713</v>
      </c>
      <c r="Q23" s="11">
        <f>IF(Q$3=0,"",SUMIFS(INDEX(Inputs!$D$4:$AG$150,0,MATCH(Q$2,Inputs!$D$2:$AG$2,0)),Inputs!$B$4:$B$150,$B23)/1000)</f>
        <v>2672</v>
      </c>
      <c r="R23" s="12">
        <f>IF(Q23="","",Q23)</f>
        <v>2672</v>
      </c>
      <c r="S23" s="11">
        <f>IF(S$3=0,"",SUMIFS(INDEX(Inputs!$D$4:$AG$150,0,MATCH(S$2,Inputs!$D$2:$AG$2,0)),Inputs!$B$4:$B$150,$B23)/1000)</f>
        <v>2740</v>
      </c>
      <c r="T23" s="11">
        <f>IF(T$3=0,"",SUMIFS(INDEX(Inputs!$D$4:$AG$150,0,MATCH(T$2,Inputs!$D$2:$AG$2,0)),Inputs!$B$4:$B$150,$B23)/1000)</f>
        <v>2643</v>
      </c>
      <c r="U23" s="11">
        <f>IF(U$3=0,"",SUMIFS(INDEX(Inputs!$D$4:$AG$150,0,MATCH(U$2,Inputs!$D$2:$AG$2,0)),Inputs!$B$4:$B$150,$B23)/1000)</f>
        <v>2617</v>
      </c>
      <c r="V23" s="11">
        <f>IF(V$3=0,"",SUMIFS(INDEX(Inputs!$D$4:$AG$150,0,MATCH(V$2,Inputs!$D$2:$AG$2,0)),Inputs!$B$4:$B$150,$B23)/1000)</f>
        <v>2539</v>
      </c>
      <c r="W23" s="12">
        <f>IF(V23="","",V23)</f>
        <v>2539</v>
      </c>
      <c r="X23" s="11">
        <f>IF(X$3=0,"",SUMIFS(INDEX(Inputs!$D$4:$AG$150,0,MATCH(X$2,Inputs!$D$2:$AG$2,0)),Inputs!$B$4:$B$150,$B23)/1000)</f>
        <v>2531</v>
      </c>
      <c r="Y23" s="11">
        <f>IF(Y$3=0,"",SUMIFS(INDEX(Inputs!$D$4:$AG$150,0,MATCH(Y$2,Inputs!$D$2:$AG$2,0)),Inputs!$B$4:$B$150,$B23)/1000)</f>
        <v>2718</v>
      </c>
      <c r="Z23" s="11">
        <f>IF(Z$3=0,"",SUMIFS(INDEX(Inputs!$D$4:$AG$150,0,MATCH(Z$2,Inputs!$D$2:$AG$2,0)),Inputs!$B$4:$B$150,$B23)/1000)</f>
        <v>2725</v>
      </c>
      <c r="AA23" s="11">
        <f>IF(AA$3=0,"",SUMIFS(INDEX(Inputs!$D$4:$AG$150,0,MATCH(AA$2,Inputs!$D$2:$AG$2,0)),Inputs!$B$4:$B$150,$B23)/1000)</f>
        <v>2730</v>
      </c>
      <c r="AB23" s="12">
        <f>IF(AA23="","",AA23)</f>
        <v>2730</v>
      </c>
      <c r="AC23" s="11">
        <f>IF(AC$3=0,"",SUMIFS(INDEX(Inputs!$D$4:$AG$150,0,MATCH(AC$2,Inputs!$D$2:$AG$2,0)),Inputs!$B$4:$B$150,$B23)/1000)</f>
        <v>2759</v>
      </c>
      <c r="AD23" s="11">
        <f>IF(AD$3=0,"",SUMIFS(INDEX(Inputs!$D$4:$AG$150,0,MATCH(AD$2,Inputs!$D$2:$AG$2,0)),Inputs!$B$4:$B$150,$B23)/1000)</f>
        <v>2747</v>
      </c>
      <c r="AE23" s="11" t="str">
        <f>IF(AE$3=0,"",SUMIFS(INDEX(Inputs!$D$4:$AG$150,0,MATCH(AE$2,Inputs!$D$2:$AG$2,0)),Inputs!$B$4:$B$150,$B23)/1000)</f>
        <v/>
      </c>
      <c r="AF23" s="11" t="str">
        <f>IF(AF$3=0,"",SUMIFS(INDEX(Inputs!$D$4:$AG$150,0,MATCH(AF$2,Inputs!$D$2:$AG$2,0)),Inputs!$B$4:$B$150,$B23)/1000)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IF(D$3=0,"",SUMIFS(INDEX(Inputs!$D$4:$AG$150,0,MATCH(D$2,Inputs!$D$2:$AG$2,0)),Inputs!$B$4:$B$150,$B24)/1000)</f>
        <v>0</v>
      </c>
      <c r="E24" s="11">
        <f>IF(E$3=0,"",SUMIFS(INDEX(Inputs!$D$4:$AG$150,0,MATCH(E$2,Inputs!$D$2:$AG$2,0)),Inputs!$B$4:$B$150,$B24)/1000)</f>
        <v>0</v>
      </c>
      <c r="F24" s="11">
        <f>IF(F$3=0,"",SUMIFS(INDEX(Inputs!$D$4:$AG$150,0,MATCH(F$2,Inputs!$D$2:$AG$2,0)),Inputs!$B$4:$B$150,$B24)/1000)</f>
        <v>0</v>
      </c>
      <c r="G24" s="11">
        <f>IF(G$3=0,"",SUMIFS(INDEX(Inputs!$D$4:$AG$150,0,MATCH(G$2,Inputs!$D$2:$AG$2,0)),Inputs!$B$4:$B$150,$B24)/1000)</f>
        <v>0</v>
      </c>
      <c r="H24" s="12">
        <f>IF(G24="","",G24)</f>
        <v>0</v>
      </c>
      <c r="I24" s="11">
        <f>IF(I$3=0,"",SUMIFS(INDEX(Inputs!$D$4:$AG$150,0,MATCH(I$2,Inputs!$D$2:$AG$2,0)),Inputs!$B$4:$B$150,$B24)/1000)</f>
        <v>0</v>
      </c>
      <c r="J24" s="11">
        <f>IF(J$3=0,"",SUMIFS(INDEX(Inputs!$D$4:$AG$150,0,MATCH(J$2,Inputs!$D$2:$AG$2,0)),Inputs!$B$4:$B$150,$B24)/1000)</f>
        <v>0</v>
      </c>
      <c r="K24" s="11">
        <f>IF(K$3=0,"",SUMIFS(INDEX(Inputs!$D$4:$AG$150,0,MATCH(K$2,Inputs!$D$2:$AG$2,0)),Inputs!$B$4:$B$150,$B24)/1000)</f>
        <v>0</v>
      </c>
      <c r="L24" s="11">
        <f>IF(L$3=0,"",SUMIFS(INDEX(Inputs!$D$4:$AG$150,0,MATCH(L$2,Inputs!$D$2:$AG$2,0)),Inputs!$B$4:$B$150,$B24)/1000)</f>
        <v>0</v>
      </c>
      <c r="M24" s="12">
        <f>IF(L24="","",L24)</f>
        <v>0</v>
      </c>
      <c r="N24" s="11">
        <f>IF(N$3=0,"",SUMIFS(INDEX(Inputs!$D$4:$AG$150,0,MATCH(N$2,Inputs!$D$2:$AG$2,0)),Inputs!$B$4:$B$150,$B24)/1000)</f>
        <v>0</v>
      </c>
      <c r="O24" s="11">
        <f>IF(O$3=0,"",SUMIFS(INDEX(Inputs!$D$4:$AG$150,0,MATCH(O$2,Inputs!$D$2:$AG$2,0)),Inputs!$B$4:$B$150,$B24)/1000)</f>
        <v>0</v>
      </c>
      <c r="P24" s="11">
        <f>IF(P$3=0,"",SUMIFS(INDEX(Inputs!$D$4:$AG$150,0,MATCH(P$2,Inputs!$D$2:$AG$2,0)),Inputs!$B$4:$B$150,$B24)/1000)</f>
        <v>0</v>
      </c>
      <c r="Q24" s="11">
        <f>IF(Q$3=0,"",SUMIFS(INDEX(Inputs!$D$4:$AG$150,0,MATCH(Q$2,Inputs!$D$2:$AG$2,0)),Inputs!$B$4:$B$150,$B24)/1000)</f>
        <v>0</v>
      </c>
      <c r="R24" s="12">
        <f>IF(Q24="","",Q24)</f>
        <v>0</v>
      </c>
      <c r="S24" s="11">
        <f>IF(S$3=0,"",SUMIFS(INDEX(Inputs!$D$4:$AG$150,0,MATCH(S$2,Inputs!$D$2:$AG$2,0)),Inputs!$B$4:$B$150,$B24)/1000)</f>
        <v>0</v>
      </c>
      <c r="T24" s="11">
        <f>IF(T$3=0,"",SUMIFS(INDEX(Inputs!$D$4:$AG$150,0,MATCH(T$2,Inputs!$D$2:$AG$2,0)),Inputs!$B$4:$B$150,$B24)/1000)</f>
        <v>0</v>
      </c>
      <c r="U24" s="11">
        <f>IF(U$3=0,"",SUMIFS(INDEX(Inputs!$D$4:$AG$150,0,MATCH(U$2,Inputs!$D$2:$AG$2,0)),Inputs!$B$4:$B$150,$B24)/1000)</f>
        <v>0</v>
      </c>
      <c r="V24" s="11">
        <f>IF(V$3=0,"",SUMIFS(INDEX(Inputs!$D$4:$AG$150,0,MATCH(V$2,Inputs!$D$2:$AG$2,0)),Inputs!$B$4:$B$150,$B24)/1000)</f>
        <v>0</v>
      </c>
      <c r="W24" s="12">
        <f>IF(V24="","",V24)</f>
        <v>0</v>
      </c>
      <c r="X24" s="11">
        <f>IF(X$3=0,"",SUMIFS(INDEX(Inputs!$D$4:$AG$150,0,MATCH(X$2,Inputs!$D$2:$AG$2,0)),Inputs!$B$4:$B$150,$B24)/1000)</f>
        <v>0</v>
      </c>
      <c r="Y24" s="11">
        <f>IF(Y$3=0,"",SUMIFS(INDEX(Inputs!$D$4:$AG$150,0,MATCH(Y$2,Inputs!$D$2:$AG$2,0)),Inputs!$B$4:$B$150,$B24)/1000)</f>
        <v>0</v>
      </c>
      <c r="Z24" s="11">
        <f>IF(Z$3=0,"",SUMIFS(INDEX(Inputs!$D$4:$AG$150,0,MATCH(Z$2,Inputs!$D$2:$AG$2,0)),Inputs!$B$4:$B$150,$B24)/1000)</f>
        <v>0</v>
      </c>
      <c r="AA24" s="11">
        <f>IF(AA$3=0,"",SUMIFS(INDEX(Inputs!$D$4:$AG$150,0,MATCH(AA$2,Inputs!$D$2:$AG$2,0)),Inputs!$B$4:$B$150,$B24)/1000)</f>
        <v>0</v>
      </c>
      <c r="AB24" s="12">
        <f>IF(AA24="","",AA24)</f>
        <v>0</v>
      </c>
      <c r="AC24" s="11">
        <f>IF(AC$3=0,"",SUMIFS(INDEX(Inputs!$D$4:$AG$150,0,MATCH(AC$2,Inputs!$D$2:$AG$2,0)),Inputs!$B$4:$B$150,$B24)/1000)</f>
        <v>0</v>
      </c>
      <c r="AD24" s="11">
        <f>IF(AD$3=0,"",SUMIFS(INDEX(Inputs!$D$4:$AG$150,0,MATCH(AD$2,Inputs!$D$2:$AG$2,0)),Inputs!$B$4:$B$150,$B24)/1000)</f>
        <v>0</v>
      </c>
      <c r="AE24" s="11" t="str">
        <f>IF(AE$3=0,"",SUMIFS(INDEX(Inputs!$D$4:$AG$150,0,MATCH(AE$2,Inputs!$D$2:$AG$2,0)),Inputs!$B$4:$B$150,$B24)/1000)</f>
        <v/>
      </c>
      <c r="AF24" s="11" t="str">
        <f>IF(AF$3=0,"",SUMIFS(INDEX(Inputs!$D$4:$AG$150,0,MATCH(AF$2,Inputs!$D$2:$AG$2,0)),Inputs!$B$4:$B$150,$B24)/1000)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IF(D$3=0,"",SUMIFS(INDEX(Inputs!$D$4:$AG$150,0,MATCH(D$2,Inputs!$D$2:$AG$2,0)),Inputs!$B$4:$B$150,$B25)/1000)</f>
        <v>0</v>
      </c>
      <c r="E25" s="11">
        <f>IF(E$3=0,"",SUMIFS(INDEX(Inputs!$D$4:$AG$150,0,MATCH(E$2,Inputs!$D$2:$AG$2,0)),Inputs!$B$4:$B$150,$B25)/1000)</f>
        <v>0</v>
      </c>
      <c r="F25" s="11">
        <f>IF(F$3=0,"",SUMIFS(INDEX(Inputs!$D$4:$AG$150,0,MATCH(F$2,Inputs!$D$2:$AG$2,0)),Inputs!$B$4:$B$150,$B25)/1000)</f>
        <v>0</v>
      </c>
      <c r="G25" s="11">
        <f>IF(G$3=0,"",SUMIFS(INDEX(Inputs!$D$4:$AG$150,0,MATCH(G$2,Inputs!$D$2:$AG$2,0)),Inputs!$B$4:$B$150,$B25)/1000)</f>
        <v>0</v>
      </c>
      <c r="H25" s="12">
        <f>IF(G25="","",G25)</f>
        <v>0</v>
      </c>
      <c r="I25" s="11">
        <f>IF(I$3=0,"",SUMIFS(INDEX(Inputs!$D$4:$AG$150,0,MATCH(I$2,Inputs!$D$2:$AG$2,0)),Inputs!$B$4:$B$150,$B25)/1000)</f>
        <v>0</v>
      </c>
      <c r="J25" s="11">
        <f>IF(J$3=0,"",SUMIFS(INDEX(Inputs!$D$4:$AG$150,0,MATCH(J$2,Inputs!$D$2:$AG$2,0)),Inputs!$B$4:$B$150,$B25)/1000)</f>
        <v>0</v>
      </c>
      <c r="K25" s="11">
        <f>IF(K$3=0,"",SUMIFS(INDEX(Inputs!$D$4:$AG$150,0,MATCH(K$2,Inputs!$D$2:$AG$2,0)),Inputs!$B$4:$B$150,$B25)/1000)</f>
        <v>0</v>
      </c>
      <c r="L25" s="11">
        <f>IF(L$3=0,"",SUMIFS(INDEX(Inputs!$D$4:$AG$150,0,MATCH(L$2,Inputs!$D$2:$AG$2,0)),Inputs!$B$4:$B$150,$B25)/1000)</f>
        <v>0</v>
      </c>
      <c r="M25" s="12">
        <f>IF(L25="","",L25)</f>
        <v>0</v>
      </c>
      <c r="N25" s="11">
        <f>IF(N$3=0,"",SUMIFS(INDEX(Inputs!$D$4:$AG$150,0,MATCH(N$2,Inputs!$D$2:$AG$2,0)),Inputs!$B$4:$B$150,$B25)/1000)</f>
        <v>0</v>
      </c>
      <c r="O25" s="11">
        <f>IF(O$3=0,"",SUMIFS(INDEX(Inputs!$D$4:$AG$150,0,MATCH(O$2,Inputs!$D$2:$AG$2,0)),Inputs!$B$4:$B$150,$B25)/1000)</f>
        <v>0</v>
      </c>
      <c r="P25" s="11">
        <f>IF(P$3=0,"",SUMIFS(INDEX(Inputs!$D$4:$AG$150,0,MATCH(P$2,Inputs!$D$2:$AG$2,0)),Inputs!$B$4:$B$150,$B25)/1000)</f>
        <v>0</v>
      </c>
      <c r="Q25" s="11">
        <f>IF(Q$3=0,"",SUMIFS(INDEX(Inputs!$D$4:$AG$150,0,MATCH(Q$2,Inputs!$D$2:$AG$2,0)),Inputs!$B$4:$B$150,$B25)/1000)</f>
        <v>0</v>
      </c>
      <c r="R25" s="12">
        <f>IF(Q25="","",Q25)</f>
        <v>0</v>
      </c>
      <c r="S25" s="11">
        <f>IF(S$3=0,"",SUMIFS(INDEX(Inputs!$D$4:$AG$150,0,MATCH(S$2,Inputs!$D$2:$AG$2,0)),Inputs!$B$4:$B$150,$B25)/1000)</f>
        <v>0</v>
      </c>
      <c r="T25" s="11">
        <f>IF(T$3=0,"",SUMIFS(INDEX(Inputs!$D$4:$AG$150,0,MATCH(T$2,Inputs!$D$2:$AG$2,0)),Inputs!$B$4:$B$150,$B25)/1000)</f>
        <v>0</v>
      </c>
      <c r="U25" s="11">
        <f>IF(U$3=0,"",SUMIFS(INDEX(Inputs!$D$4:$AG$150,0,MATCH(U$2,Inputs!$D$2:$AG$2,0)),Inputs!$B$4:$B$150,$B25)/1000)</f>
        <v>0</v>
      </c>
      <c r="V25" s="11">
        <f>IF(V$3=0,"",SUMIFS(INDEX(Inputs!$D$4:$AG$150,0,MATCH(V$2,Inputs!$D$2:$AG$2,0)),Inputs!$B$4:$B$150,$B25)/1000)</f>
        <v>0</v>
      </c>
      <c r="W25" s="12">
        <f>IF(V25="","",V25)</f>
        <v>0</v>
      </c>
      <c r="X25" s="11">
        <f>IF(X$3=0,"",SUMIFS(INDEX(Inputs!$D$4:$AG$150,0,MATCH(X$2,Inputs!$D$2:$AG$2,0)),Inputs!$B$4:$B$150,$B25)/1000)</f>
        <v>0</v>
      </c>
      <c r="Y25" s="11">
        <f>IF(Y$3=0,"",SUMIFS(INDEX(Inputs!$D$4:$AG$150,0,MATCH(Y$2,Inputs!$D$2:$AG$2,0)),Inputs!$B$4:$B$150,$B25)/1000)</f>
        <v>0</v>
      </c>
      <c r="Z25" s="11">
        <f>IF(Z$3=0,"",SUMIFS(INDEX(Inputs!$D$4:$AG$150,0,MATCH(Z$2,Inputs!$D$2:$AG$2,0)),Inputs!$B$4:$B$150,$B25)/1000)</f>
        <v>0</v>
      </c>
      <c r="AA25" s="11">
        <f>IF(AA$3=0,"",SUMIFS(INDEX(Inputs!$D$4:$AG$150,0,MATCH(AA$2,Inputs!$D$2:$AG$2,0)),Inputs!$B$4:$B$150,$B25)/1000)</f>
        <v>0</v>
      </c>
      <c r="AB25" s="12">
        <f>IF(AA25="","",AA25)</f>
        <v>0</v>
      </c>
      <c r="AC25" s="11">
        <f>IF(AC$3=0,"",SUMIFS(INDEX(Inputs!$D$4:$AG$150,0,MATCH(AC$2,Inputs!$D$2:$AG$2,0)),Inputs!$B$4:$B$150,$B25)/1000)</f>
        <v>0</v>
      </c>
      <c r="AD25" s="11">
        <f>IF(AD$3=0,"",SUMIFS(INDEX(Inputs!$D$4:$AG$150,0,MATCH(AD$2,Inputs!$D$2:$AG$2,0)),Inputs!$B$4:$B$150,$B25)/1000)</f>
        <v>0</v>
      </c>
      <c r="AE25" s="11" t="str">
        <f>IF(AE$3=0,"",SUMIFS(INDEX(Inputs!$D$4:$AG$150,0,MATCH(AE$2,Inputs!$D$2:$AG$2,0)),Inputs!$B$4:$B$150,$B25)/1000)</f>
        <v/>
      </c>
      <c r="AF25" s="11" t="str">
        <f>IF(AF$3=0,"",SUMIFS(INDEX(Inputs!$D$4:$AG$150,0,MATCH(AF$2,Inputs!$D$2:$AG$2,0)),Inputs!$B$4:$B$150,$B25)/1000)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IF(D$3=0,"",SUMIFS(INDEX(Inputs!$D$4:$AG$150,0,MATCH(D$2,Inputs!$D$2:$AG$2,0)),Inputs!$B$4:$B$150,$B26)/1000)</f>
        <v>3192</v>
      </c>
      <c r="E26" s="11">
        <f>IF(E$3=0,"",SUMIFS(INDEX(Inputs!$D$4:$AG$150,0,MATCH(E$2,Inputs!$D$2:$AG$2,0)),Inputs!$B$4:$B$150,$B26)/1000)</f>
        <v>3306</v>
      </c>
      <c r="F26" s="11">
        <f>IF(F$3=0,"",SUMIFS(INDEX(Inputs!$D$4:$AG$150,0,MATCH(F$2,Inputs!$D$2:$AG$2,0)),Inputs!$B$4:$B$150,$B26)/1000)</f>
        <v>3381</v>
      </c>
      <c r="G26" s="11">
        <f>IF(G$3=0,"",SUMIFS(INDEX(Inputs!$D$4:$AG$150,0,MATCH(G$2,Inputs!$D$2:$AG$2,0)),Inputs!$B$4:$B$150,$B26)/1000)</f>
        <v>3509</v>
      </c>
      <c r="H26" s="12">
        <f>IF(G26="","",G26)</f>
        <v>3509</v>
      </c>
      <c r="I26" s="11">
        <f>IF(I$3=0,"",SUMIFS(INDEX(Inputs!$D$4:$AG$150,0,MATCH(I$2,Inputs!$D$2:$AG$2,0)),Inputs!$B$4:$B$150,$B26)/1000)</f>
        <v>3621</v>
      </c>
      <c r="J26" s="11">
        <f>IF(J$3=0,"",SUMIFS(INDEX(Inputs!$D$4:$AG$150,0,MATCH(J$2,Inputs!$D$2:$AG$2,0)),Inputs!$B$4:$B$150,$B26)/1000)</f>
        <v>3970</v>
      </c>
      <c r="K26" s="11">
        <f>IF(K$3=0,"",SUMIFS(INDEX(Inputs!$D$4:$AG$150,0,MATCH(K$2,Inputs!$D$2:$AG$2,0)),Inputs!$B$4:$B$150,$B26)/1000)</f>
        <v>4050</v>
      </c>
      <c r="L26" s="11">
        <f>IF(L$3=0,"",SUMIFS(INDEX(Inputs!$D$4:$AG$150,0,MATCH(L$2,Inputs!$D$2:$AG$2,0)),Inputs!$B$4:$B$150,$B26)/1000)</f>
        <v>3946</v>
      </c>
      <c r="M26" s="12">
        <f>IF(L26="","",L26)</f>
        <v>3946</v>
      </c>
      <c r="N26" s="11">
        <f>IF(N$3=0,"",SUMIFS(INDEX(Inputs!$D$4:$AG$150,0,MATCH(N$2,Inputs!$D$2:$AG$2,0)),Inputs!$B$4:$B$150,$B26)/1000)</f>
        <v>3935</v>
      </c>
      <c r="O26" s="11">
        <f>IF(O$3=0,"",SUMIFS(INDEX(Inputs!$D$4:$AG$150,0,MATCH(O$2,Inputs!$D$2:$AG$2,0)),Inputs!$B$4:$B$150,$B26)/1000)</f>
        <v>3726</v>
      </c>
      <c r="P26" s="11">
        <f>IF(P$3=0,"",SUMIFS(INDEX(Inputs!$D$4:$AG$150,0,MATCH(P$2,Inputs!$D$2:$AG$2,0)),Inputs!$B$4:$B$150,$B26)/1000)</f>
        <v>3718</v>
      </c>
      <c r="Q26" s="11">
        <f>IF(Q$3=0,"",SUMIFS(INDEX(Inputs!$D$4:$AG$150,0,MATCH(Q$2,Inputs!$D$2:$AG$2,0)),Inputs!$B$4:$B$150,$B26)/1000)</f>
        <v>3803</v>
      </c>
      <c r="R26" s="12">
        <f>IF(Q26="","",Q26)</f>
        <v>3803</v>
      </c>
      <c r="S26" s="11">
        <f>IF(S$3=0,"",SUMIFS(INDEX(Inputs!$D$4:$AG$150,0,MATCH(S$2,Inputs!$D$2:$AG$2,0)),Inputs!$B$4:$B$150,$B26)/1000)</f>
        <v>3836</v>
      </c>
      <c r="T26" s="11">
        <f>IF(T$3=0,"",SUMIFS(INDEX(Inputs!$D$4:$AG$150,0,MATCH(T$2,Inputs!$D$2:$AG$2,0)),Inputs!$B$4:$B$150,$B26)/1000)</f>
        <v>3918</v>
      </c>
      <c r="U26" s="11">
        <f>IF(U$3=0,"",SUMIFS(INDEX(Inputs!$D$4:$AG$150,0,MATCH(U$2,Inputs!$D$2:$AG$2,0)),Inputs!$B$4:$B$150,$B26)/1000)</f>
        <v>3936</v>
      </c>
      <c r="V26" s="11">
        <f>IF(V$3=0,"",SUMIFS(INDEX(Inputs!$D$4:$AG$150,0,MATCH(V$2,Inputs!$D$2:$AG$2,0)),Inputs!$B$4:$B$150,$B26)/1000)</f>
        <v>3988</v>
      </c>
      <c r="W26" s="12">
        <f>IF(V26="","",V26)</f>
        <v>3988</v>
      </c>
      <c r="X26" s="11">
        <f>IF(X$3=0,"",SUMIFS(INDEX(Inputs!$D$4:$AG$150,0,MATCH(X$2,Inputs!$D$2:$AG$2,0)),Inputs!$B$4:$B$150,$B26)/1000)</f>
        <v>3987</v>
      </c>
      <c r="Y26" s="11">
        <f>IF(Y$3=0,"",SUMIFS(INDEX(Inputs!$D$4:$AG$150,0,MATCH(Y$2,Inputs!$D$2:$AG$2,0)),Inputs!$B$4:$B$150,$B26)/1000)</f>
        <v>4031</v>
      </c>
      <c r="Z26" s="11">
        <f>IF(Z$3=0,"",SUMIFS(INDEX(Inputs!$D$4:$AG$150,0,MATCH(Z$2,Inputs!$D$2:$AG$2,0)),Inputs!$B$4:$B$150,$B26)/1000)</f>
        <v>4085</v>
      </c>
      <c r="AA26" s="11">
        <f>IF(AA$3=0,"",SUMIFS(INDEX(Inputs!$D$4:$AG$150,0,MATCH(AA$2,Inputs!$D$2:$AG$2,0)),Inputs!$B$4:$B$150,$B26)/1000)</f>
        <v>4033</v>
      </c>
      <c r="AB26" s="12">
        <f>IF(AA26="","",AA26)</f>
        <v>4033</v>
      </c>
      <c r="AC26" s="11">
        <f>IF(AC$3=0,"",SUMIFS(INDEX(Inputs!$D$4:$AG$150,0,MATCH(AC$2,Inputs!$D$2:$AG$2,0)),Inputs!$B$4:$B$150,$B26)/1000)</f>
        <v>4102</v>
      </c>
      <c r="AD26" s="11">
        <f>IF(AD$3=0,"",SUMIFS(INDEX(Inputs!$D$4:$AG$150,0,MATCH(AD$2,Inputs!$D$2:$AG$2,0)),Inputs!$B$4:$B$150,$B26)/1000)</f>
        <v>4213</v>
      </c>
      <c r="AE26" s="11" t="str">
        <f>IF(AE$3=0,"",SUMIFS(INDEX(Inputs!$D$4:$AG$150,0,MATCH(AE$2,Inputs!$D$2:$AG$2,0)),Inputs!$B$4:$B$150,$B26)/1000)</f>
        <v/>
      </c>
      <c r="AF26" s="11" t="str">
        <f>IF(AF$3=0,"",SUMIFS(INDEX(Inputs!$D$4:$AG$150,0,MATCH(AF$2,Inputs!$D$2:$AG$2,0)),Inputs!$B$4:$B$150,$B26)/1000)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IF(D$3=0,"",SUMIFS(INDEX(Inputs!$D$4:$AG$150,0,MATCH(D$2,Inputs!$D$2:$AG$2,0)),Inputs!$B$4:$B$150,$B28)/1000)</f>
        <v>14383</v>
      </c>
      <c r="E28" s="11">
        <f>IF(E$3=0,"",SUMIFS(INDEX(Inputs!$D$4:$AG$150,0,MATCH(E$2,Inputs!$D$2:$AG$2,0)),Inputs!$B$4:$B$150,$B28)/1000)</f>
        <v>15538</v>
      </c>
      <c r="F28" s="11">
        <f>IF(F$3=0,"",SUMIFS(INDEX(Inputs!$D$4:$AG$150,0,MATCH(F$2,Inputs!$D$2:$AG$2,0)),Inputs!$B$4:$B$150,$B28)/1000)</f>
        <v>16278</v>
      </c>
      <c r="G28" s="11">
        <f>IF(G$3=0,"",SUMIFS(INDEX(Inputs!$D$4:$AG$150,0,MATCH(G$2,Inputs!$D$2:$AG$2,0)),Inputs!$B$4:$B$150,$B28)/1000)</f>
        <v>19561</v>
      </c>
      <c r="H28" s="12">
        <f>IF(G28="","",G28)</f>
        <v>19561</v>
      </c>
      <c r="I28" s="11">
        <f>IF(I$3=0,"",SUMIFS(INDEX(Inputs!$D$4:$AG$150,0,MATCH(I$2,Inputs!$D$2:$AG$2,0)),Inputs!$B$4:$B$150,$B28)/1000)</f>
        <v>17089</v>
      </c>
      <c r="J28" s="11">
        <f>IF(J$3=0,"",SUMIFS(INDEX(Inputs!$D$4:$AG$150,0,MATCH(J$2,Inputs!$D$2:$AG$2,0)),Inputs!$B$4:$B$150,$B28)/1000)</f>
        <v>17651</v>
      </c>
      <c r="K28" s="11">
        <f>IF(K$3=0,"",SUMIFS(INDEX(Inputs!$D$4:$AG$150,0,MATCH(K$2,Inputs!$D$2:$AG$2,0)),Inputs!$B$4:$B$150,$B28)/1000)</f>
        <v>17848</v>
      </c>
      <c r="L28" s="11">
        <f>IF(L$3=0,"",SUMIFS(INDEX(Inputs!$D$4:$AG$150,0,MATCH(L$2,Inputs!$D$2:$AG$2,0)),Inputs!$B$4:$B$150,$B28)/1000)</f>
        <v>18348</v>
      </c>
      <c r="M28" s="12">
        <f>IF(L28="","",L28)</f>
        <v>18348</v>
      </c>
      <c r="N28" s="11">
        <f>IF(N$3=0,"",SUMIFS(INDEX(Inputs!$D$4:$AG$150,0,MATCH(N$2,Inputs!$D$2:$AG$2,0)),Inputs!$B$4:$B$150,$B28)/1000)</f>
        <v>16407</v>
      </c>
      <c r="O28" s="11">
        <f>IF(O$3=0,"",SUMIFS(INDEX(Inputs!$D$4:$AG$150,0,MATCH(O$2,Inputs!$D$2:$AG$2,0)),Inputs!$B$4:$B$150,$B28)/1000)</f>
        <v>16853</v>
      </c>
      <c r="P28" s="11">
        <f>IF(P$3=0,"",SUMIFS(INDEX(Inputs!$D$4:$AG$150,0,MATCH(P$2,Inputs!$D$2:$AG$2,0)),Inputs!$B$4:$B$150,$B28)/1000)</f>
        <v>17483</v>
      </c>
      <c r="Q28" s="11">
        <f>IF(Q$3=0,"",SUMIFS(INDEX(Inputs!$D$4:$AG$150,0,MATCH(Q$2,Inputs!$D$2:$AG$2,0)),Inputs!$B$4:$B$150,$B28)/1000)</f>
        <v>20357</v>
      </c>
      <c r="R28" s="12">
        <f>IF(Q28="","",Q28)</f>
        <v>20357</v>
      </c>
      <c r="S28" s="11">
        <f>IF(S$3=0,"",SUMIFS(INDEX(Inputs!$D$4:$AG$150,0,MATCH(S$2,Inputs!$D$2:$AG$2,0)),Inputs!$B$4:$B$150,$B28)/1000)</f>
        <v>17494</v>
      </c>
      <c r="T28" s="11">
        <f>IF(T$3=0,"",SUMIFS(INDEX(Inputs!$D$4:$AG$150,0,MATCH(T$2,Inputs!$D$2:$AG$2,0)),Inputs!$B$4:$B$150,$B28)/1000)</f>
        <v>18844</v>
      </c>
      <c r="U28" s="11">
        <f>IF(U$3=0,"",SUMIFS(INDEX(Inputs!$D$4:$AG$150,0,MATCH(U$2,Inputs!$D$2:$AG$2,0)),Inputs!$B$4:$B$150,$B28)/1000)</f>
        <v>19421</v>
      </c>
      <c r="V28" s="11">
        <f>IF(V$3=0,"",SUMIFS(INDEX(Inputs!$D$4:$AG$150,0,MATCH(V$2,Inputs!$D$2:$AG$2,0)),Inputs!$B$4:$B$150,$B28)/1000)</f>
        <v>21793</v>
      </c>
      <c r="W28" s="12">
        <f>IF(V28="","",V28)</f>
        <v>21793</v>
      </c>
      <c r="X28" s="11">
        <f>IF(X$3=0,"",SUMIFS(INDEX(Inputs!$D$4:$AG$150,0,MATCH(X$2,Inputs!$D$2:$AG$2,0)),Inputs!$B$4:$B$150,$B28)/1000)</f>
        <v>18610</v>
      </c>
      <c r="Y28" s="11">
        <f>IF(Y$3=0,"",SUMIFS(INDEX(Inputs!$D$4:$AG$150,0,MATCH(Y$2,Inputs!$D$2:$AG$2,0)),Inputs!$B$4:$B$150,$B28)/1000)</f>
        <v>19820</v>
      </c>
      <c r="Z28" s="11">
        <f>IF(Z$3=0,"",SUMIFS(INDEX(Inputs!$D$4:$AG$150,0,MATCH(Z$2,Inputs!$D$2:$AG$2,0)),Inputs!$B$4:$B$150,$B28)/1000)</f>
        <v>19783</v>
      </c>
      <c r="AA28" s="11">
        <f>IF(AA$3=0,"",SUMIFS(INDEX(Inputs!$D$4:$AG$150,0,MATCH(AA$2,Inputs!$D$2:$AG$2,0)),Inputs!$B$4:$B$150,$B28)/1000)</f>
        <v>23513</v>
      </c>
      <c r="AB28" s="12">
        <f>IF(AA28="","",AA28)</f>
        <v>23513</v>
      </c>
      <c r="AC28" s="11">
        <f>IF(AC$3=0,"",SUMIFS(INDEX(Inputs!$D$4:$AG$150,0,MATCH(AC$2,Inputs!$D$2:$AG$2,0)),Inputs!$B$4:$B$150,$B28)/1000)</f>
        <v>20647</v>
      </c>
      <c r="AD28" s="11">
        <f>IF(AD$3=0,"",SUMIFS(INDEX(Inputs!$D$4:$AG$150,0,MATCH(AD$2,Inputs!$D$2:$AG$2,0)),Inputs!$B$4:$B$150,$B28)/1000)</f>
        <v>22363</v>
      </c>
      <c r="AE28" s="11" t="str">
        <f>IF(AE$3=0,"",SUMIFS(INDEX(Inputs!$D$4:$AG$150,0,MATCH(AE$2,Inputs!$D$2:$AG$2,0)),Inputs!$B$4:$B$150,$B28)/1000)</f>
        <v/>
      </c>
      <c r="AF28" s="11" t="str">
        <f>IF(AF$3=0,"",SUMIFS(INDEX(Inputs!$D$4:$AG$150,0,MATCH(AF$2,Inputs!$D$2:$AG$2,0)),Inputs!$B$4:$B$150,$B28)/1000)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IF(D$3=0,"",SUMIFS(INDEX(Inputs!$D$4:$AG$150,0,MATCH(D$2,Inputs!$D$2:$AG$2,0)),Inputs!$B$4:$B$150,$B29)/1000)</f>
        <v>5673</v>
      </c>
      <c r="E29" s="11">
        <f>IF(E$3=0,"",SUMIFS(INDEX(Inputs!$D$4:$AG$150,0,MATCH(E$2,Inputs!$D$2:$AG$2,0)),Inputs!$B$4:$B$150,$B29)/1000)</f>
        <v>5443</v>
      </c>
      <c r="F29" s="11">
        <f>IF(F$3=0,"",SUMIFS(INDEX(Inputs!$D$4:$AG$150,0,MATCH(F$2,Inputs!$D$2:$AG$2,0)),Inputs!$B$4:$B$150,$B29)/1000)</f>
        <v>5761</v>
      </c>
      <c r="G29" s="11">
        <f>IF(G$3=0,"",SUMIFS(INDEX(Inputs!$D$4:$AG$150,0,MATCH(G$2,Inputs!$D$2:$AG$2,0)),Inputs!$B$4:$B$150,$B29)/1000)</f>
        <v>5711</v>
      </c>
      <c r="H29" s="12">
        <f>IF(G29="","",G29)</f>
        <v>5711</v>
      </c>
      <c r="I29" s="11">
        <f>IF(I$3=0,"",SUMIFS(INDEX(Inputs!$D$4:$AG$150,0,MATCH(I$2,Inputs!$D$2:$AG$2,0)),Inputs!$B$4:$B$150,$B29)/1000)</f>
        <v>6145</v>
      </c>
      <c r="J29" s="11">
        <f>IF(J$3=0,"",SUMIFS(INDEX(Inputs!$D$4:$AG$150,0,MATCH(J$2,Inputs!$D$2:$AG$2,0)),Inputs!$B$4:$B$150,$B29)/1000)</f>
        <v>5918</v>
      </c>
      <c r="K29" s="11">
        <f>IF(K$3=0,"",SUMIFS(INDEX(Inputs!$D$4:$AG$150,0,MATCH(K$2,Inputs!$D$2:$AG$2,0)),Inputs!$B$4:$B$150,$B29)/1000)</f>
        <v>6292</v>
      </c>
      <c r="L29" s="11">
        <f>IF(L$3=0,"",SUMIFS(INDEX(Inputs!$D$4:$AG$150,0,MATCH(L$2,Inputs!$D$2:$AG$2,0)),Inputs!$B$4:$B$150,$B29)/1000)</f>
        <v>6276</v>
      </c>
      <c r="M29" s="12">
        <f>IF(L29="","",L29)</f>
        <v>6276</v>
      </c>
      <c r="N29" s="11">
        <f>IF(N$3=0,"",SUMIFS(INDEX(Inputs!$D$4:$AG$150,0,MATCH(N$2,Inputs!$D$2:$AG$2,0)),Inputs!$B$4:$B$150,$B29)/1000)</f>
        <v>6499</v>
      </c>
      <c r="O29" s="11">
        <f>IF(O$3=0,"",SUMIFS(INDEX(Inputs!$D$4:$AG$150,0,MATCH(O$2,Inputs!$D$2:$AG$2,0)),Inputs!$B$4:$B$150,$B29)/1000)</f>
        <v>6193</v>
      </c>
      <c r="P29" s="11">
        <f>IF(P$3=0,"",SUMIFS(INDEX(Inputs!$D$4:$AG$150,0,MATCH(P$2,Inputs!$D$2:$AG$2,0)),Inputs!$B$4:$B$150,$B29)/1000)</f>
        <v>6428</v>
      </c>
      <c r="Q29" s="11">
        <f>IF(Q$3=0,"",SUMIFS(INDEX(Inputs!$D$4:$AG$150,0,MATCH(Q$2,Inputs!$D$2:$AG$2,0)),Inputs!$B$4:$B$150,$B29)/1000)</f>
        <v>6681</v>
      </c>
      <c r="R29" s="12">
        <f>IF(Q29="","",Q29)</f>
        <v>6681</v>
      </c>
      <c r="S29" s="11">
        <f>IF(S$3=0,"",SUMIFS(INDEX(Inputs!$D$4:$AG$150,0,MATCH(S$2,Inputs!$D$2:$AG$2,0)),Inputs!$B$4:$B$150,$B29)/1000)</f>
        <v>7069</v>
      </c>
      <c r="T29" s="11">
        <f>IF(T$3=0,"",SUMIFS(INDEX(Inputs!$D$4:$AG$150,0,MATCH(T$2,Inputs!$D$2:$AG$2,0)),Inputs!$B$4:$B$150,$B29)/1000)</f>
        <v>6704</v>
      </c>
      <c r="U29" s="11">
        <f>IF(U$3=0,"",SUMIFS(INDEX(Inputs!$D$4:$AG$150,0,MATCH(U$2,Inputs!$D$2:$AG$2,0)),Inputs!$B$4:$B$150,$B29)/1000)</f>
        <v>7229</v>
      </c>
      <c r="V29" s="11">
        <f>IF(V$3=0,"",SUMIFS(INDEX(Inputs!$D$4:$AG$150,0,MATCH(V$2,Inputs!$D$2:$AG$2,0)),Inputs!$B$4:$B$150,$B29)/1000)</f>
        <v>7229</v>
      </c>
      <c r="W29" s="12">
        <f>IF(V29="","",V29)</f>
        <v>7229</v>
      </c>
      <c r="X29" s="11">
        <f>IF(X$3=0,"",SUMIFS(INDEX(Inputs!$D$4:$AG$150,0,MATCH(X$2,Inputs!$D$2:$AG$2,0)),Inputs!$B$4:$B$150,$B29)/1000)</f>
        <v>7641</v>
      </c>
      <c r="Y29" s="11">
        <f>IF(Y$3=0,"",SUMIFS(INDEX(Inputs!$D$4:$AG$150,0,MATCH(Y$2,Inputs!$D$2:$AG$2,0)),Inputs!$B$4:$B$150,$B29)/1000)</f>
        <v>7396</v>
      </c>
      <c r="Z29" s="11">
        <f>IF(Z$3=0,"",SUMIFS(INDEX(Inputs!$D$4:$AG$150,0,MATCH(Z$2,Inputs!$D$2:$AG$2,0)),Inputs!$B$4:$B$150,$B29)/1000)</f>
        <v>7882</v>
      </c>
      <c r="AA29" s="11">
        <f>IF(AA$3=0,"",SUMIFS(INDEX(Inputs!$D$4:$AG$150,0,MATCH(AA$2,Inputs!$D$2:$AG$2,0)),Inputs!$B$4:$B$150,$B29)/1000)</f>
        <v>7884</v>
      </c>
      <c r="AB29" s="12">
        <f>IF(AA29="","",AA29)</f>
        <v>7884</v>
      </c>
      <c r="AC29" s="11">
        <f>IF(AC$3=0,"",SUMIFS(INDEX(Inputs!$D$4:$AG$150,0,MATCH(AC$2,Inputs!$D$2:$AG$2,0)),Inputs!$B$4:$B$150,$B29)/1000)</f>
        <v>8468</v>
      </c>
      <c r="AD29" s="11">
        <f>IF(AD$3=0,"",SUMIFS(INDEX(Inputs!$D$4:$AG$150,0,MATCH(AD$2,Inputs!$D$2:$AG$2,0)),Inputs!$B$4:$B$150,$B29)/1000)</f>
        <v>8166</v>
      </c>
      <c r="AE29" s="11" t="str">
        <f>IF(AE$3=0,"",SUMIFS(INDEX(Inputs!$D$4:$AG$150,0,MATCH(AE$2,Inputs!$D$2:$AG$2,0)),Inputs!$B$4:$B$150,$B29)/1000)</f>
        <v/>
      </c>
      <c r="AF29" s="11" t="str">
        <f>IF(AF$3=0,"",SUMIFS(INDEX(Inputs!$D$4:$AG$150,0,MATCH(AF$2,Inputs!$D$2:$AG$2,0)),Inputs!$B$4:$B$150,$B29)/1000)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IF(D$3=0,"",SUMIFS(INDEX(Inputs!$D$4:$AG$150,0,MATCH(D$2,Inputs!$D$2:$AG$2,0)),Inputs!$B$4:$B$150,$B30)/1000)</f>
        <v>0</v>
      </c>
      <c r="E30" s="11">
        <f>IF(E$3=0,"",SUMIFS(INDEX(Inputs!$D$4:$AG$150,0,MATCH(E$2,Inputs!$D$2:$AG$2,0)),Inputs!$B$4:$B$150,$B30)/1000)</f>
        <v>0</v>
      </c>
      <c r="F30" s="11">
        <f>IF(F$3=0,"",SUMIFS(INDEX(Inputs!$D$4:$AG$150,0,MATCH(F$2,Inputs!$D$2:$AG$2,0)),Inputs!$B$4:$B$150,$B30)/1000)</f>
        <v>0</v>
      </c>
      <c r="G30" s="11">
        <f>IF(G$3=0,"",SUMIFS(INDEX(Inputs!$D$4:$AG$150,0,MATCH(G$2,Inputs!$D$2:$AG$2,0)),Inputs!$B$4:$B$150,$B30)/1000)</f>
        <v>0</v>
      </c>
      <c r="H30" s="12">
        <f>IF(G30="","",G30)</f>
        <v>0</v>
      </c>
      <c r="I30" s="11">
        <f>IF(I$3=0,"",SUMIFS(INDEX(Inputs!$D$4:$AG$150,0,MATCH(I$2,Inputs!$D$2:$AG$2,0)),Inputs!$B$4:$B$150,$B30)/1000)</f>
        <v>0</v>
      </c>
      <c r="J30" s="11">
        <f>IF(J$3=0,"",SUMIFS(INDEX(Inputs!$D$4:$AG$150,0,MATCH(J$2,Inputs!$D$2:$AG$2,0)),Inputs!$B$4:$B$150,$B30)/1000)</f>
        <v>0</v>
      </c>
      <c r="K30" s="11">
        <f>IF(K$3=0,"",SUMIFS(INDEX(Inputs!$D$4:$AG$150,0,MATCH(K$2,Inputs!$D$2:$AG$2,0)),Inputs!$B$4:$B$150,$B30)/1000)</f>
        <v>0</v>
      </c>
      <c r="L30" s="11">
        <f>IF(L$3=0,"",SUMIFS(INDEX(Inputs!$D$4:$AG$150,0,MATCH(L$2,Inputs!$D$2:$AG$2,0)),Inputs!$B$4:$B$150,$B30)/1000)</f>
        <v>0</v>
      </c>
      <c r="M30" s="12">
        <f>IF(L30="","",L30)</f>
        <v>0</v>
      </c>
      <c r="N30" s="11">
        <f>IF(N$3=0,"",SUMIFS(INDEX(Inputs!$D$4:$AG$150,0,MATCH(N$2,Inputs!$D$2:$AG$2,0)),Inputs!$B$4:$B$150,$B30)/1000)</f>
        <v>0</v>
      </c>
      <c r="O30" s="11">
        <f>IF(O$3=0,"",SUMIFS(INDEX(Inputs!$D$4:$AG$150,0,MATCH(O$2,Inputs!$D$2:$AG$2,0)),Inputs!$B$4:$B$150,$B30)/1000)</f>
        <v>0</v>
      </c>
      <c r="P30" s="11">
        <f>IF(P$3=0,"",SUMIFS(INDEX(Inputs!$D$4:$AG$150,0,MATCH(P$2,Inputs!$D$2:$AG$2,0)),Inputs!$B$4:$B$150,$B30)/1000)</f>
        <v>0</v>
      </c>
      <c r="Q30" s="11">
        <f>IF(Q$3=0,"",SUMIFS(INDEX(Inputs!$D$4:$AG$150,0,MATCH(Q$2,Inputs!$D$2:$AG$2,0)),Inputs!$B$4:$B$150,$B30)/1000)</f>
        <v>0</v>
      </c>
      <c r="R30" s="12">
        <f>IF(Q30="","",Q30)</f>
        <v>0</v>
      </c>
      <c r="S30" s="11">
        <f>IF(S$3=0,"",SUMIFS(INDEX(Inputs!$D$4:$AG$150,0,MATCH(S$2,Inputs!$D$2:$AG$2,0)),Inputs!$B$4:$B$150,$B30)/1000)</f>
        <v>0</v>
      </c>
      <c r="T30" s="11">
        <f>IF(T$3=0,"",SUMIFS(INDEX(Inputs!$D$4:$AG$150,0,MATCH(T$2,Inputs!$D$2:$AG$2,0)),Inputs!$B$4:$B$150,$B30)/1000)</f>
        <v>0</v>
      </c>
      <c r="U30" s="11">
        <f>IF(U$3=0,"",SUMIFS(INDEX(Inputs!$D$4:$AG$150,0,MATCH(U$2,Inputs!$D$2:$AG$2,0)),Inputs!$B$4:$B$150,$B30)/1000)</f>
        <v>0</v>
      </c>
      <c r="V30" s="11">
        <f>IF(V$3=0,"",SUMIFS(INDEX(Inputs!$D$4:$AG$150,0,MATCH(V$2,Inputs!$D$2:$AG$2,0)),Inputs!$B$4:$B$150,$B30)/1000)</f>
        <v>0</v>
      </c>
      <c r="W30" s="12">
        <f>IF(V30="","",V30)</f>
        <v>0</v>
      </c>
      <c r="X30" s="11">
        <f>IF(X$3=0,"",SUMIFS(INDEX(Inputs!$D$4:$AG$150,0,MATCH(X$2,Inputs!$D$2:$AG$2,0)),Inputs!$B$4:$B$150,$B30)/1000)</f>
        <v>0</v>
      </c>
      <c r="Y30" s="11">
        <f>IF(Y$3=0,"",SUMIFS(INDEX(Inputs!$D$4:$AG$150,0,MATCH(Y$2,Inputs!$D$2:$AG$2,0)),Inputs!$B$4:$B$150,$B30)/1000)</f>
        <v>0</v>
      </c>
      <c r="Z30" s="11">
        <f>IF(Z$3=0,"",SUMIFS(INDEX(Inputs!$D$4:$AG$150,0,MATCH(Z$2,Inputs!$D$2:$AG$2,0)),Inputs!$B$4:$B$150,$B30)/1000)</f>
        <v>0</v>
      </c>
      <c r="AA30" s="11">
        <f>IF(AA$3=0,"",SUMIFS(INDEX(Inputs!$D$4:$AG$150,0,MATCH(AA$2,Inputs!$D$2:$AG$2,0)),Inputs!$B$4:$B$150,$B30)/1000)</f>
        <v>0</v>
      </c>
      <c r="AB30" s="12">
        <f>IF(AA30="","",AA30)</f>
        <v>0</v>
      </c>
      <c r="AC30" s="11">
        <f>IF(AC$3=0,"",SUMIFS(INDEX(Inputs!$D$4:$AG$150,0,MATCH(AC$2,Inputs!$D$2:$AG$2,0)),Inputs!$B$4:$B$150,$B30)/1000)</f>
        <v>0</v>
      </c>
      <c r="AD30" s="11">
        <f>IF(AD$3=0,"",SUMIFS(INDEX(Inputs!$D$4:$AG$150,0,MATCH(AD$2,Inputs!$D$2:$AG$2,0)),Inputs!$B$4:$B$150,$B30)/1000)</f>
        <v>0</v>
      </c>
      <c r="AE30" s="11" t="str">
        <f>IF(AE$3=0,"",SUMIFS(INDEX(Inputs!$D$4:$AG$150,0,MATCH(AE$2,Inputs!$D$2:$AG$2,0)),Inputs!$B$4:$B$150,$B30)/1000)</f>
        <v/>
      </c>
      <c r="AF30" s="11" t="str">
        <f>IF(AF$3=0,"",SUMIFS(INDEX(Inputs!$D$4:$AG$150,0,MATCH(AF$2,Inputs!$D$2:$AG$2,0)),Inputs!$B$4:$B$150,$B30)/1000)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IF(D$3=0,"",SUMIFS(INDEX(Inputs!$D$4:$AG$150,0,MATCH(D$2,Inputs!$D$2:$AG$2,0)),Inputs!$B$4:$B$150,$B31)/1000)</f>
        <v>6413</v>
      </c>
      <c r="E31" s="11">
        <f>IF(E$3=0,"",SUMIFS(INDEX(Inputs!$D$4:$AG$150,0,MATCH(E$2,Inputs!$D$2:$AG$2,0)),Inputs!$B$4:$B$150,$B31)/1000)</f>
        <v>6909</v>
      </c>
      <c r="F31" s="11">
        <f>IF(F$3=0,"",SUMIFS(INDEX(Inputs!$D$4:$AG$150,0,MATCH(F$2,Inputs!$D$2:$AG$2,0)),Inputs!$B$4:$B$150,$B31)/1000)</f>
        <v>6603</v>
      </c>
      <c r="G31" s="11">
        <f>IF(G$3=0,"",SUMIFS(INDEX(Inputs!$D$4:$AG$150,0,MATCH(G$2,Inputs!$D$2:$AG$2,0)),Inputs!$B$4:$B$150,$B31)/1000)</f>
        <v>7271</v>
      </c>
      <c r="H31" s="12">
        <f>IF(G31="","",G31)</f>
        <v>7271</v>
      </c>
      <c r="I31" s="11">
        <f>IF(I$3=0,"",SUMIFS(INDEX(Inputs!$D$4:$AG$150,0,MATCH(I$2,Inputs!$D$2:$AG$2,0)),Inputs!$B$4:$B$150,$B31)/1000)</f>
        <v>8311</v>
      </c>
      <c r="J31" s="11">
        <f>IF(J$3=0,"",SUMIFS(INDEX(Inputs!$D$4:$AG$150,0,MATCH(J$2,Inputs!$D$2:$AG$2,0)),Inputs!$B$4:$B$150,$B31)/1000)</f>
        <v>8199</v>
      </c>
      <c r="K31" s="11">
        <f>IF(K$3=0,"",SUMIFS(INDEX(Inputs!$D$4:$AG$150,0,MATCH(K$2,Inputs!$D$2:$AG$2,0)),Inputs!$B$4:$B$150,$B31)/1000)</f>
        <v>7785</v>
      </c>
      <c r="L31" s="11">
        <f>IF(L$3=0,"",SUMIFS(INDEX(Inputs!$D$4:$AG$150,0,MATCH(L$2,Inputs!$D$2:$AG$2,0)),Inputs!$B$4:$B$150,$B31)/1000)</f>
        <v>8372</v>
      </c>
      <c r="M31" s="12">
        <f>IF(L31="","",L31)</f>
        <v>8372</v>
      </c>
      <c r="N31" s="11">
        <f>IF(N$3=0,"",SUMIFS(INDEX(Inputs!$D$4:$AG$150,0,MATCH(N$2,Inputs!$D$2:$AG$2,0)),Inputs!$B$4:$B$150,$B31)/1000)</f>
        <v>9534</v>
      </c>
      <c r="O31" s="11">
        <f>IF(O$3=0,"",SUMIFS(INDEX(Inputs!$D$4:$AG$150,0,MATCH(O$2,Inputs!$D$2:$AG$2,0)),Inputs!$B$4:$B$150,$B31)/1000)</f>
        <v>8662</v>
      </c>
      <c r="P31" s="11">
        <f>IF(P$3=0,"",SUMIFS(INDEX(Inputs!$D$4:$AG$150,0,MATCH(P$2,Inputs!$D$2:$AG$2,0)),Inputs!$B$4:$B$150,$B31)/1000)</f>
        <v>8591</v>
      </c>
      <c r="Q31" s="11">
        <f>IF(Q$3=0,"",SUMIFS(INDEX(Inputs!$D$4:$AG$150,0,MATCH(Q$2,Inputs!$D$2:$AG$2,0)),Inputs!$B$4:$B$150,$B31)/1000)</f>
        <v>8650</v>
      </c>
      <c r="R31" s="12">
        <f>IF(Q31="","",Q31)</f>
        <v>8650</v>
      </c>
      <c r="S31" s="11">
        <f>IF(S$3=0,"",SUMIFS(INDEX(Inputs!$D$4:$AG$150,0,MATCH(S$2,Inputs!$D$2:$AG$2,0)),Inputs!$B$4:$B$150,$B31)/1000)</f>
        <v>9045</v>
      </c>
      <c r="T31" s="11">
        <f>IF(T$3=0,"",SUMIFS(INDEX(Inputs!$D$4:$AG$150,0,MATCH(T$2,Inputs!$D$2:$AG$2,0)),Inputs!$B$4:$B$150,$B31)/1000)</f>
        <v>8736</v>
      </c>
      <c r="U31" s="11">
        <f>IF(U$3=0,"",SUMIFS(INDEX(Inputs!$D$4:$AG$150,0,MATCH(U$2,Inputs!$D$2:$AG$2,0)),Inputs!$B$4:$B$150,$B31)/1000)</f>
        <v>8711</v>
      </c>
      <c r="V31" s="11">
        <f>IF(V$3=0,"",SUMIFS(INDEX(Inputs!$D$4:$AG$150,0,MATCH(V$2,Inputs!$D$2:$AG$2,0)),Inputs!$B$4:$B$150,$B31)/1000)</f>
        <v>9267</v>
      </c>
      <c r="W31" s="12">
        <f>IF(V31="","",V31)</f>
        <v>9267</v>
      </c>
      <c r="X31" s="11">
        <f>IF(X$3=0,"",SUMIFS(INDEX(Inputs!$D$4:$AG$150,0,MATCH(X$2,Inputs!$D$2:$AG$2,0)),Inputs!$B$4:$B$150,$B31)/1000)</f>
        <v>10748</v>
      </c>
      <c r="Y31" s="11">
        <f>IF(Y$3=0,"",SUMIFS(INDEX(Inputs!$D$4:$AG$150,0,MATCH(Y$2,Inputs!$D$2:$AG$2,0)),Inputs!$B$4:$B$150,$B31)/1000)</f>
        <v>10363</v>
      </c>
      <c r="Z31" s="11">
        <f>IF(Z$3=0,"",SUMIFS(INDEX(Inputs!$D$4:$AG$150,0,MATCH(Z$2,Inputs!$D$2:$AG$2,0)),Inputs!$B$4:$B$150,$B31)/1000)</f>
        <v>9443</v>
      </c>
      <c r="AA31" s="11">
        <f>IF(AA$3=0,"",SUMIFS(INDEX(Inputs!$D$4:$AG$150,0,MATCH(AA$2,Inputs!$D$2:$AG$2,0)),Inputs!$B$4:$B$150,$B31)/1000)</f>
        <v>10408</v>
      </c>
      <c r="AB31" s="12">
        <f>IF(AA31="","",AA31)</f>
        <v>10408</v>
      </c>
      <c r="AC31" s="11">
        <f>IF(AC$3=0,"",SUMIFS(INDEX(Inputs!$D$4:$AG$150,0,MATCH(AC$2,Inputs!$D$2:$AG$2,0)),Inputs!$B$4:$B$150,$B31)/1000)</f>
        <v>11648</v>
      </c>
      <c r="AD31" s="11">
        <f>IF(AD$3=0,"",SUMIFS(INDEX(Inputs!$D$4:$AG$150,0,MATCH(AD$2,Inputs!$D$2:$AG$2,0)),Inputs!$B$4:$B$150,$B31)/1000)</f>
        <v>11596</v>
      </c>
      <c r="AE31" s="11" t="str">
        <f>IF(AE$3=0,"",SUMIFS(INDEX(Inputs!$D$4:$AG$150,0,MATCH(AE$2,Inputs!$D$2:$AG$2,0)),Inputs!$B$4:$B$150,$B31)/1000)</f>
        <v/>
      </c>
      <c r="AF31" s="11" t="str">
        <f>IF(AF$3=0,"",SUMIFS(INDEX(Inputs!$D$4:$AG$150,0,MATCH(AF$2,Inputs!$D$2:$AG$2,0)),Inputs!$B$4:$B$150,$B31)/1000)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IF(D$3=0,"",SUMIFS(INDEX(Inputs!$D$4:$AG$150,0,MATCH(D$2,Inputs!$D$2:$AG$2,0)),Inputs!$B$4:$B$150,$B32)/1000)</f>
        <v>95</v>
      </c>
      <c r="E32" s="11">
        <f>IF(E$3=0,"",SUMIFS(INDEX(Inputs!$D$4:$AG$150,0,MATCH(E$2,Inputs!$D$2:$AG$2,0)),Inputs!$B$4:$B$150,$B32)/1000)</f>
        <v>92</v>
      </c>
      <c r="F32" s="11">
        <f>IF(F$3=0,"",SUMIFS(INDEX(Inputs!$D$4:$AG$150,0,MATCH(F$2,Inputs!$D$2:$AG$2,0)),Inputs!$B$4:$B$150,$B32)/1000)</f>
        <v>799</v>
      </c>
      <c r="G32" s="11">
        <f>IF(G$3=0,"",SUMIFS(INDEX(Inputs!$D$4:$AG$150,0,MATCH(G$2,Inputs!$D$2:$AG$2,0)),Inputs!$B$4:$B$150,$B32)/1000)</f>
        <v>799</v>
      </c>
      <c r="H32" s="12">
        <f>IF(G32="","",G32)</f>
        <v>799</v>
      </c>
      <c r="I32" s="11">
        <f>IF(I$3=0,"",SUMIFS(INDEX(Inputs!$D$4:$AG$150,0,MATCH(I$2,Inputs!$D$2:$AG$2,0)),Inputs!$B$4:$B$150,$B32)/1000)</f>
        <v>0</v>
      </c>
      <c r="J32" s="11">
        <f>IF(J$3=0,"",SUMIFS(INDEX(Inputs!$D$4:$AG$150,0,MATCH(J$2,Inputs!$D$2:$AG$2,0)),Inputs!$B$4:$B$150,$B32)/1000)</f>
        <v>77</v>
      </c>
      <c r="K32" s="11">
        <f>IF(K$3=0,"",SUMIFS(INDEX(Inputs!$D$4:$AG$150,0,MATCH(K$2,Inputs!$D$2:$AG$2,0)),Inputs!$B$4:$B$150,$B32)/1000)</f>
        <v>73</v>
      </c>
      <c r="L32" s="11">
        <f>IF(L$3=0,"",SUMIFS(INDEX(Inputs!$D$4:$AG$150,0,MATCH(L$2,Inputs!$D$2:$AG$2,0)),Inputs!$B$4:$B$150,$B32)/1000)</f>
        <v>71</v>
      </c>
      <c r="M32" s="12">
        <f>IF(L32="","",L32)</f>
        <v>71</v>
      </c>
      <c r="N32" s="11">
        <f>IF(N$3=0,"",SUMIFS(INDEX(Inputs!$D$4:$AG$150,0,MATCH(N$2,Inputs!$D$2:$AG$2,0)),Inputs!$B$4:$B$150,$B32)/1000)</f>
        <v>76</v>
      </c>
      <c r="O32" s="11">
        <f>IF(O$3=0,"",SUMIFS(INDEX(Inputs!$D$4:$AG$150,0,MATCH(O$2,Inputs!$D$2:$AG$2,0)),Inputs!$B$4:$B$150,$B32)/1000)</f>
        <v>0</v>
      </c>
      <c r="P32" s="11">
        <f>IF(P$3=0,"",SUMIFS(INDEX(Inputs!$D$4:$AG$150,0,MATCH(P$2,Inputs!$D$2:$AG$2,0)),Inputs!$B$4:$B$150,$B32)/1000)</f>
        <v>1081</v>
      </c>
      <c r="Q32" s="11">
        <f>IF(Q$3=0,"",SUMIFS(INDEX(Inputs!$D$4:$AG$150,0,MATCH(Q$2,Inputs!$D$2:$AG$2,0)),Inputs!$B$4:$B$150,$B32)/1000)</f>
        <v>1080</v>
      </c>
      <c r="R32" s="12">
        <f>IF(Q32="","",Q32)</f>
        <v>1080</v>
      </c>
      <c r="S32" s="11">
        <f>IF(S$3=0,"",SUMIFS(INDEX(Inputs!$D$4:$AG$150,0,MATCH(S$2,Inputs!$D$2:$AG$2,0)),Inputs!$B$4:$B$150,$B32)/1000)</f>
        <v>1080</v>
      </c>
      <c r="T32" s="11">
        <f>IF(T$3=0,"",SUMIFS(INDEX(Inputs!$D$4:$AG$150,0,MATCH(T$2,Inputs!$D$2:$AG$2,0)),Inputs!$B$4:$B$150,$B32)/1000)</f>
        <v>1077</v>
      </c>
      <c r="U32" s="11">
        <f>IF(U$3=0,"",SUMIFS(INDEX(Inputs!$D$4:$AG$150,0,MATCH(U$2,Inputs!$D$2:$AG$2,0)),Inputs!$B$4:$B$150,$B32)/1000)</f>
        <v>103</v>
      </c>
      <c r="V32" s="11">
        <f>IF(V$3=0,"",SUMIFS(INDEX(Inputs!$D$4:$AG$150,0,MATCH(V$2,Inputs!$D$2:$AG$2,0)),Inputs!$B$4:$B$150,$B32)/1000)</f>
        <v>0</v>
      </c>
      <c r="W32" s="12">
        <f>IF(V32="","",V32)</f>
        <v>0</v>
      </c>
      <c r="X32" s="11">
        <f>IF(X$3=0,"",SUMIFS(INDEX(Inputs!$D$4:$AG$150,0,MATCH(X$2,Inputs!$D$2:$AG$2,0)),Inputs!$B$4:$B$150,$B32)/1000)</f>
        <v>0</v>
      </c>
      <c r="Y32" s="11">
        <f>IF(Y$3=0,"",SUMIFS(INDEX(Inputs!$D$4:$AG$150,0,MATCH(Y$2,Inputs!$D$2:$AG$2,0)),Inputs!$B$4:$B$150,$B32)/1000)</f>
        <v>0</v>
      </c>
      <c r="Z32" s="11">
        <f>IF(Z$3=0,"",SUMIFS(INDEX(Inputs!$D$4:$AG$150,0,MATCH(Z$2,Inputs!$D$2:$AG$2,0)),Inputs!$B$4:$B$150,$B32)/1000)</f>
        <v>0</v>
      </c>
      <c r="AA32" s="11">
        <f>IF(AA$3=0,"",SUMIFS(INDEX(Inputs!$D$4:$AG$150,0,MATCH(AA$2,Inputs!$D$2:$AG$2,0)),Inputs!$B$4:$B$150,$B32)/1000)</f>
        <v>0</v>
      </c>
      <c r="AB32" s="12">
        <f>IF(AA32="","",AA32)</f>
        <v>0</v>
      </c>
      <c r="AC32" s="11">
        <f>IF(AC$3=0,"",SUMIFS(INDEX(Inputs!$D$4:$AG$150,0,MATCH(AC$2,Inputs!$D$2:$AG$2,0)),Inputs!$B$4:$B$150,$B32)/1000)</f>
        <v>0</v>
      </c>
      <c r="AD32" s="11">
        <f>IF(AD$3=0,"",SUMIFS(INDEX(Inputs!$D$4:$AG$150,0,MATCH(AD$2,Inputs!$D$2:$AG$2,0)),Inputs!$B$4:$B$150,$B32)/1000)</f>
        <v>0</v>
      </c>
      <c r="AE32" s="11" t="str">
        <f>IF(AE$3=0,"",SUMIFS(INDEX(Inputs!$D$4:$AG$150,0,MATCH(AE$2,Inputs!$D$2:$AG$2,0)),Inputs!$B$4:$B$150,$B32)/1000)</f>
        <v/>
      </c>
      <c r="AF32" s="11" t="str">
        <f>IF(AF$3=0,"",SUMIFS(INDEX(Inputs!$D$4:$AG$150,0,MATCH(AF$2,Inputs!$D$2:$AG$2,0)),Inputs!$B$4:$B$150,$B32)/1000)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IF(D$3=0,"",SUMIFS(INDEX(Inputs!$D$4:$AG$150,0,MATCH(D$2,Inputs!$D$2:$AG$2,0)),Inputs!$B$4:$B$150,$B33)/1000)</f>
        <v>0</v>
      </c>
      <c r="E33" s="11">
        <f>IF(E$3=0,"",SUMIFS(INDEX(Inputs!$D$4:$AG$150,0,MATCH(E$2,Inputs!$D$2:$AG$2,0)),Inputs!$B$4:$B$150,$B33)/1000)</f>
        <v>0</v>
      </c>
      <c r="F33" s="11">
        <f>IF(F$3=0,"",SUMIFS(INDEX(Inputs!$D$4:$AG$150,0,MATCH(F$2,Inputs!$D$2:$AG$2,0)),Inputs!$B$4:$B$150,$B33)/1000)</f>
        <v>0</v>
      </c>
      <c r="G33" s="11">
        <f>IF(G$3=0,"",SUMIFS(INDEX(Inputs!$D$4:$AG$150,0,MATCH(G$2,Inputs!$D$2:$AG$2,0)),Inputs!$B$4:$B$150,$B33)/1000)</f>
        <v>0</v>
      </c>
      <c r="H33" s="12">
        <f>IF(G33="","",G33)</f>
        <v>0</v>
      </c>
      <c r="I33" s="11">
        <f>IF(I$3=0,"",SUMIFS(INDEX(Inputs!$D$4:$AG$150,0,MATCH(I$2,Inputs!$D$2:$AG$2,0)),Inputs!$B$4:$B$150,$B33)/1000)</f>
        <v>0</v>
      </c>
      <c r="J33" s="11">
        <f>IF(J$3=0,"",SUMIFS(INDEX(Inputs!$D$4:$AG$150,0,MATCH(J$2,Inputs!$D$2:$AG$2,0)),Inputs!$B$4:$B$150,$B33)/1000)</f>
        <v>0</v>
      </c>
      <c r="K33" s="11">
        <f>IF(K$3=0,"",SUMIFS(INDEX(Inputs!$D$4:$AG$150,0,MATCH(K$2,Inputs!$D$2:$AG$2,0)),Inputs!$B$4:$B$150,$B33)/1000)</f>
        <v>0</v>
      </c>
      <c r="L33" s="11">
        <f>IF(L$3=0,"",SUMIFS(INDEX(Inputs!$D$4:$AG$150,0,MATCH(L$2,Inputs!$D$2:$AG$2,0)),Inputs!$B$4:$B$150,$B33)/1000)</f>
        <v>0</v>
      </c>
      <c r="M33" s="12">
        <f>IF(L33="","",L33)</f>
        <v>0</v>
      </c>
      <c r="N33" s="11">
        <f>IF(N$3=0,"",SUMIFS(INDEX(Inputs!$D$4:$AG$150,0,MATCH(N$2,Inputs!$D$2:$AG$2,0)),Inputs!$B$4:$B$150,$B33)/1000)</f>
        <v>0</v>
      </c>
      <c r="O33" s="11">
        <f>IF(O$3=0,"",SUMIFS(INDEX(Inputs!$D$4:$AG$150,0,MATCH(O$2,Inputs!$D$2:$AG$2,0)),Inputs!$B$4:$B$150,$B33)/1000)</f>
        <v>0</v>
      </c>
      <c r="P33" s="11">
        <f>IF(P$3=0,"",SUMIFS(INDEX(Inputs!$D$4:$AG$150,0,MATCH(P$2,Inputs!$D$2:$AG$2,0)),Inputs!$B$4:$B$150,$B33)/1000)</f>
        <v>0</v>
      </c>
      <c r="Q33" s="11">
        <f>IF(Q$3=0,"",SUMIFS(INDEX(Inputs!$D$4:$AG$150,0,MATCH(Q$2,Inputs!$D$2:$AG$2,0)),Inputs!$B$4:$B$150,$B33)/1000)</f>
        <v>0</v>
      </c>
      <c r="R33" s="12">
        <f>IF(Q33="","",Q33)</f>
        <v>0</v>
      </c>
      <c r="S33" s="11">
        <f>IF(S$3=0,"",SUMIFS(INDEX(Inputs!$D$4:$AG$150,0,MATCH(S$2,Inputs!$D$2:$AG$2,0)),Inputs!$B$4:$B$150,$B33)/1000)</f>
        <v>0</v>
      </c>
      <c r="T33" s="11">
        <f>IF(T$3=0,"",SUMIFS(INDEX(Inputs!$D$4:$AG$150,0,MATCH(T$2,Inputs!$D$2:$AG$2,0)),Inputs!$B$4:$B$150,$B33)/1000)</f>
        <v>0</v>
      </c>
      <c r="U33" s="11">
        <f>IF(U$3=0,"",SUMIFS(INDEX(Inputs!$D$4:$AG$150,0,MATCH(U$2,Inputs!$D$2:$AG$2,0)),Inputs!$B$4:$B$150,$B33)/1000)</f>
        <v>0</v>
      </c>
      <c r="V33" s="11">
        <f>IF(V$3=0,"",SUMIFS(INDEX(Inputs!$D$4:$AG$150,0,MATCH(V$2,Inputs!$D$2:$AG$2,0)),Inputs!$B$4:$B$150,$B33)/1000)</f>
        <v>0</v>
      </c>
      <c r="W33" s="12">
        <f>IF(V33="","",V33)</f>
        <v>0</v>
      </c>
      <c r="X33" s="11">
        <f>IF(X$3=0,"",SUMIFS(INDEX(Inputs!$D$4:$AG$150,0,MATCH(X$2,Inputs!$D$2:$AG$2,0)),Inputs!$B$4:$B$150,$B33)/1000)</f>
        <v>0</v>
      </c>
      <c r="Y33" s="11">
        <f>IF(Y$3=0,"",SUMIFS(INDEX(Inputs!$D$4:$AG$150,0,MATCH(Y$2,Inputs!$D$2:$AG$2,0)),Inputs!$B$4:$B$150,$B33)/1000)</f>
        <v>0</v>
      </c>
      <c r="Z33" s="11">
        <f>IF(Z$3=0,"",SUMIFS(INDEX(Inputs!$D$4:$AG$150,0,MATCH(Z$2,Inputs!$D$2:$AG$2,0)),Inputs!$B$4:$B$150,$B33)/1000)</f>
        <v>0</v>
      </c>
      <c r="AA33" s="11">
        <f>IF(AA$3=0,"",SUMIFS(INDEX(Inputs!$D$4:$AG$150,0,MATCH(AA$2,Inputs!$D$2:$AG$2,0)),Inputs!$B$4:$B$150,$B33)/1000)</f>
        <v>0</v>
      </c>
      <c r="AB33" s="12">
        <f>IF(AA33="","",AA33)</f>
        <v>0</v>
      </c>
      <c r="AC33" s="11">
        <f>IF(AC$3=0,"",SUMIFS(INDEX(Inputs!$D$4:$AG$150,0,MATCH(AC$2,Inputs!$D$2:$AG$2,0)),Inputs!$B$4:$B$150,$B33)/1000)</f>
        <v>0</v>
      </c>
      <c r="AD33" s="11">
        <f>IF(AD$3=0,"",SUMIFS(INDEX(Inputs!$D$4:$AG$150,0,MATCH(AD$2,Inputs!$D$2:$AG$2,0)),Inputs!$B$4:$B$150,$B33)/1000)</f>
        <v>0</v>
      </c>
      <c r="AE33" s="11" t="str">
        <f>IF(AE$3=0,"",SUMIFS(INDEX(Inputs!$D$4:$AG$150,0,MATCH(AE$2,Inputs!$D$2:$AG$2,0)),Inputs!$B$4:$B$150,$B33)/1000)</f>
        <v/>
      </c>
      <c r="AF33" s="11" t="str">
        <f>IF(AF$3=0,"",SUMIFS(INDEX(Inputs!$D$4:$AG$150,0,MATCH(AF$2,Inputs!$D$2:$AG$2,0)),Inputs!$B$4:$B$150,$B33)/1000)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IF(D$3=0,"",SUMIFS(INDEX(Inputs!$D$4:$AG$150,0,MATCH(D$2,Inputs!$D$2:$AG$2,0)),Inputs!$B$4:$B$150,$B34)/1000)</f>
        <v>0</v>
      </c>
      <c r="E34" s="11">
        <f>IF(E$3=0,"",SUMIFS(INDEX(Inputs!$D$4:$AG$150,0,MATCH(E$2,Inputs!$D$2:$AG$2,0)),Inputs!$B$4:$B$150,$B34)/1000)</f>
        <v>0</v>
      </c>
      <c r="F34" s="11">
        <f>IF(F$3=0,"",SUMIFS(INDEX(Inputs!$D$4:$AG$150,0,MATCH(F$2,Inputs!$D$2:$AG$2,0)),Inputs!$B$4:$B$150,$B34)/1000)</f>
        <v>0</v>
      </c>
      <c r="G34" s="11">
        <f>IF(G$3=0,"",SUMIFS(INDEX(Inputs!$D$4:$AG$150,0,MATCH(G$2,Inputs!$D$2:$AG$2,0)),Inputs!$B$4:$B$150,$B34)/1000)</f>
        <v>0</v>
      </c>
      <c r="H34" s="12">
        <f>IF(G34="","",G34)</f>
        <v>0</v>
      </c>
      <c r="I34" s="11">
        <f>IF(I$3=0,"",SUMIFS(INDEX(Inputs!$D$4:$AG$150,0,MATCH(I$2,Inputs!$D$2:$AG$2,0)),Inputs!$B$4:$B$150,$B34)/1000)</f>
        <v>0</v>
      </c>
      <c r="J34" s="11">
        <f>IF(J$3=0,"",SUMIFS(INDEX(Inputs!$D$4:$AG$150,0,MATCH(J$2,Inputs!$D$2:$AG$2,0)),Inputs!$B$4:$B$150,$B34)/1000)</f>
        <v>0</v>
      </c>
      <c r="K34" s="11">
        <f>IF(K$3=0,"",SUMIFS(INDEX(Inputs!$D$4:$AG$150,0,MATCH(K$2,Inputs!$D$2:$AG$2,0)),Inputs!$B$4:$B$150,$B34)/1000)</f>
        <v>0</v>
      </c>
      <c r="L34" s="11">
        <f>IF(L$3=0,"",SUMIFS(INDEX(Inputs!$D$4:$AG$150,0,MATCH(L$2,Inputs!$D$2:$AG$2,0)),Inputs!$B$4:$B$150,$B34)/1000)</f>
        <v>0</v>
      </c>
      <c r="M34" s="12">
        <f>IF(L34="","",L34)</f>
        <v>0</v>
      </c>
      <c r="N34" s="11">
        <f>IF(N$3=0,"",SUMIFS(INDEX(Inputs!$D$4:$AG$150,0,MATCH(N$2,Inputs!$D$2:$AG$2,0)),Inputs!$B$4:$B$150,$B34)/1000)</f>
        <v>0</v>
      </c>
      <c r="O34" s="11">
        <f>IF(O$3=0,"",SUMIFS(INDEX(Inputs!$D$4:$AG$150,0,MATCH(O$2,Inputs!$D$2:$AG$2,0)),Inputs!$B$4:$B$150,$B34)/1000)</f>
        <v>0</v>
      </c>
      <c r="P34" s="11">
        <f>IF(P$3=0,"",SUMIFS(INDEX(Inputs!$D$4:$AG$150,0,MATCH(P$2,Inputs!$D$2:$AG$2,0)),Inputs!$B$4:$B$150,$B34)/1000)</f>
        <v>0</v>
      </c>
      <c r="Q34" s="11">
        <f>IF(Q$3=0,"",SUMIFS(INDEX(Inputs!$D$4:$AG$150,0,MATCH(Q$2,Inputs!$D$2:$AG$2,0)),Inputs!$B$4:$B$150,$B34)/1000)</f>
        <v>0</v>
      </c>
      <c r="R34" s="12">
        <f>IF(Q34="","",Q34)</f>
        <v>0</v>
      </c>
      <c r="S34" s="11">
        <f>IF(S$3=0,"",SUMIFS(INDEX(Inputs!$D$4:$AG$150,0,MATCH(S$2,Inputs!$D$2:$AG$2,0)),Inputs!$B$4:$B$150,$B34)/1000)</f>
        <v>0</v>
      </c>
      <c r="T34" s="11">
        <f>IF(T$3=0,"",SUMIFS(INDEX(Inputs!$D$4:$AG$150,0,MATCH(T$2,Inputs!$D$2:$AG$2,0)),Inputs!$B$4:$B$150,$B34)/1000)</f>
        <v>0</v>
      </c>
      <c r="U34" s="11">
        <f>IF(U$3=0,"",SUMIFS(INDEX(Inputs!$D$4:$AG$150,0,MATCH(U$2,Inputs!$D$2:$AG$2,0)),Inputs!$B$4:$B$150,$B34)/1000)</f>
        <v>0</v>
      </c>
      <c r="V34" s="11">
        <f>IF(V$3=0,"",SUMIFS(INDEX(Inputs!$D$4:$AG$150,0,MATCH(V$2,Inputs!$D$2:$AG$2,0)),Inputs!$B$4:$B$150,$B34)/1000)</f>
        <v>0</v>
      </c>
      <c r="W34" s="12">
        <f>IF(V34="","",V34)</f>
        <v>0</v>
      </c>
      <c r="X34" s="11">
        <f>IF(X$3=0,"",SUMIFS(INDEX(Inputs!$D$4:$AG$150,0,MATCH(X$2,Inputs!$D$2:$AG$2,0)),Inputs!$B$4:$B$150,$B34)/1000)</f>
        <v>0</v>
      </c>
      <c r="Y34" s="11">
        <f>IF(Y$3=0,"",SUMIFS(INDEX(Inputs!$D$4:$AG$150,0,MATCH(Y$2,Inputs!$D$2:$AG$2,0)),Inputs!$B$4:$B$150,$B34)/1000)</f>
        <v>0</v>
      </c>
      <c r="Z34" s="11">
        <f>IF(Z$3=0,"",SUMIFS(INDEX(Inputs!$D$4:$AG$150,0,MATCH(Z$2,Inputs!$D$2:$AG$2,0)),Inputs!$B$4:$B$150,$B34)/1000)</f>
        <v>0</v>
      </c>
      <c r="AA34" s="11">
        <f>IF(AA$3=0,"",SUMIFS(INDEX(Inputs!$D$4:$AG$150,0,MATCH(AA$2,Inputs!$D$2:$AG$2,0)),Inputs!$B$4:$B$150,$B34)/1000)</f>
        <v>0</v>
      </c>
      <c r="AB34" s="12">
        <f>IF(AA34="","",AA34)</f>
        <v>0</v>
      </c>
      <c r="AC34" s="11">
        <f>IF(AC$3=0,"",SUMIFS(INDEX(Inputs!$D$4:$AG$150,0,MATCH(AC$2,Inputs!$D$2:$AG$2,0)),Inputs!$B$4:$B$150,$B34)/1000)</f>
        <v>0</v>
      </c>
      <c r="AD34" s="11">
        <f>IF(AD$3=0,"",SUMIFS(INDEX(Inputs!$D$4:$AG$150,0,MATCH(AD$2,Inputs!$D$2:$AG$2,0)),Inputs!$B$4:$B$150,$B34)/1000)</f>
        <v>0</v>
      </c>
      <c r="AE34" s="11" t="str">
        <f>IF(AE$3=0,"",SUMIFS(INDEX(Inputs!$D$4:$AG$150,0,MATCH(AE$2,Inputs!$D$2:$AG$2,0)),Inputs!$B$4:$B$150,$B34)/1000)</f>
        <v/>
      </c>
      <c r="AF34" s="11" t="str">
        <f>IF(AF$3=0,"",SUMIFS(INDEX(Inputs!$D$4:$AG$150,0,MATCH(AF$2,Inputs!$D$2:$AG$2,0)),Inputs!$B$4:$B$150,$B34)/1000)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IF(D$3=0,"",SUMIFS(INDEX(Inputs!$D$4:$AG$150,0,MATCH(D$2,Inputs!$D$2:$AG$2,0)),Inputs!$B$4:$B$150,$B35)/1000)</f>
        <v>7522</v>
      </c>
      <c r="E35" s="11">
        <f>IF(E$3=0,"",SUMIFS(INDEX(Inputs!$D$4:$AG$150,0,MATCH(E$2,Inputs!$D$2:$AG$2,0)),Inputs!$B$4:$B$150,$B35)/1000)</f>
        <v>7495</v>
      </c>
      <c r="F35" s="11">
        <f>IF(F$3=0,"",SUMIFS(INDEX(Inputs!$D$4:$AG$150,0,MATCH(F$2,Inputs!$D$2:$AG$2,0)),Inputs!$B$4:$B$150,$B35)/1000)</f>
        <v>6692</v>
      </c>
      <c r="G35" s="11">
        <f>IF(G$3=0,"",SUMIFS(INDEX(Inputs!$D$4:$AG$150,0,MATCH(G$2,Inputs!$D$2:$AG$2,0)),Inputs!$B$4:$B$150,$B35)/1000)</f>
        <v>6667</v>
      </c>
      <c r="H35" s="12">
        <f>IF(G35="","",G35)</f>
        <v>6667</v>
      </c>
      <c r="I35" s="11">
        <f>IF(I$3=0,"",SUMIFS(INDEX(Inputs!$D$4:$AG$150,0,MATCH(I$2,Inputs!$D$2:$AG$2,0)),Inputs!$B$4:$B$150,$B35)/1000)</f>
        <v>6658</v>
      </c>
      <c r="J35" s="11">
        <f>IF(J$3=0,"",SUMIFS(INDEX(Inputs!$D$4:$AG$150,0,MATCH(J$2,Inputs!$D$2:$AG$2,0)),Inputs!$B$4:$B$150,$B35)/1000)</f>
        <v>6507</v>
      </c>
      <c r="K35" s="11">
        <f>IF(K$3=0,"",SUMIFS(INDEX(Inputs!$D$4:$AG$150,0,MATCH(K$2,Inputs!$D$2:$AG$2,0)),Inputs!$B$4:$B$150,$B35)/1000)</f>
        <v>6484</v>
      </c>
      <c r="L35" s="11">
        <f>IF(L$3=0,"",SUMIFS(INDEX(Inputs!$D$4:$AG$150,0,MATCH(L$2,Inputs!$D$2:$AG$2,0)),Inputs!$B$4:$B$150,$B35)/1000)</f>
        <v>6472</v>
      </c>
      <c r="M35" s="12">
        <f>IF(L35="","",L35)</f>
        <v>6472</v>
      </c>
      <c r="N35" s="11">
        <f>IF(N$3=0,"",SUMIFS(INDEX(Inputs!$D$4:$AG$150,0,MATCH(N$2,Inputs!$D$2:$AG$2,0)),Inputs!$B$4:$B$150,$B35)/1000)</f>
        <v>6506</v>
      </c>
      <c r="O35" s="11">
        <f>IF(O$3=0,"",SUMIFS(INDEX(Inputs!$D$4:$AG$150,0,MATCH(O$2,Inputs!$D$2:$AG$2,0)),Inputs!$B$4:$B$150,$B35)/1000)</f>
        <v>6497</v>
      </c>
      <c r="P35" s="11">
        <f>IF(P$3=0,"",SUMIFS(INDEX(Inputs!$D$4:$AG$150,0,MATCH(P$2,Inputs!$D$2:$AG$2,0)),Inputs!$B$4:$B$150,$B35)/1000)</f>
        <v>5377</v>
      </c>
      <c r="Q35" s="11">
        <f>IF(Q$3=0,"",SUMIFS(INDEX(Inputs!$D$4:$AG$150,0,MATCH(Q$2,Inputs!$D$2:$AG$2,0)),Inputs!$B$4:$B$150,$B35)/1000)</f>
        <v>5866</v>
      </c>
      <c r="R35" s="12">
        <f>IF(Q35="","",Q35)</f>
        <v>5866</v>
      </c>
      <c r="S35" s="11">
        <f>IF(S$3=0,"",SUMIFS(INDEX(Inputs!$D$4:$AG$150,0,MATCH(S$2,Inputs!$D$2:$AG$2,0)),Inputs!$B$4:$B$150,$B35)/1000)</f>
        <v>5865</v>
      </c>
      <c r="T35" s="11">
        <f>IF(T$3=0,"",SUMIFS(INDEX(Inputs!$D$4:$AG$150,0,MATCH(T$2,Inputs!$D$2:$AG$2,0)),Inputs!$B$4:$B$150,$B35)/1000)</f>
        <v>5834</v>
      </c>
      <c r="U35" s="11">
        <f>IF(U$3=0,"",SUMIFS(INDEX(Inputs!$D$4:$AG$150,0,MATCH(U$2,Inputs!$D$2:$AG$2,0)),Inputs!$B$4:$B$150,$B35)/1000)</f>
        <v>5794</v>
      </c>
      <c r="V35" s="11">
        <f>IF(V$3=0,"",SUMIFS(INDEX(Inputs!$D$4:$AG$150,0,MATCH(V$2,Inputs!$D$2:$AG$2,0)),Inputs!$B$4:$B$150,$B35)/1000)</f>
        <v>5745</v>
      </c>
      <c r="W35" s="12">
        <f>IF(V35="","",V35)</f>
        <v>5745</v>
      </c>
      <c r="X35" s="11">
        <f>IF(X$3=0,"",SUMIFS(INDEX(Inputs!$D$4:$AG$150,0,MATCH(X$2,Inputs!$D$2:$AG$2,0)),Inputs!$B$4:$B$150,$B35)/1000)</f>
        <v>5755</v>
      </c>
      <c r="Y35" s="11">
        <f>IF(Y$3=0,"",SUMIFS(INDEX(Inputs!$D$4:$AG$150,0,MATCH(Y$2,Inputs!$D$2:$AG$2,0)),Inputs!$B$4:$B$150,$B35)/1000)</f>
        <v>5717</v>
      </c>
      <c r="Z35" s="11">
        <f>IF(Z$3=0,"",SUMIFS(INDEX(Inputs!$D$4:$AG$150,0,MATCH(Z$2,Inputs!$D$2:$AG$2,0)),Inputs!$B$4:$B$150,$B35)/1000)</f>
        <v>5713</v>
      </c>
      <c r="AA35" s="11">
        <f>IF(AA$3=0,"",SUMIFS(INDEX(Inputs!$D$4:$AG$150,0,MATCH(AA$2,Inputs!$D$2:$AG$2,0)),Inputs!$B$4:$B$150,$B35)/1000)</f>
        <v>5666</v>
      </c>
      <c r="AB35" s="12">
        <f>IF(AA35="","",AA35)</f>
        <v>5666</v>
      </c>
      <c r="AC35" s="11">
        <f>IF(AC$3=0,"",SUMIFS(INDEX(Inputs!$D$4:$AG$150,0,MATCH(AC$2,Inputs!$D$2:$AG$2,0)),Inputs!$B$4:$B$150,$B35)/1000)</f>
        <v>5688</v>
      </c>
      <c r="AD35" s="11">
        <f>IF(AD$3=0,"",SUMIFS(INDEX(Inputs!$D$4:$AG$150,0,MATCH(AD$2,Inputs!$D$2:$AG$2,0)),Inputs!$B$4:$B$150,$B35)/1000)</f>
        <v>5670</v>
      </c>
      <c r="AE35" s="11" t="str">
        <f>IF(AE$3=0,"",SUMIFS(INDEX(Inputs!$D$4:$AG$150,0,MATCH(AE$2,Inputs!$D$2:$AG$2,0)),Inputs!$B$4:$B$150,$B35)/1000)</f>
        <v/>
      </c>
      <c r="AF35" s="11" t="str">
        <f>IF(AF$3=0,"",SUMIFS(INDEX(Inputs!$D$4:$AG$150,0,MATCH(AF$2,Inputs!$D$2:$AG$2,0)),Inputs!$B$4:$B$150,$B35)/1000)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IF(D$3=0,"",SUMIFS(INDEX(Inputs!$D$4:$AG$150,0,MATCH(D$2,Inputs!$D$2:$AG$2,0)),Inputs!$B$4:$B$150,$B36)/1000)</f>
        <v>2651</v>
      </c>
      <c r="E36" s="11">
        <f>IF(E$3=0,"",SUMIFS(INDEX(Inputs!$D$4:$AG$150,0,MATCH(E$2,Inputs!$D$2:$AG$2,0)),Inputs!$B$4:$B$150,$B36)/1000)</f>
        <v>2641</v>
      </c>
      <c r="F36" s="11">
        <f>IF(F$3=0,"",SUMIFS(INDEX(Inputs!$D$4:$AG$150,0,MATCH(F$2,Inputs!$D$2:$AG$2,0)),Inputs!$B$4:$B$150,$B36)/1000)</f>
        <v>2642</v>
      </c>
      <c r="G36" s="11">
        <f>IF(G$3=0,"",SUMIFS(INDEX(Inputs!$D$4:$AG$150,0,MATCH(G$2,Inputs!$D$2:$AG$2,0)),Inputs!$B$4:$B$150,$B36)/1000)</f>
        <v>2649</v>
      </c>
      <c r="H36" s="12">
        <f>IF(G36="","",G36)</f>
        <v>2649</v>
      </c>
      <c r="I36" s="11">
        <f>IF(I$3=0,"",SUMIFS(INDEX(Inputs!$D$4:$AG$150,0,MATCH(I$2,Inputs!$D$2:$AG$2,0)),Inputs!$B$4:$B$150,$B36)/1000)</f>
        <v>2588</v>
      </c>
      <c r="J36" s="11">
        <f>IF(J$3=0,"",SUMIFS(INDEX(Inputs!$D$4:$AG$150,0,MATCH(J$2,Inputs!$D$2:$AG$2,0)),Inputs!$B$4:$B$150,$B36)/1000)</f>
        <v>2452</v>
      </c>
      <c r="K36" s="11">
        <f>IF(K$3=0,"",SUMIFS(INDEX(Inputs!$D$4:$AG$150,0,MATCH(K$2,Inputs!$D$2:$AG$2,0)),Inputs!$B$4:$B$150,$B36)/1000)</f>
        <v>2482</v>
      </c>
      <c r="L36" s="11">
        <f>IF(L$3=0,"",SUMIFS(INDEX(Inputs!$D$4:$AG$150,0,MATCH(L$2,Inputs!$D$2:$AG$2,0)),Inputs!$B$4:$B$150,$B36)/1000)</f>
        <v>2503</v>
      </c>
      <c r="M36" s="12">
        <f>IF(L36="","",L36)</f>
        <v>2503</v>
      </c>
      <c r="N36" s="11">
        <f>IF(N$3=0,"",SUMIFS(INDEX(Inputs!$D$4:$AG$150,0,MATCH(N$2,Inputs!$D$2:$AG$2,0)),Inputs!$B$4:$B$150,$B36)/1000)</f>
        <v>2557</v>
      </c>
      <c r="O36" s="11">
        <f>IF(O$3=0,"",SUMIFS(INDEX(Inputs!$D$4:$AG$150,0,MATCH(O$2,Inputs!$D$2:$AG$2,0)),Inputs!$B$4:$B$150,$B36)/1000)</f>
        <v>2507</v>
      </c>
      <c r="P36" s="11">
        <f>IF(P$3=0,"",SUMIFS(INDEX(Inputs!$D$4:$AG$150,0,MATCH(P$2,Inputs!$D$2:$AG$2,0)),Inputs!$B$4:$B$150,$B36)/1000)</f>
        <v>2426</v>
      </c>
      <c r="Q36" s="11">
        <f>IF(Q$3=0,"",SUMIFS(INDEX(Inputs!$D$4:$AG$150,0,MATCH(Q$2,Inputs!$D$2:$AG$2,0)),Inputs!$B$4:$B$150,$B36)/1000)</f>
        <v>2401</v>
      </c>
      <c r="R36" s="12">
        <f>IF(Q36="","",Q36)</f>
        <v>2401</v>
      </c>
      <c r="S36" s="11">
        <f>IF(S$3=0,"",SUMIFS(INDEX(Inputs!$D$4:$AG$150,0,MATCH(S$2,Inputs!$D$2:$AG$2,0)),Inputs!$B$4:$B$150,$B36)/1000)</f>
        <v>2488</v>
      </c>
      <c r="T36" s="11">
        <f>IF(T$3=0,"",SUMIFS(INDEX(Inputs!$D$4:$AG$150,0,MATCH(T$2,Inputs!$D$2:$AG$2,0)),Inputs!$B$4:$B$150,$B36)/1000)</f>
        <v>2386</v>
      </c>
      <c r="U36" s="11">
        <f>IF(U$3=0,"",SUMIFS(INDEX(Inputs!$D$4:$AG$150,0,MATCH(U$2,Inputs!$D$2:$AG$2,0)),Inputs!$B$4:$B$150,$B36)/1000)</f>
        <v>2375</v>
      </c>
      <c r="V36" s="11">
        <f>IF(V$3=0,"",SUMIFS(INDEX(Inputs!$D$4:$AG$150,0,MATCH(V$2,Inputs!$D$2:$AG$2,0)),Inputs!$B$4:$B$150,$B36)/1000)</f>
        <v>2288</v>
      </c>
      <c r="W36" s="12">
        <f>IF(V36="","",V36)</f>
        <v>2288</v>
      </c>
      <c r="X36" s="11">
        <f>IF(X$3=0,"",SUMIFS(INDEX(Inputs!$D$4:$AG$150,0,MATCH(X$2,Inputs!$D$2:$AG$2,0)),Inputs!$B$4:$B$150,$B36)/1000)</f>
        <v>2284</v>
      </c>
      <c r="Y36" s="11">
        <f>IF(Y$3=0,"",SUMIFS(INDEX(Inputs!$D$4:$AG$150,0,MATCH(Y$2,Inputs!$D$2:$AG$2,0)),Inputs!$B$4:$B$150,$B36)/1000)</f>
        <v>2463</v>
      </c>
      <c r="Z36" s="11">
        <f>IF(Z$3=0,"",SUMIFS(INDEX(Inputs!$D$4:$AG$150,0,MATCH(Z$2,Inputs!$D$2:$AG$2,0)),Inputs!$B$4:$B$150,$B36)/1000)</f>
        <v>2460</v>
      </c>
      <c r="AA36" s="11">
        <f>IF(AA$3=0,"",SUMIFS(INDEX(Inputs!$D$4:$AG$150,0,MATCH(AA$2,Inputs!$D$2:$AG$2,0)),Inputs!$B$4:$B$150,$B36)/1000)</f>
        <v>2436</v>
      </c>
      <c r="AB36" s="12">
        <f>IF(AA36="","",AA36)</f>
        <v>2436</v>
      </c>
      <c r="AC36" s="11">
        <f>IF(AC$3=0,"",SUMIFS(INDEX(Inputs!$D$4:$AG$150,0,MATCH(AC$2,Inputs!$D$2:$AG$2,0)),Inputs!$B$4:$B$150,$B36)/1000)</f>
        <v>2477</v>
      </c>
      <c r="AD36" s="11">
        <f>IF(AD$3=0,"",SUMIFS(INDEX(Inputs!$D$4:$AG$150,0,MATCH(AD$2,Inputs!$D$2:$AG$2,0)),Inputs!$B$4:$B$150,$B36)/1000)</f>
        <v>2466</v>
      </c>
      <c r="AE36" s="11" t="str">
        <f>IF(AE$3=0,"",SUMIFS(INDEX(Inputs!$D$4:$AG$150,0,MATCH(AE$2,Inputs!$D$2:$AG$2,0)),Inputs!$B$4:$B$150,$B36)/1000)</f>
        <v/>
      </c>
      <c r="AF36" s="11" t="str">
        <f>IF(AF$3=0,"",SUMIFS(INDEX(Inputs!$D$4:$AG$150,0,MATCH(AF$2,Inputs!$D$2:$AG$2,0)),Inputs!$B$4:$B$150,$B36)/1000)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IF(D$3=0,"",SUMIFS(INDEX(Inputs!$D$4:$AG$150,0,MATCH(D$2,Inputs!$D$2:$AG$2,0)),Inputs!$B$4:$B$150,$B37)/1000)</f>
        <v>0</v>
      </c>
      <c r="E37" s="11">
        <f>IF(E$3=0,"",SUMIFS(INDEX(Inputs!$D$4:$AG$150,0,MATCH(E$2,Inputs!$D$2:$AG$2,0)),Inputs!$B$4:$B$150,$B37)/1000)</f>
        <v>0</v>
      </c>
      <c r="F37" s="11">
        <f>IF(F$3=0,"",SUMIFS(INDEX(Inputs!$D$4:$AG$150,0,MATCH(F$2,Inputs!$D$2:$AG$2,0)),Inputs!$B$4:$B$150,$B37)/1000)</f>
        <v>0</v>
      </c>
      <c r="G37" s="11">
        <f>IF(G$3=0,"",SUMIFS(INDEX(Inputs!$D$4:$AG$150,0,MATCH(G$2,Inputs!$D$2:$AG$2,0)),Inputs!$B$4:$B$150,$B37)/1000)</f>
        <v>0</v>
      </c>
      <c r="H37" s="12">
        <f>IF(G37="","",G37)</f>
        <v>0</v>
      </c>
      <c r="I37" s="11">
        <f>IF(I$3=0,"",SUMIFS(INDEX(Inputs!$D$4:$AG$150,0,MATCH(I$2,Inputs!$D$2:$AG$2,0)),Inputs!$B$4:$B$150,$B37)/1000)</f>
        <v>0</v>
      </c>
      <c r="J37" s="11">
        <f>IF(J$3=0,"",SUMIFS(INDEX(Inputs!$D$4:$AG$150,0,MATCH(J$2,Inputs!$D$2:$AG$2,0)),Inputs!$B$4:$B$150,$B37)/1000)</f>
        <v>0</v>
      </c>
      <c r="K37" s="11">
        <f>IF(K$3=0,"",SUMIFS(INDEX(Inputs!$D$4:$AG$150,0,MATCH(K$2,Inputs!$D$2:$AG$2,0)),Inputs!$B$4:$B$150,$B37)/1000)</f>
        <v>0</v>
      </c>
      <c r="L37" s="11">
        <f>IF(L$3=0,"",SUMIFS(INDEX(Inputs!$D$4:$AG$150,0,MATCH(L$2,Inputs!$D$2:$AG$2,0)),Inputs!$B$4:$B$150,$B37)/1000)</f>
        <v>0</v>
      </c>
      <c r="M37" s="12">
        <f>IF(L37="","",L37)</f>
        <v>0</v>
      </c>
      <c r="N37" s="11">
        <f>IF(N$3=0,"",SUMIFS(INDEX(Inputs!$D$4:$AG$150,0,MATCH(N$2,Inputs!$D$2:$AG$2,0)),Inputs!$B$4:$B$150,$B37)/1000)</f>
        <v>0</v>
      </c>
      <c r="O37" s="11">
        <f>IF(O$3=0,"",SUMIFS(INDEX(Inputs!$D$4:$AG$150,0,MATCH(O$2,Inputs!$D$2:$AG$2,0)),Inputs!$B$4:$B$150,$B37)/1000)</f>
        <v>0</v>
      </c>
      <c r="P37" s="11">
        <f>IF(P$3=0,"",SUMIFS(INDEX(Inputs!$D$4:$AG$150,0,MATCH(P$2,Inputs!$D$2:$AG$2,0)),Inputs!$B$4:$B$150,$B37)/1000)</f>
        <v>0</v>
      </c>
      <c r="Q37" s="11">
        <f>IF(Q$3=0,"",SUMIFS(INDEX(Inputs!$D$4:$AG$150,0,MATCH(Q$2,Inputs!$D$2:$AG$2,0)),Inputs!$B$4:$B$150,$B37)/1000)</f>
        <v>0</v>
      </c>
      <c r="R37" s="12">
        <f>IF(Q37="","",Q37)</f>
        <v>0</v>
      </c>
      <c r="S37" s="11">
        <f>IF(S$3=0,"",SUMIFS(INDEX(Inputs!$D$4:$AG$150,0,MATCH(S$2,Inputs!$D$2:$AG$2,0)),Inputs!$B$4:$B$150,$B37)/1000)</f>
        <v>0</v>
      </c>
      <c r="T37" s="11">
        <f>IF(T$3=0,"",SUMIFS(INDEX(Inputs!$D$4:$AG$150,0,MATCH(T$2,Inputs!$D$2:$AG$2,0)),Inputs!$B$4:$B$150,$B37)/1000)</f>
        <v>0</v>
      </c>
      <c r="U37" s="11">
        <f>IF(U$3=0,"",SUMIFS(INDEX(Inputs!$D$4:$AG$150,0,MATCH(U$2,Inputs!$D$2:$AG$2,0)),Inputs!$B$4:$B$150,$B37)/1000)</f>
        <v>0</v>
      </c>
      <c r="V37" s="11">
        <f>IF(V$3=0,"",SUMIFS(INDEX(Inputs!$D$4:$AG$150,0,MATCH(V$2,Inputs!$D$2:$AG$2,0)),Inputs!$B$4:$B$150,$B37)/1000)</f>
        <v>0</v>
      </c>
      <c r="W37" s="12">
        <f>IF(V37="","",V37)</f>
        <v>0</v>
      </c>
      <c r="X37" s="11">
        <f>IF(X$3=0,"",SUMIFS(INDEX(Inputs!$D$4:$AG$150,0,MATCH(X$2,Inputs!$D$2:$AG$2,0)),Inputs!$B$4:$B$150,$B37)/1000)</f>
        <v>0</v>
      </c>
      <c r="Y37" s="11">
        <f>IF(Y$3=0,"",SUMIFS(INDEX(Inputs!$D$4:$AG$150,0,MATCH(Y$2,Inputs!$D$2:$AG$2,0)),Inputs!$B$4:$B$150,$B37)/1000)</f>
        <v>0</v>
      </c>
      <c r="Z37" s="11">
        <f>IF(Z$3=0,"",SUMIFS(INDEX(Inputs!$D$4:$AG$150,0,MATCH(Z$2,Inputs!$D$2:$AG$2,0)),Inputs!$B$4:$B$150,$B37)/1000)</f>
        <v>0</v>
      </c>
      <c r="AA37" s="11">
        <f>IF(AA$3=0,"",SUMIFS(INDEX(Inputs!$D$4:$AG$150,0,MATCH(AA$2,Inputs!$D$2:$AG$2,0)),Inputs!$B$4:$B$150,$B37)/1000)</f>
        <v>0</v>
      </c>
      <c r="AB37" s="12">
        <f>IF(AA37="","",AA37)</f>
        <v>0</v>
      </c>
      <c r="AC37" s="11">
        <f>IF(AC$3=0,"",SUMIFS(INDEX(Inputs!$D$4:$AG$150,0,MATCH(AC$2,Inputs!$D$2:$AG$2,0)),Inputs!$B$4:$B$150,$B37)/1000)</f>
        <v>0</v>
      </c>
      <c r="AD37" s="11">
        <f>IF(AD$3=0,"",SUMIFS(INDEX(Inputs!$D$4:$AG$150,0,MATCH(AD$2,Inputs!$D$2:$AG$2,0)),Inputs!$B$4:$B$150,$B37)/1000)</f>
        <v>0</v>
      </c>
      <c r="AE37" s="11" t="str">
        <f>IF(AE$3=0,"",SUMIFS(INDEX(Inputs!$D$4:$AG$150,0,MATCH(AE$2,Inputs!$D$2:$AG$2,0)),Inputs!$B$4:$B$150,$B37)/1000)</f>
        <v/>
      </c>
      <c r="AF37" s="11" t="str">
        <f>IF(AF$3=0,"",SUMIFS(INDEX(Inputs!$D$4:$AG$150,0,MATCH(AF$2,Inputs!$D$2:$AG$2,0)),Inputs!$B$4:$B$150,$B37)/1000)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IF(D$3=0,"",SUMIFS(INDEX(Inputs!$D$4:$AG$150,0,MATCH(D$2,Inputs!$D$2:$AG$2,0)),Inputs!$B$4:$B$150,$B38)/1000)</f>
        <v>0</v>
      </c>
      <c r="E38" s="11">
        <f>IF(E$3=0,"",SUMIFS(INDEX(Inputs!$D$4:$AG$150,0,MATCH(E$2,Inputs!$D$2:$AG$2,0)),Inputs!$B$4:$B$150,$B38)/1000)</f>
        <v>0</v>
      </c>
      <c r="F38" s="11">
        <f>IF(F$3=0,"",SUMIFS(INDEX(Inputs!$D$4:$AG$150,0,MATCH(F$2,Inputs!$D$2:$AG$2,0)),Inputs!$B$4:$B$150,$B38)/1000)</f>
        <v>0</v>
      </c>
      <c r="G38" s="11">
        <f>IF(G$3=0,"",SUMIFS(INDEX(Inputs!$D$4:$AG$150,0,MATCH(G$2,Inputs!$D$2:$AG$2,0)),Inputs!$B$4:$B$150,$B38)/1000)</f>
        <v>0</v>
      </c>
      <c r="H38" s="12">
        <f>IF(G38="","",G38)</f>
        <v>0</v>
      </c>
      <c r="I38" s="11">
        <f>IF(I$3=0,"",SUMIFS(INDEX(Inputs!$D$4:$AG$150,0,MATCH(I$2,Inputs!$D$2:$AG$2,0)),Inputs!$B$4:$B$150,$B38)/1000)</f>
        <v>0</v>
      </c>
      <c r="J38" s="11">
        <f>IF(J$3=0,"",SUMIFS(INDEX(Inputs!$D$4:$AG$150,0,MATCH(J$2,Inputs!$D$2:$AG$2,0)),Inputs!$B$4:$B$150,$B38)/1000)</f>
        <v>0</v>
      </c>
      <c r="K38" s="11">
        <f>IF(K$3=0,"",SUMIFS(INDEX(Inputs!$D$4:$AG$150,0,MATCH(K$2,Inputs!$D$2:$AG$2,0)),Inputs!$B$4:$B$150,$B38)/1000)</f>
        <v>0</v>
      </c>
      <c r="L38" s="11">
        <f>IF(L$3=0,"",SUMIFS(INDEX(Inputs!$D$4:$AG$150,0,MATCH(L$2,Inputs!$D$2:$AG$2,0)),Inputs!$B$4:$B$150,$B38)/1000)</f>
        <v>0</v>
      </c>
      <c r="M38" s="12">
        <f>IF(L38="","",L38)</f>
        <v>0</v>
      </c>
      <c r="N38" s="11">
        <f>IF(N$3=0,"",SUMIFS(INDEX(Inputs!$D$4:$AG$150,0,MATCH(N$2,Inputs!$D$2:$AG$2,0)),Inputs!$B$4:$B$150,$B38)/1000)</f>
        <v>0</v>
      </c>
      <c r="O38" s="11">
        <f>IF(O$3=0,"",SUMIFS(INDEX(Inputs!$D$4:$AG$150,0,MATCH(O$2,Inputs!$D$2:$AG$2,0)),Inputs!$B$4:$B$150,$B38)/1000)</f>
        <v>0</v>
      </c>
      <c r="P38" s="11">
        <f>IF(P$3=0,"",SUMIFS(INDEX(Inputs!$D$4:$AG$150,0,MATCH(P$2,Inputs!$D$2:$AG$2,0)),Inputs!$B$4:$B$150,$B38)/1000)</f>
        <v>0</v>
      </c>
      <c r="Q38" s="11">
        <f>IF(Q$3=0,"",SUMIFS(INDEX(Inputs!$D$4:$AG$150,0,MATCH(Q$2,Inputs!$D$2:$AG$2,0)),Inputs!$B$4:$B$150,$B38)/1000)</f>
        <v>0</v>
      </c>
      <c r="R38" s="12">
        <f>IF(Q38="","",Q38)</f>
        <v>0</v>
      </c>
      <c r="S38" s="11">
        <f>IF(S$3=0,"",SUMIFS(INDEX(Inputs!$D$4:$AG$150,0,MATCH(S$2,Inputs!$D$2:$AG$2,0)),Inputs!$B$4:$B$150,$B38)/1000)</f>
        <v>0</v>
      </c>
      <c r="T38" s="11">
        <f>IF(T$3=0,"",SUMIFS(INDEX(Inputs!$D$4:$AG$150,0,MATCH(T$2,Inputs!$D$2:$AG$2,0)),Inputs!$B$4:$B$150,$B38)/1000)</f>
        <v>0</v>
      </c>
      <c r="U38" s="11">
        <f>IF(U$3=0,"",SUMIFS(INDEX(Inputs!$D$4:$AG$150,0,MATCH(U$2,Inputs!$D$2:$AG$2,0)),Inputs!$B$4:$B$150,$B38)/1000)</f>
        <v>0</v>
      </c>
      <c r="V38" s="11">
        <f>IF(V$3=0,"",SUMIFS(INDEX(Inputs!$D$4:$AG$150,0,MATCH(V$2,Inputs!$D$2:$AG$2,0)),Inputs!$B$4:$B$150,$B38)/1000)</f>
        <v>0</v>
      </c>
      <c r="W38" s="12">
        <f>IF(V38="","",V38)</f>
        <v>0</v>
      </c>
      <c r="X38" s="11">
        <f>IF(X$3=0,"",SUMIFS(INDEX(Inputs!$D$4:$AG$150,0,MATCH(X$2,Inputs!$D$2:$AG$2,0)),Inputs!$B$4:$B$150,$B38)/1000)</f>
        <v>0</v>
      </c>
      <c r="Y38" s="11">
        <f>IF(Y$3=0,"",SUMIFS(INDEX(Inputs!$D$4:$AG$150,0,MATCH(Y$2,Inputs!$D$2:$AG$2,0)),Inputs!$B$4:$B$150,$B38)/1000)</f>
        <v>0</v>
      </c>
      <c r="Z38" s="11">
        <f>IF(Z$3=0,"",SUMIFS(INDEX(Inputs!$D$4:$AG$150,0,MATCH(Z$2,Inputs!$D$2:$AG$2,0)),Inputs!$B$4:$B$150,$B38)/1000)</f>
        <v>0</v>
      </c>
      <c r="AA38" s="11">
        <f>IF(AA$3=0,"",SUMIFS(INDEX(Inputs!$D$4:$AG$150,0,MATCH(AA$2,Inputs!$D$2:$AG$2,0)),Inputs!$B$4:$B$150,$B38)/1000)</f>
        <v>0</v>
      </c>
      <c r="AB38" s="12">
        <f>IF(AA38="","",AA38)</f>
        <v>0</v>
      </c>
      <c r="AC38" s="11">
        <f>IF(AC$3=0,"",SUMIFS(INDEX(Inputs!$D$4:$AG$150,0,MATCH(AC$2,Inputs!$D$2:$AG$2,0)),Inputs!$B$4:$B$150,$B38)/1000)</f>
        <v>0</v>
      </c>
      <c r="AD38" s="11">
        <f>IF(AD$3=0,"",SUMIFS(INDEX(Inputs!$D$4:$AG$150,0,MATCH(AD$2,Inputs!$D$2:$AG$2,0)),Inputs!$B$4:$B$150,$B38)/1000)</f>
        <v>0</v>
      </c>
      <c r="AE38" s="11" t="str">
        <f>IF(AE$3=0,"",SUMIFS(INDEX(Inputs!$D$4:$AG$150,0,MATCH(AE$2,Inputs!$D$2:$AG$2,0)),Inputs!$B$4:$B$150,$B38)/1000)</f>
        <v/>
      </c>
      <c r="AF38" s="11" t="str">
        <f>IF(AF$3=0,"",SUMIFS(INDEX(Inputs!$D$4:$AG$150,0,MATCH(AF$2,Inputs!$D$2:$AG$2,0)),Inputs!$B$4:$B$150,$B38)/1000)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IF(D$3=0,"",SUMIFS(INDEX(Inputs!$D$4:$AG$150,0,MATCH(D$2,Inputs!$D$2:$AG$2,0)),Inputs!$B$4:$B$150,$B39)/1000)</f>
        <v>2052</v>
      </c>
      <c r="E39" s="11">
        <f>IF(E$3=0,"",SUMIFS(INDEX(Inputs!$D$4:$AG$150,0,MATCH(E$2,Inputs!$D$2:$AG$2,0)),Inputs!$B$4:$B$150,$B39)/1000)</f>
        <v>2182</v>
      </c>
      <c r="F39" s="11">
        <f>IF(F$3=0,"",SUMIFS(INDEX(Inputs!$D$4:$AG$150,0,MATCH(F$2,Inputs!$D$2:$AG$2,0)),Inputs!$B$4:$B$150,$B39)/1000)</f>
        <v>2415</v>
      </c>
      <c r="G39" s="11">
        <f>IF(G$3=0,"",SUMIFS(INDEX(Inputs!$D$4:$AG$150,0,MATCH(G$2,Inputs!$D$2:$AG$2,0)),Inputs!$B$4:$B$150,$B39)/1000)</f>
        <v>2491</v>
      </c>
      <c r="H39" s="12">
        <f>IF(G39="","",G39)</f>
        <v>2491</v>
      </c>
      <c r="I39" s="11">
        <f>IF(I$3=0,"",SUMIFS(INDEX(Inputs!$D$4:$AG$150,0,MATCH(I$2,Inputs!$D$2:$AG$2,0)),Inputs!$B$4:$B$150,$B39)/1000)</f>
        <v>2311</v>
      </c>
      <c r="J39" s="11">
        <f>IF(J$3=0,"",SUMIFS(INDEX(Inputs!$D$4:$AG$150,0,MATCH(J$2,Inputs!$D$2:$AG$2,0)),Inputs!$B$4:$B$150,$B39)/1000)</f>
        <v>2535</v>
      </c>
      <c r="K39" s="11">
        <f>IF(K$3=0,"",SUMIFS(INDEX(Inputs!$D$4:$AG$150,0,MATCH(K$2,Inputs!$D$2:$AG$2,0)),Inputs!$B$4:$B$150,$B39)/1000)</f>
        <v>2555</v>
      </c>
      <c r="L39" s="11">
        <f>IF(L$3=0,"",SUMIFS(INDEX(Inputs!$D$4:$AG$150,0,MATCH(L$2,Inputs!$D$2:$AG$2,0)),Inputs!$B$4:$B$150,$B39)/1000)</f>
        <v>2509</v>
      </c>
      <c r="M39" s="12">
        <f>IF(L39="","",L39)</f>
        <v>2509</v>
      </c>
      <c r="N39" s="11">
        <f>IF(N$3=0,"",SUMIFS(INDEX(Inputs!$D$4:$AG$150,0,MATCH(N$2,Inputs!$D$2:$AG$2,0)),Inputs!$B$4:$B$150,$B39)/1000)</f>
        <v>2470</v>
      </c>
      <c r="O39" s="11">
        <f>IF(O$3=0,"",SUMIFS(INDEX(Inputs!$D$4:$AG$150,0,MATCH(O$2,Inputs!$D$2:$AG$2,0)),Inputs!$B$4:$B$150,$B39)/1000)</f>
        <v>2467</v>
      </c>
      <c r="P39" s="11">
        <f>IF(P$3=0,"",SUMIFS(INDEX(Inputs!$D$4:$AG$150,0,MATCH(P$2,Inputs!$D$2:$AG$2,0)),Inputs!$B$4:$B$150,$B39)/1000)</f>
        <v>2550</v>
      </c>
      <c r="Q39" s="11">
        <f>IF(Q$3=0,"",SUMIFS(INDEX(Inputs!$D$4:$AG$150,0,MATCH(Q$2,Inputs!$D$2:$AG$2,0)),Inputs!$B$4:$B$150,$B39)/1000)</f>
        <v>2541</v>
      </c>
      <c r="R39" s="12">
        <f>IF(Q39="","",Q39)</f>
        <v>2541</v>
      </c>
      <c r="S39" s="11">
        <f>IF(S$3=0,"",SUMIFS(INDEX(Inputs!$D$4:$AG$150,0,MATCH(S$2,Inputs!$D$2:$AG$2,0)),Inputs!$B$4:$B$150,$B39)/1000)</f>
        <v>2522</v>
      </c>
      <c r="T39" s="11">
        <f>IF(T$3=0,"",SUMIFS(INDEX(Inputs!$D$4:$AG$150,0,MATCH(T$2,Inputs!$D$2:$AG$2,0)),Inputs!$B$4:$B$150,$B39)/1000)</f>
        <v>2559</v>
      </c>
      <c r="U39" s="11">
        <f>IF(U$3=0,"",SUMIFS(INDEX(Inputs!$D$4:$AG$150,0,MATCH(U$2,Inputs!$D$2:$AG$2,0)),Inputs!$B$4:$B$150,$B39)/1000)</f>
        <v>2576</v>
      </c>
      <c r="V39" s="11">
        <f>IF(V$3=0,"",SUMIFS(INDEX(Inputs!$D$4:$AG$150,0,MATCH(V$2,Inputs!$D$2:$AG$2,0)),Inputs!$B$4:$B$150,$B39)/1000)</f>
        <v>2613</v>
      </c>
      <c r="W39" s="12">
        <f>IF(V39="","",V39)</f>
        <v>2613</v>
      </c>
      <c r="X39" s="11">
        <f>IF(X$3=0,"",SUMIFS(INDEX(Inputs!$D$4:$AG$150,0,MATCH(X$2,Inputs!$D$2:$AG$2,0)),Inputs!$B$4:$B$150,$B39)/1000)</f>
        <v>2609</v>
      </c>
      <c r="Y39" s="11">
        <f>IF(Y$3=0,"",SUMIFS(INDEX(Inputs!$D$4:$AG$150,0,MATCH(Y$2,Inputs!$D$2:$AG$2,0)),Inputs!$B$4:$B$150,$B39)/1000)</f>
        <v>2598</v>
      </c>
      <c r="Z39" s="11">
        <f>IF(Z$3=0,"",SUMIFS(INDEX(Inputs!$D$4:$AG$150,0,MATCH(Z$2,Inputs!$D$2:$AG$2,0)),Inputs!$B$4:$B$150,$B39)/1000)</f>
        <v>2654</v>
      </c>
      <c r="AA39" s="11">
        <f>IF(AA$3=0,"",SUMIFS(INDEX(Inputs!$D$4:$AG$150,0,MATCH(AA$2,Inputs!$D$2:$AG$2,0)),Inputs!$B$4:$B$150,$B39)/1000)</f>
        <v>2580</v>
      </c>
      <c r="AB39" s="12">
        <f>IF(AA39="","",AA39)</f>
        <v>2580</v>
      </c>
      <c r="AC39" s="11">
        <f>IF(AC$3=0,"",SUMIFS(INDEX(Inputs!$D$4:$AG$150,0,MATCH(AC$2,Inputs!$D$2:$AG$2,0)),Inputs!$B$4:$B$150,$B39)/1000)</f>
        <v>2624</v>
      </c>
      <c r="AD39" s="11">
        <f>IF(AD$3=0,"",SUMIFS(INDEX(Inputs!$D$4:$AG$150,0,MATCH(AD$2,Inputs!$D$2:$AG$2,0)),Inputs!$B$4:$B$150,$B39)/1000)</f>
        <v>2660</v>
      </c>
      <c r="AE39" s="11" t="str">
        <f>IF(AE$3=0,"",SUMIFS(INDEX(Inputs!$D$4:$AG$150,0,MATCH(AE$2,Inputs!$D$2:$AG$2,0)),Inputs!$B$4:$B$150,$B39)/1000)</f>
        <v/>
      </c>
      <c r="AF39" s="11" t="str">
        <f>IF(AF$3=0,"",SUMIFS(INDEX(Inputs!$D$4:$AG$150,0,MATCH(AF$2,Inputs!$D$2:$AG$2,0)),Inputs!$B$4:$B$150,$B39)/1000)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IF(D$3=0,"",SUMIFS(INDEX(Inputs!$D$4:$AG$150,0,MATCH(D$2,Inputs!$D$2:$AG$2,0)),Inputs!$B$4:$B$150,$B41)/1000)</f>
        <v>477</v>
      </c>
      <c r="E41" s="11">
        <f>IF(E$3=0,"",SUMIFS(INDEX(Inputs!$D$4:$AG$150,0,MATCH(E$2,Inputs!$D$2:$AG$2,0)),Inputs!$B$4:$B$150,$B41)/1000)</f>
        <v>492</v>
      </c>
      <c r="F41" s="11">
        <f>IF(F$3=0,"",SUMIFS(INDEX(Inputs!$D$4:$AG$150,0,MATCH(F$2,Inputs!$D$2:$AG$2,0)),Inputs!$B$4:$B$150,$B41)/1000)</f>
        <v>514</v>
      </c>
      <c r="G41" s="11">
        <f>IF(G$3=0,"",SUMIFS(INDEX(Inputs!$D$4:$AG$150,0,MATCH(G$2,Inputs!$D$2:$AG$2,0)),Inputs!$B$4:$B$150,$B41)/1000)</f>
        <v>537</v>
      </c>
      <c r="H41" s="12">
        <f>IF(G41="","",G41)</f>
        <v>537</v>
      </c>
      <c r="I41" s="11">
        <f>IF(I$3=0,"",SUMIFS(INDEX(Inputs!$D$4:$AG$150,0,MATCH(I$2,Inputs!$D$2:$AG$2,0)),Inputs!$B$4:$B$150,$B41)/1000)</f>
        <v>558</v>
      </c>
      <c r="J41" s="11">
        <f>IF(J$3=0,"",SUMIFS(INDEX(Inputs!$D$4:$AG$150,0,MATCH(J$2,Inputs!$D$2:$AG$2,0)),Inputs!$B$4:$B$150,$B41)/1000)</f>
        <v>545</v>
      </c>
      <c r="K41" s="11">
        <f>IF(K$3=0,"",SUMIFS(INDEX(Inputs!$D$4:$AG$150,0,MATCH(K$2,Inputs!$D$2:$AG$2,0)),Inputs!$B$4:$B$150,$B41)/1000)</f>
        <v>5</v>
      </c>
      <c r="L41" s="11">
        <f>IF(L$3=0,"",SUMIFS(INDEX(Inputs!$D$4:$AG$150,0,MATCH(L$2,Inputs!$D$2:$AG$2,0)),Inputs!$B$4:$B$150,$B41)/1000)</f>
        <v>5</v>
      </c>
      <c r="M41" s="12">
        <f>IF(L41="","",L41)</f>
        <v>5</v>
      </c>
      <c r="N41" s="11">
        <f>IF(N$3=0,"",SUMIFS(INDEX(Inputs!$D$4:$AG$150,0,MATCH(N$2,Inputs!$D$2:$AG$2,0)),Inputs!$B$4:$B$150,$B41)/1000)</f>
        <v>5</v>
      </c>
      <c r="O41" s="11">
        <f>IF(O$3=0,"",SUMIFS(INDEX(Inputs!$D$4:$AG$150,0,MATCH(O$2,Inputs!$D$2:$AG$2,0)),Inputs!$B$4:$B$150,$B41)/1000)</f>
        <v>5</v>
      </c>
      <c r="P41" s="11">
        <f>IF(P$3=0,"",SUMIFS(INDEX(Inputs!$D$4:$AG$150,0,MATCH(P$2,Inputs!$D$2:$AG$2,0)),Inputs!$B$4:$B$150,$B41)/1000)</f>
        <v>0</v>
      </c>
      <c r="Q41" s="11">
        <f>IF(Q$3=0,"",SUMIFS(INDEX(Inputs!$D$4:$AG$150,0,MATCH(Q$2,Inputs!$D$2:$AG$2,0)),Inputs!$B$4:$B$150,$B41)/1000)</f>
        <v>0</v>
      </c>
      <c r="R41" s="12">
        <f>IF(Q41="","",Q41)</f>
        <v>0</v>
      </c>
      <c r="S41" s="11">
        <f>IF(S$3=0,"",SUMIFS(INDEX(Inputs!$D$4:$AG$150,0,MATCH(S$2,Inputs!$D$2:$AG$2,0)),Inputs!$B$4:$B$150,$B41)/1000)</f>
        <v>0</v>
      </c>
      <c r="T41" s="11">
        <f>IF(T$3=0,"",SUMIFS(INDEX(Inputs!$D$4:$AG$150,0,MATCH(T$2,Inputs!$D$2:$AG$2,0)),Inputs!$B$4:$B$150,$B41)/1000)</f>
        <v>0</v>
      </c>
      <c r="U41" s="11">
        <f>IF(U$3=0,"",SUMIFS(INDEX(Inputs!$D$4:$AG$150,0,MATCH(U$2,Inputs!$D$2:$AG$2,0)),Inputs!$B$4:$B$150,$B41)/1000)</f>
        <v>0</v>
      </c>
      <c r="V41" s="11">
        <f>IF(V$3=0,"",SUMIFS(INDEX(Inputs!$D$4:$AG$150,0,MATCH(V$2,Inputs!$D$2:$AG$2,0)),Inputs!$B$4:$B$150,$B41)/1000)</f>
        <v>0</v>
      </c>
      <c r="W41" s="12">
        <f>IF(V41="","",V41)</f>
        <v>0</v>
      </c>
      <c r="X41" s="11">
        <f>IF(X$3=0,"",SUMIFS(INDEX(Inputs!$D$4:$AG$150,0,MATCH(X$2,Inputs!$D$2:$AG$2,0)),Inputs!$B$4:$B$150,$B41)/1000)</f>
        <v>0</v>
      </c>
      <c r="Y41" s="11">
        <f>IF(Y$3=0,"",SUMIFS(INDEX(Inputs!$D$4:$AG$150,0,MATCH(Y$2,Inputs!$D$2:$AG$2,0)),Inputs!$B$4:$B$150,$B41)/1000)</f>
        <v>0</v>
      </c>
      <c r="Z41" s="11">
        <f>IF(Z$3=0,"",SUMIFS(INDEX(Inputs!$D$4:$AG$150,0,MATCH(Z$2,Inputs!$D$2:$AG$2,0)),Inputs!$B$4:$B$150,$B41)/1000)</f>
        <v>0</v>
      </c>
      <c r="AA41" s="11">
        <f>IF(AA$3=0,"",SUMIFS(INDEX(Inputs!$D$4:$AG$150,0,MATCH(AA$2,Inputs!$D$2:$AG$2,0)),Inputs!$B$4:$B$150,$B41)/1000)</f>
        <v>0</v>
      </c>
      <c r="AB41" s="12">
        <f>IF(AA41="","",AA41)</f>
        <v>0</v>
      </c>
      <c r="AC41" s="11">
        <f>IF(AC$3=0,"",SUMIFS(INDEX(Inputs!$D$4:$AG$150,0,MATCH(AC$2,Inputs!$D$2:$AG$2,0)),Inputs!$B$4:$B$150,$B41)/1000)</f>
        <v>0</v>
      </c>
      <c r="AD41" s="11">
        <f>IF(AD$3=0,"",SUMIFS(INDEX(Inputs!$D$4:$AG$150,0,MATCH(AD$2,Inputs!$D$2:$AG$2,0)),Inputs!$B$4:$B$150,$B41)/1000)</f>
        <v>0</v>
      </c>
      <c r="AE41" s="11" t="str">
        <f>IF(AE$3=0,"",SUMIFS(INDEX(Inputs!$D$4:$AG$150,0,MATCH(AE$2,Inputs!$D$2:$AG$2,0)),Inputs!$B$4:$B$150,$B41)/1000)</f>
        <v/>
      </c>
      <c r="AF41" s="11" t="str">
        <f>IF(AF$3=0,"",SUMIFS(INDEX(Inputs!$D$4:$AG$150,0,MATCH(AF$2,Inputs!$D$2:$AG$2,0)),Inputs!$B$4:$B$150,$B41)/1000)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IF(D$3=0,"",SUMIFS(INDEX(Inputs!$D$4:$AG$150,0,MATCH(D$2,Inputs!$D$2:$AG$2,0)),Inputs!$B$4:$B$150,$B42)/1000)</f>
        <v>0</v>
      </c>
      <c r="E42" s="11">
        <f>IF(E$3=0,"",SUMIFS(INDEX(Inputs!$D$4:$AG$150,0,MATCH(E$2,Inputs!$D$2:$AG$2,0)),Inputs!$B$4:$B$150,$B42)/1000)</f>
        <v>0</v>
      </c>
      <c r="F42" s="11">
        <f>IF(F$3=0,"",SUMIFS(INDEX(Inputs!$D$4:$AG$150,0,MATCH(F$2,Inputs!$D$2:$AG$2,0)),Inputs!$B$4:$B$150,$B42)/1000)</f>
        <v>0</v>
      </c>
      <c r="G42" s="11">
        <f>IF(G$3=0,"",SUMIFS(INDEX(Inputs!$D$4:$AG$150,0,MATCH(G$2,Inputs!$D$2:$AG$2,0)),Inputs!$B$4:$B$150,$B42)/1000)</f>
        <v>0</v>
      </c>
      <c r="H42" s="12">
        <f>IF(G42="","",G42)</f>
        <v>0</v>
      </c>
      <c r="I42" s="11">
        <f>IF(I$3=0,"",SUMIFS(INDEX(Inputs!$D$4:$AG$150,0,MATCH(I$2,Inputs!$D$2:$AG$2,0)),Inputs!$B$4:$B$150,$B42)/1000)</f>
        <v>0</v>
      </c>
      <c r="J42" s="11">
        <f>IF(J$3=0,"",SUMIFS(INDEX(Inputs!$D$4:$AG$150,0,MATCH(J$2,Inputs!$D$2:$AG$2,0)),Inputs!$B$4:$B$150,$B42)/1000)</f>
        <v>0</v>
      </c>
      <c r="K42" s="11">
        <f>IF(K$3=0,"",SUMIFS(INDEX(Inputs!$D$4:$AG$150,0,MATCH(K$2,Inputs!$D$2:$AG$2,0)),Inputs!$B$4:$B$150,$B42)/1000)</f>
        <v>0</v>
      </c>
      <c r="L42" s="11">
        <f>IF(L$3=0,"",SUMIFS(INDEX(Inputs!$D$4:$AG$150,0,MATCH(L$2,Inputs!$D$2:$AG$2,0)),Inputs!$B$4:$B$150,$B42)/1000)</f>
        <v>0</v>
      </c>
      <c r="M42" s="12">
        <f>IF(L42="","",L42)</f>
        <v>0</v>
      </c>
      <c r="N42" s="11">
        <f>IF(N$3=0,"",SUMIFS(INDEX(Inputs!$D$4:$AG$150,0,MATCH(N$2,Inputs!$D$2:$AG$2,0)),Inputs!$B$4:$B$150,$B42)/1000)</f>
        <v>0</v>
      </c>
      <c r="O42" s="11">
        <f>IF(O$3=0,"",SUMIFS(INDEX(Inputs!$D$4:$AG$150,0,MATCH(O$2,Inputs!$D$2:$AG$2,0)),Inputs!$B$4:$B$150,$B42)/1000)</f>
        <v>0</v>
      </c>
      <c r="P42" s="11">
        <f>IF(P$3=0,"",SUMIFS(INDEX(Inputs!$D$4:$AG$150,0,MATCH(P$2,Inputs!$D$2:$AG$2,0)),Inputs!$B$4:$B$150,$B42)/1000)</f>
        <v>0</v>
      </c>
      <c r="Q42" s="11">
        <f>IF(Q$3=0,"",SUMIFS(INDEX(Inputs!$D$4:$AG$150,0,MATCH(Q$2,Inputs!$D$2:$AG$2,0)),Inputs!$B$4:$B$150,$B42)/1000)</f>
        <v>0</v>
      </c>
      <c r="R42" s="12">
        <f>IF(Q42="","",Q42)</f>
        <v>0</v>
      </c>
      <c r="S42" s="11">
        <f>IF(S$3=0,"",SUMIFS(INDEX(Inputs!$D$4:$AG$150,0,MATCH(S$2,Inputs!$D$2:$AG$2,0)),Inputs!$B$4:$B$150,$B42)/1000)</f>
        <v>0</v>
      </c>
      <c r="T42" s="11">
        <f>IF(T$3=0,"",SUMIFS(INDEX(Inputs!$D$4:$AG$150,0,MATCH(T$2,Inputs!$D$2:$AG$2,0)),Inputs!$B$4:$B$150,$B42)/1000)</f>
        <v>0</v>
      </c>
      <c r="U42" s="11">
        <f>IF(U$3=0,"",SUMIFS(INDEX(Inputs!$D$4:$AG$150,0,MATCH(U$2,Inputs!$D$2:$AG$2,0)),Inputs!$B$4:$B$150,$B42)/1000)</f>
        <v>0</v>
      </c>
      <c r="V42" s="11">
        <f>IF(V$3=0,"",SUMIFS(INDEX(Inputs!$D$4:$AG$150,0,MATCH(V$2,Inputs!$D$2:$AG$2,0)),Inputs!$B$4:$B$150,$B42)/1000)</f>
        <v>0</v>
      </c>
      <c r="W42" s="12">
        <f>IF(V42="","",V42)</f>
        <v>0</v>
      </c>
      <c r="X42" s="11">
        <f>IF(X$3=0,"",SUMIFS(INDEX(Inputs!$D$4:$AG$150,0,MATCH(X$2,Inputs!$D$2:$AG$2,0)),Inputs!$B$4:$B$150,$B42)/1000)</f>
        <v>0</v>
      </c>
      <c r="Y42" s="11">
        <f>IF(Y$3=0,"",SUMIFS(INDEX(Inputs!$D$4:$AG$150,0,MATCH(Y$2,Inputs!$D$2:$AG$2,0)),Inputs!$B$4:$B$150,$B42)/1000)</f>
        <v>0</v>
      </c>
      <c r="Z42" s="11">
        <f>IF(Z$3=0,"",SUMIFS(INDEX(Inputs!$D$4:$AG$150,0,MATCH(Z$2,Inputs!$D$2:$AG$2,0)),Inputs!$B$4:$B$150,$B42)/1000)</f>
        <v>0</v>
      </c>
      <c r="AA42" s="11">
        <f>IF(AA$3=0,"",SUMIFS(INDEX(Inputs!$D$4:$AG$150,0,MATCH(AA$2,Inputs!$D$2:$AG$2,0)),Inputs!$B$4:$B$150,$B42)/1000)</f>
        <v>0</v>
      </c>
      <c r="AB42" s="12">
        <f>IF(AA42="","",AA42)</f>
        <v>0</v>
      </c>
      <c r="AC42" s="11">
        <f>IF(AC$3=0,"",SUMIFS(INDEX(Inputs!$D$4:$AG$150,0,MATCH(AC$2,Inputs!$D$2:$AG$2,0)),Inputs!$B$4:$B$150,$B42)/1000)</f>
        <v>0</v>
      </c>
      <c r="AD42" s="11">
        <f>IF(AD$3=0,"",SUMIFS(INDEX(Inputs!$D$4:$AG$150,0,MATCH(AD$2,Inputs!$D$2:$AG$2,0)),Inputs!$B$4:$B$150,$B42)/1000)</f>
        <v>0</v>
      </c>
      <c r="AE42" s="11" t="str">
        <f>IF(AE$3=0,"",SUMIFS(INDEX(Inputs!$D$4:$AG$150,0,MATCH(AE$2,Inputs!$D$2:$AG$2,0)),Inputs!$B$4:$B$150,$B42)/1000)</f>
        <v/>
      </c>
      <c r="AF42" s="11" t="str">
        <f>IF(AF$3=0,"",SUMIFS(INDEX(Inputs!$D$4:$AG$150,0,MATCH(AF$2,Inputs!$D$2:$AG$2,0)),Inputs!$B$4:$B$150,$B42)/1000)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IF(D$3=0,"",SUMIFS(INDEX(Inputs!$D$4:$AG$150,0,MATCH(D$2,Inputs!$D$2:$AG$2,0)),Inputs!$B$4:$B$150,$B43)/1000)</f>
        <v>6847</v>
      </c>
      <c r="E43" s="11">
        <f>IF(E$3=0,"",SUMIFS(INDEX(Inputs!$D$4:$AG$150,0,MATCH(E$2,Inputs!$D$2:$AG$2,0)),Inputs!$B$4:$B$150,$B43)/1000)</f>
        <v>6925</v>
      </c>
      <c r="F43" s="11">
        <f>IF(F$3=0,"",SUMIFS(INDEX(Inputs!$D$4:$AG$150,0,MATCH(F$2,Inputs!$D$2:$AG$2,0)),Inputs!$B$4:$B$150,$B43)/1000)</f>
        <v>7035</v>
      </c>
      <c r="G43" s="11">
        <f>IF(G$3=0,"",SUMIFS(INDEX(Inputs!$D$4:$AG$150,0,MATCH(G$2,Inputs!$D$2:$AG$2,0)),Inputs!$B$4:$B$150,$B43)/1000)</f>
        <v>7068</v>
      </c>
      <c r="H43" s="12">
        <f>IF(G43="","",G43)</f>
        <v>7068</v>
      </c>
      <c r="I43" s="11">
        <f>IF(I$3=0,"",SUMIFS(INDEX(Inputs!$D$4:$AG$150,0,MATCH(I$2,Inputs!$D$2:$AG$2,0)),Inputs!$B$4:$B$150,$B43)/1000)</f>
        <v>7190</v>
      </c>
      <c r="J43" s="11">
        <f>IF(J$3=0,"",SUMIFS(INDEX(Inputs!$D$4:$AG$150,0,MATCH(J$2,Inputs!$D$2:$AG$2,0)),Inputs!$B$4:$B$150,$B43)/1000)</f>
        <v>7276</v>
      </c>
      <c r="K43" s="11">
        <f>IF(K$3=0,"",SUMIFS(INDEX(Inputs!$D$4:$AG$150,0,MATCH(K$2,Inputs!$D$2:$AG$2,0)),Inputs!$B$4:$B$150,$B43)/1000)</f>
        <v>6886</v>
      </c>
      <c r="L43" s="11">
        <f>IF(L$3=0,"",SUMIFS(INDEX(Inputs!$D$4:$AG$150,0,MATCH(L$2,Inputs!$D$2:$AG$2,0)),Inputs!$B$4:$B$150,$B43)/1000)</f>
        <v>6984</v>
      </c>
      <c r="M43" s="12">
        <f>IF(L43="","",L43)</f>
        <v>6984</v>
      </c>
      <c r="N43" s="11">
        <f>IF(N$3=0,"",SUMIFS(INDEX(Inputs!$D$4:$AG$150,0,MATCH(N$2,Inputs!$D$2:$AG$2,0)),Inputs!$B$4:$B$150,$B43)/1000)</f>
        <v>7125</v>
      </c>
      <c r="O43" s="11">
        <f>IF(O$3=0,"",SUMIFS(INDEX(Inputs!$D$4:$AG$150,0,MATCH(O$2,Inputs!$D$2:$AG$2,0)),Inputs!$B$4:$B$150,$B43)/1000)</f>
        <v>7213</v>
      </c>
      <c r="P43" s="11">
        <f>IF(P$3=0,"",SUMIFS(INDEX(Inputs!$D$4:$AG$150,0,MATCH(P$2,Inputs!$D$2:$AG$2,0)),Inputs!$B$4:$B$150,$B43)/1000)</f>
        <v>7342</v>
      </c>
      <c r="Q43" s="11">
        <f>IF(Q$3=0,"",SUMIFS(INDEX(Inputs!$D$4:$AG$150,0,MATCH(Q$2,Inputs!$D$2:$AG$2,0)),Inputs!$B$4:$B$150,$B43)/1000)</f>
        <v>7491</v>
      </c>
      <c r="R43" s="12">
        <f>IF(Q43="","",Q43)</f>
        <v>7491</v>
      </c>
      <c r="S43" s="11">
        <f>IF(S$3=0,"",SUMIFS(INDEX(Inputs!$D$4:$AG$150,0,MATCH(S$2,Inputs!$D$2:$AG$2,0)),Inputs!$B$4:$B$150,$B43)/1000)</f>
        <v>7622</v>
      </c>
      <c r="T43" s="11">
        <f>IF(T$3=0,"",SUMIFS(INDEX(Inputs!$D$4:$AG$150,0,MATCH(T$2,Inputs!$D$2:$AG$2,0)),Inputs!$B$4:$B$150,$B43)/1000)</f>
        <v>7704</v>
      </c>
      <c r="U43" s="11">
        <f>IF(U$3=0,"",SUMIFS(INDEX(Inputs!$D$4:$AG$150,0,MATCH(U$2,Inputs!$D$2:$AG$2,0)),Inputs!$B$4:$B$150,$B43)/1000)</f>
        <v>7831</v>
      </c>
      <c r="V43" s="11">
        <f>IF(V$3=0,"",SUMIFS(INDEX(Inputs!$D$4:$AG$150,0,MATCH(V$2,Inputs!$D$2:$AG$2,0)),Inputs!$B$4:$B$150,$B43)/1000)</f>
        <v>7903</v>
      </c>
      <c r="W43" s="12">
        <f>IF(V43="","",V43)</f>
        <v>7903</v>
      </c>
      <c r="X43" s="11">
        <f>IF(X$3=0,"",SUMIFS(INDEX(Inputs!$D$4:$AG$150,0,MATCH(X$2,Inputs!$D$2:$AG$2,0)),Inputs!$B$4:$B$150,$B43)/1000)</f>
        <v>8049</v>
      </c>
      <c r="Y43" s="11">
        <f>IF(Y$3=0,"",SUMIFS(INDEX(Inputs!$D$4:$AG$150,0,MATCH(Y$2,Inputs!$D$2:$AG$2,0)),Inputs!$B$4:$B$150,$B43)/1000)</f>
        <v>8150</v>
      </c>
      <c r="Z43" s="11">
        <f>IF(Z$3=0,"",SUMIFS(INDEX(Inputs!$D$4:$AG$150,0,MATCH(Z$2,Inputs!$D$2:$AG$2,0)),Inputs!$B$4:$B$150,$B43)/1000)</f>
        <v>8284</v>
      </c>
      <c r="AA43" s="11">
        <f>IF(AA$3=0,"",SUMIFS(INDEX(Inputs!$D$4:$AG$150,0,MATCH(AA$2,Inputs!$D$2:$AG$2,0)),Inputs!$B$4:$B$150,$B43)/1000)</f>
        <v>8410</v>
      </c>
      <c r="AB43" s="12">
        <f>IF(AA43="","",AA43)</f>
        <v>8410</v>
      </c>
      <c r="AC43" s="11">
        <f>IF(AC$3=0,"",SUMIFS(INDEX(Inputs!$D$4:$AG$150,0,MATCH(AC$2,Inputs!$D$2:$AG$2,0)),Inputs!$B$4:$B$150,$B43)/1000)</f>
        <v>8572</v>
      </c>
      <c r="AD43" s="11">
        <f>IF(AD$3=0,"",SUMIFS(INDEX(Inputs!$D$4:$AG$150,0,MATCH(AD$2,Inputs!$D$2:$AG$2,0)),Inputs!$B$4:$B$150,$B43)/1000)</f>
        <v>8685</v>
      </c>
      <c r="AE43" s="11" t="str">
        <f>IF(AE$3=0,"",SUMIFS(INDEX(Inputs!$D$4:$AG$150,0,MATCH(AE$2,Inputs!$D$2:$AG$2,0)),Inputs!$B$4:$B$150,$B43)/1000)</f>
        <v/>
      </c>
      <c r="AF43" s="11" t="str">
        <f>IF(AF$3=0,"",SUMIFS(INDEX(Inputs!$D$4:$AG$150,0,MATCH(AF$2,Inputs!$D$2:$AG$2,0)),Inputs!$B$4:$B$150,$B43)/1000)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IF(D$3=0,"",SUMIFS(INDEX(Inputs!$D$4:$AG$150,0,MATCH(D$2,Inputs!$D$2:$AG$2,0)),Inputs!$B$4:$B$150,$B44)/1000)</f>
        <v>0</v>
      </c>
      <c r="E44" s="11">
        <f>IF(E$3=0,"",SUMIFS(INDEX(Inputs!$D$4:$AG$150,0,MATCH(E$2,Inputs!$D$2:$AG$2,0)),Inputs!$B$4:$B$150,$B44)/1000)</f>
        <v>0</v>
      </c>
      <c r="F44" s="11">
        <f>IF(F$3=0,"",SUMIFS(INDEX(Inputs!$D$4:$AG$150,0,MATCH(F$2,Inputs!$D$2:$AG$2,0)),Inputs!$B$4:$B$150,$B44)/1000)</f>
        <v>0</v>
      </c>
      <c r="G44" s="11">
        <f>IF(G$3=0,"",SUMIFS(INDEX(Inputs!$D$4:$AG$150,0,MATCH(G$2,Inputs!$D$2:$AG$2,0)),Inputs!$B$4:$B$150,$B44)/1000)</f>
        <v>0</v>
      </c>
      <c r="H44" s="12">
        <f>IF(G44="","",G44)</f>
        <v>0</v>
      </c>
      <c r="I44" s="11">
        <f>IF(I$3=0,"",SUMIFS(INDEX(Inputs!$D$4:$AG$150,0,MATCH(I$2,Inputs!$D$2:$AG$2,0)),Inputs!$B$4:$B$150,$B44)/1000)</f>
        <v>0</v>
      </c>
      <c r="J44" s="11">
        <f>IF(J$3=0,"",SUMIFS(INDEX(Inputs!$D$4:$AG$150,0,MATCH(J$2,Inputs!$D$2:$AG$2,0)),Inputs!$B$4:$B$150,$B44)/1000)</f>
        <v>0</v>
      </c>
      <c r="K44" s="11">
        <f>IF(K$3=0,"",SUMIFS(INDEX(Inputs!$D$4:$AG$150,0,MATCH(K$2,Inputs!$D$2:$AG$2,0)),Inputs!$B$4:$B$150,$B44)/1000)</f>
        <v>0</v>
      </c>
      <c r="L44" s="11">
        <f>IF(L$3=0,"",SUMIFS(INDEX(Inputs!$D$4:$AG$150,0,MATCH(L$2,Inputs!$D$2:$AG$2,0)),Inputs!$B$4:$B$150,$B44)/1000)</f>
        <v>0</v>
      </c>
      <c r="M44" s="12">
        <f>IF(L44="","",L44)</f>
        <v>0</v>
      </c>
      <c r="N44" s="11">
        <f>IF(N$3=0,"",SUMIFS(INDEX(Inputs!$D$4:$AG$150,0,MATCH(N$2,Inputs!$D$2:$AG$2,0)),Inputs!$B$4:$B$150,$B44)/1000)</f>
        <v>0</v>
      </c>
      <c r="O44" s="11">
        <f>IF(O$3=0,"",SUMIFS(INDEX(Inputs!$D$4:$AG$150,0,MATCH(O$2,Inputs!$D$2:$AG$2,0)),Inputs!$B$4:$B$150,$B44)/1000)</f>
        <v>0</v>
      </c>
      <c r="P44" s="11">
        <f>IF(P$3=0,"",SUMIFS(INDEX(Inputs!$D$4:$AG$150,0,MATCH(P$2,Inputs!$D$2:$AG$2,0)),Inputs!$B$4:$B$150,$B44)/1000)</f>
        <v>0</v>
      </c>
      <c r="Q44" s="11">
        <f>IF(Q$3=0,"",SUMIFS(INDEX(Inputs!$D$4:$AG$150,0,MATCH(Q$2,Inputs!$D$2:$AG$2,0)),Inputs!$B$4:$B$150,$B44)/1000)</f>
        <v>0</v>
      </c>
      <c r="R44" s="12">
        <f>IF(Q44="","",Q44)</f>
        <v>0</v>
      </c>
      <c r="S44" s="11">
        <f>IF(S$3=0,"",SUMIFS(INDEX(Inputs!$D$4:$AG$150,0,MATCH(S$2,Inputs!$D$2:$AG$2,0)),Inputs!$B$4:$B$150,$B44)/1000)</f>
        <v>0</v>
      </c>
      <c r="T44" s="11">
        <f>IF(T$3=0,"",SUMIFS(INDEX(Inputs!$D$4:$AG$150,0,MATCH(T$2,Inputs!$D$2:$AG$2,0)),Inputs!$B$4:$B$150,$B44)/1000)</f>
        <v>0</v>
      </c>
      <c r="U44" s="11">
        <f>IF(U$3=0,"",SUMIFS(INDEX(Inputs!$D$4:$AG$150,0,MATCH(U$2,Inputs!$D$2:$AG$2,0)),Inputs!$B$4:$B$150,$B44)/1000)</f>
        <v>0</v>
      </c>
      <c r="V44" s="11">
        <f>IF(V$3=0,"",SUMIFS(INDEX(Inputs!$D$4:$AG$150,0,MATCH(V$2,Inputs!$D$2:$AG$2,0)),Inputs!$B$4:$B$150,$B44)/1000)</f>
        <v>0</v>
      </c>
      <c r="W44" s="12">
        <f>IF(V44="","",V44)</f>
        <v>0</v>
      </c>
      <c r="X44" s="11">
        <f>IF(X$3=0,"",SUMIFS(INDEX(Inputs!$D$4:$AG$150,0,MATCH(X$2,Inputs!$D$2:$AG$2,0)),Inputs!$B$4:$B$150,$B44)/1000)</f>
        <v>0</v>
      </c>
      <c r="Y44" s="11">
        <f>IF(Y$3=0,"",SUMIFS(INDEX(Inputs!$D$4:$AG$150,0,MATCH(Y$2,Inputs!$D$2:$AG$2,0)),Inputs!$B$4:$B$150,$B44)/1000)</f>
        <v>0</v>
      </c>
      <c r="Z44" s="11">
        <f>IF(Z$3=0,"",SUMIFS(INDEX(Inputs!$D$4:$AG$150,0,MATCH(Z$2,Inputs!$D$2:$AG$2,0)),Inputs!$B$4:$B$150,$B44)/1000)</f>
        <v>0</v>
      </c>
      <c r="AA44" s="11">
        <f>IF(AA$3=0,"",SUMIFS(INDEX(Inputs!$D$4:$AG$150,0,MATCH(AA$2,Inputs!$D$2:$AG$2,0)),Inputs!$B$4:$B$150,$B44)/1000)</f>
        <v>0</v>
      </c>
      <c r="AB44" s="12">
        <f>IF(AA44="","",AA44)</f>
        <v>0</v>
      </c>
      <c r="AC44" s="11">
        <f>IF(AC$3=0,"",SUMIFS(INDEX(Inputs!$D$4:$AG$150,0,MATCH(AC$2,Inputs!$D$2:$AG$2,0)),Inputs!$B$4:$B$150,$B44)/1000)</f>
        <v>0</v>
      </c>
      <c r="AD44" s="11">
        <f>IF(AD$3=0,"",SUMIFS(INDEX(Inputs!$D$4:$AG$150,0,MATCH(AD$2,Inputs!$D$2:$AG$2,0)),Inputs!$B$4:$B$150,$B44)/1000)</f>
        <v>0</v>
      </c>
      <c r="AE44" s="11" t="str">
        <f>IF(AE$3=0,"",SUMIFS(INDEX(Inputs!$D$4:$AG$150,0,MATCH(AE$2,Inputs!$D$2:$AG$2,0)),Inputs!$B$4:$B$150,$B44)/1000)</f>
        <v/>
      </c>
      <c r="AF44" s="11" t="str">
        <f>IF(AF$3=0,"",SUMIFS(INDEX(Inputs!$D$4:$AG$150,0,MATCH(AF$2,Inputs!$D$2:$AG$2,0)),Inputs!$B$4:$B$150,$B44)/1000)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IF(D$3=0,"",SUMIFS(INDEX(Inputs!$D$4:$AG$150,0,MATCH(D$2,Inputs!$D$2:$AG$2,0)),Inputs!$B$4:$B$150,$B45)/1000)</f>
        <v>-961</v>
      </c>
      <c r="E45" s="11">
        <f>IF(E$3=0,"",SUMIFS(INDEX(Inputs!$D$4:$AG$150,0,MATCH(E$2,Inputs!$D$2:$AG$2,0)),Inputs!$B$4:$B$150,$B45)/1000)</f>
        <v>-909</v>
      </c>
      <c r="F45" s="11">
        <f>IF(F$3=0,"",SUMIFS(INDEX(Inputs!$D$4:$AG$150,0,MATCH(F$2,Inputs!$D$2:$AG$2,0)),Inputs!$B$4:$B$150,$B45)/1000)</f>
        <v>-1137</v>
      </c>
      <c r="G45" s="11">
        <f>IF(G$3=0,"",SUMIFS(INDEX(Inputs!$D$4:$AG$150,0,MATCH(G$2,Inputs!$D$2:$AG$2,0)),Inputs!$B$4:$B$150,$B45)/1000)</f>
        <v>-1211</v>
      </c>
      <c r="H45" s="12">
        <f>IF(G45="","",G45)</f>
        <v>-1211</v>
      </c>
      <c r="I45" s="11">
        <f>IF(I$3=0,"",SUMIFS(INDEX(Inputs!$D$4:$AG$150,0,MATCH(I$2,Inputs!$D$2:$AG$2,0)),Inputs!$B$4:$B$150,$B45)/1000)</f>
        <v>-1246</v>
      </c>
      <c r="J45" s="11">
        <f>IF(J$3=0,"",SUMIFS(INDEX(Inputs!$D$4:$AG$150,0,MATCH(J$2,Inputs!$D$2:$AG$2,0)),Inputs!$B$4:$B$150,$B45)/1000)</f>
        <v>-1602</v>
      </c>
      <c r="K45" s="11">
        <f>IF(K$3=0,"",SUMIFS(INDEX(Inputs!$D$4:$AG$150,0,MATCH(K$2,Inputs!$D$2:$AG$2,0)),Inputs!$B$4:$B$150,$B45)/1000)</f>
        <v>-1829</v>
      </c>
      <c r="L45" s="11">
        <f>IF(L$3=0,"",SUMIFS(INDEX(Inputs!$D$4:$AG$150,0,MATCH(L$2,Inputs!$D$2:$AG$2,0)),Inputs!$B$4:$B$150,$B45)/1000)</f>
        <v>-1925</v>
      </c>
      <c r="M45" s="12">
        <f>IF(L45="","",L45)</f>
        <v>-1925</v>
      </c>
      <c r="N45" s="11">
        <f>IF(N$3=0,"",SUMIFS(INDEX(Inputs!$D$4:$AG$150,0,MATCH(N$2,Inputs!$D$2:$AG$2,0)),Inputs!$B$4:$B$150,$B45)/1000)</f>
        <v>-1672</v>
      </c>
      <c r="O45" s="11">
        <f>IF(O$3=0,"",SUMIFS(INDEX(Inputs!$D$4:$AG$150,0,MATCH(O$2,Inputs!$D$2:$AG$2,0)),Inputs!$B$4:$B$150,$B45)/1000)</f>
        <v>-1680</v>
      </c>
      <c r="P45" s="11">
        <f>IF(P$3=0,"",SUMIFS(INDEX(Inputs!$D$4:$AG$150,0,MATCH(P$2,Inputs!$D$2:$AG$2,0)),Inputs!$B$4:$B$150,$B45)/1000)</f>
        <v>-1805</v>
      </c>
      <c r="Q45" s="11">
        <f>IF(Q$3=0,"",SUMIFS(INDEX(Inputs!$D$4:$AG$150,0,MATCH(Q$2,Inputs!$D$2:$AG$2,0)),Inputs!$B$4:$B$150,$B45)/1000)</f>
        <v>-1843</v>
      </c>
      <c r="R45" s="12">
        <f>IF(Q45="","",Q45)</f>
        <v>-1843</v>
      </c>
      <c r="S45" s="11">
        <f>IF(S$3=0,"",SUMIFS(INDEX(Inputs!$D$4:$AG$150,0,MATCH(S$2,Inputs!$D$2:$AG$2,0)),Inputs!$B$4:$B$150,$B45)/1000)</f>
        <v>-1842</v>
      </c>
      <c r="T45" s="11">
        <f>IF(T$3=0,"",SUMIFS(INDEX(Inputs!$D$4:$AG$150,0,MATCH(T$2,Inputs!$D$2:$AG$2,0)),Inputs!$B$4:$B$150,$B45)/1000)</f>
        <v>-1922</v>
      </c>
      <c r="U45" s="11">
        <f>IF(U$3=0,"",SUMIFS(INDEX(Inputs!$D$4:$AG$150,0,MATCH(U$2,Inputs!$D$2:$AG$2,0)),Inputs!$B$4:$B$150,$B45)/1000)</f>
        <v>-1828</v>
      </c>
      <c r="V45" s="11">
        <f>IF(V$3=0,"",SUMIFS(INDEX(Inputs!$D$4:$AG$150,0,MATCH(V$2,Inputs!$D$2:$AG$2,0)),Inputs!$B$4:$B$150,$B45)/1000)</f>
        <v>-2152</v>
      </c>
      <c r="W45" s="12">
        <f>IF(V45="","",V45)</f>
        <v>-2152</v>
      </c>
      <c r="X45" s="11">
        <f>IF(X$3=0,"",SUMIFS(INDEX(Inputs!$D$4:$AG$150,0,MATCH(X$2,Inputs!$D$2:$AG$2,0)),Inputs!$B$4:$B$150,$B45)/1000)</f>
        <v>-2242</v>
      </c>
      <c r="Y45" s="11">
        <f>IF(Y$3=0,"",SUMIFS(INDEX(Inputs!$D$4:$AG$150,0,MATCH(Y$2,Inputs!$D$2:$AG$2,0)),Inputs!$B$4:$B$150,$B45)/1000)</f>
        <v>-1915</v>
      </c>
      <c r="Z45" s="11">
        <f>IF(Z$3=0,"",SUMIFS(INDEX(Inputs!$D$4:$AG$150,0,MATCH(Z$2,Inputs!$D$2:$AG$2,0)),Inputs!$B$4:$B$150,$B45)/1000)</f>
        <v>-1770</v>
      </c>
      <c r="AA45" s="11">
        <f>IF(AA$3=0,"",SUMIFS(INDEX(Inputs!$D$4:$AG$150,0,MATCH(AA$2,Inputs!$D$2:$AG$2,0)),Inputs!$B$4:$B$150,$B45)/1000)</f>
        <v>-1976</v>
      </c>
      <c r="AB45" s="12">
        <f>IF(AA45="","",AA45)</f>
        <v>-1976</v>
      </c>
      <c r="AC45" s="11">
        <f>IF(AC$3=0,"",SUMIFS(INDEX(Inputs!$D$4:$AG$150,0,MATCH(AC$2,Inputs!$D$2:$AG$2,0)),Inputs!$B$4:$B$150,$B45)/1000)</f>
        <v>-1606</v>
      </c>
      <c r="AD45" s="11">
        <f>IF(AD$3=0,"",SUMIFS(INDEX(Inputs!$D$4:$AG$150,0,MATCH(AD$2,Inputs!$D$2:$AG$2,0)),Inputs!$B$4:$B$150,$B45)/1000)</f>
        <v>-1658</v>
      </c>
      <c r="AE45" s="11" t="str">
        <f>IF(AE$3=0,"",SUMIFS(INDEX(Inputs!$D$4:$AG$150,0,MATCH(AE$2,Inputs!$D$2:$AG$2,0)),Inputs!$B$4:$B$150,$B45)/1000)</f>
        <v/>
      </c>
      <c r="AF45" s="11" t="str">
        <f>IF(AF$3=0,"",SUMIFS(INDEX(Inputs!$D$4:$AG$150,0,MATCH(AF$2,Inputs!$D$2:$AG$2,0)),Inputs!$B$4:$B$150,$B45)/1000)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IF(D$3=0,"",SUMIFS(INDEX(Inputs!$D$4:$AG$150,0,MATCH(D$2,Inputs!$D$2:$AG$2,0)),Inputs!$B$4:$B$150,$B46)/1000)</f>
        <v>0</v>
      </c>
      <c r="E46" s="11">
        <f>IF(E$3=0,"",SUMIFS(INDEX(Inputs!$D$4:$AG$150,0,MATCH(E$2,Inputs!$D$2:$AG$2,0)),Inputs!$B$4:$B$150,$B46)/1000)</f>
        <v>0</v>
      </c>
      <c r="F46" s="11">
        <f>IF(F$3=0,"",SUMIFS(INDEX(Inputs!$D$4:$AG$150,0,MATCH(F$2,Inputs!$D$2:$AG$2,0)),Inputs!$B$4:$B$150,$B46)/1000)</f>
        <v>0</v>
      </c>
      <c r="G46" s="11">
        <f>IF(G$3=0,"",SUMIFS(INDEX(Inputs!$D$4:$AG$150,0,MATCH(G$2,Inputs!$D$2:$AG$2,0)),Inputs!$B$4:$B$150,$B46)/1000)</f>
        <v>0</v>
      </c>
      <c r="H46" s="12">
        <f>IF(G46="","",G46)</f>
        <v>0</v>
      </c>
      <c r="I46" s="11">
        <f>IF(I$3=0,"",SUMIFS(INDEX(Inputs!$D$4:$AG$150,0,MATCH(I$2,Inputs!$D$2:$AG$2,0)),Inputs!$B$4:$B$150,$B46)/1000)</f>
        <v>0</v>
      </c>
      <c r="J46" s="11">
        <f>IF(J$3=0,"",SUMIFS(INDEX(Inputs!$D$4:$AG$150,0,MATCH(J$2,Inputs!$D$2:$AG$2,0)),Inputs!$B$4:$B$150,$B46)/1000)</f>
        <v>0</v>
      </c>
      <c r="K46" s="11">
        <f>IF(K$3=0,"",SUMIFS(INDEX(Inputs!$D$4:$AG$150,0,MATCH(K$2,Inputs!$D$2:$AG$2,0)),Inputs!$B$4:$B$150,$B46)/1000)</f>
        <v>0</v>
      </c>
      <c r="L46" s="11">
        <f>IF(L$3=0,"",SUMIFS(INDEX(Inputs!$D$4:$AG$150,0,MATCH(L$2,Inputs!$D$2:$AG$2,0)),Inputs!$B$4:$B$150,$B46)/1000)</f>
        <v>0</v>
      </c>
      <c r="M46" s="12">
        <f>IF(L46="","",L46)</f>
        <v>0</v>
      </c>
      <c r="N46" s="11">
        <f>IF(N$3=0,"",SUMIFS(INDEX(Inputs!$D$4:$AG$150,0,MATCH(N$2,Inputs!$D$2:$AG$2,0)),Inputs!$B$4:$B$150,$B46)/1000)</f>
        <v>0</v>
      </c>
      <c r="O46" s="11">
        <f>IF(O$3=0,"",SUMIFS(INDEX(Inputs!$D$4:$AG$150,0,MATCH(O$2,Inputs!$D$2:$AG$2,0)),Inputs!$B$4:$B$150,$B46)/1000)</f>
        <v>0</v>
      </c>
      <c r="P46" s="11">
        <f>IF(P$3=0,"",SUMIFS(INDEX(Inputs!$D$4:$AG$150,0,MATCH(P$2,Inputs!$D$2:$AG$2,0)),Inputs!$B$4:$B$150,$B46)/1000)</f>
        <v>0</v>
      </c>
      <c r="Q46" s="11">
        <f>IF(Q$3=0,"",SUMIFS(INDEX(Inputs!$D$4:$AG$150,0,MATCH(Q$2,Inputs!$D$2:$AG$2,0)),Inputs!$B$4:$B$150,$B46)/1000)</f>
        <v>0</v>
      </c>
      <c r="R46" s="12">
        <f>IF(Q46="","",Q46)</f>
        <v>0</v>
      </c>
      <c r="S46" s="11">
        <f>IF(S$3=0,"",SUMIFS(INDEX(Inputs!$D$4:$AG$150,0,MATCH(S$2,Inputs!$D$2:$AG$2,0)),Inputs!$B$4:$B$150,$B46)/1000)</f>
        <v>0</v>
      </c>
      <c r="T46" s="11">
        <f>IF(T$3=0,"",SUMIFS(INDEX(Inputs!$D$4:$AG$150,0,MATCH(T$2,Inputs!$D$2:$AG$2,0)),Inputs!$B$4:$B$150,$B46)/1000)</f>
        <v>0</v>
      </c>
      <c r="U46" s="11">
        <f>IF(U$3=0,"",SUMIFS(INDEX(Inputs!$D$4:$AG$150,0,MATCH(U$2,Inputs!$D$2:$AG$2,0)),Inputs!$B$4:$B$150,$B46)/1000)</f>
        <v>0</v>
      </c>
      <c r="V46" s="11">
        <f>IF(V$3=0,"",SUMIFS(INDEX(Inputs!$D$4:$AG$150,0,MATCH(V$2,Inputs!$D$2:$AG$2,0)),Inputs!$B$4:$B$150,$B46)/1000)</f>
        <v>0</v>
      </c>
      <c r="W46" s="12">
        <f>IF(V46="","",V46)</f>
        <v>0</v>
      </c>
      <c r="X46" s="11">
        <f>IF(X$3=0,"",SUMIFS(INDEX(Inputs!$D$4:$AG$150,0,MATCH(X$2,Inputs!$D$2:$AG$2,0)),Inputs!$B$4:$B$150,$B46)/1000)</f>
        <v>0</v>
      </c>
      <c r="Y46" s="11">
        <f>IF(Y$3=0,"",SUMIFS(INDEX(Inputs!$D$4:$AG$150,0,MATCH(Y$2,Inputs!$D$2:$AG$2,0)),Inputs!$B$4:$B$150,$B46)/1000)</f>
        <v>0</v>
      </c>
      <c r="Z46" s="11">
        <f>IF(Z$3=0,"",SUMIFS(INDEX(Inputs!$D$4:$AG$150,0,MATCH(Z$2,Inputs!$D$2:$AG$2,0)),Inputs!$B$4:$B$150,$B46)/1000)</f>
        <v>0</v>
      </c>
      <c r="AA46" s="11">
        <f>IF(AA$3=0,"",SUMIFS(INDEX(Inputs!$D$4:$AG$150,0,MATCH(AA$2,Inputs!$D$2:$AG$2,0)),Inputs!$B$4:$B$150,$B46)/1000)</f>
        <v>0</v>
      </c>
      <c r="AB46" s="12">
        <f>IF(AA46="","",AA46)</f>
        <v>0</v>
      </c>
      <c r="AC46" s="11">
        <f>IF(AC$3=0,"",SUMIFS(INDEX(Inputs!$D$4:$AG$150,0,MATCH(AC$2,Inputs!$D$2:$AG$2,0)),Inputs!$B$4:$B$150,$B46)/1000)</f>
        <v>0</v>
      </c>
      <c r="AD46" s="11">
        <f>IF(AD$3=0,"",SUMIFS(INDEX(Inputs!$D$4:$AG$150,0,MATCH(AD$2,Inputs!$D$2:$AG$2,0)),Inputs!$B$4:$B$150,$B46)/1000)</f>
        <v>0</v>
      </c>
      <c r="AE46" s="11" t="str">
        <f>IF(AE$3=0,"",SUMIFS(INDEX(Inputs!$D$4:$AG$150,0,MATCH(AE$2,Inputs!$D$2:$AG$2,0)),Inputs!$B$4:$B$150,$B46)/1000)</f>
        <v/>
      </c>
      <c r="AF46" s="11" t="str">
        <f>IF(AF$3=0,"",SUMIFS(INDEX(Inputs!$D$4:$AG$150,0,MATCH(AF$2,Inputs!$D$2:$AG$2,0)),Inputs!$B$4:$B$150,$B46)/1000)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IF(D$3=0,"",SUMIFS(INDEX(Inputs!$D$4:$AG$150,0,MATCH(D$2,Inputs!$D$2:$AG$2,0)),Inputs!$B$4:$B$150,$B47)/1000)</f>
        <v>9766</v>
      </c>
      <c r="E47" s="11">
        <f>IF(E$3=0,"",SUMIFS(INDEX(Inputs!$D$4:$AG$150,0,MATCH(E$2,Inputs!$D$2:$AG$2,0)),Inputs!$B$4:$B$150,$B47)/1000)</f>
        <v>10466</v>
      </c>
      <c r="F47" s="11">
        <f>IF(F$3=0,"",SUMIFS(INDEX(Inputs!$D$4:$AG$150,0,MATCH(F$2,Inputs!$D$2:$AG$2,0)),Inputs!$B$4:$B$150,$B47)/1000)</f>
        <v>11666</v>
      </c>
      <c r="G47" s="11">
        <f>IF(G$3=0,"",SUMIFS(INDEX(Inputs!$D$4:$AG$150,0,MATCH(G$2,Inputs!$D$2:$AG$2,0)),Inputs!$B$4:$B$150,$B47)/1000)</f>
        <v>12606</v>
      </c>
      <c r="H47" s="12">
        <f>IF(G47="","",G47)</f>
        <v>12606</v>
      </c>
      <c r="I47" s="11">
        <f>IF(I$3=0,"",SUMIFS(INDEX(Inputs!$D$4:$AG$150,0,MATCH(I$2,Inputs!$D$2:$AG$2,0)),Inputs!$B$4:$B$150,$B47)/1000)</f>
        <v>13474</v>
      </c>
      <c r="J47" s="11">
        <f>IF(J$3=0,"",SUMIFS(INDEX(Inputs!$D$4:$AG$150,0,MATCH(J$2,Inputs!$D$2:$AG$2,0)),Inputs!$B$4:$B$150,$B47)/1000)</f>
        <v>14294</v>
      </c>
      <c r="K47" s="11">
        <f>IF(K$3=0,"",SUMIFS(INDEX(Inputs!$D$4:$AG$150,0,MATCH(K$2,Inputs!$D$2:$AG$2,0)),Inputs!$B$4:$B$150,$B47)/1000)</f>
        <v>15585</v>
      </c>
      <c r="L47" s="11">
        <f>IF(L$3=0,"",SUMIFS(INDEX(Inputs!$D$4:$AG$150,0,MATCH(L$2,Inputs!$D$2:$AG$2,0)),Inputs!$B$4:$B$150,$B47)/1000)</f>
        <v>16412</v>
      </c>
      <c r="M47" s="12">
        <f>IF(L47="","",L47)</f>
        <v>16412</v>
      </c>
      <c r="N47" s="11">
        <f>IF(N$3=0,"",SUMIFS(INDEX(Inputs!$D$4:$AG$150,0,MATCH(N$2,Inputs!$D$2:$AG$2,0)),Inputs!$B$4:$B$150,$B47)/1000)</f>
        <v>17341</v>
      </c>
      <c r="O47" s="11">
        <f>IF(O$3=0,"",SUMIFS(INDEX(Inputs!$D$4:$AG$150,0,MATCH(O$2,Inputs!$D$2:$AG$2,0)),Inputs!$B$4:$B$150,$B47)/1000)</f>
        <v>18035</v>
      </c>
      <c r="P47" s="11">
        <f>IF(P$3=0,"",SUMIFS(INDEX(Inputs!$D$4:$AG$150,0,MATCH(P$2,Inputs!$D$2:$AG$2,0)),Inputs!$B$4:$B$150,$B47)/1000)</f>
        <v>19521</v>
      </c>
      <c r="Q47" s="11">
        <f>IF(Q$3=0,"",SUMIFS(INDEX(Inputs!$D$4:$AG$150,0,MATCH(Q$2,Inputs!$D$2:$AG$2,0)),Inputs!$B$4:$B$150,$B47)/1000)</f>
        <v>20499</v>
      </c>
      <c r="R47" s="12">
        <f>IF(Q47="","",Q47)</f>
        <v>20499</v>
      </c>
      <c r="S47" s="11">
        <f>IF(S$3=0,"",SUMIFS(INDEX(Inputs!$D$4:$AG$150,0,MATCH(S$2,Inputs!$D$2:$AG$2,0)),Inputs!$B$4:$B$150,$B47)/1000)</f>
        <v>14980</v>
      </c>
      <c r="T47" s="11">
        <f>IF(T$3=0,"",SUMIFS(INDEX(Inputs!$D$4:$AG$150,0,MATCH(T$2,Inputs!$D$2:$AG$2,0)),Inputs!$B$4:$B$150,$B47)/1000)</f>
        <v>15989</v>
      </c>
      <c r="U47" s="11">
        <f>IF(U$3=0,"",SUMIFS(INDEX(Inputs!$D$4:$AG$150,0,MATCH(U$2,Inputs!$D$2:$AG$2,0)),Inputs!$B$4:$B$150,$B47)/1000)</f>
        <v>17619</v>
      </c>
      <c r="V47" s="11">
        <f>IF(V$3=0,"",SUMIFS(INDEX(Inputs!$D$4:$AG$150,0,MATCH(V$2,Inputs!$D$2:$AG$2,0)),Inputs!$B$4:$B$150,$B47)/1000)</f>
        <v>18700</v>
      </c>
      <c r="W47" s="12">
        <f>IF(V47="","",V47)</f>
        <v>18700</v>
      </c>
      <c r="X47" s="11">
        <f>IF(X$3=0,"",SUMIFS(INDEX(Inputs!$D$4:$AG$150,0,MATCH(X$2,Inputs!$D$2:$AG$2,0)),Inputs!$B$4:$B$150,$B47)/1000)</f>
        <v>19770</v>
      </c>
      <c r="Y47" s="11">
        <f>IF(Y$3=0,"",SUMIFS(INDEX(Inputs!$D$4:$AG$150,0,MATCH(Y$2,Inputs!$D$2:$AG$2,0)),Inputs!$B$4:$B$150,$B47)/1000)</f>
        <v>20890</v>
      </c>
      <c r="Z47" s="11">
        <f>IF(Z$3=0,"",SUMIFS(INDEX(Inputs!$D$4:$AG$150,0,MATCH(Z$2,Inputs!$D$2:$AG$2,0)),Inputs!$B$4:$B$150,$B47)/1000)</f>
        <v>22650</v>
      </c>
      <c r="AA47" s="11">
        <f>IF(AA$3=0,"",SUMIFS(INDEX(Inputs!$D$4:$AG$150,0,MATCH(AA$2,Inputs!$D$2:$AG$2,0)),Inputs!$B$4:$B$150,$B47)/1000)</f>
        <v>23869</v>
      </c>
      <c r="AB47" s="12">
        <f>IF(AA47="","",AA47)</f>
        <v>23869</v>
      </c>
      <c r="AC47" s="11">
        <f>IF(AC$3=0,"",SUMIFS(INDEX(Inputs!$D$4:$AG$150,0,MATCH(AC$2,Inputs!$D$2:$AG$2,0)),Inputs!$B$4:$B$150,$B47)/1000)</f>
        <v>25121</v>
      </c>
      <c r="AD47" s="11">
        <f>IF(AD$3=0,"",SUMIFS(INDEX(Inputs!$D$4:$AG$150,0,MATCH(AD$2,Inputs!$D$2:$AG$2,0)),Inputs!$B$4:$B$150,$B47)/1000)</f>
        <v>26482</v>
      </c>
      <c r="AE47" s="11" t="str">
        <f>IF(AE$3=0,"",SUMIFS(INDEX(Inputs!$D$4:$AG$150,0,MATCH(AE$2,Inputs!$D$2:$AG$2,0)),Inputs!$B$4:$B$150,$B47)/1000)</f>
        <v/>
      </c>
      <c r="AF47" s="11" t="str">
        <f>IF(AF$3=0,"",SUMIFS(INDEX(Inputs!$D$4:$AG$150,0,MATCH(AF$2,Inputs!$D$2:$AG$2,0)),Inputs!$B$4:$B$150,$B47)/1000)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IF(SUMPRODUCT((Inputs!$B$4:$B$150=$B50)*ISNUMBER(INDEX(Inputs!$D$4:$AG$150,0,MATCH(D$2,Inputs!$D$2:$AG$2,0))))=0,"",SUMIFS(INDEX(Inputs!$D$4:$AG$150,0,MATCH(D$2,Inputs!$D$2:$AG$2,0)),Inputs!$B$4:$B$150,$B50)/1000)</f>
        <v>951</v>
      </c>
      <c r="E50" s="11">
        <f>IF(SUMPRODUCT((Inputs!$B$4:$B$150=$B50)*ISNUMBER(INDEX(Inputs!$D$4:$AG$150,0,MATCH(E$2,Inputs!$D$2:$AG$2,0))))=0,"",SUMIFS(INDEX(Inputs!$D$4:$AG$150,0,MATCH(E$2,Inputs!$D$2:$AG$2,0)),Inputs!$B$4:$B$150,$B50)/1000)</f>
        <v>1220</v>
      </c>
      <c r="F50" s="11">
        <f>IF(SUMPRODUCT((Inputs!$B$4:$B$150=$B50)*ISNUMBER(INDEX(Inputs!$D$4:$AG$150,0,MATCH(F$2,Inputs!$D$2:$AG$2,0))))=0,"",SUMIFS(INDEX(Inputs!$D$4:$AG$150,0,MATCH(F$2,Inputs!$D$2:$AG$2,0)),Inputs!$B$4:$B$150,$B50)/1000)</f>
        <v>1670</v>
      </c>
      <c r="G50" s="11">
        <f>IF(SUMPRODUCT((Inputs!$B$4:$B$150=$B50)*ISNUMBER(INDEX(Inputs!$D$4:$AG$150,0,MATCH(G$2,Inputs!$D$2:$AG$2,0))))=0,"",SUMIFS(INDEX(Inputs!$D$4:$AG$150,0,MATCH(G$2,Inputs!$D$2:$AG$2,0)),Inputs!$B$4:$B$150,$B50)/1000)</f>
        <v>1324</v>
      </c>
      <c r="H50" s="12">
        <f>IF(COUNT(D50:G50)=4,SUM(D50:G50),"")</f>
        <v>5165</v>
      </c>
      <c r="I50" s="11">
        <f>IF(SUMPRODUCT((Inputs!$B$4:$B$150=$B50)*ISNUMBER(INDEX(Inputs!$D$4:$AG$150,0,MATCH(I$2,Inputs!$D$2:$AG$2,0))))=0,"",SUMIFS(INDEX(Inputs!$D$4:$AG$150,0,MATCH(I$2,Inputs!$D$2:$AG$2,0)),Inputs!$B$4:$B$150,$B50)/1000)</f>
        <v>1299</v>
      </c>
      <c r="J50" s="11">
        <f>IF(SUMPRODUCT((Inputs!$B$4:$B$150=$B50)*ISNUMBER(INDEX(Inputs!$D$4:$AG$150,0,MATCH(J$2,Inputs!$D$2:$AG$2,0))))=0,"",SUMIFS(INDEX(Inputs!$D$4:$AG$150,0,MATCH(J$2,Inputs!$D$2:$AG$2,0)),Inputs!$B$4:$B$150,$B50)/1000)</f>
        <v>1353</v>
      </c>
      <c r="K50" s="11">
        <f>IF(SUMPRODUCT((Inputs!$B$4:$B$150=$B50)*ISNUMBER(INDEX(Inputs!$D$4:$AG$150,0,MATCH(K$2,Inputs!$D$2:$AG$2,0))))=0,"",SUMIFS(INDEX(Inputs!$D$4:$AG$150,0,MATCH(K$2,Inputs!$D$2:$AG$2,0)),Inputs!$B$4:$B$150,$B50)/1000)</f>
        <v>1868</v>
      </c>
      <c r="L50" s="11">
        <f>IF(SUMPRODUCT((Inputs!$B$4:$B$150=$B50)*ISNUMBER(INDEX(Inputs!$D$4:$AG$150,0,MATCH(L$2,Inputs!$D$2:$AG$2,0))))=0,"",SUMIFS(INDEX(Inputs!$D$4:$AG$150,0,MATCH(L$2,Inputs!$D$2:$AG$2,0)),Inputs!$B$4:$B$150,$B50)/1000)</f>
        <v>1364</v>
      </c>
      <c r="M50" s="12">
        <f>IF(COUNT(I50:L50)=4,SUM(I50:L50),"")</f>
        <v>5884</v>
      </c>
      <c r="N50" s="11">
        <f>IF(SUMPRODUCT((Inputs!$B$4:$B$150=$B50)*ISNUMBER(INDEX(Inputs!$D$4:$AG$150,0,MATCH(N$2,Inputs!$D$2:$AG$2,0))))=0,"",SUMIFS(INDEX(Inputs!$D$4:$AG$150,0,MATCH(N$2,Inputs!$D$2:$AG$2,0)),Inputs!$B$4:$B$150,$B50)/1000)</f>
        <v>1466</v>
      </c>
      <c r="O50" s="11">
        <f>IF(SUMPRODUCT((Inputs!$B$4:$B$150=$B50)*ISNUMBER(INDEX(Inputs!$D$4:$AG$150,0,MATCH(O$2,Inputs!$D$2:$AG$2,0))))=0,"",SUMIFS(INDEX(Inputs!$D$4:$AG$150,0,MATCH(O$2,Inputs!$D$2:$AG$2,0)),Inputs!$B$4:$B$150,$B50)/1000)</f>
        <v>1302</v>
      </c>
      <c r="P50" s="11">
        <f>IF(SUMPRODUCT((Inputs!$B$4:$B$150=$B50)*ISNUMBER(INDEX(Inputs!$D$4:$AG$150,0,MATCH(P$2,Inputs!$D$2:$AG$2,0))))=0,"",SUMIFS(INDEX(Inputs!$D$4:$AG$150,0,MATCH(P$2,Inputs!$D$2:$AG$2,0)),Inputs!$B$4:$B$150,$B50)/1000)</f>
        <v>2160</v>
      </c>
      <c r="Q50" s="11">
        <f>IF(SUMPRODUCT((Inputs!$B$4:$B$150=$B50)*ISNUMBER(INDEX(Inputs!$D$4:$AG$150,0,MATCH(Q$2,Inputs!$D$2:$AG$2,0))))=0,"",SUMIFS(INDEX(Inputs!$D$4:$AG$150,0,MATCH(Q$2,Inputs!$D$2:$AG$2,0)),Inputs!$B$4:$B$150,$B50)/1000)</f>
        <v>1589</v>
      </c>
      <c r="R50" s="12">
        <f>IF(COUNT(N50:Q50)=4,SUM(N50:Q50),"")</f>
        <v>6517</v>
      </c>
      <c r="S50" s="11">
        <f>IF(SUMPRODUCT((Inputs!$B$4:$B$150=$B50)*ISNUMBER(INDEX(Inputs!$D$4:$AG$150,0,MATCH(S$2,Inputs!$D$2:$AG$2,0))))=0,"",SUMIFS(INDEX(Inputs!$D$4:$AG$150,0,MATCH(S$2,Inputs!$D$2:$AG$2,0)),Inputs!$B$4:$B$150,$B50)/1000)</f>
        <v>1743</v>
      </c>
      <c r="T50" s="11">
        <f>IF(SUMPRODUCT((Inputs!$B$4:$B$150=$B50)*ISNUMBER(INDEX(Inputs!$D$4:$AG$150,0,MATCH(T$2,Inputs!$D$2:$AG$2,0))))=0,"",SUMIFS(INDEX(Inputs!$D$4:$AG$150,0,MATCH(T$2,Inputs!$D$2:$AG$2,0)),Inputs!$B$4:$B$150,$B50)/1000)</f>
        <v>1681</v>
      </c>
      <c r="U50" s="11">
        <f>IF(SUMPRODUCT((Inputs!$B$4:$B$150=$B50)*ISNUMBER(INDEX(Inputs!$D$4:$AG$150,0,MATCH(U$2,Inputs!$D$2:$AG$2,0))))=0,"",SUMIFS(INDEX(Inputs!$D$4:$AG$150,0,MATCH(U$2,Inputs!$D$2:$AG$2,0)),Inputs!$B$4:$B$150,$B50)/1000)</f>
        <v>2354</v>
      </c>
      <c r="V50" s="11">
        <f>IF(SUMPRODUCT((Inputs!$B$4:$B$150=$B50)*ISNUMBER(INDEX(Inputs!$D$4:$AG$150,0,MATCH(V$2,Inputs!$D$2:$AG$2,0))))=0,"",SUMIFS(INDEX(Inputs!$D$4:$AG$150,0,MATCH(V$2,Inputs!$D$2:$AG$2,0)),Inputs!$B$4:$B$150,$B50)/1000)</f>
        <v>1798</v>
      </c>
      <c r="W50" s="12">
        <f>IF(COUNT(S50:V50)=4,SUM(S50:V50),"")</f>
        <v>7576</v>
      </c>
      <c r="X50" s="11">
        <f>IF(SUMPRODUCT((Inputs!$B$4:$B$150=$B50)*ISNUMBER(INDEX(Inputs!$D$4:$AG$150,0,MATCH(X$2,Inputs!$D$2:$AG$2,0))))=0,"",SUMIFS(INDEX(Inputs!$D$4:$AG$150,0,MATCH(X$2,Inputs!$D$2:$AG$2,0)),Inputs!$B$4:$B$150,$B50)/1000)</f>
        <v>1788</v>
      </c>
      <c r="Y50" s="11">
        <f>IF(SUMPRODUCT((Inputs!$B$4:$B$150=$B50)*ISNUMBER(INDEX(Inputs!$D$4:$AG$150,0,MATCH(Y$2,Inputs!$D$2:$AG$2,0))))=0,"",SUMIFS(INDEX(Inputs!$D$4:$AG$150,0,MATCH(Y$2,Inputs!$D$2:$AG$2,0)),Inputs!$B$4:$B$150,$B50)/1000)</f>
        <v>1903</v>
      </c>
      <c r="Z50" s="11">
        <f>IF(SUMPRODUCT((Inputs!$B$4:$B$150=$B50)*ISNUMBER(INDEX(Inputs!$D$4:$AG$150,0,MATCH(Z$2,Inputs!$D$2:$AG$2,0))))=0,"",SUMIFS(INDEX(Inputs!$D$4:$AG$150,0,MATCH(Z$2,Inputs!$D$2:$AG$2,0)),Inputs!$B$4:$B$150,$B50)/1000)</f>
        <v>2610</v>
      </c>
      <c r="AA50" s="11">
        <f>IF(SUMPRODUCT((Inputs!$B$4:$B$150=$B50)*ISNUMBER(INDEX(Inputs!$D$4:$AG$150,0,MATCH(AA$2,Inputs!$D$2:$AG$2,0))))=0,"",SUMIFS(INDEX(Inputs!$D$4:$AG$150,0,MATCH(AA$2,Inputs!$D$2:$AG$2,0)),Inputs!$B$4:$B$150,$B50)/1000)</f>
        <v>2001</v>
      </c>
      <c r="AB50" s="12">
        <f>IF(COUNT(X50:AA50)=4,SUM(X50:AA50),"")</f>
        <v>8302</v>
      </c>
      <c r="AC50" s="11">
        <f>IF(SUMPRODUCT((Inputs!$B$4:$B$150=$B50)*ISNUMBER(INDEX(Inputs!$D$4:$AG$150,0,MATCH(AC$2,Inputs!$D$2:$AG$2,0))))=0,"",SUMIFS(INDEX(Inputs!$D$4:$AG$150,0,MATCH(AC$2,Inputs!$D$2:$AG$2,0)),Inputs!$B$4:$B$150,$B50)/1000)</f>
        <v>2035</v>
      </c>
      <c r="AD50" s="11">
        <f>IF(SUMPRODUCT((Inputs!$B$4:$B$150=$B50)*ISNUMBER(INDEX(Inputs!$D$4:$AG$150,0,MATCH(AD$2,Inputs!$D$2:$AG$2,0))))=0,"",SUMIFS(INDEX(Inputs!$D$4:$AG$150,0,MATCH(AD$2,Inputs!$D$2:$AG$2,0)),Inputs!$B$4:$B$150,$B50)/1000)</f>
        <v>2192</v>
      </c>
      <c r="AE50" s="11" t="str">
        <f>IF(SUMPRODUCT((Inputs!$B$4:$B$150=$B50)*ISNUMBER(INDEX(Inputs!$D$4:$AG$150,0,MATCH(AE$2,Inputs!$D$2:$AG$2,0))))=0,"",SUMIFS(INDEX(Inputs!$D$4:$AG$150,0,MATCH(AE$2,Inputs!$D$2:$AG$2,0)),Inputs!$B$4:$B$150,$B50)/1000)</f>
        <v/>
      </c>
      <c r="AF50" s="11" t="str">
        <f>IF(SUMPRODUCT((Inputs!$B$4:$B$150=$B50)*ISNUMBER(INDEX(Inputs!$D$4:$AG$150,0,MATCH(AF$2,Inputs!$D$2:$AG$2,0))))=0,"",SUMIFS(INDEX(Inputs!$D$4:$AG$150,0,MATCH(AF$2,Inputs!$D$2:$AG$2,0)),Inputs!$B$4:$B$150,$B50)/1000)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Vendas líquidas (USD)</t>
        </is>
      </c>
      <c r="D53" s="11">
        <f>IF(SUMPRODUCT((Inputs!$B$4:$B$150=$B53)*ISNUMBER(INDEX(Inputs!$D$4:$AG$150,0,MATCH(D$2,Inputs!$D$2:$AG$2,0))))=0,"",SUMIFS(INDEX(Inputs!$D$4:$AG$150,0,MATCH(D$2,Inputs!$D$2:$AG$2,0)),Inputs!$B$4:$B$150,$B53)/1000)</f>
        <v>43888</v>
      </c>
      <c r="E53" s="11">
        <f>IF(SUMPRODUCT((Inputs!$B$4:$B$150=$B53)*ISNUMBER(INDEX(Inputs!$D$4:$AG$150,0,MATCH(E$2,Inputs!$D$2:$AG$2,0))))=0,"",SUMIFS(INDEX(Inputs!$D$4:$AG$150,0,MATCH(E$2,Inputs!$D$2:$AG$2,0)),Inputs!$B$4:$B$150,$B53)/1000)</f>
        <v>44376</v>
      </c>
      <c r="F53" s="11">
        <f>IF(SUMPRODUCT((Inputs!$B$4:$B$150=$B53)*ISNUMBER(INDEX(Inputs!$D$4:$AG$150,0,MATCH(F$2,Inputs!$D$2:$AG$2,0))))=0,"",SUMIFS(INDEX(Inputs!$D$4:$AG$150,0,MATCH(F$2,Inputs!$D$2:$AG$2,0)),Inputs!$B$4:$B$150,$B53)/1000)</f>
        <v>61441</v>
      </c>
      <c r="G53" s="11">
        <f>IF(SUMPRODUCT((Inputs!$B$4:$B$150=$B53)*ISNUMBER(INDEX(Inputs!$D$4:$AG$150,0,MATCH(G$2,Inputs!$D$2:$AG$2,0))))=0,"",SUMIFS(INDEX(Inputs!$D$4:$AG$150,0,MATCH(G$2,Inputs!$D$2:$AG$2,0)),Inputs!$B$4:$B$150,$B53)/1000)</f>
        <v>49417</v>
      </c>
      <c r="H53" s="12">
        <f>IF(COUNT(D53:G53)=4,SUM(D53:G53),"")</f>
        <v>199122</v>
      </c>
      <c r="I53" s="11">
        <f>IF(SUMPRODUCT((Inputs!$B$4:$B$150=$B53)*ISNUMBER(INDEX(Inputs!$D$4:$AG$150,0,MATCH(I$2,Inputs!$D$2:$AG$2,0))))=0,"",SUMIFS(INDEX(Inputs!$D$4:$AG$150,0,MATCH(I$2,Inputs!$D$2:$AG$2,0)),Inputs!$B$4:$B$150,$B53)/1000)</f>
        <v>50937</v>
      </c>
      <c r="J53" s="11">
        <f>IF(SUMPRODUCT((Inputs!$B$4:$B$150=$B53)*ISNUMBER(INDEX(Inputs!$D$4:$AG$150,0,MATCH(J$2,Inputs!$D$2:$AG$2,0))))=0,"",SUMIFS(INDEX(Inputs!$D$4:$AG$150,0,MATCH(J$2,Inputs!$D$2:$AG$2,0)),Inputs!$B$4:$B$150,$B53)/1000)</f>
        <v>51612</v>
      </c>
      <c r="K53" s="11">
        <f>IF(SUMPRODUCT((Inputs!$B$4:$B$150=$B53)*ISNUMBER(INDEX(Inputs!$D$4:$AG$150,0,MATCH(K$2,Inputs!$D$2:$AG$2,0))))=0,"",SUMIFS(INDEX(Inputs!$D$4:$AG$150,0,MATCH(K$2,Inputs!$D$2:$AG$2,0)),Inputs!$B$4:$B$150,$B53)/1000)</f>
        <v>70764</v>
      </c>
      <c r="L53" s="11">
        <f>IF(SUMPRODUCT((Inputs!$B$4:$B$150=$B53)*ISNUMBER(INDEX(Inputs!$D$4:$AG$150,0,MATCH(L$2,Inputs!$D$2:$AG$2,0))))=0,"",SUMIFS(INDEX(Inputs!$D$4:$AG$150,0,MATCH(L$2,Inputs!$D$2:$AG$2,0)),Inputs!$B$4:$B$150,$B53)/1000)</f>
        <v>53437</v>
      </c>
      <c r="M53" s="12">
        <f>IF(COUNT(I53:L53)=4,SUM(I53:L53),"")</f>
        <v>226750</v>
      </c>
      <c r="N53" s="11">
        <f>IF(SUMPRODUCT((Inputs!$B$4:$B$150=$B53)*ISNUMBER(INDEX(Inputs!$D$4:$AG$150,0,MATCH(N$2,Inputs!$D$2:$AG$2,0))))=0,"",SUMIFS(INDEX(Inputs!$D$4:$AG$150,0,MATCH(N$2,Inputs!$D$2:$AG$2,0)),Inputs!$B$4:$B$150,$B53)/1000)</f>
        <v>54239</v>
      </c>
      <c r="O53" s="11">
        <f>IF(SUMPRODUCT((Inputs!$B$4:$B$150=$B53)*ISNUMBER(INDEX(Inputs!$D$4:$AG$150,0,MATCH(O$2,Inputs!$D$2:$AG$2,0))))=0,"",SUMIFS(INDEX(Inputs!$D$4:$AG$150,0,MATCH(O$2,Inputs!$D$2:$AG$2,0)),Inputs!$B$4:$B$150,$B53)/1000)</f>
        <v>52604</v>
      </c>
      <c r="P53" s="11">
        <f>IF(SUMPRODUCT((Inputs!$B$4:$B$150=$B53)*ISNUMBER(INDEX(Inputs!$D$4:$AG$150,0,MATCH(P$2,Inputs!$D$2:$AG$2,0))))=0,"",SUMIFS(INDEX(Inputs!$D$4:$AG$150,0,MATCH(P$2,Inputs!$D$2:$AG$2,0)),Inputs!$B$4:$B$150,$B53)/1000)</f>
        <v>77430</v>
      </c>
      <c r="Q53" s="11">
        <f>IF(SUMPRODUCT((Inputs!$B$4:$B$150=$B53)*ISNUMBER(INDEX(Inputs!$D$4:$AG$150,0,MATCH(Q$2,Inputs!$D$2:$AG$2,0))))=0,"",SUMIFS(INDEX(Inputs!$D$4:$AG$150,0,MATCH(Q$2,Inputs!$D$2:$AG$2,0)),Inputs!$B$4:$B$150,$B53)/1000)</f>
        <v>56717</v>
      </c>
      <c r="R53" s="12">
        <f>IF(COUNT(N53:Q53)=4,SUM(N53:Q53),"")</f>
        <v>240990</v>
      </c>
      <c r="S53" s="11">
        <f>IF(SUMPRODUCT((Inputs!$B$4:$B$150=$B53)*ISNUMBER(INDEX(Inputs!$D$4:$AG$150,0,MATCH(S$2,Inputs!$D$2:$AG$2,0))))=0,"",SUMIFS(INDEX(Inputs!$D$4:$AG$150,0,MATCH(S$2,Inputs!$D$2:$AG$2,0)),Inputs!$B$4:$B$150,$B53)/1000)</f>
        <v>57331</v>
      </c>
      <c r="T53" s="11">
        <f>IF(SUMPRODUCT((Inputs!$B$4:$B$150=$B53)*ISNUMBER(INDEX(Inputs!$D$4:$AG$150,0,MATCH(T$2,Inputs!$D$2:$AG$2,0))))=0,"",SUMIFS(INDEX(Inputs!$D$4:$AG$150,0,MATCH(T$2,Inputs!$D$2:$AG$2,0)),Inputs!$B$4:$B$150,$B53)/1000)</f>
        <v>57392</v>
      </c>
      <c r="U53" s="11">
        <f>IF(SUMPRODUCT((Inputs!$B$4:$B$150=$B53)*ISNUMBER(INDEX(Inputs!$D$4:$AG$150,0,MATCH(U$2,Inputs!$D$2:$AG$2,0))))=0,"",SUMIFS(INDEX(Inputs!$D$4:$AG$150,0,MATCH(U$2,Inputs!$D$2:$AG$2,0)),Inputs!$B$4:$B$150,$B53)/1000)</f>
        <v>78185</v>
      </c>
      <c r="V53" s="11">
        <f>IF(SUMPRODUCT((Inputs!$B$4:$B$150=$B53)*ISNUMBER(INDEX(Inputs!$D$4:$AG$150,0,MATCH(V$2,Inputs!$D$2:$AG$2,0))))=0,"",SUMIFS(INDEX(Inputs!$D$4:$AG$150,0,MATCH(V$2,Inputs!$D$2:$AG$2,0)),Inputs!$B$4:$B$150,$B53)/1000)</f>
        <v>60985</v>
      </c>
      <c r="W53" s="12">
        <f>IF(COUNT(S53:V53)=4,SUM(S53:V53),"")</f>
        <v>253893</v>
      </c>
      <c r="X53" s="11">
        <f>IF(SUMPRODUCT((Inputs!$B$4:$B$150=$B53)*ISNUMBER(INDEX(Inputs!$D$4:$AG$150,0,MATCH(X$2,Inputs!$D$2:$AG$2,0))))=0,"",SUMIFS(INDEX(Inputs!$D$4:$AG$150,0,MATCH(X$2,Inputs!$D$2:$AG$2,0)),Inputs!$B$4:$B$150,$B53)/1000)</f>
        <v>62530</v>
      </c>
      <c r="Y53" s="11">
        <f>IF(SUMPRODUCT((Inputs!$B$4:$B$150=$B53)*ISNUMBER(INDEX(Inputs!$D$4:$AG$150,0,MATCH(Y$2,Inputs!$D$2:$AG$2,0))))=0,"",SUMIFS(INDEX(Inputs!$D$4:$AG$150,0,MATCH(Y$2,Inputs!$D$2:$AG$2,0)),Inputs!$B$4:$B$150,$B53)/1000)</f>
        <v>61965</v>
      </c>
      <c r="Z53" s="11">
        <f>IF(SUMPRODUCT((Inputs!$B$4:$B$150=$B53)*ISNUMBER(INDEX(Inputs!$D$4:$AG$150,0,MATCH(Z$2,Inputs!$D$2:$AG$2,0))))=0,"",SUMIFS(INDEX(Inputs!$D$4:$AG$150,0,MATCH(Z$2,Inputs!$D$2:$AG$2,0)),Inputs!$B$4:$B$150,$B53)/1000)</f>
        <v>84432</v>
      </c>
      <c r="AA53" s="11">
        <f>IF(SUMPRODUCT((Inputs!$B$4:$B$150=$B53)*ISNUMBER(INDEX(Inputs!$D$4:$AG$150,0,MATCH(AA$2,Inputs!$D$2:$AG$2,0))))=0,"",SUMIFS(INDEX(Inputs!$D$4:$AG$150,0,MATCH(AA$2,Inputs!$D$2:$AG$2,0)),Inputs!$B$4:$B$150,$B53)/1000)</f>
        <v>65978</v>
      </c>
      <c r="AB53" s="12">
        <f>IF(COUNT(X53:AA53)=4,SUM(X53:AA53),"")</f>
        <v>274905</v>
      </c>
      <c r="AC53" s="11">
        <f>IF(SUMPRODUCT((Inputs!$B$4:$B$150=$B53)*ISNUMBER(INDEX(Inputs!$D$4:$AG$150,0,MATCH(AC$2,Inputs!$D$2:$AG$2,0))))=0,"",SUMIFS(INDEX(Inputs!$D$4:$AG$150,0,MATCH(AC$2,Inputs!$D$2:$AG$2,0)),Inputs!$B$4:$B$150,$B53)/1000)</f>
        <v>68242</v>
      </c>
      <c r="AD53" s="11">
        <f>IF(SUMPRODUCT((Inputs!$B$4:$B$150=$B53)*ISNUMBER(INDEX(Inputs!$D$4:$AG$150,0,MATCH(AD$2,Inputs!$D$2:$AG$2,0))))=0,"",SUMIFS(INDEX(Inputs!$D$4:$AG$150,0,MATCH(AD$2,Inputs!$D$2:$AG$2,0)),Inputs!$B$4:$B$150,$B53)/1000)</f>
        <v>69154</v>
      </c>
      <c r="AE53" s="11" t="str">
        <f>IF(SUMPRODUCT((Inputs!$B$4:$B$150=$B53)*ISNUMBER(INDEX(Inputs!$D$4:$AG$150,0,MATCH(AE$2,Inputs!$D$2:$AG$2,0))))=0,"",SUMIFS(INDEX(Inputs!$D$4:$AG$150,0,MATCH(AE$2,Inputs!$D$2:$AG$2,0)),Inputs!$B$4:$B$150,$B53)/1000)</f>
        <v/>
      </c>
      <c r="AF53" s="11" t="str">
        <f>IF(SUMPRODUCT((Inputs!$B$4:$B$150=$B53)*ISNUMBER(INDEX(Inputs!$D$4:$AG$150,0,MATCH(AF$2,Inputs!$D$2:$AG$2,0))))=0,"",SUMIFS(INDEX(Inputs!$D$4:$AG$150,0,MATCH(AF$2,Inputs!$D$2:$AG$2,0)),Inputs!$B$4:$B$150,$B53)/1000)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Taxas de associação (USD)</t>
        </is>
      </c>
      <c r="D54" s="11">
        <f>IF(SUMPRODUCT((Inputs!$B$4:$B$150=$B54)*ISNUMBER(INDEX(Inputs!$D$4:$AG$150,0,MATCH(D$2,Inputs!$D$2:$AG$2,0))))=0,"",SUMIFS(INDEX(Inputs!$D$4:$AG$150,0,MATCH(D$2,Inputs!$D$2:$AG$2,0)),Inputs!$B$4:$B$150,$B54)/1000)</f>
        <v>881</v>
      </c>
      <c r="E54" s="11">
        <f>IF(SUMPRODUCT((Inputs!$B$4:$B$150=$B54)*ISNUMBER(INDEX(Inputs!$D$4:$AG$150,0,MATCH(E$2,Inputs!$D$2:$AG$2,0))))=0,"",SUMIFS(INDEX(Inputs!$D$4:$AG$150,0,MATCH(E$2,Inputs!$D$2:$AG$2,0)),Inputs!$B$4:$B$150,$B54)/1000)</f>
        <v>901</v>
      </c>
      <c r="F54" s="11">
        <f>IF(SUMPRODUCT((Inputs!$B$4:$B$150=$B54)*ISNUMBER(INDEX(Inputs!$D$4:$AG$150,0,MATCH(F$2,Inputs!$D$2:$AG$2,0))))=0,"",SUMIFS(INDEX(Inputs!$D$4:$AG$150,0,MATCH(F$2,Inputs!$D$2:$AG$2,0)),Inputs!$B$4:$B$150,$B54)/1000)</f>
        <v>1234</v>
      </c>
      <c r="G54" s="11">
        <f>IF(SUMPRODUCT((Inputs!$B$4:$B$150=$B54)*ISNUMBER(INDEX(Inputs!$D$4:$AG$150,0,MATCH(G$2,Inputs!$D$2:$AG$2,0))))=0,"",SUMIFS(INDEX(Inputs!$D$4:$AG$150,0,MATCH(G$2,Inputs!$D$2:$AG$2,0)),Inputs!$B$4:$B$150,$B54)/1000)</f>
        <v>946</v>
      </c>
      <c r="H54" s="12">
        <f>IF(COUNT(D54:G54)=4,SUM(D54:G54),"")</f>
        <v>3962</v>
      </c>
      <c r="I54" s="11">
        <f>IF(SUMPRODUCT((Inputs!$B$4:$B$150=$B54)*ISNUMBER(INDEX(Inputs!$D$4:$AG$150,0,MATCH(I$2,Inputs!$D$2:$AG$2,0))))=0,"",SUMIFS(INDEX(Inputs!$D$4:$AG$150,0,MATCH(I$2,Inputs!$D$2:$AG$2,0)),Inputs!$B$4:$B$150,$B54)/1000)</f>
        <v>967</v>
      </c>
      <c r="J54" s="11">
        <f>IF(SUMPRODUCT((Inputs!$B$4:$B$150=$B54)*ISNUMBER(INDEX(Inputs!$D$4:$AG$150,0,MATCH(J$2,Inputs!$D$2:$AG$2,0))))=0,"",SUMIFS(INDEX(Inputs!$D$4:$AG$150,0,MATCH(J$2,Inputs!$D$2:$AG$2,0)),Inputs!$B$4:$B$150,$B54)/1000)</f>
        <v>984</v>
      </c>
      <c r="K54" s="11">
        <f>IF(SUMPRODUCT((Inputs!$B$4:$B$150=$B54)*ISNUMBER(INDEX(Inputs!$D$4:$AG$150,0,MATCH(K$2,Inputs!$D$2:$AG$2,0))))=0,"",SUMIFS(INDEX(Inputs!$D$4:$AG$150,0,MATCH(K$2,Inputs!$D$2:$AG$2,0)),Inputs!$B$4:$B$150,$B54)/1000)</f>
        <v>1327</v>
      </c>
      <c r="L54" s="11">
        <f>IF(SUMPRODUCT((Inputs!$B$4:$B$150=$B54)*ISNUMBER(INDEX(Inputs!$D$4:$AG$150,0,MATCH(L$2,Inputs!$D$2:$AG$2,0))))=0,"",SUMIFS(INDEX(Inputs!$D$4:$AG$150,0,MATCH(L$2,Inputs!$D$2:$AG$2,0)),Inputs!$B$4:$B$150,$B54)/1000)</f>
        <v>1000</v>
      </c>
      <c r="M54" s="12">
        <f>IF(COUNT(I54:L54)=4,SUM(I54:L54),"")</f>
        <v>4278</v>
      </c>
      <c r="N54" s="11">
        <f>IF(SUMPRODUCT((Inputs!$B$4:$B$150=$B54)*ISNUMBER(INDEX(Inputs!$D$4:$AG$150,0,MATCH(N$2,Inputs!$D$2:$AG$2,0))))=0,"",SUMIFS(INDEX(Inputs!$D$4:$AG$150,0,MATCH(N$2,Inputs!$D$2:$AG$2,0)),Inputs!$B$4:$B$150,$B54)/1000)</f>
        <v>1027</v>
      </c>
      <c r="O54" s="11">
        <f>IF(SUMPRODUCT((Inputs!$B$4:$B$150=$B54)*ISNUMBER(INDEX(Inputs!$D$4:$AG$150,0,MATCH(O$2,Inputs!$D$2:$AG$2,0))))=0,"",SUMIFS(INDEX(Inputs!$D$4:$AG$150,0,MATCH(O$2,Inputs!$D$2:$AG$2,0)),Inputs!$B$4:$B$150,$B54)/1000)</f>
        <v>1044</v>
      </c>
      <c r="P54" s="11">
        <f>IF(SUMPRODUCT((Inputs!$B$4:$B$150=$B54)*ISNUMBER(INDEX(Inputs!$D$4:$AG$150,0,MATCH(P$2,Inputs!$D$2:$AG$2,0))))=0,"",SUMIFS(INDEX(Inputs!$D$4:$AG$150,0,MATCH(P$2,Inputs!$D$2:$AG$2,0)),Inputs!$B$4:$B$150,$B54)/1000)</f>
        <v>1509</v>
      </c>
      <c r="Q54" s="11">
        <f>IF(SUMPRODUCT((Inputs!$B$4:$B$150=$B54)*ISNUMBER(INDEX(Inputs!$D$4:$AG$150,0,MATCH(Q$2,Inputs!$D$2:$AG$2,0))))=0,"",SUMIFS(INDEX(Inputs!$D$4:$AG$150,0,MATCH(Q$2,Inputs!$D$2:$AG$2,0)),Inputs!$B$4:$B$150,$B54)/1000)</f>
        <v>1082</v>
      </c>
      <c r="R54" s="12">
        <f>IF(COUNT(N54:Q54)=4,SUM(N54:Q54),"")</f>
        <v>4662</v>
      </c>
      <c r="S54" s="11">
        <f>IF(SUMPRODUCT((Inputs!$B$4:$B$150=$B54)*ISNUMBER(INDEX(Inputs!$D$4:$AG$150,0,MATCH(S$2,Inputs!$D$2:$AG$2,0))))=0,"",SUMIFS(INDEX(Inputs!$D$4:$AG$150,0,MATCH(S$2,Inputs!$D$2:$AG$2,0)),Inputs!$B$4:$B$150,$B54)/1000)</f>
        <v>1111</v>
      </c>
      <c r="T54" s="11">
        <f>IF(SUMPRODUCT((Inputs!$B$4:$B$150=$B54)*ISNUMBER(INDEX(Inputs!$D$4:$AG$150,0,MATCH(T$2,Inputs!$D$2:$AG$2,0))))=0,"",SUMIFS(INDEX(Inputs!$D$4:$AG$150,0,MATCH(T$2,Inputs!$D$2:$AG$2,0)),Inputs!$B$4:$B$150,$B54)/1000)</f>
        <v>1123</v>
      </c>
      <c r="U54" s="11">
        <f>IF(SUMPRODUCT((Inputs!$B$4:$B$150=$B54)*ISNUMBER(INDEX(Inputs!$D$4:$AG$150,0,MATCH(U$2,Inputs!$D$2:$AG$2,0))))=0,"",SUMIFS(INDEX(Inputs!$D$4:$AG$150,0,MATCH(U$2,Inputs!$D$2:$AG$2,0)),Inputs!$B$4:$B$150,$B54)/1000)</f>
        <v>1512</v>
      </c>
      <c r="V54" s="11">
        <f>IF(SUMPRODUCT((Inputs!$B$4:$B$150=$B54)*ISNUMBER(INDEX(Inputs!$D$4:$AG$150,0,MATCH(V$2,Inputs!$D$2:$AG$2,0))))=0,"",SUMIFS(INDEX(Inputs!$D$4:$AG$150,0,MATCH(V$2,Inputs!$D$2:$AG$2,0)),Inputs!$B$4:$B$150,$B54)/1000)</f>
        <v>1166</v>
      </c>
      <c r="W54" s="12">
        <f>IF(COUNT(S54:V54)=4,SUM(S54:V54),"")</f>
        <v>4912</v>
      </c>
      <c r="X54" s="11">
        <f>IF(SUMPRODUCT((Inputs!$B$4:$B$150=$B54)*ISNUMBER(INDEX(Inputs!$D$4:$AG$150,0,MATCH(X$2,Inputs!$D$2:$AG$2,0))))=0,"",SUMIFS(INDEX(Inputs!$D$4:$AG$150,0,MATCH(X$2,Inputs!$D$2:$AG$2,0)),Inputs!$B$4:$B$150,$B54)/1000)</f>
        <v>1193</v>
      </c>
      <c r="Y54" s="11">
        <f>IF(SUMPRODUCT((Inputs!$B$4:$B$150=$B54)*ISNUMBER(INDEX(Inputs!$D$4:$AG$150,0,MATCH(Y$2,Inputs!$D$2:$AG$2,0))))=0,"",SUMIFS(INDEX(Inputs!$D$4:$AG$150,0,MATCH(Y$2,Inputs!$D$2:$AG$2,0)),Inputs!$B$4:$B$150,$B54)/1000)</f>
        <v>1240</v>
      </c>
      <c r="Z54" s="11">
        <f>IF(SUMPRODUCT((Inputs!$B$4:$B$150=$B54)*ISNUMBER(INDEX(Inputs!$D$4:$AG$150,0,MATCH(Z$2,Inputs!$D$2:$AG$2,0))))=0,"",SUMIFS(INDEX(Inputs!$D$4:$AG$150,0,MATCH(Z$2,Inputs!$D$2:$AG$2,0)),Inputs!$B$4:$B$150,$B54)/1000)</f>
        <v>1724</v>
      </c>
      <c r="AA54" s="11">
        <f>IF(SUMPRODUCT((Inputs!$B$4:$B$150=$B54)*ISNUMBER(INDEX(Inputs!$D$4:$AG$150,0,MATCH(AA$2,Inputs!$D$2:$AG$2,0))))=0,"",SUMIFS(INDEX(Inputs!$D$4:$AG$150,0,MATCH(AA$2,Inputs!$D$2:$AG$2,0)),Inputs!$B$4:$B$150,$B54)/1000)</f>
        <v>1329</v>
      </c>
      <c r="AB54" s="12">
        <f>IF(COUNT(X54:AA54)=4,SUM(X54:AA54),"")</f>
        <v>5486</v>
      </c>
      <c r="AC54" s="11">
        <f>IF(SUMPRODUCT((Inputs!$B$4:$B$150=$B54)*ISNUMBER(INDEX(Inputs!$D$4:$AG$150,0,MATCH(AC$2,Inputs!$D$2:$AG$2,0))))=0,"",SUMIFS(INDEX(Inputs!$D$4:$AG$150,0,MATCH(AC$2,Inputs!$D$2:$AG$2,0)),Inputs!$B$4:$B$150,$B54)/1000)</f>
        <v>1355</v>
      </c>
      <c r="AD54" s="11">
        <f>IF(SUMPRODUCT((Inputs!$B$4:$B$150=$B54)*ISNUMBER(INDEX(Inputs!$D$4:$AG$150,0,MATCH(AD$2,Inputs!$D$2:$AG$2,0))))=0,"",SUMIFS(INDEX(Inputs!$D$4:$AG$150,0,MATCH(AD$2,Inputs!$D$2:$AG$2,0)),Inputs!$B$4:$B$150,$B54)/1000)</f>
        <v>1373</v>
      </c>
      <c r="AE54" s="11" t="str">
        <f>IF(SUMPRODUCT((Inputs!$B$4:$B$150=$B54)*ISNUMBER(INDEX(Inputs!$D$4:$AG$150,0,MATCH(AE$2,Inputs!$D$2:$AG$2,0))))=0,"",SUMIFS(INDEX(Inputs!$D$4:$AG$150,0,MATCH(AE$2,Inputs!$D$2:$AG$2,0)),Inputs!$B$4:$B$150,$B54)/1000)</f>
        <v/>
      </c>
      <c r="AF54" s="11" t="str">
        <f>IF(SUMPRODUCT((Inputs!$B$4:$B$150=$B54)*ISNUMBER(INDEX(Inputs!$D$4:$AG$150,0,MATCH(AF$2,Inputs!$D$2:$AG$2,0))))=0,"",SUMIFS(INDEX(Inputs!$D$4:$AG$150,0,MATCH(AF$2,Inputs!$D$2:$AG$2,0)),Inputs!$B$4:$B$150,$B54)/1000)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Receita EUA (USD)</t>
        </is>
      </c>
      <c r="D55" s="11">
        <f>IF(SUMPRODUCT((Inputs!$B$4:$B$150=$B55)*ISNUMBER(INDEX(Inputs!$D$4:$AG$150,0,MATCH(D$2,Inputs!$D$2:$AG$2,0))))=0,"",SUMIFS(INDEX(Inputs!$D$4:$AG$150,0,MATCH(D$2,Inputs!$D$2:$AG$2,0)),Inputs!$B$4:$B$150,$B55)/1000)</f>
        <v>32127</v>
      </c>
      <c r="E55" s="11">
        <f>IF(SUMPRODUCT((Inputs!$B$4:$B$150=$B55)*ISNUMBER(INDEX(Inputs!$D$4:$AG$150,0,MATCH(E$2,Inputs!$D$2:$AG$2,0))))=0,"",SUMIFS(INDEX(Inputs!$D$4:$AG$150,0,MATCH(E$2,Inputs!$D$2:$AG$2,0)),Inputs!$B$4:$B$150,$B55)/1000)</f>
        <v>32759</v>
      </c>
      <c r="F55" s="11">
        <f>IF(SUMPRODUCT((Inputs!$B$4:$B$150=$B55)*ISNUMBER(INDEX(Inputs!$D$4:$AG$150,0,MATCH(F$2,Inputs!$D$2:$AG$2,0))))=0,"",SUMIFS(INDEX(Inputs!$D$4:$AG$150,0,MATCH(F$2,Inputs!$D$2:$AG$2,0)),Inputs!$B$4:$B$150,$B55)/1000)</f>
        <v>45220</v>
      </c>
      <c r="G55" s="11">
        <f>IF(SUMPRODUCT((Inputs!$B$4:$B$150=$B55)*ISNUMBER(INDEX(Inputs!$D$4:$AG$150,0,MATCH(G$2,Inputs!$D$2:$AG$2,0))))=0,"",SUMIFS(INDEX(Inputs!$D$4:$AG$150,0,MATCH(G$2,Inputs!$D$2:$AG$2,0)),Inputs!$B$4:$B$150,$B55)/1000)</f>
        <v>36317</v>
      </c>
      <c r="H55" s="12">
        <f>IF(COUNT(D55:G55)=4,SUM(D55:G55),"")</f>
        <v>146423</v>
      </c>
      <c r="I55" s="11">
        <f>IF(SUMPRODUCT((Inputs!$B$4:$B$150=$B55)*ISNUMBER(INDEX(Inputs!$D$4:$AG$150,0,MATCH(I$2,Inputs!$D$2:$AG$2,0))))=0,"",SUMIFS(INDEX(Inputs!$D$4:$AG$150,0,MATCH(I$2,Inputs!$D$2:$AG$2,0)),Inputs!$B$4:$B$150,$B55)/1000)</f>
        <v>37567</v>
      </c>
      <c r="J55" s="11">
        <f>IF(SUMPRODUCT((Inputs!$B$4:$B$150=$B55)*ISNUMBER(INDEX(Inputs!$D$4:$AG$150,0,MATCH(J$2,Inputs!$D$2:$AG$2,0))))=0,"",SUMIFS(INDEX(Inputs!$D$4:$AG$150,0,MATCH(J$2,Inputs!$D$2:$AG$2,0)),Inputs!$B$4:$B$150,$B55)/1000)</f>
        <v>38534</v>
      </c>
      <c r="K55" s="11">
        <f>IF(SUMPRODUCT((Inputs!$B$4:$B$150=$B55)*ISNUMBER(INDEX(Inputs!$D$4:$AG$150,0,MATCH(K$2,Inputs!$D$2:$AG$2,0))))=0,"",SUMIFS(INDEX(Inputs!$D$4:$AG$150,0,MATCH(K$2,Inputs!$D$2:$AG$2,0)),Inputs!$B$4:$B$150,$B55)/1000)</f>
        <v>52876</v>
      </c>
      <c r="L55" s="11">
        <f>IF(SUMPRODUCT((Inputs!$B$4:$B$150=$B55)*ISNUMBER(INDEX(Inputs!$D$4:$AG$150,0,MATCH(L$2,Inputs!$D$2:$AG$2,0))))=0,"",SUMIFS(INDEX(Inputs!$D$4:$AG$150,0,MATCH(L$2,Inputs!$D$2:$AG$2,0)),Inputs!$B$4:$B$150,$B55)/1000)</f>
        <v>40145</v>
      </c>
      <c r="M55" s="12">
        <f>IF(COUNT(I55:L55)=4,SUM(I55:L55),"")</f>
        <v>169122</v>
      </c>
      <c r="N55" s="11">
        <f>IF(SUMPRODUCT((Inputs!$B$4:$B$150=$B55)*ISNUMBER(INDEX(Inputs!$D$4:$AG$150,0,MATCH(N$2,Inputs!$D$2:$AG$2,0))))=0,"",SUMIFS(INDEX(Inputs!$D$4:$AG$150,0,MATCH(N$2,Inputs!$D$2:$AG$2,0)),Inputs!$B$4:$B$150,$B55)/1000)</f>
        <v>40145</v>
      </c>
      <c r="O55" s="11">
        <f>IF(SUMPRODUCT((Inputs!$B$4:$B$150=$B55)*ISNUMBER(INDEX(Inputs!$D$4:$AG$150,0,MATCH(O$2,Inputs!$D$2:$AG$2,0))))=0,"",SUMIFS(INDEX(Inputs!$D$4:$AG$150,0,MATCH(O$2,Inputs!$D$2:$AG$2,0)),Inputs!$B$4:$B$150,$B55)/1000)</f>
        <v>39049</v>
      </c>
      <c r="P55" s="11">
        <f>IF(SUMPRODUCT((Inputs!$B$4:$B$150=$B55)*ISNUMBER(INDEX(Inputs!$D$4:$AG$150,0,MATCH(P$2,Inputs!$D$2:$AG$2,0))))=0,"",SUMIFS(INDEX(Inputs!$D$4:$AG$150,0,MATCH(P$2,Inputs!$D$2:$AG$2,0)),Inputs!$B$4:$B$150,$B55)/1000)</f>
        <v>57291</v>
      </c>
      <c r="Q55" s="11">
        <f>IF(SUMPRODUCT((Inputs!$B$4:$B$150=$B55)*ISNUMBER(INDEX(Inputs!$D$4:$AG$150,0,MATCH(Q$2,Inputs!$D$2:$AG$2,0))))=0,"",SUMIFS(INDEX(Inputs!$D$4:$AG$150,0,MATCH(Q$2,Inputs!$D$2:$AG$2,0)),Inputs!$B$4:$B$150,$B55)/1000)</f>
        <v>41833</v>
      </c>
      <c r="R55" s="12">
        <f>IF(COUNT(N55:Q55)=4,SUM(N55:Q55),"")</f>
        <v>178318</v>
      </c>
      <c r="S55" s="11">
        <f>IF(SUMPRODUCT((Inputs!$B$4:$B$150=$B55)*ISNUMBER(INDEX(Inputs!$D$4:$AG$150,0,MATCH(S$2,Inputs!$D$2:$AG$2,0))))=0,"",SUMIFS(INDEX(Inputs!$D$4:$AG$150,0,MATCH(S$2,Inputs!$D$2:$AG$2,0)),Inputs!$B$4:$B$150,$B55)/1000)</f>
        <v>41952</v>
      </c>
      <c r="T55" s="11">
        <f>IF(SUMPRODUCT((Inputs!$B$4:$B$150=$B55)*ISNUMBER(INDEX(Inputs!$D$4:$AG$150,0,MATCH(T$2,Inputs!$D$2:$AG$2,0))))=0,"",SUMIFS(INDEX(Inputs!$D$4:$AG$150,0,MATCH(T$2,Inputs!$D$2:$AG$2,0)),Inputs!$B$4:$B$150,$B55)/1000)</f>
        <v>42449</v>
      </c>
      <c r="U55" s="11">
        <f>IF(SUMPRODUCT((Inputs!$B$4:$B$150=$B55)*ISNUMBER(INDEX(Inputs!$D$4:$AG$150,0,MATCH(U$2,Inputs!$D$2:$AG$2,0))))=0,"",SUMIFS(INDEX(Inputs!$D$4:$AG$150,0,MATCH(U$2,Inputs!$D$2:$AG$2,0)),Inputs!$B$4:$B$150,$B55)/1000)</f>
        <v>57909</v>
      </c>
      <c r="V55" s="11">
        <f>IF(SUMPRODUCT((Inputs!$B$4:$B$150=$B55)*ISNUMBER(INDEX(Inputs!$D$4:$AG$150,0,MATCH(V$2,Inputs!$D$2:$AG$2,0))))=0,"",SUMIFS(INDEX(Inputs!$D$4:$AG$150,0,MATCH(V$2,Inputs!$D$2:$AG$2,0)),Inputs!$B$4:$B$150,$B55)/1000)</f>
        <v>45088</v>
      </c>
      <c r="W55" s="12">
        <f>IF(COUNT(S55:V55)=4,SUM(S55:V55),"")</f>
        <v>187398</v>
      </c>
      <c r="X55" s="11">
        <f>IF(SUMPRODUCT((Inputs!$B$4:$B$150=$B55)*ISNUMBER(INDEX(Inputs!$D$4:$AG$150,0,MATCH(X$2,Inputs!$D$2:$AG$2,0))))=0,"",SUMIFS(INDEX(Inputs!$D$4:$AG$150,0,MATCH(X$2,Inputs!$D$2:$AG$2,0)),Inputs!$B$4:$B$150,$B55)/1000)</f>
        <v>46413</v>
      </c>
      <c r="Y55" s="11">
        <f>IF(SUMPRODUCT((Inputs!$B$4:$B$150=$B55)*ISNUMBER(INDEX(Inputs!$D$4:$AG$150,0,MATCH(Y$2,Inputs!$D$2:$AG$2,0))))=0,"",SUMIFS(INDEX(Inputs!$D$4:$AG$150,0,MATCH(Y$2,Inputs!$D$2:$AG$2,0)),Inputs!$B$4:$B$150,$B55)/1000)</f>
        <v>46318</v>
      </c>
      <c r="Z55" s="11">
        <f>IF(SUMPRODUCT((Inputs!$B$4:$B$150=$B55)*ISNUMBER(INDEX(Inputs!$D$4:$AG$150,0,MATCH(Z$2,Inputs!$D$2:$AG$2,0))))=0,"",SUMIFS(INDEX(Inputs!$D$4:$AG$150,0,MATCH(Z$2,Inputs!$D$2:$AG$2,0)),Inputs!$B$4:$B$150,$B55)/1000)</f>
        <v>62227</v>
      </c>
      <c r="AA55" s="11">
        <f>IF(SUMPRODUCT((Inputs!$B$4:$B$150=$B55)*ISNUMBER(INDEX(Inputs!$D$4:$AG$150,0,MATCH(AA$2,Inputs!$D$2:$AG$2,0))))=0,"",SUMIFS(INDEX(Inputs!$D$4:$AG$150,0,MATCH(AA$2,Inputs!$D$2:$AG$2,0)),Inputs!$B$4:$B$150,$B55)/1000)</f>
        <v>48569</v>
      </c>
      <c r="AB55" s="12">
        <f>IF(COUNT(X55:AA55)=4,SUM(X55:AA55),"")</f>
        <v>203527</v>
      </c>
      <c r="AC55" s="11">
        <f>IF(SUMPRODUCT((Inputs!$B$4:$B$150=$B55)*ISNUMBER(INDEX(Inputs!$D$4:$AG$150,0,MATCH(AC$2,Inputs!$D$2:$AG$2,0))))=0,"",SUMIFS(INDEX(Inputs!$D$4:$AG$150,0,MATCH(AC$2,Inputs!$D$2:$AG$2,0)),Inputs!$B$4:$B$150,$B55)/1000)</f>
        <v>49931</v>
      </c>
      <c r="AD55" s="11">
        <f>IF(SUMPRODUCT((Inputs!$B$4:$B$150=$B55)*ISNUMBER(INDEX(Inputs!$D$4:$AG$150,0,MATCH(AD$2,Inputs!$D$2:$AG$2,0))))=0,"",SUMIFS(INDEX(Inputs!$D$4:$AG$150,0,MATCH(AD$2,Inputs!$D$2:$AG$2,0)),Inputs!$B$4:$B$150,$B55)/1000)</f>
        <v>51434</v>
      </c>
      <c r="AE55" s="11" t="str">
        <f>IF(SUMPRODUCT((Inputs!$B$4:$B$150=$B55)*ISNUMBER(INDEX(Inputs!$D$4:$AG$150,0,MATCH(AE$2,Inputs!$D$2:$AG$2,0))))=0,"",SUMIFS(INDEX(Inputs!$D$4:$AG$150,0,MATCH(AE$2,Inputs!$D$2:$AG$2,0)),Inputs!$B$4:$B$150,$B55)/1000)</f>
        <v/>
      </c>
      <c r="AF55" s="11" t="str">
        <f>IF(SUMPRODUCT((Inputs!$B$4:$B$150=$B55)*ISNUMBER(INDEX(Inputs!$D$4:$AG$150,0,MATCH(AF$2,Inputs!$D$2:$AG$2,0))))=0,"",SUMIFS(INDEX(Inputs!$D$4:$AG$150,0,MATCH(AF$2,Inputs!$D$2:$AG$2,0)),Inputs!$B$4:$B$150,$B55)/1000)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Receita Canadá (USD)</t>
        </is>
      </c>
      <c r="D56" s="11">
        <f>IF(SUMPRODUCT((Inputs!$B$4:$B$150=$B56)*ISNUMBER(INDEX(Inputs!$D$4:$AG$150,0,MATCH(D$2,Inputs!$D$2:$AG$2,0))))=0,"",SUMIFS(INDEX(Inputs!$D$4:$AG$150,0,MATCH(D$2,Inputs!$D$2:$AG$2,0)),Inputs!$B$4:$B$150,$B56)/1000)</f>
        <v>6001</v>
      </c>
      <c r="E56" s="11">
        <f>IF(SUMPRODUCT((Inputs!$B$4:$B$150=$B56)*ISNUMBER(INDEX(Inputs!$D$4:$AG$150,0,MATCH(E$2,Inputs!$D$2:$AG$2,0))))=0,"",SUMIFS(INDEX(Inputs!$D$4:$AG$150,0,MATCH(E$2,Inputs!$D$2:$AG$2,0)),Inputs!$B$4:$B$150,$B56)/1000)</f>
        <v>6299</v>
      </c>
      <c r="F56" s="11">
        <f>IF(SUMPRODUCT((Inputs!$B$4:$B$150=$B56)*ISNUMBER(INDEX(Inputs!$D$4:$AG$150,0,MATCH(F$2,Inputs!$D$2:$AG$2,0))))=0,"",SUMIFS(INDEX(Inputs!$D$4:$AG$150,0,MATCH(F$2,Inputs!$D$2:$AG$2,0)),Inputs!$B$4:$B$150,$B56)/1000)</f>
        <v>8987</v>
      </c>
      <c r="G56" s="11">
        <f>IF(SUMPRODUCT((Inputs!$B$4:$B$150=$B56)*ISNUMBER(INDEX(Inputs!$D$4:$AG$150,0,MATCH(G$2,Inputs!$D$2:$AG$2,0))))=0,"",SUMIFS(INDEX(Inputs!$D$4:$AG$150,0,MATCH(G$2,Inputs!$D$2:$AG$2,0)),Inputs!$B$4:$B$150,$B56)/1000)</f>
        <v>7121</v>
      </c>
      <c r="H56" s="12">
        <f>IF(COUNT(D56:G56)=4,SUM(D56:G56),"")</f>
        <v>28408</v>
      </c>
      <c r="I56" s="11">
        <f>IF(SUMPRODUCT((Inputs!$B$4:$B$150=$B56)*ISNUMBER(INDEX(Inputs!$D$4:$AG$150,0,MATCH(I$2,Inputs!$D$2:$AG$2,0))))=0,"",SUMIFS(INDEX(Inputs!$D$4:$AG$150,0,MATCH(I$2,Inputs!$D$2:$AG$2,0)),Inputs!$B$4:$B$150,$B56)/1000)</f>
        <v>7017</v>
      </c>
      <c r="J56" s="11">
        <f>IF(SUMPRODUCT((Inputs!$B$4:$B$150=$B56)*ISNUMBER(INDEX(Inputs!$D$4:$AG$150,0,MATCH(J$2,Inputs!$D$2:$AG$2,0))))=0,"",SUMIFS(INDEX(Inputs!$D$4:$AG$150,0,MATCH(J$2,Inputs!$D$2:$AG$2,0)),Inputs!$B$4:$B$150,$B56)/1000)</f>
        <v>7268</v>
      </c>
      <c r="K56" s="11">
        <f>IF(SUMPRODUCT((Inputs!$B$4:$B$150=$B56)*ISNUMBER(INDEX(Inputs!$D$4:$AG$150,0,MATCH(K$2,Inputs!$D$2:$AG$2,0))))=0,"",SUMIFS(INDEX(Inputs!$D$4:$AG$150,0,MATCH(K$2,Inputs!$D$2:$AG$2,0)),Inputs!$B$4:$B$150,$B56)/1000)</f>
        <v>10269</v>
      </c>
      <c r="L56" s="11">
        <f>IF(SUMPRODUCT((Inputs!$B$4:$B$150=$B56)*ISNUMBER(INDEX(Inputs!$D$4:$AG$150,0,MATCH(L$2,Inputs!$D$2:$AG$2,0))))=0,"",SUMIFS(INDEX(Inputs!$D$4:$AG$150,0,MATCH(L$2,Inputs!$D$2:$AG$2,0)),Inputs!$B$4:$B$150,$B56)/1000)</f>
        <v>7356</v>
      </c>
      <c r="M56" s="12">
        <f>IF(COUNT(I56:L56)=4,SUM(I56:L56),"")</f>
        <v>31910</v>
      </c>
      <c r="N56" s="11">
        <f>IF(SUMPRODUCT((Inputs!$B$4:$B$150=$B56)*ISNUMBER(INDEX(Inputs!$D$4:$AG$150,0,MATCH(N$2,Inputs!$D$2:$AG$2,0))))=0,"",SUMIFS(INDEX(Inputs!$D$4:$AG$150,0,MATCH(N$2,Inputs!$D$2:$AG$2,0)),Inputs!$B$4:$B$150,$B56)/1000)</f>
        <v>7299</v>
      </c>
      <c r="O56" s="11">
        <f>IF(SUMPRODUCT((Inputs!$B$4:$B$150=$B56)*ISNUMBER(INDEX(Inputs!$D$4:$AG$150,0,MATCH(O$2,Inputs!$D$2:$AG$2,0))))=0,"",SUMIFS(INDEX(Inputs!$D$4:$AG$150,0,MATCH(O$2,Inputs!$D$2:$AG$2,0)),Inputs!$B$4:$B$150,$B56)/1000)</f>
        <v>7268</v>
      </c>
      <c r="P56" s="11">
        <f>IF(SUMPRODUCT((Inputs!$B$4:$B$150=$B56)*ISNUMBER(INDEX(Inputs!$D$4:$AG$150,0,MATCH(P$2,Inputs!$D$2:$AG$2,0))))=0,"",SUMIFS(INDEX(Inputs!$D$4:$AG$150,0,MATCH(P$2,Inputs!$D$2:$AG$2,0)),Inputs!$B$4:$B$150,$B56)/1000)</f>
        <v>11133</v>
      </c>
      <c r="Q56" s="11">
        <f>IF(SUMPRODUCT((Inputs!$B$4:$B$150=$B56)*ISNUMBER(INDEX(Inputs!$D$4:$AG$150,0,MATCH(Q$2,Inputs!$D$2:$AG$2,0))))=0,"",SUMIFS(INDEX(Inputs!$D$4:$AG$150,0,MATCH(Q$2,Inputs!$D$2:$AG$2,0)),Inputs!$B$4:$B$150,$B56)/1000)</f>
        <v>7901</v>
      </c>
      <c r="R56" s="12">
        <f>IF(COUNT(N56:Q56)=4,SUM(N56:Q56),"")</f>
        <v>33601</v>
      </c>
      <c r="S56" s="11">
        <f>IF(SUMPRODUCT((Inputs!$B$4:$B$150=$B56)*ISNUMBER(INDEX(Inputs!$D$4:$AG$150,0,MATCH(S$2,Inputs!$D$2:$AG$2,0))))=0,"",SUMIFS(INDEX(Inputs!$D$4:$AG$150,0,MATCH(S$2,Inputs!$D$2:$AG$2,0)),Inputs!$B$4:$B$150,$B56)/1000)</f>
        <v>7874</v>
      </c>
      <c r="T56" s="11">
        <f>IF(SUMPRODUCT((Inputs!$B$4:$B$150=$B56)*ISNUMBER(INDEX(Inputs!$D$4:$AG$150,0,MATCH(T$2,Inputs!$D$2:$AG$2,0))))=0,"",SUMIFS(INDEX(Inputs!$D$4:$AG$150,0,MATCH(T$2,Inputs!$D$2:$AG$2,0)),Inputs!$B$4:$B$150,$B56)/1000)</f>
        <v>8014</v>
      </c>
      <c r="U56" s="11">
        <f>IF(SUMPRODUCT((Inputs!$B$4:$B$150=$B56)*ISNUMBER(INDEX(Inputs!$D$4:$AG$150,0,MATCH(U$2,Inputs!$D$2:$AG$2,0))))=0,"",SUMIFS(INDEX(Inputs!$D$4:$AG$150,0,MATCH(U$2,Inputs!$D$2:$AG$2,0)),Inputs!$B$4:$B$150,$B56)/1000)</f>
        <v>11085</v>
      </c>
      <c r="V56" s="11">
        <f>IF(SUMPRODUCT((Inputs!$B$4:$B$150=$B56)*ISNUMBER(INDEX(Inputs!$D$4:$AG$150,0,MATCH(V$2,Inputs!$D$2:$AG$2,0))))=0,"",SUMIFS(INDEX(Inputs!$D$4:$AG$150,0,MATCH(V$2,Inputs!$D$2:$AG$2,0)),Inputs!$B$4:$B$150,$B56)/1000)</f>
        <v>8404</v>
      </c>
      <c r="W56" s="12">
        <f>IF(COUNT(S56:V56)=4,SUM(S56:V56),"")</f>
        <v>35377</v>
      </c>
      <c r="X56" s="11">
        <f>IF(SUMPRODUCT((Inputs!$B$4:$B$150=$B56)*ISNUMBER(INDEX(Inputs!$D$4:$AG$150,0,MATCH(X$2,Inputs!$D$2:$AG$2,0))))=0,"",SUMIFS(INDEX(Inputs!$D$4:$AG$150,0,MATCH(X$2,Inputs!$D$2:$AG$2,0)),Inputs!$B$4:$B$150,$B56)/1000)</f>
        <v>8296</v>
      </c>
      <c r="Y56" s="11">
        <f>IF(SUMPRODUCT((Inputs!$B$4:$B$150=$B56)*ISNUMBER(INDEX(Inputs!$D$4:$AG$150,0,MATCH(Y$2,Inputs!$D$2:$AG$2,0))))=0,"",SUMIFS(INDEX(Inputs!$D$4:$AG$150,0,MATCH(Y$2,Inputs!$D$2:$AG$2,0)),Inputs!$B$4:$B$150,$B56)/1000)</f>
        <v>8321</v>
      </c>
      <c r="Z56" s="11">
        <f>IF(SUMPRODUCT((Inputs!$B$4:$B$150=$B56)*ISNUMBER(INDEX(Inputs!$D$4:$AG$150,0,MATCH(Z$2,Inputs!$D$2:$AG$2,0))))=0,"",SUMIFS(INDEX(Inputs!$D$4:$AG$150,0,MATCH(Z$2,Inputs!$D$2:$AG$2,0)),Inputs!$B$4:$B$150,$B56)/1000)</f>
        <v>11902</v>
      </c>
      <c r="AA56" s="11">
        <f>IF(SUMPRODUCT((Inputs!$B$4:$B$150=$B56)*ISNUMBER(INDEX(Inputs!$D$4:$AG$150,0,MATCH(AA$2,Inputs!$D$2:$AG$2,0))))=0,"",SUMIFS(INDEX(Inputs!$D$4:$AG$150,0,MATCH(AA$2,Inputs!$D$2:$AG$2,0)),Inputs!$B$4:$B$150,$B56)/1000)</f>
        <v>9073</v>
      </c>
      <c r="AB56" s="12">
        <f>IF(COUNT(X56:AA56)=4,SUM(X56:AA56),"")</f>
        <v>37592</v>
      </c>
      <c r="AC56" s="11">
        <f>IF(SUMPRODUCT((Inputs!$B$4:$B$150=$B56)*ISNUMBER(INDEX(Inputs!$D$4:$AG$150,0,MATCH(AC$2,Inputs!$D$2:$AG$2,0))))=0,"",SUMIFS(INDEX(Inputs!$D$4:$AG$150,0,MATCH(AC$2,Inputs!$D$2:$AG$2,0)),Inputs!$B$4:$B$150,$B56)/1000)</f>
        <v>9291</v>
      </c>
      <c r="AD56" s="11">
        <f>IF(SUMPRODUCT((Inputs!$B$4:$B$150=$B56)*ISNUMBER(INDEX(Inputs!$D$4:$AG$150,0,MATCH(AD$2,Inputs!$D$2:$AG$2,0))))=0,"",SUMIFS(INDEX(Inputs!$D$4:$AG$150,0,MATCH(AD$2,Inputs!$D$2:$AG$2,0)),Inputs!$B$4:$B$150,$B56)/1000)</f>
        <v>9410</v>
      </c>
      <c r="AE56" s="11" t="str">
        <f>IF(SUMPRODUCT((Inputs!$B$4:$B$150=$B56)*ISNUMBER(INDEX(Inputs!$D$4:$AG$150,0,MATCH(AE$2,Inputs!$D$2:$AG$2,0))))=0,"",SUMIFS(INDEX(Inputs!$D$4:$AG$150,0,MATCH(AE$2,Inputs!$D$2:$AG$2,0)),Inputs!$B$4:$B$150,$B56)/1000)</f>
        <v/>
      </c>
      <c r="AF56" s="11" t="str">
        <f>IF(SUMPRODUCT((Inputs!$B$4:$B$150=$B56)*ISNUMBER(INDEX(Inputs!$D$4:$AG$150,0,MATCH(AF$2,Inputs!$D$2:$AG$2,0))))=0,"",SUMIFS(INDEX(Inputs!$D$4:$AG$150,0,MATCH(AF$2,Inputs!$D$2:$AG$2,0)),Inputs!$B$4:$B$150,$B56)/1000)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Receita outros internacionais (USD)</t>
        </is>
      </c>
      <c r="D57" s="11">
        <f>IF(SUMPRODUCT((Inputs!$B$4:$B$150=$B57)*ISNUMBER(INDEX(Inputs!$D$4:$AG$150,0,MATCH(D$2,Inputs!$D$2:$AG$2,0))))=0,"",SUMIFS(INDEX(Inputs!$D$4:$AG$150,0,MATCH(D$2,Inputs!$D$2:$AG$2,0)),Inputs!$B$4:$B$150,$B57)/1000)</f>
        <v>6641</v>
      </c>
      <c r="E57" s="11">
        <f>IF(SUMPRODUCT((Inputs!$B$4:$B$150=$B57)*ISNUMBER(INDEX(Inputs!$D$4:$AG$150,0,MATCH(E$2,Inputs!$D$2:$AG$2,0))))=0,"",SUMIFS(INDEX(Inputs!$D$4:$AG$150,0,MATCH(E$2,Inputs!$D$2:$AG$2,0)),Inputs!$B$4:$B$150,$B57)/1000)</f>
        <v>6219</v>
      </c>
      <c r="F57" s="11">
        <f>IF(SUMPRODUCT((Inputs!$B$4:$B$150=$B57)*ISNUMBER(INDEX(Inputs!$D$4:$AG$150,0,MATCH(F$2,Inputs!$D$2:$AG$2,0))))=0,"",SUMIFS(INDEX(Inputs!$D$4:$AG$150,0,MATCH(F$2,Inputs!$D$2:$AG$2,0)),Inputs!$B$4:$B$150,$B57)/1000)</f>
        <v>8468</v>
      </c>
      <c r="G57" s="11">
        <f>IF(SUMPRODUCT((Inputs!$B$4:$B$150=$B57)*ISNUMBER(INDEX(Inputs!$D$4:$AG$150,0,MATCH(G$2,Inputs!$D$2:$AG$2,0))))=0,"",SUMIFS(INDEX(Inputs!$D$4:$AG$150,0,MATCH(G$2,Inputs!$D$2:$AG$2,0)),Inputs!$B$4:$B$150,$B57)/1000)</f>
        <v>6925</v>
      </c>
      <c r="H57" s="12">
        <f>IF(COUNT(D57:G57)=4,SUM(D57:G57),"")</f>
        <v>28253</v>
      </c>
      <c r="I57" s="11">
        <f>IF(SUMPRODUCT((Inputs!$B$4:$B$150=$B57)*ISNUMBER(INDEX(Inputs!$D$4:$AG$150,0,MATCH(I$2,Inputs!$D$2:$AG$2,0))))=0,"",SUMIFS(INDEX(Inputs!$D$4:$AG$150,0,MATCH(I$2,Inputs!$D$2:$AG$2,0)),Inputs!$B$4:$B$150,$B57)/1000)</f>
        <v>7320</v>
      </c>
      <c r="J57" s="11">
        <f>IF(SUMPRODUCT((Inputs!$B$4:$B$150=$B57)*ISNUMBER(INDEX(Inputs!$D$4:$AG$150,0,MATCH(J$2,Inputs!$D$2:$AG$2,0))))=0,"",SUMIFS(INDEX(Inputs!$D$4:$AG$150,0,MATCH(J$2,Inputs!$D$2:$AG$2,0)),Inputs!$B$4:$B$150,$B57)/1000)</f>
        <v>6794</v>
      </c>
      <c r="K57" s="11">
        <f>IF(SUMPRODUCT((Inputs!$B$4:$B$150=$B57)*ISNUMBER(INDEX(Inputs!$D$4:$AG$150,0,MATCH(K$2,Inputs!$D$2:$AG$2,0))))=0,"",SUMIFS(INDEX(Inputs!$D$4:$AG$150,0,MATCH(K$2,Inputs!$D$2:$AG$2,0)),Inputs!$B$4:$B$150,$B57)/1000)</f>
        <v>8946</v>
      </c>
      <c r="L57" s="11">
        <f>IF(SUMPRODUCT((Inputs!$B$4:$B$150=$B57)*ISNUMBER(INDEX(Inputs!$D$4:$AG$150,0,MATCH(L$2,Inputs!$D$2:$AG$2,0))))=0,"",SUMIFS(INDEX(Inputs!$D$4:$AG$150,0,MATCH(L$2,Inputs!$D$2:$AG$2,0)),Inputs!$B$4:$B$150,$B57)/1000)</f>
        <v>6936</v>
      </c>
      <c r="M57" s="12">
        <f>IF(COUNT(I57:L57)=4,SUM(I57:L57),"")</f>
        <v>29996</v>
      </c>
      <c r="N57" s="11">
        <f>IF(SUMPRODUCT((Inputs!$B$4:$B$150=$B57)*ISNUMBER(INDEX(Inputs!$D$4:$AG$150,0,MATCH(N$2,Inputs!$D$2:$AG$2,0))))=0,"",SUMIFS(INDEX(Inputs!$D$4:$AG$150,0,MATCH(N$2,Inputs!$D$2:$AG$2,0)),Inputs!$B$4:$B$150,$B57)/1000)</f>
        <v>7822</v>
      </c>
      <c r="O57" s="11">
        <f>IF(SUMPRODUCT((Inputs!$B$4:$B$150=$B57)*ISNUMBER(INDEX(Inputs!$D$4:$AG$150,0,MATCH(O$2,Inputs!$D$2:$AG$2,0))))=0,"",SUMIFS(INDEX(Inputs!$D$4:$AG$150,0,MATCH(O$2,Inputs!$D$2:$AG$2,0)),Inputs!$B$4:$B$150,$B57)/1000)</f>
        <v>7331</v>
      </c>
      <c r="P57" s="11">
        <f>IF(SUMPRODUCT((Inputs!$B$4:$B$150=$B57)*ISNUMBER(INDEX(Inputs!$D$4:$AG$150,0,MATCH(P$2,Inputs!$D$2:$AG$2,0))))=0,"",SUMIFS(INDEX(Inputs!$D$4:$AG$150,0,MATCH(P$2,Inputs!$D$2:$AG$2,0)),Inputs!$B$4:$B$150,$B57)/1000)</f>
        <v>10515</v>
      </c>
      <c r="Q57" s="11">
        <f>IF(SUMPRODUCT((Inputs!$B$4:$B$150=$B57)*ISNUMBER(INDEX(Inputs!$D$4:$AG$150,0,MATCH(Q$2,Inputs!$D$2:$AG$2,0))))=0,"",SUMIFS(INDEX(Inputs!$D$4:$AG$150,0,MATCH(Q$2,Inputs!$D$2:$AG$2,0)),Inputs!$B$4:$B$150,$B57)/1000)</f>
        <v>8065</v>
      </c>
      <c r="R57" s="12">
        <f>IF(COUNT(N57:Q57)=4,SUM(N57:Q57),"")</f>
        <v>33733</v>
      </c>
      <c r="S57" s="11">
        <f>IF(SUMPRODUCT((Inputs!$B$4:$B$150=$B57)*ISNUMBER(INDEX(Inputs!$D$4:$AG$150,0,MATCH(S$2,Inputs!$D$2:$AG$2,0))))=0,"",SUMIFS(INDEX(Inputs!$D$4:$AG$150,0,MATCH(S$2,Inputs!$D$2:$AG$2,0)),Inputs!$B$4:$B$150,$B57)/1000)</f>
        <v>8616</v>
      </c>
      <c r="T57" s="11">
        <f>IF(SUMPRODUCT((Inputs!$B$4:$B$150=$B57)*ISNUMBER(INDEX(Inputs!$D$4:$AG$150,0,MATCH(T$2,Inputs!$D$2:$AG$2,0))))=0,"",SUMIFS(INDEX(Inputs!$D$4:$AG$150,0,MATCH(T$2,Inputs!$D$2:$AG$2,0)),Inputs!$B$4:$B$150,$B57)/1000)</f>
        <v>8052</v>
      </c>
      <c r="U57" s="11">
        <f>IF(SUMPRODUCT((Inputs!$B$4:$B$150=$B57)*ISNUMBER(INDEX(Inputs!$D$4:$AG$150,0,MATCH(U$2,Inputs!$D$2:$AG$2,0))))=0,"",SUMIFS(INDEX(Inputs!$D$4:$AG$150,0,MATCH(U$2,Inputs!$D$2:$AG$2,0)),Inputs!$B$4:$B$150,$B57)/1000)</f>
        <v>10703</v>
      </c>
      <c r="V57" s="11">
        <f>IF(SUMPRODUCT((Inputs!$B$4:$B$150=$B57)*ISNUMBER(INDEX(Inputs!$D$4:$AG$150,0,MATCH(V$2,Inputs!$D$2:$AG$2,0))))=0,"",SUMIFS(INDEX(Inputs!$D$4:$AG$150,0,MATCH(V$2,Inputs!$D$2:$AG$2,0)),Inputs!$B$4:$B$150,$B57)/1000)</f>
        <v>8659</v>
      </c>
      <c r="W57" s="12">
        <f>IF(COUNT(S57:V57)=4,SUM(S57:V57),"")</f>
        <v>36030</v>
      </c>
      <c r="X57" s="11">
        <f>IF(SUMPRODUCT((Inputs!$B$4:$B$150=$B57)*ISNUMBER(INDEX(Inputs!$D$4:$AG$150,0,MATCH(X$2,Inputs!$D$2:$AG$2,0))))=0,"",SUMIFS(INDEX(Inputs!$D$4:$AG$150,0,MATCH(X$2,Inputs!$D$2:$AG$2,0)),Inputs!$B$4:$B$150,$B57)/1000)</f>
        <v>9014</v>
      </c>
      <c r="Y57" s="11">
        <f>IF(SUMPRODUCT((Inputs!$B$4:$B$150=$B57)*ISNUMBER(INDEX(Inputs!$D$4:$AG$150,0,MATCH(Y$2,Inputs!$D$2:$AG$2,0))))=0,"",SUMIFS(INDEX(Inputs!$D$4:$AG$150,0,MATCH(Y$2,Inputs!$D$2:$AG$2,0)),Inputs!$B$4:$B$150,$B57)/1000)</f>
        <v>8566</v>
      </c>
      <c r="Z57" s="11">
        <f>IF(SUMPRODUCT((Inputs!$B$4:$B$150=$B57)*ISNUMBER(INDEX(Inputs!$D$4:$AG$150,0,MATCH(Z$2,Inputs!$D$2:$AG$2,0))))=0,"",SUMIFS(INDEX(Inputs!$D$4:$AG$150,0,MATCH(Z$2,Inputs!$D$2:$AG$2,0)),Inputs!$B$4:$B$150,$B57)/1000)</f>
        <v>12027</v>
      </c>
      <c r="AA57" s="11">
        <f>IF(SUMPRODUCT((Inputs!$B$4:$B$150=$B57)*ISNUMBER(INDEX(Inputs!$D$4:$AG$150,0,MATCH(AA$2,Inputs!$D$2:$AG$2,0))))=0,"",SUMIFS(INDEX(Inputs!$D$4:$AG$150,0,MATCH(AA$2,Inputs!$D$2:$AG$2,0)),Inputs!$B$4:$B$150,$B57)/1000)</f>
        <v>9665</v>
      </c>
      <c r="AB57" s="12">
        <f>IF(COUNT(X57:AA57)=4,SUM(X57:AA57),"")</f>
        <v>39272</v>
      </c>
      <c r="AC57" s="11">
        <f>IF(SUMPRODUCT((Inputs!$B$4:$B$150=$B57)*ISNUMBER(INDEX(Inputs!$D$4:$AG$150,0,MATCH(AC$2,Inputs!$D$2:$AG$2,0))))=0,"",SUMIFS(INDEX(Inputs!$D$4:$AG$150,0,MATCH(AC$2,Inputs!$D$2:$AG$2,0)),Inputs!$B$4:$B$150,$B57)/1000)</f>
        <v>10375</v>
      </c>
      <c r="AD57" s="11">
        <f>IF(SUMPRODUCT((Inputs!$B$4:$B$150=$B57)*ISNUMBER(INDEX(Inputs!$D$4:$AG$150,0,MATCH(AD$2,Inputs!$D$2:$AG$2,0))))=0,"",SUMIFS(INDEX(Inputs!$D$4:$AG$150,0,MATCH(AD$2,Inputs!$D$2:$AG$2,0)),Inputs!$B$4:$B$150,$B57)/1000)</f>
        <v>9683</v>
      </c>
      <c r="AE57" s="11" t="str">
        <f>IF(SUMPRODUCT((Inputs!$B$4:$B$150=$B57)*ISNUMBER(INDEX(Inputs!$D$4:$AG$150,0,MATCH(AE$2,Inputs!$D$2:$AG$2,0))))=0,"",SUMIFS(INDEX(Inputs!$D$4:$AG$150,0,MATCH(AE$2,Inputs!$D$2:$AG$2,0)),Inputs!$B$4:$B$150,$B57)/1000)</f>
        <v/>
      </c>
      <c r="AF57" s="11" t="str">
        <f>IF(SUMPRODUCT((Inputs!$B$4:$B$150=$B57)*ISNUMBER(INDEX(Inputs!$D$4:$AG$150,0,MATCH(AF$2,Inputs!$D$2:$AG$2,0))))=0,"",SUMIFS(INDEX(Inputs!$D$4:$AG$150,0,MATCH(AF$2,Inputs!$D$2:$AG$2,0)),Inputs!$B$4:$B$150,$B57)/1000)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Lucro operacional EUA (USD)</t>
        </is>
      </c>
      <c r="D58" s="11">
        <f>IF(SUMPRODUCT((Inputs!$B$4:$B$150=$B58)*ISNUMBER(INDEX(Inputs!$D$4:$AG$150,0,MATCH(D$2,Inputs!$D$2:$AG$2,0))))=0,"",SUMIFS(INDEX(Inputs!$D$4:$AG$150,0,MATCH(D$2,Inputs!$D$2:$AG$2,0)),Inputs!$B$4:$B$150,$B58)/1000)</f>
        <v>826</v>
      </c>
      <c r="E58" s="11">
        <f>IF(SUMPRODUCT((Inputs!$B$4:$B$150=$B58)*ISNUMBER(INDEX(Inputs!$D$4:$AG$150,0,MATCH(E$2,Inputs!$D$2:$AG$2,0))))=0,"",SUMIFS(INDEX(Inputs!$D$4:$AG$150,0,MATCH(E$2,Inputs!$D$2:$AG$2,0)),Inputs!$B$4:$B$150,$B58)/1000)</f>
        <v>1135</v>
      </c>
      <c r="F58" s="11">
        <f>IF(SUMPRODUCT((Inputs!$B$4:$B$150=$B58)*ISNUMBER(INDEX(Inputs!$D$4:$AG$150,0,MATCH(F$2,Inputs!$D$2:$AG$2,0))))=0,"",SUMIFS(INDEX(Inputs!$D$4:$AG$150,0,MATCH(F$2,Inputs!$D$2:$AG$2,0)),Inputs!$B$4:$B$150,$B58)/1000)</f>
        <v>1525</v>
      </c>
      <c r="G58" s="11">
        <f>IF(SUMPRODUCT((Inputs!$B$4:$B$150=$B58)*ISNUMBER(INDEX(Inputs!$D$4:$AG$150,0,MATCH(G$2,Inputs!$D$2:$AG$2,0))))=0,"",SUMIFS(INDEX(Inputs!$D$4:$AG$150,0,MATCH(G$2,Inputs!$D$2:$AG$2,0)),Inputs!$B$4:$B$150,$B58)/1000)</f>
        <v>1118</v>
      </c>
      <c r="H58" s="12">
        <f>IF(COUNT(D58:G58)=4,SUM(D58:G58),"")</f>
        <v>4604</v>
      </c>
      <c r="I58" s="11">
        <f>IF(SUMPRODUCT((Inputs!$B$4:$B$150=$B58)*ISNUMBER(INDEX(Inputs!$D$4:$AG$150,0,MATCH(I$2,Inputs!$D$2:$AG$2,0))))=0,"",SUMIFS(INDEX(Inputs!$D$4:$AG$150,0,MATCH(I$2,Inputs!$D$2:$AG$2,0)),Inputs!$B$4:$B$150,$B58)/1000)</f>
        <v>1179</v>
      </c>
      <c r="J58" s="11">
        <f>IF(SUMPRODUCT((Inputs!$B$4:$B$150=$B58)*ISNUMBER(INDEX(Inputs!$D$4:$AG$150,0,MATCH(J$2,Inputs!$D$2:$AG$2,0))))=0,"",SUMIFS(INDEX(Inputs!$D$4:$AG$150,0,MATCH(J$2,Inputs!$D$2:$AG$2,0)),Inputs!$B$4:$B$150,$B58)/1000)</f>
        <v>1205</v>
      </c>
      <c r="K58" s="11">
        <f>IF(SUMPRODUCT((Inputs!$B$4:$B$150=$B58)*ISNUMBER(INDEX(Inputs!$D$4:$AG$150,0,MATCH(K$2,Inputs!$D$2:$AG$2,0))))=0,"",SUMIFS(INDEX(Inputs!$D$4:$AG$150,0,MATCH(K$2,Inputs!$D$2:$AG$2,0)),Inputs!$B$4:$B$150,$B58)/1000)</f>
        <v>1766</v>
      </c>
      <c r="L58" s="11">
        <f>IF(SUMPRODUCT((Inputs!$B$4:$B$150=$B58)*ISNUMBER(INDEX(Inputs!$D$4:$AG$150,0,MATCH(L$2,Inputs!$D$2:$AG$2,0))))=0,"",SUMIFS(INDEX(Inputs!$D$4:$AG$150,0,MATCH(L$2,Inputs!$D$2:$AG$2,0)),Inputs!$B$4:$B$150,$B58)/1000)</f>
        <v>1236</v>
      </c>
      <c r="M58" s="12">
        <f>IF(COUNT(I58:L58)=4,SUM(I58:L58),"")</f>
        <v>5386</v>
      </c>
      <c r="N58" s="11">
        <f>IF(SUMPRODUCT((Inputs!$B$4:$B$150=$B58)*ISNUMBER(INDEX(Inputs!$D$4:$AG$150,0,MATCH(N$2,Inputs!$D$2:$AG$2,0))))=0,"",SUMIFS(INDEX(Inputs!$D$4:$AG$150,0,MATCH(N$2,Inputs!$D$2:$AG$2,0)),Inputs!$B$4:$B$150,$B58)/1000)</f>
        <v>1295</v>
      </c>
      <c r="O58" s="11">
        <f>IF(SUMPRODUCT((Inputs!$B$4:$B$150=$B58)*ISNUMBER(INDEX(Inputs!$D$4:$AG$150,0,MATCH(O$2,Inputs!$D$2:$AG$2,0))))=0,"",SUMIFS(INDEX(Inputs!$D$4:$AG$150,0,MATCH(O$2,Inputs!$D$2:$AG$2,0)),Inputs!$B$4:$B$150,$B58)/1000)</f>
        <v>1027</v>
      </c>
      <c r="P58" s="11">
        <f>IF(SUMPRODUCT((Inputs!$B$4:$B$150=$B58)*ISNUMBER(INDEX(Inputs!$D$4:$AG$150,0,MATCH(P$2,Inputs!$D$2:$AG$2,0))))=0,"",SUMIFS(INDEX(Inputs!$D$4:$AG$150,0,MATCH(P$2,Inputs!$D$2:$AG$2,0)),Inputs!$B$4:$B$150,$B58)/1000)</f>
        <v>1834</v>
      </c>
      <c r="Q58" s="11">
        <f>IF(SUMPRODUCT((Inputs!$B$4:$B$150=$B58)*ISNUMBER(INDEX(Inputs!$D$4:$AG$150,0,MATCH(Q$2,Inputs!$D$2:$AG$2,0))))=0,"",SUMIFS(INDEX(Inputs!$D$4:$AG$150,0,MATCH(Q$2,Inputs!$D$2:$AG$2,0)),Inputs!$B$4:$B$150,$B58)/1000)</f>
        <v>1358</v>
      </c>
      <c r="R58" s="12">
        <f>IF(COUNT(N58:Q58)=4,SUM(N58:Q58),"")</f>
        <v>5514</v>
      </c>
      <c r="S58" s="11">
        <f>IF(SUMPRODUCT((Inputs!$B$4:$B$150=$B58)*ISNUMBER(INDEX(Inputs!$D$4:$AG$150,0,MATCH(S$2,Inputs!$D$2:$AG$2,0))))=0,"",SUMIFS(INDEX(Inputs!$D$4:$AG$150,0,MATCH(S$2,Inputs!$D$2:$AG$2,0)),Inputs!$B$4:$B$150,$B58)/1000)</f>
        <v>1294</v>
      </c>
      <c r="T58" s="11">
        <f>IF(SUMPRODUCT((Inputs!$B$4:$B$150=$B58)*ISNUMBER(INDEX(Inputs!$D$4:$AG$150,0,MATCH(T$2,Inputs!$D$2:$AG$2,0))))=0,"",SUMIFS(INDEX(Inputs!$D$4:$AG$150,0,MATCH(T$2,Inputs!$D$2:$AG$2,0)),Inputs!$B$4:$B$150,$B58)/1000)</f>
        <v>1476</v>
      </c>
      <c r="U58" s="11">
        <f>IF(SUMPRODUCT((Inputs!$B$4:$B$150=$B58)*ISNUMBER(INDEX(Inputs!$D$4:$AG$150,0,MATCH(U$2,Inputs!$D$2:$AG$2,0))))=0,"",SUMIFS(INDEX(Inputs!$D$4:$AG$150,0,MATCH(U$2,Inputs!$D$2:$AG$2,0)),Inputs!$B$4:$B$150,$B58)/1000)</f>
        <v>2089</v>
      </c>
      <c r="V58" s="11">
        <f>IF(SUMPRODUCT((Inputs!$B$4:$B$150=$B58)*ISNUMBER(INDEX(Inputs!$D$4:$AG$150,0,MATCH(V$2,Inputs!$D$2:$AG$2,0))))=0,"",SUMIFS(INDEX(Inputs!$D$4:$AG$150,0,MATCH(V$2,Inputs!$D$2:$AG$2,0)),Inputs!$B$4:$B$150,$B58)/1000)</f>
        <v>1498</v>
      </c>
      <c r="W58" s="12">
        <f>IF(COUNT(S58:V58)=4,SUM(S58:V58),"")</f>
        <v>6357</v>
      </c>
      <c r="X58" s="11">
        <f>IF(SUMPRODUCT((Inputs!$B$4:$B$150=$B58)*ISNUMBER(INDEX(Inputs!$D$4:$AG$150,0,MATCH(X$2,Inputs!$D$2:$AG$2,0))))=0,"",SUMIFS(INDEX(Inputs!$D$4:$AG$150,0,MATCH(X$2,Inputs!$D$2:$AG$2,0)),Inputs!$B$4:$B$150,$B58)/1000)</f>
        <v>1515</v>
      </c>
      <c r="Y58" s="11">
        <f>IF(SUMPRODUCT((Inputs!$B$4:$B$150=$B58)*ISNUMBER(INDEX(Inputs!$D$4:$AG$150,0,MATCH(Y$2,Inputs!$D$2:$AG$2,0))))=0,"",SUMIFS(INDEX(Inputs!$D$4:$AG$150,0,MATCH(Y$2,Inputs!$D$2:$AG$2,0)),Inputs!$B$4:$B$150,$B58)/1000)</f>
        <v>1713</v>
      </c>
      <c r="Z58" s="11">
        <f>IF(SUMPRODUCT((Inputs!$B$4:$B$150=$B58)*ISNUMBER(INDEX(Inputs!$D$4:$AG$150,0,MATCH(Z$2,Inputs!$D$2:$AG$2,0))))=0,"",SUMIFS(INDEX(Inputs!$D$4:$AG$150,0,MATCH(Z$2,Inputs!$D$2:$AG$2,0)),Inputs!$B$4:$B$150,$B58)/1000)</f>
        <v>2152</v>
      </c>
      <c r="AA58" s="11">
        <f>IF(SUMPRODUCT((Inputs!$B$4:$B$150=$B58)*ISNUMBER(INDEX(Inputs!$D$4:$AG$150,0,MATCH(AA$2,Inputs!$D$2:$AG$2,0))))=0,"",SUMIFS(INDEX(Inputs!$D$4:$AG$150,0,MATCH(AA$2,Inputs!$D$2:$AG$2,0)),Inputs!$B$4:$B$150,$B58)/1000)</f>
        <v>1616</v>
      </c>
      <c r="AB58" s="12">
        <f>IF(COUNT(X58:AA58)=4,SUM(X58:AA58),"")</f>
        <v>6996</v>
      </c>
      <c r="AC58" s="11">
        <f>IF(SUMPRODUCT((Inputs!$B$4:$B$150=$B58)*ISNUMBER(INDEX(Inputs!$D$4:$AG$150,0,MATCH(AC$2,Inputs!$D$2:$AG$2,0))))=0,"",SUMIFS(INDEX(Inputs!$D$4:$AG$150,0,MATCH(AC$2,Inputs!$D$2:$AG$2,0)),Inputs!$B$4:$B$150,$B58)/1000)</f>
        <v>1635</v>
      </c>
      <c r="AD58" s="11">
        <f>IF(SUMPRODUCT((Inputs!$B$4:$B$150=$B58)*ISNUMBER(INDEX(Inputs!$D$4:$AG$150,0,MATCH(AD$2,Inputs!$D$2:$AG$2,0))))=0,"",SUMIFS(INDEX(Inputs!$D$4:$AG$150,0,MATCH(AD$2,Inputs!$D$2:$AG$2,0)),Inputs!$B$4:$B$150,$B58)/1000)</f>
        <v>1873</v>
      </c>
      <c r="AE58" s="11" t="str">
        <f>IF(SUMPRODUCT((Inputs!$B$4:$B$150=$B58)*ISNUMBER(INDEX(Inputs!$D$4:$AG$150,0,MATCH(AE$2,Inputs!$D$2:$AG$2,0))))=0,"",SUMIFS(INDEX(Inputs!$D$4:$AG$150,0,MATCH(AE$2,Inputs!$D$2:$AG$2,0)),Inputs!$B$4:$B$150,$B58)/1000)</f>
        <v/>
      </c>
      <c r="AF58" s="11" t="str">
        <f>IF(SUMPRODUCT((Inputs!$B$4:$B$150=$B58)*ISNUMBER(INDEX(Inputs!$D$4:$AG$150,0,MATCH(AF$2,Inputs!$D$2:$AG$2,0))))=0,"",SUMIFS(INDEX(Inputs!$D$4:$AG$150,0,MATCH(AF$2,Inputs!$D$2:$AG$2,0)),Inputs!$B$4:$B$150,$B58)/1000)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Lucro operacional Canadá (USD)</t>
        </is>
      </c>
      <c r="D59" s="11">
        <f>IF(SUMPRODUCT((Inputs!$B$4:$B$150=$B59)*ISNUMBER(INDEX(Inputs!$D$4:$AG$150,0,MATCH(D$2,Inputs!$D$2:$AG$2,0))))=0,"",SUMIFS(INDEX(Inputs!$D$4:$AG$150,0,MATCH(D$2,Inputs!$D$2:$AG$2,0)),Inputs!$B$4:$B$150,$B59)/1000)</f>
        <v>226</v>
      </c>
      <c r="E59" s="11">
        <f>IF(SUMPRODUCT((Inputs!$B$4:$B$150=$B59)*ISNUMBER(INDEX(Inputs!$D$4:$AG$150,0,MATCH(E$2,Inputs!$D$2:$AG$2,0))))=0,"",SUMIFS(INDEX(Inputs!$D$4:$AG$150,0,MATCH(E$2,Inputs!$D$2:$AG$2,0)),Inputs!$B$4:$B$150,$B59)/1000)</f>
        <v>260</v>
      </c>
      <c r="F59" s="11">
        <f>IF(SUMPRODUCT((Inputs!$B$4:$B$150=$B59)*ISNUMBER(INDEX(Inputs!$D$4:$AG$150,0,MATCH(F$2,Inputs!$D$2:$AG$2,0))))=0,"",SUMIFS(INDEX(Inputs!$D$4:$AG$150,0,MATCH(F$2,Inputs!$D$2:$AG$2,0)),Inputs!$B$4:$B$150,$B59)/1000)</f>
        <v>376</v>
      </c>
      <c r="G59" s="11">
        <f>IF(SUMPRODUCT((Inputs!$B$4:$B$150=$B59)*ISNUMBER(INDEX(Inputs!$D$4:$AG$150,0,MATCH(G$2,Inputs!$D$2:$AG$2,0))))=0,"",SUMIFS(INDEX(Inputs!$D$4:$AG$150,0,MATCH(G$2,Inputs!$D$2:$AG$2,0)),Inputs!$B$4:$B$150,$B59)/1000)</f>
        <v>293</v>
      </c>
      <c r="H59" s="12">
        <f>IF(COUNT(D59:G59)=4,SUM(D59:G59),"")</f>
        <v>1155</v>
      </c>
      <c r="I59" s="11">
        <f>IF(SUMPRODUCT((Inputs!$B$4:$B$150=$B59)*ISNUMBER(INDEX(Inputs!$D$4:$AG$150,0,MATCH(I$2,Inputs!$D$2:$AG$2,0))))=0,"",SUMIFS(INDEX(Inputs!$D$4:$AG$150,0,MATCH(I$2,Inputs!$D$2:$AG$2,0)),Inputs!$B$4:$B$150,$B59)/1000)</f>
        <v>301</v>
      </c>
      <c r="J59" s="11">
        <f>IF(SUMPRODUCT((Inputs!$B$4:$B$150=$B59)*ISNUMBER(INDEX(Inputs!$D$4:$AG$150,0,MATCH(J$2,Inputs!$D$2:$AG$2,0))))=0,"",SUMIFS(INDEX(Inputs!$D$4:$AG$150,0,MATCH(J$2,Inputs!$D$2:$AG$2,0)),Inputs!$B$4:$B$150,$B59)/1000)</f>
        <v>324</v>
      </c>
      <c r="K59" s="11">
        <f>IF(SUMPRODUCT((Inputs!$B$4:$B$150=$B59)*ISNUMBER(INDEX(Inputs!$D$4:$AG$150,0,MATCH(K$2,Inputs!$D$2:$AG$2,0))))=0,"",SUMIFS(INDEX(Inputs!$D$4:$AG$150,0,MATCH(K$2,Inputs!$D$2:$AG$2,0)),Inputs!$B$4:$B$150,$B59)/1000)</f>
        <v>428</v>
      </c>
      <c r="L59" s="11">
        <f>IF(SUMPRODUCT((Inputs!$B$4:$B$150=$B59)*ISNUMBER(INDEX(Inputs!$D$4:$AG$150,0,MATCH(L$2,Inputs!$D$2:$AG$2,0))))=0,"",SUMIFS(INDEX(Inputs!$D$4:$AG$150,0,MATCH(L$2,Inputs!$D$2:$AG$2,0)),Inputs!$B$4:$B$150,$B59)/1000)</f>
        <v>288</v>
      </c>
      <c r="M59" s="12">
        <f>IF(COUNT(I59:L59)=4,SUM(I59:L59),"")</f>
        <v>1341</v>
      </c>
      <c r="N59" s="11">
        <f>IF(SUMPRODUCT((Inputs!$B$4:$B$150=$B59)*ISNUMBER(INDEX(Inputs!$D$4:$AG$150,0,MATCH(N$2,Inputs!$D$2:$AG$2,0))))=0,"",SUMIFS(INDEX(Inputs!$D$4:$AG$150,0,MATCH(N$2,Inputs!$D$2:$AG$2,0)),Inputs!$B$4:$B$150,$B59)/1000)</f>
        <v>284</v>
      </c>
      <c r="O59" s="11">
        <f>IF(SUMPRODUCT((Inputs!$B$4:$B$150=$B59)*ISNUMBER(INDEX(Inputs!$D$4:$AG$150,0,MATCH(O$2,Inputs!$D$2:$AG$2,0))))=0,"",SUMIFS(INDEX(Inputs!$D$4:$AG$150,0,MATCH(O$2,Inputs!$D$2:$AG$2,0)),Inputs!$B$4:$B$150,$B59)/1000)</f>
        <v>327</v>
      </c>
      <c r="P59" s="11">
        <f>IF(SUMPRODUCT((Inputs!$B$4:$B$150=$B59)*ISNUMBER(INDEX(Inputs!$D$4:$AG$150,0,MATCH(P$2,Inputs!$D$2:$AG$2,0))))=0,"",SUMIFS(INDEX(Inputs!$D$4:$AG$150,0,MATCH(P$2,Inputs!$D$2:$AG$2,0)),Inputs!$B$4:$B$150,$B59)/1000)</f>
        <v>549</v>
      </c>
      <c r="Q59" s="11">
        <f>IF(SUMPRODUCT((Inputs!$B$4:$B$150=$B59)*ISNUMBER(INDEX(Inputs!$D$4:$AG$150,0,MATCH(Q$2,Inputs!$D$2:$AG$2,0))))=0,"",SUMIFS(INDEX(Inputs!$D$4:$AG$150,0,MATCH(Q$2,Inputs!$D$2:$AG$2,0)),Inputs!$B$4:$B$150,$B59)/1000)</f>
        <v>325</v>
      </c>
      <c r="R59" s="12">
        <f>IF(COUNT(N59:Q59)=4,SUM(N59:Q59),"")</f>
        <v>1485</v>
      </c>
      <c r="S59" s="11">
        <f>IF(SUMPRODUCT((Inputs!$B$4:$B$150=$B59)*ISNUMBER(INDEX(Inputs!$D$4:$AG$150,0,MATCH(S$2,Inputs!$D$2:$AG$2,0))))=0,"",SUMIFS(INDEX(Inputs!$D$4:$AG$150,0,MATCH(S$2,Inputs!$D$2:$AG$2,0)),Inputs!$B$4:$B$150,$B59)/1000)</f>
        <v>390</v>
      </c>
      <c r="T59" s="11">
        <f>IF(SUMPRODUCT((Inputs!$B$4:$B$150=$B59)*ISNUMBER(INDEX(Inputs!$D$4:$AG$150,0,MATCH(T$2,Inputs!$D$2:$AG$2,0))))=0,"",SUMIFS(INDEX(Inputs!$D$4:$AG$150,0,MATCH(T$2,Inputs!$D$2:$AG$2,0)),Inputs!$B$4:$B$150,$B59)/1000)</f>
        <v>394</v>
      </c>
      <c r="U59" s="11">
        <f>IF(SUMPRODUCT((Inputs!$B$4:$B$150=$B59)*ISNUMBER(INDEX(Inputs!$D$4:$AG$150,0,MATCH(U$2,Inputs!$D$2:$AG$2,0))))=0,"",SUMIFS(INDEX(Inputs!$D$4:$AG$150,0,MATCH(U$2,Inputs!$D$2:$AG$2,0)),Inputs!$B$4:$B$150,$B59)/1000)</f>
        <v>539</v>
      </c>
      <c r="V59" s="11">
        <f>IF(SUMPRODUCT((Inputs!$B$4:$B$150=$B59)*ISNUMBER(INDEX(Inputs!$D$4:$AG$150,0,MATCH(V$2,Inputs!$D$2:$AG$2,0))))=0,"",SUMIFS(INDEX(Inputs!$D$4:$AG$150,0,MATCH(V$2,Inputs!$D$2:$AG$2,0)),Inputs!$B$4:$B$150,$B59)/1000)</f>
        <v>362</v>
      </c>
      <c r="W59" s="12">
        <f>IF(COUNT(S59:V59)=4,SUM(S59:V59),"")</f>
        <v>1685</v>
      </c>
      <c r="X59" s="11">
        <f>IF(SUMPRODUCT((Inputs!$B$4:$B$150=$B59)*ISNUMBER(INDEX(Inputs!$D$4:$AG$150,0,MATCH(X$2,Inputs!$D$2:$AG$2,0))))=0,"",SUMIFS(INDEX(Inputs!$D$4:$AG$150,0,MATCH(X$2,Inputs!$D$2:$AG$2,0)),Inputs!$B$4:$B$150,$B59)/1000)</f>
        <v>403</v>
      </c>
      <c r="Y59" s="11">
        <f>IF(SUMPRODUCT((Inputs!$B$4:$B$150=$B59)*ISNUMBER(INDEX(Inputs!$D$4:$AG$150,0,MATCH(Y$2,Inputs!$D$2:$AG$2,0))))=0,"",SUMIFS(INDEX(Inputs!$D$4:$AG$150,0,MATCH(Y$2,Inputs!$D$2:$AG$2,0)),Inputs!$B$4:$B$150,$B59)/1000)</f>
        <v>450</v>
      </c>
      <c r="Z59" s="11">
        <f>IF(SUMPRODUCT((Inputs!$B$4:$B$150=$B59)*ISNUMBER(INDEX(Inputs!$D$4:$AG$150,0,MATCH(Z$2,Inputs!$D$2:$AG$2,0))))=0,"",SUMIFS(INDEX(Inputs!$D$4:$AG$150,0,MATCH(Z$2,Inputs!$D$2:$AG$2,0)),Inputs!$B$4:$B$150,$B59)/1000)</f>
        <v>634</v>
      </c>
      <c r="AA59" s="11">
        <f>IF(SUMPRODUCT((Inputs!$B$4:$B$150=$B59)*ISNUMBER(INDEX(Inputs!$D$4:$AG$150,0,MATCH(AA$2,Inputs!$D$2:$AG$2,0))))=0,"",SUMIFS(INDEX(Inputs!$D$4:$AG$150,0,MATCH(AA$2,Inputs!$D$2:$AG$2,0)),Inputs!$B$4:$B$150,$B59)/1000)</f>
        <v>434</v>
      </c>
      <c r="AB59" s="12">
        <f>IF(COUNT(X59:AA59)=4,SUM(X59:AA59),"")</f>
        <v>1921</v>
      </c>
      <c r="AC59" s="11">
        <f>IF(SUMPRODUCT((Inputs!$B$4:$B$150=$B59)*ISNUMBER(INDEX(Inputs!$D$4:$AG$150,0,MATCH(AC$2,Inputs!$D$2:$AG$2,0))))=0,"",SUMIFS(INDEX(Inputs!$D$4:$AG$150,0,MATCH(AC$2,Inputs!$D$2:$AG$2,0)),Inputs!$B$4:$B$150,$B59)/1000)</f>
        <v>476</v>
      </c>
      <c r="AD59" s="11">
        <f>IF(SUMPRODUCT((Inputs!$B$4:$B$150=$B59)*ISNUMBER(INDEX(Inputs!$D$4:$AG$150,0,MATCH(AD$2,Inputs!$D$2:$AG$2,0))))=0,"",SUMIFS(INDEX(Inputs!$D$4:$AG$150,0,MATCH(AD$2,Inputs!$D$2:$AG$2,0)),Inputs!$B$4:$B$150,$B59)/1000)</f>
        <v>506</v>
      </c>
      <c r="AE59" s="11" t="str">
        <f>IF(SUMPRODUCT((Inputs!$B$4:$B$150=$B59)*ISNUMBER(INDEX(Inputs!$D$4:$AG$150,0,MATCH(AE$2,Inputs!$D$2:$AG$2,0))))=0,"",SUMIFS(INDEX(Inputs!$D$4:$AG$150,0,MATCH(AE$2,Inputs!$D$2:$AG$2,0)),Inputs!$B$4:$B$150,$B59)/1000)</f>
        <v/>
      </c>
      <c r="AF59" s="11" t="str">
        <f>IF(SUMPRODUCT((Inputs!$B$4:$B$150=$B59)*ISNUMBER(INDEX(Inputs!$D$4:$AG$150,0,MATCH(AF$2,Inputs!$D$2:$AG$2,0))))=0,"",SUMIFS(INDEX(Inputs!$D$4:$AG$150,0,MATCH(AF$2,Inputs!$D$2:$AG$2,0)),Inputs!$B$4:$B$150,$B59)/1000)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Lucro operacional outros internacionais (USD)</t>
        </is>
      </c>
      <c r="D60" s="11">
        <f>IF(SUMPRODUCT((Inputs!$B$4:$B$150=$B60)*ISNUMBER(INDEX(Inputs!$D$4:$AG$150,0,MATCH(D$2,Inputs!$D$2:$AG$2,0))))=0,"",SUMIFS(INDEX(Inputs!$D$4:$AG$150,0,MATCH(D$2,Inputs!$D$2:$AG$2,0)),Inputs!$B$4:$B$150,$B60)/1000)</f>
        <v>288</v>
      </c>
      <c r="E60" s="11">
        <f>IF(SUMPRODUCT((Inputs!$B$4:$B$150=$B60)*ISNUMBER(INDEX(Inputs!$D$4:$AG$150,0,MATCH(E$2,Inputs!$D$2:$AG$2,0))))=0,"",SUMIFS(INDEX(Inputs!$D$4:$AG$150,0,MATCH(E$2,Inputs!$D$2:$AG$2,0)),Inputs!$B$4:$B$150,$B60)/1000)</f>
        <v>268</v>
      </c>
      <c r="F60" s="11">
        <f>IF(SUMPRODUCT((Inputs!$B$4:$B$150=$B60)*ISNUMBER(INDEX(Inputs!$D$4:$AG$150,0,MATCH(F$2,Inputs!$D$2:$AG$2,0))))=0,"",SUMIFS(INDEX(Inputs!$D$4:$AG$150,0,MATCH(F$2,Inputs!$D$2:$AG$2,0)),Inputs!$B$4:$B$150,$B60)/1000)</f>
        <v>343</v>
      </c>
      <c r="G60" s="11">
        <f>IF(SUMPRODUCT((Inputs!$B$4:$B$150=$B60)*ISNUMBER(INDEX(Inputs!$D$4:$AG$150,0,MATCH(G$2,Inputs!$D$2:$AG$2,0))))=0,"",SUMIFS(INDEX(Inputs!$D$4:$AG$150,0,MATCH(G$2,Inputs!$D$2:$AG$2,0)),Inputs!$B$4:$B$150,$B60)/1000)</f>
        <v>282</v>
      </c>
      <c r="H60" s="12">
        <f>IF(COUNT(D60:G60)=4,SUM(D60:G60),"")</f>
        <v>1181</v>
      </c>
      <c r="I60" s="11">
        <f>IF(SUMPRODUCT((Inputs!$B$4:$B$150=$B60)*ISNUMBER(INDEX(Inputs!$D$4:$AG$150,0,MATCH(I$2,Inputs!$D$2:$AG$2,0))))=0,"",SUMIFS(INDEX(Inputs!$D$4:$AG$150,0,MATCH(I$2,Inputs!$D$2:$AG$2,0)),Inputs!$B$4:$B$150,$B60)/1000)</f>
        <v>332</v>
      </c>
      <c r="J60" s="11">
        <f>IF(SUMPRODUCT((Inputs!$B$4:$B$150=$B60)*ISNUMBER(INDEX(Inputs!$D$4:$AG$150,0,MATCH(J$2,Inputs!$D$2:$AG$2,0))))=0,"",SUMIFS(INDEX(Inputs!$D$4:$AG$150,0,MATCH(J$2,Inputs!$D$2:$AG$2,0)),Inputs!$B$4:$B$150,$B60)/1000)</f>
        <v>262</v>
      </c>
      <c r="K60" s="11">
        <f>IF(SUMPRODUCT((Inputs!$B$4:$B$150=$B60)*ISNUMBER(INDEX(Inputs!$D$4:$AG$150,0,MATCH(K$2,Inputs!$D$2:$AG$2,0))))=0,"",SUMIFS(INDEX(Inputs!$D$4:$AG$150,0,MATCH(K$2,Inputs!$D$2:$AG$2,0)),Inputs!$B$4:$B$150,$B60)/1000)</f>
        <v>303</v>
      </c>
      <c r="L60" s="11">
        <f>IF(SUMPRODUCT((Inputs!$B$4:$B$150=$B60)*ISNUMBER(INDEX(Inputs!$D$4:$AG$150,0,MATCH(L$2,Inputs!$D$2:$AG$2,0))))=0,"",SUMIFS(INDEX(Inputs!$D$4:$AG$150,0,MATCH(L$2,Inputs!$D$2:$AG$2,0)),Inputs!$B$4:$B$150,$B60)/1000)</f>
        <v>227</v>
      </c>
      <c r="M60" s="12">
        <f>IF(COUNT(I60:L60)=4,SUM(I60:L60),"")</f>
        <v>1124</v>
      </c>
      <c r="N60" s="11">
        <f>IF(SUMPRODUCT((Inputs!$B$4:$B$150=$B60)*ISNUMBER(INDEX(Inputs!$D$4:$AG$150,0,MATCH(N$2,Inputs!$D$2:$AG$2,0))))=0,"",SUMIFS(INDEX(Inputs!$D$4:$AG$150,0,MATCH(N$2,Inputs!$D$2:$AG$2,0)),Inputs!$B$4:$B$150,$B60)/1000)</f>
        <v>324</v>
      </c>
      <c r="O60" s="11">
        <f>IF(SUMPRODUCT((Inputs!$B$4:$B$150=$B60)*ISNUMBER(INDEX(Inputs!$D$4:$AG$150,0,MATCH(O$2,Inputs!$D$2:$AG$2,0))))=0,"",SUMIFS(INDEX(Inputs!$D$4:$AG$150,0,MATCH(O$2,Inputs!$D$2:$AG$2,0)),Inputs!$B$4:$B$150,$B60)/1000)</f>
        <v>325</v>
      </c>
      <c r="P60" s="11">
        <f>IF(SUMPRODUCT((Inputs!$B$4:$B$150=$B60)*ISNUMBER(INDEX(Inputs!$D$4:$AG$150,0,MATCH(P$2,Inputs!$D$2:$AG$2,0))))=0,"",SUMIFS(INDEX(Inputs!$D$4:$AG$150,0,MATCH(P$2,Inputs!$D$2:$AG$2,0)),Inputs!$B$4:$B$150,$B60)/1000)</f>
        <v>398</v>
      </c>
      <c r="Q60" s="11">
        <f>IF(SUMPRODUCT((Inputs!$B$4:$B$150=$B60)*ISNUMBER(INDEX(Inputs!$D$4:$AG$150,0,MATCH(Q$2,Inputs!$D$2:$AG$2,0))))=0,"",SUMIFS(INDEX(Inputs!$D$4:$AG$150,0,MATCH(Q$2,Inputs!$D$2:$AG$2,0)),Inputs!$B$4:$B$150,$B60)/1000)</f>
        <v>301</v>
      </c>
      <c r="R60" s="12">
        <f>IF(COUNT(N60:Q60)=4,SUM(N60:Q60),"")</f>
        <v>1348</v>
      </c>
      <c r="S60" s="11">
        <f>IF(SUMPRODUCT((Inputs!$B$4:$B$150=$B60)*ISNUMBER(INDEX(Inputs!$D$4:$AG$150,0,MATCH(S$2,Inputs!$D$2:$AG$2,0))))=0,"",SUMIFS(INDEX(Inputs!$D$4:$AG$150,0,MATCH(S$2,Inputs!$D$2:$AG$2,0)),Inputs!$B$4:$B$150,$B60)/1000)</f>
        <v>378</v>
      </c>
      <c r="T60" s="11">
        <f>IF(SUMPRODUCT((Inputs!$B$4:$B$150=$B60)*ISNUMBER(INDEX(Inputs!$D$4:$AG$150,0,MATCH(T$2,Inputs!$D$2:$AG$2,0))))=0,"",SUMIFS(INDEX(Inputs!$D$4:$AG$150,0,MATCH(T$2,Inputs!$D$2:$AG$2,0)),Inputs!$B$4:$B$150,$B60)/1000)</f>
        <v>327</v>
      </c>
      <c r="U60" s="11">
        <f>IF(SUMPRODUCT((Inputs!$B$4:$B$150=$B60)*ISNUMBER(INDEX(Inputs!$D$4:$AG$150,0,MATCH(U$2,Inputs!$D$2:$AG$2,0))))=0,"",SUMIFS(INDEX(Inputs!$D$4:$AG$150,0,MATCH(U$2,Inputs!$D$2:$AG$2,0)),Inputs!$B$4:$B$150,$B60)/1000)</f>
        <v>414</v>
      </c>
      <c r="V60" s="11">
        <f>IF(SUMPRODUCT((Inputs!$B$4:$B$150=$B60)*ISNUMBER(INDEX(Inputs!$D$4:$AG$150,0,MATCH(V$2,Inputs!$D$2:$AG$2,0))))=0,"",SUMIFS(INDEX(Inputs!$D$4:$AG$150,0,MATCH(V$2,Inputs!$D$2:$AG$2,0)),Inputs!$B$4:$B$150,$B60)/1000)</f>
        <v>336</v>
      </c>
      <c r="W60" s="12">
        <f>IF(COUNT(S60:V60)=4,SUM(S60:V60),"")</f>
        <v>1455</v>
      </c>
      <c r="X60" s="11">
        <f>IF(SUMPRODUCT((Inputs!$B$4:$B$150=$B60)*ISNUMBER(INDEX(Inputs!$D$4:$AG$150,0,MATCH(X$2,Inputs!$D$2:$AG$2,0))))=0,"",SUMIFS(INDEX(Inputs!$D$4:$AG$150,0,MATCH(X$2,Inputs!$D$2:$AG$2,0)),Inputs!$B$4:$B$150,$B60)/1000)</f>
        <v>398</v>
      </c>
      <c r="Y60" s="11">
        <f>IF(SUMPRODUCT((Inputs!$B$4:$B$150=$B60)*ISNUMBER(INDEX(Inputs!$D$4:$AG$150,0,MATCH(Y$2,Inputs!$D$2:$AG$2,0))))=0,"",SUMIFS(INDEX(Inputs!$D$4:$AG$150,0,MATCH(Y$2,Inputs!$D$2:$AG$2,0)),Inputs!$B$4:$B$150,$B60)/1000)</f>
        <v>367</v>
      </c>
      <c r="Z60" s="11">
        <f>IF(SUMPRODUCT((Inputs!$B$4:$B$150=$B60)*ISNUMBER(INDEX(Inputs!$D$4:$AG$150,0,MATCH(Z$2,Inputs!$D$2:$AG$2,0))))=0,"",SUMIFS(INDEX(Inputs!$D$4:$AG$150,0,MATCH(Z$2,Inputs!$D$2:$AG$2,0)),Inputs!$B$4:$B$150,$B60)/1000)</f>
        <v>555</v>
      </c>
      <c r="AA60" s="11">
        <f>IF(SUMPRODUCT((Inputs!$B$4:$B$150=$B60)*ISNUMBER(INDEX(Inputs!$D$4:$AG$150,0,MATCH(AA$2,Inputs!$D$2:$AG$2,0))))=0,"",SUMIFS(INDEX(Inputs!$D$4:$AG$150,0,MATCH(AA$2,Inputs!$D$2:$AG$2,0)),Inputs!$B$4:$B$150,$B60)/1000)</f>
        <v>413</v>
      </c>
      <c r="AB60" s="12">
        <f>IF(COUNT(X60:AA60)=4,SUM(X60:AA60),"")</f>
        <v>1733</v>
      </c>
      <c r="AC60" s="11">
        <f>IF(SUMPRODUCT((Inputs!$B$4:$B$150=$B60)*ISNUMBER(INDEX(Inputs!$D$4:$AG$150,0,MATCH(AC$2,Inputs!$D$2:$AG$2,0))))=0,"",SUMIFS(INDEX(Inputs!$D$4:$AG$150,0,MATCH(AC$2,Inputs!$D$2:$AG$2,0)),Inputs!$B$4:$B$150,$B60)/1000)</f>
        <v>495</v>
      </c>
      <c r="AD60" s="11">
        <f>IF(SUMPRODUCT((Inputs!$B$4:$B$150=$B60)*ISNUMBER(INDEX(Inputs!$D$4:$AG$150,0,MATCH(AD$2,Inputs!$D$2:$AG$2,0))))=0,"",SUMIFS(INDEX(Inputs!$D$4:$AG$150,0,MATCH(AD$2,Inputs!$D$2:$AG$2,0)),Inputs!$B$4:$B$150,$B60)/1000)</f>
        <v>436</v>
      </c>
      <c r="AE60" s="11" t="str">
        <f>IF(SUMPRODUCT((Inputs!$B$4:$B$150=$B60)*ISNUMBER(INDEX(Inputs!$D$4:$AG$150,0,MATCH(AE$2,Inputs!$D$2:$AG$2,0))))=0,"",SUMIFS(INDEX(Inputs!$D$4:$AG$150,0,MATCH(AE$2,Inputs!$D$2:$AG$2,0)),Inputs!$B$4:$B$150,$B60)/1000)</f>
        <v/>
      </c>
      <c r="AF60" s="11" t="str">
        <f>IF(SUMPRODUCT((Inputs!$B$4:$B$150=$B60)*ISNUMBER(INDEX(Inputs!$D$4:$AG$150,0,MATCH(AF$2,Inputs!$D$2:$AG$2,0))))=0,"",SUMIFS(INDEX(Inputs!$D$4:$AG$150,0,MATCH(AF$2,Inputs!$D$2:$AG$2,0)),Inputs!$B$4:$B$150,$B60)/1000)</f>
        <v/>
      </c>
      <c r="AG60" s="12" t="str">
        <f>IF(COUNT(AC60:AF60)=4,SUM(AC60:AF60),"")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77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2833.70220508615</v>
      </c>
      <c r="AK1" s="12">
        <f>IF(AK2="","",SUM(AK2,AK3))</f>
        <v>2213.75173310893</v>
      </c>
      <c r="AL1" s="12">
        <f>IF(AL2="","",SUM(AL2,AL3))</f>
        <v>9274.45393819508</v>
      </c>
      <c r="AM1" s="12">
        <f>IF(AM2="","",SUM(AM2,AM3))</f>
        <v>2289.07066678328</v>
      </c>
      <c r="AN1" s="12">
        <f>IF(AN2="","",SUM(AN2,AN3))</f>
        <v>2319.65870534972</v>
      </c>
      <c r="AO1" s="12">
        <f>IF(AO2="","",SUM(AO2,AO3))</f>
        <v>3089.93626373941</v>
      </c>
      <c r="AP1" s="12">
        <f>IF(AP2="","",SUM(AP2,AP3))</f>
        <v>2413.92752801323</v>
      </c>
      <c r="AQ1" s="12">
        <f>IF(AQ2="","",SUM(AQ2,AQ3))</f>
        <v>10112.5931638856</v>
      </c>
      <c r="AR1" s="12">
        <f>IF(AR2="","",SUM(AR2,AR3))</f>
        <v>2484.61173087927</v>
      </c>
      <c r="AS1" s="12">
        <f>IF(AS2="","",SUM(AS2,AS3))</f>
        <v>2517.81271525673</v>
      </c>
      <c r="AT1" s="12">
        <f>IF(AT2="","",SUM(AT2,AT3))</f>
        <v>3353.89029266829</v>
      </c>
      <c r="AU1" s="12">
        <f>IF(AU2="","",SUM(AU2,AU3))</f>
        <v>2620.13433688454</v>
      </c>
      <c r="AV1" s="12">
        <f>IF(AV2="","",SUM(AV2,AV3))</f>
        <v>10976.4490756888</v>
      </c>
      <c r="AW1" s="12">
        <f>IF(AW2="","",SUM(AW2,AW3))</f>
        <v>2684.43359273851</v>
      </c>
      <c r="AX1" s="12">
        <f>IF(AX2="","",SUM(AX2,AX3))</f>
        <v>2720.30472570755</v>
      </c>
      <c r="AY1" s="12">
        <f>IF(AY2="","",SUM(AY2,AY3))</f>
        <v>3623.62282046065</v>
      </c>
      <c r="AZ1" s="12">
        <f>IF(AZ2="","",SUM(AZ2,AZ3))</f>
        <v>2830.85543870125</v>
      </c>
      <c r="BA1" s="12">
        <f>IF(BA2="","",SUM(BA2,BA3))</f>
        <v>11859.216577608</v>
      </c>
      <c r="BB1" s="12">
        <f>IF(BB2="","",SUM(BB2,BB3))</f>
        <v>2886.9037156595</v>
      </c>
      <c r="BC1" s="12">
        <f>IF(BC2="","",SUM(BC2,BC3))</f>
        <v>2925.48038499242</v>
      </c>
      <c r="BD1" s="12">
        <f>IF(BD2="","",SUM(BD2,BD3))</f>
        <v>3896.9301430417</v>
      </c>
      <c r="BE1" s="12">
        <f>IF(BE2="","",SUM(BE2,BE3))</f>
        <v>3044.36925040284</v>
      </c>
      <c r="BF1" s="12">
        <f>IF(BF2="","",SUM(BF2,BF3))</f>
        <v>12753.6834940965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IF(COUNT(I182,I258)&lt;2,"",ABS(I182-I258))</f>
        <v>0</v>
      </c>
      <c r="J2" s="12">
        <f>IF(COUNT(J182,J258)&lt;2,"",ABS(J182-J258))</f>
        <v>0</v>
      </c>
      <c r="K2" s="12">
        <f>IF(COUNT(K182,K258)&lt;2,"",ABS(K182-K258))</f>
        <v>0</v>
      </c>
      <c r="L2" s="12">
        <f>IF(COUNT(L182,L258)&lt;2,"",ABS(L182-L258))</f>
        <v>0</v>
      </c>
      <c r="M2" s="12">
        <f>IF(COUNT(M182,M258)&lt;2,"",ABS(M182-M258))</f>
        <v>0</v>
      </c>
      <c r="N2" s="12">
        <f>IF(COUNT(N182,N258)&lt;2,"",ABS(N182-N258))</f>
        <v>0</v>
      </c>
      <c r="O2" s="12">
        <f>IF(COUNT(O182,O258)&lt;2,"",ABS(O182-O258))</f>
        <v>0</v>
      </c>
      <c r="P2" s="12">
        <f>IF(COUNT(P182,P258)&lt;2,"",ABS(P182-P258))</f>
        <v>0</v>
      </c>
      <c r="Q2" s="12">
        <f>IF(COUNT(Q182,Q258)&lt;2,"",ABS(Q182-Q258))</f>
        <v>0</v>
      </c>
      <c r="R2" s="12">
        <f>IF(COUNT(R182,R258)&lt;2,"",ABS(R182-R258))</f>
        <v>0</v>
      </c>
      <c r="S2" s="12">
        <f>IF(COUNT(S182,S258)&lt;2,"",ABS(S182-S258))</f>
        <v>0</v>
      </c>
      <c r="T2" s="12">
        <f>IF(COUNT(T182,T258)&lt;2,"",ABS(T182-T258))</f>
        <v>0</v>
      </c>
      <c r="U2" s="12">
        <f>IF(COUNT(U182,U258)&lt;2,"",ABS(U182-U258))</f>
        <v>0</v>
      </c>
      <c r="V2" s="12">
        <f>IF(COUNT(V182,V258)&lt;2,"",ABS(V182-V258))</f>
        <v>0</v>
      </c>
      <c r="W2" s="12">
        <f>IF(COUNT(W182,W258)&lt;2,"",ABS(W182-W258))</f>
        <v>0</v>
      </c>
      <c r="X2" s="12">
        <f>IF(COUNT(X182,X258)&lt;2,"",ABS(X182-X258))</f>
        <v>0</v>
      </c>
      <c r="Y2" s="12">
        <f>IF(COUNT(Y182,Y258)&lt;2,"",ABS(Y182-Y258))</f>
        <v>0</v>
      </c>
      <c r="Z2" s="12">
        <f>IF(COUNT(Z182,Z258)&lt;2,"",ABS(Z182-Z258))</f>
        <v>0</v>
      </c>
      <c r="AA2" s="12">
        <f>IF(COUNT(AA182,AA258)&lt;2,"",ABS(AA182-AA258))</f>
        <v>0</v>
      </c>
      <c r="AB2" s="12">
        <f>IF(COUNT(AB182,AB258)&lt;2,"",ABS(AB182-AB258))</f>
        <v>0</v>
      </c>
      <c r="AC2" s="12">
        <f>IF(COUNT(AC182,AC258)&lt;2,"",ABS(AC182-AC258))</f>
        <v>0</v>
      </c>
      <c r="AD2" s="12">
        <f>IF(COUNT(AD182,AD258)&lt;2,"",ABS(AD182-AD258))</f>
        <v>0</v>
      </c>
      <c r="AE2" s="12">
        <f>IF(COUNT(AE182,AE258)&lt;2,"",ABS(AE182-AE258))</f>
        <v>0</v>
      </c>
      <c r="AF2" s="12">
        <f>IF(COUNT(AF182,AF258)&lt;2,"",ABS(AF182-AF258))</f>
        <v>0</v>
      </c>
      <c r="AG2" s="12">
        <f>IF(COUNT(AG182,AG258)&lt;2,"",ABS(AG182-AG258))</f>
        <v>0</v>
      </c>
      <c r="AH2" s="12">
        <f>IF(COUNT(AH182,AH258)&lt;2,"",ABS(AH182-AH258))</f>
        <v>0</v>
      </c>
      <c r="AI2" s="12">
        <f>IF(COUNT(AI182,AI258)&lt;2,"",ABS(AI182-AI258))</f>
        <v>0</v>
      </c>
      <c r="AJ2" s="12">
        <f>IF(COUNT(AJ182,AJ258)&lt;2,"",ABS(AJ182-AJ258))</f>
        <v>0</v>
      </c>
      <c r="AK2" s="12">
        <f>IF(COUNT(AK182,AK258)&lt;2,"",ABS(AK182-AK258))</f>
        <v>0</v>
      </c>
      <c r="AL2" s="12">
        <f>IF(COUNT(AL182,AL258)&lt;2,"",ABS(AL182-AL258))</f>
        <v>0</v>
      </c>
      <c r="AM2" s="12">
        <f>IF(COUNT(AM182,AM258)&lt;2,"",ABS(AM182-AM258))</f>
        <v>0</v>
      </c>
      <c r="AN2" s="12">
        <f>IF(COUNT(AN182,AN258)&lt;2,"",ABS(AN182-AN258))</f>
        <v>0</v>
      </c>
      <c r="AO2" s="12">
        <f>IF(COUNT(AO182,AO258)&lt;2,"",ABS(AO182-AO258))</f>
        <v>0</v>
      </c>
      <c r="AP2" s="12">
        <f>IF(COUNT(AP182,AP258)&lt;2,"",ABS(AP182-AP258))</f>
        <v>0</v>
      </c>
      <c r="AQ2" s="12">
        <f>IF(COUNT(AQ182,AQ258)&lt;2,"",ABS(AQ182-AQ258))</f>
        <v>0</v>
      </c>
      <c r="AR2" s="12">
        <f>IF(COUNT(AR182,AR258)&lt;2,"",ABS(AR182-AR258))</f>
        <v>0</v>
      </c>
      <c r="AS2" s="12">
        <f>IF(COUNT(AS182,AS258)&lt;2,"",ABS(AS182-AS258))</f>
        <v>0</v>
      </c>
      <c r="AT2" s="12">
        <f>IF(COUNT(AT182,AT258)&lt;2,"",ABS(AT182-AT258))</f>
        <v>0</v>
      </c>
      <c r="AU2" s="12">
        <f>IF(COUNT(AU182,AU258)&lt;2,"",ABS(AU182-AU258))</f>
        <v>0</v>
      </c>
      <c r="AV2" s="12">
        <f>IF(COUNT(AV182,AV258)&lt;2,"",ABS(AV182-AV258))</f>
        <v>0</v>
      </c>
      <c r="AW2" s="12">
        <f>IF(COUNT(AW182,AW258)&lt;2,"",ABS(AW182-AW258))</f>
        <v>0</v>
      </c>
      <c r="AX2" s="12">
        <f>IF(COUNT(AX182,AX258)&lt;2,"",ABS(AX182-AX258))</f>
        <v>0</v>
      </c>
      <c r="AY2" s="12">
        <f>IF(COUNT(AY182,AY258)&lt;2,"",ABS(AY182-AY258))</f>
        <v>0</v>
      </c>
      <c r="AZ2" s="12">
        <f>IF(COUNT(AZ182,AZ258)&lt;2,"",ABS(AZ182-AZ258))</f>
        <v>0</v>
      </c>
      <c r="BA2" s="12">
        <f>IF(COUNT(BA182,BA258)&lt;2,"",ABS(BA182-BA258))</f>
        <v>0</v>
      </c>
      <c r="BB2" s="12">
        <f>IF(COUNT(BB182,BB258)&lt;2,"",ABS(BB182-BB258))</f>
        <v>0</v>
      </c>
      <c r="BC2" s="12">
        <f>IF(COUNT(BC182,BC258)&lt;2,"",ABS(BC182-BC258))</f>
        <v>0</v>
      </c>
      <c r="BD2" s="12">
        <f>IF(COUNT(BD182,BD258)&lt;2,"",ABS(BD182-BD258))</f>
        <v>0</v>
      </c>
      <c r="BE2" s="12">
        <f>IF(COUNT(BE182,BE258)&lt;2,"",ABS(BE182-BE258))</f>
        <v>0</v>
      </c>
      <c r="BF2" s="12">
        <f>IF(COUNT(BF182,BF258)&lt;2,"",ABS(BF182-BF258))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IF(COUNT(I122,I4)&lt;2,"",ABS(I122-I4))</f>
        <v>0</v>
      </c>
      <c r="J3" s="12">
        <f>IF(COUNT(J122,J4)&lt;2,"",ABS(J122-J4))</f>
        <v>0</v>
      </c>
      <c r="K3" s="12">
        <f>IF(COUNT(K122,K4)&lt;2,"",ABS(K122-K4))</f>
        <v>0</v>
      </c>
      <c r="L3" s="12">
        <f>IF(COUNT(L122,L4)&lt;2,"",ABS(L122-L4))</f>
        <v>0</v>
      </c>
      <c r="M3" s="12">
        <f>IF(COUNT(M122,M4)&lt;2,"",ABS(M122-M4))</f>
        <v>0</v>
      </c>
      <c r="N3" s="12">
        <f>IF(COUNT(N122,N4)&lt;2,"",ABS(N122-N4))</f>
        <v>0</v>
      </c>
      <c r="O3" s="12">
        <f>IF(COUNT(O122,O4)&lt;2,"",ABS(O122-O4))</f>
        <v>0</v>
      </c>
      <c r="P3" s="12">
        <f>IF(COUNT(P122,P4)&lt;2,"",ABS(P122-P4))</f>
        <v>0</v>
      </c>
      <c r="Q3" s="12">
        <f>IF(COUNT(Q122,Q4)&lt;2,"",ABS(Q122-Q4))</f>
        <v>0</v>
      </c>
      <c r="R3" s="12">
        <f>IF(COUNT(R122,R4)&lt;2,"",ABS(R122-R4))</f>
        <v>0</v>
      </c>
      <c r="S3" s="12">
        <f>IF(COUNT(S122,S4)&lt;2,"",ABS(S122-S4))</f>
        <v>0</v>
      </c>
      <c r="T3" s="12">
        <f>IF(COUNT(T122,T4)&lt;2,"",ABS(T122-T4))</f>
        <v>0</v>
      </c>
      <c r="U3" s="12">
        <f>IF(COUNT(U122,U4)&lt;2,"",ABS(U122-U4))</f>
        <v>0</v>
      </c>
      <c r="V3" s="12">
        <f>IF(COUNT(V122,V4)&lt;2,"",ABS(V122-V4))</f>
        <v>0</v>
      </c>
      <c r="W3" s="12">
        <f>IF(COUNT(W122,W4)&lt;2,"",ABS(W122-W4))</f>
        <v>0</v>
      </c>
      <c r="X3" s="12">
        <f>IF(COUNT(X122,X4)&lt;2,"",ABS(X122-X4))</f>
        <v>0</v>
      </c>
      <c r="Y3" s="12">
        <f>IF(COUNT(Y122,Y4)&lt;2,"",ABS(Y122-Y4))</f>
        <v>0</v>
      </c>
      <c r="Z3" s="12">
        <f>IF(COUNT(Z122,Z4)&lt;2,"",ABS(Z122-Z4))</f>
        <v>0</v>
      </c>
      <c r="AA3" s="12">
        <f>IF(COUNT(AA122,AA4)&lt;2,"",ABS(AA122-AA4))</f>
        <v>0</v>
      </c>
      <c r="AB3" s="12">
        <f>IF(COUNT(AB122,AB4)&lt;2,"",ABS(AB122-AB4))</f>
        <v>0</v>
      </c>
      <c r="AC3" s="12">
        <f>IF(COUNT(AC122,AC4)&lt;2,"",ABS(AC122-AC4))</f>
        <v>0</v>
      </c>
      <c r="AD3" s="12">
        <f>IF(COUNT(AD122,AD4)&lt;2,"",ABS(AD122-AD4))</f>
        <v>0</v>
      </c>
      <c r="AE3" s="12">
        <f>IF(COUNT(AE122,AE4)&lt;2,"",ABS(AE122-AE4))</f>
        <v>0</v>
      </c>
      <c r="AF3" s="12">
        <f>IF(COUNT(AF122,AF4)&lt;2,"",ABS(AF122-AF4))</f>
        <v>0</v>
      </c>
      <c r="AG3" s="12">
        <f>IF(COUNT(AG122,AG4)&lt;2,"",ABS(AG122-AG4))</f>
        <v>0</v>
      </c>
      <c r="AH3" s="12">
        <f>IF(COUNT(AH122,AH4)&lt;2,"",ABS(AH122-AH4))</f>
        <v>0</v>
      </c>
      <c r="AI3" s="12">
        <f>IF(COUNT(AI122,AI4)&lt;2,"",ABS(AI122-AI4))</f>
        <v>0</v>
      </c>
      <c r="AJ3" s="12">
        <f>ABS(AJ122-AJ4)</f>
        <v>2833.70220508615</v>
      </c>
      <c r="AK3" s="12">
        <f>ABS(AK122-AK4)</f>
        <v>2213.75173310893</v>
      </c>
      <c r="AL3" s="12">
        <f>ABS(AL122-AL4)</f>
        <v>9274.45393819508</v>
      </c>
      <c r="AM3" s="12">
        <f>ABS(AM122-AM4)</f>
        <v>2289.07066678328</v>
      </c>
      <c r="AN3" s="12">
        <f>ABS(AN122-AN4)</f>
        <v>2319.65870534972</v>
      </c>
      <c r="AO3" s="12">
        <f>ABS(AO122-AO4)</f>
        <v>3089.93626373941</v>
      </c>
      <c r="AP3" s="12">
        <f>ABS(AP122-AP4)</f>
        <v>2413.92752801323</v>
      </c>
      <c r="AQ3" s="12">
        <f>ABS(AQ122-AQ4)</f>
        <v>10112.5931638856</v>
      </c>
      <c r="AR3" s="12">
        <f>ABS(AR122-AR4)</f>
        <v>2484.61173087927</v>
      </c>
      <c r="AS3" s="12">
        <f>ABS(AS122-AS4)</f>
        <v>2517.81271525673</v>
      </c>
      <c r="AT3" s="12">
        <f>ABS(AT122-AT4)</f>
        <v>3353.89029266829</v>
      </c>
      <c r="AU3" s="12">
        <f>ABS(AU122-AU4)</f>
        <v>2620.13433688454</v>
      </c>
      <c r="AV3" s="12">
        <f>ABS(AV122-AV4)</f>
        <v>10976.4490756888</v>
      </c>
      <c r="AW3" s="12">
        <f>ABS(AW122-AW4)</f>
        <v>2684.43359273851</v>
      </c>
      <c r="AX3" s="12">
        <f>ABS(AX122-AX4)</f>
        <v>2720.30472570755</v>
      </c>
      <c r="AY3" s="12">
        <f>ABS(AY122-AY4)</f>
        <v>3623.62282046065</v>
      </c>
      <c r="AZ3" s="12">
        <f>ABS(AZ122-AZ4)</f>
        <v>2830.85543870125</v>
      </c>
      <c r="BA3" s="12">
        <f>ABS(BA122-BA4)</f>
        <v>11859.216577608</v>
      </c>
      <c r="BB3" s="12">
        <f>ABS(BB122-BB4)</f>
        <v>2886.9037156595</v>
      </c>
      <c r="BC3" s="12">
        <f>ABS(BC122-BC4)</f>
        <v>2925.48038499242</v>
      </c>
      <c r="BD3" s="12">
        <f>ABS(BD122-BD4)</f>
        <v>3896.9301430417</v>
      </c>
      <c r="BE3" s="12">
        <f>ABS(BE122-BE4)</f>
        <v>3044.36925040284</v>
      </c>
      <c r="BF3" s="12">
        <f>ABS(BF122-BF4)</f>
        <v>12753.6834940965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951</v>
      </c>
      <c r="J4">
        <f>IF(ISNUMBER('Inputs (2)'!E50),'Inputs (2)'!E50,"")</f>
        <v>1220</v>
      </c>
      <c r="K4">
        <f>IF(ISNUMBER('Inputs (2)'!F50),'Inputs (2)'!F50,"")</f>
        <v>1670</v>
      </c>
      <c r="L4">
        <f>IF(ISNUMBER('Inputs (2)'!G50),'Inputs (2)'!G50,"")</f>
        <v>1324</v>
      </c>
      <c r="M4" s="11">
        <f>IF(COUNT(I4:L4)=4,SUM(I4:L4),"")</f>
        <v>5165</v>
      </c>
      <c r="N4">
        <f>IF(ISNUMBER('Inputs (2)'!I50),'Inputs (2)'!I50,"")</f>
        <v>1299</v>
      </c>
      <c r="O4">
        <f>IF(ISNUMBER('Inputs (2)'!J50),'Inputs (2)'!J50,"")</f>
        <v>1353</v>
      </c>
      <c r="P4">
        <f>IF(ISNUMBER('Inputs (2)'!K50),'Inputs (2)'!K50,"")</f>
        <v>1868</v>
      </c>
      <c r="Q4">
        <f>IF(ISNUMBER('Inputs (2)'!L50),'Inputs (2)'!L50,"")</f>
        <v>1364</v>
      </c>
      <c r="R4" s="11">
        <f>IF(COUNT(N4:Q4)=4,SUM(N4:Q4),"")</f>
        <v>5884</v>
      </c>
      <c r="S4">
        <f>IF(ISNUMBER('Inputs (2)'!N50),'Inputs (2)'!N50,"")</f>
        <v>1466</v>
      </c>
      <c r="T4">
        <f>IF(ISNUMBER('Inputs (2)'!O50),'Inputs (2)'!O50,"")</f>
        <v>1302</v>
      </c>
      <c r="U4">
        <f>IF(ISNUMBER('Inputs (2)'!P50),'Inputs (2)'!P50,"")</f>
        <v>2160</v>
      </c>
      <c r="V4">
        <f>IF(ISNUMBER('Inputs (2)'!Q50),'Inputs (2)'!Q50,"")</f>
        <v>1589</v>
      </c>
      <c r="W4" s="11">
        <f>IF(COUNT(S4:V4)=4,SUM(S4:V4),"")</f>
        <v>6517</v>
      </c>
      <c r="X4">
        <f>IF(ISNUMBER('Inputs (2)'!S50),'Inputs (2)'!S50,"")</f>
        <v>1743</v>
      </c>
      <c r="Y4">
        <f>IF(ISNUMBER('Inputs (2)'!T50),'Inputs (2)'!T50,"")</f>
        <v>1681</v>
      </c>
      <c r="Z4">
        <f>IF(ISNUMBER('Inputs (2)'!U50),'Inputs (2)'!U50,"")</f>
        <v>2354</v>
      </c>
      <c r="AA4">
        <f>IF(ISNUMBER('Inputs (2)'!V50),'Inputs (2)'!V50,"")</f>
        <v>1798</v>
      </c>
      <c r="AB4" s="11">
        <f>IF(COUNT(X4:AA4)=4,SUM(X4:AA4),"")</f>
        <v>7576</v>
      </c>
      <c r="AC4">
        <f>IF(ISNUMBER('Inputs (2)'!X50),'Inputs (2)'!X50,"")</f>
        <v>1788</v>
      </c>
      <c r="AD4">
        <f>IF(ISNUMBER('Inputs (2)'!Y50),'Inputs (2)'!Y50,"")</f>
        <v>1903</v>
      </c>
      <c r="AE4">
        <f>IF(ISNUMBER('Inputs (2)'!Z50),'Inputs (2)'!Z50,"")</f>
        <v>2610</v>
      </c>
      <c r="AF4">
        <f>IF(ISNUMBER('Inputs (2)'!AA50),'Inputs (2)'!AA50,"")</f>
        <v>2001</v>
      </c>
      <c r="AG4" s="11">
        <f>IF(COUNT(AC4:AF4)=4,SUM(AC4:AF4),"")</f>
        <v>8302</v>
      </c>
      <c r="AH4" s="11">
        <f>IF(ISNUMBER('Inputs (2)'!AC50),'Inputs (2)'!AC50,"")</f>
        <v>2035</v>
      </c>
      <c r="AI4" s="11">
        <f>IF(ISNUMBER('Inputs (2)'!AD50),'Inputs (2)'!AD50,"")</f>
        <v>2192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44769</v>
      </c>
      <c r="J15" s="34">
        <f>'Inputs (2)'!E4</f>
        <v>45277</v>
      </c>
      <c r="K15" s="34">
        <f>'Inputs (2)'!F4</f>
        <v>62675</v>
      </c>
      <c r="L15" s="34">
        <f>'Inputs (2)'!G4</f>
        <v>50363</v>
      </c>
      <c r="M15" s="35">
        <f>'Inputs (2)'!H4</f>
        <v>203084</v>
      </c>
      <c r="N15" s="34">
        <f>'Inputs (2)'!I4</f>
        <v>51904</v>
      </c>
      <c r="O15" s="34">
        <f>'Inputs (2)'!J4</f>
        <v>52596</v>
      </c>
      <c r="P15" s="34">
        <f>'Inputs (2)'!K4</f>
        <v>72091</v>
      </c>
      <c r="Q15" s="34">
        <f>'Inputs (2)'!L4</f>
        <v>54437</v>
      </c>
      <c r="R15" s="35">
        <f>'Inputs (2)'!M4</f>
        <v>231028</v>
      </c>
      <c r="S15" s="34">
        <f>'Inputs (2)'!N4</f>
        <v>55266</v>
      </c>
      <c r="T15" s="34">
        <f>'Inputs (2)'!O4</f>
        <v>53648</v>
      </c>
      <c r="U15" s="34">
        <f>'Inputs (2)'!P4</f>
        <v>78939</v>
      </c>
      <c r="V15" s="34">
        <f>'Inputs (2)'!Q4</f>
        <v>57799</v>
      </c>
      <c r="W15" s="35">
        <f>'Inputs (2)'!R4</f>
        <v>245652</v>
      </c>
      <c r="X15" s="34">
        <f>'Inputs (2)'!S4</f>
        <v>58442</v>
      </c>
      <c r="Y15" s="34">
        <f>'Inputs (2)'!T4</f>
        <v>58515</v>
      </c>
      <c r="Z15" s="34">
        <f>'Inputs (2)'!U4</f>
        <v>79697</v>
      </c>
      <c r="AA15" s="34">
        <f>'Inputs (2)'!V4</f>
        <v>62151</v>
      </c>
      <c r="AB15" s="35">
        <f>'Inputs (2)'!W4</f>
        <v>258805</v>
      </c>
      <c r="AC15" s="34">
        <f>'Inputs (2)'!X4</f>
        <v>63723</v>
      </c>
      <c r="AD15" s="34">
        <f>'Inputs (2)'!Y4</f>
        <v>63205</v>
      </c>
      <c r="AE15" s="34">
        <f>'Inputs (2)'!Z4</f>
        <v>86156</v>
      </c>
      <c r="AF15" s="34">
        <f>'Inputs (2)'!AA4</f>
        <v>67307</v>
      </c>
      <c r="AG15" s="35">
        <f>'Inputs (2)'!AB4</f>
        <v>280391</v>
      </c>
      <c r="AH15" s="35">
        <f>'Inputs (2)'!AC4</f>
        <v>69597</v>
      </c>
      <c r="AI15" s="35">
        <f>'Inputs (2)'!AD4</f>
        <v>70527</v>
      </c>
      <c r="AJ15" s="35">
        <f>AE15*(1+AJ16)</f>
        <v>93946.5510034563</v>
      </c>
      <c r="AK15" s="35">
        <f>AF15*(1+AK16)</f>
        <v>73393.1532149779</v>
      </c>
      <c r="AL15" s="35">
        <f>SUM(AH15:AK15)</f>
        <v>307463.704218434</v>
      </c>
      <c r="AM15" s="35">
        <f>AH15*(1+AM16)</f>
        <v>75890.2236662281</v>
      </c>
      <c r="AN15" s="35">
        <f>AI15*(1+AN16)</f>
        <v>76904.3177796179</v>
      </c>
      <c r="AO15" s="35">
        <f>AJ15*(1+AO16)</f>
        <v>102441.553060089</v>
      </c>
      <c r="AP15" s="35">
        <f>AK15*(1+AP16)</f>
        <v>80029.6393961581</v>
      </c>
      <c r="AQ15" s="35">
        <f>SUM(AM15:AP15)</f>
        <v>335265.733902093</v>
      </c>
      <c r="AR15" s="35">
        <f>AM15*(1+AR16)</f>
        <v>82373.0532728082</v>
      </c>
      <c r="AS15" s="35">
        <f>AN15*(1+AS16)</f>
        <v>83473.7751364476</v>
      </c>
      <c r="AT15" s="35">
        <f>AO15*(1+AT16)</f>
        <v>111192.497530128</v>
      </c>
      <c r="AU15" s="35">
        <f>AP15*(1+AU16)</f>
        <v>86866.0735324331</v>
      </c>
      <c r="AV15" s="35">
        <f>SUM(AR15:AU15)</f>
        <v>363905.399471817</v>
      </c>
      <c r="AW15" s="35">
        <f>AR15*(1+AW16)</f>
        <v>88997.8054091018</v>
      </c>
      <c r="AX15" s="35">
        <f>AS15*(1+AX16)</f>
        <v>90187.0514833646</v>
      </c>
      <c r="AY15" s="35">
        <f>AT15*(1+AY16)</f>
        <v>120135.018248802</v>
      </c>
      <c r="AZ15" s="35">
        <f>AU15*(1+AZ16)</f>
        <v>93852.1713319108</v>
      </c>
      <c r="BA15" s="35">
        <f>SUM(AW15:AZ15)</f>
        <v>393172.046473179</v>
      </c>
      <c r="BB15" s="35">
        <f>AW15*(1+BB16)</f>
        <v>95710.3561123946</v>
      </c>
      <c r="BC15" s="35">
        <f>AX15*(1+BC16)</f>
        <v>96989.2996183579</v>
      </c>
      <c r="BD15" s="35">
        <f>AY15*(1+BD16)</f>
        <v>129196.055175827</v>
      </c>
      <c r="BE15" s="35">
        <f>AZ15*(1+BE16)</f>
        <v>100930.856652112</v>
      </c>
      <c r="BF15" s="35">
        <f>SUM(BB15:BE15)</f>
        <v>422826.567558692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0.159373673747459</v>
      </c>
      <c r="O16" s="40">
        <f>IFERROR(O15/J15-1,"")</f>
        <v>0.161649402566424</v>
      </c>
      <c r="P16" s="40">
        <f>IFERROR(P15/K15-1,"")</f>
        <v>0.150235341045074</v>
      </c>
      <c r="Q16" s="40">
        <f>IFERROR(Q15/L15-1,"")</f>
        <v>0.0808927188610686</v>
      </c>
      <c r="R16" s="40">
        <f>IFERROR(R15/M15-1,"")</f>
        <v>0.137598235213015</v>
      </c>
      <c r="S16" s="40">
        <f>IFERROR(S15/N15-1,"")</f>
        <v>0.0647734278668311</v>
      </c>
      <c r="T16" s="40">
        <f>IFERROR(T15/O15-1,"")</f>
        <v>0.0200015210282152</v>
      </c>
      <c r="U16" s="40">
        <f>IFERROR(U15/P15-1,"")</f>
        <v>0.0949910529747124</v>
      </c>
      <c r="V16" s="40">
        <f>IFERROR(V15/Q15-1,"")</f>
        <v>0.0617594650697135</v>
      </c>
      <c r="W16" s="40">
        <f>IFERROR(W15/R15-1,"")</f>
        <v>0.0632996866180722</v>
      </c>
      <c r="X16" s="40">
        <f>IFERROR(X15/S15-1,"")</f>
        <v>0.0574675207179822</v>
      </c>
      <c r="Y16" s="40">
        <f>IFERROR(Y15/T15-1,"")</f>
        <v>0.090720996122875</v>
      </c>
      <c r="Z16" s="40">
        <f>IFERROR(Z15/U15-1,"")</f>
        <v>0.0096023511825587</v>
      </c>
      <c r="AA16" s="40">
        <f>IFERROR(AA15/V15-1,"")</f>
        <v>0.0752954203359919</v>
      </c>
      <c r="AB16" s="40">
        <f>IFERROR(AB15/W15-1,"")</f>
        <v>0.0535432237474149</v>
      </c>
      <c r="AC16" s="40">
        <f>IFERROR(AC15/X15-1,"")</f>
        <v>0.090363095034393</v>
      </c>
      <c r="AD16" s="40">
        <f>IFERROR(AD15/Y15-1,"")</f>
        <v>0.0801503887891994</v>
      </c>
      <c r="AE16" s="40">
        <f>IFERROR(AE15/Z15-1,"")</f>
        <v>0.0810444558766328</v>
      </c>
      <c r="AF16" s="41">
        <f>IFERROR(AF15/AA15-1,"")</f>
        <v>0.082959244420846</v>
      </c>
      <c r="AG16" s="40">
        <f>IFERROR(AG15/AB15-1,"")</f>
        <v>0.0834064256872935</v>
      </c>
      <c r="AH16" s="41">
        <f>IFERROR(AH15/AC15-1,"")</f>
        <v>0.0921802175038839</v>
      </c>
      <c r="AI16" s="41">
        <f>IFERROR(AI15/AD15-1,"")</f>
        <v>0.115845265406218</v>
      </c>
      <c r="AJ16" s="41">
        <f>Control!$B$18</f>
        <v>0.0904237778385288</v>
      </c>
      <c r="AK16" s="41">
        <f>Control!$B$18</f>
        <v>0.0904237778385288</v>
      </c>
      <c r="AL16" s="42">
        <f>IFERROR(AL15/AG15-1,"")</f>
        <v>0.0965533994259238</v>
      </c>
      <c r="AM16" s="41">
        <f>Control!$C$18</f>
        <v>0.0904237778385288</v>
      </c>
      <c r="AN16" s="41">
        <f>Control!$C$18</f>
        <v>0.0904237778385288</v>
      </c>
      <c r="AO16" s="41">
        <f>Control!$C$18</f>
        <v>0.0904237778385288</v>
      </c>
      <c r="AP16" s="41">
        <f>Control!$C$18</f>
        <v>0.0904237778385288</v>
      </c>
      <c r="AQ16" s="42">
        <f>IFERROR(AQ15/AL15-1,"")</f>
        <v>0.0904237778385288</v>
      </c>
      <c r="AR16" s="41">
        <f>Control!$D$18</f>
        <v>0.0854237778385288</v>
      </c>
      <c r="AS16" s="41">
        <f>Control!$D$18</f>
        <v>0.0854237778385288</v>
      </c>
      <c r="AT16" s="41">
        <f>Control!$D$18</f>
        <v>0.0854237778385288</v>
      </c>
      <c r="AU16" s="41">
        <f>Control!$D$18</f>
        <v>0.0854237778385288</v>
      </c>
      <c r="AV16" s="42">
        <f>IFERROR(AV15/AQ15-1,"")</f>
        <v>0.0854237778385287</v>
      </c>
      <c r="AW16" s="41">
        <f>Control!$E$18</f>
        <v>0.0804237778385288</v>
      </c>
      <c r="AX16" s="41">
        <f>Control!$E$18</f>
        <v>0.0804237778385288</v>
      </c>
      <c r="AY16" s="41">
        <f>Control!$E$18</f>
        <v>0.0804237778385288</v>
      </c>
      <c r="AZ16" s="41">
        <f>Control!$E$18</f>
        <v>0.0804237778385288</v>
      </c>
      <c r="BA16" s="42">
        <f>IFERROR(BA15/AV15-1,"")</f>
        <v>0.0804237778385286</v>
      </c>
      <c r="BB16" s="41">
        <f>Control!$F$18</f>
        <v>0.0754237778385288</v>
      </c>
      <c r="BC16" s="41">
        <f>Control!$F$18</f>
        <v>0.0754237778385288</v>
      </c>
      <c r="BD16" s="41">
        <f>Control!$F$18</f>
        <v>0.0754237778385288</v>
      </c>
      <c r="BE16" s="41">
        <f>Control!$F$18</f>
        <v>0.0754237778385288</v>
      </c>
      <c r="BF16" s="42">
        <f>IFERROR(BF15/BA15-1,"")</f>
        <v>0.0754237778385289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>
        <f>IF(ISNUMBER(I22),I22,"")</f>
        <v>0</v>
      </c>
      <c r="J17" s="40">
        <f>IF(ISNUMBER(J22),J22,"")</f>
        <v>0</v>
      </c>
      <c r="K17" s="40">
        <f>IF(ISNUMBER(K22),K22,"")</f>
        <v>0</v>
      </c>
      <c r="L17" s="40">
        <f>IF(ISNUMBER(L22),L22,"")</f>
        <v>0</v>
      </c>
      <c r="M17" s="39">
        <f>IF(ISNUMBER(M22),M22,"")</f>
        <v>0</v>
      </c>
      <c r="N17" s="40">
        <f>IF(ISNUMBER(N22),N22,"")</f>
        <v>0</v>
      </c>
      <c r="O17" s="40">
        <f>IF(ISNUMBER(O22),O22,"")</f>
        <v>0</v>
      </c>
      <c r="P17" s="40">
        <f>IF(ISNUMBER(P22),P22,"")</f>
        <v>0</v>
      </c>
      <c r="Q17" s="40">
        <f>IF(ISNUMBER(Q22),Q22,"")</f>
        <v>0</v>
      </c>
      <c r="R17" s="40">
        <f>IF(ISNUMBER(R22),R22,"")</f>
        <v>0</v>
      </c>
      <c r="S17" s="40">
        <f>IF(ISNUMBER(S22),S22,"")</f>
        <v>0</v>
      </c>
      <c r="T17" s="40">
        <f>IF(ISNUMBER(T22),T22,"")</f>
        <v>0</v>
      </c>
      <c r="U17" s="40">
        <f>IF(ISNUMBER(U22),U22,"")</f>
        <v>0</v>
      </c>
      <c r="V17" s="40">
        <f>IF(ISNUMBER(V22),V22,"")</f>
        <v>0</v>
      </c>
      <c r="W17" s="40">
        <f>IF(ISNUMBER(W22),W22,"")</f>
        <v>0</v>
      </c>
      <c r="X17" s="40">
        <f>IF(ISNUMBER(X22),X22,"")</f>
        <v>0</v>
      </c>
      <c r="Y17" s="40">
        <f>IF(ISNUMBER(Y22),Y22,"")</f>
        <v>0</v>
      </c>
      <c r="Z17" s="40">
        <f>IF(ISNUMBER(Z22),Z22,"")</f>
        <v>0</v>
      </c>
      <c r="AA17" s="40">
        <f>IF(ISNUMBER(AA22),AA22,"")</f>
        <v>0</v>
      </c>
      <c r="AB17" s="40">
        <f>IF(ISNUMBER(AB22),AB22,"")</f>
        <v>0</v>
      </c>
      <c r="AC17" s="40">
        <f>IF(ISNUMBER(AC22),AC22,"")</f>
        <v>0</v>
      </c>
      <c r="AD17" s="40">
        <f>IF(ISNUMBER(AD22),AD22,"")</f>
        <v>0</v>
      </c>
      <c r="AE17" s="40">
        <f>IF(ISNUMBER(AE22),AE22,"")</f>
        <v>0</v>
      </c>
      <c r="AF17" s="40">
        <f>IF(ISNUMBER(AF22),AF22,"")</f>
        <v>0</v>
      </c>
      <c r="AG17" s="40">
        <f>IF(ISNUMBER(AG22),AG22,"")</f>
        <v>0</v>
      </c>
      <c r="AH17" s="41">
        <f>IF(ISNUMBER(AH22),AH22,"")</f>
        <v>0</v>
      </c>
      <c r="AI17" s="41">
        <f>IF(ISNUMBER(AI22),AI22,"")</f>
        <v>0</v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Receita - como a Costco divulga (USD milhões)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Vendas líquidas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43888</v>
      </c>
      <c r="J19" s="269">
        <f>IFERROR(INDEX('Inputs (2)'!$D$53:$AL$53,MATCH(J$7&amp;"",'Inputs (2)'!$D$2:$AL$2,0)),"")</f>
        <v>44376</v>
      </c>
      <c r="K19" s="269">
        <f>IFERROR(INDEX('Inputs (2)'!$D$53:$AL$53,MATCH(K$7&amp;"",'Inputs (2)'!$D$2:$AL$2,0)),"")</f>
        <v>61441</v>
      </c>
      <c r="L19" s="269">
        <f>IFERROR(INDEX('Inputs (2)'!$D$53:$AL$53,MATCH(L$7&amp;"",'Inputs (2)'!$D$2:$AL$2,0)),"")</f>
        <v>49417</v>
      </c>
      <c r="M19" s="270">
        <f>IF(COUNT(I19:L19)=4,SUM(I19:L19),"")</f>
        <v>199122</v>
      </c>
      <c r="N19" s="269">
        <f>IFERROR(INDEX('Inputs (2)'!$D$53:$AL$53,MATCH(N$7&amp;"",'Inputs (2)'!$D$2:$AL$2,0)),"")</f>
        <v>50937</v>
      </c>
      <c r="O19" s="269">
        <f>IFERROR(INDEX('Inputs (2)'!$D$53:$AL$53,MATCH(O$7&amp;"",'Inputs (2)'!$D$2:$AL$2,0)),"")</f>
        <v>51612</v>
      </c>
      <c r="P19" s="269">
        <f>IFERROR(INDEX('Inputs (2)'!$D$53:$AL$53,MATCH(P$7&amp;"",'Inputs (2)'!$D$2:$AL$2,0)),"")</f>
        <v>70764</v>
      </c>
      <c r="Q19" s="269">
        <f>IFERROR(INDEX('Inputs (2)'!$D$53:$AL$53,MATCH(Q$7&amp;"",'Inputs (2)'!$D$2:$AL$2,0)),"")</f>
        <v>53437</v>
      </c>
      <c r="R19" s="270">
        <f>IF(COUNT(N19:Q19)=4,SUM(N19:Q19),"")</f>
        <v>226750</v>
      </c>
      <c r="S19" s="269">
        <f>IFERROR(INDEX('Inputs (2)'!$D$53:$AL$53,MATCH(S$7&amp;"",'Inputs (2)'!$D$2:$AL$2,0)),"")</f>
        <v>54239</v>
      </c>
      <c r="T19" s="269">
        <f>IFERROR(INDEX('Inputs (2)'!$D$53:$AL$53,MATCH(T$7&amp;"",'Inputs (2)'!$D$2:$AL$2,0)),"")</f>
        <v>52604</v>
      </c>
      <c r="U19" s="269">
        <f>IFERROR(INDEX('Inputs (2)'!$D$53:$AL$53,MATCH(U$7&amp;"",'Inputs (2)'!$D$2:$AL$2,0)),"")</f>
        <v>77430</v>
      </c>
      <c r="V19" s="269">
        <f>IFERROR(INDEX('Inputs (2)'!$D$53:$AL$53,MATCH(V$7&amp;"",'Inputs (2)'!$D$2:$AL$2,0)),"")</f>
        <v>56717</v>
      </c>
      <c r="W19" s="270">
        <f>IF(COUNT(S19:V19)=4,SUM(S19:V19),"")</f>
        <v>240990</v>
      </c>
      <c r="X19" s="269">
        <f>IFERROR(INDEX('Inputs (2)'!$D$53:$AL$53,MATCH(X$7&amp;"",'Inputs (2)'!$D$2:$AL$2,0)),"")</f>
        <v>57331</v>
      </c>
      <c r="Y19" s="269">
        <f>IFERROR(INDEX('Inputs (2)'!$D$53:$AL$53,MATCH(Y$7&amp;"",'Inputs (2)'!$D$2:$AL$2,0)),"")</f>
        <v>57392</v>
      </c>
      <c r="Z19" s="269">
        <f>IFERROR(INDEX('Inputs (2)'!$D$53:$AL$53,MATCH(Z$7&amp;"",'Inputs (2)'!$D$2:$AL$2,0)),"")</f>
        <v>78185</v>
      </c>
      <c r="AA19" s="269">
        <f>IFERROR(INDEX('Inputs (2)'!$D$53:$AL$53,MATCH(AA$7&amp;"",'Inputs (2)'!$D$2:$AL$2,0)),"")</f>
        <v>60985</v>
      </c>
      <c r="AB19" s="270">
        <f>IF(COUNT(X19:AA19)=4,SUM(X19:AA19),"")</f>
        <v>253893</v>
      </c>
      <c r="AC19" s="269">
        <f>IFERROR(INDEX('Inputs (2)'!$D$53:$AL$53,MATCH(AC$7&amp;"",'Inputs (2)'!$D$2:$AL$2,0)),"")</f>
        <v>62530</v>
      </c>
      <c r="AD19" s="269">
        <f>IFERROR(INDEX('Inputs (2)'!$D$53:$AL$53,MATCH(AD$7&amp;"",'Inputs (2)'!$D$2:$AL$2,0)),"")</f>
        <v>61965</v>
      </c>
      <c r="AE19" s="269">
        <f>IFERROR(INDEX('Inputs (2)'!$D$53:$AL$53,MATCH(AE$7&amp;"",'Inputs (2)'!$D$2:$AL$2,0)),"")</f>
        <v>84432</v>
      </c>
      <c r="AF19" s="269">
        <f>IFERROR(INDEX('Inputs (2)'!$D$53:$AL$53,MATCH(AF$7&amp;"",'Inputs (2)'!$D$2:$AL$2,0)),"")</f>
        <v>65978</v>
      </c>
      <c r="AG19" s="270">
        <f>IF(COUNT(AC19:AF19)=4,SUM(AC19:AF19),"")</f>
        <v>274905</v>
      </c>
      <c r="AH19" s="270">
        <f>IFERROR(INDEX('Inputs (2)'!$D$53:$AL$53,MATCH(AH$7&amp;"",'Inputs (2)'!$D$2:$AL$2,0)),"")</f>
        <v>68242</v>
      </c>
      <c r="AI19" s="270">
        <f>IFERROR(INDEX('Inputs (2)'!$D$53:$AL$53,MATCH(AI$7&amp;"",'Inputs (2)'!$D$2:$AL$2,0)),"")</f>
        <v>69154</v>
      </c>
    </row>
    <row r="20">
      <c r="C20" s="268" t="inlineStr">
        <is>
          <t xml:space="preserve">   Taxas de associação</t>
        </is>
      </c>
      <c r="D20" s="269" t="str">
        <f>IFERROR(INDEX('Inputs (2)'!$D$54:$AL$54,MATCH(D$7&amp;"",'Inputs (2)'!$D$2:$AL$2,0)),"")</f>
        <v/>
      </c>
      <c r="E20" s="269" t="str">
        <f>IFERROR(INDEX('Inputs (2)'!$D$54:$AL$54,MATCH(E$7&amp;"",'Inputs (2)'!$D$2:$AL$2,0)),"")</f>
        <v/>
      </c>
      <c r="F20" s="269" t="str">
        <f>IFERROR(INDEX('Inputs (2)'!$D$54:$AL$54,MATCH(F$7&amp;"",'Inputs (2)'!$D$2:$AL$2,0)),"")</f>
        <v/>
      </c>
      <c r="G20" s="269" t="str">
        <f>IFERROR(INDEX('Inputs (2)'!$D$54:$AL$54,MATCH(G$7&amp;"",'Inputs (2)'!$D$2:$AL$2,0)),"")</f>
        <v/>
      </c>
      <c r="H20" s="270" t="str">
        <f>IF(COUNT(D20:G20)=4,SUM(D20:G20),"")</f>
        <v/>
      </c>
      <c r="I20" s="269">
        <f>IFERROR(INDEX('Inputs (2)'!$D$54:$AL$54,MATCH(I$7&amp;"",'Inputs (2)'!$D$2:$AL$2,0)),"")</f>
        <v>881</v>
      </c>
      <c r="J20" s="269">
        <f>IFERROR(INDEX('Inputs (2)'!$D$54:$AL$54,MATCH(J$7&amp;"",'Inputs (2)'!$D$2:$AL$2,0)),"")</f>
        <v>901</v>
      </c>
      <c r="K20" s="269">
        <f>IFERROR(INDEX('Inputs (2)'!$D$54:$AL$54,MATCH(K$7&amp;"",'Inputs (2)'!$D$2:$AL$2,0)),"")</f>
        <v>1234</v>
      </c>
      <c r="L20" s="269">
        <f>IFERROR(INDEX('Inputs (2)'!$D$54:$AL$54,MATCH(L$7&amp;"",'Inputs (2)'!$D$2:$AL$2,0)),"")</f>
        <v>946</v>
      </c>
      <c r="M20" s="270">
        <f>IF(COUNT(I20:L20)=4,SUM(I20:L20),"")</f>
        <v>3962</v>
      </c>
      <c r="N20" s="269">
        <f>IFERROR(INDEX('Inputs (2)'!$D$54:$AL$54,MATCH(N$7&amp;"",'Inputs (2)'!$D$2:$AL$2,0)),"")</f>
        <v>967</v>
      </c>
      <c r="O20" s="269">
        <f>IFERROR(INDEX('Inputs (2)'!$D$54:$AL$54,MATCH(O$7&amp;"",'Inputs (2)'!$D$2:$AL$2,0)),"")</f>
        <v>984</v>
      </c>
      <c r="P20" s="269">
        <f>IFERROR(INDEX('Inputs (2)'!$D$54:$AL$54,MATCH(P$7&amp;"",'Inputs (2)'!$D$2:$AL$2,0)),"")</f>
        <v>1327</v>
      </c>
      <c r="Q20" s="269">
        <f>IFERROR(INDEX('Inputs (2)'!$D$54:$AL$54,MATCH(Q$7&amp;"",'Inputs (2)'!$D$2:$AL$2,0)),"")</f>
        <v>1000</v>
      </c>
      <c r="R20" s="270">
        <f>IF(COUNT(N20:Q20)=4,SUM(N20:Q20),"")</f>
        <v>4278</v>
      </c>
      <c r="S20" s="269">
        <f>IFERROR(INDEX('Inputs (2)'!$D$54:$AL$54,MATCH(S$7&amp;"",'Inputs (2)'!$D$2:$AL$2,0)),"")</f>
        <v>1027</v>
      </c>
      <c r="T20" s="269">
        <f>IFERROR(INDEX('Inputs (2)'!$D$54:$AL$54,MATCH(T$7&amp;"",'Inputs (2)'!$D$2:$AL$2,0)),"")</f>
        <v>1044</v>
      </c>
      <c r="U20" s="269">
        <f>IFERROR(INDEX('Inputs (2)'!$D$54:$AL$54,MATCH(U$7&amp;"",'Inputs (2)'!$D$2:$AL$2,0)),"")</f>
        <v>1509</v>
      </c>
      <c r="V20" s="269">
        <f>IFERROR(INDEX('Inputs (2)'!$D$54:$AL$54,MATCH(V$7&amp;"",'Inputs (2)'!$D$2:$AL$2,0)),"")</f>
        <v>1082</v>
      </c>
      <c r="W20" s="270">
        <f>IF(COUNT(S20:V20)=4,SUM(S20:V20),"")</f>
        <v>4662</v>
      </c>
      <c r="X20" s="269">
        <f>IFERROR(INDEX('Inputs (2)'!$D$54:$AL$54,MATCH(X$7&amp;"",'Inputs (2)'!$D$2:$AL$2,0)),"")</f>
        <v>1111</v>
      </c>
      <c r="Y20" s="269">
        <f>IFERROR(INDEX('Inputs (2)'!$D$54:$AL$54,MATCH(Y$7&amp;"",'Inputs (2)'!$D$2:$AL$2,0)),"")</f>
        <v>1123</v>
      </c>
      <c r="Z20" s="269">
        <f>IFERROR(INDEX('Inputs (2)'!$D$54:$AL$54,MATCH(Z$7&amp;"",'Inputs (2)'!$D$2:$AL$2,0)),"")</f>
        <v>1512</v>
      </c>
      <c r="AA20" s="269">
        <f>IFERROR(INDEX('Inputs (2)'!$D$54:$AL$54,MATCH(AA$7&amp;"",'Inputs (2)'!$D$2:$AL$2,0)),"")</f>
        <v>1166</v>
      </c>
      <c r="AB20" s="270">
        <f>IF(COUNT(X20:AA20)=4,SUM(X20:AA20),"")</f>
        <v>4912</v>
      </c>
      <c r="AC20" s="269">
        <f>IFERROR(INDEX('Inputs (2)'!$D$54:$AL$54,MATCH(AC$7&amp;"",'Inputs (2)'!$D$2:$AL$2,0)),"")</f>
        <v>1193</v>
      </c>
      <c r="AD20" s="269">
        <f>IFERROR(INDEX('Inputs (2)'!$D$54:$AL$54,MATCH(AD$7&amp;"",'Inputs (2)'!$D$2:$AL$2,0)),"")</f>
        <v>1240</v>
      </c>
      <c r="AE20" s="269">
        <f>IFERROR(INDEX('Inputs (2)'!$D$54:$AL$54,MATCH(AE$7&amp;"",'Inputs (2)'!$D$2:$AL$2,0)),"")</f>
        <v>1724</v>
      </c>
      <c r="AF20" s="269">
        <f>IFERROR(INDEX('Inputs (2)'!$D$54:$AL$54,MATCH(AF$7&amp;"",'Inputs (2)'!$D$2:$AL$2,0)),"")</f>
        <v>1329</v>
      </c>
      <c r="AG20" s="270">
        <f>IF(COUNT(AC20:AF20)=4,SUM(AC20:AF20),"")</f>
        <v>5486</v>
      </c>
      <c r="AH20" s="270">
        <f>IFERROR(INDEX('Inputs (2)'!$D$54:$AL$54,MATCH(AH$7&amp;"",'Inputs (2)'!$D$2:$AL$2,0)),"")</f>
        <v>1355</v>
      </c>
      <c r="AI20" s="270">
        <f>IFERROR(INDEX('Inputs (2)'!$D$54:$AL$54,MATCH(AI$7&amp;"",'Inputs (2)'!$D$2:$AL$2,0)),"")</f>
        <v>1373</v>
      </c>
    </row>
    <row r="21">
      <c r="C21" s="271" t="inlineStr">
        <is>
          <t>Receita total (soma)</t>
        </is>
      </c>
      <c r="D21" s="269" t="str">
        <f>IF(COUNT(D19,D20)=0,"",N(D19)+N(D20))</f>
        <v/>
      </c>
      <c r="E21" s="269" t="str">
        <f>IF(COUNT(E19,E20)=0,"",N(E19)+N(E20))</f>
        <v/>
      </c>
      <c r="F21" s="269" t="str">
        <f>IF(COUNT(F19,F20)=0,"",N(F19)+N(F20))</f>
        <v/>
      </c>
      <c r="G21" s="269" t="str">
        <f>IF(COUNT(G19,G20)=0,"",N(G19)+N(G20))</f>
        <v/>
      </c>
      <c r="H21" s="270" t="str">
        <f>IF(COUNT(H19,H20)=0,"",N(H19)+N(H20))</f>
        <v/>
      </c>
      <c r="I21" s="269">
        <f>IF(COUNT(I19,I20)=0,"",N(I19)+N(I20))</f>
        <v>44769</v>
      </c>
      <c r="J21" s="269">
        <f>IF(COUNT(J19,J20)=0,"",N(J19)+N(J20))</f>
        <v>45277</v>
      </c>
      <c r="K21" s="269">
        <f>IF(COUNT(K19,K20)=0,"",N(K19)+N(K20))</f>
        <v>62675</v>
      </c>
      <c r="L21" s="269">
        <f>IF(COUNT(L19,L20)=0,"",N(L19)+N(L20))</f>
        <v>50363</v>
      </c>
      <c r="M21" s="270">
        <f>IF(COUNT(M19,M20)=0,"",N(M19)+N(M20))</f>
        <v>203084</v>
      </c>
      <c r="N21" s="269">
        <f>IF(COUNT(N19,N20)=0,"",N(N19)+N(N20))</f>
        <v>51904</v>
      </c>
      <c r="O21" s="269">
        <f>IF(COUNT(O19,O20)=0,"",N(O19)+N(O20))</f>
        <v>52596</v>
      </c>
      <c r="P21" s="269">
        <f>IF(COUNT(P19,P20)=0,"",N(P19)+N(P20))</f>
        <v>72091</v>
      </c>
      <c r="Q21" s="269">
        <f>IF(COUNT(Q19,Q20)=0,"",N(Q19)+N(Q20))</f>
        <v>54437</v>
      </c>
      <c r="R21" s="270">
        <f>IF(COUNT(R19,R20)=0,"",N(R19)+N(R20))</f>
        <v>231028</v>
      </c>
      <c r="S21" s="269">
        <f>IF(COUNT(S19,S20)=0,"",N(S19)+N(S20))</f>
        <v>55266</v>
      </c>
      <c r="T21" s="269">
        <f>IF(COUNT(T19,T20)=0,"",N(T19)+N(T20))</f>
        <v>53648</v>
      </c>
      <c r="U21" s="269">
        <f>IF(COUNT(U19,U20)=0,"",N(U19)+N(U20))</f>
        <v>78939</v>
      </c>
      <c r="V21" s="269">
        <f>IF(COUNT(V19,V20)=0,"",N(V19)+N(V20))</f>
        <v>57799</v>
      </c>
      <c r="W21" s="270">
        <f>IF(COUNT(W19,W20)=0,"",N(W19)+N(W20))</f>
        <v>245652</v>
      </c>
      <c r="X21" s="269">
        <f>IF(COUNT(X19,X20)=0,"",N(X19)+N(X20))</f>
        <v>58442</v>
      </c>
      <c r="Y21" s="269">
        <f>IF(COUNT(Y19,Y20)=0,"",N(Y19)+N(Y20))</f>
        <v>58515</v>
      </c>
      <c r="Z21" s="269">
        <f>IF(COUNT(Z19,Z20)=0,"",N(Z19)+N(Z20))</f>
        <v>79697</v>
      </c>
      <c r="AA21" s="269">
        <f>IF(COUNT(AA19,AA20)=0,"",N(AA19)+N(AA20))</f>
        <v>62151</v>
      </c>
      <c r="AB21" s="270">
        <f>IF(COUNT(AB19,AB20)=0,"",N(AB19)+N(AB20))</f>
        <v>258805</v>
      </c>
      <c r="AC21" s="269">
        <f>IF(COUNT(AC19,AC20)=0,"",N(AC19)+N(AC20))</f>
        <v>63723</v>
      </c>
      <c r="AD21" s="269">
        <f>IF(COUNT(AD19,AD20)=0,"",N(AD19)+N(AD20))</f>
        <v>63205</v>
      </c>
      <c r="AE21" s="269">
        <f>IF(COUNT(AE19,AE20)=0,"",N(AE19)+N(AE20))</f>
        <v>86156</v>
      </c>
      <c r="AF21" s="269">
        <f>IF(COUNT(AF19,AF20)=0,"",N(AF19)+N(AF20))</f>
        <v>67307</v>
      </c>
      <c r="AG21" s="270">
        <f>IF(COUNT(AG19,AG20)=0,"",N(AG19)+N(AG20))</f>
        <v>280391</v>
      </c>
      <c r="AH21" s="270">
        <f>IF(COUNT(AH19,AH20)=0,"",N(AH19)+N(AH20))</f>
        <v>69597</v>
      </c>
      <c r="AI21" s="270">
        <f>IF(COUNT(AI19,AI20)=0,"",N(AI19)+N(AI20))</f>
        <v>70527</v>
      </c>
    </row>
    <row r="22">
      <c r="C22" s="268" t="inlineStr">
        <is>
          <t>Check vs Net Revenues (linha 15)</t>
        </is>
      </c>
      <c r="D22" s="269" t="str">
        <f>IF(COUNT(D21)=0,"",ROUND(D15-D21,1))</f>
        <v/>
      </c>
      <c r="E22" s="269" t="str">
        <f>IF(COUNT(E21)=0,"",ROUND(E15-E21,1))</f>
        <v/>
      </c>
      <c r="F22" s="269" t="str">
        <f>IF(COUNT(F21)=0,"",ROUND(F15-F21,1))</f>
        <v/>
      </c>
      <c r="G22" s="269" t="str">
        <f>IF(COUNT(G21)=0,"",ROUND(G15-G21,1))</f>
        <v/>
      </c>
      <c r="H22" s="270" t="str">
        <f>IF(COUNT(H21)=0,"",ROUND(H15-H21,1))</f>
        <v/>
      </c>
      <c r="I22" s="269">
        <f>IF(COUNT(I21)=0,"",ROUND(I15-I21,1))</f>
        <v>0</v>
      </c>
      <c r="J22" s="269">
        <f>IF(COUNT(J21)=0,"",ROUND(J15-J21,1))</f>
        <v>0</v>
      </c>
      <c r="K22" s="269">
        <f>IF(COUNT(K21)=0,"",ROUND(K15-K21,1))</f>
        <v>0</v>
      </c>
      <c r="L22" s="269">
        <f>IF(COUNT(L21)=0,"",ROUND(L15-L21,1))</f>
        <v>0</v>
      </c>
      <c r="M22" s="270">
        <f>IF(COUNT(M21)=0,"",ROUND(M15-M21,1))</f>
        <v>0</v>
      </c>
      <c r="N22" s="269">
        <f>IF(COUNT(N21)=0,"",ROUND(N15-N21,1))</f>
        <v>0</v>
      </c>
      <c r="O22" s="269">
        <f>IF(COUNT(O21)=0,"",ROUND(O15-O21,1))</f>
        <v>0</v>
      </c>
      <c r="P22" s="269">
        <f>IF(COUNT(P21)=0,"",ROUND(P15-P21,1))</f>
        <v>0</v>
      </c>
      <c r="Q22" s="269">
        <f>IF(COUNT(Q21)=0,"",ROUND(Q15-Q21,1))</f>
        <v>0</v>
      </c>
      <c r="R22" s="270">
        <f>IF(COUNT(R21)=0,"",ROUND(R15-R21,1))</f>
        <v>0</v>
      </c>
      <c r="S22" s="269">
        <f>IF(COUNT(S21)=0,"",ROUND(S15-S21,1))</f>
        <v>0</v>
      </c>
      <c r="T22" s="269">
        <f>IF(COUNT(T21)=0,"",ROUND(T15-T21,1))</f>
        <v>0</v>
      </c>
      <c r="U22" s="269">
        <f>IF(COUNT(U21)=0,"",ROUND(U15-U21,1))</f>
        <v>0</v>
      </c>
      <c r="V22" s="269">
        <f>IF(COUNT(V21)=0,"",ROUND(V15-V21,1))</f>
        <v>0</v>
      </c>
      <c r="W22" s="270">
        <f>IF(COUNT(W21)=0,"",ROUND(W15-W21,1))</f>
        <v>0</v>
      </c>
      <c r="X22" s="269">
        <f>IF(COUNT(X21)=0,"",ROUND(X15-X21,1))</f>
        <v>0</v>
      </c>
      <c r="Y22" s="269">
        <f>IF(COUNT(Y21)=0,"",ROUND(Y15-Y21,1))</f>
        <v>0</v>
      </c>
      <c r="Z22" s="269">
        <f>IF(COUNT(Z21)=0,"",ROUND(Z15-Z21,1))</f>
        <v>0</v>
      </c>
      <c r="AA22" s="269">
        <f>IF(COUNT(AA21)=0,"",ROUND(AA15-AA21,1))</f>
        <v>0</v>
      </c>
      <c r="AB22" s="270">
        <f>IF(COUNT(AB21)=0,"",ROUND(AB15-AB21,1))</f>
        <v>0</v>
      </c>
      <c r="AC22" s="269">
        <f>IF(COUNT(AC21)=0,"",ROUND(AC15-AC21,1))</f>
        <v>0</v>
      </c>
      <c r="AD22" s="269">
        <f>IF(COUNT(AD21)=0,"",ROUND(AD15-AD21,1))</f>
        <v>0</v>
      </c>
      <c r="AE22" s="269">
        <f>IF(COUNT(AE21)=0,"",ROUND(AE15-AE21,1))</f>
        <v>0</v>
      </c>
      <c r="AF22" s="269">
        <f>IF(COUNT(AF21)=0,"",ROUND(AF15-AF21,1))</f>
        <v>0</v>
      </c>
      <c r="AG22" s="270">
        <f>IF(COUNT(AG21)=0,"",ROUND(AG15-AG21,1))</f>
        <v>0</v>
      </c>
      <c r="AH22" s="270">
        <f>IF(COUNT(AH21)=0,"",ROUND(AH15-AH21,1))</f>
        <v>0</v>
      </c>
      <c r="AI22" s="270">
        <f>IF(COUNT(AI21)=0,"",ROUND(AI15-AI21,1))</f>
        <v>0</v>
      </c>
    </row>
    <row r="23">
      <c r="C23" s="268" t="inlineStr">
        <is>
          <t xml:space="preserve">   % YoY taxas de associação</t>
        </is>
      </c>
      <c r="D23" s="272" t="str">
        <f>""</f>
        <v/>
      </c>
      <c r="E23" s="272" t="str">
        <f>""</f>
        <v/>
      </c>
      <c r="F23" s="272" t="str">
        <f>""</f>
        <v/>
      </c>
      <c r="G23" s="272" t="str">
        <f>""</f>
        <v/>
      </c>
      <c r="H23" s="273" t="str">
        <f>""</f>
        <v/>
      </c>
      <c r="I23" s="272" t="str">
        <f>IFERROR(I20/D20-1,"")</f>
        <v/>
      </c>
      <c r="J23" s="272" t="str">
        <f>IFERROR(J20/E20-1,"")</f>
        <v/>
      </c>
      <c r="K23" s="272" t="str">
        <f>IFERROR(K20/F20-1,"")</f>
        <v/>
      </c>
      <c r="L23" s="272" t="str">
        <f>IFERROR(L20/G20-1,"")</f>
        <v/>
      </c>
      <c r="M23" s="273" t="str">
        <f>IFERROR(M20/H20-1,"")</f>
        <v/>
      </c>
      <c r="N23" s="272">
        <f>IFERROR(N20/I20-1,"")</f>
        <v>0.097616345062429</v>
      </c>
      <c r="O23" s="272">
        <f>IFERROR(O20/J20-1,"")</f>
        <v>0.0921198668146503</v>
      </c>
      <c r="P23" s="272">
        <f>IFERROR(P20/K20-1,"")</f>
        <v>0.0753646677471638</v>
      </c>
      <c r="Q23" s="272">
        <f>IFERROR(Q20/L20-1,"")</f>
        <v>0.0570824524312896</v>
      </c>
      <c r="R23" s="273">
        <f>IFERROR(R20/M20-1,"")</f>
        <v>0.0797576981322565</v>
      </c>
      <c r="S23" s="272">
        <f>IFERROR(S20/N20-1,"")</f>
        <v>0.0620475698035161</v>
      </c>
      <c r="T23" s="272">
        <f>IFERROR(T20/O20-1,"")</f>
        <v>0.0609756097560976</v>
      </c>
      <c r="U23" s="272">
        <f>IFERROR(U20/P20-1,"")</f>
        <v>0.13715146948003</v>
      </c>
      <c r="V23" s="272">
        <f>IFERROR(V20/Q20-1,"")</f>
        <v>0.0820000000000001</v>
      </c>
      <c r="W23" s="273">
        <f>IFERROR(W20/R20-1,"")</f>
        <v>0.0897615708274895</v>
      </c>
      <c r="X23" s="272">
        <f>IFERROR(X20/S20-1,"")</f>
        <v>0.0817916260954235</v>
      </c>
      <c r="Y23" s="272">
        <f>IFERROR(Y20/T20-1,"")</f>
        <v>0.0756704980842913</v>
      </c>
      <c r="Z23" s="272">
        <f>IFERROR(Z20/U20-1,"")</f>
        <v>0.00198807157057646</v>
      </c>
      <c r="AA23" s="272">
        <f>IFERROR(AA20/V20-1,"")</f>
        <v>0.0776340110905731</v>
      </c>
      <c r="AB23" s="273">
        <f>IFERROR(AB20/W20-1,"")</f>
        <v>0.0536250536250535</v>
      </c>
      <c r="AC23" s="272">
        <f>IFERROR(AC20/X20-1,"")</f>
        <v>0.0738073807380739</v>
      </c>
      <c r="AD23" s="272">
        <f>IFERROR(AD20/Y20-1,"")</f>
        <v>0.104185218165628</v>
      </c>
      <c r="AE23" s="272">
        <f>IFERROR(AE20/Z20-1,"")</f>
        <v>0.14021164021164</v>
      </c>
      <c r="AF23" s="272">
        <f>IFERROR(AF20/AA20-1,"")</f>
        <v>0.139794168096055</v>
      </c>
      <c r="AG23" s="273">
        <f>IFERROR(AG20/AB20-1,"")</f>
        <v>0.11685667752443</v>
      </c>
      <c r="AH23" s="273">
        <f>IFERROR(AH20/AC20-1,"")</f>
        <v>0.135792120704107</v>
      </c>
      <c r="AI23" s="273">
        <f>IFERROR(AI20/AD20-1,"")</f>
        <v>0.107258064516129</v>
      </c>
    </row>
    <row r="24">
      <c r="C24" s="268" t="inlineStr">
        <is>
          <t xml:space="preserve">   % associação na receita</t>
        </is>
      </c>
      <c r="D24" s="272" t="str">
        <f>IFERROR(D20/D21,"")</f>
        <v/>
      </c>
      <c r="E24" s="272" t="str">
        <f>IFERROR(E20/E21,"")</f>
        <v/>
      </c>
      <c r="F24" s="272" t="str">
        <f>IFERROR(F20/F21,"")</f>
        <v/>
      </c>
      <c r="G24" s="272" t="str">
        <f>IFERROR(G20/G21,"")</f>
        <v/>
      </c>
      <c r="H24" s="273" t="str">
        <f>IFERROR(H20/H21,"")</f>
        <v/>
      </c>
      <c r="I24" s="272">
        <f>IFERROR(I20/I21,"")</f>
        <v>0.0196787955951663</v>
      </c>
      <c r="J24" s="272">
        <f>IFERROR(J20/J21,"")</f>
        <v>0.0198997283388917</v>
      </c>
      <c r="K24" s="272">
        <f>IFERROR(K20/K21,"")</f>
        <v>0.0196888711607499</v>
      </c>
      <c r="L24" s="272">
        <f>IFERROR(L20/L21,"")</f>
        <v>0.0187836308401009</v>
      </c>
      <c r="M24" s="273">
        <f>IFERROR(M20/M21,"")</f>
        <v>0.0195091686198814</v>
      </c>
      <c r="N24" s="272">
        <f>IFERROR(N20/N21,"")</f>
        <v>0.0186305487053021</v>
      </c>
      <c r="O24" s="272">
        <f>IFERROR(O20/O21,"")</f>
        <v>0.0187086470454027</v>
      </c>
      <c r="P24" s="272">
        <f>IFERROR(P20/P21,"")</f>
        <v>0.0184072907852575</v>
      </c>
      <c r="Q24" s="272">
        <f>IFERROR(Q20/Q21,"")</f>
        <v>0.0183698587357863</v>
      </c>
      <c r="R24" s="273">
        <f>IFERROR(R20/R21,"")</f>
        <v>0.0185172360060252</v>
      </c>
      <c r="S24" s="272">
        <f>IFERROR(S20/S21,"")</f>
        <v>0.0185828538341838</v>
      </c>
      <c r="T24" s="272">
        <f>IFERROR(T20/T21,"")</f>
        <v>0.0194601849090367</v>
      </c>
      <c r="U24" s="272">
        <f>IFERROR(U20/U21,"")</f>
        <v>0.0191160262987877</v>
      </c>
      <c r="V24" s="272">
        <f>IFERROR(V20/V21,"")</f>
        <v>0.0187200470596377</v>
      </c>
      <c r="W24" s="273">
        <f>IFERROR(W20/W21,"")</f>
        <v>0.0189780665331444</v>
      </c>
      <c r="X24" s="272">
        <f>IFERROR(X20/X21,"")</f>
        <v>0.0190103008110605</v>
      </c>
      <c r="Y24" s="272">
        <f>IFERROR(Y20/Y21,"")</f>
        <v>0.0191916602580535</v>
      </c>
      <c r="Z24" s="272">
        <f>IFERROR(Z20/Z21,"")</f>
        <v>0.0189718559042373</v>
      </c>
      <c r="AA24" s="272">
        <f>IFERROR(AA20/AA21,"")</f>
        <v>0.0187607600843108</v>
      </c>
      <c r="AB24" s="273">
        <f>IFERROR(AB20/AB21,"")</f>
        <v>0.0189795405807461</v>
      </c>
      <c r="AC24" s="272">
        <f>IFERROR(AC20/AC21,"")</f>
        <v>0.0187216546615822</v>
      </c>
      <c r="AD24" s="272">
        <f>IFERROR(AD20/AD21,"")</f>
        <v>0.019618701052132</v>
      </c>
      <c r="AE24" s="272">
        <f>IFERROR(AE20/AE21,"")</f>
        <v>0.0200102140303635</v>
      </c>
      <c r="AF24" s="272">
        <f>IFERROR(AF20/AF21,"")</f>
        <v>0.0197453459521298</v>
      </c>
      <c r="AG24" s="273">
        <f>IFERROR(AG20/AG21,"")</f>
        <v>0.0195655352703903</v>
      </c>
      <c r="AH24" s="273">
        <f>IFERROR(AH20/AH21,"")</f>
        <v>0.0194692299955458</v>
      </c>
      <c r="AI24" s="273">
        <f>IFERROR(AI20/AI21,"")</f>
        <v>0.0194677215818056</v>
      </c>
    </row>
    <row r="25"/>
    <row r="26">
      <c r="C26" s="267" t="inlineStr">
        <is>
          <t>Segmentos geográficos (USD milhões)</t>
        </is>
      </c>
      <c r="D26" s="267">
        <f>D7</f>
        <v>0</v>
      </c>
      <c r="E26" s="267">
        <f>E7</f>
        <v>0</v>
      </c>
      <c r="F26" s="267">
        <f>F7</f>
        <v>0</v>
      </c>
      <c r="G26" s="267">
        <f>G7</f>
        <v>0</v>
      </c>
      <c r="H26" s="267">
        <f>H7</f>
        <v>2020</v>
      </c>
      <c r="I26" s="267" t="str">
        <f>I7</f>
        <v>1Q21</v>
      </c>
      <c r="J26" s="267" t="str">
        <f>J7</f>
        <v>2Q21</v>
      </c>
      <c r="K26" s="267" t="str">
        <f>K7</f>
        <v>3Q21</v>
      </c>
      <c r="L26" s="267" t="str">
        <f>L7</f>
        <v>4Q21</v>
      </c>
      <c r="M26" s="267">
        <f>M7</f>
        <v>2021</v>
      </c>
      <c r="N26" s="267" t="str">
        <f>N7</f>
        <v>1Q22</v>
      </c>
      <c r="O26" s="267" t="str">
        <f>O7</f>
        <v>2Q22</v>
      </c>
      <c r="P26" s="267" t="str">
        <f>P7</f>
        <v>3Q22</v>
      </c>
      <c r="Q26" s="267" t="str">
        <f>Q7</f>
        <v>4Q22</v>
      </c>
      <c r="R26" s="267">
        <f>R7</f>
        <v>2022</v>
      </c>
      <c r="S26" s="267" t="str">
        <f>S7</f>
        <v>1Q23</v>
      </c>
      <c r="T26" s="267" t="str">
        <f>T7</f>
        <v>2Q23</v>
      </c>
      <c r="U26" s="267" t="str">
        <f>U7</f>
        <v>3Q23</v>
      </c>
      <c r="V26" s="267" t="str">
        <f>V7</f>
        <v>4Q23</v>
      </c>
      <c r="W26" s="267">
        <f>W7</f>
        <v>2023</v>
      </c>
      <c r="X26" s="267" t="str">
        <f>X7</f>
        <v>1Q24</v>
      </c>
      <c r="Y26" s="267" t="str">
        <f>Y7</f>
        <v>2Q24</v>
      </c>
      <c r="Z26" s="267" t="str">
        <f>Z7</f>
        <v>3Q24</v>
      </c>
      <c r="AA26" s="267" t="str">
        <f>AA7</f>
        <v>4Q24</v>
      </c>
      <c r="AB26" s="267">
        <f>AB7</f>
        <v>2024</v>
      </c>
      <c r="AC26" s="267" t="str">
        <f>AC7</f>
        <v>1Q25</v>
      </c>
      <c r="AD26" s="267" t="str">
        <f>AD7</f>
        <v>2Q25</v>
      </c>
      <c r="AE26" s="267" t="str">
        <f>AE7</f>
        <v>3Q25</v>
      </c>
      <c r="AF26" s="267" t="str">
        <f>AF7</f>
        <v>4Q25</v>
      </c>
      <c r="AG26" s="267">
        <f>AG7</f>
        <v>2025</v>
      </c>
      <c r="AH26" s="267" t="str">
        <f>AH7</f>
        <v>1Q26</v>
      </c>
      <c r="AI26" s="267" t="str">
        <f>AI7</f>
        <v>2Q26</v>
      </c>
    </row>
    <row r="27">
      <c r="C27" s="268" t="inlineStr">
        <is>
          <t xml:space="preserve">   Receita EUA</t>
        </is>
      </c>
      <c r="D27" s="269" t="str">
        <f>IFERROR(INDEX('Inputs (2)'!$D$55:$AL$55,MATCH(D$7&amp;"",'Inputs (2)'!$D$2:$AL$2,0)),"")</f>
        <v/>
      </c>
      <c r="E27" s="269" t="str">
        <f>IFERROR(INDEX('Inputs (2)'!$D$55:$AL$55,MATCH(E$7&amp;"",'Inputs (2)'!$D$2:$AL$2,0)),"")</f>
        <v/>
      </c>
      <c r="F27" s="269" t="str">
        <f>IFERROR(INDEX('Inputs (2)'!$D$55:$AL$55,MATCH(F$7&amp;"",'Inputs (2)'!$D$2:$AL$2,0)),"")</f>
        <v/>
      </c>
      <c r="G27" s="269" t="str">
        <f>IFERROR(INDEX('Inputs (2)'!$D$55:$AL$55,MATCH(G$7&amp;"",'Inputs (2)'!$D$2:$AL$2,0)),"")</f>
        <v/>
      </c>
      <c r="H27" s="270" t="str">
        <f>IF(COUNT(D27:G27)=4,SUM(D27:G27),"")</f>
        <v/>
      </c>
      <c r="I27" s="269">
        <f>IFERROR(INDEX('Inputs (2)'!$D$55:$AL$55,MATCH(I$7&amp;"",'Inputs (2)'!$D$2:$AL$2,0)),"")</f>
        <v>32127</v>
      </c>
      <c r="J27" s="269">
        <f>IFERROR(INDEX('Inputs (2)'!$D$55:$AL$55,MATCH(J$7&amp;"",'Inputs (2)'!$D$2:$AL$2,0)),"")</f>
        <v>32759</v>
      </c>
      <c r="K27" s="269">
        <f>IFERROR(INDEX('Inputs (2)'!$D$55:$AL$55,MATCH(K$7&amp;"",'Inputs (2)'!$D$2:$AL$2,0)),"")</f>
        <v>45220</v>
      </c>
      <c r="L27" s="269">
        <f>IFERROR(INDEX('Inputs (2)'!$D$55:$AL$55,MATCH(L$7&amp;"",'Inputs (2)'!$D$2:$AL$2,0)),"")</f>
        <v>36317</v>
      </c>
      <c r="M27" s="270">
        <f>IF(COUNT(I27:L27)=4,SUM(I27:L27),"")</f>
        <v>146423</v>
      </c>
      <c r="N27" s="269">
        <f>IFERROR(INDEX('Inputs (2)'!$D$55:$AL$55,MATCH(N$7&amp;"",'Inputs (2)'!$D$2:$AL$2,0)),"")</f>
        <v>37567</v>
      </c>
      <c r="O27" s="269">
        <f>IFERROR(INDEX('Inputs (2)'!$D$55:$AL$55,MATCH(O$7&amp;"",'Inputs (2)'!$D$2:$AL$2,0)),"")</f>
        <v>38534</v>
      </c>
      <c r="P27" s="269">
        <f>IFERROR(INDEX('Inputs (2)'!$D$55:$AL$55,MATCH(P$7&amp;"",'Inputs (2)'!$D$2:$AL$2,0)),"")</f>
        <v>52876</v>
      </c>
      <c r="Q27" s="269">
        <f>IFERROR(INDEX('Inputs (2)'!$D$55:$AL$55,MATCH(Q$7&amp;"",'Inputs (2)'!$D$2:$AL$2,0)),"")</f>
        <v>40145</v>
      </c>
      <c r="R27" s="270">
        <f>IF(COUNT(N27:Q27)=4,SUM(N27:Q27),"")</f>
        <v>169122</v>
      </c>
      <c r="S27" s="269">
        <f>IFERROR(INDEX('Inputs (2)'!$D$55:$AL$55,MATCH(S$7&amp;"",'Inputs (2)'!$D$2:$AL$2,0)),"")</f>
        <v>40145</v>
      </c>
      <c r="T27" s="269">
        <f>IFERROR(INDEX('Inputs (2)'!$D$55:$AL$55,MATCH(T$7&amp;"",'Inputs (2)'!$D$2:$AL$2,0)),"")</f>
        <v>39049</v>
      </c>
      <c r="U27" s="269">
        <f>IFERROR(INDEX('Inputs (2)'!$D$55:$AL$55,MATCH(U$7&amp;"",'Inputs (2)'!$D$2:$AL$2,0)),"")</f>
        <v>57291</v>
      </c>
      <c r="V27" s="269">
        <f>IFERROR(INDEX('Inputs (2)'!$D$55:$AL$55,MATCH(V$7&amp;"",'Inputs (2)'!$D$2:$AL$2,0)),"")</f>
        <v>41833</v>
      </c>
      <c r="W27" s="270">
        <f>IF(COUNT(S27:V27)=4,SUM(S27:V27),"")</f>
        <v>178318</v>
      </c>
      <c r="X27" s="269">
        <f>IFERROR(INDEX('Inputs (2)'!$D$55:$AL$55,MATCH(X$7&amp;"",'Inputs (2)'!$D$2:$AL$2,0)),"")</f>
        <v>41952</v>
      </c>
      <c r="Y27" s="269">
        <f>IFERROR(INDEX('Inputs (2)'!$D$55:$AL$55,MATCH(Y$7&amp;"",'Inputs (2)'!$D$2:$AL$2,0)),"")</f>
        <v>42449</v>
      </c>
      <c r="Z27" s="269">
        <f>IFERROR(INDEX('Inputs (2)'!$D$55:$AL$55,MATCH(Z$7&amp;"",'Inputs (2)'!$D$2:$AL$2,0)),"")</f>
        <v>57909</v>
      </c>
      <c r="AA27" s="269">
        <f>IFERROR(INDEX('Inputs (2)'!$D$55:$AL$55,MATCH(AA$7&amp;"",'Inputs (2)'!$D$2:$AL$2,0)),"")</f>
        <v>45088</v>
      </c>
      <c r="AB27" s="270">
        <f>IF(COUNT(X27:AA27)=4,SUM(X27:AA27),"")</f>
        <v>187398</v>
      </c>
      <c r="AC27" s="269">
        <f>IFERROR(INDEX('Inputs (2)'!$D$55:$AL$55,MATCH(AC$7&amp;"",'Inputs (2)'!$D$2:$AL$2,0)),"")</f>
        <v>46413</v>
      </c>
      <c r="AD27" s="269">
        <f>IFERROR(INDEX('Inputs (2)'!$D$55:$AL$55,MATCH(AD$7&amp;"",'Inputs (2)'!$D$2:$AL$2,0)),"")</f>
        <v>46318</v>
      </c>
      <c r="AE27" s="269">
        <f>IFERROR(INDEX('Inputs (2)'!$D$55:$AL$55,MATCH(AE$7&amp;"",'Inputs (2)'!$D$2:$AL$2,0)),"")</f>
        <v>62227</v>
      </c>
      <c r="AF27" s="269">
        <f>IFERROR(INDEX('Inputs (2)'!$D$55:$AL$55,MATCH(AF$7&amp;"",'Inputs (2)'!$D$2:$AL$2,0)),"")</f>
        <v>48569</v>
      </c>
      <c r="AG27" s="270">
        <f>IF(COUNT(AC27:AF27)=4,SUM(AC27:AF27),"")</f>
        <v>203527</v>
      </c>
      <c r="AH27" s="270">
        <f>IFERROR(INDEX('Inputs (2)'!$D$55:$AL$55,MATCH(AH$7&amp;"",'Inputs (2)'!$D$2:$AL$2,0)),"")</f>
        <v>49931</v>
      </c>
      <c r="AI27" s="270">
        <f>IFERROR(INDEX('Inputs (2)'!$D$55:$AL$55,MATCH(AI$7&amp;"",'Inputs (2)'!$D$2:$AL$2,0)),"")</f>
        <v>51434</v>
      </c>
    </row>
    <row r="28">
      <c r="C28" s="268" t="inlineStr">
        <is>
          <t xml:space="preserve">   Receita Canadá</t>
        </is>
      </c>
      <c r="D28" s="269" t="str">
        <f>IFERROR(INDEX('Inputs (2)'!$D$56:$AL$56,MATCH(D$7&amp;"",'Inputs (2)'!$D$2:$AL$2,0)),"")</f>
        <v/>
      </c>
      <c r="E28" s="269" t="str">
        <f>IFERROR(INDEX('Inputs (2)'!$D$56:$AL$56,MATCH(E$7&amp;"",'Inputs (2)'!$D$2:$AL$2,0)),"")</f>
        <v/>
      </c>
      <c r="F28" s="269" t="str">
        <f>IFERROR(INDEX('Inputs (2)'!$D$56:$AL$56,MATCH(F$7&amp;"",'Inputs (2)'!$D$2:$AL$2,0)),"")</f>
        <v/>
      </c>
      <c r="G28" s="269" t="str">
        <f>IFERROR(INDEX('Inputs (2)'!$D$56:$AL$56,MATCH(G$7&amp;"",'Inputs (2)'!$D$2:$AL$2,0)),"")</f>
        <v/>
      </c>
      <c r="H28" s="270" t="str">
        <f>IF(COUNT(D28:G28)=4,SUM(D28:G28),"")</f>
        <v/>
      </c>
      <c r="I28" s="269">
        <f>IFERROR(INDEX('Inputs (2)'!$D$56:$AL$56,MATCH(I$7&amp;"",'Inputs (2)'!$D$2:$AL$2,0)),"")</f>
        <v>6001</v>
      </c>
      <c r="J28" s="269">
        <f>IFERROR(INDEX('Inputs (2)'!$D$56:$AL$56,MATCH(J$7&amp;"",'Inputs (2)'!$D$2:$AL$2,0)),"")</f>
        <v>6299</v>
      </c>
      <c r="K28" s="269">
        <f>IFERROR(INDEX('Inputs (2)'!$D$56:$AL$56,MATCH(K$7&amp;"",'Inputs (2)'!$D$2:$AL$2,0)),"")</f>
        <v>8987</v>
      </c>
      <c r="L28" s="269">
        <f>IFERROR(INDEX('Inputs (2)'!$D$56:$AL$56,MATCH(L$7&amp;"",'Inputs (2)'!$D$2:$AL$2,0)),"")</f>
        <v>7121</v>
      </c>
      <c r="M28" s="270">
        <f>IF(COUNT(I28:L28)=4,SUM(I28:L28),"")</f>
        <v>28408</v>
      </c>
      <c r="N28" s="269">
        <f>IFERROR(INDEX('Inputs (2)'!$D$56:$AL$56,MATCH(N$7&amp;"",'Inputs (2)'!$D$2:$AL$2,0)),"")</f>
        <v>7017</v>
      </c>
      <c r="O28" s="269">
        <f>IFERROR(INDEX('Inputs (2)'!$D$56:$AL$56,MATCH(O$7&amp;"",'Inputs (2)'!$D$2:$AL$2,0)),"")</f>
        <v>7268</v>
      </c>
      <c r="P28" s="269">
        <f>IFERROR(INDEX('Inputs (2)'!$D$56:$AL$56,MATCH(P$7&amp;"",'Inputs (2)'!$D$2:$AL$2,0)),"")</f>
        <v>10269</v>
      </c>
      <c r="Q28" s="269">
        <f>IFERROR(INDEX('Inputs (2)'!$D$56:$AL$56,MATCH(Q$7&amp;"",'Inputs (2)'!$D$2:$AL$2,0)),"")</f>
        <v>7356</v>
      </c>
      <c r="R28" s="270">
        <f>IF(COUNT(N28:Q28)=4,SUM(N28:Q28),"")</f>
        <v>31910</v>
      </c>
      <c r="S28" s="269">
        <f>IFERROR(INDEX('Inputs (2)'!$D$56:$AL$56,MATCH(S$7&amp;"",'Inputs (2)'!$D$2:$AL$2,0)),"")</f>
        <v>7299</v>
      </c>
      <c r="T28" s="269">
        <f>IFERROR(INDEX('Inputs (2)'!$D$56:$AL$56,MATCH(T$7&amp;"",'Inputs (2)'!$D$2:$AL$2,0)),"")</f>
        <v>7268</v>
      </c>
      <c r="U28" s="269">
        <f>IFERROR(INDEX('Inputs (2)'!$D$56:$AL$56,MATCH(U$7&amp;"",'Inputs (2)'!$D$2:$AL$2,0)),"")</f>
        <v>11133</v>
      </c>
      <c r="V28" s="269">
        <f>IFERROR(INDEX('Inputs (2)'!$D$56:$AL$56,MATCH(V$7&amp;"",'Inputs (2)'!$D$2:$AL$2,0)),"")</f>
        <v>7901</v>
      </c>
      <c r="W28" s="270">
        <f>IF(COUNT(S28:V28)=4,SUM(S28:V28),"")</f>
        <v>33601</v>
      </c>
      <c r="X28" s="269">
        <f>IFERROR(INDEX('Inputs (2)'!$D$56:$AL$56,MATCH(X$7&amp;"",'Inputs (2)'!$D$2:$AL$2,0)),"")</f>
        <v>7874</v>
      </c>
      <c r="Y28" s="269">
        <f>IFERROR(INDEX('Inputs (2)'!$D$56:$AL$56,MATCH(Y$7&amp;"",'Inputs (2)'!$D$2:$AL$2,0)),"")</f>
        <v>8014</v>
      </c>
      <c r="Z28" s="269">
        <f>IFERROR(INDEX('Inputs (2)'!$D$56:$AL$56,MATCH(Z$7&amp;"",'Inputs (2)'!$D$2:$AL$2,0)),"")</f>
        <v>11085</v>
      </c>
      <c r="AA28" s="269">
        <f>IFERROR(INDEX('Inputs (2)'!$D$56:$AL$56,MATCH(AA$7&amp;"",'Inputs (2)'!$D$2:$AL$2,0)),"")</f>
        <v>8404</v>
      </c>
      <c r="AB28" s="270">
        <f>IF(COUNT(X28:AA28)=4,SUM(X28:AA28),"")</f>
        <v>35377</v>
      </c>
      <c r="AC28" s="269">
        <f>IFERROR(INDEX('Inputs (2)'!$D$56:$AL$56,MATCH(AC$7&amp;"",'Inputs (2)'!$D$2:$AL$2,0)),"")</f>
        <v>8296</v>
      </c>
      <c r="AD28" s="269">
        <f>IFERROR(INDEX('Inputs (2)'!$D$56:$AL$56,MATCH(AD$7&amp;"",'Inputs (2)'!$D$2:$AL$2,0)),"")</f>
        <v>8321</v>
      </c>
      <c r="AE28" s="269">
        <f>IFERROR(INDEX('Inputs (2)'!$D$56:$AL$56,MATCH(AE$7&amp;"",'Inputs (2)'!$D$2:$AL$2,0)),"")</f>
        <v>11902</v>
      </c>
      <c r="AF28" s="269">
        <f>IFERROR(INDEX('Inputs (2)'!$D$56:$AL$56,MATCH(AF$7&amp;"",'Inputs (2)'!$D$2:$AL$2,0)),"")</f>
        <v>9073</v>
      </c>
      <c r="AG28" s="270">
        <f>IF(COUNT(AC28:AF28)=4,SUM(AC28:AF28),"")</f>
        <v>37592</v>
      </c>
      <c r="AH28" s="270">
        <f>IFERROR(INDEX('Inputs (2)'!$D$56:$AL$56,MATCH(AH$7&amp;"",'Inputs (2)'!$D$2:$AL$2,0)),"")</f>
        <v>9291</v>
      </c>
      <c r="AI28" s="270">
        <f>IFERROR(INDEX('Inputs (2)'!$D$56:$AL$56,MATCH(AI$7&amp;"",'Inputs (2)'!$D$2:$AL$2,0)),"")</f>
        <v>9410</v>
      </c>
    </row>
    <row r="29">
      <c r="C29" s="268" t="inlineStr">
        <is>
          <t xml:space="preserve">   Receita outros internacionais</t>
        </is>
      </c>
      <c r="D29" s="269" t="str">
        <f>IFERROR(INDEX('Inputs (2)'!$D$57:$AL$57,MATCH(D$7&amp;"",'Inputs (2)'!$D$2:$AL$2,0)),"")</f>
        <v/>
      </c>
      <c r="E29" s="269" t="str">
        <f>IFERROR(INDEX('Inputs (2)'!$D$57:$AL$57,MATCH(E$7&amp;"",'Inputs (2)'!$D$2:$AL$2,0)),"")</f>
        <v/>
      </c>
      <c r="F29" s="269" t="str">
        <f>IFERROR(INDEX('Inputs (2)'!$D$57:$AL$57,MATCH(F$7&amp;"",'Inputs (2)'!$D$2:$AL$2,0)),"")</f>
        <v/>
      </c>
      <c r="G29" s="269" t="str">
        <f>IFERROR(INDEX('Inputs (2)'!$D$57:$AL$57,MATCH(G$7&amp;"",'Inputs (2)'!$D$2:$AL$2,0)),"")</f>
        <v/>
      </c>
      <c r="H29" s="270" t="str">
        <f>IF(COUNT(D29:G29)=4,SUM(D29:G29),"")</f>
        <v/>
      </c>
      <c r="I29" s="269">
        <f>IFERROR(INDEX('Inputs (2)'!$D$57:$AL$57,MATCH(I$7&amp;"",'Inputs (2)'!$D$2:$AL$2,0)),"")</f>
        <v>6641</v>
      </c>
      <c r="J29" s="269">
        <f>IFERROR(INDEX('Inputs (2)'!$D$57:$AL$57,MATCH(J$7&amp;"",'Inputs (2)'!$D$2:$AL$2,0)),"")</f>
        <v>6219</v>
      </c>
      <c r="K29" s="269">
        <f>IFERROR(INDEX('Inputs (2)'!$D$57:$AL$57,MATCH(K$7&amp;"",'Inputs (2)'!$D$2:$AL$2,0)),"")</f>
        <v>8468</v>
      </c>
      <c r="L29" s="269">
        <f>IFERROR(INDEX('Inputs (2)'!$D$57:$AL$57,MATCH(L$7&amp;"",'Inputs (2)'!$D$2:$AL$2,0)),"")</f>
        <v>6925</v>
      </c>
      <c r="M29" s="270">
        <f>IF(COUNT(I29:L29)=4,SUM(I29:L29),"")</f>
        <v>28253</v>
      </c>
      <c r="N29" s="269">
        <f>IFERROR(INDEX('Inputs (2)'!$D$57:$AL$57,MATCH(N$7&amp;"",'Inputs (2)'!$D$2:$AL$2,0)),"")</f>
        <v>7320</v>
      </c>
      <c r="O29" s="269">
        <f>IFERROR(INDEX('Inputs (2)'!$D$57:$AL$57,MATCH(O$7&amp;"",'Inputs (2)'!$D$2:$AL$2,0)),"")</f>
        <v>6794</v>
      </c>
      <c r="P29" s="269">
        <f>IFERROR(INDEX('Inputs (2)'!$D$57:$AL$57,MATCH(P$7&amp;"",'Inputs (2)'!$D$2:$AL$2,0)),"")</f>
        <v>8946</v>
      </c>
      <c r="Q29" s="269">
        <f>IFERROR(INDEX('Inputs (2)'!$D$57:$AL$57,MATCH(Q$7&amp;"",'Inputs (2)'!$D$2:$AL$2,0)),"")</f>
        <v>6936</v>
      </c>
      <c r="R29" s="270">
        <f>IF(COUNT(N29:Q29)=4,SUM(N29:Q29),"")</f>
        <v>29996</v>
      </c>
      <c r="S29" s="269">
        <f>IFERROR(INDEX('Inputs (2)'!$D$57:$AL$57,MATCH(S$7&amp;"",'Inputs (2)'!$D$2:$AL$2,0)),"")</f>
        <v>7822</v>
      </c>
      <c r="T29" s="269">
        <f>IFERROR(INDEX('Inputs (2)'!$D$57:$AL$57,MATCH(T$7&amp;"",'Inputs (2)'!$D$2:$AL$2,0)),"")</f>
        <v>7331</v>
      </c>
      <c r="U29" s="269">
        <f>IFERROR(INDEX('Inputs (2)'!$D$57:$AL$57,MATCH(U$7&amp;"",'Inputs (2)'!$D$2:$AL$2,0)),"")</f>
        <v>10515</v>
      </c>
      <c r="V29" s="269">
        <f>IFERROR(INDEX('Inputs (2)'!$D$57:$AL$57,MATCH(V$7&amp;"",'Inputs (2)'!$D$2:$AL$2,0)),"")</f>
        <v>8065</v>
      </c>
      <c r="W29" s="270">
        <f>IF(COUNT(S29:V29)=4,SUM(S29:V29),"")</f>
        <v>33733</v>
      </c>
      <c r="X29" s="269">
        <f>IFERROR(INDEX('Inputs (2)'!$D$57:$AL$57,MATCH(X$7&amp;"",'Inputs (2)'!$D$2:$AL$2,0)),"")</f>
        <v>8616</v>
      </c>
      <c r="Y29" s="269">
        <f>IFERROR(INDEX('Inputs (2)'!$D$57:$AL$57,MATCH(Y$7&amp;"",'Inputs (2)'!$D$2:$AL$2,0)),"")</f>
        <v>8052</v>
      </c>
      <c r="Z29" s="269">
        <f>IFERROR(INDEX('Inputs (2)'!$D$57:$AL$57,MATCH(Z$7&amp;"",'Inputs (2)'!$D$2:$AL$2,0)),"")</f>
        <v>10703</v>
      </c>
      <c r="AA29" s="269">
        <f>IFERROR(INDEX('Inputs (2)'!$D$57:$AL$57,MATCH(AA$7&amp;"",'Inputs (2)'!$D$2:$AL$2,0)),"")</f>
        <v>8659</v>
      </c>
      <c r="AB29" s="270">
        <f>IF(COUNT(X29:AA29)=4,SUM(X29:AA29),"")</f>
        <v>36030</v>
      </c>
      <c r="AC29" s="269">
        <f>IFERROR(INDEX('Inputs (2)'!$D$57:$AL$57,MATCH(AC$7&amp;"",'Inputs (2)'!$D$2:$AL$2,0)),"")</f>
        <v>9014</v>
      </c>
      <c r="AD29" s="269">
        <f>IFERROR(INDEX('Inputs (2)'!$D$57:$AL$57,MATCH(AD$7&amp;"",'Inputs (2)'!$D$2:$AL$2,0)),"")</f>
        <v>8566</v>
      </c>
      <c r="AE29" s="269">
        <f>IFERROR(INDEX('Inputs (2)'!$D$57:$AL$57,MATCH(AE$7&amp;"",'Inputs (2)'!$D$2:$AL$2,0)),"")</f>
        <v>12027</v>
      </c>
      <c r="AF29" s="269">
        <f>IFERROR(INDEX('Inputs (2)'!$D$57:$AL$57,MATCH(AF$7&amp;"",'Inputs (2)'!$D$2:$AL$2,0)),"")</f>
        <v>9665</v>
      </c>
      <c r="AG29" s="270">
        <f>IF(COUNT(AC29:AF29)=4,SUM(AC29:AF29),"")</f>
        <v>39272</v>
      </c>
      <c r="AH29" s="270">
        <f>IFERROR(INDEX('Inputs (2)'!$D$57:$AL$57,MATCH(AH$7&amp;"",'Inputs (2)'!$D$2:$AL$2,0)),"")</f>
        <v>10375</v>
      </c>
      <c r="AI29" s="270">
        <f>IFERROR(INDEX('Inputs (2)'!$D$57:$AL$57,MATCH(AI$7&amp;"",'Inputs (2)'!$D$2:$AL$2,0)),"")</f>
        <v>9683</v>
      </c>
    </row>
    <row r="30">
      <c r="C30" s="268" t="inlineStr">
        <is>
          <t xml:space="preserve">   Lucro operacional EUA</t>
        </is>
      </c>
      <c r="D30" s="269" t="str">
        <f>IFERROR(INDEX('Inputs (2)'!$D$58:$AL$58,MATCH(D$7&amp;"",'Inputs (2)'!$D$2:$AL$2,0)),"")</f>
        <v/>
      </c>
      <c r="E30" s="269" t="str">
        <f>IFERROR(INDEX('Inputs (2)'!$D$58:$AL$58,MATCH(E$7&amp;"",'Inputs (2)'!$D$2:$AL$2,0)),"")</f>
        <v/>
      </c>
      <c r="F30" s="269" t="str">
        <f>IFERROR(INDEX('Inputs (2)'!$D$58:$AL$58,MATCH(F$7&amp;"",'Inputs (2)'!$D$2:$AL$2,0)),"")</f>
        <v/>
      </c>
      <c r="G30" s="269" t="str">
        <f>IFERROR(INDEX('Inputs (2)'!$D$58:$AL$58,MATCH(G$7&amp;"",'Inputs (2)'!$D$2:$AL$2,0)),"")</f>
        <v/>
      </c>
      <c r="H30" s="270" t="str">
        <f>IF(COUNT(D30:G30)=4,SUM(D30:G30),"")</f>
        <v/>
      </c>
      <c r="I30" s="269">
        <f>IFERROR(INDEX('Inputs (2)'!$D$58:$AL$58,MATCH(I$7&amp;"",'Inputs (2)'!$D$2:$AL$2,0)),"")</f>
        <v>826</v>
      </c>
      <c r="J30" s="269">
        <f>IFERROR(INDEX('Inputs (2)'!$D$58:$AL$58,MATCH(J$7&amp;"",'Inputs (2)'!$D$2:$AL$2,0)),"")</f>
        <v>1135</v>
      </c>
      <c r="K30" s="269">
        <f>IFERROR(INDEX('Inputs (2)'!$D$58:$AL$58,MATCH(K$7&amp;"",'Inputs (2)'!$D$2:$AL$2,0)),"")</f>
        <v>1525</v>
      </c>
      <c r="L30" s="269">
        <f>IFERROR(INDEX('Inputs (2)'!$D$58:$AL$58,MATCH(L$7&amp;"",'Inputs (2)'!$D$2:$AL$2,0)),"")</f>
        <v>1118</v>
      </c>
      <c r="M30" s="270">
        <f>IF(COUNT(I30:L30)=4,SUM(I30:L30),"")</f>
        <v>4604</v>
      </c>
      <c r="N30" s="269">
        <f>IFERROR(INDEX('Inputs (2)'!$D$58:$AL$58,MATCH(N$7&amp;"",'Inputs (2)'!$D$2:$AL$2,0)),"")</f>
        <v>1179</v>
      </c>
      <c r="O30" s="269">
        <f>IFERROR(INDEX('Inputs (2)'!$D$58:$AL$58,MATCH(O$7&amp;"",'Inputs (2)'!$D$2:$AL$2,0)),"")</f>
        <v>1205</v>
      </c>
      <c r="P30" s="269">
        <f>IFERROR(INDEX('Inputs (2)'!$D$58:$AL$58,MATCH(P$7&amp;"",'Inputs (2)'!$D$2:$AL$2,0)),"")</f>
        <v>1766</v>
      </c>
      <c r="Q30" s="269">
        <f>IFERROR(INDEX('Inputs (2)'!$D$58:$AL$58,MATCH(Q$7&amp;"",'Inputs (2)'!$D$2:$AL$2,0)),"")</f>
        <v>1236</v>
      </c>
      <c r="R30" s="270">
        <f>IF(COUNT(N30:Q30)=4,SUM(N30:Q30),"")</f>
        <v>5386</v>
      </c>
      <c r="S30" s="269">
        <f>IFERROR(INDEX('Inputs (2)'!$D$58:$AL$58,MATCH(S$7&amp;"",'Inputs (2)'!$D$2:$AL$2,0)),"")</f>
        <v>1295</v>
      </c>
      <c r="T30" s="269">
        <f>IFERROR(INDEX('Inputs (2)'!$D$58:$AL$58,MATCH(T$7&amp;"",'Inputs (2)'!$D$2:$AL$2,0)),"")</f>
        <v>1027</v>
      </c>
      <c r="U30" s="269">
        <f>IFERROR(INDEX('Inputs (2)'!$D$58:$AL$58,MATCH(U$7&amp;"",'Inputs (2)'!$D$2:$AL$2,0)),"")</f>
        <v>1834</v>
      </c>
      <c r="V30" s="269">
        <f>IFERROR(INDEX('Inputs (2)'!$D$58:$AL$58,MATCH(V$7&amp;"",'Inputs (2)'!$D$2:$AL$2,0)),"")</f>
        <v>1358</v>
      </c>
      <c r="W30" s="270">
        <f>IF(COUNT(S30:V30)=4,SUM(S30:V30),"")</f>
        <v>5514</v>
      </c>
      <c r="X30" s="269">
        <f>IFERROR(INDEX('Inputs (2)'!$D$58:$AL$58,MATCH(X$7&amp;"",'Inputs (2)'!$D$2:$AL$2,0)),"")</f>
        <v>1294</v>
      </c>
      <c r="Y30" s="269">
        <f>IFERROR(INDEX('Inputs (2)'!$D$58:$AL$58,MATCH(Y$7&amp;"",'Inputs (2)'!$D$2:$AL$2,0)),"")</f>
        <v>1476</v>
      </c>
      <c r="Z30" s="269">
        <f>IFERROR(INDEX('Inputs (2)'!$D$58:$AL$58,MATCH(Z$7&amp;"",'Inputs (2)'!$D$2:$AL$2,0)),"")</f>
        <v>2089</v>
      </c>
      <c r="AA30" s="269">
        <f>IFERROR(INDEX('Inputs (2)'!$D$58:$AL$58,MATCH(AA$7&amp;"",'Inputs (2)'!$D$2:$AL$2,0)),"")</f>
        <v>1498</v>
      </c>
      <c r="AB30" s="270">
        <f>IF(COUNT(X30:AA30)=4,SUM(X30:AA30),"")</f>
        <v>6357</v>
      </c>
      <c r="AC30" s="269">
        <f>IFERROR(INDEX('Inputs (2)'!$D$58:$AL$58,MATCH(AC$7&amp;"",'Inputs (2)'!$D$2:$AL$2,0)),"")</f>
        <v>1515</v>
      </c>
      <c r="AD30" s="269">
        <f>IFERROR(INDEX('Inputs (2)'!$D$58:$AL$58,MATCH(AD$7&amp;"",'Inputs (2)'!$D$2:$AL$2,0)),"")</f>
        <v>1713</v>
      </c>
      <c r="AE30" s="269">
        <f>IFERROR(INDEX('Inputs (2)'!$D$58:$AL$58,MATCH(AE$7&amp;"",'Inputs (2)'!$D$2:$AL$2,0)),"")</f>
        <v>2152</v>
      </c>
      <c r="AF30" s="269">
        <f>IFERROR(INDEX('Inputs (2)'!$D$58:$AL$58,MATCH(AF$7&amp;"",'Inputs (2)'!$D$2:$AL$2,0)),"")</f>
        <v>1616</v>
      </c>
      <c r="AG30" s="270">
        <f>IF(COUNT(AC30:AF30)=4,SUM(AC30:AF30),"")</f>
        <v>6996</v>
      </c>
      <c r="AH30" s="270">
        <f>IFERROR(INDEX('Inputs (2)'!$D$58:$AL$58,MATCH(AH$7&amp;"",'Inputs (2)'!$D$2:$AL$2,0)),"")</f>
        <v>1635</v>
      </c>
      <c r="AI30" s="270">
        <f>IFERROR(INDEX('Inputs (2)'!$D$58:$AL$58,MATCH(AI$7&amp;"",'Inputs (2)'!$D$2:$AL$2,0)),"")</f>
        <v>1873</v>
      </c>
    </row>
    <row r="31">
      <c r="C31" s="268" t="inlineStr">
        <is>
          <t xml:space="preserve">   Lucro operacional Canadá</t>
        </is>
      </c>
      <c r="D31" s="269" t="str">
        <f>IFERROR(INDEX('Inputs (2)'!$D$59:$AL$59,MATCH(D$7&amp;"",'Inputs (2)'!$D$2:$AL$2,0)),"")</f>
        <v/>
      </c>
      <c r="E31" s="269" t="str">
        <f>IFERROR(INDEX('Inputs (2)'!$D$59:$AL$59,MATCH(E$7&amp;"",'Inputs (2)'!$D$2:$AL$2,0)),"")</f>
        <v/>
      </c>
      <c r="F31" s="269" t="str">
        <f>IFERROR(INDEX('Inputs (2)'!$D$59:$AL$59,MATCH(F$7&amp;"",'Inputs (2)'!$D$2:$AL$2,0)),"")</f>
        <v/>
      </c>
      <c r="G31" s="269" t="str">
        <f>IFERROR(INDEX('Inputs (2)'!$D$59:$AL$59,MATCH(G$7&amp;"",'Inputs (2)'!$D$2:$AL$2,0)),"")</f>
        <v/>
      </c>
      <c r="H31" s="270" t="str">
        <f>IF(COUNT(D31:G31)=4,SUM(D31:G31),"")</f>
        <v/>
      </c>
      <c r="I31" s="269">
        <f>IFERROR(INDEX('Inputs (2)'!$D$59:$AL$59,MATCH(I$7&amp;"",'Inputs (2)'!$D$2:$AL$2,0)),"")</f>
        <v>226</v>
      </c>
      <c r="J31" s="269">
        <f>IFERROR(INDEX('Inputs (2)'!$D$59:$AL$59,MATCH(J$7&amp;"",'Inputs (2)'!$D$2:$AL$2,0)),"")</f>
        <v>260</v>
      </c>
      <c r="K31" s="269">
        <f>IFERROR(INDEX('Inputs (2)'!$D$59:$AL$59,MATCH(K$7&amp;"",'Inputs (2)'!$D$2:$AL$2,0)),"")</f>
        <v>376</v>
      </c>
      <c r="L31" s="269">
        <f>IFERROR(INDEX('Inputs (2)'!$D$59:$AL$59,MATCH(L$7&amp;"",'Inputs (2)'!$D$2:$AL$2,0)),"")</f>
        <v>293</v>
      </c>
      <c r="M31" s="270">
        <f>IF(COUNT(I31:L31)=4,SUM(I31:L31),"")</f>
        <v>1155</v>
      </c>
      <c r="N31" s="269">
        <f>IFERROR(INDEX('Inputs (2)'!$D$59:$AL$59,MATCH(N$7&amp;"",'Inputs (2)'!$D$2:$AL$2,0)),"")</f>
        <v>301</v>
      </c>
      <c r="O31" s="269">
        <f>IFERROR(INDEX('Inputs (2)'!$D$59:$AL$59,MATCH(O$7&amp;"",'Inputs (2)'!$D$2:$AL$2,0)),"")</f>
        <v>324</v>
      </c>
      <c r="P31" s="269">
        <f>IFERROR(INDEX('Inputs (2)'!$D$59:$AL$59,MATCH(P$7&amp;"",'Inputs (2)'!$D$2:$AL$2,0)),"")</f>
        <v>428</v>
      </c>
      <c r="Q31" s="269">
        <f>IFERROR(INDEX('Inputs (2)'!$D$59:$AL$59,MATCH(Q$7&amp;"",'Inputs (2)'!$D$2:$AL$2,0)),"")</f>
        <v>288</v>
      </c>
      <c r="R31" s="270">
        <f>IF(COUNT(N31:Q31)=4,SUM(N31:Q31),"")</f>
        <v>1341</v>
      </c>
      <c r="S31" s="269">
        <f>IFERROR(INDEX('Inputs (2)'!$D$59:$AL$59,MATCH(S$7&amp;"",'Inputs (2)'!$D$2:$AL$2,0)),"")</f>
        <v>284</v>
      </c>
      <c r="T31" s="269">
        <f>IFERROR(INDEX('Inputs (2)'!$D$59:$AL$59,MATCH(T$7&amp;"",'Inputs (2)'!$D$2:$AL$2,0)),"")</f>
        <v>327</v>
      </c>
      <c r="U31" s="269">
        <f>IFERROR(INDEX('Inputs (2)'!$D$59:$AL$59,MATCH(U$7&amp;"",'Inputs (2)'!$D$2:$AL$2,0)),"")</f>
        <v>549</v>
      </c>
      <c r="V31" s="269">
        <f>IFERROR(INDEX('Inputs (2)'!$D$59:$AL$59,MATCH(V$7&amp;"",'Inputs (2)'!$D$2:$AL$2,0)),"")</f>
        <v>325</v>
      </c>
      <c r="W31" s="270">
        <f>IF(COUNT(S31:V31)=4,SUM(S31:V31),"")</f>
        <v>1485</v>
      </c>
      <c r="X31" s="269">
        <f>IFERROR(INDEX('Inputs (2)'!$D$59:$AL$59,MATCH(X$7&amp;"",'Inputs (2)'!$D$2:$AL$2,0)),"")</f>
        <v>390</v>
      </c>
      <c r="Y31" s="269">
        <f>IFERROR(INDEX('Inputs (2)'!$D$59:$AL$59,MATCH(Y$7&amp;"",'Inputs (2)'!$D$2:$AL$2,0)),"")</f>
        <v>394</v>
      </c>
      <c r="Z31" s="269">
        <f>IFERROR(INDEX('Inputs (2)'!$D$59:$AL$59,MATCH(Z$7&amp;"",'Inputs (2)'!$D$2:$AL$2,0)),"")</f>
        <v>539</v>
      </c>
      <c r="AA31" s="269">
        <f>IFERROR(INDEX('Inputs (2)'!$D$59:$AL$59,MATCH(AA$7&amp;"",'Inputs (2)'!$D$2:$AL$2,0)),"")</f>
        <v>362</v>
      </c>
      <c r="AB31" s="270">
        <f>IF(COUNT(X31:AA31)=4,SUM(X31:AA31),"")</f>
        <v>1685</v>
      </c>
      <c r="AC31" s="269">
        <f>IFERROR(INDEX('Inputs (2)'!$D$59:$AL$59,MATCH(AC$7&amp;"",'Inputs (2)'!$D$2:$AL$2,0)),"")</f>
        <v>403</v>
      </c>
      <c r="AD31" s="269">
        <f>IFERROR(INDEX('Inputs (2)'!$D$59:$AL$59,MATCH(AD$7&amp;"",'Inputs (2)'!$D$2:$AL$2,0)),"")</f>
        <v>450</v>
      </c>
      <c r="AE31" s="269">
        <f>IFERROR(INDEX('Inputs (2)'!$D$59:$AL$59,MATCH(AE$7&amp;"",'Inputs (2)'!$D$2:$AL$2,0)),"")</f>
        <v>634</v>
      </c>
      <c r="AF31" s="269">
        <f>IFERROR(INDEX('Inputs (2)'!$D$59:$AL$59,MATCH(AF$7&amp;"",'Inputs (2)'!$D$2:$AL$2,0)),"")</f>
        <v>434</v>
      </c>
      <c r="AG31" s="270">
        <f>IF(COUNT(AC31:AF31)=4,SUM(AC31:AF31),"")</f>
        <v>1921</v>
      </c>
      <c r="AH31" s="270">
        <f>IFERROR(INDEX('Inputs (2)'!$D$59:$AL$59,MATCH(AH$7&amp;"",'Inputs (2)'!$D$2:$AL$2,0)),"")</f>
        <v>476</v>
      </c>
      <c r="AI31" s="270">
        <f>IFERROR(INDEX('Inputs (2)'!$D$59:$AL$59,MATCH(AI$7&amp;"",'Inputs (2)'!$D$2:$AL$2,0)),"")</f>
        <v>506</v>
      </c>
    </row>
    <row r="32">
      <c r="C32" s="268" t="inlineStr">
        <is>
          <t xml:space="preserve">   Lucro operacional outros internacionais</t>
        </is>
      </c>
      <c r="D32" s="269" t="str">
        <f>IFERROR(INDEX('Inputs (2)'!$D$60:$AL$60,MATCH(D$7&amp;"",'Inputs (2)'!$D$2:$AL$2,0)),"")</f>
        <v/>
      </c>
      <c r="E32" s="269" t="str">
        <f>IFERROR(INDEX('Inputs (2)'!$D$60:$AL$60,MATCH(E$7&amp;"",'Inputs (2)'!$D$2:$AL$2,0)),"")</f>
        <v/>
      </c>
      <c r="F32" s="269" t="str">
        <f>IFERROR(INDEX('Inputs (2)'!$D$60:$AL$60,MATCH(F$7&amp;"",'Inputs (2)'!$D$2:$AL$2,0)),"")</f>
        <v/>
      </c>
      <c r="G32" s="269" t="str">
        <f>IFERROR(INDEX('Inputs (2)'!$D$60:$AL$60,MATCH(G$7&amp;"",'Inputs (2)'!$D$2:$AL$2,0)),"")</f>
        <v/>
      </c>
      <c r="H32" s="270" t="str">
        <f>IF(COUNT(D32:G32)=4,SUM(D32:G32),"")</f>
        <v/>
      </c>
      <c r="I32" s="269">
        <f>IFERROR(INDEX('Inputs (2)'!$D$60:$AL$60,MATCH(I$7&amp;"",'Inputs (2)'!$D$2:$AL$2,0)),"")</f>
        <v>288</v>
      </c>
      <c r="J32" s="269">
        <f>IFERROR(INDEX('Inputs (2)'!$D$60:$AL$60,MATCH(J$7&amp;"",'Inputs (2)'!$D$2:$AL$2,0)),"")</f>
        <v>268</v>
      </c>
      <c r="K32" s="269">
        <f>IFERROR(INDEX('Inputs (2)'!$D$60:$AL$60,MATCH(K$7&amp;"",'Inputs (2)'!$D$2:$AL$2,0)),"")</f>
        <v>343</v>
      </c>
      <c r="L32" s="269">
        <f>IFERROR(INDEX('Inputs (2)'!$D$60:$AL$60,MATCH(L$7&amp;"",'Inputs (2)'!$D$2:$AL$2,0)),"")</f>
        <v>282</v>
      </c>
      <c r="M32" s="270">
        <f>IF(COUNT(I32:L32)=4,SUM(I32:L32),"")</f>
        <v>1181</v>
      </c>
      <c r="N32" s="269">
        <f>IFERROR(INDEX('Inputs (2)'!$D$60:$AL$60,MATCH(N$7&amp;"",'Inputs (2)'!$D$2:$AL$2,0)),"")</f>
        <v>332</v>
      </c>
      <c r="O32" s="269">
        <f>IFERROR(INDEX('Inputs (2)'!$D$60:$AL$60,MATCH(O$7&amp;"",'Inputs (2)'!$D$2:$AL$2,0)),"")</f>
        <v>262</v>
      </c>
      <c r="P32" s="269">
        <f>IFERROR(INDEX('Inputs (2)'!$D$60:$AL$60,MATCH(P$7&amp;"",'Inputs (2)'!$D$2:$AL$2,0)),"")</f>
        <v>303</v>
      </c>
      <c r="Q32" s="269">
        <f>IFERROR(INDEX('Inputs (2)'!$D$60:$AL$60,MATCH(Q$7&amp;"",'Inputs (2)'!$D$2:$AL$2,0)),"")</f>
        <v>227</v>
      </c>
      <c r="R32" s="270">
        <f>IF(COUNT(N32:Q32)=4,SUM(N32:Q32),"")</f>
        <v>1124</v>
      </c>
      <c r="S32" s="269">
        <f>IFERROR(INDEX('Inputs (2)'!$D$60:$AL$60,MATCH(S$7&amp;"",'Inputs (2)'!$D$2:$AL$2,0)),"")</f>
        <v>324</v>
      </c>
      <c r="T32" s="269">
        <f>IFERROR(INDEX('Inputs (2)'!$D$60:$AL$60,MATCH(T$7&amp;"",'Inputs (2)'!$D$2:$AL$2,0)),"")</f>
        <v>325</v>
      </c>
      <c r="U32" s="269">
        <f>IFERROR(INDEX('Inputs (2)'!$D$60:$AL$60,MATCH(U$7&amp;"",'Inputs (2)'!$D$2:$AL$2,0)),"")</f>
        <v>398</v>
      </c>
      <c r="V32" s="269">
        <f>IFERROR(INDEX('Inputs (2)'!$D$60:$AL$60,MATCH(V$7&amp;"",'Inputs (2)'!$D$2:$AL$2,0)),"")</f>
        <v>301</v>
      </c>
      <c r="W32" s="270">
        <f>IF(COUNT(S32:V32)=4,SUM(S32:V32),"")</f>
        <v>1348</v>
      </c>
      <c r="X32" s="269">
        <f>IFERROR(INDEX('Inputs (2)'!$D$60:$AL$60,MATCH(X$7&amp;"",'Inputs (2)'!$D$2:$AL$2,0)),"")</f>
        <v>378</v>
      </c>
      <c r="Y32" s="269">
        <f>IFERROR(INDEX('Inputs (2)'!$D$60:$AL$60,MATCH(Y$7&amp;"",'Inputs (2)'!$D$2:$AL$2,0)),"")</f>
        <v>327</v>
      </c>
      <c r="Z32" s="269">
        <f>IFERROR(INDEX('Inputs (2)'!$D$60:$AL$60,MATCH(Z$7&amp;"",'Inputs (2)'!$D$2:$AL$2,0)),"")</f>
        <v>414</v>
      </c>
      <c r="AA32" s="269">
        <f>IFERROR(INDEX('Inputs (2)'!$D$60:$AL$60,MATCH(AA$7&amp;"",'Inputs (2)'!$D$2:$AL$2,0)),"")</f>
        <v>336</v>
      </c>
      <c r="AB32" s="270">
        <f>IF(COUNT(X32:AA32)=4,SUM(X32:AA32),"")</f>
        <v>1455</v>
      </c>
      <c r="AC32" s="269">
        <f>IFERROR(INDEX('Inputs (2)'!$D$60:$AL$60,MATCH(AC$7&amp;"",'Inputs (2)'!$D$2:$AL$2,0)),"")</f>
        <v>398</v>
      </c>
      <c r="AD32" s="269">
        <f>IFERROR(INDEX('Inputs (2)'!$D$60:$AL$60,MATCH(AD$7&amp;"",'Inputs (2)'!$D$2:$AL$2,0)),"")</f>
        <v>367</v>
      </c>
      <c r="AE32" s="269">
        <f>IFERROR(INDEX('Inputs (2)'!$D$60:$AL$60,MATCH(AE$7&amp;"",'Inputs (2)'!$D$2:$AL$2,0)),"")</f>
        <v>555</v>
      </c>
      <c r="AF32" s="269">
        <f>IFERROR(INDEX('Inputs (2)'!$D$60:$AL$60,MATCH(AF$7&amp;"",'Inputs (2)'!$D$2:$AL$2,0)),"")</f>
        <v>413</v>
      </c>
      <c r="AG32" s="270">
        <f>IF(COUNT(AC32:AF32)=4,SUM(AC32:AF32),"")</f>
        <v>1733</v>
      </c>
      <c r="AH32" s="270">
        <f>IFERROR(INDEX('Inputs (2)'!$D$60:$AL$60,MATCH(AH$7&amp;"",'Inputs (2)'!$D$2:$AL$2,0)),"")</f>
        <v>495</v>
      </c>
      <c r="AI32" s="270">
        <f>IFERROR(INDEX('Inputs (2)'!$D$60:$AL$60,MATCH(AI$7&amp;"",'Inputs (2)'!$D$2:$AL$2,0)),"")</f>
        <v>436</v>
      </c>
    </row>
    <row r="33">
      <c r="C33" s="268" t="inlineStr">
        <is>
          <t xml:space="preserve">   Margem operacional EUA</t>
        </is>
      </c>
      <c r="D33" s="272" t="str">
        <f>IFERROR(D30/D27,"")</f>
        <v/>
      </c>
      <c r="E33" s="272" t="str">
        <f>IFERROR(E30/E27,"")</f>
        <v/>
      </c>
      <c r="F33" s="272" t="str">
        <f>IFERROR(F30/F27,"")</f>
        <v/>
      </c>
      <c r="G33" s="272" t="str">
        <f>IFERROR(G30/G27,"")</f>
        <v/>
      </c>
      <c r="H33" s="273" t="str">
        <f>IFERROR(H30/H27,"")</f>
        <v/>
      </c>
      <c r="I33" s="272">
        <f>IFERROR(I30/I27,"")</f>
        <v>0.0257104616055032</v>
      </c>
      <c r="J33" s="272">
        <f>IFERROR(J30/J27,"")</f>
        <v>0.0346469672456424</v>
      </c>
      <c r="K33" s="272">
        <f>IFERROR(K30/K27,"")</f>
        <v>0.0337240159221583</v>
      </c>
      <c r="L33" s="272">
        <f>IFERROR(L30/L27,"")</f>
        <v>0.0307844810970069</v>
      </c>
      <c r="M33" s="273">
        <f>IFERROR(M30/M27,"")</f>
        <v>0.0314431475929328</v>
      </c>
      <c r="N33" s="272">
        <f>IFERROR(N30/N27,"")</f>
        <v>0.0313839273830756</v>
      </c>
      <c r="O33" s="272">
        <f>IFERROR(O30/O27,"")</f>
        <v>0.0312710852753413</v>
      </c>
      <c r="P33" s="272">
        <f>IFERROR(P30/P27,"")</f>
        <v>0.0333988955291626</v>
      </c>
      <c r="Q33" s="272">
        <f>IFERROR(Q30/Q27,"")</f>
        <v>0.0307883920787147</v>
      </c>
      <c r="R33" s="273">
        <f>IFERROR(R30/R27,"")</f>
        <v>0.0318468324641383</v>
      </c>
      <c r="S33" s="272">
        <f>IFERROR(S30/S27,"")</f>
        <v>0.032258064516129</v>
      </c>
      <c r="T33" s="272">
        <f>IFERROR(T30/T27,"")</f>
        <v>0.0263002893800097</v>
      </c>
      <c r="U33" s="272">
        <f>IFERROR(U30/U27,"")</f>
        <v>0.0320120088670123</v>
      </c>
      <c r="V33" s="272">
        <f>IFERROR(V30/V27,"")</f>
        <v>0.0324624100590443</v>
      </c>
      <c r="W33" s="273">
        <f>IFERROR(W30/W27,"")</f>
        <v>0.0309222849067396</v>
      </c>
      <c r="X33" s="272">
        <f>IFERROR(X30/X27,"")</f>
        <v>0.0308447749809306</v>
      </c>
      <c r="Y33" s="272">
        <f>IFERROR(Y30/Y27,"")</f>
        <v>0.034771137129261</v>
      </c>
      <c r="Z33" s="272">
        <f>IFERROR(Z30/Z27,"")</f>
        <v>0.0360738399903297</v>
      </c>
      <c r="AA33" s="272">
        <f>IFERROR(AA30/AA27,"")</f>
        <v>0.0332239176721079</v>
      </c>
      <c r="AB33" s="273">
        <f>IFERROR(AB30/AB27,"")</f>
        <v>0.0339224538148753</v>
      </c>
      <c r="AC33" s="272">
        <f>IFERROR(AC30/AC27,"")</f>
        <v>0.0326417167603904</v>
      </c>
      <c r="AD33" s="272">
        <f>IFERROR(AD30/AD27,"")</f>
        <v>0.0369834621529427</v>
      </c>
      <c r="AE33" s="272">
        <f>IFERROR(AE30/AE27,"")</f>
        <v>0.0345830588008421</v>
      </c>
      <c r="AF33" s="272">
        <f>IFERROR(AF30/AF27,"")</f>
        <v>0.0332722518478865</v>
      </c>
      <c r="AG33" s="273">
        <f>IFERROR(AG30/AG27,"")</f>
        <v>0.0343738177244297</v>
      </c>
      <c r="AH33" s="273">
        <f>IFERROR(AH30/AH27,"")</f>
        <v>0.0327451883599367</v>
      </c>
      <c r="AI33" s="273">
        <f>IFERROR(AI30/AI27,"")</f>
        <v>0.0364156005754948</v>
      </c>
    </row>
    <row r="34"/>
    <row r="35"/>
    <row r="36"/>
    <row r="37" hidden="1" outlineLevel="1" customFormat="1" s="43">
      <c r="A37" s="36" t="n"/>
      <c r="B37" s="37" t="n"/>
      <c r="C37" s="45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39" t="n"/>
      <c r="X37" s="39" t="n"/>
      <c r="Y37" s="39" t="n"/>
      <c r="Z37" s="39" t="n"/>
      <c r="AA37" s="39" t="n"/>
      <c r="AB37" s="39" t="n"/>
      <c r="AC37" s="39" t="n"/>
      <c r="AD37" s="39" t="n"/>
      <c r="AE37" s="39" t="n"/>
      <c r="AF37" s="39" t="n"/>
      <c r="AG37" s="39" t="n"/>
      <c r="AH37" s="39" t="n"/>
      <c r="AI37" s="39" t="n"/>
      <c r="AJ37" s="39" t="n"/>
      <c r="AK37" s="39" t="n"/>
      <c r="AL37" s="39" t="n"/>
      <c r="AM37" s="39" t="n"/>
      <c r="AN37" s="39" t="n"/>
      <c r="AO37" s="39" t="n"/>
      <c r="AP37" s="39" t="n"/>
      <c r="AQ37" s="39" t="n"/>
      <c r="AR37" s="39" t="n"/>
      <c r="AS37" s="39" t="n"/>
      <c r="AT37" s="39" t="n"/>
      <c r="AU37" s="39" t="n"/>
      <c r="AV37" s="39" t="n"/>
      <c r="AW37" s="39" t="n"/>
      <c r="AX37" s="39" t="n"/>
      <c r="AY37" s="39" t="n"/>
      <c r="AZ37" s="39" t="n"/>
      <c r="BA37" s="39" t="n"/>
      <c r="BB37" s="39" t="n"/>
      <c r="BC37" s="39" t="n"/>
      <c r="BD37" s="39" t="n"/>
      <c r="BE37" s="39" t="n"/>
      <c r="BF37" s="39" t="n"/>
      <c r="BG37" s="39" t="n"/>
      <c r="BH37" s="39" t="n"/>
      <c r="BI37" s="39" t="n"/>
      <c r="BJ37" s="39" t="n"/>
      <c r="BK37" s="39" t="n"/>
      <c r="BL37" s="39" t="n"/>
      <c r="BM37" s="39" t="n"/>
      <c r="BN37" s="39" t="n"/>
      <c r="BO37" s="39" t="n"/>
      <c r="BP37" s="39" t="n"/>
      <c r="BQ37" s="39" t="n"/>
      <c r="BR37" s="39" t="n"/>
      <c r="BS37" s="39" t="n"/>
      <c r="BT37" s="39" t="n"/>
      <c r="BU37" s="39" t="n"/>
      <c r="BV37" s="39" t="n"/>
      <c r="BW37" s="39" t="n"/>
      <c r="BX37" s="39" t="n"/>
      <c r="BY37" s="39" t="n"/>
      <c r="BZ37" s="39" t="n"/>
      <c r="CA37" s="39" t="n"/>
      <c r="CB37" s="39" t="n"/>
      <c r="CC37" s="39" t="n"/>
      <c r="CD37" s="39" t="n"/>
      <c r="CE37" s="39" t="n"/>
      <c r="CF37" s="39" t="n"/>
      <c r="CG37" s="39" t="n"/>
      <c r="CH37" s="39" t="n"/>
      <c r="CI37" s="39" t="n"/>
      <c r="CJ37" s="39" t="n"/>
      <c r="CK37" s="39" t="n"/>
      <c r="CL37" s="39" t="n"/>
      <c r="CM37" s="39" t="n"/>
      <c r="CN37" s="39" t="n"/>
      <c r="CO37" s="39" t="n"/>
      <c r="CP37" s="39" t="n"/>
      <c r="CQ37" s="39" t="n"/>
      <c r="CR37" s="39" t="n"/>
      <c r="CS37" s="39" t="n"/>
      <c r="CT37" s="39" t="n"/>
      <c r="CU37" s="39" t="n"/>
      <c r="CV37" s="39" t="n"/>
      <c r="CW37" s="39" t="n"/>
      <c r="CX37" s="39" t="n"/>
      <c r="CY37" s="39" t="n"/>
    </row>
    <row r="38" hidden="1" outlineLevel="1" customFormat="1" s="43">
      <c r="A38" s="36" t="n"/>
      <c r="B38" s="37" t="n"/>
      <c r="C38" s="45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W38" s="39" t="n"/>
      <c r="X38" s="39" t="n"/>
      <c r="Y38" s="39" t="n"/>
      <c r="Z38" s="39" t="n"/>
      <c r="AA38" s="39" t="n"/>
      <c r="AB38" s="39" t="n"/>
      <c r="AC38" s="39" t="n"/>
      <c r="AD38" s="39" t="n"/>
      <c r="AE38" s="39" t="n"/>
      <c r="AF38" s="39" t="n"/>
      <c r="AG38" s="39" t="n"/>
      <c r="AH38" s="39" t="n"/>
      <c r="AI38" s="39" t="n"/>
      <c r="AJ38" s="39" t="n"/>
      <c r="AK38" s="39" t="n"/>
      <c r="AL38" s="39" t="n"/>
      <c r="AM38" s="39" t="n"/>
      <c r="AN38" s="39" t="n"/>
      <c r="AO38" s="39" t="n"/>
      <c r="AP38" s="39" t="n"/>
      <c r="AQ38" s="39" t="n"/>
      <c r="AR38" s="39" t="n"/>
      <c r="AS38" s="39" t="n"/>
      <c r="AT38" s="39" t="n"/>
      <c r="AU38" s="39" t="n"/>
      <c r="AV38" s="39" t="n"/>
      <c r="AW38" s="39" t="n"/>
      <c r="AX38" s="39" t="n"/>
      <c r="AY38" s="39" t="n"/>
      <c r="AZ38" s="39" t="n"/>
      <c r="BA38" s="39" t="n"/>
      <c r="BB38" s="39" t="n"/>
      <c r="BC38" s="39" t="n"/>
      <c r="BD38" s="39" t="n"/>
      <c r="BE38" s="39" t="n"/>
      <c r="BF38" s="39" t="n"/>
      <c r="BG38" s="39" t="n"/>
      <c r="BH38" s="39" t="n"/>
      <c r="BI38" s="39" t="n"/>
      <c r="BJ38" s="39" t="n"/>
      <c r="BK38" s="39" t="n"/>
      <c r="BL38" s="39" t="n"/>
      <c r="BM38" s="39" t="n"/>
      <c r="BN38" s="39" t="n"/>
      <c r="BO38" s="39" t="n"/>
      <c r="BP38" s="39" t="n"/>
      <c r="BQ38" s="39" t="n"/>
      <c r="BR38" s="39" t="n"/>
      <c r="BS38" s="39" t="n"/>
      <c r="BT38" s="39" t="n"/>
      <c r="BU38" s="39" t="n"/>
      <c r="BV38" s="39" t="n"/>
      <c r="BW38" s="39" t="n"/>
      <c r="BX38" s="39" t="n"/>
      <c r="BY38" s="39" t="n"/>
      <c r="BZ38" s="39" t="n"/>
      <c r="CA38" s="39" t="n"/>
      <c r="CB38" s="39" t="n"/>
      <c r="CC38" s="39" t="n"/>
      <c r="CD38" s="39" t="n"/>
      <c r="CE38" s="39" t="n"/>
      <c r="CF38" s="39" t="n"/>
      <c r="CG38" s="39" t="n"/>
      <c r="CH38" s="39" t="n"/>
      <c r="CI38" s="39" t="n"/>
      <c r="CJ38" s="39" t="n"/>
      <c r="CK38" s="39" t="n"/>
      <c r="CL38" s="39" t="n"/>
      <c r="CM38" s="39" t="n"/>
      <c r="CN38" s="39" t="n"/>
      <c r="CO38" s="39" t="n"/>
      <c r="CP38" s="39" t="n"/>
      <c r="CQ38" s="39" t="n"/>
      <c r="CR38" s="39" t="n"/>
      <c r="CS38" s="39" t="n"/>
      <c r="CT38" s="39" t="n"/>
      <c r="CU38" s="39" t="n"/>
      <c r="CV38" s="39" t="n"/>
      <c r="CW38" s="39" t="n"/>
      <c r="CX38" s="39" t="n"/>
      <c r="CY38" s="39" t="n"/>
    </row>
    <row r="39" collapsed="1">
      <c r="C39" s="13" t="inlineStr">
        <is>
          <t>COGS (cash)</t>
        </is>
      </c>
      <c r="D39" s="46" t="n"/>
      <c r="E39" s="46" t="n"/>
      <c r="F39" s="46" t="n"/>
      <c r="G39" s="46" t="n"/>
      <c r="H39" s="12" t="n"/>
      <c r="I39" s="46">
        <f>'Inputs (2)'!D5</f>
        <v>-39078</v>
      </c>
      <c r="J39" s="46">
        <f>'Inputs (2)'!E5</f>
        <v>-39415</v>
      </c>
      <c r="K39" s="46">
        <f>'Inputs (2)'!F5</f>
        <v>-54733</v>
      </c>
      <c r="L39" s="46">
        <f>'Inputs (2)'!G5</f>
        <v>-43952</v>
      </c>
      <c r="M39" s="12">
        <f>'Inputs (2)'!H5</f>
        <v>-177178</v>
      </c>
      <c r="N39" s="46">
        <f>'Inputs (2)'!I5</f>
        <v>-45517</v>
      </c>
      <c r="O39" s="46">
        <f>'Inputs (2)'!J5</f>
        <v>-46355</v>
      </c>
      <c r="P39" s="46">
        <f>'Inputs (2)'!K5</f>
        <v>-63558</v>
      </c>
      <c r="Q39" s="46">
        <f>'Inputs (2)'!L5</f>
        <v>-47769</v>
      </c>
      <c r="R39" s="12">
        <f>'Inputs (2)'!M5</f>
        <v>-203199</v>
      </c>
      <c r="S39" s="46">
        <f>'Inputs (2)'!N5</f>
        <v>-48423</v>
      </c>
      <c r="T39" s="46">
        <f>'Inputs (2)'!O5</f>
        <v>-47175</v>
      </c>
      <c r="U39" s="46">
        <f>'Inputs (2)'!P5</f>
        <v>-69219</v>
      </c>
      <c r="V39" s="46">
        <f>'Inputs (2)'!Q5</f>
        <v>-50457</v>
      </c>
      <c r="W39" s="12">
        <f>'Inputs (2)'!R5</f>
        <v>-215274</v>
      </c>
      <c r="X39" s="46">
        <f>'Inputs (2)'!S5</f>
        <v>-51140</v>
      </c>
      <c r="Y39" s="46">
        <f>'Inputs (2)'!T5</f>
        <v>-51173</v>
      </c>
      <c r="Z39" s="46">
        <f>'Inputs (2)'!U5</f>
        <v>-69588</v>
      </c>
      <c r="AA39" s="46">
        <f>'Inputs (2)'!V5</f>
        <v>-54109</v>
      </c>
      <c r="AB39" s="12">
        <f>'Inputs (2)'!W5</f>
        <v>-226010</v>
      </c>
      <c r="AC39" s="46">
        <f>'Inputs (2)'!X5</f>
        <v>-55744</v>
      </c>
      <c r="AD39" s="46">
        <f>'Inputs (2)'!Y5</f>
        <v>-54996</v>
      </c>
      <c r="AE39" s="46">
        <f>'Inputs (2)'!Z5</f>
        <v>-75037</v>
      </c>
      <c r="AF39" s="46">
        <f>'Inputs (2)'!AA5</f>
        <v>-58510</v>
      </c>
      <c r="AG39" s="12">
        <f>'Inputs (2)'!AB5</f>
        <v>-244287</v>
      </c>
      <c r="AH39" s="12">
        <f>'Inputs (2)'!AC5</f>
        <v>-60719</v>
      </c>
      <c r="AI39" s="12">
        <f>'Inputs (2)'!AD5</f>
        <v>-61519</v>
      </c>
      <c r="AJ39" s="12">
        <f>-(1-AJ40)*AJ15</f>
        <v>-81887.9457793418</v>
      </c>
      <c r="AK39" s="12">
        <f>-(1-AK40)*AK15</f>
        <v>-63972.7002944677</v>
      </c>
      <c r="AL39" s="12">
        <f>SUM(AH39:AK39)</f>
        <v>-268098.646073809</v>
      </c>
      <c r="AM39" s="12">
        <f>-(1-AM40)*AM15</f>
        <v>-66149.2567250667</v>
      </c>
      <c r="AN39" s="12">
        <f>-(1-AN40)*AN15</f>
        <v>-67033.185755834</v>
      </c>
      <c r="AO39" s="12">
        <f>-(1-AO40)*AO15</f>
        <v>-89292.5631961465</v>
      </c>
      <c r="AP39" s="12">
        <f>-(1-AP40)*AP15</f>
        <v>-69757.3535336254</v>
      </c>
      <c r="AQ39" s="12">
        <f>SUM(AM39:AP39)</f>
        <v>-292232.359210673</v>
      </c>
      <c r="AR39" s="12">
        <f>-(1-AR40)*AR15</f>
        <v>-71799.9761357326</v>
      </c>
      <c r="AS39" s="12">
        <f>-(1-AS40)*AS15</f>
        <v>-72759.4137236492</v>
      </c>
      <c r="AT39" s="12">
        <f>-(1-AT40)*AT15</f>
        <v>-96920.2712772469</v>
      </c>
      <c r="AU39" s="12">
        <f>-(1-AU40)*AU15</f>
        <v>-75716.2902044855</v>
      </c>
      <c r="AV39" s="12">
        <f>SUM(AR39:AU39)</f>
        <v>-317195.951341114</v>
      </c>
      <c r="AW39" s="12">
        <f>-(1-AW40)*AW15</f>
        <v>-77574.4014652845</v>
      </c>
      <c r="AX39" s="12">
        <f>-(1-AX40)*AX15</f>
        <v>-78611.0006486216</v>
      </c>
      <c r="AY39" s="12">
        <f>-(1-AY40)*AY15</f>
        <v>-104714.965642498</v>
      </c>
      <c r="AZ39" s="12">
        <f>-(1-AZ40)*AZ15</f>
        <v>-81805.6803066487</v>
      </c>
      <c r="BA39" s="12">
        <f>SUM(AW39:AZ39)</f>
        <v>-342706.048063053</v>
      </c>
      <c r="BB39" s="12">
        <f>-(1-BB40)*BB15</f>
        <v>-83425.3558873589</v>
      </c>
      <c r="BC39" s="12">
        <f>-(1-BC40)*BC15</f>
        <v>-84540.1392972077</v>
      </c>
      <c r="BD39" s="12">
        <f>-(1-BD40)*BD15</f>
        <v>-112612.963947487</v>
      </c>
      <c r="BE39" s="12">
        <f>-(1-BE40)*BE15</f>
        <v>-87975.773764027</v>
      </c>
      <c r="BF39" s="12">
        <f>SUM(BB39:BE39)</f>
        <v>-368554.232896081</v>
      </c>
      <c r="BG39" s="12" t="n"/>
      <c r="BH39" s="12" t="n"/>
      <c r="BI39" s="12" t="n"/>
      <c r="BJ39" s="12" t="n"/>
      <c r="BK39" s="12" t="n"/>
      <c r="BL39" s="12" t="n"/>
      <c r="BM39" s="12" t="n"/>
      <c r="BN39" s="12" t="n"/>
      <c r="BO39" s="12" t="n"/>
      <c r="BP39" s="12" t="n"/>
      <c r="BQ39" s="12" t="n"/>
      <c r="BR39" s="12" t="n"/>
      <c r="BS39" s="12" t="n"/>
      <c r="BT39" s="12" t="n"/>
      <c r="BU39" s="12" t="n"/>
      <c r="BV39" s="12" t="n"/>
      <c r="BW39" s="12" t="n"/>
      <c r="BX39" s="12" t="n"/>
      <c r="BY39" s="12" t="n"/>
      <c r="BZ39" s="12" t="n"/>
      <c r="CA39" s="12" t="n"/>
      <c r="CB39" s="12" t="n"/>
      <c r="CC39" s="12" t="n"/>
      <c r="CD39" s="12" t="n"/>
      <c r="CE39" s="12" t="n"/>
      <c r="CF39" s="12" t="n"/>
      <c r="CG39" s="12" t="n"/>
      <c r="CH39" s="12" t="n"/>
      <c r="CI39" s="12" t="n"/>
      <c r="CJ39" s="12" t="n"/>
      <c r="CK39" s="12" t="n"/>
      <c r="CL39" s="12" t="n"/>
      <c r="CM39" s="12" t="n"/>
      <c r="CN39" s="12" t="n"/>
      <c r="CO39" s="12" t="n"/>
      <c r="CP39" s="12" t="n"/>
      <c r="CQ39" s="12" t="n"/>
      <c r="CR39" s="12" t="n"/>
      <c r="CS39" s="12" t="n"/>
      <c r="CT39" s="12" t="n"/>
      <c r="CU39" s="12" t="n"/>
      <c r="CV39" s="12" t="n"/>
      <c r="CW39" s="12" t="n"/>
      <c r="CX39" s="12" t="n"/>
      <c r="CY39" s="12" t="n"/>
    </row>
    <row r="40" hidden="1" outlineLevel="1" customFormat="1" s="3">
      <c r="C40" s="47" t="inlineStr">
        <is>
          <t>% Gross Margin</t>
        </is>
      </c>
      <c r="D40" s="48" t="n"/>
      <c r="E40" s="48" t="n"/>
      <c r="F40" s="48" t="n"/>
      <c r="G40" s="48" t="n"/>
      <c r="H40" s="48" t="n"/>
      <c r="I40" s="48">
        <f>IFERROR((I15+I39)/I$15,"")</f>
        <v>0.127119211954701</v>
      </c>
      <c r="J40" s="48">
        <f>IFERROR((J15+J39)/J$15,"")</f>
        <v>0.129469708682112</v>
      </c>
      <c r="K40" s="48">
        <f>IFERROR((K15+K39)/K$15,"")</f>
        <v>0.126717191862784</v>
      </c>
      <c r="L40" s="48">
        <f>IFERROR((L15+L39)/L$15,"")</f>
        <v>0.127295832257808</v>
      </c>
      <c r="M40" s="48">
        <f>IFERROR((M15+M39)/M$15,"")</f>
        <v>0.127562978865888</v>
      </c>
      <c r="N40" s="48">
        <f>IFERROR((N15+N39)/N$15,"")</f>
        <v>0.123054099876695</v>
      </c>
      <c r="O40" s="48">
        <f>IFERROR((O15+O39)/O$15,"")</f>
        <v>0.118659213628413</v>
      </c>
      <c r="P40" s="48">
        <f>IFERROR((P15+P39)/P$15,"")</f>
        <v>0.118364289578449</v>
      </c>
      <c r="Q40" s="48">
        <f>IFERROR((Q15+Q39)/Q$15,"")</f>
        <v>0.122490218050223</v>
      </c>
      <c r="R40" s="48">
        <f>IFERROR((R15+R39)/R$15,"")</f>
        <v>0.12045726059179</v>
      </c>
      <c r="S40" s="48">
        <f>IFERROR((S15+S39)/S$15,"")</f>
        <v>0.123819346433612</v>
      </c>
      <c r="T40" s="48">
        <f>IFERROR((T15+T39)/T$15,"")</f>
        <v>0.120656874440799</v>
      </c>
      <c r="U40" s="48">
        <f>IFERROR((U15+U39)/U$15,"")</f>
        <v>0.123133052103523</v>
      </c>
      <c r="V40" s="48">
        <f>IFERROR((V15+V39)/V$15,"")</f>
        <v>0.1270264191422</v>
      </c>
      <c r="W40" s="48">
        <f>IFERROR((W15+W39)/W$15,"")</f>
        <v>0.123662742416101</v>
      </c>
      <c r="X40" s="48">
        <f>IFERROR((X15+X39)/X$15,"")</f>
        <v>0.124944389309059</v>
      </c>
      <c r="Y40" s="48">
        <f>IFERROR((Y15+Y39)/Y$15,"")</f>
        <v>0.12547210117064</v>
      </c>
      <c r="Z40" s="48">
        <f>IFERROR((Z15+Z39)/Z$15,"")</f>
        <v>0.126842917550221</v>
      </c>
      <c r="AA40" s="48">
        <f>IFERROR((AA15+AA39)/AA$15,"")</f>
        <v>0.12939453910637</v>
      </c>
      <c r="AB40" s="48">
        <f>IFERROR((AB15+AB39)/AB$15,"")</f>
        <v>0.126717026332567</v>
      </c>
      <c r="AC40" s="48">
        <f>IFERROR((AC15+AC39)/AC$15,"")</f>
        <v>0.125213816047581</v>
      </c>
      <c r="AD40" s="48">
        <f>IFERROR((AD15+AD39)/AD$15,"")</f>
        <v>0.129878965271735</v>
      </c>
      <c r="AE40" s="48">
        <f>IFERROR((AE15+AE39)/AE$15,"")</f>
        <v>0.129056595013696</v>
      </c>
      <c r="AF40" s="41">
        <f>IFERROR((AF15+AF39)/AF$15,"")</f>
        <v>0.130699630053338</v>
      </c>
      <c r="AG40" s="48">
        <f>IFERROR((AG15+AG39)/AG$15,"")</f>
        <v>0.128763048742649</v>
      </c>
      <c r="AH40" s="49">
        <f>IFERROR((AH15+AH39)/AH$15,"")</f>
        <v>0.127562969668233</v>
      </c>
      <c r="AI40" s="49">
        <f>IFERROR((AI15+AI39)/AI$15,"")</f>
        <v>0.127724134019595</v>
      </c>
      <c r="AJ40" s="49">
        <f>Control!$B$19</f>
        <v>0.128356018345696</v>
      </c>
      <c r="AK40" s="49">
        <f>Control!$B$19</f>
        <v>0.128356018345696</v>
      </c>
      <c r="AL40" s="48">
        <f>IFERROR((AL15+AL39)/AL$15,"")</f>
        <v>0.128031561464108</v>
      </c>
      <c r="AM40" s="49">
        <f>Control!$C$19</f>
        <v>0.128356018345696</v>
      </c>
      <c r="AN40" s="49">
        <f>Control!$C$19</f>
        <v>0.128356018345696</v>
      </c>
      <c r="AO40" s="49">
        <f>Control!$C$19</f>
        <v>0.128356018345696</v>
      </c>
      <c r="AP40" s="49">
        <f>Control!$C$19</f>
        <v>0.128356018345696</v>
      </c>
      <c r="AQ40" s="48">
        <f>IFERROR((AQ15+AQ39)/AQ$15,"")</f>
        <v>0.128356018345697</v>
      </c>
      <c r="AR40" s="49">
        <f>Control!$D$19</f>
        <v>0.128356018345696</v>
      </c>
      <c r="AS40" s="49">
        <f>Control!$D$19</f>
        <v>0.128356018345696</v>
      </c>
      <c r="AT40" s="49">
        <f>Control!$D$19</f>
        <v>0.128356018345696</v>
      </c>
      <c r="AU40" s="49">
        <f>Control!$D$19</f>
        <v>0.128356018345696</v>
      </c>
      <c r="AV40" s="48">
        <f>IFERROR((AV15+AV39)/AV$15,"")</f>
        <v>0.128356018345696</v>
      </c>
      <c r="AW40" s="49">
        <f>Control!$E$19</f>
        <v>0.128356018345696</v>
      </c>
      <c r="AX40" s="49">
        <f>Control!$E$19</f>
        <v>0.128356018345696</v>
      </c>
      <c r="AY40" s="49">
        <f>Control!$E$19</f>
        <v>0.128356018345696</v>
      </c>
      <c r="AZ40" s="49">
        <f>Control!$E$19</f>
        <v>0.128356018345696</v>
      </c>
      <c r="BA40" s="48">
        <f>IFERROR((BA15+BA39)/BA$15,"")</f>
        <v>0.128356018345696</v>
      </c>
      <c r="BB40" s="49">
        <f>Control!$F$19</f>
        <v>0.128356018345696</v>
      </c>
      <c r="BC40" s="49">
        <f>Control!$F$19</f>
        <v>0.128356018345696</v>
      </c>
      <c r="BD40" s="49">
        <f>Control!$F$19</f>
        <v>0.128356018345696</v>
      </c>
      <c r="BE40" s="49">
        <f>Control!$F$19</f>
        <v>0.128356018345696</v>
      </c>
      <c r="BF40" s="48">
        <f>IFERROR((BF15+BF39)/BF$15,"")</f>
        <v>0.128356018345696</v>
      </c>
      <c r="BG40" s="49" t="n"/>
      <c r="BH40" s="49" t="n"/>
      <c r="BI40" s="49" t="n"/>
      <c r="BJ40" s="49" t="n"/>
      <c r="BK40" s="48" t="n"/>
      <c r="BL40" s="49" t="n"/>
      <c r="BM40" s="49" t="n"/>
      <c r="BN40" s="49" t="n"/>
      <c r="BO40" s="49" t="n"/>
      <c r="BP40" s="48" t="n"/>
      <c r="BQ40" s="49" t="n"/>
      <c r="BR40" s="49" t="n"/>
      <c r="BS40" s="49" t="n"/>
      <c r="BT40" s="49" t="n"/>
      <c r="BU40" s="48" t="n"/>
      <c r="BV40" s="49" t="n"/>
      <c r="BW40" s="49" t="n"/>
      <c r="BX40" s="49" t="n"/>
      <c r="BY40" s="49" t="n"/>
      <c r="BZ40" s="48" t="n"/>
      <c r="CA40" s="49" t="n"/>
      <c r="CB40" s="49" t="n"/>
      <c r="CC40" s="49" t="n"/>
      <c r="CD40" s="49" t="n"/>
      <c r="CE40" s="48" t="n"/>
      <c r="CF40" s="49" t="n"/>
      <c r="CG40" s="49" t="n"/>
      <c r="CH40" s="49" t="n"/>
      <c r="CI40" s="49" t="n"/>
      <c r="CJ40" s="48" t="n"/>
      <c r="CK40" s="49" t="n"/>
      <c r="CL40" s="49" t="n"/>
      <c r="CM40" s="49" t="n"/>
      <c r="CN40" s="49" t="n"/>
      <c r="CO40" s="48" t="n"/>
      <c r="CP40" s="49" t="n"/>
      <c r="CQ40" s="49" t="n"/>
      <c r="CR40" s="49" t="n"/>
      <c r="CS40" s="49" t="n"/>
      <c r="CT40" s="48" t="n"/>
      <c r="CU40" s="49" t="n"/>
      <c r="CV40" s="49" t="n"/>
      <c r="CW40" s="49" t="n"/>
      <c r="CX40" s="49" t="n"/>
      <c r="CY40" s="48" t="n"/>
    </row>
    <row r="41" hidden="1" outlineLevel="1"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  <c r="AV41" s="50" t="n"/>
      <c r="AW41" s="50" t="n"/>
      <c r="AX41" s="50" t="n"/>
      <c r="AY41" s="50" t="n"/>
      <c r="AZ41" s="50" t="n"/>
      <c r="BA41" s="50" t="n"/>
      <c r="BB41" s="50" t="n"/>
      <c r="BC41" s="50" t="n"/>
      <c r="BD41" s="50" t="n"/>
      <c r="BE41" s="50" t="n"/>
      <c r="BF41" s="50" t="n"/>
      <c r="BG41" s="50" t="n"/>
      <c r="BH41" s="50" t="n"/>
      <c r="BI41" s="50" t="n"/>
      <c r="BJ41" s="50" t="n"/>
      <c r="BK41" s="50" t="n"/>
      <c r="BL41" s="50" t="n"/>
      <c r="BM41" s="50" t="n"/>
      <c r="BN41" s="50" t="n"/>
      <c r="BO41" s="50" t="n"/>
      <c r="BP41" s="50" t="n"/>
      <c r="BQ41" s="50" t="n"/>
      <c r="BR41" s="50" t="n"/>
      <c r="BS41" s="50" t="n"/>
      <c r="BT41" s="50" t="n"/>
      <c r="BU41" s="50" t="n"/>
      <c r="BV41" s="50" t="n"/>
      <c r="BW41" s="50" t="n"/>
      <c r="BX41" s="50" t="n"/>
      <c r="BY41" s="50" t="n"/>
      <c r="BZ41" s="50" t="n"/>
      <c r="CA41" s="50" t="n"/>
      <c r="CB41" s="50" t="n"/>
      <c r="CC41" s="50" t="n"/>
      <c r="CD41" s="50" t="n"/>
      <c r="CE41" s="50" t="n"/>
      <c r="CF41" s="50" t="n"/>
      <c r="CG41" s="50" t="n"/>
      <c r="CH41" s="50" t="n"/>
      <c r="CI41" s="50" t="n"/>
      <c r="CJ41" s="50" t="n"/>
      <c r="CK41" s="50" t="n"/>
      <c r="CL41" s="50" t="n"/>
      <c r="CM41" s="50" t="n"/>
      <c r="CN41" s="50" t="n"/>
      <c r="CO41" s="50" t="n"/>
      <c r="CP41" s="50" t="n"/>
      <c r="CQ41" s="50" t="n"/>
      <c r="CR41" s="50" t="n"/>
      <c r="CS41" s="50" t="n"/>
      <c r="CT41" s="50" t="n"/>
      <c r="CU41" s="50" t="n"/>
      <c r="CV41" s="50" t="n"/>
      <c r="CW41" s="50" t="n"/>
      <c r="CX41" s="50" t="n"/>
      <c r="CY41" s="50" t="n"/>
    </row>
    <row r="42" hidden="1" outlineLevel="1"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0" t="n"/>
      <c r="S42" s="50" t="n"/>
      <c r="T42" s="50" t="n"/>
      <c r="U42" s="50" t="n"/>
      <c r="V42" s="50" t="n"/>
      <c r="W42" s="50" t="n"/>
      <c r="X42" s="50" t="n"/>
      <c r="Y42" s="50" t="n"/>
      <c r="Z42" s="50" t="n"/>
      <c r="AA42" s="50" t="n"/>
      <c r="AB42" s="50" t="n"/>
      <c r="AC42" s="50" t="n"/>
      <c r="AD42" s="50" t="n"/>
      <c r="AE42" s="50" t="n"/>
      <c r="AF42" s="50" t="n"/>
      <c r="AG42" s="50" t="n"/>
      <c r="AH42" s="50" t="n"/>
      <c r="AI42" s="50" t="n"/>
      <c r="AJ42" s="50" t="n"/>
      <c r="AK42" s="50" t="n"/>
      <c r="AL42" s="50" t="n"/>
      <c r="AM42" s="50" t="n"/>
      <c r="AN42" s="50" t="n"/>
      <c r="AO42" s="50" t="n"/>
      <c r="AP42" s="50" t="n"/>
      <c r="AQ42" s="50" t="n"/>
      <c r="AR42" s="50" t="n"/>
      <c r="AS42" s="50" t="n"/>
      <c r="AT42" s="50" t="n"/>
      <c r="AU42" s="50" t="n"/>
      <c r="AV42" s="50" t="n"/>
      <c r="AW42" s="50" t="n"/>
      <c r="AX42" s="50" t="n"/>
      <c r="AY42" s="50" t="n"/>
      <c r="AZ42" s="50" t="n"/>
      <c r="BA42" s="50" t="n"/>
      <c r="BB42" s="50" t="n"/>
      <c r="BC42" s="50" t="n"/>
      <c r="BD42" s="50" t="n"/>
      <c r="BE42" s="50" t="n"/>
      <c r="BF42" s="50" t="n"/>
      <c r="BG42" s="50" t="n"/>
      <c r="BH42" s="50" t="n"/>
      <c r="BI42" s="50" t="n"/>
      <c r="BJ42" s="50" t="n"/>
      <c r="BK42" s="50" t="n"/>
      <c r="BL42" s="50" t="n"/>
      <c r="BM42" s="50" t="n"/>
      <c r="BN42" s="50" t="n"/>
      <c r="BO42" s="50" t="n"/>
      <c r="BP42" s="50" t="n"/>
      <c r="BQ42" s="50" t="n"/>
      <c r="BR42" s="50" t="n"/>
      <c r="BS42" s="50" t="n"/>
      <c r="BT42" s="50" t="n"/>
      <c r="BU42" s="50" t="n"/>
      <c r="BV42" s="50" t="n"/>
      <c r="BW42" s="50" t="n"/>
      <c r="BX42" s="50" t="n"/>
      <c r="BY42" s="50" t="n"/>
      <c r="BZ42" s="50" t="n"/>
      <c r="CA42" s="50" t="n"/>
      <c r="CB42" s="50" t="n"/>
      <c r="CC42" s="50" t="n"/>
      <c r="CD42" s="50" t="n"/>
      <c r="CE42" s="50" t="n"/>
      <c r="CF42" s="50" t="n"/>
      <c r="CG42" s="50" t="n"/>
      <c r="CH42" s="50" t="n"/>
      <c r="CI42" s="50" t="n"/>
      <c r="CJ42" s="50" t="n"/>
      <c r="CK42" s="50" t="n"/>
      <c r="CL42" s="50" t="n"/>
      <c r="CM42" s="50" t="n"/>
      <c r="CN42" s="50" t="n"/>
      <c r="CO42" s="50" t="n"/>
      <c r="CP42" s="50" t="n"/>
      <c r="CQ42" s="50" t="n"/>
      <c r="CR42" s="50" t="n"/>
      <c r="CS42" s="50" t="n"/>
      <c r="CT42" s="50" t="n"/>
      <c r="CU42" s="50" t="n"/>
      <c r="CV42" s="50" t="n"/>
      <c r="CW42" s="50" t="n"/>
      <c r="CX42" s="50" t="n"/>
      <c r="CY42" s="50" t="n"/>
    </row>
    <row r="43" collapsed="1">
      <c r="C43" s="13" t="inlineStr">
        <is>
          <t>SG&amp;A and Other (cash)</t>
        </is>
      </c>
      <c r="D43" s="46" t="n"/>
      <c r="E43" s="46" t="n"/>
      <c r="F43" s="46" t="n"/>
      <c r="G43" s="46" t="n"/>
      <c r="H43" s="12" t="n"/>
      <c r="I43" s="46">
        <f>'Inputs (2)'!D6</f>
        <v>-3935</v>
      </c>
      <c r="J43" s="46">
        <f>'Inputs (2)'!E6</f>
        <v>-3797</v>
      </c>
      <c r="K43" s="46">
        <f>'Inputs (2)'!F6</f>
        <v>-5108</v>
      </c>
      <c r="L43" s="46">
        <f>'Inputs (2)'!G6</f>
        <v>-4286</v>
      </c>
      <c r="M43" s="12">
        <f>'Inputs (2)'!H6</f>
        <v>-17126</v>
      </c>
      <c r="N43" s="46">
        <f>'Inputs (2)'!I6</f>
        <v>-4139</v>
      </c>
      <c r="O43" s="46">
        <f>'Inputs (2)'!J6</f>
        <v>-4012</v>
      </c>
      <c r="P43" s="46">
        <f>'Inputs (2)'!K6</f>
        <v>-5442</v>
      </c>
      <c r="Q43" s="46">
        <f>'Inputs (2)'!L6</f>
        <v>-4470</v>
      </c>
      <c r="R43" s="12">
        <f>'Inputs (2)'!M6</f>
        <v>-18063</v>
      </c>
      <c r="S43" s="46">
        <f>'Inputs (2)'!N6</f>
        <v>-4470</v>
      </c>
      <c r="T43" s="46">
        <f>'Inputs (2)'!O6</f>
        <v>-4322</v>
      </c>
      <c r="U43" s="46">
        <f>'Inputs (2)'!P6</f>
        <v>-6251</v>
      </c>
      <c r="V43" s="46">
        <f>'Inputs (2)'!Q6</f>
        <v>-4857</v>
      </c>
      <c r="W43" s="12">
        <f>'Inputs (2)'!R6</f>
        <v>-19900</v>
      </c>
      <c r="X43" s="46">
        <f>'Inputs (2)'!S6</f>
        <v>-4726</v>
      </c>
      <c r="Y43" s="46">
        <f>'Inputs (2)'!T6</f>
        <v>-4629</v>
      </c>
      <c r="Z43" s="46">
        <f>'Inputs (2)'!U6</f>
        <v>-6361</v>
      </c>
      <c r="AA43" s="46">
        <f>'Inputs (2)'!V6</f>
        <v>-5298</v>
      </c>
      <c r="AB43" s="12">
        <f>'Inputs (2)'!W6</f>
        <v>-21014</v>
      </c>
      <c r="AC43" s="46">
        <f>'Inputs (2)'!X6</f>
        <v>-5111</v>
      </c>
      <c r="AD43" s="46">
        <f>'Inputs (2)'!Y6</f>
        <v>-5127</v>
      </c>
      <c r="AE43" s="46">
        <f>'Inputs (2)'!Z6</f>
        <v>-7004</v>
      </c>
      <c r="AF43" s="46">
        <f>'Inputs (2)'!AA6</f>
        <v>-5737</v>
      </c>
      <c r="AG43" s="12">
        <f>'Inputs (2)'!AB6</f>
        <v>-22979</v>
      </c>
      <c r="AH43" s="12">
        <f>'Inputs (2)'!AC6</f>
        <v>-5675</v>
      </c>
      <c r="AI43" s="12">
        <f>'Inputs (2)'!AD6</f>
        <v>-5596</v>
      </c>
      <c r="AJ43" s="12">
        <f>-AJ15*AJ44</f>
        <v>-7652.58213512431</v>
      </c>
      <c r="AK43" s="12">
        <f>-AK15*AK44</f>
        <v>-5978.36883988129</v>
      </c>
      <c r="AL43" s="12">
        <f>SUM(AH43:AK43)</f>
        <v>-24901.9509750056</v>
      </c>
      <c r="AM43" s="12">
        <f>-AM15*AM44</f>
        <v>-6181.77212101591</v>
      </c>
      <c r="AN43" s="12">
        <f>-AN15*AN44</f>
        <v>-6264.37694697888</v>
      </c>
      <c r="AO43" s="12">
        <f>-AO15*AO44</f>
        <v>-8344.55752200189</v>
      </c>
      <c r="AP43" s="12">
        <f>-AP15*AP44</f>
        <v>-6518.9555356955</v>
      </c>
      <c r="AQ43" s="12">
        <f>SUM(AM43:AP43)</f>
        <v>-27309.6621256922</v>
      </c>
      <c r="AR43" s="12">
        <f>-AR15*AR44</f>
        <v>-6709.84244932998</v>
      </c>
      <c r="AS43" s="12">
        <f>-AS15*AS44</f>
        <v>-6799.50369159441</v>
      </c>
      <c r="AT43" s="12">
        <f>-AT15*AT44</f>
        <v>-9057.3811499222</v>
      </c>
      <c r="AU43" s="12">
        <f>-AU15*AU44</f>
        <v>-7075.829345116</v>
      </c>
      <c r="AV43" s="12">
        <f>SUM(AR43:AU43)</f>
        <v>-29642.5566359626</v>
      </c>
      <c r="AW43" s="12">
        <f>-AW15*AW44</f>
        <v>-7249.47332780643</v>
      </c>
      <c r="AX43" s="12">
        <f>-AX15*AX44</f>
        <v>-7346.34546589945</v>
      </c>
      <c r="AY43" s="12">
        <f>-AY15*AY44</f>
        <v>-9785.80995932243</v>
      </c>
      <c r="AZ43" s="12">
        <f>-AZ15*AZ44</f>
        <v>-7644.89427239095</v>
      </c>
      <c r="BA43" s="12">
        <f>SUM(AW43:AZ43)</f>
        <v>-32026.5230254193</v>
      </c>
      <c r="BB43" s="12">
        <f>-BB15*BB44</f>
        <v>-7796.25599352924</v>
      </c>
      <c r="BC43" s="12">
        <f>-BC15*BC44</f>
        <v>-7900.43459424453</v>
      </c>
      <c r="BD43" s="12">
        <f>-BD15*BD44</f>
        <v>-10523.8927156644</v>
      </c>
      <c r="BE43" s="12">
        <f>-BE15*BE44</f>
        <v>-8221.5010795908</v>
      </c>
      <c r="BF43" s="12">
        <f>SUM(BB43:BE43)</f>
        <v>-34442.084383029</v>
      </c>
      <c r="BG43" s="12" t="n"/>
      <c r="BH43" s="12" t="n"/>
      <c r="BI43" s="12" t="n"/>
      <c r="BJ43" s="12" t="n"/>
      <c r="BK43" s="12" t="n"/>
      <c r="BL43" s="12" t="n"/>
      <c r="BM43" s="12" t="n"/>
      <c r="BN43" s="12" t="n"/>
      <c r="BO43" s="12" t="n"/>
      <c r="BP43" s="12" t="n"/>
      <c r="BQ43" s="12" t="n"/>
      <c r="BR43" s="12" t="n"/>
      <c r="BS43" s="12" t="n"/>
      <c r="BT43" s="12" t="n"/>
      <c r="BU43" s="12" t="n"/>
      <c r="BV43" s="12" t="n"/>
      <c r="BW43" s="12" t="n"/>
      <c r="BX43" s="12" t="n"/>
      <c r="BY43" s="12" t="n"/>
      <c r="BZ43" s="12" t="n"/>
      <c r="CA43" s="12" t="n"/>
      <c r="CB43" s="12" t="n"/>
      <c r="CC43" s="12" t="n"/>
      <c r="CD43" s="12" t="n"/>
      <c r="CE43" s="12" t="n"/>
      <c r="CF43" s="12" t="n"/>
      <c r="CG43" s="12" t="n"/>
      <c r="CH43" s="12" t="n"/>
      <c r="CI43" s="12" t="n"/>
      <c r="CJ43" s="12" t="n"/>
      <c r="CK43" s="12" t="n"/>
      <c r="CL43" s="12" t="n"/>
      <c r="CM43" s="12" t="n"/>
      <c r="CN43" s="12" t="n"/>
      <c r="CO43" s="12" t="n"/>
      <c r="CP43" s="12" t="n"/>
      <c r="CQ43" s="12" t="n"/>
      <c r="CR43" s="12" t="n"/>
      <c r="CS43" s="12" t="n"/>
      <c r="CT43" s="12" t="n"/>
      <c r="CU43" s="12" t="n"/>
      <c r="CV43" s="12" t="n"/>
      <c r="CW43" s="12" t="n"/>
      <c r="CX43" s="12" t="n"/>
      <c r="CY43" s="12" t="n"/>
    </row>
    <row r="44" hidden="1" outlineLevel="1">
      <c r="C44" s="38" t="inlineStr">
        <is>
          <t>% SG&amp;A and Other Margin</t>
        </is>
      </c>
      <c r="D44" s="51" t="n"/>
      <c r="E44" s="51" t="n"/>
      <c r="F44" s="51" t="n"/>
      <c r="G44" s="51" t="n"/>
      <c r="H44" s="51" t="n"/>
      <c r="I44" s="51">
        <f>IFERROR(-(I43/I$15),"")</f>
        <v>0.0878956420737564</v>
      </c>
      <c r="J44" s="51">
        <f>IFERROR(-(J43/J$15),"")</f>
        <v>0.0838615632661175</v>
      </c>
      <c r="K44" s="51">
        <f>IFERROR(-(K43/K$15),"")</f>
        <v>0.0814998005584364</v>
      </c>
      <c r="L44" s="51">
        <f>IFERROR(-(L43/L$15),"")</f>
        <v>0.0851021583305204</v>
      </c>
      <c r="M44" s="51">
        <f>IFERROR(-(M43/M$15),"")</f>
        <v>0.0843296369974986</v>
      </c>
      <c r="N44" s="51">
        <f>IFERROR(-(N43/N$15),"")</f>
        <v>0.0797433723797781</v>
      </c>
      <c r="O44" s="51">
        <f>IFERROR(-(O43/O$15),"")</f>
        <v>0.0762795649859305</v>
      </c>
      <c r="P44" s="51">
        <f>IFERROR(-(P43/P$15),"")</f>
        <v>0.0754879249837012</v>
      </c>
      <c r="Q44" s="51">
        <f>IFERROR(-(Q43/Q$15),"")</f>
        <v>0.0821132685489649</v>
      </c>
      <c r="R44" s="51">
        <f>IFERROR(-(R43/R$15),"")</f>
        <v>0.0781853281853282</v>
      </c>
      <c r="S44" s="51">
        <f>IFERROR(-(S43/S$15),"")</f>
        <v>0.0808815546629031</v>
      </c>
      <c r="T44" s="51">
        <f>IFERROR(-(T43/T$15),"")</f>
        <v>0.0805621831195944</v>
      </c>
      <c r="U44" s="51">
        <f>IFERROR(-(U43/U$15),"")</f>
        <v>0.07918772723242</v>
      </c>
      <c r="V44" s="51">
        <f>IFERROR(-(V43/V$15),"")</f>
        <v>0.0840325957196491</v>
      </c>
      <c r="W44" s="51">
        <f>IFERROR(-(W43/W$15),"")</f>
        <v>0.0810089069089607</v>
      </c>
      <c r="X44" s="51">
        <f>IFERROR(-(X43/X$15),"")</f>
        <v>0.0808665001197769</v>
      </c>
      <c r="Y44" s="51">
        <f>IFERROR(-(Y43/Y$15),"")</f>
        <v>0.0791079210458857</v>
      </c>
      <c r="Z44" s="51">
        <f>IFERROR(-(Z43/Z$15),"")</f>
        <v>0.0798147985495063</v>
      </c>
      <c r="AA44" s="51">
        <f>IFERROR(-(AA43/AA$15),"")</f>
        <v>0.0852440025100159</v>
      </c>
      <c r="AB44" s="51">
        <f>IFERROR(-(AB43/AB$15),"")</f>
        <v>0.0811962674600568</v>
      </c>
      <c r="AC44" s="51">
        <f>IFERROR(-(AC43/AC$15),"")</f>
        <v>0.0802065188393516</v>
      </c>
      <c r="AD44" s="51">
        <f>IFERROR(-(AD43/AD$15),"")</f>
        <v>0.081117000237323</v>
      </c>
      <c r="AE44" s="51">
        <f>IFERROR(-(AE43/AE$15),"")</f>
        <v>0.0812943962115233</v>
      </c>
      <c r="AF44" s="41">
        <f>IFERROR(-(AF43/AF$15),"")</f>
        <v>0.0852363052877115</v>
      </c>
      <c r="AG44" s="51">
        <f>IFERROR(-(AG43/AG$15),"")</f>
        <v>0.0819534150525516</v>
      </c>
      <c r="AH44" s="52">
        <f>IFERROR(-(AH43/AH$15),"")</f>
        <v>0.0815408710145552</v>
      </c>
      <c r="AI44" s="52">
        <f>IFERROR(-(AI43/AI$15),"")</f>
        <v>0.0793454988869511</v>
      </c>
      <c r="AJ44" s="52">
        <f>Control!$B$20</f>
        <v>0.0814567650795693</v>
      </c>
      <c r="AK44" s="52">
        <f>Control!$B$20</f>
        <v>0.0814567650795693</v>
      </c>
      <c r="AL44" s="51">
        <f>IFERROR(-(AL43/AL$15),"")</f>
        <v>0.0809915142286658</v>
      </c>
      <c r="AM44" s="52">
        <f>Control!$C$20</f>
        <v>0.0814567650795693</v>
      </c>
      <c r="AN44" s="52">
        <f>Control!$C$20</f>
        <v>0.0814567650795693</v>
      </c>
      <c r="AO44" s="52">
        <f>Control!$C$20</f>
        <v>0.0814567650795693</v>
      </c>
      <c r="AP44" s="52">
        <f>Control!$C$20</f>
        <v>0.0814567650795693</v>
      </c>
      <c r="AQ44" s="51">
        <f>IFERROR(-(AQ43/AQ$15),"")</f>
        <v>0.0814567650795693</v>
      </c>
      <c r="AR44" s="52">
        <f>Control!$D$20</f>
        <v>0.0814567650795693</v>
      </c>
      <c r="AS44" s="52">
        <f>Control!$D$20</f>
        <v>0.0814567650795693</v>
      </c>
      <c r="AT44" s="52">
        <f>Control!$D$20</f>
        <v>0.0814567650795693</v>
      </c>
      <c r="AU44" s="52">
        <f>Control!$D$20</f>
        <v>0.0814567650795693</v>
      </c>
      <c r="AV44" s="51">
        <f>IFERROR(-(AV43/AV$15),"")</f>
        <v>0.0814567650795693</v>
      </c>
      <c r="AW44" s="52">
        <f>Control!$E$20</f>
        <v>0.0814567650795693</v>
      </c>
      <c r="AX44" s="52">
        <f>Control!$E$20</f>
        <v>0.0814567650795693</v>
      </c>
      <c r="AY44" s="52">
        <f>Control!$E$20</f>
        <v>0.0814567650795693</v>
      </c>
      <c r="AZ44" s="52">
        <f>Control!$E$20</f>
        <v>0.0814567650795693</v>
      </c>
      <c r="BA44" s="51">
        <f>IFERROR(-(BA43/BA$15),"")</f>
        <v>0.0814567650795693</v>
      </c>
      <c r="BB44" s="52">
        <f>Control!$F$20</f>
        <v>0.0814567650795693</v>
      </c>
      <c r="BC44" s="52">
        <f>Control!$F$20</f>
        <v>0.0814567650795693</v>
      </c>
      <c r="BD44" s="52">
        <f>Control!$F$20</f>
        <v>0.0814567650795693</v>
      </c>
      <c r="BE44" s="52">
        <f>Control!$F$20</f>
        <v>0.0814567650795693</v>
      </c>
      <c r="BF44" s="51">
        <f>IFERROR(-(BF43/BF$15),"")</f>
        <v>0.0814567650795693</v>
      </c>
      <c r="BG44" s="52" t="n"/>
      <c r="BH44" s="52" t="n"/>
      <c r="BI44" s="52" t="n"/>
      <c r="BJ44" s="52" t="n"/>
      <c r="BK44" s="51" t="n"/>
      <c r="BL44" s="52" t="n"/>
      <c r="BM44" s="52" t="n"/>
      <c r="BN44" s="52" t="n"/>
      <c r="BO44" s="52" t="n"/>
      <c r="BP44" s="51" t="n"/>
      <c r="BQ44" s="52" t="n"/>
      <c r="BR44" s="52" t="n"/>
      <c r="BS44" s="52" t="n"/>
      <c r="BT44" s="52" t="n"/>
      <c r="BU44" s="51" t="n"/>
      <c r="BV44" s="52" t="n"/>
      <c r="BW44" s="52" t="n"/>
      <c r="BX44" s="52" t="n"/>
      <c r="BY44" s="52" t="n"/>
      <c r="BZ44" s="51" t="n"/>
      <c r="CA44" s="52" t="n"/>
      <c r="CB44" s="52" t="n"/>
      <c r="CC44" s="52" t="n"/>
      <c r="CD44" s="52" t="n"/>
      <c r="CE44" s="51" t="n"/>
      <c r="CF44" s="52" t="n"/>
      <c r="CG44" s="52" t="n"/>
      <c r="CH44" s="52" t="n"/>
      <c r="CI44" s="52" t="n"/>
      <c r="CJ44" s="51" t="n"/>
      <c r="CK44" s="52" t="n"/>
      <c r="CL44" s="52" t="n"/>
      <c r="CM44" s="52" t="n"/>
      <c r="CN44" s="52" t="n"/>
      <c r="CO44" s="51" t="n"/>
      <c r="CP44" s="52" t="n"/>
      <c r="CQ44" s="52" t="n"/>
      <c r="CR44" s="52" t="n"/>
      <c r="CS44" s="52" t="n"/>
      <c r="CT44" s="51" t="n"/>
      <c r="CU44" s="52" t="n"/>
      <c r="CV44" s="52" t="n"/>
      <c r="CW44" s="52" t="n"/>
      <c r="CX44" s="52" t="n"/>
      <c r="CY44" s="51" t="n"/>
    </row>
    <row r="45" hidden="1" outlineLevel="1">
      <c r="C45" s="50" t="n"/>
      <c r="D45" s="50" t="n"/>
      <c r="E45" s="50" t="n"/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  <c r="AV45" s="50" t="n"/>
      <c r="AW45" s="50" t="n"/>
      <c r="AX45" s="50" t="n"/>
      <c r="AY45" s="50" t="n"/>
      <c r="AZ45" s="50" t="n"/>
      <c r="BA45" s="50" t="n"/>
      <c r="BB45" s="50" t="n"/>
      <c r="BC45" s="50" t="n"/>
      <c r="BD45" s="50" t="n"/>
      <c r="BE45" s="50" t="n"/>
      <c r="BF45" s="50" t="n"/>
      <c r="BG45" s="50" t="n"/>
      <c r="BH45" s="50" t="n"/>
      <c r="BI45" s="50" t="n"/>
      <c r="BJ45" s="50" t="n"/>
      <c r="BK45" s="50" t="n"/>
      <c r="BL45" s="50" t="n"/>
      <c r="BM45" s="50" t="n"/>
      <c r="BN45" s="50" t="n"/>
      <c r="BO45" s="50" t="n"/>
      <c r="BP45" s="50" t="n"/>
      <c r="BQ45" s="50" t="n"/>
      <c r="BR45" s="50" t="n"/>
      <c r="BS45" s="50" t="n"/>
      <c r="BT45" s="50" t="n"/>
      <c r="BU45" s="50" t="n"/>
      <c r="BV45" s="50" t="n"/>
      <c r="BW45" s="50" t="n"/>
      <c r="BX45" s="50" t="n"/>
      <c r="BY45" s="50" t="n"/>
      <c r="BZ45" s="50" t="n"/>
      <c r="CA45" s="50" t="n"/>
      <c r="CB45" s="50" t="n"/>
      <c r="CC45" s="50" t="n"/>
      <c r="CD45" s="50" t="n"/>
      <c r="CE45" s="50" t="n"/>
      <c r="CF45" s="50" t="n"/>
      <c r="CG45" s="50" t="n"/>
      <c r="CH45" s="50" t="n"/>
      <c r="CI45" s="50" t="n"/>
      <c r="CJ45" s="50" t="n"/>
      <c r="CK45" s="50" t="n"/>
      <c r="CL45" s="50" t="n"/>
      <c r="CM45" s="50" t="n"/>
      <c r="CN45" s="50" t="n"/>
      <c r="CO45" s="50" t="n"/>
      <c r="CP45" s="50" t="n"/>
      <c r="CQ45" s="50" t="n"/>
      <c r="CR45" s="50" t="n"/>
      <c r="CS45" s="50" t="n"/>
      <c r="CT45" s="50" t="n"/>
      <c r="CU45" s="50" t="n"/>
      <c r="CV45" s="50" t="n"/>
      <c r="CW45" s="50" t="n"/>
      <c r="CX45" s="50" t="n"/>
      <c r="CY45" s="50" t="n"/>
    </row>
    <row r="46" hidden="1" outlineLevel="1">
      <c r="C46" s="50" t="inlineStr">
        <is>
          <t>Com Vendas</t>
        </is>
      </c>
      <c r="D46" s="11" t="n"/>
      <c r="E46" s="11" t="n"/>
      <c r="F46" s="11" t="n"/>
      <c r="G46" s="11" t="n"/>
      <c r="H46" s="50" t="n"/>
      <c r="I46" s="11" t="n"/>
      <c r="J46" s="11" t="n"/>
      <c r="K46" s="11" t="n"/>
      <c r="L46" s="11" t="n"/>
      <c r="M46" s="50" t="n"/>
      <c r="N46" s="11" t="n"/>
      <c r="O46" s="11" t="n"/>
      <c r="P46" s="11" t="n"/>
      <c r="Q46" s="11" t="n"/>
      <c r="R46" s="50" t="n"/>
      <c r="S46" s="11" t="n"/>
      <c r="T46" s="11" t="n"/>
      <c r="U46" s="11" t="n"/>
      <c r="V46" s="11" t="n"/>
      <c r="W46" s="50" t="n"/>
      <c r="X46" s="11" t="n"/>
      <c r="Y46" s="11" t="n"/>
      <c r="Z46" s="11" t="n"/>
      <c r="AA46" s="11" t="n"/>
      <c r="AB46" s="50" t="n"/>
      <c r="AC46" s="11" t="n"/>
      <c r="AD46" s="11" t="n"/>
      <c r="AE46" s="11" t="n"/>
      <c r="AF46" s="11" t="n"/>
      <c r="AG46" s="50" t="n"/>
      <c r="AH46" s="50" t="n"/>
      <c r="AI46" s="50" t="n"/>
      <c r="AJ46" s="50" t="n"/>
      <c r="AK46" s="50" t="n"/>
      <c r="AL46" s="50" t="n"/>
      <c r="AM46" s="50" t="n"/>
      <c r="AN46" s="50" t="n"/>
      <c r="AO46" s="50" t="n"/>
      <c r="AP46" s="50" t="n"/>
      <c r="AQ46" s="50" t="n"/>
      <c r="AR46" s="50" t="n"/>
      <c r="AS46" s="50" t="n"/>
      <c r="AT46" s="50" t="n"/>
      <c r="AU46" s="50" t="n"/>
      <c r="AV46" s="50" t="n"/>
      <c r="AW46" s="50" t="n"/>
      <c r="AX46" s="50" t="n"/>
      <c r="AY46" s="50" t="n"/>
      <c r="AZ46" s="50" t="n"/>
      <c r="BA46" s="50" t="n"/>
      <c r="BB46" s="50" t="n"/>
      <c r="BC46" s="50" t="n"/>
      <c r="BD46" s="50" t="n"/>
      <c r="BE46" s="50" t="n"/>
      <c r="BF46" s="50" t="n"/>
      <c r="BG46" s="50" t="n"/>
      <c r="BH46" s="50" t="n"/>
      <c r="BI46" s="50" t="n"/>
      <c r="BJ46" s="50" t="n"/>
      <c r="BK46" s="50" t="n"/>
      <c r="BL46" s="50" t="n"/>
      <c r="BM46" s="50" t="n"/>
      <c r="BN46" s="50" t="n"/>
      <c r="BO46" s="50" t="n"/>
      <c r="BP46" s="50" t="n"/>
      <c r="BQ46" s="50" t="n"/>
      <c r="BR46" s="50" t="n"/>
      <c r="BS46" s="50" t="n"/>
      <c r="BT46" s="50" t="n"/>
      <c r="BU46" s="50" t="n"/>
      <c r="BV46" s="50" t="n"/>
      <c r="BW46" s="50" t="n"/>
      <c r="BX46" s="50" t="n"/>
      <c r="BY46" s="50" t="n"/>
      <c r="BZ46" s="50" t="n"/>
      <c r="CA46" s="50" t="n"/>
      <c r="CB46" s="50" t="n"/>
      <c r="CC46" s="50" t="n"/>
      <c r="CD46" s="50" t="n"/>
      <c r="CE46" s="50" t="n"/>
      <c r="CF46" s="50" t="n"/>
      <c r="CG46" s="50" t="n"/>
      <c r="CH46" s="50" t="n"/>
      <c r="CI46" s="50" t="n"/>
      <c r="CJ46" s="50" t="n"/>
      <c r="CK46" s="50" t="n"/>
      <c r="CL46" s="50" t="n"/>
      <c r="CM46" s="50" t="n"/>
      <c r="CN46" s="50" t="n"/>
      <c r="CO46" s="50" t="n"/>
      <c r="CP46" s="50" t="n"/>
      <c r="CQ46" s="50" t="n"/>
      <c r="CR46" s="50" t="n"/>
      <c r="CS46" s="50" t="n"/>
      <c r="CT46" s="50" t="n"/>
      <c r="CU46" s="50" t="n"/>
      <c r="CV46" s="50" t="n"/>
      <c r="CW46" s="50" t="n"/>
      <c r="CX46" s="50" t="n"/>
      <c r="CY46" s="50" t="n"/>
    </row>
    <row r="47" hidden="1" outlineLevel="1">
      <c r="C47" s="50" t="inlineStr">
        <is>
          <t>Gerais &amp; Administrativas</t>
        </is>
      </c>
      <c r="D47" s="11" t="n"/>
      <c r="E47" s="11" t="n"/>
      <c r="F47" s="11" t="n"/>
      <c r="G47" s="11" t="n"/>
      <c r="H47" s="50" t="n"/>
      <c r="I47" s="11" t="n"/>
      <c r="J47" s="11" t="n"/>
      <c r="K47" s="11" t="n"/>
      <c r="L47" s="11" t="n"/>
      <c r="M47" s="50" t="n"/>
      <c r="N47" s="11" t="n"/>
      <c r="O47" s="11" t="n"/>
      <c r="P47" s="11" t="n"/>
      <c r="Q47" s="11" t="n"/>
      <c r="R47" s="50" t="n"/>
      <c r="S47" s="11" t="n"/>
      <c r="T47" s="11" t="n"/>
      <c r="U47" s="11" t="n"/>
      <c r="V47" s="11" t="n"/>
      <c r="W47" s="50" t="n"/>
      <c r="X47" s="11" t="n"/>
      <c r="Y47" s="11" t="n"/>
      <c r="Z47" s="11" t="n"/>
      <c r="AA47" s="11" t="n"/>
      <c r="AB47" s="50" t="n"/>
      <c r="AC47" s="11" t="n"/>
      <c r="AD47" s="11" t="n"/>
      <c r="AE47" s="11" t="n"/>
      <c r="AF47" s="11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  <c r="AV47" s="50" t="n"/>
      <c r="AW47" s="50" t="n"/>
      <c r="AX47" s="50" t="n"/>
      <c r="AY47" s="50" t="n"/>
      <c r="AZ47" s="50" t="n"/>
      <c r="BA47" s="50" t="n"/>
      <c r="BB47" s="50" t="n"/>
      <c r="BC47" s="50" t="n"/>
      <c r="BD47" s="50" t="n"/>
      <c r="BE47" s="50" t="n"/>
      <c r="BF47" s="50" t="n"/>
      <c r="BG47" s="50" t="n"/>
      <c r="BH47" s="50" t="n"/>
      <c r="BI47" s="50" t="n"/>
      <c r="BJ47" s="50" t="n"/>
      <c r="BK47" s="50" t="n"/>
      <c r="BL47" s="50" t="n"/>
      <c r="BM47" s="50" t="n"/>
      <c r="BN47" s="50" t="n"/>
      <c r="BO47" s="50" t="n"/>
      <c r="BP47" s="50" t="n"/>
      <c r="BQ47" s="50" t="n"/>
      <c r="BR47" s="50" t="n"/>
      <c r="BS47" s="50" t="n"/>
      <c r="BT47" s="50" t="n"/>
      <c r="BU47" s="50" t="n"/>
      <c r="BV47" s="50" t="n"/>
      <c r="BW47" s="50" t="n"/>
      <c r="BX47" s="50" t="n"/>
      <c r="BY47" s="50" t="n"/>
      <c r="BZ47" s="50" t="n"/>
      <c r="CA47" s="50" t="n"/>
      <c r="CB47" s="50" t="n"/>
      <c r="CC47" s="50" t="n"/>
      <c r="CD47" s="50" t="n"/>
      <c r="CE47" s="50" t="n"/>
      <c r="CF47" s="50" t="n"/>
      <c r="CG47" s="50" t="n"/>
      <c r="CH47" s="50" t="n"/>
      <c r="CI47" s="50" t="n"/>
      <c r="CJ47" s="50" t="n"/>
      <c r="CK47" s="50" t="n"/>
      <c r="CL47" s="50" t="n"/>
      <c r="CM47" s="50" t="n"/>
      <c r="CN47" s="50" t="n"/>
      <c r="CO47" s="50" t="n"/>
      <c r="CP47" s="50" t="n"/>
      <c r="CQ47" s="50" t="n"/>
      <c r="CR47" s="50" t="n"/>
      <c r="CS47" s="50" t="n"/>
      <c r="CT47" s="50" t="n"/>
      <c r="CU47" s="50" t="n"/>
      <c r="CV47" s="50" t="n"/>
      <c r="CW47" s="50" t="n"/>
      <c r="CX47" s="50" t="n"/>
      <c r="CY47" s="50" t="n"/>
    </row>
    <row r="48" hidden="1" outlineLevel="1">
      <c r="C48" s="50" t="inlineStr">
        <is>
          <t>Outras Receitas (Despesas) Operacionais, Líquidas</t>
        </is>
      </c>
      <c r="D48" s="11" t="n"/>
      <c r="E48" s="11" t="n"/>
      <c r="F48" s="11" t="n"/>
      <c r="G48" s="11" t="n"/>
      <c r="H48" s="50" t="n"/>
      <c r="I48" s="11" t="n"/>
      <c r="J48" s="11" t="n"/>
      <c r="K48" s="11" t="n"/>
      <c r="L48" s="11" t="n"/>
      <c r="M48" s="50" t="n"/>
      <c r="N48" s="11" t="n"/>
      <c r="O48" s="11" t="n"/>
      <c r="P48" s="11" t="n"/>
      <c r="Q48" s="11" t="n"/>
      <c r="R48" s="50" t="n"/>
      <c r="S48" s="11" t="n"/>
      <c r="T48" s="11" t="n"/>
      <c r="U48" s="11" t="n"/>
      <c r="V48" s="11" t="n"/>
      <c r="W48" s="50" t="n"/>
      <c r="X48" s="11" t="n"/>
      <c r="Y48" s="11" t="n"/>
      <c r="Z48" s="11" t="n"/>
      <c r="AA48" s="11" t="n"/>
      <c r="AB48" s="50" t="n"/>
      <c r="AC48" s="11" t="n"/>
      <c r="AD48" s="11" t="n"/>
      <c r="AE48" s="11" t="n"/>
      <c r="AF48" s="11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50" t="n"/>
      <c r="AY48" s="50" t="n"/>
      <c r="AZ48" s="50" t="n"/>
      <c r="BA48" s="50" t="n"/>
      <c r="BB48" s="50" t="n"/>
      <c r="BC48" s="50" t="n"/>
      <c r="BD48" s="50" t="n"/>
      <c r="BE48" s="50" t="n"/>
      <c r="BF48" s="50" t="n"/>
      <c r="BG48" s="50" t="n"/>
      <c r="BH48" s="50" t="n"/>
      <c r="BI48" s="50" t="n"/>
      <c r="BJ48" s="50" t="n"/>
      <c r="BK48" s="50" t="n"/>
      <c r="BL48" s="50" t="n"/>
      <c r="BM48" s="50" t="n"/>
      <c r="BN48" s="50" t="n"/>
      <c r="BO48" s="50" t="n"/>
      <c r="BP48" s="50" t="n"/>
      <c r="BQ48" s="50" t="n"/>
      <c r="BR48" s="50" t="n"/>
      <c r="BS48" s="50" t="n"/>
      <c r="BT48" s="50" t="n"/>
      <c r="BU48" s="50" t="n"/>
      <c r="BV48" s="50" t="n"/>
      <c r="BW48" s="50" t="n"/>
      <c r="BX48" s="50" t="n"/>
      <c r="BY48" s="50" t="n"/>
      <c r="BZ48" s="50" t="n"/>
      <c r="CA48" s="50" t="n"/>
      <c r="CB48" s="50" t="n"/>
      <c r="CC48" s="50" t="n"/>
      <c r="CD48" s="50" t="n"/>
      <c r="CE48" s="50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</row>
    <row r="49" hidden="1" outlineLevel="1"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50" t="n"/>
      <c r="AY49" s="50" t="n"/>
      <c r="AZ49" s="50" t="n"/>
      <c r="BA49" s="50" t="n"/>
      <c r="BB49" s="50" t="n"/>
      <c r="BC49" s="50" t="n"/>
      <c r="BD49" s="50" t="n"/>
      <c r="BE49" s="50" t="n"/>
      <c r="BF49" s="50" t="n"/>
      <c r="BG49" s="50" t="n"/>
      <c r="BH49" s="50" t="n"/>
      <c r="BI49" s="50" t="n"/>
      <c r="BJ49" s="50" t="n"/>
      <c r="BK49" s="50" t="n"/>
      <c r="BL49" s="50" t="n"/>
      <c r="BM49" s="50" t="n"/>
      <c r="BN49" s="50" t="n"/>
      <c r="BO49" s="50" t="n"/>
      <c r="BP49" s="50" t="n"/>
      <c r="BQ49" s="50" t="n"/>
      <c r="BR49" s="50" t="n"/>
      <c r="BS49" s="50" t="n"/>
      <c r="BT49" s="50" t="n"/>
      <c r="BU49" s="50" t="n"/>
      <c r="BV49" s="50" t="n"/>
      <c r="BW49" s="50" t="n"/>
      <c r="BX49" s="50" t="n"/>
      <c r="BY49" s="50" t="n"/>
      <c r="BZ49" s="50" t="n"/>
      <c r="CA49" s="50" t="n"/>
      <c r="CB49" s="50" t="n"/>
      <c r="CC49" s="50" t="n"/>
      <c r="CD49" s="50" t="n"/>
      <c r="CE49" s="50" t="n"/>
      <c r="CF49" s="50" t="n"/>
      <c r="CG49" s="50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</row>
    <row r="50" hidden="1" outlineLevel="1">
      <c r="C50" s="50" t="inlineStr">
        <is>
          <t>Com Vendas (%)</t>
        </is>
      </c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  <c r="X50" s="50" t="n"/>
      <c r="Y50" s="50" t="n"/>
      <c r="Z50" s="50" t="n"/>
      <c r="AA50" s="50" t="n"/>
      <c r="AB50" s="50" t="n"/>
      <c r="AC50" s="50" t="n"/>
      <c r="AD50" s="50" t="n"/>
      <c r="AE50" s="50" t="n"/>
      <c r="AF50" s="50" t="n"/>
      <c r="AG50" s="50" t="n"/>
      <c r="AH50" s="50" t="n"/>
      <c r="AI50" s="50" t="n"/>
      <c r="AJ50" s="50" t="n"/>
      <c r="AK50" s="50" t="n"/>
      <c r="AL50" s="50" t="n"/>
      <c r="AM50" s="50" t="n"/>
      <c r="AN50" s="50" t="n"/>
      <c r="AO50" s="50" t="n"/>
      <c r="AP50" s="50" t="n"/>
      <c r="AQ50" s="50" t="n"/>
      <c r="AR50" s="50" t="n"/>
      <c r="AS50" s="50" t="n"/>
      <c r="AT50" s="50" t="n"/>
      <c r="AU50" s="50" t="n"/>
      <c r="AV50" s="50" t="n"/>
      <c r="AW50" s="50" t="n"/>
      <c r="AX50" s="50" t="n"/>
      <c r="AY50" s="50" t="n"/>
      <c r="AZ50" s="50" t="n"/>
      <c r="BA50" s="50" t="n"/>
      <c r="BB50" s="50" t="n"/>
      <c r="BC50" s="50" t="n"/>
      <c r="BD50" s="50" t="n"/>
      <c r="BE50" s="50" t="n"/>
      <c r="BF50" s="50" t="n"/>
      <c r="BG50" s="50" t="n"/>
      <c r="BH50" s="50" t="n"/>
      <c r="BI50" s="50" t="n"/>
      <c r="BJ50" s="50" t="n"/>
      <c r="BK50" s="50" t="n"/>
      <c r="BL50" s="50" t="n"/>
      <c r="BM50" s="50" t="n"/>
      <c r="BN50" s="50" t="n"/>
      <c r="BO50" s="50" t="n"/>
      <c r="BP50" s="50" t="n"/>
      <c r="BQ50" s="50" t="n"/>
      <c r="BR50" s="50" t="n"/>
      <c r="BS50" s="50" t="n"/>
      <c r="BT50" s="50" t="n"/>
      <c r="BU50" s="50" t="n"/>
      <c r="BV50" s="50" t="n"/>
      <c r="BW50" s="50" t="n"/>
      <c r="BX50" s="50" t="n"/>
      <c r="BY50" s="50" t="n"/>
      <c r="BZ50" s="50" t="n"/>
      <c r="CA50" s="50" t="n"/>
      <c r="CB50" s="50" t="n"/>
      <c r="CC50" s="50" t="n"/>
      <c r="CD50" s="50" t="n"/>
      <c r="CE50" s="50" t="n"/>
      <c r="CF50" s="50" t="n"/>
      <c r="CG50" s="50" t="n"/>
      <c r="CH50" s="50" t="n"/>
      <c r="CI50" s="50" t="n"/>
      <c r="CJ50" s="50" t="n"/>
      <c r="CK50" s="50" t="n"/>
      <c r="CL50" s="50" t="n"/>
      <c r="CM50" s="50" t="n"/>
      <c r="CN50" s="50" t="n"/>
      <c r="CO50" s="50" t="n"/>
      <c r="CP50" s="50" t="n"/>
      <c r="CQ50" s="50" t="n"/>
      <c r="CR50" s="50" t="n"/>
      <c r="CS50" s="50" t="n"/>
      <c r="CT50" s="50" t="n"/>
      <c r="CU50" s="50" t="n"/>
      <c r="CV50" s="50" t="n"/>
      <c r="CW50" s="50" t="n"/>
      <c r="CX50" s="50" t="n"/>
      <c r="CY50" s="50" t="n"/>
    </row>
    <row r="51" hidden="1" outlineLevel="1">
      <c r="C51" s="50" t="inlineStr">
        <is>
          <t>Gerais &amp; Administrativas (%)</t>
        </is>
      </c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50" t="n"/>
      <c r="AY51" s="50" t="n"/>
      <c r="AZ51" s="50" t="n"/>
      <c r="BA51" s="50" t="n"/>
      <c r="BB51" s="50" t="n"/>
      <c r="BC51" s="50" t="n"/>
      <c r="BD51" s="50" t="n"/>
      <c r="BE51" s="50" t="n"/>
      <c r="BF51" s="50" t="n"/>
      <c r="BG51" s="50" t="n"/>
      <c r="BH51" s="50" t="n"/>
      <c r="BI51" s="50" t="n"/>
      <c r="BJ51" s="50" t="n"/>
      <c r="BK51" s="50" t="n"/>
      <c r="BL51" s="50" t="n"/>
      <c r="BM51" s="50" t="n"/>
      <c r="BN51" s="50" t="n"/>
      <c r="BO51" s="50" t="n"/>
      <c r="BP51" s="50" t="n"/>
      <c r="BQ51" s="50" t="n"/>
      <c r="BR51" s="50" t="n"/>
      <c r="BS51" s="50" t="n"/>
      <c r="BT51" s="50" t="n"/>
      <c r="BU51" s="50" t="n"/>
      <c r="BV51" s="50" t="n"/>
      <c r="BW51" s="50" t="n"/>
      <c r="BX51" s="50" t="n"/>
      <c r="BY51" s="50" t="n"/>
      <c r="BZ51" s="50" t="n"/>
      <c r="CA51" s="50" t="n"/>
      <c r="CB51" s="50" t="n"/>
      <c r="CC51" s="50" t="n"/>
      <c r="CD51" s="50" t="n"/>
      <c r="CE51" s="50" t="n"/>
      <c r="CF51" s="50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</row>
    <row r="52" hidden="1" outlineLevel="1">
      <c r="C52" s="50" t="inlineStr">
        <is>
          <t>Outras Receitas (Despesas) Operacionais, Líquidas (%)</t>
        </is>
      </c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50" t="n"/>
      <c r="BB52" s="50" t="n"/>
      <c r="BC52" s="50" t="n"/>
      <c r="BD52" s="50" t="n"/>
      <c r="BE52" s="50" t="n"/>
      <c r="BF52" s="50" t="n"/>
      <c r="BG52" s="50" t="n"/>
      <c r="BH52" s="50" t="n"/>
      <c r="BI52" s="50" t="n"/>
      <c r="BJ52" s="50" t="n"/>
      <c r="BK52" s="50" t="n"/>
      <c r="BL52" s="50" t="n"/>
      <c r="BM52" s="50" t="n"/>
      <c r="BN52" s="50" t="n"/>
      <c r="BO52" s="50" t="n"/>
      <c r="BP52" s="50" t="n"/>
      <c r="BQ52" s="50" t="n"/>
      <c r="BR52" s="50" t="n"/>
      <c r="BS52" s="50" t="n"/>
      <c r="BT52" s="50" t="n"/>
      <c r="BU52" s="50" t="n"/>
      <c r="BV52" s="50" t="n"/>
      <c r="BW52" s="50" t="n"/>
      <c r="BX52" s="50" t="n"/>
      <c r="BY52" s="50" t="n"/>
      <c r="BZ52" s="50" t="n"/>
      <c r="CA52" s="50" t="n"/>
      <c r="CB52" s="50" t="n"/>
      <c r="CC52" s="50" t="n"/>
      <c r="CD52" s="50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</row>
    <row r="53" hidden="1" outlineLevel="1">
      <c r="C53" s="50" t="n"/>
      <c r="D53" s="50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50" t="n"/>
      <c r="AY53" s="50" t="n"/>
      <c r="AZ53" s="50" t="n"/>
      <c r="BA53" s="50" t="n"/>
      <c r="BB53" s="50" t="n"/>
      <c r="BC53" s="50" t="n"/>
      <c r="BD53" s="50" t="n"/>
      <c r="BE53" s="50" t="n"/>
      <c r="BF53" s="50" t="n"/>
      <c r="BG53" s="50" t="n"/>
      <c r="BH53" s="50" t="n"/>
      <c r="BI53" s="50" t="n"/>
      <c r="BJ53" s="50" t="n"/>
      <c r="BK53" s="50" t="n"/>
      <c r="BL53" s="50" t="n"/>
      <c r="BM53" s="50" t="n"/>
      <c r="BN53" s="50" t="n"/>
      <c r="BO53" s="50" t="n"/>
      <c r="BP53" s="50" t="n"/>
      <c r="BQ53" s="50" t="n"/>
      <c r="BR53" s="50" t="n"/>
      <c r="BS53" s="50" t="n"/>
      <c r="BT53" s="50" t="n"/>
      <c r="BU53" s="50" t="n"/>
      <c r="BV53" s="50" t="n"/>
      <c r="BW53" s="50" t="n"/>
      <c r="BX53" s="50" t="n"/>
      <c r="BY53" s="50" t="n"/>
      <c r="BZ53" s="50" t="n"/>
      <c r="CA53" s="50" t="n"/>
      <c r="CB53" s="50" t="n"/>
      <c r="CC53" s="50" t="n"/>
      <c r="CD53" s="50" t="n"/>
      <c r="CE53" s="50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</row>
    <row r="54" collapsed="1" customFormat="1" s="32">
      <c r="A54" s="30" t="n"/>
      <c r="B54" s="3" t="n"/>
      <c r="C54" s="33" t="inlineStr">
        <is>
          <t>EBITDA</t>
        </is>
      </c>
      <c r="D54" s="35" t="n"/>
      <c r="E54" s="35" t="n"/>
      <c r="F54" s="35" t="n"/>
      <c r="G54" s="35" t="n"/>
      <c r="H54" s="35" t="n"/>
      <c r="I54" s="35">
        <f>SUM(I15,I39,I43)</f>
        <v>1756</v>
      </c>
      <c r="J54" s="35">
        <f>SUM(J15,J39,J43)</f>
        <v>2065</v>
      </c>
      <c r="K54" s="35">
        <f>SUM(K15,K39,K43)</f>
        <v>2834</v>
      </c>
      <c r="L54" s="35">
        <f>SUM(L15,L39,L43)</f>
        <v>2125</v>
      </c>
      <c r="M54" s="35">
        <f>SUM(I54:L54)</f>
        <v>8780</v>
      </c>
      <c r="N54" s="35">
        <f>SUM(N15,N39,N43)</f>
        <v>2248</v>
      </c>
      <c r="O54" s="35">
        <f>SUM(O15,O39,O43)</f>
        <v>2229</v>
      </c>
      <c r="P54" s="35">
        <f>SUM(P15,P39,P43)</f>
        <v>3091</v>
      </c>
      <c r="Q54" s="35">
        <f>SUM(Q15,Q39,Q43)</f>
        <v>2198</v>
      </c>
      <c r="R54" s="35">
        <f>SUM(N54:Q54)</f>
        <v>9766</v>
      </c>
      <c r="S54" s="35">
        <f>SUM(S15,S39,S43)</f>
        <v>2373</v>
      </c>
      <c r="T54" s="35">
        <f>SUM(T15,T39,T43)</f>
        <v>2151</v>
      </c>
      <c r="U54" s="35">
        <f>SUM(U15,U39,U43)</f>
        <v>3469</v>
      </c>
      <c r="V54" s="35">
        <f>SUM(V15,V39,V43)</f>
        <v>2485</v>
      </c>
      <c r="W54" s="35">
        <f>SUM(S54:V54)</f>
        <v>10478</v>
      </c>
      <c r="X54" s="35">
        <f>SUM(X15,X39,X43)</f>
        <v>2576</v>
      </c>
      <c r="Y54" s="35">
        <f>SUM(Y15,Y39,Y43)</f>
        <v>2713</v>
      </c>
      <c r="Z54" s="35">
        <f>SUM(Z15,Z39,Z43)</f>
        <v>3748</v>
      </c>
      <c r="AA54" s="35">
        <f>SUM(AA15,AA39,AA43)</f>
        <v>2744</v>
      </c>
      <c r="AB54" s="35">
        <f>SUM(X54:AA54)</f>
        <v>11781</v>
      </c>
      <c r="AC54" s="35">
        <f>SUM(AC15,AC39,AC43)</f>
        <v>2868</v>
      </c>
      <c r="AD54" s="35">
        <f>SUM(AD15,AD39,AD43)</f>
        <v>3082</v>
      </c>
      <c r="AE54" s="35">
        <f>SUM(AE15,AE39,AE43)</f>
        <v>4115</v>
      </c>
      <c r="AF54" s="35">
        <f>SUM(AF15,AF39,AF43)</f>
        <v>3060</v>
      </c>
      <c r="AG54" s="35">
        <f>SUM(AC54:AF54)</f>
        <v>13125</v>
      </c>
      <c r="AH54" s="35">
        <f>SUM(AH15,AH39,AH43)</f>
        <v>3203</v>
      </c>
      <c r="AI54" s="35">
        <f>SUM(AI15,AI39,AI43)</f>
        <v>3412</v>
      </c>
      <c r="AJ54" s="35">
        <f>SUM(AJ15,AJ39,AJ43)</f>
        <v>4406.02308899022</v>
      </c>
      <c r="AK54" s="35">
        <f>SUM(AK15,AK39,AK43)</f>
        <v>3442.08408062891</v>
      </c>
      <c r="AL54" s="35">
        <f>SUM(AH54:AK54)</f>
        <v>14463.1071696191</v>
      </c>
      <c r="AM54" s="35">
        <f>SUM(AM15,AM39,AM43)</f>
        <v>3559.19482014546</v>
      </c>
      <c r="AN54" s="35">
        <f>SUM(AN15,AN39,AN43)</f>
        <v>3606.75507680502</v>
      </c>
      <c r="AO54" s="35">
        <f>SUM(AO15,AO39,AO43)</f>
        <v>4804.4323419405</v>
      </c>
      <c r="AP54" s="35">
        <f>SUM(AP15,AP39,AP43)</f>
        <v>3753.33032683724</v>
      </c>
      <c r="AQ54" s="35">
        <f>SUM(AM54:AP54)</f>
        <v>15723.7125657282</v>
      </c>
      <c r="AR54" s="35">
        <f>SUM(AR15,AR39,AR43)</f>
        <v>3863.23468774561</v>
      </c>
      <c r="AS54" s="35">
        <f>SUM(AS15,AS39,AS43)</f>
        <v>3914.857721204</v>
      </c>
      <c r="AT54" s="35">
        <f>SUM(AT15,AT39,AT43)</f>
        <v>5214.84510295866</v>
      </c>
      <c r="AU54" s="35">
        <f>SUM(AU15,AU39,AU43)</f>
        <v>4073.95398283159</v>
      </c>
      <c r="AV54" s="35">
        <f>SUM(AR54:AU54)</f>
        <v>17066.8914947399</v>
      </c>
      <c r="AW54" s="35">
        <f>SUM(AW15,AW39,AW43)</f>
        <v>4173.93061601096</v>
      </c>
      <c r="AX54" s="35">
        <f>SUM(AX15,AX39,AX43)</f>
        <v>4229.70536884355</v>
      </c>
      <c r="AY54" s="35">
        <f>SUM(AY15,AY39,AY43)</f>
        <v>5634.24264698136</v>
      </c>
      <c r="AZ54" s="35">
        <f>SUM(AZ15,AZ39,AZ43)</f>
        <v>4401.59675287123</v>
      </c>
      <c r="BA54" s="35">
        <f>SUM(AW54:AZ54)</f>
        <v>18439.4753847071</v>
      </c>
      <c r="BB54" s="35">
        <f>SUM(BB15,BB39,BB43)</f>
        <v>4488.74423150641</v>
      </c>
      <c r="BC54" s="35">
        <f>SUM(BC15,BC39,BC43)</f>
        <v>4548.72572690564</v>
      </c>
      <c r="BD54" s="35">
        <f>SUM(BD15,BD39,BD43)</f>
        <v>6059.19851267565</v>
      </c>
      <c r="BE54" s="35">
        <f>SUM(BE15,BE39,BE43)</f>
        <v>4733.58180849458</v>
      </c>
      <c r="BF54" s="35">
        <f>SUM(BB54:BE54)</f>
        <v>19830.2502795823</v>
      </c>
      <c r="BG54" s="35" t="n"/>
      <c r="BH54" s="35" t="n"/>
      <c r="BI54" s="35" t="n"/>
      <c r="BJ54" s="35" t="n"/>
      <c r="BK54" s="35" t="n"/>
      <c r="BL54" s="35" t="n"/>
      <c r="BM54" s="35" t="n"/>
      <c r="BN54" s="35" t="n"/>
      <c r="BO54" s="35" t="n"/>
      <c r="BP54" s="35" t="n"/>
      <c r="BQ54" s="35" t="n"/>
      <c r="BR54" s="35" t="n"/>
      <c r="BS54" s="35" t="n"/>
      <c r="BT54" s="35" t="n"/>
      <c r="BU54" s="35" t="n"/>
      <c r="BV54" s="35" t="n"/>
      <c r="BW54" s="35" t="n"/>
      <c r="BX54" s="35" t="n"/>
      <c r="BY54" s="35" t="n"/>
      <c r="BZ54" s="35" t="n"/>
      <c r="CA54" s="35" t="n"/>
      <c r="CB54" s="35" t="n"/>
      <c r="CC54" s="35" t="n"/>
      <c r="CD54" s="35" t="n"/>
      <c r="CE54" s="35" t="n"/>
      <c r="CF54" s="35" t="n"/>
      <c r="CG54" s="35" t="n"/>
      <c r="CH54" s="35" t="n"/>
      <c r="CI54" s="35" t="n"/>
      <c r="CJ54" s="35" t="n"/>
      <c r="CK54" s="35" t="n"/>
      <c r="CL54" s="35" t="n"/>
      <c r="CM54" s="35" t="n"/>
      <c r="CN54" s="35" t="n"/>
      <c r="CO54" s="35" t="n"/>
      <c r="CP54" s="35" t="n"/>
      <c r="CQ54" s="35" t="n"/>
      <c r="CR54" s="35" t="n"/>
      <c r="CS54" s="35" t="n"/>
      <c r="CT54" s="35" t="n"/>
      <c r="CU54" s="35" t="n"/>
      <c r="CV54" s="35" t="n"/>
      <c r="CW54" s="35" t="n"/>
      <c r="CX54" s="35" t="n"/>
      <c r="CY54" s="35" t="n"/>
    </row>
    <row r="55" ht="13.5" customHeight="1">
      <c r="C55" s="13" t="inlineStr">
        <is>
          <t>D&amp;A</t>
        </is>
      </c>
      <c r="D55" s="46" t="n"/>
      <c r="E55" s="46" t="n"/>
      <c r="F55" s="46" t="n"/>
      <c r="G55" s="46" t="n"/>
      <c r="H55" s="12" t="n"/>
      <c r="I55" s="46">
        <f>'Inputs (2)'!D7</f>
        <v>-416</v>
      </c>
      <c r="J55" s="46">
        <f>'Inputs (2)'!E7</f>
        <v>-402</v>
      </c>
      <c r="K55" s="46">
        <f>'Inputs (2)'!F7</f>
        <v>-559</v>
      </c>
      <c r="L55" s="46">
        <f>'Inputs (2)'!G7</f>
        <v>-432</v>
      </c>
      <c r="M55" s="12">
        <f>'Inputs (2)'!H7</f>
        <v>-1809</v>
      </c>
      <c r="N55" s="46">
        <f>'Inputs (2)'!I7</f>
        <v>-436</v>
      </c>
      <c r="O55" s="46">
        <f>'Inputs (2)'!J7</f>
        <v>-438</v>
      </c>
      <c r="P55" s="46">
        <f>'Inputs (2)'!K7</f>
        <v>-594</v>
      </c>
      <c r="Q55" s="46">
        <f>'Inputs (2)'!L7</f>
        <v>-447</v>
      </c>
      <c r="R55" s="12">
        <f>'Inputs (2)'!M7</f>
        <v>-1915</v>
      </c>
      <c r="S55" s="46">
        <f>'Inputs (2)'!N7</f>
        <v>-470</v>
      </c>
      <c r="T55" s="46">
        <f>'Inputs (2)'!O7</f>
        <v>-472</v>
      </c>
      <c r="U55" s="46">
        <f>'Inputs (2)'!P7</f>
        <v>-688</v>
      </c>
      <c r="V55" s="46">
        <f>'Inputs (2)'!Q7</f>
        <v>-501</v>
      </c>
      <c r="W55" s="12">
        <f>'Inputs (2)'!R7</f>
        <v>-2131</v>
      </c>
      <c r="X55" s="46">
        <f>'Inputs (2)'!S7</f>
        <v>-514</v>
      </c>
      <c r="Y55" s="46">
        <f>'Inputs (2)'!T7</f>
        <v>-516</v>
      </c>
      <c r="Z55" s="46">
        <f>'Inputs (2)'!U7</f>
        <v>-706</v>
      </c>
      <c r="AA55" s="46">
        <f>'Inputs (2)'!V7</f>
        <v>-548</v>
      </c>
      <c r="AB55" s="12">
        <f>'Inputs (2)'!W7</f>
        <v>-2284</v>
      </c>
      <c r="AC55" s="46">
        <f>'Inputs (2)'!X7</f>
        <v>-552</v>
      </c>
      <c r="AD55" s="46">
        <f>'Inputs (2)'!Y7</f>
        <v>-552</v>
      </c>
      <c r="AE55" s="46">
        <f>'Inputs (2)'!Z7</f>
        <v>-774</v>
      </c>
      <c r="AF55" s="46">
        <f>'Inputs (2)'!AA7</f>
        <v>-597</v>
      </c>
      <c r="AG55" s="12">
        <f>'Inputs (2)'!AB7</f>
        <v>-2475</v>
      </c>
      <c r="AH55" s="12">
        <f>'Inputs (2)'!AC7</f>
        <v>-597</v>
      </c>
      <c r="AI55" s="12">
        <f>'Inputs (2)'!AD7</f>
        <v>-597</v>
      </c>
      <c r="AJ55" s="12">
        <f>-AJ56*AJ15</f>
        <v>-818.780006287513</v>
      </c>
      <c r="AK55" s="12">
        <f>-AK56*AK15</f>
        <v>-639.649309197196</v>
      </c>
      <c r="AL55" s="12">
        <f>SUM(AH55:AK55)</f>
        <v>-2652.42931548471</v>
      </c>
      <c r="AM55" s="12">
        <f>-AM56*AM15</f>
        <v>-661.412230112726</v>
      </c>
      <c r="AN55" s="12">
        <f>-AN56*AN15</f>
        <v>-670.250446903749</v>
      </c>
      <c r="AO55" s="12">
        <f>-AO56*AO15</f>
        <v>-892.817187674684</v>
      </c>
      <c r="AP55" s="12">
        <f>-AP56*AP15</f>
        <v>-697.488816226612</v>
      </c>
      <c r="AQ55" s="12">
        <f>SUM(AM55:AP55)</f>
        <v>-2921.96868091777</v>
      </c>
      <c r="AR55" s="12">
        <f>-AR56*AR15</f>
        <v>-717.912561517561</v>
      </c>
      <c r="AS55" s="12">
        <f>-AS56*AS15</f>
        <v>-727.505772176229</v>
      </c>
      <c r="AT55" s="12">
        <f>-AT56*AT15</f>
        <v>-969.085004765026</v>
      </c>
      <c r="AU55" s="12">
        <f>-AU56*AU15</f>
        <v>-757.070945908812</v>
      </c>
      <c r="AV55" s="12">
        <f>SUM(AR55:AU55)</f>
        <v>-3171.57428436763</v>
      </c>
      <c r="AW55" s="12">
        <f>-AW56*AW15</f>
        <v>-775.649801872539</v>
      </c>
      <c r="AX55" s="12">
        <f>-AX56*AX15</f>
        <v>-786.014534773978</v>
      </c>
      <c r="AY55" s="12">
        <f>-AY56*AY15</f>
        <v>-1047.0224818949</v>
      </c>
      <c r="AZ55" s="12">
        <f>-AZ56*AZ15</f>
        <v>-817.957451470587</v>
      </c>
      <c r="BA55" s="12">
        <f>SUM(AW55:AZ55)</f>
        <v>-3426.644270012</v>
      </c>
      <c r="BB55" s="12">
        <f>-BB56*BB15</f>
        <v>-834.152240209472</v>
      </c>
      <c r="BC55" s="12">
        <f>-BC56*BC15</f>
        <v>-845.298720422625</v>
      </c>
      <c r="BD55" s="12">
        <f>-BD56*BD15</f>
        <v>-1125.99287296128</v>
      </c>
      <c r="BE55" s="12">
        <f>-BE56*BE15</f>
        <v>-879.650892571674</v>
      </c>
      <c r="BF55" s="12">
        <f>SUM(BB55:BE55)</f>
        <v>-3685.09472616506</v>
      </c>
      <c r="BG55" s="12" t="n"/>
      <c r="BH55" s="12" t="n"/>
      <c r="BI55" s="12" t="n"/>
      <c r="BJ55" s="12" t="n"/>
      <c r="BK55" s="12" t="n"/>
      <c r="BL55" s="12" t="n"/>
      <c r="BM55" s="12" t="n"/>
      <c r="BN55" s="12" t="n"/>
      <c r="BO55" s="12" t="n"/>
      <c r="BP55" s="12" t="n"/>
      <c r="BQ55" s="12" t="n"/>
      <c r="BR55" s="12" t="n"/>
      <c r="BS55" s="12" t="n"/>
      <c r="BT55" s="12" t="n"/>
      <c r="BU55" s="12" t="n"/>
      <c r="BV55" s="12" t="n"/>
      <c r="BW55" s="12" t="n"/>
      <c r="BX55" s="12" t="n"/>
      <c r="BY55" s="12" t="n"/>
      <c r="BZ55" s="12" t="n"/>
      <c r="CA55" s="12" t="n"/>
      <c r="CB55" s="12" t="n"/>
      <c r="CC55" s="12" t="n"/>
      <c r="CD55" s="12" t="n"/>
      <c r="CE55" s="12" t="n"/>
      <c r="CF55" s="12" t="n"/>
      <c r="CG55" s="12" t="n"/>
      <c r="CH55" s="12" t="n"/>
      <c r="CI55" s="12" t="n"/>
      <c r="CJ55" s="12" t="n"/>
      <c r="CK55" s="12" t="n"/>
      <c r="CL55" s="12" t="n"/>
      <c r="CM55" s="12" t="n"/>
      <c r="CN55" s="12" t="n"/>
      <c r="CO55" s="12" t="n"/>
      <c r="CP55" s="12" t="n"/>
      <c r="CQ55" s="12" t="n"/>
      <c r="CR55" s="12" t="n"/>
      <c r="CS55" s="12" t="n"/>
      <c r="CT55" s="12" t="n"/>
      <c r="CU55" s="12" t="n"/>
      <c r="CV55" s="12" t="n"/>
      <c r="CW55" s="12" t="n"/>
      <c r="CX55" s="12" t="n"/>
      <c r="CY55" s="12" t="n"/>
    </row>
    <row r="56" hidden="1" outlineLevel="1" customFormat="1" s="56">
      <c r="A56" s="53" t="n"/>
      <c r="B56" s="53" t="n"/>
      <c r="C56" s="54" t="inlineStr">
        <is>
          <t>% of Revenue</t>
        </is>
      </c>
      <c r="D56" s="53" t="n"/>
      <c r="E56" s="53" t="n"/>
      <c r="F56" s="53" t="n"/>
      <c r="G56" s="53" t="n"/>
      <c r="H56" s="53" t="n"/>
      <c r="I56" s="53">
        <f>IFERROR(-I55/I15,"")</f>
        <v>0.00929214411758136</v>
      </c>
      <c r="J56" s="53">
        <f>IFERROR(-J55/J15,"")</f>
        <v>0.00887868012456656</v>
      </c>
      <c r="K56" s="53">
        <f>IFERROR(-K55/K15,"")</f>
        <v>0.00891902672516953</v>
      </c>
      <c r="L56" s="53">
        <f>IFERROR(-L55/L15,"")</f>
        <v>0.0085777257113357</v>
      </c>
      <c r="M56" s="53" t="n"/>
      <c r="N56" s="53">
        <f>IFERROR(-N55/N15,"")</f>
        <v>0.00840012330456227</v>
      </c>
      <c r="O56" s="53">
        <f>IFERROR(-O55/O15,"")</f>
        <v>0.00832762947752681</v>
      </c>
      <c r="P56" s="53">
        <f>IFERROR(-P55/P15,"")</f>
        <v>0.00823958607870608</v>
      </c>
      <c r="Q56" s="53">
        <f>IFERROR(-Q55/Q15,"")</f>
        <v>0.00821132685489649</v>
      </c>
      <c r="R56" s="53" t="n"/>
      <c r="S56" s="53">
        <f>IFERROR(-S55/S15,"")</f>
        <v>0.00850432453949987</v>
      </c>
      <c r="T56" s="53">
        <f>IFERROR(-T55/T15,"")</f>
        <v>0.00879809126155682</v>
      </c>
      <c r="U56" s="53">
        <f>IFERROR(-U55/U15,"")</f>
        <v>0.00871559051926171</v>
      </c>
      <c r="V56" s="53">
        <f>IFERROR(-V55/V15,"")</f>
        <v>0.00866797003408363</v>
      </c>
      <c r="W56" s="53" t="n"/>
      <c r="X56" s="53">
        <f>IFERROR(-X55/X15,"")</f>
        <v>0.00879504465966257</v>
      </c>
      <c r="Y56" s="53">
        <f>IFERROR(-Y55/Y15,"")</f>
        <v>0.00881825173032556</v>
      </c>
      <c r="Z56" s="53">
        <f>IFERROR(-Z55/Z15,"")</f>
        <v>0.00885855176480922</v>
      </c>
      <c r="AA56" s="53">
        <f>IFERROR(-AA55/AA15,"")</f>
        <v>0.0088172354427121</v>
      </c>
      <c r="AB56" s="53" t="n"/>
      <c r="AC56" s="53">
        <f>IFERROR(-AC55/AC15,"")</f>
        <v>0.00866249234970105</v>
      </c>
      <c r="AD56" s="53">
        <f>IFERROR(-AD55/AD15,"")</f>
        <v>0.00873348627482003</v>
      </c>
      <c r="AE56" s="53">
        <f>IFERROR(-AE55/AE15,"")</f>
        <v>0.0089837039788291</v>
      </c>
      <c r="AF56" s="55">
        <f>IFERROR(-AF55/AF15,"")</f>
        <v>0.00886980551799961</v>
      </c>
      <c r="AG56" s="53" t="n"/>
      <c r="AH56" s="55">
        <f>IFERROR(-AH55/AH15,"")</f>
        <v>0.008577955946377</v>
      </c>
      <c r="AI56" s="55">
        <f>IFERROR(-AI55/AI15,"")</f>
        <v>0.0084648432515207</v>
      </c>
      <c r="AJ56" s="55">
        <f>Control!$B$21</f>
        <v>0.00871538121987458</v>
      </c>
      <c r="AK56" s="55">
        <f>Control!$B$21</f>
        <v>0.00871538121987458</v>
      </c>
      <c r="AL56" s="53" t="n"/>
      <c r="AM56" s="55">
        <f>Control!$C$21</f>
        <v>0.00871538121987458</v>
      </c>
      <c r="AN56" s="55">
        <f>Control!$C$21</f>
        <v>0.00871538121987458</v>
      </c>
      <c r="AO56" s="55">
        <f>Control!$C$21</f>
        <v>0.00871538121987458</v>
      </c>
      <c r="AP56" s="55">
        <f>Control!$C$21</f>
        <v>0.00871538121987458</v>
      </c>
      <c r="AQ56" s="53" t="n"/>
      <c r="AR56" s="55">
        <f>Control!$D$21</f>
        <v>0.00871538121987458</v>
      </c>
      <c r="AS56" s="55">
        <f>Control!$D$21</f>
        <v>0.00871538121987458</v>
      </c>
      <c r="AT56" s="55">
        <f>Control!$D$21</f>
        <v>0.00871538121987458</v>
      </c>
      <c r="AU56" s="55">
        <f>Control!$D$21</f>
        <v>0.00871538121987458</v>
      </c>
      <c r="AV56" s="53" t="n"/>
      <c r="AW56" s="55">
        <f>Control!$E$21</f>
        <v>0.00871538121987458</v>
      </c>
      <c r="AX56" s="55">
        <f>Control!$E$21</f>
        <v>0.00871538121987458</v>
      </c>
      <c r="AY56" s="55">
        <f>Control!$E$21</f>
        <v>0.00871538121987458</v>
      </c>
      <c r="AZ56" s="55">
        <f>Control!$E$21</f>
        <v>0.00871538121987458</v>
      </c>
      <c r="BA56" s="53" t="n"/>
      <c r="BB56" s="55">
        <f>Control!$F$21</f>
        <v>0.00871538121987458</v>
      </c>
      <c r="BC56" s="55">
        <f>Control!$F$21</f>
        <v>0.00871538121987458</v>
      </c>
      <c r="BD56" s="55">
        <f>Control!$F$21</f>
        <v>0.00871538121987458</v>
      </c>
      <c r="BE56" s="55">
        <f>Control!$F$21</f>
        <v>0.00871538121987458</v>
      </c>
      <c r="BF56" s="53" t="n"/>
      <c r="BG56" s="55" t="n"/>
      <c r="BH56" s="55" t="n"/>
      <c r="BI56" s="55" t="n"/>
      <c r="BJ56" s="55" t="n"/>
      <c r="BK56" s="53" t="n"/>
      <c r="BL56" s="55" t="n"/>
      <c r="BM56" s="55" t="n"/>
      <c r="BN56" s="55" t="n"/>
      <c r="BO56" s="55" t="n"/>
      <c r="BP56" s="53" t="n"/>
      <c r="BQ56" s="55" t="n"/>
      <c r="BR56" s="55" t="n"/>
      <c r="BS56" s="55" t="n"/>
      <c r="BT56" s="55" t="n"/>
      <c r="BU56" s="53" t="n"/>
      <c r="BV56" s="55" t="n"/>
      <c r="BW56" s="55" t="n"/>
      <c r="BX56" s="55" t="n"/>
      <c r="BY56" s="55" t="n"/>
      <c r="BZ56" s="53" t="n"/>
      <c r="CA56" s="55" t="n"/>
      <c r="CB56" s="55" t="n"/>
      <c r="CC56" s="55" t="n"/>
      <c r="CD56" s="55" t="n"/>
      <c r="CE56" s="53" t="n"/>
      <c r="CF56" s="55" t="n"/>
      <c r="CG56" s="55" t="n"/>
      <c r="CH56" s="55" t="n"/>
      <c r="CI56" s="55" t="n"/>
      <c r="CJ56" s="53" t="n"/>
      <c r="CK56" s="55" t="n"/>
      <c r="CL56" s="55" t="n"/>
      <c r="CM56" s="55" t="n"/>
      <c r="CN56" s="55" t="n"/>
      <c r="CO56" s="53" t="n"/>
      <c r="CP56" s="55" t="n"/>
      <c r="CQ56" s="55" t="n"/>
      <c r="CR56" s="55" t="n"/>
      <c r="CS56" s="55" t="n"/>
      <c r="CT56" s="53" t="n"/>
      <c r="CU56" s="55" t="n"/>
      <c r="CV56" s="55" t="n"/>
      <c r="CW56" s="55" t="n"/>
      <c r="CX56" s="55" t="n"/>
      <c r="CY56" s="53" t="n"/>
    </row>
    <row r="57" hidden="1" outlineLevel="1">
      <c r="C57" s="50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2" t="n"/>
      <c r="AK57" s="12" t="n"/>
      <c r="AL57" s="12" t="n"/>
      <c r="AM57" s="12" t="n"/>
      <c r="AN57" s="12" t="n"/>
      <c r="AO57" s="12" t="n"/>
      <c r="AP57" s="12" t="n"/>
      <c r="AQ57" s="12" t="n"/>
      <c r="AR57" s="12" t="n"/>
      <c r="AS57" s="12" t="n"/>
      <c r="AT57" s="12" t="n"/>
      <c r="AU57" s="12" t="n"/>
      <c r="AV57" s="12" t="n"/>
      <c r="AW57" s="12" t="n"/>
      <c r="AX57" s="12" t="n"/>
      <c r="AY57" s="12" t="n"/>
      <c r="AZ57" s="12" t="n"/>
      <c r="BA57" s="12" t="n"/>
      <c r="BB57" s="12" t="n"/>
      <c r="BC57" s="12" t="n"/>
      <c r="BD57" s="12" t="n"/>
      <c r="BE57" s="12" t="n"/>
      <c r="BF57" s="12" t="n"/>
      <c r="BG57" s="12" t="n"/>
      <c r="BH57" s="12" t="n"/>
      <c r="BI57" s="12" t="n"/>
      <c r="BJ57" s="12" t="n"/>
      <c r="BK57" s="12" t="n"/>
      <c r="BL57" s="12" t="n"/>
      <c r="BM57" s="12" t="n"/>
      <c r="BN57" s="12" t="n"/>
      <c r="BO57" s="12" t="n"/>
      <c r="BP57" s="12" t="n"/>
      <c r="BQ57" s="12" t="n"/>
      <c r="BR57" s="12" t="n"/>
      <c r="BS57" s="12" t="n"/>
      <c r="BT57" s="12" t="n"/>
      <c r="BU57" s="12" t="n"/>
      <c r="BV57" s="12" t="n"/>
      <c r="BW57" s="12" t="n"/>
      <c r="BX57" s="12" t="n"/>
      <c r="BY57" s="12" t="n"/>
      <c r="BZ57" s="12" t="n"/>
      <c r="CA57" s="12" t="n"/>
      <c r="CB57" s="12" t="n"/>
      <c r="CC57" s="12" t="n"/>
      <c r="CD57" s="12" t="n"/>
      <c r="CE57" s="12" t="n"/>
      <c r="CF57" s="12" t="n"/>
      <c r="CG57" s="12" t="n"/>
      <c r="CH57" s="12" t="n"/>
      <c r="CI57" s="12" t="n"/>
      <c r="CJ57" s="12" t="n"/>
      <c r="CK57" s="12" t="n"/>
      <c r="CL57" s="12" t="n"/>
      <c r="CM57" s="12" t="n"/>
      <c r="CN57" s="12" t="n"/>
      <c r="CO57" s="12" t="n"/>
      <c r="CP57" s="12" t="n"/>
      <c r="CQ57" s="12" t="n"/>
      <c r="CR57" s="12" t="n"/>
      <c r="CS57" s="12" t="n"/>
      <c r="CT57" s="12" t="n"/>
      <c r="CU57" s="12" t="n"/>
      <c r="CV57" s="12" t="n"/>
      <c r="CW57" s="12" t="n"/>
      <c r="CX57" s="12" t="n"/>
      <c r="CY57" s="12" t="n"/>
    </row>
    <row r="58" collapsed="1" customFormat="1" s="32">
      <c r="A58" s="30" t="n"/>
      <c r="B58" s="3" t="n"/>
      <c r="C58" s="33" t="inlineStr">
        <is>
          <t>Operating Profit - EBIT</t>
        </is>
      </c>
      <c r="D58" s="35" t="n"/>
      <c r="E58" s="35" t="n"/>
      <c r="F58" s="35" t="n"/>
      <c r="G58" s="35" t="n"/>
      <c r="H58" s="35" t="n"/>
      <c r="I58" s="35">
        <f>SUM(I54,I55)</f>
        <v>1340</v>
      </c>
      <c r="J58" s="35">
        <f>SUM(J54,J55)</f>
        <v>1663</v>
      </c>
      <c r="K58" s="35">
        <f>SUM(K54,K55)</f>
        <v>2275</v>
      </c>
      <c r="L58" s="35">
        <f>SUM(L54,L55)</f>
        <v>1693</v>
      </c>
      <c r="M58" s="35">
        <f>SUM(I58:L58)</f>
        <v>6971</v>
      </c>
      <c r="N58" s="35">
        <f>SUM(N54,N55)</f>
        <v>1812</v>
      </c>
      <c r="O58" s="35">
        <f>SUM(O54,O55)</f>
        <v>1791</v>
      </c>
      <c r="P58" s="35">
        <f>SUM(P54,P55)</f>
        <v>2497</v>
      </c>
      <c r="Q58" s="35">
        <f>SUM(Q54,Q55)</f>
        <v>1751</v>
      </c>
      <c r="R58" s="35">
        <f>SUM(N58:Q58)</f>
        <v>7851</v>
      </c>
      <c r="S58" s="35">
        <f>SUM(S54,S55)</f>
        <v>1903</v>
      </c>
      <c r="T58" s="35">
        <f>SUM(T54,T55)</f>
        <v>1679</v>
      </c>
      <c r="U58" s="35">
        <f>SUM(U54,U55)</f>
        <v>2781</v>
      </c>
      <c r="V58" s="35">
        <f>SUM(V54,V55)</f>
        <v>1984</v>
      </c>
      <c r="W58" s="35">
        <f>SUM(S58:V58)</f>
        <v>8347</v>
      </c>
      <c r="X58" s="35">
        <f>SUM(X54,X55)</f>
        <v>2062</v>
      </c>
      <c r="Y58" s="35">
        <f>SUM(Y54,Y55)</f>
        <v>2197</v>
      </c>
      <c r="Z58" s="35">
        <f>SUM(Z54,Z55)</f>
        <v>3042</v>
      </c>
      <c r="AA58" s="35">
        <f>SUM(AA54,AA55)</f>
        <v>2196</v>
      </c>
      <c r="AB58" s="35">
        <f>SUM(X58:AA58)</f>
        <v>9497</v>
      </c>
      <c r="AC58" s="35">
        <f>SUM(AC54,AC55)</f>
        <v>2316</v>
      </c>
      <c r="AD58" s="35">
        <f>SUM(AD54,AD55)</f>
        <v>2530</v>
      </c>
      <c r="AE58" s="35">
        <f>SUM(AE54,AE55)</f>
        <v>3341</v>
      </c>
      <c r="AF58" s="35">
        <f>SUM(AF54,AF55)</f>
        <v>2463</v>
      </c>
      <c r="AG58" s="35">
        <f>SUM(AC58:AF58)</f>
        <v>10650</v>
      </c>
      <c r="AH58" s="35">
        <f>SUM(AH54,AH55)</f>
        <v>2606</v>
      </c>
      <c r="AI58" s="35">
        <f>SUM(AI54,AI55)</f>
        <v>2815</v>
      </c>
      <c r="AJ58" s="35">
        <f>SUM(AJ54,AJ55)</f>
        <v>3587.24308270271</v>
      </c>
      <c r="AK58" s="35">
        <f>SUM(AK54,AK55)</f>
        <v>2802.43477143172</v>
      </c>
      <c r="AL58" s="35">
        <f>SUM(AL54,AL55)</f>
        <v>11810.6778541344</v>
      </c>
      <c r="AM58" s="35">
        <f>SUM(AM54,AM55)</f>
        <v>2897.78259003274</v>
      </c>
      <c r="AN58" s="35">
        <f>SUM(AN54,AN55)</f>
        <v>2936.50462990127</v>
      </c>
      <c r="AO58" s="35">
        <f>SUM(AO54,AO55)</f>
        <v>3911.61515426582</v>
      </c>
      <c r="AP58" s="35">
        <f>SUM(AP54,AP55)</f>
        <v>3055.84151061063</v>
      </c>
      <c r="AQ58" s="35">
        <f>SUM(AQ54,AQ55)</f>
        <v>12801.7438848105</v>
      </c>
      <c r="AR58" s="35">
        <f>SUM(AR54,AR55)</f>
        <v>3145.32212622805</v>
      </c>
      <c r="AS58" s="35">
        <f>SUM(AS54,AS55)</f>
        <v>3187.35194902777</v>
      </c>
      <c r="AT58" s="35">
        <f>SUM(AT54,AT55)</f>
        <v>4245.76009819364</v>
      </c>
      <c r="AU58" s="35">
        <f>SUM(AU54,AU55)</f>
        <v>3316.88303692278</v>
      </c>
      <c r="AV58" s="35">
        <f>SUM(AV54,AV55)</f>
        <v>13895.3172103722</v>
      </c>
      <c r="AW58" s="35">
        <f>SUM(AW54,AW55)</f>
        <v>3398.28081413843</v>
      </c>
      <c r="AX58" s="35">
        <f>SUM(AX54,AX55)</f>
        <v>3443.69083406957</v>
      </c>
      <c r="AY58" s="35">
        <f>SUM(AY54,AY55)</f>
        <v>4587.22016508646</v>
      </c>
      <c r="AZ58" s="35">
        <f>SUM(AZ54,AZ55)</f>
        <v>3583.63930140064</v>
      </c>
      <c r="BA58" s="35">
        <f>SUM(BA54,BA55)</f>
        <v>15012.8311146951</v>
      </c>
      <c r="BB58" s="35">
        <f>SUM(BB54,BB55)</f>
        <v>3654.59199129693</v>
      </c>
      <c r="BC58" s="35">
        <f>SUM(BC54,BC55)</f>
        <v>3703.42700648302</v>
      </c>
      <c r="BD58" s="35">
        <f>SUM(BD54,BD55)</f>
        <v>4933.20563971436</v>
      </c>
      <c r="BE58" s="35">
        <f>SUM(BE54,BE55)</f>
        <v>3853.9309159229</v>
      </c>
      <c r="BF58" s="35">
        <f>SUM(BF54,BF55)</f>
        <v>16145.1555534172</v>
      </c>
      <c r="BG58" s="35" t="n"/>
      <c r="BH58" s="35" t="n"/>
      <c r="BI58" s="35" t="n"/>
      <c r="BJ58" s="35" t="n"/>
      <c r="BK58" s="35" t="n"/>
      <c r="BL58" s="35" t="n"/>
      <c r="BM58" s="35" t="n"/>
      <c r="BN58" s="35" t="n"/>
      <c r="BO58" s="35" t="n"/>
      <c r="BP58" s="35" t="n"/>
      <c r="BQ58" s="35" t="n"/>
      <c r="BR58" s="35" t="n"/>
      <c r="BS58" s="35" t="n"/>
      <c r="BT58" s="35" t="n"/>
      <c r="BU58" s="35" t="n"/>
      <c r="BV58" s="35" t="n"/>
      <c r="BW58" s="35" t="n"/>
      <c r="BX58" s="35" t="n"/>
      <c r="BY58" s="35" t="n"/>
      <c r="BZ58" s="35" t="n"/>
      <c r="CA58" s="35" t="n"/>
      <c r="CB58" s="35" t="n"/>
      <c r="CC58" s="35" t="n"/>
      <c r="CD58" s="35" t="n"/>
      <c r="CE58" s="35" t="n"/>
      <c r="CF58" s="35" t="n"/>
      <c r="CG58" s="35" t="n"/>
      <c r="CH58" s="35" t="n"/>
      <c r="CI58" s="35" t="n"/>
      <c r="CJ58" s="35" t="n"/>
      <c r="CK58" s="35" t="n"/>
      <c r="CL58" s="35" t="n"/>
      <c r="CM58" s="35" t="n"/>
      <c r="CN58" s="35" t="n"/>
      <c r="CO58" s="35" t="n"/>
      <c r="CP58" s="35" t="n"/>
      <c r="CQ58" s="35" t="n"/>
      <c r="CR58" s="35" t="n"/>
      <c r="CS58" s="35" t="n"/>
      <c r="CT58" s="35" t="n"/>
      <c r="CU58" s="35" t="n"/>
      <c r="CV58" s="35" t="n"/>
      <c r="CW58" s="35" t="n"/>
      <c r="CX58" s="35" t="n"/>
      <c r="CY58" s="35" t="n"/>
    </row>
    <row r="59">
      <c r="C59" s="14" t="inlineStr">
        <is>
          <t>Interest Expense</t>
        </is>
      </c>
      <c r="D59" s="46" t="n"/>
      <c r="E59" s="46" t="n"/>
      <c r="F59" s="46" t="n"/>
      <c r="G59" s="46" t="n"/>
      <c r="H59" s="12" t="n"/>
      <c r="I59" s="46">
        <f>'Inputs (2)'!D8</f>
        <v>-40</v>
      </c>
      <c r="J59" s="46">
        <f>'Inputs (2)'!E8</f>
        <v>-40</v>
      </c>
      <c r="K59" s="46">
        <f>'Inputs (2)'!F8</f>
        <v>-52</v>
      </c>
      <c r="L59" s="46">
        <f>'Inputs (2)'!G8</f>
        <v>-39</v>
      </c>
      <c r="M59" s="12">
        <f>'Inputs (2)'!H8</f>
        <v>-171</v>
      </c>
      <c r="N59" s="46">
        <f>'Inputs (2)'!I8</f>
        <v>-36</v>
      </c>
      <c r="O59" s="46">
        <f>'Inputs (2)'!J8</f>
        <v>-35</v>
      </c>
      <c r="P59" s="46">
        <f>'Inputs (2)'!K8</f>
        <v>-48</v>
      </c>
      <c r="Q59" s="46">
        <f>'Inputs (2)'!L8</f>
        <v>-34</v>
      </c>
      <c r="R59" s="12">
        <f>'Inputs (2)'!M8</f>
        <v>-153</v>
      </c>
      <c r="S59" s="46">
        <f>'Inputs (2)'!N8</f>
        <v>-34</v>
      </c>
      <c r="T59" s="46">
        <f>'Inputs (2)'!O8</f>
        <v>-36</v>
      </c>
      <c r="U59" s="46">
        <f>'Inputs (2)'!P8</f>
        <v>-56</v>
      </c>
      <c r="V59" s="46">
        <f>'Inputs (2)'!Q8</f>
        <v>-38</v>
      </c>
      <c r="W59" s="12">
        <f>'Inputs (2)'!R8</f>
        <v>-164</v>
      </c>
      <c r="X59" s="46">
        <f>'Inputs (2)'!S8</f>
        <v>-41</v>
      </c>
      <c r="Y59" s="46">
        <f>'Inputs (2)'!T8</f>
        <v>-41</v>
      </c>
      <c r="Z59" s="46">
        <f>'Inputs (2)'!U8</f>
        <v>-49</v>
      </c>
      <c r="AA59" s="46">
        <f>'Inputs (2)'!V8</f>
        <v>-37</v>
      </c>
      <c r="AB59" s="12">
        <f>'Inputs (2)'!W8</f>
        <v>-168</v>
      </c>
      <c r="AC59" s="46">
        <f>'Inputs (2)'!X8</f>
        <v>-36</v>
      </c>
      <c r="AD59" s="46">
        <f>'Inputs (2)'!Y8</f>
        <v>-35</v>
      </c>
      <c r="AE59" s="46">
        <f>'Inputs (2)'!Z8</f>
        <v>-46</v>
      </c>
      <c r="AF59" s="46">
        <f>'Inputs (2)'!AA8</f>
        <v>-35</v>
      </c>
      <c r="AG59" s="12">
        <f>'Inputs (2)'!AB8</f>
        <v>-152</v>
      </c>
      <c r="AH59" s="12">
        <f>'Inputs (2)'!AC8</f>
        <v>-33</v>
      </c>
      <c r="AI59" s="12">
        <f>'Inputs (2)'!AD8</f>
        <v>-32</v>
      </c>
      <c r="AJ59" s="12" t="str">
        <f>IF(Control!$E$9="","",-AI77*Control!$E$9/4)</f>
        <v/>
      </c>
      <c r="AK59" s="12" t="str">
        <f>IF(Control!$E$9="","",-AJ77*Control!$E$9/4)</f>
        <v/>
      </c>
      <c r="AL59" s="12">
        <f>SUM(AH59:AK59)</f>
        <v>-65</v>
      </c>
      <c r="AM59" s="12" t="str">
        <f>IF(Control!$E$9="","",-AL77*Control!$E$9/4)</f>
        <v/>
      </c>
      <c r="AN59" s="12" t="str">
        <f>IF(Control!$E$9="","",-AM77*Control!$E$9/4)</f>
        <v/>
      </c>
      <c r="AO59" s="12" t="str">
        <f>IF(Control!$E$9="","",-AN77*Control!$E$9/4)</f>
        <v/>
      </c>
      <c r="AP59" s="12" t="str">
        <f>IF(Control!$E$9="","",-AO77*Control!$E$9/4)</f>
        <v/>
      </c>
      <c r="AQ59" s="12">
        <f>SUM(AM59:AP59)</f>
        <v>0</v>
      </c>
      <c r="AR59" s="12" t="str">
        <f>IF(Control!$E$9="","",-AQ77*Control!$E$9/4)</f>
        <v/>
      </c>
      <c r="AS59" s="12" t="str">
        <f>IF(Control!$E$9="","",-AR77*Control!$E$9/4)</f>
        <v/>
      </c>
      <c r="AT59" s="12" t="str">
        <f>IF(Control!$E$9="","",-AS77*Control!$E$9/4)</f>
        <v/>
      </c>
      <c r="AU59" s="12" t="str">
        <f>IF(Control!$E$9="","",-AT77*Control!$E$9/4)</f>
        <v/>
      </c>
      <c r="AV59" s="12">
        <f>SUM(AR59:AU59)</f>
        <v>0</v>
      </c>
      <c r="AW59" s="12" t="str">
        <f>IF(Control!$E$9="","",-AV77*Control!$E$9/4)</f>
        <v/>
      </c>
      <c r="AX59" s="12" t="str">
        <f>IF(Control!$E$9="","",-AW77*Control!$E$9/4)</f>
        <v/>
      </c>
      <c r="AY59" s="12" t="str">
        <f>IF(Control!$E$9="","",-AX77*Control!$E$9/4)</f>
        <v/>
      </c>
      <c r="AZ59" s="12" t="str">
        <f>IF(Control!$E$9="","",-AY77*Control!$E$9/4)</f>
        <v/>
      </c>
      <c r="BA59" s="12">
        <f>SUM(AW59:AZ59)</f>
        <v>0</v>
      </c>
      <c r="BB59" s="12" t="str">
        <f>IF(Control!$E$9="","",-BA77*Control!$E$9/4)</f>
        <v/>
      </c>
      <c r="BC59" s="12" t="str">
        <f>IF(Control!$E$9="","",-BB77*Control!$E$9/4)</f>
        <v/>
      </c>
      <c r="BD59" s="12" t="str">
        <f>IF(Control!$E$9="","",-BC77*Control!$E$9/4)</f>
        <v/>
      </c>
      <c r="BE59" s="12" t="str">
        <f>IF(Control!$E$9="","",-BD77*Control!$E$9/4)</f>
        <v/>
      </c>
      <c r="BF59" s="12">
        <f>SUM(BB59:BE59)</f>
        <v>0</v>
      </c>
      <c r="BG59" s="12" t="n"/>
      <c r="BH59" s="12" t="n"/>
      <c r="BI59" s="12" t="n"/>
      <c r="BJ59" s="12" t="n"/>
      <c r="BK59" s="12" t="n"/>
      <c r="BL59" s="12" t="n"/>
      <c r="BM59" s="12" t="n"/>
      <c r="BN59" s="12" t="n"/>
      <c r="BO59" s="12" t="n"/>
      <c r="BP59" s="12" t="n"/>
      <c r="BQ59" s="12" t="n"/>
      <c r="BR59" s="12" t="n"/>
      <c r="BS59" s="12" t="n"/>
      <c r="BT59" s="12" t="n"/>
      <c r="BU59" s="12" t="n"/>
      <c r="BV59" s="12" t="n"/>
      <c r="BW59" s="12" t="n"/>
      <c r="BX59" s="12" t="n"/>
      <c r="BY59" s="12" t="n"/>
      <c r="BZ59" s="12" t="n"/>
      <c r="CA59" s="12" t="n"/>
      <c r="CB59" s="12" t="n"/>
      <c r="CC59" s="12" t="n"/>
      <c r="CD59" s="12" t="n"/>
      <c r="CE59" s="12" t="n"/>
      <c r="CF59" s="12" t="n"/>
      <c r="CG59" s="12" t="n"/>
      <c r="CH59" s="12" t="n"/>
      <c r="CI59" s="12" t="n"/>
      <c r="CJ59" s="12" t="n"/>
      <c r="CK59" s="12" t="n"/>
      <c r="CL59" s="12" t="n"/>
      <c r="CM59" s="12" t="n"/>
      <c r="CN59" s="12" t="n"/>
      <c r="CO59" s="12" t="n"/>
      <c r="CP59" s="12" t="n"/>
      <c r="CQ59" s="12" t="n"/>
      <c r="CR59" s="12" t="n"/>
      <c r="CS59" s="12" t="n"/>
      <c r="CT59" s="12" t="n"/>
      <c r="CU59" s="12" t="n"/>
      <c r="CV59" s="12" t="n"/>
      <c r="CW59" s="12" t="n"/>
      <c r="CX59" s="12" t="n"/>
      <c r="CY59" s="12" t="n"/>
    </row>
    <row r="60" hidden="1" outlineLevel="1">
      <c r="C60" s="50" t="inlineStr">
        <is>
          <t>% of Debt</t>
        </is>
      </c>
      <c r="D60" s="53" t="n"/>
      <c r="E60" s="53" t="n"/>
      <c r="F60" s="53" t="n"/>
      <c r="G60" s="53" t="n"/>
      <c r="H60" s="12" t="n"/>
      <c r="I60" s="53">
        <f>IFERROR(-I59/SUM(I197+I202),"")</f>
        <v>0.00525141131679139</v>
      </c>
      <c r="J60" s="53">
        <f>IFERROR(-J59/SUM(J197+J202),"")</f>
        <v>0.00527217609068143</v>
      </c>
      <c r="K60" s="53">
        <f>IFERROR(-K59/SUM(K197+K202),"")</f>
        <v>0.00694166332932853</v>
      </c>
      <c r="L60" s="53">
        <f>IFERROR(-L59/SUM(L197+L202),"")</f>
        <v>0.00522368068577552</v>
      </c>
      <c r="M60" s="12" t="n"/>
      <c r="N60" s="53">
        <f>IFERROR(-N59/SUM(N197+N202),"")</f>
        <v>0.00540702913787924</v>
      </c>
      <c r="O60" s="53">
        <f>IFERROR(-O59/SUM(O197+O202),"")</f>
        <v>0.00531591737545565</v>
      </c>
      <c r="P60" s="53">
        <f>IFERROR(-P59/SUM(P197+P202),"")</f>
        <v>0.00732042092420314</v>
      </c>
      <c r="Q60" s="53">
        <f>IFERROR(-Q59/SUM(Q197+Q202),"")</f>
        <v>0.00519639309185389</v>
      </c>
      <c r="R60" s="12" t="n"/>
      <c r="S60" s="53">
        <f>IFERROR(-S59/SUM(S197+S202),"")</f>
        <v>0.0051656031601337</v>
      </c>
      <c r="T60" s="53">
        <f>IFERROR(-T59/SUM(T197+T202),"")</f>
        <v>0.00554101893181468</v>
      </c>
      <c r="U60" s="53">
        <f>IFERROR(-U59/SUM(U197+U202),"")</f>
        <v>0.00867141529885413</v>
      </c>
      <c r="V60" s="53">
        <f>IFERROR(-V59/SUM(V197+V202),"")</f>
        <v>0.00547077454650158</v>
      </c>
      <c r="W60" s="12" t="n"/>
      <c r="X60" s="53">
        <f>IFERROR(-X59/SUM(X197+X202),"")</f>
        <v>0.00590352771778258</v>
      </c>
      <c r="Y60" s="53">
        <f>IFERROR(-Y59/SUM(Y197+Y202),"")</f>
        <v>0.00593257126320359</v>
      </c>
      <c r="Z60" s="53">
        <f>IFERROR(-Z59/SUM(Z197+Z202),"")</f>
        <v>0.00830930981855181</v>
      </c>
      <c r="AA60" s="53">
        <f>IFERROR(-AA59/SUM(AA197+AA202),"")</f>
        <v>0.00644038294168843</v>
      </c>
      <c r="AB60" s="12" t="n"/>
      <c r="AC60" s="53">
        <f>IFERROR(-AC59/SUM(AC197+AC202),"")</f>
        <v>0.00625543006081668</v>
      </c>
      <c r="AD60" s="53">
        <f>IFERROR(-AD59/SUM(AD197+AD202),"")</f>
        <v>0.00612209200629701</v>
      </c>
      <c r="AE60" s="53">
        <f>IFERROR(-AE59/SUM(AE197+AE202),"")</f>
        <v>0.00805181165762297</v>
      </c>
      <c r="AF60" s="55">
        <f>IFERROR(-AF59/SUM(AF197+AF202),"")</f>
        <v>0.00617719731733145</v>
      </c>
      <c r="AG60" s="12" t="n"/>
      <c r="AH60" s="11">
        <f>IFERROR(-AH59/SUM(AH197+AH202),"")</f>
        <v>0.00580168776371308</v>
      </c>
      <c r="AI60" s="11">
        <f>IFERROR(-AI59/SUM(AI197+AI202),"")</f>
        <v>0.00564373897707231</v>
      </c>
      <c r="AJ60" s="11" t="str">
        <f>IFERROR(Control!$E$9,0)</f>
        <v/>
      </c>
      <c r="AK60" s="11" t="str">
        <f>IFERROR(Control!$E$9,0)</f>
        <v/>
      </c>
      <c r="AL60" s="12" t="n"/>
      <c r="AM60" s="11" t="str">
        <f>IFERROR(Control!$E$9,0)</f>
        <v/>
      </c>
      <c r="AN60" s="11" t="str">
        <f>IFERROR(Control!$E$9,0)</f>
        <v/>
      </c>
      <c r="AO60" s="11" t="str">
        <f>IFERROR(Control!$E$9,0)</f>
        <v/>
      </c>
      <c r="AP60" s="11" t="str">
        <f>IFERROR(Control!$E$9,0)</f>
        <v/>
      </c>
      <c r="AQ60" s="12" t="n"/>
      <c r="AR60" s="11" t="str">
        <f>IFERROR(Control!$E$9,0)</f>
        <v/>
      </c>
      <c r="AS60" s="11" t="str">
        <f>IFERROR(Control!$E$9,0)</f>
        <v/>
      </c>
      <c r="AT60" s="11" t="str">
        <f>IFERROR(Control!$E$9,0)</f>
        <v/>
      </c>
      <c r="AU60" s="11" t="str">
        <f>IFERROR(Control!$E$9,0)</f>
        <v/>
      </c>
      <c r="AV60" s="12" t="n"/>
      <c r="AW60" s="11" t="str">
        <f>IFERROR(Control!$E$9,0)</f>
        <v/>
      </c>
      <c r="AX60" s="11" t="str">
        <f>IFERROR(Control!$E$9,0)</f>
        <v/>
      </c>
      <c r="AY60" s="11" t="str">
        <f>IFERROR(Control!$E$9,0)</f>
        <v/>
      </c>
      <c r="AZ60" s="11" t="str">
        <f>IFERROR(Control!$E$9,0)</f>
        <v/>
      </c>
      <c r="BA60" s="12" t="n"/>
      <c r="BB60" s="11" t="str">
        <f>IFERROR(Control!$E$9,0)</f>
        <v/>
      </c>
      <c r="BC60" s="11" t="str">
        <f>IFERROR(Control!$E$9,0)</f>
        <v/>
      </c>
      <c r="BD60" s="11" t="str">
        <f>IFERROR(Control!$E$9,0)</f>
        <v/>
      </c>
      <c r="BE60" s="11" t="str">
        <f>IFERROR(Control!$E$9,0)</f>
        <v/>
      </c>
      <c r="BF60" s="12" t="n"/>
      <c r="BG60" s="11" t="n"/>
      <c r="BH60" s="11" t="n"/>
      <c r="BI60" s="11" t="n"/>
      <c r="BJ60" s="11" t="n"/>
      <c r="BK60" s="12" t="n"/>
      <c r="BL60" s="11" t="n"/>
      <c r="BM60" s="11" t="n"/>
      <c r="BN60" s="11" t="n"/>
      <c r="BO60" s="11" t="n"/>
      <c r="BP60" s="12" t="n"/>
      <c r="BQ60" s="11" t="n"/>
      <c r="BR60" s="11" t="n"/>
      <c r="BS60" s="11" t="n"/>
      <c r="BT60" s="11" t="n"/>
      <c r="BU60" s="12" t="n"/>
      <c r="BV60" s="11" t="n"/>
      <c r="BW60" s="11" t="n"/>
      <c r="BX60" s="11" t="n"/>
      <c r="BY60" s="11" t="n"/>
      <c r="BZ60" s="12" t="n"/>
      <c r="CA60" s="11" t="n"/>
      <c r="CB60" s="11" t="n"/>
      <c r="CC60" s="11" t="n"/>
      <c r="CD60" s="11" t="n"/>
      <c r="CE60" s="12" t="n"/>
      <c r="CF60" s="11" t="n"/>
      <c r="CG60" s="11" t="n"/>
      <c r="CH60" s="11" t="n"/>
      <c r="CI60" s="11" t="n"/>
      <c r="CJ60" s="12" t="n"/>
      <c r="CK60" s="11" t="n"/>
      <c r="CL60" s="11" t="n"/>
      <c r="CM60" s="11" t="n"/>
      <c r="CN60" s="11" t="n"/>
      <c r="CO60" s="12" t="n"/>
      <c r="CP60" s="11" t="n"/>
      <c r="CQ60" s="11" t="n"/>
      <c r="CR60" s="11" t="n"/>
      <c r="CS60" s="11" t="n"/>
      <c r="CT60" s="12" t="n"/>
      <c r="CU60" s="11" t="n"/>
      <c r="CV60" s="11" t="n"/>
      <c r="CW60" s="11" t="n"/>
      <c r="CX60" s="11" t="n"/>
      <c r="CY60" s="12" t="n"/>
    </row>
    <row r="61" hidden="1" outlineLevel="1">
      <c r="C61" s="50" t="inlineStr">
        <is>
          <t>%CDI</t>
        </is>
      </c>
      <c r="D61" s="11" t="n"/>
      <c r="E61" s="11" t="n"/>
      <c r="F61" s="11" t="n"/>
      <c r="G61" s="11" t="n"/>
      <c r="H61" s="12" t="n"/>
      <c r="I61" s="11" t="n"/>
      <c r="J61" s="11" t="n"/>
      <c r="K61" s="11" t="n"/>
      <c r="L61" s="11" t="n"/>
      <c r="M61" s="12" t="n"/>
      <c r="N61" s="11" t="n"/>
      <c r="O61" s="11" t="n"/>
      <c r="P61" s="11" t="n"/>
      <c r="Q61" s="11" t="n"/>
      <c r="R61" s="12" t="n"/>
      <c r="S61" s="11" t="n"/>
      <c r="T61" s="11" t="n"/>
      <c r="U61" s="11" t="n"/>
      <c r="V61" s="11" t="n"/>
      <c r="W61" s="12" t="n"/>
      <c r="X61" s="11" t="n"/>
      <c r="Y61" s="11" t="n"/>
      <c r="Z61" s="11" t="n"/>
      <c r="AA61" s="11" t="n"/>
      <c r="AB61" s="12" t="n"/>
      <c r="AC61" s="11" t="n"/>
      <c r="AD61" s="11" t="n"/>
      <c r="AE61" s="11" t="n"/>
      <c r="AF61" s="11" t="n"/>
      <c r="AG61" s="12" t="n"/>
      <c r="AH61" s="11" t="n"/>
      <c r="AI61" s="11" t="n"/>
      <c r="AJ61" s="11" t="n"/>
      <c r="AK61" s="11" t="n"/>
      <c r="AL61" s="12" t="n"/>
      <c r="AM61" s="11" t="n"/>
      <c r="AN61" s="11" t="n"/>
      <c r="AO61" s="11" t="n"/>
      <c r="AP61" s="11" t="n"/>
      <c r="AQ61" s="12" t="n"/>
      <c r="AR61" s="11" t="n"/>
      <c r="AS61" s="11" t="n"/>
      <c r="AT61" s="11" t="n"/>
      <c r="AU61" s="11" t="n"/>
      <c r="AV61" s="12" t="n"/>
      <c r="AW61" s="11" t="n"/>
      <c r="AX61" s="11" t="n"/>
      <c r="AY61" s="11" t="n"/>
      <c r="AZ61" s="11" t="n"/>
      <c r="BA61" s="12" t="n"/>
      <c r="BB61" s="11" t="n"/>
      <c r="BC61" s="11" t="n"/>
      <c r="BD61" s="11" t="n"/>
      <c r="BE61" s="11" t="n"/>
      <c r="BF61" s="12" t="n"/>
      <c r="BG61" s="11" t="n"/>
      <c r="BH61" s="11" t="n"/>
      <c r="BI61" s="11" t="n"/>
      <c r="BJ61" s="11" t="n"/>
      <c r="BK61" s="12" t="n"/>
      <c r="BL61" s="11" t="n"/>
      <c r="BM61" s="11" t="n"/>
      <c r="BN61" s="11" t="n"/>
      <c r="BO61" s="11" t="n"/>
      <c r="BP61" s="12" t="n"/>
      <c r="BQ61" s="11" t="n"/>
      <c r="BR61" s="11" t="n"/>
      <c r="BS61" s="11" t="n"/>
      <c r="BT61" s="11" t="n"/>
      <c r="BU61" s="12" t="n"/>
      <c r="BV61" s="11" t="n"/>
      <c r="BW61" s="11" t="n"/>
      <c r="BX61" s="11" t="n"/>
      <c r="BY61" s="11" t="n"/>
      <c r="BZ61" s="12" t="n"/>
      <c r="CA61" s="11" t="n"/>
      <c r="CB61" s="11" t="n"/>
      <c r="CC61" s="11" t="n"/>
      <c r="CD61" s="11" t="n"/>
      <c r="CE61" s="12" t="n"/>
      <c r="CF61" s="11" t="n"/>
      <c r="CG61" s="11" t="n"/>
      <c r="CH61" s="11" t="n"/>
      <c r="CI61" s="11" t="n"/>
      <c r="CJ61" s="12" t="n"/>
      <c r="CK61" s="11" t="n"/>
      <c r="CL61" s="11" t="n"/>
      <c r="CM61" s="11" t="n"/>
      <c r="CN61" s="11" t="n"/>
      <c r="CO61" s="12" t="n"/>
      <c r="CP61" s="11" t="n"/>
      <c r="CQ61" s="11" t="n"/>
      <c r="CR61" s="11" t="n"/>
      <c r="CS61" s="11" t="n"/>
      <c r="CT61" s="12" t="n"/>
      <c r="CU61" s="11" t="n"/>
      <c r="CV61" s="11" t="n"/>
      <c r="CW61" s="11" t="n"/>
      <c r="CX61" s="11" t="n"/>
      <c r="CY61" s="12" t="n"/>
    </row>
    <row r="62" hidden="1" outlineLevel="1">
      <c r="C62" s="57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2" t="n"/>
      <c r="AK62" s="12" t="n"/>
      <c r="AL62" s="12" t="n"/>
      <c r="AM62" s="12" t="n"/>
      <c r="AN62" s="12" t="n"/>
      <c r="AO62" s="12" t="n"/>
      <c r="AP62" s="12" t="n"/>
      <c r="AQ62" s="12" t="n"/>
      <c r="AR62" s="12" t="n"/>
      <c r="AS62" s="12" t="n"/>
      <c r="AT62" s="12" t="n"/>
      <c r="AU62" s="12" t="n"/>
      <c r="AV62" s="12" t="n"/>
      <c r="AW62" s="12" t="n"/>
      <c r="AX62" s="12" t="n"/>
      <c r="AY62" s="12" t="n"/>
      <c r="AZ62" s="12" t="n"/>
      <c r="BA62" s="12" t="n"/>
      <c r="BB62" s="12" t="n"/>
      <c r="BC62" s="12" t="n"/>
      <c r="BD62" s="12" t="n"/>
      <c r="BE62" s="12" t="n"/>
      <c r="BF62" s="12" t="n"/>
      <c r="BG62" s="12" t="n"/>
      <c r="BH62" s="12" t="n"/>
      <c r="BI62" s="12" t="n"/>
      <c r="BJ62" s="12" t="n"/>
      <c r="BK62" s="12" t="n"/>
      <c r="BL62" s="12" t="n"/>
      <c r="BM62" s="12" t="n"/>
      <c r="BN62" s="12" t="n"/>
      <c r="BO62" s="12" t="n"/>
      <c r="BP62" s="12" t="n"/>
      <c r="BQ62" s="12" t="n"/>
      <c r="BR62" s="12" t="n"/>
      <c r="BS62" s="12" t="n"/>
      <c r="BT62" s="12" t="n"/>
      <c r="BU62" s="12" t="n"/>
      <c r="BV62" s="12" t="n"/>
      <c r="BW62" s="12" t="n"/>
      <c r="BX62" s="12" t="n"/>
      <c r="BY62" s="12" t="n"/>
      <c r="BZ62" s="12" t="n"/>
      <c r="CA62" s="12" t="n"/>
      <c r="CB62" s="12" t="n"/>
      <c r="CC62" s="12" t="n"/>
      <c r="CD62" s="12" t="n"/>
      <c r="CE62" s="12" t="n"/>
      <c r="CF62" s="12" t="n"/>
      <c r="CG62" s="12" t="n"/>
      <c r="CH62" s="12" t="n"/>
      <c r="CI62" s="12" t="n"/>
      <c r="CJ62" s="12" t="n"/>
      <c r="CK62" s="12" t="n"/>
      <c r="CL62" s="12" t="n"/>
      <c r="CM62" s="12" t="n"/>
      <c r="CN62" s="12" t="n"/>
      <c r="CO62" s="12" t="n"/>
      <c r="CP62" s="12" t="n"/>
      <c r="CQ62" s="12" t="n"/>
      <c r="CR62" s="12" t="n"/>
      <c r="CS62" s="12" t="n"/>
      <c r="CT62" s="12" t="n"/>
      <c r="CU62" s="12" t="n"/>
      <c r="CV62" s="12" t="n"/>
      <c r="CW62" s="12" t="n"/>
      <c r="CX62" s="12" t="n"/>
      <c r="CY62" s="12" t="n"/>
    </row>
    <row r="63" hidden="1" outlineLevel="1">
      <c r="C63" s="57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  <c r="AL63" s="12" t="n"/>
      <c r="AM63" s="12" t="n"/>
      <c r="AN63" s="12" t="n"/>
      <c r="AO63" s="12" t="n"/>
      <c r="AP63" s="12" t="n"/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  <c r="BE63" s="12" t="n"/>
      <c r="BF63" s="12" t="n"/>
      <c r="BG63" s="12" t="n"/>
      <c r="BH63" s="12" t="n"/>
      <c r="BI63" s="12" t="n"/>
      <c r="BJ63" s="12" t="n"/>
      <c r="BK63" s="12" t="n"/>
      <c r="BL63" s="12" t="n"/>
      <c r="BM63" s="12" t="n"/>
      <c r="BN63" s="12" t="n"/>
      <c r="BO63" s="12" t="n"/>
      <c r="BP63" s="12" t="n"/>
      <c r="BQ63" s="12" t="n"/>
      <c r="BR63" s="12" t="n"/>
      <c r="BS63" s="12" t="n"/>
      <c r="BT63" s="12" t="n"/>
      <c r="BU63" s="12" t="n"/>
      <c r="BV63" s="12" t="n"/>
      <c r="BW63" s="12" t="n"/>
      <c r="BX63" s="12" t="n"/>
      <c r="BY63" s="12" t="n"/>
      <c r="BZ63" s="12" t="n"/>
      <c r="CA63" s="12" t="n"/>
      <c r="CB63" s="12" t="n"/>
      <c r="CC63" s="12" t="n"/>
      <c r="CD63" s="12" t="n"/>
      <c r="CE63" s="12" t="n"/>
      <c r="CF63" s="12" t="n"/>
      <c r="CG63" s="12" t="n"/>
      <c r="CH63" s="12" t="n"/>
      <c r="CI63" s="12" t="n"/>
      <c r="CJ63" s="12" t="n"/>
      <c r="CK63" s="12" t="n"/>
      <c r="CL63" s="12" t="n"/>
      <c r="CM63" s="12" t="n"/>
      <c r="CN63" s="12" t="n"/>
      <c r="CO63" s="12" t="n"/>
      <c r="CP63" s="12" t="n"/>
      <c r="CQ63" s="12" t="n"/>
      <c r="CR63" s="12" t="n"/>
      <c r="CS63" s="12" t="n"/>
      <c r="CT63" s="12" t="n"/>
      <c r="CU63" s="12" t="n"/>
      <c r="CV63" s="12" t="n"/>
      <c r="CW63" s="12" t="n"/>
      <c r="CX63" s="12" t="n"/>
      <c r="CY63" s="12" t="n"/>
    </row>
    <row r="64" hidden="1" outlineLevel="1">
      <c r="C64" s="57" t="inlineStr">
        <is>
          <t>RECEITA FINANCEIRA</t>
        </is>
      </c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  <c r="BE64" s="12" t="n"/>
      <c r="BF64" s="12" t="n"/>
      <c r="BG64" s="12" t="n"/>
      <c r="BH64" s="12" t="n"/>
      <c r="BI64" s="12" t="n"/>
      <c r="BJ64" s="12" t="n"/>
      <c r="BK64" s="12" t="n"/>
      <c r="BL64" s="12" t="n"/>
      <c r="BM64" s="12" t="n"/>
      <c r="BN64" s="12" t="n"/>
      <c r="BO64" s="12" t="n"/>
      <c r="BP64" s="12" t="n"/>
      <c r="BQ64" s="12" t="n"/>
      <c r="BR64" s="12" t="n"/>
      <c r="BS64" s="12" t="n"/>
      <c r="BT64" s="12" t="n"/>
      <c r="BU64" s="12" t="n"/>
      <c r="BV64" s="12" t="n"/>
      <c r="BW64" s="12" t="n"/>
      <c r="BX64" s="12" t="n"/>
      <c r="BY64" s="12" t="n"/>
      <c r="BZ64" s="12" t="n"/>
      <c r="CA64" s="12" t="n"/>
      <c r="CB64" s="12" t="n"/>
      <c r="CC64" s="12" t="n"/>
      <c r="CD64" s="12" t="n"/>
      <c r="CE64" s="12" t="n"/>
      <c r="CF64" s="12" t="n"/>
      <c r="CG64" s="12" t="n"/>
      <c r="CH64" s="12" t="n"/>
      <c r="CI64" s="12" t="n"/>
      <c r="CJ64" s="12" t="n"/>
      <c r="CK64" s="12" t="n"/>
      <c r="CL64" s="12" t="n"/>
      <c r="CM64" s="12" t="n"/>
      <c r="CN64" s="12" t="n"/>
      <c r="CO64" s="12" t="n"/>
      <c r="CP64" s="12" t="n"/>
      <c r="CQ64" s="12" t="n"/>
      <c r="CR64" s="12" t="n"/>
      <c r="CS64" s="12" t="n"/>
      <c r="CT64" s="12" t="n"/>
      <c r="CU64" s="12" t="n"/>
      <c r="CV64" s="12" t="n"/>
      <c r="CW64" s="12" t="n"/>
      <c r="CX64" s="12" t="n"/>
      <c r="CY64" s="12" t="n"/>
    </row>
    <row r="65" hidden="1" outlineLevel="1">
      <c r="C65" s="57" t="inlineStr">
        <is>
          <t>DESPESA FINANCEIRA</t>
        </is>
      </c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2" t="n"/>
      <c r="AK65" s="12" t="n"/>
      <c r="AL65" s="12" t="n"/>
      <c r="AM65" s="12" t="n"/>
      <c r="AN65" s="12" t="n"/>
      <c r="AO65" s="12" t="n"/>
      <c r="AP65" s="12" t="n"/>
      <c r="AQ65" s="12" t="n"/>
      <c r="AR65" s="12" t="n"/>
      <c r="AS65" s="12" t="n"/>
      <c r="AT65" s="12" t="n"/>
      <c r="AU65" s="12" t="n"/>
      <c r="AV65" s="12" t="n"/>
      <c r="AW65" s="12" t="n"/>
      <c r="AX65" s="12" t="n"/>
      <c r="AY65" s="12" t="n"/>
      <c r="AZ65" s="12" t="n"/>
      <c r="BA65" s="12" t="n"/>
      <c r="BB65" s="12" t="n"/>
      <c r="BC65" s="12" t="n"/>
      <c r="BD65" s="12" t="n"/>
      <c r="BE65" s="12" t="n"/>
      <c r="BF65" s="12" t="n"/>
      <c r="BG65" s="12" t="n"/>
      <c r="BH65" s="12" t="n"/>
      <c r="BI65" s="12" t="n"/>
      <c r="BJ65" s="12" t="n"/>
      <c r="BK65" s="12" t="n"/>
      <c r="BL65" s="12" t="n"/>
      <c r="BM65" s="12" t="n"/>
      <c r="BN65" s="12" t="n"/>
      <c r="BO65" s="12" t="n"/>
      <c r="BP65" s="12" t="n"/>
      <c r="BQ65" s="12" t="n"/>
      <c r="BR65" s="12" t="n"/>
      <c r="BS65" s="12" t="n"/>
      <c r="BT65" s="12" t="n"/>
      <c r="BU65" s="12" t="n"/>
      <c r="BV65" s="12" t="n"/>
      <c r="BW65" s="12" t="n"/>
      <c r="BX65" s="12" t="n"/>
      <c r="BY65" s="12" t="n"/>
      <c r="BZ65" s="12" t="n"/>
      <c r="CA65" s="12" t="n"/>
      <c r="CB65" s="12" t="n"/>
      <c r="CC65" s="12" t="n"/>
      <c r="CD65" s="12" t="n"/>
      <c r="CE65" s="12" t="n"/>
      <c r="CF65" s="12" t="n"/>
      <c r="CG65" s="12" t="n"/>
      <c r="CH65" s="12" t="n"/>
      <c r="CI65" s="12" t="n"/>
      <c r="CJ65" s="12" t="n"/>
      <c r="CK65" s="12" t="n"/>
      <c r="CL65" s="12" t="n"/>
      <c r="CM65" s="12" t="n"/>
      <c r="CN65" s="12" t="n"/>
      <c r="CO65" s="12" t="n"/>
      <c r="CP65" s="12" t="n"/>
      <c r="CQ65" s="12" t="n"/>
      <c r="CR65" s="12" t="n"/>
      <c r="CS65" s="12" t="n"/>
      <c r="CT65" s="12" t="n"/>
      <c r="CU65" s="12" t="n"/>
      <c r="CV65" s="12" t="n"/>
      <c r="CW65" s="12" t="n"/>
      <c r="CX65" s="12" t="n"/>
      <c r="CY65" s="12" t="n"/>
    </row>
    <row r="66" hidden="1" outlineLevel="1">
      <c r="C66" s="57" t="inlineStr">
        <is>
          <t>OUTROS</t>
        </is>
      </c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  <c r="AL66" s="12" t="n"/>
      <c r="AM66" s="12" t="n"/>
      <c r="AN66" s="12" t="n"/>
      <c r="AO66" s="12" t="n"/>
      <c r="AP66" s="12" t="n"/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  <c r="BE66" s="12" t="n"/>
      <c r="BF66" s="12" t="n"/>
      <c r="BG66" s="12" t="n"/>
      <c r="BH66" s="12" t="n"/>
      <c r="BI66" s="12" t="n"/>
      <c r="BJ66" s="12" t="n"/>
      <c r="BK66" s="12" t="n"/>
      <c r="BL66" s="12" t="n"/>
      <c r="BM66" s="12" t="n"/>
      <c r="BN66" s="12" t="n"/>
      <c r="BO66" s="12" t="n"/>
      <c r="BP66" s="12" t="n"/>
      <c r="BQ66" s="12" t="n"/>
      <c r="BR66" s="12" t="n"/>
      <c r="BS66" s="12" t="n"/>
      <c r="BT66" s="12" t="n"/>
      <c r="BU66" s="12" t="n"/>
      <c r="BV66" s="12" t="n"/>
      <c r="BW66" s="12" t="n"/>
      <c r="BX66" s="12" t="n"/>
      <c r="BY66" s="12" t="n"/>
      <c r="BZ66" s="12" t="n"/>
      <c r="CA66" s="12" t="n"/>
      <c r="CB66" s="12" t="n"/>
      <c r="CC66" s="12" t="n"/>
      <c r="CD66" s="12" t="n"/>
      <c r="CE66" s="12" t="n"/>
      <c r="CF66" s="12" t="n"/>
      <c r="CG66" s="12" t="n"/>
      <c r="CH66" s="12" t="n"/>
      <c r="CI66" s="12" t="n"/>
      <c r="CJ66" s="12" t="n"/>
      <c r="CK66" s="12" t="n"/>
      <c r="CL66" s="12" t="n"/>
      <c r="CM66" s="12" t="n"/>
      <c r="CN66" s="12" t="n"/>
      <c r="CO66" s="12" t="n"/>
      <c r="CP66" s="12" t="n"/>
      <c r="CQ66" s="12" t="n"/>
      <c r="CR66" s="12" t="n"/>
      <c r="CS66" s="12" t="n"/>
      <c r="CT66" s="12" t="n"/>
      <c r="CU66" s="12" t="n"/>
      <c r="CV66" s="12" t="n"/>
      <c r="CW66" s="12" t="n"/>
      <c r="CX66" s="12" t="n"/>
      <c r="CY66" s="12" t="n"/>
    </row>
    <row r="67" hidden="1" outlineLevel="1">
      <c r="C67" s="57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  <c r="AL67" s="12" t="n"/>
      <c r="AM67" s="12" t="n"/>
      <c r="AN67" s="12" t="n"/>
      <c r="AO67" s="12" t="n"/>
      <c r="AP67" s="12" t="n"/>
      <c r="AQ67" s="12" t="n"/>
      <c r="AR67" s="12" t="n"/>
      <c r="AS67" s="12" t="n"/>
      <c r="AT67" s="12" t="n"/>
      <c r="AU67" s="12" t="n"/>
      <c r="AV67" s="12" t="n"/>
      <c r="AW67" s="12" t="n"/>
      <c r="AX67" s="12" t="n"/>
      <c r="AY67" s="12" t="n"/>
      <c r="AZ67" s="12" t="n"/>
      <c r="BA67" s="12" t="n"/>
      <c r="BB67" s="12" t="n"/>
      <c r="BC67" s="12" t="n"/>
      <c r="BD67" s="12" t="n"/>
      <c r="BE67" s="12" t="n"/>
      <c r="BF67" s="12" t="n"/>
      <c r="BG67" s="12" t="n"/>
      <c r="BH67" s="12" t="n"/>
      <c r="BI67" s="12" t="n"/>
      <c r="BJ67" s="12" t="n"/>
      <c r="BK67" s="12" t="n"/>
      <c r="BL67" s="12" t="n"/>
      <c r="BM67" s="12" t="n"/>
      <c r="BN67" s="12" t="n"/>
      <c r="BO67" s="12" t="n"/>
      <c r="BP67" s="12" t="n"/>
      <c r="BQ67" s="12" t="n"/>
      <c r="BR67" s="12" t="n"/>
      <c r="BS67" s="12" t="n"/>
      <c r="BT67" s="12" t="n"/>
      <c r="BU67" s="12" t="n"/>
      <c r="BV67" s="12" t="n"/>
      <c r="BW67" s="12" t="n"/>
      <c r="BX67" s="12" t="n"/>
      <c r="BY67" s="12" t="n"/>
      <c r="BZ67" s="12" t="n"/>
      <c r="CA67" s="12" t="n"/>
      <c r="CB67" s="12" t="n"/>
      <c r="CC67" s="12" t="n"/>
      <c r="CD67" s="12" t="n"/>
      <c r="CE67" s="12" t="n"/>
      <c r="CF67" s="12" t="n"/>
      <c r="CG67" s="12" t="n"/>
      <c r="CH67" s="12" t="n"/>
      <c r="CI67" s="12" t="n"/>
      <c r="CJ67" s="12" t="n"/>
      <c r="CK67" s="12" t="n"/>
      <c r="CL67" s="12" t="n"/>
      <c r="CM67" s="12" t="n"/>
      <c r="CN67" s="12" t="n"/>
      <c r="CO67" s="12" t="n"/>
      <c r="CP67" s="12" t="n"/>
      <c r="CQ67" s="12" t="n"/>
      <c r="CR67" s="12" t="n"/>
      <c r="CS67" s="12" t="n"/>
      <c r="CT67" s="12" t="n"/>
      <c r="CU67" s="12" t="n"/>
      <c r="CV67" s="12" t="n"/>
      <c r="CW67" s="12" t="n"/>
      <c r="CX67" s="12" t="n"/>
      <c r="CY67" s="12" t="n"/>
    </row>
    <row r="68" hidden="1" outlineLevel="1">
      <c r="C68" s="57" t="inlineStr">
        <is>
          <t>Cash and equivalents (inc. investment securities)</t>
        </is>
      </c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  <c r="BE68" s="12" t="n"/>
      <c r="BF68" s="12" t="n"/>
      <c r="BG68" s="12" t="n"/>
      <c r="BH68" s="12" t="n"/>
      <c r="BI68" s="12" t="n"/>
      <c r="BJ68" s="12" t="n"/>
      <c r="BK68" s="12" t="n"/>
      <c r="BL68" s="12" t="n"/>
      <c r="BM68" s="12" t="n"/>
      <c r="BN68" s="12" t="n"/>
      <c r="BO68" s="12" t="n"/>
      <c r="BP68" s="12" t="n"/>
      <c r="BQ68" s="12" t="n"/>
      <c r="BR68" s="12" t="n"/>
      <c r="BS68" s="12" t="n"/>
      <c r="BT68" s="12" t="n"/>
      <c r="BU68" s="12" t="n"/>
      <c r="BV68" s="12" t="n"/>
      <c r="BW68" s="12" t="n"/>
      <c r="BX68" s="12" t="n"/>
      <c r="BY68" s="12" t="n"/>
      <c r="BZ68" s="12" t="n"/>
      <c r="CA68" s="12" t="n"/>
      <c r="CB68" s="12" t="n"/>
      <c r="CC68" s="12" t="n"/>
      <c r="CD68" s="12" t="n"/>
      <c r="CE68" s="12" t="n"/>
      <c r="CF68" s="12" t="n"/>
      <c r="CG68" s="12" t="n"/>
      <c r="CH68" s="12" t="n"/>
      <c r="CI68" s="12" t="n"/>
      <c r="CJ68" s="12" t="n"/>
      <c r="CK68" s="12" t="n"/>
      <c r="CL68" s="12" t="n"/>
      <c r="CM68" s="12" t="n"/>
      <c r="CN68" s="12" t="n"/>
      <c r="CO68" s="12" t="n"/>
      <c r="CP68" s="12" t="n"/>
      <c r="CQ68" s="12" t="n"/>
      <c r="CR68" s="12" t="n"/>
      <c r="CS68" s="12" t="n"/>
      <c r="CT68" s="12" t="n"/>
      <c r="CU68" s="12" t="n"/>
      <c r="CV68" s="12" t="n"/>
      <c r="CW68" s="12" t="n"/>
      <c r="CX68" s="12" t="n"/>
      <c r="CY68" s="12" t="n"/>
    </row>
    <row r="69" hidden="1" outlineLevel="1">
      <c r="C69" s="57" t="inlineStr">
        <is>
          <t>Interest on cash</t>
        </is>
      </c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  <c r="BE69" s="12" t="n"/>
      <c r="BF69" s="12" t="n"/>
      <c r="BG69" s="12" t="n"/>
      <c r="BH69" s="12" t="n"/>
      <c r="BI69" s="12" t="n"/>
      <c r="BJ69" s="12" t="n"/>
      <c r="BK69" s="12" t="n"/>
      <c r="BL69" s="12" t="n"/>
      <c r="BM69" s="12" t="n"/>
      <c r="BN69" s="12" t="n"/>
      <c r="BO69" s="12" t="n"/>
      <c r="BP69" s="12" t="n"/>
      <c r="BQ69" s="12" t="n"/>
      <c r="BR69" s="12" t="n"/>
      <c r="BS69" s="12" t="n"/>
      <c r="BT69" s="12" t="n"/>
      <c r="BU69" s="12" t="n"/>
      <c r="BV69" s="12" t="n"/>
      <c r="BW69" s="12" t="n"/>
      <c r="BX69" s="12" t="n"/>
      <c r="BY69" s="12" t="n"/>
      <c r="BZ69" s="12" t="n"/>
      <c r="CA69" s="12" t="n"/>
      <c r="CB69" s="12" t="n"/>
      <c r="CC69" s="12" t="n"/>
      <c r="CD69" s="12" t="n"/>
      <c r="CE69" s="12" t="n"/>
      <c r="CF69" s="12" t="n"/>
      <c r="CG69" s="12" t="n"/>
      <c r="CH69" s="12" t="n"/>
      <c r="CI69" s="12" t="n"/>
      <c r="CJ69" s="12" t="n"/>
      <c r="CK69" s="12" t="n"/>
      <c r="CL69" s="12" t="n"/>
      <c r="CM69" s="12" t="n"/>
      <c r="CN69" s="12" t="n"/>
      <c r="CO69" s="12" t="n"/>
      <c r="CP69" s="12" t="n"/>
      <c r="CQ69" s="12" t="n"/>
      <c r="CR69" s="12" t="n"/>
      <c r="CS69" s="12" t="n"/>
      <c r="CT69" s="12" t="n"/>
      <c r="CU69" s="12" t="n"/>
      <c r="CV69" s="12" t="n"/>
      <c r="CW69" s="12" t="n"/>
      <c r="CX69" s="12" t="n"/>
      <c r="CY69" s="12" t="n"/>
    </row>
    <row r="70" hidden="1" outlineLevel="1">
      <c r="C70" s="57" t="inlineStr">
        <is>
          <t>Average interest rate</t>
        </is>
      </c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  <c r="BE70" s="12" t="n"/>
      <c r="BF70" s="12" t="n"/>
      <c r="BG70" s="12" t="n"/>
      <c r="BH70" s="12" t="n"/>
      <c r="BI70" s="12" t="n"/>
      <c r="BJ70" s="12" t="n"/>
      <c r="BK70" s="12" t="n"/>
      <c r="BL70" s="12" t="n"/>
      <c r="BM70" s="12" t="n"/>
      <c r="BN70" s="12" t="n"/>
      <c r="BO70" s="12" t="n"/>
      <c r="BP70" s="12" t="n"/>
      <c r="BQ70" s="12" t="n"/>
      <c r="BR70" s="12" t="n"/>
      <c r="BS70" s="12" t="n"/>
      <c r="BT70" s="12" t="n"/>
      <c r="BU70" s="12" t="n"/>
      <c r="BV70" s="12" t="n"/>
      <c r="BW70" s="12" t="n"/>
      <c r="BX70" s="12" t="n"/>
      <c r="BY70" s="12" t="n"/>
      <c r="BZ70" s="12" t="n"/>
      <c r="CA70" s="12" t="n"/>
      <c r="CB70" s="12" t="n"/>
      <c r="CC70" s="12" t="n"/>
      <c r="CD70" s="12" t="n"/>
      <c r="CE70" s="12" t="n"/>
      <c r="CF70" s="12" t="n"/>
      <c r="CG70" s="12" t="n"/>
      <c r="CH70" s="12" t="n"/>
      <c r="CI70" s="12" t="n"/>
      <c r="CJ70" s="12" t="n"/>
      <c r="CK70" s="12" t="n"/>
      <c r="CL70" s="12" t="n"/>
      <c r="CM70" s="12" t="n"/>
      <c r="CN70" s="12" t="n"/>
      <c r="CO70" s="12" t="n"/>
      <c r="CP70" s="12" t="n"/>
      <c r="CQ70" s="12" t="n"/>
      <c r="CR70" s="12" t="n"/>
      <c r="CS70" s="12" t="n"/>
      <c r="CT70" s="12" t="n"/>
      <c r="CU70" s="12" t="n"/>
      <c r="CV70" s="12" t="n"/>
      <c r="CW70" s="12" t="n"/>
      <c r="CX70" s="12" t="n"/>
      <c r="CY70" s="12" t="n"/>
    </row>
    <row r="71" hidden="1" outlineLevel="1">
      <c r="C71" s="57" t="inlineStr">
        <is>
          <t>% CDI</t>
        </is>
      </c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  <c r="BJ71" s="12" t="n"/>
      <c r="BK71" s="12" t="n"/>
      <c r="BL71" s="12" t="n"/>
      <c r="BM71" s="12" t="n"/>
      <c r="BN71" s="12" t="n"/>
      <c r="BO71" s="12" t="n"/>
      <c r="BP71" s="12" t="n"/>
      <c r="BQ71" s="12" t="n"/>
      <c r="BR71" s="12" t="n"/>
      <c r="BS71" s="12" t="n"/>
      <c r="BT71" s="12" t="n"/>
      <c r="BU71" s="12" t="n"/>
      <c r="BV71" s="12" t="n"/>
      <c r="BW71" s="12" t="n"/>
      <c r="BX71" s="12" t="n"/>
      <c r="BY71" s="12" t="n"/>
      <c r="BZ71" s="12" t="n"/>
      <c r="CA71" s="12" t="n"/>
      <c r="CB71" s="12" t="n"/>
      <c r="CC71" s="12" t="n"/>
      <c r="CD71" s="12" t="n"/>
      <c r="CE71" s="12" t="n"/>
      <c r="CF71" s="12" t="n"/>
      <c r="CG71" s="12" t="n"/>
      <c r="CH71" s="12" t="n"/>
      <c r="CI71" s="12" t="n"/>
      <c r="CJ71" s="12" t="n"/>
      <c r="CK71" s="12" t="n"/>
      <c r="CL71" s="12" t="n"/>
      <c r="CM71" s="12" t="n"/>
      <c r="CN71" s="12" t="n"/>
      <c r="CO71" s="12" t="n"/>
      <c r="CP71" s="12" t="n"/>
      <c r="CQ71" s="12" t="n"/>
      <c r="CR71" s="12" t="n"/>
      <c r="CS71" s="12" t="n"/>
      <c r="CT71" s="12" t="n"/>
      <c r="CU71" s="12" t="n"/>
      <c r="CV71" s="12" t="n"/>
      <c r="CW71" s="12" t="n"/>
      <c r="CX71" s="12" t="n"/>
      <c r="CY71" s="12" t="n"/>
    </row>
    <row r="72" hidden="1" outlineLevel="1">
      <c r="C72" s="57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>
      <c r="C73" s="57" t="inlineStr">
        <is>
          <t>Current portion of long-term debt</t>
        </is>
      </c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  <c r="BJ73" s="12" t="n"/>
      <c r="BK73" s="12" t="n"/>
      <c r="BL73" s="12" t="n"/>
      <c r="BM73" s="12" t="n"/>
      <c r="BN73" s="12" t="n"/>
      <c r="BO73" s="12" t="n"/>
      <c r="BP73" s="12" t="n"/>
      <c r="BQ73" s="12" t="n"/>
      <c r="BR73" s="12" t="n"/>
      <c r="BS73" s="12" t="n"/>
      <c r="BT73" s="12" t="n"/>
      <c r="BU73" s="12" t="n"/>
      <c r="BV73" s="12" t="n"/>
      <c r="BW73" s="12" t="n"/>
      <c r="BX73" s="12" t="n"/>
      <c r="BY73" s="12" t="n"/>
      <c r="BZ73" s="12" t="n"/>
      <c r="CA73" s="12" t="n"/>
      <c r="CB73" s="12" t="n"/>
      <c r="CC73" s="12" t="n"/>
      <c r="CD73" s="12" t="n"/>
      <c r="CE73" s="12" t="n"/>
      <c r="CF73" s="12" t="n"/>
      <c r="CG73" s="12" t="n"/>
      <c r="CH73" s="12" t="n"/>
      <c r="CI73" s="12" t="n"/>
      <c r="CJ73" s="12" t="n"/>
      <c r="CK73" s="12" t="n"/>
      <c r="CL73" s="12" t="n"/>
      <c r="CM73" s="12" t="n"/>
      <c r="CN73" s="12" t="n"/>
      <c r="CO73" s="12" t="n"/>
      <c r="CP73" s="12" t="n"/>
      <c r="CQ73" s="12" t="n"/>
      <c r="CR73" s="12" t="n"/>
      <c r="CS73" s="12" t="n"/>
      <c r="CT73" s="12" t="n"/>
      <c r="CU73" s="12" t="n"/>
      <c r="CV73" s="12" t="n"/>
      <c r="CW73" s="12" t="n"/>
      <c r="CX73" s="12" t="n"/>
      <c r="CY73" s="12" t="n"/>
    </row>
    <row r="74" hidden="1" outlineLevel="1">
      <c r="C74" s="57" t="inlineStr">
        <is>
          <t>Short term debt (Revolving credit facility)</t>
        </is>
      </c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hidden="1" outlineLevel="1">
      <c r="C75" s="57" t="inlineStr">
        <is>
          <t>Long term debt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  <c r="BJ75" s="12" t="n"/>
      <c r="BK75" s="12" t="n"/>
      <c r="BL75" s="12" t="n"/>
      <c r="BM75" s="12" t="n"/>
      <c r="BN75" s="12" t="n"/>
      <c r="BO75" s="12" t="n"/>
      <c r="BP75" s="12" t="n"/>
      <c r="BQ75" s="12" t="n"/>
      <c r="BR75" s="12" t="n"/>
      <c r="BS75" s="12" t="n"/>
      <c r="BT75" s="12" t="n"/>
      <c r="BU75" s="12" t="n"/>
      <c r="BV75" s="12" t="n"/>
      <c r="BW75" s="12" t="n"/>
      <c r="BX75" s="12" t="n"/>
      <c r="BY75" s="12" t="n"/>
      <c r="BZ75" s="12" t="n"/>
      <c r="CA75" s="12" t="n"/>
      <c r="CB75" s="12" t="n"/>
      <c r="CC75" s="12" t="n"/>
      <c r="CD75" s="12" t="n"/>
      <c r="CE75" s="12" t="n"/>
      <c r="CF75" s="12" t="n"/>
      <c r="CG75" s="12" t="n"/>
      <c r="CH75" s="12" t="n"/>
      <c r="CI75" s="12" t="n"/>
      <c r="CJ75" s="12" t="n"/>
      <c r="CK75" s="12" t="n"/>
      <c r="CL75" s="12" t="n"/>
      <c r="CM75" s="12" t="n"/>
      <c r="CN75" s="12" t="n"/>
      <c r="CO75" s="12" t="n"/>
      <c r="CP75" s="12" t="n"/>
      <c r="CQ75" s="12" t="n"/>
      <c r="CR75" s="12" t="n"/>
      <c r="CS75" s="12" t="n"/>
      <c r="CT75" s="12" t="n"/>
      <c r="CU75" s="12" t="n"/>
      <c r="CV75" s="12" t="n"/>
      <c r="CW75" s="12" t="n"/>
      <c r="CX75" s="12" t="n"/>
      <c r="CY75" s="12" t="n"/>
    </row>
    <row r="76" hidden="1" outlineLevel="1">
      <c r="C76" s="57" t="inlineStr">
        <is>
          <t>Convertible debt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7" t="inlineStr">
        <is>
          <t>Total debt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inlineStr">
        <is>
          <t>Interest expense</t>
        </is>
      </c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inlineStr">
        <is>
          <t>Average interest rate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inlineStr">
        <is>
          <t>Stake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inlineStr">
        <is>
          <t>PRE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CDI+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Spread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inlineStr">
        <is>
          <t>PRE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CDI+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inlineStr">
        <is>
          <t>RECEITAS FINANCEIRAS - Rendimentos de aplicações financeiras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RECEITAS FINANCEIRAS - Variação cambial ativa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inlineStr">
        <is>
          <t>RECEITAS FINANCEIRAS - Atualização de contas a pagar por aquisição de empresas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RECEITAS FINANCEIRAS - Resultado positivo com instrumentos derivativos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RECEITAS FINANCEIRAS - Descontos obtidos de fornecedores por antecipação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inlineStr">
        <is>
          <t>RECEITAS FINANCEIRAS - Atualização monetária sobre Exclusão ICMS da base de PIS/COFINS (nota explicativa nº 7)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inlineStr">
        <is>
          <t>RECEITAS FINANCEIRAS - Outras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inlineStr">
        <is>
          <t>DESPESAS FINANCEIRAS - Encargos sobre empréstimos, financiamentos e debêntures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DESPESAS FINANCEIRAS - Variação cambial passiva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DESPESAS FINANCEIRAS - Resultado negativo com instrumentos derivativos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DESPESAS FINANCEIRAS - Juros sobre arrendamento - IFRS16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DESPESAS FINANCEIRAS - Despesas bancárias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DESPESAS FINANCEIRAS - Despesas com obtenção de empréstimos e financiamentos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inlineStr">
        <is>
          <t>DESPESAS FINANCEIRAS - Atualização de contas a pagar por aquisição de empresas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DESPESAS FINANCEIRAS - Outras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CHECK [EX IFRS-16]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collapsed="1">
      <c r="C108" s="14" t="inlineStr">
        <is>
          <t>Nonoperating Income / (Loss)</t>
        </is>
      </c>
      <c r="D108" s="46" t="n"/>
      <c r="E108" s="46" t="n"/>
      <c r="F108" s="46" t="n"/>
      <c r="G108" s="46" t="n"/>
      <c r="H108" s="12" t="n"/>
      <c r="I108" s="46">
        <f>'Inputs (2)'!D9</f>
        <v>19</v>
      </c>
      <c r="J108" s="46">
        <f>'Inputs (2)'!E9</f>
        <v>27</v>
      </c>
      <c r="K108" s="46">
        <f>'Inputs (2)'!F9</f>
        <v>68</v>
      </c>
      <c r="L108" s="46">
        <f>'Inputs (2)'!G9</f>
        <v>42</v>
      </c>
      <c r="M108" s="12">
        <f>'Inputs (2)'!H9</f>
        <v>156</v>
      </c>
      <c r="N108" s="46">
        <f>'Inputs (2)'!I9</f>
        <v>25</v>
      </c>
      <c r="O108" s="46">
        <f>'Inputs (2)'!J9</f>
        <v>71</v>
      </c>
      <c r="P108" s="46">
        <f>'Inputs (2)'!K9</f>
        <v>67</v>
      </c>
      <c r="Q108" s="46">
        <f>'Inputs (2)'!L9</f>
        <v>53</v>
      </c>
      <c r="R108" s="12">
        <f>'Inputs (2)'!M9</f>
        <v>216</v>
      </c>
      <c r="S108" s="46">
        <f>'Inputs (2)'!N9</f>
        <v>114</v>
      </c>
      <c r="T108" s="46">
        <f>'Inputs (2)'!O9</f>
        <v>128</v>
      </c>
      <c r="U108" s="46">
        <f>'Inputs (2)'!P9</f>
        <v>238</v>
      </c>
      <c r="V108" s="46">
        <f>'Inputs (2)'!Q9</f>
        <v>160</v>
      </c>
      <c r="W108" s="12">
        <f>'Inputs (2)'!R9</f>
        <v>640</v>
      </c>
      <c r="X108" s="46">
        <f>'Inputs (2)'!S9</f>
        <v>216</v>
      </c>
      <c r="Y108" s="46">
        <f>'Inputs (2)'!T9</f>
        <v>128</v>
      </c>
      <c r="Z108" s="46">
        <f>'Inputs (2)'!U9</f>
        <v>120</v>
      </c>
      <c r="AA108" s="46">
        <f>'Inputs (2)'!V9</f>
        <v>147</v>
      </c>
      <c r="AB108" s="12">
        <f>'Inputs (2)'!W9</f>
        <v>611</v>
      </c>
      <c r="AC108" s="46">
        <f>'Inputs (2)'!X9</f>
        <v>142</v>
      </c>
      <c r="AD108" s="46">
        <f>'Inputs (2)'!Y9</f>
        <v>85</v>
      </c>
      <c r="AE108" s="46">
        <f>'Inputs (2)'!Z9</f>
        <v>215</v>
      </c>
      <c r="AF108" s="46">
        <f>'Inputs (2)'!AA9</f>
        <v>155</v>
      </c>
      <c r="AG108" s="12">
        <f>'Inputs (2)'!AB9</f>
        <v>597</v>
      </c>
      <c r="AH108" s="12">
        <f>'Inputs (2)'!AC9</f>
        <v>148</v>
      </c>
      <c r="AI108" s="12">
        <f>'Inputs (2)'!AD9</f>
        <v>155</v>
      </c>
      <c r="AJ108" s="12">
        <f>AJ15*Control!$B$23</f>
        <v>201.067490822231</v>
      </c>
      <c r="AK108" s="12">
        <f>AK15*Control!$B$23</f>
        <v>157.078434523097</v>
      </c>
      <c r="AL108" s="12">
        <f>SUM(AH108:AK108)</f>
        <v>661.145925345328</v>
      </c>
      <c r="AM108" s="12">
        <f>AM15*Control!$C$23</f>
        <v>162.422746631167</v>
      </c>
      <c r="AN108" s="12">
        <f>AN15*Control!$C$23</f>
        <v>164.593144124838</v>
      </c>
      <c r="AO108" s="12">
        <f>AO15*Control!$C$23</f>
        <v>219.248772942891</v>
      </c>
      <c r="AP108" s="12">
        <f>AP15*Control!$C$23</f>
        <v>171.282059989637</v>
      </c>
      <c r="AQ108" s="12">
        <f>SUM(AM108:AP108)</f>
        <v>717.546723688534</v>
      </c>
      <c r="AR108" s="12">
        <f>AR15*Control!$D$23</f>
        <v>176.297511255312</v>
      </c>
      <c r="AS108" s="12">
        <f>AS15*Control!$D$23</f>
        <v>178.653312302303</v>
      </c>
      <c r="AT108" s="12">
        <f>AT15*Control!$D$23</f>
        <v>237.977831414135</v>
      </c>
      <c r="AU108" s="12">
        <f>AU15*Control!$D$23</f>
        <v>185.913620629918</v>
      </c>
      <c r="AV108" s="12">
        <f>SUM(AR108:AU108)</f>
        <v>778.842275601667</v>
      </c>
      <c r="AW108" s="12">
        <f>AW15*Control!$E$23</f>
        <v>190.476023133994</v>
      </c>
      <c r="AX108" s="12">
        <f>AX15*Control!$E$23</f>
        <v>193.02128660102</v>
      </c>
      <c r="AY108" s="12">
        <f>AY15*Control!$E$23</f>
        <v>257.11690765828</v>
      </c>
      <c r="AZ108" s="12">
        <f>AZ15*Control!$E$23</f>
        <v>200.865496352615</v>
      </c>
      <c r="BA108" s="12">
        <f>SUM(AW108:AZ108)</f>
        <v>841.47971374591</v>
      </c>
      <c r="BB108" s="12">
        <f>BB15*Control!$F$23</f>
        <v>204.842444386419</v>
      </c>
      <c r="BC108" s="12">
        <f>BC15*Control!$F$23</f>
        <v>207.579681239723</v>
      </c>
      <c r="BD108" s="12">
        <f>BD15*Control!$F$23</f>
        <v>276.509636180028</v>
      </c>
      <c r="BE108" s="12">
        <f>BE15*Control!$F$23</f>
        <v>216.01553092494</v>
      </c>
      <c r="BF108" s="12">
        <f>SUM(BB108:BE108)</f>
        <v>904.94729273111</v>
      </c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0" t="inlineStr">
        <is>
          <t>Resultado Não Recorrente</t>
        </is>
      </c>
      <c r="D110" s="11" t="n"/>
      <c r="E110" s="11" t="n"/>
      <c r="F110" s="11" t="n"/>
      <c r="G110" s="11" t="n"/>
      <c r="H110" s="12" t="n"/>
      <c r="I110" s="11" t="n"/>
      <c r="J110" s="11" t="n"/>
      <c r="K110" s="11" t="n"/>
      <c r="L110" s="11" t="n"/>
      <c r="M110" s="12" t="n"/>
      <c r="N110" s="11" t="n"/>
      <c r="O110" s="11" t="n"/>
      <c r="P110" s="11" t="n"/>
      <c r="Q110" s="11" t="n"/>
      <c r="R110" s="12" t="n"/>
      <c r="S110" s="11" t="n"/>
      <c r="T110" s="11" t="n"/>
      <c r="U110" s="11" t="n"/>
      <c r="V110" s="11" t="n"/>
      <c r="W110" s="12" t="n"/>
      <c r="X110" s="11" t="n"/>
      <c r="Y110" s="11" t="n"/>
      <c r="Z110" s="11" t="n"/>
      <c r="AA110" s="11" t="n"/>
      <c r="AB110" s="12" t="n"/>
      <c r="AC110" s="11" t="n"/>
      <c r="AD110" s="11" t="n"/>
      <c r="AE110" s="11" t="n"/>
      <c r="AF110" s="11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0" t="inlineStr">
        <is>
          <t>Plano de Opção de Compra de Ações</t>
        </is>
      </c>
      <c r="D111" s="11" t="n"/>
      <c r="E111" s="11" t="n"/>
      <c r="F111" s="11" t="n"/>
      <c r="G111" s="11" t="n"/>
      <c r="H111" s="12" t="n"/>
      <c r="I111" s="11" t="n"/>
      <c r="J111" s="11" t="n"/>
      <c r="K111" s="11" t="n"/>
      <c r="L111" s="11" t="n"/>
      <c r="M111" s="12" t="n"/>
      <c r="N111" s="11" t="n"/>
      <c r="O111" s="11" t="n"/>
      <c r="P111" s="11" t="n"/>
      <c r="Q111" s="11" t="n"/>
      <c r="R111" s="12" t="n"/>
      <c r="S111" s="11" t="n"/>
      <c r="T111" s="11" t="n"/>
      <c r="U111" s="11" t="n"/>
      <c r="V111" s="11" t="n"/>
      <c r="W111" s="12" t="n"/>
      <c r="X111" s="11" t="n"/>
      <c r="Y111" s="11" t="n"/>
      <c r="Z111" s="11" t="n"/>
      <c r="AA111" s="11" t="n"/>
      <c r="AB111" s="12" t="n"/>
      <c r="AC111" s="11" t="n"/>
      <c r="AD111" s="11" t="n"/>
      <c r="AE111" s="11" t="n"/>
      <c r="AF111" s="11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0" t="inlineStr">
        <is>
          <t>Baixa Imobilizado</t>
        </is>
      </c>
      <c r="D112" s="11" t="n"/>
      <c r="E112" s="11" t="n"/>
      <c r="F112" s="11" t="n"/>
      <c r="G112" s="11" t="n"/>
      <c r="H112" s="12" t="n"/>
      <c r="I112" s="11" t="n"/>
      <c r="J112" s="11" t="n"/>
      <c r="K112" s="11" t="n"/>
      <c r="L112" s="11" t="n"/>
      <c r="M112" s="12" t="n"/>
      <c r="N112" s="11" t="n"/>
      <c r="O112" s="11" t="n"/>
      <c r="P112" s="11" t="n"/>
      <c r="Q112" s="11" t="n"/>
      <c r="R112" s="12" t="n"/>
      <c r="S112" s="11" t="n"/>
      <c r="T112" s="11" t="n"/>
      <c r="U112" s="11" t="n"/>
      <c r="V112" s="11" t="n"/>
      <c r="W112" s="12" t="n"/>
      <c r="X112" s="11" t="n"/>
      <c r="Y112" s="11" t="n"/>
      <c r="Z112" s="11" t="n"/>
      <c r="AA112" s="11" t="n"/>
      <c r="AB112" s="12" t="n"/>
      <c r="AC112" s="11" t="n"/>
      <c r="AD112" s="11" t="n"/>
      <c r="AE112" s="11" t="n"/>
      <c r="AF112" s="11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collapsed="1" customFormat="1" s="32">
      <c r="A115" s="30" t="n"/>
      <c r="B115" s="3" t="n"/>
      <c r="C115" s="33" t="inlineStr">
        <is>
          <t>Pretax Income - EBT</t>
        </is>
      </c>
      <c r="D115" s="35" t="n"/>
      <c r="E115" s="35" t="n"/>
      <c r="F115" s="35" t="n"/>
      <c r="G115" s="35" t="n"/>
      <c r="H115" s="35" t="n"/>
      <c r="I115" s="35">
        <f>SUM(I58,I59,I108)</f>
        <v>1319</v>
      </c>
      <c r="J115" s="35">
        <f>SUM(J58,J59,J108)</f>
        <v>1650</v>
      </c>
      <c r="K115" s="35">
        <f>SUM(K58,K59,K108)</f>
        <v>2291</v>
      </c>
      <c r="L115" s="35">
        <f>SUM(L58,L59,L108)</f>
        <v>1696</v>
      </c>
      <c r="M115" s="35">
        <f>SUM(I115:L115)</f>
        <v>6956</v>
      </c>
      <c r="N115" s="35">
        <f>SUM(N58,N59,N108)</f>
        <v>1801</v>
      </c>
      <c r="O115" s="35">
        <f>SUM(O58,O59,O108)</f>
        <v>1827</v>
      </c>
      <c r="P115" s="35">
        <f>SUM(P58,P59,P108)</f>
        <v>2516</v>
      </c>
      <c r="Q115" s="35">
        <f>SUM(Q58,Q59,Q108)</f>
        <v>1770</v>
      </c>
      <c r="R115" s="35">
        <f>SUM(N115:Q115)</f>
        <v>7914</v>
      </c>
      <c r="S115" s="35">
        <f>SUM(S58,S59,S108)</f>
        <v>1983</v>
      </c>
      <c r="T115" s="35">
        <f>SUM(T58,T59,T108)</f>
        <v>1771</v>
      </c>
      <c r="U115" s="35">
        <f>SUM(U58,U59,U108)</f>
        <v>2963</v>
      </c>
      <c r="V115" s="35">
        <f>SUM(V58,V59,V108)</f>
        <v>2106</v>
      </c>
      <c r="W115" s="35">
        <f>SUM(S115:V115)</f>
        <v>8823</v>
      </c>
      <c r="X115" s="35">
        <f>SUM(X58,X59,X108)</f>
        <v>2237</v>
      </c>
      <c r="Y115" s="35">
        <f>SUM(Y58,Y59,Y108)</f>
        <v>2284</v>
      </c>
      <c r="Z115" s="35">
        <f>SUM(Z58,Z59,Z108)</f>
        <v>3113</v>
      </c>
      <c r="AA115" s="35">
        <f>SUM(AA58,AA59,AA108)</f>
        <v>2306</v>
      </c>
      <c r="AB115" s="35">
        <f>SUM(X115:AA115)</f>
        <v>9940</v>
      </c>
      <c r="AC115" s="35">
        <f>SUM(AC58,AC59,AC108)</f>
        <v>2422</v>
      </c>
      <c r="AD115" s="35">
        <f>SUM(AD58,AD59,AD108)</f>
        <v>2580</v>
      </c>
      <c r="AE115" s="35">
        <f>SUM(AE58,AE59,AE108)</f>
        <v>3510</v>
      </c>
      <c r="AF115" s="35">
        <f>SUM(AF58,AF59,AF108)</f>
        <v>2583</v>
      </c>
      <c r="AG115" s="35">
        <f>SUM(AC115:AF115)</f>
        <v>11095</v>
      </c>
      <c r="AH115" s="35">
        <f>SUM(AH58,AH59,AH108)</f>
        <v>2721</v>
      </c>
      <c r="AI115" s="35">
        <f>SUM(AI58,AI59,AI108)</f>
        <v>2938</v>
      </c>
      <c r="AJ115" s="35">
        <f>SUM(AJ58,AJ59,AJ108:AJ113)</f>
        <v>3788.31057352494</v>
      </c>
      <c r="AK115" s="35">
        <f>SUM(AK58,AK59,AK108:AK113)</f>
        <v>2959.51320595481</v>
      </c>
      <c r="AL115" s="35">
        <f>SUM(AH115:AK115)</f>
        <v>12406.8237794798</v>
      </c>
      <c r="AM115" s="35">
        <f>SUM(AM58,AM59,AM108:AM113)</f>
        <v>3060.2053366639</v>
      </c>
      <c r="AN115" s="35">
        <f>SUM(AN58,AN59,AN108:AN113)</f>
        <v>3101.0977740261</v>
      </c>
      <c r="AO115" s="35">
        <f>SUM(AO58,AO59,AO108:AO113)</f>
        <v>4130.86392720871</v>
      </c>
      <c r="AP115" s="35">
        <f>SUM(AP58,AP59,AP108:AP113)</f>
        <v>3227.12357060027</v>
      </c>
      <c r="AQ115" s="35">
        <f>SUM(AM115:AP115)</f>
        <v>13519.290608499</v>
      </c>
      <c r="AR115" s="35">
        <f>SUM(AR58,AR59,AR108:AR113)</f>
        <v>3321.61963748336</v>
      </c>
      <c r="AS115" s="35">
        <f>SUM(AS58,AS59,AS108:AS113)</f>
        <v>3366.00526133007</v>
      </c>
      <c r="AT115" s="35">
        <f>SUM(AT58,AT59,AT108:AT113)</f>
        <v>4483.73792960777</v>
      </c>
      <c r="AU115" s="35">
        <f>SUM(AU58,AU59,AU108:AU113)</f>
        <v>3502.7966575527</v>
      </c>
      <c r="AV115" s="35">
        <f>SUM(AR115:AU115)</f>
        <v>14674.1594859739</v>
      </c>
      <c r="AW115" s="35">
        <f>SUM(AW58,AW59,AW108:AW113)</f>
        <v>3588.75683727242</v>
      </c>
      <c r="AX115" s="35">
        <f>SUM(AX58,AX59,AX108:AX113)</f>
        <v>3636.71212067059</v>
      </c>
      <c r="AY115" s="35">
        <f>SUM(AY58,AY59,AY108:AY113)</f>
        <v>4844.33707274474</v>
      </c>
      <c r="AZ115" s="35">
        <f>SUM(AZ58,AZ59,AZ108:AZ113)</f>
        <v>3784.50479775326</v>
      </c>
      <c r="BA115" s="35">
        <f>SUM(AW115:AZ115)</f>
        <v>15854.310828441</v>
      </c>
      <c r="BB115" s="35">
        <f>SUM(BB58,BB59,BB108:BB113)</f>
        <v>3859.43443568335</v>
      </c>
      <c r="BC115" s="35">
        <f>SUM(BC58,BC59,BC108:BC113)</f>
        <v>3911.00668772274</v>
      </c>
      <c r="BD115" s="35">
        <f>SUM(BD58,BD59,BD108:BD113)</f>
        <v>5209.71527589439</v>
      </c>
      <c r="BE115" s="35">
        <f>SUM(BE58,BE59,BE108:BE113)</f>
        <v>4069.94644684784</v>
      </c>
      <c r="BF115" s="35">
        <f>SUM(BB115:BE115)</f>
        <v>17050.1028461483</v>
      </c>
      <c r="BG115" s="35" t="n"/>
      <c r="BH115" s="35" t="n"/>
      <c r="BI115" s="35" t="n"/>
      <c r="BJ115" s="35" t="n"/>
      <c r="BK115" s="35" t="n"/>
      <c r="BL115" s="35" t="n"/>
      <c r="BM115" s="35" t="n"/>
      <c r="BN115" s="35" t="n"/>
      <c r="BO115" s="35" t="n"/>
      <c r="BP115" s="35" t="n"/>
      <c r="BQ115" s="35" t="n"/>
      <c r="BR115" s="35" t="n"/>
      <c r="BS115" s="35" t="n"/>
      <c r="BT115" s="35" t="n"/>
      <c r="BU115" s="35" t="n"/>
      <c r="BV115" s="35" t="n"/>
      <c r="BW115" s="35" t="n"/>
      <c r="BX115" s="35" t="n"/>
      <c r="BY115" s="35" t="n"/>
      <c r="BZ115" s="35" t="n"/>
      <c r="CA115" s="35" t="n"/>
      <c r="CB115" s="35" t="n"/>
      <c r="CC115" s="35" t="n"/>
      <c r="CD115" s="35" t="n"/>
      <c r="CE115" s="35" t="n"/>
      <c r="CF115" s="35" t="n"/>
      <c r="CG115" s="35" t="n"/>
      <c r="CH115" s="35" t="n"/>
      <c r="CI115" s="35" t="n"/>
      <c r="CJ115" s="35" t="n"/>
      <c r="CK115" s="35" t="n"/>
      <c r="CL115" s="35" t="n"/>
      <c r="CM115" s="35" t="n"/>
      <c r="CN115" s="35" t="n"/>
      <c r="CO115" s="35" t="n"/>
      <c r="CP115" s="35" t="n"/>
      <c r="CQ115" s="35" t="n"/>
      <c r="CR115" s="35" t="n"/>
      <c r="CS115" s="35" t="n"/>
      <c r="CT115" s="35" t="n"/>
      <c r="CU115" s="35" t="n"/>
      <c r="CV115" s="35" t="n"/>
      <c r="CW115" s="35" t="n"/>
      <c r="CX115" s="35" t="n"/>
      <c r="CY115" s="35" t="n"/>
    </row>
    <row r="116">
      <c r="C116" s="14" t="inlineStr">
        <is>
          <t>Taxes</t>
        </is>
      </c>
      <c r="D116" s="46" t="n"/>
      <c r="E116" s="46" t="n"/>
      <c r="F116" s="46" t="n"/>
      <c r="G116" s="46" t="n"/>
      <c r="H116" s="12" t="n"/>
      <c r="I116" s="46">
        <f>'Inputs (2)'!D10</f>
        <v>-348</v>
      </c>
      <c r="J116" s="46">
        <f>'Inputs (2)'!E10</f>
        <v>-417</v>
      </c>
      <c r="K116" s="46">
        <f>'Inputs (2)'!F10</f>
        <v>-597</v>
      </c>
      <c r="L116" s="46">
        <f>'Inputs (2)'!G10</f>
        <v>-351</v>
      </c>
      <c r="M116" s="12">
        <f>'Inputs (2)'!H10</f>
        <v>-1713</v>
      </c>
      <c r="N116" s="46">
        <f>'Inputs (2)'!I10</f>
        <v>-481</v>
      </c>
      <c r="O116" s="46">
        <f>'Inputs (2)'!J10</f>
        <v>-455</v>
      </c>
      <c r="P116" s="46">
        <f>'Inputs (2)'!K10</f>
        <v>-638</v>
      </c>
      <c r="Q116" s="46">
        <f>'Inputs (2)'!L10</f>
        <v>-406</v>
      </c>
      <c r="R116" s="12">
        <f>'Inputs (2)'!M10</f>
        <v>-1980</v>
      </c>
      <c r="S116" s="46">
        <f>'Inputs (2)'!N10</f>
        <v>-517</v>
      </c>
      <c r="T116" s="46">
        <f>'Inputs (2)'!O10</f>
        <v>-469</v>
      </c>
      <c r="U116" s="46">
        <f>'Inputs (2)'!P10</f>
        <v>-803</v>
      </c>
      <c r="V116" s="46">
        <f>'Inputs (2)'!Q10</f>
        <v>-517</v>
      </c>
      <c r="W116" s="12">
        <f>'Inputs (2)'!R10</f>
        <v>-2306</v>
      </c>
      <c r="X116" s="46">
        <f>'Inputs (2)'!S10</f>
        <v>-494</v>
      </c>
      <c r="Y116" s="46">
        <f>'Inputs (2)'!T10</f>
        <v>-603</v>
      </c>
      <c r="Z116" s="46">
        <f>'Inputs (2)'!U10</f>
        <v>-759</v>
      </c>
      <c r="AA116" s="46">
        <f>'Inputs (2)'!V10</f>
        <v>-508</v>
      </c>
      <c r="AB116" s="12">
        <f>'Inputs (2)'!W10</f>
        <v>-2364</v>
      </c>
      <c r="AC116" s="46">
        <f>'Inputs (2)'!X10</f>
        <v>-634</v>
      </c>
      <c r="AD116" s="46">
        <f>'Inputs (2)'!Y10</f>
        <v>-677</v>
      </c>
      <c r="AE116" s="46">
        <f>'Inputs (2)'!Z10</f>
        <v>-900</v>
      </c>
      <c r="AF116" s="46">
        <f>'Inputs (2)'!AA10</f>
        <v>-582</v>
      </c>
      <c r="AG116" s="12">
        <f>'Inputs (2)'!AB10</f>
        <v>-2793</v>
      </c>
      <c r="AH116" s="12">
        <f>'Inputs (2)'!AC10</f>
        <v>-686</v>
      </c>
      <c r="AI116" s="12">
        <f>'Inputs (2)'!AD10</f>
        <v>-746</v>
      </c>
      <c r="AJ116" s="12">
        <f>-AJ115*AJ117</f>
        <v>-954.608368438793</v>
      </c>
      <c r="AK116" s="12">
        <f>-AK115*AK117</f>
        <v>-745.761472845882</v>
      </c>
      <c r="AL116" s="12">
        <f>SUM(AH116:AK116)</f>
        <v>-3132.36984128467</v>
      </c>
      <c r="AM116" s="12">
        <f>-AM115*AM117</f>
        <v>-771.134669880619</v>
      </c>
      <c r="AN116" s="12">
        <f>-AN115*AN117</f>
        <v>-781.439068676385</v>
      </c>
      <c r="AO116" s="12">
        <f>-AO115*AO117</f>
        <v>-1040.9276634693</v>
      </c>
      <c r="AP116" s="12">
        <f>-AP115*AP117</f>
        <v>-813.196042587032</v>
      </c>
      <c r="AQ116" s="12">
        <f>SUM(AM116:AP116)</f>
        <v>-3406.69744461334</v>
      </c>
      <c r="AR116" s="12">
        <f>-AR115*AR117</f>
        <v>-837.007906604089</v>
      </c>
      <c r="AS116" s="12">
        <f>-AS115*AS117</f>
        <v>-848.192546073345</v>
      </c>
      <c r="AT116" s="12">
        <f>-AT115*AT117</f>
        <v>-1129.84763693948</v>
      </c>
      <c r="AU116" s="12">
        <f>-AU115*AU117</f>
        <v>-882.662320668156</v>
      </c>
      <c r="AV116" s="12">
        <f>SUM(AR116:AU116)</f>
        <v>-3697.71041028507</v>
      </c>
      <c r="AW116" s="12">
        <f>-AW115*AW117</f>
        <v>-904.323244533909</v>
      </c>
      <c r="AX116" s="12">
        <f>-AX115*AX117</f>
        <v>-916.407394963042</v>
      </c>
      <c r="AY116" s="12">
        <f>-AY115*AY117</f>
        <v>-1220.71425228409</v>
      </c>
      <c r="AZ116" s="12">
        <f>-AZ115*AZ117</f>
        <v>-953.649359052012</v>
      </c>
      <c r="BA116" s="12">
        <f>SUM(AW116:AZ116)</f>
        <v>-3995.09425083305</v>
      </c>
      <c r="BB116" s="12">
        <f>-BB115*BB117</f>
        <v>-972.530720023851</v>
      </c>
      <c r="BC116" s="12">
        <f>-BC115*BC117</f>
        <v>-985.52630273032</v>
      </c>
      <c r="BD116" s="12">
        <f>-BD115*BD117</f>
        <v>-1312.78513285269</v>
      </c>
      <c r="BE116" s="12">
        <f>-BE115*BE117</f>
        <v>-1025.57719644501</v>
      </c>
      <c r="BF116" s="12">
        <f>SUM(BB116:BE116)</f>
        <v>-4296.41935205187</v>
      </c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7" t="inlineStr">
        <is>
          <t>% ETR</t>
        </is>
      </c>
      <c r="D117" s="53" t="n"/>
      <c r="E117" s="53" t="n"/>
      <c r="F117" s="53" t="n"/>
      <c r="G117" s="53" t="n"/>
      <c r="H117" s="53" t="n"/>
      <c r="I117" s="53">
        <f>IFERROR(-I116/I115,"")</f>
        <v>0.263836239575436</v>
      </c>
      <c r="J117" s="53">
        <f>IFERROR(-J116/J115,"")</f>
        <v>0.252727272727273</v>
      </c>
      <c r="K117" s="53">
        <f>IFERROR(-K116/K115,"")</f>
        <v>0.260584897424705</v>
      </c>
      <c r="L117" s="53">
        <f>IFERROR(-L116/L115,"")</f>
        <v>0.206957547169811</v>
      </c>
      <c r="M117" s="53">
        <f>IFERROR(-M116/M115,"")</f>
        <v>0.246262219666475</v>
      </c>
      <c r="N117" s="53">
        <f>IFERROR(-N116/N115,"")</f>
        <v>0.267073847862299</v>
      </c>
      <c r="O117" s="53">
        <f>IFERROR(-O116/O115,"")</f>
        <v>0.24904214559387</v>
      </c>
      <c r="P117" s="53">
        <f>IFERROR(-P116/P115,"")</f>
        <v>0.253577106518283</v>
      </c>
      <c r="Q117" s="53">
        <f>IFERROR(-Q116/Q115,"")</f>
        <v>0.229378531073446</v>
      </c>
      <c r="R117" s="53">
        <f>IFERROR(-R116/R115,"")</f>
        <v>0.250189537528431</v>
      </c>
      <c r="S117" s="53">
        <f>IFERROR(-S116/S115,"")</f>
        <v>0.260716086737267</v>
      </c>
      <c r="T117" s="53">
        <f>IFERROR(-T116/T115,"")</f>
        <v>0.264822134387352</v>
      </c>
      <c r="U117" s="53">
        <f>IFERROR(-U116/U115,"")</f>
        <v>0.271009112386095</v>
      </c>
      <c r="V117" s="53">
        <f>IFERROR(-V116/V115,"")</f>
        <v>0.245489078822412</v>
      </c>
      <c r="W117" s="53">
        <f>IFERROR(-W116/W115,"")</f>
        <v>0.261362348407571</v>
      </c>
      <c r="X117" s="53">
        <f>IFERROR(-X116/X115,"")</f>
        <v>0.220831470719714</v>
      </c>
      <c r="Y117" s="53">
        <f>IFERROR(-Y116/Y115,"")</f>
        <v>0.264010507880911</v>
      </c>
      <c r="Z117" s="53">
        <f>IFERROR(-Z116/Z115,"")</f>
        <v>0.243816254416961</v>
      </c>
      <c r="AA117" s="53">
        <f>IFERROR(-AA116/AA115,"")</f>
        <v>0.220294882914137</v>
      </c>
      <c r="AB117" s="53">
        <f>IFERROR(-AB116/AB115,"")</f>
        <v>0.237826961770624</v>
      </c>
      <c r="AC117" s="53">
        <f>IFERROR(-AC116/AC115,"")</f>
        <v>0.261767134599505</v>
      </c>
      <c r="AD117" s="53">
        <f>IFERROR(-AD116/AD115,"")</f>
        <v>0.262403100775194</v>
      </c>
      <c r="AE117" s="53">
        <f>IFERROR(-AE116/AE115,"")</f>
        <v>0.256410256410256</v>
      </c>
      <c r="AF117" s="41">
        <f>IFERROR(-AF116/AF115,"")</f>
        <v>0.225319396051103</v>
      </c>
      <c r="AG117" s="53">
        <f>IFERROR(-AG116/AG115,"")</f>
        <v>0.251735015772871</v>
      </c>
      <c r="AH117" s="41">
        <f>IFERROR(-AH116/AH115,"")</f>
        <v>0.252113193678795</v>
      </c>
      <c r="AI117" s="41">
        <f>IFERROR(-AI116/AI115,"")</f>
        <v>0.253914227365555</v>
      </c>
      <c r="AJ117" s="41">
        <f>Control!$B$22</f>
        <v>0.251987884813401</v>
      </c>
      <c r="AK117" s="41">
        <f>Control!$B$22</f>
        <v>0.251987884813401</v>
      </c>
      <c r="AL117" s="53">
        <f>IFERROR(-AL116/AL115,"")</f>
        <v>0.252471534774714</v>
      </c>
      <c r="AM117" s="41">
        <f>Control!$C$22</f>
        <v>0.251987884813401</v>
      </c>
      <c r="AN117" s="41">
        <f>Control!$C$22</f>
        <v>0.251987884813401</v>
      </c>
      <c r="AO117" s="41">
        <f>Control!$C$22</f>
        <v>0.251987884813401</v>
      </c>
      <c r="AP117" s="41">
        <f>Control!$C$22</f>
        <v>0.251987884813401</v>
      </c>
      <c r="AQ117" s="53">
        <f>IFERROR(-AQ116/AQ115,"")</f>
        <v>0.251987884813401</v>
      </c>
      <c r="AR117" s="41">
        <f>Control!$D$22</f>
        <v>0.251987884813401</v>
      </c>
      <c r="AS117" s="41">
        <f>Control!$D$22</f>
        <v>0.251987884813401</v>
      </c>
      <c r="AT117" s="41">
        <f>Control!$D$22</f>
        <v>0.251987884813401</v>
      </c>
      <c r="AU117" s="41">
        <f>Control!$D$22</f>
        <v>0.251987884813401</v>
      </c>
      <c r="AV117" s="53">
        <f>IFERROR(-AV116/AV115,"")</f>
        <v>0.251987884813401</v>
      </c>
      <c r="AW117" s="41">
        <f>Control!$E$22</f>
        <v>0.251987884813401</v>
      </c>
      <c r="AX117" s="41">
        <f>Control!$E$22</f>
        <v>0.251987884813401</v>
      </c>
      <c r="AY117" s="41">
        <f>Control!$E$22</f>
        <v>0.251987884813401</v>
      </c>
      <c r="AZ117" s="41">
        <f>Control!$E$22</f>
        <v>0.251987884813401</v>
      </c>
      <c r="BA117" s="53">
        <f>IFERROR(-BA116/BA115,"")</f>
        <v>0.251987884813401</v>
      </c>
      <c r="BB117" s="41">
        <f>Control!$F$22</f>
        <v>0.251987884813401</v>
      </c>
      <c r="BC117" s="41">
        <f>Control!$F$22</f>
        <v>0.251987884813401</v>
      </c>
      <c r="BD117" s="41">
        <f>Control!$F$22</f>
        <v>0.251987884813401</v>
      </c>
      <c r="BE117" s="41">
        <f>Control!$F$22</f>
        <v>0.251987884813401</v>
      </c>
      <c r="BF117" s="53">
        <f>IFERROR(-BF116/BF115,"")</f>
        <v>0.251987884813401</v>
      </c>
      <c r="BG117" s="41" t="n"/>
      <c r="BH117" s="41" t="n"/>
      <c r="BI117" s="41" t="n"/>
      <c r="BJ117" s="41" t="n"/>
      <c r="BK117" s="53" t="n"/>
      <c r="BL117" s="41" t="n"/>
      <c r="BM117" s="41" t="n"/>
      <c r="BN117" s="41" t="n"/>
      <c r="BO117" s="41" t="n"/>
      <c r="BP117" s="53" t="n"/>
      <c r="BQ117" s="41" t="n"/>
      <c r="BR117" s="41" t="n"/>
      <c r="BS117" s="41" t="n"/>
      <c r="BT117" s="41" t="n"/>
      <c r="BU117" s="53" t="n"/>
      <c r="BV117" s="41" t="n"/>
      <c r="BW117" s="41" t="n"/>
      <c r="BX117" s="41" t="n"/>
      <c r="BY117" s="41" t="n"/>
      <c r="BZ117" s="53" t="n"/>
      <c r="CA117" s="41" t="n"/>
      <c r="CB117" s="41" t="n"/>
      <c r="CC117" s="41" t="n"/>
      <c r="CD117" s="41" t="n"/>
      <c r="CE117" s="53" t="n"/>
      <c r="CF117" s="41" t="n"/>
      <c r="CG117" s="41" t="n"/>
      <c r="CH117" s="41" t="n"/>
      <c r="CI117" s="41" t="n"/>
      <c r="CJ117" s="53" t="n"/>
      <c r="CK117" s="41" t="n"/>
      <c r="CL117" s="41" t="n"/>
      <c r="CM117" s="41" t="n"/>
      <c r="CN117" s="41" t="n"/>
      <c r="CO117" s="53" t="n"/>
      <c r="CP117" s="41" t="n"/>
      <c r="CQ117" s="41" t="n"/>
      <c r="CR117" s="41" t="n"/>
      <c r="CS117" s="41" t="n"/>
      <c r="CT117" s="53" t="n"/>
      <c r="CU117" s="41" t="n"/>
      <c r="CV117" s="41" t="n"/>
      <c r="CW117" s="41" t="n"/>
      <c r="CX117" s="41" t="n"/>
      <c r="CY117" s="53" t="n"/>
    </row>
    <row r="118" hidden="1" outlineLevel="1">
      <c r="C118" s="57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7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collapsed="1">
      <c r="C120" s="14" t="inlineStr">
        <is>
          <t>Equity in Income of Affiliates, after tax (enter as +)</t>
        </is>
      </c>
      <c r="D120" s="46" t="n"/>
      <c r="E120" s="46" t="n"/>
      <c r="F120" s="46" t="n"/>
      <c r="G120" s="46" t="n"/>
      <c r="H120" s="12" t="n"/>
      <c r="I120" s="46">
        <f>'Inputs (2)'!D11</f>
        <v>0</v>
      </c>
      <c r="J120" s="46">
        <f>'Inputs (2)'!E11</f>
        <v>0</v>
      </c>
      <c r="K120" s="46">
        <f>'Inputs (2)'!F11</f>
        <v>0</v>
      </c>
      <c r="L120" s="46">
        <f>'Inputs (2)'!G11</f>
        <v>0</v>
      </c>
      <c r="M120" s="12">
        <f>'Inputs (2)'!H11</f>
        <v>0</v>
      </c>
      <c r="N120" s="46">
        <f>'Inputs (2)'!I11</f>
        <v>0</v>
      </c>
      <c r="O120" s="46">
        <f>'Inputs (2)'!J11</f>
        <v>0</v>
      </c>
      <c r="P120" s="46">
        <f>'Inputs (2)'!K11</f>
        <v>0</v>
      </c>
      <c r="Q120" s="46">
        <f>'Inputs (2)'!L11</f>
        <v>0</v>
      </c>
      <c r="R120" s="12">
        <f>'Inputs (2)'!M11</f>
        <v>0</v>
      </c>
      <c r="S120" s="46">
        <f>'Inputs (2)'!N11</f>
        <v>0</v>
      </c>
      <c r="T120" s="46">
        <f>'Inputs (2)'!O11</f>
        <v>0</v>
      </c>
      <c r="U120" s="46">
        <f>'Inputs (2)'!P11</f>
        <v>0</v>
      </c>
      <c r="V120" s="46">
        <f>'Inputs (2)'!Q11</f>
        <v>0</v>
      </c>
      <c r="W120" s="12">
        <f>'Inputs (2)'!R11</f>
        <v>0</v>
      </c>
      <c r="X120" s="46">
        <f>'Inputs (2)'!S11</f>
        <v>0</v>
      </c>
      <c r="Y120" s="46">
        <f>'Inputs (2)'!T11</f>
        <v>0</v>
      </c>
      <c r="Z120" s="46">
        <f>'Inputs (2)'!U11</f>
        <v>0</v>
      </c>
      <c r="AA120" s="46">
        <f>'Inputs (2)'!V11</f>
        <v>0</v>
      </c>
      <c r="AB120" s="12">
        <f>'Inputs (2)'!W11</f>
        <v>0</v>
      </c>
      <c r="AC120" s="46">
        <f>'Inputs (2)'!X11</f>
        <v>0</v>
      </c>
      <c r="AD120" s="46">
        <f>'Inputs (2)'!Y11</f>
        <v>0</v>
      </c>
      <c r="AE120" s="46">
        <f>'Inputs (2)'!Z11</f>
        <v>0</v>
      </c>
      <c r="AF120" s="46">
        <f>'Inputs (2)'!AA11</f>
        <v>0</v>
      </c>
      <c r="AG120" s="12">
        <f>'Inputs (2)'!AB11</f>
        <v>0</v>
      </c>
      <c r="AH120" s="12">
        <f>'Inputs (2)'!AC11</f>
        <v>0</v>
      </c>
      <c r="AI120" s="12">
        <f>'Inputs (2)'!AD11</f>
        <v>0</v>
      </c>
      <c r="AJ120" s="12">
        <f>0</f>
        <v>0</v>
      </c>
      <c r="AK120" s="12">
        <f>0</f>
        <v>0</v>
      </c>
      <c r="AL120" s="12">
        <f>SUM(AH120:AK120)</f>
        <v>0</v>
      </c>
      <c r="AM120" s="12">
        <f>0</f>
        <v>0</v>
      </c>
      <c r="AN120" s="12">
        <f>0</f>
        <v>0</v>
      </c>
      <c r="AO120" s="12">
        <f>0</f>
        <v>0</v>
      </c>
      <c r="AP120" s="12">
        <f>0</f>
        <v>0</v>
      </c>
      <c r="AQ120" s="12">
        <f>SUM(AM120:AP120)</f>
        <v>0</v>
      </c>
      <c r="AR120" s="12">
        <f>0</f>
        <v>0</v>
      </c>
      <c r="AS120" s="12">
        <f>0</f>
        <v>0</v>
      </c>
      <c r="AT120" s="12">
        <f>0</f>
        <v>0</v>
      </c>
      <c r="AU120" s="12">
        <f>0</f>
        <v>0</v>
      </c>
      <c r="AV120" s="12">
        <f>SUM(AR120:AU120)</f>
        <v>0</v>
      </c>
      <c r="AW120" s="12">
        <f>0</f>
        <v>0</v>
      </c>
      <c r="AX120" s="12">
        <f>0</f>
        <v>0</v>
      </c>
      <c r="AY120" s="12">
        <f>0</f>
        <v>0</v>
      </c>
      <c r="AZ120" s="12">
        <f>0</f>
        <v>0</v>
      </c>
      <c r="BA120" s="12">
        <f>SUM(AW120:AZ120)</f>
        <v>0</v>
      </c>
      <c r="BB120" s="12">
        <f>0</f>
        <v>0</v>
      </c>
      <c r="BC120" s="12">
        <f>0</f>
        <v>0</v>
      </c>
      <c r="BD120" s="12">
        <f>0</f>
        <v>0</v>
      </c>
      <c r="BE120" s="12">
        <f>0</f>
        <v>0</v>
      </c>
      <c r="BF120" s="12">
        <f>SUM(BB120:BE120)</f>
        <v>0</v>
      </c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>
      <c r="C121" s="14" t="inlineStr">
        <is>
          <t>Minority Interest Expense, after tax (enter as - )</t>
        </is>
      </c>
      <c r="D121" s="46" t="n"/>
      <c r="E121" s="46" t="n"/>
      <c r="F121" s="46" t="n"/>
      <c r="G121" s="46" t="n"/>
      <c r="H121" s="12" t="n"/>
      <c r="I121" s="46">
        <f>'Inputs (2)'!D12</f>
        <v>-20</v>
      </c>
      <c r="J121" s="46">
        <f>'Inputs (2)'!E12</f>
        <v>-13</v>
      </c>
      <c r="K121" s="46">
        <f>'Inputs (2)'!F12</f>
        <v>-24</v>
      </c>
      <c r="L121" s="46">
        <f>'Inputs (2)'!G12</f>
        <v>-21</v>
      </c>
      <c r="M121" s="12">
        <f>'Inputs (2)'!H12</f>
        <v>-78</v>
      </c>
      <c r="N121" s="46">
        <f>'Inputs (2)'!I12</f>
        <v>-21</v>
      </c>
      <c r="O121" s="46">
        <f>'Inputs (2)'!J12</f>
        <v>-19</v>
      </c>
      <c r="P121" s="46">
        <f>'Inputs (2)'!K12</f>
        <v>-10</v>
      </c>
      <c r="Q121" s="46">
        <f>'Inputs (2)'!L12</f>
        <v>0</v>
      </c>
      <c r="R121" s="12">
        <f>'Inputs (2)'!M12</f>
        <v>-50</v>
      </c>
      <c r="S121" s="46">
        <f>'Inputs (2)'!N12</f>
        <v>0</v>
      </c>
      <c r="T121" s="46">
        <f>'Inputs (2)'!O12</f>
        <v>0</v>
      </c>
      <c r="U121" s="46">
        <f>'Inputs (2)'!P12</f>
        <v>0</v>
      </c>
      <c r="V121" s="46">
        <f>'Inputs (2)'!Q12</f>
        <v>0</v>
      </c>
      <c r="W121" s="12">
        <f>'Inputs (2)'!R12</f>
        <v>0</v>
      </c>
      <c r="X121" s="46">
        <f>'Inputs (2)'!S12</f>
        <v>0</v>
      </c>
      <c r="Y121" s="46">
        <f>'Inputs (2)'!T12</f>
        <v>0</v>
      </c>
      <c r="Z121" s="46">
        <f>'Inputs (2)'!U12</f>
        <v>0</v>
      </c>
      <c r="AA121" s="46">
        <f>'Inputs (2)'!V12</f>
        <v>0</v>
      </c>
      <c r="AB121" s="12">
        <f>'Inputs (2)'!W12</f>
        <v>0</v>
      </c>
      <c r="AC121" s="46">
        <f>'Inputs (2)'!X12</f>
        <v>0</v>
      </c>
      <c r="AD121" s="46">
        <f>'Inputs (2)'!Y12</f>
        <v>0</v>
      </c>
      <c r="AE121" s="46">
        <f>'Inputs (2)'!Z12</f>
        <v>0</v>
      </c>
      <c r="AF121" s="46">
        <f>'Inputs (2)'!AA12</f>
        <v>0</v>
      </c>
      <c r="AG121" s="12">
        <f>'Inputs (2)'!AB12</f>
        <v>0</v>
      </c>
      <c r="AH121" s="12">
        <f>'Inputs (2)'!AC12</f>
        <v>0</v>
      </c>
      <c r="AI121" s="12">
        <f>'Inputs (2)'!AD12</f>
        <v>0</v>
      </c>
      <c r="AJ121" s="12">
        <f>0</f>
        <v>0</v>
      </c>
      <c r="AK121" s="12">
        <f>0</f>
        <v>0</v>
      </c>
      <c r="AL121" s="12">
        <f>SUM(AH121:AK121)</f>
        <v>0</v>
      </c>
      <c r="AM121" s="12">
        <f>0</f>
        <v>0</v>
      </c>
      <c r="AN121" s="12">
        <f>0</f>
        <v>0</v>
      </c>
      <c r="AO121" s="12">
        <f>0</f>
        <v>0</v>
      </c>
      <c r="AP121" s="12">
        <f>0</f>
        <v>0</v>
      </c>
      <c r="AQ121" s="12">
        <f>SUM(AM121:AP121)</f>
        <v>0</v>
      </c>
      <c r="AR121" s="12">
        <f>0</f>
        <v>0</v>
      </c>
      <c r="AS121" s="12">
        <f>0</f>
        <v>0</v>
      </c>
      <c r="AT121" s="12">
        <f>0</f>
        <v>0</v>
      </c>
      <c r="AU121" s="12">
        <f>0</f>
        <v>0</v>
      </c>
      <c r="AV121" s="12">
        <f>SUM(AR121:AU121)</f>
        <v>0</v>
      </c>
      <c r="AW121" s="12">
        <f>0</f>
        <v>0</v>
      </c>
      <c r="AX121" s="12">
        <f>0</f>
        <v>0</v>
      </c>
      <c r="AY121" s="12">
        <f>0</f>
        <v>0</v>
      </c>
      <c r="AZ121" s="12">
        <f>0</f>
        <v>0</v>
      </c>
      <c r="BA121" s="12">
        <f>SUM(AW121:AZ121)</f>
        <v>0</v>
      </c>
      <c r="BB121" s="12">
        <f>0</f>
        <v>0</v>
      </c>
      <c r="BC121" s="12">
        <f>0</f>
        <v>0</v>
      </c>
      <c r="BD121" s="12">
        <f>0</f>
        <v>0</v>
      </c>
      <c r="BE121" s="12">
        <f>0</f>
        <v>0</v>
      </c>
      <c r="BF121" s="12">
        <f>SUM(BB121:BE121)</f>
        <v>0</v>
      </c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customFormat="1" s="32">
      <c r="A122" s="30" t="n"/>
      <c r="B122" s="3" t="n"/>
      <c r="C122" s="33" t="inlineStr">
        <is>
          <t>Net Income</t>
        </is>
      </c>
      <c r="D122" s="35" t="n"/>
      <c r="E122" s="35" t="n"/>
      <c r="F122" s="35" t="n"/>
      <c r="G122" s="35" t="n"/>
      <c r="H122" s="35" t="n"/>
      <c r="I122" s="35">
        <f>SUM(I115,I116,I120,I121)</f>
        <v>951</v>
      </c>
      <c r="J122" s="35">
        <f>SUM(J115,J116,J120,J121)</f>
        <v>1220</v>
      </c>
      <c r="K122" s="35">
        <f>SUM(K115,K116,K120,K121)</f>
        <v>1670</v>
      </c>
      <c r="L122" s="35">
        <f>SUM(L115,L116,L120,L121)</f>
        <v>1324</v>
      </c>
      <c r="M122" s="35">
        <f>SUM(I122:L122)</f>
        <v>5165</v>
      </c>
      <c r="N122" s="35">
        <f>SUM(N115,N116,N120,N121)</f>
        <v>1299</v>
      </c>
      <c r="O122" s="35">
        <f>SUM(O115,O116,O120,O121)</f>
        <v>1353</v>
      </c>
      <c r="P122" s="35">
        <f>SUM(P115,P116,P120,P121)</f>
        <v>1868</v>
      </c>
      <c r="Q122" s="35">
        <f>SUM(Q115,Q116,Q120,Q121)</f>
        <v>1364</v>
      </c>
      <c r="R122" s="35">
        <f>SUM(N122:Q122)</f>
        <v>5884</v>
      </c>
      <c r="S122" s="35">
        <f>SUM(S115,S116,S120,S121)</f>
        <v>1466</v>
      </c>
      <c r="T122" s="35">
        <f>SUM(T115,T116,T120,T121)</f>
        <v>1302</v>
      </c>
      <c r="U122" s="35">
        <f>SUM(U115,U116,U120,U121)</f>
        <v>2160</v>
      </c>
      <c r="V122" s="35">
        <f>SUM(V115,V116,V120,V121)</f>
        <v>1589</v>
      </c>
      <c r="W122" s="35">
        <f>SUM(S122:V122)</f>
        <v>6517</v>
      </c>
      <c r="X122" s="35">
        <f>SUM(X115,X116,X120,X121)</f>
        <v>1743</v>
      </c>
      <c r="Y122" s="35">
        <f>SUM(Y115,Y116,Y120,Y121)</f>
        <v>1681</v>
      </c>
      <c r="Z122" s="35">
        <f>SUM(Z115,Z116,Z120,Z121)</f>
        <v>2354</v>
      </c>
      <c r="AA122" s="35">
        <f>SUM(AA115,AA116,AA120,AA121)</f>
        <v>1798</v>
      </c>
      <c r="AB122" s="35">
        <f>SUM(X122:AA122)</f>
        <v>7576</v>
      </c>
      <c r="AC122" s="35">
        <f>SUM(AC115,AC116,AC120,AC121)</f>
        <v>1788</v>
      </c>
      <c r="AD122" s="35">
        <f>SUM(AD115,AD116,AD120,AD121)</f>
        <v>1903</v>
      </c>
      <c r="AE122" s="35">
        <f>SUM(AE115,AE116,AE120,AE121)</f>
        <v>2610</v>
      </c>
      <c r="AF122" s="35">
        <f>SUM(AF115,AF116,AF120,AF121)</f>
        <v>2001</v>
      </c>
      <c r="AG122" s="35">
        <f>SUM(AC122:AF122)</f>
        <v>8302</v>
      </c>
      <c r="AH122" s="35">
        <f>SUM(AH115,AH116,AH120,AH121)</f>
        <v>2035</v>
      </c>
      <c r="AI122" s="35">
        <f>SUM(AI115,AI116,AI120,AI121)</f>
        <v>2192</v>
      </c>
      <c r="AJ122" s="35">
        <f>SUM(AJ115,AJ116,AJ120,AJ121)</f>
        <v>2833.70220508615</v>
      </c>
      <c r="AK122" s="35">
        <f>SUM(AK115,AK116,AK120,AK121)</f>
        <v>2213.75173310893</v>
      </c>
      <c r="AL122" s="35">
        <f>SUM(AH122:AK122)</f>
        <v>9274.45393819508</v>
      </c>
      <c r="AM122" s="35">
        <f>SUM(AM115,AM116,AM120,AM121)</f>
        <v>2289.07066678328</v>
      </c>
      <c r="AN122" s="35">
        <f>SUM(AN115,AN116,AN120,AN121)</f>
        <v>2319.65870534972</v>
      </c>
      <c r="AO122" s="35">
        <f>SUM(AO115,AO116,AO120,AO121)</f>
        <v>3089.93626373941</v>
      </c>
      <c r="AP122" s="35">
        <f>SUM(AP115,AP116,AP120,AP121)</f>
        <v>2413.92752801323</v>
      </c>
      <c r="AQ122" s="35">
        <f>SUM(AM122:AP122)</f>
        <v>10112.5931638856</v>
      </c>
      <c r="AR122" s="35">
        <f>SUM(AR115,AR116,AR120,AR121)</f>
        <v>2484.61173087927</v>
      </c>
      <c r="AS122" s="35">
        <f>SUM(AS115,AS116,AS120,AS121)</f>
        <v>2517.81271525673</v>
      </c>
      <c r="AT122" s="35">
        <f>SUM(AT115,AT116,AT120,AT121)</f>
        <v>3353.89029266829</v>
      </c>
      <c r="AU122" s="35">
        <f>SUM(AU115,AU116,AU120,AU121)</f>
        <v>2620.13433688454</v>
      </c>
      <c r="AV122" s="35">
        <f>SUM(AR122:AU122)</f>
        <v>10976.4490756888</v>
      </c>
      <c r="AW122" s="35">
        <f>SUM(AW115,AW116,AW120,AW121)</f>
        <v>2684.43359273851</v>
      </c>
      <c r="AX122" s="35">
        <f>SUM(AX115,AX116,AX120,AX121)</f>
        <v>2720.30472570755</v>
      </c>
      <c r="AY122" s="35">
        <f>SUM(AY115,AY116,AY120,AY121)</f>
        <v>3623.62282046065</v>
      </c>
      <c r="AZ122" s="35">
        <f>SUM(AZ115,AZ116,AZ120,AZ121)</f>
        <v>2830.85543870125</v>
      </c>
      <c r="BA122" s="35">
        <f>SUM(AW122:AZ122)</f>
        <v>11859.216577608</v>
      </c>
      <c r="BB122" s="35">
        <f>SUM(BB115,BB116,BB120,BB121)</f>
        <v>2886.9037156595</v>
      </c>
      <c r="BC122" s="35">
        <f>SUM(BC115,BC116,BC120,BC121)</f>
        <v>2925.48038499242</v>
      </c>
      <c r="BD122" s="35">
        <f>SUM(BD115,BD116,BD120,BD121)</f>
        <v>3896.9301430417</v>
      </c>
      <c r="BE122" s="35">
        <f>SUM(BE115,BE116,BE120,BE121)</f>
        <v>3044.36925040284</v>
      </c>
      <c r="BF122" s="35">
        <f>SUM(BB122:BE122)</f>
        <v>12753.6834940965</v>
      </c>
      <c r="BG122" s="35" t="n"/>
      <c r="BH122" s="35" t="n"/>
      <c r="BI122" s="35" t="n"/>
      <c r="BJ122" s="35" t="n"/>
      <c r="BK122" s="35" t="n"/>
      <c r="BL122" s="35" t="n"/>
      <c r="BM122" s="35" t="n"/>
      <c r="BN122" s="35" t="n"/>
      <c r="BO122" s="35" t="n"/>
      <c r="BP122" s="35" t="n"/>
      <c r="BQ122" s="35" t="n"/>
      <c r="BR122" s="35" t="n"/>
      <c r="BS122" s="35" t="n"/>
      <c r="BT122" s="35" t="n"/>
      <c r="BU122" s="35" t="n"/>
      <c r="BV122" s="35" t="n"/>
      <c r="BW122" s="35" t="n"/>
      <c r="BX122" s="35" t="n"/>
      <c r="BY122" s="35" t="n"/>
      <c r="BZ122" s="35" t="n"/>
      <c r="CA122" s="35" t="n"/>
      <c r="CB122" s="35" t="n"/>
      <c r="CC122" s="35" t="n"/>
      <c r="CD122" s="35" t="n"/>
      <c r="CE122" s="35" t="n"/>
      <c r="CF122" s="35" t="n"/>
      <c r="CG122" s="35" t="n"/>
      <c r="CH122" s="35" t="n"/>
      <c r="CI122" s="35" t="n"/>
      <c r="CJ122" s="35" t="n"/>
      <c r="CK122" s="35" t="n"/>
      <c r="CL122" s="35" t="n"/>
      <c r="CM122" s="35" t="n"/>
      <c r="CN122" s="35" t="n"/>
      <c r="CO122" s="35" t="n"/>
      <c r="CP122" s="35" t="n"/>
      <c r="CQ122" s="35" t="n"/>
      <c r="CR122" s="35" t="n"/>
      <c r="CS122" s="35" t="n"/>
      <c r="CT122" s="35" t="n"/>
      <c r="CU122" s="35" t="n"/>
      <c r="CV122" s="35" t="n"/>
      <c r="CW122" s="35" t="n"/>
      <c r="CX122" s="35" t="n"/>
      <c r="CY122" s="35" t="n"/>
    </row>
    <row r="123">
      <c r="C123" s="13" t="inlineStr">
        <is>
          <t>Common Dividends</t>
        </is>
      </c>
      <c r="D123" s="46" t="n"/>
      <c r="E123" s="46" t="n"/>
      <c r="F123" s="46" t="n"/>
      <c r="G123" s="46" t="n"/>
      <c r="H123" s="12" t="n"/>
      <c r="I123" s="46">
        <f>'Inputs (2)'!D13</f>
        <v>-4430</v>
      </c>
      <c r="J123" s="46">
        <f>'Inputs (2)'!E13</f>
        <v>-310</v>
      </c>
      <c r="K123" s="46">
        <f>'Inputs (2)'!F13</f>
        <v>-698</v>
      </c>
      <c r="L123" s="46">
        <f>'Inputs (2)'!G13</f>
        <v>-350</v>
      </c>
      <c r="M123" s="12">
        <f>'Inputs (2)'!H13</f>
        <v>-5788</v>
      </c>
      <c r="N123" s="46">
        <f>'Inputs (2)'!I13</f>
        <v>0</v>
      </c>
      <c r="O123" s="46">
        <f>'Inputs (2)'!J13</f>
        <v>-351</v>
      </c>
      <c r="P123" s="46">
        <f>'Inputs (2)'!K13</f>
        <v>-797</v>
      </c>
      <c r="Q123" s="46">
        <f>'Inputs (2)'!L13</f>
        <v>-400</v>
      </c>
      <c r="R123" s="12">
        <f>'Inputs (2)'!M13</f>
        <v>-1548</v>
      </c>
      <c r="S123" s="46">
        <f>'Inputs (2)'!N13</f>
        <v>0</v>
      </c>
      <c r="T123" s="46">
        <f>'Inputs (2)'!O13</f>
        <v>-399</v>
      </c>
      <c r="U123" s="46">
        <f>'Inputs (2)'!P13</f>
        <v>-452</v>
      </c>
      <c r="V123" s="46">
        <f>'Inputs (2)'!Q13</f>
        <v>-905</v>
      </c>
      <c r="W123" s="12">
        <f>'Inputs (2)'!R13</f>
        <v>-1756</v>
      </c>
      <c r="X123" s="46">
        <f>'Inputs (2)'!S13</f>
        <v>-7107</v>
      </c>
      <c r="Y123" s="46">
        <f>'Inputs (2)'!T13</f>
        <v>-515</v>
      </c>
      <c r="Z123" s="46">
        <f>'Inputs (2)'!U13</f>
        <v>-514</v>
      </c>
      <c r="AA123" s="46">
        <f>'Inputs (2)'!V13</f>
        <v>-515</v>
      </c>
      <c r="AB123" s="12">
        <f>'Inputs (2)'!W13</f>
        <v>-8651</v>
      </c>
      <c r="AC123" s="46">
        <f>'Inputs (2)'!X13</f>
        <v>0</v>
      </c>
      <c r="AD123" s="46">
        <f>'Inputs (2)'!Y13</f>
        <v>-515</v>
      </c>
      <c r="AE123" s="46">
        <f>'Inputs (2)'!Z13</f>
        <v>-1153</v>
      </c>
      <c r="AF123" s="46">
        <f>'Inputs (2)'!AA13</f>
        <v>-577</v>
      </c>
      <c r="AG123" s="12">
        <f>'Inputs (2)'!AB13</f>
        <v>-2245</v>
      </c>
      <c r="AH123" s="12">
        <f>'Inputs (2)'!AC13</f>
        <v>-577</v>
      </c>
      <c r="AI123" s="12">
        <f>'Inputs (2)'!AD13</f>
        <v>0</v>
      </c>
      <c r="AJ123" s="12">
        <f>-MAX(0,AJ122)*Control!$E$15</f>
        <v>0</v>
      </c>
      <c r="AK123" s="12">
        <f>-MAX(0,AK122)*Control!$E$15</f>
        <v>0</v>
      </c>
      <c r="AL123" s="12">
        <f>SUM(AH123:AK123)</f>
        <v>-577</v>
      </c>
      <c r="AM123" s="12">
        <f>-MAX(0,AM122)*Control!$E$15</f>
        <v>0</v>
      </c>
      <c r="AN123" s="12">
        <f>-MAX(0,AN122)*Control!$E$15</f>
        <v>0</v>
      </c>
      <c r="AO123" s="12">
        <f>-MAX(0,AO122)*Control!$E$15</f>
        <v>0</v>
      </c>
      <c r="AP123" s="12">
        <f>-MAX(0,AP122)*Control!$E$15</f>
        <v>0</v>
      </c>
      <c r="AQ123" s="12">
        <f>SUM(AM123:AP123)</f>
        <v>0</v>
      </c>
      <c r="AR123" s="12">
        <f>-MAX(0,AR122)*Control!$E$15</f>
        <v>0</v>
      </c>
      <c r="AS123" s="12">
        <f>-MAX(0,AS122)*Control!$E$15</f>
        <v>0</v>
      </c>
      <c r="AT123" s="12">
        <f>-MAX(0,AT122)*Control!$E$15</f>
        <v>0</v>
      </c>
      <c r="AU123" s="12">
        <f>-MAX(0,AU122)*Control!$E$15</f>
        <v>0</v>
      </c>
      <c r="AV123" s="12">
        <f>SUM(AR123:AU123)</f>
        <v>0</v>
      </c>
      <c r="AW123" s="12">
        <f>-MAX(0,AW122)*Control!$E$15</f>
        <v>0</v>
      </c>
      <c r="AX123" s="12">
        <f>-MAX(0,AX122)*Control!$E$15</f>
        <v>0</v>
      </c>
      <c r="AY123" s="12">
        <f>-MAX(0,AY122)*Control!$E$15</f>
        <v>0</v>
      </c>
      <c r="AZ123" s="12">
        <f>-MAX(0,AZ122)*Control!$E$15</f>
        <v>0</v>
      </c>
      <c r="BA123" s="12">
        <f>SUM(AW123:AZ123)</f>
        <v>0</v>
      </c>
      <c r="BB123" s="12">
        <f>-MAX(0,BB122)*Control!$E$15</f>
        <v>0</v>
      </c>
      <c r="BC123" s="12">
        <f>-MAX(0,BC122)*Control!$E$15</f>
        <v>0</v>
      </c>
      <c r="BD123" s="12">
        <f>-MAX(0,BD122)*Control!$E$15</f>
        <v>0</v>
      </c>
      <c r="BE123" s="12">
        <f>-MAX(0,BE122)*Control!$E$15</f>
        <v>0</v>
      </c>
      <c r="BF123" s="12">
        <f>SUM(BB123:BE123)</f>
        <v>0</v>
      </c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hidden="1" outlineLevel="1">
      <c r="C124" s="50" t="inlineStr">
        <is>
          <t>% DVD Payout</t>
        </is>
      </c>
      <c r="D124" s="58" t="n"/>
      <c r="E124" s="58" t="n"/>
      <c r="F124" s="58" t="n"/>
      <c r="G124" s="58" t="n"/>
      <c r="H124" s="58" t="n"/>
      <c r="I124" s="58">
        <f>IF(I122=0,"",-I123/I122)</f>
        <v>4.65825446898002</v>
      </c>
      <c r="J124" s="58">
        <f>IF(J122=0,"",-J123/J122)</f>
        <v>0.254098360655738</v>
      </c>
      <c r="K124" s="58">
        <f>IF(K122=0,"",-K123/K122)</f>
        <v>0.417964071856287</v>
      </c>
      <c r="L124" s="58">
        <f>IF(L122=0,"",-L123/L122)</f>
        <v>0.264350453172205</v>
      </c>
      <c r="M124" s="58">
        <f>IF(M122=0,"",-M123/M122)</f>
        <v>1.12061955469506</v>
      </c>
      <c r="N124" s="58">
        <f>IF(N122=0,"",-N123/N122)</f>
        <v>0</v>
      </c>
      <c r="O124" s="58">
        <f>IF(O122=0,"",-O123/O122)</f>
        <v>0.259423503325942</v>
      </c>
      <c r="P124" s="58">
        <f>IF(P122=0,"",-P123/P122)</f>
        <v>0.426659528907923</v>
      </c>
      <c r="Q124" s="58">
        <f>IF(Q122=0,"",-Q123/Q122)</f>
        <v>0.293255131964809</v>
      </c>
      <c r="R124" s="58">
        <f>IF(R122=0,"",-R123/R122)</f>
        <v>0.263086335825969</v>
      </c>
      <c r="S124" s="58">
        <f>IF(S122=0,"",-S123/S122)</f>
        <v>0</v>
      </c>
      <c r="T124" s="58">
        <f>IF(T122=0,"",-T123/T122)</f>
        <v>0.306451612903226</v>
      </c>
      <c r="U124" s="58">
        <f>IF(U122=0,"",-U123/U122)</f>
        <v>0.209259259259259</v>
      </c>
      <c r="V124" s="58">
        <f>IF(V122=0,"",-V123/V122)</f>
        <v>0.569540591567023</v>
      </c>
      <c r="W124" s="58">
        <f>IF(W122=0,"",-W123/W122)</f>
        <v>0.269449133036673</v>
      </c>
      <c r="X124" s="58">
        <f>IF(X122=0,"",-X123/X122)</f>
        <v>4.07745266781411</v>
      </c>
      <c r="Y124" s="58">
        <f>IF(Y122=0,"",-Y123/Y122)</f>
        <v>0.306365258774539</v>
      </c>
      <c r="Z124" s="58">
        <f>IF(Z122=0,"",-Z123/Z122)</f>
        <v>0.218351741716228</v>
      </c>
      <c r="AA124" s="58">
        <f>IF(AA122=0,"",-AA123/AA122)</f>
        <v>0.28642936596218</v>
      </c>
      <c r="AB124" s="58">
        <f>IF(AB122=0,"",-AB123/AB122)</f>
        <v>1.1418954593453</v>
      </c>
      <c r="AC124" s="58">
        <f>IF(AC122=0,"",-AC123/AC122)</f>
        <v>0</v>
      </c>
      <c r="AD124" s="58">
        <f>IF(AD122=0,"",-AD123/AD122)</f>
        <v>0.270625328428797</v>
      </c>
      <c r="AE124" s="58">
        <f>IF(AE122=0,"",-AE123/AE122)</f>
        <v>0.44176245210728</v>
      </c>
      <c r="AF124" s="41">
        <f>IF(AF122=0,"",-AF123/AF122)</f>
        <v>0.288355822088956</v>
      </c>
      <c r="AG124" s="12">
        <f>IF(AG122=0,"",-AG123/AG122)</f>
        <v>0.270416767044086</v>
      </c>
      <c r="AH124" s="41">
        <f>IF(AH122=0,"",-AH123/AH122)</f>
        <v>0.283538083538084</v>
      </c>
      <c r="AI124" s="41">
        <f>IF(AI122=0,"",-AI123/AI122)</f>
        <v>0</v>
      </c>
      <c r="AJ124" s="41">
        <f>IF(AJ122=0,"",-AJ123/AJ122)</f>
        <v>0</v>
      </c>
      <c r="AK124" s="41">
        <f>IF(AK122=0,"",-AK123/AK122)</f>
        <v>0</v>
      </c>
      <c r="AL124" s="12">
        <f>IF(AL122=0,"",-AL123/AL122)</f>
        <v>0.0622139054056579</v>
      </c>
      <c r="AM124" s="41">
        <f>IF(AM122=0,"",-AM123/AM122)</f>
        <v>0</v>
      </c>
      <c r="AN124" s="41">
        <f>IF(AN122=0,"",-AN123/AN122)</f>
        <v>0</v>
      </c>
      <c r="AO124" s="41">
        <f>IF(AO122=0,"",-AO123/AO122)</f>
        <v>0</v>
      </c>
      <c r="AP124" s="41">
        <f>IF(AP122=0,"",-AP123/AP122)</f>
        <v>0</v>
      </c>
      <c r="AQ124" s="12">
        <f>IF(AQ122=0,"",-AQ123/AQ122)</f>
        <v>0</v>
      </c>
      <c r="AR124" s="41">
        <f>IF(AR122=0,"",-AR123/AR122)</f>
        <v>0</v>
      </c>
      <c r="AS124" s="41">
        <f>IF(AS122=0,"",-AS123/AS122)</f>
        <v>0</v>
      </c>
      <c r="AT124" s="41">
        <f>IF(AT122=0,"",-AT123/AT122)</f>
        <v>0</v>
      </c>
      <c r="AU124" s="41">
        <f>IF(AU122=0,"",-AU123/AU122)</f>
        <v>0</v>
      </c>
      <c r="AV124" s="12">
        <f>IF(AV122=0,"",-AV123/AV122)</f>
        <v>0</v>
      </c>
      <c r="AW124" s="41">
        <f>IF(AW122=0,"",-AW123/AW122)</f>
        <v>0</v>
      </c>
      <c r="AX124" s="41">
        <f>IF(AX122=0,"",-AX123/AX122)</f>
        <v>0</v>
      </c>
      <c r="AY124" s="41">
        <f>IF(AY122=0,"",-AY123/AY122)</f>
        <v>0</v>
      </c>
      <c r="AZ124" s="41">
        <f>IF(AZ122=0,"",-AZ123/AZ122)</f>
        <v>0</v>
      </c>
      <c r="BA124" s="12">
        <f>IF(BA122=0,"",-BA123/BA122)</f>
        <v>0</v>
      </c>
      <c r="BB124" s="41">
        <f>IF(BB122=0,"",-BB123/BB122)</f>
        <v>0</v>
      </c>
      <c r="BC124" s="41">
        <f>IF(BC122=0,"",-BC123/BC122)</f>
        <v>0</v>
      </c>
      <c r="BD124" s="41">
        <f>IF(BD122=0,"",-BD123/BD122)</f>
        <v>0</v>
      </c>
      <c r="BE124" s="41">
        <f>IF(BE122=0,"",-BE123/BE122)</f>
        <v>0</v>
      </c>
      <c r="BF124" s="12">
        <f>IF(BF122=0,"",-BF123/BF122)</f>
        <v>0</v>
      </c>
      <c r="BG124" s="41" t="n"/>
      <c r="BH124" s="41" t="n"/>
      <c r="BI124" s="41" t="n"/>
      <c r="BJ124" s="41" t="n"/>
      <c r="BK124" s="12" t="n"/>
      <c r="BL124" s="41" t="n"/>
      <c r="BM124" s="41" t="n"/>
      <c r="BN124" s="41" t="n"/>
      <c r="BO124" s="41" t="n"/>
      <c r="BP124" s="12" t="n"/>
      <c r="BQ124" s="41" t="n"/>
      <c r="BR124" s="41" t="n"/>
      <c r="BS124" s="41" t="n"/>
      <c r="BT124" s="41" t="n"/>
      <c r="BU124" s="12" t="n"/>
      <c r="BV124" s="41" t="n"/>
      <c r="BW124" s="41" t="n"/>
      <c r="BX124" s="41" t="n"/>
      <c r="BY124" s="41" t="n"/>
      <c r="BZ124" s="12" t="n"/>
      <c r="CA124" s="41" t="n"/>
      <c r="CB124" s="41" t="n"/>
      <c r="CC124" s="41" t="n"/>
      <c r="CD124" s="41" t="n"/>
      <c r="CE124" s="12" t="n"/>
      <c r="CF124" s="41" t="n"/>
      <c r="CG124" s="41" t="n"/>
      <c r="CH124" s="41" t="n"/>
      <c r="CI124" s="41" t="n"/>
      <c r="CJ124" s="12" t="n"/>
      <c r="CK124" s="41" t="n"/>
      <c r="CL124" s="41" t="n"/>
      <c r="CM124" s="41" t="n"/>
      <c r="CN124" s="41" t="n"/>
      <c r="CO124" s="12" t="n"/>
      <c r="CP124" s="41" t="n"/>
      <c r="CQ124" s="41" t="n"/>
      <c r="CR124" s="41" t="n"/>
      <c r="CS124" s="41" t="n"/>
      <c r="CT124" s="12" t="n"/>
      <c r="CU124" s="41" t="n"/>
      <c r="CV124" s="41" t="n"/>
      <c r="CW124" s="41" t="n"/>
      <c r="CX124" s="41" t="n"/>
      <c r="CY124" s="12" t="n"/>
    </row>
    <row r="125" hidden="1" outlineLevel="1">
      <c r="C125" s="18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18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collapsed="1" ht="11.25" customHeight="1">
      <c r="C127" s="31" t="inlineStr">
        <is>
          <t>Balance Sheet</t>
        </is>
      </c>
      <c r="D127" s="31" t="n"/>
      <c r="E127" s="31" t="n"/>
      <c r="F127" s="31" t="n"/>
      <c r="G127" s="31" t="n"/>
      <c r="H127" s="31" t="n"/>
      <c r="I127" s="31" t="str">
        <f>I13</f>
        <v>1Q21</v>
      </c>
      <c r="J127" s="31" t="str">
        <f>J13</f>
        <v>2Q21</v>
      </c>
      <c r="K127" s="31" t="str">
        <f>K13</f>
        <v>3Q21</v>
      </c>
      <c r="L127" s="31" t="str">
        <f>L13</f>
        <v>4Q21</v>
      </c>
      <c r="M127" s="31">
        <f>M13</f>
        <v>2021</v>
      </c>
      <c r="N127" s="31" t="str">
        <f>N13</f>
        <v>1Q22</v>
      </c>
      <c r="O127" s="31" t="str">
        <f>O13</f>
        <v>2Q22</v>
      </c>
      <c r="P127" s="31" t="str">
        <f>P13</f>
        <v>3Q22</v>
      </c>
      <c r="Q127" s="31" t="str">
        <f>Q13</f>
        <v>4Q22</v>
      </c>
      <c r="R127" s="31">
        <f>R13</f>
        <v>2022</v>
      </c>
      <c r="S127" s="31" t="str">
        <f>S13</f>
        <v>1Q23</v>
      </c>
      <c r="T127" s="31" t="str">
        <f>T13</f>
        <v>2Q23</v>
      </c>
      <c r="U127" s="31" t="str">
        <f>U13</f>
        <v>3Q23</v>
      </c>
      <c r="V127" s="31" t="str">
        <f>V13</f>
        <v>4Q23</v>
      </c>
      <c r="W127" s="31">
        <f>W13</f>
        <v>2023</v>
      </c>
      <c r="X127" s="31" t="str">
        <f>X13</f>
        <v>1Q24</v>
      </c>
      <c r="Y127" s="31" t="str">
        <f>Y13</f>
        <v>2Q24</v>
      </c>
      <c r="Z127" s="31" t="str">
        <f>Z13</f>
        <v>3Q24</v>
      </c>
      <c r="AA127" s="31" t="str">
        <f>AA13</f>
        <v>4Q24</v>
      </c>
      <c r="AB127" s="31">
        <f>AB13</f>
        <v>2024</v>
      </c>
      <c r="AC127" s="31" t="str">
        <f>AC13</f>
        <v>1Q25</v>
      </c>
      <c r="AD127" s="31" t="str">
        <f>AD13</f>
        <v>2Q25</v>
      </c>
      <c r="AE127" s="31" t="str">
        <f>AE13</f>
        <v>3Q25</v>
      </c>
      <c r="AF127" s="31" t="str">
        <f>AF13</f>
        <v>4Q25</v>
      </c>
      <c r="AG127" s="31">
        <f>AG13</f>
        <v>2025</v>
      </c>
      <c r="AH127" s="31" t="str">
        <f>AH13</f>
        <v>1Q26</v>
      </c>
      <c r="AI127" s="31" t="str">
        <f>AI13</f>
        <v>2Q26</v>
      </c>
      <c r="AJ127" s="31" t="str">
        <f>AJ13</f>
        <v>3Q26</v>
      </c>
      <c r="AK127" s="31" t="str">
        <f>AK13</f>
        <v>4Q26</v>
      </c>
      <c r="AL127" s="31">
        <f>AL13</f>
        <v>2026</v>
      </c>
      <c r="AM127" s="31" t="str">
        <f>AM13</f>
        <v>1Q27</v>
      </c>
      <c r="AN127" s="31" t="str">
        <f>AN13</f>
        <v>2Q27</v>
      </c>
      <c r="AO127" s="31" t="str">
        <f>AO13</f>
        <v>3Q27</v>
      </c>
      <c r="AP127" s="31" t="str">
        <f>AP13</f>
        <v>4Q27</v>
      </c>
      <c r="AQ127" s="31">
        <f>AQ13</f>
        <v>2027</v>
      </c>
      <c r="AR127" s="31" t="str">
        <f>AR13</f>
        <v>1Q28</v>
      </c>
      <c r="AS127" s="31" t="str">
        <f>AS13</f>
        <v>2Q28</v>
      </c>
      <c r="AT127" s="31" t="str">
        <f>AT13</f>
        <v>3Q28</v>
      </c>
      <c r="AU127" s="31" t="str">
        <f>AU13</f>
        <v>4Q28</v>
      </c>
      <c r="AV127" s="31">
        <f>AV13</f>
        <v>2028</v>
      </c>
      <c r="AW127" s="31" t="str">
        <f>AW13</f>
        <v>1Q29</v>
      </c>
      <c r="AX127" s="31" t="str">
        <f>AX13</f>
        <v>2Q29</v>
      </c>
      <c r="AY127" s="31" t="str">
        <f>AY13</f>
        <v>3Q29</v>
      </c>
      <c r="AZ127" s="31" t="str">
        <f>AZ13</f>
        <v>4Q29</v>
      </c>
      <c r="BA127" s="31">
        <f>BA13</f>
        <v>2029</v>
      </c>
      <c r="BB127" s="31" t="str">
        <f>BB13</f>
        <v>1Q30</v>
      </c>
      <c r="BC127" s="31" t="str">
        <f>BC13</f>
        <v>2Q30</v>
      </c>
      <c r="BD127" s="31" t="str">
        <f>BD13</f>
        <v>3Q30</v>
      </c>
      <c r="BE127" s="31" t="str">
        <f>BE13</f>
        <v>4Q30</v>
      </c>
      <c r="BF127" s="31">
        <f>BF13</f>
        <v>2030</v>
      </c>
      <c r="BG127" s="31" t="n"/>
      <c r="BH127" s="31" t="n"/>
      <c r="BI127" s="31" t="n"/>
      <c r="BJ127" s="31" t="n"/>
      <c r="BK127" s="31" t="n"/>
      <c r="BL127" s="31" t="n"/>
      <c r="BM127" s="31" t="n"/>
      <c r="BN127" s="31" t="n"/>
      <c r="BO127" s="31" t="n"/>
      <c r="BP127" s="31" t="n"/>
      <c r="BQ127" s="31" t="n"/>
      <c r="BR127" s="31" t="n"/>
      <c r="BS127" s="31" t="n"/>
      <c r="BT127" s="31" t="n"/>
      <c r="BU127" s="31" t="n"/>
      <c r="BV127" s="31" t="n"/>
      <c r="BW127" s="31" t="n"/>
      <c r="BX127" s="31" t="n"/>
      <c r="BY127" s="31" t="n"/>
      <c r="BZ127" s="31" t="n"/>
      <c r="CA127" s="31" t="n"/>
      <c r="CB127" s="31" t="n"/>
      <c r="CC127" s="31" t="n"/>
      <c r="CD127" s="31" t="n"/>
      <c r="CE127" s="31" t="n"/>
      <c r="CF127" s="31" t="n"/>
      <c r="CG127" s="31" t="n"/>
      <c r="CH127" s="31" t="n"/>
      <c r="CI127" s="31" t="n"/>
      <c r="CJ127" s="31" t="n"/>
      <c r="CK127" s="31" t="n"/>
      <c r="CL127" s="31" t="n"/>
      <c r="CM127" s="31" t="n"/>
      <c r="CN127" s="31" t="n"/>
      <c r="CO127" s="31" t="n"/>
      <c r="CP127" s="31" t="n"/>
      <c r="CQ127" s="31" t="n"/>
      <c r="CR127" s="31" t="n"/>
      <c r="CS127" s="31" t="n"/>
      <c r="CT127" s="31" t="n"/>
      <c r="CU127" s="31" t="n"/>
      <c r="CV127" s="31" t="n"/>
      <c r="CW127" s="31" t="n"/>
      <c r="CX127" s="31" t="n"/>
      <c r="CY127" s="31" t="n"/>
    </row>
    <row r="128">
      <c r="C128" s="18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>
      <c r="C129" s="13" t="inlineStr">
        <is>
          <t>Cash and equivalents (inc. investment securities)</t>
        </is>
      </c>
      <c r="D129" s="46" t="n"/>
      <c r="E129" s="46" t="n"/>
      <c r="F129" s="46" t="n"/>
      <c r="G129" s="46" t="n"/>
      <c r="H129" s="12" t="n"/>
      <c r="I129" s="46">
        <f>'Inputs (2)'!D15</f>
        <v>9254</v>
      </c>
      <c r="J129" s="46">
        <f>'Inputs (2)'!E15</f>
        <v>11126</v>
      </c>
      <c r="K129" s="46">
        <f>'Inputs (2)'!F15</f>
        <v>12175</v>
      </c>
      <c r="L129" s="46">
        <f>'Inputs (2)'!G15</f>
        <v>13476</v>
      </c>
      <c r="M129" s="12">
        <f>'Inputs (2)'!H15</f>
        <v>13476</v>
      </c>
      <c r="N129" s="46">
        <f>'Inputs (2)'!I15</f>
        <v>12296</v>
      </c>
      <c r="O129" s="46">
        <f>'Inputs (2)'!J15</f>
        <v>11831</v>
      </c>
      <c r="P129" s="46">
        <f>'Inputs (2)'!K15</f>
        <v>11049</v>
      </c>
      <c r="Q129" s="46">
        <f>'Inputs (2)'!L15</f>
        <v>11673</v>
      </c>
      <c r="R129" s="12">
        <f>'Inputs (2)'!M15</f>
        <v>11673</v>
      </c>
      <c r="S129" s="46">
        <f>'Inputs (2)'!N15</f>
        <v>13705</v>
      </c>
      <c r="T129" s="46">
        <f>'Inputs (2)'!O15</f>
        <v>13708</v>
      </c>
      <c r="U129" s="46">
        <f>'Inputs (2)'!P15</f>
        <v>15234</v>
      </c>
      <c r="V129" s="46">
        <f>'Inputs (2)'!Q15</f>
        <v>17864</v>
      </c>
      <c r="W129" s="12">
        <f>'Inputs (2)'!R15</f>
        <v>17864</v>
      </c>
      <c r="X129" s="46">
        <f>'Inputs (2)'!S15</f>
        <v>10321</v>
      </c>
      <c r="Y129" s="46">
        <f>'Inputs (2)'!T15</f>
        <v>11499</v>
      </c>
      <c r="Z129" s="46">
        <f>'Inputs (2)'!U15</f>
        <v>11144</v>
      </c>
      <c r="AA129" s="46">
        <f>'Inputs (2)'!V15</f>
        <v>11827</v>
      </c>
      <c r="AB129" s="12">
        <f>'Inputs (2)'!W15</f>
        <v>11827</v>
      </c>
      <c r="AC129" s="46">
        <f>'Inputs (2)'!X15</f>
        <v>13158</v>
      </c>
      <c r="AD129" s="46">
        <f>'Inputs (2)'!Y15</f>
        <v>14850</v>
      </c>
      <c r="AE129" s="46">
        <f>'Inputs (2)'!Z15</f>
        <v>15284</v>
      </c>
      <c r="AF129" s="46">
        <f>'Inputs (2)'!AA15</f>
        <v>17183</v>
      </c>
      <c r="AG129" s="12">
        <f>'Inputs (2)'!AB15</f>
        <v>17183</v>
      </c>
      <c r="AH129" s="12">
        <f>'Inputs (2)'!AC15</f>
        <v>18240</v>
      </c>
      <c r="AI129" s="12">
        <f>'Inputs (2)'!AD15</f>
        <v>19996</v>
      </c>
      <c r="AJ129" s="12">
        <f>AJ258-SUM(AJ130,AJ134,AJ138,AJ139,AJ140,AJ146,AJ151,AJ161,AJ164,AJ165,AJ174)</f>
        <v>20965.513588792</v>
      </c>
      <c r="AK129" s="12">
        <f>AK258-SUM(AK130,AK134,AK138,AK139,AK140,AK146,AK151,AK161,AK164,AK165,AK174)</f>
        <v>23621.598740736</v>
      </c>
      <c r="AL129" s="12">
        <f>AK129</f>
        <v>23621.598740736</v>
      </c>
      <c r="AM129" s="12">
        <f>AM258-SUM(AM130,AM134,AM138,AM139,AM140,AM146,AM151,AM161,AM164,AM165,AM174)</f>
        <v>25790.9383419196</v>
      </c>
      <c r="AN129" s="12">
        <f>AN258-SUM(AN130,AN134,AN138,AN139,AN140,AN146,AN151,AN161,AN164,AN165,AN174)</f>
        <v>28156.4517521454</v>
      </c>
      <c r="AO129" s="12">
        <f>AO258-SUM(AO130,AO134,AO138,AO139,AO140,AO146,AO151,AO161,AO164,AO165,AO174)</f>
        <v>30477.4465295576</v>
      </c>
      <c r="AP129" s="12">
        <f>AP258-SUM(AP130,AP134,AP138,AP139,AP140,AP146,AP151,AP161,AP164,AP165,AP174)</f>
        <v>33634.0599928488</v>
      </c>
      <c r="AQ129" s="12">
        <f>AP129</f>
        <v>33634.0599928488</v>
      </c>
      <c r="AR129" s="12">
        <f>AR258-SUM(AR130,AR134,AR138,AR139,AR140,AR146,AR151,AR161,AR164,AR165,AR174)</f>
        <v>36239.991383404</v>
      </c>
      <c r="AS129" s="12">
        <f>AS258-SUM(AS130,AS134,AS138,AS139,AS140,AS146,AS151,AS161,AS164,AS165,AS174)</f>
        <v>39018.579646284</v>
      </c>
      <c r="AT129" s="12">
        <f>AT258-SUM(AT130,AT134,AT138,AT139,AT140,AT146,AT151,AT161,AT164,AT165,AT174)</f>
        <v>41786.2559888723</v>
      </c>
      <c r="AU129" s="12">
        <f>AU258-SUM(AU130,AU134,AU138,AU139,AU140,AU146,AU151,AU161,AU164,AU165,AU174)</f>
        <v>45476.4875783975</v>
      </c>
      <c r="AV129" s="12">
        <f>AU129</f>
        <v>45476.4875783975</v>
      </c>
      <c r="AW129" s="12">
        <f>AW258-SUM(AW130,AW134,AW138,AW139,AW140,AW146,AW151,AW161,AW164,AW165,AW174)</f>
        <v>48542.7570297452</v>
      </c>
      <c r="AX129" s="12">
        <f>AX258-SUM(AX130,AX134,AX138,AX139,AX140,AX146,AX151,AX161,AX164,AX165,AX174)</f>
        <v>51849.7231888571</v>
      </c>
      <c r="AY129" s="12">
        <f>AY258-SUM(AY130,AY134,AY138,AY139,AY140,AY146,AY151,AY161,AY164,AY165,AY174)</f>
        <v>55136.1111324742</v>
      </c>
      <c r="AZ129" s="12">
        <f>AZ258-SUM(AZ130,AZ134,AZ138,AZ139,AZ140,AZ146,AZ151,AZ161,AZ164,AZ165,AZ174)</f>
        <v>59435.6020000818</v>
      </c>
      <c r="BA129" s="12">
        <f>AZ129</f>
        <v>59435.6020000818</v>
      </c>
      <c r="BB129" s="12">
        <f>BB258-SUM(BB130,BB134,BB138,BB139,BB140,BB146,BB151,BB161,BB164,BB165,BB174)</f>
        <v>63054.0546216775</v>
      </c>
      <c r="BC129" s="12">
        <f>BC258-SUM(BC130,BC134,BC138,BC139,BC140,BC146,BC151,BC161,BC164,BC165,BC174)</f>
        <v>66935.8914467705</v>
      </c>
      <c r="BD129" s="12">
        <f>BD258-SUM(BD130,BD134,BD138,BD139,BD140,BD146,BD151,BD161,BD164,BD165,BD174)</f>
        <v>70811.242001414</v>
      </c>
      <c r="BE129" s="12">
        <f>BE258-SUM(BE130,BE134,BE138,BE139,BE140,BE146,BE151,BE161,BE164,BE165,BE174)</f>
        <v>75792.215529518</v>
      </c>
      <c r="BF129" s="12">
        <f>BE129</f>
        <v>75792.215529518</v>
      </c>
      <c r="BG129" s="12" t="n"/>
      <c r="BH129" s="12" t="n"/>
      <c r="BI129" s="12" t="n"/>
      <c r="BJ129" s="12" t="n"/>
      <c r="BK129" s="12" t="n"/>
      <c r="BL129" s="12" t="n"/>
      <c r="BM129" s="12" t="n"/>
      <c r="BN129" s="12" t="n"/>
      <c r="BO129" s="12" t="n"/>
      <c r="BP129" s="12" t="n"/>
      <c r="BQ129" s="12" t="n"/>
      <c r="BR129" s="12" t="n"/>
      <c r="BS129" s="12" t="n"/>
      <c r="BT129" s="12" t="n"/>
      <c r="BU129" s="12" t="n"/>
      <c r="BV129" s="12" t="n"/>
      <c r="BW129" s="12" t="n"/>
      <c r="BX129" s="12" t="n"/>
      <c r="BY129" s="12" t="n"/>
      <c r="BZ129" s="12" t="n"/>
      <c r="CA129" s="12" t="n"/>
      <c r="CB129" s="12" t="n"/>
      <c r="CC129" s="12" t="n"/>
      <c r="CD129" s="12" t="n"/>
      <c r="CE129" s="12" t="n"/>
      <c r="CF129" s="12" t="n"/>
      <c r="CG129" s="12" t="n"/>
      <c r="CH129" s="12" t="n"/>
      <c r="CI129" s="12" t="n"/>
      <c r="CJ129" s="12" t="n"/>
      <c r="CK129" s="12" t="n"/>
      <c r="CL129" s="12" t="n"/>
      <c r="CM129" s="12" t="n"/>
      <c r="CN129" s="12" t="n"/>
      <c r="CO129" s="12" t="n"/>
      <c r="CP129" s="12" t="n"/>
      <c r="CQ129" s="12" t="n"/>
      <c r="CR129" s="12" t="n"/>
      <c r="CS129" s="12" t="n"/>
      <c r="CT129" s="12" t="n"/>
      <c r="CU129" s="12" t="n"/>
      <c r="CV129" s="12" t="n"/>
      <c r="CW129" s="12" t="n"/>
      <c r="CX129" s="12" t="n"/>
      <c r="CY129" s="12" t="n"/>
    </row>
    <row r="130">
      <c r="C130" s="14" t="inlineStr">
        <is>
          <t>Accounts receivable</t>
        </is>
      </c>
      <c r="D130" s="46" t="n"/>
      <c r="E130" s="46" t="n"/>
      <c r="F130" s="46" t="n"/>
      <c r="G130" s="46" t="n"/>
      <c r="H130" s="12" t="n"/>
      <c r="I130" s="46">
        <f>'Inputs (2)'!D16</f>
        <v>1934</v>
      </c>
      <c r="J130" s="46">
        <f>'Inputs (2)'!E16</f>
        <v>1595</v>
      </c>
      <c r="K130" s="46">
        <f>'Inputs (2)'!F16</f>
        <v>1803</v>
      </c>
      <c r="L130" s="46">
        <f>'Inputs (2)'!G16</f>
        <v>1932</v>
      </c>
      <c r="M130" s="12">
        <f>'Inputs (2)'!H16</f>
        <v>1932</v>
      </c>
      <c r="N130" s="46">
        <f>'Inputs (2)'!I16</f>
        <v>2232</v>
      </c>
      <c r="O130" s="46">
        <f>'Inputs (2)'!J16</f>
        <v>1991</v>
      </c>
      <c r="P130" s="46">
        <f>'Inputs (2)'!K16</f>
        <v>2241</v>
      </c>
      <c r="Q130" s="46">
        <f>'Inputs (2)'!L16</f>
        <v>2312</v>
      </c>
      <c r="R130" s="12">
        <f>'Inputs (2)'!M16</f>
        <v>2312</v>
      </c>
      <c r="S130" s="46">
        <f>'Inputs (2)'!N16</f>
        <v>2714</v>
      </c>
      <c r="T130" s="46">
        <f>'Inputs (2)'!O16</f>
        <v>2502</v>
      </c>
      <c r="U130" s="46">
        <f>'Inputs (2)'!P16</f>
        <v>2285</v>
      </c>
      <c r="V130" s="46">
        <f>'Inputs (2)'!Q16</f>
        <v>2542</v>
      </c>
      <c r="W130" s="12">
        <f>'Inputs (2)'!R16</f>
        <v>2542</v>
      </c>
      <c r="X130" s="46">
        <f>'Inputs (2)'!S16</f>
        <v>2779</v>
      </c>
      <c r="Y130" s="46">
        <f>'Inputs (2)'!T16</f>
        <v>2583</v>
      </c>
      <c r="Z130" s="46">
        <f>'Inputs (2)'!U16</f>
        <v>2721</v>
      </c>
      <c r="AA130" s="46">
        <f>'Inputs (2)'!V16</f>
        <v>2963</v>
      </c>
      <c r="AB130" s="12">
        <f>'Inputs (2)'!W16</f>
        <v>2963</v>
      </c>
      <c r="AC130" s="46">
        <f>'Inputs (2)'!X16</f>
        <v>3060</v>
      </c>
      <c r="AD130" s="46">
        <f>'Inputs (2)'!Y16</f>
        <v>2875</v>
      </c>
      <c r="AE130" s="46">
        <f>'Inputs (2)'!Z16</f>
        <v>3203</v>
      </c>
      <c r="AF130" s="46">
        <f>'Inputs (2)'!AA16</f>
        <v>3231</v>
      </c>
      <c r="AG130" s="12">
        <f>'Inputs (2)'!AB16</f>
        <v>3231</v>
      </c>
      <c r="AH130" s="12">
        <f>'Inputs (2)'!AC16</f>
        <v>3782</v>
      </c>
      <c r="AI130" s="12">
        <f>'Inputs (2)'!AD16</f>
        <v>3750</v>
      </c>
      <c r="AJ130" s="12">
        <f>(AJ131/(AJ$5-AI$5))*AJ$15</f>
        <v>4429.62435254081</v>
      </c>
      <c r="AK130" s="12">
        <f>(AK131/(AK$5-AJ$5))*AK$15</f>
        <v>3460.52191717889</v>
      </c>
      <c r="AL130" s="12">
        <f>AK130</f>
        <v>3460.52191717889</v>
      </c>
      <c r="AM130" s="12">
        <f>(AM131/(AM$5-AL$5))*AM$15</f>
        <v>3657.77685927181</v>
      </c>
      <c r="AN130" s="12">
        <f>(AN131/(AN$5-AM$5))*AN$15</f>
        <v>3665.92196642423</v>
      </c>
      <c r="AO130" s="12">
        <f>(AO131/(AO$5-AN$5))*AO$15</f>
        <v>4830.1677209031</v>
      </c>
      <c r="AP130" s="12">
        <f>(AP131/(AP$5-AO$5))*AP$15</f>
        <v>3773.43538222323</v>
      </c>
      <c r="AQ130" s="12">
        <f>AP130</f>
        <v>3773.43538222323</v>
      </c>
      <c r="AR130" s="12">
        <f>(AR131/(AR$5-AQ$5))*AR$15</f>
        <v>3926.60898832203</v>
      </c>
      <c r="AS130" s="12">
        <f>(AS131/(AS$5-AR$5))*AS$15</f>
        <v>3979.07887005744</v>
      </c>
      <c r="AT130" s="12">
        <f>(AT131/(AT$5-AS$5))*AT$15</f>
        <v>5242.77889521636</v>
      </c>
      <c r="AU130" s="12">
        <f>(AU131/(AU$5-AT$5))*AU$15</f>
        <v>4095.77648800231</v>
      </c>
      <c r="AV130" s="12">
        <f>AU130</f>
        <v>4095.77648800231</v>
      </c>
      <c r="AW130" s="12">
        <f>(AW131/(AW$5-AV$5))*AW$15</f>
        <v>4289.53951411603</v>
      </c>
      <c r="AX130" s="12">
        <f>(AX131/(AX$5-AW$5))*AX$15</f>
        <v>4299.09142510492</v>
      </c>
      <c r="AY130" s="12">
        <f>(AY131/(AY$5-AX$5))*AY$15</f>
        <v>5664.42298034177</v>
      </c>
      <c r="AZ130" s="12">
        <f>(AZ131/(AZ$5-AY$5))*AZ$15</f>
        <v>4425.17430634968</v>
      </c>
      <c r="BA130" s="12">
        <f>AZ130</f>
        <v>4425.17430634968</v>
      </c>
      <c r="BB130" s="12">
        <f>(BB131/(BB$5-BA$5))*BB$15</f>
        <v>4613.0727894583</v>
      </c>
      <c r="BC130" s="12">
        <f>(BC131/(BC$5-BB$5))*BC$15</f>
        <v>4623.34514165956</v>
      </c>
      <c r="BD130" s="12">
        <f>(BD131/(BD$5-BC$5))*BD$15</f>
        <v>6091.65516079452</v>
      </c>
      <c r="BE130" s="12">
        <f>(BE131/(BE$5-BD$5))*BE$15</f>
        <v>4758.93767012857</v>
      </c>
      <c r="BF130" s="12">
        <f>BE130</f>
        <v>4758.93767012857</v>
      </c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hidden="1" outlineLevel="1">
      <c r="C131" s="57" t="inlineStr">
        <is>
          <t>DSO</t>
        </is>
      </c>
      <c r="D131" s="12" t="n"/>
      <c r="E131" s="12" t="n"/>
      <c r="F131" s="12" t="n"/>
      <c r="G131" s="12" t="n"/>
      <c r="H131" s="12" t="n"/>
      <c r="I131" s="12">
        <f>IFERROR((I130/I$15)*(I$5-H$5),"")</f>
        <v>3.88795818535147</v>
      </c>
      <c r="J131" s="12">
        <f>IFERROR((J130/J$15)*(J$5-I$5),"")</f>
        <v>3.20571150915476</v>
      </c>
      <c r="K131" s="12">
        <f>IFERROR((K130/K$15)*(K$5-J$5),"")</f>
        <v>2.64660550458716</v>
      </c>
      <c r="L131" s="12">
        <f>IFERROR((L130/L$15)*(L$5-K$5),"")</f>
        <v>3.52925758989735</v>
      </c>
      <c r="M131" s="12" t="n"/>
      <c r="N131" s="12">
        <f>IFERROR((N130/N$15)*(N$5-M$5),"")</f>
        <v>3.87022194821208</v>
      </c>
      <c r="O131" s="12">
        <f>IFERROR((O130/O$15)*(O$5-N$5),"")</f>
        <v>3.44476766294015</v>
      </c>
      <c r="P131" s="12">
        <f>IFERROR((P130/P$15)*(P$5-O$5),"")</f>
        <v>2.85988542259089</v>
      </c>
      <c r="Q131" s="12">
        <f>IFERROR((Q130/Q$15)*(Q$5-P$5),"")</f>
        <v>3.90734243253669</v>
      </c>
      <c r="R131" s="12" t="n"/>
      <c r="S131" s="12">
        <f>IFERROR((S130/S$15)*(S$5-R$5),"")</f>
        <v>4.41971555748562</v>
      </c>
      <c r="T131" s="12">
        <f>IFERROR((T130/T$15)*(T$5-S$5),"")</f>
        <v>4.24399791231733</v>
      </c>
      <c r="U131" s="12">
        <f>IFERROR((U130/U$15)*(U$5-T$5),"")</f>
        <v>2.66306895197558</v>
      </c>
      <c r="V131" s="12">
        <f>IFERROR((V130/V$15)*(V$5-U$5),"")</f>
        <v>4.04615996816554</v>
      </c>
      <c r="W131" s="12" t="n"/>
      <c r="X131" s="12">
        <f>IFERROR((X130/X$15)*(X$5-W$5),"")</f>
        <v>4.32717908353581</v>
      </c>
      <c r="Y131" s="12">
        <f>IFERROR((Y130/Y$15)*(Y$5-X$5),"")</f>
        <v>4.01697000769034</v>
      </c>
      <c r="Z131" s="12">
        <f>IFERROR((Z130/Z$15)*(Z$5-Y$5),"")</f>
        <v>3.14104671443091</v>
      </c>
      <c r="AA131" s="12">
        <f>IFERROR((AA130/AA$15)*(AA$5-Z$5),"")</f>
        <v>4.38602757799553</v>
      </c>
      <c r="AB131" s="12" t="n"/>
      <c r="AC131" s="12">
        <f>IFERROR((AC130/AC$15)*(AC$5-AB$5),"")</f>
        <v>4.3218304222965</v>
      </c>
      <c r="AD131" s="12">
        <f>IFERROR((AD130/AD$15)*(AD$5-AC$5),"")</f>
        <v>4.13930859900324</v>
      </c>
      <c r="AE131" s="12">
        <f>IFERROR((AE130/AE$15)*(AE$5-AD$5),"")</f>
        <v>3.42026092204838</v>
      </c>
      <c r="AF131" s="11">
        <f>IFERROR((AF130/AF$15)*(AF$5-AE$5),"")</f>
        <v>4.41636085399736</v>
      </c>
      <c r="AG131" s="12" t="n"/>
      <c r="AH131" s="11">
        <f>IFERROR((AH130/AH$15)*(AH$5-AG$5),"")</f>
        <v>4.89072804862279</v>
      </c>
      <c r="AI131" s="11">
        <f>IFERROR((AI130/AI$15)*(AI$5-AH$5),"")</f>
        <v>4.83857246161045</v>
      </c>
      <c r="AJ131" s="11">
        <f>Control!$B$25</f>
        <v>4.33784355126312</v>
      </c>
      <c r="AK131" s="11">
        <f>Control!$B$25</f>
        <v>4.33784355126312</v>
      </c>
      <c r="AL131" s="12" t="n"/>
      <c r="AM131" s="11">
        <f>Control!$C$25</f>
        <v>4.33784355126312</v>
      </c>
      <c r="AN131" s="11">
        <f>Control!$C$25</f>
        <v>4.33784355126312</v>
      </c>
      <c r="AO131" s="11">
        <f>Control!$C$25</f>
        <v>4.33784355126312</v>
      </c>
      <c r="AP131" s="11">
        <f>Control!$C$25</f>
        <v>4.33784355126312</v>
      </c>
      <c r="AQ131" s="12" t="n"/>
      <c r="AR131" s="11">
        <f>Control!$D$25</f>
        <v>4.33784355126312</v>
      </c>
      <c r="AS131" s="11">
        <f>Control!$D$25</f>
        <v>4.33784355126312</v>
      </c>
      <c r="AT131" s="11">
        <f>Control!$D$25</f>
        <v>4.33784355126312</v>
      </c>
      <c r="AU131" s="11">
        <f>Control!$D$25</f>
        <v>4.33784355126312</v>
      </c>
      <c r="AV131" s="12" t="n"/>
      <c r="AW131" s="11">
        <f>Control!$E$25</f>
        <v>4.33784355126312</v>
      </c>
      <c r="AX131" s="11">
        <f>Control!$E$25</f>
        <v>4.33784355126312</v>
      </c>
      <c r="AY131" s="11">
        <f>Control!$E$25</f>
        <v>4.33784355126312</v>
      </c>
      <c r="AZ131" s="11">
        <f>Control!$E$25</f>
        <v>4.33784355126312</v>
      </c>
      <c r="BA131" s="12" t="n"/>
      <c r="BB131" s="11">
        <f>Control!$F$25</f>
        <v>4.33784355126312</v>
      </c>
      <c r="BC131" s="11">
        <f>Control!$F$25</f>
        <v>4.33784355126312</v>
      </c>
      <c r="BD131" s="11">
        <f>Control!$F$25</f>
        <v>4.33784355126312</v>
      </c>
      <c r="BE131" s="11">
        <f>Control!$F$25</f>
        <v>4.33784355126312</v>
      </c>
      <c r="BF131" s="12" t="n"/>
      <c r="BG131" s="11" t="n"/>
      <c r="BH131" s="11" t="n"/>
      <c r="BI131" s="11" t="n"/>
      <c r="BJ131" s="11" t="n"/>
      <c r="BK131" s="12" t="n"/>
      <c r="BL131" s="11" t="n"/>
      <c r="BM131" s="11" t="n"/>
      <c r="BN131" s="11" t="n"/>
      <c r="BO131" s="11" t="n"/>
      <c r="BP131" s="12" t="n"/>
      <c r="BQ131" s="11" t="n"/>
      <c r="BR131" s="11" t="n"/>
      <c r="BS131" s="11" t="n"/>
      <c r="BT131" s="11" t="n"/>
      <c r="BU131" s="12" t="n"/>
      <c r="BV131" s="11" t="n"/>
      <c r="BW131" s="11" t="n"/>
      <c r="BX131" s="11" t="n"/>
      <c r="BY131" s="11" t="n"/>
      <c r="BZ131" s="12" t="n"/>
      <c r="CA131" s="11" t="n"/>
      <c r="CB131" s="11" t="n"/>
      <c r="CC131" s="11" t="n"/>
      <c r="CD131" s="11" t="n"/>
      <c r="CE131" s="12" t="n"/>
      <c r="CF131" s="11" t="n"/>
      <c r="CG131" s="11" t="n"/>
      <c r="CH131" s="11" t="n"/>
      <c r="CI131" s="11" t="n"/>
      <c r="CJ131" s="12" t="n"/>
      <c r="CK131" s="11" t="n"/>
      <c r="CL131" s="11" t="n"/>
      <c r="CM131" s="11" t="n"/>
      <c r="CN131" s="11" t="n"/>
      <c r="CO131" s="12" t="n"/>
      <c r="CP131" s="11" t="n"/>
      <c r="CQ131" s="11" t="n"/>
      <c r="CR131" s="11" t="n"/>
      <c r="CS131" s="11" t="n"/>
      <c r="CT131" s="12" t="n"/>
      <c r="CU131" s="11" t="n"/>
      <c r="CV131" s="11" t="n"/>
      <c r="CW131" s="11" t="n"/>
      <c r="CX131" s="11" t="n"/>
      <c r="CY131" s="12" t="n"/>
    </row>
    <row r="132" hidden="1" outlineLevel="1">
      <c r="C132" s="57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  <c r="AL132" s="12" t="n"/>
      <c r="AM132" s="12" t="n"/>
      <c r="AN132" s="12" t="n"/>
      <c r="AO132" s="12" t="n"/>
      <c r="AP132" s="12" t="n"/>
      <c r="AQ132" s="12" t="n"/>
      <c r="AR132" s="12" t="n"/>
      <c r="AS132" s="12" t="n"/>
      <c r="AT132" s="12" t="n"/>
      <c r="AU132" s="12" t="n"/>
      <c r="AV132" s="12" t="n"/>
      <c r="AW132" s="12" t="n"/>
      <c r="AX132" s="12" t="n"/>
      <c r="AY132" s="12" t="n"/>
      <c r="AZ132" s="12" t="n"/>
      <c r="BA132" s="12" t="n"/>
      <c r="BB132" s="12" t="n"/>
      <c r="BC132" s="12" t="n"/>
      <c r="BD132" s="12" t="n"/>
      <c r="BE132" s="12" t="n"/>
      <c r="BF132" s="12" t="n"/>
      <c r="BG132" s="12" t="n"/>
      <c r="BH132" s="12" t="n"/>
      <c r="BI132" s="12" t="n"/>
      <c r="BJ132" s="12" t="n"/>
      <c r="BK132" s="12" t="n"/>
      <c r="BL132" s="12" t="n"/>
      <c r="BM132" s="12" t="n"/>
      <c r="BN132" s="12" t="n"/>
      <c r="BO132" s="12" t="n"/>
      <c r="BP132" s="12" t="n"/>
      <c r="BQ132" s="12" t="n"/>
      <c r="BR132" s="12" t="n"/>
      <c r="BS132" s="12" t="n"/>
      <c r="BT132" s="12" t="n"/>
      <c r="BU132" s="12" t="n"/>
      <c r="BV132" s="12" t="n"/>
      <c r="BW132" s="12" t="n"/>
      <c r="BX132" s="12" t="n"/>
      <c r="BY132" s="12" t="n"/>
      <c r="BZ132" s="12" t="n"/>
      <c r="CA132" s="12" t="n"/>
      <c r="CB132" s="12" t="n"/>
      <c r="CC132" s="12" t="n"/>
      <c r="CD132" s="12" t="n"/>
      <c r="CE132" s="12" t="n"/>
      <c r="CF132" s="12" t="n"/>
      <c r="CG132" s="12" t="n"/>
      <c r="CH132" s="12" t="n"/>
      <c r="CI132" s="12" t="n"/>
      <c r="CJ132" s="12" t="n"/>
      <c r="CK132" s="12" t="n"/>
      <c r="CL132" s="12" t="n"/>
      <c r="CM132" s="12" t="n"/>
      <c r="CN132" s="12" t="n"/>
      <c r="CO132" s="12" t="n"/>
      <c r="CP132" s="12" t="n"/>
      <c r="CQ132" s="12" t="n"/>
      <c r="CR132" s="12" t="n"/>
      <c r="CS132" s="12" t="n"/>
      <c r="CT132" s="12" t="n"/>
      <c r="CU132" s="12" t="n"/>
      <c r="CV132" s="12" t="n"/>
      <c r="CW132" s="12" t="n"/>
      <c r="CX132" s="12" t="n"/>
      <c r="CY132" s="12" t="n"/>
    </row>
    <row r="133" hidden="1" outlineLevel="1">
      <c r="C133" s="57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  <c r="AL133" s="12" t="n"/>
      <c r="AM133" s="12" t="n"/>
      <c r="AN133" s="12" t="n"/>
      <c r="AO133" s="12" t="n"/>
      <c r="AP133" s="12" t="n"/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  <c r="BE133" s="12" t="n"/>
      <c r="BF133" s="12" t="n"/>
      <c r="BG133" s="12" t="n"/>
      <c r="BH133" s="12" t="n"/>
      <c r="BI133" s="12" t="n"/>
      <c r="BJ133" s="12" t="n"/>
      <c r="BK133" s="12" t="n"/>
      <c r="BL133" s="12" t="n"/>
      <c r="BM133" s="12" t="n"/>
      <c r="BN133" s="12" t="n"/>
      <c r="BO133" s="12" t="n"/>
      <c r="BP133" s="12" t="n"/>
      <c r="BQ133" s="12" t="n"/>
      <c r="BR133" s="12" t="n"/>
      <c r="BS133" s="12" t="n"/>
      <c r="BT133" s="12" t="n"/>
      <c r="BU133" s="12" t="n"/>
      <c r="BV133" s="12" t="n"/>
      <c r="BW133" s="12" t="n"/>
      <c r="BX133" s="12" t="n"/>
      <c r="BY133" s="12" t="n"/>
      <c r="BZ133" s="12" t="n"/>
      <c r="CA133" s="12" t="n"/>
      <c r="CB133" s="12" t="n"/>
      <c r="CC133" s="12" t="n"/>
      <c r="CD133" s="12" t="n"/>
      <c r="CE133" s="12" t="n"/>
      <c r="CF133" s="12" t="n"/>
      <c r="CG133" s="12" t="n"/>
      <c r="CH133" s="12" t="n"/>
      <c r="CI133" s="12" t="n"/>
      <c r="CJ133" s="12" t="n"/>
      <c r="CK133" s="12" t="n"/>
      <c r="CL133" s="12" t="n"/>
      <c r="CM133" s="12" t="n"/>
      <c r="CN133" s="12" t="n"/>
      <c r="CO133" s="12" t="n"/>
      <c r="CP133" s="12" t="n"/>
      <c r="CQ133" s="12" t="n"/>
      <c r="CR133" s="12" t="n"/>
      <c r="CS133" s="12" t="n"/>
      <c r="CT133" s="12" t="n"/>
      <c r="CU133" s="12" t="n"/>
      <c r="CV133" s="12" t="n"/>
      <c r="CW133" s="12" t="n"/>
      <c r="CX133" s="12" t="n"/>
      <c r="CY133" s="12" t="n"/>
    </row>
    <row r="134" collapsed="1">
      <c r="C134" s="14" t="inlineStr">
        <is>
          <t>Inventories</t>
        </is>
      </c>
      <c r="D134" s="46" t="n"/>
      <c r="E134" s="46" t="n"/>
      <c r="F134" s="46" t="n"/>
      <c r="G134" s="46" t="n"/>
      <c r="H134" s="12" t="n"/>
      <c r="I134" s="46">
        <f>'Inputs (2)'!D17</f>
        <v>13865</v>
      </c>
      <c r="J134" s="46">
        <f>'Inputs (2)'!E17</f>
        <v>13975</v>
      </c>
      <c r="K134" s="46">
        <f>'Inputs (2)'!F17</f>
        <v>14215</v>
      </c>
      <c r="L134" s="46">
        <f>'Inputs (2)'!G17</f>
        <v>16942</v>
      </c>
      <c r="M134" s="12">
        <f>'Inputs (2)'!H17</f>
        <v>16942</v>
      </c>
      <c r="N134" s="46">
        <f>'Inputs (2)'!I17</f>
        <v>16485</v>
      </c>
      <c r="O134" s="46">
        <f>'Inputs (2)'!J17</f>
        <v>17623</v>
      </c>
      <c r="P134" s="46">
        <f>'Inputs (2)'!K17</f>
        <v>17907</v>
      </c>
      <c r="Q134" s="46">
        <f>'Inputs (2)'!L17</f>
        <v>18571</v>
      </c>
      <c r="R134" s="12">
        <f>'Inputs (2)'!M17</f>
        <v>18571</v>
      </c>
      <c r="S134" s="46">
        <f>'Inputs (2)'!N17</f>
        <v>16081</v>
      </c>
      <c r="T134" s="46">
        <f>'Inputs (2)'!O17</f>
        <v>16324</v>
      </c>
      <c r="U134" s="46">
        <f>'Inputs (2)'!P17</f>
        <v>16651</v>
      </c>
      <c r="V134" s="46">
        <f>'Inputs (2)'!Q17</f>
        <v>18001</v>
      </c>
      <c r="W134" s="12">
        <f>'Inputs (2)'!R17</f>
        <v>18001</v>
      </c>
      <c r="X134" s="46">
        <f>'Inputs (2)'!S17</f>
        <v>17075</v>
      </c>
      <c r="Y134" s="46">
        <f>'Inputs (2)'!T17</f>
        <v>17430</v>
      </c>
      <c r="Z134" s="46">
        <f>'Inputs (2)'!U17</f>
        <v>18647</v>
      </c>
      <c r="AA134" s="46">
        <f>'Inputs (2)'!V17</f>
        <v>20979</v>
      </c>
      <c r="AB134" s="12">
        <f>'Inputs (2)'!W17</f>
        <v>20979</v>
      </c>
      <c r="AC134" s="46">
        <f>'Inputs (2)'!X17</f>
        <v>18754</v>
      </c>
      <c r="AD134" s="46">
        <f>'Inputs (2)'!Y17</f>
        <v>18606</v>
      </c>
      <c r="AE134" s="46">
        <f>'Inputs (2)'!Z17</f>
        <v>18116</v>
      </c>
      <c r="AF134" s="46">
        <f>'Inputs (2)'!AA17</f>
        <v>21141</v>
      </c>
      <c r="AG134" s="12">
        <f>'Inputs (2)'!AB17</f>
        <v>21141</v>
      </c>
      <c r="AH134" s="12">
        <f>'Inputs (2)'!AC17</f>
        <v>18991</v>
      </c>
      <c r="AI134" s="12">
        <f>'Inputs (2)'!AD17</f>
        <v>19418</v>
      </c>
      <c r="AJ134" s="12">
        <f>(AJ135/(AJ$5-AI$5))*-AJ$39</f>
        <v>25722.1837966411</v>
      </c>
      <c r="AK134" s="12">
        <f>(AK135/(AK$5-AJ$5))*-AK$39</f>
        <v>20094.7470263304</v>
      </c>
      <c r="AL134" s="12">
        <f>AK134</f>
        <v>20094.7470263304</v>
      </c>
      <c r="AM134" s="12">
        <f>(AM135/(AM$5-AL$5))*-AM$39</f>
        <v>21240.1777607447</v>
      </c>
      <c r="AN134" s="12">
        <f>(AN135/(AN$5-AM$5))*-AN$39</f>
        <v>21287.4752122989</v>
      </c>
      <c r="AO134" s="12">
        <f>(AO135/(AO$5-AN$5))*-AO$39</f>
        <v>28048.0808297904</v>
      </c>
      <c r="AP134" s="12">
        <f>(AP135/(AP$5-AO$5))*-AP$39</f>
        <v>21911.7899671608</v>
      </c>
      <c r="AQ134" s="12">
        <f>AP134</f>
        <v>21911.7899671608</v>
      </c>
      <c r="AR134" s="12">
        <f>(AR135/(AR$5-AQ$5))*-AR$39</f>
        <v>22801.2468003587</v>
      </c>
      <c r="AS134" s="12">
        <f>(AS135/(AS$5-AR$5))*-AS$39</f>
        <v>23105.9317655775</v>
      </c>
      <c r="AT134" s="12">
        <f>(AT135/(AT$5-AS$5))*-AT$39</f>
        <v>30444.0538553915</v>
      </c>
      <c r="AU134" s="12">
        <f>(AU135/(AU$5-AT$5))*-AU$39</f>
        <v>23783.57784536</v>
      </c>
      <c r="AV134" s="12">
        <f>AU134</f>
        <v>23783.57784536</v>
      </c>
      <c r="AW134" s="12">
        <f>(AW135/(AW$5-AV$5))*-AW$39</f>
        <v>24908.7315319997</v>
      </c>
      <c r="AX134" s="12">
        <f>(AX135/(AX$5-AW$5))*-AX$39</f>
        <v>24964.1980886445</v>
      </c>
      <c r="AY134" s="12">
        <f>(AY135/(AY$5-AX$5))*-AY$39</f>
        <v>32892.4796791617</v>
      </c>
      <c r="AZ134" s="12">
        <f>(AZ135/(AZ$5-AY$5))*-AZ$39</f>
        <v>25696.3430262006</v>
      </c>
      <c r="BA134" s="12">
        <f>AZ134</f>
        <v>25696.3430262006</v>
      </c>
      <c r="BB134" s="12">
        <f>(BB135/(BB$5-BA$5))*-BB$39</f>
        <v>26787.4421653088</v>
      </c>
      <c r="BC134" s="12">
        <f>(BC135/(BC$5-BB$5))*-BC$39</f>
        <v>26847.0922191995</v>
      </c>
      <c r="BD134" s="12">
        <f>(BD135/(BD$5-BC$5))*-BD$39</f>
        <v>35373.3547590411</v>
      </c>
      <c r="BE134" s="12">
        <f>(BE135/(BE$5-BD$5))*-BE$39</f>
        <v>27634.4582938714</v>
      </c>
      <c r="BF134" s="12">
        <f>BE134</f>
        <v>27634.4582938714</v>
      </c>
      <c r="BG134" s="12" t="n"/>
      <c r="BH134" s="12" t="n"/>
      <c r="BI134" s="12" t="n"/>
      <c r="BJ134" s="12" t="n"/>
      <c r="BK134" s="12" t="n"/>
      <c r="BL134" s="12" t="n"/>
      <c r="BM134" s="12" t="n"/>
      <c r="BN134" s="12" t="n"/>
      <c r="BO134" s="12" t="n"/>
      <c r="BP134" s="12" t="n"/>
      <c r="BQ134" s="12" t="n"/>
      <c r="BR134" s="12" t="n"/>
      <c r="BS134" s="12" t="n"/>
      <c r="BT134" s="12" t="n"/>
      <c r="BU134" s="12" t="n"/>
      <c r="BV134" s="12" t="n"/>
      <c r="BW134" s="12" t="n"/>
      <c r="BX134" s="12" t="n"/>
      <c r="BY134" s="12" t="n"/>
      <c r="BZ134" s="12" t="n"/>
      <c r="CA134" s="12" t="n"/>
      <c r="CB134" s="12" t="n"/>
      <c r="CC134" s="12" t="n"/>
      <c r="CD134" s="12" t="n"/>
      <c r="CE134" s="12" t="n"/>
      <c r="CF134" s="12" t="n"/>
      <c r="CG134" s="12" t="n"/>
      <c r="CH134" s="12" t="n"/>
      <c r="CI134" s="12" t="n"/>
      <c r="CJ134" s="12" t="n"/>
      <c r="CK134" s="12" t="n"/>
      <c r="CL134" s="12" t="n"/>
      <c r="CM134" s="12" t="n"/>
      <c r="CN134" s="12" t="n"/>
      <c r="CO134" s="12" t="n"/>
      <c r="CP134" s="12" t="n"/>
      <c r="CQ134" s="12" t="n"/>
      <c r="CR134" s="12" t="n"/>
      <c r="CS134" s="12" t="n"/>
      <c r="CT134" s="12" t="n"/>
      <c r="CU134" s="12" t="n"/>
      <c r="CV134" s="12" t="n"/>
      <c r="CW134" s="12" t="n"/>
      <c r="CX134" s="12" t="n"/>
      <c r="CY134" s="12" t="n"/>
    </row>
    <row r="135" hidden="1" outlineLevel="1">
      <c r="C135" s="57" t="inlineStr">
        <is>
          <t>DIO</t>
        </is>
      </c>
      <c r="D135" s="12" t="n"/>
      <c r="E135" s="12" t="n"/>
      <c r="F135" s="12" t="n"/>
      <c r="G135" s="12" t="n"/>
      <c r="H135" s="12" t="n"/>
      <c r="I135" s="12">
        <f>IFERROR(((I134/I$39)*(I$5-H$5))*-1,"")</f>
        <v>31.9322892676186</v>
      </c>
      <c r="J135" s="12">
        <f>IFERROR(((J134/J$39)*(J$5-I$5))*-1,"")</f>
        <v>32.2650006342763</v>
      </c>
      <c r="K135" s="12">
        <f>IFERROR(((K134/K$39)*(K$5-J$5))*-1,"")</f>
        <v>23.8938117771728</v>
      </c>
      <c r="L135" s="12">
        <f>IFERROR(((L134/L$39)*(L$5-K$5))*-1,"")</f>
        <v>35.4628685839097</v>
      </c>
      <c r="M135" s="12" t="n"/>
      <c r="N135" s="12">
        <f>IFERROR(((N134/N$39)*(N$5-M$5))*-1,"")</f>
        <v>32.5955137640881</v>
      </c>
      <c r="O135" s="12">
        <f>IFERROR(((O134/O$39)*(O$5-N$5))*-1,"")</f>
        <v>34.5959011972819</v>
      </c>
      <c r="P135" s="12">
        <f>IFERROR(((P134/P$39)*(P$5-O$5))*-1,"")</f>
        <v>25.9203247427546</v>
      </c>
      <c r="Q135" s="12">
        <f>IFERROR(((Q134/Q$39)*(Q$5-P$5))*-1,"")</f>
        <v>35.766543155603</v>
      </c>
      <c r="R135" s="12" t="n"/>
      <c r="S135" s="12">
        <f>IFERROR(((S134/S$39)*(S$5-R$5))*-1,"")</f>
        <v>29.8884827458026</v>
      </c>
      <c r="T135" s="12">
        <f>IFERROR(((T134/T$39)*(T$5-S$5))*-1,"")</f>
        <v>31.4887970323264</v>
      </c>
      <c r="U135" s="12">
        <f>IFERROR(((U134/U$39)*(U$5-T$5))*-1,"")</f>
        <v>22.1310911743885</v>
      </c>
      <c r="V135" s="12">
        <f>IFERROR(((V134/V$39)*(V$5-U$5))*-1,"")</f>
        <v>32.8218483064788</v>
      </c>
      <c r="W135" s="12" t="n"/>
      <c r="X135" s="12">
        <f>IFERROR(((X134/X$39)*(X$5-W$5))*-1,"")</f>
        <v>30.3837504888541</v>
      </c>
      <c r="Y135" s="12">
        <f>IFERROR(((Y134/Y$39)*(Y$5-X$5))*-1,"")</f>
        <v>30.9954468176578</v>
      </c>
      <c r="Z135" s="12">
        <f>IFERROR(((Z134/Z$39)*(Z$5-Y$5))*-1,"")</f>
        <v>24.6525837788124</v>
      </c>
      <c r="AA135" s="12">
        <f>IFERROR(((AA134/AA$39)*(AA$5-Z$5))*-1,"")</f>
        <v>35.6699994455636</v>
      </c>
      <c r="AB135" s="12" t="n"/>
      <c r="AC135" s="12">
        <f>IFERROR(((AC134/AC$39)*(AC$5-AB$5))*-1,"")</f>
        <v>30.2787743972445</v>
      </c>
      <c r="AD135" s="12">
        <f>IFERROR(((AD134/AD$39)*(AD$5-AC$5))*-1,"")</f>
        <v>30.7867117608553</v>
      </c>
      <c r="AE135" s="12">
        <f>IFERROR(((AE134/AE$39)*(AE$5-AD$5))*-1,"")</f>
        <v>22.2113357410344</v>
      </c>
      <c r="AF135" s="11">
        <f>IFERROR(((AF134/AF$39)*(AF$5-AE$5))*-1,"")</f>
        <v>33.2417022731157</v>
      </c>
      <c r="AG135" s="12" t="n"/>
      <c r="AH135" s="11">
        <f>IFERROR(((AH134/AH$39)*(AH$5-AG$5))*-1,"")</f>
        <v>28.1491790049243</v>
      </c>
      <c r="AI135" s="11">
        <f>IFERROR(((AI134/AI$39)*(AI$5-AH$5))*-1,"")</f>
        <v>28.7234512914709</v>
      </c>
      <c r="AJ135" s="11">
        <f>Control!$B$26</f>
        <v>28.8985257447742</v>
      </c>
      <c r="AK135" s="11">
        <f>Control!$B$26</f>
        <v>28.8985257447742</v>
      </c>
      <c r="AL135" s="12" t="n"/>
      <c r="AM135" s="11">
        <f>Control!$C$26</f>
        <v>28.8985257447742</v>
      </c>
      <c r="AN135" s="11">
        <f>Control!$C$26</f>
        <v>28.8985257447742</v>
      </c>
      <c r="AO135" s="11">
        <f>Control!$C$26</f>
        <v>28.8985257447742</v>
      </c>
      <c r="AP135" s="11">
        <f>Control!$C$26</f>
        <v>28.8985257447742</v>
      </c>
      <c r="AQ135" s="12" t="n"/>
      <c r="AR135" s="11">
        <f>Control!$D$26</f>
        <v>28.8985257447742</v>
      </c>
      <c r="AS135" s="11">
        <f>Control!$D$26</f>
        <v>28.8985257447742</v>
      </c>
      <c r="AT135" s="11">
        <f>Control!$D$26</f>
        <v>28.8985257447742</v>
      </c>
      <c r="AU135" s="11">
        <f>Control!$D$26</f>
        <v>28.8985257447742</v>
      </c>
      <c r="AV135" s="12" t="n"/>
      <c r="AW135" s="11">
        <f>Control!$E$26</f>
        <v>28.8985257447742</v>
      </c>
      <c r="AX135" s="11">
        <f>Control!$E$26</f>
        <v>28.8985257447742</v>
      </c>
      <c r="AY135" s="11">
        <f>Control!$E$26</f>
        <v>28.8985257447742</v>
      </c>
      <c r="AZ135" s="11">
        <f>Control!$E$26</f>
        <v>28.8985257447742</v>
      </c>
      <c r="BA135" s="12" t="n"/>
      <c r="BB135" s="11">
        <f>Control!$F$26</f>
        <v>28.8985257447742</v>
      </c>
      <c r="BC135" s="11">
        <f>Control!$F$26</f>
        <v>28.8985257447742</v>
      </c>
      <c r="BD135" s="11">
        <f>Control!$F$26</f>
        <v>28.8985257447742</v>
      </c>
      <c r="BE135" s="11">
        <f>Control!$F$26</f>
        <v>28.8985257447742</v>
      </c>
      <c r="BF135" s="12" t="n"/>
      <c r="BG135" s="11" t="n"/>
      <c r="BH135" s="11" t="n"/>
      <c r="BI135" s="11" t="n"/>
      <c r="BJ135" s="11" t="n"/>
      <c r="BK135" s="12" t="n"/>
      <c r="BL135" s="11" t="n"/>
      <c r="BM135" s="11" t="n"/>
      <c r="BN135" s="11" t="n"/>
      <c r="BO135" s="11" t="n"/>
      <c r="BP135" s="12" t="n"/>
      <c r="BQ135" s="11" t="n"/>
      <c r="BR135" s="11" t="n"/>
      <c r="BS135" s="11" t="n"/>
      <c r="BT135" s="11" t="n"/>
      <c r="BU135" s="12" t="n"/>
      <c r="BV135" s="11" t="n"/>
      <c r="BW135" s="11" t="n"/>
      <c r="BX135" s="11" t="n"/>
      <c r="BY135" s="11" t="n"/>
      <c r="BZ135" s="12" t="n"/>
      <c r="CA135" s="11" t="n"/>
      <c r="CB135" s="11" t="n"/>
      <c r="CC135" s="11" t="n"/>
      <c r="CD135" s="11" t="n"/>
      <c r="CE135" s="12" t="n"/>
      <c r="CF135" s="11" t="n"/>
      <c r="CG135" s="11" t="n"/>
      <c r="CH135" s="11" t="n"/>
      <c r="CI135" s="11" t="n"/>
      <c r="CJ135" s="12" t="n"/>
      <c r="CK135" s="11" t="n"/>
      <c r="CL135" s="11" t="n"/>
      <c r="CM135" s="11" t="n"/>
      <c r="CN135" s="11" t="n"/>
      <c r="CO135" s="12" t="n"/>
      <c r="CP135" s="11" t="n"/>
      <c r="CQ135" s="11" t="n"/>
      <c r="CR135" s="11" t="n"/>
      <c r="CS135" s="11" t="n"/>
      <c r="CT135" s="12" t="n"/>
      <c r="CU135" s="11" t="n"/>
      <c r="CV135" s="11" t="n"/>
      <c r="CW135" s="11" t="n"/>
      <c r="CX135" s="11" t="n"/>
      <c r="CY135" s="12" t="n"/>
    </row>
    <row r="136" hidden="1" outlineLevel="1">
      <c r="C136" s="57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  <c r="AL136" s="12" t="n"/>
      <c r="AM136" s="12" t="n"/>
      <c r="AN136" s="12" t="n"/>
      <c r="AO136" s="12" t="n"/>
      <c r="AP136" s="12" t="n"/>
      <c r="AQ136" s="12" t="n"/>
      <c r="AR136" s="12" t="n"/>
      <c r="AS136" s="12" t="n"/>
      <c r="AT136" s="12" t="n"/>
      <c r="AU136" s="12" t="n"/>
      <c r="AV136" s="12" t="n"/>
      <c r="AW136" s="12" t="n"/>
      <c r="AX136" s="12" t="n"/>
      <c r="AY136" s="12" t="n"/>
      <c r="AZ136" s="12" t="n"/>
      <c r="BA136" s="12" t="n"/>
      <c r="BB136" s="12" t="n"/>
      <c r="BC136" s="12" t="n"/>
      <c r="BD136" s="12" t="n"/>
      <c r="BE136" s="12" t="n"/>
      <c r="BF136" s="12" t="n"/>
      <c r="BG136" s="12" t="n"/>
      <c r="BH136" s="12" t="n"/>
      <c r="BI136" s="12" t="n"/>
      <c r="BJ136" s="12" t="n"/>
      <c r="BK136" s="12" t="n"/>
      <c r="BL136" s="12" t="n"/>
      <c r="BM136" s="12" t="n"/>
      <c r="BN136" s="12" t="n"/>
      <c r="BO136" s="12" t="n"/>
      <c r="BP136" s="12" t="n"/>
      <c r="BQ136" s="12" t="n"/>
      <c r="BR136" s="12" t="n"/>
      <c r="BS136" s="12" t="n"/>
      <c r="BT136" s="12" t="n"/>
      <c r="BU136" s="12" t="n"/>
      <c r="BV136" s="12" t="n"/>
      <c r="BW136" s="12" t="n"/>
      <c r="BX136" s="12" t="n"/>
      <c r="BY136" s="12" t="n"/>
      <c r="BZ136" s="12" t="n"/>
      <c r="CA136" s="12" t="n"/>
      <c r="CB136" s="12" t="n"/>
      <c r="CC136" s="12" t="n"/>
      <c r="CD136" s="12" t="n"/>
      <c r="CE136" s="12" t="n"/>
      <c r="CF136" s="12" t="n"/>
      <c r="CG136" s="12" t="n"/>
      <c r="CH136" s="12" t="n"/>
      <c r="CI136" s="12" t="n"/>
      <c r="CJ136" s="12" t="n"/>
      <c r="CK136" s="12" t="n"/>
      <c r="CL136" s="12" t="n"/>
      <c r="CM136" s="12" t="n"/>
      <c r="CN136" s="12" t="n"/>
      <c r="CO136" s="12" t="n"/>
      <c r="CP136" s="12" t="n"/>
      <c r="CQ136" s="12" t="n"/>
      <c r="CR136" s="12" t="n"/>
      <c r="CS136" s="12" t="n"/>
      <c r="CT136" s="12" t="n"/>
      <c r="CU136" s="12" t="n"/>
      <c r="CV136" s="12" t="n"/>
      <c r="CW136" s="12" t="n"/>
      <c r="CX136" s="12" t="n"/>
      <c r="CY136" s="12" t="n"/>
    </row>
    <row r="137" hidden="1" outlineLevel="1">
      <c r="C137" s="57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  <c r="AJ137" s="12" t="n"/>
      <c r="AK137" s="12" t="n"/>
      <c r="AL137" s="12" t="n"/>
      <c r="AM137" s="12" t="n"/>
      <c r="AN137" s="12" t="n"/>
      <c r="AO137" s="12" t="n"/>
      <c r="AP137" s="12" t="n"/>
      <c r="AQ137" s="12" t="n"/>
      <c r="AR137" s="12" t="n"/>
      <c r="AS137" s="12" t="n"/>
      <c r="AT137" s="12" t="n"/>
      <c r="AU137" s="12" t="n"/>
      <c r="AV137" s="12" t="n"/>
      <c r="AW137" s="12" t="n"/>
      <c r="AX137" s="12" t="n"/>
      <c r="AY137" s="12" t="n"/>
      <c r="AZ137" s="12" t="n"/>
      <c r="BA137" s="12" t="n"/>
      <c r="BB137" s="12" t="n"/>
      <c r="BC137" s="12" t="n"/>
      <c r="BD137" s="12" t="n"/>
      <c r="BE137" s="12" t="n"/>
      <c r="BF137" s="12" t="n"/>
      <c r="BG137" s="12" t="n"/>
      <c r="BH137" s="12" t="n"/>
      <c r="BI137" s="12" t="n"/>
      <c r="BJ137" s="12" t="n"/>
      <c r="BK137" s="12" t="n"/>
      <c r="BL137" s="12" t="n"/>
      <c r="BM137" s="12" t="n"/>
      <c r="BN137" s="12" t="n"/>
      <c r="BO137" s="12" t="n"/>
      <c r="BP137" s="12" t="n"/>
      <c r="BQ137" s="12" t="n"/>
      <c r="BR137" s="12" t="n"/>
      <c r="BS137" s="12" t="n"/>
      <c r="BT137" s="12" t="n"/>
      <c r="BU137" s="12" t="n"/>
      <c r="BV137" s="12" t="n"/>
      <c r="BW137" s="12" t="n"/>
      <c r="BX137" s="12" t="n"/>
      <c r="BY137" s="12" t="n"/>
      <c r="BZ137" s="12" t="n"/>
      <c r="CA137" s="12" t="n"/>
      <c r="CB137" s="12" t="n"/>
      <c r="CC137" s="12" t="n"/>
      <c r="CD137" s="12" t="n"/>
      <c r="CE137" s="12" t="n"/>
      <c r="CF137" s="12" t="n"/>
      <c r="CG137" s="12" t="n"/>
      <c r="CH137" s="12" t="n"/>
      <c r="CI137" s="12" t="n"/>
      <c r="CJ137" s="12" t="n"/>
      <c r="CK137" s="12" t="n"/>
      <c r="CL137" s="12" t="n"/>
      <c r="CM137" s="12" t="n"/>
      <c r="CN137" s="12" t="n"/>
      <c r="CO137" s="12" t="n"/>
      <c r="CP137" s="12" t="n"/>
      <c r="CQ137" s="12" t="n"/>
      <c r="CR137" s="12" t="n"/>
      <c r="CS137" s="12" t="n"/>
      <c r="CT137" s="12" t="n"/>
      <c r="CU137" s="12" t="n"/>
      <c r="CV137" s="12" t="n"/>
      <c r="CW137" s="12" t="n"/>
      <c r="CX137" s="12" t="n"/>
      <c r="CY137" s="12" t="n"/>
    </row>
    <row r="138" collapsed="1">
      <c r="C138" s="14" t="inlineStr">
        <is>
          <t>Deferred income taxes</t>
        </is>
      </c>
      <c r="D138" s="46" t="n"/>
      <c r="E138" s="46" t="n"/>
      <c r="F138" s="46" t="n"/>
      <c r="G138" s="46" t="n"/>
      <c r="H138" s="12" t="n"/>
      <c r="I138" s="46">
        <f>'Inputs (2)'!D18</f>
        <v>0</v>
      </c>
      <c r="J138" s="46">
        <f>'Inputs (2)'!E18</f>
        <v>0</v>
      </c>
      <c r="K138" s="46">
        <f>'Inputs (2)'!F18</f>
        <v>0</v>
      </c>
      <c r="L138" s="46">
        <f>'Inputs (2)'!G18</f>
        <v>0</v>
      </c>
      <c r="M138" s="12">
        <f>'Inputs (2)'!H18</f>
        <v>0</v>
      </c>
      <c r="N138" s="46">
        <f>'Inputs (2)'!I18</f>
        <v>0</v>
      </c>
      <c r="O138" s="46">
        <f>'Inputs (2)'!J18</f>
        <v>0</v>
      </c>
      <c r="P138" s="46">
        <f>'Inputs (2)'!K18</f>
        <v>0</v>
      </c>
      <c r="Q138" s="46">
        <f>'Inputs (2)'!L18</f>
        <v>0</v>
      </c>
      <c r="R138" s="12">
        <f>'Inputs (2)'!M18</f>
        <v>0</v>
      </c>
      <c r="S138" s="46">
        <f>'Inputs (2)'!N18</f>
        <v>0</v>
      </c>
      <c r="T138" s="46">
        <f>'Inputs (2)'!O18</f>
        <v>0</v>
      </c>
      <c r="U138" s="46">
        <f>'Inputs (2)'!P18</f>
        <v>0</v>
      </c>
      <c r="V138" s="46">
        <f>'Inputs (2)'!Q18</f>
        <v>0</v>
      </c>
      <c r="W138" s="12">
        <f>'Inputs (2)'!R18</f>
        <v>0</v>
      </c>
      <c r="X138" s="46">
        <f>'Inputs (2)'!S18</f>
        <v>0</v>
      </c>
      <c r="Y138" s="46">
        <f>'Inputs (2)'!T18</f>
        <v>0</v>
      </c>
      <c r="Z138" s="46">
        <f>'Inputs (2)'!U18</f>
        <v>0</v>
      </c>
      <c r="AA138" s="46">
        <f>'Inputs (2)'!V18</f>
        <v>0</v>
      </c>
      <c r="AB138" s="12">
        <f>'Inputs (2)'!W18</f>
        <v>0</v>
      </c>
      <c r="AC138" s="46">
        <f>'Inputs (2)'!X18</f>
        <v>0</v>
      </c>
      <c r="AD138" s="46">
        <f>'Inputs (2)'!Y18</f>
        <v>0</v>
      </c>
      <c r="AE138" s="46">
        <f>'Inputs (2)'!Z18</f>
        <v>0</v>
      </c>
      <c r="AF138" s="46">
        <f>'Inputs (2)'!AA18</f>
        <v>0</v>
      </c>
      <c r="AG138" s="12">
        <f>'Inputs (2)'!AB18</f>
        <v>0</v>
      </c>
      <c r="AH138" s="12">
        <f>'Inputs (2)'!AC18</f>
        <v>0</v>
      </c>
      <c r="AI138" s="12">
        <f>'Inputs (2)'!AD18</f>
        <v>0</v>
      </c>
      <c r="AJ138" s="12">
        <f>AI138</f>
        <v>0</v>
      </c>
      <c r="AK138" s="12">
        <f>AJ138</f>
        <v>0</v>
      </c>
      <c r="AL138" s="12">
        <f>AK138</f>
        <v>0</v>
      </c>
      <c r="AM138" s="12">
        <f>AL138</f>
        <v>0</v>
      </c>
      <c r="AN138" s="12">
        <f>AM138</f>
        <v>0</v>
      </c>
      <c r="AO138" s="12">
        <f>AN138</f>
        <v>0</v>
      </c>
      <c r="AP138" s="12">
        <f>AO138</f>
        <v>0</v>
      </c>
      <c r="AQ138" s="12">
        <f>AP138</f>
        <v>0</v>
      </c>
      <c r="AR138" s="12">
        <f>AQ138</f>
        <v>0</v>
      </c>
      <c r="AS138" s="12">
        <f>AR138</f>
        <v>0</v>
      </c>
      <c r="AT138" s="12">
        <f>AS138</f>
        <v>0</v>
      </c>
      <c r="AU138" s="12">
        <f>AT138</f>
        <v>0</v>
      </c>
      <c r="AV138" s="12">
        <f>AU138</f>
        <v>0</v>
      </c>
      <c r="AW138" s="12">
        <f>AV138</f>
        <v>0</v>
      </c>
      <c r="AX138" s="12">
        <f>AW138</f>
        <v>0</v>
      </c>
      <c r="AY138" s="12">
        <f>AX138</f>
        <v>0</v>
      </c>
      <c r="AZ138" s="12">
        <f>AY138</f>
        <v>0</v>
      </c>
      <c r="BA138" s="12">
        <f>AZ138</f>
        <v>0</v>
      </c>
      <c r="BB138" s="12">
        <f>BA138</f>
        <v>0</v>
      </c>
      <c r="BC138" s="12">
        <f>BB138</f>
        <v>0</v>
      </c>
      <c r="BD138" s="12">
        <f>BC138</f>
        <v>0</v>
      </c>
      <c r="BE138" s="12">
        <f>BD138</f>
        <v>0</v>
      </c>
      <c r="BF138" s="12">
        <f>BE138</f>
        <v>0</v>
      </c>
      <c r="BG138" s="12" t="n"/>
      <c r="BH138" s="12" t="n"/>
      <c r="BI138" s="12" t="n"/>
      <c r="BJ138" s="12" t="n"/>
      <c r="BK138" s="12" t="n"/>
      <c r="BL138" s="12" t="n"/>
      <c r="BM138" s="12" t="n"/>
      <c r="BN138" s="12" t="n"/>
      <c r="BO138" s="12" t="n"/>
      <c r="BP138" s="12" t="n"/>
      <c r="BQ138" s="12" t="n"/>
      <c r="BR138" s="12" t="n"/>
      <c r="BS138" s="12" t="n"/>
      <c r="BT138" s="12" t="n"/>
      <c r="BU138" s="12" t="n"/>
      <c r="BV138" s="12" t="n"/>
      <c r="BW138" s="12" t="n"/>
      <c r="BX138" s="12" t="n"/>
      <c r="BY138" s="12" t="n"/>
      <c r="BZ138" s="12" t="n"/>
      <c r="CA138" s="12" t="n"/>
      <c r="CB138" s="12" t="n"/>
      <c r="CC138" s="12" t="n"/>
      <c r="CD138" s="12" t="n"/>
      <c r="CE138" s="12" t="n"/>
      <c r="CF138" s="12" t="n"/>
      <c r="CG138" s="12" t="n"/>
      <c r="CH138" s="12" t="n"/>
      <c r="CI138" s="12" t="n"/>
      <c r="CJ138" s="12" t="n"/>
      <c r="CK138" s="12" t="n"/>
      <c r="CL138" s="12" t="n"/>
      <c r="CM138" s="12" t="n"/>
      <c r="CN138" s="12" t="n"/>
      <c r="CO138" s="12" t="n"/>
      <c r="CP138" s="12" t="n"/>
      <c r="CQ138" s="12" t="n"/>
      <c r="CR138" s="12" t="n"/>
      <c r="CS138" s="12" t="n"/>
      <c r="CT138" s="12" t="n"/>
      <c r="CU138" s="12" t="n"/>
      <c r="CV138" s="12" t="n"/>
      <c r="CW138" s="12" t="n"/>
      <c r="CX138" s="12" t="n"/>
      <c r="CY138" s="12" t="n"/>
    </row>
    <row r="139">
      <c r="C139" s="14" t="inlineStr">
        <is>
          <t>Prepaid expenses</t>
        </is>
      </c>
      <c r="D139" s="46" t="n"/>
      <c r="E139" s="46" t="n"/>
      <c r="F139" s="46" t="n"/>
      <c r="G139" s="46" t="n"/>
      <c r="H139" s="12" t="n"/>
      <c r="I139" s="46">
        <f>'Inputs (2)'!D19</f>
        <v>0</v>
      </c>
      <c r="J139" s="46">
        <f>'Inputs (2)'!E19</f>
        <v>0</v>
      </c>
      <c r="K139" s="46">
        <f>'Inputs (2)'!F19</f>
        <v>0</v>
      </c>
      <c r="L139" s="46">
        <f>'Inputs (2)'!G19</f>
        <v>0</v>
      </c>
      <c r="M139" s="12">
        <f>'Inputs (2)'!H19</f>
        <v>0</v>
      </c>
      <c r="N139" s="46">
        <f>'Inputs (2)'!I19</f>
        <v>0</v>
      </c>
      <c r="O139" s="46">
        <f>'Inputs (2)'!J19</f>
        <v>0</v>
      </c>
      <c r="P139" s="46">
        <f>'Inputs (2)'!K19</f>
        <v>0</v>
      </c>
      <c r="Q139" s="46">
        <f>'Inputs (2)'!L19</f>
        <v>0</v>
      </c>
      <c r="R139" s="12">
        <f>'Inputs (2)'!M19</f>
        <v>0</v>
      </c>
      <c r="S139" s="46">
        <f>'Inputs (2)'!N19</f>
        <v>0</v>
      </c>
      <c r="T139" s="46">
        <f>'Inputs (2)'!O19</f>
        <v>0</v>
      </c>
      <c r="U139" s="46">
        <f>'Inputs (2)'!P19</f>
        <v>0</v>
      </c>
      <c r="V139" s="46">
        <f>'Inputs (2)'!Q19</f>
        <v>0</v>
      </c>
      <c r="W139" s="12">
        <f>'Inputs (2)'!R19</f>
        <v>0</v>
      </c>
      <c r="X139" s="46">
        <f>'Inputs (2)'!S19</f>
        <v>0</v>
      </c>
      <c r="Y139" s="46">
        <f>'Inputs (2)'!T19</f>
        <v>0</v>
      </c>
      <c r="Z139" s="46">
        <f>'Inputs (2)'!U19</f>
        <v>0</v>
      </c>
      <c r="AA139" s="46">
        <f>'Inputs (2)'!V19</f>
        <v>0</v>
      </c>
      <c r="AB139" s="12">
        <f>'Inputs (2)'!W19</f>
        <v>0</v>
      </c>
      <c r="AC139" s="46">
        <f>'Inputs (2)'!X19</f>
        <v>0</v>
      </c>
      <c r="AD139" s="46">
        <f>'Inputs (2)'!Y19</f>
        <v>0</v>
      </c>
      <c r="AE139" s="46">
        <f>'Inputs (2)'!Z19</f>
        <v>0</v>
      </c>
      <c r="AF139" s="46">
        <f>'Inputs (2)'!AA19</f>
        <v>0</v>
      </c>
      <c r="AG139" s="12">
        <f>'Inputs (2)'!AB19</f>
        <v>0</v>
      </c>
      <c r="AH139" s="12">
        <f>'Inputs (2)'!AC19</f>
        <v>0</v>
      </c>
      <c r="AI139" s="12">
        <f>'Inputs (2)'!AD19</f>
        <v>0</v>
      </c>
      <c r="AJ139" s="12">
        <f>AI139</f>
        <v>0</v>
      </c>
      <c r="AK139" s="12">
        <f>AJ139</f>
        <v>0</v>
      </c>
      <c r="AL139" s="12">
        <f>AK139</f>
        <v>0</v>
      </c>
      <c r="AM139" s="12">
        <f>AL139</f>
        <v>0</v>
      </c>
      <c r="AN139" s="12">
        <f>AM139</f>
        <v>0</v>
      </c>
      <c r="AO139" s="12">
        <f>AN139</f>
        <v>0</v>
      </c>
      <c r="AP139" s="12">
        <f>AO139</f>
        <v>0</v>
      </c>
      <c r="AQ139" s="12">
        <f>AP139</f>
        <v>0</v>
      </c>
      <c r="AR139" s="12">
        <f>AQ139</f>
        <v>0</v>
      </c>
      <c r="AS139" s="12">
        <f>AR139</f>
        <v>0</v>
      </c>
      <c r="AT139" s="12">
        <f>AS139</f>
        <v>0</v>
      </c>
      <c r="AU139" s="12">
        <f>AT139</f>
        <v>0</v>
      </c>
      <c r="AV139" s="12">
        <f>AU139</f>
        <v>0</v>
      </c>
      <c r="AW139" s="12">
        <f>AV139</f>
        <v>0</v>
      </c>
      <c r="AX139" s="12">
        <f>AW139</f>
        <v>0</v>
      </c>
      <c r="AY139" s="12">
        <f>AX139</f>
        <v>0</v>
      </c>
      <c r="AZ139" s="12">
        <f>AY139</f>
        <v>0</v>
      </c>
      <c r="BA139" s="12">
        <f>AZ139</f>
        <v>0</v>
      </c>
      <c r="BB139" s="12">
        <f>BA139</f>
        <v>0</v>
      </c>
      <c r="BC139" s="12">
        <f>BB139</f>
        <v>0</v>
      </c>
      <c r="BD139" s="12">
        <f>BC139</f>
        <v>0</v>
      </c>
      <c r="BE139" s="12">
        <f>BD139</f>
        <v>0</v>
      </c>
      <c r="BF139" s="12">
        <f>BE139</f>
        <v>0</v>
      </c>
      <c r="BG139" s="12" t="n"/>
      <c r="BH139" s="12" t="n"/>
      <c r="BI139" s="12" t="n"/>
      <c r="BJ139" s="12" t="n"/>
      <c r="BK139" s="12" t="n"/>
      <c r="BL139" s="12" t="n"/>
      <c r="BM139" s="12" t="n"/>
      <c r="BN139" s="12" t="n"/>
      <c r="BO139" s="12" t="n"/>
      <c r="BP139" s="12" t="n"/>
      <c r="BQ139" s="12" t="n"/>
      <c r="BR139" s="12" t="n"/>
      <c r="BS139" s="12" t="n"/>
      <c r="BT139" s="12" t="n"/>
      <c r="BU139" s="12" t="n"/>
      <c r="BV139" s="12" t="n"/>
      <c r="BW139" s="12" t="n"/>
      <c r="BX139" s="12" t="n"/>
      <c r="BY139" s="12" t="n"/>
      <c r="BZ139" s="12" t="n"/>
      <c r="CA139" s="12" t="n"/>
      <c r="CB139" s="12" t="n"/>
      <c r="CC139" s="12" t="n"/>
      <c r="CD139" s="12" t="n"/>
      <c r="CE139" s="12" t="n"/>
      <c r="CF139" s="12" t="n"/>
      <c r="CG139" s="12" t="n"/>
      <c r="CH139" s="12" t="n"/>
      <c r="CI139" s="12" t="n"/>
      <c r="CJ139" s="12" t="n"/>
      <c r="CK139" s="12" t="n"/>
      <c r="CL139" s="12" t="n"/>
      <c r="CM139" s="12" t="n"/>
      <c r="CN139" s="12" t="n"/>
      <c r="CO139" s="12" t="n"/>
      <c r="CP139" s="12" t="n"/>
      <c r="CQ139" s="12" t="n"/>
      <c r="CR139" s="12" t="n"/>
      <c r="CS139" s="12" t="n"/>
      <c r="CT139" s="12" t="n"/>
      <c r="CU139" s="12" t="n"/>
      <c r="CV139" s="12" t="n"/>
      <c r="CW139" s="12" t="n"/>
      <c r="CX139" s="12" t="n"/>
      <c r="CY139" s="12" t="n"/>
    </row>
    <row r="140">
      <c r="C140" s="14" t="inlineStr">
        <is>
          <t>Other current assets</t>
        </is>
      </c>
      <c r="D140" s="46" t="n"/>
      <c r="E140" s="46" t="n"/>
      <c r="F140" s="46" t="n"/>
      <c r="G140" s="46" t="n"/>
      <c r="H140" s="12" t="n"/>
      <c r="I140" s="46">
        <f>'Inputs (2)'!D20</f>
        <v>1255</v>
      </c>
      <c r="J140" s="46">
        <f>'Inputs (2)'!E20</f>
        <v>1220</v>
      </c>
      <c r="K140" s="46">
        <f>'Inputs (2)'!F20</f>
        <v>1312</v>
      </c>
      <c r="L140" s="46">
        <f>'Inputs (2)'!G20</f>
        <v>1500</v>
      </c>
      <c r="M140" s="12">
        <f>'Inputs (2)'!H20</f>
        <v>1500</v>
      </c>
      <c r="N140" s="46">
        <f>'Inputs (2)'!I20</f>
        <v>1552</v>
      </c>
      <c r="O140" s="46">
        <f>'Inputs (2)'!J20</f>
        <v>1563</v>
      </c>
      <c r="P140" s="46">
        <f>'Inputs (2)'!K20</f>
        <v>1499</v>
      </c>
      <c r="Q140" s="46">
        <f>'Inputs (2)'!L20</f>
        <v>1594</v>
      </c>
      <c r="R140" s="12">
        <f>'Inputs (2)'!M20</f>
        <v>1594</v>
      </c>
      <c r="S140" s="46">
        <f>'Inputs (2)'!N20</f>
        <v>1830</v>
      </c>
      <c r="T140" s="46">
        <f>'Inputs (2)'!O20</f>
        <v>1755</v>
      </c>
      <c r="U140" s="46">
        <f>'Inputs (2)'!P20</f>
        <v>1709</v>
      </c>
      <c r="V140" s="46">
        <f>'Inputs (2)'!Q20</f>
        <v>1673</v>
      </c>
      <c r="W140" s="12">
        <f>'Inputs (2)'!R20</f>
        <v>1673</v>
      </c>
      <c r="X140" s="46">
        <f>'Inputs (2)'!S20</f>
        <v>1971</v>
      </c>
      <c r="Y140" s="46">
        <f>'Inputs (2)'!T20</f>
        <v>1776</v>
      </c>
      <c r="Z140" s="46">
        <f>'Inputs (2)'!U20</f>
        <v>1734</v>
      </c>
      <c r="AA140" s="46">
        <f>'Inputs (2)'!V20</f>
        <v>1754</v>
      </c>
      <c r="AB140" s="12">
        <f>'Inputs (2)'!W20</f>
        <v>1754</v>
      </c>
      <c r="AC140" s="46">
        <f>'Inputs (2)'!X20</f>
        <v>1925</v>
      </c>
      <c r="AD140" s="46">
        <f>'Inputs (2)'!Y20</f>
        <v>1820</v>
      </c>
      <c r="AE140" s="46">
        <f>'Inputs (2)'!Z20</f>
        <v>1777</v>
      </c>
      <c r="AF140" s="46">
        <f>'Inputs (2)'!AA20</f>
        <v>1856</v>
      </c>
      <c r="AG140" s="12">
        <f>'Inputs (2)'!AB20</f>
        <v>1856</v>
      </c>
      <c r="AH140" s="12">
        <f>'Inputs (2)'!AC20</f>
        <v>2120</v>
      </c>
      <c r="AI140" s="12">
        <f>'Inputs (2)'!AD20</f>
        <v>2013</v>
      </c>
      <c r="AJ140" s="12">
        <f>AI140</f>
        <v>2013</v>
      </c>
      <c r="AK140" s="12">
        <f>AJ140</f>
        <v>2013</v>
      </c>
      <c r="AL140" s="12">
        <f>AK140</f>
        <v>2013</v>
      </c>
      <c r="AM140" s="12">
        <f>AL140</f>
        <v>2013</v>
      </c>
      <c r="AN140" s="12">
        <f>AM140</f>
        <v>2013</v>
      </c>
      <c r="AO140" s="12">
        <f>AN140</f>
        <v>2013</v>
      </c>
      <c r="AP140" s="12">
        <f>AO140</f>
        <v>2013</v>
      </c>
      <c r="AQ140" s="12">
        <f>AP140</f>
        <v>2013</v>
      </c>
      <c r="AR140" s="12">
        <f>AQ140</f>
        <v>2013</v>
      </c>
      <c r="AS140" s="12">
        <f>AR140</f>
        <v>2013</v>
      </c>
      <c r="AT140" s="12">
        <f>AS140</f>
        <v>2013</v>
      </c>
      <c r="AU140" s="12">
        <f>AT140</f>
        <v>2013</v>
      </c>
      <c r="AV140" s="12">
        <f>AU140</f>
        <v>2013</v>
      </c>
      <c r="AW140" s="12">
        <f>AV140</f>
        <v>2013</v>
      </c>
      <c r="AX140" s="12">
        <f>AW140</f>
        <v>2013</v>
      </c>
      <c r="AY140" s="12">
        <f>AX140</f>
        <v>2013</v>
      </c>
      <c r="AZ140" s="12">
        <f>AY140</f>
        <v>2013</v>
      </c>
      <c r="BA140" s="12">
        <f>AZ140</f>
        <v>2013</v>
      </c>
      <c r="BB140" s="12">
        <f>BA140</f>
        <v>2013</v>
      </c>
      <c r="BC140" s="12">
        <f>BB140</f>
        <v>2013</v>
      </c>
      <c r="BD140" s="12">
        <f>BC140</f>
        <v>2013</v>
      </c>
      <c r="BE140" s="12">
        <f>BD140</f>
        <v>2013</v>
      </c>
      <c r="BF140" s="12">
        <f>BE140</f>
        <v>2013</v>
      </c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 hidden="1" outlineLevel="1">
      <c r="C141" s="59" t="inlineStr">
        <is>
          <t>%(Var.)</t>
        </is>
      </c>
      <c r="D141" s="12" t="n"/>
      <c r="E141" s="40" t="n"/>
      <c r="F141" s="40" t="n"/>
      <c r="G141" s="40" t="n"/>
      <c r="H141" s="12" t="n"/>
      <c r="I141" s="40" t="str">
        <f>""</f>
        <v/>
      </c>
      <c r="J141" s="40">
        <f>IFERROR(IF(I140=0,"",J140/I140-1),"")</f>
        <v>-0.0278884462151394</v>
      </c>
      <c r="K141" s="40">
        <f>IFERROR(IF(J140=0,"",K140/J140-1),"")</f>
        <v>0.0754098360655737</v>
      </c>
      <c r="L141" s="40">
        <f>IFERROR(IF(K140=0,"",L140/K140-1),"")</f>
        <v>0.143292682926829</v>
      </c>
      <c r="M141" s="12">
        <f>IFERROR(IF(L140=0,"",M140/L140-1),"")</f>
        <v>0</v>
      </c>
      <c r="N141" s="40">
        <f>IFERROR(IF(M140=0,"",N140/M140-1),"")</f>
        <v>0.0346666666666666</v>
      </c>
      <c r="O141" s="40">
        <f>IFERROR(IF(N140=0,"",O140/N140-1),"")</f>
        <v>0.00708762886597936</v>
      </c>
      <c r="P141" s="40">
        <f>IFERROR(IF(O140=0,"",P140/O140-1),"")</f>
        <v>-0.0409468969929623</v>
      </c>
      <c r="Q141" s="40">
        <f>IFERROR(IF(P140=0,"",Q140/P140-1),"")</f>
        <v>0.0633755837224816</v>
      </c>
      <c r="R141" s="12">
        <f>IFERROR(IF(Q140=0,"",R140/Q140-1),"")</f>
        <v>0</v>
      </c>
      <c r="S141" s="40">
        <f>IFERROR(IF(R140=0,"",S140/R140-1),"")</f>
        <v>0.148055207026349</v>
      </c>
      <c r="T141" s="40">
        <f>IFERROR(IF(S140=0,"",T140/S140-1),"")</f>
        <v>-0.0409836065573771</v>
      </c>
      <c r="U141" s="40">
        <f>IFERROR(IF(T140=0,"",U140/T140-1),"")</f>
        <v>-0.0262108262108263</v>
      </c>
      <c r="V141" s="40">
        <f>IFERROR(IF(U140=0,"",V140/U140-1),"")</f>
        <v>-0.0210649502633119</v>
      </c>
      <c r="W141" s="12">
        <f>IFERROR(IF(V140=0,"",W140/V140-1),"")</f>
        <v>0</v>
      </c>
      <c r="X141" s="40">
        <f>IFERROR(IF(W140=0,"",X140/W140-1),"")</f>
        <v>0.178123132098027</v>
      </c>
      <c r="Y141" s="40">
        <f>IFERROR(IF(X140=0,"",Y140/X140-1),"")</f>
        <v>-0.0989345509893456</v>
      </c>
      <c r="Z141" s="40">
        <f>IFERROR(IF(Y140=0,"",Z140/Y140-1),"")</f>
        <v>-0.0236486486486487</v>
      </c>
      <c r="AA141" s="40">
        <f>IFERROR(IF(Z140=0,"",AA140/Z140-1),"")</f>
        <v>0.0115340253748559</v>
      </c>
      <c r="AB141" s="12">
        <f>IFERROR(IF(AA140=0,"",AB140/AA140-1),"")</f>
        <v>0</v>
      </c>
      <c r="AC141" s="40">
        <f>IFERROR(IF(AB140=0,"",AC140/AB140-1),"")</f>
        <v>0.097491448118586</v>
      </c>
      <c r="AD141" s="40">
        <f>IFERROR(IF(AC140=0,"",AD140/AC140-1),"")</f>
        <v>-0.0545454545454546</v>
      </c>
      <c r="AE141" s="40">
        <f>IFERROR(IF(AD140=0,"",AE140/AD140-1),"")</f>
        <v>-0.0236263736263737</v>
      </c>
      <c r="AF141" s="55">
        <f>IFERROR(IF(AE140=0,"",AF140/AE140-1),"")</f>
        <v>0.044456949915588</v>
      </c>
      <c r="AG141" s="12">
        <f>IFERROR(IF(AF140=0,"",AG140/AF140-1),"")</f>
        <v>0</v>
      </c>
      <c r="AH141" s="12">
        <f>IFERROR(IF(AG140=0,"",AH140/AG140-1),"")</f>
        <v>0.142241379310345</v>
      </c>
      <c r="AI141" s="12">
        <f>IFERROR(IF(AH140=0,"",AI140/AH140-1),"")</f>
        <v>-0.0504716981132075</v>
      </c>
      <c r="AJ141" s="12">
        <f>IFERROR(IF(AI140=0,"",AJ140/AI140-1),"")</f>
        <v>0</v>
      </c>
      <c r="AK141" s="12">
        <f>IFERROR(IF(AJ140=0,"",AK140/AJ140-1),"")</f>
        <v>0</v>
      </c>
      <c r="AL141" s="12">
        <f>IFERROR(IF(AK140=0,"",AL140/AK140-1),"")</f>
        <v>0</v>
      </c>
      <c r="AM141" s="12">
        <f>IFERROR(IF(AL140=0,"",AM140/AL140-1),"")</f>
        <v>0</v>
      </c>
      <c r="AN141" s="12">
        <f>IFERROR(IF(AM140=0,"",AN140/AM140-1),"")</f>
        <v>0</v>
      </c>
      <c r="AO141" s="12">
        <f>IFERROR(IF(AN140=0,"",AO140/AN140-1),"")</f>
        <v>0</v>
      </c>
      <c r="AP141" s="12">
        <f>IFERROR(IF(AO140=0,"",AP140/AO140-1),"")</f>
        <v>0</v>
      </c>
      <c r="AQ141" s="12">
        <f>IFERROR(IF(AP140=0,"",AQ140/AP140-1),"")</f>
        <v>0</v>
      </c>
      <c r="AR141" s="12">
        <f>IFERROR(IF(AQ140=0,"",AR140/AQ140-1),"")</f>
        <v>0</v>
      </c>
      <c r="AS141" s="12">
        <f>IFERROR(IF(AR140=0,"",AS140/AR140-1),"")</f>
        <v>0</v>
      </c>
      <c r="AT141" s="12">
        <f>IFERROR(IF(AS140=0,"",AT140/AS140-1),"")</f>
        <v>0</v>
      </c>
      <c r="AU141" s="12">
        <f>IFERROR(IF(AT140=0,"",AU140/AT140-1),"")</f>
        <v>0</v>
      </c>
      <c r="AV141" s="12">
        <f>IFERROR(IF(AU140=0,"",AV140/AU140-1),"")</f>
        <v>0</v>
      </c>
      <c r="AW141" s="12">
        <f>IFERROR(IF(AV140=0,"",AW140/AV140-1),"")</f>
        <v>0</v>
      </c>
      <c r="AX141" s="12">
        <f>IFERROR(IF(AW140=0,"",AX140/AW140-1),"")</f>
        <v>0</v>
      </c>
      <c r="AY141" s="12">
        <f>IFERROR(IF(AX140=0,"",AY140/AX140-1),"")</f>
        <v>0</v>
      </c>
      <c r="AZ141" s="12">
        <f>IFERROR(IF(AY140=0,"",AZ140/AY140-1),"")</f>
        <v>0</v>
      </c>
      <c r="BA141" s="12">
        <f>IFERROR(IF(AZ140=0,"",BA140/AZ140-1),"")</f>
        <v>0</v>
      </c>
      <c r="BB141" s="12">
        <f>IFERROR(IF(BA140=0,"",BB140/BA140-1),"")</f>
        <v>0</v>
      </c>
      <c r="BC141" s="12">
        <f>IFERROR(IF(BB140=0,"",BC140/BB140-1),"")</f>
        <v>0</v>
      </c>
      <c r="BD141" s="12">
        <f>IFERROR(IF(BC140=0,"",BD140/BC140-1),"")</f>
        <v>0</v>
      </c>
      <c r="BE141" s="12">
        <f>IFERROR(IF(BD140=0,"",BE140/BD140-1),"")</f>
        <v>0</v>
      </c>
      <c r="BF141" s="12">
        <f>IFERROR(IF(BE140=0,"",BF140/BE140-1),"")</f>
        <v>0</v>
      </c>
      <c r="BG141" s="12" t="n"/>
      <c r="BH141" s="12" t="n"/>
      <c r="BI141" s="12" t="n"/>
      <c r="BJ141" s="12" t="n"/>
      <c r="BK141" s="12" t="n"/>
      <c r="BL141" s="12" t="n"/>
      <c r="BM141" s="12" t="n"/>
      <c r="BN141" s="12" t="n"/>
      <c r="BO141" s="12" t="n"/>
      <c r="BP141" s="12" t="n"/>
      <c r="BQ141" s="12" t="n"/>
      <c r="BR141" s="12" t="n"/>
      <c r="BS141" s="12" t="n"/>
      <c r="BT141" s="12" t="n"/>
      <c r="BU141" s="12" t="n"/>
      <c r="BV141" s="12" t="n"/>
      <c r="BW141" s="12" t="n"/>
      <c r="BX141" s="12" t="n"/>
      <c r="BY141" s="12" t="n"/>
      <c r="BZ141" s="12" t="n"/>
      <c r="CA141" s="12" t="n"/>
      <c r="CB141" s="12" t="n"/>
      <c r="CC141" s="12" t="n"/>
      <c r="CD141" s="12" t="n"/>
      <c r="CE141" s="12" t="n"/>
      <c r="CF141" s="12" t="n"/>
      <c r="CG141" s="12" t="n"/>
      <c r="CH141" s="12" t="n"/>
      <c r="CI141" s="12" t="n"/>
      <c r="CJ141" s="12" t="n"/>
      <c r="CK141" s="12" t="n"/>
      <c r="CL141" s="12" t="n"/>
      <c r="CM141" s="12" t="n"/>
      <c r="CN141" s="12" t="n"/>
      <c r="CO141" s="12" t="n"/>
      <c r="CP141" s="12" t="n"/>
      <c r="CQ141" s="12" t="n"/>
      <c r="CR141" s="12" t="n"/>
      <c r="CS141" s="12" t="n"/>
      <c r="CT141" s="12" t="n"/>
      <c r="CU141" s="12" t="n"/>
      <c r="CV141" s="12" t="n"/>
      <c r="CW141" s="12" t="n"/>
      <c r="CX141" s="12" t="n"/>
      <c r="CY141" s="12" t="n"/>
    </row>
    <row r="142" hidden="1" outlineLevel="1">
      <c r="C142" s="57" t="n"/>
      <c r="D142" s="12" t="n"/>
      <c r="E142" s="40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  <c r="AL142" s="12" t="n"/>
      <c r="AM142" s="12" t="n"/>
      <c r="AN142" s="12" t="n"/>
      <c r="AO142" s="12" t="n"/>
      <c r="AP142" s="12" t="n"/>
      <c r="AQ142" s="12" t="n"/>
      <c r="AR142" s="12" t="n"/>
      <c r="AS142" s="12" t="n"/>
      <c r="AT142" s="12" t="n"/>
      <c r="AU142" s="12" t="n"/>
      <c r="AV142" s="12" t="n"/>
      <c r="AW142" s="12" t="n"/>
      <c r="AX142" s="12" t="n"/>
      <c r="AY142" s="12" t="n"/>
      <c r="AZ142" s="12" t="n"/>
      <c r="BA142" s="12" t="n"/>
      <c r="BB142" s="12" t="n"/>
      <c r="BC142" s="12" t="n"/>
      <c r="BD142" s="12" t="n"/>
      <c r="BE142" s="12" t="n"/>
      <c r="BF142" s="12" t="n"/>
      <c r="BG142" s="12" t="n"/>
      <c r="BH142" s="12" t="n"/>
      <c r="BI142" s="12" t="n"/>
      <c r="BJ142" s="12" t="n"/>
      <c r="BK142" s="12" t="n"/>
      <c r="BL142" s="12" t="n"/>
      <c r="BM142" s="12" t="n"/>
      <c r="BN142" s="12" t="n"/>
      <c r="BO142" s="12" t="n"/>
      <c r="BP142" s="12" t="n"/>
      <c r="BQ142" s="12" t="n"/>
      <c r="BR142" s="12" t="n"/>
      <c r="BS142" s="12" t="n"/>
      <c r="BT142" s="12" t="n"/>
      <c r="BU142" s="12" t="n"/>
      <c r="BV142" s="12" t="n"/>
      <c r="BW142" s="12" t="n"/>
      <c r="BX142" s="12" t="n"/>
      <c r="BY142" s="12" t="n"/>
      <c r="BZ142" s="12" t="n"/>
      <c r="CA142" s="12" t="n"/>
      <c r="CB142" s="12" t="n"/>
      <c r="CC142" s="12" t="n"/>
      <c r="CD142" s="12" t="n"/>
      <c r="CE142" s="12" t="n"/>
      <c r="CF142" s="12" t="n"/>
      <c r="CG142" s="12" t="n"/>
      <c r="CH142" s="12" t="n"/>
      <c r="CI142" s="12" t="n"/>
      <c r="CJ142" s="12" t="n"/>
      <c r="CK142" s="12" t="n"/>
      <c r="CL142" s="12" t="n"/>
      <c r="CM142" s="12" t="n"/>
      <c r="CN142" s="12" t="n"/>
      <c r="CO142" s="12" t="n"/>
      <c r="CP142" s="12" t="n"/>
      <c r="CQ142" s="12" t="n"/>
      <c r="CR142" s="12" t="n"/>
      <c r="CS142" s="12" t="n"/>
      <c r="CT142" s="12" t="n"/>
      <c r="CU142" s="12" t="n"/>
      <c r="CV142" s="12" t="n"/>
      <c r="CW142" s="12" t="n"/>
      <c r="CX142" s="12" t="n"/>
      <c r="CY142" s="12" t="n"/>
    </row>
    <row r="143" hidden="1" outlineLevel="1">
      <c r="C143" s="60" t="inlineStr">
        <is>
          <t xml:space="preserve">Impostos e Contribuições a Recuperar </t>
        </is>
      </c>
      <c r="D143" s="11" t="n"/>
      <c r="E143" s="11" t="n"/>
      <c r="F143" s="11" t="n"/>
      <c r="G143" s="11" t="n"/>
      <c r="H143" s="12" t="n"/>
      <c r="I143" s="11" t="n"/>
      <c r="J143" s="11" t="n"/>
      <c r="K143" s="11" t="n"/>
      <c r="L143" s="11" t="n"/>
      <c r="M143" s="12" t="n"/>
      <c r="N143" s="11" t="n"/>
      <c r="O143" s="11" t="n"/>
      <c r="P143" s="11" t="n"/>
      <c r="Q143" s="11" t="n"/>
      <c r="R143" s="12" t="n"/>
      <c r="S143" s="11" t="n"/>
      <c r="T143" s="11" t="n"/>
      <c r="U143" s="11" t="n"/>
      <c r="V143" s="11" t="n"/>
      <c r="W143" s="12" t="n"/>
      <c r="X143" s="11" t="n"/>
      <c r="Y143" s="11" t="n"/>
      <c r="Z143" s="11" t="n"/>
      <c r="AA143" s="11" t="n"/>
      <c r="AB143" s="12" t="n"/>
      <c r="AC143" s="11" t="n"/>
      <c r="AD143" s="11" t="n"/>
      <c r="AE143" s="11" t="n"/>
      <c r="AF143" s="11" t="n"/>
      <c r="AG143" s="12">
        <f>AF143</f>
        <v>0</v>
      </c>
      <c r="AH143" s="61">
        <f>IFERROR(AG143*AH15/AG15,"")</f>
        <v>0</v>
      </c>
      <c r="AI143" s="61">
        <f>IFERROR(AH143*AI15/AH15,"")</f>
        <v>0</v>
      </c>
      <c r="AJ143" s="61">
        <f>IFERROR(AI143*AJ15/AI15,"")</f>
        <v>0</v>
      </c>
      <c r="AK143" s="61">
        <f>IFERROR(AJ143*AK15/AJ15,"")</f>
        <v>0</v>
      </c>
      <c r="AL143" s="12">
        <f>IFERROR(AK143,"")</f>
        <v>0</v>
      </c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 hidden="1" outlineLevel="1">
      <c r="C144" s="60" t="inlineStr">
        <is>
          <t>Outros Créditos</t>
        </is>
      </c>
      <c r="D144" s="11" t="n"/>
      <c r="E144" s="11" t="n"/>
      <c r="F144" s="11" t="n"/>
      <c r="G144" s="11" t="n"/>
      <c r="H144" s="12" t="n"/>
      <c r="I144" s="11" t="n"/>
      <c r="J144" s="11" t="n"/>
      <c r="K144" s="11" t="n"/>
      <c r="L144" s="11" t="n"/>
      <c r="M144" s="12" t="n"/>
      <c r="N144" s="11" t="n"/>
      <c r="O144" s="11" t="n"/>
      <c r="P144" s="11" t="n"/>
      <c r="Q144" s="11" t="n"/>
      <c r="R144" s="12" t="n"/>
      <c r="S144" s="11" t="n"/>
      <c r="T144" s="11" t="n"/>
      <c r="U144" s="11" t="n"/>
      <c r="V144" s="11" t="n"/>
      <c r="W144" s="12" t="n"/>
      <c r="X144" s="11" t="n"/>
      <c r="Y144" s="11" t="n"/>
      <c r="Z144" s="11" t="n"/>
      <c r="AA144" s="11" t="n"/>
      <c r="AB144" s="12" t="n"/>
      <c r="AC144" s="11" t="n"/>
      <c r="AD144" s="11" t="n"/>
      <c r="AE144" s="11" t="n"/>
      <c r="AF144" s="11" t="n"/>
      <c r="AG144" s="12">
        <f>AF144</f>
        <v>0</v>
      </c>
      <c r="AH144" s="12">
        <f>AG144</f>
        <v>0</v>
      </c>
      <c r="AI144" s="12">
        <f>AH144</f>
        <v>0</v>
      </c>
      <c r="AJ144" s="12">
        <f>AI144</f>
        <v>0</v>
      </c>
      <c r="AK144" s="12">
        <f>AJ144</f>
        <v>0</v>
      </c>
      <c r="AL144" s="12">
        <f>AK144</f>
        <v>0</v>
      </c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  <c r="BE144" s="12" t="n"/>
      <c r="BF144" s="12" t="n"/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 hidden="1" outlineLevel="1">
      <c r="C145" s="57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  <c r="AL145" s="12" t="n"/>
      <c r="AM145" s="12" t="n"/>
      <c r="AN145" s="12" t="n"/>
      <c r="AO145" s="12" t="n"/>
      <c r="AP145" s="12" t="n"/>
      <c r="AQ145" s="12" t="n"/>
      <c r="AR145" s="12" t="n"/>
      <c r="AS145" s="12" t="n"/>
      <c r="AT145" s="12" t="n"/>
      <c r="AU145" s="12" t="n"/>
      <c r="AV145" s="12" t="n"/>
      <c r="AW145" s="12" t="n"/>
      <c r="AX145" s="12" t="n"/>
      <c r="AY145" s="12" t="n"/>
      <c r="AZ145" s="12" t="n"/>
      <c r="BA145" s="12" t="n"/>
      <c r="BB145" s="12" t="n"/>
      <c r="BC145" s="12" t="n"/>
      <c r="BD145" s="12" t="n"/>
      <c r="BE145" s="12" t="n"/>
      <c r="BF145" s="12" t="n"/>
      <c r="BG145" s="12" t="n"/>
      <c r="BH145" s="12" t="n"/>
      <c r="BI145" s="12" t="n"/>
      <c r="BJ145" s="12" t="n"/>
      <c r="BK145" s="12" t="n"/>
      <c r="BL145" s="12" t="n"/>
      <c r="BM145" s="12" t="n"/>
      <c r="BN145" s="12" t="n"/>
      <c r="BO145" s="12" t="n"/>
      <c r="BP145" s="12" t="n"/>
      <c r="BQ145" s="12" t="n"/>
      <c r="BR145" s="12" t="n"/>
      <c r="BS145" s="12" t="n"/>
      <c r="BT145" s="12" t="n"/>
      <c r="BU145" s="12" t="n"/>
      <c r="BV145" s="12" t="n"/>
      <c r="BW145" s="12" t="n"/>
      <c r="BX145" s="12" t="n"/>
      <c r="BY145" s="12" t="n"/>
      <c r="BZ145" s="12" t="n"/>
      <c r="CA145" s="12" t="n"/>
      <c r="CB145" s="12" t="n"/>
      <c r="CC145" s="12" t="n"/>
      <c r="CD145" s="12" t="n"/>
      <c r="CE145" s="12" t="n"/>
      <c r="CF145" s="12" t="n"/>
      <c r="CG145" s="12" t="n"/>
      <c r="CH145" s="12" t="n"/>
      <c r="CI145" s="12" t="n"/>
      <c r="CJ145" s="12" t="n"/>
      <c r="CK145" s="12" t="n"/>
      <c r="CL145" s="12" t="n"/>
      <c r="CM145" s="12" t="n"/>
      <c r="CN145" s="12" t="n"/>
      <c r="CO145" s="12" t="n"/>
      <c r="CP145" s="12" t="n"/>
      <c r="CQ145" s="12" t="n"/>
      <c r="CR145" s="12" t="n"/>
      <c r="CS145" s="12" t="n"/>
      <c r="CT145" s="12" t="n"/>
      <c r="CU145" s="12" t="n"/>
      <c r="CV145" s="12" t="n"/>
      <c r="CW145" s="12" t="n"/>
      <c r="CX145" s="12" t="n"/>
      <c r="CY145" s="12" t="n"/>
    </row>
    <row r="146" collapsed="1">
      <c r="C146" s="14" t="inlineStr">
        <is>
          <t>Equity in affiliates</t>
        </is>
      </c>
      <c r="D146" s="46" t="n"/>
      <c r="E146" s="46" t="n"/>
      <c r="F146" s="46" t="n"/>
      <c r="G146" s="46" t="n"/>
      <c r="H146" s="12" t="n"/>
      <c r="I146" s="46">
        <f>'Inputs (2)'!D21</f>
        <v>0</v>
      </c>
      <c r="J146" s="46">
        <f>'Inputs (2)'!E21</f>
        <v>0</v>
      </c>
      <c r="K146" s="46">
        <f>'Inputs (2)'!F21</f>
        <v>0</v>
      </c>
      <c r="L146" s="46">
        <f>'Inputs (2)'!G21</f>
        <v>0</v>
      </c>
      <c r="M146" s="12">
        <f>'Inputs (2)'!H21</f>
        <v>0</v>
      </c>
      <c r="N146" s="46">
        <f>'Inputs (2)'!I21</f>
        <v>0</v>
      </c>
      <c r="O146" s="46">
        <f>'Inputs (2)'!J21</f>
        <v>0</v>
      </c>
      <c r="P146" s="46">
        <f>'Inputs (2)'!K21</f>
        <v>0</v>
      </c>
      <c r="Q146" s="46">
        <f>'Inputs (2)'!L21</f>
        <v>0</v>
      </c>
      <c r="R146" s="12">
        <f>'Inputs (2)'!M21</f>
        <v>0</v>
      </c>
      <c r="S146" s="46">
        <f>'Inputs (2)'!N21</f>
        <v>0</v>
      </c>
      <c r="T146" s="46">
        <f>'Inputs (2)'!O21</f>
        <v>0</v>
      </c>
      <c r="U146" s="46">
        <f>'Inputs (2)'!P21</f>
        <v>0</v>
      </c>
      <c r="V146" s="46">
        <f>'Inputs (2)'!Q21</f>
        <v>0</v>
      </c>
      <c r="W146" s="12">
        <f>'Inputs (2)'!R21</f>
        <v>0</v>
      </c>
      <c r="X146" s="46">
        <f>'Inputs (2)'!S21</f>
        <v>0</v>
      </c>
      <c r="Y146" s="46">
        <f>'Inputs (2)'!T21</f>
        <v>0</v>
      </c>
      <c r="Z146" s="46">
        <f>'Inputs (2)'!U21</f>
        <v>0</v>
      </c>
      <c r="AA146" s="46">
        <f>'Inputs (2)'!V21</f>
        <v>0</v>
      </c>
      <c r="AB146" s="12">
        <f>'Inputs (2)'!W21</f>
        <v>0</v>
      </c>
      <c r="AC146" s="46">
        <f>'Inputs (2)'!X21</f>
        <v>0</v>
      </c>
      <c r="AD146" s="46">
        <f>'Inputs (2)'!Y21</f>
        <v>0</v>
      </c>
      <c r="AE146" s="46">
        <f>'Inputs (2)'!Z21</f>
        <v>0</v>
      </c>
      <c r="AF146" s="46">
        <f>'Inputs (2)'!AA21</f>
        <v>0</v>
      </c>
      <c r="AG146" s="12">
        <f>'Inputs (2)'!AB21</f>
        <v>0</v>
      </c>
      <c r="AH146" s="12">
        <f>'Inputs (2)'!AC21</f>
        <v>0</v>
      </c>
      <c r="AI146" s="12">
        <f>'Inputs (2)'!AD21</f>
        <v>0</v>
      </c>
      <c r="AJ146" s="12">
        <f>AI146+AJ120</f>
        <v>0</v>
      </c>
      <c r="AK146" s="12">
        <f>AJ146+AK120</f>
        <v>0</v>
      </c>
      <c r="AL146" s="12">
        <f>AK146</f>
        <v>0</v>
      </c>
      <c r="AM146" s="12">
        <f>AL146+AM120</f>
        <v>0</v>
      </c>
      <c r="AN146" s="12">
        <f>AM146+AN120</f>
        <v>0</v>
      </c>
      <c r="AO146" s="12">
        <f>AN146+AO120</f>
        <v>0</v>
      </c>
      <c r="AP146" s="12">
        <f>AO146+AP120</f>
        <v>0</v>
      </c>
      <c r="AQ146" s="12">
        <f>AP146</f>
        <v>0</v>
      </c>
      <c r="AR146" s="12">
        <f>AQ146+AR120</f>
        <v>0</v>
      </c>
      <c r="AS146" s="12">
        <f>AR146+AS120</f>
        <v>0</v>
      </c>
      <c r="AT146" s="12">
        <f>AS146+AT120</f>
        <v>0</v>
      </c>
      <c r="AU146" s="12">
        <f>AT146+AU120</f>
        <v>0</v>
      </c>
      <c r="AV146" s="12">
        <f>AU146</f>
        <v>0</v>
      </c>
      <c r="AW146" s="12">
        <f>AV146+AW120</f>
        <v>0</v>
      </c>
      <c r="AX146" s="12">
        <f>AW146+AX120</f>
        <v>0</v>
      </c>
      <c r="AY146" s="12">
        <f>AX146+AY120</f>
        <v>0</v>
      </c>
      <c r="AZ146" s="12">
        <f>AY146+AZ120</f>
        <v>0</v>
      </c>
      <c r="BA146" s="12">
        <f>AZ146</f>
        <v>0</v>
      </c>
      <c r="BB146" s="12">
        <f>BA146+BB120</f>
        <v>0</v>
      </c>
      <c r="BC146" s="12">
        <f>BB146+BC120</f>
        <v>0</v>
      </c>
      <c r="BD146" s="12">
        <f>BC146+BD120</f>
        <v>0</v>
      </c>
      <c r="BE146" s="12">
        <f>BD146+BE120</f>
        <v>0</v>
      </c>
      <c r="BF146" s="12">
        <f>BE146</f>
        <v>0</v>
      </c>
      <c r="BG146" s="12" t="n"/>
      <c r="BH146" s="12" t="n"/>
      <c r="BI146" s="12" t="n"/>
      <c r="BJ146" s="12" t="n"/>
      <c r="BK146" s="12" t="n"/>
      <c r="BL146" s="12" t="n"/>
      <c r="BM146" s="12" t="n"/>
      <c r="BN146" s="12" t="n"/>
      <c r="BO146" s="12" t="n"/>
      <c r="BP146" s="12" t="n"/>
      <c r="BQ146" s="12" t="n"/>
      <c r="BR146" s="12" t="n"/>
      <c r="BS146" s="12" t="n"/>
      <c r="BT146" s="12" t="n"/>
      <c r="BU146" s="12" t="n"/>
      <c r="BV146" s="12" t="n"/>
      <c r="BW146" s="12" t="n"/>
      <c r="BX146" s="12" t="n"/>
      <c r="BY146" s="12" t="n"/>
      <c r="BZ146" s="12" t="n"/>
      <c r="CA146" s="12" t="n"/>
      <c r="CB146" s="12" t="n"/>
      <c r="CC146" s="12" t="n"/>
      <c r="CD146" s="12" t="n"/>
      <c r="CE146" s="12" t="n"/>
      <c r="CF146" s="12" t="n"/>
      <c r="CG146" s="12" t="n"/>
      <c r="CH146" s="12" t="n"/>
      <c r="CI146" s="12" t="n"/>
      <c r="CJ146" s="12" t="n"/>
      <c r="CK146" s="12" t="n"/>
      <c r="CL146" s="12" t="n"/>
      <c r="CM146" s="12" t="n"/>
      <c r="CN146" s="12" t="n"/>
      <c r="CO146" s="12" t="n"/>
      <c r="CP146" s="12" t="n"/>
      <c r="CQ146" s="12" t="n"/>
      <c r="CR146" s="12" t="n"/>
      <c r="CS146" s="12" t="n"/>
      <c r="CT146" s="12" t="n"/>
      <c r="CU146" s="12" t="n"/>
      <c r="CV146" s="12" t="n"/>
      <c r="CW146" s="12" t="n"/>
      <c r="CX146" s="12" t="n"/>
      <c r="CY146" s="12" t="n"/>
    </row>
    <row r="147" hidden="1" outlineLevel="1">
      <c r="C147" s="57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  <c r="AL147" s="12" t="n"/>
      <c r="AM147" s="12" t="n"/>
      <c r="AN147" s="12" t="n"/>
      <c r="AO147" s="12" t="n"/>
      <c r="AP147" s="12" t="n"/>
      <c r="AQ147" s="12" t="n"/>
      <c r="AR147" s="12" t="n"/>
      <c r="AS147" s="12" t="n"/>
      <c r="AT147" s="12" t="n"/>
      <c r="AU147" s="12" t="n"/>
      <c r="AV147" s="12" t="n"/>
      <c r="AW147" s="12" t="n"/>
      <c r="AX147" s="12" t="n"/>
      <c r="AY147" s="12" t="n"/>
      <c r="AZ147" s="12" t="n"/>
      <c r="BA147" s="12" t="n"/>
      <c r="BB147" s="12" t="n"/>
      <c r="BC147" s="12" t="n"/>
      <c r="BD147" s="12" t="n"/>
      <c r="BE147" s="12" t="n"/>
      <c r="BF147" s="12" t="n"/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hidden="1" outlineLevel="1">
      <c r="C148" s="57" t="inlineStr">
        <is>
          <t>Equity in Income - % YoY</t>
        </is>
      </c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>
        <f>IF(I120=0,0,N120/I120-1)</f>
        <v>0</v>
      </c>
      <c r="O148" s="12">
        <f>IF(J120=0,0,O120/J120-1)</f>
        <v>0</v>
      </c>
      <c r="P148" s="12">
        <f>IF(K120=0,0,P120/K120-1)</f>
        <v>0</v>
      </c>
      <c r="Q148" s="12">
        <f>IF(L120=0,0,Q120/L120-1)</f>
        <v>0</v>
      </c>
      <c r="R148" s="12" t="n"/>
      <c r="S148" s="12">
        <f>IF(N120=0,0,S120/N120-1)</f>
        <v>0</v>
      </c>
      <c r="T148" s="12">
        <f>IF(O120=0,0,T120/O120-1)</f>
        <v>0</v>
      </c>
      <c r="U148" s="12">
        <f>IF(P120=0,0,U120/P120-1)</f>
        <v>0</v>
      </c>
      <c r="V148" s="12">
        <f>IF(Q120=0,0,V120/Q120-1)</f>
        <v>0</v>
      </c>
      <c r="W148" s="12" t="n"/>
      <c r="X148" s="12">
        <f>IF(S120=0,0,X120/S120-1)</f>
        <v>0</v>
      </c>
      <c r="Y148" s="12">
        <f>IF(T120=0,0,Y120/T120-1)</f>
        <v>0</v>
      </c>
      <c r="Z148" s="12">
        <f>IF(U120=0,0,Z120/U120-1)</f>
        <v>0</v>
      </c>
      <c r="AA148" s="12">
        <f>IF(V120=0,0,AA120/V120-1)</f>
        <v>0</v>
      </c>
      <c r="AB148" s="12" t="n"/>
      <c r="AC148" s="12">
        <f>IF(X120=0,0,AC120/X120-1)</f>
        <v>0</v>
      </c>
      <c r="AD148" s="12">
        <f>IF(Y120=0,0,AD120/Y120-1)</f>
        <v>0</v>
      </c>
      <c r="AE148" s="12">
        <f>IF(Z120=0,0,AE120/Z120-1)</f>
        <v>0</v>
      </c>
      <c r="AF148" s="12">
        <f>IF(AA120=0,0,AF120/AA120-1)</f>
        <v>0</v>
      </c>
      <c r="AG148" s="12" t="n"/>
      <c r="AH148" s="11">
        <f>IF(AC120=0,0,AH120/AC120-1)</f>
        <v>0</v>
      </c>
      <c r="AI148" s="11">
        <f>IF(AD120=0,0,AI120/AD120-1)</f>
        <v>0</v>
      </c>
      <c r="AJ148" s="11" t="n"/>
      <c r="AK148" s="11" t="n"/>
      <c r="AL148" s="12" t="n"/>
      <c r="AM148" s="11" t="n"/>
      <c r="AN148" s="11" t="n"/>
      <c r="AO148" s="11" t="n"/>
      <c r="AP148" s="11" t="n"/>
      <c r="AQ148" s="12" t="n"/>
      <c r="AR148" s="11" t="n"/>
      <c r="AS148" s="11" t="n"/>
      <c r="AT148" s="11" t="n"/>
      <c r="AU148" s="11" t="n"/>
      <c r="AV148" s="12" t="n"/>
      <c r="AW148" s="11" t="n"/>
      <c r="AX148" s="11" t="n"/>
      <c r="AY148" s="11" t="n"/>
      <c r="AZ148" s="11" t="n"/>
      <c r="BA148" s="12" t="n"/>
      <c r="BB148" s="11" t="n"/>
      <c r="BC148" s="11" t="n"/>
      <c r="BD148" s="11" t="n"/>
      <c r="BE148" s="11" t="n"/>
      <c r="BF148" s="12" t="n"/>
      <c r="BG148" s="11" t="n"/>
      <c r="BH148" s="11" t="n"/>
      <c r="BI148" s="11" t="n"/>
      <c r="BJ148" s="11" t="n"/>
      <c r="BK148" s="12" t="n"/>
      <c r="BL148" s="11" t="n"/>
      <c r="BM148" s="11" t="n"/>
      <c r="BN148" s="11" t="n"/>
      <c r="BO148" s="11" t="n"/>
      <c r="BP148" s="12" t="n"/>
      <c r="BQ148" s="11" t="n"/>
      <c r="BR148" s="11" t="n"/>
      <c r="BS148" s="11" t="n"/>
      <c r="BT148" s="11" t="n"/>
      <c r="BU148" s="12" t="n"/>
      <c r="BV148" s="11" t="n"/>
      <c r="BW148" s="11" t="n"/>
      <c r="BX148" s="11" t="n"/>
      <c r="BY148" s="11" t="n"/>
      <c r="BZ148" s="12" t="n"/>
      <c r="CA148" s="11" t="n"/>
      <c r="CB148" s="11" t="n"/>
      <c r="CC148" s="11" t="n"/>
      <c r="CD148" s="11" t="n"/>
      <c r="CE148" s="12" t="n"/>
      <c r="CF148" s="11" t="n"/>
      <c r="CG148" s="11" t="n"/>
      <c r="CH148" s="11" t="n"/>
      <c r="CI148" s="11" t="n"/>
      <c r="CJ148" s="12" t="n"/>
      <c r="CK148" s="11" t="n"/>
      <c r="CL148" s="11" t="n"/>
      <c r="CM148" s="11" t="n"/>
      <c r="CN148" s="11" t="n"/>
      <c r="CO148" s="12" t="n"/>
      <c r="CP148" s="11" t="n"/>
      <c r="CQ148" s="11" t="n"/>
      <c r="CR148" s="11" t="n"/>
      <c r="CS148" s="11" t="n"/>
      <c r="CT148" s="12" t="n"/>
      <c r="CU148" s="11" t="n"/>
      <c r="CV148" s="11" t="n"/>
      <c r="CW148" s="11" t="n"/>
      <c r="CX148" s="11" t="n"/>
      <c r="CY148" s="12" t="n"/>
    </row>
    <row r="149" hidden="1" outlineLevel="1">
      <c r="C149" s="57" t="inlineStr">
        <is>
          <t>Dividends (enter as -)</t>
        </is>
      </c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1" t="n"/>
      <c r="AI149" s="11" t="n"/>
      <c r="AJ149" s="11" t="n"/>
      <c r="AK149" s="11" t="n"/>
      <c r="AL149" s="12" t="n"/>
      <c r="AM149" s="11" t="n"/>
      <c r="AN149" s="11" t="n"/>
      <c r="AO149" s="11" t="n"/>
      <c r="AP149" s="11" t="n"/>
      <c r="AQ149" s="12" t="n"/>
      <c r="AR149" s="11" t="n"/>
      <c r="AS149" s="11" t="n"/>
      <c r="AT149" s="11" t="n"/>
      <c r="AU149" s="11" t="n"/>
      <c r="AV149" s="12" t="n"/>
      <c r="AW149" s="11" t="n"/>
      <c r="AX149" s="11" t="n"/>
      <c r="AY149" s="11" t="n"/>
      <c r="AZ149" s="11" t="n"/>
      <c r="BA149" s="12" t="n"/>
      <c r="BB149" s="11" t="n"/>
      <c r="BC149" s="11" t="n"/>
      <c r="BD149" s="11" t="n"/>
      <c r="BE149" s="11" t="n"/>
      <c r="BF149" s="12" t="n"/>
      <c r="BG149" s="11" t="n"/>
      <c r="BH149" s="11" t="n"/>
      <c r="BI149" s="11" t="n"/>
      <c r="BJ149" s="11" t="n"/>
      <c r="BK149" s="12" t="n"/>
      <c r="BL149" s="11" t="n"/>
      <c r="BM149" s="11" t="n"/>
      <c r="BN149" s="11" t="n"/>
      <c r="BO149" s="11" t="n"/>
      <c r="BP149" s="12" t="n"/>
      <c r="BQ149" s="11" t="n"/>
      <c r="BR149" s="11" t="n"/>
      <c r="BS149" s="11" t="n"/>
      <c r="BT149" s="11" t="n"/>
      <c r="BU149" s="12" t="n"/>
      <c r="BV149" s="11" t="n"/>
      <c r="BW149" s="11" t="n"/>
      <c r="BX149" s="11" t="n"/>
      <c r="BY149" s="11" t="n"/>
      <c r="BZ149" s="12" t="n"/>
      <c r="CA149" s="11" t="n"/>
      <c r="CB149" s="11" t="n"/>
      <c r="CC149" s="11" t="n"/>
      <c r="CD149" s="11" t="n"/>
      <c r="CE149" s="12" t="n"/>
      <c r="CF149" s="11" t="n"/>
      <c r="CG149" s="11" t="n"/>
      <c r="CH149" s="11" t="n"/>
      <c r="CI149" s="11" t="n"/>
      <c r="CJ149" s="12" t="n"/>
      <c r="CK149" s="11" t="n"/>
      <c r="CL149" s="11" t="n"/>
      <c r="CM149" s="11" t="n"/>
      <c r="CN149" s="11" t="n"/>
      <c r="CO149" s="12" t="n"/>
      <c r="CP149" s="11" t="n"/>
      <c r="CQ149" s="11" t="n"/>
      <c r="CR149" s="11" t="n"/>
      <c r="CS149" s="11" t="n"/>
      <c r="CT149" s="12" t="n"/>
      <c r="CU149" s="11" t="n"/>
      <c r="CV149" s="11" t="n"/>
      <c r="CW149" s="11" t="n"/>
      <c r="CX149" s="11" t="n"/>
      <c r="CY149" s="12" t="n"/>
    </row>
    <row r="150" hidden="1" outlineLevel="1">
      <c r="C150" s="57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collapsed="1">
      <c r="C151" s="14" t="inlineStr">
        <is>
          <t>PP&amp;E</t>
        </is>
      </c>
      <c r="D151" s="46" t="n"/>
      <c r="E151" s="46" t="n"/>
      <c r="F151" s="46" t="n"/>
      <c r="G151" s="46" t="n"/>
      <c r="H151" s="12" t="n"/>
      <c r="I151" s="46">
        <f>'Inputs (2)'!D22</f>
        <v>22531</v>
      </c>
      <c r="J151" s="46">
        <f>'Inputs (2)'!E22</f>
        <v>23177</v>
      </c>
      <c r="K151" s="46">
        <f>'Inputs (2)'!F22</f>
        <v>23492</v>
      </c>
      <c r="L151" s="46">
        <f>'Inputs (2)'!G22</f>
        <v>23887</v>
      </c>
      <c r="M151" s="12">
        <f>'Inputs (2)'!H22</f>
        <v>23887</v>
      </c>
      <c r="N151" s="46">
        <f>'Inputs (2)'!I22</f>
        <v>24052</v>
      </c>
      <c r="O151" s="46">
        <f>'Inputs (2)'!J22</f>
        <v>24143</v>
      </c>
      <c r="P151" s="46">
        <f>'Inputs (2)'!K22</f>
        <v>24646</v>
      </c>
      <c r="Q151" s="46">
        <f>'Inputs (2)'!L22</f>
        <v>25144</v>
      </c>
      <c r="R151" s="12">
        <f>'Inputs (2)'!M22</f>
        <v>25144</v>
      </c>
      <c r="S151" s="46">
        <f>'Inputs (2)'!N22</f>
        <v>25724</v>
      </c>
      <c r="T151" s="46">
        <f>'Inputs (2)'!O22</f>
        <v>25931</v>
      </c>
      <c r="U151" s="46">
        <f>'Inputs (2)'!P22</f>
        <v>26684</v>
      </c>
      <c r="V151" s="46">
        <f>'Inputs (2)'!Q22</f>
        <v>27168</v>
      </c>
      <c r="W151" s="12">
        <f>'Inputs (2)'!R22</f>
        <v>27168</v>
      </c>
      <c r="X151" s="46">
        <f>'Inputs (2)'!S22</f>
        <v>27601</v>
      </c>
      <c r="Y151" s="46">
        <f>'Inputs (2)'!T22</f>
        <v>28062</v>
      </c>
      <c r="Z151" s="46">
        <f>'Inputs (2)'!U22</f>
        <v>29032</v>
      </c>
      <c r="AA151" s="46">
        <f>'Inputs (2)'!V22</f>
        <v>29336</v>
      </c>
      <c r="AB151" s="12">
        <f>'Inputs (2)'!W22</f>
        <v>29336</v>
      </c>
      <c r="AC151" s="46">
        <f>'Inputs (2)'!X22</f>
        <v>29809</v>
      </c>
      <c r="AD151" s="46">
        <f>'Inputs (2)'!Y22</f>
        <v>30582</v>
      </c>
      <c r="AE151" s="46">
        <f>'Inputs (2)'!Z22</f>
        <v>31909</v>
      </c>
      <c r="AF151" s="46">
        <f>'Inputs (2)'!AA22</f>
        <v>32616</v>
      </c>
      <c r="AG151" s="12">
        <f>'Inputs (2)'!AB22</f>
        <v>32616</v>
      </c>
      <c r="AH151" s="12">
        <f>'Inputs (2)'!AC22</f>
        <v>33645</v>
      </c>
      <c r="AI151" s="12">
        <f>'Inputs (2)'!AD22</f>
        <v>34293</v>
      </c>
      <c r="AJ151" s="12">
        <f>AJ156</f>
        <v>35401.340189082</v>
      </c>
      <c r="AK151" s="12">
        <f>AK156</f>
        <v>36267.2004089917</v>
      </c>
      <c r="AL151" s="12">
        <f>AK151</f>
        <v>36267.2004089917</v>
      </c>
      <c r="AM151" s="12">
        <f>AM156</f>
        <v>37162.5199704795</v>
      </c>
      <c r="AN151" s="12">
        <f>AN156</f>
        <v>38069.8033693767</v>
      </c>
      <c r="AO151" s="12">
        <f>AO156</f>
        <v>39278.3638654858</v>
      </c>
      <c r="AP151" s="12">
        <f>AP156</f>
        <v>40222.5184375599</v>
      </c>
      <c r="AQ151" s="12">
        <f>AP151</f>
        <v>40222.5184375599</v>
      </c>
      <c r="AR151" s="12">
        <f>AR156</f>
        <v>41194.3195783626</v>
      </c>
      <c r="AS151" s="12">
        <f>AS156</f>
        <v>42179.1065527638</v>
      </c>
      <c r="AT151" s="12">
        <f>AT156</f>
        <v>43490.9068521969</v>
      </c>
      <c r="AU151" s="12">
        <f>AU156</f>
        <v>44515.7146746811</v>
      </c>
      <c r="AV151" s="12">
        <f>AU151</f>
        <v>44515.7146746811</v>
      </c>
      <c r="AW151" s="12">
        <f>AW156</f>
        <v>45565.671734535</v>
      </c>
      <c r="AX151" s="12">
        <f>AX156</f>
        <v>46629.6589977837</v>
      </c>
      <c r="AY151" s="12">
        <f>AY156</f>
        <v>48046.959233067</v>
      </c>
      <c r="AZ151" s="12">
        <f>AZ156</f>
        <v>49154.1859721938</v>
      </c>
      <c r="BA151" s="12">
        <f>AZ151</f>
        <v>49154.1859721938</v>
      </c>
      <c r="BB151" s="12">
        <f>BB156</f>
        <v>50283.3347600701</v>
      </c>
      <c r="BC151" s="12">
        <f>BC156</f>
        <v>51427.5719622851</v>
      </c>
      <c r="BD151" s="12">
        <f>BD156</f>
        <v>52951.7703356449</v>
      </c>
      <c r="BE151" s="12">
        <f>BE156</f>
        <v>54142.5082983604</v>
      </c>
      <c r="BF151" s="12">
        <f>BE151</f>
        <v>54142.5082983604</v>
      </c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hidden="1" outlineLevel="1">
      <c r="C152" s="57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  <c r="BE152" s="12" t="n"/>
      <c r="BF152" s="12" t="n"/>
      <c r="BG152" s="12" t="n"/>
      <c r="BH152" s="12" t="n"/>
      <c r="BI152" s="12" t="n"/>
      <c r="BJ152" s="12" t="n"/>
      <c r="BK152" s="12" t="n"/>
      <c r="BL152" s="12" t="n"/>
      <c r="BM152" s="12" t="n"/>
      <c r="BN152" s="12" t="n"/>
      <c r="BO152" s="12" t="n"/>
      <c r="BP152" s="12" t="n"/>
      <c r="BQ152" s="12" t="n"/>
      <c r="BR152" s="12" t="n"/>
      <c r="BS152" s="12" t="n"/>
      <c r="BT152" s="12" t="n"/>
      <c r="BU152" s="12" t="n"/>
      <c r="BV152" s="12" t="n"/>
      <c r="BW152" s="12" t="n"/>
      <c r="BX152" s="12" t="n"/>
      <c r="BY152" s="12" t="n"/>
      <c r="BZ152" s="12" t="n"/>
      <c r="CA152" s="12" t="n"/>
      <c r="CB152" s="12" t="n"/>
      <c r="CC152" s="12" t="n"/>
      <c r="CD152" s="12" t="n"/>
      <c r="CE152" s="12" t="n"/>
      <c r="CF152" s="12" t="n"/>
      <c r="CG152" s="12" t="n"/>
      <c r="CH152" s="12" t="n"/>
      <c r="CI152" s="12" t="n"/>
      <c r="CJ152" s="12" t="n"/>
      <c r="CK152" s="12" t="n"/>
      <c r="CL152" s="12" t="n"/>
      <c r="CM152" s="12" t="n"/>
      <c r="CN152" s="12" t="n"/>
      <c r="CO152" s="12" t="n"/>
      <c r="CP152" s="12" t="n"/>
      <c r="CQ152" s="12" t="n"/>
      <c r="CR152" s="12" t="n"/>
      <c r="CS152" s="12" t="n"/>
      <c r="CT152" s="12" t="n"/>
      <c r="CU152" s="12" t="n"/>
      <c r="CV152" s="12" t="n"/>
      <c r="CW152" s="12" t="n"/>
      <c r="CX152" s="12" t="n"/>
      <c r="CY152" s="12" t="n"/>
    </row>
    <row r="153" hidden="1" outlineLevel="1">
      <c r="C153" s="57" t="inlineStr">
        <is>
          <t>Capital expenditures</t>
        </is>
      </c>
      <c r="D153" s="12" t="n"/>
      <c r="E153" s="12" t="n"/>
      <c r="F153" s="12" t="n"/>
      <c r="G153" s="12" t="n"/>
      <c r="H153" s="12" t="n"/>
      <c r="I153" s="12" t="n"/>
      <c r="J153" s="12">
        <f>J151-I151-J55</f>
        <v>1048</v>
      </c>
      <c r="K153" s="12">
        <f>K151-J151-K55</f>
        <v>874</v>
      </c>
      <c r="L153" s="12">
        <f>L151-K151-L55</f>
        <v>827</v>
      </c>
      <c r="M153" s="12" t="n"/>
      <c r="N153" s="12">
        <f>N151-M151-N55</f>
        <v>601</v>
      </c>
      <c r="O153" s="12">
        <f>O151-N151-O55</f>
        <v>529</v>
      </c>
      <c r="P153" s="12">
        <f>P151-O151-P55</f>
        <v>1097</v>
      </c>
      <c r="Q153" s="12">
        <f>Q151-P151-Q55</f>
        <v>945</v>
      </c>
      <c r="R153" s="12" t="n"/>
      <c r="S153" s="12">
        <f>S151-R151-S55</f>
        <v>1050</v>
      </c>
      <c r="T153" s="12">
        <f>T151-S151-T55</f>
        <v>679</v>
      </c>
      <c r="U153" s="12">
        <f>U151-T151-U55</f>
        <v>1441</v>
      </c>
      <c r="V153" s="12">
        <f>V151-U151-V55</f>
        <v>985</v>
      </c>
      <c r="W153" s="12" t="n"/>
      <c r="X153" s="12">
        <f>X151-W151-X55</f>
        <v>947</v>
      </c>
      <c r="Y153" s="12">
        <f>Y151-X151-Y55</f>
        <v>977</v>
      </c>
      <c r="Z153" s="12">
        <f>Z151-Y151-Z55</f>
        <v>1676</v>
      </c>
      <c r="AA153" s="12">
        <f>AA151-Z151-AA55</f>
        <v>852</v>
      </c>
      <c r="AB153" s="12" t="n"/>
      <c r="AC153" s="12">
        <f>AC151-AB151-AC55</f>
        <v>1025</v>
      </c>
      <c r="AD153" s="12">
        <f>AD151-AC151-AD55</f>
        <v>1325</v>
      </c>
      <c r="AE153" s="12">
        <f>AE151-AD151-AE55</f>
        <v>2101</v>
      </c>
      <c r="AF153" s="11">
        <f>AF151-AE151-AF55</f>
        <v>1304</v>
      </c>
      <c r="AG153" s="12">
        <f>SUM(AC153:AF153)</f>
        <v>5755</v>
      </c>
      <c r="AH153" s="11">
        <f>AH151-AG151-AH55</f>
        <v>1626</v>
      </c>
      <c r="AI153" s="11">
        <f>AI151-AH151-AI55</f>
        <v>1245</v>
      </c>
      <c r="AJ153" s="11">
        <f>AJ15*Control!$B$24</f>
        <v>1927.12019536952</v>
      </c>
      <c r="AK153" s="11">
        <f>AK15*Control!$B$24</f>
        <v>1505.50952910693</v>
      </c>
      <c r="AL153" s="12" t="n"/>
      <c r="AM153" s="11">
        <f>AM15*Control!$C$24</f>
        <v>1556.7317916005</v>
      </c>
      <c r="AN153" s="11">
        <f>AN15*Control!$C$24</f>
        <v>1577.53384580094</v>
      </c>
      <c r="AO153" s="11">
        <f>AO15*Control!$C$24</f>
        <v>2101.37768378376</v>
      </c>
      <c r="AP153" s="11">
        <f>AP15*Control!$C$24</f>
        <v>1641.64338830068</v>
      </c>
      <c r="AQ153" s="12" t="n"/>
      <c r="AR153" s="11">
        <f>AR15*Control!$D$24</f>
        <v>1689.71370232035</v>
      </c>
      <c r="AS153" s="11">
        <f>AS15*Control!$D$24</f>
        <v>1712.2927465774</v>
      </c>
      <c r="AT153" s="11">
        <f>AT15*Control!$D$24</f>
        <v>2280.88530419814</v>
      </c>
      <c r="AU153" s="11">
        <f>AU15*Control!$D$24</f>
        <v>1781.87876839297</v>
      </c>
      <c r="AV153" s="12" t="n"/>
      <c r="AW153" s="11">
        <f>AW15*Control!$E$24</f>
        <v>1825.60686172648</v>
      </c>
      <c r="AX153" s="11">
        <f>AX15*Control!$E$24</f>
        <v>1850.00179802267</v>
      </c>
      <c r="AY153" s="11">
        <f>AY15*Control!$E$24</f>
        <v>2464.32271717814</v>
      </c>
      <c r="AZ153" s="11">
        <f>AZ15*Control!$E$24</f>
        <v>1925.18419059739</v>
      </c>
      <c r="BA153" s="12" t="n"/>
      <c r="BB153" s="11">
        <f>BB15*Control!$F$24</f>
        <v>1963.30102808584</v>
      </c>
      <c r="BC153" s="11">
        <f>BC15*Control!$F$24</f>
        <v>1989.53592263761</v>
      </c>
      <c r="BD153" s="11">
        <f>BD15*Control!$F$24</f>
        <v>2650.19124632102</v>
      </c>
      <c r="BE153" s="11">
        <f>BE15*Control!$F$24</f>
        <v>2070.38885528726</v>
      </c>
      <c r="BF153" s="12" t="n"/>
      <c r="BG153" s="11" t="n"/>
      <c r="BH153" s="11" t="n"/>
      <c r="BI153" s="11" t="n"/>
      <c r="BJ153" s="11" t="n"/>
      <c r="BK153" s="12" t="n"/>
      <c r="BL153" s="11" t="n"/>
      <c r="BM153" s="11" t="n"/>
      <c r="BN153" s="11" t="n"/>
      <c r="BO153" s="11" t="n"/>
      <c r="BP153" s="12" t="n"/>
      <c r="BQ153" s="11" t="n"/>
      <c r="BR153" s="11" t="n"/>
      <c r="BS153" s="11" t="n"/>
      <c r="BT153" s="11" t="n"/>
      <c r="BU153" s="12" t="n"/>
      <c r="BV153" s="11" t="n"/>
      <c r="BW153" s="11" t="n"/>
      <c r="BX153" s="11" t="n"/>
      <c r="BY153" s="11" t="n"/>
      <c r="BZ153" s="12" t="n"/>
      <c r="CA153" s="11" t="n"/>
      <c r="CB153" s="11" t="n"/>
      <c r="CC153" s="11" t="n"/>
      <c r="CD153" s="11" t="n"/>
      <c r="CE153" s="12" t="n"/>
      <c r="CF153" s="11" t="n"/>
      <c r="CG153" s="11" t="n"/>
      <c r="CH153" s="11" t="n"/>
      <c r="CI153" s="11" t="n"/>
      <c r="CJ153" s="12" t="n"/>
      <c r="CK153" s="11" t="n"/>
      <c r="CL153" s="11" t="n"/>
      <c r="CM153" s="11" t="n"/>
      <c r="CN153" s="11" t="n"/>
      <c r="CO153" s="12" t="n"/>
      <c r="CP153" s="11" t="n"/>
      <c r="CQ153" s="11" t="n"/>
      <c r="CR153" s="11" t="n"/>
      <c r="CS153" s="11" t="n"/>
      <c r="CT153" s="12" t="n"/>
      <c r="CU153" s="11" t="n"/>
      <c r="CV153" s="11" t="n"/>
      <c r="CW153" s="11" t="n"/>
      <c r="CX153" s="11" t="n"/>
      <c r="CY153" s="12" t="n"/>
    </row>
    <row r="154" hidden="1" outlineLevel="1">
      <c r="C154" s="57" t="inlineStr">
        <is>
          <t>Recurring asset sales (enter as -)</t>
        </is>
      </c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>
        <f>SUM(I154:L154)</f>
        <v>0</v>
      </c>
      <c r="N154" s="12" t="n"/>
      <c r="O154" s="12" t="n"/>
      <c r="P154" s="12" t="n"/>
      <c r="Q154" s="12" t="n"/>
      <c r="R154" s="12">
        <f>SUM(N154:Q154)</f>
        <v>0</v>
      </c>
      <c r="S154" s="12" t="n"/>
      <c r="T154" s="12" t="n"/>
      <c r="U154" s="12" t="n"/>
      <c r="V154" s="12" t="n"/>
      <c r="W154" s="12">
        <f>SUM(S154:V154)</f>
        <v>0</v>
      </c>
      <c r="X154" s="12" t="n"/>
      <c r="Y154" s="12" t="n"/>
      <c r="Z154" s="12" t="n"/>
      <c r="AA154" s="12" t="n"/>
      <c r="AB154" s="12">
        <f>SUM(X154:AA154)</f>
        <v>0</v>
      </c>
      <c r="AC154" s="12" t="n"/>
      <c r="AD154" s="12" t="n"/>
      <c r="AE154" s="12" t="n"/>
      <c r="AF154" s="11" t="n"/>
      <c r="AG154" s="12">
        <f>SUM(AC154:AF154)</f>
        <v>0</v>
      </c>
      <c r="AH154" s="11" t="n"/>
      <c r="AI154" s="11" t="n"/>
      <c r="AJ154" s="11">
        <f>0</f>
        <v>0</v>
      </c>
      <c r="AK154" s="11">
        <f>0</f>
        <v>0</v>
      </c>
      <c r="AL154" s="12" t="n"/>
      <c r="AM154" s="11">
        <f>0</f>
        <v>0</v>
      </c>
      <c r="AN154" s="11">
        <f>0</f>
        <v>0</v>
      </c>
      <c r="AO154" s="11">
        <f>0</f>
        <v>0</v>
      </c>
      <c r="AP154" s="11">
        <f>0</f>
        <v>0</v>
      </c>
      <c r="AQ154" s="12" t="n"/>
      <c r="AR154" s="11">
        <f>0</f>
        <v>0</v>
      </c>
      <c r="AS154" s="11">
        <f>0</f>
        <v>0</v>
      </c>
      <c r="AT154" s="11">
        <f>0</f>
        <v>0</v>
      </c>
      <c r="AU154" s="11">
        <f>0</f>
        <v>0</v>
      </c>
      <c r="AV154" s="12" t="n"/>
      <c r="AW154" s="11">
        <f>0</f>
        <v>0</v>
      </c>
      <c r="AX154" s="11">
        <f>0</f>
        <v>0</v>
      </c>
      <c r="AY154" s="11">
        <f>0</f>
        <v>0</v>
      </c>
      <c r="AZ154" s="11">
        <f>0</f>
        <v>0</v>
      </c>
      <c r="BA154" s="12" t="n"/>
      <c r="BB154" s="11">
        <f>0</f>
        <v>0</v>
      </c>
      <c r="BC154" s="11">
        <f>0</f>
        <v>0</v>
      </c>
      <c r="BD154" s="11">
        <f>0</f>
        <v>0</v>
      </c>
      <c r="BE154" s="11">
        <f>0</f>
        <v>0</v>
      </c>
      <c r="BF154" s="12" t="n"/>
      <c r="BG154" s="11" t="n"/>
      <c r="BH154" s="11" t="n"/>
      <c r="BI154" s="11" t="n"/>
      <c r="BJ154" s="11" t="n"/>
      <c r="BK154" s="12" t="n"/>
      <c r="BL154" s="11" t="n"/>
      <c r="BM154" s="11" t="n"/>
      <c r="BN154" s="11" t="n"/>
      <c r="BO154" s="11" t="n"/>
      <c r="BP154" s="12" t="n"/>
      <c r="BQ154" s="11" t="n"/>
      <c r="BR154" s="11" t="n"/>
      <c r="BS154" s="11" t="n"/>
      <c r="BT154" s="11" t="n"/>
      <c r="BU154" s="12" t="n"/>
      <c r="BV154" s="11" t="n"/>
      <c r="BW154" s="11" t="n"/>
      <c r="BX154" s="11" t="n"/>
      <c r="BY154" s="11" t="n"/>
      <c r="BZ154" s="12" t="n"/>
      <c r="CA154" s="11" t="n"/>
      <c r="CB154" s="11" t="n"/>
      <c r="CC154" s="11" t="n"/>
      <c r="CD154" s="11" t="n"/>
      <c r="CE154" s="12" t="n"/>
      <c r="CF154" s="11" t="n"/>
      <c r="CG154" s="11" t="n"/>
      <c r="CH154" s="11" t="n"/>
      <c r="CI154" s="11" t="n"/>
      <c r="CJ154" s="12" t="n"/>
      <c r="CK154" s="11" t="n"/>
      <c r="CL154" s="11" t="n"/>
      <c r="CM154" s="11" t="n"/>
      <c r="CN154" s="11" t="n"/>
      <c r="CO154" s="12" t="n"/>
      <c r="CP154" s="11" t="n"/>
      <c r="CQ154" s="11" t="n"/>
      <c r="CR154" s="11" t="n"/>
      <c r="CS154" s="11" t="n"/>
      <c r="CT154" s="12" t="n"/>
      <c r="CU154" s="11" t="n"/>
      <c r="CV154" s="11" t="n"/>
      <c r="CW154" s="11" t="n"/>
      <c r="CX154" s="11" t="n"/>
      <c r="CY154" s="12" t="n"/>
    </row>
    <row r="155" hidden="1" outlineLevel="1">
      <c r="C155" s="57" t="inlineStr">
        <is>
          <t>Depreciation</t>
        </is>
      </c>
      <c r="D155" s="12" t="n"/>
      <c r="E155" s="12" t="n"/>
      <c r="F155" s="12" t="n"/>
      <c r="G155" s="12" t="n"/>
      <c r="H155" s="12" t="n"/>
      <c r="I155" s="12">
        <f>I55</f>
        <v>-416</v>
      </c>
      <c r="J155" s="12">
        <f>J55</f>
        <v>-402</v>
      </c>
      <c r="K155" s="12">
        <f>K55</f>
        <v>-559</v>
      </c>
      <c r="L155" s="12">
        <f>L55</f>
        <v>-432</v>
      </c>
      <c r="M155" s="12" t="n"/>
      <c r="N155" s="12">
        <f>N55</f>
        <v>-436</v>
      </c>
      <c r="O155" s="12">
        <f>O55</f>
        <v>-438</v>
      </c>
      <c r="P155" s="12">
        <f>P55</f>
        <v>-594</v>
      </c>
      <c r="Q155" s="12">
        <f>Q55</f>
        <v>-447</v>
      </c>
      <c r="R155" s="12" t="n"/>
      <c r="S155" s="12">
        <f>S55</f>
        <v>-470</v>
      </c>
      <c r="T155" s="12">
        <f>T55</f>
        <v>-472</v>
      </c>
      <c r="U155" s="12">
        <f>U55</f>
        <v>-688</v>
      </c>
      <c r="V155" s="12">
        <f>V55</f>
        <v>-501</v>
      </c>
      <c r="W155" s="12" t="n"/>
      <c r="X155" s="12">
        <f>X55</f>
        <v>-514</v>
      </c>
      <c r="Y155" s="12">
        <f>Y55</f>
        <v>-516</v>
      </c>
      <c r="Z155" s="12">
        <f>Z55</f>
        <v>-706</v>
      </c>
      <c r="AA155" s="12">
        <f>AA55</f>
        <v>-548</v>
      </c>
      <c r="AB155" s="12" t="n"/>
      <c r="AC155" s="12">
        <f>AC55</f>
        <v>-552</v>
      </c>
      <c r="AD155" s="12">
        <f>AD55</f>
        <v>-552</v>
      </c>
      <c r="AE155" s="12">
        <f>AE55</f>
        <v>-774</v>
      </c>
      <c r="AF155" s="12">
        <f>AF55</f>
        <v>-597</v>
      </c>
      <c r="AG155" s="12" t="n"/>
      <c r="AH155" s="12">
        <f>AH55</f>
        <v>-597</v>
      </c>
      <c r="AI155" s="12">
        <f>AI55</f>
        <v>-597</v>
      </c>
      <c r="AJ155" s="12">
        <f>AJ55</f>
        <v>-818.780006287513</v>
      </c>
      <c r="AK155" s="12">
        <f>AK55</f>
        <v>-639.649309197196</v>
      </c>
      <c r="AL155" s="12" t="n"/>
      <c r="AM155" s="12">
        <f>AM55</f>
        <v>-661.412230112726</v>
      </c>
      <c r="AN155" s="12">
        <f>AN55</f>
        <v>-670.250446903749</v>
      </c>
      <c r="AO155" s="12">
        <f>AO55</f>
        <v>-892.817187674684</v>
      </c>
      <c r="AP155" s="12">
        <f>AP55</f>
        <v>-697.488816226612</v>
      </c>
      <c r="AQ155" s="12" t="n"/>
      <c r="AR155" s="12">
        <f>AR55</f>
        <v>-717.912561517561</v>
      </c>
      <c r="AS155" s="12">
        <f>AS55</f>
        <v>-727.505772176229</v>
      </c>
      <c r="AT155" s="12">
        <f>AT55</f>
        <v>-969.085004765026</v>
      </c>
      <c r="AU155" s="12">
        <f>AU55</f>
        <v>-757.070945908812</v>
      </c>
      <c r="AV155" s="12" t="n"/>
      <c r="AW155" s="12">
        <f>AW55</f>
        <v>-775.649801872539</v>
      </c>
      <c r="AX155" s="12">
        <f>AX55</f>
        <v>-786.014534773978</v>
      </c>
      <c r="AY155" s="12">
        <f>AY55</f>
        <v>-1047.0224818949</v>
      </c>
      <c r="AZ155" s="12">
        <f>AZ55</f>
        <v>-817.957451470587</v>
      </c>
      <c r="BA155" s="12" t="n"/>
      <c r="BB155" s="12">
        <f>BB55</f>
        <v>-834.152240209472</v>
      </c>
      <c r="BC155" s="12">
        <f>BC55</f>
        <v>-845.298720422625</v>
      </c>
      <c r="BD155" s="12">
        <f>BD55</f>
        <v>-1125.99287296128</v>
      </c>
      <c r="BE155" s="12">
        <f>BE55</f>
        <v>-879.650892571674</v>
      </c>
      <c r="BF155" s="12" t="n"/>
      <c r="BG155" s="12" t="n"/>
      <c r="BH155" s="12" t="n"/>
      <c r="BI155" s="12" t="n"/>
      <c r="BJ155" s="12" t="n"/>
      <c r="BK155" s="12" t="n"/>
      <c r="BL155" s="12" t="n"/>
      <c r="BM155" s="12" t="n"/>
      <c r="BN155" s="12" t="n"/>
      <c r="BO155" s="12" t="n"/>
      <c r="BP155" s="12" t="n"/>
      <c r="BQ155" s="12" t="n"/>
      <c r="BR155" s="12" t="n"/>
      <c r="BS155" s="12" t="n"/>
      <c r="BT155" s="12" t="n"/>
      <c r="BU155" s="12" t="n"/>
      <c r="BV155" s="12" t="n"/>
      <c r="BW155" s="12" t="n"/>
      <c r="BX155" s="12" t="n"/>
      <c r="BY155" s="12" t="n"/>
      <c r="BZ155" s="12" t="n"/>
      <c r="CA155" s="12" t="n"/>
      <c r="CB155" s="12" t="n"/>
      <c r="CC155" s="12" t="n"/>
      <c r="CD155" s="12" t="n"/>
      <c r="CE155" s="12" t="n"/>
      <c r="CF155" s="12" t="n"/>
      <c r="CG155" s="12" t="n"/>
      <c r="CH155" s="12" t="n"/>
      <c r="CI155" s="12" t="n"/>
      <c r="CJ155" s="12" t="n"/>
      <c r="CK155" s="12" t="n"/>
      <c r="CL155" s="12" t="n"/>
      <c r="CM155" s="12" t="n"/>
      <c r="CN155" s="12" t="n"/>
      <c r="CO155" s="12" t="n"/>
      <c r="CP155" s="12" t="n"/>
      <c r="CQ155" s="12" t="n"/>
      <c r="CR155" s="12" t="n"/>
      <c r="CS155" s="12" t="n"/>
      <c r="CT155" s="12" t="n"/>
      <c r="CU155" s="12" t="n"/>
      <c r="CV155" s="12" t="n"/>
      <c r="CW155" s="12" t="n"/>
      <c r="CX155" s="12" t="n"/>
      <c r="CY155" s="12" t="n"/>
    </row>
    <row r="156" hidden="1" outlineLevel="1">
      <c r="C156" s="57" t="inlineStr">
        <is>
          <t>PP&amp;E</t>
        </is>
      </c>
      <c r="D156" s="12" t="n"/>
      <c r="E156" s="12" t="n"/>
      <c r="F156" s="12" t="n"/>
      <c r="G156" s="12" t="n"/>
      <c r="H156" s="12" t="n"/>
      <c r="I156" s="12">
        <f>I151</f>
        <v>22531</v>
      </c>
      <c r="J156" s="12">
        <f>J151</f>
        <v>23177</v>
      </c>
      <c r="K156" s="12">
        <f>K151</f>
        <v>23492</v>
      </c>
      <c r="L156" s="12">
        <f>L151</f>
        <v>23887</v>
      </c>
      <c r="M156" s="12" t="n"/>
      <c r="N156" s="12">
        <f>N151</f>
        <v>24052</v>
      </c>
      <c r="O156" s="12">
        <f>O151</f>
        <v>24143</v>
      </c>
      <c r="P156" s="12">
        <f>P151</f>
        <v>24646</v>
      </c>
      <c r="Q156" s="12">
        <f>Q151</f>
        <v>25144</v>
      </c>
      <c r="R156" s="12" t="n"/>
      <c r="S156" s="12">
        <f>S151</f>
        <v>25724</v>
      </c>
      <c r="T156" s="12">
        <f>T151</f>
        <v>25931</v>
      </c>
      <c r="U156" s="12">
        <f>U151</f>
        <v>26684</v>
      </c>
      <c r="V156" s="12">
        <f>V151</f>
        <v>27168</v>
      </c>
      <c r="W156" s="12" t="n"/>
      <c r="X156" s="12">
        <f>X151</f>
        <v>27601</v>
      </c>
      <c r="Y156" s="12">
        <f>Y151</f>
        <v>28062</v>
      </c>
      <c r="Z156" s="12">
        <f>Z151</f>
        <v>29032</v>
      </c>
      <c r="AA156" s="12">
        <f>Y156+SUM(AA153:AA155)</f>
        <v>28366</v>
      </c>
      <c r="AB156" s="12" t="n"/>
      <c r="AC156" s="12">
        <f>AC151</f>
        <v>29809</v>
      </c>
      <c r="AD156" s="12">
        <f>AD151</f>
        <v>30582</v>
      </c>
      <c r="AE156" s="12">
        <f>AE151</f>
        <v>31909</v>
      </c>
      <c r="AF156" s="12">
        <f>AF151</f>
        <v>32616</v>
      </c>
      <c r="AG156" s="12" t="n"/>
      <c r="AH156" s="12">
        <f>AH151</f>
        <v>33645</v>
      </c>
      <c r="AI156" s="12">
        <f>AI151</f>
        <v>34293</v>
      </c>
      <c r="AJ156" s="12">
        <f>AI156+SUM(AJ153:AJ155)</f>
        <v>35401.340189082</v>
      </c>
      <c r="AK156" s="12">
        <f>AJ156+SUM(AK153:AK155)</f>
        <v>36267.2004089917</v>
      </c>
      <c r="AL156" s="12" t="n"/>
      <c r="AM156" s="12">
        <f>AK156+SUM(AM153:AM155)</f>
        <v>37162.5199704795</v>
      </c>
      <c r="AN156" s="12">
        <f>AM156+SUM(AN153:AN155)</f>
        <v>38069.8033693767</v>
      </c>
      <c r="AO156" s="12">
        <f>AN156+SUM(AO153:AO155)</f>
        <v>39278.3638654858</v>
      </c>
      <c r="AP156" s="12">
        <f>AO156+SUM(AP153:AP155)</f>
        <v>40222.5184375599</v>
      </c>
      <c r="AQ156" s="12" t="n"/>
      <c r="AR156" s="12">
        <f>AP156+SUM(AR153:AR155)</f>
        <v>41194.3195783626</v>
      </c>
      <c r="AS156" s="12">
        <f>AR156+SUM(AS153:AS155)</f>
        <v>42179.1065527638</v>
      </c>
      <c r="AT156" s="12">
        <f>AS156+SUM(AT153:AT155)</f>
        <v>43490.9068521969</v>
      </c>
      <c r="AU156" s="12">
        <f>AT156+SUM(AU153:AU155)</f>
        <v>44515.7146746811</v>
      </c>
      <c r="AV156" s="12" t="n"/>
      <c r="AW156" s="12">
        <f>AU156+SUM(AW153:AW155)</f>
        <v>45565.671734535</v>
      </c>
      <c r="AX156" s="12">
        <f>AW156+SUM(AX153:AX155)</f>
        <v>46629.6589977837</v>
      </c>
      <c r="AY156" s="12">
        <f>AX156+SUM(AY153:AY155)</f>
        <v>48046.959233067</v>
      </c>
      <c r="AZ156" s="12">
        <f>AY156+SUM(AZ153:AZ155)</f>
        <v>49154.1859721938</v>
      </c>
      <c r="BA156" s="12" t="n"/>
      <c r="BB156" s="12">
        <f>AZ156+SUM(BB153:BB155)</f>
        <v>50283.3347600701</v>
      </c>
      <c r="BC156" s="12">
        <f>BB156+SUM(BC153:BC155)</f>
        <v>51427.5719622851</v>
      </c>
      <c r="BD156" s="12">
        <f>BC156+SUM(BD153:BD155)</f>
        <v>52951.7703356449</v>
      </c>
      <c r="BE156" s="12">
        <f>BD156+SUM(BE153:BE155)</f>
        <v>54142.5082983604</v>
      </c>
      <c r="BF156" s="12" t="n"/>
      <c r="BG156" s="12" t="n"/>
      <c r="BH156" s="12" t="n"/>
      <c r="BI156" s="12" t="n"/>
      <c r="BJ156" s="12" t="n"/>
      <c r="BK156" s="12" t="n"/>
      <c r="BL156" s="12" t="n"/>
      <c r="BM156" s="12" t="n"/>
      <c r="BN156" s="12" t="n"/>
      <c r="BO156" s="12" t="n"/>
      <c r="BP156" s="12" t="n"/>
      <c r="BQ156" s="12" t="n"/>
      <c r="BR156" s="12" t="n"/>
      <c r="BS156" s="12" t="n"/>
      <c r="BT156" s="12" t="n"/>
      <c r="BU156" s="12" t="n"/>
      <c r="BV156" s="12" t="n"/>
      <c r="BW156" s="12" t="n"/>
      <c r="BX156" s="12" t="n"/>
      <c r="BY156" s="12" t="n"/>
      <c r="BZ156" s="12" t="n"/>
      <c r="CA156" s="12" t="n"/>
      <c r="CB156" s="12" t="n"/>
      <c r="CC156" s="12" t="n"/>
      <c r="CD156" s="12" t="n"/>
      <c r="CE156" s="12" t="n"/>
      <c r="CF156" s="12" t="n"/>
      <c r="CG156" s="12" t="n"/>
      <c r="CH156" s="12" t="n"/>
      <c r="CI156" s="12" t="n"/>
      <c r="CJ156" s="12" t="n"/>
      <c r="CK156" s="12" t="n"/>
      <c r="CL156" s="12" t="n"/>
      <c r="CM156" s="12" t="n"/>
      <c r="CN156" s="12" t="n"/>
      <c r="CO156" s="12" t="n"/>
      <c r="CP156" s="12" t="n"/>
      <c r="CQ156" s="12" t="n"/>
      <c r="CR156" s="12" t="n"/>
      <c r="CS156" s="12" t="n"/>
      <c r="CT156" s="12" t="n"/>
      <c r="CU156" s="12" t="n"/>
      <c r="CV156" s="12" t="n"/>
      <c r="CW156" s="12" t="n"/>
      <c r="CX156" s="12" t="n"/>
      <c r="CY156" s="12" t="n"/>
    </row>
    <row r="157" hidden="1" outlineLevel="1">
      <c r="C157" s="57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>
        <f>IF(AJ15=0,"",AJ153/AJ15)</f>
        <v>0.020512942463408</v>
      </c>
      <c r="AK157" s="12">
        <f>IF(AK15=0,"",AK153/AK15)</f>
        <v>0.020512942463408</v>
      </c>
      <c r="AL157" s="12" t="n"/>
      <c r="AM157" s="12">
        <f>IF(AM15=0,"",AM153/AM15)</f>
        <v>0.020512942463408</v>
      </c>
      <c r="AN157" s="12">
        <f>IF(AN15=0,"",AN153/AN15)</f>
        <v>0.020512942463408</v>
      </c>
      <c r="AO157" s="12">
        <f>IF(AO15=0,"",AO153/AO15)</f>
        <v>0.020512942463408</v>
      </c>
      <c r="AP157" s="12">
        <f>IF(AP15=0,"",AP153/AP15)</f>
        <v>0.020512942463408</v>
      </c>
      <c r="AQ157" s="12" t="n"/>
      <c r="AR157" s="12">
        <f>IF(AR15=0,"",AR153/AR15)</f>
        <v>0.020512942463408</v>
      </c>
      <c r="AS157" s="12">
        <f>IF(AS15=0,"",AS153/AS15)</f>
        <v>0.020512942463408</v>
      </c>
      <c r="AT157" s="12">
        <f>IF(AT15=0,"",AT153/AT15)</f>
        <v>0.020512942463408</v>
      </c>
      <c r="AU157" s="12">
        <f>IF(AU15=0,"",AU153/AU15)</f>
        <v>0.020512942463408</v>
      </c>
      <c r="AV157" s="12" t="n"/>
      <c r="AW157" s="12">
        <f>IF(AW15=0,"",AW153/AW15)</f>
        <v>0.020512942463408</v>
      </c>
      <c r="AX157" s="12">
        <f>IF(AX15=0,"",AX153/AX15)</f>
        <v>0.020512942463408</v>
      </c>
      <c r="AY157" s="12">
        <f>IF(AY15=0,"",AY153/AY15)</f>
        <v>0.020512942463408</v>
      </c>
      <c r="AZ157" s="12">
        <f>IF(AZ15=0,"",AZ153/AZ15)</f>
        <v>0.020512942463408</v>
      </c>
      <c r="BA157" s="12" t="n"/>
      <c r="BB157" s="12">
        <f>IF(BB15=0,"",BB153/BB15)</f>
        <v>0.020512942463408</v>
      </c>
      <c r="BC157" s="12">
        <f>IF(BC15=0,"",BC153/BC15)</f>
        <v>0.020512942463408</v>
      </c>
      <c r="BD157" s="12">
        <f>IF(BD15=0,"",BD153/BD15)</f>
        <v>0.020512942463408</v>
      </c>
      <c r="BE157" s="12">
        <f>IF(BE15=0,"",BE153/BE15)</f>
        <v>0.020512942463408</v>
      </c>
      <c r="BF157" s="12" t="n"/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hidden="1" outlineLevel="1">
      <c r="C158" s="57" t="inlineStr">
        <is>
          <t>Capital expenditures (% Net Revenues)</t>
        </is>
      </c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58">
        <f>IFERROR(AF153/AF15,"")</f>
        <v>0.0193739135602538</v>
      </c>
      <c r="AG158" s="58">
        <f>IFERROR(AG153/AG15,"")</f>
        <v>0.0205249098580197</v>
      </c>
      <c r="AH158" s="58">
        <f>IFERROR(AH153/AH15,"")</f>
        <v>0.0233630759946549</v>
      </c>
      <c r="AI158" s="58">
        <f>IFERROR(AI153/AI15,"")</f>
        <v>0.0176528138159854</v>
      </c>
      <c r="AJ158" s="58">
        <f>IFERROR(AJ153/AJ15,"")</f>
        <v>0.020512942463408</v>
      </c>
      <c r="AK158" s="58">
        <f>IFERROR(AK153/AK15,"")</f>
        <v>0.020512942463408</v>
      </c>
      <c r="AL158" s="58">
        <f>IFERROR(AL153/AL15,"")</f>
        <v>0</v>
      </c>
      <c r="AM158" s="58">
        <f>IFERROR(AM153/AM15,"")</f>
        <v>0.020512942463408</v>
      </c>
      <c r="AN158" s="58">
        <f>IFERROR(AN153/AN15,"")</f>
        <v>0.020512942463408</v>
      </c>
      <c r="AO158" s="58">
        <f>IFERROR(AO153/AO15,"")</f>
        <v>0.020512942463408</v>
      </c>
      <c r="AP158" s="58">
        <f>IFERROR(AP153/AP15,"")</f>
        <v>0.020512942463408</v>
      </c>
      <c r="AQ158" s="58">
        <f>IFERROR(AQ153/AQ15,"")</f>
        <v>0</v>
      </c>
      <c r="AR158" s="58">
        <f>IFERROR(AR153/AR15,"")</f>
        <v>0.020512942463408</v>
      </c>
      <c r="AS158" s="58">
        <f>IFERROR(AS153/AS15,"")</f>
        <v>0.020512942463408</v>
      </c>
      <c r="AT158" s="58">
        <f>IFERROR(AT153/AT15,"")</f>
        <v>0.020512942463408</v>
      </c>
      <c r="AU158" s="58">
        <f>IFERROR(AU153/AU15,"")</f>
        <v>0.020512942463408</v>
      </c>
      <c r="AV158" s="58">
        <f>IFERROR(AV153/AV15,"")</f>
        <v>0</v>
      </c>
      <c r="AW158" s="58">
        <f>IFERROR(AW153/AW15,"")</f>
        <v>0.020512942463408</v>
      </c>
      <c r="AX158" s="58">
        <f>IFERROR(AX153/AX15,"")</f>
        <v>0.020512942463408</v>
      </c>
      <c r="AY158" s="58">
        <f>IFERROR(AY153/AY15,"")</f>
        <v>0.020512942463408</v>
      </c>
      <c r="AZ158" s="58">
        <f>IFERROR(AZ153/AZ15,"")</f>
        <v>0.020512942463408</v>
      </c>
      <c r="BA158" s="58">
        <f>IFERROR(BA153/BA15,"")</f>
        <v>0</v>
      </c>
      <c r="BB158" s="58">
        <f>IFERROR(BB153/BB15,"")</f>
        <v>0.020512942463408</v>
      </c>
      <c r="BC158" s="58">
        <f>IFERROR(BC153/BC15,"")</f>
        <v>0.020512942463408</v>
      </c>
      <c r="BD158" s="58">
        <f>IFERROR(BD153/BD15,"")</f>
        <v>0.020512942463408</v>
      </c>
      <c r="BE158" s="58">
        <f>IFERROR(BE153/BE15,"")</f>
        <v>0.020512942463408</v>
      </c>
      <c r="BF158" s="58">
        <f>IFERROR(BF153/BF15,"")</f>
        <v>0</v>
      </c>
      <c r="BG158" s="58" t="n"/>
      <c r="BH158" s="58" t="n"/>
      <c r="BI158" s="58" t="n"/>
      <c r="BJ158" s="58" t="n"/>
      <c r="BK158" s="58" t="n"/>
      <c r="BL158" s="58" t="n"/>
      <c r="BM158" s="58" t="n"/>
      <c r="BN158" s="58" t="n"/>
      <c r="BO158" s="58" t="n"/>
      <c r="BP158" s="58" t="n"/>
      <c r="BQ158" s="58" t="n"/>
      <c r="BR158" s="58" t="n"/>
      <c r="BS158" s="58" t="n"/>
      <c r="BT158" s="58" t="n"/>
      <c r="BU158" s="58" t="n"/>
      <c r="BV158" s="58" t="n"/>
      <c r="BW158" s="58" t="n"/>
      <c r="BX158" s="58" t="n"/>
      <c r="BY158" s="58" t="n"/>
      <c r="BZ158" s="58" t="n"/>
      <c r="CA158" s="58" t="n"/>
      <c r="CB158" s="58" t="n"/>
      <c r="CC158" s="58" t="n"/>
      <c r="CD158" s="58" t="n"/>
      <c r="CE158" s="58" t="n"/>
      <c r="CF158" s="58" t="n"/>
      <c r="CG158" s="58" t="n"/>
      <c r="CH158" s="58" t="n"/>
      <c r="CI158" s="58" t="n"/>
      <c r="CJ158" s="58" t="n"/>
      <c r="CK158" s="58" t="n"/>
      <c r="CL158" s="58" t="n"/>
      <c r="CM158" s="58" t="n"/>
      <c r="CN158" s="58" t="n"/>
      <c r="CO158" s="58" t="n"/>
      <c r="CP158" s="58" t="n"/>
      <c r="CQ158" s="58" t="n"/>
      <c r="CR158" s="58" t="n"/>
      <c r="CS158" s="58" t="n"/>
      <c r="CT158" s="58" t="n"/>
      <c r="CU158" s="58" t="n"/>
      <c r="CV158" s="58" t="n"/>
      <c r="CW158" s="58" t="n"/>
      <c r="CX158" s="58" t="n"/>
      <c r="CY158" s="58" t="n"/>
    </row>
    <row r="159" hidden="1" outlineLevel="1">
      <c r="C159" s="57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hidden="1" outlineLevel="1">
      <c r="C160" s="57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  <c r="AL160" s="12" t="n"/>
      <c r="AM160" s="12" t="n"/>
      <c r="AN160" s="12" t="n"/>
      <c r="AO160" s="12" t="n"/>
      <c r="AP160" s="12" t="n"/>
      <c r="AQ160" s="12" t="n"/>
      <c r="AR160" s="12" t="n"/>
      <c r="AS160" s="12" t="n"/>
      <c r="AT160" s="12" t="n"/>
      <c r="AU160" s="12" t="n"/>
      <c r="AV160" s="12" t="n"/>
      <c r="AW160" s="12" t="n"/>
      <c r="AX160" s="12" t="n"/>
      <c r="AY160" s="12" t="n"/>
      <c r="AZ160" s="12" t="n"/>
      <c r="BA160" s="12" t="n"/>
      <c r="BB160" s="12" t="n"/>
      <c r="BC160" s="12" t="n"/>
      <c r="BD160" s="12" t="n"/>
      <c r="BE160" s="12" t="n"/>
      <c r="BF160" s="12" t="n"/>
      <c r="BG160" s="12" t="n"/>
      <c r="BH160" s="12" t="n"/>
      <c r="BI160" s="12" t="n"/>
      <c r="BJ160" s="12" t="n"/>
      <c r="BK160" s="12" t="n"/>
      <c r="BL160" s="12" t="n"/>
      <c r="BM160" s="12" t="n"/>
      <c r="BN160" s="12" t="n"/>
      <c r="BO160" s="12" t="n"/>
      <c r="BP160" s="12" t="n"/>
      <c r="BQ160" s="12" t="n"/>
      <c r="BR160" s="12" t="n"/>
      <c r="BS160" s="12" t="n"/>
      <c r="BT160" s="12" t="n"/>
      <c r="BU160" s="12" t="n"/>
      <c r="BV160" s="12" t="n"/>
      <c r="BW160" s="12" t="n"/>
      <c r="BX160" s="12" t="n"/>
      <c r="BY160" s="12" t="n"/>
      <c r="BZ160" s="12" t="n"/>
      <c r="CA160" s="12" t="n"/>
      <c r="CB160" s="12" t="n"/>
      <c r="CC160" s="12" t="n"/>
      <c r="CD160" s="12" t="n"/>
      <c r="CE160" s="12" t="n"/>
      <c r="CF160" s="12" t="n"/>
      <c r="CG160" s="12" t="n"/>
      <c r="CH160" s="12" t="n"/>
      <c r="CI160" s="12" t="n"/>
      <c r="CJ160" s="12" t="n"/>
      <c r="CK160" s="12" t="n"/>
      <c r="CL160" s="12" t="n"/>
      <c r="CM160" s="12" t="n"/>
      <c r="CN160" s="12" t="n"/>
      <c r="CO160" s="12" t="n"/>
      <c r="CP160" s="12" t="n"/>
      <c r="CQ160" s="12" t="n"/>
      <c r="CR160" s="12" t="n"/>
      <c r="CS160" s="12" t="n"/>
      <c r="CT160" s="12" t="n"/>
      <c r="CU160" s="12" t="n"/>
      <c r="CV160" s="12" t="n"/>
      <c r="CW160" s="12" t="n"/>
      <c r="CX160" s="12" t="n"/>
      <c r="CY160" s="12" t="n"/>
    </row>
    <row r="161" collapsed="1">
      <c r="C161" s="14" t="inlineStr">
        <is>
          <t>Right-of-use-assets</t>
        </is>
      </c>
      <c r="D161" s="46" t="n"/>
      <c r="E161" s="46" t="n"/>
      <c r="F161" s="46" t="n"/>
      <c r="G161" s="46" t="n"/>
      <c r="H161" s="12" t="n"/>
      <c r="I161" s="46">
        <f>'Inputs (2)'!D23</f>
        <v>2887</v>
      </c>
      <c r="J161" s="46">
        <f>'Inputs (2)'!E23</f>
        <v>2875</v>
      </c>
      <c r="K161" s="46">
        <f>'Inputs (2)'!F23</f>
        <v>2890</v>
      </c>
      <c r="L161" s="46">
        <f>'Inputs (2)'!G23</f>
        <v>2903</v>
      </c>
      <c r="M161" s="12">
        <f>'Inputs (2)'!H23</f>
        <v>2903</v>
      </c>
      <c r="N161" s="46">
        <f>'Inputs (2)'!I23</f>
        <v>2840</v>
      </c>
      <c r="O161" s="46">
        <f>'Inputs (2)'!J23</f>
        <v>2731</v>
      </c>
      <c r="P161" s="46">
        <f>'Inputs (2)'!K23</f>
        <v>2774</v>
      </c>
      <c r="Q161" s="46">
        <f>'Inputs (2)'!L23</f>
        <v>2787</v>
      </c>
      <c r="R161" s="12">
        <f>'Inputs (2)'!M23</f>
        <v>2787</v>
      </c>
      <c r="S161" s="46">
        <f>'Inputs (2)'!N23</f>
        <v>2859</v>
      </c>
      <c r="T161" s="46">
        <f>'Inputs (2)'!O23</f>
        <v>2806</v>
      </c>
      <c r="U161" s="46">
        <f>'Inputs (2)'!P23</f>
        <v>2713</v>
      </c>
      <c r="V161" s="46">
        <f>'Inputs (2)'!Q23</f>
        <v>2672</v>
      </c>
      <c r="W161" s="12">
        <f>'Inputs (2)'!R23</f>
        <v>2672</v>
      </c>
      <c r="X161" s="46">
        <f>'Inputs (2)'!S23</f>
        <v>2740</v>
      </c>
      <c r="Y161" s="46">
        <f>'Inputs (2)'!T23</f>
        <v>2643</v>
      </c>
      <c r="Z161" s="46">
        <f>'Inputs (2)'!U23</f>
        <v>2617</v>
      </c>
      <c r="AA161" s="46">
        <f>'Inputs (2)'!V23</f>
        <v>2539</v>
      </c>
      <c r="AB161" s="12">
        <f>'Inputs (2)'!W23</f>
        <v>2539</v>
      </c>
      <c r="AC161" s="46">
        <f>'Inputs (2)'!X23</f>
        <v>2531</v>
      </c>
      <c r="AD161" s="46">
        <f>'Inputs (2)'!Y23</f>
        <v>2718</v>
      </c>
      <c r="AE161" s="46">
        <f>'Inputs (2)'!Z23</f>
        <v>2725</v>
      </c>
      <c r="AF161" s="46">
        <f>'Inputs (2)'!AA23</f>
        <v>2730</v>
      </c>
      <c r="AG161" s="12">
        <f>'Inputs (2)'!AB23</f>
        <v>2730</v>
      </c>
      <c r="AH161" s="12">
        <f>'Inputs (2)'!AC23</f>
        <v>2759</v>
      </c>
      <c r="AI161" s="12">
        <f>'Inputs (2)'!AD23</f>
        <v>2747</v>
      </c>
      <c r="AJ161" s="12">
        <f>AI161</f>
        <v>2747</v>
      </c>
      <c r="AK161" s="12">
        <f>AJ161</f>
        <v>2747</v>
      </c>
      <c r="AL161" s="12">
        <f>AK161</f>
        <v>2747</v>
      </c>
      <c r="AM161" s="12">
        <f>AL161</f>
        <v>2747</v>
      </c>
      <c r="AN161" s="12">
        <f>AM161</f>
        <v>2747</v>
      </c>
      <c r="AO161" s="12">
        <f>AN161</f>
        <v>2747</v>
      </c>
      <c r="AP161" s="12">
        <f>AO161</f>
        <v>2747</v>
      </c>
      <c r="AQ161" s="12">
        <f>AP161</f>
        <v>2747</v>
      </c>
      <c r="AR161" s="12">
        <f>AQ161</f>
        <v>2747</v>
      </c>
      <c r="AS161" s="12">
        <f>AR161</f>
        <v>2747</v>
      </c>
      <c r="AT161" s="12">
        <f>AS161</f>
        <v>2747</v>
      </c>
      <c r="AU161" s="12">
        <f>AT161</f>
        <v>2747</v>
      </c>
      <c r="AV161" s="12">
        <f>AU161</f>
        <v>2747</v>
      </c>
      <c r="AW161" s="12">
        <f>AV161</f>
        <v>2747</v>
      </c>
      <c r="AX161" s="12">
        <f>AW161</f>
        <v>2747</v>
      </c>
      <c r="AY161" s="12">
        <f>AX161</f>
        <v>2747</v>
      </c>
      <c r="AZ161" s="12">
        <f>AY161</f>
        <v>2747</v>
      </c>
      <c r="BA161" s="12">
        <f>AZ161</f>
        <v>2747</v>
      </c>
      <c r="BB161" s="12">
        <f>BA161</f>
        <v>2747</v>
      </c>
      <c r="BC161" s="12">
        <f>BB161</f>
        <v>2747</v>
      </c>
      <c r="BD161" s="12">
        <f>BC161</f>
        <v>2747</v>
      </c>
      <c r="BE161" s="12">
        <f>BD161</f>
        <v>2747</v>
      </c>
      <c r="BF161" s="12">
        <f>BE161</f>
        <v>2747</v>
      </c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hidden="1" outlineLevel="1">
      <c r="C162" s="59" t="inlineStr">
        <is>
          <t>%(Var.)</t>
        </is>
      </c>
      <c r="D162" s="12" t="n"/>
      <c r="E162" s="40" t="n"/>
      <c r="F162" s="40" t="n"/>
      <c r="G162" s="40" t="n"/>
      <c r="H162" s="12" t="n"/>
      <c r="I162" s="40" t="str">
        <f>""</f>
        <v/>
      </c>
      <c r="J162" s="40">
        <f>IFERROR(IF(I161=0,"",J161/I161-1),"")</f>
        <v>-0.00415656390717012</v>
      </c>
      <c r="K162" s="40">
        <f>IFERROR(IF(J161=0,"",K161/J161-1),"")</f>
        <v>0.00521739130434784</v>
      </c>
      <c r="L162" s="40">
        <f>IFERROR(IF(K161=0,"",L161/K161-1),"")</f>
        <v>0.00449826989619373</v>
      </c>
      <c r="M162" s="12">
        <f>IFERROR(IF(L161=0,"",M161/L161-1),"")</f>
        <v>0</v>
      </c>
      <c r="N162" s="40">
        <f>IFERROR(IF(M161=0,"",N161/M161-1),"")</f>
        <v>-0.0217016879090596</v>
      </c>
      <c r="O162" s="40">
        <f>IFERROR(IF(N161=0,"",O161/N161-1),"")</f>
        <v>-0.0383802816901409</v>
      </c>
      <c r="P162" s="40">
        <f>IFERROR(IF(O161=0,"",P161/O161-1),"")</f>
        <v>0.015745148297327</v>
      </c>
      <c r="Q162" s="40">
        <f>IFERROR(IF(P161=0,"",Q161/P161-1),"")</f>
        <v>0.00468637346791634</v>
      </c>
      <c r="R162" s="12">
        <f>IFERROR(IF(Q161=0,"",R161/Q161-1),"")</f>
        <v>0</v>
      </c>
      <c r="S162" s="40">
        <f>IFERROR(IF(R161=0,"",S161/R161-1),"")</f>
        <v>0.0258342303552206</v>
      </c>
      <c r="T162" s="40">
        <f>IFERROR(IF(S161=0,"",T161/S161-1),"")</f>
        <v>-0.018537950332284</v>
      </c>
      <c r="U162" s="40">
        <f>IFERROR(IF(T161=0,"",U161/T161-1),"")</f>
        <v>-0.0331432644333571</v>
      </c>
      <c r="V162" s="40">
        <f>IFERROR(IF(U161=0,"",V161/U161-1),"")</f>
        <v>-0.0151124216734243</v>
      </c>
      <c r="W162" s="12">
        <f>IFERROR(IF(V161=0,"",W161/V161-1),"")</f>
        <v>0</v>
      </c>
      <c r="X162" s="40">
        <f>IFERROR(IF(W161=0,"",X161/W161-1),"")</f>
        <v>0.0254491017964071</v>
      </c>
      <c r="Y162" s="40">
        <f>IFERROR(IF(X161=0,"",Y161/X161-1),"")</f>
        <v>-0.0354014598540146</v>
      </c>
      <c r="Z162" s="40">
        <f>IFERROR(IF(Y161=0,"",Z161/Y161-1),"")</f>
        <v>-0.00983730609156264</v>
      </c>
      <c r="AA162" s="40">
        <f>IFERROR(IF(Z161=0,"",AA161/Z161-1),"")</f>
        <v>-0.0298051203668323</v>
      </c>
      <c r="AB162" s="12">
        <f>IFERROR(IF(AA161=0,"",AB161/AA161-1),"")</f>
        <v>0</v>
      </c>
      <c r="AC162" s="40">
        <f>IFERROR(IF(AB161=0,"",AC161/AB161-1),"")</f>
        <v>-0.00315084679007482</v>
      </c>
      <c r="AD162" s="40">
        <f>IFERROR(IF(AC161=0,"",AD161/AC161-1),"")</f>
        <v>0.0738838403792967</v>
      </c>
      <c r="AE162" s="40">
        <f>IFERROR(IF(AD161=0,"",AE161/AD161-1),"")</f>
        <v>0.00257542310522441</v>
      </c>
      <c r="AF162" s="55">
        <f>IFERROR(IF(AE161=0,"",AF161/AE161-1),"")</f>
        <v>0.00183486238532105</v>
      </c>
      <c r="AG162" s="12">
        <f>IFERROR(IF(AF161=0,"",AG161/AF161-1),"")</f>
        <v>0</v>
      </c>
      <c r="AH162" s="55">
        <f>IFERROR(IF(AG161=0,"",AH161/AG161-1),"")</f>
        <v>0.0106227106227106</v>
      </c>
      <c r="AI162" s="55">
        <f>IFERROR(IF(AH161=0,"",AI161/AH161-1),"")</f>
        <v>-0.00434940195723088</v>
      </c>
      <c r="AJ162" s="55">
        <f>IFERROR(IF(AI161=0,"",AJ161/AI161-1),"")</f>
        <v>0</v>
      </c>
      <c r="AK162" s="55">
        <f>IFERROR(IF(AJ161=0,"",AK161/AJ161-1),"")</f>
        <v>0</v>
      </c>
      <c r="AL162" s="12">
        <f>IFERROR(IF(AK161=0,"",AL161/AK161-1),"")</f>
        <v>0</v>
      </c>
      <c r="AM162" s="55">
        <f>IFERROR(IF(AL161=0,"",AM161/AL161-1),"")</f>
        <v>0</v>
      </c>
      <c r="AN162" s="55">
        <f>IFERROR(IF(AM161=0,"",AN161/AM161-1),"")</f>
        <v>0</v>
      </c>
      <c r="AO162" s="55">
        <f>IFERROR(IF(AN161=0,"",AO161/AN161-1),"")</f>
        <v>0</v>
      </c>
      <c r="AP162" s="55">
        <f>IFERROR(IF(AO161=0,"",AP161/AO161-1),"")</f>
        <v>0</v>
      </c>
      <c r="AQ162" s="12">
        <f>IFERROR(IF(AP161=0,"",AQ161/AP161-1),"")</f>
        <v>0</v>
      </c>
      <c r="AR162" s="55">
        <f>IFERROR(IF(AQ161=0,"",AR161/AQ161-1),"")</f>
        <v>0</v>
      </c>
      <c r="AS162" s="55">
        <f>IFERROR(IF(AR161=0,"",AS161/AR161-1),"")</f>
        <v>0</v>
      </c>
      <c r="AT162" s="55">
        <f>IFERROR(IF(AS161=0,"",AT161/AS161-1),"")</f>
        <v>0</v>
      </c>
      <c r="AU162" s="55">
        <f>IFERROR(IF(AT161=0,"",AU161/AT161-1),"")</f>
        <v>0</v>
      </c>
      <c r="AV162" s="12">
        <f>IFERROR(IF(AU161=0,"",AV161/AU161-1),"")</f>
        <v>0</v>
      </c>
      <c r="AW162" s="55">
        <f>IFERROR(IF(AV161=0,"",AW161/AV161-1),"")</f>
        <v>0</v>
      </c>
      <c r="AX162" s="55">
        <f>IFERROR(IF(AW161=0,"",AX161/AW161-1),"")</f>
        <v>0</v>
      </c>
      <c r="AY162" s="55">
        <f>IFERROR(IF(AX161=0,"",AY161/AX161-1),"")</f>
        <v>0</v>
      </c>
      <c r="AZ162" s="55">
        <f>IFERROR(IF(AY161=0,"",AZ161/AY161-1),"")</f>
        <v>0</v>
      </c>
      <c r="BA162" s="12">
        <f>IFERROR(IF(AZ161=0,"",BA161/AZ161-1),"")</f>
        <v>0</v>
      </c>
      <c r="BB162" s="55">
        <f>IFERROR(IF(BA161=0,"",BB161/BA161-1),"")</f>
        <v>0</v>
      </c>
      <c r="BC162" s="55">
        <f>IFERROR(IF(BB161=0,"",BC161/BB161-1),"")</f>
        <v>0</v>
      </c>
      <c r="BD162" s="55">
        <f>IFERROR(IF(BC161=0,"",BD161/BC161-1),"")</f>
        <v>0</v>
      </c>
      <c r="BE162" s="55">
        <f>IFERROR(IF(BD161=0,"",BE161/BD161-1),"")</f>
        <v>0</v>
      </c>
      <c r="BF162" s="12">
        <f>IFERROR(IF(BE161=0,"",BF161/BE161-1),"")</f>
        <v>0</v>
      </c>
      <c r="BG162" s="55" t="n"/>
      <c r="BH162" s="55" t="n"/>
      <c r="BI162" s="55" t="n"/>
      <c r="BJ162" s="55" t="n"/>
      <c r="BK162" s="12" t="n"/>
      <c r="BL162" s="55" t="n"/>
      <c r="BM162" s="55" t="n"/>
      <c r="BN162" s="55" t="n"/>
      <c r="BO162" s="55" t="n"/>
      <c r="BP162" s="12" t="n"/>
      <c r="BQ162" s="55" t="n"/>
      <c r="BR162" s="55" t="n"/>
      <c r="BS162" s="55" t="n"/>
      <c r="BT162" s="55" t="n"/>
      <c r="BU162" s="12" t="n"/>
      <c r="BV162" s="55" t="n"/>
      <c r="BW162" s="55" t="n"/>
      <c r="BX162" s="55" t="n"/>
      <c r="BY162" s="55" t="n"/>
      <c r="BZ162" s="12" t="n"/>
      <c r="CA162" s="55" t="n"/>
      <c r="CB162" s="55" t="n"/>
      <c r="CC162" s="55" t="n"/>
      <c r="CD162" s="55" t="n"/>
      <c r="CE162" s="12" t="n"/>
      <c r="CF162" s="55" t="n"/>
      <c r="CG162" s="55" t="n"/>
      <c r="CH162" s="55" t="n"/>
      <c r="CI162" s="55" t="n"/>
      <c r="CJ162" s="12" t="n"/>
      <c r="CK162" s="55" t="n"/>
      <c r="CL162" s="55" t="n"/>
      <c r="CM162" s="55" t="n"/>
      <c r="CN162" s="55" t="n"/>
      <c r="CO162" s="12" t="n"/>
      <c r="CP162" s="55" t="n"/>
      <c r="CQ162" s="55" t="n"/>
      <c r="CR162" s="55" t="n"/>
      <c r="CS162" s="55" t="n"/>
      <c r="CT162" s="12" t="n"/>
      <c r="CU162" s="55" t="n"/>
      <c r="CV162" s="55" t="n"/>
      <c r="CW162" s="55" t="n"/>
      <c r="CX162" s="55" t="n"/>
      <c r="CY162" s="12" t="n"/>
    </row>
    <row r="163" hidden="1" outlineLevel="1">
      <c r="C163" s="57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 t="n"/>
      <c r="AK163" s="12" t="n"/>
      <c r="AL163" s="12" t="n"/>
      <c r="AM163" s="12" t="n"/>
      <c r="AN163" s="12" t="n"/>
      <c r="AO163" s="12" t="n"/>
      <c r="AP163" s="12" t="n"/>
      <c r="AQ163" s="12" t="n"/>
      <c r="AR163" s="12" t="n"/>
      <c r="AS163" s="12" t="n"/>
      <c r="AT163" s="12" t="n"/>
      <c r="AU163" s="12" t="n"/>
      <c r="AV163" s="12" t="n"/>
      <c r="AW163" s="12" t="n"/>
      <c r="AX163" s="12" t="n"/>
      <c r="AY163" s="12" t="n"/>
      <c r="AZ163" s="12" t="n"/>
      <c r="BA163" s="12" t="n"/>
      <c r="BB163" s="12" t="n"/>
      <c r="BC163" s="12" t="n"/>
      <c r="BD163" s="12" t="n"/>
      <c r="BE163" s="12" t="n"/>
      <c r="BF163" s="12" t="n"/>
      <c r="BG163" s="12" t="n"/>
      <c r="BH163" s="12" t="n"/>
      <c r="BI163" s="12" t="n"/>
      <c r="BJ163" s="12" t="n"/>
      <c r="BK163" s="12" t="n"/>
      <c r="BL163" s="12" t="n"/>
      <c r="BM163" s="12" t="n"/>
      <c r="BN163" s="12" t="n"/>
      <c r="BO163" s="12" t="n"/>
      <c r="BP163" s="12" t="n"/>
      <c r="BQ163" s="12" t="n"/>
      <c r="BR163" s="12" t="n"/>
      <c r="BS163" s="12" t="n"/>
      <c r="BT163" s="12" t="n"/>
      <c r="BU163" s="12" t="n"/>
      <c r="BV163" s="12" t="n"/>
      <c r="BW163" s="12" t="n"/>
      <c r="BX163" s="12" t="n"/>
      <c r="BY163" s="12" t="n"/>
      <c r="BZ163" s="12" t="n"/>
      <c r="CA163" s="12" t="n"/>
      <c r="CB163" s="12" t="n"/>
      <c r="CC163" s="12" t="n"/>
      <c r="CD163" s="12" t="n"/>
      <c r="CE163" s="12" t="n"/>
      <c r="CF163" s="12" t="n"/>
      <c r="CG163" s="12" t="n"/>
      <c r="CH163" s="12" t="n"/>
      <c r="CI163" s="12" t="n"/>
      <c r="CJ163" s="12" t="n"/>
      <c r="CK163" s="12" t="n"/>
      <c r="CL163" s="12" t="n"/>
      <c r="CM163" s="12" t="n"/>
      <c r="CN163" s="12" t="n"/>
      <c r="CO163" s="12" t="n"/>
      <c r="CP163" s="12" t="n"/>
      <c r="CQ163" s="12" t="n"/>
      <c r="CR163" s="12" t="n"/>
      <c r="CS163" s="12" t="n"/>
      <c r="CT163" s="12" t="n"/>
      <c r="CU163" s="12" t="n"/>
      <c r="CV163" s="12" t="n"/>
      <c r="CW163" s="12" t="n"/>
      <c r="CX163" s="12" t="n"/>
      <c r="CY163" s="12" t="n"/>
    </row>
    <row r="164" collapsed="1">
      <c r="C164" s="14" t="inlineStr">
        <is>
          <t>Goodwill</t>
        </is>
      </c>
      <c r="D164" s="46" t="n"/>
      <c r="E164" s="46" t="n"/>
      <c r="F164" s="46" t="n"/>
      <c r="G164" s="46" t="n"/>
      <c r="H164" s="12" t="n"/>
      <c r="I164" s="46">
        <f>'Inputs (2)'!D24</f>
        <v>0</v>
      </c>
      <c r="J164" s="46">
        <f>'Inputs (2)'!E24</f>
        <v>0</v>
      </c>
      <c r="K164" s="46">
        <f>'Inputs (2)'!F24</f>
        <v>0</v>
      </c>
      <c r="L164" s="46">
        <f>'Inputs (2)'!G24</f>
        <v>0</v>
      </c>
      <c r="M164" s="12">
        <f>'Inputs (2)'!H24</f>
        <v>0</v>
      </c>
      <c r="N164" s="46">
        <f>'Inputs (2)'!I24</f>
        <v>0</v>
      </c>
      <c r="O164" s="46">
        <f>'Inputs (2)'!J24</f>
        <v>0</v>
      </c>
      <c r="P164" s="46">
        <f>'Inputs (2)'!K24</f>
        <v>0</v>
      </c>
      <c r="Q164" s="46">
        <f>'Inputs (2)'!L24</f>
        <v>0</v>
      </c>
      <c r="R164" s="12">
        <f>'Inputs (2)'!M24</f>
        <v>0</v>
      </c>
      <c r="S164" s="46">
        <f>'Inputs (2)'!N24</f>
        <v>0</v>
      </c>
      <c r="T164" s="46">
        <f>'Inputs (2)'!O24</f>
        <v>0</v>
      </c>
      <c r="U164" s="46">
        <f>'Inputs (2)'!P24</f>
        <v>0</v>
      </c>
      <c r="V164" s="46">
        <f>'Inputs (2)'!Q24</f>
        <v>0</v>
      </c>
      <c r="W164" s="12">
        <f>'Inputs (2)'!R24</f>
        <v>0</v>
      </c>
      <c r="X164" s="46">
        <f>'Inputs (2)'!S24</f>
        <v>0</v>
      </c>
      <c r="Y164" s="46">
        <f>'Inputs (2)'!T24</f>
        <v>0</v>
      </c>
      <c r="Z164" s="46">
        <f>'Inputs (2)'!U24</f>
        <v>0</v>
      </c>
      <c r="AA164" s="46">
        <f>'Inputs (2)'!V24</f>
        <v>0</v>
      </c>
      <c r="AB164" s="12">
        <f>'Inputs (2)'!W24</f>
        <v>0</v>
      </c>
      <c r="AC164" s="46">
        <f>'Inputs (2)'!X24</f>
        <v>0</v>
      </c>
      <c r="AD164" s="46">
        <f>'Inputs (2)'!Y24</f>
        <v>0</v>
      </c>
      <c r="AE164" s="46">
        <f>'Inputs (2)'!Z24</f>
        <v>0</v>
      </c>
      <c r="AF164" s="46">
        <f>'Inputs (2)'!AA24</f>
        <v>0</v>
      </c>
      <c r="AG164" s="12">
        <f>'Inputs (2)'!AB24</f>
        <v>0</v>
      </c>
      <c r="AH164" s="12">
        <f>'Inputs (2)'!AC24</f>
        <v>0</v>
      </c>
      <c r="AI164" s="12">
        <f>'Inputs (2)'!AD24</f>
        <v>0</v>
      </c>
      <c r="AJ164" s="12">
        <f>AI164</f>
        <v>0</v>
      </c>
      <c r="AK164" s="12">
        <f>AJ164</f>
        <v>0</v>
      </c>
      <c r="AL164" s="12">
        <f>AK164</f>
        <v>0</v>
      </c>
      <c r="AM164" s="12">
        <f>AL164</f>
        <v>0</v>
      </c>
      <c r="AN164" s="12">
        <f>AM164</f>
        <v>0</v>
      </c>
      <c r="AO164" s="12">
        <f>AN164</f>
        <v>0</v>
      </c>
      <c r="AP164" s="12">
        <f>AO164</f>
        <v>0</v>
      </c>
      <c r="AQ164" s="12">
        <f>AP164</f>
        <v>0</v>
      </c>
      <c r="AR164" s="12">
        <f>AQ164</f>
        <v>0</v>
      </c>
      <c r="AS164" s="12">
        <f>AR164</f>
        <v>0</v>
      </c>
      <c r="AT164" s="12">
        <f>AS164</f>
        <v>0</v>
      </c>
      <c r="AU164" s="12">
        <f>AT164</f>
        <v>0</v>
      </c>
      <c r="AV164" s="12">
        <f>AU164</f>
        <v>0</v>
      </c>
      <c r="AW164" s="12">
        <f>AV164</f>
        <v>0</v>
      </c>
      <c r="AX164" s="12">
        <f>AW164</f>
        <v>0</v>
      </c>
      <c r="AY164" s="12">
        <f>AX164</f>
        <v>0</v>
      </c>
      <c r="AZ164" s="12">
        <f>AY164</f>
        <v>0</v>
      </c>
      <c r="BA164" s="12">
        <f>AZ164</f>
        <v>0</v>
      </c>
      <c r="BB164" s="12">
        <f>BA164</f>
        <v>0</v>
      </c>
      <c r="BC164" s="12">
        <f>BB164</f>
        <v>0</v>
      </c>
      <c r="BD164" s="12">
        <f>BC164</f>
        <v>0</v>
      </c>
      <c r="BE164" s="12">
        <f>BD164</f>
        <v>0</v>
      </c>
      <c r="BF164" s="12">
        <f>BE164</f>
        <v>0</v>
      </c>
      <c r="BG164" s="12" t="n"/>
      <c r="BH164" s="12" t="n"/>
      <c r="BI164" s="12" t="n"/>
      <c r="BJ164" s="12" t="n"/>
      <c r="BK164" s="12" t="n"/>
      <c r="BL164" s="12" t="n"/>
      <c r="BM164" s="12" t="n"/>
      <c r="BN164" s="12" t="n"/>
      <c r="BO164" s="12" t="n"/>
      <c r="BP164" s="12" t="n"/>
      <c r="BQ164" s="12" t="n"/>
      <c r="BR164" s="12" t="n"/>
      <c r="BS164" s="12" t="n"/>
      <c r="BT164" s="12" t="n"/>
      <c r="BU164" s="12" t="n"/>
      <c r="BV164" s="12" t="n"/>
      <c r="BW164" s="12" t="n"/>
      <c r="BX164" s="12" t="n"/>
      <c r="BY164" s="12" t="n"/>
      <c r="BZ164" s="12" t="n"/>
      <c r="CA164" s="12" t="n"/>
      <c r="CB164" s="12" t="n"/>
      <c r="CC164" s="12" t="n"/>
      <c r="CD164" s="12" t="n"/>
      <c r="CE164" s="12" t="n"/>
      <c r="CF164" s="12" t="n"/>
      <c r="CG164" s="12" t="n"/>
      <c r="CH164" s="12" t="n"/>
      <c r="CI164" s="12" t="n"/>
      <c r="CJ164" s="12" t="n"/>
      <c r="CK164" s="12" t="n"/>
      <c r="CL164" s="12" t="n"/>
      <c r="CM164" s="12" t="n"/>
      <c r="CN164" s="12" t="n"/>
      <c r="CO164" s="12" t="n"/>
      <c r="CP164" s="12" t="n"/>
      <c r="CQ164" s="12" t="n"/>
      <c r="CR164" s="12" t="n"/>
      <c r="CS164" s="12" t="n"/>
      <c r="CT164" s="12" t="n"/>
      <c r="CU164" s="12" t="n"/>
      <c r="CV164" s="12" t="n"/>
      <c r="CW164" s="12" t="n"/>
      <c r="CX164" s="12" t="n"/>
      <c r="CY164" s="12" t="n"/>
    </row>
    <row r="165">
      <c r="C165" s="14" t="inlineStr">
        <is>
          <t>Intangibles</t>
        </is>
      </c>
      <c r="D165" s="46" t="n"/>
      <c r="E165" s="46" t="n"/>
      <c r="F165" s="46" t="n"/>
      <c r="G165" s="46" t="n"/>
      <c r="H165" s="12" t="n"/>
      <c r="I165" s="46">
        <f>'Inputs (2)'!D25</f>
        <v>0</v>
      </c>
      <c r="J165" s="46">
        <f>'Inputs (2)'!E25</f>
        <v>0</v>
      </c>
      <c r="K165" s="46">
        <f>'Inputs (2)'!F25</f>
        <v>0</v>
      </c>
      <c r="L165" s="46">
        <f>'Inputs (2)'!G25</f>
        <v>0</v>
      </c>
      <c r="M165" s="12">
        <f>'Inputs (2)'!H25</f>
        <v>0</v>
      </c>
      <c r="N165" s="46">
        <f>'Inputs (2)'!I25</f>
        <v>0</v>
      </c>
      <c r="O165" s="46">
        <f>'Inputs (2)'!J25</f>
        <v>0</v>
      </c>
      <c r="P165" s="46">
        <f>'Inputs (2)'!K25</f>
        <v>0</v>
      </c>
      <c r="Q165" s="46">
        <f>'Inputs (2)'!L25</f>
        <v>0</v>
      </c>
      <c r="R165" s="12">
        <f>'Inputs (2)'!M25</f>
        <v>0</v>
      </c>
      <c r="S165" s="46">
        <f>'Inputs (2)'!N25</f>
        <v>0</v>
      </c>
      <c r="T165" s="46">
        <f>'Inputs (2)'!O25</f>
        <v>0</v>
      </c>
      <c r="U165" s="46">
        <f>'Inputs (2)'!P25</f>
        <v>0</v>
      </c>
      <c r="V165" s="46">
        <f>'Inputs (2)'!Q25</f>
        <v>0</v>
      </c>
      <c r="W165" s="12">
        <f>'Inputs (2)'!R25</f>
        <v>0</v>
      </c>
      <c r="X165" s="46">
        <f>'Inputs (2)'!S25</f>
        <v>0</v>
      </c>
      <c r="Y165" s="46">
        <f>'Inputs (2)'!T25</f>
        <v>0</v>
      </c>
      <c r="Z165" s="46">
        <f>'Inputs (2)'!U25</f>
        <v>0</v>
      </c>
      <c r="AA165" s="46">
        <f>'Inputs (2)'!V25</f>
        <v>0</v>
      </c>
      <c r="AB165" s="12">
        <f>'Inputs (2)'!W25</f>
        <v>0</v>
      </c>
      <c r="AC165" s="46">
        <f>'Inputs (2)'!X25</f>
        <v>0</v>
      </c>
      <c r="AD165" s="46">
        <f>'Inputs (2)'!Y25</f>
        <v>0</v>
      </c>
      <c r="AE165" s="46">
        <f>'Inputs (2)'!Z25</f>
        <v>0</v>
      </c>
      <c r="AF165" s="46">
        <f>'Inputs (2)'!AA25</f>
        <v>0</v>
      </c>
      <c r="AG165" s="12">
        <f>'Inputs (2)'!AB25</f>
        <v>0</v>
      </c>
      <c r="AH165" s="12">
        <f>'Inputs (2)'!AC25</f>
        <v>0</v>
      </c>
      <c r="AI165" s="12">
        <f>'Inputs (2)'!AD25</f>
        <v>0</v>
      </c>
      <c r="AJ165" s="12">
        <f>AI165</f>
        <v>0</v>
      </c>
      <c r="AK165" s="12">
        <f>AJ165</f>
        <v>0</v>
      </c>
      <c r="AL165" s="12">
        <f>AK165</f>
        <v>0</v>
      </c>
      <c r="AM165" s="16">
        <f>AL165</f>
        <v>0</v>
      </c>
      <c r="AN165" s="12">
        <f>AM165</f>
        <v>0</v>
      </c>
      <c r="AO165" s="12">
        <f>AN165</f>
        <v>0</v>
      </c>
      <c r="AP165" s="12">
        <f>AO165</f>
        <v>0</v>
      </c>
      <c r="AQ165" s="12">
        <f>AP165</f>
        <v>0</v>
      </c>
      <c r="AR165" s="16">
        <f>AQ165</f>
        <v>0</v>
      </c>
      <c r="AS165" s="12">
        <f>AR165</f>
        <v>0</v>
      </c>
      <c r="AT165" s="12">
        <f>AS165</f>
        <v>0</v>
      </c>
      <c r="AU165" s="12">
        <f>AT165</f>
        <v>0</v>
      </c>
      <c r="AV165" s="12">
        <f>AU165</f>
        <v>0</v>
      </c>
      <c r="AW165" s="16">
        <f>AV165</f>
        <v>0</v>
      </c>
      <c r="AX165" s="12">
        <f>AW165</f>
        <v>0</v>
      </c>
      <c r="AY165" s="12">
        <f>AX165</f>
        <v>0</v>
      </c>
      <c r="AZ165" s="12">
        <f>AY165</f>
        <v>0</v>
      </c>
      <c r="BA165" s="12">
        <f>AZ165</f>
        <v>0</v>
      </c>
      <c r="BB165" s="16">
        <f>BA165</f>
        <v>0</v>
      </c>
      <c r="BC165" s="12">
        <f>BB165</f>
        <v>0</v>
      </c>
      <c r="BD165" s="12">
        <f>BC165</f>
        <v>0</v>
      </c>
      <c r="BE165" s="12">
        <f>BD165</f>
        <v>0</v>
      </c>
      <c r="BF165" s="12">
        <f>BE165</f>
        <v>0</v>
      </c>
      <c r="BH165" s="12" t="n"/>
      <c r="BI165" s="12" t="n"/>
      <c r="BJ165" s="12" t="n"/>
      <c r="BK165" s="12" t="n"/>
      <c r="BM165" s="12" t="n"/>
      <c r="BN165" s="12" t="n"/>
      <c r="BO165" s="12" t="n"/>
      <c r="BP165" s="12" t="n"/>
      <c r="BR165" s="12" t="n"/>
      <c r="BS165" s="12" t="n"/>
      <c r="BT165" s="12" t="n"/>
      <c r="BU165" s="12" t="n"/>
      <c r="BW165" s="12" t="n"/>
      <c r="BX165" s="12" t="n"/>
      <c r="BY165" s="12" t="n"/>
      <c r="BZ165" s="12" t="n"/>
      <c r="CB165" s="12" t="n"/>
      <c r="CC165" s="12" t="n"/>
      <c r="CD165" s="12" t="n"/>
      <c r="CE165" s="12" t="n"/>
      <c r="CG165" s="12" t="n"/>
      <c r="CH165" s="12" t="n"/>
      <c r="CI165" s="12" t="n"/>
      <c r="CJ165" s="12" t="n"/>
      <c r="CL165" s="12" t="n"/>
      <c r="CM165" s="12" t="n"/>
      <c r="CN165" s="12" t="n"/>
      <c r="CO165" s="12" t="n"/>
      <c r="CQ165" s="12" t="n"/>
      <c r="CR165" s="12" t="n"/>
      <c r="CS165" s="12" t="n"/>
      <c r="CT165" s="12" t="n"/>
      <c r="CV165" s="12" t="n"/>
      <c r="CW165" s="12" t="n"/>
      <c r="CX165" s="12" t="n"/>
      <c r="CY165" s="12" t="n"/>
    </row>
    <row r="166" hidden="1" outlineLevel="1">
      <c r="C166" s="57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  <c r="BE166" s="12" t="n"/>
      <c r="BF166" s="12" t="n"/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 hidden="1" outlineLevel="1">
      <c r="C167" s="57" t="inlineStr">
        <is>
          <t>Purchase of intangible assets</t>
        </is>
      </c>
      <c r="D167" s="12" t="n"/>
      <c r="E167" s="12" t="n"/>
      <c r="F167" s="12" t="n"/>
      <c r="G167" s="12" t="n"/>
      <c r="H167" s="12" t="n"/>
      <c r="I167" s="12" t="str">
        <f>IF(COUNT(H165)=0,"",I165-H165-I69)</f>
        <v/>
      </c>
      <c r="J167" s="12">
        <f>J165-I165-J69</f>
        <v>0</v>
      </c>
      <c r="K167" s="12">
        <f>K165-J165-K69</f>
        <v>0</v>
      </c>
      <c r="L167" s="12">
        <f>L165-K165-L69</f>
        <v>0</v>
      </c>
      <c r="M167" s="12" t="n"/>
      <c r="N167" s="12">
        <f>N165-M165-N69</f>
        <v>0</v>
      </c>
      <c r="O167" s="12">
        <f>O165-N165-O69</f>
        <v>0</v>
      </c>
      <c r="P167" s="12">
        <f>P165-O165-P69</f>
        <v>0</v>
      </c>
      <c r="Q167" s="12">
        <f>Q165-P165-Q69</f>
        <v>0</v>
      </c>
      <c r="R167" s="12" t="n"/>
      <c r="S167" s="12">
        <f>S165-R165-S69</f>
        <v>0</v>
      </c>
      <c r="T167" s="12">
        <f>T165-S165-T69</f>
        <v>0</v>
      </c>
      <c r="U167" s="12">
        <f>U165-T165-U69</f>
        <v>0</v>
      </c>
      <c r="V167" s="12">
        <f>V165-U165-V69</f>
        <v>0</v>
      </c>
      <c r="W167" s="12" t="n"/>
      <c r="X167" s="12">
        <f>X165-W165-X69</f>
        <v>0</v>
      </c>
      <c r="Y167" s="12">
        <f>Y165-X165-Y69</f>
        <v>0</v>
      </c>
      <c r="Z167" s="12">
        <f>Z165-Y165-Z69</f>
        <v>0</v>
      </c>
      <c r="AA167" s="12">
        <f>AA165-Z165-AA69</f>
        <v>0</v>
      </c>
      <c r="AB167" s="12" t="n"/>
      <c r="AC167" s="12">
        <f>AC165-AB165-AC69</f>
        <v>0</v>
      </c>
      <c r="AD167" s="12">
        <f>AD165-AC165-AD69</f>
        <v>0</v>
      </c>
      <c r="AE167" s="12">
        <f>AE165-AD165-AE69</f>
        <v>0</v>
      </c>
      <c r="AF167" s="12">
        <f>AF165-AE165-AF69</f>
        <v>0</v>
      </c>
      <c r="AG167" s="12" t="n"/>
      <c r="AH167" s="11">
        <f>AH165-AG165-AH69</f>
        <v>0</v>
      </c>
      <c r="AI167" s="11">
        <f>AI165-AH165-AI69</f>
        <v>0</v>
      </c>
      <c r="AJ167" s="11" t="n"/>
      <c r="AK167" s="11" t="n"/>
      <c r="AL167" s="12" t="n"/>
      <c r="AM167" s="11" t="n"/>
      <c r="AN167" s="11" t="n"/>
      <c r="AO167" s="11" t="n"/>
      <c r="AP167" s="11" t="n"/>
      <c r="AQ167" s="12" t="n"/>
      <c r="AR167" s="11" t="n"/>
      <c r="AS167" s="11" t="n"/>
      <c r="AT167" s="11" t="n"/>
      <c r="AU167" s="11" t="n"/>
      <c r="AV167" s="12" t="n"/>
      <c r="AW167" s="11" t="n"/>
      <c r="AX167" s="11" t="n"/>
      <c r="AY167" s="11" t="n"/>
      <c r="AZ167" s="11" t="n"/>
      <c r="BA167" s="12" t="n"/>
      <c r="BB167" s="11" t="n"/>
      <c r="BC167" s="11" t="n"/>
      <c r="BD167" s="11" t="n"/>
      <c r="BE167" s="11" t="n"/>
      <c r="BF167" s="12" t="n"/>
      <c r="BG167" s="11" t="n"/>
      <c r="BH167" s="11" t="n"/>
      <c r="BI167" s="11" t="n"/>
      <c r="BJ167" s="11" t="n"/>
      <c r="BK167" s="12" t="n"/>
      <c r="BL167" s="11" t="n"/>
      <c r="BM167" s="11" t="n"/>
      <c r="BN167" s="11" t="n"/>
      <c r="BO167" s="11" t="n"/>
      <c r="BP167" s="12" t="n"/>
      <c r="BQ167" s="11" t="n"/>
      <c r="BR167" s="11" t="n"/>
      <c r="BS167" s="11" t="n"/>
      <c r="BT167" s="11" t="n"/>
      <c r="BU167" s="12" t="n"/>
      <c r="BV167" s="11" t="n"/>
      <c r="BW167" s="11" t="n"/>
      <c r="BX167" s="11" t="n"/>
      <c r="BY167" s="11" t="n"/>
      <c r="BZ167" s="12" t="n"/>
      <c r="CA167" s="11" t="n"/>
      <c r="CB167" s="11" t="n"/>
      <c r="CC167" s="11" t="n"/>
      <c r="CD167" s="11" t="n"/>
      <c r="CE167" s="12" t="n"/>
      <c r="CF167" s="11" t="n"/>
      <c r="CG167" s="11" t="n"/>
      <c r="CH167" s="11" t="n"/>
      <c r="CI167" s="11" t="n"/>
      <c r="CJ167" s="12" t="n"/>
      <c r="CK167" s="11" t="n"/>
      <c r="CL167" s="11" t="n"/>
      <c r="CM167" s="11" t="n"/>
      <c r="CN167" s="11" t="n"/>
      <c r="CO167" s="12" t="n"/>
      <c r="CP167" s="11" t="n"/>
      <c r="CQ167" s="11" t="n"/>
      <c r="CR167" s="11" t="n"/>
      <c r="CS167" s="11" t="n"/>
      <c r="CT167" s="12" t="n"/>
      <c r="CU167" s="11" t="n"/>
      <c r="CV167" s="11" t="n"/>
      <c r="CW167" s="11" t="n"/>
      <c r="CX167" s="11" t="n"/>
      <c r="CY167" s="12" t="n"/>
    </row>
    <row r="168" hidden="1" outlineLevel="1">
      <c r="C168" s="57" t="inlineStr">
        <is>
          <t>Amortization (enter as -)</t>
        </is>
      </c>
      <c r="D168" s="12" t="n"/>
      <c r="E168" s="12" t="n"/>
      <c r="F168" s="12" t="n"/>
      <c r="G168" s="12" t="n"/>
      <c r="H168" s="12" t="n"/>
      <c r="I168" s="12">
        <f>I68</f>
        <v>0</v>
      </c>
      <c r="J168" s="12">
        <f>J68</f>
        <v>0</v>
      </c>
      <c r="K168" s="12">
        <f>K68</f>
        <v>0</v>
      </c>
      <c r="L168" s="12">
        <f>L68</f>
        <v>0</v>
      </c>
      <c r="M168" s="12" t="n"/>
      <c r="N168" s="12">
        <f>N68</f>
        <v>0</v>
      </c>
      <c r="O168" s="12">
        <f>O68</f>
        <v>0</v>
      </c>
      <c r="P168" s="12">
        <f>P68</f>
        <v>0</v>
      </c>
      <c r="Q168" s="12">
        <f>Q68</f>
        <v>0</v>
      </c>
      <c r="R168" s="12" t="n"/>
      <c r="S168" s="12">
        <f>S68</f>
        <v>0</v>
      </c>
      <c r="T168" s="12">
        <f>T68</f>
        <v>0</v>
      </c>
      <c r="U168" s="12">
        <f>U68</f>
        <v>0</v>
      </c>
      <c r="V168" s="12">
        <f>V68</f>
        <v>0</v>
      </c>
      <c r="W168" s="12" t="n"/>
      <c r="X168" s="12">
        <f>X68</f>
        <v>0</v>
      </c>
      <c r="Y168" s="12">
        <f>Y68</f>
        <v>0</v>
      </c>
      <c r="Z168" s="12">
        <f>Z68</f>
        <v>0</v>
      </c>
      <c r="AA168" s="12">
        <f>AA68</f>
        <v>0</v>
      </c>
      <c r="AB168" s="12" t="n"/>
      <c r="AC168" s="12">
        <f>AC68</f>
        <v>0</v>
      </c>
      <c r="AD168" s="12">
        <f>AD68</f>
        <v>0</v>
      </c>
      <c r="AE168" s="12">
        <f>AE68</f>
        <v>0</v>
      </c>
      <c r="AF168" s="12">
        <f>AF68</f>
        <v>0</v>
      </c>
      <c r="AG168" s="12" t="n"/>
      <c r="AH168" s="12">
        <f>AH68</f>
        <v>0</v>
      </c>
      <c r="AI168" s="11">
        <f>AI68</f>
        <v>0</v>
      </c>
      <c r="AJ168" s="11" t="n"/>
      <c r="AK168" s="11" t="n"/>
      <c r="AL168" s="12" t="n"/>
      <c r="AM168" s="11" t="n"/>
      <c r="AN168" s="11" t="n"/>
      <c r="AO168" s="11" t="n"/>
      <c r="AP168" s="11" t="n"/>
      <c r="AQ168" s="12" t="n"/>
      <c r="AR168" s="11" t="n"/>
      <c r="AS168" s="11" t="n"/>
      <c r="AT168" s="11" t="n"/>
      <c r="AU168" s="11" t="n"/>
      <c r="AV168" s="12" t="n"/>
      <c r="AW168" s="11" t="n"/>
      <c r="AX168" s="11" t="n"/>
      <c r="AY168" s="11" t="n"/>
      <c r="AZ168" s="11" t="n"/>
      <c r="BA168" s="12" t="n"/>
      <c r="BB168" s="11" t="n"/>
      <c r="BC168" s="11" t="n"/>
      <c r="BD168" s="11" t="n"/>
      <c r="BE168" s="11" t="n"/>
      <c r="BF168" s="12" t="n"/>
      <c r="BG168" s="11" t="n"/>
      <c r="BH168" s="11" t="n"/>
      <c r="BI168" s="11" t="n"/>
      <c r="BJ168" s="11" t="n"/>
      <c r="BK168" s="12" t="n"/>
      <c r="BL168" s="11" t="n"/>
      <c r="BM168" s="11" t="n"/>
      <c r="BN168" s="11" t="n"/>
      <c r="BO168" s="11" t="n"/>
      <c r="BP168" s="12" t="n"/>
      <c r="BQ168" s="11" t="n"/>
      <c r="BR168" s="11" t="n"/>
      <c r="BS168" s="11" t="n"/>
      <c r="BT168" s="11" t="n"/>
      <c r="BU168" s="12" t="n"/>
      <c r="BV168" s="11" t="n"/>
      <c r="BW168" s="11" t="n"/>
      <c r="BX168" s="11" t="n"/>
      <c r="BY168" s="11" t="n"/>
      <c r="BZ168" s="12" t="n"/>
      <c r="CA168" s="11" t="n"/>
      <c r="CB168" s="11" t="n"/>
      <c r="CC168" s="11" t="n"/>
      <c r="CD168" s="11" t="n"/>
      <c r="CE168" s="12" t="n"/>
      <c r="CF168" s="11" t="n"/>
      <c r="CG168" s="11" t="n"/>
      <c r="CH168" s="11" t="n"/>
      <c r="CI168" s="11" t="n"/>
      <c r="CJ168" s="12" t="n"/>
      <c r="CK168" s="11" t="n"/>
      <c r="CL168" s="11" t="n"/>
      <c r="CM168" s="11" t="n"/>
      <c r="CN168" s="11" t="n"/>
      <c r="CO168" s="12" t="n"/>
      <c r="CP168" s="11" t="n"/>
      <c r="CQ168" s="11" t="n"/>
      <c r="CR168" s="11" t="n"/>
      <c r="CS168" s="11" t="n"/>
      <c r="CT168" s="12" t="n"/>
      <c r="CU168" s="11" t="n"/>
      <c r="CV168" s="11" t="n"/>
      <c r="CW168" s="11" t="n"/>
      <c r="CX168" s="11" t="n"/>
      <c r="CY168" s="12" t="n"/>
    </row>
    <row r="169" hidden="1" outlineLevel="1">
      <c r="C169" s="57" t="inlineStr">
        <is>
          <t>Intangibles</t>
        </is>
      </c>
      <c r="D169" s="12" t="n"/>
      <c r="E169" s="12" t="n"/>
      <c r="F169" s="12" t="n"/>
      <c r="G169" s="12" t="n"/>
      <c r="H169" s="12" t="n"/>
      <c r="I169" s="12">
        <f>I165</f>
        <v>0</v>
      </c>
      <c r="J169" s="12">
        <f>J165</f>
        <v>0</v>
      </c>
      <c r="K169" s="12">
        <f>K165</f>
        <v>0</v>
      </c>
      <c r="L169" s="12">
        <f>L165</f>
        <v>0</v>
      </c>
      <c r="M169" s="12">
        <f>M165</f>
        <v>0</v>
      </c>
      <c r="N169" s="12">
        <f>N165</f>
        <v>0</v>
      </c>
      <c r="O169" s="12">
        <f>O165</f>
        <v>0</v>
      </c>
      <c r="P169" s="12">
        <f>P165</f>
        <v>0</v>
      </c>
      <c r="Q169" s="12">
        <f>Q165</f>
        <v>0</v>
      </c>
      <c r="R169" s="12">
        <f>R165</f>
        <v>0</v>
      </c>
      <c r="S169" s="12">
        <f>S165</f>
        <v>0</v>
      </c>
      <c r="T169" s="12">
        <f>T165</f>
        <v>0</v>
      </c>
      <c r="U169" s="12">
        <f>U165</f>
        <v>0</v>
      </c>
      <c r="V169" s="12">
        <f>V165</f>
        <v>0</v>
      </c>
      <c r="W169" s="12">
        <f>W165</f>
        <v>0</v>
      </c>
      <c r="X169" s="12">
        <f>X165</f>
        <v>0</v>
      </c>
      <c r="Y169" s="12">
        <f>Y165</f>
        <v>0</v>
      </c>
      <c r="Z169" s="12">
        <f>Z165</f>
        <v>0</v>
      </c>
      <c r="AA169" s="12">
        <f>AA165</f>
        <v>0</v>
      </c>
      <c r="AB169" s="12">
        <f>AB165</f>
        <v>0</v>
      </c>
      <c r="AC169" s="12">
        <f>AC165</f>
        <v>0</v>
      </c>
      <c r="AD169" s="12">
        <f>AD165</f>
        <v>0</v>
      </c>
      <c r="AE169" s="12">
        <f>AE165</f>
        <v>0</v>
      </c>
      <c r="AF169" s="12">
        <f>AF165</f>
        <v>0</v>
      </c>
      <c r="AG169" s="12">
        <f>AG165</f>
        <v>0</v>
      </c>
      <c r="AH169" s="12">
        <f>AH165</f>
        <v>0</v>
      </c>
      <c r="AI169" s="12">
        <f>AI165</f>
        <v>0</v>
      </c>
      <c r="AJ169" s="12">
        <f>AJ165</f>
        <v>0</v>
      </c>
      <c r="AK169" s="12">
        <f>AK165</f>
        <v>0</v>
      </c>
      <c r="AL169" s="12" t="n"/>
      <c r="AM169" s="12">
        <f>AM165</f>
        <v>0</v>
      </c>
      <c r="AN169" s="12">
        <f>AN165</f>
        <v>0</v>
      </c>
      <c r="AO169" s="12">
        <f>AO165</f>
        <v>0</v>
      </c>
      <c r="AP169" s="12">
        <f>AP165</f>
        <v>0</v>
      </c>
      <c r="AQ169" s="12" t="n"/>
      <c r="AR169" s="12">
        <f>AR165</f>
        <v>0</v>
      </c>
      <c r="AS169" s="12">
        <f>AS165</f>
        <v>0</v>
      </c>
      <c r="AT169" s="12">
        <f>AT165</f>
        <v>0</v>
      </c>
      <c r="AU169" s="12">
        <f>AU165</f>
        <v>0</v>
      </c>
      <c r="AV169" s="12" t="n"/>
      <c r="AW169" s="12">
        <f>AW165</f>
        <v>0</v>
      </c>
      <c r="AX169" s="12">
        <f>AX165</f>
        <v>0</v>
      </c>
      <c r="AY169" s="12">
        <f>AY165</f>
        <v>0</v>
      </c>
      <c r="AZ169" s="12">
        <f>AZ165</f>
        <v>0</v>
      </c>
      <c r="BA169" s="12" t="n"/>
      <c r="BB169" s="12">
        <f>BB165</f>
        <v>0</v>
      </c>
      <c r="BC169" s="12">
        <f>BC165</f>
        <v>0</v>
      </c>
      <c r="BD169" s="12">
        <f>BD165</f>
        <v>0</v>
      </c>
      <c r="BE169" s="12">
        <f>BE165</f>
        <v>0</v>
      </c>
      <c r="BF169" s="12" t="n"/>
      <c r="BG169" s="12" t="n"/>
      <c r="BH169" s="12" t="n"/>
      <c r="BI169" s="12" t="n"/>
      <c r="BJ169" s="12" t="n"/>
      <c r="BK169" s="12" t="n"/>
      <c r="BL169" s="12" t="n"/>
      <c r="BM169" s="12" t="n"/>
      <c r="BN169" s="12" t="n"/>
      <c r="BO169" s="12" t="n"/>
      <c r="BP169" s="12" t="n"/>
      <c r="BQ169" s="12" t="n"/>
      <c r="BR169" s="12" t="n"/>
      <c r="BS169" s="12" t="n"/>
      <c r="BT169" s="12" t="n"/>
      <c r="BU169" s="12" t="n"/>
      <c r="BV169" s="12" t="n"/>
      <c r="BW169" s="12" t="n"/>
      <c r="BX169" s="12" t="n"/>
      <c r="BY169" s="12" t="n"/>
      <c r="BZ169" s="12" t="n"/>
      <c r="CA169" s="12" t="n"/>
      <c r="CB169" s="12" t="n"/>
      <c r="CC169" s="12" t="n"/>
      <c r="CD169" s="12" t="n"/>
      <c r="CE169" s="12" t="n"/>
      <c r="CF169" s="12" t="n"/>
      <c r="CG169" s="12" t="n"/>
      <c r="CH169" s="12" t="n"/>
      <c r="CI169" s="12" t="n"/>
      <c r="CJ169" s="12" t="n"/>
      <c r="CK169" s="12" t="n"/>
      <c r="CL169" s="12" t="n"/>
      <c r="CM169" s="12" t="n"/>
      <c r="CN169" s="12" t="n"/>
      <c r="CO169" s="12" t="n"/>
      <c r="CP169" s="12" t="n"/>
      <c r="CQ169" s="12" t="n"/>
      <c r="CR169" s="12" t="n"/>
      <c r="CS169" s="12" t="n"/>
      <c r="CT169" s="12" t="n"/>
      <c r="CU169" s="12" t="n"/>
      <c r="CV169" s="12" t="n"/>
      <c r="CW169" s="12" t="n"/>
      <c r="CX169" s="12" t="n"/>
      <c r="CY169" s="12" t="n"/>
    </row>
    <row r="170" hidden="1" outlineLevel="1">
      <c r="C170" s="57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  <c r="BE170" s="12" t="n"/>
      <c r="BF170" s="12" t="n"/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 hidden="1" outlineLevel="1">
      <c r="C171" s="57" t="inlineStr">
        <is>
          <t>Definir % do D&amp;A No PPE and Intagibles</t>
        </is>
      </c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  <c r="AL171" s="12" t="n"/>
      <c r="AM171" s="12" t="n"/>
      <c r="AN171" s="12" t="n"/>
      <c r="AO171" s="12" t="n"/>
      <c r="AP171" s="12" t="n"/>
      <c r="AQ171" s="12" t="n"/>
      <c r="AR171" s="12" t="n"/>
      <c r="AS171" s="12" t="n"/>
      <c r="AT171" s="12" t="n"/>
      <c r="AU171" s="12" t="n"/>
      <c r="AV171" s="12" t="n"/>
      <c r="AW171" s="12" t="n"/>
      <c r="AX171" s="12" t="n"/>
      <c r="AY171" s="12" t="n"/>
      <c r="AZ171" s="12" t="n"/>
      <c r="BA171" s="12" t="n"/>
      <c r="BB171" s="12" t="n"/>
      <c r="BC171" s="12" t="n"/>
      <c r="BD171" s="12" t="n"/>
      <c r="BE171" s="12" t="n"/>
      <c r="BF171" s="12" t="n"/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 hidden="1" outlineLevel="1">
      <c r="C172" s="57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  <c r="AL172" s="12" t="n"/>
      <c r="AM172" s="12" t="n"/>
      <c r="AN172" s="12" t="n"/>
      <c r="AO172" s="12" t="n"/>
      <c r="AP172" s="12" t="n"/>
      <c r="AQ172" s="12" t="n"/>
      <c r="AR172" s="12" t="n"/>
      <c r="AS172" s="12" t="n"/>
      <c r="AT172" s="12" t="n"/>
      <c r="AU172" s="12" t="n"/>
      <c r="AV172" s="12" t="n"/>
      <c r="AW172" s="12" t="n"/>
      <c r="AX172" s="12" t="n"/>
      <c r="AY172" s="12" t="n"/>
      <c r="AZ172" s="12" t="n"/>
      <c r="BA172" s="12" t="n"/>
      <c r="BB172" s="12" t="n"/>
      <c r="BC172" s="12" t="n"/>
      <c r="BD172" s="12" t="n"/>
      <c r="BE172" s="12" t="n"/>
      <c r="BF172" s="12" t="n"/>
      <c r="BG172" s="12" t="n"/>
      <c r="BH172" s="12" t="n"/>
      <c r="BI172" s="12" t="n"/>
      <c r="BJ172" s="12" t="n"/>
      <c r="BK172" s="12" t="n"/>
      <c r="BL172" s="12" t="n"/>
      <c r="BM172" s="12" t="n"/>
      <c r="BN172" s="12" t="n"/>
      <c r="BO172" s="12" t="n"/>
      <c r="BP172" s="12" t="n"/>
      <c r="BQ172" s="12" t="n"/>
      <c r="BR172" s="12" t="n"/>
      <c r="BS172" s="12" t="n"/>
      <c r="BT172" s="12" t="n"/>
      <c r="BU172" s="12" t="n"/>
      <c r="BV172" s="12" t="n"/>
      <c r="BW172" s="12" t="n"/>
      <c r="BX172" s="12" t="n"/>
      <c r="BY172" s="12" t="n"/>
      <c r="BZ172" s="12" t="n"/>
      <c r="CA172" s="12" t="n"/>
      <c r="CB172" s="12" t="n"/>
      <c r="CC172" s="12" t="n"/>
      <c r="CD172" s="12" t="n"/>
      <c r="CE172" s="12" t="n"/>
      <c r="CF172" s="12" t="n"/>
      <c r="CG172" s="12" t="n"/>
      <c r="CH172" s="12" t="n"/>
      <c r="CI172" s="12" t="n"/>
      <c r="CJ172" s="12" t="n"/>
      <c r="CK172" s="12" t="n"/>
      <c r="CL172" s="12" t="n"/>
      <c r="CM172" s="12" t="n"/>
      <c r="CN172" s="12" t="n"/>
      <c r="CO172" s="12" t="n"/>
      <c r="CP172" s="12" t="n"/>
      <c r="CQ172" s="12" t="n"/>
      <c r="CR172" s="12" t="n"/>
      <c r="CS172" s="12" t="n"/>
      <c r="CT172" s="12" t="n"/>
      <c r="CU172" s="12" t="n"/>
      <c r="CV172" s="12" t="n"/>
      <c r="CW172" s="12" t="n"/>
      <c r="CX172" s="12" t="n"/>
      <c r="CY172" s="12" t="n"/>
    </row>
    <row r="173" hidden="1" outlineLevel="1">
      <c r="C173" s="57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  <c r="BJ173" s="12" t="n"/>
      <c r="BK173" s="12" t="n"/>
      <c r="BL173" s="12" t="n"/>
      <c r="BM173" s="12" t="n"/>
      <c r="BN173" s="12" t="n"/>
      <c r="BO173" s="12" t="n"/>
      <c r="BP173" s="12" t="n"/>
      <c r="BQ173" s="12" t="n"/>
      <c r="BR173" s="12" t="n"/>
      <c r="BS173" s="12" t="n"/>
      <c r="BT173" s="12" t="n"/>
      <c r="BU173" s="12" t="n"/>
      <c r="BV173" s="12" t="n"/>
      <c r="BW173" s="12" t="n"/>
      <c r="BX173" s="12" t="n"/>
      <c r="BY173" s="12" t="n"/>
      <c r="BZ173" s="12" t="n"/>
      <c r="CA173" s="12" t="n"/>
      <c r="CB173" s="12" t="n"/>
      <c r="CC173" s="12" t="n"/>
      <c r="CD173" s="12" t="n"/>
      <c r="CE173" s="12" t="n"/>
      <c r="CF173" s="12" t="n"/>
      <c r="CG173" s="12" t="n"/>
      <c r="CH173" s="12" t="n"/>
      <c r="CI173" s="12" t="n"/>
      <c r="CJ173" s="12" t="n"/>
      <c r="CK173" s="12" t="n"/>
      <c r="CL173" s="12" t="n"/>
      <c r="CM173" s="12" t="n"/>
      <c r="CN173" s="12" t="n"/>
      <c r="CO173" s="12" t="n"/>
      <c r="CP173" s="12" t="n"/>
      <c r="CQ173" s="12" t="n"/>
      <c r="CR173" s="12" t="n"/>
      <c r="CS173" s="12" t="n"/>
      <c r="CT173" s="12" t="n"/>
      <c r="CU173" s="12" t="n"/>
      <c r="CV173" s="12" t="n"/>
      <c r="CW173" s="12" t="n"/>
      <c r="CX173" s="12" t="n"/>
      <c r="CY173" s="12" t="n"/>
    </row>
    <row r="174" collapsed="1">
      <c r="C174" s="14" t="inlineStr">
        <is>
          <t>Other non-current assets</t>
        </is>
      </c>
      <c r="D174" s="46" t="n"/>
      <c r="E174" s="46" t="n"/>
      <c r="F174" s="46" t="n"/>
      <c r="G174" s="46" t="n"/>
      <c r="H174" s="12" t="n"/>
      <c r="I174" s="46">
        <f>'Inputs (2)'!D26</f>
        <v>3192</v>
      </c>
      <c r="J174" s="46">
        <f>'Inputs (2)'!E26</f>
        <v>3306</v>
      </c>
      <c r="K174" s="46">
        <f>'Inputs (2)'!F26</f>
        <v>3381</v>
      </c>
      <c r="L174" s="46">
        <f>'Inputs (2)'!G26</f>
        <v>3509</v>
      </c>
      <c r="M174" s="12">
        <f>'Inputs (2)'!H26</f>
        <v>3509</v>
      </c>
      <c r="N174" s="46">
        <f>'Inputs (2)'!I26</f>
        <v>3621</v>
      </c>
      <c r="O174" s="46">
        <f>'Inputs (2)'!J26</f>
        <v>3970</v>
      </c>
      <c r="P174" s="46">
        <f>'Inputs (2)'!K26</f>
        <v>4050</v>
      </c>
      <c r="Q174" s="46">
        <f>'Inputs (2)'!L26</f>
        <v>3946</v>
      </c>
      <c r="R174" s="12">
        <f>'Inputs (2)'!M26</f>
        <v>3946</v>
      </c>
      <c r="S174" s="46">
        <f>'Inputs (2)'!N26</f>
        <v>3935</v>
      </c>
      <c r="T174" s="46">
        <f>'Inputs (2)'!O26</f>
        <v>3726</v>
      </c>
      <c r="U174" s="46">
        <f>'Inputs (2)'!P26</f>
        <v>3718</v>
      </c>
      <c r="V174" s="46">
        <f>'Inputs (2)'!Q26</f>
        <v>3803</v>
      </c>
      <c r="W174" s="12">
        <f>'Inputs (2)'!R26</f>
        <v>3803</v>
      </c>
      <c r="X174" s="46">
        <f>'Inputs (2)'!S26</f>
        <v>3836</v>
      </c>
      <c r="Y174" s="46">
        <f>'Inputs (2)'!T26</f>
        <v>3918</v>
      </c>
      <c r="Z174" s="46">
        <f>'Inputs (2)'!U26</f>
        <v>3936</v>
      </c>
      <c r="AA174" s="46">
        <f>'Inputs (2)'!V26</f>
        <v>3988</v>
      </c>
      <c r="AB174" s="12">
        <f>'Inputs (2)'!W26</f>
        <v>3988</v>
      </c>
      <c r="AC174" s="46">
        <f>'Inputs (2)'!X26</f>
        <v>3987</v>
      </c>
      <c r="AD174" s="46">
        <f>'Inputs (2)'!Y26</f>
        <v>4031</v>
      </c>
      <c r="AE174" s="46">
        <f>'Inputs (2)'!Z26</f>
        <v>4085</v>
      </c>
      <c r="AF174" s="46">
        <f>'Inputs (2)'!AA26</f>
        <v>4033</v>
      </c>
      <c r="AG174" s="12">
        <f>'Inputs (2)'!AB26</f>
        <v>4033</v>
      </c>
      <c r="AH174" s="12">
        <f>'Inputs (2)'!AC26</f>
        <v>4102</v>
      </c>
      <c r="AI174" s="12">
        <f>'Inputs (2)'!AD26</f>
        <v>4213</v>
      </c>
      <c r="AJ174" s="12">
        <f>AI174</f>
        <v>4213</v>
      </c>
      <c r="AK174" s="12">
        <f>AJ174</f>
        <v>4213</v>
      </c>
      <c r="AL174" s="12">
        <f>AK174</f>
        <v>4213</v>
      </c>
      <c r="AM174" s="12">
        <f>AL174</f>
        <v>4213</v>
      </c>
      <c r="AN174" s="12">
        <f>AM174</f>
        <v>4213</v>
      </c>
      <c r="AO174" s="12">
        <f>AN174</f>
        <v>4213</v>
      </c>
      <c r="AP174" s="12">
        <f>AO174</f>
        <v>4213</v>
      </c>
      <c r="AQ174" s="12">
        <f>AP174</f>
        <v>4213</v>
      </c>
      <c r="AR174" s="12">
        <f>AQ174</f>
        <v>4213</v>
      </c>
      <c r="AS174" s="12">
        <f>AR174</f>
        <v>4213</v>
      </c>
      <c r="AT174" s="12">
        <f>AS174</f>
        <v>4213</v>
      </c>
      <c r="AU174" s="12">
        <f>AT174</f>
        <v>4213</v>
      </c>
      <c r="AV174" s="12">
        <f>AU174</f>
        <v>4213</v>
      </c>
      <c r="AW174" s="12">
        <f>AV174</f>
        <v>4213</v>
      </c>
      <c r="AX174" s="12">
        <f>AW174</f>
        <v>4213</v>
      </c>
      <c r="AY174" s="12">
        <f>AX174</f>
        <v>4213</v>
      </c>
      <c r="AZ174" s="12">
        <f>AY174</f>
        <v>4213</v>
      </c>
      <c r="BA174" s="12">
        <f>AZ174</f>
        <v>4213</v>
      </c>
      <c r="BB174" s="12">
        <f>BA174</f>
        <v>4213</v>
      </c>
      <c r="BC174" s="12">
        <f>BB174</f>
        <v>4213</v>
      </c>
      <c r="BD174" s="12">
        <f>BC174</f>
        <v>4213</v>
      </c>
      <c r="BE174" s="12">
        <f>BD174</f>
        <v>4213</v>
      </c>
      <c r="BF174" s="12">
        <f>BE174</f>
        <v>4213</v>
      </c>
      <c r="BG174" s="12" t="n"/>
      <c r="BH174" s="12" t="n"/>
      <c r="BI174" s="12" t="n"/>
      <c r="BJ174" s="12" t="n"/>
      <c r="BK174" s="12" t="n"/>
      <c r="BL174" s="12" t="n"/>
      <c r="BM174" s="12" t="n"/>
      <c r="BN174" s="12" t="n"/>
      <c r="BO174" s="12" t="n"/>
      <c r="BP174" s="12" t="n"/>
      <c r="BQ174" s="12" t="n"/>
      <c r="BR174" s="12" t="n"/>
      <c r="BS174" s="12" t="n"/>
      <c r="BT174" s="12" t="n"/>
      <c r="BU174" s="12" t="n"/>
      <c r="BV174" s="12" t="n"/>
      <c r="BW174" s="12" t="n"/>
      <c r="BX174" s="12" t="n"/>
      <c r="BY174" s="12" t="n"/>
      <c r="BZ174" s="12" t="n"/>
      <c r="CA174" s="12" t="n"/>
      <c r="CB174" s="12" t="n"/>
      <c r="CC174" s="12" t="n"/>
      <c r="CD174" s="12" t="n"/>
      <c r="CE174" s="12" t="n"/>
      <c r="CF174" s="12" t="n"/>
      <c r="CG174" s="12" t="n"/>
      <c r="CH174" s="12" t="n"/>
      <c r="CI174" s="12" t="n"/>
      <c r="CJ174" s="12" t="n"/>
      <c r="CK174" s="12" t="n"/>
      <c r="CL174" s="12" t="n"/>
      <c r="CM174" s="12" t="n"/>
      <c r="CN174" s="12" t="n"/>
      <c r="CO174" s="12" t="n"/>
      <c r="CP174" s="12" t="n"/>
      <c r="CQ174" s="12" t="n"/>
      <c r="CR174" s="12" t="n"/>
      <c r="CS174" s="12" t="n"/>
      <c r="CT174" s="12" t="n"/>
      <c r="CU174" s="12" t="n"/>
      <c r="CV174" s="12" t="n"/>
      <c r="CW174" s="12" t="n"/>
      <c r="CX174" s="12" t="n"/>
      <c r="CY174" s="12" t="n"/>
    </row>
    <row r="175" hidden="1" outlineLevel="1">
      <c r="C175" s="59" t="inlineStr">
        <is>
          <t>%(Var.)</t>
        </is>
      </c>
      <c r="D175" s="12" t="n"/>
      <c r="E175" s="40" t="n"/>
      <c r="F175" s="40" t="n"/>
      <c r="G175" s="40" t="n"/>
      <c r="H175" s="12" t="n"/>
      <c r="I175" s="40" t="str">
        <f>""</f>
        <v/>
      </c>
      <c r="J175" s="40">
        <f>IF(I174=0,"",J174/I174-1)</f>
        <v>0.0357142857142858</v>
      </c>
      <c r="K175" s="40">
        <f>IF(J174=0,"",K174/J174-1)</f>
        <v>0.0226860254083485</v>
      </c>
      <c r="L175" s="40">
        <f>IF(K174=0,"",L174/K174-1)</f>
        <v>0.0378586217095533</v>
      </c>
      <c r="M175" s="12">
        <f>IF(L174=0,"",M174/L174-1)</f>
        <v>0</v>
      </c>
      <c r="N175" s="40">
        <f>IF(M174=0,"",N174/M174-1)</f>
        <v>0.0319179253348532</v>
      </c>
      <c r="O175" s="40">
        <f>IF(N174=0,"",O174/N174-1)</f>
        <v>0.096382214857774</v>
      </c>
      <c r="P175" s="40">
        <f>IF(O174=0,"",P174/O174-1)</f>
        <v>0.0201511335012594</v>
      </c>
      <c r="Q175" s="40">
        <f>IF(P174=0,"",Q174/P174-1)</f>
        <v>-0.025679012345679</v>
      </c>
      <c r="R175" s="12">
        <f>IF(Q174=0,"",R174/Q174-1)</f>
        <v>0</v>
      </c>
      <c r="S175" s="40">
        <f>IF(R174=0,"",S174/R174-1)</f>
        <v>-0.00278763304612262</v>
      </c>
      <c r="T175" s="40">
        <f>IF(S174=0,"",T174/S174-1)</f>
        <v>-0.0531130876747141</v>
      </c>
      <c r="U175" s="40">
        <f>IF(T174=0,"",U174/T174-1)</f>
        <v>-0.00214707461084274</v>
      </c>
      <c r="V175" s="40">
        <f>IF(U174=0,"",V174/U174-1)</f>
        <v>0.0228617536309843</v>
      </c>
      <c r="W175" s="12">
        <f>IF(V174=0,"",W174/V174-1)</f>
        <v>0</v>
      </c>
      <c r="X175" s="40">
        <f>IF(W174=0,"",X174/W174-1)</f>
        <v>0.00867735997896402</v>
      </c>
      <c r="Y175" s="40">
        <f>IF(X174=0,"",Y174/X174-1)</f>
        <v>0.0213764337851929</v>
      </c>
      <c r="Z175" s="40">
        <f>IF(Y174=0,"",Z174/Y174-1)</f>
        <v>0.00459418070444095</v>
      </c>
      <c r="AA175" s="40">
        <f>IF(Z174=0,"",AA174/Z174-1)</f>
        <v>0.0132113821138211</v>
      </c>
      <c r="AB175" s="12">
        <f>IF(AA174=0,"",AB174/AA174-1)</f>
        <v>0</v>
      </c>
      <c r="AC175" s="40">
        <f>IF(AB174=0,"",AC174/AB174-1)</f>
        <v>-0.000250752256770292</v>
      </c>
      <c r="AD175" s="40">
        <f>IF(AC174=0,"",AD174/AC174-1)</f>
        <v>0.0110358665663406</v>
      </c>
      <c r="AE175" s="40">
        <f>IF(AD174=0,"",AE174/AD174-1)</f>
        <v>0.0133961796080377</v>
      </c>
      <c r="AF175" s="55">
        <f>IF(AE174=0,"",AF174/AE174-1)</f>
        <v>-0.0127294981640147</v>
      </c>
      <c r="AG175" s="12">
        <f>IF(AF174=0,"",AG174/AF174-1)</f>
        <v>0</v>
      </c>
      <c r="AH175" s="55">
        <f>IF(AG174=0,"",AH174/AG174-1)</f>
        <v>0.0171088519712372</v>
      </c>
      <c r="AI175" s="55">
        <f>IF(AH174=0,"",AI174/AH174-1)</f>
        <v>0.0270599707459775</v>
      </c>
      <c r="AJ175" s="55">
        <f>IF(AI174=0,"",AJ174/AI174-1)</f>
        <v>0</v>
      </c>
      <c r="AK175" s="55">
        <f>IF(AJ174=0,"",AK174/AJ174-1)</f>
        <v>0</v>
      </c>
      <c r="AL175" s="12">
        <f>IF(AK174=0,"",AL174/AK174-1)</f>
        <v>0</v>
      </c>
      <c r="AM175" s="55">
        <f>IF(AL174=0,"",AM174/AL174-1)</f>
        <v>0</v>
      </c>
      <c r="AN175" s="55">
        <f>IF(AM174=0,"",AN174/AM174-1)</f>
        <v>0</v>
      </c>
      <c r="AO175" s="55">
        <f>IF(AN174=0,"",AO174/AN174-1)</f>
        <v>0</v>
      </c>
      <c r="AP175" s="55">
        <f>IF(AO174=0,"",AP174/AO174-1)</f>
        <v>0</v>
      </c>
      <c r="AQ175" s="12">
        <f>IF(AP174=0,"",AQ174/AP174-1)</f>
        <v>0</v>
      </c>
      <c r="AR175" s="55">
        <f>IF(AQ174=0,"",AR174/AQ174-1)</f>
        <v>0</v>
      </c>
      <c r="AS175" s="55">
        <f>IF(AR174=0,"",AS174/AR174-1)</f>
        <v>0</v>
      </c>
      <c r="AT175" s="55">
        <f>IF(AS174=0,"",AT174/AS174-1)</f>
        <v>0</v>
      </c>
      <c r="AU175" s="55">
        <f>IF(AT174=0,"",AU174/AT174-1)</f>
        <v>0</v>
      </c>
      <c r="AV175" s="12">
        <f>IF(AU174=0,"",AV174/AU174-1)</f>
        <v>0</v>
      </c>
      <c r="AW175" s="55">
        <f>IF(AV174=0,"",AW174/AV174-1)</f>
        <v>0</v>
      </c>
      <c r="AX175" s="55">
        <f>IF(AW174=0,"",AX174/AW174-1)</f>
        <v>0</v>
      </c>
      <c r="AY175" s="55">
        <f>IF(AX174=0,"",AY174/AX174-1)</f>
        <v>0</v>
      </c>
      <c r="AZ175" s="55">
        <f>IF(AY174=0,"",AZ174/AY174-1)</f>
        <v>0</v>
      </c>
      <c r="BA175" s="12">
        <f>IF(AZ174=0,"",BA174/AZ174-1)</f>
        <v>0</v>
      </c>
      <c r="BB175" s="55">
        <f>IF(BA174=0,"",BB174/BA174-1)</f>
        <v>0</v>
      </c>
      <c r="BC175" s="55">
        <f>IF(BB174=0,"",BC174/BB174-1)</f>
        <v>0</v>
      </c>
      <c r="BD175" s="55">
        <f>IF(BC174=0,"",BD174/BC174-1)</f>
        <v>0</v>
      </c>
      <c r="BE175" s="55">
        <f>IF(BD174=0,"",BE174/BD174-1)</f>
        <v>0</v>
      </c>
      <c r="BF175" s="12">
        <f>IF(BE174=0,"",BF174/BE174-1)</f>
        <v>0</v>
      </c>
      <c r="BG175" s="55" t="n"/>
      <c r="BH175" s="55" t="n"/>
      <c r="BI175" s="55" t="n"/>
      <c r="BJ175" s="55" t="n"/>
      <c r="BK175" s="12" t="n"/>
      <c r="BL175" s="55" t="n"/>
      <c r="BM175" s="55" t="n"/>
      <c r="BN175" s="55" t="n"/>
      <c r="BO175" s="55" t="n"/>
      <c r="BP175" s="12" t="n"/>
      <c r="BQ175" s="55" t="n"/>
      <c r="BR175" s="55" t="n"/>
      <c r="BS175" s="55" t="n"/>
      <c r="BT175" s="55" t="n"/>
      <c r="BU175" s="12" t="n"/>
      <c r="BV175" s="55" t="n"/>
      <c r="BW175" s="55" t="n"/>
      <c r="BX175" s="55" t="n"/>
      <c r="BY175" s="55" t="n"/>
      <c r="BZ175" s="12" t="n"/>
      <c r="CA175" s="55" t="n"/>
      <c r="CB175" s="55" t="n"/>
      <c r="CC175" s="55" t="n"/>
      <c r="CD175" s="55" t="n"/>
      <c r="CE175" s="12" t="n"/>
      <c r="CF175" s="55" t="n"/>
      <c r="CG175" s="55" t="n"/>
      <c r="CH175" s="55" t="n"/>
      <c r="CI175" s="55" t="n"/>
      <c r="CJ175" s="12" t="n"/>
      <c r="CK175" s="55" t="n"/>
      <c r="CL175" s="55" t="n"/>
      <c r="CM175" s="55" t="n"/>
      <c r="CN175" s="55" t="n"/>
      <c r="CO175" s="12" t="n"/>
      <c r="CP175" s="55" t="n"/>
      <c r="CQ175" s="55" t="n"/>
      <c r="CR175" s="55" t="n"/>
      <c r="CS175" s="55" t="n"/>
      <c r="CT175" s="12" t="n"/>
      <c r="CU175" s="55" t="n"/>
      <c r="CV175" s="55" t="n"/>
      <c r="CW175" s="55" t="n"/>
      <c r="CX175" s="55" t="n"/>
      <c r="CY175" s="12" t="n"/>
    </row>
    <row r="176" hidden="1" outlineLevel="1">
      <c r="C176" s="57" t="n"/>
      <c r="D176" s="12" t="n"/>
      <c r="E176" s="40" t="n"/>
      <c r="F176" s="40" t="n"/>
      <c r="G176" s="40" t="n"/>
      <c r="H176" s="12" t="n"/>
      <c r="I176" s="40" t="n"/>
      <c r="J176" s="40" t="n"/>
      <c r="K176" s="40" t="n"/>
      <c r="L176" s="40" t="n"/>
      <c r="M176" s="12" t="n"/>
      <c r="N176" s="40" t="n"/>
      <c r="O176" s="40" t="n"/>
      <c r="P176" s="40" t="n"/>
      <c r="Q176" s="40" t="n"/>
      <c r="R176" s="12" t="n"/>
      <c r="S176" s="40" t="n"/>
      <c r="T176" s="40" t="n"/>
      <c r="U176" s="40" t="n"/>
      <c r="V176" s="40" t="n"/>
      <c r="W176" s="12" t="n"/>
      <c r="X176" s="40" t="n"/>
      <c r="Y176" s="40" t="n"/>
      <c r="Z176" s="40" t="n"/>
      <c r="AA176" s="40" t="n"/>
      <c r="AB176" s="12" t="n"/>
      <c r="AC176" s="40" t="n"/>
      <c r="AD176" s="40" t="n"/>
      <c r="AE176" s="40" t="n"/>
      <c r="AF176" s="55" t="n"/>
      <c r="AG176" s="12" t="n"/>
      <c r="AH176" s="55" t="n"/>
      <c r="AI176" s="55" t="n"/>
      <c r="AJ176" s="55" t="n"/>
      <c r="AK176" s="55" t="n"/>
      <c r="AL176" s="12" t="n"/>
      <c r="AM176" s="55" t="n"/>
      <c r="AN176" s="55" t="n"/>
      <c r="AO176" s="55" t="n"/>
      <c r="AP176" s="55" t="n"/>
      <c r="AQ176" s="12" t="n"/>
      <c r="AR176" s="55" t="n"/>
      <c r="AS176" s="55" t="n"/>
      <c r="AT176" s="55" t="n"/>
      <c r="AU176" s="55" t="n"/>
      <c r="AV176" s="12" t="n"/>
      <c r="AW176" s="55" t="n"/>
      <c r="AX176" s="55" t="n"/>
      <c r="AY176" s="55" t="n"/>
      <c r="AZ176" s="55" t="n"/>
      <c r="BA176" s="12" t="n"/>
      <c r="BB176" s="55" t="n"/>
      <c r="BC176" s="55" t="n"/>
      <c r="BD176" s="55" t="n"/>
      <c r="BE176" s="55" t="n"/>
      <c r="BF176" s="12" t="n"/>
      <c r="BG176" s="55" t="n"/>
      <c r="BH176" s="55" t="n"/>
      <c r="BI176" s="55" t="n"/>
      <c r="BJ176" s="55" t="n"/>
      <c r="BK176" s="12" t="n"/>
      <c r="BL176" s="55" t="n"/>
      <c r="BM176" s="55" t="n"/>
      <c r="BN176" s="55" t="n"/>
      <c r="BO176" s="55" t="n"/>
      <c r="BP176" s="12" t="n"/>
      <c r="BQ176" s="55" t="n"/>
      <c r="BR176" s="55" t="n"/>
      <c r="BS176" s="55" t="n"/>
      <c r="BT176" s="55" t="n"/>
      <c r="BU176" s="12" t="n"/>
      <c r="BV176" s="55" t="n"/>
      <c r="BW176" s="55" t="n"/>
      <c r="BX176" s="55" t="n"/>
      <c r="BY176" s="55" t="n"/>
      <c r="BZ176" s="12" t="n"/>
      <c r="CA176" s="55" t="n"/>
      <c r="CB176" s="55" t="n"/>
      <c r="CC176" s="55" t="n"/>
      <c r="CD176" s="55" t="n"/>
      <c r="CE176" s="12" t="n"/>
      <c r="CF176" s="55" t="n"/>
      <c r="CG176" s="55" t="n"/>
      <c r="CH176" s="55" t="n"/>
      <c r="CI176" s="55" t="n"/>
      <c r="CJ176" s="12" t="n"/>
      <c r="CK176" s="55" t="n"/>
      <c r="CL176" s="55" t="n"/>
      <c r="CM176" s="55" t="n"/>
      <c r="CN176" s="55" t="n"/>
      <c r="CO176" s="12" t="n"/>
      <c r="CP176" s="55" t="n"/>
      <c r="CQ176" s="55" t="n"/>
      <c r="CR176" s="55" t="n"/>
      <c r="CS176" s="55" t="n"/>
      <c r="CT176" s="12" t="n"/>
      <c r="CU176" s="55" t="n"/>
      <c r="CV176" s="55" t="n"/>
      <c r="CW176" s="55" t="n"/>
      <c r="CX176" s="55" t="n"/>
      <c r="CY176" s="12" t="n"/>
    </row>
    <row r="177" hidden="1" outlineLevel="1">
      <c r="C177" s="60" t="inlineStr">
        <is>
          <t>Outros Créditos - LP</t>
        </is>
      </c>
      <c r="D177" s="11" t="n"/>
      <c r="E177" s="11" t="n"/>
      <c r="F177" s="11" t="n"/>
      <c r="G177" s="11" t="n"/>
      <c r="H177" s="12" t="n"/>
      <c r="I177" s="11" t="n"/>
      <c r="J177" s="11" t="n"/>
      <c r="K177" s="11" t="n"/>
      <c r="L177" s="11" t="n"/>
      <c r="M177" s="12" t="n"/>
      <c r="N177" s="11" t="n"/>
      <c r="O177" s="11" t="n"/>
      <c r="P177" s="11" t="n"/>
      <c r="Q177" s="11" t="n"/>
      <c r="R177" s="12" t="n"/>
      <c r="S177" s="11" t="n"/>
      <c r="T177" s="11" t="n"/>
      <c r="U177" s="11" t="n"/>
      <c r="V177" s="11" t="n"/>
      <c r="W177" s="12" t="n"/>
      <c r="X177" s="11" t="n"/>
      <c r="Y177" s="11" t="n"/>
      <c r="Z177" s="11" t="n"/>
      <c r="AA177" s="11" t="n"/>
      <c r="AB177" s="12" t="n"/>
      <c r="AC177" s="11" t="n"/>
      <c r="AD177" s="11" t="n"/>
      <c r="AE177" s="11" t="n"/>
      <c r="AF177" s="11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hidden="1" outlineLevel="1">
      <c r="C178" s="60" t="inlineStr">
        <is>
          <t xml:space="preserve">Impostos e Contribuições a Recuperar </t>
        </is>
      </c>
      <c r="D178" s="11" t="n"/>
      <c r="E178" s="11" t="n"/>
      <c r="F178" s="11" t="n"/>
      <c r="G178" s="11" t="n"/>
      <c r="H178" s="12" t="n"/>
      <c r="I178" s="11" t="n"/>
      <c r="J178" s="11" t="n"/>
      <c r="K178" s="11" t="n"/>
      <c r="L178" s="11" t="n"/>
      <c r="M178" s="12" t="n"/>
      <c r="N178" s="11" t="n"/>
      <c r="O178" s="11" t="n"/>
      <c r="P178" s="11" t="n"/>
      <c r="Q178" s="11" t="n"/>
      <c r="R178" s="12" t="n"/>
      <c r="S178" s="11" t="n"/>
      <c r="T178" s="11" t="n"/>
      <c r="U178" s="11" t="n"/>
      <c r="V178" s="11" t="n"/>
      <c r="W178" s="12" t="n"/>
      <c r="X178" s="11" t="n"/>
      <c r="Y178" s="11" t="n"/>
      <c r="Z178" s="11" t="n"/>
      <c r="AA178" s="11" t="n"/>
      <c r="AB178" s="12" t="n"/>
      <c r="AC178" s="11" t="n"/>
      <c r="AD178" s="11" t="n"/>
      <c r="AE178" s="11" t="n"/>
      <c r="AF178" s="11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  <c r="BE178" s="12" t="n"/>
      <c r="BF178" s="12" t="n"/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 hidden="1" outlineLevel="1">
      <c r="C179" s="60" t="inlineStr">
        <is>
          <t xml:space="preserve">Imposto de Renda e Contribuição Social Diferidos </t>
        </is>
      </c>
      <c r="D179" s="11" t="n"/>
      <c r="E179" s="11" t="n"/>
      <c r="F179" s="11" t="n"/>
      <c r="G179" s="11" t="n"/>
      <c r="H179" s="12" t="n"/>
      <c r="I179" s="11" t="n"/>
      <c r="J179" s="11" t="n"/>
      <c r="K179" s="11" t="n"/>
      <c r="L179" s="11" t="n"/>
      <c r="M179" s="12" t="n"/>
      <c r="N179" s="11" t="n"/>
      <c r="O179" s="11" t="n"/>
      <c r="P179" s="11" t="n"/>
      <c r="Q179" s="11" t="n"/>
      <c r="R179" s="12" t="n"/>
      <c r="S179" s="11" t="n"/>
      <c r="T179" s="11" t="n"/>
      <c r="U179" s="11" t="n"/>
      <c r="V179" s="11" t="n"/>
      <c r="W179" s="12" t="n"/>
      <c r="X179" s="11" t="n"/>
      <c r="Y179" s="11" t="n"/>
      <c r="Z179" s="11" t="n"/>
      <c r="AA179" s="11" t="n"/>
      <c r="AB179" s="12" t="n"/>
      <c r="AC179" s="11" t="n"/>
      <c r="AD179" s="11" t="n"/>
      <c r="AE179" s="11" t="n"/>
      <c r="AF179" s="11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  <c r="BJ179" s="12" t="n"/>
      <c r="BK179" s="12" t="n"/>
      <c r="BL179" s="12" t="n"/>
      <c r="BM179" s="12" t="n"/>
      <c r="BN179" s="12" t="n"/>
      <c r="BO179" s="12" t="n"/>
      <c r="BP179" s="12" t="n"/>
      <c r="BQ179" s="12" t="n"/>
      <c r="BR179" s="12" t="n"/>
      <c r="BS179" s="12" t="n"/>
      <c r="BT179" s="12" t="n"/>
      <c r="BU179" s="12" t="n"/>
      <c r="BV179" s="12" t="n"/>
      <c r="BW179" s="12" t="n"/>
      <c r="BX179" s="12" t="n"/>
      <c r="BY179" s="12" t="n"/>
      <c r="BZ179" s="12" t="n"/>
      <c r="CA179" s="12" t="n"/>
      <c r="CB179" s="12" t="n"/>
      <c r="CC179" s="12" t="n"/>
      <c r="CD179" s="12" t="n"/>
      <c r="CE179" s="12" t="n"/>
      <c r="CF179" s="12" t="n"/>
      <c r="CG179" s="12" t="n"/>
      <c r="CH179" s="12" t="n"/>
      <c r="CI179" s="12" t="n"/>
      <c r="CJ179" s="12" t="n"/>
      <c r="CK179" s="12" t="n"/>
      <c r="CL179" s="12" t="n"/>
      <c r="CM179" s="12" t="n"/>
      <c r="CN179" s="12" t="n"/>
      <c r="CO179" s="12" t="n"/>
      <c r="CP179" s="12" t="n"/>
      <c r="CQ179" s="12" t="n"/>
      <c r="CR179" s="12" t="n"/>
      <c r="CS179" s="12" t="n"/>
      <c r="CT179" s="12" t="n"/>
      <c r="CU179" s="12" t="n"/>
      <c r="CV179" s="12" t="n"/>
      <c r="CW179" s="12" t="n"/>
      <c r="CX179" s="12" t="n"/>
      <c r="CY179" s="12" t="n"/>
    </row>
    <row r="180" hidden="1" outlineLevel="1">
      <c r="C180" s="60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hidden="1" outlineLevel="1">
      <c r="C181" s="57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  <c r="BE181" s="12" t="n"/>
      <c r="BF181" s="12" t="n"/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 collapsed="1" customFormat="1" s="32">
      <c r="A182" s="30" t="n"/>
      <c r="B182" s="3" t="n"/>
      <c r="C182" s="33" t="inlineStr">
        <is>
          <t>Total Assets</t>
        </is>
      </c>
      <c r="D182" s="35" t="n"/>
      <c r="E182" s="35" t="n"/>
      <c r="F182" s="35" t="n"/>
      <c r="G182" s="35" t="n"/>
      <c r="H182" s="35" t="n"/>
      <c r="I182" s="35">
        <f>SUM(I129,I130,I134,I138,I139,I140,I146,I151,I161,I164,I165,I174)</f>
        <v>54918</v>
      </c>
      <c r="J182" s="35">
        <f>SUM(J129,J130,J134,J138,J139,J140,J146,J151,J161,J164,J165,J174)</f>
        <v>57274</v>
      </c>
      <c r="K182" s="35">
        <f>SUM(K129,K130,K134,K138,K139,K140,K146,K151,K161,K164,K165,K174)</f>
        <v>59268</v>
      </c>
      <c r="L182" s="35">
        <f>SUM(L129,L130,L134,L138,L139,L140,L146,L151,L161,L164,L165,L174)</f>
        <v>64149</v>
      </c>
      <c r="M182" s="35">
        <f>SUM(M129,M130,M134,M138,M139,M140,M146,M151,M161,M164,M165,M174)</f>
        <v>64149</v>
      </c>
      <c r="N182" s="35">
        <f>SUM(N129,N130,N134,N138,N139,N140,N146,N151,N161,N164,N165,N174)</f>
        <v>63078</v>
      </c>
      <c r="O182" s="35">
        <f>SUM(O129,O130,O134,O138,O139,O140,O146,O151,O161,O164,O165,O174)</f>
        <v>63852</v>
      </c>
      <c r="P182" s="35">
        <f>SUM(P129,P130,P134,P138,P139,P140,P146,P151,P161,P164,P165,P174)</f>
        <v>64166</v>
      </c>
      <c r="Q182" s="35">
        <f>SUM(Q129,Q130,Q134,Q138,Q139,Q140,Q146,Q151,Q161,Q164,Q165,Q174)</f>
        <v>66027</v>
      </c>
      <c r="R182" s="35">
        <f>SUM(R129,R130,R134,R138,R139,R140,R146,R151,R161,R164,R165,R174)</f>
        <v>66027</v>
      </c>
      <c r="S182" s="35">
        <f>SUM(S129,S130,S134,S138,S139,S140,S146,S151,S161,S164,S165,S174)</f>
        <v>66848</v>
      </c>
      <c r="T182" s="35">
        <f>SUM(T129,T130,T134,T138,T139,T140,T146,T151,T161,T164,T165,T174)</f>
        <v>66752</v>
      </c>
      <c r="U182" s="35">
        <f>SUM(U129,U130,U134,U138,U139,U140,U146,U151,U161,U164,U165,U174)</f>
        <v>68994</v>
      </c>
      <c r="V182" s="35">
        <f>SUM(V129,V130,V134,V138,V139,V140,V146,V151,V161,V164,V165,V174)</f>
        <v>73723</v>
      </c>
      <c r="W182" s="35">
        <f>SUM(W129,W130,W134,W138,W139,W140,W146,W151,W161,W164,W165,W174)</f>
        <v>73723</v>
      </c>
      <c r="X182" s="35">
        <f>SUM(X129,X130,X134,X138,X139,X140,X146,X151,X161,X164,X165,X174)</f>
        <v>66323</v>
      </c>
      <c r="Y182" s="35">
        <f>SUM(Y129,Y130,Y134,Y138,Y139,Y140,Y146,Y151,Y161,Y164,Y165,Y174)</f>
        <v>67911</v>
      </c>
      <c r="Z182" s="35">
        <f>SUM(Z129,Z130,Z134,Z138,Z139,Z140,Z146,Z151,Z161,Z164,Z165,Z174)</f>
        <v>69831</v>
      </c>
      <c r="AA182" s="35">
        <f>SUM(AA129,AA130,AA134,AA138,AA139,AA140,AA146,AA151,AA161,AA164,AA165,AA174)</f>
        <v>73386</v>
      </c>
      <c r="AB182" s="35">
        <f>SUM(AB129,AB130,AB134,AB138,AB139,AB140,AB146,AB151,AB161,AB164,AB165,AB174)</f>
        <v>73386</v>
      </c>
      <c r="AC182" s="35">
        <f>SUM(AC129,AC130,AC134,AC138,AC139,AC140,AC146,AC151,AC161,AC164,AC165,AC174)</f>
        <v>73224</v>
      </c>
      <c r="AD182" s="35">
        <f>SUM(AD129,AD130,AD134,AD138,AD139,AD140,AD146,AD151,AD161,AD164,AD165,AD174)</f>
        <v>75482</v>
      </c>
      <c r="AE182" s="35">
        <f>SUM(AE129,AE130,AE134,AE138,AE139,AE140,AE146,AE151,AE161,AE164,AE165,AE174)</f>
        <v>77099</v>
      </c>
      <c r="AF182" s="35">
        <f>SUM(AF129,AF130,AF134,AF138,AF139,AF140,AF146,AF151,AF161,AF164,AF165,AF174)</f>
        <v>82790</v>
      </c>
      <c r="AG182" s="35">
        <f>SUM(AG129,AG130,AG134,AG138,AG139,AG140,AG146,AG151,AG161,AG164,AG165,AG174)</f>
        <v>82790</v>
      </c>
      <c r="AH182" s="35">
        <f>SUM(AH129,AH130,AH134,AH138,AH139,AH140,AH146,AH151,AH161,AH164,AH165,AH174)</f>
        <v>83639</v>
      </c>
      <c r="AI182" s="35">
        <f>SUM(AI129,AI130,AI134,AI138,AI139,AI140,AI146,AI151,AI161,AI164,AI165,AI174)</f>
        <v>86430</v>
      </c>
      <c r="AJ182" s="35">
        <f>SUM(AJ129,AJ130,AJ134,AJ138,AJ139,AJ140,AJ146,AJ151,AJ161,AJ164,AJ165,AJ174)</f>
        <v>95491.6619270559</v>
      </c>
      <c r="AK182" s="35">
        <f>SUM(AK129,AK130,AK134,AK138,AK139,AK140,AK146,AK151,AK161,AK164,AK165,AK174)</f>
        <v>92417.0680932371</v>
      </c>
      <c r="AL182" s="35">
        <f>SUM(AL129,AL130,AL134,AL138,AL139,AL140,AL146,AL151,AL161,AL164,AL165,AL174)</f>
        <v>92417.0680932371</v>
      </c>
      <c r="AM182" s="35">
        <f>SUM(AM129,AM130,AM134,AM138,AM139,AM140,AM146,AM151,AM161,AM164,AM165,AM174)</f>
        <v>96824.4129324156</v>
      </c>
      <c r="AN182" s="35">
        <f>SUM(AN129,AN130,AN134,AN138,AN139,AN140,AN146,AN151,AN161,AN164,AN165,AN174)</f>
        <v>100152.652300245</v>
      </c>
      <c r="AO182" s="35">
        <f>SUM(AO129,AO130,AO134,AO138,AO139,AO140,AO146,AO151,AO161,AO164,AO165,AO174)</f>
        <v>111607.058945737</v>
      </c>
      <c r="AP182" s="35">
        <f>SUM(AP129,AP130,AP134,AP138,AP139,AP140,AP146,AP151,AP161,AP164,AP165,AP174)</f>
        <v>108514.803779793</v>
      </c>
      <c r="AQ182" s="35">
        <f>SUM(AQ129,AQ130,AQ134,AQ138,AQ139,AQ140,AQ146,AQ151,AQ161,AQ164,AQ165,AQ174)</f>
        <v>108514.803779793</v>
      </c>
      <c r="AR182" s="35">
        <f>SUM(AR129,AR130,AR134,AR138,AR139,AR140,AR146,AR151,AR161,AR164,AR165,AR174)</f>
        <v>113135.166750447</v>
      </c>
      <c r="AS182" s="35">
        <f>SUM(AS129,AS130,AS134,AS138,AS139,AS140,AS146,AS151,AS161,AS164,AS165,AS174)</f>
        <v>117255.696834683</v>
      </c>
      <c r="AT182" s="35">
        <f>SUM(AT129,AT130,AT134,AT138,AT139,AT140,AT146,AT151,AT161,AT164,AT165,AT174)</f>
        <v>129936.995591677</v>
      </c>
      <c r="AU182" s="35">
        <f>SUM(AU129,AU130,AU134,AU138,AU139,AU140,AU146,AU151,AU161,AU164,AU165,AU174)</f>
        <v>126844.556586441</v>
      </c>
      <c r="AV182" s="35">
        <f>SUM(AV129,AV130,AV134,AV138,AV139,AV140,AV146,AV151,AV161,AV164,AV165,AV174)</f>
        <v>126844.556586441</v>
      </c>
      <c r="AW182" s="35">
        <f>SUM(AW129,AW130,AW134,AW138,AW139,AW140,AW146,AW151,AW161,AW164,AW165,AW174)</f>
        <v>132279.699810396</v>
      </c>
      <c r="AX182" s="35">
        <f>SUM(AX129,AX130,AX134,AX138,AX139,AX140,AX146,AX151,AX161,AX164,AX165,AX174)</f>
        <v>136715.67170039</v>
      </c>
      <c r="AY182" s="35">
        <f>SUM(AY129,AY130,AY134,AY138,AY139,AY140,AY146,AY151,AY161,AY164,AY165,AY174)</f>
        <v>150712.973025045</v>
      </c>
      <c r="AZ182" s="35">
        <f>SUM(AZ129,AZ130,AZ134,AZ138,AZ139,AZ140,AZ146,AZ151,AZ161,AZ164,AZ165,AZ174)</f>
        <v>147684.305304826</v>
      </c>
      <c r="BA182" s="35">
        <f>SUM(BA129,BA130,BA134,BA138,BA139,BA140,BA146,BA151,BA161,BA164,BA165,BA174)</f>
        <v>147684.305304826</v>
      </c>
      <c r="BB182" s="35">
        <f>SUM(BB129,BB130,BB134,BB138,BB139,BB140,BB146,BB151,BB161,BB164,BB165,BB174)</f>
        <v>153710.904336515</v>
      </c>
      <c r="BC182" s="35">
        <f>SUM(BC129,BC130,BC134,BC138,BC139,BC140,BC146,BC151,BC161,BC164,BC165,BC174)</f>
        <v>158806.900769915</v>
      </c>
      <c r="BD182" s="35">
        <f>SUM(BD129,BD130,BD134,BD138,BD139,BD140,BD146,BD151,BD161,BD164,BD165,BD174)</f>
        <v>174201.022256894</v>
      </c>
      <c r="BE182" s="35">
        <f>SUM(BE129,BE130,BE134,BE138,BE139,BE140,BE146,BE151,BE161,BE164,BE165,BE174)</f>
        <v>171301.119791878</v>
      </c>
      <c r="BF182" s="35">
        <f>SUM(BF129,BF130,BF134,BF138,BF139,BF140,BF146,BF151,BF161,BF164,BF165,BF174)</f>
        <v>171301.119791878</v>
      </c>
      <c r="BG182" s="35" t="n"/>
      <c r="BH182" s="35" t="n"/>
      <c r="BI182" s="35" t="n"/>
      <c r="BJ182" s="35" t="n"/>
      <c r="BK182" s="35" t="n"/>
      <c r="BL182" s="35" t="n"/>
      <c r="BM182" s="35" t="n"/>
      <c r="BN182" s="35" t="n"/>
      <c r="BO182" s="35" t="n"/>
      <c r="BP182" s="35" t="n"/>
      <c r="BQ182" s="35" t="n"/>
      <c r="BR182" s="35" t="n"/>
      <c r="BS182" s="35" t="n"/>
      <c r="BT182" s="35" t="n"/>
      <c r="BU182" s="35" t="n"/>
      <c r="BV182" s="35" t="n"/>
      <c r="BW182" s="35" t="n"/>
      <c r="BX182" s="35" t="n"/>
      <c r="BY182" s="35" t="n"/>
      <c r="BZ182" s="35" t="n"/>
      <c r="CA182" s="35" t="n"/>
      <c r="CB182" s="35" t="n"/>
      <c r="CC182" s="35" t="n"/>
      <c r="CD182" s="35" t="n"/>
      <c r="CE182" s="35" t="n"/>
      <c r="CF182" s="35" t="n"/>
      <c r="CG182" s="35" t="n"/>
      <c r="CH182" s="35" t="n"/>
      <c r="CI182" s="35" t="n"/>
      <c r="CJ182" s="35" t="n"/>
      <c r="CK182" s="35" t="n"/>
      <c r="CL182" s="35" t="n"/>
      <c r="CM182" s="35" t="n"/>
      <c r="CN182" s="35" t="n"/>
      <c r="CO182" s="35" t="n"/>
      <c r="CP182" s="35" t="n"/>
      <c r="CQ182" s="35" t="n"/>
      <c r="CR182" s="35" t="n"/>
      <c r="CS182" s="35" t="n"/>
      <c r="CT182" s="35" t="n"/>
      <c r="CU182" s="35" t="n"/>
      <c r="CV182" s="35" t="n"/>
      <c r="CW182" s="35" t="n"/>
      <c r="CX182" s="35" t="n"/>
      <c r="CY182" s="35" t="n"/>
    </row>
    <row r="183">
      <c r="C183" s="14" t="inlineStr">
        <is>
          <t>Accounts payable</t>
        </is>
      </c>
      <c r="D183" s="46" t="n"/>
      <c r="E183" s="46" t="n"/>
      <c r="F183" s="46" t="n"/>
      <c r="G183" s="46" t="n"/>
      <c r="H183" s="12" t="n"/>
      <c r="I183" s="46">
        <f>'Inputs (2)'!D28</f>
        <v>14383</v>
      </c>
      <c r="J183" s="46">
        <f>'Inputs (2)'!E28</f>
        <v>15538</v>
      </c>
      <c r="K183" s="46">
        <f>'Inputs (2)'!F28</f>
        <v>16278</v>
      </c>
      <c r="L183" s="46">
        <f>'Inputs (2)'!G28</f>
        <v>19561</v>
      </c>
      <c r="M183" s="12">
        <f>'Inputs (2)'!H28</f>
        <v>19561</v>
      </c>
      <c r="N183" s="46">
        <f>'Inputs (2)'!I28</f>
        <v>17089</v>
      </c>
      <c r="O183" s="46">
        <f>'Inputs (2)'!J28</f>
        <v>17651</v>
      </c>
      <c r="P183" s="46">
        <f>'Inputs (2)'!K28</f>
        <v>17848</v>
      </c>
      <c r="Q183" s="46">
        <f>'Inputs (2)'!L28</f>
        <v>18348</v>
      </c>
      <c r="R183" s="12">
        <f>'Inputs (2)'!M28</f>
        <v>18348</v>
      </c>
      <c r="S183" s="46">
        <f>'Inputs (2)'!N28</f>
        <v>16407</v>
      </c>
      <c r="T183" s="46">
        <f>'Inputs (2)'!O28</f>
        <v>16853</v>
      </c>
      <c r="U183" s="46">
        <f>'Inputs (2)'!P28</f>
        <v>17483</v>
      </c>
      <c r="V183" s="46">
        <f>'Inputs (2)'!Q28</f>
        <v>20357</v>
      </c>
      <c r="W183" s="12">
        <f>'Inputs (2)'!R28</f>
        <v>20357</v>
      </c>
      <c r="X183" s="46">
        <f>'Inputs (2)'!S28</f>
        <v>17494</v>
      </c>
      <c r="Y183" s="46">
        <f>'Inputs (2)'!T28</f>
        <v>18844</v>
      </c>
      <c r="Z183" s="46">
        <f>'Inputs (2)'!U28</f>
        <v>19421</v>
      </c>
      <c r="AA183" s="46">
        <f>'Inputs (2)'!V28</f>
        <v>21793</v>
      </c>
      <c r="AB183" s="12">
        <f>'Inputs (2)'!W28</f>
        <v>21793</v>
      </c>
      <c r="AC183" s="46">
        <f>'Inputs (2)'!X28</f>
        <v>18610</v>
      </c>
      <c r="AD183" s="46">
        <f>'Inputs (2)'!Y28</f>
        <v>19820</v>
      </c>
      <c r="AE183" s="46">
        <f>'Inputs (2)'!Z28</f>
        <v>19783</v>
      </c>
      <c r="AF183" s="46">
        <f>'Inputs (2)'!AA28</f>
        <v>23513</v>
      </c>
      <c r="AG183" s="12">
        <f>'Inputs (2)'!AB28</f>
        <v>23513</v>
      </c>
      <c r="AH183" s="12">
        <f>'Inputs (2)'!AC28</f>
        <v>20647</v>
      </c>
      <c r="AI183" s="12">
        <f>'Inputs (2)'!AD28</f>
        <v>22363</v>
      </c>
      <c r="AJ183" s="12">
        <f>(AJ184/(AJ$5-AI$5))*-AJ$39</f>
        <v>27852.5591521403</v>
      </c>
      <c r="AK183" s="12">
        <f>(AK184/(AK$5-AJ$5))*-AK$39</f>
        <v>21759.044046301</v>
      </c>
      <c r="AL183" s="12">
        <f>AK183</f>
        <v>21759.044046301</v>
      </c>
      <c r="AM183" s="12">
        <f>(AM184/(AM$5-AL$5))*-AM$39</f>
        <v>22999.3422082758</v>
      </c>
      <c r="AN183" s="12">
        <f>(AN184/(AN$5-AM$5))*-AN$39</f>
        <v>23050.5569526216</v>
      </c>
      <c r="AO183" s="12">
        <f>(AO184/(AO$5-AN$5))*-AO$39</f>
        <v>30371.092773148</v>
      </c>
      <c r="AP183" s="12">
        <f>(AP184/(AP$5-AO$5))*-AP$39</f>
        <v>23726.5790111225</v>
      </c>
      <c r="AQ183" s="12">
        <f>AP183</f>
        <v>23726.5790111225</v>
      </c>
      <c r="AR183" s="12">
        <f>(AR184/(AR$5-AQ$5))*-AR$39</f>
        <v>24689.7028755572</v>
      </c>
      <c r="AS183" s="12">
        <f>(AS184/(AS$5-AR$5))*-AS$39</f>
        <v>25019.6226087967</v>
      </c>
      <c r="AT183" s="12">
        <f>(AT184/(AT$5-AS$5))*-AT$39</f>
        <v>32965.5062549147</v>
      </c>
      <c r="AU183" s="12">
        <f>(AU184/(AU$5-AT$5))*-AU$39</f>
        <v>25753.3930254369</v>
      </c>
      <c r="AV183" s="12">
        <f>AU183</f>
        <v>25753.3930254369</v>
      </c>
      <c r="AW183" s="12">
        <f>(AW184/(AW$5-AV$5))*-AW$39</f>
        <v>26971.734744015</v>
      </c>
      <c r="AX183" s="12">
        <f>(AX184/(AX$5-AW$5))*-AX$39</f>
        <v>27031.7951790904</v>
      </c>
      <c r="AY183" s="12">
        <f>(AY184/(AY$5-AX$5))*-AY$39</f>
        <v>35616.7168062946</v>
      </c>
      <c r="AZ183" s="12">
        <f>(AZ184/(AZ$5-AY$5))*-AZ$39</f>
        <v>27824.578184703</v>
      </c>
      <c r="BA183" s="12">
        <f>AZ183</f>
        <v>27824.578184703</v>
      </c>
      <c r="BB183" s="12">
        <f>(BB184/(BB$5-BA$5))*-BB$39</f>
        <v>29006.0448732673</v>
      </c>
      <c r="BC183" s="12">
        <f>(BC184/(BC$5-BB$5))*-BC$39</f>
        <v>29070.6352932548</v>
      </c>
      <c r="BD183" s="12">
        <f>(BD184/(BD$5-BC$5))*-BD$39</f>
        <v>38303.0641420304</v>
      </c>
      <c r="BE183" s="12">
        <f>(BE184/(BE$5-BD$5))*-BE$39</f>
        <v>29923.2129881568</v>
      </c>
      <c r="BF183" s="12">
        <f>BE183</f>
        <v>29923.2129881568</v>
      </c>
      <c r="BG183" s="12" t="n"/>
      <c r="BH183" s="12" t="n"/>
      <c r="BI183" s="12" t="n"/>
      <c r="BJ183" s="12" t="n"/>
      <c r="BK183" s="12" t="n"/>
      <c r="BL183" s="12" t="n"/>
      <c r="BM183" s="12" t="n"/>
      <c r="BN183" s="12" t="n"/>
      <c r="BO183" s="12" t="n"/>
      <c r="BP183" s="12" t="n"/>
      <c r="BQ183" s="12" t="n"/>
      <c r="BR183" s="12" t="n"/>
      <c r="BS183" s="12" t="n"/>
      <c r="BT183" s="12" t="n"/>
      <c r="BU183" s="12" t="n"/>
      <c r="BV183" s="12" t="n"/>
      <c r="BW183" s="12" t="n"/>
      <c r="BX183" s="12" t="n"/>
      <c r="BY183" s="12" t="n"/>
      <c r="BZ183" s="12" t="n"/>
      <c r="CA183" s="12" t="n"/>
      <c r="CB183" s="12" t="n"/>
      <c r="CC183" s="12" t="n"/>
      <c r="CD183" s="12" t="n"/>
      <c r="CE183" s="12" t="n"/>
      <c r="CF183" s="12" t="n"/>
      <c r="CG183" s="12" t="n"/>
      <c r="CH183" s="12" t="n"/>
      <c r="CI183" s="12" t="n"/>
      <c r="CJ183" s="12" t="n"/>
      <c r="CK183" s="12" t="n"/>
      <c r="CL183" s="12" t="n"/>
      <c r="CM183" s="12" t="n"/>
      <c r="CN183" s="12" t="n"/>
      <c r="CO183" s="12" t="n"/>
      <c r="CP183" s="12" t="n"/>
      <c r="CQ183" s="12" t="n"/>
      <c r="CR183" s="12" t="n"/>
      <c r="CS183" s="12" t="n"/>
      <c r="CT183" s="12" t="n"/>
      <c r="CU183" s="12" t="n"/>
      <c r="CV183" s="12" t="n"/>
      <c r="CW183" s="12" t="n"/>
      <c r="CX183" s="12" t="n"/>
      <c r="CY183" s="12" t="n"/>
    </row>
    <row r="184" hidden="1" outlineLevel="1">
      <c r="C184" s="57" t="inlineStr">
        <is>
          <t>DPO</t>
        </is>
      </c>
      <c r="D184" s="12" t="n"/>
      <c r="E184" s="12" t="n"/>
      <c r="F184" s="12" t="n"/>
      <c r="G184" s="12" t="n"/>
      <c r="H184" s="12" t="n"/>
      <c r="I184" s="12">
        <f>IFERROR(-(I183/I$39)*(I$5-H$5),"")</f>
        <v>33.1252878857669</v>
      </c>
      <c r="J184" s="12">
        <f>IFERROR(-(J183/J$39)*(J$5-I$5),"")</f>
        <v>35.8736014207789</v>
      </c>
      <c r="K184" s="12">
        <f>IFERROR(-(K183/K$39)*(K$5-J$5),"")</f>
        <v>27.3614821040323</v>
      </c>
      <c r="L184" s="12">
        <f>IFERROR(-(L183/L$39)*(L$5-K$5),"")</f>
        <v>40.944939934474</v>
      </c>
      <c r="M184" s="12" t="n"/>
      <c r="N184" s="12">
        <f>IFERROR(-(N183/N$39)*(N$5-M$5),"")</f>
        <v>33.7897928246589</v>
      </c>
      <c r="O184" s="12">
        <f>IFERROR(-(O183/O$39)*(O$5-N$5),"")</f>
        <v>34.6508682989969</v>
      </c>
      <c r="P184" s="12">
        <f>IFERROR(-(P183/P$39)*(P$5-O$5),"")</f>
        <v>25.8349224330533</v>
      </c>
      <c r="Q184" s="12">
        <f>IFERROR(-(Q183/Q$39)*(Q$5-P$5),"")</f>
        <v>35.3370595993217</v>
      </c>
      <c r="R184" s="12" t="n"/>
      <c r="S184" s="12">
        <f>IFERROR(-(S183/S$39)*(S$5-R$5),"")</f>
        <v>30.4943931602751</v>
      </c>
      <c r="T184" s="12">
        <f>IFERROR(-(T183/T$39)*(T$5-S$5),"")</f>
        <v>32.5092315845257</v>
      </c>
      <c r="U184" s="12">
        <f>IFERROR(-(U183/U$39)*(U$5-T$5),"")</f>
        <v>23.2369147199468</v>
      </c>
      <c r="V184" s="12">
        <f>IFERROR(-(V183/V$39)*(V$5-U$5),"")</f>
        <v>37.1176249083378</v>
      </c>
      <c r="W184" s="12" t="n"/>
      <c r="X184" s="12">
        <f>IFERROR(-(X183/X$39)*(X$5-W$5),"")</f>
        <v>31.1293312475557</v>
      </c>
      <c r="Y184" s="12">
        <f>IFERROR(-(Y183/Y$39)*(Y$5-X$5),"")</f>
        <v>33.509936880777</v>
      </c>
      <c r="Z184" s="12">
        <f>IFERROR(-(Z183/Z$39)*(Z$5-Y$5),"")</f>
        <v>25.6758636546531</v>
      </c>
      <c r="AA184" s="12">
        <f>IFERROR(-(AA183/AA$39)*(AA$5-Z$5),"")</f>
        <v>37.0540205880722</v>
      </c>
      <c r="AB184" s="12" t="n"/>
      <c r="AC184" s="12">
        <f>IFERROR(-(AC183/AC$39)*(AC$5-AB$5),"")</f>
        <v>30.0462830080367</v>
      </c>
      <c r="AD184" s="12">
        <f>IFERROR(-(AD183/AD$39)*(AD$5-AC$5),"")</f>
        <v>32.7954760346207</v>
      </c>
      <c r="AE184" s="12">
        <f>IFERROR(-(AE183/AE$39)*(AE$5-AD$5),"")</f>
        <v>24.2551807774831</v>
      </c>
      <c r="AF184" s="11">
        <f>IFERROR(-(AF183/AF$39)*(AF$5-AE$5),"")</f>
        <v>36.9713895060673</v>
      </c>
      <c r="AG184" s="12" t="n"/>
      <c r="AH184" s="11">
        <f>IFERROR(-(AH183/AH$39)*(AH$5-AG$5),"")</f>
        <v>30.6037648841384</v>
      </c>
      <c r="AI184" s="11">
        <f>IFERROR(-(AI183/AI$39)*(AI$5-AH$5),"")</f>
        <v>33.0797477202165</v>
      </c>
      <c r="AJ184" s="11">
        <f>Control!$B$27</f>
        <v>31.2919736550938</v>
      </c>
      <c r="AK184" s="11">
        <f>Control!$B$27</f>
        <v>31.2919736550938</v>
      </c>
      <c r="AL184" s="12" t="n"/>
      <c r="AM184" s="11">
        <f>Control!$C$27</f>
        <v>31.2919736550938</v>
      </c>
      <c r="AN184" s="11">
        <f>Control!$C$27</f>
        <v>31.2919736550938</v>
      </c>
      <c r="AO184" s="11">
        <f>Control!$C$27</f>
        <v>31.2919736550938</v>
      </c>
      <c r="AP184" s="11">
        <f>Control!$C$27</f>
        <v>31.2919736550938</v>
      </c>
      <c r="AQ184" s="12" t="n"/>
      <c r="AR184" s="11">
        <f>Control!$D$27</f>
        <v>31.2919736550938</v>
      </c>
      <c r="AS184" s="11">
        <f>Control!$D$27</f>
        <v>31.2919736550938</v>
      </c>
      <c r="AT184" s="11">
        <f>Control!$D$27</f>
        <v>31.2919736550938</v>
      </c>
      <c r="AU184" s="11">
        <f>Control!$D$27</f>
        <v>31.2919736550938</v>
      </c>
      <c r="AV184" s="12" t="n"/>
      <c r="AW184" s="11">
        <f>Control!$E$27</f>
        <v>31.2919736550938</v>
      </c>
      <c r="AX184" s="11">
        <f>Control!$E$27</f>
        <v>31.2919736550938</v>
      </c>
      <c r="AY184" s="11">
        <f>Control!$E$27</f>
        <v>31.2919736550938</v>
      </c>
      <c r="AZ184" s="11">
        <f>Control!$E$27</f>
        <v>31.2919736550938</v>
      </c>
      <c r="BA184" s="12" t="n"/>
      <c r="BB184" s="11">
        <f>Control!$F$27</f>
        <v>31.2919736550938</v>
      </c>
      <c r="BC184" s="11">
        <f>Control!$F$27</f>
        <v>31.2919736550938</v>
      </c>
      <c r="BD184" s="11">
        <f>Control!$F$27</f>
        <v>31.2919736550938</v>
      </c>
      <c r="BE184" s="11">
        <f>Control!$F$27</f>
        <v>31.2919736550938</v>
      </c>
      <c r="BF184" s="12" t="n"/>
      <c r="BG184" s="11" t="n"/>
      <c r="BH184" s="11" t="n"/>
      <c r="BI184" s="11" t="n"/>
      <c r="BJ184" s="11" t="n"/>
      <c r="BK184" s="12" t="n"/>
      <c r="BL184" s="11" t="n"/>
      <c r="BM184" s="11" t="n"/>
      <c r="BN184" s="11" t="n"/>
      <c r="BO184" s="11" t="n"/>
      <c r="BP184" s="12" t="n"/>
      <c r="BQ184" s="11" t="n"/>
      <c r="BR184" s="11" t="n"/>
      <c r="BS184" s="11" t="n"/>
      <c r="BT184" s="11" t="n"/>
      <c r="BU184" s="12" t="n"/>
      <c r="BV184" s="11" t="n"/>
      <c r="BW184" s="11" t="n"/>
      <c r="BX184" s="11" t="n"/>
      <c r="BY184" s="11" t="n"/>
      <c r="BZ184" s="12" t="n"/>
      <c r="CA184" s="11" t="n"/>
      <c r="CB184" s="11" t="n"/>
      <c r="CC184" s="11" t="n"/>
      <c r="CD184" s="11" t="n"/>
      <c r="CE184" s="12" t="n"/>
      <c r="CF184" s="11" t="n"/>
      <c r="CG184" s="11" t="n"/>
      <c r="CH184" s="11" t="n"/>
      <c r="CI184" s="11" t="n"/>
      <c r="CJ184" s="12" t="n"/>
      <c r="CK184" s="11" t="n"/>
      <c r="CL184" s="11" t="n"/>
      <c r="CM184" s="11" t="n"/>
      <c r="CN184" s="11" t="n"/>
      <c r="CO184" s="12" t="n"/>
      <c r="CP184" s="11" t="n"/>
      <c r="CQ184" s="11" t="n"/>
      <c r="CR184" s="11" t="n"/>
      <c r="CS184" s="11" t="n"/>
      <c r="CT184" s="12" t="n"/>
      <c r="CU184" s="11" t="n"/>
      <c r="CV184" s="11" t="n"/>
      <c r="CW184" s="11" t="n"/>
      <c r="CX184" s="11" t="n"/>
      <c r="CY184" s="12" t="n"/>
    </row>
    <row r="185" hidden="1" outlineLevel="1">
      <c r="C185" s="57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  <c r="BE185" s="12" t="n"/>
      <c r="BF185" s="12" t="n"/>
      <c r="BG185" s="12" t="n"/>
      <c r="BH185" s="12" t="n"/>
      <c r="BI185" s="12" t="n"/>
      <c r="BJ185" s="12" t="n"/>
      <c r="BK185" s="12" t="n"/>
      <c r="BL185" s="12" t="n"/>
      <c r="BM185" s="12" t="n"/>
      <c r="BN185" s="12" t="n"/>
      <c r="BO185" s="12" t="n"/>
      <c r="BP185" s="12" t="n"/>
      <c r="BQ185" s="12" t="n"/>
      <c r="BR185" s="12" t="n"/>
      <c r="BS185" s="12" t="n"/>
      <c r="BT185" s="12" t="n"/>
      <c r="BU185" s="12" t="n"/>
      <c r="BV185" s="12" t="n"/>
      <c r="BW185" s="12" t="n"/>
      <c r="BX185" s="12" t="n"/>
      <c r="BY185" s="12" t="n"/>
      <c r="BZ185" s="12" t="n"/>
      <c r="CA185" s="12" t="n"/>
      <c r="CB185" s="12" t="n"/>
      <c r="CC185" s="12" t="n"/>
      <c r="CD185" s="12" t="n"/>
      <c r="CE185" s="12" t="n"/>
      <c r="CF185" s="12" t="n"/>
      <c r="CG185" s="12" t="n"/>
      <c r="CH185" s="12" t="n"/>
      <c r="CI185" s="12" t="n"/>
      <c r="CJ185" s="12" t="n"/>
      <c r="CK185" s="12" t="n"/>
      <c r="CL185" s="12" t="n"/>
      <c r="CM185" s="12" t="n"/>
      <c r="CN185" s="12" t="n"/>
      <c r="CO185" s="12" t="n"/>
      <c r="CP185" s="12" t="n"/>
      <c r="CQ185" s="12" t="n"/>
      <c r="CR185" s="12" t="n"/>
      <c r="CS185" s="12" t="n"/>
      <c r="CT185" s="12" t="n"/>
      <c r="CU185" s="12" t="n"/>
      <c r="CV185" s="12" t="n"/>
      <c r="CW185" s="12" t="n"/>
      <c r="CX185" s="12" t="n"/>
      <c r="CY185" s="12" t="n"/>
    </row>
    <row r="186" hidden="1" outlineLevel="1">
      <c r="C186" s="57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collapsed="1">
      <c r="C187" s="14" t="inlineStr">
        <is>
          <t>Accrued expenses</t>
        </is>
      </c>
      <c r="D187" s="46" t="n"/>
      <c r="E187" s="46" t="n"/>
      <c r="F187" s="46" t="n"/>
      <c r="G187" s="46" t="n"/>
      <c r="H187" s="12" t="n"/>
      <c r="I187" s="46">
        <f>'Inputs (2)'!D29</f>
        <v>5673</v>
      </c>
      <c r="J187" s="46">
        <f>'Inputs (2)'!E29</f>
        <v>5443</v>
      </c>
      <c r="K187" s="46">
        <f>'Inputs (2)'!F29</f>
        <v>5761</v>
      </c>
      <c r="L187" s="46">
        <f>'Inputs (2)'!G29</f>
        <v>5711</v>
      </c>
      <c r="M187" s="12">
        <f>'Inputs (2)'!H29</f>
        <v>5711</v>
      </c>
      <c r="N187" s="46">
        <f>'Inputs (2)'!I29</f>
        <v>6145</v>
      </c>
      <c r="O187" s="46">
        <f>'Inputs (2)'!J29</f>
        <v>5918</v>
      </c>
      <c r="P187" s="46">
        <f>'Inputs (2)'!K29</f>
        <v>6292</v>
      </c>
      <c r="Q187" s="46">
        <f>'Inputs (2)'!L29</f>
        <v>6276</v>
      </c>
      <c r="R187" s="12">
        <f>'Inputs (2)'!M29</f>
        <v>6276</v>
      </c>
      <c r="S187" s="46">
        <f>'Inputs (2)'!N29</f>
        <v>6499</v>
      </c>
      <c r="T187" s="46">
        <f>'Inputs (2)'!O29</f>
        <v>6193</v>
      </c>
      <c r="U187" s="46">
        <f>'Inputs (2)'!P29</f>
        <v>6428</v>
      </c>
      <c r="V187" s="46">
        <f>'Inputs (2)'!Q29</f>
        <v>6681</v>
      </c>
      <c r="W187" s="12">
        <f>'Inputs (2)'!R29</f>
        <v>6681</v>
      </c>
      <c r="X187" s="46">
        <f>'Inputs (2)'!S29</f>
        <v>7069</v>
      </c>
      <c r="Y187" s="46">
        <f>'Inputs (2)'!T29</f>
        <v>6704</v>
      </c>
      <c r="Z187" s="46">
        <f>'Inputs (2)'!U29</f>
        <v>7229</v>
      </c>
      <c r="AA187" s="46">
        <f>'Inputs (2)'!V29</f>
        <v>7229</v>
      </c>
      <c r="AB187" s="12">
        <f>'Inputs (2)'!W29</f>
        <v>7229</v>
      </c>
      <c r="AC187" s="46">
        <f>'Inputs (2)'!X29</f>
        <v>7641</v>
      </c>
      <c r="AD187" s="46">
        <f>'Inputs (2)'!Y29</f>
        <v>7396</v>
      </c>
      <c r="AE187" s="46">
        <f>'Inputs (2)'!Z29</f>
        <v>7882</v>
      </c>
      <c r="AF187" s="46">
        <f>'Inputs (2)'!AA29</f>
        <v>7884</v>
      </c>
      <c r="AG187" s="12">
        <f>'Inputs (2)'!AB29</f>
        <v>7884</v>
      </c>
      <c r="AH187" s="12">
        <f>'Inputs (2)'!AC29</f>
        <v>8468</v>
      </c>
      <c r="AI187" s="12">
        <f>'Inputs (2)'!AD29</f>
        <v>8166</v>
      </c>
      <c r="AJ187" s="12">
        <f>AI187*(1+AJ16)</f>
        <v>8904.40056982943</v>
      </c>
      <c r="AK187" s="12">
        <f>AJ187*(1+AK16)</f>
        <v>9709.57010874095</v>
      </c>
      <c r="AL187" s="12">
        <f>AK187</f>
        <v>9709.57010874095</v>
      </c>
      <c r="AM187" s="12">
        <f>AL187*(1+AM16)</f>
        <v>10587.5461191614</v>
      </c>
      <c r="AN187" s="12">
        <f>AM187*(1+AN16)</f>
        <v>11544.9120372956</v>
      </c>
      <c r="AO187" s="12">
        <f>AN187*(1+AO16)</f>
        <v>12588.8465985214</v>
      </c>
      <c r="AP187" s="12">
        <f>AO187*(1+AP16)</f>
        <v>13727.1776665894</v>
      </c>
      <c r="AQ187" s="12">
        <f>AP187</f>
        <v>13727.1776665894</v>
      </c>
      <c r="AR187" s="12">
        <f>AQ187*(1+AR16)</f>
        <v>14899.8050419301</v>
      </c>
      <c r="AS187" s="12">
        <f>AR187*(1+AS16)</f>
        <v>16172.6026776693</v>
      </c>
      <c r="AT187" s="12">
        <f>AS187*(1+AT16)</f>
        <v>17554.1274958774</v>
      </c>
      <c r="AU187" s="12">
        <f>AT187*(1+AU16)</f>
        <v>19053.6673832344</v>
      </c>
      <c r="AV187" s="12">
        <f>AU187</f>
        <v>19053.6673832344</v>
      </c>
      <c r="AW187" s="12">
        <f>AV187*(1+AW16)</f>
        <v>20586.0352958729</v>
      </c>
      <c r="AX187" s="12">
        <f>AW187*(1+AX16)</f>
        <v>22241.6420250843</v>
      </c>
      <c r="AY187" s="12">
        <f>AX187*(1+AY16)</f>
        <v>24030.3989020737</v>
      </c>
      <c r="AZ187" s="12">
        <f>AY187*(1+AZ16)</f>
        <v>25963.0143647453</v>
      </c>
      <c r="BA187" s="12">
        <f>AZ187</f>
        <v>25963.0143647453</v>
      </c>
      <c r="BB187" s="12">
        <f>BA187*(1+BB16)</f>
        <v>27921.2429922104</v>
      </c>
      <c r="BC187" s="12">
        <f>BB187*(1+BC16)</f>
        <v>30027.1686206305</v>
      </c>
      <c r="BD187" s="12">
        <f>BC187*(1+BD16)</f>
        <v>32291.931115793</v>
      </c>
      <c r="BE187" s="12">
        <f>BD187*(1+BE16)</f>
        <v>34727.5105542476</v>
      </c>
      <c r="BF187" s="12">
        <f>BE187</f>
        <v>34727.5105542476</v>
      </c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hidden="1" outlineLevel="1">
      <c r="C188" s="59" t="inlineStr">
        <is>
          <t>%(Var.)</t>
        </is>
      </c>
      <c r="D188" s="12" t="n"/>
      <c r="E188" s="40" t="n"/>
      <c r="F188" s="40" t="n"/>
      <c r="G188" s="40" t="n"/>
      <c r="H188" s="12" t="n"/>
      <c r="I188" s="40" t="str">
        <f>""</f>
        <v/>
      </c>
      <c r="J188" s="40">
        <f>IFERROR(IF(I187=0,"",J187/I187-1),"")</f>
        <v>-0.0405429226158999</v>
      </c>
      <c r="K188" s="40">
        <f>IFERROR(IF(J187=0,"",K187/J187-1),"")</f>
        <v>0.0584236634209077</v>
      </c>
      <c r="L188" s="40">
        <f>IFERROR(IF(K187=0,"",L187/K187-1),"")</f>
        <v>-0.00867904877625414</v>
      </c>
      <c r="M188" s="12">
        <f>IF(L187=0,"",M187/L187-1)</f>
        <v>0</v>
      </c>
      <c r="N188" s="40">
        <f>IFERROR(IF(M187=0,"",N187/M187-1),"")</f>
        <v>0.0759936963754158</v>
      </c>
      <c r="O188" s="40">
        <f>IFERROR(IF(N187=0,"",O187/N187-1),"")</f>
        <v>-0.0369406021155411</v>
      </c>
      <c r="P188" s="40">
        <f>IFERROR(IF(O187=0,"",P187/O187-1),"")</f>
        <v>0.0631970260223049</v>
      </c>
      <c r="Q188" s="40">
        <f>IFERROR(IF(P187=0,"",Q187/P187-1),"")</f>
        <v>-0.0025429116338207</v>
      </c>
      <c r="R188" s="12">
        <f>IF(Q187=0,"",R187/Q187-1)</f>
        <v>0</v>
      </c>
      <c r="S188" s="40">
        <f>IFERROR(IF(R187=0,"",S187/R187-1),"")</f>
        <v>0.0355321861057998</v>
      </c>
      <c r="T188" s="40">
        <f>IFERROR(IF(S187=0,"",T187/S187-1),"")</f>
        <v>-0.0470841667948915</v>
      </c>
      <c r="U188" s="40">
        <f>IFERROR(IF(T187=0,"",U187/T187-1),"")</f>
        <v>0.0379460681414501</v>
      </c>
      <c r="V188" s="40">
        <f>IFERROR(IF(U187=0,"",V187/U187-1),"")</f>
        <v>0.0393590541381457</v>
      </c>
      <c r="W188" s="12">
        <f>IF(V187=0,"",W187/V187-1)</f>
        <v>0</v>
      </c>
      <c r="X188" s="40">
        <f>IFERROR(IF(W187=0,"",X187/W187-1),"")</f>
        <v>0.0580751384523275</v>
      </c>
      <c r="Y188" s="40">
        <f>IFERROR(IF(X187=0,"",Y187/X187-1),"")</f>
        <v>-0.0516338944688075</v>
      </c>
      <c r="Z188" s="40">
        <f>IFERROR(IF(Y187=0,"",Z187/Y187-1),"")</f>
        <v>0.0783114558472553</v>
      </c>
      <c r="AA188" s="40">
        <f>IFERROR(IF(Z187=0,"",AA187/Z187-1),"")</f>
        <v>0</v>
      </c>
      <c r="AB188" s="12">
        <f>IF(AA187=0,"",AB187/AA187-1)</f>
        <v>0</v>
      </c>
      <c r="AC188" s="40">
        <f>IFERROR(IF(AB187=0,"",AC187/AB187-1),"")</f>
        <v>0.0569926684188684</v>
      </c>
      <c r="AD188" s="40">
        <f>IFERROR(IF(AC187=0,"",AD187/AC187-1),"")</f>
        <v>-0.0320638659861274</v>
      </c>
      <c r="AE188" s="40">
        <f>IFERROR(IF(AD187=0,"",AE187/AD187-1),"")</f>
        <v>0.0657111952406706</v>
      </c>
      <c r="AF188" s="55">
        <f>IFERROR(IF(AE187=0,"",AF187/AE187-1),"")</f>
        <v>0.000253742704897197</v>
      </c>
      <c r="AG188" s="12">
        <f>IF(AF187=0,"",AG187/AF187-1)</f>
        <v>0</v>
      </c>
      <c r="AH188" s="55">
        <f>IFERROR(IF(AG187=0,"",AH187/AG187-1),"")</f>
        <v>0.0740740740740742</v>
      </c>
      <c r="AI188" s="55">
        <f>IFERROR(IF(AH187=0,"",AI187/AH187-1),"")</f>
        <v>-0.0356636750118091</v>
      </c>
      <c r="AJ188" s="55">
        <f>IFERROR(IF(AI187=0,"",AJ187/AI187-1),"")</f>
        <v>0.0904237778385288</v>
      </c>
      <c r="AK188" s="55">
        <f>IF(AJ187=0,"",AK187/AJ187-1)</f>
        <v>0.0904237778385288</v>
      </c>
      <c r="AL188" s="12">
        <f>IF(AK187=0,"",AL187/AK187-1)</f>
        <v>0</v>
      </c>
      <c r="AM188" s="55">
        <f>IF(AL187=0,"",AM187/AL187-1)</f>
        <v>0.0904237778385288</v>
      </c>
      <c r="AN188" s="55">
        <f>IF(AM187=0,"",AN187/AM187-1)</f>
        <v>0.0904237778385288</v>
      </c>
      <c r="AO188" s="55">
        <f>IF(AN187=0,"",AO187/AN187-1)</f>
        <v>0.0904237778385288</v>
      </c>
      <c r="AP188" s="55">
        <f>IF(AO187=0,"",AP187/AO187-1)</f>
        <v>0.0904237778385288</v>
      </c>
      <c r="AQ188" s="12">
        <f>IF(AP187=0,"",AQ187/AP187-1)</f>
        <v>0</v>
      </c>
      <c r="AR188" s="55">
        <f>IF(AQ187=0,"",AR187/AQ187-1)</f>
        <v>0.0854237778385287</v>
      </c>
      <c r="AS188" s="55">
        <f>IF(AR187=0,"",AS187/AR187-1)</f>
        <v>0.0854237778385287</v>
      </c>
      <c r="AT188" s="55">
        <f>IF(AS187=0,"",AT187/AS187-1)</f>
        <v>0.0854237778385287</v>
      </c>
      <c r="AU188" s="55">
        <f>IF(AT187=0,"",AU187/AT187-1)</f>
        <v>0.0854237778385287</v>
      </c>
      <c r="AV188" s="12">
        <f>IF(AU187=0,"",AV187/AU187-1)</f>
        <v>0</v>
      </c>
      <c r="AW188" s="55">
        <f>IF(AV187=0,"",AW187/AV187-1)</f>
        <v>0.0804237778385288</v>
      </c>
      <c r="AX188" s="55">
        <f>IF(AW187=0,"",AX187/AW187-1)</f>
        <v>0.0804237778385288</v>
      </c>
      <c r="AY188" s="55">
        <f>IF(AX187=0,"",AY187/AX187-1)</f>
        <v>0.0804237778385288</v>
      </c>
      <c r="AZ188" s="55">
        <f>IF(AY187=0,"",AZ187/AY187-1)</f>
        <v>0.0804237778385288</v>
      </c>
      <c r="BA188" s="12">
        <f>IF(AZ187=0,"",BA187/AZ187-1)</f>
        <v>0</v>
      </c>
      <c r="BB188" s="55">
        <f>IF(BA187=0,"",BB187/BA187-1)</f>
        <v>0.0754237778385289</v>
      </c>
      <c r="BC188" s="55">
        <f>IF(BB187=0,"",BC187/BB187-1)</f>
        <v>0.0754237778385289</v>
      </c>
      <c r="BD188" s="55">
        <f>IF(BC187=0,"",BD187/BC187-1)</f>
        <v>0.0754237778385289</v>
      </c>
      <c r="BE188" s="55">
        <f>IF(BD187=0,"",BE187/BD187-1)</f>
        <v>0.0754237778385289</v>
      </c>
      <c r="BF188" s="12">
        <f>IF(BE187=0,"",BF187/BE187-1)</f>
        <v>0</v>
      </c>
      <c r="BG188" s="55" t="n"/>
      <c r="BH188" s="55" t="n"/>
      <c r="BI188" s="55" t="n"/>
      <c r="BJ188" s="55" t="n"/>
      <c r="BK188" s="12" t="n"/>
      <c r="BL188" s="55" t="n"/>
      <c r="BM188" s="55" t="n"/>
      <c r="BN188" s="55" t="n"/>
      <c r="BO188" s="55" t="n"/>
      <c r="BP188" s="12" t="n"/>
      <c r="BQ188" s="55" t="n"/>
      <c r="BR188" s="55" t="n"/>
      <c r="BS188" s="55" t="n"/>
      <c r="BT188" s="55" t="n"/>
      <c r="BU188" s="12" t="n"/>
      <c r="BV188" s="55" t="n"/>
      <c r="BW188" s="55" t="n"/>
      <c r="BX188" s="55" t="n"/>
      <c r="BY188" s="55" t="n"/>
      <c r="BZ188" s="12" t="n"/>
      <c r="CA188" s="55" t="n"/>
      <c r="CB188" s="55" t="n"/>
      <c r="CC188" s="55" t="n"/>
      <c r="CD188" s="55" t="n"/>
      <c r="CE188" s="12" t="n"/>
      <c r="CF188" s="55" t="n"/>
      <c r="CG188" s="55" t="n"/>
      <c r="CH188" s="55" t="n"/>
      <c r="CI188" s="55" t="n"/>
      <c r="CJ188" s="12" t="n"/>
      <c r="CK188" s="55" t="n"/>
      <c r="CL188" s="55" t="n"/>
      <c r="CM188" s="55" t="n"/>
      <c r="CN188" s="55" t="n"/>
      <c r="CO188" s="12" t="n"/>
      <c r="CP188" s="55" t="n"/>
      <c r="CQ188" s="55" t="n"/>
      <c r="CR188" s="55" t="n"/>
      <c r="CS188" s="55" t="n"/>
      <c r="CT188" s="12" t="n"/>
      <c r="CU188" s="55" t="n"/>
      <c r="CV188" s="55" t="n"/>
      <c r="CW188" s="55" t="n"/>
      <c r="CX188" s="55" t="n"/>
      <c r="CY188" s="12" t="n"/>
    </row>
    <row r="189" collapsed="1">
      <c r="C189" s="14" t="inlineStr">
        <is>
          <t>Taxes payable</t>
        </is>
      </c>
      <c r="D189" s="46" t="n"/>
      <c r="E189" s="46" t="n"/>
      <c r="F189" s="46" t="n"/>
      <c r="G189" s="46" t="n"/>
      <c r="H189" s="12" t="n"/>
      <c r="I189" s="46">
        <f>'Inputs (2)'!D30</f>
        <v>0</v>
      </c>
      <c r="J189" s="46">
        <f>'Inputs (2)'!E30</f>
        <v>0</v>
      </c>
      <c r="K189" s="46">
        <f>'Inputs (2)'!F30</f>
        <v>0</v>
      </c>
      <c r="L189" s="46">
        <f>'Inputs (2)'!G30</f>
        <v>0</v>
      </c>
      <c r="M189" s="12">
        <f>'Inputs (2)'!H30</f>
        <v>0</v>
      </c>
      <c r="N189" s="46">
        <f>'Inputs (2)'!I30</f>
        <v>0</v>
      </c>
      <c r="O189" s="46">
        <f>'Inputs (2)'!J30</f>
        <v>0</v>
      </c>
      <c r="P189" s="46">
        <f>'Inputs (2)'!K30</f>
        <v>0</v>
      </c>
      <c r="Q189" s="46">
        <f>'Inputs (2)'!L30</f>
        <v>0</v>
      </c>
      <c r="R189" s="12">
        <f>'Inputs (2)'!M30</f>
        <v>0</v>
      </c>
      <c r="S189" s="46">
        <f>'Inputs (2)'!N30</f>
        <v>0</v>
      </c>
      <c r="T189" s="46">
        <f>'Inputs (2)'!O30</f>
        <v>0</v>
      </c>
      <c r="U189" s="46">
        <f>'Inputs (2)'!P30</f>
        <v>0</v>
      </c>
      <c r="V189" s="46">
        <f>'Inputs (2)'!Q30</f>
        <v>0</v>
      </c>
      <c r="W189" s="12">
        <f>'Inputs (2)'!R30</f>
        <v>0</v>
      </c>
      <c r="X189" s="46">
        <f>'Inputs (2)'!S30</f>
        <v>0</v>
      </c>
      <c r="Y189" s="46">
        <f>'Inputs (2)'!T30</f>
        <v>0</v>
      </c>
      <c r="Z189" s="46">
        <f>'Inputs (2)'!U30</f>
        <v>0</v>
      </c>
      <c r="AA189" s="46">
        <f>'Inputs (2)'!V30</f>
        <v>0</v>
      </c>
      <c r="AB189" s="12">
        <f>'Inputs (2)'!W30</f>
        <v>0</v>
      </c>
      <c r="AC189" s="46">
        <f>'Inputs (2)'!X30</f>
        <v>0</v>
      </c>
      <c r="AD189" s="46">
        <f>'Inputs (2)'!Y30</f>
        <v>0</v>
      </c>
      <c r="AE189" s="46">
        <f>'Inputs (2)'!Z30</f>
        <v>0</v>
      </c>
      <c r="AF189" s="46">
        <f>'Inputs (2)'!AA30</f>
        <v>0</v>
      </c>
      <c r="AG189" s="12">
        <f>'Inputs (2)'!AB30</f>
        <v>0</v>
      </c>
      <c r="AH189" s="12">
        <f>'Inputs (2)'!AC30</f>
        <v>0</v>
      </c>
      <c r="AI189" s="12">
        <f>'Inputs (2)'!AD30</f>
        <v>0</v>
      </c>
      <c r="AJ189" s="12">
        <f>AI189*(1+AJ16)</f>
        <v>0</v>
      </c>
      <c r="AK189" s="12">
        <f>AJ189*(1+AK16)</f>
        <v>0</v>
      </c>
      <c r="AL189" s="12">
        <f>AK189</f>
        <v>0</v>
      </c>
      <c r="AM189" s="12">
        <f>AL189*(1+AM16)</f>
        <v>0</v>
      </c>
      <c r="AN189" s="12">
        <f>AM189*(1+AN16)</f>
        <v>0</v>
      </c>
      <c r="AO189" s="12">
        <f>AN189*(1+AO16)</f>
        <v>0</v>
      </c>
      <c r="AP189" s="12">
        <f>AO189*(1+AP16)</f>
        <v>0</v>
      </c>
      <c r="AQ189" s="12">
        <f>AP189</f>
        <v>0</v>
      </c>
      <c r="AR189" s="12">
        <f>AQ189*(1+AR16)</f>
        <v>0</v>
      </c>
      <c r="AS189" s="12">
        <f>AR189*(1+AS16)</f>
        <v>0</v>
      </c>
      <c r="AT189" s="12">
        <f>AS189*(1+AT16)</f>
        <v>0</v>
      </c>
      <c r="AU189" s="12">
        <f>AT189*(1+AU16)</f>
        <v>0</v>
      </c>
      <c r="AV189" s="12">
        <f>AU189</f>
        <v>0</v>
      </c>
      <c r="AW189" s="12">
        <f>AV189*(1+AW16)</f>
        <v>0</v>
      </c>
      <c r="AX189" s="12">
        <f>AW189*(1+AX16)</f>
        <v>0</v>
      </c>
      <c r="AY189" s="12">
        <f>AX189*(1+AY16)</f>
        <v>0</v>
      </c>
      <c r="AZ189" s="12">
        <f>AY189*(1+AZ16)</f>
        <v>0</v>
      </c>
      <c r="BA189" s="12">
        <f>AZ189</f>
        <v>0</v>
      </c>
      <c r="BB189" s="12">
        <f>BA189*(1+BB16)</f>
        <v>0</v>
      </c>
      <c r="BC189" s="12">
        <f>BB189*(1+BC16)</f>
        <v>0</v>
      </c>
      <c r="BD189" s="12">
        <f>BC189*(1+BD16)</f>
        <v>0</v>
      </c>
      <c r="BE189" s="12">
        <f>BD189*(1+BE16)</f>
        <v>0</v>
      </c>
      <c r="BF189" s="12">
        <f>BE189</f>
        <v>0</v>
      </c>
      <c r="BG189" s="12" t="n"/>
      <c r="BH189" s="12" t="n"/>
      <c r="BI189" s="12" t="n"/>
      <c r="BJ189" s="12" t="n"/>
      <c r="BK189" s="12" t="n"/>
      <c r="BL189" s="12" t="n"/>
      <c r="BM189" s="12" t="n"/>
      <c r="BN189" s="12" t="n"/>
      <c r="BO189" s="12" t="n"/>
      <c r="BP189" s="12" t="n"/>
      <c r="BQ189" s="12" t="n"/>
      <c r="BR189" s="12" t="n"/>
      <c r="BS189" s="12" t="n"/>
      <c r="BT189" s="12" t="n"/>
      <c r="BU189" s="12" t="n"/>
      <c r="BV189" s="12" t="n"/>
      <c r="BW189" s="12" t="n"/>
      <c r="BX189" s="12" t="n"/>
      <c r="BY189" s="12" t="n"/>
      <c r="BZ189" s="12" t="n"/>
      <c r="CA189" s="12" t="n"/>
      <c r="CB189" s="12" t="n"/>
      <c r="CC189" s="12" t="n"/>
      <c r="CD189" s="12" t="n"/>
      <c r="CE189" s="12" t="n"/>
      <c r="CF189" s="12" t="n"/>
      <c r="CG189" s="12" t="n"/>
      <c r="CH189" s="12" t="n"/>
      <c r="CI189" s="12" t="n"/>
      <c r="CJ189" s="12" t="n"/>
      <c r="CK189" s="12" t="n"/>
      <c r="CL189" s="12" t="n"/>
      <c r="CM189" s="12" t="n"/>
      <c r="CN189" s="12" t="n"/>
      <c r="CO189" s="12" t="n"/>
      <c r="CP189" s="12" t="n"/>
      <c r="CQ189" s="12" t="n"/>
      <c r="CR189" s="12" t="n"/>
      <c r="CS189" s="12" t="n"/>
      <c r="CT189" s="12" t="n"/>
      <c r="CU189" s="12" t="n"/>
      <c r="CV189" s="12" t="n"/>
      <c r="CW189" s="12" t="n"/>
      <c r="CX189" s="12" t="n"/>
      <c r="CY189" s="12" t="n"/>
    </row>
    <row r="190">
      <c r="C190" s="14" t="inlineStr">
        <is>
          <t>Other current liabilities (non-debt)</t>
        </is>
      </c>
      <c r="D190" s="46" t="n"/>
      <c r="E190" s="46" t="n"/>
      <c r="F190" s="46" t="n"/>
      <c r="G190" s="46" t="n"/>
      <c r="H190" s="12" t="n"/>
      <c r="I190" s="46">
        <f>'Inputs (2)'!D31</f>
        <v>6413</v>
      </c>
      <c r="J190" s="46">
        <f>'Inputs (2)'!E31</f>
        <v>6909</v>
      </c>
      <c r="K190" s="46">
        <f>'Inputs (2)'!F31</f>
        <v>6603</v>
      </c>
      <c r="L190" s="46">
        <f>'Inputs (2)'!G31</f>
        <v>7271</v>
      </c>
      <c r="M190" s="12">
        <f>'Inputs (2)'!H31</f>
        <v>7271</v>
      </c>
      <c r="N190" s="46">
        <f>'Inputs (2)'!I31</f>
        <v>8311</v>
      </c>
      <c r="O190" s="46">
        <f>'Inputs (2)'!J31</f>
        <v>8199</v>
      </c>
      <c r="P190" s="46">
        <f>'Inputs (2)'!K31</f>
        <v>7785</v>
      </c>
      <c r="Q190" s="46">
        <f>'Inputs (2)'!L31</f>
        <v>8372</v>
      </c>
      <c r="R190" s="12">
        <f>'Inputs (2)'!M31</f>
        <v>8372</v>
      </c>
      <c r="S190" s="46">
        <f>'Inputs (2)'!N31</f>
        <v>9534</v>
      </c>
      <c r="T190" s="46">
        <f>'Inputs (2)'!O31</f>
        <v>8662</v>
      </c>
      <c r="U190" s="46">
        <f>'Inputs (2)'!P31</f>
        <v>8591</v>
      </c>
      <c r="V190" s="46">
        <f>'Inputs (2)'!Q31</f>
        <v>8650</v>
      </c>
      <c r="W190" s="12">
        <f>'Inputs (2)'!R31</f>
        <v>8650</v>
      </c>
      <c r="X190" s="46">
        <f>'Inputs (2)'!S31</f>
        <v>9045</v>
      </c>
      <c r="Y190" s="46">
        <f>'Inputs (2)'!T31</f>
        <v>8736</v>
      </c>
      <c r="Z190" s="46">
        <f>'Inputs (2)'!U31</f>
        <v>8711</v>
      </c>
      <c r="AA190" s="46">
        <f>'Inputs (2)'!V31</f>
        <v>9267</v>
      </c>
      <c r="AB190" s="12">
        <f>'Inputs (2)'!W31</f>
        <v>9267</v>
      </c>
      <c r="AC190" s="46">
        <f>'Inputs (2)'!X31</f>
        <v>10748</v>
      </c>
      <c r="AD190" s="46">
        <f>'Inputs (2)'!Y31</f>
        <v>10363</v>
      </c>
      <c r="AE190" s="46">
        <f>'Inputs (2)'!Z31</f>
        <v>9443</v>
      </c>
      <c r="AF190" s="46">
        <f>'Inputs (2)'!AA31</f>
        <v>10408</v>
      </c>
      <c r="AG190" s="12">
        <f>'Inputs (2)'!AB31</f>
        <v>10408</v>
      </c>
      <c r="AH190" s="12">
        <f>'Inputs (2)'!AC31</f>
        <v>11648</v>
      </c>
      <c r="AI190" s="12">
        <f>'Inputs (2)'!AD31</f>
        <v>11596</v>
      </c>
      <c r="AJ190" s="12">
        <f>AI190</f>
        <v>11596</v>
      </c>
      <c r="AK190" s="12">
        <f>AJ190</f>
        <v>11596</v>
      </c>
      <c r="AL190" s="12">
        <f>AK190</f>
        <v>11596</v>
      </c>
      <c r="AM190" s="12">
        <f>AL190</f>
        <v>11596</v>
      </c>
      <c r="AN190" s="12">
        <f>AM190</f>
        <v>11596</v>
      </c>
      <c r="AO190" s="12">
        <f>AN190</f>
        <v>11596</v>
      </c>
      <c r="AP190" s="12">
        <f>AO190</f>
        <v>11596</v>
      </c>
      <c r="AQ190" s="12">
        <f>AP190</f>
        <v>11596</v>
      </c>
      <c r="AR190" s="12">
        <f>AQ190</f>
        <v>11596</v>
      </c>
      <c r="AS190" s="12">
        <f>AR190</f>
        <v>11596</v>
      </c>
      <c r="AT190" s="12">
        <f>AS190</f>
        <v>11596</v>
      </c>
      <c r="AU190" s="12">
        <f>AT190</f>
        <v>11596</v>
      </c>
      <c r="AV190" s="12">
        <f>AU190</f>
        <v>11596</v>
      </c>
      <c r="AW190" s="12">
        <f>AV190</f>
        <v>11596</v>
      </c>
      <c r="AX190" s="12">
        <f>AW190</f>
        <v>11596</v>
      </c>
      <c r="AY190" s="12">
        <f>AX190</f>
        <v>11596</v>
      </c>
      <c r="AZ190" s="12">
        <f>AY190</f>
        <v>11596</v>
      </c>
      <c r="BA190" s="12">
        <f>AZ190</f>
        <v>11596</v>
      </c>
      <c r="BB190" s="12">
        <f>BA190</f>
        <v>11596</v>
      </c>
      <c r="BC190" s="12">
        <f>BB190</f>
        <v>11596</v>
      </c>
      <c r="BD190" s="12">
        <f>BC190</f>
        <v>11596</v>
      </c>
      <c r="BE190" s="12">
        <f>BD190</f>
        <v>11596</v>
      </c>
      <c r="BF190" s="12">
        <f>BE190</f>
        <v>11596</v>
      </c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hidden="1" outlineLevel="1">
      <c r="C191" s="59" t="inlineStr">
        <is>
          <t>%(Var.)</t>
        </is>
      </c>
      <c r="D191" s="12" t="n"/>
      <c r="E191" s="40" t="n"/>
      <c r="F191" s="40" t="n"/>
      <c r="G191" s="40" t="n"/>
      <c r="H191" s="12" t="n"/>
      <c r="I191" s="40" t="str">
        <f>""</f>
        <v/>
      </c>
      <c r="J191" s="40">
        <f>IFERROR(IF(I190=0,"",J190/I190-1),"")</f>
        <v>0.0773428972399812</v>
      </c>
      <c r="K191" s="40">
        <f>IFERROR(IF(J190=0,"",K190/J190-1),"")</f>
        <v>-0.0442900564481111</v>
      </c>
      <c r="L191" s="40">
        <f>IFERROR(IF(K190=0,"",L190/K190-1),"")</f>
        <v>0.101166136604574</v>
      </c>
      <c r="M191" s="12">
        <f>IF(L190=0,"",M190/L190-1)</f>
        <v>0</v>
      </c>
      <c r="N191" s="40">
        <f>IFERROR(IF(M190=0,"",N190/M190-1),"")</f>
        <v>0.14303397056801</v>
      </c>
      <c r="O191" s="40">
        <f>IFERROR(IF(N190=0,"",O190/N190-1),"")</f>
        <v>-0.0134761159908555</v>
      </c>
      <c r="P191" s="40">
        <f>IFERROR(IF(O190=0,"",P190/O190-1),"")</f>
        <v>-0.0504939626783754</v>
      </c>
      <c r="Q191" s="40">
        <f>IFERROR(IF(P190=0,"",Q190/P190-1),"")</f>
        <v>0.0754014129736673</v>
      </c>
      <c r="R191" s="12">
        <f>IF(Q190=0,"",R190/Q190-1)</f>
        <v>0</v>
      </c>
      <c r="S191" s="40">
        <f>IFERROR(IF(R190=0,"",S190/R190-1),"")</f>
        <v>0.138795986622074</v>
      </c>
      <c r="T191" s="40">
        <f>IFERROR(IF(S190=0,"",T190/S190-1),"")</f>
        <v>-0.0914621355149989</v>
      </c>
      <c r="U191" s="40">
        <f>IFERROR(IF(T190=0,"",U190/T190-1),"")</f>
        <v>-0.00819672131147542</v>
      </c>
      <c r="V191" s="40">
        <f>IFERROR(IF(U190=0,"",V190/U190-1),"")</f>
        <v>0.00686765219415664</v>
      </c>
      <c r="W191" s="12">
        <f>IF(V190=0,"",W190/V190-1)</f>
        <v>0</v>
      </c>
      <c r="X191" s="40">
        <f>IFERROR(IF(W190=0,"",X190/W190-1),"")</f>
        <v>0.045664739884393</v>
      </c>
      <c r="Y191" s="40">
        <f>IFERROR(IF(X190=0,"",Y190/X190-1),"")</f>
        <v>-0.034162520729685</v>
      </c>
      <c r="Z191" s="40">
        <f>IFERROR(IF(Y190=0,"",Z190/Y190-1),"")</f>
        <v>-0.0028617216117216</v>
      </c>
      <c r="AA191" s="40">
        <f>IFERROR(IF(Z190=0,"",AA190/Z190-1),"")</f>
        <v>0.0638273447365401</v>
      </c>
      <c r="AB191" s="12">
        <f>IF(AA190=0,"",AB190/AA190-1)</f>
        <v>0</v>
      </c>
      <c r="AC191" s="40">
        <f>IFERROR(IF(AB190=0,"",AC190/AB190-1),"")</f>
        <v>0.159814395165641</v>
      </c>
      <c r="AD191" s="40">
        <f>IFERROR(IF(AC190=0,"",AD190/AC190-1),"")</f>
        <v>-0.0358206177893562</v>
      </c>
      <c r="AE191" s="40">
        <f>IFERROR(IF(AD190=0,"",AE190/AD190-1),"")</f>
        <v>-0.0887773810672585</v>
      </c>
      <c r="AF191" s="55">
        <f>IFERROR(IF(AE190=0,"",AF190/AE190-1),"")</f>
        <v>0.10219209996823</v>
      </c>
      <c r="AG191" s="12">
        <f>IF(AF190=0,"",AG190/AF190-1)</f>
        <v>0</v>
      </c>
      <c r="AH191" s="55">
        <f>IFERROR(IF(AG190=0,"",AH190/AG190-1),"")</f>
        <v>0.119139123750961</v>
      </c>
      <c r="AI191" s="55">
        <f>IFERROR(IF(AH190=0,"",AI190/AH190-1),"")</f>
        <v>-0.0044642857142857</v>
      </c>
      <c r="AJ191" s="55">
        <f>IFERROR(IF(AI190=0,"",AJ190/AI190-1),"")</f>
        <v>0</v>
      </c>
      <c r="AK191" s="55">
        <f>IFERROR(IF(AJ190=0,"",AK190/AJ190-1),"")</f>
        <v>0</v>
      </c>
      <c r="AL191" s="12">
        <f>IFERROR(IF(AK190=0,"",AL190/AK190-1),"")</f>
        <v>0</v>
      </c>
      <c r="AM191" s="55">
        <f>IFERROR(IF(AL190=0,"",AM190/AL190-1),"")</f>
        <v>0</v>
      </c>
      <c r="AN191" s="55">
        <f>IFERROR(IF(AM190=0,"",AN190/AM190-1),"")</f>
        <v>0</v>
      </c>
      <c r="AO191" s="55">
        <f>IFERROR(IF(AN190=0,"",AO190/AN190-1),"")</f>
        <v>0</v>
      </c>
      <c r="AP191" s="55">
        <f>IFERROR(IF(AO190=0,"",AP190/AO190-1),"")</f>
        <v>0</v>
      </c>
      <c r="AQ191" s="12">
        <f>IFERROR(IF(AP190=0,"",AQ190/AP190-1),"")</f>
        <v>0</v>
      </c>
      <c r="AR191" s="55">
        <f>IFERROR(IF(AQ190=0,"",AR190/AQ190-1),"")</f>
        <v>0</v>
      </c>
      <c r="AS191" s="55">
        <f>IFERROR(IF(AR190=0,"",AS190/AR190-1),"")</f>
        <v>0</v>
      </c>
      <c r="AT191" s="55">
        <f>IFERROR(IF(AS190=0,"",AT190/AS190-1),"")</f>
        <v>0</v>
      </c>
      <c r="AU191" s="55">
        <f>IFERROR(IF(AT190=0,"",AU190/AT190-1),"")</f>
        <v>0</v>
      </c>
      <c r="AV191" s="12">
        <f>IFERROR(IF(AU190=0,"",AV190/AU190-1),"")</f>
        <v>0</v>
      </c>
      <c r="AW191" s="55">
        <f>IFERROR(IF(AV190=0,"",AW190/AV190-1),"")</f>
        <v>0</v>
      </c>
      <c r="AX191" s="55">
        <f>IFERROR(IF(AW190=0,"",AX190/AW190-1),"")</f>
        <v>0</v>
      </c>
      <c r="AY191" s="55">
        <f>IFERROR(IF(AX190=0,"",AY190/AX190-1),"")</f>
        <v>0</v>
      </c>
      <c r="AZ191" s="55">
        <f>IFERROR(IF(AY190=0,"",AZ190/AY190-1),"")</f>
        <v>0</v>
      </c>
      <c r="BA191" s="12">
        <f>IFERROR(IF(AZ190=0,"",BA190/AZ190-1),"")</f>
        <v>0</v>
      </c>
      <c r="BB191" s="55">
        <f>IFERROR(IF(BA190=0,"",BB190/BA190-1),"")</f>
        <v>0</v>
      </c>
      <c r="BC191" s="55">
        <f>IFERROR(IF(BB190=0,"",BC190/BB190-1),"")</f>
        <v>0</v>
      </c>
      <c r="BD191" s="55">
        <f>IFERROR(IF(BC190=0,"",BD190/BC190-1),"")</f>
        <v>0</v>
      </c>
      <c r="BE191" s="55">
        <f>IFERROR(IF(BD190=0,"",BE190/BD190-1),"")</f>
        <v>0</v>
      </c>
      <c r="BF191" s="12">
        <f>IFERROR(IF(BE190=0,"",BF190/BE190-1),"")</f>
        <v>0</v>
      </c>
      <c r="BG191" s="55" t="n"/>
      <c r="BH191" s="55" t="n"/>
      <c r="BI191" s="55" t="n"/>
      <c r="BJ191" s="55" t="n"/>
      <c r="BK191" s="12" t="n"/>
      <c r="BL191" s="55" t="n"/>
      <c r="BM191" s="55" t="n"/>
      <c r="BN191" s="55" t="n"/>
      <c r="BO191" s="55" t="n"/>
      <c r="BP191" s="12" t="n"/>
      <c r="BQ191" s="55" t="n"/>
      <c r="BR191" s="55" t="n"/>
      <c r="BS191" s="55" t="n"/>
      <c r="BT191" s="55" t="n"/>
      <c r="BU191" s="12" t="n"/>
      <c r="BV191" s="55" t="n"/>
      <c r="BW191" s="55" t="n"/>
      <c r="BX191" s="55" t="n"/>
      <c r="BY191" s="55" t="n"/>
      <c r="BZ191" s="12" t="n"/>
      <c r="CA191" s="55" t="n"/>
      <c r="CB191" s="55" t="n"/>
      <c r="CC191" s="55" t="n"/>
      <c r="CD191" s="55" t="n"/>
      <c r="CE191" s="12" t="n"/>
      <c r="CF191" s="55" t="n"/>
      <c r="CG191" s="55" t="n"/>
      <c r="CH191" s="55" t="n"/>
      <c r="CI191" s="55" t="n"/>
      <c r="CJ191" s="12" t="n"/>
      <c r="CK191" s="55" t="n"/>
      <c r="CL191" s="55" t="n"/>
      <c r="CM191" s="55" t="n"/>
      <c r="CN191" s="55" t="n"/>
      <c r="CO191" s="12" t="n"/>
      <c r="CP191" s="55" t="n"/>
      <c r="CQ191" s="55" t="n"/>
      <c r="CR191" s="55" t="n"/>
      <c r="CS191" s="55" t="n"/>
      <c r="CT191" s="12" t="n"/>
      <c r="CU191" s="55" t="n"/>
      <c r="CV191" s="55" t="n"/>
      <c r="CW191" s="55" t="n"/>
      <c r="CX191" s="55" t="n"/>
      <c r="CY191" s="12" t="n"/>
    </row>
    <row r="192" hidden="1" outlineLevel="1">
      <c r="C192" s="57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  <c r="BE192" s="12" t="n"/>
      <c r="BF192" s="12" t="n"/>
      <c r="BG192" s="12" t="n"/>
      <c r="BH192" s="12" t="n"/>
      <c r="BI192" s="12" t="n"/>
      <c r="BJ192" s="12" t="n"/>
      <c r="BK192" s="12" t="n"/>
      <c r="BL192" s="12" t="n"/>
      <c r="BM192" s="12" t="n"/>
      <c r="BN192" s="12" t="n"/>
      <c r="BO192" s="12" t="n"/>
      <c r="BP192" s="12" t="n"/>
      <c r="BQ192" s="12" t="n"/>
      <c r="BR192" s="12" t="n"/>
      <c r="BS192" s="12" t="n"/>
      <c r="BT192" s="12" t="n"/>
      <c r="BU192" s="12" t="n"/>
      <c r="BV192" s="12" t="n"/>
      <c r="BW192" s="12" t="n"/>
      <c r="BX192" s="12" t="n"/>
      <c r="BY192" s="12" t="n"/>
      <c r="BZ192" s="12" t="n"/>
      <c r="CA192" s="12" t="n"/>
      <c r="CB192" s="12" t="n"/>
      <c r="CC192" s="12" t="n"/>
      <c r="CD192" s="12" t="n"/>
      <c r="CE192" s="12" t="n"/>
      <c r="CF192" s="12" t="n"/>
      <c r="CG192" s="12" t="n"/>
      <c r="CH192" s="12" t="n"/>
      <c r="CI192" s="12" t="n"/>
      <c r="CJ192" s="12" t="n"/>
      <c r="CK192" s="12" t="n"/>
      <c r="CL192" s="12" t="n"/>
      <c r="CM192" s="12" t="n"/>
      <c r="CN192" s="12" t="n"/>
      <c r="CO192" s="12" t="n"/>
      <c r="CP192" s="12" t="n"/>
      <c r="CQ192" s="12" t="n"/>
      <c r="CR192" s="12" t="n"/>
      <c r="CS192" s="12" t="n"/>
      <c r="CT192" s="12" t="n"/>
      <c r="CU192" s="12" t="n"/>
      <c r="CV192" s="12" t="n"/>
      <c r="CW192" s="12" t="n"/>
      <c r="CX192" s="12" t="n"/>
      <c r="CY192" s="12" t="n"/>
    </row>
    <row r="193" hidden="1" outlineLevel="1">
      <c r="C193" s="57" t="inlineStr">
        <is>
          <t xml:space="preserve">Dividendos a Pagar </t>
        </is>
      </c>
      <c r="D193" s="11" t="n"/>
      <c r="E193" s="11" t="n"/>
      <c r="F193" s="11" t="n"/>
      <c r="G193" s="11" t="n"/>
      <c r="H193" s="12" t="n"/>
      <c r="I193" s="11" t="n"/>
      <c r="J193" s="11" t="n"/>
      <c r="K193" s="11" t="n"/>
      <c r="L193" s="11" t="n"/>
      <c r="M193" s="12" t="n"/>
      <c r="N193" s="11" t="n"/>
      <c r="O193" s="11" t="n"/>
      <c r="P193" s="11" t="n"/>
      <c r="Q193" s="11" t="n"/>
      <c r="R193" s="12" t="n"/>
      <c r="S193" s="11" t="n"/>
      <c r="T193" s="11" t="n"/>
      <c r="U193" s="11" t="n"/>
      <c r="V193" s="11" t="n"/>
      <c r="W193" s="12" t="n"/>
      <c r="X193" s="11" t="n"/>
      <c r="Y193" s="11" t="n"/>
      <c r="Z193" s="11" t="n"/>
      <c r="AA193" s="11" t="n"/>
      <c r="AB193" s="12" t="n"/>
      <c r="AC193" s="11" t="n"/>
      <c r="AD193" s="11" t="n"/>
      <c r="AE193" s="11" t="n"/>
      <c r="AF193" s="11" t="n"/>
      <c r="AG193" s="12" t="n"/>
      <c r="AH193" s="11" t="n"/>
      <c r="AI193" s="11" t="n"/>
      <c r="AJ193" s="11" t="n"/>
      <c r="AK193" s="11" t="n"/>
      <c r="AL193" s="12" t="n"/>
      <c r="AM193" s="11" t="n"/>
      <c r="AN193" s="11" t="n"/>
      <c r="AO193" s="11" t="n"/>
      <c r="AP193" s="11" t="n"/>
      <c r="AQ193" s="12" t="n"/>
      <c r="AR193" s="11" t="n"/>
      <c r="AS193" s="11" t="n"/>
      <c r="AT193" s="11" t="n"/>
      <c r="AU193" s="11" t="n"/>
      <c r="AV193" s="12" t="n"/>
      <c r="AW193" s="11" t="n"/>
      <c r="AX193" s="11" t="n"/>
      <c r="AY193" s="11" t="n"/>
      <c r="AZ193" s="11" t="n"/>
      <c r="BA193" s="12" t="n"/>
      <c r="BB193" s="11" t="n"/>
      <c r="BC193" s="11" t="n"/>
      <c r="BD193" s="11" t="n"/>
      <c r="BE193" s="11" t="n"/>
      <c r="BF193" s="12" t="n"/>
      <c r="BG193" s="11" t="n"/>
      <c r="BH193" s="11" t="n"/>
      <c r="BI193" s="11" t="n"/>
      <c r="BJ193" s="11" t="n"/>
      <c r="BK193" s="12" t="n"/>
      <c r="BL193" s="11" t="n"/>
      <c r="BM193" s="11" t="n"/>
      <c r="BN193" s="11" t="n"/>
      <c r="BO193" s="11" t="n"/>
      <c r="BP193" s="12" t="n"/>
      <c r="BQ193" s="11" t="n"/>
      <c r="BR193" s="11" t="n"/>
      <c r="BS193" s="11" t="n"/>
      <c r="BT193" s="11" t="n"/>
      <c r="BU193" s="12" t="n"/>
      <c r="BV193" s="11" t="n"/>
      <c r="BW193" s="11" t="n"/>
      <c r="BX193" s="11" t="n"/>
      <c r="BY193" s="11" t="n"/>
      <c r="BZ193" s="12" t="n"/>
      <c r="CA193" s="11" t="n"/>
      <c r="CB193" s="11" t="n"/>
      <c r="CC193" s="11" t="n"/>
      <c r="CD193" s="11" t="n"/>
      <c r="CE193" s="12" t="n"/>
      <c r="CF193" s="11" t="n"/>
      <c r="CG193" s="11" t="n"/>
      <c r="CH193" s="11" t="n"/>
      <c r="CI193" s="11" t="n"/>
      <c r="CJ193" s="12" t="n"/>
      <c r="CK193" s="11" t="n"/>
      <c r="CL193" s="11" t="n"/>
      <c r="CM193" s="11" t="n"/>
      <c r="CN193" s="11" t="n"/>
      <c r="CO193" s="12" t="n"/>
      <c r="CP193" s="11" t="n"/>
      <c r="CQ193" s="11" t="n"/>
      <c r="CR193" s="11" t="n"/>
      <c r="CS193" s="11" t="n"/>
      <c r="CT193" s="12" t="n"/>
      <c r="CU193" s="11" t="n"/>
      <c r="CV193" s="11" t="n"/>
      <c r="CW193" s="11" t="n"/>
      <c r="CX193" s="11" t="n"/>
      <c r="CY193" s="12" t="n"/>
    </row>
    <row r="194" hidden="1" outlineLevel="1">
      <c r="C194" s="57" t="inlineStr">
        <is>
          <t>Contas a pagar pela aquisição de controladas</t>
        </is>
      </c>
      <c r="D194" s="11" t="n"/>
      <c r="E194" s="11" t="n"/>
      <c r="F194" s="11" t="n"/>
      <c r="G194" s="11" t="n"/>
      <c r="H194" s="12" t="n"/>
      <c r="I194" s="11" t="n"/>
      <c r="J194" s="11" t="n"/>
      <c r="K194" s="11" t="n"/>
      <c r="L194" s="11" t="n"/>
      <c r="M194" s="12" t="n"/>
      <c r="N194" s="11" t="n"/>
      <c r="O194" s="11" t="n"/>
      <c r="P194" s="11" t="n"/>
      <c r="Q194" s="11" t="n"/>
      <c r="R194" s="12" t="n"/>
      <c r="S194" s="11" t="n"/>
      <c r="T194" s="11" t="n"/>
      <c r="U194" s="11" t="n"/>
      <c r="V194" s="11" t="n"/>
      <c r="W194" s="12" t="n"/>
      <c r="X194" s="11" t="n"/>
      <c r="Y194" s="11" t="n"/>
      <c r="Z194" s="11" t="n"/>
      <c r="AA194" s="11" t="n"/>
      <c r="AB194" s="12" t="n"/>
      <c r="AC194" s="11" t="n"/>
      <c r="AD194" s="11" t="n"/>
      <c r="AE194" s="11" t="n"/>
      <c r="AF194" s="11" t="n"/>
      <c r="AG194" s="12" t="n"/>
      <c r="AH194" s="11" t="n"/>
      <c r="AI194" s="11" t="n"/>
      <c r="AJ194" s="11" t="n"/>
      <c r="AK194" s="11" t="n"/>
      <c r="AL194" s="12" t="n"/>
      <c r="AM194" s="11" t="n"/>
      <c r="AN194" s="11" t="n"/>
      <c r="AO194" s="11" t="n"/>
      <c r="AP194" s="11" t="n"/>
      <c r="AQ194" s="12" t="n"/>
      <c r="AR194" s="11" t="n"/>
      <c r="AS194" s="11" t="n"/>
      <c r="AT194" s="11" t="n"/>
      <c r="AU194" s="11" t="n"/>
      <c r="AV194" s="12" t="n"/>
      <c r="AW194" s="11" t="n"/>
      <c r="AX194" s="11" t="n"/>
      <c r="AY194" s="11" t="n"/>
      <c r="AZ194" s="11" t="n"/>
      <c r="BA194" s="12" t="n"/>
      <c r="BB194" s="11" t="n"/>
      <c r="BC194" s="11" t="n"/>
      <c r="BD194" s="11" t="n"/>
      <c r="BE194" s="11" t="n"/>
      <c r="BF194" s="12" t="n"/>
      <c r="BG194" s="11" t="n"/>
      <c r="BH194" s="11" t="n"/>
      <c r="BI194" s="11" t="n"/>
      <c r="BJ194" s="11" t="n"/>
      <c r="BK194" s="12" t="n"/>
      <c r="BL194" s="11" t="n"/>
      <c r="BM194" s="11" t="n"/>
      <c r="BN194" s="11" t="n"/>
      <c r="BO194" s="11" t="n"/>
      <c r="BP194" s="12" t="n"/>
      <c r="BQ194" s="11" t="n"/>
      <c r="BR194" s="11" t="n"/>
      <c r="BS194" s="11" t="n"/>
      <c r="BT194" s="11" t="n"/>
      <c r="BU194" s="12" t="n"/>
      <c r="BV194" s="11" t="n"/>
      <c r="BW194" s="11" t="n"/>
      <c r="BX194" s="11" t="n"/>
      <c r="BY194" s="11" t="n"/>
      <c r="BZ194" s="12" t="n"/>
      <c r="CA194" s="11" t="n"/>
      <c r="CB194" s="11" t="n"/>
      <c r="CC194" s="11" t="n"/>
      <c r="CD194" s="11" t="n"/>
      <c r="CE194" s="12" t="n"/>
      <c r="CF194" s="11" t="n"/>
      <c r="CG194" s="11" t="n"/>
      <c r="CH194" s="11" t="n"/>
      <c r="CI194" s="11" t="n"/>
      <c r="CJ194" s="12" t="n"/>
      <c r="CK194" s="11" t="n"/>
      <c r="CL194" s="11" t="n"/>
      <c r="CM194" s="11" t="n"/>
      <c r="CN194" s="11" t="n"/>
      <c r="CO194" s="12" t="n"/>
      <c r="CP194" s="11" t="n"/>
      <c r="CQ194" s="11" t="n"/>
      <c r="CR194" s="11" t="n"/>
      <c r="CS194" s="11" t="n"/>
      <c r="CT194" s="12" t="n"/>
      <c r="CU194" s="11" t="n"/>
      <c r="CV194" s="11" t="n"/>
      <c r="CW194" s="11" t="n"/>
      <c r="CX194" s="11" t="n"/>
      <c r="CY194" s="12" t="n"/>
    </row>
    <row r="195" hidden="1" outlineLevel="1">
      <c r="C195" s="57" t="inlineStr">
        <is>
          <t>Outros</t>
        </is>
      </c>
      <c r="D195" s="11" t="n"/>
      <c r="E195" s="11" t="n"/>
      <c r="F195" s="11" t="n"/>
      <c r="G195" s="11" t="n"/>
      <c r="H195" s="12" t="n"/>
      <c r="I195" s="11" t="n"/>
      <c r="J195" s="11" t="n"/>
      <c r="K195" s="11" t="n"/>
      <c r="L195" s="11" t="n"/>
      <c r="M195" s="12" t="n"/>
      <c r="N195" s="11" t="n"/>
      <c r="O195" s="11" t="n"/>
      <c r="P195" s="11" t="n"/>
      <c r="Q195" s="11" t="n"/>
      <c r="R195" s="12" t="n"/>
      <c r="S195" s="11" t="n"/>
      <c r="T195" s="11" t="n"/>
      <c r="U195" s="11" t="n"/>
      <c r="V195" s="11" t="n"/>
      <c r="W195" s="12" t="n"/>
      <c r="X195" s="11" t="n"/>
      <c r="Y195" s="11" t="n"/>
      <c r="Z195" s="11" t="n"/>
      <c r="AA195" s="11" t="n"/>
      <c r="AB195" s="12" t="n"/>
      <c r="AC195" s="11" t="n"/>
      <c r="AD195" s="11" t="n"/>
      <c r="AE195" s="11" t="n"/>
      <c r="AF195" s="11" t="n"/>
      <c r="AG195" s="12" t="n"/>
      <c r="AH195" s="11" t="n"/>
      <c r="AI195" s="11" t="n"/>
      <c r="AJ195" s="11" t="n"/>
      <c r="AK195" s="11" t="n"/>
      <c r="AL195" s="12" t="n"/>
      <c r="AM195" s="11" t="n"/>
      <c r="AN195" s="11" t="n"/>
      <c r="AO195" s="11" t="n"/>
      <c r="AP195" s="11" t="n"/>
      <c r="AQ195" s="12" t="n"/>
      <c r="AR195" s="11" t="n"/>
      <c r="AS195" s="11" t="n"/>
      <c r="AT195" s="11" t="n"/>
      <c r="AU195" s="11" t="n"/>
      <c r="AV195" s="12" t="n"/>
      <c r="AW195" s="11" t="n"/>
      <c r="AX195" s="11" t="n"/>
      <c r="AY195" s="11" t="n"/>
      <c r="AZ195" s="11" t="n"/>
      <c r="BA195" s="12" t="n"/>
      <c r="BB195" s="11" t="n"/>
      <c r="BC195" s="11" t="n"/>
      <c r="BD195" s="11" t="n"/>
      <c r="BE195" s="11" t="n"/>
      <c r="BF195" s="12" t="n"/>
      <c r="BG195" s="11" t="n"/>
      <c r="BH195" s="11" t="n"/>
      <c r="BI195" s="11" t="n"/>
      <c r="BJ195" s="11" t="n"/>
      <c r="BK195" s="12" t="n"/>
      <c r="BL195" s="11" t="n"/>
      <c r="BM195" s="11" t="n"/>
      <c r="BN195" s="11" t="n"/>
      <c r="BO195" s="11" t="n"/>
      <c r="BP195" s="12" t="n"/>
      <c r="BQ195" s="11" t="n"/>
      <c r="BR195" s="11" t="n"/>
      <c r="BS195" s="11" t="n"/>
      <c r="BT195" s="11" t="n"/>
      <c r="BU195" s="12" t="n"/>
      <c r="BV195" s="11" t="n"/>
      <c r="BW195" s="11" t="n"/>
      <c r="BX195" s="11" t="n"/>
      <c r="BY195" s="11" t="n"/>
      <c r="BZ195" s="12" t="n"/>
      <c r="CA195" s="11" t="n"/>
      <c r="CB195" s="11" t="n"/>
      <c r="CC195" s="11" t="n"/>
      <c r="CD195" s="11" t="n"/>
      <c r="CE195" s="12" t="n"/>
      <c r="CF195" s="11" t="n"/>
      <c r="CG195" s="11" t="n"/>
      <c r="CH195" s="11" t="n"/>
      <c r="CI195" s="11" t="n"/>
      <c r="CJ195" s="12" t="n"/>
      <c r="CK195" s="11" t="n"/>
      <c r="CL195" s="11" t="n"/>
      <c r="CM195" s="11" t="n"/>
      <c r="CN195" s="11" t="n"/>
      <c r="CO195" s="12" t="n"/>
      <c r="CP195" s="11" t="n"/>
      <c r="CQ195" s="11" t="n"/>
      <c r="CR195" s="11" t="n"/>
      <c r="CS195" s="11" t="n"/>
      <c r="CT195" s="12" t="n"/>
      <c r="CU195" s="11" t="n"/>
      <c r="CV195" s="11" t="n"/>
      <c r="CW195" s="11" t="n"/>
      <c r="CX195" s="11" t="n"/>
      <c r="CY195" s="12" t="n"/>
    </row>
    <row r="196" hidden="1" outlineLevel="1">
      <c r="C196" s="57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  <c r="BE196" s="12" t="n"/>
      <c r="BF196" s="12" t="n"/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 collapsed="1">
      <c r="C197" s="14" t="inlineStr">
        <is>
          <t>Current portion of long-term debt</t>
        </is>
      </c>
      <c r="D197" s="46" t="n"/>
      <c r="E197" s="46" t="n"/>
      <c r="F197" s="46" t="n"/>
      <c r="G197" s="46" t="n"/>
      <c r="H197" s="12" t="n"/>
      <c r="I197" s="46">
        <f>'Inputs (2)'!D32</f>
        <v>95</v>
      </c>
      <c r="J197" s="46">
        <f>'Inputs (2)'!E32</f>
        <v>92</v>
      </c>
      <c r="K197" s="46">
        <f>'Inputs (2)'!F32</f>
        <v>799</v>
      </c>
      <c r="L197" s="46">
        <f>'Inputs (2)'!G32</f>
        <v>799</v>
      </c>
      <c r="M197" s="12">
        <f>'Inputs (2)'!H32</f>
        <v>799</v>
      </c>
      <c r="N197" s="46">
        <f>'Inputs (2)'!I32</f>
        <v>0</v>
      </c>
      <c r="O197" s="46">
        <f>'Inputs (2)'!J32</f>
        <v>77</v>
      </c>
      <c r="P197" s="46">
        <f>'Inputs (2)'!K32</f>
        <v>73</v>
      </c>
      <c r="Q197" s="46">
        <f>'Inputs (2)'!L32</f>
        <v>71</v>
      </c>
      <c r="R197" s="12">
        <f>'Inputs (2)'!M32</f>
        <v>71</v>
      </c>
      <c r="S197" s="46">
        <f>'Inputs (2)'!N32</f>
        <v>76</v>
      </c>
      <c r="T197" s="46">
        <f>'Inputs (2)'!O32</f>
        <v>0</v>
      </c>
      <c r="U197" s="46">
        <f>'Inputs (2)'!P32</f>
        <v>1081</v>
      </c>
      <c r="V197" s="46">
        <f>'Inputs (2)'!Q32</f>
        <v>1080</v>
      </c>
      <c r="W197" s="12">
        <f>'Inputs (2)'!R32</f>
        <v>1080</v>
      </c>
      <c r="X197" s="46">
        <f>'Inputs (2)'!S32</f>
        <v>1080</v>
      </c>
      <c r="Y197" s="46">
        <f>'Inputs (2)'!T32</f>
        <v>1077</v>
      </c>
      <c r="Z197" s="46">
        <f>'Inputs (2)'!U32</f>
        <v>103</v>
      </c>
      <c r="AA197" s="46">
        <f>'Inputs (2)'!V32</f>
        <v>0</v>
      </c>
      <c r="AB197" s="12">
        <f>'Inputs (2)'!W32</f>
        <v>0</v>
      </c>
      <c r="AC197" s="46">
        <f>'Inputs (2)'!X32</f>
        <v>0</v>
      </c>
      <c r="AD197" s="46">
        <f>'Inputs (2)'!Y32</f>
        <v>0</v>
      </c>
      <c r="AE197" s="46">
        <f>'Inputs (2)'!Z32</f>
        <v>0</v>
      </c>
      <c r="AF197" s="46">
        <f>'Inputs (2)'!AA32</f>
        <v>0</v>
      </c>
      <c r="AG197" s="12">
        <f>'Inputs (2)'!AB32</f>
        <v>0</v>
      </c>
      <c r="AH197" s="12">
        <f>'Inputs (2)'!AC32</f>
        <v>0</v>
      </c>
      <c r="AI197" s="12">
        <f>'Inputs (2)'!AD32</f>
        <v>0</v>
      </c>
      <c r="AJ197" s="12">
        <f>AI197</f>
        <v>0</v>
      </c>
      <c r="AK197" s="12">
        <f>AJ197</f>
        <v>0</v>
      </c>
      <c r="AL197" s="12">
        <f>AK197</f>
        <v>0</v>
      </c>
      <c r="AM197" s="12">
        <f>AL197</f>
        <v>0</v>
      </c>
      <c r="AN197" s="12">
        <f>AM197</f>
        <v>0</v>
      </c>
      <c r="AO197" s="12">
        <f>AN197</f>
        <v>0</v>
      </c>
      <c r="AP197" s="12">
        <f>AO197</f>
        <v>0</v>
      </c>
      <c r="AQ197" s="12">
        <f>AP197</f>
        <v>0</v>
      </c>
      <c r="AR197" s="12">
        <f>AQ197</f>
        <v>0</v>
      </c>
      <c r="AS197" s="12">
        <f>AR197</f>
        <v>0</v>
      </c>
      <c r="AT197" s="12">
        <f>AS197</f>
        <v>0</v>
      </c>
      <c r="AU197" s="12">
        <f>AT197</f>
        <v>0</v>
      </c>
      <c r="AV197" s="12">
        <f>AU197</f>
        <v>0</v>
      </c>
      <c r="AW197" s="12">
        <f>AV197</f>
        <v>0</v>
      </c>
      <c r="AX197" s="12">
        <f>AW197</f>
        <v>0</v>
      </c>
      <c r="AY197" s="12">
        <f>AX197</f>
        <v>0</v>
      </c>
      <c r="AZ197" s="12">
        <f>AY197</f>
        <v>0</v>
      </c>
      <c r="BA197" s="12">
        <f>AZ197</f>
        <v>0</v>
      </c>
      <c r="BB197" s="12">
        <f>BA197</f>
        <v>0</v>
      </c>
      <c r="BC197" s="12">
        <f>BB197</f>
        <v>0</v>
      </c>
      <c r="BD197" s="12">
        <f>BC197</f>
        <v>0</v>
      </c>
      <c r="BE197" s="12">
        <f>BD197</f>
        <v>0</v>
      </c>
      <c r="BF197" s="12">
        <f>BE197</f>
        <v>0</v>
      </c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>
      <c r="C198" s="14" t="inlineStr">
        <is>
          <t>Short term debt (Revolving credit facility)</t>
        </is>
      </c>
      <c r="D198" s="46" t="n"/>
      <c r="E198" s="46" t="n"/>
      <c r="F198" s="46" t="n"/>
      <c r="G198" s="46" t="n"/>
      <c r="H198" s="12" t="n"/>
      <c r="I198" s="46">
        <f>'Inputs (2)'!D33</f>
        <v>0</v>
      </c>
      <c r="J198" s="46">
        <f>'Inputs (2)'!E33</f>
        <v>0</v>
      </c>
      <c r="K198" s="46">
        <f>'Inputs (2)'!F33</f>
        <v>0</v>
      </c>
      <c r="L198" s="46">
        <f>'Inputs (2)'!G33</f>
        <v>0</v>
      </c>
      <c r="M198" s="12">
        <f>'Inputs (2)'!H33</f>
        <v>0</v>
      </c>
      <c r="N198" s="46">
        <f>'Inputs (2)'!I33</f>
        <v>0</v>
      </c>
      <c r="O198" s="46">
        <f>'Inputs (2)'!J33</f>
        <v>0</v>
      </c>
      <c r="P198" s="46">
        <f>'Inputs (2)'!K33</f>
        <v>0</v>
      </c>
      <c r="Q198" s="46">
        <f>'Inputs (2)'!L33</f>
        <v>0</v>
      </c>
      <c r="R198" s="12">
        <f>'Inputs (2)'!M33</f>
        <v>0</v>
      </c>
      <c r="S198" s="46">
        <f>'Inputs (2)'!N33</f>
        <v>0</v>
      </c>
      <c r="T198" s="46">
        <f>'Inputs (2)'!O33</f>
        <v>0</v>
      </c>
      <c r="U198" s="46">
        <f>'Inputs (2)'!P33</f>
        <v>0</v>
      </c>
      <c r="V198" s="46">
        <f>'Inputs (2)'!Q33</f>
        <v>0</v>
      </c>
      <c r="W198" s="12">
        <f>'Inputs (2)'!R33</f>
        <v>0</v>
      </c>
      <c r="X198" s="46">
        <f>'Inputs (2)'!S33</f>
        <v>0</v>
      </c>
      <c r="Y198" s="46">
        <f>'Inputs (2)'!T33</f>
        <v>0</v>
      </c>
      <c r="Z198" s="46">
        <f>'Inputs (2)'!U33</f>
        <v>0</v>
      </c>
      <c r="AA198" s="46">
        <f>'Inputs (2)'!V33</f>
        <v>0</v>
      </c>
      <c r="AB198" s="12">
        <f>'Inputs (2)'!W33</f>
        <v>0</v>
      </c>
      <c r="AC198" s="46">
        <f>'Inputs (2)'!X33</f>
        <v>0</v>
      </c>
      <c r="AD198" s="46">
        <f>'Inputs (2)'!Y33</f>
        <v>0</v>
      </c>
      <c r="AE198" s="46">
        <f>'Inputs (2)'!Z33</f>
        <v>0</v>
      </c>
      <c r="AF198" s="46">
        <f>'Inputs (2)'!AA33</f>
        <v>0</v>
      </c>
      <c r="AG198" s="12">
        <f>'Inputs (2)'!AB33</f>
        <v>0</v>
      </c>
      <c r="AH198" s="12">
        <f>'Inputs (2)'!AC33</f>
        <v>0</v>
      </c>
      <c r="AI198" s="12">
        <f>'Inputs (2)'!AD33</f>
        <v>0</v>
      </c>
      <c r="AJ198" s="12">
        <f>AI198</f>
        <v>0</v>
      </c>
      <c r="AK198" s="12">
        <f>AJ198</f>
        <v>0</v>
      </c>
      <c r="AL198" s="12">
        <f>AK198</f>
        <v>0</v>
      </c>
      <c r="AM198" s="12">
        <f>AL198</f>
        <v>0</v>
      </c>
      <c r="AN198" s="12">
        <f>AM198</f>
        <v>0</v>
      </c>
      <c r="AO198" s="12">
        <f>AN198</f>
        <v>0</v>
      </c>
      <c r="AP198" s="12">
        <f>AO198</f>
        <v>0</v>
      </c>
      <c r="AQ198" s="12">
        <f>AP198</f>
        <v>0</v>
      </c>
      <c r="AR198" s="12">
        <f>AQ198</f>
        <v>0</v>
      </c>
      <c r="AS198" s="12">
        <f>AR198</f>
        <v>0</v>
      </c>
      <c r="AT198" s="12">
        <f>AS198</f>
        <v>0</v>
      </c>
      <c r="AU198" s="12">
        <f>AT198</f>
        <v>0</v>
      </c>
      <c r="AV198" s="12">
        <f>AU198</f>
        <v>0</v>
      </c>
      <c r="AW198" s="12">
        <f>AV198</f>
        <v>0</v>
      </c>
      <c r="AX198" s="12">
        <f>AW198</f>
        <v>0</v>
      </c>
      <c r="AY198" s="12">
        <f>AX198</f>
        <v>0</v>
      </c>
      <c r="AZ198" s="12">
        <f>AY198</f>
        <v>0</v>
      </c>
      <c r="BA198" s="12">
        <f>AZ198</f>
        <v>0</v>
      </c>
      <c r="BB198" s="12">
        <f>BA198</f>
        <v>0</v>
      </c>
      <c r="BC198" s="12">
        <f>BB198</f>
        <v>0</v>
      </c>
      <c r="BD198" s="12">
        <f>BC198</f>
        <v>0</v>
      </c>
      <c r="BE198" s="12">
        <f>BD198</f>
        <v>0</v>
      </c>
      <c r="BF198" s="12">
        <f>BE198</f>
        <v>0</v>
      </c>
      <c r="BG198" s="12" t="n"/>
      <c r="BH198" s="12" t="n"/>
      <c r="BI198" s="12" t="n"/>
      <c r="BJ198" s="12" t="n"/>
      <c r="BK198" s="12" t="n"/>
      <c r="BL198" s="12" t="n"/>
      <c r="BM198" s="12" t="n"/>
      <c r="BN198" s="12" t="n"/>
      <c r="BO198" s="12" t="n"/>
      <c r="BP198" s="12" t="n"/>
      <c r="BQ198" s="12" t="n"/>
      <c r="BR198" s="12" t="n"/>
      <c r="BS198" s="12" t="n"/>
      <c r="BT198" s="12" t="n"/>
      <c r="BU198" s="12" t="n"/>
      <c r="BV198" s="12" t="n"/>
      <c r="BW198" s="12" t="n"/>
      <c r="BX198" s="12" t="n"/>
      <c r="BY198" s="12" t="n"/>
      <c r="BZ198" s="12" t="n"/>
      <c r="CA198" s="12" t="n"/>
      <c r="CB198" s="12" t="n"/>
      <c r="CC198" s="12" t="n"/>
      <c r="CD198" s="12" t="n"/>
      <c r="CE198" s="12" t="n"/>
      <c r="CF198" s="12" t="n"/>
      <c r="CG198" s="12" t="n"/>
      <c r="CH198" s="12" t="n"/>
      <c r="CI198" s="12" t="n"/>
      <c r="CJ198" s="12" t="n"/>
      <c r="CK198" s="12" t="n"/>
      <c r="CL198" s="12" t="n"/>
      <c r="CM198" s="12" t="n"/>
      <c r="CN198" s="12" t="n"/>
      <c r="CO198" s="12" t="n"/>
      <c r="CP198" s="12" t="n"/>
      <c r="CQ198" s="12" t="n"/>
      <c r="CR198" s="12" t="n"/>
      <c r="CS198" s="12" t="n"/>
      <c r="CT198" s="12" t="n"/>
      <c r="CU198" s="12" t="n"/>
      <c r="CV198" s="12" t="n"/>
      <c r="CW198" s="12" t="n"/>
      <c r="CX198" s="12" t="n"/>
      <c r="CY198" s="12" t="n"/>
    </row>
    <row r="199">
      <c r="C199" s="14" t="inlineStr">
        <is>
          <t>Short term operating leases</t>
        </is>
      </c>
      <c r="D199" s="46" t="n"/>
      <c r="E199" s="46" t="n"/>
      <c r="F199" s="46" t="n"/>
      <c r="G199" s="46" t="n"/>
      <c r="H199" s="12" t="n"/>
      <c r="I199" s="46">
        <f>'Inputs (2)'!D34</f>
        <v>0</v>
      </c>
      <c r="J199" s="46">
        <f>'Inputs (2)'!E34</f>
        <v>0</v>
      </c>
      <c r="K199" s="46">
        <f>'Inputs (2)'!F34</f>
        <v>0</v>
      </c>
      <c r="L199" s="46">
        <f>'Inputs (2)'!G34</f>
        <v>0</v>
      </c>
      <c r="M199" s="12">
        <f>'Inputs (2)'!H34</f>
        <v>0</v>
      </c>
      <c r="N199" s="46">
        <f>'Inputs (2)'!I34</f>
        <v>0</v>
      </c>
      <c r="O199" s="46">
        <f>'Inputs (2)'!J34</f>
        <v>0</v>
      </c>
      <c r="P199" s="46">
        <f>'Inputs (2)'!K34</f>
        <v>0</v>
      </c>
      <c r="Q199" s="46">
        <f>'Inputs (2)'!L34</f>
        <v>0</v>
      </c>
      <c r="R199" s="12">
        <f>'Inputs (2)'!M34</f>
        <v>0</v>
      </c>
      <c r="S199" s="46">
        <f>'Inputs (2)'!N34</f>
        <v>0</v>
      </c>
      <c r="T199" s="46">
        <f>'Inputs (2)'!O34</f>
        <v>0</v>
      </c>
      <c r="U199" s="46">
        <f>'Inputs (2)'!P34</f>
        <v>0</v>
      </c>
      <c r="V199" s="46">
        <f>'Inputs (2)'!Q34</f>
        <v>0</v>
      </c>
      <c r="W199" s="12">
        <f>'Inputs (2)'!R34</f>
        <v>0</v>
      </c>
      <c r="X199" s="46">
        <f>'Inputs (2)'!S34</f>
        <v>0</v>
      </c>
      <c r="Y199" s="46">
        <f>'Inputs (2)'!T34</f>
        <v>0</v>
      </c>
      <c r="Z199" s="46">
        <f>'Inputs (2)'!U34</f>
        <v>0</v>
      </c>
      <c r="AA199" s="46">
        <f>'Inputs (2)'!V34</f>
        <v>0</v>
      </c>
      <c r="AB199" s="12">
        <f>'Inputs (2)'!W34</f>
        <v>0</v>
      </c>
      <c r="AC199" s="46">
        <f>'Inputs (2)'!X34</f>
        <v>0</v>
      </c>
      <c r="AD199" s="46">
        <f>'Inputs (2)'!Y34</f>
        <v>0</v>
      </c>
      <c r="AE199" s="46">
        <f>'Inputs (2)'!Z34</f>
        <v>0</v>
      </c>
      <c r="AF199" s="46">
        <f>'Inputs (2)'!AA34</f>
        <v>0</v>
      </c>
      <c r="AG199" s="12">
        <f>'Inputs (2)'!AB34</f>
        <v>0</v>
      </c>
      <c r="AH199" s="12">
        <f>'Inputs (2)'!AC34</f>
        <v>0</v>
      </c>
      <c r="AI199" s="12">
        <f>'Inputs (2)'!AD34</f>
        <v>0</v>
      </c>
      <c r="AJ199" s="12">
        <f>AI199</f>
        <v>0</v>
      </c>
      <c r="AK199" s="12">
        <f>AJ199</f>
        <v>0</v>
      </c>
      <c r="AL199" s="12">
        <f>AK199</f>
        <v>0</v>
      </c>
      <c r="AM199" s="12">
        <f>AL199</f>
        <v>0</v>
      </c>
      <c r="AN199" s="12">
        <f>AM199</f>
        <v>0</v>
      </c>
      <c r="AO199" s="12">
        <f>AN199</f>
        <v>0</v>
      </c>
      <c r="AP199" s="12">
        <f>AO199</f>
        <v>0</v>
      </c>
      <c r="AQ199" s="12">
        <f>AP199</f>
        <v>0</v>
      </c>
      <c r="AR199" s="12">
        <f>AQ199</f>
        <v>0</v>
      </c>
      <c r="AS199" s="12">
        <f>AR199</f>
        <v>0</v>
      </c>
      <c r="AT199" s="12">
        <f>AS199</f>
        <v>0</v>
      </c>
      <c r="AU199" s="12">
        <f>AT199</f>
        <v>0</v>
      </c>
      <c r="AV199" s="12">
        <f>AU199</f>
        <v>0</v>
      </c>
      <c r="AW199" s="12">
        <f>AV199</f>
        <v>0</v>
      </c>
      <c r="AX199" s="12">
        <f>AW199</f>
        <v>0</v>
      </c>
      <c r="AY199" s="12">
        <f>AX199</f>
        <v>0</v>
      </c>
      <c r="AZ199" s="12">
        <f>AY199</f>
        <v>0</v>
      </c>
      <c r="BA199" s="12">
        <f>AZ199</f>
        <v>0</v>
      </c>
      <c r="BB199" s="12">
        <f>BA199</f>
        <v>0</v>
      </c>
      <c r="BC199" s="12">
        <f>BB199</f>
        <v>0</v>
      </c>
      <c r="BD199" s="12">
        <f>BC199</f>
        <v>0</v>
      </c>
      <c r="BE199" s="12">
        <f>BD199</f>
        <v>0</v>
      </c>
      <c r="BF199" s="12">
        <f>BE199</f>
        <v>0</v>
      </c>
      <c r="BG199" s="12" t="n"/>
      <c r="BH199" s="12" t="n"/>
      <c r="BI199" s="12" t="n"/>
      <c r="BJ199" s="12" t="n"/>
      <c r="BK199" s="12" t="n"/>
      <c r="BL199" s="12" t="n"/>
      <c r="BM199" s="12" t="n"/>
      <c r="BN199" s="12" t="n"/>
      <c r="BO199" s="12" t="n"/>
      <c r="BP199" s="12" t="n"/>
      <c r="BQ199" s="12" t="n"/>
      <c r="BR199" s="12" t="n"/>
      <c r="BS199" s="12" t="n"/>
      <c r="BT199" s="12" t="n"/>
      <c r="BU199" s="12" t="n"/>
      <c r="BV199" s="12" t="n"/>
      <c r="BW199" s="12" t="n"/>
      <c r="BX199" s="12" t="n"/>
      <c r="BY199" s="12" t="n"/>
      <c r="BZ199" s="12" t="n"/>
      <c r="CA199" s="12" t="n"/>
      <c r="CB199" s="12" t="n"/>
      <c r="CC199" s="12" t="n"/>
      <c r="CD199" s="12" t="n"/>
      <c r="CE199" s="12" t="n"/>
      <c r="CF199" s="12" t="n"/>
      <c r="CG199" s="12" t="n"/>
      <c r="CH199" s="12" t="n"/>
      <c r="CI199" s="12" t="n"/>
      <c r="CJ199" s="12" t="n"/>
      <c r="CK199" s="12" t="n"/>
      <c r="CL199" s="12" t="n"/>
      <c r="CM199" s="12" t="n"/>
      <c r="CN199" s="12" t="n"/>
      <c r="CO199" s="12" t="n"/>
      <c r="CP199" s="12" t="n"/>
      <c r="CQ199" s="12" t="n"/>
      <c r="CR199" s="12" t="n"/>
      <c r="CS199" s="12" t="n"/>
      <c r="CT199" s="12" t="n"/>
      <c r="CU199" s="12" t="n"/>
      <c r="CV199" s="12" t="n"/>
      <c r="CW199" s="12" t="n"/>
      <c r="CX199" s="12" t="n"/>
      <c r="CY199" s="12" t="n"/>
    </row>
    <row r="200" hidden="1" outlineLevel="1">
      <c r="C200" s="59" t="inlineStr">
        <is>
          <t>%(Var.)</t>
        </is>
      </c>
      <c r="D200" s="12" t="n"/>
      <c r="E200" s="40" t="n"/>
      <c r="F200" s="40" t="n"/>
      <c r="G200" s="40" t="n"/>
      <c r="H200" s="12" t="n"/>
      <c r="I200" s="40" t="str">
        <f>""</f>
        <v/>
      </c>
      <c r="J200" s="40" t="str">
        <f>IFERROR(IF(I199=0,"",J199/I199-1),"")</f>
        <v/>
      </c>
      <c r="K200" s="40" t="str">
        <f>IFERROR(IF(J199=0,"",K199/J199-1),"")</f>
        <v/>
      </c>
      <c r="L200" s="40" t="str">
        <f>IFERROR(IF(K199=0,"",L199/K199-1),"")</f>
        <v/>
      </c>
      <c r="M200" s="12" t="str">
        <f>IF(L199=0,"",M199/L199-1)</f>
        <v/>
      </c>
      <c r="N200" s="40" t="str">
        <f>IFERROR(IF(M199=0,"",N199/M199-1),"")</f>
        <v/>
      </c>
      <c r="O200" s="40" t="str">
        <f>IFERROR(IF(N199=0,"",O199/N199-1),"")</f>
        <v/>
      </c>
      <c r="P200" s="40" t="str">
        <f>IFERROR(IF(O199=0,"",P199/O199-1),"")</f>
        <v/>
      </c>
      <c r="Q200" s="40" t="str">
        <f>IFERROR(IF(P199=0,"",Q199/P199-1),"")</f>
        <v/>
      </c>
      <c r="R200" s="12" t="str">
        <f>IF(Q199=0,"",R199/Q199-1)</f>
        <v/>
      </c>
      <c r="S200" s="40" t="str">
        <f>IFERROR(IF(R199=0,"",S199/R199-1),"")</f>
        <v/>
      </c>
      <c r="T200" s="40" t="str">
        <f>IFERROR(IF(S199=0,"",T199/S199-1),"")</f>
        <v/>
      </c>
      <c r="U200" s="40" t="str">
        <f>IFERROR(IF(T199=0,"",U199/T199-1),"")</f>
        <v/>
      </c>
      <c r="V200" s="40" t="str">
        <f>IFERROR(IF(U199=0,"",V199/U199-1),"")</f>
        <v/>
      </c>
      <c r="W200" s="12" t="str">
        <f>IF(V199=0,"",W199/V199-1)</f>
        <v/>
      </c>
      <c r="X200" s="40" t="str">
        <f>IFERROR(IF(W199=0,"",X199/W199-1),"")</f>
        <v/>
      </c>
      <c r="Y200" s="40" t="str">
        <f>IFERROR(IF(X199=0,"",Y199/X199-1),"")</f>
        <v/>
      </c>
      <c r="Z200" s="40" t="str">
        <f>IFERROR(IF(Y199=0,"",Z199/Y199-1),"")</f>
        <v/>
      </c>
      <c r="AA200" s="40" t="str">
        <f>IFERROR(IF(Z199=0,"",AA199/Z199-1),"")</f>
        <v/>
      </c>
      <c r="AB200" s="12" t="str">
        <f>IF(AA199=0,"",AB199/AA199-1)</f>
        <v/>
      </c>
      <c r="AC200" s="40" t="str">
        <f>IFERROR(IF(AB199=0,"",AC199/AB199-1),"")</f>
        <v/>
      </c>
      <c r="AD200" s="40" t="str">
        <f>IFERROR(IF(AC199=0,"",AD199/AC199-1),"")</f>
        <v/>
      </c>
      <c r="AE200" s="40" t="str">
        <f>IFERROR(IF(AD199=0,"",AE199/AD199-1),"")</f>
        <v/>
      </c>
      <c r="AF200" s="11" t="str">
        <f>IFERROR(IF(AE199=0,"",AF199/AE199-1),"")</f>
        <v/>
      </c>
      <c r="AG200" s="12" t="str">
        <f>IF(AF199=0,"",AG199/AF199-1)</f>
        <v/>
      </c>
      <c r="AH200" s="11" t="str">
        <f>IFERROR(IF(AG199=0,"",AH199/AG199-1),"")</f>
        <v/>
      </c>
      <c r="AI200" s="11" t="str">
        <f>IFERROR(IF(AH199=0,"",AI199/AH199-1),"")</f>
        <v/>
      </c>
      <c r="AJ200" s="11" t="str">
        <f>IFERROR(IF(AI199=0,"",AJ199/AI199-1),"")</f>
        <v/>
      </c>
      <c r="AK200" s="11" t="str">
        <f>IFERROR(IF(AJ199=0,"",AK199/AJ199-1),"")</f>
        <v/>
      </c>
      <c r="AL200" s="12" t="str">
        <f>IFERROR(IF(AK199=0,"",AL199/AK199-1),"")</f>
        <v/>
      </c>
      <c r="AM200" s="11" t="str">
        <f>IFERROR(IF(AL199=0,"",AM199/AL199-1),"")</f>
        <v/>
      </c>
      <c r="AN200" s="11" t="str">
        <f>IFERROR(IF(AM199=0,"",AN199/AM199-1),"")</f>
        <v/>
      </c>
      <c r="AO200" s="11" t="str">
        <f>IFERROR(IF(AN199=0,"",AO199/AN199-1),"")</f>
        <v/>
      </c>
      <c r="AP200" s="11" t="str">
        <f>IFERROR(IF(AO199=0,"",AP199/AO199-1),"")</f>
        <v/>
      </c>
      <c r="AQ200" s="12" t="str">
        <f>IFERROR(IF(AP199=0,"",AQ199/AP199-1),"")</f>
        <v/>
      </c>
      <c r="AR200" s="11" t="str">
        <f>IFERROR(IF(AQ199=0,"",AR199/AQ199-1),"")</f>
        <v/>
      </c>
      <c r="AS200" s="11" t="str">
        <f>IFERROR(IF(AR199=0,"",AS199/AR199-1),"")</f>
        <v/>
      </c>
      <c r="AT200" s="11" t="str">
        <f>IFERROR(IF(AS199=0,"",AT199/AS199-1),"")</f>
        <v/>
      </c>
      <c r="AU200" s="11" t="str">
        <f>IFERROR(IF(AT199=0,"",AU199/AT199-1),"")</f>
        <v/>
      </c>
      <c r="AV200" s="12" t="str">
        <f>IFERROR(IF(AU199=0,"",AV199/AU199-1),"")</f>
        <v/>
      </c>
      <c r="AW200" s="11" t="str">
        <f>IFERROR(IF(AV199=0,"",AW199/AV199-1),"")</f>
        <v/>
      </c>
      <c r="AX200" s="11" t="str">
        <f>IFERROR(IF(AW199=0,"",AX199/AW199-1),"")</f>
        <v/>
      </c>
      <c r="AY200" s="11" t="str">
        <f>IFERROR(IF(AX199=0,"",AY199/AX199-1),"")</f>
        <v/>
      </c>
      <c r="AZ200" s="11" t="str">
        <f>IFERROR(IF(AY199=0,"",AZ199/AY199-1),"")</f>
        <v/>
      </c>
      <c r="BA200" s="12" t="str">
        <f>IFERROR(IF(AZ199=0,"",BA199/AZ199-1),"")</f>
        <v/>
      </c>
      <c r="BB200" s="11" t="str">
        <f>IFERROR(IF(BA199=0,"",BB199/BA199-1),"")</f>
        <v/>
      </c>
      <c r="BC200" s="11" t="str">
        <f>IFERROR(IF(BB199=0,"",BC199/BB199-1),"")</f>
        <v/>
      </c>
      <c r="BD200" s="11" t="str">
        <f>IFERROR(IF(BC199=0,"",BD199/BC199-1),"")</f>
        <v/>
      </c>
      <c r="BE200" s="11" t="str">
        <f>IFERROR(IF(BD199=0,"",BE199/BD199-1),"")</f>
        <v/>
      </c>
      <c r="BF200" s="12" t="str">
        <f>IFERROR(IF(BE199=0,"",BF199/BE199-1),"")</f>
        <v/>
      </c>
      <c r="BG200" s="11" t="n"/>
      <c r="BH200" s="11" t="n"/>
      <c r="BI200" s="11" t="n"/>
      <c r="BJ200" s="11" t="n"/>
      <c r="BK200" s="12" t="n"/>
      <c r="BL200" s="11" t="n"/>
      <c r="BM200" s="11" t="n"/>
      <c r="BN200" s="11" t="n"/>
      <c r="BO200" s="11" t="n"/>
      <c r="BP200" s="12" t="n"/>
      <c r="BQ200" s="11" t="n"/>
      <c r="BR200" s="11" t="n"/>
      <c r="BS200" s="11" t="n"/>
      <c r="BT200" s="11" t="n"/>
      <c r="BU200" s="12" t="n"/>
      <c r="BV200" s="11" t="n"/>
      <c r="BW200" s="11" t="n"/>
      <c r="BX200" s="11" t="n"/>
      <c r="BY200" s="11" t="n"/>
      <c r="BZ200" s="12" t="n"/>
      <c r="CA200" s="11" t="n"/>
      <c r="CB200" s="11" t="n"/>
      <c r="CC200" s="11" t="n"/>
      <c r="CD200" s="11" t="n"/>
      <c r="CE200" s="12" t="n"/>
      <c r="CF200" s="11" t="n"/>
      <c r="CG200" s="11" t="n"/>
      <c r="CH200" s="11" t="n"/>
      <c r="CI200" s="11" t="n"/>
      <c r="CJ200" s="12" t="n"/>
      <c r="CK200" s="11" t="n"/>
      <c r="CL200" s="11" t="n"/>
      <c r="CM200" s="11" t="n"/>
      <c r="CN200" s="11" t="n"/>
      <c r="CO200" s="12" t="n"/>
      <c r="CP200" s="11" t="n"/>
      <c r="CQ200" s="11" t="n"/>
      <c r="CR200" s="11" t="n"/>
      <c r="CS200" s="11" t="n"/>
      <c r="CT200" s="12" t="n"/>
      <c r="CU200" s="11" t="n"/>
      <c r="CV200" s="11" t="n"/>
      <c r="CW200" s="11" t="n"/>
      <c r="CX200" s="11" t="n"/>
      <c r="CY200" s="12" t="n"/>
    </row>
    <row r="201" hidden="1" outlineLevel="1">
      <c r="C201" s="57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  <c r="AL201" s="12" t="n"/>
      <c r="AM201" s="12" t="n"/>
      <c r="AN201" s="12" t="n"/>
      <c r="AO201" s="12" t="n"/>
      <c r="AP201" s="12" t="n"/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  <c r="BE201" s="12" t="n"/>
      <c r="BF201" s="12" t="n"/>
      <c r="BG201" s="12" t="n"/>
      <c r="BH201" s="12" t="n"/>
      <c r="BI201" s="12" t="n"/>
      <c r="BJ201" s="12" t="n"/>
      <c r="BK201" s="12" t="n"/>
      <c r="BL201" s="12" t="n"/>
      <c r="BM201" s="12" t="n"/>
      <c r="BN201" s="12" t="n"/>
      <c r="BO201" s="12" t="n"/>
      <c r="BP201" s="12" t="n"/>
      <c r="BQ201" s="12" t="n"/>
      <c r="BR201" s="12" t="n"/>
      <c r="BS201" s="12" t="n"/>
      <c r="BT201" s="12" t="n"/>
      <c r="BU201" s="12" t="n"/>
      <c r="BV201" s="12" t="n"/>
      <c r="BW201" s="12" t="n"/>
      <c r="BX201" s="12" t="n"/>
      <c r="BY201" s="12" t="n"/>
      <c r="BZ201" s="12" t="n"/>
      <c r="CA201" s="12" t="n"/>
      <c r="CB201" s="12" t="n"/>
      <c r="CC201" s="12" t="n"/>
      <c r="CD201" s="12" t="n"/>
      <c r="CE201" s="12" t="n"/>
      <c r="CF201" s="12" t="n"/>
      <c r="CG201" s="12" t="n"/>
      <c r="CH201" s="12" t="n"/>
      <c r="CI201" s="12" t="n"/>
      <c r="CJ201" s="12" t="n"/>
      <c r="CK201" s="12" t="n"/>
      <c r="CL201" s="12" t="n"/>
      <c r="CM201" s="12" t="n"/>
      <c r="CN201" s="12" t="n"/>
      <c r="CO201" s="12" t="n"/>
      <c r="CP201" s="12" t="n"/>
      <c r="CQ201" s="12" t="n"/>
      <c r="CR201" s="12" t="n"/>
      <c r="CS201" s="12" t="n"/>
      <c r="CT201" s="12" t="n"/>
      <c r="CU201" s="12" t="n"/>
      <c r="CV201" s="12" t="n"/>
      <c r="CW201" s="12" t="n"/>
      <c r="CX201" s="12" t="n"/>
      <c r="CY201" s="12" t="n"/>
    </row>
    <row r="202" collapsed="1">
      <c r="C202" s="14" t="inlineStr">
        <is>
          <t>Long term debt</t>
        </is>
      </c>
      <c r="D202" s="46" t="n"/>
      <c r="E202" s="46" t="n"/>
      <c r="F202" s="46" t="n"/>
      <c r="G202" s="46" t="n"/>
      <c r="H202" s="12" t="n"/>
      <c r="I202" s="46">
        <f>'Inputs (2)'!D35</f>
        <v>7522</v>
      </c>
      <c r="J202" s="46">
        <f>'Inputs (2)'!E35</f>
        <v>7495</v>
      </c>
      <c r="K202" s="46">
        <f>'Inputs (2)'!F35</f>
        <v>6692</v>
      </c>
      <c r="L202" s="46">
        <f>'Inputs (2)'!G35</f>
        <v>6667</v>
      </c>
      <c r="M202" s="12">
        <f>'Inputs (2)'!H35</f>
        <v>6667</v>
      </c>
      <c r="N202" s="46">
        <f>'Inputs (2)'!I35</f>
        <v>6658</v>
      </c>
      <c r="O202" s="46">
        <f>'Inputs (2)'!J35</f>
        <v>6507</v>
      </c>
      <c r="P202" s="46">
        <f>'Inputs (2)'!K35</f>
        <v>6484</v>
      </c>
      <c r="Q202" s="46">
        <f>'Inputs (2)'!L35</f>
        <v>6472</v>
      </c>
      <c r="R202" s="12">
        <f>'Inputs (2)'!M35</f>
        <v>6472</v>
      </c>
      <c r="S202" s="46">
        <f>'Inputs (2)'!N35</f>
        <v>6506</v>
      </c>
      <c r="T202" s="46">
        <f>'Inputs (2)'!O35</f>
        <v>6497</v>
      </c>
      <c r="U202" s="46">
        <f>'Inputs (2)'!P35</f>
        <v>5377</v>
      </c>
      <c r="V202" s="46">
        <f>'Inputs (2)'!Q35</f>
        <v>5866</v>
      </c>
      <c r="W202" s="12">
        <f>'Inputs (2)'!R35</f>
        <v>5866</v>
      </c>
      <c r="X202" s="46">
        <f>'Inputs (2)'!S35</f>
        <v>5865</v>
      </c>
      <c r="Y202" s="46">
        <f>'Inputs (2)'!T35</f>
        <v>5834</v>
      </c>
      <c r="Z202" s="46">
        <f>'Inputs (2)'!U35</f>
        <v>5794</v>
      </c>
      <c r="AA202" s="46">
        <f>'Inputs (2)'!V35</f>
        <v>5745</v>
      </c>
      <c r="AB202" s="12">
        <f>'Inputs (2)'!W35</f>
        <v>5745</v>
      </c>
      <c r="AC202" s="46">
        <f>'Inputs (2)'!X35</f>
        <v>5755</v>
      </c>
      <c r="AD202" s="46">
        <f>'Inputs (2)'!Y35</f>
        <v>5717</v>
      </c>
      <c r="AE202" s="46">
        <f>'Inputs (2)'!Z35</f>
        <v>5713</v>
      </c>
      <c r="AF202" s="46">
        <f>'Inputs (2)'!AA35</f>
        <v>5666</v>
      </c>
      <c r="AG202" s="12">
        <f>'Inputs (2)'!AB35</f>
        <v>5666</v>
      </c>
      <c r="AH202" s="12">
        <f>'Inputs (2)'!AC35</f>
        <v>5688</v>
      </c>
      <c r="AI202" s="12">
        <f>'Inputs (2)'!AD35</f>
        <v>5670</v>
      </c>
      <c r="AJ202" s="12">
        <f>AJ208</f>
        <v>5670</v>
      </c>
      <c r="AK202" s="12">
        <f>AK208</f>
        <v>5670</v>
      </c>
      <c r="AL202" s="12">
        <f>AK202</f>
        <v>5670</v>
      </c>
      <c r="AM202" s="12">
        <f>AM208</f>
        <v>5670</v>
      </c>
      <c r="AN202" s="12">
        <f>AN208</f>
        <v>5670</v>
      </c>
      <c r="AO202" s="12">
        <f>AO208</f>
        <v>5670</v>
      </c>
      <c r="AP202" s="12">
        <f>AP208</f>
        <v>5670</v>
      </c>
      <c r="AQ202" s="12">
        <f>AP202</f>
        <v>5670</v>
      </c>
      <c r="AR202" s="12">
        <f>AR208</f>
        <v>5670</v>
      </c>
      <c r="AS202" s="12">
        <f>AS208</f>
        <v>5670</v>
      </c>
      <c r="AT202" s="12">
        <f>AT208</f>
        <v>5670</v>
      </c>
      <c r="AU202" s="12">
        <f>AU208</f>
        <v>5670</v>
      </c>
      <c r="AV202" s="12">
        <f>AU202</f>
        <v>5670</v>
      </c>
      <c r="AW202" s="12">
        <f>AW208</f>
        <v>5670</v>
      </c>
      <c r="AX202" s="12">
        <f>AX208</f>
        <v>5670</v>
      </c>
      <c r="AY202" s="12">
        <f>AY208</f>
        <v>5670</v>
      </c>
      <c r="AZ202" s="12">
        <f>AZ208</f>
        <v>5670</v>
      </c>
      <c r="BA202" s="12">
        <f>AZ202</f>
        <v>5670</v>
      </c>
      <c r="BB202" s="12">
        <f>BB208</f>
        <v>5670</v>
      </c>
      <c r="BC202" s="12">
        <f>BC208</f>
        <v>5670</v>
      </c>
      <c r="BD202" s="12">
        <f>BD208</f>
        <v>5670</v>
      </c>
      <c r="BE202" s="12">
        <f>BE208</f>
        <v>5670</v>
      </c>
      <c r="BF202" s="12">
        <f>BE202</f>
        <v>5670</v>
      </c>
      <c r="BG202" s="12" t="n"/>
      <c r="BH202" s="12" t="n"/>
      <c r="BI202" s="12" t="n"/>
      <c r="BJ202" s="12" t="n"/>
      <c r="BK202" s="12" t="n"/>
      <c r="BL202" s="12" t="n"/>
      <c r="BM202" s="12" t="n"/>
      <c r="BN202" s="12" t="n"/>
      <c r="BO202" s="12" t="n"/>
      <c r="BP202" s="12" t="n"/>
      <c r="BQ202" s="12" t="n"/>
      <c r="BR202" s="12" t="n"/>
      <c r="BS202" s="12" t="n"/>
      <c r="BT202" s="12" t="n"/>
      <c r="BU202" s="12" t="n"/>
      <c r="BV202" s="12" t="n"/>
      <c r="BW202" s="12" t="n"/>
      <c r="BX202" s="12" t="n"/>
      <c r="BY202" s="12" t="n"/>
      <c r="BZ202" s="12" t="n"/>
      <c r="CA202" s="12" t="n"/>
      <c r="CB202" s="12" t="n"/>
      <c r="CC202" s="12" t="n"/>
      <c r="CD202" s="12" t="n"/>
      <c r="CE202" s="12" t="n"/>
      <c r="CF202" s="12" t="n"/>
      <c r="CG202" s="12" t="n"/>
      <c r="CH202" s="12" t="n"/>
      <c r="CI202" s="12" t="n"/>
      <c r="CJ202" s="12" t="n"/>
      <c r="CK202" s="12" t="n"/>
      <c r="CL202" s="12" t="n"/>
      <c r="CM202" s="12" t="n"/>
      <c r="CN202" s="12" t="n"/>
      <c r="CO202" s="12" t="n"/>
      <c r="CP202" s="12" t="n"/>
      <c r="CQ202" s="12" t="n"/>
      <c r="CR202" s="12" t="n"/>
      <c r="CS202" s="12" t="n"/>
      <c r="CT202" s="12" t="n"/>
      <c r="CU202" s="12" t="n"/>
      <c r="CV202" s="12" t="n"/>
      <c r="CW202" s="12" t="n"/>
      <c r="CX202" s="12" t="n"/>
      <c r="CY202" s="12" t="n"/>
    </row>
    <row r="203" hidden="1" outlineLevel="1">
      <c r="C203" s="57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 hidden="1" outlineLevel="1">
      <c r="C204" s="57" t="inlineStr">
        <is>
          <t>Current portion of LTD</t>
        </is>
      </c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>
        <f>AF197</f>
        <v>0</v>
      </c>
      <c r="AI204" s="62" t="n"/>
      <c r="AJ204" s="62" t="n"/>
      <c r="AK204" s="62" t="n"/>
      <c r="AL204" s="12" t="n"/>
      <c r="AM204" s="12">
        <f>AK197</f>
        <v>0</v>
      </c>
      <c r="AN204" s="62" t="n"/>
      <c r="AO204" s="62" t="n"/>
      <c r="AP204" s="62" t="n"/>
      <c r="AQ204" s="12" t="n"/>
      <c r="AR204" s="12">
        <f>AP197</f>
        <v>0</v>
      </c>
      <c r="AS204" s="62" t="n"/>
      <c r="AT204" s="62" t="n"/>
      <c r="AU204" s="62" t="n"/>
      <c r="AV204" s="12" t="n"/>
      <c r="AW204" s="12">
        <f>AU197</f>
        <v>0</v>
      </c>
      <c r="AX204" s="62" t="n"/>
      <c r="AY204" s="62" t="n"/>
      <c r="AZ204" s="62" t="n"/>
      <c r="BA204" s="12" t="n"/>
      <c r="BB204" s="12">
        <f>AZ197</f>
        <v>0</v>
      </c>
      <c r="BC204" s="62" t="n"/>
      <c r="BD204" s="62" t="n"/>
      <c r="BE204" s="62" t="n"/>
      <c r="BF204" s="12" t="n"/>
      <c r="BG204" s="12" t="n"/>
      <c r="BH204" s="62" t="n"/>
      <c r="BI204" s="62" t="n"/>
      <c r="BJ204" s="62" t="n"/>
      <c r="BK204" s="12" t="n"/>
      <c r="BL204" s="12" t="n"/>
      <c r="BM204" s="62" t="n"/>
      <c r="BN204" s="62" t="n"/>
      <c r="BO204" s="62" t="n"/>
      <c r="BP204" s="12" t="n"/>
      <c r="BQ204" s="12" t="n"/>
      <c r="BR204" s="62" t="n"/>
      <c r="BS204" s="62" t="n"/>
      <c r="BT204" s="62" t="n"/>
      <c r="BU204" s="12" t="n"/>
      <c r="BV204" s="12" t="n"/>
      <c r="BW204" s="62" t="n"/>
      <c r="BX204" s="62" t="n"/>
      <c r="BY204" s="62" t="n"/>
      <c r="BZ204" s="12" t="n"/>
      <c r="CA204" s="12" t="n"/>
      <c r="CB204" s="62" t="n"/>
      <c r="CC204" s="62" t="n"/>
      <c r="CD204" s="62" t="n"/>
      <c r="CE204" s="12" t="n"/>
      <c r="CF204" s="12" t="n"/>
      <c r="CG204" s="62" t="n"/>
      <c r="CH204" s="62" t="n"/>
      <c r="CI204" s="62" t="n"/>
      <c r="CJ204" s="12" t="n"/>
      <c r="CK204" s="12" t="n"/>
      <c r="CL204" s="62" t="n"/>
      <c r="CM204" s="62" t="n"/>
      <c r="CN204" s="62" t="n"/>
      <c r="CO204" s="12" t="n"/>
      <c r="CP204" s="12" t="n"/>
      <c r="CQ204" s="62" t="n"/>
      <c r="CR204" s="62" t="n"/>
      <c r="CS204" s="62" t="n"/>
      <c r="CT204" s="12" t="n"/>
      <c r="CU204" s="12" t="n"/>
      <c r="CV204" s="62" t="n"/>
      <c r="CW204" s="62" t="n"/>
      <c r="CX204" s="62" t="n"/>
      <c r="CY204" s="12" t="n"/>
    </row>
    <row r="205" hidden="1" outlineLevel="1">
      <c r="C205" s="57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  <c r="AL205" s="12" t="n"/>
      <c r="AM205" s="12" t="n"/>
      <c r="AN205" s="12" t="n"/>
      <c r="AO205" s="12" t="n"/>
      <c r="AP205" s="12" t="n"/>
      <c r="AQ205" s="12" t="n"/>
      <c r="AR205" s="12" t="n"/>
      <c r="AS205" s="12" t="n"/>
      <c r="AT205" s="12" t="n"/>
      <c r="AU205" s="12" t="n"/>
      <c r="AV205" s="12" t="n"/>
      <c r="AW205" s="12" t="n"/>
      <c r="AX205" s="12" t="n"/>
      <c r="AY205" s="12" t="n"/>
      <c r="AZ205" s="12" t="n"/>
      <c r="BA205" s="12" t="n"/>
      <c r="BB205" s="12" t="n"/>
      <c r="BC205" s="12" t="n"/>
      <c r="BD205" s="12" t="n"/>
      <c r="BE205" s="12" t="n"/>
      <c r="BF205" s="12" t="n"/>
      <c r="BG205" s="12" t="n"/>
      <c r="BH205" s="12" t="n"/>
      <c r="BI205" s="12" t="n"/>
      <c r="BJ205" s="12" t="n"/>
      <c r="BK205" s="12" t="n"/>
      <c r="BL205" s="12" t="n"/>
      <c r="BM205" s="12" t="n"/>
      <c r="BN205" s="12" t="n"/>
      <c r="BO205" s="12" t="n"/>
      <c r="BP205" s="12" t="n"/>
      <c r="BQ205" s="12" t="n"/>
      <c r="BR205" s="12" t="n"/>
      <c r="BS205" s="12" t="n"/>
      <c r="BT205" s="12" t="n"/>
      <c r="BU205" s="12" t="n"/>
      <c r="BV205" s="12" t="n"/>
      <c r="BW205" s="12" t="n"/>
      <c r="BX205" s="12" t="n"/>
      <c r="BY205" s="12" t="n"/>
      <c r="BZ205" s="12" t="n"/>
      <c r="CA205" s="12" t="n"/>
      <c r="CB205" s="12" t="n"/>
      <c r="CC205" s="12" t="n"/>
      <c r="CD205" s="12" t="n"/>
      <c r="CE205" s="12" t="n"/>
      <c r="CF205" s="12" t="n"/>
      <c r="CG205" s="12" t="n"/>
      <c r="CH205" s="12" t="n"/>
      <c r="CI205" s="12" t="n"/>
      <c r="CJ205" s="12" t="n"/>
      <c r="CK205" s="12" t="n"/>
      <c r="CL205" s="12" t="n"/>
      <c r="CM205" s="12" t="n"/>
      <c r="CN205" s="12" t="n"/>
      <c r="CO205" s="12" t="n"/>
      <c r="CP205" s="12" t="n"/>
      <c r="CQ205" s="12" t="n"/>
      <c r="CR205" s="12" t="n"/>
      <c r="CS205" s="12" t="n"/>
      <c r="CT205" s="12" t="n"/>
      <c r="CU205" s="12" t="n"/>
      <c r="CV205" s="12" t="n"/>
      <c r="CW205" s="12" t="n"/>
      <c r="CX205" s="12" t="n"/>
      <c r="CY205" s="12" t="n"/>
    </row>
    <row r="206" hidden="1" outlineLevel="1">
      <c r="C206" s="57" t="inlineStr">
        <is>
          <t>Reclassification of LTD to CP of LTD</t>
        </is>
      </c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>
        <f>-AI204</f>
        <v>0</v>
      </c>
      <c r="AJ206" s="12">
        <f>-AJ204</f>
        <v>0</v>
      </c>
      <c r="AK206" s="12">
        <f>-AK204</f>
        <v>0</v>
      </c>
      <c r="AL206" s="12" t="n"/>
      <c r="AM206" s="12" t="n"/>
      <c r="AN206" s="12">
        <f>-AN204</f>
        <v>0</v>
      </c>
      <c r="AO206" s="12">
        <f>-AO204</f>
        <v>0</v>
      </c>
      <c r="AP206" s="12">
        <f>-AP204</f>
        <v>0</v>
      </c>
      <c r="AQ206" s="12" t="n"/>
      <c r="AR206" s="12" t="n"/>
      <c r="AS206" s="12">
        <f>-AS204</f>
        <v>0</v>
      </c>
      <c r="AT206" s="12">
        <f>-AT204</f>
        <v>0</v>
      </c>
      <c r="AU206" s="12">
        <f>-AU204</f>
        <v>0</v>
      </c>
      <c r="AV206" s="12" t="n"/>
      <c r="AW206" s="12" t="n"/>
      <c r="AX206" s="12">
        <f>-AX204</f>
        <v>0</v>
      </c>
      <c r="AY206" s="12">
        <f>-AY204</f>
        <v>0</v>
      </c>
      <c r="AZ206" s="12">
        <f>-AZ204</f>
        <v>0</v>
      </c>
      <c r="BA206" s="12" t="n"/>
      <c r="BB206" s="12" t="n"/>
      <c r="BC206" s="12">
        <f>-BC204</f>
        <v>0</v>
      </c>
      <c r="BD206" s="12">
        <f>-BD204</f>
        <v>0</v>
      </c>
      <c r="BE206" s="12">
        <f>-BE204</f>
        <v>0</v>
      </c>
      <c r="BF206" s="12" t="n"/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 hidden="1" outlineLevel="1">
      <c r="C207" s="57" t="inlineStr">
        <is>
          <t>Discretionary (paydown)/borrowing of long term debt</t>
        </is>
      </c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62" t="n"/>
      <c r="AI207" s="62" t="n"/>
      <c r="AJ207" s="62" t="n"/>
      <c r="AK207" s="62" t="n"/>
      <c r="AL207" s="12" t="n"/>
      <c r="AM207" s="62" t="n"/>
      <c r="AN207" s="62" t="n"/>
      <c r="AO207" s="62" t="n"/>
      <c r="AP207" s="62" t="n"/>
      <c r="AQ207" s="12" t="n"/>
      <c r="AR207" s="62" t="n"/>
      <c r="AS207" s="62" t="n"/>
      <c r="AT207" s="62" t="n"/>
      <c r="AU207" s="62" t="n"/>
      <c r="AV207" s="12" t="n"/>
      <c r="AW207" s="62" t="n"/>
      <c r="AX207" s="62" t="n"/>
      <c r="AY207" s="62" t="n"/>
      <c r="AZ207" s="62" t="n"/>
      <c r="BA207" s="12" t="n"/>
      <c r="BB207" s="62" t="n"/>
      <c r="BC207" s="62" t="n"/>
      <c r="BD207" s="62" t="n"/>
      <c r="BE207" s="62" t="n"/>
      <c r="BF207" s="12" t="n"/>
      <c r="BG207" s="62" t="n"/>
      <c r="BH207" s="62" t="n"/>
      <c r="BI207" s="62" t="n"/>
      <c r="BJ207" s="62" t="n"/>
      <c r="BK207" s="12" t="n"/>
      <c r="BL207" s="62" t="n"/>
      <c r="BM207" s="62" t="n"/>
      <c r="BN207" s="62" t="n"/>
      <c r="BO207" s="62" t="n"/>
      <c r="BP207" s="12" t="n"/>
      <c r="BQ207" s="62" t="n"/>
      <c r="BR207" s="62" t="n"/>
      <c r="BS207" s="62" t="n"/>
      <c r="BT207" s="62" t="n"/>
      <c r="BU207" s="12" t="n"/>
      <c r="BV207" s="62" t="n"/>
      <c r="BW207" s="62" t="n"/>
      <c r="BX207" s="62" t="n"/>
      <c r="BY207" s="62" t="n"/>
      <c r="BZ207" s="12" t="n"/>
      <c r="CA207" s="62" t="n"/>
      <c r="CB207" s="62" t="n"/>
      <c r="CC207" s="62" t="n"/>
      <c r="CD207" s="62" t="n"/>
      <c r="CE207" s="12" t="n"/>
      <c r="CF207" s="62" t="n"/>
      <c r="CG207" s="62" t="n"/>
      <c r="CH207" s="62" t="n"/>
      <c r="CI207" s="62" t="n"/>
      <c r="CJ207" s="12" t="n"/>
      <c r="CK207" s="62" t="n"/>
      <c r="CL207" s="62" t="n"/>
      <c r="CM207" s="62" t="n"/>
      <c r="CN207" s="62" t="n"/>
      <c r="CO207" s="12" t="n"/>
      <c r="CP207" s="62" t="n"/>
      <c r="CQ207" s="62" t="n"/>
      <c r="CR207" s="62" t="n"/>
      <c r="CS207" s="62" t="n"/>
      <c r="CT207" s="12" t="n"/>
      <c r="CU207" s="62" t="n"/>
      <c r="CV207" s="62" t="n"/>
      <c r="CW207" s="62" t="n"/>
      <c r="CX207" s="62" t="n"/>
      <c r="CY207" s="12" t="n"/>
    </row>
    <row r="208" hidden="1" outlineLevel="1">
      <c r="C208" s="57" t="inlineStr">
        <is>
          <t>Long term debt</t>
        </is>
      </c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>
        <f>AH202</f>
        <v>5688</v>
      </c>
      <c r="AI208" s="12">
        <f>AI202</f>
        <v>5670</v>
      </c>
      <c r="AJ208" s="12">
        <f>AI208+SUM(AJ206:AJ207)</f>
        <v>5670</v>
      </c>
      <c r="AK208" s="12">
        <f>AJ208+SUM(AK206:AK207)</f>
        <v>5670</v>
      </c>
      <c r="AL208" s="12" t="n"/>
      <c r="AM208" s="12">
        <f>AK208+SUM(AM206:AM207)</f>
        <v>5670</v>
      </c>
      <c r="AN208" s="12">
        <f>AM208+SUM(AN206:AN207)</f>
        <v>5670</v>
      </c>
      <c r="AO208" s="12">
        <f>AN208+SUM(AO206:AO207)</f>
        <v>5670</v>
      </c>
      <c r="AP208" s="12">
        <f>AO208+SUM(AP206:AP207)</f>
        <v>5670</v>
      </c>
      <c r="AQ208" s="12" t="n"/>
      <c r="AR208" s="12">
        <f>AP208+SUM(AR206:AR207)</f>
        <v>5670</v>
      </c>
      <c r="AS208" s="12">
        <f>AR208+SUM(AS206:AS207)</f>
        <v>5670</v>
      </c>
      <c r="AT208" s="12">
        <f>AS208+SUM(AT206:AT207)</f>
        <v>5670</v>
      </c>
      <c r="AU208" s="12">
        <f>AT208+SUM(AU206:AU207)</f>
        <v>5670</v>
      </c>
      <c r="AV208" s="12" t="n"/>
      <c r="AW208" s="12">
        <f>AU208+SUM(AW206:AW207)</f>
        <v>5670</v>
      </c>
      <c r="AX208" s="12">
        <f>AW208+SUM(AX206:AX207)</f>
        <v>5670</v>
      </c>
      <c r="AY208" s="12">
        <f>AX208+SUM(AY206:AY207)</f>
        <v>5670</v>
      </c>
      <c r="AZ208" s="12">
        <f>AY208+SUM(AZ206:AZ207)</f>
        <v>5670</v>
      </c>
      <c r="BA208" s="12" t="n"/>
      <c r="BB208" s="12">
        <f>AZ208+SUM(BB206:BB207)</f>
        <v>5670</v>
      </c>
      <c r="BC208" s="12">
        <f>BB208+SUM(BC206:BC207)</f>
        <v>5670</v>
      </c>
      <c r="BD208" s="12">
        <f>BC208+SUM(BD206:BD207)</f>
        <v>5670</v>
      </c>
      <c r="BE208" s="12">
        <f>BD208+SUM(BE206:BE207)</f>
        <v>5670</v>
      </c>
      <c r="BF208" s="12" t="n"/>
      <c r="BG208" s="12" t="n"/>
      <c r="BH208" s="12" t="n"/>
      <c r="BI208" s="12" t="n"/>
      <c r="BJ208" s="12" t="n"/>
      <c r="BK208" s="12" t="n"/>
      <c r="BL208" s="12" t="n"/>
      <c r="BM208" s="12" t="n"/>
      <c r="BN208" s="12" t="n"/>
      <c r="BO208" s="12" t="n"/>
      <c r="BP208" s="12" t="n"/>
      <c r="BQ208" s="12" t="n"/>
      <c r="BR208" s="12" t="n"/>
      <c r="BS208" s="12" t="n"/>
      <c r="BT208" s="12" t="n"/>
      <c r="BU208" s="12" t="n"/>
      <c r="BV208" s="12" t="n"/>
      <c r="BW208" s="12" t="n"/>
      <c r="BX208" s="12" t="n"/>
      <c r="BY208" s="12" t="n"/>
      <c r="BZ208" s="12" t="n"/>
      <c r="CA208" s="12" t="n"/>
      <c r="CB208" s="12" t="n"/>
      <c r="CC208" s="12" t="n"/>
      <c r="CD208" s="12" t="n"/>
      <c r="CE208" s="12" t="n"/>
      <c r="CF208" s="12" t="n"/>
      <c r="CG208" s="12" t="n"/>
      <c r="CH208" s="12" t="n"/>
      <c r="CI208" s="12" t="n"/>
      <c r="CJ208" s="12" t="n"/>
      <c r="CK208" s="12" t="n"/>
      <c r="CL208" s="12" t="n"/>
      <c r="CM208" s="12" t="n"/>
      <c r="CN208" s="12" t="n"/>
      <c r="CO208" s="12" t="n"/>
      <c r="CP208" s="12" t="n"/>
      <c r="CQ208" s="12" t="n"/>
      <c r="CR208" s="12" t="n"/>
      <c r="CS208" s="12" t="n"/>
      <c r="CT208" s="12" t="n"/>
      <c r="CU208" s="12" t="n"/>
      <c r="CV208" s="12" t="n"/>
      <c r="CW208" s="12" t="n"/>
      <c r="CX208" s="12" t="n"/>
      <c r="CY208" s="12" t="n"/>
    </row>
    <row r="209" hidden="1" outlineLevel="1">
      <c r="C209" s="57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2" t="n"/>
      <c r="AK209" s="12" t="n"/>
      <c r="AL209" s="12" t="n"/>
      <c r="AM209" s="12" t="n"/>
      <c r="AN209" s="12" t="n"/>
      <c r="AO209" s="12" t="n"/>
      <c r="AP209" s="12" t="n"/>
      <c r="AQ209" s="12" t="n"/>
      <c r="AR209" s="12" t="n"/>
      <c r="AS209" s="12" t="n"/>
      <c r="AT209" s="12" t="n"/>
      <c r="AU209" s="12" t="n"/>
      <c r="AV209" s="12" t="n"/>
      <c r="AW209" s="12" t="n"/>
      <c r="AX209" s="12" t="n"/>
      <c r="AY209" s="12" t="n"/>
      <c r="AZ209" s="12" t="n"/>
      <c r="BA209" s="12" t="n"/>
      <c r="BB209" s="12" t="n"/>
      <c r="BC209" s="12" t="n"/>
      <c r="BD209" s="12" t="n"/>
      <c r="BE209" s="12" t="n"/>
      <c r="BF209" s="12" t="n"/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 hidden="1" outlineLevel="1">
      <c r="C210" s="57" t="inlineStr">
        <is>
          <t>Discretionary (paydown)/borrowing of convertible debt</t>
        </is>
      </c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62" t="n"/>
      <c r="AI210" s="62" t="n"/>
      <c r="AJ210" s="62" t="n"/>
      <c r="AK210" s="62" t="n"/>
      <c r="AL210" s="12" t="n"/>
      <c r="AM210" s="62" t="n"/>
      <c r="AN210" s="62" t="n"/>
      <c r="AO210" s="62" t="n"/>
      <c r="AP210" s="62" t="n"/>
      <c r="AQ210" s="12" t="n"/>
      <c r="AR210" s="62" t="n"/>
      <c r="AS210" s="62" t="n"/>
      <c r="AT210" s="62" t="n"/>
      <c r="AU210" s="62" t="n"/>
      <c r="AV210" s="12" t="n"/>
      <c r="AW210" s="62" t="n"/>
      <c r="AX210" s="62" t="n"/>
      <c r="AY210" s="62" t="n"/>
      <c r="AZ210" s="62" t="n"/>
      <c r="BA210" s="12" t="n"/>
      <c r="BB210" s="62" t="n"/>
      <c r="BC210" s="62" t="n"/>
      <c r="BD210" s="62" t="n"/>
      <c r="BE210" s="62" t="n"/>
      <c r="BF210" s="12" t="n"/>
      <c r="BG210" s="62" t="n"/>
      <c r="BH210" s="62" t="n"/>
      <c r="BI210" s="62" t="n"/>
      <c r="BJ210" s="62" t="n"/>
      <c r="BK210" s="12" t="n"/>
      <c r="BL210" s="62" t="n"/>
      <c r="BM210" s="62" t="n"/>
      <c r="BN210" s="62" t="n"/>
      <c r="BO210" s="62" t="n"/>
      <c r="BP210" s="12" t="n"/>
      <c r="BQ210" s="62" t="n"/>
      <c r="BR210" s="62" t="n"/>
      <c r="BS210" s="62" t="n"/>
      <c r="BT210" s="62" t="n"/>
      <c r="BU210" s="12" t="n"/>
      <c r="BV210" s="62" t="n"/>
      <c r="BW210" s="62" t="n"/>
      <c r="BX210" s="62" t="n"/>
      <c r="BY210" s="62" t="n"/>
      <c r="BZ210" s="12" t="n"/>
      <c r="CA210" s="62" t="n"/>
      <c r="CB210" s="62" t="n"/>
      <c r="CC210" s="62" t="n"/>
      <c r="CD210" s="62" t="n"/>
      <c r="CE210" s="12" t="n"/>
      <c r="CF210" s="62" t="n"/>
      <c r="CG210" s="62" t="n"/>
      <c r="CH210" s="62" t="n"/>
      <c r="CI210" s="62" t="n"/>
      <c r="CJ210" s="12" t="n"/>
      <c r="CK210" s="62" t="n"/>
      <c r="CL210" s="62" t="n"/>
      <c r="CM210" s="62" t="n"/>
      <c r="CN210" s="62" t="n"/>
      <c r="CO210" s="12" t="n"/>
      <c r="CP210" s="62" t="n"/>
      <c r="CQ210" s="62" t="n"/>
      <c r="CR210" s="62" t="n"/>
      <c r="CS210" s="62" t="n"/>
      <c r="CT210" s="12" t="n"/>
      <c r="CU210" s="62" t="n"/>
      <c r="CV210" s="62" t="n"/>
      <c r="CW210" s="62" t="n"/>
      <c r="CX210" s="62" t="n"/>
      <c r="CY210" s="12" t="n"/>
    </row>
    <row r="211" hidden="1" outlineLevel="1">
      <c r="C211" s="57" t="inlineStr">
        <is>
          <t>Convertible debt</t>
        </is>
      </c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>
        <f>AH223</f>
        <v>0</v>
      </c>
      <c r="AI211" s="12">
        <f>AH211+SUM(AI210)</f>
        <v>0</v>
      </c>
      <c r="AJ211" s="12">
        <f>AI211+SUM(AJ210)</f>
        <v>0</v>
      </c>
      <c r="AK211" s="12">
        <f>AJ211+SUM(AK210)</f>
        <v>0</v>
      </c>
      <c r="AL211" s="12" t="n"/>
      <c r="AM211" s="12">
        <f>AM223</f>
        <v>0</v>
      </c>
      <c r="AN211" s="12">
        <f>AM211+SUM(AN210)</f>
        <v>0</v>
      </c>
      <c r="AO211" s="12">
        <f>AN211+SUM(AO210)</f>
        <v>0</v>
      </c>
      <c r="AP211" s="12">
        <f>AO211+SUM(AP210)</f>
        <v>0</v>
      </c>
      <c r="AQ211" s="12" t="n"/>
      <c r="AR211" s="12">
        <f>AR223</f>
        <v>0</v>
      </c>
      <c r="AS211" s="12">
        <f>AR211+SUM(AS210)</f>
        <v>0</v>
      </c>
      <c r="AT211" s="12">
        <f>AS211+SUM(AT210)</f>
        <v>0</v>
      </c>
      <c r="AU211" s="12">
        <f>AT211+SUM(AU210)</f>
        <v>0</v>
      </c>
      <c r="AV211" s="12" t="n"/>
      <c r="AW211" s="12">
        <f>AW223</f>
        <v>0</v>
      </c>
      <c r="AX211" s="12">
        <f>AW211+SUM(AX210)</f>
        <v>0</v>
      </c>
      <c r="AY211" s="12">
        <f>AX211+SUM(AY210)</f>
        <v>0</v>
      </c>
      <c r="AZ211" s="12">
        <f>AY211+SUM(AZ210)</f>
        <v>0</v>
      </c>
      <c r="BA211" s="12" t="n"/>
      <c r="BB211" s="12">
        <f>BB223</f>
        <v>0</v>
      </c>
      <c r="BC211" s="12">
        <f>BB211+SUM(BC210)</f>
        <v>0</v>
      </c>
      <c r="BD211" s="12">
        <f>BC211+SUM(BD210)</f>
        <v>0</v>
      </c>
      <c r="BE211" s="12">
        <f>BD211+SUM(BE210)</f>
        <v>0</v>
      </c>
      <c r="BF211" s="12" t="n"/>
      <c r="BG211" s="12" t="n"/>
      <c r="BH211" s="12" t="n"/>
      <c r="BI211" s="12" t="n"/>
      <c r="BJ211" s="12" t="n"/>
      <c r="BK211" s="12" t="n"/>
      <c r="BL211" s="12" t="n"/>
      <c r="BM211" s="12" t="n"/>
      <c r="BN211" s="12" t="n"/>
      <c r="BO211" s="12" t="n"/>
      <c r="BP211" s="12" t="n"/>
      <c r="BQ211" s="12" t="n"/>
      <c r="BR211" s="12" t="n"/>
      <c r="BS211" s="12" t="n"/>
      <c r="BT211" s="12" t="n"/>
      <c r="BU211" s="12" t="n"/>
      <c r="BV211" s="12" t="n"/>
      <c r="BW211" s="12" t="n"/>
      <c r="BX211" s="12" t="n"/>
      <c r="BY211" s="12" t="n"/>
      <c r="BZ211" s="12" t="n"/>
      <c r="CA211" s="12" t="n"/>
      <c r="CB211" s="12" t="n"/>
      <c r="CC211" s="12" t="n"/>
      <c r="CD211" s="12" t="n"/>
      <c r="CE211" s="12" t="n"/>
      <c r="CF211" s="12" t="n"/>
      <c r="CG211" s="12" t="n"/>
      <c r="CH211" s="12" t="n"/>
      <c r="CI211" s="12" t="n"/>
      <c r="CJ211" s="12" t="n"/>
      <c r="CK211" s="12" t="n"/>
      <c r="CL211" s="12" t="n"/>
      <c r="CM211" s="12" t="n"/>
      <c r="CN211" s="12" t="n"/>
      <c r="CO211" s="12" t="n"/>
      <c r="CP211" s="12" t="n"/>
      <c r="CQ211" s="12" t="n"/>
      <c r="CR211" s="12" t="n"/>
      <c r="CS211" s="12" t="n"/>
      <c r="CT211" s="12" t="n"/>
      <c r="CU211" s="12" t="n"/>
      <c r="CV211" s="12" t="n"/>
      <c r="CW211" s="12" t="n"/>
      <c r="CX211" s="12" t="n"/>
      <c r="CY211" s="12" t="n"/>
    </row>
    <row r="212" hidden="1" outlineLevel="1">
      <c r="C212" s="57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I212" s="12" t="n"/>
      <c r="AJ212" s="12" t="n"/>
      <c r="AK212" s="12" t="n"/>
      <c r="AL212" s="12" t="n"/>
      <c r="AN212" s="12" t="n"/>
      <c r="AO212" s="12" t="n"/>
      <c r="AP212" s="12" t="n"/>
      <c r="AQ212" s="12" t="n"/>
      <c r="AS212" s="12" t="n"/>
      <c r="AT212" s="12" t="n"/>
      <c r="AU212" s="12" t="n"/>
      <c r="AV212" s="12" t="n"/>
      <c r="AX212" s="12" t="n"/>
      <c r="AY212" s="12" t="n"/>
      <c r="AZ212" s="12" t="n"/>
      <c r="BA212" s="12" t="n"/>
      <c r="BC212" s="12" t="n"/>
      <c r="BD212" s="12" t="n"/>
      <c r="BE212" s="12" t="n"/>
      <c r="BF212" s="12" t="n"/>
      <c r="BH212" s="12" t="n"/>
      <c r="BI212" s="12" t="n"/>
      <c r="BJ212" s="12" t="n"/>
      <c r="BK212" s="12" t="n"/>
      <c r="BM212" s="12" t="n"/>
      <c r="BN212" s="12" t="n"/>
      <c r="BO212" s="12" t="n"/>
      <c r="BP212" s="12" t="n"/>
      <c r="BR212" s="12" t="n"/>
      <c r="BS212" s="12" t="n"/>
      <c r="BT212" s="12" t="n"/>
      <c r="BU212" s="12" t="n"/>
      <c r="BW212" s="12" t="n"/>
      <c r="BX212" s="12" t="n"/>
      <c r="BY212" s="12" t="n"/>
      <c r="BZ212" s="12" t="n"/>
      <c r="CB212" s="12" t="n"/>
      <c r="CC212" s="12" t="n"/>
      <c r="CD212" s="12" t="n"/>
      <c r="CE212" s="12" t="n"/>
      <c r="CG212" s="12" t="n"/>
      <c r="CH212" s="12" t="n"/>
      <c r="CI212" s="12" t="n"/>
      <c r="CJ212" s="12" t="n"/>
      <c r="CL212" s="12" t="n"/>
      <c r="CM212" s="12" t="n"/>
      <c r="CN212" s="12" t="n"/>
      <c r="CO212" s="12" t="n"/>
      <c r="CQ212" s="12" t="n"/>
      <c r="CR212" s="12" t="n"/>
      <c r="CS212" s="12" t="n"/>
      <c r="CT212" s="12" t="n"/>
      <c r="CV212" s="12" t="n"/>
      <c r="CW212" s="12" t="n"/>
      <c r="CX212" s="12" t="n"/>
      <c r="CY212" s="12" t="n"/>
    </row>
    <row r="213" hidden="1" outlineLevel="1">
      <c r="C213" s="57" t="inlineStr">
        <is>
          <t>Calculation of short term debt</t>
        </is>
      </c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  <c r="AJ213" s="12" t="n"/>
      <c r="AK213" s="12" t="n"/>
      <c r="AL213" s="12" t="n"/>
      <c r="AM213" s="12" t="n"/>
      <c r="AN213" s="12" t="n"/>
      <c r="AO213" s="12" t="n"/>
      <c r="AP213" s="12" t="n"/>
      <c r="AQ213" s="12" t="n"/>
      <c r="AR213" s="12" t="n"/>
      <c r="AS213" s="12" t="n"/>
      <c r="AT213" s="12" t="n"/>
      <c r="AU213" s="12" t="n"/>
      <c r="AV213" s="12" t="n"/>
      <c r="AW213" s="12" t="n"/>
      <c r="AX213" s="12" t="n"/>
      <c r="AY213" s="12" t="n"/>
      <c r="AZ213" s="12" t="n"/>
      <c r="BA213" s="12" t="n"/>
      <c r="BB213" s="12" t="n"/>
      <c r="BC213" s="12" t="n"/>
      <c r="BD213" s="12" t="n"/>
      <c r="BE213" s="12" t="n"/>
      <c r="BF213" s="12" t="n"/>
      <c r="BG213" s="12" t="n"/>
      <c r="BH213" s="12" t="n"/>
      <c r="BI213" s="12" t="n"/>
      <c r="BJ213" s="12" t="n"/>
      <c r="BK213" s="12" t="n"/>
      <c r="BL213" s="12" t="n"/>
      <c r="BM213" s="12" t="n"/>
      <c r="BN213" s="12" t="n"/>
      <c r="BO213" s="12" t="n"/>
      <c r="BP213" s="12" t="n"/>
      <c r="BQ213" s="12" t="n"/>
      <c r="BR213" s="12" t="n"/>
      <c r="BS213" s="12" t="n"/>
      <c r="BT213" s="12" t="n"/>
      <c r="BU213" s="12" t="n"/>
      <c r="BV213" s="12" t="n"/>
      <c r="BW213" s="12" t="n"/>
      <c r="BX213" s="12" t="n"/>
      <c r="BY213" s="12" t="n"/>
      <c r="BZ213" s="12" t="n"/>
      <c r="CA213" s="12" t="n"/>
      <c r="CB213" s="12" t="n"/>
      <c r="CC213" s="12" t="n"/>
      <c r="CD213" s="12" t="n"/>
      <c r="CE213" s="12" t="n"/>
      <c r="CF213" s="12" t="n"/>
      <c r="CG213" s="12" t="n"/>
      <c r="CH213" s="12" t="n"/>
      <c r="CI213" s="12" t="n"/>
      <c r="CJ213" s="12" t="n"/>
      <c r="CK213" s="12" t="n"/>
      <c r="CL213" s="12" t="n"/>
      <c r="CM213" s="12" t="n"/>
      <c r="CN213" s="12" t="n"/>
      <c r="CO213" s="12" t="n"/>
      <c r="CP213" s="12" t="n"/>
      <c r="CQ213" s="12" t="n"/>
      <c r="CR213" s="12" t="n"/>
      <c r="CS213" s="12" t="n"/>
      <c r="CT213" s="12" t="n"/>
      <c r="CU213" s="12" t="n"/>
      <c r="CV213" s="12" t="n"/>
      <c r="CW213" s="12" t="n"/>
      <c r="CX213" s="12" t="n"/>
      <c r="CY213" s="12" t="n"/>
    </row>
    <row r="214" hidden="1" outlineLevel="1">
      <c r="C214" s="57" t="inlineStr">
        <is>
          <t>Cash @ beginning of the period (end of last period)</t>
        </is>
      </c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63">
        <f>AG129</f>
        <v>17183</v>
      </c>
      <c r="AI214" s="12" t="n"/>
      <c r="AJ214" s="12" t="n"/>
      <c r="AK214" s="12" t="n"/>
      <c r="AL214" s="12" t="n"/>
      <c r="AM214" s="63">
        <f>AL129</f>
        <v>23621.598740736</v>
      </c>
      <c r="AN214" s="12" t="n"/>
      <c r="AO214" s="12" t="n"/>
      <c r="AP214" s="12" t="n"/>
      <c r="AQ214" s="12" t="n"/>
      <c r="AR214" s="63">
        <f>AQ129</f>
        <v>33634.0599928488</v>
      </c>
      <c r="AS214" s="12" t="n"/>
      <c r="AT214" s="12" t="n"/>
      <c r="AU214" s="12" t="n"/>
      <c r="AV214" s="12" t="n"/>
      <c r="AW214" s="63">
        <f>AV129</f>
        <v>45476.4875783975</v>
      </c>
      <c r="AX214" s="12" t="n"/>
      <c r="AY214" s="12" t="n"/>
      <c r="AZ214" s="12" t="n"/>
      <c r="BA214" s="12" t="n"/>
      <c r="BB214" s="63">
        <f>BA129</f>
        <v>59435.6020000818</v>
      </c>
      <c r="BC214" s="12" t="n"/>
      <c r="BD214" s="12" t="n"/>
      <c r="BE214" s="12" t="n"/>
      <c r="BF214" s="12" t="n"/>
      <c r="BG214" s="63" t="n"/>
      <c r="BH214" s="12" t="n"/>
      <c r="BI214" s="12" t="n"/>
      <c r="BJ214" s="12" t="n"/>
      <c r="BK214" s="12" t="n"/>
      <c r="BL214" s="63" t="n"/>
      <c r="BM214" s="12" t="n"/>
      <c r="BN214" s="12" t="n"/>
      <c r="BO214" s="12" t="n"/>
      <c r="BP214" s="12" t="n"/>
      <c r="BQ214" s="63" t="n"/>
      <c r="BR214" s="12" t="n"/>
      <c r="BS214" s="12" t="n"/>
      <c r="BT214" s="12" t="n"/>
      <c r="BU214" s="12" t="n"/>
      <c r="BV214" s="63" t="n"/>
      <c r="BW214" s="12" t="n"/>
      <c r="BX214" s="12" t="n"/>
      <c r="BY214" s="12" t="n"/>
      <c r="BZ214" s="12" t="n"/>
      <c r="CA214" s="63" t="n"/>
      <c r="CB214" s="12" t="n"/>
      <c r="CC214" s="12" t="n"/>
      <c r="CD214" s="12" t="n"/>
      <c r="CE214" s="12" t="n"/>
      <c r="CF214" s="63" t="n"/>
      <c r="CG214" s="12" t="n"/>
      <c r="CH214" s="12" t="n"/>
      <c r="CI214" s="12" t="n"/>
      <c r="CJ214" s="12" t="n"/>
      <c r="CK214" s="63" t="n"/>
      <c r="CL214" s="12" t="n"/>
      <c r="CM214" s="12" t="n"/>
      <c r="CN214" s="12" t="n"/>
      <c r="CO214" s="12" t="n"/>
      <c r="CP214" s="63" t="n"/>
      <c r="CQ214" s="12" t="n"/>
      <c r="CR214" s="12" t="n"/>
      <c r="CS214" s="12" t="n"/>
      <c r="CT214" s="12" t="n"/>
      <c r="CU214" s="63" t="n"/>
      <c r="CV214" s="12" t="n"/>
      <c r="CW214" s="12" t="n"/>
      <c r="CX214" s="12" t="n"/>
      <c r="CY214" s="12" t="n"/>
    </row>
    <row r="215" hidden="1" outlineLevel="1">
      <c r="C215" s="57" t="inlineStr">
        <is>
          <t>Plus: Free cash flows prior to debt during period</t>
        </is>
      </c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inlineStr">
        <is>
          <t>% of sales</t>
        </is>
      </c>
      <c r="AH215" s="64">
        <f>(AH277+AH284)+SUM(AH287:AH293)</f>
        <v>-276</v>
      </c>
      <c r="AI215" s="64">
        <f>(AI277+AI284)+SUM(AI287:AI293)</f>
        <v>-845</v>
      </c>
      <c r="AJ215" s="64">
        <f>(AJ277+AJ284)+SUM(AJ287:AJ293)</f>
        <v>0</v>
      </c>
      <c r="AK215" s="64">
        <f>(AK277+AK284)+SUM(AK287:AK293)</f>
        <v>0</v>
      </c>
      <c r="AL215" s="12" t="n"/>
      <c r="AM215" s="64">
        <f>(AM277+AM284)+SUM(AM287:AM293)</f>
        <v>0</v>
      </c>
      <c r="AN215" s="64">
        <f>(AN277+AN284)+SUM(AN287:AN293)</f>
        <v>0</v>
      </c>
      <c r="AO215" s="64">
        <f>(AO277+AO284)+SUM(AO287:AO293)</f>
        <v>0</v>
      </c>
      <c r="AP215" s="64">
        <f>(AP277+AP284)+SUM(AP287:AP293)</f>
        <v>0</v>
      </c>
      <c r="AQ215" s="12" t="n"/>
      <c r="AR215" s="64">
        <f>(AR277+AR284)+SUM(AR287:AR293)</f>
        <v>0</v>
      </c>
      <c r="AS215" s="64">
        <f>(AS277+AS284)+SUM(AS287:AS293)</f>
        <v>0</v>
      </c>
      <c r="AT215" s="64">
        <f>(AT277+AT284)+SUM(AT287:AT293)</f>
        <v>0</v>
      </c>
      <c r="AU215" s="64">
        <f>(AU277+AU284)+SUM(AU287:AU293)</f>
        <v>0</v>
      </c>
      <c r="AV215" s="12" t="n"/>
      <c r="AW215" s="64">
        <f>(AW277+AW284)+SUM(AW287:AW293)</f>
        <v>0</v>
      </c>
      <c r="AX215" s="64">
        <f>(AX277+AX284)+SUM(AX287:AX293)</f>
        <v>0</v>
      </c>
      <c r="AY215" s="64">
        <f>(AY277+AY284)+SUM(AY287:AY293)</f>
        <v>0</v>
      </c>
      <c r="AZ215" s="64">
        <f>(AZ277+AZ284)+SUM(AZ287:AZ293)</f>
        <v>0</v>
      </c>
      <c r="BA215" s="12" t="n"/>
      <c r="BB215" s="64">
        <f>(BB277+BB284)+SUM(BB287:BB293)</f>
        <v>0</v>
      </c>
      <c r="BC215" s="64">
        <f>(BC277+BC284)+SUM(BC287:BC293)</f>
        <v>0</v>
      </c>
      <c r="BD215" s="64">
        <f>(BD277+BD284)+SUM(BD287:BD293)</f>
        <v>0</v>
      </c>
      <c r="BE215" s="64">
        <f>(BE277+BE284)+SUM(BE287:BE293)</f>
        <v>0</v>
      </c>
      <c r="BF215" s="12" t="n"/>
      <c r="BG215" s="64" t="n"/>
      <c r="BH215" s="64" t="n"/>
      <c r="BI215" s="64" t="n"/>
      <c r="BJ215" s="64" t="n"/>
      <c r="BK215" s="12" t="n"/>
      <c r="BL215" s="64" t="n"/>
      <c r="BM215" s="64" t="n"/>
      <c r="BN215" s="64" t="n"/>
      <c r="BO215" s="64" t="n"/>
      <c r="BP215" s="12" t="n"/>
      <c r="BQ215" s="64" t="n"/>
      <c r="BR215" s="64" t="n"/>
      <c r="BS215" s="64" t="n"/>
      <c r="BT215" s="64" t="n"/>
      <c r="BU215" s="12" t="n"/>
      <c r="BV215" s="64" t="n"/>
      <c r="BW215" s="64" t="n"/>
      <c r="BX215" s="64" t="n"/>
      <c r="BY215" s="64" t="n"/>
      <c r="BZ215" s="12" t="n"/>
      <c r="CA215" s="64" t="n"/>
      <c r="CB215" s="64" t="n"/>
      <c r="CC215" s="64" t="n"/>
      <c r="CD215" s="64" t="n"/>
      <c r="CE215" s="12" t="n"/>
      <c r="CF215" s="64" t="n"/>
      <c r="CG215" s="64" t="n"/>
      <c r="CH215" s="64" t="n"/>
      <c r="CI215" s="64" t="n"/>
      <c r="CJ215" s="12" t="n"/>
      <c r="CK215" s="64" t="n"/>
      <c r="CL215" s="64" t="n"/>
      <c r="CM215" s="64" t="n"/>
      <c r="CN215" s="64" t="n"/>
      <c r="CO215" s="12" t="n"/>
      <c r="CP215" s="64" t="n"/>
      <c r="CQ215" s="64" t="n"/>
      <c r="CR215" s="64" t="n"/>
      <c r="CS215" s="64" t="n"/>
      <c r="CT215" s="12" t="n"/>
      <c r="CU215" s="64" t="n"/>
      <c r="CV215" s="64" t="n"/>
      <c r="CW215" s="64" t="n"/>
      <c r="CX215" s="64" t="n"/>
      <c r="CY215" s="12" t="n"/>
    </row>
    <row r="216" hidden="1" outlineLevel="1">
      <c r="C216" s="57" t="inlineStr">
        <is>
          <t>Less: Minimum cash balance</t>
        </is>
      </c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52" t="n"/>
      <c r="AH216" s="12">
        <f>($AG$216*AH15)</f>
        <v>0</v>
      </c>
      <c r="AI216" s="12">
        <f>($AG$216*AI15)</f>
        <v>0</v>
      </c>
      <c r="AJ216" s="12">
        <f>($AG$216*AJ15)</f>
        <v>0</v>
      </c>
      <c r="AK216" s="12">
        <f>($AG$216*AK15)</f>
        <v>0</v>
      </c>
      <c r="AL216" s="12" t="n"/>
      <c r="AM216" s="12">
        <f>($AG$216*AM15)</f>
        <v>0</v>
      </c>
      <c r="AN216" s="12">
        <f>($AG$216*AN15)</f>
        <v>0</v>
      </c>
      <c r="AO216" s="12">
        <f>($AG$216*AO15)</f>
        <v>0</v>
      </c>
      <c r="AP216" s="12">
        <f>($AG$216*AP15)</f>
        <v>0</v>
      </c>
      <c r="AQ216" s="12" t="n"/>
      <c r="AR216" s="12">
        <f>($AG$216*AR15)</f>
        <v>0</v>
      </c>
      <c r="AS216" s="12">
        <f>($AG$216*AS15)</f>
        <v>0</v>
      </c>
      <c r="AT216" s="12">
        <f>($AG$216*AT15)</f>
        <v>0</v>
      </c>
      <c r="AU216" s="12">
        <f>($AG$216*AU15)</f>
        <v>0</v>
      </c>
      <c r="AV216" s="12" t="n"/>
      <c r="AW216" s="12">
        <f>($AG$216*AW15)</f>
        <v>0</v>
      </c>
      <c r="AX216" s="12">
        <f>($AG$216*AX15)</f>
        <v>0</v>
      </c>
      <c r="AY216" s="12">
        <f>($AG$216*AY15)</f>
        <v>0</v>
      </c>
      <c r="AZ216" s="12">
        <f>($AG$216*AZ15)</f>
        <v>0</v>
      </c>
      <c r="BA216" s="12" t="n"/>
      <c r="BB216" s="12">
        <f>($AG$216*BB15)</f>
        <v>0</v>
      </c>
      <c r="BC216" s="12">
        <f>($AG$216*BC15)</f>
        <v>0</v>
      </c>
      <c r="BD216" s="12">
        <f>($AG$216*BD15)</f>
        <v>0</v>
      </c>
      <c r="BE216" s="12">
        <f>($AG$216*BE15)</f>
        <v>0</v>
      </c>
      <c r="BF216" s="12" t="n"/>
      <c r="BG216" s="12" t="n"/>
      <c r="BH216" s="12" t="n"/>
      <c r="BI216" s="12" t="n"/>
      <c r="BJ216" s="12" t="n"/>
      <c r="BK216" s="12" t="n"/>
      <c r="BL216" s="12" t="n"/>
      <c r="BM216" s="12" t="n"/>
      <c r="BN216" s="12" t="n"/>
      <c r="BO216" s="12" t="n"/>
      <c r="BP216" s="12" t="n"/>
      <c r="BQ216" s="12" t="n"/>
      <c r="BR216" s="12" t="n"/>
      <c r="BS216" s="12" t="n"/>
      <c r="BT216" s="12" t="n"/>
      <c r="BU216" s="12" t="n"/>
      <c r="BV216" s="12" t="n"/>
      <c r="BW216" s="12" t="n"/>
      <c r="BX216" s="12" t="n"/>
      <c r="BY216" s="12" t="n"/>
      <c r="BZ216" s="12" t="n"/>
      <c r="CA216" s="12" t="n"/>
      <c r="CB216" s="12" t="n"/>
      <c r="CC216" s="12" t="n"/>
      <c r="CD216" s="12" t="n"/>
      <c r="CE216" s="12" t="n"/>
      <c r="CF216" s="12" t="n"/>
      <c r="CG216" s="12" t="n"/>
      <c r="CH216" s="12" t="n"/>
      <c r="CI216" s="12" t="n"/>
      <c r="CJ216" s="12" t="n"/>
      <c r="CK216" s="12" t="n"/>
      <c r="CL216" s="12" t="n"/>
      <c r="CM216" s="12" t="n"/>
      <c r="CN216" s="12" t="n"/>
      <c r="CO216" s="12" t="n"/>
      <c r="CP216" s="12" t="n"/>
      <c r="CQ216" s="12" t="n"/>
      <c r="CR216" s="12" t="n"/>
      <c r="CS216" s="12" t="n"/>
      <c r="CT216" s="12" t="n"/>
      <c r="CU216" s="12" t="n"/>
      <c r="CV216" s="12" t="n"/>
      <c r="CW216" s="12" t="n"/>
      <c r="CX216" s="12" t="n"/>
      <c r="CY216" s="12" t="n"/>
    </row>
    <row r="217" hidden="1" outlineLevel="1">
      <c r="C217" s="57" t="inlineStr">
        <is>
          <t>Total cash available / (debt required) for short term debt paydown</t>
        </is>
      </c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3">
        <f>AH214+AH215-AH216-AF204+AH206+AH210</f>
        <v>16907</v>
      </c>
      <c r="AI217" s="3">
        <f>AI214+AI215-AI216-AG204+AI206+AI210</f>
        <v>-845</v>
      </c>
      <c r="AJ217" s="3">
        <f>AJ214+AJ215-AJ216-AH204+AJ206+AJ210</f>
        <v>0</v>
      </c>
      <c r="AK217" s="3">
        <f>AK214+AK215-AK216-AI204+AK206+AK210</f>
        <v>0</v>
      </c>
      <c r="AL217" s="12" t="n"/>
      <c r="AM217" s="3">
        <f>AM214+AM215-AM216-AK204+AM206+AM210</f>
        <v>23621.598740736</v>
      </c>
      <c r="AN217" s="3">
        <f>AN214+AN215-AN216-AL204+AN206+AN210</f>
        <v>0</v>
      </c>
      <c r="AO217" s="3">
        <f>AO214+AO215-AO216-AM204+AO206+AO210</f>
        <v>0</v>
      </c>
      <c r="AP217" s="3">
        <f>AP214+AP215-AP216-AN204+AP206+AP210</f>
        <v>0</v>
      </c>
      <c r="AQ217" s="12" t="n"/>
      <c r="AR217" s="3">
        <f>AR214+AR215-AR216-AP204+AR206+AR210</f>
        <v>33634.0599928488</v>
      </c>
      <c r="AS217" s="3">
        <f>AS214+AS215-AS216-AQ204+AS206+AS210</f>
        <v>0</v>
      </c>
      <c r="AT217" s="3">
        <f>AT214+AT215-AT216-AR204+AT206+AT210</f>
        <v>0</v>
      </c>
      <c r="AU217" s="3">
        <f>AU214+AU215-AU216-AS204+AU206+AU210</f>
        <v>0</v>
      </c>
      <c r="AV217" s="12" t="n"/>
      <c r="AW217" s="3">
        <f>AW214+AW215-AW216-AU204+AW206+AW210</f>
        <v>45476.4875783975</v>
      </c>
      <c r="AX217" s="3">
        <f>AX214+AX215-AX216-AV204+AX206+AX210</f>
        <v>0</v>
      </c>
      <c r="AY217" s="3">
        <f>AY214+AY215-AY216-AW204+AY206+AY210</f>
        <v>0</v>
      </c>
      <c r="AZ217" s="3">
        <f>AZ214+AZ215-AZ216-AX204+AZ206+AZ210</f>
        <v>0</v>
      </c>
      <c r="BA217" s="12" t="n"/>
      <c r="BB217" s="3">
        <f>BB214+BB215-BB216-AZ204+BB206+BB210</f>
        <v>59435.6020000818</v>
      </c>
      <c r="BC217" s="3">
        <f>BC214+BC215-BC216-BA204+BC206+BC210</f>
        <v>0</v>
      </c>
      <c r="BD217" s="3">
        <f>BD214+BD215-BD216-BB204+BD206+BD210</f>
        <v>0</v>
      </c>
      <c r="BE217" s="3">
        <f>BE214+BE215-BE216-BC204+BE206+BE210</f>
        <v>0</v>
      </c>
      <c r="BF217" s="12" t="n"/>
      <c r="BG217" s="3" t="n"/>
      <c r="BH217" s="3" t="n"/>
      <c r="BI217" s="3" t="n"/>
      <c r="BJ217" s="3" t="n"/>
      <c r="BK217" s="12" t="n"/>
      <c r="BL217" s="3" t="n"/>
      <c r="BM217" s="3" t="n"/>
      <c r="BN217" s="3" t="n"/>
      <c r="BO217" s="3" t="n"/>
      <c r="BP217" s="12" t="n"/>
      <c r="BQ217" s="3" t="n"/>
      <c r="BR217" s="3" t="n"/>
      <c r="BS217" s="3" t="n"/>
      <c r="BT217" s="3" t="n"/>
      <c r="BU217" s="12" t="n"/>
      <c r="BV217" s="3" t="n"/>
      <c r="BW217" s="3" t="n"/>
      <c r="BX217" s="3" t="n"/>
      <c r="BY217" s="3" t="n"/>
      <c r="BZ217" s="12" t="n"/>
      <c r="CA217" s="3" t="n"/>
      <c r="CB217" s="3" t="n"/>
      <c r="CC217" s="3" t="n"/>
      <c r="CD217" s="3" t="n"/>
      <c r="CE217" s="12" t="n"/>
      <c r="CF217" s="3" t="n"/>
      <c r="CG217" s="3" t="n"/>
      <c r="CH217" s="3" t="n"/>
      <c r="CI217" s="3" t="n"/>
      <c r="CJ217" s="12" t="n"/>
      <c r="CK217" s="3" t="n"/>
      <c r="CL217" s="3" t="n"/>
      <c r="CM217" s="3" t="n"/>
      <c r="CN217" s="3" t="n"/>
      <c r="CO217" s="12" t="n"/>
      <c r="CP217" s="3" t="n"/>
      <c r="CQ217" s="3" t="n"/>
      <c r="CR217" s="3" t="n"/>
      <c r="CS217" s="3" t="n"/>
      <c r="CT217" s="12" t="n"/>
      <c r="CU217" s="3" t="n"/>
      <c r="CV217" s="3" t="n"/>
      <c r="CW217" s="3" t="n"/>
      <c r="CX217" s="3" t="n"/>
      <c r="CY217" s="12" t="n"/>
    </row>
    <row r="218" hidden="1" outlineLevel="1">
      <c r="C218" s="57" t="inlineStr">
        <is>
          <t>Short term debt</t>
        </is>
      </c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>
        <f>AH198</f>
        <v>0</v>
      </c>
      <c r="AI218" s="12">
        <f>MAX(0,AH218-AI217)</f>
        <v>845</v>
      </c>
      <c r="AJ218" s="12">
        <f>MAX(0,AI218-AJ217)</f>
        <v>845</v>
      </c>
      <c r="AK218" s="12">
        <f>MAX(0,AJ218-AK217)</f>
        <v>845</v>
      </c>
      <c r="AL218" s="12" t="n"/>
      <c r="AM218" s="12">
        <f>AM198</f>
        <v>0</v>
      </c>
      <c r="AN218" s="12">
        <f>MAX(0,AM218-AN217)</f>
        <v>0</v>
      </c>
      <c r="AO218" s="12">
        <f>MAX(0,AN218-AO217)</f>
        <v>0</v>
      </c>
      <c r="AP218" s="12">
        <f>MAX(0,AO218-AP217)</f>
        <v>0</v>
      </c>
      <c r="AQ218" s="12" t="n"/>
      <c r="AR218" s="12">
        <f>AR198</f>
        <v>0</v>
      </c>
      <c r="AS218" s="12">
        <f>MAX(0,AR218-AS217)</f>
        <v>0</v>
      </c>
      <c r="AT218" s="12">
        <f>MAX(0,AS218-AT217)</f>
        <v>0</v>
      </c>
      <c r="AU218" s="12">
        <f>MAX(0,AT218-AU217)</f>
        <v>0</v>
      </c>
      <c r="AV218" s="12" t="n"/>
      <c r="AW218" s="12">
        <f>AW198</f>
        <v>0</v>
      </c>
      <c r="AX218" s="12">
        <f>MAX(0,AW218-AX217)</f>
        <v>0</v>
      </c>
      <c r="AY218" s="12">
        <f>MAX(0,AX218-AY217)</f>
        <v>0</v>
      </c>
      <c r="AZ218" s="12">
        <f>MAX(0,AY218-AZ217)</f>
        <v>0</v>
      </c>
      <c r="BA218" s="12" t="n"/>
      <c r="BB218" s="12">
        <f>BB198</f>
        <v>0</v>
      </c>
      <c r="BC218" s="12">
        <f>MAX(0,BB218-BC217)</f>
        <v>0</v>
      </c>
      <c r="BD218" s="12">
        <f>MAX(0,BC218-BD217)</f>
        <v>0</v>
      </c>
      <c r="BE218" s="12">
        <f>MAX(0,BD218-BE217)</f>
        <v>0</v>
      </c>
      <c r="BF218" s="12" t="n"/>
      <c r="BG218" s="12" t="n"/>
      <c r="BH218" s="12" t="n"/>
      <c r="BI218" s="12" t="n"/>
      <c r="BJ218" s="12" t="n"/>
      <c r="BK218" s="12" t="n"/>
      <c r="BL218" s="12" t="n"/>
      <c r="BM218" s="12" t="n"/>
      <c r="BN218" s="12" t="n"/>
      <c r="BO218" s="12" t="n"/>
      <c r="BP218" s="12" t="n"/>
      <c r="BQ218" s="12" t="n"/>
      <c r="BR218" s="12" t="n"/>
      <c r="BS218" s="12" t="n"/>
      <c r="BT218" s="12" t="n"/>
      <c r="BU218" s="12" t="n"/>
      <c r="BV218" s="12" t="n"/>
      <c r="BW218" s="12" t="n"/>
      <c r="BX218" s="12" t="n"/>
      <c r="BY218" s="12" t="n"/>
      <c r="BZ218" s="12" t="n"/>
      <c r="CA218" s="12" t="n"/>
      <c r="CB218" s="12" t="n"/>
      <c r="CC218" s="12" t="n"/>
      <c r="CD218" s="12" t="n"/>
      <c r="CE218" s="12" t="n"/>
      <c r="CF218" s="12" t="n"/>
      <c r="CG218" s="12" t="n"/>
      <c r="CH218" s="12" t="n"/>
      <c r="CI218" s="12" t="n"/>
      <c r="CJ218" s="12" t="n"/>
      <c r="CK218" s="12" t="n"/>
      <c r="CL218" s="12" t="n"/>
      <c r="CM218" s="12" t="n"/>
      <c r="CN218" s="12" t="n"/>
      <c r="CO218" s="12" t="n"/>
      <c r="CP218" s="12" t="n"/>
      <c r="CQ218" s="12" t="n"/>
      <c r="CR218" s="12" t="n"/>
      <c r="CS218" s="12" t="n"/>
      <c r="CT218" s="12" t="n"/>
      <c r="CU218" s="12" t="n"/>
      <c r="CV218" s="12" t="n"/>
      <c r="CW218" s="12" t="n"/>
      <c r="CX218" s="12" t="n"/>
      <c r="CY218" s="12" t="n"/>
    </row>
    <row r="219" hidden="1" outlineLevel="1">
      <c r="C219" s="57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  <c r="AJ219" s="12" t="n"/>
      <c r="AK219" s="12" t="n"/>
      <c r="AL219" s="12" t="n"/>
      <c r="AM219" s="12" t="n"/>
      <c r="AN219" s="12" t="n"/>
      <c r="AO219" s="12" t="n"/>
      <c r="AP219" s="12" t="n"/>
      <c r="AQ219" s="12" t="n"/>
      <c r="AR219" s="12" t="n"/>
      <c r="AS219" s="12" t="n"/>
      <c r="AT219" s="12" t="n"/>
      <c r="AU219" s="12" t="n"/>
      <c r="AV219" s="12" t="n"/>
      <c r="AW219" s="12" t="n"/>
      <c r="AX219" s="12" t="n"/>
      <c r="AY219" s="12" t="n"/>
      <c r="AZ219" s="12" t="n"/>
      <c r="BA219" s="12" t="n"/>
      <c r="BB219" s="12" t="n"/>
      <c r="BC219" s="12" t="n"/>
      <c r="BD219" s="12" t="n"/>
      <c r="BE219" s="12" t="n"/>
      <c r="BF219" s="12" t="n"/>
      <c r="BG219" s="12" t="n"/>
      <c r="BH219" s="12" t="n"/>
      <c r="BI219" s="12" t="n"/>
      <c r="BJ219" s="12" t="n"/>
      <c r="BK219" s="12" t="n"/>
      <c r="BL219" s="12" t="n"/>
      <c r="BM219" s="12" t="n"/>
      <c r="BN219" s="12" t="n"/>
      <c r="BO219" s="12" t="n"/>
      <c r="BP219" s="12" t="n"/>
      <c r="BQ219" s="12" t="n"/>
      <c r="BR219" s="12" t="n"/>
      <c r="BS219" s="12" t="n"/>
      <c r="BT219" s="12" t="n"/>
      <c r="BU219" s="12" t="n"/>
      <c r="BV219" s="12" t="n"/>
      <c r="BW219" s="12" t="n"/>
      <c r="BX219" s="12" t="n"/>
      <c r="BY219" s="12" t="n"/>
      <c r="BZ219" s="12" t="n"/>
      <c r="CA219" s="12" t="n"/>
      <c r="CB219" s="12" t="n"/>
      <c r="CC219" s="12" t="n"/>
      <c r="CD219" s="12" t="n"/>
      <c r="CE219" s="12" t="n"/>
      <c r="CF219" s="12" t="n"/>
      <c r="CG219" s="12" t="n"/>
      <c r="CH219" s="12" t="n"/>
      <c r="CI219" s="12" t="n"/>
      <c r="CJ219" s="12" t="n"/>
      <c r="CK219" s="12" t="n"/>
      <c r="CL219" s="12" t="n"/>
      <c r="CM219" s="12" t="n"/>
      <c r="CN219" s="12" t="n"/>
      <c r="CO219" s="12" t="n"/>
      <c r="CP219" s="12" t="n"/>
      <c r="CQ219" s="12" t="n"/>
      <c r="CR219" s="12" t="n"/>
      <c r="CS219" s="12" t="n"/>
      <c r="CT219" s="12" t="n"/>
      <c r="CU219" s="12" t="n"/>
      <c r="CV219" s="12" t="n"/>
      <c r="CW219" s="12" t="n"/>
      <c r="CX219" s="12" t="n"/>
      <c r="CY219" s="12" t="n"/>
    </row>
    <row r="220" collapsed="1">
      <c r="C220" s="14" t="inlineStr">
        <is>
          <t>Long term operating leases</t>
        </is>
      </c>
      <c r="D220" s="46" t="n"/>
      <c r="E220" s="46" t="n"/>
      <c r="F220" s="46" t="n"/>
      <c r="G220" s="46" t="n"/>
      <c r="H220" s="12" t="n"/>
      <c r="I220" s="46">
        <f>'Inputs (2)'!D36</f>
        <v>2651</v>
      </c>
      <c r="J220" s="46">
        <f>'Inputs (2)'!E36</f>
        <v>2641</v>
      </c>
      <c r="K220" s="46">
        <f>'Inputs (2)'!F36</f>
        <v>2642</v>
      </c>
      <c r="L220" s="46">
        <f>'Inputs (2)'!G36</f>
        <v>2649</v>
      </c>
      <c r="M220" s="12">
        <f>'Inputs (2)'!H36</f>
        <v>2649</v>
      </c>
      <c r="N220" s="46">
        <f>'Inputs (2)'!I36</f>
        <v>2588</v>
      </c>
      <c r="O220" s="46">
        <f>'Inputs (2)'!J36</f>
        <v>2452</v>
      </c>
      <c r="P220" s="46">
        <f>'Inputs (2)'!K36</f>
        <v>2482</v>
      </c>
      <c r="Q220" s="46">
        <f>'Inputs (2)'!L36</f>
        <v>2503</v>
      </c>
      <c r="R220" s="12">
        <f>'Inputs (2)'!M36</f>
        <v>2503</v>
      </c>
      <c r="S220" s="46">
        <f>'Inputs (2)'!N36</f>
        <v>2557</v>
      </c>
      <c r="T220" s="46">
        <f>'Inputs (2)'!O36</f>
        <v>2507</v>
      </c>
      <c r="U220" s="46">
        <f>'Inputs (2)'!P36</f>
        <v>2426</v>
      </c>
      <c r="V220" s="46">
        <f>'Inputs (2)'!Q36</f>
        <v>2401</v>
      </c>
      <c r="W220" s="12">
        <f>'Inputs (2)'!R36</f>
        <v>2401</v>
      </c>
      <c r="X220" s="46">
        <f>'Inputs (2)'!S36</f>
        <v>2488</v>
      </c>
      <c r="Y220" s="46">
        <f>'Inputs (2)'!T36</f>
        <v>2386</v>
      </c>
      <c r="Z220" s="46">
        <f>'Inputs (2)'!U36</f>
        <v>2375</v>
      </c>
      <c r="AA220" s="46">
        <f>'Inputs (2)'!V36</f>
        <v>2288</v>
      </c>
      <c r="AB220" s="12">
        <f>'Inputs (2)'!W36</f>
        <v>2288</v>
      </c>
      <c r="AC220" s="46">
        <f>'Inputs (2)'!X36</f>
        <v>2284</v>
      </c>
      <c r="AD220" s="46">
        <f>'Inputs (2)'!Y36</f>
        <v>2463</v>
      </c>
      <c r="AE220" s="46">
        <f>'Inputs (2)'!Z36</f>
        <v>2460</v>
      </c>
      <c r="AF220" s="46">
        <f>'Inputs (2)'!AA36</f>
        <v>2436</v>
      </c>
      <c r="AG220" s="12">
        <f>'Inputs (2)'!AB36</f>
        <v>2436</v>
      </c>
      <c r="AH220" s="12">
        <f>'Inputs (2)'!AC36</f>
        <v>2477</v>
      </c>
      <c r="AI220" s="12">
        <f>'Inputs (2)'!AD36</f>
        <v>2466</v>
      </c>
      <c r="AJ220" s="12">
        <f>AI220</f>
        <v>2466</v>
      </c>
      <c r="AK220" s="12">
        <f>AJ220</f>
        <v>2466</v>
      </c>
      <c r="AL220" s="12">
        <f>AK220</f>
        <v>2466</v>
      </c>
      <c r="AM220" s="12">
        <f>AL220</f>
        <v>2466</v>
      </c>
      <c r="AN220" s="12">
        <f>AM220</f>
        <v>2466</v>
      </c>
      <c r="AO220" s="12">
        <f>AN220</f>
        <v>2466</v>
      </c>
      <c r="AP220" s="12">
        <f>AO220</f>
        <v>2466</v>
      </c>
      <c r="AQ220" s="12">
        <f>AP220</f>
        <v>2466</v>
      </c>
      <c r="AR220" s="12">
        <f>AQ220</f>
        <v>2466</v>
      </c>
      <c r="AS220" s="12">
        <f>AR220</f>
        <v>2466</v>
      </c>
      <c r="AT220" s="12">
        <f>AS220</f>
        <v>2466</v>
      </c>
      <c r="AU220" s="12">
        <f>AT220</f>
        <v>2466</v>
      </c>
      <c r="AV220" s="12">
        <f>AU220</f>
        <v>2466</v>
      </c>
      <c r="AW220" s="12">
        <f>AV220</f>
        <v>2466</v>
      </c>
      <c r="AX220" s="12">
        <f>AW220</f>
        <v>2466</v>
      </c>
      <c r="AY220" s="12">
        <f>AX220</f>
        <v>2466</v>
      </c>
      <c r="AZ220" s="12">
        <f>AY220</f>
        <v>2466</v>
      </c>
      <c r="BA220" s="12">
        <f>AZ220</f>
        <v>2466</v>
      </c>
      <c r="BB220" s="12">
        <f>BA220</f>
        <v>2466</v>
      </c>
      <c r="BC220" s="12">
        <f>BB220</f>
        <v>2466</v>
      </c>
      <c r="BD220" s="12">
        <f>BC220</f>
        <v>2466</v>
      </c>
      <c r="BE220" s="12">
        <f>BD220</f>
        <v>2466</v>
      </c>
      <c r="BF220" s="12">
        <f>BE220</f>
        <v>2466</v>
      </c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>
      <c r="C221" s="59" t="inlineStr">
        <is>
          <t>%(Var.)</t>
        </is>
      </c>
      <c r="D221" s="12" t="n"/>
      <c r="E221" s="40" t="n"/>
      <c r="F221" s="40" t="n"/>
      <c r="G221" s="40" t="n"/>
      <c r="H221" s="12" t="n"/>
      <c r="I221" s="40" t="str">
        <f>""</f>
        <v/>
      </c>
      <c r="J221" s="40">
        <f>IFERROR(IF(I220=0,"",J220/I220-1),"")</f>
        <v>-0.00377216144851</v>
      </c>
      <c r="K221" s="40">
        <f>IFERROR(IF(J220=0,"",K220/J220-1),"")</f>
        <v>0.000378644452858845</v>
      </c>
      <c r="L221" s="40">
        <f>IFERROR(IF(K220=0,"",L220/K220-1),"")</f>
        <v>0.00264950794852381</v>
      </c>
      <c r="M221" s="12">
        <f>IF(L220=0,"",M220/L220-1)</f>
        <v>0</v>
      </c>
      <c r="N221" s="40">
        <f>IFERROR(IF(M220=0,"",N220/M220-1),"")</f>
        <v>-0.023027557568894</v>
      </c>
      <c r="O221" s="40">
        <f>IFERROR(IF(N220=0,"",O220/N220-1),"")</f>
        <v>-0.0525502318392581</v>
      </c>
      <c r="P221" s="40">
        <f>IFERROR(IF(O220=0,"",P220/O220-1),"")</f>
        <v>0.0122349102773247</v>
      </c>
      <c r="Q221" s="40">
        <f>IFERROR(IF(P220=0,"",Q220/P220-1),"")</f>
        <v>0.00846091861402099</v>
      </c>
      <c r="R221" s="12">
        <f>IF(Q220=0,"",R220/Q220-1)</f>
        <v>0</v>
      </c>
      <c r="S221" s="40">
        <f>IFERROR(IF(R220=0,"",S220/R220-1),"")</f>
        <v>0.02157411106672</v>
      </c>
      <c r="T221" s="40">
        <f>IFERROR(IF(S220=0,"",T220/S220-1),"")</f>
        <v>-0.0195541650371529</v>
      </c>
      <c r="U221" s="40">
        <f>IFERROR(IF(T220=0,"",U220/T220-1),"")</f>
        <v>-0.0323095333067411</v>
      </c>
      <c r="V221" s="40">
        <f>IFERROR(IF(U220=0,"",V220/U220-1),"")</f>
        <v>-0.0103050288540808</v>
      </c>
      <c r="W221" s="12">
        <f>IF(V220=0,"",W220/V220-1)</f>
        <v>0</v>
      </c>
      <c r="X221" s="40">
        <f>IFERROR(IF(W220=0,"",X220/W220-1),"")</f>
        <v>0.0362349021241148</v>
      </c>
      <c r="Y221" s="40">
        <f>IFERROR(IF(X220=0,"",Y220/X220-1),"")</f>
        <v>-0.0409967845659164</v>
      </c>
      <c r="Z221" s="40">
        <f>IFERROR(IF(Y220=0,"",Z220/Y220-1),"")</f>
        <v>-0.00461022632020114</v>
      </c>
      <c r="AA221" s="40">
        <f>IFERROR(IF(Z220=0,"",AA220/Z220-1),"")</f>
        <v>-0.0366315789473685</v>
      </c>
      <c r="AB221" s="12">
        <f>IF(AA220=0,"",AB220/AA220-1)</f>
        <v>0</v>
      </c>
      <c r="AC221" s="40">
        <f>IFERROR(IF(AB220=0,"",AC220/AB220-1),"")</f>
        <v>-0.00174825174825177</v>
      </c>
      <c r="AD221" s="40">
        <f>IFERROR(IF(AC220=0,"",AD220/AC220-1),"")</f>
        <v>0.0783712784588442</v>
      </c>
      <c r="AE221" s="40">
        <f>IFERROR(IF(AD220=0,"",AE220/AD220-1),"")</f>
        <v>-0.00121802679658956</v>
      </c>
      <c r="AF221" s="41">
        <f>IFERROR(IF(AE220=0,"",AF220/AE220-1),"")</f>
        <v>-0.00975609756097562</v>
      </c>
      <c r="AG221" s="12">
        <f>IF(AF220=0,"",AG220/AF220-1)</f>
        <v>0</v>
      </c>
      <c r="AH221" s="11">
        <f>IFERROR(IF(AG220=0,"",AH220/AG220-1),"")</f>
        <v>0.0168308702791462</v>
      </c>
      <c r="AI221" s="11">
        <f>IFERROR(IF(AH220=0,"",AI220/AH220-1),"")</f>
        <v>-0.00444085587404119</v>
      </c>
      <c r="AJ221" s="11">
        <f>IFERROR(IF(AI220=0,"",AJ220/AI220-1),"")</f>
        <v>0</v>
      </c>
      <c r="AK221" s="11">
        <f>IFERROR(IF(AJ220=0,"",AK220/AJ220-1),"")</f>
        <v>0</v>
      </c>
      <c r="AL221" s="12">
        <f>IFERROR(IF(AK220=0,"",AL220/AK220-1),"")</f>
        <v>0</v>
      </c>
      <c r="AM221" s="11">
        <f>IFERROR(IF(AL220=0,"",AM220/AL220-1),"")</f>
        <v>0</v>
      </c>
      <c r="AN221" s="11">
        <f>IFERROR(IF(AM220=0,"",AN220/AM220-1),"")</f>
        <v>0</v>
      </c>
      <c r="AO221" s="11">
        <f>IFERROR(IF(AN220=0,"",AO220/AN220-1),"")</f>
        <v>0</v>
      </c>
      <c r="AP221" s="11">
        <f>IFERROR(IF(AO220=0,"",AP220/AO220-1),"")</f>
        <v>0</v>
      </c>
      <c r="AQ221" s="12">
        <f>IFERROR(IF(AP220=0,"",AQ220/AP220-1),"")</f>
        <v>0</v>
      </c>
      <c r="AR221" s="11">
        <f>IFERROR(IF(AQ220=0,"",AR220/AQ220-1),"")</f>
        <v>0</v>
      </c>
      <c r="AS221" s="11">
        <f>IFERROR(IF(AR220=0,"",AS220/AR220-1),"")</f>
        <v>0</v>
      </c>
      <c r="AT221" s="11">
        <f>IFERROR(IF(AS220=0,"",AT220/AS220-1),"")</f>
        <v>0</v>
      </c>
      <c r="AU221" s="11">
        <f>IFERROR(IF(AT220=0,"",AU220/AT220-1),"")</f>
        <v>0</v>
      </c>
      <c r="AV221" s="12">
        <f>IFERROR(IF(AU220=0,"",AV220/AU220-1),"")</f>
        <v>0</v>
      </c>
      <c r="AW221" s="11">
        <f>IFERROR(IF(AV220=0,"",AW220/AV220-1),"")</f>
        <v>0</v>
      </c>
      <c r="AX221" s="11">
        <f>IFERROR(IF(AW220=0,"",AX220/AW220-1),"")</f>
        <v>0</v>
      </c>
      <c r="AY221" s="11">
        <f>IFERROR(IF(AX220=0,"",AY220/AX220-1),"")</f>
        <v>0</v>
      </c>
      <c r="AZ221" s="11">
        <f>IFERROR(IF(AY220=0,"",AZ220/AY220-1),"")</f>
        <v>0</v>
      </c>
      <c r="BA221" s="12">
        <f>IFERROR(IF(AZ220=0,"",BA220/AZ220-1),"")</f>
        <v>0</v>
      </c>
      <c r="BB221" s="11">
        <f>IFERROR(IF(BA220=0,"",BB220/BA220-1),"")</f>
        <v>0</v>
      </c>
      <c r="BC221" s="11">
        <f>IFERROR(IF(BB220=0,"",BC220/BB220-1),"")</f>
        <v>0</v>
      </c>
      <c r="BD221" s="11">
        <f>IFERROR(IF(BC220=0,"",BD220/BC220-1),"")</f>
        <v>0</v>
      </c>
      <c r="BE221" s="11">
        <f>IFERROR(IF(BD220=0,"",BE220/BD220-1),"")</f>
        <v>0</v>
      </c>
      <c r="BF221" s="12">
        <f>IFERROR(IF(BE220=0,"",BF220/BE220-1),"")</f>
        <v>0</v>
      </c>
      <c r="BG221" s="11" t="n"/>
      <c r="BH221" s="11" t="n"/>
      <c r="BI221" s="11" t="n"/>
      <c r="BJ221" s="11" t="n"/>
      <c r="BK221" s="12" t="n"/>
      <c r="BL221" s="11" t="n"/>
      <c r="BM221" s="11" t="n"/>
      <c r="BN221" s="11" t="n"/>
      <c r="BO221" s="11" t="n"/>
      <c r="BP221" s="12" t="n"/>
      <c r="BQ221" s="11" t="n"/>
      <c r="BR221" s="11" t="n"/>
      <c r="BS221" s="11" t="n"/>
      <c r="BT221" s="11" t="n"/>
      <c r="BU221" s="12" t="n"/>
      <c r="BV221" s="11" t="n"/>
      <c r="BW221" s="11" t="n"/>
      <c r="BX221" s="11" t="n"/>
      <c r="BY221" s="11" t="n"/>
      <c r="BZ221" s="12" t="n"/>
      <c r="CA221" s="11" t="n"/>
      <c r="CB221" s="11" t="n"/>
      <c r="CC221" s="11" t="n"/>
      <c r="CD221" s="11" t="n"/>
      <c r="CE221" s="12" t="n"/>
      <c r="CF221" s="11" t="n"/>
      <c r="CG221" s="11" t="n"/>
      <c r="CH221" s="11" t="n"/>
      <c r="CI221" s="11" t="n"/>
      <c r="CJ221" s="12" t="n"/>
      <c r="CK221" s="11" t="n"/>
      <c r="CL221" s="11" t="n"/>
      <c r="CM221" s="11" t="n"/>
      <c r="CN221" s="11" t="n"/>
      <c r="CO221" s="12" t="n"/>
      <c r="CP221" s="11" t="n"/>
      <c r="CQ221" s="11" t="n"/>
      <c r="CR221" s="11" t="n"/>
      <c r="CS221" s="11" t="n"/>
      <c r="CT221" s="12" t="n"/>
      <c r="CU221" s="11" t="n"/>
      <c r="CV221" s="11" t="n"/>
      <c r="CW221" s="11" t="n"/>
      <c r="CX221" s="11" t="n"/>
      <c r="CY221" s="12" t="n"/>
    </row>
    <row r="222" hidden="1" outlineLevel="1">
      <c r="C222" s="57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  <c r="AL222" s="12" t="n"/>
      <c r="AM222" s="12" t="n"/>
      <c r="AN222" s="12" t="n"/>
      <c r="AO222" s="12" t="n"/>
      <c r="AP222" s="12" t="n"/>
      <c r="AQ222" s="12" t="n"/>
      <c r="AR222" s="12" t="n"/>
      <c r="AS222" s="12" t="n"/>
      <c r="AT222" s="12" t="n"/>
      <c r="AU222" s="12" t="n"/>
      <c r="AV222" s="12" t="n"/>
      <c r="AW222" s="12" t="n"/>
      <c r="AX222" s="12" t="n"/>
      <c r="AY222" s="12" t="n"/>
      <c r="AZ222" s="12" t="n"/>
      <c r="BA222" s="12" t="n"/>
      <c r="BB222" s="12" t="n"/>
      <c r="BC222" s="12" t="n"/>
      <c r="BD222" s="12" t="n"/>
      <c r="BE222" s="12" t="n"/>
      <c r="BF222" s="12" t="n"/>
      <c r="BG222" s="12" t="n"/>
      <c r="BH222" s="12" t="n"/>
      <c r="BI222" s="12" t="n"/>
      <c r="BJ222" s="12" t="n"/>
      <c r="BK222" s="12" t="n"/>
      <c r="BL222" s="12" t="n"/>
      <c r="BM222" s="12" t="n"/>
      <c r="BN222" s="12" t="n"/>
      <c r="BO222" s="12" t="n"/>
      <c r="BP222" s="12" t="n"/>
      <c r="BQ222" s="12" t="n"/>
      <c r="BR222" s="12" t="n"/>
      <c r="BS222" s="12" t="n"/>
      <c r="BT222" s="12" t="n"/>
      <c r="BU222" s="12" t="n"/>
      <c r="BV222" s="12" t="n"/>
      <c r="BW222" s="12" t="n"/>
      <c r="BX222" s="12" t="n"/>
      <c r="BY222" s="12" t="n"/>
      <c r="BZ222" s="12" t="n"/>
      <c r="CA222" s="12" t="n"/>
      <c r="CB222" s="12" t="n"/>
      <c r="CC222" s="12" t="n"/>
      <c r="CD222" s="12" t="n"/>
      <c r="CE222" s="12" t="n"/>
      <c r="CF222" s="12" t="n"/>
      <c r="CG222" s="12" t="n"/>
      <c r="CH222" s="12" t="n"/>
      <c r="CI222" s="12" t="n"/>
      <c r="CJ222" s="12" t="n"/>
      <c r="CK222" s="12" t="n"/>
      <c r="CL222" s="12" t="n"/>
      <c r="CM222" s="12" t="n"/>
      <c r="CN222" s="12" t="n"/>
      <c r="CO222" s="12" t="n"/>
      <c r="CP222" s="12" t="n"/>
      <c r="CQ222" s="12" t="n"/>
      <c r="CR222" s="12" t="n"/>
      <c r="CS222" s="12" t="n"/>
      <c r="CT222" s="12" t="n"/>
      <c r="CU222" s="12" t="n"/>
      <c r="CV222" s="12" t="n"/>
      <c r="CW222" s="12" t="n"/>
      <c r="CX222" s="12" t="n"/>
      <c r="CY222" s="12" t="n"/>
    </row>
    <row r="223" collapsed="1">
      <c r="C223" s="14" t="inlineStr">
        <is>
          <t>Convertible debt</t>
        </is>
      </c>
      <c r="D223" s="46" t="n"/>
      <c r="E223" s="46" t="n"/>
      <c r="F223" s="46" t="n"/>
      <c r="G223" s="46" t="n"/>
      <c r="H223" s="12" t="n"/>
      <c r="I223" s="46">
        <f>'Inputs (2)'!D37</f>
        <v>0</v>
      </c>
      <c r="J223" s="46">
        <f>'Inputs (2)'!E37</f>
        <v>0</v>
      </c>
      <c r="K223" s="46">
        <f>'Inputs (2)'!F37</f>
        <v>0</v>
      </c>
      <c r="L223" s="46">
        <f>'Inputs (2)'!G37</f>
        <v>0</v>
      </c>
      <c r="M223" s="12">
        <f>'Inputs (2)'!H37</f>
        <v>0</v>
      </c>
      <c r="N223" s="46">
        <f>'Inputs (2)'!I37</f>
        <v>0</v>
      </c>
      <c r="O223" s="46">
        <f>'Inputs (2)'!J37</f>
        <v>0</v>
      </c>
      <c r="P223" s="46">
        <f>'Inputs (2)'!K37</f>
        <v>0</v>
      </c>
      <c r="Q223" s="46">
        <f>'Inputs (2)'!L37</f>
        <v>0</v>
      </c>
      <c r="R223" s="12">
        <f>'Inputs (2)'!M37</f>
        <v>0</v>
      </c>
      <c r="S223" s="46">
        <f>'Inputs (2)'!N37</f>
        <v>0</v>
      </c>
      <c r="T223" s="46">
        <f>'Inputs (2)'!O37</f>
        <v>0</v>
      </c>
      <c r="U223" s="46">
        <f>'Inputs (2)'!P37</f>
        <v>0</v>
      </c>
      <c r="V223" s="46">
        <f>'Inputs (2)'!Q37</f>
        <v>0</v>
      </c>
      <c r="W223" s="12">
        <f>'Inputs (2)'!R37</f>
        <v>0</v>
      </c>
      <c r="X223" s="46">
        <f>'Inputs (2)'!S37</f>
        <v>0</v>
      </c>
      <c r="Y223" s="46">
        <f>'Inputs (2)'!T37</f>
        <v>0</v>
      </c>
      <c r="Z223" s="46">
        <f>'Inputs (2)'!U37</f>
        <v>0</v>
      </c>
      <c r="AA223" s="46">
        <f>'Inputs (2)'!V37</f>
        <v>0</v>
      </c>
      <c r="AB223" s="12">
        <f>'Inputs (2)'!W37</f>
        <v>0</v>
      </c>
      <c r="AC223" s="46">
        <f>'Inputs (2)'!X37</f>
        <v>0</v>
      </c>
      <c r="AD223" s="46">
        <f>'Inputs (2)'!Y37</f>
        <v>0</v>
      </c>
      <c r="AE223" s="46">
        <f>'Inputs (2)'!Z37</f>
        <v>0</v>
      </c>
      <c r="AF223" s="46">
        <f>'Inputs (2)'!AA37</f>
        <v>0</v>
      </c>
      <c r="AG223" s="12">
        <f>'Inputs (2)'!AB37</f>
        <v>0</v>
      </c>
      <c r="AH223" s="12">
        <f>'Inputs (2)'!AC37</f>
        <v>0</v>
      </c>
      <c r="AI223" s="12">
        <f>'Inputs (2)'!AD37</f>
        <v>0</v>
      </c>
      <c r="AJ223" s="12">
        <f>AI223</f>
        <v>0</v>
      </c>
      <c r="AK223" s="12">
        <f>AJ223</f>
        <v>0</v>
      </c>
      <c r="AL223" s="12">
        <f>AK223</f>
        <v>0</v>
      </c>
      <c r="AM223" s="12">
        <f>AL223</f>
        <v>0</v>
      </c>
      <c r="AN223" s="12">
        <f>AM223</f>
        <v>0</v>
      </c>
      <c r="AO223" s="12">
        <f>AN223</f>
        <v>0</v>
      </c>
      <c r="AP223" s="12">
        <f>AO223</f>
        <v>0</v>
      </c>
      <c r="AQ223" s="12">
        <f>AP223</f>
        <v>0</v>
      </c>
      <c r="AR223" s="12">
        <f>AQ223</f>
        <v>0</v>
      </c>
      <c r="AS223" s="12">
        <f>AR223</f>
        <v>0</v>
      </c>
      <c r="AT223" s="12">
        <f>AS223</f>
        <v>0</v>
      </c>
      <c r="AU223" s="12">
        <f>AT223</f>
        <v>0</v>
      </c>
      <c r="AV223" s="12">
        <f>AU223</f>
        <v>0</v>
      </c>
      <c r="AW223" s="12">
        <f>AV223</f>
        <v>0</v>
      </c>
      <c r="AX223" s="12">
        <f>AW223</f>
        <v>0</v>
      </c>
      <c r="AY223" s="12">
        <f>AX223</f>
        <v>0</v>
      </c>
      <c r="AZ223" s="12">
        <f>AY223</f>
        <v>0</v>
      </c>
      <c r="BA223" s="12">
        <f>AZ223</f>
        <v>0</v>
      </c>
      <c r="BB223" s="12">
        <f>BA223</f>
        <v>0</v>
      </c>
      <c r="BC223" s="12">
        <f>BB223</f>
        <v>0</v>
      </c>
      <c r="BD223" s="12">
        <f>BC223</f>
        <v>0</v>
      </c>
      <c r="BE223" s="12">
        <f>BD223</f>
        <v>0</v>
      </c>
      <c r="BF223" s="12">
        <f>BE223</f>
        <v>0</v>
      </c>
      <c r="BG223" s="12" t="n"/>
      <c r="BH223" s="12" t="n"/>
      <c r="BI223" s="12" t="n"/>
      <c r="BJ223" s="12" t="n"/>
      <c r="BK223" s="12" t="n"/>
      <c r="BL223" s="12" t="n"/>
      <c r="BM223" s="12" t="n"/>
      <c r="BN223" s="12" t="n"/>
      <c r="BO223" s="12" t="n"/>
      <c r="BP223" s="12" t="n"/>
      <c r="BQ223" s="12" t="n"/>
      <c r="BR223" s="12" t="n"/>
      <c r="BS223" s="12" t="n"/>
      <c r="BT223" s="12" t="n"/>
      <c r="BU223" s="12" t="n"/>
      <c r="BV223" s="12" t="n"/>
      <c r="BW223" s="12" t="n"/>
      <c r="BX223" s="12" t="n"/>
      <c r="BY223" s="12" t="n"/>
      <c r="BZ223" s="12" t="n"/>
      <c r="CA223" s="12" t="n"/>
      <c r="CB223" s="12" t="n"/>
      <c r="CC223" s="12" t="n"/>
      <c r="CD223" s="12" t="n"/>
      <c r="CE223" s="12" t="n"/>
      <c r="CF223" s="12" t="n"/>
      <c r="CG223" s="12" t="n"/>
      <c r="CH223" s="12" t="n"/>
      <c r="CI223" s="12" t="n"/>
      <c r="CJ223" s="12" t="n"/>
      <c r="CK223" s="12" t="n"/>
      <c r="CL223" s="12" t="n"/>
      <c r="CM223" s="12" t="n"/>
      <c r="CN223" s="12" t="n"/>
      <c r="CO223" s="12" t="n"/>
      <c r="CP223" s="12" t="n"/>
      <c r="CQ223" s="12" t="n"/>
      <c r="CR223" s="12" t="n"/>
      <c r="CS223" s="12" t="n"/>
      <c r="CT223" s="12" t="n"/>
      <c r="CU223" s="12" t="n"/>
      <c r="CV223" s="12" t="n"/>
      <c r="CW223" s="12" t="n"/>
      <c r="CX223" s="12" t="n"/>
      <c r="CY223" s="12" t="n"/>
    </row>
    <row r="224">
      <c r="C224" s="14" t="inlineStr">
        <is>
          <t>Deferred income taxes</t>
        </is>
      </c>
      <c r="D224" s="46" t="n"/>
      <c r="E224" s="46" t="n"/>
      <c r="F224" s="46" t="n"/>
      <c r="G224" s="46" t="n"/>
      <c r="H224" s="12" t="n"/>
      <c r="I224" s="46">
        <f>'Inputs (2)'!D38</f>
        <v>0</v>
      </c>
      <c r="J224" s="46">
        <f>'Inputs (2)'!E38</f>
        <v>0</v>
      </c>
      <c r="K224" s="46">
        <f>'Inputs (2)'!F38</f>
        <v>0</v>
      </c>
      <c r="L224" s="46">
        <f>'Inputs (2)'!G38</f>
        <v>0</v>
      </c>
      <c r="M224" s="12">
        <f>'Inputs (2)'!H38</f>
        <v>0</v>
      </c>
      <c r="N224" s="46">
        <f>'Inputs (2)'!I38</f>
        <v>0</v>
      </c>
      <c r="O224" s="46">
        <f>'Inputs (2)'!J38</f>
        <v>0</v>
      </c>
      <c r="P224" s="46">
        <f>'Inputs (2)'!K38</f>
        <v>0</v>
      </c>
      <c r="Q224" s="46">
        <f>'Inputs (2)'!L38</f>
        <v>0</v>
      </c>
      <c r="R224" s="12">
        <f>'Inputs (2)'!M38</f>
        <v>0</v>
      </c>
      <c r="S224" s="46">
        <f>'Inputs (2)'!N38</f>
        <v>0</v>
      </c>
      <c r="T224" s="46">
        <f>'Inputs (2)'!O38</f>
        <v>0</v>
      </c>
      <c r="U224" s="46">
        <f>'Inputs (2)'!P38</f>
        <v>0</v>
      </c>
      <c r="V224" s="46">
        <f>'Inputs (2)'!Q38</f>
        <v>0</v>
      </c>
      <c r="W224" s="12">
        <f>'Inputs (2)'!R38</f>
        <v>0</v>
      </c>
      <c r="X224" s="46">
        <f>'Inputs (2)'!S38</f>
        <v>0</v>
      </c>
      <c r="Y224" s="46">
        <f>'Inputs (2)'!T38</f>
        <v>0</v>
      </c>
      <c r="Z224" s="46">
        <f>'Inputs (2)'!U38</f>
        <v>0</v>
      </c>
      <c r="AA224" s="46">
        <f>'Inputs (2)'!V38</f>
        <v>0</v>
      </c>
      <c r="AB224" s="12">
        <f>'Inputs (2)'!W38</f>
        <v>0</v>
      </c>
      <c r="AC224" s="46">
        <f>'Inputs (2)'!X38</f>
        <v>0</v>
      </c>
      <c r="AD224" s="46">
        <f>'Inputs (2)'!Y38</f>
        <v>0</v>
      </c>
      <c r="AE224" s="46">
        <f>'Inputs (2)'!Z38</f>
        <v>0</v>
      </c>
      <c r="AF224" s="46">
        <f>'Inputs (2)'!AA38</f>
        <v>0</v>
      </c>
      <c r="AG224" s="12">
        <f>'Inputs (2)'!AB38</f>
        <v>0</v>
      </c>
      <c r="AH224" s="12">
        <f>'Inputs (2)'!AC38</f>
        <v>0</v>
      </c>
      <c r="AI224" s="12">
        <f>'Inputs (2)'!AD38</f>
        <v>0</v>
      </c>
      <c r="AJ224" s="12">
        <f>AI224</f>
        <v>0</v>
      </c>
      <c r="AK224" s="12">
        <f>AJ224</f>
        <v>0</v>
      </c>
      <c r="AL224" s="12">
        <f>AK224</f>
        <v>0</v>
      </c>
      <c r="AM224" s="12">
        <f>AL224</f>
        <v>0</v>
      </c>
      <c r="AN224" s="12">
        <f>AM224</f>
        <v>0</v>
      </c>
      <c r="AO224" s="12">
        <f>AN224</f>
        <v>0</v>
      </c>
      <c r="AP224" s="12">
        <f>AO224</f>
        <v>0</v>
      </c>
      <c r="AQ224" s="12">
        <f>AP224</f>
        <v>0</v>
      </c>
      <c r="AR224" s="12">
        <f>AQ224</f>
        <v>0</v>
      </c>
      <c r="AS224" s="12">
        <f>AR224</f>
        <v>0</v>
      </c>
      <c r="AT224" s="12">
        <f>AS224</f>
        <v>0</v>
      </c>
      <c r="AU224" s="12">
        <f>AT224</f>
        <v>0</v>
      </c>
      <c r="AV224" s="12">
        <f>AU224</f>
        <v>0</v>
      </c>
      <c r="AW224" s="12">
        <f>AV224</f>
        <v>0</v>
      </c>
      <c r="AX224" s="12">
        <f>AW224</f>
        <v>0</v>
      </c>
      <c r="AY224" s="12">
        <f>AX224</f>
        <v>0</v>
      </c>
      <c r="AZ224" s="12">
        <f>AY224</f>
        <v>0</v>
      </c>
      <c r="BA224" s="12">
        <f>AZ224</f>
        <v>0</v>
      </c>
      <c r="BB224" s="12">
        <f>BA224</f>
        <v>0</v>
      </c>
      <c r="BC224" s="12">
        <f>BB224</f>
        <v>0</v>
      </c>
      <c r="BD224" s="12">
        <f>BC224</f>
        <v>0</v>
      </c>
      <c r="BE224" s="12">
        <f>BD224</f>
        <v>0</v>
      </c>
      <c r="BF224" s="12">
        <f>BE224</f>
        <v>0</v>
      </c>
      <c r="BG224" s="12" t="n"/>
      <c r="BH224" s="12" t="n"/>
      <c r="BI224" s="12" t="n"/>
      <c r="BJ224" s="12" t="n"/>
      <c r="BK224" s="12" t="n"/>
      <c r="BL224" s="12" t="n"/>
      <c r="BM224" s="12" t="n"/>
      <c r="BN224" s="12" t="n"/>
      <c r="BO224" s="12" t="n"/>
      <c r="BP224" s="12" t="n"/>
      <c r="BQ224" s="12" t="n"/>
      <c r="BR224" s="12" t="n"/>
      <c r="BS224" s="12" t="n"/>
      <c r="BT224" s="12" t="n"/>
      <c r="BU224" s="12" t="n"/>
      <c r="BV224" s="12" t="n"/>
      <c r="BW224" s="12" t="n"/>
      <c r="BX224" s="12" t="n"/>
      <c r="BY224" s="12" t="n"/>
      <c r="BZ224" s="12" t="n"/>
      <c r="CA224" s="12" t="n"/>
      <c r="CB224" s="12" t="n"/>
      <c r="CC224" s="12" t="n"/>
      <c r="CD224" s="12" t="n"/>
      <c r="CE224" s="12" t="n"/>
      <c r="CF224" s="12" t="n"/>
      <c r="CG224" s="12" t="n"/>
      <c r="CH224" s="12" t="n"/>
      <c r="CI224" s="12" t="n"/>
      <c r="CJ224" s="12" t="n"/>
      <c r="CK224" s="12" t="n"/>
      <c r="CL224" s="12" t="n"/>
      <c r="CM224" s="12" t="n"/>
      <c r="CN224" s="12" t="n"/>
      <c r="CO224" s="12" t="n"/>
      <c r="CP224" s="12" t="n"/>
      <c r="CQ224" s="12" t="n"/>
      <c r="CR224" s="12" t="n"/>
      <c r="CS224" s="12" t="n"/>
      <c r="CT224" s="12" t="n"/>
      <c r="CU224" s="12" t="n"/>
      <c r="CV224" s="12" t="n"/>
      <c r="CW224" s="12" t="n"/>
      <c r="CX224" s="12" t="n"/>
      <c r="CY224" s="12" t="n"/>
    </row>
    <row r="225">
      <c r="C225" s="14" t="inlineStr">
        <is>
          <t>Other non-current liabilities</t>
        </is>
      </c>
      <c r="D225" s="46" t="n"/>
      <c r="E225" s="46" t="n"/>
      <c r="F225" s="46" t="n"/>
      <c r="G225" s="46" t="n"/>
      <c r="H225" s="12" t="n"/>
      <c r="I225" s="46">
        <f>'Inputs (2)'!D39</f>
        <v>2052</v>
      </c>
      <c r="J225" s="46">
        <f>'Inputs (2)'!E39</f>
        <v>2182</v>
      </c>
      <c r="K225" s="46">
        <f>'Inputs (2)'!F39</f>
        <v>2415</v>
      </c>
      <c r="L225" s="46">
        <f>'Inputs (2)'!G39</f>
        <v>2491</v>
      </c>
      <c r="M225" s="12">
        <f>'Inputs (2)'!H39</f>
        <v>2491</v>
      </c>
      <c r="N225" s="46">
        <f>'Inputs (2)'!I39</f>
        <v>2311</v>
      </c>
      <c r="O225" s="46">
        <f>'Inputs (2)'!J39</f>
        <v>2535</v>
      </c>
      <c r="P225" s="46">
        <f>'Inputs (2)'!K39</f>
        <v>2555</v>
      </c>
      <c r="Q225" s="46">
        <f>'Inputs (2)'!L39</f>
        <v>2509</v>
      </c>
      <c r="R225" s="12">
        <f>'Inputs (2)'!M39</f>
        <v>2509</v>
      </c>
      <c r="S225" s="46">
        <f>'Inputs (2)'!N39</f>
        <v>2470</v>
      </c>
      <c r="T225" s="46">
        <f>'Inputs (2)'!O39</f>
        <v>2467</v>
      </c>
      <c r="U225" s="46">
        <f>'Inputs (2)'!P39</f>
        <v>2550</v>
      </c>
      <c r="V225" s="46">
        <f>'Inputs (2)'!Q39</f>
        <v>2541</v>
      </c>
      <c r="W225" s="12">
        <f>'Inputs (2)'!R39</f>
        <v>2541</v>
      </c>
      <c r="X225" s="46">
        <f>'Inputs (2)'!S39</f>
        <v>2522</v>
      </c>
      <c r="Y225" s="46">
        <f>'Inputs (2)'!T39</f>
        <v>2559</v>
      </c>
      <c r="Z225" s="46">
        <f>'Inputs (2)'!U39</f>
        <v>2576</v>
      </c>
      <c r="AA225" s="46">
        <f>'Inputs (2)'!V39</f>
        <v>2613</v>
      </c>
      <c r="AB225" s="12">
        <f>'Inputs (2)'!W39</f>
        <v>2613</v>
      </c>
      <c r="AC225" s="46">
        <f>'Inputs (2)'!X39</f>
        <v>2609</v>
      </c>
      <c r="AD225" s="46">
        <f>'Inputs (2)'!Y39</f>
        <v>2598</v>
      </c>
      <c r="AE225" s="46">
        <f>'Inputs (2)'!Z39</f>
        <v>2654</v>
      </c>
      <c r="AF225" s="46">
        <f>'Inputs (2)'!AA39</f>
        <v>2580</v>
      </c>
      <c r="AG225" s="12">
        <f>'Inputs (2)'!AB39</f>
        <v>2580</v>
      </c>
      <c r="AH225" s="12">
        <f>'Inputs (2)'!AC39</f>
        <v>2624</v>
      </c>
      <c r="AI225" s="12">
        <f>'Inputs (2)'!AD39</f>
        <v>2660</v>
      </c>
      <c r="AJ225" s="12">
        <f>AI225</f>
        <v>2660</v>
      </c>
      <c r="AK225" s="12">
        <f>AJ225</f>
        <v>2660</v>
      </c>
      <c r="AL225" s="12">
        <f>AK225</f>
        <v>2660</v>
      </c>
      <c r="AM225" s="12">
        <f>AL225</f>
        <v>2660</v>
      </c>
      <c r="AN225" s="12">
        <f>AM225</f>
        <v>2660</v>
      </c>
      <c r="AO225" s="12">
        <f>AN225</f>
        <v>2660</v>
      </c>
      <c r="AP225" s="12">
        <f>AO225</f>
        <v>2660</v>
      </c>
      <c r="AQ225" s="12">
        <f>AP225</f>
        <v>2660</v>
      </c>
      <c r="AR225" s="12">
        <f>AQ225</f>
        <v>2660</v>
      </c>
      <c r="AS225" s="12">
        <f>AR225</f>
        <v>2660</v>
      </c>
      <c r="AT225" s="12">
        <f>AS225</f>
        <v>2660</v>
      </c>
      <c r="AU225" s="12">
        <f>AT225</f>
        <v>2660</v>
      </c>
      <c r="AV225" s="12">
        <f>AU225</f>
        <v>2660</v>
      </c>
      <c r="AW225" s="12">
        <f>AV225</f>
        <v>2660</v>
      </c>
      <c r="AX225" s="12">
        <f>AW225</f>
        <v>2660</v>
      </c>
      <c r="AY225" s="12">
        <f>AX225</f>
        <v>2660</v>
      </c>
      <c r="AZ225" s="12">
        <f>AY225</f>
        <v>2660</v>
      </c>
      <c r="BA225" s="12">
        <f>AZ225</f>
        <v>2660</v>
      </c>
      <c r="BB225" s="12">
        <f>BA225</f>
        <v>2660</v>
      </c>
      <c r="BC225" s="12">
        <f>BB225</f>
        <v>2660</v>
      </c>
      <c r="BD225" s="12">
        <f>BC225</f>
        <v>2660</v>
      </c>
      <c r="BE225" s="12">
        <f>BD225</f>
        <v>2660</v>
      </c>
      <c r="BF225" s="12">
        <f>BE225</f>
        <v>2660</v>
      </c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 hidden="1" outlineLevel="1" ht="12" customHeight="1">
      <c r="C226" s="59" t="inlineStr">
        <is>
          <t>%(Var.)</t>
        </is>
      </c>
      <c r="D226" s="12" t="n"/>
      <c r="E226" s="40" t="n"/>
      <c r="F226" s="40" t="n"/>
      <c r="G226" s="40" t="n"/>
      <c r="H226" s="12" t="n"/>
      <c r="I226" s="40" t="str">
        <f>""</f>
        <v/>
      </c>
      <c r="J226" s="40">
        <f>IF(I225=0,"",J225/I225-1)</f>
        <v>0.0633528265107213</v>
      </c>
      <c r="K226" s="40">
        <f>IF(J225=0,"",K225/J225-1)</f>
        <v>0.106782768102658</v>
      </c>
      <c r="L226" s="40">
        <f>IF(K225=0,"",L225/K225-1)</f>
        <v>0.0314699792960662</v>
      </c>
      <c r="M226" s="12">
        <f>IF(L225=0,"",M225/L225-1)</f>
        <v>0</v>
      </c>
      <c r="N226" s="40">
        <f>IF(M225=0,"",N225/M225-1)</f>
        <v>-0.072260136491369</v>
      </c>
      <c r="O226" s="40">
        <f>IF(N225=0,"",O225/N225-1)</f>
        <v>0.0969277369104284</v>
      </c>
      <c r="P226" s="40">
        <f>IF(O225=0,"",P225/O225-1)</f>
        <v>0.00788954635108485</v>
      </c>
      <c r="Q226" s="40">
        <f>IF(P225=0,"",Q225/P225-1)</f>
        <v>-0.0180039138943249</v>
      </c>
      <c r="R226" s="12">
        <f>IF(Q225=0,"",R225/Q225-1)</f>
        <v>0</v>
      </c>
      <c r="S226" s="40">
        <f>IF(R225=0,"",S225/R225-1)</f>
        <v>-0.0155440414507773</v>
      </c>
      <c r="T226" s="40">
        <f>IF(S225=0,"",T225/S225-1)</f>
        <v>-0.0012145748987854</v>
      </c>
      <c r="U226" s="40">
        <f>IF(T225=0,"",U225/T225-1)</f>
        <v>0.0336441021483582</v>
      </c>
      <c r="V226" s="40">
        <f>IF(U225=0,"",V225/U225-1)</f>
        <v>-0.00352941176470589</v>
      </c>
      <c r="W226" s="12">
        <f>IF(V225=0,"",W225/V225-1)</f>
        <v>0</v>
      </c>
      <c r="X226" s="40">
        <f>IF(W225=0,"",X225/W225-1)</f>
        <v>-0.0074773711137347</v>
      </c>
      <c r="Y226" s="40">
        <f>IF(X225=0,"",Y225/X225-1)</f>
        <v>0.014670896114195</v>
      </c>
      <c r="Z226" s="40">
        <f>IF(Y225=0,"",Z225/Y225-1)</f>
        <v>0.00664322000781548</v>
      </c>
      <c r="AA226" s="40">
        <f>IF(Z225=0,"",AA225/Z225-1)</f>
        <v>0.0143633540372672</v>
      </c>
      <c r="AB226" s="12">
        <f>IF(AA225=0,"",AB225/AA225-1)</f>
        <v>0</v>
      </c>
      <c r="AC226" s="40">
        <f>IF(AB225=0,"",AC225/AB225-1)</f>
        <v>-0.0015308075009568</v>
      </c>
      <c r="AD226" s="40">
        <f>IF(AC225=0,"",AD225/AC225-1)</f>
        <v>-0.00421617477960901</v>
      </c>
      <c r="AE226" s="40">
        <f>IF(AD225=0,"",AE225/AD225-1)</f>
        <v>0.0215550423402617</v>
      </c>
      <c r="AF226" s="41">
        <f>IF(AE225=0,"",AF225/AE225-1)</f>
        <v>-0.0278824415975886</v>
      </c>
      <c r="AG226" s="12">
        <f>IF(AF225=0,"",AG225/AF225-1)</f>
        <v>0</v>
      </c>
      <c r="AH226" s="41">
        <f>IF(AG225=0,"",AH225/AG225-1)</f>
        <v>0.0170542635658915</v>
      </c>
      <c r="AI226" s="41">
        <f>IF(AH225=0,"",AI225/AH225-1)</f>
        <v>0.0137195121951219</v>
      </c>
      <c r="AJ226" s="41">
        <f>IF(AI225=0,"",AJ225/AI225-1)</f>
        <v>0</v>
      </c>
      <c r="AK226" s="41">
        <f>IF(AJ225=0,"",AK225/AJ225-1)</f>
        <v>0</v>
      </c>
      <c r="AL226" s="12">
        <f>IF(AK225=0,"",AL225/AK225-1)</f>
        <v>0</v>
      </c>
      <c r="AM226" s="41">
        <f>IF(AL225=0,"",AM225/AL225-1)</f>
        <v>0</v>
      </c>
      <c r="AN226" s="41">
        <f>IF(AM225=0,"",AN225/AM225-1)</f>
        <v>0</v>
      </c>
      <c r="AO226" s="41">
        <f>IF(AN225=0,"",AO225/AN225-1)</f>
        <v>0</v>
      </c>
      <c r="AP226" s="41">
        <f>IF(AO225=0,"",AP225/AO225-1)</f>
        <v>0</v>
      </c>
      <c r="AQ226" s="12">
        <f>IF(AP225=0,"",AQ225/AP225-1)</f>
        <v>0</v>
      </c>
      <c r="AR226" s="41">
        <f>IF(AQ225=0,"",AR225/AQ225-1)</f>
        <v>0</v>
      </c>
      <c r="AS226" s="41">
        <f>IF(AR225=0,"",AS225/AR225-1)</f>
        <v>0</v>
      </c>
      <c r="AT226" s="41">
        <f>IF(AS225=0,"",AT225/AS225-1)</f>
        <v>0</v>
      </c>
      <c r="AU226" s="41">
        <f>IF(AT225=0,"",AU225/AT225-1)</f>
        <v>0</v>
      </c>
      <c r="AV226" s="12">
        <f>IF(AU225=0,"",AV225/AU225-1)</f>
        <v>0</v>
      </c>
      <c r="AW226" s="41">
        <f>IF(AV225=0,"",AW225/AV225-1)</f>
        <v>0</v>
      </c>
      <c r="AX226" s="41">
        <f>IF(AW225=0,"",AX225/AW225-1)</f>
        <v>0</v>
      </c>
      <c r="AY226" s="41">
        <f>IF(AX225=0,"",AY225/AX225-1)</f>
        <v>0</v>
      </c>
      <c r="AZ226" s="41">
        <f>IF(AY225=0,"",AZ225/AY225-1)</f>
        <v>0</v>
      </c>
      <c r="BA226" s="12">
        <f>IF(AZ225=0,"",BA225/AZ225-1)</f>
        <v>0</v>
      </c>
      <c r="BB226" s="41">
        <f>IF(BA225=0,"",BB225/BA225-1)</f>
        <v>0</v>
      </c>
      <c r="BC226" s="41">
        <f>IF(BB225=0,"",BC225/BB225-1)</f>
        <v>0</v>
      </c>
      <c r="BD226" s="41">
        <f>IF(BC225=0,"",BD225/BC225-1)</f>
        <v>0</v>
      </c>
      <c r="BE226" s="41">
        <f>IF(BD225=0,"",BE225/BD225-1)</f>
        <v>0</v>
      </c>
      <c r="BF226" s="12">
        <f>IF(BE225=0,"",BF225/BE225-1)</f>
        <v>0</v>
      </c>
      <c r="BG226" s="41" t="n"/>
      <c r="BH226" s="41" t="n"/>
      <c r="BI226" s="41" t="n"/>
      <c r="BJ226" s="41" t="n"/>
      <c r="BK226" s="12" t="n"/>
      <c r="BL226" s="41" t="n"/>
      <c r="BM226" s="41" t="n"/>
      <c r="BN226" s="41" t="n"/>
      <c r="BO226" s="41" t="n"/>
      <c r="BP226" s="12" t="n"/>
      <c r="BQ226" s="41" t="n"/>
      <c r="BR226" s="41" t="n"/>
      <c r="BS226" s="41" t="n"/>
      <c r="BT226" s="41" t="n"/>
      <c r="BU226" s="12" t="n"/>
      <c r="BV226" s="41" t="n"/>
      <c r="BW226" s="41" t="n"/>
      <c r="BX226" s="41" t="n"/>
      <c r="BY226" s="41" t="n"/>
      <c r="BZ226" s="12" t="n"/>
      <c r="CA226" s="41" t="n"/>
      <c r="CB226" s="41" t="n"/>
      <c r="CC226" s="41" t="n"/>
      <c r="CD226" s="41" t="n"/>
      <c r="CE226" s="12" t="n"/>
      <c r="CF226" s="41" t="n"/>
      <c r="CG226" s="41" t="n"/>
      <c r="CH226" s="41" t="n"/>
      <c r="CI226" s="41" t="n"/>
      <c r="CJ226" s="12" t="n"/>
      <c r="CK226" s="41" t="n"/>
      <c r="CL226" s="41" t="n"/>
      <c r="CM226" s="41" t="n"/>
      <c r="CN226" s="41" t="n"/>
      <c r="CO226" s="12" t="n"/>
      <c r="CP226" s="41" t="n"/>
      <c r="CQ226" s="41" t="n"/>
      <c r="CR226" s="41" t="n"/>
      <c r="CS226" s="41" t="n"/>
      <c r="CT226" s="12" t="n"/>
      <c r="CU226" s="41" t="n"/>
      <c r="CV226" s="41" t="n"/>
      <c r="CW226" s="41" t="n"/>
      <c r="CX226" s="41" t="n"/>
      <c r="CY226" s="12" t="n"/>
    </row>
    <row r="227" hidden="1" outlineLevel="1" ht="12" customHeight="1">
      <c r="C227" s="59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  <c r="AJ227" s="12" t="n"/>
      <c r="AK227" s="12" t="n"/>
      <c r="AL227" s="12" t="n"/>
      <c r="AM227" s="12" t="n"/>
      <c r="AN227" s="12" t="n"/>
      <c r="AO227" s="12" t="n"/>
      <c r="AP227" s="12" t="n"/>
      <c r="AQ227" s="12" t="n"/>
      <c r="AR227" s="12" t="n"/>
      <c r="AS227" s="12" t="n"/>
      <c r="AT227" s="12" t="n"/>
      <c r="AU227" s="12" t="n"/>
      <c r="AV227" s="12" t="n"/>
      <c r="AW227" s="12" t="n"/>
      <c r="AX227" s="12" t="n"/>
      <c r="AY227" s="12" t="n"/>
      <c r="AZ227" s="12" t="n"/>
      <c r="BA227" s="12" t="n"/>
      <c r="BB227" s="12" t="n"/>
      <c r="BC227" s="12" t="n"/>
      <c r="BD227" s="12" t="n"/>
      <c r="BE227" s="12" t="n"/>
      <c r="BF227" s="12" t="n"/>
      <c r="BG227" s="12" t="n"/>
      <c r="BH227" s="12" t="n"/>
      <c r="BI227" s="12" t="n"/>
      <c r="BJ227" s="12" t="n"/>
      <c r="BK227" s="12" t="n"/>
      <c r="BL227" s="12" t="n"/>
      <c r="BM227" s="12" t="n"/>
      <c r="BN227" s="12" t="n"/>
      <c r="BO227" s="12" t="n"/>
      <c r="BP227" s="12" t="n"/>
      <c r="BQ227" s="12" t="n"/>
      <c r="BR227" s="12" t="n"/>
      <c r="BS227" s="12" t="n"/>
      <c r="BT227" s="12" t="n"/>
      <c r="BU227" s="12" t="n"/>
      <c r="BV227" s="12" t="n"/>
      <c r="BW227" s="12" t="n"/>
      <c r="BX227" s="12" t="n"/>
      <c r="BY227" s="12" t="n"/>
      <c r="BZ227" s="12" t="n"/>
      <c r="CA227" s="12" t="n"/>
      <c r="CB227" s="12" t="n"/>
      <c r="CC227" s="12" t="n"/>
      <c r="CD227" s="12" t="n"/>
      <c r="CE227" s="12" t="n"/>
      <c r="CF227" s="12" t="n"/>
      <c r="CG227" s="12" t="n"/>
      <c r="CH227" s="12" t="n"/>
      <c r="CI227" s="12" t="n"/>
      <c r="CJ227" s="12" t="n"/>
      <c r="CK227" s="12" t="n"/>
      <c r="CL227" s="12" t="n"/>
      <c r="CM227" s="12" t="n"/>
      <c r="CN227" s="12" t="n"/>
      <c r="CO227" s="12" t="n"/>
      <c r="CP227" s="12" t="n"/>
      <c r="CQ227" s="12" t="n"/>
      <c r="CR227" s="12" t="n"/>
      <c r="CS227" s="12" t="n"/>
      <c r="CT227" s="12" t="n"/>
      <c r="CU227" s="12" t="n"/>
      <c r="CV227" s="12" t="n"/>
      <c r="CW227" s="12" t="n"/>
      <c r="CX227" s="12" t="n"/>
      <c r="CY227" s="12" t="n"/>
    </row>
    <row r="228" hidden="1" outlineLevel="1">
      <c r="C228" s="57" t="inlineStr">
        <is>
          <t>Contas a pagar pela aquisição de controladas</t>
        </is>
      </c>
      <c r="D228" s="11" t="n"/>
      <c r="E228" s="11" t="n"/>
      <c r="F228" s="11" t="n"/>
      <c r="G228" s="11" t="n"/>
      <c r="H228" s="12" t="n"/>
      <c r="I228" s="11" t="n"/>
      <c r="J228" s="11" t="n"/>
      <c r="K228" s="11" t="n"/>
      <c r="L228" s="11" t="n"/>
      <c r="M228" s="12" t="n"/>
      <c r="N228" s="11" t="n"/>
      <c r="O228" s="11" t="n"/>
      <c r="P228" s="11" t="n"/>
      <c r="Q228" s="11" t="n"/>
      <c r="R228" s="12" t="n"/>
      <c r="S228" s="11" t="n"/>
      <c r="T228" s="11" t="n"/>
      <c r="U228" s="11" t="n"/>
      <c r="V228" s="11" t="n"/>
      <c r="W228" s="12" t="n"/>
      <c r="X228" s="11" t="n"/>
      <c r="Y228" s="11" t="n"/>
      <c r="Z228" s="11" t="n"/>
      <c r="AA228" s="11" t="n"/>
      <c r="AB228" s="12" t="n"/>
      <c r="AC228" s="11" t="n"/>
      <c r="AD228" s="11" t="n"/>
      <c r="AE228" s="11" t="n"/>
      <c r="AF228" s="11" t="n"/>
      <c r="AG228" s="12" t="n"/>
      <c r="AH228" s="12" t="n"/>
      <c r="AI228" s="12" t="n"/>
      <c r="AJ228" s="12" t="n"/>
      <c r="AK228" s="12" t="n"/>
      <c r="AL228" s="12" t="n"/>
      <c r="AM228" s="12" t="n"/>
      <c r="AN228" s="12" t="n"/>
      <c r="AO228" s="12" t="n"/>
      <c r="AP228" s="12" t="n"/>
      <c r="AQ228" s="12" t="n"/>
      <c r="AR228" s="12" t="n"/>
      <c r="AS228" s="12" t="n"/>
      <c r="AT228" s="12" t="n"/>
      <c r="AU228" s="12" t="n"/>
      <c r="AV228" s="12" t="n"/>
      <c r="AW228" s="12" t="n"/>
      <c r="AX228" s="12" t="n"/>
      <c r="AY228" s="12" t="n"/>
      <c r="AZ228" s="12" t="n"/>
      <c r="BA228" s="12" t="n"/>
      <c r="BB228" s="12" t="n"/>
      <c r="BC228" s="12" t="n"/>
      <c r="BD228" s="12" t="n"/>
      <c r="BE228" s="12" t="n"/>
      <c r="BF228" s="12" t="n"/>
      <c r="BG228" s="12" t="n"/>
      <c r="BH228" s="12" t="n"/>
      <c r="BI228" s="12" t="n"/>
      <c r="BJ228" s="12" t="n"/>
      <c r="BK228" s="12" t="n"/>
      <c r="BL228" s="12" t="n"/>
      <c r="BM228" s="12" t="n"/>
      <c r="BN228" s="12" t="n"/>
      <c r="BO228" s="12" t="n"/>
      <c r="BP228" s="12" t="n"/>
      <c r="BQ228" s="12" t="n"/>
      <c r="BR228" s="12" t="n"/>
      <c r="BS228" s="12" t="n"/>
      <c r="BT228" s="12" t="n"/>
      <c r="BU228" s="12" t="n"/>
      <c r="BV228" s="12" t="n"/>
      <c r="BW228" s="12" t="n"/>
      <c r="BX228" s="12" t="n"/>
      <c r="BY228" s="12" t="n"/>
      <c r="BZ228" s="12" t="n"/>
      <c r="CA228" s="12" t="n"/>
      <c r="CB228" s="12" t="n"/>
      <c r="CC228" s="12" t="n"/>
      <c r="CD228" s="12" t="n"/>
      <c r="CE228" s="12" t="n"/>
      <c r="CF228" s="12" t="n"/>
      <c r="CG228" s="12" t="n"/>
      <c r="CH228" s="12" t="n"/>
      <c r="CI228" s="12" t="n"/>
      <c r="CJ228" s="12" t="n"/>
      <c r="CK228" s="12" t="n"/>
      <c r="CL228" s="12" t="n"/>
      <c r="CM228" s="12" t="n"/>
      <c r="CN228" s="12" t="n"/>
      <c r="CO228" s="12" t="n"/>
      <c r="CP228" s="12" t="n"/>
      <c r="CQ228" s="12" t="n"/>
      <c r="CR228" s="12" t="n"/>
      <c r="CS228" s="12" t="n"/>
      <c r="CT228" s="12" t="n"/>
      <c r="CU228" s="12" t="n"/>
      <c r="CV228" s="12" t="n"/>
      <c r="CW228" s="12" t="n"/>
      <c r="CX228" s="12" t="n"/>
      <c r="CY228" s="12" t="n"/>
    </row>
    <row r="229" hidden="1" outlineLevel="1">
      <c r="C229" s="57" t="inlineStr">
        <is>
          <t xml:space="preserve">Outras Obrigações </t>
        </is>
      </c>
      <c r="D229" s="11" t="n"/>
      <c r="E229" s="11" t="n"/>
      <c r="F229" s="11" t="n"/>
      <c r="G229" s="11" t="n"/>
      <c r="H229" s="12" t="n"/>
      <c r="I229" s="11" t="n"/>
      <c r="J229" s="11" t="n"/>
      <c r="K229" s="11" t="n"/>
      <c r="L229" s="11" t="n"/>
      <c r="M229" s="12" t="n"/>
      <c r="N229" s="11" t="n"/>
      <c r="O229" s="11" t="n"/>
      <c r="P229" s="11" t="n"/>
      <c r="Q229" s="11" t="n"/>
      <c r="R229" s="12" t="n"/>
      <c r="S229" s="11" t="n"/>
      <c r="T229" s="11" t="n"/>
      <c r="U229" s="11" t="n"/>
      <c r="V229" s="11" t="n"/>
      <c r="W229" s="12" t="n"/>
      <c r="X229" s="11" t="n"/>
      <c r="Y229" s="11" t="n"/>
      <c r="Z229" s="11" t="n"/>
      <c r="AA229" s="11" t="n"/>
      <c r="AB229" s="12" t="n"/>
      <c r="AC229" s="11" t="n"/>
      <c r="AD229" s="11" t="n"/>
      <c r="AE229" s="11" t="n"/>
      <c r="AF229" s="11" t="n"/>
      <c r="AG229" s="12" t="n"/>
      <c r="AH229" s="12" t="n"/>
      <c r="AI229" s="12" t="n"/>
      <c r="AJ229" s="12" t="n"/>
      <c r="AK229" s="12" t="n"/>
      <c r="AL229" s="12" t="n"/>
      <c r="AM229" s="12" t="n"/>
      <c r="AN229" s="12" t="n"/>
      <c r="AO229" s="12" t="n"/>
      <c r="AP229" s="12" t="n"/>
      <c r="AQ229" s="12" t="n"/>
      <c r="AR229" s="12" t="n"/>
      <c r="AS229" s="12" t="n"/>
      <c r="AT229" s="12" t="n"/>
      <c r="AU229" s="12" t="n"/>
      <c r="AV229" s="12" t="n"/>
      <c r="AW229" s="12" t="n"/>
      <c r="AX229" s="12" t="n"/>
      <c r="AY229" s="12" t="n"/>
      <c r="AZ229" s="12" t="n"/>
      <c r="BA229" s="12" t="n"/>
      <c r="BB229" s="12" t="n"/>
      <c r="BC229" s="12" t="n"/>
      <c r="BD229" s="12" t="n"/>
      <c r="BE229" s="12" t="n"/>
      <c r="BF229" s="12" t="n"/>
      <c r="BG229" s="12" t="n"/>
      <c r="BH229" s="12" t="n"/>
      <c r="BI229" s="12" t="n"/>
      <c r="BJ229" s="12" t="n"/>
      <c r="BK229" s="12" t="n"/>
      <c r="BL229" s="12" t="n"/>
      <c r="BM229" s="12" t="n"/>
      <c r="BN229" s="12" t="n"/>
      <c r="BO229" s="12" t="n"/>
      <c r="BP229" s="12" t="n"/>
      <c r="BQ229" s="12" t="n"/>
      <c r="BR229" s="12" t="n"/>
      <c r="BS229" s="12" t="n"/>
      <c r="BT229" s="12" t="n"/>
      <c r="BU229" s="12" t="n"/>
      <c r="BV229" s="12" t="n"/>
      <c r="BW229" s="12" t="n"/>
      <c r="BX229" s="12" t="n"/>
      <c r="BY229" s="12" t="n"/>
      <c r="BZ229" s="12" t="n"/>
      <c r="CA229" s="12" t="n"/>
      <c r="CB229" s="12" t="n"/>
      <c r="CC229" s="12" t="n"/>
      <c r="CD229" s="12" t="n"/>
      <c r="CE229" s="12" t="n"/>
      <c r="CF229" s="12" t="n"/>
      <c r="CG229" s="12" t="n"/>
      <c r="CH229" s="12" t="n"/>
      <c r="CI229" s="12" t="n"/>
      <c r="CJ229" s="12" t="n"/>
      <c r="CK229" s="12" t="n"/>
      <c r="CL229" s="12" t="n"/>
      <c r="CM229" s="12" t="n"/>
      <c r="CN229" s="12" t="n"/>
      <c r="CO229" s="12" t="n"/>
      <c r="CP229" s="12" t="n"/>
      <c r="CQ229" s="12" t="n"/>
      <c r="CR229" s="12" t="n"/>
      <c r="CS229" s="12" t="n"/>
      <c r="CT229" s="12" t="n"/>
      <c r="CU229" s="12" t="n"/>
      <c r="CV229" s="12" t="n"/>
      <c r="CW229" s="12" t="n"/>
      <c r="CX229" s="12" t="n"/>
      <c r="CY229" s="12" t="n"/>
    </row>
    <row r="230" hidden="1" outlineLevel="1">
      <c r="C230" s="57" t="inlineStr">
        <is>
          <t xml:space="preserve">Provisão de Risco Cíveis, Trabalhistas e Tributários </t>
        </is>
      </c>
      <c r="D230" s="11" t="n"/>
      <c r="E230" s="11" t="n"/>
      <c r="F230" s="11" t="n"/>
      <c r="G230" s="11" t="n"/>
      <c r="H230" s="12" t="n"/>
      <c r="I230" s="11" t="n"/>
      <c r="J230" s="11" t="n"/>
      <c r="K230" s="11" t="n"/>
      <c r="L230" s="11" t="n"/>
      <c r="M230" s="12" t="n"/>
      <c r="N230" s="11" t="n"/>
      <c r="O230" s="11" t="n"/>
      <c r="P230" s="11" t="n"/>
      <c r="Q230" s="11" t="n"/>
      <c r="R230" s="12" t="n"/>
      <c r="S230" s="11" t="n"/>
      <c r="T230" s="11" t="n"/>
      <c r="U230" s="11" t="n"/>
      <c r="V230" s="11" t="n"/>
      <c r="W230" s="12" t="n"/>
      <c r="X230" s="11" t="n"/>
      <c r="Y230" s="11" t="n"/>
      <c r="Z230" s="11" t="n"/>
      <c r="AA230" s="11" t="n"/>
      <c r="AB230" s="12" t="n"/>
      <c r="AC230" s="11" t="n"/>
      <c r="AD230" s="11" t="n"/>
      <c r="AE230" s="11" t="n"/>
      <c r="AF230" s="11" t="n"/>
      <c r="AG230" s="12" t="n"/>
      <c r="AH230" s="12" t="n"/>
      <c r="AI230" s="12" t="n"/>
      <c r="AJ230" s="12" t="n"/>
      <c r="AK230" s="12" t="n"/>
      <c r="AL230" s="12" t="n"/>
      <c r="AM230" s="12" t="n"/>
      <c r="AN230" s="12" t="n"/>
      <c r="AO230" s="12" t="n"/>
      <c r="AP230" s="12" t="n"/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 hidden="1" outlineLevel="1">
      <c r="C231" s="57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  <c r="AJ231" s="12" t="n"/>
      <c r="AK231" s="12" t="n"/>
      <c r="AL231" s="12" t="n"/>
      <c r="AM231" s="12" t="n"/>
      <c r="AN231" s="12" t="n"/>
      <c r="AO231" s="12" t="n"/>
      <c r="AP231" s="12" t="n"/>
      <c r="AQ231" s="12" t="n"/>
      <c r="AR231" s="12" t="n"/>
      <c r="AS231" s="12" t="n"/>
      <c r="AT231" s="12" t="n"/>
      <c r="AU231" s="12" t="n"/>
      <c r="AV231" s="12" t="n"/>
      <c r="AW231" s="12" t="n"/>
      <c r="AX231" s="12" t="n"/>
      <c r="AY231" s="12" t="n"/>
      <c r="AZ231" s="12" t="n"/>
      <c r="BA231" s="12" t="n"/>
      <c r="BB231" s="12" t="n"/>
      <c r="BC231" s="12" t="n"/>
      <c r="BD231" s="12" t="n"/>
      <c r="BE231" s="12" t="n"/>
      <c r="BF231" s="12" t="n"/>
      <c r="BG231" s="12" t="n"/>
      <c r="BH231" s="12" t="n"/>
      <c r="BI231" s="12" t="n"/>
      <c r="BJ231" s="12" t="n"/>
      <c r="BK231" s="12" t="n"/>
      <c r="BL231" s="12" t="n"/>
      <c r="BM231" s="12" t="n"/>
      <c r="BN231" s="12" t="n"/>
      <c r="BO231" s="12" t="n"/>
      <c r="BP231" s="12" t="n"/>
      <c r="BQ231" s="12" t="n"/>
      <c r="BR231" s="12" t="n"/>
      <c r="BS231" s="12" t="n"/>
      <c r="BT231" s="12" t="n"/>
      <c r="BU231" s="12" t="n"/>
      <c r="BV231" s="12" t="n"/>
      <c r="BW231" s="12" t="n"/>
      <c r="BX231" s="12" t="n"/>
      <c r="BY231" s="12" t="n"/>
      <c r="BZ231" s="12" t="n"/>
      <c r="CA231" s="12" t="n"/>
      <c r="CB231" s="12" t="n"/>
      <c r="CC231" s="12" t="n"/>
      <c r="CD231" s="12" t="n"/>
      <c r="CE231" s="12" t="n"/>
      <c r="CF231" s="12" t="n"/>
      <c r="CG231" s="12" t="n"/>
      <c r="CH231" s="12" t="n"/>
      <c r="CI231" s="12" t="n"/>
      <c r="CJ231" s="12" t="n"/>
      <c r="CK231" s="12" t="n"/>
      <c r="CL231" s="12" t="n"/>
      <c r="CM231" s="12" t="n"/>
      <c r="CN231" s="12" t="n"/>
      <c r="CO231" s="12" t="n"/>
      <c r="CP231" s="12" t="n"/>
      <c r="CQ231" s="12" t="n"/>
      <c r="CR231" s="12" t="n"/>
      <c r="CS231" s="12" t="n"/>
      <c r="CT231" s="12" t="n"/>
      <c r="CU231" s="12" t="n"/>
      <c r="CV231" s="12" t="n"/>
      <c r="CW231" s="12" t="n"/>
      <c r="CX231" s="12" t="n"/>
      <c r="CY231" s="12" t="n"/>
    </row>
    <row r="232" collapsed="1" customFormat="1" s="32">
      <c r="A232" s="30" t="n"/>
      <c r="B232" s="30" t="n"/>
      <c r="C232" s="65" t="inlineStr">
        <is>
          <t>Total Liabilities</t>
        </is>
      </c>
      <c r="D232" s="35" t="n"/>
      <c r="E232" s="35" t="n"/>
      <c r="F232" s="35" t="n"/>
      <c r="G232" s="35" t="n"/>
      <c r="H232" s="35" t="n"/>
      <c r="I232" s="35">
        <f>SUM(I183+I187+I189+I190+I197+I198+I199+I202+I220+I223+I224+I225)</f>
        <v>38789</v>
      </c>
      <c r="J232" s="35">
        <f>SUM(J183+J187+J189+J190+J197+J198+J199+J202+J220+J223+J224+J225)</f>
        <v>40300</v>
      </c>
      <c r="K232" s="35">
        <f>SUM(K183+K187+K189+K190+K197+K198+K199+K202+K220+K223+K224+K225)</f>
        <v>41190</v>
      </c>
      <c r="L232" s="35">
        <f>SUM(L183+L187+L189+L190+L197+L198+L199+L202+L220+L223+L224+L225)</f>
        <v>45149</v>
      </c>
      <c r="M232" s="35">
        <f>SUM(M183,M187,M189,M190,M197,M198,M202,M199,M220,M223,M224,M225)</f>
        <v>45149</v>
      </c>
      <c r="N232" s="35">
        <f>SUM(N183+N187+N189+N190+N197+N198+N199+N202+N220+N223+N224+N225)</f>
        <v>43102</v>
      </c>
      <c r="O232" s="35">
        <f>SUM(O183+O187+O189+O190+O197+O198+O199+O202+O220+O223+O224+O225)</f>
        <v>43339</v>
      </c>
      <c r="P232" s="35">
        <f>SUM(P183+P187+P189+P190+P197+P198+P199+P202+P220+P223+P224+P225)</f>
        <v>43519</v>
      </c>
      <c r="Q232" s="35">
        <f>SUM(Q183+Q187+Q189+Q190+Q197+Q198+Q199+Q202+Q220+Q223+Q224+Q225)</f>
        <v>44551</v>
      </c>
      <c r="R232" s="35">
        <f>SUM(R183,R187,R189,R190,R197,R198,R202,R199,R220,R223,R224,R225)</f>
        <v>44551</v>
      </c>
      <c r="S232" s="35">
        <f>SUM(S183+S187+S189+S190+S197+S198+S199+S202+S220+S223+S224+S225)</f>
        <v>44049</v>
      </c>
      <c r="T232" s="35">
        <f>SUM(T183+T187+T189+T190+T197+T198+T199+T202+T220+T223+T224+T225)</f>
        <v>43179</v>
      </c>
      <c r="U232" s="35">
        <f>SUM(U183+U187+U189+U190+U197+U198+U199+U202+U220+U223+U224+U225)</f>
        <v>43936</v>
      </c>
      <c r="V232" s="35">
        <f>SUM(V183+V187+V189+V190+V197+V198+V199+V202+V220+V223+V224+V225)</f>
        <v>47576</v>
      </c>
      <c r="W232" s="35">
        <f>SUM(W183,W187,W189,W190,W197,W198,W202,W199,W220,W223,W224,W225)</f>
        <v>47576</v>
      </c>
      <c r="X232" s="35">
        <f>SUM(X183+X187+X189+X190+X197+X198+X199+X202+X220+X223+X224+X225)</f>
        <v>45563</v>
      </c>
      <c r="Y232" s="35">
        <f>SUM(Y183+Y187+Y189+Y190+Y197+Y198+Y199+Y202+Y220+Y223+Y224+Y225)</f>
        <v>46140</v>
      </c>
      <c r="Z232" s="35">
        <f>SUM(Z183+Z187+Z189+Z190+Z197+Z198+Z199+Z202+Z220+Z223+Z224+Z225)</f>
        <v>46209</v>
      </c>
      <c r="AA232" s="35">
        <f>SUM(AA183+AA187+AA189+AA190+AA197+AA198+AA199+AA202+AA220+AA223+AA224+AA225)</f>
        <v>48935</v>
      </c>
      <c r="AB232" s="35">
        <f>SUM(AB183,AB187,AB189,AB190,AB197,AB198,AB202,AB199,AB220,AB223,AB224,AB225)</f>
        <v>48935</v>
      </c>
      <c r="AC232" s="35">
        <f>SUM(AC183+AC187+AC189+AC190+AC197+AC198+AC199+AC202+AC220+AC223+AC224+AC225)</f>
        <v>47647</v>
      </c>
      <c r="AD232" s="35">
        <f>SUM(AD183+AD187+AD189+AD190+AD197+AD198+AD199+AD202+AD220+AD223+AD224+AD225)</f>
        <v>48357</v>
      </c>
      <c r="AE232" s="35">
        <f>SUM(AE183+AE187+AE189+AE190+AE197+AE198+AE199+AE202+AE220+AE223+AE224+AE225)</f>
        <v>47935</v>
      </c>
      <c r="AF232" s="35">
        <f>SUM(AF183+AF187+AF189+AF190+AF197+AF198+AF199+AF202+AF220+AF223+AF224+AF225)</f>
        <v>52487</v>
      </c>
      <c r="AG232" s="35">
        <f>SUM(AG183,AG187,AG189,AG190,AG197,AG198,AG202,AG199,AG220,AG223,AG224,AG225)</f>
        <v>52487</v>
      </c>
      <c r="AH232" s="35">
        <f>SUM(AH183+AH187+AH189+AH190+AH197+AH198+AH199+AH202+AH220+AH223+AH224+AH225)</f>
        <v>51552</v>
      </c>
      <c r="AI232" s="35">
        <f>SUM(AI183+AI187+AI189+AI190+AI197+AI198+AI199+AI202+AI220+AI223+AI224+AI225)</f>
        <v>52921</v>
      </c>
      <c r="AJ232" s="35">
        <f>SUM(AJ183+AJ187+AJ189+AJ190+AJ197+AJ198+AJ199+AJ202+AJ220+AJ223+AJ224+AJ225)</f>
        <v>59148.9597219698</v>
      </c>
      <c r="AK232" s="35">
        <f>SUM(AK183+AK187+AK189+AK190+AK197+AK198+AK199+AK202+AK220+AK223+AK224+AK225)</f>
        <v>53860.614155042</v>
      </c>
      <c r="AL232" s="35">
        <f>SUM(AL183,AL187,AL189,AL190,AL197,AL198,AL202,AL199,AL220,AL223,AL224,AL225)</f>
        <v>53860.614155042</v>
      </c>
      <c r="AM232" s="35">
        <f>SUM(AM183+AM187+AM189+AM190+AM197+AM198+AM199+AM202+AM220+AM223+AM224+AM225)</f>
        <v>55978.8883274372</v>
      </c>
      <c r="AN232" s="35">
        <f>SUM(AN183+AN187+AN189+AN190+AN197+AN198+AN199+AN202+AN220+AN223+AN224+AN225)</f>
        <v>56987.4689899172</v>
      </c>
      <c r="AO232" s="35">
        <f>SUM(AO183+AO187+AO189+AO190+AO197+AO198+AO199+AO202+AO220+AO223+AO224+AO225)</f>
        <v>65351.9393716693</v>
      </c>
      <c r="AP232" s="35">
        <f>SUM(AP183+AP187+AP189+AP190+AP197+AP198+AP199+AP202+AP220+AP223+AP224+AP225)</f>
        <v>59845.7566777119</v>
      </c>
      <c r="AQ232" s="35">
        <f>SUM(AQ183,AQ187,AQ189,AQ190,AQ197,AQ198,AQ202,AQ199,AQ220,AQ223,AQ224,AQ225)</f>
        <v>59845.7566777119</v>
      </c>
      <c r="AR232" s="35">
        <f>SUM(AR183+AR187+AR189+AR190+AR197+AR198+AR199+AR202+AR220+AR223+AR224+AR225)</f>
        <v>61981.5079174874</v>
      </c>
      <c r="AS232" s="35">
        <f>SUM(AS183+AS187+AS189+AS190+AS197+AS198+AS199+AS202+AS220+AS223+AS224+AS225)</f>
        <v>63584.2252864661</v>
      </c>
      <c r="AT232" s="35">
        <f>SUM(AT183+AT187+AT189+AT190+AT197+AT198+AT199+AT202+AT220+AT223+AT224+AT225)</f>
        <v>72911.6337507921</v>
      </c>
      <c r="AU232" s="35">
        <f>SUM(AU183+AU187+AU189+AU190+AU197+AU198+AU199+AU202+AU220+AU223+AU224+AU225)</f>
        <v>67199.0604086713</v>
      </c>
      <c r="AV232" s="35">
        <f>SUM(AV183,AV187,AV189,AV190,AV197,AV198,AV202,AV199,AV220,AV223,AV224,AV225)</f>
        <v>67199.0604086713</v>
      </c>
      <c r="AW232" s="35">
        <f>SUM(AW183+AW187+AW189+AW190+AW197+AW198+AW199+AW202+AW220+AW223+AW224+AW225)</f>
        <v>69949.7700398879</v>
      </c>
      <c r="AX232" s="35">
        <f>SUM(AX183+AX187+AX189+AX190+AX197+AX198+AX199+AX202+AX220+AX223+AX224+AX225)</f>
        <v>71665.4372041747</v>
      </c>
      <c r="AY232" s="35">
        <f>SUM(AY183+AY187+AY189+AY190+AY197+AY198+AY199+AY202+AY220+AY223+AY224+AY225)</f>
        <v>82039.1157083683</v>
      </c>
      <c r="AZ232" s="35">
        <f>SUM(AZ183+AZ187+AZ189+AZ190+AZ197+AZ198+AZ199+AZ202+AZ220+AZ223+AZ224+AZ225)</f>
        <v>76179.5925494483</v>
      </c>
      <c r="BA232" s="35">
        <f>SUM(BA183,BA187,BA189,BA190,BA197,BA198,BA202,BA199,BA220,BA223,BA224,BA225)</f>
        <v>76179.5925494483</v>
      </c>
      <c r="BB232" s="35">
        <f>SUM(BB183+BB187+BB189+BB190+BB197+BB198+BB199+BB202+BB220+BB223+BB224+BB225)</f>
        <v>79319.2878654778</v>
      </c>
      <c r="BC232" s="35">
        <f>SUM(BC183+BC187+BC189+BC190+BC197+BC198+BC199+BC202+BC220+BC223+BC224+BC225)</f>
        <v>81489.8039138852</v>
      </c>
      <c r="BD232" s="35">
        <f>SUM(BD183+BD187+BD189+BD190+BD197+BD198+BD199+BD202+BD220+BD223+BD224+BD225)</f>
        <v>92986.9952578233</v>
      </c>
      <c r="BE232" s="35">
        <f>SUM(BE183+BE187+BE189+BE190+BE197+BE198+BE199+BE202+BE220+BE223+BE224+BE225)</f>
        <v>87042.7235424044</v>
      </c>
      <c r="BF232" s="35">
        <f>SUM(BF183,BF187,BF189,BF190,BF197,BF198,BF202,BF199,BF220,BF223,BF224,BF225)</f>
        <v>87042.7235424044</v>
      </c>
      <c r="BG232" s="35" t="n"/>
      <c r="BH232" s="35" t="n"/>
      <c r="BI232" s="35" t="n"/>
      <c r="BJ232" s="35" t="n"/>
      <c r="BK232" s="35" t="n"/>
      <c r="BL232" s="35" t="n"/>
      <c r="BM232" s="35" t="n"/>
      <c r="BN232" s="35" t="n"/>
      <c r="BO232" s="35" t="n"/>
      <c r="BP232" s="35" t="n"/>
      <c r="BQ232" s="35" t="n"/>
      <c r="BR232" s="35" t="n"/>
      <c r="BS232" s="35" t="n"/>
      <c r="BT232" s="35" t="n"/>
      <c r="BU232" s="35" t="n"/>
      <c r="BV232" s="35" t="n"/>
      <c r="BW232" s="35" t="n"/>
      <c r="BX232" s="35" t="n"/>
      <c r="BY232" s="35" t="n"/>
      <c r="BZ232" s="35" t="n"/>
      <c r="CA232" s="35" t="n"/>
      <c r="CB232" s="35" t="n"/>
      <c r="CC232" s="35" t="n"/>
      <c r="CD232" s="35" t="n"/>
      <c r="CE232" s="35" t="n"/>
      <c r="CF232" s="35" t="n"/>
      <c r="CG232" s="35" t="n"/>
      <c r="CH232" s="35" t="n"/>
      <c r="CI232" s="35" t="n"/>
      <c r="CJ232" s="35" t="n"/>
      <c r="CK232" s="35" t="n"/>
      <c r="CL232" s="35" t="n"/>
      <c r="CM232" s="35" t="n"/>
      <c r="CN232" s="35" t="n"/>
      <c r="CO232" s="35" t="n"/>
      <c r="CP232" s="35" t="n"/>
      <c r="CQ232" s="35" t="n"/>
      <c r="CR232" s="35" t="n"/>
      <c r="CS232" s="35" t="n"/>
      <c r="CT232" s="35" t="n"/>
      <c r="CU232" s="35" t="n"/>
      <c r="CV232" s="35" t="n"/>
      <c r="CW232" s="35" t="n"/>
      <c r="CX232" s="35" t="n"/>
      <c r="CY232" s="35" t="n"/>
    </row>
    <row r="233">
      <c r="C233" s="14" t="inlineStr">
        <is>
          <t>Minority interest</t>
        </is>
      </c>
      <c r="D233" s="46" t="n"/>
      <c r="E233" s="46" t="n"/>
      <c r="F233" s="46" t="n"/>
      <c r="G233" s="46" t="n"/>
      <c r="H233" s="12" t="n"/>
      <c r="I233" s="46">
        <f>'Inputs (2)'!D41</f>
        <v>477</v>
      </c>
      <c r="J233" s="46">
        <f>'Inputs (2)'!E41</f>
        <v>492</v>
      </c>
      <c r="K233" s="46">
        <f>'Inputs (2)'!F41</f>
        <v>514</v>
      </c>
      <c r="L233" s="46">
        <f>'Inputs (2)'!G41</f>
        <v>537</v>
      </c>
      <c r="M233" s="12">
        <f>'Inputs (2)'!H41</f>
        <v>537</v>
      </c>
      <c r="N233" s="46">
        <f>'Inputs (2)'!I41</f>
        <v>558</v>
      </c>
      <c r="O233" s="46">
        <f>'Inputs (2)'!J41</f>
        <v>545</v>
      </c>
      <c r="P233" s="46">
        <f>'Inputs (2)'!K41</f>
        <v>5</v>
      </c>
      <c r="Q233" s="46">
        <f>'Inputs (2)'!L41</f>
        <v>5</v>
      </c>
      <c r="R233" s="12">
        <f>'Inputs (2)'!M41</f>
        <v>5</v>
      </c>
      <c r="S233" s="46">
        <f>'Inputs (2)'!N41</f>
        <v>5</v>
      </c>
      <c r="T233" s="46">
        <f>'Inputs (2)'!O41</f>
        <v>5</v>
      </c>
      <c r="U233" s="46">
        <f>'Inputs (2)'!P41</f>
        <v>0</v>
      </c>
      <c r="V233" s="46">
        <f>'Inputs (2)'!Q41</f>
        <v>0</v>
      </c>
      <c r="W233" s="12">
        <f>'Inputs (2)'!R41</f>
        <v>0</v>
      </c>
      <c r="X233" s="46">
        <f>'Inputs (2)'!S41</f>
        <v>0</v>
      </c>
      <c r="Y233" s="46">
        <f>'Inputs (2)'!T41</f>
        <v>0</v>
      </c>
      <c r="Z233" s="46">
        <f>'Inputs (2)'!U41</f>
        <v>0</v>
      </c>
      <c r="AA233" s="46">
        <f>'Inputs (2)'!V41</f>
        <v>0</v>
      </c>
      <c r="AB233" s="12">
        <f>'Inputs (2)'!W41</f>
        <v>0</v>
      </c>
      <c r="AC233" s="46">
        <f>'Inputs (2)'!X41</f>
        <v>0</v>
      </c>
      <c r="AD233" s="46">
        <f>'Inputs (2)'!Y41</f>
        <v>0</v>
      </c>
      <c r="AE233" s="46">
        <f>'Inputs (2)'!Z41</f>
        <v>0</v>
      </c>
      <c r="AF233" s="46">
        <f>'Inputs (2)'!AA41</f>
        <v>0</v>
      </c>
      <c r="AG233" s="12">
        <f>'Inputs (2)'!AB41</f>
        <v>0</v>
      </c>
      <c r="AH233" s="12">
        <f>'Inputs (2)'!AC41</f>
        <v>0</v>
      </c>
      <c r="AI233" s="12">
        <f>'Inputs (2)'!AD41</f>
        <v>0</v>
      </c>
      <c r="AJ233" s="12">
        <f>AI233</f>
        <v>0</v>
      </c>
      <c r="AK233" s="12">
        <f>AJ233</f>
        <v>0</v>
      </c>
      <c r="AL233" s="12">
        <f>AK233</f>
        <v>0</v>
      </c>
      <c r="AM233" s="12">
        <f>AL233</f>
        <v>0</v>
      </c>
      <c r="AN233" s="12">
        <f>AM233</f>
        <v>0</v>
      </c>
      <c r="AO233" s="12">
        <f>AN233</f>
        <v>0</v>
      </c>
      <c r="AP233" s="12">
        <f>AO233</f>
        <v>0</v>
      </c>
      <c r="AQ233" s="12">
        <f>AP233</f>
        <v>0</v>
      </c>
      <c r="AR233" s="12">
        <f>AQ233</f>
        <v>0</v>
      </c>
      <c r="AS233" s="12">
        <f>AR233</f>
        <v>0</v>
      </c>
      <c r="AT233" s="12">
        <f>AS233</f>
        <v>0</v>
      </c>
      <c r="AU233" s="12">
        <f>AT233</f>
        <v>0</v>
      </c>
      <c r="AV233" s="12">
        <f>AU233</f>
        <v>0</v>
      </c>
      <c r="AW233" s="12">
        <f>AV233</f>
        <v>0</v>
      </c>
      <c r="AX233" s="12">
        <f>AW233</f>
        <v>0</v>
      </c>
      <c r="AY233" s="12">
        <f>AX233</f>
        <v>0</v>
      </c>
      <c r="AZ233" s="12">
        <f>AY233</f>
        <v>0</v>
      </c>
      <c r="BA233" s="12">
        <f>AZ233</f>
        <v>0</v>
      </c>
      <c r="BB233" s="12">
        <f>BA233</f>
        <v>0</v>
      </c>
      <c r="BC233" s="12">
        <f>BB233</f>
        <v>0</v>
      </c>
      <c r="BD233" s="12">
        <f>BC233</f>
        <v>0</v>
      </c>
      <c r="BE233" s="12">
        <f>BD233</f>
        <v>0</v>
      </c>
      <c r="BF233" s="12">
        <f>BE233</f>
        <v>0</v>
      </c>
      <c r="BG233" s="12" t="n"/>
      <c r="BH233" s="12" t="n"/>
      <c r="BI233" s="12" t="n"/>
      <c r="BJ233" s="12" t="n"/>
      <c r="BK233" s="12" t="n"/>
      <c r="BL233" s="12" t="n"/>
      <c r="BM233" s="12" t="n"/>
      <c r="BN233" s="12" t="n"/>
      <c r="BO233" s="12" t="n"/>
      <c r="BP233" s="12" t="n"/>
      <c r="BQ233" s="12" t="n"/>
      <c r="BR233" s="12" t="n"/>
      <c r="BS233" s="12" t="n"/>
      <c r="BT233" s="12" t="n"/>
      <c r="BU233" s="12" t="n"/>
      <c r="BV233" s="12" t="n"/>
      <c r="BW233" s="12" t="n"/>
      <c r="BX233" s="12" t="n"/>
      <c r="BY233" s="12" t="n"/>
      <c r="BZ233" s="12" t="n"/>
      <c r="CA233" s="12" t="n"/>
      <c r="CB233" s="12" t="n"/>
      <c r="CC233" s="12" t="n"/>
      <c r="CD233" s="12" t="n"/>
      <c r="CE233" s="12" t="n"/>
      <c r="CF233" s="12" t="n"/>
      <c r="CG233" s="12" t="n"/>
      <c r="CH233" s="12" t="n"/>
      <c r="CI233" s="12" t="n"/>
      <c r="CJ233" s="12" t="n"/>
      <c r="CK233" s="12" t="n"/>
      <c r="CL233" s="12" t="n"/>
      <c r="CM233" s="12" t="n"/>
      <c r="CN233" s="12" t="n"/>
      <c r="CO233" s="12" t="n"/>
      <c r="CP233" s="12" t="n"/>
      <c r="CQ233" s="12" t="n"/>
      <c r="CR233" s="12" t="n"/>
      <c r="CS233" s="12" t="n"/>
      <c r="CT233" s="12" t="n"/>
      <c r="CU233" s="12" t="n"/>
      <c r="CV233" s="12" t="n"/>
      <c r="CW233" s="12" t="n"/>
      <c r="CX233" s="12" t="n"/>
      <c r="CY233" s="12" t="n"/>
    </row>
    <row r="234" hidden="1" outlineLevel="1" customFormat="1" s="66">
      <c r="A234" s="37" t="n"/>
      <c r="B234" s="37" t="n"/>
      <c r="C234" s="59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  <c r="AA234" s="42" t="n"/>
      <c r="AB234" s="42" t="n"/>
      <c r="AC234" s="42" t="n"/>
      <c r="AD234" s="42" t="n"/>
      <c r="AE234" s="42" t="n"/>
      <c r="AF234" s="42" t="n"/>
      <c r="AG234" s="42" t="n"/>
      <c r="AH234" s="42" t="n"/>
      <c r="AI234" s="42" t="n"/>
      <c r="AJ234" s="42" t="n"/>
      <c r="AK234" s="42" t="n"/>
      <c r="AL234" s="42" t="n"/>
      <c r="AM234" s="42" t="n"/>
      <c r="AN234" s="42" t="n"/>
      <c r="AO234" s="42" t="n"/>
      <c r="AP234" s="42" t="n"/>
      <c r="AQ234" s="42" t="n"/>
      <c r="AR234" s="42" t="n"/>
      <c r="AS234" s="42" t="n"/>
      <c r="AT234" s="42" t="n"/>
      <c r="AU234" s="42" t="n"/>
      <c r="AV234" s="42" t="n"/>
      <c r="AW234" s="42" t="n"/>
      <c r="AX234" s="42" t="n"/>
      <c r="AY234" s="42" t="n"/>
      <c r="AZ234" s="42" t="n"/>
      <c r="BA234" s="42" t="n"/>
      <c r="BB234" s="42" t="n"/>
      <c r="BC234" s="42" t="n"/>
      <c r="BD234" s="42" t="n"/>
      <c r="BE234" s="42" t="n"/>
      <c r="BF234" s="42" t="n"/>
      <c r="BG234" s="42" t="n"/>
      <c r="BH234" s="42" t="n"/>
      <c r="BI234" s="42" t="n"/>
      <c r="BJ234" s="42" t="n"/>
      <c r="BK234" s="42" t="n"/>
      <c r="BL234" s="42" t="n"/>
      <c r="BM234" s="42" t="n"/>
      <c r="BN234" s="42" t="n"/>
      <c r="BO234" s="42" t="n"/>
      <c r="BP234" s="42" t="n"/>
      <c r="BQ234" s="42" t="n"/>
      <c r="BR234" s="42" t="n"/>
      <c r="BS234" s="42" t="n"/>
      <c r="BT234" s="42" t="n"/>
      <c r="BU234" s="42" t="n"/>
      <c r="BV234" s="42" t="n"/>
      <c r="BW234" s="42" t="n"/>
      <c r="BX234" s="42" t="n"/>
      <c r="BY234" s="42" t="n"/>
      <c r="BZ234" s="42" t="n"/>
      <c r="CA234" s="42" t="n"/>
      <c r="CB234" s="42" t="n"/>
      <c r="CC234" s="42" t="n"/>
      <c r="CD234" s="42" t="n"/>
      <c r="CE234" s="42" t="n"/>
      <c r="CF234" s="42" t="n"/>
      <c r="CG234" s="42" t="n"/>
      <c r="CH234" s="42" t="n"/>
      <c r="CI234" s="42" t="n"/>
      <c r="CJ234" s="42" t="n"/>
      <c r="CK234" s="42" t="n"/>
      <c r="CL234" s="42" t="n"/>
      <c r="CM234" s="42" t="n"/>
      <c r="CN234" s="42" t="n"/>
      <c r="CO234" s="42" t="n"/>
      <c r="CP234" s="42" t="n"/>
      <c r="CQ234" s="42" t="n"/>
      <c r="CR234" s="42" t="n"/>
      <c r="CS234" s="42" t="n"/>
      <c r="CT234" s="42" t="n"/>
      <c r="CU234" s="42" t="n"/>
      <c r="CV234" s="42" t="n"/>
      <c r="CW234" s="42" t="n"/>
      <c r="CX234" s="42" t="n"/>
      <c r="CY234" s="42" t="n"/>
    </row>
    <row r="235" hidden="1" outlineLevel="1" customFormat="1" s="66">
      <c r="A235" s="37" t="n"/>
      <c r="B235" s="37" t="n"/>
      <c r="C235" s="57" t="inlineStr">
        <is>
          <t>Minority Interest Expense - % YoY</t>
        </is>
      </c>
      <c r="D235" s="42" t="n"/>
      <c r="E235" s="58" t="n"/>
      <c r="F235" s="42" t="n"/>
      <c r="G235" s="42" t="n"/>
      <c r="H235" s="58" t="n"/>
      <c r="I235" s="42" t="n"/>
      <c r="J235" s="58">
        <f>IF(I120=0,0,J120/I120-1)</f>
        <v>0</v>
      </c>
      <c r="K235" s="42" t="n"/>
      <c r="L235" s="42" t="n"/>
      <c r="M235" s="58" t="n"/>
      <c r="N235" s="58">
        <f>IF(I120=0,0,N120/I120-1)</f>
        <v>0</v>
      </c>
      <c r="O235" s="58">
        <f>IF(J120=0,0,O120/J120-1)</f>
        <v>0</v>
      </c>
      <c r="P235" s="58">
        <f>IF(K120=0,0,P120/K120-1)</f>
        <v>0</v>
      </c>
      <c r="Q235" s="58">
        <f>IF(L120=0,0,Q120/L120-1)</f>
        <v>0</v>
      </c>
      <c r="R235" s="58" t="n"/>
      <c r="S235" s="58">
        <f>IF(N120=0,0,S120/N120-1)</f>
        <v>0</v>
      </c>
      <c r="T235" s="58">
        <f>IF(O120=0,0,T120/O120-1)</f>
        <v>0</v>
      </c>
      <c r="U235" s="58">
        <f>IF(P120=0,0,U120/P120-1)</f>
        <v>0</v>
      </c>
      <c r="V235" s="58">
        <f>IF(Q120=0,0,V120/Q120-1)</f>
        <v>0</v>
      </c>
      <c r="W235" s="58">
        <f>IF(R121=0,0,W121/R121-1)</f>
        <v>-1</v>
      </c>
      <c r="X235" s="58">
        <f>IF(S120=0,0,X120/S120-1)</f>
        <v>0</v>
      </c>
      <c r="Y235" s="58">
        <f>IF(T120=0,0,Y120/T120-1)</f>
        <v>0</v>
      </c>
      <c r="Z235" s="58">
        <f>IF(U120=0,0,Z120/U120-1)</f>
        <v>0</v>
      </c>
      <c r="AA235" s="58">
        <f>IF(V120=0,0,AA120/V120-1)</f>
        <v>0</v>
      </c>
      <c r="AB235" s="58">
        <f>IF(W121=0,0,AB121/W121-1)</f>
        <v>0</v>
      </c>
      <c r="AC235" s="58">
        <f>IF(X120=0,0,AC120/X120-1)</f>
        <v>0</v>
      </c>
      <c r="AD235" s="58">
        <f>IF(Y120=0,0,AD120/Y120-1)</f>
        <v>0</v>
      </c>
      <c r="AE235" s="58">
        <f>IF(Z120=0,0,AE120/Z120-1)</f>
        <v>0</v>
      </c>
      <c r="AF235" s="58">
        <f>IF(AA120=0,0,AF120/AA120-1)</f>
        <v>0</v>
      </c>
      <c r="AG235" s="58">
        <f>IF(AB121=0,0,AG121/AB121-1)</f>
        <v>0</v>
      </c>
      <c r="AH235" s="62">
        <f>IF(AC120=0,0,AH120/AC120-1)</f>
        <v>0</v>
      </c>
      <c r="AI235" s="62">
        <f>IF(AD120=0,0,AI120/AD120-1)</f>
        <v>0</v>
      </c>
      <c r="AJ235" s="62" t="n"/>
      <c r="AK235" s="62" t="n"/>
      <c r="AL235" s="58">
        <f>IF(AG121=0,0,AL121/AG121-1)</f>
        <v>0</v>
      </c>
      <c r="AM235" s="62" t="n"/>
      <c r="AN235" s="62" t="n"/>
      <c r="AO235" s="62" t="n"/>
      <c r="AP235" s="62" t="n"/>
      <c r="AQ235" s="58">
        <f>IF(AL121=0,0,AQ121/AL121-1)</f>
        <v>0</v>
      </c>
      <c r="AR235" s="62" t="n"/>
      <c r="AS235" s="62" t="n"/>
      <c r="AT235" s="62" t="n"/>
      <c r="AU235" s="62" t="n"/>
      <c r="AV235" s="58">
        <f>IF(AQ121=0,0,AV121/AQ121-1)</f>
        <v>0</v>
      </c>
      <c r="AW235" s="62" t="n"/>
      <c r="AX235" s="62" t="n"/>
      <c r="AY235" s="62" t="n"/>
      <c r="AZ235" s="62" t="n"/>
      <c r="BA235" s="58">
        <f>IF(AV121=0,0,BA121/AV121-1)</f>
        <v>0</v>
      </c>
      <c r="BB235" s="62" t="n"/>
      <c r="BC235" s="62" t="n"/>
      <c r="BD235" s="62" t="n"/>
      <c r="BE235" s="62" t="n"/>
      <c r="BF235" s="58">
        <f>IF(BA121=0,0,BF121/BA121-1)</f>
        <v>0</v>
      </c>
      <c r="BG235" s="62" t="n"/>
      <c r="BH235" s="62" t="n"/>
      <c r="BI235" s="62" t="n"/>
      <c r="BJ235" s="62" t="n"/>
      <c r="BK235" s="58" t="n"/>
      <c r="BL235" s="62" t="n"/>
      <c r="BM235" s="62" t="n"/>
      <c r="BN235" s="62" t="n"/>
      <c r="BO235" s="62" t="n"/>
      <c r="BP235" s="58" t="n"/>
      <c r="BQ235" s="62" t="n"/>
      <c r="BR235" s="62" t="n"/>
      <c r="BS235" s="62" t="n"/>
      <c r="BT235" s="62" t="n"/>
      <c r="BU235" s="58" t="n"/>
      <c r="BV235" s="62" t="n"/>
      <c r="BW235" s="62" t="n"/>
      <c r="BX235" s="62" t="n"/>
      <c r="BY235" s="62" t="n"/>
      <c r="BZ235" s="58" t="n"/>
      <c r="CA235" s="62" t="n"/>
      <c r="CB235" s="62" t="n"/>
      <c r="CC235" s="62" t="n"/>
      <c r="CD235" s="62" t="n"/>
      <c r="CE235" s="58" t="n"/>
      <c r="CF235" s="62" t="n"/>
      <c r="CG235" s="62" t="n"/>
      <c r="CH235" s="62" t="n"/>
      <c r="CI235" s="62" t="n"/>
      <c r="CJ235" s="58" t="n"/>
      <c r="CK235" s="62" t="n"/>
      <c r="CL235" s="62" t="n"/>
      <c r="CM235" s="62" t="n"/>
      <c r="CN235" s="62" t="n"/>
      <c r="CO235" s="58" t="n"/>
      <c r="CP235" s="62" t="n"/>
      <c r="CQ235" s="62" t="n"/>
      <c r="CR235" s="62" t="n"/>
      <c r="CS235" s="62" t="n"/>
      <c r="CT235" s="58" t="n"/>
      <c r="CU235" s="62" t="n"/>
      <c r="CV235" s="62" t="n"/>
      <c r="CW235" s="62" t="n"/>
      <c r="CX235" s="62" t="n"/>
      <c r="CY235" s="58" t="n"/>
    </row>
    <row r="236" hidden="1" outlineLevel="1" customFormat="1" s="66">
      <c r="A236" s="37" t="n"/>
      <c r="B236" s="37" t="n"/>
      <c r="C236" s="57" t="inlineStr">
        <is>
          <t>Dividends (enter as -)</t>
        </is>
      </c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  <c r="AA236" s="42" t="n"/>
      <c r="AB236" s="42" t="n"/>
      <c r="AC236" s="42" t="n"/>
      <c r="AD236" s="42" t="n"/>
      <c r="AE236" s="42" t="n"/>
      <c r="AF236" s="42" t="n"/>
      <c r="AG236" s="42" t="n"/>
      <c r="AH236" s="62" t="n"/>
      <c r="AI236" s="62" t="n"/>
      <c r="AJ236" s="62" t="n"/>
      <c r="AK236" s="62" t="n"/>
      <c r="AL236" s="42" t="n"/>
      <c r="AM236" s="62" t="n"/>
      <c r="AN236" s="62" t="n"/>
      <c r="AO236" s="62" t="n"/>
      <c r="AP236" s="62" t="n"/>
      <c r="AQ236" s="42" t="n"/>
      <c r="AR236" s="62" t="n"/>
      <c r="AS236" s="62" t="n"/>
      <c r="AT236" s="62" t="n"/>
      <c r="AU236" s="62" t="n"/>
      <c r="AV236" s="42" t="n"/>
      <c r="AW236" s="62" t="n"/>
      <c r="AX236" s="62" t="n"/>
      <c r="AY236" s="62" t="n"/>
      <c r="AZ236" s="62" t="n"/>
      <c r="BA236" s="42" t="n"/>
      <c r="BB236" s="62" t="n"/>
      <c r="BC236" s="62" t="n"/>
      <c r="BD236" s="62" t="n"/>
      <c r="BE236" s="62" t="n"/>
      <c r="BF236" s="42" t="n"/>
      <c r="BG236" s="62" t="n"/>
      <c r="BH236" s="62" t="n"/>
      <c r="BI236" s="62" t="n"/>
      <c r="BJ236" s="62" t="n"/>
      <c r="BK236" s="42" t="n"/>
      <c r="BL236" s="62" t="n"/>
      <c r="BM236" s="62" t="n"/>
      <c r="BN236" s="62" t="n"/>
      <c r="BO236" s="62" t="n"/>
      <c r="BP236" s="42" t="n"/>
      <c r="BQ236" s="62" t="n"/>
      <c r="BR236" s="62" t="n"/>
      <c r="BS236" s="62" t="n"/>
      <c r="BT236" s="62" t="n"/>
      <c r="BU236" s="42" t="n"/>
      <c r="BV236" s="62" t="n"/>
      <c r="BW236" s="62" t="n"/>
      <c r="BX236" s="62" t="n"/>
      <c r="BY236" s="62" t="n"/>
      <c r="BZ236" s="42" t="n"/>
      <c r="CA236" s="62" t="n"/>
      <c r="CB236" s="62" t="n"/>
      <c r="CC236" s="62" t="n"/>
      <c r="CD236" s="62" t="n"/>
      <c r="CE236" s="42" t="n"/>
      <c r="CF236" s="62" t="n"/>
      <c r="CG236" s="62" t="n"/>
      <c r="CH236" s="62" t="n"/>
      <c r="CI236" s="62" t="n"/>
      <c r="CJ236" s="42" t="n"/>
      <c r="CK236" s="62" t="n"/>
      <c r="CL236" s="62" t="n"/>
      <c r="CM236" s="62" t="n"/>
      <c r="CN236" s="62" t="n"/>
      <c r="CO236" s="42" t="n"/>
      <c r="CP236" s="62" t="n"/>
      <c r="CQ236" s="62" t="n"/>
      <c r="CR236" s="62" t="n"/>
      <c r="CS236" s="62" t="n"/>
      <c r="CT236" s="42" t="n"/>
      <c r="CU236" s="62" t="n"/>
      <c r="CV236" s="62" t="n"/>
      <c r="CW236" s="62" t="n"/>
      <c r="CX236" s="62" t="n"/>
      <c r="CY236" s="42" t="n"/>
    </row>
    <row r="237" hidden="1" outlineLevel="1" customFormat="1" s="66">
      <c r="A237" s="37" t="n"/>
      <c r="B237" s="37" t="n"/>
      <c r="C237" s="59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  <c r="AA237" s="42" t="n"/>
      <c r="AB237" s="42" t="n"/>
      <c r="AC237" s="42" t="n"/>
      <c r="AD237" s="42" t="n"/>
      <c r="AE237" s="42" t="n"/>
      <c r="AF237" s="42" t="n"/>
      <c r="AG237" s="42" t="n"/>
      <c r="AH237" s="42" t="n"/>
      <c r="AI237" s="42" t="n"/>
      <c r="AJ237" s="42" t="n"/>
      <c r="AK237" s="42" t="n"/>
      <c r="AL237" s="42" t="n"/>
      <c r="AM237" s="42" t="n"/>
      <c r="AN237" s="42" t="n"/>
      <c r="AO237" s="42" t="n"/>
      <c r="AP237" s="42" t="n"/>
      <c r="AQ237" s="42" t="n"/>
      <c r="AR237" s="42" t="n"/>
      <c r="AS237" s="42" t="n"/>
      <c r="AT237" s="42" t="n"/>
      <c r="AU237" s="42" t="n"/>
      <c r="AV237" s="42" t="n"/>
      <c r="AW237" s="42" t="n"/>
      <c r="AX237" s="42" t="n"/>
      <c r="AY237" s="42" t="n"/>
      <c r="AZ237" s="42" t="n"/>
      <c r="BA237" s="42" t="n"/>
      <c r="BB237" s="42" t="n"/>
      <c r="BC237" s="42" t="n"/>
      <c r="BD237" s="42" t="n"/>
      <c r="BE237" s="42" t="n"/>
      <c r="BF237" s="42" t="n"/>
      <c r="BG237" s="42" t="n"/>
      <c r="BH237" s="42" t="n"/>
      <c r="BI237" s="42" t="n"/>
      <c r="BJ237" s="42" t="n"/>
      <c r="BK237" s="42" t="n"/>
      <c r="BL237" s="42" t="n"/>
      <c r="BM237" s="42" t="n"/>
      <c r="BN237" s="42" t="n"/>
      <c r="BO237" s="42" t="n"/>
      <c r="BP237" s="42" t="n"/>
      <c r="BQ237" s="42" t="n"/>
      <c r="BR237" s="42" t="n"/>
      <c r="BS237" s="42" t="n"/>
      <c r="BT237" s="42" t="n"/>
      <c r="BU237" s="42" t="n"/>
      <c r="BV237" s="42" t="n"/>
      <c r="BW237" s="42" t="n"/>
      <c r="BX237" s="42" t="n"/>
      <c r="BY237" s="42" t="n"/>
      <c r="BZ237" s="42" t="n"/>
      <c r="CA237" s="42" t="n"/>
      <c r="CB237" s="42" t="n"/>
      <c r="CC237" s="42" t="n"/>
      <c r="CD237" s="42" t="n"/>
      <c r="CE237" s="42" t="n"/>
      <c r="CF237" s="42" t="n"/>
      <c r="CG237" s="42" t="n"/>
      <c r="CH237" s="42" t="n"/>
      <c r="CI237" s="42" t="n"/>
      <c r="CJ237" s="42" t="n"/>
      <c r="CK237" s="42" t="n"/>
      <c r="CL237" s="42" t="n"/>
      <c r="CM237" s="42" t="n"/>
      <c r="CN237" s="42" t="n"/>
      <c r="CO237" s="42" t="n"/>
      <c r="CP237" s="42" t="n"/>
      <c r="CQ237" s="42" t="n"/>
      <c r="CR237" s="42" t="n"/>
      <c r="CS237" s="42" t="n"/>
      <c r="CT237" s="42" t="n"/>
      <c r="CU237" s="42" t="n"/>
      <c r="CV237" s="42" t="n"/>
      <c r="CW237" s="42" t="n"/>
      <c r="CX237" s="42" t="n"/>
      <c r="CY237" s="42" t="n"/>
    </row>
    <row r="238" collapsed="1">
      <c r="C238" s="14" t="inlineStr">
        <is>
          <t>Convertible Preferred Stock</t>
        </is>
      </c>
      <c r="D238" s="46" t="n"/>
      <c r="E238" s="46" t="n"/>
      <c r="F238" s="46" t="n"/>
      <c r="G238" s="46" t="n"/>
      <c r="H238" s="12" t="n"/>
      <c r="I238" s="46">
        <f>'Inputs (2)'!D42</f>
        <v>0</v>
      </c>
      <c r="J238" s="46">
        <f>'Inputs (2)'!E42</f>
        <v>0</v>
      </c>
      <c r="K238" s="46">
        <f>'Inputs (2)'!F42</f>
        <v>0</v>
      </c>
      <c r="L238" s="46">
        <f>'Inputs (2)'!G42</f>
        <v>0</v>
      </c>
      <c r="M238" s="12">
        <f>'Inputs (2)'!H42</f>
        <v>0</v>
      </c>
      <c r="N238" s="46">
        <f>'Inputs (2)'!I42</f>
        <v>0</v>
      </c>
      <c r="O238" s="46">
        <f>'Inputs (2)'!J42</f>
        <v>0</v>
      </c>
      <c r="P238" s="46">
        <f>'Inputs (2)'!K42</f>
        <v>0</v>
      </c>
      <c r="Q238" s="46">
        <f>'Inputs (2)'!L42</f>
        <v>0</v>
      </c>
      <c r="R238" s="12">
        <f>'Inputs (2)'!M42</f>
        <v>0</v>
      </c>
      <c r="S238" s="46">
        <f>'Inputs (2)'!N42</f>
        <v>0</v>
      </c>
      <c r="T238" s="46">
        <f>'Inputs (2)'!O42</f>
        <v>0</v>
      </c>
      <c r="U238" s="46">
        <f>'Inputs (2)'!P42</f>
        <v>0</v>
      </c>
      <c r="V238" s="46">
        <f>'Inputs (2)'!Q42</f>
        <v>0</v>
      </c>
      <c r="W238" s="12">
        <f>'Inputs (2)'!R42</f>
        <v>0</v>
      </c>
      <c r="X238" s="46">
        <f>'Inputs (2)'!S42</f>
        <v>0</v>
      </c>
      <c r="Y238" s="46">
        <f>'Inputs (2)'!T42</f>
        <v>0</v>
      </c>
      <c r="Z238" s="46">
        <f>'Inputs (2)'!U42</f>
        <v>0</v>
      </c>
      <c r="AA238" s="46">
        <f>'Inputs (2)'!V42</f>
        <v>0</v>
      </c>
      <c r="AB238" s="12">
        <f>'Inputs (2)'!W42</f>
        <v>0</v>
      </c>
      <c r="AC238" s="46">
        <f>'Inputs (2)'!X42</f>
        <v>0</v>
      </c>
      <c r="AD238" s="46">
        <f>'Inputs (2)'!Y42</f>
        <v>0</v>
      </c>
      <c r="AE238" s="46">
        <f>'Inputs (2)'!Z42</f>
        <v>0</v>
      </c>
      <c r="AF238" s="46">
        <f>'Inputs (2)'!AA42</f>
        <v>0</v>
      </c>
      <c r="AG238" s="12">
        <f>'Inputs (2)'!AB42</f>
        <v>0</v>
      </c>
      <c r="AH238" s="12">
        <f>'Inputs (2)'!AC42</f>
        <v>0</v>
      </c>
      <c r="AI238" s="12">
        <f>'Inputs (2)'!AD42</f>
        <v>0</v>
      </c>
      <c r="AJ238" s="12">
        <f>AI238</f>
        <v>0</v>
      </c>
      <c r="AK238" s="12">
        <f>AJ238</f>
        <v>0</v>
      </c>
      <c r="AL238" s="12">
        <f>AK238</f>
        <v>0</v>
      </c>
      <c r="AM238" s="12">
        <f>AL238</f>
        <v>0</v>
      </c>
      <c r="AN238" s="12">
        <f>AM238</f>
        <v>0</v>
      </c>
      <c r="AO238" s="12">
        <f>AN238</f>
        <v>0</v>
      </c>
      <c r="AP238" s="12">
        <f>AO238</f>
        <v>0</v>
      </c>
      <c r="AQ238" s="12">
        <f>AP238</f>
        <v>0</v>
      </c>
      <c r="AR238" s="12">
        <f>AQ238</f>
        <v>0</v>
      </c>
      <c r="AS238" s="12">
        <f>AR238</f>
        <v>0</v>
      </c>
      <c r="AT238" s="12">
        <f>AS238</f>
        <v>0</v>
      </c>
      <c r="AU238" s="12">
        <f>AT238</f>
        <v>0</v>
      </c>
      <c r="AV238" s="12">
        <f>AU238</f>
        <v>0</v>
      </c>
      <c r="AW238" s="12">
        <f>AV238</f>
        <v>0</v>
      </c>
      <c r="AX238" s="12">
        <f>AW238</f>
        <v>0</v>
      </c>
      <c r="AY238" s="12">
        <f>AX238</f>
        <v>0</v>
      </c>
      <c r="AZ238" s="12">
        <f>AY238</f>
        <v>0</v>
      </c>
      <c r="BA238" s="12">
        <f>AZ238</f>
        <v>0</v>
      </c>
      <c r="BB238" s="12">
        <f>BA238</f>
        <v>0</v>
      </c>
      <c r="BC238" s="12">
        <f>BB238</f>
        <v>0</v>
      </c>
      <c r="BD238" s="12">
        <f>BC238</f>
        <v>0</v>
      </c>
      <c r="BE238" s="12">
        <f>BD238</f>
        <v>0</v>
      </c>
      <c r="BF238" s="12">
        <f>BE238</f>
        <v>0</v>
      </c>
      <c r="BG238" s="12" t="n"/>
      <c r="BH238" s="12" t="n"/>
      <c r="BI238" s="12" t="n"/>
      <c r="BJ238" s="12" t="n"/>
      <c r="BK238" s="12" t="n"/>
      <c r="BL238" s="12" t="n"/>
      <c r="BM238" s="12" t="n"/>
      <c r="BN238" s="12" t="n"/>
      <c r="BO238" s="12" t="n"/>
      <c r="BP238" s="12" t="n"/>
      <c r="BQ238" s="12" t="n"/>
      <c r="BR238" s="12" t="n"/>
      <c r="BS238" s="12" t="n"/>
      <c r="BT238" s="12" t="n"/>
      <c r="BU238" s="12" t="n"/>
      <c r="BV238" s="12" t="n"/>
      <c r="BW238" s="12" t="n"/>
      <c r="BX238" s="12" t="n"/>
      <c r="BY238" s="12" t="n"/>
      <c r="BZ238" s="12" t="n"/>
      <c r="CA238" s="12" t="n"/>
      <c r="CB238" s="12" t="n"/>
      <c r="CC238" s="12" t="n"/>
      <c r="CD238" s="12" t="n"/>
      <c r="CE238" s="12" t="n"/>
      <c r="CF238" s="12" t="n"/>
      <c r="CG238" s="12" t="n"/>
      <c r="CH238" s="12" t="n"/>
      <c r="CI238" s="12" t="n"/>
      <c r="CJ238" s="12" t="n"/>
      <c r="CK238" s="12" t="n"/>
      <c r="CL238" s="12" t="n"/>
      <c r="CM238" s="12" t="n"/>
      <c r="CN238" s="12" t="n"/>
      <c r="CO238" s="12" t="n"/>
      <c r="CP238" s="12" t="n"/>
      <c r="CQ238" s="12" t="n"/>
      <c r="CR238" s="12" t="n"/>
      <c r="CS238" s="12" t="n"/>
      <c r="CT238" s="12" t="n"/>
      <c r="CU238" s="12" t="n"/>
      <c r="CV238" s="12" t="n"/>
      <c r="CW238" s="12" t="n"/>
      <c r="CX238" s="12" t="n"/>
      <c r="CY238" s="12" t="n"/>
    </row>
    <row r="239">
      <c r="C239" s="13" t="inlineStr">
        <is>
          <t>Common Stock and APIC</t>
        </is>
      </c>
      <c r="D239" s="46" t="n"/>
      <c r="E239" s="46" t="n"/>
      <c r="F239" s="46" t="n"/>
      <c r="G239" s="46" t="n"/>
      <c r="H239" s="12" t="n"/>
      <c r="I239" s="46">
        <f>'Inputs (2)'!D43</f>
        <v>6847</v>
      </c>
      <c r="J239" s="46">
        <f>'Inputs (2)'!E43</f>
        <v>6925</v>
      </c>
      <c r="K239" s="46">
        <f>'Inputs (2)'!F43</f>
        <v>7035</v>
      </c>
      <c r="L239" s="46">
        <f>'Inputs (2)'!G43</f>
        <v>7068</v>
      </c>
      <c r="M239" s="12">
        <f>'Inputs (2)'!H43</f>
        <v>7068</v>
      </c>
      <c r="N239" s="46">
        <f>'Inputs (2)'!I43</f>
        <v>7190</v>
      </c>
      <c r="O239" s="46">
        <f>'Inputs (2)'!J43</f>
        <v>7276</v>
      </c>
      <c r="P239" s="46">
        <f>'Inputs (2)'!K43</f>
        <v>6886</v>
      </c>
      <c r="Q239" s="46">
        <f>'Inputs (2)'!L43</f>
        <v>6984</v>
      </c>
      <c r="R239" s="12">
        <f>'Inputs (2)'!M43</f>
        <v>6984</v>
      </c>
      <c r="S239" s="46">
        <f>'Inputs (2)'!N43</f>
        <v>7125</v>
      </c>
      <c r="T239" s="46">
        <f>'Inputs (2)'!O43</f>
        <v>7213</v>
      </c>
      <c r="U239" s="46">
        <f>'Inputs (2)'!P43</f>
        <v>7342</v>
      </c>
      <c r="V239" s="46">
        <f>'Inputs (2)'!Q43</f>
        <v>7491</v>
      </c>
      <c r="W239" s="12">
        <f>'Inputs (2)'!R43</f>
        <v>7491</v>
      </c>
      <c r="X239" s="46">
        <f>'Inputs (2)'!S43</f>
        <v>7622</v>
      </c>
      <c r="Y239" s="46">
        <f>'Inputs (2)'!T43</f>
        <v>7704</v>
      </c>
      <c r="Z239" s="46">
        <f>'Inputs (2)'!U43</f>
        <v>7831</v>
      </c>
      <c r="AA239" s="46">
        <f>'Inputs (2)'!V43</f>
        <v>7903</v>
      </c>
      <c r="AB239" s="12">
        <f>'Inputs (2)'!W43</f>
        <v>7903</v>
      </c>
      <c r="AC239" s="46">
        <f>'Inputs (2)'!X43</f>
        <v>8049</v>
      </c>
      <c r="AD239" s="46">
        <f>'Inputs (2)'!Y43</f>
        <v>8150</v>
      </c>
      <c r="AE239" s="46">
        <f>'Inputs (2)'!Z43</f>
        <v>8284</v>
      </c>
      <c r="AF239" s="46">
        <f>'Inputs (2)'!AA43</f>
        <v>8410</v>
      </c>
      <c r="AG239" s="12">
        <f>'Inputs (2)'!AB43</f>
        <v>8410</v>
      </c>
      <c r="AH239" s="12">
        <f>'Inputs (2)'!AC43</f>
        <v>8572</v>
      </c>
      <c r="AI239" s="12">
        <f>'Inputs (2)'!AD43</f>
        <v>8685</v>
      </c>
      <c r="AJ239" s="12">
        <f>AI239+AJ243</f>
        <v>8685</v>
      </c>
      <c r="AK239" s="12">
        <f>AJ239+AK243</f>
        <v>8685</v>
      </c>
      <c r="AL239" s="12">
        <f>AK239</f>
        <v>8685</v>
      </c>
      <c r="AM239" s="12">
        <f>AL239+AM243</f>
        <v>8685</v>
      </c>
      <c r="AN239" s="12">
        <f>AM239+AN243</f>
        <v>8685</v>
      </c>
      <c r="AO239" s="12">
        <f>AN239+AO243</f>
        <v>8685</v>
      </c>
      <c r="AP239" s="12">
        <f>AO239+AP243</f>
        <v>8685</v>
      </c>
      <c r="AQ239" s="12">
        <f>AP239</f>
        <v>8685</v>
      </c>
      <c r="AR239" s="12">
        <f>AQ239+AR243</f>
        <v>8685</v>
      </c>
      <c r="AS239" s="12">
        <f>AR239+AS243</f>
        <v>8685</v>
      </c>
      <c r="AT239" s="12">
        <f>AS239+AT243</f>
        <v>8685</v>
      </c>
      <c r="AU239" s="12">
        <f>AT239+AU243</f>
        <v>8685</v>
      </c>
      <c r="AV239" s="12">
        <f>AU239</f>
        <v>8685</v>
      </c>
      <c r="AW239" s="12">
        <f>AV239+AW243</f>
        <v>8685</v>
      </c>
      <c r="AX239" s="12">
        <f>AW239+AX243</f>
        <v>8685</v>
      </c>
      <c r="AY239" s="12">
        <f>AX239+AY243</f>
        <v>8685</v>
      </c>
      <c r="AZ239" s="12">
        <f>AY239+AZ243</f>
        <v>8685</v>
      </c>
      <c r="BA239" s="12">
        <f>AZ239</f>
        <v>8685</v>
      </c>
      <c r="BB239" s="12">
        <f>BA239+BB243</f>
        <v>8685</v>
      </c>
      <c r="BC239" s="12">
        <f>BB239+BC243</f>
        <v>8685</v>
      </c>
      <c r="BD239" s="12">
        <f>BC239+BD243</f>
        <v>8685</v>
      </c>
      <c r="BE239" s="12">
        <f>BD239+BE243</f>
        <v>8685</v>
      </c>
      <c r="BF239" s="12">
        <f>BE239</f>
        <v>8685</v>
      </c>
      <c r="BG239" s="12" t="n"/>
      <c r="BH239" s="12" t="n"/>
      <c r="BI239" s="12" t="n"/>
      <c r="BJ239" s="12" t="n"/>
      <c r="BK239" s="12" t="n"/>
      <c r="BL239" s="12" t="n"/>
      <c r="BM239" s="12" t="n"/>
      <c r="BN239" s="12" t="n"/>
      <c r="BO239" s="12" t="n"/>
      <c r="BP239" s="12" t="n"/>
      <c r="BQ239" s="12" t="n"/>
      <c r="BR239" s="12" t="n"/>
      <c r="BS239" s="12" t="n"/>
      <c r="BT239" s="12" t="n"/>
      <c r="BU239" s="12" t="n"/>
      <c r="BV239" s="12" t="n"/>
      <c r="BW239" s="12" t="n"/>
      <c r="BX239" s="12" t="n"/>
      <c r="BY239" s="12" t="n"/>
      <c r="BZ239" s="12" t="n"/>
      <c r="CA239" s="12" t="n"/>
      <c r="CB239" s="12" t="n"/>
      <c r="CC239" s="12" t="n"/>
      <c r="CD239" s="12" t="n"/>
      <c r="CE239" s="12" t="n"/>
      <c r="CF239" s="12" t="n"/>
      <c r="CG239" s="12" t="n"/>
      <c r="CH239" s="12" t="n"/>
      <c r="CI239" s="12" t="n"/>
      <c r="CJ239" s="12" t="n"/>
      <c r="CK239" s="12" t="n"/>
      <c r="CL239" s="12" t="n"/>
      <c r="CM239" s="12" t="n"/>
      <c r="CN239" s="12" t="n"/>
      <c r="CO239" s="12" t="n"/>
      <c r="CP239" s="12" t="n"/>
      <c r="CQ239" s="12" t="n"/>
      <c r="CR239" s="12" t="n"/>
      <c r="CS239" s="12" t="n"/>
      <c r="CT239" s="12" t="n"/>
      <c r="CU239" s="12" t="n"/>
      <c r="CV239" s="12" t="n"/>
      <c r="CW239" s="12" t="n"/>
      <c r="CX239" s="12" t="n"/>
      <c r="CY239" s="12" t="n"/>
    </row>
    <row r="240" hidden="1" outlineLevel="1" customFormat="1" s="66">
      <c r="A240" s="37" t="n"/>
      <c r="B240" s="37" t="n"/>
      <c r="C240" s="67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  <c r="AA240" s="42" t="n"/>
      <c r="AB240" s="42" t="n"/>
      <c r="AC240" s="42" t="n"/>
      <c r="AD240" s="42" t="n"/>
      <c r="AE240" s="42" t="n"/>
      <c r="AF240" s="42" t="n"/>
      <c r="AG240" s="42" t="n"/>
      <c r="AH240" s="42" t="n"/>
      <c r="AI240" s="42" t="n"/>
      <c r="AJ240" s="42" t="n"/>
      <c r="AK240" s="42" t="n"/>
      <c r="AL240" s="42" t="n"/>
      <c r="AM240" s="42" t="n"/>
      <c r="AN240" s="42" t="n"/>
      <c r="AO240" s="42" t="n"/>
      <c r="AP240" s="42" t="n"/>
      <c r="AQ240" s="42" t="n"/>
      <c r="AR240" s="42" t="n"/>
      <c r="AS240" s="42" t="n"/>
      <c r="AT240" s="42" t="n"/>
      <c r="AU240" s="42" t="n"/>
      <c r="AV240" s="42" t="n"/>
      <c r="AW240" s="42" t="n"/>
      <c r="AX240" s="42" t="n"/>
      <c r="AY240" s="42" t="n"/>
      <c r="AZ240" s="42" t="n"/>
      <c r="BA240" s="42" t="n"/>
      <c r="BB240" s="42" t="n"/>
      <c r="BC240" s="42" t="n"/>
      <c r="BD240" s="42" t="n"/>
      <c r="BE240" s="42" t="n"/>
      <c r="BF240" s="42" t="n"/>
      <c r="BG240" s="42" t="n"/>
      <c r="BH240" s="42" t="n"/>
      <c r="BI240" s="42" t="n"/>
      <c r="BJ240" s="42" t="n"/>
      <c r="BK240" s="42" t="n"/>
      <c r="BL240" s="42" t="n"/>
      <c r="BM240" s="42" t="n"/>
      <c r="BN240" s="42" t="n"/>
      <c r="BO240" s="42" t="n"/>
      <c r="BP240" s="42" t="n"/>
      <c r="BQ240" s="42" t="n"/>
      <c r="BR240" s="42" t="n"/>
      <c r="BS240" s="42" t="n"/>
      <c r="BT240" s="42" t="n"/>
      <c r="BU240" s="42" t="n"/>
      <c r="BV240" s="42" t="n"/>
      <c r="BW240" s="42" t="n"/>
      <c r="BX240" s="42" t="n"/>
      <c r="BY240" s="42" t="n"/>
      <c r="BZ240" s="42" t="n"/>
      <c r="CA240" s="42" t="n"/>
      <c r="CB240" s="42" t="n"/>
      <c r="CC240" s="42" t="n"/>
      <c r="CD240" s="42" t="n"/>
      <c r="CE240" s="42" t="n"/>
      <c r="CF240" s="42" t="n"/>
      <c r="CG240" s="42" t="n"/>
      <c r="CH240" s="42" t="n"/>
      <c r="CI240" s="42" t="n"/>
      <c r="CJ240" s="42" t="n"/>
      <c r="CK240" s="42" t="n"/>
      <c r="CL240" s="42" t="n"/>
      <c r="CM240" s="42" t="n"/>
      <c r="CN240" s="42" t="n"/>
      <c r="CO240" s="42" t="n"/>
      <c r="CP240" s="42" t="n"/>
      <c r="CQ240" s="42" t="n"/>
      <c r="CR240" s="42" t="n"/>
      <c r="CS240" s="42" t="n"/>
      <c r="CT240" s="42" t="n"/>
      <c r="CU240" s="42" t="n"/>
      <c r="CV240" s="42" t="n"/>
      <c r="CW240" s="42" t="n"/>
      <c r="CX240" s="42" t="n"/>
      <c r="CY240" s="42" t="n"/>
    </row>
    <row r="241" hidden="1" outlineLevel="1" customFormat="1" s="66">
      <c r="A241" s="37" t="n"/>
      <c r="B241" s="37" t="n"/>
      <c r="C241" s="67" t="inlineStr">
        <is>
          <t>Diluted Shares outstanding</t>
        </is>
      </c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  <c r="AG241" s="42" t="n"/>
      <c r="AH241" s="42" t="n"/>
      <c r="AI241" s="42" t="n"/>
      <c r="AJ241" s="42" t="n"/>
      <c r="AK241" s="42" t="n"/>
      <c r="AL241" s="42" t="n"/>
      <c r="AM241" s="42" t="n"/>
      <c r="AN241" s="42" t="n"/>
      <c r="AO241" s="42" t="n"/>
      <c r="AP241" s="42" t="n"/>
      <c r="AQ241" s="42" t="n"/>
      <c r="AR241" s="42" t="n"/>
      <c r="AS241" s="42" t="n"/>
      <c r="AT241" s="42" t="n"/>
      <c r="AU241" s="42" t="n"/>
      <c r="AV241" s="42" t="n"/>
      <c r="AW241" s="42" t="n"/>
      <c r="AX241" s="42" t="n"/>
      <c r="AY241" s="42" t="n"/>
      <c r="AZ241" s="42" t="n"/>
      <c r="BA241" s="42" t="n"/>
      <c r="BB241" s="42" t="n"/>
      <c r="BC241" s="42" t="n"/>
      <c r="BD241" s="42" t="n"/>
      <c r="BE241" s="42" t="n"/>
      <c r="BF241" s="42" t="n"/>
      <c r="BG241" s="42" t="n"/>
      <c r="BH241" s="42" t="n"/>
      <c r="BI241" s="42" t="n"/>
      <c r="BJ241" s="42" t="n"/>
      <c r="BK241" s="42" t="n"/>
      <c r="BL241" s="42" t="n"/>
      <c r="BM241" s="42" t="n"/>
      <c r="BN241" s="42" t="n"/>
      <c r="BO241" s="42" t="n"/>
      <c r="BP241" s="42" t="n"/>
      <c r="BQ241" s="42" t="n"/>
      <c r="BR241" s="42" t="n"/>
      <c r="BS241" s="42" t="n"/>
      <c r="BT241" s="42" t="n"/>
      <c r="BU241" s="42" t="n"/>
      <c r="BV241" s="42" t="n"/>
      <c r="BW241" s="42" t="n"/>
      <c r="BX241" s="42" t="n"/>
      <c r="BY241" s="42" t="n"/>
      <c r="BZ241" s="42" t="n"/>
      <c r="CA241" s="42" t="n"/>
      <c r="CB241" s="42" t="n"/>
      <c r="CC241" s="42" t="n"/>
      <c r="CD241" s="42" t="n"/>
      <c r="CE241" s="42" t="n"/>
      <c r="CF241" s="42" t="n"/>
      <c r="CG241" s="42" t="n"/>
      <c r="CH241" s="42" t="n"/>
      <c r="CI241" s="42" t="n"/>
      <c r="CJ241" s="42" t="n"/>
      <c r="CK241" s="42" t="n"/>
      <c r="CL241" s="42" t="n"/>
      <c r="CM241" s="42" t="n"/>
      <c r="CN241" s="42" t="n"/>
      <c r="CO241" s="42" t="n"/>
      <c r="CP241" s="42" t="n"/>
      <c r="CQ241" s="42" t="n"/>
      <c r="CR241" s="42" t="n"/>
      <c r="CS241" s="42" t="n"/>
      <c r="CT241" s="42" t="n"/>
      <c r="CU241" s="42" t="n"/>
      <c r="CV241" s="42" t="n"/>
      <c r="CW241" s="42" t="n"/>
      <c r="CX241" s="42" t="n"/>
      <c r="CY241" s="42" t="n"/>
    </row>
    <row r="242" hidden="1" outlineLevel="1" customFormat="1" s="66">
      <c r="A242" s="37" t="n"/>
      <c r="B242" s="37" t="n"/>
      <c r="C242" s="67" t="inlineStr">
        <is>
          <t>Treasury share $ repurchases</t>
        </is>
      </c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  <c r="AA242" s="42" t="n"/>
      <c r="AB242" s="42" t="n"/>
      <c r="AC242" s="42" t="n"/>
      <c r="AD242" s="42" t="n"/>
      <c r="AE242" s="42" t="n"/>
      <c r="AF242" s="42" t="n"/>
      <c r="AG242" s="42" t="n"/>
      <c r="AH242" s="11" t="n"/>
      <c r="AI242" s="11" t="n"/>
      <c r="AJ242" s="11" t="n"/>
      <c r="AK242" s="11" t="n"/>
      <c r="AL242" s="42" t="n"/>
      <c r="AM242" s="11" t="n"/>
      <c r="AN242" s="11" t="n"/>
      <c r="AO242" s="11" t="n"/>
      <c r="AP242" s="11" t="n"/>
      <c r="AQ242" s="42" t="n"/>
      <c r="AR242" s="11" t="n"/>
      <c r="AS242" s="11" t="n"/>
      <c r="AT242" s="11" t="n"/>
      <c r="AU242" s="11" t="n"/>
      <c r="AV242" s="42" t="n"/>
      <c r="AW242" s="11" t="n"/>
      <c r="AX242" s="11" t="n"/>
      <c r="AY242" s="11" t="n"/>
      <c r="AZ242" s="11" t="n"/>
      <c r="BA242" s="42" t="n"/>
      <c r="BB242" s="11" t="n"/>
      <c r="BC242" s="11" t="n"/>
      <c r="BD242" s="11" t="n"/>
      <c r="BE242" s="11" t="n"/>
      <c r="BF242" s="42" t="n"/>
      <c r="BG242" s="11" t="n"/>
      <c r="BH242" s="11" t="n"/>
      <c r="BI242" s="11" t="n"/>
      <c r="BJ242" s="11" t="n"/>
      <c r="BK242" s="42" t="n"/>
      <c r="BL242" s="11" t="n"/>
      <c r="BM242" s="11" t="n"/>
      <c r="BN242" s="11" t="n"/>
      <c r="BO242" s="11" t="n"/>
      <c r="BP242" s="42" t="n"/>
      <c r="BQ242" s="11" t="n"/>
      <c r="BR242" s="11" t="n"/>
      <c r="BS242" s="11" t="n"/>
      <c r="BT242" s="11" t="n"/>
      <c r="BU242" s="42" t="n"/>
      <c r="BV242" s="11" t="n"/>
      <c r="BW242" s="11" t="n"/>
      <c r="BX242" s="11" t="n"/>
      <c r="BY242" s="11" t="n"/>
      <c r="BZ242" s="42" t="n"/>
      <c r="CA242" s="11" t="n"/>
      <c r="CB242" s="11" t="n"/>
      <c r="CC242" s="11" t="n"/>
      <c r="CD242" s="11" t="n"/>
      <c r="CE242" s="42" t="n"/>
      <c r="CF242" s="11" t="n"/>
      <c r="CG242" s="11" t="n"/>
      <c r="CH242" s="11" t="n"/>
      <c r="CI242" s="11" t="n"/>
      <c r="CJ242" s="42" t="n"/>
      <c r="CK242" s="11" t="n"/>
      <c r="CL242" s="11" t="n"/>
      <c r="CM242" s="11" t="n"/>
      <c r="CN242" s="11" t="n"/>
      <c r="CO242" s="42" t="n"/>
      <c r="CP242" s="11" t="n"/>
      <c r="CQ242" s="11" t="n"/>
      <c r="CR242" s="11" t="n"/>
      <c r="CS242" s="11" t="n"/>
      <c r="CT242" s="42" t="n"/>
      <c r="CU242" s="11" t="n"/>
      <c r="CV242" s="11" t="n"/>
      <c r="CW242" s="11" t="n"/>
      <c r="CX242" s="11" t="n"/>
      <c r="CY242" s="42" t="n"/>
    </row>
    <row r="243" hidden="1" outlineLevel="1" customFormat="1" s="66">
      <c r="A243" s="37" t="n"/>
      <c r="B243" s="37" t="n"/>
      <c r="C243" s="67" t="inlineStr">
        <is>
          <t>Value of shares issued</t>
        </is>
      </c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11" t="n"/>
      <c r="AI243" s="11" t="n"/>
      <c r="AJ243" s="11" t="n"/>
      <c r="AK243" s="11" t="n"/>
      <c r="AL243" s="42" t="n"/>
      <c r="AM243" s="11" t="n"/>
      <c r="AN243" s="11" t="n"/>
      <c r="AO243" s="11" t="n"/>
      <c r="AP243" s="11" t="n"/>
      <c r="AQ243" s="42" t="n"/>
      <c r="AR243" s="11" t="n"/>
      <c r="AS243" s="11" t="n"/>
      <c r="AT243" s="11" t="n"/>
      <c r="AU243" s="11" t="n"/>
      <c r="AV243" s="42" t="n"/>
      <c r="AW243" s="11" t="n"/>
      <c r="AX243" s="11" t="n"/>
      <c r="AY243" s="11" t="n"/>
      <c r="AZ243" s="11" t="n"/>
      <c r="BA243" s="42" t="n"/>
      <c r="BB243" s="11" t="n"/>
      <c r="BC243" s="11" t="n"/>
      <c r="BD243" s="11" t="n"/>
      <c r="BE243" s="11" t="n"/>
      <c r="BF243" s="42" t="n"/>
      <c r="BG243" s="11" t="n"/>
      <c r="BH243" s="11" t="n"/>
      <c r="BI243" s="11" t="n"/>
      <c r="BJ243" s="11" t="n"/>
      <c r="BK243" s="42" t="n"/>
      <c r="BL243" s="11" t="n"/>
      <c r="BM243" s="11" t="n"/>
      <c r="BN243" s="11" t="n"/>
      <c r="BO243" s="11" t="n"/>
      <c r="BP243" s="42" t="n"/>
      <c r="BQ243" s="11" t="n"/>
      <c r="BR243" s="11" t="n"/>
      <c r="BS243" s="11" t="n"/>
      <c r="BT243" s="11" t="n"/>
      <c r="BU243" s="42" t="n"/>
      <c r="BV243" s="11" t="n"/>
      <c r="BW243" s="11" t="n"/>
      <c r="BX243" s="11" t="n"/>
      <c r="BY243" s="11" t="n"/>
      <c r="BZ243" s="42" t="n"/>
      <c r="CA243" s="11" t="n"/>
      <c r="CB243" s="11" t="n"/>
      <c r="CC243" s="11" t="n"/>
      <c r="CD243" s="11" t="n"/>
      <c r="CE243" s="42" t="n"/>
      <c r="CF243" s="11" t="n"/>
      <c r="CG243" s="11" t="n"/>
      <c r="CH243" s="11" t="n"/>
      <c r="CI243" s="11" t="n"/>
      <c r="CJ243" s="42" t="n"/>
      <c r="CK243" s="11" t="n"/>
      <c r="CL243" s="11" t="n"/>
      <c r="CM243" s="11" t="n"/>
      <c r="CN243" s="11" t="n"/>
      <c r="CO243" s="42" t="n"/>
      <c r="CP243" s="11" t="n"/>
      <c r="CQ243" s="11" t="n"/>
      <c r="CR243" s="11" t="n"/>
      <c r="CS243" s="11" t="n"/>
      <c r="CT243" s="42" t="n"/>
      <c r="CU243" s="11" t="n"/>
      <c r="CV243" s="11" t="n"/>
      <c r="CW243" s="11" t="n"/>
      <c r="CX243" s="11" t="n"/>
      <c r="CY243" s="42" t="n"/>
    </row>
    <row r="244" hidden="1" outlineLevel="1" customFormat="1" s="66">
      <c r="A244" s="37" t="n"/>
      <c r="B244" s="37" t="n"/>
      <c r="C244" s="67" t="inlineStr">
        <is>
          <t>Expected average share price</t>
        </is>
      </c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  <c r="AG244" s="42" t="n"/>
      <c r="AH244" s="68">
        <f>AF244*(1+AH245)</f>
        <v>0</v>
      </c>
      <c r="AI244" s="68">
        <f>AH244*(1+AI245)</f>
        <v>0</v>
      </c>
      <c r="AJ244" s="68">
        <f>AH244*(1+AJ245)</f>
        <v>0</v>
      </c>
      <c r="AK244" s="68">
        <f>AJ244*(1+AK245)</f>
        <v>0</v>
      </c>
      <c r="AL244" s="42" t="n"/>
      <c r="AM244" s="68">
        <f>AK244*(1+AM245)</f>
        <v>0</v>
      </c>
      <c r="AN244" s="68">
        <f>AM244*(1+AN245)</f>
        <v>0</v>
      </c>
      <c r="AO244" s="68">
        <f>AM244*(1+AO245)</f>
        <v>0</v>
      </c>
      <c r="AP244" s="68">
        <f>AO244*(1+AP245)</f>
        <v>0</v>
      </c>
      <c r="AQ244" s="42" t="n"/>
      <c r="AR244" s="68">
        <f>AP244*(1+AR245)</f>
        <v>0</v>
      </c>
      <c r="AS244" s="68">
        <f>AR244*(1+AS245)</f>
        <v>0</v>
      </c>
      <c r="AT244" s="68">
        <f>AR244*(1+AT245)</f>
        <v>0</v>
      </c>
      <c r="AU244" s="68">
        <f>AT244*(1+AU245)</f>
        <v>0</v>
      </c>
      <c r="AV244" s="42" t="n"/>
      <c r="AW244" s="68">
        <f>AU244*(1+AW245)</f>
        <v>0</v>
      </c>
      <c r="AX244" s="68">
        <f>AW244*(1+AX245)</f>
        <v>0</v>
      </c>
      <c r="AY244" s="68">
        <f>AW244*(1+AY245)</f>
        <v>0</v>
      </c>
      <c r="AZ244" s="68">
        <f>AY244*(1+AZ245)</f>
        <v>0</v>
      </c>
      <c r="BA244" s="42" t="n"/>
      <c r="BB244" s="68">
        <f>AZ244*(1+BB245)</f>
        <v>0</v>
      </c>
      <c r="BC244" s="68">
        <f>BB244*(1+BC245)</f>
        <v>0</v>
      </c>
      <c r="BD244" s="68">
        <f>BB244*(1+BD245)</f>
        <v>0</v>
      </c>
      <c r="BE244" s="68">
        <f>BD244*(1+BE245)</f>
        <v>0</v>
      </c>
      <c r="BF244" s="42" t="n"/>
      <c r="BG244" s="68" t="n"/>
      <c r="BH244" s="68" t="n"/>
      <c r="BI244" s="68" t="n"/>
      <c r="BJ244" s="68" t="n"/>
      <c r="BK244" s="42" t="n"/>
      <c r="BL244" s="68" t="n"/>
      <c r="BM244" s="68" t="n"/>
      <c r="BN244" s="68" t="n"/>
      <c r="BO244" s="68" t="n"/>
      <c r="BP244" s="42" t="n"/>
      <c r="BQ244" s="68" t="n"/>
      <c r="BR244" s="68" t="n"/>
      <c r="BS244" s="68" t="n"/>
      <c r="BT244" s="68" t="n"/>
      <c r="BU244" s="42" t="n"/>
      <c r="BV244" s="68" t="n"/>
      <c r="BW244" s="68" t="n"/>
      <c r="BX244" s="68" t="n"/>
      <c r="BY244" s="68" t="n"/>
      <c r="BZ244" s="42" t="n"/>
      <c r="CA244" s="68" t="n"/>
      <c r="CB244" s="68" t="n"/>
      <c r="CC244" s="68" t="n"/>
      <c r="CD244" s="68" t="n"/>
      <c r="CE244" s="42" t="n"/>
      <c r="CF244" s="68" t="n"/>
      <c r="CG244" s="68" t="n"/>
      <c r="CH244" s="68" t="n"/>
      <c r="CI244" s="68" t="n"/>
      <c r="CJ244" s="42" t="n"/>
      <c r="CK244" s="68" t="n"/>
      <c r="CL244" s="68" t="n"/>
      <c r="CM244" s="68" t="n"/>
      <c r="CN244" s="68" t="n"/>
      <c r="CO244" s="42" t="n"/>
      <c r="CP244" s="68" t="n"/>
      <c r="CQ244" s="68" t="n"/>
      <c r="CR244" s="68" t="n"/>
      <c r="CS244" s="68" t="n"/>
      <c r="CT244" s="42" t="n"/>
      <c r="CU244" s="68" t="n"/>
      <c r="CV244" s="68" t="n"/>
      <c r="CW244" s="68" t="n"/>
      <c r="CX244" s="68" t="n"/>
      <c r="CY244" s="42" t="n"/>
    </row>
    <row r="245" hidden="1" outlineLevel="1" customFormat="1" s="66">
      <c r="A245" s="37" t="n"/>
      <c r="B245" s="37" t="n"/>
      <c r="C245" s="67" t="inlineStr">
        <is>
          <t>Consensus EPS growth</t>
        </is>
      </c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  <c r="AG245" s="42" t="n"/>
      <c r="AH245" s="58">
        <f>$AL$250</f>
        <v>0</v>
      </c>
      <c r="AI245" s="58">
        <f>$AL$250</f>
        <v>0</v>
      </c>
      <c r="AJ245" s="58">
        <f>$AL$250</f>
        <v>0</v>
      </c>
      <c r="AK245" s="58">
        <f>$AL$250</f>
        <v>0</v>
      </c>
      <c r="AL245" s="42" t="n"/>
      <c r="AM245" s="58">
        <f>$AL$250</f>
        <v>0</v>
      </c>
      <c r="AN245" s="58">
        <f>$AL$250</f>
        <v>0</v>
      </c>
      <c r="AO245" s="58">
        <f>$AL$250</f>
        <v>0</v>
      </c>
      <c r="AP245" s="58">
        <f>$AL$250</f>
        <v>0</v>
      </c>
      <c r="AQ245" s="42" t="n"/>
      <c r="AR245" s="58">
        <f>$AL$250</f>
        <v>0</v>
      </c>
      <c r="AS245" s="58">
        <f>$AL$250</f>
        <v>0</v>
      </c>
      <c r="AT245" s="58">
        <f>$AL$250</f>
        <v>0</v>
      </c>
      <c r="AU245" s="58">
        <f>$AL$250</f>
        <v>0</v>
      </c>
      <c r="AV245" s="42" t="n"/>
      <c r="AW245" s="58">
        <f>$AL$250</f>
        <v>0</v>
      </c>
      <c r="AX245" s="58">
        <f>$AL$250</f>
        <v>0</v>
      </c>
      <c r="AY245" s="58">
        <f>$AL$250</f>
        <v>0</v>
      </c>
      <c r="AZ245" s="58">
        <f>$AL$250</f>
        <v>0</v>
      </c>
      <c r="BA245" s="42" t="n"/>
      <c r="BB245" s="58">
        <f>$AL$250</f>
        <v>0</v>
      </c>
      <c r="BC245" s="58">
        <f>$AL$250</f>
        <v>0</v>
      </c>
      <c r="BD245" s="58">
        <f>$AL$250</f>
        <v>0</v>
      </c>
      <c r="BE245" s="58">
        <f>$AL$250</f>
        <v>0</v>
      </c>
      <c r="BF245" s="42" t="n"/>
      <c r="BG245" s="58" t="n"/>
      <c r="BH245" s="58" t="n"/>
      <c r="BI245" s="58" t="n"/>
      <c r="BJ245" s="58" t="n"/>
      <c r="BK245" s="42" t="n"/>
      <c r="BL245" s="58" t="n"/>
      <c r="BM245" s="58" t="n"/>
      <c r="BN245" s="58" t="n"/>
      <c r="BO245" s="58" t="n"/>
      <c r="BP245" s="42" t="n"/>
      <c r="BQ245" s="58" t="n"/>
      <c r="BR245" s="58" t="n"/>
      <c r="BS245" s="58" t="n"/>
      <c r="BT245" s="58" t="n"/>
      <c r="BU245" s="42" t="n"/>
      <c r="BV245" s="58" t="n"/>
      <c r="BW245" s="58" t="n"/>
      <c r="BX245" s="58" t="n"/>
      <c r="BY245" s="58" t="n"/>
      <c r="BZ245" s="42" t="n"/>
      <c r="CA245" s="58" t="n"/>
      <c r="CB245" s="58" t="n"/>
      <c r="CC245" s="58" t="n"/>
      <c r="CD245" s="58" t="n"/>
      <c r="CE245" s="42" t="n"/>
      <c r="CF245" s="58" t="n"/>
      <c r="CG245" s="58" t="n"/>
      <c r="CH245" s="58" t="n"/>
      <c r="CI245" s="58" t="n"/>
      <c r="CJ245" s="42" t="n"/>
      <c r="CK245" s="58" t="n"/>
      <c r="CL245" s="58" t="n"/>
      <c r="CM245" s="58" t="n"/>
      <c r="CN245" s="58" t="n"/>
      <c r="CO245" s="42" t="n"/>
      <c r="CP245" s="58" t="n"/>
      <c r="CQ245" s="58" t="n"/>
      <c r="CR245" s="58" t="n"/>
      <c r="CS245" s="58" t="n"/>
      <c r="CT245" s="42" t="n"/>
      <c r="CU245" s="58" t="n"/>
      <c r="CV245" s="58" t="n"/>
      <c r="CW245" s="58" t="n"/>
      <c r="CX245" s="58" t="n"/>
      <c r="CY245" s="42" t="n"/>
    </row>
    <row r="246" hidden="1" outlineLevel="1" customFormat="1" s="66">
      <c r="A246" s="37" t="n"/>
      <c r="B246" s="37" t="n"/>
      <c r="C246" s="67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  <c r="AG246" s="42" t="n"/>
      <c r="AH246" s="12" t="n"/>
      <c r="AI246" s="12" t="n"/>
      <c r="AJ246" s="12" t="n"/>
      <c r="AK246" s="12" t="n"/>
      <c r="AL246" s="42" t="n"/>
      <c r="AM246" s="12" t="n"/>
      <c r="AN246" s="12" t="n"/>
      <c r="AO246" s="12" t="n"/>
      <c r="AP246" s="12" t="n"/>
      <c r="AQ246" s="42" t="n"/>
      <c r="AR246" s="12" t="n"/>
      <c r="AS246" s="12" t="n"/>
      <c r="AT246" s="12" t="n"/>
      <c r="AU246" s="12" t="n"/>
      <c r="AV246" s="42" t="n"/>
      <c r="AW246" s="12" t="n"/>
      <c r="AX246" s="12" t="n"/>
      <c r="AY246" s="12" t="n"/>
      <c r="AZ246" s="12" t="n"/>
      <c r="BA246" s="42" t="n"/>
      <c r="BB246" s="12" t="n"/>
      <c r="BC246" s="12" t="n"/>
      <c r="BD246" s="12" t="n"/>
      <c r="BE246" s="12" t="n"/>
      <c r="BF246" s="42" t="n"/>
      <c r="BG246" s="12" t="n"/>
      <c r="BH246" s="12" t="n"/>
      <c r="BI246" s="12" t="n"/>
      <c r="BJ246" s="12" t="n"/>
      <c r="BK246" s="42" t="n"/>
      <c r="BL246" s="12" t="n"/>
      <c r="BM246" s="12" t="n"/>
      <c r="BN246" s="12" t="n"/>
      <c r="BO246" s="12" t="n"/>
      <c r="BP246" s="42" t="n"/>
      <c r="BQ246" s="12" t="n"/>
      <c r="BR246" s="12" t="n"/>
      <c r="BS246" s="12" t="n"/>
      <c r="BT246" s="12" t="n"/>
      <c r="BU246" s="42" t="n"/>
      <c r="BV246" s="12" t="n"/>
      <c r="BW246" s="12" t="n"/>
      <c r="BX246" s="12" t="n"/>
      <c r="BY246" s="12" t="n"/>
      <c r="BZ246" s="42" t="n"/>
      <c r="CA246" s="12" t="n"/>
      <c r="CB246" s="12" t="n"/>
      <c r="CC246" s="12" t="n"/>
      <c r="CD246" s="12" t="n"/>
      <c r="CE246" s="42" t="n"/>
      <c r="CF246" s="12" t="n"/>
      <c r="CG246" s="12" t="n"/>
      <c r="CH246" s="12" t="n"/>
      <c r="CI246" s="12" t="n"/>
      <c r="CJ246" s="42" t="n"/>
      <c r="CK246" s="12" t="n"/>
      <c r="CL246" s="12" t="n"/>
      <c r="CM246" s="12" t="n"/>
      <c r="CN246" s="12" t="n"/>
      <c r="CO246" s="42" t="n"/>
      <c r="CP246" s="12" t="n"/>
      <c r="CQ246" s="12" t="n"/>
      <c r="CR246" s="12" t="n"/>
      <c r="CS246" s="12" t="n"/>
      <c r="CT246" s="42" t="n"/>
      <c r="CU246" s="12" t="n"/>
      <c r="CV246" s="12" t="n"/>
      <c r="CW246" s="12" t="n"/>
      <c r="CX246" s="12" t="n"/>
      <c r="CY246" s="42" t="n"/>
    </row>
    <row r="247" hidden="1" outlineLevel="1" customFormat="1" s="66">
      <c r="A247" s="37" t="n"/>
      <c r="B247" s="37" t="n"/>
      <c r="C247" s="67" t="inlineStr">
        <is>
          <t>Shares repurchased</t>
        </is>
      </c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69" t="str">
        <f>IFERROR(-AH242/AH244,"")</f>
        <v/>
      </c>
      <c r="AI247" s="69" t="str">
        <f>IFERROR(-AI242/AI244,"")</f>
        <v/>
      </c>
      <c r="AJ247" s="69" t="str">
        <f>IFERROR(-AJ242/AJ244,"")</f>
        <v/>
      </c>
      <c r="AK247" s="69" t="str">
        <f>IFERROR(-AK242/AK244,"")</f>
        <v/>
      </c>
      <c r="AL247" s="42" t="n"/>
      <c r="AM247" s="69" t="str">
        <f>IFERROR(-AM242/AM244,"")</f>
        <v/>
      </c>
      <c r="AN247" s="69" t="str">
        <f>IFERROR(-AN242/AN244,"")</f>
        <v/>
      </c>
      <c r="AO247" s="69" t="str">
        <f>IFERROR(-AO242/AO244,"")</f>
        <v/>
      </c>
      <c r="AP247" s="69" t="str">
        <f>IFERROR(-AP242/AP244,"")</f>
        <v/>
      </c>
      <c r="AQ247" s="42" t="n"/>
      <c r="AR247" s="69" t="str">
        <f>IFERROR(-AR242/AR244,"")</f>
        <v/>
      </c>
      <c r="AS247" s="69" t="str">
        <f>IFERROR(-AS242/AS244,"")</f>
        <v/>
      </c>
      <c r="AT247" s="69" t="str">
        <f>IFERROR(-AT242/AT244,"")</f>
        <v/>
      </c>
      <c r="AU247" s="69" t="str">
        <f>IFERROR(-AU242/AU244,"")</f>
        <v/>
      </c>
      <c r="AV247" s="42" t="n"/>
      <c r="AW247" s="69" t="str">
        <f>IFERROR(-AW242/AW244,"")</f>
        <v/>
      </c>
      <c r="AX247" s="69" t="str">
        <f>IFERROR(-AX242/AX244,"")</f>
        <v/>
      </c>
      <c r="AY247" s="69" t="str">
        <f>IFERROR(-AY242/AY244,"")</f>
        <v/>
      </c>
      <c r="AZ247" s="69" t="str">
        <f>IFERROR(-AZ242/AZ244,"")</f>
        <v/>
      </c>
      <c r="BA247" s="42" t="n"/>
      <c r="BB247" s="69" t="str">
        <f>IFERROR(-BB242/BB244,"")</f>
        <v/>
      </c>
      <c r="BC247" s="69" t="str">
        <f>IFERROR(-BC242/BC244,"")</f>
        <v/>
      </c>
      <c r="BD247" s="69" t="str">
        <f>IFERROR(-BD242/BD244,"")</f>
        <v/>
      </c>
      <c r="BE247" s="69" t="str">
        <f>IFERROR(-BE242/BE244,"")</f>
        <v/>
      </c>
      <c r="BF247" s="42" t="n"/>
      <c r="BG247" s="69" t="n"/>
      <c r="BH247" s="69" t="n"/>
      <c r="BI247" s="69" t="n"/>
      <c r="BJ247" s="69" t="n"/>
      <c r="BK247" s="42" t="n"/>
      <c r="BL247" s="69" t="n"/>
      <c r="BM247" s="69" t="n"/>
      <c r="BN247" s="69" t="n"/>
      <c r="BO247" s="69" t="n"/>
      <c r="BP247" s="42" t="n"/>
      <c r="BQ247" s="69" t="n"/>
      <c r="BR247" s="69" t="n"/>
      <c r="BS247" s="69" t="n"/>
      <c r="BT247" s="69" t="n"/>
      <c r="BU247" s="42" t="n"/>
      <c r="BV247" s="69" t="n"/>
      <c r="BW247" s="69" t="n"/>
      <c r="BX247" s="69" t="n"/>
      <c r="BY247" s="69" t="n"/>
      <c r="BZ247" s="42" t="n"/>
      <c r="CA247" s="69" t="n"/>
      <c r="CB247" s="69" t="n"/>
      <c r="CC247" s="69" t="n"/>
      <c r="CD247" s="69" t="n"/>
      <c r="CE247" s="42" t="n"/>
      <c r="CF247" s="69" t="n"/>
      <c r="CG247" s="69" t="n"/>
      <c r="CH247" s="69" t="n"/>
      <c r="CI247" s="69" t="n"/>
      <c r="CJ247" s="42" t="n"/>
      <c r="CK247" s="69" t="n"/>
      <c r="CL247" s="69" t="n"/>
      <c r="CM247" s="69" t="n"/>
      <c r="CN247" s="69" t="n"/>
      <c r="CO247" s="42" t="n"/>
      <c r="CP247" s="69" t="n"/>
      <c r="CQ247" s="69" t="n"/>
      <c r="CR247" s="69" t="n"/>
      <c r="CS247" s="69" t="n"/>
      <c r="CT247" s="42" t="n"/>
      <c r="CU247" s="69" t="n"/>
      <c r="CV247" s="69" t="n"/>
      <c r="CW247" s="69" t="n"/>
      <c r="CX247" s="69" t="n"/>
      <c r="CY247" s="42" t="n"/>
    </row>
    <row r="248" hidden="1" outlineLevel="1" customFormat="1" s="66">
      <c r="A248" s="37" t="n"/>
      <c r="B248" s="37" t="n"/>
      <c r="C248" s="67" t="inlineStr">
        <is>
          <t>Shares issued</t>
        </is>
      </c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9" t="n"/>
      <c r="AG248" s="42" t="n"/>
      <c r="AH248" s="69" t="str">
        <f>IFERROR(AH243/AH244,"")</f>
        <v/>
      </c>
      <c r="AI248" s="69" t="str">
        <f>IFERROR(AI243/AI244,"")</f>
        <v/>
      </c>
      <c r="AJ248" s="69" t="str">
        <f>IFERROR(AJ243/AJ244,"")</f>
        <v/>
      </c>
      <c r="AK248" s="69" t="str">
        <f>IFERROR(AK243/AK244,"")</f>
        <v/>
      </c>
      <c r="AL248" s="42" t="n"/>
      <c r="AM248" s="69" t="str">
        <f>IFERROR(AM243/AM244,"")</f>
        <v/>
      </c>
      <c r="AN248" s="69" t="str">
        <f>IFERROR(AN243/AN244,"")</f>
        <v/>
      </c>
      <c r="AO248" s="69" t="str">
        <f>IFERROR(AO243/AO244,"")</f>
        <v/>
      </c>
      <c r="AP248" s="69" t="str">
        <f>IFERROR(AP243/AP244,"")</f>
        <v/>
      </c>
      <c r="AQ248" s="42" t="n"/>
      <c r="AR248" s="69" t="str">
        <f>IFERROR(AR243/AR244,"")</f>
        <v/>
      </c>
      <c r="AS248" s="69" t="str">
        <f>IFERROR(AS243/AS244,"")</f>
        <v/>
      </c>
      <c r="AT248" s="69" t="str">
        <f>IFERROR(AT243/AT244,"")</f>
        <v/>
      </c>
      <c r="AU248" s="69" t="str">
        <f>IFERROR(AU243/AU244,"")</f>
        <v/>
      </c>
      <c r="AV248" s="42" t="n"/>
      <c r="AW248" s="69" t="str">
        <f>IFERROR(AW243/AW244,"")</f>
        <v/>
      </c>
      <c r="AX248" s="69" t="str">
        <f>IFERROR(AX243/AX244,"")</f>
        <v/>
      </c>
      <c r="AY248" s="69" t="str">
        <f>IFERROR(AY243/AY244,"")</f>
        <v/>
      </c>
      <c r="AZ248" s="69" t="str">
        <f>IFERROR(AZ243/AZ244,"")</f>
        <v/>
      </c>
      <c r="BA248" s="42" t="n"/>
      <c r="BB248" s="69" t="str">
        <f>IFERROR(BB243/BB244,"")</f>
        <v/>
      </c>
      <c r="BC248" s="69" t="str">
        <f>IFERROR(BC243/BC244,"")</f>
        <v/>
      </c>
      <c r="BD248" s="69" t="str">
        <f>IFERROR(BD243/BD244,"")</f>
        <v/>
      </c>
      <c r="BE248" s="69" t="str">
        <f>IFERROR(BE243/BE244,"")</f>
        <v/>
      </c>
      <c r="BF248" s="42" t="n"/>
      <c r="BG248" s="69" t="n"/>
      <c r="BH248" s="69" t="n"/>
      <c r="BI248" s="69" t="n"/>
      <c r="BJ248" s="69" t="n"/>
      <c r="BK248" s="42" t="n"/>
      <c r="BL248" s="69" t="n"/>
      <c r="BM248" s="69" t="n"/>
      <c r="BN248" s="69" t="n"/>
      <c r="BO248" s="69" t="n"/>
      <c r="BP248" s="42" t="n"/>
      <c r="BQ248" s="69" t="n"/>
      <c r="BR248" s="69" t="n"/>
      <c r="BS248" s="69" t="n"/>
      <c r="BT248" s="69" t="n"/>
      <c r="BU248" s="42" t="n"/>
      <c r="BV248" s="69" t="n"/>
      <c r="BW248" s="69" t="n"/>
      <c r="BX248" s="69" t="n"/>
      <c r="BY248" s="69" t="n"/>
      <c r="BZ248" s="42" t="n"/>
      <c r="CA248" s="69" t="n"/>
      <c r="CB248" s="69" t="n"/>
      <c r="CC248" s="69" t="n"/>
      <c r="CD248" s="69" t="n"/>
      <c r="CE248" s="42" t="n"/>
      <c r="CF248" s="69" t="n"/>
      <c r="CG248" s="69" t="n"/>
      <c r="CH248" s="69" t="n"/>
      <c r="CI248" s="69" t="n"/>
      <c r="CJ248" s="42" t="n"/>
      <c r="CK248" s="69" t="n"/>
      <c r="CL248" s="69" t="n"/>
      <c r="CM248" s="69" t="n"/>
      <c r="CN248" s="69" t="n"/>
      <c r="CO248" s="42" t="n"/>
      <c r="CP248" s="69" t="n"/>
      <c r="CQ248" s="69" t="n"/>
      <c r="CR248" s="69" t="n"/>
      <c r="CS248" s="69" t="n"/>
      <c r="CT248" s="42" t="n"/>
      <c r="CU248" s="69" t="n"/>
      <c r="CV248" s="69" t="n"/>
      <c r="CW248" s="69" t="n"/>
      <c r="CX248" s="69" t="n"/>
      <c r="CY248" s="42" t="n"/>
    </row>
    <row r="249" hidden="1" outlineLevel="1" customFormat="1" s="66">
      <c r="A249" s="37" t="n"/>
      <c r="B249" s="37" t="n"/>
      <c r="C249" s="67" t="inlineStr">
        <is>
          <t>End of period basic shares outstanding</t>
        </is>
      </c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  <c r="AG249" s="42" t="n"/>
      <c r="AH249" s="3" t="str">
        <f>IFERROR(AG249+AH248-AH247,"")</f>
        <v/>
      </c>
      <c r="AI249" s="3" t="str">
        <f>IFERROR(AH249+AI248-AI247,"")</f>
        <v/>
      </c>
      <c r="AJ249" s="69" t="str">
        <f>IFERROR(AH249+AJ248-AJ247,"")</f>
        <v/>
      </c>
      <c r="AK249" s="69" t="str">
        <f>IFERROR(AJ249+AK248-AK247,"")</f>
        <v/>
      </c>
      <c r="AL249" s="42" t="n"/>
      <c r="AM249" s="3" t="str">
        <f>IFERROR(AK249+AM248-AM247,"")</f>
        <v/>
      </c>
      <c r="AN249" s="3" t="str">
        <f>IFERROR(AM249+AN248-AN247,"")</f>
        <v/>
      </c>
      <c r="AO249" s="69" t="str">
        <f>IFERROR(AM249+AO248-AO247,"")</f>
        <v/>
      </c>
      <c r="AP249" s="69" t="str">
        <f>IFERROR(AO249+AP248-AP247,"")</f>
        <v/>
      </c>
      <c r="AQ249" s="42" t="n"/>
      <c r="AR249" s="3" t="str">
        <f>IFERROR(AP249+AR248-AR247,"")</f>
        <v/>
      </c>
      <c r="AS249" s="3" t="str">
        <f>IFERROR(AR249+AS248-AS247,"")</f>
        <v/>
      </c>
      <c r="AT249" s="69" t="str">
        <f>IFERROR(AR249+AT248-AT247,"")</f>
        <v/>
      </c>
      <c r="AU249" s="69" t="str">
        <f>IFERROR(AT249+AU248-AU247,"")</f>
        <v/>
      </c>
      <c r="AV249" s="42" t="n"/>
      <c r="AW249" s="3" t="str">
        <f>IFERROR(AU249+AW248-AW247,"")</f>
        <v/>
      </c>
      <c r="AX249" s="3" t="str">
        <f>IFERROR(AW249+AX248-AX247,"")</f>
        <v/>
      </c>
      <c r="AY249" s="69" t="str">
        <f>IFERROR(AW249+AY248-AY247,"")</f>
        <v/>
      </c>
      <c r="AZ249" s="69" t="str">
        <f>IFERROR(AY249+AZ248-AZ247,"")</f>
        <v/>
      </c>
      <c r="BA249" s="42" t="n"/>
      <c r="BB249" s="3" t="str">
        <f>IFERROR(AZ249+BB248-BB247,"")</f>
        <v/>
      </c>
      <c r="BC249" s="3" t="str">
        <f>IFERROR(BB249+BC248-BC247,"")</f>
        <v/>
      </c>
      <c r="BD249" s="69" t="str">
        <f>IFERROR(BB249+BD248-BD247,"")</f>
        <v/>
      </c>
      <c r="BE249" s="69" t="str">
        <f>IFERROR(BD249+BE248-BE247,"")</f>
        <v/>
      </c>
      <c r="BF249" s="42" t="n"/>
      <c r="BG249" s="3" t="n"/>
      <c r="BH249" s="3" t="n"/>
      <c r="BI249" s="69" t="n"/>
      <c r="BJ249" s="69" t="n"/>
      <c r="BK249" s="42" t="n"/>
      <c r="BL249" s="3" t="n"/>
      <c r="BM249" s="3" t="n"/>
      <c r="BN249" s="69" t="n"/>
      <c r="BO249" s="69" t="n"/>
      <c r="BP249" s="42" t="n"/>
      <c r="BQ249" s="3" t="n"/>
      <c r="BR249" s="3" t="n"/>
      <c r="BS249" s="69" t="n"/>
      <c r="BT249" s="69" t="n"/>
      <c r="BU249" s="42" t="n"/>
      <c r="BV249" s="3" t="n"/>
      <c r="BW249" s="3" t="n"/>
      <c r="BX249" s="69" t="n"/>
      <c r="BY249" s="69" t="n"/>
      <c r="BZ249" s="42" t="n"/>
      <c r="CA249" s="3" t="n"/>
      <c r="CB249" s="3" t="n"/>
      <c r="CC249" s="69" t="n"/>
      <c r="CD249" s="69" t="n"/>
      <c r="CE249" s="42" t="n"/>
      <c r="CF249" s="3" t="n"/>
      <c r="CG249" s="3" t="n"/>
      <c r="CH249" s="69" t="n"/>
      <c r="CI249" s="69" t="n"/>
      <c r="CJ249" s="42" t="n"/>
      <c r="CK249" s="3" t="n"/>
      <c r="CL249" s="3" t="n"/>
      <c r="CM249" s="69" t="n"/>
      <c r="CN249" s="69" t="n"/>
      <c r="CO249" s="42" t="n"/>
      <c r="CP249" s="3" t="n"/>
      <c r="CQ249" s="3" t="n"/>
      <c r="CR249" s="69" t="n"/>
      <c r="CS249" s="69" t="n"/>
      <c r="CT249" s="42" t="n"/>
      <c r="CU249" s="3" t="n"/>
      <c r="CV249" s="3" t="n"/>
      <c r="CW249" s="69" t="n"/>
      <c r="CX249" s="69" t="n"/>
      <c r="CY249" s="42" t="n"/>
    </row>
    <row r="250" hidden="1" outlineLevel="1" customFormat="1" s="66">
      <c r="A250" s="37" t="n"/>
      <c r="B250" s="37" t="n"/>
      <c r="C250" s="67" t="inlineStr">
        <is>
          <t>Weighted average basic shares outstanding</t>
        </is>
      </c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69" t="str">
        <f>IFERROR(AVERAGE(AG249,AH249),"")</f>
        <v/>
      </c>
      <c r="AI250" s="69" t="str">
        <f>IFERROR(AVERAGE(AH249,AI249),"")</f>
        <v/>
      </c>
      <c r="AJ250" s="69" t="str">
        <f>IFERROR(AVERAGE(AH249,AJ249),"")</f>
        <v/>
      </c>
      <c r="AK250" s="69" t="str">
        <f>IFERROR(AVERAGE(AJ249,AK249),"")</f>
        <v/>
      </c>
      <c r="AL250" s="42" t="n"/>
      <c r="AM250" s="69" t="str">
        <f>IFERROR(AVERAGE(AL249,AM249),"")</f>
        <v/>
      </c>
      <c r="AN250" s="69" t="str">
        <f>IFERROR(AVERAGE(AM249,AN249),"")</f>
        <v/>
      </c>
      <c r="AO250" s="69" t="str">
        <f>IFERROR(AVERAGE(AM249,AO249),"")</f>
        <v/>
      </c>
      <c r="AP250" s="69" t="str">
        <f>IFERROR(AVERAGE(AO249,AP249),"")</f>
        <v/>
      </c>
      <c r="AQ250" s="42" t="n"/>
      <c r="AR250" s="69" t="str">
        <f>IFERROR(AVERAGE(AQ249,AR249),"")</f>
        <v/>
      </c>
      <c r="AS250" s="69" t="str">
        <f>IFERROR(AVERAGE(AR249,AS249),"")</f>
        <v/>
      </c>
      <c r="AT250" s="69" t="str">
        <f>IFERROR(AVERAGE(AR249,AT249),"")</f>
        <v/>
      </c>
      <c r="AU250" s="69" t="str">
        <f>IFERROR(AVERAGE(AT249,AU249),"")</f>
        <v/>
      </c>
      <c r="AV250" s="42" t="n"/>
      <c r="AW250" s="69" t="str">
        <f>IFERROR(AVERAGE(AV249,AW249),"")</f>
        <v/>
      </c>
      <c r="AX250" s="69" t="str">
        <f>IFERROR(AVERAGE(AW249,AX249),"")</f>
        <v/>
      </c>
      <c r="AY250" s="69" t="str">
        <f>IFERROR(AVERAGE(AW249,AY249),"")</f>
        <v/>
      </c>
      <c r="AZ250" s="69" t="str">
        <f>IFERROR(AVERAGE(AY249,AZ249),"")</f>
        <v/>
      </c>
      <c r="BA250" s="42" t="n"/>
      <c r="BB250" s="69" t="str">
        <f>IFERROR(AVERAGE(BA249,BB249),"")</f>
        <v/>
      </c>
      <c r="BC250" s="69" t="str">
        <f>IFERROR(AVERAGE(BB249,BC249),"")</f>
        <v/>
      </c>
      <c r="BD250" s="69" t="str">
        <f>IFERROR(AVERAGE(BB249,BD249),"")</f>
        <v/>
      </c>
      <c r="BE250" s="69" t="str">
        <f>IFERROR(AVERAGE(BD249,BE249),"")</f>
        <v/>
      </c>
      <c r="BF250" s="42" t="n"/>
      <c r="BG250" s="69" t="n"/>
      <c r="BH250" s="69" t="n"/>
      <c r="BI250" s="69" t="n"/>
      <c r="BJ250" s="69" t="n"/>
      <c r="BK250" s="42" t="n"/>
      <c r="BL250" s="69" t="n"/>
      <c r="BM250" s="69" t="n"/>
      <c r="BN250" s="69" t="n"/>
      <c r="BO250" s="69" t="n"/>
      <c r="BP250" s="42" t="n"/>
      <c r="BQ250" s="69" t="n"/>
      <c r="BR250" s="69" t="n"/>
      <c r="BS250" s="69" t="n"/>
      <c r="BT250" s="69" t="n"/>
      <c r="BU250" s="42" t="n"/>
      <c r="BV250" s="69" t="n"/>
      <c r="BW250" s="69" t="n"/>
      <c r="BX250" s="69" t="n"/>
      <c r="BY250" s="69" t="n"/>
      <c r="BZ250" s="42" t="n"/>
      <c r="CA250" s="69" t="n"/>
      <c r="CB250" s="69" t="n"/>
      <c r="CC250" s="69" t="n"/>
      <c r="CD250" s="69" t="n"/>
      <c r="CE250" s="42" t="n"/>
      <c r="CF250" s="69" t="n"/>
      <c r="CG250" s="69" t="n"/>
      <c r="CH250" s="69" t="n"/>
      <c r="CI250" s="69" t="n"/>
      <c r="CJ250" s="42" t="n"/>
      <c r="CK250" s="69" t="n"/>
      <c r="CL250" s="69" t="n"/>
      <c r="CM250" s="69" t="n"/>
      <c r="CN250" s="69" t="n"/>
      <c r="CO250" s="42" t="n"/>
      <c r="CP250" s="69" t="n"/>
      <c r="CQ250" s="69" t="n"/>
      <c r="CR250" s="69" t="n"/>
      <c r="CS250" s="69" t="n"/>
      <c r="CT250" s="42" t="n"/>
      <c r="CU250" s="69" t="n"/>
      <c r="CV250" s="69" t="n"/>
      <c r="CW250" s="69" t="n"/>
      <c r="CX250" s="69" t="n"/>
      <c r="CY250" s="42" t="n"/>
    </row>
    <row r="251" hidden="1" outlineLevel="1" customFormat="1" s="66">
      <c r="A251" s="37" t="n"/>
      <c r="B251" s="37" t="n"/>
      <c r="C251" s="67" t="n"/>
      <c r="D251" s="42" t="n"/>
      <c r="E251" s="42" t="n"/>
      <c r="F251" s="42" t="n"/>
      <c r="G251" s="42" t="n"/>
      <c r="H251" s="12" t="n"/>
      <c r="I251" s="42" t="n"/>
      <c r="J251" s="42" t="n"/>
      <c r="K251" s="42" t="n"/>
      <c r="L251" s="42" t="n"/>
      <c r="M251" s="12" t="n"/>
      <c r="N251" s="42" t="n"/>
      <c r="O251" s="42" t="n"/>
      <c r="P251" s="42" t="n"/>
      <c r="Q251" s="42" t="n"/>
      <c r="R251" s="12" t="n"/>
      <c r="S251" s="42" t="n"/>
      <c r="T251" s="42" t="n"/>
      <c r="U251" s="42" t="n"/>
      <c r="V251" s="42" t="n"/>
      <c r="W251" s="12" t="n"/>
      <c r="X251" s="42" t="n"/>
      <c r="Y251" s="42" t="n"/>
      <c r="Z251" s="42" t="n"/>
      <c r="AA251" s="42" t="n"/>
      <c r="AB251" s="12" t="n"/>
      <c r="AC251" s="42" t="n"/>
      <c r="AD251" s="42" t="n"/>
      <c r="AE251" s="42" t="n"/>
      <c r="AF251" s="42" t="n"/>
      <c r="AG251" s="12" t="n"/>
      <c r="AH251" s="42" t="n"/>
      <c r="AI251" s="42" t="n"/>
      <c r="AJ251" s="42" t="n"/>
      <c r="AK251" s="42" t="n"/>
      <c r="AL251" s="12" t="n"/>
      <c r="AM251" s="42" t="n"/>
      <c r="AN251" s="42" t="n"/>
      <c r="AO251" s="42" t="n"/>
      <c r="AP251" s="42" t="n"/>
      <c r="AQ251" s="12" t="n"/>
      <c r="AR251" s="42" t="n"/>
      <c r="AS251" s="42" t="n"/>
      <c r="AT251" s="42" t="n"/>
      <c r="AU251" s="42" t="n"/>
      <c r="AV251" s="12" t="n"/>
      <c r="AW251" s="42" t="n"/>
      <c r="AX251" s="42" t="n"/>
      <c r="AY251" s="42" t="n"/>
      <c r="AZ251" s="42" t="n"/>
      <c r="BA251" s="12" t="n"/>
      <c r="BB251" s="42" t="n"/>
      <c r="BC251" s="42" t="n"/>
      <c r="BD251" s="42" t="n"/>
      <c r="BE251" s="42" t="n"/>
      <c r="BF251" s="12" t="n"/>
      <c r="BG251" s="42" t="n"/>
      <c r="BH251" s="42" t="n"/>
      <c r="BI251" s="42" t="n"/>
      <c r="BJ251" s="42" t="n"/>
      <c r="BK251" s="12" t="n"/>
      <c r="BL251" s="42" t="n"/>
      <c r="BM251" s="42" t="n"/>
      <c r="BN251" s="42" t="n"/>
      <c r="BO251" s="42" t="n"/>
      <c r="BP251" s="12" t="n"/>
      <c r="BQ251" s="42" t="n"/>
      <c r="BR251" s="42" t="n"/>
      <c r="BS251" s="42" t="n"/>
      <c r="BT251" s="42" t="n"/>
      <c r="BU251" s="12" t="n"/>
      <c r="BV251" s="42" t="n"/>
      <c r="BW251" s="42" t="n"/>
      <c r="BX251" s="42" t="n"/>
      <c r="BY251" s="42" t="n"/>
      <c r="BZ251" s="12" t="n"/>
      <c r="CA251" s="42" t="n"/>
      <c r="CB251" s="42" t="n"/>
      <c r="CC251" s="42" t="n"/>
      <c r="CD251" s="42" t="n"/>
      <c r="CE251" s="12" t="n"/>
      <c r="CF251" s="42" t="n"/>
      <c r="CG251" s="42" t="n"/>
      <c r="CH251" s="42" t="n"/>
      <c r="CI251" s="42" t="n"/>
      <c r="CJ251" s="12" t="n"/>
      <c r="CK251" s="42" t="n"/>
      <c r="CL251" s="42" t="n"/>
      <c r="CM251" s="42" t="n"/>
      <c r="CN251" s="42" t="n"/>
      <c r="CO251" s="12" t="n"/>
      <c r="CP251" s="42" t="n"/>
      <c r="CQ251" s="42" t="n"/>
      <c r="CR251" s="42" t="n"/>
      <c r="CS251" s="42" t="n"/>
      <c r="CT251" s="12" t="n"/>
      <c r="CU251" s="42" t="n"/>
      <c r="CV251" s="42" t="n"/>
      <c r="CW251" s="42" t="n"/>
      <c r="CX251" s="42" t="n"/>
      <c r="CY251" s="12" t="n"/>
    </row>
    <row r="252" collapsed="1">
      <c r="C252" s="14" t="inlineStr">
        <is>
          <t>Treasury stock (contra account)</t>
        </is>
      </c>
      <c r="D252" s="46" t="n"/>
      <c r="E252" s="46" t="n"/>
      <c r="F252" s="46" t="n"/>
      <c r="G252" s="46" t="n"/>
      <c r="H252" s="12" t="n"/>
      <c r="I252" s="46">
        <f>'Inputs (2)'!D44</f>
        <v>0</v>
      </c>
      <c r="J252" s="46">
        <f>'Inputs (2)'!E44</f>
        <v>0</v>
      </c>
      <c r="K252" s="46">
        <f>'Inputs (2)'!F44</f>
        <v>0</v>
      </c>
      <c r="L252" s="46">
        <f>'Inputs (2)'!G44</f>
        <v>0</v>
      </c>
      <c r="M252" s="12">
        <f>'Inputs (2)'!H44</f>
        <v>0</v>
      </c>
      <c r="N252" s="46">
        <f>'Inputs (2)'!I44</f>
        <v>0</v>
      </c>
      <c r="O252" s="46">
        <f>'Inputs (2)'!J44</f>
        <v>0</v>
      </c>
      <c r="P252" s="46">
        <f>'Inputs (2)'!K44</f>
        <v>0</v>
      </c>
      <c r="Q252" s="46">
        <f>'Inputs (2)'!L44</f>
        <v>0</v>
      </c>
      <c r="R252" s="12">
        <f>'Inputs (2)'!M44</f>
        <v>0</v>
      </c>
      <c r="S252" s="46">
        <f>'Inputs (2)'!N44</f>
        <v>0</v>
      </c>
      <c r="T252" s="46">
        <f>'Inputs (2)'!O44</f>
        <v>0</v>
      </c>
      <c r="U252" s="46">
        <f>'Inputs (2)'!P44</f>
        <v>0</v>
      </c>
      <c r="V252" s="46">
        <f>'Inputs (2)'!Q44</f>
        <v>0</v>
      </c>
      <c r="W252" s="12">
        <f>'Inputs (2)'!R44</f>
        <v>0</v>
      </c>
      <c r="X252" s="46">
        <f>'Inputs (2)'!S44</f>
        <v>0</v>
      </c>
      <c r="Y252" s="46">
        <f>'Inputs (2)'!T44</f>
        <v>0</v>
      </c>
      <c r="Z252" s="46">
        <f>'Inputs (2)'!U44</f>
        <v>0</v>
      </c>
      <c r="AA252" s="46">
        <f>'Inputs (2)'!V44</f>
        <v>0</v>
      </c>
      <c r="AB252" s="12">
        <f>'Inputs (2)'!W44</f>
        <v>0</v>
      </c>
      <c r="AC252" s="46">
        <f>'Inputs (2)'!X44</f>
        <v>0</v>
      </c>
      <c r="AD252" s="46">
        <f>'Inputs (2)'!Y44</f>
        <v>0</v>
      </c>
      <c r="AE252" s="46">
        <f>'Inputs (2)'!Z44</f>
        <v>0</v>
      </c>
      <c r="AF252" s="46">
        <f>'Inputs (2)'!AA44</f>
        <v>0</v>
      </c>
      <c r="AG252" s="12">
        <f>'Inputs (2)'!AB44</f>
        <v>0</v>
      </c>
      <c r="AH252" s="12">
        <f>'Inputs (2)'!AC44</f>
        <v>0</v>
      </c>
      <c r="AI252" s="12">
        <f>'Inputs (2)'!AD44</f>
        <v>0</v>
      </c>
      <c r="AJ252" s="12">
        <f>AI252</f>
        <v>0</v>
      </c>
      <c r="AK252" s="12">
        <f>AJ252</f>
        <v>0</v>
      </c>
      <c r="AL252" s="12">
        <f>AK252</f>
        <v>0</v>
      </c>
      <c r="AM252" s="12">
        <f>AL252</f>
        <v>0</v>
      </c>
      <c r="AN252" s="12">
        <f>AM252</f>
        <v>0</v>
      </c>
      <c r="AO252" s="12">
        <f>AN252</f>
        <v>0</v>
      </c>
      <c r="AP252" s="12">
        <f>AO252</f>
        <v>0</v>
      </c>
      <c r="AQ252" s="12">
        <f>AP252</f>
        <v>0</v>
      </c>
      <c r="AR252" s="12">
        <f>AQ252</f>
        <v>0</v>
      </c>
      <c r="AS252" s="12">
        <f>AR252</f>
        <v>0</v>
      </c>
      <c r="AT252" s="12">
        <f>AS252</f>
        <v>0</v>
      </c>
      <c r="AU252" s="12">
        <f>AT252</f>
        <v>0</v>
      </c>
      <c r="AV252" s="12">
        <f>AU252</f>
        <v>0</v>
      </c>
      <c r="AW252" s="12">
        <f>AV252</f>
        <v>0</v>
      </c>
      <c r="AX252" s="12">
        <f>AW252</f>
        <v>0</v>
      </c>
      <c r="AY252" s="12">
        <f>AX252</f>
        <v>0</v>
      </c>
      <c r="AZ252" s="12">
        <f>AY252</f>
        <v>0</v>
      </c>
      <c r="BA252" s="12">
        <f>AZ252</f>
        <v>0</v>
      </c>
      <c r="BB252" s="12">
        <f>BA252</f>
        <v>0</v>
      </c>
      <c r="BC252" s="12">
        <f>BB252</f>
        <v>0</v>
      </c>
      <c r="BD252" s="12">
        <f>BC252</f>
        <v>0</v>
      </c>
      <c r="BE252" s="12">
        <f>BD252</f>
        <v>0</v>
      </c>
      <c r="BF252" s="12">
        <f>BE252</f>
        <v>0</v>
      </c>
      <c r="BG252" s="12" t="n"/>
      <c r="BH252" s="12" t="n"/>
      <c r="BI252" s="12" t="n"/>
      <c r="BJ252" s="12" t="n"/>
      <c r="BK252" s="12" t="n"/>
      <c r="BL252" s="12" t="n"/>
      <c r="BM252" s="12" t="n"/>
      <c r="BN252" s="12" t="n"/>
      <c r="BO252" s="12" t="n"/>
      <c r="BP252" s="12" t="n"/>
      <c r="BQ252" s="12" t="n"/>
      <c r="BR252" s="12" t="n"/>
      <c r="BS252" s="12" t="n"/>
      <c r="BT252" s="12" t="n"/>
      <c r="BU252" s="12" t="n"/>
      <c r="BV252" s="12" t="n"/>
      <c r="BW252" s="12" t="n"/>
      <c r="BX252" s="12" t="n"/>
      <c r="BY252" s="12" t="n"/>
      <c r="BZ252" s="12" t="n"/>
      <c r="CA252" s="12" t="n"/>
      <c r="CB252" s="12" t="n"/>
      <c r="CC252" s="12" t="n"/>
      <c r="CD252" s="12" t="n"/>
      <c r="CE252" s="12" t="n"/>
      <c r="CF252" s="12" t="n"/>
      <c r="CG252" s="12" t="n"/>
      <c r="CH252" s="12" t="n"/>
      <c r="CI252" s="12" t="n"/>
      <c r="CJ252" s="12" t="n"/>
      <c r="CK252" s="12" t="n"/>
      <c r="CL252" s="12" t="n"/>
      <c r="CM252" s="12" t="n"/>
      <c r="CN252" s="12" t="n"/>
      <c r="CO252" s="12" t="n"/>
      <c r="CP252" s="12" t="n"/>
      <c r="CQ252" s="12" t="n"/>
      <c r="CR252" s="12" t="n"/>
      <c r="CS252" s="12" t="n"/>
      <c r="CT252" s="12" t="n"/>
      <c r="CU252" s="12" t="n"/>
      <c r="CV252" s="12" t="n"/>
      <c r="CW252" s="12" t="n"/>
      <c r="CX252" s="12" t="n"/>
      <c r="CY252" s="12" t="n"/>
    </row>
    <row r="253">
      <c r="C253" s="14" t="inlineStr">
        <is>
          <t>Comprehensive (accumulated) loss</t>
        </is>
      </c>
      <c r="D253" s="46" t="n"/>
      <c r="E253" s="46" t="n"/>
      <c r="F253" s="46" t="n"/>
      <c r="G253" s="46" t="n"/>
      <c r="H253" s="12" t="n"/>
      <c r="I253" s="46">
        <f>'Inputs (2)'!D45</f>
        <v>-961</v>
      </c>
      <c r="J253" s="46">
        <f>'Inputs (2)'!E45</f>
        <v>-909</v>
      </c>
      <c r="K253" s="46">
        <f>'Inputs (2)'!F45</f>
        <v>-1137</v>
      </c>
      <c r="L253" s="46">
        <f>'Inputs (2)'!G45</f>
        <v>-1211</v>
      </c>
      <c r="M253" s="12">
        <f>'Inputs (2)'!H45</f>
        <v>-1211</v>
      </c>
      <c r="N253" s="46">
        <f>'Inputs (2)'!I45</f>
        <v>-1246</v>
      </c>
      <c r="O253" s="46">
        <f>'Inputs (2)'!J45</f>
        <v>-1602</v>
      </c>
      <c r="P253" s="46">
        <f>'Inputs (2)'!K45</f>
        <v>-1829</v>
      </c>
      <c r="Q253" s="46">
        <f>'Inputs (2)'!L45</f>
        <v>-1925</v>
      </c>
      <c r="R253" s="12">
        <f>'Inputs (2)'!M45</f>
        <v>-1925</v>
      </c>
      <c r="S253" s="46">
        <f>'Inputs (2)'!N45</f>
        <v>-1672</v>
      </c>
      <c r="T253" s="46">
        <f>'Inputs (2)'!O45</f>
        <v>-1680</v>
      </c>
      <c r="U253" s="46">
        <f>'Inputs (2)'!P45</f>
        <v>-1805</v>
      </c>
      <c r="V253" s="46">
        <f>'Inputs (2)'!Q45</f>
        <v>-1843</v>
      </c>
      <c r="W253" s="12">
        <f>'Inputs (2)'!R45</f>
        <v>-1843</v>
      </c>
      <c r="X253" s="46">
        <f>'Inputs (2)'!S45</f>
        <v>-1842</v>
      </c>
      <c r="Y253" s="46">
        <f>'Inputs (2)'!T45</f>
        <v>-1922</v>
      </c>
      <c r="Z253" s="46">
        <f>'Inputs (2)'!U45</f>
        <v>-1828</v>
      </c>
      <c r="AA253" s="46">
        <f>'Inputs (2)'!V45</f>
        <v>-2152</v>
      </c>
      <c r="AB253" s="12">
        <f>'Inputs (2)'!W45</f>
        <v>-2152</v>
      </c>
      <c r="AC253" s="46">
        <f>'Inputs (2)'!X45</f>
        <v>-2242</v>
      </c>
      <c r="AD253" s="46">
        <f>'Inputs (2)'!Y45</f>
        <v>-1915</v>
      </c>
      <c r="AE253" s="46">
        <f>'Inputs (2)'!Z45</f>
        <v>-1770</v>
      </c>
      <c r="AF253" s="46">
        <f>'Inputs (2)'!AA45</f>
        <v>-1976</v>
      </c>
      <c r="AG253" s="12">
        <f>'Inputs (2)'!AB45</f>
        <v>-1976</v>
      </c>
      <c r="AH253" s="12">
        <f>'Inputs (2)'!AC45</f>
        <v>-1606</v>
      </c>
      <c r="AI253" s="12">
        <f>'Inputs (2)'!AD45</f>
        <v>-1658</v>
      </c>
      <c r="AJ253" s="12">
        <f>AI253</f>
        <v>-1658</v>
      </c>
      <c r="AK253" s="12">
        <f>AJ253</f>
        <v>-1658</v>
      </c>
      <c r="AL253" s="12">
        <f>AK253</f>
        <v>-1658</v>
      </c>
      <c r="AM253" s="12">
        <f>AL253</f>
        <v>-1658</v>
      </c>
      <c r="AN253" s="12">
        <f>AM253</f>
        <v>-1658</v>
      </c>
      <c r="AO253" s="12">
        <f>AN253</f>
        <v>-1658</v>
      </c>
      <c r="AP253" s="12">
        <f>AO253</f>
        <v>-1658</v>
      </c>
      <c r="AQ253" s="12">
        <f>AP253</f>
        <v>-1658</v>
      </c>
      <c r="AR253" s="12">
        <f>AQ253</f>
        <v>-1658</v>
      </c>
      <c r="AS253" s="12">
        <f>AR253</f>
        <v>-1658</v>
      </c>
      <c r="AT253" s="12">
        <f>AS253</f>
        <v>-1658</v>
      </c>
      <c r="AU253" s="12">
        <f>AT253</f>
        <v>-1658</v>
      </c>
      <c r="AV253" s="12">
        <f>AU253</f>
        <v>-1658</v>
      </c>
      <c r="AW253" s="12">
        <f>AV253</f>
        <v>-1658</v>
      </c>
      <c r="AX253" s="12">
        <f>AW253</f>
        <v>-1658</v>
      </c>
      <c r="AY253" s="12">
        <f>AX253</f>
        <v>-1658</v>
      </c>
      <c r="AZ253" s="12">
        <f>AY253</f>
        <v>-1658</v>
      </c>
      <c r="BA253" s="12">
        <f>AZ253</f>
        <v>-1658</v>
      </c>
      <c r="BB253" s="12">
        <f>BA253</f>
        <v>-1658</v>
      </c>
      <c r="BC253" s="12">
        <f>BB253</f>
        <v>-1658</v>
      </c>
      <c r="BD253" s="12">
        <f>BC253</f>
        <v>-1658</v>
      </c>
      <c r="BE253" s="12">
        <f>BD253</f>
        <v>-1658</v>
      </c>
      <c r="BF253" s="12">
        <f>BE253</f>
        <v>-1658</v>
      </c>
      <c r="BG253" s="12" t="n"/>
      <c r="BH253" s="12" t="n"/>
      <c r="BI253" s="12" t="n"/>
      <c r="BJ253" s="12" t="n"/>
      <c r="BK253" s="12" t="n"/>
      <c r="BL253" s="12" t="n"/>
      <c r="BM253" s="12" t="n"/>
      <c r="BN253" s="12" t="n"/>
      <c r="BO253" s="12" t="n"/>
      <c r="BP253" s="12" t="n"/>
      <c r="BQ253" s="12" t="n"/>
      <c r="BR253" s="12" t="n"/>
      <c r="BS253" s="12" t="n"/>
      <c r="BT253" s="12" t="n"/>
      <c r="BU253" s="12" t="n"/>
      <c r="BV253" s="12" t="n"/>
      <c r="BW253" s="12" t="n"/>
      <c r="BX253" s="12" t="n"/>
      <c r="BY253" s="12" t="n"/>
      <c r="BZ253" s="12" t="n"/>
      <c r="CA253" s="12" t="n"/>
      <c r="CB253" s="12" t="n"/>
      <c r="CC253" s="12" t="n"/>
      <c r="CD253" s="12" t="n"/>
      <c r="CE253" s="12" t="n"/>
      <c r="CF253" s="12" t="n"/>
      <c r="CG253" s="12" t="n"/>
      <c r="CH253" s="12" t="n"/>
      <c r="CI253" s="12" t="n"/>
      <c r="CJ253" s="12" t="n"/>
      <c r="CK253" s="12" t="n"/>
      <c r="CL253" s="12" t="n"/>
      <c r="CM253" s="12" t="n"/>
      <c r="CN253" s="12" t="n"/>
      <c r="CO253" s="12" t="n"/>
      <c r="CP253" s="12" t="n"/>
      <c r="CQ253" s="12" t="n"/>
      <c r="CR253" s="12" t="n"/>
      <c r="CS253" s="12" t="n"/>
      <c r="CT253" s="12" t="n"/>
      <c r="CU253" s="12" t="n"/>
      <c r="CV253" s="12" t="n"/>
      <c r="CW253" s="12" t="n"/>
      <c r="CX253" s="12" t="n"/>
      <c r="CY253" s="12" t="n"/>
    </row>
    <row r="254">
      <c r="C254" s="14" t="inlineStr">
        <is>
          <t>Other equity account</t>
        </is>
      </c>
      <c r="D254" s="46" t="n"/>
      <c r="E254" s="46" t="n"/>
      <c r="F254" s="46" t="n"/>
      <c r="G254" s="46" t="n"/>
      <c r="H254" s="12" t="n"/>
      <c r="I254" s="46">
        <f>'Inputs (2)'!D46</f>
        <v>0</v>
      </c>
      <c r="J254" s="46">
        <f>'Inputs (2)'!E46</f>
        <v>0</v>
      </c>
      <c r="K254" s="46">
        <f>'Inputs (2)'!F46</f>
        <v>0</v>
      </c>
      <c r="L254" s="46">
        <f>'Inputs (2)'!G46</f>
        <v>0</v>
      </c>
      <c r="M254" s="12">
        <f>'Inputs (2)'!H46</f>
        <v>0</v>
      </c>
      <c r="N254" s="46">
        <f>'Inputs (2)'!I46</f>
        <v>0</v>
      </c>
      <c r="O254" s="46">
        <f>'Inputs (2)'!J46</f>
        <v>0</v>
      </c>
      <c r="P254" s="46">
        <f>'Inputs (2)'!K46</f>
        <v>0</v>
      </c>
      <c r="Q254" s="46">
        <f>'Inputs (2)'!L46</f>
        <v>0</v>
      </c>
      <c r="R254" s="12">
        <f>'Inputs (2)'!M46</f>
        <v>0</v>
      </c>
      <c r="S254" s="46">
        <f>'Inputs (2)'!N46</f>
        <v>0</v>
      </c>
      <c r="T254" s="46">
        <f>'Inputs (2)'!O46</f>
        <v>0</v>
      </c>
      <c r="U254" s="46">
        <f>'Inputs (2)'!P46</f>
        <v>0</v>
      </c>
      <c r="V254" s="46">
        <f>'Inputs (2)'!Q46</f>
        <v>0</v>
      </c>
      <c r="W254" s="12">
        <f>'Inputs (2)'!R46</f>
        <v>0</v>
      </c>
      <c r="X254" s="46">
        <f>'Inputs (2)'!S46</f>
        <v>0</v>
      </c>
      <c r="Y254" s="46">
        <f>'Inputs (2)'!T46</f>
        <v>0</v>
      </c>
      <c r="Z254" s="46">
        <f>'Inputs (2)'!U46</f>
        <v>0</v>
      </c>
      <c r="AA254" s="46">
        <f>'Inputs (2)'!V46</f>
        <v>0</v>
      </c>
      <c r="AB254" s="12">
        <f>'Inputs (2)'!W46</f>
        <v>0</v>
      </c>
      <c r="AC254" s="46">
        <f>'Inputs (2)'!X46</f>
        <v>0</v>
      </c>
      <c r="AD254" s="46">
        <f>'Inputs (2)'!Y46</f>
        <v>0</v>
      </c>
      <c r="AE254" s="46">
        <f>'Inputs (2)'!Z46</f>
        <v>0</v>
      </c>
      <c r="AF254" s="46">
        <f>'Inputs (2)'!AA46</f>
        <v>0</v>
      </c>
      <c r="AG254" s="12">
        <f>'Inputs (2)'!AB46</f>
        <v>0</v>
      </c>
      <c r="AH254" s="12">
        <f>'Inputs (2)'!AC46</f>
        <v>0</v>
      </c>
      <c r="AI254" s="12">
        <f>'Inputs (2)'!AD46</f>
        <v>0</v>
      </c>
      <c r="AJ254" s="12">
        <f>AI254</f>
        <v>0</v>
      </c>
      <c r="AK254" s="12">
        <f>AJ254</f>
        <v>0</v>
      </c>
      <c r="AL254" s="12">
        <f>AK254</f>
        <v>0</v>
      </c>
      <c r="AM254" s="12">
        <f>AL254</f>
        <v>0</v>
      </c>
      <c r="AN254" s="12">
        <f>AM254</f>
        <v>0</v>
      </c>
      <c r="AO254" s="12">
        <f>AN254</f>
        <v>0</v>
      </c>
      <c r="AP254" s="12">
        <f>AO254</f>
        <v>0</v>
      </c>
      <c r="AQ254" s="12">
        <f>AP254</f>
        <v>0</v>
      </c>
      <c r="AR254" s="12">
        <f>AQ254</f>
        <v>0</v>
      </c>
      <c r="AS254" s="12">
        <f>AR254</f>
        <v>0</v>
      </c>
      <c r="AT254" s="12">
        <f>AS254</f>
        <v>0</v>
      </c>
      <c r="AU254" s="12">
        <f>AT254</f>
        <v>0</v>
      </c>
      <c r="AV254" s="12">
        <f>AU254</f>
        <v>0</v>
      </c>
      <c r="AW254" s="12">
        <f>AV254</f>
        <v>0</v>
      </c>
      <c r="AX254" s="12">
        <f>AW254</f>
        <v>0</v>
      </c>
      <c r="AY254" s="12">
        <f>AX254</f>
        <v>0</v>
      </c>
      <c r="AZ254" s="12">
        <f>AY254</f>
        <v>0</v>
      </c>
      <c r="BA254" s="12">
        <f>AZ254</f>
        <v>0</v>
      </c>
      <c r="BB254" s="12">
        <f>BA254</f>
        <v>0</v>
      </c>
      <c r="BC254" s="12">
        <f>BB254</f>
        <v>0</v>
      </c>
      <c r="BD254" s="12">
        <f>BC254</f>
        <v>0</v>
      </c>
      <c r="BE254" s="12">
        <f>BD254</f>
        <v>0</v>
      </c>
      <c r="BF254" s="12">
        <f>BE254</f>
        <v>0</v>
      </c>
      <c r="BG254" s="12" t="n"/>
      <c r="BH254" s="12" t="n"/>
      <c r="BI254" s="12" t="n"/>
      <c r="BJ254" s="12" t="n"/>
      <c r="BK254" s="12" t="n"/>
      <c r="BL254" s="12" t="n"/>
      <c r="BM254" s="12" t="n"/>
      <c r="BN254" s="12" t="n"/>
      <c r="BO254" s="12" t="n"/>
      <c r="BP254" s="12" t="n"/>
      <c r="BQ254" s="12" t="n"/>
      <c r="BR254" s="12" t="n"/>
      <c r="BS254" s="12" t="n"/>
      <c r="BT254" s="12" t="n"/>
      <c r="BU254" s="12" t="n"/>
      <c r="BV254" s="12" t="n"/>
      <c r="BW254" s="12" t="n"/>
      <c r="BX254" s="12" t="n"/>
      <c r="BY254" s="12" t="n"/>
      <c r="BZ254" s="12" t="n"/>
      <c r="CA254" s="12" t="n"/>
      <c r="CB254" s="12" t="n"/>
      <c r="CC254" s="12" t="n"/>
      <c r="CD254" s="12" t="n"/>
      <c r="CE254" s="12" t="n"/>
      <c r="CF254" s="12" t="n"/>
      <c r="CG254" s="12" t="n"/>
      <c r="CH254" s="12" t="n"/>
      <c r="CI254" s="12" t="n"/>
      <c r="CJ254" s="12" t="n"/>
      <c r="CK254" s="12" t="n"/>
      <c r="CL254" s="12" t="n"/>
      <c r="CM254" s="12" t="n"/>
      <c r="CN254" s="12" t="n"/>
      <c r="CO254" s="12" t="n"/>
      <c r="CP254" s="12" t="n"/>
      <c r="CQ254" s="12" t="n"/>
      <c r="CR254" s="12" t="n"/>
      <c r="CS254" s="12" t="n"/>
      <c r="CT254" s="12" t="n"/>
      <c r="CU254" s="12" t="n"/>
      <c r="CV254" s="12" t="n"/>
      <c r="CW254" s="12" t="n"/>
      <c r="CX254" s="12" t="n"/>
      <c r="CY254" s="12" t="n"/>
    </row>
    <row r="255">
      <c r="C255" s="15" t="inlineStr">
        <is>
          <t>Retained earnings</t>
        </is>
      </c>
      <c r="D255" s="46" t="n"/>
      <c r="E255" s="46" t="n"/>
      <c r="F255" s="46" t="n"/>
      <c r="G255" s="46" t="n"/>
      <c r="H255" s="12" t="n"/>
      <c r="I255" s="46">
        <f>'Inputs (2)'!D47</f>
        <v>9766</v>
      </c>
      <c r="J255" s="46">
        <f>'Inputs (2)'!E47</f>
        <v>10466</v>
      </c>
      <c r="K255" s="46">
        <f>'Inputs (2)'!F47</f>
        <v>11666</v>
      </c>
      <c r="L255" s="46">
        <f>'Inputs (2)'!G47</f>
        <v>12606</v>
      </c>
      <c r="M255" s="12">
        <f>'Inputs (2)'!H47</f>
        <v>12606</v>
      </c>
      <c r="N255" s="46">
        <f>'Inputs (2)'!I47</f>
        <v>13474</v>
      </c>
      <c r="O255" s="46">
        <f>'Inputs (2)'!J47</f>
        <v>14294</v>
      </c>
      <c r="P255" s="46">
        <f>'Inputs (2)'!K47</f>
        <v>15585</v>
      </c>
      <c r="Q255" s="46">
        <f>'Inputs (2)'!L47</f>
        <v>16412</v>
      </c>
      <c r="R255" s="12">
        <f>'Inputs (2)'!M47</f>
        <v>16412</v>
      </c>
      <c r="S255" s="46">
        <f>'Inputs (2)'!N47</f>
        <v>17341</v>
      </c>
      <c r="T255" s="46">
        <f>'Inputs (2)'!O47</f>
        <v>18035</v>
      </c>
      <c r="U255" s="46">
        <f>'Inputs (2)'!P47</f>
        <v>19521</v>
      </c>
      <c r="V255" s="46">
        <f>'Inputs (2)'!Q47</f>
        <v>20499</v>
      </c>
      <c r="W255" s="12">
        <f>'Inputs (2)'!R47</f>
        <v>20499</v>
      </c>
      <c r="X255" s="46">
        <f>'Inputs (2)'!S47</f>
        <v>14980</v>
      </c>
      <c r="Y255" s="46">
        <f>'Inputs (2)'!T47</f>
        <v>15989</v>
      </c>
      <c r="Z255" s="46">
        <f>'Inputs (2)'!U47</f>
        <v>17619</v>
      </c>
      <c r="AA255" s="46">
        <f>'Inputs (2)'!V47</f>
        <v>18700</v>
      </c>
      <c r="AB255" s="12">
        <f>'Inputs (2)'!W47</f>
        <v>18700</v>
      </c>
      <c r="AC255" s="46">
        <f>'Inputs (2)'!X47</f>
        <v>19770</v>
      </c>
      <c r="AD255" s="46">
        <f>'Inputs (2)'!Y47</f>
        <v>20890</v>
      </c>
      <c r="AE255" s="46">
        <f>'Inputs (2)'!Z47</f>
        <v>22650</v>
      </c>
      <c r="AF255" s="46">
        <f>'Inputs (2)'!AA47</f>
        <v>23869</v>
      </c>
      <c r="AG255" s="12">
        <f>'Inputs (2)'!AB47</f>
        <v>23869</v>
      </c>
      <c r="AH255" s="12">
        <f>'Inputs (2)'!AC47</f>
        <v>25121</v>
      </c>
      <c r="AI255" s="12">
        <f>'Inputs (2)'!AD47</f>
        <v>26482</v>
      </c>
      <c r="AJ255" s="12">
        <f>AI255+AJ122+AJ123</f>
        <v>29315.7022050862</v>
      </c>
      <c r="AK255" s="12">
        <f>AJ255+AK122+AK123</f>
        <v>31529.4539381951</v>
      </c>
      <c r="AL255" s="12">
        <f>AK255</f>
        <v>31529.4539381951</v>
      </c>
      <c r="AM255" s="12">
        <f>AL255+AM122+AM123</f>
        <v>33818.5246049784</v>
      </c>
      <c r="AN255" s="12">
        <f>AM255+AN122+AN123</f>
        <v>36138.1833103281</v>
      </c>
      <c r="AO255" s="12">
        <f>AN255+AO122+AO123</f>
        <v>39228.1195740675</v>
      </c>
      <c r="AP255" s="12">
        <f>AO255+AP122+AP123</f>
        <v>41642.0471020807</v>
      </c>
      <c r="AQ255" s="12">
        <f>AP255</f>
        <v>41642.0471020807</v>
      </c>
      <c r="AR255" s="12">
        <f>AQ255+AR122+AR123</f>
        <v>44126.65883296</v>
      </c>
      <c r="AS255" s="12">
        <f>AR255+AS122+AS123</f>
        <v>46644.4715482167</v>
      </c>
      <c r="AT255" s="12">
        <f>AS255+AT122+AT123</f>
        <v>49998.361840885</v>
      </c>
      <c r="AU255" s="12">
        <f>AT255+AU122+AU123</f>
        <v>52618.4961777696</v>
      </c>
      <c r="AV255" s="12">
        <f>AU255</f>
        <v>52618.4961777696</v>
      </c>
      <c r="AW255" s="12">
        <f>AV255+AW122+AW123</f>
        <v>55302.9297705081</v>
      </c>
      <c r="AX255" s="12">
        <f>AW255+AX122+AX123</f>
        <v>58023.2344962156</v>
      </c>
      <c r="AY255" s="12">
        <f>AX255+AY122+AY123</f>
        <v>61646.8573166763</v>
      </c>
      <c r="AZ255" s="12">
        <f>AY255+AZ122+AZ123</f>
        <v>64477.7127553775</v>
      </c>
      <c r="BA255" s="12">
        <f>AZ255</f>
        <v>64477.7127553775</v>
      </c>
      <c r="BB255" s="12">
        <f>BA255+BB122+BB123</f>
        <v>67364.616471037</v>
      </c>
      <c r="BC255" s="12">
        <f>BB255+BC122+BC123</f>
        <v>70290.0968560294</v>
      </c>
      <c r="BD255" s="12">
        <f>BC255+BD122+BD123</f>
        <v>74187.0269990711</v>
      </c>
      <c r="BE255" s="12">
        <f>BD255+BE122+BE123</f>
        <v>77231.396249474</v>
      </c>
      <c r="BF255" s="12">
        <f>BE255</f>
        <v>77231.396249474</v>
      </c>
      <c r="BG255" s="12" t="n"/>
      <c r="BH255" s="12" t="n"/>
      <c r="BI255" s="12" t="n"/>
      <c r="BJ255" s="12" t="n"/>
      <c r="BK255" s="12" t="n"/>
      <c r="BL255" s="12" t="n"/>
      <c r="BM255" s="12" t="n"/>
      <c r="BN255" s="12" t="n"/>
      <c r="BO255" s="12" t="n"/>
      <c r="BP255" s="12" t="n"/>
      <c r="BQ255" s="12" t="n"/>
      <c r="BR255" s="12" t="n"/>
      <c r="BS255" s="12" t="n"/>
      <c r="BT255" s="12" t="n"/>
      <c r="BU255" s="12" t="n"/>
      <c r="BV255" s="12" t="n"/>
      <c r="BW255" s="12" t="n"/>
      <c r="BX255" s="12" t="n"/>
      <c r="BY255" s="12" t="n"/>
      <c r="BZ255" s="12" t="n"/>
      <c r="CA255" s="12" t="n"/>
      <c r="CB255" s="12" t="n"/>
      <c r="CC255" s="12" t="n"/>
      <c r="CD255" s="12" t="n"/>
      <c r="CE255" s="12" t="n"/>
      <c r="CF255" s="12" t="n"/>
      <c r="CG255" s="12" t="n"/>
      <c r="CH255" s="12" t="n"/>
      <c r="CI255" s="12" t="n"/>
      <c r="CJ255" s="12" t="n"/>
      <c r="CK255" s="12" t="n"/>
      <c r="CL255" s="12" t="n"/>
      <c r="CM255" s="12" t="n"/>
      <c r="CN255" s="12" t="n"/>
      <c r="CO255" s="12" t="n"/>
      <c r="CP255" s="12" t="n"/>
      <c r="CQ255" s="12" t="n"/>
      <c r="CR255" s="12" t="n"/>
      <c r="CS255" s="12" t="n"/>
      <c r="CT255" s="12" t="n"/>
      <c r="CU255" s="12" t="n"/>
      <c r="CV255" s="12" t="n"/>
      <c r="CW255" s="12" t="n"/>
      <c r="CX255" s="12" t="n"/>
      <c r="CY255" s="12" t="n"/>
    </row>
    <row r="256" customFormat="1" s="32">
      <c r="A256" s="30" t="inlineStr">
        <is>
          <t xml:space="preserve"> </t>
        </is>
      </c>
      <c r="B256" s="30" t="n"/>
      <c r="C256" s="65" t="inlineStr">
        <is>
          <t>Total Shareholders' Equity</t>
        </is>
      </c>
      <c r="D256" s="35" t="n"/>
      <c r="E256" s="35" t="n"/>
      <c r="F256" s="35" t="n"/>
      <c r="G256" s="35" t="n"/>
      <c r="H256" s="35" t="n"/>
      <c r="I256" s="35">
        <f>SUM(I233+I238+I239+I252+I253+I254+I255)</f>
        <v>16129</v>
      </c>
      <c r="J256" s="35">
        <f>SUM(J233+J238+J239+J252+J253+J254+J255)</f>
        <v>16974</v>
      </c>
      <c r="K256" s="35">
        <f>SUM(K233+K238+K239+K252+K253+K254+K255)</f>
        <v>18078</v>
      </c>
      <c r="L256" s="35">
        <f>SUM(L233+L238+L239+L252+L253+L254+L255)</f>
        <v>19000</v>
      </c>
      <c r="M256" s="35">
        <f>SUM(M233,M238,M239,M252,M253,M254,M255)</f>
        <v>19000</v>
      </c>
      <c r="N256" s="35">
        <f>SUM(N233+N238+N239+N252+N253+N254+N255)</f>
        <v>19976</v>
      </c>
      <c r="O256" s="35">
        <f>SUM(O233+O238+O239+O252+O253+O254+O255)</f>
        <v>20513</v>
      </c>
      <c r="P256" s="35">
        <f>SUM(P233+P238+P239+P252+P253+P254+P255)</f>
        <v>20647</v>
      </c>
      <c r="Q256" s="35">
        <f>SUM(Q233+Q238+Q239+Q252+Q253+Q254+Q255)</f>
        <v>21476</v>
      </c>
      <c r="R256" s="35">
        <f>SUM(R233,R238,R239,R252,R253,R254,R255)</f>
        <v>21476</v>
      </c>
      <c r="S256" s="35">
        <f>SUM(S233+S238+S239+S252+S253+S254+S255)</f>
        <v>22799</v>
      </c>
      <c r="T256" s="35">
        <f>SUM(T233+T238+T239+T252+T253+T254+T255)</f>
        <v>23573</v>
      </c>
      <c r="U256" s="35">
        <f>SUM(U233+U238+U239+U252+U253+U254+U255)</f>
        <v>25058</v>
      </c>
      <c r="V256" s="35">
        <f>SUM(V233+V238+V239+V252+V253+V254+V255)</f>
        <v>26147</v>
      </c>
      <c r="W256" s="35">
        <f>SUM(W233,W238,W239,W252,W253,W254,W255)</f>
        <v>26147</v>
      </c>
      <c r="X256" s="35">
        <f>SUM(X233+X238+X239+X252+X253+X254+X255)</f>
        <v>20760</v>
      </c>
      <c r="Y256" s="35">
        <f>SUM(Y233+Y238+Y239+Y252+Y253+Y254+Y255)</f>
        <v>21771</v>
      </c>
      <c r="Z256" s="35">
        <f>SUM(Z233+Z238+Z239+Z252+Z253+Z254+Z255)</f>
        <v>23622</v>
      </c>
      <c r="AA256" s="35">
        <f>SUM(AA233+AA238+AA239+AA252+AA253+AA254+AA255)</f>
        <v>24451</v>
      </c>
      <c r="AB256" s="35">
        <f>SUM(AB233,AB238,AB239,AB252,AB253,AB254,AB255)</f>
        <v>24451</v>
      </c>
      <c r="AC256" s="35">
        <f>SUM(AC233+AC238+AC239+AC252+AC253+AC254+AC255)</f>
        <v>25577</v>
      </c>
      <c r="AD256" s="35">
        <f>SUM(AD233+AD238+AD239+AD252+AD253+AD254+AD255)</f>
        <v>27125</v>
      </c>
      <c r="AE256" s="35">
        <f>SUM(AE233+AE238+AE239+AE252+AE253+AE254+AE255)</f>
        <v>29164</v>
      </c>
      <c r="AF256" s="35">
        <f>SUM(AF233+AF238+AF239+AF252+AF253+AF254+AF255)</f>
        <v>30303</v>
      </c>
      <c r="AG256" s="35">
        <f>SUM(AG233,AG238,AG239,AG252,AG253,AG254,AG255)</f>
        <v>30303</v>
      </c>
      <c r="AH256" s="35">
        <f>SUM(AH233+AH238+AH239+AH252+AH253+AH254+AH255)</f>
        <v>32087</v>
      </c>
      <c r="AI256" s="35">
        <f>SUM(AI233+AI238+AI239+AI252+AI253+AI254+AI255)</f>
        <v>33509</v>
      </c>
      <c r="AJ256" s="35">
        <f>SUM(AJ233+AJ238+AJ239+AJ252+AJ253+AJ254+AJ255)</f>
        <v>36342.7022050862</v>
      </c>
      <c r="AK256" s="35">
        <f>SUM(AK233+AK238+AK239+AK252+AK253+AK254+AK255)</f>
        <v>38556.4539381951</v>
      </c>
      <c r="AL256" s="35">
        <f>SUM(AL233,AL238,AL239,AL252,AL253,AL254,AL255)</f>
        <v>38556.4539381951</v>
      </c>
      <c r="AM256" s="35">
        <f>SUM(AM233+AM238+AM239+AM252+AM253+AM254+AM255)</f>
        <v>40845.5246049784</v>
      </c>
      <c r="AN256" s="35">
        <f>SUM(AN233+AN238+AN239+AN252+AN253+AN254+AN255)</f>
        <v>43165.1833103281</v>
      </c>
      <c r="AO256" s="35">
        <f>SUM(AO233+AO238+AO239+AO252+AO253+AO254+AO255)</f>
        <v>46255.1195740675</v>
      </c>
      <c r="AP256" s="35">
        <f>SUM(AP233+AP238+AP239+AP252+AP253+AP254+AP255)</f>
        <v>48669.0471020807</v>
      </c>
      <c r="AQ256" s="35">
        <f>SUM(AQ233,AQ238,AQ239,AQ252,AQ253,AQ254,AQ255)</f>
        <v>48669.0471020807</v>
      </c>
      <c r="AR256" s="35">
        <f>SUM(AR233+AR238+AR239+AR252+AR253+AR254+AR255)</f>
        <v>51153.65883296</v>
      </c>
      <c r="AS256" s="35">
        <f>SUM(AS233+AS238+AS239+AS252+AS253+AS254+AS255)</f>
        <v>53671.4715482167</v>
      </c>
      <c r="AT256" s="35">
        <f>SUM(AT233+AT238+AT239+AT252+AT253+AT254+AT255)</f>
        <v>57025.361840885</v>
      </c>
      <c r="AU256" s="35">
        <f>SUM(AU233+AU238+AU239+AU252+AU253+AU254+AU255)</f>
        <v>59645.4961777696</v>
      </c>
      <c r="AV256" s="35">
        <f>SUM(AV233,AV238,AV239,AV252,AV253,AV254,AV255)</f>
        <v>59645.4961777696</v>
      </c>
      <c r="AW256" s="35">
        <f>SUM(AW233+AW238+AW239+AW252+AW253+AW254+AW255)</f>
        <v>62329.9297705081</v>
      </c>
      <c r="AX256" s="35">
        <f>SUM(AX233+AX238+AX239+AX252+AX253+AX254+AX255)</f>
        <v>65050.2344962156</v>
      </c>
      <c r="AY256" s="35">
        <f>SUM(AY233+AY238+AY239+AY252+AY253+AY254+AY255)</f>
        <v>68673.8573166763</v>
      </c>
      <c r="AZ256" s="35">
        <f>SUM(AZ233+AZ238+AZ239+AZ252+AZ253+AZ254+AZ255)</f>
        <v>71504.7127553775</v>
      </c>
      <c r="BA256" s="35">
        <f>SUM(BA233,BA238,BA239,BA252,BA253,BA254,BA255)</f>
        <v>71504.7127553775</v>
      </c>
      <c r="BB256" s="35">
        <f>SUM(BB233+BB238+BB239+BB252+BB253+BB254+BB255)</f>
        <v>74391.616471037</v>
      </c>
      <c r="BC256" s="35">
        <f>SUM(BC233+BC238+BC239+BC252+BC253+BC254+BC255)</f>
        <v>77317.0968560294</v>
      </c>
      <c r="BD256" s="35">
        <f>SUM(BD233+BD238+BD239+BD252+BD253+BD254+BD255)</f>
        <v>81214.0269990711</v>
      </c>
      <c r="BE256" s="35">
        <f>SUM(BE233+BE238+BE239+BE252+BE253+BE254+BE255)</f>
        <v>84258.396249474</v>
      </c>
      <c r="BF256" s="35">
        <f>SUM(BF233,BF238,BF239,BF252,BF253,BF254,BF255)</f>
        <v>84258.396249474</v>
      </c>
      <c r="BG256" s="35" t="n"/>
      <c r="BH256" s="35" t="n"/>
      <c r="BI256" s="35" t="n"/>
      <c r="BJ256" s="35" t="n"/>
      <c r="BK256" s="35" t="n"/>
      <c r="BL256" s="35" t="n"/>
      <c r="BM256" s="35" t="n"/>
      <c r="BN256" s="35" t="n"/>
      <c r="BO256" s="35" t="n"/>
      <c r="BP256" s="35" t="n"/>
      <c r="BQ256" s="35" t="n"/>
      <c r="BR256" s="35" t="n"/>
      <c r="BS256" s="35" t="n"/>
      <c r="BT256" s="35" t="n"/>
      <c r="BU256" s="35" t="n"/>
      <c r="BV256" s="35" t="n"/>
      <c r="BW256" s="35" t="n"/>
      <c r="BX256" s="35" t="n"/>
      <c r="BY256" s="35" t="n"/>
      <c r="BZ256" s="35" t="n"/>
      <c r="CA256" s="35" t="n"/>
      <c r="CB256" s="35" t="n"/>
      <c r="CC256" s="35" t="n"/>
      <c r="CD256" s="35" t="n"/>
      <c r="CE256" s="35" t="n"/>
      <c r="CF256" s="35" t="n"/>
      <c r="CG256" s="35" t="n"/>
      <c r="CH256" s="35" t="n"/>
      <c r="CI256" s="35" t="n"/>
      <c r="CJ256" s="35" t="n"/>
      <c r="CK256" s="35" t="n"/>
      <c r="CL256" s="35" t="n"/>
      <c r="CM256" s="35" t="n"/>
      <c r="CN256" s="35" t="n"/>
      <c r="CO256" s="35" t="n"/>
      <c r="CP256" s="35" t="n"/>
      <c r="CQ256" s="35" t="n"/>
      <c r="CR256" s="35" t="n"/>
      <c r="CS256" s="35" t="n"/>
      <c r="CT256" s="35" t="n"/>
      <c r="CU256" s="35" t="n"/>
      <c r="CV256" s="35" t="n"/>
      <c r="CW256" s="35" t="n"/>
      <c r="CX256" s="35" t="n"/>
      <c r="CY256" s="35" t="n"/>
    </row>
    <row r="257">
      <c r="C257" s="10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  <c r="AJ257" s="12" t="n"/>
      <c r="AK257" s="12" t="n"/>
      <c r="AL257" s="12" t="n"/>
      <c r="AM257" s="12" t="n"/>
      <c r="AN257" s="12" t="n"/>
      <c r="AO257" s="12" t="n"/>
      <c r="AP257" s="12" t="n"/>
      <c r="AQ257" s="12" t="n"/>
      <c r="AR257" s="12" t="n"/>
      <c r="AS257" s="12" t="n"/>
      <c r="AT257" s="12" t="n"/>
      <c r="AU257" s="12" t="n"/>
      <c r="AV257" s="12" t="n"/>
      <c r="AW257" s="12" t="n"/>
      <c r="AX257" s="12" t="n"/>
      <c r="AY257" s="12" t="n"/>
      <c r="AZ257" s="12" t="n"/>
      <c r="BA257" s="12" t="n"/>
      <c r="BB257" s="12" t="n"/>
      <c r="BC257" s="12" t="n"/>
      <c r="BD257" s="12" t="n"/>
      <c r="BE257" s="12" t="n"/>
      <c r="BF257" s="12" t="n"/>
      <c r="BG257" s="12" t="n"/>
      <c r="BH257" s="12" t="n"/>
      <c r="BI257" s="12" t="n"/>
      <c r="BJ257" s="12" t="n"/>
      <c r="BK257" s="12" t="n"/>
      <c r="BL257" s="12" t="n"/>
      <c r="BM257" s="12" t="n"/>
      <c r="BN257" s="12" t="n"/>
      <c r="BO257" s="12" t="n"/>
      <c r="BP257" s="12" t="n"/>
      <c r="BQ257" s="12" t="n"/>
      <c r="BR257" s="12" t="n"/>
      <c r="BS257" s="12" t="n"/>
      <c r="BT257" s="12" t="n"/>
      <c r="BU257" s="12" t="n"/>
      <c r="BV257" s="12" t="n"/>
      <c r="BW257" s="12" t="n"/>
      <c r="BX257" s="12" t="n"/>
      <c r="BY257" s="12" t="n"/>
      <c r="BZ257" s="12" t="n"/>
      <c r="CA257" s="12" t="n"/>
      <c r="CB257" s="12" t="n"/>
      <c r="CC257" s="12" t="n"/>
      <c r="CD257" s="12" t="n"/>
      <c r="CE257" s="12" t="n"/>
      <c r="CF257" s="12" t="n"/>
      <c r="CG257" s="12" t="n"/>
      <c r="CH257" s="12" t="n"/>
      <c r="CI257" s="12" t="n"/>
      <c r="CJ257" s="12" t="n"/>
      <c r="CK257" s="12" t="n"/>
      <c r="CL257" s="12" t="n"/>
      <c r="CM257" s="12" t="n"/>
      <c r="CN257" s="12" t="n"/>
      <c r="CO257" s="12" t="n"/>
      <c r="CP257" s="12" t="n"/>
      <c r="CQ257" s="12" t="n"/>
      <c r="CR257" s="12" t="n"/>
      <c r="CS257" s="12" t="n"/>
      <c r="CT257" s="12" t="n"/>
      <c r="CU257" s="12" t="n"/>
      <c r="CV257" s="12" t="n"/>
      <c r="CW257" s="12" t="n"/>
      <c r="CX257" s="12" t="n"/>
      <c r="CY257" s="12" t="n"/>
    </row>
    <row r="258" customFormat="1" s="32">
      <c r="A258" s="30" t="n"/>
      <c r="B258" s="3" t="n"/>
      <c r="C258" s="33" t="inlineStr">
        <is>
          <t>Total Liabilities + Shareholders' Equity</t>
        </is>
      </c>
      <c r="D258" s="35" t="n"/>
      <c r="E258" s="35" t="n"/>
      <c r="F258" s="35" t="n"/>
      <c r="G258" s="35" t="n"/>
      <c r="H258" s="35" t="n"/>
      <c r="I258" s="35">
        <f>I256+I232</f>
        <v>54918</v>
      </c>
      <c r="J258" s="35">
        <f>J256+J232</f>
        <v>57274</v>
      </c>
      <c r="K258" s="35">
        <f>K256+K232</f>
        <v>59268</v>
      </c>
      <c r="L258" s="35">
        <f>L256+L232</f>
        <v>64149</v>
      </c>
      <c r="M258" s="35">
        <f>M256+M232</f>
        <v>64149</v>
      </c>
      <c r="N258" s="35">
        <f>N256+N232</f>
        <v>63078</v>
      </c>
      <c r="O258" s="35">
        <f>O256+O232</f>
        <v>63852</v>
      </c>
      <c r="P258" s="35">
        <f>P256+P232</f>
        <v>64166</v>
      </c>
      <c r="Q258" s="35">
        <f>Q256+Q232</f>
        <v>66027</v>
      </c>
      <c r="R258" s="35">
        <f>R256+R232</f>
        <v>66027</v>
      </c>
      <c r="S258" s="35">
        <f>S256+S232</f>
        <v>66848</v>
      </c>
      <c r="T258" s="35">
        <f>T256+T232</f>
        <v>66752</v>
      </c>
      <c r="U258" s="35">
        <f>U256+U232</f>
        <v>68994</v>
      </c>
      <c r="V258" s="35">
        <f>V256+V232</f>
        <v>73723</v>
      </c>
      <c r="W258" s="35">
        <f>W256+W232</f>
        <v>73723</v>
      </c>
      <c r="X258" s="35">
        <f>X256+X232</f>
        <v>66323</v>
      </c>
      <c r="Y258" s="35">
        <f>Y256+Y232</f>
        <v>67911</v>
      </c>
      <c r="Z258" s="35">
        <f>Z256+Z232</f>
        <v>69831</v>
      </c>
      <c r="AA258" s="35">
        <f>AA256+AA232</f>
        <v>73386</v>
      </c>
      <c r="AB258" s="35">
        <f>AB256+AB232</f>
        <v>73386</v>
      </c>
      <c r="AC258" s="35">
        <f>AC256+AC232</f>
        <v>73224</v>
      </c>
      <c r="AD258" s="35">
        <f>AD256+AD232</f>
        <v>75482</v>
      </c>
      <c r="AE258" s="35">
        <f>AE256+AE232</f>
        <v>77099</v>
      </c>
      <c r="AF258" s="35">
        <f>AF256+AF232</f>
        <v>82790</v>
      </c>
      <c r="AG258" s="35">
        <f>AG256+AG232</f>
        <v>82790</v>
      </c>
      <c r="AH258" s="35">
        <f>AH256+AH232</f>
        <v>83639</v>
      </c>
      <c r="AI258" s="35">
        <f>AI256+AI232</f>
        <v>86430</v>
      </c>
      <c r="AJ258" s="35">
        <f>AJ256+AJ232</f>
        <v>95491.6619270559</v>
      </c>
      <c r="AK258" s="35">
        <f>AK256+AK232</f>
        <v>92417.0680932371</v>
      </c>
      <c r="AL258" s="35">
        <f>AL256+AL232</f>
        <v>92417.0680932371</v>
      </c>
      <c r="AM258" s="35">
        <f>AM256+AM232</f>
        <v>96824.4129324156</v>
      </c>
      <c r="AN258" s="35">
        <f>AN256+AN232</f>
        <v>100152.652300245</v>
      </c>
      <c r="AO258" s="35">
        <f>AO256+AO232</f>
        <v>111607.058945737</v>
      </c>
      <c r="AP258" s="35">
        <f>AP256+AP232</f>
        <v>108514.803779793</v>
      </c>
      <c r="AQ258" s="35">
        <f>AQ256+AQ232</f>
        <v>108514.803779793</v>
      </c>
      <c r="AR258" s="35">
        <f>AR256+AR232</f>
        <v>113135.166750447</v>
      </c>
      <c r="AS258" s="35">
        <f>AS256+AS232</f>
        <v>117255.696834683</v>
      </c>
      <c r="AT258" s="35">
        <f>AT256+AT232</f>
        <v>129936.995591677</v>
      </c>
      <c r="AU258" s="35">
        <f>AU256+AU232</f>
        <v>126844.556586441</v>
      </c>
      <c r="AV258" s="35">
        <f>AV256+AV232</f>
        <v>126844.556586441</v>
      </c>
      <c r="AW258" s="35">
        <f>AW256+AW232</f>
        <v>132279.699810396</v>
      </c>
      <c r="AX258" s="35">
        <f>AX256+AX232</f>
        <v>136715.67170039</v>
      </c>
      <c r="AY258" s="35">
        <f>AY256+AY232</f>
        <v>150712.973025045</v>
      </c>
      <c r="AZ258" s="35">
        <f>AZ256+AZ232</f>
        <v>147684.305304826</v>
      </c>
      <c r="BA258" s="35">
        <f>BA256+BA232</f>
        <v>147684.305304826</v>
      </c>
      <c r="BB258" s="35">
        <f>BB256+BB232</f>
        <v>153710.904336515</v>
      </c>
      <c r="BC258" s="35">
        <f>BC256+BC232</f>
        <v>158806.900769915</v>
      </c>
      <c r="BD258" s="35">
        <f>BD256+BD232</f>
        <v>174201.022256894</v>
      </c>
      <c r="BE258" s="35">
        <f>BE256+BE232</f>
        <v>171301.119791878</v>
      </c>
      <c r="BF258" s="35">
        <f>BF256+BF232</f>
        <v>171301.119791878</v>
      </c>
      <c r="BG258" s="35" t="n"/>
      <c r="BH258" s="35" t="n"/>
      <c r="BI258" s="35" t="n"/>
      <c r="BJ258" s="35" t="n"/>
      <c r="BK258" s="35" t="n"/>
      <c r="BL258" s="35" t="n"/>
      <c r="BM258" s="35" t="n"/>
      <c r="BN258" s="35" t="n"/>
      <c r="BO258" s="35" t="n"/>
      <c r="BP258" s="35" t="n"/>
      <c r="BQ258" s="35" t="n"/>
      <c r="BR258" s="35" t="n"/>
      <c r="BS258" s="35" t="n"/>
      <c r="BT258" s="35" t="n"/>
      <c r="BU258" s="35" t="n"/>
      <c r="BV258" s="35" t="n"/>
      <c r="BW258" s="35" t="n"/>
      <c r="BX258" s="35" t="n"/>
      <c r="BY258" s="35" t="n"/>
      <c r="BZ258" s="35" t="n"/>
      <c r="CA258" s="35" t="n"/>
      <c r="CB258" s="35" t="n"/>
      <c r="CC258" s="35" t="n"/>
      <c r="CD258" s="35" t="n"/>
      <c r="CE258" s="35" t="n"/>
      <c r="CF258" s="35" t="n"/>
      <c r="CG258" s="35" t="n"/>
      <c r="CH258" s="35" t="n"/>
      <c r="CI258" s="35" t="n"/>
      <c r="CJ258" s="35" t="n"/>
      <c r="CK258" s="35" t="n"/>
      <c r="CL258" s="35" t="n"/>
      <c r="CM258" s="35" t="n"/>
      <c r="CN258" s="35" t="n"/>
      <c r="CO258" s="35" t="n"/>
      <c r="CP258" s="35" t="n"/>
      <c r="CQ258" s="35" t="n"/>
      <c r="CR258" s="35" t="n"/>
      <c r="CS258" s="35" t="n"/>
      <c r="CT258" s="35" t="n"/>
      <c r="CU258" s="35" t="n"/>
      <c r="CV258" s="35" t="n"/>
      <c r="CW258" s="35" t="n"/>
      <c r="CX258" s="35" t="n"/>
      <c r="CY258" s="35" t="n"/>
    </row>
    <row r="259">
      <c r="C259" s="18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  <c r="AC259" s="3" t="n"/>
      <c r="AD259" s="3" t="n"/>
      <c r="AE259" s="3" t="n"/>
      <c r="AF259" s="3" t="n"/>
      <c r="AG259" s="3" t="n"/>
      <c r="AH259" s="3" t="n"/>
      <c r="AI259" s="3" t="n"/>
      <c r="AJ259" s="3" t="n"/>
      <c r="AK259" s="3" t="n"/>
      <c r="AL259" s="3" t="n"/>
      <c r="AM259" s="3" t="n"/>
      <c r="AN259" s="3" t="n"/>
      <c r="AO259" s="3" t="n"/>
      <c r="AP259" s="3" t="n"/>
      <c r="AQ259" s="3" t="n"/>
      <c r="AR259" s="3" t="n"/>
      <c r="AS259" s="3" t="n"/>
      <c r="AT259" s="3" t="n"/>
      <c r="AU259" s="3" t="n"/>
      <c r="AV259" s="3" t="n"/>
      <c r="AW259" s="3" t="n"/>
      <c r="AX259" s="3" t="n"/>
      <c r="AY259" s="3" t="n"/>
      <c r="AZ259" s="3" t="n"/>
      <c r="BA259" s="3" t="n"/>
      <c r="BB259" s="3" t="n"/>
      <c r="BC259" s="3" t="n"/>
      <c r="BD259" s="3" t="n"/>
      <c r="BE259" s="3" t="n"/>
      <c r="BF259" s="3" t="n"/>
      <c r="BG259" s="3" t="n"/>
      <c r="BH259" s="3" t="n"/>
      <c r="BI259" s="3" t="n"/>
      <c r="BJ259" s="3" t="n"/>
      <c r="BK259" s="3" t="n"/>
      <c r="BL259" s="3" t="n"/>
      <c r="BM259" s="3" t="n"/>
      <c r="BN259" s="3" t="n"/>
      <c r="BO259" s="3" t="n"/>
      <c r="BP259" s="3" t="n"/>
      <c r="BQ259" s="3" t="n"/>
      <c r="BR259" s="3" t="n"/>
      <c r="BS259" s="3" t="n"/>
      <c r="BT259" s="3" t="n"/>
      <c r="BU259" s="3" t="n"/>
      <c r="BV259" s="3" t="n"/>
      <c r="BW259" s="3" t="n"/>
      <c r="BX259" s="3" t="n"/>
      <c r="BY259" s="3" t="n"/>
      <c r="BZ259" s="3" t="n"/>
      <c r="CA259" s="3" t="n"/>
      <c r="CB259" s="3" t="n"/>
      <c r="CC259" s="3" t="n"/>
      <c r="CD259" s="3" t="n"/>
      <c r="CE259" s="3" t="n"/>
      <c r="CF259" s="3" t="n"/>
      <c r="CG259" s="3" t="n"/>
      <c r="CH259" s="3" t="n"/>
      <c r="CI259" s="3" t="n"/>
      <c r="CJ259" s="3" t="n"/>
      <c r="CK259" s="3" t="n"/>
      <c r="CL259" s="3" t="n"/>
      <c r="CM259" s="3" t="n"/>
      <c r="CN259" s="3" t="n"/>
      <c r="CO259" s="3" t="n"/>
      <c r="CP259" s="3" t="n"/>
      <c r="CQ259" s="3" t="n"/>
      <c r="CR259" s="3" t="n"/>
      <c r="CS259" s="3" t="n"/>
      <c r="CT259" s="3" t="n"/>
      <c r="CU259" s="3" t="n"/>
      <c r="CV259" s="3" t="n"/>
      <c r="CW259" s="3" t="n"/>
      <c r="CX259" s="3" t="n"/>
      <c r="CY259" s="3" t="n"/>
    </row>
    <row r="260" customFormat="1" s="32">
      <c r="A260" s="30" t="n"/>
      <c r="B260" s="30" t="n"/>
      <c r="C260" s="31" t="inlineStr">
        <is>
          <t>Cash Flow Statement</t>
        </is>
      </c>
      <c r="D260" s="70" t="n"/>
      <c r="E260" s="70" t="n"/>
      <c r="F260" s="70" t="n"/>
      <c r="G260" s="70" t="n"/>
      <c r="H260" s="70" t="n"/>
      <c r="I260" s="70" t="str">
        <f>I127</f>
        <v>1Q21</v>
      </c>
      <c r="J260" s="70" t="str">
        <f>J127</f>
        <v>2Q21</v>
      </c>
      <c r="K260" s="70" t="str">
        <f>K127</f>
        <v>3Q21</v>
      </c>
      <c r="L260" s="70" t="str">
        <f>L127</f>
        <v>4Q21</v>
      </c>
      <c r="M260" s="70">
        <f>M127</f>
        <v>2021</v>
      </c>
      <c r="N260" s="70" t="str">
        <f>N127</f>
        <v>1Q22</v>
      </c>
      <c r="O260" s="70" t="str">
        <f>O127</f>
        <v>2Q22</v>
      </c>
      <c r="P260" s="70" t="str">
        <f>P127</f>
        <v>3Q22</v>
      </c>
      <c r="Q260" s="70" t="str">
        <f>Q127</f>
        <v>4Q22</v>
      </c>
      <c r="R260" s="70">
        <f>R127</f>
        <v>2022</v>
      </c>
      <c r="S260" s="70" t="str">
        <f>S127</f>
        <v>1Q23</v>
      </c>
      <c r="T260" s="70" t="str">
        <f>T127</f>
        <v>2Q23</v>
      </c>
      <c r="U260" s="70" t="str">
        <f>U127</f>
        <v>3Q23</v>
      </c>
      <c r="V260" s="70" t="str">
        <f>V127</f>
        <v>4Q23</v>
      </c>
      <c r="W260" s="70">
        <f>W127</f>
        <v>2023</v>
      </c>
      <c r="X260" s="70" t="str">
        <f>X127</f>
        <v>1Q24</v>
      </c>
      <c r="Y260" s="70" t="str">
        <f>Y127</f>
        <v>2Q24</v>
      </c>
      <c r="Z260" s="70" t="str">
        <f>Z127</f>
        <v>3Q24</v>
      </c>
      <c r="AA260" s="70" t="str">
        <f>AA127</f>
        <v>4Q24</v>
      </c>
      <c r="AB260" s="70">
        <f>AB127</f>
        <v>2024</v>
      </c>
      <c r="AC260" s="70" t="str">
        <f>AC127</f>
        <v>1Q25</v>
      </c>
      <c r="AD260" s="70" t="str">
        <f>AD127</f>
        <v>2Q25</v>
      </c>
      <c r="AE260" s="70" t="str">
        <f>AE127</f>
        <v>3Q25</v>
      </c>
      <c r="AF260" s="70" t="str">
        <f>AF127</f>
        <v>4Q25</v>
      </c>
      <c r="AG260" s="70">
        <f>AG127</f>
        <v>2025</v>
      </c>
      <c r="AH260" s="70" t="str">
        <f>AH127</f>
        <v>1Q26</v>
      </c>
      <c r="AI260" s="70" t="str">
        <f>AI127</f>
        <v>2Q26</v>
      </c>
      <c r="AJ260" s="70" t="str">
        <f>AJ127</f>
        <v>3Q26</v>
      </c>
      <c r="AK260" s="70" t="str">
        <f>AK127</f>
        <v>4Q26</v>
      </c>
      <c r="AL260" s="70">
        <f>AL127</f>
        <v>2026</v>
      </c>
      <c r="AM260" s="70" t="str">
        <f>AM127</f>
        <v>1Q27</v>
      </c>
      <c r="AN260" s="70" t="str">
        <f>AN127</f>
        <v>2Q27</v>
      </c>
      <c r="AO260" s="70" t="str">
        <f>AO127</f>
        <v>3Q27</v>
      </c>
      <c r="AP260" s="70" t="str">
        <f>AP127</f>
        <v>4Q27</v>
      </c>
      <c r="AQ260" s="70">
        <f>AQ127</f>
        <v>2027</v>
      </c>
      <c r="AR260" s="70" t="str">
        <f>AR127</f>
        <v>1Q28</v>
      </c>
      <c r="AS260" s="70" t="str">
        <f>AS127</f>
        <v>2Q28</v>
      </c>
      <c r="AT260" s="70" t="str">
        <f>AT127</f>
        <v>3Q28</v>
      </c>
      <c r="AU260" s="70" t="str">
        <f>AU127</f>
        <v>4Q28</v>
      </c>
      <c r="AV260" s="70">
        <f>AV127</f>
        <v>2028</v>
      </c>
      <c r="AW260" s="70" t="str">
        <f>AW127</f>
        <v>1Q29</v>
      </c>
      <c r="AX260" s="70" t="str">
        <f>AX127</f>
        <v>2Q29</v>
      </c>
      <c r="AY260" s="70" t="str">
        <f>AY127</f>
        <v>3Q29</v>
      </c>
      <c r="AZ260" s="70" t="str">
        <f>AZ127</f>
        <v>4Q29</v>
      </c>
      <c r="BA260" s="70">
        <f>BA127</f>
        <v>2029</v>
      </c>
      <c r="BB260" s="70" t="str">
        <f>BB127</f>
        <v>1Q30</v>
      </c>
      <c r="BC260" s="70" t="str">
        <f>BC127</f>
        <v>2Q30</v>
      </c>
      <c r="BD260" s="70" t="str">
        <f>BD127</f>
        <v>3Q30</v>
      </c>
      <c r="BE260" s="70" t="str">
        <f>BE127</f>
        <v>4Q30</v>
      </c>
      <c r="BF260" s="70">
        <f>BF127</f>
        <v>2030</v>
      </c>
      <c r="BG260" s="70" t="n"/>
      <c r="BH260" s="70" t="n"/>
      <c r="BI260" s="70" t="n"/>
      <c r="BJ260" s="70" t="n"/>
      <c r="BK260" s="70" t="n"/>
      <c r="BL260" s="70" t="n"/>
      <c r="BM260" s="70" t="n"/>
      <c r="BN260" s="70" t="n"/>
      <c r="BO260" s="70" t="n"/>
      <c r="BP260" s="70" t="n"/>
      <c r="BQ260" s="70" t="n"/>
      <c r="BR260" s="70" t="n"/>
      <c r="BS260" s="70" t="n"/>
      <c r="BT260" s="70" t="n"/>
      <c r="BU260" s="70" t="n"/>
      <c r="BV260" s="70" t="n"/>
      <c r="BW260" s="70" t="n"/>
      <c r="BX260" s="70" t="n"/>
      <c r="BY260" s="70" t="n"/>
      <c r="BZ260" s="70" t="n"/>
      <c r="CA260" s="70" t="n"/>
      <c r="CB260" s="70" t="n"/>
      <c r="CC260" s="70" t="n"/>
      <c r="CD260" s="70" t="n"/>
      <c r="CE260" s="70" t="n"/>
      <c r="CF260" s="70" t="n"/>
      <c r="CG260" s="70" t="n"/>
      <c r="CH260" s="70" t="n"/>
      <c r="CI260" s="70" t="n"/>
      <c r="CJ260" s="70" t="n"/>
      <c r="CK260" s="70" t="n"/>
      <c r="CL260" s="70" t="n"/>
      <c r="CM260" s="70" t="n"/>
      <c r="CN260" s="70" t="n"/>
      <c r="CO260" s="70" t="n"/>
      <c r="CP260" s="70" t="n"/>
      <c r="CQ260" s="70" t="n"/>
      <c r="CR260" s="70" t="n"/>
      <c r="CS260" s="70" t="n"/>
      <c r="CT260" s="70" t="n"/>
      <c r="CU260" s="70" t="n"/>
      <c r="CV260" s="70" t="n"/>
      <c r="CW260" s="70" t="n"/>
      <c r="CX260" s="70" t="n"/>
      <c r="CY260" s="70" t="n"/>
    </row>
    <row r="261">
      <c r="C261" s="18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  <c r="AA261" s="3" t="n"/>
      <c r="AB261" s="3" t="n"/>
      <c r="AC261" s="3" t="n"/>
      <c r="AD261" s="3" t="n"/>
      <c r="AE261" s="3" t="n"/>
      <c r="AF261" s="3" t="n"/>
      <c r="AG261" s="3" t="n"/>
      <c r="AH261" s="3" t="n"/>
      <c r="AI261" s="3" t="n"/>
      <c r="AJ261" s="3" t="n"/>
      <c r="AK261" s="3" t="n"/>
      <c r="AL261" s="3" t="n"/>
      <c r="AM261" s="3" t="n"/>
      <c r="AN261" s="3" t="n"/>
      <c r="AO261" s="3" t="n"/>
      <c r="AP261" s="3" t="n"/>
      <c r="AQ261" s="3" t="n"/>
      <c r="AR261" s="3" t="n"/>
      <c r="AS261" s="3" t="n"/>
      <c r="AT261" s="3" t="n"/>
      <c r="AU261" s="3" t="n"/>
      <c r="AV261" s="3" t="n"/>
      <c r="AW261" s="3" t="n"/>
      <c r="AX261" s="3" t="n"/>
      <c r="AY261" s="3" t="n"/>
      <c r="AZ261" s="3" t="n"/>
      <c r="BA261" s="3" t="n"/>
      <c r="BB261" s="3" t="n"/>
      <c r="BC261" s="3" t="n"/>
      <c r="BD261" s="3" t="n"/>
      <c r="BE261" s="3" t="n"/>
      <c r="BF261" s="3" t="n"/>
      <c r="BG261" s="3" t="n"/>
      <c r="BH261" s="3" t="n"/>
      <c r="BI261" s="3" t="n"/>
      <c r="BJ261" s="3" t="n"/>
      <c r="BK261" s="3" t="n"/>
      <c r="BL261" s="3" t="n"/>
      <c r="BM261" s="3" t="n"/>
      <c r="BN261" s="3" t="n"/>
      <c r="BO261" s="3" t="n"/>
      <c r="BP261" s="3" t="n"/>
      <c r="BQ261" s="3" t="n"/>
      <c r="BR261" s="3" t="n"/>
      <c r="BS261" s="3" t="n"/>
      <c r="BT261" s="3" t="n"/>
      <c r="BU261" s="3" t="n"/>
      <c r="BV261" s="3" t="n"/>
      <c r="BW261" s="3" t="n"/>
      <c r="BX261" s="3" t="n"/>
      <c r="BY261" s="3" t="n"/>
      <c r="BZ261" s="3" t="n"/>
      <c r="CA261" s="3" t="n"/>
      <c r="CB261" s="3" t="n"/>
      <c r="CC261" s="3" t="n"/>
      <c r="CD261" s="3" t="n"/>
      <c r="CE261" s="3" t="n"/>
      <c r="CF261" s="3" t="n"/>
      <c r="CG261" s="3" t="n"/>
      <c r="CH261" s="3" t="n"/>
      <c r="CI261" s="3" t="n"/>
      <c r="CJ261" s="3" t="n"/>
      <c r="CK261" s="3" t="n"/>
      <c r="CL261" s="3" t="n"/>
      <c r="CM261" s="3" t="n"/>
      <c r="CN261" s="3" t="n"/>
      <c r="CO261" s="3" t="n"/>
      <c r="CP261" s="3" t="n"/>
      <c r="CQ261" s="3" t="n"/>
      <c r="CR261" s="3" t="n"/>
      <c r="CS261" s="3" t="n"/>
      <c r="CT261" s="3" t="n"/>
      <c r="CU261" s="3" t="n"/>
      <c r="CV261" s="3" t="n"/>
      <c r="CW261" s="3" t="n"/>
      <c r="CX261" s="3" t="n"/>
      <c r="CY261" s="3" t="n"/>
    </row>
    <row r="262">
      <c r="C262" s="10" t="inlineStr">
        <is>
          <t>Net Income</t>
        </is>
      </c>
      <c r="D262" s="12" t="n"/>
      <c r="E262" s="12" t="n"/>
      <c r="F262" s="12" t="n"/>
      <c r="G262" s="12" t="n"/>
      <c r="H262" s="12" t="n"/>
      <c r="I262" s="12" t="n"/>
      <c r="J262" s="12">
        <f>J122</f>
        <v>1220</v>
      </c>
      <c r="K262" s="12">
        <f>K122</f>
        <v>1670</v>
      </c>
      <c r="L262" s="12">
        <f>L122</f>
        <v>1324</v>
      </c>
      <c r="M262" s="12" t="n"/>
      <c r="N262" s="12">
        <f>N122</f>
        <v>1299</v>
      </c>
      <c r="O262" s="12">
        <f>O122</f>
        <v>1353</v>
      </c>
      <c r="P262" s="12">
        <f>P122</f>
        <v>1868</v>
      </c>
      <c r="Q262" s="12">
        <f>Q122</f>
        <v>1364</v>
      </c>
      <c r="R262" s="12">
        <f>SUM(N262:Q262)</f>
        <v>5884</v>
      </c>
      <c r="S262" s="12">
        <f>S122</f>
        <v>1466</v>
      </c>
      <c r="T262" s="12">
        <f>T122</f>
        <v>1302</v>
      </c>
      <c r="U262" s="12">
        <f>U122</f>
        <v>2160</v>
      </c>
      <c r="V262" s="12">
        <f>V122</f>
        <v>1589</v>
      </c>
      <c r="W262" s="12">
        <f>SUM(S262:V262)</f>
        <v>6517</v>
      </c>
      <c r="X262" s="12">
        <f>X122</f>
        <v>1743</v>
      </c>
      <c r="Y262" s="12">
        <f>Y122</f>
        <v>1681</v>
      </c>
      <c r="Z262" s="12">
        <f>Z122</f>
        <v>2354</v>
      </c>
      <c r="AA262" s="12">
        <f>AA122</f>
        <v>1798</v>
      </c>
      <c r="AB262" s="12">
        <f>SUM(X262:AA262)</f>
        <v>7576</v>
      </c>
      <c r="AC262" s="12">
        <f>AC122</f>
        <v>1788</v>
      </c>
      <c r="AD262" s="12">
        <f>AD122</f>
        <v>1903</v>
      </c>
      <c r="AE262" s="12">
        <f>AE122</f>
        <v>2610</v>
      </c>
      <c r="AF262" s="12">
        <f>AF122</f>
        <v>2001</v>
      </c>
      <c r="AG262" s="12">
        <f>SUM(AC262:AF262)</f>
        <v>8302</v>
      </c>
      <c r="AH262" s="12">
        <f>AH122</f>
        <v>2035</v>
      </c>
      <c r="AI262" s="12">
        <f>AI122</f>
        <v>2192</v>
      </c>
      <c r="AJ262" s="12">
        <f>AJ122</f>
        <v>2833.70220508615</v>
      </c>
      <c r="AK262" s="12">
        <f>AK122</f>
        <v>2213.75173310893</v>
      </c>
      <c r="AL262" s="12">
        <f>SUM(AH262:AK262)</f>
        <v>9274.45393819508</v>
      </c>
      <c r="AM262" s="12">
        <f>AM122</f>
        <v>2289.07066678328</v>
      </c>
      <c r="AN262" s="12">
        <f>AN122</f>
        <v>2319.65870534972</v>
      </c>
      <c r="AO262" s="12">
        <f>AO122</f>
        <v>3089.93626373941</v>
      </c>
      <c r="AP262" s="12">
        <f>AP122</f>
        <v>2413.92752801323</v>
      </c>
      <c r="AQ262" s="12">
        <f>SUM(AM262:AP262)</f>
        <v>10112.5931638856</v>
      </c>
      <c r="AR262" s="12">
        <f>AR122</f>
        <v>2484.61173087927</v>
      </c>
      <c r="AS262" s="12">
        <f>AS122</f>
        <v>2517.81271525673</v>
      </c>
      <c r="AT262" s="12">
        <f>AT122</f>
        <v>3353.89029266829</v>
      </c>
      <c r="AU262" s="12">
        <f>AU122</f>
        <v>2620.13433688454</v>
      </c>
      <c r="AV262" s="12">
        <f>SUM(AR262:AU262)</f>
        <v>10976.4490756888</v>
      </c>
      <c r="AW262" s="12">
        <f>AW122</f>
        <v>2684.43359273851</v>
      </c>
      <c r="AX262" s="12">
        <f>AX122</f>
        <v>2720.30472570755</v>
      </c>
      <c r="AY262" s="12">
        <f>AY122</f>
        <v>3623.62282046065</v>
      </c>
      <c r="AZ262" s="12">
        <f>AZ122</f>
        <v>2830.85543870125</v>
      </c>
      <c r="BA262" s="12">
        <f>SUM(AW262:AZ262)</f>
        <v>11859.216577608</v>
      </c>
      <c r="BB262" s="12">
        <f>BB122</f>
        <v>2886.9037156595</v>
      </c>
      <c r="BC262" s="12">
        <f>BC122</f>
        <v>2925.48038499242</v>
      </c>
      <c r="BD262" s="12">
        <f>BD122</f>
        <v>3896.9301430417</v>
      </c>
      <c r="BE262" s="12">
        <f>BE122</f>
        <v>3044.36925040284</v>
      </c>
      <c r="BF262" s="12">
        <f>SUM(BB262:BE262)</f>
        <v>12753.6834940965</v>
      </c>
      <c r="BG262" s="12" t="n"/>
      <c r="BH262" s="12" t="n"/>
      <c r="BI262" s="12" t="n"/>
      <c r="BJ262" s="12" t="n"/>
      <c r="BK262" s="12" t="n"/>
      <c r="BL262" s="12" t="n"/>
      <c r="BM262" s="12" t="n"/>
      <c r="BN262" s="12" t="n"/>
      <c r="BO262" s="12" t="n"/>
      <c r="BP262" s="12" t="n"/>
      <c r="BQ262" s="12" t="n"/>
      <c r="BR262" s="12" t="n"/>
      <c r="BS262" s="12" t="n"/>
      <c r="BT262" s="12" t="n"/>
      <c r="BU262" s="12" t="n"/>
      <c r="BV262" s="12" t="n"/>
      <c r="BW262" s="12" t="n"/>
      <c r="BX262" s="12" t="n"/>
      <c r="BY262" s="12" t="n"/>
      <c r="BZ262" s="12" t="n"/>
      <c r="CA262" s="12" t="n"/>
      <c r="CB262" s="12" t="n"/>
      <c r="CC262" s="12" t="n"/>
      <c r="CD262" s="12" t="n"/>
      <c r="CE262" s="12" t="n"/>
      <c r="CF262" s="12" t="n"/>
      <c r="CG262" s="12" t="n"/>
      <c r="CH262" s="12" t="n"/>
      <c r="CI262" s="12" t="n"/>
      <c r="CJ262" s="12" t="n"/>
      <c r="CK262" s="12" t="n"/>
      <c r="CL262" s="12" t="n"/>
      <c r="CM262" s="12" t="n"/>
      <c r="CN262" s="12" t="n"/>
      <c r="CO262" s="12" t="n"/>
      <c r="CP262" s="12" t="n"/>
      <c r="CQ262" s="12" t="n"/>
      <c r="CR262" s="12" t="n"/>
      <c r="CS262" s="12" t="n"/>
      <c r="CT262" s="12" t="n"/>
      <c r="CU262" s="12" t="n"/>
      <c r="CV262" s="12" t="n"/>
      <c r="CW262" s="12" t="n"/>
      <c r="CX262" s="12" t="n"/>
      <c r="CY262" s="12" t="n"/>
    </row>
    <row r="263">
      <c r="C263" s="10" t="inlineStr">
        <is>
          <t>Depreciation &amp; amortization</t>
        </is>
      </c>
      <c r="D263" s="12" t="n"/>
      <c r="E263" s="12" t="n"/>
      <c r="F263" s="12" t="n"/>
      <c r="G263" s="12" t="n"/>
      <c r="H263" s="12" t="n"/>
      <c r="I263" s="12" t="n"/>
      <c r="J263" s="12">
        <f>-J55</f>
        <v>402</v>
      </c>
      <c r="K263" s="12">
        <f>-K55</f>
        <v>559</v>
      </c>
      <c r="L263" s="12">
        <f>-L55</f>
        <v>432</v>
      </c>
      <c r="M263" s="12" t="n"/>
      <c r="N263" s="12">
        <f>-N55</f>
        <v>436</v>
      </c>
      <c r="O263" s="12">
        <f>-O55</f>
        <v>438</v>
      </c>
      <c r="P263" s="12">
        <f>-P55</f>
        <v>594</v>
      </c>
      <c r="Q263" s="12">
        <f>-Q55</f>
        <v>447</v>
      </c>
      <c r="R263" s="12">
        <f>SUM(N263:Q263)</f>
        <v>1915</v>
      </c>
      <c r="S263" s="12">
        <f>-S55</f>
        <v>470</v>
      </c>
      <c r="T263" s="12">
        <f>-T55</f>
        <v>472</v>
      </c>
      <c r="U263" s="12">
        <f>-U55</f>
        <v>688</v>
      </c>
      <c r="V263" s="12">
        <f>-V55</f>
        <v>501</v>
      </c>
      <c r="W263" s="12">
        <f>SUM(S263:V263)</f>
        <v>2131</v>
      </c>
      <c r="X263" s="12">
        <f>-X55</f>
        <v>514</v>
      </c>
      <c r="Y263" s="12">
        <f>-Y55</f>
        <v>516</v>
      </c>
      <c r="Z263" s="12">
        <f>-Z55</f>
        <v>706</v>
      </c>
      <c r="AA263" s="12">
        <f>-AA55</f>
        <v>548</v>
      </c>
      <c r="AB263" s="12">
        <f>SUM(X263:AA263)</f>
        <v>2284</v>
      </c>
      <c r="AC263" s="12">
        <f>-AC55</f>
        <v>552</v>
      </c>
      <c r="AD263" s="12">
        <f>-AD55</f>
        <v>552</v>
      </c>
      <c r="AE263" s="12">
        <f>-AE55</f>
        <v>774</v>
      </c>
      <c r="AF263" s="12">
        <f>-AF55</f>
        <v>597</v>
      </c>
      <c r="AG263" s="12">
        <f>SUM(AC263:AF263)</f>
        <v>2475</v>
      </c>
      <c r="AH263" s="12">
        <f>-AH55</f>
        <v>597</v>
      </c>
      <c r="AI263" s="12">
        <f>-AI55</f>
        <v>597</v>
      </c>
      <c r="AJ263" s="12">
        <f>-AJ55</f>
        <v>818.780006287513</v>
      </c>
      <c r="AK263" s="12">
        <f>-AK55</f>
        <v>639.649309197196</v>
      </c>
      <c r="AL263" s="12">
        <f>SUM(AH263:AK263)</f>
        <v>2652.42931548471</v>
      </c>
      <c r="AM263" s="12">
        <f>-AM55</f>
        <v>661.412230112726</v>
      </c>
      <c r="AN263" s="12">
        <f>-AN55</f>
        <v>670.250446903749</v>
      </c>
      <c r="AO263" s="12">
        <f>-AO55</f>
        <v>892.817187674684</v>
      </c>
      <c r="AP263" s="12">
        <f>-AP55</f>
        <v>697.488816226612</v>
      </c>
      <c r="AQ263" s="12">
        <f>SUM(AM263:AP263)</f>
        <v>2921.96868091777</v>
      </c>
      <c r="AR263" s="12">
        <f>-AR55</f>
        <v>717.912561517561</v>
      </c>
      <c r="AS263" s="12">
        <f>-AS55</f>
        <v>727.505772176229</v>
      </c>
      <c r="AT263" s="12">
        <f>-AT55</f>
        <v>969.085004765026</v>
      </c>
      <c r="AU263" s="12">
        <f>-AU55</f>
        <v>757.070945908812</v>
      </c>
      <c r="AV263" s="12">
        <f>SUM(AR263:AU263)</f>
        <v>3171.57428436763</v>
      </c>
      <c r="AW263" s="12">
        <f>-AW55</f>
        <v>775.649801872539</v>
      </c>
      <c r="AX263" s="12">
        <f>-AX55</f>
        <v>786.014534773978</v>
      </c>
      <c r="AY263" s="12">
        <f>-AY55</f>
        <v>1047.0224818949</v>
      </c>
      <c r="AZ263" s="12">
        <f>-AZ55</f>
        <v>817.957451470587</v>
      </c>
      <c r="BA263" s="12">
        <f>SUM(AW263:AZ263)</f>
        <v>3426.644270012</v>
      </c>
      <c r="BB263" s="12">
        <f>-BB55</f>
        <v>834.152240209472</v>
      </c>
      <c r="BC263" s="12">
        <f>-BC55</f>
        <v>845.298720422625</v>
      </c>
      <c r="BD263" s="12">
        <f>-BD55</f>
        <v>1125.99287296128</v>
      </c>
      <c r="BE263" s="12">
        <f>-BE55</f>
        <v>879.650892571674</v>
      </c>
      <c r="BF263" s="12">
        <f>SUM(BB263:BE263)</f>
        <v>3685.09472616506</v>
      </c>
      <c r="BG263" s="12" t="n"/>
      <c r="BH263" s="12" t="n"/>
      <c r="BI263" s="12" t="n"/>
      <c r="BJ263" s="12" t="n"/>
      <c r="BK263" s="12" t="n"/>
      <c r="BL263" s="12" t="n"/>
      <c r="BM263" s="12" t="n"/>
      <c r="BN263" s="12" t="n"/>
      <c r="BO263" s="12" t="n"/>
      <c r="BP263" s="12" t="n"/>
      <c r="BQ263" s="12" t="n"/>
      <c r="BR263" s="12" t="n"/>
      <c r="BS263" s="12" t="n"/>
      <c r="BT263" s="12" t="n"/>
      <c r="BU263" s="12" t="n"/>
      <c r="BV263" s="12" t="n"/>
      <c r="BW263" s="12" t="n"/>
      <c r="BX263" s="12" t="n"/>
      <c r="BY263" s="12" t="n"/>
      <c r="BZ263" s="12" t="n"/>
      <c r="CA263" s="12" t="n"/>
      <c r="CB263" s="12" t="n"/>
      <c r="CC263" s="12" t="n"/>
      <c r="CD263" s="12" t="n"/>
      <c r="CE263" s="12" t="n"/>
      <c r="CF263" s="12" t="n"/>
      <c r="CG263" s="12" t="n"/>
      <c r="CH263" s="12" t="n"/>
      <c r="CI263" s="12" t="n"/>
      <c r="CJ263" s="12" t="n"/>
      <c r="CK263" s="12" t="n"/>
      <c r="CL263" s="12" t="n"/>
      <c r="CM263" s="12" t="n"/>
      <c r="CN263" s="12" t="n"/>
      <c r="CO263" s="12" t="n"/>
      <c r="CP263" s="12" t="n"/>
      <c r="CQ263" s="12" t="n"/>
      <c r="CR263" s="12" t="n"/>
      <c r="CS263" s="12" t="n"/>
      <c r="CT263" s="12" t="n"/>
      <c r="CU263" s="12" t="n"/>
      <c r="CV263" s="12" t="n"/>
      <c r="CW263" s="12" t="n"/>
      <c r="CX263" s="12" t="n"/>
      <c r="CY263" s="12" t="n"/>
    </row>
    <row r="264">
      <c r="C264" s="10" t="inlineStr">
        <is>
          <t xml:space="preserve">Changes in working capital </t>
        </is>
      </c>
      <c r="D264" s="12" t="n"/>
      <c r="E264" s="12" t="n"/>
      <c r="F264" s="12" t="n"/>
      <c r="G264" s="12" t="n"/>
      <c r="H264" s="12" t="n"/>
      <c r="I264" s="12" t="n"/>
      <c r="J264" s="12">
        <f>SUM(J265:J274)</f>
        <v>1685</v>
      </c>
      <c r="K264" s="12">
        <f>SUM(K265:K274)</f>
        <v>212</v>
      </c>
      <c r="L264" s="12">
        <f>SUM(L265:L274)</f>
        <v>857</v>
      </c>
      <c r="M264" s="12" t="n"/>
      <c r="N264" s="12">
        <f>SUM(N265:N274)</f>
        <v>-893</v>
      </c>
      <c r="O264" s="12">
        <f>SUM(O265:O274)</f>
        <v>-685</v>
      </c>
      <c r="P264" s="12">
        <f>SUM(P265:P274)</f>
        <v>-313</v>
      </c>
      <c r="Q264" s="12">
        <f>SUM(Q265:Q274)</f>
        <v>241</v>
      </c>
      <c r="R264" s="12">
        <f>SUM(N264:Q264)</f>
        <v>-1650</v>
      </c>
      <c r="S264" s="12">
        <f>SUM(S265:S274)</f>
        <v>1296</v>
      </c>
      <c r="T264" s="12">
        <f>SUM(T265:T274)</f>
        <v>-688</v>
      </c>
      <c r="U264" s="12">
        <f>SUM(U265:U274)</f>
        <v>730</v>
      </c>
      <c r="V264" s="12">
        <f>SUM(V265:V274)</f>
        <v>1615</v>
      </c>
      <c r="W264" s="12">
        <f>SUM(S264:V264)</f>
        <v>2953</v>
      </c>
      <c r="X264" s="12">
        <f>SUM(X265:X274)</f>
        <v>-1689</v>
      </c>
      <c r="Y264" s="12">
        <f>SUM(Y265:Y274)</f>
        <v>712</v>
      </c>
      <c r="Z264" s="12">
        <f>SUM(Z265:Z274)</f>
        <v>-236</v>
      </c>
      <c r="AA264" s="12">
        <f>SUM(AA265:AA274)</f>
        <v>334</v>
      </c>
      <c r="AB264" s="12">
        <f>SUM(X264:AA264)</f>
        <v>-879</v>
      </c>
      <c r="AC264" s="12">
        <f>SUM(AC265:AC274)</f>
        <v>667</v>
      </c>
      <c r="AD264" s="12">
        <f>SUM(AD265:AD274)</f>
        <v>1018</v>
      </c>
      <c r="AE264" s="12">
        <f>SUM(AE265:AE274)</f>
        <v>-266</v>
      </c>
      <c r="AF264" s="12">
        <f>SUM(AF265:AF274)</f>
        <v>1565</v>
      </c>
      <c r="AG264" s="12">
        <f>SUM(AC264:AF264)</f>
        <v>2984</v>
      </c>
      <c r="AH264" s="12">
        <f>SUM(AH265:AH274)</f>
        <v>293</v>
      </c>
      <c r="AI264" s="12">
        <f>SUM(AI265:AI274)</f>
        <v>1074</v>
      </c>
      <c r="AJ264" s="12">
        <f>SUM(AJ265:AJ274)</f>
        <v>-755.848427212151</v>
      </c>
      <c r="AK264" s="12">
        <f>SUM(AK265:AK274)</f>
        <v>1308.19363874481</v>
      </c>
      <c r="AL264" s="12">
        <f>SUM(AH264:AK264)</f>
        <v>1919.34521153266</v>
      </c>
      <c r="AM264" s="12">
        <f>SUM(AM265:AM274)</f>
        <v>775.588495888057</v>
      </c>
      <c r="AN264" s="12">
        <f>SUM(AN265:AN274)</f>
        <v>953.138103773337</v>
      </c>
      <c r="AO264" s="12">
        <f>SUM(AO265:AO274)</f>
        <v>439.619009781782</v>
      </c>
      <c r="AP264" s="12">
        <f>SUM(AP265:AP274)</f>
        <v>1686.84050735205</v>
      </c>
      <c r="AQ264" s="12">
        <f>SUM(AM264:AP264)</f>
        <v>3855.18611679523</v>
      </c>
      <c r="AR264" s="12">
        <f>SUM(AR265:AR274)</f>
        <v>1093.12080047873</v>
      </c>
      <c r="AS264" s="12">
        <f>SUM(AS265:AS274)</f>
        <v>1245.56252202449</v>
      </c>
      <c r="AT264" s="12">
        <f>SUM(AT265:AT274)</f>
        <v>725.586349353107</v>
      </c>
      <c r="AU264" s="12">
        <f>SUM(AU265:AU274)</f>
        <v>2094.90507512481</v>
      </c>
      <c r="AV264" s="12">
        <f>SUM(AR264:AU264)</f>
        <v>5159.17474698113</v>
      </c>
      <c r="AW264" s="12">
        <f>SUM(AW265:AW274)</f>
        <v>1431.79291846314</v>
      </c>
      <c r="AX264" s="12">
        <f>SUM(AX265:AX274)</f>
        <v>1650.64869665306</v>
      </c>
      <c r="AY264" s="12">
        <f>SUM(AY265:AY274)</f>
        <v>1080.06535843962</v>
      </c>
      <c r="AZ264" s="12">
        <f>SUM(AZ265:AZ274)</f>
        <v>2575.8621680332</v>
      </c>
      <c r="BA264" s="12">
        <f>SUM(AW264:AZ264)</f>
        <v>6738.36914158903</v>
      </c>
      <c r="BB264" s="12">
        <f>SUM(BB265:BB274)</f>
        <v>1860.6976938126</v>
      </c>
      <c r="BC264" s="12">
        <f>SUM(BC265:BC274)</f>
        <v>2100.59364231554</v>
      </c>
      <c r="BD264" s="12">
        <f>SUM(BD265:BD274)</f>
        <v>1502.61878496149</v>
      </c>
      <c r="BE264" s="12">
        <f>SUM(BE265:BE274)</f>
        <v>3127.34224041681</v>
      </c>
      <c r="BF264" s="12">
        <f>SUM(BB264:BE264)</f>
        <v>8591.25236150643</v>
      </c>
      <c r="BG264" s="12" t="n"/>
      <c r="BH264" s="12" t="n"/>
      <c r="BI264" s="12" t="n"/>
      <c r="BJ264" s="12" t="n"/>
      <c r="BK264" s="12" t="n"/>
      <c r="BL264" s="12" t="n"/>
      <c r="BM264" s="12" t="n"/>
      <c r="BN264" s="12" t="n"/>
      <c r="BO264" s="12" t="n"/>
      <c r="BP264" s="12" t="n"/>
      <c r="BQ264" s="12" t="n"/>
      <c r="BR264" s="12" t="n"/>
      <c r="BS264" s="12" t="n"/>
      <c r="BT264" s="12" t="n"/>
      <c r="BU264" s="12" t="n"/>
      <c r="BV264" s="12" t="n"/>
      <c r="BW264" s="12" t="n"/>
      <c r="BX264" s="12" t="n"/>
      <c r="BY264" s="12" t="n"/>
      <c r="BZ264" s="12" t="n"/>
      <c r="CA264" s="12" t="n"/>
      <c r="CB264" s="12" t="n"/>
      <c r="CC264" s="12" t="n"/>
      <c r="CD264" s="12" t="n"/>
      <c r="CE264" s="12" t="n"/>
      <c r="CF264" s="12" t="n"/>
      <c r="CG264" s="12" t="n"/>
      <c r="CH264" s="12" t="n"/>
      <c r="CI264" s="12" t="n"/>
      <c r="CJ264" s="12" t="n"/>
      <c r="CK264" s="12" t="n"/>
      <c r="CL264" s="12" t="n"/>
      <c r="CM264" s="12" t="n"/>
      <c r="CN264" s="12" t="n"/>
      <c r="CO264" s="12" t="n"/>
      <c r="CP264" s="12" t="n"/>
      <c r="CQ264" s="12" t="n"/>
      <c r="CR264" s="12" t="n"/>
      <c r="CS264" s="12" t="n"/>
      <c r="CT264" s="12" t="n"/>
      <c r="CU264" s="12" t="n"/>
      <c r="CV264" s="12" t="n"/>
      <c r="CW264" s="12" t="n"/>
      <c r="CX264" s="12" t="n"/>
      <c r="CY264" s="12" t="n"/>
    </row>
    <row r="265" hidden="1" outlineLevel="1">
      <c r="C265" s="10" t="inlineStr">
        <is>
          <t>Accounts receivable</t>
        </is>
      </c>
      <c r="D265" s="12" t="n"/>
      <c r="E265" s="12" t="n"/>
      <c r="F265" s="12" t="n"/>
      <c r="G265" s="12" t="n"/>
      <c r="H265" s="12" t="n"/>
      <c r="I265" s="12" t="n"/>
      <c r="J265" s="12">
        <f>(J130-I130)*-1</f>
        <v>339</v>
      </c>
      <c r="K265" s="12">
        <f>(K130-J130)*-1</f>
        <v>-208</v>
      </c>
      <c r="L265" s="12">
        <f>(L130-K130)*-1</f>
        <v>-129</v>
      </c>
      <c r="M265" s="12" t="n"/>
      <c r="N265" s="12">
        <f>(N130-M130)*-1</f>
        <v>-300</v>
      </c>
      <c r="O265" s="12">
        <f>(O130-N130)*-1</f>
        <v>241</v>
      </c>
      <c r="P265" s="12">
        <f>(P130-O130)*-1</f>
        <v>-250</v>
      </c>
      <c r="Q265" s="12">
        <f>(Q130-P130)*-1</f>
        <v>-71</v>
      </c>
      <c r="R265" s="12">
        <f>SUM(N265:Q265)</f>
        <v>-380</v>
      </c>
      <c r="S265" s="12">
        <f>(S130-R130)*-1</f>
        <v>-402</v>
      </c>
      <c r="T265" s="12">
        <f>(T130-S130)*-1</f>
        <v>212</v>
      </c>
      <c r="U265" s="12">
        <f>(U130-T130)*-1</f>
        <v>217</v>
      </c>
      <c r="V265" s="12">
        <f>(V130-U130)*-1</f>
        <v>-257</v>
      </c>
      <c r="W265" s="12">
        <f>SUM(S265:V265)</f>
        <v>-230</v>
      </c>
      <c r="X265" s="12">
        <f>(X130-W130)*-1</f>
        <v>-237</v>
      </c>
      <c r="Y265" s="12">
        <f>(Y130-X130)*-1</f>
        <v>196</v>
      </c>
      <c r="Z265" s="12">
        <f>(Z130-Y130)*-1</f>
        <v>-138</v>
      </c>
      <c r="AA265" s="12">
        <f>(AA130-Z130)*-1</f>
        <v>-242</v>
      </c>
      <c r="AB265" s="12">
        <f>SUM(X265:AA265)</f>
        <v>-421</v>
      </c>
      <c r="AC265" s="12">
        <f>(AC130-AB130)*-1</f>
        <v>-97</v>
      </c>
      <c r="AD265" s="12">
        <f>(AD130-AC130)*-1</f>
        <v>185</v>
      </c>
      <c r="AE265" s="12">
        <f>(AE130-AD130)*-1</f>
        <v>-328</v>
      </c>
      <c r="AF265" s="12">
        <f>(AF130-AE130)*-1</f>
        <v>-28</v>
      </c>
      <c r="AG265" s="12">
        <f>SUM(AC265:AF265)</f>
        <v>-268</v>
      </c>
      <c r="AH265" s="12">
        <f>(AH130-AG130)*-1</f>
        <v>-551</v>
      </c>
      <c r="AI265" s="12">
        <f>(AI130-AH130)*-1</f>
        <v>32</v>
      </c>
      <c r="AJ265" s="12">
        <f>(AJ130-AI130)*-1</f>
        <v>-679.62435254081</v>
      </c>
      <c r="AK265" s="12">
        <f>(AK130-AJ130)*-1</f>
        <v>969.102435361921</v>
      </c>
      <c r="AL265" s="12">
        <f>SUM(AH265:AK265)</f>
        <v>-229.521917178889</v>
      </c>
      <c r="AM265" s="12">
        <f>(AM130-AL130)*-1</f>
        <v>-197.254942092925</v>
      </c>
      <c r="AN265" s="12">
        <f>(AN130-AM130)*-1</f>
        <v>-8.14510715241931</v>
      </c>
      <c r="AO265" s="12">
        <f>(AO130-AN130)*-1</f>
        <v>-1164.24575447886</v>
      </c>
      <c r="AP265" s="12">
        <f>(AP130-AO130)*-1</f>
        <v>1056.73233867987</v>
      </c>
      <c r="AQ265" s="12">
        <f>SUM(AM265:AP265)</f>
        <v>-312.913465044344</v>
      </c>
      <c r="AR265" s="12">
        <f>(AR130-AQ130)*-1</f>
        <v>-153.173606098795</v>
      </c>
      <c r="AS265" s="12">
        <f>(AS130-AR130)*-1</f>
        <v>-52.4698817354115</v>
      </c>
      <c r="AT265" s="12">
        <f>(AT130-AS130)*-1</f>
        <v>-1263.70002515892</v>
      </c>
      <c r="AU265" s="12">
        <f>(AU130-AT130)*-1</f>
        <v>1147.00240721404</v>
      </c>
      <c r="AV265" s="12">
        <f>SUM(AR265:AU265)</f>
        <v>-322.341105779082</v>
      </c>
      <c r="AW265" s="12">
        <f>(AW130-AV130)*-1</f>
        <v>-193.763026113712</v>
      </c>
      <c r="AX265" s="12">
        <f>(AX130-AW130)*-1</f>
        <v>-9.55191098889645</v>
      </c>
      <c r="AY265" s="12">
        <f>(AY130-AX130)*-1</f>
        <v>-1365.33155523684</v>
      </c>
      <c r="AZ265" s="12">
        <f>(AZ130-AY130)*-1</f>
        <v>1239.24867399208</v>
      </c>
      <c r="BA265" s="12">
        <f>SUM(AW265:AZ265)</f>
        <v>-329.397818347367</v>
      </c>
      <c r="BB265" s="12">
        <f>(BB130-BA130)*-1</f>
        <v>-187.898483108623</v>
      </c>
      <c r="BC265" s="12">
        <f>(BC130-BB130)*-1</f>
        <v>-10.2723522012575</v>
      </c>
      <c r="BD265" s="12">
        <f>(BD130-BC130)*-1</f>
        <v>-1468.31001913496</v>
      </c>
      <c r="BE265" s="12">
        <f>(BE130-BD130)*-1</f>
        <v>1332.71749066595</v>
      </c>
      <c r="BF265" s="12">
        <f>SUM(BB265:BE265)</f>
        <v>-333.763363778885</v>
      </c>
      <c r="BG265" s="12" t="n"/>
      <c r="BH265" s="12" t="n"/>
      <c r="BI265" s="12" t="n"/>
      <c r="BJ265" s="12" t="n"/>
      <c r="BK265" s="12" t="n"/>
      <c r="BL265" s="12" t="n"/>
      <c r="BM265" s="12" t="n"/>
      <c r="BN265" s="12" t="n"/>
      <c r="BO265" s="12" t="n"/>
      <c r="BP265" s="12" t="n"/>
      <c r="BQ265" s="12" t="n"/>
      <c r="BR265" s="12" t="n"/>
      <c r="BS265" s="12" t="n"/>
      <c r="BT265" s="12" t="n"/>
      <c r="BU265" s="12" t="n"/>
      <c r="BV265" s="12" t="n"/>
      <c r="BW265" s="12" t="n"/>
      <c r="BX265" s="12" t="n"/>
      <c r="BY265" s="12" t="n"/>
      <c r="BZ265" s="12" t="n"/>
      <c r="CA265" s="12" t="n"/>
      <c r="CB265" s="12" t="n"/>
      <c r="CC265" s="12" t="n"/>
      <c r="CD265" s="12" t="n"/>
      <c r="CE265" s="12" t="n"/>
      <c r="CF265" s="12" t="n"/>
      <c r="CG265" s="12" t="n"/>
      <c r="CH265" s="12" t="n"/>
      <c r="CI265" s="12" t="n"/>
      <c r="CJ265" s="12" t="n"/>
      <c r="CK265" s="12" t="n"/>
      <c r="CL265" s="12" t="n"/>
      <c r="CM265" s="12" t="n"/>
      <c r="CN265" s="12" t="n"/>
      <c r="CO265" s="12" t="n"/>
      <c r="CP265" s="12" t="n"/>
      <c r="CQ265" s="12" t="n"/>
      <c r="CR265" s="12" t="n"/>
      <c r="CS265" s="12" t="n"/>
      <c r="CT265" s="12" t="n"/>
      <c r="CU265" s="12" t="n"/>
      <c r="CV265" s="12" t="n"/>
      <c r="CW265" s="12" t="n"/>
      <c r="CX265" s="12" t="n"/>
      <c r="CY265" s="12" t="n"/>
    </row>
    <row r="266" hidden="1" outlineLevel="1">
      <c r="C266" s="10" t="inlineStr">
        <is>
          <t>Inventories</t>
        </is>
      </c>
      <c r="D266" s="12" t="n"/>
      <c r="E266" s="12" t="n"/>
      <c r="F266" s="12" t="n"/>
      <c r="G266" s="12" t="n"/>
      <c r="H266" s="12" t="n"/>
      <c r="I266" s="12" t="n"/>
      <c r="J266" s="12">
        <f>(J134-I134)*-1</f>
        <v>-110</v>
      </c>
      <c r="K266" s="12">
        <f>(K134-J134)*-1</f>
        <v>-240</v>
      </c>
      <c r="L266" s="12">
        <f>(L134-K134)*-1</f>
        <v>-2727</v>
      </c>
      <c r="M266" s="12" t="n"/>
      <c r="N266" s="12">
        <f>(N134-M134)*-1</f>
        <v>457</v>
      </c>
      <c r="O266" s="12">
        <f>(O134-N134)*-1</f>
        <v>-1138</v>
      </c>
      <c r="P266" s="12">
        <f>(P134-O134)*-1</f>
        <v>-284</v>
      </c>
      <c r="Q266" s="12">
        <f>(Q134-P134)*-1</f>
        <v>-664</v>
      </c>
      <c r="R266" s="12">
        <f>SUM(N266:Q266)</f>
        <v>-1629</v>
      </c>
      <c r="S266" s="12">
        <f>(S134-R134)*-1</f>
        <v>2490</v>
      </c>
      <c r="T266" s="12">
        <f>(T134-S134)*-1</f>
        <v>-243</v>
      </c>
      <c r="U266" s="12">
        <f>(U134-T134)*-1</f>
        <v>-327</v>
      </c>
      <c r="V266" s="12">
        <f>(V134-U134)*-1</f>
        <v>-1350</v>
      </c>
      <c r="W266" s="12">
        <f>SUM(S266:V266)</f>
        <v>570</v>
      </c>
      <c r="X266" s="12">
        <f>(X134-W134)*-1</f>
        <v>926</v>
      </c>
      <c r="Y266" s="12">
        <f>(Y134-X134)*-1</f>
        <v>-355</v>
      </c>
      <c r="Z266" s="12">
        <f>(Z134-Y134)*-1</f>
        <v>-1217</v>
      </c>
      <c r="AA266" s="12">
        <f>(AA134-Z134)*-1</f>
        <v>-2332</v>
      </c>
      <c r="AB266" s="12">
        <f>SUM(X266:AA266)</f>
        <v>-2978</v>
      </c>
      <c r="AC266" s="12">
        <f>(AC134-AB134)*-1</f>
        <v>2225</v>
      </c>
      <c r="AD266" s="12">
        <f>(AD134-AC134)*-1</f>
        <v>148</v>
      </c>
      <c r="AE266" s="12">
        <f>(AE134-AD134)*-1</f>
        <v>490</v>
      </c>
      <c r="AF266" s="12">
        <f>(AF134-AE134)*-1</f>
        <v>-3025</v>
      </c>
      <c r="AG266" s="12">
        <f>SUM(AC266:AF266)</f>
        <v>-162</v>
      </c>
      <c r="AH266" s="12">
        <f>(AH134-AG134)*-1</f>
        <v>2150</v>
      </c>
      <c r="AI266" s="12">
        <f>(AI134-AH134)*-1</f>
        <v>-427</v>
      </c>
      <c r="AJ266" s="12">
        <f>(AJ134-AI134)*-1</f>
        <v>-6304.18379664111</v>
      </c>
      <c r="AK266" s="12">
        <f>(AK134-AJ134)*-1</f>
        <v>5627.4367703107</v>
      </c>
      <c r="AL266" s="12">
        <f>SUM(AH266:AK266)</f>
        <v>1046.25297366958</v>
      </c>
      <c r="AM266" s="12">
        <f>(AM134-AL134)*-1</f>
        <v>-1145.43073441424</v>
      </c>
      <c r="AN266" s="12">
        <f>(AN134-AM134)*-1</f>
        <v>-47.2974515542628</v>
      </c>
      <c r="AO266" s="12">
        <f>(AO134-AN134)*-1</f>
        <v>-6760.60561749147</v>
      </c>
      <c r="AP266" s="12">
        <f>(AP134-AO134)*-1</f>
        <v>6136.29086262963</v>
      </c>
      <c r="AQ266" s="12">
        <f>SUM(AM266:AP266)</f>
        <v>-1817.04294083034</v>
      </c>
      <c r="AR266" s="12">
        <f>(AR134-AQ134)*-1</f>
        <v>-889.456833197957</v>
      </c>
      <c r="AS266" s="12">
        <f>(AS134-AR134)*-1</f>
        <v>-304.684965218807</v>
      </c>
      <c r="AT266" s="12">
        <f>(AT134-AS134)*-1</f>
        <v>-7338.12208981399</v>
      </c>
      <c r="AU266" s="12">
        <f>(AU134-AT134)*-1</f>
        <v>6660.47601003151</v>
      </c>
      <c r="AV266" s="12">
        <f>SUM(AR266:AU266)</f>
        <v>-1871.78787819924</v>
      </c>
      <c r="AW266" s="12">
        <f>(AW134-AV134)*-1</f>
        <v>-1125.15368663969</v>
      </c>
      <c r="AX266" s="12">
        <f>(AX134-AW134)*-1</f>
        <v>-55.4665566448421</v>
      </c>
      <c r="AY266" s="12">
        <f>(AY134-AX134)*-1</f>
        <v>-7928.28159051718</v>
      </c>
      <c r="AZ266" s="12">
        <f>(AZ134-AY134)*-1</f>
        <v>7196.13665296113</v>
      </c>
      <c r="BA266" s="12">
        <f>SUM(AW266:AZ266)</f>
        <v>-1912.76518084059</v>
      </c>
      <c r="BB266" s="12">
        <f>(BB134-BA134)*-1</f>
        <v>-1091.09913910821</v>
      </c>
      <c r="BC266" s="12">
        <f>(BC134-BB134)*-1</f>
        <v>-59.6500538906912</v>
      </c>
      <c r="BD266" s="12">
        <f>(BD134-BC134)*-1</f>
        <v>-8526.26253984165</v>
      </c>
      <c r="BE266" s="12">
        <f>(BE134-BD134)*-1</f>
        <v>7738.89646516976</v>
      </c>
      <c r="BF266" s="12">
        <f>SUM(BB266:BE266)</f>
        <v>-1938.11526767078</v>
      </c>
      <c r="BG266" s="12" t="n"/>
      <c r="BH266" s="12" t="n"/>
      <c r="BI266" s="12" t="n"/>
      <c r="BJ266" s="12" t="n"/>
      <c r="BK266" s="12" t="n"/>
      <c r="BL266" s="12" t="n"/>
      <c r="BM266" s="12" t="n"/>
      <c r="BN266" s="12" t="n"/>
      <c r="BO266" s="12" t="n"/>
      <c r="BP266" s="12" t="n"/>
      <c r="BQ266" s="12" t="n"/>
      <c r="BR266" s="12" t="n"/>
      <c r="BS266" s="12" t="n"/>
      <c r="BT266" s="12" t="n"/>
      <c r="BU266" s="12" t="n"/>
      <c r="BV266" s="12" t="n"/>
      <c r="BW266" s="12" t="n"/>
      <c r="BX266" s="12" t="n"/>
      <c r="BY266" s="12" t="n"/>
      <c r="BZ266" s="12" t="n"/>
      <c r="CA266" s="12" t="n"/>
      <c r="CB266" s="12" t="n"/>
      <c r="CC266" s="12" t="n"/>
      <c r="CD266" s="12" t="n"/>
      <c r="CE266" s="12" t="n"/>
      <c r="CF266" s="12" t="n"/>
      <c r="CG266" s="12" t="n"/>
      <c r="CH266" s="12" t="n"/>
      <c r="CI266" s="12" t="n"/>
      <c r="CJ266" s="12" t="n"/>
      <c r="CK266" s="12" t="n"/>
      <c r="CL266" s="12" t="n"/>
      <c r="CM266" s="12" t="n"/>
      <c r="CN266" s="12" t="n"/>
      <c r="CO266" s="12" t="n"/>
      <c r="CP266" s="12" t="n"/>
      <c r="CQ266" s="12" t="n"/>
      <c r="CR266" s="12" t="n"/>
      <c r="CS266" s="12" t="n"/>
      <c r="CT266" s="12" t="n"/>
      <c r="CU266" s="12" t="n"/>
      <c r="CV266" s="12" t="n"/>
      <c r="CW266" s="12" t="n"/>
      <c r="CX266" s="12" t="n"/>
      <c r="CY266" s="12" t="n"/>
    </row>
    <row r="267" hidden="1" outlineLevel="1">
      <c r="C267" s="10" t="inlineStr">
        <is>
          <t>Deferred income taxes</t>
        </is>
      </c>
      <c r="D267" s="12" t="n"/>
      <c r="E267" s="12" t="n"/>
      <c r="F267" s="12" t="n"/>
      <c r="G267" s="12" t="n"/>
      <c r="H267" s="12" t="n"/>
      <c r="I267" s="12" t="n"/>
      <c r="J267" s="12">
        <f>(J138-I138)*-1</f>
        <v>0</v>
      </c>
      <c r="K267" s="12">
        <f>(K138-J138)*-1</f>
        <v>0</v>
      </c>
      <c r="L267" s="12">
        <f>(L138-K138)*-1</f>
        <v>0</v>
      </c>
      <c r="M267" s="12" t="n"/>
      <c r="N267" s="12">
        <f>(N138-M138)*-1</f>
        <v>0</v>
      </c>
      <c r="O267" s="12">
        <f>(O138-N138)*-1</f>
        <v>0</v>
      </c>
      <c r="P267" s="12">
        <f>(P138-O138)*-1</f>
        <v>0</v>
      </c>
      <c r="Q267" s="12">
        <f>(Q138-P138)*-1</f>
        <v>0</v>
      </c>
      <c r="R267" s="12">
        <f>SUM(N267:Q267)</f>
        <v>0</v>
      </c>
      <c r="S267" s="12">
        <f>(S138-R138)*-1</f>
        <v>0</v>
      </c>
      <c r="T267" s="12">
        <f>(T138-S138)*-1</f>
        <v>0</v>
      </c>
      <c r="U267" s="12">
        <f>(U138-T138)*-1</f>
        <v>0</v>
      </c>
      <c r="V267" s="12">
        <f>(V138-U138)*-1</f>
        <v>0</v>
      </c>
      <c r="W267" s="12">
        <f>SUM(S267:V267)</f>
        <v>0</v>
      </c>
      <c r="X267" s="12">
        <f>(X138-W138)*-1</f>
        <v>0</v>
      </c>
      <c r="Y267" s="12">
        <f>(Y138-X138)*-1</f>
        <v>0</v>
      </c>
      <c r="Z267" s="12">
        <f>(Z138-Y138)*-1</f>
        <v>0</v>
      </c>
      <c r="AA267" s="12">
        <f>(AA138-Z138)*-1</f>
        <v>0</v>
      </c>
      <c r="AB267" s="12">
        <f>SUM(X267:AA267)</f>
        <v>0</v>
      </c>
      <c r="AC267" s="12">
        <f>(AC138-AB138)*-1</f>
        <v>0</v>
      </c>
      <c r="AD267" s="12">
        <f>(AD138-AC138)*-1</f>
        <v>0</v>
      </c>
      <c r="AE267" s="12">
        <f>(AE138-AD138)*-1</f>
        <v>0</v>
      </c>
      <c r="AF267" s="12">
        <f>(AF138-AE138)*-1</f>
        <v>0</v>
      </c>
      <c r="AG267" s="12">
        <f>SUM(AC267:AF267)</f>
        <v>0</v>
      </c>
      <c r="AH267" s="12">
        <f>(AH138-AG138)*-1</f>
        <v>0</v>
      </c>
      <c r="AI267" s="12">
        <f>(AI138-AH138)*-1</f>
        <v>0</v>
      </c>
      <c r="AJ267" s="12">
        <f>(AJ138-AI138)*-1</f>
        <v>0</v>
      </c>
      <c r="AK267" s="12">
        <f>(AK138-AJ138)*-1</f>
        <v>0</v>
      </c>
      <c r="AL267" s="12">
        <f>SUM(AH267:AK267)</f>
        <v>0</v>
      </c>
      <c r="AM267" s="12">
        <f>(AM138-AL138)*-1</f>
        <v>0</v>
      </c>
      <c r="AN267" s="12">
        <f>(AN138-AM138)*-1</f>
        <v>0</v>
      </c>
      <c r="AO267" s="12">
        <f>(AO138-AN138)*-1</f>
        <v>0</v>
      </c>
      <c r="AP267" s="12">
        <f>(AP138-AO138)*-1</f>
        <v>0</v>
      </c>
      <c r="AQ267" s="12">
        <f>SUM(AM267:AP267)</f>
        <v>0</v>
      </c>
      <c r="AR267" s="12">
        <f>(AR138-AQ138)*-1</f>
        <v>0</v>
      </c>
      <c r="AS267" s="12">
        <f>(AS138-AR138)*-1</f>
        <v>0</v>
      </c>
      <c r="AT267" s="12">
        <f>(AT138-AS138)*-1</f>
        <v>0</v>
      </c>
      <c r="AU267" s="12">
        <f>(AU138-AT138)*-1</f>
        <v>0</v>
      </c>
      <c r="AV267" s="12">
        <f>SUM(AR267:AU267)</f>
        <v>0</v>
      </c>
      <c r="AW267" s="12">
        <f>(AW138-AV138)*-1</f>
        <v>0</v>
      </c>
      <c r="AX267" s="12">
        <f>(AX138-AW138)*-1</f>
        <v>0</v>
      </c>
      <c r="AY267" s="12">
        <f>(AY138-AX138)*-1</f>
        <v>0</v>
      </c>
      <c r="AZ267" s="12">
        <f>(AZ138-AY138)*-1</f>
        <v>0</v>
      </c>
      <c r="BA267" s="12">
        <f>SUM(AW267:AZ267)</f>
        <v>0</v>
      </c>
      <c r="BB267" s="12">
        <f>(BB138-BA138)*-1</f>
        <v>0</v>
      </c>
      <c r="BC267" s="12">
        <f>(BC138-BB138)*-1</f>
        <v>0</v>
      </c>
      <c r="BD267" s="12">
        <f>(BD138-BC138)*-1</f>
        <v>0</v>
      </c>
      <c r="BE267" s="12">
        <f>(BE138-BD138)*-1</f>
        <v>0</v>
      </c>
      <c r="BF267" s="12">
        <f>SUM(BB267:BE267)</f>
        <v>0</v>
      </c>
      <c r="BG267" s="12" t="n"/>
      <c r="BH267" s="12" t="n"/>
      <c r="BI267" s="12" t="n"/>
      <c r="BJ267" s="12" t="n"/>
      <c r="BK267" s="12" t="n"/>
      <c r="BL267" s="12" t="n"/>
      <c r="BM267" s="12" t="n"/>
      <c r="BN267" s="12" t="n"/>
      <c r="BO267" s="12" t="n"/>
      <c r="BP267" s="12" t="n"/>
      <c r="BQ267" s="12" t="n"/>
      <c r="BR267" s="12" t="n"/>
      <c r="BS267" s="12" t="n"/>
      <c r="BT267" s="12" t="n"/>
      <c r="BU267" s="12" t="n"/>
      <c r="BV267" s="12" t="n"/>
      <c r="BW267" s="12" t="n"/>
      <c r="BX267" s="12" t="n"/>
      <c r="BY267" s="12" t="n"/>
      <c r="BZ267" s="12" t="n"/>
      <c r="CA267" s="12" t="n"/>
      <c r="CB267" s="12" t="n"/>
      <c r="CC267" s="12" t="n"/>
      <c r="CD267" s="12" t="n"/>
      <c r="CE267" s="12" t="n"/>
      <c r="CF267" s="12" t="n"/>
      <c r="CG267" s="12" t="n"/>
      <c r="CH267" s="12" t="n"/>
      <c r="CI267" s="12" t="n"/>
      <c r="CJ267" s="12" t="n"/>
      <c r="CK267" s="12" t="n"/>
      <c r="CL267" s="12" t="n"/>
      <c r="CM267" s="12" t="n"/>
      <c r="CN267" s="12" t="n"/>
      <c r="CO267" s="12" t="n"/>
      <c r="CP267" s="12" t="n"/>
      <c r="CQ267" s="12" t="n"/>
      <c r="CR267" s="12" t="n"/>
      <c r="CS267" s="12" t="n"/>
      <c r="CT267" s="12" t="n"/>
      <c r="CU267" s="12" t="n"/>
      <c r="CV267" s="12" t="n"/>
      <c r="CW267" s="12" t="n"/>
      <c r="CX267" s="12" t="n"/>
      <c r="CY267" s="12" t="n"/>
    </row>
    <row r="268" hidden="1" outlineLevel="1">
      <c r="C268" s="10" t="inlineStr">
        <is>
          <t>Prepaid expenses</t>
        </is>
      </c>
      <c r="D268" s="12" t="n"/>
      <c r="E268" s="12" t="n"/>
      <c r="F268" s="12" t="n"/>
      <c r="G268" s="12" t="n"/>
      <c r="H268" s="12" t="n"/>
      <c r="I268" s="12" t="n"/>
      <c r="J268" s="12">
        <f>(J139-I139)*-1</f>
        <v>0</v>
      </c>
      <c r="K268" s="12">
        <f>(K139-J139)*-1</f>
        <v>0</v>
      </c>
      <c r="L268" s="12">
        <f>(L139-K139)*-1</f>
        <v>0</v>
      </c>
      <c r="M268" s="12" t="n"/>
      <c r="N268" s="12">
        <f>(N139-M139)*-1</f>
        <v>0</v>
      </c>
      <c r="O268" s="12">
        <f>(O139-N139)*-1</f>
        <v>0</v>
      </c>
      <c r="P268" s="12">
        <f>(P139-O139)*-1</f>
        <v>0</v>
      </c>
      <c r="Q268" s="12">
        <f>(Q139-P139)*-1</f>
        <v>0</v>
      </c>
      <c r="R268" s="12">
        <f>SUM(N268:Q268)</f>
        <v>0</v>
      </c>
      <c r="S268" s="12">
        <f>(S139-R139)*-1</f>
        <v>0</v>
      </c>
      <c r="T268" s="12">
        <f>(T139-S139)*-1</f>
        <v>0</v>
      </c>
      <c r="U268" s="12">
        <f>(U139-T139)*-1</f>
        <v>0</v>
      </c>
      <c r="V268" s="12">
        <f>(V139-U139)*-1</f>
        <v>0</v>
      </c>
      <c r="W268" s="12">
        <f>SUM(S268:V268)</f>
        <v>0</v>
      </c>
      <c r="X268" s="12">
        <f>(X139-W139)*-1</f>
        <v>0</v>
      </c>
      <c r="Y268" s="12">
        <f>(Y139-X139)*-1</f>
        <v>0</v>
      </c>
      <c r="Z268" s="12">
        <f>(Z139-Y139)*-1</f>
        <v>0</v>
      </c>
      <c r="AA268" s="12">
        <f>(AA139-Z139)*-1</f>
        <v>0</v>
      </c>
      <c r="AB268" s="12">
        <f>SUM(X268:AA268)</f>
        <v>0</v>
      </c>
      <c r="AC268" s="12">
        <f>(AC139-AB139)*-1</f>
        <v>0</v>
      </c>
      <c r="AD268" s="12">
        <f>(AD139-AC139)*-1</f>
        <v>0</v>
      </c>
      <c r="AE268" s="12">
        <f>(AE139-AD139)*-1</f>
        <v>0</v>
      </c>
      <c r="AF268" s="12">
        <f>(AF139-AE139)*-1</f>
        <v>0</v>
      </c>
      <c r="AG268" s="12">
        <f>SUM(AC268:AF268)</f>
        <v>0</v>
      </c>
      <c r="AH268" s="12">
        <f>(AH139-AG139)*-1</f>
        <v>0</v>
      </c>
      <c r="AI268" s="12">
        <f>(AI139-AH139)*-1</f>
        <v>0</v>
      </c>
      <c r="AJ268" s="12">
        <f>(AJ139-AI139)*-1</f>
        <v>0</v>
      </c>
      <c r="AK268" s="12">
        <f>(AK139-AJ139)*-1</f>
        <v>0</v>
      </c>
      <c r="AL268" s="12">
        <f>SUM(AH268:AK268)</f>
        <v>0</v>
      </c>
      <c r="AM268" s="12">
        <f>(AM139-AL139)*-1</f>
        <v>0</v>
      </c>
      <c r="AN268" s="12">
        <f>(AN139-AM139)*-1</f>
        <v>0</v>
      </c>
      <c r="AO268" s="12">
        <f>(AO139-AN139)*-1</f>
        <v>0</v>
      </c>
      <c r="AP268" s="12">
        <f>(AP139-AO139)*-1</f>
        <v>0</v>
      </c>
      <c r="AQ268" s="12">
        <f>SUM(AM268:AP268)</f>
        <v>0</v>
      </c>
      <c r="AR268" s="12">
        <f>(AR139-AQ139)*-1</f>
        <v>0</v>
      </c>
      <c r="AS268" s="12">
        <f>(AS139-AR139)*-1</f>
        <v>0</v>
      </c>
      <c r="AT268" s="12">
        <f>(AT139-AS139)*-1</f>
        <v>0</v>
      </c>
      <c r="AU268" s="12">
        <f>(AU139-AT139)*-1</f>
        <v>0</v>
      </c>
      <c r="AV268" s="12">
        <f>SUM(AR268:AU268)</f>
        <v>0</v>
      </c>
      <c r="AW268" s="12">
        <f>(AW139-AV139)*-1</f>
        <v>0</v>
      </c>
      <c r="AX268" s="12">
        <f>(AX139-AW139)*-1</f>
        <v>0</v>
      </c>
      <c r="AY268" s="12">
        <f>(AY139-AX139)*-1</f>
        <v>0</v>
      </c>
      <c r="AZ268" s="12">
        <f>(AZ139-AY139)*-1</f>
        <v>0</v>
      </c>
      <c r="BA268" s="12">
        <f>SUM(AW268:AZ268)</f>
        <v>0</v>
      </c>
      <c r="BB268" s="12">
        <f>(BB139-BA139)*-1</f>
        <v>0</v>
      </c>
      <c r="BC268" s="12">
        <f>(BC139-BB139)*-1</f>
        <v>0</v>
      </c>
      <c r="BD268" s="12">
        <f>(BD139-BC139)*-1</f>
        <v>0</v>
      </c>
      <c r="BE268" s="12">
        <f>(BE139-BD139)*-1</f>
        <v>0</v>
      </c>
      <c r="BF268" s="12">
        <f>SUM(BB268:BE268)</f>
        <v>0</v>
      </c>
      <c r="BG268" s="12" t="n"/>
      <c r="BH268" s="12" t="n"/>
      <c r="BI268" s="12" t="n"/>
      <c r="BJ268" s="12" t="n"/>
      <c r="BK268" s="12" t="n"/>
      <c r="BL268" s="12" t="n"/>
      <c r="BM268" s="12" t="n"/>
      <c r="BN268" s="12" t="n"/>
      <c r="BO268" s="12" t="n"/>
      <c r="BP268" s="12" t="n"/>
      <c r="BQ268" s="12" t="n"/>
      <c r="BR268" s="12" t="n"/>
      <c r="BS268" s="12" t="n"/>
      <c r="BT268" s="12" t="n"/>
      <c r="BU268" s="12" t="n"/>
      <c r="BV268" s="12" t="n"/>
      <c r="BW268" s="12" t="n"/>
      <c r="BX268" s="12" t="n"/>
      <c r="BY268" s="12" t="n"/>
      <c r="BZ268" s="12" t="n"/>
      <c r="CA268" s="12" t="n"/>
      <c r="CB268" s="12" t="n"/>
      <c r="CC268" s="12" t="n"/>
      <c r="CD268" s="12" t="n"/>
      <c r="CE268" s="12" t="n"/>
      <c r="CF268" s="12" t="n"/>
      <c r="CG268" s="12" t="n"/>
      <c r="CH268" s="12" t="n"/>
      <c r="CI268" s="12" t="n"/>
      <c r="CJ268" s="12" t="n"/>
      <c r="CK268" s="12" t="n"/>
      <c r="CL268" s="12" t="n"/>
      <c r="CM268" s="12" t="n"/>
      <c r="CN268" s="12" t="n"/>
      <c r="CO268" s="12" t="n"/>
      <c r="CP268" s="12" t="n"/>
      <c r="CQ268" s="12" t="n"/>
      <c r="CR268" s="12" t="n"/>
      <c r="CS268" s="12" t="n"/>
      <c r="CT268" s="12" t="n"/>
      <c r="CU268" s="12" t="n"/>
      <c r="CV268" s="12" t="n"/>
      <c r="CW268" s="12" t="n"/>
      <c r="CX268" s="12" t="n"/>
      <c r="CY268" s="12" t="n"/>
    </row>
    <row r="269" hidden="1" outlineLevel="1">
      <c r="C269" s="10" t="inlineStr">
        <is>
          <t>Other current assets</t>
        </is>
      </c>
      <c r="D269" s="12" t="n"/>
      <c r="E269" s="12" t="n"/>
      <c r="F269" s="12" t="n"/>
      <c r="G269" s="12" t="n"/>
      <c r="H269" s="12" t="n"/>
      <c r="I269" s="12" t="n"/>
      <c r="J269" s="12">
        <f>(J140-I140)*-1</f>
        <v>35</v>
      </c>
      <c r="K269" s="12">
        <f>(K140-J140)*-1</f>
        <v>-92</v>
      </c>
      <c r="L269" s="12">
        <f>(L140-K140)*-1</f>
        <v>-188</v>
      </c>
      <c r="M269" s="12" t="n"/>
      <c r="N269" s="12">
        <f>(N140-M140)*-1</f>
        <v>-52</v>
      </c>
      <c r="O269" s="12">
        <f>(O140-N140)*-1</f>
        <v>-11</v>
      </c>
      <c r="P269" s="12">
        <f>(P140-O140)*-1</f>
        <v>64</v>
      </c>
      <c r="Q269" s="12">
        <f>(Q140-P140)*-1</f>
        <v>-95</v>
      </c>
      <c r="R269" s="12">
        <f>SUM(N269:Q269)</f>
        <v>-94</v>
      </c>
      <c r="S269" s="12">
        <f>(S140-R140)*-1</f>
        <v>-236</v>
      </c>
      <c r="T269" s="12">
        <f>(T140-S140)*-1</f>
        <v>75</v>
      </c>
      <c r="U269" s="12">
        <f>(U140-T140)*-1</f>
        <v>46</v>
      </c>
      <c r="V269" s="12">
        <f>(V140-U140)*-1</f>
        <v>36</v>
      </c>
      <c r="W269" s="12">
        <f>SUM(S269:V269)</f>
        <v>-79</v>
      </c>
      <c r="X269" s="12">
        <f>(X140-W140)*-1</f>
        <v>-298</v>
      </c>
      <c r="Y269" s="12">
        <f>(Y140-X140)*-1</f>
        <v>195</v>
      </c>
      <c r="Z269" s="12">
        <f>(Z140-Y140)*-1</f>
        <v>42</v>
      </c>
      <c r="AA269" s="12">
        <f>(AA140-Z140)*-1</f>
        <v>-20</v>
      </c>
      <c r="AB269" s="12">
        <f>SUM(X269:AA269)</f>
        <v>-81</v>
      </c>
      <c r="AC269" s="12">
        <f>(AC140-AB140)*-1</f>
        <v>-171</v>
      </c>
      <c r="AD269" s="12">
        <f>(AD140-AC140)*-1</f>
        <v>105</v>
      </c>
      <c r="AE269" s="12">
        <f>(AE140-AD140)*-1</f>
        <v>43</v>
      </c>
      <c r="AF269" s="12">
        <f>(AF140-AE140)*-1</f>
        <v>-79</v>
      </c>
      <c r="AG269" s="12">
        <f>SUM(AC269:AF269)</f>
        <v>-102</v>
      </c>
      <c r="AH269" s="12">
        <f>(AH140-AG140)*-1</f>
        <v>-264</v>
      </c>
      <c r="AI269" s="12">
        <f>(AI140-AH140)*-1</f>
        <v>107</v>
      </c>
      <c r="AJ269" s="12">
        <f>(AJ140-AI140)*-1</f>
        <v>0</v>
      </c>
      <c r="AK269" s="12">
        <f>(AK140-AJ140)*-1</f>
        <v>0</v>
      </c>
      <c r="AL269" s="12">
        <f>SUM(AH269:AK269)</f>
        <v>-157</v>
      </c>
      <c r="AM269" s="12">
        <f>(AM140-AL140)*-1</f>
        <v>0</v>
      </c>
      <c r="AN269" s="12">
        <f>(AN140-AM140)*-1</f>
        <v>0</v>
      </c>
      <c r="AO269" s="12">
        <f>(AO140-AN140)*-1</f>
        <v>0</v>
      </c>
      <c r="AP269" s="12">
        <f>(AP140-AO140)*-1</f>
        <v>0</v>
      </c>
      <c r="AQ269" s="12">
        <f>SUM(AM269:AP269)</f>
        <v>0</v>
      </c>
      <c r="AR269" s="12">
        <f>(AR140-AQ140)*-1</f>
        <v>0</v>
      </c>
      <c r="AS269" s="12">
        <f>(AS140-AR140)*-1</f>
        <v>0</v>
      </c>
      <c r="AT269" s="12">
        <f>(AT140-AS140)*-1</f>
        <v>0</v>
      </c>
      <c r="AU269" s="12">
        <f>(AU140-AT140)*-1</f>
        <v>0</v>
      </c>
      <c r="AV269" s="12">
        <f>SUM(AR269:AU269)</f>
        <v>0</v>
      </c>
      <c r="AW269" s="12">
        <f>(AW140-AV140)*-1</f>
        <v>0</v>
      </c>
      <c r="AX269" s="12">
        <f>(AX140-AW140)*-1</f>
        <v>0</v>
      </c>
      <c r="AY269" s="12">
        <f>(AY140-AX140)*-1</f>
        <v>0</v>
      </c>
      <c r="AZ269" s="12">
        <f>(AZ140-AY140)*-1</f>
        <v>0</v>
      </c>
      <c r="BA269" s="12">
        <f>SUM(AW269:AZ269)</f>
        <v>0</v>
      </c>
      <c r="BB269" s="12">
        <f>(BB140-BA140)*-1</f>
        <v>0</v>
      </c>
      <c r="BC269" s="12">
        <f>(BC140-BB140)*-1</f>
        <v>0</v>
      </c>
      <c r="BD269" s="12">
        <f>(BD140-BC140)*-1</f>
        <v>0</v>
      </c>
      <c r="BE269" s="12">
        <f>(BE140-BD140)*-1</f>
        <v>0</v>
      </c>
      <c r="BF269" s="12">
        <f>SUM(BB269:BE269)</f>
        <v>0</v>
      </c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 hidden="1" outlineLevel="1">
      <c r="C270" s="10" t="inlineStr">
        <is>
          <t>Accounts payable</t>
        </is>
      </c>
      <c r="D270" s="12" t="n"/>
      <c r="E270" s="12" t="n"/>
      <c r="F270" s="12" t="n"/>
      <c r="G270" s="12" t="n"/>
      <c r="H270" s="12" t="n"/>
      <c r="I270" s="12" t="n"/>
      <c r="J270" s="12">
        <f>J183-I183</f>
        <v>1155</v>
      </c>
      <c r="K270" s="12">
        <f>K183-J183</f>
        <v>740</v>
      </c>
      <c r="L270" s="12">
        <f>L183-K183</f>
        <v>3283</v>
      </c>
      <c r="M270" s="12" t="n"/>
      <c r="N270" s="12">
        <f>N183-M183</f>
        <v>-2472</v>
      </c>
      <c r="O270" s="12">
        <f>O183-N183</f>
        <v>562</v>
      </c>
      <c r="P270" s="12">
        <f>P183-O183</f>
        <v>197</v>
      </c>
      <c r="Q270" s="12">
        <f>Q183-P183</f>
        <v>500</v>
      </c>
      <c r="R270" s="12">
        <f>SUM(N270:Q270)</f>
        <v>-1213</v>
      </c>
      <c r="S270" s="12">
        <f>S183-R183</f>
        <v>-1941</v>
      </c>
      <c r="T270" s="12">
        <f>T183-S183</f>
        <v>446</v>
      </c>
      <c r="U270" s="12">
        <f>U183-T183</f>
        <v>630</v>
      </c>
      <c r="V270" s="12">
        <f>V183-U183</f>
        <v>2874</v>
      </c>
      <c r="W270" s="12">
        <f>SUM(S270:V270)</f>
        <v>2009</v>
      </c>
      <c r="X270" s="12">
        <f>X183-W183</f>
        <v>-2863</v>
      </c>
      <c r="Y270" s="12">
        <f>Y183-X183</f>
        <v>1350</v>
      </c>
      <c r="Z270" s="12">
        <f>Z183-Y183</f>
        <v>577</v>
      </c>
      <c r="AA270" s="12">
        <f>AA183-Z183</f>
        <v>2372</v>
      </c>
      <c r="AB270" s="12">
        <f>SUM(X270:AA270)</f>
        <v>1436</v>
      </c>
      <c r="AC270" s="12">
        <f>AC183-AB183</f>
        <v>-3183</v>
      </c>
      <c r="AD270" s="12">
        <f>AD183-AC183</f>
        <v>1210</v>
      </c>
      <c r="AE270" s="12">
        <f>AE183-AD183</f>
        <v>-37</v>
      </c>
      <c r="AF270" s="12">
        <f>AF183-AE183</f>
        <v>3730</v>
      </c>
      <c r="AG270" s="12">
        <f>SUM(AC270:AF270)</f>
        <v>1720</v>
      </c>
      <c r="AH270" s="12">
        <f>AH183-AG183</f>
        <v>-2866</v>
      </c>
      <c r="AI270" s="12">
        <f>AI183-AH183</f>
        <v>1716</v>
      </c>
      <c r="AJ270" s="12">
        <f>AJ183-AI183</f>
        <v>5489.55915214034</v>
      </c>
      <c r="AK270" s="12">
        <f>AK183-AJ183</f>
        <v>-6093.51510583933</v>
      </c>
      <c r="AL270" s="12">
        <f>SUM(AH270:AK270)</f>
        <v>-1753.95595369898</v>
      </c>
      <c r="AM270" s="12">
        <f>AM183-AL183</f>
        <v>1240.29816197481</v>
      </c>
      <c r="AN270" s="12">
        <f>AN183-AM183</f>
        <v>51.2147443457943</v>
      </c>
      <c r="AO270" s="12">
        <f>AO183-AN183</f>
        <v>7320.53582052635</v>
      </c>
      <c r="AP270" s="12">
        <f>AP183-AO183</f>
        <v>-6644.51376202546</v>
      </c>
      <c r="AQ270" s="12">
        <f>SUM(AM270:AP270)</f>
        <v>1967.53496482149</v>
      </c>
      <c r="AR270" s="12">
        <f>AR183-AQ183</f>
        <v>963.123864434736</v>
      </c>
      <c r="AS270" s="12">
        <f>AS183-AR183</f>
        <v>329.91973323948</v>
      </c>
      <c r="AT270" s="12">
        <f>AT183-AS183</f>
        <v>7945.88364611799</v>
      </c>
      <c r="AU270" s="12">
        <f>AU183-AT183</f>
        <v>-7212.11322947778</v>
      </c>
      <c r="AV270" s="12">
        <f>SUM(AR270:AU270)</f>
        <v>2026.81401431443</v>
      </c>
      <c r="AW270" s="12">
        <f>AW183-AV183</f>
        <v>1218.34171857808</v>
      </c>
      <c r="AX270" s="12">
        <f>AX183-AW183</f>
        <v>60.0604350754074</v>
      </c>
      <c r="AY270" s="12">
        <f>AY183-AX183</f>
        <v>8584.92162720418</v>
      </c>
      <c r="AZ270" s="12">
        <f>AZ183-AY183</f>
        <v>-7792.13862159161</v>
      </c>
      <c r="BA270" s="12">
        <f>SUM(AW270:AZ270)</f>
        <v>2071.18515926606</v>
      </c>
      <c r="BB270" s="12">
        <f>BB183-BA183</f>
        <v>1181.46668856434</v>
      </c>
      <c r="BC270" s="12">
        <f>BC183-BB183</f>
        <v>64.5904199874203</v>
      </c>
      <c r="BD270" s="12">
        <f>BD183-BC183</f>
        <v>9232.42884877561</v>
      </c>
      <c r="BE270" s="12">
        <f>BE183-BD183</f>
        <v>-8379.85115387356</v>
      </c>
      <c r="BF270" s="12">
        <f>SUM(BB270:BE270)</f>
        <v>2098.63480345382</v>
      </c>
      <c r="BG270" s="12" t="n"/>
      <c r="BH270" s="12" t="n"/>
      <c r="BI270" s="12" t="n"/>
      <c r="BJ270" s="12" t="n"/>
      <c r="BK270" s="12" t="n"/>
      <c r="BL270" s="12" t="n"/>
      <c r="BM270" s="12" t="n"/>
      <c r="BN270" s="12" t="n"/>
      <c r="BO270" s="12" t="n"/>
      <c r="BP270" s="12" t="n"/>
      <c r="BQ270" s="12" t="n"/>
      <c r="BR270" s="12" t="n"/>
      <c r="BS270" s="12" t="n"/>
      <c r="BT270" s="12" t="n"/>
      <c r="BU270" s="12" t="n"/>
      <c r="BV270" s="12" t="n"/>
      <c r="BW270" s="12" t="n"/>
      <c r="BX270" s="12" t="n"/>
      <c r="BY270" s="12" t="n"/>
      <c r="BZ270" s="12" t="n"/>
      <c r="CA270" s="12" t="n"/>
      <c r="CB270" s="12" t="n"/>
      <c r="CC270" s="12" t="n"/>
      <c r="CD270" s="12" t="n"/>
      <c r="CE270" s="12" t="n"/>
      <c r="CF270" s="12" t="n"/>
      <c r="CG270" s="12" t="n"/>
      <c r="CH270" s="12" t="n"/>
      <c r="CI270" s="12" t="n"/>
      <c r="CJ270" s="12" t="n"/>
      <c r="CK270" s="12" t="n"/>
      <c r="CL270" s="12" t="n"/>
      <c r="CM270" s="12" t="n"/>
      <c r="CN270" s="12" t="n"/>
      <c r="CO270" s="12" t="n"/>
      <c r="CP270" s="12" t="n"/>
      <c r="CQ270" s="12" t="n"/>
      <c r="CR270" s="12" t="n"/>
      <c r="CS270" s="12" t="n"/>
      <c r="CT270" s="12" t="n"/>
      <c r="CU270" s="12" t="n"/>
      <c r="CV270" s="12" t="n"/>
      <c r="CW270" s="12" t="n"/>
      <c r="CX270" s="12" t="n"/>
      <c r="CY270" s="12" t="n"/>
    </row>
    <row r="271" hidden="1" outlineLevel="1">
      <c r="C271" s="10" t="inlineStr">
        <is>
          <t>Accrued expenses</t>
        </is>
      </c>
      <c r="D271" s="12" t="n"/>
      <c r="E271" s="12" t="n"/>
      <c r="F271" s="12" t="n"/>
      <c r="G271" s="12" t="n"/>
      <c r="H271" s="12" t="n"/>
      <c r="I271" s="12" t="n"/>
      <c r="J271" s="12">
        <f>J187-I187</f>
        <v>-230</v>
      </c>
      <c r="K271" s="12">
        <f>K187-J187</f>
        <v>318</v>
      </c>
      <c r="L271" s="12">
        <f>L187-K187</f>
        <v>-50</v>
      </c>
      <c r="M271" s="12" t="n"/>
      <c r="N271" s="12">
        <f>N187-M187</f>
        <v>434</v>
      </c>
      <c r="O271" s="12">
        <f>O187-N187</f>
        <v>-227</v>
      </c>
      <c r="P271" s="12">
        <f>P187-O187</f>
        <v>374</v>
      </c>
      <c r="Q271" s="12">
        <f>Q187-P187</f>
        <v>-16</v>
      </c>
      <c r="R271" s="12">
        <f>SUM(N271:Q271)</f>
        <v>565</v>
      </c>
      <c r="S271" s="12">
        <f>S187-R187</f>
        <v>223</v>
      </c>
      <c r="T271" s="12">
        <f>T187-S187</f>
        <v>-306</v>
      </c>
      <c r="U271" s="12">
        <f>U187-T187</f>
        <v>235</v>
      </c>
      <c r="V271" s="12">
        <f>V187-U187</f>
        <v>253</v>
      </c>
      <c r="W271" s="12">
        <f>SUM(S271:V271)</f>
        <v>405</v>
      </c>
      <c r="X271" s="12">
        <f>X187-W187</f>
        <v>388</v>
      </c>
      <c r="Y271" s="12">
        <f>Y187-X187</f>
        <v>-365</v>
      </c>
      <c r="Z271" s="12">
        <f>Z187-Y187</f>
        <v>525</v>
      </c>
      <c r="AA271" s="12">
        <f>AA187-Z187</f>
        <v>0</v>
      </c>
      <c r="AB271" s="12">
        <f>SUM(X271:AA271)</f>
        <v>548</v>
      </c>
      <c r="AC271" s="12">
        <f>AC187-AB187</f>
        <v>412</v>
      </c>
      <c r="AD271" s="12">
        <f>AD187-AC187</f>
        <v>-245</v>
      </c>
      <c r="AE271" s="12">
        <f>AE187-AD187</f>
        <v>486</v>
      </c>
      <c r="AF271" s="12">
        <f>AF187-AE187</f>
        <v>2</v>
      </c>
      <c r="AG271" s="12">
        <f>SUM(AC271:AF271)</f>
        <v>655</v>
      </c>
      <c r="AH271" s="12">
        <f>AH187-AG187</f>
        <v>584</v>
      </c>
      <c r="AI271" s="12">
        <f>AI187-AH187</f>
        <v>-302</v>
      </c>
      <c r="AJ271" s="12">
        <f>AJ187-AI187</f>
        <v>738.400569829426</v>
      </c>
      <c r="AK271" s="12">
        <f>AK187-AJ187</f>
        <v>805.169538911525</v>
      </c>
      <c r="AL271" s="12">
        <f>SUM(AH271:AK271)</f>
        <v>1825.57010874095</v>
      </c>
      <c r="AM271" s="12">
        <f>AM187-AL187</f>
        <v>877.976010420412</v>
      </c>
      <c r="AN271" s="12">
        <f>AN187-AM187</f>
        <v>957.365918134225</v>
      </c>
      <c r="AO271" s="12">
        <f>AO187-AN187</f>
        <v>1043.93456122577</v>
      </c>
      <c r="AP271" s="12">
        <f>AP187-AO187</f>
        <v>1138.33106806802</v>
      </c>
      <c r="AQ271" s="12">
        <f>SUM(AM271:AP271)</f>
        <v>4017.60755784843</v>
      </c>
      <c r="AR271" s="12">
        <f>AR187-AQ187</f>
        <v>1172.62737534074</v>
      </c>
      <c r="AS271" s="12">
        <f>AS187-AR187</f>
        <v>1272.79763573923</v>
      </c>
      <c r="AT271" s="12">
        <f>AT187-AS187</f>
        <v>1381.52481820802</v>
      </c>
      <c r="AU271" s="12">
        <f>AU187-AT187</f>
        <v>1499.53988735704</v>
      </c>
      <c r="AV271" s="12">
        <f>SUM(AR271:AU271)</f>
        <v>5326.48971664503</v>
      </c>
      <c r="AW271" s="12">
        <f>AW187-AV187</f>
        <v>1532.36791263847</v>
      </c>
      <c r="AX271" s="12">
        <f>AX187-AW187</f>
        <v>1655.60672921139</v>
      </c>
      <c r="AY271" s="12">
        <f>AY187-AX187</f>
        <v>1788.75687698946</v>
      </c>
      <c r="AZ271" s="12">
        <f>AZ187-AY187</f>
        <v>1932.61546267161</v>
      </c>
      <c r="BA271" s="12">
        <f>SUM(AW271:AZ271)</f>
        <v>6909.34698151093</v>
      </c>
      <c r="BB271" s="12">
        <f>BB187-BA187</f>
        <v>1958.22862746509</v>
      </c>
      <c r="BC271" s="12">
        <f>BC187-BB187</f>
        <v>2105.92562842006</v>
      </c>
      <c r="BD271" s="12">
        <f>BD187-BC187</f>
        <v>2264.76249516248</v>
      </c>
      <c r="BE271" s="12">
        <f>BE187-BD187</f>
        <v>2435.57943845465</v>
      </c>
      <c r="BF271" s="12">
        <f>SUM(BB271:BE271)</f>
        <v>8764.49618950228</v>
      </c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 hidden="1" outlineLevel="1">
      <c r="C272" s="10" t="inlineStr">
        <is>
          <t>Taxes payable</t>
        </is>
      </c>
      <c r="D272" s="12" t="n"/>
      <c r="E272" s="12" t="n"/>
      <c r="F272" s="12" t="n"/>
      <c r="G272" s="12" t="n"/>
      <c r="H272" s="12" t="n"/>
      <c r="I272" s="12" t="n"/>
      <c r="J272" s="12">
        <f>J189-I189</f>
        <v>0</v>
      </c>
      <c r="K272" s="12">
        <f>K189-J189</f>
        <v>0</v>
      </c>
      <c r="L272" s="12">
        <f>L189-K189</f>
        <v>0</v>
      </c>
      <c r="M272" s="12" t="n"/>
      <c r="N272" s="12">
        <f>N189-M189</f>
        <v>0</v>
      </c>
      <c r="O272" s="12">
        <f>O189-N189</f>
        <v>0</v>
      </c>
      <c r="P272" s="12">
        <f>P189-O189</f>
        <v>0</v>
      </c>
      <c r="Q272" s="12">
        <f>Q189-P189</f>
        <v>0</v>
      </c>
      <c r="R272" s="12">
        <f>SUM(N272:Q272)</f>
        <v>0</v>
      </c>
      <c r="S272" s="12">
        <f>S189-R189</f>
        <v>0</v>
      </c>
      <c r="T272" s="12">
        <f>T189-S189</f>
        <v>0</v>
      </c>
      <c r="U272" s="12">
        <f>U189-T189</f>
        <v>0</v>
      </c>
      <c r="V272" s="12">
        <f>V189-U189</f>
        <v>0</v>
      </c>
      <c r="W272" s="12">
        <f>SUM(S272:V272)</f>
        <v>0</v>
      </c>
      <c r="X272" s="12">
        <f>X189-W189</f>
        <v>0</v>
      </c>
      <c r="Y272" s="12">
        <f>Y189-X189</f>
        <v>0</v>
      </c>
      <c r="Z272" s="12">
        <f>Z189-Y189</f>
        <v>0</v>
      </c>
      <c r="AA272" s="12">
        <f>AA189-Z189</f>
        <v>0</v>
      </c>
      <c r="AB272" s="12">
        <f>SUM(X272:AA272)</f>
        <v>0</v>
      </c>
      <c r="AC272" s="12">
        <f>AC189-AB189</f>
        <v>0</v>
      </c>
      <c r="AD272" s="12">
        <f>AD189-AC189</f>
        <v>0</v>
      </c>
      <c r="AE272" s="12">
        <f>AE189-AD189</f>
        <v>0</v>
      </c>
      <c r="AF272" s="12">
        <f>AF189-AE189</f>
        <v>0</v>
      </c>
      <c r="AG272" s="12">
        <f>SUM(AC272:AF272)</f>
        <v>0</v>
      </c>
      <c r="AH272" s="12">
        <f>AH189-AG189</f>
        <v>0</v>
      </c>
      <c r="AI272" s="12">
        <f>AI189-AH189</f>
        <v>0</v>
      </c>
      <c r="AJ272" s="12">
        <f>AJ189-AI189</f>
        <v>0</v>
      </c>
      <c r="AK272" s="12">
        <f>AK189-AJ189</f>
        <v>0</v>
      </c>
      <c r="AL272" s="12">
        <f>SUM(AH272:AK272)</f>
        <v>0</v>
      </c>
      <c r="AM272" s="12">
        <f>AM189-AL189</f>
        <v>0</v>
      </c>
      <c r="AN272" s="12">
        <f>AN189-AM189</f>
        <v>0</v>
      </c>
      <c r="AO272" s="12">
        <f>AO189-AN189</f>
        <v>0</v>
      </c>
      <c r="AP272" s="12">
        <f>AP189-AO189</f>
        <v>0</v>
      </c>
      <c r="AQ272" s="12">
        <f>SUM(AM272:AP272)</f>
        <v>0</v>
      </c>
      <c r="AR272" s="12">
        <f>AR189-AQ189</f>
        <v>0</v>
      </c>
      <c r="AS272" s="12">
        <f>AS189-AR189</f>
        <v>0</v>
      </c>
      <c r="AT272" s="12">
        <f>AT189-AS189</f>
        <v>0</v>
      </c>
      <c r="AU272" s="12">
        <f>AU189-AT189</f>
        <v>0</v>
      </c>
      <c r="AV272" s="12">
        <f>SUM(AR272:AU272)</f>
        <v>0</v>
      </c>
      <c r="AW272" s="12">
        <f>AW189-AV189</f>
        <v>0</v>
      </c>
      <c r="AX272" s="12">
        <f>AX189-AW189</f>
        <v>0</v>
      </c>
      <c r="AY272" s="12">
        <f>AY189-AX189</f>
        <v>0</v>
      </c>
      <c r="AZ272" s="12">
        <f>AZ189-AY189</f>
        <v>0</v>
      </c>
      <c r="BA272" s="12">
        <f>SUM(AW272:AZ272)</f>
        <v>0</v>
      </c>
      <c r="BB272" s="12">
        <f>BB189-BA189</f>
        <v>0</v>
      </c>
      <c r="BC272" s="12">
        <f>BC189-BB189</f>
        <v>0</v>
      </c>
      <c r="BD272" s="12">
        <f>BD189-BC189</f>
        <v>0</v>
      </c>
      <c r="BE272" s="12">
        <f>BE189-BD189</f>
        <v>0</v>
      </c>
      <c r="BF272" s="12">
        <f>SUM(BB272:BE272)</f>
        <v>0</v>
      </c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 hidden="1" outlineLevel="1">
      <c r="C273" s="10" t="inlineStr">
        <is>
          <t>Other current liabilities (non-debt)</t>
        </is>
      </c>
      <c r="D273" s="12" t="n"/>
      <c r="E273" s="12" t="n"/>
      <c r="F273" s="12" t="n"/>
      <c r="G273" s="12" t="n"/>
      <c r="H273" s="12" t="n"/>
      <c r="I273" s="12" t="n"/>
      <c r="J273" s="12">
        <f>J190-I190</f>
        <v>496</v>
      </c>
      <c r="K273" s="12">
        <f>K190-J190</f>
        <v>-306</v>
      </c>
      <c r="L273" s="12">
        <f>L190-K190</f>
        <v>668</v>
      </c>
      <c r="M273" s="12" t="n"/>
      <c r="N273" s="12">
        <f>N190-M190</f>
        <v>1040</v>
      </c>
      <c r="O273" s="12">
        <f>O190-N190</f>
        <v>-112</v>
      </c>
      <c r="P273" s="12">
        <f>P190-O190</f>
        <v>-414</v>
      </c>
      <c r="Q273" s="12">
        <f>Q190-P190</f>
        <v>587</v>
      </c>
      <c r="R273" s="12">
        <f>SUM(N273:Q273)</f>
        <v>1101</v>
      </c>
      <c r="S273" s="12">
        <f>S190-R190</f>
        <v>1162</v>
      </c>
      <c r="T273" s="12">
        <f>T190-S190</f>
        <v>-872</v>
      </c>
      <c r="U273" s="12">
        <f>U190-T190</f>
        <v>-71</v>
      </c>
      <c r="V273" s="12">
        <f>V190-U190</f>
        <v>59</v>
      </c>
      <c r="W273" s="12">
        <f>SUM(S273:V273)</f>
        <v>278</v>
      </c>
      <c r="X273" s="12">
        <f>X190-W190</f>
        <v>395</v>
      </c>
      <c r="Y273" s="12">
        <f>Y190-X190</f>
        <v>-309</v>
      </c>
      <c r="Z273" s="12">
        <f>Z190-Y190</f>
        <v>-25</v>
      </c>
      <c r="AA273" s="12">
        <f>AA190-Z190</f>
        <v>556</v>
      </c>
      <c r="AB273" s="12">
        <f>SUM(X273:AA273)</f>
        <v>617</v>
      </c>
      <c r="AC273" s="12">
        <f>AC190-AB190</f>
        <v>1481</v>
      </c>
      <c r="AD273" s="12">
        <f>AD190-AC190</f>
        <v>-385</v>
      </c>
      <c r="AE273" s="12">
        <f>AE190-AD190</f>
        <v>-920</v>
      </c>
      <c r="AF273" s="12">
        <f>AF190-AE190</f>
        <v>965</v>
      </c>
      <c r="AG273" s="12">
        <f>SUM(AC273:AF273)</f>
        <v>1141</v>
      </c>
      <c r="AH273" s="12">
        <f>AH190-AG190</f>
        <v>1240</v>
      </c>
      <c r="AI273" s="12">
        <f>AI190-AH190</f>
        <v>-52</v>
      </c>
      <c r="AJ273" s="12">
        <f>AJ190-AI190</f>
        <v>0</v>
      </c>
      <c r="AK273" s="12">
        <f>AK190-AJ190</f>
        <v>0</v>
      </c>
      <c r="AL273" s="12">
        <f>SUM(AH273:AK273)</f>
        <v>1188</v>
      </c>
      <c r="AM273" s="12">
        <f>AM190-AL190</f>
        <v>0</v>
      </c>
      <c r="AN273" s="12">
        <f>AN190-AM190</f>
        <v>0</v>
      </c>
      <c r="AO273" s="12">
        <f>AO190-AN190</f>
        <v>0</v>
      </c>
      <c r="AP273" s="12">
        <f>AP190-AO190</f>
        <v>0</v>
      </c>
      <c r="AQ273" s="12">
        <f>SUM(AM273:AP273)</f>
        <v>0</v>
      </c>
      <c r="AR273" s="12">
        <f>AR190-AQ190</f>
        <v>0</v>
      </c>
      <c r="AS273" s="12">
        <f>AS190-AR190</f>
        <v>0</v>
      </c>
      <c r="AT273" s="12">
        <f>AT190-AS190</f>
        <v>0</v>
      </c>
      <c r="AU273" s="12">
        <f>AU190-AT190</f>
        <v>0</v>
      </c>
      <c r="AV273" s="12">
        <f>SUM(AR273:AU273)</f>
        <v>0</v>
      </c>
      <c r="AW273" s="12">
        <f>AW190-AV190</f>
        <v>0</v>
      </c>
      <c r="AX273" s="12">
        <f>AX190-AW190</f>
        <v>0</v>
      </c>
      <c r="AY273" s="12">
        <f>AY190-AX190</f>
        <v>0</v>
      </c>
      <c r="AZ273" s="12">
        <f>AZ190-AY190</f>
        <v>0</v>
      </c>
      <c r="BA273" s="12">
        <f>SUM(AW273:AZ273)</f>
        <v>0</v>
      </c>
      <c r="BB273" s="12">
        <f>BB190-BA190</f>
        <v>0</v>
      </c>
      <c r="BC273" s="12">
        <f>BC190-BB190</f>
        <v>0</v>
      </c>
      <c r="BD273" s="12">
        <f>BD190-BC190</f>
        <v>0</v>
      </c>
      <c r="BE273" s="12">
        <f>BE190-BD190</f>
        <v>0</v>
      </c>
      <c r="BF273" s="12">
        <f>SUM(BB273:BE273)</f>
        <v>0</v>
      </c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</row>
    <row r="274" hidden="1" outlineLevel="1">
      <c r="C274" s="10" t="inlineStr">
        <is>
          <t>Deferred income taxes</t>
        </is>
      </c>
      <c r="D274" s="12" t="n"/>
      <c r="E274" s="12" t="n"/>
      <c r="F274" s="12" t="n"/>
      <c r="G274" s="12" t="n"/>
      <c r="H274" s="12" t="n"/>
      <c r="I274" s="12" t="n"/>
      <c r="J274" s="12">
        <f>J224-I224</f>
        <v>0</v>
      </c>
      <c r="K274" s="12">
        <f>K224-J224</f>
        <v>0</v>
      </c>
      <c r="L274" s="12">
        <f>L224-K224</f>
        <v>0</v>
      </c>
      <c r="M274" s="12" t="n"/>
      <c r="N274" s="12">
        <f>N224-M224</f>
        <v>0</v>
      </c>
      <c r="O274" s="12">
        <f>O224-N224</f>
        <v>0</v>
      </c>
      <c r="P274" s="12">
        <f>P224-O224</f>
        <v>0</v>
      </c>
      <c r="Q274" s="12">
        <f>Q224-P224</f>
        <v>0</v>
      </c>
      <c r="R274" s="12">
        <f>SUM(N274:Q274)</f>
        <v>0</v>
      </c>
      <c r="S274" s="12">
        <f>S224-R224</f>
        <v>0</v>
      </c>
      <c r="T274" s="12">
        <f>T224-S224</f>
        <v>0</v>
      </c>
      <c r="U274" s="12">
        <f>U224-T224</f>
        <v>0</v>
      </c>
      <c r="V274" s="12">
        <f>V224-U224</f>
        <v>0</v>
      </c>
      <c r="W274" s="12">
        <f>SUM(S274:V274)</f>
        <v>0</v>
      </c>
      <c r="X274" s="12">
        <f>X224-W224</f>
        <v>0</v>
      </c>
      <c r="Y274" s="12">
        <f>Y224-X224</f>
        <v>0</v>
      </c>
      <c r="Z274" s="12">
        <f>Z224-Y224</f>
        <v>0</v>
      </c>
      <c r="AA274" s="12">
        <f>AA224-Z224</f>
        <v>0</v>
      </c>
      <c r="AB274" s="12">
        <f>SUM(X274:AA274)</f>
        <v>0</v>
      </c>
      <c r="AC274" s="12">
        <f>AC224-AB224</f>
        <v>0</v>
      </c>
      <c r="AD274" s="12">
        <f>AD224-AC224</f>
        <v>0</v>
      </c>
      <c r="AE274" s="12">
        <f>AE224-AD224</f>
        <v>0</v>
      </c>
      <c r="AF274" s="12">
        <f>AF224-AE224</f>
        <v>0</v>
      </c>
      <c r="AG274" s="12">
        <f>SUM(AC274:AF274)</f>
        <v>0</v>
      </c>
      <c r="AH274" s="12">
        <f>AH224-AG224</f>
        <v>0</v>
      </c>
      <c r="AI274" s="12">
        <f>AI224-AH224</f>
        <v>0</v>
      </c>
      <c r="AJ274" s="12">
        <f>AJ224-AI224</f>
        <v>0</v>
      </c>
      <c r="AK274" s="12">
        <f>AK224-AJ224</f>
        <v>0</v>
      </c>
      <c r="AL274" s="12">
        <f>SUM(AH274:AK274)</f>
        <v>0</v>
      </c>
      <c r="AM274" s="12">
        <f>AM224-AL224</f>
        <v>0</v>
      </c>
      <c r="AN274" s="12">
        <f>AN224-AM224</f>
        <v>0</v>
      </c>
      <c r="AO274" s="12">
        <f>AO224-AN224</f>
        <v>0</v>
      </c>
      <c r="AP274" s="12">
        <f>AP224-AO224</f>
        <v>0</v>
      </c>
      <c r="AQ274" s="12">
        <f>SUM(AM274:AP274)</f>
        <v>0</v>
      </c>
      <c r="AR274" s="12">
        <f>AR224-AQ224</f>
        <v>0</v>
      </c>
      <c r="AS274" s="12">
        <f>AS224-AR224</f>
        <v>0</v>
      </c>
      <c r="AT274" s="12">
        <f>AT224-AS224</f>
        <v>0</v>
      </c>
      <c r="AU274" s="12">
        <f>AU224-AT224</f>
        <v>0</v>
      </c>
      <c r="AV274" s="12">
        <f>SUM(AR274:AU274)</f>
        <v>0</v>
      </c>
      <c r="AW274" s="12">
        <f>AW224-AV224</f>
        <v>0</v>
      </c>
      <c r="AX274" s="12">
        <f>AX224-AW224</f>
        <v>0</v>
      </c>
      <c r="AY274" s="12">
        <f>AY224-AX224</f>
        <v>0</v>
      </c>
      <c r="AZ274" s="12">
        <f>AZ224-AY224</f>
        <v>0</v>
      </c>
      <c r="BA274" s="12">
        <f>SUM(AW274:AZ274)</f>
        <v>0</v>
      </c>
      <c r="BB274" s="12">
        <f>BB224-BA224</f>
        <v>0</v>
      </c>
      <c r="BC274" s="12">
        <f>BC224-BB224</f>
        <v>0</v>
      </c>
      <c r="BD274" s="12">
        <f>BD224-BC224</f>
        <v>0</v>
      </c>
      <c r="BE274" s="12">
        <f>BE224-BD224</f>
        <v>0</v>
      </c>
      <c r="BF274" s="12">
        <f>SUM(BB274:BE274)</f>
        <v>0</v>
      </c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 collapsed="1">
      <c r="C275" s="10" t="inlineStr">
        <is>
          <t>Equity income in affiliates</t>
        </is>
      </c>
      <c r="D275" s="12" t="n"/>
      <c r="E275" s="12" t="n"/>
      <c r="F275" s="12" t="n"/>
      <c r="G275" s="12" t="n"/>
      <c r="H275" s="12" t="n"/>
      <c r="I275" s="12" t="n"/>
      <c r="J275" s="12">
        <f>(J146-I146)*-1</f>
        <v>0</v>
      </c>
      <c r="K275" s="12">
        <f>(K146-J146)*-1</f>
        <v>0</v>
      </c>
      <c r="L275" s="12">
        <f>(L146-K146)*-1</f>
        <v>0</v>
      </c>
      <c r="M275" s="12" t="n"/>
      <c r="N275" s="12">
        <f>(N146-M146)*-1</f>
        <v>0</v>
      </c>
      <c r="O275" s="12">
        <f>(O146-N146)*-1</f>
        <v>0</v>
      </c>
      <c r="P275" s="12">
        <f>(P146-O146)*-1</f>
        <v>0</v>
      </c>
      <c r="Q275" s="12">
        <f>(Q146-P146)*-1</f>
        <v>0</v>
      </c>
      <c r="R275" s="12">
        <f>SUM(N275:Q275)</f>
        <v>0</v>
      </c>
      <c r="S275" s="12">
        <f>(S146-R146)*-1</f>
        <v>0</v>
      </c>
      <c r="T275" s="12">
        <f>(T146-S146)*-1</f>
        <v>0</v>
      </c>
      <c r="U275" s="12">
        <f>(U146-T146)*-1</f>
        <v>0</v>
      </c>
      <c r="V275" s="12">
        <f>(V146-U146)*-1</f>
        <v>0</v>
      </c>
      <c r="W275" s="12">
        <f>SUM(S275:V275)</f>
        <v>0</v>
      </c>
      <c r="X275" s="12">
        <f>(X146-W146)*-1</f>
        <v>0</v>
      </c>
      <c r="Y275" s="12">
        <f>(Y146-X146)*-1</f>
        <v>0</v>
      </c>
      <c r="Z275" s="12">
        <f>(Z146-Y146)*-1</f>
        <v>0</v>
      </c>
      <c r="AA275" s="12">
        <f>(AA146-Z146)*-1</f>
        <v>0</v>
      </c>
      <c r="AB275" s="12">
        <f>SUM(X275:AA275)</f>
        <v>0</v>
      </c>
      <c r="AC275" s="12">
        <f>(AC146-AB146)*-1</f>
        <v>0</v>
      </c>
      <c r="AD275" s="12">
        <f>(AD146-AC146)*-1</f>
        <v>0</v>
      </c>
      <c r="AE275" s="12">
        <f>(AE146-AD146)*-1</f>
        <v>0</v>
      </c>
      <c r="AF275" s="12">
        <f>(AF146-AE146)*-1</f>
        <v>0</v>
      </c>
      <c r="AG275" s="12">
        <f>SUM(AC275:AF275)</f>
        <v>0</v>
      </c>
      <c r="AH275" s="12">
        <f>(AH146-AG146)*-1</f>
        <v>0</v>
      </c>
      <c r="AI275" s="12">
        <f>(AI146-AH146)*-1</f>
        <v>0</v>
      </c>
      <c r="AJ275" s="12">
        <f>(AJ146-AI146)*-1</f>
        <v>0</v>
      </c>
      <c r="AK275" s="12">
        <f>(AK146-AJ146)*-1</f>
        <v>0</v>
      </c>
      <c r="AL275" s="12">
        <f>SUM(AH275:AK275)</f>
        <v>0</v>
      </c>
      <c r="AM275" s="12">
        <f>(AM146-AL146)*-1</f>
        <v>0</v>
      </c>
      <c r="AN275" s="12">
        <f>(AN146-AM146)*-1</f>
        <v>0</v>
      </c>
      <c r="AO275" s="12">
        <f>(AO146-AN146)*-1</f>
        <v>0</v>
      </c>
      <c r="AP275" s="12">
        <f>(AP146-AO146)*-1</f>
        <v>0</v>
      </c>
      <c r="AQ275" s="12">
        <f>SUM(AM275:AP275)</f>
        <v>0</v>
      </c>
      <c r="AR275" s="12">
        <f>(AR146-AQ146)*-1</f>
        <v>0</v>
      </c>
      <c r="AS275" s="12">
        <f>(AS146-AR146)*-1</f>
        <v>0</v>
      </c>
      <c r="AT275" s="12">
        <f>(AT146-AS146)*-1</f>
        <v>0</v>
      </c>
      <c r="AU275" s="12">
        <f>(AU146-AT146)*-1</f>
        <v>0</v>
      </c>
      <c r="AV275" s="12">
        <f>SUM(AR275:AU275)</f>
        <v>0</v>
      </c>
      <c r="AW275" s="12">
        <f>(AW146-AV146)*-1</f>
        <v>0</v>
      </c>
      <c r="AX275" s="12">
        <f>(AX146-AW146)*-1</f>
        <v>0</v>
      </c>
      <c r="AY275" s="12">
        <f>(AY146-AX146)*-1</f>
        <v>0</v>
      </c>
      <c r="AZ275" s="12">
        <f>(AZ146-AY146)*-1</f>
        <v>0</v>
      </c>
      <c r="BA275" s="12">
        <f>SUM(AW275:AZ275)</f>
        <v>0</v>
      </c>
      <c r="BB275" s="12">
        <f>(BB146-BA146)*-1</f>
        <v>0</v>
      </c>
      <c r="BC275" s="12">
        <f>(BC146-BB146)*-1</f>
        <v>0</v>
      </c>
      <c r="BD275" s="12">
        <f>(BD146-BC146)*-1</f>
        <v>0</v>
      </c>
      <c r="BE275" s="12">
        <f>(BE146-BD146)*-1</f>
        <v>0</v>
      </c>
      <c r="BF275" s="12">
        <f>SUM(BB275:BE275)</f>
        <v>0</v>
      </c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</row>
    <row r="276">
      <c r="C276" s="10" t="inlineStr">
        <is>
          <t>Dividends received from affiliates</t>
        </is>
      </c>
      <c r="D276" s="12" t="n"/>
      <c r="E276" s="12" t="n"/>
      <c r="F276" s="12" t="n"/>
      <c r="G276" s="12" t="n"/>
      <c r="H276" s="12" t="n"/>
      <c r="I276" s="12" t="n"/>
      <c r="J276" s="12">
        <f>-J149</f>
        <v>0</v>
      </c>
      <c r="K276" s="12">
        <f>-K149</f>
        <v>0</v>
      </c>
      <c r="L276" s="12">
        <f>-L149</f>
        <v>0</v>
      </c>
      <c r="M276" s="12" t="n"/>
      <c r="N276" s="12">
        <f>-N149</f>
        <v>0</v>
      </c>
      <c r="O276" s="12">
        <f>-O149</f>
        <v>0</v>
      </c>
      <c r="P276" s="12">
        <f>-P149</f>
        <v>0</v>
      </c>
      <c r="Q276" s="12">
        <f>-Q149</f>
        <v>0</v>
      </c>
      <c r="R276" s="12">
        <f>SUM(N276:Q276)</f>
        <v>0</v>
      </c>
      <c r="S276" s="12">
        <f>-S149</f>
        <v>0</v>
      </c>
      <c r="T276" s="12">
        <f>-T149</f>
        <v>0</v>
      </c>
      <c r="U276" s="12">
        <f>-U149</f>
        <v>0</v>
      </c>
      <c r="V276" s="12">
        <f>-V149</f>
        <v>0</v>
      </c>
      <c r="W276" s="12">
        <f>SUM(S276:V276)</f>
        <v>0</v>
      </c>
      <c r="X276" s="12">
        <f>-X149</f>
        <v>0</v>
      </c>
      <c r="Y276" s="12">
        <f>-Y149</f>
        <v>0</v>
      </c>
      <c r="Z276" s="12">
        <f>-Z149</f>
        <v>0</v>
      </c>
      <c r="AA276" s="12">
        <f>-AA149</f>
        <v>0</v>
      </c>
      <c r="AB276" s="12">
        <f>SUM(X276:AA276)</f>
        <v>0</v>
      </c>
      <c r="AC276" s="12">
        <f>-AC149</f>
        <v>0</v>
      </c>
      <c r="AD276" s="12">
        <f>-AD149</f>
        <v>0</v>
      </c>
      <c r="AE276" s="12">
        <f>-AE149</f>
        <v>0</v>
      </c>
      <c r="AF276" s="12">
        <f>-AF149</f>
        <v>0</v>
      </c>
      <c r="AG276" s="12">
        <f>SUM(AC276:AF276)</f>
        <v>0</v>
      </c>
      <c r="AH276" s="12">
        <f>-AH149</f>
        <v>0</v>
      </c>
      <c r="AI276" s="12">
        <f>-AI149</f>
        <v>0</v>
      </c>
      <c r="AJ276" s="12">
        <f>-AJ149</f>
        <v>0</v>
      </c>
      <c r="AK276" s="12">
        <f>-AK149</f>
        <v>0</v>
      </c>
      <c r="AL276" s="12">
        <f>SUM(AH276:AK276)</f>
        <v>0</v>
      </c>
      <c r="AM276" s="12">
        <f>-AM149</f>
        <v>0</v>
      </c>
      <c r="AN276" s="12">
        <f>-AN149</f>
        <v>0</v>
      </c>
      <c r="AO276" s="12">
        <f>-AO149</f>
        <v>0</v>
      </c>
      <c r="AP276" s="12">
        <f>-AP149</f>
        <v>0</v>
      </c>
      <c r="AQ276" s="12">
        <f>SUM(AM276:AP276)</f>
        <v>0</v>
      </c>
      <c r="AR276" s="12">
        <f>-AR149</f>
        <v>0</v>
      </c>
      <c r="AS276" s="12">
        <f>-AS149</f>
        <v>0</v>
      </c>
      <c r="AT276" s="12">
        <f>-AT149</f>
        <v>0</v>
      </c>
      <c r="AU276" s="12">
        <f>-AU149</f>
        <v>0</v>
      </c>
      <c r="AV276" s="12">
        <f>SUM(AR276:AU276)</f>
        <v>0</v>
      </c>
      <c r="AW276" s="12">
        <f>-AW149</f>
        <v>0</v>
      </c>
      <c r="AX276" s="12">
        <f>-AX149</f>
        <v>0</v>
      </c>
      <c r="AY276" s="12">
        <f>-AY149</f>
        <v>0</v>
      </c>
      <c r="AZ276" s="12">
        <f>-AZ149</f>
        <v>0</v>
      </c>
      <c r="BA276" s="12">
        <f>SUM(AW276:AZ276)</f>
        <v>0</v>
      </c>
      <c r="BB276" s="12">
        <f>-BB149</f>
        <v>0</v>
      </c>
      <c r="BC276" s="12">
        <f>-BC149</f>
        <v>0</v>
      </c>
      <c r="BD276" s="12">
        <f>-BD149</f>
        <v>0</v>
      </c>
      <c r="BE276" s="12">
        <f>-BE149</f>
        <v>0</v>
      </c>
      <c r="BF276" s="12">
        <f>SUM(BB276:BE276)</f>
        <v>0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>
      <c r="C277" s="71" t="inlineStr">
        <is>
          <t>Minority interest expense</t>
        </is>
      </c>
      <c r="D277" s="12" t="n"/>
      <c r="E277" s="12" t="n"/>
      <c r="F277" s="12" t="n"/>
      <c r="G277" s="12" t="n"/>
      <c r="H277" s="12" t="n"/>
      <c r="I277" s="12" t="n"/>
      <c r="J277" s="12">
        <f>-J121</f>
        <v>13</v>
      </c>
      <c r="K277" s="12">
        <f>-K121</f>
        <v>24</v>
      </c>
      <c r="L277" s="12">
        <f>-L121</f>
        <v>21</v>
      </c>
      <c r="M277" s="12" t="n"/>
      <c r="N277" s="12">
        <f>-N121</f>
        <v>21</v>
      </c>
      <c r="O277" s="12">
        <f>-O121</f>
        <v>19</v>
      </c>
      <c r="P277" s="12">
        <f>-P121</f>
        <v>10</v>
      </c>
      <c r="Q277" s="12">
        <f>-Q121</f>
        <v>0</v>
      </c>
      <c r="R277" s="12">
        <f>SUM(N277:Q277)</f>
        <v>50</v>
      </c>
      <c r="S277" s="12">
        <f>-S121</f>
        <v>0</v>
      </c>
      <c r="T277" s="12">
        <f>-T121</f>
        <v>0</v>
      </c>
      <c r="U277" s="12">
        <f>-U121</f>
        <v>0</v>
      </c>
      <c r="V277" s="12">
        <f>-V121</f>
        <v>0</v>
      </c>
      <c r="W277" s="12">
        <f>SUM(S277:V277)</f>
        <v>0</v>
      </c>
      <c r="X277" s="12">
        <f>-X121</f>
        <v>0</v>
      </c>
      <c r="Y277" s="12">
        <f>-Y121</f>
        <v>0</v>
      </c>
      <c r="Z277" s="12">
        <f>-Z121</f>
        <v>0</v>
      </c>
      <c r="AA277" s="12">
        <f>-AA121</f>
        <v>0</v>
      </c>
      <c r="AB277" s="12">
        <f>SUM(X277:AA277)</f>
        <v>0</v>
      </c>
      <c r="AC277" s="12">
        <f>-AC121</f>
        <v>0</v>
      </c>
      <c r="AD277" s="12">
        <f>-AD121</f>
        <v>0</v>
      </c>
      <c r="AE277" s="12">
        <f>-AE121</f>
        <v>0</v>
      </c>
      <c r="AF277" s="12">
        <f>-AF121</f>
        <v>0</v>
      </c>
      <c r="AG277" s="12">
        <f>SUM(AC277:AF277)</f>
        <v>0</v>
      </c>
      <c r="AH277" s="12">
        <f>-AH121</f>
        <v>0</v>
      </c>
      <c r="AI277" s="12">
        <f>-AI121</f>
        <v>0</v>
      </c>
      <c r="AJ277" s="12">
        <f>-AJ121</f>
        <v>0</v>
      </c>
      <c r="AK277" s="12">
        <f>-AK121</f>
        <v>0</v>
      </c>
      <c r="AL277" s="12">
        <f>SUM(AH277:AK277)</f>
        <v>0</v>
      </c>
      <c r="AM277" s="12">
        <f>-AM121</f>
        <v>0</v>
      </c>
      <c r="AN277" s="12">
        <f>-AN121</f>
        <v>0</v>
      </c>
      <c r="AO277" s="12">
        <f>-AO121</f>
        <v>0</v>
      </c>
      <c r="AP277" s="12">
        <f>-AP121</f>
        <v>0</v>
      </c>
      <c r="AQ277" s="12">
        <f>SUM(AM277:AP277)</f>
        <v>0</v>
      </c>
      <c r="AR277" s="12">
        <f>-AR121</f>
        <v>0</v>
      </c>
      <c r="AS277" s="12">
        <f>-AS121</f>
        <v>0</v>
      </c>
      <c r="AT277" s="12">
        <f>-AT121</f>
        <v>0</v>
      </c>
      <c r="AU277" s="12">
        <f>-AU121</f>
        <v>0</v>
      </c>
      <c r="AV277" s="12">
        <f>SUM(AR277:AU277)</f>
        <v>0</v>
      </c>
      <c r="AW277" s="12">
        <f>-AW121</f>
        <v>0</v>
      </c>
      <c r="AX277" s="12">
        <f>-AX121</f>
        <v>0</v>
      </c>
      <c r="AY277" s="12">
        <f>-AY121</f>
        <v>0</v>
      </c>
      <c r="AZ277" s="12">
        <f>-AZ121</f>
        <v>0</v>
      </c>
      <c r="BA277" s="12">
        <f>SUM(AW277:AZ277)</f>
        <v>0</v>
      </c>
      <c r="BB277" s="12">
        <f>-BB121</f>
        <v>0</v>
      </c>
      <c r="BC277" s="12">
        <f>-BC121</f>
        <v>0</v>
      </c>
      <c r="BD277" s="12">
        <f>-BD121</f>
        <v>0</v>
      </c>
      <c r="BE277" s="12">
        <f>-BE121</f>
        <v>0</v>
      </c>
      <c r="BF277" s="12">
        <f>SUM(BB277:BE277)</f>
        <v>0</v>
      </c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>
      <c r="C278" s="14" t="inlineStr">
        <is>
          <t>Cash from operations</t>
        </is>
      </c>
      <c r="D278" s="12" t="n"/>
      <c r="E278" s="12" t="n"/>
      <c r="F278" s="12" t="n"/>
      <c r="G278" s="12" t="n"/>
      <c r="H278" s="12" t="n"/>
      <c r="I278" s="12" t="n"/>
      <c r="J278" s="12">
        <f>SUM(J262,J263,J264,J275,J276,J277)</f>
        <v>3320</v>
      </c>
      <c r="K278" s="12">
        <f>SUM(K262,K263,K264,K275,K276,K277)</f>
        <v>2465</v>
      </c>
      <c r="L278" s="12">
        <f>SUM(L262,L263,L264,L275,L276,L277)</f>
        <v>2634</v>
      </c>
      <c r="M278" s="12" t="n"/>
      <c r="N278" s="12">
        <f>SUM(N262,N263,N264,N275,N276,N277)</f>
        <v>863</v>
      </c>
      <c r="O278" s="12">
        <f>SUM(O262,O263,O264,O275,O276,O277)</f>
        <v>1125</v>
      </c>
      <c r="P278" s="12">
        <f>SUM(P262,P263,P264,P275,P276,P277)</f>
        <v>2159</v>
      </c>
      <c r="Q278" s="12">
        <f>SUM(Q262,Q263,Q264,Q275,Q276,Q277)</f>
        <v>2052</v>
      </c>
      <c r="R278" s="12">
        <f>SUM(R262,R263,R264,R275,R276,R277)</f>
        <v>6199</v>
      </c>
      <c r="S278" s="12">
        <f>SUM(S262,S263,S264,S275,S276,S277)</f>
        <v>3232</v>
      </c>
      <c r="T278" s="12">
        <f>SUM(T262,T263,T264,T275,T276,T277)</f>
        <v>1086</v>
      </c>
      <c r="U278" s="12">
        <f>SUM(U262,U263,U264,U275,U276,U277)</f>
        <v>3578</v>
      </c>
      <c r="V278" s="12">
        <f>SUM(V262,V263,V264,V275,V276,V277)</f>
        <v>3705</v>
      </c>
      <c r="W278" s="12">
        <f>SUM(W262,W263,W264,W275,W276,W277)</f>
        <v>11601</v>
      </c>
      <c r="X278" s="12">
        <f>SUM(X262,X263,X264,X275,X276,X277)</f>
        <v>568</v>
      </c>
      <c r="Y278" s="12">
        <f>SUM(Y262,Y263,Y264,Y275,Y276,Y277)</f>
        <v>2909</v>
      </c>
      <c r="Z278" s="12">
        <f>SUM(Z262,Z263,Z264,Z275,Z276,Z277)</f>
        <v>2824</v>
      </c>
      <c r="AA278" s="12">
        <f>SUM(AA262,AA263,AA264,AA275,AA276,AA277)</f>
        <v>2680</v>
      </c>
      <c r="AB278" s="12">
        <f>SUM(AB262,AB263,AB264,AB275,AB276,AB277)</f>
        <v>8981</v>
      </c>
      <c r="AC278" s="12">
        <f>SUM(AC262,AC263,AC264,AC275,AC276,AC277)</f>
        <v>3007</v>
      </c>
      <c r="AD278" s="12">
        <f>SUM(AD262,AD263,AD264,AD275,AD276,AD277)</f>
        <v>3473</v>
      </c>
      <c r="AE278" s="12">
        <f>SUM(AE262,AE263,AE264,AE275,AE276,AE277)</f>
        <v>3118</v>
      </c>
      <c r="AF278" s="12">
        <f>SUM(AF262,AF263,AF264,AF275,AF276,AF277)</f>
        <v>4163</v>
      </c>
      <c r="AG278" s="12">
        <f>SUM(AG262,AG263,AG264,AG275,AG276,AG277)</f>
        <v>13761</v>
      </c>
      <c r="AH278" s="12">
        <f>SUM(AH262,AH263,AH264,AH275,AH276,AH277)</f>
        <v>2925</v>
      </c>
      <c r="AI278" s="12">
        <f>SUM(AI262,AI263,AI264,AI275,AI276,AI277)</f>
        <v>3863</v>
      </c>
      <c r="AJ278" s="12">
        <f>SUM(AJ262,AJ263,AJ264,AJ275,AJ276,AJ277)</f>
        <v>2896.63378416151</v>
      </c>
      <c r="AK278" s="12">
        <f>SUM(AK262,AK263,AK264,AK275,AK276,AK277)</f>
        <v>4161.59468105094</v>
      </c>
      <c r="AL278" s="12">
        <f>SUM(AL262,AL263,AL264,AL275,AL276,AL277)</f>
        <v>13846.2284652125</v>
      </c>
      <c r="AM278" s="12">
        <f>SUM(AM262,AM263,AM264,AM275,AM276,AM277)</f>
        <v>3726.07139278407</v>
      </c>
      <c r="AN278" s="12">
        <f>SUM(AN262,AN263,AN264,AN275,AN276,AN277)</f>
        <v>3943.0472560268</v>
      </c>
      <c r="AO278" s="12">
        <f>SUM(AO262,AO263,AO264,AO275,AO276,AO277)</f>
        <v>4422.37246119587</v>
      </c>
      <c r="AP278" s="12">
        <f>SUM(AP262,AP263,AP264,AP275,AP276,AP277)</f>
        <v>4798.2568515919</v>
      </c>
      <c r="AQ278" s="12">
        <f>SUM(AQ262,AQ263,AQ264,AQ275,AQ276,AQ277)</f>
        <v>16889.7479615986</v>
      </c>
      <c r="AR278" s="12">
        <f>SUM(AR262,AR263,AR264,AR275,AR276,AR277)</f>
        <v>4295.64509287556</v>
      </c>
      <c r="AS278" s="12">
        <f>SUM(AS262,AS263,AS264,AS275,AS276,AS277)</f>
        <v>4490.88100945745</v>
      </c>
      <c r="AT278" s="12">
        <f>SUM(AT262,AT263,AT264,AT275,AT276,AT277)</f>
        <v>5048.56164678642</v>
      </c>
      <c r="AU278" s="12">
        <f>SUM(AU262,AU263,AU264,AU275,AU276,AU277)</f>
        <v>5472.11035791816</v>
      </c>
      <c r="AV278" s="12">
        <f>SUM(AV262,AV263,AV264,AV275,AV276,AV277)</f>
        <v>19307.1981070376</v>
      </c>
      <c r="AW278" s="12">
        <f>SUM(AW262,AW263,AW264,AW275,AW276,AW277)</f>
        <v>4891.87631307419</v>
      </c>
      <c r="AX278" s="12">
        <f>SUM(AX262,AX263,AX264,AX275,AX276,AX277)</f>
        <v>5156.96795713459</v>
      </c>
      <c r="AY278" s="12">
        <f>SUM(AY262,AY263,AY264,AY275,AY276,AY277)</f>
        <v>5750.71066079517</v>
      </c>
      <c r="AZ278" s="12">
        <f>SUM(AZ262,AZ263,AZ264,AZ275,AZ276,AZ277)</f>
        <v>6224.67505820504</v>
      </c>
      <c r="BA278" s="12">
        <f>SUM(BA262,BA263,BA264,BA275,BA276,BA277)</f>
        <v>22024.229989209</v>
      </c>
      <c r="BB278" s="12">
        <f>SUM(BB262,BB263,BB264,BB275,BB276,BB277)</f>
        <v>5581.75364968157</v>
      </c>
      <c r="BC278" s="12">
        <f>SUM(BC262,BC263,BC264,BC275,BC276,BC277)</f>
        <v>5871.37274773058</v>
      </c>
      <c r="BD278" s="12">
        <f>SUM(BD262,BD263,BD264,BD275,BD276,BD277)</f>
        <v>6525.54180096447</v>
      </c>
      <c r="BE278" s="12">
        <f>SUM(BE262,BE263,BE264,BE275,BE276,BE277)</f>
        <v>7051.36238339132</v>
      </c>
      <c r="BF278" s="12">
        <f>SUM(BF262,BF263,BF264,BF275,BF276,BF277)</f>
        <v>25030.0305817679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>
      <c r="C279" s="14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  <c r="AJ279" s="12" t="n"/>
      <c r="AK279" s="12" t="n"/>
      <c r="AL279" s="12" t="n"/>
      <c r="AM279" s="12" t="n"/>
      <c r="AN279" s="12" t="n"/>
      <c r="AO279" s="12" t="n"/>
      <c r="AP279" s="12" t="n"/>
      <c r="AQ279" s="12" t="n"/>
      <c r="AR279" s="12" t="n"/>
      <c r="AS279" s="12" t="n"/>
      <c r="AT279" s="12" t="n"/>
      <c r="AU279" s="12" t="n"/>
      <c r="AV279" s="12" t="n"/>
      <c r="AW279" s="12" t="n"/>
      <c r="AX279" s="12" t="n"/>
      <c r="AY279" s="12" t="n"/>
      <c r="AZ279" s="12" t="n"/>
      <c r="BA279" s="12" t="n"/>
      <c r="BB279" s="12" t="n"/>
      <c r="BC279" s="12" t="n"/>
      <c r="BD279" s="12" t="n"/>
      <c r="BE279" s="12" t="n"/>
      <c r="BF279" s="12" t="n"/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>
      <c r="C280" s="10" t="inlineStr">
        <is>
          <t>Purchase of fixed assets (capital expenditures)</t>
        </is>
      </c>
      <c r="D280" s="12" t="n"/>
      <c r="E280" s="12" t="n"/>
      <c r="F280" s="12" t="n"/>
      <c r="G280" s="12" t="n"/>
      <c r="H280" s="12" t="n"/>
      <c r="I280" s="12" t="n"/>
      <c r="J280" s="12">
        <f>-J153</f>
        <v>-1048</v>
      </c>
      <c r="K280" s="12">
        <f>-K153</f>
        <v>-874</v>
      </c>
      <c r="L280" s="12">
        <f>-L153</f>
        <v>-827</v>
      </c>
      <c r="M280" s="12" t="n"/>
      <c r="N280" s="12">
        <f>-N153</f>
        <v>-601</v>
      </c>
      <c r="O280" s="12">
        <f>-O153</f>
        <v>-529</v>
      </c>
      <c r="P280" s="12">
        <f>-P153</f>
        <v>-1097</v>
      </c>
      <c r="Q280" s="12">
        <f>-Q153</f>
        <v>-945</v>
      </c>
      <c r="R280" s="12">
        <f>SUM(N280:Q280)</f>
        <v>-3172</v>
      </c>
      <c r="S280" s="12">
        <f>-S153</f>
        <v>-1050</v>
      </c>
      <c r="T280" s="12">
        <f>-T153</f>
        <v>-679</v>
      </c>
      <c r="U280" s="12">
        <f>-U153</f>
        <v>-1441</v>
      </c>
      <c r="V280" s="12">
        <f>-V153</f>
        <v>-985</v>
      </c>
      <c r="W280" s="12">
        <f>SUM(S280:V280)</f>
        <v>-4155</v>
      </c>
      <c r="X280" s="12">
        <f>-X153</f>
        <v>-947</v>
      </c>
      <c r="Y280" s="12">
        <f>-Y153</f>
        <v>-977</v>
      </c>
      <c r="Z280" s="12">
        <f>-Z153</f>
        <v>-1676</v>
      </c>
      <c r="AA280" s="12">
        <f>-AA153</f>
        <v>-852</v>
      </c>
      <c r="AB280" s="12">
        <f>SUM(X280:AA280)</f>
        <v>-4452</v>
      </c>
      <c r="AC280" s="12">
        <f>-AC153</f>
        <v>-1025</v>
      </c>
      <c r="AD280" s="12">
        <f>-AD153</f>
        <v>-1325</v>
      </c>
      <c r="AE280" s="12">
        <f>-AE153</f>
        <v>-2101</v>
      </c>
      <c r="AF280" s="12">
        <f>-AF153</f>
        <v>-1304</v>
      </c>
      <c r="AG280" s="12">
        <f>SUM(AC280:AF280)</f>
        <v>-5755</v>
      </c>
      <c r="AH280" s="12">
        <f>-AH153</f>
        <v>-1626</v>
      </c>
      <c r="AI280" s="12">
        <f>-AI153</f>
        <v>-1245</v>
      </c>
      <c r="AJ280" s="12">
        <f>-AJ153</f>
        <v>-1927.12019536952</v>
      </c>
      <c r="AK280" s="12">
        <f>-AK153</f>
        <v>-1505.50952910693</v>
      </c>
      <c r="AL280" s="12">
        <f>SUM(AH280:AK280)</f>
        <v>-6303.62972447645</v>
      </c>
      <c r="AM280" s="12">
        <f>-AM153</f>
        <v>-1556.7317916005</v>
      </c>
      <c r="AN280" s="12">
        <f>-AN153</f>
        <v>-1577.53384580094</v>
      </c>
      <c r="AO280" s="12">
        <f>-AO153</f>
        <v>-2101.37768378376</v>
      </c>
      <c r="AP280" s="12">
        <f>-AP153</f>
        <v>-1641.64338830068</v>
      </c>
      <c r="AQ280" s="12">
        <f>SUM(AM280:AP280)</f>
        <v>-6877.28670948588</v>
      </c>
      <c r="AR280" s="12">
        <f>-AR153</f>
        <v>-1689.71370232035</v>
      </c>
      <c r="AS280" s="12">
        <f>-AS153</f>
        <v>-1712.2927465774</v>
      </c>
      <c r="AT280" s="12">
        <f>-AT153</f>
        <v>-2280.88530419814</v>
      </c>
      <c r="AU280" s="12">
        <f>-AU153</f>
        <v>-1781.87876839297</v>
      </c>
      <c r="AV280" s="12">
        <f>SUM(AR280:AU280)</f>
        <v>-7464.77052148887</v>
      </c>
      <c r="AW280" s="12">
        <f>-AW153</f>
        <v>-1825.60686172648</v>
      </c>
      <c r="AX280" s="12">
        <f>-AX153</f>
        <v>-1850.00179802267</v>
      </c>
      <c r="AY280" s="12">
        <f>-AY153</f>
        <v>-2464.32271717814</v>
      </c>
      <c r="AZ280" s="12">
        <f>-AZ153</f>
        <v>-1925.18419059739</v>
      </c>
      <c r="BA280" s="12">
        <f>SUM(AW280:AZ280)</f>
        <v>-8065.11556752469</v>
      </c>
      <c r="BB280" s="12">
        <f>-BB153</f>
        <v>-1963.30102808584</v>
      </c>
      <c r="BC280" s="12">
        <f>-BC153</f>
        <v>-1989.53592263761</v>
      </c>
      <c r="BD280" s="12">
        <f>-BD153</f>
        <v>-2650.19124632102</v>
      </c>
      <c r="BE280" s="12">
        <f>-BE153</f>
        <v>-2070.38885528726</v>
      </c>
      <c r="BF280" s="12">
        <f>SUM(BB280:BE280)</f>
        <v>-8673.41705233173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>
      <c r="C281" s="10" t="inlineStr">
        <is>
          <t>Proceeds from sale of fixed assets</t>
        </is>
      </c>
      <c r="D281" s="12" t="n"/>
      <c r="E281" s="12" t="n"/>
      <c r="F281" s="12" t="n"/>
      <c r="G281" s="12" t="n"/>
      <c r="H281" s="12" t="n"/>
      <c r="I281" s="12" t="n"/>
      <c r="J281" s="12">
        <f>-J154</f>
        <v>0</v>
      </c>
      <c r="K281" s="12">
        <f>-K154</f>
        <v>0</v>
      </c>
      <c r="L281" s="12">
        <f>-L154</f>
        <v>0</v>
      </c>
      <c r="M281" s="12" t="n"/>
      <c r="N281" s="12">
        <f>-N154</f>
        <v>0</v>
      </c>
      <c r="O281" s="12">
        <f>-O154</f>
        <v>0</v>
      </c>
      <c r="P281" s="12">
        <f>-P154</f>
        <v>0</v>
      </c>
      <c r="Q281" s="12">
        <f>-Q154</f>
        <v>0</v>
      </c>
      <c r="R281" s="12">
        <f>SUM(N281:Q281)</f>
        <v>0</v>
      </c>
      <c r="S281" s="12">
        <f>-S154</f>
        <v>0</v>
      </c>
      <c r="T281" s="12">
        <f>-T154</f>
        <v>0</v>
      </c>
      <c r="U281" s="12">
        <f>-U154</f>
        <v>0</v>
      </c>
      <c r="V281" s="12">
        <f>-V154</f>
        <v>0</v>
      </c>
      <c r="W281" s="12">
        <f>SUM(S281:V281)</f>
        <v>0</v>
      </c>
      <c r="X281" s="12">
        <f>-X154</f>
        <v>0</v>
      </c>
      <c r="Y281" s="12">
        <f>-Y154</f>
        <v>0</v>
      </c>
      <c r="Z281" s="12">
        <f>-Z154</f>
        <v>0</v>
      </c>
      <c r="AA281" s="12">
        <f>-AA154</f>
        <v>0</v>
      </c>
      <c r="AB281" s="12">
        <f>SUM(X281:AA281)</f>
        <v>0</v>
      </c>
      <c r="AC281" s="12">
        <f>-AC154</f>
        <v>0</v>
      </c>
      <c r="AD281" s="12">
        <f>-AD154</f>
        <v>0</v>
      </c>
      <c r="AE281" s="12">
        <f>-AE154</f>
        <v>0</v>
      </c>
      <c r="AF281" s="12">
        <f>-AF154</f>
        <v>0</v>
      </c>
      <c r="AG281" s="12">
        <f>SUM(AC281:AF281)</f>
        <v>0</v>
      </c>
      <c r="AH281" s="12">
        <f>-AH154</f>
        <v>0</v>
      </c>
      <c r="AI281" s="12">
        <f>-AI154</f>
        <v>0</v>
      </c>
      <c r="AJ281" s="12">
        <f>-AJ154</f>
        <v>0</v>
      </c>
      <c r="AK281" s="12">
        <f>-AK154</f>
        <v>0</v>
      </c>
      <c r="AL281" s="12">
        <f>SUM(AH281:AK281)</f>
        <v>0</v>
      </c>
      <c r="AM281" s="12">
        <f>-AM154</f>
        <v>0</v>
      </c>
      <c r="AN281" s="12">
        <f>-AN154</f>
        <v>0</v>
      </c>
      <c r="AO281" s="12">
        <f>-AO154</f>
        <v>0</v>
      </c>
      <c r="AP281" s="12">
        <f>-AP154</f>
        <v>0</v>
      </c>
      <c r="AQ281" s="12">
        <f>SUM(AM281:AP281)</f>
        <v>0</v>
      </c>
      <c r="AR281" s="12">
        <f>-AR154</f>
        <v>0</v>
      </c>
      <c r="AS281" s="12">
        <f>-AS154</f>
        <v>0</v>
      </c>
      <c r="AT281" s="12">
        <f>-AT154</f>
        <v>0</v>
      </c>
      <c r="AU281" s="12">
        <f>-AU154</f>
        <v>0</v>
      </c>
      <c r="AV281" s="12">
        <f>SUM(AR281:AU281)</f>
        <v>0</v>
      </c>
      <c r="AW281" s="12">
        <f>-AW154</f>
        <v>0</v>
      </c>
      <c r="AX281" s="12">
        <f>-AX154</f>
        <v>0</v>
      </c>
      <c r="AY281" s="12">
        <f>-AY154</f>
        <v>0</v>
      </c>
      <c r="AZ281" s="12">
        <f>-AZ154</f>
        <v>0</v>
      </c>
      <c r="BA281" s="12">
        <f>SUM(AW281:AZ281)</f>
        <v>0</v>
      </c>
      <c r="BB281" s="12">
        <f>-BB154</f>
        <v>0</v>
      </c>
      <c r="BC281" s="12">
        <f>-BC154</f>
        <v>0</v>
      </c>
      <c r="BD281" s="12">
        <f>-BD154</f>
        <v>0</v>
      </c>
      <c r="BE281" s="12">
        <f>-BE154</f>
        <v>0</v>
      </c>
      <c r="BF281" s="12">
        <f>SUM(BB281:BE281)</f>
        <v>0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>
      <c r="C282" s="10" t="inlineStr">
        <is>
          <t>Var.Right-of-use-assets</t>
        </is>
      </c>
      <c r="D282" s="12" t="n"/>
      <c r="E282" s="12" t="n"/>
      <c r="F282" s="12" t="n"/>
      <c r="G282" s="12" t="n"/>
      <c r="H282" s="12" t="n"/>
      <c r="I282" s="12" t="n"/>
      <c r="J282" s="12">
        <f>(J161-I161)*-1</f>
        <v>12</v>
      </c>
      <c r="K282" s="12">
        <f>(K161-J161)*-1</f>
        <v>-15</v>
      </c>
      <c r="L282" s="12">
        <f>(L161-K161)*-1</f>
        <v>-13</v>
      </c>
      <c r="M282" s="12" t="n"/>
      <c r="N282" s="12">
        <f>(N161-M161)*-1</f>
        <v>63</v>
      </c>
      <c r="O282" s="12">
        <f>(O161-N161)*-1</f>
        <v>109</v>
      </c>
      <c r="P282" s="12">
        <f>(P161-O161)*-1</f>
        <v>-43</v>
      </c>
      <c r="Q282" s="12">
        <f>(Q161-P161)*-1</f>
        <v>-13</v>
      </c>
      <c r="R282" s="12">
        <f>SUM(N282:Q282)</f>
        <v>116</v>
      </c>
      <c r="S282" s="12">
        <f>(S161-R161)*-1</f>
        <v>-72</v>
      </c>
      <c r="T282" s="12">
        <f>(T161-S161)*-1</f>
        <v>53</v>
      </c>
      <c r="U282" s="12">
        <f>(U161-T161)*-1</f>
        <v>93</v>
      </c>
      <c r="V282" s="12">
        <f>(V161-U161)*-1</f>
        <v>41</v>
      </c>
      <c r="W282" s="12">
        <f>SUM(S282:V282)</f>
        <v>115</v>
      </c>
      <c r="X282" s="12">
        <f>(X161-W161)*-1</f>
        <v>-68</v>
      </c>
      <c r="Y282" s="12">
        <f>(Y161-X161)*-1</f>
        <v>97</v>
      </c>
      <c r="Z282" s="12">
        <f>(Z161-Y161)*-1</f>
        <v>26</v>
      </c>
      <c r="AA282" s="12">
        <f>(AA161-Z161)*-1</f>
        <v>78</v>
      </c>
      <c r="AB282" s="12">
        <f>SUM(X282:AA282)</f>
        <v>133</v>
      </c>
      <c r="AC282" s="12">
        <f>(AC161-AB161)*-1</f>
        <v>8</v>
      </c>
      <c r="AD282" s="12">
        <f>(AD161-AC161)*-1</f>
        <v>-187</v>
      </c>
      <c r="AE282" s="12">
        <f>(AE161-AD161)*-1</f>
        <v>-7</v>
      </c>
      <c r="AF282" s="12">
        <f>(AF161-AE161)*-1</f>
        <v>-5</v>
      </c>
      <c r="AG282" s="12">
        <f>SUM(AC282:AF282)</f>
        <v>-191</v>
      </c>
      <c r="AH282" s="12">
        <f>(AH161-AG161)*-1</f>
        <v>-29</v>
      </c>
      <c r="AI282" s="12">
        <f>(AI161-AH161)*-1</f>
        <v>12</v>
      </c>
      <c r="AJ282" s="12">
        <f>(AJ161-AI161)*-1</f>
        <v>0</v>
      </c>
      <c r="AK282" s="12">
        <f>(AK161-AJ161)*-1</f>
        <v>0</v>
      </c>
      <c r="AL282" s="12">
        <f>SUM(AH282:AK282)</f>
        <v>-17</v>
      </c>
      <c r="AM282" s="12">
        <f>(AM161-AL161)*-1</f>
        <v>0</v>
      </c>
      <c r="AN282" s="12">
        <f>(AN161-AM161)*-1</f>
        <v>0</v>
      </c>
      <c r="AO282" s="12">
        <f>(AO161-AN161)*-1</f>
        <v>0</v>
      </c>
      <c r="AP282" s="12">
        <f>(AP161-AO161)*-1</f>
        <v>0</v>
      </c>
      <c r="AQ282" s="12">
        <f>SUM(AM282:AP282)</f>
        <v>0</v>
      </c>
      <c r="AR282" s="12">
        <f>(AR161-AQ161)*-1</f>
        <v>0</v>
      </c>
      <c r="AS282" s="12">
        <f>(AS161-AR161)*-1</f>
        <v>0</v>
      </c>
      <c r="AT282" s="12">
        <f>(AT161-AS161)*-1</f>
        <v>0</v>
      </c>
      <c r="AU282" s="12">
        <f>(AU161-AT161)*-1</f>
        <v>0</v>
      </c>
      <c r="AV282" s="12">
        <f>SUM(AR282:AU282)</f>
        <v>0</v>
      </c>
      <c r="AW282" s="12">
        <f>(AW161-AV161)*-1</f>
        <v>0</v>
      </c>
      <c r="AX282" s="12">
        <f>(AX161-AW161)*-1</f>
        <v>0</v>
      </c>
      <c r="AY282" s="12">
        <f>(AY161-AX161)*-1</f>
        <v>0</v>
      </c>
      <c r="AZ282" s="12">
        <f>(AZ161-AY161)*-1</f>
        <v>0</v>
      </c>
      <c r="BA282" s="12">
        <f>SUM(AW282:AZ282)</f>
        <v>0</v>
      </c>
      <c r="BB282" s="12">
        <f>(BB161-BA161)*-1</f>
        <v>0</v>
      </c>
      <c r="BC282" s="12">
        <f>(BC161-BB161)*-1</f>
        <v>0</v>
      </c>
      <c r="BD282" s="12">
        <f>(BD161-BC161)*-1</f>
        <v>0</v>
      </c>
      <c r="BE282" s="12">
        <f>(BE161-BD161)*-1</f>
        <v>0</v>
      </c>
      <c r="BF282" s="12">
        <f>SUM(BB282:BE282)</f>
        <v>0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  <c r="CZ282" s="12" t="n"/>
      <c r="DA282" s="12" t="n"/>
      <c r="DB282" s="12" t="n"/>
      <c r="DC282" s="12" t="n"/>
    </row>
    <row r="283">
      <c r="C283" s="10" t="inlineStr">
        <is>
          <t>Purchases of intangible assets</t>
        </is>
      </c>
      <c r="D283" s="12" t="n"/>
      <c r="E283" s="12" t="n"/>
      <c r="F283" s="12" t="n"/>
      <c r="G283" s="12" t="n"/>
      <c r="H283" s="12" t="n"/>
      <c r="I283" s="12" t="n"/>
      <c r="J283" s="12">
        <f>((J165-I165)*-1)+((J164-I164)*-1)</f>
        <v>0</v>
      </c>
      <c r="K283" s="12">
        <f>((K165-J165)*-1)+((K164-J164)*-1)</f>
        <v>0</v>
      </c>
      <c r="L283" s="12">
        <f>((L165-K165)*-1)+((L164-K164)*-1)</f>
        <v>0</v>
      </c>
      <c r="M283" s="12" t="n"/>
      <c r="N283" s="12">
        <f>((N165-M165)*-1)+((N164-M164)*-1)</f>
        <v>0</v>
      </c>
      <c r="O283" s="12">
        <f>((O165-N165)*-1)+((O164-N164)*-1)</f>
        <v>0</v>
      </c>
      <c r="P283" s="12">
        <f>((P165-O165)*-1)+((P164-O164)*-1)</f>
        <v>0</v>
      </c>
      <c r="Q283" s="12">
        <f>((Q165-P165)*-1)+((Q164-P164)*-1)</f>
        <v>0</v>
      </c>
      <c r="R283" s="12">
        <f>SUM(N283:Q283)</f>
        <v>0</v>
      </c>
      <c r="S283" s="12">
        <f>((S165-R165)*-1)+((S164-R164)*-1)</f>
        <v>0</v>
      </c>
      <c r="T283" s="12">
        <f>((T165-S165)*-1)+((T164-S164)*-1)</f>
        <v>0</v>
      </c>
      <c r="U283" s="12">
        <f>((U165-T165)*-1)+((U164-T164)*-1)</f>
        <v>0</v>
      </c>
      <c r="V283" s="12">
        <f>((V165-U165)*-1)+((V164-U164)*-1)</f>
        <v>0</v>
      </c>
      <c r="W283" s="12">
        <f>SUM(S283:V283)</f>
        <v>0</v>
      </c>
      <c r="X283" s="12">
        <f>((X165-W165)*-1)+((X164-W164)*-1)</f>
        <v>0</v>
      </c>
      <c r="Y283" s="12">
        <f>((Y165-X165)*-1)+((Y164-X164)*-1)</f>
        <v>0</v>
      </c>
      <c r="Z283" s="12">
        <f>((Z165-Y165)*-1)+((Z164-Y164)*-1)</f>
        <v>0</v>
      </c>
      <c r="AA283" s="12">
        <f>((AA165-Z165)*-1)+((AA164-Z164)*-1)</f>
        <v>0</v>
      </c>
      <c r="AB283" s="12">
        <f>SUM(X283:AA283)</f>
        <v>0</v>
      </c>
      <c r="AC283" s="12">
        <f>((AC165-AB165)*-1)+((AC164-AB164)*-1)</f>
        <v>0</v>
      </c>
      <c r="AD283" s="12">
        <f>((AD165-AC165)*-1)+((AD164-AC164)*-1)</f>
        <v>0</v>
      </c>
      <c r="AE283" s="12">
        <f>((AE165-AD165)*-1)+((AE164-AD164)*-1)</f>
        <v>0</v>
      </c>
      <c r="AF283" s="12">
        <f>((AF165-AE165)*-1)+((AF164-AE164)*-1)</f>
        <v>0</v>
      </c>
      <c r="AG283" s="12">
        <f>SUM(AC283:AF283)</f>
        <v>0</v>
      </c>
      <c r="AH283" s="12">
        <f>((AH165-AG165)*-1)+((AH164-AG164)*-1)</f>
        <v>0</v>
      </c>
      <c r="AI283" s="12">
        <f>((AI165-AH165)*-1)+((AI164-AH164)*-1)</f>
        <v>0</v>
      </c>
      <c r="AJ283" s="12">
        <f>((AJ165-AI165)*-1)+((AJ164-AI164)*-1)</f>
        <v>0</v>
      </c>
      <c r="AK283" s="12">
        <f>((AK165-AJ165)*-1)+((AK164-AJ164)*-1)</f>
        <v>0</v>
      </c>
      <c r="AL283" s="12">
        <f>SUM(AH283:AK283)</f>
        <v>0</v>
      </c>
      <c r="AM283" s="12">
        <f>((AM165-AL165)*-1)+((AM164-AL164)*-1)</f>
        <v>0</v>
      </c>
      <c r="AN283" s="12">
        <f>((AN165-AM165)*-1)+((AN164-AM164)*-1)</f>
        <v>0</v>
      </c>
      <c r="AO283" s="12">
        <f>((AO165-AN165)*-1)+((AO164-AN164)*-1)</f>
        <v>0</v>
      </c>
      <c r="AP283" s="12">
        <f>((AP165-AO165)*-1)+((AP164-AO164)*-1)</f>
        <v>0</v>
      </c>
      <c r="AQ283" s="12">
        <f>SUM(AM283:AP283)</f>
        <v>0</v>
      </c>
      <c r="AR283" s="12">
        <f>((AR165-AQ165)*-1)+((AR164-AQ164)*-1)</f>
        <v>0</v>
      </c>
      <c r="AS283" s="12">
        <f>((AS165-AR165)*-1)+((AS164-AR164)*-1)</f>
        <v>0</v>
      </c>
      <c r="AT283" s="12">
        <f>((AT165-AS165)*-1)+((AT164-AS164)*-1)</f>
        <v>0</v>
      </c>
      <c r="AU283" s="12">
        <f>((AU165-AT165)*-1)+((AU164-AT164)*-1)</f>
        <v>0</v>
      </c>
      <c r="AV283" s="12">
        <f>SUM(AR283:AU283)</f>
        <v>0</v>
      </c>
      <c r="AW283" s="12">
        <f>((AW165-AV165)*-1)+((AW164-AV164)*-1)</f>
        <v>0</v>
      </c>
      <c r="AX283" s="12">
        <f>((AX165-AW165)*-1)+((AX164-AW164)*-1)</f>
        <v>0</v>
      </c>
      <c r="AY283" s="12">
        <f>((AY165-AX165)*-1)+((AY164-AX164)*-1)</f>
        <v>0</v>
      </c>
      <c r="AZ283" s="12">
        <f>((AZ165-AY165)*-1)+((AZ164-AY164)*-1)</f>
        <v>0</v>
      </c>
      <c r="BA283" s="12">
        <f>SUM(AW283:AZ283)</f>
        <v>0</v>
      </c>
      <c r="BB283" s="12">
        <f>((BB165-BA165)*-1)+((BB164-BA164)*-1)</f>
        <v>0</v>
      </c>
      <c r="BC283" s="12">
        <f>((BC165-BB165)*-1)+((BC164-BB164)*-1)</f>
        <v>0</v>
      </c>
      <c r="BD283" s="12">
        <f>((BD165-BC165)*-1)+((BD164-BC164)*-1)</f>
        <v>0</v>
      </c>
      <c r="BE283" s="12">
        <f>((BE165-BD165)*-1)+((BE164-BD164)*-1)</f>
        <v>0</v>
      </c>
      <c r="BF283" s="12">
        <f>SUM(BB283:BE283)</f>
        <v>0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  <c r="CZ283" s="12" t="n"/>
      <c r="DA283" s="12" t="n"/>
      <c r="DB283" s="12" t="n"/>
      <c r="DC283" s="12" t="n"/>
    </row>
    <row r="284">
      <c r="C284" s="71" t="inlineStr">
        <is>
          <t>Purchases/Proceeds from other long-term assets</t>
        </is>
      </c>
      <c r="D284" s="12" t="n"/>
      <c r="E284" s="12" t="n"/>
      <c r="F284" s="12" t="n"/>
      <c r="G284" s="12" t="n"/>
      <c r="H284" s="12" t="n"/>
      <c r="I284" s="12" t="n"/>
      <c r="J284" s="12">
        <f>((J174-I174)*-1)+(J225-I225)</f>
        <v>16</v>
      </c>
      <c r="K284" s="12">
        <f>((K174-J174)*-1)+(K225-J225)</f>
        <v>158</v>
      </c>
      <c r="L284" s="12">
        <f>((L174-K174)*-1)+(L225-K225)</f>
        <v>-52</v>
      </c>
      <c r="M284" s="12" t="n"/>
      <c r="N284" s="12">
        <f>((N174-M174)*-1)+(N225-M225)</f>
        <v>-292</v>
      </c>
      <c r="O284" s="12">
        <f>((O174-N174)*-1)+(O225-N225)</f>
        <v>-125</v>
      </c>
      <c r="P284" s="12">
        <f>((P174-O174)*-1)+(P225-O225)</f>
        <v>-60</v>
      </c>
      <c r="Q284" s="12">
        <f>((Q174-P174)*-1)+(Q225-P225)</f>
        <v>58</v>
      </c>
      <c r="R284" s="12">
        <f>SUM(N284:Q284)</f>
        <v>-419</v>
      </c>
      <c r="S284" s="12">
        <f>((S174-R174)*-1)+(S225-R225)</f>
        <v>-28</v>
      </c>
      <c r="T284" s="12">
        <f>((T174-S174)*-1)+(T225-S225)</f>
        <v>206</v>
      </c>
      <c r="U284" s="12">
        <f>((U174-T174)*-1)+(U225-T225)</f>
        <v>91</v>
      </c>
      <c r="V284" s="12">
        <f>((V174-U174)*-1)+(V225-U225)</f>
        <v>-94</v>
      </c>
      <c r="W284" s="12">
        <f>SUM(S284:V284)</f>
        <v>175</v>
      </c>
      <c r="X284" s="12">
        <f>((X174-W174)*-1)+(X225-W225)</f>
        <v>-52</v>
      </c>
      <c r="Y284" s="12">
        <f>((Y174-X174)*-1)+(Y225-X225)</f>
        <v>-45</v>
      </c>
      <c r="Z284" s="12">
        <f>((Z174-Y174)*-1)+(Z225-Y225)</f>
        <v>-1</v>
      </c>
      <c r="AA284" s="12">
        <f>((AA174-Z174)*-1)+(AA225-Z225)</f>
        <v>-15</v>
      </c>
      <c r="AB284" s="12">
        <f>SUM(X284:AA284)</f>
        <v>-113</v>
      </c>
      <c r="AC284" s="12">
        <f>((AC174-AB174)*-1)+(AC225-AB225)</f>
        <v>-3</v>
      </c>
      <c r="AD284" s="12">
        <f>((AD174-AC174)*-1)+(AD225-AC225)</f>
        <v>-55</v>
      </c>
      <c r="AE284" s="12">
        <f>((AE174-AD174)*-1)+(AE225-AD225)</f>
        <v>2</v>
      </c>
      <c r="AF284" s="12">
        <f>((AF174-AE174)*-1)+(AF225-AE225)</f>
        <v>-22</v>
      </c>
      <c r="AG284" s="12">
        <f>SUM(AC284:AF284)</f>
        <v>-78</v>
      </c>
      <c r="AH284" s="12">
        <f>((AH174-AG174)*-1)+(AH225-AG225)</f>
        <v>-25</v>
      </c>
      <c r="AI284" s="12">
        <f>((AI174-AH174)*-1)+(AI225-AH225)</f>
        <v>-75</v>
      </c>
      <c r="AJ284" s="12">
        <f>((AJ174-AI174)*-1)+(AJ225-AI225)</f>
        <v>0</v>
      </c>
      <c r="AK284" s="12">
        <f>((AK174-AJ174)*-1)+(AK225-AJ225)</f>
        <v>0</v>
      </c>
      <c r="AL284" s="12">
        <f>SUM(AH284:AK284)</f>
        <v>-100</v>
      </c>
      <c r="AM284" s="12">
        <f>((AM174-AL174)*-1)+(AM225-AL225)</f>
        <v>0</v>
      </c>
      <c r="AN284" s="12">
        <f>((AN174-AM174)*-1)+(AN225-AM225)</f>
        <v>0</v>
      </c>
      <c r="AO284" s="12">
        <f>((AO174-AN174)*-1)+(AO225-AN225)</f>
        <v>0</v>
      </c>
      <c r="AP284" s="12">
        <f>((AP174-AO174)*-1)+(AP225-AO225)</f>
        <v>0</v>
      </c>
      <c r="AQ284" s="12">
        <f>SUM(AM284:AP284)</f>
        <v>0</v>
      </c>
      <c r="AR284" s="12">
        <f>((AR174-AQ174)*-1)+(AR225-AQ225)</f>
        <v>0</v>
      </c>
      <c r="AS284" s="12">
        <f>((AS174-AR174)*-1)+(AS225-AR225)</f>
        <v>0</v>
      </c>
      <c r="AT284" s="12">
        <f>((AT174-AS174)*-1)+(AT225-AS225)</f>
        <v>0</v>
      </c>
      <c r="AU284" s="12">
        <f>((AU174-AT174)*-1)+(AU225-AT225)</f>
        <v>0</v>
      </c>
      <c r="AV284" s="12">
        <f>SUM(AR284:AU284)</f>
        <v>0</v>
      </c>
      <c r="AW284" s="12">
        <f>((AW174-AV174)*-1)+(AW225-AV225)</f>
        <v>0</v>
      </c>
      <c r="AX284" s="12">
        <f>((AX174-AW174)*-1)+(AX225-AW225)</f>
        <v>0</v>
      </c>
      <c r="AY284" s="12">
        <f>((AY174-AX174)*-1)+(AY225-AX225)</f>
        <v>0</v>
      </c>
      <c r="AZ284" s="12">
        <f>((AZ174-AY174)*-1)+(AZ225-AY225)</f>
        <v>0</v>
      </c>
      <c r="BA284" s="12">
        <f>SUM(AW284:AZ284)</f>
        <v>0</v>
      </c>
      <c r="BB284" s="12">
        <f>((BB174-BA174)*-1)+(BB225-BA225)</f>
        <v>0</v>
      </c>
      <c r="BC284" s="12">
        <f>((BC174-BB174)*-1)+(BC225-BB225)</f>
        <v>0</v>
      </c>
      <c r="BD284" s="12">
        <f>((BD174-BC174)*-1)+(BD225-BC225)</f>
        <v>0</v>
      </c>
      <c r="BE284" s="12">
        <f>((BE174-BD174)*-1)+(BE225-BD225)</f>
        <v>0</v>
      </c>
      <c r="BF284" s="12">
        <f>SUM(BB284:BE284)</f>
        <v>0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>
      <c r="C285" s="14" t="inlineStr">
        <is>
          <t>Cash from investing</t>
        </is>
      </c>
      <c r="D285" s="12" t="n"/>
      <c r="E285" s="12" t="n"/>
      <c r="F285" s="12" t="n"/>
      <c r="G285" s="12" t="n"/>
      <c r="H285" s="12" t="n"/>
      <c r="I285" s="12" t="n"/>
      <c r="J285" s="12">
        <f>SUM(J280,J281,J283,J284,J282)</f>
        <v>-1020</v>
      </c>
      <c r="K285" s="12">
        <f>SUM(K280,K281,K283,K284,K282)</f>
        <v>-731</v>
      </c>
      <c r="L285" s="12">
        <f>SUM(L280,L281,L283,L284,L282)</f>
        <v>-892</v>
      </c>
      <c r="M285" s="12" t="n"/>
      <c r="N285" s="12">
        <f>SUM(N280,N281,N283,N284,N282)</f>
        <v>-830</v>
      </c>
      <c r="O285" s="12">
        <f>SUM(O280,O281,O283,O284,O282)</f>
        <v>-545</v>
      </c>
      <c r="P285" s="12">
        <f>SUM(P280,P281,P283,P284,P282)</f>
        <v>-1200</v>
      </c>
      <c r="Q285" s="12">
        <f>SUM(Q280,Q281,Q283,Q284,Q282)</f>
        <v>-900</v>
      </c>
      <c r="R285" s="12">
        <f>SUM(R280,R281,R283,R284)</f>
        <v>-3591</v>
      </c>
      <c r="S285" s="12">
        <f>SUM(S280,S281,S283,S284,S282)</f>
        <v>-1150</v>
      </c>
      <c r="T285" s="12">
        <f>SUM(T280,T281,T283,T284,T282)</f>
        <v>-420</v>
      </c>
      <c r="U285" s="12">
        <f>SUM(U280,U281,U283,U284,U282)</f>
        <v>-1257</v>
      </c>
      <c r="V285" s="12">
        <f>SUM(V280,V281,V283,V284,V282)</f>
        <v>-1038</v>
      </c>
      <c r="W285" s="12">
        <f>SUM(W280,W281,W283,W284)</f>
        <v>-3980</v>
      </c>
      <c r="X285" s="12">
        <f>SUM(X280,X281,X283,X284,X282)</f>
        <v>-1067</v>
      </c>
      <c r="Y285" s="12">
        <f>SUM(Y280,Y281,Y283,Y284,Y282)</f>
        <v>-925</v>
      </c>
      <c r="Z285" s="12">
        <f>SUM(Z280,Z281,Z283,Z284,Z282)</f>
        <v>-1651</v>
      </c>
      <c r="AA285" s="12">
        <f>SUM(AA280,AA281,AA283,AA284,AA282)</f>
        <v>-789</v>
      </c>
      <c r="AB285" s="12">
        <f>SUM(AB280,AB281,AB283,AB284)</f>
        <v>-4565</v>
      </c>
      <c r="AC285" s="12">
        <f>SUM(AC280,AC281,AC283,AC284,AC282)</f>
        <v>-1020</v>
      </c>
      <c r="AD285" s="12">
        <f>SUM(AD280,AD281,AD283,AD284,AD282)</f>
        <v>-1567</v>
      </c>
      <c r="AE285" s="12">
        <f>SUM(AE280,AE281,AE283,AE284,AE282)</f>
        <v>-2106</v>
      </c>
      <c r="AF285" s="12">
        <f>SUM(AF280,AF281,AF283,AF284,AF282)</f>
        <v>-1331</v>
      </c>
      <c r="AG285" s="12">
        <f>SUM(AG280,AG281,AG283,AG284)</f>
        <v>-5833</v>
      </c>
      <c r="AH285" s="12">
        <f>SUM(AH280,AH281,AH283,AH284,AH282)</f>
        <v>-1680</v>
      </c>
      <c r="AI285" s="12">
        <f>SUM(AI280,AI281,AI283,AI284,AI282)</f>
        <v>-1308</v>
      </c>
      <c r="AJ285" s="12">
        <f>SUM(AJ280,AJ281,AJ283,AJ284,AJ282)</f>
        <v>-1927.12019536952</v>
      </c>
      <c r="AK285" s="12">
        <f>SUM(AK280,AK281,AK283,AK284,AK282)</f>
        <v>-1505.50952910693</v>
      </c>
      <c r="AL285" s="12">
        <f>SUM(AL280,AL281,AL283,AL284)</f>
        <v>-6403.62972447645</v>
      </c>
      <c r="AM285" s="12">
        <f>SUM(AM280,AM281,AM283,AM284,AM282)</f>
        <v>-1556.7317916005</v>
      </c>
      <c r="AN285" s="12">
        <f>SUM(AN280,AN281,AN283,AN284,AN282)</f>
        <v>-1577.53384580094</v>
      </c>
      <c r="AO285" s="12">
        <f>SUM(AO280,AO281,AO283,AO284,AO282)</f>
        <v>-2101.37768378376</v>
      </c>
      <c r="AP285" s="12">
        <f>SUM(AP280,AP281,AP283,AP284,AP282)</f>
        <v>-1641.64338830068</v>
      </c>
      <c r="AQ285" s="12">
        <f>SUM(AQ280,AQ281,AQ283,AQ284)</f>
        <v>-6877.28670948588</v>
      </c>
      <c r="AR285" s="12">
        <f>SUM(AR280,AR281,AR283,AR284,AR282)</f>
        <v>-1689.71370232035</v>
      </c>
      <c r="AS285" s="12">
        <f>SUM(AS280,AS281,AS283,AS284,AS282)</f>
        <v>-1712.2927465774</v>
      </c>
      <c r="AT285" s="12">
        <f>SUM(AT280,AT281,AT283,AT284,AT282)</f>
        <v>-2280.88530419814</v>
      </c>
      <c r="AU285" s="12">
        <f>SUM(AU280,AU281,AU283,AU284,AU282)</f>
        <v>-1781.87876839297</v>
      </c>
      <c r="AV285" s="12">
        <f>SUM(AV280,AV281,AV283,AV284)</f>
        <v>-7464.77052148887</v>
      </c>
      <c r="AW285" s="12">
        <f>SUM(AW280,AW281,AW283,AW284,AW282)</f>
        <v>-1825.60686172648</v>
      </c>
      <c r="AX285" s="12">
        <f>SUM(AX280,AX281,AX283,AX284,AX282)</f>
        <v>-1850.00179802267</v>
      </c>
      <c r="AY285" s="12">
        <f>SUM(AY280,AY281,AY283,AY284,AY282)</f>
        <v>-2464.32271717814</v>
      </c>
      <c r="AZ285" s="12">
        <f>SUM(AZ280,AZ281,AZ283,AZ284,AZ282)</f>
        <v>-1925.18419059739</v>
      </c>
      <c r="BA285" s="12">
        <f>SUM(BA280,BA281,BA283,BA284)</f>
        <v>-8065.11556752469</v>
      </c>
      <c r="BB285" s="12">
        <f>SUM(BB280,BB281,BB283,BB284,BB282)</f>
        <v>-1963.30102808584</v>
      </c>
      <c r="BC285" s="12">
        <f>SUM(BC280,BC281,BC283,BC284,BC282)</f>
        <v>-1989.53592263761</v>
      </c>
      <c r="BD285" s="12">
        <f>SUM(BD280,BD281,BD283,BD284,BD282)</f>
        <v>-2650.19124632102</v>
      </c>
      <c r="BE285" s="12">
        <f>SUM(BE280,BE281,BE283,BE284,BE282)</f>
        <v>-2070.38885528726</v>
      </c>
      <c r="BF285" s="12">
        <f>SUM(BF280,BF281,BF283,BF284)</f>
        <v>-8673.41705233173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>
      <c r="C286" s="14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  <c r="AJ286" s="12" t="n"/>
      <c r="AK286" s="12" t="n"/>
      <c r="AL286" s="12" t="n"/>
      <c r="AM286" s="12" t="n"/>
      <c r="AN286" s="12" t="n"/>
      <c r="AO286" s="12" t="n"/>
      <c r="AP286" s="12" t="n"/>
      <c r="AQ286" s="12" t="n"/>
      <c r="AR286" s="12" t="n"/>
      <c r="AS286" s="12" t="n"/>
      <c r="AT286" s="12" t="n"/>
      <c r="AU286" s="12" t="n"/>
      <c r="AV286" s="12" t="n"/>
      <c r="AW286" s="12" t="n"/>
      <c r="AX286" s="12" t="n"/>
      <c r="AY286" s="12" t="n"/>
      <c r="AZ286" s="12" t="n"/>
      <c r="BA286" s="12" t="n"/>
      <c r="BB286" s="12" t="n"/>
      <c r="BC286" s="12" t="n"/>
      <c r="BD286" s="12" t="n"/>
      <c r="BE286" s="12" t="n"/>
      <c r="BF286" s="12" t="n"/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>
      <c r="C287" s="14" t="inlineStr">
        <is>
          <t>Convertible preferred stock</t>
        </is>
      </c>
      <c r="D287" s="12" t="n"/>
      <c r="E287" s="12" t="n"/>
      <c r="F287" s="12" t="n"/>
      <c r="G287" s="12" t="n"/>
      <c r="H287" s="12" t="n"/>
      <c r="I287" s="12" t="n"/>
      <c r="J287" s="12">
        <f>J238-I238</f>
        <v>0</v>
      </c>
      <c r="K287" s="12">
        <f>K238-J238</f>
        <v>0</v>
      </c>
      <c r="L287" s="12">
        <f>L238-K238</f>
        <v>0</v>
      </c>
      <c r="M287" s="12" t="n"/>
      <c r="N287" s="12">
        <f>N238-M238</f>
        <v>0</v>
      </c>
      <c r="O287" s="12">
        <f>O238-N238</f>
        <v>0</v>
      </c>
      <c r="P287" s="12">
        <f>P238-O238</f>
        <v>0</v>
      </c>
      <c r="Q287" s="12">
        <f>Q238-P238</f>
        <v>0</v>
      </c>
      <c r="R287" s="12">
        <f>SUM(N287:Q287)</f>
        <v>0</v>
      </c>
      <c r="S287" s="12">
        <f>S238-R238</f>
        <v>0</v>
      </c>
      <c r="T287" s="12">
        <f>T238-S238</f>
        <v>0</v>
      </c>
      <c r="U287" s="12">
        <f>U238-T238</f>
        <v>0</v>
      </c>
      <c r="V287" s="12">
        <f>V238-U238</f>
        <v>0</v>
      </c>
      <c r="W287" s="12">
        <f>SUM(S287:V287)</f>
        <v>0</v>
      </c>
      <c r="X287" s="12">
        <f>X238-W238</f>
        <v>0</v>
      </c>
      <c r="Y287" s="12">
        <f>Y238-X238</f>
        <v>0</v>
      </c>
      <c r="Z287" s="12">
        <f>Z238-Y238</f>
        <v>0</v>
      </c>
      <c r="AA287" s="12">
        <f>AA238-Z238</f>
        <v>0</v>
      </c>
      <c r="AB287" s="12">
        <f>SUM(X287:AA287)</f>
        <v>0</v>
      </c>
      <c r="AC287" s="12">
        <f>AC238-AB238</f>
        <v>0</v>
      </c>
      <c r="AD287" s="12">
        <f>AD238-AC238</f>
        <v>0</v>
      </c>
      <c r="AE287" s="12">
        <f>AE238-AD238</f>
        <v>0</v>
      </c>
      <c r="AF287" s="12">
        <f>AF238-AE238</f>
        <v>0</v>
      </c>
      <c r="AG287" s="12">
        <f>SUM(AC287:AF287)</f>
        <v>0</v>
      </c>
      <c r="AH287" s="12">
        <f>AH238-AG238</f>
        <v>0</v>
      </c>
      <c r="AI287" s="12">
        <f>AI238-AH238</f>
        <v>0</v>
      </c>
      <c r="AJ287" s="12">
        <f>AJ238-AI238</f>
        <v>0</v>
      </c>
      <c r="AK287" s="12">
        <f>AK238-AJ238</f>
        <v>0</v>
      </c>
      <c r="AL287" s="12">
        <f>SUM(AH287:AK287)</f>
        <v>0</v>
      </c>
      <c r="AM287" s="12">
        <f>AM238-AL238</f>
        <v>0</v>
      </c>
      <c r="AN287" s="12">
        <f>AN238-AM238</f>
        <v>0</v>
      </c>
      <c r="AO287" s="12">
        <f>AO238-AN238</f>
        <v>0</v>
      </c>
      <c r="AP287" s="12">
        <f>AP238-AO238</f>
        <v>0</v>
      </c>
      <c r="AQ287" s="12">
        <f>SUM(AM287:AP287)</f>
        <v>0</v>
      </c>
      <c r="AR287" s="12">
        <f>AR238-AQ238</f>
        <v>0</v>
      </c>
      <c r="AS287" s="12">
        <f>AS238-AR238</f>
        <v>0</v>
      </c>
      <c r="AT287" s="12">
        <f>AT238-AS238</f>
        <v>0</v>
      </c>
      <c r="AU287" s="12">
        <f>AU238-AT238</f>
        <v>0</v>
      </c>
      <c r="AV287" s="12">
        <f>SUM(AR287:AU287)</f>
        <v>0</v>
      </c>
      <c r="AW287" s="12">
        <f>AW238-AV238</f>
        <v>0</v>
      </c>
      <c r="AX287" s="12">
        <f>AX238-AW238</f>
        <v>0</v>
      </c>
      <c r="AY287" s="12">
        <f>AY238-AX238</f>
        <v>0</v>
      </c>
      <c r="AZ287" s="12">
        <f>AZ238-AY238</f>
        <v>0</v>
      </c>
      <c r="BA287" s="12">
        <f>SUM(AW287:AZ287)</f>
        <v>0</v>
      </c>
      <c r="BB287" s="12">
        <f>BB238-BA238</f>
        <v>0</v>
      </c>
      <c r="BC287" s="12">
        <f>BC238-BB238</f>
        <v>0</v>
      </c>
      <c r="BD287" s="12">
        <f>BD238-BC238</f>
        <v>0</v>
      </c>
      <c r="BE287" s="12">
        <f>BE238-BD238</f>
        <v>0</v>
      </c>
      <c r="BF287" s="12">
        <f>SUM(BB287:BE287)</f>
        <v>0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>
      <c r="C288" s="14" t="inlineStr">
        <is>
          <t>Common stock and APIC</t>
        </is>
      </c>
      <c r="D288" s="12" t="n"/>
      <c r="E288" s="12" t="n"/>
      <c r="F288" s="12" t="n"/>
      <c r="G288" s="12" t="n"/>
      <c r="H288" s="12" t="n"/>
      <c r="I288" s="12" t="n"/>
      <c r="J288" s="12">
        <f>J239-I239</f>
        <v>78</v>
      </c>
      <c r="K288" s="12">
        <f>K239-J239</f>
        <v>110</v>
      </c>
      <c r="L288" s="12">
        <f>L239-K239</f>
        <v>33</v>
      </c>
      <c r="M288" s="12" t="n"/>
      <c r="N288" s="12">
        <f>N239-M239</f>
        <v>122</v>
      </c>
      <c r="O288" s="12">
        <f>O239-N239</f>
        <v>86</v>
      </c>
      <c r="P288" s="12">
        <f>P239-O239</f>
        <v>-390</v>
      </c>
      <c r="Q288" s="12">
        <f>Q239-P239</f>
        <v>98</v>
      </c>
      <c r="R288" s="12">
        <f>SUM(N288:Q288)</f>
        <v>-84</v>
      </c>
      <c r="S288" s="12">
        <f>S239-R239</f>
        <v>141</v>
      </c>
      <c r="T288" s="12">
        <f>T239-S239</f>
        <v>88</v>
      </c>
      <c r="U288" s="12">
        <f>U239-T239</f>
        <v>129</v>
      </c>
      <c r="V288" s="12">
        <f>V239-U239</f>
        <v>149</v>
      </c>
      <c r="W288" s="12">
        <f>SUM(S288:V288)</f>
        <v>507</v>
      </c>
      <c r="X288" s="12">
        <f>X239-W239</f>
        <v>131</v>
      </c>
      <c r="Y288" s="12">
        <f>Y239-X239</f>
        <v>82</v>
      </c>
      <c r="Z288" s="12">
        <f>Z239-Y239</f>
        <v>127</v>
      </c>
      <c r="AA288" s="12">
        <f>AA239-Z239</f>
        <v>72</v>
      </c>
      <c r="AB288" s="12">
        <f>SUM(X288:AA288)</f>
        <v>412</v>
      </c>
      <c r="AC288" s="12">
        <f>AC239-AB239</f>
        <v>146</v>
      </c>
      <c r="AD288" s="12">
        <f>AD239-AC239</f>
        <v>101</v>
      </c>
      <c r="AE288" s="12">
        <f>AE239-AD239</f>
        <v>134</v>
      </c>
      <c r="AF288" s="12">
        <f>AF239-AE239</f>
        <v>126</v>
      </c>
      <c r="AG288" s="12">
        <f>SUM(AC288:AF288)</f>
        <v>507</v>
      </c>
      <c r="AH288" s="12">
        <f>AH239-AG239</f>
        <v>162</v>
      </c>
      <c r="AI288" s="12">
        <f>AI239-AH239</f>
        <v>113</v>
      </c>
      <c r="AJ288" s="12">
        <f>AJ239-AI239</f>
        <v>0</v>
      </c>
      <c r="AK288" s="12">
        <f>AK239-AJ239</f>
        <v>0</v>
      </c>
      <c r="AL288" s="12">
        <f>SUM(AH288:AK288)</f>
        <v>275</v>
      </c>
      <c r="AM288" s="12">
        <f>AM239-AL239</f>
        <v>0</v>
      </c>
      <c r="AN288" s="12">
        <f>AN239-AM239</f>
        <v>0</v>
      </c>
      <c r="AO288" s="12">
        <f>AO239-AN239</f>
        <v>0</v>
      </c>
      <c r="AP288" s="12">
        <f>AP239-AO239</f>
        <v>0</v>
      </c>
      <c r="AQ288" s="12">
        <f>SUM(AM288:AP288)</f>
        <v>0</v>
      </c>
      <c r="AR288" s="12">
        <f>AR239-AQ239</f>
        <v>0</v>
      </c>
      <c r="AS288" s="12">
        <f>AS239-AR239</f>
        <v>0</v>
      </c>
      <c r="AT288" s="12">
        <f>AT239-AS239</f>
        <v>0</v>
      </c>
      <c r="AU288" s="12">
        <f>AU239-AT239</f>
        <v>0</v>
      </c>
      <c r="AV288" s="12">
        <f>SUM(AR288:AU288)</f>
        <v>0</v>
      </c>
      <c r="AW288" s="12">
        <f>AW239-AV239</f>
        <v>0</v>
      </c>
      <c r="AX288" s="12">
        <f>AX239-AW239</f>
        <v>0</v>
      </c>
      <c r="AY288" s="12">
        <f>AY239-AX239</f>
        <v>0</v>
      </c>
      <c r="AZ288" s="12">
        <f>AZ239-AY239</f>
        <v>0</v>
      </c>
      <c r="BA288" s="12">
        <f>SUM(AW288:AZ288)</f>
        <v>0</v>
      </c>
      <c r="BB288" s="12">
        <f>BB239-BA239</f>
        <v>0</v>
      </c>
      <c r="BC288" s="12">
        <f>BC239-BB239</f>
        <v>0</v>
      </c>
      <c r="BD288" s="12">
        <f>BD239-BC239</f>
        <v>0</v>
      </c>
      <c r="BE288" s="12">
        <f>BE239-BD239</f>
        <v>0</v>
      </c>
      <c r="BF288" s="12">
        <f>SUM(BB288:BE288)</f>
        <v>0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>
      <c r="C289" s="14" t="inlineStr">
        <is>
          <t>Treasury stock repurchases</t>
        </is>
      </c>
      <c r="D289" s="12" t="n"/>
      <c r="E289" s="12" t="n"/>
      <c r="F289" s="12" t="n"/>
      <c r="G289" s="12" t="n"/>
      <c r="H289" s="12" t="n"/>
      <c r="I289" s="12" t="n"/>
      <c r="J289" s="12">
        <f>J252-I252</f>
        <v>0</v>
      </c>
      <c r="K289" s="12">
        <f>K252-J252</f>
        <v>0</v>
      </c>
      <c r="L289" s="12">
        <f>L252-K252</f>
        <v>0</v>
      </c>
      <c r="M289" s="12" t="n"/>
      <c r="N289" s="12">
        <f>N252-M252</f>
        <v>0</v>
      </c>
      <c r="O289" s="12">
        <f>O252-N252</f>
        <v>0</v>
      </c>
      <c r="P289" s="12">
        <f>P252-O252</f>
        <v>0</v>
      </c>
      <c r="Q289" s="12">
        <f>Q252-P252</f>
        <v>0</v>
      </c>
      <c r="R289" s="12">
        <f>SUM(N289:Q289)</f>
        <v>0</v>
      </c>
      <c r="S289" s="12">
        <f>S252-R252</f>
        <v>0</v>
      </c>
      <c r="T289" s="12">
        <f>T252-S252</f>
        <v>0</v>
      </c>
      <c r="U289" s="12">
        <f>U252-T252</f>
        <v>0</v>
      </c>
      <c r="V289" s="12">
        <f>V252-U252</f>
        <v>0</v>
      </c>
      <c r="W289" s="12">
        <f>SUM(S289:V289)</f>
        <v>0</v>
      </c>
      <c r="X289" s="12">
        <f>X252-W252</f>
        <v>0</v>
      </c>
      <c r="Y289" s="12">
        <f>Y252-X252</f>
        <v>0</v>
      </c>
      <c r="Z289" s="12">
        <f>Z252-Y252</f>
        <v>0</v>
      </c>
      <c r="AA289" s="12">
        <f>AA252-Z252</f>
        <v>0</v>
      </c>
      <c r="AB289" s="12">
        <f>SUM(X289:AA289)</f>
        <v>0</v>
      </c>
      <c r="AC289" s="12">
        <f>AC252-AB252</f>
        <v>0</v>
      </c>
      <c r="AD289" s="12">
        <f>AD252-AC252</f>
        <v>0</v>
      </c>
      <c r="AE289" s="12">
        <f>AE252-AD252</f>
        <v>0</v>
      </c>
      <c r="AF289" s="12">
        <f>AF252-AE252</f>
        <v>0</v>
      </c>
      <c r="AG289" s="12">
        <f>SUM(AC289:AF289)</f>
        <v>0</v>
      </c>
      <c r="AH289" s="12">
        <f>AH252-AG252</f>
        <v>0</v>
      </c>
      <c r="AI289" s="12">
        <f>AI252-AH252</f>
        <v>0</v>
      </c>
      <c r="AJ289" s="12">
        <f>AJ252-AI252</f>
        <v>0</v>
      </c>
      <c r="AK289" s="12">
        <f>AK252-AJ252</f>
        <v>0</v>
      </c>
      <c r="AL289" s="12">
        <f>SUM(AH289:AK289)</f>
        <v>0</v>
      </c>
      <c r="AM289" s="12">
        <f>AM252-AL252</f>
        <v>0</v>
      </c>
      <c r="AN289" s="12">
        <f>AN252-AM252</f>
        <v>0</v>
      </c>
      <c r="AO289" s="12">
        <f>AO252-AN252</f>
        <v>0</v>
      </c>
      <c r="AP289" s="12">
        <f>AP252-AO252</f>
        <v>0</v>
      </c>
      <c r="AQ289" s="12">
        <f>SUM(AM289:AP289)</f>
        <v>0</v>
      </c>
      <c r="AR289" s="12">
        <f>AR252-AQ252</f>
        <v>0</v>
      </c>
      <c r="AS289" s="12">
        <f>AS252-AR252</f>
        <v>0</v>
      </c>
      <c r="AT289" s="12">
        <f>AT252-AS252</f>
        <v>0</v>
      </c>
      <c r="AU289" s="12">
        <f>AU252-AT252</f>
        <v>0</v>
      </c>
      <c r="AV289" s="12">
        <f>SUM(AR289:AU289)</f>
        <v>0</v>
      </c>
      <c r="AW289" s="12">
        <f>AW252-AV252</f>
        <v>0</v>
      </c>
      <c r="AX289" s="12">
        <f>AX252-AW252</f>
        <v>0</v>
      </c>
      <c r="AY289" s="12">
        <f>AY252-AX252</f>
        <v>0</v>
      </c>
      <c r="AZ289" s="12">
        <f>AZ252-AY252</f>
        <v>0</v>
      </c>
      <c r="BA289" s="12">
        <f>SUM(AW289:AZ289)</f>
        <v>0</v>
      </c>
      <c r="BB289" s="12">
        <f>BB252-BA252</f>
        <v>0</v>
      </c>
      <c r="BC289" s="12">
        <f>BC252-BB252</f>
        <v>0</v>
      </c>
      <c r="BD289" s="12">
        <f>BD252-BC252</f>
        <v>0</v>
      </c>
      <c r="BE289" s="12">
        <f>BE252-BD252</f>
        <v>0</v>
      </c>
      <c r="BF289" s="12">
        <f>SUM(BB289:BE289)</f>
        <v>0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>
      <c r="C290" s="14" t="inlineStr">
        <is>
          <t>Comprehensive accumulated loss</t>
        </is>
      </c>
      <c r="D290" s="12" t="n"/>
      <c r="E290" s="12" t="n"/>
      <c r="F290" s="12" t="n"/>
      <c r="G290" s="12" t="n"/>
      <c r="H290" s="12" t="n"/>
      <c r="I290" s="12" t="n"/>
      <c r="J290" s="12">
        <f>J253-I253</f>
        <v>52</v>
      </c>
      <c r="K290" s="12">
        <f>K253-J253</f>
        <v>-228</v>
      </c>
      <c r="L290" s="12">
        <f>L253-K253</f>
        <v>-74</v>
      </c>
      <c r="M290" s="12" t="n"/>
      <c r="N290" s="12">
        <f>N253-M253</f>
        <v>-35</v>
      </c>
      <c r="O290" s="12">
        <f>O253-N253</f>
        <v>-356</v>
      </c>
      <c r="P290" s="12">
        <f>P253-O253</f>
        <v>-227</v>
      </c>
      <c r="Q290" s="12">
        <f>Q253-P253</f>
        <v>-96</v>
      </c>
      <c r="R290" s="12">
        <f>SUM(N290:Q290)</f>
        <v>-714</v>
      </c>
      <c r="S290" s="12">
        <f>S253-R253</f>
        <v>253</v>
      </c>
      <c r="T290" s="12">
        <f>T253-S253</f>
        <v>-8</v>
      </c>
      <c r="U290" s="12">
        <f>U253-T253</f>
        <v>-125</v>
      </c>
      <c r="V290" s="12">
        <f>V253-U253</f>
        <v>-38</v>
      </c>
      <c r="W290" s="12">
        <f>SUM(S290:V290)</f>
        <v>82</v>
      </c>
      <c r="X290" s="12">
        <f>X253-W253</f>
        <v>1</v>
      </c>
      <c r="Y290" s="12">
        <f>Y253-X253</f>
        <v>-80</v>
      </c>
      <c r="Z290" s="12">
        <f>Z253-Y253</f>
        <v>94</v>
      </c>
      <c r="AA290" s="12">
        <f>AA253-Z253</f>
        <v>-324</v>
      </c>
      <c r="AB290" s="12">
        <f>SUM(X290:AA290)</f>
        <v>-309</v>
      </c>
      <c r="AC290" s="12">
        <f>AC253-AB253</f>
        <v>-90</v>
      </c>
      <c r="AD290" s="12">
        <f>AD253-AC253</f>
        <v>327</v>
      </c>
      <c r="AE290" s="12">
        <f>AE253-AD253</f>
        <v>145</v>
      </c>
      <c r="AF290" s="12">
        <f>AF253-AE253</f>
        <v>-206</v>
      </c>
      <c r="AG290" s="12">
        <f>SUM(AC290:AF290)</f>
        <v>176</v>
      </c>
      <c r="AH290" s="12">
        <f>AH253-AG253</f>
        <v>370</v>
      </c>
      <c r="AI290" s="12">
        <f>AI253-AH253</f>
        <v>-52</v>
      </c>
      <c r="AJ290" s="12">
        <f>AJ253-AI253</f>
        <v>0</v>
      </c>
      <c r="AK290" s="12">
        <f>AK253-AJ253</f>
        <v>0</v>
      </c>
      <c r="AL290" s="12">
        <f>SUM(AH290:AK290)</f>
        <v>318</v>
      </c>
      <c r="AM290" s="12">
        <f>AM253-AL253</f>
        <v>0</v>
      </c>
      <c r="AN290" s="12">
        <f>AN253-AM253</f>
        <v>0</v>
      </c>
      <c r="AO290" s="12">
        <f>AO253-AN253</f>
        <v>0</v>
      </c>
      <c r="AP290" s="12">
        <f>AP253-AO253</f>
        <v>0</v>
      </c>
      <c r="AQ290" s="12">
        <f>SUM(AM290:AP290)</f>
        <v>0</v>
      </c>
      <c r="AR290" s="12">
        <f>AR253-AQ253</f>
        <v>0</v>
      </c>
      <c r="AS290" s="12">
        <f>AS253-AR253</f>
        <v>0</v>
      </c>
      <c r="AT290" s="12">
        <f>AT253-AS253</f>
        <v>0</v>
      </c>
      <c r="AU290" s="12">
        <f>AU253-AT253</f>
        <v>0</v>
      </c>
      <c r="AV290" s="12">
        <f>SUM(AR290:AU290)</f>
        <v>0</v>
      </c>
      <c r="AW290" s="12">
        <f>AW253-AV253</f>
        <v>0</v>
      </c>
      <c r="AX290" s="12">
        <f>AX253-AW253</f>
        <v>0</v>
      </c>
      <c r="AY290" s="12">
        <f>AY253-AX253</f>
        <v>0</v>
      </c>
      <c r="AZ290" s="12">
        <f>AZ253-AY253</f>
        <v>0</v>
      </c>
      <c r="BA290" s="12">
        <f>SUM(AW290:AZ290)</f>
        <v>0</v>
      </c>
      <c r="BB290" s="12">
        <f>BB253-BA253</f>
        <v>0</v>
      </c>
      <c r="BC290" s="12">
        <f>BC253-BB253</f>
        <v>0</v>
      </c>
      <c r="BD290" s="12">
        <f>BD253-BC253</f>
        <v>0</v>
      </c>
      <c r="BE290" s="12">
        <f>BE253-BD253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>
      <c r="C291" s="14" t="inlineStr">
        <is>
          <t>Other equity account</t>
        </is>
      </c>
      <c r="D291" s="12" t="n"/>
      <c r="E291" s="12" t="n"/>
      <c r="F291" s="12" t="n"/>
      <c r="G291" s="12" t="n"/>
      <c r="H291" s="12" t="n"/>
      <c r="I291" s="12" t="n"/>
      <c r="J291" s="12">
        <f>J254-I254</f>
        <v>0</v>
      </c>
      <c r="K291" s="12">
        <f>K254-J254</f>
        <v>0</v>
      </c>
      <c r="L291" s="12">
        <f>L254-K254</f>
        <v>0</v>
      </c>
      <c r="M291" s="12" t="n"/>
      <c r="N291" s="12">
        <f>N254-M254</f>
        <v>0</v>
      </c>
      <c r="O291" s="12">
        <f>O254-N254</f>
        <v>0</v>
      </c>
      <c r="P291" s="12">
        <f>P254-O254</f>
        <v>0</v>
      </c>
      <c r="Q291" s="12">
        <f>Q254-P254</f>
        <v>0</v>
      </c>
      <c r="R291" s="12">
        <f>SUM(N291:Q291)</f>
        <v>0</v>
      </c>
      <c r="S291" s="12">
        <f>S254-R254</f>
        <v>0</v>
      </c>
      <c r="T291" s="12">
        <f>T254-S254</f>
        <v>0</v>
      </c>
      <c r="U291" s="12">
        <f>U254-T254</f>
        <v>0</v>
      </c>
      <c r="V291" s="12">
        <f>V254-U254</f>
        <v>0</v>
      </c>
      <c r="W291" s="12">
        <f>SUM(S291:V291)</f>
        <v>0</v>
      </c>
      <c r="X291" s="12">
        <f>X254-W254</f>
        <v>0</v>
      </c>
      <c r="Y291" s="12">
        <f>Y254-X254</f>
        <v>0</v>
      </c>
      <c r="Z291" s="12">
        <f>Z254-Y254</f>
        <v>0</v>
      </c>
      <c r="AA291" s="12">
        <f>AA254-Z254</f>
        <v>0</v>
      </c>
      <c r="AB291" s="12">
        <f>SUM(X291:AA291)</f>
        <v>0</v>
      </c>
      <c r="AC291" s="12">
        <f>AC254-AB254</f>
        <v>0</v>
      </c>
      <c r="AD291" s="12">
        <f>AD254-AC254</f>
        <v>0</v>
      </c>
      <c r="AE291" s="12">
        <f>AE254-AD254</f>
        <v>0</v>
      </c>
      <c r="AF291" s="12">
        <f>AF254-AE254</f>
        <v>0</v>
      </c>
      <c r="AG291" s="12">
        <f>SUM(AC291:AF291)</f>
        <v>0</v>
      </c>
      <c r="AH291" s="12">
        <f>AH254-AG254</f>
        <v>0</v>
      </c>
      <c r="AI291" s="12">
        <f>AI254-AH254</f>
        <v>0</v>
      </c>
      <c r="AJ291" s="12">
        <f>AJ254-AI254</f>
        <v>0</v>
      </c>
      <c r="AK291" s="12">
        <f>AK254-AJ254</f>
        <v>0</v>
      </c>
      <c r="AL291" s="12">
        <f>SUM(AH291:AK291)</f>
        <v>0</v>
      </c>
      <c r="AM291" s="12">
        <f>AM254-AL254</f>
        <v>0</v>
      </c>
      <c r="AN291" s="12">
        <f>AN254-AM254</f>
        <v>0</v>
      </c>
      <c r="AO291" s="12">
        <f>AO254-AN254</f>
        <v>0</v>
      </c>
      <c r="AP291" s="12">
        <f>AP254-AO254</f>
        <v>0</v>
      </c>
      <c r="AQ291" s="12">
        <f>SUM(AM291:AP291)</f>
        <v>0</v>
      </c>
      <c r="AR291" s="12">
        <f>AR254-AQ254</f>
        <v>0</v>
      </c>
      <c r="AS291" s="12">
        <f>AS254-AR254</f>
        <v>0</v>
      </c>
      <c r="AT291" s="12">
        <f>AT254-AS254</f>
        <v>0</v>
      </c>
      <c r="AU291" s="12">
        <f>AU254-AT254</f>
        <v>0</v>
      </c>
      <c r="AV291" s="12">
        <f>SUM(AR291:AU291)</f>
        <v>0</v>
      </c>
      <c r="AW291" s="12">
        <f>AW254-AV254</f>
        <v>0</v>
      </c>
      <c r="AX291" s="12">
        <f>AX254-AW254</f>
        <v>0</v>
      </c>
      <c r="AY291" s="12">
        <f>AY254-AX254</f>
        <v>0</v>
      </c>
      <c r="AZ291" s="12">
        <f>AZ254-AY254</f>
        <v>0</v>
      </c>
      <c r="BA291" s="12">
        <f>SUM(AW291:AZ291)</f>
        <v>0</v>
      </c>
      <c r="BB291" s="12">
        <f>BB254-BA254</f>
        <v>0</v>
      </c>
      <c r="BC291" s="12">
        <f>BC254-BB254</f>
        <v>0</v>
      </c>
      <c r="BD291" s="12">
        <f>BD254-BC254</f>
        <v>0</v>
      </c>
      <c r="BE291" s="12">
        <f>BE254-BD254</f>
        <v>0</v>
      </c>
      <c r="BF291" s="12">
        <f>SUM(BB291:BE291)</f>
        <v>0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>
      <c r="C292" s="10" t="inlineStr">
        <is>
          <t>Common and preferred dividends</t>
        </is>
      </c>
      <c r="D292" s="12" t="n"/>
      <c r="E292" s="12" t="n"/>
      <c r="F292" s="12" t="n"/>
      <c r="G292" s="12" t="n"/>
      <c r="H292" s="12" t="n"/>
      <c r="I292" s="12" t="n"/>
      <c r="J292" s="12">
        <f>(J255-I255)-J262</f>
        <v>-520</v>
      </c>
      <c r="K292" s="12">
        <f>(K255-J255)-K262</f>
        <v>-470</v>
      </c>
      <c r="L292" s="12">
        <f>(L255-K255)-L262</f>
        <v>-384</v>
      </c>
      <c r="M292" s="12" t="n"/>
      <c r="N292" s="12">
        <f>(N255-M255)-N262</f>
        <v>-431</v>
      </c>
      <c r="O292" s="12">
        <f>(O255-N255)-O262</f>
        <v>-533</v>
      </c>
      <c r="P292" s="12">
        <f>(P255-O255)-P262</f>
        <v>-577</v>
      </c>
      <c r="Q292" s="12">
        <f>(Q255-P255)-Q262</f>
        <v>-537</v>
      </c>
      <c r="R292" s="12">
        <f>SUM(N292:Q292)</f>
        <v>-2078</v>
      </c>
      <c r="S292" s="12">
        <f>(S255-R255)-S262</f>
        <v>-537</v>
      </c>
      <c r="T292" s="12">
        <f>(T255-S255)-T262</f>
        <v>-608</v>
      </c>
      <c r="U292" s="12">
        <f>(U255-T255)-U262</f>
        <v>-674</v>
      </c>
      <c r="V292" s="12">
        <f>(V255-U255)-V262</f>
        <v>-611</v>
      </c>
      <c r="W292" s="12">
        <f>SUM(S292:V292)</f>
        <v>-2430</v>
      </c>
      <c r="X292" s="12">
        <f>(X255-W255)-X262</f>
        <v>-7262</v>
      </c>
      <c r="Y292" s="12">
        <f>(Y255-X255)-Y262</f>
        <v>-672</v>
      </c>
      <c r="Z292" s="12">
        <f>(Z255-Y255)-Z262</f>
        <v>-724</v>
      </c>
      <c r="AA292" s="12">
        <f>(AA255-Z255)-AA262</f>
        <v>-717</v>
      </c>
      <c r="AB292" s="12">
        <f>SUM(X292:AA292)</f>
        <v>-9375</v>
      </c>
      <c r="AC292" s="12">
        <f>(AC255-AB255)-AC262</f>
        <v>-718</v>
      </c>
      <c r="AD292" s="12">
        <f>(AD255-AC255)-AD262</f>
        <v>-783</v>
      </c>
      <c r="AE292" s="12">
        <f>(AE255-AD255)-AE262</f>
        <v>-850</v>
      </c>
      <c r="AF292" s="12">
        <f>(AF255-AE255)-AF262</f>
        <v>-782</v>
      </c>
      <c r="AG292" s="12">
        <f>SUM(AC292:AF292)</f>
        <v>-3133</v>
      </c>
      <c r="AH292" s="12">
        <f>(AH255-AG255)-AH262</f>
        <v>-783</v>
      </c>
      <c r="AI292" s="12">
        <f>(AI255-AH255)-AI262</f>
        <v>-831</v>
      </c>
      <c r="AJ292" s="12">
        <f>(AJ255-AI255)-AJ262</f>
        <v>0</v>
      </c>
      <c r="AK292" s="12">
        <f>(AK255-AJ255)-AK262</f>
        <v>0</v>
      </c>
      <c r="AL292" s="12">
        <f>SUM(AH292:AK292)</f>
        <v>-1614</v>
      </c>
      <c r="AM292" s="12">
        <f>(AM255-AL255)-AM262</f>
        <v>0</v>
      </c>
      <c r="AN292" s="12">
        <f>(AN255-AM255)-AN262</f>
        <v>0</v>
      </c>
      <c r="AO292" s="12">
        <f>(AO255-AN255)-AO262</f>
        <v>0</v>
      </c>
      <c r="AP292" s="12">
        <f>(AP255-AO255)-AP262</f>
        <v>0</v>
      </c>
      <c r="AQ292" s="12">
        <f>SUM(AM292:AP292)</f>
        <v>0</v>
      </c>
      <c r="AR292" s="12">
        <f>(AR255-AQ255)-AR262</f>
        <v>0</v>
      </c>
      <c r="AS292" s="12">
        <f>(AS255-AR255)-AS262</f>
        <v>0</v>
      </c>
      <c r="AT292" s="12">
        <f>(AT255-AS255)-AT262</f>
        <v>0</v>
      </c>
      <c r="AU292" s="12">
        <f>(AU255-AT255)-AU262</f>
        <v>0</v>
      </c>
      <c r="AV292" s="12">
        <f>SUM(AR292:AU292)</f>
        <v>0</v>
      </c>
      <c r="AW292" s="12">
        <f>(AW255-AV255)-AW262</f>
        <v>0</v>
      </c>
      <c r="AX292" s="12">
        <f>(AX255-AW255)-AX262</f>
        <v>0</v>
      </c>
      <c r="AY292" s="12">
        <f>(AY255-AX255)-AY262</f>
        <v>0</v>
      </c>
      <c r="AZ292" s="12">
        <f>(AZ255-AY255)-AZ262</f>
        <v>0</v>
      </c>
      <c r="BA292" s="12">
        <f>SUM(AW292:AZ292)</f>
        <v>0</v>
      </c>
      <c r="BB292" s="12">
        <f>(BB255-BA255)-BB262</f>
        <v>0</v>
      </c>
      <c r="BC292" s="12">
        <f>(BC255-BB255)-BC262</f>
        <v>0</v>
      </c>
      <c r="BD292" s="12">
        <f>(BD255-BC255)-BD262</f>
        <v>0</v>
      </c>
      <c r="BE292" s="12">
        <f>(BE255-BD255)-BE262</f>
        <v>0</v>
      </c>
      <c r="BF292" s="12">
        <f>SUM(BB292:BE292)</f>
        <v>0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>
      <c r="C293" s="14" t="inlineStr">
        <is>
          <t>Dividends to minority interests</t>
        </is>
      </c>
      <c r="D293" s="12" t="n"/>
      <c r="E293" s="12" t="n"/>
      <c r="F293" s="12" t="n"/>
      <c r="G293" s="12" t="n"/>
      <c r="H293" s="12" t="n"/>
      <c r="I293" s="12" t="n"/>
      <c r="J293" s="12">
        <f>(J233-I233)+J121</f>
        <v>2</v>
      </c>
      <c r="K293" s="12">
        <f>(K233-J233)+K121</f>
        <v>-2</v>
      </c>
      <c r="L293" s="12">
        <f>(L233-K233)+L121</f>
        <v>2</v>
      </c>
      <c r="M293" s="12" t="n"/>
      <c r="N293" s="12">
        <f>(N233-M233)+N121</f>
        <v>0</v>
      </c>
      <c r="O293" s="12">
        <f>(O233-N233)+O121</f>
        <v>-32</v>
      </c>
      <c r="P293" s="12">
        <f>(P233-O233)+P121</f>
        <v>-550</v>
      </c>
      <c r="Q293" s="12">
        <f>(Q233-P233)+Q121</f>
        <v>0</v>
      </c>
      <c r="R293" s="12">
        <f>SUM(N293:Q293)</f>
        <v>-582</v>
      </c>
      <c r="S293" s="12">
        <f>(S233-R233)+S121</f>
        <v>0</v>
      </c>
      <c r="T293" s="12">
        <f>(T233-S233)+T121</f>
        <v>0</v>
      </c>
      <c r="U293" s="12">
        <f>(U233-T233)+U121</f>
        <v>-5</v>
      </c>
      <c r="V293" s="12">
        <f>(V233-U233)+V121</f>
        <v>0</v>
      </c>
      <c r="W293" s="12">
        <f>SUM(S293:V293)</f>
        <v>-5</v>
      </c>
      <c r="X293" s="12">
        <f>(X233-W233)+X121</f>
        <v>0</v>
      </c>
      <c r="Y293" s="12">
        <f>(Y233-X233)+Y121</f>
        <v>0</v>
      </c>
      <c r="Z293" s="12">
        <f>(Z233-Y233)+Z121</f>
        <v>0</v>
      </c>
      <c r="AA293" s="12">
        <f>(AA233-Z233)+AA121</f>
        <v>0</v>
      </c>
      <c r="AB293" s="12">
        <f>SUM(X293:AA293)</f>
        <v>0</v>
      </c>
      <c r="AC293" s="12">
        <f>(AC233-AB233)+AC121</f>
        <v>0</v>
      </c>
      <c r="AD293" s="12">
        <f>(AD233-AC233)+AD121</f>
        <v>0</v>
      </c>
      <c r="AE293" s="12">
        <f>(AE233-AD233)+AE121</f>
        <v>0</v>
      </c>
      <c r="AF293" s="12">
        <f>(AF233-AE233)+AF121</f>
        <v>0</v>
      </c>
      <c r="AG293" s="12">
        <f>SUM(AC293:AF293)</f>
        <v>0</v>
      </c>
      <c r="AH293" s="12">
        <f>(AH233-AG233)+AH121</f>
        <v>0</v>
      </c>
      <c r="AI293" s="12">
        <f>(AI233-AH233)+AI121</f>
        <v>0</v>
      </c>
      <c r="AJ293" s="12">
        <f>(AJ233-AI233)+AJ121</f>
        <v>0</v>
      </c>
      <c r="AK293" s="12">
        <f>(AK233-AJ233)+AK121</f>
        <v>0</v>
      </c>
      <c r="AL293" s="12">
        <f>SUM(AH293:AK293)</f>
        <v>0</v>
      </c>
      <c r="AM293" s="12">
        <f>(AM233-AL233)+AM121</f>
        <v>0</v>
      </c>
      <c r="AN293" s="12">
        <f>(AN233-AM233)+AN121</f>
        <v>0</v>
      </c>
      <c r="AO293" s="12">
        <f>(AO233-AN233)+AO121</f>
        <v>0</v>
      </c>
      <c r="AP293" s="12">
        <f>(AP233-AO233)+AP121</f>
        <v>0</v>
      </c>
      <c r="AQ293" s="12">
        <f>SUM(AM293:AP293)</f>
        <v>0</v>
      </c>
      <c r="AR293" s="12">
        <f>(AR233-AQ233)+AR121</f>
        <v>0</v>
      </c>
      <c r="AS293" s="12">
        <f>(AS233-AR233)+AS121</f>
        <v>0</v>
      </c>
      <c r="AT293" s="12">
        <f>(AT233-AS233)+AT121</f>
        <v>0</v>
      </c>
      <c r="AU293" s="12">
        <f>(AU233-AT233)+AU121</f>
        <v>0</v>
      </c>
      <c r="AV293" s="12">
        <f>SUM(AR293:AU293)</f>
        <v>0</v>
      </c>
      <c r="AW293" s="12">
        <f>(AW233-AV233)+AW121</f>
        <v>0</v>
      </c>
      <c r="AX293" s="12">
        <f>(AX233-AW233)+AX121</f>
        <v>0</v>
      </c>
      <c r="AY293" s="12">
        <f>(AY233-AX233)+AY121</f>
        <v>0</v>
      </c>
      <c r="AZ293" s="12">
        <f>(AZ233-AY233)+AZ121</f>
        <v>0</v>
      </c>
      <c r="BA293" s="12">
        <f>SUM(AW293:AZ293)</f>
        <v>0</v>
      </c>
      <c r="BB293" s="12">
        <f>(BB233-BA233)+BB121</f>
        <v>0</v>
      </c>
      <c r="BC293" s="12">
        <f>(BC233-BB233)+BC121</f>
        <v>0</v>
      </c>
      <c r="BD293" s="12">
        <f>(BD233-BC233)+BD121</f>
        <v>0</v>
      </c>
      <c r="BE293" s="12">
        <f>(BE233-BD233)+BE121</f>
        <v>0</v>
      </c>
      <c r="BF293" s="12">
        <f>SUM(BB293:BE293)</f>
        <v>0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15" t="inlineStr">
        <is>
          <t>Increases / (decreases) in debt</t>
        </is>
      </c>
      <c r="D294" s="12" t="n"/>
      <c r="E294" s="12" t="n"/>
      <c r="F294" s="12" t="n"/>
      <c r="G294" s="12" t="n"/>
      <c r="H294" s="12" t="n"/>
      <c r="I294" s="12" t="n"/>
      <c r="J294" s="12">
        <f>SUM(J197:J199,J202,J223,J220)-SUM(I197:I199,I202,I223,I220)</f>
        <v>-40</v>
      </c>
      <c r="K294" s="12">
        <f>SUM(K197:K199,K202,K223,K220)-SUM(J197:J199,J202,J223,J220)</f>
        <v>-95</v>
      </c>
      <c r="L294" s="12">
        <f>SUM(L197:L199,L202,L223,L220)-SUM(K197:K199,K202,K223,K220)</f>
        <v>-18</v>
      </c>
      <c r="M294" s="12" t="n"/>
      <c r="N294" s="12">
        <f>SUM(N197:N199,N202,N223,N220)-SUM(M197:M199,M202,M223,M220)</f>
        <v>-869</v>
      </c>
      <c r="O294" s="12">
        <f>SUM(O197:O199,O202,O223,O220)-SUM(N197:N199,N202,N223,N220)</f>
        <v>-210</v>
      </c>
      <c r="P294" s="12">
        <f>SUM(P197:P199,P202,P223,P220)-SUM(O197:O199,O202,O223,O220)</f>
        <v>3</v>
      </c>
      <c r="Q294" s="12">
        <f>SUM(Q197:Q199,Q202,Q223,Q220)-SUM(P197:P199,P202,P223,P220)</f>
        <v>7</v>
      </c>
      <c r="R294" s="12">
        <f>SUM(N294:Q294)</f>
        <v>-1069</v>
      </c>
      <c r="S294" s="12">
        <f>SUM(S197:S199,S202,S223,S220)-SUM(R197:R199,R202,R223,R220)</f>
        <v>93</v>
      </c>
      <c r="T294" s="12">
        <f>SUM(T197:T199,T202,T223,T220)-SUM(S197:S199,S202,S223,S220)</f>
        <v>-135</v>
      </c>
      <c r="U294" s="12">
        <f>SUM(U197:U199,U202,U223,U220)-SUM(T197:T199,T202,T223,T220)</f>
        <v>-120</v>
      </c>
      <c r="V294" s="12">
        <f>SUM(V197:V199,V202,V223,V220)-SUM(U197:U199,U202,U223,U220)</f>
        <v>463</v>
      </c>
      <c r="W294" s="12">
        <f>SUM(S294:V294)</f>
        <v>301</v>
      </c>
      <c r="X294" s="12">
        <f>SUM(X197:X199,X202,X223,X220)-SUM(W197:W199,W202,W223,W220)</f>
        <v>86</v>
      </c>
      <c r="Y294" s="12">
        <f>SUM(Y197:Y199,Y202,Y223,Y220)-SUM(X197:X199,X202,X223,X220)</f>
        <v>-136</v>
      </c>
      <c r="Z294" s="12">
        <f>SUM(Z197:Z199,Z202,Z223,Z220)-SUM(Y197:Y199,Y202,Y223,Y220)</f>
        <v>-1025</v>
      </c>
      <c r="AA294" s="12">
        <f>SUM(AA197:AA199,AA202,AA223,AA220)-SUM(Z197:Z199,Z202,Z223,Z220)</f>
        <v>-239</v>
      </c>
      <c r="AB294" s="12">
        <f>SUM(X294:AA294)</f>
        <v>-1314</v>
      </c>
      <c r="AC294" s="12">
        <f>SUM(AC197:AC199,AC202,AC223,AC220)-SUM(AB197:AB199,AB202,AB223,AB220)</f>
        <v>6</v>
      </c>
      <c r="AD294" s="12">
        <f>SUM(AD197:AD199,AD202,AD223,AD220)-SUM(AC197:AC199,AC202,AC223,AC220)</f>
        <v>141</v>
      </c>
      <c r="AE294" s="12">
        <f>SUM(AE197:AE199,AE202,AE223,AE220)-SUM(AD197:AD199,AD202,AD223,AD220)</f>
        <v>-7</v>
      </c>
      <c r="AF294" s="12">
        <f>SUM(AF197:AF199,AF202,AF223,AF220)-SUM(AE197:AE199,AE202,AE223,AE220)</f>
        <v>-71</v>
      </c>
      <c r="AG294" s="12">
        <f>SUM(AC294:AF294)</f>
        <v>69</v>
      </c>
      <c r="AH294" s="12">
        <f>SUM(AH197:AH199,AH202,AH223,AH220)-SUM(AG197:AG199,AG202,AG223,AG220)</f>
        <v>63</v>
      </c>
      <c r="AI294" s="12">
        <f>SUM(AI197:AI199,AI202,AI223,AI220)-SUM(AH197:AH199,AH202,AH223,AH220)</f>
        <v>-29</v>
      </c>
      <c r="AJ294" s="12">
        <f>SUM(AJ197:AJ199,AJ202,AJ223,AJ220)-SUM(AI197:AI199,AI202,AI223,AI220)</f>
        <v>0</v>
      </c>
      <c r="AK294" s="12">
        <f>SUM(AK197:AK199,AK202,AK223,AK220)-SUM(AJ197:AJ199,AJ202,AJ223,AJ220)</f>
        <v>0</v>
      </c>
      <c r="AL294" s="12">
        <f>SUM(AH294:AK294)</f>
        <v>34</v>
      </c>
      <c r="AM294" s="12">
        <f>SUM(AM197:AM199,AM202,AM223,AM220)-SUM(AL197:AL199,AL202,AL223,AL220)</f>
        <v>0</v>
      </c>
      <c r="AN294" s="12">
        <f>SUM(AN197:AN199,AN202,AN223,AN220)-SUM(AM197:AM199,AM202,AM223,AM220)</f>
        <v>0</v>
      </c>
      <c r="AO294" s="12">
        <f>SUM(AO197:AO199,AO202,AO223,AO220)-SUM(AN197:AN199,AN202,AN223,AN220)</f>
        <v>0</v>
      </c>
      <c r="AP294" s="12">
        <f>SUM(AP197:AP199,AP202,AP223,AP220)-SUM(AO197:AO199,AO202,AO223,AO220)</f>
        <v>0</v>
      </c>
      <c r="AQ294" s="12">
        <f>SUM(AM294:AP294)</f>
        <v>0</v>
      </c>
      <c r="AR294" s="12">
        <f>SUM(AR197:AR199,AR202,AR223,AR220)-SUM(AQ197:AQ199,AQ202,AQ223,AQ220)</f>
        <v>0</v>
      </c>
      <c r="AS294" s="12">
        <f>SUM(AS197:AS199,AS202,AS223,AS220)-SUM(AR197:AR199,AR202,AR223,AR220)</f>
        <v>0</v>
      </c>
      <c r="AT294" s="12">
        <f>SUM(AT197:AT199,AT202,AT223,AT220)-SUM(AS197:AS199,AS202,AS223,AS220)</f>
        <v>0</v>
      </c>
      <c r="AU294" s="12">
        <f>SUM(AU197:AU199,AU202,AU223,AU220)-SUM(AT197:AT199,AT202,AT223,AT220)</f>
        <v>0</v>
      </c>
      <c r="AV294" s="12">
        <f>SUM(AR294:AU294)</f>
        <v>0</v>
      </c>
      <c r="AW294" s="12">
        <f>SUM(AW197:AW199,AW202,AW223,AW220)-SUM(AV197:AV199,AV202,AV223,AV220)</f>
        <v>0</v>
      </c>
      <c r="AX294" s="12">
        <f>SUM(AX197:AX199,AX202,AX223,AX220)-SUM(AW197:AW199,AW202,AW223,AW220)</f>
        <v>0</v>
      </c>
      <c r="AY294" s="12">
        <f>SUM(AY197:AY199,AY202,AY223,AY220)-SUM(AX197:AX199,AX202,AX223,AX220)</f>
        <v>0</v>
      </c>
      <c r="AZ294" s="12">
        <f>SUM(AZ197:AZ199,AZ202,AZ223,AZ220)-SUM(AY197:AY199,AY202,AY223,AY220)</f>
        <v>0</v>
      </c>
      <c r="BA294" s="12">
        <f>SUM(AW294:AZ294)</f>
        <v>0</v>
      </c>
      <c r="BB294" s="12">
        <f>SUM(BB197:BB199,BB202,BB223,BB220)-SUM(BA197:BA199,BA202,BA223,BA220)</f>
        <v>0</v>
      </c>
      <c r="BC294" s="12">
        <f>SUM(BC197:BC199,BC202,BC223,BC220)-SUM(BB197:BB199,BB202,BB223,BB220)</f>
        <v>0</v>
      </c>
      <c r="BD294" s="12">
        <f>SUM(BD197:BD199,BD202,BD223,BD220)-SUM(BC197:BC199,BC202,BC223,BC220)</f>
        <v>0</v>
      </c>
      <c r="BE294" s="12">
        <f>SUM(BE197:BE199,BE202,BE223,BE220)-SUM(BD197:BD199,BD202,BD223,BD220)</f>
        <v>0</v>
      </c>
      <c r="BF294" s="12">
        <f>SUM(BB294:BE294)</f>
        <v>0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  <c r="CZ294" s="12" t="n"/>
      <c r="DA294" s="12" t="n"/>
      <c r="DB294" s="12" t="n"/>
      <c r="DC294" s="12" t="n"/>
    </row>
    <row r="295">
      <c r="C295" s="14" t="inlineStr">
        <is>
          <t>Cash from financing</t>
        </is>
      </c>
      <c r="D295" s="12" t="n"/>
      <c r="E295" s="12" t="n"/>
      <c r="F295" s="12" t="n"/>
      <c r="G295" s="12" t="n"/>
      <c r="H295" s="12" t="n"/>
      <c r="I295" s="12" t="n"/>
      <c r="J295" s="12">
        <f>SUM(J287,J288,J289,J290,J291,J292,J293,J294)</f>
        <v>-428</v>
      </c>
      <c r="K295" s="12">
        <f>SUM(K287,K288,K289,K290,K291,K292,K293,K294)</f>
        <v>-685</v>
      </c>
      <c r="L295" s="12">
        <f>SUM(L287,L288,L289,L290,L291,L292,L293,L294)</f>
        <v>-441</v>
      </c>
      <c r="M295" s="12" t="n"/>
      <c r="N295" s="12">
        <f>SUM(N287,N288,N289,N290,N291,N292,N293,N294)</f>
        <v>-1213</v>
      </c>
      <c r="O295" s="12">
        <f>SUM(O287,O288,O289,O290,O291,O292,O293,O294)</f>
        <v>-1045</v>
      </c>
      <c r="P295" s="12">
        <f>SUM(P287,P288,P289,P290,P291,P292,P293,P294)</f>
        <v>-1741</v>
      </c>
      <c r="Q295" s="12">
        <f>SUM(Q287,Q288,Q289,Q290,Q291,Q292,Q293,Q294)</f>
        <v>-528</v>
      </c>
      <c r="R295" s="12">
        <f>SUM(R287,R288,R289,R290,R291,R292,R293,R294)</f>
        <v>-4527</v>
      </c>
      <c r="S295" s="12">
        <f>SUM(S287,S288,S289,S290,S291,S292,S293,S294)</f>
        <v>-50</v>
      </c>
      <c r="T295" s="12">
        <f>SUM(T287,T288,T289,T290,T291,T292,T293,T294)</f>
        <v>-663</v>
      </c>
      <c r="U295" s="12">
        <f>SUM(U287,U288,U289,U290,U291,U292,U293,U294)</f>
        <v>-795</v>
      </c>
      <c r="V295" s="12">
        <f>SUM(V287,V288,V289,V290,V291,V292,V293,V294)</f>
        <v>-37</v>
      </c>
      <c r="W295" s="12">
        <f>SUM(W287,W288,W289,W290,W291,W292,W293,W294)</f>
        <v>-1545</v>
      </c>
      <c r="X295" s="12">
        <f>SUM(X287,X288,X289,X290,X291,X292,X293,X294)</f>
        <v>-7044</v>
      </c>
      <c r="Y295" s="12">
        <f>SUM(Y287,Y288,Y289,Y290,Y291,Y292,Y293,Y294)</f>
        <v>-806</v>
      </c>
      <c r="Z295" s="12">
        <f>SUM(Z287,Z288,Z289,Z290,Z291,Z292,Z293,Z294)</f>
        <v>-1528</v>
      </c>
      <c r="AA295" s="12">
        <f>SUM(AA287,AA288,AA289,AA290,AA291,AA292,AA293,AA294)</f>
        <v>-1208</v>
      </c>
      <c r="AB295" s="12">
        <f>SUM(AB287,AB288,AB289,AB290,AB291,AB292,AB293,AB294)</f>
        <v>-10586</v>
      </c>
      <c r="AC295" s="12">
        <f>SUM(AC287,AC288,AC289,AC290,AC291,AC292,AC293,AC294)</f>
        <v>-656</v>
      </c>
      <c r="AD295" s="12">
        <f>SUM(AD287,AD288,AD289,AD290,AD291,AD292,AD293,AD294)</f>
        <v>-214</v>
      </c>
      <c r="AE295" s="12">
        <f>SUM(AE287,AE288,AE289,AE290,AE291,AE292,AE293,AE294)</f>
        <v>-578</v>
      </c>
      <c r="AF295" s="12">
        <f>SUM(AF287,AF288,AF289,AF290,AF291,AF292,AF293,AF294)</f>
        <v>-933</v>
      </c>
      <c r="AG295" s="12">
        <f>SUM(AG287,AG288,AG289,AG290,AG291,AG292,AG293,AG294)</f>
        <v>-2381</v>
      </c>
      <c r="AH295" s="12">
        <f>SUM(AH287,AH288,AH289,AH290,AH291,AH292,AH293,AH294)</f>
        <v>-188</v>
      </c>
      <c r="AI295" s="12">
        <f>SUM(AI287,AI288,AI289,AI290,AI291,AI292,AI293,AI294)</f>
        <v>-799</v>
      </c>
      <c r="AJ295" s="12">
        <f>SUM(AJ287,AJ288,AJ289,AJ290,AJ291,AJ292,AJ293,AJ294)</f>
        <v>0</v>
      </c>
      <c r="AK295" s="12">
        <f>SUM(AK287,AK288,AK289,AK290,AK291,AK292,AK293,AK294)</f>
        <v>0</v>
      </c>
      <c r="AL295" s="12">
        <f>SUM(AL287,AL288,AL289,AL290,AL291,AL292,AL293,AL294)</f>
        <v>-987</v>
      </c>
      <c r="AM295" s="12">
        <f>SUM(AM287,AM288,AM289,AM290,AM291,AM292,AM293,AM294)</f>
        <v>0</v>
      </c>
      <c r="AN295" s="12">
        <f>SUM(AN287,AN288,AN289,AN290,AN291,AN292,AN293,AN294)</f>
        <v>0</v>
      </c>
      <c r="AO295" s="12">
        <f>SUM(AO287,AO288,AO289,AO290,AO291,AO292,AO293,AO294)</f>
        <v>0</v>
      </c>
      <c r="AP295" s="12">
        <f>SUM(AP287,AP288,AP289,AP290,AP291,AP292,AP293,AP294)</f>
        <v>0</v>
      </c>
      <c r="AQ295" s="12">
        <f>SUM(AQ287,AQ288,AQ289,AQ290,AQ291,AQ292,AQ293,AQ294)</f>
        <v>0</v>
      </c>
      <c r="AR295" s="12">
        <f>SUM(AR287,AR288,AR289,AR290,AR291,AR292,AR293,AR294)</f>
        <v>0</v>
      </c>
      <c r="AS295" s="12">
        <f>SUM(AS287,AS288,AS289,AS290,AS291,AS292,AS293,AS294)</f>
        <v>0</v>
      </c>
      <c r="AT295" s="12">
        <f>SUM(AT287,AT288,AT289,AT290,AT291,AT292,AT293,AT294)</f>
        <v>0</v>
      </c>
      <c r="AU295" s="12">
        <f>SUM(AU287,AU288,AU289,AU290,AU291,AU292,AU293,AU294)</f>
        <v>0</v>
      </c>
      <c r="AV295" s="12">
        <f>SUM(AV287,AV288,AV289,AV290,AV291,AV292,AV293,AV294)</f>
        <v>0</v>
      </c>
      <c r="AW295" s="12">
        <f>SUM(AW287,AW288,AW289,AW290,AW291,AW292,AW293,AW294)</f>
        <v>0</v>
      </c>
      <c r="AX295" s="12">
        <f>SUM(AX287,AX288,AX289,AX290,AX291,AX292,AX293,AX294)</f>
        <v>0</v>
      </c>
      <c r="AY295" s="12">
        <f>SUM(AY287,AY288,AY289,AY290,AY291,AY292,AY293,AY294)</f>
        <v>0</v>
      </c>
      <c r="AZ295" s="12">
        <f>SUM(AZ287,AZ288,AZ289,AZ290,AZ291,AZ292,AZ293,AZ294)</f>
        <v>0</v>
      </c>
      <c r="BA295" s="12">
        <f>SUM(BA287,BA288,BA289,BA290,BA291,BA292,BA293,BA294)</f>
        <v>0</v>
      </c>
      <c r="BB295" s="12">
        <f>SUM(BB287,BB288,BB289,BB290,BB291,BB292,BB293,BB294)</f>
        <v>0</v>
      </c>
      <c r="BC295" s="12">
        <f>SUM(BC287,BC288,BC289,BC290,BC291,BC292,BC293,BC294)</f>
        <v>0</v>
      </c>
      <c r="BD295" s="12">
        <f>SUM(BD287,BD288,BD289,BD290,BD291,BD292,BD293,BD294)</f>
        <v>0</v>
      </c>
      <c r="BE295" s="12">
        <f>SUM(BE287,BE288,BE289,BE290,BE291,BE292,BE293,BE294)</f>
        <v>0</v>
      </c>
      <c r="BF295" s="12">
        <f>SUM(BF287,BF288,BF289,BF290,BF291,BF292,BF293,BF294)</f>
        <v>0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4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2" t="n"/>
      <c r="AK296" s="12" t="n"/>
      <c r="AL296" s="12" t="n"/>
      <c r="AM296" s="12" t="n"/>
      <c r="AN296" s="12" t="n"/>
      <c r="AO296" s="12" t="n"/>
      <c r="AP296" s="12" t="n"/>
      <c r="AQ296" s="12" t="n"/>
      <c r="AR296" s="12" t="n"/>
      <c r="AS296" s="12" t="n"/>
      <c r="AT296" s="12" t="n"/>
      <c r="AU296" s="12" t="n"/>
      <c r="AV296" s="12" t="n"/>
      <c r="AW296" s="12" t="n"/>
      <c r="AX296" s="12" t="n"/>
      <c r="AY296" s="12" t="n"/>
      <c r="AZ296" s="12" t="n"/>
      <c r="BA296" s="12" t="n"/>
      <c r="BB296" s="12" t="n"/>
      <c r="BC296" s="12" t="n"/>
      <c r="BD296" s="12" t="n"/>
      <c r="BE296" s="12" t="n"/>
      <c r="BF296" s="12" t="n"/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4" t="inlineStr">
        <is>
          <t>Others / cash reconciliation plug</t>
        </is>
      </c>
      <c r="D297" s="12" t="n"/>
      <c r="E297" s="12" t="n"/>
      <c r="F297" s="12" t="n"/>
      <c r="G297" s="12" t="n"/>
      <c r="H297" s="12" t="n"/>
      <c r="I297" s="12" t="n"/>
      <c r="J297" s="12">
        <f>J129-I129-SUM(J278,J285,J295)</f>
        <v>0</v>
      </c>
      <c r="K297" s="12">
        <f>K129-J129-SUM(K278,K285,K295)</f>
        <v>0</v>
      </c>
      <c r="L297" s="12">
        <f>L129-K129-SUM(L278,L285,L295)</f>
        <v>0</v>
      </c>
      <c r="M297" s="12" t="n"/>
      <c r="N297" s="12">
        <f>N129-M129-SUM(N278,N285,N295)</f>
        <v>0</v>
      </c>
      <c r="O297" s="12">
        <f>O129-N129-SUM(O278,O285,O295)</f>
        <v>0</v>
      </c>
      <c r="P297" s="12">
        <f>P129-O129-SUM(P278,P285,P295)</f>
        <v>0</v>
      </c>
      <c r="Q297" s="12">
        <f>Q129-P129-SUM(Q278,Q285,Q295)</f>
        <v>0</v>
      </c>
      <c r="R297" s="12">
        <f>SUM(N297:Q297)</f>
        <v>0</v>
      </c>
      <c r="S297" s="12">
        <f>S129-R129-SUM(S278,S285,S295)</f>
        <v>0</v>
      </c>
      <c r="T297" s="12">
        <f>T129-S129-SUM(T278,T285,T295)</f>
        <v>0</v>
      </c>
      <c r="U297" s="12">
        <f>U129-T129-SUM(U278,U285,U295)</f>
        <v>0</v>
      </c>
      <c r="V297" s="12">
        <f>V129-U129-SUM(V278,V285,V295)</f>
        <v>0</v>
      </c>
      <c r="W297" s="12">
        <f>SUM(S297:V297)</f>
        <v>0</v>
      </c>
      <c r="X297" s="12">
        <f>X129-W129-SUM(X278,X285,X295)</f>
        <v>0</v>
      </c>
      <c r="Y297" s="12">
        <f>Y129-X129-SUM(Y278,Y285,Y295)</f>
        <v>0</v>
      </c>
      <c r="Z297" s="12">
        <f>Z129-Y129-SUM(Z278,Z285,Z295)</f>
        <v>0</v>
      </c>
      <c r="AA297" s="12">
        <f>AA129-Z129-SUM(AA278,AA285,AA295)</f>
        <v>0</v>
      </c>
      <c r="AB297" s="12">
        <f>SUM(X297:AA297)</f>
        <v>0</v>
      </c>
      <c r="AC297" s="12">
        <f>AC129-AB129-SUM(AC278,AC285,AC295)</f>
        <v>0</v>
      </c>
      <c r="AD297" s="12">
        <f>AD129-AC129-SUM(AD278,AD285,AD295)</f>
        <v>0</v>
      </c>
      <c r="AE297" s="12">
        <f>AE129-AD129-SUM(AE278,AE285,AE295)</f>
        <v>0</v>
      </c>
      <c r="AF297" s="12">
        <f>AF129-AE129-SUM(AF278,AF285,AF295)</f>
        <v>0</v>
      </c>
      <c r="AG297" s="12">
        <f>SUM(AC297:AF297)</f>
        <v>0</v>
      </c>
      <c r="AH297" s="12">
        <f>AH129-AG129-SUM(AH278,AH285,AH295)</f>
        <v>0</v>
      </c>
      <c r="AI297" s="12">
        <f>AI129-AH129-SUM(AI278,AI285,AI295)</f>
        <v>0</v>
      </c>
      <c r="AJ297" s="12">
        <f>AJ129-AI129-SUM(AJ278,AJ285,AJ295)</f>
        <v>0</v>
      </c>
      <c r="AK297" s="12">
        <f>AK129-AJ129-SUM(AK278,AK285,AK295)</f>
        <v>1.81898940354586e-11</v>
      </c>
      <c r="AL297" s="12">
        <f>SUM(AH297:AK297)</f>
        <v>1.81898940354586e-11</v>
      </c>
      <c r="AM297" s="12">
        <f>AM129-AL129-SUM(AM278,AM285,AM295)</f>
        <v>-2.50111042987555e-11</v>
      </c>
      <c r="AN297" s="12">
        <f>AN129-AM129-SUM(AN278,AN285,AN295)</f>
        <v>1.45519152283669e-11</v>
      </c>
      <c r="AO297" s="12">
        <f>AO129-AN129-SUM(AO278,AO285,AO295)</f>
        <v>0</v>
      </c>
      <c r="AP297" s="12">
        <f>AP129-AO129-SUM(AP278,AP285,AP295)</f>
        <v>0</v>
      </c>
      <c r="AQ297" s="12">
        <f>SUM(AM297:AP297)</f>
        <v>-1.04591890703887e-11</v>
      </c>
      <c r="AR297" s="12">
        <f>AR129-AQ129-SUM(AR278,AR285,AR295)</f>
        <v>0</v>
      </c>
      <c r="AS297" s="12">
        <f>AS129-AR129-SUM(AS278,AS285,AS295)</f>
        <v>0</v>
      </c>
      <c r="AT297" s="12">
        <f>AT129-AS129-SUM(AT278,AT285,AT295)</f>
        <v>-1.18234311230481e-11</v>
      </c>
      <c r="AU297" s="12">
        <f>AU129-AT129-SUM(AU278,AU285,AU295)</f>
        <v>0</v>
      </c>
      <c r="AV297" s="12">
        <f>SUM(AR297:AU297)</f>
        <v>-1.18234311230481e-11</v>
      </c>
      <c r="AW297" s="12">
        <f>AW129-AV129-SUM(AW278,AW285,AW295)</f>
        <v>0</v>
      </c>
      <c r="AX297" s="12">
        <f>AX129-AW129-SUM(AX278,AX285,AX295)</f>
        <v>-1.68256519827992e-11</v>
      </c>
      <c r="AY297" s="12">
        <f>AY129-AX129-SUM(AY278,AY285,AY295)</f>
        <v>2.31921148952097e-11</v>
      </c>
      <c r="AZ297" s="12">
        <f>AZ129-AY129-SUM(AZ278,AZ285,AZ295)</f>
        <v>0</v>
      </c>
      <c r="BA297" s="12">
        <f>SUM(AW297:AZ297)</f>
        <v>6.3664629124105e-12</v>
      </c>
      <c r="BB297" s="12">
        <f>BB129-BA129-SUM(BB278,BB285,BB295)</f>
        <v>0</v>
      </c>
      <c r="BC297" s="12">
        <f>BC129-BB129-SUM(BC278,BC285,BC295)</f>
        <v>0</v>
      </c>
      <c r="BD297" s="12">
        <f>BD129-BC129-SUM(BD278,BD285,BD295)</f>
        <v>0</v>
      </c>
      <c r="BE297" s="12">
        <f>BE129-BD129-SUM(BE278,BE285,BE295)</f>
        <v>0</v>
      </c>
      <c r="BF297" s="12">
        <f>SUM(BB297:BE297)</f>
        <v>0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14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  <c r="AJ298" s="12" t="n"/>
      <c r="AK298" s="12" t="n"/>
      <c r="AL298" s="12" t="n"/>
      <c r="AM298" s="12" t="n"/>
      <c r="AN298" s="12" t="n"/>
      <c r="AO298" s="12" t="n"/>
      <c r="AP298" s="12" t="n"/>
      <c r="AQ298" s="12" t="n"/>
      <c r="AR298" s="12" t="n"/>
      <c r="AS298" s="12" t="n"/>
      <c r="AT298" s="12" t="n"/>
      <c r="AU298" s="12" t="n"/>
      <c r="AV298" s="12" t="n"/>
      <c r="AW298" s="12" t="n"/>
      <c r="AX298" s="12" t="n"/>
      <c r="AY298" s="12" t="n"/>
      <c r="AZ298" s="12" t="n"/>
      <c r="BA298" s="12" t="n"/>
      <c r="BB298" s="12" t="n"/>
      <c r="BC298" s="12" t="n"/>
      <c r="BD298" s="12" t="n"/>
      <c r="BE298" s="12" t="n"/>
      <c r="BF298" s="12" t="n"/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4" t="inlineStr">
        <is>
          <t>Total increase/decrease of cash</t>
        </is>
      </c>
      <c r="D299" s="12" t="n"/>
      <c r="E299" s="12" t="n"/>
      <c r="F299" s="12" t="n"/>
      <c r="G299" s="12" t="n"/>
      <c r="H299" s="12" t="n"/>
      <c r="I299" s="12" t="n"/>
      <c r="J299" s="12">
        <f>SUM(J278,J285,J295,J297)</f>
        <v>1872</v>
      </c>
      <c r="K299" s="12">
        <f>SUM(K278,K285,K295,K297)</f>
        <v>1049</v>
      </c>
      <c r="L299" s="12">
        <f>SUM(L278,L285,L295,L297)</f>
        <v>1301</v>
      </c>
      <c r="M299" s="12" t="n"/>
      <c r="N299" s="12">
        <f>SUM(N278,N285,N295,N297)</f>
        <v>-1180</v>
      </c>
      <c r="O299" s="12">
        <f>SUM(O278,O285,O295,O297)</f>
        <v>-465</v>
      </c>
      <c r="P299" s="12">
        <f>SUM(P278,P285,P295,P297)</f>
        <v>-782</v>
      </c>
      <c r="Q299" s="12">
        <f>SUM(Q278,Q285,Q295,Q297)</f>
        <v>624</v>
      </c>
      <c r="R299" s="12">
        <f>SUM(N299:Q299)</f>
        <v>-1803</v>
      </c>
      <c r="S299" s="12">
        <f>SUM(S278,S285,S295,S297)</f>
        <v>2032</v>
      </c>
      <c r="T299" s="12">
        <f>SUM(T278,T285,T295,T297)</f>
        <v>3</v>
      </c>
      <c r="U299" s="12">
        <f>SUM(U278,U285,U295,U297)</f>
        <v>1526</v>
      </c>
      <c r="V299" s="12">
        <f>SUM(V278,V285,V295,V297)</f>
        <v>2630</v>
      </c>
      <c r="W299" s="12">
        <f>SUM(S299:V299)</f>
        <v>6191</v>
      </c>
      <c r="X299" s="12">
        <f>SUM(X278,X285,X295,X297)</f>
        <v>-7543</v>
      </c>
      <c r="Y299" s="12">
        <f>SUM(Y278,Y285,Y295,Y297)</f>
        <v>1178</v>
      </c>
      <c r="Z299" s="12">
        <f>SUM(Z278,Z285,Z295,Z297)</f>
        <v>-355</v>
      </c>
      <c r="AA299" s="12">
        <f>SUM(AA278,AA285,AA295,AA297)</f>
        <v>683</v>
      </c>
      <c r="AB299" s="12">
        <f>SUM(X299:AA299)</f>
        <v>-6037</v>
      </c>
      <c r="AC299" s="12">
        <f>SUM(AC278,AC285,AC295,AC297)</f>
        <v>1331</v>
      </c>
      <c r="AD299" s="12">
        <f>SUM(AD278,AD285,AD295,AD297)</f>
        <v>1692</v>
      </c>
      <c r="AE299" s="12">
        <f>SUM(AE278,AE285,AE295,AE297)</f>
        <v>434</v>
      </c>
      <c r="AF299" s="12">
        <f>SUM(AF278,AF285,AF295,AF297)</f>
        <v>1899</v>
      </c>
      <c r="AG299" s="12">
        <f>SUM(AC299:AF299)</f>
        <v>5356</v>
      </c>
      <c r="AH299" s="12">
        <f>SUM(AH278,AH285,AH295,AH297)</f>
        <v>1057</v>
      </c>
      <c r="AI299" s="12">
        <f>SUM(AI278,AI285,AI295,AI297)</f>
        <v>1756</v>
      </c>
      <c r="AJ299" s="12">
        <f>SUM(AJ278,AJ285,AJ295,AJ297)</f>
        <v>969.51358879199</v>
      </c>
      <c r="AK299" s="12">
        <f>SUM(AK278,AK285,AK295,AK297)</f>
        <v>2656.08515194403</v>
      </c>
      <c r="AL299" s="12">
        <f>SUM(AH299:AK299)</f>
        <v>6438.59874073602</v>
      </c>
      <c r="AM299" s="12">
        <f>SUM(AM278,AM285,AM295,AM297)</f>
        <v>2169.33960118354</v>
      </c>
      <c r="AN299" s="12">
        <f>SUM(AN278,AN285,AN295,AN297)</f>
        <v>2365.51341022587</v>
      </c>
      <c r="AO299" s="12">
        <f>SUM(AO278,AO285,AO295,AO297)</f>
        <v>2320.99477741212</v>
      </c>
      <c r="AP299" s="12">
        <f>SUM(AP278,AP285,AP295,AP297)</f>
        <v>3156.61346329122</v>
      </c>
      <c r="AQ299" s="12">
        <f>SUM(AM299:AP299)</f>
        <v>10012.4612521128</v>
      </c>
      <c r="AR299" s="12">
        <f>SUM(AR278,AR285,AR295,AR297)</f>
        <v>2605.93139055521</v>
      </c>
      <c r="AS299" s="12">
        <f>SUM(AS278,AS285,AS295,AS297)</f>
        <v>2778.58826288004</v>
      </c>
      <c r="AT299" s="12">
        <f>SUM(AT278,AT285,AT295,AT297)</f>
        <v>2767.67634258827</v>
      </c>
      <c r="AU299" s="12">
        <f>SUM(AU278,AU285,AU295,AU297)</f>
        <v>3690.2315895252</v>
      </c>
      <c r="AV299" s="12">
        <f>SUM(AR299:AU299)</f>
        <v>11842.4275855487</v>
      </c>
      <c r="AW299" s="12">
        <f>SUM(AW278,AW285,AW295,AW297)</f>
        <v>3066.2694513477</v>
      </c>
      <c r="AX299" s="12">
        <f>SUM(AX278,AX285,AX295,AX297)</f>
        <v>3306.96615911191</v>
      </c>
      <c r="AY299" s="12">
        <f>SUM(AY278,AY285,AY295,AY297)</f>
        <v>3286.38794361705</v>
      </c>
      <c r="AZ299" s="12">
        <f>SUM(AZ278,AZ285,AZ295,AZ297)</f>
        <v>4299.49086760764</v>
      </c>
      <c r="BA299" s="12">
        <f>SUM(AW299:AZ299)</f>
        <v>13959.1144216843</v>
      </c>
      <c r="BB299" s="12">
        <f>SUM(BB278,BB285,BB295,BB297)</f>
        <v>3618.45262159573</v>
      </c>
      <c r="BC299" s="12">
        <f>SUM(BC278,BC285,BC295,BC297)</f>
        <v>3881.83682509297</v>
      </c>
      <c r="BD299" s="12">
        <f>SUM(BD278,BD285,BD295,BD297)</f>
        <v>3875.35055464345</v>
      </c>
      <c r="BE299" s="12">
        <f>SUM(BE278,BE285,BE295,BE297)</f>
        <v>4980.97352810406</v>
      </c>
      <c r="BF299" s="12">
        <f>SUM(BB299:BE299)</f>
        <v>16356.6135294362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>
      <c r="C300" s="4" t="inlineStr">
        <is>
          <t>Check</t>
        </is>
      </c>
      <c r="E300" s="72" t="n"/>
      <c r="F300" s="72" t="n"/>
      <c r="G300" s="72" t="n"/>
      <c r="I300" s="72" t="str">
        <f>""</f>
        <v/>
      </c>
      <c r="J300" s="72">
        <f>J129-I129-J299</f>
        <v>0</v>
      </c>
      <c r="K300" s="72">
        <f>K129-J129-K299</f>
        <v>0</v>
      </c>
      <c r="L300" s="72">
        <f>L129-K129-L299</f>
        <v>0</v>
      </c>
      <c r="M300" s="4" t="str">
        <f>""</f>
        <v/>
      </c>
      <c r="N300" s="72">
        <f>N129-M129-N299</f>
        <v>0</v>
      </c>
      <c r="O300" s="72">
        <f>O129-N129-O299</f>
        <v>0</v>
      </c>
      <c r="P300" s="72">
        <f>P129-O129-P299</f>
        <v>0</v>
      </c>
      <c r="Q300" s="72">
        <f>Q129-P129-Q299</f>
        <v>0</v>
      </c>
      <c r="R300" s="4">
        <f>R129-M129-R299</f>
        <v>0</v>
      </c>
      <c r="S300" s="72">
        <f>S129-R129-S299</f>
        <v>0</v>
      </c>
      <c r="T300" s="72">
        <f>T129-S129-T299</f>
        <v>0</v>
      </c>
      <c r="U300" s="72">
        <f>U129-T129-U299</f>
        <v>0</v>
      </c>
      <c r="V300" s="72">
        <f>V129-U129-V299</f>
        <v>0</v>
      </c>
      <c r="W300" s="4">
        <f>W129-R129-W299</f>
        <v>0</v>
      </c>
      <c r="X300" s="72">
        <f>X129-W129-X299</f>
        <v>0</v>
      </c>
      <c r="Y300" s="72">
        <f>Y129-X129-Y299</f>
        <v>0</v>
      </c>
      <c r="Z300" s="72">
        <f>Z129-Y129-Z299</f>
        <v>0</v>
      </c>
      <c r="AA300" s="72">
        <f>AA129-Z129-AA299</f>
        <v>0</v>
      </c>
      <c r="AB300" s="4">
        <f>AB129-W129-AB299</f>
        <v>0</v>
      </c>
      <c r="AC300" s="72">
        <f>AC129-AB129-AC299</f>
        <v>0</v>
      </c>
      <c r="AD300" s="72">
        <f>AD129-AC129-AD299</f>
        <v>0</v>
      </c>
      <c r="AE300" s="72">
        <f>AE129-AD129-AE299</f>
        <v>0</v>
      </c>
      <c r="AF300" s="72">
        <f>AF129-AE129-AF299</f>
        <v>0</v>
      </c>
      <c r="AG300" s="4">
        <f>AG129-AB129-AG299</f>
        <v>0</v>
      </c>
      <c r="AH300" s="72">
        <f>AH129-AG129-AH299</f>
        <v>0</v>
      </c>
      <c r="AI300" s="72">
        <f>AI129-AH129-AI299</f>
        <v>0</v>
      </c>
      <c r="AJ300" s="72">
        <f>AJ129-AI129-AJ299</f>
        <v>0</v>
      </c>
      <c r="AK300" s="72">
        <f>AK129-AJ129-AK299</f>
        <v>0</v>
      </c>
      <c r="AL300" s="4">
        <f>AL129-AG129-AL299</f>
        <v>0</v>
      </c>
      <c r="AM300" s="72">
        <f>AM129-AL129-AM299</f>
        <v>0</v>
      </c>
      <c r="AN300" s="72">
        <f>AN129-AM129-AN299</f>
        <v>0</v>
      </c>
      <c r="AO300" s="72">
        <f>AO129-AN129-AO299</f>
        <v>0</v>
      </c>
      <c r="AP300" s="72">
        <f>AP129-AO129-AP299</f>
        <v>0</v>
      </c>
      <c r="AQ300" s="4">
        <f>AQ129-AL129-AQ299</f>
        <v>0</v>
      </c>
      <c r="AR300" s="72">
        <f>AR129-AQ129-AR299</f>
        <v>0</v>
      </c>
      <c r="AS300" s="72">
        <f>AS129-AR129-AS299</f>
        <v>0</v>
      </c>
      <c r="AT300" s="72">
        <f>AT129-AS129-AT299</f>
        <v>0</v>
      </c>
      <c r="AU300" s="72">
        <f>AU129-AT129-AU299</f>
        <v>0</v>
      </c>
      <c r="AV300" s="4">
        <f>AV129-AQ129-AV299</f>
        <v>0</v>
      </c>
      <c r="AW300" s="72">
        <f>AW129-AV129-AW299</f>
        <v>0</v>
      </c>
      <c r="AX300" s="72">
        <f>AX129-AW129-AX299</f>
        <v>0</v>
      </c>
      <c r="AY300" s="72">
        <f>AY129-AX129-AY299</f>
        <v>0</v>
      </c>
      <c r="AZ300" s="72">
        <f>AZ129-AY129-AZ299</f>
        <v>0</v>
      </c>
      <c r="BA300" s="4">
        <f>BA129-AV129-BA299</f>
        <v>0</v>
      </c>
      <c r="BB300" s="72">
        <f>BB129-BA129-BB299</f>
        <v>0</v>
      </c>
      <c r="BC300" s="72">
        <f>BC129-BB129-BC299</f>
        <v>0</v>
      </c>
      <c r="BD300" s="72">
        <f>BD129-BC129-BD299</f>
        <v>0</v>
      </c>
      <c r="BE300" s="72">
        <f>BE129-BD129-BE299</f>
        <v>0</v>
      </c>
      <c r="BF300" s="4">
        <f>BF129-BA129-BF299</f>
        <v>0</v>
      </c>
      <c r="BG300" s="72" t="n"/>
      <c r="BH300" s="72" t="n"/>
      <c r="BI300" s="72" t="n"/>
      <c r="BJ300" s="72" t="n"/>
      <c r="BL300" s="72" t="n"/>
      <c r="BM300" s="72" t="n"/>
      <c r="BN300" s="72" t="n"/>
      <c r="BO300" s="72" t="n"/>
      <c r="BQ300" s="72" t="n"/>
      <c r="BR300" s="72" t="n"/>
      <c r="BS300" s="72" t="n"/>
      <c r="BT300" s="72" t="n"/>
      <c r="BV300" s="72" t="n"/>
      <c r="BW300" s="72" t="n"/>
      <c r="BX300" s="72" t="n"/>
      <c r="BY300" s="72" t="n"/>
      <c r="CA300" s="72" t="n"/>
      <c r="CB300" s="72" t="n"/>
      <c r="CC300" s="72" t="n"/>
      <c r="CD300" s="72" t="n"/>
      <c r="CF300" s="72" t="n"/>
      <c r="CG300" s="72" t="n"/>
      <c r="CH300" s="72" t="n"/>
      <c r="CI300" s="72" t="n"/>
      <c r="CK300" s="72" t="n"/>
      <c r="CL300" s="72" t="n"/>
      <c r="CM300" s="72" t="n"/>
      <c r="CN300" s="72" t="n"/>
      <c r="CP300" s="72" t="n"/>
      <c r="CQ300" s="72" t="n"/>
      <c r="CR300" s="72" t="n"/>
      <c r="CS300" s="72" t="n"/>
      <c r="CU300" s="72" t="n"/>
      <c r="CV300" s="72" t="n"/>
      <c r="CW300" s="72" t="n"/>
      <c r="CX300" s="72" t="n"/>
    </row>
    <row r="301"/>
    <row r="302">
      <c r="C302" s="73" t="inlineStr">
        <is>
          <t>Ratio Analysis</t>
        </is>
      </c>
      <c r="D302" s="73" t="n"/>
      <c r="E302" s="73" t="n"/>
      <c r="F302" s="73" t="n"/>
      <c r="G302" s="73" t="n"/>
      <c r="H302" s="73" t="n"/>
      <c r="I302" s="73" t="n"/>
      <c r="J302" s="73" t="n"/>
      <c r="K302" s="73" t="n"/>
      <c r="L302" s="73" t="n"/>
      <c r="M302" s="73" t="n"/>
      <c r="N302" s="73" t="n"/>
      <c r="O302" s="73" t="n"/>
      <c r="P302" s="73" t="n"/>
      <c r="Q302" s="73" t="n"/>
      <c r="R302" s="73" t="n"/>
      <c r="S302" s="73" t="n"/>
      <c r="T302" s="73" t="n"/>
      <c r="U302" s="73" t="n"/>
      <c r="V302" s="73" t="n"/>
      <c r="W302" s="73" t="n"/>
      <c r="X302" s="73" t="n"/>
      <c r="Y302" s="73" t="n"/>
      <c r="Z302" s="73" t="n"/>
      <c r="AA302" s="73" t="n"/>
      <c r="AB302" s="73" t="n"/>
      <c r="AC302" s="73" t="n"/>
      <c r="AD302" s="73" t="n"/>
      <c r="AE302" s="73" t="n"/>
      <c r="AF302" s="73" t="n"/>
      <c r="AG302" s="73" t="n"/>
      <c r="AH302" s="73" t="n"/>
      <c r="AI302" s="73" t="n"/>
      <c r="AJ302" s="73" t="n"/>
      <c r="AK302" s="73" t="n"/>
      <c r="AL302" s="73" t="n"/>
      <c r="AM302" s="73" t="n"/>
      <c r="AN302" s="73" t="n"/>
      <c r="AO302" s="73" t="n"/>
      <c r="AP302" s="73" t="n"/>
      <c r="AQ302" s="73" t="n"/>
      <c r="AR302" s="73" t="n"/>
      <c r="AS302" s="73" t="n"/>
      <c r="AT302" s="73" t="n"/>
      <c r="AU302" s="73" t="n"/>
      <c r="AV302" s="73" t="n"/>
      <c r="AW302" s="73" t="n"/>
      <c r="AX302" s="73" t="n"/>
      <c r="AY302" s="73" t="n"/>
      <c r="AZ302" s="73" t="n"/>
      <c r="BA302" s="73" t="n"/>
      <c r="BB302" s="73" t="n"/>
      <c r="BC302" s="73" t="n"/>
      <c r="BD302" s="73" t="n"/>
      <c r="BE302" s="73" t="n"/>
      <c r="BF302" s="73" t="n"/>
      <c r="BG302" s="73" t="n"/>
      <c r="BH302" s="73" t="n"/>
      <c r="BI302" s="73" t="n"/>
      <c r="BJ302" s="73" t="n"/>
      <c r="BK302" s="73" t="n"/>
      <c r="BL302" s="73" t="n"/>
      <c r="BM302" s="73" t="n"/>
      <c r="BN302" s="73" t="n"/>
      <c r="BO302" s="73" t="n"/>
      <c r="BP302" s="73" t="n"/>
      <c r="BQ302" s="73" t="n"/>
      <c r="BR302" s="73" t="n"/>
      <c r="BS302" s="73" t="n"/>
      <c r="BT302" s="73" t="n"/>
      <c r="BU302" s="73" t="n"/>
      <c r="BV302" s="73" t="n"/>
      <c r="BW302" s="73" t="n"/>
      <c r="BX302" s="73" t="n"/>
      <c r="BY302" s="73" t="n"/>
      <c r="BZ302" s="73" t="n"/>
      <c r="CA302" s="73" t="n"/>
      <c r="CB302" s="73" t="n"/>
      <c r="CC302" s="73" t="n"/>
      <c r="CD302" s="73" t="n"/>
      <c r="CE302" s="73" t="n"/>
      <c r="CF302" s="73" t="n"/>
      <c r="CG302" s="73" t="n"/>
      <c r="CH302" s="73" t="n"/>
      <c r="CI302" s="73" t="n"/>
      <c r="CJ302" s="73" t="n"/>
      <c r="CK302" s="73" t="n"/>
      <c r="CL302" s="73" t="n"/>
      <c r="CM302" s="73" t="n"/>
      <c r="CN302" s="73" t="n"/>
      <c r="CO302" s="73" t="n"/>
      <c r="CP302" s="73" t="n"/>
      <c r="CQ302" s="73" t="n"/>
      <c r="CR302" s="73" t="n"/>
      <c r="CS302" s="73" t="n"/>
      <c r="CT302" s="73" t="n"/>
      <c r="CU302" s="73" t="n"/>
      <c r="CV302" s="73" t="n"/>
      <c r="CW302" s="73" t="n"/>
      <c r="CX302" s="73" t="n"/>
      <c r="CY302" s="73" t="n"/>
    </row>
    <row r="303"/>
    <row r="304" customFormat="1" s="74">
      <c r="C304" s="74" t="inlineStr">
        <is>
          <t>YEAR</t>
        </is>
      </c>
      <c r="D304">
        <f>IFERROR(D260,"")</f>
        <v>0</v>
      </c>
      <c r="E304" s="75">
        <f>IFERROR(E260,"")</f>
        <v>0</v>
      </c>
      <c r="F304" s="75">
        <f>IFERROR(F260,"")</f>
        <v>0</v>
      </c>
      <c r="G304" s="75">
        <f>IFERROR(G260,"")</f>
        <v>0</v>
      </c>
      <c r="H304" s="75">
        <f>IFERROR(H260,"")</f>
        <v>0</v>
      </c>
      <c r="I304" s="75" t="str">
        <f>IFERROR(I260,"")</f>
        <v>1Q21</v>
      </c>
      <c r="J304" s="75" t="str">
        <f>IFERROR(J260,"")</f>
        <v>2Q21</v>
      </c>
      <c r="K304" s="75" t="str">
        <f>IFERROR(K260,"")</f>
        <v>3Q21</v>
      </c>
      <c r="L304" s="75" t="str">
        <f>IFERROR(L260,"")</f>
        <v>4Q21</v>
      </c>
      <c r="M304" s="75">
        <f>IFERROR(M260,"")</f>
        <v>2021</v>
      </c>
      <c r="N304" s="75" t="str">
        <f>IFERROR(N260,"")</f>
        <v>1Q22</v>
      </c>
      <c r="O304" s="75" t="str">
        <f>IFERROR(O260,"")</f>
        <v>2Q22</v>
      </c>
      <c r="P304" s="75" t="str">
        <f>IFERROR(P260,"")</f>
        <v>3Q22</v>
      </c>
      <c r="Q304" s="75" t="str">
        <f>IFERROR(Q260,"")</f>
        <v>4Q22</v>
      </c>
      <c r="R304" s="75">
        <f>IFERROR(R260,"")</f>
        <v>2022</v>
      </c>
      <c r="S304" s="75" t="str">
        <f>IFERROR(S260,"")</f>
        <v>1Q23</v>
      </c>
      <c r="T304" s="75" t="str">
        <f>IFERROR(T260,"")</f>
        <v>2Q23</v>
      </c>
      <c r="U304" s="75" t="str">
        <f>IFERROR(U260,"")</f>
        <v>3Q23</v>
      </c>
      <c r="V304" s="75" t="str">
        <f>IFERROR(V260,"")</f>
        <v>4Q23</v>
      </c>
      <c r="W304" s="75">
        <f>IFERROR(W260,"")</f>
        <v>2023</v>
      </c>
      <c r="X304" s="75" t="str">
        <f>IFERROR(X260,"")</f>
        <v>1Q24</v>
      </c>
      <c r="Y304" s="75" t="str">
        <f>IFERROR(Y260,"")</f>
        <v>2Q24</v>
      </c>
      <c r="Z304" s="75" t="str">
        <f>IFERROR(Z260,"")</f>
        <v>3Q24</v>
      </c>
      <c r="AA304" s="75" t="str">
        <f>IFERROR(AA260,"")</f>
        <v>4Q24</v>
      </c>
      <c r="AB304" s="75">
        <f>IFERROR(AB260,"")</f>
        <v>2024</v>
      </c>
      <c r="AC304" s="75" t="str">
        <f>IFERROR(AC260,"")</f>
        <v>1Q25</v>
      </c>
      <c r="AD304" s="75" t="str">
        <f>IFERROR(AD260,"")</f>
        <v>2Q25</v>
      </c>
      <c r="AE304" s="75" t="str">
        <f>IFERROR(AE260,"")</f>
        <v>3Q25</v>
      </c>
      <c r="AF304" s="75" t="str">
        <f>IFERROR(AF260,"")</f>
        <v>4Q25</v>
      </c>
      <c r="AG304" s="75">
        <f>IFERROR(AG260,"")</f>
        <v>2025</v>
      </c>
      <c r="AH304" s="75" t="str">
        <f>IFERROR(AH260,"")</f>
        <v>1Q26</v>
      </c>
      <c r="AI304" s="75" t="str">
        <f>IFERROR(AI260,"")</f>
        <v>2Q26</v>
      </c>
      <c r="AJ304" s="75" t="str">
        <f>IFERROR(AJ260,"")</f>
        <v>3Q26</v>
      </c>
      <c r="AK304" s="75" t="str">
        <f>IFERROR(AK260,"")</f>
        <v>4Q26</v>
      </c>
      <c r="AL304" s="75">
        <f>IFERROR(AL260,"")</f>
        <v>2026</v>
      </c>
      <c r="AM304" s="75" t="str">
        <f>IFERROR(AM260,"")</f>
        <v>1Q27</v>
      </c>
      <c r="AN304" s="75" t="str">
        <f>IFERROR(AN260,"")</f>
        <v>2Q27</v>
      </c>
      <c r="AO304" s="75" t="str">
        <f>IFERROR(AO260,"")</f>
        <v>3Q27</v>
      </c>
      <c r="AP304" s="75" t="str">
        <f>IFERROR(AP260,"")</f>
        <v>4Q27</v>
      </c>
      <c r="AQ304" s="75">
        <f>IFERROR(AQ260,"")</f>
        <v>2027</v>
      </c>
      <c r="AR304" s="75" t="str">
        <f>IFERROR(AR260,"")</f>
        <v>1Q28</v>
      </c>
      <c r="AS304" s="75" t="str">
        <f>IFERROR(AS260,"")</f>
        <v>2Q28</v>
      </c>
      <c r="AT304" s="75" t="str">
        <f>IFERROR(AT260,"")</f>
        <v>3Q28</v>
      </c>
      <c r="AU304" s="75" t="str">
        <f>IFERROR(AU260,"")</f>
        <v>4Q28</v>
      </c>
      <c r="AV304" s="75">
        <f>IFERROR(AV260,"")</f>
        <v>2028</v>
      </c>
      <c r="AW304" s="75" t="str">
        <f>IFERROR(AW260,"")</f>
        <v>1Q29</v>
      </c>
      <c r="AX304" s="75" t="str">
        <f>IFERROR(AX260,"")</f>
        <v>2Q29</v>
      </c>
      <c r="AY304" s="75" t="str">
        <f>IFERROR(AY260,"")</f>
        <v>3Q29</v>
      </c>
      <c r="AZ304" s="75" t="str">
        <f>IFERROR(AZ260,"")</f>
        <v>4Q29</v>
      </c>
      <c r="BA304" s="75">
        <f>IFERROR(BA260,"")</f>
        <v>2029</v>
      </c>
      <c r="BB304" s="75" t="str">
        <f>IFERROR(BB260,"")</f>
        <v>1Q30</v>
      </c>
      <c r="BC304" s="75" t="str">
        <f>IFERROR(BC260,"")</f>
        <v>2Q30</v>
      </c>
      <c r="BD304" s="75" t="str">
        <f>IFERROR(BD260,"")</f>
        <v>3Q30</v>
      </c>
      <c r="BE304" s="75" t="str">
        <f>IFERROR(BE260,"")</f>
        <v>4Q30</v>
      </c>
      <c r="BF304" s="75">
        <f>IFERROR(BF260,"")</f>
        <v>2030</v>
      </c>
      <c r="BG304" s="75" t="n"/>
      <c r="BH304" s="75" t="n"/>
      <c r="BI304" s="75" t="n"/>
      <c r="BJ304" s="75" t="n"/>
      <c r="BK304" s="75" t="n"/>
      <c r="BL304" s="75" t="n"/>
      <c r="BM304" s="75" t="n"/>
      <c r="BN304" s="75" t="n"/>
      <c r="BO304" s="75" t="n"/>
      <c r="BP304" s="75" t="n"/>
      <c r="BQ304" s="75" t="n"/>
      <c r="BR304" s="75" t="n"/>
      <c r="BS304" s="75" t="n"/>
      <c r="BT304" s="75" t="n"/>
      <c r="BU304" s="75" t="n"/>
      <c r="BV304" s="75" t="n"/>
      <c r="BW304" s="75" t="n"/>
      <c r="BX304" s="75" t="n"/>
      <c r="BY304" s="75" t="n"/>
      <c r="BZ304" s="75" t="n"/>
      <c r="CA304" s="75" t="n"/>
      <c r="CB304" s="75" t="n"/>
      <c r="CC304" s="75" t="n"/>
      <c r="CD304" s="75" t="n"/>
      <c r="CE304" s="75" t="n"/>
      <c r="CF304" s="75" t="n"/>
      <c r="CG304" s="75" t="n"/>
      <c r="CH304" s="75" t="n"/>
      <c r="CI304" s="75" t="n"/>
      <c r="CJ304" s="75" t="n"/>
      <c r="CK304" s="75" t="n"/>
      <c r="CL304" s="75" t="n"/>
      <c r="CM304" s="75" t="n"/>
      <c r="CN304" s="75" t="n"/>
      <c r="CO304" s="75" t="n"/>
      <c r="CP304" s="75" t="n"/>
      <c r="CQ304" s="75" t="n"/>
      <c r="CR304" s="75" t="n"/>
      <c r="CS304" s="75" t="n"/>
      <c r="CT304" s="75" t="n"/>
      <c r="CU304" s="75" t="n"/>
      <c r="CV304" s="75" t="n"/>
      <c r="CW304" s="75" t="n"/>
      <c r="CX304" s="75" t="n"/>
      <c r="CY304" s="75" t="n"/>
    </row>
    <row r="305" customFormat="1" s="77">
      <c r="A305" s="76" t="n"/>
      <c r="B305" s="76" t="n"/>
      <c r="C305" s="74" t="inlineStr">
        <is>
          <t>GROWTH &amp; MARGINS</t>
        </is>
      </c>
    </row>
    <row r="306" customFormat="1" s="77">
      <c r="A306" s="76" t="n"/>
      <c r="B306" s="76" t="n"/>
      <c r="C306" s="77" t="inlineStr">
        <is>
          <t>NET REVENUE GROWTH (YoY)</t>
        </is>
      </c>
      <c r="E306" s="78" t="str">
        <f>IFERROR(E15/D15-1,"")</f>
        <v/>
      </c>
      <c r="F306" s="78" t="str">
        <f>IFERROR(F15/E15-1,"")</f>
        <v/>
      </c>
      <c r="G306" s="78" t="str">
        <f>IFERROR(G15/F15-1,"")</f>
        <v/>
      </c>
      <c r="H306" s="257" t="str">
        <f>""</f>
        <v/>
      </c>
      <c r="I306" s="257" t="str">
        <f>""</f>
        <v/>
      </c>
      <c r="J306" s="257" t="str">
        <f>""</f>
        <v/>
      </c>
      <c r="K306" s="257" t="str">
        <f>""</f>
        <v/>
      </c>
      <c r="L306" s="257" t="str">
        <f>""</f>
        <v/>
      </c>
      <c r="M306" s="257" t="str">
        <f>IFERROR(IF(AND(ISNUMBER(M15),ISNUMBER(H15),H15&lt;&gt;0),M15/H15-1,""),"")</f>
        <v/>
      </c>
      <c r="N306" s="257">
        <f>IFERROR(IF(AND(ISNUMBER(N15),ISNUMBER(I15),I15&lt;&gt;0),N15/I15-1,""),"")</f>
        <v>0.159373673747459</v>
      </c>
      <c r="O306" s="257">
        <f>IFERROR(IF(AND(ISNUMBER(O15),ISNUMBER(J15),J15&lt;&gt;0),O15/J15-1,""),"")</f>
        <v>0.161649402566424</v>
      </c>
      <c r="P306" s="257">
        <f>IFERROR(IF(AND(ISNUMBER(P15),ISNUMBER(K15),K15&lt;&gt;0),P15/K15-1,""),"")</f>
        <v>0.150235341045074</v>
      </c>
      <c r="Q306" s="257">
        <f>IFERROR(IF(AND(ISNUMBER(Q15),ISNUMBER(L15),L15&lt;&gt;0),Q15/L15-1,""),"")</f>
        <v>0.0808927188610686</v>
      </c>
      <c r="R306" s="257">
        <f>IFERROR(IF(AND(ISNUMBER(R15),ISNUMBER(M15),M15&lt;&gt;0),R15/M15-1,""),"")</f>
        <v>0.137598235213015</v>
      </c>
      <c r="S306" s="257">
        <f>IFERROR(IF(AND(ISNUMBER(S15),ISNUMBER(N15),N15&lt;&gt;0),S15/N15-1,""),"")</f>
        <v>0.0647734278668311</v>
      </c>
      <c r="T306" s="257">
        <f>IFERROR(IF(AND(ISNUMBER(T15),ISNUMBER(O15),O15&lt;&gt;0),T15/O15-1,""),"")</f>
        <v>0.0200015210282152</v>
      </c>
      <c r="U306" s="257">
        <f>IFERROR(IF(AND(ISNUMBER(U15),ISNUMBER(P15),P15&lt;&gt;0),U15/P15-1,""),"")</f>
        <v>0.0949910529747124</v>
      </c>
      <c r="V306" s="257">
        <f>IFERROR(IF(AND(ISNUMBER(V15),ISNUMBER(Q15),Q15&lt;&gt;0),V15/Q15-1,""),"")</f>
        <v>0.0617594650697135</v>
      </c>
      <c r="W306" s="257">
        <f>IFERROR(IF(AND(ISNUMBER(W15),ISNUMBER(R15),R15&lt;&gt;0),W15/R15-1,""),"")</f>
        <v>0.0632996866180722</v>
      </c>
      <c r="X306" s="257">
        <f>IFERROR(IF(AND(ISNUMBER(X15),ISNUMBER(S15),S15&lt;&gt;0),X15/S15-1,""),"")</f>
        <v>0.0574675207179822</v>
      </c>
      <c r="Y306" s="257">
        <f>IFERROR(IF(AND(ISNUMBER(Y15),ISNUMBER(T15),T15&lt;&gt;0),Y15/T15-1,""),"")</f>
        <v>0.090720996122875</v>
      </c>
      <c r="Z306" s="257">
        <f>IFERROR(IF(AND(ISNUMBER(Z15),ISNUMBER(U15),U15&lt;&gt;0),Z15/U15-1,""),"")</f>
        <v>0.0096023511825587</v>
      </c>
      <c r="AA306" s="257">
        <f>IFERROR(IF(AND(ISNUMBER(AA15),ISNUMBER(V15),V15&lt;&gt;0),AA15/V15-1,""),"")</f>
        <v>0.0752954203359919</v>
      </c>
      <c r="AB306" s="257">
        <f>IFERROR(IF(AND(ISNUMBER(AB15),ISNUMBER(W15),W15&lt;&gt;0),AB15/W15-1,""),"")</f>
        <v>0.0535432237474149</v>
      </c>
      <c r="AC306" s="257">
        <f>IFERROR(IF(AND(ISNUMBER(AC15),ISNUMBER(X15),X15&lt;&gt;0),AC15/X15-1,""),"")</f>
        <v>0.090363095034393</v>
      </c>
      <c r="AD306" s="257">
        <f>IFERROR(IF(AND(ISNUMBER(AD15),ISNUMBER(Y15),Y15&lt;&gt;0),AD15/Y15-1,""),"")</f>
        <v>0.0801503887891994</v>
      </c>
      <c r="AE306" s="257">
        <f>IFERROR(IF(AND(ISNUMBER(AE15),ISNUMBER(Z15),Z15&lt;&gt;0),AE15/Z15-1,""),"")</f>
        <v>0.0810444558766328</v>
      </c>
      <c r="AF306" s="257">
        <f>IFERROR(IF(AND(ISNUMBER(AF15),ISNUMBER(AA15),AA15&lt;&gt;0),AF15/AA15-1,""),"")</f>
        <v>0.082959244420846</v>
      </c>
      <c r="AG306" s="257">
        <f>IFERROR(IF(AND(ISNUMBER(AG15),ISNUMBER(AB15),AB15&lt;&gt;0),AG15/AB15-1,""),"")</f>
        <v>0.0834064256872935</v>
      </c>
      <c r="AH306" s="257">
        <f>IFERROR(IF(AND(ISNUMBER(AH15),ISNUMBER(AC15),AC15&lt;&gt;0),AH15/AC15-1,""),"")</f>
        <v>0.0921802175038839</v>
      </c>
      <c r="AI306" s="257">
        <f>IFERROR(IF(AND(ISNUMBER(AI15),ISNUMBER(AD15),AD15&lt;&gt;0),AI15/AD15-1,""),"")</f>
        <v>0.115845265406218</v>
      </c>
      <c r="AJ306" s="257">
        <f>IFERROR(IF(AND(ISNUMBER(AJ15),ISNUMBER(AE15),AE15&lt;&gt;0),AJ15/AE15-1,""),"")</f>
        <v>0.0904237778385288</v>
      </c>
      <c r="AK306" s="257">
        <f>IFERROR(IF(AND(ISNUMBER(AK15),ISNUMBER(AF15),AF15&lt;&gt;0),AK15/AF15-1,""),"")</f>
        <v>0.0904237778385288</v>
      </c>
      <c r="AL306" s="257">
        <f>IFERROR(IF(AND(ISNUMBER(AL15),ISNUMBER(AG15),AG15&lt;&gt;0),AL15/AG15-1,""),"")</f>
        <v>0.0965533994259238</v>
      </c>
      <c r="AM306" s="257">
        <f>IFERROR(IF(AND(ISNUMBER(AM15),ISNUMBER(AH15),AH15&lt;&gt;0),AM15/AH15-1,""),"")</f>
        <v>0.0904237778385288</v>
      </c>
      <c r="AN306" s="257">
        <f>IFERROR(IF(AND(ISNUMBER(AN15),ISNUMBER(AI15),AI15&lt;&gt;0),AN15/AI15-1,""),"")</f>
        <v>0.0904237778385288</v>
      </c>
      <c r="AO306" s="257">
        <f>IFERROR(IF(AND(ISNUMBER(AO15),ISNUMBER(AJ15),AJ15&lt;&gt;0),AO15/AJ15-1,""),"")</f>
        <v>0.0904237778385288</v>
      </c>
      <c r="AP306" s="257">
        <f>IFERROR(IF(AND(ISNUMBER(AP15),ISNUMBER(AK15),AK15&lt;&gt;0),AP15/AK15-1,""),"")</f>
        <v>0.0904237778385288</v>
      </c>
      <c r="AQ306" s="257">
        <f>IFERROR(IF(AND(ISNUMBER(AQ15),ISNUMBER(AL15),AL15&lt;&gt;0),AQ15/AL15-1,""),"")</f>
        <v>0.0904237778385288</v>
      </c>
      <c r="AR306" s="257">
        <f>IFERROR(IF(AND(ISNUMBER(AR15),ISNUMBER(AM15),AM15&lt;&gt;0),AR15/AM15-1,""),"")</f>
        <v>0.0854237778385287</v>
      </c>
      <c r="AS306" s="257">
        <f>IFERROR(IF(AND(ISNUMBER(AS15),ISNUMBER(AN15),AN15&lt;&gt;0),AS15/AN15-1,""),"")</f>
        <v>0.0854237778385287</v>
      </c>
      <c r="AT306" s="257">
        <f>IFERROR(IF(AND(ISNUMBER(AT15),ISNUMBER(AO15),AO15&lt;&gt;0),AT15/AO15-1,""),"")</f>
        <v>0.0854237778385287</v>
      </c>
      <c r="AU306" s="257">
        <f>IFERROR(IF(AND(ISNUMBER(AU15),ISNUMBER(AP15),AP15&lt;&gt;0),AU15/AP15-1,""),"")</f>
        <v>0.0854237778385287</v>
      </c>
      <c r="AV306" s="257">
        <f>IFERROR(IF(AND(ISNUMBER(AV15),ISNUMBER(AQ15),AQ15&lt;&gt;0),AV15/AQ15-1,""),"")</f>
        <v>0.0854237778385287</v>
      </c>
      <c r="AW306" s="257">
        <f>IFERROR(IF(AND(ISNUMBER(AW15),ISNUMBER(AR15),AR15&lt;&gt;0),AW15/AR15-1,""),"")</f>
        <v>0.0804237778385288</v>
      </c>
      <c r="AX306" s="257">
        <f>IFERROR(IF(AND(ISNUMBER(AX15),ISNUMBER(AS15),AS15&lt;&gt;0),AX15/AS15-1,""),"")</f>
        <v>0.0804237778385288</v>
      </c>
      <c r="AY306" s="257">
        <f>IFERROR(IF(AND(ISNUMBER(AY15),ISNUMBER(AT15),AT15&lt;&gt;0),AY15/AT15-1,""),"")</f>
        <v>0.0804237778385288</v>
      </c>
      <c r="AZ306" s="257">
        <f>IFERROR(IF(AND(ISNUMBER(AZ15),ISNUMBER(AU15),AU15&lt;&gt;0),AZ15/AU15-1,""),"")</f>
        <v>0.0804237778385288</v>
      </c>
      <c r="BA306" s="257">
        <f>IFERROR(IF(AND(ISNUMBER(BA15),ISNUMBER(AV15),AV15&lt;&gt;0),BA15/AV15-1,""),"")</f>
        <v>0.0804237778385286</v>
      </c>
      <c r="BB306" s="257">
        <f>IFERROR(IF(AND(ISNUMBER(BB15),ISNUMBER(AW15),AW15&lt;&gt;0),BB15/AW15-1,""),"")</f>
        <v>0.0754237778385289</v>
      </c>
      <c r="BC306" s="257">
        <f>IFERROR(IF(AND(ISNUMBER(BC15),ISNUMBER(AX15),AX15&lt;&gt;0),BC15/AX15-1,""),"")</f>
        <v>0.0754237778385289</v>
      </c>
      <c r="BD306" s="257">
        <f>IFERROR(IF(AND(ISNUMBER(BD15),ISNUMBER(AY15),AY15&lt;&gt;0),BD15/AY15-1,""),"")</f>
        <v>0.0754237778385289</v>
      </c>
      <c r="BE306" s="257">
        <f>IFERROR(IF(AND(ISNUMBER(BE15),ISNUMBER(AZ15),AZ15&lt;&gt;0),BE15/AZ15-1,""),"")</f>
        <v>0.0754237778385289</v>
      </c>
      <c r="BF306" s="257">
        <f>IFERROR(IF(AND(ISNUMBER(BF15),ISNUMBER(BA15),BA15&lt;&gt;0),BF15/BA15-1,""),"")</f>
        <v>0.0754237778385289</v>
      </c>
      <c r="BG306" s="79" t="n"/>
      <c r="BH306" s="79" t="n"/>
      <c r="BI306" s="79" t="n"/>
      <c r="BJ306" s="79" t="n"/>
      <c r="BK306" s="78" t="n"/>
      <c r="BL306" s="79" t="n"/>
      <c r="BM306" s="79" t="n"/>
      <c r="BN306" s="79" t="n"/>
      <c r="BO306" s="79" t="n"/>
      <c r="BP306" s="78" t="n"/>
      <c r="BQ306" s="79" t="n"/>
      <c r="BR306" s="79" t="n"/>
      <c r="BS306" s="79" t="n"/>
      <c r="BT306" s="79" t="n"/>
      <c r="BU306" s="78" t="n"/>
      <c r="BV306" s="79" t="n"/>
      <c r="BW306" s="79" t="n"/>
      <c r="BX306" s="79" t="n"/>
      <c r="BY306" s="79" t="n"/>
      <c r="BZ306" s="78" t="n"/>
      <c r="CA306" s="79" t="n"/>
      <c r="CB306" s="79" t="n"/>
      <c r="CC306" s="79" t="n"/>
      <c r="CD306" s="79" t="n"/>
      <c r="CE306" s="78" t="n"/>
      <c r="CF306" s="79" t="n"/>
      <c r="CG306" s="79" t="n"/>
      <c r="CH306" s="79" t="n"/>
      <c r="CI306" s="79" t="n"/>
      <c r="CJ306" s="78" t="n"/>
      <c r="CK306" s="79" t="n"/>
      <c r="CL306" s="79" t="n"/>
      <c r="CM306" s="79" t="n"/>
      <c r="CN306" s="79" t="n"/>
      <c r="CO306" s="78" t="n"/>
      <c r="CP306" s="79" t="n"/>
      <c r="CQ306" s="79" t="n"/>
      <c r="CR306" s="79" t="n"/>
      <c r="CS306" s="79" t="n"/>
      <c r="CT306" s="78" t="n"/>
      <c r="CU306" s="79" t="n"/>
      <c r="CV306" s="79" t="n"/>
      <c r="CW306" s="79" t="n"/>
      <c r="CX306" s="79" t="n"/>
      <c r="CY306" s="78" t="n"/>
    </row>
    <row r="307" customFormat="1" s="77">
      <c r="A307" s="76" t="n"/>
      <c r="B307" s="76" t="n"/>
      <c r="C307" s="77" t="inlineStr">
        <is>
          <t>GROSS MARGIN</t>
        </is>
      </c>
      <c r="D307" s="79" t="str">
        <f>IFERROR(SUM(D15,D39)/D15,"")</f>
        <v/>
      </c>
      <c r="E307" s="79" t="str">
        <f>IFERROR(SUM(E15,E39)/E15,"")</f>
        <v/>
      </c>
      <c r="F307" s="79" t="str">
        <f>IFERROR(SUM(F15,F39)/F15,"")</f>
        <v/>
      </c>
      <c r="G307" s="79" t="str">
        <f>IFERROR(SUM(G15,G39)/G15,"")</f>
        <v/>
      </c>
      <c r="H307" s="258" t="str">
        <f>IFERROR(IF(N(H15)&lt;&gt;0,(H15+H39)/H15,""),"")</f>
        <v/>
      </c>
      <c r="I307" s="258">
        <f>IFERROR(IF(N(I15)&lt;&gt;0,(I15+I39)/I15,""),"")</f>
        <v>0.127119211954701</v>
      </c>
      <c r="J307" s="258">
        <f>IFERROR(IF(N(J15)&lt;&gt;0,(J15+J39)/J15,""),"")</f>
        <v>0.129469708682112</v>
      </c>
      <c r="K307" s="258">
        <f>IFERROR(IF(N(K15)&lt;&gt;0,(K15+K39)/K15,""),"")</f>
        <v>0.126717191862784</v>
      </c>
      <c r="L307" s="258">
        <f>IFERROR(IF(N(L15)&lt;&gt;0,(L15+L39)/L15,""),"")</f>
        <v>0.127295832257808</v>
      </c>
      <c r="M307" s="258">
        <f>IFERROR(IF(N(M15)&lt;&gt;0,(M15+M39)/M15,""),"")</f>
        <v>0.127562978865888</v>
      </c>
      <c r="N307" s="258">
        <f>IFERROR(IF(N(N15)&lt;&gt;0,(N15+N39)/N15,""),"")</f>
        <v>0.123054099876695</v>
      </c>
      <c r="O307" s="258">
        <f>IFERROR(IF(N(O15)&lt;&gt;0,(O15+O39)/O15,""),"")</f>
        <v>0.118659213628413</v>
      </c>
      <c r="P307" s="258">
        <f>IFERROR(IF(N(P15)&lt;&gt;0,(P15+P39)/P15,""),"")</f>
        <v>0.118364289578449</v>
      </c>
      <c r="Q307" s="258">
        <f>IFERROR(IF(N(Q15)&lt;&gt;0,(Q15+Q39)/Q15,""),"")</f>
        <v>0.122490218050223</v>
      </c>
      <c r="R307" s="258">
        <f>IFERROR(IF(N(R15)&lt;&gt;0,(R15+R39)/R15,""),"")</f>
        <v>0.12045726059179</v>
      </c>
      <c r="S307" s="258">
        <f>IFERROR(IF(N(S15)&lt;&gt;0,(S15+S39)/S15,""),"")</f>
        <v>0.123819346433612</v>
      </c>
      <c r="T307" s="258">
        <f>IFERROR(IF(N(T15)&lt;&gt;0,(T15+T39)/T15,""),"")</f>
        <v>0.120656874440799</v>
      </c>
      <c r="U307" s="258">
        <f>IFERROR(IF(N(U15)&lt;&gt;0,(U15+U39)/U15,""),"")</f>
        <v>0.123133052103523</v>
      </c>
      <c r="V307" s="258">
        <f>IFERROR(IF(N(V15)&lt;&gt;0,(V15+V39)/V15,""),"")</f>
        <v>0.1270264191422</v>
      </c>
      <c r="W307" s="258">
        <f>IFERROR(IF(N(W15)&lt;&gt;0,(W15+W39)/W15,""),"")</f>
        <v>0.123662742416101</v>
      </c>
      <c r="X307" s="258">
        <f>IFERROR(IF(N(X15)&lt;&gt;0,(X15+X39)/X15,""),"")</f>
        <v>0.124944389309059</v>
      </c>
      <c r="Y307" s="258">
        <f>IFERROR(IF(N(Y15)&lt;&gt;0,(Y15+Y39)/Y15,""),"")</f>
        <v>0.12547210117064</v>
      </c>
      <c r="Z307" s="258">
        <f>IFERROR(IF(N(Z15)&lt;&gt;0,(Z15+Z39)/Z15,""),"")</f>
        <v>0.126842917550221</v>
      </c>
      <c r="AA307" s="258">
        <f>IFERROR(IF(N(AA15)&lt;&gt;0,(AA15+AA39)/AA15,""),"")</f>
        <v>0.12939453910637</v>
      </c>
      <c r="AB307" s="258">
        <f>IFERROR(IF(N(AB15)&lt;&gt;0,(AB15+AB39)/AB15,""),"")</f>
        <v>0.126717026332567</v>
      </c>
      <c r="AC307" s="258">
        <f>IFERROR(IF(N(AC15)&lt;&gt;0,(AC15+AC39)/AC15,""),"")</f>
        <v>0.125213816047581</v>
      </c>
      <c r="AD307" s="258">
        <f>IFERROR(IF(N(AD15)&lt;&gt;0,(AD15+AD39)/AD15,""),"")</f>
        <v>0.129878965271735</v>
      </c>
      <c r="AE307" s="258">
        <f>IFERROR(IF(N(AE15)&lt;&gt;0,(AE15+AE39)/AE15,""),"")</f>
        <v>0.129056595013696</v>
      </c>
      <c r="AF307" s="258">
        <f>IFERROR(IF(N(AF15)&lt;&gt;0,(AF15+AF39)/AF15,""),"")</f>
        <v>0.130699630053338</v>
      </c>
      <c r="AG307" s="258">
        <f>IFERROR(IF(N(AG15)&lt;&gt;0,(AG15+AG39)/AG15,""),"")</f>
        <v>0.128763048742649</v>
      </c>
      <c r="AH307" s="258">
        <f>IFERROR(IF(N(AH15)&lt;&gt;0,(AH15+AH39)/AH15,""),"")</f>
        <v>0.127562969668233</v>
      </c>
      <c r="AI307" s="258">
        <f>IFERROR(IF(N(AI15)&lt;&gt;0,(AI15+AI39)/AI15,""),"")</f>
        <v>0.127724134019595</v>
      </c>
      <c r="AJ307" s="258">
        <f>IFERROR(IF(N(AJ15)&lt;&gt;0,(AJ15+AJ39)/AJ15,""),"")</f>
        <v>0.128356018345696</v>
      </c>
      <c r="AK307" s="258">
        <f>IFERROR(IF(N(AK15)&lt;&gt;0,(AK15+AK39)/AK15,""),"")</f>
        <v>0.128356018345696</v>
      </c>
      <c r="AL307" s="258">
        <f>IFERROR(IF(N(AL15)&lt;&gt;0,(AL15+AL39)/AL15,""),"")</f>
        <v>0.128031561464108</v>
      </c>
      <c r="AM307" s="258">
        <f>IFERROR(IF(N(AM15)&lt;&gt;0,(AM15+AM39)/AM15,""),"")</f>
        <v>0.128356018345696</v>
      </c>
      <c r="AN307" s="258">
        <f>IFERROR(IF(N(AN15)&lt;&gt;0,(AN15+AN39)/AN15,""),"")</f>
        <v>0.128356018345696</v>
      </c>
      <c r="AO307" s="258">
        <f>IFERROR(IF(N(AO15)&lt;&gt;0,(AO15+AO39)/AO15,""),"")</f>
        <v>0.128356018345696</v>
      </c>
      <c r="AP307" s="258">
        <f>IFERROR(IF(N(AP15)&lt;&gt;0,(AP15+AP39)/AP15,""),"")</f>
        <v>0.128356018345696</v>
      </c>
      <c r="AQ307" s="258">
        <f>IFERROR(IF(N(AQ15)&lt;&gt;0,(AQ15+AQ39)/AQ15,""),"")</f>
        <v>0.128356018345697</v>
      </c>
      <c r="AR307" s="258">
        <f>IFERROR(IF(N(AR15)&lt;&gt;0,(AR15+AR39)/AR15,""),"")</f>
        <v>0.128356018345696</v>
      </c>
      <c r="AS307" s="258">
        <f>IFERROR(IF(N(AS15)&lt;&gt;0,(AS15+AS39)/AS15,""),"")</f>
        <v>0.128356018345696</v>
      </c>
      <c r="AT307" s="258">
        <f>IFERROR(IF(N(AT15)&lt;&gt;0,(AT15+AT39)/AT15,""),"")</f>
        <v>0.128356018345696</v>
      </c>
      <c r="AU307" s="258">
        <f>IFERROR(IF(N(AU15)&lt;&gt;0,(AU15+AU39)/AU15,""),"")</f>
        <v>0.128356018345696</v>
      </c>
      <c r="AV307" s="258">
        <f>IFERROR(IF(N(AV15)&lt;&gt;0,(AV15+AV39)/AV15,""),"")</f>
        <v>0.128356018345696</v>
      </c>
      <c r="AW307" s="258">
        <f>IFERROR(IF(N(AW15)&lt;&gt;0,(AW15+AW39)/AW15,""),"")</f>
        <v>0.128356018345696</v>
      </c>
      <c r="AX307" s="258">
        <f>IFERROR(IF(N(AX15)&lt;&gt;0,(AX15+AX39)/AX15,""),"")</f>
        <v>0.128356018345696</v>
      </c>
      <c r="AY307" s="258">
        <f>IFERROR(IF(N(AY15)&lt;&gt;0,(AY15+AY39)/AY15,""),"")</f>
        <v>0.128356018345696</v>
      </c>
      <c r="AZ307" s="258">
        <f>IFERROR(IF(N(AZ15)&lt;&gt;0,(AZ15+AZ39)/AZ15,""),"")</f>
        <v>0.128356018345696</v>
      </c>
      <c r="BA307" s="258">
        <f>IFERROR(IF(N(BA15)&lt;&gt;0,(BA15+BA39)/BA15,""),"")</f>
        <v>0.128356018345696</v>
      </c>
      <c r="BB307" s="258">
        <f>IFERROR(IF(N(BB15)&lt;&gt;0,(BB15+BB39)/BB15,""),"")</f>
        <v>0.128356018345696</v>
      </c>
      <c r="BC307" s="258">
        <f>IFERROR(IF(N(BC15)&lt;&gt;0,(BC15+BC39)/BC15,""),"")</f>
        <v>0.128356018345696</v>
      </c>
      <c r="BD307" s="258">
        <f>IFERROR(IF(N(BD15)&lt;&gt;0,(BD15+BD39)/BD15,""),"")</f>
        <v>0.128356018345696</v>
      </c>
      <c r="BE307" s="258">
        <f>IFERROR(IF(N(BE15)&lt;&gt;0,(BE15+BE39)/BE15,""),"")</f>
        <v>0.128356018345696</v>
      </c>
      <c r="BF307" s="258">
        <f>IFERROR(IF(N(BF15)&lt;&gt;0,(BF15+BF39)/BF15,""),"")</f>
        <v>0.128356018345696</v>
      </c>
      <c r="BG307" s="80" t="n"/>
      <c r="BH307" s="80" t="n"/>
      <c r="BI307" s="80" t="n"/>
      <c r="BJ307" s="80" t="n"/>
      <c r="BL307" s="80" t="n"/>
      <c r="BM307" s="80" t="n"/>
      <c r="BN307" s="80" t="n"/>
      <c r="BO307" s="80" t="n"/>
      <c r="BQ307" s="80" t="n"/>
      <c r="BR307" s="80" t="n"/>
      <c r="BS307" s="80" t="n"/>
      <c r="BT307" s="80" t="n"/>
      <c r="BV307" s="80" t="n"/>
      <c r="BW307" s="80" t="n"/>
      <c r="BX307" s="80" t="n"/>
      <c r="BY307" s="80" t="n"/>
      <c r="CA307" s="80" t="n"/>
      <c r="CB307" s="80" t="n"/>
      <c r="CC307" s="80" t="n"/>
      <c r="CD307" s="80" t="n"/>
      <c r="CF307" s="80" t="n"/>
      <c r="CG307" s="80" t="n"/>
      <c r="CH307" s="80" t="n"/>
      <c r="CI307" s="80" t="n"/>
      <c r="CK307" s="80" t="n"/>
      <c r="CL307" s="80" t="n"/>
      <c r="CM307" s="80" t="n"/>
      <c r="CN307" s="80" t="n"/>
      <c r="CP307" s="80" t="n"/>
      <c r="CQ307" s="80" t="n"/>
      <c r="CR307" s="80" t="n"/>
      <c r="CS307" s="80" t="n"/>
      <c r="CU307" s="80" t="n"/>
      <c r="CV307" s="80" t="n"/>
      <c r="CW307" s="80" t="n"/>
      <c r="CX307" s="80" t="n"/>
    </row>
    <row r="308" customFormat="1" s="77">
      <c r="A308" s="76" t="n"/>
      <c r="B308" s="76" t="n"/>
      <c r="C308" s="77" t="inlineStr">
        <is>
          <t>EBIT MARGIN</t>
        </is>
      </c>
      <c r="D308" s="78" t="str">
        <f>IFERROR((D58/D15),"")</f>
        <v/>
      </c>
      <c r="E308" s="78" t="str">
        <f>IFERROR((E58/E15),"")</f>
        <v/>
      </c>
      <c r="F308" s="78" t="str">
        <f>IFERROR((F58/F15),"")</f>
        <v/>
      </c>
      <c r="G308" s="78" t="str">
        <f>IFERROR((G58/G15),"")</f>
        <v/>
      </c>
      <c r="H308" s="258" t="str">
        <f>IFERROR(IF(N(H15)&lt;&gt;0,H58/H15,""),"")</f>
        <v/>
      </c>
      <c r="I308" s="257">
        <f>IFERROR(IF(N(I15)&lt;&gt;0,I58/I15,""),"")</f>
        <v>0.029931425763363</v>
      </c>
      <c r="J308" s="257">
        <f>IFERROR(IF(N(J15)&lt;&gt;0,J58/J15,""),"")</f>
        <v>0.0367294652914283</v>
      </c>
      <c r="K308" s="257">
        <f>IFERROR(IF(N(K15)&lt;&gt;0,K58/K15,""),"")</f>
        <v>0.0362983645791783</v>
      </c>
      <c r="L308" s="257">
        <f>IFERROR(IF(N(L15)&lt;&gt;0,L58/L15,""),"")</f>
        <v>0.0336159482159522</v>
      </c>
      <c r="M308" s="258">
        <f>IFERROR(IF(N(M15)&lt;&gt;0,M58/M15,""),"")</f>
        <v>0.0343256977408363</v>
      </c>
      <c r="N308" s="257">
        <f>IFERROR(IF(N(N15)&lt;&gt;0,N58/N15,""),"")</f>
        <v>0.0349106041923551</v>
      </c>
      <c r="O308" s="257">
        <f>IFERROR(IF(N(O15)&lt;&gt;0,O58/O15,""),"")</f>
        <v>0.0340520191649555</v>
      </c>
      <c r="P308" s="257">
        <f>IFERROR(IF(N(P15)&lt;&gt;0,P58/P15,""),"")</f>
        <v>0.0346367785160422</v>
      </c>
      <c r="Q308" s="257">
        <f>IFERROR(IF(N(Q15)&lt;&gt;0,Q58/Q15,""),"")</f>
        <v>0.0321656226463619</v>
      </c>
      <c r="R308" s="258">
        <f>IFERROR(IF(N(R15)&lt;&gt;0,R58/R15,""),"")</f>
        <v>0.0339828938483647</v>
      </c>
      <c r="S308" s="257">
        <f>IFERROR(IF(N(S15)&lt;&gt;0,S58/S15,""),"")</f>
        <v>0.0344334672312091</v>
      </c>
      <c r="T308" s="257">
        <f>IFERROR(IF(N(T15)&lt;&gt;0,T58/T15,""),"")</f>
        <v>0.0312966000596481</v>
      </c>
      <c r="U308" s="257">
        <f>IFERROR(IF(N(U15)&lt;&gt;0,U58/U15,""),"")</f>
        <v>0.0352297343518413</v>
      </c>
      <c r="V308" s="257">
        <f>IFERROR(IF(N(V15)&lt;&gt;0,V58/V15,""),"")</f>
        <v>0.0343258533884669</v>
      </c>
      <c r="W308" s="258">
        <f>IFERROR(IF(N(W15)&lt;&gt;0,W58/W15,""),"")</f>
        <v>0.0339789621089997</v>
      </c>
      <c r="X308" s="257">
        <f>IFERROR(IF(N(X15)&lt;&gt;0,X58/X15,""),"")</f>
        <v>0.0352828445296191</v>
      </c>
      <c r="Y308" s="257">
        <f>IFERROR(IF(N(Y15)&lt;&gt;0,Y58/Y15,""),"")</f>
        <v>0.0375459283944288</v>
      </c>
      <c r="Z308" s="257">
        <f>IFERROR(IF(N(Z15)&lt;&gt;0,Z58/Z15,""),"")</f>
        <v>0.038169567235906</v>
      </c>
      <c r="AA308" s="257">
        <f>IFERROR(IF(N(AA15)&lt;&gt;0,AA58/AA15,""),"")</f>
        <v>0.0353333011536419</v>
      </c>
      <c r="AB308" s="258">
        <f>IFERROR(IF(N(AB15)&lt;&gt;0,AB58/AB15,""),"")</f>
        <v>0.036695581615502</v>
      </c>
      <c r="AC308" s="257">
        <f>IFERROR(IF(N(AC15)&lt;&gt;0,AC58/AC15,""),"")</f>
        <v>0.0363448048585283</v>
      </c>
      <c r="AD308" s="257">
        <f>IFERROR(IF(N(AD15)&lt;&gt;0,AD58/AD15,""),"")</f>
        <v>0.0400284787595918</v>
      </c>
      <c r="AE308" s="257">
        <f>IFERROR(IF(N(AE15)&lt;&gt;0,AE58/AE15,""),"")</f>
        <v>0.0387784948233437</v>
      </c>
      <c r="AF308" s="257">
        <f>IFERROR(IF(N(AF15)&lt;&gt;0,AF58/AF15,""),"")</f>
        <v>0.0365935192476266</v>
      </c>
      <c r="AG308" s="258">
        <f>IFERROR(IF(N(AG15)&lt;&gt;0,AG58/AG15,""),"")</f>
        <v>0.0379826741942502</v>
      </c>
      <c r="AH308" s="257">
        <f>IFERROR(IF(N(AH15)&lt;&gt;0,AH58/AH15,""),"")</f>
        <v>0.0374441427073006</v>
      </c>
      <c r="AI308" s="257">
        <f>IFERROR(IF(N(AI15)&lt;&gt;0,AI58/AI15,""),"")</f>
        <v>0.0399137918811235</v>
      </c>
      <c r="AJ308" s="257">
        <f>IFERROR(IF(N(AJ15)&lt;&gt;0,AJ58/AJ15,""),"")</f>
        <v>0.0381838720462525</v>
      </c>
      <c r="AK308" s="257">
        <f>IFERROR(IF(N(AK15)&lt;&gt;0,AK58/AK15,""),"")</f>
        <v>0.0381838720462525</v>
      </c>
      <c r="AL308" s="258">
        <f>IFERROR(IF(N(AL15)&lt;&gt;0,AL58/AL15,""),"")</f>
        <v>0.0384132425781993</v>
      </c>
      <c r="AM308" s="257">
        <f>IFERROR(IF(N(AM15)&lt;&gt;0,AM58/AM15,""),"")</f>
        <v>0.0381838720462525</v>
      </c>
      <c r="AN308" s="257">
        <f>IFERROR(IF(N(AN15)&lt;&gt;0,AN58/AN15,""),"")</f>
        <v>0.0381838720462524</v>
      </c>
      <c r="AO308" s="257">
        <f>IFERROR(IF(N(AO15)&lt;&gt;0,AO58/AO15,""),"")</f>
        <v>0.0381838720462525</v>
      </c>
      <c r="AP308" s="257">
        <f>IFERROR(IF(N(AP15)&lt;&gt;0,AP58/AP15,""),"")</f>
        <v>0.0381838720462525</v>
      </c>
      <c r="AQ308" s="258">
        <f>IFERROR(IF(N(AQ15)&lt;&gt;0,AQ58/AQ15,""),"")</f>
        <v>0.0381838720462525</v>
      </c>
      <c r="AR308" s="257">
        <f>IFERROR(IF(N(AR15)&lt;&gt;0,AR58/AR15,""),"")</f>
        <v>0.0381838720462525</v>
      </c>
      <c r="AS308" s="257">
        <f>IFERROR(IF(N(AS15)&lt;&gt;0,AS58/AS15,""),"")</f>
        <v>0.0381838720462525</v>
      </c>
      <c r="AT308" s="257">
        <f>IFERROR(IF(N(AT15)&lt;&gt;0,AT58/AT15,""),"")</f>
        <v>0.0381838720462524</v>
      </c>
      <c r="AU308" s="257">
        <f>IFERROR(IF(N(AU15)&lt;&gt;0,AU58/AU15,""),"")</f>
        <v>0.0381838720462524</v>
      </c>
      <c r="AV308" s="258">
        <f>IFERROR(IF(N(AV15)&lt;&gt;0,AV58/AV15,""),"")</f>
        <v>0.0381838720462525</v>
      </c>
      <c r="AW308" s="257">
        <f>IFERROR(IF(N(AW15)&lt;&gt;0,AW58/AW15,""),"")</f>
        <v>0.0381838720462525</v>
      </c>
      <c r="AX308" s="257">
        <f>IFERROR(IF(N(AX15)&lt;&gt;0,AX58/AX15,""),"")</f>
        <v>0.0381838720462524</v>
      </c>
      <c r="AY308" s="257">
        <f>IFERROR(IF(N(AY15)&lt;&gt;0,AY58/AY15,""),"")</f>
        <v>0.0381838720462525</v>
      </c>
      <c r="AZ308" s="257">
        <f>IFERROR(IF(N(AZ15)&lt;&gt;0,AZ58/AZ15,""),"")</f>
        <v>0.0381838720462524</v>
      </c>
      <c r="BA308" s="258">
        <f>IFERROR(IF(N(BA15)&lt;&gt;0,BA58/BA15,""),"")</f>
        <v>0.0381838720462525</v>
      </c>
      <c r="BB308" s="257">
        <f>IFERROR(IF(N(BB15)&lt;&gt;0,BB58/BB15,""),"")</f>
        <v>0.0381838720462525</v>
      </c>
      <c r="BC308" s="257">
        <f>IFERROR(IF(N(BC15)&lt;&gt;0,BC58/BC15,""),"")</f>
        <v>0.0381838720462525</v>
      </c>
      <c r="BD308" s="257">
        <f>IFERROR(IF(N(BD15)&lt;&gt;0,BD58/BD15,""),"")</f>
        <v>0.0381838720462525</v>
      </c>
      <c r="BE308" s="257">
        <f>IFERROR(IF(N(BE15)&lt;&gt;0,BE58/BE15,""),"")</f>
        <v>0.0381838720462524</v>
      </c>
      <c r="BF308" s="258">
        <f>IFERROR(IF(N(BF15)&lt;&gt;0,BF58/BF15,""),"")</f>
        <v>0.0381838720462525</v>
      </c>
      <c r="BG308" s="81" t="n"/>
      <c r="BH308" s="81" t="n"/>
      <c r="BI308" s="81" t="n"/>
      <c r="BJ308" s="81" t="n"/>
      <c r="BL308" s="81" t="n"/>
      <c r="BM308" s="81" t="n"/>
      <c r="BN308" s="81" t="n"/>
      <c r="BO308" s="81" t="n"/>
      <c r="BQ308" s="81" t="n"/>
      <c r="BR308" s="81" t="n"/>
      <c r="BS308" s="81" t="n"/>
      <c r="BT308" s="81" t="n"/>
      <c r="BV308" s="81" t="n"/>
      <c r="BW308" s="81" t="n"/>
      <c r="BX308" s="81" t="n"/>
      <c r="BY308" s="81" t="n"/>
      <c r="CA308" s="81" t="n"/>
      <c r="CB308" s="81" t="n"/>
      <c r="CC308" s="81" t="n"/>
      <c r="CD308" s="81" t="n"/>
      <c r="CF308" s="81" t="n"/>
      <c r="CG308" s="81" t="n"/>
      <c r="CH308" s="81" t="n"/>
      <c r="CI308" s="81" t="n"/>
      <c r="CK308" s="81" t="n"/>
      <c r="CL308" s="81" t="n"/>
      <c r="CM308" s="81" t="n"/>
      <c r="CN308" s="81" t="n"/>
      <c r="CP308" s="81" t="n"/>
      <c r="CQ308" s="81" t="n"/>
      <c r="CR308" s="81" t="n"/>
      <c r="CS308" s="81" t="n"/>
      <c r="CU308" s="81" t="n"/>
      <c r="CV308" s="81" t="n"/>
      <c r="CW308" s="81" t="n"/>
      <c r="CX308" s="81" t="n"/>
    </row>
    <row r="309" customFormat="1" s="77">
      <c r="A309" s="76" t="n"/>
      <c r="B309" s="76" t="n"/>
      <c r="C309" s="77" t="inlineStr">
        <is>
          <t>EBITDA MARGIN</t>
        </is>
      </c>
      <c r="D309" s="78" t="str">
        <f>IFERROR(D54/D15,"")</f>
        <v/>
      </c>
      <c r="E309" s="78" t="str">
        <f>IFERROR(E54/E15,"")</f>
        <v/>
      </c>
      <c r="F309" s="78" t="str">
        <f>IFERROR(F54/F15,"")</f>
        <v/>
      </c>
      <c r="G309" s="78" t="str">
        <f>IFERROR(G54/G15,"")</f>
        <v/>
      </c>
      <c r="H309" s="258" t="str">
        <f>IFERROR(IF(N(H15)&lt;&gt;0,H54/H15,""),"")</f>
        <v/>
      </c>
      <c r="I309" s="257">
        <f>IFERROR(IF(N(I15)&lt;&gt;0,I54/I15,""),"")</f>
        <v>0.0392235698809444</v>
      </c>
      <c r="J309" s="257">
        <f>IFERROR(IF(N(J15)&lt;&gt;0,J54/J15,""),"")</f>
        <v>0.0456081454159949</v>
      </c>
      <c r="K309" s="257">
        <f>IFERROR(IF(N(K15)&lt;&gt;0,K54/K15,""),"")</f>
        <v>0.0452173913043478</v>
      </c>
      <c r="L309" s="257">
        <f>IFERROR(IF(N(L15)&lt;&gt;0,L54/L15,""),"")</f>
        <v>0.0421936739272879</v>
      </c>
      <c r="M309" s="258">
        <f>IFERROR(IF(N(M15)&lt;&gt;0,M54/M15,""),"")</f>
        <v>0.0432333418683894</v>
      </c>
      <c r="N309" s="257">
        <f>IFERROR(IF(N(N15)&lt;&gt;0,N54/N15,""),"")</f>
        <v>0.0433107274969174</v>
      </c>
      <c r="O309" s="257">
        <f>IFERROR(IF(N(O15)&lt;&gt;0,O54/O15,""),"")</f>
        <v>0.0423796486424823</v>
      </c>
      <c r="P309" s="257">
        <f>IFERROR(IF(N(P15)&lt;&gt;0,P54/P15,""),"")</f>
        <v>0.0428763645947483</v>
      </c>
      <c r="Q309" s="257">
        <f>IFERROR(IF(N(Q15)&lt;&gt;0,Q54/Q15,""),"")</f>
        <v>0.0403769495012583</v>
      </c>
      <c r="R309" s="258">
        <f>IFERROR(IF(N(R15)&lt;&gt;0,R54/R15,""),"")</f>
        <v>0.0422719324064616</v>
      </c>
      <c r="S309" s="257">
        <f>IFERROR(IF(N(S15)&lt;&gt;0,S54/S15,""),"")</f>
        <v>0.0429377917707089</v>
      </c>
      <c r="T309" s="257">
        <f>IFERROR(IF(N(T15)&lt;&gt;0,T54/T15,""),"")</f>
        <v>0.0400946913212049</v>
      </c>
      <c r="U309" s="257">
        <f>IFERROR(IF(N(U15)&lt;&gt;0,U54/U15,""),"")</f>
        <v>0.043945324871103</v>
      </c>
      <c r="V309" s="257">
        <f>IFERROR(IF(N(V15)&lt;&gt;0,V54/V15,""),"")</f>
        <v>0.0429938234225506</v>
      </c>
      <c r="W309" s="258">
        <f>IFERROR(IF(N(W15)&lt;&gt;0,W54/W15,""),"")</f>
        <v>0.0426538355071402</v>
      </c>
      <c r="X309" s="257">
        <f>IFERROR(IF(N(X15)&lt;&gt;0,X54/X15,""),"")</f>
        <v>0.0440778891892817</v>
      </c>
      <c r="Y309" s="257">
        <f>IFERROR(IF(N(Y15)&lt;&gt;0,Y54/Y15,""),"")</f>
        <v>0.0463641801247543</v>
      </c>
      <c r="Z309" s="257">
        <f>IFERROR(IF(N(Z15)&lt;&gt;0,Z54/Z15,""),"")</f>
        <v>0.0470281190007152</v>
      </c>
      <c r="AA309" s="257">
        <f>IFERROR(IF(N(AA15)&lt;&gt;0,AA54/AA15,""),"")</f>
        <v>0.044150536596354</v>
      </c>
      <c r="AB309" s="258">
        <f>IFERROR(IF(N(AB15)&lt;&gt;0,AB54/AB15,""),"")</f>
        <v>0.0455207588725102</v>
      </c>
      <c r="AC309" s="257">
        <f>IFERROR(IF(N(AC15)&lt;&gt;0,AC54/AC15,""),"")</f>
        <v>0.0450072972082294</v>
      </c>
      <c r="AD309" s="257">
        <f>IFERROR(IF(N(AD15)&lt;&gt;0,AD54/AD15,""),"")</f>
        <v>0.0487619650344118</v>
      </c>
      <c r="AE309" s="257">
        <f>IFERROR(IF(N(AE15)&lt;&gt;0,AE54/AE15,""),"")</f>
        <v>0.0477621988021728</v>
      </c>
      <c r="AF309" s="257">
        <f>IFERROR(IF(N(AF15)&lt;&gt;0,AF54/AF15,""),"")</f>
        <v>0.0454633247656262</v>
      </c>
      <c r="AG309" s="258">
        <f>IFERROR(IF(N(AG15)&lt;&gt;0,AG54/AG15,""),"")</f>
        <v>0.046809633690097</v>
      </c>
      <c r="AH309" s="257">
        <f>IFERROR(IF(N(AH15)&lt;&gt;0,AH54/AH15,""),"")</f>
        <v>0.0460220986536776</v>
      </c>
      <c r="AI309" s="257">
        <f>IFERROR(IF(N(AI15)&lt;&gt;0,AI54/AI15,""),"")</f>
        <v>0.0483786351326442</v>
      </c>
      <c r="AJ309" s="257">
        <f>IFERROR(IF(N(AJ15)&lt;&gt;0,AJ54/AJ15,""),"")</f>
        <v>0.0468992532661271</v>
      </c>
      <c r="AK309" s="257">
        <f>IFERROR(IF(N(AK15)&lt;&gt;0,AK54/AK15,""),"")</f>
        <v>0.046899253266127</v>
      </c>
      <c r="AL309" s="258">
        <f>IFERROR(IF(N(AL15)&lt;&gt;0,AL54/AL15,""),"")</f>
        <v>0.0470400472354421</v>
      </c>
      <c r="AM309" s="257">
        <f>IFERROR(IF(N(AM15)&lt;&gt;0,AM54/AM15,""),"")</f>
        <v>0.0468992532661271</v>
      </c>
      <c r="AN309" s="257">
        <f>IFERROR(IF(N(AN15)&lt;&gt;0,AN54/AN15,""),"")</f>
        <v>0.046899253266127</v>
      </c>
      <c r="AO309" s="257">
        <f>IFERROR(IF(N(AO15)&lt;&gt;0,AO54/AO15,""),"")</f>
        <v>0.0468992532661271</v>
      </c>
      <c r="AP309" s="257">
        <f>IFERROR(IF(N(AP15)&lt;&gt;0,AP54/AP15,""),"")</f>
        <v>0.046899253266127</v>
      </c>
      <c r="AQ309" s="258">
        <f>IFERROR(IF(N(AQ15)&lt;&gt;0,AQ54/AQ15,""),"")</f>
        <v>0.0468992532661271</v>
      </c>
      <c r="AR309" s="257">
        <f>IFERROR(IF(N(AR15)&lt;&gt;0,AR54/AR15,""),"")</f>
        <v>0.0468992532661271</v>
      </c>
      <c r="AS309" s="257">
        <f>IFERROR(IF(N(AS15)&lt;&gt;0,AS54/AS15,""),"")</f>
        <v>0.0468992532661271</v>
      </c>
      <c r="AT309" s="257">
        <f>IFERROR(IF(N(AT15)&lt;&gt;0,AT54/AT15,""),"")</f>
        <v>0.046899253266127</v>
      </c>
      <c r="AU309" s="257">
        <f>IFERROR(IF(N(AU15)&lt;&gt;0,AU54/AU15,""),"")</f>
        <v>0.046899253266127</v>
      </c>
      <c r="AV309" s="258">
        <f>IFERROR(IF(N(AV15)&lt;&gt;0,AV54/AV15,""),"")</f>
        <v>0.046899253266127</v>
      </c>
      <c r="AW309" s="257">
        <f>IFERROR(IF(N(AW15)&lt;&gt;0,AW54/AW15,""),"")</f>
        <v>0.0468992532661271</v>
      </c>
      <c r="AX309" s="257">
        <f>IFERROR(IF(N(AX15)&lt;&gt;0,AX54/AX15,""),"")</f>
        <v>0.046899253266127</v>
      </c>
      <c r="AY309" s="257">
        <f>IFERROR(IF(N(AY15)&lt;&gt;0,AY54/AY15,""),"")</f>
        <v>0.0468992532661271</v>
      </c>
      <c r="AZ309" s="257">
        <f>IFERROR(IF(N(AZ15)&lt;&gt;0,AZ54/AZ15,""),"")</f>
        <v>0.046899253266127</v>
      </c>
      <c r="BA309" s="258">
        <f>IFERROR(IF(N(BA15)&lt;&gt;0,BA54/BA15,""),"")</f>
        <v>0.0468992532661271</v>
      </c>
      <c r="BB309" s="257">
        <f>IFERROR(IF(N(BB15)&lt;&gt;0,BB54/BB15,""),"")</f>
        <v>0.0468992532661271</v>
      </c>
      <c r="BC309" s="257">
        <f>IFERROR(IF(N(BC15)&lt;&gt;0,BC54/BC15,""),"")</f>
        <v>0.0468992532661271</v>
      </c>
      <c r="BD309" s="257">
        <f>IFERROR(IF(N(BD15)&lt;&gt;0,BD54/BD15,""),"")</f>
        <v>0.0468992532661271</v>
      </c>
      <c r="BE309" s="257">
        <f>IFERROR(IF(N(BE15)&lt;&gt;0,BE54/BE15,""),"")</f>
        <v>0.046899253266127</v>
      </c>
      <c r="BF309" s="258">
        <f>IFERROR(IF(N(BF15)&lt;&gt;0,BF54/BF15,""),"")</f>
        <v>0.046899253266127</v>
      </c>
      <c r="BG309" s="81" t="n"/>
      <c r="BH309" s="81" t="n"/>
      <c r="BI309" s="81" t="n"/>
      <c r="BJ309" s="81" t="n"/>
      <c r="BL309" s="81" t="n"/>
      <c r="BM309" s="81" t="n"/>
      <c r="BN309" s="81" t="n"/>
      <c r="BO309" s="81" t="n"/>
      <c r="BQ309" s="81" t="n"/>
      <c r="BR309" s="81" t="n"/>
      <c r="BS309" s="81" t="n"/>
      <c r="BT309" s="81" t="n"/>
      <c r="BV309" s="81" t="n"/>
      <c r="BW309" s="81" t="n"/>
      <c r="BX309" s="81" t="n"/>
      <c r="BY309" s="81" t="n"/>
      <c r="CA309" s="81" t="n"/>
      <c r="CB309" s="81" t="n"/>
      <c r="CC309" s="81" t="n"/>
      <c r="CD309" s="81" t="n"/>
      <c r="CF309" s="81" t="n"/>
      <c r="CG309" s="81" t="n"/>
      <c r="CH309" s="81" t="n"/>
      <c r="CI309" s="81" t="n"/>
      <c r="CK309" s="81" t="n"/>
      <c r="CL309" s="81" t="n"/>
      <c r="CM309" s="81" t="n"/>
      <c r="CN309" s="81" t="n"/>
      <c r="CP309" s="81" t="n"/>
      <c r="CQ309" s="81" t="n"/>
      <c r="CR309" s="81" t="n"/>
      <c r="CS309" s="81" t="n"/>
      <c r="CU309" s="81" t="n"/>
      <c r="CV309" s="81" t="n"/>
      <c r="CW309" s="81" t="n"/>
      <c r="CX309" s="81" t="n"/>
    </row>
    <row r="310" customFormat="1" s="77">
      <c r="A310" s="76" t="n"/>
      <c r="B310" s="76" t="n"/>
      <c r="C310" s="77" t="inlineStr">
        <is>
          <t>ETR</t>
        </is>
      </c>
      <c r="D310" s="78" t="str">
        <f>IFERROR(-D116/D115,"")</f>
        <v/>
      </c>
      <c r="E310" s="78" t="str">
        <f>IFERROR(-E116/E115,"")</f>
        <v/>
      </c>
      <c r="F310" s="78" t="str">
        <f>IFERROR(-F116/F115,"")</f>
        <v/>
      </c>
      <c r="G310" s="78" t="str">
        <f>IFERROR(-G116/G115,"")</f>
        <v/>
      </c>
      <c r="H310" s="258" t="str">
        <f>IFERROR(IF(N(H115)&lt;&gt;0,-H116/H115,""),"")</f>
        <v/>
      </c>
      <c r="I310" s="257">
        <f>IFERROR(IF(N(I115)&lt;&gt;0,-I116/I115,""),"")</f>
        <v>0.263836239575436</v>
      </c>
      <c r="J310" s="257">
        <f>IFERROR(IF(N(J115)&lt;&gt;0,-J116/J115,""),"")</f>
        <v>0.252727272727273</v>
      </c>
      <c r="K310" s="257">
        <f>IFERROR(IF(N(K115)&lt;&gt;0,-K116/K115,""),"")</f>
        <v>0.260584897424705</v>
      </c>
      <c r="L310" s="257">
        <f>IFERROR(IF(N(L115)&lt;&gt;0,-L116/L115,""),"")</f>
        <v>0.206957547169811</v>
      </c>
      <c r="M310" s="258">
        <f>IFERROR(IF(N(M115)&lt;&gt;0,-M116/M115,""),"")</f>
        <v>0.246262219666475</v>
      </c>
      <c r="N310" s="257">
        <f>IFERROR(IF(N(N115)&lt;&gt;0,-N116/N115,""),"")</f>
        <v>0.267073847862299</v>
      </c>
      <c r="O310" s="257">
        <f>IFERROR(IF(N(O115)&lt;&gt;0,-O116/O115,""),"")</f>
        <v>0.24904214559387</v>
      </c>
      <c r="P310" s="257">
        <f>IFERROR(IF(N(P115)&lt;&gt;0,-P116/P115,""),"")</f>
        <v>0.253577106518283</v>
      </c>
      <c r="Q310" s="257">
        <f>IFERROR(IF(N(Q115)&lt;&gt;0,-Q116/Q115,""),"")</f>
        <v>0.229378531073446</v>
      </c>
      <c r="R310" s="258">
        <f>IFERROR(IF(N(R115)&lt;&gt;0,-R116/R115,""),"")</f>
        <v>0.250189537528431</v>
      </c>
      <c r="S310" s="257">
        <f>IFERROR(IF(N(S115)&lt;&gt;0,-S116/S115,""),"")</f>
        <v>0.260716086737267</v>
      </c>
      <c r="T310" s="257">
        <f>IFERROR(IF(N(T115)&lt;&gt;0,-T116/T115,""),"")</f>
        <v>0.264822134387352</v>
      </c>
      <c r="U310" s="257">
        <f>IFERROR(IF(N(U115)&lt;&gt;0,-U116/U115,""),"")</f>
        <v>0.271009112386095</v>
      </c>
      <c r="V310" s="257">
        <f>IFERROR(IF(N(V115)&lt;&gt;0,-V116/V115,""),"")</f>
        <v>0.245489078822412</v>
      </c>
      <c r="W310" s="258">
        <f>IFERROR(IF(N(W115)&lt;&gt;0,-W116/W115,""),"")</f>
        <v>0.261362348407571</v>
      </c>
      <c r="X310" s="257">
        <f>IFERROR(IF(N(X115)&lt;&gt;0,-X116/X115,""),"")</f>
        <v>0.220831470719714</v>
      </c>
      <c r="Y310" s="257">
        <f>IFERROR(IF(N(Y115)&lt;&gt;0,-Y116/Y115,""),"")</f>
        <v>0.264010507880911</v>
      </c>
      <c r="Z310" s="257">
        <f>IFERROR(IF(N(Z115)&lt;&gt;0,-Z116/Z115,""),"")</f>
        <v>0.243816254416961</v>
      </c>
      <c r="AA310" s="257">
        <f>IFERROR(IF(N(AA115)&lt;&gt;0,-AA116/AA115,""),"")</f>
        <v>0.220294882914137</v>
      </c>
      <c r="AB310" s="258">
        <f>IFERROR(IF(N(AB115)&lt;&gt;0,-AB116/AB115,""),"")</f>
        <v>0.237826961770624</v>
      </c>
      <c r="AC310" s="257">
        <f>IFERROR(IF(N(AC115)&lt;&gt;0,-AC116/AC115,""),"")</f>
        <v>0.261767134599505</v>
      </c>
      <c r="AD310" s="257">
        <f>IFERROR(IF(N(AD115)&lt;&gt;0,-AD116/AD115,""),"")</f>
        <v>0.262403100775194</v>
      </c>
      <c r="AE310" s="257">
        <f>IFERROR(IF(N(AE115)&lt;&gt;0,-AE116/AE115,""),"")</f>
        <v>0.256410256410256</v>
      </c>
      <c r="AF310" s="257">
        <f>IFERROR(IF(N(AF115)&lt;&gt;0,-AF116/AF115,""),"")</f>
        <v>0.225319396051103</v>
      </c>
      <c r="AG310" s="258">
        <f>IFERROR(IF(N(AG115)&lt;&gt;0,-AG116/AG115,""),"")</f>
        <v>0.251735015772871</v>
      </c>
      <c r="AH310" s="257">
        <f>IFERROR(IF(N(AH115)&lt;&gt;0,-AH116/AH115,""),"")</f>
        <v>0.252113193678795</v>
      </c>
      <c r="AI310" s="257">
        <f>IFERROR(IF(N(AI115)&lt;&gt;0,-AI116/AI115,""),"")</f>
        <v>0.253914227365555</v>
      </c>
      <c r="AJ310" s="257">
        <f>IFERROR(IF(N(AJ115)&lt;&gt;0,-AJ116/AJ115,""),"")</f>
        <v>0.251987884813401</v>
      </c>
      <c r="AK310" s="257">
        <f>IFERROR(IF(N(AK115)&lt;&gt;0,-AK116/AK115,""),"")</f>
        <v>0.251987884813401</v>
      </c>
      <c r="AL310" s="258">
        <f>IFERROR(IF(N(AL115)&lt;&gt;0,-AL116/AL115,""),"")</f>
        <v>0.252471534774714</v>
      </c>
      <c r="AM310" s="257">
        <f>IFERROR(IF(N(AM115)&lt;&gt;0,-AM116/AM115,""),"")</f>
        <v>0.251987884813401</v>
      </c>
      <c r="AN310" s="257">
        <f>IFERROR(IF(N(AN115)&lt;&gt;0,-AN116/AN115,""),"")</f>
        <v>0.251987884813401</v>
      </c>
      <c r="AO310" s="257">
        <f>IFERROR(IF(N(AO115)&lt;&gt;0,-AO116/AO115,""),"")</f>
        <v>0.251987884813401</v>
      </c>
      <c r="AP310" s="257">
        <f>IFERROR(IF(N(AP115)&lt;&gt;0,-AP116/AP115,""),"")</f>
        <v>0.251987884813401</v>
      </c>
      <c r="AQ310" s="258">
        <f>IFERROR(IF(N(AQ115)&lt;&gt;0,-AQ116/AQ115,""),"")</f>
        <v>0.251987884813401</v>
      </c>
      <c r="AR310" s="257">
        <f>IFERROR(IF(N(AR115)&lt;&gt;0,-AR116/AR115,""),"")</f>
        <v>0.251987884813401</v>
      </c>
      <c r="AS310" s="257">
        <f>IFERROR(IF(N(AS115)&lt;&gt;0,-AS116/AS115,""),"")</f>
        <v>0.251987884813401</v>
      </c>
      <c r="AT310" s="257">
        <f>IFERROR(IF(N(AT115)&lt;&gt;0,-AT116/AT115,""),"")</f>
        <v>0.251987884813401</v>
      </c>
      <c r="AU310" s="257">
        <f>IFERROR(IF(N(AU115)&lt;&gt;0,-AU116/AU115,""),"")</f>
        <v>0.251987884813401</v>
      </c>
      <c r="AV310" s="258">
        <f>IFERROR(IF(N(AV115)&lt;&gt;0,-AV116/AV115,""),"")</f>
        <v>0.251987884813401</v>
      </c>
      <c r="AW310" s="257">
        <f>IFERROR(IF(N(AW115)&lt;&gt;0,-AW116/AW115,""),"")</f>
        <v>0.251987884813401</v>
      </c>
      <c r="AX310" s="257">
        <f>IFERROR(IF(N(AX115)&lt;&gt;0,-AX116/AX115,""),"")</f>
        <v>0.251987884813401</v>
      </c>
      <c r="AY310" s="257">
        <f>IFERROR(IF(N(AY115)&lt;&gt;0,-AY116/AY115,""),"")</f>
        <v>0.251987884813401</v>
      </c>
      <c r="AZ310" s="257">
        <f>IFERROR(IF(N(AZ115)&lt;&gt;0,-AZ116/AZ115,""),"")</f>
        <v>0.251987884813401</v>
      </c>
      <c r="BA310" s="258">
        <f>IFERROR(IF(N(BA115)&lt;&gt;0,-BA116/BA115,""),"")</f>
        <v>0.251987884813401</v>
      </c>
      <c r="BB310" s="257">
        <f>IFERROR(IF(N(BB115)&lt;&gt;0,-BB116/BB115,""),"")</f>
        <v>0.251987884813401</v>
      </c>
      <c r="BC310" s="257">
        <f>IFERROR(IF(N(BC115)&lt;&gt;0,-BC116/BC115,""),"")</f>
        <v>0.251987884813401</v>
      </c>
      <c r="BD310" s="257">
        <f>IFERROR(IF(N(BD115)&lt;&gt;0,-BD116/BD115,""),"")</f>
        <v>0.251987884813401</v>
      </c>
      <c r="BE310" s="257">
        <f>IFERROR(IF(N(BE115)&lt;&gt;0,-BE116/BE115,""),"")</f>
        <v>0.251987884813401</v>
      </c>
      <c r="BF310" s="258">
        <f>IFERROR(IF(N(BF115)&lt;&gt;0,-BF116/BF115,""),"")</f>
        <v>0.251987884813401</v>
      </c>
      <c r="BG310" s="81" t="n"/>
      <c r="BH310" s="81" t="n"/>
      <c r="BI310" s="81" t="n"/>
      <c r="BJ310" s="81" t="n"/>
      <c r="BL310" s="81" t="n"/>
      <c r="BM310" s="81" t="n"/>
      <c r="BN310" s="81" t="n"/>
      <c r="BO310" s="81" t="n"/>
      <c r="BQ310" s="81" t="n"/>
      <c r="BR310" s="81" t="n"/>
      <c r="BS310" s="81" t="n"/>
      <c r="BT310" s="81" t="n"/>
      <c r="BV310" s="81" t="n"/>
      <c r="BW310" s="81" t="n"/>
      <c r="BX310" s="81" t="n"/>
      <c r="BY310" s="81" t="n"/>
      <c r="CA310" s="81" t="n"/>
      <c r="CB310" s="81" t="n"/>
      <c r="CC310" s="81" t="n"/>
      <c r="CD310" s="81" t="n"/>
      <c r="CF310" s="81" t="n"/>
      <c r="CG310" s="81" t="n"/>
      <c r="CH310" s="81" t="n"/>
      <c r="CI310" s="81" t="n"/>
      <c r="CK310" s="81" t="n"/>
      <c r="CL310" s="81" t="n"/>
      <c r="CM310" s="81" t="n"/>
      <c r="CN310" s="81" t="n"/>
      <c r="CP310" s="81" t="n"/>
      <c r="CQ310" s="81" t="n"/>
      <c r="CR310" s="81" t="n"/>
      <c r="CS310" s="81" t="n"/>
      <c r="CU310" s="81" t="n"/>
      <c r="CV310" s="81" t="n"/>
      <c r="CW310" s="81" t="n"/>
      <c r="CX310" s="81" t="n"/>
    </row>
    <row r="311" customFormat="1" s="77">
      <c r="A311" s="76" t="n"/>
      <c r="B311" s="76" t="n"/>
    </row>
    <row r="312" customFormat="1" s="77">
      <c r="A312" s="76" t="n"/>
      <c r="B312" s="76" t="n"/>
      <c r="C312" s="74" t="inlineStr">
        <is>
          <t>CAPITAL STRUCTURE</t>
        </is>
      </c>
    </row>
    <row r="313" customFormat="1" s="77">
      <c r="A313" s="76" t="n"/>
      <c r="B313" s="76" t="n"/>
      <c r="C313" s="77" t="inlineStr">
        <is>
          <t>TOTAL DEBT / EQUITY (BOOK VALUE)</t>
        </is>
      </c>
      <c r="H313" s="262" t="str">
        <f>IFERROR(IF(N(H256)&lt;&gt;0,(N(H197)+N(H198)+N(H199)+N(H202)+N(H220)+N(H223))/H256,""),"")</f>
        <v/>
      </c>
      <c r="I313" s="262">
        <f>IFERROR(IF(N(I256)&lt;&gt;0,(N(I197)+N(I198)+N(I199)+N(I202)+N(I220)+N(I223))/I256,""),"")</f>
        <v>0.636617273234546</v>
      </c>
      <c r="J313" s="262">
        <f>IFERROR(IF(N(J256)&lt;&gt;0,(N(J197)+N(J198)+N(J199)+N(J202)+N(J220)+N(J223))/J256,""),"")</f>
        <v>0.602568634381996</v>
      </c>
      <c r="K313" s="262">
        <f>IFERROR(IF(N(K256)&lt;&gt;0,(N(K197)+N(K198)+N(K199)+N(K202)+N(K220)+N(K223))/K256,""),"")</f>
        <v>0.56051554375484</v>
      </c>
      <c r="L313" s="262">
        <f>IFERROR(IF(N(L256)&lt;&gt;0,(N(L197)+N(L198)+N(L199)+N(L202)+N(L220)+N(L223))/L256,""),"")</f>
        <v>0.532368421052632</v>
      </c>
      <c r="M313" s="262">
        <f>IFERROR(IF(N(M256)&lt;&gt;0,(N(M197)+N(M198)+N(M199)+N(M202)+N(M220)+N(M223))/M256,""),"")</f>
        <v>0.532368421052632</v>
      </c>
      <c r="N313" s="262">
        <f>IFERROR(IF(N(N256)&lt;&gt;0,(N(N197)+N(N198)+N(N199)+N(N202)+N(N220)+N(N223))/N256,""),"")</f>
        <v>0.462855426511814</v>
      </c>
      <c r="O313" s="262">
        <f>IFERROR(IF(N(O256)&lt;&gt;0,(N(O197)+N(O198)+N(O199)+N(O202)+N(O220)+N(O223))/O256,""),"")</f>
        <v>0.440501145614976</v>
      </c>
      <c r="P313" s="262">
        <f>IFERROR(IF(N(P256)&lt;&gt;0,(N(P197)+N(P198)+N(P199)+N(P202)+N(P220)+N(P223))/P256,""),"")</f>
        <v>0.437787572044365</v>
      </c>
      <c r="Q313" s="262">
        <f>IFERROR(IF(N(Q256)&lt;&gt;0,(N(Q197)+N(Q198)+N(Q199)+N(Q202)+N(Q220)+N(Q223))/Q256,""),"")</f>
        <v>0.421214378841498</v>
      </c>
      <c r="R313" s="262">
        <f>IFERROR(IF(N(R256)&lt;&gt;0,(N(R197)+N(R198)+N(R199)+N(R202)+N(R220)+N(R223))/R256,""),"")</f>
        <v>0.421214378841498</v>
      </c>
      <c r="S313" s="262">
        <f>IFERROR(IF(N(S256)&lt;&gt;0,(N(S197)+N(S198)+N(S199)+N(S202)+N(S220)+N(S223))/S256,""),"")</f>
        <v>0.400850914513794</v>
      </c>
      <c r="T313" s="262">
        <f>IFERROR(IF(N(T256)&lt;&gt;0,(N(T197)+N(T198)+N(T199)+N(T202)+N(T220)+N(T223))/T256,""),"")</f>
        <v>0.381962414626904</v>
      </c>
      <c r="U313" s="262">
        <f>IFERROR(IF(N(U256)&lt;&gt;0,(N(U197)+N(U198)+N(U199)+N(U202)+N(U220)+N(U223))/U256,""),"")</f>
        <v>0.354537473062495</v>
      </c>
      <c r="V313" s="262">
        <f>IFERROR(IF(N(V256)&lt;&gt;0,(N(V197)+N(V198)+N(V199)+N(V202)+N(V220)+N(V223))/V256,""),"")</f>
        <v>0.357478869468773</v>
      </c>
      <c r="W313" s="262">
        <f>IFERROR(IF(N(W256)&lt;&gt;0,(N(W197)+N(W198)+N(W199)+N(W202)+N(W220)+N(W223))/W256,""),"")</f>
        <v>0.357478869468773</v>
      </c>
      <c r="X313" s="262">
        <f>IFERROR(IF(N(X256)&lt;&gt;0,(N(X197)+N(X198)+N(X199)+N(X202)+N(X220)+N(X223))/X256,""),"")</f>
        <v>0.454383429672447</v>
      </c>
      <c r="Y313" s="262">
        <f>IFERROR(IF(N(Y256)&lt;&gt;0,(N(Y197)+N(Y198)+N(Y199)+N(Y202)+N(Y220)+N(Y223))/Y256,""),"")</f>
        <v>0.427035965274907</v>
      </c>
      <c r="Z313" s="262">
        <f>IFERROR(IF(N(Z256)&lt;&gt;0,(N(Z197)+N(Z198)+N(Z199)+N(Z202)+N(Z220)+N(Z223))/Z256,""),"")</f>
        <v>0.350182033697401</v>
      </c>
      <c r="AA313" s="262">
        <f>IFERROR(IF(N(AA256)&lt;&gt;0,(N(AA197)+N(AA198)+N(AA199)+N(AA202)+N(AA220)+N(AA223))/AA256,""),"")</f>
        <v>0.32853462026093</v>
      </c>
      <c r="AB313" s="262">
        <f>IFERROR(IF(N(AB256)&lt;&gt;0,(N(AB197)+N(AB198)+N(AB199)+N(AB202)+N(AB220)+N(AB223))/AB256,""),"")</f>
        <v>0.32853462026093</v>
      </c>
      <c r="AC313" s="262">
        <f>IFERROR(IF(N(AC256)&lt;&gt;0,(N(AC197)+N(AC198)+N(AC199)+N(AC202)+N(AC220)+N(AC223))/AC256,""),"")</f>
        <v>0.314305821636627</v>
      </c>
      <c r="AD313" s="262">
        <f>IFERROR(IF(N(AD256)&lt;&gt;0,(N(AD197)+N(AD198)+N(AD199)+N(AD202)+N(AD220)+N(AD223))/AD256,""),"")</f>
        <v>0.301566820276498</v>
      </c>
      <c r="AE313" s="262">
        <f>IFERROR(IF(N(AE256)&lt;&gt;0,(N(AE197)+N(AE198)+N(AE199)+N(AE202)+N(AE220)+N(AE223))/AE256,""),"")</f>
        <v>0.280242765052805</v>
      </c>
      <c r="AF313" s="262">
        <f>IFERROR(IF(N(AF256)&lt;&gt;0,(N(AF197)+N(AF198)+N(AF199)+N(AF202)+N(AF220)+N(AF223))/AF256,""),"")</f>
        <v>0.267366267366267</v>
      </c>
      <c r="AG313" s="262">
        <f>IFERROR(IF(N(AG256)&lt;&gt;0,(N(AG197)+N(AG198)+N(AG199)+N(AG202)+N(AG220)+N(AG223))/AG256,""),"")</f>
        <v>0.267366267366267</v>
      </c>
      <c r="AH313" s="262">
        <f>IFERROR(IF(N(AH256)&lt;&gt;0,(N(AH197)+N(AH198)+N(AH199)+N(AH202)+N(AH220)+N(AH223))/AH256,""),"")</f>
        <v>0.254464424844953</v>
      </c>
      <c r="AI313" s="262">
        <f>IFERROR(IF(N(AI256)&lt;&gt;0,(N(AI197)+N(AI198)+N(AI199)+N(AI202)+N(AI220)+N(AI223))/AI256,""),"")</f>
        <v>0.242800441672387</v>
      </c>
      <c r="AJ313" s="262">
        <f>IFERROR(IF(N(AJ256)&lt;&gt;0,(N(AJ197)+N(AJ198)+N(AJ199)+N(AJ202)+N(AJ220)+N(AJ223))/AJ256,""),"")</f>
        <v>0.223868878931665</v>
      </c>
      <c r="AK313" s="262">
        <f>IFERROR(IF(N(AK256)&lt;&gt;0,(N(AK197)+N(AK198)+N(AK199)+N(AK202)+N(AK220)+N(AK223))/AK256,""),"")</f>
        <v>0.211015256046155</v>
      </c>
      <c r="AL313" s="262">
        <f>IFERROR(IF(N(AL256)&lt;&gt;0,(N(AL197)+N(AL198)+N(AL199)+N(AL202)+N(AL220)+N(AL223))/AL256,""),"")</f>
        <v>0.211015256046155</v>
      </c>
      <c r="AM313" s="262">
        <f>IFERROR(IF(N(AM256)&lt;&gt;0,(N(AM197)+N(AM198)+N(AM199)+N(AM202)+N(AM220)+N(AM223))/AM256,""),"")</f>
        <v>0.199189509222471</v>
      </c>
      <c r="AN313" s="262">
        <f>IFERROR(IF(N(AN256)&lt;&gt;0,(N(AN197)+N(AN198)+N(AN199)+N(AN202)+N(AN220)+N(AN223))/AN256,""),"")</f>
        <v>0.188485241485197</v>
      </c>
      <c r="AO313" s="262">
        <f>IFERROR(IF(N(AO256)&lt;&gt;0,(N(AO197)+N(AO198)+N(AO199)+N(AO202)+N(AO220)+N(AO223))/AO256,""),"")</f>
        <v>0.175894043187413</v>
      </c>
      <c r="AP313" s="262">
        <f>IFERROR(IF(N(AP256)&lt;&gt;0,(N(AP197)+N(AP198)+N(AP199)+N(AP202)+N(AP220)+N(AP223))/AP256,""),"")</f>
        <v>0.167169905400761</v>
      </c>
      <c r="AQ313" s="262">
        <f>IFERROR(IF(N(AQ256)&lt;&gt;0,(N(AQ197)+N(AQ198)+N(AQ199)+N(AQ202)+N(AQ220)+N(AQ223))/AQ256,""),"")</f>
        <v>0.167169905400761</v>
      </c>
      <c r="AR313" s="262">
        <f>IFERROR(IF(N(AR256)&lt;&gt;0,(N(AR197)+N(AR198)+N(AR199)+N(AR202)+N(AR220)+N(AR223))/AR256,""),"")</f>
        <v>0.15905020648802</v>
      </c>
      <c r="AS313" s="262">
        <f>IFERROR(IF(N(AS256)&lt;&gt;0,(N(AS197)+N(AS198)+N(AS199)+N(AS202)+N(AS220)+N(AS223))/AS256,""),"")</f>
        <v>0.151588912420463</v>
      </c>
      <c r="AT313" s="262">
        <f>IFERROR(IF(N(AT256)&lt;&gt;0,(N(AT197)+N(AT198)+N(AT199)+N(AT202)+N(AT220)+N(AT223))/AT256,""),"")</f>
        <v>0.142673360367295</v>
      </c>
      <c r="AU313" s="262">
        <f>IFERROR(IF(N(AU256)&lt;&gt;0,(N(AU197)+N(AU198)+N(AU199)+N(AU202)+N(AU220)+N(AU223))/AU256,""),"")</f>
        <v>0.136405940454434</v>
      </c>
      <c r="AV313" s="262">
        <f>IFERROR(IF(N(AV256)&lt;&gt;0,(N(AV197)+N(AV198)+N(AV199)+N(AV202)+N(AV220)+N(AV223))/AV256,""),"")</f>
        <v>0.136405940454434</v>
      </c>
      <c r="AW313" s="262">
        <f>IFERROR(IF(N(AW256)&lt;&gt;0,(N(AW197)+N(AW198)+N(AW199)+N(AW202)+N(AW220)+N(AW223))/AW256,""),"")</f>
        <v>0.130531191515149</v>
      </c>
      <c r="AX313" s="262">
        <f>IFERROR(IF(N(AX256)&lt;&gt;0,(N(AX197)+N(AX198)+N(AX199)+N(AX202)+N(AX220)+N(AX223))/AX256,""),"")</f>
        <v>0.125072569884023</v>
      </c>
      <c r="AY313" s="262">
        <f>IFERROR(IF(N(AY256)&lt;&gt;0,(N(AY197)+N(AY198)+N(AY199)+N(AY202)+N(AY220)+N(AY223))/AY256,""),"")</f>
        <v>0.118473030610213</v>
      </c>
      <c r="AZ313" s="262">
        <f>IFERROR(IF(N(AZ256)&lt;&gt;0,(N(AZ197)+N(AZ198)+N(AZ199)+N(AZ202)+N(AZ220)+N(AZ223))/AZ256,""),"")</f>
        <v>0.113782710068829</v>
      </c>
      <c r="BA313" s="262">
        <f>IFERROR(IF(N(BA256)&lt;&gt;0,(N(BA197)+N(BA198)+N(BA199)+N(BA202)+N(BA220)+N(BA223))/BA256,""),"")</f>
        <v>0.113782710068829</v>
      </c>
      <c r="BB313" s="262">
        <f>IFERROR(IF(N(BB256)&lt;&gt;0,(N(BB197)+N(BB198)+N(BB199)+N(BB202)+N(BB220)+N(BB223))/BB256,""),"")</f>
        <v>0.109367162402871</v>
      </c>
      <c r="BC313" s="262">
        <f>IFERROR(IF(N(BC256)&lt;&gt;0,(N(BC197)+N(BC198)+N(BC199)+N(BC202)+N(BC220)+N(BC223))/BC256,""),"")</f>
        <v>0.10522898984619</v>
      </c>
      <c r="BD313" s="262">
        <f>IFERROR(IF(N(BD256)&lt;&gt;0,(N(BD197)+N(BD198)+N(BD199)+N(BD202)+N(BD220)+N(BD223))/BD256,""),"")</f>
        <v>0.100179738656391</v>
      </c>
      <c r="BE313" s="262">
        <f>IFERROR(IF(N(BE256)&lt;&gt;0,(N(BE197)+N(BE198)+N(BE199)+N(BE202)+N(BE220)+N(BE223))/BE256,""),"")</f>
        <v>0.0965601098780799</v>
      </c>
      <c r="BF313" s="262">
        <f>IFERROR(IF(N(BF256)&lt;&gt;0,(N(BF197)+N(BF198)+N(BF199)+N(BF202)+N(BF220)+N(BF223))/BF256,""),"")</f>
        <v>0.0965601098780799</v>
      </c>
    </row>
    <row r="314" customFormat="1" s="77">
      <c r="A314" s="76" t="n"/>
      <c r="B314" s="76" t="n"/>
      <c r="C314" s="77" t="inlineStr">
        <is>
          <t>NET DEBT / (NET DEBT + EQUITY) (BOOK VALUE)</t>
        </is>
      </c>
      <c r="H314" s="258" t="str">
        <f>IFERROR(IF(((N(H197)+N(H198)+N(H199)+N(H202)+N(H220)+N(H223))-N(H129)+N(H256))&lt;&gt;0,((N(H197)+N(H198)+N(H199)+N(H202)+N(H220)+N(H223))-N(H129))/((N(H197)+N(H198)+N(H199)+N(H202)+N(H220)+N(H223))-N(H129)+H256),""),"")</f>
        <v/>
      </c>
      <c r="I314" s="258">
        <f>IFERROR(IF(((N(I197)+N(I198)+N(I199)+N(I202)+N(I220)+N(I223))-N(I129)+N(I256))&lt;&gt;0,((N(I197)+N(I198)+N(I199)+N(I202)+N(I220)+N(I223))-N(I129))/((N(I197)+N(I198)+N(I199)+N(I202)+N(I220)+N(I223))-N(I129)+I256),""),"")</f>
        <v>0.0591495070874409</v>
      </c>
      <c r="J314" s="258">
        <f>IFERROR(IF(((N(J197)+N(J198)+N(J199)+N(J202)+N(J220)+N(J223))-N(J129)+N(J256))&lt;&gt;0,((N(J197)+N(J198)+N(J199)+N(J202)+N(J220)+N(J223))-N(J129))/((N(J197)+N(J198)+N(J199)+N(J202)+N(J220)+N(J223))-N(J129)+J256),""),"")</f>
        <v>-0.0558596665837273</v>
      </c>
      <c r="K314" s="258">
        <f>IFERROR(IF(((N(K197)+N(K198)+N(K199)+N(K202)+N(K220)+N(K223))-N(K129)+N(K256))&lt;&gt;0,((N(K197)+N(K198)+N(K199)+N(K202)+N(K220)+N(K223))-N(K129))/((N(K197)+N(K198)+N(K199)+N(K202)+N(K220)+N(K223))-N(K129)+K256),""),"")</f>
        <v>-0.127338488401098</v>
      </c>
      <c r="L314" s="258">
        <f>IFERROR(IF(((N(L197)+N(L198)+N(L199)+N(L202)+N(L220)+N(L223))-N(L129)+N(L256))&lt;&gt;0,((N(L197)+N(L198)+N(L199)+N(L202)+N(L220)+N(L223))-N(L129))/((N(L197)+N(L198)+N(L199)+N(L202)+N(L220)+N(L223))-N(L129)+L256),""),"")</f>
        <v>-0.214911439350342</v>
      </c>
      <c r="M314" s="258">
        <f>IFERROR(IF(((N(M197)+N(M198)+N(M199)+N(M202)+N(M220)+N(M223))-N(M129)+N(M256))&lt;&gt;0,((N(M197)+N(M198)+N(M199)+N(M202)+N(M220)+N(M223))-N(M129))/((N(M197)+N(M198)+N(M199)+N(M202)+N(M220)+N(M223))-N(M129)+M256),""),"")</f>
        <v>-0.214911439350342</v>
      </c>
      <c r="N314" s="258">
        <f>IFERROR(IF(((N(N197)+N(N198)+N(N199)+N(N202)+N(N220)+N(N223))-N(N129)+N(N256))&lt;&gt;0,((N(N197)+N(N198)+N(N199)+N(N202)+N(N220)+N(N223))-N(N129))/((N(N197)+N(N198)+N(N199)+N(N202)+N(N220)+N(N223))-N(N129)+N256),""),"")</f>
        <v>-0.180196147938083</v>
      </c>
      <c r="O314" s="258">
        <f>IFERROR(IF(((N(O197)+N(O198)+N(O199)+N(O202)+N(O220)+N(O223))-N(O129)+N(O256))&lt;&gt;0,((N(O197)+N(O198)+N(O199)+N(O202)+N(O220)+N(O223))-N(O129))/((N(O197)+N(O198)+N(O199)+N(O202)+N(O220)+N(O223))-N(O129)+O256),""),"")</f>
        <v>-0.157749181623208</v>
      </c>
      <c r="P314" s="258">
        <f>IFERROR(IF(((N(P197)+N(P198)+N(P199)+N(P202)+N(P220)+N(P223))-N(P129)+N(P256))&lt;&gt;0,((N(P197)+N(P198)+N(P199)+N(P202)+N(P220)+N(P223))-N(P129))/((N(P197)+N(P198)+N(P199)+N(P202)+N(P220)+N(P223))-N(P129)+P256),""),"")</f>
        <v>-0.107849975854483</v>
      </c>
      <c r="Q314" s="258">
        <f>IFERROR(IF(((N(Q197)+N(Q198)+N(Q199)+N(Q202)+N(Q220)+N(Q223))-N(Q129)+N(Q256))&lt;&gt;0,((N(Q197)+N(Q198)+N(Q199)+N(Q202)+N(Q220)+N(Q223))-N(Q129))/((N(Q197)+N(Q198)+N(Q199)+N(Q202)+N(Q220)+N(Q223))-N(Q129)+Q256),""),"")</f>
        <v>-0.139370788901268</v>
      </c>
      <c r="R314" s="258">
        <f>IFERROR(IF(((N(R197)+N(R198)+N(R199)+N(R202)+N(R220)+N(R223))-N(R129)+N(R256))&lt;&gt;0,((N(R197)+N(R198)+N(R199)+N(R202)+N(R220)+N(R223))-N(R129))/((N(R197)+N(R198)+N(R199)+N(R202)+N(R220)+N(R223))-N(R129)+R256),""),"")</f>
        <v>-0.139370788901268</v>
      </c>
      <c r="S314" s="258">
        <f>IFERROR(IF(((N(S197)+N(S198)+N(S199)+N(S202)+N(S220)+N(S223))-N(S129)+N(S256))&lt;&gt;0,((N(S197)+N(S198)+N(S199)+N(S202)+N(S220)+N(S223))-N(S129))/((N(S197)+N(S198)+N(S199)+N(S202)+N(S220)+N(S223))-N(S129)+S256),""),"")</f>
        <v>-0.250425053474469</v>
      </c>
      <c r="T314" s="258">
        <f>IFERROR(IF(((N(T197)+N(T198)+N(T199)+N(T202)+N(T220)+N(T223))-N(T129)+N(T256))&lt;&gt;0,((N(T197)+N(T198)+N(T199)+N(T202)+N(T220)+N(T223))-N(T129))/((N(T197)+N(T198)+N(T199)+N(T202)+N(T220)+N(T223))-N(T129)+T256),""),"")</f>
        <v>-0.249297790025969</v>
      </c>
      <c r="U314" s="258">
        <f>IFERROR(IF(((N(U197)+N(U198)+N(U199)+N(U202)+N(U220)+N(U223))-N(U129)+N(U256))&lt;&gt;0,((N(U197)+N(U198)+N(U199)+N(U202)+N(U220)+N(U223))-N(U129))/((N(U197)+N(U198)+N(U199)+N(U202)+N(U220)+N(U223))-N(U129)+U256),""),"")</f>
        <v>-0.33942698310883</v>
      </c>
      <c r="V314" s="258">
        <f>IFERROR(IF(((N(V197)+N(V198)+N(V199)+N(V202)+N(V220)+N(V223))-N(V129)+N(V256))&lt;&gt;0,((N(V197)+N(V198)+N(V199)+N(V202)+N(V220)+N(V223))-N(V129))/((N(V197)+N(V198)+N(V199)+N(V202)+N(V220)+N(V223))-N(V129)+V256),""),"")</f>
        <v>-0.483096993760635</v>
      </c>
      <c r="W314" s="258">
        <f>IFERROR(IF(((N(W197)+N(W198)+N(W199)+N(W202)+N(W220)+N(W223))-N(W129)+N(W256))&lt;&gt;0,((N(W197)+N(W198)+N(W199)+N(W202)+N(W220)+N(W223))-N(W129))/((N(W197)+N(W198)+N(W199)+N(W202)+N(W220)+N(W223))-N(W129)+W256),""),"")</f>
        <v>-0.483096993760635</v>
      </c>
      <c r="X314" s="258">
        <f>IFERROR(IF(((N(X197)+N(X198)+N(X199)+N(X202)+N(X220)+N(X223))-N(X129)+N(X256))&lt;&gt;0,((N(X197)+N(X198)+N(X199)+N(X202)+N(X220)+N(X223))-N(X129))/((N(X197)+N(X198)+N(X199)+N(X202)+N(X220)+N(X223))-N(X129)+X256),""),"")</f>
        <v>-0.0446859903381643</v>
      </c>
      <c r="Y314" s="258">
        <f>IFERROR(IF(((N(Y197)+N(Y198)+N(Y199)+N(Y202)+N(Y220)+N(Y223))-N(Y129)+N(Y256))&lt;&gt;0,((N(Y197)+N(Y198)+N(Y199)+N(Y202)+N(Y220)+N(Y223))-N(Y129))/((N(Y197)+N(Y198)+N(Y199)+N(Y202)+N(Y220)+N(Y223))-N(Y129)+Y256),""),"")</f>
        <v>-0.112524911850376</v>
      </c>
      <c r="Z314" s="258">
        <f>IFERROR(IF(((N(Z197)+N(Z198)+N(Z199)+N(Z202)+N(Z220)+N(Z223))-N(Z129)+N(Z256))&lt;&gt;0,((N(Z197)+N(Z198)+N(Z199)+N(Z202)+N(Z220)+N(Z223))-N(Z129))/((N(Z197)+N(Z198)+N(Z199)+N(Z202)+N(Z220)+N(Z223))-N(Z129)+Z256),""),"")</f>
        <v>-0.138409638554217</v>
      </c>
      <c r="AA314" s="258">
        <f>IFERROR(IF(((N(AA197)+N(AA198)+N(AA199)+N(AA202)+N(AA220)+N(AA223))-N(AA129)+N(AA256))&lt;&gt;0,((N(AA197)+N(AA198)+N(AA199)+N(AA202)+N(AA220)+N(AA223))-N(AA129))/((N(AA197)+N(AA198)+N(AA199)+N(AA202)+N(AA220)+N(AA223))-N(AA129)+AA256),""),"")</f>
        <v>-0.183666553710607</v>
      </c>
      <c r="AB314" s="258">
        <f>IFERROR(IF(((N(AB197)+N(AB198)+N(AB199)+N(AB202)+N(AB220)+N(AB223))-N(AB129)+N(AB256))&lt;&gt;0,((N(AB197)+N(AB198)+N(AB199)+N(AB202)+N(AB220)+N(AB223))-N(AB129))/((N(AB197)+N(AB198)+N(AB199)+N(AB202)+N(AB220)+N(AB223))-N(AB129)+AB256),""),"")</f>
        <v>-0.183666553710607</v>
      </c>
      <c r="AC314" s="258">
        <f>IFERROR(IF(((N(AC197)+N(AC198)+N(AC199)+N(AC202)+N(AC220)+N(AC223))-N(AC129)+N(AC256))&lt;&gt;0,((N(AC197)+N(AC198)+N(AC199)+N(AC202)+N(AC220)+N(AC223))-N(AC129))/((N(AC197)+N(AC198)+N(AC199)+N(AC202)+N(AC220)+N(AC223))-N(AC129)+AC256),""),"")</f>
        <v>-0.250219962850719</v>
      </c>
      <c r="AD314" s="258">
        <f>IFERROR(IF(((N(AD197)+N(AD198)+N(AD199)+N(AD202)+N(AD220)+N(AD223))-N(AD129)+N(AD256))&lt;&gt;0,((N(AD197)+N(AD198)+N(AD199)+N(AD202)+N(AD220)+N(AD223))-N(AD129))/((N(AD197)+N(AD198)+N(AD199)+N(AD202)+N(AD220)+N(AD223))-N(AD129)+AD256),""),"")</f>
        <v>-0.326081642630164</v>
      </c>
      <c r="AE314" s="258">
        <f>IFERROR(IF(((N(AE197)+N(AE198)+N(AE199)+N(AE202)+N(AE220)+N(AE223))-N(AE129)+N(AE256))&lt;&gt;0,((N(AE197)+N(AE198)+N(AE199)+N(AE202)+N(AE220)+N(AE223))-N(AE129))/((N(AE197)+N(AE198)+N(AE199)+N(AE202)+N(AE220)+N(AE223))-N(AE129)+AE256),""),"")</f>
        <v>-0.322450460254841</v>
      </c>
      <c r="AF314" s="258">
        <f>IFERROR(IF(((N(AF197)+N(AF198)+N(AF199)+N(AF202)+N(AF220)+N(AF223))-N(AF129)+N(AF256))&lt;&gt;0,((N(AF197)+N(AF198)+N(AF199)+N(AF202)+N(AF220)+N(AF223))-N(AF129))/((N(AF197)+N(AF198)+N(AF199)+N(AF202)+N(AF220)+N(AF223))-N(AF129)+AF256),""),"")</f>
        <v>-0.427905004240882</v>
      </c>
      <c r="AG314" s="258">
        <f>IFERROR(IF(((N(AG197)+N(AG198)+N(AG199)+N(AG202)+N(AG220)+N(AG223))-N(AG129)+N(AG256))&lt;&gt;0,((N(AG197)+N(AG198)+N(AG199)+N(AG202)+N(AG220)+N(AG223))-N(AG129))/((N(AG197)+N(AG198)+N(AG199)+N(AG202)+N(AG220)+N(AG223))-N(AG129)+AG256),""),"")</f>
        <v>-0.427905004240882</v>
      </c>
      <c r="AH314" s="258">
        <f>IFERROR(IF(((N(AH197)+N(AH198)+N(AH199)+N(AH202)+N(AH220)+N(AH223))-N(AH129)+N(AH256))&lt;&gt;0,((N(AH197)+N(AH198)+N(AH199)+N(AH202)+N(AH220)+N(AH223))-N(AH129))/((N(AH197)+N(AH198)+N(AH199)+N(AH202)+N(AH220)+N(AH223))-N(AH129)+AH256),""),"")</f>
        <v>-0.457704888242777</v>
      </c>
      <c r="AI314" s="258">
        <f>IFERROR(IF(((N(AI197)+N(AI198)+N(AI199)+N(AI202)+N(AI220)+N(AI223))-N(AI129)+N(AI256))&lt;&gt;0,((N(AI197)+N(AI198)+N(AI199)+N(AI202)+N(AI220)+N(AI223))-N(AI129))/((N(AI197)+N(AI198)+N(AI199)+N(AI202)+N(AI220)+N(AI223))-N(AI129)+AI256),""),"")</f>
        <v>-0.547831308605478</v>
      </c>
      <c r="AJ314" s="258">
        <f>IFERROR(IF(((N(AJ197)+N(AJ198)+N(AJ199)+N(AJ202)+N(AJ220)+N(AJ223))-N(AJ129)+N(AJ256))&lt;&gt;0,((N(AJ197)+N(AJ198)+N(AJ199)+N(AJ202)+N(AJ220)+N(AJ223))-N(AJ129))/((N(AJ197)+N(AJ198)+N(AJ199)+N(AJ202)+N(AJ220)+N(AJ223))-N(AJ129)+AJ256),""),"")</f>
        <v>-0.545630530939619</v>
      </c>
      <c r="AK314" s="258">
        <f>IFERROR(IF(((N(AK197)+N(AK198)+N(AK199)+N(AK202)+N(AK220)+N(AK223))-N(AK129)+N(AK256))&lt;&gt;0,((N(AK197)+N(AK198)+N(AK199)+N(AK202)+N(AK220)+N(AK223))-N(AK129))/((N(AK197)+N(AK198)+N(AK199)+N(AK202)+N(AK220)+N(AK223))-N(AK129)+AK256),""),"")</f>
        <v>-0.671219103418479</v>
      </c>
      <c r="AL314" s="258">
        <f>IFERROR(IF(((N(AL197)+N(AL198)+N(AL199)+N(AL202)+N(AL220)+N(AL223))-N(AL129)+N(AL256))&lt;&gt;0,((N(AL197)+N(AL198)+N(AL199)+N(AL202)+N(AL220)+N(AL223))-N(AL129))/((N(AL197)+N(AL198)+N(AL199)+N(AL202)+N(AL220)+N(AL223))-N(AL129)+AL256),""),"")</f>
        <v>-0.671219103418479</v>
      </c>
      <c r="AM314" s="258">
        <f>IFERROR(IF(((N(AM197)+N(AM198)+N(AM199)+N(AM202)+N(AM220)+N(AM223))-N(AM129)+N(AM256))&lt;&gt;0,((N(AM197)+N(AM198)+N(AM199)+N(AM202)+N(AM220)+N(AM223))-N(AM129))/((N(AM197)+N(AM198)+N(AM199)+N(AM202)+N(AM220)+N(AM223))-N(AM129)+AM256),""),"")</f>
        <v>-0.761297629204088</v>
      </c>
      <c r="AN314" s="258">
        <f>IFERROR(IF(((N(AN197)+N(AN198)+N(AN199)+N(AN202)+N(AN220)+N(AN223))-N(AN129)+N(AN256))&lt;&gt;0,((N(AN197)+N(AN198)+N(AN199)+N(AN202)+N(AN220)+N(AN223))-N(AN129))/((N(AN197)+N(AN198)+N(AN199)+N(AN202)+N(AN220)+N(AN223))-N(AN129)+AN256),""),"")</f>
        <v>-0.865011188477896</v>
      </c>
      <c r="AO314" s="258">
        <f>IFERROR(IF(((N(AO197)+N(AO198)+N(AO199)+N(AO202)+N(AO220)+N(AO223))-N(AO129)+N(AO256))&lt;&gt;0,((N(AO197)+N(AO198)+N(AO199)+N(AO202)+N(AO220)+N(AO223))-N(AO129))/((N(AO197)+N(AO198)+N(AO199)+N(AO202)+N(AO220)+N(AO223))-N(AO129)+AO256),""),"")</f>
        <v>-0.934254076652046</v>
      </c>
      <c r="AP314" s="258">
        <f>IFERROR(IF(((N(AP197)+N(AP198)+N(AP199)+N(AP202)+N(AP220)+N(AP223))-N(AP129)+N(AP256))&lt;&gt;0,((N(AP197)+N(AP198)+N(AP199)+N(AP202)+N(AP220)+N(AP223))-N(AP129))/((N(AP197)+N(AP198)+N(AP199)+N(AP202)+N(AP220)+N(AP223))-N(AP129)+AP256),""),"")</f>
        <v>-1.10043045955041</v>
      </c>
      <c r="AQ314" s="258">
        <f>IFERROR(IF(((N(AQ197)+N(AQ198)+N(AQ199)+N(AQ202)+N(AQ220)+N(AQ223))-N(AQ129)+N(AQ256))&lt;&gt;0,((N(AQ197)+N(AQ198)+N(AQ199)+N(AQ202)+N(AQ220)+N(AQ223))-N(AQ129))/((N(AQ197)+N(AQ198)+N(AQ199)+N(AQ202)+N(AQ220)+N(AQ223))-N(AQ129)+AQ256),""),"")</f>
        <v>-1.10043045955041</v>
      </c>
      <c r="AR314" s="258">
        <f>IFERROR(IF(((N(AR197)+N(AR198)+N(AR199)+N(AR202)+N(AR220)+N(AR223))-N(AR129)+N(AR256))&lt;&gt;0,((N(AR197)+N(AR198)+N(AR199)+N(AR202)+N(AR220)+N(AR223))-N(AR129))/((N(AR197)+N(AR198)+N(AR199)+N(AR202)+N(AR220)+N(AR223))-N(AR129)+AR256),""),"")</f>
        <v>-1.21927969003932</v>
      </c>
      <c r="AS314" s="258">
        <f>IFERROR(IF(((N(AS197)+N(AS198)+N(AS199)+N(AS202)+N(AS220)+N(AS223))-N(AS129)+N(AS256))&lt;&gt;0,((N(AS197)+N(AS198)+N(AS199)+N(AS202)+N(AS220)+N(AS223))-N(AS129))/((N(AS197)+N(AS198)+N(AS199)+N(AS202)+N(AS220)+N(AS223))-N(AS129)+AS256),""),"")</f>
        <v>-1.35515933724118</v>
      </c>
      <c r="AT314" s="258">
        <f>IFERROR(IF(((N(AT197)+N(AT198)+N(AT199)+N(AT202)+N(AT220)+N(AT223))-N(AT129)+N(AT256))&lt;&gt;0,((N(AT197)+N(AT198)+N(AT199)+N(AT202)+N(AT220)+N(AT223))-N(AT129))/((N(AT197)+N(AT198)+N(AT199)+N(AT202)+N(AT220)+N(AT223))-N(AT129)+AT256),""),"")</f>
        <v>-1.43957662488937</v>
      </c>
      <c r="AU314" s="258">
        <f>IFERROR(IF(((N(AU197)+N(AU198)+N(AU199)+N(AU202)+N(AU220)+N(AU223))-N(AU129)+N(AU256))&lt;&gt;0,((N(AU197)+N(AU198)+N(AU199)+N(AU202)+N(AU220)+N(AU223))-N(AU129))/((N(AU197)+N(AU198)+N(AU199)+N(AU202)+N(AU220)+N(AU223))-N(AU129)+AU256),""),"")</f>
        <v>-1.67408532536718</v>
      </c>
      <c r="AV314" s="258">
        <f>IFERROR(IF(((N(AV197)+N(AV198)+N(AV199)+N(AV202)+N(AV220)+N(AV223))-N(AV129)+N(AV256))&lt;&gt;0,((N(AV197)+N(AV198)+N(AV199)+N(AV202)+N(AV220)+N(AV223))-N(AV129))/((N(AV197)+N(AV198)+N(AV199)+N(AV202)+N(AV220)+N(AV223))-N(AV129)+AV256),""),"")</f>
        <v>-1.67408532536718</v>
      </c>
      <c r="AW314" s="258">
        <f>IFERROR(IF(((N(AW197)+N(AW198)+N(AW199)+N(AW202)+N(AW220)+N(AW223))-N(AW129)+N(AW256))&lt;&gt;0,((N(AW197)+N(AW198)+N(AW199)+N(AW202)+N(AW220)+N(AW223))-N(AW129))/((N(AW197)+N(AW198)+N(AW199)+N(AW202)+N(AW220)+N(AW223))-N(AW129)+AW256),""),"")</f>
        <v>-1.84310717739385</v>
      </c>
      <c r="AX314" s="258">
        <f>IFERROR(IF(((N(AX197)+N(AX198)+N(AX199)+N(AX202)+N(AX220)+N(AX223))-N(AX129)+N(AX256))&lt;&gt;0,((N(AX197)+N(AX198)+N(AX199)+N(AX202)+N(AX220)+N(AX223))-N(AX129))/((N(AX197)+N(AX198)+N(AX199)+N(AX202)+N(AX220)+N(AX223))-N(AX129)+AX256),""),"")</f>
        <v>-2.048775573436</v>
      </c>
      <c r="AY314" s="258">
        <f>IFERROR(IF(((N(AY197)+N(AY198)+N(AY199)+N(AY202)+N(AY220)+N(AY223))-N(AY129)+N(AY256))&lt;&gt;0,((N(AY197)+N(AY198)+N(AY199)+N(AY202)+N(AY220)+N(AY223))-N(AY129))/((N(AY197)+N(AY198)+N(AY199)+N(AY202)+N(AY220)+N(AY223))-N(AY129)+AY256),""),"")</f>
        <v>-2.1685273386994</v>
      </c>
      <c r="AZ314" s="258">
        <f>IFERROR(IF(((N(AZ197)+N(AZ198)+N(AZ199)+N(AZ202)+N(AZ220)+N(AZ223))-N(AZ129)+N(AZ256))&lt;&gt;0,((N(AZ197)+N(AZ198)+N(AZ199)+N(AZ202)+N(AZ220)+N(AZ223))-N(AZ129))/((N(AZ197)+N(AZ198)+N(AZ199)+N(AZ202)+N(AZ220)+N(AZ223))-N(AZ129)+AZ256),""),"")</f>
        <v>-2.53894188561358</v>
      </c>
      <c r="BA314" s="258">
        <f>IFERROR(IF(((N(BA197)+N(BA198)+N(BA199)+N(BA202)+N(BA220)+N(BA223))-N(BA129)+N(BA256))&lt;&gt;0,((N(BA197)+N(BA198)+N(BA199)+N(BA202)+N(BA220)+N(BA223))-N(BA129))/((N(BA197)+N(BA198)+N(BA199)+N(BA202)+N(BA220)+N(BA223))-N(BA129)+BA256),""),"")</f>
        <v>-2.53894188561358</v>
      </c>
      <c r="BB314" s="258">
        <f>IFERROR(IF(((N(BB197)+N(BB198)+N(BB199)+N(BB202)+N(BB220)+N(BB223))-N(BB129)+N(BB256))&lt;&gt;0,((N(BB197)+N(BB198)+N(BB199)+N(BB202)+N(BB220)+N(BB223))-N(BB129))/((N(BB197)+N(BB198)+N(BB199)+N(BB202)+N(BB220)+N(BB223))-N(BB129)+BB256),""),"")</f>
        <v>-2.82013403847247</v>
      </c>
      <c r="BC314" s="258">
        <f>IFERROR(IF(((N(BC197)+N(BC198)+N(BC199)+N(BC202)+N(BC220)+N(BC223))-N(BC129)+N(BC256))&lt;&gt;0,((N(BC197)+N(BC198)+N(BC199)+N(BC202)+N(BC220)+N(BC223))-N(BC129))/((N(BC197)+N(BC198)+N(BC199)+N(BC202)+N(BC220)+N(BC223))-N(BC129)+BC256),""),"")</f>
        <v>-3.17541930043987</v>
      </c>
      <c r="BD314" s="258">
        <f>IFERROR(IF(((N(BD197)+N(BD198)+N(BD199)+N(BD202)+N(BD220)+N(BD223))-N(BD129)+N(BD256))&lt;&gt;0,((N(BD197)+N(BD198)+N(BD199)+N(BD202)+N(BD220)+N(BD223))-N(BD129))/((N(BD197)+N(BD198)+N(BD199)+N(BD202)+N(BD220)+N(BD223))-N(BD129)+BD256),""),"")</f>
        <v>-3.38076319507101</v>
      </c>
      <c r="BE314" s="258">
        <f>IFERROR(IF(((N(BE197)+N(BE198)+N(BE199)+N(BE202)+N(BE220)+N(BE223))-N(BE129)+N(BE256))&lt;&gt;0,((N(BE197)+N(BE198)+N(BE199)+N(BE202)+N(BE220)+N(BE223))-N(BE129))/((N(BE197)+N(BE198)+N(BE199)+N(BE202)+N(BE220)+N(BE223))-N(BE129)+BE256),""),"")</f>
        <v>-4.07514028854021</v>
      </c>
      <c r="BF314" s="258">
        <f>IFERROR(IF(((N(BF197)+N(BF198)+N(BF199)+N(BF202)+N(BF220)+N(BF223))-N(BF129)+N(BF256))&lt;&gt;0,((N(BF197)+N(BF198)+N(BF199)+N(BF202)+N(BF220)+N(BF223))-N(BF129))/((N(BF197)+N(BF198)+N(BF199)+N(BF202)+N(BF220)+N(BF223))-N(BF129)+BF256),""),"")</f>
        <v>-4.07514028854021</v>
      </c>
    </row>
    <row r="315" customFormat="1" s="77">
      <c r="A315" s="76" t="n"/>
      <c r="B315" s="76" t="n"/>
    </row>
    <row r="316" customFormat="1" s="77">
      <c r="A316" s="76" t="n"/>
      <c r="B316" s="76" t="n"/>
      <c r="C316" s="74" t="inlineStr">
        <is>
          <t>FINANCIAL RISK RATIOS</t>
        </is>
      </c>
    </row>
    <row r="317" customFormat="1" s="77">
      <c r="A317" s="76" t="n"/>
      <c r="B317" s="76" t="n"/>
      <c r="C317" s="77" t="inlineStr">
        <is>
          <t>EBITDA / TOTAL INTEREST (LTM)</t>
        </is>
      </c>
      <c r="D317" s="82" t="str">
        <f>IFERROR(D54/-D59,"")</f>
        <v/>
      </c>
      <c r="E317" s="82" t="str">
        <f>IFERROR(E54/-E59,"")</f>
        <v/>
      </c>
      <c r="F317" s="82" t="str">
        <f>IFERROR(F54/-F59,"")</f>
        <v/>
      </c>
      <c r="G317" s="82" t="str">
        <f>IFERROR(G54/-G59,"")</f>
        <v/>
      </c>
      <c r="H317" s="262" t="str">
        <f>IFERROR(IF(AND(COUNT(H54)=1,(H59)&lt;&gt;0),(H54)/-(H59),""),"")</f>
        <v/>
      </c>
      <c r="I317" s="262" t="str">
        <f>""</f>
        <v/>
      </c>
      <c r="J317" s="262" t="str">
        <f>""</f>
        <v/>
      </c>
      <c r="K317" s="262" t="str">
        <f>""</f>
        <v/>
      </c>
      <c r="L317" s="262">
        <f>IFERROR(IF(AND(COUNT(I54,J54,K54,L54)=4,(I59+J59+K59+L59)&lt;&gt;0),(I54+J54+K54+L54)/-(I59+J59+K59+L59),""),"")</f>
        <v>51.3450292397661</v>
      </c>
      <c r="M317" s="262">
        <f>IFERROR(IF(AND(COUNT(I54,J54,K54,L54)=4,(I59+J59+K59+L59)&lt;&gt;0),(I54+J54+K54+L54)/-(I59+J59+K59+L59),""),"")</f>
        <v>51.3450292397661</v>
      </c>
      <c r="N317" s="262">
        <f>IFERROR(IF(AND(COUNT(J54,K54,L54,N54)=4,(J59+K59+L59+N59)&lt;&gt;0),(J54+K54+L54+N54)/-(J59+K59+L59+N59),""),"")</f>
        <v>55.5209580838323</v>
      </c>
      <c r="O317" s="262">
        <f>IFERROR(IF(AND(COUNT(K54,L54,N54,O54)=4,(K59+L59+N59+O59)&lt;&gt;0),(K54+L54+N54+O54)/-(K59+L59+N59+O59),""),"")</f>
        <v>58.2469135802469</v>
      </c>
      <c r="P317" s="262">
        <f>IFERROR(IF(AND(COUNT(L54,N54,O54,P54)=4,(L59+N59+O59+P59)&lt;&gt;0),(L54+N54+O54+P54)/-(L59+N59+O59+P59),""),"")</f>
        <v>61.3481012658228</v>
      </c>
      <c r="Q317" s="262">
        <f>IFERROR(IF(AND(COUNT(N54,O54,P54,Q54)=4,(N59+O59+P59+Q59)&lt;&gt;0),(N54+O54+P54+Q54)/-(N59+O59+P59+Q59),""),"")</f>
        <v>63.8300653594771</v>
      </c>
      <c r="R317" s="262">
        <f>IFERROR(IF(AND(COUNT(N54,O54,P54,Q54)=4,(N59+O59+P59+Q59)&lt;&gt;0),(N54+O54+P54+Q54)/-(N59+O59+P59+Q59),""),"")</f>
        <v>63.8300653594771</v>
      </c>
      <c r="S317" s="262">
        <f>IFERROR(IF(AND(COUNT(O54,P54,Q54,S54)=4,(O59+P59+Q59+S59)&lt;&gt;0),(O54+P54+Q54+S54)/-(O59+P59+Q59+S59),""),"")</f>
        <v>65.5033112582782</v>
      </c>
      <c r="T317" s="262">
        <f>IFERROR(IF(AND(COUNT(P54,Q54,S54,T54)=4,(P59+Q59+S59+T59)&lt;&gt;0),(P54+Q54+S54+T54)/-(P59+Q59+S59+T59),""),"")</f>
        <v>64.5592105263158</v>
      </c>
      <c r="U317" s="262">
        <f>IFERROR(IF(AND(COUNT(Q54,S54,T54,U54)=4,(Q59+S59+T59+U59)&lt;&gt;0),(Q54+S54+T54+U54)/-(Q59+S59+T59+U59),""),"")</f>
        <v>63.69375</v>
      </c>
      <c r="V317" s="262">
        <f>IFERROR(IF(AND(COUNT(S54,T54,U54,V54)=4,(S59+T59+U59+V59)&lt;&gt;0),(S54+T54+U54+V54)/-(S59+T59+U59+V59),""),"")</f>
        <v>63.890243902439</v>
      </c>
      <c r="W317" s="262">
        <f>IFERROR(IF(AND(COUNT(S54,T54,U54,V54)=4,(S59+T59+U59+V59)&lt;&gt;0),(S54+T54+U54+V54)/-(S59+T59+U59+V59),""),"")</f>
        <v>63.890243902439</v>
      </c>
      <c r="X317" s="262">
        <f>IFERROR(IF(AND(COUNT(T54,U54,V54,X54)=4,(T59+U59+V59+X59)&lt;&gt;0),(T54+U54+V54+X54)/-(T59+U59+V59+X59),""),"")</f>
        <v>62.4619883040936</v>
      </c>
      <c r="Y317" s="262">
        <f>IFERROR(IF(AND(COUNT(U54,V54,X54,Y54)=4,(U59+V59+X59+Y59)&lt;&gt;0),(U54+V54+X54+Y54)/-(U59+V59+X59+Y59),""),"")</f>
        <v>63.8806818181818</v>
      </c>
      <c r="Z317" s="262">
        <f>IFERROR(IF(AND(COUNT(V54,X54,Y54,Z54)=4,(V59+X59+Y59+Z59)&lt;&gt;0),(V54+X54+Y54+Z54)/-(V59+X59+Y59+Z59),""),"")</f>
        <v>68.1775147928994</v>
      </c>
      <c r="AA317" s="262">
        <f>IFERROR(IF(AND(COUNT(X54,Y54,Z54,AA54)=4,(X59+Y59+Z59+AA59)&lt;&gt;0),(X54+Y54+Z54+AA54)/-(X59+Y59+Z59+AA59),""),"")</f>
        <v>70.125</v>
      </c>
      <c r="AB317" s="262">
        <f>IFERROR(IF(AND(COUNT(X54,Y54,Z54,AA54)=4,(X59+Y59+Z59+AA59)&lt;&gt;0),(X54+Y54+Z54+AA54)/-(X59+Y59+Z59+AA59),""),"")</f>
        <v>70.125</v>
      </c>
      <c r="AC317" s="262">
        <f>IFERROR(IF(AND(COUNT(Y54,Z54,AA54,AC54)=4,(Y59+Z59+AA59+AC59)&lt;&gt;0),(Y54+Z54+AA54+AC54)/-(Y59+Z59+AA59+AC59),""),"")</f>
        <v>74.0674846625767</v>
      </c>
      <c r="AD317" s="262">
        <f>IFERROR(IF(AND(COUNT(Z54,AA54,AC54,AD54)=4,(Z59+AA59+AC59+AD59)&lt;&gt;0),(Z54+AA54+AC54+AD54)/-(Z59+AA59+AC59+AD59),""),"")</f>
        <v>79.2484076433121</v>
      </c>
      <c r="AE317" s="262">
        <f>IFERROR(IF(AND(COUNT(AA54,AC54,AD54,AE54)=4,(AA59+AC59+AD59+AE59)&lt;&gt;0),(AA54+AC54+AD54+AE54)/-(AA59+AC59+AD59+AE59),""),"")</f>
        <v>83.1753246753247</v>
      </c>
      <c r="AF317" s="262">
        <f>IFERROR(IF(AND(COUNT(AB54,AD54,AE54,AF54)=4,(AB59+AD59+AE59+AF59)&lt;&gt;0),(AB54+AD54+AE54+AF54)/-(AB59+AD59+AE59+AF59),""),"")</f>
        <v>77.5985915492958</v>
      </c>
      <c r="AG317" s="262">
        <f>IFERROR(IF(AND(COUNT(AC54,AD54,AE54,AF54)=4,(AC59+AD59+AE59+AF59)&lt;&gt;0),(AC54+AD54+AE54+AF54)/-(AC59+AD59+AE59+AF59),""),"")</f>
        <v>86.3486842105263</v>
      </c>
      <c r="AH317" s="262">
        <f>IFERROR(IF(AND(COUNT(AD54,AF54,AG54,AH54)=4,(AD59+AF59+AG59+AH59)&lt;&gt;0),(AD54+AF54+AG54+AH54)/-(AD59+AF59+AG59+AH59),""),"")</f>
        <v>88.1176470588235</v>
      </c>
      <c r="AI317" s="262">
        <f>IFERROR(IF(AND(COUNT(AE54,AG54,AH54,AI54)=4,(AE59+AG59+AH59+AI59)&lt;&gt;0),(AE54+AG54+AH54+AI54)/-(AE59+AG59+AH59+AI59),""),"")</f>
        <v>90.7034220532319</v>
      </c>
      <c r="AJ317" s="262" t="str">
        <f>IFERROR(IF(AND(COUNT(AF54,AH54,AI54,AJ54)=4,(AF59+AH59+AI59+AJ59)&lt;&gt;0),(AF54+AH54+AI54+AJ54)/-(AF59+AH59+AI59+AJ59),""),"")</f>
        <v/>
      </c>
      <c r="AK317" s="262" t="str">
        <f>IFERROR(IF(AND(COUNT(AH54,AI54,AJ54,AK54)=4,(AH59+AI59+AJ59+AK59)&lt;&gt;0),(AH54+AI54+AJ54+AK54)/-(AH59+AI59+AJ59+AK59),""),"")</f>
        <v/>
      </c>
      <c r="AL317" s="262" t="str">
        <f>IFERROR(IF(AND(COUNT(AH54,AI54,AJ54,AK54)=4,(AH59+AI59+AJ59+AK59)&lt;&gt;0),(AH54+AI54+AJ54+AK54)/-(AH59+AI59+AJ59+AK59),""),"")</f>
        <v/>
      </c>
      <c r="AM317" s="262" t="str">
        <f>IFERROR(IF(AND(COUNT(AI54,AJ54,AK54,AM54)=4,(AI59+AJ59+AK59+AM59)&lt;&gt;0),(AI54+AJ54+AK54+AM54)/-(AI59+AJ59+AK59+AM59),""),"")</f>
        <v/>
      </c>
      <c r="AN317" s="262" t="str">
        <f>IFERROR(IF(AND(COUNT(AJ54,AK54,AM54,AN54)=4,(AJ59+AK59+AM59+AN59)&lt;&gt;0),(AJ54+AK54+AM54+AN54)/-(AJ59+AK59+AM59+AN59),""),"")</f>
        <v/>
      </c>
      <c r="AO317" s="262" t="str">
        <f>IFERROR(IF(AND(COUNT(AK54,AM54,AN54,AO54)=4,(AK59+AM59+AN59+AO59)&lt;&gt;0),(AK54+AM54+AN54+AO54)/-(AK59+AM59+AN59+AO59),""),"")</f>
        <v/>
      </c>
      <c r="AP317" s="262" t="str">
        <f>IFERROR(IF(AND(COUNT(AM54,AN54,AO54,AP54)=4,(AM59+AN59+AO59+AP59)&lt;&gt;0),(AM54+AN54+AO54+AP54)/-(AM59+AN59+AO59+AP59),""),"")</f>
        <v/>
      </c>
      <c r="AQ317" s="262" t="str">
        <f>IFERROR(IF(AND(COUNT(AM54,AN54,AO54,AP54)=4,(AM59+AN59+AO59+AP59)&lt;&gt;0),(AM54+AN54+AO54+AP54)/-(AM59+AN59+AO59+AP59),""),"")</f>
        <v/>
      </c>
      <c r="AR317" s="262" t="str">
        <f>IFERROR(IF(AND(COUNT(AN54,AO54,AP54,AR54)=4,(AN59+AO59+AP59+AR59)&lt;&gt;0),(AN54+AO54+AP54+AR54)/-(AN59+AO59+AP59+AR59),""),"")</f>
        <v/>
      </c>
      <c r="AS317" s="262" t="str">
        <f>IFERROR(IF(AND(COUNT(AO54,AP54,AR54,AS54)=4,(AO59+AP59+AR59+AS59)&lt;&gt;0),(AO54+AP54+AR54+AS54)/-(AO59+AP59+AR59+AS59),""),"")</f>
        <v/>
      </c>
      <c r="AT317" s="262" t="str">
        <f>IFERROR(IF(AND(COUNT(AP54,AR54,AS54,AT54)=4,(AP59+AR59+AS59+AT59)&lt;&gt;0),(AP54+AR54+AS54+AT54)/-(AP59+AR59+AS59+AT59),""),"")</f>
        <v/>
      </c>
      <c r="AU317" s="262" t="str">
        <f>IFERROR(IF(AND(COUNT(AR54,AS54,AT54,AU54)=4,(AR59+AS59+AT59+AU59)&lt;&gt;0),(AR54+AS54+AT54+AU54)/-(AR59+AS59+AT59+AU59),""),"")</f>
        <v/>
      </c>
      <c r="AV317" s="262" t="str">
        <f>IFERROR(IF(AND(COUNT(AR54,AS54,AT54,AU54)=4,(AR59+AS59+AT59+AU59)&lt;&gt;0),(AR54+AS54+AT54+AU54)/-(AR59+AS59+AT59+AU59),""),"")</f>
        <v/>
      </c>
      <c r="AW317" s="262" t="str">
        <f>IFERROR(IF(AND(COUNT(AS54,AT54,AU54,AW54)=4,(AS59+AT59+AU59+AW59)&lt;&gt;0),(AS54+AT54+AU54+AW54)/-(AS59+AT59+AU59+AW59),""),"")</f>
        <v/>
      </c>
      <c r="AX317" s="262" t="str">
        <f>IFERROR(IF(AND(COUNT(AT54,AU54,AW54,AX54)=4,(AT59+AU59+AW59+AX59)&lt;&gt;0),(AT54+AU54+AW54+AX54)/-(AT59+AU59+AW59+AX59),""),"")</f>
        <v/>
      </c>
      <c r="AY317" s="262" t="str">
        <f>IFERROR(IF(AND(COUNT(AU54,AW54,AX54,AY54)=4,(AU59+AW59+AX59+AY59)&lt;&gt;0),(AU54+AW54+AX54+AY54)/-(AU59+AW59+AX59+AY59),""),"")</f>
        <v/>
      </c>
      <c r="AZ317" s="262" t="str">
        <f>IFERROR(IF(AND(COUNT(AW54,AX54,AY54,AZ54)=4,(AW59+AX59+AY59+AZ59)&lt;&gt;0),(AW54+AX54+AY54+AZ54)/-(AW59+AX59+AY59+AZ59),""),"")</f>
        <v/>
      </c>
      <c r="BA317" s="262" t="str">
        <f>IFERROR(IF(AND(COUNT(AW54,AX54,AY54,AZ54)=4,(AW59+AX59+AY59+AZ59)&lt;&gt;0),(AW54+AX54+AY54+AZ54)/-(AW59+AX59+AY59+AZ59),""),"")</f>
        <v/>
      </c>
      <c r="BB317" s="262" t="str">
        <f>IFERROR(IF(AND(COUNT(AX54,AY54,AZ54,BB54)=4,(AX59+AY59+AZ59+BB59)&lt;&gt;0),(AX54+AY54+AZ54+BB54)/-(AX59+AY59+AZ59+BB59),""),"")</f>
        <v/>
      </c>
      <c r="BC317" s="262" t="str">
        <f>IFERROR(IF(AND(COUNT(AY54,AZ54,BB54,BC54)=4,(AY59+AZ59+BB59+BC59)&lt;&gt;0),(AY54+AZ54+BB54+BC54)/-(AY59+AZ59+BB59+BC59),""),"")</f>
        <v/>
      </c>
      <c r="BD317" s="262" t="str">
        <f>IFERROR(IF(AND(COUNT(AZ54,BB54,BC54,BD54)=4,(AZ59+BB59+BC59+BD59)&lt;&gt;0),(AZ54+BB54+BC54+BD54)/-(AZ59+BB59+BC59+BD59),""),"")</f>
        <v/>
      </c>
      <c r="BE317" s="262" t="str">
        <f>IFERROR(IF(AND(COUNT(BB54,BC54,BD54,BE54)=4,(BB59+BC59+BD59+BE59)&lt;&gt;0),(BB54+BC54+BD54+BE54)/-(BB59+BC59+BD59+BE59),""),"")</f>
        <v/>
      </c>
      <c r="BF317" s="262" t="str">
        <f>IFERROR(IF(AND(COUNT(BB54,BC54,BD54,BE54)=4,(BB59+BC59+BD59+BE59)&lt;&gt;0),(BB54+BC54+BD54+BE54)/-(BB59+BC59+BD59+BE59),""),"")</f>
        <v/>
      </c>
      <c r="BG317" s="82" t="n"/>
      <c r="BH317" s="82" t="n"/>
      <c r="BI317" s="82" t="n"/>
      <c r="BJ317" s="82" t="n"/>
      <c r="BL317" s="82" t="n"/>
      <c r="BM317" s="82" t="n"/>
      <c r="BN317" s="82" t="n"/>
      <c r="BO317" s="82" t="n"/>
      <c r="BQ317" s="82" t="n"/>
      <c r="BR317" s="82" t="n"/>
      <c r="BS317" s="82" t="n"/>
      <c r="BT317" s="82" t="n"/>
      <c r="BV317" s="82" t="n"/>
      <c r="BW317" s="82" t="n"/>
      <c r="BX317" s="82" t="n"/>
      <c r="BY317" s="82" t="n"/>
      <c r="CA317" s="82" t="n"/>
      <c r="CB317" s="82" t="n"/>
      <c r="CC317" s="82" t="n"/>
      <c r="CD317" s="82" t="n"/>
      <c r="CF317" s="82" t="n"/>
      <c r="CG317" s="82" t="n"/>
      <c r="CH317" s="82" t="n"/>
      <c r="CI317" s="82" t="n"/>
      <c r="CK317" s="82" t="n"/>
      <c r="CL317" s="82" t="n"/>
      <c r="CM317" s="82" t="n"/>
      <c r="CN317" s="82" t="n"/>
      <c r="CP317" s="82" t="n"/>
      <c r="CQ317" s="82" t="n"/>
      <c r="CR317" s="82" t="n"/>
      <c r="CS317" s="82" t="n"/>
      <c r="CU317" s="82" t="n"/>
      <c r="CV317" s="82" t="n"/>
      <c r="CW317" s="82" t="n"/>
      <c r="CX317" s="82" t="n"/>
    </row>
    <row r="318" customFormat="1" s="77">
      <c r="A318" s="76" t="n"/>
      <c r="B318" s="76" t="n"/>
      <c r="C318" s="77" t="inlineStr">
        <is>
          <t>(EBITDA - CAPEX) / TOTAL INTEREST (LTM)</t>
        </is>
      </c>
      <c r="D318" s="82" t="str">
        <f>IFERROR((D54-D153)/-D59,"")</f>
        <v/>
      </c>
      <c r="E318" s="82" t="str">
        <f>IFERROR((E54-E153)/-E59,"")</f>
        <v/>
      </c>
      <c r="F318" s="82" t="str">
        <f>IFERROR((F54-F153)/-F59,"")</f>
        <v/>
      </c>
      <c r="G318" s="82" t="str">
        <f>IFERROR((G54-G153)/-G59,"")</f>
        <v/>
      </c>
      <c r="H318" s="262" t="str">
        <f>IFERROR(IF(AND(COUNT(H54)=1,(H59)&lt;&gt;0),((H54)-(H153))/-(H59),""),"")</f>
        <v/>
      </c>
      <c r="I318" s="262" t="str">
        <f>""</f>
        <v/>
      </c>
      <c r="J318" s="262" t="str">
        <f>""</f>
        <v/>
      </c>
      <c r="K318" s="262" t="str">
        <f>""</f>
        <v/>
      </c>
      <c r="L318" s="262">
        <f>IFERROR(IF(AND(COUNT(I54,J54,K54,L54)=4,(I59+J59+K59+L59)&lt;&gt;0),((I54+J54+K54+L54)-(I153+J153+K153+L153))/-(I59+J59+K59+L59),""),"")</f>
        <v>35.2690058479532</v>
      </c>
      <c r="M318" s="262">
        <f>IFERROR(IF(AND(COUNT(I54,J54,K54,L54)=4,(I59+J59+K59+L59)&lt;&gt;0),((I54+J54+K54+L54)-(I153+J153+K153+L153))/-(I59+J59+K59+L59),""),"")</f>
        <v>35.2690058479532</v>
      </c>
      <c r="N318" s="262">
        <f>IFERROR(IF(AND(COUNT(J54,K54,L54,N54)=4,(J59+K59+L59+N59)&lt;&gt;0),((J54+K54+L54+N54)-(J153+K153+L153+N153))/-(J59+K59+L59+N59),""),"")</f>
        <v>35.4610778443114</v>
      </c>
      <c r="O318" s="262">
        <f>IFERROR(IF(AND(COUNT(K54,L54,N54,O54)=4,(K59+L59+N59+O59)&lt;&gt;0),((K54+L54+N54+O54)-(K153+L153+N153+O153))/-(K59+L59+N59+O59),""),"")</f>
        <v>40.7716049382716</v>
      </c>
      <c r="P318" s="262">
        <f>IFERROR(IF(AND(COUNT(L54,N54,O54,P54)=4,(L59+N59+O59+P59)&lt;&gt;0),((L54+N54+O54+P54)-(L153+N153+O153+P153))/-(L59+N59+O59+P59),""),"")</f>
        <v>42.0189873417722</v>
      </c>
      <c r="Q318" s="262">
        <f>IFERROR(IF(AND(COUNT(N54,O54,P54,Q54)=4,(N59+O59+P59+Q59)&lt;&gt;0),((N54+O54+P54+Q54)-(N153+O153+P153+Q153))/-(N59+O59+P59+Q59),""),"")</f>
        <v>43.0980392156863</v>
      </c>
      <c r="R318" s="262">
        <f>IFERROR(IF(AND(COUNT(N54,O54,P54,Q54)=4,(N59+O59+P59+Q59)&lt;&gt;0),((N54+O54+P54+Q54)-(N153+O153+P153+Q153))/-(N59+O59+P59+Q59),""),"")</f>
        <v>43.0980392156863</v>
      </c>
      <c r="S318" s="262">
        <f>IFERROR(IF(AND(COUNT(O54,P54,Q54,S54)=4,(O59+P59+Q59+S59)&lt;&gt;0),((O54+P54+Q54+S54)-(O153+P153+Q153+S153))/-(O59+P59+Q59+S59),""),"")</f>
        <v>41.523178807947</v>
      </c>
      <c r="T318" s="262">
        <f>IFERROR(IF(AND(COUNT(P54,Q54,S54,T54)=4,(P59+Q59+S59+T59)&lt;&gt;0),((P54+Q54+S54+T54)-(P153+Q153+S153+T153))/-(P59+Q59+S59+T59),""),"")</f>
        <v>39.75</v>
      </c>
      <c r="U318" s="262">
        <f>IFERROR(IF(AND(COUNT(Q54,S54,T54,U54)=4,(Q59+S59+T59+U59)&lt;&gt;0),((Q54+S54+T54+U54)-(Q153+S153+T153+U153))/-(Q59+S59+T59+U59),""),"")</f>
        <v>37.975</v>
      </c>
      <c r="V318" s="262">
        <f>IFERROR(IF(AND(COUNT(S54,T54,U54,V54)=4,(S59+T59+U59+V59)&lt;&gt;0),((S54+T54+U54+V54)-(S153+T153+U153+V153))/-(S59+T59+U59+V59),""),"")</f>
        <v>38.5548780487805</v>
      </c>
      <c r="W318" s="262">
        <f>IFERROR(IF(AND(COUNT(S54,T54,U54,V54)=4,(S59+T59+U59+V59)&lt;&gt;0),((S54+T54+U54+V54)-(S153+T153+U153+V153))/-(S59+T59+U59+V59),""),"")</f>
        <v>38.5548780487805</v>
      </c>
      <c r="X318" s="262">
        <f>IFERROR(IF(AND(COUNT(T54,U54,V54,X54)=4,(T59+U59+V59+X59)&lt;&gt;0),((T54+U54+V54+X54)-(T153+U153+V153+X153))/-(T59+U59+V59+X59),""),"")</f>
        <v>38.766081871345</v>
      </c>
      <c r="Y318" s="262">
        <f>IFERROR(IF(AND(COUNT(U54,V54,X54,Y54)=4,(U59+V59+X59+Y59)&lt;&gt;0),((U54+V54+X54+Y54)-(U153+V153+X153+Y153))/-(U59+V59+X59+Y59),""),"")</f>
        <v>39.1647727272727</v>
      </c>
      <c r="Z318" s="262">
        <f>IFERROR(IF(AND(COUNT(V54,X54,Y54,Z54)=4,(V59+X59+Y59+Z59)&lt;&gt;0),((V54+X54+Y54+Z54)-(V153+X153+Y153+Z153))/-(V59+X59+Y59+Z59),""),"")</f>
        <v>41.0473372781065</v>
      </c>
      <c r="AA318" s="262">
        <f>IFERROR(IF(AND(COUNT(X54,Y54,Z54,AA54)=4,(X59+Y59+Z59+AA59)&lt;&gt;0),((X54+Y54+Z54+AA54)-(X153+Y153+Z153+AA153))/-(X59+Y59+Z59+AA59),""),"")</f>
        <v>43.625</v>
      </c>
      <c r="AB318" s="262">
        <f>IFERROR(IF(AND(COUNT(X54,Y54,Z54,AA54)=4,(X59+Y59+Z59+AA59)&lt;&gt;0),((X54+Y54+Z54+AA54)-(X153+Y153+Z153+AA153))/-(X59+Y59+Z59+AA59),""),"")</f>
        <v>43.625</v>
      </c>
      <c r="AC318" s="262">
        <f>IFERROR(IF(AND(COUNT(Y54,Z54,AA54,AC54)=4,(Y59+Z59+AA59+AC59)&lt;&gt;0),((Y54+Z54+AA54+AC54)-(Y153+Z153+AA153+AC153))/-(Y59+Z59+AA59+AC59),""),"")</f>
        <v>46.2760736196319</v>
      </c>
      <c r="AD318" s="262">
        <f>IFERROR(IF(AND(COUNT(Z54,AA54,AC54,AD54)=4,(Z59+AA59+AC59+AD59)&lt;&gt;0),((Z54+AA54+AC54+AD54)-(Z153+AA153+AC153+AD153))/-(Z59+AA59+AC59+AD59),""),"")</f>
        <v>48.1783439490446</v>
      </c>
      <c r="AE318" s="262">
        <f>IFERROR(IF(AND(COUNT(AA54,AC54,AD54,AE54)=4,(AA59+AC59+AD59+AE59)&lt;&gt;0),((AA54+AC54+AD54+AE54)-(AA153+AC153+AD153+AE153))/-(AA59+AC59+AD59+AE59),""),"")</f>
        <v>48.7402597402597</v>
      </c>
      <c r="AF318" s="262">
        <f>IFERROR(IF(AND(COUNT(AB54,AD54,AE54,AF54)=4,(AB59+AD59+AE59+AF59)&lt;&gt;0),((AB54+AD54+AE54+AF54)-(AB153+AD153+AE153+AF153))/-(AB59+AD59+AE59+AF59),""),"")</f>
        <v>60.943661971831</v>
      </c>
      <c r="AG318" s="262">
        <f>IFERROR(IF(AND(COUNT(AC54,AD54,AE54,AF54)=4,(AC59+AD59+AE59+AF59)&lt;&gt;0),((AC54+AD54+AE54+AF54)-(AC153+AD153+AE153+AF153))/-(AC59+AD59+AE59+AF59),""),"")</f>
        <v>48.4868421052632</v>
      </c>
      <c r="AH318" s="262">
        <f>IFERROR(IF(AND(COUNT(AD54,AF54,AG54,AH54)=4,(AD59+AF59+AG59+AH59)&lt;&gt;0),((AD54+AF54+AG54+AH54)-(AD153+AF153+AG153+AH153))/-(AD59+AF59+AG59+AH59),""),"")</f>
        <v>48.8627450980392</v>
      </c>
      <c r="AI318" s="262">
        <f>IFERROR(IF(AND(COUNT(AE54,AG54,AH54,AI54)=4,(AE59+AG59+AH59+AI59)&lt;&gt;0),((AE54+AG54+AH54+AI54)-(AE153+AG153+AH153+AI153))/-(AE59+AG59+AH59+AI59),""),"")</f>
        <v>49.9163498098859</v>
      </c>
      <c r="AJ318" s="262" t="str">
        <f>IFERROR(IF(AND(COUNT(AF54,AH54,AI54,AJ54)=4,(AF59+AH59+AI59+AJ59)&lt;&gt;0),((AF54+AH54+AI54+AJ54)-(AF153+AH153+AI153+AJ153))/-(AF59+AH59+AI59+AJ59),""),"")</f>
        <v/>
      </c>
      <c r="AK318" s="262" t="str">
        <f>IFERROR(IF(AND(COUNT(AH54,AI54,AJ54,AK54)=4,(AH59+AI59+AJ59+AK59)&lt;&gt;0),((AH54+AI54+AJ54+AK54)-(AH153+AI153+AJ153+AK153))/-(AH59+AI59+AJ59+AK59),""),"")</f>
        <v/>
      </c>
      <c r="AL318" s="262" t="str">
        <f>IFERROR(IF(AND(COUNT(AH54,AI54,AJ54,AK54)=4,(AH59+AI59+AJ59+AK59)&lt;&gt;0),((AH54+AI54+AJ54+AK54)-(AH153+AI153+AJ153+AK153))/-(AH59+AI59+AJ59+AK59),""),"")</f>
        <v/>
      </c>
      <c r="AM318" s="262" t="str">
        <f>IFERROR(IF(AND(COUNT(AI54,AJ54,AK54,AM54)=4,(AI59+AJ59+AK59+AM59)&lt;&gt;0),((AI54+AJ54+AK54+AM54)-(AI153+AJ153+AK153+AM153))/-(AI59+AJ59+AK59+AM59),""),"")</f>
        <v/>
      </c>
      <c r="AN318" s="262" t="str">
        <f>IFERROR(IF(AND(COUNT(AJ54,AK54,AM54,AN54)=4,(AJ59+AK59+AM59+AN59)&lt;&gt;0),((AJ54+AK54+AM54+AN54)-(AJ153+AK153+AM153+AN153))/-(AJ59+AK59+AM59+AN59),""),"")</f>
        <v/>
      </c>
      <c r="AO318" s="262" t="str">
        <f>IFERROR(IF(AND(COUNT(AK54,AM54,AN54,AO54)=4,(AK59+AM59+AN59+AO59)&lt;&gt;0),((AK54+AM54+AN54+AO54)-(AK153+AM153+AN153+AO153))/-(AK59+AM59+AN59+AO59),""),"")</f>
        <v/>
      </c>
      <c r="AP318" s="262" t="str">
        <f>IFERROR(IF(AND(COUNT(AM54,AN54,AO54,AP54)=4,(AM59+AN59+AO59+AP59)&lt;&gt;0),((AM54+AN54+AO54+AP54)-(AM153+AN153+AO153+AP153))/-(AM59+AN59+AO59+AP59),""),"")</f>
        <v/>
      </c>
      <c r="AQ318" s="262" t="str">
        <f>IFERROR(IF(AND(COUNT(AM54,AN54,AO54,AP54)=4,(AM59+AN59+AO59+AP59)&lt;&gt;0),((AM54+AN54+AO54+AP54)-(AM153+AN153+AO153+AP153))/-(AM59+AN59+AO59+AP59),""),"")</f>
        <v/>
      </c>
      <c r="AR318" s="262" t="str">
        <f>IFERROR(IF(AND(COUNT(AN54,AO54,AP54,AR54)=4,(AN59+AO59+AP59+AR59)&lt;&gt;0),((AN54+AO54+AP54+AR54)-(AN153+AO153+AP153+AR153))/-(AN59+AO59+AP59+AR59),""),"")</f>
        <v/>
      </c>
      <c r="AS318" s="262" t="str">
        <f>IFERROR(IF(AND(COUNT(AO54,AP54,AR54,AS54)=4,(AO59+AP59+AR59+AS59)&lt;&gt;0),((AO54+AP54+AR54+AS54)-(AO153+AP153+AR153+AS153))/-(AO59+AP59+AR59+AS59),""),"")</f>
        <v/>
      </c>
      <c r="AT318" s="262" t="str">
        <f>IFERROR(IF(AND(COUNT(AP54,AR54,AS54,AT54)=4,(AP59+AR59+AS59+AT59)&lt;&gt;0),((AP54+AR54+AS54+AT54)-(AP153+AR153+AS153+AT153))/-(AP59+AR59+AS59+AT59),""),"")</f>
        <v/>
      </c>
      <c r="AU318" s="262" t="str">
        <f>IFERROR(IF(AND(COUNT(AR54,AS54,AT54,AU54)=4,(AR59+AS59+AT59+AU59)&lt;&gt;0),((AR54+AS54+AT54+AU54)-(AR153+AS153+AT153+AU153))/-(AR59+AS59+AT59+AU59),""),"")</f>
        <v/>
      </c>
      <c r="AV318" s="262" t="str">
        <f>IFERROR(IF(AND(COUNT(AR54,AS54,AT54,AU54)=4,(AR59+AS59+AT59+AU59)&lt;&gt;0),((AR54+AS54+AT54+AU54)-(AR153+AS153+AT153+AU153))/-(AR59+AS59+AT59+AU59),""),"")</f>
        <v/>
      </c>
      <c r="AW318" s="262" t="str">
        <f>IFERROR(IF(AND(COUNT(AS54,AT54,AU54,AW54)=4,(AS59+AT59+AU59+AW59)&lt;&gt;0),((AS54+AT54+AU54+AW54)-(AS153+AT153+AU153+AW153))/-(AS59+AT59+AU59+AW59),""),"")</f>
        <v/>
      </c>
      <c r="AX318" s="262" t="str">
        <f>IFERROR(IF(AND(COUNT(AT54,AU54,AW54,AX54)=4,(AT59+AU59+AW59+AX59)&lt;&gt;0),((AT54+AU54+AW54+AX54)-(AT153+AU153+AW153+AX153))/-(AT59+AU59+AW59+AX59),""),"")</f>
        <v/>
      </c>
      <c r="AY318" s="262" t="str">
        <f>IFERROR(IF(AND(COUNT(AU54,AW54,AX54,AY54)=4,(AU59+AW59+AX59+AY59)&lt;&gt;0),((AU54+AW54+AX54+AY54)-(AU153+AW153+AX153+AY153))/-(AU59+AW59+AX59+AY59),""),"")</f>
        <v/>
      </c>
      <c r="AZ318" s="262" t="str">
        <f>IFERROR(IF(AND(COUNT(AW54,AX54,AY54,AZ54)=4,(AW59+AX59+AY59+AZ59)&lt;&gt;0),((AW54+AX54+AY54+AZ54)-(AW153+AX153+AY153+AZ153))/-(AW59+AX59+AY59+AZ59),""),"")</f>
        <v/>
      </c>
      <c r="BA318" s="262" t="str">
        <f>IFERROR(IF(AND(COUNT(AW54,AX54,AY54,AZ54)=4,(AW59+AX59+AY59+AZ59)&lt;&gt;0),((AW54+AX54+AY54+AZ54)-(AW153+AX153+AY153+AZ153))/-(AW59+AX59+AY59+AZ59),""),"")</f>
        <v/>
      </c>
      <c r="BB318" s="262" t="str">
        <f>IFERROR(IF(AND(COUNT(AX54,AY54,AZ54,BB54)=4,(AX59+AY59+AZ59+BB59)&lt;&gt;0),((AX54+AY54+AZ54+BB54)-(AX153+AY153+AZ153+BB153))/-(AX59+AY59+AZ59+BB59),""),"")</f>
        <v/>
      </c>
      <c r="BC318" s="262" t="str">
        <f>IFERROR(IF(AND(COUNT(AY54,AZ54,BB54,BC54)=4,(AY59+AZ59+BB59+BC59)&lt;&gt;0),((AY54+AZ54+BB54+BC54)-(AY153+AZ153+BB153+BC153))/-(AY59+AZ59+BB59+BC59),""),"")</f>
        <v/>
      </c>
      <c r="BD318" s="262" t="str">
        <f>IFERROR(IF(AND(COUNT(AZ54,BB54,BC54,BD54)=4,(AZ59+BB59+BC59+BD59)&lt;&gt;0),((AZ54+BB54+BC54+BD54)-(AZ153+BB153+BC153+BD153))/-(AZ59+BB59+BC59+BD59),""),"")</f>
        <v/>
      </c>
      <c r="BE318" s="262" t="str">
        <f>IFERROR(IF(AND(COUNT(BB54,BC54,BD54,BE54)=4,(BB59+BC59+BD59+BE59)&lt;&gt;0),((BB54+BC54+BD54+BE54)-(BB153+BC153+BD153+BE153))/-(BB59+BC59+BD59+BE59),""),"")</f>
        <v/>
      </c>
      <c r="BF318" s="262" t="str">
        <f>IFERROR(IF(AND(COUNT(BB54,BC54,BD54,BE54)=4,(BB59+BC59+BD59+BE59)&lt;&gt;0),((BB54+BC54+BD54+BE54)-(BB153+BC153+BD153+BE153))/-(BB59+BC59+BD59+BE59),""),"")</f>
        <v/>
      </c>
      <c r="BG318" s="82" t="n"/>
      <c r="BH318" s="82" t="n"/>
      <c r="BI318" s="82" t="n"/>
      <c r="BJ318" s="82" t="n"/>
      <c r="BL318" s="82" t="n"/>
      <c r="BM318" s="82" t="n"/>
      <c r="BN318" s="82" t="n"/>
      <c r="BO318" s="82" t="n"/>
      <c r="BQ318" s="82" t="n"/>
      <c r="BR318" s="82" t="n"/>
      <c r="BS318" s="82" t="n"/>
      <c r="BT318" s="82" t="n"/>
      <c r="BV318" s="82" t="n"/>
      <c r="BW318" s="82" t="n"/>
      <c r="BX318" s="82" t="n"/>
      <c r="BY318" s="82" t="n"/>
      <c r="CA318" s="82" t="n"/>
      <c r="CB318" s="82" t="n"/>
      <c r="CC318" s="82" t="n"/>
      <c r="CD318" s="82" t="n"/>
      <c r="CF318" s="82" t="n"/>
      <c r="CG318" s="82" t="n"/>
      <c r="CH318" s="82" t="n"/>
      <c r="CI318" s="82" t="n"/>
      <c r="CK318" s="82" t="n"/>
      <c r="CL318" s="82" t="n"/>
      <c r="CM318" s="82" t="n"/>
      <c r="CN318" s="82" t="n"/>
      <c r="CP318" s="82" t="n"/>
      <c r="CQ318" s="82" t="n"/>
      <c r="CR318" s="82" t="n"/>
      <c r="CS318" s="82" t="n"/>
      <c r="CU318" s="82" t="n"/>
      <c r="CV318" s="82" t="n"/>
      <c r="CW318" s="82" t="n"/>
      <c r="CX318" s="82" t="n"/>
    </row>
    <row r="319" customFormat="1" s="77">
      <c r="A319" s="76" t="n"/>
      <c r="B319" s="76" t="n"/>
      <c r="C319" s="77" t="inlineStr">
        <is>
          <t>TOTAL DEBT / EBITDA (LTM)</t>
        </is>
      </c>
      <c r="D319" s="82" t="str">
        <f>IFERROR(SUM(D197,D198,D199,D202,D220,D223)/D54,"")</f>
        <v/>
      </c>
      <c r="E319" s="82" t="str">
        <f>IFERROR(SUM(E197,E198,E199,E202,E220,E223)/E54,"")</f>
        <v/>
      </c>
      <c r="F319" s="82" t="str">
        <f>IFERROR(SUM(F197,F198,F199,F202,F220,F223)/F54,"")</f>
        <v/>
      </c>
      <c r="G319" s="82" t="str">
        <f>IFERROR(SUM(G197,G198,G199,G202,G220,G223)/G54,"")</f>
        <v/>
      </c>
      <c r="H319" s="262" t="str">
        <f>IFERROR(IF(AND(COUNT(H54)=1,(H54)&lt;&gt;0),(N(H197)+N(H198)+N(H199)+N(H202)+N(H220)+N(H223))/(H54),""),"")</f>
        <v/>
      </c>
      <c r="I319" s="262" t="str">
        <f>""</f>
        <v/>
      </c>
      <c r="J319" s="262" t="str">
        <f>""</f>
        <v/>
      </c>
      <c r="K319" s="262" t="str">
        <f>""</f>
        <v/>
      </c>
      <c r="L319" s="262">
        <f>IFERROR(IF(AND(COUNT(I54,J54,K54,L54)=4,(I54+J54+K54+L54)&lt;&gt;0),(N(L197)+N(L198)+N(L199)+N(L202)+N(L220)+N(L223))/(I54+J54+K54+L54),""),"")</f>
        <v>1.15205011389522</v>
      </c>
      <c r="M319" s="262">
        <f>IFERROR(IF(AND(COUNT(I54,J54,K54,L54)=4,(I54+J54+K54+L54)&lt;&gt;0),(N(M197)+N(M198)+N(M199)+N(M202)+N(M220)+N(M223))/(I54+J54+K54+L54),""),"")</f>
        <v>1.15205011389522</v>
      </c>
      <c r="N319" s="262">
        <f>IFERROR(IF(AND(COUNT(J54,K54,L54,N54)=4,(J54+K54+L54+N54)&lt;&gt;0),(N(N197)+N(N198)+N(N199)+N(N202)+N(N220)+N(N223))/(J54+K54+L54+N54),""),"")</f>
        <v>0.997195858498706</v>
      </c>
      <c r="O319" s="262">
        <f>IFERROR(IF(AND(COUNT(K54,L54,N54,O54)=4,(K54+L54+N54+O54)&lt;&gt;0),(N(O197)+N(O198)+N(O199)+N(O202)+N(O220)+N(O223))/(K54+L54+N54+O54),""),"")</f>
        <v>0.957609156422213</v>
      </c>
      <c r="P319" s="262">
        <f>IFERROR(IF(AND(COUNT(L54,N54,O54,P54)=4,(L54+N54+O54+P54)&lt;&gt;0),(N(P197)+N(P198)+N(P199)+N(P202)+N(P220)+N(P223))/(L54+N54+O54+P54),""),"")</f>
        <v>0.932528628907459</v>
      </c>
      <c r="Q319" s="262">
        <f>IFERROR(IF(AND(COUNT(N54,O54,P54,Q54)=4,(N54+O54+P54+Q54)&lt;&gt;0),(N(Q197)+N(Q198)+N(Q199)+N(Q202)+N(Q220)+N(Q223))/(N54+O54+P54+Q54),""),"")</f>
        <v>0.926274831046488</v>
      </c>
      <c r="R319" s="262">
        <f>IFERROR(IF(AND(COUNT(N54,O54,P54,Q54)=4,(N54+O54+P54+Q54)&lt;&gt;0),(N(R197)+N(R198)+N(R199)+N(R202)+N(R220)+N(R223))/(N54+O54+P54+Q54),""),"")</f>
        <v>0.926274831046488</v>
      </c>
      <c r="S319" s="262">
        <f>IFERROR(IF(AND(COUNT(O54,P54,Q54,S54)=4,(O54+P54+Q54+S54)&lt;&gt;0),(N(S197)+N(S198)+N(S199)+N(S202)+N(S220)+N(S223))/(O54+P54+Q54+S54),""),"")</f>
        <v>0.923971287028612</v>
      </c>
      <c r="T319" s="262">
        <f>IFERROR(IF(AND(COUNT(P54,Q54,S54,T54)=4,(P54+Q54+S54+T54)&lt;&gt;0),(N(T197)+N(T198)+N(T199)+N(T202)+N(T220)+N(T223))/(P54+Q54+S54+T54),""),"")</f>
        <v>0.917558340976256</v>
      </c>
      <c r="U319" s="262">
        <f>IFERROR(IF(AND(COUNT(Q54,S54,T54,U54)=4,(Q54+S54+T54+U54)&lt;&gt;0),(N(U197)+N(U198)+N(U199)+N(U202)+N(U220)+N(U223))/(Q54+S54+T54+U54),""),"")</f>
        <v>0.871749582965362</v>
      </c>
      <c r="V319" s="262">
        <f>IFERROR(IF(AND(COUNT(S54,T54,U54,V54)=4,(S54+T54+U54+V54)&lt;&gt;0),(N(V197)+N(V198)+N(V199)+N(V202)+N(V220)+N(V223))/(S54+T54+U54+V54),""),"")</f>
        <v>0.892059553349876</v>
      </c>
      <c r="W319" s="262">
        <f>IFERROR(IF(AND(COUNT(S54,T54,U54,V54)=4,(S54+T54+U54+V54)&lt;&gt;0),(N(W197)+N(W198)+N(W199)+N(W202)+N(W220)+N(W223))/(S54+T54+U54+V54),""),"")</f>
        <v>0.892059553349876</v>
      </c>
      <c r="X319" s="262">
        <f>IFERROR(IF(AND(COUNT(T54,U54,V54,X54)=4,(T54+U54+V54+X54)&lt;&gt;0),(N(X197)+N(X198)+N(X199)+N(X202)+N(X220)+N(X223))/(T54+U54+V54+X54),""),"")</f>
        <v>0.883157007770808</v>
      </c>
      <c r="Y319" s="262">
        <f>IFERROR(IF(AND(COUNT(U54,V54,X54,Y54)=4,(U54+V54+X54+Y54)&lt;&gt;0),(N(Y197)+N(Y198)+N(Y199)+N(Y202)+N(Y220)+N(Y223))/(U54+V54+X54+Y54),""),"")</f>
        <v>0.82691452459308</v>
      </c>
      <c r="Z319" s="262">
        <f>IFERROR(IF(AND(COUNT(V54,X54,Y54,Z54)=4,(V54+X54+Y54+Z54)&lt;&gt;0),(N(Z197)+N(Z198)+N(Z199)+N(Z202)+N(Z220)+N(Z223))/(V54+X54+Y54+Z54),""),"")</f>
        <v>0.717930914771741</v>
      </c>
      <c r="AA319" s="262">
        <f>IFERROR(IF(AND(COUNT(X54,Y54,Z54,AA54)=4,(X54+Y54+Z54+AA54)&lt;&gt;0),(N(AA197)+N(AA198)+N(AA199)+N(AA202)+N(AA220)+N(AA223))/(X54+Y54+Z54+AA54),""),"")</f>
        <v>0.681860623037094</v>
      </c>
      <c r="AB319" s="262">
        <f>IFERROR(IF(AND(COUNT(X54,Y54,Z54,AA54)=4,(X54+Y54+Z54+AA54)&lt;&gt;0),(N(AB197)+N(AB198)+N(AB199)+N(AB202)+N(AB220)+N(AB223))/(X54+Y54+Z54+AA54),""),"")</f>
        <v>0.681860623037094</v>
      </c>
      <c r="AC319" s="262">
        <f>IFERROR(IF(AND(COUNT(Y54,Z54,AA54,AC54)=4,(Y54+Z54+AA54+AC54)&lt;&gt;0),(N(AC197)+N(AC198)+N(AC199)+N(AC202)+N(AC220)+N(AC223))/(Y54+Z54+AA54+AC54),""),"")</f>
        <v>0.665865981943179</v>
      </c>
      <c r="AD319" s="262">
        <f>IFERROR(IF(AND(COUNT(Z54,AA54,AC54,AD54)=4,(Z54+AA54+AC54+AD54)&lt;&gt;0),(N(AD197)+N(AD198)+N(AD199)+N(AD202)+N(AD220)+N(AD223))/(Z54+AA54+AC54+AD54),""),"")</f>
        <v>0.657450570647806</v>
      </c>
      <c r="AE319" s="262">
        <f>IFERROR(IF(AND(COUNT(AA54,AC54,AD54,AE54)=4,(AA54+AC54+AD54+AE54)&lt;&gt;0),(N(AE197)+N(AE198)+N(AE199)+N(AE202)+N(AE220)+N(AE223))/(AA54+AC54+AD54+AE54),""),"")</f>
        <v>0.638066984151768</v>
      </c>
      <c r="AF319" s="262">
        <f>IFERROR(IF(AND(COUNT(AB54,AD54,AE54,AF54)=4,(AB54+AD54+AE54+AF54)&lt;&gt;0),(N(AF197)+N(AF198)+N(AF199)+N(AF202)+N(AF220)+N(AF223))/(AB54+AD54+AE54+AF54),""),"")</f>
        <v>0.367637716671204</v>
      </c>
      <c r="AG319" s="262">
        <f>IFERROR(IF(AND(COUNT(AC54,AD54,AE54,AF54)=4,(AC54+AD54+AE54+AF54)&lt;&gt;0),(N(AG197)+N(AG198)+N(AG199)+N(AG202)+N(AG220)+N(AG223))/(AC54+AD54+AE54+AF54),""),"")</f>
        <v>0.617295238095238</v>
      </c>
      <c r="AH319" s="262">
        <f>IFERROR(IF(AND(COUNT(AD54,AF54,AG54,AH54)=4,(AD54+AF54+AG54+AH54)&lt;&gt;0),(N(AH197)+N(AH198)+N(AH199)+N(AH202)+N(AH220)+N(AH223))/(AD54+AF54+AG54+AH54),""),"")</f>
        <v>0.363373386737873</v>
      </c>
      <c r="AI319" s="262">
        <f>IFERROR(IF(AND(COUNT(AE54,AG54,AH54,AI54)=4,(AE54+AG54+AH54+AI54)&lt;&gt;0),(N(AI197)+N(AI198)+N(AI199)+N(AI202)+N(AI220)+N(AI223))/(AE54+AG54+AH54+AI54),""),"")</f>
        <v>0.341060574303081</v>
      </c>
      <c r="AJ319" s="262">
        <f>IFERROR(IF(AND(COUNT(AF54,AH54,AI54,AJ54)=4,(AF54+AH54+AI54+AJ54)&lt;&gt;0),(N(AJ197)+N(AJ198)+N(AJ199)+N(AJ202)+N(AJ220)+N(AJ223))/(AF54+AH54+AI54+AJ54),""),"")</f>
        <v>0.577798924735905</v>
      </c>
      <c r="AK319" s="262">
        <f>IFERROR(IF(AND(COUNT(AH54,AI54,AJ54,AK54)=4,(AH54+AI54+AJ54+AK54)&lt;&gt;0),(N(AK197)+N(AK198)+N(AK199)+N(AK202)+N(AK220)+N(AK223))/(AH54+AI54+AJ54+AK54),""),"")</f>
        <v>0.562534724010778</v>
      </c>
      <c r="AL319" s="262">
        <f>IFERROR(IF(AND(COUNT(AH54,AI54,AJ54,AK54)=4,(AH54+AI54+AJ54+AK54)&lt;&gt;0),(N(AL197)+N(AL198)+N(AL199)+N(AL202)+N(AL220)+N(AL223))/(AH54+AI54+AJ54+AK54),""),"")</f>
        <v>0.562534724010778</v>
      </c>
      <c r="AM319" s="262">
        <f>IFERROR(IF(AND(COUNT(AI54,AJ54,AK54,AM54)=4,(AI54+AJ54+AK54+AM54)&lt;&gt;0),(N(AM197)+N(AM198)+N(AM199)+N(AM202)+N(AM220)+N(AM223))/(AI54+AJ54+AK54+AM54),""),"")</f>
        <v>0.549013712361039</v>
      </c>
      <c r="AN319" s="262">
        <f>IFERROR(IF(AND(COUNT(AJ54,AK54,AM54,AN54)=4,(AJ54+AK54+AM54+AN54)&lt;&gt;0),(N(AN197)+N(AN198)+N(AN199)+N(AN202)+N(AN220)+N(AN223))/(AJ54+AK54+AM54+AN54),""),"")</f>
        <v>0.541892172377289</v>
      </c>
      <c r="AO319" s="262">
        <f>IFERROR(IF(AND(COUNT(AK54,AM54,AN54,AO54)=4,(AK54+AM54+AN54+AO54)&lt;&gt;0),(N(AO197)+N(AO198)+N(AO199)+N(AO202)+N(AO220)+N(AO223))/(AK54+AM54+AN54+AO54),""),"")</f>
        <v>0.527884365248912</v>
      </c>
      <c r="AP319" s="262">
        <f>IFERROR(IF(AND(COUNT(AM54,AN54,AO54,AP54)=4,(AM54+AN54+AO54+AP54)&lt;&gt;0),(N(AP197)+N(AP198)+N(AP199)+N(AP202)+N(AP220)+N(AP223))/(AM54+AN54+AO54+AP54),""),"")</f>
        <v>0.517435050150524</v>
      </c>
      <c r="AQ319" s="262">
        <f>IFERROR(IF(AND(COUNT(AM54,AN54,AO54,AP54)=4,(AM54+AN54+AO54+AP54)&lt;&gt;0),(N(AQ197)+N(AQ198)+N(AQ199)+N(AQ202)+N(AQ220)+N(AQ223))/(AM54+AN54+AO54+AP54),""),"")</f>
        <v>0.517435050150524</v>
      </c>
      <c r="AR319" s="262">
        <f>IFERROR(IF(AND(COUNT(AN54,AO54,AP54,AR54)=4,(AN54+AO54+AP54+AR54)&lt;&gt;0),(N(AR197)+N(AR198)+N(AR199)+N(AR202)+N(AR220)+N(AR223))/(AN54+AO54+AP54+AR54),""),"")</f>
        <v>0.507619520194352</v>
      </c>
      <c r="AS319" s="262">
        <f>IFERROR(IF(AND(COUNT(AO54,AP54,AR54,AS54)=4,(AO54+AP54+AR54+AS54)&lt;&gt;0),(N(AS197)+N(AS198)+N(AS199)+N(AS202)+N(AS220)+N(AS223))/(AO54+AP54+AR54+AS54),""),"")</f>
        <v>0.49804555447439</v>
      </c>
      <c r="AT319" s="262">
        <f>IFERROR(IF(AND(COUNT(AP54,AR54,AS54,AT54)=4,(AP54+AR54+AS54+AT54)&lt;&gt;0),(N(AT197)+N(AT198)+N(AT199)+N(AT202)+N(AT220)+N(AT223))/(AP54+AR54+AS54+AT54),""),"")</f>
        <v>0.485839595923331</v>
      </c>
      <c r="AU319" s="262">
        <f>IFERROR(IF(AND(COUNT(AR54,AS54,AT54,AU54)=4,(AR54+AS54+AT54+AU54)&lt;&gt;0),(N(AU197)+N(AU198)+N(AU199)+N(AU202)+N(AU220)+N(AU223))/(AR54+AS54+AT54+AU54),""),"")</f>
        <v>0.476712470018783</v>
      </c>
      <c r="AV319" s="262">
        <f>IFERROR(IF(AND(COUNT(AR54,AS54,AT54,AU54)=4,(AR54+AS54+AT54+AU54)&lt;&gt;0),(N(AV197)+N(AV198)+N(AV199)+N(AV202)+N(AV220)+N(AV223))/(AR54+AS54+AT54+AU54),""),"")</f>
        <v>0.476712470018783</v>
      </c>
      <c r="AW319" s="262">
        <f>IFERROR(IF(AND(COUNT(AS54,AT54,AU54,AW54)=4,(AS54+AT54+AU54+AW54)&lt;&gt;0),(N(AW197)+N(AW198)+N(AW199)+N(AW202)+N(AW220)+N(AW223))/(AS54+AT54+AU54+AW54),""),"")</f>
        <v>0.46818927172993</v>
      </c>
      <c r="AX319" s="262">
        <f>IFERROR(IF(AND(COUNT(AT54,AU54,AW54,AX54)=4,(AT54+AU54+AW54+AX54)&lt;&gt;0),(N(AX197)+N(AX198)+N(AX199)+N(AX202)+N(AX220)+N(AX223))/(AT54+AU54+AW54+AX54),""),"")</f>
        <v>0.45985755875398</v>
      </c>
      <c r="AY319" s="262">
        <f>IFERROR(IF(AND(COUNT(AU54,AW54,AX54,AY54)=4,(AU54+AW54+AX54+AY54)&lt;&gt;0),(N(AY197)+N(AY198)+N(AY199)+N(AY202)+N(AY220)+N(AY223))/(AU54+AW54+AX54+AY54),""),"")</f>
        <v>0.449209098443812</v>
      </c>
      <c r="AZ319" s="262">
        <f>IFERROR(IF(AND(COUNT(AW54,AX54,AY54,AZ54)=4,(AW54+AX54+AY54+AZ54)&lt;&gt;0),(N(AZ197)+N(AZ198)+N(AZ199)+N(AZ202)+N(AZ220)+N(AZ223))/(AW54+AX54+AY54+AZ54),""),"")</f>
        <v>0.441227303394306</v>
      </c>
      <c r="BA319" s="262">
        <f>IFERROR(IF(AND(COUNT(AW54,AX54,AY54,AZ54)=4,(AW54+AX54+AY54+AZ54)&lt;&gt;0),(N(BA197)+N(BA198)+N(BA199)+N(BA202)+N(BA220)+N(BA223))/(AW54+AX54+AY54+AZ54),""),"")</f>
        <v>0.441227303394306</v>
      </c>
      <c r="BB319" s="262">
        <f>IFERROR(IF(AND(COUNT(AX54,AY54,AZ54,BB54)=4,(AX54+AY54+AZ54+BB54)&lt;&gt;0),(N(BB197)+N(BB198)+N(BB199)+N(BB202)+N(BB220)+N(BB223))/(AX54+AY54+AZ54+BB54),""),"")</f>
        <v>0.433820764941403</v>
      </c>
      <c r="BC319" s="262">
        <f>IFERROR(IF(AND(COUNT(AY54,AZ54,BB54,BC54)=4,(AY54+AZ54+BB54+BC54)&lt;&gt;0),(N(BC197)+N(BC198)+N(BC199)+N(BC202)+N(BC220)+N(BC223))/(AY54+AZ54+BB54+BC54),""),"")</f>
        <v>0.426564674602449</v>
      </c>
      <c r="BD319" s="262">
        <f>IFERROR(IF(AND(COUNT(AZ54,BB54,BC54,BD54)=4,(AZ54+BB54+BC54+BD54)&lt;&gt;0),(N(BD197)+N(BD198)+N(BD199)+N(BD202)+N(BD220)+N(BD223))/(AZ54+BB54+BC54+BD54),""),"")</f>
        <v>0.417267890581502</v>
      </c>
      <c r="BE319" s="262">
        <f>IFERROR(IF(AND(COUNT(BB54,BC54,BD54,BE54)=4,(BB54+BC54+BD54+BE54)&lt;&gt;0),(N(BE197)+N(BE198)+N(BE199)+N(BE202)+N(BE220)+N(BE223))/(BB54+BC54+BD54+BE54),""),"")</f>
        <v>0.410282264988709</v>
      </c>
      <c r="BF319" s="262">
        <f>IFERROR(IF(AND(COUNT(BB54,BC54,BD54,BE54)=4,(BB54+BC54+BD54+BE54)&lt;&gt;0),(N(BF197)+N(BF198)+N(BF199)+N(BF202)+N(BF220)+N(BF223))/(BB54+BC54+BD54+BE54),""),"")</f>
        <v>0.410282264988709</v>
      </c>
      <c r="BG319" s="82" t="n"/>
      <c r="BH319" s="82" t="n"/>
      <c r="BI319" s="82" t="n"/>
      <c r="BJ319" s="82" t="n"/>
      <c r="BL319" s="82" t="n"/>
      <c r="BM319" s="82" t="n"/>
      <c r="BN319" s="82" t="n"/>
      <c r="BO319" s="82" t="n"/>
      <c r="BQ319" s="82" t="n"/>
      <c r="BR319" s="82" t="n"/>
      <c r="BS319" s="82" t="n"/>
      <c r="BT319" s="82" t="n"/>
      <c r="BV319" s="82" t="n"/>
      <c r="BW319" s="82" t="n"/>
      <c r="BX319" s="82" t="n"/>
      <c r="BY319" s="82" t="n"/>
      <c r="CA319" s="82" t="n"/>
      <c r="CB319" s="82" t="n"/>
      <c r="CC319" s="82" t="n"/>
      <c r="CD319" s="82" t="n"/>
      <c r="CF319" s="82" t="n"/>
      <c r="CG319" s="82" t="n"/>
      <c r="CH319" s="82" t="n"/>
      <c r="CI319" s="82" t="n"/>
      <c r="CK319" s="82" t="n"/>
      <c r="CL319" s="82" t="n"/>
      <c r="CM319" s="82" t="n"/>
      <c r="CN319" s="82" t="n"/>
      <c r="CP319" s="82" t="n"/>
      <c r="CQ319" s="82" t="n"/>
      <c r="CR319" s="82" t="n"/>
      <c r="CS319" s="82" t="n"/>
      <c r="CU319" s="82" t="n"/>
      <c r="CV319" s="82" t="n"/>
      <c r="CW319" s="82" t="n"/>
      <c r="CX319" s="82" t="n"/>
    </row>
    <row r="320" customFormat="1" s="77">
      <c r="A320" s="76" t="n"/>
      <c r="B320" s="76" t="n"/>
      <c r="C320" s="77" t="inlineStr">
        <is>
          <t>TOTAL DEBT / TOTAL CAPITALIZATION</t>
        </is>
      </c>
      <c r="D320" s="80" t="str">
        <f>IFERROR(SUM(D197+D198+D199+D202+D220+D223)/(SUM(D197+D198+D199+D202+D220+D223)+D256),"")</f>
        <v/>
      </c>
      <c r="E320" s="80" t="str">
        <f>IFERROR(SUM(E197+E198+E199+E202+E220+E223)/(SUM(E197+E198+E199+E202+E220+E223)+E256),"")</f>
        <v/>
      </c>
      <c r="F320" s="80" t="str">
        <f>IFERROR(SUM(F197+F198+F199+F202+F220+F223)/(SUM(F197+F198+F199+F202+F220+F223)+F256),"")</f>
        <v/>
      </c>
      <c r="G320" s="80" t="str">
        <f>IFERROR(SUM(G197+G198+G199+G202+G220+G223)/(SUM(G197+G198+G199+G202+G220+G223)+G256),"")</f>
        <v/>
      </c>
      <c r="H320" s="258" t="str">
        <f>IFERROR(IF(((N(H197)+N(H198)+N(H199)+N(H202)+N(H220)+N(H223))+N(H256))&lt;&gt;0,(N(H197)+N(H198)+N(H199)+N(H202)+N(H220)+N(H223))/((N(H197)+N(H198)+N(H199)+N(H202)+N(H220)+N(H223))+H256),""),"")</f>
        <v/>
      </c>
      <c r="I320" s="258">
        <f>IFERROR(IF(((N(I197)+N(I198)+N(I199)+N(I202)+N(I220)+N(I223))+N(I256))&lt;&gt;0,(N(I197)+N(I198)+N(I199)+N(I202)+N(I220)+N(I223))/((N(I197)+N(I198)+N(I199)+N(I202)+N(I220)+N(I223))+I256),""),"")</f>
        <v>0.388983596620828</v>
      </c>
      <c r="J320" s="258">
        <f>IFERROR(IF(((N(J197)+N(J198)+N(J199)+N(J202)+N(J220)+N(J223))+N(J256))&lt;&gt;0,(N(J197)+N(J198)+N(J199)+N(J202)+N(J220)+N(J223))/((N(J197)+N(J198)+N(J199)+N(J202)+N(J220)+N(J223))+J256),""),"")</f>
        <v>0.376001764576134</v>
      </c>
      <c r="K320" s="258">
        <f>IFERROR(IF(((N(K197)+N(K198)+N(K199)+N(K202)+N(K220)+N(K223))+N(K256))&lt;&gt;0,(N(K197)+N(K198)+N(K199)+N(K202)+N(K220)+N(K223))/((N(K197)+N(K198)+N(K199)+N(K202)+N(K220)+N(K223))+K256),""),"")</f>
        <v>0.359186133068661</v>
      </c>
      <c r="L320" s="258">
        <f>IFERROR(IF(((N(L197)+N(L198)+N(L199)+N(L202)+N(L220)+N(L223))+N(L256))&lt;&gt;0,(N(L197)+N(L198)+N(L199)+N(L202)+N(L220)+N(L223))/((N(L197)+N(L198)+N(L199)+N(L202)+N(L220)+N(L223))+L256),""),"")</f>
        <v>0.347415421603984</v>
      </c>
      <c r="M320" s="258">
        <f>IFERROR(IF(((N(M197)+N(M198)+N(M199)+N(M202)+N(M220)+N(M223))+N(M256))&lt;&gt;0,(N(M197)+N(M198)+N(M199)+N(M202)+N(M220)+N(M223))/((N(M197)+N(M198)+N(M199)+N(M202)+N(M220)+N(M223))+M256),""),"")</f>
        <v>0.347415421603984</v>
      </c>
      <c r="N320" s="258">
        <f>IFERROR(IF(((N(N197)+N(N198)+N(N199)+N(N202)+N(N220)+N(N223))+N(N256))&lt;&gt;0,(N(N197)+N(N198)+N(N199)+N(N202)+N(N220)+N(N223))/((N(N197)+N(N198)+N(N199)+N(N202)+N(N220)+N(N223))+N256),""),"")</f>
        <v>0.316405447950175</v>
      </c>
      <c r="O320" s="258">
        <f>IFERROR(IF(((N(O197)+N(O198)+N(O199)+N(O202)+N(O220)+N(O223))+N(O256))&lt;&gt;0,(N(O197)+N(O198)+N(O199)+N(O202)+N(O220)+N(O223))/((N(O197)+N(O198)+N(O199)+N(O202)+N(O220)+N(O223))+O256),""),"")</f>
        <v>0.305797150495787</v>
      </c>
      <c r="P320" s="258">
        <f>IFERROR(IF(((N(P197)+N(P198)+N(P199)+N(P202)+N(P220)+N(P223))+N(P256))&lt;&gt;0,(N(P197)+N(P198)+N(P199)+N(P202)+N(P220)+N(P223))/((N(P197)+N(P198)+N(P199)+N(P202)+N(P220)+N(P223))+P256),""),"")</f>
        <v>0.304486963551843</v>
      </c>
      <c r="Q320" s="258">
        <f>IFERROR(IF(((N(Q197)+N(Q198)+N(Q199)+N(Q202)+N(Q220)+N(Q223))+N(Q256))&lt;&gt;0,(N(Q197)+N(Q198)+N(Q199)+N(Q202)+N(Q220)+N(Q223))/((N(Q197)+N(Q198)+N(Q199)+N(Q202)+N(Q220)+N(Q223))+Q256),""),"")</f>
        <v>0.296376384247428</v>
      </c>
      <c r="R320" s="258">
        <f>IFERROR(IF(((N(R197)+N(R198)+N(R199)+N(R202)+N(R220)+N(R223))+N(R256))&lt;&gt;0,(N(R197)+N(R198)+N(R199)+N(R202)+N(R220)+N(R223))/((N(R197)+N(R198)+N(R199)+N(R202)+N(R220)+N(R223))+R256),""),"")</f>
        <v>0.296376384247428</v>
      </c>
      <c r="S320" s="258">
        <f>IFERROR(IF(((N(S197)+N(S198)+N(S199)+N(S202)+N(S220)+N(S223))+N(S256))&lt;&gt;0,(N(S197)+N(S198)+N(S199)+N(S202)+N(S220)+N(S223))/((N(S197)+N(S198)+N(S199)+N(S202)+N(S220)+N(S223))+S256),""),"")</f>
        <v>0.286148162063999</v>
      </c>
      <c r="T320" s="258">
        <f>IFERROR(IF(((N(T197)+N(T198)+N(T199)+N(T202)+N(T220)+N(T223))+N(T256))&lt;&gt;0,(N(T197)+N(T198)+N(T199)+N(T202)+N(T220)+N(T223))/((N(T197)+N(T198)+N(T199)+N(T202)+N(T220)+N(T223))+T256),""),"")</f>
        <v>0.276391319028763</v>
      </c>
      <c r="U320" s="258">
        <f>IFERROR(IF(((N(U197)+N(U198)+N(U199)+N(U202)+N(U220)+N(U223))+N(U256))&lt;&gt;0,(N(U197)+N(U198)+N(U199)+N(U202)+N(U220)+N(U223))/((N(U197)+N(U198)+N(U199)+N(U202)+N(U220)+N(U223))+U256),""),"")</f>
        <v>0.261740616345531</v>
      </c>
      <c r="V320" s="258">
        <f>IFERROR(IF(((N(V197)+N(V198)+N(V199)+N(V202)+N(V220)+N(V223))+N(V256))&lt;&gt;0,(N(V197)+N(V198)+N(V199)+N(V202)+N(V220)+N(V223))/((N(V197)+N(V198)+N(V199)+N(V202)+N(V220)+N(V223))+V256),""),"")</f>
        <v>0.26334028286471</v>
      </c>
      <c r="W320" s="258">
        <f>IFERROR(IF(((N(W197)+N(W198)+N(W199)+N(W202)+N(W220)+N(W223))+N(W256))&lt;&gt;0,(N(W197)+N(W198)+N(W199)+N(W202)+N(W220)+N(W223))/((N(W197)+N(W198)+N(W199)+N(W202)+N(W220)+N(W223))+W256),""),"")</f>
        <v>0.26334028286471</v>
      </c>
      <c r="X320" s="258">
        <f>IFERROR(IF(((N(X197)+N(X198)+N(X199)+N(X202)+N(X220)+N(X223))+N(X256))&lt;&gt;0,(N(X197)+N(X198)+N(X199)+N(X202)+N(X220)+N(X223))/((N(X197)+N(X198)+N(X199)+N(X202)+N(X220)+N(X223))+X256),""),"")</f>
        <v>0.31242340939953</v>
      </c>
      <c r="Y320" s="258">
        <f>IFERROR(IF(((N(Y197)+N(Y198)+N(Y199)+N(Y202)+N(Y220)+N(Y223))+N(Y256))&lt;&gt;0,(N(Y197)+N(Y198)+N(Y199)+N(Y202)+N(Y220)+N(Y223))/((N(Y197)+N(Y198)+N(Y199)+N(Y202)+N(Y220)+N(Y223))+Y256),""),"")</f>
        <v>0.299246813441483</v>
      </c>
      <c r="Z320" s="258">
        <f>IFERROR(IF(((N(Z197)+N(Z198)+N(Z199)+N(Z202)+N(Z220)+N(Z223))+N(Z256))&lt;&gt;0,(N(Z197)+N(Z198)+N(Z199)+N(Z202)+N(Z220)+N(Z223))/((N(Z197)+N(Z198)+N(Z199)+N(Z202)+N(Z220)+N(Z223))+Z256),""),"")</f>
        <v>0.259359127108547</v>
      </c>
      <c r="AA320" s="258">
        <f>IFERROR(IF(((N(AA197)+N(AA198)+N(AA199)+N(AA202)+N(AA220)+N(AA223))+N(AA256))&lt;&gt;0,(N(AA197)+N(AA198)+N(AA199)+N(AA202)+N(AA220)+N(AA223))/((N(AA197)+N(AA198)+N(AA199)+N(AA202)+N(AA220)+N(AA223))+AA256),""),"")</f>
        <v>0.247290974017978</v>
      </c>
      <c r="AB320" s="258">
        <f>IFERROR(IF(((N(AB197)+N(AB198)+N(AB199)+N(AB202)+N(AB220)+N(AB223))+N(AB256))&lt;&gt;0,(N(AB197)+N(AB198)+N(AB199)+N(AB202)+N(AB220)+N(AB223))/((N(AB197)+N(AB198)+N(AB199)+N(AB202)+N(AB220)+N(AB223))+AB256),""),"")</f>
        <v>0.247290974017978</v>
      </c>
      <c r="AC320" s="258">
        <f>IFERROR(IF(((N(AC197)+N(AC198)+N(AC199)+N(AC202)+N(AC220)+N(AC223))+N(AC256))&lt;&gt;0,(N(AC197)+N(AC198)+N(AC199)+N(AC202)+N(AC220)+N(AC223))/((N(AC197)+N(AC198)+N(AC199)+N(AC202)+N(AC220)+N(AC223))+AC256),""),"")</f>
        <v>0.239142075202285</v>
      </c>
      <c r="AD320" s="258">
        <f>IFERROR(IF(((N(AD197)+N(AD198)+N(AD199)+N(AD202)+N(AD220)+N(AD223))+N(AD256))&lt;&gt;0,(N(AD197)+N(AD198)+N(AD199)+N(AD202)+N(AD220)+N(AD223))/((N(AD197)+N(AD198)+N(AD199)+N(AD202)+N(AD220)+N(AD223))+AD256),""),"")</f>
        <v>0.231695227304914</v>
      </c>
      <c r="AE320" s="258">
        <f>IFERROR(IF(((N(AE197)+N(AE198)+N(AE199)+N(AE202)+N(AE220)+N(AE223))+N(AE256))&lt;&gt;0,(N(AE197)+N(AE198)+N(AE199)+N(AE202)+N(AE220)+N(AE223))/((N(AE197)+N(AE198)+N(AE199)+N(AE202)+N(AE220)+N(AE223))+AE256),""),"")</f>
        <v>0.218898143932292</v>
      </c>
      <c r="AF320" s="258">
        <f>IFERROR(IF(((N(AF197)+N(AF198)+N(AF199)+N(AF202)+N(AF220)+N(AF223))+N(AF256))&lt;&gt;0,(N(AF197)+N(AF198)+N(AF199)+N(AF202)+N(AF220)+N(AF223))/((N(AF197)+N(AF198)+N(AF199)+N(AF202)+N(AF220)+N(AF223))+AF256),""),"")</f>
        <v>0.210962114308033</v>
      </c>
      <c r="AG320" s="258">
        <f>IFERROR(IF(((N(AG197)+N(AG198)+N(AG199)+N(AG202)+N(AG220)+N(AG223))+N(AG256))&lt;&gt;0,(N(AG197)+N(AG198)+N(AG199)+N(AG202)+N(AG220)+N(AG223))/((N(AG197)+N(AG198)+N(AG199)+N(AG202)+N(AG220)+N(AG223))+AG256),""),"")</f>
        <v>0.210962114308033</v>
      </c>
      <c r="AH320" s="258">
        <f>IFERROR(IF(((N(AH197)+N(AH198)+N(AH199)+N(AH202)+N(AH220)+N(AH223))+N(AH256))&lt;&gt;0,(N(AH197)+N(AH198)+N(AH199)+N(AH202)+N(AH220)+N(AH223))/((N(AH197)+N(AH198)+N(AH199)+N(AH202)+N(AH220)+N(AH223))+AH256),""),"")</f>
        <v>0.20284706349995</v>
      </c>
      <c r="AI320" s="258">
        <f>IFERROR(IF(((N(AI197)+N(AI198)+N(AI199)+N(AI202)+N(AI220)+N(AI223))+N(AI256))&lt;&gt;0,(N(AI197)+N(AI198)+N(AI199)+N(AI202)+N(AI220)+N(AI223))/((N(AI197)+N(AI198)+N(AI199)+N(AI202)+N(AI220)+N(AI223))+AI256),""),"")</f>
        <v>0.195365590106856</v>
      </c>
      <c r="AJ320" s="258">
        <f>IFERROR(IF(((N(AJ197)+N(AJ198)+N(AJ199)+N(AJ202)+N(AJ220)+N(AJ223))+N(AJ256))&lt;&gt;0,(N(AJ197)+N(AJ198)+N(AJ199)+N(AJ202)+N(AJ220)+N(AJ223))/((N(AJ197)+N(AJ198)+N(AJ199)+N(AJ202)+N(AJ220)+N(AJ223))+AJ256),""),"")</f>
        <v>0.182919006100624</v>
      </c>
      <c r="AK320" s="258">
        <f>IFERROR(IF(((N(AK197)+N(AK198)+N(AK199)+N(AK202)+N(AK220)+N(AK223))+N(AK256))&lt;&gt;0,(N(AK197)+N(AK198)+N(AK199)+N(AK202)+N(AK220)+N(AK223))/((N(AK197)+N(AK198)+N(AK199)+N(AK202)+N(AK220)+N(AK223))+AK256),""),"")</f>
        <v>0.174246571207615</v>
      </c>
      <c r="AL320" s="258">
        <f>IFERROR(IF(((N(AL197)+N(AL198)+N(AL199)+N(AL202)+N(AL220)+N(AL223))+N(AL256))&lt;&gt;0,(N(AL197)+N(AL198)+N(AL199)+N(AL202)+N(AL220)+N(AL223))/((N(AL197)+N(AL198)+N(AL199)+N(AL202)+N(AL220)+N(AL223))+AL256),""),"")</f>
        <v>0.174246571207615</v>
      </c>
      <c r="AM320" s="258">
        <f>IFERROR(IF(((N(AM197)+N(AM198)+N(AM199)+N(AM202)+N(AM220)+N(AM223))+N(AM256))&lt;&gt;0,(N(AM197)+N(AM198)+N(AM199)+N(AM202)+N(AM220)+N(AM223))/((N(AM197)+N(AM198)+N(AM199)+N(AM202)+N(AM220)+N(AM223))+AM256),""),"")</f>
        <v>0.166103445444266</v>
      </c>
      <c r="AN320" s="258">
        <f>IFERROR(IF(((N(AN197)+N(AN198)+N(AN199)+N(AN202)+N(AN220)+N(AN223))+N(AN256))&lt;&gt;0,(N(AN197)+N(AN198)+N(AN199)+N(AN202)+N(AN220)+N(AN223))/((N(AN197)+N(AN198)+N(AN199)+N(AN202)+N(AN220)+N(AN223))+AN256),""),"")</f>
        <v>0.158592833049955</v>
      </c>
      <c r="AO320" s="258">
        <f>IFERROR(IF(((N(AO197)+N(AO198)+N(AO199)+N(AO202)+N(AO220)+N(AO223))+N(AO256))&lt;&gt;0,(N(AO197)+N(AO198)+N(AO199)+N(AO202)+N(AO220)+N(AO223))/((N(AO197)+N(AO198)+N(AO199)+N(AO202)+N(AO220)+N(AO223))+AO256),""),"")</f>
        <v>0.149583241965092</v>
      </c>
      <c r="AP320" s="258">
        <f>IFERROR(IF(((N(AP197)+N(AP198)+N(AP199)+N(AP202)+N(AP220)+N(AP223))+N(AP256))&lt;&gt;0,(N(AP197)+N(AP198)+N(AP199)+N(AP202)+N(AP220)+N(AP223))/((N(AP197)+N(AP198)+N(AP199)+N(AP202)+N(AP220)+N(AP223))+AP256),""),"")</f>
        <v>0.14322670986223</v>
      </c>
      <c r="AQ320" s="258">
        <f>IFERROR(IF(((N(AQ197)+N(AQ198)+N(AQ199)+N(AQ202)+N(AQ220)+N(AQ223))+N(AQ256))&lt;&gt;0,(N(AQ197)+N(AQ198)+N(AQ199)+N(AQ202)+N(AQ220)+N(AQ223))/((N(AQ197)+N(AQ198)+N(AQ199)+N(AQ202)+N(AQ220)+N(AQ223))+AQ256),""),"")</f>
        <v>0.14322670986223</v>
      </c>
      <c r="AR320" s="258">
        <f>IFERROR(IF(((N(AR197)+N(AR198)+N(AR199)+N(AR202)+N(AR220)+N(AR223))+N(AR256))&lt;&gt;0,(N(AR197)+N(AR198)+N(AR199)+N(AR202)+N(AR220)+N(AR223))/((N(AR197)+N(AR198)+N(AR199)+N(AR202)+N(AR220)+N(AR223))+AR256),""),"")</f>
        <v>0.137224604764922</v>
      </c>
      <c r="AS320" s="258">
        <f>IFERROR(IF(((N(AS197)+N(AS198)+N(AS199)+N(AS202)+N(AS220)+N(AS223))+N(AS256))&lt;&gt;0,(N(AS197)+N(AS198)+N(AS199)+N(AS202)+N(AS220)+N(AS223))/((N(AS197)+N(AS198)+N(AS199)+N(AS202)+N(AS220)+N(AS223))+AS256),""),"")</f>
        <v>0.131634570970162</v>
      </c>
      <c r="AT320" s="258">
        <f>IFERROR(IF(((N(AT197)+N(AT198)+N(AT199)+N(AT202)+N(AT220)+N(AT223))+N(AT256))&lt;&gt;0,(N(AT197)+N(AT198)+N(AT199)+N(AT202)+N(AT220)+N(AT223))/((N(AT197)+N(AT198)+N(AT199)+N(AT202)+N(AT220)+N(AT223))+AT256),""),"")</f>
        <v>0.124859268900288</v>
      </c>
      <c r="AU320" s="258">
        <f>IFERROR(IF(((N(AU197)+N(AU198)+N(AU199)+N(AU202)+N(AU220)+N(AU223))+N(AU256))&lt;&gt;0,(N(AU197)+N(AU198)+N(AU199)+N(AU202)+N(AU220)+N(AU223))/((N(AU197)+N(AU198)+N(AU199)+N(AU202)+N(AU220)+N(AU223))+AU256),""),"")</f>
        <v>0.120032759068372</v>
      </c>
      <c r="AV320" s="258">
        <f>IFERROR(IF(((N(AV197)+N(AV198)+N(AV199)+N(AV202)+N(AV220)+N(AV223))+N(AV256))&lt;&gt;0,(N(AV197)+N(AV198)+N(AV199)+N(AV202)+N(AV220)+N(AV223))/((N(AV197)+N(AV198)+N(AV199)+N(AV202)+N(AV220)+N(AV223))+AV256),""),"")</f>
        <v>0.120032759068372</v>
      </c>
      <c r="AW320" s="258">
        <f>IFERROR(IF(((N(AW197)+N(AW198)+N(AW199)+N(AW202)+N(AW220)+N(AW223))+N(AW256))&lt;&gt;0,(N(AW197)+N(AW198)+N(AW199)+N(AW202)+N(AW220)+N(AW223))/((N(AW197)+N(AW198)+N(AW199)+N(AW202)+N(AW220)+N(AW223))+AW256),""),"")</f>
        <v>0.115460053198718</v>
      </c>
      <c r="AX320" s="258">
        <f>IFERROR(IF(((N(AX197)+N(AX198)+N(AX199)+N(AX202)+N(AX220)+N(AX223))+N(AX256))&lt;&gt;0,(N(AX197)+N(AX198)+N(AX199)+N(AX202)+N(AX220)+N(AX223))/((N(AX197)+N(AX198)+N(AX199)+N(AX202)+N(AX220)+N(AX223))+AX256),""),"")</f>
        <v>0.11116844658022</v>
      </c>
      <c r="AY320" s="258">
        <f>IFERROR(IF(((N(AY197)+N(AY198)+N(AY199)+N(AY202)+N(AY220)+N(AY223))+N(AY256))&lt;&gt;0,(N(AY197)+N(AY198)+N(AY199)+N(AY202)+N(AY220)+N(AY223))/((N(AY197)+N(AY198)+N(AY199)+N(AY202)+N(AY220)+N(AY223))+AY256),""),"")</f>
        <v>0.105923904616258</v>
      </c>
      <c r="AZ320" s="258">
        <f>IFERROR(IF(((N(AZ197)+N(AZ198)+N(AZ199)+N(AZ202)+N(AZ220)+N(AZ223))+N(AZ256))&lt;&gt;0,(N(AZ197)+N(AZ198)+N(AZ199)+N(AZ202)+N(AZ220)+N(AZ223))/((N(AZ197)+N(AZ198)+N(AZ199)+N(AZ202)+N(AZ220)+N(AZ223))+AZ256),""),"")</f>
        <v>0.102158804442024</v>
      </c>
      <c r="BA320" s="258">
        <f>IFERROR(IF(((N(BA197)+N(BA198)+N(BA199)+N(BA202)+N(BA220)+N(BA223))+N(BA256))&lt;&gt;0,(N(BA197)+N(BA198)+N(BA199)+N(BA202)+N(BA220)+N(BA223))/((N(BA197)+N(BA198)+N(BA199)+N(BA202)+N(BA220)+N(BA223))+BA256),""),"")</f>
        <v>0.102158804442024</v>
      </c>
      <c r="BB320" s="258">
        <f>IFERROR(IF(((N(BB197)+N(BB198)+N(BB199)+N(BB202)+N(BB220)+N(BB223))+N(BB256))&lt;&gt;0,(N(BB197)+N(BB198)+N(BB199)+N(BB202)+N(BB220)+N(BB223))/((N(BB197)+N(BB198)+N(BB199)+N(BB202)+N(BB220)+N(BB223))+BB256),""),"")</f>
        <v>0.0985851809115961</v>
      </c>
      <c r="BC320" s="258">
        <f>IFERROR(IF(((N(BC197)+N(BC198)+N(BC199)+N(BC202)+N(BC220)+N(BC223))+N(BC256))&lt;&gt;0,(N(BC197)+N(BC198)+N(BC199)+N(BC202)+N(BC220)+N(BC223))/((N(BC197)+N(BC198)+N(BC199)+N(BC202)+N(BC220)+N(BC223))+BC256),""),"")</f>
        <v>0.0952101246103164</v>
      </c>
      <c r="BD320" s="258">
        <f>IFERROR(IF(((N(BD197)+N(BD198)+N(BD199)+N(BD202)+N(BD220)+N(BD223))+N(BD256))&lt;&gt;0,(N(BD197)+N(BD198)+N(BD199)+N(BD202)+N(BD220)+N(BD223))/((N(BD197)+N(BD198)+N(BD199)+N(BD202)+N(BD220)+N(BD223))+BD256),""),"")</f>
        <v>0.0910576109852164</v>
      </c>
      <c r="BE320" s="258">
        <f>IFERROR(IF(((N(BE197)+N(BE198)+N(BE199)+N(BE202)+N(BE220)+N(BE223))+N(BE256))&lt;&gt;0,(N(BE197)+N(BE198)+N(BE199)+N(BE202)+N(BE220)+N(BE223))/((N(BE197)+N(BE198)+N(BE199)+N(BE202)+N(BE220)+N(BE223))+BE256),""),"")</f>
        <v>0.0880572884315624</v>
      </c>
      <c r="BF320" s="258">
        <f>IFERROR(IF(((N(BF197)+N(BF198)+N(BF199)+N(BF202)+N(BF220)+N(BF223))+N(BF256))&lt;&gt;0,(N(BF197)+N(BF198)+N(BF199)+N(BF202)+N(BF220)+N(BF223))/((N(BF197)+N(BF198)+N(BF199)+N(BF202)+N(BF220)+N(BF223))+BF256),""),"")</f>
        <v>0.0880572884315624</v>
      </c>
      <c r="BG320" s="80" t="n"/>
      <c r="BH320" s="80" t="n"/>
      <c r="BI320" s="80" t="n"/>
      <c r="BJ320" s="80" t="n"/>
      <c r="BL320" s="80" t="n"/>
      <c r="BM320" s="80" t="n"/>
      <c r="BN320" s="80" t="n"/>
      <c r="BO320" s="80" t="n"/>
      <c r="BQ320" s="80" t="n"/>
      <c r="BR320" s="80" t="n"/>
      <c r="BS320" s="80" t="n"/>
      <c r="BT320" s="80" t="n"/>
      <c r="BV320" s="80" t="n"/>
      <c r="BW320" s="80" t="n"/>
      <c r="BX320" s="80" t="n"/>
      <c r="BY320" s="80" t="n"/>
      <c r="CA320" s="80" t="n"/>
      <c r="CB320" s="80" t="n"/>
      <c r="CC320" s="80" t="n"/>
      <c r="CD320" s="80" t="n"/>
      <c r="CF320" s="80" t="n"/>
      <c r="CG320" s="80" t="n"/>
      <c r="CH320" s="80" t="n"/>
      <c r="CI320" s="80" t="n"/>
      <c r="CK320" s="80" t="n"/>
      <c r="CL320" s="80" t="n"/>
      <c r="CM320" s="80" t="n"/>
      <c r="CN320" s="80" t="n"/>
      <c r="CP320" s="80" t="n"/>
      <c r="CQ320" s="80" t="n"/>
      <c r="CR320" s="80" t="n"/>
      <c r="CS320" s="80" t="n"/>
      <c r="CU320" s="80" t="n"/>
      <c r="CV320" s="80" t="n"/>
      <c r="CW320" s="80" t="n"/>
      <c r="CX320" s="80" t="n"/>
    </row>
    <row r="321" customFormat="1" s="77">
      <c r="A321" s="76" t="n"/>
      <c r="B321" s="76" t="n"/>
      <c r="C321" s="77" t="inlineStr">
        <is>
          <t>NET DEBT / EBITDA (LTM)</t>
        </is>
      </c>
      <c r="D321" s="82" t="str">
        <f>IFERROR(SUM((D197+D198+D199+D202+D220)-D129)/(D54*4),"")</f>
        <v/>
      </c>
      <c r="E321" s="82" t="str">
        <f>IFERROR(SUM((E197+E198+E199+E202+E220)-E129)/(E54*4),"")</f>
        <v/>
      </c>
      <c r="F321" s="82" t="str">
        <f>IFERROR(SUM((F197+F198+F199+F202+F220)-F129)/(F54*4),"")</f>
        <v/>
      </c>
      <c r="G321" s="82" t="str">
        <f>IFERROR(SUM((G197+G198+G199+G202+G220)-G129)/(G54*4),"")</f>
        <v/>
      </c>
      <c r="H321" s="262" t="str">
        <f>IFERROR(IF(AND(COUNT(H54)=1,(H54)&lt;&gt;0),((N(H197)+N(H198)+N(H199)+N(H202)+N(H220)+N(H223))-N(H129))/(H54),""),"")</f>
        <v/>
      </c>
      <c r="I321" s="262" t="str">
        <f>""</f>
        <v/>
      </c>
      <c r="J321" s="262" t="str">
        <f>""</f>
        <v/>
      </c>
      <c r="K321" s="262" t="str">
        <f>""</f>
        <v/>
      </c>
      <c r="L321" s="262">
        <f>IFERROR(IF(AND(COUNT(I54,J54,K54,L54)=4,(I54+J54+K54+L54)&lt;&gt;0),((N(L197)+N(L198)+N(L199)+N(L202)+N(L220)+N(L223))-N(L129))/(I54+J54+K54+L54),""),"")</f>
        <v>-0.382801822323462</v>
      </c>
      <c r="M321" s="262">
        <f>IFERROR(IF(AND(COUNT(I54,J54,K54,L54)=4,(I54+J54+K54+L54)&lt;&gt;0),((N(M197)+N(M198)+N(M199)+N(M202)+N(M220)+N(M223))-N(M129))/(I54+J54+K54+L54),""),"")</f>
        <v>-0.382801822323462</v>
      </c>
      <c r="N321" s="262">
        <f>IFERROR(IF(AND(COUNT(J54,K54,L54,N54)=4,(J54+K54+L54+N54)&lt;&gt;0),((N(N197)+N(N198)+N(N199)+N(N202)+N(N220)+N(N223))-N(N129))/(J54+K54+L54+N54),""),"")</f>
        <v>-0.328947368421053</v>
      </c>
      <c r="O321" s="262">
        <f>IFERROR(IF(AND(COUNT(K54,L54,N54,O54)=4,(K54+L54+N54+O54)&lt;&gt;0),((N(O197)+N(O198)+N(O199)+N(O202)+N(O220)+N(O223))-N(O129))/(K54+L54+N54+O54),""),"")</f>
        <v>-0.296206019499788</v>
      </c>
      <c r="P321" s="262">
        <f>IFERROR(IF(AND(COUNT(L54,N54,O54,P54)=4,(L54+N54+O54+P54)&lt;&gt;0),((N(P197)+N(P198)+N(P199)+N(P202)+N(P220)+N(P223))-N(P129))/(L54+N54+O54+P54),""),"")</f>
        <v>-0.207366140513773</v>
      </c>
      <c r="Q321" s="262">
        <f>IFERROR(IF(AND(COUNT(N54,O54,P54,Q54)=4,(N54+O54+P54+Q54)&lt;&gt;0),((N(Q197)+N(Q198)+N(Q199)+N(Q202)+N(Q220)+N(Q223))-N(Q129))/(N54+O54+P54+Q54),""),"")</f>
        <v>-0.268994470612329</v>
      </c>
      <c r="R321" s="262">
        <f>IFERROR(IF(AND(COUNT(N54,O54,P54,Q54)=4,(N54+O54+P54+Q54)&lt;&gt;0),((N(R197)+N(R198)+N(R199)+N(R202)+N(R220)+N(R223))-N(R129))/(N54+O54+P54+Q54),""),"")</f>
        <v>-0.268994470612329</v>
      </c>
      <c r="S321" s="262">
        <f>IFERROR(IF(AND(COUNT(O54,P54,Q54,S54)=4,(O54+P54+Q54+S54)&lt;&gt;0),((N(S197)+N(S198)+N(S199)+N(S202)+N(S220)+N(S223))-N(S129))/(O54+P54+Q54+S54),""),"")</f>
        <v>-0.461631786472551</v>
      </c>
      <c r="T321" s="262">
        <f>IFERROR(IF(AND(COUNT(P54,Q54,S54,T54)=4,(P54+Q54+S54+T54)&lt;&gt;0),((N(T197)+N(T198)+N(T199)+N(T202)+N(T220)+N(T223))-N(T129))/(P54+Q54+S54+T54),""),"")</f>
        <v>-0.479364108835219</v>
      </c>
      <c r="U321" s="262">
        <f>IFERROR(IF(AND(COUNT(Q54,S54,T54,U54)=4,(Q54+S54+T54+U54)&lt;&gt;0),((N(U197)+N(U198)+N(U199)+N(U202)+N(U220)+N(U223))-N(U129))/(Q54+S54+T54+U54),""),"")</f>
        <v>-0.623098812677853</v>
      </c>
      <c r="V321" s="262">
        <f>IFERROR(IF(AND(COUNT(S54,T54,U54,V54)=4,(S54+T54+U54+V54)&lt;&gt;0),((N(V197)+N(V198)+N(V199)+N(V202)+N(V220)+N(V223))-N(V129))/(S54+T54+U54+V54),""),"")</f>
        <v>-0.812845962970032</v>
      </c>
      <c r="W321" s="262">
        <f>IFERROR(IF(AND(COUNT(S54,T54,U54,V54)=4,(S54+T54+U54+V54)&lt;&gt;0),((N(W197)+N(W198)+N(W199)+N(W202)+N(W220)+N(W223))-N(W129))/(S54+T54+U54+V54),""),"")</f>
        <v>-0.812845962970032</v>
      </c>
      <c r="X321" s="262">
        <f>IFERROR(IF(AND(COUNT(T54,U54,V54,X54)=4,(T54+U54+V54+X54)&lt;&gt;0),((N(X197)+N(X198)+N(X199)+N(X202)+N(X220)+N(X223))-N(X129))/(T54+U54+V54+X54),""),"")</f>
        <v>-0.0831382829323097</v>
      </c>
      <c r="Y321" s="262">
        <f>IFERROR(IF(AND(COUNT(U54,V54,X54,Y54)=4,(U54+V54+X54+Y54)&lt;&gt;0),((N(Y197)+N(Y198)+N(Y199)+N(Y202)+N(Y220)+N(Y223))-N(Y129))/(U54+V54+X54+Y54),""),"")</f>
        <v>-0.195855198790358</v>
      </c>
      <c r="Z321" s="262">
        <f>IFERROR(IF(AND(COUNT(V54,X54,Y54,Z54)=4,(V54+X54+Y54+Z54)&lt;&gt;0),((N(Z197)+N(Z198)+N(Z199)+N(Z202)+N(Z220)+N(Z223))-N(Z129))/(V54+X54+Y54+Z54),""),"")</f>
        <v>-0.249262280854018</v>
      </c>
      <c r="AA321" s="262">
        <f>IFERROR(IF(AND(COUNT(X54,Y54,Z54,AA54)=4,(X54+Y54+Z54+AA54)&lt;&gt;0),((N(AA197)+N(AA198)+N(AA199)+N(AA202)+N(AA220)+N(AA223))-N(AA129))/(X54+Y54+Z54+AA54),""),"")</f>
        <v>-0.322043969102793</v>
      </c>
      <c r="AB321" s="262">
        <f>IFERROR(IF(AND(COUNT(X54,Y54,Z54,AA54)=4,(X54+Y54+Z54+AA54)&lt;&gt;0),((N(AB197)+N(AB198)+N(AB199)+N(AB202)+N(AB220)+N(AB223))-N(AB129))/(X54+Y54+Z54+AA54),""),"")</f>
        <v>-0.322043969102793</v>
      </c>
      <c r="AC321" s="262">
        <f>IFERROR(IF(AND(COUNT(Y54,Z54,AA54,AC54)=4,(Y54+Z54+AA54+AC54)&lt;&gt;0),((N(AC197)+N(AC198)+N(AC199)+N(AC202)+N(AC220)+N(AC223))-N(AC129))/(Y54+Z54+AA54+AC54),""),"")</f>
        <v>-0.424003975813799</v>
      </c>
      <c r="AD321" s="262">
        <f>IFERROR(IF(AND(COUNT(Z54,AA54,AC54,AD54)=4,(Z54+AA54+AC54+AD54)&lt;&gt;0),((N(AD197)+N(AD198)+N(AD199)+N(AD202)+N(AD220)+N(AD223))-N(AD129))/(Z54+AA54+AC54+AD54),""),"")</f>
        <v>-0.536087445748272</v>
      </c>
      <c r="AE321" s="262">
        <f>IFERROR(IF(AND(COUNT(AA54,AC54,AD54,AE54)=4,(AA54+AC54+AD54+AE54)&lt;&gt;0),((N(AE197)+N(AE198)+N(AE199)+N(AE202)+N(AE220)+N(AE223))-N(AE129))/(AA54+AC54+AD54+AE54),""),"")</f>
        <v>-0.555156530564447</v>
      </c>
      <c r="AF321" s="262">
        <f>IFERROR(IF(AND(COUNT(AB54,AD54,AE54,AF54)=4,(AB54+AD54+AE54+AF54)&lt;&gt;0),((N(AF197)+N(AF198)+N(AF199)+N(AF202)+N(AF220)+N(AF223))-N(AF129))/(AB54+AD54+AE54+AF54),""),"")</f>
        <v>-0.412060985570378</v>
      </c>
      <c r="AG321" s="262">
        <f>IFERROR(IF(AND(COUNT(AC54,AD54,AE54,AF54)=4,(AC54+AD54+AE54+AF54)&lt;&gt;0),((N(AG197)+N(AG198)+N(AG199)+N(AG202)+N(AG220)+N(AG223))-N(AG129))/(AC54+AD54+AE54+AF54),""),"")</f>
        <v>-0.691885714285714</v>
      </c>
      <c r="AH321" s="262">
        <f>IFERROR(IF(AND(COUNT(AD54,AF54,AG54,AH54)=4,(AD54+AF54+AG54+AH54)&lt;&gt;0),((N(AH197)+N(AH198)+N(AH199)+N(AH202)+N(AH220)+N(AH223))-N(AH129))/(AD54+AF54+AG54+AH54),""),"")</f>
        <v>-0.448375611927014</v>
      </c>
      <c r="AI321" s="262">
        <f>IFERROR(IF(AND(COUNT(AE54,AG54,AH54,AI54)=4,(AE54+AG54+AH54+AI54)&lt;&gt;0),((N(AI197)+N(AI198)+N(AI199)+N(AI202)+N(AI220)+N(AI223))-N(AI129))/(AE54+AG54+AH54+AI54),""),"")</f>
        <v>-0.497170404527353</v>
      </c>
      <c r="AJ321" s="262">
        <f>IFERROR(IF(AND(COUNT(AF54,AH54,AI54,AJ54)=4,(AF54+AH54+AI54+AJ54)&lt;&gt;0),((N(AJ197)+N(AJ198)+N(AJ199)+N(AJ202)+N(AJ220)+N(AJ223))-N(AJ129))/(AF54+AH54+AI54+AJ54),""),"")</f>
        <v>-0.911120840276388</v>
      </c>
      <c r="AK321" s="262">
        <f>IFERROR(IF(AND(COUNT(AH54,AI54,AJ54,AK54)=4,(AH54+AI54+AJ54+AK54)&lt;&gt;0),((N(AK197)+N(AK198)+N(AK199)+N(AK202)+N(AK220)+N(AK223))-N(AK129))/(AH54+AI54+AJ54+AK54),""),"")</f>
        <v>-1.07069653561475</v>
      </c>
      <c r="AL321" s="262">
        <f>IFERROR(IF(AND(COUNT(AH54,AI54,AJ54,AK54)=4,(AH54+AI54+AJ54+AK54)&lt;&gt;0),((N(AL197)+N(AL198)+N(AL199)+N(AL202)+N(AL220)+N(AL223))-N(AL129))/(AH54+AI54+AJ54+AK54),""),"")</f>
        <v>-1.07069653561475</v>
      </c>
      <c r="AM321" s="262">
        <f>IFERROR(IF(AND(COUNT(AI54,AJ54,AK54,AM54)=4,(AI54+AJ54+AK54+AM54)&lt;&gt;0),((N(AM197)+N(AM198)+N(AM199)+N(AM202)+N(AM220)+N(AM223))-N(AM129))/(AI54+AJ54+AK54+AM54),""),"")</f>
        <v>-1.19134749761585</v>
      </c>
      <c r="AN321" s="262">
        <f>IFERROR(IF(AND(COUNT(AJ54,AK54,AM54,AN54)=4,(AJ54+AK54+AM54+AN54)&lt;&gt;0),((N(AN197)+N(AN198)+N(AN199)+N(AN202)+N(AN220)+N(AN223))-N(AN129))/(AJ54+AK54+AM54+AN54),""),"")</f>
        <v>-1.33344715977689</v>
      </c>
      <c r="AO321" s="262">
        <f>IFERROR(IF(AND(COUNT(AK54,AM54,AN54,AO54)=4,(AK54+AM54+AN54+AO54)&lt;&gt;0),((N(AO197)+N(AO198)+N(AO199)+N(AO202)+N(AO220)+N(AO223))-N(AO129))/(AK54+AM54+AN54+AO54),""),"")</f>
        <v>-1.44956985250713</v>
      </c>
      <c r="AP321" s="262">
        <f>IFERROR(IF(AND(COUNT(AM54,AN54,AO54,AP54)=4,(AM54+AN54+AO54+AP54)&lt;&gt;0),((N(AP197)+N(AP198)+N(AP199)+N(AP202)+N(AP220)+N(AP223))-N(AP129))/(AM54+AN54+AO54+AP54),""),"")</f>
        <v>-1.62163101661022</v>
      </c>
      <c r="AQ321" s="262">
        <f>IFERROR(IF(AND(COUNT(AM54,AN54,AO54,AP54)=4,(AM54+AN54+AO54+AP54)&lt;&gt;0),((N(AQ197)+N(AQ198)+N(AQ199)+N(AQ202)+N(AQ220)+N(AQ223))-N(AQ129))/(AM54+AN54+AO54+AP54),""),"")</f>
        <v>-1.62163101661022</v>
      </c>
      <c r="AR321" s="262">
        <f>IFERROR(IF(AND(COUNT(AN54,AO54,AP54,AR54)=4,(AN54+AO54+AP54+AR54)&lt;&gt;0),((N(AR197)+N(AR198)+N(AR199)+N(AR202)+N(AR220)+N(AR223))-N(AR129))/(AN54+AO54+AP54+AR54),""),"")</f>
        <v>-1.75345804100169</v>
      </c>
      <c r="AS321" s="262">
        <f>IFERROR(IF(AND(COUNT(AO54,AP54,AR54,AS54)=4,(AO54+AP54+AR54+AS54)&lt;&gt;0),((N(AS197)+N(AS198)+N(AS199)+N(AS202)+N(AS220)+N(AS223))-N(AS129))/(AO54+AP54+AR54+AS54),""),"")</f>
        <v>-1.89047830672727</v>
      </c>
      <c r="AT321" s="262">
        <f>IFERROR(IF(AND(COUNT(AP54,AR54,AS54,AT54)=4,(AP54+AR54+AS54+AT54)&lt;&gt;0),((N(AT197)+N(AT198)+N(AT199)+N(AT202)+N(AT220)+N(AT223))-N(AT129))/(AP54+AR54+AS54+AT54),""),"")</f>
        <v>-2.00941823652291</v>
      </c>
      <c r="AU321" s="262">
        <f>IFERROR(IF(AND(COUNT(AR54,AS54,AT54,AU54)=4,(AR54+AS54+AT54+AU54)&lt;&gt;0),((N(AU197)+N(AU198)+N(AU199)+N(AU202)+N(AU220)+N(AU223))-N(AU129))/(AR54+AS54+AT54+AU54),""),"")</f>
        <v>-2.18789037182934</v>
      </c>
      <c r="AV321" s="262">
        <f>IFERROR(IF(AND(COUNT(AR54,AS54,AT54,AU54)=4,(AR54+AS54+AT54+AU54)&lt;&gt;0),((N(AV197)+N(AV198)+N(AV199)+N(AV202)+N(AV220)+N(AV223))-N(AV129))/(AR54+AS54+AT54+AU54),""),"")</f>
        <v>-2.18789037182934</v>
      </c>
      <c r="AW321" s="262">
        <f>IFERROR(IF(AND(COUNT(AS54,AT54,AU54,AW54)=4,(AS54+AT54+AU54+AW54)&lt;&gt;0),((N(AW197)+N(AW198)+N(AW199)+N(AW202)+N(AW220)+N(AW223))-N(AW129))/(AS54+AT54+AU54+AW54),""),"")</f>
        <v>-2.32522248607726</v>
      </c>
      <c r="AX321" s="262">
        <f>IFERROR(IF(AND(COUNT(AT54,AU54,AW54,AX54)=4,(AT54+AU54+AW54+AX54)&lt;&gt;0),((N(AX197)+N(AX198)+N(AX199)+N(AX202)+N(AX220)+N(AX223))-N(AX129))/(AT54+AU54+AW54+AX54),""),"")</f>
        <v>-2.47075786992073</v>
      </c>
      <c r="AY321" s="262">
        <f>IFERROR(IF(AND(COUNT(AU54,AW54,AX54,AY54)=4,(AU54+AW54+AX54+AY54)&lt;&gt;0),((N(AY197)+N(AY198)+N(AY199)+N(AY202)+N(AY220)+N(AY223))-N(AY129))/(AU54+AW54+AX54+AY54),""),"")</f>
        <v>-2.59499478227356</v>
      </c>
      <c r="AZ321" s="262">
        <f>IFERROR(IF(AND(COUNT(AW54,AX54,AY54,AZ54)=4,(AW54+AX54+AY54+AZ54)&lt;&gt;0),((N(AZ197)+N(AZ198)+N(AZ199)+N(AZ202)+N(AZ220)+N(AZ223))-N(AZ129))/(AW54+AX54+AY54+AZ54),""),"")</f>
        <v>-2.78205322710143</v>
      </c>
      <c r="BA321" s="262">
        <f>IFERROR(IF(AND(COUNT(AW54,AX54,AY54,AZ54)=4,(AW54+AX54+AY54+AZ54)&lt;&gt;0),((N(BA197)+N(BA198)+N(BA199)+N(BA202)+N(BA220)+N(BA223))-N(BA129))/(AW54+AX54+AY54+AZ54),""),"")</f>
        <v>-2.78205322710143</v>
      </c>
      <c r="BB321" s="262">
        <f>IFERROR(IF(AND(COUNT(AX54,AY54,AZ54,BB54)=4,(AX54+AY54+AZ54+BB54)&lt;&gt;0),((N(BB197)+N(BB198)+N(BB199)+N(BB202)+N(BB220)+N(BB223))-N(BB129))/(AX54+AY54+AZ54+BB54),""),"")</f>
        <v>-2.92829307584438</v>
      </c>
      <c r="BC321" s="262">
        <f>IFERROR(IF(AND(COUNT(AY54,AZ54,BB54,BC54)=4,(AY54+AZ54+BB54+BC54)&lt;&gt;0),((N(BC197)+N(BC198)+N(BC199)+N(BC202)+N(BC220)+N(BC223))-N(BC129))/(AY54+AZ54+BB54+BC54),""),"")</f>
        <v>-3.08283635221865</v>
      </c>
      <c r="BD321" s="262">
        <f>IFERROR(IF(AND(COUNT(AZ54,BB54,BC54,BD54)=4,(AZ54+BB54+BC54+BD54)&lt;&gt;0),((N(BD197)+N(BD198)+N(BD199)+N(BD202)+N(BD220)+N(BD223))-N(BD129))/(AZ54+BB54+BC54+BD54),""),"")</f>
        <v>-3.21440093677669</v>
      </c>
      <c r="BE321" s="262">
        <f>IFERROR(IF(AND(COUNT(BB54,BC54,BD54,BE54)=4,(BB54+BC54+BD54+BE54)&lt;&gt;0),((N(BE197)+N(BE198)+N(BE199)+N(BE202)+N(BE220)+N(BE223))-N(BE129))/(BB54+BC54+BD54+BE54),""),"")</f>
        <v>-3.4117681106213</v>
      </c>
      <c r="BF321" s="262">
        <f>IFERROR(IF(AND(COUNT(BB54,BC54,BD54,BE54)=4,(BB54+BC54+BD54+BE54)&lt;&gt;0),((N(BF197)+N(BF198)+N(BF199)+N(BF202)+N(BF220)+N(BF223))-N(BF129))/(BB54+BC54+BD54+BE54),""),"")</f>
        <v>-3.4117681106213</v>
      </c>
      <c r="BG321" s="82" t="n"/>
      <c r="BH321" s="82" t="n"/>
      <c r="BI321" s="82" t="n"/>
      <c r="BJ321" s="82" t="n"/>
      <c r="BL321" s="82" t="n"/>
      <c r="BM321" s="82" t="n"/>
      <c r="BN321" s="82" t="n"/>
      <c r="BO321" s="82" t="n"/>
      <c r="BQ321" s="82" t="n"/>
      <c r="BR321" s="82" t="n"/>
      <c r="BS321" s="82" t="n"/>
      <c r="BT321" s="82" t="n"/>
      <c r="BV321" s="82" t="n"/>
      <c r="BW321" s="82" t="n"/>
      <c r="BX321" s="82" t="n"/>
      <c r="BY321" s="82" t="n"/>
      <c r="CA321" s="82" t="n"/>
      <c r="CB321" s="82" t="n"/>
      <c r="CC321" s="82" t="n"/>
      <c r="CD321" s="82" t="n"/>
      <c r="CF321" s="82" t="n"/>
      <c r="CG321" s="82" t="n"/>
      <c r="CH321" s="82" t="n"/>
      <c r="CI321" s="82" t="n"/>
      <c r="CK321" s="82" t="n"/>
      <c r="CL321" s="82" t="n"/>
      <c r="CM321" s="82" t="n"/>
      <c r="CN321" s="82" t="n"/>
      <c r="CP321" s="82" t="n"/>
      <c r="CQ321" s="82" t="n"/>
      <c r="CR321" s="82" t="n"/>
      <c r="CS321" s="82" t="n"/>
      <c r="CU321" s="82" t="n"/>
      <c r="CV321" s="82" t="n"/>
      <c r="CW321" s="82" t="n"/>
      <c r="CX321" s="82" t="n"/>
    </row>
    <row r="322" customFormat="1" s="77">
      <c r="A322" s="76" t="n"/>
      <c r="B322" s="76" t="n"/>
      <c r="C322" s="83" t="inlineStr">
        <is>
          <t>NET DEBT (EX IFRS 16.) / EBITDA (LTM)</t>
        </is>
      </c>
      <c r="D322" s="82" t="str">
        <f>IFERROR(SUM((D197+D198+D202)-D129)/(D54*4),"")</f>
        <v/>
      </c>
      <c r="E322" s="82" t="str">
        <f>IFERROR(SUM((E197+E198+E202)-E129)/(E54*4),"")</f>
        <v/>
      </c>
      <c r="F322" s="82" t="str">
        <f>IFERROR(SUM((F197+F198+F202)-F129)/(F54*4),"")</f>
        <v/>
      </c>
      <c r="G322" s="82" t="str">
        <f>IFERROR(SUM((G197+G198+G202)-G129)/(G54*4),"")</f>
        <v/>
      </c>
      <c r="H322" s="262" t="str">
        <f>IFERROR(IF(AND(COUNT(H54)=1,(H54)&lt;&gt;0),((N(H197)+N(H198)+N(H202)+N(H223))-N(H129))/(H54),""),"")</f>
        <v/>
      </c>
      <c r="I322" s="262" t="str">
        <f>""</f>
        <v/>
      </c>
      <c r="J322" s="262" t="str">
        <f>""</f>
        <v/>
      </c>
      <c r="K322" s="262" t="str">
        <f>""</f>
        <v/>
      </c>
      <c r="L322" s="262">
        <f>IFERROR(IF(AND(COUNT(I54,J54,K54,L54)=4,(I54+J54+K54+L54)&lt;&gt;0),((N(L197)+N(L198)+N(L202)+N(L223))-N(L129))/(I54+J54+K54+L54),""),"")</f>
        <v>-0.684510250569476</v>
      </c>
      <c r="M322" s="262">
        <f>IFERROR(IF(AND(COUNT(I54,J54,K54,L54)=4,(I54+J54+K54+L54)&lt;&gt;0),((N(M197)+N(M198)+N(M202)+N(M223))-N(M129))/(I54+J54+K54+L54),""),"")</f>
        <v>-0.684510250569476</v>
      </c>
      <c r="N322" s="262">
        <f>IFERROR(IF(AND(COUNT(J54,K54,L54,N54)=4,(J54+K54+L54+N54)&lt;&gt;0),((N(N197)+N(N198)+N(N202)+N(N223))-N(N129))/(J54+K54+L54+N54),""),"")</f>
        <v>-0.608067299396031</v>
      </c>
      <c r="O322" s="262">
        <f>IFERROR(IF(AND(COUNT(K54,L54,N54,O54)=4,(K54+L54+N54+O54)&lt;&gt;0),((N(O197)+N(O198)+N(O202)+N(O223))-N(O129))/(K54+L54+N54+O54),""),"")</f>
        <v>-0.556061890631624</v>
      </c>
      <c r="P322" s="262">
        <f>IFERROR(IF(AND(COUNT(L54,N54,O54,P54)=4,(L54+N54+O54+P54)&lt;&gt;0),((N(P197)+N(P198)+N(P202)+N(P223))-N(P129))/(L54+N54+O54+P54),""),"")</f>
        <v>-0.463427215516352</v>
      </c>
      <c r="Q322" s="262">
        <f>IFERROR(IF(AND(COUNT(N54,O54,P54,Q54)=4,(N54+O54+P54+Q54)&lt;&gt;0),((N(Q197)+N(Q198)+N(Q202)+N(Q223))-N(Q129))/(N54+O54+P54+Q54),""),"")</f>
        <v>-0.525291828793774</v>
      </c>
      <c r="R322" s="262">
        <f>IFERROR(IF(AND(COUNT(N54,O54,P54,Q54)=4,(N54+O54+P54+Q54)&lt;&gt;0),((N(R197)+N(R198)+N(R202)+N(R223))-N(R129))/(N54+O54+P54+Q54),""),"")</f>
        <v>-0.525291828793774</v>
      </c>
      <c r="S322" s="262">
        <f>IFERROR(IF(AND(COUNT(O54,P54,Q54,S54)=4,(O54+P54+Q54+S54)&lt;&gt;0),((N(S197)+N(S198)+N(S202)+N(S223))-N(S129))/(O54+P54+Q54+S54),""),"")</f>
        <v>-0.720149630977657</v>
      </c>
      <c r="T322" s="262">
        <f>IFERROR(IF(AND(COUNT(P54,Q54,S54,T54)=4,(P54+Q54+S54+T54)&lt;&gt;0),((N(T197)+N(T198)+N(T202)+N(T223))-N(T129))/(P54+Q54+S54+T54),""),"")</f>
        <v>-0.734841536736982</v>
      </c>
      <c r="U322" s="262">
        <f>IFERROR(IF(AND(COUNT(Q54,S54,T54,U54)=4,(Q54+S54+T54+U54)&lt;&gt;0),((N(U197)+N(U198)+N(U202)+N(U223))-N(U129))/(Q54+S54+T54+U54),""),"")</f>
        <v>-0.861151996859975</v>
      </c>
      <c r="V322" s="262">
        <f>IFERROR(IF(AND(COUNT(S54,T54,U54,V54)=4,(S54+T54+U54+V54)&lt;&gt;0),((N(V197)+N(V198)+N(V202)+N(V223))-N(V129))/(S54+T54+U54+V54),""),"")</f>
        <v>-1.04199274670739</v>
      </c>
      <c r="W322" s="262">
        <f>IFERROR(IF(AND(COUNT(S54,T54,U54,V54)=4,(S54+T54+U54+V54)&lt;&gt;0),((N(W197)+N(W198)+N(W202)+N(W223))-N(W129))/(S54+T54+U54+V54),""),"")</f>
        <v>-1.04199274670739</v>
      </c>
      <c r="X322" s="262">
        <f>IFERROR(IF(AND(COUNT(T54,U54,V54,X54)=4,(T54+U54+V54+X54)&lt;&gt;0),((N(X197)+N(X198)+N(X202)+N(X223))-N(X129))/(T54+U54+V54+X54),""),"")</f>
        <v>-0.316075273850763</v>
      </c>
      <c r="Y322" s="262">
        <f>IFERROR(IF(AND(COUNT(U54,V54,X54,Y54)=4,(U54+V54+X54+Y54)&lt;&gt;0),((N(Y197)+N(Y198)+N(Y202)+N(Y223))-N(Y129))/(U54+V54+X54+Y54),""),"")</f>
        <v>-0.408076136262563</v>
      </c>
      <c r="Z322" s="262">
        <f>IFERROR(IF(AND(COUNT(V54,X54,Y54,Z54)=4,(V54+X54+Y54+Z54)&lt;&gt;0),((N(Z197)+N(Z198)+N(Z202)+N(Z223))-N(Z129))/(V54+X54+Y54+Z54),""),"")</f>
        <v>-0.455389689290054</v>
      </c>
      <c r="AA322" s="262">
        <f>IFERROR(IF(AND(COUNT(X54,Y54,Z54,AA54)=4,(X54+Y54+Z54+AA54)&lt;&gt;0),((N(AA197)+N(AA198)+N(AA202)+N(AA223))-N(AA129))/(X54+Y54+Z54+AA54),""),"")</f>
        <v>-0.516254986843222</v>
      </c>
      <c r="AB322" s="262">
        <f>IFERROR(IF(AND(COUNT(X54,Y54,Z54,AA54)=4,(X54+Y54+Z54+AA54)&lt;&gt;0),((N(AB197)+N(AB198)+N(AB202)+N(AB223))-N(AB129))/(X54+Y54+Z54+AA54),""),"")</f>
        <v>-0.516254986843222</v>
      </c>
      <c r="AC322" s="262">
        <f>IFERROR(IF(AND(COUNT(Y54,Z54,AA54,AC54)=4,(Y54+Z54+AA54+AC54)&lt;&gt;0),((N(AC197)+N(AC198)+N(AC202)+N(AC223))-N(AC129))/(Y54+Z54+AA54+AC54),""),"")</f>
        <v>-0.6131864491013</v>
      </c>
      <c r="AD322" s="262">
        <f>IFERROR(IF(AND(COUNT(Z54,AA54,AC54,AD54)=4,(Z54+AA54+AC54+AD54)&lt;&gt;0),((N(AD197)+N(AD198)+N(AD202)+N(AD223))-N(AD129))/(Z54+AA54+AC54+AD54),""),"")</f>
        <v>-0.734045973316187</v>
      </c>
      <c r="AE322" s="262">
        <f>IFERROR(IF(AND(COUNT(AA54,AC54,AD54,AE54)=4,(AA54+AC54+AD54+AE54)&lt;&gt;0),((N(AE197)+N(AE198)+N(AE202)+N(AE223))-N(AE129))/(AA54+AC54+AD54+AE54),""),"")</f>
        <v>-0.747208993676321</v>
      </c>
      <c r="AF322" s="262">
        <f>IFERROR(IF(AND(COUNT(AB54,AD54,AE54,AF54)=4,(AB54+AD54+AE54+AF54)&lt;&gt;0),((N(AF197)+N(AF198)+N(AF202)+N(AF223))-N(AF129))/(AB54+AD54+AE54+AF54),""),"")</f>
        <v>-0.522597331881296</v>
      </c>
      <c r="AG322" s="262">
        <f>IFERROR(IF(AND(COUNT(AC54,AD54,AE54,AF54)=4,(AC54+AD54+AE54+AF54)&lt;&gt;0),((N(AG197)+N(AG198)+N(AG202)+N(AG223))-N(AG129))/(AC54+AD54+AE54+AF54),""),"")</f>
        <v>-0.877485714285714</v>
      </c>
      <c r="AH322" s="262">
        <f>IFERROR(IF(AND(COUNT(AD54,AF54,AG54,AH54)=4,(AD54+AF54+AG54+AH54)&lt;&gt;0),((N(AH197)+N(AH198)+N(AH202)+N(AH223))-N(AH129))/(AD54+AF54+AG54+AH54),""),"")</f>
        <v>-0.558611481975968</v>
      </c>
      <c r="AI322" s="262">
        <f>IFERROR(IF(AND(COUNT(AE54,AG54,AH54,AI54)=4,(AE54+AG54+AH54+AI54)&lt;&gt;0),((N(AI197)+N(AI198)+N(AI202)+N(AI223))-N(AI129))/(AE54+AG54+AH54+AI54),""),"")</f>
        <v>-0.600544959128065</v>
      </c>
      <c r="AJ322" s="262">
        <f>IFERROR(IF(AND(COUNT(AF54,AH54,AI54,AJ54)=4,(AF54+AH54+AI54+AJ54)&lt;&gt;0),((N(AJ197)+N(AJ198)+N(AJ202)+N(AJ223))-N(AJ129))/(AF54+AH54+AI54+AJ54),""),"")</f>
        <v>-1.08625016038439</v>
      </c>
      <c r="AK322" s="262">
        <f>IFERROR(IF(AND(COUNT(AH54,AI54,AJ54,AK54)=4,(AH54+AI54+AJ54+AK54)&lt;&gt;0),((N(AK197)+N(AK198)+N(AK202)+N(AK223))-N(AK129))/(AH54+AI54+AJ54+AK54),""),"")</f>
        <v>-1.24119931700739</v>
      </c>
      <c r="AL322" s="262">
        <f>IFERROR(IF(AND(COUNT(AH54,AI54,AJ54,AK54)=4,(AH54+AI54+AJ54+AK54)&lt;&gt;0),((N(AL197)+N(AL198)+N(AL202)+N(AL223))-N(AL129))/(AH54+AI54+AJ54+AK54),""),"")</f>
        <v>-1.24119931700739</v>
      </c>
      <c r="AM322" s="262">
        <f>IFERROR(IF(AND(COUNT(AI54,AJ54,AK54,AM54)=4,(AI54+AJ54+AK54+AM54)&lt;&gt;0),((N(AM197)+N(AM198)+N(AM202)+N(AM223))-N(AM129))/(AI54+AJ54+AK54+AM54),""),"")</f>
        <v>-1.35775209627395</v>
      </c>
      <c r="AN322" s="262">
        <f>IFERROR(IF(AND(COUNT(AJ54,AK54,AM54,AN54)=4,(AJ54+AK54+AM54+AN54)&lt;&gt;0),((N(AN197)+N(AN198)+N(AN202)+N(AN223))-N(AN129))/(AJ54+AK54+AM54+AN54),""),"")</f>
        <v>-1.49769323857266</v>
      </c>
      <c r="AO322" s="262">
        <f>IFERROR(IF(AND(COUNT(AK54,AM54,AN54,AO54)=4,(AK54+AM54+AN54+AO54)&lt;&gt;0),((N(AO197)+N(AO198)+N(AO202)+N(AO223))-N(AO129))/(AK54+AM54+AN54+AO54),""),"")</f>
        <v>-1.60957020215116</v>
      </c>
      <c r="AP322" s="262">
        <f>IFERROR(IF(AND(COUNT(AM54,AN54,AO54,AP54)=4,(AM54+AN54+AO54+AP54)&lt;&gt;0),((N(AP197)+N(AP198)+N(AP202)+N(AP223))-N(AP129))/(AM54+AN54+AO54+AP54),""),"")</f>
        <v>-1.77846420658947</v>
      </c>
      <c r="AQ322" s="262">
        <f>IFERROR(IF(AND(COUNT(AM54,AN54,AO54,AP54)=4,(AM54+AN54+AO54+AP54)&lt;&gt;0),((N(AQ197)+N(AQ198)+N(AQ202)+N(AQ223))-N(AQ129))/(AM54+AN54+AO54+AP54),""),"")</f>
        <v>-1.77846420658947</v>
      </c>
      <c r="AR322" s="262">
        <f>IFERROR(IF(AND(COUNT(AN54,AO54,AP54,AR54)=4,(AN54+AO54+AP54+AR54)&lt;&gt;0),((N(AR197)+N(AR198)+N(AR202)+N(AR223))-N(AR129))/(AN54+AO54+AP54+AR54),""),"")</f>
        <v>-1.90731616991015</v>
      </c>
      <c r="AS322" s="262">
        <f>IFERROR(IF(AND(COUNT(AO54,AP54,AR54,AS54)=4,(AO54+AP54+AR54+AS54)&lt;&gt;0),((N(AS197)+N(AS198)+N(AS202)+N(AS223))-N(AS129))/(AO54+AP54+AR54+AS54),""),"")</f>
        <v>-2.04143459204362</v>
      </c>
      <c r="AT322" s="262">
        <f>IFERROR(IF(AND(COUNT(AP54,AR54,AS54,AT54)=4,(AP54+AR54+AS54+AT54)&lt;&gt;0),((N(AT197)+N(AT198)+N(AT202)+N(AT223))-N(AT129))/(AP54+AR54+AS54+AT54),""),"")</f>
        <v>-2.15667492820763</v>
      </c>
      <c r="AU322" s="262">
        <f>IFERROR(IF(AND(COUNT(AR54,AS54,AT54,AU54)=4,(AR54+AS54+AT54+AU54)&lt;&gt;0),((N(AU197)+N(AU198)+N(AU202)+N(AU223))-N(AU129))/(AR54+AS54+AT54+AU54),""),"")</f>
        <v>-2.33238065588371</v>
      </c>
      <c r="AV322" s="262">
        <f>IFERROR(IF(AND(COUNT(AR54,AS54,AT54,AU54)=4,(AR54+AS54+AT54+AU54)&lt;&gt;0),((N(AV197)+N(AV198)+N(AV202)+N(AV223))-N(AV129))/(AR54+AS54+AT54+AU54),""),"")</f>
        <v>-2.33238065588371</v>
      </c>
      <c r="AW322" s="262">
        <f>IFERROR(IF(AND(COUNT(AS54,AT54,AU54,AW54)=4,(AS54+AT54+AU54+AW54)&lt;&gt;0),((N(AW197)+N(AW198)+N(AW202)+N(AW223))-N(AW129))/(AS54+AT54+AU54+AW54),""),"")</f>
        <v>-2.46712941135824</v>
      </c>
      <c r="AX322" s="262">
        <f>IFERROR(IF(AND(COUNT(AT54,AU54,AW54,AX54)=4,(AT54+AU54+AW54+AX54)&lt;&gt;0),((N(AX197)+N(AX198)+N(AX202)+N(AX223))-N(AX129))/(AT54+AU54+AW54+AX54),""),"")</f>
        <v>-2.61013947511829</v>
      </c>
      <c r="AY322" s="262">
        <f>IFERROR(IF(AND(COUNT(AU54,AW54,AX54,AY54)=4,(AU54+AW54+AX54+AY54)&lt;&gt;0),((N(AY197)+N(AY198)+N(AY202)+N(AY223))-N(AY129))/(AU54+AW54+AX54+AY54),""),"")</f>
        <v>-2.73114886742135</v>
      </c>
      <c r="AZ322" s="262">
        <f>IFERROR(IF(AND(COUNT(AW54,AX54,AY54,AZ54)=4,(AW54+AX54+AY54+AZ54)&lt;&gt;0),((N(AZ197)+N(AZ198)+N(AZ202)+N(AZ223))-N(AZ129))/(AW54+AX54+AY54+AZ54),""),"")</f>
        <v>-2.91578805136032</v>
      </c>
      <c r="BA322" s="262">
        <f>IFERROR(IF(AND(COUNT(AW54,AX54,AY54,AZ54)=4,(AW54+AX54+AY54+AZ54)&lt;&gt;0),((N(BA197)+N(BA198)+N(BA202)+N(BA223))-N(BA129))/(AW54+AX54+AY54+AZ54),""),"")</f>
        <v>-2.91578805136032</v>
      </c>
      <c r="BB322" s="262">
        <f>IFERROR(IF(AND(COUNT(AX54,AY54,AZ54,BB54)=4,(AX54+AY54+AZ54+BB54)&lt;&gt;0),((N(BB197)+N(BB198)+N(BB202)+N(BB223))-N(BB129))/(AX54+AY54+AZ54+BB54),""),"")</f>
        <v>-3.05978299796157</v>
      </c>
      <c r="BC322" s="262">
        <f>IFERROR(IF(AND(COUNT(AY54,AZ54,BB54,BC54)=4,(AY54+AZ54+BB54+BC54)&lt;&gt;0),((N(BC197)+N(BC198)+N(BC202)+N(BC223))-N(BC129))/(AY54+AZ54+BB54+BC54),""),"")</f>
        <v>-3.21212697261807</v>
      </c>
      <c r="BD322" s="262">
        <f>IFERROR(IF(AND(COUNT(AZ54,BB54,BC54,BD54)=4,(AZ54+BB54+BC54+BD54)&lt;&gt;0),((N(BD197)+N(BD198)+N(BD202)+N(BD223))-N(BD129))/(AZ54+BB54+BC54+BD54),""),"")</f>
        <v>-3.34087372662108</v>
      </c>
      <c r="BE322" s="262">
        <f>IFERROR(IF(AND(COUNT(BB54,BC54,BD54,BE54)=4,(BB54+BC54+BD54+BE54)&lt;&gt;0),((N(BE197)+N(BE198)+N(BE202)+N(BE223))-N(BE129))/(BB54+BC54+BD54+BE54),""),"")</f>
        <v>-3.53612357589443</v>
      </c>
      <c r="BF322" s="262">
        <f>IFERROR(IF(AND(COUNT(BB54,BC54,BD54,BE54)=4,(BB54+BC54+BD54+BE54)&lt;&gt;0),((N(BF197)+N(BF198)+N(BF202)+N(BF223))-N(BF129))/(BB54+BC54+BD54+BE54),""),"")</f>
        <v>-3.53612357589443</v>
      </c>
      <c r="BG322" s="82" t="n"/>
      <c r="BH322" s="82" t="n"/>
      <c r="BI322" s="82" t="n"/>
      <c r="BJ322" s="82" t="n"/>
      <c r="BL322" s="82" t="n"/>
      <c r="BM322" s="82" t="n"/>
      <c r="BN322" s="82" t="n"/>
      <c r="BO322" s="82" t="n"/>
      <c r="BQ322" s="82" t="n"/>
      <c r="BR322" s="82" t="n"/>
      <c r="BS322" s="82" t="n"/>
      <c r="BT322" s="82" t="n"/>
      <c r="BV322" s="82" t="n"/>
      <c r="BW322" s="82" t="n"/>
      <c r="BX322" s="82" t="n"/>
      <c r="BY322" s="82" t="n"/>
      <c r="CA322" s="82" t="n"/>
      <c r="CB322" s="82" t="n"/>
      <c r="CC322" s="82" t="n"/>
      <c r="CD322" s="82" t="n"/>
      <c r="CF322" s="82" t="n"/>
      <c r="CG322" s="82" t="n"/>
      <c r="CH322" s="82" t="n"/>
      <c r="CI322" s="82" t="n"/>
      <c r="CK322" s="82" t="n"/>
      <c r="CL322" s="82" t="n"/>
      <c r="CM322" s="82" t="n"/>
      <c r="CN322" s="82" t="n"/>
      <c r="CP322" s="82" t="n"/>
      <c r="CQ322" s="82" t="n"/>
      <c r="CR322" s="82" t="n"/>
      <c r="CS322" s="82" t="n"/>
      <c r="CU322" s="82" t="n"/>
      <c r="CV322" s="82" t="n"/>
      <c r="CW322" s="82" t="n"/>
      <c r="CX322" s="82" t="n"/>
    </row>
    <row r="323" customFormat="1" s="77">
      <c r="A323" s="76" t="n"/>
      <c r="B323" s="76" t="n"/>
      <c r="C323" s="77" t="inlineStr">
        <is>
          <t>INTEREST COVERAGE (EBIT / INTEREST, LTM)</t>
        </is>
      </c>
      <c r="D323" s="82" t="str">
        <f>IFERROR(D58/-D59,"")</f>
        <v/>
      </c>
      <c r="E323" s="82" t="str">
        <f>IFERROR(E58/-E59,"")</f>
        <v/>
      </c>
      <c r="F323" s="82" t="str">
        <f>IFERROR(F58/-F59,"")</f>
        <v/>
      </c>
      <c r="G323" s="82" t="str">
        <f>IFERROR(G58/-G59,"")</f>
        <v/>
      </c>
      <c r="H323" s="262" t="str">
        <f>IFERROR(IF(AND(COUNT(H58)=1,(H59)&lt;&gt;0),(H58)/-(H59),""),"")</f>
        <v/>
      </c>
      <c r="I323" s="262" t="str">
        <f>""</f>
        <v/>
      </c>
      <c r="J323" s="262" t="str">
        <f>""</f>
        <v/>
      </c>
      <c r="K323" s="262" t="str">
        <f>""</f>
        <v/>
      </c>
      <c r="L323" s="262">
        <f>IFERROR(IF(AND(COUNT(I58,J58,K58,L58)=4,(I59+J59+K59+L59)&lt;&gt;0),(I58+J58+K58+L58)/-(I59+J59+K59+L59),""),"")</f>
        <v>40.766081871345</v>
      </c>
      <c r="M323" s="262">
        <f>IFERROR(IF(AND(COUNT(I58,J58,K58,L58)=4,(I59+J59+K59+L59)&lt;&gt;0),(I58+J58+K58+L58)/-(I59+J59+K59+L59),""),"")</f>
        <v>40.766081871345</v>
      </c>
      <c r="N323" s="262">
        <f>IFERROR(IF(AND(COUNT(J58,K58,L58,N58)=4,(J59+K59+L59+N59)&lt;&gt;0),(J58+K58+L58+N58)/-(J59+K59+L59+N59),""),"")</f>
        <v>44.5688622754491</v>
      </c>
      <c r="O323" s="262">
        <f>IFERROR(IF(AND(COUNT(K58,L58,N58,O58)=4,(K59+L59+N59+O59)&lt;&gt;0),(K58+L58+N58+O58)/-(K59+L59+N59+O59),""),"")</f>
        <v>46.7345679012346</v>
      </c>
      <c r="P323" s="262">
        <f>IFERROR(IF(AND(COUNT(L58,N58,O58,P58)=4,(L59+N59+O59+P59)&lt;&gt;0),(L58+N58+O58+P58)/-(L59+N59+O59+P59),""),"")</f>
        <v>49.3227848101266</v>
      </c>
      <c r="Q323" s="262">
        <f>IFERROR(IF(AND(COUNT(N58,O58,P58,Q58)=4,(N59+O59+P59+Q59)&lt;&gt;0),(N58+O58+P58+Q58)/-(N59+O59+P59+Q59),""),"")</f>
        <v>51.3137254901961</v>
      </c>
      <c r="R323" s="262">
        <f>IFERROR(IF(AND(COUNT(N58,O58,P58,Q58)=4,(N59+O59+P59+Q59)&lt;&gt;0),(N58+O58+P58+Q58)/-(N59+O59+P59+Q59),""),"")</f>
        <v>51.3137254901961</v>
      </c>
      <c r="S323" s="262">
        <f>IFERROR(IF(AND(COUNT(O58,P58,Q58,S58)=4,(O59+P59+Q59+S59)&lt;&gt;0),(O58+P58+Q58+S58)/-(O59+P59+Q59+S59),""),"")</f>
        <v>52.5960264900662</v>
      </c>
      <c r="T323" s="262">
        <f>IFERROR(IF(AND(COUNT(P58,Q58,S58,T58)=4,(P59+Q59+S59+T59)&lt;&gt;0),(P58+Q58+S58+T58)/-(P59+Q59+S59+T59),""),"")</f>
        <v>51.5131578947368</v>
      </c>
      <c r="U323" s="262">
        <f>IFERROR(IF(AND(COUNT(Q58,S58,T58,U58)=4,(Q59+S59+T59+U59)&lt;&gt;0),(Q58+S58+T58+U58)/-(Q59+S59+T59+U59),""),"")</f>
        <v>50.7125</v>
      </c>
      <c r="V323" s="262">
        <f>IFERROR(IF(AND(COUNT(S58,T58,U58,V58)=4,(S59+T59+U59+V59)&lt;&gt;0),(S58+T58+U58+V58)/-(S59+T59+U59+V59),""),"")</f>
        <v>50.8963414634146</v>
      </c>
      <c r="W323" s="262">
        <f>IFERROR(IF(AND(COUNT(S58,T58,U58,V58)=4,(S59+T59+U59+V59)&lt;&gt;0),(S58+T58+U58+V58)/-(S59+T59+U59+V59),""),"")</f>
        <v>50.8963414634146</v>
      </c>
      <c r="X323" s="262">
        <f>IFERROR(IF(AND(COUNT(T58,U58,V58,X58)=4,(T59+U59+V59+X59)&lt;&gt;0),(T58+U58+V58+X58)/-(T59+U59+V59+X59),""),"")</f>
        <v>49.7426900584795</v>
      </c>
      <c r="Y323" s="262">
        <f>IFERROR(IF(AND(COUNT(U58,V58,X58,Y58)=4,(U59+V59+X59+Y59)&lt;&gt;0),(U58+V58+X58+Y58)/-(U59+V59+X59+Y59),""),"")</f>
        <v>51.2727272727273</v>
      </c>
      <c r="Z323" s="262">
        <f>IFERROR(IF(AND(COUNT(V58,X58,Y58,Z58)=4,(V59+X59+Y59+Z59)&lt;&gt;0),(V58+X58+Y58+Z58)/-(V59+X59+Y59+Z59),""),"")</f>
        <v>54.9408284023669</v>
      </c>
      <c r="AA323" s="262">
        <f>IFERROR(IF(AND(COUNT(X58,Y58,Z58,AA58)=4,(X59+Y59+Z59+AA59)&lt;&gt;0),(X58+Y58+Z58+AA58)/-(X59+Y59+Z59+AA59),""),"")</f>
        <v>56.5297619047619</v>
      </c>
      <c r="AB323" s="262">
        <f>IFERROR(IF(AND(COUNT(X58,Y58,Z58,AA58)=4,(X59+Y59+Z59+AA59)&lt;&gt;0),(X58+Y58+Z58+AA58)/-(X59+Y59+Z59+AA59),""),"")</f>
        <v>56.5297619047619</v>
      </c>
      <c r="AC323" s="262">
        <f>IFERROR(IF(AND(COUNT(Y58,Z58,AA58,AC58)=4,(Y59+Z59+AA59+AC59)&lt;&gt;0),(Y58+Z58+AA58+AC58)/-(Y59+Z59+AA59+AC59),""),"")</f>
        <v>59.8220858895706</v>
      </c>
      <c r="AD323" s="262">
        <f>IFERROR(IF(AND(COUNT(Z58,AA58,AC58,AD58)=4,(Z59+AA59+AC59+AD59)&lt;&gt;0),(Z58+AA58+AC58+AD58)/-(Z59+AA59+AC59+AD59),""),"")</f>
        <v>64.2292993630573</v>
      </c>
      <c r="AE323" s="262">
        <f>IFERROR(IF(AND(COUNT(AA58,AC58,AD58,AE58)=4,(AA59+AC59+AD59+AE59)&lt;&gt;0),(AA58+AC58+AD58+AE58)/-(AA59+AC59+AD59+AE59),""),"")</f>
        <v>67.4220779220779</v>
      </c>
      <c r="AF323" s="262">
        <f>IFERROR(IF(AND(COUNT(AB58,AD58,AE58,AF58)=4,(AB59+AD59+AE59+AF59)&lt;&gt;0),(AB58+AD58+AE58+AF58)/-(AB59+AD59+AE59+AF59),""),"")</f>
        <v>62.7852112676056</v>
      </c>
      <c r="AG323" s="262">
        <f>IFERROR(IF(AND(COUNT(AC58,AD58,AE58,AF58)=4,(AC59+AD59+AE59+AF59)&lt;&gt;0),(AC58+AD58+AE58+AF58)/-(AC59+AD59+AE59+AF59),""),"")</f>
        <v>70.0657894736842</v>
      </c>
      <c r="AH323" s="262">
        <f>IFERROR(IF(AND(COUNT(AD58,AF58,AG58,AH58)=4,(AD59+AF59+AG59+AH59)&lt;&gt;0),(AD58+AF58+AG58+AH58)/-(AD59+AF59+AG59+AH59),""),"")</f>
        <v>71.5647058823529</v>
      </c>
      <c r="AI323" s="262">
        <f>IFERROR(IF(AND(COUNT(AE58,AG58,AH58,AI58)=4,(AE59+AG59+AH59+AI59)&lt;&gt;0),(AE58+AG58+AH58+AI58)/-(AE59+AG59+AH59+AI59),""),"")</f>
        <v>73.8098859315589</v>
      </c>
      <c r="AJ323" s="262" t="str">
        <f>IFERROR(IF(AND(COUNT(AF58,AH58,AI58,AJ58)=4,(AF59+AH59+AI59+AJ59)&lt;&gt;0),(AF58+AH58+AI58+AJ58)/-(AF59+AH59+AI59+AJ59),""),"")</f>
        <v/>
      </c>
      <c r="AK323" s="262" t="str">
        <f>IFERROR(IF(AND(COUNT(AH58,AI58,AJ58,AK58)=4,(AH59+AI59+AJ59+AK59)&lt;&gt;0),(AH58+AI58+AJ58+AK58)/-(AH59+AI59+AJ59+AK59),""),"")</f>
        <v/>
      </c>
      <c r="AL323" s="262" t="str">
        <f>IFERROR(IF(AND(COUNT(AH58,AI58,AJ58,AK58)=4,(AH59+AI59+AJ59+AK59)&lt;&gt;0),(AH58+AI58+AJ58+AK58)/-(AH59+AI59+AJ59+AK59),""),"")</f>
        <v/>
      </c>
      <c r="AM323" s="262" t="str">
        <f>IFERROR(IF(AND(COUNT(AI58,AJ58,AK58,AM58)=4,(AI59+AJ59+AK59+AM59)&lt;&gt;0),(AI58+AJ58+AK58+AM58)/-(AI59+AJ59+AK59+AM59),""),"")</f>
        <v/>
      </c>
      <c r="AN323" s="262" t="str">
        <f>IFERROR(IF(AND(COUNT(AJ58,AK58,AM58,AN58)=4,(AJ59+AK59+AM59+AN59)&lt;&gt;0),(AJ58+AK58+AM58+AN58)/-(AJ59+AK59+AM59+AN59),""),"")</f>
        <v/>
      </c>
      <c r="AO323" s="262" t="str">
        <f>IFERROR(IF(AND(COUNT(AK58,AM58,AN58,AO58)=4,(AK59+AM59+AN59+AO59)&lt;&gt;0),(AK58+AM58+AN58+AO58)/-(AK59+AM59+AN59+AO59),""),"")</f>
        <v/>
      </c>
      <c r="AP323" s="262" t="str">
        <f>IFERROR(IF(AND(COUNT(AM58,AN58,AO58,AP58)=4,(AM59+AN59+AO59+AP59)&lt;&gt;0),(AM58+AN58+AO58+AP58)/-(AM59+AN59+AO59+AP59),""),"")</f>
        <v/>
      </c>
      <c r="AQ323" s="262" t="str">
        <f>IFERROR(IF(AND(COUNT(AM58,AN58,AO58,AP58)=4,(AM59+AN59+AO59+AP59)&lt;&gt;0),(AM58+AN58+AO58+AP58)/-(AM59+AN59+AO59+AP59),""),"")</f>
        <v/>
      </c>
      <c r="AR323" s="262" t="str">
        <f>IFERROR(IF(AND(COUNT(AN58,AO58,AP58,AR58)=4,(AN59+AO59+AP59+AR59)&lt;&gt;0),(AN58+AO58+AP58+AR58)/-(AN59+AO59+AP59+AR59),""),"")</f>
        <v/>
      </c>
      <c r="AS323" s="262" t="str">
        <f>IFERROR(IF(AND(COUNT(AO58,AP58,AR58,AS58)=4,(AO59+AP59+AR59+AS59)&lt;&gt;0),(AO58+AP58+AR58+AS58)/-(AO59+AP59+AR59+AS59),""),"")</f>
        <v/>
      </c>
      <c r="AT323" s="262" t="str">
        <f>IFERROR(IF(AND(COUNT(AP58,AR58,AS58,AT58)=4,(AP59+AR59+AS59+AT59)&lt;&gt;0),(AP58+AR58+AS58+AT58)/-(AP59+AR59+AS59+AT59),""),"")</f>
        <v/>
      </c>
      <c r="AU323" s="262" t="str">
        <f>IFERROR(IF(AND(COUNT(AR58,AS58,AT58,AU58)=4,(AR59+AS59+AT59+AU59)&lt;&gt;0),(AR58+AS58+AT58+AU58)/-(AR59+AS59+AT59+AU59),""),"")</f>
        <v/>
      </c>
      <c r="AV323" s="262" t="str">
        <f>IFERROR(IF(AND(COUNT(AR58,AS58,AT58,AU58)=4,(AR59+AS59+AT59+AU59)&lt;&gt;0),(AR58+AS58+AT58+AU58)/-(AR59+AS59+AT59+AU59),""),"")</f>
        <v/>
      </c>
      <c r="AW323" s="262" t="str">
        <f>IFERROR(IF(AND(COUNT(AS58,AT58,AU58,AW58)=4,(AS59+AT59+AU59+AW59)&lt;&gt;0),(AS58+AT58+AU58+AW58)/-(AS59+AT59+AU59+AW59),""),"")</f>
        <v/>
      </c>
      <c r="AX323" s="262" t="str">
        <f>IFERROR(IF(AND(COUNT(AT58,AU58,AW58,AX58)=4,(AT59+AU59+AW59+AX59)&lt;&gt;0),(AT58+AU58+AW58+AX58)/-(AT59+AU59+AW59+AX59),""),"")</f>
        <v/>
      </c>
      <c r="AY323" s="262" t="str">
        <f>IFERROR(IF(AND(COUNT(AU58,AW58,AX58,AY58)=4,(AU59+AW59+AX59+AY59)&lt;&gt;0),(AU58+AW58+AX58+AY58)/-(AU59+AW59+AX59+AY59),""),"")</f>
        <v/>
      </c>
      <c r="AZ323" s="262" t="str">
        <f>IFERROR(IF(AND(COUNT(AW58,AX58,AY58,AZ58)=4,(AW59+AX59+AY59+AZ59)&lt;&gt;0),(AW58+AX58+AY58+AZ58)/-(AW59+AX59+AY59+AZ59),""),"")</f>
        <v/>
      </c>
      <c r="BA323" s="262" t="str">
        <f>IFERROR(IF(AND(COUNT(AW58,AX58,AY58,AZ58)=4,(AW59+AX59+AY59+AZ59)&lt;&gt;0),(AW58+AX58+AY58+AZ58)/-(AW59+AX59+AY59+AZ59),""),"")</f>
        <v/>
      </c>
      <c r="BB323" s="262" t="str">
        <f>IFERROR(IF(AND(COUNT(AX58,AY58,AZ58,BB58)=4,(AX59+AY59+AZ59+BB59)&lt;&gt;0),(AX58+AY58+AZ58+BB58)/-(AX59+AY59+AZ59+BB59),""),"")</f>
        <v/>
      </c>
      <c r="BC323" s="262" t="str">
        <f>IFERROR(IF(AND(COUNT(AY58,AZ58,BB58,BC58)=4,(AY59+AZ59+BB59+BC59)&lt;&gt;0),(AY58+AZ58+BB58+BC58)/-(AY59+AZ59+BB59+BC59),""),"")</f>
        <v/>
      </c>
      <c r="BD323" s="262" t="str">
        <f>IFERROR(IF(AND(COUNT(AZ58,BB58,BC58,BD58)=4,(AZ59+BB59+BC59+BD59)&lt;&gt;0),(AZ58+BB58+BC58+BD58)/-(AZ59+BB59+BC59+BD59),""),"")</f>
        <v/>
      </c>
      <c r="BE323" s="262" t="str">
        <f>IFERROR(IF(AND(COUNT(BB58,BC58,BD58,BE58)=4,(BB59+BC59+BD59+BE59)&lt;&gt;0),(BB58+BC58+BD58+BE58)/-(BB59+BC59+BD59+BE59),""),"")</f>
        <v/>
      </c>
      <c r="BF323" s="262" t="str">
        <f>IFERROR(IF(AND(COUNT(BB58,BC58,BD58,BE58)=4,(BB59+BC59+BD59+BE59)&lt;&gt;0),(BB58+BC58+BD58+BE58)/-(BB59+BC59+BD59+BE59),""),"")</f>
        <v/>
      </c>
      <c r="BG323" s="82" t="n"/>
      <c r="BH323" s="82" t="n"/>
      <c r="BI323" s="82" t="n"/>
      <c r="BJ323" s="82" t="n"/>
      <c r="BL323" s="82" t="n"/>
      <c r="BM323" s="82" t="n"/>
      <c r="BN323" s="82" t="n"/>
      <c r="BO323" s="82" t="n"/>
      <c r="BQ323" s="82" t="n"/>
      <c r="BR323" s="82" t="n"/>
      <c r="BS323" s="82" t="n"/>
      <c r="BT323" s="82" t="n"/>
      <c r="BV323" s="82" t="n"/>
      <c r="BW323" s="82" t="n"/>
      <c r="BX323" s="82" t="n"/>
      <c r="BY323" s="82" t="n"/>
      <c r="CA323" s="82" t="n"/>
      <c r="CB323" s="82" t="n"/>
      <c r="CC323" s="82" t="n"/>
      <c r="CD323" s="82" t="n"/>
      <c r="CF323" s="82" t="n"/>
      <c r="CG323" s="82" t="n"/>
      <c r="CH323" s="82" t="n"/>
      <c r="CI323" s="82" t="n"/>
      <c r="CK323" s="82" t="n"/>
      <c r="CL323" s="82" t="n"/>
      <c r="CM323" s="82" t="n"/>
      <c r="CN323" s="82" t="n"/>
      <c r="CP323" s="82" t="n"/>
      <c r="CQ323" s="82" t="n"/>
      <c r="CR323" s="82" t="n"/>
      <c r="CS323" s="82" t="n"/>
      <c r="CU323" s="82" t="n"/>
      <c r="CV323" s="82" t="n"/>
      <c r="CW323" s="82" t="n"/>
      <c r="CX323" s="82" t="n"/>
    </row>
    <row r="324" customFormat="1" s="77">
      <c r="A324" s="76" t="n"/>
      <c r="B324" s="76" t="n"/>
    </row>
    <row r="325" customFormat="1" s="77">
      <c r="A325" s="76" t="n"/>
      <c r="B325" s="76" t="n"/>
      <c r="C325" s="74" t="inlineStr">
        <is>
          <t>INTERNAL LIQUIDITY</t>
        </is>
      </c>
    </row>
    <row r="326" customFormat="1" s="77">
      <c r="A326" s="76" t="n"/>
      <c r="B326" s="76" t="n"/>
      <c r="C326" s="77" t="inlineStr">
        <is>
          <t>CURRENT RATIO</t>
        </is>
      </c>
      <c r="D326" s="82" t="str">
        <f>IFERROR(SUM(D129,D130,D134,D138,D139,D140)/SUM(D183,D187,D189,D190),"")</f>
        <v/>
      </c>
      <c r="E326" s="82" t="str">
        <f>IFERROR(SUM(E129,E130,E134,E138,E139,E140)/SUM(E183,E187,E189,E190),"")</f>
        <v/>
      </c>
      <c r="F326" s="82" t="str">
        <f>IFERROR(SUM(F129,F130,F134,F138,F139,F140)/SUM(F183,F187,F189,F190),"")</f>
        <v/>
      </c>
      <c r="G326" s="82" t="str">
        <f>IFERROR(SUM(G129,G130,G134,G138,G139,G140)/SUM(G183,G187,G189,G190),"")</f>
        <v/>
      </c>
      <c r="H326" s="262" t="str">
        <f>IFERROR(IF((N(H183)+N(H187)+N(H189)+N(H190)+N(H197)+N(H198)+N(H199))&lt;&gt;0,(N(H129)+(N(H130)+N(H134)+N(H138)+N(H139)+N(H140)))/(N(H183)+N(H187)+N(H189)+N(H190)+N(H197)+N(H198)+N(H199)),""),"")</f>
        <v/>
      </c>
      <c r="I326" s="262">
        <f>IFERROR(IF((N(I183)+N(I187)+N(I189)+N(I190)+N(I197)+N(I198)+N(I199))&lt;&gt;0,(N(I129)+(N(I130)+N(I134)+N(I138)+N(I139)+N(I140)))/(N(I183)+N(I187)+N(I189)+N(I190)+N(I197)+N(I198)+N(I199)),""),"")</f>
        <v>0.990362897154043</v>
      </c>
      <c r="J326" s="262">
        <f>IFERROR(IF((N(J183)+N(J187)+N(J189)+N(J190)+N(J197)+N(J198)+N(J199))&lt;&gt;0,(N(J129)+(N(J130)+N(J134)+N(J138)+N(J139)+N(J140)))/(N(J183)+N(J187)+N(J189)+N(J190)+N(J197)+N(J198)+N(J199)),""),"")</f>
        <v>0.997641340861983</v>
      </c>
      <c r="K326" s="262">
        <f>IFERROR(IF((N(K183)+N(K187)+N(K189)+N(K190)+N(K197)+N(K198)+N(K199))&lt;&gt;0,(N(K129)+(N(K130)+N(K134)+N(K138)+N(K139)+N(K140)))/(N(K183)+N(K187)+N(K189)+N(K190)+N(K197)+N(K198)+N(K199)),""),"")</f>
        <v>1.00217383920383</v>
      </c>
      <c r="L326" s="262">
        <f>IFERROR(IF((N(L183)+N(L187)+N(L189)+N(L190)+N(L197)+N(L198)+N(L199))&lt;&gt;0,(N(L129)+(N(L130)+N(L134)+N(L138)+N(L139)+N(L140)))/(N(L183)+N(L187)+N(L189)+N(L190)+N(L197)+N(L198)+N(L199)),""),"")</f>
        <v>1.01523603862996</v>
      </c>
      <c r="M326" s="262">
        <f>IFERROR(IF((N(M183)+N(M187)+N(M189)+N(M190)+N(M197)+N(M198)+N(M199))&lt;&gt;0,(N(M129)+(N(M130)+N(M134)+N(M138)+N(M139)+N(M140)))/(N(M183)+N(M187)+N(M189)+N(M190)+N(M197)+N(M198)+N(M199)),""),"")</f>
        <v>1.01523603862996</v>
      </c>
      <c r="N326" s="262">
        <f>IFERROR(IF((N(N183)+N(N187)+N(N189)+N(N190)+N(N197)+N(N198)+N(N199))&lt;&gt;0,(N(N129)+(N(N130)+N(N134)+N(N138)+N(N139)+N(N140)))/(N(N183)+N(N187)+N(N189)+N(N190)+N(N197)+N(N198)+N(N199)),""),"")</f>
        <v>1.03233475986686</v>
      </c>
      <c r="O326" s="262">
        <f>IFERROR(IF((N(O183)+N(O187)+N(O189)+N(O190)+N(O197)+N(O198)+N(O199))&lt;&gt;0,(N(O129)+(N(O130)+N(O134)+N(O138)+N(O139)+N(O140)))/(N(O183)+N(O187)+N(O189)+N(O190)+N(O197)+N(O198)+N(O199)),""),"")</f>
        <v>1.03652064688334</v>
      </c>
      <c r="P326" s="262">
        <f>IFERROR(IF((N(P183)+N(P187)+N(P189)+N(P190)+N(P197)+N(P198)+N(P199))&lt;&gt;0,(N(P129)+(N(P130)+N(P134)+N(P138)+N(P139)+N(P140)))/(N(P183)+N(P187)+N(P189)+N(P190)+N(P197)+N(P198)+N(P199)),""),"")</f>
        <v>1.02181386336646</v>
      </c>
      <c r="Q326" s="262">
        <f>IFERROR(IF((N(Q183)+N(Q187)+N(Q189)+N(Q190)+N(Q197)+N(Q198)+N(Q199))&lt;&gt;0,(N(Q129)+(N(Q130)+N(Q134)+N(Q138)+N(Q139)+N(Q140)))/(N(Q183)+N(Q187)+N(Q189)+N(Q190)+N(Q197)+N(Q198)+N(Q199)),""),"")</f>
        <v>1.03275168597091</v>
      </c>
      <c r="R326" s="262">
        <f>IFERROR(IF((N(R183)+N(R187)+N(R189)+N(R190)+N(R197)+N(R198)+N(R199))&lt;&gt;0,(N(R129)+(N(R130)+N(R134)+N(R138)+N(R139)+N(R140)))/(N(R183)+N(R187)+N(R189)+N(R190)+N(R197)+N(R198)+N(R199)),""),"")</f>
        <v>1.03275168597091</v>
      </c>
      <c r="S326" s="262">
        <f>IFERROR(IF((N(S183)+N(S187)+N(S189)+N(S190)+N(S197)+N(S198)+N(S199))&lt;&gt;0,(N(S129)+(N(S130)+N(S134)+N(S138)+N(S139)+N(S140)))/(N(S183)+N(S187)+N(S189)+N(S190)+N(S197)+N(S198)+N(S199)),""),"")</f>
        <v>1.05578791979333</v>
      </c>
      <c r="T326" s="262">
        <f>IFERROR(IF((N(T183)+N(T187)+N(T189)+N(T190)+N(T197)+N(T198)+N(T199))&lt;&gt;0,(N(T129)+(N(T130)+N(T134)+N(T138)+N(T139)+N(T140)))/(N(T183)+N(T187)+N(T189)+N(T190)+N(T197)+N(T198)+N(T199)),""),"")</f>
        <v>1.08139901602119</v>
      </c>
      <c r="U326" s="262">
        <f>IFERROR(IF((N(U183)+N(U187)+N(U189)+N(U190)+N(U197)+N(U198)+N(U199))&lt;&gt;0,(N(U129)+(N(U130)+N(U134)+N(U138)+N(U139)+N(U140)))/(N(U183)+N(U187)+N(U189)+N(U190)+N(U197)+N(U198)+N(U199)),""),"")</f>
        <v>1.06836792424739</v>
      </c>
      <c r="V326" s="262">
        <f>IFERROR(IF((N(V183)+N(V187)+N(V189)+N(V190)+N(V197)+N(V198)+N(V199))&lt;&gt;0,(N(V129)+(N(V130)+N(V134)+N(V138)+N(V139)+N(V140)))/(N(V183)+N(V187)+N(V189)+N(V190)+N(V197)+N(V198)+N(V199)),""),"")</f>
        <v>1.09007832898172</v>
      </c>
      <c r="W326" s="262">
        <f>IFERROR(IF((N(W183)+N(W187)+N(W189)+N(W190)+N(W197)+N(W198)+N(W199))&lt;&gt;0,(N(W129)+(N(W130)+N(W134)+N(W138)+N(W139)+N(W140)))/(N(W183)+N(W187)+N(W189)+N(W190)+N(W197)+N(W198)+N(W199)),""),"")</f>
        <v>1.09007832898172</v>
      </c>
      <c r="X326" s="262">
        <f>IFERROR(IF((N(X183)+N(X187)+N(X189)+N(X190)+N(X197)+N(X198)+N(X199))&lt;&gt;0,(N(X129)+(N(X130)+N(X134)+N(X138)+N(X139)+N(X140)))/(N(X183)+N(X187)+N(X189)+N(X190)+N(X197)+N(X198)+N(X199)),""),"")</f>
        <v>0.926718173431734</v>
      </c>
      <c r="Y326" s="262">
        <f>IFERROR(IF((N(Y183)+N(Y187)+N(Y189)+N(Y190)+N(Y197)+N(Y198)+N(Y199))&lt;&gt;0,(N(Y129)+(N(Y130)+N(Y134)+N(Y138)+N(Y139)+N(Y140)))/(N(Y183)+N(Y187)+N(Y189)+N(Y190)+N(Y197)+N(Y198)+N(Y199)),""),"")</f>
        <v>0.941376092305082</v>
      </c>
      <c r="Z326" s="262">
        <f>IFERROR(IF((N(Z183)+N(Z187)+N(Z189)+N(Z190)+N(Z197)+N(Z198)+N(Z199))&lt;&gt;0,(N(Z129)+(N(Z130)+N(Z134)+N(Z138)+N(Z139)+N(Z140)))/(N(Z183)+N(Z187)+N(Z189)+N(Z190)+N(Z197)+N(Z198)+N(Z199)),""),"")</f>
        <v>0.965655312429506</v>
      </c>
      <c r="AA326" s="262">
        <f>IFERROR(IF((N(AA183)+N(AA187)+N(AA189)+N(AA190)+N(AA197)+N(AA198)+N(AA199))&lt;&gt;0,(N(AA129)+(N(AA130)+N(AA134)+N(AA138)+N(AA139)+N(AA140)))/(N(AA183)+N(AA187)+N(AA189)+N(AA190)+N(AA197)+N(AA198)+N(AA199)),""),"")</f>
        <v>0.979994254224451</v>
      </c>
      <c r="AB326" s="262">
        <f>IFERROR(IF((N(AB183)+N(AB187)+N(AB189)+N(AB190)+N(AB197)+N(AB198)+N(AB199))&lt;&gt;0,(N(AB129)+(N(AB130)+N(AB134)+N(AB138)+N(AB139)+N(AB140)))/(N(AB183)+N(AB187)+N(AB189)+N(AB190)+N(AB197)+N(AB198)+N(AB199)),""),"")</f>
        <v>0.979994254224451</v>
      </c>
      <c r="AC326" s="262">
        <f>IFERROR(IF((N(AC183)+N(AC187)+N(AC189)+N(AC190)+N(AC197)+N(AC198)+N(AC199))&lt;&gt;0,(N(AC129)+(N(AC130)+N(AC134)+N(AC138)+N(AC139)+N(AC140)))/(N(AC183)+N(AC187)+N(AC189)+N(AC190)+N(AC197)+N(AC198)+N(AC199)),""),"")</f>
        <v>0.99724316873429</v>
      </c>
      <c r="AD326" s="262">
        <f>IFERROR(IF((N(AD183)+N(AD187)+N(AD189)+N(AD190)+N(AD197)+N(AD198)+N(AD199))&lt;&gt;0,(N(AD129)+(N(AD130)+N(AD134)+N(AD138)+N(AD139)+N(AD140)))/(N(AD183)+N(AD187)+N(AD189)+N(AD190)+N(AD197)+N(AD198)+N(AD199)),""),"")</f>
        <v>1.0152212671971</v>
      </c>
      <c r="AE326" s="262">
        <f>IFERROR(IF((N(AE183)+N(AE187)+N(AE189)+N(AE190)+N(AE197)+N(AE198)+N(AE199))&lt;&gt;0,(N(AE129)+(N(AE130)+N(AE134)+N(AE138)+N(AE139)+N(AE140)))/(N(AE183)+N(AE187)+N(AE189)+N(AE190)+N(AE197)+N(AE198)+N(AE199)),""),"")</f>
        <v>1.03427832273364</v>
      </c>
      <c r="AF326" s="262">
        <f>IFERROR(IF((N(AF183)+N(AF187)+N(AF189)+N(AF190)+N(AF197)+N(AF198)+N(AF199))&lt;&gt;0,(N(AF129)+(N(AF130)+N(AF134)+N(AF138)+N(AF139)+N(AF140)))/(N(AF183)+N(AF187)+N(AF189)+N(AF190)+N(AF197)+N(AF198)+N(AF199)),""),"")</f>
        <v>1.03841645736156</v>
      </c>
      <c r="AG326" s="262">
        <f>IFERROR(IF((N(AG183)+N(AG187)+N(AG189)+N(AG190)+N(AG197)+N(AG198)+N(AG199))&lt;&gt;0,(N(AG129)+(N(AG130)+N(AG134)+N(AG138)+N(AG139)+N(AG140)))/(N(AG183)+N(AG187)+N(AG189)+N(AG190)+N(AG197)+N(AG198)+N(AG199)),""),"")</f>
        <v>1.03841645736156</v>
      </c>
      <c r="AH326" s="262">
        <f>IFERROR(IF((N(AH183)+N(AH187)+N(AH189)+N(AH190)+N(AH197)+N(AH198)+N(AH199))&lt;&gt;0,(N(AH129)+(N(AH130)+N(AH134)+N(AH138)+N(AH139)+N(AH140)))/(N(AH183)+N(AH187)+N(AH189)+N(AH190)+N(AH197)+N(AH198)+N(AH199)),""),"")</f>
        <v>1.05814096116576</v>
      </c>
      <c r="AI326" s="262">
        <f>IFERROR(IF((N(AI183)+N(AI187)+N(AI189)+N(AI190)+N(AI197)+N(AI198)+N(AI199))&lt;&gt;0,(N(AI129)+(N(AI130)+N(AI134)+N(AI138)+N(AI139)+N(AI140)))/(N(AI183)+N(AI187)+N(AI189)+N(AI190)+N(AI197)+N(AI198)+N(AI199)),""),"")</f>
        <v>1.07245103857567</v>
      </c>
      <c r="AJ326" s="262">
        <f>IFERROR(IF((N(AJ183)+N(AJ187)+N(AJ189)+N(AJ190)+N(AJ197)+N(AJ198)+N(AJ199))&lt;&gt;0,(N(AJ129)+(N(AJ130)+N(AJ134)+N(AJ138)+N(AJ139)+N(AJ140)))/(N(AJ183)+N(AJ187)+N(AJ189)+N(AJ190)+N(AJ197)+N(AJ198)+N(AJ199)),""),"")</f>
        <v>1.09880185294704</v>
      </c>
      <c r="AK326" s="262">
        <f>IFERROR(IF((N(AK183)+N(AK187)+N(AK189)+N(AK190)+N(AK197)+N(AK198)+N(AK199))&lt;&gt;0,(N(AK129)+(N(AK130)+N(AK134)+N(AK138)+N(AK139)+N(AK140)))/(N(AK183)+N(AK187)+N(AK189)+N(AK190)+N(AK197)+N(AK198)+N(AK199)),""),"")</f>
        <v>1.14223402785292</v>
      </c>
      <c r="AL326" s="262">
        <f>IFERROR(IF((N(AL183)+N(AL187)+N(AL189)+N(AL190)+N(AL197)+N(AL198)+N(AL199))&lt;&gt;0,(N(AL129)+(N(AL130)+N(AL134)+N(AL138)+N(AL139)+N(AL140)))/(N(AL183)+N(AL187)+N(AL189)+N(AL190)+N(AL197)+N(AL198)+N(AL199)),""),"")</f>
        <v>1.14223402785292</v>
      </c>
      <c r="AM326" s="262">
        <f>IFERROR(IF((N(AM183)+N(AM187)+N(AM189)+N(AM190)+N(AM197)+N(AM198)+N(AM199))&lt;&gt;0,(N(AM129)+(N(AM130)+N(AM134)+N(AM138)+N(AM139)+N(AM140)))/(N(AM183)+N(AM187)+N(AM189)+N(AM190)+N(AM197)+N(AM198)+N(AM199)),""),"")</f>
        <v>1.16641266003203</v>
      </c>
      <c r="AN326" s="262">
        <f>IFERROR(IF((N(AN183)+N(AN187)+N(AN189)+N(AN190)+N(AN197)+N(AN198)+N(AN199))&lt;&gt;0,(N(AN129)+(N(AN130)+N(AN134)+N(AN138)+N(AN139)+N(AN140)))/(N(AN183)+N(AN187)+N(AN189)+N(AN190)+N(AN197)+N(AN198)+N(AN199)),""),"")</f>
        <v>1.19335561600998</v>
      </c>
      <c r="AO326" s="262">
        <f>IFERROR(IF((N(AO183)+N(AO187)+N(AO189)+N(AO190)+N(AO197)+N(AO198)+N(AO199))&lt;&gt;0,(N(AO129)+(N(AO130)+N(AO134)+N(AO138)+N(AO139)+N(AO140)))/(N(AO183)+N(AO187)+N(AO189)+N(AO190)+N(AO197)+N(AO198)+N(AO199)),""),"")</f>
        <v>1.19819575710939</v>
      </c>
      <c r="AP326" s="262">
        <f>IFERROR(IF((N(AP183)+N(AP187)+N(AP189)+N(AP190)+N(AP197)+N(AP198)+N(AP199))&lt;&gt;0,(N(AP129)+(N(AP130)+N(AP134)+N(AP138)+N(AP139)+N(AP140)))/(N(AP183)+N(AP187)+N(AP189)+N(AP190)+N(AP197)+N(AP198)+N(AP199)),""),"")</f>
        <v>1.25040957379717</v>
      </c>
      <c r="AQ326" s="262">
        <f>IFERROR(IF((N(AQ183)+N(AQ187)+N(AQ189)+N(AQ190)+N(AQ197)+N(AQ198)+N(AQ199))&lt;&gt;0,(N(AQ129)+(N(AQ130)+N(AQ134)+N(AQ138)+N(AQ139)+N(AQ140)))/(N(AQ183)+N(AQ187)+N(AQ189)+N(AQ190)+N(AQ197)+N(AQ198)+N(AQ199)),""),"")</f>
        <v>1.25040957379717</v>
      </c>
      <c r="AR326" s="262">
        <f>IFERROR(IF((N(AR183)+N(AR187)+N(AR189)+N(AR190)+N(AR197)+N(AR198)+N(AR199))&lt;&gt;0,(N(AR129)+(N(AR130)+N(AR134)+N(AR138)+N(AR139)+N(AR140)))/(N(AR183)+N(AR187)+N(AR189)+N(AR190)+N(AR197)+N(AR198)+N(AR199)),""),"")</f>
        <v>1.2695165060555</v>
      </c>
      <c r="AS326" s="262">
        <f>IFERROR(IF((N(AS183)+N(AS187)+N(AS189)+N(AS190)+N(AS197)+N(AS198)+N(AS199))&lt;&gt;0,(N(AS129)+(N(AS130)+N(AS134)+N(AS138)+N(AS139)+N(AS140)))/(N(AS183)+N(AS187)+N(AS189)+N(AS190)+N(AS197)+N(AS198)+N(AS199)),""),"")</f>
        <v>1.29037469837772</v>
      </c>
      <c r="AT326" s="262">
        <f>IFERROR(IF((N(AT183)+N(AT187)+N(AT189)+N(AT190)+N(AT197)+N(AT198)+N(AT199))&lt;&gt;0,(N(AT129)+(N(AT130)+N(AT134)+N(AT138)+N(AT139)+N(AT140)))/(N(AT183)+N(AT187)+N(AT189)+N(AT190)+N(AT197)+N(AT198)+N(AT199)),""),"")</f>
        <v>1.27964707014627</v>
      </c>
      <c r="AU326" s="262">
        <f>IFERROR(IF((N(AU183)+N(AU187)+N(AU189)+N(AU190)+N(AU197)+N(AU198)+N(AU199))&lt;&gt;0,(N(AU129)+(N(AU130)+N(AU134)+N(AU138)+N(AU139)+N(AU140)))/(N(AU183)+N(AU187)+N(AU189)+N(AU190)+N(AU197)+N(AU198)+N(AU199)),""),"")</f>
        <v>1.33625447565559</v>
      </c>
      <c r="AV326" s="262">
        <f>IFERROR(IF((N(AV183)+N(AV187)+N(AV189)+N(AV190)+N(AV197)+N(AV198)+N(AV199))&lt;&gt;0,(N(AV129)+(N(AV130)+N(AV134)+N(AV138)+N(AV139)+N(AV140)))/(N(AV183)+N(AV187)+N(AV189)+N(AV190)+N(AV197)+N(AV198)+N(AV199)),""),"")</f>
        <v>1.33625447565559</v>
      </c>
      <c r="AW326" s="262">
        <f>IFERROR(IF((N(AW183)+N(AW187)+N(AW189)+N(AW190)+N(AW197)+N(AW198)+N(AW199))&lt;&gt;0,(N(AW129)+(N(AW130)+N(AW134)+N(AW138)+N(AW139)+N(AW140)))/(N(AW183)+N(AW187)+N(AW189)+N(AW190)+N(AW197)+N(AW198)+N(AW199)),""),"")</f>
        <v>1.34824928355508</v>
      </c>
      <c r="AX326" s="262">
        <f>IFERROR(IF((N(AX183)+N(AX187)+N(AX189)+N(AX190)+N(AX197)+N(AX198)+N(AX199))&lt;&gt;0,(N(AX129)+(N(AX130)+N(AX134)+N(AX138)+N(AX139)+N(AX140)))/(N(AX183)+N(AX187)+N(AX189)+N(AX190)+N(AX197)+N(AX198)+N(AX199)),""),"")</f>
        <v>1.36564450930894</v>
      </c>
      <c r="AY326" s="262">
        <f>IFERROR(IF((N(AY183)+N(AY187)+N(AY189)+N(AY190)+N(AY197)+N(AY198)+N(AY199))&lt;&gt;0,(N(AY129)+(N(AY130)+N(AY134)+N(AY138)+N(AY139)+N(AY140)))/(N(AY183)+N(AY187)+N(AY189)+N(AY190)+N(AY197)+N(AY198)+N(AY199)),""),"")</f>
        <v>1.34337209764586</v>
      </c>
      <c r="AZ326" s="262">
        <f>IFERROR(IF((N(AZ183)+N(AZ187)+N(AZ189)+N(AZ190)+N(AZ197)+N(AZ198)+N(AZ199))&lt;&gt;0,(N(AZ129)+(N(AZ130)+N(AZ134)+N(AZ138)+N(AZ139)+N(AZ140)))/(N(AZ183)+N(AZ187)+N(AZ189)+N(AZ190)+N(AZ197)+N(AZ198)+N(AZ199)),""),"")</f>
        <v>1.40050608665132</v>
      </c>
      <c r="BA326" s="262">
        <f>IFERROR(IF((N(BA183)+N(BA187)+N(BA189)+N(BA190)+N(BA197)+N(BA198)+N(BA199))&lt;&gt;0,(N(BA129)+(N(BA130)+N(BA134)+N(BA138)+N(BA139)+N(BA140)))/(N(BA183)+N(BA187)+N(BA189)+N(BA190)+N(BA197)+N(BA198)+N(BA199)),""),"")</f>
        <v>1.40050608665132</v>
      </c>
      <c r="BB326" s="262">
        <f>IFERROR(IF((N(BB183)+N(BB187)+N(BB189)+N(BB190)+N(BB197)+N(BB198)+N(BB199))&lt;&gt;0,(N(BB129)+(N(BB130)+N(BB134)+N(BB138)+N(BB139)+N(BB140)))/(N(BB183)+N(BB187)+N(BB189)+N(BB190)+N(BB197)+N(BB198)+N(BB199)),""),"")</f>
        <v>1.40780707670983</v>
      </c>
      <c r="BC326" s="262">
        <f>IFERROR(IF((N(BC183)+N(BC187)+N(BC189)+N(BC190)+N(BC197)+N(BC198)+N(BC199))&lt;&gt;0,(N(BC129)+(N(BC130)+N(BC134)+N(BC138)+N(BC139)+N(BC140)))/(N(BC183)+N(BC187)+N(BC189)+N(BC190)+N(BC197)+N(BC198)+N(BC199)),""),"")</f>
        <v>1.42048274739826</v>
      </c>
      <c r="BD326" s="262">
        <f>IFERROR(IF((N(BD183)+N(BD187)+N(BD189)+N(BD190)+N(BD197)+N(BD198)+N(BD199))&lt;&gt;0,(N(BD129)+(N(BD130)+N(BD134)+N(BD138)+N(BD139)+N(BD140)))/(N(BD183)+N(BD187)+N(BD189)+N(BD190)+N(BD197)+N(BD198)+N(BD199)),""),"")</f>
        <v>1.39053252199633</v>
      </c>
      <c r="BE326" s="262">
        <f>IFERROR(IF((N(BE183)+N(BE187)+N(BE189)+N(BE190)+N(BE197)+N(BE198)+N(BE199))&lt;&gt;0,(N(BE129)+(N(BE130)+N(BE134)+N(BE138)+N(BE139)+N(BE140)))/(N(BE183)+N(BE187)+N(BE189)+N(BE190)+N(BE197)+N(BE198)+N(BE199)),""),"")</f>
        <v>1.44528979572783</v>
      </c>
      <c r="BF326" s="262">
        <f>IFERROR(IF((N(BF183)+N(BF187)+N(BF189)+N(BF190)+N(BF197)+N(BF198)+N(BF199))&lt;&gt;0,(N(BF129)+(N(BF130)+N(BF134)+N(BF138)+N(BF139)+N(BF140)))/(N(BF183)+N(BF187)+N(BF189)+N(BF190)+N(BF197)+N(BF198)+N(BF199)),""),"")</f>
        <v>1.44528979572783</v>
      </c>
      <c r="BG326" s="82" t="n"/>
      <c r="BH326" s="82" t="n"/>
      <c r="BI326" s="82" t="n"/>
      <c r="BJ326" s="82" t="n"/>
      <c r="BL326" s="82" t="n"/>
      <c r="BM326" s="82" t="n"/>
      <c r="BN326" s="82" t="n"/>
      <c r="BO326" s="82" t="n"/>
      <c r="BQ326" s="82" t="n"/>
      <c r="BR326" s="82" t="n"/>
      <c r="BS326" s="82" t="n"/>
      <c r="BT326" s="82" t="n"/>
      <c r="BV326" s="82" t="n"/>
      <c r="BW326" s="82" t="n"/>
      <c r="BX326" s="82" t="n"/>
      <c r="BY326" s="82" t="n"/>
      <c r="CA326" s="82" t="n"/>
      <c r="CB326" s="82" t="n"/>
      <c r="CC326" s="82" t="n"/>
      <c r="CD326" s="82" t="n"/>
      <c r="CF326" s="82" t="n"/>
      <c r="CG326" s="82" t="n"/>
      <c r="CH326" s="82" t="n"/>
      <c r="CI326" s="82" t="n"/>
      <c r="CK326" s="82" t="n"/>
      <c r="CL326" s="82" t="n"/>
      <c r="CM326" s="82" t="n"/>
      <c r="CN326" s="82" t="n"/>
      <c r="CP326" s="82" t="n"/>
      <c r="CQ326" s="82" t="n"/>
      <c r="CR326" s="82" t="n"/>
      <c r="CS326" s="82" t="n"/>
      <c r="CU326" s="82" t="n"/>
      <c r="CV326" s="82" t="n"/>
      <c r="CW326" s="82" t="n"/>
      <c r="CX326" s="82" t="n"/>
    </row>
    <row r="327" customFormat="1" s="77">
      <c r="A327" s="76" t="n"/>
      <c r="B327" s="76" t="n"/>
      <c r="C327" s="77" t="inlineStr">
        <is>
          <t>CASH RATIO</t>
        </is>
      </c>
      <c r="D327" s="82" t="str">
        <f>IFERROR(SUM(D129)/SUM(D183,D187,D189,D190),"")</f>
        <v/>
      </c>
      <c r="E327" s="82" t="str">
        <f>IFERROR(SUM(E129)/SUM(E183,E187,E189,E190),"")</f>
        <v/>
      </c>
      <c r="F327" s="82" t="str">
        <f>IFERROR(SUM(F129)/SUM(F183,F187,F189,F190),"")</f>
        <v/>
      </c>
      <c r="G327" s="82" t="str">
        <f>IFERROR(SUM(G129)/SUM(G183,G187,G189,G190),"")</f>
        <v/>
      </c>
      <c r="H327" s="262" t="str">
        <f>IFERROR(IF((N(H183)+N(H187)+N(H189)+N(H190)+N(H197)+N(H198)+N(H199))&lt;&gt;0,N(H129)/(N(H183)+N(H187)+N(H189)+N(H190)+N(H197)+N(H198)+N(H199)),""),"")</f>
        <v/>
      </c>
      <c r="I327" s="262">
        <f>IFERROR(IF((N(I183)+N(I187)+N(I189)+N(I190)+N(I197)+N(I198)+N(I199))&lt;&gt;0,N(I129)/(N(I183)+N(I187)+N(I189)+N(I190)+N(I197)+N(I198)+N(I199)),""),"")</f>
        <v>0.348366209908146</v>
      </c>
      <c r="J327" s="262">
        <f>IFERROR(IF((N(J183)+N(J187)+N(J189)+N(J190)+N(J197)+N(J198)+N(J199))&lt;&gt;0,N(J129)/(N(J183)+N(J187)+N(J189)+N(J190)+N(J197)+N(J198)+N(J199)),""),"")</f>
        <v>0.397612751054249</v>
      </c>
      <c r="K327" s="262">
        <f>IFERROR(IF((N(K183)+N(K187)+N(K189)+N(K190)+N(K197)+N(K198)+N(K199))&lt;&gt;0,N(K129)/(N(K183)+N(K187)+N(K189)+N(K190)+N(K197)+N(K198)+N(K199)),""),"")</f>
        <v>0.413538942291362</v>
      </c>
      <c r="L327" s="262">
        <f>IFERROR(IF((N(L183)+N(L187)+N(L189)+N(L190)+N(L197)+N(L198)+N(L199))&lt;&gt;0,N(L129)/(N(L183)+N(L187)+N(L189)+N(L190)+N(L197)+N(L198)+N(L199)),""),"")</f>
        <v>0.404174914522224</v>
      </c>
      <c r="M327" s="262">
        <f>IFERROR(IF((N(M183)+N(M187)+N(M189)+N(M190)+N(M197)+N(M198)+N(M199))&lt;&gt;0,N(M129)/(N(M183)+N(M187)+N(M189)+N(M190)+N(M197)+N(M198)+N(M199)),""),"")</f>
        <v>0.404174914522224</v>
      </c>
      <c r="N327" s="262">
        <f>IFERROR(IF((N(N183)+N(N187)+N(N189)+N(N190)+N(N197)+N(N198)+N(N199))&lt;&gt;0,N(N129)/(N(N183)+N(N187)+N(N189)+N(N190)+N(N197)+N(N198)+N(N199)),""),"")</f>
        <v>0.389792360120463</v>
      </c>
      <c r="O327" s="262">
        <f>IFERROR(IF((N(O183)+N(O187)+N(O189)+N(O190)+N(O197)+N(O198)+N(O199))&lt;&gt;0,N(O129)/(N(O183)+N(O187)+N(O189)+N(O190)+N(O197)+N(O198)+N(O199)),""),"")</f>
        <v>0.371518291725546</v>
      </c>
      <c r="P327" s="262">
        <f>IFERROR(IF((N(P183)+N(P187)+N(P189)+N(P190)+N(P197)+N(P198)+N(P199))&lt;&gt;0,N(P129)/(N(P183)+N(P187)+N(P189)+N(P190)+N(P197)+N(P198)+N(P199)),""),"")</f>
        <v>0.345302831426964</v>
      </c>
      <c r="Q327" s="262">
        <f>IFERROR(IF((N(Q183)+N(Q187)+N(Q189)+N(Q190)+N(Q197)+N(Q198)+N(Q199))&lt;&gt;0,N(Q129)/(N(Q183)+N(Q187)+N(Q189)+N(Q190)+N(Q197)+N(Q198)+N(Q199)),""),"")</f>
        <v>0.353010554329089</v>
      </c>
      <c r="R327" s="262">
        <f>IFERROR(IF((N(R183)+N(R187)+N(R189)+N(R190)+N(R197)+N(R198)+N(R199))&lt;&gt;0,N(R129)/(N(R183)+N(R187)+N(R189)+N(R190)+N(R197)+N(R198)+N(R199)),""),"")</f>
        <v>0.353010554329089</v>
      </c>
      <c r="S327" s="262">
        <f>IFERROR(IF((N(S183)+N(S187)+N(S189)+N(S190)+N(S197)+N(S198)+N(S199))&lt;&gt;0,N(S129)/(N(S183)+N(S187)+N(S189)+N(S190)+N(S197)+N(S198)+N(S199)),""),"")</f>
        <v>0.421484807479395</v>
      </c>
      <c r="T327" s="262">
        <f>IFERROR(IF((N(T183)+N(T187)+N(T189)+N(T190)+N(T197)+N(T198)+N(T199))&lt;&gt;0,N(T129)/(N(T183)+N(T187)+N(T189)+N(T190)+N(T197)+N(T198)+N(T199)),""),"")</f>
        <v>0.432319919263277</v>
      </c>
      <c r="U327" s="262">
        <f>IFERROR(IF((N(U183)+N(U187)+N(U189)+N(U190)+N(U197)+N(U198)+N(U199))&lt;&gt;0,N(U129)/(N(U183)+N(U187)+N(U189)+N(U190)+N(U197)+N(U198)+N(U199)),""),"")</f>
        <v>0.453622368460233</v>
      </c>
      <c r="V327" s="262">
        <f>IFERROR(IF((N(V183)+N(V187)+N(V189)+N(V190)+N(V197)+N(V198)+N(V199))&lt;&gt;0,N(V129)/(N(V183)+N(V187)+N(V189)+N(V190)+N(V197)+N(V198)+N(V199)),""),"")</f>
        <v>0.48585726718886</v>
      </c>
      <c r="W327" s="262">
        <f>IFERROR(IF((N(W183)+N(W187)+N(W189)+N(W190)+N(W197)+N(W198)+N(W199))&lt;&gt;0,N(W129)/(N(W183)+N(W187)+N(W189)+N(W190)+N(W197)+N(W198)+N(W199)),""),"")</f>
        <v>0.48585726718886</v>
      </c>
      <c r="X327" s="262">
        <f>IFERROR(IF((N(X183)+N(X187)+N(X189)+N(X190)+N(X197)+N(X198)+N(X199))&lt;&gt;0,N(X129)/(N(X183)+N(X187)+N(X189)+N(X190)+N(X197)+N(X198)+N(X199)),""),"")</f>
        <v>0.297538053505535</v>
      </c>
      <c r="Y327" s="262">
        <f>IFERROR(IF((N(Y183)+N(Y187)+N(Y189)+N(Y190)+N(Y197)+N(Y198)+N(Y199))&lt;&gt;0,N(Y129)/(N(Y183)+N(Y187)+N(Y189)+N(Y190)+N(Y197)+N(Y198)+N(Y199)),""),"")</f>
        <v>0.325188767285993</v>
      </c>
      <c r="Z327" s="262">
        <f>IFERROR(IF((N(Z183)+N(Z187)+N(Z189)+N(Z190)+N(Z197)+N(Z198)+N(Z199))&lt;&gt;0,N(Z129)/(N(Z183)+N(Z187)+N(Z189)+N(Z190)+N(Z197)+N(Z198)+N(Z199)),""),"")</f>
        <v>0.31423415294383</v>
      </c>
      <c r="AA327" s="262">
        <f>IFERROR(IF((N(AA183)+N(AA187)+N(AA189)+N(AA190)+N(AA197)+N(AA198)+N(AA199))&lt;&gt;0,N(AA129)/(N(AA183)+N(AA187)+N(AA189)+N(AA190)+N(AA197)+N(AA198)+N(AA199)),""),"")</f>
        <v>0.308887670088015</v>
      </c>
      <c r="AB327" s="262">
        <f>IFERROR(IF((N(AB183)+N(AB187)+N(AB189)+N(AB190)+N(AB197)+N(AB198)+N(AB199))&lt;&gt;0,N(AB129)/(N(AB183)+N(AB187)+N(AB189)+N(AB190)+N(AB197)+N(AB198)+N(AB199)),""),"")</f>
        <v>0.308887670088015</v>
      </c>
      <c r="AC327" s="262">
        <f>IFERROR(IF((N(AC183)+N(AC187)+N(AC189)+N(AC190)+N(AC197)+N(AC198)+N(AC199))&lt;&gt;0,N(AC129)/(N(AC183)+N(AC187)+N(AC189)+N(AC190)+N(AC197)+N(AC198)+N(AC199)),""),"")</f>
        <v>0.355631233276575</v>
      </c>
      <c r="AD327" s="262">
        <f>IFERROR(IF((N(AD183)+N(AD187)+N(AD189)+N(AD190)+N(AD197)+N(AD198)+N(AD199))&lt;&gt;0,N(AD129)/(N(AD183)+N(AD187)+N(AD189)+N(AD190)+N(AD197)+N(AD198)+N(AD199)),""),"")</f>
        <v>0.395167513770989</v>
      </c>
      <c r="AE327" s="262">
        <f>IFERROR(IF((N(AE183)+N(AE187)+N(AE189)+N(AE190)+N(AE197)+N(AE198)+N(AE199))&lt;&gt;0,N(AE129)/(N(AE183)+N(AE187)+N(AE189)+N(AE190)+N(AE197)+N(AE198)+N(AE199)),""),"")</f>
        <v>0.411878840142287</v>
      </c>
      <c r="AF327" s="262">
        <f>IFERROR(IF((N(AF183)+N(AF187)+N(AF189)+N(AF190)+N(AF197)+N(AF198)+N(AF199))&lt;&gt;0,N(AF129)/(N(AF183)+N(AF187)+N(AF189)+N(AF190)+N(AF197)+N(AF198)+N(AF199)),""),"")</f>
        <v>0.411027389068293</v>
      </c>
      <c r="AG327" s="262">
        <f>IFERROR(IF((N(AG183)+N(AG187)+N(AG189)+N(AG190)+N(AG197)+N(AG198)+N(AG199))&lt;&gt;0,N(AG129)/(N(AG183)+N(AG187)+N(AG189)+N(AG190)+N(AG197)+N(AG198)+N(AG199)),""),"")</f>
        <v>0.411027389068293</v>
      </c>
      <c r="AH327" s="262">
        <f>IFERROR(IF((N(AH183)+N(AH187)+N(AH189)+N(AH190)+N(AH197)+N(AH198)+N(AH199))&lt;&gt;0,N(AH129)/(N(AH183)+N(AH187)+N(AH189)+N(AH190)+N(AH197)+N(AH198)+N(AH199)),""),"")</f>
        <v>0.447464612516252</v>
      </c>
      <c r="AI327" s="262">
        <f>IFERROR(IF((N(AI183)+N(AI187)+N(AI189)+N(AI190)+N(AI197)+N(AI198)+N(AI199))&lt;&gt;0,N(AI129)/(N(AI183)+N(AI187)+N(AI189)+N(AI190)+N(AI197)+N(AI198)+N(AI199)),""),"")</f>
        <v>0.474682492581602</v>
      </c>
      <c r="AJ327" s="262">
        <f>IFERROR(IF((N(AJ183)+N(AJ187)+N(AJ189)+N(AJ190)+N(AJ197)+N(AJ198)+N(AJ199))&lt;&gt;0,N(AJ129)/(N(AJ183)+N(AJ187)+N(AJ189)+N(AJ190)+N(AJ197)+N(AJ198)+N(AJ199)),""),"")</f>
        <v>0.433593180424611</v>
      </c>
      <c r="AK327" s="262">
        <f>IFERROR(IF((N(AK183)+N(AK187)+N(AK189)+N(AK190)+N(AK197)+N(AK198)+N(AK199))&lt;&gt;0,N(AK129)/(N(AK183)+N(AK187)+N(AK189)+N(AK190)+N(AK197)+N(AK198)+N(AK199)),""),"")</f>
        <v>0.548515276502725</v>
      </c>
      <c r="AL327" s="262">
        <f>IFERROR(IF((N(AL183)+N(AL187)+N(AL189)+N(AL190)+N(AL197)+N(AL198)+N(AL199))&lt;&gt;0,N(AL129)/(N(AL183)+N(AL187)+N(AL189)+N(AL190)+N(AL197)+N(AL198)+N(AL199)),""),"")</f>
        <v>0.548515276502725</v>
      </c>
      <c r="AM327" s="262">
        <f>IFERROR(IF((N(AM183)+N(AM187)+N(AM189)+N(AM190)+N(AM197)+N(AM198)+N(AM199))&lt;&gt;0,N(AM129)/(N(AM183)+N(AM187)+N(AM189)+N(AM190)+N(AM197)+N(AM198)+N(AM199)),""),"")</f>
        <v>0.570812077240713</v>
      </c>
      <c r="AN327" s="262">
        <f>IFERROR(IF((N(AN183)+N(AN187)+N(AN189)+N(AN190)+N(AN197)+N(AN198)+N(AN199))&lt;&gt;0,N(AN129)/(N(AN183)+N(AN187)+N(AN189)+N(AN190)+N(AN197)+N(AN198)+N(AN199)),""),"")</f>
        <v>0.609559565171905</v>
      </c>
      <c r="AO327" s="262">
        <f>IFERROR(IF((N(AO183)+N(AO187)+N(AO189)+N(AO190)+N(AO197)+N(AO198)+N(AO199))&lt;&gt;0,N(AO129)/(N(AO183)+N(AO187)+N(AO189)+N(AO190)+N(AO197)+N(AO198)+N(AO199)),""),"")</f>
        <v>0.558645802465723</v>
      </c>
      <c r="AP327" s="262">
        <f>IFERROR(IF((N(AP183)+N(AP187)+N(AP189)+N(AP190)+N(AP197)+N(AP198)+N(AP199))&lt;&gt;0,N(AP129)/(N(AP183)+N(AP187)+N(AP189)+N(AP190)+N(AP197)+N(AP198)+N(AP199)),""),"")</f>
        <v>0.685713085466375</v>
      </c>
      <c r="AQ327" s="262">
        <f>IFERROR(IF((N(AQ183)+N(AQ187)+N(AQ189)+N(AQ190)+N(AQ197)+N(AQ198)+N(AQ199))&lt;&gt;0,N(AQ129)/(N(AQ183)+N(AQ187)+N(AQ189)+N(AQ190)+N(AQ197)+N(AQ198)+N(AQ199)),""),"")</f>
        <v>0.685713085466375</v>
      </c>
      <c r="AR327" s="262">
        <f>IFERROR(IF((N(AR183)+N(AR187)+N(AR189)+N(AR190)+N(AR197)+N(AR198)+N(AR199))&lt;&gt;0,N(AR129)/(N(AR183)+N(AR187)+N(AR189)+N(AR190)+N(AR197)+N(AR198)+N(AR199)),""),"")</f>
        <v>0.708012733639842</v>
      </c>
      <c r="AS327" s="262">
        <f>IFERROR(IF((N(AS183)+N(AS187)+N(AS189)+N(AS190)+N(AS197)+N(AS198)+N(AS199))&lt;&gt;0,N(AS129)/(N(AS183)+N(AS187)+N(AS189)+N(AS190)+N(AS197)+N(AS198)+N(AS199)),""),"")</f>
        <v>0.739153086404056</v>
      </c>
      <c r="AT327" s="262">
        <f>IFERROR(IF((N(AT183)+N(AT187)+N(AT189)+N(AT190)+N(AT197)+N(AT198)+N(AT199))&lt;&gt;0,N(AT129)/(N(AT183)+N(AT187)+N(AT189)+N(AT190)+N(AT197)+N(AT198)+N(AT199)),""),"")</f>
        <v>0.672717212489834</v>
      </c>
      <c r="AU327" s="262">
        <f>IFERROR(IF((N(AU183)+N(AU187)+N(AU189)+N(AU190)+N(AU197)+N(AU198)+N(AU199))&lt;&gt;0,N(AU129)/(N(AU183)+N(AU187)+N(AU189)+N(AU190)+N(AU197)+N(AU198)+N(AU199)),""),"")</f>
        <v>0.806276951089093</v>
      </c>
      <c r="AV327" s="262">
        <f>IFERROR(IF((N(AV183)+N(AV187)+N(AV189)+N(AV190)+N(AV197)+N(AV198)+N(AV199))&lt;&gt;0,N(AV129)/(N(AV183)+N(AV187)+N(AV189)+N(AV190)+N(AV197)+N(AV198)+N(AV199)),""),"")</f>
        <v>0.806276951089093</v>
      </c>
      <c r="AW327" s="262">
        <f>IFERROR(IF((N(AW183)+N(AW187)+N(AW189)+N(AW190)+N(AW197)+N(AW198)+N(AW199))&lt;&gt;0,N(AW129)/(N(AW183)+N(AW187)+N(AW189)+N(AW190)+N(AW197)+N(AW198)+N(AW199)),""),"")</f>
        <v>0.820619835337839</v>
      </c>
      <c r="AX327" s="262">
        <f>IFERROR(IF((N(AX183)+N(AX187)+N(AX189)+N(AX190)+N(AX197)+N(AX198)+N(AX199))&lt;&gt;0,N(AX129)/(N(AX183)+N(AX187)+N(AX189)+N(AX190)+N(AX197)+N(AX198)+N(AX199)),""),"")</f>
        <v>0.85181867239773</v>
      </c>
      <c r="AY327" s="262">
        <f>IFERROR(IF((N(AY183)+N(AY187)+N(AY189)+N(AY190)+N(AY197)+N(AY198)+N(AY199))&lt;&gt;0,N(AY129)/(N(AY183)+N(AY187)+N(AY189)+N(AY190)+N(AY197)+N(AY198)+N(AY199)),""),"")</f>
        <v>0.773914933172943</v>
      </c>
      <c r="AZ327" s="262">
        <f>IFERROR(IF((N(AZ183)+N(AZ187)+N(AZ189)+N(AZ190)+N(AZ197)+N(AZ198)+N(AZ199))&lt;&gt;0,N(AZ129)/(N(AZ183)+N(AZ187)+N(AZ189)+N(AZ190)+N(AZ197)+N(AZ198)+N(AZ199)),""),"")</f>
        <v>0.909029309687011</v>
      </c>
      <c r="BA327" s="262">
        <f>IFERROR(IF((N(BA183)+N(BA187)+N(BA189)+N(BA190)+N(BA197)+N(BA198)+N(BA199))&lt;&gt;0,N(BA129)/(N(BA183)+N(BA187)+N(BA189)+N(BA190)+N(BA197)+N(BA198)+N(BA199)),""),"")</f>
        <v>0.909029309687011</v>
      </c>
      <c r="BB327" s="262">
        <f>IFERROR(IF((N(BB183)+N(BB187)+N(BB189)+N(BB190)+N(BB197)+N(BB198)+N(BB199))&lt;&gt;0,N(BB129)/(N(BB183)+N(BB187)+N(BB189)+N(BB190)+N(BB197)+N(BB198)+N(BB199)),""),"")</f>
        <v>0.920184313768814</v>
      </c>
      <c r="BC327" s="262">
        <f>IFERROR(IF((N(BC183)+N(BC187)+N(BC189)+N(BC190)+N(BC197)+N(BC198)+N(BC199))&lt;&gt;0,N(BC129)/(N(BC183)+N(BC187)+N(BC189)+N(BC190)+N(BC197)+N(BC198)+N(BC199)),""),"")</f>
        <v>0.946842406843853</v>
      </c>
      <c r="BD327" s="262">
        <f>IFERROR(IF((N(BD183)+N(BD187)+N(BD189)+N(BD190)+N(BD197)+N(BD198)+N(BD199))&lt;&gt;0,N(BD129)/(N(BD183)+N(BD187)+N(BD189)+N(BD190)+N(BD197)+N(BD198)+N(BD199)),""),"")</f>
        <v>0.861545012069601</v>
      </c>
      <c r="BE327" s="262">
        <f>IFERROR(IF((N(BE183)+N(BE187)+N(BE189)+N(BE190)+N(BE197)+N(BE198)+N(BE199))&lt;&gt;0,N(BE129)/(N(BE183)+N(BE187)+N(BE189)+N(BE190)+N(BE197)+N(BE198)+N(BE199)),""),"")</f>
        <v>0.994038983030744</v>
      </c>
      <c r="BF327" s="262">
        <f>IFERROR(IF((N(BF183)+N(BF187)+N(BF189)+N(BF190)+N(BF197)+N(BF198)+N(BF199))&lt;&gt;0,N(BF129)/(N(BF183)+N(BF187)+N(BF189)+N(BF190)+N(BF197)+N(BF198)+N(BF199)),""),"")</f>
        <v>0.994038983030744</v>
      </c>
      <c r="BG327" s="82" t="n"/>
      <c r="BH327" s="82" t="n"/>
      <c r="BI327" s="82" t="n"/>
      <c r="BJ327" s="82" t="n"/>
      <c r="BL327" s="82" t="n"/>
      <c r="BM327" s="82" t="n"/>
      <c r="BN327" s="82" t="n"/>
      <c r="BO327" s="82" t="n"/>
      <c r="BQ327" s="82" t="n"/>
      <c r="BR327" s="82" t="n"/>
      <c r="BS327" s="82" t="n"/>
      <c r="BT327" s="82" t="n"/>
      <c r="BV327" s="82" t="n"/>
      <c r="BW327" s="82" t="n"/>
      <c r="BX327" s="82" t="n"/>
      <c r="BY327" s="82" t="n"/>
      <c r="CA327" s="82" t="n"/>
      <c r="CB327" s="82" t="n"/>
      <c r="CC327" s="82" t="n"/>
      <c r="CD327" s="82" t="n"/>
      <c r="CF327" s="82" t="n"/>
      <c r="CG327" s="82" t="n"/>
      <c r="CH327" s="82" t="n"/>
      <c r="CI327" s="82" t="n"/>
      <c r="CK327" s="82" t="n"/>
      <c r="CL327" s="82" t="n"/>
      <c r="CM327" s="82" t="n"/>
      <c r="CN327" s="82" t="n"/>
      <c r="CP327" s="82" t="n"/>
      <c r="CQ327" s="82" t="n"/>
      <c r="CR327" s="82" t="n"/>
      <c r="CS327" s="82" t="n"/>
      <c r="CU327" s="82" t="n"/>
      <c r="CV327" s="82" t="n"/>
      <c r="CW327" s="82" t="n"/>
      <c r="CX327" s="82" t="n"/>
    </row>
    <row r="328" customFormat="1" s="77">
      <c r="A328" s="76" t="n"/>
      <c r="B328" s="76" t="n"/>
    </row>
    <row r="329" customFormat="1" s="77">
      <c r="A329" s="76" t="n"/>
      <c r="B329" s="76" t="n"/>
      <c r="C329" s="74" t="inlineStr">
        <is>
          <t>OPERATING EFFICIENCY</t>
        </is>
      </c>
    </row>
    <row r="330" customFormat="1" s="84">
      <c r="A330" s="81" t="n"/>
      <c r="B330" s="81" t="n"/>
      <c r="C330" s="84" t="inlineStr">
        <is>
          <t>RETURN ON CAPITAL (ROIC) - LTM</t>
        </is>
      </c>
      <c r="D330" t="str">
        <f>IFERROR(D332/D335,"")</f>
        <v/>
      </c>
      <c r="E330" t="str">
        <f>IFERROR(E332/E335,"")</f>
        <v/>
      </c>
      <c r="F330" t="str">
        <f>IFERROR(F332/F335,"")</f>
        <v/>
      </c>
      <c r="G330" t="str">
        <f>IFERROR(G332/G335,"")</f>
        <v/>
      </c>
      <c r="H330" s="257" t="str">
        <f>IFERROR(IF(AND(COUNT(H332)=1,N(H335)&lt;&gt;0),(H332)/H335,""),"")</f>
        <v/>
      </c>
      <c r="I330" s="257" t="str">
        <f>""</f>
        <v/>
      </c>
      <c r="J330" s="257" t="str">
        <f>""</f>
        <v/>
      </c>
      <c r="K330" s="257" t="str">
        <f>""</f>
        <v/>
      </c>
      <c r="L330" s="257">
        <f>IFERROR(IF(AND(COUNT(I332,J332,K332,L332)=4,N(L335)&lt;&gt;0),(I332+J332+K332+L332)/L335,""),"")</f>
        <v>0.335952696171352</v>
      </c>
      <c r="M330" s="257">
        <f>IFERROR(IF(AND(COUNT(I332,J332,K332,L332)=4,N(M335)&lt;&gt;0),(I332+J332+K332+L332)/M335,""),"")</f>
        <v>0.335952696171352</v>
      </c>
      <c r="N330" s="257">
        <f>IFERROR(IF(AND(COUNT(J332,K332,L332,N332)=4,N(N335)&lt;&gt;0),(J332+K332+L332+N332)/N335,""),"")</f>
        <v>0.330590036873943</v>
      </c>
      <c r="O330" s="257">
        <f>IFERROR(IF(AND(COUNT(K332,L332,N332,O332)=4,N(O335)&lt;&gt;0),(K332+L332+N332+O332)/O335,""),"")</f>
        <v>0.321583583695406</v>
      </c>
      <c r="P330" s="257">
        <f>IFERROR(IF(AND(COUNT(L332,N332,O332,P332)=4,N(P335)&lt;&gt;0),(L332+N332+O332+P332)/P335,""),"")</f>
        <v>0.315472798335582</v>
      </c>
      <c r="Q330" s="257">
        <f>IFERROR(IF(AND(COUNT(N332,O332,P332,Q332)=4,N(Q335)&lt;&gt;0),(N332+O332+P332+Q332)/Q335,""),"")</f>
        <v>0.312282023557172</v>
      </c>
      <c r="R330" s="257">
        <f>IFERROR(IF(AND(COUNT(N332,O332,P332,Q332)=4,N(R335)&lt;&gt;0),(N332+O332+P332+Q332)/R335,""),"")</f>
        <v>0.312282023557172</v>
      </c>
      <c r="S330" s="257">
        <f>IFERROR(IF(AND(COUNT(O332,P332,Q332,S332)=4,N(S335)&lt;&gt;0),(O332+P332+Q332+S332)/S335,""),"")</f>
        <v>0.327154004348961</v>
      </c>
      <c r="T330" s="257">
        <f>IFERROR(IF(AND(COUNT(P332,Q332,S332,T332)=4,N(T335)&lt;&gt;0),(P332+Q332+S332+T332)/T335,""),"")</f>
        <v>0.310265360136566</v>
      </c>
      <c r="U330" s="257">
        <f>IFERROR(IF(AND(COUNT(Q332,S332,T332,U332)=4,N(U335)&lt;&gt;0),(Q332+S332+T332+U332)/U335,""),"")</f>
        <v>0.321675367428228</v>
      </c>
      <c r="V330" s="257">
        <f>IFERROR(IF(AND(COUNT(S332,T332,U332,V332)=4,N(V335)&lt;&gt;0),(S332+T332+U332+V332)/V335,""),"")</f>
        <v>0.3497160663286</v>
      </c>
      <c r="W330" s="257">
        <f>IFERROR(IF(AND(COUNT(S332,T332,U332,V332)=4,N(W335)&lt;&gt;0),(S332+T332+U332+V332)/W335,""),"")</f>
        <v>0.3497160663286</v>
      </c>
      <c r="X330" s="257">
        <f>IFERROR(IF(AND(COUNT(T332,U332,V332,X332)=4,N(X335)&lt;&gt;0),(T332+U332+V332+X332)/X335,""),"")</f>
        <v>0.320314133947775</v>
      </c>
      <c r="Y330" s="257">
        <f>IFERROR(IF(AND(COUNT(U332,V332,X332,Y332)=4,N(Y335)&lt;&gt;0),(U332+V332+X332+Y332)/Y335,""),"")</f>
        <v>0.344825374195523</v>
      </c>
      <c r="Z330" s="257">
        <f>IFERROR(IF(AND(COUNT(V332,X332,Y332,Z332)=4,N(Z335)&lt;&gt;0),(V332+X332+Y332+Z332)/Z335,""),"")</f>
        <v>0.338355423770676</v>
      </c>
      <c r="AA330" s="257">
        <f>IFERROR(IF(AND(COUNT(X332,Y332,Z332,AA332)=4,N(AA335)&lt;&gt;0),(X332+Y332+Z332+AA332)/AA335,""),"")</f>
        <v>0.350300518601237</v>
      </c>
      <c r="AB330" s="257">
        <f>IFERROR(IF(AND(COUNT(X332,Y332,Z332,AA332)=4,N(AB335)&lt;&gt;0),(X332+Y332+Z332+AA332)/AB335,""),"")</f>
        <v>0.350300518601237</v>
      </c>
      <c r="AC330" s="257">
        <f>IFERROR(IF(AND(COUNT(Y332,Z332,AA332,AC332)=4,N(AC335)&lt;&gt;0),(Y332+Z332+AA332+AC332)/AC335,""),"")</f>
        <v>0.358747659675303</v>
      </c>
      <c r="AD330" s="257">
        <f>IFERROR(IF(AND(COUNT(Z332,AA332,AC332,AD332)=4,N(AD335)&lt;&gt;0),(Z332+AA332+AC332+AD332)/AD335,""),"")</f>
        <v>0.370980731483279</v>
      </c>
      <c r="AE330" s="257">
        <f>IFERROR(IF(AND(COUNT(AA332,AC332,AD332,AE332)=4,N(AE335)&lt;&gt;0),(AA332+AC332+AD332+AE332)/AE335,""),"")</f>
        <v>0.352443352004725</v>
      </c>
      <c r="AF330" s="257">
        <f>IFERROR(IF(AND(COUNT(AB332,AD332,AE332,AF332)=4,N(AF335)&lt;&gt;0),(AB332+AD332+AE332+AF332)/AF335,""),"")</f>
        <v>0.635983845064679</v>
      </c>
      <c r="AG330" s="257">
        <f>IFERROR(IF(AND(COUNT(AC332,AD332,AE332,AF332)=4,N(AG335)&lt;&gt;0),(AC332+AD332+AE332+AF332)/AG335,""),"")</f>
        <v>0.375470697020346</v>
      </c>
      <c r="AH330" s="257">
        <f>IFERROR(IF(AND(COUNT(AD332,AF332,AG332,AH332)=4,N(AH335)&lt;&gt;0),(AD332+AF332+AG332+AH332)/AH335,""),"")</f>
        <v>0.62203223613742</v>
      </c>
      <c r="AI330" s="257">
        <f>IFERROR(IF(AND(COUNT(AE332,AG332,AH332,AI332)=4,N(AI335)&lt;&gt;0),(AE332+AG332+AH332+AI332)/AI335,""),"")</f>
        <v>0.669896063679213</v>
      </c>
      <c r="AJ330" s="257">
        <f>IFERROR(IF(AND(COUNT(AF332,AH332,AI332,AJ332)=4,N(AJ335)&lt;&gt;0),(AF332+AH332+AI332+AJ332)/AJ335,""),"")</f>
        <v>0.367477343109406</v>
      </c>
      <c r="AK330" s="257">
        <f>IFERROR(IF(AND(COUNT(AH332,AI332,AJ332,AK332)=4,N(AK335)&lt;&gt;0),(AH332+AI332+AJ332+AK332)/AK335,""),"")</f>
        <v>0.382681129013521</v>
      </c>
      <c r="AL330" s="257">
        <f>IFERROR(IF(AND(COUNT(AH332,AI332,AJ332,AK332)=4,N(AL335)&lt;&gt;0),(AH332+AI332+AJ332+AK332)/AL335,""),"")</f>
        <v>0.382681129013521</v>
      </c>
      <c r="AM330" s="257">
        <f>IFERROR(IF(AND(COUNT(AI332,AJ332,AK332,AM332)=4,N(AM335)&lt;&gt;0),(AI332+AJ332+AK332+AM332)/AM335,""),"")</f>
        <v>0.390130903931964</v>
      </c>
      <c r="AN330" s="257">
        <f>IFERROR(IF(AND(COUNT(AJ332,AK332,AM332,AN332)=4,N(AN335)&lt;&gt;0),(AJ332+AK332+AM332+AN332)/AN335,""),"")</f>
        <v>0.395065025836878</v>
      </c>
      <c r="AO330" s="257">
        <f>IFERROR(IF(AND(COUNT(AK332,AM332,AN332,AO332)=4,N(AO335)&lt;&gt;0),(AK332+AM332+AN332+AO332)/AO335,""),"")</f>
        <v>0.392508009660745</v>
      </c>
      <c r="AP330" s="257">
        <f>IFERROR(IF(AND(COUNT(AM332,AN332,AO332,AP332)=4,N(AP335)&lt;&gt;0),(AM332+AN332+AO332+AP332)/AP335,""),"")</f>
        <v>0.413269381930599</v>
      </c>
      <c r="AQ330" s="257">
        <f>IFERROR(IF(AND(COUNT(AM332,AN332,AO332,AP332)=4,N(AQ335)&lt;&gt;0),(AM332+AN332+AO332+AP332)/AQ335,""),"")</f>
        <v>0.413269381930599</v>
      </c>
      <c r="AR330" s="257">
        <f>IFERROR(IF(AND(COUNT(AN332,AO332,AP332,AR332)=4,N(AR335)&lt;&gt;0),(AN332+AO332+AP332+AR332)/AR335,""),"")</f>
        <v>0.423477783997441</v>
      </c>
      <c r="AS330" s="257">
        <f>IFERROR(IF(AND(COUNT(AO332,AP332,AR332,AS332)=4,N(AS335)&lt;&gt;0),(AO332+AP332+AR332+AS332)/AS335,""),"")</f>
        <v>0.436557379358182</v>
      </c>
      <c r="AT330" s="257">
        <f>IFERROR(IF(AND(COUNT(AP332,AR332,AS332,AT332)=4,N(AT335)&lt;&gt;0),(AP332+AR332+AS332+AT332)/AT335,""),"")</f>
        <v>0.436301912728786</v>
      </c>
      <c r="AU330" s="257">
        <f>IFERROR(IF(AND(COUNT(AR332,AS332,AT332,AU332)=4,N(AU335)&lt;&gt;0),(AR332+AS332+AT332+AU332)/AU335,""),"")</f>
        <v>0.465987967295018</v>
      </c>
      <c r="AV330" s="257">
        <f>IFERROR(IF(AND(COUNT(AR332,AS332,AT332,AU332)=4,N(AV335)&lt;&gt;0),(AR332+AS332+AT332+AU332)/AV335,""),"")</f>
        <v>0.465987967295018</v>
      </c>
      <c r="AW330" s="257">
        <f>IFERROR(IF(AND(COUNT(AS332,AT332,AU332,AW332)=4,N(AW335)&lt;&gt;0),(AS332+AT332+AU332+AW332)/AW335,""),"")</f>
        <v>0.482734953834501</v>
      </c>
      <c r="AX330" s="257">
        <f>IFERROR(IF(AND(COUNT(AT332,AU332,AW332,AX332)=4,N(AX335)&lt;&gt;0),(AT332+AU332+AW332+AX332)/AX335,""),"")</f>
        <v>0.504994758388952</v>
      </c>
      <c r="AY330" s="257">
        <f>IFERROR(IF(AND(COUNT(AU332,AW332,AX332,AY332)=4,N(AY335)&lt;&gt;0),(AU332+AW332+AX332+AY332)/AY335,""),"")</f>
        <v>0.508921833155488</v>
      </c>
      <c r="AZ330" s="257">
        <f>IFERROR(IF(AND(COUNT(AW332,AX332,AY332,AZ332)=4,N(AZ335)&lt;&gt;0),(AW332+AX332+AY332+AZ332)/AZ335,""),"")</f>
        <v>0.555789062136121</v>
      </c>
      <c r="BA330" s="257">
        <f>IFERROR(IF(AND(COUNT(AW332,AX332,AY332,AZ332)=4,N(BA335)&lt;&gt;0),(AW332+AX332+AY332+AZ332)/BA335,""),"")</f>
        <v>0.555789062136121</v>
      </c>
      <c r="BB330" s="257">
        <f>IFERROR(IF(AND(COUNT(AX332,AY332,AZ332,BB332)=4,N(BB335)&lt;&gt;0),(AX332+AY332+AZ332+BB332)/BB335,""),"")</f>
        <v>0.586513320530021</v>
      </c>
      <c r="BC330" s="257">
        <f>IFERROR(IF(AND(COUNT(AY332,AZ332,BB332,BC332)=4,N(BC335)&lt;&gt;0),(AY332+AZ332+BB332+BC332)/BC335,""),"")</f>
        <v>0.627297098552674</v>
      </c>
      <c r="BD330" s="257">
        <f>IFERROR(IF(AND(COUNT(AZ332,BB332,BC332,BD332)=4,N(BD335)&lt;&gt;0),(AZ332+BB332+BC332+BD332)/BD335,""),"")</f>
        <v>0.640526903717418</v>
      </c>
      <c r="BE330" s="257">
        <f>IFERROR(IF(AND(COUNT(BB332,BC332,BD332,BE332)=4,N(BE335)&lt;&gt;0),(BB332+BC332+BD332+BE332)/BE335,""),"")</f>
        <v>0.727420822555672</v>
      </c>
      <c r="BF330" s="257">
        <f>IFERROR(IF(AND(COUNT(BB332,BC332,BD332,BE332)=4,N(BF335)&lt;&gt;0),(BB332+BC332+BD332+BE332)/BF335,""),"")</f>
        <v>0.727420822555672</v>
      </c>
      <c r="BG330" s="81" t="n"/>
      <c r="BH330" s="81" t="n"/>
      <c r="BI330" s="81" t="n"/>
      <c r="BJ330" s="81" t="n"/>
      <c r="BL330" s="81" t="n"/>
      <c r="BM330" s="81" t="n"/>
      <c r="BN330" s="81" t="n"/>
      <c r="BO330" s="81" t="n"/>
      <c r="BQ330" s="81" t="n"/>
      <c r="BR330" s="81" t="n"/>
      <c r="BS330" s="81" t="n"/>
      <c r="BT330" s="81" t="n"/>
      <c r="BV330" s="81" t="n"/>
      <c r="BW330" s="81" t="n"/>
      <c r="BX330" s="81" t="n"/>
      <c r="BY330" s="81" t="n"/>
      <c r="CA330" s="81" t="n"/>
      <c r="CB330" s="81" t="n"/>
      <c r="CC330" s="81" t="n"/>
      <c r="CD330" s="81" t="n"/>
      <c r="CF330" s="81" t="n"/>
      <c r="CG330" s="81" t="n"/>
      <c r="CH330" s="81" t="n"/>
      <c r="CI330" s="81" t="n"/>
      <c r="CK330" s="81" t="n"/>
      <c r="CL330" s="81" t="n"/>
      <c r="CM330" s="81" t="n"/>
      <c r="CN330" s="81" t="n"/>
      <c r="CP330" s="81" t="n"/>
      <c r="CQ330" s="81" t="n"/>
      <c r="CR330" s="81" t="n"/>
      <c r="CS330" s="81" t="n"/>
      <c r="CU330" s="81" t="n"/>
      <c r="CV330" s="81" t="n"/>
      <c r="CW330" s="81" t="n"/>
      <c r="CX330" s="81" t="n"/>
    </row>
    <row r="331" customFormat="1" s="84">
      <c r="A331" s="81" t="n"/>
      <c r="B331" s="81" t="n"/>
      <c r="C331" s="84" t="inlineStr">
        <is>
          <t>RETURN ON CAPITAL (ROIC) - EX GOODWILL - LTM</t>
        </is>
      </c>
      <c r="D331" t="str">
        <f>IFERROR(D332/D336,"")</f>
        <v/>
      </c>
      <c r="E331" t="str">
        <f>IFERROR(E332/E336,"")</f>
        <v/>
      </c>
      <c r="F331" t="str">
        <f>IFERROR(F332/F336,"")</f>
        <v/>
      </c>
      <c r="G331" t="str">
        <f>IFERROR(G332/G336,"")</f>
        <v/>
      </c>
      <c r="H331" s="257" t="str">
        <f>IFERROR(IF(AND(COUNT(H332)=1,N(H336)&lt;&gt;0),(H332)/H336,""),"")</f>
        <v/>
      </c>
      <c r="I331" s="257" t="str">
        <f>""</f>
        <v/>
      </c>
      <c r="J331" s="257" t="str">
        <f>""</f>
        <v/>
      </c>
      <c r="K331" s="257" t="str">
        <f>""</f>
        <v/>
      </c>
      <c r="L331" s="257">
        <f>IFERROR(IF(AND(COUNT(I332,J332,K332,L332)=4,N(L336)&lt;&gt;0),(I332+J332+K332+L332)/L336,""),"")</f>
        <v>0.335952696171352</v>
      </c>
      <c r="M331" s="257">
        <f>IFERROR(IF(AND(COUNT(I332,J332,K332,L332)=4,N(M336)&lt;&gt;0),(I332+J332+K332+L332)/M336,""),"")</f>
        <v>0.335952696171352</v>
      </c>
      <c r="N331" s="257">
        <f>IFERROR(IF(AND(COUNT(J332,K332,L332,N332)=4,N(N336)&lt;&gt;0),(J332+K332+L332+N332)/N336,""),"")</f>
        <v>0.330590036873943</v>
      </c>
      <c r="O331" s="257">
        <f>IFERROR(IF(AND(COUNT(K332,L332,N332,O332)=4,N(O336)&lt;&gt;0),(K332+L332+N332+O332)/O336,""),"")</f>
        <v>0.321583583695406</v>
      </c>
      <c r="P331" s="257">
        <f>IFERROR(IF(AND(COUNT(L332,N332,O332,P332)=4,N(P336)&lt;&gt;0),(L332+N332+O332+P332)/P336,""),"")</f>
        <v>0.315472798335582</v>
      </c>
      <c r="Q331" s="257">
        <f>IFERROR(IF(AND(COUNT(N332,O332,P332,Q332)=4,N(Q336)&lt;&gt;0),(N332+O332+P332+Q332)/Q336,""),"")</f>
        <v>0.312282023557172</v>
      </c>
      <c r="R331" s="257">
        <f>IFERROR(IF(AND(COUNT(N332,O332,P332,Q332)=4,N(R336)&lt;&gt;0),(N332+O332+P332+Q332)/R336,""),"")</f>
        <v>0.312282023557172</v>
      </c>
      <c r="S331" s="257">
        <f>IFERROR(IF(AND(COUNT(O332,P332,Q332,S332)=4,N(S336)&lt;&gt;0),(O332+P332+Q332+S332)/S336,""),"")</f>
        <v>0.327154004348961</v>
      </c>
      <c r="T331" s="257">
        <f>IFERROR(IF(AND(COUNT(P332,Q332,S332,T332)=4,N(T336)&lt;&gt;0),(P332+Q332+S332+T332)/T336,""),"")</f>
        <v>0.310265360136566</v>
      </c>
      <c r="U331" s="257">
        <f>IFERROR(IF(AND(COUNT(Q332,S332,T332,U332)=4,N(U336)&lt;&gt;0),(Q332+S332+T332+U332)/U336,""),"")</f>
        <v>0.321675367428228</v>
      </c>
      <c r="V331" s="257">
        <f>IFERROR(IF(AND(COUNT(S332,T332,U332,V332)=4,N(V336)&lt;&gt;0),(S332+T332+U332+V332)/V336,""),"")</f>
        <v>0.3497160663286</v>
      </c>
      <c r="W331" s="257">
        <f>IFERROR(IF(AND(COUNT(S332,T332,U332,V332)=4,N(W336)&lt;&gt;0),(S332+T332+U332+V332)/W336,""),"")</f>
        <v>0.3497160663286</v>
      </c>
      <c r="X331" s="257">
        <f>IFERROR(IF(AND(COUNT(T332,U332,V332,X332)=4,N(X336)&lt;&gt;0),(T332+U332+V332+X332)/X336,""),"")</f>
        <v>0.320314133947775</v>
      </c>
      <c r="Y331" s="257">
        <f>IFERROR(IF(AND(COUNT(U332,V332,X332,Y332)=4,N(Y336)&lt;&gt;0),(U332+V332+X332+Y332)/Y336,""),"")</f>
        <v>0.344825374195523</v>
      </c>
      <c r="Z331" s="257">
        <f>IFERROR(IF(AND(COUNT(V332,X332,Y332,Z332)=4,N(Z336)&lt;&gt;0),(V332+X332+Y332+Z332)/Z336,""),"")</f>
        <v>0.338355423770676</v>
      </c>
      <c r="AA331" s="257">
        <f>IFERROR(IF(AND(COUNT(X332,Y332,Z332,AA332)=4,N(AA336)&lt;&gt;0),(X332+Y332+Z332+AA332)/AA336,""),"")</f>
        <v>0.350300518601237</v>
      </c>
      <c r="AB331" s="257">
        <f>IFERROR(IF(AND(COUNT(X332,Y332,Z332,AA332)=4,N(AB336)&lt;&gt;0),(X332+Y332+Z332+AA332)/AB336,""),"")</f>
        <v>0.350300518601237</v>
      </c>
      <c r="AC331" s="257">
        <f>IFERROR(IF(AND(COUNT(Y332,Z332,AA332,AC332)=4,N(AC336)&lt;&gt;0),(Y332+Z332+AA332+AC332)/AC336,""),"")</f>
        <v>0.358747659675303</v>
      </c>
      <c r="AD331" s="257">
        <f>IFERROR(IF(AND(COUNT(Z332,AA332,AC332,AD332)=4,N(AD336)&lt;&gt;0),(Z332+AA332+AC332+AD332)/AD336,""),"")</f>
        <v>0.370980731483279</v>
      </c>
      <c r="AE331" s="257">
        <f>IFERROR(IF(AND(COUNT(AA332,AC332,AD332,AE332)=4,N(AE336)&lt;&gt;0),(AA332+AC332+AD332+AE332)/AE336,""),"")</f>
        <v>0.352443352004725</v>
      </c>
      <c r="AF331" s="257">
        <f>IFERROR(IF(AND(COUNT(AB332,AD332,AE332,AF332)=4,N(AF336)&lt;&gt;0),(AB332+AD332+AE332+AF332)/AF336,""),"")</f>
        <v>0.635983845064679</v>
      </c>
      <c r="AG331" s="257">
        <f>IFERROR(IF(AND(COUNT(AC332,AD332,AE332,AF332)=4,N(AG336)&lt;&gt;0),(AC332+AD332+AE332+AF332)/AG336,""),"")</f>
        <v>0.375470697020346</v>
      </c>
      <c r="AH331" s="257">
        <f>IFERROR(IF(AND(COUNT(AD332,AF332,AG332,AH332)=4,N(AH336)&lt;&gt;0),(AD332+AF332+AG332+AH332)/AH336,""),"")</f>
        <v>0.62203223613742</v>
      </c>
      <c r="AI331" s="257">
        <f>IFERROR(IF(AND(COUNT(AE332,AG332,AH332,AI332)=4,N(AI336)&lt;&gt;0),(AE332+AG332+AH332+AI332)/AI336,""),"")</f>
        <v>0.669896063679213</v>
      </c>
      <c r="AJ331" s="257">
        <f>IFERROR(IF(AND(COUNT(AF332,AH332,AI332,AJ332)=4,N(AJ336)&lt;&gt;0),(AF332+AH332+AI332+AJ332)/AJ336,""),"")</f>
        <v>0.367477343109406</v>
      </c>
      <c r="AK331" s="257">
        <f>IFERROR(IF(AND(COUNT(AH332,AI332,AJ332,AK332)=4,N(AK336)&lt;&gt;0),(AH332+AI332+AJ332+AK332)/AK336,""),"")</f>
        <v>0.382681129013521</v>
      </c>
      <c r="AL331" s="257">
        <f>IFERROR(IF(AND(COUNT(AH332,AI332,AJ332,AK332)=4,N(AL336)&lt;&gt;0),(AH332+AI332+AJ332+AK332)/AL336,""),"")</f>
        <v>0.382681129013521</v>
      </c>
      <c r="AM331" s="257">
        <f>IFERROR(IF(AND(COUNT(AI332,AJ332,AK332,AM332)=4,N(AM336)&lt;&gt;0),(AI332+AJ332+AK332+AM332)/AM336,""),"")</f>
        <v>0.390130903931964</v>
      </c>
      <c r="AN331" s="257">
        <f>IFERROR(IF(AND(COUNT(AJ332,AK332,AM332,AN332)=4,N(AN336)&lt;&gt;0),(AJ332+AK332+AM332+AN332)/AN336,""),"")</f>
        <v>0.395065025836878</v>
      </c>
      <c r="AO331" s="257">
        <f>IFERROR(IF(AND(COUNT(AK332,AM332,AN332,AO332)=4,N(AO336)&lt;&gt;0),(AK332+AM332+AN332+AO332)/AO336,""),"")</f>
        <v>0.392508009660745</v>
      </c>
      <c r="AP331" s="257">
        <f>IFERROR(IF(AND(COUNT(AM332,AN332,AO332,AP332)=4,N(AP336)&lt;&gt;0),(AM332+AN332+AO332+AP332)/AP336,""),"")</f>
        <v>0.413269381930599</v>
      </c>
      <c r="AQ331" s="257">
        <f>IFERROR(IF(AND(COUNT(AM332,AN332,AO332,AP332)=4,N(AQ336)&lt;&gt;0),(AM332+AN332+AO332+AP332)/AQ336,""),"")</f>
        <v>0.413269381930599</v>
      </c>
      <c r="AR331" s="257">
        <f>IFERROR(IF(AND(COUNT(AN332,AO332,AP332,AR332)=4,N(AR336)&lt;&gt;0),(AN332+AO332+AP332+AR332)/AR336,""),"")</f>
        <v>0.423477783997441</v>
      </c>
      <c r="AS331" s="257">
        <f>IFERROR(IF(AND(COUNT(AO332,AP332,AR332,AS332)=4,N(AS336)&lt;&gt;0),(AO332+AP332+AR332+AS332)/AS336,""),"")</f>
        <v>0.436557379358182</v>
      </c>
      <c r="AT331" s="257">
        <f>IFERROR(IF(AND(COUNT(AP332,AR332,AS332,AT332)=4,N(AT336)&lt;&gt;0),(AP332+AR332+AS332+AT332)/AT336,""),"")</f>
        <v>0.436301912728786</v>
      </c>
      <c r="AU331" s="257">
        <f>IFERROR(IF(AND(COUNT(AR332,AS332,AT332,AU332)=4,N(AU336)&lt;&gt;0),(AR332+AS332+AT332+AU332)/AU336,""),"")</f>
        <v>0.465987967295018</v>
      </c>
      <c r="AV331" s="257">
        <f>IFERROR(IF(AND(COUNT(AR332,AS332,AT332,AU332)=4,N(AV336)&lt;&gt;0),(AR332+AS332+AT332+AU332)/AV336,""),"")</f>
        <v>0.465987967295018</v>
      </c>
      <c r="AW331" s="257">
        <f>IFERROR(IF(AND(COUNT(AS332,AT332,AU332,AW332)=4,N(AW336)&lt;&gt;0),(AS332+AT332+AU332+AW332)/AW336,""),"")</f>
        <v>0.482734953834501</v>
      </c>
      <c r="AX331" s="257">
        <f>IFERROR(IF(AND(COUNT(AT332,AU332,AW332,AX332)=4,N(AX336)&lt;&gt;0),(AT332+AU332+AW332+AX332)/AX336,""),"")</f>
        <v>0.504994758388952</v>
      </c>
      <c r="AY331" s="257">
        <f>IFERROR(IF(AND(COUNT(AU332,AW332,AX332,AY332)=4,N(AY336)&lt;&gt;0),(AU332+AW332+AX332+AY332)/AY336,""),"")</f>
        <v>0.508921833155488</v>
      </c>
      <c r="AZ331" s="257">
        <f>IFERROR(IF(AND(COUNT(AW332,AX332,AY332,AZ332)=4,N(AZ336)&lt;&gt;0),(AW332+AX332+AY332+AZ332)/AZ336,""),"")</f>
        <v>0.555789062136121</v>
      </c>
      <c r="BA331" s="257">
        <f>IFERROR(IF(AND(COUNT(AW332,AX332,AY332,AZ332)=4,N(BA336)&lt;&gt;0),(AW332+AX332+AY332+AZ332)/BA336,""),"")</f>
        <v>0.555789062136121</v>
      </c>
      <c r="BB331" s="257">
        <f>IFERROR(IF(AND(COUNT(AX332,AY332,AZ332,BB332)=4,N(BB336)&lt;&gt;0),(AX332+AY332+AZ332+BB332)/BB336,""),"")</f>
        <v>0.586513320530021</v>
      </c>
      <c r="BC331" s="257">
        <f>IFERROR(IF(AND(COUNT(AY332,AZ332,BB332,BC332)=4,N(BC336)&lt;&gt;0),(AY332+AZ332+BB332+BC332)/BC336,""),"")</f>
        <v>0.627297098552674</v>
      </c>
      <c r="BD331" s="257">
        <f>IFERROR(IF(AND(COUNT(AZ332,BB332,BC332,BD332)=4,N(BD336)&lt;&gt;0),(AZ332+BB332+BC332+BD332)/BD336,""),"")</f>
        <v>0.640526903717418</v>
      </c>
      <c r="BE331" s="257">
        <f>IFERROR(IF(AND(COUNT(BB332,BC332,BD332,BE332)=4,N(BE336)&lt;&gt;0),(BB332+BC332+BD332+BE332)/BE336,""),"")</f>
        <v>0.727420822555672</v>
      </c>
      <c r="BF331" s="257">
        <f>IFERROR(IF(AND(COUNT(BB332,BC332,BD332,BE332)=4,N(BF336)&lt;&gt;0),(BB332+BC332+BD332+BE332)/BF336,""),"")</f>
        <v>0.727420822555672</v>
      </c>
      <c r="BG331" s="81" t="n"/>
      <c r="BH331" s="81" t="n"/>
      <c r="BI331" s="81" t="n"/>
      <c r="BJ331" s="81" t="n"/>
      <c r="BL331" s="81" t="n"/>
      <c r="BM331" s="81" t="n"/>
      <c r="BN331" s="81" t="n"/>
      <c r="BO331" s="81" t="n"/>
      <c r="BQ331" s="81" t="n"/>
      <c r="BR331" s="81" t="n"/>
      <c r="BS331" s="81" t="n"/>
      <c r="BT331" s="81" t="n"/>
      <c r="BV331" s="81" t="n"/>
      <c r="BW331" s="81" t="n"/>
      <c r="BX331" s="81" t="n"/>
      <c r="BY331" s="81" t="n"/>
      <c r="CA331" s="81" t="n"/>
      <c r="CB331" s="81" t="n"/>
      <c r="CC331" s="81" t="n"/>
      <c r="CD331" s="81" t="n"/>
      <c r="CF331" s="81" t="n"/>
      <c r="CG331" s="81" t="n"/>
      <c r="CH331" s="81" t="n"/>
      <c r="CI331" s="81" t="n"/>
      <c r="CK331" s="81" t="n"/>
      <c r="CL331" s="81" t="n"/>
      <c r="CM331" s="81" t="n"/>
      <c r="CN331" s="81" t="n"/>
      <c r="CP331" s="81" t="n"/>
      <c r="CQ331" s="81" t="n"/>
      <c r="CR331" s="81" t="n"/>
      <c r="CS331" s="81" t="n"/>
      <c r="CU331" s="81" t="n"/>
      <c r="CV331" s="81" t="n"/>
      <c r="CW331" s="81" t="n"/>
      <c r="CX331" s="81" t="n"/>
    </row>
    <row r="332" customFormat="1" s="77">
      <c r="A332" s="76" t="n"/>
      <c r="B332" s="76" t="n"/>
      <c r="C332" s="77" t="inlineStr">
        <is>
          <t>NOPLAT</t>
        </is>
      </c>
      <c r="D332">
        <f>IFERROR(D333*(1-D334),"")</f>
        <v>0</v>
      </c>
      <c r="E332">
        <f>IFERROR(E333*(1-E334),"")</f>
        <v>0</v>
      </c>
      <c r="F332">
        <f>IFERROR(F333*(1-F334),"")</f>
        <v>0</v>
      </c>
      <c r="G332">
        <f>IFERROR(G333*(1-G334),"")</f>
        <v>0</v>
      </c>
      <c r="H332" s="263">
        <f>IFERROR(H333*(1-N(H334)),0)</f>
        <v>0</v>
      </c>
      <c r="I332" s="263">
        <f>IFERROR(I333*(1-N(I334)),0)</f>
        <v>986.459438968916</v>
      </c>
      <c r="J332" s="263">
        <f>IFERROR(J333*(1-N(J334)),0)</f>
        <v>1242.71454545455</v>
      </c>
      <c r="K332" s="263">
        <f>IFERROR(K333*(1-N(K334)),0)</f>
        <v>1682.1693583588</v>
      </c>
      <c r="L332" s="263">
        <f>IFERROR(L333*(1-N(L334)),0)</f>
        <v>1342.62087264151</v>
      </c>
      <c r="M332" s="263">
        <f>IFERROR(M333*(1-N(M334)),0)</f>
        <v>5254.306066705</v>
      </c>
      <c r="N332" s="263">
        <f>IFERROR(N333*(1-N(N334)),0)</f>
        <v>1328.06218767351</v>
      </c>
      <c r="O332" s="263">
        <f>IFERROR(O333*(1-N(O334)),0)</f>
        <v>1344.96551724138</v>
      </c>
      <c r="P332" s="263">
        <f>IFERROR(P333*(1-N(P334)),0)</f>
        <v>1863.81796502385</v>
      </c>
      <c r="Q332" s="263">
        <f>IFERROR(Q333*(1-N(Q334)),0)</f>
        <v>1349.3581920904</v>
      </c>
      <c r="R332" s="263">
        <f>IFERROR(R333*(1-N(R334)),0)</f>
        <v>5886.76194086429</v>
      </c>
      <c r="S332" s="263">
        <f>IFERROR(S333*(1-N(S334)),0)</f>
        <v>1406.85728693898</v>
      </c>
      <c r="T332" s="263">
        <f>IFERROR(T333*(1-N(T334)),0)</f>
        <v>1234.36363636364</v>
      </c>
      <c r="U332" s="263">
        <f>IFERROR(U333*(1-N(U334)),0)</f>
        <v>2027.32365845427</v>
      </c>
      <c r="V332" s="263">
        <f>IFERROR(V333*(1-N(V334)),0)</f>
        <v>1496.94966761633</v>
      </c>
      <c r="W332" s="263">
        <f>IFERROR(W333*(1-N(W334)),0)</f>
        <v>6165.408477842</v>
      </c>
      <c r="X332" s="263">
        <f>IFERROR(X333*(1-N(X334)),0)</f>
        <v>1606.64550737595</v>
      </c>
      <c r="Y332" s="263">
        <f>IFERROR(Y333*(1-N(Y334)),0)</f>
        <v>1616.96891418564</v>
      </c>
      <c r="Z332" s="263">
        <f>IFERROR(Z333*(1-N(Z334)),0)</f>
        <v>2300.3109540636</v>
      </c>
      <c r="AA332" s="263">
        <f>IFERROR(AA333*(1-N(AA334)),0)</f>
        <v>1712.23243712056</v>
      </c>
      <c r="AB332" s="263">
        <f>IFERROR(AB333*(1-N(AB334)),0)</f>
        <v>7238.35734406439</v>
      </c>
      <c r="AC332" s="263">
        <f>IFERROR(AC333*(1-N(AC334)),0)</f>
        <v>1709.74731626755</v>
      </c>
      <c r="AD332" s="263">
        <f>IFERROR(AD333*(1-N(AD334)),0)</f>
        <v>1866.12015503876</v>
      </c>
      <c r="AE332" s="263">
        <f>IFERROR(AE333*(1-N(AE334)),0)</f>
        <v>2484.33333333333</v>
      </c>
      <c r="AF332" s="263">
        <f>IFERROR(AF333*(1-N(AF334)),0)</f>
        <v>1908.03832752613</v>
      </c>
      <c r="AG332" s="263">
        <f>IFERROR(AG333*(1-N(AG334)),0)</f>
        <v>7969.02208201893</v>
      </c>
      <c r="AH332" s="263">
        <f>IFERROR(AH333*(1-N(AH334)),0)</f>
        <v>1948.99301727306</v>
      </c>
      <c r="AI332" s="263">
        <f>IFERROR(AI333*(1-N(AI334)),0)</f>
        <v>2100.23144996596</v>
      </c>
      <c r="AJ332" s="263">
        <f>IFERROR(AJ333*(1-N(AJ334)),0)</f>
        <v>2683.30128598095</v>
      </c>
      <c r="AK332" s="263">
        <f>IFERROR(AK333*(1-N(AK334)),0)</f>
        <v>2096.25516105111</v>
      </c>
      <c r="AL332" s="263">
        <f>IFERROR(AL333*(1-N(AL334)),0)</f>
        <v>8828.81788957138</v>
      </c>
      <c r="AM332" s="263">
        <f>IFERROR(AM333*(1-N(AM334)),0)</f>
        <v>2167.57648452129</v>
      </c>
      <c r="AN332" s="263">
        <f>IFERROR(AN333*(1-N(AN334)),0)</f>
        <v>2196.54103946769</v>
      </c>
      <c r="AO332" s="263">
        <f>IFERROR(AO333*(1-N(AO334)),0)</f>
        <v>2925.93552533833</v>
      </c>
      <c r="AP332" s="263">
        <f>IFERROR(AP333*(1-N(AP334)),0)</f>
        <v>2285.80647202687</v>
      </c>
      <c r="AQ332" s="263">
        <f>IFERROR(AQ333*(1-N(AQ334)),0)</f>
        <v>9575.85952135417</v>
      </c>
      <c r="AR332" s="263">
        <f>IFERROR(AR333*(1-N(AR334)),0)</f>
        <v>2352.73905658306</v>
      </c>
      <c r="AS332" s="263">
        <f>IFERROR(AS333*(1-N(AS334)),0)</f>
        <v>2384.17787323639</v>
      </c>
      <c r="AT332" s="263">
        <f>IFERROR(AT333*(1-N(AT334)),0)</f>
        <v>3175.87999162468</v>
      </c>
      <c r="AU332" s="263">
        <f>IFERROR(AU333*(1-N(AU334)),0)</f>
        <v>2481.06869627516</v>
      </c>
      <c r="AV332" s="263">
        <f>IFERROR(AV333*(1-N(AV334)),0)</f>
        <v>10393.8656177193</v>
      </c>
      <c r="AW332" s="263">
        <f>IFERROR(AW333*(1-N(AW334)),0)</f>
        <v>2541.95521978172</v>
      </c>
      <c r="AX332" s="263">
        <f>IFERROR(AX333*(1-N(AX334)),0)</f>
        <v>2575.92246484108</v>
      </c>
      <c r="AY332" s="263">
        <f>IFERROR(AY333*(1-N(AY334)),0)</f>
        <v>3431.29625851294</v>
      </c>
      <c r="AZ332" s="263">
        <f>IFERROR(AZ333*(1-N(AZ334)),0)</f>
        <v>2680.60561390652</v>
      </c>
      <c r="BA332" s="263">
        <f>IFERROR(BA333*(1-N(BA334)),0)</f>
        <v>11229.7795570423</v>
      </c>
      <c r="BB332" s="263">
        <f>IFERROR(BB333*(1-N(BB334)),0)</f>
        <v>2733.67908555402</v>
      </c>
      <c r="BC332" s="263">
        <f>IFERROR(BC333*(1-N(BC334)),0)</f>
        <v>2770.20826855854</v>
      </c>
      <c r="BD332" s="263">
        <f>IFERROR(BD333*(1-N(BD334)),0)</f>
        <v>3690.0975852132</v>
      </c>
      <c r="BE332" s="263">
        <f>IFERROR(BE333*(1-N(BE334)),0)</f>
        <v>2882.78701620252</v>
      </c>
      <c r="BF332" s="263">
        <f>IFERROR(BF333*(1-N(BF334)),0)</f>
        <v>12076.7719555283</v>
      </c>
      <c r="BG332" s="85" t="n"/>
      <c r="BH332" s="76" t="n"/>
      <c r="BI332" s="76" t="n"/>
      <c r="BJ332" s="76" t="n"/>
      <c r="BL332" s="85" t="n"/>
      <c r="BM332" s="76" t="n"/>
      <c r="BN332" s="76" t="n"/>
      <c r="BO332" s="76" t="n"/>
      <c r="BQ332" s="85" t="n"/>
      <c r="BR332" s="76" t="n"/>
      <c r="BS332" s="76" t="n"/>
      <c r="BT332" s="76" t="n"/>
      <c r="BV332" s="85" t="n"/>
      <c r="BW332" s="76" t="n"/>
      <c r="BX332" s="76" t="n"/>
      <c r="BY332" s="76" t="n"/>
      <c r="CA332" s="85" t="n"/>
      <c r="CB332" s="76" t="n"/>
      <c r="CC332" s="76" t="n"/>
      <c r="CD332" s="76" t="n"/>
      <c r="CF332" s="85" t="n"/>
      <c r="CG332" s="76" t="n"/>
      <c r="CH332" s="76" t="n"/>
      <c r="CI332" s="76" t="n"/>
      <c r="CK332" s="85" t="n"/>
      <c r="CL332" s="76" t="n"/>
      <c r="CM332" s="76" t="n"/>
      <c r="CN332" s="76" t="n"/>
      <c r="CP332" s="85" t="n"/>
      <c r="CQ332" s="76" t="n"/>
      <c r="CR332" s="76" t="n"/>
      <c r="CS332" s="76" t="n"/>
      <c r="CU332" s="85" t="n"/>
      <c r="CV332" s="76" t="n"/>
      <c r="CW332" s="76" t="n"/>
      <c r="CX332" s="76" t="n"/>
    </row>
    <row r="333" customFormat="1" s="77">
      <c r="A333" s="76" t="n"/>
      <c r="B333" s="76" t="n"/>
      <c r="C333" s="77" t="inlineStr">
        <is>
          <t>EBIT</t>
        </is>
      </c>
      <c r="D333" s="86">
        <f>IFERROR(D115,"")</f>
        <v>0</v>
      </c>
      <c r="E333" s="86">
        <f>IFERROR(E115,"")</f>
        <v>0</v>
      </c>
      <c r="F333" s="86">
        <f>IFERROR(F115,"")</f>
        <v>0</v>
      </c>
      <c r="G333" s="86">
        <f>IFERROR(G115,"")</f>
        <v>0</v>
      </c>
      <c r="H333" s="263">
        <f>IFERROR(H58,0)</f>
        <v>0</v>
      </c>
      <c r="I333" s="263">
        <f>IFERROR(I58,0)</f>
        <v>1340</v>
      </c>
      <c r="J333" s="263">
        <f>IFERROR(J58,0)</f>
        <v>1663</v>
      </c>
      <c r="K333" s="263">
        <f>IFERROR(K58,0)</f>
        <v>2275</v>
      </c>
      <c r="L333" s="263">
        <f>IFERROR(L58,0)</f>
        <v>1693</v>
      </c>
      <c r="M333" s="263">
        <f>IFERROR(M58,0)</f>
        <v>6971</v>
      </c>
      <c r="N333" s="263">
        <f>IFERROR(N58,0)</f>
        <v>1812</v>
      </c>
      <c r="O333" s="263">
        <f>IFERROR(O58,0)</f>
        <v>1791</v>
      </c>
      <c r="P333" s="263">
        <f>IFERROR(P58,0)</f>
        <v>2497</v>
      </c>
      <c r="Q333" s="263">
        <f>IFERROR(Q58,0)</f>
        <v>1751</v>
      </c>
      <c r="R333" s="263">
        <f>IFERROR(R58,0)</f>
        <v>7851</v>
      </c>
      <c r="S333" s="263">
        <f>IFERROR(S58,0)</f>
        <v>1903</v>
      </c>
      <c r="T333" s="263">
        <f>IFERROR(T58,0)</f>
        <v>1679</v>
      </c>
      <c r="U333" s="263">
        <f>IFERROR(U58,0)</f>
        <v>2781</v>
      </c>
      <c r="V333" s="263">
        <f>IFERROR(V58,0)</f>
        <v>1984</v>
      </c>
      <c r="W333" s="263">
        <f>IFERROR(W58,0)</f>
        <v>8347</v>
      </c>
      <c r="X333" s="263">
        <f>IFERROR(X58,0)</f>
        <v>2062</v>
      </c>
      <c r="Y333" s="263">
        <f>IFERROR(Y58,0)</f>
        <v>2197</v>
      </c>
      <c r="Z333" s="263">
        <f>IFERROR(Z58,0)</f>
        <v>3042</v>
      </c>
      <c r="AA333" s="263">
        <f>IFERROR(AA58,0)</f>
        <v>2196</v>
      </c>
      <c r="AB333" s="263">
        <f>IFERROR(AB58,0)</f>
        <v>9497</v>
      </c>
      <c r="AC333" s="263">
        <f>IFERROR(AC58,0)</f>
        <v>2316</v>
      </c>
      <c r="AD333" s="263">
        <f>IFERROR(AD58,0)</f>
        <v>2530</v>
      </c>
      <c r="AE333" s="263">
        <f>IFERROR(AE58,0)</f>
        <v>3341</v>
      </c>
      <c r="AF333" s="263">
        <f>IFERROR(AF58,0)</f>
        <v>2463</v>
      </c>
      <c r="AG333" s="263">
        <f>IFERROR(AG58,0)</f>
        <v>10650</v>
      </c>
      <c r="AH333" s="263">
        <f>IFERROR(AH58,0)</f>
        <v>2606</v>
      </c>
      <c r="AI333" s="263">
        <f>IFERROR(AI58,0)</f>
        <v>2815</v>
      </c>
      <c r="AJ333" s="263">
        <f>IFERROR(AJ58,0)</f>
        <v>3587.24308270271</v>
      </c>
      <c r="AK333" s="263">
        <f>IFERROR(AK58,0)</f>
        <v>2802.43477143172</v>
      </c>
      <c r="AL333" s="263">
        <f>IFERROR(AL58,0)</f>
        <v>11810.6778541344</v>
      </c>
      <c r="AM333" s="263">
        <f>IFERROR(AM58,0)</f>
        <v>2897.78259003274</v>
      </c>
      <c r="AN333" s="263">
        <f>IFERROR(AN58,0)</f>
        <v>2936.50462990127</v>
      </c>
      <c r="AO333" s="263">
        <f>IFERROR(AO58,0)</f>
        <v>3911.61515426582</v>
      </c>
      <c r="AP333" s="263">
        <f>IFERROR(AP58,0)</f>
        <v>3055.84151061063</v>
      </c>
      <c r="AQ333" s="263">
        <f>IFERROR(AQ58,0)</f>
        <v>12801.7438848105</v>
      </c>
      <c r="AR333" s="263">
        <f>IFERROR(AR58,0)</f>
        <v>3145.32212622805</v>
      </c>
      <c r="AS333" s="263">
        <f>IFERROR(AS58,0)</f>
        <v>3187.35194902777</v>
      </c>
      <c r="AT333" s="263">
        <f>IFERROR(AT58,0)</f>
        <v>4245.76009819364</v>
      </c>
      <c r="AU333" s="263">
        <f>IFERROR(AU58,0)</f>
        <v>3316.88303692278</v>
      </c>
      <c r="AV333" s="263">
        <f>IFERROR(AV58,0)</f>
        <v>13895.3172103722</v>
      </c>
      <c r="AW333" s="263">
        <f>IFERROR(AW58,0)</f>
        <v>3398.28081413843</v>
      </c>
      <c r="AX333" s="263">
        <f>IFERROR(AX58,0)</f>
        <v>3443.69083406957</v>
      </c>
      <c r="AY333" s="263">
        <f>IFERROR(AY58,0)</f>
        <v>4587.22016508646</v>
      </c>
      <c r="AZ333" s="263">
        <f>IFERROR(AZ58,0)</f>
        <v>3583.63930140064</v>
      </c>
      <c r="BA333" s="263">
        <f>IFERROR(BA58,0)</f>
        <v>15012.8311146951</v>
      </c>
      <c r="BB333" s="263">
        <f>IFERROR(BB58,0)</f>
        <v>3654.59199129693</v>
      </c>
      <c r="BC333" s="263">
        <f>IFERROR(BC58,0)</f>
        <v>3703.42700648302</v>
      </c>
      <c r="BD333" s="263">
        <f>IFERROR(BD58,0)</f>
        <v>4933.20563971436</v>
      </c>
      <c r="BE333" s="263">
        <f>IFERROR(BE58,0)</f>
        <v>3853.9309159229</v>
      </c>
      <c r="BF333" s="263">
        <f>IFERROR(BF58,0)</f>
        <v>16145.1555534172</v>
      </c>
      <c r="BG333" s="63" t="n"/>
      <c r="BH333" s="63" t="n"/>
      <c r="BI333" s="63" t="n"/>
      <c r="BJ333" s="63" t="n"/>
      <c r="BL333" s="63" t="n"/>
      <c r="BM333" s="63" t="n"/>
      <c r="BN333" s="63" t="n"/>
      <c r="BO333" s="63" t="n"/>
      <c r="BQ333" s="63" t="n"/>
      <c r="BR333" s="63" t="n"/>
      <c r="BS333" s="63" t="n"/>
      <c r="BT333" s="63" t="n"/>
      <c r="BV333" s="63" t="n"/>
      <c r="BW333" s="63" t="n"/>
      <c r="BX333" s="63" t="n"/>
      <c r="BY333" s="63" t="n"/>
      <c r="CA333" s="63" t="n"/>
      <c r="CB333" s="63" t="n"/>
      <c r="CC333" s="63" t="n"/>
      <c r="CD333" s="63" t="n"/>
      <c r="CF333" s="63" t="n"/>
      <c r="CG333" s="63" t="n"/>
      <c r="CH333" s="63" t="n"/>
      <c r="CI333" s="63" t="n"/>
      <c r="CK333" s="63" t="n"/>
      <c r="CL333" s="63" t="n"/>
      <c r="CM333" s="63" t="n"/>
      <c r="CN333" s="63" t="n"/>
      <c r="CP333" s="63" t="n"/>
      <c r="CQ333" s="63" t="n"/>
      <c r="CR333" s="63" t="n"/>
      <c r="CS333" s="63" t="n"/>
      <c r="CU333" s="63" t="n"/>
      <c r="CV333" s="63" t="n"/>
      <c r="CW333" s="63" t="n"/>
      <c r="CX333" s="63" t="n"/>
    </row>
    <row r="334" customFormat="1" s="77">
      <c r="A334" s="76" t="n"/>
      <c r="B334" s="76" t="n"/>
      <c r="C334" s="77" t="inlineStr">
        <is>
          <t>ETR (LIMITED TO 0%-100%)</t>
        </is>
      </c>
      <c r="D334" s="87">
        <f>IFERROR(D117,"")</f>
        <v>0</v>
      </c>
      <c r="E334" s="87">
        <f>IFERROR(E117,"")</f>
        <v>0</v>
      </c>
      <c r="F334" s="87">
        <f>IFERROR(F117,"")</f>
        <v>0</v>
      </c>
      <c r="G334" s="87">
        <f>IFERROR(G117,"")</f>
        <v>0</v>
      </c>
      <c r="H334" s="258" t="str">
        <f>IFERROR(IF(N(H115)&lt;&gt;0,MAX(0,MIN(1,-H116/H115)),""),"")</f>
        <v/>
      </c>
      <c r="I334" s="258">
        <f>IFERROR(IF(N(I115)&lt;&gt;0,MAX(0,MIN(1,-I116/I115)),""),"")</f>
        <v>0.263836239575436</v>
      </c>
      <c r="J334" s="258">
        <f>IFERROR(IF(N(J115)&lt;&gt;0,MAX(0,MIN(1,-J116/J115)),""),"")</f>
        <v>0.252727272727273</v>
      </c>
      <c r="K334" s="258">
        <f>IFERROR(IF(N(K115)&lt;&gt;0,MAX(0,MIN(1,-K116/K115)),""),"")</f>
        <v>0.260584897424705</v>
      </c>
      <c r="L334" s="258">
        <f>IFERROR(IF(N(L115)&lt;&gt;0,MAX(0,MIN(1,-L116/L115)),""),"")</f>
        <v>0.206957547169811</v>
      </c>
      <c r="M334" s="258">
        <f>IFERROR(IF(N(M115)&lt;&gt;0,MAX(0,MIN(1,-M116/M115)),""),"")</f>
        <v>0.246262219666475</v>
      </c>
      <c r="N334" s="258">
        <f>IFERROR(IF(N(N115)&lt;&gt;0,MAX(0,MIN(1,-N116/N115)),""),"")</f>
        <v>0.267073847862299</v>
      </c>
      <c r="O334" s="258">
        <f>IFERROR(IF(N(O115)&lt;&gt;0,MAX(0,MIN(1,-O116/O115)),""),"")</f>
        <v>0.24904214559387</v>
      </c>
      <c r="P334" s="258">
        <f>IFERROR(IF(N(P115)&lt;&gt;0,MAX(0,MIN(1,-P116/P115)),""),"")</f>
        <v>0.253577106518283</v>
      </c>
      <c r="Q334" s="258">
        <f>IFERROR(IF(N(Q115)&lt;&gt;0,MAX(0,MIN(1,-Q116/Q115)),""),"")</f>
        <v>0.229378531073446</v>
      </c>
      <c r="R334" s="258">
        <f>IFERROR(IF(N(R115)&lt;&gt;0,MAX(0,MIN(1,-R116/R115)),""),"")</f>
        <v>0.250189537528431</v>
      </c>
      <c r="S334" s="258">
        <f>IFERROR(IF(N(S115)&lt;&gt;0,MAX(0,MIN(1,-S116/S115)),""),"")</f>
        <v>0.260716086737267</v>
      </c>
      <c r="T334" s="258">
        <f>IFERROR(IF(N(T115)&lt;&gt;0,MAX(0,MIN(1,-T116/T115)),""),"")</f>
        <v>0.264822134387352</v>
      </c>
      <c r="U334" s="258">
        <f>IFERROR(IF(N(U115)&lt;&gt;0,MAX(0,MIN(1,-U116/U115)),""),"")</f>
        <v>0.271009112386095</v>
      </c>
      <c r="V334" s="258">
        <f>IFERROR(IF(N(V115)&lt;&gt;0,MAX(0,MIN(1,-V116/V115)),""),"")</f>
        <v>0.245489078822412</v>
      </c>
      <c r="W334" s="258">
        <f>IFERROR(IF(N(W115)&lt;&gt;0,MAX(0,MIN(1,-W116/W115)),""),"")</f>
        <v>0.261362348407571</v>
      </c>
      <c r="X334" s="258">
        <f>IFERROR(IF(N(X115)&lt;&gt;0,MAX(0,MIN(1,-X116/X115)),""),"")</f>
        <v>0.220831470719714</v>
      </c>
      <c r="Y334" s="258">
        <f>IFERROR(IF(N(Y115)&lt;&gt;0,MAX(0,MIN(1,-Y116/Y115)),""),"")</f>
        <v>0.264010507880911</v>
      </c>
      <c r="Z334" s="258">
        <f>IFERROR(IF(N(Z115)&lt;&gt;0,MAX(0,MIN(1,-Z116/Z115)),""),"")</f>
        <v>0.243816254416961</v>
      </c>
      <c r="AA334" s="258">
        <f>IFERROR(IF(N(AA115)&lt;&gt;0,MAX(0,MIN(1,-AA116/AA115)),""),"")</f>
        <v>0.220294882914137</v>
      </c>
      <c r="AB334" s="258">
        <f>IFERROR(IF(N(AB115)&lt;&gt;0,MAX(0,MIN(1,-AB116/AB115)),""),"")</f>
        <v>0.237826961770624</v>
      </c>
      <c r="AC334" s="258">
        <f>IFERROR(IF(N(AC115)&lt;&gt;0,MAX(0,MIN(1,-AC116/AC115)),""),"")</f>
        <v>0.261767134599505</v>
      </c>
      <c r="AD334" s="258">
        <f>IFERROR(IF(N(AD115)&lt;&gt;0,MAX(0,MIN(1,-AD116/AD115)),""),"")</f>
        <v>0.262403100775194</v>
      </c>
      <c r="AE334" s="258">
        <f>IFERROR(IF(N(AE115)&lt;&gt;0,MAX(0,MIN(1,-AE116/AE115)),""),"")</f>
        <v>0.256410256410256</v>
      </c>
      <c r="AF334" s="258">
        <f>IFERROR(IF(N(AF115)&lt;&gt;0,MAX(0,MIN(1,-AF116/AF115)),""),"")</f>
        <v>0.225319396051103</v>
      </c>
      <c r="AG334" s="258">
        <f>IFERROR(IF(N(AG115)&lt;&gt;0,MAX(0,MIN(1,-AG116/AG115)),""),"")</f>
        <v>0.251735015772871</v>
      </c>
      <c r="AH334" s="258">
        <f>IFERROR(IF(N(AH115)&lt;&gt;0,MAX(0,MIN(1,-AH116/AH115)),""),"")</f>
        <v>0.252113193678795</v>
      </c>
      <c r="AI334" s="258">
        <f>IFERROR(IF(N(AI115)&lt;&gt;0,MAX(0,MIN(1,-AI116/AI115)),""),"")</f>
        <v>0.253914227365555</v>
      </c>
      <c r="AJ334" s="258">
        <f>IFERROR(IF(N(AJ115)&lt;&gt;0,MAX(0,MIN(1,-AJ116/AJ115)),""),"")</f>
        <v>0.251987884813401</v>
      </c>
      <c r="AK334" s="258">
        <f>IFERROR(IF(N(AK115)&lt;&gt;0,MAX(0,MIN(1,-AK116/AK115)),""),"")</f>
        <v>0.251987884813401</v>
      </c>
      <c r="AL334" s="258">
        <f>IFERROR(IF(N(AL115)&lt;&gt;0,MAX(0,MIN(1,-AL116/AL115)),""),"")</f>
        <v>0.252471534774714</v>
      </c>
      <c r="AM334" s="258">
        <f>IFERROR(IF(N(AM115)&lt;&gt;0,MAX(0,MIN(1,-AM116/AM115)),""),"")</f>
        <v>0.251987884813401</v>
      </c>
      <c r="AN334" s="258">
        <f>IFERROR(IF(N(AN115)&lt;&gt;0,MAX(0,MIN(1,-AN116/AN115)),""),"")</f>
        <v>0.251987884813401</v>
      </c>
      <c r="AO334" s="258">
        <f>IFERROR(IF(N(AO115)&lt;&gt;0,MAX(0,MIN(1,-AO116/AO115)),""),"")</f>
        <v>0.251987884813401</v>
      </c>
      <c r="AP334" s="258">
        <f>IFERROR(IF(N(AP115)&lt;&gt;0,MAX(0,MIN(1,-AP116/AP115)),""),"")</f>
        <v>0.251987884813401</v>
      </c>
      <c r="AQ334" s="258">
        <f>IFERROR(IF(N(AQ115)&lt;&gt;0,MAX(0,MIN(1,-AQ116/AQ115)),""),"")</f>
        <v>0.251987884813401</v>
      </c>
      <c r="AR334" s="258">
        <f>IFERROR(IF(N(AR115)&lt;&gt;0,MAX(0,MIN(1,-AR116/AR115)),""),"")</f>
        <v>0.251987884813401</v>
      </c>
      <c r="AS334" s="258">
        <f>IFERROR(IF(N(AS115)&lt;&gt;0,MAX(0,MIN(1,-AS116/AS115)),""),"")</f>
        <v>0.251987884813401</v>
      </c>
      <c r="AT334" s="258">
        <f>IFERROR(IF(N(AT115)&lt;&gt;0,MAX(0,MIN(1,-AT116/AT115)),""),"")</f>
        <v>0.251987884813401</v>
      </c>
      <c r="AU334" s="258">
        <f>IFERROR(IF(N(AU115)&lt;&gt;0,MAX(0,MIN(1,-AU116/AU115)),""),"")</f>
        <v>0.251987884813401</v>
      </c>
      <c r="AV334" s="258">
        <f>IFERROR(IF(N(AV115)&lt;&gt;0,MAX(0,MIN(1,-AV116/AV115)),""),"")</f>
        <v>0.251987884813401</v>
      </c>
      <c r="AW334" s="258">
        <f>IFERROR(IF(N(AW115)&lt;&gt;0,MAX(0,MIN(1,-AW116/AW115)),""),"")</f>
        <v>0.251987884813401</v>
      </c>
      <c r="AX334" s="258">
        <f>IFERROR(IF(N(AX115)&lt;&gt;0,MAX(0,MIN(1,-AX116/AX115)),""),"")</f>
        <v>0.251987884813401</v>
      </c>
      <c r="AY334" s="258">
        <f>IFERROR(IF(N(AY115)&lt;&gt;0,MAX(0,MIN(1,-AY116/AY115)),""),"")</f>
        <v>0.251987884813401</v>
      </c>
      <c r="AZ334" s="258">
        <f>IFERROR(IF(N(AZ115)&lt;&gt;0,MAX(0,MIN(1,-AZ116/AZ115)),""),"")</f>
        <v>0.251987884813401</v>
      </c>
      <c r="BA334" s="258">
        <f>IFERROR(IF(N(BA115)&lt;&gt;0,MAX(0,MIN(1,-BA116/BA115)),""),"")</f>
        <v>0.251987884813401</v>
      </c>
      <c r="BB334" s="258">
        <f>IFERROR(IF(N(BB115)&lt;&gt;0,MAX(0,MIN(1,-BB116/BB115)),""),"")</f>
        <v>0.251987884813401</v>
      </c>
      <c r="BC334" s="258">
        <f>IFERROR(IF(N(BC115)&lt;&gt;0,MAX(0,MIN(1,-BC116/BC115)),""),"")</f>
        <v>0.251987884813401</v>
      </c>
      <c r="BD334" s="258">
        <f>IFERROR(IF(N(BD115)&lt;&gt;0,MAX(0,MIN(1,-BD116/BD115)),""),"")</f>
        <v>0.251987884813401</v>
      </c>
      <c r="BE334" s="258">
        <f>IFERROR(IF(N(BE115)&lt;&gt;0,MAX(0,MIN(1,-BE116/BE115)),""),"")</f>
        <v>0.251987884813401</v>
      </c>
      <c r="BF334" s="258">
        <f>IFERROR(IF(N(BF115)&lt;&gt;0,MAX(0,MIN(1,-BF116/BF115)),""),"")</f>
        <v>0.251987884813401</v>
      </c>
      <c r="BG334" s="88" t="n"/>
      <c r="BH334" s="88" t="n"/>
      <c r="BI334" s="88" t="n"/>
      <c r="BJ334" s="88" t="n"/>
      <c r="BL334" s="88" t="n"/>
      <c r="BM334" s="88" t="n"/>
      <c r="BN334" s="88" t="n"/>
      <c r="BO334" s="88" t="n"/>
      <c r="BQ334" s="88" t="n"/>
      <c r="BR334" s="88" t="n"/>
      <c r="BS334" s="88" t="n"/>
      <c r="BT334" s="88" t="n"/>
      <c r="BV334" s="88" t="n"/>
      <c r="BW334" s="88" t="n"/>
      <c r="BX334" s="88" t="n"/>
      <c r="BY334" s="88" t="n"/>
      <c r="CA334" s="88" t="n"/>
      <c r="CB334" s="88" t="n"/>
      <c r="CC334" s="88" t="n"/>
      <c r="CD334" s="88" t="n"/>
      <c r="CF334" s="88" t="n"/>
      <c r="CG334" s="88" t="n"/>
      <c r="CH334" s="88" t="n"/>
      <c r="CI334" s="88" t="n"/>
      <c r="CK334" s="88" t="n"/>
      <c r="CL334" s="88" t="n"/>
      <c r="CM334" s="88" t="n"/>
      <c r="CN334" s="88" t="n"/>
      <c r="CP334" s="88" t="n"/>
      <c r="CQ334" s="88" t="n"/>
      <c r="CR334" s="88" t="n"/>
      <c r="CS334" s="88" t="n"/>
      <c r="CU334" s="88" t="n"/>
      <c r="CV334" s="88" t="n"/>
      <c r="CW334" s="88" t="n"/>
      <c r="CX334" s="88" t="n"/>
    </row>
    <row r="335" customFormat="1" s="77">
      <c r="A335" s="76" t="n"/>
      <c r="B335" s="76" t="n"/>
      <c r="C335" s="77" t="inlineStr">
        <is>
          <t>INVESTED CAPITAL</t>
        </is>
      </c>
      <c r="D335" s="86">
        <f>IFERROR(D338-D339+D340,"")</f>
        <v>0</v>
      </c>
      <c r="E335" s="86">
        <f>IFERROR(E338-E339+E340,"")</f>
        <v>0</v>
      </c>
      <c r="F335" s="86">
        <f>IFERROR(F338-F339+F340,"")</f>
        <v>0</v>
      </c>
      <c r="G335" s="86">
        <f>IFERROR(G338-G339+G340,"")</f>
        <v>0</v>
      </c>
      <c r="H335" s="263">
        <f>IFERROR(H337+H340,0)</f>
        <v>0</v>
      </c>
      <c r="I335" s="263">
        <f>IFERROR(I337+I340,0)</f>
        <v>17143</v>
      </c>
      <c r="J335" s="263">
        <f>IFERROR(J337+J340,0)</f>
        <v>16076</v>
      </c>
      <c r="K335" s="263">
        <f>IFERROR(K337+K340,0)</f>
        <v>16036</v>
      </c>
      <c r="L335" s="263">
        <f>IFERROR(L337+L340,0)</f>
        <v>15639</v>
      </c>
      <c r="M335" s="263">
        <f>IFERROR(M337+M340,0)</f>
        <v>15639</v>
      </c>
      <c r="N335" s="263">
        <f>IFERROR(N337+N340,0)</f>
        <v>16926</v>
      </c>
      <c r="O335" s="263">
        <f>IFERROR(O337+O340,0)</f>
        <v>17718</v>
      </c>
      <c r="P335" s="263">
        <f>IFERROR(P337+P340,0)</f>
        <v>18637</v>
      </c>
      <c r="Q335" s="263">
        <f>IFERROR(Q337+Q340,0)</f>
        <v>18849</v>
      </c>
      <c r="R335" s="263">
        <f>IFERROR(R337+R340,0)</f>
        <v>18849</v>
      </c>
      <c r="S335" s="263">
        <f>IFERROR(S337+S340,0)</f>
        <v>18233</v>
      </c>
      <c r="T335" s="263">
        <f>IFERROR(T337+T340,0)</f>
        <v>18869</v>
      </c>
      <c r="U335" s="263">
        <f>IFERROR(U337+U340,0)</f>
        <v>18708</v>
      </c>
      <c r="V335" s="263">
        <f>IFERROR(V337+V340,0)</f>
        <v>17630</v>
      </c>
      <c r="W335" s="263">
        <f>IFERROR(W337+W340,0)</f>
        <v>17630</v>
      </c>
      <c r="X335" s="263">
        <f>IFERROR(X337+X340,0)</f>
        <v>19872</v>
      </c>
      <c r="Y335" s="263">
        <f>IFERROR(Y337+Y340,0)</f>
        <v>19569</v>
      </c>
      <c r="Z335" s="263">
        <f>IFERROR(Z337+Z340,0)</f>
        <v>20750</v>
      </c>
      <c r="AA335" s="263">
        <f>IFERROR(AA337+AA340,0)</f>
        <v>20657</v>
      </c>
      <c r="AB335" s="263">
        <f>IFERROR(AB337+AB340,0)</f>
        <v>20657</v>
      </c>
      <c r="AC335" s="263">
        <f>IFERROR(AC337+AC340,0)</f>
        <v>20458</v>
      </c>
      <c r="AD335" s="263">
        <f>IFERROR(AD337+AD340,0)</f>
        <v>20455</v>
      </c>
      <c r="AE335" s="263">
        <f>IFERROR(AE337+AE340,0)</f>
        <v>22053</v>
      </c>
      <c r="AF335" s="263">
        <f>IFERROR(AF337+AF340,0)</f>
        <v>21222</v>
      </c>
      <c r="AG335" s="263">
        <f>IFERROR(AG337+AG340,0)</f>
        <v>21222</v>
      </c>
      <c r="AH335" s="263">
        <f>IFERROR(AH337+AH340,0)</f>
        <v>22012</v>
      </c>
      <c r="AI335" s="263">
        <f>IFERROR(AI337+AI340,0)</f>
        <v>21649</v>
      </c>
      <c r="AJ335" s="263">
        <f>IFERROR(AJ337+AJ340,0)</f>
        <v>23513.1886162942</v>
      </c>
      <c r="AK335" s="263">
        <f>IFERROR(AK337+AK340,0)</f>
        <v>23070.8551974591</v>
      </c>
      <c r="AL335" s="263">
        <f>IFERROR(AL337+AL340,0)</f>
        <v>23070.8551974591</v>
      </c>
      <c r="AM335" s="263">
        <f>IFERROR(AM337+AM340,0)</f>
        <v>23190.5862630588</v>
      </c>
      <c r="AN335" s="263">
        <f>IFERROR(AN337+AN340,0)</f>
        <v>23144.7315581827</v>
      </c>
      <c r="AO335" s="263">
        <f>IFERROR(AO337+AO340,0)</f>
        <v>23913.6730445099</v>
      </c>
      <c r="AP335" s="263">
        <f>IFERROR(AP337+AP340,0)</f>
        <v>23170.987109232</v>
      </c>
      <c r="AQ335" s="263">
        <f>IFERROR(AQ337+AQ340,0)</f>
        <v>23170.987109232</v>
      </c>
      <c r="AR335" s="263">
        <f>IFERROR(AR337+AR340,0)</f>
        <v>23049.667449556</v>
      </c>
      <c r="AS335" s="263">
        <f>IFERROR(AS337+AS340,0)</f>
        <v>22788.8919019327</v>
      </c>
      <c r="AT335" s="263">
        <f>IFERROR(AT337+AT340,0)</f>
        <v>23375.1058520127</v>
      </c>
      <c r="AU335" s="263">
        <f>IFERROR(AU337+AU340,0)</f>
        <v>22305.0085993721</v>
      </c>
      <c r="AV335" s="263">
        <f>IFERROR(AV337+AV340,0)</f>
        <v>22305.0085993721</v>
      </c>
      <c r="AW335" s="263">
        <f>IFERROR(AW337+AW340,0)</f>
        <v>21923.1727407629</v>
      </c>
      <c r="AX335" s="263">
        <f>IFERROR(AX337+AX340,0)</f>
        <v>21336.5113073585</v>
      </c>
      <c r="AY335" s="263">
        <f>IFERROR(AY337+AY340,0)</f>
        <v>21673.7461842021</v>
      </c>
      <c r="AZ335" s="263">
        <f>IFERROR(AZ337+AZ340,0)</f>
        <v>20205.1107552957</v>
      </c>
      <c r="BA335" s="263">
        <f>IFERROR(BA337+BA340,0)</f>
        <v>20205.1107552957</v>
      </c>
      <c r="BB335" s="263">
        <f>IFERROR(BB337+BB340,0)</f>
        <v>19473.5618493595</v>
      </c>
      <c r="BC335" s="263">
        <f>IFERROR(BC337+BC340,0)</f>
        <v>18517.2054092589</v>
      </c>
      <c r="BD335" s="263">
        <f>IFERROR(BD337+BD340,0)</f>
        <v>18538.7849976572</v>
      </c>
      <c r="BE335" s="263">
        <f>IFERROR(BE337+BE340,0)</f>
        <v>16602.180719956</v>
      </c>
      <c r="BF335" s="263">
        <f>IFERROR(BF337+BF340,0)</f>
        <v>16602.180719956</v>
      </c>
      <c r="BG335" s="63" t="n"/>
      <c r="BH335" s="63" t="n"/>
      <c r="BI335" s="63" t="n"/>
      <c r="BJ335" s="63" t="n"/>
      <c r="BL335" s="63" t="n"/>
      <c r="BM335" s="63" t="n"/>
      <c r="BN335" s="63" t="n"/>
      <c r="BO335" s="63" t="n"/>
      <c r="BQ335" s="63" t="n"/>
      <c r="BR335" s="63" t="n"/>
      <c r="BS335" s="63" t="n"/>
      <c r="BT335" s="63" t="n"/>
      <c r="BV335" s="63" t="n"/>
      <c r="BW335" s="63" t="n"/>
      <c r="BX335" s="63" t="n"/>
      <c r="BY335" s="63" t="n"/>
      <c r="CA335" s="63" t="n"/>
      <c r="CB335" s="63" t="n"/>
      <c r="CC335" s="63" t="n"/>
      <c r="CD335" s="63" t="n"/>
      <c r="CF335" s="63" t="n"/>
      <c r="CG335" s="63" t="n"/>
      <c r="CH335" s="63" t="n"/>
      <c r="CI335" s="63" t="n"/>
      <c r="CK335" s="63" t="n"/>
      <c r="CL335" s="63" t="n"/>
      <c r="CM335" s="63" t="n"/>
      <c r="CN335" s="63" t="n"/>
      <c r="CP335" s="63" t="n"/>
      <c r="CQ335" s="63" t="n"/>
      <c r="CR335" s="63" t="n"/>
      <c r="CS335" s="63" t="n"/>
      <c r="CU335" s="63" t="n"/>
      <c r="CV335" s="63" t="n"/>
      <c r="CW335" s="63" t="n"/>
      <c r="CX335" s="63" t="n"/>
    </row>
    <row r="336" customFormat="1" s="77">
      <c r="A336" s="76" t="n"/>
      <c r="B336" s="76" t="n"/>
      <c r="C336" s="77" t="inlineStr">
        <is>
          <t>INVESTED CAPITAL - EX GOODWILL</t>
        </is>
      </c>
      <c r="D336" s="89">
        <f>IFERROR(D335-D164,"")</f>
        <v>0</v>
      </c>
      <c r="E336" s="89">
        <f>IFERROR(E335-E164,"")</f>
        <v>0</v>
      </c>
      <c r="F336" s="89">
        <f>IFERROR(F335-F164,"")</f>
        <v>0</v>
      </c>
      <c r="G336" s="89">
        <f>IFERROR(G335-G164,"")</f>
        <v>0</v>
      </c>
      <c r="H336" s="263">
        <f>IFERROR(H335-N(H164),0)</f>
        <v>0</v>
      </c>
      <c r="I336" s="263">
        <f>IFERROR(I335-N(I164),0)</f>
        <v>17143</v>
      </c>
      <c r="J336" s="263">
        <f>IFERROR(J335-N(J164),0)</f>
        <v>16076</v>
      </c>
      <c r="K336" s="263">
        <f>IFERROR(K335-N(K164),0)</f>
        <v>16036</v>
      </c>
      <c r="L336" s="263">
        <f>IFERROR(L335-N(L164),0)</f>
        <v>15639</v>
      </c>
      <c r="M336" s="263">
        <f>IFERROR(M335-N(M164),0)</f>
        <v>15639</v>
      </c>
      <c r="N336" s="263">
        <f>IFERROR(N335-N(N164),0)</f>
        <v>16926</v>
      </c>
      <c r="O336" s="263">
        <f>IFERROR(O335-N(O164),0)</f>
        <v>17718</v>
      </c>
      <c r="P336" s="263">
        <f>IFERROR(P335-N(P164),0)</f>
        <v>18637</v>
      </c>
      <c r="Q336" s="263">
        <f>IFERROR(Q335-N(Q164),0)</f>
        <v>18849</v>
      </c>
      <c r="R336" s="263">
        <f>IFERROR(R335-N(R164),0)</f>
        <v>18849</v>
      </c>
      <c r="S336" s="263">
        <f>IFERROR(S335-N(S164),0)</f>
        <v>18233</v>
      </c>
      <c r="T336" s="263">
        <f>IFERROR(T335-N(T164),0)</f>
        <v>18869</v>
      </c>
      <c r="U336" s="263">
        <f>IFERROR(U335-N(U164),0)</f>
        <v>18708</v>
      </c>
      <c r="V336" s="263">
        <f>IFERROR(V335-N(V164),0)</f>
        <v>17630</v>
      </c>
      <c r="W336" s="263">
        <f>IFERROR(W335-N(W164),0)</f>
        <v>17630</v>
      </c>
      <c r="X336" s="263">
        <f>IFERROR(X335-N(X164),0)</f>
        <v>19872</v>
      </c>
      <c r="Y336" s="263">
        <f>IFERROR(Y335-N(Y164),0)</f>
        <v>19569</v>
      </c>
      <c r="Z336" s="263">
        <f>IFERROR(Z335-N(Z164),0)</f>
        <v>20750</v>
      </c>
      <c r="AA336" s="263">
        <f>IFERROR(AA335-N(AA164),0)</f>
        <v>20657</v>
      </c>
      <c r="AB336" s="263">
        <f>IFERROR(AB335-N(AB164),0)</f>
        <v>20657</v>
      </c>
      <c r="AC336" s="263">
        <f>IFERROR(AC335-N(AC164),0)</f>
        <v>20458</v>
      </c>
      <c r="AD336" s="263">
        <f>IFERROR(AD335-N(AD164),0)</f>
        <v>20455</v>
      </c>
      <c r="AE336" s="263">
        <f>IFERROR(AE335-N(AE164),0)</f>
        <v>22053</v>
      </c>
      <c r="AF336" s="263">
        <f>IFERROR(AF335-N(AF164),0)</f>
        <v>21222</v>
      </c>
      <c r="AG336" s="263">
        <f>IFERROR(AG335-N(AG164),0)</f>
        <v>21222</v>
      </c>
      <c r="AH336" s="263">
        <f>IFERROR(AH335-N(AH164),0)</f>
        <v>22012</v>
      </c>
      <c r="AI336" s="263">
        <f>IFERROR(AI335-N(AI164),0)</f>
        <v>21649</v>
      </c>
      <c r="AJ336" s="263">
        <f>IFERROR(AJ335-N(AJ164),0)</f>
        <v>23513.1886162942</v>
      </c>
      <c r="AK336" s="263">
        <f>IFERROR(AK335-N(AK164),0)</f>
        <v>23070.8551974591</v>
      </c>
      <c r="AL336" s="263">
        <f>IFERROR(AL335-N(AL164),0)</f>
        <v>23070.8551974591</v>
      </c>
      <c r="AM336" s="263">
        <f>IFERROR(AM335-N(AM164),0)</f>
        <v>23190.5862630588</v>
      </c>
      <c r="AN336" s="263">
        <f>IFERROR(AN335-N(AN164),0)</f>
        <v>23144.7315581827</v>
      </c>
      <c r="AO336" s="263">
        <f>IFERROR(AO335-N(AO164),0)</f>
        <v>23913.6730445099</v>
      </c>
      <c r="AP336" s="263">
        <f>IFERROR(AP335-N(AP164),0)</f>
        <v>23170.987109232</v>
      </c>
      <c r="AQ336" s="263">
        <f>IFERROR(AQ335-N(AQ164),0)</f>
        <v>23170.987109232</v>
      </c>
      <c r="AR336" s="263">
        <f>IFERROR(AR335-N(AR164),0)</f>
        <v>23049.667449556</v>
      </c>
      <c r="AS336" s="263">
        <f>IFERROR(AS335-N(AS164),0)</f>
        <v>22788.8919019327</v>
      </c>
      <c r="AT336" s="263">
        <f>IFERROR(AT335-N(AT164),0)</f>
        <v>23375.1058520127</v>
      </c>
      <c r="AU336" s="263">
        <f>IFERROR(AU335-N(AU164),0)</f>
        <v>22305.0085993721</v>
      </c>
      <c r="AV336" s="263">
        <f>IFERROR(AV335-N(AV164),0)</f>
        <v>22305.0085993721</v>
      </c>
      <c r="AW336" s="263">
        <f>IFERROR(AW335-N(AW164),0)</f>
        <v>21923.1727407629</v>
      </c>
      <c r="AX336" s="263">
        <f>IFERROR(AX335-N(AX164),0)</f>
        <v>21336.5113073585</v>
      </c>
      <c r="AY336" s="263">
        <f>IFERROR(AY335-N(AY164),0)</f>
        <v>21673.7461842021</v>
      </c>
      <c r="AZ336" s="263">
        <f>IFERROR(AZ335-N(AZ164),0)</f>
        <v>20205.1107552957</v>
      </c>
      <c r="BA336" s="263">
        <f>IFERROR(BA335-N(BA164),0)</f>
        <v>20205.1107552957</v>
      </c>
      <c r="BB336" s="263">
        <f>IFERROR(BB335-N(BB164),0)</f>
        <v>19473.5618493595</v>
      </c>
      <c r="BC336" s="263">
        <f>IFERROR(BC335-N(BC164),0)</f>
        <v>18517.2054092589</v>
      </c>
      <c r="BD336" s="263">
        <f>IFERROR(BD335-N(BD164),0)</f>
        <v>18538.7849976572</v>
      </c>
      <c r="BE336" s="263">
        <f>IFERROR(BE335-N(BE164),0)</f>
        <v>16602.180719956</v>
      </c>
      <c r="BF336" s="263">
        <f>IFERROR(BF335-N(BF164),0)</f>
        <v>16602.180719956</v>
      </c>
      <c r="BG336" s="90" t="n"/>
      <c r="BH336" s="90" t="n"/>
      <c r="BI336" s="90" t="n"/>
      <c r="BJ336" s="90" t="n"/>
      <c r="BL336" s="90" t="n"/>
      <c r="BM336" s="90" t="n"/>
      <c r="BN336" s="90" t="n"/>
      <c r="BO336" s="90" t="n"/>
      <c r="BQ336" s="90" t="n"/>
      <c r="BR336" s="90" t="n"/>
      <c r="BS336" s="90" t="n"/>
      <c r="BT336" s="90" t="n"/>
      <c r="BV336" s="90" t="n"/>
      <c r="BW336" s="90" t="n"/>
      <c r="BX336" s="90" t="n"/>
      <c r="BY336" s="90" t="n"/>
      <c r="CA336" s="90" t="n"/>
      <c r="CB336" s="90" t="n"/>
      <c r="CC336" s="90" t="n"/>
      <c r="CD336" s="90" t="n"/>
      <c r="CF336" s="90" t="n"/>
      <c r="CG336" s="90" t="n"/>
      <c r="CH336" s="90" t="n"/>
      <c r="CI336" s="90" t="n"/>
      <c r="CK336" s="90" t="n"/>
      <c r="CL336" s="90" t="n"/>
      <c r="CM336" s="90" t="n"/>
      <c r="CN336" s="90" t="n"/>
      <c r="CP336" s="90" t="n"/>
      <c r="CQ336" s="90" t="n"/>
      <c r="CR336" s="90" t="n"/>
      <c r="CS336" s="90" t="n"/>
      <c r="CU336" s="90" t="n"/>
      <c r="CV336" s="90" t="n"/>
      <c r="CW336" s="90" t="n"/>
      <c r="CX336" s="90" t="n"/>
    </row>
    <row r="337" customFormat="1" s="77">
      <c r="A337" s="76" t="n"/>
      <c r="B337" s="76" t="n"/>
      <c r="C337" s="77" t="inlineStr">
        <is>
          <t>OPERATING WORKING CAPITAL</t>
        </is>
      </c>
      <c r="D337" s="91">
        <f>IFERROR(D338-D339,"")</f>
        <v>0</v>
      </c>
      <c r="E337" s="91">
        <f>IFERROR(E338-E339,"")</f>
        <v>0</v>
      </c>
      <c r="F337" s="91">
        <f>IFERROR(F338-F339,"")</f>
        <v>0</v>
      </c>
      <c r="G337" s="91">
        <f>IFERROR(G338-G339,"")</f>
        <v>0</v>
      </c>
      <c r="H337" s="263">
        <f>IFERROR(H338-H339,0)</f>
        <v>0</v>
      </c>
      <c r="I337" s="263">
        <f>IFERROR(I338-I339,0)</f>
        <v>-9415</v>
      </c>
      <c r="J337" s="263">
        <f>IFERROR(J338-J339,0)</f>
        <v>-11100</v>
      </c>
      <c r="K337" s="263">
        <f>IFERROR(K338-K339,0)</f>
        <v>-11312</v>
      </c>
      <c r="L337" s="263">
        <f>IFERROR(L338-L339,0)</f>
        <v>-12169</v>
      </c>
      <c r="M337" s="263">
        <f>IFERROR(M338-M339,0)</f>
        <v>-12169</v>
      </c>
      <c r="N337" s="263">
        <f>IFERROR(N338-N339,0)</f>
        <v>-11276</v>
      </c>
      <c r="O337" s="263">
        <f>IFERROR(O338-O339,0)</f>
        <v>-10591</v>
      </c>
      <c r="P337" s="263">
        <f>IFERROR(P338-P339,0)</f>
        <v>-10278</v>
      </c>
      <c r="Q337" s="263">
        <f>IFERROR(Q338-Q339,0)</f>
        <v>-10519</v>
      </c>
      <c r="R337" s="263">
        <f>IFERROR(R338-R339,0)</f>
        <v>-10519</v>
      </c>
      <c r="S337" s="263">
        <f>IFERROR(S338-S339,0)</f>
        <v>-11815</v>
      </c>
      <c r="T337" s="263">
        <f>IFERROR(T338-T339,0)</f>
        <v>-11127</v>
      </c>
      <c r="U337" s="263">
        <f>IFERROR(U338-U339,0)</f>
        <v>-11857</v>
      </c>
      <c r="V337" s="263">
        <f>IFERROR(V338-V339,0)</f>
        <v>-13472</v>
      </c>
      <c r="W337" s="263">
        <f>IFERROR(W338-W339,0)</f>
        <v>-13472</v>
      </c>
      <c r="X337" s="263">
        <f>IFERROR(X338-X339,0)</f>
        <v>-11783</v>
      </c>
      <c r="Y337" s="263">
        <f>IFERROR(Y338-Y339,0)</f>
        <v>-12495</v>
      </c>
      <c r="Z337" s="263">
        <f>IFERROR(Z338-Z339,0)</f>
        <v>-12259</v>
      </c>
      <c r="AA337" s="263">
        <f>IFERROR(AA338-AA339,0)</f>
        <v>-12593</v>
      </c>
      <c r="AB337" s="263">
        <f>IFERROR(AB338-AB339,0)</f>
        <v>-12593</v>
      </c>
      <c r="AC337" s="263">
        <f>IFERROR(AC338-AC339,0)</f>
        <v>-13260</v>
      </c>
      <c r="AD337" s="263">
        <f>IFERROR(AD338-AD339,0)</f>
        <v>-14278</v>
      </c>
      <c r="AE337" s="263">
        <f>IFERROR(AE338-AE339,0)</f>
        <v>-14012</v>
      </c>
      <c r="AF337" s="263">
        <f>IFERROR(AF338-AF339,0)</f>
        <v>-15577</v>
      </c>
      <c r="AG337" s="263">
        <f>IFERROR(AG338-AG339,0)</f>
        <v>-15577</v>
      </c>
      <c r="AH337" s="263">
        <f>IFERROR(AH338-AH339,0)</f>
        <v>-15870</v>
      </c>
      <c r="AI337" s="263">
        <f>IFERROR(AI338-AI339,0)</f>
        <v>-16944</v>
      </c>
      <c r="AJ337" s="263">
        <f>IFERROR(AJ338-AJ339,0)</f>
        <v>-16188.1515727878</v>
      </c>
      <c r="AK337" s="263">
        <f>IFERROR(AK338-AK339,0)</f>
        <v>-17496.3452115327</v>
      </c>
      <c r="AL337" s="263">
        <f>IFERROR(AL338-AL339,0)</f>
        <v>-17496.3452115327</v>
      </c>
      <c r="AM337" s="263">
        <f>IFERROR(AM338-AM339,0)</f>
        <v>-18271.9337074207</v>
      </c>
      <c r="AN337" s="263">
        <f>IFERROR(AN338-AN339,0)</f>
        <v>-19225.0718111941</v>
      </c>
      <c r="AO337" s="263">
        <f>IFERROR(AO338-AO339,0)</f>
        <v>-19664.6908209758</v>
      </c>
      <c r="AP337" s="263">
        <f>IFERROR(AP338-AP339,0)</f>
        <v>-21351.5313283279</v>
      </c>
      <c r="AQ337" s="263">
        <f>IFERROR(AQ338-AQ339,0)</f>
        <v>-21351.5313283279</v>
      </c>
      <c r="AR337" s="263">
        <f>IFERROR(AR338-AR339,0)</f>
        <v>-22444.6521288066</v>
      </c>
      <c r="AS337" s="263">
        <f>IFERROR(AS338-AS339,0)</f>
        <v>-23690.2146508311</v>
      </c>
      <c r="AT337" s="263">
        <f>IFERROR(AT338-AT339,0)</f>
        <v>-24415.8010001842</v>
      </c>
      <c r="AU337" s="263">
        <f>IFERROR(AU338-AU339,0)</f>
        <v>-26510.706075309</v>
      </c>
      <c r="AV337" s="263">
        <f>IFERROR(AV338-AV339,0)</f>
        <v>-26510.706075309</v>
      </c>
      <c r="AW337" s="263">
        <f>IFERROR(AW338-AW339,0)</f>
        <v>-27942.4989937722</v>
      </c>
      <c r="AX337" s="263">
        <f>IFERROR(AX338-AX339,0)</f>
        <v>-29593.1476904252</v>
      </c>
      <c r="AY337" s="263">
        <f>IFERROR(AY338-AY339,0)</f>
        <v>-30673.2130488649</v>
      </c>
      <c r="AZ337" s="263">
        <f>IFERROR(AZ338-AZ339,0)</f>
        <v>-33249.0752168981</v>
      </c>
      <c r="BA337" s="263">
        <f>IFERROR(BA338-BA339,0)</f>
        <v>-33249.0752168981</v>
      </c>
      <c r="BB337" s="263">
        <f>IFERROR(BB338-BB339,0)</f>
        <v>-35109.7729107107</v>
      </c>
      <c r="BC337" s="263">
        <f>IFERROR(BC338-BC339,0)</f>
        <v>-37210.3665530262</v>
      </c>
      <c r="BD337" s="263">
        <f>IFERROR(BD338-BD339,0)</f>
        <v>-38712.9853379877</v>
      </c>
      <c r="BE337" s="263">
        <f>IFERROR(BE338-BE339,0)</f>
        <v>-41840.3275784045</v>
      </c>
      <c r="BF337" s="263">
        <f>IFERROR(BF338-BF339,0)</f>
        <v>-41840.3275784045</v>
      </c>
      <c r="BG337" s="63" t="n"/>
      <c r="BH337" s="63" t="n"/>
      <c r="BI337" s="63" t="n"/>
      <c r="BJ337" s="63" t="n"/>
      <c r="BL337" s="63" t="n"/>
      <c r="BM337" s="63" t="n"/>
      <c r="BN337" s="63" t="n"/>
      <c r="BO337" s="63" t="n"/>
      <c r="BQ337" s="63" t="n"/>
      <c r="BR337" s="63" t="n"/>
      <c r="BS337" s="63" t="n"/>
      <c r="BT337" s="63" t="n"/>
      <c r="BV337" s="63" t="n"/>
      <c r="BW337" s="63" t="n"/>
      <c r="BX337" s="63" t="n"/>
      <c r="BY337" s="63" t="n"/>
      <c r="CA337" s="63" t="n"/>
      <c r="CB337" s="63" t="n"/>
      <c r="CC337" s="63" t="n"/>
      <c r="CD337" s="63" t="n"/>
      <c r="CF337" s="63" t="n"/>
      <c r="CG337" s="63" t="n"/>
      <c r="CH337" s="63" t="n"/>
      <c r="CI337" s="63" t="n"/>
      <c r="CK337" s="63" t="n"/>
      <c r="CL337" s="63" t="n"/>
      <c r="CM337" s="63" t="n"/>
      <c r="CN337" s="63" t="n"/>
      <c r="CP337" s="63" t="n"/>
      <c r="CQ337" s="63" t="n"/>
      <c r="CR337" s="63" t="n"/>
      <c r="CS337" s="63" t="n"/>
      <c r="CU337" s="63" t="n"/>
      <c r="CV337" s="63" t="n"/>
      <c r="CW337" s="63" t="n"/>
      <c r="CX337" s="63" t="n"/>
    </row>
    <row r="338" customFormat="1" s="77">
      <c r="A338" s="76" t="n"/>
      <c r="B338" s="76" t="n"/>
      <c r="C338" s="77" t="inlineStr">
        <is>
          <t>CURRENT ASSETS (OPERATING, EX CASH)</t>
        </is>
      </c>
      <c r="D338" s="89">
        <f>IFERROR(D130+D134+D138+D139+D140,"")</f>
        <v>0</v>
      </c>
      <c r="E338" s="89">
        <f>IFERROR(E130+E134+E138+E139+E140,"")</f>
        <v>0</v>
      </c>
      <c r="F338" s="89">
        <f>IFERROR(F130+F134+F138+F139+F140,"")</f>
        <v>0</v>
      </c>
      <c r="G338" s="89">
        <f>IFERROR(G130+G134+G138+G139+G140,"")</f>
        <v>0</v>
      </c>
      <c r="H338" s="263">
        <f>IFERROR((N(H130)+N(H134)+N(H138)+N(H139)+N(H140)),0)</f>
        <v>0</v>
      </c>
      <c r="I338" s="263">
        <f>IFERROR((N(I130)+N(I134)+N(I138)+N(I139)+N(I140)),0)</f>
        <v>17054</v>
      </c>
      <c r="J338" s="263">
        <f>IFERROR((N(J130)+N(J134)+N(J138)+N(J139)+N(J140)),0)</f>
        <v>16790</v>
      </c>
      <c r="K338" s="263">
        <f>IFERROR((N(K130)+N(K134)+N(K138)+N(K139)+N(K140)),0)</f>
        <v>17330</v>
      </c>
      <c r="L338" s="263">
        <f>IFERROR((N(L130)+N(L134)+N(L138)+N(L139)+N(L140)),0)</f>
        <v>20374</v>
      </c>
      <c r="M338" s="263">
        <f>IFERROR((N(M130)+N(M134)+N(M138)+N(M139)+N(M140)),0)</f>
        <v>20374</v>
      </c>
      <c r="N338" s="263">
        <f>IFERROR((N(N130)+N(N134)+N(N138)+N(N139)+N(N140)),0)</f>
        <v>20269</v>
      </c>
      <c r="O338" s="263">
        <f>IFERROR((N(O130)+N(O134)+N(O138)+N(O139)+N(O140)),0)</f>
        <v>21177</v>
      </c>
      <c r="P338" s="263">
        <f>IFERROR((N(P130)+N(P134)+N(P138)+N(P139)+N(P140)),0)</f>
        <v>21647</v>
      </c>
      <c r="Q338" s="263">
        <f>IFERROR((N(Q130)+N(Q134)+N(Q138)+N(Q139)+N(Q140)),0)</f>
        <v>22477</v>
      </c>
      <c r="R338" s="263">
        <f>IFERROR((N(R130)+N(R134)+N(R138)+N(R139)+N(R140)),0)</f>
        <v>22477</v>
      </c>
      <c r="S338" s="263">
        <f>IFERROR((N(S130)+N(S134)+N(S138)+N(S139)+N(S140)),0)</f>
        <v>20625</v>
      </c>
      <c r="T338" s="263">
        <f>IFERROR((N(T130)+N(T134)+N(T138)+N(T139)+N(T140)),0)</f>
        <v>20581</v>
      </c>
      <c r="U338" s="263">
        <f>IFERROR((N(U130)+N(U134)+N(U138)+N(U139)+N(U140)),0)</f>
        <v>20645</v>
      </c>
      <c r="V338" s="263">
        <f>IFERROR((N(V130)+N(V134)+N(V138)+N(V139)+N(V140)),0)</f>
        <v>22216</v>
      </c>
      <c r="W338" s="263">
        <f>IFERROR((N(W130)+N(W134)+N(W138)+N(W139)+N(W140)),0)</f>
        <v>22216</v>
      </c>
      <c r="X338" s="263">
        <f>IFERROR((N(X130)+N(X134)+N(X138)+N(X139)+N(X140)),0)</f>
        <v>21825</v>
      </c>
      <c r="Y338" s="263">
        <f>IFERROR((N(Y130)+N(Y134)+N(Y138)+N(Y139)+N(Y140)),0)</f>
        <v>21789</v>
      </c>
      <c r="Z338" s="263">
        <f>IFERROR((N(Z130)+N(Z134)+N(Z138)+N(Z139)+N(Z140)),0)</f>
        <v>23102</v>
      </c>
      <c r="AA338" s="263">
        <f>IFERROR((N(AA130)+N(AA134)+N(AA138)+N(AA139)+N(AA140)),0)</f>
        <v>25696</v>
      </c>
      <c r="AB338" s="263">
        <f>IFERROR((N(AB130)+N(AB134)+N(AB138)+N(AB139)+N(AB140)),0)</f>
        <v>25696</v>
      </c>
      <c r="AC338" s="263">
        <f>IFERROR((N(AC130)+N(AC134)+N(AC138)+N(AC139)+N(AC140)),0)</f>
        <v>23739</v>
      </c>
      <c r="AD338" s="263">
        <f>IFERROR((N(AD130)+N(AD134)+N(AD138)+N(AD139)+N(AD140)),0)</f>
        <v>23301</v>
      </c>
      <c r="AE338" s="263">
        <f>IFERROR((N(AE130)+N(AE134)+N(AE138)+N(AE139)+N(AE140)),0)</f>
        <v>23096</v>
      </c>
      <c r="AF338" s="263">
        <f>IFERROR((N(AF130)+N(AF134)+N(AF138)+N(AF139)+N(AF140)),0)</f>
        <v>26228</v>
      </c>
      <c r="AG338" s="263">
        <f>IFERROR((N(AG130)+N(AG134)+N(AG138)+N(AG139)+N(AG140)),0)</f>
        <v>26228</v>
      </c>
      <c r="AH338" s="263">
        <f>IFERROR((N(AH130)+N(AH134)+N(AH138)+N(AH139)+N(AH140)),0)</f>
        <v>24893</v>
      </c>
      <c r="AI338" s="263">
        <f>IFERROR((N(AI130)+N(AI134)+N(AI138)+N(AI139)+N(AI140)),0)</f>
        <v>25181</v>
      </c>
      <c r="AJ338" s="263">
        <f>IFERROR((N(AJ130)+N(AJ134)+N(AJ138)+N(AJ139)+N(AJ140)),0)</f>
        <v>32164.8081491819</v>
      </c>
      <c r="AK338" s="263">
        <f>IFERROR((N(AK130)+N(AK134)+N(AK138)+N(AK139)+N(AK140)),0)</f>
        <v>25568.2689435093</v>
      </c>
      <c r="AL338" s="263">
        <f>IFERROR((N(AL130)+N(AL134)+N(AL138)+N(AL139)+N(AL140)),0)</f>
        <v>25568.2689435093</v>
      </c>
      <c r="AM338" s="263">
        <f>IFERROR((N(AM130)+N(AM134)+N(AM138)+N(AM139)+N(AM140)),0)</f>
        <v>26910.9546200165</v>
      </c>
      <c r="AN338" s="263">
        <f>IFERROR((N(AN130)+N(AN134)+N(AN138)+N(AN139)+N(AN140)),0)</f>
        <v>26966.3971787232</v>
      </c>
      <c r="AO338" s="263">
        <f>IFERROR((N(AO130)+N(AO134)+N(AO138)+N(AO139)+N(AO140)),0)</f>
        <v>34891.2485506935</v>
      </c>
      <c r="AP338" s="263">
        <f>IFERROR((N(AP130)+N(AP134)+N(AP138)+N(AP139)+N(AP140)),0)</f>
        <v>27698.225349384</v>
      </c>
      <c r="AQ338" s="263">
        <f>IFERROR((N(AQ130)+N(AQ134)+N(AQ138)+N(AQ139)+N(AQ140)),0)</f>
        <v>27698.225349384</v>
      </c>
      <c r="AR338" s="263">
        <f>IFERROR((N(AR130)+N(AR134)+N(AR138)+N(AR139)+N(AR140)),0)</f>
        <v>28740.8557886807</v>
      </c>
      <c r="AS338" s="263">
        <f>IFERROR((N(AS130)+N(AS134)+N(AS138)+N(AS139)+N(AS140)),0)</f>
        <v>29098.010635635</v>
      </c>
      <c r="AT338" s="263">
        <f>IFERROR((N(AT130)+N(AT134)+N(AT138)+N(AT139)+N(AT140)),0)</f>
        <v>37699.8327506079</v>
      </c>
      <c r="AU338" s="263">
        <f>IFERROR((N(AU130)+N(AU134)+N(AU138)+N(AU139)+N(AU140)),0)</f>
        <v>29892.3543333623</v>
      </c>
      <c r="AV338" s="263">
        <f>IFERROR((N(AV130)+N(AV134)+N(AV138)+N(AV139)+N(AV140)),0)</f>
        <v>29892.3543333623</v>
      </c>
      <c r="AW338" s="263">
        <f>IFERROR((N(AW130)+N(AW134)+N(AW138)+N(AW139)+N(AW140)),0)</f>
        <v>31211.2710461157</v>
      </c>
      <c r="AX338" s="263">
        <f>IFERROR((N(AX130)+N(AX134)+N(AX138)+N(AX139)+N(AX140)),0)</f>
        <v>31276.2895137495</v>
      </c>
      <c r="AY338" s="263">
        <f>IFERROR((N(AY130)+N(AY134)+N(AY138)+N(AY139)+N(AY140)),0)</f>
        <v>40569.9026595035</v>
      </c>
      <c r="AZ338" s="263">
        <f>IFERROR((N(AZ130)+N(AZ134)+N(AZ138)+N(AZ139)+N(AZ140)),0)</f>
        <v>32134.5173325503</v>
      </c>
      <c r="BA338" s="263">
        <f>IFERROR((N(BA130)+N(BA134)+N(BA138)+N(BA139)+N(BA140)),0)</f>
        <v>32134.5173325503</v>
      </c>
      <c r="BB338" s="263">
        <f>IFERROR((N(BB130)+N(BB134)+N(BB138)+N(BB139)+N(BB140)),0)</f>
        <v>33413.5149547671</v>
      </c>
      <c r="BC338" s="263">
        <f>IFERROR((N(BC130)+N(BC134)+N(BC138)+N(BC139)+N(BC140)),0)</f>
        <v>33483.4373608591</v>
      </c>
      <c r="BD338" s="263">
        <f>IFERROR((N(BD130)+N(BD134)+N(BD138)+N(BD139)+N(BD140)),0)</f>
        <v>43478.0099198357</v>
      </c>
      <c r="BE338" s="263">
        <f>IFERROR((N(BE130)+N(BE134)+N(BE138)+N(BE139)+N(BE140)),0)</f>
        <v>34406.3959639999</v>
      </c>
      <c r="BF338" s="263">
        <f>IFERROR((N(BF130)+N(BF134)+N(BF138)+N(BF139)+N(BF140)),0)</f>
        <v>34406.3959639999</v>
      </c>
      <c r="BG338" s="90" t="n"/>
      <c r="BH338" s="90" t="n"/>
      <c r="BI338" s="90" t="n"/>
      <c r="BJ338" s="90" t="n"/>
      <c r="BL338" s="90" t="n"/>
      <c r="BM338" s="90" t="n"/>
      <c r="BN338" s="90" t="n"/>
      <c r="BO338" s="90" t="n"/>
      <c r="BQ338" s="90" t="n"/>
      <c r="BR338" s="90" t="n"/>
      <c r="BS338" s="90" t="n"/>
      <c r="BT338" s="90" t="n"/>
      <c r="BV338" s="90" t="n"/>
      <c r="BW338" s="90" t="n"/>
      <c r="BX338" s="90" t="n"/>
      <c r="BY338" s="90" t="n"/>
      <c r="CA338" s="90" t="n"/>
      <c r="CB338" s="90" t="n"/>
      <c r="CC338" s="90" t="n"/>
      <c r="CD338" s="90" t="n"/>
      <c r="CF338" s="90" t="n"/>
      <c r="CG338" s="90" t="n"/>
      <c r="CH338" s="90" t="n"/>
      <c r="CI338" s="90" t="n"/>
      <c r="CK338" s="90" t="n"/>
      <c r="CL338" s="90" t="n"/>
      <c r="CM338" s="90" t="n"/>
      <c r="CN338" s="90" t="n"/>
      <c r="CP338" s="90" t="n"/>
      <c r="CQ338" s="90" t="n"/>
      <c r="CR338" s="90" t="n"/>
      <c r="CS338" s="90" t="n"/>
      <c r="CU338" s="90" t="n"/>
      <c r="CV338" s="90" t="n"/>
      <c r="CW338" s="90" t="n"/>
      <c r="CX338" s="90" t="n"/>
    </row>
    <row r="339" customFormat="1" s="77">
      <c r="A339" s="76" t="n"/>
      <c r="B339" s="76" t="n"/>
      <c r="C339" s="77" t="inlineStr">
        <is>
          <t>CURRENT LIABILITIES (OPERATING, EX DEBT)</t>
        </is>
      </c>
      <c r="D339" s="89">
        <f>IFERROR(D183+D187+D189+D190,"")</f>
        <v>0</v>
      </c>
      <c r="E339" s="89">
        <f>IFERROR(E183+E187+E189+E190,"")</f>
        <v>0</v>
      </c>
      <c r="F339" s="89">
        <f>IFERROR(F183+F187+F189+F190,"")</f>
        <v>0</v>
      </c>
      <c r="G339" s="89">
        <f>IFERROR(G183+G187+G189+G190,"")</f>
        <v>0</v>
      </c>
      <c r="H339" s="263">
        <f>IFERROR((N(H183)+N(H187)+N(H189)+N(H190)),0)</f>
        <v>0</v>
      </c>
      <c r="I339" s="263">
        <f>IFERROR((N(I183)+N(I187)+N(I189)+N(I190)),0)</f>
        <v>26469</v>
      </c>
      <c r="J339" s="263">
        <f>IFERROR((N(J183)+N(J187)+N(J189)+N(J190)),0)</f>
        <v>27890</v>
      </c>
      <c r="K339" s="263">
        <f>IFERROR((N(K183)+N(K187)+N(K189)+N(K190)),0)</f>
        <v>28642</v>
      </c>
      <c r="L339" s="263">
        <f>IFERROR((N(L183)+N(L187)+N(L189)+N(L190)),0)</f>
        <v>32543</v>
      </c>
      <c r="M339" s="263">
        <f>IFERROR((N(M183)+N(M187)+N(M189)+N(M190)),0)</f>
        <v>32543</v>
      </c>
      <c r="N339" s="263">
        <f>IFERROR((N(N183)+N(N187)+N(N189)+N(N190)),0)</f>
        <v>31545</v>
      </c>
      <c r="O339" s="263">
        <f>IFERROR((N(O183)+N(O187)+N(O189)+N(O190)),0)</f>
        <v>31768</v>
      </c>
      <c r="P339" s="263">
        <f>IFERROR((N(P183)+N(P187)+N(P189)+N(P190)),0)</f>
        <v>31925</v>
      </c>
      <c r="Q339" s="263">
        <f>IFERROR((N(Q183)+N(Q187)+N(Q189)+N(Q190)),0)</f>
        <v>32996</v>
      </c>
      <c r="R339" s="263">
        <f>IFERROR((N(R183)+N(R187)+N(R189)+N(R190)),0)</f>
        <v>32996</v>
      </c>
      <c r="S339" s="263">
        <f>IFERROR((N(S183)+N(S187)+N(S189)+N(S190)),0)</f>
        <v>32440</v>
      </c>
      <c r="T339" s="263">
        <f>IFERROR((N(T183)+N(T187)+N(T189)+N(T190)),0)</f>
        <v>31708</v>
      </c>
      <c r="U339" s="263">
        <f>IFERROR((N(U183)+N(U187)+N(U189)+N(U190)),0)</f>
        <v>32502</v>
      </c>
      <c r="V339" s="263">
        <f>IFERROR((N(V183)+N(V187)+N(V189)+N(V190)),0)</f>
        <v>35688</v>
      </c>
      <c r="W339" s="263">
        <f>IFERROR((N(W183)+N(W187)+N(W189)+N(W190)),0)</f>
        <v>35688</v>
      </c>
      <c r="X339" s="263">
        <f>IFERROR((N(X183)+N(X187)+N(X189)+N(X190)),0)</f>
        <v>33608</v>
      </c>
      <c r="Y339" s="263">
        <f>IFERROR((N(Y183)+N(Y187)+N(Y189)+N(Y190)),0)</f>
        <v>34284</v>
      </c>
      <c r="Z339" s="263">
        <f>IFERROR((N(Z183)+N(Z187)+N(Z189)+N(Z190)),0)</f>
        <v>35361</v>
      </c>
      <c r="AA339" s="263">
        <f>IFERROR((N(AA183)+N(AA187)+N(AA189)+N(AA190)),0)</f>
        <v>38289</v>
      </c>
      <c r="AB339" s="263">
        <f>IFERROR((N(AB183)+N(AB187)+N(AB189)+N(AB190)),0)</f>
        <v>38289</v>
      </c>
      <c r="AC339" s="263">
        <f>IFERROR((N(AC183)+N(AC187)+N(AC189)+N(AC190)),0)</f>
        <v>36999</v>
      </c>
      <c r="AD339" s="263">
        <f>IFERROR((N(AD183)+N(AD187)+N(AD189)+N(AD190)),0)</f>
        <v>37579</v>
      </c>
      <c r="AE339" s="263">
        <f>IFERROR((N(AE183)+N(AE187)+N(AE189)+N(AE190)),0)</f>
        <v>37108</v>
      </c>
      <c r="AF339" s="263">
        <f>IFERROR((N(AF183)+N(AF187)+N(AF189)+N(AF190)),0)</f>
        <v>41805</v>
      </c>
      <c r="AG339" s="263">
        <f>IFERROR((N(AG183)+N(AG187)+N(AG189)+N(AG190)),0)</f>
        <v>41805</v>
      </c>
      <c r="AH339" s="263">
        <f>IFERROR((N(AH183)+N(AH187)+N(AH189)+N(AH190)),0)</f>
        <v>40763</v>
      </c>
      <c r="AI339" s="263">
        <f>IFERROR((N(AI183)+N(AI187)+N(AI189)+N(AI190)),0)</f>
        <v>42125</v>
      </c>
      <c r="AJ339" s="263">
        <f>IFERROR((N(AJ183)+N(AJ187)+N(AJ189)+N(AJ190)),0)</f>
        <v>48352.9597219698</v>
      </c>
      <c r="AK339" s="263">
        <f>IFERROR((N(AK183)+N(AK187)+N(AK189)+N(AK190)),0)</f>
        <v>43064.614155042</v>
      </c>
      <c r="AL339" s="263">
        <f>IFERROR((N(AL183)+N(AL187)+N(AL189)+N(AL190)),0)</f>
        <v>43064.614155042</v>
      </c>
      <c r="AM339" s="263">
        <f>IFERROR((N(AM183)+N(AM187)+N(AM189)+N(AM190)),0)</f>
        <v>45182.8883274372</v>
      </c>
      <c r="AN339" s="263">
        <f>IFERROR((N(AN183)+N(AN187)+N(AN189)+N(AN190)),0)</f>
        <v>46191.4689899172</v>
      </c>
      <c r="AO339" s="263">
        <f>IFERROR((N(AO183)+N(AO187)+N(AO189)+N(AO190)),0)</f>
        <v>54555.9393716693</v>
      </c>
      <c r="AP339" s="263">
        <f>IFERROR((N(AP183)+N(AP187)+N(AP189)+N(AP190)),0)</f>
        <v>49049.7566777119</v>
      </c>
      <c r="AQ339" s="263">
        <f>IFERROR((N(AQ183)+N(AQ187)+N(AQ189)+N(AQ190)),0)</f>
        <v>49049.7566777119</v>
      </c>
      <c r="AR339" s="263">
        <f>IFERROR((N(AR183)+N(AR187)+N(AR189)+N(AR190)),0)</f>
        <v>51185.5079174874</v>
      </c>
      <c r="AS339" s="263">
        <f>IFERROR((N(AS183)+N(AS187)+N(AS189)+N(AS190)),0)</f>
        <v>52788.2252864661</v>
      </c>
      <c r="AT339" s="263">
        <f>IFERROR((N(AT183)+N(AT187)+N(AT189)+N(AT190)),0)</f>
        <v>62115.6337507921</v>
      </c>
      <c r="AU339" s="263">
        <f>IFERROR((N(AU183)+N(AU187)+N(AU189)+N(AU190)),0)</f>
        <v>56403.0604086713</v>
      </c>
      <c r="AV339" s="263">
        <f>IFERROR((N(AV183)+N(AV187)+N(AV189)+N(AV190)),0)</f>
        <v>56403.0604086713</v>
      </c>
      <c r="AW339" s="263">
        <f>IFERROR((N(AW183)+N(AW187)+N(AW189)+N(AW190)),0)</f>
        <v>59153.7700398879</v>
      </c>
      <c r="AX339" s="263">
        <f>IFERROR((N(AX183)+N(AX187)+N(AX189)+N(AX190)),0)</f>
        <v>60869.4372041747</v>
      </c>
      <c r="AY339" s="263">
        <f>IFERROR((N(AY183)+N(AY187)+N(AY189)+N(AY190)),0)</f>
        <v>71243.1157083683</v>
      </c>
      <c r="AZ339" s="263">
        <f>IFERROR((N(AZ183)+N(AZ187)+N(AZ189)+N(AZ190)),0)</f>
        <v>65383.5925494483</v>
      </c>
      <c r="BA339" s="263">
        <f>IFERROR((N(BA183)+N(BA187)+N(BA189)+N(BA190)),0)</f>
        <v>65383.5925494483</v>
      </c>
      <c r="BB339" s="263">
        <f>IFERROR((N(BB183)+N(BB187)+N(BB189)+N(BB190)),0)</f>
        <v>68523.2878654778</v>
      </c>
      <c r="BC339" s="263">
        <f>IFERROR((N(BC183)+N(BC187)+N(BC189)+N(BC190)),0)</f>
        <v>70693.8039138852</v>
      </c>
      <c r="BD339" s="263">
        <f>IFERROR((N(BD183)+N(BD187)+N(BD189)+N(BD190)),0)</f>
        <v>82190.9952578233</v>
      </c>
      <c r="BE339" s="263">
        <f>IFERROR((N(BE183)+N(BE187)+N(BE189)+N(BE190)),0)</f>
        <v>76246.7235424044</v>
      </c>
      <c r="BF339" s="263">
        <f>IFERROR((N(BF183)+N(BF187)+N(BF189)+N(BF190)),0)</f>
        <v>76246.7235424044</v>
      </c>
      <c r="BG339" s="90" t="n"/>
      <c r="BH339" s="90" t="n"/>
      <c r="BI339" s="90" t="n"/>
      <c r="BJ339" s="90" t="n"/>
      <c r="BL339" s="90" t="n"/>
      <c r="BM339" s="90" t="n"/>
      <c r="BN339" s="90" t="n"/>
      <c r="BO339" s="90" t="n"/>
      <c r="BQ339" s="90" t="n"/>
      <c r="BR339" s="90" t="n"/>
      <c r="BS339" s="90" t="n"/>
      <c r="BT339" s="90" t="n"/>
      <c r="BV339" s="90" t="n"/>
      <c r="BW339" s="90" t="n"/>
      <c r="BX339" s="90" t="n"/>
      <c r="BY339" s="90" t="n"/>
      <c r="CA339" s="90" t="n"/>
      <c r="CB339" s="90" t="n"/>
      <c r="CC339" s="90" t="n"/>
      <c r="CD339" s="90" t="n"/>
      <c r="CF339" s="90" t="n"/>
      <c r="CG339" s="90" t="n"/>
      <c r="CH339" s="90" t="n"/>
      <c r="CI339" s="90" t="n"/>
      <c r="CK339" s="90" t="n"/>
      <c r="CL339" s="90" t="n"/>
      <c r="CM339" s="90" t="n"/>
      <c r="CN339" s="90" t="n"/>
      <c r="CP339" s="90" t="n"/>
      <c r="CQ339" s="90" t="n"/>
      <c r="CR339" s="90" t="n"/>
      <c r="CS339" s="90" t="n"/>
      <c r="CU339" s="90" t="n"/>
      <c r="CV339" s="90" t="n"/>
      <c r="CW339" s="90" t="n"/>
      <c r="CX339" s="90" t="n"/>
    </row>
    <row r="340" customFormat="1" s="77">
      <c r="A340" s="76" t="n"/>
      <c r="B340" s="76" t="n"/>
      <c r="C340" s="77" t="inlineStr">
        <is>
          <t>FIXED ASSETS</t>
        </is>
      </c>
      <c r="D340" s="89">
        <f>IFERROR(D151+D161+D164+D165+D174-D225,"")</f>
        <v>0</v>
      </c>
      <c r="E340" s="89">
        <f>IFERROR(E151+E161+E164+E165+E174-E225,"")</f>
        <v>0</v>
      </c>
      <c r="F340" s="89">
        <f>IFERROR(F151+F161+F164+F165+F174-F225,"")</f>
        <v>0</v>
      </c>
      <c r="G340" s="89">
        <f>IFERROR(G151+G161+G164+G165+G174-G225,"")</f>
        <v>0</v>
      </c>
      <c r="H340" s="263">
        <f>IFERROR((N(H151)+N(H161)+N(H164)+N(H165)+N(H174))-N(H225),0)</f>
        <v>0</v>
      </c>
      <c r="I340" s="263">
        <f>IFERROR((N(I151)+N(I161)+N(I164)+N(I165)+N(I174))-N(I225),0)</f>
        <v>26558</v>
      </c>
      <c r="J340" s="263">
        <f>IFERROR((N(J151)+N(J161)+N(J164)+N(J165)+N(J174))-N(J225),0)</f>
        <v>27176</v>
      </c>
      <c r="K340" s="263">
        <f>IFERROR((N(K151)+N(K161)+N(K164)+N(K165)+N(K174))-N(K225),0)</f>
        <v>27348</v>
      </c>
      <c r="L340" s="263">
        <f>IFERROR((N(L151)+N(L161)+N(L164)+N(L165)+N(L174))-N(L225),0)</f>
        <v>27808</v>
      </c>
      <c r="M340" s="263">
        <f>IFERROR((N(M151)+N(M161)+N(M164)+N(M165)+N(M174))-N(M225),0)</f>
        <v>27808</v>
      </c>
      <c r="N340" s="263">
        <f>IFERROR((N(N151)+N(N161)+N(N164)+N(N165)+N(N174))-N(N225),0)</f>
        <v>28202</v>
      </c>
      <c r="O340" s="263">
        <f>IFERROR((N(O151)+N(O161)+N(O164)+N(O165)+N(O174))-N(O225),0)</f>
        <v>28309</v>
      </c>
      <c r="P340" s="263">
        <f>IFERROR((N(P151)+N(P161)+N(P164)+N(P165)+N(P174))-N(P225),0)</f>
        <v>28915</v>
      </c>
      <c r="Q340" s="263">
        <f>IFERROR((N(Q151)+N(Q161)+N(Q164)+N(Q165)+N(Q174))-N(Q225),0)</f>
        <v>29368</v>
      </c>
      <c r="R340" s="263">
        <f>IFERROR((N(R151)+N(R161)+N(R164)+N(R165)+N(R174))-N(R225),0)</f>
        <v>29368</v>
      </c>
      <c r="S340" s="263">
        <f>IFERROR((N(S151)+N(S161)+N(S164)+N(S165)+N(S174))-N(S225),0)</f>
        <v>30048</v>
      </c>
      <c r="T340" s="263">
        <f>IFERROR((N(T151)+N(T161)+N(T164)+N(T165)+N(T174))-N(T225),0)</f>
        <v>29996</v>
      </c>
      <c r="U340" s="263">
        <f>IFERROR((N(U151)+N(U161)+N(U164)+N(U165)+N(U174))-N(U225),0)</f>
        <v>30565</v>
      </c>
      <c r="V340" s="263">
        <f>IFERROR((N(V151)+N(V161)+N(V164)+N(V165)+N(V174))-N(V225),0)</f>
        <v>31102</v>
      </c>
      <c r="W340" s="263">
        <f>IFERROR((N(W151)+N(W161)+N(W164)+N(W165)+N(W174))-N(W225),0)</f>
        <v>31102</v>
      </c>
      <c r="X340" s="263">
        <f>IFERROR((N(X151)+N(X161)+N(X164)+N(X165)+N(X174))-N(X225),0)</f>
        <v>31655</v>
      </c>
      <c r="Y340" s="263">
        <f>IFERROR((N(Y151)+N(Y161)+N(Y164)+N(Y165)+N(Y174))-N(Y225),0)</f>
        <v>32064</v>
      </c>
      <c r="Z340" s="263">
        <f>IFERROR((N(Z151)+N(Z161)+N(Z164)+N(Z165)+N(Z174))-N(Z225),0)</f>
        <v>33009</v>
      </c>
      <c r="AA340" s="263">
        <f>IFERROR((N(AA151)+N(AA161)+N(AA164)+N(AA165)+N(AA174))-N(AA225),0)</f>
        <v>33250</v>
      </c>
      <c r="AB340" s="263">
        <f>IFERROR((N(AB151)+N(AB161)+N(AB164)+N(AB165)+N(AB174))-N(AB225),0)</f>
        <v>33250</v>
      </c>
      <c r="AC340" s="263">
        <f>IFERROR((N(AC151)+N(AC161)+N(AC164)+N(AC165)+N(AC174))-N(AC225),0)</f>
        <v>33718</v>
      </c>
      <c r="AD340" s="263">
        <f>IFERROR((N(AD151)+N(AD161)+N(AD164)+N(AD165)+N(AD174))-N(AD225),0)</f>
        <v>34733</v>
      </c>
      <c r="AE340" s="263">
        <f>IFERROR((N(AE151)+N(AE161)+N(AE164)+N(AE165)+N(AE174))-N(AE225),0)</f>
        <v>36065</v>
      </c>
      <c r="AF340" s="263">
        <f>IFERROR((N(AF151)+N(AF161)+N(AF164)+N(AF165)+N(AF174))-N(AF225),0)</f>
        <v>36799</v>
      </c>
      <c r="AG340" s="263">
        <f>IFERROR((N(AG151)+N(AG161)+N(AG164)+N(AG165)+N(AG174))-N(AG225),0)</f>
        <v>36799</v>
      </c>
      <c r="AH340" s="263">
        <f>IFERROR((N(AH151)+N(AH161)+N(AH164)+N(AH165)+N(AH174))-N(AH225),0)</f>
        <v>37882</v>
      </c>
      <c r="AI340" s="263">
        <f>IFERROR((N(AI151)+N(AI161)+N(AI164)+N(AI165)+N(AI174))-N(AI225),0)</f>
        <v>38593</v>
      </c>
      <c r="AJ340" s="263">
        <f>IFERROR((N(AJ151)+N(AJ161)+N(AJ164)+N(AJ165)+N(AJ174))-N(AJ225),0)</f>
        <v>39701.340189082</v>
      </c>
      <c r="AK340" s="263">
        <f>IFERROR((N(AK151)+N(AK161)+N(AK164)+N(AK165)+N(AK174))-N(AK225),0)</f>
        <v>40567.2004089917</v>
      </c>
      <c r="AL340" s="263">
        <f>IFERROR((N(AL151)+N(AL161)+N(AL164)+N(AL165)+N(AL174))-N(AL225),0)</f>
        <v>40567.2004089917</v>
      </c>
      <c r="AM340" s="263">
        <f>IFERROR((N(AM151)+N(AM161)+N(AM164)+N(AM165)+N(AM174))-N(AM225),0)</f>
        <v>41462.5199704795</v>
      </c>
      <c r="AN340" s="263">
        <f>IFERROR((N(AN151)+N(AN161)+N(AN164)+N(AN165)+N(AN174))-N(AN225),0)</f>
        <v>42369.8033693767</v>
      </c>
      <c r="AO340" s="263">
        <f>IFERROR((N(AO151)+N(AO161)+N(AO164)+N(AO165)+N(AO174))-N(AO225),0)</f>
        <v>43578.3638654858</v>
      </c>
      <c r="AP340" s="263">
        <f>IFERROR((N(AP151)+N(AP161)+N(AP164)+N(AP165)+N(AP174))-N(AP225),0)</f>
        <v>44522.5184375599</v>
      </c>
      <c r="AQ340" s="263">
        <f>IFERROR((N(AQ151)+N(AQ161)+N(AQ164)+N(AQ165)+N(AQ174))-N(AQ225),0)</f>
        <v>44522.5184375599</v>
      </c>
      <c r="AR340" s="263">
        <f>IFERROR((N(AR151)+N(AR161)+N(AR164)+N(AR165)+N(AR174))-N(AR225),0)</f>
        <v>45494.3195783626</v>
      </c>
      <c r="AS340" s="263">
        <f>IFERROR((N(AS151)+N(AS161)+N(AS164)+N(AS165)+N(AS174))-N(AS225),0)</f>
        <v>46479.1065527638</v>
      </c>
      <c r="AT340" s="263">
        <f>IFERROR((N(AT151)+N(AT161)+N(AT164)+N(AT165)+N(AT174))-N(AT225),0)</f>
        <v>47790.9068521969</v>
      </c>
      <c r="AU340" s="263">
        <f>IFERROR((N(AU151)+N(AU161)+N(AU164)+N(AU165)+N(AU174))-N(AU225),0)</f>
        <v>48815.7146746811</v>
      </c>
      <c r="AV340" s="263">
        <f>IFERROR((N(AV151)+N(AV161)+N(AV164)+N(AV165)+N(AV174))-N(AV225),0)</f>
        <v>48815.7146746811</v>
      </c>
      <c r="AW340" s="263">
        <f>IFERROR((N(AW151)+N(AW161)+N(AW164)+N(AW165)+N(AW174))-N(AW225),0)</f>
        <v>49865.671734535</v>
      </c>
      <c r="AX340" s="263">
        <f>IFERROR((N(AX151)+N(AX161)+N(AX164)+N(AX165)+N(AX174))-N(AX225),0)</f>
        <v>50929.6589977837</v>
      </c>
      <c r="AY340" s="263">
        <f>IFERROR((N(AY151)+N(AY161)+N(AY164)+N(AY165)+N(AY174))-N(AY225),0)</f>
        <v>52346.959233067</v>
      </c>
      <c r="AZ340" s="263">
        <f>IFERROR((N(AZ151)+N(AZ161)+N(AZ164)+N(AZ165)+N(AZ174))-N(AZ225),0)</f>
        <v>53454.1859721938</v>
      </c>
      <c r="BA340" s="263">
        <f>IFERROR((N(BA151)+N(BA161)+N(BA164)+N(BA165)+N(BA174))-N(BA225),0)</f>
        <v>53454.1859721938</v>
      </c>
      <c r="BB340" s="263">
        <f>IFERROR((N(BB151)+N(BB161)+N(BB164)+N(BB165)+N(BB174))-N(BB225),0)</f>
        <v>54583.3347600701</v>
      </c>
      <c r="BC340" s="263">
        <f>IFERROR((N(BC151)+N(BC161)+N(BC164)+N(BC165)+N(BC174))-N(BC225),0)</f>
        <v>55727.5719622851</v>
      </c>
      <c r="BD340" s="263">
        <f>IFERROR((N(BD151)+N(BD161)+N(BD164)+N(BD165)+N(BD174))-N(BD225),0)</f>
        <v>57251.7703356449</v>
      </c>
      <c r="BE340" s="263">
        <f>IFERROR((N(BE151)+N(BE161)+N(BE164)+N(BE165)+N(BE174))-N(BE225),0)</f>
        <v>58442.5082983604</v>
      </c>
      <c r="BF340" s="263">
        <f>IFERROR((N(BF151)+N(BF161)+N(BF164)+N(BF165)+N(BF174))-N(BF225),0)</f>
        <v>58442.5082983604</v>
      </c>
      <c r="BG340" s="90" t="n"/>
      <c r="BH340" s="90" t="n"/>
      <c r="BI340" s="90" t="n"/>
      <c r="BJ340" s="90" t="n"/>
      <c r="BL340" s="90" t="n"/>
      <c r="BM340" s="90" t="n"/>
      <c r="BN340" s="90" t="n"/>
      <c r="BO340" s="90" t="n"/>
      <c r="BQ340" s="90" t="n"/>
      <c r="BR340" s="90" t="n"/>
      <c r="BS340" s="90" t="n"/>
      <c r="BT340" s="90" t="n"/>
      <c r="BV340" s="90" t="n"/>
      <c r="BW340" s="90" t="n"/>
      <c r="BX340" s="90" t="n"/>
      <c r="BY340" s="90" t="n"/>
      <c r="CA340" s="90" t="n"/>
      <c r="CB340" s="90" t="n"/>
      <c r="CC340" s="90" t="n"/>
      <c r="CD340" s="90" t="n"/>
      <c r="CF340" s="90" t="n"/>
      <c r="CG340" s="90" t="n"/>
      <c r="CH340" s="90" t="n"/>
      <c r="CI340" s="90" t="n"/>
      <c r="CK340" s="90" t="n"/>
      <c r="CL340" s="90" t="n"/>
      <c r="CM340" s="90" t="n"/>
      <c r="CN340" s="90" t="n"/>
      <c r="CP340" s="90" t="n"/>
      <c r="CQ340" s="90" t="n"/>
      <c r="CR340" s="90" t="n"/>
      <c r="CS340" s="90" t="n"/>
      <c r="CU340" s="90" t="n"/>
      <c r="CV340" s="90" t="n"/>
      <c r="CW340" s="90" t="n"/>
      <c r="CX340" s="90" t="n"/>
    </row>
    <row r="341" customFormat="1" s="77">
      <c r="A341" s="76" t="n"/>
      <c r="B341" s="76" t="n"/>
    </row>
    <row r="342" customFormat="1" s="77">
      <c r="A342" s="76" t="n"/>
      <c r="B342" s="76" t="n"/>
    </row>
    <row r="343" customFormat="1" s="77">
      <c r="A343" s="76" t="n"/>
      <c r="B343" s="76" t="n"/>
    </row>
    <row r="344" customFormat="1" s="77">
      <c r="A344" s="76" t="n"/>
      <c r="B344" s="76" t="n"/>
    </row>
    <row r="345" customFormat="1" s="77">
      <c r="A345" s="76" t="n"/>
      <c r="B345" s="76" t="n"/>
    </row>
    <row r="346" customFormat="1" s="77">
      <c r="A346" s="76" t="n"/>
      <c r="B346" s="76" t="n"/>
    </row>
    <row r="347" customFormat="1" s="77">
      <c r="A347" s="76" t="n"/>
      <c r="B347" s="76" t="n"/>
    </row>
    <row r="348" customFormat="1" s="77">
      <c r="A348" s="76" t="n"/>
      <c r="B348" s="76" t="n"/>
      <c r="C348" s="74" t="inlineStr">
        <is>
          <t>DUPONT ANALYSIS</t>
        </is>
      </c>
    </row>
    <row r="349" customFormat="1" s="77">
      <c r="A349" s="76" t="n"/>
      <c r="B349" s="76" t="n"/>
      <c r="C349" s="77" t="inlineStr">
        <is>
          <t>NET PROFIT MARGIN (LTM)</t>
        </is>
      </c>
      <c r="D349" s="84" t="str">
        <f>IFERROR(D122/D15,"")</f>
        <v/>
      </c>
      <c r="E349" s="84" t="str">
        <f>IFERROR(E122/E15,"")</f>
        <v/>
      </c>
      <c r="F349" s="84" t="str">
        <f>IFERROR(F122/F15,"")</f>
        <v/>
      </c>
      <c r="G349" s="84" t="str">
        <f>IFERROR(G122/G15,"")</f>
        <v/>
      </c>
      <c r="H349" s="258" t="str">
        <f>IFERROR(IF(AND(COUNT(H122)=1,(H15)&lt;&gt;0),(H122)/(H15),""),"")</f>
        <v/>
      </c>
      <c r="I349" s="257" t="str">
        <f>""</f>
        <v/>
      </c>
      <c r="J349" s="257" t="str">
        <f>""</f>
        <v/>
      </c>
      <c r="K349" s="257" t="str">
        <f>""</f>
        <v/>
      </c>
      <c r="L349" s="257">
        <f>IFERROR(IF(AND(COUNT(I122,J122,K122,L122)=4,(I15+J15+K15+L15)&lt;&gt;0),(I122+J122+K122+L122)/(I15+J15+K15+L15),""),"")</f>
        <v>0.0254328258257667</v>
      </c>
      <c r="M349" s="258">
        <f>IFERROR(IF(AND(COUNT(I122,J122,K122,L122)=4,(I15+J15+K15+L15)&lt;&gt;0),(I122+J122+K122+L122)/(I15+J15+K15+L15),""),"")</f>
        <v>0.0254328258257667</v>
      </c>
      <c r="N349" s="257">
        <f>IFERROR(IF(AND(COUNT(J122,K122,L122,N122)=4,(J15+K15+L15+N15)&lt;&gt;0),(J122+K122+L122+N122)/(J15+K15+L15+N15),""),"")</f>
        <v>0.0262250319904481</v>
      </c>
      <c r="O349" s="257">
        <f>IFERROR(IF(AND(COUNT(K122,L122,N122,O122)=4,(K15+L15+N15+O15)&lt;&gt;0),(K122+L122+N122+O122)/(K15+L15+N15+O15),""),"")</f>
        <v>0.025954086182644</v>
      </c>
      <c r="P349" s="257">
        <f>IFERROR(IF(AND(COUNT(L122,N122,O122,P122)=4,(L15+N15+O15+P15)&lt;&gt;0),(L122+N122+O122+P122)/(L15+N15+O15+P15),""),"")</f>
        <v>0.0257497113952607</v>
      </c>
      <c r="Q349" s="257">
        <f>IFERROR(IF(AND(COUNT(N122,O122,P122,Q122)=4,(N15+O15+P15+Q15)&lt;&gt;0),(N122+O122+P122+Q122)/(N15+O15+P15+Q15),""),"")</f>
        <v>0.0254687743476981</v>
      </c>
      <c r="R349" s="258">
        <f>IFERROR(IF(AND(COUNT(N122,O122,P122,Q122)=4,(N15+O15+P15+Q15)&lt;&gt;0),(N122+O122+P122+Q122)/(N15+O15+P15+Q15),""),"")</f>
        <v>0.0254687743476981</v>
      </c>
      <c r="S349" s="257">
        <f>IFERROR(IF(AND(COUNT(O122,P122,Q122,S122)=4,(O15+P15+Q15+S15)&lt;&gt;0),(O122+P122+Q122+S122)/(O15+P15+Q15+S15),""),"")</f>
        <v>0.0258159477793421</v>
      </c>
      <c r="T349" s="257">
        <f>IFERROR(IF(AND(COUNT(P122,Q122,S122,T122)=4,(P15+Q15+S15+T15)&lt;&gt;0),(P122+Q122+S122+T122)/(P15+Q15+S15+T15),""),"")</f>
        <v>0.0254839833164856</v>
      </c>
      <c r="U349" s="257">
        <f>IFERROR(IF(AND(COUNT(Q122,S122,T122,U122)=4,(Q15+S15+T15+U15)&lt;&gt;0),(Q122+S122+T122+U122)/(Q15+S15+T15+U15),""),"")</f>
        <v>0.0259688802674481</v>
      </c>
      <c r="V349" s="257">
        <f>IFERROR(IF(AND(COUNT(S122,T122,U122,V122)=4,(S15+T15+U15+V15)&lt;&gt;0),(S122+T122+U122+V122)/(S15+T15+U15+V15),""),"")</f>
        <v>0.0265293993128491</v>
      </c>
      <c r="W349" s="258">
        <f>IFERROR(IF(AND(COUNT(S122,T122,U122,V122)=4,(S15+T15+U15+V15)&lt;&gt;0),(S122+T122+U122+V122)/(S15+T15+U15+V15),""),"")</f>
        <v>0.0265293993128491</v>
      </c>
      <c r="X349" s="257">
        <f>IFERROR(IF(AND(COUNT(T122,U122,V122,X122)=4,(T15+U15+V15+X15)&lt;&gt;0),(T122+U122+V122+X122)/(T15+U15+V15+X15),""),"")</f>
        <v>0.027304001157426</v>
      </c>
      <c r="Y349" s="257">
        <f>IFERROR(IF(AND(COUNT(U122,V122,X122,Y122)=4,(U15+V15+X15+Y15)&lt;&gt;0),(U122+V122+X122+Y122)/(U15+V15+X15+Y15),""),"")</f>
        <v>0.0282741086738012</v>
      </c>
      <c r="Z349" s="257">
        <f>IFERROR(IF(AND(COUNT(V122,X122,Y122,Z122)=4,(V15+X15+Y15+Z15)&lt;&gt;0),(V122+X122+Y122+Z122)/(V15+X15+Y15+Z15),""),"")</f>
        <v>0.0289523016038325</v>
      </c>
      <c r="AA349" s="257">
        <f>IFERROR(IF(AND(COUNT(X122,Y122,Z122,AA122)=4,(X15+Y15+Z15+AA15)&lt;&gt;0),(X122+Y122+Z122+AA122)/(X15+Y15+Z15+AA15),""),"")</f>
        <v>0.0292730047719325</v>
      </c>
      <c r="AB349" s="258">
        <f>IFERROR(IF(AND(COUNT(X122,Y122,Z122,AA122)=4,(X15+Y15+Z15+AA15)&lt;&gt;0),(X122+Y122+Z122+AA122)/(X15+Y15+Z15+AA15),""),"")</f>
        <v>0.0292730047719325</v>
      </c>
      <c r="AC349" s="257">
        <f>IFERROR(IF(AND(COUNT(Y122,Z122,AA122,AC122)=4,(Y15+Z15+AA15+AC15)&lt;&gt;0),(Y122+Z122+AA122+AC122)/(Y15+Z15+AA15+AC15),""),"")</f>
        <v>0.0288580235226404</v>
      </c>
      <c r="AD349" s="257">
        <f>IFERROR(IF(AND(COUNT(Z122,AA122,AC122,AD122)=4,(Z15+AA15+AC15+AD15)&lt;&gt;0),(Z122+AA122+AC122+AD122)/(Z15+AA15+AC15+AD15),""),"")</f>
        <v>0.029180432776736</v>
      </c>
      <c r="AE349" s="257">
        <f>IFERROR(IF(AND(COUNT(AA122,AC122,AD122,AE122)=4,(AA15+AC15+AD15+AE15)&lt;&gt;0),(AA122+AC122+AD122+AE122)/(AA15+AC15+AD15+AE15),""),"")</f>
        <v>0.0294257634385162</v>
      </c>
      <c r="AF349" s="257">
        <f>IFERROR(IF(AND(COUNT(AB122,AD122,AE122,AF122)=4,(AB15+AD15+AE15+AF15)&lt;&gt;0),(AB122+AD122+AE122+AF122)/(AB15+AD15+AE15+AF15),""),"")</f>
        <v>0.0296336490189769</v>
      </c>
      <c r="AG349" s="258">
        <f>IFERROR(IF(AND(COUNT(AC122,AD122,AE122,AF122)=4,(AC15+AD15+AE15+AF15)&lt;&gt;0),(AC122+AD122+AE122+AF122)/(AC15+AD15+AE15+AF15),""),"")</f>
        <v>0.0296086536301094</v>
      </c>
      <c r="AH349" s="257">
        <f>IFERROR(IF(AND(COUNT(AD122,AF122,AG122,AH122)=4,(AD15+AF15+AG15+AH15)&lt;&gt;0),(AD122+AF122+AG122+AH122)/(AD15+AF15+AG15+AH15),""),"")</f>
        <v>0.0296378772112383</v>
      </c>
      <c r="AI349" s="257">
        <f>IFERROR(IF(AND(COUNT(AE122,AG122,AH122,AI122)=4,(AE15+AG15+AH15+AI15)&lt;&gt;0),(AE122+AG122+AH122+AI122)/(AE15+AG15+AH15+AI15),""),"")</f>
        <v>0.029879349716088</v>
      </c>
      <c r="AJ349" s="257">
        <f>IFERROR(IF(AND(COUNT(AF122,AH122,AI122,AJ122)=4,(AF15+AH15+AI15+AJ15)&lt;&gt;0),(AF122+AH122+AI122+AJ122)/(AF15+AH15+AI15+AJ15),""),"")</f>
        <v>0.0300676084695579</v>
      </c>
      <c r="AK349" s="257">
        <f>IFERROR(IF(AND(COUNT(AH122,AI122,AJ122,AK122)=4,(AH15+AI15+AJ15+AK15)&lt;&gt;0),(AH122+AI122+AJ122+AK122)/(AH15+AI15+AJ15+AK15),""),"")</f>
        <v>0.0301643862704723</v>
      </c>
      <c r="AL349" s="258">
        <f>IFERROR(IF(AND(COUNT(AH122,AI122,AJ122,AK122)=4,(AH15+AI15+AJ15+AK15)&lt;&gt;0),(AH122+AI122+AJ122+AK122)/(AH15+AI15+AJ15+AK15),""),"")</f>
        <v>0.0301643862704723</v>
      </c>
      <c r="AM349" s="257">
        <f>IFERROR(IF(AND(COUNT(AI122,AJ122,AK122,AM122)=4,(AI15+AJ15+AK15+AM15)&lt;&gt;0),(AI122+AJ122+AK122+AM122)/(AI15+AJ15+AK15+AM15),""),"")</f>
        <v>0.0303691289598586</v>
      </c>
      <c r="AN349" s="257">
        <f>IFERROR(IF(AND(COUNT(AJ122,AK122,AM122,AN122)=4,(AJ15+AK15+AM15+AN15)&lt;&gt;0),(AJ122+AK122+AM122+AN122)/(AJ15+AK15+AM15+AN15),""),"")</f>
        <v>0.0301629189663588</v>
      </c>
      <c r="AO349" s="257">
        <f>IFERROR(IF(AND(COUNT(AK122,AM122,AN122,AO122)=4,(AK15+AM15+AN15+AO15)&lt;&gt;0),(AK122+AM122+AN122+AO122)/(AK15+AM15+AN15+AO15),""),"")</f>
        <v>0.0301629189663588</v>
      </c>
      <c r="AP349" s="257">
        <f>IFERROR(IF(AND(COUNT(AM122,AN122,AO122,AP122)=4,(AM15+AN15+AO15+AP15)&lt;&gt;0),(AM122+AN122+AO122+AP122)/(AM15+AN15+AO15+AP15),""),"")</f>
        <v>0.0301629189663588</v>
      </c>
      <c r="AQ349" s="258">
        <f>IFERROR(IF(AND(COUNT(AM122,AN122,AO122,AP122)=4,(AM15+AN15+AO15+AP15)&lt;&gt;0),(AM122+AN122+AO122+AP122)/(AM15+AN15+AO15+AP15),""),"")</f>
        <v>0.0301629189663588</v>
      </c>
      <c r="AR349" s="257">
        <f>IFERROR(IF(AND(COUNT(AN122,AO122,AP122,AR122)=4,(AN15+AO15+AP15+AR15)&lt;&gt;0),(AN122+AO122+AP122+AR122)/(AN15+AO15+AP15+AR15),""),"")</f>
        <v>0.0301629189663588</v>
      </c>
      <c r="AS349" s="257">
        <f>IFERROR(IF(AND(COUNT(AO122,AP122,AR122,AS122)=4,(AO15+AP15+AR15+AS15)&lt;&gt;0),(AO122+AP122+AR122+AS122)/(AO15+AP15+AR15+AS15),""),"")</f>
        <v>0.0301629189663588</v>
      </c>
      <c r="AT349" s="257">
        <f>IFERROR(IF(AND(COUNT(AP122,AR122,AS122,AT122)=4,(AP15+AR15+AS15+AT15)&lt;&gt;0),(AP122+AR122+AS122+AT122)/(AP15+AR15+AS15+AT15),""),"")</f>
        <v>0.0301629189663588</v>
      </c>
      <c r="AU349" s="257">
        <f>IFERROR(IF(AND(COUNT(AR122,AS122,AT122,AU122)=4,(AR15+AS15+AT15+AU15)&lt;&gt;0),(AR122+AS122+AT122+AU122)/(AR15+AS15+AT15+AU15),""),"")</f>
        <v>0.0301629189663588</v>
      </c>
      <c r="AV349" s="258">
        <f>IFERROR(IF(AND(COUNT(AR122,AS122,AT122,AU122)=4,(AR15+AS15+AT15+AU15)&lt;&gt;0),(AR122+AS122+AT122+AU122)/(AR15+AS15+AT15+AU15),""),"")</f>
        <v>0.0301629189663588</v>
      </c>
      <c r="AW349" s="257">
        <f>IFERROR(IF(AND(COUNT(AS122,AT122,AU122,AW122)=4,(AS15+AT15+AU15+AW15)&lt;&gt;0),(AS122+AT122+AU122+AW122)/(AS15+AT15+AU15+AW15),""),"")</f>
        <v>0.0301629189663588</v>
      </c>
      <c r="AX349" s="257">
        <f>IFERROR(IF(AND(COUNT(AT122,AU122,AW122,AX122)=4,(AT15+AU15+AW15+AX15)&lt;&gt;0),(AT122+AU122+AW122+AX122)/(AT15+AU15+AW15+AX15),""),"")</f>
        <v>0.0301629189663588</v>
      </c>
      <c r="AY349" s="257">
        <f>IFERROR(IF(AND(COUNT(AU122,AW122,AX122,AY122)=4,(AU15+AW15+AX15+AY15)&lt;&gt;0),(AU122+AW122+AX122+AY122)/(AU15+AW15+AX15+AY15),""),"")</f>
        <v>0.0301629189663588</v>
      </c>
      <c r="AZ349" s="257">
        <f>IFERROR(IF(AND(COUNT(AW122,AX122,AY122,AZ122)=4,(AW15+AX15+AY15+AZ15)&lt;&gt;0),(AW122+AX122+AY122+AZ122)/(AW15+AX15+AY15+AZ15),""),"")</f>
        <v>0.0301629189663588</v>
      </c>
      <c r="BA349" s="258">
        <f>IFERROR(IF(AND(COUNT(AW122,AX122,AY122,AZ122)=4,(AW15+AX15+AY15+AZ15)&lt;&gt;0),(AW122+AX122+AY122+AZ122)/(AW15+AX15+AY15+AZ15),""),"")</f>
        <v>0.0301629189663588</v>
      </c>
      <c r="BB349" s="257">
        <f>IFERROR(IF(AND(COUNT(AX122,AY122,AZ122,BB122)=4,(AX15+AY15+AZ15+BB15)&lt;&gt;0),(AX122+AY122+AZ122+BB122)/(AX15+AY15+AZ15+BB15),""),"")</f>
        <v>0.0301629189663588</v>
      </c>
      <c r="BC349" s="257">
        <f>IFERROR(IF(AND(COUNT(AY122,AZ122,BB122,BC122)=4,(AY15+AZ15+BB15+BC15)&lt;&gt;0),(AY122+AZ122+BB122+BC122)/(AY15+AZ15+BB15+BC15),""),"")</f>
        <v>0.0301629189663588</v>
      </c>
      <c r="BD349" s="257">
        <f>IFERROR(IF(AND(COUNT(AZ122,BB122,BC122,BD122)=4,(AZ15+BB15+BC15+BD15)&lt;&gt;0),(AZ122+BB122+BC122+BD122)/(AZ15+BB15+BC15+BD15),""),"")</f>
        <v>0.0301629189663588</v>
      </c>
      <c r="BE349" s="257">
        <f>IFERROR(IF(AND(COUNT(BB122,BC122,BD122,BE122)=4,(BB15+BC15+BD15+BE15)&lt;&gt;0),(BB122+BC122+BD122+BE122)/(BB15+BC15+BD15+BE15),""),"")</f>
        <v>0.0301629189663588</v>
      </c>
      <c r="BF349" s="258">
        <f>IFERROR(IF(AND(COUNT(BB122,BC122,BD122,BE122)=4,(BB15+BC15+BD15+BE15)&lt;&gt;0),(BB122+BC122+BD122+BE122)/(BB15+BC15+BD15+BE15),""),"")</f>
        <v>0.0301629189663588</v>
      </c>
      <c r="BG349" s="81" t="n"/>
      <c r="BH349" s="81" t="n"/>
      <c r="BI349" s="81" t="n"/>
      <c r="BJ349" s="81" t="n"/>
      <c r="BL349" s="81" t="n"/>
      <c r="BM349" s="81" t="n"/>
      <c r="BN349" s="81" t="n"/>
      <c r="BO349" s="81" t="n"/>
      <c r="BQ349" s="81" t="n"/>
      <c r="BR349" s="81" t="n"/>
      <c r="BS349" s="81" t="n"/>
      <c r="BT349" s="81" t="n"/>
      <c r="BV349" s="81" t="n"/>
      <c r="BW349" s="81" t="n"/>
      <c r="BX349" s="81" t="n"/>
      <c r="BY349" s="81" t="n"/>
      <c r="CA349" s="81" t="n"/>
      <c r="CB349" s="81" t="n"/>
      <c r="CC349" s="81" t="n"/>
      <c r="CD349" s="81" t="n"/>
      <c r="CF349" s="81" t="n"/>
      <c r="CG349" s="81" t="n"/>
      <c r="CH349" s="81" t="n"/>
      <c r="CI349" s="81" t="n"/>
      <c r="CK349" s="81" t="n"/>
      <c r="CL349" s="81" t="n"/>
      <c r="CM349" s="81" t="n"/>
      <c r="CN349" s="81" t="n"/>
      <c r="CP349" s="81" t="n"/>
      <c r="CQ349" s="81" t="n"/>
      <c r="CR349" s="81" t="n"/>
      <c r="CS349" s="81" t="n"/>
      <c r="CU349" s="81" t="n"/>
      <c r="CV349" s="81" t="n"/>
      <c r="CW349" s="81" t="n"/>
      <c r="CX349" s="81" t="n"/>
    </row>
    <row r="350" customFormat="1" s="77">
      <c r="A350" s="76" t="n"/>
      <c r="B350" s="76" t="n"/>
      <c r="C350" s="77" t="inlineStr">
        <is>
          <t>ASSET TURNOVER (LTM REVENUE / ASSETS)</t>
        </is>
      </c>
      <c r="D350" s="84" t="str">
        <f>IFERROR(D15/D182,"")</f>
        <v/>
      </c>
      <c r="E350" s="84" t="str">
        <f>IFERROR(E15/E182,"")</f>
        <v/>
      </c>
      <c r="F350" s="84" t="str">
        <f>IFERROR(F15/F182,"")</f>
        <v/>
      </c>
      <c r="G350" s="84" t="str">
        <f>IFERROR(G15/G182,"")</f>
        <v/>
      </c>
      <c r="H350" s="262" t="str">
        <f>IFERROR(IF(AND(COUNT(H15)=1,N(H182)&lt;&gt;0),(H15)/H182,""),"")</f>
        <v/>
      </c>
      <c r="I350" s="264" t="str">
        <f>""</f>
        <v/>
      </c>
      <c r="J350" s="264" t="str">
        <f>""</f>
        <v/>
      </c>
      <c r="K350" s="264" t="str">
        <f>""</f>
        <v/>
      </c>
      <c r="L350" s="264">
        <f>IFERROR(IF(AND(COUNT(I15,J15,K15,L15)=4,N(L182)&lt;&gt;0),(I15+J15+K15+L15)/L182,""),"")</f>
        <v>3.16581708210572</v>
      </c>
      <c r="M350" s="262">
        <f>IFERROR(IF(AND(COUNT(I15,J15,K15,L15)=4,N(M182)&lt;&gt;0),(I15+J15+K15+L15)/M182,""),"")</f>
        <v>3.16581708210572</v>
      </c>
      <c r="N350" s="264">
        <f>IFERROR(IF(AND(COUNT(J15,K15,L15,N15)=4,N(N182)&lt;&gt;0),(J15+K15+L15+N15)/N182,""),"")</f>
        <v>3.3326833444307</v>
      </c>
      <c r="O350" s="264">
        <f>IFERROR(IF(AND(COUNT(K15,L15,N15,O15)=4,N(O182)&lt;&gt;0),(K15+L15+N15+O15)/O182,""),"")</f>
        <v>3.40690972874773</v>
      </c>
      <c r="P350" s="264">
        <f>IFERROR(IF(AND(COUNT(L15,N15,O15,P15)=4,N(P182)&lt;&gt;0),(L15+N15+O15+P15)/P182,""),"")</f>
        <v>3.53698220241249</v>
      </c>
      <c r="Q350" s="264">
        <f>IFERROR(IF(AND(COUNT(N15,O15,P15,Q15)=4,N(Q182)&lt;&gt;0),(N15+O15+P15+Q15)/Q182,""),"")</f>
        <v>3.49899283626395</v>
      </c>
      <c r="R350" s="262">
        <f>IFERROR(IF(AND(COUNT(N15,O15,P15,Q15)=4,N(R182)&lt;&gt;0),(N15+O15+P15+Q15)/R182,""),"")</f>
        <v>3.49899283626395</v>
      </c>
      <c r="S350" s="264">
        <f>IFERROR(IF(AND(COUNT(O15,P15,Q15,S15)=4,N(S182)&lt;&gt;0),(O15+P15+Q15+S15)/S182,""),"")</f>
        <v>3.50631282910484</v>
      </c>
      <c r="T350" s="264">
        <f>IFERROR(IF(AND(COUNT(P15,Q15,S15,T15)=4,N(T182)&lt;&gt;0),(P15+Q15+S15+T15)/T182,""),"")</f>
        <v>3.5271152924257</v>
      </c>
      <c r="U350" s="264">
        <f>IFERROR(IF(AND(COUNT(Q15,S15,T15,U15)=4,N(U182)&lt;&gt;0),(Q15+S15+T15+U15)/U182,""),"")</f>
        <v>3.51175464533148</v>
      </c>
      <c r="V350" s="264">
        <f>IFERROR(IF(AND(COUNT(S15,T15,U15,V15)=4,N(V182)&lt;&gt;0),(S15+T15+U15+V15)/V182,""),"")</f>
        <v>3.33209446170123</v>
      </c>
      <c r="W350" s="262">
        <f>IFERROR(IF(AND(COUNT(S15,T15,U15,V15)=4,N(W182)&lt;&gt;0),(S15+T15+U15+V15)/W182,""),"")</f>
        <v>3.33209446170123</v>
      </c>
      <c r="X350" s="264">
        <f>IFERROR(IF(AND(COUNT(T15,U15,V15,X15)=4,N(X182)&lt;&gt;0),(T15+U15+V15+X15)/X182,""),"")</f>
        <v>3.75176032447266</v>
      </c>
      <c r="Y350" s="264">
        <f>IFERROR(IF(AND(COUNT(U15,V15,X15,Y15)=4,N(Y182)&lt;&gt;0),(U15+V15+X15+Y15)/Y182,""),"")</f>
        <v>3.73569819322348</v>
      </c>
      <c r="Z350" s="264">
        <f>IFERROR(IF(AND(COUNT(V15,X15,Y15,Z15)=4,N(Z182)&lt;&gt;0),(V15+X15+Y15+Z15)/Z182,""),"")</f>
        <v>3.64384012830978</v>
      </c>
      <c r="AA350" s="264">
        <f>IFERROR(IF(AND(COUNT(X15,Y15,Z15,AA15)=4,N(AA182)&lt;&gt;0),(X15+Y15+Z15+AA15)/AA182,""),"")</f>
        <v>3.52662633199793</v>
      </c>
      <c r="AB350" s="262">
        <f>IFERROR(IF(AND(COUNT(X15,Y15,Z15,AA15)=4,N(AB182)&lt;&gt;0),(X15+Y15+Z15+AA15)/AB182,""),"")</f>
        <v>3.52662633199793</v>
      </c>
      <c r="AC350" s="264">
        <f>IFERROR(IF(AND(COUNT(Y15,Z15,AA15,AC15)=4,N(AC182)&lt;&gt;0),(Y15+Z15+AA15+AC15)/AC182,""),"")</f>
        <v>3.60654976510434</v>
      </c>
      <c r="AD350" s="264">
        <f>IFERROR(IF(AND(COUNT(Z15,AA15,AC15,AD15)=4,N(AD182)&lt;&gt;0),(Z15+AA15+AC15+AD15)/AD182,""),"")</f>
        <v>3.56079595135264</v>
      </c>
      <c r="AE350" s="264">
        <f>IFERROR(IF(AND(COUNT(AA15,AC15,AD15,AE15)=4,N(AE182)&lt;&gt;0),(AA15+AC15+AD15+AE15)/AE182,""),"")</f>
        <v>3.56989066006044</v>
      </c>
      <c r="AF350" s="264">
        <f>IFERROR(IF(AND(COUNT(AB15,AD15,AE15,AF15)=4,N(AF182)&lt;&gt;0),(AB15+AD15+AE15+AF15)/AF182,""),"")</f>
        <v>5.74312114989733</v>
      </c>
      <c r="AG350" s="262">
        <f>IFERROR(IF(AND(COUNT(AC15,AD15,AE15,AF15)=4,N(AG182)&lt;&gt;0),(AC15+AD15+AE15+AF15)/AG182,""),"")</f>
        <v>3.38677376494746</v>
      </c>
      <c r="AH350" s="264">
        <f>IFERROR(IF(AND(COUNT(AD15,AF15,AG15,AH15)=4,N(AH182)&lt;&gt;0),(AD15+AF15+AG15+AH15)/AH182,""),"")</f>
        <v>5.74492760554287</v>
      </c>
      <c r="AI350" s="264">
        <f>IFERROR(IF(AND(COUNT(AE15,AG15,AH15,AI15)=4,N(AI182)&lt;&gt;0),(AE15+AG15+AH15+AI15)/AI182,""),"")</f>
        <v>5.86221219483975</v>
      </c>
      <c r="AJ350" s="264">
        <f>IFERROR(IF(AND(COUNT(AF15,AH15,AI15,AJ15)=4,N(AJ182)&lt;&gt;0),(AF15+AH15+AI15+AJ15)/AJ182,""),"")</f>
        <v>3.15606142904573</v>
      </c>
      <c r="AK350" s="264">
        <f>IFERROR(IF(AND(COUNT(AH15,AI15,AJ15,AK15)=4,N(AK182)&lt;&gt;0),(AH15+AI15+AJ15+AK15)/AK182,""),"")</f>
        <v>3.32691471999785</v>
      </c>
      <c r="AL350" s="262">
        <f>IFERROR(IF(AND(COUNT(AH15,AI15,AJ15,AK15)=4,N(AL182)&lt;&gt;0),(AH15+AI15+AJ15+AK15)/AL182,""),"")</f>
        <v>3.32691471999785</v>
      </c>
      <c r="AM350" s="264">
        <f>IFERROR(IF(AND(COUNT(AI15,AJ15,AK15,AM15)=4,N(AM182)&lt;&gt;0),(AI15+AJ15+AK15+AM15)/AM182,""),"")</f>
        <v>3.24047333087026</v>
      </c>
      <c r="AN350" s="264">
        <f>IFERROR(IF(AND(COUNT(AJ15,AK15,AM15,AN15)=4,N(AN182)&lt;&gt;0),(AJ15+AK15+AM15+AN15)/AN182,""),"")</f>
        <v>3.19646298237372</v>
      </c>
      <c r="AO350" s="264">
        <f>IFERROR(IF(AND(COUNT(AK15,AM15,AN15,AO15)=4,N(AO182)&lt;&gt;0),(AK15+AM15+AN15+AO15)/AO182,""),"")</f>
        <v>2.94452027340575</v>
      </c>
      <c r="AP350" s="264">
        <f>IFERROR(IF(AND(COUNT(AM15,AN15,AO15,AP15)=4,N(AP182)&lt;&gt;0),(AM15+AN15+AO15+AP15)/AP182,""),"")</f>
        <v>3.08958521993407</v>
      </c>
      <c r="AQ350" s="262">
        <f>IFERROR(IF(AND(COUNT(AM15,AN15,AO15,AP15)=4,N(AQ182)&lt;&gt;0),(AM15+AN15+AO15+AP15)/AQ182,""),"")</f>
        <v>3.08958521993407</v>
      </c>
      <c r="AR350" s="264">
        <f>IFERROR(IF(AND(COUNT(AN15,AO15,AP15,AR15)=4,N(AR182)&lt;&gt;0),(AN15+AO15+AP15+AR15)/AR182,""),"")</f>
        <v>3.02071030011826</v>
      </c>
      <c r="AS350" s="264">
        <f>IFERROR(IF(AND(COUNT(AO15,AP15,AR15,AS15)=4,N(AS182)&lt;&gt;0),(AO15+AP15+AR15+AS15)/AS182,""),"")</f>
        <v>2.97058505700232</v>
      </c>
      <c r="AT350" s="264">
        <f>IFERROR(IF(AND(COUNT(AP15,AR15,AS15,AT15)=4,N(AT182)&lt;&gt;0),(AP15+AR15+AS15+AT15)/AT182,""),"")</f>
        <v>2.74801617283518</v>
      </c>
      <c r="AU350" s="264">
        <f>IFERROR(IF(AND(COUNT(AR15,AS15,AT15,AU15)=4,N(AU182)&lt;&gt;0),(AR15+AS15+AT15+AU15)/AU182,""),"")</f>
        <v>2.86890828637038</v>
      </c>
      <c r="AV350" s="262">
        <f>IFERROR(IF(AND(COUNT(AR15,AS15,AT15,AU15)=4,N(AV182)&lt;&gt;0),(AR15+AS15+AT15+AU15)/AV182,""),"")</f>
        <v>2.86890828637038</v>
      </c>
      <c r="AW350" s="264">
        <f>IFERROR(IF(AND(COUNT(AS15,AT15,AU15,AW15)=4,N(AW182)&lt;&gt;0),(AS15+AT15+AU15+AW15)/AW182,""),"")</f>
        <v>2.80111122219972</v>
      </c>
      <c r="AX350" s="264">
        <f>IFERROR(IF(AND(COUNT(AT15,AU15,AW15,AX15)=4,N(AX182)&lt;&gt;0),(AT15+AU15+AW15+AX15)/AX182,""),"")</f>
        <v>2.7593283437304</v>
      </c>
      <c r="AY350" s="264">
        <f>IFERROR(IF(AND(COUNT(AU15,AW15,AX15,AY15)=4,N(AY182)&lt;&gt;0),(AU15+AW15+AX15+AY15)/AY182,""),"")</f>
        <v>2.56239354132791</v>
      </c>
      <c r="AZ350" s="264">
        <f>IFERROR(IF(AND(COUNT(AW15,AX15,AY15,AZ15)=4,N(AZ182)&lt;&gt;0),(AW15+AX15+AY15+AZ15)/AZ182,""),"")</f>
        <v>2.66224664605801</v>
      </c>
      <c r="BA350" s="262">
        <f>IFERROR(IF(AND(COUNT(AW15,AX15,AY15,AZ15)=4,N(BA182)&lt;&gt;0),(AW15+AX15+AY15+AZ15)/BA182,""),"")</f>
        <v>2.66224664605801</v>
      </c>
      <c r="BB350" s="264">
        <f>IFERROR(IF(AND(COUNT(AX15,AY15,AZ15,BB15)=4,N(BB182)&lt;&gt;0),(AX15+AY15+AZ15+BB15)/BB182,""),"")</f>
        <v>2.60153694952582</v>
      </c>
      <c r="BC350" s="264">
        <f>IFERROR(IF(AND(COUNT(AY15,AZ15,BB15,BC15)=4,N(BC182)&lt;&gt;0),(AY15+AZ15+BB15+BC15)/BC182,""),"")</f>
        <v>2.56088900003589</v>
      </c>
      <c r="BD350" s="264">
        <f>IFERROR(IF(AND(COUNT(AZ15,BB15,BC15,BD15)=4,N(BD182)&lt;&gt;0),(AZ15+BB15+BC15+BD15)/BD182,""),"")</f>
        <v>2.38659840712867</v>
      </c>
      <c r="BE350" s="264">
        <f>IFERROR(IF(AND(COUNT(BB15,BC15,BD15,BE15)=4,N(BE182)&lt;&gt;0),(BB15+BC15+BD15+BE15)/BE182,""),"")</f>
        <v>2.46832342994841</v>
      </c>
      <c r="BF350" s="262">
        <f>IFERROR(IF(AND(COUNT(BB15,BC15,BD15,BE15)=4,N(BF182)&lt;&gt;0),(BB15+BC15+BD15+BE15)/BF182,""),"")</f>
        <v>2.46832342994841</v>
      </c>
      <c r="BG350" s="81" t="n"/>
      <c r="BH350" s="81" t="n"/>
      <c r="BI350" s="81" t="n"/>
      <c r="BJ350" s="81" t="n"/>
      <c r="BL350" s="81" t="n"/>
      <c r="BM350" s="81" t="n"/>
      <c r="BN350" s="81" t="n"/>
      <c r="BO350" s="81" t="n"/>
      <c r="BQ350" s="81" t="n"/>
      <c r="BR350" s="81" t="n"/>
      <c r="BS350" s="81" t="n"/>
      <c r="BT350" s="81" t="n"/>
      <c r="BV350" s="81" t="n"/>
      <c r="BW350" s="81" t="n"/>
      <c r="BX350" s="81" t="n"/>
      <c r="BY350" s="81" t="n"/>
      <c r="CA350" s="81" t="n"/>
      <c r="CB350" s="81" t="n"/>
      <c r="CC350" s="81" t="n"/>
      <c r="CD350" s="81" t="n"/>
      <c r="CF350" s="81" t="n"/>
      <c r="CG350" s="81" t="n"/>
      <c r="CH350" s="81" t="n"/>
      <c r="CI350" s="81" t="n"/>
      <c r="CK350" s="81" t="n"/>
      <c r="CL350" s="81" t="n"/>
      <c r="CM350" s="81" t="n"/>
      <c r="CN350" s="81" t="n"/>
      <c r="CP350" s="81" t="n"/>
      <c r="CQ350" s="81" t="n"/>
      <c r="CR350" s="81" t="n"/>
      <c r="CS350" s="81" t="n"/>
      <c r="CU350" s="81" t="n"/>
      <c r="CV350" s="81" t="n"/>
      <c r="CW350" s="81" t="n"/>
      <c r="CX350" s="81" t="n"/>
    </row>
    <row r="351" customFormat="1" s="77">
      <c r="A351" s="76" t="n"/>
      <c r="B351" s="76" t="n"/>
      <c r="C351" s="77" t="inlineStr">
        <is>
          <t>EQUITY MULTIPLIER (ASSETS / EQUITY)</t>
        </is>
      </c>
      <c r="D351" s="84" t="str">
        <f>IFERROR(D182/D256,"")</f>
        <v/>
      </c>
      <c r="E351" s="84" t="str">
        <f>IFERROR(E182/E256,"")</f>
        <v/>
      </c>
      <c r="F351" s="84" t="str">
        <f>IFERROR(F182/F256,"")</f>
        <v/>
      </c>
      <c r="G351" s="84" t="str">
        <f>IFERROR(G182/G256,"")</f>
        <v/>
      </c>
      <c r="H351" s="262" t="str">
        <f>IFERROR(IF(N(H256)&lt;&gt;0,H182/H256,""),"")</f>
        <v/>
      </c>
      <c r="I351" s="264">
        <f>IFERROR(IF(N(I256)&lt;&gt;0,I182/I256,""),"")</f>
        <v>3.40492280984562</v>
      </c>
      <c r="J351" s="264">
        <f>IFERROR(IF(N(J256)&lt;&gt;0,J182/J256,""),"")</f>
        <v>3.37421939436786</v>
      </c>
      <c r="K351" s="264">
        <f>IFERROR(IF(N(K256)&lt;&gt;0,K182/K256,""),"")</f>
        <v>3.2784600066379</v>
      </c>
      <c r="L351" s="264">
        <f>IFERROR(IF(N(L256)&lt;&gt;0,L182/L256,""),"")</f>
        <v>3.37626315789474</v>
      </c>
      <c r="M351" s="262">
        <f>IFERROR(IF(N(M256)&lt;&gt;0,M182/M256,""),"")</f>
        <v>3.37626315789474</v>
      </c>
      <c r="N351" s="264">
        <f>IFERROR(IF(N(N256)&lt;&gt;0,N182/N256,""),"")</f>
        <v>3.15768922707249</v>
      </c>
      <c r="O351" s="264">
        <f>IFERROR(IF(N(O256)&lt;&gt;0,O182/O256,""),"")</f>
        <v>3.11275776336957</v>
      </c>
      <c r="P351" s="264">
        <f>IFERROR(IF(N(P256)&lt;&gt;0,P182/P256,""),"")</f>
        <v>3.10776383978302</v>
      </c>
      <c r="Q351" s="264">
        <f>IFERROR(IF(N(Q256)&lt;&gt;0,Q182/Q256,""),"")</f>
        <v>3.07445520581114</v>
      </c>
      <c r="R351" s="262">
        <f>IFERROR(IF(N(R256)&lt;&gt;0,R182/R256,""),"")</f>
        <v>3.07445520581114</v>
      </c>
      <c r="S351" s="264">
        <f>IFERROR(IF(N(S256)&lt;&gt;0,S182/S256,""),"")</f>
        <v>2.93205842361507</v>
      </c>
      <c r="T351" s="264">
        <f>IFERROR(IF(N(T256)&lt;&gt;0,T182/T256,""),"")</f>
        <v>2.83171424935307</v>
      </c>
      <c r="U351" s="264">
        <f>IFERROR(IF(N(U256)&lt;&gt;0,U182/U256,""),"")</f>
        <v>2.7533721765504</v>
      </c>
      <c r="V351" s="264">
        <f>IFERROR(IF(N(V256)&lt;&gt;0,V182/V256,""),"")</f>
        <v>2.81955864917581</v>
      </c>
      <c r="W351" s="262">
        <f>IFERROR(IF(N(W256)&lt;&gt;0,W182/W256,""),"")</f>
        <v>2.81955864917581</v>
      </c>
      <c r="X351" s="264">
        <f>IFERROR(IF(N(X256)&lt;&gt;0,X182/X256,""),"")</f>
        <v>3.19474951830443</v>
      </c>
      <c r="Y351" s="264">
        <f>IFERROR(IF(N(Y256)&lt;&gt;0,Y182/Y256,""),"")</f>
        <v>3.11933305773736</v>
      </c>
      <c r="Z351" s="264">
        <f>IFERROR(IF(N(Z256)&lt;&gt;0,Z182/Z256,""),"")</f>
        <v>2.95618491236983</v>
      </c>
      <c r="AA351" s="264">
        <f>IFERROR(IF(N(AA256)&lt;&gt;0,AA182/AA256,""),"")</f>
        <v>3.00134963805161</v>
      </c>
      <c r="AB351" s="262">
        <f>IFERROR(IF(N(AB256)&lt;&gt;0,AB182/AB256,""),"")</f>
        <v>3.00134963805161</v>
      </c>
      <c r="AC351" s="264">
        <f>IFERROR(IF(N(AC256)&lt;&gt;0,AC182/AC256,""),"")</f>
        <v>2.86288462290339</v>
      </c>
      <c r="AD351" s="264">
        <f>IFERROR(IF(N(AD256)&lt;&gt;0,AD182/AD256,""),"")</f>
        <v>2.7827465437788</v>
      </c>
      <c r="AE351" s="264">
        <f>IFERROR(IF(N(AE256)&lt;&gt;0,AE182/AE256,""),"")</f>
        <v>2.64363598957619</v>
      </c>
      <c r="AF351" s="264">
        <f>IFERROR(IF(N(AF256)&lt;&gt;0,AF182/AF256,""),"")</f>
        <v>2.73207273207273</v>
      </c>
      <c r="AG351" s="262">
        <f>IFERROR(IF(N(AG256)&lt;&gt;0,AG182/AG256,""),"")</f>
        <v>2.73207273207273</v>
      </c>
      <c r="AH351" s="264">
        <f>IFERROR(IF(N(AH256)&lt;&gt;0,AH182/AH256,""),"")</f>
        <v>2.60663196933338</v>
      </c>
      <c r="AI351" s="264">
        <f>IFERROR(IF(N(AI256)&lt;&gt;0,AI182/AI256,""),"")</f>
        <v>2.57930705183682</v>
      </c>
      <c r="AJ351" s="264">
        <f>IFERROR(IF(N(AJ256)&lt;&gt;0,AJ182/AJ256,""),"")</f>
        <v>2.62753334598471</v>
      </c>
      <c r="AK351" s="264">
        <f>IFERROR(IF(N(AK256)&lt;&gt;0,AK182/AK256,""),"")</f>
        <v>2.39692862422927</v>
      </c>
      <c r="AL351" s="262">
        <f>IFERROR(IF(N(AL256)&lt;&gt;0,AL182/AL256,""),"")</f>
        <v>2.39692862422927</v>
      </c>
      <c r="AM351" s="264">
        <f>IFERROR(IF(N(AM256)&lt;&gt;0,AM182/AM256,""),"")</f>
        <v>2.3705023712834</v>
      </c>
      <c r="AN351" s="264">
        <f>IFERROR(IF(N(AN256)&lt;&gt;0,AN182/AN256,""),"")</f>
        <v>2.32021839407507</v>
      </c>
      <c r="AO351" s="264">
        <f>IFERROR(IF(N(AO256)&lt;&gt;0,AO182/AO256,""),"")</f>
        <v>2.41285851108919</v>
      </c>
      <c r="AP351" s="264">
        <f>IFERROR(IF(N(AP256)&lt;&gt;0,AP182/AP256,""),"")</f>
        <v>2.22964718319199</v>
      </c>
      <c r="AQ351" s="262">
        <f>IFERROR(IF(N(AQ256)&lt;&gt;0,AQ182/AQ256,""),"")</f>
        <v>2.22964718319199</v>
      </c>
      <c r="AR351" s="264">
        <f>IFERROR(IF(N(AR256)&lt;&gt;0,AR182/AR256,""),"")</f>
        <v>2.2116730128706</v>
      </c>
      <c r="AS351" s="264">
        <f>IFERROR(IF(N(AS256)&lt;&gt;0,AS182/AS256,""),"")</f>
        <v>2.18469316104635</v>
      </c>
      <c r="AT351" s="264">
        <f>IFERROR(IF(N(AT256)&lt;&gt;0,AT182/AT256,""),"")</f>
        <v>2.27858257093105</v>
      </c>
      <c r="AU351" s="264">
        <f>IFERROR(IF(N(AU256)&lt;&gt;0,AU182/AU256,""),"")</f>
        <v>2.12664098238682</v>
      </c>
      <c r="AV351" s="262">
        <f>IFERROR(IF(N(AV256)&lt;&gt;0,AV182/AV256,""),"")</f>
        <v>2.12664098238682</v>
      </c>
      <c r="AW351" s="264">
        <f>IFERROR(IF(N(AW256)&lt;&gt;0,AW182/AW256,""),"")</f>
        <v>2.1222501019564</v>
      </c>
      <c r="AX351" s="264">
        <f>IFERROR(IF(N(AX256)&lt;&gt;0,AX182/AX256,""),"")</f>
        <v>2.10169375651281</v>
      </c>
      <c r="AY351" s="264">
        <f>IFERROR(IF(N(AY256)&lt;&gt;0,AY182/AY256,""),"")</f>
        <v>2.1946193051318</v>
      </c>
      <c r="AZ351" s="264">
        <f>IFERROR(IF(N(AZ256)&lt;&gt;0,AZ182/AZ256,""),"")</f>
        <v>2.06537862490356</v>
      </c>
      <c r="BA351" s="262">
        <f>IFERROR(IF(N(BA256)&lt;&gt;0,BA182/BA256,""),"")</f>
        <v>2.06537862490356</v>
      </c>
      <c r="BB351" s="264">
        <f>IFERROR(IF(N(BB256)&lt;&gt;0,BB182/BB256,""),"")</f>
        <v>2.06623960639919</v>
      </c>
      <c r="BC351" s="264">
        <f>IFERROR(IF(N(BC256)&lt;&gt;0,BC182/BC256,""),"")</f>
        <v>2.05396874983066</v>
      </c>
      <c r="BD351" s="264">
        <f>IFERROR(IF(N(BD256)&lt;&gt;0,BD182/BD256,""),"")</f>
        <v>2.14496225213517</v>
      </c>
      <c r="BE351" s="264">
        <f>IFERROR(IF(N(BE256)&lt;&gt;0,BE182/BE256,""),"")</f>
        <v>2.03304510193485</v>
      </c>
      <c r="BF351" s="262">
        <f>IFERROR(IF(N(BF256)&lt;&gt;0,BF182/BF256,""),"")</f>
        <v>2.03304510193485</v>
      </c>
      <c r="BG351" s="81" t="n"/>
      <c r="BH351" s="81" t="n"/>
      <c r="BI351" s="81" t="n"/>
      <c r="BJ351" s="81" t="n"/>
      <c r="BL351" s="81" t="n"/>
      <c r="BM351" s="81" t="n"/>
      <c r="BN351" s="81" t="n"/>
      <c r="BO351" s="81" t="n"/>
      <c r="BQ351" s="81" t="n"/>
      <c r="BR351" s="81" t="n"/>
      <c r="BS351" s="81" t="n"/>
      <c r="BT351" s="81" t="n"/>
      <c r="BV351" s="81" t="n"/>
      <c r="BW351" s="81" t="n"/>
      <c r="BX351" s="81" t="n"/>
      <c r="BY351" s="81" t="n"/>
      <c r="CA351" s="81" t="n"/>
      <c r="CB351" s="81" t="n"/>
      <c r="CC351" s="81" t="n"/>
      <c r="CD351" s="81" t="n"/>
      <c r="CF351" s="81" t="n"/>
      <c r="CG351" s="81" t="n"/>
      <c r="CH351" s="81" t="n"/>
      <c r="CI351" s="81" t="n"/>
      <c r="CK351" s="81" t="n"/>
      <c r="CL351" s="81" t="n"/>
      <c r="CM351" s="81" t="n"/>
      <c r="CN351" s="81" t="n"/>
      <c r="CP351" s="81" t="n"/>
      <c r="CQ351" s="81" t="n"/>
      <c r="CR351" s="81" t="n"/>
      <c r="CS351" s="81" t="n"/>
      <c r="CU351" s="81" t="n"/>
      <c r="CV351" s="81" t="n"/>
      <c r="CW351" s="81" t="n"/>
      <c r="CX351" s="81" t="n"/>
    </row>
    <row r="352" customFormat="1" s="77">
      <c r="A352" s="76" t="n"/>
      <c r="B352" s="76" t="n"/>
      <c r="C352" s="77" t="inlineStr">
        <is>
          <t>ROE - DUPONT</t>
        </is>
      </c>
      <c r="D352" s="84">
        <f>IFERROR(PRODUCT(D349:D351),"")</f>
        <v>0</v>
      </c>
      <c r="E352" s="84">
        <f>IFERROR(PRODUCT(E349:E351),"")</f>
        <v>0</v>
      </c>
      <c r="F352" s="84">
        <f>IFERROR(PRODUCT(F349:F351),"")</f>
        <v>0</v>
      </c>
      <c r="G352" s="84">
        <f>IFERROR(PRODUCT(G349:G351),"")</f>
        <v>0</v>
      </c>
      <c r="H352" s="258" t="str">
        <f>IFERROR(IF(COUNT(H349,H350,H351)=3,H349*H350*H351,""),"")</f>
        <v/>
      </c>
      <c r="I352" s="257" t="str">
        <f>IFERROR(IF(COUNT(I349,I350,I351)=3,I349*I350*I351,""),"")</f>
        <v/>
      </c>
      <c r="J352" s="257" t="str">
        <f>IFERROR(IF(COUNT(J349,J350,J351)=3,J349*J350*J351,""),"")</f>
        <v/>
      </c>
      <c r="K352" s="257" t="str">
        <f>IFERROR(IF(COUNT(K349,K350,K351)=3,K349*K350*K351,""),"")</f>
        <v/>
      </c>
      <c r="L352" s="257">
        <f>IFERROR(IF(COUNT(L349,L350,L351)=3,L349*L350*L351,""),"")</f>
        <v>0.271842105263158</v>
      </c>
      <c r="M352" s="258">
        <f>IFERROR(IF(COUNT(M349,M350,M351)=3,M349*M350*M351,""),"")</f>
        <v>0.271842105263158</v>
      </c>
      <c r="N352" s="257">
        <f>IFERROR(IF(COUNT(N349,N350,N351)=3,N349*N350*N351,""),"")</f>
        <v>0.275981177412895</v>
      </c>
      <c r="O352" s="257">
        <f>IFERROR(IF(COUNT(O349,O350,O351)=3,O349*O350*O351,""),"")</f>
        <v>0.275240091649198</v>
      </c>
      <c r="P352" s="257">
        <f>IFERROR(IF(COUNT(P349,P350,P351)=3,P349*P350*P351,""),"")</f>
        <v>0.283043541434591</v>
      </c>
      <c r="Q352" s="257">
        <f>IFERROR(IF(COUNT(Q349,Q350,Q351)=3,Q349*Q350*Q351,""),"")</f>
        <v>0.273980257031104</v>
      </c>
      <c r="R352" s="258">
        <f>IFERROR(IF(COUNT(R349,R350,R351)=3,R349*R350*R351,""),"")</f>
        <v>0.273980257031104</v>
      </c>
      <c r="S352" s="257">
        <f>IFERROR(IF(COUNT(S349,S350,S351)=3,S349*S350*S351,""),"")</f>
        <v>0.265406377472696</v>
      </c>
      <c r="T352" s="257">
        <f>IFERROR(IF(COUNT(T349,T350,T351)=3,T349*T350*T351,""),"")</f>
        <v>0.254528485979723</v>
      </c>
      <c r="U352" s="257">
        <f>IFERROR(IF(COUNT(U349,U350,U351)=3,U349*U350*U351,""),"")</f>
        <v>0.251097453906936</v>
      </c>
      <c r="V352" s="257">
        <f>IFERROR(IF(COUNT(V349,V350,V351)=3,V349*V350*V351,""),"")</f>
        <v>0.249244655218572</v>
      </c>
      <c r="W352" s="258">
        <f>IFERROR(IF(COUNT(W349,W350,W351)=3,W349*W350*W351,""),"")</f>
        <v>0.249244655218572</v>
      </c>
      <c r="X352" s="257">
        <f>IFERROR(IF(COUNT(X349,X350,X351)=3,X349*X350*X351,""),"")</f>
        <v>0.327263969171484</v>
      </c>
      <c r="Y352" s="257">
        <f>IFERROR(IF(COUNT(Y349,Y350,Y351)=3,Y349*Y350*Y351,""),"")</f>
        <v>0.329474989665151</v>
      </c>
      <c r="Z352" s="257">
        <f>IFERROR(IF(COUNT(Z349,Z350,Z351)=3,Z349*Z350*Z351,""),"")</f>
        <v>0.311870290407248</v>
      </c>
      <c r="AA352" s="257">
        <f>IFERROR(IF(COUNT(AA349,AA350,AA351)=3,AA349*AA350*AA351,""),"")</f>
        <v>0.309844178152223</v>
      </c>
      <c r="AB352" s="258">
        <f>IFERROR(IF(COUNT(AB349,AB350,AB351)=3,AB349*AB350*AB351,""),"")</f>
        <v>0.309844178152223</v>
      </c>
      <c r="AC352" s="257">
        <f>IFERROR(IF(COUNT(AC349,AC350,AC351)=3,AC349*AC350*AC351,""),"")</f>
        <v>0.297963013645072</v>
      </c>
      <c r="AD352" s="257">
        <f>IFERROR(IF(COUNT(AD349,AD350,AD351)=3,AD349*AD350*AD351,""),"")</f>
        <v>0.289142857142857</v>
      </c>
      <c r="AE352" s="257">
        <f>IFERROR(IF(COUNT(AE349,AE350,AE351)=3,AE349*AE350*AE351,""),"")</f>
        <v>0.277705390207105</v>
      </c>
      <c r="AF352" s="257">
        <f>IFERROR(IF(COUNT(AF349,AF350,AF351)=3,AF349*AF350*AF351,""),"")</f>
        <v>0.464970464970465</v>
      </c>
      <c r="AG352" s="258">
        <f>IFERROR(IF(COUNT(AG349,AG350,AG351)=3,AG349*AG350*AG351,""),"")</f>
        <v>0.273966273966274</v>
      </c>
      <c r="AH352" s="257">
        <f>IFERROR(IF(COUNT(AH349,AH350,AH351)=3,AH349*AH350*AH351,""),"")</f>
        <v>0.443824601863683</v>
      </c>
      <c r="AI352" s="257">
        <f>IFERROR(IF(COUNT(AI349,AI350,AI351)=3,AI349*AI350*AI351,""),"")</f>
        <v>0.451789071592706</v>
      </c>
      <c r="AJ352" s="257">
        <f>IFERROR(IF(COUNT(AJ349,AJ350,AJ351)=3,AJ349*AJ350*AJ351,""),"")</f>
        <v>0.249340353228274</v>
      </c>
      <c r="AK352" s="257">
        <f>IFERROR(IF(COUNT(AK349,AK350,AK351)=3,AK349*AK350*AK351,""),"")</f>
        <v>0.240542191796522</v>
      </c>
      <c r="AL352" s="258">
        <f>IFERROR(IF(COUNT(AL349,AL350,AL351)=3,AL349*AL350*AL351,""),"")</f>
        <v>0.240542191796522</v>
      </c>
      <c r="AM352" s="257">
        <f>IFERROR(IF(COUNT(AM349,AM350,AM351)=3,AM349*AM350*AM351,""),"")</f>
        <v>0.233281973903623</v>
      </c>
      <c r="AN352" s="257">
        <f>IFERROR(IF(COUNT(AN349,AN350,AN351)=3,AN349*AN350*AN351,""),"")</f>
        <v>0.22370305347499</v>
      </c>
      <c r="AO352" s="257">
        <f>IFERROR(IF(COUNT(AO349,AO350,AO351)=3,AO349*AO350*AO351,""),"")</f>
        <v>0.214298816223116</v>
      </c>
      <c r="AP352" s="257">
        <f>IFERROR(IF(COUNT(AP349,AP350,AP351)=3,AP349*AP350*AP351,""),"")</f>
        <v>0.207782846922707</v>
      </c>
      <c r="AQ352" s="258">
        <f>IFERROR(IF(COUNT(AQ349,AQ350,AQ351)=3,AQ349*AQ350*AQ351,""),"")</f>
        <v>0.207782846922707</v>
      </c>
      <c r="AR352" s="257">
        <f>IFERROR(IF(COUNT(AR349,AR350,AR351)=3,AR349*AR350*AR351,""),"")</f>
        <v>0.201513136365131</v>
      </c>
      <c r="AS352" s="257">
        <f>IFERROR(IF(COUNT(AS349,AS350,AS351)=3,AS349*AS350*AS351,""),"")</f>
        <v>0.195751820004602</v>
      </c>
      <c r="AT352" s="257">
        <f>IFERROR(IF(COUNT(AT349,AT350,AT351)=3,AT349*AT350*AT351,""),"")</f>
        <v>0.188867583109235</v>
      </c>
      <c r="AU352" s="257">
        <f>IFERROR(IF(COUNT(AU349,AU350,AU351)=3,AU349*AU350*AU351,""),"")</f>
        <v>0.184028129181359</v>
      </c>
      <c r="AV352" s="258">
        <f>IFERROR(IF(COUNT(AV349,AV350,AV351)=3,AV349*AV350*AV351,""),"")</f>
        <v>0.184028129181359</v>
      </c>
      <c r="AW352" s="257">
        <f>IFERROR(IF(COUNT(AW349,AW350,AW351)=3,AW349*AW350*AW351,""),"")</f>
        <v>0.179308254937842</v>
      </c>
      <c r="AX352" s="257">
        <f>IFERROR(IF(COUNT(AX349,AX350,AX351)=3,AX349*AX350*AX351,""),"")</f>
        <v>0.174922704524007</v>
      </c>
      <c r="AY352" s="257">
        <f>IFERROR(IF(COUNT(AY349,AY350,AY351)=3,AY349*AY350*AY351,""),"")</f>
        <v>0.169620521271675</v>
      </c>
      <c r="AZ352" s="257">
        <f>IFERROR(IF(COUNT(AZ349,AZ350,AZ351)=3,AZ349*AZ350*AZ351,""),"")</f>
        <v>0.165852237155041</v>
      </c>
      <c r="BA352" s="258">
        <f>IFERROR(IF(COUNT(BA349,BA350,BA351)=3,BA349*BA350*BA351,""),"")</f>
        <v>0.165852237155041</v>
      </c>
      <c r="BB352" s="257">
        <f>IFERROR(IF(COUNT(BB349,BB350,BB351)=3,BB349*BB350*BB351,""),"")</f>
        <v>0.162137714875774</v>
      </c>
      <c r="BC352" s="257">
        <f>IFERROR(IF(COUNT(BC349,BC350,BC351)=3,BC349*BC350*BC351,""),"")</f>
        <v>0.158656530814338</v>
      </c>
      <c r="BD352" s="257">
        <f>IFERROR(IF(COUNT(BD349,BD350,BD351)=3,BD349*BD350*BD351,""),"")</f>
        <v>0.154408913654021</v>
      </c>
      <c r="BE352" s="257">
        <f>IFERROR(IF(COUNT(BE349,BE350,BE351)=3,BE349*BE350*BE351,""),"")</f>
        <v>0.151363947829426</v>
      </c>
      <c r="BF352" s="258">
        <f>IFERROR(IF(COUNT(BF349,BF350,BF351)=3,BF349*BF350*BF351,""),"")</f>
        <v>0.151363947829426</v>
      </c>
      <c r="BG352" s="81" t="n"/>
      <c r="BH352" s="81" t="n"/>
      <c r="BI352" s="81" t="n"/>
      <c r="BJ352" s="81" t="n"/>
      <c r="BL352" s="81" t="n"/>
      <c r="BM352" s="81" t="n"/>
      <c r="BN352" s="81" t="n"/>
      <c r="BO352" s="81" t="n"/>
      <c r="BQ352" s="81" t="n"/>
      <c r="BR352" s="81" t="n"/>
      <c r="BS352" s="81" t="n"/>
      <c r="BT352" s="81" t="n"/>
      <c r="BV352" s="81" t="n"/>
      <c r="BW352" s="81" t="n"/>
      <c r="BX352" s="81" t="n"/>
      <c r="BY352" s="81" t="n"/>
      <c r="CA352" s="81" t="n"/>
      <c r="CB352" s="81" t="n"/>
      <c r="CC352" s="81" t="n"/>
      <c r="CD352" s="81" t="n"/>
      <c r="CF352" s="81" t="n"/>
      <c r="CG352" s="81" t="n"/>
      <c r="CH352" s="81" t="n"/>
      <c r="CI352" s="81" t="n"/>
      <c r="CK352" s="81" t="n"/>
      <c r="CL352" s="81" t="n"/>
      <c r="CM352" s="81" t="n"/>
      <c r="CN352" s="81" t="n"/>
      <c r="CP352" s="81" t="n"/>
      <c r="CQ352" s="81" t="n"/>
      <c r="CR352" s="81" t="n"/>
      <c r="CS352" s="81" t="n"/>
      <c r="CU352" s="81" t="n"/>
      <c r="CV352" s="81" t="n"/>
      <c r="CW352" s="81" t="n"/>
      <c r="CX352" s="81" t="n"/>
    </row>
    <row r="353" customFormat="1" s="77">
      <c r="A353" s="76" t="n"/>
      <c r="B353" s="76" t="n"/>
      <c r="C353" s="77" t="inlineStr">
        <is>
          <t>ROE (LTM)</t>
        </is>
      </c>
      <c r="D353" s="84" t="str">
        <f>IFERROR(D122/D256,"")</f>
        <v/>
      </c>
      <c r="E353" s="84" t="str">
        <f>IFERROR(E122/E256,"")</f>
        <v/>
      </c>
      <c r="F353" s="84" t="str">
        <f>IFERROR(F122/F256,"")</f>
        <v/>
      </c>
      <c r="G353" s="84" t="str">
        <f>IFERROR(G122/G256,"")</f>
        <v/>
      </c>
      <c r="H353" s="258" t="str">
        <f>IFERROR(IF(AND(COUNT(H122)=1,N(H256)&lt;&gt;0),(H122)/H256,""),"")</f>
        <v/>
      </c>
      <c r="I353" s="257" t="str">
        <f>""</f>
        <v/>
      </c>
      <c r="J353" s="257" t="str">
        <f>""</f>
        <v/>
      </c>
      <c r="K353" s="257" t="str">
        <f>""</f>
        <v/>
      </c>
      <c r="L353" s="257">
        <f>IFERROR(IF(AND(COUNT(I122,J122,K122,L122)=4,N(L256)&lt;&gt;0),(I122+J122+K122+L122)/L256,""),"")</f>
        <v>0.271842105263158</v>
      </c>
      <c r="M353" s="258">
        <f>IFERROR(IF(AND(COUNT(I122,J122,K122,L122)=4,N(M256)&lt;&gt;0),(I122+J122+K122+L122)/M256,""),"")</f>
        <v>0.271842105263158</v>
      </c>
      <c r="N353" s="257">
        <f>IFERROR(IF(AND(COUNT(J122,K122,L122,N122)=4,N(N256)&lt;&gt;0),(J122+K122+L122+N122)/N256,""),"")</f>
        <v>0.275981177412895</v>
      </c>
      <c r="O353" s="257">
        <f>IFERROR(IF(AND(COUNT(K122,L122,N122,O122)=4,N(O256)&lt;&gt;0),(K122+L122+N122+O122)/O256,""),"")</f>
        <v>0.275240091649198</v>
      </c>
      <c r="P353" s="257">
        <f>IFERROR(IF(AND(COUNT(L122,N122,O122,P122)=4,N(P256)&lt;&gt;0),(L122+N122+O122+P122)/P256,""),"")</f>
        <v>0.283043541434591</v>
      </c>
      <c r="Q353" s="257">
        <f>IFERROR(IF(AND(COUNT(N122,O122,P122,Q122)=4,N(Q256)&lt;&gt;0),(N122+O122+P122+Q122)/Q256,""),"")</f>
        <v>0.273980257031105</v>
      </c>
      <c r="R353" s="258">
        <f>IFERROR(IF(AND(COUNT(N122,O122,P122,Q122)=4,N(R256)&lt;&gt;0),(N122+O122+P122+Q122)/R256,""),"")</f>
        <v>0.273980257031105</v>
      </c>
      <c r="S353" s="257">
        <f>IFERROR(IF(AND(COUNT(O122,P122,Q122,S122)=4,N(S256)&lt;&gt;0),(O122+P122+Q122+S122)/S256,""),"")</f>
        <v>0.265406377472696</v>
      </c>
      <c r="T353" s="257">
        <f>IFERROR(IF(AND(COUNT(P122,Q122,S122,T122)=4,N(T256)&lt;&gt;0),(P122+Q122+S122+T122)/T256,""),"")</f>
        <v>0.254528485979723</v>
      </c>
      <c r="U353" s="257">
        <f>IFERROR(IF(AND(COUNT(Q122,S122,T122,U122)=4,N(U256)&lt;&gt;0),(Q122+S122+T122+U122)/U256,""),"")</f>
        <v>0.251097453906936</v>
      </c>
      <c r="V353" s="257">
        <f>IFERROR(IF(AND(COUNT(S122,T122,U122,V122)=4,N(V256)&lt;&gt;0),(S122+T122+U122+V122)/V256,""),"")</f>
        <v>0.249244655218572</v>
      </c>
      <c r="W353" s="258">
        <f>IFERROR(IF(AND(COUNT(S122,T122,U122,V122)=4,N(W256)&lt;&gt;0),(S122+T122+U122+V122)/W256,""),"")</f>
        <v>0.249244655218572</v>
      </c>
      <c r="X353" s="257">
        <f>IFERROR(IF(AND(COUNT(T122,U122,V122,X122)=4,N(X256)&lt;&gt;0),(T122+U122+V122+X122)/X256,""),"")</f>
        <v>0.327263969171484</v>
      </c>
      <c r="Y353" s="257">
        <f>IFERROR(IF(AND(COUNT(U122,V122,X122,Y122)=4,N(Y256)&lt;&gt;0),(U122+V122+X122+Y122)/Y256,""),"")</f>
        <v>0.329474989665151</v>
      </c>
      <c r="Z353" s="257">
        <f>IFERROR(IF(AND(COUNT(V122,X122,Y122,Z122)=4,N(Z256)&lt;&gt;0),(V122+X122+Y122+Z122)/Z256,""),"")</f>
        <v>0.311870290407248</v>
      </c>
      <c r="AA353" s="257">
        <f>IFERROR(IF(AND(COUNT(X122,Y122,Z122,AA122)=4,N(AA256)&lt;&gt;0),(X122+Y122+Z122+AA122)/AA256,""),"")</f>
        <v>0.309844178152223</v>
      </c>
      <c r="AB353" s="258">
        <f>IFERROR(IF(AND(COUNT(X122,Y122,Z122,AA122)=4,N(AB256)&lt;&gt;0),(X122+Y122+Z122+AA122)/AB256,""),"")</f>
        <v>0.309844178152223</v>
      </c>
      <c r="AC353" s="257">
        <f>IFERROR(IF(AND(COUNT(Y122,Z122,AA122,AC122)=4,N(AC256)&lt;&gt;0),(Y122+Z122+AA122+AC122)/AC256,""),"")</f>
        <v>0.297963013645072</v>
      </c>
      <c r="AD353" s="257">
        <f>IFERROR(IF(AND(COUNT(Z122,AA122,AC122,AD122)=4,N(AD256)&lt;&gt;0),(Z122+AA122+AC122+AD122)/AD256,""),"")</f>
        <v>0.289142857142857</v>
      </c>
      <c r="AE353" s="257">
        <f>IFERROR(IF(AND(COUNT(AA122,AC122,AD122,AE122)=4,N(AE256)&lt;&gt;0),(AA122+AC122+AD122+AE122)/AE256,""),"")</f>
        <v>0.277705390207105</v>
      </c>
      <c r="AF353" s="257">
        <f>IFERROR(IF(AND(COUNT(AB122,AD122,AE122,AF122)=4,N(AF256)&lt;&gt;0),(AB122+AD122+AE122+AF122)/AF256,""),"")</f>
        <v>0.464970464970465</v>
      </c>
      <c r="AG353" s="258">
        <f>IFERROR(IF(AND(COUNT(AC122,AD122,AE122,AF122)=4,N(AG256)&lt;&gt;0),(AC122+AD122+AE122+AF122)/AG256,""),"")</f>
        <v>0.273966273966274</v>
      </c>
      <c r="AH353" s="257">
        <f>IFERROR(IF(AND(COUNT(AD122,AF122,AG122,AH122)=4,N(AH256)&lt;&gt;0),(AD122+AF122+AG122+AH122)/AH256,""),"")</f>
        <v>0.443824601863683</v>
      </c>
      <c r="AI353" s="257">
        <f>IFERROR(IF(AND(COUNT(AE122,AG122,AH122,AI122)=4,N(AI256)&lt;&gt;0),(AE122+AG122+AH122+AI122)/AI256,""),"")</f>
        <v>0.451789071592706</v>
      </c>
      <c r="AJ353" s="257">
        <f>IFERROR(IF(AND(COUNT(AF122,AH122,AI122,AJ122)=4,N(AJ256)&lt;&gt;0),(AF122+AH122+AI122+AJ122)/AJ256,""),"")</f>
        <v>0.249340353228274</v>
      </c>
      <c r="AK353" s="257">
        <f>IFERROR(IF(AND(COUNT(AH122,AI122,AJ122,AK122)=4,N(AK256)&lt;&gt;0),(AH122+AI122+AJ122+AK122)/AK256,""),"")</f>
        <v>0.240542191796522</v>
      </c>
      <c r="AL353" s="258">
        <f>IFERROR(IF(AND(COUNT(AH122,AI122,AJ122,AK122)=4,N(AL256)&lt;&gt;0),(AH122+AI122+AJ122+AK122)/AL256,""),"")</f>
        <v>0.240542191796522</v>
      </c>
      <c r="AM353" s="257">
        <f>IFERROR(IF(AND(COUNT(AI122,AJ122,AK122,AM122)=4,N(AM256)&lt;&gt;0),(AI122+AJ122+AK122+AM122)/AM256,""),"")</f>
        <v>0.233281973903623</v>
      </c>
      <c r="AN353" s="257">
        <f>IFERROR(IF(AND(COUNT(AJ122,AK122,AM122,AN122)=4,N(AN256)&lt;&gt;0),(AJ122+AK122+AM122+AN122)/AN256,""),"")</f>
        <v>0.22370305347499</v>
      </c>
      <c r="AO353" s="257">
        <f>IFERROR(IF(AND(COUNT(AK122,AM122,AN122,AO122)=4,N(AO256)&lt;&gt;0),(AK122+AM122+AN122+AO122)/AO256,""),"")</f>
        <v>0.214298816223116</v>
      </c>
      <c r="AP353" s="257">
        <f>IFERROR(IF(AND(COUNT(AM122,AN122,AO122,AP122)=4,N(AP256)&lt;&gt;0),(AM122+AN122+AO122+AP122)/AP256,""),"")</f>
        <v>0.207782846922707</v>
      </c>
      <c r="AQ353" s="258">
        <f>IFERROR(IF(AND(COUNT(AM122,AN122,AO122,AP122)=4,N(AQ256)&lt;&gt;0),(AM122+AN122+AO122+AP122)/AQ256,""),"")</f>
        <v>0.207782846922707</v>
      </c>
      <c r="AR353" s="257">
        <f>IFERROR(IF(AND(COUNT(AN122,AO122,AP122,AR122)=4,N(AR256)&lt;&gt;0),(AN122+AO122+AP122+AR122)/AR256,""),"")</f>
        <v>0.201513136365131</v>
      </c>
      <c r="AS353" s="257">
        <f>IFERROR(IF(AND(COUNT(AO122,AP122,AR122,AS122)=4,N(AS256)&lt;&gt;0),(AO122+AP122+AR122+AS122)/AS256,""),"")</f>
        <v>0.195751820004602</v>
      </c>
      <c r="AT353" s="257">
        <f>IFERROR(IF(AND(COUNT(AP122,AR122,AS122,AT122)=4,N(AT256)&lt;&gt;0),(AP122+AR122+AS122+AT122)/AT256,""),"")</f>
        <v>0.188867583109235</v>
      </c>
      <c r="AU353" s="257">
        <f>IFERROR(IF(AND(COUNT(AR122,AS122,AT122,AU122)=4,N(AU256)&lt;&gt;0),(AR122+AS122+AT122+AU122)/AU256,""),"")</f>
        <v>0.184028129181359</v>
      </c>
      <c r="AV353" s="258">
        <f>IFERROR(IF(AND(COUNT(AR122,AS122,AT122,AU122)=4,N(AV256)&lt;&gt;0),(AR122+AS122+AT122+AU122)/AV256,""),"")</f>
        <v>0.184028129181359</v>
      </c>
      <c r="AW353" s="257">
        <f>IFERROR(IF(AND(COUNT(AS122,AT122,AU122,AW122)=4,N(AW256)&lt;&gt;0),(AS122+AT122+AU122+AW122)/AW256,""),"")</f>
        <v>0.179308254937842</v>
      </c>
      <c r="AX353" s="257">
        <f>IFERROR(IF(AND(COUNT(AT122,AU122,AW122,AX122)=4,N(AX256)&lt;&gt;0),(AT122+AU122+AW122+AX122)/AX256,""),"")</f>
        <v>0.174922704524007</v>
      </c>
      <c r="AY353" s="257">
        <f>IFERROR(IF(AND(COUNT(AU122,AW122,AX122,AY122)=4,N(AY256)&lt;&gt;0),(AU122+AW122+AX122+AY122)/AY256,""),"")</f>
        <v>0.169620521271675</v>
      </c>
      <c r="AZ353" s="257">
        <f>IFERROR(IF(AND(COUNT(AW122,AX122,AY122,AZ122)=4,N(AZ256)&lt;&gt;0),(AW122+AX122+AY122+AZ122)/AZ256,""),"")</f>
        <v>0.165852237155041</v>
      </c>
      <c r="BA353" s="258">
        <f>IFERROR(IF(AND(COUNT(AW122,AX122,AY122,AZ122)=4,N(BA256)&lt;&gt;0),(AW122+AX122+AY122+AZ122)/BA256,""),"")</f>
        <v>0.165852237155041</v>
      </c>
      <c r="BB353" s="257">
        <f>IFERROR(IF(AND(COUNT(AX122,AY122,AZ122,BB122)=4,N(BB256)&lt;&gt;0),(AX122+AY122+AZ122+BB122)/BB256,""),"")</f>
        <v>0.162137714875774</v>
      </c>
      <c r="BC353" s="257">
        <f>IFERROR(IF(AND(COUNT(AY122,AZ122,BB122,BC122)=4,N(BC256)&lt;&gt;0),(AY122+AZ122+BB122+BC122)/BC256,""),"")</f>
        <v>0.158656530814338</v>
      </c>
      <c r="BD353" s="257">
        <f>IFERROR(IF(AND(COUNT(AZ122,BB122,BC122,BD122)=4,N(BD256)&lt;&gt;0),(AZ122+BB122+BC122+BD122)/BD256,""),"")</f>
        <v>0.154408913654021</v>
      </c>
      <c r="BE353" s="257">
        <f>IFERROR(IF(AND(COUNT(BB122,BC122,BD122,BE122)=4,N(BE256)&lt;&gt;0),(BB122+BC122+BD122+BE122)/BE256,""),"")</f>
        <v>0.151363947829426</v>
      </c>
      <c r="BF353" s="258">
        <f>IFERROR(IF(AND(COUNT(BB122,BC122,BD122,BE122)=4,N(BF256)&lt;&gt;0),(BB122+BC122+BD122+BE122)/BF256,""),"")</f>
        <v>0.151363947829426</v>
      </c>
      <c r="BG353" s="81" t="n"/>
      <c r="BH353" s="81" t="n"/>
      <c r="BI353" s="81" t="n"/>
      <c r="BJ353" s="81" t="n"/>
      <c r="BL353" s="81" t="n"/>
      <c r="BM353" s="81" t="n"/>
      <c r="BN353" s="81" t="n"/>
      <c r="BO353" s="81" t="n"/>
      <c r="BQ353" s="81" t="n"/>
      <c r="BR353" s="81" t="n"/>
      <c r="BS353" s="81" t="n"/>
      <c r="BT353" s="81" t="n"/>
      <c r="BV353" s="81" t="n"/>
      <c r="BW353" s="81" t="n"/>
      <c r="BX353" s="81" t="n"/>
      <c r="BY353" s="81" t="n"/>
      <c r="CA353" s="81" t="n"/>
      <c r="CB353" s="81" t="n"/>
      <c r="CC353" s="81" t="n"/>
      <c r="CD353" s="81" t="n"/>
      <c r="CF353" s="81" t="n"/>
      <c r="CG353" s="81" t="n"/>
      <c r="CH353" s="81" t="n"/>
      <c r="CI353" s="81" t="n"/>
      <c r="CK353" s="81" t="n"/>
      <c r="CL353" s="81" t="n"/>
      <c r="CM353" s="81" t="n"/>
      <c r="CN353" s="81" t="n"/>
      <c r="CP353" s="81" t="n"/>
      <c r="CQ353" s="81" t="n"/>
      <c r="CR353" s="81" t="n"/>
      <c r="CS353" s="81" t="n"/>
      <c r="CU353" s="81" t="n"/>
      <c r="CV353" s="81" t="n"/>
      <c r="CW353" s="81" t="n"/>
      <c r="CX353" s="81" t="n"/>
    </row>
    <row r="354"/>
    <row r="355">
      <c r="C355" s="73" t="inlineStr">
        <is>
          <t>Scenario Analysis</t>
        </is>
      </c>
      <c r="D355" s="73" t="n"/>
      <c r="E355" s="73" t="n"/>
      <c r="F355" s="73" t="n"/>
      <c r="G355" s="73" t="n"/>
      <c r="H355" s="73" t="n"/>
      <c r="I355" s="73" t="n"/>
      <c r="J355" s="73" t="n"/>
      <c r="K355" s="73" t="n"/>
      <c r="L355" s="73" t="n"/>
      <c r="M355" s="73" t="n"/>
      <c r="N355" s="73" t="n"/>
      <c r="O355" s="73" t="n"/>
      <c r="P355" s="73" t="n"/>
      <c r="Q355" s="73" t="n"/>
      <c r="R355" s="73" t="n"/>
      <c r="S355" s="73" t="n"/>
      <c r="T355" s="73" t="n"/>
      <c r="U355" s="73" t="n"/>
      <c r="V355" s="73" t="n"/>
      <c r="W355" s="73" t="n"/>
      <c r="X355" s="73" t="n"/>
      <c r="Y355" s="73" t="n"/>
      <c r="Z355" s="73" t="n"/>
      <c r="AA355" s="73" t="n"/>
      <c r="AB355" s="73" t="n"/>
      <c r="AC355" s="73" t="n"/>
      <c r="AD355" s="73" t="n"/>
      <c r="AE355" s="73" t="n"/>
      <c r="AF355" s="73" t="n"/>
      <c r="AG355" s="73" t="n"/>
      <c r="AH355" s="73" t="n"/>
      <c r="AI355" s="73" t="n"/>
      <c r="AJ355" s="73" t="n"/>
      <c r="AK355" s="73" t="n"/>
      <c r="AL355" s="73" t="n"/>
      <c r="AM355" s="73" t="n"/>
      <c r="AN355" s="73" t="n"/>
      <c r="AO355" s="73" t="n"/>
      <c r="AP355" s="73" t="n"/>
      <c r="AQ355" s="73" t="n"/>
      <c r="AR355" s="73" t="n"/>
      <c r="AS355" s="73" t="n"/>
      <c r="AT355" s="73" t="n"/>
      <c r="AU355" s="73" t="n"/>
      <c r="AV355" s="73" t="n"/>
      <c r="AW355" s="73" t="n"/>
      <c r="AX355" s="73" t="n"/>
      <c r="AY355" s="73" t="n"/>
      <c r="AZ355" s="73" t="n"/>
      <c r="BA355" s="73" t="n"/>
      <c r="BB355" s="73" t="n"/>
      <c r="BC355" s="73" t="n"/>
      <c r="BD355" s="73" t="n"/>
      <c r="BE355" s="73" t="n"/>
      <c r="BF355" s="73" t="n"/>
      <c r="BG355" s="73" t="n"/>
      <c r="BH355" s="73" t="n"/>
      <c r="BI355" s="73" t="n"/>
      <c r="BJ355" s="73" t="n"/>
      <c r="BK355" s="73" t="n"/>
      <c r="BL355" s="73" t="n"/>
      <c r="BM355" s="73" t="n"/>
      <c r="BN355" s="73" t="n"/>
      <c r="BO355" s="73" t="n"/>
      <c r="BP355" s="73" t="n"/>
      <c r="BQ355" s="73" t="n"/>
      <c r="BR355" s="73" t="n"/>
      <c r="BS355" s="73" t="n"/>
      <c r="BT355" s="73" t="n"/>
      <c r="BU355" s="73" t="n"/>
      <c r="BV355" s="73" t="n"/>
      <c r="BW355" s="73" t="n"/>
      <c r="BX355" s="73" t="n"/>
      <c r="BY355" s="73" t="n"/>
      <c r="BZ355" s="73" t="n"/>
      <c r="CA355" s="73" t="n"/>
      <c r="CB355" s="73" t="n"/>
      <c r="CC355" s="73" t="n"/>
      <c r="CD355" s="73" t="n"/>
      <c r="CE355" s="73" t="n"/>
      <c r="CF355" s="73" t="n"/>
      <c r="CG355" s="73" t="n"/>
      <c r="CH355" s="73" t="n"/>
      <c r="CI355" s="73" t="n"/>
      <c r="CJ355" s="73" t="n"/>
      <c r="CK355" s="73" t="n"/>
      <c r="CL355" s="73" t="n"/>
      <c r="CM355" s="73" t="n"/>
      <c r="CN355" s="73" t="n"/>
      <c r="CO355" s="73" t="n"/>
      <c r="CP355" s="73" t="n"/>
      <c r="CQ355" s="73" t="n"/>
      <c r="CR355" s="73" t="n"/>
      <c r="CS355" s="73" t="n"/>
      <c r="CT355" s="73" t="n"/>
      <c r="CU355" s="73" t="n"/>
      <c r="CV355" s="73" t="n"/>
      <c r="CW355" s="73" t="n"/>
      <c r="CX355" s="73" t="n"/>
      <c r="CY355" s="73" t="n"/>
    </row>
    <row r="356"/>
    <row r="357"/>
    <row r="358">
      <c r="C358" s="4" t="inlineStr">
        <is>
          <t>Bull case</t>
        </is>
      </c>
    </row>
    <row r="359">
      <c r="C359" s="4" t="inlineStr">
        <is>
          <t>Base case</t>
        </is>
      </c>
    </row>
    <row r="360">
      <c r="C360" s="4" t="inlineStr">
        <is>
          <t>Bear case</t>
        </is>
      </c>
    </row>
    <row r="361"/>
    <row r="362"/>
    <row r="363">
      <c r="C363" s="4" t="inlineStr">
        <is>
          <t>Bull case</t>
        </is>
      </c>
    </row>
    <row r="364">
      <c r="C364" s="4" t="inlineStr">
        <is>
          <t>Base case</t>
        </is>
      </c>
    </row>
    <row r="365">
      <c r="C365" s="4" t="inlineStr">
        <is>
          <t>Bear case</t>
        </is>
      </c>
    </row>
    <row r="366"/>
    <row r="367"/>
    <row r="368">
      <c r="C368" s="4" t="inlineStr">
        <is>
          <t>% Gross Margin</t>
        </is>
      </c>
    </row>
    <row r="369">
      <c r="C369" s="4" t="inlineStr">
        <is>
          <t>Bull case</t>
        </is>
      </c>
    </row>
    <row r="370">
      <c r="C370" s="4" t="inlineStr">
        <is>
          <t>Base case</t>
        </is>
      </c>
    </row>
    <row r="371">
      <c r="C371" s="4" t="inlineStr">
        <is>
          <t>Bear case</t>
        </is>
      </c>
    </row>
    <row r="372"/>
    <row r="373"/>
    <row r="374">
      <c r="C374" s="4" t="inlineStr">
        <is>
          <t>Capital expenditures</t>
        </is>
      </c>
    </row>
    <row r="375">
      <c r="C375" s="4" t="inlineStr">
        <is>
          <t>Bull case</t>
        </is>
      </c>
    </row>
    <row r="376">
      <c r="C376" s="4" t="inlineStr">
        <is>
          <t>Base case</t>
        </is>
      </c>
    </row>
    <row r="377">
      <c r="C377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00:G300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00:L300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00:Q300">
    <cfRule type="cellIs" priority="22" operator="notEqual" dxfId="0">
      <formula>0</formula>
    </cfRule>
  </conditionalFormatting>
  <conditionalFormatting sqref="S300:V300">
    <cfRule type="cellIs" priority="21" operator="notEqual" dxfId="0">
      <formula>0</formula>
    </cfRule>
  </conditionalFormatting>
  <conditionalFormatting sqref="X300:AA300">
    <cfRule type="cellIs" priority="20" operator="notEqual" dxfId="0">
      <formula>0</formula>
    </cfRule>
  </conditionalFormatting>
  <conditionalFormatting sqref="AC300:AF300">
    <cfRule type="cellIs" priority="19" operator="notEqual" dxfId="0">
      <formula>0</formula>
    </cfRule>
  </conditionalFormatting>
  <conditionalFormatting sqref="AH300:AK300">
    <cfRule type="cellIs" priority="15" operator="notEqual" dxfId="0">
      <formula>0</formula>
    </cfRule>
  </conditionalFormatting>
  <conditionalFormatting sqref="AM300:AP300">
    <cfRule type="cellIs" priority="14" operator="notEqual" dxfId="0">
      <formula>0</formula>
    </cfRule>
  </conditionalFormatting>
  <conditionalFormatting sqref="AR300:AU300">
    <cfRule type="cellIs" priority="13" operator="notEqual" dxfId="0">
      <formula>0</formula>
    </cfRule>
  </conditionalFormatting>
  <conditionalFormatting sqref="AW300:AZ300">
    <cfRule type="cellIs" priority="12" operator="notEqual" dxfId="0">
      <formula>0</formula>
    </cfRule>
  </conditionalFormatting>
  <conditionalFormatting sqref="BB300:BE300">
    <cfRule type="cellIs" priority="11" operator="notEqual" dxfId="0">
      <formula>0</formula>
    </cfRule>
  </conditionalFormatting>
  <conditionalFormatting sqref="BG300:BJ300">
    <cfRule type="cellIs" priority="10" operator="notEqual" dxfId="0">
      <formula>0</formula>
    </cfRule>
  </conditionalFormatting>
  <conditionalFormatting sqref="BL300:BO300">
    <cfRule type="cellIs" priority="9" operator="notEqual" dxfId="0">
      <formula>0</formula>
    </cfRule>
  </conditionalFormatting>
  <conditionalFormatting sqref="BQ300:BT300">
    <cfRule type="cellIs" priority="8" operator="notEqual" dxfId="0">
      <formula>0</formula>
    </cfRule>
  </conditionalFormatting>
  <conditionalFormatting sqref="BV300:BY300">
    <cfRule type="cellIs" priority="7" operator="notEqual" dxfId="0">
      <formula>0</formula>
    </cfRule>
  </conditionalFormatting>
  <conditionalFormatting sqref="CA300:CD300">
    <cfRule type="cellIs" priority="6" operator="notEqual" dxfId="0">
      <formula>0</formula>
    </cfRule>
  </conditionalFormatting>
  <conditionalFormatting sqref="CF300:CI300">
    <cfRule type="cellIs" priority="5" operator="notEqual" dxfId="0">
      <formula>0</formula>
    </cfRule>
  </conditionalFormatting>
  <conditionalFormatting sqref="CK300:CN300">
    <cfRule type="cellIs" priority="4" operator="notEqual" dxfId="0">
      <formula>0</formula>
    </cfRule>
  </conditionalFormatting>
  <conditionalFormatting sqref="CP300:CS300">
    <cfRule type="cellIs" priority="3" operator="notEqual" dxfId="0">
      <formula>0</formula>
    </cfRule>
  </conditionalFormatting>
  <conditionalFormatting sqref="CU300:CX300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COST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245652</v>
      </c>
      <c r="E18" s="113">
        <f>IFERROR(Model!AB15,"")</f>
        <v>258805</v>
      </c>
      <c r="F18" s="113">
        <f>IFERROR(Model!AG15,"")</f>
        <v>280391</v>
      </c>
      <c r="G18" s="113">
        <f>IFERROR(Model!AL15,"")</f>
        <v>307463.704218434</v>
      </c>
      <c r="H18" s="113">
        <f>IFERROR(Model!AQ15,"")</f>
        <v>335265.733902093</v>
      </c>
      <c r="I18" s="113">
        <f>IFERROR(Model!AV15,"")</f>
        <v>363905.399471817</v>
      </c>
      <c r="J18" s="113">
        <f>IFERROR(Model!BA15,"")</f>
        <v>393172.046473179</v>
      </c>
      <c r="K18" s="113">
        <f>IFERROR(Model!BF15,"")</f>
        <v>422826.567558692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0.0535432237474149</v>
      </c>
      <c r="F19" s="117">
        <f>IFERROR(IF(E18=0,"",F18/E18-1),"")</f>
        <v>0.0834064256872935</v>
      </c>
      <c r="G19" s="117">
        <f>IFERROR(IF(F18=0,"",G18/F18-1),"")</f>
        <v>0.0965533994259238</v>
      </c>
      <c r="H19" s="117">
        <f>IFERROR(IF(G18=0,"",H18/G18-1),"")</f>
        <v>0.0904237778385288</v>
      </c>
      <c r="I19" s="117">
        <f>IFERROR(IF(H18=0,"",I18/H18-1),"")</f>
        <v>0.0854237778385287</v>
      </c>
      <c r="J19" s="117">
        <f>IFERROR(IF(I18=0,"",J18/I18-1),"")</f>
        <v>0.0804237778385286</v>
      </c>
      <c r="K19" s="117">
        <f>IFERROR(IF(J18=0,"",K18/J18-1),"")</f>
        <v>0.0754237778385289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IFERROR(Model!W54,"")</f>
        <v>10478</v>
      </c>
      <c r="E20" s="113">
        <f>IFERROR(Model!AB54,"")</f>
        <v>11781</v>
      </c>
      <c r="F20" s="113">
        <f>IFERROR(Model!AG54,"")</f>
        <v>13125</v>
      </c>
      <c r="G20" s="113">
        <f>IFERROR(Model!AL54,"")</f>
        <v>14463.1071696191</v>
      </c>
      <c r="H20" s="113">
        <f>IFERROR(Model!AQ54,"")</f>
        <v>15723.7125657282</v>
      </c>
      <c r="I20" s="113">
        <f>IFERROR(Model!AV54,"")</f>
        <v>17066.8914947399</v>
      </c>
      <c r="J20" s="113">
        <f>IFERROR(Model!BA54,"")</f>
        <v>18439.4753847071</v>
      </c>
      <c r="K20" s="113">
        <f>IFERROR(Model!BF54,"")</f>
        <v>19830.2502795823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0.0426538355071402</v>
      </c>
      <c r="E21" s="122">
        <f>IFERROR(IF(E18=0,"",E20/E18),"")</f>
        <v>0.0455207588725102</v>
      </c>
      <c r="F21" s="122">
        <f>IFERROR(IF(F18=0,"",F20/F18),"")</f>
        <v>0.046809633690097</v>
      </c>
      <c r="G21" s="122">
        <f>IFERROR(IF(G18=0,"",G20/G18),"")</f>
        <v>0.0470400472354421</v>
      </c>
      <c r="H21" s="122">
        <f>IFERROR(IF(H18=0,"",H20/H18),"")</f>
        <v>0.0468992532661271</v>
      </c>
      <c r="I21" s="122">
        <f>IFERROR(IF(I18=0,"",I20/I18),"")</f>
        <v>0.046899253266127</v>
      </c>
      <c r="J21" s="122">
        <f>IFERROR(IF(J18=0,"",J20/J18),"")</f>
        <v>0.0468992532661271</v>
      </c>
      <c r="K21" s="122">
        <f>IFERROR(IF(K18=0,"",K20/K18),"")</f>
        <v>0.046899253266127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IFERROR(Model!W58,"")</f>
        <v>8347</v>
      </c>
      <c r="E22" s="113">
        <f>IFERROR(Model!AB58,"")</f>
        <v>9497</v>
      </c>
      <c r="F22" s="113">
        <f>IFERROR(Model!AG58,"")</f>
        <v>10650</v>
      </c>
      <c r="G22" s="113">
        <f>IFERROR(Model!AL58,"")</f>
        <v>11810.6778541344</v>
      </c>
      <c r="H22" s="113">
        <f>IFERROR(Model!AQ58,"")</f>
        <v>12801.7438848105</v>
      </c>
      <c r="I22" s="113">
        <f>IFERROR(Model!AV58,"")</f>
        <v>13895.3172103722</v>
      </c>
      <c r="J22" s="113">
        <f>IFERROR(Model!BA58,"")</f>
        <v>15012.8311146951</v>
      </c>
      <c r="K22" s="113">
        <f>IFERROR(Model!BF58,"")</f>
        <v>16145.1555534172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0.0339789621089997</v>
      </c>
      <c r="E23" s="122">
        <f>IFERROR(IF(E18=0,"",E22/E18),"")</f>
        <v>0.036695581615502</v>
      </c>
      <c r="F23" s="122">
        <f>IFERROR(IF(F18=0,"",F22/F18),"")</f>
        <v>0.0379826741942502</v>
      </c>
      <c r="G23" s="122">
        <f>IFERROR(IF(G18=0,"",G22/G18),"")</f>
        <v>0.0384132425781993</v>
      </c>
      <c r="H23" s="122">
        <f>IFERROR(IF(H18=0,"",H22/H18),"")</f>
        <v>0.0381838720462525</v>
      </c>
      <c r="I23" s="122">
        <f>IFERROR(IF(I18=0,"",I22/I18),"")</f>
        <v>0.0381838720462525</v>
      </c>
      <c r="J23" s="122">
        <f>IFERROR(IF(J18=0,"",J22/J18),"")</f>
        <v>0.0381838720462525</v>
      </c>
      <c r="K23" s="122">
        <f>IFERROR(IF(K18=0,"",K22/K18),"")</f>
        <v>0.0381838720462525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IFERROR(Model!W117,"")</f>
        <v>0.261362348407571</v>
      </c>
      <c r="E24" s="125">
        <f>IFERROR(Model!AB117,"")</f>
        <v>0.237826961770624</v>
      </c>
      <c r="F24" s="125">
        <f>IFERROR(Model!AG117,"")</f>
        <v>0.251735015772871</v>
      </c>
      <c r="G24" s="125">
        <f>IFERROR(Model!AL117,"")</f>
        <v>0.252471534774714</v>
      </c>
      <c r="H24" s="125">
        <f>IFERROR(Model!AQ117,"")</f>
        <v>0.251987884813401</v>
      </c>
      <c r="I24" s="125">
        <f>IFERROR(Model!AV117,"")</f>
        <v>0.251987884813401</v>
      </c>
      <c r="J24" s="125">
        <f>IFERROR(Model!BA117,"")</f>
        <v>0.251987884813401</v>
      </c>
      <c r="K24" s="125">
        <f>IFERROR(Model!BF117,"")</f>
        <v>0.251987884813401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6165.408477842</v>
      </c>
      <c r="E25" s="127">
        <f>IFERROR(E22*(1-E24),"")</f>
        <v>7238.35734406439</v>
      </c>
      <c r="F25" s="127">
        <f>IFERROR(F22*(1-F24),"")</f>
        <v>7969.02208201893</v>
      </c>
      <c r="G25" s="127">
        <f>IFERROR(G22*(1-G24),"")</f>
        <v>8828.81788957138</v>
      </c>
      <c r="H25" s="127">
        <f>IFERROR(H22*(1-H24),"")</f>
        <v>9575.85952135417</v>
      </c>
      <c r="I25" s="127">
        <f>IFERROR(I22*(1-I24),"")</f>
        <v>10393.8656177193</v>
      </c>
      <c r="J25" s="127">
        <f>IFERROR(J22*(1-J24),"")</f>
        <v>11229.7795570423</v>
      </c>
      <c r="K25" s="127">
        <f>IFERROR(K22*(1-K24),"")</f>
        <v>12076.7719555283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IFERROR(-Model!W55,"")</f>
        <v>2131</v>
      </c>
      <c r="E26" s="130">
        <f>IFERROR(-Model!AB55,"")</f>
        <v>2284</v>
      </c>
      <c r="F26" s="130">
        <f>IFERROR(-Model!AG55,"")</f>
        <v>2475</v>
      </c>
      <c r="G26" s="130">
        <f>IFERROR(-Model!AL55,"")</f>
        <v>2652.42931548471</v>
      </c>
      <c r="H26" s="130">
        <f>IFERROR(-Model!AQ55,"")</f>
        <v>2921.96868091777</v>
      </c>
      <c r="I26" s="130">
        <f>IFERROR(-Model!AV55,"")</f>
        <v>3171.57428436763</v>
      </c>
      <c r="J26" s="130">
        <f>IFERROR(-Model!BA55,"")</f>
        <v>3426.644270012</v>
      </c>
      <c r="K26" s="130">
        <f>IFERROR(-Model!BF55,"")</f>
        <v>3685.09472616506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IFERROR(Model!W264,"")</f>
        <v>2953</v>
      </c>
      <c r="E27" s="133">
        <f>IFERROR(Model!AB264,"")</f>
        <v>-879</v>
      </c>
      <c r="F27" s="133">
        <f>IFERROR(Model!AG264,"")</f>
        <v>2984</v>
      </c>
      <c r="G27" s="133">
        <f>IFERROR(Model!AL264,"")</f>
        <v>1919.34521153266</v>
      </c>
      <c r="H27" s="133">
        <f>IFERROR(Model!AQ264,"")</f>
        <v>3855.18611679523</v>
      </c>
      <c r="I27" s="133">
        <f>IFERROR(Model!AV264,"")</f>
        <v>5159.17474698113</v>
      </c>
      <c r="J27" s="133">
        <f>IFERROR(Model!BA264,"")</f>
        <v>6738.36914158903</v>
      </c>
      <c r="K27" s="133">
        <f>IFERROR(Model!BF264,"")</f>
        <v>8591.25236150643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IFERROR(Model!W265,"")</f>
        <v>-230</v>
      </c>
      <c r="E28" s="136">
        <f>IFERROR(Model!AB265,"")</f>
        <v>-421</v>
      </c>
      <c r="F28" s="136">
        <f>IFERROR(Model!AG265,"")</f>
        <v>-268</v>
      </c>
      <c r="G28" s="136">
        <f>IFERROR(Model!AL265,"")</f>
        <v>-229.521917178889</v>
      </c>
      <c r="H28" s="136">
        <f>IFERROR(Model!AQ265,"")</f>
        <v>-312.913465044344</v>
      </c>
      <c r="I28" s="136">
        <f>IFERROR(Model!AV265,"")</f>
        <v>-322.341105779082</v>
      </c>
      <c r="J28" s="136">
        <f>IFERROR(Model!BA265,"")</f>
        <v>-329.397818347367</v>
      </c>
      <c r="K28" s="136">
        <f>IFERROR(Model!BF265,"")</f>
        <v>-333.763363778885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IFERROR(Model!W266,"")</f>
        <v>570</v>
      </c>
      <c r="E29" s="136">
        <f>IFERROR(Model!AB266,"")</f>
        <v>-2978</v>
      </c>
      <c r="F29" s="136">
        <f>IFERROR(Model!AG266,"")</f>
        <v>-162</v>
      </c>
      <c r="G29" s="136">
        <f>IFERROR(Model!AL266,"")</f>
        <v>1046.25297366958</v>
      </c>
      <c r="H29" s="136">
        <f>IFERROR(Model!AQ266,"")</f>
        <v>-1817.04294083034</v>
      </c>
      <c r="I29" s="136">
        <f>IFERROR(Model!AV266,"")</f>
        <v>-1871.78787819924</v>
      </c>
      <c r="J29" s="136">
        <f>IFERROR(Model!BA266,"")</f>
        <v>-1912.76518084059</v>
      </c>
      <c r="K29" s="136">
        <f>IFERROR(Model!BF266,"")</f>
        <v>-1938.11526767078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IFERROR(Model!W267,"")</f>
        <v>0</v>
      </c>
      <c r="E30" s="136">
        <f>IFERROR(Model!AB267,"")</f>
        <v>0</v>
      </c>
      <c r="F30" s="136">
        <f>IFERROR(Model!AG267,"")</f>
        <v>0</v>
      </c>
      <c r="G30" s="136">
        <f>IFERROR(Model!AL267,"")</f>
        <v>0</v>
      </c>
      <c r="H30" s="136">
        <f>IFERROR(Model!AQ267,"")</f>
        <v>0</v>
      </c>
      <c r="I30" s="136">
        <f>IFERROR(Model!AV267,"")</f>
        <v>0</v>
      </c>
      <c r="J30" s="136">
        <f>IFERROR(Model!BA267,"")</f>
        <v>0</v>
      </c>
      <c r="K30" s="136">
        <f>IFERROR(Model!BF267,"")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IFERROR(Model!W268,"")</f>
        <v>0</v>
      </c>
      <c r="E31" s="136">
        <f>IFERROR(Model!AB268,"")</f>
        <v>0</v>
      </c>
      <c r="F31" s="136">
        <f>IFERROR(Model!AG268,"")</f>
        <v>0</v>
      </c>
      <c r="G31" s="136">
        <f>IFERROR(Model!AL268,"")</f>
        <v>0</v>
      </c>
      <c r="H31" s="136">
        <f>IFERROR(Model!AQ268,"")</f>
        <v>0</v>
      </c>
      <c r="I31" s="136">
        <f>IFERROR(Model!AV268,"")</f>
        <v>0</v>
      </c>
      <c r="J31" s="136">
        <f>IFERROR(Model!BA268,"")</f>
        <v>0</v>
      </c>
      <c r="K31" s="136">
        <f>IFERROR(Model!BF268,"")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IFERROR(Model!W269,"")</f>
        <v>-79</v>
      </c>
      <c r="E32" s="136">
        <f>IFERROR(Model!AB269,"")</f>
        <v>-81</v>
      </c>
      <c r="F32" s="136">
        <f>IFERROR(Model!AG269,"")</f>
        <v>-102</v>
      </c>
      <c r="G32" s="136">
        <f>IFERROR(Model!AL269,"")</f>
        <v>-157</v>
      </c>
      <c r="H32" s="136">
        <f>IFERROR(Model!AQ269,"")</f>
        <v>0</v>
      </c>
      <c r="I32" s="136">
        <f>IFERROR(Model!AV269,"")</f>
        <v>0</v>
      </c>
      <c r="J32" s="136">
        <f>IFERROR(Model!BA269,"")</f>
        <v>0</v>
      </c>
      <c r="K32" s="136">
        <f>IFERROR(Model!BF269,"")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IFERROR(Model!W270,"")</f>
        <v>2009</v>
      </c>
      <c r="E33" s="136">
        <f>IFERROR(Model!AB270,"")</f>
        <v>1436</v>
      </c>
      <c r="F33" s="136">
        <f>IFERROR(Model!AG270,"")</f>
        <v>1720</v>
      </c>
      <c r="G33" s="136">
        <f>IFERROR(Model!AL270,"")</f>
        <v>-1753.95595369898</v>
      </c>
      <c r="H33" s="136">
        <f>IFERROR(Model!AQ270,"")</f>
        <v>1967.53496482149</v>
      </c>
      <c r="I33" s="136">
        <f>IFERROR(Model!AV270,"")</f>
        <v>2026.81401431443</v>
      </c>
      <c r="J33" s="136">
        <f>IFERROR(Model!BA270,"")</f>
        <v>2071.18515926606</v>
      </c>
      <c r="K33" s="136">
        <f>IFERROR(Model!BF270,"")</f>
        <v>2098.63480345382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IFERROR(Model!W271,"")</f>
        <v>405</v>
      </c>
      <c r="E34" s="136">
        <f>IFERROR(Model!AB271,"")</f>
        <v>548</v>
      </c>
      <c r="F34" s="136">
        <f>IFERROR(Model!AG271,"")</f>
        <v>655</v>
      </c>
      <c r="G34" s="136">
        <f>IFERROR(Model!AL271,"")</f>
        <v>1825.57010874095</v>
      </c>
      <c r="H34" s="136">
        <f>IFERROR(Model!AQ271,"")</f>
        <v>4017.60755784843</v>
      </c>
      <c r="I34" s="136">
        <f>IFERROR(Model!AV271,"")</f>
        <v>5326.48971664503</v>
      </c>
      <c r="J34" s="136">
        <f>IFERROR(Model!BA271,"")</f>
        <v>6909.34698151093</v>
      </c>
      <c r="K34" s="136">
        <f>IFERROR(Model!BF271,"")</f>
        <v>8764.49618950228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IFERROR(Model!W272,"")</f>
        <v>0</v>
      </c>
      <c r="E35" s="136">
        <f>IFERROR(Model!AB272,"")</f>
        <v>0</v>
      </c>
      <c r="F35" s="136">
        <f>IFERROR(Model!AG272,"")</f>
        <v>0</v>
      </c>
      <c r="G35" s="136">
        <f>IFERROR(Model!AL272,"")</f>
        <v>0</v>
      </c>
      <c r="H35" s="136">
        <f>IFERROR(Model!AQ272,"")</f>
        <v>0</v>
      </c>
      <c r="I35" s="136">
        <f>IFERROR(Model!AV272,"")</f>
        <v>0</v>
      </c>
      <c r="J35" s="136">
        <f>IFERROR(Model!BA272,"")</f>
        <v>0</v>
      </c>
      <c r="K35" s="136">
        <f>IFERROR(Model!BF272,"")</f>
        <v>0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IFERROR(Model!W273,"")</f>
        <v>278</v>
      </c>
      <c r="E36" s="136">
        <f>IFERROR(Model!AB273,"")</f>
        <v>617</v>
      </c>
      <c r="F36" s="136">
        <f>IFERROR(Model!AG273,"")</f>
        <v>1141</v>
      </c>
      <c r="G36" s="136">
        <f>IFERROR(Model!AL273,"")</f>
        <v>1188</v>
      </c>
      <c r="H36" s="136">
        <f>IFERROR(Model!AQ273,"")</f>
        <v>0</v>
      </c>
      <c r="I36" s="136">
        <f>IFERROR(Model!AV273,"")</f>
        <v>0</v>
      </c>
      <c r="J36" s="136">
        <f>IFERROR(Model!BA273,"")</f>
        <v>0</v>
      </c>
      <c r="K36" s="136">
        <f>IFERROR(Model!BF273,"")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IFERROR(Model!W274,"")</f>
        <v>0</v>
      </c>
      <c r="E37" s="136">
        <f>IFERROR(Model!AB274,"")</f>
        <v>0</v>
      </c>
      <c r="F37" s="136">
        <f>IFERROR(Model!AG274,"")</f>
        <v>0</v>
      </c>
      <c r="G37" s="136">
        <f>IFERROR(Model!AL274,"")</f>
        <v>0</v>
      </c>
      <c r="H37" s="136">
        <f>IFERROR(Model!AQ274,"")</f>
        <v>0</v>
      </c>
      <c r="I37" s="136">
        <f>IFERROR(Model!AV274,"")</f>
        <v>0</v>
      </c>
      <c r="J37" s="136">
        <f>IFERROR(Model!BA274,"")</f>
        <v>0</v>
      </c>
      <c r="K37" s="136">
        <f>IFERROR(Model!BF274,"")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IFERROR((Model!W174-Model!R174)*-1,"")</f>
        <v>143</v>
      </c>
      <c r="E38" s="136">
        <f>IFERROR((Model!AB174-Model!W174)*-1,"")</f>
        <v>-185</v>
      </c>
      <c r="F38" s="136">
        <f>IFERROR((Model!AG174-Model!AB174)*-1,"")</f>
        <v>-45</v>
      </c>
      <c r="G38" s="136">
        <f>IFERROR((Model!AL174-Model!AG174)*-1,"")</f>
        <v>-180</v>
      </c>
      <c r="H38" s="136">
        <f>IFERROR((Model!AQ174-Model!AL174)*-1,"")</f>
        <v>0</v>
      </c>
      <c r="I38" s="136">
        <f>IFERROR((Model!AV174-Model!AQ174)*-1,"")</f>
        <v>0</v>
      </c>
      <c r="J38" s="136">
        <f>IFERROR((Model!BA174-Model!AV174)*-1,"")</f>
        <v>0</v>
      </c>
      <c r="K38" s="136">
        <f>IFERROR((Model!BF174-Model!BA174)*-1,"")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IFERROR(Model!W225-Model!R225,"")</f>
        <v>32</v>
      </c>
      <c r="E39" s="136">
        <f>IFERROR(Model!AB225-Model!W225,"")</f>
        <v>72</v>
      </c>
      <c r="F39" s="136">
        <f>IFERROR(Model!AG225-Model!AB225,"")</f>
        <v>-33</v>
      </c>
      <c r="G39" s="136">
        <f>IFERROR(Model!AL225-Model!AG225,"")</f>
        <v>80</v>
      </c>
      <c r="H39" s="136">
        <f>IFERROR(Model!AQ225-Model!AL225,"")</f>
        <v>0</v>
      </c>
      <c r="I39" s="136">
        <f>IFERROR(Model!AV225-Model!AQ225,"")</f>
        <v>0</v>
      </c>
      <c r="J39" s="136">
        <f>IFERROR(Model!BA225-Model!AV225,"")</f>
        <v>0</v>
      </c>
      <c r="K39" s="136">
        <f>IFERROR(Model!BF225-Model!BA225,"")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IFERROR(Model!W280,"")</f>
        <v>-4155</v>
      </c>
      <c r="E40" s="136">
        <f>IFERROR(Model!AB280,"")</f>
        <v>-4452</v>
      </c>
      <c r="F40" s="136">
        <f>IFERROR(Model!AG280,"")</f>
        <v>-5755</v>
      </c>
      <c r="G40" s="136">
        <f>IFERROR(Model!AL280,"")</f>
        <v>-6303.62972447645</v>
      </c>
      <c r="H40" s="136">
        <f>IFERROR(Model!AQ280,"")</f>
        <v>-6877.28670948588</v>
      </c>
      <c r="I40" s="136">
        <f>IFERROR(Model!AV280,"")</f>
        <v>-7464.77052148887</v>
      </c>
      <c r="J40" s="136">
        <f>IFERROR(Model!BA280,"")</f>
        <v>-8065.11556752469</v>
      </c>
      <c r="K40" s="136">
        <f>IFERROR(Model!BF280,"")</f>
        <v>-8673.41705233173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929</v>
      </c>
      <c r="E44" s="133">
        <f>IFERROR(SUM(E27,E40:E42,E26),"")</f>
        <v>-3047</v>
      </c>
      <c r="F44" s="133">
        <f>IFERROR(SUM(F27,F40:F42,F26),"")</f>
        <v>-296</v>
      </c>
      <c r="G44" s="133">
        <f>IFERROR(SUM(G27,G40:G42,G26),"")</f>
        <v>-1731.85519745908</v>
      </c>
      <c r="H44" s="133">
        <f>IFERROR(SUM(H27,H40:H42,H26),"")</f>
        <v>-100.131911772884</v>
      </c>
      <c r="I44" s="133">
        <f>IFERROR(SUM(I27,I40:I42,I26),"")</f>
        <v>865.978509859895</v>
      </c>
      <c r="J44" s="133">
        <f>IFERROR(SUM(J27,J40:J42,J26),"")</f>
        <v>2099.89784407635</v>
      </c>
      <c r="K44" s="133">
        <f>IFERROR(SUM(K27,K40:K42,K26),"")</f>
        <v>3602.93003533975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IFERROR(Model!W335,"")</f>
        <v>17630</v>
      </c>
      <c r="E46" s="136">
        <f>IFERROR(Model!AB335,"")</f>
        <v>20657</v>
      </c>
      <c r="F46" s="136">
        <f>IFERROR(Model!AG335,"")</f>
        <v>21222</v>
      </c>
      <c r="G46" s="136">
        <f>IFERROR(Model!AL335,"")</f>
        <v>23070.8551974591</v>
      </c>
      <c r="H46" s="136">
        <f>IFERROR(Model!AQ335,"")</f>
        <v>23170.987109232</v>
      </c>
      <c r="I46" s="136">
        <f>IFERROR(Model!AV335,"")</f>
        <v>22305.0085993721</v>
      </c>
      <c r="J46" s="136">
        <f>IFERROR(Model!BA335,"")</f>
        <v>20205.1107552957</v>
      </c>
      <c r="K46" s="136">
        <f>IFERROR(Model!BF335,"")</f>
        <v>16602.180719956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IFERROR(Model!W336,"")</f>
        <v>17630</v>
      </c>
      <c r="E47" s="136">
        <f>IFERROR(Model!AB336,"")</f>
        <v>20657</v>
      </c>
      <c r="F47" s="136">
        <f>IFERROR(Model!AG336,"")</f>
        <v>21222</v>
      </c>
      <c r="G47" s="136">
        <f>IFERROR(Model!AL336,"")</f>
        <v>23070.8551974591</v>
      </c>
      <c r="H47" s="136">
        <f>IFERROR(Model!AQ336,"")</f>
        <v>23170.987109232</v>
      </c>
      <c r="I47" s="136">
        <f>IFERROR(Model!AV336,"")</f>
        <v>22305.0085993721</v>
      </c>
      <c r="J47" s="136">
        <f>IFERROR(Model!BA336,"")</f>
        <v>20205.1107552957</v>
      </c>
      <c r="K47" s="136">
        <f>IFERROR(Model!BF336,"")</f>
        <v>16602.180719956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0.0717681924022601</v>
      </c>
      <c r="E48" s="122">
        <f>IFERROR(IF(E18=0,"",E46/E18),"")</f>
        <v>0.0798168505245262</v>
      </c>
      <c r="F48" s="122">
        <f>IFERROR(IF(F18=0,"",F46/F18),"")</f>
        <v>0.0756871654225706</v>
      </c>
      <c r="G48" s="122">
        <f>IFERROR(IF(G18=0,"",G46/G18),"")</f>
        <v>0.0750360282560983</v>
      </c>
      <c r="H48" s="122">
        <f>IFERROR(IF(H18=0,"",H46/H18),"")</f>
        <v>0.0691123033647051</v>
      </c>
      <c r="I48" s="122">
        <f>IFERROR(IF(I18=0,"",I46/I18),"")</f>
        <v>0.0612934257962268</v>
      </c>
      <c r="J48" s="122">
        <f>IFERROR(IF(J18=0,"",J46/J18),"")</f>
        <v>0.0513899981866438</v>
      </c>
      <c r="K48" s="122">
        <f>IFERROR(IF(K18=0,"",K46/K18),"")</f>
        <v>0.0392647529596196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0.349711201238911</v>
      </c>
      <c r="E50" s="150">
        <f>IFERROR(IF(E46=0,"",E25/E46),"")</f>
        <v>0.350406997340581</v>
      </c>
      <c r="F50" s="150">
        <f>IFERROR(IF(F46=0,"",F25/F46),"")</f>
        <v>0.375507590331681</v>
      </c>
      <c r="G50" s="150">
        <f>IFERROR(IF(G46=0,"",G25/G46),"")</f>
        <v>0.382682731697945</v>
      </c>
      <c r="H50" s="150">
        <f>IFERROR(IF(H46=0,"",H25/H46),"")</f>
        <v>0.413269381930599</v>
      </c>
      <c r="I50" s="150">
        <f>IFERROR(IF(I46=0,"",I25/I46),"")</f>
        <v>0.465987967295018</v>
      </c>
      <c r="J50" s="150">
        <f>IFERROR(IF(J46=0,"",J25/J46),"")</f>
        <v>0.555789062136121</v>
      </c>
      <c r="K50" s="150">
        <f>IFERROR(IF(K46=0,"",K25/K46),"")</f>
        <v>0.727420822555672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13.9337492909813</v>
      </c>
      <c r="E51" s="154">
        <f>IFERROR(IF(E46=0,"",E18/E46),"")</f>
        <v>12.5286827709735</v>
      </c>
      <c r="F51" s="154">
        <f>IFERROR(IF(F46=0,"",F18/F46),"")</f>
        <v>13.2122797097352</v>
      </c>
      <c r="G51" s="154">
        <f>IFERROR(IF(G46=0,"",G18/G46),"")</f>
        <v>13.3269313853739</v>
      </c>
      <c r="H51" s="154">
        <f>IFERROR(IF(H46=0,"",H18/H46),"")</f>
        <v>14.4692037642416</v>
      </c>
      <c r="I51" s="154">
        <f>IFERROR(IF(I46=0,"",I18/I46),"")</f>
        <v>16.3149634240473</v>
      </c>
      <c r="J51" s="154">
        <f>IFERROR(IF(J46=0,"",J18/J46),"")</f>
        <v>19.459039410122</v>
      </c>
      <c r="K51" s="154">
        <f>IFERROR(IF(K46=0,"",K18/K46),"")</f>
        <v>25.4681342584382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7094.408477842</v>
      </c>
      <c r="E53" s="155">
        <f>IFERROR(E25+E44,"")</f>
        <v>4191.35734406439</v>
      </c>
      <c r="F53" s="155">
        <f>IFERROR(F25+F44,"")</f>
        <v>7673.02208201893</v>
      </c>
      <c r="G53" s="156">
        <f>IFERROR(G25+G44,"")</f>
        <v>7096.9626921123</v>
      </c>
      <c r="H53" s="155">
        <f>IFERROR(H25+H44,"")</f>
        <v>9475.72760958129</v>
      </c>
      <c r="I53" s="155">
        <f>IFERROR(I25+I44,"")</f>
        <v>11259.8441275792</v>
      </c>
      <c r="J53" s="155">
        <f>IFERROR(J25+J44,"")</f>
        <v>13329.6774011186</v>
      </c>
      <c r="K53" s="155">
        <f>IFERROR(K25+K44,"")</f>
        <v>15679.701990868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0.727420822555672</v>
      </c>
      <c r="E64" s="157" t="inlineStr">
        <is>
          <t>Current portion of long-term debt</t>
        </is>
      </c>
      <c r="H64" s="137">
        <f>IFERROR(INDEX(Model!$I$197:$BF$197,1,MATCH(Control!$B$7,Model!$I$5:$BF$5,0)),"")</f>
        <v>0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IFERROR(INDEX(Model!$I$198:$BF$198,1,MATCH(Control!$B$7,Model!$I$5:$BF$5,0)),"")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IFERROR(INDEX(Model!$I$202:$BF$202,1,MATCH(Control!$B$7,Model!$I$5:$BF$5,0)),"")</f>
        <v>5670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IFERROR(INDEX(Model!$I$223:$BF$223,1,MATCH(Control!$B$7,Model!$I$5:$BF$5,0)),"")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IFERROR(INDEX(Model!$I$233:$BF$233,1,MATCH(Control!$B$7,Model!$I$5:$BF$5,0)),"")</f>
        <v>0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IFERROR(INDEX(Model!$I$238:$BF$238,1,MATCH(Control!$B$7,Model!$I$5:$BF$5,0)),"")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IFERROR(INDEX(Model!$I$199:$BF$199,1,MATCH(Control!$B$7,Model!$I$5:$BF$5,0)),"")</f>
        <v>0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IFERROR(INDEX(Model!$I$220:$BF$220,1,MATCH(Control!$B$7,Model!$I$5:$BF$5,0)),"")</f>
        <v>2466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IFERROR(-INDEX(Model!$I$129:$BF$129,1,MATCH(Control!$B$7,Model!$I$5:$BF$5,0)),"")</f>
        <v>-19996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19830.2502795823</v>
      </c>
      <c r="E73" s="157" t="inlineStr">
        <is>
          <t>Less: Equity investments</t>
        </is>
      </c>
      <c r="H73" s="137">
        <f>IFERROR(-INDEX(Model!$I$146:$BF$146,1,MATCH(Control!$B$7,Model!$I$5:$BF$5,0)),"")</f>
        <v>0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-11860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-11860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-11860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COST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Costco Wholesale Corporation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COST</t>
        </is>
      </c>
      <c r="D4" t="inlineStr">
        <is>
          <t>Last close (US$/share)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USD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US$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4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IFERROR(-Model!AG59/AVERAGE(Model!AB77,Model!AG77),"")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0.0904237778385288</v>
      </c>
      <c r="C18" s="247">
        <f>IF(B18="","",B18)</f>
        <v>0.0904237778385288</v>
      </c>
      <c r="D18" s="247">
        <f>IF(C18="","",MAX(0,C18-0.5%))</f>
        <v>0.0854237778385288</v>
      </c>
      <c r="E18" s="247">
        <f>IF(D18="","",MAX(0,D18-0.5%))</f>
        <v>0.0804237778385288</v>
      </c>
      <c r="F18" s="247">
        <f>IF(E18="","",MAX(0,E18-0.5%))</f>
        <v>0.0754237778385288</v>
      </c>
    </row>
    <row r="19" ht="15" customHeight="1">
      <c r="A19" t="inlineStr">
        <is>
          <t>Gross margin</t>
        </is>
      </c>
      <c r="B19" s="247">
        <f>IFERROR(AVERAGE(Model!AC40:AF40,Model!AH40:AI40),"")</f>
        <v>0.128356018345696</v>
      </c>
      <c r="C19" s="247">
        <f>IF(B19="","",B19)</f>
        <v>0.128356018345696</v>
      </c>
      <c r="D19" s="247">
        <f>IF(C19="","",C19)</f>
        <v>0.128356018345696</v>
      </c>
      <c r="E19" s="247">
        <f>IF(D19="","",D19)</f>
        <v>0.128356018345696</v>
      </c>
      <c r="F19" s="247">
        <f>IF(E19="","",E19)</f>
        <v>0.128356018345696</v>
      </c>
    </row>
    <row r="20" ht="15" customHeight="1">
      <c r="A20" t="inlineStr">
        <is>
          <t>SG&amp;A / Revenue</t>
        </is>
      </c>
      <c r="B20" s="247">
        <f>IFERROR(AVERAGE(Model!AC44:AF44,Model!AH44:AI44),"")</f>
        <v>0.0814567650795693</v>
      </c>
      <c r="C20" s="247">
        <f>IF(B20="","",B20)</f>
        <v>0.0814567650795693</v>
      </c>
      <c r="D20" s="247">
        <f>IF(C20="","",C20)</f>
        <v>0.0814567650795693</v>
      </c>
      <c r="E20" s="247">
        <f>IF(D20="","",D20)</f>
        <v>0.0814567650795693</v>
      </c>
      <c r="F20" s="247">
        <f>IF(E20="","",E20)</f>
        <v>0.0814567650795693</v>
      </c>
    </row>
    <row r="21" ht="15" customHeight="1">
      <c r="A21" t="inlineStr">
        <is>
          <t>D&amp;A / Revenue</t>
        </is>
      </c>
      <c r="B21" s="247">
        <f>IFERROR(AVERAGE(Model!AC56:AF56,Model!AH56:AI56),"")</f>
        <v>0.00871538121987458</v>
      </c>
      <c r="C21" s="247">
        <f>IF(B21="","",B21)</f>
        <v>0.00871538121987458</v>
      </c>
      <c r="D21" s="247">
        <f>IF(C21="","",C21)</f>
        <v>0.00871538121987458</v>
      </c>
      <c r="E21" s="247">
        <f>IF(D21="","",D21)</f>
        <v>0.00871538121987458</v>
      </c>
      <c r="F21" s="247">
        <f>IF(E21="","",E21)</f>
        <v>0.00871538121987458</v>
      </c>
    </row>
    <row r="22" ht="15" customHeight="1">
      <c r="A22" t="inlineStr">
        <is>
          <t>Effective tax rate</t>
        </is>
      </c>
      <c r="B22" s="247">
        <f>IFERROR(AVERAGE(Model!AC117:AF117,Model!AH117:AI117),"")</f>
        <v>0.251987884813401</v>
      </c>
      <c r="C22" s="247">
        <f>IF(B22="","",B22)</f>
        <v>0.251987884813401</v>
      </c>
      <c r="D22" s="247">
        <f>IF(C22="","",C22)</f>
        <v>0.251987884813401</v>
      </c>
      <c r="E22" s="247">
        <f>IF(D22="","",D22)</f>
        <v>0.251987884813401</v>
      </c>
      <c r="F22" s="247">
        <f>IF(E22="","",E22)</f>
        <v>0.251987884813401</v>
      </c>
    </row>
    <row r="23" ht="15" customHeight="1">
      <c r="A23" t="inlineStr">
        <is>
          <t>Financial income / Revenue</t>
        </is>
      </c>
      <c r="B23" s="247">
        <f>IFERROR(AVERAGE(Model!AC108:AF108,Model!AH108:AI108)/AVERAGE(Model!AC15:AF15,Model!AH15:AI15),"")</f>
        <v>0.00214023280976897</v>
      </c>
      <c r="C23" s="247">
        <f>IF(B23="","",B23)</f>
        <v>0.00214023280976897</v>
      </c>
      <c r="D23" s="247">
        <f>IF(C23="","",C23)</f>
        <v>0.00214023280976897</v>
      </c>
      <c r="E23" s="247">
        <f>IF(D23="","",D23)</f>
        <v>0.00214023280976897</v>
      </c>
      <c r="F23" s="247">
        <f>IF(E23="","",E23)</f>
        <v>0.00214023280976897</v>
      </c>
    </row>
    <row r="24" ht="15" customHeight="1">
      <c r="A24" t="inlineStr">
        <is>
          <t>Capex / Revenue</t>
        </is>
      </c>
      <c r="B24" s="247">
        <f>IFERROR(-AVERAGE(Model!AC280:AF280,Model!AH280:AI280)/AVERAGE(Model!AC15:AF15,Model!AH15:AI15),"")</f>
        <v>0.020512942463408</v>
      </c>
      <c r="C24" s="247">
        <f>IF(B24="","",B24)</f>
        <v>0.020512942463408</v>
      </c>
      <c r="D24" s="247">
        <f>IF(C24="","",C24)</f>
        <v>0.020512942463408</v>
      </c>
      <c r="E24" s="247">
        <f>IF(D24="","",D24)</f>
        <v>0.020512942463408</v>
      </c>
      <c r="F24" s="247">
        <f>IF(E24="","",E24)</f>
        <v>0.020512942463408</v>
      </c>
    </row>
    <row r="25" ht="15" customHeight="1">
      <c r="A25" t="inlineStr">
        <is>
          <t>DSO</t>
        </is>
      </c>
      <c r="B25" s="249">
        <f>IFERROR(AVERAGE(Model!AC131:AF131,Model!AH131:AI131),0)</f>
        <v>4.33784355126312</v>
      </c>
      <c r="C25" s="249">
        <f>IF(B25="","",B25)</f>
        <v>4.33784355126312</v>
      </c>
      <c r="D25" s="249">
        <f>IF(C25="","",C25)</f>
        <v>4.33784355126312</v>
      </c>
      <c r="E25" s="249">
        <f>IF(D25="","",D25)</f>
        <v>4.33784355126312</v>
      </c>
      <c r="F25" s="249">
        <f>IF(E25="","",E25)</f>
        <v>4.33784355126312</v>
      </c>
    </row>
    <row r="26" ht="15" customHeight="1">
      <c r="A26" t="inlineStr">
        <is>
          <t>DIO</t>
        </is>
      </c>
      <c r="B26" s="249">
        <f>IFERROR(AVERAGE(Model!AC135:AF135,Model!AH135:AI135),0)</f>
        <v>28.8985257447742</v>
      </c>
      <c r="C26" s="249">
        <f>IF(B26="","",B26)</f>
        <v>28.8985257447742</v>
      </c>
      <c r="D26" s="249">
        <f>IF(C26="","",C26)</f>
        <v>28.8985257447742</v>
      </c>
      <c r="E26" s="249">
        <f>IF(D26="","",D26)</f>
        <v>28.8985257447742</v>
      </c>
      <c r="F26" s="249">
        <f>IF(E26="","",E26)</f>
        <v>28.8985257447742</v>
      </c>
    </row>
    <row r="27" ht="15" customHeight="1">
      <c r="A27" t="inlineStr">
        <is>
          <t>DPO</t>
        </is>
      </c>
      <c r="B27" s="249">
        <f>IFERROR(AVERAGE(Model!AC184:AF184,Model!AH184:AI184),0)</f>
        <v>31.2919736550938</v>
      </c>
      <c r="C27" s="249">
        <f>IF(B27="","",B27)</f>
        <v>31.2919736550938</v>
      </c>
      <c r="D27" s="249">
        <f>IF(C27="","",C27)</f>
        <v>31.2919736550938</v>
      </c>
      <c r="E27" s="249">
        <f>IF(D27="","",D27)</f>
        <v>31.2919736550938</v>
      </c>
      <c r="F27" s="249">
        <f>IF(E27="","",E27)</f>
        <v>31.2919736550938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Costco Wholesale Corporation (COST, CIK 909832) - fonte: SEC EDGAR XBRL (instâncias dos 10-Q/10-K). Moeda: USD. Brutos em USD unidades (fator 0,000001 -&gt; milhões). Colunas = trimestres-CALENDÁRIO (cada fechamento vai para o fim de trimestre mais próx</t>
        </is>
      </c>
    </row>
    <row r="31">
      <c r="A31" t="inlineStr">
        <is>
          <t>Unit flow</t>
        </is>
      </c>
      <c r="B31" t="inlineStr">
        <is>
          <t>US$ mil na Inputs → US$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2026-10-16T15:37:17Z</dcterms:modified>
  <cp:lastModifiedBy>Lucas Nascimento</cp:lastModifiedBy>
  <cp:revision>0</cp:revision>
</cp:coreProperties>
</file>